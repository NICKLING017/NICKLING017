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788D872F-0DDB-4053-B292-562798475EE4}" xr6:coauthVersionLast="47" xr6:coauthVersionMax="47" xr10:uidLastSave="{00000000-0000-0000-0000-000000000000}"/>
  <bookViews>
    <workbookView xWindow="-120" yWindow="-120" windowWidth="29040" windowHeight="15840" tabRatio="899" activeTab="3" xr2:uid="{00000000-000D-0000-FFFF-FFFF00000000}"/>
  </bookViews>
  <sheets>
    <sheet name="节奏总纲" sheetId="18" r:id="rId1"/>
    <sheet name="数据索引" sheetId="96" r:id="rId2"/>
    <sheet name="设计思路" sheetId="93" r:id="rId3"/>
    <sheet name="通商集市" sheetId="91" r:id="rId4"/>
    <sheet name="道具信息" sheetId="95" r:id="rId5"/>
    <sheet name="武将升星（废弃）" sheetId="50" state="hidden" r:id="rId6"/>
    <sheet name="Sheet2" sheetId="48" state="hidden" r:id="rId7"/>
    <sheet name="武将觉醒(废弃）" sheetId="51" state="hidden" r:id="rId8"/>
    <sheet name="属性分配（废弃）" sheetId="47" state="hidden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</externalReferenc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3" i="91" l="1"/>
  <c r="S34" i="91"/>
  <c r="S35" i="91"/>
  <c r="S36" i="91"/>
  <c r="S28" i="91"/>
  <c r="S29" i="91"/>
  <c r="S30" i="91"/>
  <c r="S31" i="91"/>
  <c r="S27" i="91"/>
  <c r="L6" i="91"/>
  <c r="L7" i="91"/>
  <c r="L8" i="91"/>
  <c r="L9" i="91"/>
  <c r="L10" i="91"/>
  <c r="L11" i="91"/>
  <c r="L12" i="91"/>
  <c r="L13" i="91"/>
  <c r="L14" i="91"/>
  <c r="L15" i="91"/>
  <c r="L16" i="91"/>
  <c r="L17" i="91"/>
  <c r="L18" i="91"/>
  <c r="L19" i="91"/>
  <c r="L20" i="91"/>
  <c r="L21" i="91"/>
  <c r="L22" i="91"/>
  <c r="L23" i="91"/>
  <c r="L24" i="91"/>
  <c r="L25" i="91"/>
  <c r="L26" i="91"/>
  <c r="L27" i="91"/>
  <c r="L28" i="91"/>
  <c r="L29" i="91"/>
  <c r="L30" i="91"/>
  <c r="L31" i="91"/>
  <c r="L32" i="91"/>
  <c r="L33" i="91"/>
  <c r="L34" i="91"/>
  <c r="L35" i="91"/>
  <c r="L36" i="91"/>
  <c r="L37" i="91"/>
  <c r="L38" i="91"/>
  <c r="L39" i="91"/>
  <c r="L40" i="91"/>
  <c r="L41" i="91"/>
  <c r="L42" i="91"/>
  <c r="L43" i="91"/>
  <c r="L44" i="91"/>
  <c r="L45" i="91"/>
  <c r="L46" i="91"/>
  <c r="L47" i="91"/>
  <c r="L48" i="91"/>
  <c r="L49" i="91"/>
  <c r="L50" i="91"/>
  <c r="L51" i="91"/>
  <c r="L52" i="91"/>
  <c r="L53" i="91"/>
  <c r="L54" i="91"/>
  <c r="L55" i="91"/>
  <c r="L56" i="91"/>
  <c r="L57" i="91"/>
  <c r="L58" i="91"/>
  <c r="L59" i="91"/>
  <c r="L60" i="91"/>
  <c r="L61" i="91"/>
  <c r="L62" i="91"/>
  <c r="L63" i="91"/>
  <c r="L64" i="91"/>
  <c r="L65" i="91"/>
  <c r="L66" i="91"/>
  <c r="L67" i="91"/>
  <c r="L68" i="91"/>
  <c r="L69" i="91"/>
  <c r="L70" i="91"/>
  <c r="L71" i="91"/>
  <c r="L72" i="91"/>
  <c r="L73" i="91"/>
  <c r="L74" i="91"/>
  <c r="L75" i="91"/>
  <c r="L76" i="91"/>
  <c r="L77" i="91"/>
  <c r="L78" i="91"/>
  <c r="L79" i="91"/>
  <c r="L80" i="91"/>
  <c r="L81" i="91"/>
  <c r="L82" i="91"/>
  <c r="L83" i="91"/>
  <c r="L84" i="91"/>
  <c r="L85" i="91"/>
  <c r="L86" i="91"/>
  <c r="L87" i="91"/>
  <c r="L88" i="91"/>
  <c r="L89" i="91"/>
  <c r="L90" i="91"/>
  <c r="L91" i="91"/>
  <c r="L92" i="91"/>
  <c r="L93" i="91"/>
  <c r="L94" i="91"/>
  <c r="L95" i="91"/>
  <c r="L96" i="91"/>
  <c r="L97" i="91"/>
  <c r="L98" i="91"/>
  <c r="L99" i="91"/>
  <c r="L100" i="91"/>
  <c r="L101" i="91"/>
  <c r="L102" i="91"/>
  <c r="L103" i="91"/>
  <c r="L104" i="91"/>
  <c r="L105" i="91"/>
  <c r="L106" i="91"/>
  <c r="L107" i="91"/>
  <c r="L108" i="91"/>
  <c r="L109" i="91"/>
  <c r="L110" i="91"/>
  <c r="L111" i="91"/>
  <c r="L112" i="91"/>
  <c r="L113" i="91"/>
  <c r="L114" i="91"/>
  <c r="L115" i="91"/>
  <c r="L116" i="91"/>
  <c r="L117" i="91"/>
  <c r="L118" i="91"/>
  <c r="L119" i="91"/>
  <c r="L120" i="91"/>
  <c r="L121" i="91"/>
  <c r="L122" i="91"/>
  <c r="L123" i="91"/>
  <c r="L124" i="91"/>
  <c r="L125" i="91"/>
  <c r="L126" i="91"/>
  <c r="L127" i="91"/>
  <c r="L128" i="91"/>
  <c r="L129" i="91"/>
  <c r="L130" i="91"/>
  <c r="L131" i="91"/>
  <c r="L132" i="91"/>
  <c r="L133" i="91"/>
  <c r="L134" i="91"/>
  <c r="L135" i="91"/>
  <c r="L136" i="91"/>
  <c r="L137" i="91"/>
  <c r="L138" i="91"/>
  <c r="L139" i="91"/>
  <c r="L140" i="91"/>
  <c r="L141" i="91"/>
  <c r="L142" i="91"/>
  <c r="L143" i="91"/>
  <c r="L144" i="91"/>
  <c r="L145" i="91"/>
  <c r="L146" i="91"/>
  <c r="L147" i="91"/>
  <c r="L148" i="91"/>
  <c r="L149" i="91"/>
  <c r="L150" i="91"/>
  <c r="L151" i="91"/>
  <c r="L152" i="91"/>
  <c r="L153" i="91"/>
  <c r="L154" i="91"/>
  <c r="L155" i="91"/>
  <c r="L156" i="91"/>
  <c r="L157" i="91"/>
  <c r="L158" i="91"/>
  <c r="L159" i="91"/>
  <c r="L160" i="91"/>
  <c r="L161" i="91"/>
  <c r="L162" i="91"/>
  <c r="L163" i="91"/>
  <c r="L164" i="91"/>
  <c r="L165" i="91"/>
  <c r="L166" i="91"/>
  <c r="L167" i="91"/>
  <c r="L168" i="91"/>
  <c r="L169" i="91"/>
  <c r="L170" i="91"/>
  <c r="L171" i="91"/>
  <c r="L172" i="91"/>
  <c r="L173" i="91"/>
  <c r="L174" i="91"/>
  <c r="L175" i="91"/>
  <c r="L176" i="91"/>
  <c r="L177" i="91"/>
  <c r="L178" i="91"/>
  <c r="L179" i="91"/>
  <c r="L180" i="91"/>
  <c r="L181" i="91"/>
  <c r="L182" i="91"/>
  <c r="L183" i="91"/>
  <c r="L184" i="91"/>
  <c r="L185" i="91"/>
  <c r="L186" i="91"/>
  <c r="L187" i="91"/>
  <c r="L188" i="91"/>
  <c r="L189" i="91"/>
  <c r="L190" i="91"/>
  <c r="L191" i="91"/>
  <c r="L192" i="91"/>
  <c r="L193" i="91"/>
  <c r="L194" i="91"/>
  <c r="L195" i="91"/>
  <c r="L196" i="91"/>
  <c r="L197" i="91"/>
  <c r="L198" i="91"/>
  <c r="L199" i="91"/>
  <c r="L200" i="91"/>
  <c r="L201" i="91"/>
  <c r="L202" i="91"/>
  <c r="L203" i="91"/>
  <c r="L204" i="91"/>
  <c r="L205" i="91"/>
  <c r="L206" i="91"/>
  <c r="L207" i="91"/>
  <c r="L208" i="91"/>
  <c r="L209" i="91"/>
  <c r="L210" i="91"/>
  <c r="L211" i="91"/>
  <c r="L212" i="91"/>
  <c r="L213" i="91"/>
  <c r="L214" i="91"/>
  <c r="L215" i="91"/>
  <c r="L216" i="91"/>
  <c r="L217" i="91"/>
  <c r="L218" i="91"/>
  <c r="L219" i="91"/>
  <c r="L220" i="91"/>
  <c r="L221" i="91"/>
  <c r="L222" i="91"/>
  <c r="L223" i="91"/>
  <c r="L224" i="91"/>
  <c r="L225" i="91"/>
  <c r="L226" i="91"/>
  <c r="L227" i="91"/>
  <c r="L228" i="91"/>
  <c r="L229" i="91"/>
  <c r="L230" i="91"/>
  <c r="L231" i="91"/>
  <c r="L232" i="91"/>
  <c r="L233" i="91"/>
  <c r="L234" i="91"/>
  <c r="L235" i="91"/>
  <c r="L236" i="91"/>
  <c r="L237" i="91"/>
  <c r="L238" i="91"/>
  <c r="L239" i="91"/>
  <c r="L240" i="91"/>
  <c r="L241" i="91"/>
  <c r="L242" i="91"/>
  <c r="L243" i="91"/>
  <c r="L244" i="91"/>
  <c r="L245" i="91"/>
  <c r="L246" i="91"/>
  <c r="L247" i="91"/>
  <c r="L248" i="91"/>
  <c r="L249" i="91"/>
  <c r="L250" i="91"/>
  <c r="L251" i="91"/>
  <c r="L252" i="91"/>
  <c r="L253" i="91"/>
  <c r="L254" i="91"/>
  <c r="L255" i="91"/>
  <c r="L256" i="91"/>
  <c r="L257" i="91"/>
  <c r="L258" i="91"/>
  <c r="L259" i="91"/>
  <c r="L260" i="91"/>
  <c r="L261" i="91"/>
  <c r="L262" i="91"/>
  <c r="L263" i="91"/>
  <c r="L264" i="91"/>
  <c r="L265" i="91"/>
  <c r="L266" i="91"/>
  <c r="L267" i="91"/>
  <c r="L268" i="91"/>
  <c r="L269" i="91"/>
  <c r="L270" i="91"/>
  <c r="L271" i="91"/>
  <c r="L272" i="91"/>
  <c r="L273" i="91"/>
  <c r="L274" i="91"/>
  <c r="L275" i="91"/>
  <c r="L276" i="91"/>
  <c r="L277" i="91"/>
  <c r="L278" i="91"/>
  <c r="L279" i="91"/>
  <c r="L280" i="91"/>
  <c r="L281" i="91"/>
  <c r="L282" i="91"/>
  <c r="L283" i="91"/>
  <c r="L284" i="91"/>
  <c r="L285" i="91"/>
  <c r="L286" i="91"/>
  <c r="L287" i="91"/>
  <c r="L288" i="91"/>
  <c r="L289" i="91"/>
  <c r="L290" i="91"/>
  <c r="L291" i="91"/>
  <c r="L292" i="91"/>
  <c r="L293" i="91"/>
  <c r="L294" i="91"/>
  <c r="L295" i="91"/>
  <c r="L296" i="91"/>
  <c r="L297" i="91"/>
  <c r="L298" i="91"/>
  <c r="L299" i="91"/>
  <c r="L300" i="91"/>
  <c r="L301" i="91"/>
  <c r="L302" i="91"/>
  <c r="L303" i="91"/>
  <c r="L304" i="91"/>
  <c r="L305" i="91"/>
  <c r="L306" i="91"/>
  <c r="L307" i="91"/>
  <c r="L308" i="91"/>
  <c r="L309" i="91"/>
  <c r="L310" i="91"/>
  <c r="L311" i="91"/>
  <c r="L312" i="91"/>
  <c r="L313" i="91"/>
  <c r="L314" i="91"/>
  <c r="L315" i="91"/>
  <c r="L316" i="91"/>
  <c r="L317" i="91"/>
  <c r="L318" i="91"/>
  <c r="L319" i="91"/>
  <c r="L320" i="91"/>
  <c r="L321" i="91"/>
  <c r="L322" i="91"/>
  <c r="L323" i="91"/>
  <c r="L324" i="91"/>
  <c r="L325" i="91"/>
  <c r="L326" i="91"/>
  <c r="L327" i="91"/>
  <c r="L328" i="91"/>
  <c r="L329" i="91"/>
  <c r="L330" i="91"/>
  <c r="L331" i="91"/>
  <c r="L332" i="91"/>
  <c r="L333" i="91"/>
  <c r="L334" i="91"/>
  <c r="L335" i="91"/>
  <c r="L336" i="91"/>
  <c r="L337" i="91"/>
  <c r="L338" i="91"/>
  <c r="L339" i="91"/>
  <c r="L340" i="91"/>
  <c r="L341" i="91"/>
  <c r="L342" i="91"/>
  <c r="L343" i="91"/>
  <c r="L344" i="91"/>
  <c r="L345" i="91"/>
  <c r="L346" i="91"/>
  <c r="L347" i="91"/>
  <c r="L348" i="91"/>
  <c r="L349" i="91"/>
  <c r="L350" i="91"/>
  <c r="L351" i="91"/>
  <c r="L352" i="91"/>
  <c r="L353" i="91"/>
  <c r="L354" i="91"/>
  <c r="L355" i="91"/>
  <c r="L356" i="91"/>
  <c r="L357" i="91"/>
  <c r="L358" i="91"/>
  <c r="L359" i="91"/>
  <c r="L360" i="91"/>
  <c r="L361" i="91"/>
  <c r="L362" i="91"/>
  <c r="L363" i="91"/>
  <c r="L364" i="91"/>
  <c r="L365" i="91"/>
  <c r="L366" i="91"/>
  <c r="L367" i="91"/>
  <c r="L368" i="91"/>
  <c r="L369" i="91"/>
  <c r="L370" i="91"/>
  <c r="L371" i="91"/>
  <c r="L372" i="91"/>
  <c r="L373" i="91"/>
  <c r="L374" i="91"/>
  <c r="L375" i="91"/>
  <c r="L376" i="91"/>
  <c r="L377" i="91"/>
  <c r="L378" i="91"/>
  <c r="L379" i="91"/>
  <c r="L380" i="91"/>
  <c r="L381" i="91"/>
  <c r="L382" i="91"/>
  <c r="L383" i="91"/>
  <c r="L384" i="91"/>
  <c r="L385" i="91"/>
  <c r="L386" i="91"/>
  <c r="L387" i="91"/>
  <c r="L388" i="91"/>
  <c r="L389" i="91"/>
  <c r="L390" i="91"/>
  <c r="L391" i="91"/>
  <c r="L392" i="91"/>
  <c r="L393" i="91"/>
  <c r="L394" i="91"/>
  <c r="L395" i="91"/>
  <c r="L396" i="91"/>
  <c r="L397" i="91"/>
  <c r="L398" i="91"/>
  <c r="L399" i="91"/>
  <c r="L400" i="91"/>
  <c r="L401" i="91"/>
  <c r="L402" i="91"/>
  <c r="L403" i="91"/>
  <c r="L404" i="91"/>
  <c r="L405" i="91"/>
  <c r="L406" i="91"/>
  <c r="L407" i="91"/>
  <c r="L408" i="91"/>
  <c r="L409" i="91"/>
  <c r="L410" i="91"/>
  <c r="L411" i="91"/>
  <c r="L412" i="91"/>
  <c r="L413" i="91"/>
  <c r="L414" i="91"/>
  <c r="L415" i="91"/>
  <c r="L416" i="91"/>
  <c r="L417" i="91"/>
  <c r="L418" i="91"/>
  <c r="L419" i="91"/>
  <c r="L420" i="91"/>
  <c r="L421" i="91"/>
  <c r="L422" i="91"/>
  <c r="L423" i="91"/>
  <c r="L424" i="91"/>
  <c r="L425" i="91"/>
  <c r="L426" i="91"/>
  <c r="L427" i="91"/>
  <c r="L428" i="91"/>
  <c r="L429" i="91"/>
  <c r="L430" i="91"/>
  <c r="L431" i="91"/>
  <c r="L432" i="91"/>
  <c r="L433" i="91"/>
  <c r="L434" i="91"/>
  <c r="L435" i="91"/>
  <c r="L436" i="91"/>
  <c r="L437" i="91"/>
  <c r="L438" i="91"/>
  <c r="L439" i="91"/>
  <c r="L440" i="91"/>
  <c r="L441" i="91"/>
  <c r="L442" i="91"/>
  <c r="L443" i="91"/>
  <c r="L444" i="91"/>
  <c r="L445" i="91"/>
  <c r="L446" i="91"/>
  <c r="L447" i="91"/>
  <c r="L448" i="91"/>
  <c r="L449" i="91"/>
  <c r="L450" i="91"/>
  <c r="L451" i="91"/>
  <c r="L452" i="91"/>
  <c r="L453" i="91"/>
  <c r="L454" i="91"/>
  <c r="L455" i="91"/>
  <c r="L456" i="91"/>
  <c r="L457" i="91"/>
  <c r="L458" i="91"/>
  <c r="L459" i="91"/>
  <c r="L460" i="91"/>
  <c r="L461" i="91"/>
  <c r="L462" i="91"/>
  <c r="L463" i="91"/>
  <c r="L464" i="91"/>
  <c r="L465" i="91"/>
  <c r="L466" i="91"/>
  <c r="L467" i="91"/>
  <c r="L468" i="91"/>
  <c r="L469" i="91"/>
  <c r="L470" i="91"/>
  <c r="L471" i="91"/>
  <c r="L472" i="91"/>
  <c r="L473" i="91"/>
  <c r="L474" i="91"/>
  <c r="L475" i="91"/>
  <c r="L476" i="91"/>
  <c r="L477" i="91"/>
  <c r="L478" i="91"/>
  <c r="L479" i="91"/>
  <c r="L480" i="91"/>
  <c r="L481" i="91"/>
  <c r="L482" i="91"/>
  <c r="L483" i="91"/>
  <c r="L484" i="91"/>
  <c r="L485" i="91"/>
  <c r="L486" i="91"/>
  <c r="L487" i="91"/>
  <c r="L488" i="91"/>
  <c r="L489" i="91"/>
  <c r="L490" i="91"/>
  <c r="L491" i="91"/>
  <c r="L492" i="91"/>
  <c r="L493" i="91"/>
  <c r="L494" i="91"/>
  <c r="L495" i="91"/>
  <c r="L496" i="91"/>
  <c r="L497" i="91"/>
  <c r="L498" i="91"/>
  <c r="L499" i="91"/>
  <c r="L500" i="91"/>
  <c r="L501" i="91"/>
  <c r="L502" i="91"/>
  <c r="L503" i="91"/>
  <c r="L504" i="91"/>
  <c r="L505" i="91"/>
  <c r="L506" i="91"/>
  <c r="L507" i="91"/>
  <c r="L508" i="91"/>
  <c r="L509" i="91"/>
  <c r="L510" i="91"/>
  <c r="L511" i="91"/>
  <c r="L512" i="91"/>
  <c r="L513" i="91"/>
  <c r="L514" i="91"/>
  <c r="L515" i="91"/>
  <c r="L516" i="91"/>
  <c r="L517" i="91"/>
  <c r="L518" i="91"/>
  <c r="L519" i="91"/>
  <c r="L520" i="91"/>
  <c r="L521" i="91"/>
  <c r="L522" i="91"/>
  <c r="L523" i="91"/>
  <c r="L524" i="91"/>
  <c r="L525" i="91"/>
  <c r="L526" i="91"/>
  <c r="L527" i="91"/>
  <c r="L528" i="91"/>
  <c r="L529" i="91"/>
  <c r="L530" i="91"/>
  <c r="L531" i="91"/>
  <c r="L532" i="91"/>
  <c r="L533" i="91"/>
  <c r="L534" i="91"/>
  <c r="L535" i="91"/>
  <c r="L536" i="91"/>
  <c r="L537" i="91"/>
  <c r="L538" i="91"/>
  <c r="L539" i="91"/>
  <c r="L540" i="91"/>
  <c r="L541" i="91"/>
  <c r="L542" i="91"/>
  <c r="L543" i="91"/>
  <c r="L544" i="91"/>
  <c r="L545" i="91"/>
  <c r="L546" i="91"/>
  <c r="L547" i="91"/>
  <c r="L548" i="91"/>
  <c r="L549" i="91"/>
  <c r="L550" i="91"/>
  <c r="L551" i="91"/>
  <c r="L552" i="91"/>
  <c r="L553" i="91"/>
  <c r="L554" i="91"/>
  <c r="L555" i="91"/>
  <c r="L556" i="91"/>
  <c r="L557" i="91"/>
  <c r="L558" i="91"/>
  <c r="L559" i="91"/>
  <c r="L560" i="91"/>
  <c r="L561" i="91"/>
  <c r="L562" i="91"/>
  <c r="L563" i="91"/>
  <c r="L564" i="91"/>
  <c r="L565" i="91"/>
  <c r="L566" i="91"/>
  <c r="L567" i="91"/>
  <c r="L568" i="91"/>
  <c r="L569" i="91"/>
  <c r="L570" i="91"/>
  <c r="L571" i="91"/>
  <c r="L572" i="91"/>
  <c r="L573" i="91"/>
  <c r="L574" i="91"/>
  <c r="L575" i="91"/>
  <c r="L576" i="91"/>
  <c r="L577" i="91"/>
  <c r="L578" i="91"/>
  <c r="L579" i="91"/>
  <c r="L580" i="91"/>
  <c r="L581" i="91"/>
  <c r="L582" i="91"/>
  <c r="L583" i="91"/>
  <c r="L584" i="91"/>
  <c r="L585" i="91"/>
  <c r="L586" i="91"/>
  <c r="L587" i="91"/>
  <c r="L588" i="91"/>
  <c r="L589" i="91"/>
  <c r="L590" i="91"/>
  <c r="L591" i="91"/>
  <c r="L592" i="91"/>
  <c r="L593" i="91"/>
  <c r="L594" i="91"/>
  <c r="L595" i="91"/>
  <c r="L596" i="91"/>
  <c r="L597" i="91"/>
  <c r="L598" i="91"/>
  <c r="L599" i="91"/>
  <c r="L600" i="91"/>
  <c r="L601" i="91"/>
  <c r="L602" i="91"/>
  <c r="L603" i="91"/>
  <c r="L604" i="91"/>
  <c r="L605" i="91"/>
  <c r="L606" i="91"/>
  <c r="L607" i="91"/>
  <c r="L608" i="91"/>
  <c r="L609" i="91"/>
  <c r="L610" i="91"/>
  <c r="L611" i="91"/>
  <c r="L612" i="91"/>
  <c r="L613" i="91"/>
  <c r="L614" i="91"/>
  <c r="L615" i="91"/>
  <c r="L616" i="91"/>
  <c r="L617" i="91"/>
  <c r="L618" i="91"/>
  <c r="L619" i="91"/>
  <c r="L620" i="91"/>
  <c r="L621" i="91"/>
  <c r="L622" i="91"/>
  <c r="L623" i="91"/>
  <c r="L624" i="91"/>
  <c r="L625" i="91"/>
  <c r="L626" i="91"/>
  <c r="L627" i="91"/>
  <c r="L628" i="91"/>
  <c r="L629" i="91"/>
  <c r="L630" i="91"/>
  <c r="L631" i="91"/>
  <c r="L632" i="91"/>
  <c r="L633" i="91"/>
  <c r="L634" i="91"/>
  <c r="L635" i="91"/>
  <c r="L636" i="91"/>
  <c r="L637" i="91"/>
  <c r="L638" i="91"/>
  <c r="L639" i="91"/>
  <c r="L640" i="91"/>
  <c r="L641" i="91"/>
  <c r="L642" i="91"/>
  <c r="L643" i="91"/>
  <c r="L644" i="91"/>
  <c r="L645" i="91"/>
  <c r="L646" i="91"/>
  <c r="L647" i="91"/>
  <c r="L648" i="91"/>
  <c r="L649" i="91"/>
  <c r="L650" i="91"/>
  <c r="L651" i="91"/>
  <c r="L652" i="91"/>
  <c r="L653" i="91"/>
  <c r="L654" i="91"/>
  <c r="L655" i="91"/>
  <c r="L656" i="91"/>
  <c r="L657" i="91"/>
  <c r="L658" i="91"/>
  <c r="L659" i="91"/>
  <c r="L660" i="91"/>
  <c r="L661" i="91"/>
  <c r="L662" i="91"/>
  <c r="L663" i="91"/>
  <c r="L664" i="91"/>
  <c r="L665" i="91"/>
  <c r="L666" i="91"/>
  <c r="L667" i="91"/>
  <c r="L668" i="91"/>
  <c r="L669" i="91"/>
  <c r="L670" i="91"/>
  <c r="L671" i="91"/>
  <c r="L672" i="91"/>
  <c r="L673" i="91"/>
  <c r="L674" i="91"/>
  <c r="L675" i="91"/>
  <c r="L676" i="91"/>
  <c r="L677" i="91"/>
  <c r="L678" i="91"/>
  <c r="L679" i="91"/>
  <c r="L680" i="91"/>
  <c r="L681" i="91"/>
  <c r="L682" i="91"/>
  <c r="L683" i="91"/>
  <c r="L684" i="91"/>
  <c r="L685" i="91"/>
  <c r="L686" i="91"/>
  <c r="L687" i="91"/>
  <c r="L688" i="91"/>
  <c r="L689" i="91"/>
  <c r="L690" i="91"/>
  <c r="L691" i="91"/>
  <c r="L692" i="91"/>
  <c r="L693" i="91"/>
  <c r="L694" i="91"/>
  <c r="L695" i="91"/>
  <c r="L696" i="91"/>
  <c r="L697" i="91"/>
  <c r="L698" i="91"/>
  <c r="L699" i="91"/>
  <c r="L700" i="91"/>
  <c r="L701" i="91"/>
  <c r="L702" i="91"/>
  <c r="L703" i="91"/>
  <c r="L704" i="91"/>
  <c r="L705" i="91"/>
  <c r="L706" i="91"/>
  <c r="L707" i="91"/>
  <c r="L708" i="91"/>
  <c r="L709" i="91"/>
  <c r="L710" i="91"/>
  <c r="L711" i="91"/>
  <c r="L712" i="91"/>
  <c r="L713" i="91"/>
  <c r="L714" i="91"/>
  <c r="L715" i="91"/>
  <c r="L716" i="91"/>
  <c r="L717" i="91"/>
  <c r="L718" i="91"/>
  <c r="L719" i="91"/>
  <c r="L720" i="91"/>
  <c r="L721" i="91"/>
  <c r="L722" i="91"/>
  <c r="L723" i="91"/>
  <c r="L724" i="91"/>
  <c r="L725" i="91"/>
  <c r="L726" i="91"/>
  <c r="L727" i="91"/>
  <c r="L728" i="91"/>
  <c r="L729" i="91"/>
  <c r="L730" i="91"/>
  <c r="L731" i="91"/>
  <c r="L732" i="91"/>
  <c r="L733" i="91"/>
  <c r="L734" i="91"/>
  <c r="L735" i="91"/>
  <c r="L736" i="91"/>
  <c r="L737" i="91"/>
  <c r="L738" i="91"/>
  <c r="L739" i="91"/>
  <c r="L740" i="91"/>
  <c r="L741" i="91"/>
  <c r="L742" i="91"/>
  <c r="L743" i="91"/>
  <c r="L744" i="91"/>
  <c r="L745" i="91"/>
  <c r="L746" i="91"/>
  <c r="L747" i="91"/>
  <c r="L748" i="91"/>
  <c r="L749" i="91"/>
  <c r="L750" i="91"/>
  <c r="L751" i="91"/>
  <c r="L752" i="91"/>
  <c r="L753" i="91"/>
  <c r="L754" i="91"/>
  <c r="L755" i="91"/>
  <c r="L756" i="91"/>
  <c r="L757" i="91"/>
  <c r="L758" i="91"/>
  <c r="L759" i="91"/>
  <c r="L760" i="91"/>
  <c r="L761" i="91"/>
  <c r="L762" i="91"/>
  <c r="L763" i="91"/>
  <c r="L764" i="91"/>
  <c r="L765" i="91"/>
  <c r="L766" i="91"/>
  <c r="L767" i="91"/>
  <c r="L768" i="91"/>
  <c r="L769" i="91"/>
  <c r="L770" i="91"/>
  <c r="L771" i="91"/>
  <c r="L772" i="91"/>
  <c r="L773" i="91"/>
  <c r="L774" i="91"/>
  <c r="L775" i="91"/>
  <c r="L776" i="91"/>
  <c r="L777" i="91"/>
  <c r="L778" i="91"/>
  <c r="L779" i="91"/>
  <c r="L780" i="91"/>
  <c r="L781" i="91"/>
  <c r="L782" i="91"/>
  <c r="L783" i="91"/>
  <c r="L784" i="91"/>
  <c r="L785" i="91"/>
  <c r="L786" i="91"/>
  <c r="L787" i="91"/>
  <c r="L788" i="91"/>
  <c r="L789" i="91"/>
  <c r="L790" i="91"/>
  <c r="L791" i="91"/>
  <c r="L792" i="91"/>
  <c r="L793" i="91"/>
  <c r="L794" i="91"/>
  <c r="L795" i="91"/>
  <c r="L796" i="91"/>
  <c r="L797" i="91"/>
  <c r="L798" i="91"/>
  <c r="L799" i="91"/>
  <c r="L800" i="91"/>
  <c r="L801" i="91"/>
  <c r="L802" i="91"/>
  <c r="L803" i="91"/>
  <c r="L804" i="91"/>
  <c r="L805" i="91"/>
  <c r="L806" i="91"/>
  <c r="L807" i="91"/>
  <c r="L808" i="91"/>
  <c r="L809" i="91"/>
  <c r="L810" i="91"/>
  <c r="L811" i="91"/>
  <c r="L812" i="91"/>
  <c r="L813" i="91"/>
  <c r="L814" i="91"/>
  <c r="L815" i="91"/>
  <c r="L816" i="91"/>
  <c r="L817" i="91"/>
  <c r="L818" i="91"/>
  <c r="L819" i="91"/>
  <c r="L820" i="91"/>
  <c r="L821" i="91"/>
  <c r="L822" i="91"/>
  <c r="L823" i="91"/>
  <c r="L824" i="91"/>
  <c r="L825" i="91"/>
  <c r="L826" i="91"/>
  <c r="L827" i="91"/>
  <c r="L828" i="91"/>
  <c r="L829" i="91"/>
  <c r="L830" i="91"/>
  <c r="L831" i="91"/>
  <c r="L832" i="91"/>
  <c r="L833" i="91"/>
  <c r="L834" i="91"/>
  <c r="L835" i="91"/>
  <c r="L836" i="91"/>
  <c r="L837" i="91"/>
  <c r="L838" i="91"/>
  <c r="L839" i="91"/>
  <c r="L840" i="91"/>
  <c r="L841" i="91"/>
  <c r="L842" i="91"/>
  <c r="L843" i="91"/>
  <c r="L844" i="91"/>
  <c r="L845" i="91"/>
  <c r="L846" i="91"/>
  <c r="L847" i="91"/>
  <c r="L848" i="91"/>
  <c r="L849" i="91"/>
  <c r="L850" i="91"/>
  <c r="L851" i="91"/>
  <c r="L852" i="91"/>
  <c r="L853" i="91"/>
  <c r="L854" i="91"/>
  <c r="L855" i="91"/>
  <c r="L856" i="91"/>
  <c r="L857" i="91"/>
  <c r="L858" i="91"/>
  <c r="L859" i="91"/>
  <c r="L860" i="91"/>
  <c r="L861" i="91"/>
  <c r="L862" i="91"/>
  <c r="L863" i="91"/>
  <c r="L864" i="91"/>
  <c r="L865" i="91"/>
  <c r="L866" i="91"/>
  <c r="L867" i="91"/>
  <c r="L868" i="91"/>
  <c r="L869" i="91"/>
  <c r="L870" i="91"/>
  <c r="L871" i="91"/>
  <c r="L872" i="91"/>
  <c r="L873" i="91"/>
  <c r="L874" i="91"/>
  <c r="L875" i="91"/>
  <c r="L876" i="91"/>
  <c r="L877" i="91"/>
  <c r="L878" i="91"/>
  <c r="L879" i="91"/>
  <c r="L880" i="91"/>
  <c r="L881" i="91"/>
  <c r="L882" i="91"/>
  <c r="L883" i="91"/>
  <c r="L884" i="91"/>
  <c r="L885" i="91"/>
  <c r="L886" i="91"/>
  <c r="L887" i="91"/>
  <c r="L888" i="91"/>
  <c r="L889" i="91"/>
  <c r="L890" i="91"/>
  <c r="L891" i="91"/>
  <c r="L892" i="91"/>
  <c r="L893" i="91"/>
  <c r="L894" i="91"/>
  <c r="L895" i="91"/>
  <c r="L896" i="91"/>
  <c r="L897" i="91"/>
  <c r="L898" i="91"/>
  <c r="L899" i="91"/>
  <c r="L900" i="91"/>
  <c r="L901" i="91"/>
  <c r="L902" i="91"/>
  <c r="L903" i="91"/>
  <c r="L904" i="91"/>
  <c r="L905" i="91"/>
  <c r="L906" i="91"/>
  <c r="L907" i="91"/>
  <c r="L908" i="91"/>
  <c r="L909" i="91"/>
  <c r="L910" i="91"/>
  <c r="L911" i="91"/>
  <c r="L912" i="91"/>
  <c r="L913" i="91"/>
  <c r="L914" i="91"/>
  <c r="L915" i="91"/>
  <c r="L916" i="91"/>
  <c r="L917" i="91"/>
  <c r="L918" i="91"/>
  <c r="L919" i="91"/>
  <c r="L920" i="91"/>
  <c r="L921" i="91"/>
  <c r="L922" i="91"/>
  <c r="L923" i="91"/>
  <c r="L924" i="91"/>
  <c r="L925" i="91"/>
  <c r="L926" i="91"/>
  <c r="L927" i="91"/>
  <c r="L928" i="91"/>
  <c r="L929" i="91"/>
  <c r="L930" i="91"/>
  <c r="L931" i="91"/>
  <c r="L932" i="91"/>
  <c r="L933" i="91"/>
  <c r="L934" i="91"/>
  <c r="L935" i="91"/>
  <c r="L936" i="91"/>
  <c r="L937" i="91"/>
  <c r="L938" i="91"/>
  <c r="L939" i="91"/>
  <c r="L940" i="91"/>
  <c r="L941" i="91"/>
  <c r="L942" i="91"/>
  <c r="L943" i="91"/>
  <c r="L944" i="91"/>
  <c r="L945" i="91"/>
  <c r="L946" i="91"/>
  <c r="L947" i="91"/>
  <c r="L948" i="91"/>
  <c r="L949" i="91"/>
  <c r="L950" i="91"/>
  <c r="L951" i="91"/>
  <c r="L952" i="91"/>
  <c r="L953" i="91"/>
  <c r="L954" i="91"/>
  <c r="L955" i="91"/>
  <c r="L956" i="91"/>
  <c r="L957" i="91"/>
  <c r="L958" i="91"/>
  <c r="L959" i="91"/>
  <c r="L960" i="91"/>
  <c r="L961" i="91"/>
  <c r="L962" i="91"/>
  <c r="L963" i="91"/>
  <c r="L964" i="91"/>
  <c r="L965" i="91"/>
  <c r="L966" i="91"/>
  <c r="L967" i="91"/>
  <c r="L968" i="91"/>
  <c r="L969" i="91"/>
  <c r="L970" i="91"/>
  <c r="L971" i="91"/>
  <c r="L972" i="91"/>
  <c r="L973" i="91"/>
  <c r="L974" i="91"/>
  <c r="L975" i="91"/>
  <c r="L976" i="91"/>
  <c r="L977" i="91"/>
  <c r="L978" i="91"/>
  <c r="L979" i="91"/>
  <c r="L980" i="91"/>
  <c r="L981" i="91"/>
  <c r="L982" i="91"/>
  <c r="L983" i="91"/>
  <c r="L984" i="91"/>
  <c r="L985" i="91"/>
  <c r="L986" i="91"/>
  <c r="L987" i="91"/>
  <c r="L988" i="91"/>
  <c r="L989" i="91"/>
  <c r="L990" i="91"/>
  <c r="L991" i="91"/>
  <c r="L992" i="91"/>
  <c r="L993" i="91"/>
  <c r="L994" i="91"/>
  <c r="L995" i="91"/>
  <c r="L996" i="91"/>
  <c r="L997" i="91"/>
  <c r="L998" i="91"/>
  <c r="L999" i="91"/>
  <c r="L1000" i="91"/>
  <c r="L1001" i="91"/>
  <c r="L1002" i="91"/>
  <c r="L1003" i="91"/>
  <c r="L1004" i="91"/>
  <c r="L5" i="91"/>
  <c r="O40" i="91"/>
  <c r="P40" i="91" s="1"/>
  <c r="O28" i="91"/>
  <c r="O29" i="91"/>
  <c r="O30" i="91"/>
  <c r="O31" i="91"/>
  <c r="S37" i="91" s="1"/>
  <c r="O27" i="91"/>
  <c r="Q21" i="91"/>
  <c r="BT6" i="91"/>
  <c r="BU6" i="91"/>
  <c r="BV6" i="91"/>
  <c r="BW6" i="91"/>
  <c r="BT7" i="91"/>
  <c r="BU7" i="91"/>
  <c r="BV7" i="91"/>
  <c r="BW7" i="91"/>
  <c r="BT8" i="91"/>
  <c r="BU8" i="91"/>
  <c r="BV8" i="91"/>
  <c r="BW8" i="91"/>
  <c r="BT9" i="91"/>
  <c r="BU9" i="91"/>
  <c r="BV9" i="91"/>
  <c r="BW9" i="91"/>
  <c r="BS7" i="91"/>
  <c r="BS8" i="91"/>
  <c r="BS9" i="91"/>
  <c r="BS6" i="91"/>
  <c r="V1" i="91"/>
  <c r="W1" i="91"/>
  <c r="X1" i="91"/>
  <c r="Y1" i="91"/>
  <c r="U1" i="91"/>
  <c r="Q5" i="91" l="1"/>
  <c r="Q6" i="91"/>
  <c r="BS10" i="91" l="1"/>
  <c r="BT10" i="91"/>
  <c r="BU10" i="91"/>
  <c r="BV10" i="91"/>
  <c r="BW10" i="91"/>
  <c r="Q7" i="91"/>
  <c r="Q8" i="91"/>
  <c r="Q9" i="91"/>
  <c r="Q10" i="91"/>
  <c r="Q11" i="91"/>
  <c r="Q12" i="91"/>
  <c r="Q13" i="91"/>
  <c r="Q14" i="91"/>
  <c r="Q15" i="91"/>
  <c r="Q16" i="91"/>
  <c r="Q17" i="91"/>
  <c r="Q18" i="91"/>
  <c r="Q19" i="91"/>
  <c r="Q20" i="91"/>
  <c r="C5" i="91"/>
  <c r="R28" i="91" l="1"/>
  <c r="R34" i="91" s="1"/>
  <c r="R30" i="91"/>
  <c r="R36" i="91" s="1"/>
  <c r="R27" i="91"/>
  <c r="R33" i="91" s="1"/>
  <c r="R29" i="91"/>
  <c r="R35" i="91" s="1"/>
  <c r="R31" i="91"/>
  <c r="R37" i="91" s="1"/>
  <c r="Q28" i="91"/>
  <c r="Q34" i="91" s="1"/>
  <c r="Q30" i="91"/>
  <c r="Q36" i="91" s="1"/>
  <c r="Q29" i="91"/>
  <c r="Q35" i="91" s="1"/>
  <c r="Q31" i="91"/>
  <c r="Q37" i="91" s="1"/>
  <c r="Q27" i="91"/>
  <c r="Q33" i="91" s="1"/>
  <c r="P27" i="91"/>
  <c r="P33" i="91" s="1"/>
  <c r="P29" i="91"/>
  <c r="P35" i="91" s="1"/>
  <c r="P31" i="91"/>
  <c r="P37" i="91" s="1"/>
  <c r="P28" i="91"/>
  <c r="P34" i="91" s="1"/>
  <c r="P30" i="91"/>
  <c r="P36" i="91" s="1"/>
  <c r="BT15" i="91"/>
  <c r="BT13" i="91"/>
  <c r="BW12" i="91"/>
  <c r="BS11" i="91"/>
  <c r="BS17" i="91" s="1"/>
  <c r="BU11" i="91"/>
  <c r="BU17" i="91" s="1"/>
  <c r="BU13" i="91"/>
  <c r="BU15" i="91"/>
  <c r="BV11" i="91"/>
  <c r="BV17" i="91" s="1"/>
  <c r="BV13" i="91"/>
  <c r="BV15" i="91"/>
  <c r="BW11" i="91"/>
  <c r="BW17" i="91" s="1"/>
  <c r="BW13" i="91"/>
  <c r="BW15" i="91"/>
  <c r="BT12" i="91"/>
  <c r="BT14" i="91"/>
  <c r="BS12" i="91"/>
  <c r="BU12" i="91"/>
  <c r="BU14" i="91"/>
  <c r="BS13" i="91"/>
  <c r="BV12" i="91"/>
  <c r="BV14" i="91"/>
  <c r="BS14" i="91"/>
  <c r="BW14" i="91"/>
  <c r="BS15" i="91"/>
  <c r="BT11" i="91"/>
  <c r="BT17" i="91" s="1"/>
  <c r="BQ84" i="18"/>
  <c r="BR84" i="18"/>
  <c r="BS84" i="18"/>
  <c r="BT84" i="18"/>
  <c r="BU84" i="18"/>
  <c r="BQ85" i="18"/>
  <c r="BR85" i="18"/>
  <c r="BS85" i="18"/>
  <c r="BT85" i="18"/>
  <c r="BU85" i="18"/>
  <c r="BQ86" i="18"/>
  <c r="BR86" i="18"/>
  <c r="BS86" i="18"/>
  <c r="BT86" i="18"/>
  <c r="BU86" i="18"/>
  <c r="BQ87" i="18"/>
  <c r="BR87" i="18"/>
  <c r="BS87" i="18"/>
  <c r="BT87" i="18"/>
  <c r="BU87" i="18"/>
  <c r="BQ88" i="18"/>
  <c r="BR88" i="18"/>
  <c r="BS88" i="18"/>
  <c r="BT88" i="18"/>
  <c r="BU88" i="18"/>
  <c r="BQ89" i="18"/>
  <c r="BR89" i="18"/>
  <c r="BS89" i="18"/>
  <c r="BT89" i="18"/>
  <c r="BU89" i="18"/>
  <c r="BQ90" i="18"/>
  <c r="BR90" i="18"/>
  <c r="BS90" i="18"/>
  <c r="BT90" i="18"/>
  <c r="BU90" i="18"/>
  <c r="BQ91" i="18"/>
  <c r="BR91" i="18"/>
  <c r="BS91" i="18"/>
  <c r="BT91" i="18"/>
  <c r="BU91" i="18"/>
  <c r="BQ92" i="18"/>
  <c r="BR92" i="18"/>
  <c r="BS92" i="18"/>
  <c r="BT92" i="18"/>
  <c r="BU92" i="18"/>
  <c r="BQ93" i="18"/>
  <c r="BR93" i="18"/>
  <c r="BS93" i="18"/>
  <c r="BT93" i="18"/>
  <c r="BU93" i="18"/>
  <c r="BQ94" i="18"/>
  <c r="BR94" i="18"/>
  <c r="BS94" i="18"/>
  <c r="BT94" i="18"/>
  <c r="BU94" i="18"/>
  <c r="BQ95" i="18"/>
  <c r="BR95" i="18"/>
  <c r="BS95" i="18"/>
  <c r="BT95" i="18"/>
  <c r="BU95" i="18"/>
  <c r="BQ96" i="18"/>
  <c r="BR96" i="18"/>
  <c r="BS96" i="18"/>
  <c r="BT96" i="18"/>
  <c r="BU96" i="18"/>
  <c r="BQ97" i="18"/>
  <c r="BR97" i="18"/>
  <c r="BS97" i="18"/>
  <c r="BT97" i="18"/>
  <c r="BU97" i="18"/>
  <c r="BQ98" i="18"/>
  <c r="BR98" i="18"/>
  <c r="BS98" i="18"/>
  <c r="BT98" i="18"/>
  <c r="BU98" i="18"/>
  <c r="BQ99" i="18"/>
  <c r="BR99" i="18"/>
  <c r="BS99" i="18"/>
  <c r="BT99" i="18"/>
  <c r="BU99" i="18"/>
  <c r="BQ100" i="18"/>
  <c r="BR100" i="18"/>
  <c r="BS100" i="18"/>
  <c r="BT100" i="18"/>
  <c r="BU100" i="18"/>
  <c r="BQ101" i="18"/>
  <c r="BR101" i="18"/>
  <c r="BS101" i="18"/>
  <c r="BT101" i="18"/>
  <c r="BU101" i="18"/>
  <c r="BQ102" i="18"/>
  <c r="BR102" i="18"/>
  <c r="BS102" i="18"/>
  <c r="BT102" i="18"/>
  <c r="BU102" i="18"/>
  <c r="BQ103" i="18"/>
  <c r="BR103" i="18"/>
  <c r="BS103" i="18"/>
  <c r="BT103" i="18"/>
  <c r="BU103" i="18"/>
  <c r="BQ104" i="18"/>
  <c r="BR104" i="18"/>
  <c r="BS104" i="18"/>
  <c r="BT104" i="18"/>
  <c r="BU104" i="18"/>
  <c r="BQ105" i="18"/>
  <c r="BR105" i="18"/>
  <c r="BS105" i="18"/>
  <c r="BT105" i="18"/>
  <c r="BU105" i="18"/>
  <c r="BQ106" i="18"/>
  <c r="BR106" i="18"/>
  <c r="BS106" i="18"/>
  <c r="BT106" i="18"/>
  <c r="BU106" i="18"/>
  <c r="BQ107" i="18"/>
  <c r="BR107" i="18"/>
  <c r="BS107" i="18"/>
  <c r="BT107" i="18"/>
  <c r="BU107" i="18"/>
  <c r="BQ108" i="18"/>
  <c r="BR108" i="18"/>
  <c r="BS108" i="18"/>
  <c r="BT108" i="18"/>
  <c r="BU108" i="18"/>
  <c r="BQ109" i="18"/>
  <c r="BR109" i="18"/>
  <c r="BS109" i="18"/>
  <c r="BT109" i="18"/>
  <c r="BU109" i="18"/>
  <c r="BQ110" i="18"/>
  <c r="BR110" i="18"/>
  <c r="BS110" i="18"/>
  <c r="BT110" i="18"/>
  <c r="BU110" i="18"/>
  <c r="BQ111" i="18"/>
  <c r="BR111" i="18"/>
  <c r="BS111" i="18"/>
  <c r="BT111" i="18"/>
  <c r="BU111" i="18"/>
  <c r="BQ112" i="18"/>
  <c r="BR112" i="18"/>
  <c r="BS112" i="18"/>
  <c r="BT112" i="18"/>
  <c r="BU112" i="18"/>
  <c r="BQ113" i="18"/>
  <c r="BR113" i="18"/>
  <c r="BS113" i="18"/>
  <c r="BT113" i="18"/>
  <c r="BU113" i="18"/>
  <c r="BQ114" i="18"/>
  <c r="BR114" i="18"/>
  <c r="BS114" i="18"/>
  <c r="BT114" i="18"/>
  <c r="BU114" i="18"/>
  <c r="BQ115" i="18"/>
  <c r="BR115" i="18"/>
  <c r="BS115" i="18"/>
  <c r="BT115" i="18"/>
  <c r="BU115" i="18"/>
  <c r="BQ116" i="18"/>
  <c r="BR116" i="18"/>
  <c r="BS116" i="18"/>
  <c r="BT116" i="18"/>
  <c r="BU116" i="18"/>
  <c r="BQ117" i="18"/>
  <c r="BR117" i="18"/>
  <c r="BS117" i="18"/>
  <c r="BT117" i="18"/>
  <c r="BU117" i="18"/>
  <c r="BQ118" i="18"/>
  <c r="BR118" i="18"/>
  <c r="BS118" i="18"/>
  <c r="BT118" i="18"/>
  <c r="BU118" i="18"/>
  <c r="BQ119" i="18"/>
  <c r="BR119" i="18"/>
  <c r="BS119" i="18"/>
  <c r="BT119" i="18"/>
  <c r="BU119" i="18"/>
  <c r="BQ120" i="18"/>
  <c r="BR120" i="18"/>
  <c r="BS120" i="18"/>
  <c r="BT120" i="18"/>
  <c r="BU120" i="18"/>
  <c r="BQ121" i="18"/>
  <c r="BR121" i="18"/>
  <c r="BS121" i="18"/>
  <c r="BT121" i="18"/>
  <c r="BU121" i="18"/>
  <c r="BQ122" i="18"/>
  <c r="BR122" i="18"/>
  <c r="BS122" i="18"/>
  <c r="BT122" i="18"/>
  <c r="BU122" i="18"/>
  <c r="BQ123" i="18"/>
  <c r="BR123" i="18"/>
  <c r="BS123" i="18"/>
  <c r="BT123" i="18"/>
  <c r="BU123" i="18"/>
  <c r="BQ124" i="18"/>
  <c r="BR124" i="18"/>
  <c r="BS124" i="18"/>
  <c r="BT124" i="18"/>
  <c r="BU124" i="18"/>
  <c r="BQ125" i="18"/>
  <c r="BR125" i="18"/>
  <c r="BS125" i="18"/>
  <c r="BT125" i="18"/>
  <c r="BU125" i="18"/>
  <c r="BQ126" i="18"/>
  <c r="BR126" i="18"/>
  <c r="BS126" i="18"/>
  <c r="BT126" i="18"/>
  <c r="BU126" i="18"/>
  <c r="BQ127" i="18"/>
  <c r="BR127" i="18"/>
  <c r="BS127" i="18"/>
  <c r="BT127" i="18"/>
  <c r="BU127" i="18"/>
  <c r="BQ128" i="18"/>
  <c r="BR128" i="18"/>
  <c r="BS128" i="18"/>
  <c r="BT128" i="18"/>
  <c r="BU128" i="18"/>
  <c r="BQ129" i="18"/>
  <c r="BR129" i="18"/>
  <c r="BS129" i="18"/>
  <c r="BT129" i="18"/>
  <c r="BU129" i="18"/>
  <c r="BQ130" i="18"/>
  <c r="BR130" i="18"/>
  <c r="BS130" i="18"/>
  <c r="BT130" i="18"/>
  <c r="BU130" i="18"/>
  <c r="BQ131" i="18"/>
  <c r="BR131" i="18"/>
  <c r="BS131" i="18"/>
  <c r="BT131" i="18"/>
  <c r="BU131" i="18"/>
  <c r="BQ132" i="18"/>
  <c r="BR132" i="18"/>
  <c r="BS132" i="18"/>
  <c r="BT132" i="18"/>
  <c r="BU132" i="18"/>
  <c r="BQ133" i="18"/>
  <c r="BR133" i="18"/>
  <c r="BS133" i="18"/>
  <c r="BT133" i="18"/>
  <c r="BU133" i="18"/>
  <c r="BQ134" i="18"/>
  <c r="BR134" i="18"/>
  <c r="BS134" i="18"/>
  <c r="BT134" i="18"/>
  <c r="BU134" i="18"/>
  <c r="BQ135" i="18"/>
  <c r="BR135" i="18"/>
  <c r="BS135" i="18"/>
  <c r="BT135" i="18"/>
  <c r="BU135" i="18"/>
  <c r="BQ136" i="18"/>
  <c r="BR136" i="18"/>
  <c r="BS136" i="18"/>
  <c r="BT136" i="18"/>
  <c r="BU136" i="18"/>
  <c r="BQ137" i="18"/>
  <c r="BR137" i="18"/>
  <c r="BS137" i="18"/>
  <c r="BT137" i="18"/>
  <c r="BU137" i="18"/>
  <c r="BQ138" i="18"/>
  <c r="BR138" i="18"/>
  <c r="BS138" i="18"/>
  <c r="BT138" i="18"/>
  <c r="BU138" i="18"/>
  <c r="BQ139" i="18"/>
  <c r="BR139" i="18"/>
  <c r="BS139" i="18"/>
  <c r="BT139" i="18"/>
  <c r="BU139" i="18"/>
  <c r="BQ140" i="18"/>
  <c r="BR140" i="18"/>
  <c r="BS140" i="18"/>
  <c r="BT140" i="18"/>
  <c r="BU140" i="18"/>
  <c r="BQ141" i="18"/>
  <c r="BR141" i="18"/>
  <c r="BS141" i="18"/>
  <c r="BT141" i="18"/>
  <c r="BU141" i="18"/>
  <c r="BQ142" i="18"/>
  <c r="BR142" i="18"/>
  <c r="BS142" i="18"/>
  <c r="BT142" i="18"/>
  <c r="BU142" i="18"/>
  <c r="BQ143" i="18"/>
  <c r="BR143" i="18"/>
  <c r="BS143" i="18"/>
  <c r="BT143" i="18"/>
  <c r="BU143" i="18"/>
  <c r="BQ144" i="18"/>
  <c r="BR144" i="18"/>
  <c r="BS144" i="18"/>
  <c r="BT144" i="18"/>
  <c r="BU144" i="18"/>
  <c r="BQ145" i="18"/>
  <c r="BR145" i="18"/>
  <c r="BS145" i="18"/>
  <c r="BT145" i="18"/>
  <c r="BU145" i="18"/>
  <c r="BQ146" i="18"/>
  <c r="BR146" i="18"/>
  <c r="BS146" i="18"/>
  <c r="BT146" i="18"/>
  <c r="BU146" i="18"/>
  <c r="BQ147" i="18"/>
  <c r="BR147" i="18"/>
  <c r="BS147" i="18"/>
  <c r="BT147" i="18"/>
  <c r="BU147" i="18"/>
  <c r="BQ148" i="18"/>
  <c r="BR148" i="18"/>
  <c r="BS148" i="18"/>
  <c r="BT148" i="18"/>
  <c r="BU148" i="18"/>
  <c r="BQ149" i="18"/>
  <c r="BR149" i="18"/>
  <c r="BS149" i="18"/>
  <c r="BT149" i="18"/>
  <c r="BU149" i="18"/>
  <c r="BQ150" i="18"/>
  <c r="BR150" i="18"/>
  <c r="BS150" i="18"/>
  <c r="BT150" i="18"/>
  <c r="BU150" i="18"/>
  <c r="BQ151" i="18"/>
  <c r="BR151" i="18"/>
  <c r="BS151" i="18"/>
  <c r="BT151" i="18"/>
  <c r="BU151" i="18"/>
  <c r="BQ152" i="18"/>
  <c r="BR152" i="18"/>
  <c r="BS152" i="18"/>
  <c r="BT152" i="18"/>
  <c r="BU152" i="18"/>
  <c r="BQ153" i="18"/>
  <c r="BR153" i="18"/>
  <c r="BS153" i="18"/>
  <c r="BT153" i="18"/>
  <c r="BU153" i="18"/>
  <c r="BQ154" i="18"/>
  <c r="BR154" i="18"/>
  <c r="BS154" i="18"/>
  <c r="BT154" i="18"/>
  <c r="BU154" i="18"/>
  <c r="BQ155" i="18"/>
  <c r="BR155" i="18"/>
  <c r="BS155" i="18"/>
  <c r="BT155" i="18"/>
  <c r="BU155" i="18"/>
  <c r="BQ156" i="18"/>
  <c r="BR156" i="18"/>
  <c r="BS156" i="18"/>
  <c r="BT156" i="18"/>
  <c r="BU156" i="18"/>
  <c r="BQ157" i="18"/>
  <c r="BR157" i="18"/>
  <c r="BS157" i="18"/>
  <c r="BT157" i="18"/>
  <c r="BU157" i="18"/>
  <c r="BQ158" i="18"/>
  <c r="BR158" i="18"/>
  <c r="BS158" i="18"/>
  <c r="BT158" i="18"/>
  <c r="BU158" i="18"/>
  <c r="BQ159" i="18"/>
  <c r="BR159" i="18"/>
  <c r="BS159" i="18"/>
  <c r="BT159" i="18"/>
  <c r="BU159" i="18"/>
  <c r="BQ160" i="18"/>
  <c r="BR160" i="18"/>
  <c r="BS160" i="18"/>
  <c r="BT160" i="18"/>
  <c r="BU160" i="18"/>
  <c r="BQ161" i="18"/>
  <c r="BR161" i="18"/>
  <c r="BS161" i="18"/>
  <c r="BT161" i="18"/>
  <c r="BU161" i="18"/>
  <c r="BQ162" i="18"/>
  <c r="BR162" i="18"/>
  <c r="BS162" i="18"/>
  <c r="BT162" i="18"/>
  <c r="BU162" i="18"/>
  <c r="BQ163" i="18"/>
  <c r="BR163" i="18"/>
  <c r="BS163" i="18"/>
  <c r="BT163" i="18"/>
  <c r="BU163" i="18"/>
  <c r="BU83" i="18"/>
  <c r="BT83" i="18"/>
  <c r="BS83" i="18"/>
  <c r="BR83" i="18"/>
  <c r="BQ83" i="18"/>
  <c r="BU82" i="18"/>
  <c r="BT82" i="18"/>
  <c r="BS82" i="18"/>
  <c r="BR82" i="18"/>
  <c r="BQ82" i="18"/>
  <c r="BU81" i="18"/>
  <c r="BT81" i="18"/>
  <c r="BS81" i="18"/>
  <c r="BR81" i="18"/>
  <c r="BQ81" i="18"/>
  <c r="BU80" i="18"/>
  <c r="BT80" i="18"/>
  <c r="BS80" i="18"/>
  <c r="BR80" i="18"/>
  <c r="BQ80" i="18"/>
  <c r="BU79" i="18"/>
  <c r="BT79" i="18"/>
  <c r="BS79" i="18"/>
  <c r="BR79" i="18"/>
  <c r="BQ79" i="18"/>
  <c r="BU78" i="18"/>
  <c r="BT78" i="18"/>
  <c r="BS78" i="18"/>
  <c r="BR78" i="18"/>
  <c r="BQ78" i="18"/>
  <c r="BU77" i="18"/>
  <c r="BT77" i="18"/>
  <c r="BS77" i="18"/>
  <c r="BR77" i="18"/>
  <c r="BQ77" i="18"/>
  <c r="BU76" i="18"/>
  <c r="BT76" i="18"/>
  <c r="BS76" i="18"/>
  <c r="BR76" i="18"/>
  <c r="BQ76" i="18"/>
  <c r="BU75" i="18"/>
  <c r="BT75" i="18"/>
  <c r="BS75" i="18"/>
  <c r="BR75" i="18"/>
  <c r="BQ75" i="18"/>
  <c r="BU74" i="18"/>
  <c r="BT74" i="18"/>
  <c r="BS74" i="18"/>
  <c r="BR74" i="18"/>
  <c r="BQ74" i="18"/>
  <c r="BU73" i="18"/>
  <c r="BT73" i="18"/>
  <c r="BS73" i="18"/>
  <c r="BR73" i="18"/>
  <c r="BQ73" i="18"/>
  <c r="BU72" i="18"/>
  <c r="BT72" i="18"/>
  <c r="BS72" i="18"/>
  <c r="BR72" i="18"/>
  <c r="BQ72" i="18"/>
  <c r="BU71" i="18"/>
  <c r="BT71" i="18"/>
  <c r="BS71" i="18"/>
  <c r="BR71" i="18"/>
  <c r="BQ71" i="18"/>
  <c r="BU70" i="18"/>
  <c r="BT70" i="18"/>
  <c r="BS70" i="18"/>
  <c r="BR70" i="18"/>
  <c r="BQ70" i="18"/>
  <c r="BU69" i="18"/>
  <c r="BT69" i="18"/>
  <c r="BS69" i="18"/>
  <c r="BR69" i="18"/>
  <c r="BQ69" i="18"/>
  <c r="BU68" i="18"/>
  <c r="BT68" i="18"/>
  <c r="BS68" i="18"/>
  <c r="BR68" i="18"/>
  <c r="BQ68" i="18"/>
  <c r="BU67" i="18"/>
  <c r="BT67" i="18"/>
  <c r="BS67" i="18"/>
  <c r="BR67" i="18"/>
  <c r="BQ67" i="18"/>
  <c r="BU66" i="18"/>
  <c r="BT66" i="18"/>
  <c r="BS66" i="18"/>
  <c r="BR66" i="18"/>
  <c r="BQ66" i="18"/>
  <c r="BU65" i="18"/>
  <c r="BT65" i="18"/>
  <c r="BS65" i="18"/>
  <c r="BR65" i="18"/>
  <c r="BQ65" i="18"/>
  <c r="BU64" i="18"/>
  <c r="BT64" i="18"/>
  <c r="BS64" i="18"/>
  <c r="BR64" i="18"/>
  <c r="BQ64" i="18"/>
  <c r="BU63" i="18"/>
  <c r="BT63" i="18"/>
  <c r="BS63" i="18"/>
  <c r="BR63" i="18"/>
  <c r="BQ63" i="18"/>
  <c r="BU62" i="18"/>
  <c r="BT62" i="18"/>
  <c r="BS62" i="18"/>
  <c r="BR62" i="18"/>
  <c r="BQ62" i="18"/>
  <c r="BU61" i="18"/>
  <c r="BT61" i="18"/>
  <c r="BS61" i="18"/>
  <c r="BR61" i="18"/>
  <c r="BQ61" i="18"/>
  <c r="BU60" i="18"/>
  <c r="BT60" i="18"/>
  <c r="BS60" i="18"/>
  <c r="BR60" i="18"/>
  <c r="BQ60" i="18"/>
  <c r="BU59" i="18"/>
  <c r="BT59" i="18"/>
  <c r="BS59" i="18"/>
  <c r="BR59" i="18"/>
  <c r="BQ59" i="18"/>
  <c r="BU58" i="18"/>
  <c r="BT58" i="18"/>
  <c r="BS58" i="18"/>
  <c r="BR58" i="18"/>
  <c r="BQ58" i="18"/>
  <c r="BU57" i="18"/>
  <c r="BT57" i="18"/>
  <c r="BS57" i="18"/>
  <c r="BR57" i="18"/>
  <c r="BQ57" i="18"/>
  <c r="BU56" i="18"/>
  <c r="BT56" i="18"/>
  <c r="BS56" i="18"/>
  <c r="BR56" i="18"/>
  <c r="BQ56" i="18"/>
  <c r="BU55" i="18"/>
  <c r="BT55" i="18"/>
  <c r="BS55" i="18"/>
  <c r="BR55" i="18"/>
  <c r="BQ55" i="18"/>
  <c r="BU54" i="18"/>
  <c r="BT54" i="18"/>
  <c r="BS54" i="18"/>
  <c r="BR54" i="18"/>
  <c r="BQ54" i="18"/>
  <c r="BU53" i="18"/>
  <c r="BT53" i="18"/>
  <c r="BS53" i="18"/>
  <c r="BR53" i="18"/>
  <c r="BQ53" i="18"/>
  <c r="BU52" i="18"/>
  <c r="BT52" i="18"/>
  <c r="BS52" i="18"/>
  <c r="BR52" i="18"/>
  <c r="BQ52" i="18"/>
  <c r="BU51" i="18"/>
  <c r="BT51" i="18"/>
  <c r="BS51" i="18"/>
  <c r="BR51" i="18"/>
  <c r="BQ51" i="18"/>
  <c r="BU50" i="18"/>
  <c r="BT50" i="18"/>
  <c r="BS50" i="18"/>
  <c r="BR50" i="18"/>
  <c r="BQ50" i="18"/>
  <c r="BU49" i="18"/>
  <c r="BT49" i="18"/>
  <c r="BS49" i="18"/>
  <c r="BR49" i="18"/>
  <c r="BQ49" i="18"/>
  <c r="BU48" i="18"/>
  <c r="BT48" i="18"/>
  <c r="BS48" i="18"/>
  <c r="BR48" i="18"/>
  <c r="BQ48" i="18"/>
  <c r="BU47" i="18"/>
  <c r="BT47" i="18"/>
  <c r="BS47" i="18"/>
  <c r="BR47" i="18"/>
  <c r="BQ47" i="18"/>
  <c r="BU46" i="18"/>
  <c r="BT46" i="18"/>
  <c r="BS46" i="18"/>
  <c r="BR46" i="18"/>
  <c r="BQ46" i="18"/>
  <c r="BU45" i="18"/>
  <c r="BT45" i="18"/>
  <c r="BS45" i="18"/>
  <c r="BR45" i="18"/>
  <c r="BQ45" i="18"/>
  <c r="BU44" i="18"/>
  <c r="BT44" i="18"/>
  <c r="BS44" i="18"/>
  <c r="BR44" i="18"/>
  <c r="BQ44" i="18"/>
  <c r="BU43" i="18"/>
  <c r="BT43" i="18"/>
  <c r="BS43" i="18"/>
  <c r="BR43" i="18"/>
  <c r="BQ43" i="18"/>
  <c r="BU42" i="18"/>
  <c r="BT42" i="18"/>
  <c r="BS42" i="18"/>
  <c r="BR42" i="18"/>
  <c r="BQ42" i="18"/>
  <c r="BU41" i="18"/>
  <c r="BT41" i="18"/>
  <c r="BS41" i="18"/>
  <c r="BR41" i="18"/>
  <c r="BQ41" i="18"/>
  <c r="BU40" i="18"/>
  <c r="BT40" i="18"/>
  <c r="BS40" i="18"/>
  <c r="BR40" i="18"/>
  <c r="BQ40" i="18"/>
  <c r="BU39" i="18"/>
  <c r="BT39" i="18"/>
  <c r="BS39" i="18"/>
  <c r="BR39" i="18"/>
  <c r="BQ39" i="18"/>
  <c r="BU38" i="18"/>
  <c r="BT38" i="18"/>
  <c r="BS38" i="18"/>
  <c r="BR38" i="18"/>
  <c r="BQ38" i="18"/>
  <c r="BU37" i="18"/>
  <c r="BT37" i="18"/>
  <c r="BS37" i="18"/>
  <c r="BR37" i="18"/>
  <c r="BQ37" i="18"/>
  <c r="BU36" i="18"/>
  <c r="BT36" i="18"/>
  <c r="BS36" i="18"/>
  <c r="BR36" i="18"/>
  <c r="BQ36" i="18"/>
  <c r="BU35" i="18"/>
  <c r="BT35" i="18"/>
  <c r="BS35" i="18"/>
  <c r="BR35" i="18"/>
  <c r="BQ35" i="18"/>
  <c r="BU34" i="18"/>
  <c r="BT34" i="18"/>
  <c r="BS34" i="18"/>
  <c r="BR34" i="18"/>
  <c r="BQ34" i="18"/>
  <c r="BU33" i="18"/>
  <c r="BT33" i="18"/>
  <c r="BS33" i="18"/>
  <c r="BR33" i="18"/>
  <c r="BQ33" i="18"/>
  <c r="BU32" i="18"/>
  <c r="BT32" i="18"/>
  <c r="BS32" i="18"/>
  <c r="BR32" i="18"/>
  <c r="BQ32" i="18"/>
  <c r="BU31" i="18"/>
  <c r="BT31" i="18"/>
  <c r="BS31" i="18"/>
  <c r="BR31" i="18"/>
  <c r="BQ31" i="18"/>
  <c r="BU30" i="18"/>
  <c r="BT30" i="18"/>
  <c r="BS30" i="18"/>
  <c r="BR30" i="18"/>
  <c r="BQ30" i="18"/>
  <c r="BU29" i="18"/>
  <c r="BT29" i="18"/>
  <c r="BS29" i="18"/>
  <c r="BR29" i="18"/>
  <c r="BQ29" i="18"/>
  <c r="BU28" i="18"/>
  <c r="BT28" i="18"/>
  <c r="BS28" i="18"/>
  <c r="BR28" i="18"/>
  <c r="BQ28" i="18"/>
  <c r="BU27" i="18"/>
  <c r="BT27" i="18"/>
  <c r="BS27" i="18"/>
  <c r="BR27" i="18"/>
  <c r="BQ27" i="18"/>
  <c r="BU26" i="18"/>
  <c r="BT26" i="18"/>
  <c r="BS26" i="18"/>
  <c r="BR26" i="18"/>
  <c r="BQ26" i="18"/>
  <c r="BU25" i="18"/>
  <c r="BT25" i="18"/>
  <c r="BS25" i="18"/>
  <c r="BR25" i="18"/>
  <c r="BQ25" i="18"/>
  <c r="BU24" i="18"/>
  <c r="BT24" i="18"/>
  <c r="BS24" i="18"/>
  <c r="BR24" i="18"/>
  <c r="BQ24" i="18"/>
  <c r="BU23" i="18"/>
  <c r="BT23" i="18"/>
  <c r="BS23" i="18"/>
  <c r="BR23" i="18"/>
  <c r="BQ23" i="18"/>
  <c r="BU22" i="18"/>
  <c r="BT22" i="18"/>
  <c r="BS22" i="18"/>
  <c r="BR22" i="18"/>
  <c r="BQ22" i="18"/>
  <c r="BU21" i="18"/>
  <c r="BT21" i="18"/>
  <c r="BS21" i="18"/>
  <c r="BR21" i="18"/>
  <c r="BQ21" i="18"/>
  <c r="BU20" i="18"/>
  <c r="BT20" i="18"/>
  <c r="BS20" i="18"/>
  <c r="BR20" i="18"/>
  <c r="BQ20" i="18"/>
  <c r="BU19" i="18"/>
  <c r="BT19" i="18"/>
  <c r="BS19" i="18"/>
  <c r="BR19" i="18"/>
  <c r="BQ19" i="18"/>
  <c r="BU18" i="18"/>
  <c r="BT18" i="18"/>
  <c r="BS18" i="18"/>
  <c r="BR18" i="18"/>
  <c r="BQ18" i="18"/>
  <c r="BU17" i="18"/>
  <c r="BT17" i="18"/>
  <c r="BS17" i="18"/>
  <c r="BR17" i="18"/>
  <c r="BQ17" i="18"/>
  <c r="BU16" i="18"/>
  <c r="BT16" i="18"/>
  <c r="BS16" i="18"/>
  <c r="BR16" i="18"/>
  <c r="BQ16" i="18"/>
  <c r="BU15" i="18"/>
  <c r="BT15" i="18"/>
  <c r="BS15" i="18"/>
  <c r="BR15" i="18"/>
  <c r="BQ15" i="18"/>
  <c r="BU14" i="18"/>
  <c r="BT14" i="18"/>
  <c r="BS14" i="18"/>
  <c r="BR14" i="18"/>
  <c r="BQ14" i="18"/>
  <c r="BU13" i="18"/>
  <c r="BT13" i="18"/>
  <c r="BS13" i="18"/>
  <c r="BR13" i="18"/>
  <c r="BQ13" i="18"/>
  <c r="BU12" i="18"/>
  <c r="BT12" i="18"/>
  <c r="BS12" i="18"/>
  <c r="BR12" i="18"/>
  <c r="BQ12" i="18"/>
  <c r="BU11" i="18"/>
  <c r="BT11" i="18"/>
  <c r="BS11" i="18"/>
  <c r="BR11" i="18"/>
  <c r="BQ11" i="18"/>
  <c r="BU10" i="18"/>
  <c r="BT10" i="18"/>
  <c r="BS10" i="18"/>
  <c r="BR10" i="18"/>
  <c r="BQ10" i="18"/>
  <c r="BU9" i="18"/>
  <c r="BT9" i="18"/>
  <c r="BS9" i="18"/>
  <c r="BR9" i="18"/>
  <c r="BQ9" i="18"/>
  <c r="BU8" i="18"/>
  <c r="BT8" i="18"/>
  <c r="BS8" i="18"/>
  <c r="BR8" i="18"/>
  <c r="BQ8" i="18"/>
  <c r="BU7" i="18"/>
  <c r="BT7" i="18"/>
  <c r="BS7" i="18"/>
  <c r="BR7" i="18"/>
  <c r="BQ7" i="18"/>
  <c r="BU6" i="18"/>
  <c r="BT6" i="18"/>
  <c r="BS6" i="18"/>
  <c r="BR6" i="18"/>
  <c r="BQ6" i="18"/>
  <c r="BU5" i="18"/>
  <c r="BT5" i="18"/>
  <c r="BS5" i="18"/>
  <c r="BR5" i="18"/>
  <c r="BQ5" i="18"/>
  <c r="BU4" i="18"/>
  <c r="BT4" i="18"/>
  <c r="BS4" i="18"/>
  <c r="BR4" i="18"/>
  <c r="BQ4" i="18"/>
  <c r="BJ5" i="18"/>
  <c r="BK5" i="18"/>
  <c r="BL5" i="18"/>
  <c r="F6" i="91" s="1"/>
  <c r="BM5" i="18"/>
  <c r="BN5" i="18"/>
  <c r="BJ6" i="18"/>
  <c r="BK6" i="18"/>
  <c r="BL6" i="18"/>
  <c r="F7" i="91" s="1"/>
  <c r="BM6" i="18"/>
  <c r="BN6" i="18"/>
  <c r="BJ7" i="18"/>
  <c r="BK7" i="18"/>
  <c r="BL7" i="18"/>
  <c r="F8" i="91" s="1"/>
  <c r="BM7" i="18"/>
  <c r="BN7" i="18"/>
  <c r="BJ8" i="18"/>
  <c r="BK8" i="18"/>
  <c r="BL8" i="18"/>
  <c r="F9" i="91" s="1"/>
  <c r="BM8" i="18"/>
  <c r="BN8" i="18"/>
  <c r="BJ9" i="18"/>
  <c r="BK9" i="18"/>
  <c r="BL9" i="18"/>
  <c r="F10" i="91" s="1"/>
  <c r="BM9" i="18"/>
  <c r="BN9" i="18"/>
  <c r="BJ10" i="18"/>
  <c r="BK10" i="18"/>
  <c r="BL10" i="18"/>
  <c r="F11" i="91" s="1"/>
  <c r="BM10" i="18"/>
  <c r="BN10" i="18"/>
  <c r="BJ11" i="18"/>
  <c r="BK11" i="18"/>
  <c r="BL11" i="18"/>
  <c r="F12" i="91" s="1"/>
  <c r="BM11" i="18"/>
  <c r="BN11" i="18"/>
  <c r="BJ12" i="18"/>
  <c r="BK12" i="18"/>
  <c r="BL12" i="18"/>
  <c r="F13" i="91" s="1"/>
  <c r="BM12" i="18"/>
  <c r="BN12" i="18"/>
  <c r="BJ13" i="18"/>
  <c r="BK13" i="18"/>
  <c r="BL13" i="18"/>
  <c r="F14" i="91" s="1"/>
  <c r="BM13" i="18"/>
  <c r="BN13" i="18"/>
  <c r="BJ14" i="18"/>
  <c r="BK14" i="18"/>
  <c r="BL14" i="18"/>
  <c r="F15" i="91" s="1"/>
  <c r="BM14" i="18"/>
  <c r="BN14" i="18"/>
  <c r="BJ15" i="18"/>
  <c r="BK15" i="18"/>
  <c r="BL15" i="18"/>
  <c r="F16" i="91" s="1"/>
  <c r="BM15" i="18"/>
  <c r="BN15" i="18"/>
  <c r="BJ16" i="18"/>
  <c r="BK16" i="18"/>
  <c r="BL16" i="18"/>
  <c r="F17" i="91" s="1"/>
  <c r="BM16" i="18"/>
  <c r="BN16" i="18"/>
  <c r="BJ17" i="18"/>
  <c r="BK17" i="18"/>
  <c r="BL17" i="18"/>
  <c r="F18" i="91" s="1"/>
  <c r="BM17" i="18"/>
  <c r="BN17" i="18"/>
  <c r="BJ18" i="18"/>
  <c r="BK18" i="18"/>
  <c r="BL18" i="18"/>
  <c r="F19" i="91" s="1"/>
  <c r="BM18" i="18"/>
  <c r="BN18" i="18"/>
  <c r="BJ19" i="18"/>
  <c r="BK19" i="18"/>
  <c r="BL19" i="18"/>
  <c r="F20" i="91" s="1"/>
  <c r="BM19" i="18"/>
  <c r="BN19" i="18"/>
  <c r="BJ20" i="18"/>
  <c r="BK20" i="18"/>
  <c r="BL20" i="18"/>
  <c r="F21" i="91" s="1"/>
  <c r="BM20" i="18"/>
  <c r="BN20" i="18"/>
  <c r="BJ21" i="18"/>
  <c r="BK21" i="18"/>
  <c r="BL21" i="18"/>
  <c r="F22" i="91" s="1"/>
  <c r="BM21" i="18"/>
  <c r="BN21" i="18"/>
  <c r="BJ22" i="18"/>
  <c r="BK22" i="18"/>
  <c r="BL22" i="18"/>
  <c r="F23" i="91" s="1"/>
  <c r="BM22" i="18"/>
  <c r="BN22" i="18"/>
  <c r="BJ23" i="18"/>
  <c r="BK23" i="18"/>
  <c r="BL23" i="18"/>
  <c r="F24" i="91" s="1"/>
  <c r="BM23" i="18"/>
  <c r="BN23" i="18"/>
  <c r="BJ24" i="18"/>
  <c r="BK24" i="18"/>
  <c r="BL24" i="18"/>
  <c r="F25" i="91" s="1"/>
  <c r="BM24" i="18"/>
  <c r="BN24" i="18"/>
  <c r="BJ25" i="18"/>
  <c r="BK25" i="18"/>
  <c r="BL25" i="18"/>
  <c r="F26" i="91" s="1"/>
  <c r="BM25" i="18"/>
  <c r="BN25" i="18"/>
  <c r="BJ26" i="18"/>
  <c r="BK26" i="18"/>
  <c r="BL26" i="18"/>
  <c r="F27" i="91" s="1"/>
  <c r="BM26" i="18"/>
  <c r="BN26" i="18"/>
  <c r="BJ27" i="18"/>
  <c r="BK27" i="18"/>
  <c r="BL27" i="18"/>
  <c r="F28" i="91" s="1"/>
  <c r="BM27" i="18"/>
  <c r="BN27" i="18"/>
  <c r="BJ28" i="18"/>
  <c r="BK28" i="18"/>
  <c r="BL28" i="18"/>
  <c r="F29" i="91" s="1"/>
  <c r="BM28" i="18"/>
  <c r="BN28" i="18"/>
  <c r="BJ29" i="18"/>
  <c r="BK29" i="18"/>
  <c r="BL29" i="18"/>
  <c r="F30" i="91" s="1"/>
  <c r="BM29" i="18"/>
  <c r="BN29" i="18"/>
  <c r="BJ30" i="18"/>
  <c r="BK30" i="18"/>
  <c r="BL30" i="18"/>
  <c r="F31" i="91" s="1"/>
  <c r="BM30" i="18"/>
  <c r="BN30" i="18"/>
  <c r="BJ31" i="18"/>
  <c r="BK31" i="18"/>
  <c r="BL31" i="18"/>
  <c r="F32" i="91" s="1"/>
  <c r="BM31" i="18"/>
  <c r="BN31" i="18"/>
  <c r="BJ32" i="18"/>
  <c r="BK32" i="18"/>
  <c r="BL32" i="18"/>
  <c r="F33" i="91" s="1"/>
  <c r="BM32" i="18"/>
  <c r="BN32" i="18"/>
  <c r="BJ33" i="18"/>
  <c r="BK33" i="18"/>
  <c r="BL33" i="18"/>
  <c r="F34" i="91" s="1"/>
  <c r="BM33" i="18"/>
  <c r="BN33" i="18"/>
  <c r="BJ34" i="18"/>
  <c r="BK34" i="18"/>
  <c r="BL34" i="18"/>
  <c r="F35" i="91" s="1"/>
  <c r="BM34" i="18"/>
  <c r="BN34" i="18"/>
  <c r="BJ35" i="18"/>
  <c r="BK35" i="18"/>
  <c r="BL35" i="18"/>
  <c r="F36" i="91" s="1"/>
  <c r="BM35" i="18"/>
  <c r="BN35" i="18"/>
  <c r="BJ36" i="18"/>
  <c r="BK36" i="18"/>
  <c r="BL36" i="18"/>
  <c r="F37" i="91" s="1"/>
  <c r="BM36" i="18"/>
  <c r="BN36" i="18"/>
  <c r="BJ37" i="18"/>
  <c r="BK37" i="18"/>
  <c r="BL37" i="18"/>
  <c r="F38" i="91" s="1"/>
  <c r="BM37" i="18"/>
  <c r="BN37" i="18"/>
  <c r="BJ38" i="18"/>
  <c r="BK38" i="18"/>
  <c r="BL38" i="18"/>
  <c r="F39" i="91" s="1"/>
  <c r="BM38" i="18"/>
  <c r="BN38" i="18"/>
  <c r="BJ39" i="18"/>
  <c r="BK39" i="18"/>
  <c r="BL39" i="18"/>
  <c r="F40" i="91" s="1"/>
  <c r="BM39" i="18"/>
  <c r="BN39" i="18"/>
  <c r="BJ40" i="18"/>
  <c r="BK40" i="18"/>
  <c r="BL40" i="18"/>
  <c r="F41" i="91" s="1"/>
  <c r="BM40" i="18"/>
  <c r="BN40" i="18"/>
  <c r="BJ41" i="18"/>
  <c r="BK41" i="18"/>
  <c r="BL41" i="18"/>
  <c r="F42" i="91" s="1"/>
  <c r="BM41" i="18"/>
  <c r="BN41" i="18"/>
  <c r="BJ42" i="18"/>
  <c r="BK42" i="18"/>
  <c r="BL42" i="18"/>
  <c r="F43" i="91" s="1"/>
  <c r="BM42" i="18"/>
  <c r="BN42" i="18"/>
  <c r="BJ43" i="18"/>
  <c r="BK43" i="18"/>
  <c r="BL43" i="18"/>
  <c r="F44" i="91" s="1"/>
  <c r="BM43" i="18"/>
  <c r="BN43" i="18"/>
  <c r="BJ44" i="18"/>
  <c r="BK44" i="18"/>
  <c r="BL44" i="18"/>
  <c r="F45" i="91" s="1"/>
  <c r="BM44" i="18"/>
  <c r="BN44" i="18"/>
  <c r="BJ45" i="18"/>
  <c r="BK45" i="18"/>
  <c r="BL45" i="18"/>
  <c r="F46" i="91" s="1"/>
  <c r="BM45" i="18"/>
  <c r="BN45" i="18"/>
  <c r="BJ46" i="18"/>
  <c r="BK46" i="18"/>
  <c r="BL46" i="18"/>
  <c r="F47" i="91" s="1"/>
  <c r="BM46" i="18"/>
  <c r="BN46" i="18"/>
  <c r="BJ47" i="18"/>
  <c r="BK47" i="18"/>
  <c r="BL47" i="18"/>
  <c r="F48" i="91" s="1"/>
  <c r="BM47" i="18"/>
  <c r="BN47" i="18"/>
  <c r="BJ48" i="18"/>
  <c r="BK48" i="18"/>
  <c r="BL48" i="18"/>
  <c r="F49" i="91" s="1"/>
  <c r="BM48" i="18"/>
  <c r="BN48" i="18"/>
  <c r="BJ49" i="18"/>
  <c r="BK49" i="18"/>
  <c r="BL49" i="18"/>
  <c r="F50" i="91" s="1"/>
  <c r="BM49" i="18"/>
  <c r="BN49" i="18"/>
  <c r="BJ50" i="18"/>
  <c r="BK50" i="18"/>
  <c r="BL50" i="18"/>
  <c r="F51" i="91" s="1"/>
  <c r="BM50" i="18"/>
  <c r="BN50" i="18"/>
  <c r="BJ51" i="18"/>
  <c r="BK51" i="18"/>
  <c r="BL51" i="18"/>
  <c r="F52" i="91" s="1"/>
  <c r="BM51" i="18"/>
  <c r="BN51" i="18"/>
  <c r="BJ52" i="18"/>
  <c r="BK52" i="18"/>
  <c r="BL52" i="18"/>
  <c r="F53" i="91" s="1"/>
  <c r="BM52" i="18"/>
  <c r="BN52" i="18"/>
  <c r="BJ53" i="18"/>
  <c r="BK53" i="18"/>
  <c r="BL53" i="18"/>
  <c r="F54" i="91" s="1"/>
  <c r="BM53" i="18"/>
  <c r="BN53" i="18"/>
  <c r="BJ54" i="18"/>
  <c r="BK54" i="18"/>
  <c r="BL54" i="18"/>
  <c r="F55" i="91" s="1"/>
  <c r="BM54" i="18"/>
  <c r="BN54" i="18"/>
  <c r="BJ55" i="18"/>
  <c r="BK55" i="18"/>
  <c r="BL55" i="18"/>
  <c r="F56" i="91" s="1"/>
  <c r="BM55" i="18"/>
  <c r="BN55" i="18"/>
  <c r="BJ56" i="18"/>
  <c r="BK56" i="18"/>
  <c r="BL56" i="18"/>
  <c r="F57" i="91" s="1"/>
  <c r="BM56" i="18"/>
  <c r="BN56" i="18"/>
  <c r="BJ57" i="18"/>
  <c r="BK57" i="18"/>
  <c r="BL57" i="18"/>
  <c r="F58" i="91" s="1"/>
  <c r="BM57" i="18"/>
  <c r="BN57" i="18"/>
  <c r="BJ58" i="18"/>
  <c r="BK58" i="18"/>
  <c r="BL58" i="18"/>
  <c r="F59" i="91" s="1"/>
  <c r="BM58" i="18"/>
  <c r="BN58" i="18"/>
  <c r="BJ59" i="18"/>
  <c r="BK59" i="18"/>
  <c r="BL59" i="18"/>
  <c r="F60" i="91" s="1"/>
  <c r="BM59" i="18"/>
  <c r="BN59" i="18"/>
  <c r="BJ60" i="18"/>
  <c r="BK60" i="18"/>
  <c r="BL60" i="18"/>
  <c r="F61" i="91" s="1"/>
  <c r="BM60" i="18"/>
  <c r="BN60" i="18"/>
  <c r="BJ61" i="18"/>
  <c r="BK61" i="18"/>
  <c r="BL61" i="18"/>
  <c r="F62" i="91" s="1"/>
  <c r="BM61" i="18"/>
  <c r="BN61" i="18"/>
  <c r="BJ62" i="18"/>
  <c r="BK62" i="18"/>
  <c r="BL62" i="18"/>
  <c r="F63" i="91" s="1"/>
  <c r="BM62" i="18"/>
  <c r="BN62" i="18"/>
  <c r="BJ63" i="18"/>
  <c r="BK63" i="18"/>
  <c r="BL63" i="18"/>
  <c r="F64" i="91" s="1"/>
  <c r="BM63" i="18"/>
  <c r="BN63" i="18"/>
  <c r="BJ64" i="18"/>
  <c r="BK64" i="18"/>
  <c r="BL64" i="18"/>
  <c r="F65" i="91" s="1"/>
  <c r="BM64" i="18"/>
  <c r="BN64" i="18"/>
  <c r="BJ65" i="18"/>
  <c r="BK65" i="18"/>
  <c r="BL65" i="18"/>
  <c r="F66" i="91" s="1"/>
  <c r="BM65" i="18"/>
  <c r="BN65" i="18"/>
  <c r="BJ66" i="18"/>
  <c r="BK66" i="18"/>
  <c r="BL66" i="18"/>
  <c r="F67" i="91" s="1"/>
  <c r="BM66" i="18"/>
  <c r="BN66" i="18"/>
  <c r="BJ67" i="18"/>
  <c r="BK67" i="18"/>
  <c r="BL67" i="18"/>
  <c r="F68" i="91" s="1"/>
  <c r="BM67" i="18"/>
  <c r="BN67" i="18"/>
  <c r="BJ68" i="18"/>
  <c r="BK68" i="18"/>
  <c r="BL68" i="18"/>
  <c r="F69" i="91" s="1"/>
  <c r="BM68" i="18"/>
  <c r="BN68" i="18"/>
  <c r="BJ69" i="18"/>
  <c r="BK69" i="18"/>
  <c r="BL69" i="18"/>
  <c r="F70" i="91" s="1"/>
  <c r="BM69" i="18"/>
  <c r="BN69" i="18"/>
  <c r="BJ70" i="18"/>
  <c r="BK70" i="18"/>
  <c r="BL70" i="18"/>
  <c r="F71" i="91" s="1"/>
  <c r="BM70" i="18"/>
  <c r="BN70" i="18"/>
  <c r="BJ71" i="18"/>
  <c r="BK71" i="18"/>
  <c r="BL71" i="18"/>
  <c r="F72" i="91" s="1"/>
  <c r="BM71" i="18"/>
  <c r="BN71" i="18"/>
  <c r="BJ72" i="18"/>
  <c r="BK72" i="18"/>
  <c r="BL72" i="18"/>
  <c r="F73" i="91" s="1"/>
  <c r="BM72" i="18"/>
  <c r="BN72" i="18"/>
  <c r="BJ73" i="18"/>
  <c r="BK73" i="18"/>
  <c r="BL73" i="18"/>
  <c r="F74" i="91" s="1"/>
  <c r="BM73" i="18"/>
  <c r="BN73" i="18"/>
  <c r="BJ74" i="18"/>
  <c r="BK74" i="18"/>
  <c r="BL74" i="18"/>
  <c r="F75" i="91" s="1"/>
  <c r="BM74" i="18"/>
  <c r="BN74" i="18"/>
  <c r="BJ75" i="18"/>
  <c r="BK75" i="18"/>
  <c r="BL75" i="18"/>
  <c r="F76" i="91" s="1"/>
  <c r="BM75" i="18"/>
  <c r="BN75" i="18"/>
  <c r="BJ76" i="18"/>
  <c r="BK76" i="18"/>
  <c r="BL76" i="18"/>
  <c r="F77" i="91" s="1"/>
  <c r="BM76" i="18"/>
  <c r="BN76" i="18"/>
  <c r="BJ77" i="18"/>
  <c r="BK77" i="18"/>
  <c r="BL77" i="18"/>
  <c r="F78" i="91" s="1"/>
  <c r="BM77" i="18"/>
  <c r="BN77" i="18"/>
  <c r="BJ78" i="18"/>
  <c r="BK78" i="18"/>
  <c r="BL78" i="18"/>
  <c r="F79" i="91" s="1"/>
  <c r="BM78" i="18"/>
  <c r="BN78" i="18"/>
  <c r="BJ79" i="18"/>
  <c r="BK79" i="18"/>
  <c r="BL79" i="18"/>
  <c r="F80" i="91" s="1"/>
  <c r="BM79" i="18"/>
  <c r="BN79" i="18"/>
  <c r="BJ80" i="18"/>
  <c r="BK80" i="18"/>
  <c r="BL80" i="18"/>
  <c r="F81" i="91" s="1"/>
  <c r="BM80" i="18"/>
  <c r="BN80" i="18"/>
  <c r="BJ81" i="18"/>
  <c r="BK81" i="18"/>
  <c r="BL81" i="18"/>
  <c r="F82" i="91" s="1"/>
  <c r="BM81" i="18"/>
  <c r="BN81" i="18"/>
  <c r="BJ82" i="18"/>
  <c r="BK82" i="18"/>
  <c r="BL82" i="18"/>
  <c r="F83" i="91" s="1"/>
  <c r="BM82" i="18"/>
  <c r="BN82" i="18"/>
  <c r="BJ83" i="18"/>
  <c r="BK83" i="18"/>
  <c r="BL83" i="18"/>
  <c r="F84" i="91" s="1"/>
  <c r="BM83" i="18"/>
  <c r="BN83" i="18"/>
  <c r="BK4" i="18"/>
  <c r="BL4" i="18"/>
  <c r="F5" i="91" s="1"/>
  <c r="BM4" i="18"/>
  <c r="BN4" i="18"/>
  <c r="BJ4" i="18"/>
  <c r="L291" i="95" l="1"/>
  <c r="E291" i="95"/>
  <c r="J291" i="95" s="1"/>
  <c r="D291" i="95"/>
  <c r="C291" i="95"/>
  <c r="L290" i="95"/>
  <c r="E290" i="95"/>
  <c r="I290" i="95" s="1"/>
  <c r="D290" i="95"/>
  <c r="C290" i="95"/>
  <c r="L289" i="95"/>
  <c r="E289" i="95"/>
  <c r="J289" i="95" s="1"/>
  <c r="D289" i="95"/>
  <c r="C289" i="95"/>
  <c r="L288" i="95"/>
  <c r="E288" i="95"/>
  <c r="I288" i="95" s="1"/>
  <c r="D288" i="95"/>
  <c r="C288" i="95"/>
  <c r="L287" i="95"/>
  <c r="E287" i="95"/>
  <c r="J287" i="95" s="1"/>
  <c r="D287" i="95"/>
  <c r="C287" i="95"/>
  <c r="L286" i="95"/>
  <c r="E286" i="95"/>
  <c r="J286" i="95" s="1"/>
  <c r="D286" i="95"/>
  <c r="C286" i="95"/>
  <c r="L285" i="95"/>
  <c r="E285" i="95"/>
  <c r="K285" i="95" s="1"/>
  <c r="D285" i="95"/>
  <c r="C285" i="95"/>
  <c r="L284" i="95"/>
  <c r="E284" i="95"/>
  <c r="D284" i="95"/>
  <c r="C284" i="95"/>
  <c r="L283" i="95"/>
  <c r="E283" i="95"/>
  <c r="J283" i="95" s="1"/>
  <c r="D283" i="95"/>
  <c r="C283" i="95"/>
  <c r="L282" i="95"/>
  <c r="E282" i="95"/>
  <c r="J282" i="95" s="1"/>
  <c r="D282" i="95"/>
  <c r="C282" i="95"/>
  <c r="L281" i="95"/>
  <c r="E281" i="95"/>
  <c r="J281" i="95" s="1"/>
  <c r="D281" i="95"/>
  <c r="C281" i="95"/>
  <c r="L280" i="95"/>
  <c r="E280" i="95"/>
  <c r="I280" i="95" s="1"/>
  <c r="D280" i="95"/>
  <c r="C280" i="95"/>
  <c r="L279" i="95"/>
  <c r="E279" i="95"/>
  <c r="J279" i="95" s="1"/>
  <c r="D279" i="95"/>
  <c r="C279" i="95"/>
  <c r="L278" i="95"/>
  <c r="E278" i="95"/>
  <c r="I278" i="95" s="1"/>
  <c r="D278" i="95"/>
  <c r="C278" i="95"/>
  <c r="L277" i="95"/>
  <c r="E277" i="95"/>
  <c r="K277" i="95" s="1"/>
  <c r="D277" i="95"/>
  <c r="C277" i="95"/>
  <c r="L276" i="95"/>
  <c r="E276" i="95"/>
  <c r="D276" i="95"/>
  <c r="C276" i="95"/>
  <c r="L275" i="95"/>
  <c r="E275" i="95"/>
  <c r="J275" i="95" s="1"/>
  <c r="D275" i="95"/>
  <c r="C275" i="95"/>
  <c r="L274" i="95"/>
  <c r="E274" i="95"/>
  <c r="K274" i="95" s="1"/>
  <c r="D274" i="95"/>
  <c r="C274" i="95"/>
  <c r="L273" i="95"/>
  <c r="E273" i="95"/>
  <c r="K273" i="95" s="1"/>
  <c r="D273" i="95"/>
  <c r="C273" i="95"/>
  <c r="L272" i="95"/>
  <c r="E272" i="95"/>
  <c r="I272" i="95" s="1"/>
  <c r="D272" i="95"/>
  <c r="C272" i="95"/>
  <c r="L271" i="95"/>
  <c r="E271" i="95"/>
  <c r="J271" i="95" s="1"/>
  <c r="D271" i="95"/>
  <c r="C271" i="95"/>
  <c r="L270" i="95"/>
  <c r="E270" i="95"/>
  <c r="I270" i="95" s="1"/>
  <c r="D270" i="95"/>
  <c r="C270" i="95"/>
  <c r="L269" i="95"/>
  <c r="E269" i="95"/>
  <c r="K269" i="95" s="1"/>
  <c r="D269" i="95"/>
  <c r="C269" i="95"/>
  <c r="L268" i="95"/>
  <c r="E268" i="95"/>
  <c r="D268" i="95"/>
  <c r="C268" i="95"/>
  <c r="L267" i="95"/>
  <c r="E267" i="95"/>
  <c r="J267" i="95" s="1"/>
  <c r="D267" i="95"/>
  <c r="C267" i="95"/>
  <c r="L266" i="95"/>
  <c r="E266" i="95"/>
  <c r="K266" i="95" s="1"/>
  <c r="D266" i="95"/>
  <c r="C266" i="95"/>
  <c r="L265" i="95"/>
  <c r="E265" i="95"/>
  <c r="J265" i="95" s="1"/>
  <c r="D265" i="95"/>
  <c r="C265" i="95"/>
  <c r="L264" i="95"/>
  <c r="E264" i="95"/>
  <c r="I264" i="95" s="1"/>
  <c r="D264" i="95"/>
  <c r="C264" i="95"/>
  <c r="L263" i="95"/>
  <c r="E263" i="95"/>
  <c r="J263" i="95" s="1"/>
  <c r="D263" i="95"/>
  <c r="C263" i="95"/>
  <c r="L262" i="95"/>
  <c r="E262" i="95"/>
  <c r="I262" i="95" s="1"/>
  <c r="D262" i="95"/>
  <c r="C262" i="95"/>
  <c r="L261" i="95"/>
  <c r="E261" i="95"/>
  <c r="K261" i="95" s="1"/>
  <c r="D261" i="95"/>
  <c r="C261" i="95"/>
  <c r="L260" i="95"/>
  <c r="E260" i="95"/>
  <c r="D260" i="95"/>
  <c r="C260" i="95"/>
  <c r="L259" i="95"/>
  <c r="E259" i="95"/>
  <c r="J259" i="95" s="1"/>
  <c r="D259" i="95"/>
  <c r="C259" i="95"/>
  <c r="L258" i="95"/>
  <c r="E258" i="95"/>
  <c r="K258" i="95" s="1"/>
  <c r="D258" i="95"/>
  <c r="C258" i="95"/>
  <c r="L257" i="95"/>
  <c r="E257" i="95"/>
  <c r="K257" i="95" s="1"/>
  <c r="D257" i="95"/>
  <c r="C257" i="95"/>
  <c r="L256" i="95"/>
  <c r="E256" i="95"/>
  <c r="I256" i="95" s="1"/>
  <c r="D256" i="95"/>
  <c r="C256" i="95"/>
  <c r="L255" i="95"/>
  <c r="E255" i="95"/>
  <c r="J255" i="95" s="1"/>
  <c r="D255" i="95"/>
  <c r="C255" i="95"/>
  <c r="L254" i="95"/>
  <c r="E254" i="95"/>
  <c r="I254" i="95" s="1"/>
  <c r="D254" i="95"/>
  <c r="C254" i="95"/>
  <c r="L253" i="95"/>
  <c r="E253" i="95"/>
  <c r="K253" i="95" s="1"/>
  <c r="D253" i="95"/>
  <c r="C253" i="95"/>
  <c r="L252" i="95"/>
  <c r="E252" i="95"/>
  <c r="D252" i="95"/>
  <c r="C252" i="95"/>
  <c r="L251" i="95"/>
  <c r="E251" i="95"/>
  <c r="J251" i="95" s="1"/>
  <c r="D251" i="95"/>
  <c r="C251" i="95"/>
  <c r="L250" i="95"/>
  <c r="E250" i="95"/>
  <c r="K250" i="95" s="1"/>
  <c r="D250" i="95"/>
  <c r="C250" i="95"/>
  <c r="L249" i="95"/>
  <c r="E249" i="95"/>
  <c r="J249" i="95" s="1"/>
  <c r="D249" i="95"/>
  <c r="C249" i="95"/>
  <c r="L248" i="95"/>
  <c r="E248" i="95"/>
  <c r="I248" i="95" s="1"/>
  <c r="D248" i="95"/>
  <c r="C248" i="95"/>
  <c r="L247" i="95"/>
  <c r="E247" i="95"/>
  <c r="J247" i="95" s="1"/>
  <c r="D247" i="95"/>
  <c r="C247" i="95"/>
  <c r="L246" i="95"/>
  <c r="E246" i="95"/>
  <c r="I246" i="95" s="1"/>
  <c r="D246" i="95"/>
  <c r="C246" i="95"/>
  <c r="L245" i="95"/>
  <c r="E245" i="95"/>
  <c r="K245" i="95" s="1"/>
  <c r="D245" i="95"/>
  <c r="C245" i="95"/>
  <c r="L244" i="95"/>
  <c r="E244" i="95"/>
  <c r="D244" i="95"/>
  <c r="C244" i="95"/>
  <c r="L243" i="95"/>
  <c r="E243" i="95"/>
  <c r="J243" i="95" s="1"/>
  <c r="D243" i="95"/>
  <c r="C243" i="95"/>
  <c r="L242" i="95"/>
  <c r="E242" i="95"/>
  <c r="K242" i="95" s="1"/>
  <c r="D242" i="95"/>
  <c r="C242" i="95"/>
  <c r="L241" i="95"/>
  <c r="E241" i="95"/>
  <c r="K241" i="95" s="1"/>
  <c r="D241" i="95"/>
  <c r="C241" i="95"/>
  <c r="L240" i="95"/>
  <c r="E240" i="95"/>
  <c r="I240" i="95" s="1"/>
  <c r="D240" i="95"/>
  <c r="C240" i="95"/>
  <c r="L239" i="95"/>
  <c r="E239" i="95"/>
  <c r="J239" i="95" s="1"/>
  <c r="D239" i="95"/>
  <c r="C239" i="95"/>
  <c r="L238" i="95"/>
  <c r="E238" i="95"/>
  <c r="I238" i="95" s="1"/>
  <c r="D238" i="95"/>
  <c r="C238" i="95"/>
  <c r="L237" i="95"/>
  <c r="E237" i="95"/>
  <c r="K237" i="95" s="1"/>
  <c r="D237" i="95"/>
  <c r="C237" i="95"/>
  <c r="L236" i="95"/>
  <c r="E236" i="95"/>
  <c r="D236" i="95"/>
  <c r="C236" i="95"/>
  <c r="L235" i="95"/>
  <c r="E235" i="95"/>
  <c r="J235" i="95" s="1"/>
  <c r="D235" i="95"/>
  <c r="C235" i="95"/>
  <c r="L234" i="95"/>
  <c r="E234" i="95"/>
  <c r="J234" i="95" s="1"/>
  <c r="D234" i="95"/>
  <c r="C234" i="95"/>
  <c r="L233" i="95"/>
  <c r="E233" i="95"/>
  <c r="J233" i="95" s="1"/>
  <c r="D233" i="95"/>
  <c r="C233" i="95"/>
  <c r="L232" i="95"/>
  <c r="E232" i="95"/>
  <c r="I232" i="95" s="1"/>
  <c r="D232" i="95"/>
  <c r="C232" i="95"/>
  <c r="L231" i="95"/>
  <c r="E231" i="95"/>
  <c r="J231" i="95" s="1"/>
  <c r="D231" i="95"/>
  <c r="C231" i="95"/>
  <c r="L230" i="95"/>
  <c r="E230" i="95"/>
  <c r="I230" i="95" s="1"/>
  <c r="D230" i="95"/>
  <c r="C230" i="95"/>
  <c r="L229" i="95"/>
  <c r="E229" i="95"/>
  <c r="K229" i="95" s="1"/>
  <c r="D229" i="95"/>
  <c r="C229" i="95"/>
  <c r="L228" i="95"/>
  <c r="E228" i="95"/>
  <c r="D228" i="95"/>
  <c r="C228" i="95"/>
  <c r="L227" i="95"/>
  <c r="E227" i="95"/>
  <c r="J227" i="95" s="1"/>
  <c r="D227" i="95"/>
  <c r="C227" i="95"/>
  <c r="L226" i="95"/>
  <c r="E226" i="95"/>
  <c r="K226" i="95" s="1"/>
  <c r="D226" i="95"/>
  <c r="C226" i="95"/>
  <c r="L225" i="95"/>
  <c r="E225" i="95"/>
  <c r="K225" i="95" s="1"/>
  <c r="D225" i="95"/>
  <c r="C225" i="95"/>
  <c r="L224" i="95"/>
  <c r="E224" i="95"/>
  <c r="I224" i="95" s="1"/>
  <c r="D224" i="95"/>
  <c r="C224" i="95"/>
  <c r="L223" i="95"/>
  <c r="E223" i="95"/>
  <c r="J223" i="95" s="1"/>
  <c r="D223" i="95"/>
  <c r="C223" i="95"/>
  <c r="L222" i="95"/>
  <c r="E222" i="95"/>
  <c r="I222" i="95" s="1"/>
  <c r="D222" i="95"/>
  <c r="C222" i="95"/>
  <c r="L221" i="95"/>
  <c r="E221" i="95"/>
  <c r="K221" i="95" s="1"/>
  <c r="D221" i="95"/>
  <c r="C221" i="95"/>
  <c r="L220" i="95"/>
  <c r="E220" i="95"/>
  <c r="D220" i="95"/>
  <c r="C220" i="95"/>
  <c r="L219" i="95"/>
  <c r="E219" i="95"/>
  <c r="J219" i="95" s="1"/>
  <c r="D219" i="95"/>
  <c r="C219" i="95"/>
  <c r="L218" i="95"/>
  <c r="E218" i="95"/>
  <c r="J218" i="95" s="1"/>
  <c r="D218" i="95"/>
  <c r="C218" i="95"/>
  <c r="L217" i="95"/>
  <c r="E217" i="95"/>
  <c r="J217" i="95" s="1"/>
  <c r="D217" i="95"/>
  <c r="C217" i="95"/>
  <c r="L216" i="95"/>
  <c r="E216" i="95"/>
  <c r="I216" i="95" s="1"/>
  <c r="D216" i="95"/>
  <c r="C216" i="95"/>
  <c r="L215" i="95"/>
  <c r="E215" i="95"/>
  <c r="J215" i="95" s="1"/>
  <c r="D215" i="95"/>
  <c r="C215" i="95"/>
  <c r="L214" i="95"/>
  <c r="E214" i="95"/>
  <c r="I214" i="95" s="1"/>
  <c r="D214" i="95"/>
  <c r="C214" i="95"/>
  <c r="L213" i="95"/>
  <c r="E213" i="95"/>
  <c r="K213" i="95" s="1"/>
  <c r="D213" i="95"/>
  <c r="C213" i="95"/>
  <c r="L212" i="95"/>
  <c r="E212" i="95"/>
  <c r="D212" i="95"/>
  <c r="C212" i="95"/>
  <c r="L211" i="95"/>
  <c r="E211" i="95"/>
  <c r="J211" i="95" s="1"/>
  <c r="D211" i="95"/>
  <c r="C211" i="95"/>
  <c r="L210" i="95"/>
  <c r="E210" i="95"/>
  <c r="K210" i="95" s="1"/>
  <c r="D210" i="95"/>
  <c r="C210" i="95"/>
  <c r="L209" i="95"/>
  <c r="E209" i="95"/>
  <c r="K209" i="95" s="1"/>
  <c r="D209" i="95"/>
  <c r="C209" i="95"/>
  <c r="L208" i="95"/>
  <c r="E208" i="95"/>
  <c r="I208" i="95" s="1"/>
  <c r="D208" i="95"/>
  <c r="C208" i="95"/>
  <c r="L207" i="95"/>
  <c r="E207" i="95"/>
  <c r="J207" i="95" s="1"/>
  <c r="D207" i="95"/>
  <c r="C207" i="95"/>
  <c r="L206" i="95"/>
  <c r="E206" i="95"/>
  <c r="I206" i="95" s="1"/>
  <c r="D206" i="95"/>
  <c r="C206" i="95"/>
  <c r="L205" i="95"/>
  <c r="E205" i="95"/>
  <c r="K205" i="95" s="1"/>
  <c r="D205" i="95"/>
  <c r="C205" i="95"/>
  <c r="L204" i="95"/>
  <c r="E204" i="95"/>
  <c r="D204" i="95"/>
  <c r="C204" i="95"/>
  <c r="L203" i="95"/>
  <c r="E203" i="95"/>
  <c r="J203" i="95" s="1"/>
  <c r="D203" i="95"/>
  <c r="C203" i="95"/>
  <c r="L202" i="95"/>
  <c r="E202" i="95"/>
  <c r="J202" i="95" s="1"/>
  <c r="D202" i="95"/>
  <c r="C202" i="95"/>
  <c r="L201" i="95"/>
  <c r="E201" i="95"/>
  <c r="J201" i="95" s="1"/>
  <c r="D201" i="95"/>
  <c r="C201" i="95"/>
  <c r="L200" i="95"/>
  <c r="E200" i="95"/>
  <c r="I200" i="95" s="1"/>
  <c r="D200" i="95"/>
  <c r="C200" i="95"/>
  <c r="L199" i="95"/>
  <c r="E199" i="95"/>
  <c r="J199" i="95" s="1"/>
  <c r="D199" i="95"/>
  <c r="C199" i="95"/>
  <c r="L198" i="95"/>
  <c r="E198" i="95"/>
  <c r="I198" i="95" s="1"/>
  <c r="D198" i="95"/>
  <c r="C198" i="95"/>
  <c r="L197" i="95"/>
  <c r="E197" i="95"/>
  <c r="K197" i="95" s="1"/>
  <c r="D197" i="95"/>
  <c r="C197" i="95"/>
  <c r="L196" i="95"/>
  <c r="E196" i="95"/>
  <c r="D196" i="95"/>
  <c r="C196" i="95"/>
  <c r="L195" i="95"/>
  <c r="E195" i="95"/>
  <c r="J195" i="95" s="1"/>
  <c r="D195" i="95"/>
  <c r="C195" i="95"/>
  <c r="L194" i="95"/>
  <c r="E194" i="95"/>
  <c r="K194" i="95" s="1"/>
  <c r="D194" i="95"/>
  <c r="C194" i="95"/>
  <c r="L193" i="95"/>
  <c r="E193" i="95"/>
  <c r="K193" i="95" s="1"/>
  <c r="D193" i="95"/>
  <c r="C193" i="95"/>
  <c r="L192" i="95"/>
  <c r="E192" i="95"/>
  <c r="I192" i="95" s="1"/>
  <c r="D192" i="95"/>
  <c r="C192" i="95"/>
  <c r="L191" i="95"/>
  <c r="E191" i="95"/>
  <c r="J191" i="95" s="1"/>
  <c r="D191" i="95"/>
  <c r="C191" i="95"/>
  <c r="L190" i="95"/>
  <c r="E190" i="95"/>
  <c r="I190" i="95" s="1"/>
  <c r="D190" i="95"/>
  <c r="C190" i="95"/>
  <c r="L189" i="95"/>
  <c r="E189" i="95"/>
  <c r="K189" i="95" s="1"/>
  <c r="D189" i="95"/>
  <c r="C189" i="95"/>
  <c r="L188" i="95"/>
  <c r="E188" i="95"/>
  <c r="D188" i="95"/>
  <c r="C188" i="95"/>
  <c r="L187" i="95"/>
  <c r="E187" i="95"/>
  <c r="J187" i="95" s="1"/>
  <c r="D187" i="95"/>
  <c r="C187" i="95"/>
  <c r="L186" i="95"/>
  <c r="E186" i="95"/>
  <c r="J186" i="95" s="1"/>
  <c r="D186" i="95"/>
  <c r="C186" i="95"/>
  <c r="L185" i="95"/>
  <c r="E185" i="95"/>
  <c r="J185" i="95" s="1"/>
  <c r="D185" i="95"/>
  <c r="C185" i="95"/>
  <c r="L184" i="95"/>
  <c r="E184" i="95"/>
  <c r="I184" i="95" s="1"/>
  <c r="D184" i="95"/>
  <c r="C184" i="95"/>
  <c r="L183" i="95"/>
  <c r="E183" i="95"/>
  <c r="J183" i="95" s="1"/>
  <c r="D183" i="95"/>
  <c r="C183" i="95"/>
  <c r="L182" i="95"/>
  <c r="E182" i="95"/>
  <c r="I182" i="95" s="1"/>
  <c r="D182" i="95"/>
  <c r="C182" i="95"/>
  <c r="L181" i="95"/>
  <c r="E181" i="95"/>
  <c r="K181" i="95" s="1"/>
  <c r="D181" i="95"/>
  <c r="C181" i="95"/>
  <c r="L180" i="95"/>
  <c r="E180" i="95"/>
  <c r="D180" i="95"/>
  <c r="C180" i="95"/>
  <c r="L179" i="95"/>
  <c r="E179" i="95"/>
  <c r="J179" i="95" s="1"/>
  <c r="D179" i="95"/>
  <c r="C179" i="95"/>
  <c r="L178" i="95"/>
  <c r="E178" i="95"/>
  <c r="K178" i="95" s="1"/>
  <c r="D178" i="95"/>
  <c r="C178" i="95"/>
  <c r="L177" i="95"/>
  <c r="E177" i="95"/>
  <c r="K177" i="95" s="1"/>
  <c r="D177" i="95"/>
  <c r="C177" i="95"/>
  <c r="L176" i="95"/>
  <c r="E176" i="95"/>
  <c r="I176" i="95" s="1"/>
  <c r="D176" i="95"/>
  <c r="C176" i="95"/>
  <c r="L175" i="95"/>
  <c r="E175" i="95"/>
  <c r="J175" i="95" s="1"/>
  <c r="D175" i="95"/>
  <c r="C175" i="95"/>
  <c r="L174" i="95"/>
  <c r="E174" i="95"/>
  <c r="I174" i="95" s="1"/>
  <c r="D174" i="95"/>
  <c r="C174" i="95"/>
  <c r="L173" i="95"/>
  <c r="E173" i="95"/>
  <c r="K173" i="95" s="1"/>
  <c r="D173" i="95"/>
  <c r="C173" i="95"/>
  <c r="L172" i="95"/>
  <c r="E172" i="95"/>
  <c r="D172" i="95"/>
  <c r="C172" i="95"/>
  <c r="L171" i="95"/>
  <c r="E171" i="95"/>
  <c r="J171" i="95" s="1"/>
  <c r="D171" i="95"/>
  <c r="C171" i="95"/>
  <c r="L170" i="95"/>
  <c r="E170" i="95"/>
  <c r="J170" i="95" s="1"/>
  <c r="D170" i="95"/>
  <c r="C170" i="95"/>
  <c r="L169" i="95"/>
  <c r="E169" i="95"/>
  <c r="J169" i="95" s="1"/>
  <c r="D169" i="95"/>
  <c r="C169" i="95"/>
  <c r="L168" i="95"/>
  <c r="E168" i="95"/>
  <c r="I168" i="95" s="1"/>
  <c r="D168" i="95"/>
  <c r="C168" i="95"/>
  <c r="L167" i="95"/>
  <c r="E167" i="95"/>
  <c r="J167" i="95" s="1"/>
  <c r="D167" i="95"/>
  <c r="C167" i="95"/>
  <c r="L166" i="95"/>
  <c r="E166" i="95"/>
  <c r="I166" i="95" s="1"/>
  <c r="D166" i="95"/>
  <c r="C166" i="95"/>
  <c r="L165" i="95"/>
  <c r="E165" i="95"/>
  <c r="K165" i="95" s="1"/>
  <c r="D165" i="95"/>
  <c r="C165" i="95"/>
  <c r="L164" i="95"/>
  <c r="E164" i="95"/>
  <c r="D164" i="95"/>
  <c r="C164" i="95"/>
  <c r="L163" i="95"/>
  <c r="E163" i="95"/>
  <c r="J163" i="95" s="1"/>
  <c r="D163" i="95"/>
  <c r="C163" i="95"/>
  <c r="L162" i="95"/>
  <c r="E162" i="95"/>
  <c r="K162" i="95" s="1"/>
  <c r="D162" i="95"/>
  <c r="C162" i="95"/>
  <c r="L161" i="95"/>
  <c r="E161" i="95"/>
  <c r="K161" i="95" s="1"/>
  <c r="D161" i="95"/>
  <c r="C161" i="95"/>
  <c r="L160" i="95"/>
  <c r="E160" i="95"/>
  <c r="I160" i="95" s="1"/>
  <c r="D160" i="95"/>
  <c r="C160" i="95"/>
  <c r="L159" i="95"/>
  <c r="E159" i="95"/>
  <c r="J159" i="95" s="1"/>
  <c r="D159" i="95"/>
  <c r="C159" i="95"/>
  <c r="L158" i="95"/>
  <c r="E158" i="95"/>
  <c r="I158" i="95" s="1"/>
  <c r="D158" i="95"/>
  <c r="C158" i="95"/>
  <c r="L157" i="95"/>
  <c r="E157" i="95"/>
  <c r="K157" i="95" s="1"/>
  <c r="D157" i="95"/>
  <c r="C157" i="95"/>
  <c r="L156" i="95"/>
  <c r="E156" i="95"/>
  <c r="D156" i="95"/>
  <c r="C156" i="95"/>
  <c r="L155" i="95"/>
  <c r="E155" i="95"/>
  <c r="J155" i="95" s="1"/>
  <c r="D155" i="95"/>
  <c r="C155" i="95"/>
  <c r="L154" i="95"/>
  <c r="E154" i="95"/>
  <c r="J154" i="95" s="1"/>
  <c r="D154" i="95"/>
  <c r="C154" i="95"/>
  <c r="L153" i="95"/>
  <c r="E153" i="95"/>
  <c r="J153" i="95" s="1"/>
  <c r="D153" i="95"/>
  <c r="C153" i="95"/>
  <c r="L152" i="95"/>
  <c r="E152" i="95"/>
  <c r="D152" i="95"/>
  <c r="C152" i="95"/>
  <c r="L151" i="95"/>
  <c r="E151" i="95"/>
  <c r="J151" i="95" s="1"/>
  <c r="D151" i="95"/>
  <c r="C151" i="95"/>
  <c r="L150" i="95"/>
  <c r="E150" i="95"/>
  <c r="I150" i="95" s="1"/>
  <c r="D150" i="95"/>
  <c r="C150" i="95"/>
  <c r="L149" i="95"/>
  <c r="E149" i="95"/>
  <c r="K149" i="95" s="1"/>
  <c r="D149" i="95"/>
  <c r="C149" i="95"/>
  <c r="L148" i="95"/>
  <c r="E148" i="95"/>
  <c r="D148" i="95"/>
  <c r="C148" i="95"/>
  <c r="L147" i="95"/>
  <c r="E147" i="95"/>
  <c r="J147" i="95" s="1"/>
  <c r="D147" i="95"/>
  <c r="C147" i="95"/>
  <c r="L146" i="95"/>
  <c r="E146" i="95"/>
  <c r="K146" i="95" s="1"/>
  <c r="D146" i="95"/>
  <c r="C146" i="95"/>
  <c r="L145" i="95"/>
  <c r="E145" i="95"/>
  <c r="K145" i="95" s="1"/>
  <c r="D145" i="95"/>
  <c r="C145" i="95"/>
  <c r="L144" i="95"/>
  <c r="E144" i="95"/>
  <c r="D144" i="95"/>
  <c r="C144" i="95"/>
  <c r="L143" i="95"/>
  <c r="E143" i="95"/>
  <c r="J143" i="95" s="1"/>
  <c r="D143" i="95"/>
  <c r="C143" i="95"/>
  <c r="L142" i="95"/>
  <c r="E142" i="95"/>
  <c r="I142" i="95" s="1"/>
  <c r="D142" i="95"/>
  <c r="C142" i="95"/>
  <c r="L141" i="95"/>
  <c r="E141" i="95"/>
  <c r="K141" i="95" s="1"/>
  <c r="D141" i="95"/>
  <c r="C141" i="95"/>
  <c r="L140" i="95"/>
  <c r="E140" i="95"/>
  <c r="D140" i="95"/>
  <c r="C140" i="95"/>
  <c r="L139" i="95"/>
  <c r="E139" i="95"/>
  <c r="J139" i="95" s="1"/>
  <c r="D139" i="95"/>
  <c r="C139" i="95"/>
  <c r="L138" i="95"/>
  <c r="E138" i="95"/>
  <c r="J138" i="95" s="1"/>
  <c r="D138" i="95"/>
  <c r="C138" i="95"/>
  <c r="L137" i="95"/>
  <c r="E137" i="95"/>
  <c r="J137" i="95" s="1"/>
  <c r="D137" i="95"/>
  <c r="C137" i="95"/>
  <c r="L136" i="95"/>
  <c r="E136" i="95"/>
  <c r="D136" i="95"/>
  <c r="C136" i="95"/>
  <c r="L135" i="95"/>
  <c r="E135" i="95"/>
  <c r="J135" i="95" s="1"/>
  <c r="D135" i="95"/>
  <c r="C135" i="95"/>
  <c r="L134" i="95"/>
  <c r="E134" i="95"/>
  <c r="I134" i="95" s="1"/>
  <c r="D134" i="95"/>
  <c r="C134" i="95"/>
  <c r="L133" i="95"/>
  <c r="E133" i="95"/>
  <c r="K133" i="95" s="1"/>
  <c r="D133" i="95"/>
  <c r="C133" i="95"/>
  <c r="L132" i="95"/>
  <c r="E132" i="95"/>
  <c r="D132" i="95"/>
  <c r="C132" i="95"/>
  <c r="L131" i="95"/>
  <c r="E131" i="95"/>
  <c r="J131" i="95" s="1"/>
  <c r="D131" i="95"/>
  <c r="C131" i="95"/>
  <c r="L130" i="95"/>
  <c r="E130" i="95"/>
  <c r="K130" i="95" s="1"/>
  <c r="D130" i="95"/>
  <c r="C130" i="95"/>
  <c r="L129" i="95"/>
  <c r="E129" i="95"/>
  <c r="K129" i="95" s="1"/>
  <c r="D129" i="95"/>
  <c r="C129" i="95"/>
  <c r="L128" i="95"/>
  <c r="E128" i="95"/>
  <c r="D128" i="95"/>
  <c r="C128" i="95"/>
  <c r="L127" i="95"/>
  <c r="E127" i="95"/>
  <c r="J127" i="95" s="1"/>
  <c r="D127" i="95"/>
  <c r="C127" i="95"/>
  <c r="L126" i="95"/>
  <c r="E126" i="95"/>
  <c r="I126" i="95" s="1"/>
  <c r="D126" i="95"/>
  <c r="C126" i="95"/>
  <c r="L125" i="95"/>
  <c r="E125" i="95"/>
  <c r="K125" i="95" s="1"/>
  <c r="D125" i="95"/>
  <c r="C125" i="95"/>
  <c r="L124" i="95"/>
  <c r="E124" i="95"/>
  <c r="D124" i="95"/>
  <c r="C124" i="95"/>
  <c r="L123" i="95"/>
  <c r="E123" i="95"/>
  <c r="J123" i="95" s="1"/>
  <c r="D123" i="95"/>
  <c r="C123" i="95"/>
  <c r="L122" i="95"/>
  <c r="E122" i="95"/>
  <c r="J122" i="95" s="1"/>
  <c r="D122" i="95"/>
  <c r="C122" i="95"/>
  <c r="L121" i="95"/>
  <c r="E121" i="95"/>
  <c r="J121" i="95" s="1"/>
  <c r="D121" i="95"/>
  <c r="C121" i="95"/>
  <c r="L120" i="95"/>
  <c r="E120" i="95"/>
  <c r="D120" i="95"/>
  <c r="C120" i="95"/>
  <c r="L119" i="95"/>
  <c r="E119" i="95"/>
  <c r="J119" i="95" s="1"/>
  <c r="D119" i="95"/>
  <c r="C119" i="95"/>
  <c r="L118" i="95"/>
  <c r="E118" i="95"/>
  <c r="I118" i="95" s="1"/>
  <c r="D118" i="95"/>
  <c r="C118" i="95"/>
  <c r="L117" i="95"/>
  <c r="E117" i="95"/>
  <c r="K117" i="95" s="1"/>
  <c r="D117" i="95"/>
  <c r="C117" i="95"/>
  <c r="L116" i="95"/>
  <c r="E116" i="95"/>
  <c r="D116" i="95"/>
  <c r="C116" i="95"/>
  <c r="L115" i="95"/>
  <c r="E115" i="95"/>
  <c r="J115" i="95" s="1"/>
  <c r="D115" i="95"/>
  <c r="C115" i="95"/>
  <c r="L114" i="95"/>
  <c r="E114" i="95"/>
  <c r="K114" i="95" s="1"/>
  <c r="D114" i="95"/>
  <c r="C114" i="95"/>
  <c r="L113" i="95"/>
  <c r="E113" i="95"/>
  <c r="K113" i="95" s="1"/>
  <c r="D113" i="95"/>
  <c r="C113" i="95"/>
  <c r="L112" i="95"/>
  <c r="E112" i="95"/>
  <c r="D112" i="95"/>
  <c r="C112" i="95"/>
  <c r="L111" i="95"/>
  <c r="E111" i="95"/>
  <c r="J111" i="95" s="1"/>
  <c r="D111" i="95"/>
  <c r="C111" i="95"/>
  <c r="L110" i="95"/>
  <c r="E110" i="95"/>
  <c r="I110" i="95" s="1"/>
  <c r="D110" i="95"/>
  <c r="C110" i="95"/>
  <c r="L109" i="95"/>
  <c r="E109" i="95"/>
  <c r="K109" i="95" s="1"/>
  <c r="D109" i="95"/>
  <c r="C109" i="95"/>
  <c r="L108" i="95"/>
  <c r="E108" i="95"/>
  <c r="D108" i="95"/>
  <c r="C108" i="95"/>
  <c r="L107" i="95"/>
  <c r="E107" i="95"/>
  <c r="J107" i="95" s="1"/>
  <c r="D107" i="95"/>
  <c r="C107" i="95"/>
  <c r="L106" i="95"/>
  <c r="E106" i="95"/>
  <c r="J106" i="95" s="1"/>
  <c r="D106" i="95"/>
  <c r="C106" i="95"/>
  <c r="L105" i="95"/>
  <c r="E105" i="95"/>
  <c r="J105" i="95" s="1"/>
  <c r="D105" i="95"/>
  <c r="C105" i="95"/>
  <c r="L104" i="95"/>
  <c r="E104" i="95"/>
  <c r="I104" i="95" s="1"/>
  <c r="D104" i="95"/>
  <c r="C104" i="95"/>
  <c r="L103" i="95"/>
  <c r="E103" i="95"/>
  <c r="K103" i="95" s="1"/>
  <c r="D103" i="95"/>
  <c r="C103" i="95"/>
  <c r="L102" i="95"/>
  <c r="E102" i="95"/>
  <c r="I102" i="95" s="1"/>
  <c r="D102" i="95"/>
  <c r="C102" i="95"/>
  <c r="L101" i="95"/>
  <c r="E101" i="95"/>
  <c r="K101" i="95" s="1"/>
  <c r="D101" i="95"/>
  <c r="C101" i="95"/>
  <c r="L100" i="95"/>
  <c r="E100" i="95"/>
  <c r="E16" i="95" s="1"/>
  <c r="D100" i="95"/>
  <c r="C100" i="95"/>
  <c r="L99" i="95"/>
  <c r="E99" i="95"/>
  <c r="K99" i="95" s="1"/>
  <c r="D99" i="95"/>
  <c r="C99" i="95"/>
  <c r="L98" i="95"/>
  <c r="E98" i="95"/>
  <c r="K98" i="95" s="1"/>
  <c r="D98" i="95"/>
  <c r="C98" i="95"/>
  <c r="L97" i="95"/>
  <c r="E97" i="95"/>
  <c r="K97" i="95" s="1"/>
  <c r="D97" i="95"/>
  <c r="C97" i="95"/>
  <c r="L96" i="95"/>
  <c r="E96" i="95"/>
  <c r="I96" i="95" s="1"/>
  <c r="D96" i="95"/>
  <c r="C96" i="95"/>
  <c r="L95" i="95"/>
  <c r="E95" i="95"/>
  <c r="K95" i="95" s="1"/>
  <c r="D95" i="95"/>
  <c r="C95" i="95"/>
  <c r="L94" i="95"/>
  <c r="E94" i="95"/>
  <c r="I94" i="95" s="1"/>
  <c r="D94" i="95"/>
  <c r="C94" i="95"/>
  <c r="L93" i="95"/>
  <c r="E93" i="95"/>
  <c r="K93" i="95" s="1"/>
  <c r="D93" i="95"/>
  <c r="C93" i="95"/>
  <c r="L92" i="95"/>
  <c r="E92" i="95"/>
  <c r="I92" i="95" s="1"/>
  <c r="D92" i="95"/>
  <c r="C92" i="95"/>
  <c r="L91" i="95"/>
  <c r="E91" i="95"/>
  <c r="K91" i="95" s="1"/>
  <c r="D91" i="95"/>
  <c r="C91" i="95"/>
  <c r="L90" i="95"/>
  <c r="E90" i="95"/>
  <c r="J90" i="95" s="1"/>
  <c r="D90" i="95"/>
  <c r="C90" i="95"/>
  <c r="L89" i="95"/>
  <c r="E89" i="95"/>
  <c r="I89" i="95" s="1"/>
  <c r="D89" i="95"/>
  <c r="C89" i="95"/>
  <c r="L88" i="95"/>
  <c r="E88" i="95"/>
  <c r="K88" i="95" s="1"/>
  <c r="D88" i="95"/>
  <c r="C88" i="95"/>
  <c r="L87" i="95"/>
  <c r="E87" i="95"/>
  <c r="J87" i="95" s="1"/>
  <c r="D87" i="95"/>
  <c r="C87" i="95"/>
  <c r="L86" i="95"/>
  <c r="E86" i="95"/>
  <c r="I86" i="95" s="1"/>
  <c r="D86" i="95"/>
  <c r="C86" i="95"/>
  <c r="L85" i="95"/>
  <c r="E85" i="95"/>
  <c r="K85" i="95" s="1"/>
  <c r="D85" i="95"/>
  <c r="C85" i="95"/>
  <c r="L84" i="95"/>
  <c r="E84" i="95"/>
  <c r="I84" i="95" s="1"/>
  <c r="D84" i="95"/>
  <c r="C84" i="95"/>
  <c r="L83" i="95"/>
  <c r="E83" i="95"/>
  <c r="K83" i="95" s="1"/>
  <c r="D83" i="95"/>
  <c r="C83" i="95"/>
  <c r="L82" i="95"/>
  <c r="E82" i="95"/>
  <c r="K82" i="95" s="1"/>
  <c r="D82" i="95"/>
  <c r="C82" i="95"/>
  <c r="L81" i="95"/>
  <c r="E81" i="95"/>
  <c r="K81" i="95" s="1"/>
  <c r="D81" i="95"/>
  <c r="C81" i="95"/>
  <c r="L80" i="95"/>
  <c r="E80" i="95"/>
  <c r="K80" i="95" s="1"/>
  <c r="D80" i="95"/>
  <c r="C80" i="95"/>
  <c r="L79" i="95"/>
  <c r="E79" i="95"/>
  <c r="J79" i="95" s="1"/>
  <c r="D79" i="95"/>
  <c r="C79" i="95"/>
  <c r="L78" i="95"/>
  <c r="E78" i="95"/>
  <c r="I78" i="95" s="1"/>
  <c r="D78" i="95"/>
  <c r="C78" i="95"/>
  <c r="L77" i="95"/>
  <c r="E77" i="95"/>
  <c r="K77" i="95" s="1"/>
  <c r="D77" i="95"/>
  <c r="C77" i="95"/>
  <c r="L76" i="95"/>
  <c r="E76" i="95"/>
  <c r="D76" i="95"/>
  <c r="C76" i="95"/>
  <c r="L75" i="95"/>
  <c r="E75" i="95"/>
  <c r="I75" i="95" s="1"/>
  <c r="O75" i="95" s="1"/>
  <c r="D75" i="95"/>
  <c r="C75" i="95"/>
  <c r="L74" i="95"/>
  <c r="E74" i="95"/>
  <c r="K74" i="95" s="1"/>
  <c r="Q74" i="95" s="1"/>
  <c r="D74" i="95"/>
  <c r="C74" i="95"/>
  <c r="L73" i="95"/>
  <c r="E73" i="95"/>
  <c r="K73" i="95" s="1"/>
  <c r="Q73" i="95" s="1"/>
  <c r="D73" i="95"/>
  <c r="C73" i="95"/>
  <c r="L72" i="95"/>
  <c r="E72" i="95"/>
  <c r="J72" i="95" s="1"/>
  <c r="D72" i="95"/>
  <c r="C72" i="95"/>
  <c r="L71" i="95"/>
  <c r="E71" i="95"/>
  <c r="J71" i="95" s="1"/>
  <c r="D71" i="95"/>
  <c r="C71" i="95"/>
  <c r="L70" i="95"/>
  <c r="E70" i="95"/>
  <c r="J70" i="95" s="1"/>
  <c r="D70" i="95"/>
  <c r="C70" i="95"/>
  <c r="L69" i="95"/>
  <c r="E69" i="95"/>
  <c r="K69" i="95" s="1"/>
  <c r="D69" i="95"/>
  <c r="C69" i="95"/>
  <c r="L68" i="95"/>
  <c r="E68" i="95"/>
  <c r="J68" i="95" s="1"/>
  <c r="D68" i="95"/>
  <c r="C68" i="95"/>
  <c r="L67" i="95"/>
  <c r="E67" i="95"/>
  <c r="I67" i="95" s="1"/>
  <c r="D67" i="95"/>
  <c r="C67" i="95"/>
  <c r="L66" i="95"/>
  <c r="E66" i="95"/>
  <c r="J66" i="95" s="1"/>
  <c r="D66" i="95"/>
  <c r="C66" i="95"/>
  <c r="L65" i="95"/>
  <c r="E65" i="95"/>
  <c r="K65" i="95" s="1"/>
  <c r="D65" i="95"/>
  <c r="C65" i="95"/>
  <c r="L64" i="95"/>
  <c r="E64" i="95"/>
  <c r="K64" i="95" s="1"/>
  <c r="Q64" i="95" s="1"/>
  <c r="D64" i="95"/>
  <c r="C64" i="95"/>
  <c r="L63" i="95"/>
  <c r="E63" i="95"/>
  <c r="K63" i="95" s="1"/>
  <c r="Q63" i="95" s="1"/>
  <c r="D63" i="95"/>
  <c r="C63" i="95"/>
  <c r="L62" i="95"/>
  <c r="E62" i="95"/>
  <c r="J62" i="95" s="1"/>
  <c r="P62" i="95" s="1"/>
  <c r="D62" i="95"/>
  <c r="C62" i="95"/>
  <c r="L61" i="95"/>
  <c r="E61" i="95"/>
  <c r="J61" i="95" s="1"/>
  <c r="P61" i="95" s="1"/>
  <c r="D61" i="95"/>
  <c r="C61" i="95"/>
  <c r="K60" i="95"/>
  <c r="J60" i="95"/>
  <c r="I60" i="95"/>
  <c r="K59" i="95"/>
  <c r="J59" i="95"/>
  <c r="I59" i="95"/>
  <c r="K58" i="95"/>
  <c r="J58" i="95"/>
  <c r="I58" i="95"/>
  <c r="K57" i="95"/>
  <c r="J57" i="95"/>
  <c r="I57" i="95"/>
  <c r="E56" i="95"/>
  <c r="K56" i="95" s="1"/>
  <c r="E55" i="95"/>
  <c r="J55" i="95" s="1"/>
  <c r="E54" i="95"/>
  <c r="K54" i="95" s="1"/>
  <c r="K53" i="95"/>
  <c r="J53" i="95"/>
  <c r="I53" i="95"/>
  <c r="E52" i="95"/>
  <c r="J52" i="95" s="1"/>
  <c r="E51" i="95"/>
  <c r="J51" i="95" s="1"/>
  <c r="E50" i="95"/>
  <c r="J50" i="95" s="1"/>
  <c r="K49" i="95"/>
  <c r="J49" i="95"/>
  <c r="I49" i="95"/>
  <c r="K47" i="95"/>
  <c r="J47" i="95"/>
  <c r="I47" i="95"/>
  <c r="E47" i="95"/>
  <c r="E48" i="95" s="1"/>
  <c r="K46" i="95"/>
  <c r="J46" i="95"/>
  <c r="I46" i="95"/>
  <c r="E42" i="95"/>
  <c r="E45" i="95" s="1"/>
  <c r="E41" i="95"/>
  <c r="K41" i="95" s="1"/>
  <c r="E40" i="95"/>
  <c r="E43" i="95" s="1"/>
  <c r="E39" i="95"/>
  <c r="K39" i="95" s="1"/>
  <c r="K38" i="95"/>
  <c r="J38" i="95"/>
  <c r="I38" i="95"/>
  <c r="E35" i="95"/>
  <c r="E37" i="95" s="1"/>
  <c r="E34" i="95"/>
  <c r="E36" i="95" s="1"/>
  <c r="E33" i="95"/>
  <c r="J33" i="95" s="1"/>
  <c r="E32" i="95"/>
  <c r="K32" i="95" s="1"/>
  <c r="E31" i="95"/>
  <c r="J31" i="95" s="1"/>
  <c r="E30" i="95"/>
  <c r="K30" i="95" s="1"/>
  <c r="E29" i="95"/>
  <c r="J29" i="95" s="1"/>
  <c r="E28" i="95"/>
  <c r="K28" i="95" s="1"/>
  <c r="K27" i="95"/>
  <c r="J27" i="95"/>
  <c r="I27" i="95"/>
  <c r="K26" i="95"/>
  <c r="J26" i="95"/>
  <c r="I26" i="95"/>
  <c r="K25" i="95"/>
  <c r="J25" i="95"/>
  <c r="I25" i="95"/>
  <c r="K24" i="95"/>
  <c r="J24" i="95"/>
  <c r="I24" i="95"/>
  <c r="K23" i="95"/>
  <c r="J23" i="95"/>
  <c r="I23" i="95"/>
  <c r="K22" i="95"/>
  <c r="J22" i="95"/>
  <c r="I22" i="95"/>
  <c r="K21" i="95"/>
  <c r="J21" i="95"/>
  <c r="I21" i="95"/>
  <c r="K20" i="95"/>
  <c r="J20" i="95"/>
  <c r="I20" i="95"/>
  <c r="K19" i="95"/>
  <c r="J19" i="95"/>
  <c r="I19" i="95"/>
  <c r="K18" i="95"/>
  <c r="J18" i="95"/>
  <c r="I18" i="95"/>
  <c r="K17" i="95"/>
  <c r="J17" i="95"/>
  <c r="I17" i="95"/>
  <c r="K15" i="95"/>
  <c r="J15" i="95"/>
  <c r="I15" i="95"/>
  <c r="E14" i="95"/>
  <c r="J14" i="95" s="1"/>
  <c r="K8" i="95"/>
  <c r="J8" i="95"/>
  <c r="I8" i="95"/>
  <c r="E5" i="95"/>
  <c r="J5" i="95" s="1"/>
  <c r="E4" i="95"/>
  <c r="K4" i="95" s="1"/>
  <c r="K48" i="95" l="1"/>
  <c r="I48" i="95"/>
  <c r="J48" i="95"/>
  <c r="I125" i="95"/>
  <c r="J222" i="95"/>
  <c r="K222" i="95"/>
  <c r="K206" i="95"/>
  <c r="J254" i="95"/>
  <c r="K254" i="95"/>
  <c r="K70" i="95"/>
  <c r="J166" i="95"/>
  <c r="E7" i="95"/>
  <c r="J7" i="95" s="1"/>
  <c r="J89" i="95"/>
  <c r="J214" i="95"/>
  <c r="J182" i="95"/>
  <c r="K151" i="95"/>
  <c r="K106" i="95"/>
  <c r="K131" i="95"/>
  <c r="J97" i="95"/>
  <c r="J193" i="95"/>
  <c r="I269" i="95"/>
  <c r="K158" i="95"/>
  <c r="K234" i="95"/>
  <c r="J110" i="95"/>
  <c r="K166" i="95"/>
  <c r="I205" i="95"/>
  <c r="K275" i="95"/>
  <c r="I33" i="95"/>
  <c r="K52" i="95"/>
  <c r="J241" i="95"/>
  <c r="I285" i="95"/>
  <c r="K50" i="95"/>
  <c r="J142" i="95"/>
  <c r="K217" i="95"/>
  <c r="K230" i="95"/>
  <c r="K247" i="95"/>
  <c r="I289" i="95"/>
  <c r="K119" i="95"/>
  <c r="J177" i="95"/>
  <c r="J206" i="95"/>
  <c r="I221" i="95"/>
  <c r="I234" i="95"/>
  <c r="I282" i="95"/>
  <c r="K289" i="95"/>
  <c r="I106" i="95"/>
  <c r="K282" i="95"/>
  <c r="I122" i="95"/>
  <c r="K137" i="95"/>
  <c r="K150" i="95"/>
  <c r="K163" i="95"/>
  <c r="I189" i="95"/>
  <c r="K233" i="95"/>
  <c r="K286" i="95"/>
  <c r="J39" i="95"/>
  <c r="I61" i="95"/>
  <c r="O61" i="95" s="1"/>
  <c r="K78" i="95"/>
  <c r="K89" i="95"/>
  <c r="J113" i="95"/>
  <c r="K147" i="95"/>
  <c r="I154" i="95"/>
  <c r="K182" i="95"/>
  <c r="K195" i="95"/>
  <c r="I250" i="95"/>
  <c r="J257" i="95"/>
  <c r="J285" i="95"/>
  <c r="K61" i="95"/>
  <c r="Q61" i="95" s="1"/>
  <c r="K201" i="95"/>
  <c r="J73" i="95"/>
  <c r="P73" i="95" s="1"/>
  <c r="I218" i="95"/>
  <c r="K281" i="95"/>
  <c r="I29" i="95"/>
  <c r="K105" i="95"/>
  <c r="J81" i="95"/>
  <c r="K90" i="95"/>
  <c r="K135" i="95"/>
  <c r="J150" i="95"/>
  <c r="K170" i="95"/>
  <c r="K183" i="95"/>
  <c r="J209" i="95"/>
  <c r="K218" i="95"/>
  <c r="J238" i="95"/>
  <c r="I253" i="95"/>
  <c r="K262" i="95"/>
  <c r="I286" i="95"/>
  <c r="I14" i="95"/>
  <c r="K179" i="95"/>
  <c r="J225" i="95"/>
  <c r="I237" i="95"/>
  <c r="K249" i="95"/>
  <c r="K263" i="95"/>
  <c r="J270" i="95"/>
  <c r="J290" i="95"/>
  <c r="K86" i="95"/>
  <c r="J118" i="95"/>
  <c r="K126" i="95"/>
  <c r="K138" i="95"/>
  <c r="J145" i="95"/>
  <c r="I157" i="95"/>
  <c r="K169" i="95"/>
  <c r="J174" i="95"/>
  <c r="I186" i="95"/>
  <c r="K198" i="95"/>
  <c r="K215" i="95"/>
  <c r="K227" i="95"/>
  <c r="J246" i="95"/>
  <c r="K265" i="95"/>
  <c r="K270" i="95"/>
  <c r="K279" i="95"/>
  <c r="K287" i="95"/>
  <c r="K290" i="95"/>
  <c r="J126" i="95"/>
  <c r="J198" i="95"/>
  <c r="K118" i="95"/>
  <c r="K174" i="95"/>
  <c r="K186" i="95"/>
  <c r="K246" i="95"/>
  <c r="K167" i="95"/>
  <c r="K33" i="95"/>
  <c r="I74" i="95"/>
  <c r="O74" i="95" s="1"/>
  <c r="I101" i="95"/>
  <c r="K115" i="95"/>
  <c r="J134" i="95"/>
  <c r="K142" i="95"/>
  <c r="K154" i="95"/>
  <c r="J161" i="95"/>
  <c r="I173" i="95"/>
  <c r="K185" i="95"/>
  <c r="J190" i="95"/>
  <c r="I202" i="95"/>
  <c r="K214" i="95"/>
  <c r="K231" i="95"/>
  <c r="K243" i="95"/>
  <c r="K278" i="95"/>
  <c r="J86" i="95"/>
  <c r="I109" i="95"/>
  <c r="K134" i="95"/>
  <c r="K190" i="95"/>
  <c r="K202" i="95"/>
  <c r="K121" i="95"/>
  <c r="I138" i="95"/>
  <c r="K14" i="95"/>
  <c r="K29" i="95"/>
  <c r="K110" i="95"/>
  <c r="K122" i="95"/>
  <c r="J129" i="95"/>
  <c r="I141" i="95"/>
  <c r="K153" i="95"/>
  <c r="J158" i="95"/>
  <c r="I170" i="95"/>
  <c r="K199" i="95"/>
  <c r="K211" i="95"/>
  <c r="J230" i="95"/>
  <c r="K238" i="95"/>
  <c r="K259" i="95"/>
  <c r="I266" i="95"/>
  <c r="J273" i="95"/>
  <c r="K291" i="95"/>
  <c r="K5" i="95"/>
  <c r="I82" i="95"/>
  <c r="I85" i="95"/>
  <c r="I88" i="95"/>
  <c r="I98" i="95"/>
  <c r="J101" i="95"/>
  <c r="K111" i="95"/>
  <c r="I114" i="95"/>
  <c r="I117" i="95"/>
  <c r="K127" i="95"/>
  <c r="I130" i="95"/>
  <c r="I133" i="95"/>
  <c r="K143" i="95"/>
  <c r="I146" i="95"/>
  <c r="I149" i="95"/>
  <c r="K159" i="95"/>
  <c r="I162" i="95"/>
  <c r="I165" i="95"/>
  <c r="K175" i="95"/>
  <c r="I178" i="95"/>
  <c r="I181" i="95"/>
  <c r="K191" i="95"/>
  <c r="I194" i="95"/>
  <c r="I197" i="95"/>
  <c r="K207" i="95"/>
  <c r="I210" i="95"/>
  <c r="I213" i="95"/>
  <c r="K223" i="95"/>
  <c r="I226" i="95"/>
  <c r="I229" i="95"/>
  <c r="K239" i="95"/>
  <c r="I242" i="95"/>
  <c r="I245" i="95"/>
  <c r="K255" i="95"/>
  <c r="I258" i="95"/>
  <c r="I261" i="95"/>
  <c r="K271" i="95"/>
  <c r="I274" i="95"/>
  <c r="I277" i="95"/>
  <c r="E44" i="95"/>
  <c r="K44" i="95" s="1"/>
  <c r="I72" i="95"/>
  <c r="I39" i="95"/>
  <c r="K72" i="95"/>
  <c r="J78" i="95"/>
  <c r="I81" i="95"/>
  <c r="J82" i="95"/>
  <c r="J85" i="95"/>
  <c r="J88" i="95"/>
  <c r="I97" i="95"/>
  <c r="J98" i="95"/>
  <c r="I113" i="95"/>
  <c r="J114" i="95"/>
  <c r="J117" i="95"/>
  <c r="I129" i="95"/>
  <c r="J130" i="95"/>
  <c r="J133" i="95"/>
  <c r="I145" i="95"/>
  <c r="J146" i="95"/>
  <c r="J149" i="95"/>
  <c r="I161" i="95"/>
  <c r="J162" i="95"/>
  <c r="J165" i="95"/>
  <c r="I177" i="95"/>
  <c r="J178" i="95"/>
  <c r="J181" i="95"/>
  <c r="I193" i="95"/>
  <c r="J194" i="95"/>
  <c r="J197" i="95"/>
  <c r="I209" i="95"/>
  <c r="J210" i="95"/>
  <c r="J213" i="95"/>
  <c r="I225" i="95"/>
  <c r="J226" i="95"/>
  <c r="J229" i="95"/>
  <c r="I241" i="95"/>
  <c r="J242" i="95"/>
  <c r="J245" i="95"/>
  <c r="I257" i="95"/>
  <c r="J258" i="95"/>
  <c r="J261" i="95"/>
  <c r="I273" i="95"/>
  <c r="J274" i="95"/>
  <c r="J277" i="95"/>
  <c r="I31" i="95"/>
  <c r="I35" i="95"/>
  <c r="I65" i="95"/>
  <c r="I68" i="95"/>
  <c r="I77" i="95"/>
  <c r="I80" i="95"/>
  <c r="J94" i="95"/>
  <c r="K107" i="95"/>
  <c r="K123" i="95"/>
  <c r="K139" i="95"/>
  <c r="K155" i="95"/>
  <c r="K171" i="95"/>
  <c r="K187" i="95"/>
  <c r="K203" i="95"/>
  <c r="K219" i="95"/>
  <c r="K235" i="95"/>
  <c r="K251" i="95"/>
  <c r="K267" i="95"/>
  <c r="K283" i="95"/>
  <c r="K35" i="95"/>
  <c r="K94" i="95"/>
  <c r="J65" i="95"/>
  <c r="K68" i="95"/>
  <c r="J80" i="95"/>
  <c r="I41" i="95"/>
  <c r="I55" i="95"/>
  <c r="I70" i="95"/>
  <c r="J74" i="95"/>
  <c r="P74" i="95" s="1"/>
  <c r="I90" i="95"/>
  <c r="I93" i="95"/>
  <c r="J102" i="95"/>
  <c r="I105" i="95"/>
  <c r="J109" i="95"/>
  <c r="I121" i="95"/>
  <c r="J125" i="95"/>
  <c r="I137" i="95"/>
  <c r="J141" i="95"/>
  <c r="I153" i="95"/>
  <c r="J157" i="95"/>
  <c r="I169" i="95"/>
  <c r="J173" i="95"/>
  <c r="I185" i="95"/>
  <c r="J189" i="95"/>
  <c r="I201" i="95"/>
  <c r="J205" i="95"/>
  <c r="I217" i="95"/>
  <c r="J221" i="95"/>
  <c r="I233" i="95"/>
  <c r="J237" i="95"/>
  <c r="I249" i="95"/>
  <c r="J250" i="95"/>
  <c r="J253" i="95"/>
  <c r="I265" i="95"/>
  <c r="J266" i="95"/>
  <c r="J269" i="95"/>
  <c r="I281" i="95"/>
  <c r="K31" i="95"/>
  <c r="J77" i="95"/>
  <c r="J41" i="95"/>
  <c r="K55" i="95"/>
  <c r="K62" i="95"/>
  <c r="Q62" i="95" s="1"/>
  <c r="J67" i="95"/>
  <c r="I73" i="95"/>
  <c r="O73" i="95" s="1"/>
  <c r="J93" i="95"/>
  <c r="K102" i="95"/>
  <c r="J262" i="95"/>
  <c r="J278" i="95"/>
  <c r="I37" i="95"/>
  <c r="K37" i="95"/>
  <c r="J37" i="95"/>
  <c r="I16" i="95"/>
  <c r="J16" i="95"/>
  <c r="K16" i="95"/>
  <c r="I43" i="95"/>
  <c r="K43" i="95"/>
  <c r="J43" i="95"/>
  <c r="K36" i="95"/>
  <c r="J36" i="95"/>
  <c r="I36" i="95"/>
  <c r="I45" i="95"/>
  <c r="J45" i="95"/>
  <c r="K45" i="95"/>
  <c r="I4" i="95"/>
  <c r="J35" i="95"/>
  <c r="I51" i="95"/>
  <c r="I66" i="95"/>
  <c r="K67" i="95"/>
  <c r="I71" i="95"/>
  <c r="I100" i="95"/>
  <c r="J103" i="95"/>
  <c r="I103" i="95"/>
  <c r="K76" i="95"/>
  <c r="Q76" i="95" s="1"/>
  <c r="J76" i="95"/>
  <c r="P76" i="95" s="1"/>
  <c r="K132" i="95"/>
  <c r="J132" i="95"/>
  <c r="I132" i="95"/>
  <c r="K148" i="95"/>
  <c r="J148" i="95"/>
  <c r="I148" i="95"/>
  <c r="K196" i="95"/>
  <c r="J196" i="95"/>
  <c r="I196" i="95"/>
  <c r="K260" i="95"/>
  <c r="J260" i="95"/>
  <c r="I260" i="95"/>
  <c r="K276" i="95"/>
  <c r="J276" i="95"/>
  <c r="I276" i="95"/>
  <c r="I42" i="95"/>
  <c r="K51" i="95"/>
  <c r="K66" i="95"/>
  <c r="I128" i="95"/>
  <c r="K128" i="95"/>
  <c r="J128" i="95"/>
  <c r="I30" i="95"/>
  <c r="I34" i="95"/>
  <c r="J40" i="95"/>
  <c r="I56" i="95"/>
  <c r="I63" i="95"/>
  <c r="O63" i="95" s="1"/>
  <c r="J64" i="95"/>
  <c r="P64" i="95" s="1"/>
  <c r="I87" i="95"/>
  <c r="K228" i="95"/>
  <c r="J228" i="95"/>
  <c r="I228" i="95"/>
  <c r="I64" i="95"/>
  <c r="O64" i="95" s="1"/>
  <c r="K71" i="95"/>
  <c r="I76" i="95"/>
  <c r="O76" i="95" s="1"/>
  <c r="I112" i="95"/>
  <c r="K112" i="95"/>
  <c r="J112" i="95"/>
  <c r="I144" i="95"/>
  <c r="K144" i="95"/>
  <c r="J144" i="95"/>
  <c r="I28" i="95"/>
  <c r="I32" i="95"/>
  <c r="J42" i="95"/>
  <c r="I54" i="95"/>
  <c r="I69" i="95"/>
  <c r="I79" i="95"/>
  <c r="I5" i="95"/>
  <c r="J28" i="95"/>
  <c r="J30" i="95"/>
  <c r="J32" i="95"/>
  <c r="J34" i="95"/>
  <c r="K40" i="95"/>
  <c r="K42" i="95"/>
  <c r="I50" i="95"/>
  <c r="I52" i="95"/>
  <c r="J54" i="95"/>
  <c r="J56" i="95"/>
  <c r="I62" i="95"/>
  <c r="O62" i="95" s="1"/>
  <c r="J63" i="95"/>
  <c r="P63" i="95" s="1"/>
  <c r="J69" i="95"/>
  <c r="J75" i="95"/>
  <c r="P75" i="95" s="1"/>
  <c r="K79" i="95"/>
  <c r="J83" i="95"/>
  <c r="I83" i="95"/>
  <c r="K87" i="95"/>
  <c r="J91" i="95"/>
  <c r="I91" i="95"/>
  <c r="K96" i="95"/>
  <c r="J96" i="95"/>
  <c r="J4" i="95"/>
  <c r="K92" i="95"/>
  <c r="J92" i="95"/>
  <c r="K180" i="95"/>
  <c r="J180" i="95"/>
  <c r="I180" i="95"/>
  <c r="K212" i="95"/>
  <c r="J212" i="95"/>
  <c r="I212" i="95"/>
  <c r="I40" i="95"/>
  <c r="K34" i="95"/>
  <c r="K75" i="95"/>
  <c r="Q75" i="95" s="1"/>
  <c r="K104" i="95"/>
  <c r="J104" i="95"/>
  <c r="K108" i="95"/>
  <c r="J108" i="95"/>
  <c r="I108" i="95"/>
  <c r="K124" i="95"/>
  <c r="J124" i="95"/>
  <c r="I124" i="95"/>
  <c r="K140" i="95"/>
  <c r="J140" i="95"/>
  <c r="I140" i="95"/>
  <c r="K156" i="95"/>
  <c r="J156" i="95"/>
  <c r="I156" i="95"/>
  <c r="K172" i="95"/>
  <c r="J172" i="95"/>
  <c r="I172" i="95"/>
  <c r="K188" i="95"/>
  <c r="J188" i="95"/>
  <c r="I188" i="95"/>
  <c r="K204" i="95"/>
  <c r="J204" i="95"/>
  <c r="I204" i="95"/>
  <c r="K220" i="95"/>
  <c r="J220" i="95"/>
  <c r="I220" i="95"/>
  <c r="K236" i="95"/>
  <c r="J236" i="95"/>
  <c r="I236" i="95"/>
  <c r="K252" i="95"/>
  <c r="J252" i="95"/>
  <c r="I252" i="95"/>
  <c r="K268" i="95"/>
  <c r="J268" i="95"/>
  <c r="I268" i="95"/>
  <c r="K284" i="95"/>
  <c r="J284" i="95"/>
  <c r="I284" i="95"/>
  <c r="K100" i="95"/>
  <c r="J100" i="95"/>
  <c r="K84" i="95"/>
  <c r="J84" i="95"/>
  <c r="K116" i="95"/>
  <c r="J116" i="95"/>
  <c r="I116" i="95"/>
  <c r="K164" i="95"/>
  <c r="J164" i="95"/>
  <c r="I164" i="95"/>
  <c r="K244" i="95"/>
  <c r="J244" i="95"/>
  <c r="I244" i="95"/>
  <c r="J95" i="95"/>
  <c r="I95" i="95"/>
  <c r="J99" i="95"/>
  <c r="I99" i="95"/>
  <c r="I120" i="95"/>
  <c r="K120" i="95"/>
  <c r="J120" i="95"/>
  <c r="I136" i="95"/>
  <c r="K136" i="95"/>
  <c r="J136" i="95"/>
  <c r="I152" i="95"/>
  <c r="K152" i="95"/>
  <c r="J152" i="95"/>
  <c r="I111" i="95"/>
  <c r="I119" i="95"/>
  <c r="I127" i="95"/>
  <c r="I135" i="95"/>
  <c r="I143" i="95"/>
  <c r="I151" i="95"/>
  <c r="I159" i="95"/>
  <c r="J160" i="95"/>
  <c r="I167" i="95"/>
  <c r="J168" i="95"/>
  <c r="I175" i="95"/>
  <c r="J176" i="95"/>
  <c r="I183" i="95"/>
  <c r="J184" i="95"/>
  <c r="I191" i="95"/>
  <c r="J192" i="95"/>
  <c r="I199" i="95"/>
  <c r="J200" i="95"/>
  <c r="I207" i="95"/>
  <c r="J208" i="95"/>
  <c r="I215" i="95"/>
  <c r="J216" i="95"/>
  <c r="I223" i="95"/>
  <c r="J224" i="95"/>
  <c r="I231" i="95"/>
  <c r="J232" i="95"/>
  <c r="I239" i="95"/>
  <c r="J240" i="95"/>
  <c r="I247" i="95"/>
  <c r="J248" i="95"/>
  <c r="I255" i="95"/>
  <c r="J256" i="95"/>
  <c r="I263" i="95"/>
  <c r="J264" i="95"/>
  <c r="I271" i="95"/>
  <c r="J272" i="95"/>
  <c r="I279" i="95"/>
  <c r="J280" i="95"/>
  <c r="I287" i="95"/>
  <c r="J288" i="95"/>
  <c r="K160" i="95"/>
  <c r="K168" i="95"/>
  <c r="K176" i="95"/>
  <c r="K184" i="95"/>
  <c r="K192" i="95"/>
  <c r="K200" i="95"/>
  <c r="K208" i="95"/>
  <c r="K216" i="95"/>
  <c r="K224" i="95"/>
  <c r="K232" i="95"/>
  <c r="K240" i="95"/>
  <c r="K248" i="95"/>
  <c r="K256" i="95"/>
  <c r="K264" i="95"/>
  <c r="K272" i="95"/>
  <c r="K280" i="95"/>
  <c r="K288" i="95"/>
  <c r="I107" i="95"/>
  <c r="I115" i="95"/>
  <c r="I123" i="95"/>
  <c r="I131" i="95"/>
  <c r="I139" i="95"/>
  <c r="I147" i="95"/>
  <c r="I155" i="95"/>
  <c r="I163" i="95"/>
  <c r="I171" i="95"/>
  <c r="I179" i="95"/>
  <c r="I187" i="95"/>
  <c r="I195" i="95"/>
  <c r="I203" i="95"/>
  <c r="I211" i="95"/>
  <c r="I219" i="95"/>
  <c r="I227" i="95"/>
  <c r="I235" i="95"/>
  <c r="I243" i="95"/>
  <c r="I251" i="95"/>
  <c r="I259" i="95"/>
  <c r="I267" i="95"/>
  <c r="I275" i="95"/>
  <c r="I283" i="95"/>
  <c r="I291" i="95"/>
  <c r="K7" i="95" l="1"/>
  <c r="I7" i="95"/>
  <c r="E6" i="95"/>
  <c r="K6" i="95" s="1"/>
  <c r="J44" i="95"/>
  <c r="I44" i="95"/>
  <c r="F161" i="18"/>
  <c r="G161" i="18"/>
  <c r="F162" i="18"/>
  <c r="G162" i="18"/>
  <c r="AL54" i="18"/>
  <c r="AS54" i="18"/>
  <c r="AL55" i="18"/>
  <c r="AS55" i="18"/>
  <c r="AL56" i="18"/>
  <c r="AS56" i="18"/>
  <c r="AL57" i="18"/>
  <c r="AS57" i="18"/>
  <c r="AL58" i="18"/>
  <c r="AS58" i="18"/>
  <c r="AL59" i="18"/>
  <c r="AS59" i="18"/>
  <c r="AL60" i="18"/>
  <c r="AS60" i="18"/>
  <c r="AL61" i="18"/>
  <c r="AS61" i="18"/>
  <c r="AL62" i="18"/>
  <c r="AS62" i="18"/>
  <c r="AL63" i="18"/>
  <c r="AS63" i="18"/>
  <c r="AL64" i="18"/>
  <c r="AS64" i="18"/>
  <c r="AL65" i="18"/>
  <c r="AS65" i="18"/>
  <c r="AL66" i="18"/>
  <c r="AS66" i="18"/>
  <c r="AL67" i="18"/>
  <c r="AS67" i="18"/>
  <c r="AL68" i="18"/>
  <c r="AS68" i="18"/>
  <c r="AL69" i="18"/>
  <c r="AS69" i="18"/>
  <c r="AL70" i="18"/>
  <c r="AS70" i="18"/>
  <c r="AL71" i="18"/>
  <c r="AS71" i="18"/>
  <c r="AL72" i="18"/>
  <c r="AS72" i="18"/>
  <c r="AL73" i="18"/>
  <c r="AS73" i="18"/>
  <c r="AL74" i="18"/>
  <c r="AS74" i="18"/>
  <c r="AL75" i="18"/>
  <c r="AS75" i="18"/>
  <c r="AL76" i="18"/>
  <c r="AS76" i="18"/>
  <c r="AL77" i="18"/>
  <c r="AS77" i="18"/>
  <c r="AL78" i="18"/>
  <c r="AS78" i="18"/>
  <c r="AL79" i="18"/>
  <c r="AS79" i="18"/>
  <c r="AL80" i="18"/>
  <c r="AS80" i="18"/>
  <c r="AL81" i="18"/>
  <c r="AS81" i="18"/>
  <c r="AL82" i="18"/>
  <c r="AS82" i="18"/>
  <c r="AL83" i="18"/>
  <c r="AS83" i="18"/>
  <c r="AS5" i="18"/>
  <c r="AT5" i="18"/>
  <c r="AU5" i="18"/>
  <c r="AV5" i="18"/>
  <c r="AW5" i="18"/>
  <c r="AX5" i="18"/>
  <c r="AS6" i="18"/>
  <c r="AT6" i="18"/>
  <c r="AU6" i="18"/>
  <c r="AV6" i="18"/>
  <c r="AW6" i="18"/>
  <c r="AX6" i="18"/>
  <c r="AS7" i="18"/>
  <c r="AT7" i="18"/>
  <c r="AU7" i="18"/>
  <c r="AV7" i="18"/>
  <c r="AW7" i="18"/>
  <c r="AX7" i="18"/>
  <c r="AS8" i="18"/>
  <c r="AT8" i="18"/>
  <c r="AU8" i="18"/>
  <c r="AV8" i="18"/>
  <c r="AW8" i="18"/>
  <c r="AX8" i="18"/>
  <c r="AS9" i="18"/>
  <c r="AT9" i="18"/>
  <c r="AU9" i="18"/>
  <c r="AV9" i="18"/>
  <c r="AW9" i="18"/>
  <c r="AX9" i="18"/>
  <c r="AS10" i="18"/>
  <c r="AT10" i="18"/>
  <c r="AU10" i="18"/>
  <c r="AV10" i="18"/>
  <c r="AW10" i="18"/>
  <c r="AX10" i="18"/>
  <c r="AS11" i="18"/>
  <c r="AT11" i="18"/>
  <c r="AU11" i="18"/>
  <c r="AV11" i="18"/>
  <c r="AW11" i="18"/>
  <c r="AX11" i="18"/>
  <c r="AS12" i="18"/>
  <c r="AT12" i="18"/>
  <c r="AU12" i="18"/>
  <c r="AV12" i="18"/>
  <c r="AW12" i="18"/>
  <c r="AX12" i="18"/>
  <c r="AS13" i="18"/>
  <c r="AT13" i="18"/>
  <c r="AU13" i="18"/>
  <c r="AV13" i="18"/>
  <c r="AW13" i="18"/>
  <c r="AX13" i="18"/>
  <c r="AS14" i="18"/>
  <c r="AT14" i="18"/>
  <c r="AU14" i="18"/>
  <c r="AV14" i="18"/>
  <c r="AW14" i="18"/>
  <c r="AX14" i="18"/>
  <c r="AS15" i="18"/>
  <c r="AT15" i="18"/>
  <c r="AU15" i="18"/>
  <c r="AV15" i="18"/>
  <c r="AW15" i="18"/>
  <c r="AX15" i="18"/>
  <c r="AS16" i="18"/>
  <c r="AT16" i="18"/>
  <c r="AU16" i="18"/>
  <c r="AV16" i="18"/>
  <c r="AW16" i="18"/>
  <c r="AX16" i="18"/>
  <c r="AS17" i="18"/>
  <c r="AT17" i="18"/>
  <c r="AU17" i="18"/>
  <c r="AV17" i="18"/>
  <c r="AW17" i="18"/>
  <c r="AX17" i="18"/>
  <c r="AS18" i="18"/>
  <c r="AT18" i="18"/>
  <c r="AU18" i="18"/>
  <c r="AV18" i="18"/>
  <c r="AW18" i="18"/>
  <c r="AX18" i="18"/>
  <c r="AS19" i="18"/>
  <c r="AT19" i="18"/>
  <c r="AU19" i="18"/>
  <c r="AV19" i="18"/>
  <c r="AW19" i="18"/>
  <c r="AX19" i="18"/>
  <c r="AS20" i="18"/>
  <c r="AT20" i="18"/>
  <c r="AU20" i="18"/>
  <c r="AV20" i="18"/>
  <c r="AW20" i="18"/>
  <c r="AX20" i="18"/>
  <c r="AS21" i="18"/>
  <c r="AT21" i="18"/>
  <c r="AU21" i="18"/>
  <c r="AV21" i="18"/>
  <c r="AW21" i="18"/>
  <c r="AX21" i="18"/>
  <c r="AS22" i="18"/>
  <c r="AT22" i="18"/>
  <c r="AU22" i="18"/>
  <c r="AV22" i="18"/>
  <c r="AW22" i="18"/>
  <c r="AX22" i="18"/>
  <c r="AS23" i="18"/>
  <c r="AT23" i="18"/>
  <c r="AU23" i="18"/>
  <c r="AV23" i="18"/>
  <c r="AW23" i="18"/>
  <c r="AX23" i="18"/>
  <c r="AS24" i="18"/>
  <c r="AT24" i="18"/>
  <c r="AU24" i="18"/>
  <c r="AV24" i="18"/>
  <c r="AW24" i="18"/>
  <c r="AX24" i="18"/>
  <c r="AS25" i="18"/>
  <c r="AT25" i="18"/>
  <c r="AU25" i="18"/>
  <c r="AV25" i="18"/>
  <c r="AW25" i="18"/>
  <c r="AX25" i="18"/>
  <c r="AS26" i="18"/>
  <c r="AT26" i="18"/>
  <c r="AU26" i="18"/>
  <c r="AV26" i="18"/>
  <c r="AW26" i="18"/>
  <c r="AX26" i="18"/>
  <c r="AS27" i="18"/>
  <c r="AT27" i="18"/>
  <c r="AU27" i="18"/>
  <c r="AV27" i="18"/>
  <c r="AW27" i="18"/>
  <c r="AX27" i="18"/>
  <c r="AS28" i="18"/>
  <c r="AT28" i="18"/>
  <c r="AU28" i="18"/>
  <c r="AV28" i="18"/>
  <c r="AW28" i="18"/>
  <c r="AX28" i="18"/>
  <c r="AS29" i="18"/>
  <c r="AT29" i="18"/>
  <c r="AU29" i="18"/>
  <c r="AV29" i="18"/>
  <c r="AW29" i="18"/>
  <c r="AX29" i="18"/>
  <c r="AS30" i="18"/>
  <c r="AT30" i="18"/>
  <c r="AU30" i="18"/>
  <c r="AV30" i="18"/>
  <c r="AW30" i="18"/>
  <c r="AX30" i="18"/>
  <c r="AS31" i="18"/>
  <c r="AT31" i="18"/>
  <c r="AU31" i="18"/>
  <c r="AV31" i="18"/>
  <c r="AW31" i="18"/>
  <c r="AX31" i="18"/>
  <c r="AS32" i="18"/>
  <c r="AT32" i="18"/>
  <c r="AU32" i="18"/>
  <c r="AV32" i="18"/>
  <c r="AW32" i="18"/>
  <c r="AX32" i="18"/>
  <c r="AS33" i="18"/>
  <c r="AT33" i="18"/>
  <c r="AU33" i="18"/>
  <c r="AV33" i="18"/>
  <c r="AW33" i="18"/>
  <c r="AX33" i="18"/>
  <c r="AS34" i="18"/>
  <c r="AT34" i="18"/>
  <c r="AU34" i="18"/>
  <c r="AV34" i="18"/>
  <c r="AW34" i="18"/>
  <c r="AX34" i="18"/>
  <c r="AS35" i="18"/>
  <c r="AT35" i="18"/>
  <c r="AU35" i="18"/>
  <c r="AV35" i="18"/>
  <c r="AW35" i="18"/>
  <c r="AX35" i="18"/>
  <c r="AS36" i="18"/>
  <c r="AT36" i="18"/>
  <c r="AU36" i="18"/>
  <c r="AV36" i="18"/>
  <c r="AW36" i="18"/>
  <c r="AX36" i="18"/>
  <c r="AS37" i="18"/>
  <c r="AT37" i="18"/>
  <c r="AU37" i="18"/>
  <c r="AV37" i="18"/>
  <c r="AW37" i="18"/>
  <c r="AX37" i="18"/>
  <c r="AS38" i="18"/>
  <c r="AT38" i="18"/>
  <c r="AU38" i="18"/>
  <c r="AV38" i="18"/>
  <c r="AW38" i="18"/>
  <c r="AX38" i="18"/>
  <c r="AS39" i="18"/>
  <c r="AS40" i="18"/>
  <c r="AS41" i="18"/>
  <c r="AS42" i="18"/>
  <c r="AS43" i="18"/>
  <c r="AS44" i="18"/>
  <c r="AS45" i="18"/>
  <c r="AS46" i="18"/>
  <c r="AS47" i="18"/>
  <c r="AS48" i="18"/>
  <c r="AS49" i="18"/>
  <c r="AS50" i="18"/>
  <c r="AS51" i="18"/>
  <c r="AS52" i="18"/>
  <c r="AS53" i="18"/>
  <c r="AS4" i="18"/>
  <c r="AL5" i="18"/>
  <c r="AM5" i="18"/>
  <c r="AN5" i="18"/>
  <c r="AO5" i="18"/>
  <c r="AP5" i="18"/>
  <c r="AQ5" i="18"/>
  <c r="AL6" i="18"/>
  <c r="AM6" i="18"/>
  <c r="AN6" i="18"/>
  <c r="AO6" i="18"/>
  <c r="AP6" i="18"/>
  <c r="AQ6" i="18"/>
  <c r="AL7" i="18"/>
  <c r="AM7" i="18"/>
  <c r="AN7" i="18"/>
  <c r="AO7" i="18"/>
  <c r="AP7" i="18"/>
  <c r="AQ7" i="18"/>
  <c r="AL8" i="18"/>
  <c r="AM8" i="18"/>
  <c r="AN8" i="18"/>
  <c r="AO8" i="18"/>
  <c r="AP8" i="18"/>
  <c r="AQ8" i="18"/>
  <c r="AL9" i="18"/>
  <c r="AM9" i="18"/>
  <c r="AN9" i="18"/>
  <c r="AO9" i="18"/>
  <c r="AP9" i="18"/>
  <c r="AQ9" i="18"/>
  <c r="AL10" i="18"/>
  <c r="AM10" i="18"/>
  <c r="AN10" i="18"/>
  <c r="AO10" i="18"/>
  <c r="AP10" i="18"/>
  <c r="AQ10" i="18"/>
  <c r="AL11" i="18"/>
  <c r="AM11" i="18"/>
  <c r="AN11" i="18"/>
  <c r="AO11" i="18"/>
  <c r="AP11" i="18"/>
  <c r="AQ11" i="18"/>
  <c r="AL12" i="18"/>
  <c r="AM12" i="18"/>
  <c r="AN12" i="18"/>
  <c r="AO12" i="18"/>
  <c r="AP12" i="18"/>
  <c r="AQ12" i="18"/>
  <c r="AL13" i="18"/>
  <c r="AM13" i="18"/>
  <c r="AN13" i="18"/>
  <c r="AO13" i="18"/>
  <c r="AP13" i="18"/>
  <c r="AQ13" i="18"/>
  <c r="AL14" i="18"/>
  <c r="AM14" i="18"/>
  <c r="AN14" i="18"/>
  <c r="AO14" i="18"/>
  <c r="AP14" i="18"/>
  <c r="AQ14" i="18"/>
  <c r="AL15" i="18"/>
  <c r="AM15" i="18"/>
  <c r="AN15" i="18"/>
  <c r="AO15" i="18"/>
  <c r="AP15" i="18"/>
  <c r="AQ15" i="18"/>
  <c r="AL16" i="18"/>
  <c r="AM16" i="18"/>
  <c r="AN16" i="18"/>
  <c r="AO16" i="18"/>
  <c r="AP16" i="18"/>
  <c r="AQ16" i="18"/>
  <c r="AL17" i="18"/>
  <c r="AM17" i="18"/>
  <c r="AN17" i="18"/>
  <c r="AO17" i="18"/>
  <c r="AP17" i="18"/>
  <c r="AQ17" i="18"/>
  <c r="AL18" i="18"/>
  <c r="AM18" i="18"/>
  <c r="AN18" i="18"/>
  <c r="AO18" i="18"/>
  <c r="AP18" i="18"/>
  <c r="AQ18" i="18"/>
  <c r="AL19" i="18"/>
  <c r="AM19" i="18"/>
  <c r="AN19" i="18"/>
  <c r="AO19" i="18"/>
  <c r="AP19" i="18"/>
  <c r="AQ19" i="18"/>
  <c r="AL20" i="18"/>
  <c r="AM20" i="18"/>
  <c r="AN20" i="18"/>
  <c r="AO20" i="18"/>
  <c r="AP20" i="18"/>
  <c r="AQ20" i="18"/>
  <c r="AL21" i="18"/>
  <c r="AM21" i="18"/>
  <c r="AN21" i="18"/>
  <c r="AO21" i="18"/>
  <c r="AP21" i="18"/>
  <c r="AQ21" i="18"/>
  <c r="AL22" i="18"/>
  <c r="AM22" i="18"/>
  <c r="AN22" i="18"/>
  <c r="AO22" i="18"/>
  <c r="AP22" i="18"/>
  <c r="AQ22" i="18"/>
  <c r="AL23" i="18"/>
  <c r="AM23" i="18"/>
  <c r="AN23" i="18"/>
  <c r="AO23" i="18"/>
  <c r="AP23" i="18"/>
  <c r="AQ23" i="18"/>
  <c r="AL24" i="18"/>
  <c r="AM24" i="18"/>
  <c r="AN24" i="18"/>
  <c r="AO24" i="18"/>
  <c r="AP24" i="18"/>
  <c r="AQ24" i="18"/>
  <c r="AL25" i="18"/>
  <c r="AM25" i="18"/>
  <c r="AN25" i="18"/>
  <c r="AO25" i="18"/>
  <c r="AP25" i="18"/>
  <c r="AQ25" i="18"/>
  <c r="AL26" i="18"/>
  <c r="AM26" i="18"/>
  <c r="AN26" i="18"/>
  <c r="AO26" i="18"/>
  <c r="AP26" i="18"/>
  <c r="AQ26" i="18"/>
  <c r="AL27" i="18"/>
  <c r="AM27" i="18"/>
  <c r="AN27" i="18"/>
  <c r="AO27" i="18"/>
  <c r="AP27" i="18"/>
  <c r="AQ27" i="18"/>
  <c r="AL28" i="18"/>
  <c r="AM28" i="18"/>
  <c r="AN28" i="18"/>
  <c r="AO28" i="18"/>
  <c r="AP28" i="18"/>
  <c r="AQ28" i="18"/>
  <c r="AL29" i="18"/>
  <c r="AM29" i="18"/>
  <c r="AN29" i="18"/>
  <c r="AO29" i="18"/>
  <c r="AP29" i="18"/>
  <c r="AQ29" i="18"/>
  <c r="AL30" i="18"/>
  <c r="AM30" i="18"/>
  <c r="AN30" i="18"/>
  <c r="AO30" i="18"/>
  <c r="AP30" i="18"/>
  <c r="AQ30" i="18"/>
  <c r="AL31" i="18"/>
  <c r="AM31" i="18"/>
  <c r="AN31" i="18"/>
  <c r="AO31" i="18"/>
  <c r="AP31" i="18"/>
  <c r="AQ31" i="18"/>
  <c r="AL32" i="18"/>
  <c r="AM32" i="18"/>
  <c r="AN32" i="18"/>
  <c r="AO32" i="18"/>
  <c r="AP32" i="18"/>
  <c r="AQ32" i="18"/>
  <c r="AL33" i="18"/>
  <c r="AM33" i="18"/>
  <c r="AN33" i="18"/>
  <c r="AO33" i="18"/>
  <c r="AP33" i="18"/>
  <c r="AQ33" i="18"/>
  <c r="AL34" i="18"/>
  <c r="AM34" i="18"/>
  <c r="AN34" i="18"/>
  <c r="AO34" i="18"/>
  <c r="AP34" i="18"/>
  <c r="AQ34" i="18"/>
  <c r="AL35" i="18"/>
  <c r="AM35" i="18"/>
  <c r="AN35" i="18"/>
  <c r="AO35" i="18"/>
  <c r="AP35" i="18"/>
  <c r="AQ35" i="18"/>
  <c r="AL36" i="18"/>
  <c r="AM36" i="18"/>
  <c r="AN36" i="18"/>
  <c r="AO36" i="18"/>
  <c r="AP36" i="18"/>
  <c r="AQ36" i="18"/>
  <c r="AL37" i="18"/>
  <c r="AM37" i="18"/>
  <c r="AN37" i="18"/>
  <c r="AO37" i="18"/>
  <c r="AP37" i="18"/>
  <c r="AQ37" i="18"/>
  <c r="AL38" i="18"/>
  <c r="AM38" i="18"/>
  <c r="AN38" i="18"/>
  <c r="AO38" i="18"/>
  <c r="AP38" i="18"/>
  <c r="AQ38" i="18"/>
  <c r="AL39" i="18"/>
  <c r="AL40" i="18"/>
  <c r="AL41" i="18"/>
  <c r="AL42" i="18"/>
  <c r="AL43" i="18"/>
  <c r="AL44" i="18"/>
  <c r="AL45" i="18"/>
  <c r="AL46" i="18"/>
  <c r="AL47" i="18"/>
  <c r="AL48" i="18"/>
  <c r="AL49" i="18"/>
  <c r="AL50" i="18"/>
  <c r="AL51" i="18"/>
  <c r="AL52" i="18"/>
  <c r="AL53" i="18"/>
  <c r="AM4" i="18"/>
  <c r="AN4" i="18"/>
  <c r="AO4" i="18"/>
  <c r="AP4" i="18"/>
  <c r="AQ4" i="18"/>
  <c r="AL4" i="18"/>
  <c r="N114" i="18"/>
  <c r="O114" i="18"/>
  <c r="P114" i="18"/>
  <c r="Q114" i="18"/>
  <c r="R114" i="18"/>
  <c r="S114" i="18"/>
  <c r="T114" i="18"/>
  <c r="V114" i="18"/>
  <c r="W114" i="18"/>
  <c r="X114" i="18"/>
  <c r="Y114" i="18"/>
  <c r="Z114" i="18"/>
  <c r="AA114" i="18"/>
  <c r="N115" i="18"/>
  <c r="O115" i="18"/>
  <c r="P115" i="18"/>
  <c r="Q115" i="18"/>
  <c r="R115" i="18"/>
  <c r="S115" i="18"/>
  <c r="T115" i="18"/>
  <c r="V115" i="18"/>
  <c r="W115" i="18"/>
  <c r="X115" i="18"/>
  <c r="Y115" i="18"/>
  <c r="Z115" i="18"/>
  <c r="AA115" i="18"/>
  <c r="N116" i="18"/>
  <c r="O116" i="18"/>
  <c r="P116" i="18"/>
  <c r="Q116" i="18"/>
  <c r="R116" i="18"/>
  <c r="S116" i="18"/>
  <c r="T116" i="18"/>
  <c r="V116" i="18"/>
  <c r="W116" i="18"/>
  <c r="X116" i="18"/>
  <c r="Y116" i="18"/>
  <c r="Z116" i="18"/>
  <c r="AA116" i="18"/>
  <c r="N117" i="18"/>
  <c r="O117" i="18"/>
  <c r="P117" i="18"/>
  <c r="Q117" i="18"/>
  <c r="R117" i="18"/>
  <c r="S117" i="18"/>
  <c r="T117" i="18"/>
  <c r="V117" i="18"/>
  <c r="W117" i="18"/>
  <c r="X117" i="18"/>
  <c r="Y117" i="18"/>
  <c r="Z117" i="18"/>
  <c r="AA117" i="18"/>
  <c r="N118" i="18"/>
  <c r="O118" i="18"/>
  <c r="P118" i="18"/>
  <c r="Q118" i="18"/>
  <c r="R118" i="18"/>
  <c r="S118" i="18"/>
  <c r="T118" i="18"/>
  <c r="V118" i="18"/>
  <c r="W118" i="18"/>
  <c r="X118" i="18"/>
  <c r="Y118" i="18"/>
  <c r="Z118" i="18"/>
  <c r="AA118" i="18"/>
  <c r="N119" i="18"/>
  <c r="O119" i="18"/>
  <c r="P119" i="18"/>
  <c r="Q119" i="18"/>
  <c r="R119" i="18"/>
  <c r="S119" i="18"/>
  <c r="T119" i="18"/>
  <c r="V119" i="18"/>
  <c r="W119" i="18"/>
  <c r="X119" i="18"/>
  <c r="Y119" i="18"/>
  <c r="Z119" i="18"/>
  <c r="AA119" i="18"/>
  <c r="N120" i="18"/>
  <c r="O120" i="18"/>
  <c r="P120" i="18"/>
  <c r="Q120" i="18"/>
  <c r="R120" i="18"/>
  <c r="S120" i="18"/>
  <c r="T120" i="18"/>
  <c r="V120" i="18"/>
  <c r="W120" i="18"/>
  <c r="X120" i="18"/>
  <c r="Y120" i="18"/>
  <c r="Z120" i="18"/>
  <c r="AA120" i="18"/>
  <c r="N121" i="18"/>
  <c r="O121" i="18"/>
  <c r="P121" i="18"/>
  <c r="Q121" i="18"/>
  <c r="R121" i="18"/>
  <c r="S121" i="18"/>
  <c r="T121" i="18"/>
  <c r="V121" i="18"/>
  <c r="W121" i="18"/>
  <c r="X121" i="18"/>
  <c r="Y121" i="18"/>
  <c r="Z121" i="18"/>
  <c r="AA121" i="18"/>
  <c r="N122" i="18"/>
  <c r="O122" i="18"/>
  <c r="P122" i="18"/>
  <c r="Q122" i="18"/>
  <c r="R122" i="18"/>
  <c r="S122" i="18"/>
  <c r="T122" i="18"/>
  <c r="V122" i="18"/>
  <c r="W122" i="18"/>
  <c r="X122" i="18"/>
  <c r="Y122" i="18"/>
  <c r="Z122" i="18"/>
  <c r="AA122" i="18"/>
  <c r="N123" i="18"/>
  <c r="O123" i="18"/>
  <c r="P123" i="18"/>
  <c r="Q123" i="18"/>
  <c r="R123" i="18"/>
  <c r="S123" i="18"/>
  <c r="T123" i="18"/>
  <c r="V123" i="18"/>
  <c r="W123" i="18"/>
  <c r="X123" i="18"/>
  <c r="Y123" i="18"/>
  <c r="Z123" i="18"/>
  <c r="AA123" i="18"/>
  <c r="N124" i="18"/>
  <c r="O124" i="18"/>
  <c r="P124" i="18"/>
  <c r="Q124" i="18"/>
  <c r="R124" i="18"/>
  <c r="S124" i="18"/>
  <c r="T124" i="18"/>
  <c r="V124" i="18"/>
  <c r="W124" i="18"/>
  <c r="X124" i="18"/>
  <c r="Y124" i="18"/>
  <c r="Z124" i="18"/>
  <c r="AA124" i="18"/>
  <c r="N125" i="18"/>
  <c r="O125" i="18"/>
  <c r="P125" i="18"/>
  <c r="Q125" i="18"/>
  <c r="R125" i="18"/>
  <c r="S125" i="18"/>
  <c r="T125" i="18"/>
  <c r="V125" i="18"/>
  <c r="W125" i="18"/>
  <c r="X125" i="18"/>
  <c r="Y125" i="18"/>
  <c r="Z125" i="18"/>
  <c r="AA125" i="18"/>
  <c r="N126" i="18"/>
  <c r="O126" i="18"/>
  <c r="P126" i="18"/>
  <c r="Q126" i="18"/>
  <c r="R126" i="18"/>
  <c r="S126" i="18"/>
  <c r="T126" i="18"/>
  <c r="V126" i="18"/>
  <c r="W126" i="18"/>
  <c r="X126" i="18"/>
  <c r="Y126" i="18"/>
  <c r="Z126" i="18"/>
  <c r="AA126" i="18"/>
  <c r="N127" i="18"/>
  <c r="O127" i="18"/>
  <c r="P127" i="18"/>
  <c r="Q127" i="18"/>
  <c r="R127" i="18"/>
  <c r="S127" i="18"/>
  <c r="T127" i="18"/>
  <c r="V127" i="18"/>
  <c r="W127" i="18"/>
  <c r="X127" i="18"/>
  <c r="Y127" i="18"/>
  <c r="Z127" i="18"/>
  <c r="AA127" i="18"/>
  <c r="N128" i="18"/>
  <c r="O128" i="18"/>
  <c r="P128" i="18"/>
  <c r="Q128" i="18"/>
  <c r="R128" i="18"/>
  <c r="S128" i="18"/>
  <c r="T128" i="18"/>
  <c r="V128" i="18"/>
  <c r="W128" i="18"/>
  <c r="X128" i="18"/>
  <c r="Y128" i="18"/>
  <c r="Z128" i="18"/>
  <c r="AA128" i="18"/>
  <c r="N129" i="18"/>
  <c r="O129" i="18"/>
  <c r="P129" i="18"/>
  <c r="Q129" i="18"/>
  <c r="R129" i="18"/>
  <c r="S129" i="18"/>
  <c r="T129" i="18"/>
  <c r="V129" i="18"/>
  <c r="W129" i="18"/>
  <c r="X129" i="18"/>
  <c r="Y129" i="18"/>
  <c r="Z129" i="18"/>
  <c r="AA129" i="18"/>
  <c r="N130" i="18"/>
  <c r="O130" i="18"/>
  <c r="P130" i="18"/>
  <c r="Q130" i="18"/>
  <c r="R130" i="18"/>
  <c r="S130" i="18"/>
  <c r="T130" i="18"/>
  <c r="V130" i="18"/>
  <c r="W130" i="18"/>
  <c r="X130" i="18"/>
  <c r="Y130" i="18"/>
  <c r="Z130" i="18"/>
  <c r="AA130" i="18"/>
  <c r="N131" i="18"/>
  <c r="O131" i="18"/>
  <c r="P131" i="18"/>
  <c r="Q131" i="18"/>
  <c r="R131" i="18"/>
  <c r="S131" i="18"/>
  <c r="T131" i="18"/>
  <c r="V131" i="18"/>
  <c r="W131" i="18"/>
  <c r="X131" i="18"/>
  <c r="Y131" i="18"/>
  <c r="Z131" i="18"/>
  <c r="AA131" i="18"/>
  <c r="N132" i="18"/>
  <c r="O132" i="18"/>
  <c r="P132" i="18"/>
  <c r="Q132" i="18"/>
  <c r="R132" i="18"/>
  <c r="S132" i="18"/>
  <c r="T132" i="18"/>
  <c r="V132" i="18"/>
  <c r="W132" i="18"/>
  <c r="X132" i="18"/>
  <c r="Y132" i="18"/>
  <c r="Z132" i="18"/>
  <c r="AA132" i="18"/>
  <c r="N133" i="18"/>
  <c r="O133" i="18"/>
  <c r="P133" i="18"/>
  <c r="Q133" i="18"/>
  <c r="R133" i="18"/>
  <c r="S133" i="18"/>
  <c r="T133" i="18"/>
  <c r="V133" i="18"/>
  <c r="W133" i="18"/>
  <c r="X133" i="18"/>
  <c r="Y133" i="18"/>
  <c r="Z133" i="18"/>
  <c r="AA133" i="18"/>
  <c r="N134" i="18"/>
  <c r="O134" i="18"/>
  <c r="P134" i="18"/>
  <c r="Q134" i="18"/>
  <c r="R134" i="18"/>
  <c r="S134" i="18"/>
  <c r="T134" i="18"/>
  <c r="V134" i="18"/>
  <c r="W134" i="18"/>
  <c r="X134" i="18"/>
  <c r="Y134" i="18"/>
  <c r="Z134" i="18"/>
  <c r="AA134" i="18"/>
  <c r="N135" i="18"/>
  <c r="O135" i="18"/>
  <c r="P135" i="18"/>
  <c r="Q135" i="18"/>
  <c r="R135" i="18"/>
  <c r="S135" i="18"/>
  <c r="T135" i="18"/>
  <c r="V135" i="18"/>
  <c r="W135" i="18"/>
  <c r="X135" i="18"/>
  <c r="Y135" i="18"/>
  <c r="Z135" i="18"/>
  <c r="AA135" i="18"/>
  <c r="N136" i="18"/>
  <c r="O136" i="18"/>
  <c r="P136" i="18"/>
  <c r="Q136" i="18"/>
  <c r="R136" i="18"/>
  <c r="S136" i="18"/>
  <c r="T136" i="18"/>
  <c r="V136" i="18"/>
  <c r="W136" i="18"/>
  <c r="X136" i="18"/>
  <c r="Y136" i="18"/>
  <c r="Z136" i="18"/>
  <c r="AA136" i="18"/>
  <c r="N137" i="18"/>
  <c r="O137" i="18"/>
  <c r="P137" i="18"/>
  <c r="Q137" i="18"/>
  <c r="R137" i="18"/>
  <c r="S137" i="18"/>
  <c r="T137" i="18"/>
  <c r="V137" i="18"/>
  <c r="W137" i="18"/>
  <c r="X137" i="18"/>
  <c r="Y137" i="18"/>
  <c r="Z137" i="18"/>
  <c r="AA137" i="18"/>
  <c r="N138" i="18"/>
  <c r="O138" i="18"/>
  <c r="P138" i="18"/>
  <c r="Q138" i="18"/>
  <c r="R138" i="18"/>
  <c r="S138" i="18"/>
  <c r="T138" i="18"/>
  <c r="V138" i="18"/>
  <c r="W138" i="18"/>
  <c r="X138" i="18"/>
  <c r="Y138" i="18"/>
  <c r="Z138" i="18"/>
  <c r="AA138" i="18"/>
  <c r="N139" i="18"/>
  <c r="O139" i="18"/>
  <c r="P139" i="18"/>
  <c r="Q139" i="18"/>
  <c r="R139" i="18"/>
  <c r="S139" i="18"/>
  <c r="T139" i="18"/>
  <c r="V139" i="18"/>
  <c r="W139" i="18"/>
  <c r="X139" i="18"/>
  <c r="Y139" i="18"/>
  <c r="Z139" i="18"/>
  <c r="AA139" i="18"/>
  <c r="N140" i="18"/>
  <c r="O140" i="18"/>
  <c r="P140" i="18"/>
  <c r="Q140" i="18"/>
  <c r="R140" i="18"/>
  <c r="S140" i="18"/>
  <c r="T140" i="18"/>
  <c r="V140" i="18"/>
  <c r="W140" i="18"/>
  <c r="X140" i="18"/>
  <c r="Y140" i="18"/>
  <c r="Z140" i="18"/>
  <c r="AA140" i="18"/>
  <c r="N141" i="18"/>
  <c r="O141" i="18"/>
  <c r="P141" i="18"/>
  <c r="Q141" i="18"/>
  <c r="R141" i="18"/>
  <c r="S141" i="18"/>
  <c r="T141" i="18"/>
  <c r="V141" i="18"/>
  <c r="W141" i="18"/>
  <c r="X141" i="18"/>
  <c r="Y141" i="18"/>
  <c r="Z141" i="18"/>
  <c r="AA141" i="18"/>
  <c r="N142" i="18"/>
  <c r="O142" i="18"/>
  <c r="P142" i="18"/>
  <c r="Q142" i="18"/>
  <c r="R142" i="18"/>
  <c r="S142" i="18"/>
  <c r="T142" i="18"/>
  <c r="V142" i="18"/>
  <c r="W142" i="18"/>
  <c r="X142" i="18"/>
  <c r="Y142" i="18"/>
  <c r="Z142" i="18"/>
  <c r="AA142" i="18"/>
  <c r="N143" i="18"/>
  <c r="O143" i="18"/>
  <c r="P143" i="18"/>
  <c r="Q143" i="18"/>
  <c r="R143" i="18"/>
  <c r="S143" i="18"/>
  <c r="T143" i="18"/>
  <c r="V143" i="18"/>
  <c r="W143" i="18"/>
  <c r="X143" i="18"/>
  <c r="Y143" i="18"/>
  <c r="Z143" i="18"/>
  <c r="AA143" i="18"/>
  <c r="N144" i="18"/>
  <c r="O144" i="18"/>
  <c r="P144" i="18"/>
  <c r="Q144" i="18"/>
  <c r="R144" i="18"/>
  <c r="S144" i="18"/>
  <c r="T144" i="18"/>
  <c r="V144" i="18"/>
  <c r="W144" i="18"/>
  <c r="X144" i="18"/>
  <c r="Y144" i="18"/>
  <c r="Z144" i="18"/>
  <c r="AA144" i="18"/>
  <c r="N145" i="18"/>
  <c r="O145" i="18"/>
  <c r="P145" i="18"/>
  <c r="Q145" i="18"/>
  <c r="R145" i="18"/>
  <c r="S145" i="18"/>
  <c r="T145" i="18"/>
  <c r="V145" i="18"/>
  <c r="W145" i="18"/>
  <c r="X145" i="18"/>
  <c r="Y145" i="18"/>
  <c r="Z145" i="18"/>
  <c r="AA145" i="18"/>
  <c r="N146" i="18"/>
  <c r="O146" i="18"/>
  <c r="P146" i="18"/>
  <c r="Q146" i="18"/>
  <c r="R146" i="18"/>
  <c r="S146" i="18"/>
  <c r="T146" i="18"/>
  <c r="V146" i="18"/>
  <c r="W146" i="18"/>
  <c r="X146" i="18"/>
  <c r="Y146" i="18"/>
  <c r="Z146" i="18"/>
  <c r="AA146" i="18"/>
  <c r="N147" i="18"/>
  <c r="O147" i="18"/>
  <c r="P147" i="18"/>
  <c r="Q147" i="18"/>
  <c r="R147" i="18"/>
  <c r="S147" i="18"/>
  <c r="T147" i="18"/>
  <c r="V147" i="18"/>
  <c r="W147" i="18"/>
  <c r="X147" i="18"/>
  <c r="Y147" i="18"/>
  <c r="Z147" i="18"/>
  <c r="AA147" i="18"/>
  <c r="N148" i="18"/>
  <c r="O148" i="18"/>
  <c r="P148" i="18"/>
  <c r="Q148" i="18"/>
  <c r="R148" i="18"/>
  <c r="S148" i="18"/>
  <c r="T148" i="18"/>
  <c r="V148" i="18"/>
  <c r="W148" i="18"/>
  <c r="X148" i="18"/>
  <c r="Y148" i="18"/>
  <c r="Z148" i="18"/>
  <c r="AA148" i="18"/>
  <c r="N149" i="18"/>
  <c r="O149" i="18"/>
  <c r="P149" i="18"/>
  <c r="Q149" i="18"/>
  <c r="R149" i="18"/>
  <c r="S149" i="18"/>
  <c r="T149" i="18"/>
  <c r="V149" i="18"/>
  <c r="W149" i="18"/>
  <c r="X149" i="18"/>
  <c r="Y149" i="18"/>
  <c r="Z149" i="18"/>
  <c r="AA149" i="18"/>
  <c r="N150" i="18"/>
  <c r="O150" i="18"/>
  <c r="P150" i="18"/>
  <c r="Q150" i="18"/>
  <c r="R150" i="18"/>
  <c r="S150" i="18"/>
  <c r="T150" i="18"/>
  <c r="V150" i="18"/>
  <c r="W150" i="18"/>
  <c r="X150" i="18"/>
  <c r="Y150" i="18"/>
  <c r="Z150" i="18"/>
  <c r="AA150" i="18"/>
  <c r="N151" i="18"/>
  <c r="O151" i="18"/>
  <c r="P151" i="18"/>
  <c r="Q151" i="18"/>
  <c r="R151" i="18"/>
  <c r="S151" i="18"/>
  <c r="T151" i="18"/>
  <c r="V151" i="18"/>
  <c r="W151" i="18"/>
  <c r="X151" i="18"/>
  <c r="Y151" i="18"/>
  <c r="Z151" i="18"/>
  <c r="AA151" i="18"/>
  <c r="N152" i="18"/>
  <c r="O152" i="18"/>
  <c r="P152" i="18"/>
  <c r="Q152" i="18"/>
  <c r="R152" i="18"/>
  <c r="S152" i="18"/>
  <c r="T152" i="18"/>
  <c r="V152" i="18"/>
  <c r="W152" i="18"/>
  <c r="X152" i="18"/>
  <c r="Y152" i="18"/>
  <c r="Z152" i="18"/>
  <c r="AA152" i="18"/>
  <c r="N153" i="18"/>
  <c r="O153" i="18"/>
  <c r="P153" i="18"/>
  <c r="Q153" i="18"/>
  <c r="R153" i="18"/>
  <c r="S153" i="18"/>
  <c r="T153" i="18"/>
  <c r="V153" i="18"/>
  <c r="W153" i="18"/>
  <c r="X153" i="18"/>
  <c r="Y153" i="18"/>
  <c r="Z153" i="18"/>
  <c r="AA153" i="18"/>
  <c r="N154" i="18"/>
  <c r="O154" i="18"/>
  <c r="P154" i="18"/>
  <c r="Q154" i="18"/>
  <c r="R154" i="18"/>
  <c r="S154" i="18"/>
  <c r="T154" i="18"/>
  <c r="V154" i="18"/>
  <c r="W154" i="18"/>
  <c r="X154" i="18"/>
  <c r="Y154" i="18"/>
  <c r="Z154" i="18"/>
  <c r="AA154" i="18"/>
  <c r="N155" i="18"/>
  <c r="O155" i="18"/>
  <c r="P155" i="18"/>
  <c r="Q155" i="18"/>
  <c r="R155" i="18"/>
  <c r="S155" i="18"/>
  <c r="T155" i="18"/>
  <c r="V155" i="18"/>
  <c r="W155" i="18"/>
  <c r="X155" i="18"/>
  <c r="Y155" i="18"/>
  <c r="Z155" i="18"/>
  <c r="AA155" i="18"/>
  <c r="N156" i="18"/>
  <c r="O156" i="18"/>
  <c r="P156" i="18"/>
  <c r="Q156" i="18"/>
  <c r="R156" i="18"/>
  <c r="S156" i="18"/>
  <c r="T156" i="18"/>
  <c r="V156" i="18"/>
  <c r="W156" i="18"/>
  <c r="X156" i="18"/>
  <c r="Y156" i="18"/>
  <c r="Z156" i="18"/>
  <c r="AA156" i="18"/>
  <c r="N157" i="18"/>
  <c r="O157" i="18"/>
  <c r="P157" i="18"/>
  <c r="Q157" i="18"/>
  <c r="R157" i="18"/>
  <c r="S157" i="18"/>
  <c r="T157" i="18"/>
  <c r="V157" i="18"/>
  <c r="W157" i="18"/>
  <c r="X157" i="18"/>
  <c r="Y157" i="18"/>
  <c r="Z157" i="18"/>
  <c r="AA157" i="18"/>
  <c r="N158" i="18"/>
  <c r="O158" i="18"/>
  <c r="P158" i="18"/>
  <c r="Q158" i="18"/>
  <c r="R158" i="18"/>
  <c r="S158" i="18"/>
  <c r="T158" i="18"/>
  <c r="V158" i="18"/>
  <c r="W158" i="18"/>
  <c r="X158" i="18"/>
  <c r="Y158" i="18"/>
  <c r="Z158" i="18"/>
  <c r="AA158" i="18"/>
  <c r="N159" i="18"/>
  <c r="O159" i="18"/>
  <c r="P159" i="18"/>
  <c r="Q159" i="18"/>
  <c r="R159" i="18"/>
  <c r="S159" i="18"/>
  <c r="T159" i="18"/>
  <c r="V159" i="18"/>
  <c r="W159" i="18"/>
  <c r="X159" i="18"/>
  <c r="Y159" i="18"/>
  <c r="Z159" i="18"/>
  <c r="AA159" i="18"/>
  <c r="N160" i="18"/>
  <c r="O160" i="18"/>
  <c r="P160" i="18"/>
  <c r="Q160" i="18"/>
  <c r="R160" i="18"/>
  <c r="S160" i="18"/>
  <c r="T160" i="18"/>
  <c r="V160" i="18"/>
  <c r="W160" i="18"/>
  <c r="X160" i="18"/>
  <c r="Y160" i="18"/>
  <c r="Z160" i="18"/>
  <c r="AA160" i="18"/>
  <c r="N161" i="18"/>
  <c r="O161" i="18"/>
  <c r="P161" i="18"/>
  <c r="Q161" i="18"/>
  <c r="R161" i="18"/>
  <c r="S161" i="18"/>
  <c r="T161" i="18"/>
  <c r="V161" i="18"/>
  <c r="W161" i="18"/>
  <c r="X161" i="18"/>
  <c r="Y161" i="18"/>
  <c r="Z161" i="18"/>
  <c r="AA161" i="18"/>
  <c r="N162" i="18"/>
  <c r="O162" i="18"/>
  <c r="P162" i="18"/>
  <c r="Q162" i="18"/>
  <c r="R162" i="18"/>
  <c r="S162" i="18"/>
  <c r="T162" i="18"/>
  <c r="V162" i="18"/>
  <c r="W162" i="18"/>
  <c r="X162" i="18"/>
  <c r="Y162" i="18"/>
  <c r="Z162" i="18"/>
  <c r="AA162" i="18"/>
  <c r="N163" i="18"/>
  <c r="O163" i="18"/>
  <c r="P163" i="18"/>
  <c r="Q163" i="18"/>
  <c r="R163" i="18"/>
  <c r="S163" i="18"/>
  <c r="T163" i="18"/>
  <c r="V163" i="18"/>
  <c r="W163" i="18"/>
  <c r="X163" i="18"/>
  <c r="Y163" i="18"/>
  <c r="Z163" i="18"/>
  <c r="AA163" i="18"/>
  <c r="AC5" i="18"/>
  <c r="AD5" i="18"/>
  <c r="AE5" i="18"/>
  <c r="AF5" i="18"/>
  <c r="AG5" i="18"/>
  <c r="AH5" i="18"/>
  <c r="AC6" i="18"/>
  <c r="AD6" i="18"/>
  <c r="AE6" i="18"/>
  <c r="AF6" i="18"/>
  <c r="AG6" i="18"/>
  <c r="AH6" i="18"/>
  <c r="AC7" i="18"/>
  <c r="AD7" i="18"/>
  <c r="AE7" i="18"/>
  <c r="AF7" i="18"/>
  <c r="AG7" i="18"/>
  <c r="AH7" i="18"/>
  <c r="AC8" i="18"/>
  <c r="AD8" i="18"/>
  <c r="AE8" i="18"/>
  <c r="AF8" i="18"/>
  <c r="AG8" i="18"/>
  <c r="AH8" i="18"/>
  <c r="AC9" i="18"/>
  <c r="AD9" i="18"/>
  <c r="AE9" i="18"/>
  <c r="AF9" i="18"/>
  <c r="AG9" i="18"/>
  <c r="AH9" i="18"/>
  <c r="AC10" i="18"/>
  <c r="AD10" i="18"/>
  <c r="AE10" i="18"/>
  <c r="AF10" i="18"/>
  <c r="AG10" i="18"/>
  <c r="AH10" i="18"/>
  <c r="AC11" i="18"/>
  <c r="AD11" i="18"/>
  <c r="AE11" i="18"/>
  <c r="AF11" i="18"/>
  <c r="AG11" i="18"/>
  <c r="AH11" i="18"/>
  <c r="AC12" i="18"/>
  <c r="AD12" i="18"/>
  <c r="AE12" i="18"/>
  <c r="AF12" i="18"/>
  <c r="AG12" i="18"/>
  <c r="AH12" i="18"/>
  <c r="AC13" i="18"/>
  <c r="AD13" i="18"/>
  <c r="AE13" i="18"/>
  <c r="AF13" i="18"/>
  <c r="AG13" i="18"/>
  <c r="AH13" i="18"/>
  <c r="AC14" i="18"/>
  <c r="AD14" i="18"/>
  <c r="AE14" i="18"/>
  <c r="AF14" i="18"/>
  <c r="AG14" i="18"/>
  <c r="AH14" i="18"/>
  <c r="AC15" i="18"/>
  <c r="AD15" i="18"/>
  <c r="AE15" i="18"/>
  <c r="AF15" i="18"/>
  <c r="AG15" i="18"/>
  <c r="AH15" i="18"/>
  <c r="AC16" i="18"/>
  <c r="AD16" i="18"/>
  <c r="AE16" i="18"/>
  <c r="AF16" i="18"/>
  <c r="AG16" i="18"/>
  <c r="AH16" i="18"/>
  <c r="AC17" i="18"/>
  <c r="AD17" i="18"/>
  <c r="AE17" i="18"/>
  <c r="AF17" i="18"/>
  <c r="AG17" i="18"/>
  <c r="AH17" i="18"/>
  <c r="AC18" i="18"/>
  <c r="AD18" i="18"/>
  <c r="AE18" i="18"/>
  <c r="AF18" i="18"/>
  <c r="AG18" i="18"/>
  <c r="AH18" i="18"/>
  <c r="AC19" i="18"/>
  <c r="AD19" i="18"/>
  <c r="AE19" i="18"/>
  <c r="AF19" i="18"/>
  <c r="AG19" i="18"/>
  <c r="AH19" i="18"/>
  <c r="AC20" i="18"/>
  <c r="AD20" i="18"/>
  <c r="AE20" i="18"/>
  <c r="AF20" i="18"/>
  <c r="AG20" i="18"/>
  <c r="AH20" i="18"/>
  <c r="AC21" i="18"/>
  <c r="AD21" i="18"/>
  <c r="AE21" i="18"/>
  <c r="AF21" i="18"/>
  <c r="AG21" i="18"/>
  <c r="AH21" i="18"/>
  <c r="AC22" i="18"/>
  <c r="AD22" i="18"/>
  <c r="AE22" i="18"/>
  <c r="AF22" i="18"/>
  <c r="AG22" i="18"/>
  <c r="AH22" i="18"/>
  <c r="AC23" i="18"/>
  <c r="AD23" i="18"/>
  <c r="AE23" i="18"/>
  <c r="AF23" i="18"/>
  <c r="AG23" i="18"/>
  <c r="AH23" i="18"/>
  <c r="AC24" i="18"/>
  <c r="AD24" i="18"/>
  <c r="AE24" i="18"/>
  <c r="AF24" i="18"/>
  <c r="AG24" i="18"/>
  <c r="AH24" i="18"/>
  <c r="AC25" i="18"/>
  <c r="AD25" i="18"/>
  <c r="AE25" i="18"/>
  <c r="AF25" i="18"/>
  <c r="AG25" i="18"/>
  <c r="AH25" i="18"/>
  <c r="AC26" i="18"/>
  <c r="AD26" i="18"/>
  <c r="AE26" i="18"/>
  <c r="AF26" i="18"/>
  <c r="AG26" i="18"/>
  <c r="AH26" i="18"/>
  <c r="AC27" i="18"/>
  <c r="AD27" i="18"/>
  <c r="AE27" i="18"/>
  <c r="AF27" i="18"/>
  <c r="AG27" i="18"/>
  <c r="AH27" i="18"/>
  <c r="AC28" i="18"/>
  <c r="AD28" i="18"/>
  <c r="AE28" i="18"/>
  <c r="AF28" i="18"/>
  <c r="AG28" i="18"/>
  <c r="AH28" i="18"/>
  <c r="AC29" i="18"/>
  <c r="AD29" i="18"/>
  <c r="AE29" i="18"/>
  <c r="AF29" i="18"/>
  <c r="AG29" i="18"/>
  <c r="AH29" i="18"/>
  <c r="AC30" i="18"/>
  <c r="AD30" i="18"/>
  <c r="AE30" i="18"/>
  <c r="AF30" i="18"/>
  <c r="AG30" i="18"/>
  <c r="AH30" i="18"/>
  <c r="AC31" i="18"/>
  <c r="AD31" i="18"/>
  <c r="AE31" i="18"/>
  <c r="AF31" i="18"/>
  <c r="AG31" i="18"/>
  <c r="AH31" i="18"/>
  <c r="AC32" i="18"/>
  <c r="AD32" i="18"/>
  <c r="AE32" i="18"/>
  <c r="AF32" i="18"/>
  <c r="AG32" i="18"/>
  <c r="AH32" i="18"/>
  <c r="AC33" i="18"/>
  <c r="AD33" i="18"/>
  <c r="AE33" i="18"/>
  <c r="AF33" i="18"/>
  <c r="AG33" i="18"/>
  <c r="AH33" i="18"/>
  <c r="AC34" i="18"/>
  <c r="AD34" i="18"/>
  <c r="AE34" i="18"/>
  <c r="AF34" i="18"/>
  <c r="AG34" i="18"/>
  <c r="AH34" i="18"/>
  <c r="AC35" i="18"/>
  <c r="AD35" i="18"/>
  <c r="AE35" i="18"/>
  <c r="AF35" i="18"/>
  <c r="AG35" i="18"/>
  <c r="AH35" i="18"/>
  <c r="AC36" i="18"/>
  <c r="AD36" i="18"/>
  <c r="AE36" i="18"/>
  <c r="AF36" i="18"/>
  <c r="AG36" i="18"/>
  <c r="AH36" i="18"/>
  <c r="AC37" i="18"/>
  <c r="AD37" i="18"/>
  <c r="AE37" i="18"/>
  <c r="AF37" i="18"/>
  <c r="AG37" i="18"/>
  <c r="AH37" i="18"/>
  <c r="AC38" i="18"/>
  <c r="AD38" i="18"/>
  <c r="AE38" i="18"/>
  <c r="AF38" i="18"/>
  <c r="AG38" i="18"/>
  <c r="AH38" i="18"/>
  <c r="AC39" i="18"/>
  <c r="AD39" i="18"/>
  <c r="AE39" i="18"/>
  <c r="AF39" i="18"/>
  <c r="AG39" i="18"/>
  <c r="AH39" i="18"/>
  <c r="AC40" i="18"/>
  <c r="AD40" i="18"/>
  <c r="AE40" i="18"/>
  <c r="AF40" i="18"/>
  <c r="AG40" i="18"/>
  <c r="AH40" i="18"/>
  <c r="AC41" i="18"/>
  <c r="AD41" i="18"/>
  <c r="AE41" i="18"/>
  <c r="AF41" i="18"/>
  <c r="AG41" i="18"/>
  <c r="AH41" i="18"/>
  <c r="AC42" i="18"/>
  <c r="AD42" i="18"/>
  <c r="AE42" i="18"/>
  <c r="AF42" i="18"/>
  <c r="AG42" i="18"/>
  <c r="AH42" i="18"/>
  <c r="AC43" i="18"/>
  <c r="AD43" i="18"/>
  <c r="AE43" i="18"/>
  <c r="AF43" i="18"/>
  <c r="AG43" i="18"/>
  <c r="AH43" i="18"/>
  <c r="AC44" i="18"/>
  <c r="AD44" i="18"/>
  <c r="AE44" i="18"/>
  <c r="AF44" i="18"/>
  <c r="AG44" i="18"/>
  <c r="AH44" i="18"/>
  <c r="AC45" i="18"/>
  <c r="AD45" i="18"/>
  <c r="AE45" i="18"/>
  <c r="AF45" i="18"/>
  <c r="AG45" i="18"/>
  <c r="AH45" i="18"/>
  <c r="AC46" i="18"/>
  <c r="AD46" i="18"/>
  <c r="AE46" i="18"/>
  <c r="AF46" i="18"/>
  <c r="AG46" i="18"/>
  <c r="AH46" i="18"/>
  <c r="AC47" i="18"/>
  <c r="AD47" i="18"/>
  <c r="AE47" i="18"/>
  <c r="AF47" i="18"/>
  <c r="AG47" i="18"/>
  <c r="AH47" i="18"/>
  <c r="AC48" i="18"/>
  <c r="AD48" i="18"/>
  <c r="AE48" i="18"/>
  <c r="AF48" i="18"/>
  <c r="AG48" i="18"/>
  <c r="AH48" i="18"/>
  <c r="AC49" i="18"/>
  <c r="AD49" i="18"/>
  <c r="AE49" i="18"/>
  <c r="AF49" i="18"/>
  <c r="AG49" i="18"/>
  <c r="AH49" i="18"/>
  <c r="AC50" i="18"/>
  <c r="AD50" i="18"/>
  <c r="AE50" i="18"/>
  <c r="AF50" i="18"/>
  <c r="AG50" i="18"/>
  <c r="AH50" i="18"/>
  <c r="AC51" i="18"/>
  <c r="AD51" i="18"/>
  <c r="AE51" i="18"/>
  <c r="AF51" i="18"/>
  <c r="AG51" i="18"/>
  <c r="AH51" i="18"/>
  <c r="AC52" i="18"/>
  <c r="AD52" i="18"/>
  <c r="AE52" i="18"/>
  <c r="AF52" i="18"/>
  <c r="AG52" i="18"/>
  <c r="AH52" i="18"/>
  <c r="AC53" i="18"/>
  <c r="AD53" i="18"/>
  <c r="AE53" i="18"/>
  <c r="AF53" i="18"/>
  <c r="AG53" i="18"/>
  <c r="AH53" i="18"/>
  <c r="AC54" i="18"/>
  <c r="AD54" i="18"/>
  <c r="AE54" i="18"/>
  <c r="AF54" i="18"/>
  <c r="AG54" i="18"/>
  <c r="AH54" i="18"/>
  <c r="AC55" i="18"/>
  <c r="AD55" i="18"/>
  <c r="AE55" i="18"/>
  <c r="AF55" i="18"/>
  <c r="AG55" i="18"/>
  <c r="AH55" i="18"/>
  <c r="AC56" i="18"/>
  <c r="AD56" i="18"/>
  <c r="AE56" i="18"/>
  <c r="AF56" i="18"/>
  <c r="AG56" i="18"/>
  <c r="AH56" i="18"/>
  <c r="AC57" i="18"/>
  <c r="AD57" i="18"/>
  <c r="AE57" i="18"/>
  <c r="AF57" i="18"/>
  <c r="AG57" i="18"/>
  <c r="AH57" i="18"/>
  <c r="AC58" i="18"/>
  <c r="AD58" i="18"/>
  <c r="AE58" i="18"/>
  <c r="AF58" i="18"/>
  <c r="AG58" i="18"/>
  <c r="AH58" i="18"/>
  <c r="AC59" i="18"/>
  <c r="AD59" i="18"/>
  <c r="AE59" i="18"/>
  <c r="AF59" i="18"/>
  <c r="AG59" i="18"/>
  <c r="AH59" i="18"/>
  <c r="AC60" i="18"/>
  <c r="AD60" i="18"/>
  <c r="AE60" i="18"/>
  <c r="AF60" i="18"/>
  <c r="AG60" i="18"/>
  <c r="AH60" i="18"/>
  <c r="AC61" i="18"/>
  <c r="AD61" i="18"/>
  <c r="AE61" i="18"/>
  <c r="AF61" i="18"/>
  <c r="AG61" i="18"/>
  <c r="AH61" i="18"/>
  <c r="AC62" i="18"/>
  <c r="AD62" i="18"/>
  <c r="AE62" i="18"/>
  <c r="AF62" i="18"/>
  <c r="AG62" i="18"/>
  <c r="AH62" i="18"/>
  <c r="AC63" i="18"/>
  <c r="AD63" i="18"/>
  <c r="AE63" i="18"/>
  <c r="AF63" i="18"/>
  <c r="AG63" i="18"/>
  <c r="AH63" i="18"/>
  <c r="AC64" i="18"/>
  <c r="AD64" i="18"/>
  <c r="AE64" i="18"/>
  <c r="AF64" i="18"/>
  <c r="AG64" i="18"/>
  <c r="AH64" i="18"/>
  <c r="AC65" i="18"/>
  <c r="AD65" i="18"/>
  <c r="AE65" i="18"/>
  <c r="AF65" i="18"/>
  <c r="AG65" i="18"/>
  <c r="AH65" i="18"/>
  <c r="AC66" i="18"/>
  <c r="AD66" i="18"/>
  <c r="AE66" i="18"/>
  <c r="AF66" i="18"/>
  <c r="AG66" i="18"/>
  <c r="AH66" i="18"/>
  <c r="AC67" i="18"/>
  <c r="AD67" i="18"/>
  <c r="AE67" i="18"/>
  <c r="AF67" i="18"/>
  <c r="AG67" i="18"/>
  <c r="AH67" i="18"/>
  <c r="AC68" i="18"/>
  <c r="AD68" i="18"/>
  <c r="AE68" i="18"/>
  <c r="AF68" i="18"/>
  <c r="AG68" i="18"/>
  <c r="AH68" i="18"/>
  <c r="AC69" i="18"/>
  <c r="AD69" i="18"/>
  <c r="AE69" i="18"/>
  <c r="AF69" i="18"/>
  <c r="AG69" i="18"/>
  <c r="AH69" i="18"/>
  <c r="AC70" i="18"/>
  <c r="AD70" i="18"/>
  <c r="AE70" i="18"/>
  <c r="AF70" i="18"/>
  <c r="AG70" i="18"/>
  <c r="AH70" i="18"/>
  <c r="AC71" i="18"/>
  <c r="AD71" i="18"/>
  <c r="AE71" i="18"/>
  <c r="AF71" i="18"/>
  <c r="AG71" i="18"/>
  <c r="AH71" i="18"/>
  <c r="AC72" i="18"/>
  <c r="AD72" i="18"/>
  <c r="AE72" i="18"/>
  <c r="AF72" i="18"/>
  <c r="AG72" i="18"/>
  <c r="AH72" i="18"/>
  <c r="AC73" i="18"/>
  <c r="AD73" i="18"/>
  <c r="AE73" i="18"/>
  <c r="AF73" i="18"/>
  <c r="AG73" i="18"/>
  <c r="AH73" i="18"/>
  <c r="AC74" i="18"/>
  <c r="AD74" i="18"/>
  <c r="AE74" i="18"/>
  <c r="AF74" i="18"/>
  <c r="AG74" i="18"/>
  <c r="AH74" i="18"/>
  <c r="AC75" i="18"/>
  <c r="AD75" i="18"/>
  <c r="AE75" i="18"/>
  <c r="AF75" i="18"/>
  <c r="AG75" i="18"/>
  <c r="AH75" i="18"/>
  <c r="AC76" i="18"/>
  <c r="AD76" i="18"/>
  <c r="AE76" i="18"/>
  <c r="AF76" i="18"/>
  <c r="AG76" i="18"/>
  <c r="AH76" i="18"/>
  <c r="AC77" i="18"/>
  <c r="AD77" i="18"/>
  <c r="AE77" i="18"/>
  <c r="AF77" i="18"/>
  <c r="AG77" i="18"/>
  <c r="AH77" i="18"/>
  <c r="AC78" i="18"/>
  <c r="AD78" i="18"/>
  <c r="AE78" i="18"/>
  <c r="AF78" i="18"/>
  <c r="AG78" i="18"/>
  <c r="AH78" i="18"/>
  <c r="AC79" i="18"/>
  <c r="AD79" i="18"/>
  <c r="AE79" i="18"/>
  <c r="AF79" i="18"/>
  <c r="AG79" i="18"/>
  <c r="AH79" i="18"/>
  <c r="AC80" i="18"/>
  <c r="AD80" i="18"/>
  <c r="AE80" i="18"/>
  <c r="AF80" i="18"/>
  <c r="AG80" i="18"/>
  <c r="AH80" i="18"/>
  <c r="AC81" i="18"/>
  <c r="AD81" i="18"/>
  <c r="AE81" i="18"/>
  <c r="AF81" i="18"/>
  <c r="AG81" i="18"/>
  <c r="AH81" i="18"/>
  <c r="AC82" i="18"/>
  <c r="AD82" i="18"/>
  <c r="AE82" i="18"/>
  <c r="AF82" i="18"/>
  <c r="AG82" i="18"/>
  <c r="AH82" i="18"/>
  <c r="AC83" i="18"/>
  <c r="AD83" i="18"/>
  <c r="AE83" i="18"/>
  <c r="AF83" i="18"/>
  <c r="AG83" i="18"/>
  <c r="AH83" i="18"/>
  <c r="AC84" i="18"/>
  <c r="AD84" i="18"/>
  <c r="AE84" i="18"/>
  <c r="AF84" i="18"/>
  <c r="AG84" i="18"/>
  <c r="AH84" i="18"/>
  <c r="AC85" i="18"/>
  <c r="AD85" i="18"/>
  <c r="AE85" i="18"/>
  <c r="AF85" i="18"/>
  <c r="AG85" i="18"/>
  <c r="AH85" i="18"/>
  <c r="AC86" i="18"/>
  <c r="AD86" i="18"/>
  <c r="AE86" i="18"/>
  <c r="AF86" i="18"/>
  <c r="AG86" i="18"/>
  <c r="AH86" i="18"/>
  <c r="AC87" i="18"/>
  <c r="AD87" i="18"/>
  <c r="AE87" i="18"/>
  <c r="AF87" i="18"/>
  <c r="AG87" i="18"/>
  <c r="AH87" i="18"/>
  <c r="AC88" i="18"/>
  <c r="AD88" i="18"/>
  <c r="AE88" i="18"/>
  <c r="AF88" i="18"/>
  <c r="AG88" i="18"/>
  <c r="AH88" i="18"/>
  <c r="AC89" i="18"/>
  <c r="AD89" i="18"/>
  <c r="AE89" i="18"/>
  <c r="AF89" i="18"/>
  <c r="AG89" i="18"/>
  <c r="AH89" i="18"/>
  <c r="AC90" i="18"/>
  <c r="AD90" i="18"/>
  <c r="AE90" i="18"/>
  <c r="AF90" i="18"/>
  <c r="AG90" i="18"/>
  <c r="AH90" i="18"/>
  <c r="AC91" i="18"/>
  <c r="AD91" i="18"/>
  <c r="AE91" i="18"/>
  <c r="AF91" i="18"/>
  <c r="AG91" i="18"/>
  <c r="AH91" i="18"/>
  <c r="AC92" i="18"/>
  <c r="AD92" i="18"/>
  <c r="AE92" i="18"/>
  <c r="AF92" i="18"/>
  <c r="AG92" i="18"/>
  <c r="AH92" i="18"/>
  <c r="AC93" i="18"/>
  <c r="AD93" i="18"/>
  <c r="AE93" i="18"/>
  <c r="AF93" i="18"/>
  <c r="AG93" i="18"/>
  <c r="AH93" i="18"/>
  <c r="AC94" i="18"/>
  <c r="AD94" i="18"/>
  <c r="AE94" i="18"/>
  <c r="AF94" i="18"/>
  <c r="AG94" i="18"/>
  <c r="AH94" i="18"/>
  <c r="AC95" i="18"/>
  <c r="AD95" i="18"/>
  <c r="AE95" i="18"/>
  <c r="AF95" i="18"/>
  <c r="AG95" i="18"/>
  <c r="AH95" i="18"/>
  <c r="AC96" i="18"/>
  <c r="AD96" i="18"/>
  <c r="AE96" i="18"/>
  <c r="AF96" i="18"/>
  <c r="AG96" i="18"/>
  <c r="AH96" i="18"/>
  <c r="AC97" i="18"/>
  <c r="AD97" i="18"/>
  <c r="AE97" i="18"/>
  <c r="AF97" i="18"/>
  <c r="AG97" i="18"/>
  <c r="AH97" i="18"/>
  <c r="AC98" i="18"/>
  <c r="AD98" i="18"/>
  <c r="AE98" i="18"/>
  <c r="AF98" i="18"/>
  <c r="AG98" i="18"/>
  <c r="AH98" i="18"/>
  <c r="AC99" i="18"/>
  <c r="AD99" i="18"/>
  <c r="AE99" i="18"/>
  <c r="AF99" i="18"/>
  <c r="AG99" i="18"/>
  <c r="AH99" i="18"/>
  <c r="AC100" i="18"/>
  <c r="AD100" i="18"/>
  <c r="AE100" i="18"/>
  <c r="AF100" i="18"/>
  <c r="AG100" i="18"/>
  <c r="AH100" i="18"/>
  <c r="AC101" i="18"/>
  <c r="AD101" i="18"/>
  <c r="AE101" i="18"/>
  <c r="AF101" i="18"/>
  <c r="AG101" i="18"/>
  <c r="AH101" i="18"/>
  <c r="AC102" i="18"/>
  <c r="AD102" i="18"/>
  <c r="AE102" i="18"/>
  <c r="AF102" i="18"/>
  <c r="AG102" i="18"/>
  <c r="AH102" i="18"/>
  <c r="AC103" i="18"/>
  <c r="AD103" i="18"/>
  <c r="AE103" i="18"/>
  <c r="AF103" i="18"/>
  <c r="AG103" i="18"/>
  <c r="AH103" i="18"/>
  <c r="AC104" i="18"/>
  <c r="AD104" i="18"/>
  <c r="AE104" i="18"/>
  <c r="AF104" i="18"/>
  <c r="AG104" i="18"/>
  <c r="AH104" i="18"/>
  <c r="AC105" i="18"/>
  <c r="AD105" i="18"/>
  <c r="AE105" i="18"/>
  <c r="AF105" i="18"/>
  <c r="AG105" i="18"/>
  <c r="AH105" i="18"/>
  <c r="AC106" i="18"/>
  <c r="AD106" i="18"/>
  <c r="AE106" i="18"/>
  <c r="AF106" i="18"/>
  <c r="AG106" i="18"/>
  <c r="AH106" i="18"/>
  <c r="AC107" i="18"/>
  <c r="AD107" i="18"/>
  <c r="AE107" i="18"/>
  <c r="AF107" i="18"/>
  <c r="AG107" i="18"/>
  <c r="AH107" i="18"/>
  <c r="AC108" i="18"/>
  <c r="AD108" i="18"/>
  <c r="AE108" i="18"/>
  <c r="AF108" i="18"/>
  <c r="AG108" i="18"/>
  <c r="AH108" i="18"/>
  <c r="AC109" i="18"/>
  <c r="AD109" i="18"/>
  <c r="AE109" i="18"/>
  <c r="AF109" i="18"/>
  <c r="AG109" i="18"/>
  <c r="AH109" i="18"/>
  <c r="AC110" i="18"/>
  <c r="AD110" i="18"/>
  <c r="AE110" i="18"/>
  <c r="AF110" i="18"/>
  <c r="AG110" i="18"/>
  <c r="AH110" i="18"/>
  <c r="AC111" i="18"/>
  <c r="AD111" i="18"/>
  <c r="AE111" i="18"/>
  <c r="AF111" i="18"/>
  <c r="AG111" i="18"/>
  <c r="AH111" i="18"/>
  <c r="AC112" i="18"/>
  <c r="AD112" i="18"/>
  <c r="AE112" i="18"/>
  <c r="AF112" i="18"/>
  <c r="AG112" i="18"/>
  <c r="AH112" i="18"/>
  <c r="AC113" i="18"/>
  <c r="AD113" i="18"/>
  <c r="AE113" i="18"/>
  <c r="AF113" i="18"/>
  <c r="AG113" i="18"/>
  <c r="AH113" i="18"/>
  <c r="AC114" i="18"/>
  <c r="AD114" i="18"/>
  <c r="AE114" i="18"/>
  <c r="AF114" i="18"/>
  <c r="AG114" i="18"/>
  <c r="AH114" i="18"/>
  <c r="AC115" i="18"/>
  <c r="AD115" i="18"/>
  <c r="AE115" i="18"/>
  <c r="AF115" i="18"/>
  <c r="AG115" i="18"/>
  <c r="AH115" i="18"/>
  <c r="AC116" i="18"/>
  <c r="AD116" i="18"/>
  <c r="AE116" i="18"/>
  <c r="AF116" i="18"/>
  <c r="AG116" i="18"/>
  <c r="AH116" i="18"/>
  <c r="AC117" i="18"/>
  <c r="AD117" i="18"/>
  <c r="AE117" i="18"/>
  <c r="AF117" i="18"/>
  <c r="AG117" i="18"/>
  <c r="AH117" i="18"/>
  <c r="AC118" i="18"/>
  <c r="AD118" i="18"/>
  <c r="AE118" i="18"/>
  <c r="AF118" i="18"/>
  <c r="AG118" i="18"/>
  <c r="AH118" i="18"/>
  <c r="AC119" i="18"/>
  <c r="AD119" i="18"/>
  <c r="AE119" i="18"/>
  <c r="AF119" i="18"/>
  <c r="AG119" i="18"/>
  <c r="AH119" i="18"/>
  <c r="AC120" i="18"/>
  <c r="AD120" i="18"/>
  <c r="AE120" i="18"/>
  <c r="AF120" i="18"/>
  <c r="AG120" i="18"/>
  <c r="AH120" i="18"/>
  <c r="AC121" i="18"/>
  <c r="AD121" i="18"/>
  <c r="AE121" i="18"/>
  <c r="AF121" i="18"/>
  <c r="AG121" i="18"/>
  <c r="AH121" i="18"/>
  <c r="AC122" i="18"/>
  <c r="AD122" i="18"/>
  <c r="AE122" i="18"/>
  <c r="AF122" i="18"/>
  <c r="AG122" i="18"/>
  <c r="AH122" i="18"/>
  <c r="AC123" i="18"/>
  <c r="AD123" i="18"/>
  <c r="AE123" i="18"/>
  <c r="AF123" i="18"/>
  <c r="AG123" i="18"/>
  <c r="AH123" i="18"/>
  <c r="AC124" i="18"/>
  <c r="AD124" i="18"/>
  <c r="AE124" i="18"/>
  <c r="AF124" i="18"/>
  <c r="AG124" i="18"/>
  <c r="AH124" i="18"/>
  <c r="AC125" i="18"/>
  <c r="AD125" i="18"/>
  <c r="AE125" i="18"/>
  <c r="AF125" i="18"/>
  <c r="AG125" i="18"/>
  <c r="AH125" i="18"/>
  <c r="AC126" i="18"/>
  <c r="AD126" i="18"/>
  <c r="AE126" i="18"/>
  <c r="AF126" i="18"/>
  <c r="AG126" i="18"/>
  <c r="AH126" i="18"/>
  <c r="AC127" i="18"/>
  <c r="AD127" i="18"/>
  <c r="AE127" i="18"/>
  <c r="AF127" i="18"/>
  <c r="AG127" i="18"/>
  <c r="AH127" i="18"/>
  <c r="AC128" i="18"/>
  <c r="AD128" i="18"/>
  <c r="AE128" i="18"/>
  <c r="AF128" i="18"/>
  <c r="AG128" i="18"/>
  <c r="AH128" i="18"/>
  <c r="AC129" i="18"/>
  <c r="AD129" i="18"/>
  <c r="AE129" i="18"/>
  <c r="AF129" i="18"/>
  <c r="AG129" i="18"/>
  <c r="AH129" i="18"/>
  <c r="AC130" i="18"/>
  <c r="AD130" i="18"/>
  <c r="AE130" i="18"/>
  <c r="AF130" i="18"/>
  <c r="AG130" i="18"/>
  <c r="AH130" i="18"/>
  <c r="AC131" i="18"/>
  <c r="AD131" i="18"/>
  <c r="AE131" i="18"/>
  <c r="AF131" i="18"/>
  <c r="AG131" i="18"/>
  <c r="AH131" i="18"/>
  <c r="AC132" i="18"/>
  <c r="AD132" i="18"/>
  <c r="AE132" i="18"/>
  <c r="AF132" i="18"/>
  <c r="AG132" i="18"/>
  <c r="AH132" i="18"/>
  <c r="AC133" i="18"/>
  <c r="AD133" i="18"/>
  <c r="AE133" i="18"/>
  <c r="AF133" i="18"/>
  <c r="AG133" i="18"/>
  <c r="AH133" i="18"/>
  <c r="AC134" i="18"/>
  <c r="AD134" i="18"/>
  <c r="AE134" i="18"/>
  <c r="AF134" i="18"/>
  <c r="AG134" i="18"/>
  <c r="AH134" i="18"/>
  <c r="AC135" i="18"/>
  <c r="AD135" i="18"/>
  <c r="AE135" i="18"/>
  <c r="AF135" i="18"/>
  <c r="AG135" i="18"/>
  <c r="AH135" i="18"/>
  <c r="AC136" i="18"/>
  <c r="AD136" i="18"/>
  <c r="AE136" i="18"/>
  <c r="AF136" i="18"/>
  <c r="AG136" i="18"/>
  <c r="AH136" i="18"/>
  <c r="AC137" i="18"/>
  <c r="AD137" i="18"/>
  <c r="AE137" i="18"/>
  <c r="AF137" i="18"/>
  <c r="AG137" i="18"/>
  <c r="AH137" i="18"/>
  <c r="AC138" i="18"/>
  <c r="AD138" i="18"/>
  <c r="AE138" i="18"/>
  <c r="AF138" i="18"/>
  <c r="AG138" i="18"/>
  <c r="AH138" i="18"/>
  <c r="AC139" i="18"/>
  <c r="AD139" i="18"/>
  <c r="AE139" i="18"/>
  <c r="AF139" i="18"/>
  <c r="AG139" i="18"/>
  <c r="AH139" i="18"/>
  <c r="AC140" i="18"/>
  <c r="AD140" i="18"/>
  <c r="AE140" i="18"/>
  <c r="AF140" i="18"/>
  <c r="AG140" i="18"/>
  <c r="AH140" i="18"/>
  <c r="AC141" i="18"/>
  <c r="AD141" i="18"/>
  <c r="AE141" i="18"/>
  <c r="AF141" i="18"/>
  <c r="AG141" i="18"/>
  <c r="AH141" i="18"/>
  <c r="AC142" i="18"/>
  <c r="AD142" i="18"/>
  <c r="AE142" i="18"/>
  <c r="AF142" i="18"/>
  <c r="AG142" i="18"/>
  <c r="AH142" i="18"/>
  <c r="AC143" i="18"/>
  <c r="AD143" i="18"/>
  <c r="AE143" i="18"/>
  <c r="AF143" i="18"/>
  <c r="AG143" i="18"/>
  <c r="AH143" i="18"/>
  <c r="AC144" i="18"/>
  <c r="AD144" i="18"/>
  <c r="AE144" i="18"/>
  <c r="AF144" i="18"/>
  <c r="AG144" i="18"/>
  <c r="AH144" i="18"/>
  <c r="AC145" i="18"/>
  <c r="AD145" i="18"/>
  <c r="AE145" i="18"/>
  <c r="AF145" i="18"/>
  <c r="AG145" i="18"/>
  <c r="AH145" i="18"/>
  <c r="AC146" i="18"/>
  <c r="AD146" i="18"/>
  <c r="AE146" i="18"/>
  <c r="AF146" i="18"/>
  <c r="AG146" i="18"/>
  <c r="AH146" i="18"/>
  <c r="AC147" i="18"/>
  <c r="AD147" i="18"/>
  <c r="AE147" i="18"/>
  <c r="AF147" i="18"/>
  <c r="AG147" i="18"/>
  <c r="AH147" i="18"/>
  <c r="AC148" i="18"/>
  <c r="AD148" i="18"/>
  <c r="AE148" i="18"/>
  <c r="AF148" i="18"/>
  <c r="AG148" i="18"/>
  <c r="AH148" i="18"/>
  <c r="AC149" i="18"/>
  <c r="AD149" i="18"/>
  <c r="AE149" i="18"/>
  <c r="AF149" i="18"/>
  <c r="AG149" i="18"/>
  <c r="AH149" i="18"/>
  <c r="AC150" i="18"/>
  <c r="AD150" i="18"/>
  <c r="AE150" i="18"/>
  <c r="AF150" i="18"/>
  <c r="AG150" i="18"/>
  <c r="AH150" i="18"/>
  <c r="AC151" i="18"/>
  <c r="AD151" i="18"/>
  <c r="AE151" i="18"/>
  <c r="AF151" i="18"/>
  <c r="AG151" i="18"/>
  <c r="AH151" i="18"/>
  <c r="AC152" i="18"/>
  <c r="AD152" i="18"/>
  <c r="AE152" i="18"/>
  <c r="AF152" i="18"/>
  <c r="AG152" i="18"/>
  <c r="AH152" i="18"/>
  <c r="AC153" i="18"/>
  <c r="AD153" i="18"/>
  <c r="AE153" i="18"/>
  <c r="AF153" i="18"/>
  <c r="AG153" i="18"/>
  <c r="AH153" i="18"/>
  <c r="AC154" i="18"/>
  <c r="AD154" i="18"/>
  <c r="AE154" i="18"/>
  <c r="AF154" i="18"/>
  <c r="AG154" i="18"/>
  <c r="AH154" i="18"/>
  <c r="AC155" i="18"/>
  <c r="AD155" i="18"/>
  <c r="AE155" i="18"/>
  <c r="AF155" i="18"/>
  <c r="AG155" i="18"/>
  <c r="AH155" i="18"/>
  <c r="AC156" i="18"/>
  <c r="AD156" i="18"/>
  <c r="AE156" i="18"/>
  <c r="AF156" i="18"/>
  <c r="AG156" i="18"/>
  <c r="AH156" i="18"/>
  <c r="AC157" i="18"/>
  <c r="AD157" i="18"/>
  <c r="AE157" i="18"/>
  <c r="AF157" i="18"/>
  <c r="AG157" i="18"/>
  <c r="AH157" i="18"/>
  <c r="AC158" i="18"/>
  <c r="AD158" i="18"/>
  <c r="AE158" i="18"/>
  <c r="AF158" i="18"/>
  <c r="AG158" i="18"/>
  <c r="AH158" i="18"/>
  <c r="AC159" i="18"/>
  <c r="AD159" i="18"/>
  <c r="AE159" i="18"/>
  <c r="AF159" i="18"/>
  <c r="AG159" i="18"/>
  <c r="AH159" i="18"/>
  <c r="AC160" i="18"/>
  <c r="AD160" i="18"/>
  <c r="AE160" i="18"/>
  <c r="AF160" i="18"/>
  <c r="AG160" i="18"/>
  <c r="AH160" i="18"/>
  <c r="AC161" i="18"/>
  <c r="AD161" i="18"/>
  <c r="AE161" i="18"/>
  <c r="AF161" i="18"/>
  <c r="AG161" i="18"/>
  <c r="AH161" i="18"/>
  <c r="AC162" i="18"/>
  <c r="AD162" i="18"/>
  <c r="AE162" i="18"/>
  <c r="AF162" i="18"/>
  <c r="AG162" i="18"/>
  <c r="AH162" i="18"/>
  <c r="AC163" i="18"/>
  <c r="AD163" i="18"/>
  <c r="AE163" i="18"/>
  <c r="AF163" i="18"/>
  <c r="AG163" i="18"/>
  <c r="AH163" i="18"/>
  <c r="AC164" i="18"/>
  <c r="AD164" i="18"/>
  <c r="AE164" i="18"/>
  <c r="AF164" i="18"/>
  <c r="AG164" i="18"/>
  <c r="AH164" i="18"/>
  <c r="AC165" i="18"/>
  <c r="AD165" i="18"/>
  <c r="AE165" i="18"/>
  <c r="AF165" i="18"/>
  <c r="AG165" i="18"/>
  <c r="AH165" i="18"/>
  <c r="AC166" i="18"/>
  <c r="AD166" i="18"/>
  <c r="AE166" i="18"/>
  <c r="AF166" i="18"/>
  <c r="AG166" i="18"/>
  <c r="AH166" i="18"/>
  <c r="AC167" i="18"/>
  <c r="AD167" i="18"/>
  <c r="AE167" i="18"/>
  <c r="AF167" i="18"/>
  <c r="AG167" i="18"/>
  <c r="AH167" i="18"/>
  <c r="AC168" i="18"/>
  <c r="AD168" i="18"/>
  <c r="AE168" i="18"/>
  <c r="AF168" i="18"/>
  <c r="AG168" i="18"/>
  <c r="AH168" i="18"/>
  <c r="AC169" i="18"/>
  <c r="AD169" i="18"/>
  <c r="AE169" i="18"/>
  <c r="AF169" i="18"/>
  <c r="AG169" i="18"/>
  <c r="AH169" i="18"/>
  <c r="AC170" i="18"/>
  <c r="AD170" i="18"/>
  <c r="AE170" i="18"/>
  <c r="AF170" i="18"/>
  <c r="AG170" i="18"/>
  <c r="AH170" i="18"/>
  <c r="AC171" i="18"/>
  <c r="AD171" i="18"/>
  <c r="AE171" i="18"/>
  <c r="AF171" i="18"/>
  <c r="AG171" i="18"/>
  <c r="AH171" i="18"/>
  <c r="AC172" i="18"/>
  <c r="AD172" i="18"/>
  <c r="AE172" i="18"/>
  <c r="AF172" i="18"/>
  <c r="AG172" i="18"/>
  <c r="AH172" i="18"/>
  <c r="AC173" i="18"/>
  <c r="AD173" i="18"/>
  <c r="AE173" i="18"/>
  <c r="AF173" i="18"/>
  <c r="AG173" i="18"/>
  <c r="AH173" i="18"/>
  <c r="AC174" i="18"/>
  <c r="AD174" i="18"/>
  <c r="AE174" i="18"/>
  <c r="AF174" i="18"/>
  <c r="AG174" i="18"/>
  <c r="AH174" i="18"/>
  <c r="AC175" i="18"/>
  <c r="AD175" i="18"/>
  <c r="AE175" i="18"/>
  <c r="AF175" i="18"/>
  <c r="AG175" i="18"/>
  <c r="AH175" i="18"/>
  <c r="AC176" i="18"/>
  <c r="AD176" i="18"/>
  <c r="AE176" i="18"/>
  <c r="AF176" i="18"/>
  <c r="AG176" i="18"/>
  <c r="AH176" i="18"/>
  <c r="AC177" i="18"/>
  <c r="AD177" i="18"/>
  <c r="AE177" i="18"/>
  <c r="AF177" i="18"/>
  <c r="AG177" i="18"/>
  <c r="AH177" i="18"/>
  <c r="AC178" i="18"/>
  <c r="AD178" i="18"/>
  <c r="AE178" i="18"/>
  <c r="AF178" i="18"/>
  <c r="AG178" i="18"/>
  <c r="AH178" i="18"/>
  <c r="AC179" i="18"/>
  <c r="AD179" i="18"/>
  <c r="AE179" i="18"/>
  <c r="AF179" i="18"/>
  <c r="AG179" i="18"/>
  <c r="AH179" i="18"/>
  <c r="AC180" i="18"/>
  <c r="AD180" i="18"/>
  <c r="AE180" i="18"/>
  <c r="AF180" i="18"/>
  <c r="AG180" i="18"/>
  <c r="AH180" i="18"/>
  <c r="AC181" i="18"/>
  <c r="AD181" i="18"/>
  <c r="AE181" i="18"/>
  <c r="AF181" i="18"/>
  <c r="AG181" i="18"/>
  <c r="AH181" i="18"/>
  <c r="AC182" i="18"/>
  <c r="AD182" i="18"/>
  <c r="AE182" i="18"/>
  <c r="AF182" i="18"/>
  <c r="AG182" i="18"/>
  <c r="AH182" i="18"/>
  <c r="AC183" i="18"/>
  <c r="AD183" i="18"/>
  <c r="AE183" i="18"/>
  <c r="AF183" i="18"/>
  <c r="AG183" i="18"/>
  <c r="AH183" i="18"/>
  <c r="AC184" i="18"/>
  <c r="AD184" i="18"/>
  <c r="AE184" i="18"/>
  <c r="AF184" i="18"/>
  <c r="AG184" i="18"/>
  <c r="AH184" i="18"/>
  <c r="AC185" i="18"/>
  <c r="AD185" i="18"/>
  <c r="AE185" i="18"/>
  <c r="AF185" i="18"/>
  <c r="AG185" i="18"/>
  <c r="AH185" i="18"/>
  <c r="AC186" i="18"/>
  <c r="AD186" i="18"/>
  <c r="AE186" i="18"/>
  <c r="AF186" i="18"/>
  <c r="AG186" i="18"/>
  <c r="AH186" i="18"/>
  <c r="AC187" i="18"/>
  <c r="AD187" i="18"/>
  <c r="AE187" i="18"/>
  <c r="AF187" i="18"/>
  <c r="AG187" i="18"/>
  <c r="AH187" i="18"/>
  <c r="AC188" i="18"/>
  <c r="AD188" i="18"/>
  <c r="AE188" i="18"/>
  <c r="AF188" i="18"/>
  <c r="AG188" i="18"/>
  <c r="AH188" i="18"/>
  <c r="AC189" i="18"/>
  <c r="AD189" i="18"/>
  <c r="AE189" i="18"/>
  <c r="AF189" i="18"/>
  <c r="AG189" i="18"/>
  <c r="AH189" i="18"/>
  <c r="AC190" i="18"/>
  <c r="AD190" i="18"/>
  <c r="AE190" i="18"/>
  <c r="AF190" i="18"/>
  <c r="AG190" i="18"/>
  <c r="AH190" i="18"/>
  <c r="AC191" i="18"/>
  <c r="AD191" i="18"/>
  <c r="AE191" i="18"/>
  <c r="AF191" i="18"/>
  <c r="AG191" i="18"/>
  <c r="AH191" i="18"/>
  <c r="AC192" i="18"/>
  <c r="AD192" i="18"/>
  <c r="AE192" i="18"/>
  <c r="AF192" i="18"/>
  <c r="AG192" i="18"/>
  <c r="AH192" i="18"/>
  <c r="AC193" i="18"/>
  <c r="AD193" i="18"/>
  <c r="AE193" i="18"/>
  <c r="AF193" i="18"/>
  <c r="AG193" i="18"/>
  <c r="AH193" i="18"/>
  <c r="AC194" i="18"/>
  <c r="AD194" i="18"/>
  <c r="AE194" i="18"/>
  <c r="AF194" i="18"/>
  <c r="AG194" i="18"/>
  <c r="AH194" i="18"/>
  <c r="AC195" i="18"/>
  <c r="AD195" i="18"/>
  <c r="AE195" i="18"/>
  <c r="AF195" i="18"/>
  <c r="AG195" i="18"/>
  <c r="AH195" i="18"/>
  <c r="AC196" i="18"/>
  <c r="AD196" i="18"/>
  <c r="AE196" i="18"/>
  <c r="AF196" i="18"/>
  <c r="AG196" i="18"/>
  <c r="AH196" i="18"/>
  <c r="AC197" i="18"/>
  <c r="AD197" i="18"/>
  <c r="AE197" i="18"/>
  <c r="AF197" i="18"/>
  <c r="AG197" i="18"/>
  <c r="AH197" i="18"/>
  <c r="AC198" i="18"/>
  <c r="AD198" i="18"/>
  <c r="AE198" i="18"/>
  <c r="AF198" i="18"/>
  <c r="AG198" i="18"/>
  <c r="AH198" i="18"/>
  <c r="AC199" i="18"/>
  <c r="AD199" i="18"/>
  <c r="AE199" i="18"/>
  <c r="AF199" i="18"/>
  <c r="AG199" i="18"/>
  <c r="AH199" i="18"/>
  <c r="AC200" i="18"/>
  <c r="AD200" i="18"/>
  <c r="AE200" i="18"/>
  <c r="AF200" i="18"/>
  <c r="AG200" i="18"/>
  <c r="AH200" i="18"/>
  <c r="AC201" i="18"/>
  <c r="AD201" i="18"/>
  <c r="AE201" i="18"/>
  <c r="AF201" i="18"/>
  <c r="AG201" i="18"/>
  <c r="AH201" i="18"/>
  <c r="AC202" i="18"/>
  <c r="AD202" i="18"/>
  <c r="AE202" i="18"/>
  <c r="AF202" i="18"/>
  <c r="AG202" i="18"/>
  <c r="AH202" i="18"/>
  <c r="AC203" i="18"/>
  <c r="AD203" i="18"/>
  <c r="AE203" i="18"/>
  <c r="AF203" i="18"/>
  <c r="AG203" i="18"/>
  <c r="AH203" i="18"/>
  <c r="AC204" i="18"/>
  <c r="AD204" i="18"/>
  <c r="AE204" i="18"/>
  <c r="AF204" i="18"/>
  <c r="AG204" i="18"/>
  <c r="AH204" i="18"/>
  <c r="AC205" i="18"/>
  <c r="AD205" i="18"/>
  <c r="AE205" i="18"/>
  <c r="AF205" i="18"/>
  <c r="AG205" i="18"/>
  <c r="AH205" i="18"/>
  <c r="AC206" i="18"/>
  <c r="AD206" i="18"/>
  <c r="AE206" i="18"/>
  <c r="AF206" i="18"/>
  <c r="AG206" i="18"/>
  <c r="AH206" i="18"/>
  <c r="AC207" i="18"/>
  <c r="AD207" i="18"/>
  <c r="AE207" i="18"/>
  <c r="AF207" i="18"/>
  <c r="AG207" i="18"/>
  <c r="AH207" i="18"/>
  <c r="AC208" i="18"/>
  <c r="AD208" i="18"/>
  <c r="AE208" i="18"/>
  <c r="AF208" i="18"/>
  <c r="AG208" i="18"/>
  <c r="AH208" i="18"/>
  <c r="AC209" i="18"/>
  <c r="AD209" i="18"/>
  <c r="AE209" i="18"/>
  <c r="AF209" i="18"/>
  <c r="AG209" i="18"/>
  <c r="AH209" i="18"/>
  <c r="AC210" i="18"/>
  <c r="AD210" i="18"/>
  <c r="AE210" i="18"/>
  <c r="AF210" i="18"/>
  <c r="AG210" i="18"/>
  <c r="AH210" i="18"/>
  <c r="AC211" i="18"/>
  <c r="AD211" i="18"/>
  <c r="AE211" i="18"/>
  <c r="AF211" i="18"/>
  <c r="AG211" i="18"/>
  <c r="AH211" i="18"/>
  <c r="AC212" i="18"/>
  <c r="AD212" i="18"/>
  <c r="AE212" i="18"/>
  <c r="AF212" i="18"/>
  <c r="AG212" i="18"/>
  <c r="AH212" i="18"/>
  <c r="AC213" i="18"/>
  <c r="AD213" i="18"/>
  <c r="AE213" i="18"/>
  <c r="AF213" i="18"/>
  <c r="AG213" i="18"/>
  <c r="AH213" i="18"/>
  <c r="AC214" i="18"/>
  <c r="AD214" i="18"/>
  <c r="AE214" i="18"/>
  <c r="AF214" i="18"/>
  <c r="AG214" i="18"/>
  <c r="AH214" i="18"/>
  <c r="AC215" i="18"/>
  <c r="AD215" i="18"/>
  <c r="AE215" i="18"/>
  <c r="AF215" i="18"/>
  <c r="AG215" i="18"/>
  <c r="AH215" i="18"/>
  <c r="AC216" i="18"/>
  <c r="AD216" i="18"/>
  <c r="AE216" i="18"/>
  <c r="AF216" i="18"/>
  <c r="AG216" i="18"/>
  <c r="AH216" i="18"/>
  <c r="AC217" i="18"/>
  <c r="AD217" i="18"/>
  <c r="AE217" i="18"/>
  <c r="AF217" i="18"/>
  <c r="AG217" i="18"/>
  <c r="AH217" i="18"/>
  <c r="AC218" i="18"/>
  <c r="AD218" i="18"/>
  <c r="AE218" i="18"/>
  <c r="AF218" i="18"/>
  <c r="AG218" i="18"/>
  <c r="AH218" i="18"/>
  <c r="AC219" i="18"/>
  <c r="AD219" i="18"/>
  <c r="AE219" i="18"/>
  <c r="AF219" i="18"/>
  <c r="AG219" i="18"/>
  <c r="AH219" i="18"/>
  <c r="AC220" i="18"/>
  <c r="AD220" i="18"/>
  <c r="AE220" i="18"/>
  <c r="AF220" i="18"/>
  <c r="AG220" i="18"/>
  <c r="AH220" i="18"/>
  <c r="AC221" i="18"/>
  <c r="AD221" i="18"/>
  <c r="AE221" i="18"/>
  <c r="AF221" i="18"/>
  <c r="AG221" i="18"/>
  <c r="AH221" i="18"/>
  <c r="AC222" i="18"/>
  <c r="AD222" i="18"/>
  <c r="AE222" i="18"/>
  <c r="AF222" i="18"/>
  <c r="AG222" i="18"/>
  <c r="AH222" i="18"/>
  <c r="AC223" i="18"/>
  <c r="AD223" i="18"/>
  <c r="AE223" i="18"/>
  <c r="AF223" i="18"/>
  <c r="AG223" i="18"/>
  <c r="AH223" i="18"/>
  <c r="AC224" i="18"/>
  <c r="AD224" i="18"/>
  <c r="AE224" i="18"/>
  <c r="AF224" i="18"/>
  <c r="AG224" i="18"/>
  <c r="AH224" i="18"/>
  <c r="AC225" i="18"/>
  <c r="AD225" i="18"/>
  <c r="AE225" i="18"/>
  <c r="AF225" i="18"/>
  <c r="AG225" i="18"/>
  <c r="AH225" i="18"/>
  <c r="AC226" i="18"/>
  <c r="AD226" i="18"/>
  <c r="AE226" i="18"/>
  <c r="AF226" i="18"/>
  <c r="AG226" i="18"/>
  <c r="AH226" i="18"/>
  <c r="AC227" i="18"/>
  <c r="AD227" i="18"/>
  <c r="AE227" i="18"/>
  <c r="AF227" i="18"/>
  <c r="AG227" i="18"/>
  <c r="AH227" i="18"/>
  <c r="AC228" i="18"/>
  <c r="AD228" i="18"/>
  <c r="AE228" i="18"/>
  <c r="AF228" i="18"/>
  <c r="AG228" i="18"/>
  <c r="AH228" i="18"/>
  <c r="AC229" i="18"/>
  <c r="AD229" i="18"/>
  <c r="AE229" i="18"/>
  <c r="AF229" i="18"/>
  <c r="AG229" i="18"/>
  <c r="AH229" i="18"/>
  <c r="AC230" i="18"/>
  <c r="AD230" i="18"/>
  <c r="AE230" i="18"/>
  <c r="AF230" i="18"/>
  <c r="AG230" i="18"/>
  <c r="AH230" i="18"/>
  <c r="AC231" i="18"/>
  <c r="AD231" i="18"/>
  <c r="AE231" i="18"/>
  <c r="AF231" i="18"/>
  <c r="AG231" i="18"/>
  <c r="AH231" i="18"/>
  <c r="AC232" i="18"/>
  <c r="AD232" i="18"/>
  <c r="AE232" i="18"/>
  <c r="AF232" i="18"/>
  <c r="AG232" i="18"/>
  <c r="AH232" i="18"/>
  <c r="AC233" i="18"/>
  <c r="AD233" i="18"/>
  <c r="AE233" i="18"/>
  <c r="AF233" i="18"/>
  <c r="AG233" i="18"/>
  <c r="AH233" i="18"/>
  <c r="AC234" i="18"/>
  <c r="AD234" i="18"/>
  <c r="AE234" i="18"/>
  <c r="AF234" i="18"/>
  <c r="AG234" i="18"/>
  <c r="AH234" i="18"/>
  <c r="AC235" i="18"/>
  <c r="AD235" i="18"/>
  <c r="AE235" i="18"/>
  <c r="AF235" i="18"/>
  <c r="AG235" i="18"/>
  <c r="AH235" i="18"/>
  <c r="AC236" i="18"/>
  <c r="AD236" i="18"/>
  <c r="AE236" i="18"/>
  <c r="AF236" i="18"/>
  <c r="AG236" i="18"/>
  <c r="AH236" i="18"/>
  <c r="AC237" i="18"/>
  <c r="AD237" i="18"/>
  <c r="AE237" i="18"/>
  <c r="AF237" i="18"/>
  <c r="AG237" i="18"/>
  <c r="AH237" i="18"/>
  <c r="AC238" i="18"/>
  <c r="AD238" i="18"/>
  <c r="AE238" i="18"/>
  <c r="AF238" i="18"/>
  <c r="AG238" i="18"/>
  <c r="AH238" i="18"/>
  <c r="AC239" i="18"/>
  <c r="AD239" i="18"/>
  <c r="AE239" i="18"/>
  <c r="AF239" i="18"/>
  <c r="AG239" i="18"/>
  <c r="AH239" i="18"/>
  <c r="AC240" i="18"/>
  <c r="AD240" i="18"/>
  <c r="AE240" i="18"/>
  <c r="AF240" i="18"/>
  <c r="AG240" i="18"/>
  <c r="AH240" i="18"/>
  <c r="AC241" i="18"/>
  <c r="AD241" i="18"/>
  <c r="AE241" i="18"/>
  <c r="AF241" i="18"/>
  <c r="AG241" i="18"/>
  <c r="AH241" i="18"/>
  <c r="AC242" i="18"/>
  <c r="AD242" i="18"/>
  <c r="AE242" i="18"/>
  <c r="AF242" i="18"/>
  <c r="AG242" i="18"/>
  <c r="AH242" i="18"/>
  <c r="AC243" i="18"/>
  <c r="AD243" i="18"/>
  <c r="AE243" i="18"/>
  <c r="AF243" i="18"/>
  <c r="AG243" i="18"/>
  <c r="AH243" i="18"/>
  <c r="AC244" i="18"/>
  <c r="AD244" i="18"/>
  <c r="AE244" i="18"/>
  <c r="AF244" i="18"/>
  <c r="AG244" i="18"/>
  <c r="AH244" i="18"/>
  <c r="AC245" i="18"/>
  <c r="AD245" i="18"/>
  <c r="AE245" i="18"/>
  <c r="AF245" i="18"/>
  <c r="AG245" i="18"/>
  <c r="AH245" i="18"/>
  <c r="AC246" i="18"/>
  <c r="AD246" i="18"/>
  <c r="AE246" i="18"/>
  <c r="AF246" i="18"/>
  <c r="AG246" i="18"/>
  <c r="AH246" i="18"/>
  <c r="AC247" i="18"/>
  <c r="AD247" i="18"/>
  <c r="AE247" i="18"/>
  <c r="AF247" i="18"/>
  <c r="AG247" i="18"/>
  <c r="AH247" i="18"/>
  <c r="AC248" i="18"/>
  <c r="AD248" i="18"/>
  <c r="AE248" i="18"/>
  <c r="AF248" i="18"/>
  <c r="AG248" i="18"/>
  <c r="AH248" i="18"/>
  <c r="AC249" i="18"/>
  <c r="AD249" i="18"/>
  <c r="AE249" i="18"/>
  <c r="AF249" i="18"/>
  <c r="AG249" i="18"/>
  <c r="AH249" i="18"/>
  <c r="AC250" i="18"/>
  <c r="AD250" i="18"/>
  <c r="AE250" i="18"/>
  <c r="AF250" i="18"/>
  <c r="AG250" i="18"/>
  <c r="AH250" i="18"/>
  <c r="AC251" i="18"/>
  <c r="AD251" i="18"/>
  <c r="AE251" i="18"/>
  <c r="AF251" i="18"/>
  <c r="AG251" i="18"/>
  <c r="AH251" i="18"/>
  <c r="AC252" i="18"/>
  <c r="AD252" i="18"/>
  <c r="AE252" i="18"/>
  <c r="AF252" i="18"/>
  <c r="AG252" i="18"/>
  <c r="AH252" i="18"/>
  <c r="AC253" i="18"/>
  <c r="AD253" i="18"/>
  <c r="AE253" i="18"/>
  <c r="AF253" i="18"/>
  <c r="AG253" i="18"/>
  <c r="AH253" i="18"/>
  <c r="AC254" i="18"/>
  <c r="AD254" i="18"/>
  <c r="AE254" i="18"/>
  <c r="AF254" i="18"/>
  <c r="AG254" i="18"/>
  <c r="AH254" i="18"/>
  <c r="AC255" i="18"/>
  <c r="AD255" i="18"/>
  <c r="AE255" i="18"/>
  <c r="AF255" i="18"/>
  <c r="AG255" i="18"/>
  <c r="AH255" i="18"/>
  <c r="AC256" i="18"/>
  <c r="AD256" i="18"/>
  <c r="AE256" i="18"/>
  <c r="AF256" i="18"/>
  <c r="AG256" i="18"/>
  <c r="AH256" i="18"/>
  <c r="AC257" i="18"/>
  <c r="AD257" i="18"/>
  <c r="AE257" i="18"/>
  <c r="AF257" i="18"/>
  <c r="AG257" i="18"/>
  <c r="AH257" i="18"/>
  <c r="AC258" i="18"/>
  <c r="AD258" i="18"/>
  <c r="AE258" i="18"/>
  <c r="AF258" i="18"/>
  <c r="AG258" i="18"/>
  <c r="AH258" i="18"/>
  <c r="AC259" i="18"/>
  <c r="AD259" i="18"/>
  <c r="AE259" i="18"/>
  <c r="AF259" i="18"/>
  <c r="AG259" i="18"/>
  <c r="AH259" i="18"/>
  <c r="AC260" i="18"/>
  <c r="AD260" i="18"/>
  <c r="AE260" i="18"/>
  <c r="AF260" i="18"/>
  <c r="AG260" i="18"/>
  <c r="AH260" i="18"/>
  <c r="AC261" i="18"/>
  <c r="AD261" i="18"/>
  <c r="AE261" i="18"/>
  <c r="AF261" i="18"/>
  <c r="AG261" i="18"/>
  <c r="AH261" i="18"/>
  <c r="AC262" i="18"/>
  <c r="AD262" i="18"/>
  <c r="AE262" i="18"/>
  <c r="AF262" i="18"/>
  <c r="AG262" i="18"/>
  <c r="AH262" i="18"/>
  <c r="AC263" i="18"/>
  <c r="AD263" i="18"/>
  <c r="AE263" i="18"/>
  <c r="AF263" i="18"/>
  <c r="AG263" i="18"/>
  <c r="AH263" i="18"/>
  <c r="AC264" i="18"/>
  <c r="AD264" i="18"/>
  <c r="AE264" i="18"/>
  <c r="AF264" i="18"/>
  <c r="AG264" i="18"/>
  <c r="AH264" i="18"/>
  <c r="AC265" i="18"/>
  <c r="AD265" i="18"/>
  <c r="AE265" i="18"/>
  <c r="AF265" i="18"/>
  <c r="AG265" i="18"/>
  <c r="AH265" i="18"/>
  <c r="AC266" i="18"/>
  <c r="AD266" i="18"/>
  <c r="AE266" i="18"/>
  <c r="AF266" i="18"/>
  <c r="AG266" i="18"/>
  <c r="AH266" i="18"/>
  <c r="AC267" i="18"/>
  <c r="AD267" i="18"/>
  <c r="AE267" i="18"/>
  <c r="AF267" i="18"/>
  <c r="AG267" i="18"/>
  <c r="AH267" i="18"/>
  <c r="AC268" i="18"/>
  <c r="AD268" i="18"/>
  <c r="AE268" i="18"/>
  <c r="AF268" i="18"/>
  <c r="AG268" i="18"/>
  <c r="AH268" i="18"/>
  <c r="AC269" i="18"/>
  <c r="AD269" i="18"/>
  <c r="AE269" i="18"/>
  <c r="AF269" i="18"/>
  <c r="AG269" i="18"/>
  <c r="AH269" i="18"/>
  <c r="AC270" i="18"/>
  <c r="AD270" i="18"/>
  <c r="AE270" i="18"/>
  <c r="AF270" i="18"/>
  <c r="AG270" i="18"/>
  <c r="AH270" i="18"/>
  <c r="AC271" i="18"/>
  <c r="AD271" i="18"/>
  <c r="AE271" i="18"/>
  <c r="AF271" i="18"/>
  <c r="AG271" i="18"/>
  <c r="AH271" i="18"/>
  <c r="AC272" i="18"/>
  <c r="AD272" i="18"/>
  <c r="AE272" i="18"/>
  <c r="AF272" i="18"/>
  <c r="AG272" i="18"/>
  <c r="AH272" i="18"/>
  <c r="AC273" i="18"/>
  <c r="AD273" i="18"/>
  <c r="AE273" i="18"/>
  <c r="AF273" i="18"/>
  <c r="AG273" i="18"/>
  <c r="AH273" i="18"/>
  <c r="AC274" i="18"/>
  <c r="AD274" i="18"/>
  <c r="AE274" i="18"/>
  <c r="AF274" i="18"/>
  <c r="AG274" i="18"/>
  <c r="AH274" i="18"/>
  <c r="AC275" i="18"/>
  <c r="AD275" i="18"/>
  <c r="AE275" i="18"/>
  <c r="AF275" i="18"/>
  <c r="AG275" i="18"/>
  <c r="AH275" i="18"/>
  <c r="AC276" i="18"/>
  <c r="AD276" i="18"/>
  <c r="AE276" i="18"/>
  <c r="AF276" i="18"/>
  <c r="AG276" i="18"/>
  <c r="AH276" i="18"/>
  <c r="AC277" i="18"/>
  <c r="AD277" i="18"/>
  <c r="AE277" i="18"/>
  <c r="AF277" i="18"/>
  <c r="AG277" i="18"/>
  <c r="AH277" i="18"/>
  <c r="AC278" i="18"/>
  <c r="AD278" i="18"/>
  <c r="AE278" i="18"/>
  <c r="AF278" i="18"/>
  <c r="AG278" i="18"/>
  <c r="AH278" i="18"/>
  <c r="AC279" i="18"/>
  <c r="AD279" i="18"/>
  <c r="AE279" i="18"/>
  <c r="AF279" i="18"/>
  <c r="AG279" i="18"/>
  <c r="AH279" i="18"/>
  <c r="AC280" i="18"/>
  <c r="AD280" i="18"/>
  <c r="AE280" i="18"/>
  <c r="AF280" i="18"/>
  <c r="AG280" i="18"/>
  <c r="AH280" i="18"/>
  <c r="AC281" i="18"/>
  <c r="AD281" i="18"/>
  <c r="AE281" i="18"/>
  <c r="AF281" i="18"/>
  <c r="AG281" i="18"/>
  <c r="AH281" i="18"/>
  <c r="AC282" i="18"/>
  <c r="AD282" i="18"/>
  <c r="AE282" i="18"/>
  <c r="AF282" i="18"/>
  <c r="AG282" i="18"/>
  <c r="AH282" i="18"/>
  <c r="AC283" i="18"/>
  <c r="AD283" i="18"/>
  <c r="AE283" i="18"/>
  <c r="AF283" i="18"/>
  <c r="AG283" i="18"/>
  <c r="AH283" i="18"/>
  <c r="AC284" i="18"/>
  <c r="AD284" i="18"/>
  <c r="AE284" i="18"/>
  <c r="AF284" i="18"/>
  <c r="AG284" i="18"/>
  <c r="AH284" i="18"/>
  <c r="AC285" i="18"/>
  <c r="AD285" i="18"/>
  <c r="AE285" i="18"/>
  <c r="AF285" i="18"/>
  <c r="AG285" i="18"/>
  <c r="AH285" i="18"/>
  <c r="AC286" i="18"/>
  <c r="AD286" i="18"/>
  <c r="AE286" i="18"/>
  <c r="AF286" i="18"/>
  <c r="AG286" i="18"/>
  <c r="AH286" i="18"/>
  <c r="AC287" i="18"/>
  <c r="AD287" i="18"/>
  <c r="AE287" i="18"/>
  <c r="AF287" i="18"/>
  <c r="AG287" i="18"/>
  <c r="AH287" i="18"/>
  <c r="AC288" i="18"/>
  <c r="AD288" i="18"/>
  <c r="AE288" i="18"/>
  <c r="AF288" i="18"/>
  <c r="AG288" i="18"/>
  <c r="AH288" i="18"/>
  <c r="AC289" i="18"/>
  <c r="AD289" i="18"/>
  <c r="AE289" i="18"/>
  <c r="AF289" i="18"/>
  <c r="AG289" i="18"/>
  <c r="AH289" i="18"/>
  <c r="AC290" i="18"/>
  <c r="AD290" i="18"/>
  <c r="AE290" i="18"/>
  <c r="AF290" i="18"/>
  <c r="AG290" i="18"/>
  <c r="AH290" i="18"/>
  <c r="AC291" i="18"/>
  <c r="AD291" i="18"/>
  <c r="AE291" i="18"/>
  <c r="AF291" i="18"/>
  <c r="AG291" i="18"/>
  <c r="AH291" i="18"/>
  <c r="AC292" i="18"/>
  <c r="AD292" i="18"/>
  <c r="AE292" i="18"/>
  <c r="AF292" i="18"/>
  <c r="AG292" i="18"/>
  <c r="AH292" i="18"/>
  <c r="AC293" i="18"/>
  <c r="AD293" i="18"/>
  <c r="AE293" i="18"/>
  <c r="AF293" i="18"/>
  <c r="AG293" i="18"/>
  <c r="AH293" i="18"/>
  <c r="AC294" i="18"/>
  <c r="AD294" i="18"/>
  <c r="AE294" i="18"/>
  <c r="AF294" i="18"/>
  <c r="AG294" i="18"/>
  <c r="AH294" i="18"/>
  <c r="AC295" i="18"/>
  <c r="AD295" i="18"/>
  <c r="AE295" i="18"/>
  <c r="AF295" i="18"/>
  <c r="AG295" i="18"/>
  <c r="AH295" i="18"/>
  <c r="AC296" i="18"/>
  <c r="AD296" i="18"/>
  <c r="AE296" i="18"/>
  <c r="AF296" i="18"/>
  <c r="AG296" i="18"/>
  <c r="AH296" i="18"/>
  <c r="AC297" i="18"/>
  <c r="AD297" i="18"/>
  <c r="AE297" i="18"/>
  <c r="AF297" i="18"/>
  <c r="AG297" i="18"/>
  <c r="AH297" i="18"/>
  <c r="AC298" i="18"/>
  <c r="AD298" i="18"/>
  <c r="AE298" i="18"/>
  <c r="AF298" i="18"/>
  <c r="AG298" i="18"/>
  <c r="AH298" i="18"/>
  <c r="AC299" i="18"/>
  <c r="AD299" i="18"/>
  <c r="AE299" i="18"/>
  <c r="AF299" i="18"/>
  <c r="AG299" i="18"/>
  <c r="AH299" i="18"/>
  <c r="AC300" i="18"/>
  <c r="AD300" i="18"/>
  <c r="AE300" i="18"/>
  <c r="AF300" i="18"/>
  <c r="AG300" i="18"/>
  <c r="AH300" i="18"/>
  <c r="AC301" i="18"/>
  <c r="AD301" i="18"/>
  <c r="AE301" i="18"/>
  <c r="AF301" i="18"/>
  <c r="AG301" i="18"/>
  <c r="AH301" i="18"/>
  <c r="AC302" i="18"/>
  <c r="AD302" i="18"/>
  <c r="AE302" i="18"/>
  <c r="AF302" i="18"/>
  <c r="AG302" i="18"/>
  <c r="AH302" i="18"/>
  <c r="AC303" i="18"/>
  <c r="AD303" i="18"/>
  <c r="AE303" i="18"/>
  <c r="AF303" i="18"/>
  <c r="AG303" i="18"/>
  <c r="AH303" i="18"/>
  <c r="AC304" i="18"/>
  <c r="AD304" i="18"/>
  <c r="AE304" i="18"/>
  <c r="AF304" i="18"/>
  <c r="AG304" i="18"/>
  <c r="AH304" i="18"/>
  <c r="AC305" i="18"/>
  <c r="AD305" i="18"/>
  <c r="AE305" i="18"/>
  <c r="AF305" i="18"/>
  <c r="AG305" i="18"/>
  <c r="AH305" i="18"/>
  <c r="AC306" i="18"/>
  <c r="AD306" i="18"/>
  <c r="AE306" i="18"/>
  <c r="AF306" i="18"/>
  <c r="AG306" i="18"/>
  <c r="AH306" i="18"/>
  <c r="AC307" i="18"/>
  <c r="AD307" i="18"/>
  <c r="AE307" i="18"/>
  <c r="AF307" i="18"/>
  <c r="AG307" i="18"/>
  <c r="AH307" i="18"/>
  <c r="AC308" i="18"/>
  <c r="AD308" i="18"/>
  <c r="AE308" i="18"/>
  <c r="AF308" i="18"/>
  <c r="AG308" i="18"/>
  <c r="AH308" i="18"/>
  <c r="AC309" i="18"/>
  <c r="AD309" i="18"/>
  <c r="AE309" i="18"/>
  <c r="AF309" i="18"/>
  <c r="AG309" i="18"/>
  <c r="AH309" i="18"/>
  <c r="AC310" i="18"/>
  <c r="AD310" i="18"/>
  <c r="AE310" i="18"/>
  <c r="AF310" i="18"/>
  <c r="AG310" i="18"/>
  <c r="AH310" i="18"/>
  <c r="AC311" i="18"/>
  <c r="AD311" i="18"/>
  <c r="AE311" i="18"/>
  <c r="AF311" i="18"/>
  <c r="AG311" i="18"/>
  <c r="AH311" i="18"/>
  <c r="AC312" i="18"/>
  <c r="AD312" i="18"/>
  <c r="AE312" i="18"/>
  <c r="AF312" i="18"/>
  <c r="AG312" i="18"/>
  <c r="AH312" i="18"/>
  <c r="AC313" i="18"/>
  <c r="AD313" i="18"/>
  <c r="AE313" i="18"/>
  <c r="AF313" i="18"/>
  <c r="AG313" i="18"/>
  <c r="AH313" i="18"/>
  <c r="AC314" i="18"/>
  <c r="AD314" i="18"/>
  <c r="AE314" i="18"/>
  <c r="AF314" i="18"/>
  <c r="AG314" i="18"/>
  <c r="AH314" i="18"/>
  <c r="AC315" i="18"/>
  <c r="AD315" i="18"/>
  <c r="AE315" i="18"/>
  <c r="AF315" i="18"/>
  <c r="AG315" i="18"/>
  <c r="AH315" i="18"/>
  <c r="AC316" i="18"/>
  <c r="AD316" i="18"/>
  <c r="AE316" i="18"/>
  <c r="AF316" i="18"/>
  <c r="AG316" i="18"/>
  <c r="AH316" i="18"/>
  <c r="AC317" i="18"/>
  <c r="AD317" i="18"/>
  <c r="AE317" i="18"/>
  <c r="AF317" i="18"/>
  <c r="AG317" i="18"/>
  <c r="AH317" i="18"/>
  <c r="AC318" i="18"/>
  <c r="AD318" i="18"/>
  <c r="AE318" i="18"/>
  <c r="AF318" i="18"/>
  <c r="AG318" i="18"/>
  <c r="AH318" i="18"/>
  <c r="AC319" i="18"/>
  <c r="AD319" i="18"/>
  <c r="AE319" i="18"/>
  <c r="AF319" i="18"/>
  <c r="AG319" i="18"/>
  <c r="AH319" i="18"/>
  <c r="AC320" i="18"/>
  <c r="AD320" i="18"/>
  <c r="AE320" i="18"/>
  <c r="AF320" i="18"/>
  <c r="AG320" i="18"/>
  <c r="AH320" i="18"/>
  <c r="AC321" i="18"/>
  <c r="AD321" i="18"/>
  <c r="AE321" i="18"/>
  <c r="AF321" i="18"/>
  <c r="AG321" i="18"/>
  <c r="AH321" i="18"/>
  <c r="AC322" i="18"/>
  <c r="AD322" i="18"/>
  <c r="AE322" i="18"/>
  <c r="AF322" i="18"/>
  <c r="AG322" i="18"/>
  <c r="AH322" i="18"/>
  <c r="AC323" i="18"/>
  <c r="AD323" i="18"/>
  <c r="AE323" i="18"/>
  <c r="AF323" i="18"/>
  <c r="AG323" i="18"/>
  <c r="AH323" i="18"/>
  <c r="AC324" i="18"/>
  <c r="AD324" i="18"/>
  <c r="AE324" i="18"/>
  <c r="AF324" i="18"/>
  <c r="AG324" i="18"/>
  <c r="AH324" i="18"/>
  <c r="AC325" i="18"/>
  <c r="AD325" i="18"/>
  <c r="AE325" i="18"/>
  <c r="AF325" i="18"/>
  <c r="AG325" i="18"/>
  <c r="AH325" i="18"/>
  <c r="AC326" i="18"/>
  <c r="AD326" i="18"/>
  <c r="AE326" i="18"/>
  <c r="AF326" i="18"/>
  <c r="AG326" i="18"/>
  <c r="AH326" i="18"/>
  <c r="AC327" i="18"/>
  <c r="AD327" i="18"/>
  <c r="AE327" i="18"/>
  <c r="AF327" i="18"/>
  <c r="AG327" i="18"/>
  <c r="AH327" i="18"/>
  <c r="AC328" i="18"/>
  <c r="AD328" i="18"/>
  <c r="AE328" i="18"/>
  <c r="AF328" i="18"/>
  <c r="AG328" i="18"/>
  <c r="AH328" i="18"/>
  <c r="AC329" i="18"/>
  <c r="AD329" i="18"/>
  <c r="AE329" i="18"/>
  <c r="AF329" i="18"/>
  <c r="AG329" i="18"/>
  <c r="AH329" i="18"/>
  <c r="AC330" i="18"/>
  <c r="AD330" i="18"/>
  <c r="AE330" i="18"/>
  <c r="AF330" i="18"/>
  <c r="AG330" i="18"/>
  <c r="AH330" i="18"/>
  <c r="AC331" i="18"/>
  <c r="AD331" i="18"/>
  <c r="AE331" i="18"/>
  <c r="AF331" i="18"/>
  <c r="AG331" i="18"/>
  <c r="AH331" i="18"/>
  <c r="AC332" i="18"/>
  <c r="AD332" i="18"/>
  <c r="AE332" i="18"/>
  <c r="AF332" i="18"/>
  <c r="AG332" i="18"/>
  <c r="AH332" i="18"/>
  <c r="AC333" i="18"/>
  <c r="AD333" i="18"/>
  <c r="AE333" i="18"/>
  <c r="AF333" i="18"/>
  <c r="AG333" i="18"/>
  <c r="AH333" i="18"/>
  <c r="AC334" i="18"/>
  <c r="AD334" i="18"/>
  <c r="AE334" i="18"/>
  <c r="AF334" i="18"/>
  <c r="AG334" i="18"/>
  <c r="AH334" i="18"/>
  <c r="AC335" i="18"/>
  <c r="AD335" i="18"/>
  <c r="AE335" i="18"/>
  <c r="AF335" i="18"/>
  <c r="AG335" i="18"/>
  <c r="AH335" i="18"/>
  <c r="AC336" i="18"/>
  <c r="AD336" i="18"/>
  <c r="AE336" i="18"/>
  <c r="AF336" i="18"/>
  <c r="AG336" i="18"/>
  <c r="AH336" i="18"/>
  <c r="AC337" i="18"/>
  <c r="AD337" i="18"/>
  <c r="AE337" i="18"/>
  <c r="AF337" i="18"/>
  <c r="AG337" i="18"/>
  <c r="AH337" i="18"/>
  <c r="AC338" i="18"/>
  <c r="AD338" i="18"/>
  <c r="AE338" i="18"/>
  <c r="AF338" i="18"/>
  <c r="AG338" i="18"/>
  <c r="AH338" i="18"/>
  <c r="AC339" i="18"/>
  <c r="AD339" i="18"/>
  <c r="AE339" i="18"/>
  <c r="AF339" i="18"/>
  <c r="AG339" i="18"/>
  <c r="AH339" i="18"/>
  <c r="AC340" i="18"/>
  <c r="AD340" i="18"/>
  <c r="AE340" i="18"/>
  <c r="AF340" i="18"/>
  <c r="AG340" i="18"/>
  <c r="AH340" i="18"/>
  <c r="AC341" i="18"/>
  <c r="AD341" i="18"/>
  <c r="AE341" i="18"/>
  <c r="AF341" i="18"/>
  <c r="AG341" i="18"/>
  <c r="AH341" i="18"/>
  <c r="AC342" i="18"/>
  <c r="AD342" i="18"/>
  <c r="AE342" i="18"/>
  <c r="AF342" i="18"/>
  <c r="AG342" i="18"/>
  <c r="AH342" i="18"/>
  <c r="AC343" i="18"/>
  <c r="AD343" i="18"/>
  <c r="AE343" i="18"/>
  <c r="AF343" i="18"/>
  <c r="AG343" i="18"/>
  <c r="AH343" i="18"/>
  <c r="AC344" i="18"/>
  <c r="AD344" i="18"/>
  <c r="AE344" i="18"/>
  <c r="AF344" i="18"/>
  <c r="AG344" i="18"/>
  <c r="AH344" i="18"/>
  <c r="AC345" i="18"/>
  <c r="AD345" i="18"/>
  <c r="AE345" i="18"/>
  <c r="AF345" i="18"/>
  <c r="AG345" i="18"/>
  <c r="AH345" i="18"/>
  <c r="AC346" i="18"/>
  <c r="AD346" i="18"/>
  <c r="AE346" i="18"/>
  <c r="AF346" i="18"/>
  <c r="AG346" i="18"/>
  <c r="AH346" i="18"/>
  <c r="AC347" i="18"/>
  <c r="AD347" i="18"/>
  <c r="AE347" i="18"/>
  <c r="AF347" i="18"/>
  <c r="AG347" i="18"/>
  <c r="AH347" i="18"/>
  <c r="AC348" i="18"/>
  <c r="AD348" i="18"/>
  <c r="AE348" i="18"/>
  <c r="AF348" i="18"/>
  <c r="AG348" i="18"/>
  <c r="AH348" i="18"/>
  <c r="AC349" i="18"/>
  <c r="AD349" i="18"/>
  <c r="AE349" i="18"/>
  <c r="AF349" i="18"/>
  <c r="AG349" i="18"/>
  <c r="AH349" i="18"/>
  <c r="AC350" i="18"/>
  <c r="AD350" i="18"/>
  <c r="AE350" i="18"/>
  <c r="AF350" i="18"/>
  <c r="AG350" i="18"/>
  <c r="AH350" i="18"/>
  <c r="AC351" i="18"/>
  <c r="AD351" i="18"/>
  <c r="AE351" i="18"/>
  <c r="AF351" i="18"/>
  <c r="AG351" i="18"/>
  <c r="AH351" i="18"/>
  <c r="AC352" i="18"/>
  <c r="AD352" i="18"/>
  <c r="AE352" i="18"/>
  <c r="AF352" i="18"/>
  <c r="AG352" i="18"/>
  <c r="AH352" i="18"/>
  <c r="AC353" i="18"/>
  <c r="AD353" i="18"/>
  <c r="AE353" i="18"/>
  <c r="AF353" i="18"/>
  <c r="AG353" i="18"/>
  <c r="AH353" i="18"/>
  <c r="AC354" i="18"/>
  <c r="AD354" i="18"/>
  <c r="AE354" i="18"/>
  <c r="AF354" i="18"/>
  <c r="AG354" i="18"/>
  <c r="AH354" i="18"/>
  <c r="AC355" i="18"/>
  <c r="AD355" i="18"/>
  <c r="AE355" i="18"/>
  <c r="AF355" i="18"/>
  <c r="AG355" i="18"/>
  <c r="AH355" i="18"/>
  <c r="AC356" i="18"/>
  <c r="AD356" i="18"/>
  <c r="AE356" i="18"/>
  <c r="AF356" i="18"/>
  <c r="AG356" i="18"/>
  <c r="AH356" i="18"/>
  <c r="AC357" i="18"/>
  <c r="AD357" i="18"/>
  <c r="AE357" i="18"/>
  <c r="AF357" i="18"/>
  <c r="AG357" i="18"/>
  <c r="AH357" i="18"/>
  <c r="AC358" i="18"/>
  <c r="AD358" i="18"/>
  <c r="AE358" i="18"/>
  <c r="AF358" i="18"/>
  <c r="AG358" i="18"/>
  <c r="AH358" i="18"/>
  <c r="AC359" i="18"/>
  <c r="AD359" i="18"/>
  <c r="AE359" i="18"/>
  <c r="AF359" i="18"/>
  <c r="AG359" i="18"/>
  <c r="AH359" i="18"/>
  <c r="AC360" i="18"/>
  <c r="AD360" i="18"/>
  <c r="AE360" i="18"/>
  <c r="AF360" i="18"/>
  <c r="AG360" i="18"/>
  <c r="AH360" i="18"/>
  <c r="AC361" i="18"/>
  <c r="AD361" i="18"/>
  <c r="AE361" i="18"/>
  <c r="AF361" i="18"/>
  <c r="AG361" i="18"/>
  <c r="AH361" i="18"/>
  <c r="AC362" i="18"/>
  <c r="AD362" i="18"/>
  <c r="AE362" i="18"/>
  <c r="AF362" i="18"/>
  <c r="AG362" i="18"/>
  <c r="AH362" i="18"/>
  <c r="AC363" i="18"/>
  <c r="AD363" i="18"/>
  <c r="AE363" i="18"/>
  <c r="AF363" i="18"/>
  <c r="AG363" i="18"/>
  <c r="AH363" i="18"/>
  <c r="AC4" i="18"/>
  <c r="V5" i="18"/>
  <c r="W5" i="18"/>
  <c r="X5" i="18"/>
  <c r="Y5" i="18"/>
  <c r="Z5" i="18"/>
  <c r="AA5" i="18"/>
  <c r="V6" i="18"/>
  <c r="W6" i="18"/>
  <c r="X6" i="18"/>
  <c r="Y6" i="18"/>
  <c r="Z6" i="18"/>
  <c r="AA6" i="18"/>
  <c r="V7" i="18"/>
  <c r="W7" i="18"/>
  <c r="X7" i="18"/>
  <c r="Y7" i="18"/>
  <c r="Z7" i="18"/>
  <c r="AA7" i="18"/>
  <c r="V8" i="18"/>
  <c r="W8" i="18"/>
  <c r="X8" i="18"/>
  <c r="Y8" i="18"/>
  <c r="Z8" i="18"/>
  <c r="AA8" i="18"/>
  <c r="V9" i="18"/>
  <c r="W9" i="18"/>
  <c r="X9" i="18"/>
  <c r="Y9" i="18"/>
  <c r="Z9" i="18"/>
  <c r="AA9" i="18"/>
  <c r="V10" i="18"/>
  <c r="W10" i="18"/>
  <c r="X10" i="18"/>
  <c r="Y10" i="18"/>
  <c r="Z10" i="18"/>
  <c r="AA10" i="18"/>
  <c r="V11" i="18"/>
  <c r="W11" i="18"/>
  <c r="X11" i="18"/>
  <c r="Y11" i="18"/>
  <c r="Z11" i="18"/>
  <c r="AA11" i="18"/>
  <c r="V12" i="18"/>
  <c r="W12" i="18"/>
  <c r="X12" i="18"/>
  <c r="Y12" i="18"/>
  <c r="Z12" i="18"/>
  <c r="AA12" i="18"/>
  <c r="V13" i="18"/>
  <c r="W13" i="18"/>
  <c r="X13" i="18"/>
  <c r="Y13" i="18"/>
  <c r="Z13" i="18"/>
  <c r="AA13" i="18"/>
  <c r="V14" i="18"/>
  <c r="W14" i="18"/>
  <c r="X14" i="18"/>
  <c r="Y14" i="18"/>
  <c r="Z14" i="18"/>
  <c r="AA14" i="18"/>
  <c r="V15" i="18"/>
  <c r="W15" i="18"/>
  <c r="X15" i="18"/>
  <c r="Y15" i="18"/>
  <c r="Z15" i="18"/>
  <c r="AA15" i="18"/>
  <c r="V16" i="18"/>
  <c r="W16" i="18"/>
  <c r="X16" i="18"/>
  <c r="Y16" i="18"/>
  <c r="Z16" i="18"/>
  <c r="AA16" i="18"/>
  <c r="V17" i="18"/>
  <c r="W17" i="18"/>
  <c r="X17" i="18"/>
  <c r="Y17" i="18"/>
  <c r="Z17" i="18"/>
  <c r="AA17" i="18"/>
  <c r="V18" i="18"/>
  <c r="W18" i="18"/>
  <c r="X18" i="18"/>
  <c r="Y18" i="18"/>
  <c r="Z18" i="18"/>
  <c r="AA18" i="18"/>
  <c r="V19" i="18"/>
  <c r="W19" i="18"/>
  <c r="X19" i="18"/>
  <c r="Y19" i="18"/>
  <c r="Z19" i="18"/>
  <c r="AA19" i="18"/>
  <c r="V20" i="18"/>
  <c r="W20" i="18"/>
  <c r="X20" i="18"/>
  <c r="Y20" i="18"/>
  <c r="Z20" i="18"/>
  <c r="AA20" i="18"/>
  <c r="V21" i="18"/>
  <c r="W21" i="18"/>
  <c r="X21" i="18"/>
  <c r="Y21" i="18"/>
  <c r="Z21" i="18"/>
  <c r="AA21" i="18"/>
  <c r="V22" i="18"/>
  <c r="W22" i="18"/>
  <c r="X22" i="18"/>
  <c r="Y22" i="18"/>
  <c r="Z22" i="18"/>
  <c r="AA22" i="18"/>
  <c r="V23" i="18"/>
  <c r="W23" i="18"/>
  <c r="X23" i="18"/>
  <c r="Y23" i="18"/>
  <c r="Z23" i="18"/>
  <c r="AA23" i="18"/>
  <c r="V24" i="18"/>
  <c r="W24" i="18"/>
  <c r="X24" i="18"/>
  <c r="Y24" i="18"/>
  <c r="Z24" i="18"/>
  <c r="AA24" i="18"/>
  <c r="V25" i="18"/>
  <c r="W25" i="18"/>
  <c r="X25" i="18"/>
  <c r="Y25" i="18"/>
  <c r="Z25" i="18"/>
  <c r="AA25" i="18"/>
  <c r="V26" i="18"/>
  <c r="W26" i="18"/>
  <c r="X26" i="18"/>
  <c r="Y26" i="18"/>
  <c r="Z26" i="18"/>
  <c r="AA26" i="18"/>
  <c r="V27" i="18"/>
  <c r="W27" i="18"/>
  <c r="X27" i="18"/>
  <c r="Y27" i="18"/>
  <c r="Z27" i="18"/>
  <c r="AA27" i="18"/>
  <c r="V28" i="18"/>
  <c r="W28" i="18"/>
  <c r="X28" i="18"/>
  <c r="Y28" i="18"/>
  <c r="Z28" i="18"/>
  <c r="AA28" i="18"/>
  <c r="V29" i="18"/>
  <c r="W29" i="18"/>
  <c r="X29" i="18"/>
  <c r="Y29" i="18"/>
  <c r="Z29" i="18"/>
  <c r="AA29" i="18"/>
  <c r="V30" i="18"/>
  <c r="W30" i="18"/>
  <c r="X30" i="18"/>
  <c r="Y30" i="18"/>
  <c r="Z30" i="18"/>
  <c r="AA30" i="18"/>
  <c r="V31" i="18"/>
  <c r="W31" i="18"/>
  <c r="X31" i="18"/>
  <c r="Y31" i="18"/>
  <c r="Z31" i="18"/>
  <c r="AA31" i="18"/>
  <c r="V32" i="18"/>
  <c r="W32" i="18"/>
  <c r="X32" i="18"/>
  <c r="Y32" i="18"/>
  <c r="Z32" i="18"/>
  <c r="AA32" i="18"/>
  <c r="V33" i="18"/>
  <c r="W33" i="18"/>
  <c r="X33" i="18"/>
  <c r="Y33" i="18"/>
  <c r="Z33" i="18"/>
  <c r="AA33" i="18"/>
  <c r="V34" i="18"/>
  <c r="W34" i="18"/>
  <c r="X34" i="18"/>
  <c r="Y34" i="18"/>
  <c r="Z34" i="18"/>
  <c r="AA34" i="18"/>
  <c r="V35" i="18"/>
  <c r="W35" i="18"/>
  <c r="X35" i="18"/>
  <c r="Y35" i="18"/>
  <c r="Z35" i="18"/>
  <c r="AA35" i="18"/>
  <c r="V36" i="18"/>
  <c r="W36" i="18"/>
  <c r="X36" i="18"/>
  <c r="Y36" i="18"/>
  <c r="Z36" i="18"/>
  <c r="AA36" i="18"/>
  <c r="V37" i="18"/>
  <c r="W37" i="18"/>
  <c r="X37" i="18"/>
  <c r="Y37" i="18"/>
  <c r="Z37" i="18"/>
  <c r="AA37" i="18"/>
  <c r="V38" i="18"/>
  <c r="W38" i="18"/>
  <c r="X38" i="18"/>
  <c r="Y38" i="18"/>
  <c r="Z38" i="18"/>
  <c r="AA38" i="18"/>
  <c r="V39" i="18"/>
  <c r="W39" i="18"/>
  <c r="X39" i="18"/>
  <c r="Y39" i="18"/>
  <c r="Z39" i="18"/>
  <c r="AA39" i="18"/>
  <c r="V40" i="18"/>
  <c r="W40" i="18"/>
  <c r="X40" i="18"/>
  <c r="Y40" i="18"/>
  <c r="Z40" i="18"/>
  <c r="AA40" i="18"/>
  <c r="V41" i="18"/>
  <c r="W41" i="18"/>
  <c r="X41" i="18"/>
  <c r="Y41" i="18"/>
  <c r="Z41" i="18"/>
  <c r="AA41" i="18"/>
  <c r="V42" i="18"/>
  <c r="W42" i="18"/>
  <c r="X42" i="18"/>
  <c r="Y42" i="18"/>
  <c r="Z42" i="18"/>
  <c r="AA42" i="18"/>
  <c r="V43" i="18"/>
  <c r="W43" i="18"/>
  <c r="X43" i="18"/>
  <c r="Y43" i="18"/>
  <c r="Z43" i="18"/>
  <c r="AA43" i="18"/>
  <c r="V44" i="18"/>
  <c r="W44" i="18"/>
  <c r="X44" i="18"/>
  <c r="Y44" i="18"/>
  <c r="Z44" i="18"/>
  <c r="AA44" i="18"/>
  <c r="V45" i="18"/>
  <c r="W45" i="18"/>
  <c r="X45" i="18"/>
  <c r="Y45" i="18"/>
  <c r="Z45" i="18"/>
  <c r="AA45" i="18"/>
  <c r="V46" i="18"/>
  <c r="W46" i="18"/>
  <c r="X46" i="18"/>
  <c r="Y46" i="18"/>
  <c r="Z46" i="18"/>
  <c r="AA46" i="18"/>
  <c r="V47" i="18"/>
  <c r="W47" i="18"/>
  <c r="X47" i="18"/>
  <c r="Y47" i="18"/>
  <c r="Z47" i="18"/>
  <c r="AA47" i="18"/>
  <c r="V48" i="18"/>
  <c r="W48" i="18"/>
  <c r="X48" i="18"/>
  <c r="Y48" i="18"/>
  <c r="Z48" i="18"/>
  <c r="AA48" i="18"/>
  <c r="V49" i="18"/>
  <c r="W49" i="18"/>
  <c r="X49" i="18"/>
  <c r="Y49" i="18"/>
  <c r="Z49" i="18"/>
  <c r="AA49" i="18"/>
  <c r="V50" i="18"/>
  <c r="W50" i="18"/>
  <c r="X50" i="18"/>
  <c r="Y50" i="18"/>
  <c r="Z50" i="18"/>
  <c r="AA50" i="18"/>
  <c r="V51" i="18"/>
  <c r="W51" i="18"/>
  <c r="X51" i="18"/>
  <c r="Y51" i="18"/>
  <c r="Z51" i="18"/>
  <c r="AA51" i="18"/>
  <c r="V52" i="18"/>
  <c r="W52" i="18"/>
  <c r="X52" i="18"/>
  <c r="Y52" i="18"/>
  <c r="Z52" i="18"/>
  <c r="AA52" i="18"/>
  <c r="V53" i="18"/>
  <c r="W53" i="18"/>
  <c r="X53" i="18"/>
  <c r="Y53" i="18"/>
  <c r="Z53" i="18"/>
  <c r="AA53" i="18"/>
  <c r="V54" i="18"/>
  <c r="W54" i="18"/>
  <c r="X54" i="18"/>
  <c r="Y54" i="18"/>
  <c r="Z54" i="18"/>
  <c r="AA54" i="18"/>
  <c r="V55" i="18"/>
  <c r="W55" i="18"/>
  <c r="X55" i="18"/>
  <c r="Y55" i="18"/>
  <c r="Z55" i="18"/>
  <c r="AA55" i="18"/>
  <c r="V56" i="18"/>
  <c r="W56" i="18"/>
  <c r="X56" i="18"/>
  <c r="Y56" i="18"/>
  <c r="Z56" i="18"/>
  <c r="AA56" i="18"/>
  <c r="V57" i="18"/>
  <c r="W57" i="18"/>
  <c r="X57" i="18"/>
  <c r="Y57" i="18"/>
  <c r="Z57" i="18"/>
  <c r="AA57" i="18"/>
  <c r="V58" i="18"/>
  <c r="W58" i="18"/>
  <c r="X58" i="18"/>
  <c r="Y58" i="18"/>
  <c r="Z58" i="18"/>
  <c r="AA58" i="18"/>
  <c r="V59" i="18"/>
  <c r="W59" i="18"/>
  <c r="X59" i="18"/>
  <c r="Y59" i="18"/>
  <c r="Z59" i="18"/>
  <c r="AA59" i="18"/>
  <c r="V60" i="18"/>
  <c r="W60" i="18"/>
  <c r="X60" i="18"/>
  <c r="Y60" i="18"/>
  <c r="Z60" i="18"/>
  <c r="AA60" i="18"/>
  <c r="V61" i="18"/>
  <c r="W61" i="18"/>
  <c r="X61" i="18"/>
  <c r="Y61" i="18"/>
  <c r="Z61" i="18"/>
  <c r="AA61" i="18"/>
  <c r="V62" i="18"/>
  <c r="W62" i="18"/>
  <c r="X62" i="18"/>
  <c r="Y62" i="18"/>
  <c r="Z62" i="18"/>
  <c r="AA62" i="18"/>
  <c r="V63" i="18"/>
  <c r="W63" i="18"/>
  <c r="X63" i="18"/>
  <c r="Y63" i="18"/>
  <c r="Z63" i="18"/>
  <c r="AA63" i="18"/>
  <c r="V64" i="18"/>
  <c r="W64" i="18"/>
  <c r="X64" i="18"/>
  <c r="Y64" i="18"/>
  <c r="Z64" i="18"/>
  <c r="AA64" i="18"/>
  <c r="V65" i="18"/>
  <c r="W65" i="18"/>
  <c r="X65" i="18"/>
  <c r="Y65" i="18"/>
  <c r="Z65" i="18"/>
  <c r="AA65" i="18"/>
  <c r="V66" i="18"/>
  <c r="W66" i="18"/>
  <c r="X66" i="18"/>
  <c r="Y66" i="18"/>
  <c r="Z66" i="18"/>
  <c r="AA66" i="18"/>
  <c r="V67" i="18"/>
  <c r="W67" i="18"/>
  <c r="X67" i="18"/>
  <c r="Y67" i="18"/>
  <c r="Z67" i="18"/>
  <c r="AA67" i="18"/>
  <c r="V68" i="18"/>
  <c r="W68" i="18"/>
  <c r="X68" i="18"/>
  <c r="Y68" i="18"/>
  <c r="Z68" i="18"/>
  <c r="AA68" i="18"/>
  <c r="V69" i="18"/>
  <c r="W69" i="18"/>
  <c r="X69" i="18"/>
  <c r="Y69" i="18"/>
  <c r="Z69" i="18"/>
  <c r="AA69" i="18"/>
  <c r="V70" i="18"/>
  <c r="W70" i="18"/>
  <c r="X70" i="18"/>
  <c r="Y70" i="18"/>
  <c r="Z70" i="18"/>
  <c r="AA70" i="18"/>
  <c r="V71" i="18"/>
  <c r="W71" i="18"/>
  <c r="X71" i="18"/>
  <c r="Y71" i="18"/>
  <c r="Z71" i="18"/>
  <c r="AA71" i="18"/>
  <c r="V72" i="18"/>
  <c r="W72" i="18"/>
  <c r="X72" i="18"/>
  <c r="Y72" i="18"/>
  <c r="Z72" i="18"/>
  <c r="AA72" i="18"/>
  <c r="V73" i="18"/>
  <c r="W73" i="18"/>
  <c r="X73" i="18"/>
  <c r="Y73" i="18"/>
  <c r="Z73" i="18"/>
  <c r="AA73" i="18"/>
  <c r="V74" i="18"/>
  <c r="W74" i="18"/>
  <c r="X74" i="18"/>
  <c r="Y74" i="18"/>
  <c r="Z74" i="18"/>
  <c r="AA74" i="18"/>
  <c r="V75" i="18"/>
  <c r="W75" i="18"/>
  <c r="X75" i="18"/>
  <c r="Y75" i="18"/>
  <c r="Z75" i="18"/>
  <c r="AA75" i="18"/>
  <c r="V76" i="18"/>
  <c r="W76" i="18"/>
  <c r="X76" i="18"/>
  <c r="Y76" i="18"/>
  <c r="Z76" i="18"/>
  <c r="AA76" i="18"/>
  <c r="V77" i="18"/>
  <c r="W77" i="18"/>
  <c r="X77" i="18"/>
  <c r="Y77" i="18"/>
  <c r="Z77" i="18"/>
  <c r="AA77" i="18"/>
  <c r="V78" i="18"/>
  <c r="W78" i="18"/>
  <c r="X78" i="18"/>
  <c r="Y78" i="18"/>
  <c r="Z78" i="18"/>
  <c r="AA78" i="18"/>
  <c r="V79" i="18"/>
  <c r="W79" i="18"/>
  <c r="X79" i="18"/>
  <c r="Y79" i="18"/>
  <c r="Z79" i="18"/>
  <c r="AA79" i="18"/>
  <c r="V80" i="18"/>
  <c r="W80" i="18"/>
  <c r="X80" i="18"/>
  <c r="Y80" i="18"/>
  <c r="Z80" i="18"/>
  <c r="AA80" i="18"/>
  <c r="V81" i="18"/>
  <c r="W81" i="18"/>
  <c r="X81" i="18"/>
  <c r="Y81" i="18"/>
  <c r="Z81" i="18"/>
  <c r="AA81" i="18"/>
  <c r="V82" i="18"/>
  <c r="W82" i="18"/>
  <c r="X82" i="18"/>
  <c r="Y82" i="18"/>
  <c r="Z82" i="18"/>
  <c r="AA82" i="18"/>
  <c r="V83" i="18"/>
  <c r="W83" i="18"/>
  <c r="X83" i="18"/>
  <c r="Y83" i="18"/>
  <c r="Z83" i="18"/>
  <c r="AA83" i="18"/>
  <c r="V84" i="18"/>
  <c r="W84" i="18"/>
  <c r="X84" i="18"/>
  <c r="Y84" i="18"/>
  <c r="Z84" i="18"/>
  <c r="AA84" i="18"/>
  <c r="V85" i="18"/>
  <c r="W85" i="18"/>
  <c r="X85" i="18"/>
  <c r="Y85" i="18"/>
  <c r="Z85" i="18"/>
  <c r="AA85" i="18"/>
  <c r="V86" i="18"/>
  <c r="W86" i="18"/>
  <c r="X86" i="18"/>
  <c r="Y86" i="18"/>
  <c r="Z86" i="18"/>
  <c r="AA86" i="18"/>
  <c r="V87" i="18"/>
  <c r="W87" i="18"/>
  <c r="X87" i="18"/>
  <c r="Y87" i="18"/>
  <c r="Z87" i="18"/>
  <c r="AA87" i="18"/>
  <c r="V88" i="18"/>
  <c r="W88" i="18"/>
  <c r="X88" i="18"/>
  <c r="Y88" i="18"/>
  <c r="Z88" i="18"/>
  <c r="AA88" i="18"/>
  <c r="V89" i="18"/>
  <c r="W89" i="18"/>
  <c r="X89" i="18"/>
  <c r="Y89" i="18"/>
  <c r="Z89" i="18"/>
  <c r="AA89" i="18"/>
  <c r="V90" i="18"/>
  <c r="W90" i="18"/>
  <c r="X90" i="18"/>
  <c r="Y90" i="18"/>
  <c r="Z90" i="18"/>
  <c r="AA90" i="18"/>
  <c r="V91" i="18"/>
  <c r="W91" i="18"/>
  <c r="X91" i="18"/>
  <c r="Y91" i="18"/>
  <c r="Z91" i="18"/>
  <c r="AA91" i="18"/>
  <c r="V92" i="18"/>
  <c r="W92" i="18"/>
  <c r="X92" i="18"/>
  <c r="Y92" i="18"/>
  <c r="Z92" i="18"/>
  <c r="AA92" i="18"/>
  <c r="V93" i="18"/>
  <c r="W93" i="18"/>
  <c r="X93" i="18"/>
  <c r="Y93" i="18"/>
  <c r="Z93" i="18"/>
  <c r="AA93" i="18"/>
  <c r="V94" i="18"/>
  <c r="W94" i="18"/>
  <c r="X94" i="18"/>
  <c r="Y94" i="18"/>
  <c r="Z94" i="18"/>
  <c r="AA94" i="18"/>
  <c r="V95" i="18"/>
  <c r="W95" i="18"/>
  <c r="X95" i="18"/>
  <c r="Y95" i="18"/>
  <c r="Z95" i="18"/>
  <c r="AA95" i="18"/>
  <c r="V96" i="18"/>
  <c r="W96" i="18"/>
  <c r="X96" i="18"/>
  <c r="Y96" i="18"/>
  <c r="Z96" i="18"/>
  <c r="AA96" i="18"/>
  <c r="V97" i="18"/>
  <c r="W97" i="18"/>
  <c r="X97" i="18"/>
  <c r="Y97" i="18"/>
  <c r="Z97" i="18"/>
  <c r="AA97" i="18"/>
  <c r="V98" i="18"/>
  <c r="W98" i="18"/>
  <c r="X98" i="18"/>
  <c r="Y98" i="18"/>
  <c r="Z98" i="18"/>
  <c r="AA98" i="18"/>
  <c r="V99" i="18"/>
  <c r="W99" i="18"/>
  <c r="X99" i="18"/>
  <c r="Y99" i="18"/>
  <c r="Z99" i="18"/>
  <c r="AA99" i="18"/>
  <c r="V100" i="18"/>
  <c r="W100" i="18"/>
  <c r="X100" i="18"/>
  <c r="Y100" i="18"/>
  <c r="Z100" i="18"/>
  <c r="AA100" i="18"/>
  <c r="V101" i="18"/>
  <c r="W101" i="18"/>
  <c r="X101" i="18"/>
  <c r="Y101" i="18"/>
  <c r="Z101" i="18"/>
  <c r="AA101" i="18"/>
  <c r="V102" i="18"/>
  <c r="W102" i="18"/>
  <c r="X102" i="18"/>
  <c r="Y102" i="18"/>
  <c r="Z102" i="18"/>
  <c r="AA102" i="18"/>
  <c r="V103" i="18"/>
  <c r="W103" i="18"/>
  <c r="X103" i="18"/>
  <c r="Y103" i="18"/>
  <c r="Z103" i="18"/>
  <c r="AA103" i="18"/>
  <c r="V104" i="18"/>
  <c r="W104" i="18"/>
  <c r="X104" i="18"/>
  <c r="Y104" i="18"/>
  <c r="Z104" i="18"/>
  <c r="AA104" i="18"/>
  <c r="V105" i="18"/>
  <c r="W105" i="18"/>
  <c r="X105" i="18"/>
  <c r="Y105" i="18"/>
  <c r="Z105" i="18"/>
  <c r="AA105" i="18"/>
  <c r="V106" i="18"/>
  <c r="W106" i="18"/>
  <c r="X106" i="18"/>
  <c r="Y106" i="18"/>
  <c r="Z106" i="18"/>
  <c r="AA106" i="18"/>
  <c r="V107" i="18"/>
  <c r="W107" i="18"/>
  <c r="X107" i="18"/>
  <c r="Y107" i="18"/>
  <c r="Z107" i="18"/>
  <c r="AA107" i="18"/>
  <c r="V108" i="18"/>
  <c r="W108" i="18"/>
  <c r="X108" i="18"/>
  <c r="Y108" i="18"/>
  <c r="Z108" i="18"/>
  <c r="AA108" i="18"/>
  <c r="V109" i="18"/>
  <c r="W109" i="18"/>
  <c r="X109" i="18"/>
  <c r="Y109" i="18"/>
  <c r="Z109" i="18"/>
  <c r="AA109" i="18"/>
  <c r="V110" i="18"/>
  <c r="W110" i="18"/>
  <c r="X110" i="18"/>
  <c r="Y110" i="18"/>
  <c r="Z110" i="18"/>
  <c r="AA110" i="18"/>
  <c r="V111" i="18"/>
  <c r="W111" i="18"/>
  <c r="X111" i="18"/>
  <c r="Y111" i="18"/>
  <c r="Z111" i="18"/>
  <c r="AA111" i="18"/>
  <c r="V112" i="18"/>
  <c r="W112" i="18"/>
  <c r="X112" i="18"/>
  <c r="Y112" i="18"/>
  <c r="Z112" i="18"/>
  <c r="AA112" i="18"/>
  <c r="V113" i="18"/>
  <c r="W113" i="18"/>
  <c r="X113" i="18"/>
  <c r="Y113" i="18"/>
  <c r="Z113" i="18"/>
  <c r="AA113" i="18"/>
  <c r="V4" i="18"/>
  <c r="N5" i="18"/>
  <c r="O5" i="18"/>
  <c r="P5" i="18"/>
  <c r="Q5" i="18"/>
  <c r="R5" i="18"/>
  <c r="S5" i="18"/>
  <c r="T5" i="18"/>
  <c r="N6" i="18"/>
  <c r="O6" i="18"/>
  <c r="P6" i="18"/>
  <c r="Q6" i="18"/>
  <c r="R6" i="18"/>
  <c r="S6" i="18"/>
  <c r="T6" i="18"/>
  <c r="N7" i="18"/>
  <c r="O7" i="18"/>
  <c r="P7" i="18"/>
  <c r="Q7" i="18"/>
  <c r="R7" i="18"/>
  <c r="S7" i="18"/>
  <c r="T7" i="18"/>
  <c r="N8" i="18"/>
  <c r="O8" i="18"/>
  <c r="P8" i="18"/>
  <c r="Q8" i="18"/>
  <c r="R8" i="18"/>
  <c r="S8" i="18"/>
  <c r="T8" i="18"/>
  <c r="N9" i="18"/>
  <c r="O9" i="18"/>
  <c r="P9" i="18"/>
  <c r="Q9" i="18"/>
  <c r="R9" i="18"/>
  <c r="S9" i="18"/>
  <c r="T9" i="18"/>
  <c r="N10" i="18"/>
  <c r="O10" i="18"/>
  <c r="P10" i="18"/>
  <c r="Q10" i="18"/>
  <c r="R10" i="18"/>
  <c r="S10" i="18"/>
  <c r="T10" i="18"/>
  <c r="N11" i="18"/>
  <c r="O11" i="18"/>
  <c r="P11" i="18"/>
  <c r="Q11" i="18"/>
  <c r="R11" i="18"/>
  <c r="S11" i="18"/>
  <c r="T11" i="18"/>
  <c r="N12" i="18"/>
  <c r="O12" i="18"/>
  <c r="P12" i="18"/>
  <c r="Q12" i="18"/>
  <c r="R12" i="18"/>
  <c r="S12" i="18"/>
  <c r="T12" i="18"/>
  <c r="N13" i="18"/>
  <c r="O13" i="18"/>
  <c r="P13" i="18"/>
  <c r="Q13" i="18"/>
  <c r="R13" i="18"/>
  <c r="S13" i="18"/>
  <c r="T13" i="18"/>
  <c r="N14" i="18"/>
  <c r="O14" i="18"/>
  <c r="P14" i="18"/>
  <c r="Q14" i="18"/>
  <c r="R14" i="18"/>
  <c r="S14" i="18"/>
  <c r="T14" i="18"/>
  <c r="N15" i="18"/>
  <c r="O15" i="18"/>
  <c r="P15" i="18"/>
  <c r="Q15" i="18"/>
  <c r="R15" i="18"/>
  <c r="S15" i="18"/>
  <c r="T15" i="18"/>
  <c r="N16" i="18"/>
  <c r="O16" i="18"/>
  <c r="P16" i="18"/>
  <c r="Q16" i="18"/>
  <c r="R16" i="18"/>
  <c r="S16" i="18"/>
  <c r="T16" i="18"/>
  <c r="N17" i="18"/>
  <c r="O17" i="18"/>
  <c r="P17" i="18"/>
  <c r="Q17" i="18"/>
  <c r="R17" i="18"/>
  <c r="S17" i="18"/>
  <c r="T17" i="18"/>
  <c r="N18" i="18"/>
  <c r="O18" i="18"/>
  <c r="P18" i="18"/>
  <c r="Q18" i="18"/>
  <c r="R18" i="18"/>
  <c r="S18" i="18"/>
  <c r="T18" i="18"/>
  <c r="N19" i="18"/>
  <c r="O19" i="18"/>
  <c r="P19" i="18"/>
  <c r="Q19" i="18"/>
  <c r="R19" i="18"/>
  <c r="S19" i="18"/>
  <c r="T19" i="18"/>
  <c r="N20" i="18"/>
  <c r="O20" i="18"/>
  <c r="P20" i="18"/>
  <c r="Q20" i="18"/>
  <c r="R20" i="18"/>
  <c r="S20" i="18"/>
  <c r="T20" i="18"/>
  <c r="N21" i="18"/>
  <c r="O21" i="18"/>
  <c r="P21" i="18"/>
  <c r="Q21" i="18"/>
  <c r="R21" i="18"/>
  <c r="S21" i="18"/>
  <c r="T21" i="18"/>
  <c r="N22" i="18"/>
  <c r="O22" i="18"/>
  <c r="P22" i="18"/>
  <c r="Q22" i="18"/>
  <c r="R22" i="18"/>
  <c r="S22" i="18"/>
  <c r="T22" i="18"/>
  <c r="N23" i="18"/>
  <c r="O23" i="18"/>
  <c r="P23" i="18"/>
  <c r="Q23" i="18"/>
  <c r="R23" i="18"/>
  <c r="S23" i="18"/>
  <c r="T23" i="18"/>
  <c r="N24" i="18"/>
  <c r="O24" i="18"/>
  <c r="P24" i="18"/>
  <c r="Q24" i="18"/>
  <c r="R24" i="18"/>
  <c r="S24" i="18"/>
  <c r="T24" i="18"/>
  <c r="N25" i="18"/>
  <c r="O25" i="18"/>
  <c r="P25" i="18"/>
  <c r="Q25" i="18"/>
  <c r="R25" i="18"/>
  <c r="S25" i="18"/>
  <c r="T25" i="18"/>
  <c r="N26" i="18"/>
  <c r="O26" i="18"/>
  <c r="P26" i="18"/>
  <c r="Q26" i="18"/>
  <c r="R26" i="18"/>
  <c r="S26" i="18"/>
  <c r="T26" i="18"/>
  <c r="N27" i="18"/>
  <c r="O27" i="18"/>
  <c r="P27" i="18"/>
  <c r="Q27" i="18"/>
  <c r="R27" i="18"/>
  <c r="S27" i="18"/>
  <c r="T27" i="18"/>
  <c r="N28" i="18"/>
  <c r="O28" i="18"/>
  <c r="P28" i="18"/>
  <c r="Q28" i="18"/>
  <c r="R28" i="18"/>
  <c r="S28" i="18"/>
  <c r="T28" i="18"/>
  <c r="N29" i="18"/>
  <c r="O29" i="18"/>
  <c r="P29" i="18"/>
  <c r="Q29" i="18"/>
  <c r="R29" i="18"/>
  <c r="S29" i="18"/>
  <c r="T29" i="18"/>
  <c r="N30" i="18"/>
  <c r="O30" i="18"/>
  <c r="P30" i="18"/>
  <c r="Q30" i="18"/>
  <c r="R30" i="18"/>
  <c r="S30" i="18"/>
  <c r="T30" i="18"/>
  <c r="N31" i="18"/>
  <c r="O31" i="18"/>
  <c r="P31" i="18"/>
  <c r="Q31" i="18"/>
  <c r="R31" i="18"/>
  <c r="S31" i="18"/>
  <c r="T31" i="18"/>
  <c r="N32" i="18"/>
  <c r="O32" i="18"/>
  <c r="P32" i="18"/>
  <c r="Q32" i="18"/>
  <c r="R32" i="18"/>
  <c r="S32" i="18"/>
  <c r="T32" i="18"/>
  <c r="N33" i="18"/>
  <c r="O33" i="18"/>
  <c r="P33" i="18"/>
  <c r="Q33" i="18"/>
  <c r="R33" i="18"/>
  <c r="S33" i="18"/>
  <c r="T33" i="18"/>
  <c r="N34" i="18"/>
  <c r="O34" i="18"/>
  <c r="P34" i="18"/>
  <c r="Q34" i="18"/>
  <c r="R34" i="18"/>
  <c r="S34" i="18"/>
  <c r="T34" i="18"/>
  <c r="N35" i="18"/>
  <c r="O35" i="18"/>
  <c r="P35" i="18"/>
  <c r="Q35" i="18"/>
  <c r="R35" i="18"/>
  <c r="S35" i="18"/>
  <c r="T35" i="18"/>
  <c r="N36" i="18"/>
  <c r="O36" i="18"/>
  <c r="P36" i="18"/>
  <c r="Q36" i="18"/>
  <c r="R36" i="18"/>
  <c r="S36" i="18"/>
  <c r="T36" i="18"/>
  <c r="N37" i="18"/>
  <c r="O37" i="18"/>
  <c r="P37" i="18"/>
  <c r="Q37" i="18"/>
  <c r="R37" i="18"/>
  <c r="S37" i="18"/>
  <c r="T37" i="18"/>
  <c r="N38" i="18"/>
  <c r="O38" i="18"/>
  <c r="P38" i="18"/>
  <c r="Q38" i="18"/>
  <c r="R38" i="18"/>
  <c r="S38" i="18"/>
  <c r="T38" i="18"/>
  <c r="N39" i="18"/>
  <c r="O39" i="18"/>
  <c r="P39" i="18"/>
  <c r="Q39" i="18"/>
  <c r="R39" i="18"/>
  <c r="S39" i="18"/>
  <c r="T39" i="18"/>
  <c r="N40" i="18"/>
  <c r="O40" i="18"/>
  <c r="P40" i="18"/>
  <c r="Q40" i="18"/>
  <c r="R40" i="18"/>
  <c r="S40" i="18"/>
  <c r="T40" i="18"/>
  <c r="N41" i="18"/>
  <c r="O41" i="18"/>
  <c r="P41" i="18"/>
  <c r="Q41" i="18"/>
  <c r="R41" i="18"/>
  <c r="S41" i="18"/>
  <c r="T41" i="18"/>
  <c r="N42" i="18"/>
  <c r="O42" i="18"/>
  <c r="P42" i="18"/>
  <c r="Q42" i="18"/>
  <c r="R42" i="18"/>
  <c r="S42" i="18"/>
  <c r="T42" i="18"/>
  <c r="N43" i="18"/>
  <c r="O43" i="18"/>
  <c r="P43" i="18"/>
  <c r="Q43" i="18"/>
  <c r="R43" i="18"/>
  <c r="S43" i="18"/>
  <c r="T43" i="18"/>
  <c r="N44" i="18"/>
  <c r="O44" i="18"/>
  <c r="P44" i="18"/>
  <c r="Q44" i="18"/>
  <c r="R44" i="18"/>
  <c r="S44" i="18"/>
  <c r="T44" i="18"/>
  <c r="N45" i="18"/>
  <c r="O45" i="18"/>
  <c r="P45" i="18"/>
  <c r="Q45" i="18"/>
  <c r="R45" i="18"/>
  <c r="S45" i="18"/>
  <c r="T45" i="18"/>
  <c r="N46" i="18"/>
  <c r="O46" i="18"/>
  <c r="P46" i="18"/>
  <c r="Q46" i="18"/>
  <c r="R46" i="18"/>
  <c r="S46" i="18"/>
  <c r="T46" i="18"/>
  <c r="N47" i="18"/>
  <c r="O47" i="18"/>
  <c r="P47" i="18"/>
  <c r="Q47" i="18"/>
  <c r="R47" i="18"/>
  <c r="S47" i="18"/>
  <c r="T47" i="18"/>
  <c r="N48" i="18"/>
  <c r="O48" i="18"/>
  <c r="P48" i="18"/>
  <c r="Q48" i="18"/>
  <c r="R48" i="18"/>
  <c r="S48" i="18"/>
  <c r="T48" i="18"/>
  <c r="N49" i="18"/>
  <c r="O49" i="18"/>
  <c r="P49" i="18"/>
  <c r="Q49" i="18"/>
  <c r="R49" i="18"/>
  <c r="S49" i="18"/>
  <c r="T49" i="18"/>
  <c r="N50" i="18"/>
  <c r="O50" i="18"/>
  <c r="P50" i="18"/>
  <c r="Q50" i="18"/>
  <c r="R50" i="18"/>
  <c r="S50" i="18"/>
  <c r="T50" i="18"/>
  <c r="N51" i="18"/>
  <c r="O51" i="18"/>
  <c r="P51" i="18"/>
  <c r="Q51" i="18"/>
  <c r="R51" i="18"/>
  <c r="S51" i="18"/>
  <c r="T51" i="18"/>
  <c r="N52" i="18"/>
  <c r="O52" i="18"/>
  <c r="P52" i="18"/>
  <c r="Q52" i="18"/>
  <c r="R52" i="18"/>
  <c r="S52" i="18"/>
  <c r="T52" i="18"/>
  <c r="N53" i="18"/>
  <c r="O53" i="18"/>
  <c r="P53" i="18"/>
  <c r="Q53" i="18"/>
  <c r="R53" i="18"/>
  <c r="S53" i="18"/>
  <c r="T53" i="18"/>
  <c r="N54" i="18"/>
  <c r="O54" i="18"/>
  <c r="P54" i="18"/>
  <c r="Q54" i="18"/>
  <c r="R54" i="18"/>
  <c r="S54" i="18"/>
  <c r="T54" i="18"/>
  <c r="N55" i="18"/>
  <c r="O55" i="18"/>
  <c r="P55" i="18"/>
  <c r="Q55" i="18"/>
  <c r="R55" i="18"/>
  <c r="S55" i="18"/>
  <c r="T55" i="18"/>
  <c r="N56" i="18"/>
  <c r="O56" i="18"/>
  <c r="P56" i="18"/>
  <c r="Q56" i="18"/>
  <c r="R56" i="18"/>
  <c r="S56" i="18"/>
  <c r="T56" i="18"/>
  <c r="N57" i="18"/>
  <c r="O57" i="18"/>
  <c r="P57" i="18"/>
  <c r="Q57" i="18"/>
  <c r="R57" i="18"/>
  <c r="S57" i="18"/>
  <c r="T57" i="18"/>
  <c r="N58" i="18"/>
  <c r="O58" i="18"/>
  <c r="P58" i="18"/>
  <c r="Q58" i="18"/>
  <c r="R58" i="18"/>
  <c r="S58" i="18"/>
  <c r="T58" i="18"/>
  <c r="N59" i="18"/>
  <c r="O59" i="18"/>
  <c r="P59" i="18"/>
  <c r="Q59" i="18"/>
  <c r="R59" i="18"/>
  <c r="S59" i="18"/>
  <c r="T59" i="18"/>
  <c r="N60" i="18"/>
  <c r="O60" i="18"/>
  <c r="P60" i="18"/>
  <c r="Q60" i="18"/>
  <c r="R60" i="18"/>
  <c r="S60" i="18"/>
  <c r="T60" i="18"/>
  <c r="N61" i="18"/>
  <c r="O61" i="18"/>
  <c r="P61" i="18"/>
  <c r="Q61" i="18"/>
  <c r="R61" i="18"/>
  <c r="S61" i="18"/>
  <c r="T61" i="18"/>
  <c r="N62" i="18"/>
  <c r="O62" i="18"/>
  <c r="P62" i="18"/>
  <c r="Q62" i="18"/>
  <c r="R62" i="18"/>
  <c r="S62" i="18"/>
  <c r="T62" i="18"/>
  <c r="N63" i="18"/>
  <c r="O63" i="18"/>
  <c r="P63" i="18"/>
  <c r="Q63" i="18"/>
  <c r="R63" i="18"/>
  <c r="S63" i="18"/>
  <c r="T63" i="18"/>
  <c r="N64" i="18"/>
  <c r="O64" i="18"/>
  <c r="P64" i="18"/>
  <c r="Q64" i="18"/>
  <c r="R64" i="18"/>
  <c r="S64" i="18"/>
  <c r="T64" i="18"/>
  <c r="N65" i="18"/>
  <c r="O65" i="18"/>
  <c r="P65" i="18"/>
  <c r="Q65" i="18"/>
  <c r="R65" i="18"/>
  <c r="S65" i="18"/>
  <c r="T65" i="18"/>
  <c r="N66" i="18"/>
  <c r="O66" i="18"/>
  <c r="P66" i="18"/>
  <c r="Q66" i="18"/>
  <c r="R66" i="18"/>
  <c r="S66" i="18"/>
  <c r="T66" i="18"/>
  <c r="N67" i="18"/>
  <c r="O67" i="18"/>
  <c r="P67" i="18"/>
  <c r="Q67" i="18"/>
  <c r="R67" i="18"/>
  <c r="S67" i="18"/>
  <c r="T67" i="18"/>
  <c r="N68" i="18"/>
  <c r="O68" i="18"/>
  <c r="P68" i="18"/>
  <c r="Q68" i="18"/>
  <c r="R68" i="18"/>
  <c r="S68" i="18"/>
  <c r="T68" i="18"/>
  <c r="N69" i="18"/>
  <c r="O69" i="18"/>
  <c r="P69" i="18"/>
  <c r="Q69" i="18"/>
  <c r="R69" i="18"/>
  <c r="S69" i="18"/>
  <c r="T69" i="18"/>
  <c r="N70" i="18"/>
  <c r="O70" i="18"/>
  <c r="P70" i="18"/>
  <c r="Q70" i="18"/>
  <c r="R70" i="18"/>
  <c r="S70" i="18"/>
  <c r="T70" i="18"/>
  <c r="N71" i="18"/>
  <c r="O71" i="18"/>
  <c r="P71" i="18"/>
  <c r="Q71" i="18"/>
  <c r="R71" i="18"/>
  <c r="S71" i="18"/>
  <c r="T71" i="18"/>
  <c r="N72" i="18"/>
  <c r="O72" i="18"/>
  <c r="P72" i="18"/>
  <c r="Q72" i="18"/>
  <c r="R72" i="18"/>
  <c r="S72" i="18"/>
  <c r="T72" i="18"/>
  <c r="N73" i="18"/>
  <c r="O73" i="18"/>
  <c r="P73" i="18"/>
  <c r="Q73" i="18"/>
  <c r="R73" i="18"/>
  <c r="S73" i="18"/>
  <c r="T73" i="18"/>
  <c r="N74" i="18"/>
  <c r="O74" i="18"/>
  <c r="P74" i="18"/>
  <c r="Q74" i="18"/>
  <c r="R74" i="18"/>
  <c r="S74" i="18"/>
  <c r="T74" i="18"/>
  <c r="N75" i="18"/>
  <c r="O75" i="18"/>
  <c r="P75" i="18"/>
  <c r="Q75" i="18"/>
  <c r="R75" i="18"/>
  <c r="S75" i="18"/>
  <c r="T75" i="18"/>
  <c r="N76" i="18"/>
  <c r="O76" i="18"/>
  <c r="P76" i="18"/>
  <c r="Q76" i="18"/>
  <c r="R76" i="18"/>
  <c r="S76" i="18"/>
  <c r="T76" i="18"/>
  <c r="N77" i="18"/>
  <c r="O77" i="18"/>
  <c r="P77" i="18"/>
  <c r="Q77" i="18"/>
  <c r="R77" i="18"/>
  <c r="S77" i="18"/>
  <c r="T77" i="18"/>
  <c r="N78" i="18"/>
  <c r="O78" i="18"/>
  <c r="P78" i="18"/>
  <c r="Q78" i="18"/>
  <c r="R78" i="18"/>
  <c r="S78" i="18"/>
  <c r="T78" i="18"/>
  <c r="N79" i="18"/>
  <c r="O79" i="18"/>
  <c r="P79" i="18"/>
  <c r="Q79" i="18"/>
  <c r="R79" i="18"/>
  <c r="S79" i="18"/>
  <c r="T79" i="18"/>
  <c r="N80" i="18"/>
  <c r="O80" i="18"/>
  <c r="P80" i="18"/>
  <c r="Q80" i="18"/>
  <c r="R80" i="18"/>
  <c r="S80" i="18"/>
  <c r="T80" i="18"/>
  <c r="N81" i="18"/>
  <c r="O81" i="18"/>
  <c r="P81" i="18"/>
  <c r="Q81" i="18"/>
  <c r="R81" i="18"/>
  <c r="S81" i="18"/>
  <c r="T81" i="18"/>
  <c r="N82" i="18"/>
  <c r="O82" i="18"/>
  <c r="P82" i="18"/>
  <c r="Q82" i="18"/>
  <c r="R82" i="18"/>
  <c r="S82" i="18"/>
  <c r="T82" i="18"/>
  <c r="N83" i="18"/>
  <c r="O83" i="18"/>
  <c r="P83" i="18"/>
  <c r="Q83" i="18"/>
  <c r="R83" i="18"/>
  <c r="S83" i="18"/>
  <c r="T83" i="18"/>
  <c r="N84" i="18"/>
  <c r="O84" i="18"/>
  <c r="P84" i="18"/>
  <c r="Q84" i="18"/>
  <c r="R84" i="18"/>
  <c r="S84" i="18"/>
  <c r="T84" i="18"/>
  <c r="N85" i="18"/>
  <c r="O85" i="18"/>
  <c r="P85" i="18"/>
  <c r="Q85" i="18"/>
  <c r="R85" i="18"/>
  <c r="S85" i="18"/>
  <c r="T85" i="18"/>
  <c r="N86" i="18"/>
  <c r="O86" i="18"/>
  <c r="P86" i="18"/>
  <c r="Q86" i="18"/>
  <c r="R86" i="18"/>
  <c r="S86" i="18"/>
  <c r="T86" i="18"/>
  <c r="N87" i="18"/>
  <c r="O87" i="18"/>
  <c r="P87" i="18"/>
  <c r="Q87" i="18"/>
  <c r="R87" i="18"/>
  <c r="S87" i="18"/>
  <c r="T87" i="18"/>
  <c r="N88" i="18"/>
  <c r="O88" i="18"/>
  <c r="P88" i="18"/>
  <c r="Q88" i="18"/>
  <c r="R88" i="18"/>
  <c r="S88" i="18"/>
  <c r="T88" i="18"/>
  <c r="N89" i="18"/>
  <c r="O89" i="18"/>
  <c r="P89" i="18"/>
  <c r="Q89" i="18"/>
  <c r="R89" i="18"/>
  <c r="S89" i="18"/>
  <c r="T89" i="18"/>
  <c r="N90" i="18"/>
  <c r="O90" i="18"/>
  <c r="P90" i="18"/>
  <c r="Q90" i="18"/>
  <c r="R90" i="18"/>
  <c r="S90" i="18"/>
  <c r="T90" i="18"/>
  <c r="N91" i="18"/>
  <c r="O91" i="18"/>
  <c r="P91" i="18"/>
  <c r="Q91" i="18"/>
  <c r="R91" i="18"/>
  <c r="S91" i="18"/>
  <c r="T91" i="18"/>
  <c r="N92" i="18"/>
  <c r="O92" i="18"/>
  <c r="P92" i="18"/>
  <c r="Q92" i="18"/>
  <c r="R92" i="18"/>
  <c r="S92" i="18"/>
  <c r="T92" i="18"/>
  <c r="N93" i="18"/>
  <c r="O93" i="18"/>
  <c r="P93" i="18"/>
  <c r="Q93" i="18"/>
  <c r="R93" i="18"/>
  <c r="S93" i="18"/>
  <c r="T93" i="18"/>
  <c r="N94" i="18"/>
  <c r="O94" i="18"/>
  <c r="P94" i="18"/>
  <c r="Q94" i="18"/>
  <c r="R94" i="18"/>
  <c r="S94" i="18"/>
  <c r="T94" i="18"/>
  <c r="N95" i="18"/>
  <c r="O95" i="18"/>
  <c r="P95" i="18"/>
  <c r="Q95" i="18"/>
  <c r="R95" i="18"/>
  <c r="S95" i="18"/>
  <c r="T95" i="18"/>
  <c r="N96" i="18"/>
  <c r="O96" i="18"/>
  <c r="P96" i="18"/>
  <c r="Q96" i="18"/>
  <c r="R96" i="18"/>
  <c r="S96" i="18"/>
  <c r="T96" i="18"/>
  <c r="N97" i="18"/>
  <c r="O97" i="18"/>
  <c r="P97" i="18"/>
  <c r="Q97" i="18"/>
  <c r="R97" i="18"/>
  <c r="S97" i="18"/>
  <c r="T97" i="18"/>
  <c r="N98" i="18"/>
  <c r="O98" i="18"/>
  <c r="P98" i="18"/>
  <c r="Q98" i="18"/>
  <c r="R98" i="18"/>
  <c r="S98" i="18"/>
  <c r="T98" i="18"/>
  <c r="N99" i="18"/>
  <c r="O99" i="18"/>
  <c r="P99" i="18"/>
  <c r="Q99" i="18"/>
  <c r="R99" i="18"/>
  <c r="S99" i="18"/>
  <c r="T99" i="18"/>
  <c r="N100" i="18"/>
  <c r="O100" i="18"/>
  <c r="P100" i="18"/>
  <c r="Q100" i="18"/>
  <c r="R100" i="18"/>
  <c r="S100" i="18"/>
  <c r="T100" i="18"/>
  <c r="N101" i="18"/>
  <c r="O101" i="18"/>
  <c r="P101" i="18"/>
  <c r="Q101" i="18"/>
  <c r="R101" i="18"/>
  <c r="S101" i="18"/>
  <c r="T101" i="18"/>
  <c r="N102" i="18"/>
  <c r="O102" i="18"/>
  <c r="P102" i="18"/>
  <c r="Q102" i="18"/>
  <c r="R102" i="18"/>
  <c r="S102" i="18"/>
  <c r="T102" i="18"/>
  <c r="N103" i="18"/>
  <c r="O103" i="18"/>
  <c r="P103" i="18"/>
  <c r="Q103" i="18"/>
  <c r="R103" i="18"/>
  <c r="S103" i="18"/>
  <c r="T103" i="18"/>
  <c r="N104" i="18"/>
  <c r="O104" i="18"/>
  <c r="P104" i="18"/>
  <c r="Q104" i="18"/>
  <c r="R104" i="18"/>
  <c r="S104" i="18"/>
  <c r="T104" i="18"/>
  <c r="N105" i="18"/>
  <c r="O105" i="18"/>
  <c r="P105" i="18"/>
  <c r="Q105" i="18"/>
  <c r="R105" i="18"/>
  <c r="S105" i="18"/>
  <c r="T105" i="18"/>
  <c r="N106" i="18"/>
  <c r="O106" i="18"/>
  <c r="P106" i="18"/>
  <c r="Q106" i="18"/>
  <c r="R106" i="18"/>
  <c r="S106" i="18"/>
  <c r="T106" i="18"/>
  <c r="N107" i="18"/>
  <c r="O107" i="18"/>
  <c r="P107" i="18"/>
  <c r="Q107" i="18"/>
  <c r="R107" i="18"/>
  <c r="S107" i="18"/>
  <c r="T107" i="18"/>
  <c r="N108" i="18"/>
  <c r="O108" i="18"/>
  <c r="P108" i="18"/>
  <c r="Q108" i="18"/>
  <c r="R108" i="18"/>
  <c r="S108" i="18"/>
  <c r="T108" i="18"/>
  <c r="N109" i="18"/>
  <c r="O109" i="18"/>
  <c r="P109" i="18"/>
  <c r="Q109" i="18"/>
  <c r="R109" i="18"/>
  <c r="S109" i="18"/>
  <c r="T109" i="18"/>
  <c r="N110" i="18"/>
  <c r="O110" i="18"/>
  <c r="P110" i="18"/>
  <c r="Q110" i="18"/>
  <c r="R110" i="18"/>
  <c r="S110" i="18"/>
  <c r="T110" i="18"/>
  <c r="N111" i="18"/>
  <c r="O111" i="18"/>
  <c r="P111" i="18"/>
  <c r="Q111" i="18"/>
  <c r="R111" i="18"/>
  <c r="S111" i="18"/>
  <c r="T111" i="18"/>
  <c r="N112" i="18"/>
  <c r="O112" i="18"/>
  <c r="P112" i="18"/>
  <c r="Q112" i="18"/>
  <c r="R112" i="18"/>
  <c r="S112" i="18"/>
  <c r="T112" i="18"/>
  <c r="N113" i="18"/>
  <c r="O113" i="18"/>
  <c r="P113" i="18"/>
  <c r="Q113" i="18"/>
  <c r="R113" i="18"/>
  <c r="S113" i="18"/>
  <c r="T113" i="18"/>
  <c r="N4" i="18"/>
  <c r="O4" i="18"/>
  <c r="F160" i="18"/>
  <c r="G160" i="18"/>
  <c r="F153" i="18"/>
  <c r="G153" i="18"/>
  <c r="F154" i="18"/>
  <c r="G154" i="18"/>
  <c r="F155" i="18"/>
  <c r="G155" i="18"/>
  <c r="F156" i="18"/>
  <c r="G156" i="18"/>
  <c r="F157" i="18"/>
  <c r="G157" i="18"/>
  <c r="F158" i="18"/>
  <c r="G158" i="18"/>
  <c r="F159" i="18"/>
  <c r="G159" i="18"/>
  <c r="I53" i="18"/>
  <c r="K53" i="18"/>
  <c r="I54" i="18"/>
  <c r="K54" i="18"/>
  <c r="I55" i="18"/>
  <c r="K55" i="18"/>
  <c r="I56" i="18"/>
  <c r="K56" i="18"/>
  <c r="I57" i="18"/>
  <c r="K57" i="18"/>
  <c r="I58" i="18"/>
  <c r="K58" i="18"/>
  <c r="I59" i="18"/>
  <c r="K59" i="18"/>
  <c r="I60" i="18"/>
  <c r="K60" i="18"/>
  <c r="I61" i="18"/>
  <c r="K61" i="18"/>
  <c r="I62" i="18"/>
  <c r="K62" i="18"/>
  <c r="I63" i="18"/>
  <c r="K63" i="18"/>
  <c r="I64" i="18"/>
  <c r="K64" i="18"/>
  <c r="I65" i="18"/>
  <c r="K65" i="18"/>
  <c r="I66" i="18"/>
  <c r="K66" i="18"/>
  <c r="I67" i="18"/>
  <c r="K67" i="18"/>
  <c r="I68" i="18"/>
  <c r="K68" i="18"/>
  <c r="I69" i="18"/>
  <c r="K69" i="18"/>
  <c r="I70" i="18"/>
  <c r="K70" i="18"/>
  <c r="I71" i="18"/>
  <c r="K71" i="18"/>
  <c r="I72" i="18"/>
  <c r="K72" i="18"/>
  <c r="I73" i="18"/>
  <c r="K73" i="18"/>
  <c r="I74" i="18"/>
  <c r="K74" i="18"/>
  <c r="I75" i="18"/>
  <c r="K75" i="18"/>
  <c r="I76" i="18"/>
  <c r="K76" i="18"/>
  <c r="I77" i="18"/>
  <c r="K77" i="18"/>
  <c r="I78" i="18"/>
  <c r="K78" i="18"/>
  <c r="I79" i="18"/>
  <c r="K79" i="18"/>
  <c r="I80" i="18"/>
  <c r="K80" i="18"/>
  <c r="I81" i="18"/>
  <c r="K81" i="18"/>
  <c r="I82" i="18"/>
  <c r="K82" i="18"/>
  <c r="I4" i="18"/>
  <c r="J4" i="18"/>
  <c r="K4" i="18"/>
  <c r="I5" i="18"/>
  <c r="J5" i="18"/>
  <c r="K5" i="18"/>
  <c r="I6" i="18"/>
  <c r="J6" i="18"/>
  <c r="K6" i="18"/>
  <c r="I7" i="18"/>
  <c r="J7" i="18"/>
  <c r="K7" i="18"/>
  <c r="I8" i="18"/>
  <c r="J8" i="18"/>
  <c r="K8" i="18"/>
  <c r="I9" i="18"/>
  <c r="J9" i="18"/>
  <c r="K9" i="18"/>
  <c r="I10" i="18"/>
  <c r="J10" i="18"/>
  <c r="K10" i="18"/>
  <c r="I11" i="18"/>
  <c r="J11" i="18"/>
  <c r="K11" i="18"/>
  <c r="I12" i="18"/>
  <c r="J12" i="18"/>
  <c r="K12" i="18"/>
  <c r="I13" i="18"/>
  <c r="J13" i="18"/>
  <c r="K13" i="18"/>
  <c r="I14" i="18"/>
  <c r="J14" i="18"/>
  <c r="K14" i="18"/>
  <c r="I15" i="18"/>
  <c r="J15" i="18"/>
  <c r="K15" i="18"/>
  <c r="I16" i="18"/>
  <c r="J16" i="18"/>
  <c r="K16" i="18"/>
  <c r="I17" i="18"/>
  <c r="J17" i="18"/>
  <c r="K17" i="18"/>
  <c r="I18" i="18"/>
  <c r="J18" i="18"/>
  <c r="K18" i="18"/>
  <c r="I19" i="18"/>
  <c r="J19" i="18"/>
  <c r="K19" i="18"/>
  <c r="I20" i="18"/>
  <c r="J20" i="18"/>
  <c r="K20" i="18"/>
  <c r="I21" i="18"/>
  <c r="J21" i="18"/>
  <c r="K21" i="18"/>
  <c r="I22" i="18"/>
  <c r="J22" i="18"/>
  <c r="K22" i="18"/>
  <c r="I23" i="18"/>
  <c r="J23" i="18"/>
  <c r="K23" i="18"/>
  <c r="I24" i="18"/>
  <c r="J24" i="18"/>
  <c r="K24" i="18"/>
  <c r="I25" i="18"/>
  <c r="J25" i="18"/>
  <c r="K25" i="18"/>
  <c r="I26" i="18"/>
  <c r="J26" i="18"/>
  <c r="K26" i="18"/>
  <c r="I27" i="18"/>
  <c r="J27" i="18"/>
  <c r="K27" i="18"/>
  <c r="I28" i="18"/>
  <c r="J28" i="18"/>
  <c r="K28" i="18"/>
  <c r="I29" i="18"/>
  <c r="J29" i="18"/>
  <c r="K29" i="18"/>
  <c r="I30" i="18"/>
  <c r="J30" i="18"/>
  <c r="K30" i="18"/>
  <c r="I31" i="18"/>
  <c r="J31" i="18"/>
  <c r="K31" i="18"/>
  <c r="I32" i="18"/>
  <c r="J32" i="18"/>
  <c r="K32" i="18"/>
  <c r="I33" i="18"/>
  <c r="J33" i="18"/>
  <c r="K33" i="18"/>
  <c r="I34" i="18"/>
  <c r="J34" i="18"/>
  <c r="K34" i="18"/>
  <c r="I35" i="18"/>
  <c r="J35" i="18"/>
  <c r="K35" i="18"/>
  <c r="I36" i="18"/>
  <c r="J36" i="18"/>
  <c r="K36" i="18"/>
  <c r="I37" i="18"/>
  <c r="J37" i="18"/>
  <c r="K37" i="18"/>
  <c r="I38" i="18"/>
  <c r="K38" i="18"/>
  <c r="I39" i="18"/>
  <c r="K39" i="18"/>
  <c r="I40" i="18"/>
  <c r="K40" i="18"/>
  <c r="I41" i="18"/>
  <c r="K41" i="18"/>
  <c r="I42" i="18"/>
  <c r="K42" i="18"/>
  <c r="I43" i="18"/>
  <c r="K43" i="18"/>
  <c r="I44" i="18"/>
  <c r="K44" i="18"/>
  <c r="I45" i="18"/>
  <c r="K45" i="18"/>
  <c r="I46" i="18"/>
  <c r="K46" i="18"/>
  <c r="I47" i="18"/>
  <c r="K47" i="18"/>
  <c r="I48" i="18"/>
  <c r="K48" i="18"/>
  <c r="I49" i="18"/>
  <c r="K49" i="18"/>
  <c r="I50" i="18"/>
  <c r="K50" i="18"/>
  <c r="I51" i="18"/>
  <c r="K51" i="18"/>
  <c r="I52" i="18"/>
  <c r="K52" i="18"/>
  <c r="K3" i="18"/>
  <c r="J3" i="18"/>
  <c r="I3" i="18"/>
  <c r="D35" i="18"/>
  <c r="C35" i="18"/>
  <c r="B35" i="18"/>
  <c r="D34" i="18"/>
  <c r="C34" i="18"/>
  <c r="B34" i="18"/>
  <c r="D33" i="18"/>
  <c r="C33" i="18"/>
  <c r="B33" i="18"/>
  <c r="D32" i="18"/>
  <c r="C32" i="18"/>
  <c r="B32" i="18"/>
  <c r="D31" i="18"/>
  <c r="C31" i="18"/>
  <c r="B31" i="18"/>
  <c r="D30" i="18"/>
  <c r="C30" i="18"/>
  <c r="B30" i="18"/>
  <c r="D29" i="18"/>
  <c r="C29" i="18"/>
  <c r="B29" i="18"/>
  <c r="D28" i="18"/>
  <c r="C28" i="18"/>
  <c r="B28" i="18"/>
  <c r="D27" i="18"/>
  <c r="C27" i="18"/>
  <c r="B27" i="18"/>
  <c r="D26" i="18"/>
  <c r="C26" i="18"/>
  <c r="B26" i="18"/>
  <c r="D25" i="18"/>
  <c r="C25" i="18"/>
  <c r="B25" i="18"/>
  <c r="D24" i="18"/>
  <c r="C24" i="18"/>
  <c r="B24" i="18"/>
  <c r="D17" i="18"/>
  <c r="C17" i="18"/>
  <c r="B17" i="18"/>
  <c r="D16" i="18"/>
  <c r="C16" i="18"/>
  <c r="B16" i="18"/>
  <c r="D15" i="18"/>
  <c r="C15" i="18"/>
  <c r="B15" i="18"/>
  <c r="D14" i="18"/>
  <c r="C14" i="18"/>
  <c r="B14" i="18"/>
  <c r="D13" i="18"/>
  <c r="C13" i="18"/>
  <c r="B13" i="18"/>
  <c r="D12" i="18"/>
  <c r="C12" i="18"/>
  <c r="B12" i="18"/>
  <c r="D11" i="18"/>
  <c r="C11" i="18"/>
  <c r="B11" i="18"/>
  <c r="D10" i="18"/>
  <c r="C10" i="18"/>
  <c r="B10" i="18"/>
  <c r="D9" i="18"/>
  <c r="C9" i="18"/>
  <c r="B9" i="18"/>
  <c r="D8" i="18"/>
  <c r="C8" i="18"/>
  <c r="B8" i="18"/>
  <c r="F4" i="18"/>
  <c r="G4" i="18"/>
  <c r="F5" i="18"/>
  <c r="G5" i="18"/>
  <c r="F6" i="18"/>
  <c r="G6" i="18"/>
  <c r="F7" i="18"/>
  <c r="G7" i="18"/>
  <c r="F8" i="18"/>
  <c r="G8" i="18"/>
  <c r="F9" i="18"/>
  <c r="G9" i="18"/>
  <c r="F10" i="18"/>
  <c r="G10" i="18"/>
  <c r="F11" i="18"/>
  <c r="G11" i="18"/>
  <c r="F12" i="18"/>
  <c r="G12" i="18"/>
  <c r="F13" i="18"/>
  <c r="G13" i="18"/>
  <c r="F14" i="18"/>
  <c r="G14" i="18"/>
  <c r="F15" i="18"/>
  <c r="G15" i="18"/>
  <c r="F16" i="18"/>
  <c r="G16" i="18"/>
  <c r="F17" i="18"/>
  <c r="G17" i="18"/>
  <c r="F18" i="18"/>
  <c r="G18" i="18"/>
  <c r="F19" i="18"/>
  <c r="G19" i="18"/>
  <c r="F20" i="18"/>
  <c r="G20" i="18"/>
  <c r="F21" i="18"/>
  <c r="G21" i="18"/>
  <c r="F22" i="18"/>
  <c r="G22" i="18"/>
  <c r="F23" i="18"/>
  <c r="G23" i="18"/>
  <c r="F24" i="18"/>
  <c r="G24" i="18"/>
  <c r="F25" i="18"/>
  <c r="G25" i="18"/>
  <c r="F26" i="18"/>
  <c r="G26" i="18"/>
  <c r="F27" i="18"/>
  <c r="G27" i="18"/>
  <c r="F28" i="18"/>
  <c r="G28" i="18"/>
  <c r="F29" i="18"/>
  <c r="G29" i="18"/>
  <c r="F30" i="18"/>
  <c r="G30" i="18"/>
  <c r="F31" i="18"/>
  <c r="G31" i="18"/>
  <c r="F32" i="18"/>
  <c r="G32" i="18"/>
  <c r="F33" i="18"/>
  <c r="G33" i="18"/>
  <c r="F34" i="18"/>
  <c r="G34" i="18"/>
  <c r="F35" i="18"/>
  <c r="G35" i="18"/>
  <c r="F36" i="18"/>
  <c r="G36" i="18"/>
  <c r="F37" i="18"/>
  <c r="G37" i="18"/>
  <c r="F38" i="18"/>
  <c r="G38" i="18"/>
  <c r="F39" i="18"/>
  <c r="G39" i="18"/>
  <c r="F40" i="18"/>
  <c r="G40" i="18"/>
  <c r="F41" i="18"/>
  <c r="G41" i="18"/>
  <c r="F42" i="18"/>
  <c r="G42" i="18"/>
  <c r="F43" i="18"/>
  <c r="G43" i="18"/>
  <c r="F44" i="18"/>
  <c r="G44" i="18"/>
  <c r="F45" i="18"/>
  <c r="G45" i="18"/>
  <c r="F46" i="18"/>
  <c r="G46" i="18"/>
  <c r="F47" i="18"/>
  <c r="G47" i="18"/>
  <c r="F48" i="18"/>
  <c r="G48" i="18"/>
  <c r="F49" i="18"/>
  <c r="G49" i="18"/>
  <c r="F50" i="18"/>
  <c r="G50" i="18"/>
  <c r="F51" i="18"/>
  <c r="G51" i="18"/>
  <c r="F52" i="18"/>
  <c r="G52" i="18"/>
  <c r="F53" i="18"/>
  <c r="G53" i="18"/>
  <c r="F54" i="18"/>
  <c r="G54" i="18"/>
  <c r="F55" i="18"/>
  <c r="G55" i="18"/>
  <c r="F56" i="18"/>
  <c r="G56" i="18"/>
  <c r="F57" i="18"/>
  <c r="G57" i="18"/>
  <c r="F58" i="18"/>
  <c r="G58" i="18"/>
  <c r="F59" i="18"/>
  <c r="G59" i="18"/>
  <c r="F60" i="18"/>
  <c r="G60" i="18"/>
  <c r="F61" i="18"/>
  <c r="G61" i="18"/>
  <c r="F62" i="18"/>
  <c r="G62" i="18"/>
  <c r="F63" i="18"/>
  <c r="G63" i="18"/>
  <c r="F64" i="18"/>
  <c r="G64" i="18"/>
  <c r="F65" i="18"/>
  <c r="G65" i="18"/>
  <c r="F66" i="18"/>
  <c r="G66" i="18"/>
  <c r="F67" i="18"/>
  <c r="G67" i="18"/>
  <c r="F68" i="18"/>
  <c r="G68" i="18"/>
  <c r="F69" i="18"/>
  <c r="G69" i="18"/>
  <c r="F70" i="18"/>
  <c r="G70" i="18"/>
  <c r="F71" i="18"/>
  <c r="G71" i="18"/>
  <c r="F72" i="18"/>
  <c r="G72" i="18"/>
  <c r="F73" i="18"/>
  <c r="G73" i="18"/>
  <c r="F74" i="18"/>
  <c r="G74" i="18"/>
  <c r="F75" i="18"/>
  <c r="G75" i="18"/>
  <c r="F76" i="18"/>
  <c r="G76" i="18"/>
  <c r="F77" i="18"/>
  <c r="G77" i="18"/>
  <c r="F78" i="18"/>
  <c r="G78" i="18"/>
  <c r="F79" i="18"/>
  <c r="G79" i="18"/>
  <c r="F80" i="18"/>
  <c r="G80" i="18"/>
  <c r="F81" i="18"/>
  <c r="G81" i="18"/>
  <c r="F82" i="18"/>
  <c r="G82" i="18"/>
  <c r="F83" i="18"/>
  <c r="G83" i="18"/>
  <c r="F84" i="18"/>
  <c r="G84" i="18"/>
  <c r="F85" i="18"/>
  <c r="G85" i="18"/>
  <c r="F86" i="18"/>
  <c r="G86" i="18"/>
  <c r="F87" i="18"/>
  <c r="G87" i="18"/>
  <c r="F88" i="18"/>
  <c r="G88" i="18"/>
  <c r="F89" i="18"/>
  <c r="G89" i="18"/>
  <c r="F90" i="18"/>
  <c r="G90" i="18"/>
  <c r="F91" i="18"/>
  <c r="G91" i="18"/>
  <c r="F92" i="18"/>
  <c r="G92" i="18"/>
  <c r="F93" i="18"/>
  <c r="G93" i="18"/>
  <c r="F94" i="18"/>
  <c r="G94" i="18"/>
  <c r="F95" i="18"/>
  <c r="G95" i="18"/>
  <c r="F96" i="18"/>
  <c r="G96" i="18"/>
  <c r="F97" i="18"/>
  <c r="G97" i="18"/>
  <c r="F98" i="18"/>
  <c r="G98" i="18"/>
  <c r="F99" i="18"/>
  <c r="G99" i="18"/>
  <c r="F100" i="18"/>
  <c r="G100" i="18"/>
  <c r="F101" i="18"/>
  <c r="G101" i="18"/>
  <c r="F102" i="18"/>
  <c r="G102" i="18"/>
  <c r="F103" i="18"/>
  <c r="G103" i="18"/>
  <c r="F104" i="18"/>
  <c r="G104" i="18"/>
  <c r="F105" i="18"/>
  <c r="G105" i="18"/>
  <c r="F106" i="18"/>
  <c r="G106" i="18"/>
  <c r="F107" i="18"/>
  <c r="G107" i="18"/>
  <c r="F108" i="18"/>
  <c r="G108" i="18"/>
  <c r="F109" i="18"/>
  <c r="G109" i="18"/>
  <c r="F110" i="18"/>
  <c r="G110" i="18"/>
  <c r="F111" i="18"/>
  <c r="G111" i="18"/>
  <c r="F112" i="18"/>
  <c r="G112" i="18"/>
  <c r="F113" i="18"/>
  <c r="G113" i="18"/>
  <c r="F114" i="18"/>
  <c r="G114" i="18"/>
  <c r="F115" i="18"/>
  <c r="G115" i="18"/>
  <c r="F116" i="18"/>
  <c r="G116" i="18"/>
  <c r="F117" i="18"/>
  <c r="G117" i="18"/>
  <c r="F118" i="18"/>
  <c r="G118" i="18"/>
  <c r="F119" i="18"/>
  <c r="G119" i="18"/>
  <c r="F120" i="18"/>
  <c r="G120" i="18"/>
  <c r="F121" i="18"/>
  <c r="G121" i="18"/>
  <c r="F122" i="18"/>
  <c r="G122" i="18"/>
  <c r="F123" i="18"/>
  <c r="G123" i="18"/>
  <c r="F124" i="18"/>
  <c r="G124" i="18"/>
  <c r="F125" i="18"/>
  <c r="G125" i="18"/>
  <c r="F126" i="18"/>
  <c r="G126" i="18"/>
  <c r="F127" i="18"/>
  <c r="G127" i="18"/>
  <c r="F128" i="18"/>
  <c r="G128" i="18"/>
  <c r="F129" i="18"/>
  <c r="G129" i="18"/>
  <c r="F130" i="18"/>
  <c r="G130" i="18"/>
  <c r="F131" i="18"/>
  <c r="G131" i="18"/>
  <c r="F132" i="18"/>
  <c r="G132" i="18"/>
  <c r="F133" i="18"/>
  <c r="G133" i="18"/>
  <c r="F134" i="18"/>
  <c r="G134" i="18"/>
  <c r="F135" i="18"/>
  <c r="G135" i="18"/>
  <c r="F136" i="18"/>
  <c r="G136" i="18"/>
  <c r="F137" i="18"/>
  <c r="G137" i="18"/>
  <c r="F138" i="18"/>
  <c r="G138" i="18"/>
  <c r="F139" i="18"/>
  <c r="G139" i="18"/>
  <c r="F140" i="18"/>
  <c r="G140" i="18"/>
  <c r="F141" i="18"/>
  <c r="G141" i="18"/>
  <c r="F142" i="18"/>
  <c r="G142" i="18"/>
  <c r="F143" i="18"/>
  <c r="G143" i="18"/>
  <c r="F144" i="18"/>
  <c r="G144" i="18"/>
  <c r="F145" i="18"/>
  <c r="G145" i="18"/>
  <c r="F146" i="18"/>
  <c r="G146" i="18"/>
  <c r="F147" i="18"/>
  <c r="G147" i="18"/>
  <c r="F148" i="18"/>
  <c r="G148" i="18"/>
  <c r="F149" i="18"/>
  <c r="G149" i="18"/>
  <c r="F150" i="18"/>
  <c r="G150" i="18"/>
  <c r="F151" i="18"/>
  <c r="G151" i="18"/>
  <c r="F152" i="18"/>
  <c r="G152" i="18"/>
  <c r="G3" i="18"/>
  <c r="F3" i="18"/>
  <c r="J6" i="95" l="1"/>
  <c r="I6" i="95"/>
  <c r="N3" i="18"/>
  <c r="W54" i="50"/>
  <c r="W39" i="50"/>
  <c r="X39" i="50" s="1"/>
  <c r="W20" i="50"/>
  <c r="W38" i="50"/>
  <c r="X38" i="50" s="1"/>
  <c r="W19" i="50"/>
  <c r="W53" i="50"/>
  <c r="W37" i="50"/>
  <c r="X37" i="50" s="1"/>
  <c r="W68" i="50"/>
  <c r="W80" i="50"/>
  <c r="W67" i="50"/>
  <c r="W52" i="50"/>
  <c r="W79" i="50"/>
  <c r="W66" i="50"/>
  <c r="R13" i="51"/>
  <c r="W33" i="50"/>
  <c r="X33" i="50" s="1"/>
  <c r="W78" i="50"/>
  <c r="W65" i="50"/>
  <c r="W50" i="50"/>
  <c r="W49" i="50"/>
  <c r="W32" i="50"/>
  <c r="X32" i="50" s="1"/>
  <c r="W13" i="50"/>
  <c r="R12" i="51"/>
  <c r="W48" i="50"/>
  <c r="W63" i="50"/>
  <c r="W76" i="50"/>
  <c r="R11" i="51"/>
  <c r="W62" i="50"/>
  <c r="W31" i="50"/>
  <c r="X31" i="50" s="1"/>
  <c r="W75" i="50"/>
  <c r="W61" i="50"/>
  <c r="W46" i="50"/>
  <c r="W30" i="50"/>
  <c r="X30" i="50" s="1"/>
  <c r="W60" i="50"/>
  <c r="W74" i="50"/>
  <c r="W45" i="50"/>
  <c r="W59" i="50"/>
  <c r="W73" i="50"/>
  <c r="W28" i="50"/>
  <c r="X28" i="50" s="1"/>
  <c r="W44" i="50"/>
  <c r="W7" i="50"/>
  <c r="X7" i="50" s="1"/>
  <c r="AX4" i="18"/>
  <c r="AW4" i="18"/>
  <c r="AV4" i="18"/>
  <c r="AU4" i="18"/>
  <c r="AT4" i="18"/>
  <c r="AD4" i="18"/>
  <c r="AA4" i="18"/>
  <c r="Z4" i="18"/>
  <c r="Y4" i="18"/>
  <c r="X4" i="18"/>
  <c r="W4" i="18"/>
  <c r="T4" i="18"/>
  <c r="S4" i="18"/>
  <c r="R4" i="18"/>
  <c r="Q4" i="18"/>
  <c r="P4" i="18"/>
  <c r="K11" i="47"/>
  <c r="J6" i="47"/>
  <c r="Y8" i="51"/>
  <c r="X8" i="51"/>
  <c r="W8" i="51"/>
  <c r="V8" i="51"/>
  <c r="U8" i="51"/>
  <c r="T8" i="51"/>
  <c r="S8" i="51"/>
  <c r="Y9" i="51"/>
  <c r="Y10" i="51"/>
  <c r="Y11" i="51"/>
  <c r="Y12" i="51"/>
  <c r="Y13" i="51"/>
  <c r="Y14" i="51"/>
  <c r="X9" i="51"/>
  <c r="X10" i="51"/>
  <c r="X11" i="51"/>
  <c r="X12" i="51"/>
  <c r="X13" i="51"/>
  <c r="X14" i="51"/>
  <c r="W9" i="51"/>
  <c r="W10" i="51"/>
  <c r="W11" i="51"/>
  <c r="W12" i="51"/>
  <c r="W13" i="51"/>
  <c r="W14" i="51"/>
  <c r="V13" i="51"/>
  <c r="V14" i="51"/>
  <c r="V9" i="51"/>
  <c r="V10" i="51"/>
  <c r="V11" i="51"/>
  <c r="V12" i="51"/>
  <c r="U9" i="51"/>
  <c r="U10" i="51"/>
  <c r="U11" i="51"/>
  <c r="U12" i="51"/>
  <c r="U13" i="51"/>
  <c r="U14" i="51"/>
  <c r="T9" i="51"/>
  <c r="T10" i="51"/>
  <c r="T11" i="51"/>
  <c r="T12" i="51"/>
  <c r="T13" i="51"/>
  <c r="T14" i="51"/>
  <c r="S9" i="51"/>
  <c r="S10" i="51"/>
  <c r="S11" i="51"/>
  <c r="S12" i="51"/>
  <c r="S13" i="51"/>
  <c r="S14" i="51"/>
  <c r="D20" i="50"/>
  <c r="AD49" i="50" s="1"/>
  <c r="D21" i="50"/>
  <c r="AC48" i="50" s="1"/>
  <c r="D22" i="50"/>
  <c r="AC74" i="50" s="1"/>
  <c r="D23" i="50"/>
  <c r="AC32" i="50" s="1"/>
  <c r="D24" i="50"/>
  <c r="D25" i="50"/>
  <c r="AC14" i="50" s="1"/>
  <c r="D26" i="50"/>
  <c r="D19" i="50"/>
  <c r="AA37" i="50" s="1"/>
  <c r="D13" i="50"/>
  <c r="D12" i="50"/>
  <c r="D11" i="50"/>
  <c r="D10" i="50"/>
  <c r="D9" i="50"/>
  <c r="D8" i="50"/>
  <c r="D7" i="50"/>
  <c r="D6" i="50"/>
  <c r="AB49" i="50"/>
  <c r="AA48" i="50"/>
  <c r="AA54" i="50"/>
  <c r="AA38" i="50"/>
  <c r="AD39" i="50"/>
  <c r="AD38" i="50"/>
  <c r="AD36" i="50"/>
  <c r="AD35" i="50"/>
  <c r="AC37" i="50"/>
  <c r="AC35" i="50"/>
  <c r="AB38" i="50"/>
  <c r="AB60" i="50"/>
  <c r="Z62" i="50"/>
  <c r="Z66" i="50"/>
  <c r="AB68" i="50"/>
  <c r="AD59" i="50"/>
  <c r="AB61" i="50"/>
  <c r="AB65" i="50"/>
  <c r="Z67" i="50"/>
  <c r="AA60" i="50"/>
  <c r="AA64" i="50"/>
  <c r="AA59" i="50"/>
  <c r="AD60" i="50"/>
  <c r="AD64" i="50"/>
  <c r="AB66" i="50"/>
  <c r="AD61" i="50"/>
  <c r="Z65" i="50"/>
  <c r="AD66" i="50"/>
  <c r="Z74" i="50"/>
  <c r="AC79" i="50"/>
  <c r="AB72" i="50"/>
  <c r="AD74" i="50"/>
  <c r="Z72" i="50"/>
  <c r="AA80" i="50"/>
  <c r="Z77" i="50"/>
  <c r="AB75" i="50"/>
  <c r="AB16" i="50"/>
  <c r="AC18" i="50"/>
  <c r="AA13" i="50"/>
  <c r="AD10" i="50"/>
  <c r="AD17" i="50"/>
  <c r="AA15" i="50"/>
  <c r="AD18" i="50"/>
  <c r="AA20" i="50"/>
  <c r="AB12" i="50"/>
  <c r="Z11" i="50"/>
  <c r="AA16" i="50"/>
  <c r="Z14" i="50"/>
  <c r="AD16" i="50"/>
  <c r="AA18" i="50"/>
  <c r="AA14" i="50"/>
  <c r="AC11" i="50"/>
  <c r="AC15" i="50"/>
  <c r="AA19" i="50"/>
  <c r="Z12" i="50"/>
  <c r="AC9" i="50"/>
  <c r="Z80" i="50"/>
  <c r="AB78" i="50"/>
  <c r="AA75" i="50"/>
  <c r="AA78" i="50"/>
  <c r="Z75" i="50"/>
  <c r="AB73" i="50"/>
  <c r="AA27" i="50"/>
  <c r="AD28" i="50"/>
  <c r="AC30" i="50"/>
  <c r="Z33" i="50"/>
  <c r="Z43" i="50"/>
  <c r="AC45" i="50"/>
  <c r="AD47" i="50"/>
  <c r="Z51" i="50"/>
  <c r="AA28" i="50"/>
  <c r="AD30" i="50"/>
  <c r="AA33" i="50"/>
  <c r="AA43" i="50"/>
  <c r="AD45" i="50"/>
  <c r="AB46" i="50"/>
  <c r="AA47" i="50"/>
  <c r="AC27" i="50"/>
  <c r="AB29" i="50"/>
  <c r="Z31" i="50"/>
  <c r="AB33" i="50"/>
  <c r="AC44" i="50"/>
  <c r="AB47" i="50"/>
  <c r="AD50" i="50"/>
  <c r="AD27" i="50"/>
  <c r="AB30" i="50"/>
  <c r="Z32" i="50"/>
  <c r="AC43" i="50"/>
  <c r="AB45" i="50"/>
  <c r="AD46" i="50"/>
  <c r="AL70" i="47"/>
  <c r="AL71" i="47"/>
  <c r="AL72" i="47"/>
  <c r="AL73" i="47"/>
  <c r="AL74" i="47"/>
  <c r="AL75" i="47"/>
  <c r="AL76" i="47"/>
  <c r="AL77" i="47"/>
  <c r="AL78" i="47"/>
  <c r="AL79" i="47"/>
  <c r="AL80" i="47"/>
  <c r="AL81" i="47"/>
  <c r="AL82" i="47"/>
  <c r="AL83" i="47"/>
  <c r="AL84" i="47"/>
  <c r="AL85" i="47"/>
  <c r="AL86" i="47"/>
  <c r="AL87" i="47"/>
  <c r="AL88" i="47"/>
  <c r="AL89" i="47"/>
  <c r="AL90" i="47"/>
  <c r="AL91" i="47"/>
  <c r="AL92" i="47"/>
  <c r="AL93" i="47"/>
  <c r="AL94" i="47"/>
  <c r="AL95" i="47"/>
  <c r="AL96" i="47"/>
  <c r="AL97" i="47"/>
  <c r="AL98" i="47"/>
  <c r="AL99" i="47"/>
  <c r="AL100" i="47"/>
  <c r="AL101" i="47"/>
  <c r="AL102" i="47"/>
  <c r="AL103" i="47"/>
  <c r="Q4" i="47"/>
  <c r="Q5" i="47"/>
  <c r="R5" i="47"/>
  <c r="S5" i="47"/>
  <c r="T5" i="47"/>
  <c r="U5" i="47"/>
  <c r="Q6" i="47"/>
  <c r="R6" i="47"/>
  <c r="S6" i="47"/>
  <c r="T6" i="47"/>
  <c r="U6" i="47"/>
  <c r="Q7" i="47"/>
  <c r="R7" i="47"/>
  <c r="S7" i="47"/>
  <c r="T7" i="47"/>
  <c r="U7" i="47"/>
  <c r="Q8" i="47"/>
  <c r="R8" i="47"/>
  <c r="T8" i="47"/>
  <c r="U8" i="47"/>
  <c r="Q9" i="47"/>
  <c r="R9" i="47"/>
  <c r="T9" i="47"/>
  <c r="U9" i="47"/>
  <c r="Q10" i="47"/>
  <c r="R10" i="47"/>
  <c r="T10" i="47"/>
  <c r="U10" i="47"/>
  <c r="R4" i="47"/>
  <c r="S4" i="47"/>
  <c r="T4" i="47"/>
  <c r="U4" i="47"/>
  <c r="J7" i="47"/>
  <c r="K7" i="47"/>
  <c r="L7" i="47"/>
  <c r="M7" i="47"/>
  <c r="N7" i="47"/>
  <c r="J8" i="47"/>
  <c r="K8" i="47"/>
  <c r="L8" i="47"/>
  <c r="M8" i="47"/>
  <c r="N8" i="47"/>
  <c r="J9" i="47"/>
  <c r="K9" i="47"/>
  <c r="L9" i="47"/>
  <c r="M9" i="47"/>
  <c r="N9" i="47"/>
  <c r="J10" i="47"/>
  <c r="K10" i="47"/>
  <c r="L10" i="47"/>
  <c r="M10" i="47"/>
  <c r="N10" i="47"/>
  <c r="J11" i="47"/>
  <c r="L11" i="47"/>
  <c r="M11" i="47"/>
  <c r="N11" i="47"/>
  <c r="J12" i="47"/>
  <c r="K12" i="47"/>
  <c r="L12" i="47"/>
  <c r="M12" i="47"/>
  <c r="N12" i="47"/>
  <c r="J13" i="47"/>
  <c r="K13" i="47"/>
  <c r="L13" i="47"/>
  <c r="M13" i="47"/>
  <c r="N13" i="47"/>
  <c r="J14" i="47"/>
  <c r="K14" i="47"/>
  <c r="L14" i="47"/>
  <c r="M14" i="47"/>
  <c r="N14" i="47"/>
  <c r="J15" i="47"/>
  <c r="K15" i="47"/>
  <c r="L15" i="47"/>
  <c r="M15" i="47"/>
  <c r="N15" i="47"/>
  <c r="J16" i="47"/>
  <c r="K16" i="47"/>
  <c r="L16" i="47"/>
  <c r="M16" i="47"/>
  <c r="N16" i="47"/>
  <c r="J17" i="47"/>
  <c r="K17" i="47"/>
  <c r="L17" i="47"/>
  <c r="M17" i="47"/>
  <c r="N17" i="47"/>
  <c r="J18" i="47"/>
  <c r="K18" i="47"/>
  <c r="L18" i="47"/>
  <c r="M18" i="47"/>
  <c r="N18" i="47"/>
  <c r="J19" i="47"/>
  <c r="K19" i="47"/>
  <c r="L19" i="47"/>
  <c r="M19" i="47"/>
  <c r="N19" i="47"/>
  <c r="J20" i="47"/>
  <c r="K20" i="47"/>
  <c r="L20" i="47"/>
  <c r="M20" i="47"/>
  <c r="N20" i="47"/>
  <c r="J21" i="47"/>
  <c r="K21" i="47"/>
  <c r="L21" i="47"/>
  <c r="M21" i="47"/>
  <c r="N21" i="47"/>
  <c r="J22" i="47"/>
  <c r="K22" i="47"/>
  <c r="L22" i="47"/>
  <c r="M22" i="47"/>
  <c r="N22" i="47"/>
  <c r="J23" i="47"/>
  <c r="K23" i="47"/>
  <c r="L23" i="47"/>
  <c r="M23" i="47"/>
  <c r="N23" i="47"/>
  <c r="J24" i="47"/>
  <c r="K24" i="47"/>
  <c r="L24" i="47"/>
  <c r="AH8" i="47" s="1"/>
  <c r="M24" i="47"/>
  <c r="N24" i="47"/>
  <c r="K25" i="47"/>
  <c r="L25" i="47"/>
  <c r="M25" i="47"/>
  <c r="N25" i="47"/>
  <c r="K26" i="47"/>
  <c r="L26" i="47"/>
  <c r="M26" i="47"/>
  <c r="N26" i="47"/>
  <c r="K27" i="47"/>
  <c r="L27" i="47"/>
  <c r="M27" i="47"/>
  <c r="N27" i="47"/>
  <c r="K28" i="47"/>
  <c r="L28" i="47"/>
  <c r="M28" i="47"/>
  <c r="N28" i="47"/>
  <c r="K29" i="47"/>
  <c r="L29" i="47"/>
  <c r="M29" i="47"/>
  <c r="N29" i="47"/>
  <c r="K30" i="47"/>
  <c r="L30" i="47"/>
  <c r="M30" i="47"/>
  <c r="N30" i="47"/>
  <c r="K31" i="47"/>
  <c r="L31" i="47"/>
  <c r="M31" i="47"/>
  <c r="N31" i="47"/>
  <c r="K32" i="47"/>
  <c r="L32" i="47"/>
  <c r="M32" i="47"/>
  <c r="N32" i="47"/>
  <c r="K33" i="47"/>
  <c r="L33" i="47"/>
  <c r="M33" i="47"/>
  <c r="N33" i="47"/>
  <c r="K34" i="47"/>
  <c r="L34" i="47"/>
  <c r="AH9" i="47" s="1"/>
  <c r="M34" i="47"/>
  <c r="N34" i="47"/>
  <c r="K35" i="47"/>
  <c r="L35" i="47"/>
  <c r="M35" i="47"/>
  <c r="N35" i="47"/>
  <c r="K36" i="47"/>
  <c r="L36" i="47"/>
  <c r="M36" i="47"/>
  <c r="N36" i="47"/>
  <c r="K37" i="47"/>
  <c r="L37" i="47"/>
  <c r="M37" i="47"/>
  <c r="N37" i="47"/>
  <c r="K38" i="47"/>
  <c r="L38" i="47"/>
  <c r="M38" i="47"/>
  <c r="N38" i="47"/>
  <c r="K39" i="47"/>
  <c r="L39" i="47"/>
  <c r="M39" i="47"/>
  <c r="AH10" i="47"/>
  <c r="N39" i="47"/>
  <c r="K40" i="47"/>
  <c r="L40" i="47"/>
  <c r="M40" i="47"/>
  <c r="N40" i="47"/>
  <c r="K41" i="47"/>
  <c r="L41" i="47"/>
  <c r="M41" i="47"/>
  <c r="N41" i="47"/>
  <c r="K42" i="47"/>
  <c r="L42" i="47"/>
  <c r="M42" i="47"/>
  <c r="N42" i="47"/>
  <c r="K43" i="47"/>
  <c r="L43" i="47"/>
  <c r="M43" i="47"/>
  <c r="N43" i="47"/>
  <c r="K44" i="47"/>
  <c r="L44" i="47"/>
  <c r="M44" i="47"/>
  <c r="AH11" i="47" s="1"/>
  <c r="N44" i="47"/>
  <c r="K45" i="47"/>
  <c r="L45" i="47"/>
  <c r="M45" i="47"/>
  <c r="N45" i="47"/>
  <c r="K46" i="47"/>
  <c r="L46" i="47"/>
  <c r="M46" i="47"/>
  <c r="N46" i="47"/>
  <c r="K47" i="47"/>
  <c r="L47" i="47"/>
  <c r="M47" i="47"/>
  <c r="N47" i="47"/>
  <c r="K48" i="47"/>
  <c r="L48" i="47"/>
  <c r="M48" i="47"/>
  <c r="N48" i="47"/>
  <c r="K49" i="47"/>
  <c r="L49" i="47"/>
  <c r="M49" i="47"/>
  <c r="N49" i="47"/>
  <c r="K50" i="47"/>
  <c r="L50" i="47"/>
  <c r="M50" i="47"/>
  <c r="N50" i="47"/>
  <c r="K51" i="47"/>
  <c r="L51" i="47"/>
  <c r="M51" i="47"/>
  <c r="N51" i="47"/>
  <c r="K52" i="47"/>
  <c r="L52" i="47"/>
  <c r="M52" i="47"/>
  <c r="N52" i="47"/>
  <c r="K53" i="47"/>
  <c r="L53" i="47"/>
  <c r="M53" i="47"/>
  <c r="N53" i="47"/>
  <c r="K54" i="47"/>
  <c r="L54" i="47"/>
  <c r="M54" i="47"/>
  <c r="AH12" i="47" s="1"/>
  <c r="N54" i="47"/>
  <c r="K55" i="47"/>
  <c r="L55" i="47"/>
  <c r="M55" i="47"/>
  <c r="N55" i="47"/>
  <c r="K56" i="47"/>
  <c r="L56" i="47"/>
  <c r="M56" i="47"/>
  <c r="N56" i="47"/>
  <c r="K57" i="47"/>
  <c r="L57" i="47"/>
  <c r="M57" i="47"/>
  <c r="N57" i="47"/>
  <c r="K58" i="47"/>
  <c r="L58" i="47"/>
  <c r="M58" i="47"/>
  <c r="N58" i="47"/>
  <c r="K59" i="47"/>
  <c r="L59" i="47"/>
  <c r="M59" i="47"/>
  <c r="N59" i="47"/>
  <c r="K60" i="47"/>
  <c r="L60" i="47"/>
  <c r="M60" i="47"/>
  <c r="N60" i="47"/>
  <c r="K61" i="47"/>
  <c r="L61" i="47"/>
  <c r="M61" i="47"/>
  <c r="N61" i="47"/>
  <c r="K62" i="47"/>
  <c r="L62" i="47"/>
  <c r="M62" i="47"/>
  <c r="N62" i="47"/>
  <c r="K63" i="47"/>
  <c r="L63" i="47"/>
  <c r="M63" i="47"/>
  <c r="N63" i="47"/>
  <c r="K64" i="47"/>
  <c r="L64" i="47"/>
  <c r="M64" i="47"/>
  <c r="AH13" i="47" s="1"/>
  <c r="N64" i="47"/>
  <c r="K65" i="47"/>
  <c r="L65" i="47"/>
  <c r="M65" i="47"/>
  <c r="N65" i="47"/>
  <c r="K66" i="47"/>
  <c r="L66" i="47"/>
  <c r="M66" i="47"/>
  <c r="N66" i="47"/>
  <c r="K67" i="47"/>
  <c r="L67" i="47"/>
  <c r="M67" i="47"/>
  <c r="N67" i="47"/>
  <c r="K68" i="47"/>
  <c r="L68" i="47"/>
  <c r="M68" i="47"/>
  <c r="N68" i="47"/>
  <c r="K69" i="47"/>
  <c r="L69" i="47"/>
  <c r="M69" i="47"/>
  <c r="N69" i="47"/>
  <c r="K70" i="47"/>
  <c r="L70" i="47"/>
  <c r="M70" i="47"/>
  <c r="N70" i="47"/>
  <c r="K71" i="47"/>
  <c r="L71" i="47"/>
  <c r="M71" i="47"/>
  <c r="N71" i="47"/>
  <c r="K72" i="47"/>
  <c r="L72" i="47"/>
  <c r="M72" i="47"/>
  <c r="N72" i="47"/>
  <c r="K73" i="47"/>
  <c r="L73" i="47"/>
  <c r="M73" i="47"/>
  <c r="N73" i="47"/>
  <c r="K74" i="47"/>
  <c r="L74" i="47"/>
  <c r="M74" i="47"/>
  <c r="AH14" i="47" s="1"/>
  <c r="N74" i="47"/>
  <c r="K75" i="47"/>
  <c r="L75" i="47"/>
  <c r="M75" i="47"/>
  <c r="N75" i="47"/>
  <c r="K76" i="47"/>
  <c r="L76" i="47"/>
  <c r="M76" i="47"/>
  <c r="N76" i="47"/>
  <c r="K77" i="47"/>
  <c r="L77" i="47"/>
  <c r="M77" i="47"/>
  <c r="N77" i="47"/>
  <c r="K78" i="47"/>
  <c r="L78" i="47"/>
  <c r="M78" i="47"/>
  <c r="N78" i="47"/>
  <c r="K79" i="47"/>
  <c r="L79" i="47"/>
  <c r="M79" i="47"/>
  <c r="N79" i="47"/>
  <c r="K80" i="47"/>
  <c r="L80" i="47"/>
  <c r="M80" i="47"/>
  <c r="N80" i="47"/>
  <c r="K81" i="47"/>
  <c r="L81" i="47"/>
  <c r="M81" i="47"/>
  <c r="N81" i="47"/>
  <c r="K82" i="47"/>
  <c r="L82" i="47"/>
  <c r="M82" i="47"/>
  <c r="N82" i="47"/>
  <c r="K83" i="47"/>
  <c r="L83" i="47"/>
  <c r="M83" i="47"/>
  <c r="N83" i="47"/>
  <c r="K84" i="47"/>
  <c r="L84" i="47"/>
  <c r="M84" i="47"/>
  <c r="AH15" i="47" s="1"/>
  <c r="N84" i="47"/>
  <c r="K85" i="47"/>
  <c r="L85" i="47"/>
  <c r="M85" i="47"/>
  <c r="N85" i="47"/>
  <c r="K86" i="47"/>
  <c r="L86" i="47"/>
  <c r="M86" i="47"/>
  <c r="N86" i="47"/>
  <c r="K87" i="47"/>
  <c r="L87" i="47"/>
  <c r="M87" i="47"/>
  <c r="N87" i="47"/>
  <c r="K88" i="47"/>
  <c r="L88" i="47"/>
  <c r="M88" i="47"/>
  <c r="N88" i="47"/>
  <c r="K89" i="47"/>
  <c r="L89" i="47"/>
  <c r="M89" i="47"/>
  <c r="N89" i="47"/>
  <c r="K90" i="47"/>
  <c r="L90" i="47"/>
  <c r="M90" i="47"/>
  <c r="N90" i="47"/>
  <c r="K91" i="47"/>
  <c r="L91" i="47"/>
  <c r="M91" i="47"/>
  <c r="N91" i="47"/>
  <c r="K92" i="47"/>
  <c r="L92" i="47"/>
  <c r="M92" i="47"/>
  <c r="N92" i="47"/>
  <c r="K93" i="47"/>
  <c r="L93" i="47"/>
  <c r="M93" i="47"/>
  <c r="N93" i="47"/>
  <c r="K94" i="47"/>
  <c r="L94" i="47"/>
  <c r="M94" i="47"/>
  <c r="AH16" i="47" s="1"/>
  <c r="N94" i="47"/>
  <c r="K95" i="47"/>
  <c r="L95" i="47"/>
  <c r="M95" i="47"/>
  <c r="N95" i="47"/>
  <c r="K96" i="47"/>
  <c r="L96" i="47"/>
  <c r="M96" i="47"/>
  <c r="N96" i="47"/>
  <c r="K97" i="47"/>
  <c r="L97" i="47"/>
  <c r="M97" i="47"/>
  <c r="N97" i="47"/>
  <c r="K98" i="47"/>
  <c r="L98" i="47"/>
  <c r="M98" i="47"/>
  <c r="N98" i="47"/>
  <c r="K99" i="47"/>
  <c r="L99" i="47"/>
  <c r="M99" i="47"/>
  <c r="N99" i="47"/>
  <c r="K100" i="47"/>
  <c r="L100" i="47"/>
  <c r="M100" i="47"/>
  <c r="N100" i="47"/>
  <c r="K101" i="47"/>
  <c r="L101" i="47"/>
  <c r="M101" i="47"/>
  <c r="N101" i="47"/>
  <c r="K102" i="47"/>
  <c r="L102" i="47"/>
  <c r="M102" i="47"/>
  <c r="N102" i="47"/>
  <c r="K103" i="47"/>
  <c r="L103" i="47"/>
  <c r="M103" i="47"/>
  <c r="N103" i="47"/>
  <c r="K104" i="47"/>
  <c r="L104" i="47"/>
  <c r="M104" i="47"/>
  <c r="AH17" i="47" s="1"/>
  <c r="N104" i="47"/>
  <c r="K6" i="47"/>
  <c r="L6" i="47"/>
  <c r="M6" i="47"/>
  <c r="N6" i="47"/>
  <c r="K5" i="47"/>
  <c r="L5" i="47"/>
  <c r="M5" i="47"/>
  <c r="N5" i="47"/>
  <c r="J5" i="47"/>
  <c r="W14" i="50"/>
  <c r="W11" i="50"/>
  <c r="W36" i="50"/>
  <c r="X36" i="50" s="1"/>
  <c r="W51" i="50"/>
  <c r="R9" i="51"/>
  <c r="W12" i="50"/>
  <c r="W34" i="50"/>
  <c r="X34" i="50" s="1"/>
  <c r="W47" i="50"/>
  <c r="W72" i="50"/>
  <c r="W58" i="50"/>
  <c r="X58" i="50" s="1"/>
  <c r="W43" i="50"/>
  <c r="W27" i="50"/>
  <c r="X27" i="50" s="1"/>
  <c r="AG4" i="18"/>
  <c r="AH4" i="18"/>
  <c r="AF4" i="18"/>
  <c r="AE4" i="18"/>
  <c r="X5" i="91" l="1"/>
  <c r="X6" i="91" s="1"/>
  <c r="X7" i="91" s="1"/>
  <c r="X8" i="91" s="1"/>
  <c r="X9" i="91" s="1"/>
  <c r="X10" i="91" s="1"/>
  <c r="X11" i="91" s="1"/>
  <c r="X12" i="91" s="1"/>
  <c r="X13" i="91" s="1"/>
  <c r="X14" i="91" s="1"/>
  <c r="X15" i="91" s="1"/>
  <c r="X16" i="91" s="1"/>
  <c r="X17" i="91" s="1"/>
  <c r="X18" i="91" s="1"/>
  <c r="X19" i="91" s="1"/>
  <c r="X20" i="91" s="1"/>
  <c r="X21" i="91" s="1"/>
  <c r="X22" i="91" s="1"/>
  <c r="X23" i="91" s="1"/>
  <c r="X24" i="91" s="1"/>
  <c r="X25" i="91" s="1"/>
  <c r="X26" i="91" s="1"/>
  <c r="X27" i="91" s="1"/>
  <c r="X28" i="91" s="1"/>
  <c r="X29" i="91" s="1"/>
  <c r="X30" i="91" s="1"/>
  <c r="X31" i="91" s="1"/>
  <c r="X32" i="91" s="1"/>
  <c r="X33" i="91" s="1"/>
  <c r="X34" i="91" s="1"/>
  <c r="X35" i="91" s="1"/>
  <c r="X36" i="91" s="1"/>
  <c r="X37" i="91" s="1"/>
  <c r="X38" i="91" s="1"/>
  <c r="X39" i="91" s="1"/>
  <c r="X40" i="91" s="1"/>
  <c r="X41" i="91" s="1"/>
  <c r="X42" i="91" s="1"/>
  <c r="X43" i="91" s="1"/>
  <c r="X44" i="91" s="1"/>
  <c r="X45" i="91" s="1"/>
  <c r="X46" i="91" s="1"/>
  <c r="X47" i="91" s="1"/>
  <c r="X48" i="91" s="1"/>
  <c r="X49" i="91" s="1"/>
  <c r="X50" i="91" s="1"/>
  <c r="X51" i="91" s="1"/>
  <c r="X52" i="91" s="1"/>
  <c r="X53" i="91" s="1"/>
  <c r="X54" i="91" s="1"/>
  <c r="X55" i="91" s="1"/>
  <c r="X56" i="91" s="1"/>
  <c r="X57" i="91" s="1"/>
  <c r="X58" i="91" s="1"/>
  <c r="X59" i="91" s="1"/>
  <c r="X60" i="91" s="1"/>
  <c r="X61" i="91" s="1"/>
  <c r="X62" i="91" s="1"/>
  <c r="X63" i="91" s="1"/>
  <c r="X64" i="91" s="1"/>
  <c r="X65" i="91" s="1"/>
  <c r="X66" i="91" s="1"/>
  <c r="X67" i="91" s="1"/>
  <c r="X68" i="91" s="1"/>
  <c r="X69" i="91" s="1"/>
  <c r="X70" i="91" s="1"/>
  <c r="X71" i="91" s="1"/>
  <c r="X72" i="91" s="1"/>
  <c r="X73" i="91" s="1"/>
  <c r="X74" i="91" s="1"/>
  <c r="X75" i="91" s="1"/>
  <c r="X76" i="91" s="1"/>
  <c r="X77" i="91" s="1"/>
  <c r="X78" i="91" s="1"/>
  <c r="X79" i="91" s="1"/>
  <c r="X80" i="91" s="1"/>
  <c r="X81" i="91" s="1"/>
  <c r="X82" i="91" s="1"/>
  <c r="X83" i="91" s="1"/>
  <c r="X84" i="91" s="1"/>
  <c r="X85" i="91" s="1"/>
  <c r="X86" i="91" s="1"/>
  <c r="X87" i="91" s="1"/>
  <c r="X88" i="91" s="1"/>
  <c r="X89" i="91" s="1"/>
  <c r="X90" i="91" s="1"/>
  <c r="X91" i="91" s="1"/>
  <c r="X92" i="91" s="1"/>
  <c r="X93" i="91" s="1"/>
  <c r="X94" i="91" s="1"/>
  <c r="X95" i="91" s="1"/>
  <c r="X96" i="91" s="1"/>
  <c r="X97" i="91" s="1"/>
  <c r="X98" i="91" s="1"/>
  <c r="X99" i="91" s="1"/>
  <c r="X100" i="91" s="1"/>
  <c r="X101" i="91" s="1"/>
  <c r="X102" i="91" s="1"/>
  <c r="X103" i="91" s="1"/>
  <c r="X104" i="91" s="1"/>
  <c r="X105" i="91" s="1"/>
  <c r="X106" i="91" s="1"/>
  <c r="X107" i="91" s="1"/>
  <c r="X108" i="91" s="1"/>
  <c r="X109" i="91" s="1"/>
  <c r="X110" i="91" s="1"/>
  <c r="X111" i="91" s="1"/>
  <c r="X112" i="91" s="1"/>
  <c r="X113" i="91" s="1"/>
  <c r="X114" i="91" s="1"/>
  <c r="X115" i="91" s="1"/>
  <c r="X116" i="91" s="1"/>
  <c r="X117" i="91" s="1"/>
  <c r="X118" i="91" s="1"/>
  <c r="X119" i="91" s="1"/>
  <c r="X120" i="91" s="1"/>
  <c r="X121" i="91" s="1"/>
  <c r="X122" i="91" s="1"/>
  <c r="X123" i="91" s="1"/>
  <c r="X124" i="91" s="1"/>
  <c r="X125" i="91" s="1"/>
  <c r="X126" i="91" s="1"/>
  <c r="X127" i="91" s="1"/>
  <c r="X128" i="91" s="1"/>
  <c r="X129" i="91" s="1"/>
  <c r="X130" i="91" s="1"/>
  <c r="X131" i="91" s="1"/>
  <c r="X132" i="91" s="1"/>
  <c r="X133" i="91" s="1"/>
  <c r="X134" i="91" s="1"/>
  <c r="X135" i="91" s="1"/>
  <c r="X136" i="91" s="1"/>
  <c r="X137" i="91" s="1"/>
  <c r="X138" i="91" s="1"/>
  <c r="X139" i="91" s="1"/>
  <c r="X140" i="91" s="1"/>
  <c r="X141" i="91" s="1"/>
  <c r="X142" i="91" s="1"/>
  <c r="X143" i="91" s="1"/>
  <c r="X144" i="91" s="1"/>
  <c r="X145" i="91" s="1"/>
  <c r="X146" i="91" s="1"/>
  <c r="X147" i="91" s="1"/>
  <c r="X148" i="91" s="1"/>
  <c r="X149" i="91" s="1"/>
  <c r="X150" i="91" s="1"/>
  <c r="X151" i="91" s="1"/>
  <c r="X152" i="91" s="1"/>
  <c r="X153" i="91" s="1"/>
  <c r="X154" i="91" s="1"/>
  <c r="X155" i="91" s="1"/>
  <c r="X156" i="91" s="1"/>
  <c r="X157" i="91" s="1"/>
  <c r="X158" i="91" s="1"/>
  <c r="X159" i="91" s="1"/>
  <c r="X160" i="91" s="1"/>
  <c r="X161" i="91" s="1"/>
  <c r="X162" i="91" s="1"/>
  <c r="X163" i="91" s="1"/>
  <c r="X164" i="91" s="1"/>
  <c r="AC5" i="91"/>
  <c r="AC6" i="91" s="1"/>
  <c r="AC7" i="91" s="1"/>
  <c r="AC8" i="91" s="1"/>
  <c r="AC9" i="91" s="1"/>
  <c r="AC10" i="91" s="1"/>
  <c r="AC11" i="91" s="1"/>
  <c r="AC12" i="91" s="1"/>
  <c r="AC13" i="91" s="1"/>
  <c r="AC14" i="91" s="1"/>
  <c r="AC15" i="91" s="1"/>
  <c r="AC16" i="91" s="1"/>
  <c r="AC17" i="91" s="1"/>
  <c r="AC18" i="91" s="1"/>
  <c r="AC19" i="91" s="1"/>
  <c r="AC20" i="91" s="1"/>
  <c r="AC21" i="91" s="1"/>
  <c r="AC22" i="91" s="1"/>
  <c r="AC23" i="91" s="1"/>
  <c r="AC24" i="91" s="1"/>
  <c r="AC25" i="91" s="1"/>
  <c r="AC26" i="91" s="1"/>
  <c r="AC27" i="91" s="1"/>
  <c r="AC28" i="91" s="1"/>
  <c r="AC29" i="91" s="1"/>
  <c r="AC30" i="91" s="1"/>
  <c r="AC31" i="91" s="1"/>
  <c r="AC32" i="91" s="1"/>
  <c r="AC33" i="91" s="1"/>
  <c r="AC34" i="91" s="1"/>
  <c r="AC35" i="91" s="1"/>
  <c r="AC36" i="91" s="1"/>
  <c r="AC37" i="91" s="1"/>
  <c r="AC38" i="91" s="1"/>
  <c r="AC39" i="91" s="1"/>
  <c r="AC40" i="91" s="1"/>
  <c r="AC41" i="91" s="1"/>
  <c r="AC42" i="91" s="1"/>
  <c r="AC43" i="91" s="1"/>
  <c r="AC44" i="91" s="1"/>
  <c r="AC45" i="91" s="1"/>
  <c r="AC46" i="91" s="1"/>
  <c r="AC47" i="91" s="1"/>
  <c r="AC48" i="91" s="1"/>
  <c r="AC49" i="91" s="1"/>
  <c r="AC50" i="91" s="1"/>
  <c r="AC51" i="91" s="1"/>
  <c r="AC52" i="91" s="1"/>
  <c r="AC53" i="91" s="1"/>
  <c r="AC54" i="91" s="1"/>
  <c r="AC55" i="91" s="1"/>
  <c r="AC56" i="91" s="1"/>
  <c r="AC57" i="91" s="1"/>
  <c r="AC58" i="91" s="1"/>
  <c r="AC59" i="91" s="1"/>
  <c r="AC60" i="91" s="1"/>
  <c r="AC61" i="91" s="1"/>
  <c r="AC62" i="91" s="1"/>
  <c r="AC63" i="91" s="1"/>
  <c r="AC64" i="91" s="1"/>
  <c r="AC65" i="91" s="1"/>
  <c r="AC66" i="91" s="1"/>
  <c r="AC67" i="91" s="1"/>
  <c r="AC68" i="91" s="1"/>
  <c r="AC69" i="91" s="1"/>
  <c r="AC70" i="91" s="1"/>
  <c r="AC71" i="91" s="1"/>
  <c r="AC72" i="91" s="1"/>
  <c r="AC73" i="91" s="1"/>
  <c r="AC74" i="91" s="1"/>
  <c r="AC75" i="91" s="1"/>
  <c r="AC76" i="91" s="1"/>
  <c r="AC77" i="91" s="1"/>
  <c r="AC78" i="91" s="1"/>
  <c r="AC79" i="91" s="1"/>
  <c r="AC80" i="91" s="1"/>
  <c r="AC81" i="91" s="1"/>
  <c r="AC82" i="91" s="1"/>
  <c r="AC83" i="91" s="1"/>
  <c r="AC84" i="91" s="1"/>
  <c r="AC85" i="91" s="1"/>
  <c r="AC86" i="91" s="1"/>
  <c r="AC87" i="91" s="1"/>
  <c r="AC88" i="91" s="1"/>
  <c r="AC89" i="91" s="1"/>
  <c r="AC90" i="91" s="1"/>
  <c r="AC91" i="91" s="1"/>
  <c r="AC92" i="91" s="1"/>
  <c r="AC93" i="91" s="1"/>
  <c r="AC94" i="91" s="1"/>
  <c r="AC95" i="91" s="1"/>
  <c r="AC96" i="91" s="1"/>
  <c r="AC97" i="91" s="1"/>
  <c r="AC98" i="91" s="1"/>
  <c r="AC99" i="91" s="1"/>
  <c r="AC100" i="91" s="1"/>
  <c r="AC101" i="91" s="1"/>
  <c r="AC102" i="91" s="1"/>
  <c r="AC103" i="91" s="1"/>
  <c r="AC104" i="91" s="1"/>
  <c r="AC105" i="91" s="1"/>
  <c r="AC106" i="91" s="1"/>
  <c r="AC107" i="91" s="1"/>
  <c r="AC108" i="91" s="1"/>
  <c r="AC109" i="91" s="1"/>
  <c r="AC110" i="91" s="1"/>
  <c r="AC111" i="91" s="1"/>
  <c r="AC112" i="91" s="1"/>
  <c r="AC113" i="91" s="1"/>
  <c r="AC114" i="91" s="1"/>
  <c r="AC115" i="91" s="1"/>
  <c r="AC116" i="91" s="1"/>
  <c r="AC117" i="91" s="1"/>
  <c r="AC118" i="91" s="1"/>
  <c r="AC119" i="91" s="1"/>
  <c r="AC120" i="91" s="1"/>
  <c r="AC121" i="91" s="1"/>
  <c r="AC122" i="91" s="1"/>
  <c r="AC123" i="91" s="1"/>
  <c r="AC124" i="91" s="1"/>
  <c r="AC125" i="91" s="1"/>
  <c r="AC126" i="91" s="1"/>
  <c r="AC127" i="91" s="1"/>
  <c r="AC128" i="91" s="1"/>
  <c r="AC129" i="91" s="1"/>
  <c r="AC130" i="91" s="1"/>
  <c r="AC131" i="91" s="1"/>
  <c r="AC132" i="91" s="1"/>
  <c r="AC133" i="91" s="1"/>
  <c r="AC134" i="91" s="1"/>
  <c r="AC135" i="91" s="1"/>
  <c r="AC136" i="91" s="1"/>
  <c r="AC137" i="91" s="1"/>
  <c r="AC138" i="91" s="1"/>
  <c r="AC139" i="91" s="1"/>
  <c r="AC140" i="91" s="1"/>
  <c r="AC141" i="91" s="1"/>
  <c r="AC142" i="91" s="1"/>
  <c r="AC143" i="91" s="1"/>
  <c r="AC144" i="91" s="1"/>
  <c r="AC145" i="91" s="1"/>
  <c r="AC146" i="91" s="1"/>
  <c r="AC147" i="91" s="1"/>
  <c r="AC148" i="91" s="1"/>
  <c r="AC149" i="91" s="1"/>
  <c r="AC150" i="91" s="1"/>
  <c r="AC151" i="91" s="1"/>
  <c r="AC152" i="91" s="1"/>
  <c r="AC153" i="91" s="1"/>
  <c r="AC154" i="91" s="1"/>
  <c r="AC155" i="91" s="1"/>
  <c r="AC156" i="91" s="1"/>
  <c r="AC157" i="91" s="1"/>
  <c r="AC158" i="91" s="1"/>
  <c r="AC159" i="91" s="1"/>
  <c r="AC160" i="91" s="1"/>
  <c r="AC161" i="91" s="1"/>
  <c r="AC162" i="91" s="1"/>
  <c r="AC163" i="91" s="1"/>
  <c r="AC164" i="91" s="1"/>
  <c r="Y5" i="91"/>
  <c r="Y6" i="91" s="1"/>
  <c r="Y7" i="91" s="1"/>
  <c r="Y8" i="91" s="1"/>
  <c r="Y9" i="91" s="1"/>
  <c r="Y10" i="91" s="1"/>
  <c r="Y11" i="91" s="1"/>
  <c r="Y12" i="91" s="1"/>
  <c r="Y13" i="91" s="1"/>
  <c r="Y14" i="91" s="1"/>
  <c r="Y15" i="91" s="1"/>
  <c r="Y16" i="91" s="1"/>
  <c r="Y17" i="91" s="1"/>
  <c r="Y18" i="91" s="1"/>
  <c r="Y19" i="91" s="1"/>
  <c r="Y20" i="91" s="1"/>
  <c r="Y21" i="91" s="1"/>
  <c r="Y22" i="91" s="1"/>
  <c r="Y23" i="91" s="1"/>
  <c r="Y24" i="91" s="1"/>
  <c r="Y25" i="91" s="1"/>
  <c r="Y26" i="91" s="1"/>
  <c r="Y27" i="91" s="1"/>
  <c r="Y28" i="91" s="1"/>
  <c r="Y29" i="91" s="1"/>
  <c r="Y30" i="91" s="1"/>
  <c r="Y31" i="91" s="1"/>
  <c r="Y32" i="91" s="1"/>
  <c r="Y33" i="91" s="1"/>
  <c r="Y34" i="91" s="1"/>
  <c r="Y35" i="91" s="1"/>
  <c r="Y36" i="91" s="1"/>
  <c r="Y37" i="91" s="1"/>
  <c r="Y38" i="91" s="1"/>
  <c r="Y39" i="91" s="1"/>
  <c r="Y40" i="91" s="1"/>
  <c r="Y41" i="91" s="1"/>
  <c r="Y42" i="91" s="1"/>
  <c r="Y43" i="91" s="1"/>
  <c r="Y44" i="91" s="1"/>
  <c r="Y45" i="91" s="1"/>
  <c r="Y46" i="91" s="1"/>
  <c r="Y47" i="91" s="1"/>
  <c r="Y48" i="91" s="1"/>
  <c r="Y49" i="91" s="1"/>
  <c r="Y50" i="91" s="1"/>
  <c r="Y51" i="91" s="1"/>
  <c r="Y52" i="91" s="1"/>
  <c r="Y53" i="91" s="1"/>
  <c r="Y54" i="91" s="1"/>
  <c r="Y55" i="91" s="1"/>
  <c r="Y56" i="91" s="1"/>
  <c r="Y57" i="91" s="1"/>
  <c r="Y58" i="91" s="1"/>
  <c r="Y59" i="91" s="1"/>
  <c r="Y60" i="91" s="1"/>
  <c r="Y61" i="91" s="1"/>
  <c r="Y62" i="91" s="1"/>
  <c r="Y63" i="91" s="1"/>
  <c r="Y64" i="91" s="1"/>
  <c r="Y65" i="91" s="1"/>
  <c r="Y66" i="91" s="1"/>
  <c r="Y67" i="91" s="1"/>
  <c r="Y68" i="91" s="1"/>
  <c r="Y69" i="91" s="1"/>
  <c r="Y70" i="91" s="1"/>
  <c r="Y71" i="91" s="1"/>
  <c r="Y72" i="91" s="1"/>
  <c r="Y73" i="91" s="1"/>
  <c r="Y74" i="91" s="1"/>
  <c r="Y75" i="91" s="1"/>
  <c r="Y76" i="91" s="1"/>
  <c r="Y77" i="91" s="1"/>
  <c r="Y78" i="91" s="1"/>
  <c r="Y79" i="91" s="1"/>
  <c r="Y80" i="91" s="1"/>
  <c r="Y81" i="91" s="1"/>
  <c r="Y82" i="91" s="1"/>
  <c r="Y83" i="91" s="1"/>
  <c r="Y84" i="91" s="1"/>
  <c r="Y85" i="91" s="1"/>
  <c r="Y86" i="91" s="1"/>
  <c r="Y87" i="91" s="1"/>
  <c r="Y88" i="91" s="1"/>
  <c r="Y89" i="91" s="1"/>
  <c r="Y90" i="91" s="1"/>
  <c r="Y91" i="91" s="1"/>
  <c r="Y92" i="91" s="1"/>
  <c r="Y93" i="91" s="1"/>
  <c r="Y94" i="91" s="1"/>
  <c r="Y95" i="91" s="1"/>
  <c r="Y96" i="91" s="1"/>
  <c r="Y97" i="91" s="1"/>
  <c r="Y98" i="91" s="1"/>
  <c r="Y99" i="91" s="1"/>
  <c r="Y100" i="91" s="1"/>
  <c r="Y101" i="91" s="1"/>
  <c r="Y102" i="91" s="1"/>
  <c r="Y103" i="91" s="1"/>
  <c r="Y104" i="91" s="1"/>
  <c r="Y105" i="91" s="1"/>
  <c r="Y106" i="91" s="1"/>
  <c r="Y107" i="91" s="1"/>
  <c r="Y108" i="91" s="1"/>
  <c r="Y109" i="91" s="1"/>
  <c r="Y110" i="91" s="1"/>
  <c r="Y111" i="91" s="1"/>
  <c r="Y112" i="91" s="1"/>
  <c r="Y113" i="91" s="1"/>
  <c r="Y114" i="91" s="1"/>
  <c r="Y115" i="91" s="1"/>
  <c r="Y116" i="91" s="1"/>
  <c r="Y117" i="91" s="1"/>
  <c r="Y118" i="91" s="1"/>
  <c r="Y119" i="91" s="1"/>
  <c r="Y120" i="91" s="1"/>
  <c r="Y121" i="91" s="1"/>
  <c r="Y122" i="91" s="1"/>
  <c r="Y123" i="91" s="1"/>
  <c r="Y124" i="91" s="1"/>
  <c r="Y125" i="91" s="1"/>
  <c r="Y126" i="91" s="1"/>
  <c r="Y127" i="91" s="1"/>
  <c r="Y128" i="91" s="1"/>
  <c r="Y129" i="91" s="1"/>
  <c r="Y130" i="91" s="1"/>
  <c r="Y131" i="91" s="1"/>
  <c r="Y132" i="91" s="1"/>
  <c r="Y133" i="91" s="1"/>
  <c r="Y134" i="91" s="1"/>
  <c r="Y135" i="91" s="1"/>
  <c r="Y136" i="91" s="1"/>
  <c r="Y137" i="91" s="1"/>
  <c r="Y138" i="91" s="1"/>
  <c r="Y139" i="91" s="1"/>
  <c r="Y140" i="91" s="1"/>
  <c r="Y141" i="91" s="1"/>
  <c r="Y142" i="91" s="1"/>
  <c r="Y143" i="91" s="1"/>
  <c r="Y144" i="91" s="1"/>
  <c r="Y145" i="91" s="1"/>
  <c r="Y146" i="91" s="1"/>
  <c r="Y147" i="91" s="1"/>
  <c r="Y148" i="91" s="1"/>
  <c r="Y149" i="91" s="1"/>
  <c r="Y150" i="91" s="1"/>
  <c r="Y151" i="91" s="1"/>
  <c r="Y152" i="91" s="1"/>
  <c r="Y153" i="91" s="1"/>
  <c r="Y154" i="91" s="1"/>
  <c r="Y155" i="91" s="1"/>
  <c r="Y156" i="91" s="1"/>
  <c r="Y157" i="91" s="1"/>
  <c r="Y158" i="91" s="1"/>
  <c r="Y159" i="91" s="1"/>
  <c r="Y160" i="91" s="1"/>
  <c r="Y161" i="91" s="1"/>
  <c r="Y162" i="91" s="1"/>
  <c r="Y163" i="91" s="1"/>
  <c r="Y164" i="91" s="1"/>
  <c r="AD5" i="91"/>
  <c r="AD6" i="91" s="1"/>
  <c r="AD7" i="91" s="1"/>
  <c r="AD8" i="91" s="1"/>
  <c r="AD9" i="91" s="1"/>
  <c r="AD10" i="91" s="1"/>
  <c r="AD11" i="91" s="1"/>
  <c r="AD12" i="91" s="1"/>
  <c r="AD13" i="91" s="1"/>
  <c r="AD14" i="91" s="1"/>
  <c r="AD15" i="91" s="1"/>
  <c r="AD16" i="91" s="1"/>
  <c r="AD17" i="91" s="1"/>
  <c r="AD18" i="91" s="1"/>
  <c r="AD19" i="91" s="1"/>
  <c r="AD20" i="91" s="1"/>
  <c r="AD21" i="91" s="1"/>
  <c r="AD22" i="91" s="1"/>
  <c r="AD23" i="91" s="1"/>
  <c r="AD24" i="91" s="1"/>
  <c r="AD25" i="91" s="1"/>
  <c r="AD26" i="91" s="1"/>
  <c r="AD27" i="91" s="1"/>
  <c r="AD28" i="91" s="1"/>
  <c r="AD29" i="91" s="1"/>
  <c r="AD30" i="91" s="1"/>
  <c r="AD31" i="91" s="1"/>
  <c r="AD32" i="91" s="1"/>
  <c r="AD33" i="91" s="1"/>
  <c r="AD34" i="91" s="1"/>
  <c r="AD35" i="91" s="1"/>
  <c r="AD36" i="91" s="1"/>
  <c r="AD37" i="91" s="1"/>
  <c r="AD38" i="91" s="1"/>
  <c r="AD39" i="91" s="1"/>
  <c r="AD40" i="91" s="1"/>
  <c r="AD41" i="91" s="1"/>
  <c r="AD42" i="91" s="1"/>
  <c r="AD43" i="91" s="1"/>
  <c r="AD44" i="91" s="1"/>
  <c r="AD45" i="91" s="1"/>
  <c r="AD46" i="91" s="1"/>
  <c r="AD47" i="91" s="1"/>
  <c r="AD48" i="91" s="1"/>
  <c r="AD49" i="91" s="1"/>
  <c r="AD50" i="91" s="1"/>
  <c r="AD51" i="91" s="1"/>
  <c r="AD52" i="91" s="1"/>
  <c r="AD53" i="91" s="1"/>
  <c r="AD54" i="91" s="1"/>
  <c r="AD55" i="91" s="1"/>
  <c r="AD56" i="91" s="1"/>
  <c r="AD57" i="91" s="1"/>
  <c r="AD58" i="91" s="1"/>
  <c r="AD59" i="91" s="1"/>
  <c r="AD60" i="91" s="1"/>
  <c r="AD61" i="91" s="1"/>
  <c r="AD62" i="91" s="1"/>
  <c r="AD63" i="91" s="1"/>
  <c r="AD64" i="91" s="1"/>
  <c r="AD65" i="91" s="1"/>
  <c r="AD66" i="91" s="1"/>
  <c r="AD67" i="91" s="1"/>
  <c r="AD68" i="91" s="1"/>
  <c r="AD69" i="91" s="1"/>
  <c r="AD70" i="91" s="1"/>
  <c r="AD71" i="91" s="1"/>
  <c r="AD72" i="91" s="1"/>
  <c r="AD73" i="91" s="1"/>
  <c r="AD74" i="91" s="1"/>
  <c r="AD75" i="91" s="1"/>
  <c r="AD76" i="91" s="1"/>
  <c r="AD77" i="91" s="1"/>
  <c r="AD78" i="91" s="1"/>
  <c r="AD79" i="91" s="1"/>
  <c r="AD80" i="91" s="1"/>
  <c r="AD81" i="91" s="1"/>
  <c r="AD82" i="91" s="1"/>
  <c r="AD83" i="91" s="1"/>
  <c r="AD84" i="91" s="1"/>
  <c r="AD85" i="91" s="1"/>
  <c r="AD86" i="91" s="1"/>
  <c r="AD87" i="91" s="1"/>
  <c r="AD88" i="91" s="1"/>
  <c r="AD89" i="91" s="1"/>
  <c r="AD90" i="91" s="1"/>
  <c r="AD91" i="91" s="1"/>
  <c r="AD92" i="91" s="1"/>
  <c r="AD93" i="91" s="1"/>
  <c r="AD94" i="91" s="1"/>
  <c r="AD95" i="91" s="1"/>
  <c r="AD96" i="91" s="1"/>
  <c r="AD97" i="91" s="1"/>
  <c r="AD98" i="91" s="1"/>
  <c r="AD99" i="91" s="1"/>
  <c r="AD100" i="91" s="1"/>
  <c r="AD101" i="91" s="1"/>
  <c r="AD102" i="91" s="1"/>
  <c r="AD103" i="91" s="1"/>
  <c r="AD104" i="91" s="1"/>
  <c r="AD105" i="91" s="1"/>
  <c r="AD106" i="91" s="1"/>
  <c r="AD107" i="91" s="1"/>
  <c r="AD108" i="91" s="1"/>
  <c r="AD109" i="91" s="1"/>
  <c r="AD110" i="91" s="1"/>
  <c r="AD111" i="91" s="1"/>
  <c r="AD112" i="91" s="1"/>
  <c r="AD113" i="91" s="1"/>
  <c r="AD114" i="91" s="1"/>
  <c r="AD115" i="91" s="1"/>
  <c r="AD116" i="91" s="1"/>
  <c r="AD117" i="91" s="1"/>
  <c r="AD118" i="91" s="1"/>
  <c r="AD119" i="91" s="1"/>
  <c r="AD120" i="91" s="1"/>
  <c r="AD121" i="91" s="1"/>
  <c r="AD122" i="91" s="1"/>
  <c r="AD123" i="91" s="1"/>
  <c r="AD124" i="91" s="1"/>
  <c r="AD125" i="91" s="1"/>
  <c r="AD126" i="91" s="1"/>
  <c r="AD127" i="91" s="1"/>
  <c r="AD128" i="91" s="1"/>
  <c r="AD129" i="91" s="1"/>
  <c r="AD130" i="91" s="1"/>
  <c r="AD131" i="91" s="1"/>
  <c r="AD132" i="91" s="1"/>
  <c r="AD133" i="91" s="1"/>
  <c r="AD134" i="91" s="1"/>
  <c r="AD135" i="91" s="1"/>
  <c r="AD136" i="91" s="1"/>
  <c r="AD137" i="91" s="1"/>
  <c r="AD138" i="91" s="1"/>
  <c r="AD139" i="91" s="1"/>
  <c r="AD140" i="91" s="1"/>
  <c r="AD141" i="91" s="1"/>
  <c r="AD142" i="91" s="1"/>
  <c r="AD143" i="91" s="1"/>
  <c r="AD144" i="91" s="1"/>
  <c r="AD145" i="91" s="1"/>
  <c r="AD146" i="91" s="1"/>
  <c r="AD147" i="91" s="1"/>
  <c r="AD148" i="91" s="1"/>
  <c r="AD149" i="91" s="1"/>
  <c r="AD150" i="91" s="1"/>
  <c r="AD151" i="91" s="1"/>
  <c r="AD152" i="91" s="1"/>
  <c r="AD153" i="91" s="1"/>
  <c r="AD154" i="91" s="1"/>
  <c r="AD155" i="91" s="1"/>
  <c r="AD156" i="91" s="1"/>
  <c r="AD157" i="91" s="1"/>
  <c r="AD158" i="91" s="1"/>
  <c r="AD159" i="91" s="1"/>
  <c r="AD160" i="91" s="1"/>
  <c r="AD161" i="91" s="1"/>
  <c r="AD162" i="91" s="1"/>
  <c r="AD163" i="91" s="1"/>
  <c r="AD164" i="91" s="1"/>
  <c r="U5" i="91"/>
  <c r="U6" i="91" s="1"/>
  <c r="U7" i="91" s="1"/>
  <c r="U8" i="91" s="1"/>
  <c r="U9" i="91" s="1"/>
  <c r="U10" i="91" s="1"/>
  <c r="U11" i="91" s="1"/>
  <c r="U12" i="91" s="1"/>
  <c r="U13" i="91" s="1"/>
  <c r="U14" i="91" s="1"/>
  <c r="U15" i="91" s="1"/>
  <c r="U16" i="91" s="1"/>
  <c r="U17" i="91" s="1"/>
  <c r="U18" i="91" s="1"/>
  <c r="U19" i="91" s="1"/>
  <c r="U20" i="91" s="1"/>
  <c r="U21" i="91" s="1"/>
  <c r="U22" i="91" s="1"/>
  <c r="U23" i="91" s="1"/>
  <c r="U24" i="91" s="1"/>
  <c r="U25" i="91" s="1"/>
  <c r="U26" i="91" s="1"/>
  <c r="U27" i="91" s="1"/>
  <c r="U28" i="91" s="1"/>
  <c r="U29" i="91" s="1"/>
  <c r="U30" i="91" s="1"/>
  <c r="U31" i="91" s="1"/>
  <c r="U32" i="91" s="1"/>
  <c r="U33" i="91" s="1"/>
  <c r="U34" i="91" s="1"/>
  <c r="U35" i="91" s="1"/>
  <c r="U36" i="91" s="1"/>
  <c r="U37" i="91" s="1"/>
  <c r="U38" i="91" s="1"/>
  <c r="U39" i="91" s="1"/>
  <c r="U40" i="91" s="1"/>
  <c r="U41" i="91" s="1"/>
  <c r="U42" i="91" s="1"/>
  <c r="U43" i="91" s="1"/>
  <c r="U44" i="91" s="1"/>
  <c r="U45" i="91" s="1"/>
  <c r="U46" i="91" s="1"/>
  <c r="U47" i="91" s="1"/>
  <c r="U48" i="91" s="1"/>
  <c r="U49" i="91" s="1"/>
  <c r="U50" i="91" s="1"/>
  <c r="U51" i="91" s="1"/>
  <c r="U52" i="91" s="1"/>
  <c r="U53" i="91" s="1"/>
  <c r="U54" i="91" s="1"/>
  <c r="U55" i="91" s="1"/>
  <c r="U56" i="91" s="1"/>
  <c r="U57" i="91" s="1"/>
  <c r="U58" i="91" s="1"/>
  <c r="U59" i="91" s="1"/>
  <c r="U60" i="91" s="1"/>
  <c r="U61" i="91" s="1"/>
  <c r="U62" i="91" s="1"/>
  <c r="U63" i="91" s="1"/>
  <c r="U64" i="91" s="1"/>
  <c r="U65" i="91" s="1"/>
  <c r="U66" i="91" s="1"/>
  <c r="U67" i="91" s="1"/>
  <c r="U68" i="91" s="1"/>
  <c r="U69" i="91" s="1"/>
  <c r="U70" i="91" s="1"/>
  <c r="U71" i="91" s="1"/>
  <c r="U72" i="91" s="1"/>
  <c r="U73" i="91" s="1"/>
  <c r="U74" i="91" s="1"/>
  <c r="U75" i="91" s="1"/>
  <c r="U76" i="91" s="1"/>
  <c r="U77" i="91" s="1"/>
  <c r="U78" i="91" s="1"/>
  <c r="U79" i="91" s="1"/>
  <c r="U80" i="91" s="1"/>
  <c r="U81" i="91" s="1"/>
  <c r="U82" i="91" s="1"/>
  <c r="U83" i="91" s="1"/>
  <c r="U84" i="91" s="1"/>
  <c r="U85" i="91" s="1"/>
  <c r="U86" i="91" s="1"/>
  <c r="U87" i="91" s="1"/>
  <c r="U88" i="91" s="1"/>
  <c r="U89" i="91" s="1"/>
  <c r="U90" i="91" s="1"/>
  <c r="U91" i="91" s="1"/>
  <c r="U92" i="91" s="1"/>
  <c r="U93" i="91" s="1"/>
  <c r="U94" i="91" s="1"/>
  <c r="U95" i="91" s="1"/>
  <c r="U96" i="91" s="1"/>
  <c r="U97" i="91" s="1"/>
  <c r="U98" i="91" s="1"/>
  <c r="U99" i="91" s="1"/>
  <c r="U100" i="91" s="1"/>
  <c r="U101" i="91" s="1"/>
  <c r="U102" i="91" s="1"/>
  <c r="U103" i="91" s="1"/>
  <c r="U104" i="91" s="1"/>
  <c r="U105" i="91" s="1"/>
  <c r="U106" i="91" s="1"/>
  <c r="U107" i="91" s="1"/>
  <c r="U108" i="91" s="1"/>
  <c r="U109" i="91" s="1"/>
  <c r="U110" i="91" s="1"/>
  <c r="U111" i="91" s="1"/>
  <c r="U112" i="91" s="1"/>
  <c r="U113" i="91" s="1"/>
  <c r="U114" i="91" s="1"/>
  <c r="U115" i="91" s="1"/>
  <c r="U116" i="91" s="1"/>
  <c r="U117" i="91" s="1"/>
  <c r="U118" i="91" s="1"/>
  <c r="U119" i="91" s="1"/>
  <c r="U120" i="91" s="1"/>
  <c r="U121" i="91" s="1"/>
  <c r="U122" i="91" s="1"/>
  <c r="U123" i="91" s="1"/>
  <c r="U124" i="91" s="1"/>
  <c r="U125" i="91" s="1"/>
  <c r="U126" i="91" s="1"/>
  <c r="U127" i="91" s="1"/>
  <c r="U128" i="91" s="1"/>
  <c r="U129" i="91" s="1"/>
  <c r="U130" i="91" s="1"/>
  <c r="U131" i="91" s="1"/>
  <c r="U132" i="91" s="1"/>
  <c r="U133" i="91" s="1"/>
  <c r="U134" i="91" s="1"/>
  <c r="U135" i="91" s="1"/>
  <c r="U136" i="91" s="1"/>
  <c r="U137" i="91" s="1"/>
  <c r="U138" i="91" s="1"/>
  <c r="U139" i="91" s="1"/>
  <c r="U140" i="91" s="1"/>
  <c r="U141" i="91" s="1"/>
  <c r="U142" i="91" s="1"/>
  <c r="U143" i="91" s="1"/>
  <c r="U144" i="91" s="1"/>
  <c r="U145" i="91" s="1"/>
  <c r="U146" i="91" s="1"/>
  <c r="U147" i="91" s="1"/>
  <c r="U148" i="91" s="1"/>
  <c r="U149" i="91" s="1"/>
  <c r="U150" i="91" s="1"/>
  <c r="U151" i="91" s="1"/>
  <c r="U152" i="91" s="1"/>
  <c r="U153" i="91" s="1"/>
  <c r="U154" i="91" s="1"/>
  <c r="U155" i="91" s="1"/>
  <c r="U156" i="91" s="1"/>
  <c r="U157" i="91" s="1"/>
  <c r="U158" i="91" s="1"/>
  <c r="U159" i="91" s="1"/>
  <c r="U160" i="91" s="1"/>
  <c r="U161" i="91" s="1"/>
  <c r="U162" i="91" s="1"/>
  <c r="U163" i="91" s="1"/>
  <c r="U164" i="91" s="1"/>
  <c r="Z5" i="91"/>
  <c r="Z6" i="91" s="1"/>
  <c r="Z7" i="91" s="1"/>
  <c r="Z8" i="91" s="1"/>
  <c r="Z9" i="91" s="1"/>
  <c r="Z10" i="91" s="1"/>
  <c r="Z11" i="91" s="1"/>
  <c r="Z12" i="91" s="1"/>
  <c r="Z13" i="91" s="1"/>
  <c r="Z14" i="91" s="1"/>
  <c r="Z15" i="91" s="1"/>
  <c r="Z16" i="91" s="1"/>
  <c r="Z17" i="91" s="1"/>
  <c r="Z18" i="91" s="1"/>
  <c r="Z19" i="91" s="1"/>
  <c r="Z20" i="91" s="1"/>
  <c r="Z21" i="91" s="1"/>
  <c r="Z22" i="91" s="1"/>
  <c r="Z23" i="91" s="1"/>
  <c r="Z24" i="91" s="1"/>
  <c r="Z25" i="91" s="1"/>
  <c r="Z26" i="91" s="1"/>
  <c r="Z27" i="91" s="1"/>
  <c r="Z28" i="91" s="1"/>
  <c r="Z29" i="91" s="1"/>
  <c r="Z30" i="91" s="1"/>
  <c r="Z31" i="91" s="1"/>
  <c r="Z32" i="91" s="1"/>
  <c r="Z33" i="91" s="1"/>
  <c r="Z34" i="91" s="1"/>
  <c r="Z35" i="91" s="1"/>
  <c r="Z36" i="91" s="1"/>
  <c r="Z37" i="91" s="1"/>
  <c r="Z38" i="91" s="1"/>
  <c r="Z39" i="91" s="1"/>
  <c r="Z40" i="91" s="1"/>
  <c r="Z41" i="91" s="1"/>
  <c r="Z42" i="91" s="1"/>
  <c r="Z43" i="91" s="1"/>
  <c r="Z44" i="91" s="1"/>
  <c r="Z45" i="91" s="1"/>
  <c r="Z46" i="91" s="1"/>
  <c r="Z47" i="91" s="1"/>
  <c r="Z48" i="91" s="1"/>
  <c r="Z49" i="91" s="1"/>
  <c r="Z50" i="91" s="1"/>
  <c r="Z51" i="91" s="1"/>
  <c r="Z52" i="91" s="1"/>
  <c r="Z53" i="91" s="1"/>
  <c r="Z54" i="91" s="1"/>
  <c r="Z55" i="91" s="1"/>
  <c r="Z56" i="91" s="1"/>
  <c r="Z57" i="91" s="1"/>
  <c r="Z58" i="91" s="1"/>
  <c r="Z59" i="91" s="1"/>
  <c r="Z60" i="91" s="1"/>
  <c r="Z61" i="91" s="1"/>
  <c r="Z62" i="91" s="1"/>
  <c r="Z63" i="91" s="1"/>
  <c r="Z64" i="91" s="1"/>
  <c r="Z65" i="91" s="1"/>
  <c r="Z66" i="91" s="1"/>
  <c r="Z67" i="91" s="1"/>
  <c r="Z68" i="91" s="1"/>
  <c r="Z69" i="91" s="1"/>
  <c r="Z70" i="91" s="1"/>
  <c r="Z71" i="91" s="1"/>
  <c r="Z72" i="91" s="1"/>
  <c r="Z73" i="91" s="1"/>
  <c r="Z74" i="91" s="1"/>
  <c r="Z75" i="91" s="1"/>
  <c r="Z76" i="91" s="1"/>
  <c r="Z77" i="91" s="1"/>
  <c r="Z78" i="91" s="1"/>
  <c r="Z79" i="91" s="1"/>
  <c r="Z80" i="91" s="1"/>
  <c r="Z81" i="91" s="1"/>
  <c r="Z82" i="91" s="1"/>
  <c r="Z83" i="91" s="1"/>
  <c r="Z84" i="91" s="1"/>
  <c r="Z85" i="91" s="1"/>
  <c r="Z86" i="91" s="1"/>
  <c r="Z87" i="91" s="1"/>
  <c r="Z88" i="91" s="1"/>
  <c r="Z89" i="91" s="1"/>
  <c r="Z90" i="91" s="1"/>
  <c r="Z91" i="91" s="1"/>
  <c r="Z92" i="91" s="1"/>
  <c r="Z93" i="91" s="1"/>
  <c r="Z94" i="91" s="1"/>
  <c r="Z95" i="91" s="1"/>
  <c r="Z96" i="91" s="1"/>
  <c r="Z97" i="91" s="1"/>
  <c r="Z98" i="91" s="1"/>
  <c r="Z99" i="91" s="1"/>
  <c r="Z100" i="91" s="1"/>
  <c r="Z101" i="91" s="1"/>
  <c r="Z102" i="91" s="1"/>
  <c r="Z103" i="91" s="1"/>
  <c r="Z104" i="91" s="1"/>
  <c r="Z105" i="91" s="1"/>
  <c r="Z106" i="91" s="1"/>
  <c r="Z107" i="91" s="1"/>
  <c r="Z108" i="91" s="1"/>
  <c r="Z109" i="91" s="1"/>
  <c r="Z110" i="91" s="1"/>
  <c r="Z111" i="91" s="1"/>
  <c r="Z112" i="91" s="1"/>
  <c r="Z113" i="91" s="1"/>
  <c r="Z114" i="91" s="1"/>
  <c r="Z115" i="91" s="1"/>
  <c r="Z116" i="91" s="1"/>
  <c r="Z117" i="91" s="1"/>
  <c r="Z118" i="91" s="1"/>
  <c r="Z119" i="91" s="1"/>
  <c r="Z120" i="91" s="1"/>
  <c r="Z121" i="91" s="1"/>
  <c r="Z122" i="91" s="1"/>
  <c r="Z123" i="91" s="1"/>
  <c r="Z124" i="91" s="1"/>
  <c r="Z125" i="91" s="1"/>
  <c r="Z126" i="91" s="1"/>
  <c r="Z127" i="91" s="1"/>
  <c r="Z128" i="91" s="1"/>
  <c r="Z129" i="91" s="1"/>
  <c r="Z130" i="91" s="1"/>
  <c r="Z131" i="91" s="1"/>
  <c r="Z132" i="91" s="1"/>
  <c r="Z133" i="91" s="1"/>
  <c r="Z134" i="91" s="1"/>
  <c r="Z135" i="91" s="1"/>
  <c r="Z136" i="91" s="1"/>
  <c r="Z137" i="91" s="1"/>
  <c r="Z138" i="91" s="1"/>
  <c r="Z139" i="91" s="1"/>
  <c r="Z140" i="91" s="1"/>
  <c r="Z141" i="91" s="1"/>
  <c r="Z142" i="91" s="1"/>
  <c r="Z143" i="91" s="1"/>
  <c r="Z144" i="91" s="1"/>
  <c r="Z145" i="91" s="1"/>
  <c r="Z146" i="91" s="1"/>
  <c r="Z147" i="91" s="1"/>
  <c r="Z148" i="91" s="1"/>
  <c r="Z149" i="91" s="1"/>
  <c r="Z150" i="91" s="1"/>
  <c r="Z151" i="91" s="1"/>
  <c r="Z152" i="91" s="1"/>
  <c r="Z153" i="91" s="1"/>
  <c r="Z154" i="91" s="1"/>
  <c r="Z155" i="91" s="1"/>
  <c r="Z156" i="91" s="1"/>
  <c r="Z157" i="91" s="1"/>
  <c r="Z158" i="91" s="1"/>
  <c r="Z159" i="91" s="1"/>
  <c r="Z160" i="91" s="1"/>
  <c r="Z161" i="91" s="1"/>
  <c r="Z162" i="91" s="1"/>
  <c r="Z163" i="91" s="1"/>
  <c r="Z164" i="91" s="1"/>
  <c r="V5" i="91"/>
  <c r="V6" i="91" s="1"/>
  <c r="V7" i="91" s="1"/>
  <c r="V8" i="91" s="1"/>
  <c r="V9" i="91" s="1"/>
  <c r="V10" i="91" s="1"/>
  <c r="V11" i="91" s="1"/>
  <c r="V12" i="91" s="1"/>
  <c r="V13" i="91" s="1"/>
  <c r="V14" i="91" s="1"/>
  <c r="V15" i="91" s="1"/>
  <c r="V16" i="91" s="1"/>
  <c r="V17" i="91" s="1"/>
  <c r="V18" i="91" s="1"/>
  <c r="V19" i="91" s="1"/>
  <c r="V20" i="91" s="1"/>
  <c r="V21" i="91" s="1"/>
  <c r="V22" i="91" s="1"/>
  <c r="V23" i="91" s="1"/>
  <c r="V24" i="91" s="1"/>
  <c r="V25" i="91" s="1"/>
  <c r="V26" i="91" s="1"/>
  <c r="V27" i="91" s="1"/>
  <c r="V28" i="91" s="1"/>
  <c r="V29" i="91" s="1"/>
  <c r="V30" i="91" s="1"/>
  <c r="V31" i="91" s="1"/>
  <c r="V32" i="91" s="1"/>
  <c r="V33" i="91" s="1"/>
  <c r="V34" i="91" s="1"/>
  <c r="V35" i="91" s="1"/>
  <c r="V36" i="91" s="1"/>
  <c r="V37" i="91" s="1"/>
  <c r="V38" i="91" s="1"/>
  <c r="V39" i="91" s="1"/>
  <c r="V40" i="91" s="1"/>
  <c r="V41" i="91" s="1"/>
  <c r="V42" i="91" s="1"/>
  <c r="V43" i="91" s="1"/>
  <c r="V44" i="91" s="1"/>
  <c r="V45" i="91" s="1"/>
  <c r="V46" i="91" s="1"/>
  <c r="V47" i="91" s="1"/>
  <c r="V48" i="91" s="1"/>
  <c r="V49" i="91" s="1"/>
  <c r="V50" i="91" s="1"/>
  <c r="V51" i="91" s="1"/>
  <c r="V52" i="91" s="1"/>
  <c r="V53" i="91" s="1"/>
  <c r="V54" i="91" s="1"/>
  <c r="V55" i="91" s="1"/>
  <c r="V56" i="91" s="1"/>
  <c r="V57" i="91" s="1"/>
  <c r="V58" i="91" s="1"/>
  <c r="V59" i="91" s="1"/>
  <c r="V60" i="91" s="1"/>
  <c r="V61" i="91" s="1"/>
  <c r="V62" i="91" s="1"/>
  <c r="V63" i="91" s="1"/>
  <c r="V64" i="91" s="1"/>
  <c r="V65" i="91" s="1"/>
  <c r="V66" i="91" s="1"/>
  <c r="V67" i="91" s="1"/>
  <c r="V68" i="91" s="1"/>
  <c r="V69" i="91" s="1"/>
  <c r="V70" i="91" s="1"/>
  <c r="V71" i="91" s="1"/>
  <c r="V72" i="91" s="1"/>
  <c r="V73" i="91" s="1"/>
  <c r="V74" i="91" s="1"/>
  <c r="V75" i="91" s="1"/>
  <c r="V76" i="91" s="1"/>
  <c r="V77" i="91" s="1"/>
  <c r="V78" i="91" s="1"/>
  <c r="V79" i="91" s="1"/>
  <c r="V80" i="91" s="1"/>
  <c r="V81" i="91" s="1"/>
  <c r="V82" i="91" s="1"/>
  <c r="V83" i="91" s="1"/>
  <c r="V84" i="91" s="1"/>
  <c r="V85" i="91" s="1"/>
  <c r="V86" i="91" s="1"/>
  <c r="V87" i="91" s="1"/>
  <c r="V88" i="91" s="1"/>
  <c r="V89" i="91" s="1"/>
  <c r="V90" i="91" s="1"/>
  <c r="V91" i="91" s="1"/>
  <c r="V92" i="91" s="1"/>
  <c r="V93" i="91" s="1"/>
  <c r="V94" i="91" s="1"/>
  <c r="V95" i="91" s="1"/>
  <c r="V96" i="91" s="1"/>
  <c r="V97" i="91" s="1"/>
  <c r="V98" i="91" s="1"/>
  <c r="V99" i="91" s="1"/>
  <c r="V100" i="91" s="1"/>
  <c r="V101" i="91" s="1"/>
  <c r="V102" i="91" s="1"/>
  <c r="V103" i="91" s="1"/>
  <c r="V104" i="91" s="1"/>
  <c r="V105" i="91" s="1"/>
  <c r="V106" i="91" s="1"/>
  <c r="V107" i="91" s="1"/>
  <c r="V108" i="91" s="1"/>
  <c r="V109" i="91" s="1"/>
  <c r="V110" i="91" s="1"/>
  <c r="V111" i="91" s="1"/>
  <c r="V112" i="91" s="1"/>
  <c r="V113" i="91" s="1"/>
  <c r="V114" i="91" s="1"/>
  <c r="V115" i="91" s="1"/>
  <c r="V116" i="91" s="1"/>
  <c r="V117" i="91" s="1"/>
  <c r="V118" i="91" s="1"/>
  <c r="V119" i="91" s="1"/>
  <c r="V120" i="91" s="1"/>
  <c r="V121" i="91" s="1"/>
  <c r="V122" i="91" s="1"/>
  <c r="V123" i="91" s="1"/>
  <c r="V124" i="91" s="1"/>
  <c r="V125" i="91" s="1"/>
  <c r="V126" i="91" s="1"/>
  <c r="V127" i="91" s="1"/>
  <c r="V128" i="91" s="1"/>
  <c r="V129" i="91" s="1"/>
  <c r="V130" i="91" s="1"/>
  <c r="V131" i="91" s="1"/>
  <c r="V132" i="91" s="1"/>
  <c r="V133" i="91" s="1"/>
  <c r="V134" i="91" s="1"/>
  <c r="V135" i="91" s="1"/>
  <c r="V136" i="91" s="1"/>
  <c r="V137" i="91" s="1"/>
  <c r="V138" i="91" s="1"/>
  <c r="V139" i="91" s="1"/>
  <c r="V140" i="91" s="1"/>
  <c r="V141" i="91" s="1"/>
  <c r="V142" i="91" s="1"/>
  <c r="V143" i="91" s="1"/>
  <c r="V144" i="91" s="1"/>
  <c r="V145" i="91" s="1"/>
  <c r="V146" i="91" s="1"/>
  <c r="V147" i="91" s="1"/>
  <c r="V148" i="91" s="1"/>
  <c r="V149" i="91" s="1"/>
  <c r="V150" i="91" s="1"/>
  <c r="V151" i="91" s="1"/>
  <c r="V152" i="91" s="1"/>
  <c r="V153" i="91" s="1"/>
  <c r="V154" i="91" s="1"/>
  <c r="V155" i="91" s="1"/>
  <c r="V156" i="91" s="1"/>
  <c r="V157" i="91" s="1"/>
  <c r="V158" i="91" s="1"/>
  <c r="V159" i="91" s="1"/>
  <c r="V160" i="91" s="1"/>
  <c r="V161" i="91" s="1"/>
  <c r="V162" i="91" s="1"/>
  <c r="V163" i="91" s="1"/>
  <c r="V164" i="91" s="1"/>
  <c r="AA5" i="91"/>
  <c r="AA6" i="91" s="1"/>
  <c r="AA7" i="91" s="1"/>
  <c r="AA8" i="91" s="1"/>
  <c r="AA9" i="91" s="1"/>
  <c r="AA10" i="91" s="1"/>
  <c r="AA11" i="91" s="1"/>
  <c r="AA12" i="91" s="1"/>
  <c r="AA13" i="91" s="1"/>
  <c r="AA14" i="91" s="1"/>
  <c r="AA15" i="91" s="1"/>
  <c r="AA16" i="91" s="1"/>
  <c r="AA17" i="91" s="1"/>
  <c r="AA18" i="91" s="1"/>
  <c r="AA19" i="91" s="1"/>
  <c r="AA20" i="91" s="1"/>
  <c r="AA21" i="91" s="1"/>
  <c r="AA22" i="91" s="1"/>
  <c r="AA23" i="91" s="1"/>
  <c r="AA24" i="91" s="1"/>
  <c r="AA25" i="91" s="1"/>
  <c r="AA26" i="91" s="1"/>
  <c r="AA27" i="91" s="1"/>
  <c r="AA28" i="91" s="1"/>
  <c r="AA29" i="91" s="1"/>
  <c r="AA30" i="91" s="1"/>
  <c r="AA31" i="91" s="1"/>
  <c r="AA32" i="91" s="1"/>
  <c r="AA33" i="91" s="1"/>
  <c r="AA34" i="91" s="1"/>
  <c r="AA35" i="91" s="1"/>
  <c r="AA36" i="91" s="1"/>
  <c r="AA37" i="91" s="1"/>
  <c r="AA38" i="91" s="1"/>
  <c r="AA39" i="91" s="1"/>
  <c r="AA40" i="91" s="1"/>
  <c r="AA41" i="91" s="1"/>
  <c r="AA42" i="91" s="1"/>
  <c r="AA43" i="91" s="1"/>
  <c r="AA44" i="91" s="1"/>
  <c r="AA45" i="91" s="1"/>
  <c r="AA46" i="91" s="1"/>
  <c r="AA47" i="91" s="1"/>
  <c r="AA48" i="91" s="1"/>
  <c r="AA49" i="91" s="1"/>
  <c r="AA50" i="91" s="1"/>
  <c r="AA51" i="91" s="1"/>
  <c r="AA52" i="91" s="1"/>
  <c r="AA53" i="91" s="1"/>
  <c r="AA54" i="91" s="1"/>
  <c r="AA55" i="91" s="1"/>
  <c r="AA56" i="91" s="1"/>
  <c r="AA57" i="91" s="1"/>
  <c r="AA58" i="91" s="1"/>
  <c r="AA59" i="91" s="1"/>
  <c r="AA60" i="91" s="1"/>
  <c r="AA61" i="91" s="1"/>
  <c r="AA62" i="91" s="1"/>
  <c r="AA63" i="91" s="1"/>
  <c r="AA64" i="91" s="1"/>
  <c r="AA65" i="91" s="1"/>
  <c r="AA66" i="91" s="1"/>
  <c r="AA67" i="91" s="1"/>
  <c r="AA68" i="91" s="1"/>
  <c r="AA69" i="91" s="1"/>
  <c r="AA70" i="91" s="1"/>
  <c r="AA71" i="91" s="1"/>
  <c r="AA72" i="91" s="1"/>
  <c r="AA73" i="91" s="1"/>
  <c r="AA74" i="91" s="1"/>
  <c r="AA75" i="91" s="1"/>
  <c r="AA76" i="91" s="1"/>
  <c r="AA77" i="91" s="1"/>
  <c r="AA78" i="91" s="1"/>
  <c r="AA79" i="91" s="1"/>
  <c r="AA80" i="91" s="1"/>
  <c r="AA81" i="91" s="1"/>
  <c r="AA82" i="91" s="1"/>
  <c r="AA83" i="91" s="1"/>
  <c r="AA84" i="91" s="1"/>
  <c r="AA85" i="91" s="1"/>
  <c r="AA86" i="91" s="1"/>
  <c r="AA87" i="91" s="1"/>
  <c r="AA88" i="91" s="1"/>
  <c r="AA89" i="91" s="1"/>
  <c r="AA90" i="91" s="1"/>
  <c r="AA91" i="91" s="1"/>
  <c r="AA92" i="91" s="1"/>
  <c r="AA93" i="91" s="1"/>
  <c r="AA94" i="91" s="1"/>
  <c r="AA95" i="91" s="1"/>
  <c r="AA96" i="91" s="1"/>
  <c r="AA97" i="91" s="1"/>
  <c r="AA98" i="91" s="1"/>
  <c r="AA99" i="91" s="1"/>
  <c r="AA100" i="91" s="1"/>
  <c r="AA101" i="91" s="1"/>
  <c r="AA102" i="91" s="1"/>
  <c r="AA103" i="91" s="1"/>
  <c r="AA104" i="91" s="1"/>
  <c r="AA105" i="91" s="1"/>
  <c r="AA106" i="91" s="1"/>
  <c r="AA107" i="91" s="1"/>
  <c r="AA108" i="91" s="1"/>
  <c r="AA109" i="91" s="1"/>
  <c r="AA110" i="91" s="1"/>
  <c r="AA111" i="91" s="1"/>
  <c r="AA112" i="91" s="1"/>
  <c r="AA113" i="91" s="1"/>
  <c r="AA114" i="91" s="1"/>
  <c r="AA115" i="91" s="1"/>
  <c r="AA116" i="91" s="1"/>
  <c r="AA117" i="91" s="1"/>
  <c r="AA118" i="91" s="1"/>
  <c r="AA119" i="91" s="1"/>
  <c r="AA120" i="91" s="1"/>
  <c r="AA121" i="91" s="1"/>
  <c r="AA122" i="91" s="1"/>
  <c r="AA123" i="91" s="1"/>
  <c r="AA124" i="91" s="1"/>
  <c r="AA125" i="91" s="1"/>
  <c r="AA126" i="91" s="1"/>
  <c r="AA127" i="91" s="1"/>
  <c r="AA128" i="91" s="1"/>
  <c r="AA129" i="91" s="1"/>
  <c r="AA130" i="91" s="1"/>
  <c r="AA131" i="91" s="1"/>
  <c r="AA132" i="91" s="1"/>
  <c r="AA133" i="91" s="1"/>
  <c r="AA134" i="91" s="1"/>
  <c r="AA135" i="91" s="1"/>
  <c r="AA136" i="91" s="1"/>
  <c r="AA137" i="91" s="1"/>
  <c r="AA138" i="91" s="1"/>
  <c r="AA139" i="91" s="1"/>
  <c r="AA140" i="91" s="1"/>
  <c r="AA141" i="91" s="1"/>
  <c r="AA142" i="91" s="1"/>
  <c r="AA143" i="91" s="1"/>
  <c r="AA144" i="91" s="1"/>
  <c r="AA145" i="91" s="1"/>
  <c r="AA146" i="91" s="1"/>
  <c r="AA147" i="91" s="1"/>
  <c r="AA148" i="91" s="1"/>
  <c r="AA149" i="91" s="1"/>
  <c r="AA150" i="91" s="1"/>
  <c r="AA151" i="91" s="1"/>
  <c r="AA152" i="91" s="1"/>
  <c r="AA153" i="91" s="1"/>
  <c r="AA154" i="91" s="1"/>
  <c r="AA155" i="91" s="1"/>
  <c r="AA156" i="91" s="1"/>
  <c r="AA157" i="91" s="1"/>
  <c r="AA158" i="91" s="1"/>
  <c r="AA159" i="91" s="1"/>
  <c r="AA160" i="91" s="1"/>
  <c r="AA161" i="91" s="1"/>
  <c r="AA162" i="91" s="1"/>
  <c r="AA163" i="91" s="1"/>
  <c r="AA164" i="91" s="1"/>
  <c r="W5" i="91"/>
  <c r="W6" i="91" s="1"/>
  <c r="W7" i="91" s="1"/>
  <c r="W8" i="91" s="1"/>
  <c r="W9" i="91" s="1"/>
  <c r="W10" i="91" s="1"/>
  <c r="W11" i="91" s="1"/>
  <c r="W12" i="91" s="1"/>
  <c r="W13" i="91" s="1"/>
  <c r="W14" i="91" s="1"/>
  <c r="W15" i="91" s="1"/>
  <c r="W16" i="91" s="1"/>
  <c r="W17" i="91" s="1"/>
  <c r="W18" i="91" s="1"/>
  <c r="W19" i="91" s="1"/>
  <c r="W20" i="91" s="1"/>
  <c r="W21" i="91" s="1"/>
  <c r="W22" i="91" s="1"/>
  <c r="W23" i="91" s="1"/>
  <c r="W24" i="91" s="1"/>
  <c r="W25" i="91" s="1"/>
  <c r="W26" i="91" s="1"/>
  <c r="W27" i="91" s="1"/>
  <c r="W28" i="91" s="1"/>
  <c r="W29" i="91" s="1"/>
  <c r="W30" i="91" s="1"/>
  <c r="W31" i="91" s="1"/>
  <c r="W32" i="91" s="1"/>
  <c r="W33" i="91" s="1"/>
  <c r="W34" i="91" s="1"/>
  <c r="W35" i="91" s="1"/>
  <c r="W36" i="91" s="1"/>
  <c r="W37" i="91" s="1"/>
  <c r="W38" i="91" s="1"/>
  <c r="W39" i="91" s="1"/>
  <c r="W40" i="91" s="1"/>
  <c r="W41" i="91" s="1"/>
  <c r="W42" i="91" s="1"/>
  <c r="W43" i="91" s="1"/>
  <c r="W44" i="91" s="1"/>
  <c r="W45" i="91" s="1"/>
  <c r="W46" i="91" s="1"/>
  <c r="W47" i="91" s="1"/>
  <c r="W48" i="91" s="1"/>
  <c r="W49" i="91" s="1"/>
  <c r="W50" i="91" s="1"/>
  <c r="W51" i="91" s="1"/>
  <c r="W52" i="91" s="1"/>
  <c r="W53" i="91" s="1"/>
  <c r="W54" i="91" s="1"/>
  <c r="W55" i="91" s="1"/>
  <c r="W56" i="91" s="1"/>
  <c r="W57" i="91" s="1"/>
  <c r="W58" i="91" s="1"/>
  <c r="W59" i="91" s="1"/>
  <c r="W60" i="91" s="1"/>
  <c r="W61" i="91" s="1"/>
  <c r="W62" i="91" s="1"/>
  <c r="W63" i="91" s="1"/>
  <c r="W64" i="91" s="1"/>
  <c r="W65" i="91" s="1"/>
  <c r="W66" i="91" s="1"/>
  <c r="W67" i="91" s="1"/>
  <c r="W68" i="91" s="1"/>
  <c r="W69" i="91" s="1"/>
  <c r="W70" i="91" s="1"/>
  <c r="W71" i="91" s="1"/>
  <c r="W72" i="91" s="1"/>
  <c r="W73" i="91" s="1"/>
  <c r="W74" i="91" s="1"/>
  <c r="W75" i="91" s="1"/>
  <c r="W76" i="91" s="1"/>
  <c r="W77" i="91" s="1"/>
  <c r="W78" i="91" s="1"/>
  <c r="W79" i="91" s="1"/>
  <c r="W80" i="91" s="1"/>
  <c r="W81" i="91" s="1"/>
  <c r="W82" i="91" s="1"/>
  <c r="W83" i="91" s="1"/>
  <c r="W84" i="91" s="1"/>
  <c r="W85" i="91" s="1"/>
  <c r="W86" i="91" s="1"/>
  <c r="W87" i="91" s="1"/>
  <c r="W88" i="91" s="1"/>
  <c r="W89" i="91" s="1"/>
  <c r="W90" i="91" s="1"/>
  <c r="W91" i="91" s="1"/>
  <c r="W92" i="91" s="1"/>
  <c r="W93" i="91" s="1"/>
  <c r="W94" i="91" s="1"/>
  <c r="W95" i="91" s="1"/>
  <c r="W96" i="91" s="1"/>
  <c r="W97" i="91" s="1"/>
  <c r="W98" i="91" s="1"/>
  <c r="W99" i="91" s="1"/>
  <c r="W100" i="91" s="1"/>
  <c r="W101" i="91" s="1"/>
  <c r="W102" i="91" s="1"/>
  <c r="W103" i="91" s="1"/>
  <c r="W104" i="91" s="1"/>
  <c r="W105" i="91" s="1"/>
  <c r="W106" i="91" s="1"/>
  <c r="W107" i="91" s="1"/>
  <c r="W108" i="91" s="1"/>
  <c r="W109" i="91" s="1"/>
  <c r="W110" i="91" s="1"/>
  <c r="W111" i="91" s="1"/>
  <c r="W112" i="91" s="1"/>
  <c r="W113" i="91" s="1"/>
  <c r="W114" i="91" s="1"/>
  <c r="W115" i="91" s="1"/>
  <c r="W116" i="91" s="1"/>
  <c r="W117" i="91" s="1"/>
  <c r="W118" i="91" s="1"/>
  <c r="W119" i="91" s="1"/>
  <c r="W120" i="91" s="1"/>
  <c r="W121" i="91" s="1"/>
  <c r="W122" i="91" s="1"/>
  <c r="W123" i="91" s="1"/>
  <c r="W124" i="91" s="1"/>
  <c r="W125" i="91" s="1"/>
  <c r="W126" i="91" s="1"/>
  <c r="W127" i="91" s="1"/>
  <c r="W128" i="91" s="1"/>
  <c r="W129" i="91" s="1"/>
  <c r="W130" i="91" s="1"/>
  <c r="W131" i="91" s="1"/>
  <c r="W132" i="91" s="1"/>
  <c r="W133" i="91" s="1"/>
  <c r="W134" i="91" s="1"/>
  <c r="W135" i="91" s="1"/>
  <c r="W136" i="91" s="1"/>
  <c r="W137" i="91" s="1"/>
  <c r="W138" i="91" s="1"/>
  <c r="W139" i="91" s="1"/>
  <c r="W140" i="91" s="1"/>
  <c r="W141" i="91" s="1"/>
  <c r="W142" i="91" s="1"/>
  <c r="W143" i="91" s="1"/>
  <c r="W144" i="91" s="1"/>
  <c r="W145" i="91" s="1"/>
  <c r="W146" i="91" s="1"/>
  <c r="W147" i="91" s="1"/>
  <c r="W148" i="91" s="1"/>
  <c r="W149" i="91" s="1"/>
  <c r="W150" i="91" s="1"/>
  <c r="W151" i="91" s="1"/>
  <c r="W152" i="91" s="1"/>
  <c r="W153" i="91" s="1"/>
  <c r="W154" i="91" s="1"/>
  <c r="W155" i="91" s="1"/>
  <c r="W156" i="91" s="1"/>
  <c r="W157" i="91" s="1"/>
  <c r="W158" i="91" s="1"/>
  <c r="W159" i="91" s="1"/>
  <c r="W160" i="91" s="1"/>
  <c r="W161" i="91" s="1"/>
  <c r="W162" i="91" s="1"/>
  <c r="W163" i="91" s="1"/>
  <c r="W164" i="91" s="1"/>
  <c r="AB5" i="91"/>
  <c r="AB6" i="91" s="1"/>
  <c r="AB7" i="91" s="1"/>
  <c r="AB8" i="91" s="1"/>
  <c r="AB9" i="91" s="1"/>
  <c r="AB10" i="91" s="1"/>
  <c r="AB11" i="91" s="1"/>
  <c r="AB12" i="91" s="1"/>
  <c r="AB13" i="91" s="1"/>
  <c r="AB14" i="91" s="1"/>
  <c r="AB15" i="91" s="1"/>
  <c r="AB16" i="91" s="1"/>
  <c r="AB17" i="91" s="1"/>
  <c r="AB18" i="91" s="1"/>
  <c r="AB19" i="91" s="1"/>
  <c r="AB20" i="91" s="1"/>
  <c r="AB21" i="91" s="1"/>
  <c r="AB22" i="91" s="1"/>
  <c r="AB23" i="91" s="1"/>
  <c r="AB24" i="91" s="1"/>
  <c r="AB25" i="91" s="1"/>
  <c r="AB26" i="91" s="1"/>
  <c r="AB27" i="91" s="1"/>
  <c r="AB28" i="91" s="1"/>
  <c r="AB29" i="91" s="1"/>
  <c r="AB30" i="91" s="1"/>
  <c r="AB31" i="91" s="1"/>
  <c r="AB32" i="91" s="1"/>
  <c r="AB33" i="91" s="1"/>
  <c r="AB34" i="91" s="1"/>
  <c r="AB35" i="91" s="1"/>
  <c r="AB36" i="91" s="1"/>
  <c r="AB37" i="91" s="1"/>
  <c r="AB38" i="91" s="1"/>
  <c r="AB39" i="91" s="1"/>
  <c r="AB40" i="91" s="1"/>
  <c r="AB41" i="91" s="1"/>
  <c r="AB42" i="91" s="1"/>
  <c r="AB43" i="91" s="1"/>
  <c r="AB44" i="91" s="1"/>
  <c r="AB45" i="91" s="1"/>
  <c r="AB46" i="91" s="1"/>
  <c r="AB47" i="91" s="1"/>
  <c r="AB48" i="91" s="1"/>
  <c r="AB49" i="91" s="1"/>
  <c r="AB50" i="91" s="1"/>
  <c r="AB51" i="91" s="1"/>
  <c r="AB52" i="91" s="1"/>
  <c r="AB53" i="91" s="1"/>
  <c r="AB54" i="91" s="1"/>
  <c r="AB55" i="91" s="1"/>
  <c r="AB56" i="91" s="1"/>
  <c r="AB57" i="91" s="1"/>
  <c r="AB58" i="91" s="1"/>
  <c r="AB59" i="91" s="1"/>
  <c r="AB60" i="91" s="1"/>
  <c r="AB61" i="91" s="1"/>
  <c r="AB62" i="91" s="1"/>
  <c r="AB63" i="91" s="1"/>
  <c r="AB64" i="91" s="1"/>
  <c r="AB65" i="91" s="1"/>
  <c r="AB66" i="91" s="1"/>
  <c r="AB67" i="91" s="1"/>
  <c r="AB68" i="91" s="1"/>
  <c r="AB69" i="91" s="1"/>
  <c r="AB70" i="91" s="1"/>
  <c r="AB71" i="91" s="1"/>
  <c r="AB72" i="91" s="1"/>
  <c r="AB73" i="91" s="1"/>
  <c r="AB74" i="91" s="1"/>
  <c r="AB75" i="91" s="1"/>
  <c r="AB76" i="91" s="1"/>
  <c r="AB77" i="91" s="1"/>
  <c r="AB78" i="91" s="1"/>
  <c r="AB79" i="91" s="1"/>
  <c r="AB80" i="91" s="1"/>
  <c r="AB81" i="91" s="1"/>
  <c r="AB82" i="91" s="1"/>
  <c r="AB83" i="91" s="1"/>
  <c r="AB84" i="91" s="1"/>
  <c r="AB85" i="91" s="1"/>
  <c r="AB86" i="91" s="1"/>
  <c r="AB87" i="91" s="1"/>
  <c r="AB88" i="91" s="1"/>
  <c r="AB89" i="91" s="1"/>
  <c r="AB90" i="91" s="1"/>
  <c r="AB91" i="91" s="1"/>
  <c r="AB92" i="91" s="1"/>
  <c r="AB93" i="91" s="1"/>
  <c r="AB94" i="91" s="1"/>
  <c r="AB95" i="91" s="1"/>
  <c r="AB96" i="91" s="1"/>
  <c r="AB97" i="91" s="1"/>
  <c r="AB98" i="91" s="1"/>
  <c r="AB99" i="91" s="1"/>
  <c r="AB100" i="91" s="1"/>
  <c r="AB101" i="91" s="1"/>
  <c r="AB102" i="91" s="1"/>
  <c r="AB103" i="91" s="1"/>
  <c r="AB104" i="91" s="1"/>
  <c r="AB105" i="91" s="1"/>
  <c r="AB106" i="91" s="1"/>
  <c r="AB107" i="91" s="1"/>
  <c r="AB108" i="91" s="1"/>
  <c r="AB109" i="91" s="1"/>
  <c r="AB110" i="91" s="1"/>
  <c r="AB111" i="91" s="1"/>
  <c r="AB112" i="91" s="1"/>
  <c r="AB113" i="91" s="1"/>
  <c r="AB114" i="91" s="1"/>
  <c r="AB115" i="91" s="1"/>
  <c r="AB116" i="91" s="1"/>
  <c r="AB117" i="91" s="1"/>
  <c r="AB118" i="91" s="1"/>
  <c r="AB119" i="91" s="1"/>
  <c r="AB120" i="91" s="1"/>
  <c r="AB121" i="91" s="1"/>
  <c r="AB122" i="91" s="1"/>
  <c r="AB123" i="91" s="1"/>
  <c r="AB124" i="91" s="1"/>
  <c r="AB125" i="91" s="1"/>
  <c r="AB126" i="91" s="1"/>
  <c r="AB127" i="91" s="1"/>
  <c r="AB128" i="91" s="1"/>
  <c r="AB129" i="91" s="1"/>
  <c r="AB130" i="91" s="1"/>
  <c r="AB131" i="91" s="1"/>
  <c r="AB132" i="91" s="1"/>
  <c r="AB133" i="91" s="1"/>
  <c r="AB134" i="91" s="1"/>
  <c r="AB135" i="91" s="1"/>
  <c r="AB136" i="91" s="1"/>
  <c r="AB137" i="91" s="1"/>
  <c r="AB138" i="91" s="1"/>
  <c r="AB139" i="91" s="1"/>
  <c r="AB140" i="91" s="1"/>
  <c r="AB141" i="91" s="1"/>
  <c r="AB142" i="91" s="1"/>
  <c r="AB143" i="91" s="1"/>
  <c r="AB144" i="91" s="1"/>
  <c r="AB145" i="91" s="1"/>
  <c r="AB146" i="91" s="1"/>
  <c r="AB147" i="91" s="1"/>
  <c r="AB148" i="91" s="1"/>
  <c r="AB149" i="91" s="1"/>
  <c r="AB150" i="91" s="1"/>
  <c r="AB151" i="91" s="1"/>
  <c r="AB152" i="91" s="1"/>
  <c r="AB153" i="91" s="1"/>
  <c r="AB154" i="91" s="1"/>
  <c r="AB155" i="91" s="1"/>
  <c r="AB156" i="91" s="1"/>
  <c r="AB157" i="91" s="1"/>
  <c r="AB158" i="91" s="1"/>
  <c r="AB159" i="91" s="1"/>
  <c r="AB160" i="91" s="1"/>
  <c r="AB161" i="91" s="1"/>
  <c r="AB162" i="91" s="1"/>
  <c r="AB163" i="91" s="1"/>
  <c r="AB164" i="91" s="1"/>
  <c r="AH6" i="47"/>
  <c r="Z44" i="50"/>
  <c r="AC28" i="50"/>
  <c r="AA45" i="50"/>
  <c r="AB44" i="50"/>
  <c r="AA29" i="50"/>
  <c r="AA46" i="50"/>
  <c r="AB31" i="50"/>
  <c r="AC12" i="50"/>
  <c r="AC64" i="50"/>
  <c r="Z48" i="50"/>
  <c r="AC51" i="50"/>
  <c r="AC76" i="50"/>
  <c r="AA50" i="50"/>
  <c r="AB34" i="50"/>
  <c r="Z27" i="50"/>
  <c r="AB43" i="50"/>
  <c r="AE43" i="50" s="1"/>
  <c r="AA51" i="50"/>
  <c r="AD34" i="50"/>
  <c r="AB27" i="50"/>
  <c r="AA44" i="50"/>
  <c r="AD29" i="50"/>
  <c r="AD52" i="50"/>
  <c r="AC47" i="50"/>
  <c r="AE47" i="50" s="1"/>
  <c r="AD32" i="50"/>
  <c r="AB51" i="50"/>
  <c r="AA34" i="50"/>
  <c r="AC50" i="50"/>
  <c r="Z34" i="50"/>
  <c r="AD51" i="50"/>
  <c r="AD43" i="50"/>
  <c r="Z29" i="50"/>
  <c r="AC73" i="50"/>
  <c r="AB53" i="50"/>
  <c r="Z46" i="50"/>
  <c r="AA31" i="50"/>
  <c r="Z50" i="50"/>
  <c r="AD31" i="50"/>
  <c r="AB32" i="50"/>
  <c r="AB50" i="50"/>
  <c r="AD33" i="50"/>
  <c r="Z28" i="50"/>
  <c r="AC61" i="50"/>
  <c r="AC54" i="50"/>
  <c r="AD44" i="50"/>
  <c r="AC29" i="50"/>
  <c r="AC46" i="50"/>
  <c r="AA30" i="50"/>
  <c r="Z45" i="50"/>
  <c r="AE45" i="50" s="1"/>
  <c r="Z30" i="50"/>
  <c r="AE30" i="50" s="1"/>
  <c r="Z47" i="50"/>
  <c r="AA32" i="50"/>
  <c r="AB9" i="50"/>
  <c r="AD78" i="50"/>
  <c r="AD48" i="50"/>
  <c r="AE27" i="50"/>
  <c r="AD79" i="50"/>
  <c r="AE32" i="50"/>
  <c r="AA74" i="50"/>
  <c r="Z79" i="50"/>
  <c r="AB74" i="50"/>
  <c r="AE74" i="50" s="1"/>
  <c r="AA79" i="50"/>
  <c r="AB11" i="50"/>
  <c r="Z17" i="50"/>
  <c r="AE17" i="50" s="1"/>
  <c r="AA12" i="50"/>
  <c r="AC17" i="50"/>
  <c r="AB18" i="50"/>
  <c r="AD11" i="50"/>
  <c r="AC19" i="50"/>
  <c r="AA10" i="50"/>
  <c r="AA11" i="50"/>
  <c r="AA17" i="50"/>
  <c r="AA76" i="50"/>
  <c r="AA72" i="50"/>
  <c r="Z78" i="50"/>
  <c r="Z7" i="50"/>
  <c r="AB63" i="50"/>
  <c r="AC65" i="50"/>
  <c r="Z60" i="50"/>
  <c r="Z61" i="50"/>
  <c r="AA66" i="50"/>
  <c r="AC60" i="50"/>
  <c r="AC67" i="50"/>
  <c r="AA61" i="50"/>
  <c r="AB37" i="50"/>
  <c r="AC36" i="50"/>
  <c r="Z36" i="50"/>
  <c r="Z39" i="50"/>
  <c r="AA39" i="50"/>
  <c r="AC63" i="50"/>
  <c r="AH5" i="47"/>
  <c r="AD75" i="50"/>
  <c r="AC80" i="50"/>
  <c r="Z76" i="50"/>
  <c r="AD72" i="50"/>
  <c r="AB13" i="50"/>
  <c r="AB8" i="50"/>
  <c r="AB20" i="50"/>
  <c r="Z16" i="50"/>
  <c r="AC8" i="50"/>
  <c r="Z13" i="50"/>
  <c r="Z18" i="50"/>
  <c r="Z8" i="50"/>
  <c r="AD20" i="50"/>
  <c r="AD15" i="50"/>
  <c r="AD77" i="50"/>
  <c r="AD7" i="50"/>
  <c r="AA7" i="50"/>
  <c r="AA77" i="50"/>
  <c r="AC75" i="50"/>
  <c r="AD58" i="50"/>
  <c r="Z64" i="50"/>
  <c r="Z58" i="50"/>
  <c r="AB59" i="50"/>
  <c r="AD63" i="50"/>
  <c r="Z59" i="50"/>
  <c r="AA65" i="50"/>
  <c r="AC59" i="50"/>
  <c r="AB39" i="50"/>
  <c r="AC38" i="50"/>
  <c r="Z37" i="50"/>
  <c r="AA35" i="50"/>
  <c r="AC49" i="50"/>
  <c r="AC72" i="50"/>
  <c r="AD76" i="50"/>
  <c r="AC7" i="50"/>
  <c r="AD14" i="50"/>
  <c r="Z9" i="50"/>
  <c r="AD19" i="50"/>
  <c r="AB15" i="50"/>
  <c r="AA9" i="50"/>
  <c r="AD13" i="50"/>
  <c r="AB17" i="50"/>
  <c r="AD8" i="50"/>
  <c r="Z20" i="50"/>
  <c r="Z15" i="50"/>
  <c r="AC78" i="50"/>
  <c r="AA73" i="50"/>
  <c r="AB80" i="50"/>
  <c r="AA58" i="50"/>
  <c r="Z68" i="50"/>
  <c r="AA63" i="50"/>
  <c r="AA68" i="50"/>
  <c r="AC58" i="50"/>
  <c r="Z63" i="50"/>
  <c r="AC66" i="50"/>
  <c r="AB64" i="50"/>
  <c r="Z73" i="50"/>
  <c r="AB35" i="50"/>
  <c r="AC39" i="50"/>
  <c r="AD37" i="50"/>
  <c r="AA36" i="50"/>
  <c r="AD54" i="50"/>
  <c r="AB77" i="50"/>
  <c r="AB7" i="50"/>
  <c r="AC77" i="50"/>
  <c r="AA8" i="50"/>
  <c r="AC20" i="50"/>
  <c r="AD9" i="50"/>
  <c r="Z19" i="50"/>
  <c r="AD12" i="50"/>
  <c r="AC10" i="50"/>
  <c r="AB14" i="50"/>
  <c r="AE14" i="50" s="1"/>
  <c r="AC16" i="50"/>
  <c r="Z10" i="50"/>
  <c r="AB19" i="50"/>
  <c r="AD73" i="50"/>
  <c r="AB79" i="50"/>
  <c r="AB76" i="50"/>
  <c r="AB67" i="50"/>
  <c r="AA67" i="50"/>
  <c r="AB62" i="50"/>
  <c r="AD65" i="50"/>
  <c r="AC68" i="50"/>
  <c r="AA62" i="50"/>
  <c r="AB58" i="50"/>
  <c r="AD62" i="50"/>
  <c r="AB36" i="50"/>
  <c r="Z35" i="50"/>
  <c r="Z38" i="50"/>
  <c r="BF5" i="91" l="1"/>
  <c r="BG5" i="91"/>
  <c r="BI5" i="91"/>
  <c r="BH5" i="91"/>
  <c r="BE5" i="91"/>
  <c r="AJ5" i="91"/>
  <c r="AO5" i="91" s="1"/>
  <c r="AY5" i="91"/>
  <c r="AI5" i="91"/>
  <c r="AN5" i="91" s="1"/>
  <c r="AX5" i="91"/>
  <c r="AM5" i="91"/>
  <c r="AR5" i="91" s="1"/>
  <c r="BB5" i="91"/>
  <c r="AK5" i="91"/>
  <c r="AP5" i="91" s="1"/>
  <c r="AZ5" i="91"/>
  <c r="AL5" i="91"/>
  <c r="AQ5" i="91" s="1"/>
  <c r="BA5" i="91"/>
  <c r="AE65" i="50"/>
  <c r="AE16" i="50"/>
  <c r="AE20" i="50"/>
  <c r="AE35" i="50"/>
  <c r="AE66" i="50"/>
  <c r="AE73" i="50"/>
  <c r="AE37" i="50"/>
  <c r="AE7" i="50"/>
  <c r="AE77" i="50"/>
  <c r="AE36" i="50"/>
  <c r="AE8" i="50"/>
  <c r="AE60" i="50"/>
  <c r="AE59" i="50"/>
  <c r="BH6" i="91" l="1"/>
  <c r="BI6" i="91"/>
  <c r="BG6" i="91"/>
  <c r="BF6" i="91"/>
  <c r="BE6" i="91"/>
  <c r="AM6" i="91"/>
  <c r="AR6" i="91" s="1"/>
  <c r="AW6" i="91" s="1"/>
  <c r="BB6" i="91"/>
  <c r="AW5" i="91"/>
  <c r="BA6" i="91"/>
  <c r="AL6" i="91"/>
  <c r="AQ6" i="91" s="1"/>
  <c r="AV6" i="91" s="1"/>
  <c r="AS5" i="91"/>
  <c r="AU5" i="91"/>
  <c r="AV5" i="91"/>
  <c r="AI6" i="91"/>
  <c r="AN6" i="91" s="1"/>
  <c r="AX6" i="91"/>
  <c r="AK6" i="91"/>
  <c r="AP6" i="91" s="1"/>
  <c r="AU6" i="91" s="1"/>
  <c r="AZ6" i="91"/>
  <c r="AT5" i="91"/>
  <c r="AJ6" i="91"/>
  <c r="AO6" i="91" s="1"/>
  <c r="AT6" i="91" s="1"/>
  <c r="AY6" i="91"/>
  <c r="AD80" i="50"/>
  <c r="AE80" i="50" s="1"/>
  <c r="AC34" i="50"/>
  <c r="AE34" i="50" s="1"/>
  <c r="AC33" i="50"/>
  <c r="AE33" i="50" s="1"/>
  <c r="AE29" i="50"/>
  <c r="AE79" i="50"/>
  <c r="AE50" i="50"/>
  <c r="AB10" i="50"/>
  <c r="AE10" i="50" s="1"/>
  <c r="AD68" i="50"/>
  <c r="AE68" i="50" s="1"/>
  <c r="AC52" i="50"/>
  <c r="AA49" i="50"/>
  <c r="AA53" i="50"/>
  <c r="Z49" i="50"/>
  <c r="AE9" i="50"/>
  <c r="AE38" i="50"/>
  <c r="Z52" i="50"/>
  <c r="Z54" i="50"/>
  <c r="AH7" i="47"/>
  <c r="AE11" i="50"/>
  <c r="AE46" i="50"/>
  <c r="AE75" i="50"/>
  <c r="AE12" i="50"/>
  <c r="AE72" i="50"/>
  <c r="AE64" i="50"/>
  <c r="AA52" i="50"/>
  <c r="AB48" i="50"/>
  <c r="AE48" i="50" s="1"/>
  <c r="AE51" i="50"/>
  <c r="AE76" i="50"/>
  <c r="AE61" i="50"/>
  <c r="AC53" i="50"/>
  <c r="AB54" i="50"/>
  <c r="AE44" i="50"/>
  <c r="AE19" i="50"/>
  <c r="AB52" i="50"/>
  <c r="AE18" i="50"/>
  <c r="AE63" i="50"/>
  <c r="Z53" i="50"/>
  <c r="AE78" i="50"/>
  <c r="AE15" i="50"/>
  <c r="AB28" i="50"/>
  <c r="AE28" i="50" s="1"/>
  <c r="AD53" i="50"/>
  <c r="AE53" i="50" s="1"/>
  <c r="AC31" i="50"/>
  <c r="AE31" i="50" s="1"/>
  <c r="AE58" i="50"/>
  <c r="AE39" i="50"/>
  <c r="AC13" i="50"/>
  <c r="AE13" i="50" s="1"/>
  <c r="AC62" i="50"/>
  <c r="AE62" i="50" s="1"/>
  <c r="AD67" i="50"/>
  <c r="AE67" i="50" s="1"/>
  <c r="R10" i="51"/>
  <c r="W8" i="50"/>
  <c r="X8" i="50" s="1"/>
  <c r="W10" i="50"/>
  <c r="X11" i="50" s="1"/>
  <c r="W77" i="50"/>
  <c r="X77" i="50" s="1"/>
  <c r="W64" i="50"/>
  <c r="W17" i="50"/>
  <c r="W16" i="50"/>
  <c r="W15" i="50"/>
  <c r="X15" i="50" s="1"/>
  <c r="X14" i="50"/>
  <c r="W35" i="50"/>
  <c r="X35" i="50" s="1"/>
  <c r="X50" i="50"/>
  <c r="X68" i="50"/>
  <c r="X12" i="50"/>
  <c r="X54" i="50"/>
  <c r="X66" i="50"/>
  <c r="X20" i="50"/>
  <c r="X62" i="50"/>
  <c r="X43" i="50"/>
  <c r="X44" i="50"/>
  <c r="R8" i="51"/>
  <c r="W29" i="50"/>
  <c r="X29" i="50" s="1"/>
  <c r="X61" i="50"/>
  <c r="X74" i="50"/>
  <c r="X76" i="50"/>
  <c r="W9" i="50"/>
  <c r="R14" i="51"/>
  <c r="W18" i="50"/>
  <c r="X47" i="50"/>
  <c r="X72" i="50"/>
  <c r="X73" i="50"/>
  <c r="X59" i="50"/>
  <c r="X63" i="50"/>
  <c r="X67" i="50"/>
  <c r="X75" i="50"/>
  <c r="X45" i="50"/>
  <c r="X60" i="50"/>
  <c r="X80" i="50"/>
  <c r="X79" i="50"/>
  <c r="X48" i="50"/>
  <c r="X53" i="50"/>
  <c r="X52" i="50"/>
  <c r="X49" i="50"/>
  <c r="X51" i="50"/>
  <c r="X13" i="50"/>
  <c r="X46" i="50"/>
  <c r="BF7" i="91" l="1"/>
  <c r="BG7" i="91"/>
  <c r="BI7" i="91"/>
  <c r="BH7" i="91"/>
  <c r="BE7" i="91"/>
  <c r="AS6" i="91"/>
  <c r="AK7" i="91"/>
  <c r="AP7" i="91" s="1"/>
  <c r="AZ7" i="91"/>
  <c r="AJ7" i="91"/>
  <c r="AO7" i="91" s="1"/>
  <c r="AY7" i="91"/>
  <c r="AL7" i="91"/>
  <c r="AQ7" i="91" s="1"/>
  <c r="BA7" i="91"/>
  <c r="AM7" i="91"/>
  <c r="AR7" i="91" s="1"/>
  <c r="BB7" i="91"/>
  <c r="AI7" i="91"/>
  <c r="AN7" i="91" s="1"/>
  <c r="AX7" i="91"/>
  <c r="AE54" i="50"/>
  <c r="AE49" i="50"/>
  <c r="BI8" i="91" l="1"/>
  <c r="BG8" i="91"/>
  <c r="BH8" i="91"/>
  <c r="BF8" i="91"/>
  <c r="BE8" i="91"/>
  <c r="AK8" i="91"/>
  <c r="AP8" i="91" s="1"/>
  <c r="AZ8" i="91"/>
  <c r="BB8" i="91"/>
  <c r="AM8" i="91"/>
  <c r="AR8" i="91" s="1"/>
  <c r="AW8" i="91" s="1"/>
  <c r="AU7" i="91"/>
  <c r="AW7" i="91"/>
  <c r="AV7" i="91"/>
  <c r="AI8" i="91"/>
  <c r="AN8" i="91" s="1"/>
  <c r="AS8" i="91" s="1"/>
  <c r="AX8" i="91"/>
  <c r="AJ8" i="91"/>
  <c r="AO8" i="91" s="1"/>
  <c r="AY8" i="91"/>
  <c r="AS7" i="91"/>
  <c r="AL8" i="91"/>
  <c r="AQ8" i="91" s="1"/>
  <c r="AV8" i="91" s="1"/>
  <c r="BA8" i="91"/>
  <c r="AT7" i="91"/>
  <c r="X78" i="50"/>
  <c r="AE52" i="50"/>
  <c r="X65" i="50"/>
  <c r="X64" i="50"/>
  <c r="X17" i="50"/>
  <c r="X18" i="50"/>
  <c r="X9" i="50"/>
  <c r="X10" i="50"/>
  <c r="X16" i="50"/>
  <c r="X19" i="50"/>
  <c r="AD83" i="51"/>
  <c r="AJ13" i="50"/>
  <c r="AL82" i="50"/>
  <c r="AF26" i="51"/>
  <c r="AD84" i="51"/>
  <c r="AB93" i="51"/>
  <c r="AI72" i="50"/>
  <c r="AK31" i="47"/>
  <c r="AJ101" i="50"/>
  <c r="AB12" i="51"/>
  <c r="AD26" i="51"/>
  <c r="AK29" i="47"/>
  <c r="AI9" i="50"/>
  <c r="AJ106" i="50"/>
  <c r="AH89" i="50"/>
  <c r="AI50" i="50"/>
  <c r="AI43" i="50"/>
  <c r="AC20" i="51"/>
  <c r="AL35" i="50"/>
  <c r="AI32" i="50"/>
  <c r="AK91" i="47"/>
  <c r="AJ89" i="50"/>
  <c r="AH90" i="50"/>
  <c r="AK96" i="47"/>
  <c r="AF38" i="51"/>
  <c r="AB54" i="51"/>
  <c r="AK57" i="50"/>
  <c r="AL97" i="50"/>
  <c r="AE10" i="51"/>
  <c r="AK17" i="50"/>
  <c r="AH35" i="50"/>
  <c r="AL20" i="47"/>
  <c r="AH82" i="50"/>
  <c r="AL75" i="50"/>
  <c r="AL5" i="47"/>
  <c r="AE7" i="51"/>
  <c r="AB20" i="51"/>
  <c r="AL65" i="50"/>
  <c r="AH57" i="50"/>
  <c r="AF88" i="51"/>
  <c r="AL10" i="47"/>
  <c r="AI73" i="50"/>
  <c r="AE70" i="51"/>
  <c r="AF58" i="51"/>
  <c r="AC33" i="51"/>
  <c r="AK42" i="50"/>
  <c r="AI78" i="50"/>
  <c r="AC70" i="51"/>
  <c r="AL58" i="47"/>
  <c r="AE88" i="51"/>
  <c r="AJ62" i="50"/>
  <c r="AE16" i="51"/>
  <c r="AD75" i="51"/>
  <c r="AK18" i="50"/>
  <c r="AK43" i="50"/>
  <c r="AE94" i="51"/>
  <c r="AH106" i="50"/>
  <c r="AJ17" i="50"/>
  <c r="AB68" i="51"/>
  <c r="AK97" i="50"/>
  <c r="AI20" i="50"/>
  <c r="AK22" i="47"/>
  <c r="AK19" i="50"/>
  <c r="AK43" i="47"/>
  <c r="AL83" i="50"/>
  <c r="AB5" i="51"/>
  <c r="AC77" i="51"/>
  <c r="AF85" i="51"/>
  <c r="AK95" i="50"/>
  <c r="AF84" i="51"/>
  <c r="AL23" i="47"/>
  <c r="AK73" i="50"/>
  <c r="AD68" i="51"/>
  <c r="AI97" i="50"/>
  <c r="AH105" i="50"/>
  <c r="AL48" i="50"/>
  <c r="AJ81" i="50"/>
  <c r="AI82" i="50"/>
  <c r="AJ24" i="50"/>
  <c r="AF40" i="51"/>
  <c r="AL92" i="50"/>
  <c r="AL51" i="47"/>
  <c r="AJ57" i="50"/>
  <c r="AJ91" i="50"/>
  <c r="AC48" i="51"/>
  <c r="AK19" i="47"/>
  <c r="AE83" i="51"/>
  <c r="AB39" i="51"/>
  <c r="AI58" i="50"/>
  <c r="AB60" i="51"/>
  <c r="AK46" i="47"/>
  <c r="AL102" i="50"/>
  <c r="AD32" i="51"/>
  <c r="AI87" i="50"/>
  <c r="AB28" i="51"/>
  <c r="AB95" i="51"/>
  <c r="AK14" i="50"/>
  <c r="AI24" i="50"/>
  <c r="AK62" i="47"/>
  <c r="AB36" i="51"/>
  <c r="AC16" i="51"/>
  <c r="AF97" i="51"/>
  <c r="AK53" i="50"/>
  <c r="AF23" i="51"/>
  <c r="AF42" i="51"/>
  <c r="AE100" i="51"/>
  <c r="AH24" i="50"/>
  <c r="AD22" i="51"/>
  <c r="AC43" i="51"/>
  <c r="AF29" i="51"/>
  <c r="AL41" i="50"/>
  <c r="AL37" i="50"/>
  <c r="AD50" i="51"/>
  <c r="AL25" i="47"/>
  <c r="AI103" i="50"/>
  <c r="AE84" i="51"/>
  <c r="AC104" i="51"/>
  <c r="AJ68" i="50"/>
  <c r="AC58" i="51"/>
  <c r="AF28" i="51"/>
  <c r="AI19" i="50"/>
  <c r="AL57" i="50"/>
  <c r="AL84" i="50"/>
  <c r="AC51" i="51"/>
  <c r="AB27" i="51"/>
  <c r="AK7" i="47"/>
  <c r="AL13" i="47"/>
  <c r="AB55" i="51"/>
  <c r="AK96" i="50"/>
  <c r="AI47" i="50"/>
  <c r="AL55" i="47"/>
  <c r="AH58" i="50"/>
  <c r="AK82" i="47"/>
  <c r="AD63" i="51"/>
  <c r="AD12" i="51"/>
  <c r="AE80" i="51"/>
  <c r="AF81" i="51"/>
  <c r="AB90" i="51"/>
  <c r="AE97" i="51"/>
  <c r="AB48" i="51"/>
  <c r="AB86" i="51"/>
  <c r="AE49" i="51"/>
  <c r="AK85" i="50"/>
  <c r="AI11" i="50"/>
  <c r="AK32" i="47"/>
  <c r="AJ61" i="50"/>
  <c r="AE86" i="51"/>
  <c r="AF63" i="51"/>
  <c r="AC86" i="51"/>
  <c r="AK41" i="50"/>
  <c r="AI44" i="50"/>
  <c r="AL18" i="50"/>
  <c r="AL40" i="50"/>
  <c r="AL41" i="47"/>
  <c r="AK69" i="47"/>
  <c r="AK38" i="50"/>
  <c r="AK66" i="47"/>
  <c r="AL46" i="50"/>
  <c r="AK65" i="50"/>
  <c r="AK76" i="50"/>
  <c r="AL29" i="47"/>
  <c r="AJ15" i="50"/>
  <c r="AD66" i="51"/>
  <c r="AE103" i="51"/>
  <c r="AL37" i="47"/>
  <c r="AK88" i="47"/>
  <c r="AK57" i="47"/>
  <c r="AK59" i="50"/>
  <c r="AJ7" i="50"/>
  <c r="AH76" i="50"/>
  <c r="AK13" i="47"/>
  <c r="AC87" i="51"/>
  <c r="AH101" i="50"/>
  <c r="AK104" i="50"/>
  <c r="AD64" i="51"/>
  <c r="AK75" i="47"/>
  <c r="AC99" i="51"/>
  <c r="AD61" i="51"/>
  <c r="AJ23" i="50"/>
  <c r="AH83" i="50"/>
  <c r="AK68" i="50"/>
  <c r="AI96" i="50"/>
  <c r="AB30" i="51"/>
  <c r="AJ84" i="50"/>
  <c r="AI51" i="50"/>
  <c r="AK94" i="47"/>
  <c r="AF73" i="51"/>
  <c r="AH75" i="50"/>
  <c r="AL13" i="50"/>
  <c r="AH84" i="50"/>
  <c r="AL8" i="47"/>
  <c r="AL22" i="47"/>
  <c r="AF66" i="51"/>
  <c r="AL14" i="47"/>
  <c r="AK29" i="50"/>
  <c r="AF59" i="51"/>
  <c r="AL49" i="50"/>
  <c r="AB6" i="51"/>
  <c r="AI70" i="50"/>
  <c r="AK21" i="47"/>
  <c r="AF104" i="51"/>
  <c r="AC12" i="51"/>
  <c r="AL15" i="47"/>
  <c r="AL11" i="50"/>
  <c r="AI10" i="50"/>
  <c r="AI40" i="50"/>
  <c r="AH48" i="50"/>
  <c r="AB44" i="51"/>
  <c r="AB15" i="51"/>
  <c r="AE29" i="51"/>
  <c r="AB26" i="51"/>
  <c r="AL33" i="50"/>
  <c r="AC103" i="51"/>
  <c r="AB50" i="51"/>
  <c r="AI7" i="50"/>
  <c r="AL56" i="47"/>
  <c r="AB45" i="51"/>
  <c r="AL29" i="50"/>
  <c r="AJ77" i="50"/>
  <c r="AI52" i="50"/>
  <c r="AK64" i="47"/>
  <c r="AL6" i="47"/>
  <c r="AK78" i="50"/>
  <c r="AL67" i="50"/>
  <c r="AK21" i="50"/>
  <c r="AB102" i="51"/>
  <c r="AJ65" i="50"/>
  <c r="AK78" i="47"/>
  <c r="AB25" i="51"/>
  <c r="AC39" i="51"/>
  <c r="AB85" i="51"/>
  <c r="AE40" i="51"/>
  <c r="AF92" i="51"/>
  <c r="AL33" i="47"/>
  <c r="AH78" i="50"/>
  <c r="AK27" i="47"/>
  <c r="AI31" i="50"/>
  <c r="AF60" i="51"/>
  <c r="AE99" i="51"/>
  <c r="AF51" i="51"/>
  <c r="AD34" i="51"/>
  <c r="AB79" i="51"/>
  <c r="AL44" i="50"/>
  <c r="AB23" i="51"/>
  <c r="AD28" i="51"/>
  <c r="AB33" i="51"/>
  <c r="AL43" i="50"/>
  <c r="AB89" i="51"/>
  <c r="AK25" i="50"/>
  <c r="AL22" i="50"/>
  <c r="AE81" i="51"/>
  <c r="AL16" i="50"/>
  <c r="AI85" i="50"/>
  <c r="AL66" i="50"/>
  <c r="AJ47" i="50"/>
  <c r="AE56" i="51"/>
  <c r="AH49" i="50"/>
  <c r="AC23" i="51"/>
  <c r="AF44" i="51"/>
  <c r="AJ26" i="50"/>
  <c r="AE15" i="51"/>
  <c r="AD70" i="51"/>
  <c r="AI27" i="50"/>
  <c r="AH38" i="50"/>
  <c r="AF69" i="51"/>
  <c r="AI99" i="50"/>
  <c r="AL94" i="50"/>
  <c r="AJ78" i="50"/>
  <c r="AI71" i="50"/>
  <c r="AL66" i="47"/>
  <c r="AL64" i="50"/>
  <c r="AL35" i="47"/>
  <c r="AJ43" i="50"/>
  <c r="AC8" i="51"/>
  <c r="AL19" i="47"/>
  <c r="AC91" i="51"/>
  <c r="AK92" i="47"/>
  <c r="AH26" i="50"/>
  <c r="AD79" i="51"/>
  <c r="AI92" i="50"/>
  <c r="AB37" i="51"/>
  <c r="AH9" i="50"/>
  <c r="AF100" i="51"/>
  <c r="AE60" i="51"/>
  <c r="AE38" i="51"/>
  <c r="AL47" i="50"/>
  <c r="AJ79" i="50"/>
  <c r="AL93" i="50"/>
  <c r="AK48" i="47"/>
  <c r="AD13" i="51"/>
  <c r="AK72" i="47"/>
  <c r="AB82" i="51"/>
  <c r="AJ82" i="50"/>
  <c r="AD82" i="51"/>
  <c r="AE47" i="51"/>
  <c r="AL48" i="47"/>
  <c r="AC75" i="51"/>
  <c r="AD90" i="51"/>
  <c r="AJ66" i="50"/>
  <c r="AK76" i="47"/>
  <c r="AH67" i="50"/>
  <c r="AL89" i="50"/>
  <c r="AD14" i="51"/>
  <c r="AI12" i="50"/>
  <c r="AJ48" i="50"/>
  <c r="AI59" i="50"/>
  <c r="AL50" i="50"/>
  <c r="AB16" i="51"/>
  <c r="AD23" i="51"/>
  <c r="AI13" i="50"/>
  <c r="AK10" i="47"/>
  <c r="AD78" i="51"/>
  <c r="AL50" i="47"/>
  <c r="AE78" i="51"/>
  <c r="AD52" i="51"/>
  <c r="AB69" i="51"/>
  <c r="AK27" i="50"/>
  <c r="AL34" i="47"/>
  <c r="AJ90" i="50"/>
  <c r="AF27" i="51"/>
  <c r="AJ44" i="50"/>
  <c r="AC102" i="51"/>
  <c r="AE92" i="51"/>
  <c r="AL91" i="50"/>
  <c r="AJ72" i="50"/>
  <c r="AL80" i="50"/>
  <c r="AJ51" i="50"/>
  <c r="AJ52" i="50"/>
  <c r="AK28" i="50"/>
  <c r="AB40" i="51"/>
  <c r="AI84" i="50"/>
  <c r="AK23" i="50"/>
  <c r="AH16" i="50"/>
  <c r="AJ59" i="50"/>
  <c r="AK101" i="47"/>
  <c r="AD60" i="51"/>
  <c r="AD30" i="51"/>
  <c r="AL53" i="50"/>
  <c r="AJ102" i="50"/>
  <c r="AH65" i="50"/>
  <c r="AB104" i="51"/>
  <c r="AF49" i="51"/>
  <c r="AK56" i="50"/>
  <c r="AK90" i="47"/>
  <c r="AD43" i="51"/>
  <c r="AL32" i="47"/>
  <c r="AL15" i="50"/>
  <c r="AD44" i="51"/>
  <c r="AK50" i="50"/>
  <c r="AC85" i="51"/>
  <c r="AE44" i="51"/>
  <c r="AI104" i="50"/>
  <c r="AC19" i="51"/>
  <c r="AL69" i="50"/>
  <c r="AB92" i="51"/>
  <c r="AK71" i="50"/>
  <c r="AJ31" i="50"/>
  <c r="AL106" i="50"/>
  <c r="AK37" i="47"/>
  <c r="AL34" i="50"/>
  <c r="AE54" i="51"/>
  <c r="AL21" i="50"/>
  <c r="AL54" i="47"/>
  <c r="AL28" i="50"/>
  <c r="AF45" i="51"/>
  <c r="AJ99" i="50"/>
  <c r="AD31" i="51"/>
  <c r="AH100" i="50"/>
  <c r="AI80" i="50"/>
  <c r="AF64" i="51"/>
  <c r="AH21" i="50"/>
  <c r="AK90" i="50"/>
  <c r="AE64" i="51"/>
  <c r="AC65" i="51"/>
  <c r="AH54" i="50"/>
  <c r="AI98" i="50"/>
  <c r="AF8" i="51"/>
  <c r="AE71" i="51"/>
  <c r="AE11" i="51"/>
  <c r="AC40" i="51"/>
  <c r="AH36" i="50"/>
  <c r="AI83" i="50"/>
  <c r="AE39" i="51"/>
  <c r="AH52" i="50"/>
  <c r="AI101" i="50"/>
  <c r="AB38" i="51"/>
  <c r="AF21" i="51"/>
  <c r="AJ30" i="50"/>
  <c r="AK36" i="47"/>
  <c r="AB78" i="51"/>
  <c r="AK84" i="50"/>
  <c r="AC21" i="51"/>
  <c r="AH98" i="50"/>
  <c r="AF6" i="51"/>
  <c r="AL98" i="50"/>
  <c r="AE36" i="51"/>
  <c r="AE63" i="51"/>
  <c r="AE55" i="51"/>
  <c r="AK28" i="47"/>
  <c r="AK16" i="50"/>
  <c r="AH28" i="50"/>
  <c r="AB22" i="51"/>
  <c r="AK40" i="47"/>
  <c r="AE31" i="51"/>
  <c r="AD72" i="51"/>
  <c r="AL38" i="47"/>
  <c r="AB47" i="51"/>
  <c r="AD59" i="51"/>
  <c r="AK68" i="47"/>
  <c r="AH103" i="50"/>
  <c r="AI49" i="50"/>
  <c r="AE90" i="51"/>
  <c r="AC67" i="51"/>
  <c r="AB61" i="51"/>
  <c r="AE59" i="51"/>
  <c r="AH95" i="50"/>
  <c r="AE43" i="51"/>
  <c r="AC79" i="51"/>
  <c r="AH72" i="50"/>
  <c r="AI30" i="50"/>
  <c r="AL42" i="50"/>
  <c r="AF91" i="51"/>
  <c r="AD39" i="51"/>
  <c r="AK54" i="47"/>
  <c r="AK49" i="47"/>
  <c r="AC26" i="51"/>
  <c r="AK45" i="50"/>
  <c r="AK83" i="50"/>
  <c r="AK4" i="47"/>
  <c r="AH96" i="50"/>
  <c r="AD58" i="51"/>
  <c r="AH56" i="50"/>
  <c r="AC66" i="51"/>
  <c r="AH79" i="50"/>
  <c r="AK94" i="50"/>
  <c r="AH47" i="50"/>
  <c r="AE77" i="51"/>
  <c r="AC28" i="51"/>
  <c r="AE24" i="51"/>
  <c r="AC61" i="51"/>
  <c r="AH97" i="50"/>
  <c r="AB100" i="51"/>
  <c r="AL32" i="50"/>
  <c r="AL39" i="50"/>
  <c r="AJ104" i="50"/>
  <c r="AI15" i="50"/>
  <c r="AB53" i="51"/>
  <c r="AE58" i="51"/>
  <c r="AJ93" i="50"/>
  <c r="AB72" i="51"/>
  <c r="AB84" i="51"/>
  <c r="AH94" i="50"/>
  <c r="AF47" i="51"/>
  <c r="AI67" i="50"/>
  <c r="AH34" i="50"/>
  <c r="AH81" i="50"/>
  <c r="AE8" i="51"/>
  <c r="AK55" i="50"/>
  <c r="AD46" i="51"/>
  <c r="AK15" i="47"/>
  <c r="AF50" i="51"/>
  <c r="AD38" i="51"/>
  <c r="AF7" i="51"/>
  <c r="AE66" i="51"/>
  <c r="AL76" i="50"/>
  <c r="AH14" i="50"/>
  <c r="AH60" i="50"/>
  <c r="AD53" i="51"/>
  <c r="AL105" i="50"/>
  <c r="AK89" i="47"/>
  <c r="AK74" i="50"/>
  <c r="AD5" i="51"/>
  <c r="AC92" i="51"/>
  <c r="AH8" i="50"/>
  <c r="AI26" i="50"/>
  <c r="AF101" i="51"/>
  <c r="AD99" i="51"/>
  <c r="AC50" i="51"/>
  <c r="AC53" i="51"/>
  <c r="AK15" i="50"/>
  <c r="AK26" i="47"/>
  <c r="AF19" i="51"/>
  <c r="AH10" i="50"/>
  <c r="AJ11" i="50"/>
  <c r="AF41" i="51"/>
  <c r="AB77" i="51"/>
  <c r="AJ54" i="50"/>
  <c r="AE25" i="51"/>
  <c r="AD21" i="51"/>
  <c r="AB58" i="51"/>
  <c r="AL36" i="47"/>
  <c r="AH88" i="50"/>
  <c r="AH19" i="50"/>
  <c r="AK71" i="47"/>
  <c r="AC11" i="51"/>
  <c r="AF32" i="51"/>
  <c r="AH42" i="50"/>
  <c r="AE89" i="51"/>
  <c r="AH13" i="50"/>
  <c r="AC32" i="51"/>
  <c r="AD9" i="51"/>
  <c r="AB98" i="51"/>
  <c r="AE52" i="51"/>
  <c r="AL9" i="50"/>
  <c r="AK65" i="47"/>
  <c r="AL53" i="47"/>
  <c r="AL59" i="47"/>
  <c r="AJ88" i="50"/>
  <c r="AI75" i="50"/>
  <c r="AB29" i="51"/>
  <c r="AL11" i="47"/>
  <c r="AL49" i="47"/>
  <c r="AB11" i="51"/>
  <c r="AI81" i="50"/>
  <c r="AH29" i="50"/>
  <c r="AF55" i="51"/>
  <c r="AK41" i="47"/>
  <c r="AE20" i="51"/>
  <c r="AL70" i="50"/>
  <c r="AD96" i="51"/>
  <c r="AC18" i="51"/>
  <c r="AC64" i="51"/>
  <c r="AL103" i="50"/>
  <c r="AI93" i="50"/>
  <c r="AD77" i="51"/>
  <c r="AI106" i="50"/>
  <c r="AJ74" i="50"/>
  <c r="AD69" i="51"/>
  <c r="AK69" i="50"/>
  <c r="AK81" i="50"/>
  <c r="AD27" i="51"/>
  <c r="AK10" i="50"/>
  <c r="AC97" i="51"/>
  <c r="AB41" i="51"/>
  <c r="AK32" i="50"/>
  <c r="AJ58" i="50"/>
  <c r="AL27" i="50"/>
  <c r="AH74" i="50"/>
  <c r="AD80" i="51"/>
  <c r="AE69" i="51"/>
  <c r="AB71" i="51"/>
  <c r="AK83" i="47"/>
  <c r="AK56" i="47"/>
  <c r="AK88" i="50"/>
  <c r="AL96" i="50"/>
  <c r="AK17" i="47"/>
  <c r="AF54" i="51"/>
  <c r="AF35" i="51"/>
  <c r="AC35" i="51"/>
  <c r="AL59" i="50"/>
  <c r="AL72" i="50"/>
  <c r="AL74" i="50"/>
  <c r="AJ40" i="50"/>
  <c r="AE53" i="51"/>
  <c r="AI41" i="50"/>
  <c r="AB31" i="51"/>
  <c r="AH27" i="50"/>
  <c r="AB97" i="51"/>
  <c r="AI38" i="50"/>
  <c r="AC9" i="51"/>
  <c r="AE91" i="51"/>
  <c r="AH87" i="50"/>
  <c r="AD103" i="51"/>
  <c r="AC47" i="51"/>
  <c r="AF86" i="51"/>
  <c r="AJ70" i="50"/>
  <c r="AL42" i="47"/>
  <c r="AL31" i="47"/>
  <c r="AL79" i="50"/>
  <c r="AF93" i="51"/>
  <c r="AH59" i="50"/>
  <c r="AL47" i="47"/>
  <c r="AF18" i="51"/>
  <c r="AD49" i="51"/>
  <c r="AE32" i="51"/>
  <c r="AI69" i="50"/>
  <c r="AL51" i="50"/>
  <c r="AD17" i="51"/>
  <c r="AK44" i="50"/>
  <c r="AF46" i="51"/>
  <c r="AF102" i="51"/>
  <c r="AK8" i="50"/>
  <c r="AK49" i="50"/>
  <c r="AC24" i="51"/>
  <c r="AB87" i="51"/>
  <c r="AC78" i="51"/>
  <c r="AC73" i="51"/>
  <c r="AE35" i="51"/>
  <c r="AJ75" i="50"/>
  <c r="AJ46" i="50"/>
  <c r="AD87" i="51"/>
  <c r="AJ56" i="50"/>
  <c r="AJ85" i="50"/>
  <c r="AJ103" i="50"/>
  <c r="AK81" i="47"/>
  <c r="AD18" i="51"/>
  <c r="AF16" i="51"/>
  <c r="AJ80" i="50"/>
  <c r="AJ36" i="50"/>
  <c r="AJ27" i="50"/>
  <c r="AH23" i="50"/>
  <c r="AK8" i="47"/>
  <c r="AB91" i="51"/>
  <c r="AF13" i="51"/>
  <c r="AJ83" i="50"/>
  <c r="AH71" i="50"/>
  <c r="AJ98" i="50"/>
  <c r="AH22" i="50"/>
  <c r="AJ21" i="50"/>
  <c r="AB42" i="51"/>
  <c r="AJ100" i="50"/>
  <c r="AF77" i="51"/>
  <c r="AE75" i="51"/>
  <c r="AC46" i="51"/>
  <c r="AJ71" i="50"/>
  <c r="AE19" i="51"/>
  <c r="AL30" i="47"/>
  <c r="AD55" i="51"/>
  <c r="AI91" i="50"/>
  <c r="AH68" i="50"/>
  <c r="AE68" i="51"/>
  <c r="AJ55" i="50"/>
  <c r="AL8" i="50"/>
  <c r="AK34" i="47"/>
  <c r="AK47" i="50"/>
  <c r="AL61" i="47"/>
  <c r="AF67" i="51"/>
  <c r="AB35" i="51"/>
  <c r="AD86" i="51"/>
  <c r="AL61" i="50"/>
  <c r="AK52" i="47"/>
  <c r="AK42" i="47"/>
  <c r="AI95" i="50"/>
  <c r="AD7" i="51"/>
  <c r="AC6" i="51"/>
  <c r="AC41" i="51"/>
  <c r="AF24" i="51"/>
  <c r="AH46" i="50"/>
  <c r="AK30" i="47"/>
  <c r="AF74" i="51"/>
  <c r="AJ9" i="50"/>
  <c r="AE17" i="51"/>
  <c r="AL31" i="50"/>
  <c r="AF70" i="51"/>
  <c r="AF48" i="51"/>
  <c r="AC62" i="51"/>
  <c r="AK98" i="47"/>
  <c r="AE93" i="51"/>
  <c r="AE18" i="51"/>
  <c r="AB67" i="51"/>
  <c r="AK16" i="47"/>
  <c r="AE57" i="51"/>
  <c r="AK13" i="50"/>
  <c r="AK77" i="47"/>
  <c r="AL7" i="50"/>
  <c r="AJ37" i="50"/>
  <c r="AD47" i="51"/>
  <c r="AL58" i="50"/>
  <c r="AL17" i="50"/>
  <c r="AH25" i="50"/>
  <c r="AB59" i="51"/>
  <c r="AD24" i="51"/>
  <c r="AL99" i="50"/>
  <c r="AI57" i="50"/>
  <c r="AK93" i="47"/>
  <c r="AD85" i="51"/>
  <c r="AB51" i="51"/>
  <c r="AF98" i="51"/>
  <c r="AD20" i="51"/>
  <c r="AK67" i="50"/>
  <c r="AK11" i="47"/>
  <c r="AI22" i="50"/>
  <c r="AB14" i="51"/>
  <c r="AL68" i="50"/>
  <c r="AH104" i="50"/>
  <c r="AI74" i="50"/>
  <c r="AL24" i="47"/>
  <c r="AJ14" i="50"/>
  <c r="AJ12" i="50"/>
  <c r="AL85" i="50"/>
  <c r="AJ38" i="50"/>
  <c r="AK61" i="47"/>
  <c r="AB74" i="51"/>
  <c r="AC80" i="51"/>
  <c r="AK87" i="47"/>
  <c r="AL30" i="50"/>
  <c r="AD73" i="51"/>
  <c r="AF11" i="51"/>
  <c r="AK64" i="50"/>
  <c r="AK40" i="50"/>
  <c r="AK36" i="50"/>
  <c r="AK99" i="50"/>
  <c r="AD33" i="51"/>
  <c r="AD98" i="51"/>
  <c r="AK18" i="47"/>
  <c r="AC10" i="51"/>
  <c r="AK59" i="47"/>
  <c r="AK12" i="47"/>
  <c r="AK12" i="50"/>
  <c r="AK92" i="50"/>
  <c r="AD36" i="51"/>
  <c r="AH50" i="50"/>
  <c r="AL46" i="47"/>
  <c r="AC72" i="51"/>
  <c r="AL68" i="47"/>
  <c r="AB56" i="51"/>
  <c r="AI17" i="50"/>
  <c r="AJ16" i="50"/>
  <c r="AD56" i="51"/>
  <c r="AJ22" i="50"/>
  <c r="AB81" i="51"/>
  <c r="AB80" i="51"/>
  <c r="AK6" i="47"/>
  <c r="AC90" i="51"/>
  <c r="AL87" i="50"/>
  <c r="AB62" i="51"/>
  <c r="AD29" i="51"/>
  <c r="AH61" i="50"/>
  <c r="AB19" i="51"/>
  <c r="AF94" i="51"/>
  <c r="AK38" i="47"/>
  <c r="AD76" i="51"/>
  <c r="AI42" i="50"/>
  <c r="AF9" i="51"/>
  <c r="AB46" i="51"/>
  <c r="AL39" i="47"/>
  <c r="AJ53" i="50"/>
  <c r="AI29" i="50"/>
  <c r="AF17" i="51"/>
  <c r="AB70" i="51"/>
  <c r="AL16" i="47"/>
  <c r="AC94" i="51"/>
  <c r="AH73" i="50"/>
  <c r="AJ25" i="50"/>
  <c r="AF83" i="51"/>
  <c r="AK44" i="47"/>
  <c r="AE13" i="51"/>
  <c r="AK9" i="50"/>
  <c r="AK51" i="47"/>
  <c r="AB103" i="51"/>
  <c r="AF36" i="51"/>
  <c r="AF68" i="51"/>
  <c r="AF76" i="51"/>
  <c r="AK20" i="50"/>
  <c r="AK79" i="47"/>
  <c r="AD91" i="51"/>
  <c r="AD74" i="51"/>
  <c r="AH43" i="50"/>
  <c r="AI65" i="50"/>
  <c r="AK39" i="50"/>
  <c r="AH37" i="50"/>
  <c r="AL57" i="47"/>
  <c r="AE9" i="51"/>
  <c r="AJ32" i="50"/>
  <c r="AL95" i="50"/>
  <c r="AK33" i="47"/>
  <c r="AI55" i="50"/>
  <c r="AJ35" i="50"/>
  <c r="AK106" i="50"/>
  <c r="AH99" i="50"/>
  <c r="AK47" i="47"/>
  <c r="AK30" i="50"/>
  <c r="AC27" i="51"/>
  <c r="AK80" i="47"/>
  <c r="AH11" i="50"/>
  <c r="AF62" i="51"/>
  <c r="AI63" i="50"/>
  <c r="AJ33" i="50"/>
  <c r="AC34" i="51"/>
  <c r="AK23" i="47"/>
  <c r="AK70" i="50"/>
  <c r="AI90" i="50"/>
  <c r="AK60" i="47"/>
  <c r="AI35" i="50"/>
  <c r="AK98" i="50"/>
  <c r="AL23" i="50"/>
  <c r="AD104" i="51"/>
  <c r="AJ50" i="50"/>
  <c r="AI53" i="50"/>
  <c r="AE34" i="51"/>
  <c r="AB13" i="51"/>
  <c r="AE5" i="51"/>
  <c r="AJ60" i="50"/>
  <c r="AJ73" i="50"/>
  <c r="AE74" i="51"/>
  <c r="AF56" i="51"/>
  <c r="AJ41" i="50"/>
  <c r="AB32" i="51"/>
  <c r="AE21" i="51"/>
  <c r="AI64" i="50"/>
  <c r="AH64" i="50"/>
  <c r="AE73" i="51"/>
  <c r="AI60" i="50"/>
  <c r="AD8" i="51"/>
  <c r="AJ86" i="50"/>
  <c r="AJ87" i="50"/>
  <c r="AF75" i="51"/>
  <c r="AI100" i="50"/>
  <c r="AK54" i="50"/>
  <c r="AF80" i="51"/>
  <c r="AK24" i="50"/>
  <c r="AI105" i="50"/>
  <c r="AK39" i="47"/>
  <c r="AD15" i="51"/>
  <c r="AH15" i="50"/>
  <c r="AJ45" i="50"/>
  <c r="AI21" i="50"/>
  <c r="AD93" i="51"/>
  <c r="AK86" i="50"/>
  <c r="AC100" i="51"/>
  <c r="AK103" i="50"/>
  <c r="AC52" i="51"/>
  <c r="AF25" i="51"/>
  <c r="AI46" i="50"/>
  <c r="AK46" i="50"/>
  <c r="AD54" i="51"/>
  <c r="AK74" i="47"/>
  <c r="AI45" i="50"/>
  <c r="AL60" i="50"/>
  <c r="AK20" i="47"/>
  <c r="AK24" i="47"/>
  <c r="AC29" i="51"/>
  <c r="AD95" i="51"/>
  <c r="AL55" i="50"/>
  <c r="AJ49" i="50"/>
  <c r="AD40" i="51"/>
  <c r="AK93" i="50"/>
  <c r="AH93" i="50"/>
  <c r="AI89" i="50"/>
  <c r="AK75" i="50"/>
  <c r="AL12" i="50"/>
  <c r="AE61" i="51"/>
  <c r="AI54" i="50"/>
  <c r="AC96" i="51"/>
  <c r="AL38" i="50"/>
  <c r="AB64" i="51"/>
  <c r="AL40" i="47"/>
  <c r="AB75" i="51"/>
  <c r="AB101" i="51"/>
  <c r="AL10" i="50"/>
  <c r="AF99" i="51"/>
  <c r="AE95" i="51"/>
  <c r="AE27" i="51"/>
  <c r="AC30" i="51"/>
  <c r="AK14" i="47"/>
  <c r="AL14" i="50"/>
  <c r="AL101" i="50"/>
  <c r="AL45" i="50"/>
  <c r="AC7" i="51"/>
  <c r="AL28" i="47"/>
  <c r="AK34" i="50"/>
  <c r="AB65" i="51"/>
  <c r="AL36" i="50"/>
  <c r="AF79" i="51"/>
  <c r="AB17" i="51"/>
  <c r="AL25" i="50"/>
  <c r="AL20" i="50"/>
  <c r="AD94" i="51"/>
  <c r="AH51" i="50"/>
  <c r="AC93" i="51"/>
  <c r="AB34" i="51"/>
  <c r="AL44" i="47"/>
  <c r="AJ105" i="50"/>
  <c r="AF43" i="51"/>
  <c r="AI86" i="50"/>
  <c r="AK85" i="47"/>
  <c r="AK79" i="50"/>
  <c r="AE50" i="51"/>
  <c r="AJ29" i="50"/>
  <c r="AB52" i="51"/>
  <c r="AI8" i="50"/>
  <c r="AE45" i="51"/>
  <c r="AJ63" i="50"/>
  <c r="AL43" i="47"/>
  <c r="AF30" i="51"/>
  <c r="AE14" i="51"/>
  <c r="AH66" i="50"/>
  <c r="AE26" i="51"/>
  <c r="AK89" i="50"/>
  <c r="AJ19" i="50"/>
  <c r="AH53" i="50"/>
  <c r="AL26" i="47"/>
  <c r="AK7" i="50"/>
  <c r="AI56" i="50"/>
  <c r="AH39" i="50"/>
  <c r="AC31" i="51"/>
  <c r="AB66" i="51"/>
  <c r="AF95" i="51"/>
  <c r="AI16" i="50"/>
  <c r="AK100" i="50"/>
  <c r="AJ96" i="50"/>
  <c r="AE41" i="51"/>
  <c r="AL26" i="50"/>
  <c r="AD42" i="51"/>
  <c r="AF52" i="51"/>
  <c r="AF34" i="51"/>
  <c r="AL67" i="47"/>
  <c r="AD88" i="51"/>
  <c r="AF14" i="51"/>
  <c r="AH92" i="50"/>
  <c r="AL18" i="47"/>
  <c r="AB73" i="51"/>
  <c r="AD41" i="51"/>
  <c r="AH77" i="50"/>
  <c r="AK35" i="47"/>
  <c r="AH70" i="50"/>
  <c r="AF37" i="51"/>
  <c r="AL71" i="50"/>
  <c r="AI36" i="50"/>
  <c r="AK58" i="50"/>
  <c r="AC36" i="51"/>
  <c r="AD16" i="51"/>
  <c r="AK45" i="47"/>
  <c r="AB57" i="51"/>
  <c r="AC15" i="51"/>
  <c r="AI48" i="50"/>
  <c r="AF65" i="51"/>
  <c r="AK95" i="47"/>
  <c r="AC22" i="51"/>
  <c r="AE76" i="51"/>
  <c r="AC101" i="51"/>
  <c r="AI76" i="50"/>
  <c r="AE98" i="51"/>
  <c r="AI79" i="50"/>
  <c r="AF20" i="51"/>
  <c r="AF22" i="51"/>
  <c r="AE87" i="51"/>
  <c r="AK66" i="50"/>
  <c r="AK102" i="47"/>
  <c r="AI23" i="50"/>
  <c r="AF12" i="51"/>
  <c r="AJ95" i="50"/>
  <c r="AL24" i="50"/>
  <c r="AE62" i="51"/>
  <c r="AK11" i="50"/>
  <c r="AI25" i="50"/>
  <c r="AD11" i="51"/>
  <c r="AD65" i="51"/>
  <c r="AF72" i="51"/>
  <c r="AH40" i="50"/>
  <c r="AK63" i="47"/>
  <c r="AL63" i="50"/>
  <c r="AE33" i="51"/>
  <c r="AC68" i="51"/>
  <c r="AC42" i="51"/>
  <c r="AL52" i="50"/>
  <c r="AK35" i="50"/>
  <c r="AK50" i="47"/>
  <c r="AL60" i="47"/>
  <c r="AK37" i="50"/>
  <c r="AB99" i="51"/>
  <c r="AC76" i="51"/>
  <c r="AI37" i="50"/>
  <c r="AF90" i="51"/>
  <c r="AI62" i="50"/>
  <c r="AL81" i="50"/>
  <c r="AD89" i="51"/>
  <c r="AL7" i="47"/>
  <c r="AI102" i="50"/>
  <c r="AL62" i="50"/>
  <c r="AD19" i="51"/>
  <c r="AE101" i="51"/>
  <c r="AH41" i="50"/>
  <c r="AL62" i="47"/>
  <c r="AF33" i="51"/>
  <c r="AJ92" i="50"/>
  <c r="AI88" i="50"/>
  <c r="AC84" i="51"/>
  <c r="AK55" i="47"/>
  <c r="AL69" i="47"/>
  <c r="AH30" i="50"/>
  <c r="AE23" i="51"/>
  <c r="AH45" i="50"/>
  <c r="AH31" i="50"/>
  <c r="AI18" i="50"/>
  <c r="AH85" i="50"/>
  <c r="AI33" i="50"/>
  <c r="AC83" i="51"/>
  <c r="AC81" i="51"/>
  <c r="AH91" i="50"/>
  <c r="AH63" i="50"/>
  <c r="AJ67" i="50"/>
  <c r="AH33" i="50"/>
  <c r="AB83" i="51"/>
  <c r="AD51" i="51"/>
  <c r="AE30" i="51"/>
  <c r="AH32" i="50"/>
  <c r="AE82" i="51"/>
  <c r="AE6" i="51"/>
  <c r="AF61" i="51"/>
  <c r="AE48" i="51"/>
  <c r="AD6" i="51"/>
  <c r="AK51" i="50"/>
  <c r="AC59" i="51"/>
  <c r="AK67" i="47"/>
  <c r="AJ20" i="50"/>
  <c r="AD67" i="51"/>
  <c r="AB63" i="51"/>
  <c r="AK99" i="47"/>
  <c r="AL45" i="47"/>
  <c r="AF53" i="51"/>
  <c r="AL78" i="50"/>
  <c r="AI28" i="50"/>
  <c r="AD35" i="51"/>
  <c r="AK22" i="50"/>
  <c r="AH7" i="50"/>
  <c r="AD100" i="51"/>
  <c r="AC38" i="51"/>
  <c r="AD71" i="51"/>
  <c r="AJ64" i="50"/>
  <c r="AI39" i="50"/>
  <c r="AC37" i="51"/>
  <c r="AH69" i="50"/>
  <c r="AB10" i="51"/>
  <c r="AK53" i="47"/>
  <c r="AC63" i="51"/>
  <c r="AH102" i="50"/>
  <c r="AL88" i="50"/>
  <c r="AE28" i="51"/>
  <c r="AJ94" i="50"/>
  <c r="AK52" i="50"/>
  <c r="AF96" i="51"/>
  <c r="AK61" i="50"/>
  <c r="AD10" i="51"/>
  <c r="AF31" i="51"/>
  <c r="AK102" i="50"/>
  <c r="AI77" i="50"/>
  <c r="AC25" i="51"/>
  <c r="AC57" i="51"/>
  <c r="AC14" i="51"/>
  <c r="AK48" i="50"/>
  <c r="AF82" i="51"/>
  <c r="AK84" i="47"/>
  <c r="AC45" i="51"/>
  <c r="AB43" i="51"/>
  <c r="AK97" i="47"/>
  <c r="AI66" i="50"/>
  <c r="AL19" i="50"/>
  <c r="AL54" i="50"/>
  <c r="AL56" i="50"/>
  <c r="AE42" i="51"/>
  <c r="AE12" i="51"/>
  <c r="AK26" i="50"/>
  <c r="AC13" i="51"/>
  <c r="AI94" i="50"/>
  <c r="AF103" i="51"/>
  <c r="AE51" i="51"/>
  <c r="AC89" i="51"/>
  <c r="AH62" i="50"/>
  <c r="AK9" i="47"/>
  <c r="AB18" i="51"/>
  <c r="AL73" i="50"/>
  <c r="AL104" i="50"/>
  <c r="AF71" i="51"/>
  <c r="AJ97" i="50"/>
  <c r="AB7" i="51"/>
  <c r="AK103" i="47"/>
  <c r="AE37" i="51"/>
  <c r="AK70" i="47"/>
  <c r="AL27" i="47"/>
  <c r="AK5" i="47"/>
  <c r="AD48" i="51"/>
  <c r="AB24" i="51"/>
  <c r="AF87" i="51"/>
  <c r="AC95" i="51"/>
  <c r="AD81" i="51"/>
  <c r="AB94" i="51"/>
  <c r="AK77" i="50"/>
  <c r="AL63" i="47"/>
  <c r="AK86" i="47"/>
  <c r="AC60" i="51"/>
  <c r="AK25" i="47"/>
  <c r="AJ10" i="50"/>
  <c r="AI34" i="50"/>
  <c r="AJ18" i="50"/>
  <c r="AD97" i="51"/>
  <c r="AK31" i="50"/>
  <c r="AH20" i="50"/>
  <c r="AH55" i="50"/>
  <c r="AE85" i="51"/>
  <c r="AH17" i="50"/>
  <c r="AC82" i="51"/>
  <c r="AJ42" i="50"/>
  <c r="AD57" i="51"/>
  <c r="AD25" i="51"/>
  <c r="AF57" i="51"/>
  <c r="AI61" i="50"/>
  <c r="AC54" i="51"/>
  <c r="AK62" i="50"/>
  <c r="AC5" i="51"/>
  <c r="AE67" i="51"/>
  <c r="AD45" i="51"/>
  <c r="AL12" i="47"/>
  <c r="AC69" i="51"/>
  <c r="AB96" i="51"/>
  <c r="AE102" i="51"/>
  <c r="AC55" i="51"/>
  <c r="AK105" i="50"/>
  <c r="AJ39" i="50"/>
  <c r="AC56" i="51"/>
  <c r="AF5" i="51"/>
  <c r="AC17" i="51"/>
  <c r="AC98" i="51"/>
  <c r="AF39" i="51"/>
  <c r="AE65" i="51"/>
  <c r="AF89" i="51"/>
  <c r="AH86" i="50"/>
  <c r="AC44" i="51"/>
  <c r="AL9" i="47"/>
  <c r="AB49" i="51"/>
  <c r="AL86" i="50"/>
  <c r="AJ8" i="50"/>
  <c r="AH80" i="50"/>
  <c r="AK87" i="50"/>
  <c r="AK33" i="50"/>
  <c r="AK58" i="47"/>
  <c r="AH44" i="50"/>
  <c r="AK63" i="50"/>
  <c r="AL90" i="50"/>
  <c r="AB88" i="51"/>
  <c r="AK101" i="50"/>
  <c r="AE104" i="51"/>
  <c r="AI14" i="50"/>
  <c r="AL21" i="47"/>
  <c r="AE46" i="51"/>
  <c r="AL65" i="47"/>
  <c r="AF10" i="51"/>
  <c r="AD102" i="51"/>
  <c r="AB8" i="51"/>
  <c r="AE72" i="51"/>
  <c r="AL17" i="47"/>
  <c r="AE96" i="51"/>
  <c r="AE79" i="51"/>
  <c r="AH12" i="50"/>
  <c r="AB21" i="51"/>
  <c r="AL100" i="50"/>
  <c r="AK60" i="50"/>
  <c r="AL64" i="47"/>
  <c r="AI68" i="50"/>
  <c r="AJ69" i="50"/>
  <c r="AK91" i="50"/>
  <c r="AF78" i="51"/>
  <c r="AJ76" i="50"/>
  <c r="AC74" i="51"/>
  <c r="AD101" i="51"/>
  <c r="AB9" i="51"/>
  <c r="AL52" i="47"/>
  <c r="AJ28" i="50"/>
  <c r="AK80" i="50"/>
  <c r="AK72" i="50"/>
  <c r="AC88" i="51"/>
  <c r="AF15" i="51"/>
  <c r="AD92" i="51"/>
  <c r="AJ34" i="50"/>
  <c r="AK82" i="50"/>
  <c r="AK73" i="47"/>
  <c r="AD37" i="51"/>
  <c r="AC49" i="51"/>
  <c r="AE22" i="51"/>
  <c r="AL77" i="50"/>
  <c r="AL4" i="47"/>
  <c r="AD62" i="51"/>
  <c r="AC71" i="51"/>
  <c r="AK100" i="47"/>
  <c r="AH18" i="50"/>
  <c r="AB76" i="51"/>
  <c r="AM100" i="47" l="1"/>
  <c r="AM73" i="47"/>
  <c r="AM58" i="47"/>
  <c r="AM25" i="47"/>
  <c r="AM86" i="47"/>
  <c r="AM5" i="47"/>
  <c r="AM70" i="47"/>
  <c r="AM103" i="47"/>
  <c r="AM9" i="47"/>
  <c r="AM97" i="47"/>
  <c r="AM84" i="47"/>
  <c r="AM53" i="47"/>
  <c r="AM99" i="47"/>
  <c r="AM67" i="47"/>
  <c r="AM55" i="47"/>
  <c r="AM50" i="47"/>
  <c r="AM63" i="47"/>
  <c r="AM102" i="47"/>
  <c r="AM95" i="47"/>
  <c r="AM45" i="47"/>
  <c r="AM35" i="47"/>
  <c r="AM85" i="47"/>
  <c r="AM14" i="47"/>
  <c r="AM24" i="47"/>
  <c r="AM20" i="47"/>
  <c r="AM74" i="47"/>
  <c r="AM39" i="47"/>
  <c r="AM60" i="47"/>
  <c r="AM23" i="47"/>
  <c r="AM80" i="47"/>
  <c r="AM47" i="47"/>
  <c r="AM33" i="47"/>
  <c r="AM79" i="47"/>
  <c r="AM51" i="47"/>
  <c r="AM44" i="47"/>
  <c r="AM38" i="47"/>
  <c r="AM6" i="47"/>
  <c r="AM12" i="47"/>
  <c r="AM59" i="47"/>
  <c r="AM18" i="47"/>
  <c r="AM87" i="47"/>
  <c r="AM61" i="47"/>
  <c r="AM11" i="47"/>
  <c r="AM93" i="47"/>
  <c r="AM77" i="47"/>
  <c r="AM16" i="47"/>
  <c r="AM98" i="47"/>
  <c r="AM30" i="47"/>
  <c r="AM42" i="47"/>
  <c r="AM52" i="47"/>
  <c r="AM34" i="47"/>
  <c r="AM8" i="47"/>
  <c r="AM81" i="47"/>
  <c r="AM17" i="47"/>
  <c r="AM56" i="47"/>
  <c r="AM83" i="47"/>
  <c r="AM41" i="47"/>
  <c r="AM65" i="47"/>
  <c r="AM71" i="47"/>
  <c r="AM26" i="47"/>
  <c r="AM89" i="47"/>
  <c r="AM15" i="47"/>
  <c r="AM4" i="47"/>
  <c r="AM49" i="47"/>
  <c r="AM54" i="47"/>
  <c r="AM68" i="47"/>
  <c r="AM40" i="47"/>
  <c r="AM28" i="47"/>
  <c r="AM36" i="47"/>
  <c r="AM37" i="47"/>
  <c r="AM90" i="47"/>
  <c r="AM101" i="47"/>
  <c r="AM10" i="47"/>
  <c r="AM76" i="47"/>
  <c r="AM72" i="47"/>
  <c r="AM48" i="47"/>
  <c r="AM92" i="47"/>
  <c r="AM27" i="47"/>
  <c r="AM78" i="47"/>
  <c r="AM64" i="47"/>
  <c r="AM21" i="47"/>
  <c r="AM94" i="47"/>
  <c r="AM75" i="47"/>
  <c r="AM13" i="47"/>
  <c r="AM57" i="47"/>
  <c r="AM88" i="47"/>
  <c r="AM66" i="47"/>
  <c r="AM69" i="47"/>
  <c r="AM32" i="47"/>
  <c r="AM82" i="47"/>
  <c r="AM7" i="47"/>
  <c r="AM62" i="47"/>
  <c r="AM46" i="47"/>
  <c r="AM19" i="47"/>
  <c r="AM43" i="47"/>
  <c r="AM22" i="47"/>
  <c r="AM96" i="47"/>
  <c r="AM91" i="47"/>
  <c r="AM29" i="47"/>
  <c r="AM31" i="47"/>
  <c r="BF9" i="91"/>
  <c r="BH9" i="91"/>
  <c r="BG9" i="91"/>
  <c r="BI9" i="91"/>
  <c r="BE9" i="91"/>
  <c r="BB9" i="91"/>
  <c r="AM9" i="91"/>
  <c r="AR9" i="91" s="1"/>
  <c r="AJ9" i="91"/>
  <c r="AO9" i="91" s="1"/>
  <c r="AT9" i="91" s="1"/>
  <c r="AY9" i="91"/>
  <c r="AI9" i="91"/>
  <c r="AN9" i="91" s="1"/>
  <c r="AS9" i="91" s="1"/>
  <c r="AX9" i="91"/>
  <c r="AK9" i="91"/>
  <c r="AP9" i="91" s="1"/>
  <c r="AZ9" i="91"/>
  <c r="AT8" i="91"/>
  <c r="BA9" i="91"/>
  <c r="AL9" i="91"/>
  <c r="AQ9" i="91" s="1"/>
  <c r="AU8" i="91"/>
  <c r="AP62" i="18"/>
  <c r="AP69" i="18"/>
  <c r="AO75" i="18"/>
  <c r="AN81" i="18"/>
  <c r="AO64" i="18"/>
  <c r="AQ67" i="18"/>
  <c r="AP68" i="18"/>
  <c r="AQ70" i="18"/>
  <c r="AQ71" i="18"/>
  <c r="AP75" i="18"/>
  <c r="AN54" i="18"/>
  <c r="AQ56" i="18"/>
  <c r="AO57" i="18"/>
  <c r="AN58" i="18"/>
  <c r="AQ60" i="18"/>
  <c r="AO61" i="18"/>
  <c r="AQ63" i="18"/>
  <c r="BI10" i="91" l="1"/>
  <c r="BG10" i="91"/>
  <c r="BH10" i="91"/>
  <c r="BF10" i="91"/>
  <c r="BE10" i="91"/>
  <c r="AI10" i="91"/>
  <c r="AN10" i="91" s="1"/>
  <c r="AX10" i="91"/>
  <c r="AK10" i="91"/>
  <c r="AP10" i="91" s="1"/>
  <c r="AZ10" i="91"/>
  <c r="AV9" i="91"/>
  <c r="AU9" i="91"/>
  <c r="BA10" i="91"/>
  <c r="AL10" i="91"/>
  <c r="AQ10" i="91" s="1"/>
  <c r="AJ10" i="91"/>
  <c r="AO10" i="91" s="1"/>
  <c r="AY10" i="91"/>
  <c r="AM10" i="91"/>
  <c r="AR10" i="91" s="1"/>
  <c r="BB10" i="91"/>
  <c r="AW9" i="91"/>
  <c r="AN70" i="18"/>
  <c r="AP67" i="18"/>
  <c r="AN63" i="18"/>
  <c r="AP60" i="18"/>
  <c r="AO73" i="18"/>
  <c r="AN62" i="18"/>
  <c r="AQ54" i="18"/>
  <c r="AP76" i="18"/>
  <c r="AP64" i="18"/>
  <c r="AP57" i="18"/>
  <c r="AP81" i="18"/>
  <c r="AN76" i="18"/>
  <c r="J62" i="18"/>
  <c r="AO62" i="18"/>
  <c r="J61" i="18"/>
  <c r="J60" i="18"/>
  <c r="J59" i="18"/>
  <c r="AN59" i="18"/>
  <c r="J58" i="18"/>
  <c r="AO58" i="18"/>
  <c r="J57" i="18"/>
  <c r="J56" i="18"/>
  <c r="J55" i="18"/>
  <c r="AN55" i="18"/>
  <c r="J54" i="18"/>
  <c r="J53" i="18"/>
  <c r="AQ78" i="18"/>
  <c r="J77" i="18"/>
  <c r="J76" i="18"/>
  <c r="AO76" i="18"/>
  <c r="J75" i="18"/>
  <c r="AQ75" i="18"/>
  <c r="J74" i="18"/>
  <c r="J73" i="18"/>
  <c r="AN73" i="18"/>
  <c r="J72" i="18"/>
  <c r="AP72" i="18"/>
  <c r="J71" i="18"/>
  <c r="J70" i="18"/>
  <c r="J69" i="18"/>
  <c r="AO69" i="18"/>
  <c r="J68" i="18"/>
  <c r="AQ68" i="18"/>
  <c r="J67" i="18"/>
  <c r="AN67" i="18"/>
  <c r="J66" i="18"/>
  <c r="AN66" i="18"/>
  <c r="J65" i="18"/>
  <c r="AP65" i="18"/>
  <c r="J64" i="18"/>
  <c r="AQ64" i="18"/>
  <c r="J63" i="18"/>
  <c r="J82" i="18"/>
  <c r="J81" i="18"/>
  <c r="AO81" i="18"/>
  <c r="J80" i="18"/>
  <c r="J79" i="18"/>
  <c r="AN79" i="18"/>
  <c r="J78" i="18"/>
  <c r="AO83" i="18"/>
  <c r="AN83" i="18"/>
  <c r="AQ82" i="18"/>
  <c r="AM81" i="18"/>
  <c r="AM79" i="18"/>
  <c r="AM77" i="18"/>
  <c r="AM76" i="18"/>
  <c r="AM73" i="18"/>
  <c r="AN69" i="18"/>
  <c r="AM69" i="18"/>
  <c r="AM67" i="18"/>
  <c r="AO65" i="18"/>
  <c r="AM62" i="18"/>
  <c r="AM60" i="18"/>
  <c r="AM55" i="18"/>
  <c r="AO80" i="18"/>
  <c r="AQ73" i="18"/>
  <c r="AO71" i="18"/>
  <c r="AO67" i="18"/>
  <c r="AQ66" i="18"/>
  <c r="AO60" i="18"/>
  <c r="AP54" i="18"/>
  <c r="AQ80" i="18"/>
  <c r="AO72" i="18"/>
  <c r="AP80" i="18"/>
  <c r="AO78" i="18"/>
  <c r="AP79" i="18"/>
  <c r="AP77" i="18"/>
  <c r="AO74" i="18"/>
  <c r="AO63" i="18"/>
  <c r="AQ58" i="18"/>
  <c r="AO56" i="18"/>
  <c r="AP55" i="18"/>
  <c r="AO54" i="18"/>
  <c r="AO66" i="18"/>
  <c r="AQ61" i="18"/>
  <c r="BF11" i="91" l="1"/>
  <c r="BH11" i="91"/>
  <c r="BG11" i="91"/>
  <c r="BI11" i="91"/>
  <c r="BE11" i="91"/>
  <c r="AT10" i="91"/>
  <c r="AU10" i="91"/>
  <c r="AV10" i="91"/>
  <c r="AM11" i="91"/>
  <c r="AR11" i="91" s="1"/>
  <c r="AW11" i="91" s="1"/>
  <c r="BB11" i="91"/>
  <c r="AJ11" i="91"/>
  <c r="AO11" i="91" s="1"/>
  <c r="AT11" i="91" s="1"/>
  <c r="AY11" i="91"/>
  <c r="AS10" i="91"/>
  <c r="BA11" i="91"/>
  <c r="AL11" i="91"/>
  <c r="AQ11" i="91" s="1"/>
  <c r="AV11" i="91" s="1"/>
  <c r="AW10" i="91"/>
  <c r="AK11" i="91"/>
  <c r="AP11" i="91" s="1"/>
  <c r="AZ11" i="91"/>
  <c r="AI11" i="91"/>
  <c r="AN11" i="91" s="1"/>
  <c r="AS11" i="91" s="1"/>
  <c r="AX11" i="91"/>
  <c r="AN56" i="18"/>
  <c r="AQ83" i="18"/>
  <c r="AU57" i="18"/>
  <c r="AW61" i="18"/>
  <c r="AU63" i="18"/>
  <c r="AU66" i="18"/>
  <c r="AW76" i="18"/>
  <c r="AW82" i="18"/>
  <c r="AU55" i="18"/>
  <c r="AW77" i="18"/>
  <c r="AW68" i="18"/>
  <c r="AW65" i="18"/>
  <c r="AV58" i="18"/>
  <c r="AT63" i="18"/>
  <c r="AX71" i="18"/>
  <c r="AV76" i="18"/>
  <c r="AX68" i="18"/>
  <c r="AT74" i="18"/>
  <c r="AU67" i="18"/>
  <c r="AT55" i="18"/>
  <c r="AX64" i="18"/>
  <c r="AT81" i="18"/>
  <c r="AT71" i="18"/>
  <c r="AT77" i="18"/>
  <c r="AT70" i="18"/>
  <c r="AT80" i="18"/>
  <c r="AU59" i="18"/>
  <c r="AV62" i="18"/>
  <c r="AW69" i="18"/>
  <c r="AU56" i="18"/>
  <c r="AV65" i="18"/>
  <c r="AU70" i="18"/>
  <c r="AX83" i="18"/>
  <c r="AO55" i="18"/>
  <c r="AP58" i="18"/>
  <c r="AO59" i="18"/>
  <c r="AQ65" i="18"/>
  <c r="AQ72" i="18"/>
  <c r="AN74" i="18"/>
  <c r="AO77" i="18"/>
  <c r="AO79" i="18"/>
  <c r="AP78" i="18"/>
  <c r="AM57" i="18"/>
  <c r="AP59" i="18"/>
  <c r="AQ62" i="18"/>
  <c r="AM64" i="18"/>
  <c r="AP66" i="18"/>
  <c r="AM68" i="18"/>
  <c r="AQ69" i="18"/>
  <c r="AO70" i="18"/>
  <c r="AN71" i="18"/>
  <c r="AP73" i="18"/>
  <c r="AM75" i="18"/>
  <c r="AQ76" i="18"/>
  <c r="AM78" i="18"/>
  <c r="AN80" i="18"/>
  <c r="AQ81" i="18"/>
  <c r="AN82" i="18"/>
  <c r="AM58" i="18"/>
  <c r="AN61" i="18"/>
  <c r="AN65" i="18"/>
  <c r="AP71" i="18"/>
  <c r="AQ74" i="18"/>
  <c r="AM59" i="18"/>
  <c r="AQ55" i="18"/>
  <c r="AP56" i="18"/>
  <c r="AN57" i="18"/>
  <c r="AQ59" i="18"/>
  <c r="AM61" i="18"/>
  <c r="AP63" i="18"/>
  <c r="AN64" i="18"/>
  <c r="AM65" i="18"/>
  <c r="AN68" i="18"/>
  <c r="AP70" i="18"/>
  <c r="AM72" i="18"/>
  <c r="AP74" i="18"/>
  <c r="AN75" i="18"/>
  <c r="AQ77" i="18"/>
  <c r="AN78" i="18"/>
  <c r="AQ79" i="18"/>
  <c r="AO82" i="18"/>
  <c r="AM83" i="18"/>
  <c r="AO68" i="18"/>
  <c r="AN72" i="18"/>
  <c r="AP82" i="18"/>
  <c r="AM66" i="18"/>
  <c r="AM80" i="18"/>
  <c r="AM82" i="18"/>
  <c r="AP83" i="18"/>
  <c r="AM70" i="18"/>
  <c r="AM71" i="18"/>
  <c r="AM74" i="18"/>
  <c r="AN77" i="18"/>
  <c r="AM54" i="18"/>
  <c r="AM56" i="18"/>
  <c r="AQ57" i="18"/>
  <c r="AN60" i="18"/>
  <c r="AP61" i="18"/>
  <c r="AM63" i="18"/>
  <c r="BI12" i="91" l="1"/>
  <c r="BG12" i="91"/>
  <c r="BH12" i="91"/>
  <c r="BF12" i="91"/>
  <c r="BE12" i="91"/>
  <c r="BA12" i="91"/>
  <c r="AL12" i="91"/>
  <c r="AQ12" i="91" s="1"/>
  <c r="AJ12" i="91"/>
  <c r="AO12" i="91" s="1"/>
  <c r="AY12" i="91"/>
  <c r="AU11" i="91"/>
  <c r="AI12" i="91"/>
  <c r="AN12" i="91" s="1"/>
  <c r="AX12" i="91"/>
  <c r="AM12" i="91"/>
  <c r="AR12" i="91" s="1"/>
  <c r="BB12" i="91"/>
  <c r="AK12" i="91"/>
  <c r="AP12" i="91" s="1"/>
  <c r="AZ12" i="91"/>
  <c r="AU62" i="18"/>
  <c r="AV71" i="18"/>
  <c r="AX61" i="18"/>
  <c r="AX62" i="18"/>
  <c r="AU72" i="18"/>
  <c r="AT79" i="18"/>
  <c r="AX73" i="18"/>
  <c r="AX74" i="18"/>
  <c r="AX80" i="18"/>
  <c r="AT72" i="18"/>
  <c r="AV81" i="18"/>
  <c r="AX77" i="18"/>
  <c r="AW71" i="18"/>
  <c r="AT59" i="18"/>
  <c r="AT60" i="18"/>
  <c r="AT58" i="18"/>
  <c r="AV60" i="18"/>
  <c r="AV61" i="18"/>
  <c r="AV57" i="18"/>
  <c r="AV56" i="18"/>
  <c r="AV72" i="18"/>
  <c r="AV73" i="18"/>
  <c r="AU81" i="18"/>
  <c r="AT62" i="18"/>
  <c r="AW81" i="18"/>
  <c r="AW80" i="18"/>
  <c r="AX81" i="18"/>
  <c r="AT68" i="18"/>
  <c r="AT69" i="18"/>
  <c r="AX58" i="18"/>
  <c r="AX59" i="18"/>
  <c r="AX67" i="18"/>
  <c r="AX66" i="18"/>
  <c r="AV83" i="18"/>
  <c r="AV68" i="18"/>
  <c r="AV78" i="18"/>
  <c r="AV75" i="18"/>
  <c r="AV74" i="18"/>
  <c r="AV66" i="18"/>
  <c r="AV67" i="18"/>
  <c r="AW55" i="18"/>
  <c r="AT65" i="18"/>
  <c r="AT66" i="18"/>
  <c r="AV63" i="18"/>
  <c r="AV64" i="18"/>
  <c r="AU83" i="18"/>
  <c r="AT83" i="18"/>
  <c r="AV80" i="18"/>
  <c r="AW56" i="18"/>
  <c r="AX70" i="18"/>
  <c r="AT75" i="18"/>
  <c r="AU69" i="18"/>
  <c r="AW58" i="18"/>
  <c r="AW67" i="18"/>
  <c r="AW73" i="18"/>
  <c r="AX56" i="18"/>
  <c r="AW79" i="18"/>
  <c r="AW64" i="18"/>
  <c r="AU78" i="18"/>
  <c r="AU75" i="18"/>
  <c r="AW62" i="18"/>
  <c r="AU60" i="18"/>
  <c r="AX57" i="18"/>
  <c r="AT56" i="18"/>
  <c r="AU77" i="18"/>
  <c r="AT82" i="18"/>
  <c r="AT67" i="18"/>
  <c r="AW83" i="18"/>
  <c r="AU73" i="18"/>
  <c r="AV69" i="18"/>
  <c r="AV82" i="18"/>
  <c r="AX79" i="18"/>
  <c r="AU79" i="18"/>
  <c r="AX78" i="18"/>
  <c r="AU76" i="18"/>
  <c r="AW75" i="18"/>
  <c r="AT73" i="18"/>
  <c r="AW70" i="18"/>
  <c r="AU68" i="18"/>
  <c r="AU64" i="18"/>
  <c r="AW63" i="18"/>
  <c r="AT61" i="18"/>
  <c r="AX60" i="18"/>
  <c r="AU58" i="18"/>
  <c r="AW57" i="18"/>
  <c r="AX55" i="18"/>
  <c r="AX75" i="18"/>
  <c r="AW72" i="18"/>
  <c r="AU65" i="18"/>
  <c r="AU61" i="18"/>
  <c r="AU82" i="18"/>
  <c r="AX82" i="18"/>
  <c r="AU80" i="18"/>
  <c r="AT78" i="18"/>
  <c r="AX76" i="18"/>
  <c r="AT76" i="18"/>
  <c r="AW74" i="18"/>
  <c r="AU71" i="18"/>
  <c r="AV70" i="18"/>
  <c r="AX69" i="18"/>
  <c r="AW66" i="18"/>
  <c r="AT64" i="18"/>
  <c r="AX63" i="18"/>
  <c r="AW60" i="18"/>
  <c r="AT57" i="18"/>
  <c r="AW78" i="18"/>
  <c r="AV79" i="18"/>
  <c r="AV77" i="18"/>
  <c r="AU74" i="18"/>
  <c r="AX72" i="18"/>
  <c r="AX65" i="18"/>
  <c r="AV59" i="18"/>
  <c r="AW59" i="18"/>
  <c r="AV55" i="18"/>
  <c r="BF13" i="91" l="1"/>
  <c r="BH13" i="91"/>
  <c r="BG13" i="91"/>
  <c r="BI13" i="91"/>
  <c r="BE13" i="91"/>
  <c r="AI13" i="91"/>
  <c r="AN13" i="91" s="1"/>
  <c r="AX13" i="91"/>
  <c r="BA13" i="91"/>
  <c r="AL13" i="91"/>
  <c r="AQ13" i="91" s="1"/>
  <c r="AV13" i="91" s="1"/>
  <c r="AV12" i="91"/>
  <c r="AS12" i="91"/>
  <c r="AK13" i="91"/>
  <c r="AP13" i="91" s="1"/>
  <c r="AU13" i="91" s="1"/>
  <c r="AZ13" i="91"/>
  <c r="AU12" i="91"/>
  <c r="AM13" i="91"/>
  <c r="AR13" i="91" s="1"/>
  <c r="AW13" i="91" s="1"/>
  <c r="BB13" i="91"/>
  <c r="AJ13" i="91"/>
  <c r="AO13" i="91" s="1"/>
  <c r="AT13" i="91" s="1"/>
  <c r="AY13" i="91"/>
  <c r="AW12" i="91"/>
  <c r="AT12" i="91"/>
  <c r="J38" i="18"/>
  <c r="J39" i="18"/>
  <c r="J40" i="18"/>
  <c r="J44" i="18"/>
  <c r="J50" i="18"/>
  <c r="J52" i="18"/>
  <c r="AQ44" i="18"/>
  <c r="AO49" i="18"/>
  <c r="AN49" i="18"/>
  <c r="AM50" i="18"/>
  <c r="BI14" i="91" l="1"/>
  <c r="BG14" i="91"/>
  <c r="BH14" i="91"/>
  <c r="BF14" i="91"/>
  <c r="BE14" i="91"/>
  <c r="AL14" i="91"/>
  <c r="AQ14" i="91" s="1"/>
  <c r="AV14" i="91" s="1"/>
  <c r="BA14" i="91"/>
  <c r="AM14" i="91"/>
  <c r="AR14" i="91" s="1"/>
  <c r="AW14" i="91" s="1"/>
  <c r="BB14" i="91"/>
  <c r="AJ14" i="91"/>
  <c r="AO14" i="91" s="1"/>
  <c r="AT14" i="91" s="1"/>
  <c r="AY14" i="91"/>
  <c r="AK14" i="91"/>
  <c r="AP14" i="91" s="1"/>
  <c r="AU14" i="91" s="1"/>
  <c r="AZ14" i="91"/>
  <c r="AI14" i="91"/>
  <c r="AN14" i="91" s="1"/>
  <c r="AS14" i="91" s="1"/>
  <c r="AX14" i="91"/>
  <c r="AS13" i="91"/>
  <c r="AP52" i="18"/>
  <c r="J51" i="18"/>
  <c r="AN50" i="18"/>
  <c r="J49" i="18"/>
  <c r="AP49" i="18"/>
  <c r="J48" i="18"/>
  <c r="AM48" i="18"/>
  <c r="J47" i="18"/>
  <c r="AQ47" i="18"/>
  <c r="J46" i="18"/>
  <c r="AQ46" i="18"/>
  <c r="J45" i="18"/>
  <c r="AM44" i="18"/>
  <c r="J43" i="18"/>
  <c r="J42" i="18"/>
  <c r="AM42" i="18"/>
  <c r="J41" i="18"/>
  <c r="AN44" i="18"/>
  <c r="AO44" i="18"/>
  <c r="AP44" i="18"/>
  <c r="AQ50" i="18"/>
  <c r="AT43" i="18"/>
  <c r="AN53" i="18"/>
  <c r="AO53" i="18"/>
  <c r="AP53" i="18"/>
  <c r="AQ53" i="18"/>
  <c r="AO47" i="18"/>
  <c r="AO41" i="18"/>
  <c r="AP41" i="18"/>
  <c r="AN41" i="18"/>
  <c r="AP42" i="18"/>
  <c r="AQ42" i="18"/>
  <c r="AN42" i="18"/>
  <c r="AO42" i="18"/>
  <c r="AO51" i="18"/>
  <c r="AN45" i="18"/>
  <c r="AQ45" i="18"/>
  <c r="AN39" i="18"/>
  <c r="AP51" i="18"/>
  <c r="AN47" i="18"/>
  <c r="AP47" i="18"/>
  <c r="AM47" i="18"/>
  <c r="AM41" i="18"/>
  <c r="AQ41" i="18"/>
  <c r="AQ52" i="18"/>
  <c r="AO52" i="18"/>
  <c r="AN40" i="18"/>
  <c r="AO40" i="18"/>
  <c r="AU42" i="18"/>
  <c r="AN48" i="18"/>
  <c r="AT48" i="18"/>
  <c r="AT42" i="18"/>
  <c r="AX47" i="18"/>
  <c r="AX44" i="18"/>
  <c r="AX43" i="18"/>
  <c r="AP46" i="18"/>
  <c r="BF15" i="91" l="1"/>
  <c r="BH15" i="91"/>
  <c r="BG15" i="91"/>
  <c r="BI15" i="91"/>
  <c r="BE15" i="91"/>
  <c r="AM15" i="91"/>
  <c r="AR15" i="91" s="1"/>
  <c r="AW15" i="91" s="1"/>
  <c r="BB15" i="91"/>
  <c r="AZ15" i="91"/>
  <c r="AK15" i="91"/>
  <c r="AP15" i="91" s="1"/>
  <c r="AU15" i="91" s="1"/>
  <c r="BA15" i="91"/>
  <c r="AL15" i="91"/>
  <c r="AQ15" i="91" s="1"/>
  <c r="AV15" i="91" s="1"/>
  <c r="AI15" i="91"/>
  <c r="AN15" i="91" s="1"/>
  <c r="AS15" i="91" s="1"/>
  <c r="AX15" i="91"/>
  <c r="AJ15" i="91"/>
  <c r="AO15" i="91" s="1"/>
  <c r="AT15" i="91" s="1"/>
  <c r="AY15" i="91"/>
  <c r="AQ43" i="18"/>
  <c r="AM43" i="18"/>
  <c r="AP43" i="18"/>
  <c r="AN43" i="18"/>
  <c r="AO43" i="18"/>
  <c r="AV46" i="18"/>
  <c r="AO46" i="18"/>
  <c r="AU46" i="18"/>
  <c r="AN46" i="18"/>
  <c r="AT46" i="18"/>
  <c r="AM46" i="18"/>
  <c r="AU50" i="18"/>
  <c r="AX49" i="18"/>
  <c r="AQ48" i="18"/>
  <c r="AW48" i="18"/>
  <c r="AP48" i="18"/>
  <c r="AV48" i="18"/>
  <c r="AO48" i="18"/>
  <c r="AT49" i="18"/>
  <c r="AQ40" i="18"/>
  <c r="AW41" i="18"/>
  <c r="AP40" i="18"/>
  <c r="AT40" i="18"/>
  <c r="AM40" i="18"/>
  <c r="AT52" i="18"/>
  <c r="AM52" i="18"/>
  <c r="AU52" i="18"/>
  <c r="AN52" i="18"/>
  <c r="AT39" i="18"/>
  <c r="AM39" i="18"/>
  <c r="AP39" i="18"/>
  <c r="AQ39" i="18"/>
  <c r="AV39" i="18"/>
  <c r="AO39" i="18"/>
  <c r="AT45" i="18"/>
  <c r="AM45" i="18"/>
  <c r="AW45" i="18"/>
  <c r="AP45" i="18"/>
  <c r="AV45" i="18"/>
  <c r="AO45" i="18"/>
  <c r="AX51" i="18"/>
  <c r="AQ51" i="18"/>
  <c r="AU51" i="18"/>
  <c r="AN51" i="18"/>
  <c r="AT51" i="18"/>
  <c r="AM51" i="18"/>
  <c r="AM53" i="18"/>
  <c r="AP50" i="18"/>
  <c r="AV50" i="18"/>
  <c r="AO50" i="18"/>
  <c r="AX50" i="18"/>
  <c r="AQ49" i="18"/>
  <c r="AM49" i="18"/>
  <c r="AT44" i="18"/>
  <c r="AV43" i="18"/>
  <c r="AV51" i="18"/>
  <c r="AU39" i="18"/>
  <c r="AU45" i="18"/>
  <c r="AT41" i="18"/>
  <c r="AU41" i="18"/>
  <c r="AW42" i="18"/>
  <c r="AX40" i="18"/>
  <c r="AW52" i="18"/>
  <c r="AW51" i="18"/>
  <c r="AX45" i="18"/>
  <c r="AX46" i="18"/>
  <c r="AU40" i="18"/>
  <c r="AV40" i="18"/>
  <c r="AV41" i="18"/>
  <c r="AX52" i="18"/>
  <c r="AU49" i="18"/>
  <c r="AU48" i="18"/>
  <c r="AW49" i="18"/>
  <c r="AV49" i="18"/>
  <c r="AW47" i="18"/>
  <c r="AW46" i="18"/>
  <c r="AU47" i="18"/>
  <c r="AT47" i="18"/>
  <c r="AW44" i="18"/>
  <c r="AW43" i="18"/>
  <c r="AV47" i="18"/>
  <c r="AU43" i="18"/>
  <c r="AU44" i="18"/>
  <c r="BI16" i="91" l="1"/>
  <c r="BG16" i="91"/>
  <c r="BH16" i="91"/>
  <c r="BF16" i="91"/>
  <c r="BE16" i="91"/>
  <c r="AJ16" i="91"/>
  <c r="AO16" i="91" s="1"/>
  <c r="AT16" i="91" s="1"/>
  <c r="AY16" i="91"/>
  <c r="AZ16" i="91"/>
  <c r="AK16" i="91"/>
  <c r="AP16" i="91" s="1"/>
  <c r="AU16" i="91" s="1"/>
  <c r="AI16" i="91"/>
  <c r="AN16" i="91" s="1"/>
  <c r="AS16" i="91" s="1"/>
  <c r="AX16" i="91"/>
  <c r="AM16" i="91"/>
  <c r="AR16" i="91" s="1"/>
  <c r="AW16" i="91" s="1"/>
  <c r="BB16" i="91"/>
  <c r="BA16" i="91"/>
  <c r="AL16" i="91"/>
  <c r="AQ16" i="91" s="1"/>
  <c r="AV16" i="91" s="1"/>
  <c r="AX39" i="18"/>
  <c r="AV53" i="18"/>
  <c r="AV54" i="18"/>
  <c r="AW53" i="18"/>
  <c r="AW54" i="18"/>
  <c r="AX53" i="18"/>
  <c r="AX54" i="18"/>
  <c r="AT54" i="18"/>
  <c r="AT53" i="18"/>
  <c r="AU54" i="18"/>
  <c r="AU53" i="18"/>
  <c r="AX42" i="18"/>
  <c r="AV42" i="18"/>
  <c r="AX48" i="18"/>
  <c r="AW40" i="18"/>
  <c r="AV52" i="18"/>
  <c r="AV44" i="18"/>
  <c r="AT50" i="18"/>
  <c r="AW50" i="18"/>
  <c r="AW39" i="18"/>
  <c r="AX41" i="18"/>
  <c r="BF17" i="91" l="1"/>
  <c r="BH17" i="91"/>
  <c r="BG17" i="91"/>
  <c r="BI17" i="91"/>
  <c r="BE17" i="91"/>
  <c r="AZ17" i="91"/>
  <c r="AK17" i="91"/>
  <c r="AP17" i="91" s="1"/>
  <c r="AU17" i="91" s="1"/>
  <c r="BB17" i="91"/>
  <c r="AM17" i="91"/>
  <c r="AR17" i="91" s="1"/>
  <c r="AW17" i="91" s="1"/>
  <c r="AI17" i="91"/>
  <c r="AN17" i="91" s="1"/>
  <c r="AS17" i="91" s="1"/>
  <c r="AX17" i="91"/>
  <c r="AL17" i="91"/>
  <c r="AQ17" i="91" s="1"/>
  <c r="AV17" i="91" s="1"/>
  <c r="BA17" i="91"/>
  <c r="AJ17" i="91"/>
  <c r="AO17" i="91" s="1"/>
  <c r="AT17" i="91" s="1"/>
  <c r="AY17" i="91"/>
  <c r="BD4" i="18"/>
  <c r="BD41" i="18"/>
  <c r="BA33" i="18"/>
  <c r="BC18" i="18"/>
  <c r="BD48" i="18"/>
  <c r="BC53" i="18"/>
  <c r="BA28" i="18"/>
  <c r="BC49" i="18"/>
  <c r="BB9" i="18"/>
  <c r="BA44" i="18"/>
  <c r="BD47" i="18"/>
  <c r="BB39" i="18"/>
  <c r="BB17" i="18"/>
  <c r="BC14" i="18"/>
  <c r="BE27" i="18"/>
  <c r="BD26" i="18"/>
  <c r="BD53" i="18"/>
  <c r="BC38" i="18"/>
  <c r="BC21" i="18"/>
  <c r="BB28" i="18"/>
  <c r="BD33" i="18"/>
  <c r="BA23" i="18"/>
  <c r="BE7" i="18"/>
  <c r="BC4" i="18"/>
  <c r="BE41" i="18"/>
  <c r="BD42" i="18"/>
  <c r="BD23" i="18"/>
  <c r="BC37" i="18"/>
  <c r="BD36" i="18"/>
  <c r="BC42" i="18"/>
  <c r="BD6" i="18"/>
  <c r="BD51" i="18"/>
  <c r="BE35" i="18"/>
  <c r="BD16" i="18"/>
  <c r="BB21" i="18"/>
  <c r="BB12" i="18"/>
  <c r="BE9" i="18"/>
  <c r="BD27" i="18"/>
  <c r="BC16" i="18"/>
  <c r="BA16" i="18"/>
  <c r="BC25" i="18"/>
  <c r="BE18" i="18"/>
  <c r="BD12" i="18"/>
  <c r="BA52" i="18"/>
  <c r="BD25" i="18"/>
  <c r="BA22" i="18"/>
  <c r="BE30" i="18"/>
  <c r="BB7" i="18"/>
  <c r="BC20" i="18"/>
  <c r="BB45" i="18"/>
  <c r="BB30" i="18"/>
  <c r="BC6" i="18"/>
  <c r="BE16" i="18"/>
  <c r="BB48" i="18"/>
  <c r="BA38" i="18"/>
  <c r="BA11" i="18"/>
  <c r="BE15" i="18"/>
  <c r="BA24" i="18"/>
  <c r="BB40" i="18"/>
  <c r="BE34" i="18"/>
  <c r="BC15" i="18"/>
  <c r="BE52" i="18"/>
  <c r="BA6" i="18"/>
  <c r="BE14" i="18"/>
  <c r="BB16" i="18"/>
  <c r="BC30" i="18"/>
  <c r="BE42" i="18"/>
  <c r="BE50" i="18"/>
  <c r="BD8" i="18"/>
  <c r="BC9" i="18"/>
  <c r="BC24" i="18"/>
  <c r="BC44" i="18"/>
  <c r="BA41" i="18"/>
  <c r="BA17" i="18"/>
  <c r="BD15" i="18"/>
  <c r="BA40" i="18"/>
  <c r="BE4" i="18"/>
  <c r="BE46" i="18"/>
  <c r="BE29" i="18"/>
  <c r="BE47" i="18"/>
  <c r="BC41" i="18"/>
  <c r="BE45" i="18"/>
  <c r="BB36" i="18"/>
  <c r="BB26" i="18"/>
  <c r="BE49" i="18"/>
  <c r="BC39" i="18"/>
  <c r="BA50" i="18"/>
  <c r="BB27" i="18"/>
  <c r="BD46" i="18"/>
  <c r="BC27" i="18"/>
  <c r="BC40" i="18"/>
  <c r="BA42" i="18"/>
  <c r="BE20" i="18"/>
  <c r="BE23" i="18"/>
  <c r="BB8" i="18"/>
  <c r="BC32" i="18"/>
  <c r="BD24" i="18"/>
  <c r="BD45" i="18"/>
  <c r="BD14" i="18"/>
  <c r="BC28" i="18"/>
  <c r="BB50" i="18"/>
  <c r="BC19" i="18"/>
  <c r="BB37" i="18"/>
  <c r="BB22" i="18"/>
  <c r="BD22" i="18"/>
  <c r="BB18" i="18"/>
  <c r="BC12" i="18"/>
  <c r="BE36" i="18"/>
  <c r="BE5" i="18"/>
  <c r="BE25" i="18"/>
  <c r="BB38" i="18"/>
  <c r="BC10" i="18"/>
  <c r="BC45" i="18"/>
  <c r="BD52" i="18"/>
  <c r="BA25" i="18"/>
  <c r="BA46" i="18"/>
  <c r="BB13" i="18"/>
  <c r="BB19" i="18"/>
  <c r="BA12" i="18"/>
  <c r="BC35" i="18"/>
  <c r="BA14" i="18"/>
  <c r="BB49" i="18"/>
  <c r="BA10" i="18"/>
  <c r="BA30" i="18"/>
  <c r="BD11" i="18"/>
  <c r="BD38" i="18"/>
  <c r="BA21" i="18"/>
  <c r="BB25" i="18"/>
  <c r="BD10" i="18"/>
  <c r="BE39" i="18"/>
  <c r="BA43" i="18"/>
  <c r="BB46" i="18"/>
  <c r="BE21" i="18"/>
  <c r="BE32" i="18"/>
  <c r="BD34" i="18"/>
  <c r="BE24" i="18"/>
  <c r="BE26" i="18"/>
  <c r="BD17" i="18"/>
  <c r="BD39" i="18"/>
  <c r="BD35" i="18"/>
  <c r="BD44" i="18"/>
  <c r="BD37" i="18"/>
  <c r="BE17" i="18"/>
  <c r="BA15" i="18"/>
  <c r="BC17" i="18"/>
  <c r="BC29" i="18"/>
  <c r="BD50" i="18"/>
  <c r="BB42" i="18"/>
  <c r="BA13" i="18"/>
  <c r="BA32" i="18"/>
  <c r="BE11" i="18"/>
  <c r="BC26" i="18"/>
  <c r="BB53" i="18"/>
  <c r="BB44" i="18"/>
  <c r="BD18" i="18"/>
  <c r="BA47" i="18"/>
  <c r="BC43" i="18"/>
  <c r="BC31" i="18"/>
  <c r="BD28" i="18"/>
  <c r="BB14" i="18"/>
  <c r="BB31" i="18"/>
  <c r="BC11" i="18"/>
  <c r="BA26" i="18"/>
  <c r="BA39" i="18"/>
  <c r="BD9" i="18"/>
  <c r="BA53" i="18"/>
  <c r="BA29" i="18"/>
  <c r="BA49" i="18"/>
  <c r="BD49" i="18"/>
  <c r="BA19" i="18"/>
  <c r="BC23" i="18"/>
  <c r="BB10" i="18"/>
  <c r="BE6" i="18"/>
  <c r="BC36" i="18"/>
  <c r="BA51" i="18"/>
  <c r="BB41" i="18"/>
  <c r="BA34" i="18"/>
  <c r="BA37" i="18"/>
  <c r="BC52" i="18"/>
  <c r="BE48" i="18"/>
  <c r="BD29" i="18"/>
  <c r="BC13" i="18"/>
  <c r="BE22" i="18"/>
  <c r="BE13" i="18"/>
  <c r="BE10" i="18"/>
  <c r="BE43" i="18"/>
  <c r="BD40" i="18"/>
  <c r="BE8" i="18"/>
  <c r="BB5" i="18"/>
  <c r="BA18" i="18"/>
  <c r="BE28" i="18"/>
  <c r="BA36" i="18"/>
  <c r="BA20" i="18"/>
  <c r="BB15" i="18"/>
  <c r="BB47" i="18"/>
  <c r="BC22" i="18"/>
  <c r="BD21" i="18"/>
  <c r="BC5" i="18"/>
  <c r="BC7" i="18"/>
  <c r="BB51" i="18"/>
  <c r="BD19" i="18"/>
  <c r="BA45" i="18"/>
  <c r="BE33" i="18"/>
  <c r="BB11" i="18"/>
  <c r="BA8" i="18"/>
  <c r="BD5" i="18"/>
  <c r="BE40" i="18"/>
  <c r="BC50" i="18"/>
  <c r="BA9" i="18"/>
  <c r="BC46" i="18"/>
  <c r="BA31" i="18"/>
  <c r="BD32" i="18"/>
  <c r="BB43" i="18"/>
  <c r="BB24" i="18"/>
  <c r="BB6" i="18"/>
  <c r="BE31" i="18"/>
  <c r="BC8" i="18"/>
  <c r="BB32" i="18"/>
  <c r="BE37" i="18"/>
  <c r="BB52" i="18"/>
  <c r="BD43" i="18"/>
  <c r="BA27" i="18"/>
  <c r="BB4" i="18"/>
  <c r="BD31" i="18"/>
  <c r="BD13" i="18"/>
  <c r="BA7" i="18"/>
  <c r="BA5" i="18"/>
  <c r="BB33" i="18"/>
  <c r="BB23" i="18"/>
  <c r="BC33" i="18"/>
  <c r="BE19" i="18"/>
  <c r="BE12" i="18"/>
  <c r="BA35" i="18"/>
  <c r="BD20" i="18"/>
  <c r="BE44" i="18"/>
  <c r="BC48" i="18"/>
  <c r="BE53" i="18"/>
  <c r="BB20" i="18"/>
  <c r="BA48" i="18"/>
  <c r="BE38" i="18"/>
  <c r="BB34" i="18"/>
  <c r="BC47" i="18"/>
  <c r="BE51" i="18"/>
  <c r="BD7" i="18"/>
  <c r="BB29" i="18"/>
  <c r="BA4" i="18"/>
  <c r="BD30" i="18"/>
  <c r="BC51" i="18"/>
  <c r="BB35" i="18"/>
  <c r="BC34" i="18"/>
  <c r="BI18" i="91" l="1"/>
  <c r="BG18" i="91"/>
  <c r="BH18" i="91"/>
  <c r="BF18" i="91"/>
  <c r="BE18" i="91"/>
  <c r="BA18" i="91"/>
  <c r="AL18" i="91"/>
  <c r="AQ18" i="91" s="1"/>
  <c r="AV18" i="91" s="1"/>
  <c r="AK18" i="91"/>
  <c r="AP18" i="91" s="1"/>
  <c r="AU18" i="91" s="1"/>
  <c r="AZ18" i="91"/>
  <c r="AJ18" i="91"/>
  <c r="AO18" i="91" s="1"/>
  <c r="AT18" i="91" s="1"/>
  <c r="AY18" i="91"/>
  <c r="AM18" i="91"/>
  <c r="AR18" i="91" s="1"/>
  <c r="AW18" i="91" s="1"/>
  <c r="BB18" i="91"/>
  <c r="AI18" i="91"/>
  <c r="AN18" i="91" s="1"/>
  <c r="AS18" i="91" s="1"/>
  <c r="AX18" i="91"/>
  <c r="E112" i="96"/>
  <c r="J120" i="96"/>
  <c r="F149" i="96"/>
  <c r="L138" i="96"/>
  <c r="C108" i="96"/>
  <c r="H135" i="96"/>
  <c r="K141" i="96"/>
  <c r="C132" i="96"/>
  <c r="L126" i="96"/>
  <c r="I106" i="96"/>
  <c r="L110" i="96"/>
  <c r="C143" i="96"/>
  <c r="L128" i="96"/>
  <c r="G108" i="96"/>
  <c r="I112" i="96"/>
  <c r="J151" i="96"/>
  <c r="G141" i="96"/>
  <c r="F150" i="96"/>
  <c r="K127" i="96"/>
  <c r="C122" i="96"/>
  <c r="L132" i="96"/>
  <c r="K139" i="96"/>
  <c r="G126" i="96"/>
  <c r="H112" i="96"/>
  <c r="K157" i="96"/>
  <c r="C118" i="96"/>
  <c r="G151" i="96"/>
  <c r="H137" i="96"/>
  <c r="D146" i="96"/>
  <c r="K124" i="96"/>
  <c r="E114" i="96"/>
  <c r="L116" i="96"/>
  <c r="E145" i="96"/>
  <c r="D154" i="96"/>
  <c r="G136" i="96"/>
  <c r="L122" i="96"/>
  <c r="I158" i="96"/>
  <c r="L139" i="96"/>
  <c r="D125" i="96"/>
  <c r="K125" i="96"/>
  <c r="G138" i="96"/>
  <c r="K161" i="96"/>
  <c r="J154" i="96"/>
  <c r="K149" i="96"/>
  <c r="G150" i="96"/>
  <c r="I119" i="96"/>
  <c r="C129" i="96"/>
  <c r="F108" i="96"/>
  <c r="I115" i="96"/>
  <c r="J131" i="96"/>
  <c r="D107" i="96"/>
  <c r="H118" i="96"/>
  <c r="L130" i="96"/>
  <c r="I122" i="96"/>
  <c r="J150" i="96"/>
  <c r="J146" i="96"/>
  <c r="H144" i="96"/>
  <c r="L142" i="96"/>
  <c r="E155" i="96"/>
  <c r="D131" i="96"/>
  <c r="I146" i="96"/>
  <c r="F130" i="96"/>
  <c r="C148" i="96"/>
  <c r="L114" i="96"/>
  <c r="D134" i="96"/>
  <c r="C125" i="96"/>
  <c r="I165" i="96"/>
  <c r="G135" i="96"/>
  <c r="L164" i="96"/>
  <c r="C128" i="96"/>
  <c r="K142" i="96"/>
  <c r="I163" i="96"/>
  <c r="E105" i="96"/>
  <c r="G155" i="96"/>
  <c r="C115" i="96"/>
  <c r="K138" i="96"/>
  <c r="J139" i="96"/>
  <c r="I147" i="96"/>
  <c r="K131" i="96"/>
  <c r="L150" i="96"/>
  <c r="K143" i="96"/>
  <c r="D160" i="96"/>
  <c r="H127" i="96"/>
  <c r="J161" i="96"/>
  <c r="J134" i="96"/>
  <c r="K148" i="96"/>
  <c r="L157" i="96"/>
  <c r="F106" i="96"/>
  <c r="K105" i="96"/>
  <c r="J130" i="96"/>
  <c r="G125" i="96"/>
  <c r="E128" i="96"/>
  <c r="J137" i="96"/>
  <c r="E130" i="96"/>
  <c r="I130" i="96"/>
  <c r="K111" i="96"/>
  <c r="K116" i="96"/>
  <c r="I108" i="96"/>
  <c r="H138" i="96"/>
  <c r="L143" i="96"/>
  <c r="I154" i="96"/>
  <c r="D111" i="96"/>
  <c r="K164" i="96"/>
  <c r="I143" i="96"/>
  <c r="C151" i="96"/>
  <c r="E139" i="96"/>
  <c r="C138" i="96"/>
  <c r="D113" i="96"/>
  <c r="J124" i="96"/>
  <c r="F146" i="96"/>
  <c r="K158" i="96"/>
  <c r="F124" i="96"/>
  <c r="L112" i="96"/>
  <c r="I164" i="96"/>
  <c r="K140" i="96"/>
  <c r="K150" i="96"/>
  <c r="F134" i="96"/>
  <c r="C139" i="96"/>
  <c r="H145" i="96"/>
  <c r="F112" i="96"/>
  <c r="D105" i="96"/>
  <c r="D114" i="96"/>
  <c r="G112" i="96"/>
  <c r="E153" i="96"/>
  <c r="H160" i="96"/>
  <c r="I133" i="96"/>
  <c r="F139" i="96"/>
  <c r="E164" i="96"/>
  <c r="E120" i="96"/>
  <c r="G129" i="96"/>
  <c r="L118" i="96"/>
  <c r="E117" i="96"/>
  <c r="F145" i="96"/>
  <c r="J122" i="96"/>
  <c r="I117" i="96"/>
  <c r="H124" i="96"/>
  <c r="F143" i="96"/>
  <c r="L107" i="96"/>
  <c r="I134" i="96"/>
  <c r="D164" i="96"/>
  <c r="G109" i="96"/>
  <c r="F128" i="96"/>
  <c r="H132" i="96"/>
  <c r="D127" i="96"/>
  <c r="G127" i="96"/>
  <c r="E158" i="96"/>
  <c r="J145" i="96"/>
  <c r="I123" i="96"/>
  <c r="F131" i="96"/>
  <c r="F158" i="96"/>
  <c r="G147" i="96"/>
  <c r="H140" i="96"/>
  <c r="E133" i="96"/>
  <c r="I148" i="96"/>
  <c r="J109" i="96"/>
  <c r="F162" i="96"/>
  <c r="J148" i="96"/>
  <c r="G137" i="96"/>
  <c r="K132" i="96"/>
  <c r="E124" i="96"/>
  <c r="L125" i="96"/>
  <c r="J141" i="96"/>
  <c r="E165" i="96"/>
  <c r="L134" i="96"/>
  <c r="J114" i="96"/>
  <c r="I155" i="96"/>
  <c r="H113" i="96"/>
  <c r="K160" i="96"/>
  <c r="C158" i="96"/>
  <c r="G146" i="96"/>
  <c r="J123" i="96"/>
  <c r="G122" i="96"/>
  <c r="J138" i="96"/>
  <c r="J164" i="96"/>
  <c r="K107" i="96"/>
  <c r="L135" i="96"/>
  <c r="C109" i="96"/>
  <c r="H151" i="96"/>
  <c r="G157" i="96"/>
  <c r="L133" i="96"/>
  <c r="L144" i="96"/>
  <c r="L123" i="96"/>
  <c r="K144" i="96"/>
  <c r="H147" i="96"/>
  <c r="L129" i="96"/>
  <c r="I150" i="96"/>
  <c r="J118" i="96"/>
  <c r="E138" i="96"/>
  <c r="L111" i="96"/>
  <c r="F160" i="96"/>
  <c r="L115" i="96"/>
  <c r="E151" i="96"/>
  <c r="H110" i="96"/>
  <c r="L160" i="96"/>
  <c r="G152" i="96"/>
  <c r="J111" i="96"/>
  <c r="K106" i="96"/>
  <c r="D130" i="96"/>
  <c r="K165" i="96"/>
  <c r="I149" i="96"/>
  <c r="L155" i="96"/>
  <c r="C159" i="96"/>
  <c r="J113" i="96"/>
  <c r="J129" i="96"/>
  <c r="K154" i="96"/>
  <c r="H117" i="96"/>
  <c r="C116" i="96"/>
  <c r="H139" i="96"/>
  <c r="I132" i="96"/>
  <c r="C120" i="96"/>
  <c r="D155" i="96"/>
  <c r="K128" i="96"/>
  <c r="J106" i="96"/>
  <c r="J144" i="96"/>
  <c r="H114" i="96"/>
  <c r="J143" i="96"/>
  <c r="C157" i="96"/>
  <c r="H109" i="96"/>
  <c r="K109" i="96"/>
  <c r="C107" i="96"/>
  <c r="D165" i="96"/>
  <c r="F140" i="96"/>
  <c r="H156" i="96"/>
  <c r="I152" i="96"/>
  <c r="J159" i="96"/>
  <c r="J127" i="96"/>
  <c r="H142" i="96"/>
  <c r="K122" i="96"/>
  <c r="C152" i="96"/>
  <c r="H134" i="96"/>
  <c r="L124" i="96"/>
  <c r="I142" i="96"/>
  <c r="C136" i="96"/>
  <c r="I138" i="96"/>
  <c r="K114" i="96"/>
  <c r="H122" i="96"/>
  <c r="G131" i="96"/>
  <c r="C140" i="96"/>
  <c r="H157" i="96"/>
  <c r="F137" i="96"/>
  <c r="I120" i="96"/>
  <c r="I160" i="96"/>
  <c r="E113" i="96"/>
  <c r="G119" i="96"/>
  <c r="J121" i="96"/>
  <c r="E134" i="96"/>
  <c r="G154" i="96"/>
  <c r="L120" i="96"/>
  <c r="F151" i="96"/>
  <c r="L121" i="96"/>
  <c r="G114" i="96"/>
  <c r="J163" i="96"/>
  <c r="K130" i="96"/>
  <c r="L131" i="96"/>
  <c r="E157" i="96"/>
  <c r="G140" i="96"/>
  <c r="H116" i="96"/>
  <c r="I137" i="96"/>
  <c r="I111" i="96"/>
  <c r="L163" i="96"/>
  <c r="H105" i="96"/>
  <c r="D140" i="96"/>
  <c r="F113" i="96"/>
  <c r="F138" i="96"/>
  <c r="J147" i="96"/>
  <c r="F116" i="96"/>
  <c r="K155" i="96"/>
  <c r="I157" i="96"/>
  <c r="H159" i="96"/>
  <c r="E123" i="96"/>
  <c r="K163" i="96"/>
  <c r="L141" i="96"/>
  <c r="C146" i="96"/>
  <c r="J108" i="96"/>
  <c r="E149" i="96"/>
  <c r="K146" i="96"/>
  <c r="D153" i="96"/>
  <c r="I161" i="96"/>
  <c r="H121" i="96"/>
  <c r="J107" i="96"/>
  <c r="L105" i="96"/>
  <c r="D124" i="96"/>
  <c r="D106" i="96"/>
  <c r="G164" i="96"/>
  <c r="K134" i="96"/>
  <c r="I121" i="96"/>
  <c r="E132" i="96"/>
  <c r="C105" i="96"/>
  <c r="L162" i="96"/>
  <c r="J135" i="96"/>
  <c r="C156" i="96"/>
  <c r="I128" i="96"/>
  <c r="C144" i="96"/>
  <c r="I116" i="96"/>
  <c r="E150" i="96"/>
  <c r="K162" i="96"/>
  <c r="E108" i="96"/>
  <c r="J165" i="96"/>
  <c r="C119" i="96"/>
  <c r="D115" i="96"/>
  <c r="L152" i="96"/>
  <c r="E163" i="96"/>
  <c r="F119" i="96"/>
  <c r="K121" i="96"/>
  <c r="K129" i="96"/>
  <c r="K151" i="96"/>
  <c r="I139" i="96"/>
  <c r="D112" i="96"/>
  <c r="E126" i="96"/>
  <c r="H111" i="96"/>
  <c r="K159" i="96"/>
  <c r="C160" i="96"/>
  <c r="F152" i="96"/>
  <c r="J136" i="96"/>
  <c r="H131" i="96"/>
  <c r="J142" i="96"/>
  <c r="G117" i="96"/>
  <c r="C165" i="96"/>
  <c r="H163" i="96"/>
  <c r="J160" i="96"/>
  <c r="I159" i="96"/>
  <c r="L154" i="96"/>
  <c r="G148" i="96"/>
  <c r="D161" i="96"/>
  <c r="H148" i="96"/>
  <c r="H150" i="96"/>
  <c r="K133" i="96"/>
  <c r="C154" i="96"/>
  <c r="I131" i="96"/>
  <c r="L140" i="96"/>
  <c r="K112" i="96"/>
  <c r="E136" i="96"/>
  <c r="L145" i="96"/>
  <c r="H149" i="96"/>
  <c r="H141" i="96"/>
  <c r="C123" i="96"/>
  <c r="F107" i="96"/>
  <c r="L113" i="96"/>
  <c r="F155" i="96"/>
  <c r="E137" i="96"/>
  <c r="E135" i="96"/>
  <c r="J128" i="96"/>
  <c r="L156" i="96"/>
  <c r="I162" i="96"/>
  <c r="I141" i="96"/>
  <c r="K147" i="96"/>
  <c r="I113" i="96"/>
  <c r="J152" i="96"/>
  <c r="I140" i="96"/>
  <c r="H107" i="96"/>
  <c r="F159" i="96"/>
  <c r="D145" i="96"/>
  <c r="I144" i="96"/>
  <c r="E107" i="96"/>
  <c r="G163" i="96"/>
  <c r="F129" i="96"/>
  <c r="K117" i="96"/>
  <c r="G113" i="96"/>
  <c r="F148" i="96"/>
  <c r="K118" i="96"/>
  <c r="G128" i="96"/>
  <c r="J162" i="96"/>
  <c r="G134" i="96"/>
  <c r="L148" i="96"/>
  <c r="K152" i="96"/>
  <c r="E119" i="96"/>
  <c r="I118" i="96"/>
  <c r="H108" i="96"/>
  <c r="H162" i="96"/>
  <c r="J132" i="96"/>
  <c r="G160" i="96"/>
  <c r="I136" i="96"/>
  <c r="J110" i="96"/>
  <c r="E121" i="96"/>
  <c r="L149" i="96"/>
  <c r="H136" i="96"/>
  <c r="L151" i="96"/>
  <c r="H119" i="96"/>
  <c r="G115" i="96"/>
  <c r="I109" i="96"/>
  <c r="K120" i="96"/>
  <c r="F105" i="96"/>
  <c r="K153" i="96"/>
  <c r="G105" i="96"/>
  <c r="F115" i="96"/>
  <c r="D128" i="96"/>
  <c r="J105" i="96"/>
  <c r="D109" i="96"/>
  <c r="E161" i="96"/>
  <c r="H128" i="96"/>
  <c r="H126" i="96"/>
  <c r="C145" i="96"/>
  <c r="H115" i="96"/>
  <c r="H152" i="96"/>
  <c r="D150" i="96"/>
  <c r="C153" i="96"/>
  <c r="I107" i="96"/>
  <c r="D129" i="96"/>
  <c r="I110" i="96"/>
  <c r="H130" i="96"/>
  <c r="C162" i="96"/>
  <c r="G145" i="96"/>
  <c r="G161" i="96"/>
  <c r="D123" i="96"/>
  <c r="I151" i="96"/>
  <c r="J125" i="96"/>
  <c r="I156" i="96"/>
  <c r="L106" i="96"/>
  <c r="C106" i="96"/>
  <c r="J126" i="96"/>
  <c r="J112" i="96"/>
  <c r="J133" i="96"/>
  <c r="D152" i="96"/>
  <c r="J117" i="96"/>
  <c r="L153" i="96"/>
  <c r="C141" i="96"/>
  <c r="D136" i="96"/>
  <c r="I135" i="96"/>
  <c r="I114" i="96"/>
  <c r="F142" i="96"/>
  <c r="F123" i="96"/>
  <c r="H161" i="96"/>
  <c r="L159" i="96"/>
  <c r="K119" i="96"/>
  <c r="D117" i="96"/>
  <c r="E140" i="96"/>
  <c r="J119" i="96"/>
  <c r="F111" i="96"/>
  <c r="E109" i="96"/>
  <c r="H106" i="96"/>
  <c r="F147" i="96"/>
  <c r="I124" i="96"/>
  <c r="C155" i="96"/>
  <c r="F136" i="96"/>
  <c r="G111" i="96"/>
  <c r="F110" i="96"/>
  <c r="H164" i="96"/>
  <c r="K123" i="96"/>
  <c r="D144" i="96"/>
  <c r="E154" i="96"/>
  <c r="G162" i="96"/>
  <c r="C161" i="96"/>
  <c r="D135" i="96"/>
  <c r="G107" i="96"/>
  <c r="F126" i="96"/>
  <c r="D141" i="96"/>
  <c r="K135" i="96"/>
  <c r="J153" i="96"/>
  <c r="G133" i="96"/>
  <c r="J115" i="96"/>
  <c r="L137" i="96"/>
  <c r="C117" i="96"/>
  <c r="K137" i="96"/>
  <c r="K126" i="96"/>
  <c r="H158" i="96"/>
  <c r="J140" i="96"/>
  <c r="G149" i="96"/>
  <c r="K136" i="96"/>
  <c r="D120" i="96"/>
  <c r="L158" i="96"/>
  <c r="E106" i="96"/>
  <c r="H153" i="96"/>
  <c r="F120" i="96"/>
  <c r="H133" i="96"/>
  <c r="G106" i="96"/>
  <c r="F109" i="96"/>
  <c r="BF19" i="91" l="1"/>
  <c r="BH19" i="91"/>
  <c r="BG19" i="91"/>
  <c r="BI19" i="91"/>
  <c r="BE19" i="91"/>
  <c r="AI19" i="91"/>
  <c r="AN19" i="91" s="1"/>
  <c r="AS19" i="91" s="1"/>
  <c r="AX19" i="91"/>
  <c r="AZ19" i="91"/>
  <c r="AK19" i="91"/>
  <c r="AP19" i="91" s="1"/>
  <c r="AU19" i="91" s="1"/>
  <c r="BB19" i="91"/>
  <c r="AM19" i="91"/>
  <c r="AR19" i="91" s="1"/>
  <c r="AW19" i="91" s="1"/>
  <c r="BA19" i="91"/>
  <c r="AL19" i="91"/>
  <c r="AQ19" i="91" s="1"/>
  <c r="AV19" i="91" s="1"/>
  <c r="AJ19" i="91"/>
  <c r="AO19" i="91" s="1"/>
  <c r="AT19" i="91" s="1"/>
  <c r="AY19" i="91"/>
  <c r="I127" i="96"/>
  <c r="E162" i="96"/>
  <c r="C127" i="96"/>
  <c r="E146" i="96"/>
  <c r="F165" i="96"/>
  <c r="H155" i="96"/>
  <c r="K115" i="96"/>
  <c r="K113" i="96"/>
  <c r="L146" i="96"/>
  <c r="J157" i="96"/>
  <c r="F141" i="96"/>
  <c r="H154" i="96"/>
  <c r="L147" i="96"/>
  <c r="C135" i="96"/>
  <c r="L117" i="96"/>
  <c r="D142" i="96"/>
  <c r="J156" i="96"/>
  <c r="C112" i="96"/>
  <c r="E147" i="96"/>
  <c r="C134" i="96"/>
  <c r="I105" i="96"/>
  <c r="F132" i="96"/>
  <c r="D121" i="96"/>
  <c r="G142" i="96"/>
  <c r="C126" i="96"/>
  <c r="D122" i="96"/>
  <c r="E127" i="96"/>
  <c r="I129" i="96"/>
  <c r="I126" i="96"/>
  <c r="C149" i="96"/>
  <c r="C163" i="96"/>
  <c r="H143" i="96"/>
  <c r="E131" i="96"/>
  <c r="C130" i="96"/>
  <c r="D149" i="96"/>
  <c r="G165" i="96"/>
  <c r="D143" i="96"/>
  <c r="L127" i="96"/>
  <c r="D157" i="96"/>
  <c r="K156" i="96"/>
  <c r="D132" i="96"/>
  <c r="I125" i="96"/>
  <c r="D151" i="96"/>
  <c r="G144" i="96"/>
  <c r="J116" i="96"/>
  <c r="E110" i="96"/>
  <c r="L109" i="96"/>
  <c r="F144" i="96"/>
  <c r="F156" i="96"/>
  <c r="G139" i="96"/>
  <c r="I145" i="96"/>
  <c r="C121" i="96"/>
  <c r="G158" i="96"/>
  <c r="D156" i="96"/>
  <c r="E156" i="96"/>
  <c r="E111" i="96"/>
  <c r="D119" i="96"/>
  <c r="D116" i="96"/>
  <c r="I153" i="96"/>
  <c r="F125" i="96"/>
  <c r="E115" i="96"/>
  <c r="L119" i="96"/>
  <c r="G123" i="96"/>
  <c r="E142" i="96"/>
  <c r="H165" i="96"/>
  <c r="C124" i="96"/>
  <c r="H146" i="96"/>
  <c r="G159" i="96"/>
  <c r="K108" i="96"/>
  <c r="E152" i="96"/>
  <c r="H125" i="96"/>
  <c r="H123" i="96"/>
  <c r="H129" i="96"/>
  <c r="D147" i="96"/>
  <c r="D162" i="96"/>
  <c r="E144" i="96"/>
  <c r="D118" i="96"/>
  <c r="E160" i="96"/>
  <c r="E122" i="96"/>
  <c r="F127" i="96"/>
  <c r="F122" i="96"/>
  <c r="D137" i="96"/>
  <c r="F117" i="96"/>
  <c r="G130" i="96"/>
  <c r="F121" i="96"/>
  <c r="C142" i="96"/>
  <c r="G156" i="96"/>
  <c r="J158" i="96"/>
  <c r="F154" i="96"/>
  <c r="G118" i="96"/>
  <c r="E118" i="96"/>
  <c r="F135" i="96"/>
  <c r="H120" i="96"/>
  <c r="G121" i="96"/>
  <c r="G116" i="96"/>
  <c r="E143" i="96"/>
  <c r="F161" i="96"/>
  <c r="D159" i="96"/>
  <c r="E125" i="96"/>
  <c r="D108" i="96"/>
  <c r="C150" i="96"/>
  <c r="J155" i="96"/>
  <c r="E129" i="96"/>
  <c r="E148" i="96"/>
  <c r="C164" i="96"/>
  <c r="C111" i="96"/>
  <c r="E116" i="96"/>
  <c r="C110" i="96"/>
  <c r="G124" i="96"/>
  <c r="D139" i="96"/>
  <c r="D126" i="96"/>
  <c r="C114" i="96"/>
  <c r="D138" i="96"/>
  <c r="C133" i="96"/>
  <c r="C137" i="96"/>
  <c r="F153" i="96"/>
  <c r="F164" i="96"/>
  <c r="F157" i="96"/>
  <c r="G143" i="96"/>
  <c r="D133" i="96"/>
  <c r="L108" i="96"/>
  <c r="C147" i="96"/>
  <c r="G132" i="96"/>
  <c r="K110" i="96"/>
  <c r="G153" i="96"/>
  <c r="D148" i="96"/>
  <c r="F163" i="96"/>
  <c r="D163" i="96"/>
  <c r="E141" i="96"/>
  <c r="E159" i="96"/>
  <c r="D110" i="96"/>
  <c r="L136" i="96"/>
  <c r="G120" i="96"/>
  <c r="G110" i="96"/>
  <c r="L161" i="96"/>
  <c r="K145" i="96"/>
  <c r="L165" i="96"/>
  <c r="D158" i="96"/>
  <c r="F114" i="96"/>
  <c r="C113" i="96"/>
  <c r="J149" i="96"/>
  <c r="C131" i="96"/>
  <c r="F133" i="96"/>
  <c r="F118" i="96"/>
  <c r="BI20" i="91" l="1"/>
  <c r="BG20" i="91"/>
  <c r="BH20" i="91"/>
  <c r="BF20" i="91"/>
  <c r="BE20" i="91"/>
  <c r="AJ20" i="91"/>
  <c r="AO20" i="91" s="1"/>
  <c r="AT20" i="91" s="1"/>
  <c r="AY20" i="91"/>
  <c r="AK20" i="91"/>
  <c r="AP20" i="91" s="1"/>
  <c r="AU20" i="91" s="1"/>
  <c r="AZ20" i="91"/>
  <c r="BA20" i="91"/>
  <c r="AL20" i="91"/>
  <c r="AQ20" i="91" s="1"/>
  <c r="AV20" i="91" s="1"/>
  <c r="AI20" i="91"/>
  <c r="AN20" i="91" s="1"/>
  <c r="AS20" i="91" s="1"/>
  <c r="AX20" i="91"/>
  <c r="AM20" i="91"/>
  <c r="AR20" i="91" s="1"/>
  <c r="AW20" i="91" s="1"/>
  <c r="BB20" i="91"/>
  <c r="E20" i="96"/>
  <c r="G19" i="91" s="1"/>
  <c r="O8" i="91" s="1"/>
  <c r="F97" i="96"/>
  <c r="K60" i="96"/>
  <c r="J36" i="96"/>
  <c r="H35" i="91" s="1"/>
  <c r="L80" i="96"/>
  <c r="H83" i="96"/>
  <c r="F42" i="96"/>
  <c r="C50" i="96"/>
  <c r="E56" i="96"/>
  <c r="G55" i="91" s="1"/>
  <c r="E52" i="96"/>
  <c r="G51" i="91" s="1"/>
  <c r="J40" i="96"/>
  <c r="H39" i="91" s="1"/>
  <c r="H37" i="96"/>
  <c r="F39" i="96"/>
  <c r="E65" i="96"/>
  <c r="G64" i="91" s="1"/>
  <c r="O17" i="91" s="1"/>
  <c r="D73" i="96"/>
  <c r="E17" i="96"/>
  <c r="G16" i="91" s="1"/>
  <c r="F48" i="96"/>
  <c r="L100" i="96"/>
  <c r="I104" i="96"/>
  <c r="F73" i="96"/>
  <c r="C47" i="96"/>
  <c r="I14" i="96"/>
  <c r="H66" i="96"/>
  <c r="I69" i="96"/>
  <c r="J51" i="96"/>
  <c r="H50" i="91" s="1"/>
  <c r="E36" i="96"/>
  <c r="G35" i="91" s="1"/>
  <c r="K39" i="96"/>
  <c r="H17" i="96"/>
  <c r="I99" i="96"/>
  <c r="C46" i="96"/>
  <c r="K6" i="96"/>
  <c r="C67" i="96"/>
  <c r="G92" i="96"/>
  <c r="K95" i="96"/>
  <c r="J68" i="96"/>
  <c r="H67" i="91" s="1"/>
  <c r="L81" i="96"/>
  <c r="L41" i="96"/>
  <c r="D27" i="96"/>
  <c r="L78" i="96"/>
  <c r="G9" i="96"/>
  <c r="H55" i="96"/>
  <c r="L19" i="96"/>
  <c r="F36" i="96"/>
  <c r="I50" i="96"/>
  <c r="F55" i="96"/>
  <c r="K73" i="96"/>
  <c r="H89" i="96"/>
  <c r="J72" i="96"/>
  <c r="H71" i="91" s="1"/>
  <c r="D57" i="96"/>
  <c r="K21" i="96"/>
  <c r="E84" i="96"/>
  <c r="G83" i="91" s="1"/>
  <c r="L37" i="96"/>
  <c r="H21" i="96"/>
  <c r="J79" i="96"/>
  <c r="H78" i="91" s="1"/>
  <c r="I97" i="96"/>
  <c r="L20" i="96"/>
  <c r="E97" i="96"/>
  <c r="C18" i="96"/>
  <c r="J84" i="96"/>
  <c r="H83" i="91" s="1"/>
  <c r="K96" i="96"/>
  <c r="K34" i="96"/>
  <c r="J89" i="96"/>
  <c r="H14" i="96"/>
  <c r="I84" i="96"/>
  <c r="G20" i="96"/>
  <c r="C97" i="96"/>
  <c r="L27" i="96"/>
  <c r="J44" i="96"/>
  <c r="H43" i="91" s="1"/>
  <c r="F82" i="96"/>
  <c r="L64" i="96"/>
  <c r="E102" i="96"/>
  <c r="K37" i="96"/>
  <c r="I65" i="96"/>
  <c r="I6" i="96"/>
  <c r="G93" i="96"/>
  <c r="L25" i="96"/>
  <c r="H91" i="96"/>
  <c r="K101" i="96"/>
  <c r="G6" i="96"/>
  <c r="H63" i="96"/>
  <c r="H78" i="96"/>
  <c r="H71" i="96"/>
  <c r="C41" i="96"/>
  <c r="K92" i="96"/>
  <c r="K36" i="96"/>
  <c r="J103" i="96"/>
  <c r="H102" i="96"/>
  <c r="I29" i="96"/>
  <c r="K31" i="96"/>
  <c r="H35" i="96"/>
  <c r="H16" i="96"/>
  <c r="C51" i="96"/>
  <c r="I11" i="96"/>
  <c r="C16" i="96"/>
  <c r="I48" i="96"/>
  <c r="E35" i="96"/>
  <c r="G34" i="91" s="1"/>
  <c r="O11" i="91" s="1"/>
  <c r="C33" i="96"/>
  <c r="L68" i="96"/>
  <c r="E47" i="96"/>
  <c r="G46" i="91" s="1"/>
  <c r="J87" i="96"/>
  <c r="G68" i="96"/>
  <c r="I23" i="96"/>
  <c r="E82" i="96"/>
  <c r="G81" i="91" s="1"/>
  <c r="G90" i="96"/>
  <c r="J16" i="96"/>
  <c r="H15" i="91" s="1"/>
  <c r="I92" i="96"/>
  <c r="H69" i="96"/>
  <c r="I31" i="96"/>
  <c r="J46" i="96"/>
  <c r="H45" i="91" s="1"/>
  <c r="L48" i="96"/>
  <c r="K103" i="96"/>
  <c r="G46" i="96"/>
  <c r="H57" i="96"/>
  <c r="C45" i="96"/>
  <c r="D95" i="96"/>
  <c r="E50" i="96"/>
  <c r="G49" i="91" s="1"/>
  <c r="O14" i="91" s="1"/>
  <c r="I77" i="96"/>
  <c r="C28" i="96"/>
  <c r="H82" i="96"/>
  <c r="E39" i="96"/>
  <c r="G38" i="91" s="1"/>
  <c r="H45" i="96"/>
  <c r="F53" i="96"/>
  <c r="L95" i="96"/>
  <c r="K20" i="96"/>
  <c r="D43" i="96"/>
  <c r="I71" i="96"/>
  <c r="C38" i="96"/>
  <c r="D103" i="96"/>
  <c r="E23" i="96"/>
  <c r="G22" i="91" s="1"/>
  <c r="K15" i="96"/>
  <c r="H56" i="96"/>
  <c r="I26" i="96"/>
  <c r="F85" i="96"/>
  <c r="L26" i="96"/>
  <c r="L90" i="96"/>
  <c r="H33" i="96"/>
  <c r="I79" i="96"/>
  <c r="H97" i="96"/>
  <c r="E11" i="96"/>
  <c r="G10" i="91" s="1"/>
  <c r="H39" i="96"/>
  <c r="L33" i="96"/>
  <c r="D15" i="96"/>
  <c r="K41" i="96"/>
  <c r="J49" i="96"/>
  <c r="H48" i="91" s="1"/>
  <c r="E90" i="96"/>
  <c r="E66" i="96"/>
  <c r="G65" i="91" s="1"/>
  <c r="H38" i="96"/>
  <c r="G35" i="96"/>
  <c r="L53" i="96"/>
  <c r="K22" i="96"/>
  <c r="D47" i="96"/>
  <c r="I36" i="96"/>
  <c r="C88" i="96"/>
  <c r="K63" i="96"/>
  <c r="G82" i="96"/>
  <c r="J82" i="96"/>
  <c r="H81" i="91" s="1"/>
  <c r="E44" i="96"/>
  <c r="G43" i="91" s="1"/>
  <c r="G80" i="96"/>
  <c r="J48" i="96"/>
  <c r="H47" i="91" s="1"/>
  <c r="J43" i="96"/>
  <c r="H42" i="91" s="1"/>
  <c r="I89" i="96"/>
  <c r="G88" i="96"/>
  <c r="I61" i="96"/>
  <c r="J76" i="96"/>
  <c r="H75" i="91" s="1"/>
  <c r="E26" i="96"/>
  <c r="G25" i="91" s="1"/>
  <c r="F68" i="96"/>
  <c r="L17" i="96"/>
  <c r="H28" i="96"/>
  <c r="K102" i="96"/>
  <c r="K90" i="96"/>
  <c r="F74" i="96"/>
  <c r="G69" i="96"/>
  <c r="I15" i="96"/>
  <c r="K46" i="96"/>
  <c r="H87" i="96"/>
  <c r="H76" i="96"/>
  <c r="G42" i="96"/>
  <c r="K8" i="96"/>
  <c r="K75" i="96"/>
  <c r="F8" i="96"/>
  <c r="H98" i="96"/>
  <c r="H15" i="96"/>
  <c r="J13" i="96"/>
  <c r="H12" i="91" s="1"/>
  <c r="F28" i="96"/>
  <c r="G29" i="96"/>
  <c r="K99" i="96"/>
  <c r="K24" i="96"/>
  <c r="I34" i="96"/>
  <c r="H75" i="96"/>
  <c r="I60" i="96"/>
  <c r="E54" i="96"/>
  <c r="G53" i="91" s="1"/>
  <c r="K57" i="96"/>
  <c r="L92" i="96"/>
  <c r="D92" i="96"/>
  <c r="L43" i="96"/>
  <c r="I87" i="96"/>
  <c r="L42" i="96"/>
  <c r="H18" i="96"/>
  <c r="H49" i="96"/>
  <c r="I42" i="96"/>
  <c r="K74" i="96"/>
  <c r="K76" i="96"/>
  <c r="I41" i="96"/>
  <c r="E29" i="96"/>
  <c r="G28" i="91" s="1"/>
  <c r="F83" i="96"/>
  <c r="J10" i="96"/>
  <c r="H9" i="91" s="1"/>
  <c r="J86" i="96"/>
  <c r="C72" i="96"/>
  <c r="H68" i="96"/>
  <c r="D79" i="96"/>
  <c r="G34" i="96"/>
  <c r="I59" i="96"/>
  <c r="C35" i="96"/>
  <c r="G83" i="96"/>
  <c r="L30" i="96"/>
  <c r="I70" i="96"/>
  <c r="E59" i="96"/>
  <c r="G58" i="91" s="1"/>
  <c r="H53" i="96"/>
  <c r="H8" i="96"/>
  <c r="E89" i="96"/>
  <c r="J35" i="96"/>
  <c r="H34" i="91" s="1"/>
  <c r="G45" i="96"/>
  <c r="E99" i="96"/>
  <c r="G103" i="96"/>
  <c r="D83" i="96"/>
  <c r="C78" i="96"/>
  <c r="H60" i="96"/>
  <c r="K16" i="96"/>
  <c r="E63" i="96"/>
  <c r="G62" i="91" s="1"/>
  <c r="K13" i="96"/>
  <c r="H100" i="96"/>
  <c r="C95" i="96"/>
  <c r="I88" i="96"/>
  <c r="F32" i="96"/>
  <c r="J42" i="96"/>
  <c r="H41" i="91" s="1"/>
  <c r="E77" i="96"/>
  <c r="G76" i="91" s="1"/>
  <c r="K9" i="96"/>
  <c r="H44" i="96"/>
  <c r="J90" i="96"/>
  <c r="I37" i="96"/>
  <c r="E53" i="96"/>
  <c r="G52" i="91" s="1"/>
  <c r="J67" i="96"/>
  <c r="H66" i="91" s="1"/>
  <c r="D39" i="96"/>
  <c r="D14" i="96"/>
  <c r="D13" i="96"/>
  <c r="J77" i="96"/>
  <c r="H76" i="91" s="1"/>
  <c r="D81" i="96"/>
  <c r="D56" i="96"/>
  <c r="C66" i="96"/>
  <c r="H22" i="96"/>
  <c r="K71" i="96"/>
  <c r="L93" i="96"/>
  <c r="J60" i="96"/>
  <c r="H59" i="91" s="1"/>
  <c r="I96" i="96"/>
  <c r="E7" i="96"/>
  <c r="G6" i="91" s="1"/>
  <c r="J7" i="96"/>
  <c r="H6" i="91" s="1"/>
  <c r="K26" i="96"/>
  <c r="L31" i="96"/>
  <c r="D49" i="96"/>
  <c r="H65" i="96"/>
  <c r="F35" i="96"/>
  <c r="I74" i="96"/>
  <c r="H23" i="96"/>
  <c r="C52" i="96"/>
  <c r="J58" i="96"/>
  <c r="H57" i="91" s="1"/>
  <c r="E22" i="96"/>
  <c r="G21" i="91" s="1"/>
  <c r="H54" i="96"/>
  <c r="G26" i="96"/>
  <c r="H34" i="96"/>
  <c r="I55" i="96"/>
  <c r="K58" i="96"/>
  <c r="K12" i="96"/>
  <c r="E8" i="96"/>
  <c r="G7" i="91" s="1"/>
  <c r="L86" i="96"/>
  <c r="H31" i="96"/>
  <c r="K14" i="96"/>
  <c r="J97" i="96"/>
  <c r="I95" i="96"/>
  <c r="J69" i="96"/>
  <c r="H68" i="91" s="1"/>
  <c r="J104" i="96"/>
  <c r="H96" i="96"/>
  <c r="K7" i="96"/>
  <c r="H30" i="96"/>
  <c r="H12" i="96"/>
  <c r="F41" i="96"/>
  <c r="K77" i="96"/>
  <c r="I100" i="96"/>
  <c r="C42" i="96"/>
  <c r="L63" i="96"/>
  <c r="J28" i="96"/>
  <c r="H27" i="91" s="1"/>
  <c r="E101" i="96"/>
  <c r="C14" i="96"/>
  <c r="I102" i="96"/>
  <c r="L65" i="96"/>
  <c r="K38" i="96"/>
  <c r="I43" i="96"/>
  <c r="F10" i="96"/>
  <c r="G8" i="96"/>
  <c r="L16" i="96"/>
  <c r="E71" i="96"/>
  <c r="G70" i="91" s="1"/>
  <c r="I76" i="96"/>
  <c r="K104" i="96"/>
  <c r="F70" i="96"/>
  <c r="K94" i="96"/>
  <c r="L49" i="96"/>
  <c r="J64" i="96"/>
  <c r="H63" i="91" s="1"/>
  <c r="H92" i="96"/>
  <c r="D89" i="96"/>
  <c r="D35" i="96"/>
  <c r="I47" i="96"/>
  <c r="C83" i="96"/>
  <c r="D63" i="96"/>
  <c r="L84" i="96"/>
  <c r="H6" i="96"/>
  <c r="I13" i="96"/>
  <c r="K56" i="96"/>
  <c r="C90" i="96"/>
  <c r="L62" i="96"/>
  <c r="H20" i="96"/>
  <c r="L40" i="96"/>
  <c r="K80" i="96"/>
  <c r="E91" i="96"/>
  <c r="D37" i="96"/>
  <c r="D98" i="96"/>
  <c r="K61" i="96"/>
  <c r="G55" i="96"/>
  <c r="L79" i="96"/>
  <c r="H19" i="96"/>
  <c r="K84" i="96"/>
  <c r="L47" i="96"/>
  <c r="I49" i="96"/>
  <c r="J55" i="96"/>
  <c r="H54" i="91" s="1"/>
  <c r="J81" i="96"/>
  <c r="H80" i="91" s="1"/>
  <c r="K54" i="96"/>
  <c r="K27" i="96"/>
  <c r="F15" i="96"/>
  <c r="D71" i="96"/>
  <c r="L98" i="96"/>
  <c r="H101" i="96"/>
  <c r="L61" i="96"/>
  <c r="J18" i="96"/>
  <c r="H17" i="91" s="1"/>
  <c r="K98" i="96"/>
  <c r="K87" i="96"/>
  <c r="K89" i="96"/>
  <c r="H62" i="96"/>
  <c r="H42" i="96"/>
  <c r="K23" i="96"/>
  <c r="H104" i="96"/>
  <c r="F6" i="96"/>
  <c r="L10" i="96"/>
  <c r="D6" i="96"/>
  <c r="C12" i="96"/>
  <c r="C56" i="96"/>
  <c r="G64" i="96"/>
  <c r="K100" i="96"/>
  <c r="C81" i="96"/>
  <c r="J26" i="96"/>
  <c r="H25" i="91" s="1"/>
  <c r="F96" i="96"/>
  <c r="I44" i="96"/>
  <c r="E67" i="96"/>
  <c r="G66" i="91" s="1"/>
  <c r="H94" i="96"/>
  <c r="L29" i="96"/>
  <c r="K79" i="96"/>
  <c r="E18" i="96"/>
  <c r="G17" i="91" s="1"/>
  <c r="L83" i="96"/>
  <c r="D30" i="96"/>
  <c r="G22" i="96"/>
  <c r="H13" i="96"/>
  <c r="I68" i="96"/>
  <c r="L6" i="96"/>
  <c r="I28" i="96"/>
  <c r="J73" i="96"/>
  <c r="H72" i="91" s="1"/>
  <c r="L36" i="96"/>
  <c r="I53" i="96"/>
  <c r="J101" i="96"/>
  <c r="D54" i="96"/>
  <c r="C80" i="96"/>
  <c r="L82" i="96"/>
  <c r="J41" i="96"/>
  <c r="H40" i="91" s="1"/>
  <c r="G97" i="96"/>
  <c r="L67" i="96"/>
  <c r="J15" i="96"/>
  <c r="H14" i="91" s="1"/>
  <c r="G73" i="96"/>
  <c r="E76" i="96"/>
  <c r="G75" i="91" s="1"/>
  <c r="L21" i="96"/>
  <c r="C20" i="96"/>
  <c r="F102" i="96"/>
  <c r="F45" i="96"/>
  <c r="C64" i="96"/>
  <c r="J98" i="96"/>
  <c r="D22" i="96"/>
  <c r="J23" i="96"/>
  <c r="H22" i="91" s="1"/>
  <c r="E28" i="96"/>
  <c r="G27" i="91" s="1"/>
  <c r="H73" i="96"/>
  <c r="G28" i="96"/>
  <c r="K53" i="96"/>
  <c r="F22" i="96"/>
  <c r="I66" i="96"/>
  <c r="D10" i="96"/>
  <c r="K64" i="96"/>
  <c r="D86" i="96"/>
  <c r="C58" i="96"/>
  <c r="K43" i="96"/>
  <c r="K62" i="96"/>
  <c r="C23" i="96"/>
  <c r="I24" i="96"/>
  <c r="H79" i="96"/>
  <c r="E58" i="96"/>
  <c r="G57" i="91" s="1"/>
  <c r="H64" i="96"/>
  <c r="J61" i="96"/>
  <c r="H60" i="91" s="1"/>
  <c r="J94" i="96"/>
  <c r="H27" i="96"/>
  <c r="I18" i="96"/>
  <c r="K10" i="96"/>
  <c r="J74" i="96"/>
  <c r="H73" i="91" s="1"/>
  <c r="L104" i="96"/>
  <c r="D53" i="96"/>
  <c r="H77" i="96"/>
  <c r="F71" i="96"/>
  <c r="I90" i="96"/>
  <c r="G19" i="96"/>
  <c r="I19" i="96"/>
  <c r="L8" i="96"/>
  <c r="D70" i="96"/>
  <c r="I93" i="96"/>
  <c r="K81" i="96"/>
  <c r="K29" i="96"/>
  <c r="D68" i="96"/>
  <c r="D93" i="96"/>
  <c r="D7" i="96"/>
  <c r="L15" i="96"/>
  <c r="G87" i="96"/>
  <c r="E73" i="96"/>
  <c r="G72" i="91" s="1"/>
  <c r="L59" i="96"/>
  <c r="I45" i="96"/>
  <c r="L34" i="96"/>
  <c r="E88" i="96"/>
  <c r="G41" i="96"/>
  <c r="H11" i="96"/>
  <c r="J85" i="96"/>
  <c r="H84" i="91" s="1"/>
  <c r="K44" i="96"/>
  <c r="I35" i="96"/>
  <c r="K68" i="96"/>
  <c r="D48" i="96"/>
  <c r="H58" i="96"/>
  <c r="F95" i="96"/>
  <c r="L56" i="96"/>
  <c r="J25" i="96"/>
  <c r="H24" i="91" s="1"/>
  <c r="G48" i="96"/>
  <c r="K82" i="96"/>
  <c r="I10" i="96"/>
  <c r="E64" i="96"/>
  <c r="G63" i="91" s="1"/>
  <c r="C84" i="96"/>
  <c r="C87" i="96"/>
  <c r="I58" i="96"/>
  <c r="I63" i="96"/>
  <c r="L52" i="96"/>
  <c r="L55" i="96"/>
  <c r="E30" i="96"/>
  <c r="G29" i="91" s="1"/>
  <c r="O10" i="91" s="1"/>
  <c r="J70" i="96"/>
  <c r="H69" i="91" s="1"/>
  <c r="I32" i="96"/>
  <c r="G57" i="96"/>
  <c r="K11" i="96"/>
  <c r="L70" i="96"/>
  <c r="L23" i="96"/>
  <c r="G23" i="96"/>
  <c r="E83" i="96"/>
  <c r="G82" i="91" s="1"/>
  <c r="C62" i="96"/>
  <c r="H50" i="96"/>
  <c r="L22" i="96"/>
  <c r="H7" i="96"/>
  <c r="H24" i="96"/>
  <c r="F64" i="96"/>
  <c r="K52" i="96"/>
  <c r="L94" i="96"/>
  <c r="L24" i="96"/>
  <c r="D97" i="96"/>
  <c r="E27" i="96"/>
  <c r="G26" i="91" s="1"/>
  <c r="H36" i="96"/>
  <c r="D69" i="96"/>
  <c r="D31" i="96"/>
  <c r="E95" i="96"/>
  <c r="K19" i="96"/>
  <c r="J27" i="96"/>
  <c r="H26" i="91" s="1"/>
  <c r="F23" i="96"/>
  <c r="E81" i="96"/>
  <c r="G80" i="91" s="1"/>
  <c r="H32" i="96"/>
  <c r="I30" i="96"/>
  <c r="I67" i="96"/>
  <c r="F47" i="96"/>
  <c r="J31" i="96"/>
  <c r="H30" i="91" s="1"/>
  <c r="I27" i="96"/>
  <c r="G77" i="96"/>
  <c r="I86" i="96"/>
  <c r="H25" i="96"/>
  <c r="K85" i="96"/>
  <c r="E21" i="96"/>
  <c r="G20" i="91" s="1"/>
  <c r="K69" i="96"/>
  <c r="K42" i="96"/>
  <c r="G74" i="96"/>
  <c r="L14" i="96"/>
  <c r="K45" i="96"/>
  <c r="F17" i="96"/>
  <c r="L73" i="96"/>
  <c r="F77" i="96"/>
  <c r="I82" i="96"/>
  <c r="E55" i="96"/>
  <c r="G54" i="91" s="1"/>
  <c r="O15" i="91" s="1"/>
  <c r="L99" i="96"/>
  <c r="H84" i="96"/>
  <c r="F31" i="96"/>
  <c r="K88" i="96"/>
  <c r="J54" i="96"/>
  <c r="H53" i="91" s="1"/>
  <c r="H93" i="96"/>
  <c r="H10" i="96"/>
  <c r="I98" i="96"/>
  <c r="H29" i="96"/>
  <c r="F11" i="96"/>
  <c r="E24" i="96"/>
  <c r="G23" i="91" s="1"/>
  <c r="J56" i="96"/>
  <c r="H55" i="91" s="1"/>
  <c r="F101" i="96"/>
  <c r="K66" i="96"/>
  <c r="D25" i="96"/>
  <c r="J78" i="96"/>
  <c r="H77" i="91" s="1"/>
  <c r="I12" i="96"/>
  <c r="L102" i="96"/>
  <c r="H81" i="96"/>
  <c r="L28" i="96"/>
  <c r="D78" i="96"/>
  <c r="I78" i="96"/>
  <c r="F57" i="96"/>
  <c r="L44" i="96"/>
  <c r="D17" i="96"/>
  <c r="C54" i="96"/>
  <c r="E72" i="96"/>
  <c r="G71" i="91" s="1"/>
  <c r="F100" i="96"/>
  <c r="J6" i="96"/>
  <c r="H5" i="91" s="1"/>
  <c r="E6" i="96"/>
  <c r="G5" i="91" s="1"/>
  <c r="O5" i="91" s="1"/>
  <c r="F81" i="96"/>
  <c r="C29" i="96"/>
  <c r="K59" i="96"/>
  <c r="C93" i="96"/>
  <c r="K47" i="96"/>
  <c r="C60" i="96"/>
  <c r="H86" i="96"/>
  <c r="H43" i="96"/>
  <c r="J59" i="96"/>
  <c r="H58" i="91" s="1"/>
  <c r="D82" i="96"/>
  <c r="E16" i="96"/>
  <c r="G15" i="91" s="1"/>
  <c r="K30" i="96"/>
  <c r="F80" i="96"/>
  <c r="I21" i="96"/>
  <c r="I80" i="96"/>
  <c r="D65" i="96"/>
  <c r="K86" i="96"/>
  <c r="J80" i="96"/>
  <c r="H79" i="91" s="1"/>
  <c r="J102" i="96"/>
  <c r="G51" i="96"/>
  <c r="C15" i="96"/>
  <c r="L77" i="96"/>
  <c r="I81" i="96"/>
  <c r="I38" i="96"/>
  <c r="E40" i="96"/>
  <c r="G39" i="91" s="1"/>
  <c r="O12" i="91" s="1"/>
  <c r="H61" i="96"/>
  <c r="H72" i="96"/>
  <c r="L51" i="96"/>
  <c r="D90" i="96"/>
  <c r="J30" i="96"/>
  <c r="H29" i="91" s="1"/>
  <c r="F7" i="96"/>
  <c r="J96" i="96"/>
  <c r="H48" i="96"/>
  <c r="G44" i="96"/>
  <c r="L9" i="96"/>
  <c r="E32" i="96"/>
  <c r="G31" i="91" s="1"/>
  <c r="J33" i="96"/>
  <c r="H32" i="91" s="1"/>
  <c r="D51" i="96"/>
  <c r="K70" i="96"/>
  <c r="H85" i="96"/>
  <c r="C76" i="96"/>
  <c r="G66" i="96"/>
  <c r="K17" i="96"/>
  <c r="H52" i="96"/>
  <c r="L88" i="96"/>
  <c r="L101" i="96"/>
  <c r="D41" i="96"/>
  <c r="J20" i="96"/>
  <c r="H19" i="91" s="1"/>
  <c r="I56" i="96"/>
  <c r="I85" i="96"/>
  <c r="K40" i="96"/>
  <c r="J92" i="96"/>
  <c r="E31" i="96"/>
  <c r="G30" i="91" s="1"/>
  <c r="J24" i="96"/>
  <c r="H23" i="91" s="1"/>
  <c r="E75" i="96"/>
  <c r="G74" i="91" s="1"/>
  <c r="O19" i="91" s="1"/>
  <c r="L50" i="96"/>
  <c r="E98" i="96"/>
  <c r="J12" i="96"/>
  <c r="H11" i="91" s="1"/>
  <c r="J100" i="96"/>
  <c r="G84" i="96"/>
  <c r="C24" i="96"/>
  <c r="G59" i="96"/>
  <c r="E42" i="96"/>
  <c r="G41" i="91" s="1"/>
  <c r="J95" i="96"/>
  <c r="G27" i="96"/>
  <c r="G37" i="96"/>
  <c r="K55" i="96"/>
  <c r="C27" i="96"/>
  <c r="L91" i="96"/>
  <c r="J88" i="96"/>
  <c r="L72" i="96"/>
  <c r="I94" i="96"/>
  <c r="G79" i="96"/>
  <c r="L57" i="96"/>
  <c r="H47" i="96"/>
  <c r="L32" i="96"/>
  <c r="K18" i="96"/>
  <c r="C71" i="96"/>
  <c r="H9" i="96"/>
  <c r="K67" i="96"/>
  <c r="L103" i="96"/>
  <c r="L89" i="96"/>
  <c r="I40" i="96"/>
  <c r="L60" i="96"/>
  <c r="D80" i="96"/>
  <c r="G39" i="96"/>
  <c r="D34" i="96"/>
  <c r="I72" i="96"/>
  <c r="K97" i="96"/>
  <c r="C34" i="96"/>
  <c r="K49" i="96"/>
  <c r="J62" i="96"/>
  <c r="H61" i="91" s="1"/>
  <c r="E61" i="96"/>
  <c r="G60" i="91" s="1"/>
  <c r="C101" i="96"/>
  <c r="H95" i="96"/>
  <c r="L87" i="96"/>
  <c r="D21" i="96"/>
  <c r="F24" i="96"/>
  <c r="I62" i="96"/>
  <c r="L45" i="96"/>
  <c r="L97" i="96"/>
  <c r="E38" i="96"/>
  <c r="G37" i="91" s="1"/>
  <c r="H26" i="96"/>
  <c r="H90" i="96"/>
  <c r="G76" i="96"/>
  <c r="J22" i="96"/>
  <c r="H21" i="91" s="1"/>
  <c r="I75" i="96"/>
  <c r="K65" i="96"/>
  <c r="G99" i="96"/>
  <c r="F19" i="96"/>
  <c r="I46" i="96"/>
  <c r="F34" i="96"/>
  <c r="H88" i="96"/>
  <c r="D61" i="96"/>
  <c r="G15" i="96"/>
  <c r="J57" i="96"/>
  <c r="H56" i="91" s="1"/>
  <c r="J21" i="96"/>
  <c r="H20" i="91" s="1"/>
  <c r="L96" i="96"/>
  <c r="H51" i="96"/>
  <c r="I51" i="96"/>
  <c r="J32" i="96"/>
  <c r="H31" i="91" s="1"/>
  <c r="J37" i="96"/>
  <c r="H36" i="91" s="1"/>
  <c r="C30" i="96"/>
  <c r="E104" i="96"/>
  <c r="J9" i="96"/>
  <c r="H8" i="91" s="1"/>
  <c r="E62" i="96"/>
  <c r="G61" i="91" s="1"/>
  <c r="J66" i="96"/>
  <c r="H65" i="91" s="1"/>
  <c r="D74" i="96"/>
  <c r="L11" i="96"/>
  <c r="F37" i="96"/>
  <c r="K83" i="96"/>
  <c r="C49" i="96"/>
  <c r="E70" i="96"/>
  <c r="G69" i="91" s="1"/>
  <c r="O18" i="91" s="1"/>
  <c r="J91" i="96"/>
  <c r="G100" i="96"/>
  <c r="E25" i="96"/>
  <c r="G24" i="91" s="1"/>
  <c r="O9" i="91" s="1"/>
  <c r="I17" i="96"/>
  <c r="F54" i="96"/>
  <c r="D102" i="96"/>
  <c r="J75" i="96"/>
  <c r="H74" i="91" s="1"/>
  <c r="I83" i="96"/>
  <c r="D94" i="96"/>
  <c r="C21" i="96"/>
  <c r="L46" i="96"/>
  <c r="G7" i="96"/>
  <c r="D60" i="96"/>
  <c r="D9" i="96"/>
  <c r="C11" i="96"/>
  <c r="C74" i="96"/>
  <c r="H103" i="96"/>
  <c r="C59" i="96"/>
  <c r="K35" i="96"/>
  <c r="K72" i="96"/>
  <c r="G17" i="96"/>
  <c r="I9" i="96"/>
  <c r="L66" i="96"/>
  <c r="K32" i="96"/>
  <c r="L58" i="96"/>
  <c r="I20" i="96"/>
  <c r="J52" i="96"/>
  <c r="H51" i="91" s="1"/>
  <c r="C36" i="96"/>
  <c r="E46" i="96"/>
  <c r="G45" i="91" s="1"/>
  <c r="F87" i="96"/>
  <c r="C43" i="96"/>
  <c r="F61" i="96"/>
  <c r="L71" i="96"/>
  <c r="L74" i="96"/>
  <c r="L35" i="96"/>
  <c r="K28" i="96"/>
  <c r="H70" i="96"/>
  <c r="C68" i="96"/>
  <c r="I39" i="96"/>
  <c r="J83" i="96"/>
  <c r="H82" i="91" s="1"/>
  <c r="J34" i="96"/>
  <c r="H33" i="91" s="1"/>
  <c r="E92" i="96"/>
  <c r="H41" i="96"/>
  <c r="E14" i="96"/>
  <c r="G13" i="91" s="1"/>
  <c r="C25" i="96"/>
  <c r="J38" i="96"/>
  <c r="H37" i="91" s="1"/>
  <c r="H80" i="96"/>
  <c r="L7" i="96"/>
  <c r="H59" i="96"/>
  <c r="F88" i="96"/>
  <c r="C19" i="96"/>
  <c r="D20" i="96"/>
  <c r="F16" i="96"/>
  <c r="I73" i="96"/>
  <c r="J99" i="96"/>
  <c r="G52" i="96"/>
  <c r="G10" i="96"/>
  <c r="D101" i="96"/>
  <c r="D59" i="96"/>
  <c r="I8" i="96"/>
  <c r="I54" i="96"/>
  <c r="D24" i="96"/>
  <c r="D87" i="96"/>
  <c r="J39" i="96"/>
  <c r="H38" i="91" s="1"/>
  <c r="L76" i="96"/>
  <c r="C100" i="96"/>
  <c r="K51" i="96"/>
  <c r="K25" i="96"/>
  <c r="H99" i="96"/>
  <c r="L69" i="96"/>
  <c r="F62" i="96"/>
  <c r="C69" i="96"/>
  <c r="J14" i="96"/>
  <c r="H13" i="91" s="1"/>
  <c r="H67" i="96"/>
  <c r="K48" i="96"/>
  <c r="I101" i="96"/>
  <c r="E86" i="96"/>
  <c r="I7" i="96"/>
  <c r="I91" i="96"/>
  <c r="I25" i="96"/>
  <c r="H46" i="96"/>
  <c r="J17" i="96"/>
  <c r="H16" i="91" s="1"/>
  <c r="J47" i="96"/>
  <c r="H46" i="91" s="1"/>
  <c r="E33" i="96"/>
  <c r="G32" i="91" s="1"/>
  <c r="D8" i="96"/>
  <c r="C48" i="96"/>
  <c r="G16" i="96"/>
  <c r="G32" i="96"/>
  <c r="F52" i="96"/>
  <c r="H74" i="96"/>
  <c r="L12" i="96"/>
  <c r="G70" i="96"/>
  <c r="G62" i="96"/>
  <c r="G14" i="96"/>
  <c r="E34" i="96"/>
  <c r="G33" i="91" s="1"/>
  <c r="J19" i="96"/>
  <c r="H18" i="91" s="1"/>
  <c r="I22" i="96"/>
  <c r="D100" i="96"/>
  <c r="I52" i="96"/>
  <c r="H40" i="96"/>
  <c r="F25" i="96"/>
  <c r="D52" i="96"/>
  <c r="J71" i="96"/>
  <c r="H70" i="91" s="1"/>
  <c r="F99" i="96"/>
  <c r="BM20" i="91"/>
  <c r="BN18" i="91"/>
  <c r="BO20" i="91"/>
  <c r="BL14" i="91"/>
  <c r="BN14" i="91"/>
  <c r="BK16" i="91"/>
  <c r="BL15" i="91"/>
  <c r="BO12" i="91"/>
  <c r="BM14" i="91"/>
  <c r="BM15" i="91"/>
  <c r="BK15" i="91"/>
  <c r="BM19" i="91"/>
  <c r="BM13" i="91"/>
  <c r="BN13" i="91"/>
  <c r="BL16" i="91"/>
  <c r="BO14" i="91"/>
  <c r="BO19" i="91"/>
  <c r="BN20" i="91"/>
  <c r="BO13" i="91"/>
  <c r="BK14" i="91"/>
  <c r="BO18" i="91"/>
  <c r="BL20" i="91"/>
  <c r="BN19" i="91"/>
  <c r="BF21" i="91" l="1"/>
  <c r="BH21" i="91"/>
  <c r="BG21" i="91"/>
  <c r="BI21" i="91"/>
  <c r="BE21" i="91"/>
  <c r="AM21" i="91"/>
  <c r="AR21" i="91" s="1"/>
  <c r="AW21" i="91" s="1"/>
  <c r="BB21" i="91"/>
  <c r="AK21" i="91"/>
  <c r="AP21" i="91" s="1"/>
  <c r="AU21" i="91" s="1"/>
  <c r="AZ21" i="91"/>
  <c r="AI21" i="91"/>
  <c r="AN21" i="91" s="1"/>
  <c r="AS21" i="91" s="1"/>
  <c r="AX21" i="91"/>
  <c r="AJ21" i="91"/>
  <c r="AO21" i="91" s="1"/>
  <c r="AT21" i="91" s="1"/>
  <c r="AY21" i="91"/>
  <c r="BA21" i="91"/>
  <c r="AL21" i="91"/>
  <c r="AQ21" i="91" s="1"/>
  <c r="AV21" i="91" s="1"/>
  <c r="G47" i="96"/>
  <c r="G91" i="96"/>
  <c r="K91" i="96"/>
  <c r="J65" i="96"/>
  <c r="H64" i="91" s="1"/>
  <c r="I16" i="96"/>
  <c r="L54" i="96"/>
  <c r="C91" i="96"/>
  <c r="C32" i="96"/>
  <c r="K33" i="96"/>
  <c r="J93" i="96"/>
  <c r="G86" i="96"/>
  <c r="K93" i="96"/>
  <c r="C79" i="96"/>
  <c r="C94" i="96"/>
  <c r="F84" i="96"/>
  <c r="F65" i="96"/>
  <c r="E79" i="96"/>
  <c r="G78" i="91" s="1"/>
  <c r="F58" i="96"/>
  <c r="D91" i="96"/>
  <c r="C75" i="96"/>
  <c r="C8" i="96"/>
  <c r="G94" i="96"/>
  <c r="F92" i="96"/>
  <c r="E85" i="96"/>
  <c r="G84" i="91" s="1"/>
  <c r="O21" i="91" s="1"/>
  <c r="C6" i="96"/>
  <c r="F72" i="96"/>
  <c r="C103" i="96"/>
  <c r="D55" i="96"/>
  <c r="F67" i="96"/>
  <c r="E48" i="96"/>
  <c r="G47" i="91" s="1"/>
  <c r="E68" i="96"/>
  <c r="G67" i="91" s="1"/>
  <c r="G65" i="96"/>
  <c r="L18" i="96"/>
  <c r="F49" i="96"/>
  <c r="E12" i="96"/>
  <c r="G11" i="91" s="1"/>
  <c r="C86" i="96"/>
  <c r="I57" i="96"/>
  <c r="F86" i="96"/>
  <c r="C85" i="96"/>
  <c r="F44" i="96"/>
  <c r="G71" i="96"/>
  <c r="E87" i="96"/>
  <c r="I33" i="96"/>
  <c r="F63" i="96"/>
  <c r="D75" i="96"/>
  <c r="F38" i="96"/>
  <c r="E57" i="96"/>
  <c r="G56" i="91" s="1"/>
  <c r="F98" i="96"/>
  <c r="G49" i="96"/>
  <c r="C92" i="96"/>
  <c r="E9" i="96"/>
  <c r="G8" i="91" s="1"/>
  <c r="F20" i="96"/>
  <c r="K50" i="96"/>
  <c r="F33" i="96"/>
  <c r="E13" i="96"/>
  <c r="G12" i="91" s="1"/>
  <c r="E51" i="96"/>
  <c r="G50" i="91" s="1"/>
  <c r="E15" i="96"/>
  <c r="G14" i="91" s="1"/>
  <c r="O7" i="91" s="1"/>
  <c r="L39" i="96"/>
  <c r="K78" i="96"/>
  <c r="J53" i="96"/>
  <c r="H52" i="91" s="1"/>
  <c r="G43" i="96"/>
  <c r="C65" i="96"/>
  <c r="L38" i="96"/>
  <c r="G89" i="96"/>
  <c r="D45" i="96"/>
  <c r="D58" i="96"/>
  <c r="E49" i="96"/>
  <c r="G48" i="91" s="1"/>
  <c r="C102" i="96"/>
  <c r="G81" i="96"/>
  <c r="G54" i="96"/>
  <c r="D16" i="96"/>
  <c r="F93" i="96"/>
  <c r="C53" i="96"/>
  <c r="C73" i="96"/>
  <c r="L13" i="96"/>
  <c r="F59" i="96"/>
  <c r="F13" i="96"/>
  <c r="F66" i="96"/>
  <c r="C10" i="96"/>
  <c r="E96" i="96"/>
  <c r="F76" i="96"/>
  <c r="D77" i="96"/>
  <c r="I64" i="96"/>
  <c r="J29" i="96"/>
  <c r="H28" i="91" s="1"/>
  <c r="D104" i="96"/>
  <c r="D23" i="96"/>
  <c r="F43" i="96"/>
  <c r="F27" i="96"/>
  <c r="C55" i="96"/>
  <c r="C26" i="96"/>
  <c r="F94" i="96"/>
  <c r="I103" i="96"/>
  <c r="G56" i="96"/>
  <c r="D33" i="96"/>
  <c r="D32" i="96"/>
  <c r="D85" i="96"/>
  <c r="G25" i="96"/>
  <c r="E100" i="96"/>
  <c r="G72" i="96"/>
  <c r="G61" i="96"/>
  <c r="G78" i="96"/>
  <c r="C9" i="96"/>
  <c r="J8" i="96"/>
  <c r="H7" i="91" s="1"/>
  <c r="D19" i="96"/>
  <c r="G11" i="96"/>
  <c r="G30" i="96"/>
  <c r="F51" i="96"/>
  <c r="C17" i="96"/>
  <c r="F89" i="96"/>
  <c r="C31" i="96"/>
  <c r="F78" i="96"/>
  <c r="J63" i="96"/>
  <c r="H62" i="91" s="1"/>
  <c r="F91" i="96"/>
  <c r="D99" i="96"/>
  <c r="G36" i="96"/>
  <c r="G98" i="96"/>
  <c r="L85" i="96"/>
  <c r="E94" i="96"/>
  <c r="D96" i="96"/>
  <c r="G101" i="96"/>
  <c r="F9" i="96"/>
  <c r="E41" i="96"/>
  <c r="G40" i="91" s="1"/>
  <c r="G18" i="96"/>
  <c r="F29" i="96"/>
  <c r="D46" i="96"/>
  <c r="G60" i="96"/>
  <c r="F60" i="96"/>
  <c r="D18" i="96"/>
  <c r="E80" i="96"/>
  <c r="G79" i="91" s="1"/>
  <c r="O20" i="91" s="1"/>
  <c r="C89" i="96"/>
  <c r="C99" i="96"/>
  <c r="C7" i="96"/>
  <c r="G24" i="96"/>
  <c r="E10" i="96"/>
  <c r="G9" i="91" s="1"/>
  <c r="O6" i="91" s="1"/>
  <c r="J11" i="96"/>
  <c r="H10" i="91" s="1"/>
  <c r="C57" i="96"/>
  <c r="D11" i="96"/>
  <c r="F21" i="96"/>
  <c r="C63" i="96"/>
  <c r="D84" i="96"/>
  <c r="L75" i="96"/>
  <c r="J45" i="96"/>
  <c r="H44" i="91" s="1"/>
  <c r="E13" i="95"/>
  <c r="D67" i="96"/>
  <c r="C13" i="96"/>
  <c r="C39" i="96"/>
  <c r="G104" i="96"/>
  <c r="F26" i="96"/>
  <c r="C96" i="96"/>
  <c r="C37" i="96"/>
  <c r="C98" i="96"/>
  <c r="F56" i="96"/>
  <c r="F103" i="96"/>
  <c r="F50" i="96"/>
  <c r="F104" i="96"/>
  <c r="E45" i="96"/>
  <c r="G44" i="91" s="1"/>
  <c r="O13" i="91" s="1"/>
  <c r="E9" i="95"/>
  <c r="E69" i="96"/>
  <c r="G68" i="91" s="1"/>
  <c r="F12" i="96"/>
  <c r="G33" i="96"/>
  <c r="F46" i="96"/>
  <c r="J50" i="96"/>
  <c r="H49" i="91" s="1"/>
  <c r="E37" i="96"/>
  <c r="G36" i="91" s="1"/>
  <c r="E74" i="96"/>
  <c r="G73" i="91" s="1"/>
  <c r="D44" i="96"/>
  <c r="E93" i="96"/>
  <c r="G31" i="96"/>
  <c r="F75" i="96"/>
  <c r="D38" i="96"/>
  <c r="C40" i="96"/>
  <c r="F69" i="96"/>
  <c r="D64" i="96"/>
  <c r="G50" i="96"/>
  <c r="F90" i="96"/>
  <c r="C44" i="96"/>
  <c r="F79" i="96"/>
  <c r="D12" i="96"/>
  <c r="G40" i="96"/>
  <c r="G13" i="96"/>
  <c r="F30" i="96"/>
  <c r="E78" i="96"/>
  <c r="G77" i="91" s="1"/>
  <c r="D29" i="96"/>
  <c r="D72" i="96"/>
  <c r="G58" i="96"/>
  <c r="D28" i="96"/>
  <c r="G75" i="96"/>
  <c r="D50" i="96"/>
  <c r="F14" i="96"/>
  <c r="E19" i="96"/>
  <c r="G18" i="91" s="1"/>
  <c r="F40" i="96"/>
  <c r="G95" i="96"/>
  <c r="D26" i="96"/>
  <c r="D88" i="96"/>
  <c r="F18" i="96"/>
  <c r="G12" i="96"/>
  <c r="C82" i="96"/>
  <c r="G85" i="96"/>
  <c r="G63" i="96"/>
  <c r="D40" i="96"/>
  <c r="E43" i="96"/>
  <c r="G42" i="91" s="1"/>
  <c r="D36" i="96"/>
  <c r="G53" i="96"/>
  <c r="E60" i="96"/>
  <c r="G59" i="91" s="1"/>
  <c r="O16" i="91" s="1"/>
  <c r="D66" i="96"/>
  <c r="D42" i="96"/>
  <c r="D62" i="96"/>
  <c r="C104" i="96"/>
  <c r="G38" i="96"/>
  <c r="G96" i="96"/>
  <c r="D76" i="96"/>
  <c r="G67" i="96"/>
  <c r="C77" i="96"/>
  <c r="G21" i="96"/>
  <c r="E103" i="96"/>
  <c r="G102" i="96"/>
  <c r="C70" i="96"/>
  <c r="C61" i="96"/>
  <c r="C22" i="96"/>
  <c r="BM17" i="91"/>
  <c r="BM16" i="91"/>
  <c r="BM11" i="91"/>
  <c r="BO8" i="91"/>
  <c r="BM10" i="91"/>
  <c r="BM8" i="91"/>
  <c r="BK11" i="91"/>
  <c r="BL7" i="91"/>
  <c r="BL13" i="91"/>
  <c r="BK7" i="91"/>
  <c r="BM9" i="91"/>
  <c r="BK20" i="91"/>
  <c r="BM21" i="91"/>
  <c r="BK12" i="91"/>
  <c r="BO5" i="91"/>
  <c r="BL6" i="91"/>
  <c r="BL9" i="91"/>
  <c r="BO17" i="91"/>
  <c r="BN11" i="91"/>
  <c r="BK9" i="91"/>
  <c r="BK18" i="91"/>
  <c r="BN15" i="91"/>
  <c r="BL19" i="91"/>
  <c r="BK21" i="91"/>
  <c r="BO15" i="91"/>
  <c r="BO16" i="91"/>
  <c r="BO11" i="91"/>
  <c r="BO21" i="91"/>
  <c r="BL11" i="91"/>
  <c r="BK8" i="91"/>
  <c r="BM6" i="91"/>
  <c r="BN12" i="91"/>
  <c r="BN8" i="91"/>
  <c r="BO9" i="91"/>
  <c r="BM18" i="91"/>
  <c r="BK19" i="91"/>
  <c r="BN10" i="91"/>
  <c r="BL17" i="91"/>
  <c r="BK13" i="91"/>
  <c r="BL10" i="91"/>
  <c r="BK17" i="91"/>
  <c r="BL5" i="91"/>
  <c r="BL18" i="91"/>
  <c r="BM5" i="91"/>
  <c r="BM7" i="91"/>
  <c r="BN21" i="91"/>
  <c r="BL12" i="91"/>
  <c r="BN9" i="91"/>
  <c r="BO6" i="91"/>
  <c r="BL8" i="91"/>
  <c r="BN5" i="91"/>
  <c r="BN6" i="91"/>
  <c r="BL21" i="91"/>
  <c r="BK5" i="91"/>
  <c r="BO7" i="91"/>
  <c r="BK6" i="91"/>
  <c r="BN16" i="91"/>
  <c r="BK10" i="91"/>
  <c r="BO10" i="91"/>
  <c r="BN17" i="91"/>
  <c r="BN7" i="91"/>
  <c r="BM12" i="91"/>
  <c r="BI22" i="91" l="1"/>
  <c r="BG22" i="91"/>
  <c r="BH22" i="91"/>
  <c r="BF22" i="91"/>
  <c r="BE22" i="91"/>
  <c r="AK22" i="91"/>
  <c r="AP22" i="91" s="1"/>
  <c r="AU22" i="91" s="1"/>
  <c r="AZ22" i="91"/>
  <c r="AJ22" i="91"/>
  <c r="AO22" i="91" s="1"/>
  <c r="AT22" i="91" s="1"/>
  <c r="AY22" i="91"/>
  <c r="AM22" i="91"/>
  <c r="AR22" i="91" s="1"/>
  <c r="AW22" i="91" s="1"/>
  <c r="BB22" i="91"/>
  <c r="AL22" i="91"/>
  <c r="AQ22" i="91" s="1"/>
  <c r="AV22" i="91" s="1"/>
  <c r="BA22" i="91"/>
  <c r="AI22" i="91"/>
  <c r="AN22" i="91" s="1"/>
  <c r="AS22" i="91" s="1"/>
  <c r="AX22" i="91"/>
  <c r="E10" i="95"/>
  <c r="I9" i="95"/>
  <c r="K9" i="95"/>
  <c r="J9" i="95"/>
  <c r="I13" i="95"/>
  <c r="K13" i="95"/>
  <c r="J13" i="95"/>
  <c r="BN22" i="91"/>
  <c r="BO22" i="91"/>
  <c r="BM22" i="91"/>
  <c r="BL22" i="91"/>
  <c r="BK22" i="91"/>
  <c r="BF23" i="91" l="1"/>
  <c r="BH23" i="91"/>
  <c r="BG23" i="91"/>
  <c r="BI23" i="91"/>
  <c r="BE23" i="91"/>
  <c r="AJ23" i="91"/>
  <c r="AO23" i="91" s="1"/>
  <c r="AT23" i="91" s="1"/>
  <c r="AY23" i="91"/>
  <c r="AZ23" i="91"/>
  <c r="AK23" i="91"/>
  <c r="AP23" i="91" s="1"/>
  <c r="AU23" i="91" s="1"/>
  <c r="BA23" i="91"/>
  <c r="AL23" i="91"/>
  <c r="AQ23" i="91" s="1"/>
  <c r="AV23" i="91" s="1"/>
  <c r="AI23" i="91"/>
  <c r="AN23" i="91" s="1"/>
  <c r="AS23" i="91" s="1"/>
  <c r="AX23" i="91"/>
  <c r="BB23" i="91"/>
  <c r="AM23" i="91"/>
  <c r="AR23" i="91" s="1"/>
  <c r="AW23" i="91" s="1"/>
  <c r="E11" i="95"/>
  <c r="K10" i="95"/>
  <c r="I10" i="95"/>
  <c r="J10" i="95"/>
  <c r="BO23" i="91"/>
  <c r="BM23" i="91"/>
  <c r="BL23" i="91"/>
  <c r="BN23" i="91"/>
  <c r="BK23" i="91"/>
  <c r="BI24" i="91" l="1"/>
  <c r="BG24" i="91"/>
  <c r="BH24" i="91"/>
  <c r="BF24" i="91"/>
  <c r="BE24" i="91"/>
  <c r="BB24" i="91"/>
  <c r="AM24" i="91"/>
  <c r="AR24" i="91" s="1"/>
  <c r="AW24" i="91" s="1"/>
  <c r="AI24" i="91"/>
  <c r="AN24" i="91" s="1"/>
  <c r="AS24" i="91" s="1"/>
  <c r="AX24" i="91"/>
  <c r="AZ24" i="91"/>
  <c r="AK24" i="91"/>
  <c r="AP24" i="91" s="1"/>
  <c r="AU24" i="91" s="1"/>
  <c r="AJ24" i="91"/>
  <c r="AO24" i="91" s="1"/>
  <c r="AT24" i="91" s="1"/>
  <c r="AY24" i="91"/>
  <c r="BA24" i="91"/>
  <c r="AL24" i="91"/>
  <c r="AQ24" i="91" s="1"/>
  <c r="AV24" i="91" s="1"/>
  <c r="E12" i="95"/>
  <c r="I11" i="95"/>
  <c r="K11" i="95"/>
  <c r="J11" i="95"/>
  <c r="BL24" i="91"/>
  <c r="BO24" i="91"/>
  <c r="BM24" i="91"/>
  <c r="BN24" i="91"/>
  <c r="BK24" i="91"/>
  <c r="BF25" i="91" l="1"/>
  <c r="BH25" i="91"/>
  <c r="BG25" i="91"/>
  <c r="BI25" i="91"/>
  <c r="BE25" i="91"/>
  <c r="AJ25" i="91"/>
  <c r="AO25" i="91" s="1"/>
  <c r="AT25" i="91" s="1"/>
  <c r="AY25" i="91"/>
  <c r="AI25" i="91"/>
  <c r="AN25" i="91" s="1"/>
  <c r="AS25" i="91" s="1"/>
  <c r="AX25" i="91"/>
  <c r="BB25" i="91"/>
  <c r="AM25" i="91"/>
  <c r="AR25" i="91" s="1"/>
  <c r="AW25" i="91" s="1"/>
  <c r="BA25" i="91"/>
  <c r="AL25" i="91"/>
  <c r="AQ25" i="91" s="1"/>
  <c r="AV25" i="91" s="1"/>
  <c r="AK25" i="91"/>
  <c r="AP25" i="91" s="1"/>
  <c r="AU25" i="91" s="1"/>
  <c r="AZ25" i="91"/>
  <c r="K12" i="95"/>
  <c r="J12" i="95"/>
  <c r="I12" i="95"/>
  <c r="BL25" i="91"/>
  <c r="BO25" i="91"/>
  <c r="BM25" i="91"/>
  <c r="BN25" i="91"/>
  <c r="BK25" i="91"/>
  <c r="BI26" i="91" l="1"/>
  <c r="BG26" i="91"/>
  <c r="BH26" i="91"/>
  <c r="BF26" i="91"/>
  <c r="BE26" i="91"/>
  <c r="AI26" i="91"/>
  <c r="AN26" i="91" s="1"/>
  <c r="AS26" i="91" s="1"/>
  <c r="AX26" i="91"/>
  <c r="BA26" i="91"/>
  <c r="AL26" i="91"/>
  <c r="AQ26" i="91" s="1"/>
  <c r="AV26" i="91" s="1"/>
  <c r="AJ26" i="91"/>
  <c r="AO26" i="91" s="1"/>
  <c r="AT26" i="91" s="1"/>
  <c r="AY26" i="91"/>
  <c r="AZ26" i="91"/>
  <c r="AK26" i="91"/>
  <c r="AP26" i="91" s="1"/>
  <c r="AU26" i="91" s="1"/>
  <c r="BB26" i="91"/>
  <c r="AM26" i="91"/>
  <c r="AR26" i="91" s="1"/>
  <c r="AW26" i="91" s="1"/>
  <c r="BO26" i="91"/>
  <c r="BM26" i="91"/>
  <c r="BN26" i="91"/>
  <c r="BL26" i="91"/>
  <c r="BK26" i="91"/>
  <c r="BF27" i="91" l="1"/>
  <c r="BH27" i="91"/>
  <c r="BG27" i="91"/>
  <c r="BI27" i="91"/>
  <c r="BE27" i="91"/>
  <c r="BA27" i="91"/>
  <c r="AL27" i="91"/>
  <c r="AQ27" i="91" s="1"/>
  <c r="AV27" i="91" s="1"/>
  <c r="BB27" i="91"/>
  <c r="AM27" i="91"/>
  <c r="AR27" i="91" s="1"/>
  <c r="AW27" i="91" s="1"/>
  <c r="AK27" i="91"/>
  <c r="AP27" i="91" s="1"/>
  <c r="AU27" i="91" s="1"/>
  <c r="AZ27" i="91"/>
  <c r="AI27" i="91"/>
  <c r="AN27" i="91" s="1"/>
  <c r="AS27" i="91" s="1"/>
  <c r="AX27" i="91"/>
  <c r="AJ27" i="91"/>
  <c r="AO27" i="91" s="1"/>
  <c r="AT27" i="91" s="1"/>
  <c r="AY27" i="91"/>
  <c r="BL27" i="91"/>
  <c r="BN27" i="91"/>
  <c r="BM27" i="91"/>
  <c r="BO27" i="91"/>
  <c r="BK27" i="91"/>
  <c r="BH28" i="91" l="1"/>
  <c r="BI28" i="91"/>
  <c r="BG28" i="91"/>
  <c r="BF28" i="91"/>
  <c r="BE28" i="91"/>
  <c r="BB28" i="91"/>
  <c r="AM28" i="91"/>
  <c r="AR28" i="91" s="1"/>
  <c r="AW28" i="91" s="1"/>
  <c r="AJ28" i="91"/>
  <c r="AO28" i="91" s="1"/>
  <c r="AT28" i="91" s="1"/>
  <c r="AY28" i="91"/>
  <c r="AL28" i="91"/>
  <c r="AQ28" i="91" s="1"/>
  <c r="AV28" i="91" s="1"/>
  <c r="BA28" i="91"/>
  <c r="AI28" i="91"/>
  <c r="AN28" i="91" s="1"/>
  <c r="AS28" i="91" s="1"/>
  <c r="AX28" i="91"/>
  <c r="AZ28" i="91"/>
  <c r="AK28" i="91"/>
  <c r="AP28" i="91" s="1"/>
  <c r="AU28" i="91" s="1"/>
  <c r="BK28" i="91"/>
  <c r="BN28" i="91"/>
  <c r="BO28" i="91"/>
  <c r="BM28" i="91"/>
  <c r="BL28" i="91"/>
  <c r="BF29" i="91" l="1"/>
  <c r="BG29" i="91"/>
  <c r="BI29" i="91"/>
  <c r="BH29" i="91"/>
  <c r="BE29" i="91"/>
  <c r="AJ29" i="91"/>
  <c r="AO29" i="91" s="1"/>
  <c r="AT29" i="91" s="1"/>
  <c r="AY29" i="91"/>
  <c r="AK29" i="91"/>
  <c r="AP29" i="91" s="1"/>
  <c r="AU29" i="91" s="1"/>
  <c r="AZ29" i="91"/>
  <c r="BB29" i="91"/>
  <c r="AM29" i="91"/>
  <c r="AR29" i="91" s="1"/>
  <c r="AW29" i="91" s="1"/>
  <c r="AI29" i="91"/>
  <c r="AN29" i="91" s="1"/>
  <c r="AS29" i="91" s="1"/>
  <c r="AX29" i="91"/>
  <c r="BA29" i="91"/>
  <c r="AL29" i="91"/>
  <c r="AQ29" i="91" s="1"/>
  <c r="AV29" i="91" s="1"/>
  <c r="BM29" i="91"/>
  <c r="BL29" i="91"/>
  <c r="BO29" i="91"/>
  <c r="BN29" i="91"/>
  <c r="BK29" i="91"/>
  <c r="BI30" i="91" l="1"/>
  <c r="BG30" i="91"/>
  <c r="BH30" i="91"/>
  <c r="BF30" i="91"/>
  <c r="BE30" i="91"/>
  <c r="AK30" i="91"/>
  <c r="AP30" i="91" s="1"/>
  <c r="AU30" i="91" s="1"/>
  <c r="AZ30" i="91"/>
  <c r="BA30" i="91"/>
  <c r="AL30" i="91"/>
  <c r="AQ30" i="91" s="1"/>
  <c r="AV30" i="91" s="1"/>
  <c r="AI30" i="91"/>
  <c r="AN30" i="91" s="1"/>
  <c r="AS30" i="91" s="1"/>
  <c r="AX30" i="91"/>
  <c r="AJ30" i="91"/>
  <c r="AO30" i="91" s="1"/>
  <c r="AT30" i="91" s="1"/>
  <c r="AY30" i="91"/>
  <c r="BB30" i="91"/>
  <c r="AM30" i="91"/>
  <c r="AR30" i="91" s="1"/>
  <c r="AW30" i="91" s="1"/>
  <c r="BN30" i="91"/>
  <c r="BO30" i="91"/>
  <c r="BL30" i="91"/>
  <c r="BM30" i="91"/>
  <c r="BK30" i="91"/>
  <c r="BF31" i="91" l="1"/>
  <c r="BH31" i="91"/>
  <c r="BG31" i="91"/>
  <c r="BI31" i="91"/>
  <c r="BE31" i="91"/>
  <c r="BA31" i="91"/>
  <c r="AL31" i="91"/>
  <c r="AQ31" i="91" s="1"/>
  <c r="AV31" i="91" s="1"/>
  <c r="BB31" i="91"/>
  <c r="AM31" i="91"/>
  <c r="AR31" i="91" s="1"/>
  <c r="AW31" i="91" s="1"/>
  <c r="AY31" i="91"/>
  <c r="AJ31" i="91"/>
  <c r="AO31" i="91" s="1"/>
  <c r="AT31" i="91" s="1"/>
  <c r="AK31" i="91"/>
  <c r="AP31" i="91" s="1"/>
  <c r="AU31" i="91" s="1"/>
  <c r="AZ31" i="91"/>
  <c r="AI31" i="91"/>
  <c r="AN31" i="91" s="1"/>
  <c r="AS31" i="91" s="1"/>
  <c r="AX31" i="91"/>
  <c r="BL31" i="91"/>
  <c r="BM31" i="91"/>
  <c r="BO31" i="91"/>
  <c r="BN31" i="91"/>
  <c r="BK31" i="91"/>
  <c r="BI32" i="91" l="1"/>
  <c r="BG32" i="91"/>
  <c r="BH32" i="91"/>
  <c r="BF32" i="91"/>
  <c r="BE32" i="91"/>
  <c r="BB32" i="91"/>
  <c r="AM32" i="91"/>
  <c r="AR32" i="91" s="1"/>
  <c r="AW32" i="91" s="1"/>
  <c r="AZ32" i="91"/>
  <c r="AK32" i="91"/>
  <c r="AP32" i="91" s="1"/>
  <c r="AU32" i="91" s="1"/>
  <c r="AL32" i="91"/>
  <c r="AQ32" i="91" s="1"/>
  <c r="AV32" i="91" s="1"/>
  <c r="BA32" i="91"/>
  <c r="AI32" i="91"/>
  <c r="AN32" i="91" s="1"/>
  <c r="AS32" i="91" s="1"/>
  <c r="AX32" i="91"/>
  <c r="AY32" i="91"/>
  <c r="AJ32" i="91"/>
  <c r="AO32" i="91" s="1"/>
  <c r="AT32" i="91" s="1"/>
  <c r="BM32" i="91"/>
  <c r="BO32" i="91"/>
  <c r="BN32" i="91"/>
  <c r="BL32" i="91"/>
  <c r="BK32" i="91"/>
  <c r="BF33" i="91" l="1"/>
  <c r="BH33" i="91"/>
  <c r="BG33" i="91"/>
  <c r="BI33" i="91"/>
  <c r="BE33" i="91"/>
  <c r="AZ33" i="91"/>
  <c r="AK33" i="91"/>
  <c r="AP33" i="91" s="1"/>
  <c r="AU33" i="91" s="1"/>
  <c r="AJ33" i="91"/>
  <c r="AO33" i="91" s="1"/>
  <c r="AT33" i="91" s="1"/>
  <c r="AY33" i="91"/>
  <c r="AI33" i="91"/>
  <c r="AN33" i="91" s="1"/>
  <c r="AS33" i="91" s="1"/>
  <c r="AX33" i="91"/>
  <c r="BB33" i="91"/>
  <c r="AM33" i="91"/>
  <c r="AR33" i="91" s="1"/>
  <c r="AW33" i="91" s="1"/>
  <c r="BA33" i="91"/>
  <c r="AL33" i="91"/>
  <c r="AQ33" i="91" s="1"/>
  <c r="AV33" i="91" s="1"/>
  <c r="BN33" i="91"/>
  <c r="BL33" i="91"/>
  <c r="BO33" i="91"/>
  <c r="BK33" i="91"/>
  <c r="BM33" i="91"/>
  <c r="BI34" i="91" l="1"/>
  <c r="BG34" i="91"/>
  <c r="BH34" i="91"/>
  <c r="BF34" i="91"/>
  <c r="BE34" i="91"/>
  <c r="AJ34" i="91"/>
  <c r="AO34" i="91" s="1"/>
  <c r="AT34" i="91" s="1"/>
  <c r="AY34" i="91"/>
  <c r="BA34" i="91"/>
  <c r="AL34" i="91"/>
  <c r="AQ34" i="91" s="1"/>
  <c r="AV34" i="91" s="1"/>
  <c r="AK34" i="91"/>
  <c r="AP34" i="91" s="1"/>
  <c r="AU34" i="91" s="1"/>
  <c r="AZ34" i="91"/>
  <c r="BB34" i="91"/>
  <c r="AM34" i="91"/>
  <c r="AR34" i="91" s="1"/>
  <c r="AW34" i="91" s="1"/>
  <c r="AI34" i="91"/>
  <c r="AN34" i="91" s="1"/>
  <c r="AS34" i="91" s="1"/>
  <c r="AX34" i="91"/>
  <c r="BO34" i="91"/>
  <c r="BM34" i="91"/>
  <c r="BL34" i="91"/>
  <c r="BK34" i="91"/>
  <c r="BN34" i="91"/>
  <c r="BI35" i="91" l="1"/>
  <c r="BF35" i="91"/>
  <c r="BH35" i="91"/>
  <c r="BG35" i="91"/>
  <c r="BE35" i="91"/>
  <c r="BA35" i="91"/>
  <c r="AL35" i="91"/>
  <c r="AQ35" i="91" s="1"/>
  <c r="AV35" i="91" s="1"/>
  <c r="AM35" i="91"/>
  <c r="AR35" i="91" s="1"/>
  <c r="AW35" i="91" s="1"/>
  <c r="BB35" i="91"/>
  <c r="AJ35" i="91"/>
  <c r="AO35" i="91" s="1"/>
  <c r="AT35" i="91" s="1"/>
  <c r="AY35" i="91"/>
  <c r="AI35" i="91"/>
  <c r="AN35" i="91" s="1"/>
  <c r="AS35" i="91" s="1"/>
  <c r="AX35" i="91"/>
  <c r="AK35" i="91"/>
  <c r="AP35" i="91" s="1"/>
  <c r="AU35" i="91" s="1"/>
  <c r="AZ35" i="91"/>
  <c r="BO35" i="91"/>
  <c r="BL35" i="91"/>
  <c r="BK35" i="91"/>
  <c r="BN35" i="91"/>
  <c r="BM35" i="91"/>
  <c r="BG36" i="91" l="1"/>
  <c r="BH36" i="91"/>
  <c r="BF36" i="91"/>
  <c r="BI36" i="91"/>
  <c r="BE36" i="91"/>
  <c r="BB36" i="91"/>
  <c r="AM36" i="91"/>
  <c r="AR36" i="91" s="1"/>
  <c r="AW36" i="91" s="1"/>
  <c r="BA36" i="91"/>
  <c r="AL36" i="91"/>
  <c r="AQ36" i="91" s="1"/>
  <c r="AV36" i="91" s="1"/>
  <c r="AI36" i="91"/>
  <c r="AN36" i="91" s="1"/>
  <c r="AS36" i="91" s="1"/>
  <c r="AX36" i="91"/>
  <c r="AK36" i="91"/>
  <c r="AP36" i="91" s="1"/>
  <c r="AU36" i="91" s="1"/>
  <c r="AZ36" i="91"/>
  <c r="AY36" i="91"/>
  <c r="AJ36" i="91"/>
  <c r="AO36" i="91" s="1"/>
  <c r="AT36" i="91" s="1"/>
  <c r="BK36" i="91"/>
  <c r="BN36" i="91"/>
  <c r="BL36" i="91"/>
  <c r="BO36" i="91"/>
  <c r="BM36" i="91"/>
  <c r="BG37" i="91" l="1"/>
  <c r="BI37" i="91"/>
  <c r="BF37" i="91"/>
  <c r="BH37" i="91"/>
  <c r="BE37" i="91"/>
  <c r="AY37" i="91"/>
  <c r="AJ37" i="91"/>
  <c r="AO37" i="91" s="1"/>
  <c r="AT37" i="91" s="1"/>
  <c r="BA37" i="91"/>
  <c r="AL37" i="91"/>
  <c r="AQ37" i="91" s="1"/>
  <c r="AV37" i="91" s="1"/>
  <c r="AZ37" i="91"/>
  <c r="AK37" i="91"/>
  <c r="AP37" i="91" s="1"/>
  <c r="AU37" i="91" s="1"/>
  <c r="BB37" i="91"/>
  <c r="AM37" i="91"/>
  <c r="AR37" i="91" s="1"/>
  <c r="AW37" i="91" s="1"/>
  <c r="AI37" i="91"/>
  <c r="AN37" i="91" s="1"/>
  <c r="AS37" i="91" s="1"/>
  <c r="AX37" i="91"/>
  <c r="BN37" i="91"/>
  <c r="BL37" i="91"/>
  <c r="BM37" i="91"/>
  <c r="BO37" i="91"/>
  <c r="BK37" i="91"/>
  <c r="BH38" i="91" l="1"/>
  <c r="BF38" i="91"/>
  <c r="BI38" i="91"/>
  <c r="BG38" i="91"/>
  <c r="BE38" i="91"/>
  <c r="AI38" i="91"/>
  <c r="AN38" i="91" s="1"/>
  <c r="AS38" i="91" s="1"/>
  <c r="AX38" i="91"/>
  <c r="BB38" i="91"/>
  <c r="AM38" i="91"/>
  <c r="AR38" i="91" s="1"/>
  <c r="AW38" i="91" s="1"/>
  <c r="AJ38" i="91"/>
  <c r="AO38" i="91" s="1"/>
  <c r="AT38" i="91" s="1"/>
  <c r="AY38" i="91"/>
  <c r="BA38" i="91"/>
  <c r="AL38" i="91"/>
  <c r="AQ38" i="91" s="1"/>
  <c r="AV38" i="91" s="1"/>
  <c r="AZ38" i="91"/>
  <c r="AK38" i="91"/>
  <c r="AP38" i="91" s="1"/>
  <c r="AU38" i="91" s="1"/>
  <c r="BM38" i="91"/>
  <c r="BL38" i="91"/>
  <c r="BN38" i="91"/>
  <c r="BK38" i="91"/>
  <c r="BO38" i="91"/>
  <c r="BH39" i="91" l="1"/>
  <c r="BG39" i="91"/>
  <c r="BI39" i="91"/>
  <c r="BF39" i="91"/>
  <c r="BE39" i="91"/>
  <c r="BB39" i="91"/>
  <c r="AM39" i="91"/>
  <c r="AR39" i="91" s="1"/>
  <c r="AW39" i="91" s="1"/>
  <c r="BA39" i="91"/>
  <c r="AL39" i="91"/>
  <c r="AQ39" i="91" s="1"/>
  <c r="AV39" i="91" s="1"/>
  <c r="AK39" i="91"/>
  <c r="AP39" i="91" s="1"/>
  <c r="AU39" i="91" s="1"/>
  <c r="AZ39" i="91"/>
  <c r="AI39" i="91"/>
  <c r="AN39" i="91" s="1"/>
  <c r="AS39" i="91" s="1"/>
  <c r="AX39" i="91"/>
  <c r="AJ39" i="91"/>
  <c r="AO39" i="91" s="1"/>
  <c r="AT39" i="91" s="1"/>
  <c r="AY39" i="91"/>
  <c r="BM39" i="91"/>
  <c r="BN39" i="91"/>
  <c r="BK39" i="91"/>
  <c r="BL39" i="91"/>
  <c r="BO39" i="91"/>
  <c r="BH40" i="91" l="1"/>
  <c r="BF40" i="91"/>
  <c r="BI40" i="91"/>
  <c r="BG40" i="91"/>
  <c r="BE40" i="91"/>
  <c r="BA40" i="91"/>
  <c r="AL40" i="91"/>
  <c r="AQ40" i="91" s="1"/>
  <c r="AV40" i="91" s="1"/>
  <c r="AI40" i="91"/>
  <c r="AN40" i="91" s="1"/>
  <c r="AS40" i="91" s="1"/>
  <c r="AX40" i="91"/>
  <c r="BB40" i="91"/>
  <c r="AM40" i="91"/>
  <c r="AR40" i="91" s="1"/>
  <c r="AW40" i="91" s="1"/>
  <c r="AJ40" i="91"/>
  <c r="AO40" i="91" s="1"/>
  <c r="AT40" i="91" s="1"/>
  <c r="AY40" i="91"/>
  <c r="AZ40" i="91"/>
  <c r="AK40" i="91"/>
  <c r="AP40" i="91" s="1"/>
  <c r="AU40" i="91" s="1"/>
  <c r="BN40" i="91"/>
  <c r="BL40" i="91"/>
  <c r="BO40" i="91"/>
  <c r="BM40" i="91"/>
  <c r="BK40" i="91"/>
  <c r="BH41" i="91" l="1"/>
  <c r="BG41" i="91"/>
  <c r="BI41" i="91"/>
  <c r="BF41" i="91"/>
  <c r="BE41" i="91"/>
  <c r="AI41" i="91"/>
  <c r="AN41" i="91" s="1"/>
  <c r="AS41" i="91" s="1"/>
  <c r="AX41" i="91"/>
  <c r="AK41" i="91"/>
  <c r="AP41" i="91" s="1"/>
  <c r="AU41" i="91" s="1"/>
  <c r="AZ41" i="91"/>
  <c r="BA41" i="91"/>
  <c r="AL41" i="91"/>
  <c r="AQ41" i="91" s="1"/>
  <c r="AV41" i="91" s="1"/>
  <c r="AJ41" i="91"/>
  <c r="AO41" i="91" s="1"/>
  <c r="AT41" i="91" s="1"/>
  <c r="AY41" i="91"/>
  <c r="AM41" i="91"/>
  <c r="AR41" i="91" s="1"/>
  <c r="AW41" i="91" s="1"/>
  <c r="BB41" i="91"/>
  <c r="BM41" i="91"/>
  <c r="BO41" i="91"/>
  <c r="BN41" i="91"/>
  <c r="BL41" i="91"/>
  <c r="BK41" i="91"/>
  <c r="BF42" i="91" l="1"/>
  <c r="BI42" i="91"/>
  <c r="BG42" i="91"/>
  <c r="BH42" i="91"/>
  <c r="BE42" i="91"/>
  <c r="AZ42" i="91"/>
  <c r="AK42" i="91"/>
  <c r="AP42" i="91" s="1"/>
  <c r="AU42" i="91" s="1"/>
  <c r="AI42" i="91"/>
  <c r="AN42" i="91" s="1"/>
  <c r="AS42" i="91" s="1"/>
  <c r="AX42" i="91"/>
  <c r="AM42" i="91"/>
  <c r="AR42" i="91" s="1"/>
  <c r="AW42" i="91" s="1"/>
  <c r="BB42" i="91"/>
  <c r="AJ42" i="91"/>
  <c r="AO42" i="91" s="1"/>
  <c r="AT42" i="91" s="1"/>
  <c r="AY42" i="91"/>
  <c r="BA42" i="91"/>
  <c r="AL42" i="91"/>
  <c r="AQ42" i="91" s="1"/>
  <c r="AV42" i="91" s="1"/>
  <c r="BL42" i="91"/>
  <c r="BM42" i="91"/>
  <c r="BO42" i="91"/>
  <c r="BN42" i="91"/>
  <c r="BK42" i="91"/>
  <c r="BH43" i="91" l="1"/>
  <c r="BF43" i="91"/>
  <c r="BG43" i="91"/>
  <c r="BI43" i="91"/>
  <c r="BE43" i="91"/>
  <c r="AI43" i="91"/>
  <c r="AN43" i="91" s="1"/>
  <c r="AS43" i="91" s="1"/>
  <c r="AX43" i="91"/>
  <c r="AL43" i="91"/>
  <c r="AQ43" i="91" s="1"/>
  <c r="AV43" i="91" s="1"/>
  <c r="BA43" i="91"/>
  <c r="AK43" i="91"/>
  <c r="AP43" i="91" s="1"/>
  <c r="AU43" i="91" s="1"/>
  <c r="AZ43" i="91"/>
  <c r="AY43" i="91"/>
  <c r="AJ43" i="91"/>
  <c r="AO43" i="91" s="1"/>
  <c r="AT43" i="91" s="1"/>
  <c r="BB43" i="91"/>
  <c r="AM43" i="91"/>
  <c r="AR43" i="91" s="1"/>
  <c r="AW43" i="91" s="1"/>
  <c r="BL43" i="91"/>
  <c r="BN43" i="91"/>
  <c r="BO43" i="91"/>
  <c r="BM43" i="91"/>
  <c r="BK43" i="91"/>
  <c r="BH44" i="91" l="1"/>
  <c r="BI44" i="91"/>
  <c r="BG44" i="91"/>
  <c r="BF44" i="91"/>
  <c r="BE44" i="91"/>
  <c r="BA44" i="91"/>
  <c r="AL44" i="91"/>
  <c r="AQ44" i="91" s="1"/>
  <c r="AV44" i="91" s="1"/>
  <c r="AJ44" i="91"/>
  <c r="AO44" i="91" s="1"/>
  <c r="AT44" i="91" s="1"/>
  <c r="AY44" i="91"/>
  <c r="AI44" i="91"/>
  <c r="AN44" i="91" s="1"/>
  <c r="AS44" i="91" s="1"/>
  <c r="AX44" i="91"/>
  <c r="BB44" i="91"/>
  <c r="AM44" i="91"/>
  <c r="AR44" i="91" s="1"/>
  <c r="AW44" i="91" s="1"/>
  <c r="AK44" i="91"/>
  <c r="AP44" i="91" s="1"/>
  <c r="AU44" i="91" s="1"/>
  <c r="AZ44" i="91"/>
  <c r="BO44" i="91"/>
  <c r="BN44" i="91"/>
  <c r="BM44" i="91"/>
  <c r="BK44" i="91"/>
  <c r="BL44" i="91"/>
  <c r="BH45" i="91" l="1"/>
  <c r="BF45" i="91"/>
  <c r="BG45" i="91"/>
  <c r="BI45" i="91"/>
  <c r="BE45" i="91"/>
  <c r="AJ45" i="91"/>
  <c r="AO45" i="91" s="1"/>
  <c r="AT45" i="91" s="1"/>
  <c r="AY45" i="91"/>
  <c r="AK45" i="91"/>
  <c r="AP45" i="91" s="1"/>
  <c r="AU45" i="91" s="1"/>
  <c r="AZ45" i="91"/>
  <c r="BA45" i="91"/>
  <c r="AL45" i="91"/>
  <c r="AQ45" i="91" s="1"/>
  <c r="AV45" i="91" s="1"/>
  <c r="BB45" i="91"/>
  <c r="AM45" i="91"/>
  <c r="AR45" i="91" s="1"/>
  <c r="AW45" i="91" s="1"/>
  <c r="AI45" i="91"/>
  <c r="AN45" i="91" s="1"/>
  <c r="AS45" i="91" s="1"/>
  <c r="AX45" i="91"/>
  <c r="BN45" i="91"/>
  <c r="BO45" i="91"/>
  <c r="BL45" i="91"/>
  <c r="BK45" i="91"/>
  <c r="BM45" i="91"/>
  <c r="BH46" i="91" l="1"/>
  <c r="BI46" i="91"/>
  <c r="BG46" i="91"/>
  <c r="BF46" i="91"/>
  <c r="BE46" i="91"/>
  <c r="AK46" i="91"/>
  <c r="AP46" i="91" s="1"/>
  <c r="AU46" i="91" s="1"/>
  <c r="AZ46" i="91"/>
  <c r="BB46" i="91"/>
  <c r="AM46" i="91"/>
  <c r="AR46" i="91" s="1"/>
  <c r="AW46" i="91" s="1"/>
  <c r="AY46" i="91"/>
  <c r="AJ46" i="91"/>
  <c r="AO46" i="91" s="1"/>
  <c r="AT46" i="91" s="1"/>
  <c r="AI46" i="91"/>
  <c r="AN46" i="91" s="1"/>
  <c r="AS46" i="91" s="1"/>
  <c r="AX46" i="91"/>
  <c r="BA46" i="91"/>
  <c r="AL46" i="91"/>
  <c r="AQ46" i="91" s="1"/>
  <c r="AV46" i="91" s="1"/>
  <c r="BO46" i="91"/>
  <c r="BN46" i="91"/>
  <c r="BM46" i="91"/>
  <c r="BL46" i="91"/>
  <c r="BK46" i="91"/>
  <c r="BI47" i="91" l="1"/>
  <c r="BF47" i="91"/>
  <c r="BH47" i="91"/>
  <c r="BG47" i="91"/>
  <c r="BE47" i="91"/>
  <c r="BB47" i="91"/>
  <c r="AM47" i="91"/>
  <c r="AR47" i="91" s="1"/>
  <c r="AW47" i="91" s="1"/>
  <c r="AI47" i="91"/>
  <c r="AN47" i="91" s="1"/>
  <c r="AS47" i="91" s="1"/>
  <c r="AX47" i="91"/>
  <c r="AZ47" i="91"/>
  <c r="AK47" i="91"/>
  <c r="AP47" i="91" s="1"/>
  <c r="AU47" i="91" s="1"/>
  <c r="BA47" i="91"/>
  <c r="AL47" i="91"/>
  <c r="AQ47" i="91" s="1"/>
  <c r="AV47" i="91" s="1"/>
  <c r="AJ47" i="91"/>
  <c r="AO47" i="91" s="1"/>
  <c r="AT47" i="91" s="1"/>
  <c r="AY47" i="91"/>
  <c r="BO47" i="91"/>
  <c r="BL47" i="91"/>
  <c r="BN47" i="91"/>
  <c r="BK47" i="91"/>
  <c r="BM47" i="91"/>
  <c r="BG48" i="91" l="1"/>
  <c r="BH48" i="91"/>
  <c r="BF48" i="91"/>
  <c r="BI48" i="91"/>
  <c r="BE48" i="91"/>
  <c r="AI48" i="91"/>
  <c r="AN48" i="91" s="1"/>
  <c r="AS48" i="91" s="1"/>
  <c r="AX48" i="91"/>
  <c r="AJ48" i="91"/>
  <c r="AO48" i="91" s="1"/>
  <c r="AT48" i="91" s="1"/>
  <c r="AY48" i="91"/>
  <c r="BB48" i="91"/>
  <c r="AM48" i="91"/>
  <c r="AR48" i="91" s="1"/>
  <c r="AW48" i="91" s="1"/>
  <c r="BA48" i="91"/>
  <c r="AL48" i="91"/>
  <c r="AQ48" i="91" s="1"/>
  <c r="AV48" i="91" s="1"/>
  <c r="AK48" i="91"/>
  <c r="AP48" i="91" s="1"/>
  <c r="AU48" i="91" s="1"/>
  <c r="AZ48" i="91"/>
  <c r="BL48" i="91"/>
  <c r="BN48" i="91"/>
  <c r="BO48" i="91"/>
  <c r="BK48" i="91"/>
  <c r="BM48" i="91"/>
  <c r="BG49" i="91" l="1"/>
  <c r="BI49" i="91"/>
  <c r="BF49" i="91"/>
  <c r="BH49" i="91"/>
  <c r="BE49" i="91"/>
  <c r="AJ49" i="91"/>
  <c r="AO49" i="91" s="1"/>
  <c r="AT49" i="91" s="1"/>
  <c r="AY49" i="91"/>
  <c r="BA49" i="91"/>
  <c r="AL49" i="91"/>
  <c r="AQ49" i="91" s="1"/>
  <c r="AV49" i="91" s="1"/>
  <c r="AI49" i="91"/>
  <c r="AN49" i="91" s="1"/>
  <c r="AS49" i="91" s="1"/>
  <c r="AX49" i="91"/>
  <c r="AK49" i="91"/>
  <c r="AP49" i="91" s="1"/>
  <c r="AU49" i="91" s="1"/>
  <c r="AZ49" i="91"/>
  <c r="BB49" i="91"/>
  <c r="AM49" i="91"/>
  <c r="AR49" i="91" s="1"/>
  <c r="AW49" i="91" s="1"/>
  <c r="BM49" i="91"/>
  <c r="BL49" i="91"/>
  <c r="BK49" i="91"/>
  <c r="BO49" i="91"/>
  <c r="BN49" i="91"/>
  <c r="BH50" i="91" l="1"/>
  <c r="BF50" i="91"/>
  <c r="BG50" i="91"/>
  <c r="BI50" i="91"/>
  <c r="BE50" i="91"/>
  <c r="BA50" i="91"/>
  <c r="AL50" i="91"/>
  <c r="AQ50" i="91" s="1"/>
  <c r="AV50" i="91" s="1"/>
  <c r="AZ50" i="91"/>
  <c r="AK50" i="91"/>
  <c r="AP50" i="91" s="1"/>
  <c r="AU50" i="91" s="1"/>
  <c r="BB50" i="91"/>
  <c r="AM50" i="91"/>
  <c r="AR50" i="91" s="1"/>
  <c r="AW50" i="91" s="1"/>
  <c r="AY50" i="91"/>
  <c r="AJ50" i="91"/>
  <c r="AO50" i="91" s="1"/>
  <c r="AT50" i="91" s="1"/>
  <c r="AI50" i="91"/>
  <c r="AN50" i="91" s="1"/>
  <c r="AS50" i="91" s="1"/>
  <c r="AX50" i="91"/>
  <c r="BL50" i="91"/>
  <c r="BM50" i="91"/>
  <c r="BN50" i="91"/>
  <c r="BO50" i="91"/>
  <c r="BK50" i="91"/>
  <c r="BH51" i="91" l="1"/>
  <c r="BI51" i="91"/>
  <c r="BG51" i="91"/>
  <c r="BF51" i="91"/>
  <c r="BE51" i="91"/>
  <c r="AK51" i="91"/>
  <c r="AP51" i="91" s="1"/>
  <c r="AU51" i="91" s="1"/>
  <c r="AZ51" i="91"/>
  <c r="AJ51" i="91"/>
  <c r="AO51" i="91" s="1"/>
  <c r="AT51" i="91" s="1"/>
  <c r="AY51" i="91"/>
  <c r="BA51" i="91"/>
  <c r="AL51" i="91"/>
  <c r="AQ51" i="91" s="1"/>
  <c r="AV51" i="91" s="1"/>
  <c r="AI51" i="91"/>
  <c r="AN51" i="91" s="1"/>
  <c r="AS51" i="91" s="1"/>
  <c r="AX51" i="91"/>
  <c r="BB51" i="91"/>
  <c r="AM51" i="91"/>
  <c r="AR51" i="91" s="1"/>
  <c r="AW51" i="91" s="1"/>
  <c r="BL51" i="91"/>
  <c r="BN51" i="91"/>
  <c r="BK51" i="91"/>
  <c r="BO51" i="91"/>
  <c r="BM51" i="91"/>
  <c r="BF52" i="91" l="1"/>
  <c r="BH52" i="91"/>
  <c r="BG52" i="91"/>
  <c r="BI52" i="91"/>
  <c r="BE52" i="91"/>
  <c r="AJ52" i="91"/>
  <c r="AO52" i="91" s="1"/>
  <c r="AT52" i="91" s="1"/>
  <c r="AY52" i="91"/>
  <c r="BB52" i="91"/>
  <c r="AM52" i="91"/>
  <c r="AR52" i="91" s="1"/>
  <c r="AW52" i="91" s="1"/>
  <c r="AK52" i="91"/>
  <c r="AP52" i="91" s="1"/>
  <c r="AU52" i="91" s="1"/>
  <c r="AZ52" i="91"/>
  <c r="AI52" i="91"/>
  <c r="AN52" i="91" s="1"/>
  <c r="AS52" i="91" s="1"/>
  <c r="AX52" i="91"/>
  <c r="BA52" i="91"/>
  <c r="AL52" i="91"/>
  <c r="AQ52" i="91" s="1"/>
  <c r="AV52" i="91" s="1"/>
  <c r="BK52" i="91"/>
  <c r="BN52" i="91"/>
  <c r="BL52" i="91"/>
  <c r="BO52" i="91"/>
  <c r="BM52" i="91"/>
  <c r="BI53" i="91" l="1"/>
  <c r="BF53" i="91"/>
  <c r="BG53" i="91"/>
  <c r="BH53" i="91"/>
  <c r="BE53" i="91"/>
  <c r="BB53" i="91"/>
  <c r="AM53" i="91"/>
  <c r="AR53" i="91" s="1"/>
  <c r="AW53" i="91" s="1"/>
  <c r="BA53" i="91"/>
  <c r="AL53" i="91"/>
  <c r="AQ53" i="91" s="1"/>
  <c r="AV53" i="91" s="1"/>
  <c r="AI53" i="91"/>
  <c r="AN53" i="91" s="1"/>
  <c r="AS53" i="91" s="1"/>
  <c r="AX53" i="91"/>
  <c r="AJ53" i="91"/>
  <c r="AO53" i="91" s="1"/>
  <c r="AT53" i="91" s="1"/>
  <c r="AY53" i="91"/>
  <c r="AZ53" i="91"/>
  <c r="AK53" i="91"/>
  <c r="AP53" i="91" s="1"/>
  <c r="AU53" i="91" s="1"/>
  <c r="BL53" i="91"/>
  <c r="BK53" i="91"/>
  <c r="BO53" i="91"/>
  <c r="BM53" i="91"/>
  <c r="BN53" i="91"/>
  <c r="BI54" i="91" l="1"/>
  <c r="BH54" i="91"/>
  <c r="BG54" i="91"/>
  <c r="BF54" i="91"/>
  <c r="BE54" i="91"/>
  <c r="AJ54" i="91"/>
  <c r="AO54" i="91" s="1"/>
  <c r="AT54" i="91" s="1"/>
  <c r="AY54" i="91"/>
  <c r="AL54" i="91"/>
  <c r="AQ54" i="91" s="1"/>
  <c r="AV54" i="91" s="1"/>
  <c r="BA54" i="91"/>
  <c r="BB54" i="91"/>
  <c r="AM54" i="91"/>
  <c r="AR54" i="91" s="1"/>
  <c r="AW54" i="91" s="1"/>
  <c r="AK54" i="91"/>
  <c r="AP54" i="91" s="1"/>
  <c r="AU54" i="91" s="1"/>
  <c r="AZ54" i="91"/>
  <c r="AI54" i="91"/>
  <c r="AN54" i="91" s="1"/>
  <c r="AS54" i="91" s="1"/>
  <c r="AX54" i="91"/>
  <c r="BN54" i="91"/>
  <c r="BL54" i="91"/>
  <c r="BK54" i="91"/>
  <c r="BO54" i="91"/>
  <c r="BM54" i="91"/>
  <c r="BF55" i="91" l="1"/>
  <c r="BG55" i="91"/>
  <c r="BH55" i="91"/>
  <c r="BI55" i="91"/>
  <c r="BE55" i="91"/>
  <c r="BA55" i="91"/>
  <c r="AL55" i="91"/>
  <c r="AQ55" i="91" s="1"/>
  <c r="AV55" i="91" s="1"/>
  <c r="AI55" i="91"/>
  <c r="AN55" i="91" s="1"/>
  <c r="AS55" i="91" s="1"/>
  <c r="AX55" i="91"/>
  <c r="AK55" i="91"/>
  <c r="AP55" i="91" s="1"/>
  <c r="AU55" i="91" s="1"/>
  <c r="AZ55" i="91"/>
  <c r="AJ55" i="91"/>
  <c r="AO55" i="91" s="1"/>
  <c r="AT55" i="91" s="1"/>
  <c r="AY55" i="91"/>
  <c r="AM55" i="91"/>
  <c r="AR55" i="91" s="1"/>
  <c r="AW55" i="91" s="1"/>
  <c r="BB55" i="91"/>
  <c r="BL55" i="91"/>
  <c r="BK55" i="91"/>
  <c r="BM55" i="91"/>
  <c r="BO55" i="91"/>
  <c r="BN55" i="91"/>
  <c r="BI56" i="91" l="1"/>
  <c r="BH56" i="91"/>
  <c r="BG56" i="91"/>
  <c r="BF56" i="91"/>
  <c r="BE56" i="91"/>
  <c r="AI56" i="91"/>
  <c r="AN56" i="91" s="1"/>
  <c r="AS56" i="91" s="1"/>
  <c r="AX56" i="91"/>
  <c r="AY56" i="91"/>
  <c r="AJ56" i="91"/>
  <c r="AO56" i="91" s="1"/>
  <c r="AT56" i="91" s="1"/>
  <c r="BA56" i="91"/>
  <c r="AL56" i="91"/>
  <c r="AQ56" i="91" s="1"/>
  <c r="AV56" i="91" s="1"/>
  <c r="BB56" i="91"/>
  <c r="AM56" i="91"/>
  <c r="AR56" i="91" s="1"/>
  <c r="AW56" i="91" s="1"/>
  <c r="AZ56" i="91"/>
  <c r="AK56" i="91"/>
  <c r="AP56" i="91" s="1"/>
  <c r="AU56" i="91" s="1"/>
  <c r="BN56" i="91"/>
  <c r="BO56" i="91"/>
  <c r="BL56" i="91"/>
  <c r="BM56" i="91"/>
  <c r="BK56" i="91"/>
  <c r="BF57" i="91" l="1"/>
  <c r="BG57" i="91"/>
  <c r="BH57" i="91"/>
  <c r="BI57" i="91"/>
  <c r="BE57" i="91"/>
  <c r="AJ57" i="91"/>
  <c r="AO57" i="91" s="1"/>
  <c r="AT57" i="91" s="1"/>
  <c r="AY57" i="91"/>
  <c r="AZ57" i="91"/>
  <c r="AK57" i="91"/>
  <c r="AP57" i="91" s="1"/>
  <c r="AU57" i="91" s="1"/>
  <c r="BB57" i="91"/>
  <c r="AM57" i="91"/>
  <c r="AR57" i="91" s="1"/>
  <c r="AW57" i="91" s="1"/>
  <c r="AI57" i="91"/>
  <c r="AN57" i="91" s="1"/>
  <c r="AS57" i="91" s="1"/>
  <c r="AX57" i="91"/>
  <c r="BA57" i="91"/>
  <c r="AL57" i="91"/>
  <c r="AQ57" i="91" s="1"/>
  <c r="AV57" i="91" s="1"/>
  <c r="BN57" i="91"/>
  <c r="BO57" i="91"/>
  <c r="BL57" i="91"/>
  <c r="BM57" i="91"/>
  <c r="BK57" i="91"/>
  <c r="BI58" i="91" l="1"/>
  <c r="BF58" i="91"/>
  <c r="BH58" i="91"/>
  <c r="BG58" i="91"/>
  <c r="BE58" i="91"/>
  <c r="AK58" i="91"/>
  <c r="AP58" i="91" s="1"/>
  <c r="AU58" i="91" s="1"/>
  <c r="AZ58" i="91"/>
  <c r="AI58" i="91"/>
  <c r="AN58" i="91" s="1"/>
  <c r="AS58" i="91" s="1"/>
  <c r="AX58" i="91"/>
  <c r="AJ58" i="91"/>
  <c r="AO58" i="91" s="1"/>
  <c r="AT58" i="91" s="1"/>
  <c r="AY58" i="91"/>
  <c r="BA58" i="91"/>
  <c r="AL58" i="91"/>
  <c r="AQ58" i="91" s="1"/>
  <c r="AV58" i="91" s="1"/>
  <c r="BB58" i="91"/>
  <c r="AM58" i="91"/>
  <c r="AR58" i="91" s="1"/>
  <c r="AW58" i="91" s="1"/>
  <c r="BL58" i="91"/>
  <c r="BO58" i="91"/>
  <c r="BN58" i="91"/>
  <c r="BM58" i="91"/>
  <c r="BK58" i="91"/>
  <c r="BI59" i="91" l="1"/>
  <c r="BG59" i="91"/>
  <c r="BF59" i="91"/>
  <c r="BH59" i="91"/>
  <c r="BE59" i="91"/>
  <c r="AI59" i="91"/>
  <c r="AN59" i="91" s="1"/>
  <c r="AS59" i="91" s="1"/>
  <c r="AX59" i="91"/>
  <c r="BB59" i="91"/>
  <c r="AM59" i="91"/>
  <c r="AR59" i="91" s="1"/>
  <c r="AW59" i="91" s="1"/>
  <c r="BA59" i="91"/>
  <c r="AL59" i="91"/>
  <c r="AQ59" i="91" s="1"/>
  <c r="AV59" i="91" s="1"/>
  <c r="AK59" i="91"/>
  <c r="AP59" i="91" s="1"/>
  <c r="AU59" i="91" s="1"/>
  <c r="AZ59" i="91"/>
  <c r="AY59" i="91"/>
  <c r="AJ59" i="91"/>
  <c r="AO59" i="91" s="1"/>
  <c r="AT59" i="91" s="1"/>
  <c r="BL59" i="91"/>
  <c r="BM59" i="91"/>
  <c r="BN59" i="91"/>
  <c r="BO59" i="91"/>
  <c r="BK59" i="91"/>
  <c r="BF60" i="91" l="1"/>
  <c r="BG60" i="91"/>
  <c r="BH60" i="91"/>
  <c r="BI60" i="91"/>
  <c r="BE60" i="91"/>
  <c r="BB60" i="91"/>
  <c r="AM60" i="91"/>
  <c r="AR60" i="91" s="1"/>
  <c r="AW60" i="91" s="1"/>
  <c r="AZ60" i="91"/>
  <c r="AK60" i="91"/>
  <c r="AP60" i="91" s="1"/>
  <c r="AU60" i="91" s="1"/>
  <c r="AJ60" i="91"/>
  <c r="AO60" i="91" s="1"/>
  <c r="AT60" i="91" s="1"/>
  <c r="AY60" i="91"/>
  <c r="AI60" i="91"/>
  <c r="AN60" i="91" s="1"/>
  <c r="AS60" i="91" s="1"/>
  <c r="AX60" i="91"/>
  <c r="BA60" i="91"/>
  <c r="AL60" i="91"/>
  <c r="AQ60" i="91" s="1"/>
  <c r="AV60" i="91" s="1"/>
  <c r="BN60" i="91"/>
  <c r="BK60" i="91"/>
  <c r="BL60" i="91"/>
  <c r="BO60" i="91"/>
  <c r="BM60" i="91"/>
  <c r="BI61" i="91" l="1"/>
  <c r="BF61" i="91"/>
  <c r="BH61" i="91"/>
  <c r="BG61" i="91"/>
  <c r="BE61" i="91"/>
  <c r="AZ61" i="91"/>
  <c r="AK61" i="91"/>
  <c r="AP61" i="91" s="1"/>
  <c r="AU61" i="91" s="1"/>
  <c r="AI61" i="91"/>
  <c r="AN61" i="91" s="1"/>
  <c r="AS61" i="91" s="1"/>
  <c r="AX61" i="91"/>
  <c r="BA61" i="91"/>
  <c r="AL61" i="91"/>
  <c r="AQ61" i="91" s="1"/>
  <c r="AV61" i="91" s="1"/>
  <c r="BB61" i="91"/>
  <c r="AM61" i="91"/>
  <c r="AR61" i="91" s="1"/>
  <c r="AW61" i="91" s="1"/>
  <c r="AY61" i="91"/>
  <c r="AJ61" i="91"/>
  <c r="AO61" i="91" s="1"/>
  <c r="AT61" i="91" s="1"/>
  <c r="BL61" i="91"/>
  <c r="BM61" i="91"/>
  <c r="BO61" i="91"/>
  <c r="BN61" i="91"/>
  <c r="BK61" i="91"/>
  <c r="BI62" i="91" l="1"/>
  <c r="BG62" i="91"/>
  <c r="BH62" i="91"/>
  <c r="BF62" i="91"/>
  <c r="BE62" i="91"/>
  <c r="AY62" i="91"/>
  <c r="AJ62" i="91"/>
  <c r="AO62" i="91" s="1"/>
  <c r="AT62" i="91" s="1"/>
  <c r="AI62" i="91"/>
  <c r="AN62" i="91" s="1"/>
  <c r="AS62" i="91" s="1"/>
  <c r="AX62" i="91"/>
  <c r="AZ62" i="91"/>
  <c r="AK62" i="91"/>
  <c r="AP62" i="91" s="1"/>
  <c r="AU62" i="91" s="1"/>
  <c r="BB62" i="91"/>
  <c r="AM62" i="91"/>
  <c r="AR62" i="91" s="1"/>
  <c r="AW62" i="91" s="1"/>
  <c r="BA62" i="91"/>
  <c r="AL62" i="91"/>
  <c r="AQ62" i="91" s="1"/>
  <c r="AV62" i="91" s="1"/>
  <c r="BM62" i="91"/>
  <c r="BO62" i="91"/>
  <c r="BN62" i="91"/>
  <c r="BK62" i="91"/>
  <c r="BL62" i="91"/>
  <c r="BF63" i="91" l="1"/>
  <c r="BH63" i="91"/>
  <c r="BG63" i="91"/>
  <c r="BI63" i="91"/>
  <c r="BE63" i="91"/>
  <c r="AI63" i="91"/>
  <c r="AN63" i="91" s="1"/>
  <c r="AS63" i="91" s="1"/>
  <c r="AX63" i="91"/>
  <c r="BA63" i="91"/>
  <c r="AL63" i="91"/>
  <c r="AQ63" i="91" s="1"/>
  <c r="AV63" i="91" s="1"/>
  <c r="AJ63" i="91"/>
  <c r="AO63" i="91" s="1"/>
  <c r="AT63" i="91" s="1"/>
  <c r="AY63" i="91"/>
  <c r="BB63" i="91"/>
  <c r="AM63" i="91"/>
  <c r="AR63" i="91" s="1"/>
  <c r="AW63" i="91" s="1"/>
  <c r="AK63" i="91"/>
  <c r="AP63" i="91" s="1"/>
  <c r="AU63" i="91" s="1"/>
  <c r="AZ63" i="91"/>
  <c r="BN63" i="91"/>
  <c r="BO63" i="91"/>
  <c r="BM63" i="91"/>
  <c r="BL63" i="91"/>
  <c r="BK63" i="91"/>
  <c r="BI64" i="91" l="1"/>
  <c r="BF64" i="91"/>
  <c r="BG64" i="91"/>
  <c r="BH64" i="91"/>
  <c r="BE64" i="91"/>
  <c r="BA64" i="91"/>
  <c r="AL64" i="91"/>
  <c r="AQ64" i="91" s="1"/>
  <c r="AV64" i="91" s="1"/>
  <c r="AM64" i="91"/>
  <c r="AR64" i="91" s="1"/>
  <c r="AW64" i="91" s="1"/>
  <c r="BB64" i="91"/>
  <c r="AI64" i="91"/>
  <c r="AN64" i="91" s="1"/>
  <c r="AS64" i="91" s="1"/>
  <c r="AX64" i="91"/>
  <c r="AK64" i="91"/>
  <c r="AP64" i="91" s="1"/>
  <c r="AU64" i="91" s="1"/>
  <c r="AZ64" i="91"/>
  <c r="AJ64" i="91"/>
  <c r="AO64" i="91" s="1"/>
  <c r="AT64" i="91" s="1"/>
  <c r="AY64" i="91"/>
  <c r="BM64" i="91"/>
  <c r="BL64" i="91"/>
  <c r="BO64" i="91"/>
  <c r="BN64" i="91"/>
  <c r="BK64" i="91"/>
  <c r="BH65" i="91" l="1"/>
  <c r="BI65" i="91"/>
  <c r="BG65" i="91"/>
  <c r="BF65" i="91"/>
  <c r="BE65" i="91"/>
  <c r="BB65" i="91"/>
  <c r="AM65" i="91"/>
  <c r="AR65" i="91" s="1"/>
  <c r="AW65" i="91" s="1"/>
  <c r="AY65" i="91"/>
  <c r="AJ65" i="91"/>
  <c r="AO65" i="91" s="1"/>
  <c r="AT65" i="91" s="1"/>
  <c r="AL65" i="91"/>
  <c r="AQ65" i="91" s="1"/>
  <c r="AV65" i="91" s="1"/>
  <c r="BA65" i="91"/>
  <c r="AK65" i="91"/>
  <c r="AP65" i="91" s="1"/>
  <c r="AU65" i="91" s="1"/>
  <c r="AZ65" i="91"/>
  <c r="AI65" i="91"/>
  <c r="AN65" i="91" s="1"/>
  <c r="AS65" i="91" s="1"/>
  <c r="AX65" i="91"/>
  <c r="BM65" i="91"/>
  <c r="BK65" i="91"/>
  <c r="BL65" i="91"/>
  <c r="BO65" i="91"/>
  <c r="BN65" i="91"/>
  <c r="BH66" i="91" l="1"/>
  <c r="BF66" i="91"/>
  <c r="BG66" i="91"/>
  <c r="BI66" i="91"/>
  <c r="BE66" i="91"/>
  <c r="AY66" i="91"/>
  <c r="AJ66" i="91"/>
  <c r="AO66" i="91" s="1"/>
  <c r="AT66" i="91" s="1"/>
  <c r="AI66" i="91"/>
  <c r="AN66" i="91" s="1"/>
  <c r="AS66" i="91" s="1"/>
  <c r="AX66" i="91"/>
  <c r="AK66" i="91"/>
  <c r="AP66" i="91" s="1"/>
  <c r="AU66" i="91" s="1"/>
  <c r="AZ66" i="91"/>
  <c r="BB66" i="91"/>
  <c r="AM66" i="91"/>
  <c r="AR66" i="91" s="1"/>
  <c r="AW66" i="91" s="1"/>
  <c r="BA66" i="91"/>
  <c r="AL66" i="91"/>
  <c r="AQ66" i="91" s="1"/>
  <c r="AV66" i="91" s="1"/>
  <c r="BN66" i="91"/>
  <c r="BL66" i="91"/>
  <c r="BM66" i="91"/>
  <c r="BK66" i="91"/>
  <c r="BO66" i="91"/>
  <c r="BI67" i="91" l="1"/>
  <c r="BG67" i="91"/>
  <c r="BF67" i="91"/>
  <c r="BH67" i="91"/>
  <c r="BE67" i="91"/>
  <c r="AI67" i="91"/>
  <c r="AN67" i="91" s="1"/>
  <c r="AS67" i="91" s="1"/>
  <c r="AX67" i="91"/>
  <c r="AY67" i="91"/>
  <c r="AJ67" i="91"/>
  <c r="AO67" i="91" s="1"/>
  <c r="AT67" i="91" s="1"/>
  <c r="BA67" i="91"/>
  <c r="AL67" i="91"/>
  <c r="AQ67" i="91" s="1"/>
  <c r="AV67" i="91" s="1"/>
  <c r="BB67" i="91"/>
  <c r="AM67" i="91"/>
  <c r="AR67" i="91" s="1"/>
  <c r="AW67" i="91" s="1"/>
  <c r="AZ67" i="91"/>
  <c r="AK67" i="91"/>
  <c r="AP67" i="91" s="1"/>
  <c r="AU67" i="91" s="1"/>
  <c r="BO67" i="91"/>
  <c r="BL67" i="91"/>
  <c r="BM67" i="91"/>
  <c r="BK67" i="91"/>
  <c r="BN67" i="91"/>
  <c r="BH68" i="91" l="1"/>
  <c r="BI68" i="91"/>
  <c r="BG68" i="91"/>
  <c r="BF68" i="91"/>
  <c r="BE68" i="91"/>
  <c r="AJ68" i="91"/>
  <c r="AO68" i="91" s="1"/>
  <c r="AT68" i="91" s="1"/>
  <c r="AY68" i="91"/>
  <c r="BB68" i="91"/>
  <c r="AM68" i="91"/>
  <c r="AR68" i="91" s="1"/>
  <c r="AW68" i="91" s="1"/>
  <c r="AI68" i="91"/>
  <c r="AN68" i="91" s="1"/>
  <c r="AS68" i="91" s="1"/>
  <c r="AX68" i="91"/>
  <c r="AK68" i="91"/>
  <c r="AP68" i="91" s="1"/>
  <c r="AU68" i="91" s="1"/>
  <c r="AZ68" i="91"/>
  <c r="BA68" i="91"/>
  <c r="AL68" i="91"/>
  <c r="AQ68" i="91" s="1"/>
  <c r="AV68" i="91" s="1"/>
  <c r="BM68" i="91"/>
  <c r="BL68" i="91"/>
  <c r="BN68" i="91"/>
  <c r="BO68" i="91"/>
  <c r="BK68" i="91"/>
  <c r="BF69" i="91" l="1"/>
  <c r="BI69" i="91"/>
  <c r="BH69" i="91"/>
  <c r="BG69" i="91"/>
  <c r="BE69" i="91"/>
  <c r="AM69" i="91"/>
  <c r="AR69" i="91" s="1"/>
  <c r="AW69" i="91" s="1"/>
  <c r="BB69" i="91"/>
  <c r="AZ69" i="91"/>
  <c r="AK69" i="91"/>
  <c r="AP69" i="91" s="1"/>
  <c r="AU69" i="91" s="1"/>
  <c r="AJ69" i="91"/>
  <c r="AO69" i="91" s="1"/>
  <c r="AT69" i="91" s="1"/>
  <c r="AY69" i="91"/>
  <c r="BA69" i="91"/>
  <c r="AL69" i="91"/>
  <c r="AQ69" i="91" s="1"/>
  <c r="AV69" i="91" s="1"/>
  <c r="AI69" i="91"/>
  <c r="AN69" i="91" s="1"/>
  <c r="AS69" i="91" s="1"/>
  <c r="AX69" i="91"/>
  <c r="BN69" i="91"/>
  <c r="BM69" i="91"/>
  <c r="BL69" i="91"/>
  <c r="BO69" i="91"/>
  <c r="BK69" i="91"/>
  <c r="BG70" i="91" l="1"/>
  <c r="BF70" i="91"/>
  <c r="BI70" i="91"/>
  <c r="BH70" i="91"/>
  <c r="BE70" i="91"/>
  <c r="AK70" i="91"/>
  <c r="AP70" i="91" s="1"/>
  <c r="AU70" i="91" s="1"/>
  <c r="AZ70" i="91"/>
  <c r="BA70" i="91"/>
  <c r="AL70" i="91"/>
  <c r="AQ70" i="91" s="1"/>
  <c r="AV70" i="91" s="1"/>
  <c r="AM70" i="91"/>
  <c r="AR70" i="91" s="1"/>
  <c r="AW70" i="91" s="1"/>
  <c r="BB70" i="91"/>
  <c r="AI70" i="91"/>
  <c r="AN70" i="91" s="1"/>
  <c r="AS70" i="91" s="1"/>
  <c r="AX70" i="91"/>
  <c r="AJ70" i="91"/>
  <c r="AO70" i="91" s="1"/>
  <c r="AT70" i="91" s="1"/>
  <c r="AY70" i="91"/>
  <c r="BO70" i="91"/>
  <c r="BM70" i="91"/>
  <c r="BN70" i="91"/>
  <c r="BL70" i="91"/>
  <c r="BK70" i="91"/>
  <c r="BH71" i="91" l="1"/>
  <c r="BI71" i="91"/>
  <c r="BG71" i="91"/>
  <c r="BF71" i="91"/>
  <c r="BE71" i="91"/>
  <c r="BA71" i="91"/>
  <c r="AL71" i="91"/>
  <c r="AQ71" i="91" s="1"/>
  <c r="AV71" i="91" s="1"/>
  <c r="AI71" i="91"/>
  <c r="AN71" i="91" s="1"/>
  <c r="AS71" i="91" s="1"/>
  <c r="AX71" i="91"/>
  <c r="AK71" i="91"/>
  <c r="AP71" i="91" s="1"/>
  <c r="AU71" i="91" s="1"/>
  <c r="AZ71" i="91"/>
  <c r="AY71" i="91"/>
  <c r="AJ71" i="91"/>
  <c r="AO71" i="91" s="1"/>
  <c r="AT71" i="91" s="1"/>
  <c r="BB71" i="91"/>
  <c r="AM71" i="91"/>
  <c r="AR71" i="91" s="1"/>
  <c r="AW71" i="91" s="1"/>
  <c r="BN71" i="91"/>
  <c r="BO71" i="91"/>
  <c r="BL71" i="91"/>
  <c r="BM71" i="91"/>
  <c r="BK71" i="91"/>
  <c r="BF72" i="91" l="1"/>
  <c r="BI72" i="91"/>
  <c r="BG72" i="91"/>
  <c r="BH72" i="91"/>
  <c r="BE72" i="91"/>
  <c r="AI72" i="91"/>
  <c r="AN72" i="91" s="1"/>
  <c r="AS72" i="91" s="1"/>
  <c r="AX72" i="91"/>
  <c r="BA72" i="91"/>
  <c r="AL72" i="91"/>
  <c r="AQ72" i="91" s="1"/>
  <c r="AV72" i="91" s="1"/>
  <c r="AJ72" i="91"/>
  <c r="AO72" i="91" s="1"/>
  <c r="AT72" i="91" s="1"/>
  <c r="AY72" i="91"/>
  <c r="BB72" i="91"/>
  <c r="AM72" i="91"/>
  <c r="AR72" i="91" s="1"/>
  <c r="AW72" i="91" s="1"/>
  <c r="AK72" i="91"/>
  <c r="AP72" i="91" s="1"/>
  <c r="AU72" i="91" s="1"/>
  <c r="AZ72" i="91"/>
  <c r="BK72" i="91"/>
  <c r="BL72" i="91"/>
  <c r="BO72" i="91"/>
  <c r="BN72" i="91"/>
  <c r="BM72" i="91"/>
  <c r="BI73" i="91" l="1"/>
  <c r="BH73" i="91"/>
  <c r="BG73" i="91"/>
  <c r="BF73" i="91"/>
  <c r="BE73" i="91"/>
  <c r="BA73" i="91"/>
  <c r="AL73" i="91"/>
  <c r="AQ73" i="91" s="1"/>
  <c r="AV73" i="91" s="1"/>
  <c r="AK73" i="91"/>
  <c r="AP73" i="91" s="1"/>
  <c r="AU73" i="91" s="1"/>
  <c r="AZ73" i="91"/>
  <c r="BB73" i="91"/>
  <c r="AM73" i="91"/>
  <c r="AR73" i="91" s="1"/>
  <c r="AW73" i="91" s="1"/>
  <c r="AI73" i="91"/>
  <c r="AN73" i="91" s="1"/>
  <c r="AS73" i="91" s="1"/>
  <c r="AX73" i="91"/>
  <c r="AY73" i="91"/>
  <c r="AJ73" i="91"/>
  <c r="AO73" i="91" s="1"/>
  <c r="AT73" i="91" s="1"/>
  <c r="BN73" i="91"/>
  <c r="BO73" i="91"/>
  <c r="BM73" i="91"/>
  <c r="BK73" i="91"/>
  <c r="BL73" i="91"/>
  <c r="BF74" i="91" l="1"/>
  <c r="BH74" i="91"/>
  <c r="BG74" i="91"/>
  <c r="BI74" i="91"/>
  <c r="BE74" i="91"/>
  <c r="AK74" i="91"/>
  <c r="AP74" i="91" s="1"/>
  <c r="AU74" i="91" s="1"/>
  <c r="AZ74" i="91"/>
  <c r="AJ74" i="91"/>
  <c r="AO74" i="91" s="1"/>
  <c r="AT74" i="91" s="1"/>
  <c r="AY74" i="91"/>
  <c r="BA74" i="91"/>
  <c r="AL74" i="91"/>
  <c r="AQ74" i="91" s="1"/>
  <c r="AV74" i="91" s="1"/>
  <c r="AI74" i="91"/>
  <c r="AN74" i="91" s="1"/>
  <c r="AS74" i="91" s="1"/>
  <c r="AX74" i="91"/>
  <c r="BB74" i="91"/>
  <c r="AM74" i="91"/>
  <c r="AR74" i="91" s="1"/>
  <c r="AW74" i="91" s="1"/>
  <c r="BO74" i="91"/>
  <c r="BL74" i="91"/>
  <c r="BN74" i="91"/>
  <c r="BK74" i="91"/>
  <c r="BM74" i="91"/>
  <c r="BH75" i="91" l="1"/>
  <c r="BI75" i="91"/>
  <c r="BG75" i="91"/>
  <c r="BF75" i="91"/>
  <c r="BE75" i="91"/>
  <c r="AJ75" i="91"/>
  <c r="AO75" i="91" s="1"/>
  <c r="AT75" i="91" s="1"/>
  <c r="AY75" i="91"/>
  <c r="AK75" i="91"/>
  <c r="AP75" i="91" s="1"/>
  <c r="AU75" i="91" s="1"/>
  <c r="AZ75" i="91"/>
  <c r="AI75" i="91"/>
  <c r="AN75" i="91" s="1"/>
  <c r="AS75" i="91" s="1"/>
  <c r="AX75" i="91"/>
  <c r="BB75" i="91"/>
  <c r="AM75" i="91"/>
  <c r="AR75" i="91" s="1"/>
  <c r="AW75" i="91" s="1"/>
  <c r="BA75" i="91"/>
  <c r="AL75" i="91"/>
  <c r="AQ75" i="91" s="1"/>
  <c r="AV75" i="91" s="1"/>
  <c r="BO75" i="91"/>
  <c r="BL75" i="91"/>
  <c r="BN75" i="91"/>
  <c r="BM75" i="91"/>
  <c r="BK75" i="91"/>
  <c r="BH76" i="91" l="1"/>
  <c r="BF76" i="91"/>
  <c r="BG76" i="91"/>
  <c r="BI76" i="91"/>
  <c r="BE76" i="91"/>
  <c r="AK76" i="91"/>
  <c r="AP76" i="91" s="1"/>
  <c r="AU76" i="91" s="1"/>
  <c r="AZ76" i="91"/>
  <c r="BA76" i="91"/>
  <c r="AL76" i="91"/>
  <c r="AQ76" i="91" s="1"/>
  <c r="AV76" i="91" s="1"/>
  <c r="BB76" i="91"/>
  <c r="AM76" i="91"/>
  <c r="AR76" i="91" s="1"/>
  <c r="AW76" i="91" s="1"/>
  <c r="AY76" i="91"/>
  <c r="AJ76" i="91"/>
  <c r="AO76" i="91" s="1"/>
  <c r="AT76" i="91" s="1"/>
  <c r="AI76" i="91"/>
  <c r="AN76" i="91" s="1"/>
  <c r="AS76" i="91" s="1"/>
  <c r="AX76" i="91"/>
  <c r="BO76" i="91"/>
  <c r="BK76" i="91"/>
  <c r="BL76" i="91"/>
  <c r="BN76" i="91"/>
  <c r="BM76" i="91"/>
  <c r="BI77" i="91" l="1"/>
  <c r="BH77" i="91"/>
  <c r="BF77" i="91"/>
  <c r="BG77" i="91"/>
  <c r="BE77" i="91"/>
  <c r="BA77" i="91"/>
  <c r="AL77" i="91"/>
  <c r="AQ77" i="91" s="1"/>
  <c r="AV77" i="91" s="1"/>
  <c r="AJ77" i="91"/>
  <c r="AO77" i="91" s="1"/>
  <c r="AT77" i="91" s="1"/>
  <c r="AY77" i="91"/>
  <c r="AK77" i="91"/>
  <c r="AP77" i="91" s="1"/>
  <c r="AU77" i="91" s="1"/>
  <c r="AZ77" i="91"/>
  <c r="AI77" i="91"/>
  <c r="AN77" i="91" s="1"/>
  <c r="AS77" i="91" s="1"/>
  <c r="AX77" i="91"/>
  <c r="BB77" i="91"/>
  <c r="AM77" i="91"/>
  <c r="AR77" i="91" s="1"/>
  <c r="AW77" i="91" s="1"/>
  <c r="BN77" i="91"/>
  <c r="BM77" i="91"/>
  <c r="BO77" i="91"/>
  <c r="BL77" i="91"/>
  <c r="BK77" i="91"/>
  <c r="BG78" i="91" l="1"/>
  <c r="BI78" i="91"/>
  <c r="BH78" i="91"/>
  <c r="BF78" i="91"/>
  <c r="BE78" i="91"/>
  <c r="AJ78" i="91"/>
  <c r="AO78" i="91" s="1"/>
  <c r="AT78" i="91" s="1"/>
  <c r="AY78" i="91"/>
  <c r="AI78" i="91"/>
  <c r="AN78" i="91" s="1"/>
  <c r="AS78" i="91" s="1"/>
  <c r="AX78" i="91"/>
  <c r="AL78" i="91"/>
  <c r="AQ78" i="91" s="1"/>
  <c r="AV78" i="91" s="1"/>
  <c r="BA78" i="91"/>
  <c r="BB78" i="91"/>
  <c r="AM78" i="91"/>
  <c r="AR78" i="91" s="1"/>
  <c r="AW78" i="91" s="1"/>
  <c r="AK78" i="91"/>
  <c r="AP78" i="91" s="1"/>
  <c r="AU78" i="91" s="1"/>
  <c r="AZ78" i="91"/>
  <c r="BM78" i="91"/>
  <c r="BN78" i="91"/>
  <c r="BK78" i="91"/>
  <c r="BO78" i="91"/>
  <c r="BL78" i="91"/>
  <c r="BG79" i="91" l="1"/>
  <c r="BF79" i="91"/>
  <c r="BH79" i="91"/>
  <c r="BI79" i="91"/>
  <c r="BE79" i="91"/>
  <c r="AI79" i="91"/>
  <c r="AN79" i="91" s="1"/>
  <c r="AS79" i="91" s="1"/>
  <c r="AX79" i="91"/>
  <c r="AK79" i="91"/>
  <c r="AP79" i="91" s="1"/>
  <c r="AU79" i="91" s="1"/>
  <c r="AZ79" i="91"/>
  <c r="AM79" i="91"/>
  <c r="AR79" i="91" s="1"/>
  <c r="AW79" i="91" s="1"/>
  <c r="BB79" i="91"/>
  <c r="AY79" i="91"/>
  <c r="AJ79" i="91"/>
  <c r="AO79" i="91" s="1"/>
  <c r="AT79" i="91" s="1"/>
  <c r="BA79" i="91"/>
  <c r="AL79" i="91"/>
  <c r="AQ79" i="91" s="1"/>
  <c r="AV79" i="91" s="1"/>
  <c r="BO79" i="91"/>
  <c r="BL79" i="91"/>
  <c r="BK79" i="91"/>
  <c r="BM79" i="91"/>
  <c r="BN79" i="91"/>
  <c r="BH80" i="91" l="1"/>
  <c r="BI80" i="91"/>
  <c r="BF80" i="91"/>
  <c r="BG80" i="91"/>
  <c r="BE80" i="91"/>
  <c r="AK80" i="91"/>
  <c r="AP80" i="91" s="1"/>
  <c r="AU80" i="91" s="1"/>
  <c r="AZ80" i="91"/>
  <c r="BA80" i="91"/>
  <c r="AL80" i="91"/>
  <c r="AQ80" i="91" s="1"/>
  <c r="AV80" i="91" s="1"/>
  <c r="AY80" i="91"/>
  <c r="AJ80" i="91"/>
  <c r="AO80" i="91" s="1"/>
  <c r="AT80" i="91" s="1"/>
  <c r="AI80" i="91"/>
  <c r="AN80" i="91" s="1"/>
  <c r="AS80" i="91" s="1"/>
  <c r="AX80" i="91"/>
  <c r="AM80" i="91"/>
  <c r="AR80" i="91" s="1"/>
  <c r="AW80" i="91" s="1"/>
  <c r="BB80" i="91"/>
  <c r="BM80" i="91"/>
  <c r="BO80" i="91"/>
  <c r="BN80" i="91"/>
  <c r="BK80" i="91"/>
  <c r="BL80" i="91"/>
  <c r="BH81" i="91" l="1"/>
  <c r="BG81" i="91"/>
  <c r="BF81" i="91"/>
  <c r="BI81" i="91"/>
  <c r="BE81" i="91"/>
  <c r="AL81" i="91"/>
  <c r="AQ81" i="91" s="1"/>
  <c r="AV81" i="91" s="1"/>
  <c r="BA81" i="91"/>
  <c r="AI81" i="91"/>
  <c r="AN81" i="91" s="1"/>
  <c r="AS81" i="91" s="1"/>
  <c r="AX81" i="91"/>
  <c r="AZ81" i="91"/>
  <c r="AK81" i="91"/>
  <c r="AP81" i="91" s="1"/>
  <c r="AU81" i="91" s="1"/>
  <c r="BB81" i="91"/>
  <c r="AM81" i="91"/>
  <c r="AR81" i="91" s="1"/>
  <c r="AW81" i="91" s="1"/>
  <c r="AJ81" i="91"/>
  <c r="AO81" i="91" s="1"/>
  <c r="AT81" i="91" s="1"/>
  <c r="AY81" i="91"/>
  <c r="BL81" i="91"/>
  <c r="BK81" i="91"/>
  <c r="BN81" i="91"/>
  <c r="BM81" i="91"/>
  <c r="BO81" i="91"/>
  <c r="BI82" i="91" l="1"/>
  <c r="BF82" i="91"/>
  <c r="BG82" i="91"/>
  <c r="BH82" i="91"/>
  <c r="BE82" i="91"/>
  <c r="AI82" i="91"/>
  <c r="AN82" i="91" s="1"/>
  <c r="AS82" i="91" s="1"/>
  <c r="AX82" i="91"/>
  <c r="BB82" i="91"/>
  <c r="AM82" i="91"/>
  <c r="AR82" i="91" s="1"/>
  <c r="AW82" i="91" s="1"/>
  <c r="BA82" i="91"/>
  <c r="AL82" i="91"/>
  <c r="AQ82" i="91" s="1"/>
  <c r="AV82" i="91" s="1"/>
  <c r="AJ82" i="91"/>
  <c r="AO82" i="91" s="1"/>
  <c r="AT82" i="91" s="1"/>
  <c r="AY82" i="91"/>
  <c r="AZ82" i="91"/>
  <c r="AK82" i="91"/>
  <c r="AP82" i="91" s="1"/>
  <c r="AU82" i="91" s="1"/>
  <c r="BL82" i="91"/>
  <c r="BK82" i="91"/>
  <c r="BM82" i="91"/>
  <c r="BN82" i="91"/>
  <c r="BO82" i="91"/>
  <c r="BH83" i="91" l="1"/>
  <c r="BG83" i="91"/>
  <c r="BF83" i="91"/>
  <c r="BI83" i="91"/>
  <c r="BE83" i="91"/>
  <c r="BB83" i="91"/>
  <c r="AM83" i="91"/>
  <c r="AR83" i="91" s="1"/>
  <c r="AW83" i="91" s="1"/>
  <c r="AY83" i="91"/>
  <c r="AJ83" i="91"/>
  <c r="AO83" i="91" s="1"/>
  <c r="AT83" i="91" s="1"/>
  <c r="AK83" i="91"/>
  <c r="AP83" i="91" s="1"/>
  <c r="AU83" i="91" s="1"/>
  <c r="AZ83" i="91"/>
  <c r="AI83" i="91"/>
  <c r="AN83" i="91" s="1"/>
  <c r="AS83" i="91" s="1"/>
  <c r="AX83" i="91"/>
  <c r="BA83" i="91"/>
  <c r="AL83" i="91"/>
  <c r="AQ83" i="91" s="1"/>
  <c r="AV83" i="91" s="1"/>
  <c r="BM83" i="91"/>
  <c r="BO83" i="91"/>
  <c r="BL83" i="91"/>
  <c r="BN83" i="91"/>
  <c r="BK83" i="91"/>
  <c r="BF84" i="91" l="1"/>
  <c r="BI84" i="91"/>
  <c r="BH84" i="91"/>
  <c r="BG84" i="91"/>
  <c r="BE84" i="91"/>
  <c r="AY84" i="91"/>
  <c r="AJ84" i="91"/>
  <c r="AO84" i="91" s="1"/>
  <c r="AT84" i="91" s="1"/>
  <c r="BA84" i="91"/>
  <c r="AL84" i="91"/>
  <c r="AQ84" i="91" s="1"/>
  <c r="AV84" i="91" s="1"/>
  <c r="AI84" i="91"/>
  <c r="AN84" i="91" s="1"/>
  <c r="AS84" i="91" s="1"/>
  <c r="AX84" i="91"/>
  <c r="AM84" i="91"/>
  <c r="AR84" i="91" s="1"/>
  <c r="AW84" i="91" s="1"/>
  <c r="BB84" i="91"/>
  <c r="AK84" i="91"/>
  <c r="AP84" i="91" s="1"/>
  <c r="AU84" i="91" s="1"/>
  <c r="AZ84" i="91"/>
  <c r="BL84" i="91"/>
  <c r="BK84" i="91"/>
  <c r="BM84" i="91"/>
  <c r="BN84" i="91"/>
  <c r="BO84" i="91"/>
  <c r="BF85" i="91" l="1"/>
  <c r="BG85" i="91"/>
  <c r="BH85" i="91"/>
  <c r="BI85" i="91"/>
  <c r="BE85" i="91"/>
  <c r="BA85" i="91"/>
  <c r="AL85" i="91"/>
  <c r="AQ85" i="91" s="1"/>
  <c r="AV85" i="91" s="1"/>
  <c r="AM85" i="91"/>
  <c r="AR85" i="91" s="1"/>
  <c r="AW85" i="91" s="1"/>
  <c r="BB85" i="91"/>
  <c r="AK85" i="91"/>
  <c r="AP85" i="91" s="1"/>
  <c r="AU85" i="91" s="1"/>
  <c r="AZ85" i="91"/>
  <c r="AY85" i="91"/>
  <c r="AJ85" i="91"/>
  <c r="AO85" i="91" s="1"/>
  <c r="AT85" i="91" s="1"/>
  <c r="AI85" i="91"/>
  <c r="AN85" i="91" s="1"/>
  <c r="AS85" i="91" s="1"/>
  <c r="AX85" i="91"/>
  <c r="BM85" i="91"/>
  <c r="BN85" i="91"/>
  <c r="BL85" i="91"/>
  <c r="BO85" i="91"/>
  <c r="BK85" i="91"/>
  <c r="BI86" i="91" l="1"/>
  <c r="BH86" i="91"/>
  <c r="BG86" i="91"/>
  <c r="BF86" i="91"/>
  <c r="BE86" i="91"/>
  <c r="BB86" i="91"/>
  <c r="AM86" i="91"/>
  <c r="AR86" i="91" s="1"/>
  <c r="AW86" i="91" s="1"/>
  <c r="BA86" i="91"/>
  <c r="AL86" i="91"/>
  <c r="AQ86" i="91" s="1"/>
  <c r="AV86" i="91" s="1"/>
  <c r="AI86" i="91"/>
  <c r="AN86" i="91" s="1"/>
  <c r="AS86" i="91" s="1"/>
  <c r="AX86" i="91"/>
  <c r="AY86" i="91"/>
  <c r="AJ86" i="91"/>
  <c r="AO86" i="91" s="1"/>
  <c r="AT86" i="91" s="1"/>
  <c r="AK86" i="91"/>
  <c r="AP86" i="91" s="1"/>
  <c r="AU86" i="91" s="1"/>
  <c r="AZ86" i="91"/>
  <c r="BO86" i="91"/>
  <c r="BL86" i="91"/>
  <c r="BM86" i="91"/>
  <c r="BN86" i="91"/>
  <c r="BK86" i="91"/>
  <c r="BF87" i="91" l="1"/>
  <c r="BG87" i="91"/>
  <c r="BH87" i="91"/>
  <c r="BI87" i="91"/>
  <c r="BE87" i="91"/>
  <c r="AZ87" i="91"/>
  <c r="AK87" i="91"/>
  <c r="AP87" i="91" s="1"/>
  <c r="AU87" i="91" s="1"/>
  <c r="BA87" i="91"/>
  <c r="AL87" i="91"/>
  <c r="AQ87" i="91" s="1"/>
  <c r="AV87" i="91" s="1"/>
  <c r="BB87" i="91"/>
  <c r="AM87" i="91"/>
  <c r="AR87" i="91" s="1"/>
  <c r="AW87" i="91" s="1"/>
  <c r="AJ87" i="91"/>
  <c r="AO87" i="91" s="1"/>
  <c r="AT87" i="91" s="1"/>
  <c r="AY87" i="91"/>
  <c r="AI87" i="91"/>
  <c r="AN87" i="91" s="1"/>
  <c r="AS87" i="91" s="1"/>
  <c r="AX87" i="91"/>
  <c r="BL87" i="91"/>
  <c r="BN87" i="91"/>
  <c r="BM87" i="91"/>
  <c r="BO87" i="91"/>
  <c r="BK87" i="91"/>
  <c r="BH88" i="91" l="1"/>
  <c r="BI88" i="91"/>
  <c r="BG88" i="91"/>
  <c r="BF88" i="91"/>
  <c r="BE88" i="91"/>
  <c r="AJ88" i="91"/>
  <c r="AO88" i="91" s="1"/>
  <c r="AT88" i="91" s="1"/>
  <c r="AY88" i="91"/>
  <c r="BA88" i="91"/>
  <c r="AL88" i="91"/>
  <c r="AQ88" i="91" s="1"/>
  <c r="AV88" i="91" s="1"/>
  <c r="AZ88" i="91"/>
  <c r="AK88" i="91"/>
  <c r="AP88" i="91" s="1"/>
  <c r="AU88" i="91" s="1"/>
  <c r="AI88" i="91"/>
  <c r="AN88" i="91" s="1"/>
  <c r="AS88" i="91" s="1"/>
  <c r="AX88" i="91"/>
  <c r="AM88" i="91"/>
  <c r="AR88" i="91" s="1"/>
  <c r="AW88" i="91" s="1"/>
  <c r="BB88" i="91"/>
  <c r="BL88" i="91"/>
  <c r="BO88" i="91"/>
  <c r="BN88" i="91"/>
  <c r="BM88" i="91"/>
  <c r="BK88" i="91"/>
  <c r="BF89" i="91" l="1"/>
  <c r="BG89" i="91"/>
  <c r="BI89" i="91"/>
  <c r="BH89" i="91"/>
  <c r="BE89" i="91"/>
  <c r="BB89" i="91"/>
  <c r="AM89" i="91"/>
  <c r="AR89" i="91" s="1"/>
  <c r="AW89" i="91" s="1"/>
  <c r="AI89" i="91"/>
  <c r="AN89" i="91" s="1"/>
  <c r="AS89" i="91" s="1"/>
  <c r="AX89" i="91"/>
  <c r="AJ89" i="91"/>
  <c r="AO89" i="91" s="1"/>
  <c r="AT89" i="91" s="1"/>
  <c r="AY89" i="91"/>
  <c r="BA89" i="91"/>
  <c r="AL89" i="91"/>
  <c r="AQ89" i="91" s="1"/>
  <c r="AV89" i="91" s="1"/>
  <c r="AK89" i="91"/>
  <c r="AP89" i="91" s="1"/>
  <c r="AU89" i="91" s="1"/>
  <c r="AZ89" i="91"/>
  <c r="BM89" i="91"/>
  <c r="BK89" i="91"/>
  <c r="BL89" i="91"/>
  <c r="BO89" i="91"/>
  <c r="BN89" i="91"/>
  <c r="BF90" i="91" l="1"/>
  <c r="BH90" i="91"/>
  <c r="BI90" i="91"/>
  <c r="BG90" i="91"/>
  <c r="BE90" i="91"/>
  <c r="AI90" i="91"/>
  <c r="AN90" i="91" s="1"/>
  <c r="AS90" i="91" s="1"/>
  <c r="AX90" i="91"/>
  <c r="AZ90" i="91"/>
  <c r="AK90" i="91"/>
  <c r="AP90" i="91" s="1"/>
  <c r="AU90" i="91" s="1"/>
  <c r="AL90" i="91"/>
  <c r="AQ90" i="91" s="1"/>
  <c r="AV90" i="91" s="1"/>
  <c r="BA90" i="91"/>
  <c r="AM90" i="91"/>
  <c r="AR90" i="91" s="1"/>
  <c r="AW90" i="91" s="1"/>
  <c r="BB90" i="91"/>
  <c r="AJ90" i="91"/>
  <c r="AO90" i="91" s="1"/>
  <c r="AT90" i="91" s="1"/>
  <c r="AY90" i="91"/>
  <c r="BL90" i="91"/>
  <c r="BK90" i="91"/>
  <c r="BO90" i="91"/>
  <c r="BN90" i="91"/>
  <c r="BM90" i="91"/>
  <c r="BG91" i="91" l="1"/>
  <c r="BI91" i="91"/>
  <c r="BH91" i="91"/>
  <c r="BF91" i="91"/>
  <c r="BE91" i="91"/>
  <c r="AY91" i="91"/>
  <c r="AJ91" i="91"/>
  <c r="AO91" i="91" s="1"/>
  <c r="AT91" i="91" s="1"/>
  <c r="BB91" i="91"/>
  <c r="AM91" i="91"/>
  <c r="AR91" i="91" s="1"/>
  <c r="AW91" i="91" s="1"/>
  <c r="AZ91" i="91"/>
  <c r="AK91" i="91"/>
  <c r="AP91" i="91" s="1"/>
  <c r="AU91" i="91" s="1"/>
  <c r="AI91" i="91"/>
  <c r="AN91" i="91" s="1"/>
  <c r="AS91" i="91" s="1"/>
  <c r="AX91" i="91"/>
  <c r="BA91" i="91"/>
  <c r="AL91" i="91"/>
  <c r="AQ91" i="91" s="1"/>
  <c r="AV91" i="91" s="1"/>
  <c r="BM91" i="91"/>
  <c r="BO91" i="91"/>
  <c r="BN91" i="91"/>
  <c r="BL91" i="91"/>
  <c r="BK91" i="91"/>
  <c r="BF92" i="91" l="1"/>
  <c r="BG92" i="91"/>
  <c r="BH92" i="91"/>
  <c r="BI92" i="91"/>
  <c r="BE92" i="91"/>
  <c r="BA92" i="91"/>
  <c r="AL92" i="91"/>
  <c r="AQ92" i="91" s="1"/>
  <c r="AV92" i="91" s="1"/>
  <c r="AI92" i="91"/>
  <c r="AN92" i="91" s="1"/>
  <c r="AS92" i="91" s="1"/>
  <c r="AX92" i="91"/>
  <c r="BB92" i="91"/>
  <c r="AM92" i="91"/>
  <c r="AR92" i="91" s="1"/>
  <c r="AW92" i="91" s="1"/>
  <c r="AJ92" i="91"/>
  <c r="AO92" i="91" s="1"/>
  <c r="AT92" i="91" s="1"/>
  <c r="AY92" i="91"/>
  <c r="AZ92" i="91"/>
  <c r="AK92" i="91"/>
  <c r="AP92" i="91" s="1"/>
  <c r="AU92" i="91" s="1"/>
  <c r="BN92" i="91"/>
  <c r="BL92" i="91"/>
  <c r="BO92" i="91"/>
  <c r="BK92" i="91"/>
  <c r="BM92" i="91"/>
  <c r="BH93" i="91" l="1"/>
  <c r="BG93" i="91"/>
  <c r="BI93" i="91"/>
  <c r="BF93" i="91"/>
  <c r="BE93" i="91"/>
  <c r="AI93" i="91"/>
  <c r="AN93" i="91" s="1"/>
  <c r="AS93" i="91" s="1"/>
  <c r="AX93" i="91"/>
  <c r="BA93" i="91"/>
  <c r="AL93" i="91"/>
  <c r="AQ93" i="91" s="1"/>
  <c r="AV93" i="91" s="1"/>
  <c r="AY93" i="91"/>
  <c r="AJ93" i="91"/>
  <c r="AO93" i="91" s="1"/>
  <c r="AT93" i="91" s="1"/>
  <c r="AK93" i="91"/>
  <c r="AP93" i="91" s="1"/>
  <c r="AU93" i="91" s="1"/>
  <c r="AZ93" i="91"/>
  <c r="BB93" i="91"/>
  <c r="AM93" i="91"/>
  <c r="AR93" i="91" s="1"/>
  <c r="AW93" i="91" s="1"/>
  <c r="BN93" i="91"/>
  <c r="BO93" i="91"/>
  <c r="BL93" i="91"/>
  <c r="BM93" i="91"/>
  <c r="BK93" i="91"/>
  <c r="BG94" i="91" l="1"/>
  <c r="BI94" i="91"/>
  <c r="BF94" i="91"/>
  <c r="BH94" i="91"/>
  <c r="BE94" i="91"/>
  <c r="AM94" i="91"/>
  <c r="AR94" i="91" s="1"/>
  <c r="AW94" i="91" s="1"/>
  <c r="BB94" i="91"/>
  <c r="AK94" i="91"/>
  <c r="AP94" i="91" s="1"/>
  <c r="AU94" i="91" s="1"/>
  <c r="AZ94" i="91"/>
  <c r="AI94" i="91"/>
  <c r="AN94" i="91" s="1"/>
  <c r="AS94" i="91" s="1"/>
  <c r="AX94" i="91"/>
  <c r="BA94" i="91"/>
  <c r="AL94" i="91"/>
  <c r="AQ94" i="91" s="1"/>
  <c r="AV94" i="91" s="1"/>
  <c r="AY94" i="91"/>
  <c r="AJ94" i="91"/>
  <c r="AO94" i="91" s="1"/>
  <c r="AT94" i="91" s="1"/>
  <c r="BO94" i="91"/>
  <c r="BN94" i="91"/>
  <c r="BM94" i="91"/>
  <c r="BL94" i="91"/>
  <c r="BK94" i="91"/>
  <c r="BF95" i="91" l="1"/>
  <c r="BI95" i="91"/>
  <c r="BH95" i="91"/>
  <c r="BG95" i="91"/>
  <c r="BE95" i="91"/>
  <c r="AK95" i="91"/>
  <c r="AP95" i="91" s="1"/>
  <c r="AU95" i="91" s="1"/>
  <c r="AZ95" i="91"/>
  <c r="BA95" i="91"/>
  <c r="AL95" i="91"/>
  <c r="AQ95" i="91" s="1"/>
  <c r="AV95" i="91" s="1"/>
  <c r="BB95" i="91"/>
  <c r="AM95" i="91"/>
  <c r="AR95" i="91" s="1"/>
  <c r="AW95" i="91" s="1"/>
  <c r="AY95" i="91"/>
  <c r="AJ95" i="91"/>
  <c r="AO95" i="91" s="1"/>
  <c r="AT95" i="91" s="1"/>
  <c r="AI95" i="91"/>
  <c r="AN95" i="91" s="1"/>
  <c r="AS95" i="91" s="1"/>
  <c r="AX95" i="91"/>
  <c r="BL95" i="91"/>
  <c r="BN95" i="91"/>
  <c r="BO95" i="91"/>
  <c r="BM95" i="91"/>
  <c r="BK95" i="91"/>
  <c r="BH96" i="91" l="1"/>
  <c r="BF96" i="91"/>
  <c r="BG96" i="91"/>
  <c r="BI96" i="91"/>
  <c r="BE96" i="91"/>
  <c r="AJ96" i="91"/>
  <c r="AO96" i="91" s="1"/>
  <c r="AT96" i="91" s="1"/>
  <c r="AY96" i="91"/>
  <c r="AZ96" i="91"/>
  <c r="AK96" i="91"/>
  <c r="AP96" i="91" s="1"/>
  <c r="AU96" i="91" s="1"/>
  <c r="AI96" i="91"/>
  <c r="AN96" i="91" s="1"/>
  <c r="AS96" i="91" s="1"/>
  <c r="AX96" i="91"/>
  <c r="BA96" i="91"/>
  <c r="AL96" i="91"/>
  <c r="AQ96" i="91" s="1"/>
  <c r="AV96" i="91" s="1"/>
  <c r="BB96" i="91"/>
  <c r="AM96" i="91"/>
  <c r="AR96" i="91" s="1"/>
  <c r="AW96" i="91" s="1"/>
  <c r="BL96" i="91"/>
  <c r="BM96" i="91"/>
  <c r="BN96" i="91"/>
  <c r="BO96" i="91"/>
  <c r="BK96" i="91"/>
  <c r="BG97" i="91" l="1"/>
  <c r="BI97" i="91"/>
  <c r="BF97" i="91"/>
  <c r="BH97" i="91"/>
  <c r="BE97" i="91"/>
  <c r="BB97" i="91"/>
  <c r="AM97" i="91"/>
  <c r="AR97" i="91" s="1"/>
  <c r="AW97" i="91" s="1"/>
  <c r="BA97" i="91"/>
  <c r="AL97" i="91"/>
  <c r="AQ97" i="91" s="1"/>
  <c r="AV97" i="91" s="1"/>
  <c r="AJ97" i="91"/>
  <c r="AO97" i="91" s="1"/>
  <c r="AT97" i="91" s="1"/>
  <c r="AY97" i="91"/>
  <c r="AK97" i="91"/>
  <c r="AP97" i="91" s="1"/>
  <c r="AU97" i="91" s="1"/>
  <c r="AZ97" i="91"/>
  <c r="AI97" i="91"/>
  <c r="AN97" i="91" s="1"/>
  <c r="AS97" i="91" s="1"/>
  <c r="AX97" i="91"/>
  <c r="BN97" i="91"/>
  <c r="BK97" i="91"/>
  <c r="BL97" i="91"/>
  <c r="BO97" i="91"/>
  <c r="BM97" i="91"/>
  <c r="BH98" i="91" l="1"/>
  <c r="BI98" i="91"/>
  <c r="BF98" i="91"/>
  <c r="BG98" i="91"/>
  <c r="BE98" i="91"/>
  <c r="AK98" i="91"/>
  <c r="AP98" i="91" s="1"/>
  <c r="AU98" i="91" s="1"/>
  <c r="AZ98" i="91"/>
  <c r="BB98" i="91"/>
  <c r="AM98" i="91"/>
  <c r="AR98" i="91" s="1"/>
  <c r="AW98" i="91" s="1"/>
  <c r="BA98" i="91"/>
  <c r="AL98" i="91"/>
  <c r="AQ98" i="91" s="1"/>
  <c r="AV98" i="91" s="1"/>
  <c r="AI98" i="91"/>
  <c r="AN98" i="91" s="1"/>
  <c r="AS98" i="91" s="1"/>
  <c r="AX98" i="91"/>
  <c r="AY98" i="91"/>
  <c r="AJ98" i="91"/>
  <c r="AO98" i="91" s="1"/>
  <c r="AT98" i="91" s="1"/>
  <c r="BM98" i="91"/>
  <c r="BN98" i="91"/>
  <c r="BL98" i="91"/>
  <c r="BO98" i="91"/>
  <c r="BK98" i="91"/>
  <c r="BF99" i="91" l="1"/>
  <c r="BI99" i="91"/>
  <c r="BG99" i="91"/>
  <c r="BH99" i="91"/>
  <c r="BE99" i="91"/>
  <c r="AI99" i="91"/>
  <c r="AN99" i="91" s="1"/>
  <c r="AS99" i="91" s="1"/>
  <c r="AX99" i="91"/>
  <c r="AY99" i="91"/>
  <c r="AJ99" i="91"/>
  <c r="AO99" i="91" s="1"/>
  <c r="AT99" i="91" s="1"/>
  <c r="AZ99" i="91"/>
  <c r="AK99" i="91"/>
  <c r="AP99" i="91" s="1"/>
  <c r="AU99" i="91" s="1"/>
  <c r="BB99" i="91"/>
  <c r="AM99" i="91"/>
  <c r="AR99" i="91" s="1"/>
  <c r="AW99" i="91" s="1"/>
  <c r="BA99" i="91"/>
  <c r="AL99" i="91"/>
  <c r="AQ99" i="91" s="1"/>
  <c r="AV99" i="91" s="1"/>
  <c r="BM99" i="91"/>
  <c r="BO99" i="91"/>
  <c r="BL99" i="91"/>
  <c r="BK99" i="91"/>
  <c r="BN99" i="91"/>
  <c r="BG100" i="91" l="1"/>
  <c r="BI100" i="91"/>
  <c r="BH100" i="91"/>
  <c r="BF100" i="91"/>
  <c r="BE100" i="91"/>
  <c r="BA100" i="91"/>
  <c r="AL100" i="91"/>
  <c r="AQ100" i="91" s="1"/>
  <c r="AV100" i="91" s="1"/>
  <c r="BB100" i="91"/>
  <c r="AM100" i="91"/>
  <c r="AR100" i="91" s="1"/>
  <c r="AW100" i="91" s="1"/>
  <c r="AJ100" i="91"/>
  <c r="AO100" i="91" s="1"/>
  <c r="AT100" i="91" s="1"/>
  <c r="AY100" i="91"/>
  <c r="AI100" i="91"/>
  <c r="AN100" i="91" s="1"/>
  <c r="AS100" i="91" s="1"/>
  <c r="AX100" i="91"/>
  <c r="AK100" i="91"/>
  <c r="AP100" i="91" s="1"/>
  <c r="AU100" i="91" s="1"/>
  <c r="AZ100" i="91"/>
  <c r="BM100" i="91"/>
  <c r="BO100" i="91"/>
  <c r="BN100" i="91"/>
  <c r="BL100" i="91"/>
  <c r="BK100" i="91"/>
  <c r="BG101" i="91" l="1"/>
  <c r="BH101" i="91"/>
  <c r="BF101" i="91"/>
  <c r="BI101" i="91"/>
  <c r="BE101" i="91"/>
  <c r="AZ101" i="91"/>
  <c r="AK101" i="91"/>
  <c r="AP101" i="91" s="1"/>
  <c r="AU101" i="91" s="1"/>
  <c r="AI101" i="91"/>
  <c r="AN101" i="91" s="1"/>
  <c r="AS101" i="91" s="1"/>
  <c r="AX101" i="91"/>
  <c r="BA101" i="91"/>
  <c r="AL101" i="91"/>
  <c r="AQ101" i="91" s="1"/>
  <c r="AV101" i="91" s="1"/>
  <c r="BB101" i="91"/>
  <c r="AM101" i="91"/>
  <c r="AR101" i="91" s="1"/>
  <c r="AW101" i="91" s="1"/>
  <c r="AJ101" i="91"/>
  <c r="AO101" i="91" s="1"/>
  <c r="AT101" i="91" s="1"/>
  <c r="AY101" i="91"/>
  <c r="BL101" i="91"/>
  <c r="BN101" i="91"/>
  <c r="BM101" i="91"/>
  <c r="BO101" i="91"/>
  <c r="BK101" i="91"/>
  <c r="BG102" i="91" l="1"/>
  <c r="BH102" i="91"/>
  <c r="BI102" i="91"/>
  <c r="BF102" i="91"/>
  <c r="BE102" i="91"/>
  <c r="AJ102" i="91"/>
  <c r="AO102" i="91" s="1"/>
  <c r="AT102" i="91" s="1"/>
  <c r="AY102" i="91"/>
  <c r="AM102" i="91"/>
  <c r="AR102" i="91" s="1"/>
  <c r="AW102" i="91" s="1"/>
  <c r="BB102" i="91"/>
  <c r="AK102" i="91"/>
  <c r="AP102" i="91" s="1"/>
  <c r="AU102" i="91" s="1"/>
  <c r="AZ102" i="91"/>
  <c r="AI102" i="91"/>
  <c r="AN102" i="91" s="1"/>
  <c r="AS102" i="91" s="1"/>
  <c r="AX102" i="91"/>
  <c r="BA102" i="91"/>
  <c r="AL102" i="91"/>
  <c r="AQ102" i="91" s="1"/>
  <c r="AV102" i="91" s="1"/>
  <c r="BO102" i="91"/>
  <c r="BL102" i="91"/>
  <c r="BM102" i="91"/>
  <c r="BK102" i="91"/>
  <c r="BN102" i="91"/>
  <c r="BH103" i="91" l="1"/>
  <c r="BF103" i="91"/>
  <c r="BI103" i="91"/>
  <c r="BG103" i="91"/>
  <c r="BE103" i="91"/>
  <c r="BA103" i="91"/>
  <c r="AL103" i="91"/>
  <c r="AQ103" i="91" s="1"/>
  <c r="AV103" i="91" s="1"/>
  <c r="AI103" i="91"/>
  <c r="AN103" i="91" s="1"/>
  <c r="AS103" i="91" s="1"/>
  <c r="AX103" i="91"/>
  <c r="AY103" i="91"/>
  <c r="AJ103" i="91"/>
  <c r="AO103" i="91" s="1"/>
  <c r="AT103" i="91" s="1"/>
  <c r="BB103" i="91"/>
  <c r="AM103" i="91"/>
  <c r="AR103" i="91" s="1"/>
  <c r="AW103" i="91" s="1"/>
  <c r="AZ103" i="91"/>
  <c r="AK103" i="91"/>
  <c r="AP103" i="91" s="1"/>
  <c r="AU103" i="91" s="1"/>
  <c r="BO103" i="91"/>
  <c r="BM103" i="91"/>
  <c r="BN103" i="91"/>
  <c r="BL103" i="91"/>
  <c r="BK103" i="91"/>
  <c r="BG104" i="91" l="1"/>
  <c r="BI104" i="91"/>
  <c r="BF104" i="91"/>
  <c r="BH104" i="91"/>
  <c r="BE104" i="91"/>
  <c r="AK104" i="91"/>
  <c r="AP104" i="91" s="1"/>
  <c r="AU104" i="91" s="1"/>
  <c r="AZ104" i="91"/>
  <c r="AI104" i="91"/>
  <c r="AN104" i="91" s="1"/>
  <c r="AS104" i="91" s="1"/>
  <c r="AX104" i="91"/>
  <c r="AY104" i="91"/>
  <c r="AJ104" i="91"/>
  <c r="AO104" i="91" s="1"/>
  <c r="AT104" i="91" s="1"/>
  <c r="BA104" i="91"/>
  <c r="AL104" i="91"/>
  <c r="AQ104" i="91" s="1"/>
  <c r="AV104" i="91" s="1"/>
  <c r="BB104" i="91"/>
  <c r="AM104" i="91"/>
  <c r="AR104" i="91" s="1"/>
  <c r="AW104" i="91" s="1"/>
  <c r="BO104" i="91"/>
  <c r="BL104" i="91"/>
  <c r="BM104" i="91"/>
  <c r="BN104" i="91"/>
  <c r="BK104" i="91"/>
  <c r="BF105" i="91" l="1"/>
  <c r="BH105" i="91"/>
  <c r="BI105" i="91"/>
  <c r="BG105" i="91"/>
  <c r="BE105" i="91"/>
  <c r="AI105" i="91"/>
  <c r="AN105" i="91" s="1"/>
  <c r="AS105" i="91" s="1"/>
  <c r="AX105" i="91"/>
  <c r="AL105" i="91"/>
  <c r="AQ105" i="91" s="1"/>
  <c r="AV105" i="91" s="1"/>
  <c r="BA105" i="91"/>
  <c r="AZ105" i="91"/>
  <c r="AK105" i="91"/>
  <c r="AP105" i="91" s="1"/>
  <c r="AU105" i="91" s="1"/>
  <c r="BB105" i="91"/>
  <c r="AM105" i="91"/>
  <c r="AR105" i="91" s="1"/>
  <c r="AW105" i="91" s="1"/>
  <c r="AY105" i="91"/>
  <c r="AJ105" i="91"/>
  <c r="AO105" i="91" s="1"/>
  <c r="AT105" i="91" s="1"/>
  <c r="BN105" i="91"/>
  <c r="BO105" i="91"/>
  <c r="BM105" i="91"/>
  <c r="BL105" i="91"/>
  <c r="BK105" i="91"/>
  <c r="BH106" i="91" l="1"/>
  <c r="BG106" i="91"/>
  <c r="BI106" i="91"/>
  <c r="BF106" i="91"/>
  <c r="BE106" i="91"/>
  <c r="AY106" i="91"/>
  <c r="AJ106" i="91"/>
  <c r="AO106" i="91" s="1"/>
  <c r="AT106" i="91" s="1"/>
  <c r="BA106" i="91"/>
  <c r="AL106" i="91"/>
  <c r="AQ106" i="91" s="1"/>
  <c r="AV106" i="91" s="1"/>
  <c r="AI106" i="91"/>
  <c r="AN106" i="91" s="1"/>
  <c r="AS106" i="91" s="1"/>
  <c r="AX106" i="91"/>
  <c r="BB106" i="91"/>
  <c r="AM106" i="91"/>
  <c r="AR106" i="91" s="1"/>
  <c r="AW106" i="91" s="1"/>
  <c r="AZ106" i="91"/>
  <c r="AK106" i="91"/>
  <c r="AP106" i="91" s="1"/>
  <c r="AU106" i="91" s="1"/>
  <c r="BL106" i="91"/>
  <c r="BO106" i="91"/>
  <c r="BN106" i="91"/>
  <c r="BM106" i="91"/>
  <c r="BK106" i="91"/>
  <c r="BG107" i="91" l="1"/>
  <c r="BF107" i="91"/>
  <c r="BI107" i="91"/>
  <c r="BH107" i="91"/>
  <c r="BE107" i="91"/>
  <c r="BA107" i="91"/>
  <c r="AL107" i="91"/>
  <c r="AQ107" i="91" s="1"/>
  <c r="AV107" i="91" s="1"/>
  <c r="BB107" i="91"/>
  <c r="AM107" i="91"/>
  <c r="AR107" i="91" s="1"/>
  <c r="AW107" i="91" s="1"/>
  <c r="AJ107" i="91"/>
  <c r="AO107" i="91" s="1"/>
  <c r="AT107" i="91" s="1"/>
  <c r="AY107" i="91"/>
  <c r="AK107" i="91"/>
  <c r="AP107" i="91" s="1"/>
  <c r="AU107" i="91" s="1"/>
  <c r="AZ107" i="91"/>
  <c r="AI107" i="91"/>
  <c r="AN107" i="91" s="1"/>
  <c r="AS107" i="91" s="1"/>
  <c r="AX107" i="91"/>
  <c r="BM107" i="91"/>
  <c r="BN107" i="91"/>
  <c r="BO107" i="91"/>
  <c r="BL107" i="91"/>
  <c r="BK107" i="91"/>
  <c r="BG108" i="91" l="1"/>
  <c r="BI108" i="91"/>
  <c r="BH108" i="91"/>
  <c r="BF108" i="91"/>
  <c r="BE108" i="91"/>
  <c r="AI108" i="91"/>
  <c r="AN108" i="91" s="1"/>
  <c r="AS108" i="91" s="1"/>
  <c r="AX108" i="91"/>
  <c r="BB108" i="91"/>
  <c r="AM108" i="91"/>
  <c r="AR108" i="91" s="1"/>
  <c r="AW108" i="91" s="1"/>
  <c r="AK108" i="91"/>
  <c r="AP108" i="91" s="1"/>
  <c r="AU108" i="91" s="1"/>
  <c r="AZ108" i="91"/>
  <c r="BA108" i="91"/>
  <c r="AL108" i="91"/>
  <c r="AQ108" i="91" s="1"/>
  <c r="AV108" i="91" s="1"/>
  <c r="AJ108" i="91"/>
  <c r="AO108" i="91" s="1"/>
  <c r="AT108" i="91" s="1"/>
  <c r="AY108" i="91"/>
  <c r="BN108" i="91"/>
  <c r="BM108" i="91"/>
  <c r="BO108" i="91"/>
  <c r="BL108" i="91"/>
  <c r="BK108" i="91"/>
  <c r="BI109" i="91" l="1"/>
  <c r="BG109" i="91"/>
  <c r="BH109" i="91"/>
  <c r="BF109" i="91"/>
  <c r="BE109" i="91"/>
  <c r="BB109" i="91"/>
  <c r="AM109" i="91"/>
  <c r="AR109" i="91" s="1"/>
  <c r="AW109" i="91" s="1"/>
  <c r="BA109" i="91"/>
  <c r="AL109" i="91"/>
  <c r="AQ109" i="91" s="1"/>
  <c r="AV109" i="91" s="1"/>
  <c r="AY109" i="91"/>
  <c r="AJ109" i="91"/>
  <c r="AO109" i="91" s="1"/>
  <c r="AT109" i="91" s="1"/>
  <c r="AI109" i="91"/>
  <c r="AN109" i="91" s="1"/>
  <c r="AS109" i="91" s="1"/>
  <c r="AX109" i="91"/>
  <c r="AZ109" i="91"/>
  <c r="AK109" i="91"/>
  <c r="AP109" i="91" s="1"/>
  <c r="AU109" i="91" s="1"/>
  <c r="BN109" i="91"/>
  <c r="BM109" i="91"/>
  <c r="BO109" i="91"/>
  <c r="BL109" i="91"/>
  <c r="BK109" i="91"/>
  <c r="BI110" i="91" l="1"/>
  <c r="BF110" i="91"/>
  <c r="BG110" i="91"/>
  <c r="BH110" i="91"/>
  <c r="BE110" i="91"/>
  <c r="AI110" i="91"/>
  <c r="AN110" i="91" s="1"/>
  <c r="AS110" i="91" s="1"/>
  <c r="AX110" i="91"/>
  <c r="BB110" i="91"/>
  <c r="AM110" i="91"/>
  <c r="AR110" i="91" s="1"/>
  <c r="AW110" i="91" s="1"/>
  <c r="AK110" i="91"/>
  <c r="AP110" i="91" s="1"/>
  <c r="AU110" i="91" s="1"/>
  <c r="AZ110" i="91"/>
  <c r="BA110" i="91"/>
  <c r="AL110" i="91"/>
  <c r="AQ110" i="91" s="1"/>
  <c r="AV110" i="91" s="1"/>
  <c r="AY110" i="91"/>
  <c r="AJ110" i="91"/>
  <c r="AO110" i="91" s="1"/>
  <c r="AT110" i="91" s="1"/>
  <c r="BO110" i="91"/>
  <c r="BK110" i="91"/>
  <c r="BN110" i="91"/>
  <c r="BM110" i="91"/>
  <c r="BL110" i="91"/>
  <c r="BI111" i="91" l="1"/>
  <c r="BG111" i="91"/>
  <c r="BH111" i="91"/>
  <c r="BF111" i="91"/>
  <c r="BE111" i="91"/>
  <c r="BB111" i="91"/>
  <c r="AM111" i="91"/>
  <c r="AR111" i="91" s="1"/>
  <c r="AW111" i="91" s="1"/>
  <c r="BA111" i="91"/>
  <c r="AL111" i="91"/>
  <c r="AQ111" i="91" s="1"/>
  <c r="AV111" i="91" s="1"/>
  <c r="AJ111" i="91"/>
  <c r="AO111" i="91" s="1"/>
  <c r="AT111" i="91" s="1"/>
  <c r="AY111" i="91"/>
  <c r="AI111" i="91"/>
  <c r="AN111" i="91" s="1"/>
  <c r="AS111" i="91" s="1"/>
  <c r="AX111" i="91"/>
  <c r="AZ111" i="91"/>
  <c r="AK111" i="91"/>
  <c r="AP111" i="91" s="1"/>
  <c r="AU111" i="91" s="1"/>
  <c r="BM111" i="91"/>
  <c r="BN111" i="91"/>
  <c r="BO111" i="91"/>
  <c r="BK111" i="91"/>
  <c r="BL111" i="91"/>
  <c r="BG112" i="91" l="1"/>
  <c r="BF112" i="91"/>
  <c r="BH112" i="91"/>
  <c r="BI112" i="91"/>
  <c r="BE112" i="91"/>
  <c r="BA112" i="91"/>
  <c r="AL112" i="91"/>
  <c r="AQ112" i="91" s="1"/>
  <c r="AV112" i="91" s="1"/>
  <c r="AK112" i="91"/>
  <c r="AP112" i="91" s="1"/>
  <c r="AU112" i="91" s="1"/>
  <c r="AZ112" i="91"/>
  <c r="AI112" i="91"/>
  <c r="AN112" i="91" s="1"/>
  <c r="AS112" i="91" s="1"/>
  <c r="AX112" i="91"/>
  <c r="BB112" i="91"/>
  <c r="AM112" i="91"/>
  <c r="AR112" i="91" s="1"/>
  <c r="AW112" i="91" s="1"/>
  <c r="AJ112" i="91"/>
  <c r="AO112" i="91" s="1"/>
  <c r="AT112" i="91" s="1"/>
  <c r="AY112" i="91"/>
  <c r="BN112" i="91"/>
  <c r="BO112" i="91"/>
  <c r="BK112" i="91"/>
  <c r="BL112" i="91"/>
  <c r="BM112" i="91"/>
  <c r="BG113" i="91" l="1"/>
  <c r="BF113" i="91"/>
  <c r="BI113" i="91"/>
  <c r="BH113" i="91"/>
  <c r="BE113" i="91"/>
  <c r="AK113" i="91"/>
  <c r="AP113" i="91" s="1"/>
  <c r="AU113" i="91" s="1"/>
  <c r="AZ113" i="91"/>
  <c r="AY113" i="91"/>
  <c r="AJ113" i="91"/>
  <c r="AO113" i="91" s="1"/>
  <c r="AT113" i="91" s="1"/>
  <c r="AM113" i="91"/>
  <c r="AR113" i="91" s="1"/>
  <c r="AW113" i="91" s="1"/>
  <c r="BB113" i="91"/>
  <c r="BA113" i="91"/>
  <c r="AL113" i="91"/>
  <c r="AQ113" i="91" s="1"/>
  <c r="AV113" i="91" s="1"/>
  <c r="AI113" i="91"/>
  <c r="AN113" i="91" s="1"/>
  <c r="AS113" i="91" s="1"/>
  <c r="AX113" i="91"/>
  <c r="BO113" i="91"/>
  <c r="BK113" i="91"/>
  <c r="BM113" i="91"/>
  <c r="BN113" i="91"/>
  <c r="BL113" i="91"/>
  <c r="BF114" i="91" l="1"/>
  <c r="BH114" i="91"/>
  <c r="BG114" i="91"/>
  <c r="BI114" i="91"/>
  <c r="BE114" i="91"/>
  <c r="AY114" i="91"/>
  <c r="AJ114" i="91"/>
  <c r="AO114" i="91" s="1"/>
  <c r="AT114" i="91" s="1"/>
  <c r="AI114" i="91"/>
  <c r="AN114" i="91" s="1"/>
  <c r="AS114" i="91" s="1"/>
  <c r="AX114" i="91"/>
  <c r="BA114" i="91"/>
  <c r="AL114" i="91"/>
  <c r="AQ114" i="91" s="1"/>
  <c r="AV114" i="91" s="1"/>
  <c r="AK114" i="91"/>
  <c r="AP114" i="91" s="1"/>
  <c r="AU114" i="91" s="1"/>
  <c r="AZ114" i="91"/>
  <c r="BB114" i="91"/>
  <c r="AM114" i="91"/>
  <c r="AR114" i="91" s="1"/>
  <c r="AW114" i="91" s="1"/>
  <c r="BM114" i="91"/>
  <c r="BK114" i="91"/>
  <c r="BN114" i="91"/>
  <c r="BL114" i="91"/>
  <c r="BO114" i="91"/>
  <c r="BI115" i="91" l="1"/>
  <c r="BH115" i="91"/>
  <c r="BG115" i="91"/>
  <c r="BF115" i="91"/>
  <c r="BE115" i="91"/>
  <c r="BB115" i="91"/>
  <c r="AM115" i="91"/>
  <c r="AR115" i="91" s="1"/>
  <c r="AW115" i="91" s="1"/>
  <c r="AI115" i="91"/>
  <c r="AN115" i="91" s="1"/>
  <c r="AS115" i="91" s="1"/>
  <c r="AX115" i="91"/>
  <c r="AK115" i="91"/>
  <c r="AP115" i="91" s="1"/>
  <c r="AU115" i="91" s="1"/>
  <c r="AZ115" i="91"/>
  <c r="AY115" i="91"/>
  <c r="AJ115" i="91"/>
  <c r="AO115" i="91" s="1"/>
  <c r="AT115" i="91" s="1"/>
  <c r="BA115" i="91"/>
  <c r="AL115" i="91"/>
  <c r="AQ115" i="91" s="1"/>
  <c r="AV115" i="91" s="1"/>
  <c r="BM115" i="91"/>
  <c r="BK115" i="91"/>
  <c r="BL115" i="91"/>
  <c r="BN115" i="91"/>
  <c r="BO115" i="91"/>
  <c r="BF116" i="91" l="1"/>
  <c r="BH116" i="91"/>
  <c r="BG116" i="91"/>
  <c r="BI116" i="91"/>
  <c r="BE116" i="91"/>
  <c r="AI116" i="91"/>
  <c r="AN116" i="91" s="1"/>
  <c r="AS116" i="91" s="1"/>
  <c r="AX116" i="91"/>
  <c r="BA116" i="91"/>
  <c r="AL116" i="91"/>
  <c r="AQ116" i="91" s="1"/>
  <c r="AV116" i="91" s="1"/>
  <c r="AY116" i="91"/>
  <c r="AJ116" i="91"/>
  <c r="AO116" i="91" s="1"/>
  <c r="AT116" i="91" s="1"/>
  <c r="BB116" i="91"/>
  <c r="AM116" i="91"/>
  <c r="AR116" i="91" s="1"/>
  <c r="AW116" i="91" s="1"/>
  <c r="AZ116" i="91"/>
  <c r="AK116" i="91"/>
  <c r="AP116" i="91" s="1"/>
  <c r="AU116" i="91" s="1"/>
  <c r="BM116" i="91"/>
  <c r="BN116" i="91"/>
  <c r="BL116" i="91"/>
  <c r="BO116" i="91"/>
  <c r="BK116" i="91"/>
  <c r="BH117" i="91" l="1"/>
  <c r="BI117" i="91"/>
  <c r="BF117" i="91"/>
  <c r="BG117" i="91"/>
  <c r="BE117" i="91"/>
  <c r="AK117" i="91"/>
  <c r="AP117" i="91" s="1"/>
  <c r="AU117" i="91" s="1"/>
  <c r="AZ117" i="91"/>
  <c r="BA117" i="91"/>
  <c r="AL117" i="91"/>
  <c r="AQ117" i="91" s="1"/>
  <c r="AV117" i="91" s="1"/>
  <c r="AI117" i="91"/>
  <c r="AN117" i="91" s="1"/>
  <c r="AS117" i="91" s="1"/>
  <c r="AX117" i="91"/>
  <c r="BB117" i="91"/>
  <c r="AM117" i="91"/>
  <c r="AR117" i="91" s="1"/>
  <c r="AW117" i="91" s="1"/>
  <c r="AY117" i="91"/>
  <c r="AJ117" i="91"/>
  <c r="AO117" i="91" s="1"/>
  <c r="AT117" i="91" s="1"/>
  <c r="BM117" i="91"/>
  <c r="BL117" i="91"/>
  <c r="BK117" i="91"/>
  <c r="BO117" i="91"/>
  <c r="BN117" i="91"/>
  <c r="BG118" i="91" l="1"/>
  <c r="BH118" i="91"/>
  <c r="BI118" i="91"/>
  <c r="BF118" i="91"/>
  <c r="BE118" i="91"/>
  <c r="AJ118" i="91"/>
  <c r="AO118" i="91" s="1"/>
  <c r="AT118" i="91" s="1"/>
  <c r="AY118" i="91"/>
  <c r="AI118" i="91"/>
  <c r="AN118" i="91" s="1"/>
  <c r="AS118" i="91" s="1"/>
  <c r="AX118" i="91"/>
  <c r="BA118" i="91"/>
  <c r="AL118" i="91"/>
  <c r="AQ118" i="91" s="1"/>
  <c r="AV118" i="91" s="1"/>
  <c r="BB118" i="91"/>
  <c r="AM118" i="91"/>
  <c r="AR118" i="91" s="1"/>
  <c r="AW118" i="91" s="1"/>
  <c r="AK118" i="91"/>
  <c r="AP118" i="91" s="1"/>
  <c r="AU118" i="91" s="1"/>
  <c r="AZ118" i="91"/>
  <c r="BN118" i="91"/>
  <c r="BM118" i="91"/>
  <c r="BO118" i="91"/>
  <c r="BL118" i="91"/>
  <c r="BK118" i="91"/>
  <c r="BF119" i="91" l="1"/>
  <c r="BH119" i="91"/>
  <c r="BI119" i="91"/>
  <c r="BG119" i="91"/>
  <c r="BE119" i="91"/>
  <c r="AZ119" i="91"/>
  <c r="AK119" i="91"/>
  <c r="AP119" i="91" s="1"/>
  <c r="AU119" i="91" s="1"/>
  <c r="AI119" i="91"/>
  <c r="AN119" i="91" s="1"/>
  <c r="AS119" i="91" s="1"/>
  <c r="AX119" i="91"/>
  <c r="BA119" i="91"/>
  <c r="AL119" i="91"/>
  <c r="AQ119" i="91" s="1"/>
  <c r="AV119" i="91" s="1"/>
  <c r="BB119" i="91"/>
  <c r="AM119" i="91"/>
  <c r="AR119" i="91" s="1"/>
  <c r="AW119" i="91" s="1"/>
  <c r="AJ119" i="91"/>
  <c r="AO119" i="91" s="1"/>
  <c r="AT119" i="91" s="1"/>
  <c r="AY119" i="91"/>
  <c r="BO119" i="91"/>
  <c r="BM119" i="91"/>
  <c r="BN119" i="91"/>
  <c r="BK119" i="91"/>
  <c r="BL119" i="91"/>
  <c r="BF120" i="91" l="1"/>
  <c r="BG120" i="91"/>
  <c r="BH120" i="91"/>
  <c r="BI120" i="91"/>
  <c r="BE120" i="91"/>
  <c r="AJ120" i="91"/>
  <c r="AO120" i="91" s="1"/>
  <c r="AT120" i="91" s="1"/>
  <c r="AY120" i="91"/>
  <c r="AI120" i="91"/>
  <c r="AN120" i="91" s="1"/>
  <c r="AS120" i="91" s="1"/>
  <c r="AX120" i="91"/>
  <c r="AK120" i="91"/>
  <c r="AP120" i="91" s="1"/>
  <c r="AU120" i="91" s="1"/>
  <c r="AZ120" i="91"/>
  <c r="AM120" i="91"/>
  <c r="AR120" i="91" s="1"/>
  <c r="AW120" i="91" s="1"/>
  <c r="BB120" i="91"/>
  <c r="BA120" i="91"/>
  <c r="AL120" i="91"/>
  <c r="AQ120" i="91" s="1"/>
  <c r="AV120" i="91" s="1"/>
  <c r="BN120" i="91"/>
  <c r="BM120" i="91"/>
  <c r="BO120" i="91"/>
  <c r="BL120" i="91"/>
  <c r="BK120" i="91"/>
  <c r="BF121" i="91" l="1"/>
  <c r="BI121" i="91"/>
  <c r="BH121" i="91"/>
  <c r="BG121" i="91"/>
  <c r="BE121" i="91"/>
  <c r="AZ121" i="91"/>
  <c r="AK121" i="91"/>
  <c r="AP121" i="91" s="1"/>
  <c r="AU121" i="91" s="1"/>
  <c r="AI121" i="91"/>
  <c r="AN121" i="91" s="1"/>
  <c r="AS121" i="91" s="1"/>
  <c r="AX121" i="91"/>
  <c r="BA121" i="91"/>
  <c r="AL121" i="91"/>
  <c r="AQ121" i="91" s="1"/>
  <c r="AV121" i="91" s="1"/>
  <c r="BB121" i="91"/>
  <c r="AM121" i="91"/>
  <c r="AR121" i="91" s="1"/>
  <c r="AW121" i="91" s="1"/>
  <c r="AY121" i="91"/>
  <c r="AJ121" i="91"/>
  <c r="AO121" i="91" s="1"/>
  <c r="AT121" i="91" s="1"/>
  <c r="BO121" i="91"/>
  <c r="BN121" i="91"/>
  <c r="BL121" i="91"/>
  <c r="BM121" i="91"/>
  <c r="BK121" i="91"/>
  <c r="BG122" i="91" l="1"/>
  <c r="BF122" i="91"/>
  <c r="BI122" i="91"/>
  <c r="BH122" i="91"/>
  <c r="BE122" i="91"/>
  <c r="AJ122" i="91"/>
  <c r="AO122" i="91" s="1"/>
  <c r="AT122" i="91" s="1"/>
  <c r="AY122" i="91"/>
  <c r="AI122" i="91"/>
  <c r="AN122" i="91" s="1"/>
  <c r="AS122" i="91" s="1"/>
  <c r="AX122" i="91"/>
  <c r="AM122" i="91"/>
  <c r="AR122" i="91" s="1"/>
  <c r="AW122" i="91" s="1"/>
  <c r="BB122" i="91"/>
  <c r="AZ122" i="91"/>
  <c r="AK122" i="91"/>
  <c r="AP122" i="91" s="1"/>
  <c r="AU122" i="91" s="1"/>
  <c r="BA122" i="91"/>
  <c r="AL122" i="91"/>
  <c r="AQ122" i="91" s="1"/>
  <c r="AV122" i="91" s="1"/>
  <c r="BL122" i="91"/>
  <c r="BM122" i="91"/>
  <c r="BO122" i="91"/>
  <c r="BN122" i="91"/>
  <c r="BK122" i="91"/>
  <c r="BH123" i="91" l="1"/>
  <c r="BF123" i="91"/>
  <c r="BI123" i="91"/>
  <c r="BG123" i="91"/>
  <c r="BE123" i="91"/>
  <c r="AI123" i="91"/>
  <c r="AN123" i="91" s="1"/>
  <c r="AS123" i="91" s="1"/>
  <c r="AX123" i="91"/>
  <c r="BA123" i="91"/>
  <c r="AL123" i="91"/>
  <c r="AQ123" i="91" s="1"/>
  <c r="AV123" i="91" s="1"/>
  <c r="BB123" i="91"/>
  <c r="AM123" i="91"/>
  <c r="AR123" i="91" s="1"/>
  <c r="AW123" i="91" s="1"/>
  <c r="AZ123" i="91"/>
  <c r="AK123" i="91"/>
  <c r="AP123" i="91" s="1"/>
  <c r="AU123" i="91" s="1"/>
  <c r="AJ123" i="91"/>
  <c r="AO123" i="91" s="1"/>
  <c r="AT123" i="91" s="1"/>
  <c r="AY123" i="91"/>
  <c r="BO123" i="91"/>
  <c r="BN123" i="91"/>
  <c r="BK123" i="91"/>
  <c r="BL123" i="91"/>
  <c r="BM123" i="91"/>
  <c r="BG124" i="91" l="1"/>
  <c r="BH124" i="91"/>
  <c r="BI124" i="91"/>
  <c r="BF124" i="91"/>
  <c r="BE124" i="91"/>
  <c r="BA124" i="91"/>
  <c r="AL124" i="91"/>
  <c r="AQ124" i="91" s="1"/>
  <c r="AV124" i="91" s="1"/>
  <c r="BB124" i="91"/>
  <c r="AM124" i="91"/>
  <c r="AR124" i="91" s="1"/>
  <c r="AW124" i="91" s="1"/>
  <c r="AY124" i="91"/>
  <c r="AJ124" i="91"/>
  <c r="AO124" i="91" s="1"/>
  <c r="AT124" i="91" s="1"/>
  <c r="AK124" i="91"/>
  <c r="AP124" i="91" s="1"/>
  <c r="AU124" i="91" s="1"/>
  <c r="AZ124" i="91"/>
  <c r="AI124" i="91"/>
  <c r="AN124" i="91" s="1"/>
  <c r="AS124" i="91" s="1"/>
  <c r="AX124" i="91"/>
  <c r="BL124" i="91"/>
  <c r="BM124" i="91"/>
  <c r="BK124" i="91"/>
  <c r="BO124" i="91"/>
  <c r="BN124" i="91"/>
  <c r="BF125" i="91" l="1"/>
  <c r="BH125" i="91"/>
  <c r="BI125" i="91"/>
  <c r="BG125" i="91"/>
  <c r="BE125" i="91"/>
  <c r="BB125" i="91"/>
  <c r="AM125" i="91"/>
  <c r="AR125" i="91" s="1"/>
  <c r="AW125" i="91" s="1"/>
  <c r="AI125" i="91"/>
  <c r="AN125" i="91" s="1"/>
  <c r="AS125" i="91" s="1"/>
  <c r="AX125" i="91"/>
  <c r="AK125" i="91"/>
  <c r="AP125" i="91" s="1"/>
  <c r="AU125" i="91" s="1"/>
  <c r="AZ125" i="91"/>
  <c r="BA125" i="91"/>
  <c r="AL125" i="91"/>
  <c r="AQ125" i="91" s="1"/>
  <c r="AV125" i="91" s="1"/>
  <c r="AJ125" i="91"/>
  <c r="AO125" i="91" s="1"/>
  <c r="AT125" i="91" s="1"/>
  <c r="AY125" i="91"/>
  <c r="BM125" i="91"/>
  <c r="BO125" i="91"/>
  <c r="BL125" i="91"/>
  <c r="BN125" i="91"/>
  <c r="BK125" i="91"/>
  <c r="BF126" i="91" l="1"/>
  <c r="BG126" i="91"/>
  <c r="BI126" i="91"/>
  <c r="BH126" i="91"/>
  <c r="BE126" i="91"/>
  <c r="AJ126" i="91"/>
  <c r="AO126" i="91" s="1"/>
  <c r="AT126" i="91" s="1"/>
  <c r="AY126" i="91"/>
  <c r="AI126" i="91"/>
  <c r="AN126" i="91" s="1"/>
  <c r="AS126" i="91" s="1"/>
  <c r="AX126" i="91"/>
  <c r="BB126" i="91"/>
  <c r="AM126" i="91"/>
  <c r="AR126" i="91" s="1"/>
  <c r="AW126" i="91" s="1"/>
  <c r="AK126" i="91"/>
  <c r="AP126" i="91" s="1"/>
  <c r="AU126" i="91" s="1"/>
  <c r="AZ126" i="91"/>
  <c r="BA126" i="91"/>
  <c r="AL126" i="91"/>
  <c r="AQ126" i="91" s="1"/>
  <c r="AV126" i="91" s="1"/>
  <c r="BO126" i="91"/>
  <c r="BM126" i="91"/>
  <c r="BN126" i="91"/>
  <c r="BL126" i="91"/>
  <c r="BK126" i="91"/>
  <c r="BH127" i="91" l="1"/>
  <c r="BI127" i="91"/>
  <c r="BG127" i="91"/>
  <c r="BF127" i="91"/>
  <c r="BE127" i="91"/>
  <c r="AM127" i="91"/>
  <c r="AR127" i="91" s="1"/>
  <c r="AW127" i="91" s="1"/>
  <c r="BB127" i="91"/>
  <c r="AI127" i="91"/>
  <c r="AN127" i="91" s="1"/>
  <c r="AS127" i="91" s="1"/>
  <c r="AX127" i="91"/>
  <c r="BA127" i="91"/>
  <c r="AL127" i="91"/>
  <c r="AQ127" i="91" s="1"/>
  <c r="AV127" i="91" s="1"/>
  <c r="AK127" i="91"/>
  <c r="AP127" i="91" s="1"/>
  <c r="AU127" i="91" s="1"/>
  <c r="AZ127" i="91"/>
  <c r="AJ127" i="91"/>
  <c r="AO127" i="91" s="1"/>
  <c r="AT127" i="91" s="1"/>
  <c r="AY127" i="91"/>
  <c r="BN127" i="91"/>
  <c r="BO127" i="91"/>
  <c r="BM127" i="91"/>
  <c r="BK127" i="91"/>
  <c r="BL127" i="91"/>
  <c r="BF128" i="91" l="1"/>
  <c r="BG128" i="91"/>
  <c r="BI128" i="91"/>
  <c r="BH128" i="91"/>
  <c r="BE128" i="91"/>
  <c r="AI128" i="91"/>
  <c r="AN128" i="91" s="1"/>
  <c r="AS128" i="91" s="1"/>
  <c r="AX128" i="91"/>
  <c r="BA128" i="91"/>
  <c r="AL128" i="91"/>
  <c r="AQ128" i="91" s="1"/>
  <c r="AV128" i="91" s="1"/>
  <c r="AY128" i="91"/>
  <c r="AJ128" i="91"/>
  <c r="AO128" i="91" s="1"/>
  <c r="AT128" i="91" s="1"/>
  <c r="AK128" i="91"/>
  <c r="AP128" i="91" s="1"/>
  <c r="AU128" i="91" s="1"/>
  <c r="AZ128" i="91"/>
  <c r="BB128" i="91"/>
  <c r="AM128" i="91"/>
  <c r="AR128" i="91" s="1"/>
  <c r="AW128" i="91" s="1"/>
  <c r="BN128" i="91"/>
  <c r="BM128" i="91"/>
  <c r="BO128" i="91"/>
  <c r="BK128" i="91"/>
  <c r="BL128" i="91"/>
  <c r="BH129" i="91" l="1"/>
  <c r="BI129" i="91"/>
  <c r="BG129" i="91"/>
  <c r="BF129" i="91"/>
  <c r="BE129" i="91"/>
  <c r="AY129" i="91"/>
  <c r="AJ129" i="91"/>
  <c r="AO129" i="91" s="1"/>
  <c r="AT129" i="91" s="1"/>
  <c r="BB129" i="91"/>
  <c r="AM129" i="91"/>
  <c r="AR129" i="91" s="1"/>
  <c r="AW129" i="91" s="1"/>
  <c r="BA129" i="91"/>
  <c r="AL129" i="91"/>
  <c r="AQ129" i="91" s="1"/>
  <c r="AV129" i="91" s="1"/>
  <c r="AK129" i="91"/>
  <c r="AP129" i="91" s="1"/>
  <c r="AU129" i="91" s="1"/>
  <c r="AZ129" i="91"/>
  <c r="AI129" i="91"/>
  <c r="AN129" i="91" s="1"/>
  <c r="AS129" i="91" s="1"/>
  <c r="AX129" i="91"/>
  <c r="BL129" i="91"/>
  <c r="BO129" i="91"/>
  <c r="BN129" i="91"/>
  <c r="BK129" i="91"/>
  <c r="BM129" i="91"/>
  <c r="BF130" i="91" l="1"/>
  <c r="BI130" i="91"/>
  <c r="BG130" i="91"/>
  <c r="BH130" i="91"/>
  <c r="BE130" i="91"/>
  <c r="BB130" i="91"/>
  <c r="AM130" i="91"/>
  <c r="AR130" i="91" s="1"/>
  <c r="AW130" i="91" s="1"/>
  <c r="AI130" i="91"/>
  <c r="AN130" i="91" s="1"/>
  <c r="AS130" i="91" s="1"/>
  <c r="AX130" i="91"/>
  <c r="AK130" i="91"/>
  <c r="AP130" i="91" s="1"/>
  <c r="AU130" i="91" s="1"/>
  <c r="AZ130" i="91"/>
  <c r="AY130" i="91"/>
  <c r="AJ130" i="91"/>
  <c r="AO130" i="91" s="1"/>
  <c r="AT130" i="91" s="1"/>
  <c r="BA130" i="91"/>
  <c r="AL130" i="91"/>
  <c r="AQ130" i="91" s="1"/>
  <c r="AV130" i="91" s="1"/>
  <c r="BM130" i="91"/>
  <c r="BK130" i="91"/>
  <c r="BO130" i="91"/>
  <c r="BL130" i="91"/>
  <c r="BN130" i="91"/>
  <c r="BH131" i="91" l="1"/>
  <c r="BG131" i="91"/>
  <c r="BI131" i="91"/>
  <c r="BF131" i="91"/>
  <c r="BE131" i="91"/>
  <c r="BA131" i="91"/>
  <c r="AL131" i="91"/>
  <c r="AQ131" i="91" s="1"/>
  <c r="AV131" i="91" s="1"/>
  <c r="AI131" i="91"/>
  <c r="AN131" i="91" s="1"/>
  <c r="AS131" i="91" s="1"/>
  <c r="AX131" i="91"/>
  <c r="BB131" i="91"/>
  <c r="AM131" i="91"/>
  <c r="AR131" i="91" s="1"/>
  <c r="AW131" i="91" s="1"/>
  <c r="AY131" i="91"/>
  <c r="AJ131" i="91"/>
  <c r="AO131" i="91" s="1"/>
  <c r="AT131" i="91" s="1"/>
  <c r="AZ131" i="91"/>
  <c r="AK131" i="91"/>
  <c r="AP131" i="91" s="1"/>
  <c r="AU131" i="91" s="1"/>
  <c r="BM131" i="91"/>
  <c r="BN131" i="91"/>
  <c r="BO131" i="91"/>
  <c r="BL131" i="91"/>
  <c r="BK131" i="91"/>
  <c r="BF132" i="91" l="1"/>
  <c r="BI132" i="91"/>
  <c r="BG132" i="91"/>
  <c r="BH132" i="91"/>
  <c r="BE132" i="91"/>
  <c r="AI132" i="91"/>
  <c r="AN132" i="91" s="1"/>
  <c r="AS132" i="91" s="1"/>
  <c r="AX132" i="91"/>
  <c r="AK132" i="91"/>
  <c r="AP132" i="91" s="1"/>
  <c r="AU132" i="91" s="1"/>
  <c r="AZ132" i="91"/>
  <c r="AJ132" i="91"/>
  <c r="AO132" i="91" s="1"/>
  <c r="AT132" i="91" s="1"/>
  <c r="AY132" i="91"/>
  <c r="BA132" i="91"/>
  <c r="AL132" i="91"/>
  <c r="AQ132" i="91" s="1"/>
  <c r="AV132" i="91" s="1"/>
  <c r="BB132" i="91"/>
  <c r="AM132" i="91"/>
  <c r="AR132" i="91" s="1"/>
  <c r="AW132" i="91" s="1"/>
  <c r="BL132" i="91"/>
  <c r="BO132" i="91"/>
  <c r="BM132" i="91"/>
  <c r="BN132" i="91"/>
  <c r="BK132" i="91"/>
  <c r="BH133" i="91" l="1"/>
  <c r="BG133" i="91"/>
  <c r="BI133" i="91"/>
  <c r="BF133" i="91"/>
  <c r="BE133" i="91"/>
  <c r="AZ133" i="91"/>
  <c r="AK133" i="91"/>
  <c r="AP133" i="91" s="1"/>
  <c r="AU133" i="91" s="1"/>
  <c r="AJ133" i="91"/>
  <c r="AO133" i="91" s="1"/>
  <c r="AT133" i="91" s="1"/>
  <c r="AY133" i="91"/>
  <c r="BA133" i="91"/>
  <c r="AL133" i="91"/>
  <c r="AQ133" i="91" s="1"/>
  <c r="AV133" i="91" s="1"/>
  <c r="AI133" i="91"/>
  <c r="AN133" i="91" s="1"/>
  <c r="AS133" i="91" s="1"/>
  <c r="AX133" i="91"/>
  <c r="BB133" i="91"/>
  <c r="AM133" i="91"/>
  <c r="AR133" i="91" s="1"/>
  <c r="AW133" i="91" s="1"/>
  <c r="BO133" i="91"/>
  <c r="BM133" i="91"/>
  <c r="BL133" i="91"/>
  <c r="BK133" i="91"/>
  <c r="BN133" i="91"/>
  <c r="BF134" i="91" l="1"/>
  <c r="BI134" i="91"/>
  <c r="BG134" i="91"/>
  <c r="BH134" i="91"/>
  <c r="BE134" i="91"/>
  <c r="BB134" i="91"/>
  <c r="AM134" i="91"/>
  <c r="AR134" i="91" s="1"/>
  <c r="AW134" i="91" s="1"/>
  <c r="AJ134" i="91"/>
  <c r="AO134" i="91" s="1"/>
  <c r="AT134" i="91" s="1"/>
  <c r="AY134" i="91"/>
  <c r="AI134" i="91"/>
  <c r="AN134" i="91" s="1"/>
  <c r="AS134" i="91" s="1"/>
  <c r="AX134" i="91"/>
  <c r="AK134" i="91"/>
  <c r="AP134" i="91" s="1"/>
  <c r="AU134" i="91" s="1"/>
  <c r="AZ134" i="91"/>
  <c r="AL134" i="91"/>
  <c r="AQ134" i="91" s="1"/>
  <c r="AV134" i="91" s="1"/>
  <c r="BA134" i="91"/>
  <c r="BO134" i="91"/>
  <c r="BM134" i="91"/>
  <c r="BL134" i="91"/>
  <c r="BN134" i="91"/>
  <c r="BK134" i="91"/>
  <c r="BH135" i="91" l="1"/>
  <c r="BG135" i="91"/>
  <c r="BI135" i="91"/>
  <c r="BF135" i="91"/>
  <c r="BE135" i="91"/>
  <c r="BA135" i="91"/>
  <c r="AL135" i="91"/>
  <c r="AQ135" i="91" s="1"/>
  <c r="AV135" i="91" s="1"/>
  <c r="AY135" i="91"/>
  <c r="AJ135" i="91"/>
  <c r="AO135" i="91" s="1"/>
  <c r="AT135" i="91" s="1"/>
  <c r="AI135" i="91"/>
  <c r="AN135" i="91" s="1"/>
  <c r="AS135" i="91" s="1"/>
  <c r="AX135" i="91"/>
  <c r="AZ135" i="91"/>
  <c r="AK135" i="91"/>
  <c r="AP135" i="91" s="1"/>
  <c r="AU135" i="91" s="1"/>
  <c r="BB135" i="91"/>
  <c r="AM135" i="91"/>
  <c r="AR135" i="91" s="1"/>
  <c r="AW135" i="91" s="1"/>
  <c r="BM135" i="91"/>
  <c r="BL135" i="91"/>
  <c r="BN135" i="91"/>
  <c r="BO135" i="91"/>
  <c r="BK135" i="91"/>
  <c r="BF136" i="91" l="1"/>
  <c r="BI136" i="91"/>
  <c r="BG136" i="91"/>
  <c r="BH136" i="91"/>
  <c r="BE136" i="91"/>
  <c r="AY136" i="91"/>
  <c r="AJ136" i="91"/>
  <c r="AO136" i="91" s="1"/>
  <c r="AT136" i="91" s="1"/>
  <c r="BA136" i="91"/>
  <c r="AL136" i="91"/>
  <c r="AQ136" i="91" s="1"/>
  <c r="AV136" i="91" s="1"/>
  <c r="BB136" i="91"/>
  <c r="AM136" i="91"/>
  <c r="AR136" i="91" s="1"/>
  <c r="AW136" i="91" s="1"/>
  <c r="AK136" i="91"/>
  <c r="AP136" i="91" s="1"/>
  <c r="AU136" i="91" s="1"/>
  <c r="AZ136" i="91"/>
  <c r="AI136" i="91"/>
  <c r="AN136" i="91" s="1"/>
  <c r="AS136" i="91" s="1"/>
  <c r="AX136" i="91"/>
  <c r="BK136" i="91"/>
  <c r="BM136" i="91"/>
  <c r="BN136" i="91"/>
  <c r="BO136" i="91"/>
  <c r="BL136" i="91"/>
  <c r="BH137" i="91" l="1"/>
  <c r="BG137" i="91"/>
  <c r="BI137" i="91"/>
  <c r="BF137" i="91"/>
  <c r="BE137" i="91"/>
  <c r="BA137" i="91"/>
  <c r="AL137" i="91"/>
  <c r="AQ137" i="91" s="1"/>
  <c r="AV137" i="91" s="1"/>
  <c r="AK137" i="91"/>
  <c r="AP137" i="91" s="1"/>
  <c r="AU137" i="91" s="1"/>
  <c r="AZ137" i="91"/>
  <c r="AJ137" i="91"/>
  <c r="AO137" i="91" s="1"/>
  <c r="AT137" i="91" s="1"/>
  <c r="AY137" i="91"/>
  <c r="AI137" i="91"/>
  <c r="AN137" i="91" s="1"/>
  <c r="AS137" i="91" s="1"/>
  <c r="AX137" i="91"/>
  <c r="BB137" i="91"/>
  <c r="AM137" i="91"/>
  <c r="AR137" i="91" s="1"/>
  <c r="AW137" i="91" s="1"/>
  <c r="BO137" i="91"/>
  <c r="BK137" i="91"/>
  <c r="BM137" i="91"/>
  <c r="BN137" i="91"/>
  <c r="BL137" i="91"/>
  <c r="BF138" i="91" l="1"/>
  <c r="BI138" i="91"/>
  <c r="BG138" i="91"/>
  <c r="BH138" i="91"/>
  <c r="BE138" i="91"/>
  <c r="BB138" i="91"/>
  <c r="AM138" i="91"/>
  <c r="AR138" i="91" s="1"/>
  <c r="AW138" i="91" s="1"/>
  <c r="AK138" i="91"/>
  <c r="AP138" i="91" s="1"/>
  <c r="AU138" i="91" s="1"/>
  <c r="AZ138" i="91"/>
  <c r="AI138" i="91"/>
  <c r="AN138" i="91" s="1"/>
  <c r="AS138" i="91" s="1"/>
  <c r="AX138" i="91"/>
  <c r="BA138" i="91"/>
  <c r="AL138" i="91"/>
  <c r="AQ138" i="91" s="1"/>
  <c r="AV138" i="91" s="1"/>
  <c r="AJ138" i="91"/>
  <c r="AO138" i="91" s="1"/>
  <c r="AT138" i="91" s="1"/>
  <c r="AY138" i="91"/>
  <c r="BM138" i="91"/>
  <c r="BN138" i="91"/>
  <c r="BL138" i="91"/>
  <c r="BO138" i="91"/>
  <c r="BK138" i="91"/>
  <c r="BH139" i="91" l="1"/>
  <c r="BF139" i="91"/>
  <c r="BG139" i="91"/>
  <c r="BI139" i="91"/>
  <c r="BE139" i="91"/>
  <c r="AK139" i="91"/>
  <c r="AP139" i="91" s="1"/>
  <c r="AU139" i="91" s="1"/>
  <c r="AZ139" i="91"/>
  <c r="AY139" i="91"/>
  <c r="AJ139" i="91"/>
  <c r="AO139" i="91" s="1"/>
  <c r="AT139" i="91" s="1"/>
  <c r="BB139" i="91"/>
  <c r="AM139" i="91"/>
  <c r="AR139" i="91" s="1"/>
  <c r="AW139" i="91" s="1"/>
  <c r="BA139" i="91"/>
  <c r="AL139" i="91"/>
  <c r="AQ139" i="91" s="1"/>
  <c r="AV139" i="91" s="1"/>
  <c r="AI139" i="91"/>
  <c r="AN139" i="91" s="1"/>
  <c r="AS139" i="91" s="1"/>
  <c r="AX139" i="91"/>
  <c r="BL139" i="91"/>
  <c r="BN139" i="91"/>
  <c r="BO139" i="91"/>
  <c r="BK139" i="91"/>
  <c r="BM139" i="91"/>
  <c r="BI140" i="91" l="1"/>
  <c r="BG140" i="91"/>
  <c r="BF140" i="91"/>
  <c r="BH140" i="91"/>
  <c r="BE140" i="91"/>
  <c r="AI140" i="91"/>
  <c r="AN140" i="91" s="1"/>
  <c r="AS140" i="91" s="1"/>
  <c r="AX140" i="91"/>
  <c r="AJ140" i="91"/>
  <c r="AO140" i="91" s="1"/>
  <c r="AT140" i="91" s="1"/>
  <c r="AY140" i="91"/>
  <c r="BA140" i="91"/>
  <c r="AL140" i="91"/>
  <c r="AQ140" i="91" s="1"/>
  <c r="AV140" i="91" s="1"/>
  <c r="AK140" i="91"/>
  <c r="AP140" i="91" s="1"/>
  <c r="AU140" i="91" s="1"/>
  <c r="AZ140" i="91"/>
  <c r="BB140" i="91"/>
  <c r="AM140" i="91"/>
  <c r="AR140" i="91" s="1"/>
  <c r="AW140" i="91" s="1"/>
  <c r="BN140" i="91"/>
  <c r="BL140" i="91"/>
  <c r="BO140" i="91"/>
  <c r="BM140" i="91"/>
  <c r="BK140" i="91"/>
  <c r="BH141" i="91" l="1"/>
  <c r="BF141" i="91"/>
  <c r="BG141" i="91"/>
  <c r="BI141" i="91"/>
  <c r="BE141" i="91"/>
  <c r="AJ141" i="91"/>
  <c r="AO141" i="91" s="1"/>
  <c r="AT141" i="91" s="1"/>
  <c r="AY141" i="91"/>
  <c r="AK141" i="91"/>
  <c r="AP141" i="91" s="1"/>
  <c r="AU141" i="91" s="1"/>
  <c r="AZ141" i="91"/>
  <c r="AI141" i="91"/>
  <c r="AN141" i="91" s="1"/>
  <c r="AS141" i="91" s="1"/>
  <c r="AX141" i="91"/>
  <c r="BB141" i="91"/>
  <c r="AM141" i="91"/>
  <c r="AR141" i="91" s="1"/>
  <c r="AW141" i="91" s="1"/>
  <c r="BA141" i="91"/>
  <c r="AL141" i="91"/>
  <c r="AQ141" i="91" s="1"/>
  <c r="AV141" i="91" s="1"/>
  <c r="BL141" i="91"/>
  <c r="BM141" i="91"/>
  <c r="BO141" i="91"/>
  <c r="BN141" i="91"/>
  <c r="BK141" i="91"/>
  <c r="BI142" i="91" l="1"/>
  <c r="BG142" i="91"/>
  <c r="BF142" i="91"/>
  <c r="BH142" i="91"/>
  <c r="BE142" i="91"/>
  <c r="AI142" i="91"/>
  <c r="AN142" i="91" s="1"/>
  <c r="AS142" i="91" s="1"/>
  <c r="AX142" i="91"/>
  <c r="AZ142" i="91"/>
  <c r="AK142" i="91"/>
  <c r="AP142" i="91" s="1"/>
  <c r="AU142" i="91" s="1"/>
  <c r="BB142" i="91"/>
  <c r="AM142" i="91"/>
  <c r="AR142" i="91" s="1"/>
  <c r="AW142" i="91" s="1"/>
  <c r="AY142" i="91"/>
  <c r="AJ142" i="91"/>
  <c r="AO142" i="91" s="1"/>
  <c r="AT142" i="91" s="1"/>
  <c r="BA142" i="91"/>
  <c r="AL142" i="91"/>
  <c r="AQ142" i="91" s="1"/>
  <c r="AV142" i="91" s="1"/>
  <c r="BK142" i="91"/>
  <c r="BO142" i="91"/>
  <c r="BN142" i="91"/>
  <c r="BL142" i="91"/>
  <c r="BM142" i="91"/>
  <c r="BH143" i="91" l="1"/>
  <c r="BI143" i="91"/>
  <c r="BF143" i="91"/>
  <c r="BG143" i="91"/>
  <c r="BE143" i="91"/>
  <c r="BA143" i="91"/>
  <c r="AL143" i="91"/>
  <c r="AQ143" i="91" s="1"/>
  <c r="AV143" i="91" s="1"/>
  <c r="AK143" i="91"/>
  <c r="AP143" i="91" s="1"/>
  <c r="AU143" i="91" s="1"/>
  <c r="AZ143" i="91"/>
  <c r="AY143" i="91"/>
  <c r="AJ143" i="91"/>
  <c r="AO143" i="91" s="1"/>
  <c r="AT143" i="91" s="1"/>
  <c r="AI143" i="91"/>
  <c r="AN143" i="91" s="1"/>
  <c r="AS143" i="91" s="1"/>
  <c r="AX143" i="91"/>
  <c r="BB143" i="91"/>
  <c r="AM143" i="91"/>
  <c r="AR143" i="91" s="1"/>
  <c r="AW143" i="91" s="1"/>
  <c r="BN143" i="91"/>
  <c r="BM143" i="91"/>
  <c r="BK143" i="91"/>
  <c r="BO143" i="91"/>
  <c r="BL143" i="91"/>
  <c r="BG144" i="91" l="1"/>
  <c r="BF144" i="91"/>
  <c r="BH144" i="91"/>
  <c r="BI144" i="91"/>
  <c r="BE144" i="91"/>
  <c r="AK144" i="91"/>
  <c r="AP144" i="91" s="1"/>
  <c r="AU144" i="91" s="1"/>
  <c r="AZ144" i="91"/>
  <c r="BB144" i="91"/>
  <c r="AM144" i="91"/>
  <c r="AR144" i="91" s="1"/>
  <c r="AW144" i="91" s="1"/>
  <c r="AI144" i="91"/>
  <c r="AN144" i="91" s="1"/>
  <c r="AS144" i="91" s="1"/>
  <c r="AX144" i="91"/>
  <c r="BA144" i="91"/>
  <c r="AL144" i="91"/>
  <c r="AQ144" i="91" s="1"/>
  <c r="AV144" i="91" s="1"/>
  <c r="AJ144" i="91"/>
  <c r="AO144" i="91" s="1"/>
  <c r="AT144" i="91" s="1"/>
  <c r="AY144" i="91"/>
  <c r="BL144" i="91"/>
  <c r="BN144" i="91"/>
  <c r="BM144" i="91"/>
  <c r="BK144" i="91"/>
  <c r="BO144" i="91"/>
  <c r="BG145" i="91" l="1"/>
  <c r="BI145" i="91"/>
  <c r="BH145" i="91"/>
  <c r="BF145" i="91"/>
  <c r="BE145" i="91"/>
  <c r="BB145" i="91"/>
  <c r="AM145" i="91"/>
  <c r="AR145" i="91" s="1"/>
  <c r="AW145" i="91" s="1"/>
  <c r="AL145" i="91"/>
  <c r="AQ145" i="91" s="1"/>
  <c r="AV145" i="91" s="1"/>
  <c r="BA145" i="91"/>
  <c r="AZ145" i="91"/>
  <c r="AK145" i="91"/>
  <c r="AP145" i="91" s="1"/>
  <c r="AU145" i="91" s="1"/>
  <c r="AJ145" i="91"/>
  <c r="AO145" i="91" s="1"/>
  <c r="AT145" i="91" s="1"/>
  <c r="AY145" i="91"/>
  <c r="AI145" i="91"/>
  <c r="AN145" i="91" s="1"/>
  <c r="AS145" i="91" s="1"/>
  <c r="AX145" i="91"/>
  <c r="BN145" i="91"/>
  <c r="BK145" i="91"/>
  <c r="BM145" i="91"/>
  <c r="BL145" i="91"/>
  <c r="BO145" i="91"/>
  <c r="BG146" i="91" l="1"/>
  <c r="BF146" i="91"/>
  <c r="BH146" i="91"/>
  <c r="BI146" i="91"/>
  <c r="BE146" i="91"/>
  <c r="BA146" i="91"/>
  <c r="AL146" i="91"/>
  <c r="AQ146" i="91" s="1"/>
  <c r="AV146" i="91" s="1"/>
  <c r="AI146" i="91"/>
  <c r="AN146" i="91" s="1"/>
  <c r="AS146" i="91" s="1"/>
  <c r="AX146" i="91"/>
  <c r="AJ146" i="91"/>
  <c r="AO146" i="91" s="1"/>
  <c r="AT146" i="91" s="1"/>
  <c r="AY146" i="91"/>
  <c r="BB146" i="91"/>
  <c r="AM146" i="91"/>
  <c r="AR146" i="91" s="1"/>
  <c r="AW146" i="91" s="1"/>
  <c r="AK146" i="91"/>
  <c r="AP146" i="91" s="1"/>
  <c r="AU146" i="91" s="1"/>
  <c r="AZ146" i="91"/>
  <c r="BL146" i="91"/>
  <c r="BK146" i="91"/>
  <c r="BM146" i="91"/>
  <c r="BN146" i="91"/>
  <c r="BO146" i="91"/>
  <c r="BG147" i="91" l="1"/>
  <c r="BI147" i="91"/>
  <c r="BH147" i="91"/>
  <c r="BF147" i="91"/>
  <c r="BE147" i="91"/>
  <c r="AI147" i="91"/>
  <c r="AN147" i="91" s="1"/>
  <c r="AS147" i="91" s="1"/>
  <c r="AX147" i="91"/>
  <c r="BA147" i="91"/>
  <c r="AL147" i="91"/>
  <c r="AQ147" i="91" s="1"/>
  <c r="AV147" i="91" s="1"/>
  <c r="AK147" i="91"/>
  <c r="AP147" i="91" s="1"/>
  <c r="AU147" i="91" s="1"/>
  <c r="AZ147" i="91"/>
  <c r="BB147" i="91"/>
  <c r="AM147" i="91"/>
  <c r="AR147" i="91" s="1"/>
  <c r="AW147" i="91" s="1"/>
  <c r="AY147" i="91"/>
  <c r="AJ147" i="91"/>
  <c r="AO147" i="91" s="1"/>
  <c r="AT147" i="91" s="1"/>
  <c r="BK147" i="91"/>
  <c r="BN147" i="91"/>
  <c r="BM147" i="91"/>
  <c r="BO147" i="91"/>
  <c r="BL147" i="91"/>
  <c r="BF148" i="91" l="1"/>
  <c r="BH148" i="91"/>
  <c r="BG148" i="91"/>
  <c r="BI148" i="91"/>
  <c r="BE148" i="91"/>
  <c r="AY148" i="91"/>
  <c r="AJ148" i="91"/>
  <c r="AO148" i="91" s="1"/>
  <c r="AT148" i="91" s="1"/>
  <c r="BA148" i="91"/>
  <c r="AL148" i="91"/>
  <c r="AQ148" i="91" s="1"/>
  <c r="AV148" i="91" s="1"/>
  <c r="BB148" i="91"/>
  <c r="AM148" i="91"/>
  <c r="AR148" i="91" s="1"/>
  <c r="AW148" i="91" s="1"/>
  <c r="AI148" i="91"/>
  <c r="AN148" i="91" s="1"/>
  <c r="AS148" i="91" s="1"/>
  <c r="AX148" i="91"/>
  <c r="AK148" i="91"/>
  <c r="AP148" i="91" s="1"/>
  <c r="AU148" i="91" s="1"/>
  <c r="AZ148" i="91"/>
  <c r="BN148" i="91"/>
  <c r="BK148" i="91"/>
  <c r="BM148" i="91"/>
  <c r="BO148" i="91"/>
  <c r="BL148" i="91"/>
  <c r="BF149" i="91" l="1"/>
  <c r="BI149" i="91"/>
  <c r="BG149" i="91"/>
  <c r="BH149" i="91"/>
  <c r="BE149" i="91"/>
  <c r="AZ149" i="91"/>
  <c r="AK149" i="91"/>
  <c r="AP149" i="91" s="1"/>
  <c r="AU149" i="91" s="1"/>
  <c r="BA149" i="91"/>
  <c r="AL149" i="91"/>
  <c r="AQ149" i="91" s="1"/>
  <c r="AV149" i="91" s="1"/>
  <c r="AI149" i="91"/>
  <c r="AN149" i="91" s="1"/>
  <c r="AS149" i="91" s="1"/>
  <c r="AX149" i="91"/>
  <c r="AJ149" i="91"/>
  <c r="AO149" i="91" s="1"/>
  <c r="AT149" i="91" s="1"/>
  <c r="AY149" i="91"/>
  <c r="AM149" i="91"/>
  <c r="AR149" i="91" s="1"/>
  <c r="AW149" i="91" s="1"/>
  <c r="BB149" i="91"/>
  <c r="BM149" i="91"/>
  <c r="BK149" i="91"/>
  <c r="BL149" i="91"/>
  <c r="BO149" i="91"/>
  <c r="BN149" i="91"/>
  <c r="BH150" i="91" l="1"/>
  <c r="BF150" i="91"/>
  <c r="BG150" i="91"/>
  <c r="BI150" i="91"/>
  <c r="BE150" i="91"/>
  <c r="BA150" i="91"/>
  <c r="AL150" i="91"/>
  <c r="AQ150" i="91" s="1"/>
  <c r="AV150" i="91" s="1"/>
  <c r="AY150" i="91"/>
  <c r="AJ150" i="91"/>
  <c r="AO150" i="91" s="1"/>
  <c r="AT150" i="91" s="1"/>
  <c r="AZ150" i="91"/>
  <c r="AK150" i="91"/>
  <c r="AP150" i="91" s="1"/>
  <c r="AU150" i="91" s="1"/>
  <c r="BB150" i="91"/>
  <c r="AM150" i="91"/>
  <c r="AR150" i="91" s="1"/>
  <c r="AW150" i="91" s="1"/>
  <c r="AI150" i="91"/>
  <c r="AN150" i="91" s="1"/>
  <c r="AS150" i="91" s="1"/>
  <c r="AX150" i="91"/>
  <c r="BL150" i="91"/>
  <c r="BM150" i="91"/>
  <c r="BK150" i="91"/>
  <c r="BO150" i="91"/>
  <c r="BN150" i="91"/>
  <c r="BH151" i="91" l="1"/>
  <c r="BI151" i="91"/>
  <c r="BG151" i="91"/>
  <c r="BF151" i="91"/>
  <c r="BE151" i="91"/>
  <c r="AI151" i="91"/>
  <c r="AN151" i="91" s="1"/>
  <c r="AS151" i="91" s="1"/>
  <c r="AX151" i="91"/>
  <c r="AJ151" i="91"/>
  <c r="AO151" i="91" s="1"/>
  <c r="AT151" i="91" s="1"/>
  <c r="AY151" i="91"/>
  <c r="BB151" i="91"/>
  <c r="AM151" i="91"/>
  <c r="AR151" i="91" s="1"/>
  <c r="AW151" i="91" s="1"/>
  <c r="BA151" i="91"/>
  <c r="AL151" i="91"/>
  <c r="AQ151" i="91" s="1"/>
  <c r="AV151" i="91" s="1"/>
  <c r="AZ151" i="91"/>
  <c r="AK151" i="91"/>
  <c r="AP151" i="91" s="1"/>
  <c r="AU151" i="91" s="1"/>
  <c r="BM151" i="91"/>
  <c r="BN151" i="91"/>
  <c r="BO151" i="91"/>
  <c r="BL151" i="91"/>
  <c r="BK151" i="91"/>
  <c r="BF152" i="91" l="1"/>
  <c r="BH152" i="91"/>
  <c r="BG152" i="91"/>
  <c r="BI152" i="91"/>
  <c r="BE152" i="91"/>
  <c r="AZ152" i="91"/>
  <c r="AK152" i="91"/>
  <c r="AP152" i="91" s="1"/>
  <c r="AU152" i="91" s="1"/>
  <c r="AY152" i="91"/>
  <c r="AJ152" i="91"/>
  <c r="AO152" i="91" s="1"/>
  <c r="AT152" i="91" s="1"/>
  <c r="BA152" i="91"/>
  <c r="AL152" i="91"/>
  <c r="AQ152" i="91" s="1"/>
  <c r="AV152" i="91" s="1"/>
  <c r="AI152" i="91"/>
  <c r="AN152" i="91" s="1"/>
  <c r="AS152" i="91" s="1"/>
  <c r="AX152" i="91"/>
  <c r="BB152" i="91"/>
  <c r="AM152" i="91"/>
  <c r="AR152" i="91" s="1"/>
  <c r="AW152" i="91" s="1"/>
  <c r="BL152" i="91"/>
  <c r="BN152" i="91"/>
  <c r="BO152" i="91"/>
  <c r="BM152" i="91"/>
  <c r="BK152" i="91"/>
  <c r="BI153" i="91" l="1"/>
  <c r="BF153" i="91"/>
  <c r="BG153" i="91"/>
  <c r="BH153" i="91"/>
  <c r="BE153" i="91"/>
  <c r="BB153" i="91"/>
  <c r="AM153" i="91"/>
  <c r="AR153" i="91" s="1"/>
  <c r="AW153" i="91" s="1"/>
  <c r="AJ153" i="91"/>
  <c r="AO153" i="91" s="1"/>
  <c r="AT153" i="91" s="1"/>
  <c r="AY153" i="91"/>
  <c r="AI153" i="91"/>
  <c r="AN153" i="91" s="1"/>
  <c r="AS153" i="91" s="1"/>
  <c r="AX153" i="91"/>
  <c r="AZ153" i="91"/>
  <c r="AK153" i="91"/>
  <c r="AP153" i="91" s="1"/>
  <c r="AU153" i="91" s="1"/>
  <c r="BA153" i="91"/>
  <c r="AL153" i="91"/>
  <c r="AQ153" i="91" s="1"/>
  <c r="AV153" i="91" s="1"/>
  <c r="BN153" i="91"/>
  <c r="BL153" i="91"/>
  <c r="BO153" i="91"/>
  <c r="BM153" i="91"/>
  <c r="BK153" i="91"/>
  <c r="BI154" i="91" l="1"/>
  <c r="BH154" i="91"/>
  <c r="BG154" i="91"/>
  <c r="BF154" i="91"/>
  <c r="BE154" i="91"/>
  <c r="BA154" i="91"/>
  <c r="AL154" i="91"/>
  <c r="AQ154" i="91" s="1"/>
  <c r="AV154" i="91" s="1"/>
  <c r="AK154" i="91"/>
  <c r="AP154" i="91" s="1"/>
  <c r="AU154" i="91" s="1"/>
  <c r="AZ154" i="91"/>
  <c r="BB154" i="91"/>
  <c r="AM154" i="91"/>
  <c r="AR154" i="91" s="1"/>
  <c r="AW154" i="91" s="1"/>
  <c r="AY154" i="91"/>
  <c r="AJ154" i="91"/>
  <c r="AO154" i="91" s="1"/>
  <c r="AT154" i="91" s="1"/>
  <c r="AI154" i="91"/>
  <c r="AN154" i="91" s="1"/>
  <c r="AS154" i="91" s="1"/>
  <c r="AX154" i="91"/>
  <c r="BN154" i="91"/>
  <c r="BO154" i="91"/>
  <c r="BM154" i="91"/>
  <c r="BL154" i="91"/>
  <c r="BK154" i="91"/>
  <c r="BI155" i="91" l="1"/>
  <c r="BF155" i="91"/>
  <c r="BG155" i="91"/>
  <c r="BH155" i="91"/>
  <c r="BE155" i="91"/>
  <c r="AK155" i="91"/>
  <c r="AP155" i="91" s="1"/>
  <c r="AU155" i="91" s="1"/>
  <c r="AZ155" i="91"/>
  <c r="AY155" i="91"/>
  <c r="AJ155" i="91"/>
  <c r="AO155" i="91" s="1"/>
  <c r="AT155" i="91" s="1"/>
  <c r="BA155" i="91"/>
  <c r="AL155" i="91"/>
  <c r="AQ155" i="91" s="1"/>
  <c r="AV155" i="91" s="1"/>
  <c r="AI155" i="91"/>
  <c r="AN155" i="91" s="1"/>
  <c r="AS155" i="91" s="1"/>
  <c r="AX155" i="91"/>
  <c r="BB155" i="91"/>
  <c r="AM155" i="91"/>
  <c r="AR155" i="91" s="1"/>
  <c r="AW155" i="91" s="1"/>
  <c r="BL155" i="91"/>
  <c r="BK155" i="91"/>
  <c r="BM155" i="91"/>
  <c r="BO155" i="91"/>
  <c r="BN155" i="91"/>
  <c r="BH156" i="91" l="1"/>
  <c r="BI156" i="91"/>
  <c r="BG156" i="91"/>
  <c r="BF156" i="91"/>
  <c r="BE156" i="91"/>
  <c r="AY156" i="91"/>
  <c r="AJ156" i="91"/>
  <c r="AO156" i="91" s="1"/>
  <c r="AT156" i="91" s="1"/>
  <c r="AI156" i="91"/>
  <c r="AN156" i="91" s="1"/>
  <c r="AS156" i="91" s="1"/>
  <c r="AX156" i="91"/>
  <c r="AZ156" i="91"/>
  <c r="AK156" i="91"/>
  <c r="AP156" i="91" s="1"/>
  <c r="AU156" i="91" s="1"/>
  <c r="BB156" i="91"/>
  <c r="AM156" i="91"/>
  <c r="AR156" i="91" s="1"/>
  <c r="AW156" i="91" s="1"/>
  <c r="BA156" i="91"/>
  <c r="AL156" i="91"/>
  <c r="AQ156" i="91" s="1"/>
  <c r="AV156" i="91" s="1"/>
  <c r="BO156" i="91"/>
  <c r="BM156" i="91"/>
  <c r="BN156" i="91"/>
  <c r="BL156" i="91"/>
  <c r="BK156" i="91"/>
  <c r="BF157" i="91" l="1"/>
  <c r="BG157" i="91"/>
  <c r="BH157" i="91"/>
  <c r="BI157" i="91"/>
  <c r="BE157" i="91"/>
  <c r="AI157" i="91"/>
  <c r="AN157" i="91" s="1"/>
  <c r="AS157" i="91" s="1"/>
  <c r="AX157" i="91"/>
  <c r="AJ157" i="91"/>
  <c r="AO157" i="91" s="1"/>
  <c r="AT157" i="91" s="1"/>
  <c r="AY157" i="91"/>
  <c r="BA157" i="91"/>
  <c r="AL157" i="91"/>
  <c r="AQ157" i="91" s="1"/>
  <c r="AV157" i="91" s="1"/>
  <c r="BB157" i="91"/>
  <c r="AM157" i="91"/>
  <c r="AR157" i="91" s="1"/>
  <c r="AW157" i="91" s="1"/>
  <c r="AZ157" i="91"/>
  <c r="AK157" i="91"/>
  <c r="AP157" i="91" s="1"/>
  <c r="AU157" i="91" s="1"/>
  <c r="BK157" i="91"/>
  <c r="BL157" i="91"/>
  <c r="BO157" i="91"/>
  <c r="BM157" i="91"/>
  <c r="BN157" i="91"/>
  <c r="BI158" i="91" l="1"/>
  <c r="BH158" i="91"/>
  <c r="BF158" i="91"/>
  <c r="BG158" i="91"/>
  <c r="BE158" i="91"/>
  <c r="AY158" i="91"/>
  <c r="AJ158" i="91"/>
  <c r="AO158" i="91" s="1"/>
  <c r="AT158" i="91" s="1"/>
  <c r="AI158" i="91"/>
  <c r="AN158" i="91" s="1"/>
  <c r="AS158" i="91" s="1"/>
  <c r="AX158" i="91"/>
  <c r="BB158" i="91"/>
  <c r="AM158" i="91"/>
  <c r="AR158" i="91" s="1"/>
  <c r="AW158" i="91" s="1"/>
  <c r="AK158" i="91"/>
  <c r="AP158" i="91" s="1"/>
  <c r="AU158" i="91" s="1"/>
  <c r="AZ158" i="91"/>
  <c r="BA158" i="91"/>
  <c r="AL158" i="91"/>
  <c r="AQ158" i="91" s="1"/>
  <c r="AV158" i="91" s="1"/>
  <c r="BO158" i="91"/>
  <c r="BL158" i="91"/>
  <c r="BN158" i="91"/>
  <c r="BM158" i="91"/>
  <c r="BK158" i="91"/>
  <c r="BI159" i="91" l="1"/>
  <c r="BG159" i="91"/>
  <c r="BF159" i="91"/>
  <c r="BH159" i="91"/>
  <c r="BE159" i="91"/>
  <c r="AI159" i="91"/>
  <c r="AN159" i="91" s="1"/>
  <c r="AS159" i="91" s="1"/>
  <c r="AX159" i="91"/>
  <c r="BA159" i="91"/>
  <c r="AL159" i="91"/>
  <c r="AQ159" i="91" s="1"/>
  <c r="AV159" i="91" s="1"/>
  <c r="AZ159" i="91"/>
  <c r="AK159" i="91"/>
  <c r="AP159" i="91" s="1"/>
  <c r="AU159" i="91" s="1"/>
  <c r="AJ159" i="91"/>
  <c r="AO159" i="91" s="1"/>
  <c r="AT159" i="91" s="1"/>
  <c r="AY159" i="91"/>
  <c r="BB159" i="91"/>
  <c r="AM159" i="91"/>
  <c r="AR159" i="91" s="1"/>
  <c r="AW159" i="91" s="1"/>
  <c r="BL159" i="91"/>
  <c r="BM159" i="91"/>
  <c r="BN159" i="91"/>
  <c r="BK159" i="91"/>
  <c r="BO159" i="91"/>
  <c r="BH160" i="91" l="1"/>
  <c r="BI160" i="91"/>
  <c r="BF160" i="91"/>
  <c r="BG160" i="91"/>
  <c r="BE160" i="91"/>
  <c r="AL160" i="91"/>
  <c r="AQ160" i="91" s="1"/>
  <c r="AV160" i="91" s="1"/>
  <c r="BA160" i="91"/>
  <c r="BB160" i="91"/>
  <c r="AM160" i="91"/>
  <c r="AR160" i="91" s="1"/>
  <c r="AW160" i="91" s="1"/>
  <c r="AJ160" i="91"/>
  <c r="AO160" i="91" s="1"/>
  <c r="AT160" i="91" s="1"/>
  <c r="AY160" i="91"/>
  <c r="AI160" i="91"/>
  <c r="AN160" i="91" s="1"/>
  <c r="AS160" i="91" s="1"/>
  <c r="AX160" i="91"/>
  <c r="AK160" i="91"/>
  <c r="AP160" i="91" s="1"/>
  <c r="AU160" i="91" s="1"/>
  <c r="AZ160" i="91"/>
  <c r="BM160" i="91"/>
  <c r="BN160" i="91"/>
  <c r="BL160" i="91"/>
  <c r="BO160" i="91"/>
  <c r="BK160" i="91"/>
  <c r="BG161" i="91" l="1"/>
  <c r="BF161" i="91"/>
  <c r="BI161" i="91"/>
  <c r="BH161" i="91"/>
  <c r="BE161" i="91"/>
  <c r="BB161" i="91"/>
  <c r="AM161" i="91"/>
  <c r="AR161" i="91" s="1"/>
  <c r="AW161" i="91" s="1"/>
  <c r="AI161" i="91"/>
  <c r="AN161" i="91" s="1"/>
  <c r="AS161" i="91" s="1"/>
  <c r="AX161" i="91"/>
  <c r="BA161" i="91"/>
  <c r="AL161" i="91"/>
  <c r="AQ161" i="91" s="1"/>
  <c r="AV161" i="91" s="1"/>
  <c r="AK161" i="91"/>
  <c r="AP161" i="91" s="1"/>
  <c r="AU161" i="91" s="1"/>
  <c r="AZ161" i="91"/>
  <c r="AY161" i="91"/>
  <c r="AJ161" i="91"/>
  <c r="AO161" i="91" s="1"/>
  <c r="AT161" i="91" s="1"/>
  <c r="BO161" i="91"/>
  <c r="BM161" i="91"/>
  <c r="BL161" i="91"/>
  <c r="BN161" i="91"/>
  <c r="BK161" i="91"/>
  <c r="BH162" i="91" l="1"/>
  <c r="BI162" i="91"/>
  <c r="BG162" i="91"/>
  <c r="BF162" i="91"/>
  <c r="BE162" i="91"/>
  <c r="AI162" i="91"/>
  <c r="AN162" i="91" s="1"/>
  <c r="AS162" i="91" s="1"/>
  <c r="AX162" i="91"/>
  <c r="AZ162" i="91"/>
  <c r="AK162" i="91"/>
  <c r="AP162" i="91" s="1"/>
  <c r="AU162" i="91" s="1"/>
  <c r="BB162" i="91"/>
  <c r="AM162" i="91"/>
  <c r="AR162" i="91" s="1"/>
  <c r="AW162" i="91" s="1"/>
  <c r="AJ162" i="91"/>
  <c r="AO162" i="91" s="1"/>
  <c r="AT162" i="91" s="1"/>
  <c r="AY162" i="91"/>
  <c r="BA162" i="91"/>
  <c r="AL162" i="91"/>
  <c r="AQ162" i="91" s="1"/>
  <c r="AV162" i="91" s="1"/>
  <c r="BM162" i="91"/>
  <c r="BN162" i="91"/>
  <c r="BO162" i="91"/>
  <c r="BL162" i="91"/>
  <c r="BK162" i="91"/>
  <c r="BF163" i="91" l="1"/>
  <c r="BH163" i="91"/>
  <c r="BG163" i="91"/>
  <c r="BI163" i="91"/>
  <c r="BE163" i="91"/>
  <c r="AJ163" i="91"/>
  <c r="AO163" i="91" s="1"/>
  <c r="AT163" i="91" s="1"/>
  <c r="AY163" i="91"/>
  <c r="BA163" i="91"/>
  <c r="AL163" i="91"/>
  <c r="AQ163" i="91" s="1"/>
  <c r="AV163" i="91" s="1"/>
  <c r="AZ163" i="91"/>
  <c r="AK163" i="91"/>
  <c r="AP163" i="91" s="1"/>
  <c r="AU163" i="91" s="1"/>
  <c r="AI163" i="91"/>
  <c r="AN163" i="91" s="1"/>
  <c r="AS163" i="91" s="1"/>
  <c r="AX163" i="91"/>
  <c r="BB163" i="91"/>
  <c r="AM163" i="91"/>
  <c r="AR163" i="91" s="1"/>
  <c r="BO163" i="91"/>
  <c r="BM163" i="91"/>
  <c r="BN163" i="91"/>
  <c r="BL163" i="91"/>
  <c r="BK163" i="91"/>
  <c r="BE164" i="91" l="1"/>
  <c r="BI164" i="91"/>
  <c r="BF164" i="91"/>
  <c r="BH164" i="91"/>
  <c r="BG164" i="91"/>
  <c r="AM164" i="91"/>
  <c r="AR164" i="91" s="1"/>
  <c r="AW164" i="91" s="1"/>
  <c r="BB164" i="91"/>
  <c r="AI164" i="91"/>
  <c r="AN164" i="91" s="1"/>
  <c r="AS164" i="91" s="1"/>
  <c r="AX164" i="91"/>
  <c r="AL164" i="91"/>
  <c r="AQ164" i="91" s="1"/>
  <c r="AV164" i="91" s="1"/>
  <c r="BA164" i="91"/>
  <c r="AJ164" i="91"/>
  <c r="AO164" i="91" s="1"/>
  <c r="AT164" i="91" s="1"/>
  <c r="AY164" i="91"/>
  <c r="AW163" i="91"/>
  <c r="AK164" i="91"/>
  <c r="AP164" i="91" s="1"/>
  <c r="AU164" i="91" s="1"/>
  <c r="AZ164" i="91"/>
  <c r="BO164" i="91"/>
  <c r="BL164" i="91"/>
  <c r="BK164" i="91"/>
  <c r="BN164" i="91"/>
  <c r="BM164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1" authorId="0" shapeId="0" xr:uid="{736A6BEA-BF3B-4E0F-ADF0-ADED7C97067C}">
      <text>
        <r>
          <rPr>
            <b/>
            <sz val="9"/>
            <color indexed="81"/>
            <rFont val="宋体"/>
            <family val="3"/>
            <charset val="134"/>
          </rPr>
          <t>道具货币定价时以中r作为标准定价，故此处也以中r为标准</t>
        </r>
      </text>
    </comment>
    <comment ref="Q4" authorId="0" shapeId="0" xr:uid="{52FED916-EAD1-4A17-B91B-A340FEA32B8E}">
      <text>
        <r>
          <rPr>
            <b/>
            <sz val="9"/>
            <color indexed="81"/>
            <rFont val="宋体"/>
            <family val="3"/>
            <charset val="134"/>
          </rPr>
          <t>价值50钻</t>
        </r>
      </text>
    </comment>
  </commentList>
</comments>
</file>

<file path=xl/sharedStrings.xml><?xml version="1.0" encoding="utf-8"?>
<sst xmlns="http://schemas.openxmlformats.org/spreadsheetml/2006/main" count="602" uniqueCount="275">
  <si>
    <t>橙</t>
    <phoneticPr fontId="1" type="noConversion"/>
  </si>
  <si>
    <t>升阶次数</t>
    <phoneticPr fontId="1" type="noConversion"/>
  </si>
  <si>
    <t>消耗数量</t>
    <phoneticPr fontId="1" type="noConversion"/>
  </si>
  <si>
    <t>总消耗数量</t>
    <phoneticPr fontId="1" type="noConversion"/>
  </si>
  <si>
    <t>升星次数</t>
    <phoneticPr fontId="1" type="noConversion"/>
  </si>
  <si>
    <t>1紫</t>
    <phoneticPr fontId="1" type="noConversion"/>
  </si>
  <si>
    <t>3紫</t>
    <phoneticPr fontId="1" type="noConversion"/>
  </si>
  <si>
    <t>5紫</t>
    <phoneticPr fontId="1" type="noConversion"/>
  </si>
  <si>
    <t>1橙</t>
    <phoneticPr fontId="1" type="noConversion"/>
  </si>
  <si>
    <t>6橙</t>
    <phoneticPr fontId="1" type="noConversion"/>
  </si>
  <si>
    <t>时间差</t>
    <phoneticPr fontId="1" type="noConversion"/>
  </si>
  <si>
    <t>觉醒次数</t>
    <phoneticPr fontId="1" type="noConversion"/>
  </si>
  <si>
    <t>觉醒消耗</t>
    <phoneticPr fontId="1" type="noConversion"/>
  </si>
  <si>
    <t>觉醒总消耗</t>
    <phoneticPr fontId="1" type="noConversion"/>
  </si>
  <si>
    <t>1橙升1星</t>
    <phoneticPr fontId="1" type="noConversion"/>
  </si>
  <si>
    <t>6橙升1星</t>
    <phoneticPr fontId="1" type="noConversion"/>
  </si>
  <si>
    <t>6橙升3星</t>
    <phoneticPr fontId="1" type="noConversion"/>
  </si>
  <si>
    <t>6橙升7星</t>
    <phoneticPr fontId="1" type="noConversion"/>
  </si>
  <si>
    <t>4橙</t>
    <phoneticPr fontId="1" type="noConversion"/>
  </si>
  <si>
    <t>1紫升1星</t>
    <phoneticPr fontId="1" type="noConversion"/>
  </si>
  <si>
    <t>1橙觉醒</t>
    <phoneticPr fontId="1" type="noConversion"/>
  </si>
  <si>
    <t>6橙觉醒</t>
    <phoneticPr fontId="1" type="noConversion"/>
  </si>
  <si>
    <t>等级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</si>
  <si>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</si>
  <si>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</si>
  <si>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</si>
  <si>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</si>
  <si>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</si>
  <si>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品质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</si>
  <si>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</si>
  <si>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</si>
  <si>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</si>
  <si>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红</t>
    <phoneticPr fontId="1" type="noConversion"/>
  </si>
  <si>
    <t>初始属性</t>
    <phoneticPr fontId="1" type="noConversion"/>
  </si>
  <si>
    <t>成长属性</t>
    <phoneticPr fontId="1" type="noConversion"/>
  </si>
  <si>
    <t>升阶次数</t>
    <phoneticPr fontId="1" type="noConversion"/>
  </si>
  <si>
    <t>升阶附加值</t>
    <phoneticPr fontId="1" type="noConversion"/>
  </si>
  <si>
    <t>升星次数</t>
    <phoneticPr fontId="1" type="noConversion"/>
  </si>
  <si>
    <t>单次升星附加值</t>
    <phoneticPr fontId="1" type="noConversion"/>
  </si>
  <si>
    <t>属性值=基础值+成长值*等级+升星附加值*升星次数+觉醒附加值*觉醒次数</t>
    <phoneticPr fontId="1" type="noConversion"/>
  </si>
  <si>
    <t>橙</t>
    <phoneticPr fontId="1" type="noConversion"/>
  </si>
  <si>
    <t>升星次数</t>
    <phoneticPr fontId="1" type="noConversion"/>
  </si>
  <si>
    <t>阶段</t>
    <phoneticPr fontId="1" type="noConversion"/>
  </si>
  <si>
    <t>等级</t>
    <phoneticPr fontId="1" type="noConversion"/>
  </si>
  <si>
    <t>状态</t>
    <phoneticPr fontId="1" type="noConversion"/>
  </si>
  <si>
    <t>1星紫</t>
    <phoneticPr fontId="1" type="noConversion"/>
  </si>
  <si>
    <t>觉醒橙</t>
    <phoneticPr fontId="1" type="noConversion"/>
  </si>
  <si>
    <t>觉醒1星橙</t>
    <phoneticPr fontId="1" type="noConversion"/>
  </si>
  <si>
    <t>觉醒1星橙</t>
    <phoneticPr fontId="1" type="noConversion"/>
  </si>
  <si>
    <t>觉醒1星橙</t>
    <phoneticPr fontId="1" type="noConversion"/>
  </si>
  <si>
    <t>觉醒3星橙</t>
    <phoneticPr fontId="1" type="noConversion"/>
  </si>
  <si>
    <t>觉醒7星橙</t>
    <phoneticPr fontId="1" type="noConversion"/>
  </si>
  <si>
    <t>属性</t>
    <phoneticPr fontId="1" type="noConversion"/>
  </si>
  <si>
    <t>1紫5蓝</t>
    <phoneticPr fontId="1" type="noConversion"/>
  </si>
  <si>
    <t>1橙5紫</t>
    <phoneticPr fontId="1" type="noConversion"/>
  </si>
  <si>
    <t>4橙2紫</t>
    <phoneticPr fontId="1" type="noConversion"/>
  </si>
  <si>
    <t>6橙</t>
    <phoneticPr fontId="1" type="noConversion"/>
  </si>
  <si>
    <t>6橙1星</t>
    <phoneticPr fontId="1" type="noConversion"/>
  </si>
  <si>
    <t>6橙2星</t>
    <phoneticPr fontId="1" type="noConversion"/>
  </si>
  <si>
    <t>6橙7星</t>
    <phoneticPr fontId="1" type="noConversion"/>
  </si>
  <si>
    <t>基础属性属性</t>
    <phoneticPr fontId="1" type="noConversion"/>
  </si>
  <si>
    <t>1紫1星</t>
    <phoneticPr fontId="1" type="noConversion"/>
  </si>
  <si>
    <t>1橙1星</t>
    <phoneticPr fontId="1" type="noConversion"/>
  </si>
  <si>
    <t>6橙1星</t>
    <phoneticPr fontId="1" type="noConversion"/>
  </si>
  <si>
    <t>6橙3星</t>
    <phoneticPr fontId="1" type="noConversion"/>
  </si>
  <si>
    <t>6橙7星</t>
    <phoneticPr fontId="1" type="noConversion"/>
  </si>
  <si>
    <t>1星橙</t>
    <phoneticPr fontId="1" type="noConversion"/>
  </si>
  <si>
    <t>3星橙</t>
    <phoneticPr fontId="1" type="noConversion"/>
  </si>
  <si>
    <t>7星橙</t>
    <phoneticPr fontId="1" type="noConversion"/>
  </si>
  <si>
    <t>升星阶段</t>
    <phoneticPr fontId="1" type="noConversion"/>
  </si>
  <si>
    <t>升星属性</t>
    <phoneticPr fontId="1" type="noConversion"/>
  </si>
  <si>
    <t>总属性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</si>
  <si>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</si>
  <si>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</si>
  <si>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</si>
  <si>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</si>
  <si>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</si>
  <si>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蓝</t>
  </si>
  <si>
    <t>紫</t>
  </si>
  <si>
    <t>橙</t>
  </si>
  <si>
    <t>绿</t>
  </si>
  <si>
    <t>红</t>
  </si>
  <si>
    <t>绿</t>
    <phoneticPr fontId="1" type="noConversion"/>
  </si>
  <si>
    <t>蓝</t>
    <phoneticPr fontId="1" type="noConversion"/>
  </si>
  <si>
    <t>紫</t>
    <phoneticPr fontId="1" type="noConversion"/>
  </si>
  <si>
    <t>红</t>
    <phoneticPr fontId="1" type="noConversion"/>
  </si>
  <si>
    <t>主力上阵武将数量</t>
    <phoneticPr fontId="1" type="noConversion"/>
  </si>
  <si>
    <t>主力上阵武将星级</t>
    <phoneticPr fontId="1" type="noConversion"/>
  </si>
  <si>
    <t>累积天数</t>
    <phoneticPr fontId="1" type="noConversion"/>
  </si>
  <si>
    <t>品质</t>
  </si>
  <si>
    <t>指定价值</t>
  </si>
  <si>
    <t>价值</t>
    <phoneticPr fontId="1" type="noConversion"/>
  </si>
  <si>
    <t>时间差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</si>
  <si>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</si>
  <si>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</si>
  <si>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</si>
  <si>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</si>
  <si>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等级</t>
    <phoneticPr fontId="1" type="noConversion"/>
  </si>
  <si>
    <t>玩家武将数量累积消耗</t>
    <phoneticPr fontId="1" type="noConversion"/>
  </si>
  <si>
    <t>玩家等级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</si>
  <si>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</si>
  <si>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</si>
  <si>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</si>
  <si>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</si>
  <si>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</si>
  <si>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超r</t>
    <phoneticPr fontId="1" type="noConversion"/>
  </si>
  <si>
    <t>觉醒需要消耗同资质的三张卡牌</t>
    <phoneticPr fontId="1" type="noConversion"/>
  </si>
  <si>
    <t>普通玩家</t>
    <phoneticPr fontId="1" type="noConversion"/>
  </si>
  <si>
    <t>橙</t>
    <phoneticPr fontId="1" type="noConversion"/>
  </si>
  <si>
    <t>红</t>
    <phoneticPr fontId="1" type="noConversion"/>
  </si>
  <si>
    <t>3天</t>
    <phoneticPr fontId="1" type="noConversion"/>
  </si>
  <si>
    <t>可觉醒的卡牌</t>
    <phoneticPr fontId="1" type="noConversion"/>
  </si>
  <si>
    <t>橙色</t>
    <phoneticPr fontId="1" type="noConversion"/>
  </si>
  <si>
    <t>紫</t>
    <phoneticPr fontId="1" type="noConversion"/>
  </si>
  <si>
    <t>紫1</t>
    <phoneticPr fontId="1" type="noConversion"/>
  </si>
  <si>
    <t>红色</t>
    <phoneticPr fontId="1" type="noConversion"/>
  </si>
  <si>
    <t>橙1</t>
    <phoneticPr fontId="1" type="noConversion"/>
  </si>
  <si>
    <t>等级</t>
    <phoneticPr fontId="1" type="noConversion"/>
  </si>
  <si>
    <t>上阵武将数</t>
    <phoneticPr fontId="1" type="noConversion"/>
  </si>
  <si>
    <t>时间</t>
    <phoneticPr fontId="1" type="noConversion"/>
  </si>
  <si>
    <t>完成等级</t>
    <phoneticPr fontId="1" type="noConversion"/>
  </si>
  <si>
    <t>3橙1觉</t>
    <phoneticPr fontId="1" type="noConversion"/>
  </si>
  <si>
    <t>1橙1觉</t>
    <phoneticPr fontId="1" type="noConversion"/>
  </si>
  <si>
    <t>4橙1觉，1橙2觉</t>
    <phoneticPr fontId="1" type="noConversion"/>
  </si>
  <si>
    <t>3橙1觉，3橙2觉</t>
    <phoneticPr fontId="1" type="noConversion"/>
  </si>
  <si>
    <t>1觉</t>
    <phoneticPr fontId="1" type="noConversion"/>
  </si>
  <si>
    <t>2觉</t>
    <phoneticPr fontId="1" type="noConversion"/>
  </si>
  <si>
    <t>品质</t>
    <phoneticPr fontId="1" type="noConversion"/>
  </si>
  <si>
    <t>描述</t>
    <phoneticPr fontId="1" type="noConversion"/>
  </si>
  <si>
    <t>状态</t>
    <phoneticPr fontId="1" type="noConversion"/>
  </si>
  <si>
    <t xml:space="preserve">品质 </t>
    <phoneticPr fontId="1" type="noConversion"/>
  </si>
  <si>
    <t>5橙2觉</t>
    <phoneticPr fontId="1" type="noConversion"/>
  </si>
  <si>
    <t>橙卡</t>
    <phoneticPr fontId="1" type="noConversion"/>
  </si>
  <si>
    <t>红卡</t>
    <phoneticPr fontId="1" type="noConversion"/>
  </si>
  <si>
    <t>消耗</t>
    <phoneticPr fontId="1" type="noConversion"/>
  </si>
  <si>
    <t>6橙2觉1觉红</t>
    <phoneticPr fontId="1" type="noConversion"/>
  </si>
  <si>
    <t>11橙2觉2觉红</t>
    <phoneticPr fontId="1" type="noConversion"/>
  </si>
  <si>
    <t>消耗低一资质武将卡</t>
    <phoneticPr fontId="1" type="noConversion"/>
  </si>
  <si>
    <t>消耗同一资质武将卡</t>
    <phoneticPr fontId="1" type="noConversion"/>
  </si>
  <si>
    <t>消耗同名武将卡</t>
    <phoneticPr fontId="1" type="noConversion"/>
  </si>
  <si>
    <t>消耗材料数量</t>
    <phoneticPr fontId="1" type="noConversion"/>
  </si>
  <si>
    <t>品质</t>
    <phoneticPr fontId="1" type="noConversion"/>
  </si>
  <si>
    <t>材料品质</t>
    <phoneticPr fontId="1" type="noConversion"/>
  </si>
  <si>
    <t>觉醒次数</t>
    <phoneticPr fontId="1" type="noConversion"/>
  </si>
  <si>
    <t>觉醒次数</t>
    <phoneticPr fontId="1" type="noConversion"/>
  </si>
  <si>
    <t>累积材料消耗</t>
    <phoneticPr fontId="1" type="noConversion"/>
  </si>
  <si>
    <t>累积卡牌消耗</t>
    <phoneticPr fontId="1" type="noConversion"/>
  </si>
  <si>
    <t>非r</t>
    <phoneticPr fontId="1" type="noConversion"/>
  </si>
  <si>
    <t>大殿等级</t>
  </si>
  <si>
    <t>大殿等级累积停留时间(天）</t>
  </si>
  <si>
    <t>大殿等级阶段停留时间（天）</t>
  </si>
  <si>
    <t>调整值</t>
    <phoneticPr fontId="1" type="noConversion"/>
  </si>
  <si>
    <t>非r累积时长大殿等级标准</t>
  </si>
  <si>
    <t>累积停留天数(标准）</t>
    <phoneticPr fontId="1" type="noConversion"/>
  </si>
  <si>
    <t>调整系数</t>
    <phoneticPr fontId="1" type="noConversion"/>
  </si>
  <si>
    <t>天数对应大殿等级</t>
    <phoneticPr fontId="1" type="noConversion"/>
  </si>
  <si>
    <t>天数</t>
    <phoneticPr fontId="1" type="noConversion"/>
  </si>
  <si>
    <t>每个等级玩家所需价值花费</t>
    <phoneticPr fontId="1" type="noConversion"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</si>
  <si>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</si>
  <si>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</si>
  <si>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</si>
  <si>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</si>
  <si>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</si>
  <si>
    <t>设计说明：</t>
    <phoneticPr fontId="1" type="noConversion"/>
  </si>
  <si>
    <t>刀币</t>
    <phoneticPr fontId="1" type="noConversion"/>
  </si>
  <si>
    <t>紫色藏宝图</t>
    <phoneticPr fontId="1" type="noConversion"/>
  </si>
  <si>
    <t>使用前与最新的商品出售价格进行对比更新</t>
    <phoneticPr fontId="1" type="noConversion"/>
  </si>
  <si>
    <t>（1-10天）</t>
    <phoneticPr fontId="1" type="noConversion"/>
  </si>
  <si>
    <t>(11-30天）</t>
    <phoneticPr fontId="1" type="noConversion"/>
  </si>
  <si>
    <t>（31~60天）</t>
    <phoneticPr fontId="1" type="noConversion"/>
  </si>
  <si>
    <t>sid</t>
  </si>
  <si>
    <t>名称</t>
  </si>
  <si>
    <t>价格</t>
    <phoneticPr fontId="1" type="noConversion"/>
  </si>
  <si>
    <t>调整参数</t>
    <phoneticPr fontId="1" type="noConversion"/>
  </si>
  <si>
    <t>实际价格</t>
    <phoneticPr fontId="1" type="noConversion"/>
  </si>
  <si>
    <t>橙色指定武将</t>
    <phoneticPr fontId="1" type="noConversion"/>
  </si>
  <si>
    <t>紫色指定武将</t>
    <phoneticPr fontId="1" type="noConversion"/>
  </si>
  <si>
    <t>125指定武将</t>
    <phoneticPr fontId="1" type="noConversion"/>
  </si>
  <si>
    <t>橙+指定武将</t>
    <phoneticPr fontId="1" type="noConversion"/>
  </si>
  <si>
    <t>黄金</t>
    <phoneticPr fontId="1" type="noConversion"/>
  </si>
  <si>
    <t>粮食</t>
    <phoneticPr fontId="1" type="noConversion"/>
  </si>
  <si>
    <t>木材</t>
    <phoneticPr fontId="1" type="noConversion"/>
  </si>
  <si>
    <t>石料</t>
    <phoneticPr fontId="1" type="noConversion"/>
  </si>
  <si>
    <t>铜矿</t>
    <phoneticPr fontId="1" type="noConversion"/>
  </si>
  <si>
    <t>铁矿</t>
    <phoneticPr fontId="1" type="noConversion"/>
  </si>
  <si>
    <t>玉珏</t>
    <phoneticPr fontId="1" type="noConversion"/>
  </si>
  <si>
    <t>信物*2、武将碎片*10、黄金600三选一（600钻）</t>
    <phoneticPr fontId="1" type="noConversion"/>
  </si>
  <si>
    <t>蓝色门客</t>
    <phoneticPr fontId="1" type="noConversion"/>
  </si>
  <si>
    <t>紫色门客</t>
    <phoneticPr fontId="1" type="noConversion"/>
  </si>
  <si>
    <t>橙色门客</t>
    <phoneticPr fontId="1" type="noConversion"/>
  </si>
  <si>
    <t>红色门客</t>
    <phoneticPr fontId="1" type="noConversion"/>
  </si>
  <si>
    <t>绿色军团馈赠</t>
    <phoneticPr fontId="1" type="noConversion"/>
  </si>
  <si>
    <t>蓝色军团馈赠</t>
    <phoneticPr fontId="1" type="noConversion"/>
  </si>
  <si>
    <t>紫色军团馈赠</t>
    <phoneticPr fontId="1" type="noConversion"/>
  </si>
  <si>
    <t>橙色军团馈赠</t>
    <phoneticPr fontId="1" type="noConversion"/>
  </si>
  <si>
    <t>文心</t>
    <phoneticPr fontId="1" type="noConversion"/>
  </si>
  <si>
    <t>宝物温养货币</t>
    <phoneticPr fontId="1" type="noConversion"/>
  </si>
  <si>
    <t>宝鉴</t>
  </si>
  <si>
    <t>鉴赏宝物属性</t>
    <phoneticPr fontId="1" type="noConversion"/>
  </si>
  <si>
    <t>密藏之匙</t>
    <phoneticPr fontId="1" type="noConversion"/>
  </si>
  <si>
    <t>宝物抽奖道具</t>
    <phoneticPr fontId="1" type="noConversion"/>
  </si>
  <si>
    <t>宝物精华</t>
    <phoneticPr fontId="1" type="noConversion"/>
  </si>
  <si>
    <t>宝物升星消耗货币</t>
    <phoneticPr fontId="1" type="noConversion"/>
  </si>
  <si>
    <t>指定蓝色宝物</t>
    <phoneticPr fontId="1" type="noConversion"/>
  </si>
  <si>
    <t>指定紫色宝物</t>
    <phoneticPr fontId="1" type="noConversion"/>
  </si>
  <si>
    <t>指定橙色宝物</t>
    <phoneticPr fontId="1" type="noConversion"/>
  </si>
  <si>
    <t>指定橙+宝物</t>
    <phoneticPr fontId="1" type="noConversion"/>
  </si>
  <si>
    <t>指定橙色宝物碎片</t>
    <phoneticPr fontId="1" type="noConversion"/>
  </si>
  <si>
    <t>指定橙+宝物碎片</t>
    <phoneticPr fontId="1" type="noConversion"/>
  </si>
  <si>
    <t>随机蓝色宝物</t>
    <phoneticPr fontId="1" type="noConversion"/>
  </si>
  <si>
    <t>随机紫色宝物</t>
    <phoneticPr fontId="1" type="noConversion"/>
  </si>
  <si>
    <t>随机橙色宝物</t>
    <phoneticPr fontId="1" type="noConversion"/>
  </si>
  <si>
    <t>随机橙+宝物</t>
    <phoneticPr fontId="1" type="noConversion"/>
  </si>
  <si>
    <t>随机紫色宝物碎片</t>
    <phoneticPr fontId="1" type="noConversion"/>
  </si>
  <si>
    <t>随机橙色宝物碎片</t>
    <phoneticPr fontId="1" type="noConversion"/>
  </si>
  <si>
    <t>随机橙+宝物碎片</t>
    <phoneticPr fontId="1" type="noConversion"/>
  </si>
  <si>
    <t>紫色皮肤</t>
    <phoneticPr fontId="1" type="noConversion"/>
  </si>
  <si>
    <t>橙色皮肤</t>
    <phoneticPr fontId="1" type="noConversion"/>
  </si>
  <si>
    <t>红色皮肤</t>
    <phoneticPr fontId="1" type="noConversion"/>
  </si>
  <si>
    <t>一阶特性材料</t>
    <phoneticPr fontId="1" type="noConversion"/>
  </si>
  <si>
    <t>二阶特性材料</t>
    <phoneticPr fontId="1" type="noConversion"/>
  </si>
  <si>
    <t>三阶特性材料</t>
    <phoneticPr fontId="1" type="noConversion"/>
  </si>
  <si>
    <t>高级免战牌</t>
    <phoneticPr fontId="1" type="noConversion"/>
  </si>
  <si>
    <t>特级免战牌</t>
    <phoneticPr fontId="1" type="noConversion"/>
  </si>
  <si>
    <t>清剿令</t>
    <phoneticPr fontId="1" type="noConversion"/>
  </si>
  <si>
    <t>紫色藏宝图碎片</t>
    <phoneticPr fontId="1" type="noConversion"/>
  </si>
  <si>
    <t>2、大殿等级对应兑换资源量是变动的</t>
    <phoneticPr fontId="1" type="noConversion"/>
  </si>
  <si>
    <t>3、每日兑换价格和兑换次数为正相关，可以设定到一定阶段就固定价格了</t>
    <phoneticPr fontId="1" type="noConversion"/>
  </si>
  <si>
    <t>4、每次兑换资源有概率获得不同倍数的翻倍奖励</t>
    <phoneticPr fontId="1" type="noConversion"/>
  </si>
  <si>
    <t>木石铜粮的卖价（钻）</t>
  </si>
  <si>
    <t>铁的卖价（钻）</t>
  </si>
  <si>
    <t>非r</t>
  </si>
  <si>
    <t>小r</t>
  </si>
  <si>
    <t>中r</t>
  </si>
  <si>
    <t>大r</t>
  </si>
  <si>
    <t>超r</t>
  </si>
  <si>
    <t>大殿等级</t>
    <phoneticPr fontId="1" type="noConversion"/>
  </si>
  <si>
    <t>大殿等级对应定义等级</t>
  </si>
  <si>
    <t>定义等级对应大殿等级</t>
  </si>
  <si>
    <t>以中r为标准</t>
    <phoneticPr fontId="1" type="noConversion"/>
  </si>
  <si>
    <t>对应中r定义等级</t>
    <phoneticPr fontId="1" type="noConversion"/>
  </si>
  <si>
    <t>中r对应木石铜粮价值</t>
    <phoneticPr fontId="1" type="noConversion"/>
  </si>
  <si>
    <t>中r对应铁价值</t>
    <phoneticPr fontId="1" type="noConversion"/>
  </si>
  <si>
    <t>1、每日5种资源可兑换次数各自记录</t>
    <phoneticPr fontId="1" type="noConversion"/>
  </si>
  <si>
    <t>购买次数</t>
    <phoneticPr fontId="1" type="noConversion"/>
  </si>
  <si>
    <t>兑换倍率</t>
    <phoneticPr fontId="1" type="noConversion"/>
  </si>
  <si>
    <t>权重</t>
    <phoneticPr fontId="1" type="noConversion"/>
  </si>
  <si>
    <t>定义等级</t>
    <phoneticPr fontId="1" type="noConversion"/>
  </si>
  <si>
    <t>演算</t>
    <phoneticPr fontId="1" type="noConversion"/>
  </si>
  <si>
    <t>每日购买资源后的资源付费空间情况</t>
    <phoneticPr fontId="1" type="noConversion"/>
  </si>
  <si>
    <t>付费价值占比</t>
    <phoneticPr fontId="1" type="noConversion"/>
  </si>
  <si>
    <t>木石铜粮产销比</t>
    <phoneticPr fontId="1" type="noConversion"/>
  </si>
  <si>
    <t>付费价值空间</t>
    <phoneticPr fontId="1" type="noConversion"/>
  </si>
  <si>
    <t>累计获得资源/4种资源</t>
    <phoneticPr fontId="1" type="noConversion"/>
  </si>
  <si>
    <t>累计花费钻石/4种资源</t>
    <phoneticPr fontId="1" type="noConversion"/>
  </si>
  <si>
    <t>预估购买次数/日</t>
    <phoneticPr fontId="1" type="noConversion"/>
  </si>
  <si>
    <t>木石铜粮价格</t>
    <phoneticPr fontId="1" type="noConversion"/>
  </si>
  <si>
    <t>铁价格</t>
    <phoneticPr fontId="1" type="noConversion"/>
  </si>
  <si>
    <t>对应资源道具折算价值</t>
    <phoneticPr fontId="1" type="noConversion"/>
  </si>
  <si>
    <t>期望倍率</t>
    <phoneticPr fontId="1" type="noConversion"/>
  </si>
  <si>
    <t>每日各资源免费次数</t>
    <phoneticPr fontId="1" type="noConversion"/>
  </si>
  <si>
    <t>实际兑换资源量/1种资源</t>
    <phoneticPr fontId="1" type="noConversion"/>
  </si>
  <si>
    <t>花费黄金</t>
    <phoneticPr fontId="1" type="noConversion"/>
  </si>
  <si>
    <t>木</t>
    <phoneticPr fontId="1" type="noConversion"/>
  </si>
  <si>
    <t>石</t>
    <phoneticPr fontId="1" type="noConversion"/>
  </si>
  <si>
    <t>铜</t>
    <phoneticPr fontId="1" type="noConversion"/>
  </si>
  <si>
    <t>粮</t>
    <phoneticPr fontId="1" type="noConversion"/>
  </si>
  <si>
    <t>铁</t>
    <phoneticPr fontId="1" type="noConversion"/>
  </si>
  <si>
    <t>极限兑换资源</t>
    <phoneticPr fontId="1" type="noConversion"/>
  </si>
  <si>
    <t>资源量/钻</t>
    <phoneticPr fontId="1" type="noConversion"/>
  </si>
  <si>
    <t>次数</t>
    <phoneticPr fontId="1" type="noConversion"/>
  </si>
  <si>
    <t>花费黄金</t>
    <phoneticPr fontId="1" type="noConversion"/>
  </si>
  <si>
    <t>获得资源</t>
    <phoneticPr fontId="1" type="noConversion"/>
  </si>
  <si>
    <t>标准价格</t>
    <phoneticPr fontId="1" type="noConversion"/>
  </si>
  <si>
    <t>1钻对应资源量（数值美化）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</si>
</sst>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11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rgb="FFFF0000"/>
      <name val="宋体"/>
      <family val="3"/>
      <charset val="134"/>
    </font>
    <font>
      <sz val="9"/>
      <color theme="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theme="1"/>
      <name val="宋体"/>
      <family val="2"/>
    </font>
    <font>
      <sz val="9"/>
      <color rgb="FFFF0000"/>
      <name val="宋体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0" borderId="0" xfId="0" applyFont="1"/>
    <xf numFmtId="0" fontId="5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1" xfId="0" applyFont="1" applyBorder="1" applyAlignment="1"/>
    <xf numFmtId="0" fontId="5" fillId="2" borderId="0" xfId="0" applyFont="1" applyFill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6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1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381000</xdr:colOff>
      <xdr:row>3</xdr:row>
      <xdr:rowOff>238125</xdr:rowOff>
    </xdr:from>
    <xdr:to>
      <xdr:col>25</xdr:col>
      <xdr:colOff>371098</xdr:colOff>
      <xdr:row>22</xdr:row>
      <xdr:rowOff>37732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71B83AE-13A7-1C44-8FA5-D540D161D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15625" y="666750"/>
          <a:ext cx="3019048" cy="294285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7494;&#2355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3;&#29289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30382;&#32932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5112;&#22269;&#23548;&#34920;/&#25112;&#22269;-&#21830;&#2421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</sheetNames>
    <sheetDataSet>
      <sheetData sheetId="0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  <cell r="N3" t="str">
            <v>对应玩家等级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O4">
            <v>1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V4">
            <v>1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C4">
            <v>1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L4">
            <v>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S4">
            <v>1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Q4">
            <v>0.10358867312681475</v>
          </cell>
          <cell r="BR4">
            <v>9.9484920169810143E-2</v>
          </cell>
          <cell r="BS4">
            <v>9.5370882117675193E-2</v>
          </cell>
          <cell r="BT4">
            <v>9.1267553415695812E-2</v>
          </cell>
          <cell r="BU4">
            <v>8.7269311817030126E-2</v>
          </cell>
          <cell r="BX4">
            <v>3.4919352669146524</v>
          </cell>
          <cell r="BY4">
            <v>3.5640303448543476</v>
          </cell>
          <cell r="BZ4">
            <v>3.6425338741664604</v>
          </cell>
          <cell r="CA4">
            <v>3.7278827947172908</v>
          </cell>
          <cell r="CB4">
            <v>3.8187662869079366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O5">
            <v>2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V5">
            <v>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C5">
            <v>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L5">
            <v>2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S5">
            <v>2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Q5">
            <v>0.33387121731586833</v>
          </cell>
          <cell r="BR5">
            <v>0.3206446264738233</v>
          </cell>
          <cell r="BS5">
            <v>0.30738488628129679</v>
          </cell>
          <cell r="BT5">
            <v>0.29415966283336437</v>
          </cell>
          <cell r="BU5">
            <v>0.2812731401144638</v>
          </cell>
          <cell r="BX5">
            <v>4.977308377450588</v>
          </cell>
          <cell r="BY5">
            <v>5.0895603019048199</v>
          </cell>
          <cell r="BZ5">
            <v>5.2088085130582007</v>
          </cell>
          <cell r="CA5">
            <v>5.348253402094703</v>
          </cell>
          <cell r="CB5">
            <v>5.5020994005782997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O6">
            <v>3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V6">
            <v>3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C6">
            <v>3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L6">
            <v>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S6">
            <v>3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Q6">
            <v>0.71853377040242361</v>
          </cell>
          <cell r="BR6">
            <v>0.69006844696511282</v>
          </cell>
          <cell r="BS6">
            <v>0.66153178186505168</v>
          </cell>
          <cell r="BT6">
            <v>0.63306940123561561</v>
          </cell>
          <cell r="BU6">
            <v>0.60533594810650693</v>
          </cell>
          <cell r="BX6">
            <v>6.1165253069520942</v>
          </cell>
          <cell r="BY6">
            <v>6.2666264078379221</v>
          </cell>
          <cell r="BZ6">
            <v>6.4370802003692873</v>
          </cell>
          <cell r="CA6">
            <v>6.6323388358436492</v>
          </cell>
          <cell r="CB6">
            <v>6.8403179035964721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O7">
            <v>4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V7">
            <v>4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C7">
            <v>4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L7">
            <v>4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S7">
            <v>4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Q7">
            <v>1.2712279162221225</v>
          </cell>
          <cell r="BR7">
            <v>1.2194461831474863</v>
          </cell>
          <cell r="BS7">
            <v>1.1691695709192234</v>
          </cell>
          <cell r="BT7">
            <v>1.1200180669001034</v>
          </cell>
          <cell r="BU7">
            <v>1.0742533268514161</v>
          </cell>
          <cell r="BX7">
            <v>7.0702756195404151</v>
          </cell>
          <cell r="BY7">
            <v>7.2477985806027867</v>
          </cell>
          <cell r="BZ7">
            <v>7.4530595043311552</v>
          </cell>
          <cell r="CA7">
            <v>7.6839780435255705</v>
          </cell>
          <cell r="CB7">
            <v>7.9454083416525796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O8">
            <v>5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V8">
            <v>5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C8">
            <v>5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L8">
            <v>5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S8">
            <v>5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Q8">
            <v>2.0157878378790723</v>
          </cell>
          <cell r="BR8">
            <v>1.9225452774961409</v>
          </cell>
          <cell r="BS8">
            <v>1.830216243198636</v>
          </cell>
          <cell r="BT8">
            <v>1.7360956328017618</v>
          </cell>
          <cell r="BU8">
            <v>1.6465506273391022</v>
          </cell>
          <cell r="BX8">
            <v>7.8924592775257718</v>
          </cell>
          <cell r="BY8">
            <v>8.0964284787133458</v>
          </cell>
          <cell r="BZ8">
            <v>8.3140998912475936</v>
          </cell>
          <cell r="CA8">
            <v>8.5599968276049641</v>
          </cell>
          <cell r="CB8">
            <v>8.8384248761652557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O9">
            <v>6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V9">
            <v>6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C9">
            <v>6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L9">
            <v>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S9">
            <v>6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Q9">
            <v>2.871589098883871</v>
          </cell>
          <cell r="BR9">
            <v>2.7261617729946108</v>
          </cell>
          <cell r="BS9">
            <v>2.5843312604883417</v>
          </cell>
          <cell r="BT9">
            <v>2.4445753343885266</v>
          </cell>
          <cell r="BU9">
            <v>2.3151343284372583</v>
          </cell>
          <cell r="BX9">
            <v>8.6175479890862157</v>
          </cell>
          <cell r="BY9">
            <v>8.849843797743457</v>
          </cell>
          <cell r="BZ9">
            <v>9.1007395721182949</v>
          </cell>
          <cell r="CA9">
            <v>9.3635025505897787</v>
          </cell>
          <cell r="CB9">
            <v>9.6752186318997833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O10">
            <v>7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V10">
            <v>7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C10">
            <v>7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L10">
            <v>7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S10">
            <v>7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Q10">
            <v>3.9083908523902386</v>
          </cell>
          <cell r="BR10">
            <v>3.7000938700170019</v>
          </cell>
          <cell r="BS10">
            <v>3.4949550680198662</v>
          </cell>
          <cell r="BT10">
            <v>3.2977452115900578</v>
          </cell>
          <cell r="BU10">
            <v>3.1175616442680676</v>
          </cell>
          <cell r="BX10">
            <v>9.2992754060675331</v>
          </cell>
          <cell r="BY10">
            <v>9.5403165281128111</v>
          </cell>
          <cell r="BZ10">
            <v>9.8205867658616608</v>
          </cell>
          <cell r="CA10">
            <v>10.128686248037246</v>
          </cell>
          <cell r="CB10">
            <v>10.460138723751793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O11">
            <v>8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V11">
            <v>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C11">
            <v>8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L11">
            <v>8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S11">
            <v>8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Q11">
            <v>5.1220396939633002</v>
          </cell>
          <cell r="BR11">
            <v>4.8616228494416447</v>
          </cell>
          <cell r="BS11">
            <v>4.5815795834661612</v>
          </cell>
          <cell r="BT11">
            <v>4.3105632736922681</v>
          </cell>
          <cell r="BU11">
            <v>4.0494061619177515</v>
          </cell>
          <cell r="BX11">
            <v>9.9503115729287064</v>
          </cell>
          <cell r="BY11">
            <v>10.209179596854964</v>
          </cell>
          <cell r="BZ11">
            <v>10.501003645853389</v>
          </cell>
          <cell r="CA11">
            <v>10.838817158161019</v>
          </cell>
          <cell r="CB11">
            <v>11.201197012273351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O12">
            <v>9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V12">
            <v>9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C12">
            <v>9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L12">
            <v>9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S12">
            <v>9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Q12">
            <v>6.5073154848533106</v>
          </cell>
          <cell r="BR12">
            <v>6.182955000821134</v>
          </cell>
          <cell r="BS12">
            <v>5.8458242478885518</v>
          </cell>
          <cell r="BT12">
            <v>5.4937555014634736</v>
          </cell>
          <cell r="BU12">
            <v>5.1616447031846953</v>
          </cell>
          <cell r="BX12">
            <v>10.62858551654854</v>
          </cell>
          <cell r="BY12">
            <v>10.92759887154785</v>
          </cell>
          <cell r="BZ12">
            <v>11.242219885173299</v>
          </cell>
          <cell r="CA12">
            <v>11.610247668732617</v>
          </cell>
          <cell r="CB12">
            <v>12.017497952687538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O13">
            <v>10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V13">
            <v>10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C13">
            <v>10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L13">
            <v>10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S13">
            <v>10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Q13">
            <v>8.071211008105136</v>
          </cell>
          <cell r="BR13">
            <v>7.6806609280366285</v>
          </cell>
          <cell r="BS13">
            <v>7.2577959560771719</v>
          </cell>
          <cell r="BT13">
            <v>6.8275081581253696</v>
          </cell>
          <cell r="BU13">
            <v>6.4063898414553373</v>
          </cell>
          <cell r="BX13">
            <v>11.296493250964016</v>
          </cell>
          <cell r="BY13">
            <v>11.607260419981094</v>
          </cell>
          <cell r="BZ13">
            <v>11.973224677412396</v>
          </cell>
          <cell r="CA13">
            <v>12.359692277800681</v>
          </cell>
          <cell r="CB13">
            <v>12.803444306803474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O14">
            <v>11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V14">
            <v>11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C14">
            <v>11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L14">
            <v>11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S14">
            <v>11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Q14">
            <v>9.5120454660969038</v>
          </cell>
          <cell r="BR14">
            <v>9.0908055284315381</v>
          </cell>
          <cell r="BS14">
            <v>8.6331257373661145</v>
          </cell>
          <cell r="BT14">
            <v>8.1811718053632738</v>
          </cell>
          <cell r="BU14">
            <v>7.6920934414083888</v>
          </cell>
          <cell r="BX14">
            <v>11.947729331634296</v>
          </cell>
          <cell r="BY14">
            <v>12.268098330256127</v>
          </cell>
          <cell r="BZ14">
            <v>12.644330976574002</v>
          </cell>
          <cell r="CA14">
            <v>13.069974059992543</v>
          </cell>
          <cell r="CB14">
            <v>13.547253897167892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O15">
            <v>12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V15">
            <v>12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C15">
            <v>12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L15">
            <v>12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S15">
            <v>12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Q15">
            <v>11.074888753130331</v>
          </cell>
          <cell r="BR15">
            <v>10.551555449265667</v>
          </cell>
          <cell r="BS15">
            <v>10.033713322824047</v>
          </cell>
          <cell r="BT15">
            <v>9.4763743598650301</v>
          </cell>
          <cell r="BU15">
            <v>8.9745731744178503</v>
          </cell>
          <cell r="BX15">
            <v>12.542132297048981</v>
          </cell>
          <cell r="BY15">
            <v>12.897943579612605</v>
          </cell>
          <cell r="BZ15">
            <v>13.295232951964469</v>
          </cell>
          <cell r="CA15">
            <v>13.76223932139796</v>
          </cell>
          <cell r="CB15">
            <v>14.265591764569512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O16">
            <v>13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V16">
            <v>13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C16">
            <v>13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L16">
            <v>13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S16">
            <v>13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Q16">
            <v>12.728996915718925</v>
          </cell>
          <cell r="BR16">
            <v>12.142721275836225</v>
          </cell>
          <cell r="BS16">
            <v>11.503343391504416</v>
          </cell>
          <cell r="BT16">
            <v>10.885031205321049</v>
          </cell>
          <cell r="BU16">
            <v>10.232039772979649</v>
          </cell>
          <cell r="BX16">
            <v>13.143190924164548</v>
          </cell>
          <cell r="BY16">
            <v>13.515704114816591</v>
          </cell>
          <cell r="BZ16">
            <v>13.955379012797932</v>
          </cell>
          <cell r="CA16">
            <v>14.429987921274376</v>
          </cell>
          <cell r="CB16">
            <v>14.981817088938907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O17">
            <v>14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V17">
            <v>14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C17">
            <v>14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L17">
            <v>14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S17">
            <v>14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Q17">
            <v>14.478648759442287</v>
          </cell>
          <cell r="BR17">
            <v>13.801686811891411</v>
          </cell>
          <cell r="BS17">
            <v>13.066802237788149</v>
          </cell>
          <cell r="BT17">
            <v>12.317859861087916</v>
          </cell>
          <cell r="BU17">
            <v>11.589582338965862</v>
          </cell>
          <cell r="BX17">
            <v>13.709487920387797</v>
          </cell>
          <cell r="BY17">
            <v>14.100956885571147</v>
          </cell>
          <cell r="BZ17">
            <v>14.525291242595772</v>
          </cell>
          <cell r="CA17">
            <v>15.034528001908788</v>
          </cell>
          <cell r="CB17">
            <v>15.548154022600523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O18">
            <v>15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V18">
            <v>15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C18">
            <v>15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L18">
            <v>15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S18">
            <v>15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Q18">
            <v>16.315139190025224</v>
          </cell>
          <cell r="BR18">
            <v>15.561358773741674</v>
          </cell>
          <cell r="BS18">
            <v>14.762349831349963</v>
          </cell>
          <cell r="BT18">
            <v>13.933035582501875</v>
          </cell>
          <cell r="BU18">
            <v>13.02723395474071</v>
          </cell>
          <cell r="BX18">
            <v>14.266658834916136</v>
          </cell>
          <cell r="BY18">
            <v>14.660415593263824</v>
          </cell>
          <cell r="BZ18">
            <v>15.124897159472612</v>
          </cell>
          <cell r="CA18">
            <v>15.620787661421978</v>
          </cell>
          <cell r="CB18">
            <v>16.186655799493046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O19">
            <v>16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V19">
            <v>16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C19">
            <v>16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L19">
            <v>16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S19">
            <v>16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Q19">
            <v>18.226342304552581</v>
          </cell>
          <cell r="BR19">
            <v>17.420973982667814</v>
          </cell>
          <cell r="BS19">
            <v>16.55360159735687</v>
          </cell>
          <cell r="BT19">
            <v>15.589627930182091</v>
          </cell>
          <cell r="BU19">
            <v>14.671687356650759</v>
          </cell>
          <cell r="BX19">
            <v>14.814845624513547</v>
          </cell>
          <cell r="BY19">
            <v>15.223953663630512</v>
          </cell>
          <cell r="BZ19">
            <v>15.68326996451129</v>
          </cell>
          <cell r="CA19">
            <v>16.223055450854915</v>
          </cell>
          <cell r="CB19">
            <v>16.836396297114952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O20">
            <v>17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V20">
            <v>17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C20">
            <v>17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L20">
            <v>17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S20">
            <v>17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Q20">
            <v>20.20181641490861</v>
          </cell>
          <cell r="BR20">
            <v>19.316761289213389</v>
          </cell>
          <cell r="BS20">
            <v>18.361080760620879</v>
          </cell>
          <cell r="BT20">
            <v>17.369785176246889</v>
          </cell>
          <cell r="BU20">
            <v>16.290326765372022</v>
          </cell>
          <cell r="BX20">
            <v>15.339606019664149</v>
          </cell>
          <cell r="BY20">
            <v>15.750302066190816</v>
          </cell>
          <cell r="BZ20">
            <v>16.215846584296784</v>
          </cell>
          <cell r="CA20">
            <v>16.764198848718195</v>
          </cell>
          <cell r="CB20">
            <v>17.338393226762065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O21">
            <v>18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V21">
            <v>18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C21">
            <v>18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L21">
            <v>18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S21">
            <v>18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Q21">
            <v>22.23257120211764</v>
          </cell>
          <cell r="BR21">
            <v>21.313236761787984</v>
          </cell>
          <cell r="BS21">
            <v>20.31364557414641</v>
          </cell>
          <cell r="BT21">
            <v>19.206606162403641</v>
          </cell>
          <cell r="BU21">
            <v>18.113419670820548</v>
          </cell>
          <cell r="BX21">
            <v>15.871072726902106</v>
          </cell>
          <cell r="BY21">
            <v>16.290260811148702</v>
          </cell>
          <cell r="BZ21">
            <v>16.78909022643807</v>
          </cell>
          <cell r="CA21">
            <v>17.340049562343136</v>
          </cell>
          <cell r="CB21">
            <v>17.928688718553115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O22">
            <v>19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V22">
            <v>19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C22">
            <v>19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L22">
            <v>19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S22">
            <v>19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Q22">
            <v>24.310866931512376</v>
          </cell>
          <cell r="BR22">
            <v>23.346355732194773</v>
          </cell>
          <cell r="BS22">
            <v>22.270075478919804</v>
          </cell>
          <cell r="BT22">
            <v>21.127034033068878</v>
          </cell>
          <cell r="BU22">
            <v>19.990401674856564</v>
          </cell>
          <cell r="BX22">
            <v>16.372441911687645</v>
          </cell>
          <cell r="BY22">
            <v>16.824360525554045</v>
          </cell>
          <cell r="BZ22">
            <v>17.315787914321945</v>
          </cell>
          <cell r="CA22">
            <v>17.881687348051518</v>
          </cell>
          <cell r="CB22">
            <v>18.472191841608893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O23">
            <v>20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V23">
            <v>20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C23">
            <v>20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L23">
            <v>20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S23">
            <v>20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Q23">
            <v>26.430041330048915</v>
          </cell>
          <cell r="BR23">
            <v>25.411137335118717</v>
          </cell>
          <cell r="BS23">
            <v>24.291601023356559</v>
          </cell>
          <cell r="BT23">
            <v>23.104674507319633</v>
          </cell>
          <cell r="BU23">
            <v>21.807019312177008</v>
          </cell>
          <cell r="BX23">
            <v>16.888397947066121</v>
          </cell>
          <cell r="BY23">
            <v>17.320567635394323</v>
          </cell>
          <cell r="BZ23">
            <v>17.821544339079665</v>
          </cell>
          <cell r="CA23">
            <v>18.384863983569073</v>
          </cell>
          <cell r="CB23">
            <v>19.004337291338853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O24">
            <v>21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V24">
            <v>21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C24">
            <v>21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L24">
            <v>21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S24">
            <v>21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Q24">
            <v>28.584360328652647</v>
          </cell>
          <cell r="BR24">
            <v>27.538147336025965</v>
          </cell>
          <cell r="BS24">
            <v>26.374084715154964</v>
          </cell>
          <cell r="BT24">
            <v>25.113701488415835</v>
          </cell>
          <cell r="BU24">
            <v>23.834029842136172</v>
          </cell>
          <cell r="BX24">
            <v>17.373487155583607</v>
          </cell>
          <cell r="BY24">
            <v>17.826194772754434</v>
          </cell>
          <cell r="BZ24">
            <v>18.330803528855718</v>
          </cell>
          <cell r="CA24">
            <v>18.92494047784373</v>
          </cell>
          <cell r="CB24">
            <v>19.541473862851607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O25">
            <v>22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V25">
            <v>22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C25">
            <v>22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L25">
            <v>22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S25">
            <v>22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Q25">
            <v>30.768889392009427</v>
          </cell>
          <cell r="BR25">
            <v>29.682299134892848</v>
          </cell>
          <cell r="BS25">
            <v>28.504605619902428</v>
          </cell>
          <cell r="BT25">
            <v>27.228985792746204</v>
          </cell>
          <cell r="BU25">
            <v>25.905106178844033</v>
          </cell>
          <cell r="BX25">
            <v>17.874992861074709</v>
          </cell>
          <cell r="BY25">
            <v>18.322795653110926</v>
          </cell>
          <cell r="BZ25">
            <v>18.856122636792893</v>
          </cell>
          <cell r="CA25">
            <v>19.437362382301988</v>
          </cell>
          <cell r="CB25">
            <v>20.093055324260185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O26">
            <v>23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V26">
            <v>23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C26">
            <v>23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L26">
            <v>23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S26">
            <v>23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Q26">
            <v>32.979382606869549</v>
          </cell>
          <cell r="BR26">
            <v>31.845462834406923</v>
          </cell>
          <cell r="BS26">
            <v>30.615521552489891</v>
          </cell>
          <cell r="BT26">
            <v>29.279653557700659</v>
          </cell>
          <cell r="BU26">
            <v>27.953695907743711</v>
          </cell>
          <cell r="BX26">
            <v>18.349419791058079</v>
          </cell>
          <cell r="BY26">
            <v>18.812694466249869</v>
          </cell>
          <cell r="BZ26">
            <v>19.32971877176227</v>
          </cell>
          <cell r="CA26">
            <v>19.940393983271228</v>
          </cell>
          <cell r="CB26">
            <v>20.55086831448148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O27">
            <v>24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V27">
            <v>24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C27">
            <v>24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L27">
            <v>24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S27">
            <v>24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Q27">
            <v>35.197977552877902</v>
          </cell>
          <cell r="BR27">
            <v>34.072116335246974</v>
          </cell>
          <cell r="BS27">
            <v>32.816661243819851</v>
          </cell>
          <cell r="BT27">
            <v>31.412793977181359</v>
          </cell>
          <cell r="BU27">
            <v>29.964600225621755</v>
          </cell>
          <cell r="BX27">
            <v>18.837411459307198</v>
          </cell>
          <cell r="BY27">
            <v>19.299728534552713</v>
          </cell>
          <cell r="BZ27">
            <v>19.843744575465458</v>
          </cell>
          <cell r="CA27">
            <v>20.432690473143754</v>
          </cell>
          <cell r="CB27">
            <v>21.075914438033141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O28">
            <v>25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V28">
            <v>25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C28">
            <v>25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L28">
            <v>25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S28">
            <v>25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Q28">
            <v>37.433077144085807</v>
          </cell>
          <cell r="BR28">
            <v>36.256047084538473</v>
          </cell>
          <cell r="BS28">
            <v>34.973799799710449</v>
          </cell>
          <cell r="BT28">
            <v>33.570278782515963</v>
          </cell>
          <cell r="BU28">
            <v>32.075561469230017</v>
          </cell>
          <cell r="BX28">
            <v>19.305616573096692</v>
          </cell>
          <cell r="BY28">
            <v>19.786727569248686</v>
          </cell>
          <cell r="BZ28">
            <v>20.32215968530463</v>
          </cell>
          <cell r="CA28">
            <v>20.939833289691578</v>
          </cell>
          <cell r="CB28">
            <v>21.544273429748305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O29">
            <v>26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V29">
            <v>26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C29">
            <v>26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L29">
            <v>26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S29">
            <v>26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Q29">
            <v>39.683540456879165</v>
          </cell>
          <cell r="BR29">
            <v>38.510750823022413</v>
          </cell>
          <cell r="BS29">
            <v>37.198506294230036</v>
          </cell>
          <cell r="BT29">
            <v>35.753927091474367</v>
          </cell>
          <cell r="BU29">
            <v>34.222396456091865</v>
          </cell>
          <cell r="BX29">
            <v>19.780926419241737</v>
          </cell>
          <cell r="BY29">
            <v>20.259244188823619</v>
          </cell>
          <cell r="BZ29">
            <v>20.806693001307259</v>
          </cell>
          <cell r="CA29">
            <v>21.398356957135043</v>
          </cell>
          <cell r="CB29">
            <v>22.040613536331495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O30">
            <v>27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V30">
            <v>27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C30">
            <v>27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L30">
            <v>27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S30">
            <v>27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Q30">
            <v>41.947199016886806</v>
          </cell>
          <cell r="BR30">
            <v>40.787439392565133</v>
          </cell>
          <cell r="BS30">
            <v>39.486304880774611</v>
          </cell>
          <cell r="BT30">
            <v>38.056251761612167</v>
          </cell>
          <cell r="BU30">
            <v>36.474789469426575</v>
          </cell>
          <cell r="BX30">
            <v>20.246416839245761</v>
          </cell>
          <cell r="BY30">
            <v>20.730530825071739</v>
          </cell>
          <cell r="BZ30">
            <v>21.274723266233853</v>
          </cell>
          <cell r="CA30">
            <v>21.881755925323187</v>
          </cell>
          <cell r="CB30">
            <v>22.50487323022379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O31">
            <v>28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V31">
            <v>28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C31">
            <v>28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L31">
            <v>28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S31">
            <v>28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Q31">
            <v>44.207309026381338</v>
          </cell>
          <cell r="BR31">
            <v>43.001962251090099</v>
          </cell>
          <cell r="BS31">
            <v>41.684581461949612</v>
          </cell>
          <cell r="BT31">
            <v>40.269613788949812</v>
          </cell>
          <cell r="BU31">
            <v>38.716188571600512</v>
          </cell>
          <cell r="BX31">
            <v>20.709789085251497</v>
          </cell>
          <cell r="BY31">
            <v>21.196432625118295</v>
          </cell>
          <cell r="BZ31">
            <v>21.73332002826092</v>
          </cell>
          <cell r="CA31">
            <v>22.338424098785335</v>
          </cell>
          <cell r="CB31">
            <v>23.020448156730307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O32">
            <v>29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V32">
            <v>29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C32">
            <v>29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L32">
            <v>29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S32">
            <v>29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Q32">
            <v>46.472959498348729</v>
          </cell>
          <cell r="BR32">
            <v>45.255017621525596</v>
          </cell>
          <cell r="BS32">
            <v>43.924726999026539</v>
          </cell>
          <cell r="BT32">
            <v>42.440671676816109</v>
          </cell>
          <cell r="BU32">
            <v>40.873232138623273</v>
          </cell>
          <cell r="BX32">
            <v>21.175328404170024</v>
          </cell>
          <cell r="BY32">
            <v>21.66151840648989</v>
          </cell>
          <cell r="BZ32">
            <v>22.222544796364009</v>
          </cell>
          <cell r="CA32">
            <v>22.854718731192797</v>
          </cell>
          <cell r="CB32">
            <v>23.517361184365331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O33">
            <v>30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V33">
            <v>30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C33">
            <v>30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L33">
            <v>30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S33">
            <v>30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Q33">
            <v>48.746400836475651</v>
          </cell>
          <cell r="BR33">
            <v>47.534861085979394</v>
          </cell>
          <cell r="BS33">
            <v>46.203853617695223</v>
          </cell>
          <cell r="BT33">
            <v>44.710696649522191</v>
          </cell>
          <cell r="BU33">
            <v>43.073827164214144</v>
          </cell>
          <cell r="BX33">
            <v>21.627432338833255</v>
          </cell>
          <cell r="BY33">
            <v>22.133969730796721</v>
          </cell>
          <cell r="BZ33">
            <v>22.690075277664143</v>
          </cell>
          <cell r="CA33">
            <v>23.318316384114386</v>
          </cell>
          <cell r="CB33">
            <v>24.015075841763835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O34">
            <v>31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V34">
            <v>31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C34">
            <v>31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L34">
            <v>31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S34">
            <v>31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Q34">
            <v>51.024751728602688</v>
          </cell>
          <cell r="BR34">
            <v>49.81327866937707</v>
          </cell>
          <cell r="BS34">
            <v>48.49295716189016</v>
          </cell>
          <cell r="BT34">
            <v>47.007818211309306</v>
          </cell>
          <cell r="BU34">
            <v>45.378719658137989</v>
          </cell>
          <cell r="BX34">
            <v>22.095189537639744</v>
          </cell>
          <cell r="BY34">
            <v>22.590285126353667</v>
          </cell>
          <cell r="BZ34">
            <v>23.164669534623123</v>
          </cell>
          <cell r="CA34">
            <v>23.790108012583765</v>
          </cell>
          <cell r="CB34">
            <v>24.476288482572343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O35">
            <v>32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V35">
            <v>32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C35">
            <v>32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L35">
            <v>32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S35">
            <v>32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Q35">
            <v>53.291472423922521</v>
          </cell>
          <cell r="BR35">
            <v>52.125901161769718</v>
          </cell>
          <cell r="BS35">
            <v>50.840747976078326</v>
          </cell>
          <cell r="BT35">
            <v>49.375604977850649</v>
          </cell>
          <cell r="BU35">
            <v>47.775197036238126</v>
          </cell>
          <cell r="BX35">
            <v>22.536630202092223</v>
          </cell>
          <cell r="BY35">
            <v>23.063701323157773</v>
          </cell>
          <cell r="BZ35">
            <v>23.615240622314541</v>
          </cell>
          <cell r="CA35">
            <v>24.25413190852499</v>
          </cell>
          <cell r="CB35">
            <v>24.96122010782668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O36">
            <v>33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V36">
            <v>33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C36">
            <v>33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L36">
            <v>33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S36">
            <v>33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Q36">
            <v>55.562784736889313</v>
          </cell>
          <cell r="BR36">
            <v>54.355378546520704</v>
          </cell>
          <cell r="BS36">
            <v>53.035165520933894</v>
          </cell>
          <cell r="BT36">
            <v>51.629711452863589</v>
          </cell>
          <cell r="BU36">
            <v>50.042836137195067</v>
          </cell>
          <cell r="BX36">
            <v>23.008297311415273</v>
          </cell>
          <cell r="BY36">
            <v>23.490868763053822</v>
          </cell>
          <cell r="BZ36">
            <v>24.073520379044336</v>
          </cell>
          <cell r="CA36">
            <v>24.709259009726921</v>
          </cell>
          <cell r="CB36">
            <v>25.404062586103631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O37">
            <v>34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V37">
            <v>34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C37">
            <v>34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L37">
            <v>34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S37">
            <v>34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Q37">
            <v>57.838035023028112</v>
          </cell>
          <cell r="BR37">
            <v>56.663402979853082</v>
          </cell>
          <cell r="BS37">
            <v>55.366968636624627</v>
          </cell>
          <cell r="BT37">
            <v>53.918275980301416</v>
          </cell>
          <cell r="BU37">
            <v>52.327997946582151</v>
          </cell>
          <cell r="BX37">
            <v>23.439624304552691</v>
          </cell>
          <cell r="BY37">
            <v>23.962932129146886</v>
          </cell>
          <cell r="BZ37">
            <v>24.525526780322963</v>
          </cell>
          <cell r="CA37">
            <v>25.186582215718527</v>
          </cell>
          <cell r="CB37">
            <v>25.887144728338249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O38">
            <v>35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V38">
            <v>35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C38">
            <v>35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L38">
            <v>35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S38">
            <v>35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Q38">
            <v>60.108849423225884</v>
          </cell>
          <cell r="BR38">
            <v>58.959670032750353</v>
          </cell>
          <cell r="BS38">
            <v>57.686819122040689</v>
          </cell>
          <cell r="BT38">
            <v>56.279027610646125</v>
          </cell>
          <cell r="BU38">
            <v>54.706384157580409</v>
          </cell>
          <cell r="BX38">
            <v>23.901909129472951</v>
          </cell>
          <cell r="BY38">
            <v>24.40594174135834</v>
          </cell>
          <cell r="BZ38">
            <v>25.010872039771339</v>
          </cell>
          <cell r="CA38">
            <v>25.641910798382057</v>
          </cell>
          <cell r="CB38">
            <v>26.336246235371831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O39">
            <v>36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V39">
            <v>36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C39">
            <v>36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L39">
            <v>36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S39">
            <v>36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Q39">
            <v>62.233138599165841</v>
          </cell>
          <cell r="BR39">
            <v>61.094363540297287</v>
          </cell>
          <cell r="BS39">
            <v>59.843011412474425</v>
          </cell>
          <cell r="BT39">
            <v>58.455174432146173</v>
          </cell>
          <cell r="BU39">
            <v>56.931905949406854</v>
          </cell>
          <cell r="BX39">
            <v>24.338224722802163</v>
          </cell>
          <cell r="BY39">
            <v>24.874135482075868</v>
          </cell>
          <cell r="BZ39">
            <v>25.442715250695745</v>
          </cell>
          <cell r="CA39">
            <v>26.0995934757591</v>
          </cell>
          <cell r="CB39">
            <v>26.766316250847538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O40">
            <v>37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V40">
            <v>37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C40">
            <v>37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L40">
            <v>37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S40">
            <v>37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Q40">
            <v>64.359497111737156</v>
          </cell>
          <cell r="BR40">
            <v>63.209317326948991</v>
          </cell>
          <cell r="BS40">
            <v>61.962579408406434</v>
          </cell>
          <cell r="BT40">
            <v>60.595449466932955</v>
          </cell>
          <cell r="BU40">
            <v>59.095772172790291</v>
          </cell>
          <cell r="BX40">
            <v>24.790207436719726</v>
          </cell>
          <cell r="BY40">
            <v>25.311453581089211</v>
          </cell>
          <cell r="BZ40">
            <v>25.904599594946017</v>
          </cell>
          <cell r="CA40">
            <v>26.520408035249631</v>
          </cell>
          <cell r="CB40">
            <v>27.220389775920598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O41">
            <v>38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V41">
            <v>38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C41">
            <v>38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L41">
            <v>38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S41">
            <v>38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Q41">
            <v>66.487641207576758</v>
          </cell>
          <cell r="BR41">
            <v>65.328126673719694</v>
          </cell>
          <cell r="BS41">
            <v>64.062055525287363</v>
          </cell>
          <cell r="BT41">
            <v>62.675920173751969</v>
          </cell>
          <cell r="BU41">
            <v>61.182714958690575</v>
          </cell>
          <cell r="BX41">
            <v>25.233890826430223</v>
          </cell>
          <cell r="BY41">
            <v>25.758552007948477</v>
          </cell>
          <cell r="BZ41">
            <v>26.328232260907932</v>
          </cell>
          <cell r="CA41">
            <v>26.972253230365787</v>
          </cell>
          <cell r="CB41">
            <v>27.655588848776532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O42">
            <v>39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V42">
            <v>39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C42">
            <v>39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L42">
            <v>39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S42">
            <v>39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Q42">
            <v>68.617325920549462</v>
          </cell>
          <cell r="BR42">
            <v>67.444013295864096</v>
          </cell>
          <cell r="BS42">
            <v>66.152018816255293</v>
          </cell>
          <cell r="BT42">
            <v>64.756218484668864</v>
          </cell>
          <cell r="BU42">
            <v>63.227467500622204</v>
          </cell>
          <cell r="BX42">
            <v>25.676063828071452</v>
          </cell>
          <cell r="BY42">
            <v>26.19708330565534</v>
          </cell>
          <cell r="BZ42">
            <v>26.766006813599326</v>
          </cell>
          <cell r="CA42">
            <v>27.396883495694844</v>
          </cell>
          <cell r="CB42">
            <v>28.116418470149469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O43">
            <v>40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V43">
            <v>40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C43">
            <v>40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L43">
            <v>40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S43">
            <v>40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Q43">
            <v>70.748339784677938</v>
          </cell>
          <cell r="BR43">
            <v>69.615263433680354</v>
          </cell>
          <cell r="BS43">
            <v>68.367495331711169</v>
          </cell>
          <cell r="BT43">
            <v>66.978083215330415</v>
          </cell>
          <cell r="BU43">
            <v>65.42062527862636</v>
          </cell>
          <cell r="BX43">
            <v>26.127796402772656</v>
          </cell>
          <cell r="BY43">
            <v>26.626710211681832</v>
          </cell>
          <cell r="BZ43">
            <v>27.210732057225155</v>
          </cell>
          <cell r="CA43">
            <v>27.863833570485102</v>
          </cell>
          <cell r="CB43">
            <v>28.568390277483555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O44">
            <v>41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V44">
            <v>41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C44">
            <v>41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L44">
            <v>41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S44">
            <v>41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Q44">
            <v>72.880500265925534</v>
          </cell>
          <cell r="BR44">
            <v>71.728439272842749</v>
          </cell>
          <cell r="BS44">
            <v>70.476853761910021</v>
          </cell>
          <cell r="BT44">
            <v>69.13548950479607</v>
          </cell>
          <cell r="BU44">
            <v>67.614538970700607</v>
          </cell>
          <cell r="BX44">
            <v>26.560612527540403</v>
          </cell>
          <cell r="BY44">
            <v>27.085909727083454</v>
          </cell>
          <cell r="BZ44">
            <v>27.660585260415356</v>
          </cell>
          <cell r="CA44">
            <v>28.314646355865854</v>
          </cell>
          <cell r="CB44">
            <v>29.053470241147885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O45">
            <v>42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V45">
            <v>42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C45">
            <v>42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L45">
            <v>42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S45">
            <v>42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Q45">
            <v>75.012735728019962</v>
          </cell>
          <cell r="BR45">
            <v>73.895779769437553</v>
          </cell>
          <cell r="BS45">
            <v>72.65984060067882</v>
          </cell>
          <cell r="BT45">
            <v>71.293724037797247</v>
          </cell>
          <cell r="BU45">
            <v>69.810299559768239</v>
          </cell>
          <cell r="BX45">
            <v>27.020882333389096</v>
          </cell>
          <cell r="BY45">
            <v>27.534650375663031</v>
          </cell>
          <cell r="BZ45">
            <v>28.133393592464987</v>
          </cell>
          <cell r="CA45">
            <v>28.789161632421735</v>
          </cell>
          <cell r="CB45">
            <v>29.507063914299049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O46">
            <v>43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V46">
            <v>43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C46">
            <v>43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L46">
            <v>43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S46">
            <v>43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Q46">
            <v>77.137764615612369</v>
          </cell>
          <cell r="BR46">
            <v>76.018081402346411</v>
          </cell>
          <cell r="BS46">
            <v>74.771148405180824</v>
          </cell>
          <cell r="BT46">
            <v>73.446658299619131</v>
          </cell>
          <cell r="BU46">
            <v>71.964465094771541</v>
          </cell>
          <cell r="BX46">
            <v>27.444759493295177</v>
          </cell>
          <cell r="BY46">
            <v>27.999026312380973</v>
          </cell>
          <cell r="BZ46">
            <v>28.572743465906495</v>
          </cell>
          <cell r="CA46">
            <v>29.228371965502063</v>
          </cell>
          <cell r="CB46">
            <v>29.964225263024609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O47">
            <v>44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V47">
            <v>44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C47">
            <v>44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L47">
            <v>44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S47">
            <v>44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Q47">
            <v>79.263479982320931</v>
          </cell>
          <cell r="BR47">
            <v>78.132225077256265</v>
          </cell>
          <cell r="BS47">
            <v>76.889385936298638</v>
          </cell>
          <cell r="BT47">
            <v>75.547388626818275</v>
          </cell>
          <cell r="BU47">
            <v>74.085064391446963</v>
          </cell>
          <cell r="BX47">
            <v>27.899059784657766</v>
          </cell>
          <cell r="BY47">
            <v>28.42242948848067</v>
          </cell>
          <cell r="BZ47">
            <v>29.029679451959648</v>
          </cell>
          <cell r="CA47">
            <v>29.665539289707144</v>
          </cell>
          <cell r="CB47">
            <v>30.383161594939057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O48">
            <v>45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V48">
            <v>45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C48">
            <v>45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L48">
            <v>45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S48">
            <v>45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Q48">
            <v>81.389787349771211</v>
          </cell>
          <cell r="BR48">
            <v>80.245839937472738</v>
          </cell>
          <cell r="BS48">
            <v>78.990840028799411</v>
          </cell>
          <cell r="BT48">
            <v>77.645290038760592</v>
          </cell>
          <cell r="BU48">
            <v>76.140895902703022</v>
          </cell>
          <cell r="BX48">
            <v>28.329224478524736</v>
          </cell>
          <cell r="BY48">
            <v>28.87680933825774</v>
          </cell>
          <cell r="BZ48">
            <v>29.451960522840583</v>
          </cell>
          <cell r="CA48">
            <v>30.116236887917406</v>
          </cell>
          <cell r="CB48">
            <v>30.827767428124027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O49">
            <v>46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V49">
            <v>46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C49">
            <v>46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L49">
            <v>46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S49">
            <v>46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Q49">
            <v>83.516605196495291</v>
          </cell>
          <cell r="BR49">
            <v>82.409830559291493</v>
          </cell>
          <cell r="BS49">
            <v>81.207352055772077</v>
          </cell>
          <cell r="BT49">
            <v>79.853954326796469</v>
          </cell>
          <cell r="BU49">
            <v>78.340013067243973</v>
          </cell>
          <cell r="BX49">
            <v>28.77435892693326</v>
          </cell>
          <cell r="BY49">
            <v>29.307110785373723</v>
          </cell>
          <cell r="BZ49">
            <v>29.901500340512762</v>
          </cell>
          <cell r="CA49">
            <v>30.541959062513101</v>
          </cell>
          <cell r="CB49">
            <v>31.241319778905254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O50">
            <v>47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V50">
            <v>47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C50">
            <v>47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L50">
            <v>47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S50">
            <v>47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Q50">
            <v>85.643863186592412</v>
          </cell>
          <cell r="BR50">
            <v>84.53544812855209</v>
          </cell>
          <cell r="BS50">
            <v>83.32493049129468</v>
          </cell>
          <cell r="BT50">
            <v>82.027450452783569</v>
          </cell>
          <cell r="BU50">
            <v>80.54663523468885</v>
          </cell>
          <cell r="BX50">
            <v>29.214575269515649</v>
          </cell>
          <cell r="BY50">
            <v>29.749456349782722</v>
          </cell>
          <cell r="BZ50">
            <v>30.328427037480733</v>
          </cell>
          <cell r="CA50">
            <v>30.996355742175876</v>
          </cell>
          <cell r="CB50">
            <v>31.657589077576048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O51">
            <v>48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V51">
            <v>48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C51">
            <v>48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L51">
            <v>48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S51">
            <v>48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Q51">
            <v>87.771500639866005</v>
          </cell>
          <cell r="BR51">
            <v>86.672065508292405</v>
          </cell>
          <cell r="BS51">
            <v>85.481735065071589</v>
          </cell>
          <cell r="BT51">
            <v>84.173317183629351</v>
          </cell>
          <cell r="BU51">
            <v>82.729418319864251</v>
          </cell>
          <cell r="BX51">
            <v>29.65092898211061</v>
          </cell>
          <cell r="BY51">
            <v>30.186017902912305</v>
          </cell>
          <cell r="BZ51">
            <v>30.771956904722533</v>
          </cell>
          <cell r="CA51">
            <v>31.395003378607552</v>
          </cell>
          <cell r="CB51">
            <v>32.084842711724434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O52">
            <v>49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V52">
            <v>49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C52">
            <v>49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L52">
            <v>49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S52">
            <v>49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Q52">
            <v>89.899465210602642</v>
          </cell>
          <cell r="BR52">
            <v>88.787413007435532</v>
          </cell>
          <cell r="BS52">
            <v>87.591558541772201</v>
          </cell>
          <cell r="BT52">
            <v>86.275030259152317</v>
          </cell>
          <cell r="BU52">
            <v>84.851224267970963</v>
          </cell>
          <cell r="BX52">
            <v>30.101255625879666</v>
          </cell>
          <cell r="BY52">
            <v>30.620606377192669</v>
          </cell>
          <cell r="BZ52">
            <v>31.200336585588083</v>
          </cell>
          <cell r="CA52">
            <v>31.820892668144523</v>
          </cell>
          <cell r="CB52">
            <v>32.512459036550872</v>
          </cell>
        </row>
        <row r="53">
          <cell r="F53">
            <v>51</v>
          </cell>
          <cell r="G53">
            <v>33.296750801161366</v>
          </cell>
          <cell r="I53">
            <v>51</v>
          </cell>
          <cell r="J53">
            <v>681.65492699983838</v>
          </cell>
          <cell r="K53">
            <v>1.1599999999999999</v>
          </cell>
          <cell r="N53">
            <v>60</v>
          </cell>
          <cell r="O53">
            <v>50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V53">
            <v>50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C53">
            <v>50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L53">
            <v>50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S53">
            <v>50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Q53">
            <v>92.02585597384136</v>
          </cell>
          <cell r="BR53">
            <v>91.028813161489012</v>
          </cell>
          <cell r="BS53">
            <v>89.944796604838743</v>
          </cell>
          <cell r="BT53">
            <v>88.648964439402022</v>
          </cell>
          <cell r="BU53">
            <v>87.254811090446921</v>
          </cell>
          <cell r="BX53">
            <v>30.529187213831889</v>
          </cell>
          <cell r="BY53">
            <v>31.07439649010124</v>
          </cell>
          <cell r="BZ53">
            <v>31.622732396398735</v>
          </cell>
          <cell r="CA53">
            <v>32.254400792232055</v>
          </cell>
          <cell r="CB53">
            <v>32.979479362275733</v>
          </cell>
        </row>
        <row r="54">
          <cell r="F54">
            <v>52</v>
          </cell>
          <cell r="G54">
            <v>35.758347359905123</v>
          </cell>
          <cell r="I54">
            <v>52</v>
          </cell>
          <cell r="J54">
            <v>789.85301886939453</v>
          </cell>
          <cell r="K54">
            <v>1.17</v>
          </cell>
          <cell r="N54">
            <v>61</v>
          </cell>
          <cell r="O54">
            <v>51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V54">
            <v>51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C54">
            <v>51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L54">
            <v>51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S54">
            <v>51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Q54">
            <v>94.145740969946885</v>
          </cell>
          <cell r="BR54">
            <v>93.183924727109627</v>
          </cell>
          <cell r="BS54">
            <v>92.135531632926771</v>
          </cell>
          <cell r="BT54">
            <v>91.002520783186228</v>
          </cell>
          <cell r="BU54">
            <v>89.726519272163628</v>
          </cell>
          <cell r="BX54">
            <v>30.987832933580094</v>
          </cell>
          <cell r="BY54">
            <v>31.478003617690753</v>
          </cell>
          <cell r="BZ54">
            <v>32.061058431778378</v>
          </cell>
          <cell r="CA54">
            <v>32.691861136941853</v>
          </cell>
          <cell r="CB54">
            <v>33.39192659810282</v>
          </cell>
        </row>
        <row r="55">
          <cell r="F55">
            <v>53</v>
          </cell>
          <cell r="G55">
            <v>38.396621227037308</v>
          </cell>
          <cell r="I55">
            <v>53</v>
          </cell>
          <cell r="J55">
            <v>915.14532082292135</v>
          </cell>
          <cell r="K55">
            <v>1.18</v>
          </cell>
          <cell r="N55">
            <v>62</v>
          </cell>
          <cell r="O55">
            <v>52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V55">
            <v>52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C55">
            <v>52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L55">
            <v>52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S55">
            <v>52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Q55">
            <v>96.265821375882837</v>
          </cell>
          <cell r="BR55">
            <v>95.320056465518832</v>
          </cell>
          <cell r="BS55">
            <v>94.309081972684396</v>
          </cell>
          <cell r="BT55">
            <v>93.208444061349098</v>
          </cell>
          <cell r="BU55">
            <v>92.03038330510195</v>
          </cell>
          <cell r="BX55">
            <v>31.409452382022582</v>
          </cell>
          <cell r="BY55">
            <v>31.937003907261929</v>
          </cell>
          <cell r="BZ55">
            <v>32.503757225034654</v>
          </cell>
          <cell r="CA55">
            <v>33.154875618998368</v>
          </cell>
          <cell r="CB55">
            <v>33.843039941845369</v>
          </cell>
        </row>
        <row r="56">
          <cell r="F56">
            <v>54</v>
          </cell>
          <cell r="G56">
            <v>41.224253144732614</v>
          </cell>
          <cell r="I56">
            <v>54</v>
          </cell>
          <cell r="J56">
            <v>1060.2230944101252</v>
          </cell>
          <cell r="K56">
            <v>1.19</v>
          </cell>
          <cell r="N56">
            <v>63</v>
          </cell>
          <cell r="O56">
            <v>53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V56">
            <v>53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C56">
            <v>53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L56">
            <v>53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S56">
            <v>53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Q56">
            <v>98.386070168033314</v>
          </cell>
          <cell r="BR56">
            <v>97.463615621461287</v>
          </cell>
          <cell r="BS56">
            <v>96.485848981556117</v>
          </cell>
          <cell r="BT56">
            <v>95.421390644954613</v>
          </cell>
          <cell r="BU56">
            <v>94.2564978309629</v>
          </cell>
          <cell r="BX56">
            <v>31.859430310817384</v>
          </cell>
          <cell r="BY56">
            <v>32.373698557428163</v>
          </cell>
          <cell r="BZ56">
            <v>32.983145201793022</v>
          </cell>
          <cell r="CA56">
            <v>33.587424938353614</v>
          </cell>
          <cell r="CB56">
            <v>34.274966559784382</v>
          </cell>
        </row>
        <row r="57">
          <cell r="F57">
            <v>55</v>
          </cell>
          <cell r="G57">
            <v>44.254833995939045</v>
          </cell>
          <cell r="I57">
            <v>55</v>
          </cell>
          <cell r="J57">
            <v>1228.2</v>
          </cell>
          <cell r="K57">
            <v>1.2</v>
          </cell>
          <cell r="N57">
            <v>64</v>
          </cell>
          <cell r="O57">
            <v>54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V57">
            <v>54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C57">
            <v>54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L57">
            <v>54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S57">
            <v>54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Q57">
            <v>100.5064640446531</v>
          </cell>
          <cell r="BR57">
            <v>99.5379191894814</v>
          </cell>
          <cell r="BS57">
            <v>98.506974116675693</v>
          </cell>
          <cell r="BT57">
            <v>97.444645169634811</v>
          </cell>
          <cell r="BU57">
            <v>96.315276464549527</v>
          </cell>
          <cell r="BX57">
            <v>32.291963103880526</v>
          </cell>
          <cell r="BY57">
            <v>32.832647261636957</v>
          </cell>
          <cell r="BZ57">
            <v>33.39527305342645</v>
          </cell>
          <cell r="CA57">
            <v>34.031395739895665</v>
          </cell>
          <cell r="CB57">
            <v>34.686702458597871</v>
          </cell>
        </row>
        <row r="58">
          <cell r="F58">
            <v>56</v>
          </cell>
          <cell r="G58">
            <v>47.502930128332721</v>
          </cell>
          <cell r="I58">
            <v>56</v>
          </cell>
          <cell r="J58">
            <v>1422.6782097755249</v>
          </cell>
          <cell r="K58">
            <v>1.21</v>
          </cell>
          <cell r="N58">
            <v>65</v>
          </cell>
          <cell r="O58">
            <v>55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V58">
            <v>55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C58">
            <v>55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L58">
            <v>55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S58">
            <v>55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Q58">
            <v>102.62698291511826</v>
          </cell>
          <cell r="BR58">
            <v>101.66666489356477</v>
          </cell>
          <cell r="BS58">
            <v>100.60993958592766</v>
          </cell>
          <cell r="BT58">
            <v>99.483765111599226</v>
          </cell>
          <cell r="BU58">
            <v>98.289119177560053</v>
          </cell>
          <cell r="BX58">
            <v>32.733609014843147</v>
          </cell>
          <cell r="BY58">
            <v>33.259468274083204</v>
          </cell>
          <cell r="BZ58">
            <v>33.828861415776679</v>
          </cell>
          <cell r="CA58">
            <v>34.436170958710932</v>
          </cell>
          <cell r="CB58">
            <v>35.119323824093144</v>
          </cell>
        </row>
        <row r="59">
          <cell r="F59">
            <v>57</v>
          </cell>
          <cell r="G59">
            <v>50.984153366799077</v>
          </cell>
          <cell r="I59">
            <v>57</v>
          </cell>
          <cell r="J59">
            <v>1647.8248427703616</v>
          </cell>
          <cell r="K59">
            <v>1.22</v>
          </cell>
          <cell r="N59">
            <v>66</v>
          </cell>
          <cell r="O59">
            <v>56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V59">
            <v>56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C59">
            <v>56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L59">
            <v>56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S59">
            <v>56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Q59">
            <v>104.74760945904168</v>
          </cell>
          <cell r="BR59">
            <v>103.83698778121276</v>
          </cell>
          <cell r="BS59">
            <v>102.85713143900996</v>
          </cell>
          <cell r="BT59">
            <v>101.75206987035675</v>
          </cell>
          <cell r="BU59">
            <v>100.52336200343598</v>
          </cell>
          <cell r="BX59">
            <v>33.176892907302189</v>
          </cell>
          <cell r="BY59">
            <v>33.68650047037341</v>
          </cell>
          <cell r="BZ59">
            <v>34.252426803545553</v>
          </cell>
          <cell r="CA59">
            <v>34.869671993596455</v>
          </cell>
          <cell r="CB59">
            <v>35.555098518625485</v>
          </cell>
        </row>
        <row r="60">
          <cell r="F60">
            <v>58</v>
          </cell>
          <cell r="G60">
            <v>54.715236050951923</v>
          </cell>
          <cell r="I60">
            <v>58</v>
          </cell>
          <cell r="J60">
            <v>1908.4603298511749</v>
          </cell>
          <cell r="K60">
            <v>1.23</v>
          </cell>
          <cell r="N60">
            <v>67</v>
          </cell>
          <cell r="O60">
            <v>57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V60">
            <v>57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C60">
            <v>57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L60">
            <v>57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S60">
            <v>57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Q60">
            <v>106.86832874572353</v>
          </cell>
          <cell r="BR60">
            <v>105.93060744042049</v>
          </cell>
          <cell r="BS60">
            <v>104.93378702762401</v>
          </cell>
          <cell r="BT60">
            <v>103.87052361677672</v>
          </cell>
          <cell r="BU60">
            <v>102.71853803916484</v>
          </cell>
          <cell r="BX60">
            <v>33.610521693288518</v>
          </cell>
          <cell r="BY60">
            <v>34.136006917064577</v>
          </cell>
          <cell r="BZ60">
            <v>34.683321882159184</v>
          </cell>
          <cell r="CA60">
            <v>35.308560867691789</v>
          </cell>
          <cell r="CB60">
            <v>36.028038378653754</v>
          </cell>
        </row>
        <row r="61">
          <cell r="F61">
            <v>59</v>
          </cell>
          <cell r="G61">
            <v>58.714111458355703</v>
          </cell>
          <cell r="I61">
            <v>59</v>
          </cell>
          <cell r="J61">
            <v>2210.1605665017755</v>
          </cell>
          <cell r="K61">
            <v>1.24</v>
          </cell>
          <cell r="N61">
            <v>68</v>
          </cell>
          <cell r="O61">
            <v>58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V61">
            <v>58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C61">
            <v>58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L61">
            <v>58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S61">
            <v>58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Q61">
            <v>108.98912790570419</v>
          </cell>
          <cell r="BR61">
            <v>108.05706415648734</v>
          </cell>
          <cell r="BS61">
            <v>107.0450185423547</v>
          </cell>
          <cell r="BT61">
            <v>105.98041084497018</v>
          </cell>
          <cell r="BU61">
            <v>104.81855388022134</v>
          </cell>
          <cell r="BX61">
            <v>34.064362584006396</v>
          </cell>
          <cell r="BY61">
            <v>34.555333392643561</v>
          </cell>
          <cell r="BZ61">
            <v>35.132313012164516</v>
          </cell>
          <cell r="CA61">
            <v>35.773967769083114</v>
          </cell>
          <cell r="CB61">
            <v>36.465928362136154</v>
          </cell>
        </row>
        <row r="62">
          <cell r="F62">
            <v>60</v>
          </cell>
          <cell r="G62">
            <v>63</v>
          </cell>
          <cell r="I62">
            <v>60</v>
          </cell>
          <cell r="J62">
            <v>2559.375</v>
          </cell>
          <cell r="K62">
            <v>1.25</v>
          </cell>
          <cell r="N62">
            <v>69</v>
          </cell>
          <cell r="O62">
            <v>59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V62">
            <v>59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C62">
            <v>59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L62">
            <v>59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S62">
            <v>59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Q62">
            <v>111.10262975447033</v>
          </cell>
          <cell r="BR62">
            <v>110.20947507564244</v>
          </cell>
          <cell r="BS62">
            <v>109.25629876969376</v>
          </cell>
          <cell r="BT62">
            <v>108.20567887066987</v>
          </cell>
          <cell r="BU62">
            <v>107.05837602863994</v>
          </cell>
          <cell r="BX62">
            <v>34.490270152469755</v>
          </cell>
          <cell r="BY62">
            <v>35.017122693980703</v>
          </cell>
          <cell r="BZ62">
            <v>35.590118732830298</v>
          </cell>
          <cell r="CA62">
            <v>36.233346855347108</v>
          </cell>
          <cell r="CB62">
            <v>36.948702736645387</v>
          </cell>
        </row>
        <row r="63">
          <cell r="F63">
            <v>61</v>
          </cell>
          <cell r="G63">
            <v>67.593501602322732</v>
          </cell>
          <cell r="I63">
            <v>61</v>
          </cell>
          <cell r="J63">
            <v>2963.5631311027469</v>
          </cell>
          <cell r="K63">
            <v>1.26</v>
          </cell>
          <cell r="N63">
            <v>70</v>
          </cell>
          <cell r="O63">
            <v>60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V63">
            <v>60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C63">
            <v>60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L63">
            <v>60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S63">
            <v>60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Q63">
            <v>113.21545878873063</v>
          </cell>
          <cell r="BR63">
            <v>112.29538714242203</v>
          </cell>
          <cell r="BS63">
            <v>111.32275250484524</v>
          </cell>
          <cell r="BT63">
            <v>110.29731048917512</v>
          </cell>
          <cell r="BU63">
            <v>109.19465210702913</v>
          </cell>
          <cell r="BX63">
            <v>34.946746581842135</v>
          </cell>
          <cell r="BY63">
            <v>35.462275685369235</v>
          </cell>
          <cell r="BZ63">
            <v>36.065833153381824</v>
          </cell>
          <cell r="CA63">
            <v>36.696861105963713</v>
          </cell>
          <cell r="CB63">
            <v>37.417758642742506</v>
          </cell>
        </row>
        <row r="64">
          <cell r="F64">
            <v>62</v>
          </cell>
          <cell r="G64">
            <v>72.516694719810218</v>
          </cell>
          <cell r="I64">
            <v>62</v>
          </cell>
          <cell r="J64">
            <v>3431.3522956038646</v>
          </cell>
          <cell r="K64">
            <v>1.27</v>
          </cell>
          <cell r="N64">
            <v>71</v>
          </cell>
          <cell r="O64">
            <v>61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V64">
            <v>61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C64">
            <v>61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L64">
            <v>61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S64">
            <v>61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Q64">
            <v>115.32833539528137</v>
          </cell>
          <cell r="BR64">
            <v>114.41842394774007</v>
          </cell>
          <cell r="BS64">
            <v>113.42974477170841</v>
          </cell>
          <cell r="BT64">
            <v>112.37441833838224</v>
          </cell>
          <cell r="BU64">
            <v>111.23877737165789</v>
          </cell>
          <cell r="BX64">
            <v>35.39948832484999</v>
          </cell>
          <cell r="BY64">
            <v>35.951121278937144</v>
          </cell>
          <cell r="BZ64">
            <v>36.523226353203405</v>
          </cell>
          <cell r="CA64">
            <v>37.177648787597903</v>
          </cell>
          <cell r="CB64">
            <v>37.899048700813722</v>
          </cell>
        </row>
        <row r="65">
          <cell r="F65">
            <v>63</v>
          </cell>
          <cell r="G65">
            <v>77.793242454074615</v>
          </cell>
          <cell r="I65">
            <v>63</v>
          </cell>
          <cell r="J65">
            <v>3972.7200361130153</v>
          </cell>
          <cell r="K65">
            <v>1.28</v>
          </cell>
          <cell r="N65">
            <v>72</v>
          </cell>
          <cell r="O65">
            <v>62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V65">
            <v>62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C65">
            <v>62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L65">
            <v>62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S65">
            <v>62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Q65">
            <v>117.44125295293078</v>
          </cell>
          <cell r="BR65">
            <v>116.57008716694446</v>
          </cell>
          <cell r="BS65">
            <v>115.63935175516689</v>
          </cell>
          <cell r="BT65">
            <v>114.60606674176169</v>
          </cell>
          <cell r="BU65">
            <v>113.4549371467006</v>
          </cell>
          <cell r="BX65">
            <v>35.879946954767739</v>
          </cell>
          <cell r="BY65">
            <v>36.404595889192997</v>
          </cell>
          <cell r="BZ65">
            <v>37.015987444264518</v>
          </cell>
          <cell r="CA65">
            <v>37.65260406528229</v>
          </cell>
          <cell r="CB65">
            <v>38.389532424015663</v>
          </cell>
        </row>
        <row r="66">
          <cell r="F66">
            <v>64</v>
          </cell>
          <cell r="G66">
            <v>83.4485062894652</v>
          </cell>
          <cell r="I66">
            <v>64</v>
          </cell>
          <cell r="J66">
            <v>4599.2048883665893</v>
          </cell>
          <cell r="K66">
            <v>1.29</v>
          </cell>
          <cell r="N66">
            <v>73</v>
          </cell>
          <cell r="O66">
            <v>63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V66">
            <v>63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C66">
            <v>63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L66">
            <v>63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S66">
            <v>63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Q66">
            <v>119.55420575752977</v>
          </cell>
          <cell r="BR66">
            <v>118.67207694028556</v>
          </cell>
          <cell r="BS66">
            <v>117.73975971101574</v>
          </cell>
          <cell r="BT66">
            <v>116.73393678080937</v>
          </cell>
          <cell r="BU66">
            <v>115.65492353979617</v>
          </cell>
          <cell r="BX66">
            <v>36.340586819184892</v>
          </cell>
          <cell r="BY66">
            <v>36.891430076047094</v>
          </cell>
          <cell r="BZ66">
            <v>37.472329150700546</v>
          </cell>
          <cell r="CA66">
            <v>38.143685709059689</v>
          </cell>
          <cell r="CB66">
            <v>38.883046871454752</v>
          </cell>
        </row>
        <row r="67">
          <cell r="F67">
            <v>65</v>
          </cell>
          <cell r="G67">
            <v>89.509667991878061</v>
          </cell>
          <cell r="I67">
            <v>65</v>
          </cell>
          <cell r="J67">
            <v>5324.1500000000005</v>
          </cell>
          <cell r="K67">
            <v>1.3</v>
          </cell>
          <cell r="N67">
            <v>74</v>
          </cell>
          <cell r="O67">
            <v>64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V67">
            <v>64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C67">
            <v>64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L67">
            <v>64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S67">
            <v>64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Q67">
            <v>121.66718889550316</v>
          </cell>
          <cell r="BR67">
            <v>120.7875236036714</v>
          </cell>
          <cell r="BS67">
            <v>119.82684914766305</v>
          </cell>
          <cell r="BT67">
            <v>118.81193261353252</v>
          </cell>
          <cell r="BU67">
            <v>117.74192085001619</v>
          </cell>
          <cell r="BX67">
            <v>36.816594496836878</v>
          </cell>
          <cell r="BY67">
            <v>37.353752318195028</v>
          </cell>
          <cell r="BZ67">
            <v>37.96668081559784</v>
          </cell>
          <cell r="CA67">
            <v>38.619769456836295</v>
          </cell>
          <cell r="CB67">
            <v>39.342673018124934</v>
          </cell>
        </row>
        <row r="68">
          <cell r="F68">
            <v>66</v>
          </cell>
          <cell r="G68">
            <v>96.005860256665443</v>
          </cell>
          <cell r="I68">
            <v>66</v>
          </cell>
          <cell r="J68">
            <v>6162.9846853088866</v>
          </cell>
          <cell r="K68">
            <v>1.31</v>
          </cell>
          <cell r="N68">
            <v>75</v>
          </cell>
          <cell r="O68">
            <v>65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V68">
            <v>65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C68">
            <v>65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L68">
            <v>65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S68">
            <v>65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Q68">
            <v>123.78019813475611</v>
          </cell>
          <cell r="BR68">
            <v>122.94202904218383</v>
          </cell>
          <cell r="BS68">
            <v>122.04564028811234</v>
          </cell>
          <cell r="BT68">
            <v>121.05089677308304</v>
          </cell>
          <cell r="BU68">
            <v>119.95354120546152</v>
          </cell>
          <cell r="BX68">
            <v>37.281858261446175</v>
          </cell>
          <cell r="BY68">
            <v>37.830182618345603</v>
          </cell>
          <cell r="BZ68">
            <v>38.434433483033168</v>
          </cell>
          <cell r="CA68">
            <v>39.10574775257124</v>
          </cell>
          <cell r="CB68">
            <v>39.788896264020153</v>
          </cell>
        </row>
        <row r="69">
          <cell r="F69">
            <v>67</v>
          </cell>
          <cell r="G69">
            <v>102.96830673359811</v>
          </cell>
          <cell r="I69">
            <v>67</v>
          </cell>
          <cell r="J69">
            <v>7133.5498113340191</v>
          </cell>
          <cell r="K69">
            <v>1.32</v>
          </cell>
          <cell r="N69">
            <v>76</v>
          </cell>
          <cell r="O69">
            <v>66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V69">
            <v>66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C69">
            <v>66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L69">
            <v>66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S69">
            <v>66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Q69">
            <v>125.89322983057725</v>
          </cell>
          <cell r="BR69">
            <v>125.03207854890056</v>
          </cell>
          <cell r="BS69">
            <v>124.09865268465654</v>
          </cell>
          <cell r="BT69">
            <v>123.12386763900987</v>
          </cell>
          <cell r="BU69">
            <v>122.09304851303449</v>
          </cell>
          <cell r="BX69">
            <v>37.753500482504599</v>
          </cell>
          <cell r="BY69">
            <v>38.299957868613873</v>
          </cell>
          <cell r="BZ69">
            <v>38.923795989405541</v>
          </cell>
          <cell r="CA69">
            <v>39.54248642883109</v>
          </cell>
          <cell r="CB69">
            <v>40.250881200683118</v>
          </cell>
        </row>
        <row r="70">
          <cell r="F70">
            <v>68</v>
          </cell>
          <cell r="G70">
            <v>110.43047210190386</v>
          </cell>
          <cell r="I70">
            <v>68</v>
          </cell>
          <cell r="J70">
            <v>8256.4738250473602</v>
          </cell>
          <cell r="K70">
            <v>1.33</v>
          </cell>
          <cell r="N70">
            <v>77</v>
          </cell>
          <cell r="O70">
            <v>67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V70">
            <v>67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C70">
            <v>67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L70">
            <v>67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S70">
            <v>67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Q70">
            <v>128.00586023511804</v>
          </cell>
          <cell r="BR70">
            <v>127.12838978012395</v>
          </cell>
          <cell r="BS70">
            <v>126.19151638854794</v>
          </cell>
          <cell r="BT70">
            <v>125.19410714767859</v>
          </cell>
          <cell r="BU70">
            <v>124.11624751239822</v>
          </cell>
          <cell r="BX70">
            <v>38.223420039247138</v>
          </cell>
          <cell r="BY70">
            <v>38.778836653495254</v>
          </cell>
          <cell r="BZ70">
            <v>39.366722334610458</v>
          </cell>
          <cell r="CA70">
            <v>40.008845309680844</v>
          </cell>
          <cell r="CB70">
            <v>40.704888716037352</v>
          </cell>
        </row>
        <row r="71">
          <cell r="F71">
            <v>69</v>
          </cell>
          <cell r="G71">
            <v>118.42822291671132</v>
          </cell>
          <cell r="I71">
            <v>69</v>
          </cell>
          <cell r="J71">
            <v>9555.6072874592737</v>
          </cell>
          <cell r="K71">
            <v>1.34</v>
          </cell>
          <cell r="N71">
            <v>78</v>
          </cell>
          <cell r="O71">
            <v>68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V71">
            <v>68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C71">
            <v>68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L71">
            <v>68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S71">
            <v>68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Q71">
            <v>130.11135606394996</v>
          </cell>
          <cell r="BR71">
            <v>129.28753527830008</v>
          </cell>
          <cell r="BS71">
            <v>128.41849022048493</v>
          </cell>
          <cell r="BT71">
            <v>127.45983734027742</v>
          </cell>
          <cell r="BU71">
            <v>126.37501502290067</v>
          </cell>
          <cell r="BX71">
            <v>38.690779383138512</v>
          </cell>
          <cell r="BY71">
            <v>39.238919857187803</v>
          </cell>
          <cell r="BZ71">
            <v>39.813229873395798</v>
          </cell>
          <cell r="CA71">
            <v>40.450201830884396</v>
          </cell>
          <cell r="CB71">
            <v>41.159720729358739</v>
          </cell>
        </row>
        <row r="72">
          <cell r="F72">
            <v>70</v>
          </cell>
          <cell r="G72">
            <v>127</v>
          </cell>
          <cell r="I72">
            <v>70</v>
          </cell>
          <cell r="J72">
            <v>11058.525000000001</v>
          </cell>
          <cell r="K72">
            <v>1.35</v>
          </cell>
          <cell r="N72">
            <v>79</v>
          </cell>
          <cell r="O72">
            <v>69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V72">
            <v>69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C72">
            <v>69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L72">
            <v>69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S72">
            <v>69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Q72">
            <v>132.21686522535077</v>
          </cell>
          <cell r="BR72">
            <v>131.37187315551134</v>
          </cell>
          <cell r="BS72">
            <v>130.47467154691921</v>
          </cell>
          <cell r="BT72">
            <v>129.52983824261307</v>
          </cell>
          <cell r="BU72">
            <v>128.52822980669353</v>
          </cell>
          <cell r="BX72">
            <v>39.165368824198744</v>
          </cell>
          <cell r="BY72">
            <v>39.690086613900846</v>
          </cell>
          <cell r="BZ72">
            <v>40.27734947532835</v>
          </cell>
          <cell r="CA72">
            <v>40.930671141986089</v>
          </cell>
          <cell r="CB72">
            <v>41.602363103332472</v>
          </cell>
        </row>
        <row r="73">
          <cell r="F73">
            <v>71</v>
          </cell>
          <cell r="G73">
            <v>136.18700320464549</v>
          </cell>
          <cell r="I73">
            <v>71</v>
          </cell>
          <cell r="J73">
            <v>12797.106216824561</v>
          </cell>
          <cell r="K73">
            <v>1.36</v>
          </cell>
          <cell r="N73">
            <v>80</v>
          </cell>
          <cell r="O73">
            <v>70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V73">
            <v>70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C73">
            <v>70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L73">
            <v>70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S73">
            <v>70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Q73">
            <v>134.32238585092639</v>
          </cell>
          <cell r="BR73">
            <v>133.48248819741508</v>
          </cell>
          <cell r="BS73">
            <v>132.56461040487298</v>
          </cell>
          <cell r="BT73">
            <v>131.5959653197481</v>
          </cell>
          <cell r="BU73">
            <v>130.57679608675303</v>
          </cell>
          <cell r="BX73">
            <v>39.628525141348646</v>
          </cell>
          <cell r="BY73">
            <v>40.167205562734367</v>
          </cell>
          <cell r="BZ73">
            <v>40.760009392249536</v>
          </cell>
          <cell r="CA73">
            <v>41.381700810460785</v>
          </cell>
          <cell r="CB73">
            <v>42.080332137364977</v>
          </cell>
        </row>
        <row r="74">
          <cell r="F74">
            <v>72</v>
          </cell>
          <cell r="G74">
            <v>146.03338943962044</v>
          </cell>
          <cell r="I74">
            <v>72</v>
          </cell>
          <cell r="J74">
            <v>14808.205062920617</v>
          </cell>
          <cell r="K74">
            <v>1.37</v>
          </cell>
          <cell r="N74">
            <v>81</v>
          </cell>
          <cell r="O74">
            <v>71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V74">
            <v>71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C74">
            <v>71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L74">
            <v>71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S74">
            <v>71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Q74">
            <v>136.42791633259191</v>
          </cell>
          <cell r="BR74">
            <v>135.62040290082996</v>
          </cell>
          <cell r="BS74">
            <v>134.76985377611533</v>
          </cell>
          <cell r="BT74">
            <v>133.82828810970861</v>
          </cell>
          <cell r="BU74">
            <v>132.7790170152997</v>
          </cell>
          <cell r="BX74">
            <v>40.107783723382404</v>
          </cell>
          <cell r="BY74">
            <v>40.637125609793571</v>
          </cell>
          <cell r="BZ74">
            <v>41.227183381803457</v>
          </cell>
          <cell r="CA74">
            <v>41.85307774965591</v>
          </cell>
          <cell r="CB74">
            <v>42.536236620449564</v>
          </cell>
        </row>
        <row r="75">
          <cell r="F75">
            <v>73</v>
          </cell>
          <cell r="G75">
            <v>156.58648490814926</v>
          </cell>
          <cell r="I75">
            <v>73</v>
          </cell>
          <cell r="J75">
            <v>17134.425155737379</v>
          </cell>
          <cell r="K75">
            <v>1.38</v>
          </cell>
          <cell r="N75">
            <v>82</v>
          </cell>
          <cell r="O75">
            <v>72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V75">
            <v>72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C75">
            <v>72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L75">
            <v>72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S75">
            <v>72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Q75">
            <v>138.53345528648683</v>
          </cell>
          <cell r="BR75">
            <v>137.70627422196659</v>
          </cell>
          <cell r="BS75">
            <v>136.8190741194654</v>
          </cell>
          <cell r="BT75">
            <v>135.89542876835631</v>
          </cell>
          <cell r="BU75">
            <v>134.91256595481366</v>
          </cell>
          <cell r="BX75">
            <v>40.566814302636963</v>
          </cell>
          <cell r="BY75">
            <v>41.116727813554483</v>
          </cell>
          <cell r="BZ75">
            <v>41.67870926132386</v>
          </cell>
          <cell r="CA75">
            <v>42.304861384799864</v>
          </cell>
          <cell r="CB75">
            <v>43.014746184152813</v>
          </cell>
        </row>
        <row r="76">
          <cell r="F76">
            <v>74</v>
          </cell>
          <cell r="G76">
            <v>167.89701257893043</v>
          </cell>
          <cell r="I76">
            <v>74</v>
          </cell>
          <cell r="J76">
            <v>19825.014596370729</v>
          </cell>
          <cell r="K76">
            <v>1.39</v>
          </cell>
          <cell r="N76">
            <v>83</v>
          </cell>
          <cell r="O76">
            <v>73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V76">
            <v>73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C76">
            <v>73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L76">
            <v>73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S76">
            <v>73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Q76">
            <v>140.63900152187057</v>
          </cell>
          <cell r="BR76">
            <v>139.81183580038677</v>
          </cell>
          <cell r="BS76">
            <v>138.91106706435997</v>
          </cell>
          <cell r="BT76">
            <v>137.96184741964817</v>
          </cell>
          <cell r="BU76">
            <v>136.95030487715928</v>
          </cell>
          <cell r="BX76">
            <v>41.050728962151652</v>
          </cell>
          <cell r="BY76">
            <v>41.560938373564056</v>
          </cell>
          <cell r="BZ76">
            <v>42.142929396202454</v>
          </cell>
          <cell r="CA76">
            <v>42.770735222023518</v>
          </cell>
          <cell r="CB76">
            <v>43.461216869621744</v>
          </cell>
        </row>
        <row r="77">
          <cell r="F77">
            <v>75</v>
          </cell>
          <cell r="G77">
            <v>180.01933598375612</v>
          </cell>
          <cell r="I77">
            <v>75</v>
          </cell>
          <cell r="J77">
            <v>22936.899999999998</v>
          </cell>
          <cell r="K77">
            <v>1.4</v>
          </cell>
          <cell r="N77">
            <v>84</v>
          </cell>
          <cell r="O77">
            <v>74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V77">
            <v>74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C77">
            <v>74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L77">
            <v>74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S77">
            <v>74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Q77">
            <v>142.74455401431342</v>
          </cell>
          <cell r="BR77">
            <v>141.95854268233577</v>
          </cell>
          <cell r="BS77">
            <v>141.12063409703663</v>
          </cell>
          <cell r="BT77">
            <v>140.18479766698579</v>
          </cell>
          <cell r="BU77">
            <v>139.16271061168544</v>
          </cell>
          <cell r="BX77">
            <v>41.505708681037625</v>
          </cell>
          <cell r="BY77">
            <v>42.044081480508389</v>
          </cell>
          <cell r="BZ77">
            <v>42.612813526599879</v>
          </cell>
          <cell r="CA77">
            <v>43.245114997782593</v>
          </cell>
          <cell r="CB77">
            <v>43.954310083598529</v>
          </cell>
        </row>
        <row r="78">
          <cell r="F78">
            <v>76</v>
          </cell>
          <cell r="G78">
            <v>193.01172051333091</v>
          </cell>
          <cell r="I78">
            <v>76</v>
          </cell>
          <cell r="J78">
            <v>26535.88112606269</v>
          </cell>
          <cell r="K78">
            <v>1.41</v>
          </cell>
          <cell r="N78">
            <v>85</v>
          </cell>
          <cell r="O78">
            <v>75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V78">
            <v>75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C78">
            <v>75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L78">
            <v>75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S78">
            <v>75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Q78">
            <v>144.85011188259233</v>
          </cell>
          <cell r="BR78">
            <v>144.04377283559913</v>
          </cell>
          <cell r="BS78">
            <v>143.16904869712448</v>
          </cell>
          <cell r="BT78">
            <v>142.25753558451294</v>
          </cell>
          <cell r="BU78">
            <v>141.29248112662486</v>
          </cell>
          <cell r="BX78">
            <v>41.993343869731824</v>
          </cell>
          <cell r="BY78">
            <v>42.503546986076806</v>
          </cell>
          <cell r="BZ78">
            <v>43.099163240208767</v>
          </cell>
          <cell r="CA78">
            <v>43.720246163774526</v>
          </cell>
          <cell r="CB78">
            <v>44.424142211876969</v>
          </cell>
        </row>
        <row r="79">
          <cell r="F79">
            <v>77</v>
          </cell>
          <cell r="G79">
            <v>206.93661346719625</v>
          </cell>
          <cell r="I79">
            <v>77</v>
          </cell>
          <cell r="J79">
            <v>30698.011006346387</v>
          </cell>
          <cell r="K79">
            <v>1.42</v>
          </cell>
          <cell r="N79">
            <v>86</v>
          </cell>
          <cell r="O79">
            <v>76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V79">
            <v>76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C79">
            <v>76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L79">
            <v>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S79">
            <v>76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Q79">
            <v>146.95567436878142</v>
          </cell>
          <cell r="BR79">
            <v>146.1345285871148</v>
          </cell>
          <cell r="BS79">
            <v>145.25314650323406</v>
          </cell>
          <cell r="BT79">
            <v>144.32236845404299</v>
          </cell>
          <cell r="BU79">
            <v>143.33605108914449</v>
          </cell>
          <cell r="BX79">
            <v>42.445257628160959</v>
          </cell>
          <cell r="BY79">
            <v>42.990467569098698</v>
          </cell>
          <cell r="BZ79">
            <v>43.55528950171113</v>
          </cell>
          <cell r="CA79">
            <v>44.199643027024372</v>
          </cell>
          <cell r="CB79">
            <v>44.929489637728736</v>
          </cell>
        </row>
        <row r="80">
          <cell r="F80">
            <v>78</v>
          </cell>
          <cell r="G80">
            <v>221.86094420380775</v>
          </cell>
          <cell r="I80">
            <v>78</v>
          </cell>
          <cell r="J80">
            <v>35511.190322760085</v>
          </cell>
          <cell r="K80">
            <v>1.43</v>
          </cell>
          <cell r="N80">
            <v>87</v>
          </cell>
          <cell r="O80">
            <v>77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V80">
            <v>77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C80">
            <v>77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L80">
            <v>77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S80">
            <v>77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Q80">
            <v>149.05713970651243</v>
          </cell>
          <cell r="BR80">
            <v>148.27357279823164</v>
          </cell>
          <cell r="BS80">
            <v>147.45018844840658</v>
          </cell>
          <cell r="BT80">
            <v>146.55064673623977</v>
          </cell>
          <cell r="BU80">
            <v>145.53468456757108</v>
          </cell>
          <cell r="BX80">
            <v>42.928629024654093</v>
          </cell>
          <cell r="BY80">
            <v>43.44674694915556</v>
          </cell>
          <cell r="BZ80">
            <v>44.047735983456604</v>
          </cell>
          <cell r="CA80">
            <v>44.676858376824399</v>
          </cell>
          <cell r="CB80">
            <v>45.371092241532111</v>
          </cell>
        </row>
        <row r="81">
          <cell r="F81">
            <v>79</v>
          </cell>
          <cell r="G81">
            <v>237.85644583342264</v>
          </cell>
          <cell r="I81">
            <v>79</v>
          </cell>
          <cell r="J81">
            <v>41077.009235645834</v>
          </cell>
          <cell r="K81">
            <v>1.44</v>
          </cell>
          <cell r="N81">
            <v>88</v>
          </cell>
          <cell r="O81">
            <v>78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V81">
            <v>78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C81">
            <v>78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L81">
            <v>78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S81">
            <v>78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Q81">
            <v>151.15563986695878</v>
          </cell>
          <cell r="BR81">
            <v>150.36857275778672</v>
          </cell>
          <cell r="BS81">
            <v>149.53271887048692</v>
          </cell>
          <cell r="BT81">
            <v>148.64897064481843</v>
          </cell>
          <cell r="BU81">
            <v>147.71229603325094</v>
          </cell>
          <cell r="BX81">
            <v>43.385499964596733</v>
          </cell>
          <cell r="BY81">
            <v>43.930502277742427</v>
          </cell>
          <cell r="BZ81">
            <v>44.508869383463988</v>
          </cell>
          <cell r="CA81">
            <v>45.153317888009887</v>
          </cell>
          <cell r="CB81">
            <v>45.830400612131918</v>
          </cell>
        </row>
        <row r="82">
          <cell r="F82">
            <v>80</v>
          </cell>
          <cell r="G82">
            <v>255</v>
          </cell>
          <cell r="I82">
            <v>80</v>
          </cell>
          <cell r="J82">
            <v>47512.875</v>
          </cell>
          <cell r="K82">
            <v>1.45</v>
          </cell>
          <cell r="N82">
            <v>89</v>
          </cell>
          <cell r="O82">
            <v>79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V82">
            <v>79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C82">
            <v>79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L82">
            <v>79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S82">
            <v>79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Q82">
            <v>153.254142755516</v>
          </cell>
          <cell r="BR82">
            <v>152.42090057971816</v>
          </cell>
          <cell r="BS82">
            <v>151.57476523052998</v>
          </cell>
          <cell r="BT82">
            <v>150.68887650130068</v>
          </cell>
          <cell r="BU82">
            <v>149.76122007031191</v>
          </cell>
          <cell r="BX82">
            <v>43.864683073228825</v>
          </cell>
          <cell r="BY82">
            <v>44.393651798323852</v>
          </cell>
          <cell r="BZ82">
            <v>45.003918944161271</v>
          </cell>
          <cell r="CA82">
            <v>45.596669566151888</v>
          </cell>
          <cell r="CB82">
            <v>46.284169788056381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O83">
            <v>80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V83">
            <v>80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C83">
            <v>80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L83">
            <v>80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S83">
            <v>80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Q83">
            <v>155.35264798579232</v>
          </cell>
          <cell r="BR83">
            <v>154.14666602127767</v>
          </cell>
          <cell r="BS83">
            <v>153.14946182958477</v>
          </cell>
          <cell r="BT83">
            <v>152.12605579164665</v>
          </cell>
          <cell r="BU83">
            <v>151.0810487166913</v>
          </cell>
          <cell r="BX83">
            <v>44.326465623783335</v>
          </cell>
          <cell r="BY83">
            <v>44.878640998911052</v>
          </cell>
          <cell r="BZ83">
            <v>45.435402391663246</v>
          </cell>
          <cell r="CA83">
            <v>46.059542756901394</v>
          </cell>
          <cell r="CB83">
            <v>46.732532092773639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O84">
            <v>81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V84">
            <v>81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C84">
            <v>81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X84">
            <v>44.801533759886318</v>
          </cell>
          <cell r="BY84">
            <v>45.321339851414862</v>
          </cell>
          <cell r="BZ84">
            <v>45.894311889804285</v>
          </cell>
          <cell r="CA84">
            <v>46.501665826971653</v>
          </cell>
          <cell r="CB84">
            <v>47.191499408717924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O85">
            <v>82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V85">
            <v>82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C85">
            <v>82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X85">
            <v>45.268177050953859</v>
          </cell>
          <cell r="BY85">
            <v>45.789768933125814</v>
          </cell>
          <cell r="BZ85">
            <v>46.348748235109454</v>
          </cell>
          <cell r="CA85">
            <v>46.985765853689557</v>
          </cell>
          <cell r="CB85">
            <v>47.638352338376762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O86">
            <v>83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V86">
            <v>83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C86">
            <v>83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X86">
            <v>45.739201449359612</v>
          </cell>
          <cell r="BY86">
            <v>46.261326328729815</v>
          </cell>
          <cell r="BZ86">
            <v>46.836037098586509</v>
          </cell>
          <cell r="CA86">
            <v>47.435350717115057</v>
          </cell>
          <cell r="CB86">
            <v>48.115820139041681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O87">
            <v>84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V87">
            <v>84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C87">
            <v>84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X87">
            <v>46.210650393413601</v>
          </cell>
          <cell r="BY87">
            <v>46.736179569673936</v>
          </cell>
          <cell r="BZ87">
            <v>47.294068993376605</v>
          </cell>
          <cell r="CA87">
            <v>47.909233956913006</v>
          </cell>
          <cell r="CB87">
            <v>48.579255981153665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O88">
            <v>85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V88">
            <v>85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C88">
            <v>85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X88">
            <v>46.67770030767965</v>
          </cell>
          <cell r="BY88">
            <v>47.197592678461184</v>
          </cell>
          <cell r="BZ88">
            <v>47.755472167192657</v>
          </cell>
          <cell r="CA88">
            <v>48.373763930639598</v>
          </cell>
          <cell r="CB88">
            <v>49.063491154445543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O89">
            <v>86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V89">
            <v>86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C89">
            <v>86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X89">
            <v>47.153896513009251</v>
          </cell>
          <cell r="BY89">
            <v>47.660748183577851</v>
          </cell>
          <cell r="BZ89">
            <v>48.227116435634038</v>
          </cell>
          <cell r="CA89">
            <v>48.869826703325636</v>
          </cell>
          <cell r="CB89">
            <v>49.460909841064307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O90">
            <v>87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V90">
            <v>87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C90">
            <v>87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X90">
            <v>47.617039306482319</v>
          </cell>
          <cell r="BY90">
            <v>48.142913866891206</v>
          </cell>
          <cell r="BZ90">
            <v>48.709766300257584</v>
          </cell>
          <cell r="CA90">
            <v>49.296256903639559</v>
          </cell>
          <cell r="CB90">
            <v>49.882526243554615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O91">
            <v>88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V91">
            <v>88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C91">
            <v>88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X91">
            <v>48.097921847068633</v>
          </cell>
          <cell r="BY91">
            <v>48.618296173791954</v>
          </cell>
          <cell r="BZ91">
            <v>49.173016331799893</v>
          </cell>
          <cell r="CA91">
            <v>49.712343474857072</v>
          </cell>
          <cell r="CB91">
            <v>50.296637451558702</v>
          </cell>
        </row>
        <row r="92">
          <cell r="F92">
            <v>90</v>
          </cell>
          <cell r="G92">
            <v>511</v>
          </cell>
          <cell r="N92">
            <v>99</v>
          </cell>
          <cell r="O92">
            <v>89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V92">
            <v>89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C92">
            <v>89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X92">
            <v>48.557223076748912</v>
          </cell>
          <cell r="BY92">
            <v>49.088974957750068</v>
          </cell>
          <cell r="BZ92">
            <v>49.579936789633926</v>
          </cell>
          <cell r="CA92">
            <v>50.13435118838489</v>
          </cell>
          <cell r="CB92">
            <v>50.6943349274338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O93">
            <v>90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V93">
            <v>90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C93">
            <v>90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X93">
            <v>49.042729140195462</v>
          </cell>
          <cell r="BY93">
            <v>49.497214321439728</v>
          </cell>
          <cell r="BZ93">
            <v>50.021192353066951</v>
          </cell>
          <cell r="CA93">
            <v>50.524371596694976</v>
          </cell>
          <cell r="CB93">
            <v>51.099355476740961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O94">
            <v>91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V94">
            <v>91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C94">
            <v>91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X94">
            <v>49.498252634231747</v>
          </cell>
          <cell r="BY94">
            <v>49.985421626173121</v>
          </cell>
          <cell r="BZ94">
            <v>50.454959541611018</v>
          </cell>
          <cell r="CA94">
            <v>50.998721372753316</v>
          </cell>
          <cell r="CB94">
            <v>51.534250551986972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O95">
            <v>92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V95">
            <v>92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C95">
            <v>92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X95">
            <v>49.986470626701646</v>
          </cell>
          <cell r="BY95">
            <v>50.424285339835969</v>
          </cell>
          <cell r="BZ95">
            <v>50.930950009437595</v>
          </cell>
          <cell r="CA95">
            <v>51.436896660010483</v>
          </cell>
          <cell r="CB95">
            <v>51.984969997617021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O96">
            <v>93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V96">
            <v>93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C96">
            <v>93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X96">
            <v>50.440125995524625</v>
          </cell>
          <cell r="BY96">
            <v>50.90659544186844</v>
          </cell>
          <cell r="BZ96">
            <v>51.380310631705122</v>
          </cell>
          <cell r="CA96">
            <v>51.897988787201882</v>
          </cell>
          <cell r="CB96">
            <v>52.414208810757216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O97">
            <v>94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V97">
            <v>94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C97">
            <v>94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X97">
            <v>50.924361744560407</v>
          </cell>
          <cell r="BY97">
            <v>51.357869409358393</v>
          </cell>
          <cell r="BZ97">
            <v>51.84807662595162</v>
          </cell>
          <cell r="CA97">
            <v>52.334530106928973</v>
          </cell>
          <cell r="CB97">
            <v>52.864865346365669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O98">
            <v>95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V98">
            <v>95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C98">
            <v>95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X98">
            <v>51.382838700936844</v>
          </cell>
          <cell r="BY98">
            <v>51.841452913721341</v>
          </cell>
          <cell r="BZ98">
            <v>52.293273390033363</v>
          </cell>
          <cell r="CA98">
            <v>52.787185373346801</v>
          </cell>
          <cell r="CB98">
            <v>53.338289705589766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O99">
            <v>96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V99">
            <v>96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C99">
            <v>96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X99">
            <v>51.863157135581275</v>
          </cell>
          <cell r="BY99">
            <v>52.290870529884771</v>
          </cell>
          <cell r="BZ99">
            <v>52.745792648501016</v>
          </cell>
          <cell r="CA99">
            <v>53.252362918407712</v>
          </cell>
          <cell r="CB99">
            <v>53.821316321108398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O100">
            <v>97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V100">
            <v>97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C100">
            <v>97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X100">
            <v>52.326384257945534</v>
          </cell>
          <cell r="BY100">
            <v>52.756535794428025</v>
          </cell>
          <cell r="BZ100">
            <v>53.232327712261743</v>
          </cell>
          <cell r="CA100">
            <v>53.753890418265996</v>
          </cell>
          <cell r="CB100">
            <v>54.335165952675545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O101">
            <v>98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V101">
            <v>98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C101">
            <v>98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X101">
            <v>52.802848669690398</v>
          </cell>
          <cell r="BY101">
            <v>53.243263351667181</v>
          </cell>
          <cell r="BZ101">
            <v>53.734023573310566</v>
          </cell>
          <cell r="CA101">
            <v>54.265483052665907</v>
          </cell>
          <cell r="CB101">
            <v>54.855218110725374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O102">
            <v>99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V102">
            <v>99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C102">
            <v>99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X102">
            <v>53.27075451697057</v>
          </cell>
          <cell r="BY102">
            <v>53.72715308914038</v>
          </cell>
          <cell r="BZ102">
            <v>54.223397539416098</v>
          </cell>
          <cell r="CA102">
            <v>54.763650287732681</v>
          </cell>
          <cell r="CB102">
            <v>55.30747709307812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O103">
            <v>100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V103">
            <v>100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C103">
            <v>100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X103">
            <v>53.743426622219623</v>
          </cell>
          <cell r="BY103">
            <v>54.202428306858415</v>
          </cell>
          <cell r="BZ103">
            <v>54.700042099102475</v>
          </cell>
          <cell r="CA103">
            <v>55.217844456964613</v>
          </cell>
          <cell r="CB103">
            <v>55.74912762806774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O104">
            <v>101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V104">
            <v>101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C104">
            <v>101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X104">
            <v>54.215939989486415</v>
          </cell>
          <cell r="BY104">
            <v>54.676955934140729</v>
          </cell>
          <cell r="BZ104">
            <v>55.165685304832408</v>
          </cell>
          <cell r="CA104">
            <v>55.651975168978964</v>
          </cell>
          <cell r="CB104">
            <v>56.197353484420169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O105">
            <v>102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V105">
            <v>102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C105">
            <v>102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X105">
            <v>54.684879988131968</v>
          </cell>
          <cell r="BY105">
            <v>55.13951273920545</v>
          </cell>
          <cell r="BZ105">
            <v>55.594010346323124</v>
          </cell>
          <cell r="CA105">
            <v>56.09910300880712</v>
          </cell>
          <cell r="CB105">
            <v>56.644593793802954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O106">
            <v>103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V106">
            <v>103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C106">
            <v>103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X106">
            <v>55.161930117011792</v>
          </cell>
          <cell r="BY106">
            <v>55.583763667062648</v>
          </cell>
          <cell r="BZ106">
            <v>56.058453389976094</v>
          </cell>
          <cell r="CA106">
            <v>56.554541998878705</v>
          </cell>
          <cell r="CB106">
            <v>57.120261567759663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O107">
            <v>104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V107">
            <v>104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C107">
            <v>104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X107">
            <v>55.627196747503149</v>
          </cell>
          <cell r="BY107">
            <v>56.070023936067749</v>
          </cell>
          <cell r="BZ107">
            <v>56.53153340227184</v>
          </cell>
          <cell r="CA107">
            <v>57.057233285169012</v>
          </cell>
          <cell r="CB107">
            <v>57.593396752318156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O108">
            <v>105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V108">
            <v>105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C108">
            <v>105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X108">
            <v>56.108713498260869</v>
          </cell>
          <cell r="BY108">
            <v>56.536952996213088</v>
          </cell>
          <cell r="BZ108">
            <v>57.028694970852825</v>
          </cell>
          <cell r="CA108">
            <v>57.522396624597881</v>
          </cell>
          <cell r="CB108">
            <v>58.077862645108048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O109">
            <v>106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V109">
            <v>106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C109">
            <v>106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X109">
            <v>56.570364089495698</v>
          </cell>
          <cell r="BY109">
            <v>57.029826574193862</v>
          </cell>
          <cell r="BZ109">
            <v>57.485837231091942</v>
          </cell>
          <cell r="CA109">
            <v>58.008243903139835</v>
          </cell>
          <cell r="CB109">
            <v>58.512079069363097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O110">
            <v>107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V110">
            <v>107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C110">
            <v>107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X110">
            <v>57.056278080669266</v>
          </cell>
          <cell r="BY110">
            <v>57.482847825450328</v>
          </cell>
          <cell r="BZ110">
            <v>57.977987660046658</v>
          </cell>
          <cell r="CA110">
            <v>58.436970459928517</v>
          </cell>
          <cell r="CB110">
            <v>58.970102918190015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O111">
            <v>108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V111">
            <v>108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C111">
            <v>108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X111">
            <v>57.514368600997656</v>
          </cell>
          <cell r="BY111">
            <v>57.971573149325678</v>
          </cell>
          <cell r="BZ111">
            <v>58.403392312856369</v>
          </cell>
          <cell r="CA111">
            <v>58.897540390571457</v>
          </cell>
          <cell r="CB111">
            <v>59.41663449571719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O112">
            <v>109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V112">
            <v>109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C112">
            <v>109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X112">
            <v>58.004611321594084</v>
          </cell>
          <cell r="BY112">
            <v>58.405793781313918</v>
          </cell>
          <cell r="BZ112">
            <v>58.86447642263726</v>
          </cell>
          <cell r="CA112">
            <v>59.34185552053183</v>
          </cell>
          <cell r="CB112">
            <v>59.895591141330719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O113">
            <v>110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V113">
            <v>110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C113">
            <v>110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X113">
            <v>58.459196425189646</v>
          </cell>
          <cell r="BY113">
            <v>58.889188215849849</v>
          </cell>
          <cell r="BZ113">
            <v>59.339742830719779</v>
          </cell>
          <cell r="CA113">
            <v>59.839943614471814</v>
          </cell>
          <cell r="CB113">
            <v>60.373224714907948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O114">
            <v>111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V114">
            <v>111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C114">
            <v>111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X114">
            <v>58.946408675687671</v>
          </cell>
          <cell r="BY114">
            <v>59.361287240722291</v>
          </cell>
          <cell r="BZ114">
            <v>59.832224211633438</v>
          </cell>
          <cell r="CA114">
            <v>60.326839752914957</v>
          </cell>
          <cell r="CB114">
            <v>60.881867647056097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O115">
            <v>112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V115">
            <v>112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C115">
            <v>112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X115">
            <v>59.404833394530556</v>
          </cell>
          <cell r="BY115">
            <v>59.846737906797472</v>
          </cell>
          <cell r="BZ115">
            <v>60.304169527518312</v>
          </cell>
          <cell r="CA115">
            <v>60.81372235837329</v>
          </cell>
          <cell r="CB115">
            <v>61.325402417517608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O116">
            <v>113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V116">
            <v>113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C116">
            <v>113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X116">
            <v>59.888345847910635</v>
          </cell>
          <cell r="BY116">
            <v>60.315865619841162</v>
          </cell>
          <cell r="BZ116">
            <v>60.787957794339562</v>
          </cell>
          <cell r="CA116">
            <v>61.268918714801863</v>
          </cell>
          <cell r="CB116">
            <v>61.779418699074547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O117">
            <v>114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V117">
            <v>114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C117">
            <v>114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X117">
            <v>60.351265141991014</v>
          </cell>
          <cell r="BY117">
            <v>60.79487602158224</v>
          </cell>
          <cell r="BZ117">
            <v>61.243116472404502</v>
          </cell>
          <cell r="CA117">
            <v>61.715681191539097</v>
          </cell>
          <cell r="CB117">
            <v>62.228360857153817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O118">
            <v>115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V118">
            <v>115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C118">
            <v>115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X118">
            <v>60.831133697131506</v>
          </cell>
          <cell r="BY118">
            <v>61.24634276522368</v>
          </cell>
          <cell r="BZ118">
            <v>61.683465384084933</v>
          </cell>
          <cell r="CA118">
            <v>62.159685532497839</v>
          </cell>
          <cell r="CB118">
            <v>62.670432709865914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O119">
            <v>116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V119">
            <v>116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C119">
            <v>116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X119">
            <v>61.298477193800437</v>
          </cell>
          <cell r="BY119">
            <v>61.71059773831081</v>
          </cell>
          <cell r="BZ119">
            <v>62.154284734329579</v>
          </cell>
          <cell r="CA119">
            <v>62.630528781601228</v>
          </cell>
          <cell r="CB119">
            <v>63.150055056035825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O120">
            <v>117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V120">
            <v>117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C120">
            <v>117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X120">
            <v>61.774756475513705</v>
          </cell>
          <cell r="BY120">
            <v>62.188581397582936</v>
          </cell>
          <cell r="BZ120">
            <v>62.627597957455222</v>
          </cell>
          <cell r="CA120">
            <v>63.115741365011118</v>
          </cell>
          <cell r="CB120">
            <v>63.626729194306485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O121">
            <v>118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V121">
            <v>118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C121">
            <v>118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X121">
            <v>62.246455046493132</v>
          </cell>
          <cell r="BY121">
            <v>62.6588254638406</v>
          </cell>
          <cell r="BZ121">
            <v>63.11320815441082</v>
          </cell>
          <cell r="CA121">
            <v>63.592126738180539</v>
          </cell>
          <cell r="CB121">
            <v>64.112208257096498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O122">
            <v>119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V122">
            <v>119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C122">
            <v>119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X122">
            <v>62.719198446077925</v>
          </cell>
          <cell r="BY122">
            <v>63.143850498495951</v>
          </cell>
          <cell r="BZ122">
            <v>63.587780384292174</v>
          </cell>
          <cell r="CA122">
            <v>64.081643983802394</v>
          </cell>
          <cell r="CB122">
            <v>64.554656492906943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O123">
            <v>120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V123">
            <v>120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C123">
            <v>120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X123">
            <v>63.195184230627639</v>
          </cell>
          <cell r="BY123">
            <v>63.614335426471264</v>
          </cell>
          <cell r="BZ123">
            <v>64.074598905166155</v>
          </cell>
          <cell r="CA123">
            <v>64.513314878136029</v>
          </cell>
          <cell r="CB123">
            <v>65.018752205023816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O124">
            <v>121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V124">
            <v>121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C124">
            <v>121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X124">
            <v>63.664443944555515</v>
          </cell>
          <cell r="BY124">
            <v>64.08992124447893</v>
          </cell>
          <cell r="BZ124">
            <v>64.504131448162894</v>
          </cell>
          <cell r="CA124">
            <v>64.973838755872734</v>
          </cell>
          <cell r="CB124">
            <v>65.467913166257659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O125">
            <v>122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V125">
            <v>122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C125">
            <v>122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X125">
            <v>64.144650363204718</v>
          </cell>
          <cell r="BY125">
            <v>64.534793164008732</v>
          </cell>
          <cell r="BZ125">
            <v>64.975224641839446</v>
          </cell>
          <cell r="CA125">
            <v>65.421609454055499</v>
          </cell>
          <cell r="CB125">
            <v>65.948748404290441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O126">
            <v>123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V126">
            <v>123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C126">
            <v>123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X126">
            <v>64.610477430073331</v>
          </cell>
          <cell r="BY126">
            <v>65.024741214672602</v>
          </cell>
          <cell r="BZ126">
            <v>65.447726095039712</v>
          </cell>
          <cell r="CA126">
            <v>65.933069314785968</v>
          </cell>
          <cell r="CB126">
            <v>66.431751354934946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O127">
            <v>124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V127">
            <v>124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C127">
            <v>124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X127">
            <v>65.094839190509248</v>
          </cell>
          <cell r="BY127">
            <v>65.495043356939604</v>
          </cell>
          <cell r="BZ127">
            <v>65.947319695259623</v>
          </cell>
          <cell r="CA127">
            <v>66.409155912065103</v>
          </cell>
          <cell r="CB127">
            <v>66.943644127984214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O128">
            <v>125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V128">
            <v>125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C128">
            <v>125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X128">
            <v>65.557283526381681</v>
          </cell>
          <cell r="BY128">
            <v>65.98276486592421</v>
          </cell>
          <cell r="BZ128">
            <v>66.4159903320772</v>
          </cell>
          <cell r="CA128">
            <v>66.904808743128513</v>
          </cell>
          <cell r="CB128">
            <v>67.370305760801529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O129">
            <v>126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V129">
            <v>126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C129">
            <v>126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X129">
            <v>66.045736622847244</v>
          </cell>
          <cell r="BY129">
            <v>66.44946074184756</v>
          </cell>
          <cell r="BZ129">
            <v>66.907014743381254</v>
          </cell>
          <cell r="CA129">
            <v>67.341591574598297</v>
          </cell>
          <cell r="CB129">
            <v>67.816988171637291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O130">
            <v>127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V130">
            <v>127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C130">
            <v>127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X130">
            <v>66.504847055084383</v>
          </cell>
          <cell r="BY130">
            <v>66.937552520119667</v>
          </cell>
          <cell r="BZ130">
            <v>67.339276425805934</v>
          </cell>
          <cell r="CA130">
            <v>67.779184324795935</v>
          </cell>
          <cell r="CB130">
            <v>68.263631118638116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O131">
            <v>128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V131">
            <v>128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C131">
            <v>128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X131">
            <v>66.996909432729709</v>
          </cell>
          <cell r="BY131">
            <v>67.366421618366019</v>
          </cell>
          <cell r="BZ131">
            <v>67.780493532013153</v>
          </cell>
          <cell r="CA131">
            <v>68.224205790273416</v>
          </cell>
          <cell r="CB131">
            <v>68.722305062357819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O132">
            <v>129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V132">
            <v>129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C132">
            <v>129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X132">
            <v>67.453153062113969</v>
          </cell>
          <cell r="BY132">
            <v>67.848740705467691</v>
          </cell>
          <cell r="BZ132">
            <v>68.263642627369293</v>
          </cell>
          <cell r="CA132">
            <v>68.720041734936714</v>
          </cell>
          <cell r="CB132">
            <v>69.214384865866279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O133">
            <v>130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V133">
            <v>130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C133">
            <v>130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X133">
            <v>67.941693450092984</v>
          </cell>
          <cell r="BY133">
            <v>68.323959633193709</v>
          </cell>
          <cell r="BZ133">
            <v>68.754536673852911</v>
          </cell>
          <cell r="CA133">
            <v>69.214741439167099</v>
          </cell>
          <cell r="CB133">
            <v>69.710697401213693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O134">
            <v>131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V134">
            <v>131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C134">
            <v>131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X134">
            <v>68.402186838509962</v>
          </cell>
          <cell r="BY134">
            <v>68.806795553848815</v>
          </cell>
          <cell r="BZ134">
            <v>69.234824229174819</v>
          </cell>
          <cell r="CA134">
            <v>69.702613670489626</v>
          </cell>
          <cell r="CB134">
            <v>70.183493178644127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O135">
            <v>132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V135">
            <v>132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C135">
            <v>132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X135">
            <v>68.887255337837544</v>
          </cell>
          <cell r="BY135">
            <v>69.282090336127212</v>
          </cell>
          <cell r="BZ135">
            <v>69.723722100118692</v>
          </cell>
          <cell r="CA135">
            <v>70.174284544754997</v>
          </cell>
          <cell r="CB135">
            <v>70.631595403974814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O136">
            <v>133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V136">
            <v>133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C136">
            <v>133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X136">
            <v>69.351933936401693</v>
          </cell>
          <cell r="BY136">
            <v>69.763758437872809</v>
          </cell>
          <cell r="BZ136">
            <v>70.18416857784301</v>
          </cell>
          <cell r="CA136">
            <v>70.61001750564904</v>
          </cell>
          <cell r="CB136">
            <v>71.090343829912982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O137">
            <v>134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V137">
            <v>134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C137">
            <v>134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X137">
            <v>69.833579581329417</v>
          </cell>
          <cell r="BY137">
            <v>70.219043358665743</v>
          </cell>
          <cell r="BZ137">
            <v>70.621840083786836</v>
          </cell>
          <cell r="CA137">
            <v>71.069891702784773</v>
          </cell>
          <cell r="CB137">
            <v>71.537462736334334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O138">
            <v>135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V138">
            <v>135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C138">
            <v>135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X138">
            <v>70.302380180961919</v>
          </cell>
          <cell r="BY138">
            <v>70.68300638407095</v>
          </cell>
          <cell r="BZ138">
            <v>71.09773107342663</v>
          </cell>
          <cell r="CA138">
            <v>71.534542692944868</v>
          </cell>
          <cell r="CB138">
            <v>72.038312955064598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O139">
            <v>136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V139">
            <v>136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C139">
            <v>136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X139">
            <v>70.780650969721208</v>
          </cell>
          <cell r="BY139">
            <v>71.167672232752054</v>
          </cell>
          <cell r="BZ139">
            <v>71.585162950829655</v>
          </cell>
          <cell r="CA139">
            <v>72.046994133534497</v>
          </cell>
          <cell r="CB139">
            <v>72.52201443082113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O140">
            <v>137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V140">
            <v>137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C140">
            <v>137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X140">
            <v>71.253511678983699</v>
          </cell>
          <cell r="BY140">
            <v>71.64472716890711</v>
          </cell>
          <cell r="BZ140">
            <v>72.079220511445328</v>
          </cell>
          <cell r="CA140">
            <v>72.52016913289016</v>
          </cell>
          <cell r="CB140">
            <v>73.021610706471975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O141">
            <v>138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V141">
            <v>138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C141">
            <v>138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X141">
            <v>71.728454603344318</v>
          </cell>
          <cell r="BY141">
            <v>72.127736001811627</v>
          </cell>
          <cell r="BZ141">
            <v>72.546944450679874</v>
          </cell>
          <cell r="CA141">
            <v>73.016455431801333</v>
          </cell>
          <cell r="CB141">
            <v>73.453766032826792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O142">
            <v>139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V142">
            <v>139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C142">
            <v>139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X142">
            <v>72.205314824634726</v>
          </cell>
          <cell r="BY142">
            <v>72.597116346388717</v>
          </cell>
          <cell r="BZ142">
            <v>73.038235529163615</v>
          </cell>
          <cell r="CA142">
            <v>73.447756321697511</v>
          </cell>
          <cell r="CB142">
            <v>73.91787672283759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O143">
            <v>140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V143">
            <v>140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C143">
            <v>140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X143">
            <v>72.676975898343528</v>
          </cell>
          <cell r="BY143">
            <v>73.080733134525161</v>
          </cell>
          <cell r="BZ143">
            <v>73.468653197407107</v>
          </cell>
          <cell r="CA143">
            <v>73.905031554605898</v>
          </cell>
          <cell r="CB143">
            <v>74.365384246573853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O144">
            <v>141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V144">
            <v>141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C144">
            <v>141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X144">
            <v>73.157776302859972</v>
          </cell>
          <cell r="BY144">
            <v>73.525682689904926</v>
          </cell>
          <cell r="BZ144">
            <v>73.934376924737577</v>
          </cell>
          <cell r="CA144">
            <v>74.362219724987099</v>
          </cell>
          <cell r="CB144">
            <v>74.843246220121955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O145">
            <v>142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V145">
            <v>142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C145">
            <v>142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X145">
            <v>73.626200589019419</v>
          </cell>
          <cell r="BY145">
            <v>74.017737097591251</v>
          </cell>
          <cell r="BZ145">
            <v>74.413599457823011</v>
          </cell>
          <cell r="CA145">
            <v>74.862125874890182</v>
          </cell>
          <cell r="CB145">
            <v>75.327870415328007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O146">
            <v>143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V146">
            <v>143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C146">
            <v>143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X146">
            <v>74.110883090832957</v>
          </cell>
          <cell r="BY146">
            <v>74.48438665440473</v>
          </cell>
          <cell r="BZ146">
            <v>74.910283342584549</v>
          </cell>
          <cell r="CA146">
            <v>75.343688653389123</v>
          </cell>
          <cell r="CB146">
            <v>75.8312700089093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O147">
            <v>144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V147">
            <v>144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C147">
            <v>144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X147">
            <v>74.576114728274206</v>
          </cell>
          <cell r="BY147">
            <v>74.976427264953529</v>
          </cell>
          <cell r="BZ147">
            <v>75.381312336600743</v>
          </cell>
          <cell r="CA147">
            <v>75.837817686537164</v>
          </cell>
          <cell r="CB147">
            <v>76.288260794883655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O148">
            <v>145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V148">
            <v>145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C148">
            <v>145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X148">
            <v>75.064622457794115</v>
          </cell>
          <cell r="BY148">
            <v>75.445256632228848</v>
          </cell>
          <cell r="BZ148">
            <v>75.874710693729909</v>
          </cell>
          <cell r="CA148">
            <v>76.294787124638759</v>
          </cell>
          <cell r="CB148">
            <v>76.744300993869714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O149">
            <v>146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V149">
            <v>146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C149">
            <v>146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X149">
            <v>75.526704686495577</v>
          </cell>
          <cell r="BY149">
            <v>75.932934505318755</v>
          </cell>
          <cell r="BZ149">
            <v>76.319625507968723</v>
          </cell>
          <cell r="CA149">
            <v>76.740746590526484</v>
          </cell>
          <cell r="CB149">
            <v>77.192425415760482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O150">
            <v>147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V150">
            <v>147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C150">
            <v>147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X150">
            <v>76.018981963564528</v>
          </cell>
          <cell r="BY150">
            <v>76.37307935688159</v>
          </cell>
          <cell r="BZ150">
            <v>76.767142595945487</v>
          </cell>
          <cell r="CA150">
            <v>77.182945989803613</v>
          </cell>
          <cell r="CB150">
            <v>77.639136792985582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O151">
            <v>148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V151">
            <v>148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C151">
            <v>148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X151">
            <v>76.477957149162563</v>
          </cell>
          <cell r="BY151">
            <v>76.857470293382107</v>
          </cell>
          <cell r="BZ151">
            <v>77.245919604256756</v>
          </cell>
          <cell r="CA151">
            <v>77.668675027947558</v>
          </cell>
          <cell r="CB151">
            <v>78.126046531078771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O152">
            <v>149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V152">
            <v>149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C152">
            <v>149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X152">
            <v>76.969874573049196</v>
          </cell>
          <cell r="BY152">
            <v>77.327271482343065</v>
          </cell>
          <cell r="BZ152">
            <v>77.727703112223537</v>
          </cell>
          <cell r="CA152">
            <v>78.1549799524241</v>
          </cell>
          <cell r="CB152">
            <v>78.598533634779585</v>
          </cell>
        </row>
        <row r="153">
          <cell r="F153">
            <v>151</v>
          </cell>
          <cell r="G153">
            <v>35118.87282038921</v>
          </cell>
          <cell r="N153">
            <v>160</v>
          </cell>
          <cell r="O153">
            <v>150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V153">
            <v>150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C153">
            <v>150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X153">
            <v>77.429859113413457</v>
          </cell>
          <cell r="BY153">
            <v>77.808541114473428</v>
          </cell>
          <cell r="BZ153">
            <v>78.206550290005254</v>
          </cell>
          <cell r="CA153">
            <v>78.628465142683979</v>
          </cell>
          <cell r="CB153">
            <v>79.108907766261424</v>
          </cell>
        </row>
        <row r="154">
          <cell r="F154">
            <v>152</v>
          </cell>
          <cell r="G154">
            <v>37639.547696542824</v>
          </cell>
          <cell r="N154">
            <v>161</v>
          </cell>
          <cell r="O154">
            <v>151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V154">
            <v>151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C154">
            <v>151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X154">
            <v>77.918490985566862</v>
          </cell>
          <cell r="BY154">
            <v>78.283647251084375</v>
          </cell>
          <cell r="BZ154">
            <v>78.684578676520431</v>
          </cell>
          <cell r="CA154">
            <v>79.145115266529871</v>
          </cell>
          <cell r="CB154">
            <v>79.683968750737293</v>
          </cell>
        </row>
        <row r="155">
          <cell r="F155">
            <v>153</v>
          </cell>
          <cell r="G155">
            <v>40341.140136486232</v>
          </cell>
          <cell r="N155">
            <v>162</v>
          </cell>
          <cell r="O155">
            <v>152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V155">
            <v>152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C155">
            <v>152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X155">
            <v>78.382397883778651</v>
          </cell>
          <cell r="BY155">
            <v>78.760259571422736</v>
          </cell>
          <cell r="BZ155">
            <v>79.201814062049863</v>
          </cell>
          <cell r="CA155">
            <v>79.708675804221045</v>
          </cell>
          <cell r="CB155">
            <v>80</v>
          </cell>
        </row>
        <row r="156">
          <cell r="F156">
            <v>154</v>
          </cell>
          <cell r="G156">
            <v>43236.635220206183</v>
          </cell>
          <cell r="N156">
            <v>163</v>
          </cell>
          <cell r="O156">
            <v>153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V156">
            <v>153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C156">
            <v>153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X156">
            <v>78.867787811519349</v>
          </cell>
          <cell r="BY156">
            <v>79.28525743882193</v>
          </cell>
          <cell r="BZ156">
            <v>79.75275890824517</v>
          </cell>
          <cell r="CA156">
            <v>80</v>
          </cell>
          <cell r="CB156">
            <v>80</v>
          </cell>
        </row>
        <row r="157">
          <cell r="F157">
            <v>155</v>
          </cell>
          <cell r="G157">
            <v>46339.950011841604</v>
          </cell>
          <cell r="N157">
            <v>164</v>
          </cell>
          <cell r="O157">
            <v>154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V157">
            <v>154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C157">
            <v>154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X157">
            <v>79.335561067249373</v>
          </cell>
          <cell r="BY157">
            <v>79.797428791068725</v>
          </cell>
          <cell r="BZ157">
            <v>80</v>
          </cell>
          <cell r="CA157">
            <v>80</v>
          </cell>
          <cell r="CB157">
            <v>80</v>
          </cell>
        </row>
        <row r="158">
          <cell r="F158">
            <v>156</v>
          </cell>
          <cell r="G158">
            <v>49666.000451412707</v>
          </cell>
          <cell r="N158">
            <v>165</v>
          </cell>
          <cell r="O158">
            <v>155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V158">
            <v>155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C158">
            <v>155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X158">
            <v>79.8177517942256</v>
          </cell>
          <cell r="BY158">
            <v>80</v>
          </cell>
          <cell r="BZ158">
            <v>80</v>
          </cell>
          <cell r="CA158">
            <v>80</v>
          </cell>
          <cell r="CB158">
            <v>80</v>
          </cell>
        </row>
        <row r="159">
          <cell r="F159">
            <v>157</v>
          </cell>
          <cell r="G159">
            <v>53230.773047602182</v>
          </cell>
          <cell r="N159">
            <v>166</v>
          </cell>
          <cell r="O159">
            <v>156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V159">
            <v>156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C159">
            <v>156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X159">
            <v>80</v>
          </cell>
          <cell r="BY159">
            <v>80</v>
          </cell>
          <cell r="BZ159">
            <v>80</v>
          </cell>
          <cell r="CA159">
            <v>80</v>
          </cell>
          <cell r="CB159">
            <v>80</v>
          </cell>
        </row>
        <row r="160">
          <cell r="F160">
            <v>158</v>
          </cell>
          <cell r="G160">
            <v>57051.401716174769</v>
          </cell>
          <cell r="N160">
            <v>167</v>
          </cell>
          <cell r="O160">
            <v>157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V160">
            <v>157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C160">
            <v>157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X160">
            <v>80</v>
          </cell>
          <cell r="BY160">
            <v>80</v>
          </cell>
          <cell r="BZ160">
            <v>80</v>
          </cell>
          <cell r="CA160">
            <v>80</v>
          </cell>
          <cell r="CB160">
            <v>80</v>
          </cell>
        </row>
        <row r="161">
          <cell r="F161">
            <v>159</v>
          </cell>
          <cell r="G161">
            <v>61146.25013335624</v>
          </cell>
          <cell r="N161">
            <v>168</v>
          </cell>
          <cell r="O161">
            <v>158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V161">
            <v>158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C161">
            <v>158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X161">
            <v>80</v>
          </cell>
          <cell r="BY161">
            <v>80</v>
          </cell>
          <cell r="BZ161">
            <v>80</v>
          </cell>
          <cell r="CA161">
            <v>80</v>
          </cell>
          <cell r="CB161">
            <v>80</v>
          </cell>
        </row>
        <row r="162">
          <cell r="F162">
            <v>160</v>
          </cell>
          <cell r="G162">
            <v>65535</v>
          </cell>
          <cell r="N162">
            <v>169</v>
          </cell>
          <cell r="O162">
            <v>159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V162">
            <v>159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C162">
            <v>159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X162">
            <v>80</v>
          </cell>
          <cell r="BY162">
            <v>80</v>
          </cell>
          <cell r="BZ162">
            <v>80</v>
          </cell>
          <cell r="CA162">
            <v>80</v>
          </cell>
          <cell r="CB162">
            <v>80</v>
          </cell>
        </row>
        <row r="163">
          <cell r="N163">
            <v>170</v>
          </cell>
          <cell r="O163">
            <v>160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V163">
            <v>160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C163">
            <v>160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X163">
            <v>80</v>
          </cell>
          <cell r="BY163">
            <v>80</v>
          </cell>
          <cell r="BZ163">
            <v>80</v>
          </cell>
          <cell r="CA163">
            <v>80</v>
          </cell>
          <cell r="CB163">
            <v>80</v>
          </cell>
        </row>
        <row r="164">
          <cell r="AC164">
            <v>161</v>
          </cell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</row>
        <row r="165">
          <cell r="AC165">
            <v>162</v>
          </cell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</row>
        <row r="166">
          <cell r="AC166">
            <v>163</v>
          </cell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</row>
        <row r="167">
          <cell r="AC167">
            <v>164</v>
          </cell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</row>
        <row r="168">
          <cell r="AC168">
            <v>165</v>
          </cell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</row>
        <row r="169">
          <cell r="AC169">
            <v>166</v>
          </cell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</row>
        <row r="170">
          <cell r="AC170">
            <v>167</v>
          </cell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</row>
        <row r="171">
          <cell r="AC171">
            <v>168</v>
          </cell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</row>
        <row r="172">
          <cell r="AC172">
            <v>169</v>
          </cell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</row>
        <row r="173">
          <cell r="AC173">
            <v>170</v>
          </cell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</row>
        <row r="174">
          <cell r="AC174">
            <v>171</v>
          </cell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</row>
        <row r="175">
          <cell r="AC175">
            <v>172</v>
          </cell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</row>
        <row r="176">
          <cell r="AC176">
            <v>173</v>
          </cell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</row>
        <row r="177">
          <cell r="AC177">
            <v>174</v>
          </cell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</row>
        <row r="178">
          <cell r="AC178">
            <v>175</v>
          </cell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</row>
        <row r="179">
          <cell r="AC179">
            <v>176</v>
          </cell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</row>
        <row r="180">
          <cell r="AC180">
            <v>177</v>
          </cell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</row>
        <row r="181">
          <cell r="AC181">
            <v>178</v>
          </cell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</row>
        <row r="182">
          <cell r="AC182">
            <v>179</v>
          </cell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</row>
        <row r="183">
          <cell r="AC183">
            <v>180</v>
          </cell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</row>
        <row r="184">
          <cell r="AC184">
            <v>181</v>
          </cell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</row>
        <row r="185">
          <cell r="AC185">
            <v>182</v>
          </cell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</row>
        <row r="186">
          <cell r="AC186">
            <v>183</v>
          </cell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</row>
        <row r="187">
          <cell r="AC187">
            <v>184</v>
          </cell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</row>
        <row r="188">
          <cell r="AC188">
            <v>185</v>
          </cell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</row>
        <row r="189">
          <cell r="AC189">
            <v>186</v>
          </cell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</row>
        <row r="190">
          <cell r="AC190">
            <v>187</v>
          </cell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</row>
        <row r="191">
          <cell r="AC191">
            <v>188</v>
          </cell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</row>
        <row r="192">
          <cell r="AC192">
            <v>189</v>
          </cell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</row>
        <row r="193">
          <cell r="AC193">
            <v>190</v>
          </cell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</row>
        <row r="194">
          <cell r="AC194">
            <v>191</v>
          </cell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</row>
        <row r="195">
          <cell r="AC195">
            <v>192</v>
          </cell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</row>
        <row r="196">
          <cell r="AC196">
            <v>193</v>
          </cell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</row>
        <row r="197">
          <cell r="AC197">
            <v>194</v>
          </cell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</row>
        <row r="198">
          <cell r="AC198">
            <v>195</v>
          </cell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</row>
        <row r="199">
          <cell r="AC199">
            <v>196</v>
          </cell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</row>
        <row r="200">
          <cell r="AC200">
            <v>197</v>
          </cell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</row>
        <row r="201">
          <cell r="AC201">
            <v>198</v>
          </cell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</row>
        <row r="202">
          <cell r="AC202">
            <v>199</v>
          </cell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</row>
        <row r="203">
          <cell r="AC203">
            <v>200</v>
          </cell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</row>
        <row r="204">
          <cell r="AC204">
            <v>201</v>
          </cell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</row>
        <row r="205">
          <cell r="AC205">
            <v>202</v>
          </cell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</row>
        <row r="206">
          <cell r="AC206">
            <v>203</v>
          </cell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</row>
        <row r="207">
          <cell r="AC207">
            <v>204</v>
          </cell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</row>
        <row r="208">
          <cell r="AC208">
            <v>205</v>
          </cell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</row>
        <row r="209">
          <cell r="AC209">
            <v>206</v>
          </cell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</row>
        <row r="210">
          <cell r="AC210">
            <v>207</v>
          </cell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</row>
        <row r="211">
          <cell r="AC211">
            <v>208</v>
          </cell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</row>
        <row r="212">
          <cell r="AC212">
            <v>209</v>
          </cell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</row>
        <row r="213">
          <cell r="AC213">
            <v>210</v>
          </cell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</row>
        <row r="214">
          <cell r="AC214">
            <v>211</v>
          </cell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</row>
        <row r="215">
          <cell r="AC215">
            <v>212</v>
          </cell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</row>
        <row r="216">
          <cell r="AC216">
            <v>213</v>
          </cell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</row>
        <row r="217">
          <cell r="AC217">
            <v>214</v>
          </cell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</row>
        <row r="218">
          <cell r="AC218">
            <v>215</v>
          </cell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</row>
        <row r="219">
          <cell r="AC219">
            <v>216</v>
          </cell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</row>
        <row r="220">
          <cell r="AC220">
            <v>217</v>
          </cell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</row>
        <row r="221">
          <cell r="AC221">
            <v>218</v>
          </cell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</row>
        <row r="222">
          <cell r="AC222">
            <v>219</v>
          </cell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</row>
        <row r="223">
          <cell r="AC223">
            <v>220</v>
          </cell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</row>
        <row r="224">
          <cell r="AC224">
            <v>221</v>
          </cell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</row>
        <row r="225">
          <cell r="AC225">
            <v>222</v>
          </cell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</row>
        <row r="226">
          <cell r="AC226">
            <v>223</v>
          </cell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</row>
        <row r="227">
          <cell r="AC227">
            <v>224</v>
          </cell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</row>
        <row r="228">
          <cell r="AC228">
            <v>225</v>
          </cell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</row>
        <row r="229">
          <cell r="AC229">
            <v>226</v>
          </cell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</row>
        <row r="230">
          <cell r="AC230">
            <v>227</v>
          </cell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</row>
        <row r="231">
          <cell r="AC231">
            <v>228</v>
          </cell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</row>
        <row r="232">
          <cell r="AC232">
            <v>229</v>
          </cell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</row>
        <row r="233">
          <cell r="AC233">
            <v>230</v>
          </cell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</row>
        <row r="234">
          <cell r="AC234">
            <v>231</v>
          </cell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</row>
        <row r="235">
          <cell r="AC235">
            <v>232</v>
          </cell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</row>
        <row r="236">
          <cell r="AC236">
            <v>233</v>
          </cell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</row>
        <row r="237">
          <cell r="AC237">
            <v>234</v>
          </cell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</row>
        <row r="238">
          <cell r="AC238">
            <v>235</v>
          </cell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</row>
        <row r="239">
          <cell r="AC239">
            <v>236</v>
          </cell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</row>
        <row r="240">
          <cell r="AC240">
            <v>237</v>
          </cell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</row>
        <row r="241">
          <cell r="AC241">
            <v>238</v>
          </cell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</row>
        <row r="242">
          <cell r="AC242">
            <v>239</v>
          </cell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</row>
        <row r="243">
          <cell r="AC243">
            <v>240</v>
          </cell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</row>
        <row r="244">
          <cell r="AC244">
            <v>241</v>
          </cell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</row>
        <row r="245">
          <cell r="AC245">
            <v>242</v>
          </cell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</row>
        <row r="246">
          <cell r="AC246">
            <v>243</v>
          </cell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</row>
        <row r="247">
          <cell r="AC247">
            <v>244</v>
          </cell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</row>
        <row r="248">
          <cell r="AC248">
            <v>245</v>
          </cell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</row>
        <row r="249">
          <cell r="AC249">
            <v>246</v>
          </cell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</row>
        <row r="250">
          <cell r="AC250">
            <v>247</v>
          </cell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</row>
        <row r="251">
          <cell r="AC251">
            <v>248</v>
          </cell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</row>
        <row r="252">
          <cell r="AC252">
            <v>249</v>
          </cell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</row>
        <row r="253">
          <cell r="AC253">
            <v>250</v>
          </cell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</row>
        <row r="254">
          <cell r="AC254">
            <v>251</v>
          </cell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</row>
        <row r="255">
          <cell r="AC255">
            <v>252</v>
          </cell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</row>
        <row r="256">
          <cell r="AC256">
            <v>253</v>
          </cell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</row>
        <row r="257">
          <cell r="AC257">
            <v>254</v>
          </cell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</row>
        <row r="258">
          <cell r="AC258">
            <v>255</v>
          </cell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</row>
        <row r="259">
          <cell r="AC259">
            <v>256</v>
          </cell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</row>
        <row r="260">
          <cell r="AC260">
            <v>257</v>
          </cell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</row>
        <row r="261">
          <cell r="AC261">
            <v>258</v>
          </cell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</row>
        <row r="262">
          <cell r="AC262">
            <v>259</v>
          </cell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</row>
        <row r="263">
          <cell r="AC263">
            <v>260</v>
          </cell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</row>
        <row r="264">
          <cell r="AC264">
            <v>261</v>
          </cell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</row>
        <row r="265">
          <cell r="AC265">
            <v>262</v>
          </cell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</row>
        <row r="266">
          <cell r="AC266">
            <v>263</v>
          </cell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</row>
        <row r="267">
          <cell r="AC267">
            <v>264</v>
          </cell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</row>
        <row r="268">
          <cell r="AC268">
            <v>265</v>
          </cell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</row>
        <row r="269">
          <cell r="AC269">
            <v>266</v>
          </cell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</row>
        <row r="270">
          <cell r="AC270">
            <v>267</v>
          </cell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</row>
        <row r="271">
          <cell r="AC271">
            <v>268</v>
          </cell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</row>
        <row r="272">
          <cell r="AC272">
            <v>269</v>
          </cell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</row>
        <row r="273">
          <cell r="AC273">
            <v>270</v>
          </cell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</row>
        <row r="274">
          <cell r="AC274">
            <v>271</v>
          </cell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</row>
        <row r="275">
          <cell r="AC275">
            <v>272</v>
          </cell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</row>
        <row r="276">
          <cell r="AC276">
            <v>273</v>
          </cell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</row>
        <row r="277">
          <cell r="AC277">
            <v>274</v>
          </cell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</row>
        <row r="278">
          <cell r="AC278">
            <v>275</v>
          </cell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</row>
        <row r="279">
          <cell r="AC279">
            <v>276</v>
          </cell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</row>
        <row r="280">
          <cell r="AC280">
            <v>277</v>
          </cell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</row>
        <row r="281">
          <cell r="AC281">
            <v>278</v>
          </cell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</row>
        <row r="282">
          <cell r="AC282">
            <v>279</v>
          </cell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</row>
        <row r="283">
          <cell r="AC283">
            <v>280</v>
          </cell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</row>
        <row r="284">
          <cell r="AC284">
            <v>281</v>
          </cell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</row>
        <row r="285">
          <cell r="AC285">
            <v>282</v>
          </cell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</row>
        <row r="286">
          <cell r="AC286">
            <v>283</v>
          </cell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</row>
        <row r="287">
          <cell r="AC287">
            <v>284</v>
          </cell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</row>
        <row r="288">
          <cell r="AC288">
            <v>285</v>
          </cell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</row>
        <row r="289">
          <cell r="AC289">
            <v>286</v>
          </cell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</row>
        <row r="290">
          <cell r="AC290">
            <v>287</v>
          </cell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</row>
        <row r="291">
          <cell r="AC291">
            <v>288</v>
          </cell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</row>
        <row r="292">
          <cell r="AC292">
            <v>289</v>
          </cell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</row>
        <row r="293">
          <cell r="AC293">
            <v>290</v>
          </cell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</row>
        <row r="294">
          <cell r="AC294">
            <v>291</v>
          </cell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</row>
        <row r="295">
          <cell r="AC295">
            <v>292</v>
          </cell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</row>
        <row r="296">
          <cell r="AC296">
            <v>293</v>
          </cell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</row>
        <row r="297">
          <cell r="AC297">
            <v>294</v>
          </cell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</row>
        <row r="298">
          <cell r="AC298">
            <v>295</v>
          </cell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</row>
        <row r="299">
          <cell r="AC299">
            <v>296</v>
          </cell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</row>
        <row r="300">
          <cell r="AC300">
            <v>297</v>
          </cell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</row>
        <row r="301">
          <cell r="AC301">
            <v>298</v>
          </cell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</row>
        <row r="302">
          <cell r="AC302">
            <v>299</v>
          </cell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</row>
        <row r="303">
          <cell r="AC303">
            <v>300</v>
          </cell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</row>
        <row r="304">
          <cell r="AC304">
            <v>301</v>
          </cell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</row>
        <row r="305">
          <cell r="AC305">
            <v>302</v>
          </cell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</row>
        <row r="306">
          <cell r="AC306">
            <v>303</v>
          </cell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</row>
        <row r="307">
          <cell r="AC307">
            <v>304</v>
          </cell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</row>
        <row r="308">
          <cell r="AC308">
            <v>305</v>
          </cell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</row>
        <row r="309">
          <cell r="AC309">
            <v>306</v>
          </cell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</row>
        <row r="310">
          <cell r="AC310">
            <v>307</v>
          </cell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</row>
        <row r="311">
          <cell r="AC311">
            <v>308</v>
          </cell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</row>
        <row r="312">
          <cell r="AC312">
            <v>309</v>
          </cell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</row>
        <row r="313">
          <cell r="AC313">
            <v>310</v>
          </cell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</row>
        <row r="314">
          <cell r="AC314">
            <v>311</v>
          </cell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</row>
        <row r="315">
          <cell r="AC315">
            <v>312</v>
          </cell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</row>
        <row r="316">
          <cell r="AC316">
            <v>313</v>
          </cell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</row>
        <row r="317">
          <cell r="AC317">
            <v>314</v>
          </cell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</row>
        <row r="318">
          <cell r="AC318">
            <v>315</v>
          </cell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</row>
        <row r="319">
          <cell r="AC319">
            <v>316</v>
          </cell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</row>
        <row r="320">
          <cell r="AC320">
            <v>317</v>
          </cell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</row>
        <row r="321">
          <cell r="AC321">
            <v>318</v>
          </cell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</row>
        <row r="322">
          <cell r="AC322">
            <v>319</v>
          </cell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</row>
        <row r="323">
          <cell r="AC323">
            <v>320</v>
          </cell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</row>
        <row r="324">
          <cell r="AC324">
            <v>321</v>
          </cell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</row>
        <row r="325">
          <cell r="AC325">
            <v>322</v>
          </cell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</row>
        <row r="326">
          <cell r="AC326">
            <v>323</v>
          </cell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</row>
        <row r="327">
          <cell r="AC327">
            <v>324</v>
          </cell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</row>
        <row r="328">
          <cell r="AC328">
            <v>325</v>
          </cell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</row>
        <row r="329">
          <cell r="AC329">
            <v>326</v>
          </cell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</row>
        <row r="330">
          <cell r="AC330">
            <v>327</v>
          </cell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</row>
        <row r="331">
          <cell r="AC331">
            <v>328</v>
          </cell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</row>
        <row r="332">
          <cell r="AC332">
            <v>329</v>
          </cell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</row>
        <row r="333">
          <cell r="AC333">
            <v>330</v>
          </cell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</row>
        <row r="334">
          <cell r="AC334">
            <v>331</v>
          </cell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</row>
        <row r="335">
          <cell r="AC335">
            <v>332</v>
          </cell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</row>
        <row r="336">
          <cell r="AC336">
            <v>333</v>
          </cell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</row>
        <row r="337">
          <cell r="AC337">
            <v>334</v>
          </cell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</row>
        <row r="338">
          <cell r="AC338">
            <v>335</v>
          </cell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</row>
        <row r="339">
          <cell r="AC339">
            <v>336</v>
          </cell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</row>
        <row r="340">
          <cell r="AC340">
            <v>337</v>
          </cell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</row>
        <row r="341">
          <cell r="AC341">
            <v>338</v>
          </cell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</row>
        <row r="342">
          <cell r="AC342">
            <v>339</v>
          </cell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</row>
        <row r="343">
          <cell r="AC343">
            <v>340</v>
          </cell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</row>
        <row r="344">
          <cell r="AC344">
            <v>341</v>
          </cell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</row>
        <row r="345">
          <cell r="AC345">
            <v>342</v>
          </cell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</row>
        <row r="346">
          <cell r="AC346">
            <v>343</v>
          </cell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</row>
        <row r="347">
          <cell r="AC347">
            <v>344</v>
          </cell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</row>
        <row r="348">
          <cell r="AC348">
            <v>345</v>
          </cell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</row>
        <row r="349">
          <cell r="AC349">
            <v>346</v>
          </cell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</row>
        <row r="350">
          <cell r="AC350">
            <v>347</v>
          </cell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</row>
        <row r="351">
          <cell r="AC351">
            <v>348</v>
          </cell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</row>
        <row r="352">
          <cell r="AC352">
            <v>349</v>
          </cell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</row>
        <row r="353">
          <cell r="AC353">
            <v>350</v>
          </cell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</row>
        <row r="354">
          <cell r="AC354">
            <v>351</v>
          </cell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</row>
        <row r="355">
          <cell r="AC355">
            <v>352</v>
          </cell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</row>
        <row r="356">
          <cell r="AC356">
            <v>353</v>
          </cell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</row>
        <row r="357">
          <cell r="AC357">
            <v>354</v>
          </cell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</row>
        <row r="358">
          <cell r="AC358">
            <v>355</v>
          </cell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</row>
        <row r="359">
          <cell r="AC359">
            <v>356</v>
          </cell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</row>
        <row r="360">
          <cell r="AC360">
            <v>357</v>
          </cell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</row>
        <row r="361">
          <cell r="AC361">
            <v>358</v>
          </cell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</row>
        <row r="362">
          <cell r="AC362">
            <v>359</v>
          </cell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</row>
        <row r="363">
          <cell r="AC363">
            <v>360</v>
          </cell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6">
          <cell r="S6">
            <v>9.6699025938898793E-3</v>
          </cell>
          <cell r="T6">
            <v>9.6656664478053916E-3</v>
          </cell>
          <cell r="U6">
            <v>9.6563134915450752E-3</v>
          </cell>
          <cell r="V6">
            <v>9.6215224703200958E-3</v>
          </cell>
          <cell r="W6">
            <v>9.6040441747252785E-3</v>
          </cell>
          <cell r="X6">
            <v>1.4552770284378439E-2</v>
          </cell>
          <cell r="Y6">
            <v>1.4552288807650037E-2</v>
          </cell>
          <cell r="Z6">
            <v>1.4551224375748904E-2</v>
          </cell>
          <cell r="AA6">
            <v>1.4547248125565206E-2</v>
          </cell>
          <cell r="AB6">
            <v>1.454524049323027E-2</v>
          </cell>
        </row>
        <row r="7">
          <cell r="S7">
            <v>4.6742198225858634E-3</v>
          </cell>
          <cell r="T7">
            <v>4.6696258450750561E-3</v>
          </cell>
          <cell r="U7">
            <v>4.65973271744838E-3</v>
          </cell>
          <cell r="V7">
            <v>4.6234220694459233E-3</v>
          </cell>
          <cell r="W7">
            <v>4.6040552204809557E-3</v>
          </cell>
          <cell r="X7">
            <v>7.0593017893497397E-3</v>
          </cell>
          <cell r="Y7">
            <v>7.0587756872025143E-3</v>
          </cell>
          <cell r="Z7">
            <v>7.0576394718097173E-3</v>
          </cell>
          <cell r="AA7">
            <v>7.0534307460900078E-3</v>
          </cell>
          <cell r="AB7">
            <v>7.051160895726793E-3</v>
          </cell>
        </row>
        <row r="8">
          <cell r="S8">
            <v>3.0117793189317278E-3</v>
          </cell>
          <cell r="T8">
            <v>3.0069136450126804E-3</v>
          </cell>
          <cell r="U8">
            <v>2.9965607945639876E-3</v>
          </cell>
          <cell r="V8">
            <v>2.9593843817688039E-3</v>
          </cell>
          <cell r="W8">
            <v>2.9393395008535266E-3</v>
          </cell>
          <cell r="X8">
            <v>4.5657026234405132E-3</v>
          </cell>
          <cell r="Y8">
            <v>4.5651408748392406E-3</v>
          </cell>
          <cell r="Z8">
            <v>4.5639400178227934E-3</v>
          </cell>
          <cell r="AA8">
            <v>4.5595639147399877E-3</v>
          </cell>
          <cell r="AB8">
            <v>4.5571620340699838E-3</v>
          </cell>
        </row>
        <row r="9">
          <cell r="S9">
            <v>2.1825835467951292E-3</v>
          </cell>
          <cell r="T9">
            <v>2.1775500964426684E-3</v>
          </cell>
          <cell r="U9">
            <v>2.166914311191856E-3</v>
          </cell>
          <cell r="V9">
            <v>2.1293859486552227E-3</v>
          </cell>
          <cell r="W9">
            <v>2.1085414348532626E-3</v>
          </cell>
          <cell r="X9">
            <v>3.3219756308028778E-3</v>
          </cell>
          <cell r="Y9">
            <v>3.3213894598425608E-3</v>
          </cell>
          <cell r="Z9">
            <v>3.3201426003855233E-3</v>
          </cell>
          <cell r="AA9">
            <v>3.3156513178116249E-3</v>
          </cell>
          <cell r="AB9">
            <v>3.3130930910713137E-3</v>
          </cell>
        </row>
        <row r="10">
          <cell r="S10">
            <v>1.6866349637513652E-3</v>
          </cell>
          <cell r="T10">
            <v>1.6816372392703558E-3</v>
          </cell>
          <cell r="U10">
            <v>1.670984831930115E-3</v>
          </cell>
          <cell r="V10">
            <v>1.6337043628775712E-3</v>
          </cell>
          <cell r="W10">
            <v>1.6145577919885374E-3</v>
          </cell>
          <cell r="X10">
            <v>2.5781235873189256E-3</v>
          </cell>
          <cell r="Y10">
            <v>2.5775362214575321E-3</v>
          </cell>
          <cell r="Z10">
            <v>2.5762734609973241E-3</v>
          </cell>
          <cell r="AA10">
            <v>2.5717347260998964E-3</v>
          </cell>
          <cell r="AB10">
            <v>2.5691333596406835E-3</v>
          </cell>
        </row>
        <row r="11">
          <cell r="S11">
            <v>1.586418729376789E-3</v>
          </cell>
          <cell r="T11">
            <v>1.5805352146401935E-3</v>
          </cell>
          <cell r="U11">
            <v>1.5680890209040237E-3</v>
          </cell>
          <cell r="V11">
            <v>1.5260232340116526E-3</v>
          </cell>
          <cell r="W11">
            <v>1.5044816884692235E-3</v>
          </cell>
          <cell r="X11">
            <v>2.4399795539212688E-3</v>
          </cell>
          <cell r="Y11">
            <v>2.4392801333419467E-3</v>
          </cell>
          <cell r="Z11">
            <v>2.4377846059379115E-3</v>
          </cell>
          <cell r="AA11">
            <v>2.4323767617546138E-3</v>
          </cell>
          <cell r="AB11">
            <v>2.4291749237056017E-3</v>
          </cell>
        </row>
        <row r="12">
          <cell r="S12">
            <v>1.4926754940598256E-3</v>
          </cell>
          <cell r="T12">
            <v>1.4858137007853264E-3</v>
          </cell>
          <cell r="U12">
            <v>1.4715279588321836E-3</v>
          </cell>
          <cell r="V12">
            <v>1.426300661332876E-3</v>
          </cell>
          <cell r="W12">
            <v>1.404981467609217E-3</v>
          </cell>
          <cell r="X12">
            <v>2.3105496840702604E-3</v>
          </cell>
          <cell r="Y12">
            <v>2.309724049167385E-3</v>
          </cell>
          <cell r="Z12">
            <v>2.3079823735334924E-3</v>
          </cell>
          <cell r="AA12">
            <v>2.3017753329505689E-3</v>
          </cell>
          <cell r="AB12">
            <v>2.2982356494865366E-3</v>
          </cell>
        </row>
        <row r="13">
          <cell r="S13">
            <v>1.4048842830007315E-3</v>
          </cell>
          <cell r="T13">
            <v>1.3975362381518138E-3</v>
          </cell>
          <cell r="U13">
            <v>1.3822433853445868E-3</v>
          </cell>
          <cell r="V13">
            <v>1.3362865138524006E-3</v>
          </cell>
          <cell r="W13">
            <v>1.3130112253614355E-3</v>
          </cell>
          <cell r="X13">
            <v>2.1891630469216849E-3</v>
          </cell>
          <cell r="Y13">
            <v>2.1882678619914281E-3</v>
          </cell>
          <cell r="Z13">
            <v>2.1863766840878665E-3</v>
          </cell>
          <cell r="AA13">
            <v>2.1795386004904781E-3</v>
          </cell>
          <cell r="AB13">
            <v>2.1755734653644966E-3</v>
          </cell>
        </row>
        <row r="14">
          <cell r="S14">
            <v>1.322576117906192E-3</v>
          </cell>
          <cell r="T14">
            <v>1.3145689816932112E-3</v>
          </cell>
          <cell r="U14">
            <v>1.2982554550164686E-3</v>
          </cell>
          <cell r="V14">
            <v>1.2497612741253193E-3</v>
          </cell>
          <cell r="W14">
            <v>1.2242067149544906E-3</v>
          </cell>
          <cell r="X14">
            <v>2.0752114816648252E-3</v>
          </cell>
          <cell r="Y14">
            <v>2.0742230466323265E-3</v>
          </cell>
          <cell r="Z14">
            <v>2.0720924958418747E-3</v>
          </cell>
          <cell r="AA14">
            <v>2.0643718939855342E-3</v>
          </cell>
          <cell r="AB14">
            <v>2.059886356652758E-3</v>
          </cell>
        </row>
        <row r="15">
          <cell r="S15">
            <v>1.2453279070002608E-3</v>
          </cell>
          <cell r="T15">
            <v>1.2365677928137795E-3</v>
          </cell>
          <cell r="U15">
            <v>1.2198491768514027E-3</v>
          </cell>
          <cell r="V15">
            <v>1.1682919727070543E-3</v>
          </cell>
          <cell r="W15">
            <v>1.1414864233881218E-3</v>
          </cell>
          <cell r="X15">
            <v>1.9681425710583768E-3</v>
          </cell>
          <cell r="Y15">
            <v>1.9670459531507156E-3</v>
          </cell>
          <cell r="Z15">
            <v>1.9646511983295849E-3</v>
          </cell>
          <cell r="AA15">
            <v>1.9560565767857397E-3</v>
          </cell>
          <cell r="AB15">
            <v>1.9509074352136941E-3</v>
          </cell>
        </row>
        <row r="16">
          <cell r="S16">
            <v>1.1812950849207655E-3</v>
          </cell>
          <cell r="T16">
            <v>1.1724518558167613E-3</v>
          </cell>
          <cell r="U16">
            <v>1.1546363231647865E-3</v>
          </cell>
          <cell r="V16">
            <v>1.1018074406581367E-3</v>
          </cell>
          <cell r="W16">
            <v>1.0702228141224524E-3</v>
          </cell>
          <cell r="X16">
            <v>1.8747504031013495E-3</v>
          </cell>
          <cell r="Y16">
            <v>1.8735875270752093E-3</v>
          </cell>
          <cell r="Z16">
            <v>1.8709758127516732E-3</v>
          </cell>
          <cell r="AA16">
            <v>1.8618749688140549E-3</v>
          </cell>
          <cell r="AB16">
            <v>1.8555230769505323E-3</v>
          </cell>
        </row>
        <row r="17">
          <cell r="S17">
            <v>1.1207123098229332E-3</v>
          </cell>
          <cell r="T17">
            <v>1.1120765947483613E-3</v>
          </cell>
          <cell r="U17">
            <v>1.0938294388710646E-3</v>
          </cell>
          <cell r="V17">
            <v>1.0389279254085363E-3</v>
          </cell>
          <cell r="W17">
            <v>1.0043686232985099E-3</v>
          </cell>
          <cell r="X17">
            <v>1.7863465031612744E-3</v>
          </cell>
          <cell r="Y17">
            <v>1.7851284353307963E-3</v>
          </cell>
          <cell r="Z17">
            <v>1.7823724486327234E-3</v>
          </cell>
          <cell r="AA17">
            <v>1.772576003653563E-3</v>
          </cell>
          <cell r="AB17">
            <v>1.7651682088916929E-3</v>
          </cell>
        </row>
        <row r="18">
          <cell r="S18">
            <v>1.0636431553130048E-3</v>
          </cell>
          <cell r="T18">
            <v>1.0546592839561302E-3</v>
          </cell>
          <cell r="U18">
            <v>1.0362585042320593E-3</v>
          </cell>
          <cell r="V18">
            <v>9.7932237797966615E-4</v>
          </cell>
          <cell r="W18">
            <v>9.4284314782660421E-4</v>
          </cell>
          <cell r="X18">
            <v>1.7026196089781895E-3</v>
          </cell>
          <cell r="Y18">
            <v>1.7013089102262953E-3</v>
          </cell>
          <cell r="Z18">
            <v>1.6984139855262617E-3</v>
          </cell>
          <cell r="AA18">
            <v>1.6879468950102617E-3</v>
          </cell>
          <cell r="AB18">
            <v>1.6794147442895054E-3</v>
          </cell>
        </row>
        <row r="19">
          <cell r="S19">
            <v>1.0097924792827574E-3</v>
          </cell>
          <cell r="T19">
            <v>1.0005500736607934E-3</v>
          </cell>
          <cell r="U19">
            <v>9.820207204022666E-4</v>
          </cell>
          <cell r="V19">
            <v>9.2384327604944398E-4</v>
          </cell>
          <cell r="W19">
            <v>8.902510917507564E-4</v>
          </cell>
          <cell r="X19">
            <v>1.623281314478004E-3</v>
          </cell>
          <cell r="Y19">
            <v>1.6219218474785269E-3</v>
          </cell>
          <cell r="Z19">
            <v>1.6188986043673768E-3</v>
          </cell>
          <cell r="AA19">
            <v>1.6079159737470183E-3</v>
          </cell>
          <cell r="AB19">
            <v>1.5985532865057182E-3</v>
          </cell>
        </row>
        <row r="20">
          <cell r="S20">
            <v>9.5875082599324046E-4</v>
          </cell>
          <cell r="T20">
            <v>9.4914540896190469E-4</v>
          </cell>
          <cell r="U20">
            <v>9.3042612920893678E-4</v>
          </cell>
          <cell r="V20">
            <v>8.7142569857553997E-4</v>
          </cell>
          <cell r="W20">
            <v>8.397301907552611E-4</v>
          </cell>
          <cell r="X20">
            <v>1.5480640918139178E-3</v>
          </cell>
          <cell r="Y20">
            <v>1.5466388611741618E-3</v>
          </cell>
          <cell r="Z20">
            <v>1.5434739894699609E-3</v>
          </cell>
          <cell r="AA20">
            <v>1.5318894674425441E-3</v>
          </cell>
          <cell r="AB20">
            <v>1.5214688177009382E-3</v>
          </cell>
        </row>
        <row r="21">
          <cell r="S21">
            <v>9.1034283580622812E-4</v>
          </cell>
          <cell r="T21">
            <v>9.0079327743063597E-4</v>
          </cell>
          <cell r="U21">
            <v>8.8152977730143083E-4</v>
          </cell>
          <cell r="V21">
            <v>8.2239405875931713E-4</v>
          </cell>
          <cell r="W21">
            <v>7.9125598197300371E-4</v>
          </cell>
          <cell r="X21">
            <v>1.476719512412262E-3</v>
          </cell>
          <cell r="Y21">
            <v>1.4752223720369158E-3</v>
          </cell>
          <cell r="Z21">
            <v>1.4719302692149632E-3</v>
          </cell>
          <cell r="AA21">
            <v>1.4596899575562972E-3</v>
          </cell>
          <cell r="AB21">
            <v>1.4480454937781785E-3</v>
          </cell>
        </row>
        <row r="22">
          <cell r="S22">
            <v>8.425277406902842E-4</v>
          </cell>
          <cell r="T22">
            <v>8.5506703929177691E-4</v>
          </cell>
          <cell r="U22">
            <v>8.3536489143314302E-4</v>
          </cell>
          <cell r="V22">
            <v>7.7699360408455128E-4</v>
          </cell>
          <cell r="W22">
            <v>7.4750487269901534E-4</v>
          </cell>
          <cell r="X22">
            <v>1.3708740140492615E-3</v>
          </cell>
          <cell r="Y22">
            <v>1.4074744761526585E-3</v>
          </cell>
          <cell r="Z22">
            <v>1.4040708036929788E-3</v>
          </cell>
          <cell r="AA22">
            <v>1.3912917747616537E-3</v>
          </cell>
          <cell r="AB22">
            <v>1.379041906181346E-3</v>
          </cell>
        </row>
        <row r="23">
          <cell r="S23">
            <v>7.7845803781566596E-4</v>
          </cell>
          <cell r="T23">
            <v>8.0052101244294739E-4</v>
          </cell>
          <cell r="U23">
            <v>7.9095515169324226E-4</v>
          </cell>
          <cell r="V23">
            <v>7.3553708764542843E-4</v>
          </cell>
          <cell r="W23">
            <v>7.0502278074215878E-4</v>
          </cell>
          <cell r="X23">
            <v>1.2700116953859475E-3</v>
          </cell>
          <cell r="Y23">
            <v>1.323491683334046E-3</v>
          </cell>
          <cell r="Z23">
            <v>1.3395342003163096E-3</v>
          </cell>
          <cell r="AA23">
            <v>1.3261128053425441E-3</v>
          </cell>
          <cell r="AB23">
            <v>1.312971481737137E-3</v>
          </cell>
        </row>
        <row r="24">
          <cell r="S24">
            <v>6.0572970388065889E-4</v>
          </cell>
          <cell r="T24">
            <v>6.1890676325748425E-4</v>
          </cell>
          <cell r="U24">
            <v>6.2145183906211999E-4</v>
          </cell>
          <cell r="V24">
            <v>5.7936814408394727E-4</v>
          </cell>
          <cell r="W24">
            <v>5.5585036091887192E-4</v>
          </cell>
          <cell r="X24">
            <v>1.1754819502807997E-3</v>
          </cell>
          <cell r="Y24">
            <v>1.2276255123842591E-3</v>
          </cell>
          <cell r="Z24">
            <v>1.2782781061040618E-3</v>
          </cell>
          <cell r="AA24">
            <v>1.2643116848445246E-3</v>
          </cell>
          <cell r="AB24">
            <v>1.2501719390627609E-3</v>
          </cell>
        </row>
        <row r="25">
          <cell r="S25">
            <v>5.6195290049408674E-4</v>
          </cell>
          <cell r="T25">
            <v>5.7550491615703024E-4</v>
          </cell>
          <cell r="U25">
            <v>5.8464482967224816E-4</v>
          </cell>
          <cell r="V25">
            <v>5.5042361543950835E-4</v>
          </cell>
          <cell r="W25">
            <v>5.2699631616409258E-4</v>
          </cell>
          <cell r="X25">
            <v>1.0869643505394581E-3</v>
          </cell>
          <cell r="Y25">
            <v>1.1387396893056977E-3</v>
          </cell>
          <cell r="Z25">
            <v>1.2046585010427693E-3</v>
          </cell>
          <cell r="AA25">
            <v>1.2060537907360724E-3</v>
          </cell>
          <cell r="AB25">
            <v>1.1918278506958962E-3</v>
          </cell>
        </row>
        <row r="26">
          <cell r="S26">
            <v>5.2704615217283508E-4</v>
          </cell>
          <cell r="T26">
            <v>5.3486829111280072E-4</v>
          </cell>
          <cell r="U26">
            <v>5.4471884860826344E-4</v>
          </cell>
          <cell r="V26">
            <v>5.2342403459037633E-4</v>
          </cell>
          <cell r="W26">
            <v>5.0006336014839258E-4</v>
          </cell>
          <cell r="X26">
            <v>1.0189518342846253E-3</v>
          </cell>
          <cell r="Y26">
            <v>1.0551955755294825E-3</v>
          </cell>
          <cell r="Z26">
            <v>1.1196357903908731E-3</v>
          </cell>
          <cell r="AA26">
            <v>1.1509579481489803E-3</v>
          </cell>
          <cell r="AB26">
            <v>1.1365775036216515E-3</v>
          </cell>
        </row>
        <row r="27">
          <cell r="S27">
            <v>5.0167499943839274E-4</v>
          </cell>
          <cell r="T27">
            <v>4.9630439576255883E-4</v>
          </cell>
          <cell r="U27">
            <v>5.0685741459387712E-4</v>
          </cell>
          <cell r="V27">
            <v>4.9771781099798931E-4</v>
          </cell>
          <cell r="W27">
            <v>4.7472118493133267E-4</v>
          </cell>
          <cell r="X27">
            <v>9.7341346845177521E-4</v>
          </cell>
          <cell r="Y27">
            <v>9.7611753305044762E-4</v>
          </cell>
          <cell r="Z27">
            <v>1.0391526238709258E-3</v>
          </cell>
          <cell r="AA27">
            <v>1.0985114105365979E-3</v>
          </cell>
          <cell r="AB27">
            <v>1.0840266480675667E-3</v>
          </cell>
        </row>
        <row r="28">
          <cell r="S28">
            <v>4.3531738123088541E-4</v>
          </cell>
          <cell r="T28">
            <v>4.2896114005927684E-4</v>
          </cell>
          <cell r="U28">
            <v>4.286063693376303E-4</v>
          </cell>
          <cell r="V28">
            <v>4.2658304194765235E-4</v>
          </cell>
          <cell r="W28">
            <v>4.0838588474506772E-4</v>
          </cell>
          <cell r="X28">
            <v>9.2320416607243625E-4</v>
          </cell>
          <cell r="Y28">
            <v>9.2188610952410248E-4</v>
          </cell>
          <cell r="Z28">
            <v>9.5795156065134476E-4</v>
          </cell>
          <cell r="AA28">
            <v>1.0355761681031792E-3</v>
          </cell>
          <cell r="AB28">
            <v>1.0265942449638216E-3</v>
          </cell>
        </row>
        <row r="29">
          <cell r="S29">
            <v>4.1147536740330679E-4</v>
          </cell>
          <cell r="T29">
            <v>4.0538822910561535E-4</v>
          </cell>
          <cell r="U29">
            <v>3.9613282872049695E-4</v>
          </cell>
          <cell r="V29">
            <v>3.9668081576726939E-4</v>
          </cell>
          <cell r="W29">
            <v>3.8508819478320249E-4</v>
          </cell>
          <cell r="X29">
            <v>8.7598698687300349E-4</v>
          </cell>
          <cell r="Y29">
            <v>8.7465986396551931E-4</v>
          </cell>
          <cell r="Z29">
            <v>8.8088463519884878E-4</v>
          </cell>
          <cell r="AA29">
            <v>9.5749441533241584E-4</v>
          </cell>
          <cell r="AB29">
            <v>9.7235329944873384E-4</v>
          </cell>
        </row>
        <row r="30">
          <cell r="S30">
            <v>3.8902543170588234E-4</v>
          </cell>
          <cell r="T30">
            <v>3.8321514702236158E-4</v>
          </cell>
          <cell r="U30">
            <v>3.7168923645549616E-4</v>
          </cell>
          <cell r="V30">
            <v>3.6885197568080021E-4</v>
          </cell>
          <cell r="W30">
            <v>3.6326956921016961E-4</v>
          </cell>
          <cell r="X30">
            <v>8.315469185885446E-4</v>
          </cell>
          <cell r="Y30">
            <v>8.3021431669824263E-4</v>
          </cell>
          <cell r="Z30">
            <v>8.2732347779848581E-4</v>
          </cell>
          <cell r="AA30">
            <v>8.8521026281731044E-4</v>
          </cell>
          <cell r="AB30">
            <v>9.2136785537835417E-4</v>
          </cell>
        </row>
        <row r="31">
          <cell r="S31">
            <v>3.6795184421407185E-4</v>
          </cell>
          <cell r="T31">
            <v>3.6232899345622465E-4</v>
          </cell>
          <cell r="U31">
            <v>3.5139545460151779E-4</v>
          </cell>
          <cell r="V31">
            <v>3.4295402456489734E-4</v>
          </cell>
          <cell r="W31">
            <v>3.4271889916179672E-4</v>
          </cell>
          <cell r="X31">
            <v>7.8968754306310497E-4</v>
          </cell>
          <cell r="Y31">
            <v>7.8835137224341943E-4</v>
          </cell>
          <cell r="Z31">
            <v>7.8546250976140584E-4</v>
          </cell>
          <cell r="AA31">
            <v>8.1841291854905986E-4</v>
          </cell>
          <cell r="AB31">
            <v>8.7330236667999069E-4</v>
          </cell>
        </row>
        <row r="32">
          <cell r="S32">
            <v>3.4814713322529883E-4</v>
          </cell>
          <cell r="T32">
            <v>3.4263619018700607E-4</v>
          </cell>
          <cell r="U32">
            <v>3.3225924544931382E-4</v>
          </cell>
          <cell r="V32">
            <v>3.1867037818863466E-4</v>
          </cell>
          <cell r="W32">
            <v>3.2332644909446591E-4</v>
          </cell>
          <cell r="X32">
            <v>7.5022911916469627E-4</v>
          </cell>
          <cell r="Y32">
            <v>7.4888852664503928E-4</v>
          </cell>
          <cell r="Z32">
            <v>7.4600091883145984E-4</v>
          </cell>
          <cell r="AA32">
            <v>7.5603561704669755E-4</v>
          </cell>
          <cell r="AB32">
            <v>8.2793258517911217E-4</v>
          </cell>
        </row>
        <row r="33">
          <cell r="S33">
            <v>3.294582489301691E-4</v>
          </cell>
          <cell r="T33">
            <v>3.241440494073086E-4</v>
          </cell>
          <cell r="U33">
            <v>3.1468643573396784E-4</v>
          </cell>
          <cell r="V33">
            <v>2.9611479734276E-4</v>
          </cell>
          <cell r="W33">
            <v>3.0539121224907505E-4</v>
          </cell>
          <cell r="X33">
            <v>7.1300689637820666E-4</v>
          </cell>
          <cell r="Y33">
            <v>7.1169124910045638E-4</v>
          </cell>
          <cell r="Z33">
            <v>7.0880096375534527E-4</v>
          </cell>
          <cell r="AA33">
            <v>6.9842572672535732E-4</v>
          </cell>
          <cell r="AB33">
            <v>7.8547071917430922E-4</v>
          </cell>
        </row>
        <row r="34">
          <cell r="S34">
            <v>3.1229463908189267E-4</v>
          </cell>
          <cell r="T34">
            <v>3.0698990671666895E-4</v>
          </cell>
          <cell r="U34">
            <v>2.9824256048041668E-4</v>
          </cell>
          <cell r="V34">
            <v>2.8017779090957741E-4</v>
          </cell>
          <cell r="W34">
            <v>2.8852279707255725E-4</v>
          </cell>
          <cell r="X34">
            <v>6.7802420782625051E-4</v>
          </cell>
          <cell r="Y34">
            <v>6.7665766613178059E-4</v>
          </cell>
          <cell r="Z34">
            <v>6.7367496806675726E-4</v>
          </cell>
          <cell r="AA34">
            <v>6.6326205964096043E-4</v>
          </cell>
          <cell r="AB34">
            <v>7.4534653253839807E-4</v>
          </cell>
        </row>
        <row r="35">
          <cell r="S35">
            <v>2.9611086413334846E-4</v>
          </cell>
          <cell r="T35">
            <v>2.909383090896873E-4</v>
          </cell>
          <cell r="U35">
            <v>2.8272768762665514E-4</v>
          </cell>
          <cell r="V35">
            <v>2.652812190365431E-4</v>
          </cell>
          <cell r="W35">
            <v>2.7148533556407779E-4</v>
          </cell>
          <cell r="X35">
            <v>6.4499474251041911E-4</v>
          </cell>
          <cell r="Y35">
            <v>6.4356740028656502E-4</v>
          </cell>
          <cell r="Z35">
            <v>6.4050995380406485E-4</v>
          </cell>
          <cell r="AA35">
            <v>6.3010595228748482E-4</v>
          </cell>
          <cell r="AB35">
            <v>7.0215536597460629E-4</v>
          </cell>
        </row>
        <row r="36">
          <cell r="S36">
            <v>2.7808819010416419E-4</v>
          </cell>
          <cell r="T36">
            <v>2.730772490476255E-4</v>
          </cell>
          <cell r="U36">
            <v>2.654510561445276E-4</v>
          </cell>
          <cell r="V36">
            <v>2.4879140310981462E-4</v>
          </cell>
          <cell r="W36">
            <v>2.5081578025334998E-4</v>
          </cell>
          <cell r="X36">
            <v>6.0690778475788461E-4</v>
          </cell>
          <cell r="Y36">
            <v>6.0543195672544412E-4</v>
          </cell>
          <cell r="Z36">
            <v>6.0233490071571311E-4</v>
          </cell>
          <cell r="AA36">
            <v>5.9205304381594365E-4</v>
          </cell>
          <cell r="AB36">
            <v>6.4488358669018912E-4</v>
          </cell>
        </row>
        <row r="37">
          <cell r="S37">
            <v>2.6132314087669209E-4</v>
          </cell>
          <cell r="T37">
            <v>2.5647040472175374E-4</v>
          </cell>
          <cell r="U37">
            <v>2.4938361718994867E-4</v>
          </cell>
          <cell r="V37">
            <v>2.3343191933400796E-4</v>
          </cell>
          <cell r="W37">
            <v>2.3190810872938792E-4</v>
          </cell>
          <cell r="X37">
            <v>5.7155640585461627E-4</v>
          </cell>
          <cell r="Y37">
            <v>5.7003708598976882E-4</v>
          </cell>
          <cell r="Z37">
            <v>5.6690731876041548E-4</v>
          </cell>
          <cell r="AA37">
            <v>5.5671082438239728E-4</v>
          </cell>
          <cell r="AB37">
            <v>5.9243889583046995E-4</v>
          </cell>
        </row>
        <row r="38">
          <cell r="S38">
            <v>2.4580054621055911E-4</v>
          </cell>
          <cell r="T38">
            <v>2.4124366815786902E-4</v>
          </cell>
          <cell r="U38">
            <v>2.3443628141979735E-4</v>
          </cell>
          <cell r="V38">
            <v>2.1913539319095093E-4</v>
          </cell>
          <cell r="W38">
            <v>2.1448745369053018E-4</v>
          </cell>
          <cell r="X38">
            <v>5.3869381863448282E-4</v>
          </cell>
          <cell r="Y38">
            <v>5.3714704618201381E-4</v>
          </cell>
          <cell r="Z38">
            <v>5.3398362253502204E-4</v>
          </cell>
          <cell r="AA38">
            <v>5.2386329527132004E-4</v>
          </cell>
          <cell r="AB38">
            <v>5.4428279547183152E-4</v>
          </cell>
        </row>
        <row r="39">
          <cell r="S39">
            <v>2.3136608218387396E-4</v>
          </cell>
          <cell r="T39">
            <v>2.2718912850347588E-4</v>
          </cell>
          <cell r="U39">
            <v>2.2051291381814902E-4</v>
          </cell>
          <cell r="V39">
            <v>2.0577326161944569E-4</v>
          </cell>
          <cell r="W39">
            <v>1.9823154672484714E-4</v>
          </cell>
          <cell r="X39">
            <v>5.0810071676043924E-4</v>
          </cell>
          <cell r="Y39">
            <v>5.0651149904568777E-4</v>
          </cell>
          <cell r="Z39">
            <v>5.0329189629736836E-4</v>
          </cell>
          <cell r="AA39">
            <v>4.9324834763163133E-4</v>
          </cell>
          <cell r="AB39">
            <v>4.9948929098649183E-4</v>
          </cell>
        </row>
        <row r="40">
          <cell r="S40">
            <v>2.1794839880856393E-4</v>
          </cell>
          <cell r="T40">
            <v>2.1418632738829911E-4</v>
          </cell>
          <cell r="U40">
            <v>2.0773885276981972E-4</v>
          </cell>
          <cell r="V40">
            <v>1.933779186830243E-4</v>
          </cell>
          <cell r="W40">
            <v>1.8365008653849869E-4</v>
          </cell>
          <cell r="X40">
            <v>4.7960613750594341E-4</v>
          </cell>
          <cell r="Y40">
            <v>4.7803457287779751E-4</v>
          </cell>
          <cell r="Z40">
            <v>4.7483343938866263E-4</v>
          </cell>
          <cell r="AA40">
            <v>4.6478585934580703E-4</v>
          </cell>
          <cell r="AB40">
            <v>4.5848117045339164E-4</v>
          </cell>
        </row>
        <row r="41">
          <cell r="S41">
            <v>2.0547727569563556E-4</v>
          </cell>
          <cell r="T41">
            <v>2.0208050165883921E-4</v>
          </cell>
          <cell r="U41">
            <v>1.9585066827900927E-4</v>
          </cell>
          <cell r="V41">
            <v>1.8184475536587108E-4</v>
          </cell>
          <cell r="W41">
            <v>1.7247774937021259E-4</v>
          </cell>
          <cell r="X41">
            <v>4.530447777992472E-4</v>
          </cell>
          <cell r="Y41">
            <v>4.5148479088019802E-4</v>
          </cell>
          <cell r="Z41">
            <v>4.4832046801751628E-4</v>
          </cell>
          <cell r="AA41">
            <v>4.3823463940419617E-4</v>
          </cell>
          <cell r="AB41">
            <v>4.2973590717036426E-4</v>
          </cell>
        </row>
        <row r="42">
          <cell r="S42">
            <v>1.9393092172617974E-4</v>
          </cell>
          <cell r="T42">
            <v>1.9074761520933783E-4</v>
          </cell>
          <cell r="U42">
            <v>1.8472345753052616E-4</v>
          </cell>
          <cell r="V42">
            <v>1.7108865795621069E-4</v>
          </cell>
          <cell r="W42">
            <v>1.6255027962051963E-4</v>
          </cell>
          <cell r="X42">
            <v>4.2822335667218428E-4</v>
          </cell>
          <cell r="Y42">
            <v>4.2668019820733707E-4</v>
          </cell>
          <cell r="Z42">
            <v>4.2354071054285315E-4</v>
          </cell>
          <cell r="AA42">
            <v>4.1344071771997736E-4</v>
          </cell>
          <cell r="AB42">
            <v>4.0507509454999063E-4</v>
          </cell>
        </row>
        <row r="43">
          <cell r="S43">
            <v>1.8323391499428535E-4</v>
          </cell>
          <cell r="T43">
            <v>1.8012605453317468E-4</v>
          </cell>
          <cell r="U43">
            <v>1.7430094640854098E-4</v>
          </cell>
          <cell r="V43">
            <v>1.6100427202069982E-4</v>
          </cell>
          <cell r="W43">
            <v>1.5315849320114502E-4</v>
          </cell>
          <cell r="X43">
            <v>4.0500120828406382E-4</v>
          </cell>
          <cell r="Y43">
            <v>4.0347360914294171E-4</v>
          </cell>
          <cell r="Z43">
            <v>4.0036811314901599E-4</v>
          </cell>
          <cell r="AA43">
            <v>3.9022787163332947E-4</v>
          </cell>
          <cell r="AB43">
            <v>3.8203013565482808E-4</v>
          </cell>
        </row>
        <row r="44">
          <cell r="S44">
            <v>1.7319454280826155E-4</v>
          </cell>
          <cell r="T44">
            <v>1.7016257119256421E-4</v>
          </cell>
          <cell r="U44">
            <v>1.6452125336808253E-4</v>
          </cell>
          <cell r="V44">
            <v>1.5157559050547317E-4</v>
          </cell>
          <cell r="W44">
            <v>1.4432146999852173E-4</v>
          </cell>
          <cell r="X44">
            <v>3.832515541964159E-4</v>
          </cell>
          <cell r="Y44">
            <v>3.8174210763862741E-4</v>
          </cell>
          <cell r="Z44">
            <v>3.7866185493151818E-4</v>
          </cell>
          <cell r="AA44">
            <v>3.6845229296422684E-4</v>
          </cell>
          <cell r="AB44">
            <v>3.603921646684441E-4</v>
          </cell>
        </row>
        <row r="45">
          <cell r="S45">
            <v>1.6376471647587673E-4</v>
          </cell>
          <cell r="T45">
            <v>1.6083279960931341E-4</v>
          </cell>
          <cell r="U45">
            <v>1.5532347911031258E-4</v>
          </cell>
          <cell r="V45">
            <v>1.4285501863059075E-4</v>
          </cell>
          <cell r="W45">
            <v>1.360232334272265E-4</v>
          </cell>
          <cell r="X45">
            <v>3.628598601579608E-4</v>
          </cell>
          <cell r="Y45">
            <v>3.6137362865307937E-4</v>
          </cell>
          <cell r="Z45">
            <v>3.5830057803451569E-4</v>
          </cell>
          <cell r="AA45">
            <v>3.4813732432490617E-4</v>
          </cell>
          <cell r="AB45">
            <v>3.4008261086301557E-4</v>
          </cell>
          <cell r="AS45">
            <v>1.5625000000000001E-3</v>
          </cell>
        </row>
        <row r="46">
          <cell r="S46">
            <v>1.5490527127613781E-4</v>
          </cell>
          <cell r="T46">
            <v>1.5208886576585485E-4</v>
          </cell>
          <cell r="U46">
            <v>1.4672826324406424E-4</v>
          </cell>
          <cell r="V46">
            <v>1.3471533473833204E-4</v>
          </cell>
          <cell r="W46">
            <v>1.2826950856783485E-4</v>
          </cell>
          <cell r="X46">
            <v>3.4372965470894215E-4</v>
          </cell>
          <cell r="Y46">
            <v>3.4225739273525502E-4</v>
          </cell>
          <cell r="Z46">
            <v>3.3918786212471896E-4</v>
          </cell>
          <cell r="AA46">
            <v>3.2907529694673377E-4</v>
          </cell>
          <cell r="AB46">
            <v>3.2097580161912143E-4</v>
          </cell>
        </row>
        <row r="47">
          <cell r="S47">
            <v>1.4657087002580932E-4</v>
          </cell>
          <cell r="T47">
            <v>1.4383555301271533E-4</v>
          </cell>
          <cell r="U47">
            <v>1.3866148552329707E-4</v>
          </cell>
          <cell r="V47">
            <v>1.2733130982576309E-4</v>
          </cell>
          <cell r="W47">
            <v>1.2095843259764385E-4</v>
          </cell>
          <cell r="X47">
            <v>3.2575932125878196E-4</v>
          </cell>
          <cell r="Y47">
            <v>3.2428515699104549E-4</v>
          </cell>
          <cell r="Z47">
            <v>3.2121413009389784E-4</v>
          </cell>
          <cell r="AA47">
            <v>3.1112838334246111E-4</v>
          </cell>
          <cell r="AB47">
            <v>3.0300535235907179E-4</v>
          </cell>
        </row>
        <row r="48">
          <cell r="S48">
            <v>1.3871267678000206E-4</v>
          </cell>
          <cell r="T48">
            <v>1.3608153686313289E-4</v>
          </cell>
          <cell r="U48">
            <v>1.3109863476386667E-4</v>
          </cell>
          <cell r="V48">
            <v>1.2040354413046254E-4</v>
          </cell>
          <cell r="W48">
            <v>1.1414752871907044E-4</v>
          </cell>
          <cell r="X48">
            <v>3.0886332039088628E-4</v>
          </cell>
          <cell r="Y48">
            <v>3.0739939564610076E-4</v>
          </cell>
          <cell r="Z48">
            <v>3.0432715156483676E-4</v>
          </cell>
          <cell r="AA48">
            <v>2.9430614271586732E-4</v>
          </cell>
          <cell r="AB48">
            <v>2.8623197447014061E-4</v>
          </cell>
        </row>
        <row r="49">
          <cell r="S49">
            <v>1.3132399787959368E-4</v>
          </cell>
          <cell r="T49">
            <v>1.2877996533586244E-4</v>
          </cell>
          <cell r="U49">
            <v>1.2401639042771792E-4</v>
          </cell>
          <cell r="V49">
            <v>1.1386506254813148E-4</v>
          </cell>
          <cell r="W49">
            <v>1.0779784599655293E-4</v>
          </cell>
          <cell r="X49">
            <v>2.9296495849832709E-4</v>
          </cell>
          <cell r="Y49">
            <v>2.9151985978951645E-4</v>
          </cell>
          <cell r="Z49">
            <v>2.8847282409005673E-4</v>
          </cell>
          <cell r="AA49">
            <v>2.7853603088805304E-4</v>
          </cell>
          <cell r="AB49">
            <v>2.705386511254814E-4</v>
          </cell>
        </row>
        <row r="50">
          <cell r="S50">
            <v>1.1874409693642572E-4</v>
          </cell>
          <cell r="T50">
            <v>1.1639452439548057E-4</v>
          </cell>
          <cell r="U50">
            <v>1.1207301929218009E-4</v>
          </cell>
          <cell r="V50">
            <v>1.0297614877377888E-4</v>
          </cell>
          <cell r="W50">
            <v>9.7366129276184039E-5</v>
          </cell>
          <cell r="X50">
            <v>2.7800638414401854E-4</v>
          </cell>
          <cell r="Y50">
            <v>2.7657513752395109E-4</v>
          </cell>
          <cell r="Z50">
            <v>2.7356734548828799E-4</v>
          </cell>
          <cell r="AA50">
            <v>2.6366894240758518E-4</v>
          </cell>
          <cell r="AB50">
            <v>2.5574139758083802E-4</v>
          </cell>
        </row>
        <row r="51">
          <cell r="S51">
            <v>1.1253214501954112E-4</v>
          </cell>
          <cell r="T51">
            <v>1.1023516896177355E-4</v>
          </cell>
          <cell r="U51">
            <v>1.0611263786626674E-4</v>
          </cell>
          <cell r="V51">
            <v>9.7404094363353317E-5</v>
          </cell>
          <cell r="W51">
            <v>9.2024014956406487E-5</v>
          </cell>
          <cell r="X51">
            <v>2.6390750111780629E-4</v>
          </cell>
          <cell r="Y51">
            <v>2.6249108197768452E-4</v>
          </cell>
          <cell r="Z51">
            <v>2.5951822192943878E-4</v>
          </cell>
          <cell r="AA51">
            <v>2.4965634367437619E-4</v>
          </cell>
          <cell r="AB51">
            <v>2.4183933558673731E-4</v>
          </cell>
        </row>
        <row r="52">
          <cell r="S52">
            <v>1.0665993626331687E-4</v>
          </cell>
          <cell r="T52">
            <v>1.0442031439537457E-4</v>
          </cell>
          <cell r="U52">
            <v>1.004726956165581E-4</v>
          </cell>
          <cell r="V52">
            <v>9.2164215844417162E-5</v>
          </cell>
          <cell r="W52">
            <v>8.6999487843362818E-5</v>
          </cell>
          <cell r="X52">
            <v>2.5060880005161755E-4</v>
          </cell>
          <cell r="Y52">
            <v>2.4920469933326626E-4</v>
          </cell>
          <cell r="Z52">
            <v>2.4626149497243967E-4</v>
          </cell>
          <cell r="AA52">
            <v>2.364325584451088E-4</v>
          </cell>
          <cell r="AB52">
            <v>2.2871375233909721E-4</v>
          </cell>
        </row>
        <row r="53">
          <cell r="S53">
            <v>1.0110496619393069E-4</v>
          </cell>
          <cell r="T53">
            <v>9.8970372852089206E-5</v>
          </cell>
          <cell r="U53">
            <v>9.513755876294449E-5</v>
          </cell>
          <cell r="V53">
            <v>8.7248689623813637E-5</v>
          </cell>
          <cell r="W53">
            <v>8.2255844062415628E-5</v>
          </cell>
          <cell r="X53">
            <v>2.3805569363461614E-4</v>
          </cell>
          <cell r="Y53">
            <v>2.3666662864112363E-4</v>
          </cell>
          <cell r="Z53">
            <v>2.3374285824536185E-4</v>
          </cell>
          <cell r="AA53">
            <v>2.2398116133019608E-4</v>
          </cell>
          <cell r="AB53">
            <v>2.1615377517139034E-4</v>
          </cell>
        </row>
        <row r="54">
          <cell r="S54">
            <v>9.5848724693391743E-5</v>
          </cell>
          <cell r="T54">
            <v>9.3829718000863936E-5</v>
          </cell>
          <cell r="U54">
            <v>9.0109335172636201E-5</v>
          </cell>
          <cell r="V54">
            <v>8.261626513327655E-5</v>
          </cell>
          <cell r="W54">
            <v>7.7688541451482587E-5</v>
          </cell>
          <cell r="X54">
            <v>2.2619803332923834E-4</v>
          </cell>
          <cell r="Y54">
            <v>2.2481660975197721E-4</v>
          </cell>
          <cell r="Z54">
            <v>2.2192801980824137E-4</v>
          </cell>
          <cell r="AA54">
            <v>2.1224288049424692E-4</v>
          </cell>
          <cell r="AB54">
            <v>2.0345091210336437E-4</v>
          </cell>
        </row>
        <row r="55">
          <cell r="S55">
            <v>9.0865587770739366E-5</v>
          </cell>
          <cell r="T55">
            <v>8.8969899519676486E-5</v>
          </cell>
          <cell r="U55">
            <v>8.5375655325560379E-5</v>
          </cell>
          <cell r="V55">
            <v>7.8254910665465901E-5</v>
          </cell>
          <cell r="W55">
            <v>7.354224884604965E-5</v>
          </cell>
          <cell r="X55">
            <v>2.1498850568311604E-4</v>
          </cell>
          <cell r="Y55">
            <v>2.1361633641766157E-4</v>
          </cell>
          <cell r="Z55">
            <v>2.1077224568089538E-4</v>
          </cell>
          <cell r="AA55">
            <v>2.0118721468834514E-4</v>
          </cell>
          <cell r="AB55">
            <v>1.915126466610406E-4</v>
          </cell>
        </row>
        <row r="56">
          <cell r="S56">
            <v>8.6165540687708377E-5</v>
          </cell>
          <cell r="T56">
            <v>8.4382389038030773E-5</v>
          </cell>
          <cell r="U56">
            <v>8.0897918769664998E-5</v>
          </cell>
          <cell r="V56">
            <v>7.4131396737096665E-5</v>
          </cell>
          <cell r="W56">
            <v>6.9637699795601577E-5</v>
          </cell>
          <cell r="X56">
            <v>2.0438445309461697E-4</v>
          </cell>
          <cell r="Y56">
            <v>2.0304408269577602E-4</v>
          </cell>
          <cell r="Z56">
            <v>2.0022515069584E-4</v>
          </cell>
          <cell r="AA56">
            <v>1.9072055704167656E-4</v>
          </cell>
          <cell r="AB56">
            <v>1.8031152987384619E-4</v>
          </cell>
        </row>
        <row r="57">
          <cell r="S57">
            <v>8.1738609933506854E-5</v>
          </cell>
          <cell r="T57">
            <v>8.0012458569923671E-5</v>
          </cell>
          <cell r="U57">
            <v>7.6627233738003721E-5</v>
          </cell>
          <cell r="V57">
            <v>7.0210748297389866E-5</v>
          </cell>
          <cell r="W57">
            <v>6.592506337088233E-5</v>
          </cell>
          <cell r="X57">
            <v>1.9434807353450274E-4</v>
          </cell>
          <cell r="Y57">
            <v>1.9301328375193405E-4</v>
          </cell>
          <cell r="Z57">
            <v>1.9020116673867167E-4</v>
          </cell>
          <cell r="AA57">
            <v>1.8076831116327875E-4</v>
          </cell>
          <cell r="AB57">
            <v>1.6965330236857004E-4</v>
          </cell>
        </row>
        <row r="58">
          <cell r="S58">
            <v>7.7560864994299965E-5</v>
          </cell>
          <cell r="T58">
            <v>7.5855309125610483E-5</v>
          </cell>
          <cell r="U58">
            <v>7.2603110851714278E-5</v>
          </cell>
          <cell r="V58">
            <v>6.650842361180474E-5</v>
          </cell>
          <cell r="W58">
            <v>6.2667789311686325E-5</v>
          </cell>
          <cell r="X58">
            <v>1.8484314239480183E-4</v>
          </cell>
          <cell r="Y58">
            <v>1.835053058829264E-4</v>
          </cell>
          <cell r="Z58">
            <v>1.8069895647786121E-4</v>
          </cell>
          <cell r="AA58">
            <v>1.7137785818401892E-4</v>
          </cell>
          <cell r="AB58">
            <v>1.5968397157188602E-4</v>
          </cell>
        </row>
        <row r="59">
          <cell r="S59">
            <v>7.3601899104425869E-5</v>
          </cell>
          <cell r="T59">
            <v>7.1919422081438011E-5</v>
          </cell>
          <cell r="U59">
            <v>6.8808896494534921E-5</v>
          </cell>
          <cell r="V59">
            <v>6.3040092030512422E-5</v>
          </cell>
          <cell r="W59">
            <v>5.9629667276920359E-5</v>
          </cell>
          <cell r="X59">
            <v>1.3170643308605751E-4</v>
          </cell>
          <cell r="Y59">
            <v>1.3045586980822796E-4</v>
          </cell>
          <cell r="Z59">
            <v>1.278569718901531E-4</v>
          </cell>
          <cell r="AA59">
            <v>1.2126514661300346E-4</v>
          </cell>
          <cell r="AB59">
            <v>1.1278209575103458E-4</v>
          </cell>
        </row>
        <row r="60">
          <cell r="S60">
            <v>6.9854285118833097E-5</v>
          </cell>
          <cell r="T60">
            <v>6.8209651177289428E-5</v>
          </cell>
          <cell r="U60">
            <v>6.5349252099226152E-5</v>
          </cell>
          <cell r="V60">
            <v>5.9764449909840726E-5</v>
          </cell>
          <cell r="W60">
            <v>5.6746183692073524E-5</v>
          </cell>
          <cell r="X60">
            <v>1.2547806726587708E-4</v>
          </cell>
          <cell r="Y60">
            <v>1.2425377399446954E-4</v>
          </cell>
          <cell r="Z60">
            <v>1.2172061331333972E-4</v>
          </cell>
          <cell r="AA60">
            <v>1.152578936066376E-4</v>
          </cell>
          <cell r="AB60">
            <v>1.0665210551446462E-4</v>
          </cell>
        </row>
        <row r="61">
          <cell r="S61">
            <v>6.6292515238719469E-5</v>
          </cell>
          <cell r="T61">
            <v>6.469954763257595E-5</v>
          </cell>
          <cell r="U61">
            <v>6.209402769683699E-5</v>
          </cell>
          <cell r="V61">
            <v>5.6592292070755557E-5</v>
          </cell>
          <cell r="W61">
            <v>5.4006993975941449E-5</v>
          </cell>
          <cell r="X61">
            <v>1.1956716843100939E-4</v>
          </cell>
          <cell r="Y61">
            <v>1.1836915658499439E-4</v>
          </cell>
          <cell r="Z61">
            <v>1.1589116181895977E-4</v>
          </cell>
          <cell r="AA61">
            <v>1.0918163359671093E-4</v>
          </cell>
          <cell r="AB61">
            <v>1.0082710892050048E-4</v>
          </cell>
        </row>
        <row r="62">
          <cell r="S62">
            <v>6.2904686755844026E-5</v>
          </cell>
          <cell r="T62">
            <v>6.1349857919484909E-5</v>
          </cell>
          <cell r="U62">
            <v>5.8984074340987159E-5</v>
          </cell>
          <cell r="V62">
            <v>5.3659049669834213E-5</v>
          </cell>
          <cell r="W62">
            <v>5.1403314838623321E-5</v>
          </cell>
          <cell r="X62">
            <v>1.1395249516260556E-4</v>
          </cell>
          <cell r="Y62">
            <v>1.1277684019627962E-4</v>
          </cell>
          <cell r="Z62">
            <v>1.1035209568211307E-4</v>
          </cell>
          <cell r="AA62">
            <v>1.0340064528521134E-4</v>
          </cell>
          <cell r="AB62">
            <v>9.5296909275028281E-5</v>
          </cell>
        </row>
        <row r="63">
          <cell r="S63">
            <v>5.409993769748626E-5</v>
          </cell>
          <cell r="T63">
            <v>5.2800579363657136E-5</v>
          </cell>
          <cell r="U63">
            <v>5.0834963772903262E-5</v>
          </cell>
          <cell r="V63">
            <v>4.6418009417018524E-5</v>
          </cell>
          <cell r="W63">
            <v>4.4550302511585713E-5</v>
          </cell>
          <cell r="X63">
            <v>9.6674320021711242E-5</v>
          </cell>
          <cell r="Y63">
            <v>9.5599145046095662E-5</v>
          </cell>
          <cell r="Z63">
            <v>9.3393052547039438E-5</v>
          </cell>
          <cell r="AA63">
            <v>8.7238481602173621E-5</v>
          </cell>
          <cell r="AB63">
            <v>8.0586630916932892E-5</v>
          </cell>
        </row>
        <row r="64">
          <cell r="S64">
            <v>5.1379644930763772E-5</v>
          </cell>
          <cell r="T64">
            <v>5.0126079496233483E-5</v>
          </cell>
          <cell r="U64">
            <v>4.8288838479858925E-5</v>
          </cell>
          <cell r="V64">
            <v>4.406332948579996E-5</v>
          </cell>
          <cell r="W64">
            <v>4.2442445615575138E-5</v>
          </cell>
          <cell r="X64">
            <v>9.2201767757862596E-5</v>
          </cell>
          <cell r="Y64">
            <v>9.1154233801062591E-5</v>
          </cell>
          <cell r="Z64">
            <v>8.8999654395467251E-5</v>
          </cell>
          <cell r="AA64">
            <v>8.2676840085124382E-5</v>
          </cell>
          <cell r="AB64">
            <v>7.6375842984908223E-5</v>
          </cell>
        </row>
        <row r="65">
          <cell r="S65">
            <v>4.9209535162095231E-5</v>
          </cell>
          <cell r="T65">
            <v>4.8030793358406516E-5</v>
          </cell>
          <cell r="U65">
            <v>4.6273500354743053E-5</v>
          </cell>
          <cell r="V65">
            <v>4.2297234101148228E-5</v>
          </cell>
          <cell r="W65">
            <v>4.0774773562358808E-5</v>
          </cell>
          <cell r="X65">
            <v>8.8689046477352732E-5</v>
          </cell>
          <cell r="Y65">
            <v>8.765787185338455E-5</v>
          </cell>
          <cell r="Z65">
            <v>8.5538083318197983E-5</v>
          </cell>
          <cell r="AA65">
            <v>7.8970493620000477E-5</v>
          </cell>
          <cell r="AB65">
            <v>7.2988266580263398E-5</v>
          </cell>
        </row>
        <row r="66">
          <cell r="S66">
            <v>4.8177587815092902E-5</v>
          </cell>
          <cell r="T66">
            <v>4.7115321528118466E-5</v>
          </cell>
          <cell r="U66">
            <v>4.53188896522189E-5</v>
          </cell>
          <cell r="V66">
            <v>4.1544267649195261E-5</v>
          </cell>
          <cell r="W66">
            <v>4.003990779321007E-5</v>
          </cell>
          <cell r="X66">
            <v>8.7200217016421901E-5</v>
          </cell>
          <cell r="Y66">
            <v>8.6162028751183325E-5</v>
          </cell>
          <cell r="Z66">
            <v>8.4017256633620325E-5</v>
          </cell>
          <cell r="AA66">
            <v>7.7049294417620614E-5</v>
          </cell>
          <cell r="AB66">
            <v>7.1284192753840345E-5</v>
          </cell>
        </row>
        <row r="67">
          <cell r="S67">
            <v>4.7176414377666556E-5</v>
          </cell>
          <cell r="T67">
            <v>4.6213936792821517E-5</v>
          </cell>
          <cell r="U67">
            <v>4.4376765721861911E-5</v>
          </cell>
          <cell r="V67">
            <v>4.0803578565354285E-5</v>
          </cell>
          <cell r="W67">
            <v>3.9308145150925015E-5</v>
          </cell>
          <cell r="X67">
            <v>8.5750403951092056E-5</v>
          </cell>
          <cell r="Y67">
            <v>8.4694374088292311E-5</v>
          </cell>
          <cell r="Z67">
            <v>8.2529718228708219E-5</v>
          </cell>
          <cell r="AA67">
            <v>7.5138210169002899E-5</v>
          </cell>
          <cell r="AB67">
            <v>6.9551575552781025E-5</v>
          </cell>
        </row>
        <row r="68">
          <cell r="S68">
            <v>4.619365137868795E-5</v>
          </cell>
          <cell r="T68">
            <v>4.5292947948187211E-5</v>
          </cell>
          <cell r="U68">
            <v>4.3445846872783104E-5</v>
          </cell>
          <cell r="V68">
            <v>4.0075556323968607E-5</v>
          </cell>
          <cell r="W68">
            <v>3.8593838944739458E-5</v>
          </cell>
          <cell r="X68">
            <v>8.4328700045746275E-5</v>
          </cell>
          <cell r="Y68">
            <v>8.3259037380126836E-5</v>
          </cell>
          <cell r="Z68">
            <v>8.1063098258643334E-5</v>
          </cell>
          <cell r="AA68">
            <v>7.3238481287296955E-5</v>
          </cell>
          <cell r="AB68">
            <v>6.7859058216533552E-5</v>
          </cell>
        </row>
        <row r="69">
          <cell r="S69">
            <v>4.5337835915314835E-5</v>
          </cell>
          <cell r="T69">
            <v>4.4378765365387178E-5</v>
          </cell>
          <cell r="U69">
            <v>4.2535161342591128E-5</v>
          </cell>
          <cell r="V69">
            <v>3.9362513890828857E-5</v>
          </cell>
          <cell r="W69">
            <v>3.7892085954406105E-5</v>
          </cell>
          <cell r="X69">
            <v>8.2939090602435805E-5</v>
          </cell>
          <cell r="Y69">
            <v>8.1848336180578729E-5</v>
          </cell>
          <cell r="Z69">
            <v>7.962480019845445E-5</v>
          </cell>
          <cell r="AA69">
            <v>7.1468091481396542E-5</v>
          </cell>
          <cell r="AB69">
            <v>6.6194579482682864E-5</v>
          </cell>
        </row>
        <row r="70">
          <cell r="S70">
            <v>4.4493024751436383E-5</v>
          </cell>
          <cell r="T70">
            <v>4.3492520552738626E-5</v>
          </cell>
          <cell r="U70">
            <v>4.1629406417793324E-5</v>
          </cell>
          <cell r="V70">
            <v>3.8668467897742994E-5</v>
          </cell>
          <cell r="W70">
            <v>3.7232712106680398E-5</v>
          </cell>
          <cell r="X70">
            <v>8.1574885956556614E-5</v>
          </cell>
          <cell r="Y70">
            <v>8.0475621663766002E-5</v>
          </cell>
          <cell r="Z70">
            <v>7.8202052581528169E-5</v>
          </cell>
          <cell r="AA70">
            <v>6.9774042413028493E-5</v>
          </cell>
          <cell r="AB70">
            <v>6.457689401098872E-5</v>
          </cell>
        </row>
        <row r="71">
          <cell r="S71">
            <v>4.3712668200139667E-5</v>
          </cell>
          <cell r="T71">
            <v>4.2664097158884342E-5</v>
          </cell>
          <cell r="U71">
            <v>4.0761984989265212E-5</v>
          </cell>
          <cell r="V71">
            <v>3.7993012623257217E-5</v>
          </cell>
          <cell r="W71">
            <v>3.6579857610567966E-5</v>
          </cell>
          <cell r="X71">
            <v>8.0305823947201236E-5</v>
          </cell>
          <cell r="Y71">
            <v>7.9153962939285851E-5</v>
          </cell>
          <cell r="Z71">
            <v>7.6819852937272444E-5</v>
          </cell>
          <cell r="AA71">
            <v>6.8139680592467345E-5</v>
          </cell>
          <cell r="AB71">
            <v>6.2936749067052833E-5</v>
          </cell>
        </row>
        <row r="72">
          <cell r="S72">
            <v>4.294115430602583E-5</v>
          </cell>
          <cell r="T72">
            <v>4.1845067171974427E-5</v>
          </cell>
          <cell r="U72">
            <v>3.990835861451864E-5</v>
          </cell>
          <cell r="V72">
            <v>3.7329211165965296E-5</v>
          </cell>
          <cell r="W72">
            <v>3.5938476941225548E-5</v>
          </cell>
          <cell r="X72">
            <v>7.9068052974306605E-5</v>
          </cell>
          <cell r="Y72">
            <v>7.785626969113998E-5</v>
          </cell>
          <cell r="Z72">
            <v>7.5382189979322426E-5</v>
          </cell>
          <cell r="AA72">
            <v>6.6520966203523704E-5</v>
          </cell>
          <cell r="AB72">
            <v>6.1322019393219323E-5</v>
          </cell>
        </row>
        <row r="73">
          <cell r="S73">
            <v>4.2179204482269107E-5</v>
          </cell>
          <cell r="T73">
            <v>4.1040128595839706E-5</v>
          </cell>
          <cell r="U73">
            <v>3.9054682159331954E-5</v>
          </cell>
          <cell r="V73">
            <v>3.6668716592584447E-5</v>
          </cell>
          <cell r="W73">
            <v>3.5307143284284061E-5</v>
          </cell>
          <cell r="X73">
            <v>7.7853945217254525E-5</v>
          </cell>
          <cell r="Y73">
            <v>7.6583591722967074E-5</v>
          </cell>
          <cell r="Z73">
            <v>7.3794363104036603E-5</v>
          </cell>
          <cell r="AA73">
            <v>6.4892898977842039E-5</v>
          </cell>
          <cell r="AB73">
            <v>5.9726337535840041E-5</v>
          </cell>
        </row>
        <row r="74">
          <cell r="S74">
            <v>4.1426480187937603E-5</v>
          </cell>
          <cell r="T74">
            <v>4.0256551554923318E-5</v>
          </cell>
          <cell r="U74">
            <v>3.8268945371962767E-5</v>
          </cell>
          <cell r="V74">
            <v>3.6018124262797866E-5</v>
          </cell>
          <cell r="W74">
            <v>3.4681689029848987E-5</v>
          </cell>
          <cell r="X74">
            <v>7.6663340548457578E-5</v>
          </cell>
          <cell r="Y74">
            <v>7.5337302454831485E-5</v>
          </cell>
          <cell r="Z74">
            <v>7.2181804428730285E-5</v>
          </cell>
          <cell r="AA74">
            <v>6.327723734877518E-5</v>
          </cell>
          <cell r="AB74">
            <v>5.8135427312539809E-5</v>
          </cell>
        </row>
        <row r="75">
          <cell r="S75">
            <v>4.0703926516240926E-5</v>
          </cell>
          <cell r="T75">
            <v>3.9518509334933723E-5</v>
          </cell>
          <cell r="U75">
            <v>3.7525918336552253E-5</v>
          </cell>
          <cell r="V75">
            <v>3.5388868203018864E-5</v>
          </cell>
          <cell r="W75">
            <v>3.4059008240674745E-5</v>
          </cell>
          <cell r="X75">
            <v>7.5496526741259453E-5</v>
          </cell>
          <cell r="Y75">
            <v>7.4146775921467287E-5</v>
          </cell>
          <cell r="Z75">
            <v>7.0665534146873178E-5</v>
          </cell>
          <cell r="AA75">
            <v>6.1681452931541185E-5</v>
          </cell>
          <cell r="AB75">
            <v>5.6528313158798716E-5</v>
          </cell>
        </row>
        <row r="76">
          <cell r="S76">
            <v>3.9991348062799445E-5</v>
          </cell>
          <cell r="T76">
            <v>3.8784115360758706E-5</v>
          </cell>
          <cell r="U76">
            <v>3.6840867667994853E-5</v>
          </cell>
          <cell r="V76">
            <v>3.4784015114499466E-5</v>
          </cell>
          <cell r="W76">
            <v>3.3463219915575335E-5</v>
          </cell>
          <cell r="X76">
            <v>7.435261328990391E-5</v>
          </cell>
          <cell r="Y76">
            <v>7.297010506908554E-5</v>
          </cell>
          <cell r="Z76">
            <v>6.9172858057687899E-5</v>
          </cell>
          <cell r="AA76">
            <v>6.0088118626570987E-5</v>
          </cell>
          <cell r="AB76">
            <v>5.5031823942040703E-5</v>
          </cell>
        </row>
        <row r="77">
          <cell r="S77">
            <v>3.9283909004070173E-5</v>
          </cell>
          <cell r="T77">
            <v>3.8063708920948079E-5</v>
          </cell>
          <cell r="U77">
            <v>3.627545915723006E-5</v>
          </cell>
          <cell r="V77">
            <v>3.4186557525238E-5</v>
          </cell>
          <cell r="W77">
            <v>3.2879072647243549E-5</v>
          </cell>
          <cell r="X77">
            <v>7.3223358733059453E-5</v>
          </cell>
          <cell r="Y77">
            <v>7.1813093851219546E-5</v>
          </cell>
          <cell r="Z77">
            <v>6.7702785473586425E-5</v>
          </cell>
          <cell r="AA77">
            <v>5.8511927088731416E-5</v>
          </cell>
          <cell r="AB77">
            <v>5.3565933526889755E-5</v>
          </cell>
        </row>
        <row r="78">
          <cell r="S78">
            <v>3.8590755514072997E-5</v>
          </cell>
          <cell r="T78">
            <v>3.7377322091768843E-5</v>
          </cell>
          <cell r="U78">
            <v>3.5726939461978707E-5</v>
          </cell>
          <cell r="V78">
            <v>3.3603459436444987E-5</v>
          </cell>
          <cell r="W78">
            <v>3.2304102784120903E-5</v>
          </cell>
          <cell r="X78">
            <v>7.2120930568863226E-5</v>
          </cell>
          <cell r="Y78">
            <v>7.0686126959213874E-5</v>
          </cell>
          <cell r="Z78">
            <v>6.6287325566665394E-5</v>
          </cell>
          <cell r="AA78">
            <v>5.6982850999122073E-5</v>
          </cell>
          <cell r="AB78">
            <v>5.2131441787277266E-5</v>
          </cell>
        </row>
        <row r="79">
          <cell r="S79">
            <v>3.7911782267733883E-5</v>
          </cell>
          <cell r="T79">
            <v>3.6666353554915139E-5</v>
          </cell>
          <cell r="U79">
            <v>3.5184347910559242E-5</v>
          </cell>
          <cell r="V79">
            <v>3.302068956719213E-5</v>
          </cell>
          <cell r="W79">
            <v>3.17305991805335E-5</v>
          </cell>
          <cell r="X79">
            <v>7.1033613977361556E-5</v>
          </cell>
          <cell r="Y79">
            <v>6.9417038000059591E-5</v>
          </cell>
          <cell r="Z79">
            <v>6.4867622157492436E-5</v>
          </cell>
          <cell r="AA79">
            <v>5.5435735560985934E-5</v>
          </cell>
          <cell r="AB79">
            <v>5.0682204531291582E-5</v>
          </cell>
        </row>
        <row r="80">
          <cell r="S80">
            <v>3.7241353276199416E-5</v>
          </cell>
          <cell r="T80">
            <v>3.5969748122794014E-5</v>
          </cell>
          <cell r="U80">
            <v>3.4649425910048508E-5</v>
          </cell>
          <cell r="V80">
            <v>3.2447130338010698E-5</v>
          </cell>
          <cell r="W80">
            <v>3.1163403350667068E-5</v>
          </cell>
          <cell r="X80">
            <v>6.9964665211537895E-5</v>
          </cell>
          <cell r="Y80">
            <v>6.8082961276689504E-5</v>
          </cell>
          <cell r="Z80">
            <v>6.3454168087343922E-5</v>
          </cell>
          <cell r="AA80">
            <v>5.391803101014084E-5</v>
          </cell>
          <cell r="AB80">
            <v>4.9254854162013275E-5</v>
          </cell>
        </row>
        <row r="81">
          <cell r="S81">
            <v>3.6513627027921522E-5</v>
          </cell>
          <cell r="T81">
            <v>3.5317331173677743E-5</v>
          </cell>
          <cell r="U81">
            <v>3.4123324466658509E-5</v>
          </cell>
          <cell r="V81">
            <v>3.1905512640601309E-5</v>
          </cell>
          <cell r="W81">
            <v>3.0613115487507679E-5</v>
          </cell>
          <cell r="X81">
            <v>6.8842139085787337E-5</v>
          </cell>
          <cell r="Y81">
            <v>6.6743439225261611E-5</v>
          </cell>
          <cell r="Z81">
            <v>6.2136101427853383E-5</v>
          </cell>
          <cell r="AA81">
            <v>5.2535110005120137E-5</v>
          </cell>
          <cell r="AB81">
            <v>4.7885452523302548E-5</v>
          </cell>
        </row>
        <row r="82">
          <cell r="S82">
            <v>3.5805915866911709E-5</v>
          </cell>
          <cell r="T82">
            <v>3.4663325676346382E-5</v>
          </cell>
          <cell r="U82">
            <v>3.3602957788974286E-5</v>
          </cell>
          <cell r="V82">
            <v>3.1365473726600064E-5</v>
          </cell>
          <cell r="W82">
            <v>3.0075989603694776E-5</v>
          </cell>
          <cell r="X82">
            <v>6.7733021067890715E-5</v>
          </cell>
          <cell r="Y82">
            <v>6.539688402772885E-5</v>
          </cell>
          <cell r="Z82">
            <v>6.0837007785193382E-5</v>
          </cell>
          <cell r="AA82">
            <v>5.1146450079861579E-5</v>
          </cell>
          <cell r="AB82">
            <v>4.657360729095866E-5</v>
          </cell>
        </row>
        <row r="83">
          <cell r="S83">
            <v>3.5080571442808576E-5</v>
          </cell>
          <cell r="T83">
            <v>3.4073386834480007E-5</v>
          </cell>
          <cell r="U83">
            <v>3.3087781819821594E-5</v>
          </cell>
          <cell r="V83">
            <v>3.0839262375037557E-5</v>
          </cell>
          <cell r="W83">
            <v>2.9551950072413352E-5</v>
          </cell>
          <cell r="X83">
            <v>6.6481566531294116E-5</v>
          </cell>
          <cell r="Y83">
            <v>6.4044124917640494E-5</v>
          </cell>
          <cell r="Z83">
            <v>5.9545862818377143E-5</v>
          </cell>
          <cell r="AA83">
            <v>4.9809084378024726E-5</v>
          </cell>
          <cell r="AB83">
            <v>4.5305686861192347E-5</v>
          </cell>
        </row>
        <row r="84">
          <cell r="S84">
            <v>3.4396643766345896E-5</v>
          </cell>
          <cell r="T84">
            <v>3.3570368152065513E-5</v>
          </cell>
          <cell r="U84">
            <v>3.2583158237843614E-5</v>
          </cell>
          <cell r="V84">
            <v>3.0324821371337447E-5</v>
          </cell>
          <cell r="W84">
            <v>2.9074579999006542E-5</v>
          </cell>
          <cell r="X84">
            <v>6.515348669588435E-5</v>
          </cell>
          <cell r="Y84">
            <v>6.2653934767949811E-5</v>
          </cell>
          <cell r="Z84">
            <v>5.8279442747840318E-5</v>
          </cell>
          <cell r="AA84">
            <v>4.8518567154953886E-5</v>
          </cell>
          <cell r="AB84">
            <v>4.4216568040478511E-5</v>
          </cell>
        </row>
        <row r="85">
          <cell r="S85">
            <v>3.3756528325571558E-5</v>
          </cell>
          <cell r="T85">
            <v>3.3073294416808363E-5</v>
          </cell>
          <cell r="U85">
            <v>3.20866612806784E-5</v>
          </cell>
          <cell r="V85">
            <v>2.9816683227429182E-5</v>
          </cell>
          <cell r="W85">
            <v>2.8751722335763408E-5</v>
          </cell>
          <cell r="X85">
            <v>6.3823443543847865E-5</v>
          </cell>
          <cell r="Y85">
            <v>6.1267400110334223E-5</v>
          </cell>
          <cell r="Z85">
            <v>5.7041038549541026E-5</v>
          </cell>
          <cell r="AA85">
            <v>4.7243713992263019E-5</v>
          </cell>
          <cell r="AB85">
            <v>4.3720345062956834E-5</v>
          </cell>
        </row>
        <row r="86">
          <cell r="S86">
            <v>3.2856961386484932E-5</v>
          </cell>
          <cell r="T86">
            <v>3.2327773686852503E-5</v>
          </cell>
          <cell r="U86">
            <v>3.1335093996697745E-5</v>
          </cell>
          <cell r="V86">
            <v>2.909403745435877E-5</v>
          </cell>
          <cell r="W86">
            <v>2.8214141589238741E-5</v>
          </cell>
          <cell r="X86">
            <v>6.1935590162527824E-5</v>
          </cell>
          <cell r="Y86">
            <v>5.9371661711293139E-5</v>
          </cell>
          <cell r="Z86">
            <v>5.5254673624263266E-5</v>
          </cell>
          <cell r="AA86">
            <v>4.562026257237522E-5</v>
          </cell>
          <cell r="AB86">
            <v>4.2852111111751116E-5</v>
          </cell>
        </row>
        <row r="87">
          <cell r="S87">
            <v>3.2114120553629848E-5</v>
          </cell>
          <cell r="T87">
            <v>3.1603808244380937E-5</v>
          </cell>
          <cell r="U87">
            <v>3.0595483687459071E-5</v>
          </cell>
          <cell r="V87">
            <v>2.8388470547262714E-5</v>
          </cell>
          <cell r="W87">
            <v>2.7696605194098175E-5</v>
          </cell>
          <cell r="X87">
            <v>6.0090038113373625E-5</v>
          </cell>
          <cell r="Y87">
            <v>5.7570627781567778E-5</v>
          </cell>
          <cell r="Z87">
            <v>5.3474818993493964E-5</v>
          </cell>
          <cell r="AA87">
            <v>4.4025656104281764E-5</v>
          </cell>
          <cell r="AB87">
            <v>4.2018250516330529E-5</v>
          </cell>
        </row>
        <row r="88">
          <cell r="S88">
            <v>3.1420779684120232E-5</v>
          </cell>
          <cell r="T88">
            <v>3.0904529256905101E-5</v>
          </cell>
          <cell r="U88">
            <v>2.9900814616798311E-5</v>
          </cell>
          <cell r="V88">
            <v>2.77055456897163E-5</v>
          </cell>
          <cell r="W88">
            <v>2.720033106548045E-5</v>
          </cell>
          <cell r="X88">
            <v>5.8309818981759248E-5</v>
          </cell>
          <cell r="Y88">
            <v>5.5882919257368574E-5</v>
          </cell>
          <cell r="Z88">
            <v>5.1726006236022379E-5</v>
          </cell>
          <cell r="AA88">
            <v>4.2496216575438404E-5</v>
          </cell>
          <cell r="AB88">
            <v>4.1220284684848945E-5</v>
          </cell>
        </row>
        <row r="89">
          <cell r="S89">
            <v>2.8578753931379353E-5</v>
          </cell>
          <cell r="T89">
            <v>2.8101925595180495E-5</v>
          </cell>
          <cell r="U89">
            <v>2.7189880238814249E-5</v>
          </cell>
          <cell r="V89">
            <v>2.5222105462983426E-5</v>
          </cell>
          <cell r="W89">
            <v>2.4861039057158364E-5</v>
          </cell>
          <cell r="X89">
            <v>5.1784044147611935E-5</v>
          </cell>
          <cell r="Y89">
            <v>4.9764347873165373E-5</v>
          </cell>
          <cell r="Z89">
            <v>4.6119606253705241E-5</v>
          </cell>
          <cell r="AA89">
            <v>3.823544563974783E-5</v>
          </cell>
          <cell r="AB89">
            <v>3.7626173795066034E-5</v>
          </cell>
        </row>
        <row r="90">
          <cell r="S90">
            <v>2.799467310978492E-5</v>
          </cell>
          <cell r="T90">
            <v>2.7502438635412238E-5</v>
          </cell>
          <cell r="U90">
            <v>2.6596131416274981E-5</v>
          </cell>
          <cell r="V90">
            <v>2.4763948587982764E-5</v>
          </cell>
          <cell r="W90">
            <v>2.4432845261869371E-5</v>
          </cell>
          <cell r="X90">
            <v>5.0360878600329439E-5</v>
          </cell>
          <cell r="Y90">
            <v>4.8358663282815282E-5</v>
          </cell>
          <cell r="Z90">
            <v>4.4675487366079197E-5</v>
          </cell>
          <cell r="AA90">
            <v>3.7443034106788005E-5</v>
          </cell>
          <cell r="AB90">
            <v>3.6940719093123706E-5</v>
          </cell>
        </row>
        <row r="91">
          <cell r="S91">
            <v>2.7431029498474093E-5</v>
          </cell>
          <cell r="T91">
            <v>2.6915171489084152E-5</v>
          </cell>
          <cell r="U91">
            <v>2.6012759519763066E-5</v>
          </cell>
          <cell r="V91">
            <v>2.4344478292560372E-5</v>
          </cell>
          <cell r="W91">
            <v>2.4015783034269261E-5</v>
          </cell>
          <cell r="X91">
            <v>4.9050540530386075E-5</v>
          </cell>
          <cell r="Y91">
            <v>4.6971501002344349E-5</v>
          </cell>
          <cell r="Z91">
            <v>4.3242946122230722E-5</v>
          </cell>
          <cell r="AA91">
            <v>3.6772932229795135E-5</v>
          </cell>
          <cell r="AB91">
            <v>3.6274754994872297E-5</v>
          </cell>
        </row>
        <row r="92">
          <cell r="S92">
            <v>2.6894205484508132E-5</v>
          </cell>
          <cell r="T92">
            <v>2.6352776156956564E-5</v>
          </cell>
          <cell r="U92">
            <v>2.5441619783262888E-5</v>
          </cell>
          <cell r="V92">
            <v>2.3935471483455787E-5</v>
          </cell>
          <cell r="W92">
            <v>2.3614538561151873E-5</v>
          </cell>
          <cell r="X92">
            <v>4.7835226392117996E-5</v>
          </cell>
          <cell r="Y92">
            <v>4.5658031146119391E-5</v>
          </cell>
          <cell r="Z92">
            <v>4.1841255714188486E-5</v>
          </cell>
          <cell r="AA92">
            <v>3.6121140798979384E-5</v>
          </cell>
          <cell r="AB92">
            <v>3.5635184027034673E-5</v>
          </cell>
        </row>
        <row r="93">
          <cell r="S93">
            <v>2.6383467777057833E-5</v>
          </cell>
          <cell r="T93">
            <v>2.5806482379035384E-5</v>
          </cell>
          <cell r="U93">
            <v>2.4901782673005068E-5</v>
          </cell>
          <cell r="V93">
            <v>2.3540163082271999E-5</v>
          </cell>
          <cell r="W93">
            <v>2.3226811475719713E-5</v>
          </cell>
          <cell r="X93">
            <v>4.6698565449080834E-5</v>
          </cell>
          <cell r="Y93">
            <v>4.4372093299669661E-5</v>
          </cell>
          <cell r="Z93">
            <v>4.0565121445026753E-5</v>
          </cell>
          <cell r="AA93">
            <v>3.5492376469749409E-5</v>
          </cell>
          <cell r="AB93">
            <v>3.5018328095510283E-5</v>
          </cell>
        </row>
        <row r="94">
          <cell r="S94">
            <v>2.5883568755300536E-5</v>
          </cell>
          <cell r="T94">
            <v>2.5287716451867943E-5</v>
          </cell>
          <cell r="U94">
            <v>2.4387479979755247E-5</v>
          </cell>
          <cell r="V94">
            <v>2.3158523775863076E-5</v>
          </cell>
          <cell r="W94">
            <v>2.2851501091081289E-5</v>
          </cell>
          <cell r="X94">
            <v>4.5579870140071492E-5</v>
          </cell>
          <cell r="Y94">
            <v>4.3116174840490195E-5</v>
          </cell>
          <cell r="Z94">
            <v>3.9382001001827937E-5</v>
          </cell>
          <cell r="AA94">
            <v>3.4886417328462306E-5</v>
          </cell>
          <cell r="AB94">
            <v>3.4422348638001542E-5</v>
          </cell>
        </row>
        <row r="95">
          <cell r="S95">
            <v>2.5392415399100256E-5</v>
          </cell>
          <cell r="T95">
            <v>2.4786734940535309E-5</v>
          </cell>
          <cell r="U95">
            <v>2.3882315668510699E-5</v>
          </cell>
          <cell r="V95">
            <v>2.2788335618306288E-5</v>
          </cell>
          <cell r="W95">
            <v>2.2484541877459248E-5</v>
          </cell>
          <cell r="X95">
            <v>4.4474925330109975E-5</v>
          </cell>
          <cell r="Y95">
            <v>4.1921029283516185E-5</v>
          </cell>
          <cell r="Z95">
            <v>3.820953754050519E-5</v>
          </cell>
          <cell r="AA95">
            <v>3.4299748554712673E-5</v>
          </cell>
          <cell r="AB95">
            <v>3.3840947546531304E-5</v>
          </cell>
        </row>
        <row r="96">
          <cell r="S96">
            <v>2.1118711988257705E-5</v>
          </cell>
          <cell r="T96">
            <v>2.0599283534207581E-5</v>
          </cell>
          <cell r="U96">
            <v>1.982445074445538E-5</v>
          </cell>
          <cell r="V96">
            <v>1.9006304887192357E-5</v>
          </cell>
          <cell r="W96">
            <v>1.873711823121604E-5</v>
          </cell>
          <cell r="X96">
            <v>3.684655498452726E-5</v>
          </cell>
          <cell r="Y96">
            <v>3.4613339867452143E-5</v>
          </cell>
          <cell r="Z96">
            <v>3.1465741944225985E-5</v>
          </cell>
          <cell r="AA96">
            <v>2.8607326854505307E-5</v>
          </cell>
          <cell r="AB96">
            <v>2.8200789622109419E-5</v>
          </cell>
        </row>
        <row r="97">
          <cell r="S97">
            <v>1.8067688139686755E-5</v>
          </cell>
          <cell r="T97">
            <v>1.760790391130952E-5</v>
          </cell>
          <cell r="U97">
            <v>1.6930332924864071E-5</v>
          </cell>
          <cell r="V97">
            <v>1.629115553166186E-5</v>
          </cell>
          <cell r="W97">
            <v>1.6060387055328034E-5</v>
          </cell>
          <cell r="X97">
            <v>3.1404191642116306E-5</v>
          </cell>
          <cell r="Y97">
            <v>2.9399072198638382E-5</v>
          </cell>
          <cell r="Z97">
            <v>2.6670010130058525E-5</v>
          </cell>
          <cell r="AA97">
            <v>2.4520621842969938E-5</v>
          </cell>
          <cell r="AB97">
            <v>2.4172105390379503E-5</v>
          </cell>
        </row>
        <row r="98">
          <cell r="S98">
            <v>1.577574207100125E-5</v>
          </cell>
          <cell r="T98">
            <v>1.5360013980874359E-5</v>
          </cell>
          <cell r="U98">
            <v>1.4748284505639293E-5</v>
          </cell>
          <cell r="V98">
            <v>1.4254761090204128E-5</v>
          </cell>
          <cell r="W98">
            <v>1.4052838673412029E-5</v>
          </cell>
          <cell r="X98">
            <v>2.7309831666109449E-5</v>
          </cell>
          <cell r="Y98">
            <v>2.5468402393471961E-5</v>
          </cell>
          <cell r="Z98">
            <v>2.3054378897900329E-5</v>
          </cell>
          <cell r="AA98">
            <v>2.1455544112598697E-5</v>
          </cell>
          <cell r="AB98">
            <v>2.1150592216582064E-5</v>
          </cell>
        </row>
        <row r="99">
          <cell r="S99">
            <v>1.4000511889698789E-5</v>
          </cell>
          <cell r="T99">
            <v>1.3614290378596538E-5</v>
          </cell>
          <cell r="U99">
            <v>1.3060532589698238E-5</v>
          </cell>
          <cell r="V99">
            <v>1.2670898746848113E-5</v>
          </cell>
          <cell r="W99">
            <v>1.2491412154144026E-5</v>
          </cell>
          <cell r="X99">
            <v>2.4156587351475369E-5</v>
          </cell>
          <cell r="Y99">
            <v>2.2449729172931618E-5</v>
          </cell>
          <cell r="Z99">
            <v>2.0288580592378651E-5</v>
          </cell>
          <cell r="AA99">
            <v>1.9071594766754396E-5</v>
          </cell>
          <cell r="AB99">
            <v>1.8800526414739612E-5</v>
          </cell>
        </row>
        <row r="100">
          <cell r="S100">
            <v>1.2574122454609685E-5</v>
          </cell>
          <cell r="T100">
            <v>1.2214619045899052E-5</v>
          </cell>
          <cell r="U100">
            <v>1.1715921807569796E-5</v>
          </cell>
          <cell r="V100">
            <v>1.1403808872163303E-5</v>
          </cell>
          <cell r="W100">
            <v>1.1242270938729624E-5</v>
          </cell>
          <cell r="X100">
            <v>2.1622225876153665E-5</v>
          </cell>
          <cell r="Y100">
            <v>2.0027504656080864E-5</v>
          </cell>
          <cell r="Z100">
            <v>1.8101083078384695E-5</v>
          </cell>
          <cell r="AA100">
            <v>1.7164435290078956E-5</v>
          </cell>
          <cell r="AB100">
            <v>1.6920473773265652E-5</v>
          </cell>
        </row>
        <row r="101">
          <cell r="S101">
            <v>1.1407443640600685E-5</v>
          </cell>
          <cell r="T101">
            <v>1.107259341920733E-5</v>
          </cell>
          <cell r="U101">
            <v>1.0613721733868704E-5</v>
          </cell>
          <cell r="V101">
            <v>1.0367098974693912E-5</v>
          </cell>
          <cell r="W101">
            <v>1.0220246307936021E-5</v>
          </cell>
          <cell r="X101">
            <v>1.9537534791543389E-5</v>
          </cell>
          <cell r="Y101">
            <v>1.806190852807465E-5</v>
          </cell>
          <cell r="Z101">
            <v>1.6304516530005503E-5</v>
          </cell>
          <cell r="AA101">
            <v>1.5604032081889959E-5</v>
          </cell>
          <cell r="AB101">
            <v>1.5382248884786955E-5</v>
          </cell>
        </row>
        <row r="102">
          <cell r="S102">
            <v>1.0435062797968037E-5</v>
          </cell>
          <cell r="T102">
            <v>1.0121586404015847E-5</v>
          </cell>
          <cell r="U102">
            <v>9.69020013459872E-6</v>
          </cell>
          <cell r="V102">
            <v>9.5031740601360863E-6</v>
          </cell>
          <cell r="W102">
            <v>9.3685591156080201E-6</v>
          </cell>
          <cell r="X102">
            <v>1.7800421195783857E-5</v>
          </cell>
          <cell r="Y102">
            <v>1.6428342287660064E-5</v>
          </cell>
          <cell r="Z102">
            <v>1.4788882906493675E-5</v>
          </cell>
          <cell r="AA102">
            <v>1.4303696075065797E-5</v>
          </cell>
          <cell r="AB102">
            <v>1.4100394811054709E-5</v>
          </cell>
        </row>
        <row r="103">
          <cell r="S103">
            <v>9.6163057683927161E-6</v>
          </cell>
          <cell r="T103">
            <v>9.3215887140993436E-6</v>
          </cell>
          <cell r="U103">
            <v>8.9168849095398593E-6</v>
          </cell>
          <cell r="V103">
            <v>8.7721606708948474E-6</v>
          </cell>
          <cell r="W103">
            <v>8.6479007220997099E-6</v>
          </cell>
          <cell r="X103">
            <v>1.6351302476574878E-5</v>
          </cell>
          <cell r="Y103">
            <v>1.5068306613276842E-5</v>
          </cell>
          <cell r="Z103">
            <v>1.3540373277873476E-5</v>
          </cell>
          <cell r="AA103">
            <v>1.3203411761599196E-5</v>
          </cell>
          <cell r="AB103">
            <v>1.3015749056358193E-5</v>
          </cell>
        </row>
        <row r="104">
          <cell r="S104">
            <v>8.9134987995032823E-6</v>
          </cell>
          <cell r="T104">
            <v>8.6346453156484254E-6</v>
          </cell>
          <cell r="U104">
            <v>8.2543977843583167E-6</v>
          </cell>
          <cell r="V104">
            <v>8.1455777658309301E-6</v>
          </cell>
          <cell r="W104">
            <v>8.0301935276640168E-6</v>
          </cell>
          <cell r="X104">
            <v>1.5104674662396511E-5</v>
          </cell>
          <cell r="Y104">
            <v>1.3897817858935797E-5</v>
          </cell>
          <cell r="Z104">
            <v>1.2472638134349683E-5</v>
          </cell>
          <cell r="AA104">
            <v>1.2260310921484969E-5</v>
          </cell>
          <cell r="AB104">
            <v>1.2086052695189752E-5</v>
          </cell>
        </row>
        <row r="105">
          <cell r="S105">
            <v>8.3033912028988308E-6</v>
          </cell>
          <cell r="T105">
            <v>8.0384468633791703E-6</v>
          </cell>
          <cell r="U105">
            <v>7.685361308048496E-6</v>
          </cell>
          <cell r="V105">
            <v>7.602539248108868E-6</v>
          </cell>
          <cell r="W105">
            <v>7.4948472924864153E-6</v>
          </cell>
          <cell r="X105">
            <v>1.4019833644237442E-5</v>
          </cell>
          <cell r="Y105">
            <v>1.2880416385827854E-5</v>
          </cell>
          <cell r="Z105">
            <v>1.1568049048527965E-5</v>
          </cell>
          <cell r="AA105">
            <v>1.1442956860052638E-5</v>
          </cell>
          <cell r="AB105">
            <v>1.1280315848843767E-5</v>
          </cell>
        </row>
        <row r="106">
          <cell r="S106">
            <v>8.2864463330651032E-6</v>
          </cell>
          <cell r="T106">
            <v>8.0162365887527351E-6</v>
          </cell>
          <cell r="U106">
            <v>7.685361308048496E-6</v>
          </cell>
          <cell r="V106">
            <v>7.602539248108868E-6</v>
          </cell>
          <cell r="W106">
            <v>7.4948472924864153E-6</v>
          </cell>
          <cell r="X106">
            <v>1.3937340021292671E-5</v>
          </cell>
          <cell r="Y106">
            <v>1.2783127887618795E-5</v>
          </cell>
          <cell r="Z106">
            <v>1.1568049048527965E-5</v>
          </cell>
          <cell r="AA106">
            <v>1.1442956860052638E-5</v>
          </cell>
          <cell r="AB106">
            <v>1.1280315848843767E-5</v>
          </cell>
        </row>
        <row r="107">
          <cell r="S107">
            <v>8.2683637347774096E-6</v>
          </cell>
          <cell r="T107">
            <v>7.993639991995212E-6</v>
          </cell>
          <cell r="U107">
            <v>7.685361308048496E-6</v>
          </cell>
          <cell r="V107">
            <v>7.602539248108868E-6</v>
          </cell>
          <cell r="W107">
            <v>7.4948472924864153E-6</v>
          </cell>
          <cell r="X107">
            <v>1.385000549158766E-5</v>
          </cell>
          <cell r="Y107">
            <v>1.2685101676539011E-5</v>
          </cell>
          <cell r="Z107">
            <v>1.1568049048527965E-5</v>
          </cell>
          <cell r="AA107">
            <v>1.1442956860052638E-5</v>
          </cell>
          <cell r="AB107">
            <v>1.1280315848843767E-5</v>
          </cell>
        </row>
        <row r="108">
          <cell r="S108">
            <v>8.2490707004170514E-6</v>
          </cell>
          <cell r="T108">
            <v>7.9697940139784422E-6</v>
          </cell>
          <cell r="U108">
            <v>7.685361308048496E-6</v>
          </cell>
          <cell r="V108">
            <v>7.602539248108868E-6</v>
          </cell>
          <cell r="W108">
            <v>7.4948472924864153E-6</v>
          </cell>
          <cell r="X108">
            <v>1.375760972452014E-5</v>
          </cell>
          <cell r="Y108">
            <v>1.2582684237027383E-5</v>
          </cell>
          <cell r="Z108">
            <v>1.1568049048527965E-5</v>
          </cell>
          <cell r="AA108">
            <v>1.1442956860052638E-5</v>
          </cell>
          <cell r="AB108">
            <v>1.1280315848843767E-5</v>
          </cell>
        </row>
        <row r="109">
          <cell r="S109">
            <v>8.2284926489379726E-6</v>
          </cell>
          <cell r="T109">
            <v>7.9432685904351814E-6</v>
          </cell>
          <cell r="U109">
            <v>7.685361308048496E-6</v>
          </cell>
          <cell r="V109">
            <v>7.602539248108868E-6</v>
          </cell>
          <cell r="W109">
            <v>7.4948472924864153E-6</v>
          </cell>
          <cell r="X109">
            <v>1.3659941349089977E-5</v>
          </cell>
          <cell r="Y109">
            <v>1.2469980514302416E-5</v>
          </cell>
          <cell r="Z109">
            <v>1.1568049048527965E-5</v>
          </cell>
          <cell r="AA109">
            <v>1.1442956860052638E-5</v>
          </cell>
          <cell r="AB109">
            <v>1.1280315848843767E-5</v>
          </cell>
        </row>
        <row r="110">
          <cell r="S110">
            <v>7.8018943813488739E-6</v>
          </cell>
          <cell r="T110">
            <v>7.5359478574590804E-6</v>
          </cell>
          <cell r="U110">
            <v>7.3104224693145021E-6</v>
          </cell>
          <cell r="V110">
            <v>7.2206336828120038E-6</v>
          </cell>
          <cell r="W110">
            <v>7.1042909917590236E-6</v>
          </cell>
          <cell r="X110">
            <v>1.2836311735363569E-5</v>
          </cell>
          <cell r="Y110">
            <v>1.1755820740325598E-5</v>
          </cell>
          <cell r="Z110">
            <v>1.1001826303166326E-5</v>
          </cell>
          <cell r="AA110">
            <v>1.0866258095362281E-5</v>
          </cell>
          <cell r="AB110">
            <v>1.0690613641223006E-5</v>
          </cell>
        </row>
        <row r="111">
          <cell r="S111">
            <v>7.7858018818506688E-6</v>
          </cell>
          <cell r="T111">
            <v>7.5179198454050981E-6</v>
          </cell>
          <cell r="U111">
            <v>7.3104224693145021E-6</v>
          </cell>
          <cell r="V111">
            <v>7.2206336828120038E-6</v>
          </cell>
          <cell r="W111">
            <v>7.1042909917590236E-6</v>
          </cell>
          <cell r="X111">
            <v>1.2761914059884698E-5</v>
          </cell>
          <cell r="Y111">
            <v>1.1680913253986533E-5</v>
          </cell>
          <cell r="Z111">
            <v>1.1001826303166326E-5</v>
          </cell>
          <cell r="AA111">
            <v>1.0866258095362281E-5</v>
          </cell>
          <cell r="AB111">
            <v>1.0690613641223006E-5</v>
          </cell>
        </row>
        <row r="112">
          <cell r="S112">
            <v>7.7686279095604325E-6</v>
          </cell>
          <cell r="T112">
            <v>7.4990119970147806E-6</v>
          </cell>
          <cell r="U112">
            <v>7.3104224693145021E-6</v>
          </cell>
          <cell r="V112">
            <v>7.2206336828120038E-6</v>
          </cell>
          <cell r="W112">
            <v>7.1042909917590236E-6</v>
          </cell>
          <cell r="X112">
            <v>1.2683128161535513E-5</v>
          </cell>
          <cell r="Y112">
            <v>1.16029894270447E-5</v>
          </cell>
          <cell r="Z112">
            <v>1.1001826303166326E-5</v>
          </cell>
          <cell r="AA112">
            <v>1.0866258095362281E-5</v>
          </cell>
          <cell r="AB112">
            <v>1.0690613641223006E-5</v>
          </cell>
        </row>
        <row r="113">
          <cell r="S113">
            <v>7.7541466785706589E-6</v>
          </cell>
          <cell r="T113">
            <v>7.4813853743646957E-6</v>
          </cell>
          <cell r="U113">
            <v>7.3104224693145021E-6</v>
          </cell>
          <cell r="V113">
            <v>7.2206336828120038E-6</v>
          </cell>
          <cell r="W113">
            <v>7.1042909917590236E-6</v>
          </cell>
          <cell r="X113">
            <v>1.2617180552706496E-5</v>
          </cell>
          <cell r="Y113">
            <v>1.1530928406108019E-5</v>
          </cell>
          <cell r="Z113">
            <v>1.1001826303166326E-5</v>
          </cell>
          <cell r="AA113">
            <v>1.0866258095362281E-5</v>
          </cell>
          <cell r="AB113">
            <v>1.0690613641223006E-5</v>
          </cell>
        </row>
        <row r="114">
          <cell r="S114">
            <v>7.7412204003608284E-6</v>
          </cell>
          <cell r="T114">
            <v>7.4654834669187596E-6</v>
          </cell>
          <cell r="U114">
            <v>7.3104224693145021E-6</v>
          </cell>
          <cell r="V114">
            <v>7.2206336828120038E-6</v>
          </cell>
          <cell r="W114">
            <v>7.1042909917590236E-6</v>
          </cell>
          <cell r="X114">
            <v>1.2558685415988893E-5</v>
          </cell>
          <cell r="Y114">
            <v>1.1466395140481911E-5</v>
          </cell>
          <cell r="Z114">
            <v>1.1001826303166326E-5</v>
          </cell>
          <cell r="AA114">
            <v>1.0866258095362281E-5</v>
          </cell>
          <cell r="AB114">
            <v>1.0690613641223006E-5</v>
          </cell>
        </row>
        <row r="115">
          <cell r="S115">
            <v>7.7274141204613597E-6</v>
          </cell>
          <cell r="T115">
            <v>7.4477019876018935E-6</v>
          </cell>
          <cell r="U115">
            <v>7.3104224693145021E-6</v>
          </cell>
          <cell r="V115">
            <v>7.2206336828120038E-6</v>
          </cell>
          <cell r="W115">
            <v>7.1042909917590236E-6</v>
          </cell>
          <cell r="X115">
            <v>1.249659107806397E-5</v>
          </cell>
          <cell r="Y115">
            <v>1.139476379687726E-5</v>
          </cell>
          <cell r="Z115">
            <v>1.1001826303166326E-5</v>
          </cell>
          <cell r="AA115">
            <v>1.0866258095362281E-5</v>
          </cell>
          <cell r="AB115">
            <v>1.0690613641223006E-5</v>
          </cell>
        </row>
        <row r="116">
          <cell r="S116">
            <v>7.7126714867867166E-6</v>
          </cell>
          <cell r="T116">
            <v>7.4283398340390719E-6</v>
          </cell>
          <cell r="U116">
            <v>7.3104224693145021E-6</v>
          </cell>
          <cell r="V116">
            <v>7.2206336828120038E-6</v>
          </cell>
          <cell r="W116">
            <v>7.1042909917590236E-6</v>
          </cell>
          <cell r="X116">
            <v>1.2430718139486718E-5</v>
          </cell>
          <cell r="Y116">
            <v>1.1317393448302181E-5</v>
          </cell>
          <cell r="Z116">
            <v>1.1001826303166326E-5</v>
          </cell>
          <cell r="AA116">
            <v>1.0866258095362281E-5</v>
          </cell>
          <cell r="AB116">
            <v>1.0690613641223006E-5</v>
          </cell>
        </row>
        <row r="117">
          <cell r="S117">
            <v>7.700616062976748E-6</v>
          </cell>
          <cell r="T117">
            <v>7.4129675451906183E-6</v>
          </cell>
          <cell r="U117">
            <v>7.3104224693145021E-6</v>
          </cell>
          <cell r="V117">
            <v>7.2206336828120038E-6</v>
          </cell>
          <cell r="W117">
            <v>7.1042909917590236E-6</v>
          </cell>
          <cell r="X117">
            <v>1.2377181223076715E-5</v>
          </cell>
          <cell r="Y117">
            <v>1.1256427843572248E-5</v>
          </cell>
          <cell r="Z117">
            <v>1.1001826303166326E-5</v>
          </cell>
          <cell r="AA117">
            <v>1.0866258095362281E-5</v>
          </cell>
          <cell r="AB117">
            <v>1.0690613641223006E-5</v>
          </cell>
        </row>
        <row r="118">
          <cell r="S118">
            <v>7.6878932084179934E-6</v>
          </cell>
          <cell r="T118">
            <v>7.3966454786091637E-6</v>
          </cell>
          <cell r="U118">
            <v>7.3104224693145021E-6</v>
          </cell>
          <cell r="V118">
            <v>7.2206336828120038E-6</v>
          </cell>
          <cell r="W118">
            <v>7.1042909917590236E-6</v>
          </cell>
          <cell r="X118">
            <v>1.2320998522486394E-5</v>
          </cell>
          <cell r="Y118">
            <v>1.1192137598461956E-5</v>
          </cell>
          <cell r="Z118">
            <v>1.1001826303166326E-5</v>
          </cell>
          <cell r="AA118">
            <v>1.0866258095362281E-5</v>
          </cell>
          <cell r="AB118">
            <v>1.0690613641223006E-5</v>
          </cell>
        </row>
        <row r="119">
          <cell r="S119">
            <v>7.6743037835223951E-6</v>
          </cell>
          <cell r="T119">
            <v>7.3792838519634006E-6</v>
          </cell>
          <cell r="U119">
            <v>7.3104224693145021E-6</v>
          </cell>
          <cell r="V119">
            <v>7.2206336828120038E-6</v>
          </cell>
          <cell r="W119">
            <v>7.1042909917590236E-6</v>
          </cell>
          <cell r="X119">
            <v>1.2261346930094031E-5</v>
          </cell>
          <cell r="Y119">
            <v>1.1124247213480153E-5</v>
          </cell>
          <cell r="Z119">
            <v>1.1001826303166326E-5</v>
          </cell>
          <cell r="AA119">
            <v>1.0866258095362281E-5</v>
          </cell>
          <cell r="AB119">
            <v>1.0690613641223006E-5</v>
          </cell>
        </row>
        <row r="120">
          <cell r="S120">
            <v>7.6614067570409488E-6</v>
          </cell>
          <cell r="T120">
            <v>7.3715326153460577E-6</v>
          </cell>
          <cell r="U120">
            <v>7.3104224693145021E-6</v>
          </cell>
          <cell r="V120">
            <v>7.2206336828120038E-6</v>
          </cell>
          <cell r="W120">
            <v>7.1042909917590236E-6</v>
          </cell>
          <cell r="X120">
            <v>1.2205073437749292E-5</v>
          </cell>
          <cell r="Y120">
            <v>1.1094100157536222E-5</v>
          </cell>
          <cell r="Z120">
            <v>1.1001826303166326E-5</v>
          </cell>
          <cell r="AA120">
            <v>1.0866258095362281E-5</v>
          </cell>
          <cell r="AB120">
            <v>1.0690613641223006E-5</v>
          </cell>
        </row>
        <row r="121">
          <cell r="S121">
            <v>7.6494174766769083E-6</v>
          </cell>
          <cell r="T121">
            <v>7.3715326153460577E-6</v>
          </cell>
          <cell r="U121">
            <v>7.3104224693145021E-6</v>
          </cell>
          <cell r="V121">
            <v>7.2206336828120038E-6</v>
          </cell>
          <cell r="W121">
            <v>7.1042909917590236E-6</v>
          </cell>
          <cell r="X121">
            <v>1.215305404666841E-5</v>
          </cell>
          <cell r="Y121">
            <v>1.1094100157536222E-5</v>
          </cell>
          <cell r="Z121">
            <v>1.1001826303166326E-5</v>
          </cell>
          <cell r="AA121">
            <v>1.0866258095362281E-5</v>
          </cell>
          <cell r="AB121">
            <v>1.0690613641223006E-5</v>
          </cell>
        </row>
        <row r="122">
          <cell r="S122">
            <v>7.6366092747476712E-6</v>
          </cell>
          <cell r="T122">
            <v>7.3715326153460577E-6</v>
          </cell>
          <cell r="U122">
            <v>7.3104224693145021E-6</v>
          </cell>
          <cell r="V122">
            <v>7.2206336828120038E-6</v>
          </cell>
          <cell r="W122">
            <v>7.1042909917590236E-6</v>
          </cell>
          <cell r="X122">
            <v>1.2097791111436361E-5</v>
          </cell>
          <cell r="Y122">
            <v>1.1094100157536222E-5</v>
          </cell>
          <cell r="Z122">
            <v>1.1001826303166326E-5</v>
          </cell>
          <cell r="AA122">
            <v>1.0866258095362281E-5</v>
          </cell>
          <cell r="AB122">
            <v>1.0690613641223006E-5</v>
          </cell>
        </row>
        <row r="123">
          <cell r="S123">
            <v>7.622929318932863E-6</v>
          </cell>
          <cell r="T123">
            <v>7.3715326153460577E-6</v>
          </cell>
          <cell r="U123">
            <v>7.3104224693145021E-6</v>
          </cell>
          <cell r="V123">
            <v>7.2206336828120038E-6</v>
          </cell>
          <cell r="W123">
            <v>7.1042909917590236E-6</v>
          </cell>
          <cell r="X123">
            <v>1.2039117049435433E-5</v>
          </cell>
          <cell r="Y123">
            <v>1.1094100157536222E-5</v>
          </cell>
          <cell r="Z123">
            <v>1.1001826303166326E-5</v>
          </cell>
          <cell r="AA123">
            <v>1.0866258095362281E-5</v>
          </cell>
          <cell r="AB123">
            <v>1.0690613641223006E-5</v>
          </cell>
        </row>
        <row r="124">
          <cell r="S124">
            <v>7.611766813975097E-6</v>
          </cell>
          <cell r="T124">
            <v>7.3715326153460577E-6</v>
          </cell>
          <cell r="U124">
            <v>7.3104224693145021E-6</v>
          </cell>
          <cell r="V124">
            <v>7.2206336828120038E-6</v>
          </cell>
          <cell r="W124">
            <v>7.1042909917590236E-6</v>
          </cell>
          <cell r="X124">
            <v>1.1991506205900257E-5</v>
          </cell>
          <cell r="Y124">
            <v>1.1094100157536222E-5</v>
          </cell>
          <cell r="Z124">
            <v>1.1001826303166326E-5</v>
          </cell>
          <cell r="AA124">
            <v>1.0866258095362281E-5</v>
          </cell>
          <cell r="AB124">
            <v>1.0690613641223006E-5</v>
          </cell>
        </row>
        <row r="125">
          <cell r="S125">
            <v>7.6000722984758932E-6</v>
          </cell>
          <cell r="T125">
            <v>7.3715326153460577E-6</v>
          </cell>
          <cell r="U125">
            <v>7.3104224693145021E-6</v>
          </cell>
          <cell r="V125">
            <v>7.2206336828120038E-6</v>
          </cell>
          <cell r="W125">
            <v>7.1042909917590236E-6</v>
          </cell>
          <cell r="X125">
            <v>1.1941880272295926E-5</v>
          </cell>
          <cell r="Y125">
            <v>1.1094100157536222E-5</v>
          </cell>
          <cell r="Z125">
            <v>1.1001826303166326E-5</v>
          </cell>
          <cell r="AA125">
            <v>1.0866258095362281E-5</v>
          </cell>
          <cell r="AB125">
            <v>1.0690613641223006E-5</v>
          </cell>
        </row>
        <row r="126">
          <cell r="S126">
            <v>7.5875782570526154E-6</v>
          </cell>
          <cell r="T126">
            <v>7.3715326153460577E-6</v>
          </cell>
          <cell r="U126">
            <v>7.3104224693145021E-6</v>
          </cell>
          <cell r="V126">
            <v>7.2206336828120038E-6</v>
          </cell>
          <cell r="W126">
            <v>7.1042909917590236E-6</v>
          </cell>
          <cell r="X126">
            <v>1.1889146525128621E-5</v>
          </cell>
          <cell r="Y126">
            <v>1.1094100157536222E-5</v>
          </cell>
          <cell r="Z126">
            <v>1.1001826303166326E-5</v>
          </cell>
          <cell r="AA126">
            <v>1.0866258095362281E-5</v>
          </cell>
          <cell r="AB126">
            <v>1.0690613641223006E-5</v>
          </cell>
        </row>
        <row r="127">
          <cell r="S127">
            <v>7.5763056383863327E-6</v>
          </cell>
          <cell r="T127">
            <v>7.3715326153460577E-6</v>
          </cell>
          <cell r="U127">
            <v>7.3104224693145021E-6</v>
          </cell>
          <cell r="V127">
            <v>7.2206336828120038E-6</v>
          </cell>
          <cell r="W127">
            <v>7.1042909917590236E-6</v>
          </cell>
          <cell r="X127">
            <v>1.1841818711766222E-5</v>
          </cell>
          <cell r="Y127">
            <v>1.1094100157536222E-5</v>
          </cell>
          <cell r="Z127">
            <v>1.1001826303166326E-5</v>
          </cell>
          <cell r="AA127">
            <v>1.0866258095362281E-5</v>
          </cell>
          <cell r="AB127">
            <v>1.0690613641223006E-5</v>
          </cell>
        </row>
        <row r="128">
          <cell r="S128">
            <v>7.5667659917836428E-6</v>
          </cell>
          <cell r="T128">
            <v>7.3715326153460577E-6</v>
          </cell>
          <cell r="U128">
            <v>7.3104224693145021E-6</v>
          </cell>
          <cell r="V128">
            <v>7.2206336828120038E-6</v>
          </cell>
          <cell r="W128">
            <v>7.1042909917590236E-6</v>
          </cell>
          <cell r="X128">
            <v>1.1801951127313845E-5</v>
          </cell>
          <cell r="Y128">
            <v>1.1094100157536222E-5</v>
          </cell>
          <cell r="Z128">
            <v>1.1001826303166326E-5</v>
          </cell>
          <cell r="AA128">
            <v>1.0866258095362281E-5</v>
          </cell>
          <cell r="AB128">
            <v>1.0690613641223006E-5</v>
          </cell>
        </row>
        <row r="129">
          <cell r="S129">
            <v>7.5565682875690194E-6</v>
          </cell>
          <cell r="T129">
            <v>7.3715326153460577E-6</v>
          </cell>
          <cell r="U129">
            <v>7.3104224693145021E-6</v>
          </cell>
          <cell r="V129">
            <v>7.2206336828120038E-6</v>
          </cell>
          <cell r="W129">
            <v>7.1042909917590236E-6</v>
          </cell>
          <cell r="X129">
            <v>1.1759519071357615E-5</v>
          </cell>
          <cell r="Y129">
            <v>1.1094100157536222E-5</v>
          </cell>
          <cell r="Z129">
            <v>1.1001826303166326E-5</v>
          </cell>
          <cell r="AA129">
            <v>1.0866258095362281E-5</v>
          </cell>
          <cell r="AB129">
            <v>1.0690613641223006E-5</v>
          </cell>
        </row>
        <row r="130">
          <cell r="S130">
            <v>7.5456691316529594E-6</v>
          </cell>
          <cell r="T130">
            <v>7.3715326153460577E-6</v>
          </cell>
          <cell r="U130">
            <v>7.3104224693145021E-6</v>
          </cell>
          <cell r="V130">
            <v>7.2206336828120038E-6</v>
          </cell>
          <cell r="W130">
            <v>7.1042909917590236E-6</v>
          </cell>
          <cell r="X130">
            <v>1.1714378969729809E-5</v>
          </cell>
          <cell r="Y130">
            <v>1.1094100157536222E-5</v>
          </cell>
          <cell r="Z130">
            <v>1.1001826303166326E-5</v>
          </cell>
          <cell r="AA130">
            <v>1.0866258095362281E-5</v>
          </cell>
          <cell r="AB130">
            <v>1.0690613641223006E-5</v>
          </cell>
        </row>
        <row r="131">
          <cell r="S131">
            <v>7.5365757019175821E-6</v>
          </cell>
          <cell r="T131">
            <v>7.3715326153460577E-6</v>
          </cell>
          <cell r="U131">
            <v>7.3104224693145021E-6</v>
          </cell>
          <cell r="V131">
            <v>7.2206336828120038E-6</v>
          </cell>
          <cell r="W131">
            <v>7.1042909917590236E-6</v>
          </cell>
          <cell r="X131">
            <v>1.1676882939235783E-5</v>
          </cell>
          <cell r="Y131">
            <v>1.1094100157536222E-5</v>
          </cell>
          <cell r="Z131">
            <v>1.1001826303166326E-5</v>
          </cell>
          <cell r="AA131">
            <v>1.0866258095362281E-5</v>
          </cell>
          <cell r="AB131">
            <v>1.0690613641223006E-5</v>
          </cell>
        </row>
        <row r="132">
          <cell r="S132">
            <v>7.5269100795074538E-6</v>
          </cell>
          <cell r="T132">
            <v>7.3715326153460577E-6</v>
          </cell>
          <cell r="U132">
            <v>7.3104224693145021E-6</v>
          </cell>
          <cell r="V132">
            <v>7.2206336828120038E-6</v>
          </cell>
          <cell r="W132">
            <v>7.1042909917590236E-6</v>
          </cell>
          <cell r="X132">
            <v>1.1637191454614089E-5</v>
          </cell>
          <cell r="Y132">
            <v>1.1094100157536222E-5</v>
          </cell>
          <cell r="Z132">
            <v>1.1001826303166326E-5</v>
          </cell>
          <cell r="AA132">
            <v>1.0866258095362281E-5</v>
          </cell>
          <cell r="AB132">
            <v>1.0690613641223006E-5</v>
          </cell>
        </row>
        <row r="133">
          <cell r="S133">
            <v>7.5165782093499358E-6</v>
          </cell>
          <cell r="T133">
            <v>7.3715326153460577E-6</v>
          </cell>
          <cell r="U133">
            <v>7.3104224693145021E-6</v>
          </cell>
          <cell r="V133">
            <v>7.2206336828120038E-6</v>
          </cell>
          <cell r="W133">
            <v>7.1042909917590236E-6</v>
          </cell>
          <cell r="X133">
            <v>1.1594949667407978E-5</v>
          </cell>
          <cell r="Y133">
            <v>1.1094100157536222E-5</v>
          </cell>
          <cell r="Z133">
            <v>1.1001826303166326E-5</v>
          </cell>
          <cell r="AA133">
            <v>1.0866258095362281E-5</v>
          </cell>
          <cell r="AB133">
            <v>1.0690613641223006E-5</v>
          </cell>
        </row>
        <row r="134">
          <cell r="S134">
            <v>7.5067256664743412E-6</v>
          </cell>
          <cell r="T134">
            <v>7.3715326153460577E-6</v>
          </cell>
          <cell r="U134">
            <v>7.3104224693145021E-6</v>
          </cell>
          <cell r="V134">
            <v>7.2206336828120038E-6</v>
          </cell>
          <cell r="W134">
            <v>7.1042909917590236E-6</v>
          </cell>
          <cell r="X134">
            <v>1.1554845102438038E-5</v>
          </cell>
          <cell r="Y134">
            <v>1.1094100157536222E-5</v>
          </cell>
          <cell r="Z134">
            <v>1.1001826303166326E-5</v>
          </cell>
          <cell r="AA134">
            <v>1.0866258095362281E-5</v>
          </cell>
          <cell r="AB134">
            <v>1.0690613641223006E-5</v>
          </cell>
        </row>
        <row r="135">
          <cell r="S135">
            <v>7.4978496764390094E-6</v>
          </cell>
          <cell r="T135">
            <v>7.3715326153460577E-6</v>
          </cell>
          <cell r="U135">
            <v>7.3104224693145021E-6</v>
          </cell>
          <cell r="V135">
            <v>7.2206336828120038E-6</v>
          </cell>
          <cell r="W135">
            <v>7.1042909917590236E-6</v>
          </cell>
          <cell r="X135">
            <v>1.1518863004668935E-5</v>
          </cell>
          <cell r="Y135">
            <v>1.1094100157536222E-5</v>
          </cell>
          <cell r="Z135">
            <v>1.1001826303166326E-5</v>
          </cell>
          <cell r="AA135">
            <v>1.0866258095362281E-5</v>
          </cell>
          <cell r="AB135">
            <v>1.0690613641223006E-5</v>
          </cell>
        </row>
        <row r="136">
          <cell r="S136">
            <v>7.1464002206268656E-6</v>
          </cell>
          <cell r="T136">
            <v>7.0352430500592721E-6</v>
          </cell>
          <cell r="U136">
            <v>6.970365491114527E-6</v>
          </cell>
          <cell r="V136">
            <v>6.8752621193683013E-6</v>
          </cell>
          <cell r="W136">
            <v>6.7524224315473176E-6</v>
          </cell>
          <cell r="X136">
            <v>1.0945245792049102E-5</v>
          </cell>
          <cell r="Y136">
            <v>1.058637956405289E-5</v>
          </cell>
          <cell r="Z136">
            <v>1.0488446975656315E-5</v>
          </cell>
          <cell r="AA136">
            <v>1.0344898930337451E-5</v>
          </cell>
          <cell r="AB136">
            <v>1.0159504216194249E-5</v>
          </cell>
        </row>
        <row r="137">
          <cell r="S137">
            <v>7.1371607233360018E-6</v>
          </cell>
          <cell r="T137">
            <v>7.0352430500592721E-6</v>
          </cell>
          <cell r="U137">
            <v>6.970365491114527E-6</v>
          </cell>
          <cell r="V137">
            <v>6.8752621193683013E-6</v>
          </cell>
          <cell r="W137">
            <v>6.7524224315473176E-6</v>
          </cell>
          <cell r="X137">
            <v>1.0908169513670155E-5</v>
          </cell>
          <cell r="Y137">
            <v>1.058637956405289E-5</v>
          </cell>
          <cell r="Z137">
            <v>1.0488446975656315E-5</v>
          </cell>
          <cell r="AA137">
            <v>1.0344898930337451E-5</v>
          </cell>
          <cell r="AB137">
            <v>1.0159504216194249E-5</v>
          </cell>
        </row>
        <row r="138">
          <cell r="S138">
            <v>7.1296232998785064E-6</v>
          </cell>
          <cell r="T138">
            <v>7.0352430500592721E-6</v>
          </cell>
          <cell r="U138">
            <v>6.970365491114527E-6</v>
          </cell>
          <cell r="V138">
            <v>6.8752621193683013E-6</v>
          </cell>
          <cell r="W138">
            <v>6.7524224315473176E-6</v>
          </cell>
          <cell r="X138">
            <v>1.087803830715022E-5</v>
          </cell>
          <cell r="Y138">
            <v>1.058637956405289E-5</v>
          </cell>
          <cell r="Z138">
            <v>1.0488446975656315E-5</v>
          </cell>
          <cell r="AA138">
            <v>1.0344898930337451E-5</v>
          </cell>
          <cell r="AB138">
            <v>1.0159504216194249E-5</v>
          </cell>
        </row>
        <row r="139">
          <cell r="S139">
            <v>7.1217662969521284E-6</v>
          </cell>
          <cell r="T139">
            <v>7.0352430500592721E-6</v>
          </cell>
          <cell r="U139">
            <v>6.970365491114527E-6</v>
          </cell>
          <cell r="V139">
            <v>6.8752621193683013E-6</v>
          </cell>
          <cell r="W139">
            <v>6.7524224315473176E-6</v>
          </cell>
          <cell r="X139">
            <v>1.084673893757505E-5</v>
          </cell>
          <cell r="Y139">
            <v>1.058637956405289E-5</v>
          </cell>
          <cell r="Z139">
            <v>1.0488446975656315E-5</v>
          </cell>
          <cell r="AA139">
            <v>1.0344898930337451E-5</v>
          </cell>
          <cell r="AB139">
            <v>1.0159504216194249E-5</v>
          </cell>
        </row>
        <row r="140">
          <cell r="S140">
            <v>7.1133645731971745E-6</v>
          </cell>
          <cell r="T140">
            <v>7.0352430500592721E-6</v>
          </cell>
          <cell r="U140">
            <v>6.970365491114527E-6</v>
          </cell>
          <cell r="V140">
            <v>6.8752621193683013E-6</v>
          </cell>
          <cell r="W140">
            <v>6.7524224315473176E-6</v>
          </cell>
          <cell r="X140">
            <v>1.0813392459562135E-5</v>
          </cell>
          <cell r="Y140">
            <v>1.058637956405289E-5</v>
          </cell>
          <cell r="Z140">
            <v>1.0488446975656315E-5</v>
          </cell>
          <cell r="AA140">
            <v>1.0344898930337451E-5</v>
          </cell>
          <cell r="AB140">
            <v>1.0159504216194249E-5</v>
          </cell>
        </row>
        <row r="141">
          <cell r="S141">
            <v>7.1052782206676133E-6</v>
          </cell>
          <cell r="T141">
            <v>7.0352430500592721E-6</v>
          </cell>
          <cell r="U141">
            <v>6.970365491114527E-6</v>
          </cell>
          <cell r="V141">
            <v>6.8752621193683013E-6</v>
          </cell>
          <cell r="W141">
            <v>6.7524224315473176E-6</v>
          </cell>
          <cell r="X141">
            <v>1.07814169460287E-5</v>
          </cell>
          <cell r="Y141">
            <v>1.058637956405289E-5</v>
          </cell>
          <cell r="Z141">
            <v>1.0488446975656315E-5</v>
          </cell>
          <cell r="AA141">
            <v>1.0344898930337451E-5</v>
          </cell>
          <cell r="AB141">
            <v>1.0159504216194249E-5</v>
          </cell>
        </row>
        <row r="142">
          <cell r="S142">
            <v>7.0977947041416081E-6</v>
          </cell>
          <cell r="T142">
            <v>7.0352430500592721E-6</v>
          </cell>
          <cell r="U142">
            <v>6.970365491114527E-6</v>
          </cell>
          <cell r="V142">
            <v>6.8752621193683013E-6</v>
          </cell>
          <cell r="W142">
            <v>6.7524224315473176E-6</v>
          </cell>
          <cell r="X142">
            <v>1.0751928856941108E-5</v>
          </cell>
          <cell r="Y142">
            <v>1.058637956405289E-5</v>
          </cell>
          <cell r="Z142">
            <v>1.0488446975656315E-5</v>
          </cell>
          <cell r="AA142">
            <v>1.0344898930337451E-5</v>
          </cell>
          <cell r="AB142">
            <v>1.0159504216194249E-5</v>
          </cell>
        </row>
        <row r="143">
          <cell r="S143">
            <v>7.0897915515027308E-6</v>
          </cell>
          <cell r="T143">
            <v>7.0352430500592721E-6</v>
          </cell>
          <cell r="U143">
            <v>6.970365491114527E-6</v>
          </cell>
          <cell r="V143">
            <v>6.8752621193683013E-6</v>
          </cell>
          <cell r="W143">
            <v>6.7524224315473176E-6</v>
          </cell>
          <cell r="X143">
            <v>1.0720502868589992E-5</v>
          </cell>
          <cell r="Y143">
            <v>1.058637956405289E-5</v>
          </cell>
          <cell r="Z143">
            <v>1.0488446975656315E-5</v>
          </cell>
          <cell r="AA143">
            <v>1.0344898930337451E-5</v>
          </cell>
          <cell r="AB143">
            <v>1.0159504216194249E-5</v>
          </cell>
        </row>
        <row r="144">
          <cell r="S144">
            <v>7.0812339982248694E-6</v>
          </cell>
          <cell r="T144">
            <v>7.0352430500592721E-6</v>
          </cell>
          <cell r="U144">
            <v>6.970365491114527E-6</v>
          </cell>
          <cell r="V144">
            <v>6.8752621193683013E-6</v>
          </cell>
          <cell r="W144">
            <v>6.7524224315473176E-6</v>
          </cell>
          <cell r="X144">
            <v>1.0687024647457736E-5</v>
          </cell>
          <cell r="Y144">
            <v>1.058637956405289E-5</v>
          </cell>
          <cell r="Z144">
            <v>1.0488446975656315E-5</v>
          </cell>
          <cell r="AA144">
            <v>1.0344898930337451E-5</v>
          </cell>
          <cell r="AB144">
            <v>1.0159504216194249E-5</v>
          </cell>
        </row>
        <row r="145">
          <cell r="S145">
            <v>7.0741941196432067E-6</v>
          </cell>
          <cell r="T145">
            <v>7.0352430500592721E-6</v>
          </cell>
          <cell r="U145">
            <v>6.970365491114527E-6</v>
          </cell>
          <cell r="V145">
            <v>6.8752621193683013E-6</v>
          </cell>
          <cell r="W145">
            <v>6.7524224315473176E-6</v>
          </cell>
          <cell r="X145">
            <v>1.0659579892590202E-5</v>
          </cell>
          <cell r="Y145">
            <v>1.058637956405289E-5</v>
          </cell>
          <cell r="Z145">
            <v>1.0488446975656315E-5</v>
          </cell>
          <cell r="AA145">
            <v>1.0344898930337451E-5</v>
          </cell>
          <cell r="AB145">
            <v>1.0159504216194249E-5</v>
          </cell>
        </row>
        <row r="146">
          <cell r="S146">
            <v>7.0681368391292069E-6</v>
          </cell>
          <cell r="T146">
            <v>7.0352430500592721E-6</v>
          </cell>
          <cell r="U146">
            <v>6.970365491114527E-6</v>
          </cell>
          <cell r="V146">
            <v>6.8752621193683013E-6</v>
          </cell>
          <cell r="W146">
            <v>6.7524224315473176E-6</v>
          </cell>
          <cell r="X146">
            <v>1.0636034886194427E-5</v>
          </cell>
          <cell r="Y146">
            <v>1.058637956405289E-5</v>
          </cell>
          <cell r="Z146">
            <v>1.0488446975656315E-5</v>
          </cell>
          <cell r="AA146">
            <v>1.0344898930337451E-5</v>
          </cell>
          <cell r="AB146">
            <v>1.0159504216194249E-5</v>
          </cell>
        </row>
        <row r="147">
          <cell r="S147">
            <v>7.0681368391292069E-6</v>
          </cell>
          <cell r="T147">
            <v>7.0352430500592721E-6</v>
          </cell>
          <cell r="U147">
            <v>6.970365491114527E-6</v>
          </cell>
          <cell r="V147">
            <v>6.8752621193683013E-6</v>
          </cell>
          <cell r="W147">
            <v>6.7524224315473176E-6</v>
          </cell>
          <cell r="X147">
            <v>1.0636034886194427E-5</v>
          </cell>
          <cell r="Y147">
            <v>1.058637956405289E-5</v>
          </cell>
          <cell r="Z147">
            <v>1.0488446975656315E-5</v>
          </cell>
          <cell r="AA147">
            <v>1.0344898930337451E-5</v>
          </cell>
          <cell r="AB147">
            <v>1.0159504216194249E-5</v>
          </cell>
        </row>
        <row r="148">
          <cell r="S148">
            <v>7.0681368391292069E-6</v>
          </cell>
          <cell r="T148">
            <v>7.0352430500592721E-6</v>
          </cell>
          <cell r="U148">
            <v>6.970365491114527E-6</v>
          </cell>
          <cell r="V148">
            <v>6.8752621193683013E-6</v>
          </cell>
          <cell r="W148">
            <v>6.7524224315473176E-6</v>
          </cell>
          <cell r="X148">
            <v>1.0636034886194427E-5</v>
          </cell>
          <cell r="Y148">
            <v>1.058637956405289E-5</v>
          </cell>
          <cell r="Z148">
            <v>1.0488446975656315E-5</v>
          </cell>
          <cell r="AA148">
            <v>1.0344898930337451E-5</v>
          </cell>
          <cell r="AB148">
            <v>1.0159504216194249E-5</v>
          </cell>
        </row>
        <row r="149">
          <cell r="S149">
            <v>7.0681368391292069E-6</v>
          </cell>
          <cell r="T149">
            <v>7.0352430500592721E-6</v>
          </cell>
          <cell r="U149">
            <v>6.970365491114527E-6</v>
          </cell>
          <cell r="V149">
            <v>6.8752621193683013E-6</v>
          </cell>
          <cell r="W149">
            <v>6.7524224315473176E-6</v>
          </cell>
          <cell r="X149">
            <v>1.0636034886194427E-5</v>
          </cell>
          <cell r="Y149">
            <v>1.058637956405289E-5</v>
          </cell>
          <cell r="Z149">
            <v>1.0488446975656315E-5</v>
          </cell>
          <cell r="AA149">
            <v>1.0344898930337451E-5</v>
          </cell>
          <cell r="AB149">
            <v>1.0159504216194249E-5</v>
          </cell>
        </row>
        <row r="150">
          <cell r="S150">
            <v>7.0681368391292069E-6</v>
          </cell>
          <cell r="T150">
            <v>7.0352430500592721E-6</v>
          </cell>
          <cell r="U150">
            <v>6.970365491114527E-6</v>
          </cell>
          <cell r="V150">
            <v>6.8752621193683013E-6</v>
          </cell>
          <cell r="W150">
            <v>6.7524224315473176E-6</v>
          </cell>
          <cell r="X150">
            <v>1.0636034886194427E-5</v>
          </cell>
          <cell r="Y150">
            <v>1.058637956405289E-5</v>
          </cell>
          <cell r="Z150">
            <v>1.0488446975656315E-5</v>
          </cell>
          <cell r="AA150">
            <v>1.0344898930337451E-5</v>
          </cell>
          <cell r="AB150">
            <v>1.0159504216194249E-5</v>
          </cell>
        </row>
        <row r="151">
          <cell r="S151">
            <v>7.0681368391292069E-6</v>
          </cell>
          <cell r="T151">
            <v>7.0352430500592721E-6</v>
          </cell>
          <cell r="U151">
            <v>6.970365491114527E-6</v>
          </cell>
          <cell r="V151">
            <v>6.8752621193683013E-6</v>
          </cell>
          <cell r="W151">
            <v>6.7524224315473176E-6</v>
          </cell>
          <cell r="X151">
            <v>1.0636034886194427E-5</v>
          </cell>
          <cell r="Y151">
            <v>1.058637956405289E-5</v>
          </cell>
          <cell r="Z151">
            <v>1.0488446975656315E-5</v>
          </cell>
          <cell r="AA151">
            <v>1.0344898930337451E-5</v>
          </cell>
          <cell r="AB151">
            <v>1.0159504216194249E-5</v>
          </cell>
        </row>
        <row r="152">
          <cell r="S152">
            <v>7.0681368391292069E-6</v>
          </cell>
          <cell r="T152">
            <v>7.0352430500592721E-6</v>
          </cell>
          <cell r="U152">
            <v>6.970365491114527E-6</v>
          </cell>
          <cell r="V152">
            <v>6.8752621193683013E-6</v>
          </cell>
          <cell r="W152">
            <v>6.7524224315473176E-6</v>
          </cell>
          <cell r="X152">
            <v>1.0636034886194427E-5</v>
          </cell>
          <cell r="Y152">
            <v>1.058637956405289E-5</v>
          </cell>
          <cell r="Z152">
            <v>1.0488446975656315E-5</v>
          </cell>
          <cell r="AA152">
            <v>1.0344898930337451E-5</v>
          </cell>
          <cell r="AB152">
            <v>1.0159504216194249E-5</v>
          </cell>
        </row>
        <row r="153">
          <cell r="S153">
            <v>7.0681368391292069E-6</v>
          </cell>
          <cell r="T153">
            <v>7.0352430500592721E-6</v>
          </cell>
          <cell r="U153">
            <v>6.970365491114527E-6</v>
          </cell>
          <cell r="V153">
            <v>6.8752621193683013E-6</v>
          </cell>
          <cell r="W153">
            <v>6.7524224315473176E-6</v>
          </cell>
          <cell r="X153">
            <v>1.0636034886194427E-5</v>
          </cell>
          <cell r="Y153">
            <v>1.058637956405289E-5</v>
          </cell>
          <cell r="Z153">
            <v>1.0488446975656315E-5</v>
          </cell>
          <cell r="AA153">
            <v>1.0344898930337451E-5</v>
          </cell>
          <cell r="AB153">
            <v>1.0159504216194249E-5</v>
          </cell>
        </row>
        <row r="154">
          <cell r="S154">
            <v>7.0681368391292069E-6</v>
          </cell>
          <cell r="T154">
            <v>7.0352430500592721E-6</v>
          </cell>
          <cell r="U154">
            <v>6.970365491114527E-6</v>
          </cell>
          <cell r="V154">
            <v>6.8752621193683013E-6</v>
          </cell>
          <cell r="W154">
            <v>6.7524224315473176E-6</v>
          </cell>
          <cell r="X154">
            <v>1.0636034886194427E-5</v>
          </cell>
          <cell r="Y154">
            <v>1.058637956405289E-5</v>
          </cell>
          <cell r="Z154">
            <v>1.0488446975656315E-5</v>
          </cell>
          <cell r="AA154">
            <v>1.0344898930337451E-5</v>
          </cell>
          <cell r="AB154">
            <v>1.0159504216194249E-5</v>
          </cell>
        </row>
        <row r="155">
          <cell r="S155">
            <v>6.9120442370831171E-6</v>
          </cell>
          <cell r="T155">
            <v>6.8783478208534307E-6</v>
          </cell>
          <cell r="U155">
            <v>6.8119310973169508E-6</v>
          </cell>
          <cell r="V155">
            <v>6.7146766043880416E-6</v>
          </cell>
          <cell r="W155">
            <v>6.5892430607034019E-6</v>
          </cell>
          <cell r="X155">
            <v>1.0400416016640667E-5</v>
          </cell>
          <cell r="Y155">
            <v>1.0349556262775234E-5</v>
          </cell>
          <cell r="Z155">
            <v>1.0249314577087659E-5</v>
          </cell>
          <cell r="AA155">
            <v>1.0102540789008437E-5</v>
          </cell>
          <cell r="AB155">
            <v>9.9132589838909529E-6</v>
          </cell>
        </row>
        <row r="156">
          <cell r="S156">
            <v>6.9120442370831171E-6</v>
          </cell>
          <cell r="T156">
            <v>6.8783478208534307E-6</v>
          </cell>
          <cell r="U156">
            <v>6.8119310973169508E-6</v>
          </cell>
          <cell r="V156">
            <v>6.7146766043880416E-6</v>
          </cell>
          <cell r="W156">
            <v>6.5892430607034019E-6</v>
          </cell>
          <cell r="X156">
            <v>1.0400416016640667E-5</v>
          </cell>
          <cell r="Y156">
            <v>1.0349556262775234E-5</v>
          </cell>
          <cell r="Z156">
            <v>1.0249314577087659E-5</v>
          </cell>
          <cell r="AA156">
            <v>1.0102540789008437E-5</v>
          </cell>
          <cell r="AB156">
            <v>9.9132589838909529E-6</v>
          </cell>
        </row>
        <row r="157">
          <cell r="S157">
            <v>6.9120442370831171E-6</v>
          </cell>
          <cell r="T157">
            <v>6.8783478208534307E-6</v>
          </cell>
          <cell r="U157">
            <v>6.8119310973169508E-6</v>
          </cell>
          <cell r="V157">
            <v>6.7146766043880416E-6</v>
          </cell>
          <cell r="W157">
            <v>6.5892430607034019E-6</v>
          </cell>
          <cell r="X157">
            <v>1.0400416016640667E-5</v>
          </cell>
          <cell r="Y157">
            <v>1.0349556262775234E-5</v>
          </cell>
          <cell r="Z157">
            <v>1.0249314577087659E-5</v>
          </cell>
          <cell r="AA157">
            <v>1.0102540789008437E-5</v>
          </cell>
          <cell r="AB157">
            <v>9.9132589838909529E-6</v>
          </cell>
        </row>
        <row r="158">
          <cell r="S158">
            <v>6.9120442370831171E-6</v>
          </cell>
          <cell r="T158">
            <v>6.8783478208534307E-6</v>
          </cell>
          <cell r="U158">
            <v>6.8119310973169508E-6</v>
          </cell>
          <cell r="V158">
            <v>6.7146766043880416E-6</v>
          </cell>
          <cell r="W158">
            <v>6.5892430607034019E-6</v>
          </cell>
          <cell r="X158">
            <v>1.0400416016640667E-5</v>
          </cell>
          <cell r="Y158">
            <v>1.0349556262775234E-5</v>
          </cell>
          <cell r="Z158">
            <v>1.0249314577087659E-5</v>
          </cell>
          <cell r="AA158">
            <v>1.0102540789008437E-5</v>
          </cell>
          <cell r="AB158">
            <v>9.9132589838909529E-6</v>
          </cell>
        </row>
        <row r="159">
          <cell r="S159">
            <v>6.9120442370831171E-6</v>
          </cell>
          <cell r="T159">
            <v>6.8783478208534307E-6</v>
          </cell>
          <cell r="U159">
            <v>6.8119310973169508E-6</v>
          </cell>
          <cell r="V159">
            <v>6.7146766043880416E-6</v>
          </cell>
          <cell r="W159">
            <v>6.5892430607034019E-6</v>
          </cell>
          <cell r="X159">
            <v>1.0400416016640667E-5</v>
          </cell>
          <cell r="Y159">
            <v>1.0349556262775234E-5</v>
          </cell>
          <cell r="Z159">
            <v>1.0249314577087659E-5</v>
          </cell>
          <cell r="AA159">
            <v>1.0102540789008437E-5</v>
          </cell>
          <cell r="AB159">
            <v>9.9132589838909529E-6</v>
          </cell>
        </row>
        <row r="160">
          <cell r="S160">
            <v>6.9120442370831171E-6</v>
          </cell>
          <cell r="T160">
            <v>6.8783478208534307E-6</v>
          </cell>
          <cell r="U160">
            <v>6.8119310973169508E-6</v>
          </cell>
          <cell r="V160">
            <v>6.7146766043880416E-6</v>
          </cell>
          <cell r="W160">
            <v>6.5892430607034019E-6</v>
          </cell>
          <cell r="X160">
            <v>1.0400416016640667E-5</v>
          </cell>
          <cell r="Y160">
            <v>1.0349556262775234E-5</v>
          </cell>
          <cell r="Z160">
            <v>1.0249314577087659E-5</v>
          </cell>
          <cell r="AA160">
            <v>1.0102540789008437E-5</v>
          </cell>
          <cell r="AB160">
            <v>9.9132589838909529E-6</v>
          </cell>
        </row>
        <row r="161">
          <cell r="S161">
            <v>6.9120442370831171E-6</v>
          </cell>
          <cell r="T161">
            <v>6.8783478208534307E-6</v>
          </cell>
          <cell r="U161">
            <v>6.8119310973169508E-6</v>
          </cell>
          <cell r="V161">
            <v>6.7146766043880416E-6</v>
          </cell>
          <cell r="W161">
            <v>6.5892430607034019E-6</v>
          </cell>
          <cell r="X161">
            <v>1.0400416016640667E-5</v>
          </cell>
          <cell r="Y161">
            <v>1.0349556262775234E-5</v>
          </cell>
          <cell r="Z161">
            <v>1.0249314577087659E-5</v>
          </cell>
          <cell r="AA161">
            <v>1.0102540789008437E-5</v>
          </cell>
          <cell r="AB161">
            <v>9.9132589838909529E-6</v>
          </cell>
        </row>
        <row r="162">
          <cell r="S162">
            <v>6.9120442370831171E-6</v>
          </cell>
          <cell r="T162">
            <v>6.8783478208534307E-6</v>
          </cell>
          <cell r="U162">
            <v>6.8119310973169508E-6</v>
          </cell>
          <cell r="V162">
            <v>6.7146766043880416E-6</v>
          </cell>
          <cell r="W162">
            <v>6.5892430607034019E-6</v>
          </cell>
          <cell r="X162">
            <v>1.0400416016640667E-5</v>
          </cell>
          <cell r="Y162">
            <v>1.0349556262775234E-5</v>
          </cell>
          <cell r="Z162">
            <v>1.0249314577087659E-5</v>
          </cell>
          <cell r="AA162">
            <v>1.0102540789008437E-5</v>
          </cell>
          <cell r="AB162">
            <v>9.9132589838909529E-6</v>
          </cell>
        </row>
        <row r="163">
          <cell r="S163">
            <v>6.9120442370831171E-6</v>
          </cell>
          <cell r="T163">
            <v>6.8783478208534307E-6</v>
          </cell>
          <cell r="U163">
            <v>6.8119310973169508E-6</v>
          </cell>
          <cell r="V163">
            <v>6.7146766043880416E-6</v>
          </cell>
          <cell r="W163">
            <v>6.5892430607034019E-6</v>
          </cell>
          <cell r="X163">
            <v>1.0400416016640667E-5</v>
          </cell>
          <cell r="Y163">
            <v>1.0349556262775234E-5</v>
          </cell>
          <cell r="Z163">
            <v>1.0249314577087659E-5</v>
          </cell>
          <cell r="AA163">
            <v>1.0102540789008437E-5</v>
          </cell>
          <cell r="AB163">
            <v>9.9132589838909529E-6</v>
          </cell>
        </row>
        <row r="164">
          <cell r="S164">
            <v>6.9120442370831171E-6</v>
          </cell>
          <cell r="T164">
            <v>6.8783478208534307E-6</v>
          </cell>
          <cell r="U164">
            <v>6.8119310973169508E-6</v>
          </cell>
          <cell r="V164">
            <v>6.7146766043880416E-6</v>
          </cell>
          <cell r="W164">
            <v>6.5892430607034019E-6</v>
          </cell>
          <cell r="X164">
            <v>1.0400416016640667E-5</v>
          </cell>
          <cell r="Y164">
            <v>1.0349556262775234E-5</v>
          </cell>
          <cell r="Z164">
            <v>1.0249314577087659E-5</v>
          </cell>
          <cell r="AA164">
            <v>1.0102540789008437E-5</v>
          </cell>
          <cell r="AB164">
            <v>9.9132589838909529E-6</v>
          </cell>
        </row>
        <row r="165">
          <cell r="S165">
            <v>6.9120442370831171E-6</v>
          </cell>
          <cell r="T165">
            <v>6.8783478208534307E-6</v>
          </cell>
          <cell r="U165">
            <v>6.8119310973169508E-6</v>
          </cell>
          <cell r="V165">
            <v>6.7146766043880416E-6</v>
          </cell>
          <cell r="W165">
            <v>6.5892430607034019E-6</v>
          </cell>
          <cell r="X165">
            <v>1.0400416016640667E-5</v>
          </cell>
          <cell r="Y165">
            <v>1.0349556262775234E-5</v>
          </cell>
          <cell r="Z165">
            <v>1.0249314577087659E-5</v>
          </cell>
          <cell r="AA165">
            <v>1.0102540789008437E-5</v>
          </cell>
          <cell r="AB165">
            <v>9.9132589838909529E-6</v>
          </cell>
        </row>
      </sheetData>
      <sheetData sheetId="10"/>
      <sheetData sheetId="11"/>
      <sheetData sheetId="12"/>
      <sheetData sheetId="13"/>
      <sheetData sheetId="14"/>
      <sheetData sheetId="15">
        <row r="6">
          <cell r="C6">
            <v>564548.43713881588</v>
          </cell>
          <cell r="D6">
            <v>594302.21534232562</v>
          </cell>
          <cell r="E6">
            <v>626645.47352633101</v>
          </cell>
          <cell r="F6">
            <v>671076.72634464281</v>
          </cell>
          <cell r="G6">
            <v>710953.33876856102</v>
          </cell>
          <cell r="U6">
            <v>124496.71131844865</v>
          </cell>
          <cell r="V6">
            <v>130034.13832928086</v>
          </cell>
          <cell r="W6">
            <v>134363.38016755763</v>
          </cell>
          <cell r="X6">
            <v>135228.58521441091</v>
          </cell>
          <cell r="Y6">
            <v>144608.40448455571</v>
          </cell>
          <cell r="AE6">
            <v>-440051.72582036722</v>
          </cell>
          <cell r="AF6">
            <v>-464268.07701304473</v>
          </cell>
          <cell r="AG6">
            <v>-492282.09335877339</v>
          </cell>
          <cell r="AH6">
            <v>-535848.1411302319</v>
          </cell>
          <cell r="AI6">
            <v>-566344.93428400531</v>
          </cell>
        </row>
        <row r="7">
          <cell r="C7">
            <v>1027442.8478130285</v>
          </cell>
          <cell r="D7">
            <v>1059167.7374764138</v>
          </cell>
          <cell r="E7">
            <v>1085036.6736140125</v>
          </cell>
          <cell r="F7">
            <v>1115928.3209425444</v>
          </cell>
          <cell r="G7">
            <v>1139454.2991050961</v>
          </cell>
          <cell r="U7">
            <v>253996.18685308349</v>
          </cell>
          <cell r="V7">
            <v>269134.56269353529</v>
          </cell>
          <cell r="W7">
            <v>279626.4202868201</v>
          </cell>
          <cell r="X7">
            <v>277346.39773360878</v>
          </cell>
          <cell r="Y7">
            <v>286431.1585535843</v>
          </cell>
          <cell r="AE7">
            <v>-773446.66095994506</v>
          </cell>
          <cell r="AF7">
            <v>-790033.17478287849</v>
          </cell>
          <cell r="AG7">
            <v>-805410.25332719251</v>
          </cell>
          <cell r="AH7">
            <v>-838581.92320893565</v>
          </cell>
          <cell r="AI7">
            <v>-853023.1405515119</v>
          </cell>
        </row>
        <row r="8">
          <cell r="C8">
            <v>1450381.701459809</v>
          </cell>
          <cell r="D8">
            <v>1483568.4900032463</v>
          </cell>
          <cell r="E8">
            <v>1502152.5668642577</v>
          </cell>
          <cell r="F8">
            <v>1525234.0718506088</v>
          </cell>
          <cell r="G8">
            <v>1535925.5351244253</v>
          </cell>
          <cell r="U8">
            <v>528119.37617910584</v>
          </cell>
          <cell r="V8">
            <v>560692.79485261848</v>
          </cell>
          <cell r="W8">
            <v>583103.37804124609</v>
          </cell>
          <cell r="X8">
            <v>575204.02238841914</v>
          </cell>
          <cell r="Y8">
            <v>576990.42509176338</v>
          </cell>
          <cell r="AE8">
            <v>-922262.32528070314</v>
          </cell>
          <cell r="AF8">
            <v>-922875.69515062787</v>
          </cell>
          <cell r="AG8">
            <v>-919049.18882301159</v>
          </cell>
          <cell r="AH8">
            <v>-950030.04946218967</v>
          </cell>
          <cell r="AI8">
            <v>-958935.11003266193</v>
          </cell>
        </row>
        <row r="9">
          <cell r="C9">
            <v>1936213.5672911454</v>
          </cell>
          <cell r="D9">
            <v>1945907.4791107243</v>
          </cell>
          <cell r="E9">
            <v>1952773.9448167449</v>
          </cell>
          <cell r="F9">
            <v>1953329.4846091385</v>
          </cell>
          <cell r="G9">
            <v>1937628.6373748514</v>
          </cell>
          <cell r="U9">
            <v>807594.06381752924</v>
          </cell>
          <cell r="V9">
            <v>859906.08915389201</v>
          </cell>
          <cell r="W9">
            <v>891429.83434273722</v>
          </cell>
          <cell r="X9">
            <v>863956.7250488986</v>
          </cell>
          <cell r="Y9">
            <v>832029.76551892387</v>
          </cell>
          <cell r="AE9">
            <v>-1128619.5034736162</v>
          </cell>
          <cell r="AF9">
            <v>-1086001.3899568324</v>
          </cell>
          <cell r="AG9">
            <v>-1061344.1104740077</v>
          </cell>
          <cell r="AH9">
            <v>-1089372.75956024</v>
          </cell>
          <cell r="AI9">
            <v>-1105598.8718559276</v>
          </cell>
        </row>
        <row r="10">
          <cell r="C10">
            <v>2429660.974121796</v>
          </cell>
          <cell r="D10">
            <v>2421518.9239623812</v>
          </cell>
          <cell r="E10">
            <v>2408536.9126426233</v>
          </cell>
          <cell r="F10">
            <v>2377108.3812238919</v>
          </cell>
          <cell r="G10">
            <v>2321513.544372472</v>
          </cell>
          <cell r="U10">
            <v>1338723.9640770692</v>
          </cell>
          <cell r="V10">
            <v>1413541.3530805111</v>
          </cell>
          <cell r="W10">
            <v>1450769.4556995528</v>
          </cell>
          <cell r="X10">
            <v>1389537.8693932579</v>
          </cell>
          <cell r="Y10">
            <v>1310513.3032626612</v>
          </cell>
          <cell r="AE10">
            <v>-1090937.0100447268</v>
          </cell>
          <cell r="AF10">
            <v>-1007977.5708818701</v>
          </cell>
          <cell r="AG10">
            <v>-957767.45694307052</v>
          </cell>
          <cell r="AH10">
            <v>-987570.51183063397</v>
          </cell>
          <cell r="AI10">
            <v>-1011000.2411098108</v>
          </cell>
        </row>
        <row r="11">
          <cell r="C11">
            <v>3011288.4537970172</v>
          </cell>
          <cell r="D11">
            <v>2954843.0626735315</v>
          </cell>
          <cell r="E11">
            <v>2920397.986322403</v>
          </cell>
          <cell r="F11">
            <v>2854840.2948067589</v>
          </cell>
          <cell r="G11">
            <v>2757326.6877283002</v>
          </cell>
          <cell r="U11">
            <v>1671548.6041463646</v>
          </cell>
          <cell r="V11">
            <v>1777412.3799379496</v>
          </cell>
          <cell r="W11">
            <v>1826406.2876247535</v>
          </cell>
          <cell r="X11">
            <v>1731789.5347496811</v>
          </cell>
          <cell r="Y11">
            <v>1592077.7503358689</v>
          </cell>
          <cell r="AE11">
            <v>-1339739.8496506526</v>
          </cell>
          <cell r="AF11">
            <v>-1177430.6827355819</v>
          </cell>
          <cell r="AG11">
            <v>-1093991.6986976494</v>
          </cell>
          <cell r="AH11">
            <v>-1123050.7600570777</v>
          </cell>
          <cell r="AI11">
            <v>-1165248.9373924313</v>
          </cell>
        </row>
        <row r="12">
          <cell r="C12">
            <v>3614749.1277557882</v>
          </cell>
          <cell r="D12">
            <v>3533009.233510443</v>
          </cell>
          <cell r="E12">
            <v>3447903.4336467534</v>
          </cell>
          <cell r="F12">
            <v>3342747.5275454521</v>
          </cell>
          <cell r="G12">
            <v>3188581.423504659</v>
          </cell>
          <cell r="U12">
            <v>2032207.1164354286</v>
          </cell>
          <cell r="V12">
            <v>2176542.501957214</v>
          </cell>
          <cell r="W12">
            <v>2242024.4112566346</v>
          </cell>
          <cell r="X12">
            <v>2104644.7912015389</v>
          </cell>
          <cell r="Y12">
            <v>1887637.1849666145</v>
          </cell>
          <cell r="AE12">
            <v>-1582542.0113203595</v>
          </cell>
          <cell r="AF12">
            <v>-1356466.731553229</v>
          </cell>
          <cell r="AG12">
            <v>-1205879.0223901188</v>
          </cell>
          <cell r="AH12">
            <v>-1238102.7363439132</v>
          </cell>
          <cell r="AI12">
            <v>-1300944.2385380445</v>
          </cell>
        </row>
        <row r="13">
          <cell r="C13">
            <v>4244128.6638456732</v>
          </cell>
          <cell r="D13">
            <v>4122405.6916191406</v>
          </cell>
          <cell r="E13">
            <v>3992586.822621142</v>
          </cell>
          <cell r="F13">
            <v>3822050.3781132884</v>
          </cell>
          <cell r="G13">
            <v>3618679.1540691089</v>
          </cell>
          <cell r="U13">
            <v>2606327.0806600507</v>
          </cell>
          <cell r="V13">
            <v>2787342.8685421972</v>
          </cell>
          <cell r="W13">
            <v>2860272.4893781701</v>
          </cell>
          <cell r="X13">
            <v>2676806.0719852448</v>
          </cell>
          <cell r="Y13">
            <v>2387744.9878817946</v>
          </cell>
          <cell r="AE13">
            <v>-1637801.5831856225</v>
          </cell>
          <cell r="AF13">
            <v>-1335062.8230769434</v>
          </cell>
          <cell r="AG13">
            <v>-1132314.3332429719</v>
          </cell>
          <cell r="AH13">
            <v>-1145244.3061280437</v>
          </cell>
          <cell r="AI13">
            <v>-1230934.1661873143</v>
          </cell>
        </row>
        <row r="14">
          <cell r="C14">
            <v>4915555.235278178</v>
          </cell>
          <cell r="D14">
            <v>4757970.7494283402</v>
          </cell>
          <cell r="E14">
            <v>4594375.793871386</v>
          </cell>
          <cell r="F14">
            <v>4360869.2078246213</v>
          </cell>
          <cell r="G14">
            <v>4096958.4080660711</v>
          </cell>
          <cell r="U14">
            <v>3107031.8737523761</v>
          </cell>
          <cell r="V14">
            <v>3330213.0067997505</v>
          </cell>
          <cell r="W14">
            <v>3421185.9965720116</v>
          </cell>
          <cell r="X14">
            <v>3188264.2119569322</v>
          </cell>
          <cell r="Y14">
            <v>2795454.283229358</v>
          </cell>
          <cell r="AE14">
            <v>-1808523.3615258019</v>
          </cell>
          <cell r="AF14">
            <v>-1427757.7426285897</v>
          </cell>
          <cell r="AG14">
            <v>-1173189.7972993744</v>
          </cell>
          <cell r="AH14">
            <v>-1172604.9958676891</v>
          </cell>
          <cell r="AI14">
            <v>-1301504.1248367131</v>
          </cell>
        </row>
        <row r="15">
          <cell r="C15">
            <v>5623645.0107881306</v>
          </cell>
          <cell r="D15">
            <v>5437376.9496647427</v>
          </cell>
          <cell r="E15">
            <v>5241426.7807186991</v>
          </cell>
          <cell r="F15">
            <v>4934056.2448341735</v>
          </cell>
          <cell r="G15">
            <v>4600799.5157568324</v>
          </cell>
          <cell r="U15">
            <v>3918836.9064145889</v>
          </cell>
          <cell r="V15">
            <v>4255854.3814092372</v>
          </cell>
          <cell r="W15">
            <v>4531072.0468785567</v>
          </cell>
          <cell r="X15">
            <v>4147937.7414751439</v>
          </cell>
          <cell r="Y15">
            <v>3566332.9112964026</v>
          </cell>
          <cell r="AE15">
            <v>-1704808.1043735417</v>
          </cell>
          <cell r="AF15">
            <v>-1181522.5682555055</v>
          </cell>
          <cell r="AG15">
            <v>-710354.73384014238</v>
          </cell>
          <cell r="AH15">
            <v>-786118.50335902954</v>
          </cell>
          <cell r="AI15">
            <v>-1034466.6044604299</v>
          </cell>
        </row>
        <row r="16">
          <cell r="C16">
            <v>6357813.5283651846</v>
          </cell>
          <cell r="D16">
            <v>6126497.3450773936</v>
          </cell>
          <cell r="E16">
            <v>5890967.9484302737</v>
          </cell>
          <cell r="F16">
            <v>5515873.0399133088</v>
          </cell>
          <cell r="G16">
            <v>5091842.636048574</v>
          </cell>
          <cell r="U16">
            <v>4576303.0952811129</v>
          </cell>
          <cell r="V16">
            <v>5038081.0433769822</v>
          </cell>
          <cell r="W16">
            <v>5557106.5606895592</v>
          </cell>
          <cell r="X16">
            <v>4971930.1133009391</v>
          </cell>
          <cell r="Y16">
            <v>4155278.1620977898</v>
          </cell>
          <cell r="AE16">
            <v>-1781510.4330840716</v>
          </cell>
          <cell r="AF16">
            <v>-1088416.3017004114</v>
          </cell>
          <cell r="AG16">
            <v>-333861.38774071448</v>
          </cell>
          <cell r="AH16">
            <v>-543942.92661236972</v>
          </cell>
          <cell r="AI16">
            <v>-936564.47395078419</v>
          </cell>
        </row>
        <row r="17">
          <cell r="C17">
            <v>7150166.4814556548</v>
          </cell>
          <cell r="D17">
            <v>6872621.0785075501</v>
          </cell>
          <cell r="E17">
            <v>6588970.3399177017</v>
          </cell>
          <cell r="F17">
            <v>6156368.1308627082</v>
          </cell>
          <cell r="G17">
            <v>5606163.3480395842</v>
          </cell>
          <cell r="U17">
            <v>5590692.5344275255</v>
          </cell>
          <cell r="V17">
            <v>6232297.0278738765</v>
          </cell>
          <cell r="W17">
            <v>6982691.7206450356</v>
          </cell>
          <cell r="X17">
            <v>6194709.9507182287</v>
          </cell>
          <cell r="Y17">
            <v>5100190.6878191503</v>
          </cell>
          <cell r="AE17">
            <v>-1559473.9470281294</v>
          </cell>
          <cell r="AF17">
            <v>-640324.05063367356</v>
          </cell>
          <cell r="AG17">
            <v>393721.38072733395</v>
          </cell>
          <cell r="AH17">
            <v>38341.819855520502</v>
          </cell>
          <cell r="AI17">
            <v>-505972.66022043396</v>
          </cell>
        </row>
        <row r="18">
          <cell r="C18">
            <v>8001094.8193809465</v>
          </cell>
          <cell r="D18">
            <v>7699486.4481876288</v>
          </cell>
          <cell r="E18">
            <v>7348199.2316517076</v>
          </cell>
          <cell r="F18">
            <v>6837333.9204346212</v>
          </cell>
          <cell r="G18">
            <v>6155957.7170372522</v>
          </cell>
          <cell r="U18">
            <v>6413141.4825912956</v>
          </cell>
          <cell r="V18">
            <v>7308284.1498182286</v>
          </cell>
          <cell r="W18">
            <v>8344256.0131020816</v>
          </cell>
          <cell r="X18">
            <v>7255615.6429138202</v>
          </cell>
          <cell r="Y18">
            <v>5848388.8346517859</v>
          </cell>
          <cell r="AE18">
            <v>-1587953.3367896508</v>
          </cell>
          <cell r="AF18">
            <v>-391202.2983694002</v>
          </cell>
          <cell r="AG18">
            <v>996056.78145037405</v>
          </cell>
          <cell r="AH18">
            <v>418281.72247919906</v>
          </cell>
          <cell r="AI18">
            <v>-307568.88238546625</v>
          </cell>
        </row>
        <row r="19">
          <cell r="C19">
            <v>8981725.1273636371</v>
          </cell>
          <cell r="D19">
            <v>8542595.8991360068</v>
          </cell>
          <cell r="E19">
            <v>8139899.1740597161</v>
          </cell>
          <cell r="F19">
            <v>7521547.4841502495</v>
          </cell>
          <cell r="G19">
            <v>6697991.4795605186</v>
          </cell>
          <cell r="U19">
            <v>7715592.2428317089</v>
          </cell>
          <cell r="V19">
            <v>8900669.1712866072</v>
          </cell>
          <cell r="W19">
            <v>10508059.744556008</v>
          </cell>
          <cell r="X19">
            <v>8797441.0647838712</v>
          </cell>
          <cell r="Y19">
            <v>7042719.1499266224</v>
          </cell>
          <cell r="AE19">
            <v>-1266132.8845319282</v>
          </cell>
          <cell r="AF19">
            <v>358073.27215060033</v>
          </cell>
          <cell r="AG19">
            <v>2368160.5704962919</v>
          </cell>
          <cell r="AH19">
            <v>1275893.5806336217</v>
          </cell>
          <cell r="AI19">
            <v>344727.67036610376</v>
          </cell>
        </row>
        <row r="20">
          <cell r="C20">
            <v>10069676.982082948</v>
          </cell>
          <cell r="D20">
            <v>9564619.4893987607</v>
          </cell>
          <cell r="E20">
            <v>9039067.6071513034</v>
          </cell>
          <cell r="F20">
            <v>8311189.349019275</v>
          </cell>
          <cell r="G20">
            <v>7340255.9496899573</v>
          </cell>
          <cell r="U20">
            <v>8759879.837267777</v>
          </cell>
          <cell r="V20">
            <v>10151952.827218791</v>
          </cell>
          <cell r="W20">
            <v>12132196.439752137</v>
          </cell>
          <cell r="X20">
            <v>9937349.4996036366</v>
          </cell>
          <cell r="Y20">
            <v>7941328.826563241</v>
          </cell>
          <cell r="AE20">
            <v>-1309797.1448151711</v>
          </cell>
          <cell r="AF20">
            <v>587333.33782003075</v>
          </cell>
          <cell r="AG20">
            <v>3093128.8326008338</v>
          </cell>
          <cell r="AH20">
            <v>1626160.1505843615</v>
          </cell>
          <cell r="AI20">
            <v>601072.87687328365</v>
          </cell>
        </row>
        <row r="21">
          <cell r="C21">
            <v>11249508.699297342</v>
          </cell>
          <cell r="D21">
            <v>10688197.59235209</v>
          </cell>
          <cell r="E21">
            <v>10015166.241807686</v>
          </cell>
          <cell r="F21">
            <v>9195424.7314086165</v>
          </cell>
          <cell r="G21">
            <v>8032029.8423118275</v>
          </cell>
          <cell r="U21">
            <v>10381501.548194375</v>
          </cell>
          <cell r="V21">
            <v>11997650.675545949</v>
          </cell>
          <cell r="W21">
            <v>14352287.324425627</v>
          </cell>
          <cell r="X21">
            <v>11805325.700442705</v>
          </cell>
          <cell r="Y21">
            <v>9463552.6847004481</v>
          </cell>
          <cell r="AE21">
            <v>-868007.15110296756</v>
          </cell>
          <cell r="AF21">
            <v>1309453.0831938591</v>
          </cell>
          <cell r="AG21">
            <v>4337121.0826179404</v>
          </cell>
          <cell r="AH21">
            <v>2609900.9690340888</v>
          </cell>
          <cell r="AI21">
            <v>1431522.8423886206</v>
          </cell>
        </row>
        <row r="22">
          <cell r="C22">
            <v>12583046.070838848</v>
          </cell>
          <cell r="D22">
            <v>11892880.845953746</v>
          </cell>
          <cell r="E22">
            <v>11119631.260951906</v>
          </cell>
          <cell r="F22">
            <v>10103636.681689149</v>
          </cell>
          <cell r="G22">
            <v>8705955.6242151875</v>
          </cell>
          <cell r="U22">
            <v>11717008.665929452</v>
          </cell>
          <cell r="V22">
            <v>13521405.100526143</v>
          </cell>
          <cell r="W22">
            <v>16266573.861354209</v>
          </cell>
          <cell r="X22">
            <v>13439830.118955284</v>
          </cell>
          <cell r="Y22">
            <v>10583638.89345872</v>
          </cell>
          <cell r="AE22">
            <v>-866037.40490939654</v>
          </cell>
          <cell r="AF22">
            <v>1628524.2545723971</v>
          </cell>
          <cell r="AG22">
            <v>5146942.600402303</v>
          </cell>
          <cell r="AH22">
            <v>3336193.4372661356</v>
          </cell>
          <cell r="AI22">
            <v>1877683.2692435328</v>
          </cell>
        </row>
        <row r="23">
          <cell r="C23">
            <v>14068349.806321105</v>
          </cell>
          <cell r="D23">
            <v>13294084.949650964</v>
          </cell>
          <cell r="E23">
            <v>12415856.351636549</v>
          </cell>
          <cell r="F23">
            <v>11182409.725729235</v>
          </cell>
          <cell r="G23">
            <v>9493450.5679263026</v>
          </cell>
          <cell r="U23">
            <v>13731035.438338738</v>
          </cell>
          <cell r="V23">
            <v>15861149.406573404</v>
          </cell>
          <cell r="W23">
            <v>19022288.713760518</v>
          </cell>
          <cell r="X23">
            <v>15901409.140455903</v>
          </cell>
          <cell r="Y23">
            <v>12495094.565556414</v>
          </cell>
          <cell r="AE23">
            <v>-337314.36798236705</v>
          </cell>
          <cell r="AF23">
            <v>2567064.4569224399</v>
          </cell>
          <cell r="AG23">
            <v>6606432.3621239681</v>
          </cell>
          <cell r="AH23">
            <v>4718999.414726669</v>
          </cell>
          <cell r="AI23">
            <v>3001643.9976301119</v>
          </cell>
        </row>
        <row r="24">
          <cell r="C24">
            <v>15786495.891774314</v>
          </cell>
          <cell r="D24">
            <v>14897992.304092094</v>
          </cell>
          <cell r="E24">
            <v>13850234.1259294</v>
          </cell>
          <cell r="F24">
            <v>12340648.283912528</v>
          </cell>
          <cell r="G24">
            <v>10342504.387829319</v>
          </cell>
          <cell r="U24">
            <v>15387771.988345878</v>
          </cell>
          <cell r="V24">
            <v>17875804.822408225</v>
          </cell>
          <cell r="W24">
            <v>21412714.727209087</v>
          </cell>
          <cell r="X24">
            <v>17972382.150098544</v>
          </cell>
          <cell r="Y24">
            <v>14225282.10667525</v>
          </cell>
          <cell r="AE24">
            <v>-398723.90342843533</v>
          </cell>
          <cell r="AF24">
            <v>2977812.5183161311</v>
          </cell>
          <cell r="AG24">
            <v>7562480.6012796871</v>
          </cell>
          <cell r="AH24">
            <v>5631733.8661860153</v>
          </cell>
          <cell r="AI24">
            <v>3882777.7188459318</v>
          </cell>
        </row>
        <row r="25">
          <cell r="C25">
            <v>17682936.211144019</v>
          </cell>
          <cell r="D25">
            <v>16628702.65759046</v>
          </cell>
          <cell r="E25">
            <v>15369443.485934267</v>
          </cell>
          <cell r="F25">
            <v>13625295.178750301</v>
          </cell>
          <cell r="G25">
            <v>11211048.114314366</v>
          </cell>
          <cell r="U25">
            <v>17199863.343696132</v>
          </cell>
          <cell r="V25">
            <v>20063501.837762307</v>
          </cell>
          <cell r="W25">
            <v>24169597.633396056</v>
          </cell>
          <cell r="X25">
            <v>20387434.741859224</v>
          </cell>
          <cell r="Y25">
            <v>16102237.528786542</v>
          </cell>
          <cell r="AE25">
            <v>-483072.86744788662</v>
          </cell>
          <cell r="AF25">
            <v>3434799.1801718473</v>
          </cell>
          <cell r="AG25">
            <v>8800154.1474617887</v>
          </cell>
          <cell r="AH25">
            <v>6762139.5631089229</v>
          </cell>
          <cell r="AI25">
            <v>4891189.4144721758</v>
          </cell>
        </row>
        <row r="26">
          <cell r="C26">
            <v>19907505.041786399</v>
          </cell>
          <cell r="D26">
            <v>18639968.233037263</v>
          </cell>
          <cell r="E26">
            <v>17196759.044745792</v>
          </cell>
          <cell r="F26">
            <v>15156642.029589679</v>
          </cell>
          <cell r="G26">
            <v>12565501.937531726</v>
          </cell>
          <cell r="U26">
            <v>19546597.77933573</v>
          </cell>
          <cell r="V26">
            <v>22777521.928675424</v>
          </cell>
          <cell r="W26">
            <v>27692380.092796285</v>
          </cell>
          <cell r="X26">
            <v>23388671.501879942</v>
          </cell>
          <cell r="Y26">
            <v>18704598.576706514</v>
          </cell>
          <cell r="AE26">
            <v>-360907.26245066896</v>
          </cell>
          <cell r="AF26">
            <v>4137553.6956381612</v>
          </cell>
          <cell r="AG26">
            <v>10495621.048050493</v>
          </cell>
          <cell r="AH26">
            <v>8232029.4722902626</v>
          </cell>
          <cell r="AI26">
            <v>6139096.6391747873</v>
          </cell>
        </row>
        <row r="27">
          <cell r="C27">
            <v>22331856.761356719</v>
          </cell>
          <cell r="D27">
            <v>20887249.259079147</v>
          </cell>
          <cell r="E27">
            <v>19205540.158158988</v>
          </cell>
          <cell r="F27">
            <v>17044419.731367007</v>
          </cell>
          <cell r="G27">
            <v>14048920.647400901</v>
          </cell>
          <cell r="U27">
            <v>21842772.668837946</v>
          </cell>
          <cell r="V27">
            <v>25626916.237539005</v>
          </cell>
          <cell r="W27">
            <v>31313857.245358244</v>
          </cell>
          <cell r="X27">
            <v>26554692.420174338</v>
          </cell>
          <cell r="Y27">
            <v>21417668.054750726</v>
          </cell>
          <cell r="AE27">
            <v>-489084.09251877293</v>
          </cell>
          <cell r="AF27">
            <v>4739666.9784598574</v>
          </cell>
          <cell r="AG27">
            <v>12108317.087199256</v>
          </cell>
          <cell r="AH27">
            <v>9510272.688807331</v>
          </cell>
          <cell r="AI27">
            <v>7368747.4073498249</v>
          </cell>
        </row>
        <row r="28">
          <cell r="C28">
            <v>25036139.370550498</v>
          </cell>
          <cell r="D28">
            <v>23357009.455663849</v>
          </cell>
          <cell r="E28">
            <v>21527848.902596179</v>
          </cell>
          <cell r="F28">
            <v>19106130.287052915</v>
          </cell>
          <cell r="G28">
            <v>15550959.013263958</v>
          </cell>
          <cell r="U28">
            <v>24398862.957473066</v>
          </cell>
          <cell r="V28">
            <v>28702072.032685608</v>
          </cell>
          <cell r="W28">
            <v>35146708.717332855</v>
          </cell>
          <cell r="X28">
            <v>29908456.713043705</v>
          </cell>
          <cell r="Y28">
            <v>24436884.424240138</v>
          </cell>
          <cell r="AE28">
            <v>-637276.41307743266</v>
          </cell>
          <cell r="AF28">
            <v>5345062.577021759</v>
          </cell>
          <cell r="AG28">
            <v>13618859.814736675</v>
          </cell>
          <cell r="AH28">
            <v>10802326.42599079</v>
          </cell>
          <cell r="AI28">
            <v>8885925.4109761808</v>
          </cell>
        </row>
        <row r="29">
          <cell r="C29">
            <v>28042468.349177852</v>
          </cell>
          <cell r="D29">
            <v>26291015.853261717</v>
          </cell>
          <cell r="E29">
            <v>24307089.621637162</v>
          </cell>
          <cell r="F29">
            <v>21497327.195262175</v>
          </cell>
          <cell r="G29">
            <v>17306126.708032977</v>
          </cell>
          <cell r="U29">
            <v>27130699.943215515</v>
          </cell>
          <cell r="V29">
            <v>32092581.169219211</v>
          </cell>
          <cell r="W29">
            <v>39431848.129187994</v>
          </cell>
          <cell r="X29">
            <v>33986422.702419192</v>
          </cell>
          <cell r="Y29">
            <v>27874388.277259178</v>
          </cell>
          <cell r="AE29">
            <v>-911768.40596233681</v>
          </cell>
          <cell r="AF29">
            <v>5801565.3159574941</v>
          </cell>
          <cell r="AG29">
            <v>15124758.507550832</v>
          </cell>
          <cell r="AH29">
            <v>12489095.507157017</v>
          </cell>
          <cell r="AI29">
            <v>10568261.569226202</v>
          </cell>
        </row>
        <row r="30">
          <cell r="C30">
            <v>31508081.074235529</v>
          </cell>
          <cell r="D30">
            <v>29575533.365008842</v>
          </cell>
          <cell r="E30">
            <v>27335651.241479132</v>
          </cell>
          <cell r="F30">
            <v>24072643.988484144</v>
          </cell>
          <cell r="G30">
            <v>19140042.750303201</v>
          </cell>
          <cell r="U30">
            <v>30450159.069925044</v>
          </cell>
          <cell r="V30">
            <v>36073059.483463503</v>
          </cell>
          <cell r="W30">
            <v>44596443.745524667</v>
          </cell>
          <cell r="X30">
            <v>38645371.375791371</v>
          </cell>
          <cell r="Y30">
            <v>31999869.874386493</v>
          </cell>
          <cell r="AE30">
            <v>-1057922.004310485</v>
          </cell>
          <cell r="AF30">
            <v>6497526.1184546612</v>
          </cell>
          <cell r="AG30">
            <v>17260792.504045535</v>
          </cell>
          <cell r="AH30">
            <v>14572727.387307227</v>
          </cell>
          <cell r="AI30">
            <v>12859827.124083292</v>
          </cell>
        </row>
        <row r="31">
          <cell r="C31">
            <v>35406738.345950529</v>
          </cell>
          <cell r="D31">
            <v>33225596.523396745</v>
          </cell>
          <cell r="E31">
            <v>30634016.805612683</v>
          </cell>
          <cell r="F31">
            <v>26842208.360503349</v>
          </cell>
          <cell r="G31">
            <v>21134866.195824184</v>
          </cell>
          <cell r="U31">
            <v>33776361.968182087</v>
          </cell>
          <cell r="V31">
            <v>40236375.299699657</v>
          </cell>
          <cell r="W31">
            <v>49938759.374846682</v>
          </cell>
          <cell r="X31">
            <v>43527462.692092657</v>
          </cell>
          <cell r="Y31">
            <v>36196638.073065534</v>
          </cell>
          <cell r="AE31">
            <v>-1630376.377768442</v>
          </cell>
          <cell r="AF31">
            <v>7010778.7763029113</v>
          </cell>
          <cell r="AG31">
            <v>19304742.569233999</v>
          </cell>
          <cell r="AH31">
            <v>16685254.331589308</v>
          </cell>
          <cell r="AI31">
            <v>15061771.877241351</v>
          </cell>
        </row>
        <row r="32">
          <cell r="C32">
            <v>39758196.693869852</v>
          </cell>
          <cell r="D32">
            <v>37241229.316081434</v>
          </cell>
          <cell r="E32">
            <v>34246082.682535253</v>
          </cell>
          <cell r="F32">
            <v>29890966.841255404</v>
          </cell>
          <cell r="G32">
            <v>23383253.595826689</v>
          </cell>
          <cell r="U32">
            <v>37564782.062457778</v>
          </cell>
          <cell r="V32">
            <v>44876966.223263413</v>
          </cell>
          <cell r="W32">
            <v>55796487.090892963</v>
          </cell>
          <cell r="X32">
            <v>48815438.622426495</v>
          </cell>
          <cell r="Y32">
            <v>41069929.169156492</v>
          </cell>
          <cell r="AE32">
            <v>-2193414.631412074</v>
          </cell>
          <cell r="AF32">
            <v>7635736.9071819782</v>
          </cell>
          <cell r="AG32">
            <v>21550404.40835771</v>
          </cell>
          <cell r="AH32">
            <v>18924471.781171091</v>
          </cell>
          <cell r="AI32">
            <v>17686675.573329803</v>
          </cell>
        </row>
        <row r="33">
          <cell r="C33">
            <v>44555176.891516522</v>
          </cell>
          <cell r="D33">
            <v>41637331.470004827</v>
          </cell>
          <cell r="E33">
            <v>38153127.074548379</v>
          </cell>
          <cell r="F33">
            <v>33258781.290941164</v>
          </cell>
          <cell r="G33">
            <v>25913268.351933569</v>
          </cell>
          <cell r="U33">
            <v>41747446.824041992</v>
          </cell>
          <cell r="V33">
            <v>49924070.068223074</v>
          </cell>
          <cell r="W33">
            <v>62128698.797208294</v>
          </cell>
          <cell r="X33">
            <v>54811734.022092395</v>
          </cell>
          <cell r="Y33">
            <v>46438354.514619723</v>
          </cell>
          <cell r="AE33">
            <v>-2807730.0674745291</v>
          </cell>
          <cell r="AF33">
            <v>8286738.5982182473</v>
          </cell>
          <cell r="AG33">
            <v>23975571.722659916</v>
          </cell>
          <cell r="AH33">
            <v>21552952.731151231</v>
          </cell>
          <cell r="AI33">
            <v>20525086.162686154</v>
          </cell>
        </row>
        <row r="34">
          <cell r="C34">
            <v>49862961.979341999</v>
          </cell>
          <cell r="D34">
            <v>46601775.164357893</v>
          </cell>
          <cell r="E34">
            <v>42746022.460471854</v>
          </cell>
          <cell r="F34">
            <v>37268802.699737854</v>
          </cell>
          <cell r="G34">
            <v>28789075.922060311</v>
          </cell>
          <cell r="U34">
            <v>46311690.950146303</v>
          </cell>
          <cell r="V34">
            <v>55495228.52845256</v>
          </cell>
          <cell r="W34">
            <v>69293792.020023867</v>
          </cell>
          <cell r="X34">
            <v>61726296.690130115</v>
          </cell>
          <cell r="Y34">
            <v>52640830.035213009</v>
          </cell>
          <cell r="AE34">
            <v>-3551271.0291956961</v>
          </cell>
          <cell r="AF34">
            <v>8893453.3640946671</v>
          </cell>
          <cell r="AG34">
            <v>26547769.559552014</v>
          </cell>
          <cell r="AH34">
            <v>24457493.99039226</v>
          </cell>
          <cell r="AI34">
            <v>23851754.113152698</v>
          </cell>
        </row>
        <row r="35">
          <cell r="C35">
            <v>55928899.216471136</v>
          </cell>
          <cell r="D35">
            <v>51999307.960637204</v>
          </cell>
          <cell r="E35">
            <v>47640327.809723705</v>
          </cell>
          <cell r="F35">
            <v>41417385.651975699</v>
          </cell>
          <cell r="G35">
            <v>31798347.243123423</v>
          </cell>
          <cell r="U35">
            <v>51347427.425968155</v>
          </cell>
          <cell r="V35">
            <v>61596749.087486081</v>
          </cell>
          <cell r="W35">
            <v>77050404.961337849</v>
          </cell>
          <cell r="X35">
            <v>69093984.185877889</v>
          </cell>
          <cell r="Y35">
            <v>59210244.972553447</v>
          </cell>
          <cell r="AE35">
            <v>-4581471.7905029804</v>
          </cell>
          <cell r="AF35">
            <v>9597441.1268488765</v>
          </cell>
          <cell r="AG35">
            <v>29410077.151614144</v>
          </cell>
          <cell r="AH35">
            <v>27676598.533902191</v>
          </cell>
          <cell r="AI35">
            <v>27411897.729430024</v>
          </cell>
        </row>
        <row r="36">
          <cell r="C36">
            <v>62850897.306193262</v>
          </cell>
          <cell r="D36">
            <v>58507717.217413947</v>
          </cell>
          <cell r="E36">
            <v>53326533.710261971</v>
          </cell>
          <cell r="F36">
            <v>46237887.28890647</v>
          </cell>
          <cell r="G36">
            <v>35421070.948391199</v>
          </cell>
          <cell r="U36">
            <v>58213229.245683014</v>
          </cell>
          <cell r="V36">
            <v>69751107.403701633</v>
          </cell>
          <cell r="W36">
            <v>86802789.072341084</v>
          </cell>
          <cell r="X36">
            <v>78436491.694499671</v>
          </cell>
          <cell r="Y36">
            <v>68106937.329609677</v>
          </cell>
          <cell r="AE36">
            <v>-4637668.0605102479</v>
          </cell>
          <cell r="AF36">
            <v>11243390.186287686</v>
          </cell>
          <cell r="AG36">
            <v>33476255.362079114</v>
          </cell>
          <cell r="AH36">
            <v>32198604.405593202</v>
          </cell>
          <cell r="AI36">
            <v>32685866.381218478</v>
          </cell>
        </row>
        <row r="37">
          <cell r="C37">
            <v>70482694.782647148</v>
          </cell>
          <cell r="D37">
            <v>65572874.12754263</v>
          </cell>
          <cell r="E37">
            <v>59462031.353814691</v>
          </cell>
          <cell r="F37">
            <v>51572664.638643809</v>
          </cell>
          <cell r="G37">
            <v>39327647.582867876</v>
          </cell>
          <cell r="U37">
            <v>64757990.637287572</v>
          </cell>
          <cell r="V37">
            <v>77503144.569134265</v>
          </cell>
          <cell r="W37">
            <v>96255635.138052523</v>
          </cell>
          <cell r="X37">
            <v>87691631.470563725</v>
          </cell>
          <cell r="Y37">
            <v>76540790.034061193</v>
          </cell>
          <cell r="AE37">
            <v>-5724704.1453595757</v>
          </cell>
          <cell r="AF37">
            <v>11930270.441591635</v>
          </cell>
          <cell r="AG37">
            <v>36793603.784237832</v>
          </cell>
          <cell r="AH37">
            <v>36118966.831919916</v>
          </cell>
          <cell r="AI37">
            <v>37213142.451193318</v>
          </cell>
        </row>
        <row r="38">
          <cell r="C38">
            <v>78842434.238923922</v>
          </cell>
          <cell r="D38">
            <v>73137609.655417517</v>
          </cell>
          <cell r="E38">
            <v>66080824.975857653</v>
          </cell>
          <cell r="F38">
            <v>57353953.519029245</v>
          </cell>
          <cell r="G38">
            <v>43616531.117277727</v>
          </cell>
          <cell r="U38">
            <v>71930356.314495504</v>
          </cell>
          <cell r="V38">
            <v>85954499.042077094</v>
          </cell>
          <cell r="W38">
            <v>106408449.76878031</v>
          </cell>
          <cell r="X38">
            <v>97798497.070155069</v>
          </cell>
          <cell r="Y38">
            <v>85831496.816132441</v>
          </cell>
          <cell r="AE38">
            <v>-6912077.9244284183</v>
          </cell>
          <cell r="AF38">
            <v>12816889.386659577</v>
          </cell>
          <cell r="AG38">
            <v>40327624.792922653</v>
          </cell>
          <cell r="AH38">
            <v>40444543.551125824</v>
          </cell>
          <cell r="AI38">
            <v>42214965.698854715</v>
          </cell>
        </row>
        <row r="39">
          <cell r="C39">
            <v>88147551.123646364</v>
          </cell>
          <cell r="D39">
            <v>81706963.41047959</v>
          </cell>
          <cell r="E39">
            <v>73960654.769651279</v>
          </cell>
          <cell r="F39">
            <v>64013283.008469373</v>
          </cell>
          <cell r="G39">
            <v>48406214.709145851</v>
          </cell>
          <cell r="U39">
            <v>80063641.807820559</v>
          </cell>
          <cell r="V39">
            <v>95482950.050655052</v>
          </cell>
          <cell r="W39">
            <v>118057720.59147352</v>
          </cell>
          <cell r="X39">
            <v>109204480.59746271</v>
          </cell>
          <cell r="Y39">
            <v>96184305.941849902</v>
          </cell>
          <cell r="AE39">
            <v>-8083909.3158258051</v>
          </cell>
          <cell r="AF39">
            <v>13775986.640175462</v>
          </cell>
          <cell r="AG39">
            <v>44097065.821822241</v>
          </cell>
          <cell r="AH39">
            <v>45191197.588993341</v>
          </cell>
          <cell r="AI39">
            <v>47778091.232704051</v>
          </cell>
        </row>
        <row r="40">
          <cell r="C40">
            <v>98394255.184813216</v>
          </cell>
          <cell r="D40">
            <v>91334645.876351744</v>
          </cell>
          <cell r="E40">
            <v>82714955.277793422</v>
          </cell>
          <cell r="F40">
            <v>71337123.37727268</v>
          </cell>
          <cell r="G40">
            <v>53698632.373336874</v>
          </cell>
          <cell r="U40">
            <v>88966465.045046791</v>
          </cell>
          <cell r="V40">
            <v>106220453.00952099</v>
          </cell>
          <cell r="W40">
            <v>130817056.20919567</v>
          </cell>
          <cell r="X40">
            <v>121505387.22762299</v>
          </cell>
          <cell r="Y40">
            <v>107889828.52604032</v>
          </cell>
          <cell r="AE40">
            <v>-9427790.1397664249</v>
          </cell>
          <cell r="AF40">
            <v>14885807.133169249</v>
          </cell>
          <cell r="AG40">
            <v>48102100.931402251</v>
          </cell>
          <cell r="AH40">
            <v>50168263.850350305</v>
          </cell>
          <cell r="AI40">
            <v>54191196.152703442</v>
          </cell>
        </row>
        <row r="41">
          <cell r="C41">
            <v>109756510.05636966</v>
          </cell>
          <cell r="D41">
            <v>101990533.5283864</v>
          </cell>
          <cell r="E41">
            <v>92373427.278865978</v>
          </cell>
          <cell r="F41">
            <v>79202553.132737115</v>
          </cell>
          <cell r="G41">
            <v>59164403.822606668</v>
          </cell>
          <cell r="U41">
            <v>98911545.273275644</v>
          </cell>
          <cell r="V41">
            <v>117989542.57423134</v>
          </cell>
          <cell r="W41">
            <v>144616662.25172427</v>
          </cell>
          <cell r="X41">
            <v>134840756.77943751</v>
          </cell>
          <cell r="Y41">
            <v>120176416.62548773</v>
          </cell>
          <cell r="AE41">
            <v>-10844964.783094019</v>
          </cell>
          <cell r="AF41">
            <v>15999009.045844942</v>
          </cell>
          <cell r="AG41">
            <v>52243234.972858295</v>
          </cell>
          <cell r="AH41">
            <v>55638203.646700397</v>
          </cell>
          <cell r="AI41">
            <v>61012012.802881062</v>
          </cell>
        </row>
        <row r="42">
          <cell r="C42">
            <v>122330347.59938623</v>
          </cell>
          <cell r="D42">
            <v>113835354.68923709</v>
          </cell>
          <cell r="E42">
            <v>102970411.63881072</v>
          </cell>
          <cell r="F42">
            <v>87866571.520431876</v>
          </cell>
          <cell r="G42">
            <v>65472447.297803842</v>
          </cell>
          <cell r="U42">
            <v>109847129.59471464</v>
          </cell>
          <cell r="V42">
            <v>130734638.43195289</v>
          </cell>
          <cell r="W42">
            <v>159541179.47450253</v>
          </cell>
          <cell r="X42">
            <v>149475134.43491909</v>
          </cell>
          <cell r="Y42">
            <v>134373371.04544488</v>
          </cell>
          <cell r="AE42">
            <v>-12483218.004671589</v>
          </cell>
          <cell r="AF42">
            <v>16899283.742715806</v>
          </cell>
          <cell r="AG42">
            <v>56570767.83569181</v>
          </cell>
          <cell r="AH42">
            <v>61608562.914487213</v>
          </cell>
          <cell r="AI42">
            <v>68900923.747641027</v>
          </cell>
        </row>
        <row r="43">
          <cell r="C43">
            <v>136518592.92266572</v>
          </cell>
          <cell r="D43">
            <v>126874561.67420462</v>
          </cell>
          <cell r="E43">
            <v>114607931.48611273</v>
          </cell>
          <cell r="F43">
            <v>97554853.747834861</v>
          </cell>
          <cell r="G43">
            <v>72143641.705039933</v>
          </cell>
          <cell r="U43">
            <v>121911520.54548271</v>
          </cell>
          <cell r="V43">
            <v>144700018.99382669</v>
          </cell>
          <cell r="W43">
            <v>175997352.18695116</v>
          </cell>
          <cell r="X43">
            <v>165529262.91009846</v>
          </cell>
          <cell r="Y43">
            <v>149785747.22362325</v>
          </cell>
          <cell r="AE43">
            <v>-14607072.377183005</v>
          </cell>
          <cell r="AF43">
            <v>17825457.31962207</v>
          </cell>
          <cell r="AG43">
            <v>61389420.700838432</v>
          </cell>
          <cell r="AH43">
            <v>67974409.162263602</v>
          </cell>
          <cell r="AI43">
            <v>77642105.518583313</v>
          </cell>
        </row>
        <row r="44">
          <cell r="C44">
            <v>153184499.93106976</v>
          </cell>
          <cell r="D44">
            <v>141272897.49570131</v>
          </cell>
          <cell r="E44">
            <v>127429640.46597128</v>
          </cell>
          <cell r="F44">
            <v>108444483.60782398</v>
          </cell>
          <cell r="G44">
            <v>79644329.360112682</v>
          </cell>
          <cell r="U44">
            <v>135283197.92445794</v>
          </cell>
          <cell r="V44">
            <v>160168649.53330687</v>
          </cell>
          <cell r="W44">
            <v>194057388.10852864</v>
          </cell>
          <cell r="X44">
            <v>183802099.3080309</v>
          </cell>
          <cell r="Y44">
            <v>167251300.59961718</v>
          </cell>
          <cell r="AE44">
            <v>-17901302.006611824</v>
          </cell>
          <cell r="AF44">
            <v>18895752.037605554</v>
          </cell>
          <cell r="AG44">
            <v>66627747.642557368</v>
          </cell>
          <cell r="AH44">
            <v>75357615.700206921</v>
          </cell>
          <cell r="AI44">
            <v>87606971.239504501</v>
          </cell>
        </row>
        <row r="45">
          <cell r="C45">
            <v>171619875.82737923</v>
          </cell>
          <cell r="D45">
            <v>157240877.25565219</v>
          </cell>
          <cell r="E45">
            <v>141850425.07599404</v>
          </cell>
          <cell r="F45">
            <v>120762658.70780033</v>
          </cell>
          <cell r="G45">
            <v>88078927.40624018</v>
          </cell>
          <cell r="U45">
            <v>150172851.24311939</v>
          </cell>
          <cell r="V45">
            <v>177412034.50914523</v>
          </cell>
          <cell r="W45">
            <v>214281633.90361142</v>
          </cell>
          <cell r="X45">
            <v>204296077.9326908</v>
          </cell>
          <cell r="Y45">
            <v>187375930.01580107</v>
          </cell>
          <cell r="AE45">
            <v>-21447024.584259838</v>
          </cell>
          <cell r="AF45">
            <v>20171157.253493041</v>
          </cell>
          <cell r="AG45">
            <v>72431208.827617377</v>
          </cell>
          <cell r="AH45">
            <v>83533419.224890471</v>
          </cell>
          <cell r="AI45">
            <v>99297002.609560892</v>
          </cell>
        </row>
        <row r="46">
          <cell r="C46">
            <v>192988889.39527375</v>
          </cell>
          <cell r="D46">
            <v>176842306.29860571</v>
          </cell>
          <cell r="E46">
            <v>158769820.505117</v>
          </cell>
          <cell r="F46">
            <v>135197196.54051587</v>
          </cell>
          <cell r="G46">
            <v>98207942.17727831</v>
          </cell>
          <cell r="U46">
            <v>167292880.75967202</v>
          </cell>
          <cell r="V46">
            <v>197177992.34176609</v>
          </cell>
          <cell r="W46">
            <v>237209816.146694</v>
          </cell>
          <cell r="X46">
            <v>227827249.75192609</v>
          </cell>
          <cell r="Y46">
            <v>210054917.80890632</v>
          </cell>
          <cell r="AE46">
            <v>-25696008.635601729</v>
          </cell>
          <cell r="AF46">
            <v>20335686.043160379</v>
          </cell>
          <cell r="AG46">
            <v>78439995.641577005</v>
          </cell>
          <cell r="AH46">
            <v>92630053.211410224</v>
          </cell>
          <cell r="AI46">
            <v>111846975.63162801</v>
          </cell>
        </row>
        <row r="47">
          <cell r="C47">
            <v>216330945.98490399</v>
          </cell>
          <cell r="D47">
            <v>199098724.55774087</v>
          </cell>
          <cell r="E47">
            <v>177753758.86281782</v>
          </cell>
          <cell r="F47">
            <v>151335825.43922001</v>
          </cell>
          <cell r="G47">
            <v>109281439.34073159</v>
          </cell>
          <cell r="U47">
            <v>186129672.88590306</v>
          </cell>
          <cell r="V47">
            <v>219720034.97735661</v>
          </cell>
          <cell r="W47">
            <v>262998912.60285649</v>
          </cell>
          <cell r="X47">
            <v>254225962.27374905</v>
          </cell>
          <cell r="Y47">
            <v>235322948.92504066</v>
          </cell>
          <cell r="AE47">
            <v>-30201273.099000931</v>
          </cell>
          <cell r="AF47">
            <v>20621310.419615746</v>
          </cell>
          <cell r="AG47">
            <v>85245153.740038663</v>
          </cell>
          <cell r="AH47">
            <v>102890136.83452904</v>
          </cell>
          <cell r="AI47">
            <v>126041509.58430907</v>
          </cell>
        </row>
        <row r="48">
          <cell r="C48">
            <v>242523306.69278547</v>
          </cell>
          <cell r="D48">
            <v>222555468.73609793</v>
          </cell>
          <cell r="E48">
            <v>197947517.12515429</v>
          </cell>
          <cell r="F48">
            <v>168024793.62537578</v>
          </cell>
          <cell r="G48">
            <v>120673920.691477</v>
          </cell>
          <cell r="U48">
            <v>207226207.56137735</v>
          </cell>
          <cell r="V48">
            <v>243927861.56296057</v>
          </cell>
          <cell r="W48">
            <v>291144135.867522</v>
          </cell>
          <cell r="X48">
            <v>282104662.87889647</v>
          </cell>
          <cell r="Y48">
            <v>261810537.34967014</v>
          </cell>
          <cell r="AE48">
            <v>-35297099.131408125</v>
          </cell>
          <cell r="AF48">
            <v>21372392.826862633</v>
          </cell>
          <cell r="AG48">
            <v>93196618.742367715</v>
          </cell>
          <cell r="AH48">
            <v>114079869.2535207</v>
          </cell>
          <cell r="AI48">
            <v>141136616.65819314</v>
          </cell>
        </row>
        <row r="49">
          <cell r="C49">
            <v>271168410.1960088</v>
          </cell>
          <cell r="D49">
            <v>248264320.77584898</v>
          </cell>
          <cell r="E49">
            <v>220442854.2877886</v>
          </cell>
          <cell r="F49">
            <v>186257343.15225425</v>
          </cell>
          <cell r="G49">
            <v>132977586.54806384</v>
          </cell>
          <cell r="U49">
            <v>230312632.81694373</v>
          </cell>
          <cell r="V49">
            <v>270974786.92594635</v>
          </cell>
          <cell r="W49">
            <v>321480400.39146769</v>
          </cell>
          <cell r="X49">
            <v>312714399.92333311</v>
          </cell>
          <cell r="Y49">
            <v>291455652.39808047</v>
          </cell>
          <cell r="AE49">
            <v>-40855777.379065067</v>
          </cell>
          <cell r="AF49">
            <v>22710466.15009737</v>
          </cell>
          <cell r="AG49">
            <v>101037546.10367909</v>
          </cell>
          <cell r="AH49">
            <v>126457056.77107885</v>
          </cell>
          <cell r="AI49">
            <v>158478065.85001662</v>
          </cell>
        </row>
        <row r="50">
          <cell r="C50">
            <v>303656951.11047214</v>
          </cell>
          <cell r="D50">
            <v>277159047.42909479</v>
          </cell>
          <cell r="E50">
            <v>245852110.80374318</v>
          </cell>
          <cell r="F50">
            <v>206846727.41057032</v>
          </cell>
          <cell r="G50">
            <v>146805235.55395275</v>
          </cell>
          <cell r="U50">
            <v>256137784.44940376</v>
          </cell>
          <cell r="V50">
            <v>300659032.24339294</v>
          </cell>
          <cell r="W50">
            <v>355103075.78153545</v>
          </cell>
          <cell r="X50">
            <v>346624432.54080522</v>
          </cell>
          <cell r="Y50">
            <v>323956729.84508812</v>
          </cell>
          <cell r="AE50">
            <v>-47519166.66106838</v>
          </cell>
          <cell r="AF50">
            <v>23499984.814298153</v>
          </cell>
          <cell r="AG50">
            <v>109250964.97779226</v>
          </cell>
          <cell r="AH50">
            <v>139777705.1302349</v>
          </cell>
          <cell r="AI50">
            <v>177151494.29113537</v>
          </cell>
        </row>
        <row r="51">
          <cell r="C51">
            <v>339221113.26025391</v>
          </cell>
          <cell r="D51">
            <v>308686122.162606</v>
          </cell>
          <cell r="E51">
            <v>273354183.21697921</v>
          </cell>
          <cell r="F51">
            <v>229190737.25431642</v>
          </cell>
          <cell r="G51">
            <v>161476255.2475566</v>
          </cell>
          <cell r="U51">
            <v>284562267.08944792</v>
          </cell>
          <cell r="V51">
            <v>333232316.44795442</v>
          </cell>
          <cell r="W51">
            <v>391904302.97650123</v>
          </cell>
          <cell r="X51">
            <v>384183636.88723159</v>
          </cell>
          <cell r="Y51">
            <v>358644813.51830673</v>
          </cell>
          <cell r="AE51">
            <v>-54658846.170805991</v>
          </cell>
          <cell r="AF51">
            <v>24546194.285348415</v>
          </cell>
          <cell r="AG51">
            <v>118550119.75952202</v>
          </cell>
          <cell r="AH51">
            <v>154992899.63291517</v>
          </cell>
          <cell r="AI51">
            <v>197168558.27075014</v>
          </cell>
        </row>
        <row r="52">
          <cell r="C52">
            <v>378312472.97128242</v>
          </cell>
          <cell r="D52">
            <v>343197595.86600333</v>
          </cell>
          <cell r="E52">
            <v>303646846.61347508</v>
          </cell>
          <cell r="F52">
            <v>253484887.01179069</v>
          </cell>
          <cell r="G52">
            <v>177528462.76308554</v>
          </cell>
          <cell r="U52">
            <v>315939402.47823316</v>
          </cell>
          <cell r="V52">
            <v>369305261.99751651</v>
          </cell>
          <cell r="W52">
            <v>433127376.06757987</v>
          </cell>
          <cell r="X52">
            <v>425305907.24566412</v>
          </cell>
          <cell r="Y52">
            <v>396750739.72588265</v>
          </cell>
          <cell r="AE52">
            <v>-62373070.493049264</v>
          </cell>
          <cell r="AF52">
            <v>26107666.131513178</v>
          </cell>
          <cell r="AG52">
            <v>129480529.45410478</v>
          </cell>
          <cell r="AH52">
            <v>171821020.23387343</v>
          </cell>
          <cell r="AI52">
            <v>219222276.96279711</v>
          </cell>
        </row>
        <row r="53">
          <cell r="C53">
            <v>421288710.01450402</v>
          </cell>
          <cell r="D53">
            <v>380675258.52917063</v>
          </cell>
          <cell r="E53">
            <v>336969085.58742034</v>
          </cell>
          <cell r="F53">
            <v>279992314.22391403</v>
          </cell>
          <cell r="G53">
            <v>194884314.40696576</v>
          </cell>
          <cell r="U53">
            <v>350728042.64627981</v>
          </cell>
          <cell r="V53">
            <v>409138621.19072658</v>
          </cell>
          <cell r="W53">
            <v>478695679.71591407</v>
          </cell>
          <cell r="X53">
            <v>469586577.06511343</v>
          </cell>
          <cell r="Y53">
            <v>438268003.90626705</v>
          </cell>
          <cell r="AE53">
            <v>-70560667.368224204</v>
          </cell>
          <cell r="AF53">
            <v>28463362.661555946</v>
          </cell>
          <cell r="AG53">
            <v>141726594.12849373</v>
          </cell>
          <cell r="AH53">
            <v>189594262.8411994</v>
          </cell>
          <cell r="AI53">
            <v>243383689.49930128</v>
          </cell>
        </row>
        <row r="54">
          <cell r="C54">
            <v>469985294.91937011</v>
          </cell>
          <cell r="D54">
            <v>425325256.44749278</v>
          </cell>
          <cell r="E54">
            <v>373771437.50736403</v>
          </cell>
          <cell r="F54">
            <v>309765193.99327511</v>
          </cell>
          <cell r="G54">
            <v>215528646.63731295</v>
          </cell>
          <cell r="U54">
            <v>389336672.85047579</v>
          </cell>
          <cell r="V54">
            <v>453956381.11537033</v>
          </cell>
          <cell r="W54">
            <v>528100600.38330817</v>
          </cell>
          <cell r="X54">
            <v>518200728.5728873</v>
          </cell>
          <cell r="Y54">
            <v>486057724.11895132</v>
          </cell>
          <cell r="AE54">
            <v>-80648622.068894327</v>
          </cell>
          <cell r="AF54">
            <v>28631124.667877555</v>
          </cell>
          <cell r="AG54">
            <v>154329162.87594414</v>
          </cell>
          <cell r="AH54">
            <v>208435534.5796122</v>
          </cell>
          <cell r="AI54">
            <v>270529077.48163837</v>
          </cell>
        </row>
        <row r="55">
          <cell r="C55">
            <v>523338847.55816764</v>
          </cell>
          <cell r="D55">
            <v>473866605.67036092</v>
          </cell>
          <cell r="E55">
            <v>413778156.6984213</v>
          </cell>
          <cell r="F55">
            <v>343556053.97603214</v>
          </cell>
          <cell r="G55">
            <v>238232938.65441319</v>
          </cell>
          <cell r="U55">
            <v>432441897.19831508</v>
          </cell>
          <cell r="V55">
            <v>503458581.71752715</v>
          </cell>
          <cell r="W55">
            <v>582465264.65852582</v>
          </cell>
          <cell r="X55">
            <v>573538296.65981972</v>
          </cell>
          <cell r="Y55">
            <v>538829858.40430784</v>
          </cell>
          <cell r="AE55">
            <v>-90896950.359852552</v>
          </cell>
          <cell r="AF55">
            <v>29591976.047166228</v>
          </cell>
          <cell r="AG55">
            <v>168687107.96010453</v>
          </cell>
          <cell r="AH55">
            <v>229982242.68378758</v>
          </cell>
          <cell r="AI55">
            <v>300596919.74989462</v>
          </cell>
        </row>
        <row r="56">
          <cell r="C56">
            <v>583245294.85707378</v>
          </cell>
          <cell r="D56">
            <v>525929203.57195342</v>
          </cell>
          <cell r="E56">
            <v>460059044.96863335</v>
          </cell>
          <cell r="F56">
            <v>382199931.1824466</v>
          </cell>
          <cell r="G56">
            <v>263778380.68041414</v>
          </cell>
          <cell r="U56">
            <v>480336182.38669479</v>
          </cell>
          <cell r="V56">
            <v>556720006.80797052</v>
          </cell>
          <cell r="W56">
            <v>642382375.62168229</v>
          </cell>
          <cell r="X56">
            <v>634942052.31215048</v>
          </cell>
          <cell r="Y56">
            <v>595291646.10253191</v>
          </cell>
          <cell r="AE56">
            <v>-102909112.47037899</v>
          </cell>
          <cell r="AF56">
            <v>30790803.236017108</v>
          </cell>
          <cell r="AG56">
            <v>182323330.65304893</v>
          </cell>
          <cell r="AH56">
            <v>252742121.12970388</v>
          </cell>
          <cell r="AI56">
            <v>331513265.42211777</v>
          </cell>
        </row>
        <row r="57">
          <cell r="C57">
            <v>648964451.17845416</v>
          </cell>
          <cell r="D57">
            <v>585343282.83853531</v>
          </cell>
          <cell r="E57">
            <v>514080899.70926291</v>
          </cell>
          <cell r="F57">
            <v>425690062.02007043</v>
          </cell>
          <cell r="G57">
            <v>291930575.96388435</v>
          </cell>
          <cell r="U57">
            <v>533365747.13021952</v>
          </cell>
          <cell r="V57">
            <v>617568348.0545516</v>
          </cell>
          <cell r="W57">
            <v>712171060.17399526</v>
          </cell>
          <cell r="X57">
            <v>704174789.1249454</v>
          </cell>
          <cell r="Y57">
            <v>657917899.49388599</v>
          </cell>
          <cell r="AE57">
            <v>-115598704.04823464</v>
          </cell>
          <cell r="AF57">
            <v>32225065.216016293</v>
          </cell>
          <cell r="AG57">
            <v>198090160.46473235</v>
          </cell>
          <cell r="AH57">
            <v>278484727.10487497</v>
          </cell>
          <cell r="AI57">
            <v>365987323.53000164</v>
          </cell>
        </row>
        <row r="58">
          <cell r="C58">
            <v>720311736.24578428</v>
          </cell>
          <cell r="D58">
            <v>651132794.21271312</v>
          </cell>
          <cell r="E58">
            <v>572992652.88363934</v>
          </cell>
          <cell r="F58">
            <v>471400331.27012408</v>
          </cell>
          <cell r="G58">
            <v>322024899.90351099</v>
          </cell>
          <cell r="U58">
            <v>591416012.78809083</v>
          </cell>
          <cell r="V58">
            <v>685449524.59817386</v>
          </cell>
          <cell r="W58">
            <v>789073563.90950918</v>
          </cell>
          <cell r="X58">
            <v>777932156.21329272</v>
          </cell>
          <cell r="Y58">
            <v>726645941.79884338</v>
          </cell>
          <cell r="AE58">
            <v>-128895723.45769346</v>
          </cell>
          <cell r="AF58">
            <v>34316730.385460734</v>
          </cell>
          <cell r="AG58">
            <v>216080911.02586985</v>
          </cell>
          <cell r="AH58">
            <v>306531824.94316864</v>
          </cell>
          <cell r="AI58">
            <v>404621041.8953324</v>
          </cell>
        </row>
        <row r="59">
          <cell r="C59">
            <v>798401597.21006846</v>
          </cell>
          <cell r="D59">
            <v>722386381.13043225</v>
          </cell>
          <cell r="E59">
            <v>633117690.83992016</v>
          </cell>
          <cell r="F59">
            <v>519322116.89219415</v>
          </cell>
          <cell r="G59">
            <v>352614457.40290624</v>
          </cell>
          <cell r="U59">
            <v>655537468.20355797</v>
          </cell>
          <cell r="V59">
            <v>760178781.3898232</v>
          </cell>
          <cell r="W59">
            <v>869613875.8556869</v>
          </cell>
          <cell r="X59">
            <v>856964953.10633314</v>
          </cell>
          <cell r="Y59">
            <v>798987247.28564668</v>
          </cell>
          <cell r="AE59">
            <v>-142864129.0065105</v>
          </cell>
          <cell r="AF59">
            <v>37792400.25939095</v>
          </cell>
          <cell r="AG59">
            <v>236496185.01576674</v>
          </cell>
          <cell r="AH59">
            <v>337642836.21413898</v>
          </cell>
          <cell r="AI59">
            <v>446372789.88274044</v>
          </cell>
        </row>
        <row r="60">
          <cell r="C60">
            <v>883700786.80516386</v>
          </cell>
          <cell r="D60">
            <v>796695147.17671096</v>
          </cell>
          <cell r="E60">
            <v>697232433.67901838</v>
          </cell>
          <cell r="F60">
            <v>570670006.57589126</v>
          </cell>
          <cell r="G60">
            <v>385676892.07360905</v>
          </cell>
          <cell r="U60">
            <v>726088278.71133304</v>
          </cell>
          <cell r="V60">
            <v>839866146.25414574</v>
          </cell>
          <cell r="W60">
            <v>956978877.72792208</v>
          </cell>
          <cell r="X60">
            <v>943735036.49578083</v>
          </cell>
          <cell r="Y60">
            <v>878807757.21070385</v>
          </cell>
          <cell r="AE60">
            <v>-157612508.09383082</v>
          </cell>
          <cell r="AF60">
            <v>43170999.077434778</v>
          </cell>
          <cell r="AG60">
            <v>259746444.0489037</v>
          </cell>
          <cell r="AH60">
            <v>373065029.91988957</v>
          </cell>
          <cell r="AI60">
            <v>493130865.1370948</v>
          </cell>
        </row>
        <row r="61">
          <cell r="C61">
            <v>976664987.25027275</v>
          </cell>
          <cell r="D61">
            <v>876461238.50551713</v>
          </cell>
          <cell r="E61">
            <v>767131370.30796742</v>
          </cell>
          <cell r="F61">
            <v>627438933.37249792</v>
          </cell>
          <cell r="G61">
            <v>422185671.36146826</v>
          </cell>
          <cell r="U61">
            <v>803523694.1380043</v>
          </cell>
          <cell r="V61">
            <v>926740575.00956392</v>
          </cell>
          <cell r="W61">
            <v>1053743129.1847869</v>
          </cell>
          <cell r="X61">
            <v>1038505929.3055288</v>
          </cell>
          <cell r="Y61">
            <v>968099606.77398539</v>
          </cell>
          <cell r="AE61">
            <v>-173141293.11226845</v>
          </cell>
          <cell r="AF61">
            <v>50279336.504046798</v>
          </cell>
          <cell r="AG61">
            <v>286611758.87681949</v>
          </cell>
          <cell r="AH61">
            <v>411066995.93303084</v>
          </cell>
          <cell r="AI61">
            <v>545913935.41251707</v>
          </cell>
        </row>
        <row r="62">
          <cell r="C62">
            <v>1077852327.1882596</v>
          </cell>
          <cell r="D62">
            <v>965693283.94673741</v>
          </cell>
          <cell r="E62">
            <v>843507526.40976846</v>
          </cell>
          <cell r="F62">
            <v>689516001.11887527</v>
          </cell>
          <cell r="G62">
            <v>462249964.51460052</v>
          </cell>
          <cell r="U62">
            <v>888604996.38942575</v>
          </cell>
          <cell r="V62">
            <v>1024591124.9412992</v>
          </cell>
          <cell r="W62">
            <v>1160890282.0660701</v>
          </cell>
          <cell r="X62">
            <v>1144652087.503088</v>
          </cell>
          <cell r="Y62">
            <v>1066774247.8101013</v>
          </cell>
          <cell r="AE62">
            <v>-189247330.79883385</v>
          </cell>
          <cell r="AF62">
            <v>58897840.994561791</v>
          </cell>
          <cell r="AG62">
            <v>317382755.65630162</v>
          </cell>
          <cell r="AH62">
            <v>455136086.38421273</v>
          </cell>
          <cell r="AI62">
            <v>604524283.29550076</v>
          </cell>
        </row>
        <row r="63">
          <cell r="C63">
            <v>1192151146.2289898</v>
          </cell>
          <cell r="D63">
            <v>1063808041.3204253</v>
          </cell>
          <cell r="E63">
            <v>929702099.86990404</v>
          </cell>
          <cell r="F63">
            <v>760557958.06777847</v>
          </cell>
          <cell r="G63">
            <v>507441605.45489591</v>
          </cell>
          <cell r="U63">
            <v>982689412.14239764</v>
          </cell>
          <cell r="V63">
            <v>1131102905.5444183</v>
          </cell>
          <cell r="W63">
            <v>1279418161.7779655</v>
          </cell>
          <cell r="X63">
            <v>1263239780.238378</v>
          </cell>
          <cell r="Y63">
            <v>1174863035.194088</v>
          </cell>
          <cell r="AE63">
            <v>-209461734.0865922</v>
          </cell>
          <cell r="AF63">
            <v>67294864.223993063</v>
          </cell>
          <cell r="AG63">
            <v>349716061.9080615</v>
          </cell>
          <cell r="AH63">
            <v>502681822.17059958</v>
          </cell>
          <cell r="AI63">
            <v>667421429.73919201</v>
          </cell>
        </row>
        <row r="64">
          <cell r="C64">
            <v>1318338228.7004082</v>
          </cell>
          <cell r="D64">
            <v>1174137632.5954814</v>
          </cell>
          <cell r="E64">
            <v>1025650810.3894069</v>
          </cell>
          <cell r="F64">
            <v>838261825.74205434</v>
          </cell>
          <cell r="G64">
            <v>557877529.21193838</v>
          </cell>
          <cell r="U64">
            <v>1087694871.0854244</v>
          </cell>
          <cell r="V64">
            <v>1251125494.7536693</v>
          </cell>
          <cell r="W64">
            <v>1412893938.9965529</v>
          </cell>
          <cell r="X64">
            <v>1393480666.3922424</v>
          </cell>
          <cell r="Y64">
            <v>1295402265.7793016</v>
          </cell>
          <cell r="AE64">
            <v>-230643357.6149838</v>
          </cell>
          <cell r="AF64">
            <v>76987862.158187866</v>
          </cell>
          <cell r="AG64">
            <v>387243128.60714602</v>
          </cell>
          <cell r="AH64">
            <v>555218840.65018809</v>
          </cell>
          <cell r="AI64">
            <v>737524736.56736326</v>
          </cell>
        </row>
        <row r="65">
          <cell r="C65">
            <v>1456699360.2403452</v>
          </cell>
          <cell r="D65">
            <v>1298193964.5212438</v>
          </cell>
          <cell r="E65">
            <v>1129637231.9226365</v>
          </cell>
          <cell r="F65">
            <v>924130016.89707577</v>
          </cell>
          <cell r="G65">
            <v>616605689.75036466</v>
          </cell>
          <cell r="U65">
            <v>1203188652.5447807</v>
          </cell>
          <cell r="V65">
            <v>1383506919.9055111</v>
          </cell>
          <cell r="W65">
            <v>1558566459.3442163</v>
          </cell>
          <cell r="X65">
            <v>1537393350.206852</v>
          </cell>
          <cell r="Y65">
            <v>1429661314.5504837</v>
          </cell>
          <cell r="AE65">
            <v>-253510707.69556451</v>
          </cell>
          <cell r="AF65">
            <v>85312955.38426733</v>
          </cell>
          <cell r="AG65">
            <v>428929227.42157984</v>
          </cell>
          <cell r="AH65">
            <v>613263333.30977619</v>
          </cell>
          <cell r="AI65">
            <v>813055624.80011904</v>
          </cell>
        </row>
        <row r="66">
          <cell r="C66">
            <v>1614428957.076633</v>
          </cell>
          <cell r="D66">
            <v>1441445784.879246</v>
          </cell>
          <cell r="E66">
            <v>1250805417.3600545</v>
          </cell>
          <cell r="F66">
            <v>1026301009.5313452</v>
          </cell>
          <cell r="G66">
            <v>683736551.3858434</v>
          </cell>
          <cell r="U66">
            <v>1334258985.3043852</v>
          </cell>
          <cell r="V66">
            <v>1533379847.7455254</v>
          </cell>
          <cell r="W66">
            <v>1723029945.8208992</v>
          </cell>
          <cell r="X66">
            <v>1699591139.3345964</v>
          </cell>
          <cell r="Y66">
            <v>1575417567.9469788</v>
          </cell>
          <cell r="AE66">
            <v>-280169971.77224779</v>
          </cell>
          <cell r="AF66">
            <v>91934062.866279364</v>
          </cell>
          <cell r="AG66">
            <v>472224528.46084476</v>
          </cell>
          <cell r="AH66">
            <v>673290129.80325115</v>
          </cell>
          <cell r="AI66">
            <v>891681016.56113541</v>
          </cell>
        </row>
        <row r="67">
          <cell r="C67">
            <v>1786801846.3449218</v>
          </cell>
          <cell r="D67">
            <v>1601787030.1748106</v>
          </cell>
          <cell r="E67">
            <v>1384157206.4757376</v>
          </cell>
          <cell r="F67">
            <v>1140878632.1129074</v>
          </cell>
          <cell r="G67">
            <v>763353528.24216127</v>
          </cell>
          <cell r="U67">
            <v>1478161600.2008414</v>
          </cell>
          <cell r="V67">
            <v>1696886031.0955482</v>
          </cell>
          <cell r="W67">
            <v>1904338640.1781278</v>
          </cell>
          <cell r="X67">
            <v>1877616846.60465</v>
          </cell>
          <cell r="Y67">
            <v>1743920955.3283815</v>
          </cell>
          <cell r="AE67">
            <v>-308640246.1440804</v>
          </cell>
          <cell r="AF67">
            <v>95099000.920737505</v>
          </cell>
          <cell r="AG67">
            <v>520181433.70239019</v>
          </cell>
          <cell r="AH67">
            <v>736738214.49174261</v>
          </cell>
          <cell r="AI67">
            <v>980567427.08622026</v>
          </cell>
        </row>
        <row r="68">
          <cell r="C68">
            <v>1976408938.9670861</v>
          </cell>
          <cell r="D68">
            <v>1779795366.7862589</v>
          </cell>
          <cell r="E68">
            <v>1539639659.1058192</v>
          </cell>
          <cell r="F68">
            <v>1268199129.5799859</v>
          </cell>
          <cell r="G68">
            <v>847535398.39920843</v>
          </cell>
          <cell r="U68">
            <v>1668880697.3150539</v>
          </cell>
          <cell r="V68">
            <v>1907822406.5411515</v>
          </cell>
          <cell r="W68">
            <v>2131806048.6818249</v>
          </cell>
          <cell r="X68">
            <v>2104001356.7095494</v>
          </cell>
          <cell r="Y68">
            <v>1953494315.0194342</v>
          </cell>
          <cell r="AE68">
            <v>-307528241.65203214</v>
          </cell>
          <cell r="AF68">
            <v>128027039.75489259</v>
          </cell>
          <cell r="AG68">
            <v>592166389.5760057</v>
          </cell>
          <cell r="AH68">
            <v>835802227.12956357</v>
          </cell>
          <cell r="AI68">
            <v>1105958916.6202259</v>
          </cell>
        </row>
        <row r="69">
          <cell r="C69">
            <v>2183754746.5338168</v>
          </cell>
          <cell r="D69">
            <v>1979070637.2067459</v>
          </cell>
          <cell r="E69">
            <v>1710596360.4328642</v>
          </cell>
          <cell r="F69">
            <v>1410718661.4970808</v>
          </cell>
          <cell r="G69">
            <v>938717108.10824263</v>
          </cell>
          <cell r="U69">
            <v>1916100452.5024893</v>
          </cell>
          <cell r="V69">
            <v>2174490578.5894547</v>
          </cell>
          <cell r="W69">
            <v>2418838088.4928508</v>
          </cell>
          <cell r="X69">
            <v>2390111702.2746992</v>
          </cell>
          <cell r="Y69">
            <v>2215656056.7788329</v>
          </cell>
          <cell r="AE69">
            <v>-267654294.03132749</v>
          </cell>
          <cell r="AF69">
            <v>195419941.38270879</v>
          </cell>
          <cell r="AG69">
            <v>708241728.05998659</v>
          </cell>
          <cell r="AH69">
            <v>979393040.77761841</v>
          </cell>
          <cell r="AI69">
            <v>1276938948.6705904</v>
          </cell>
        </row>
        <row r="70">
          <cell r="C70">
            <v>2415868244.4980087</v>
          </cell>
          <cell r="D70">
            <v>2196747452.2173886</v>
          </cell>
          <cell r="E70">
            <v>1912243010.5226231</v>
          </cell>
          <cell r="F70">
            <v>1564131541.7192378</v>
          </cell>
          <cell r="G70">
            <v>1032250111.0716258</v>
          </cell>
          <cell r="U70">
            <v>2187284036.4073386</v>
          </cell>
          <cell r="V70">
            <v>2478749983.8545208</v>
          </cell>
          <cell r="W70">
            <v>2741596711.4312801</v>
          </cell>
          <cell r="X70">
            <v>2704831011.939364</v>
          </cell>
          <cell r="Y70">
            <v>2497360501.2019281</v>
          </cell>
          <cell r="AE70">
            <v>-228584208.09067011</v>
          </cell>
          <cell r="AF70">
            <v>282002531.63713217</v>
          </cell>
          <cell r="AG70">
            <v>829353700.90865707</v>
          </cell>
          <cell r="AH70">
            <v>1140699470.2201262</v>
          </cell>
          <cell r="AI70">
            <v>1465110390.1303024</v>
          </cell>
        </row>
        <row r="71">
          <cell r="C71">
            <v>2672331962.7878599</v>
          </cell>
          <cell r="D71">
            <v>2443502049.4081416</v>
          </cell>
          <cell r="E71">
            <v>2129216274.8168268</v>
          </cell>
          <cell r="F71">
            <v>1722843912.1351151</v>
          </cell>
          <cell r="G71">
            <v>1138898653.5949137</v>
          </cell>
          <cell r="U71">
            <v>2484672895.2615566</v>
          </cell>
          <cell r="V71">
            <v>2824185404.2165241</v>
          </cell>
          <cell r="W71">
            <v>3094182701.8328991</v>
          </cell>
          <cell r="X71">
            <v>3040509810.3023176</v>
          </cell>
          <cell r="Y71">
            <v>2818663313.0113859</v>
          </cell>
          <cell r="AE71">
            <v>-187659067.52630329</v>
          </cell>
          <cell r="AF71">
            <v>380683354.80838251</v>
          </cell>
          <cell r="AG71">
            <v>964966427.01607227</v>
          </cell>
          <cell r="AH71">
            <v>1317665898.1672025</v>
          </cell>
          <cell r="AI71">
            <v>1679764659.4164722</v>
          </cell>
        </row>
        <row r="72">
          <cell r="C72">
            <v>2958827729.2223325</v>
          </cell>
          <cell r="D72">
            <v>2716800533.911283</v>
          </cell>
          <cell r="E72">
            <v>2357532712.1645398</v>
          </cell>
          <cell r="F72">
            <v>1899620621.1891897</v>
          </cell>
          <cell r="G72">
            <v>1252703367.9541576</v>
          </cell>
          <cell r="U72">
            <v>2814292756.2442751</v>
          </cell>
          <cell r="V72">
            <v>3194431348.57759</v>
          </cell>
          <cell r="W72">
            <v>3475397065.3052106</v>
          </cell>
          <cell r="X72">
            <v>3411618079.9645367</v>
          </cell>
          <cell r="Y72">
            <v>3173661895.3770857</v>
          </cell>
          <cell r="AE72">
            <v>-144534972.97805738</v>
          </cell>
          <cell r="AF72">
            <v>477630814.66630697</v>
          </cell>
          <cell r="AG72">
            <v>1117864353.1406708</v>
          </cell>
          <cell r="AH72">
            <v>1511997458.775347</v>
          </cell>
          <cell r="AI72">
            <v>1920958527.4229281</v>
          </cell>
        </row>
        <row r="73">
          <cell r="C73">
            <v>3276937515.590682</v>
          </cell>
          <cell r="D73">
            <v>3008072519.4499092</v>
          </cell>
          <cell r="E73">
            <v>2604796192.9712048</v>
          </cell>
          <cell r="F73">
            <v>2097793829.5497944</v>
          </cell>
          <cell r="G73">
            <v>1375138273.0752861</v>
          </cell>
          <cell r="U73">
            <v>3179175055.1983566</v>
          </cell>
          <cell r="V73">
            <v>3593904055.3035884</v>
          </cell>
          <cell r="W73">
            <v>3929025611.8341827</v>
          </cell>
          <cell r="X73">
            <v>3834516405.3275599</v>
          </cell>
          <cell r="Y73">
            <v>3564862840.6962576</v>
          </cell>
          <cell r="AE73">
            <v>-97762460.392325401</v>
          </cell>
          <cell r="AF73">
            <v>585831535.85367918</v>
          </cell>
          <cell r="AG73">
            <v>1324229418.862978</v>
          </cell>
          <cell r="AH73">
            <v>1736722575.7777655</v>
          </cell>
          <cell r="AI73">
            <v>2189724567.6209717</v>
          </cell>
        </row>
        <row r="74">
          <cell r="C74">
            <v>3625059601.2847342</v>
          </cell>
          <cell r="D74">
            <v>3320689474.0451155</v>
          </cell>
          <cell r="E74">
            <v>2899036802.2634354</v>
          </cell>
          <cell r="F74">
            <v>2316444599.4549499</v>
          </cell>
          <cell r="G74">
            <v>1508507700.7575564</v>
          </cell>
          <cell r="U74">
            <v>3578241792.178545</v>
          </cell>
          <cell r="V74">
            <v>4025114065.0769529</v>
          </cell>
          <cell r="W74">
            <v>4454943752.2538023</v>
          </cell>
          <cell r="X74">
            <v>4303573998.9438162</v>
          </cell>
          <cell r="Y74">
            <v>3994822743.7142344</v>
          </cell>
          <cell r="AE74">
            <v>-46817809.106189251</v>
          </cell>
          <cell r="AF74">
            <v>704424591.03183746</v>
          </cell>
          <cell r="AG74">
            <v>1555906949.9903669</v>
          </cell>
          <cell r="AH74">
            <v>1987129399.4888663</v>
          </cell>
          <cell r="AI74">
            <v>2486315042.9566779</v>
          </cell>
        </row>
        <row r="75">
          <cell r="C75">
            <v>4007109789.3484626</v>
          </cell>
          <cell r="D75">
            <v>3676316529.2326117</v>
          </cell>
          <cell r="E75">
            <v>3229120502.32657</v>
          </cell>
          <cell r="F75">
            <v>2560776468.735837</v>
          </cell>
          <cell r="G75">
            <v>1658384461.9061232</v>
          </cell>
          <cell r="U75">
            <v>4015908602.6557059</v>
          </cell>
          <cell r="V75">
            <v>4511504598.4343948</v>
          </cell>
          <cell r="W75">
            <v>5008963445.7361574</v>
          </cell>
          <cell r="X75">
            <v>4822341323.847187</v>
          </cell>
          <cell r="Y75">
            <v>4476551543.8989725</v>
          </cell>
          <cell r="AE75">
            <v>8798813.3072433472</v>
          </cell>
          <cell r="AF75">
            <v>835188069.20178318</v>
          </cell>
          <cell r="AG75">
            <v>1779842943.4095874</v>
          </cell>
          <cell r="AH75">
            <v>2261564855.1113501</v>
          </cell>
          <cell r="AI75">
            <v>2818167081.9928493</v>
          </cell>
        </row>
        <row r="76">
          <cell r="C76">
            <v>4436353585.9851618</v>
          </cell>
          <cell r="D76">
            <v>4081322571.0383735</v>
          </cell>
          <cell r="E76">
            <v>3592782751.7221942</v>
          </cell>
          <cell r="F76">
            <v>2837477664.2423038</v>
          </cell>
          <cell r="G76">
            <v>1835048649.2885139</v>
          </cell>
          <cell r="U76">
            <v>4505279948.1240873</v>
          </cell>
          <cell r="V76">
            <v>5061449587.9062319</v>
          </cell>
          <cell r="W76">
            <v>5608306510.3059711</v>
          </cell>
          <cell r="X76">
            <v>5399845645.5214005</v>
          </cell>
          <cell r="Y76">
            <v>5026548497.525218</v>
          </cell>
          <cell r="AE76">
            <v>68926362.138925552</v>
          </cell>
          <cell r="AF76">
            <v>980127016.86785841</v>
          </cell>
          <cell r="AG76">
            <v>2015523758.583777</v>
          </cell>
          <cell r="AH76">
            <v>2562367981.2790966</v>
          </cell>
          <cell r="AI76">
            <v>3191499848.2367039</v>
          </cell>
        </row>
        <row r="77">
          <cell r="C77">
            <v>4907330783.9883032</v>
          </cell>
          <cell r="D77">
            <v>4518041896.1752157</v>
          </cell>
          <cell r="E77">
            <v>3977871204.5427966</v>
          </cell>
          <cell r="F77">
            <v>3136778834.5173402</v>
          </cell>
          <cell r="G77">
            <v>2023392599.8623555</v>
          </cell>
          <cell r="U77">
            <v>5049958414.5666838</v>
          </cell>
          <cell r="V77">
            <v>5666854514.6427794</v>
          </cell>
          <cell r="W77">
            <v>6255827177.2523851</v>
          </cell>
          <cell r="X77">
            <v>6043286602.9223518</v>
          </cell>
          <cell r="Y77">
            <v>5624265958.4506683</v>
          </cell>
          <cell r="AE77">
            <v>142627630.57838058</v>
          </cell>
          <cell r="AF77">
            <v>1148812618.4675636</v>
          </cell>
          <cell r="AG77">
            <v>2277955972.7095885</v>
          </cell>
          <cell r="AH77">
            <v>2906507768.4050117</v>
          </cell>
          <cell r="AI77">
            <v>3600873358.5883131</v>
          </cell>
        </row>
        <row r="78">
          <cell r="C78">
            <v>5420826478.8880348</v>
          </cell>
          <cell r="D78">
            <v>4980112972.4388838</v>
          </cell>
          <cell r="E78">
            <v>4399314206.912221</v>
          </cell>
          <cell r="F78">
            <v>3471982561.3411555</v>
          </cell>
          <cell r="G78">
            <v>2229825345.3580403</v>
          </cell>
          <cell r="U78">
            <v>5664448190.9528685</v>
          </cell>
          <cell r="V78">
            <v>6323477237.6054888</v>
          </cell>
          <cell r="W78">
            <v>6972284136.3665028</v>
          </cell>
          <cell r="X78">
            <v>6824221332.7502594</v>
          </cell>
          <cell r="Y78">
            <v>6288487124.9315853</v>
          </cell>
          <cell r="AE78">
            <v>243621712.06483364</v>
          </cell>
          <cell r="AF78">
            <v>1343364265.166605</v>
          </cell>
          <cell r="AG78">
            <v>2572969929.4542818</v>
          </cell>
          <cell r="AH78">
            <v>3352238771.4091039</v>
          </cell>
          <cell r="AI78">
            <v>4058661779.573545</v>
          </cell>
        </row>
        <row r="79">
          <cell r="C79">
            <v>5985491625.6359472</v>
          </cell>
          <cell r="D79">
            <v>5497621113.2265558</v>
          </cell>
          <cell r="E79">
            <v>4878303917.5666924</v>
          </cell>
          <cell r="F79">
            <v>3855644182.3396268</v>
          </cell>
          <cell r="G79">
            <v>2459525445.6180673</v>
          </cell>
          <cell r="U79">
            <v>6337606057.2088442</v>
          </cell>
          <cell r="V79">
            <v>7061216376.0068417</v>
          </cell>
          <cell r="W79">
            <v>7789469330.2308598</v>
          </cell>
          <cell r="X79">
            <v>7656218743.2853031</v>
          </cell>
          <cell r="Y79">
            <v>7026877265.5191917</v>
          </cell>
          <cell r="AE79">
            <v>352114431.57289696</v>
          </cell>
          <cell r="AF79">
            <v>1563595262.7802858</v>
          </cell>
          <cell r="AG79">
            <v>2911165412.6641674</v>
          </cell>
          <cell r="AH79">
            <v>3800574560.9456763</v>
          </cell>
          <cell r="AI79">
            <v>4567351819.901125</v>
          </cell>
        </row>
        <row r="80">
          <cell r="C80">
            <v>6599568349.0924892</v>
          </cell>
          <cell r="D80">
            <v>6074369091.0528717</v>
          </cell>
          <cell r="E80">
            <v>5397345936.21492</v>
          </cell>
          <cell r="F80">
            <v>4273795048.4559216</v>
          </cell>
          <cell r="G80">
            <v>2719500812.200304</v>
          </cell>
          <cell r="U80">
            <v>7069265522.0263462</v>
          </cell>
          <cell r="V80">
            <v>7939619533.5396633</v>
          </cell>
          <cell r="W80">
            <v>8686750570.1278343</v>
          </cell>
          <cell r="X80">
            <v>8552618369.2982731</v>
          </cell>
          <cell r="Y80">
            <v>7846832416.9880056</v>
          </cell>
          <cell r="AE80">
            <v>469697172.93385696</v>
          </cell>
          <cell r="AF80">
            <v>1865250442.4867916</v>
          </cell>
          <cell r="AG80">
            <v>3289404633.9129143</v>
          </cell>
          <cell r="AH80">
            <v>4278823320.8423514</v>
          </cell>
          <cell r="AI80">
            <v>5127331604.7877016</v>
          </cell>
        </row>
        <row r="81">
          <cell r="C81">
            <v>7276158281.6032553</v>
          </cell>
          <cell r="D81">
            <v>6695536442.3974161</v>
          </cell>
          <cell r="E81">
            <v>5955034588.1985455</v>
          </cell>
          <cell r="F81">
            <v>4731215250.101285</v>
          </cell>
          <cell r="G81">
            <v>3006273704.4848814</v>
          </cell>
          <cell r="U81">
            <v>7888385781.7179451</v>
          </cell>
          <cell r="V81">
            <v>8882631901.1787853</v>
          </cell>
          <cell r="W81">
            <v>9674591032.9526672</v>
          </cell>
          <cell r="X81">
            <v>9537286472.3076611</v>
          </cell>
          <cell r="Y81">
            <v>8753936859.0021324</v>
          </cell>
          <cell r="AE81">
            <v>612227500.11468983</v>
          </cell>
          <cell r="AF81">
            <v>2187095458.7813692</v>
          </cell>
          <cell r="AG81">
            <v>3719556444.7541218</v>
          </cell>
          <cell r="AH81">
            <v>4806071222.2063761</v>
          </cell>
          <cell r="AI81">
            <v>5747663154.517251</v>
          </cell>
        </row>
        <row r="82">
          <cell r="C82">
            <v>8013484155.8804884</v>
          </cell>
          <cell r="D82">
            <v>7385957167.9871044</v>
          </cell>
          <cell r="E82">
            <v>6574432525.5529852</v>
          </cell>
          <cell r="F82">
            <v>5235206998.3608799</v>
          </cell>
          <cell r="G82">
            <v>3297989577.9687877</v>
          </cell>
          <cell r="U82">
            <v>8786504169.4500694</v>
          </cell>
          <cell r="V82">
            <v>9903272387.2924824</v>
          </cell>
          <cell r="W82">
            <v>10773108179.819853</v>
          </cell>
          <cell r="X82">
            <v>10622881943.958965</v>
          </cell>
          <cell r="Y82">
            <v>9705900366.8326874</v>
          </cell>
          <cell r="AE82">
            <v>773020013.56958103</v>
          </cell>
          <cell r="AF82">
            <v>2517315219.305378</v>
          </cell>
          <cell r="AG82">
            <v>4198675654.2668676</v>
          </cell>
          <cell r="AH82">
            <v>5387674945.5980854</v>
          </cell>
          <cell r="AI82">
            <v>6407910788.8638992</v>
          </cell>
        </row>
        <row r="83">
          <cell r="C83">
            <v>8824968712.2248306</v>
          </cell>
          <cell r="D83">
            <v>8132289775.3049173</v>
          </cell>
          <cell r="E83">
            <v>7252162023.8457117</v>
          </cell>
          <cell r="F83">
            <v>5773325652.4758596</v>
          </cell>
          <cell r="G83">
            <v>3618086071.1443114</v>
          </cell>
          <cell r="U83">
            <v>9783841256.6754055</v>
          </cell>
          <cell r="V83">
            <v>11019146885.277386</v>
          </cell>
          <cell r="W83">
            <v>12208206694.53079</v>
          </cell>
          <cell r="X83">
            <v>11801385531.155983</v>
          </cell>
          <cell r="Y83">
            <v>10744105790.868179</v>
          </cell>
          <cell r="AE83">
            <v>958872544.45057487</v>
          </cell>
          <cell r="AF83">
            <v>2886857109.9724684</v>
          </cell>
          <cell r="AG83">
            <v>4956044670.6850786</v>
          </cell>
          <cell r="AH83">
            <v>6028059878.6801233</v>
          </cell>
          <cell r="AI83">
            <v>7126019719.7238674</v>
          </cell>
        </row>
        <row r="84">
          <cell r="C84">
            <v>9712117202.1401196</v>
          </cell>
          <cell r="D84">
            <v>8963781508.0218277</v>
          </cell>
          <cell r="E84">
            <v>7990282769.0833817</v>
          </cell>
          <cell r="F84">
            <v>6337207389.9422302</v>
          </cell>
          <cell r="G84">
            <v>3971905027.700552</v>
          </cell>
          <cell r="U84">
            <v>10879912661.278231</v>
          </cell>
          <cell r="V84">
            <v>12258282639.788609</v>
          </cell>
          <cell r="W84">
            <v>13645828889.564552</v>
          </cell>
          <cell r="X84">
            <v>13062250083.482174</v>
          </cell>
          <cell r="Y84">
            <v>11895597976.99341</v>
          </cell>
          <cell r="AE84">
            <v>1167795459.1381111</v>
          </cell>
          <cell r="AF84">
            <v>3294501131.7667809</v>
          </cell>
          <cell r="AG84">
            <v>5655546120.4811707</v>
          </cell>
          <cell r="AH84">
            <v>6725042693.5399437</v>
          </cell>
          <cell r="AI84">
            <v>7923692949.2928581</v>
          </cell>
        </row>
        <row r="85">
          <cell r="C85">
            <v>10716428514.463247</v>
          </cell>
          <cell r="D85">
            <v>9892812936.106863</v>
          </cell>
          <cell r="E85">
            <v>8774290723.148901</v>
          </cell>
          <cell r="F85">
            <v>6962601476.7833881</v>
          </cell>
          <cell r="G85">
            <v>4354419804.0326939</v>
          </cell>
          <cell r="U85">
            <v>12092631212.469141</v>
          </cell>
          <cell r="V85">
            <v>13622408791.2057</v>
          </cell>
          <cell r="W85">
            <v>15097460747.529537</v>
          </cell>
          <cell r="X85">
            <v>14444819412.777281</v>
          </cell>
          <cell r="Y85">
            <v>13144081343.457874</v>
          </cell>
          <cell r="AE85">
            <v>1376202698.0058937</v>
          </cell>
          <cell r="AF85">
            <v>3729595855.0988369</v>
          </cell>
          <cell r="AG85">
            <v>6323170024.3806362</v>
          </cell>
          <cell r="AH85">
            <v>7482217935.9938927</v>
          </cell>
          <cell r="AI85">
            <v>8789661539.4251804</v>
          </cell>
        </row>
        <row r="86">
          <cell r="C86">
            <v>11843930203.332287</v>
          </cell>
          <cell r="D86">
            <v>10891565274.866789</v>
          </cell>
          <cell r="E86">
            <v>9647610557.5161724</v>
          </cell>
          <cell r="F86">
            <v>7685002971.3633957</v>
          </cell>
          <cell r="G86">
            <v>4812409030.5325127</v>
          </cell>
          <cell r="U86">
            <v>13441908556.73175</v>
          </cell>
          <cell r="V86">
            <v>15097907754.777439</v>
          </cell>
          <cell r="W86">
            <v>16683452008.844778</v>
          </cell>
          <cell r="X86">
            <v>15998966470.087769</v>
          </cell>
          <cell r="Y86">
            <v>14562328472.975044</v>
          </cell>
          <cell r="AE86">
            <v>1597978353.3994637</v>
          </cell>
          <cell r="AF86">
            <v>4206342479.9106503</v>
          </cell>
          <cell r="AG86">
            <v>7035841451.3286057</v>
          </cell>
          <cell r="AH86">
            <v>8313963498.7243729</v>
          </cell>
          <cell r="AI86">
            <v>9749919442.4425316</v>
          </cell>
        </row>
        <row r="87">
          <cell r="C87">
            <v>13076819147.194193</v>
          </cell>
          <cell r="D87">
            <v>12004526930.330503</v>
          </cell>
          <cell r="E87">
            <v>10634013686.531582</v>
          </cell>
          <cell r="F87">
            <v>8481375217.6458483</v>
          </cell>
          <cell r="G87">
            <v>5308343010.4200878</v>
          </cell>
          <cell r="U87">
            <v>14922219624.287695</v>
          </cell>
          <cell r="V87">
            <v>16738760931.880342</v>
          </cell>
          <cell r="W87">
            <v>18463852888.029472</v>
          </cell>
          <cell r="X87">
            <v>17718703552.765453</v>
          </cell>
          <cell r="Y87">
            <v>16114125569.519705</v>
          </cell>
          <cell r="AE87">
            <v>1845400477.093502</v>
          </cell>
          <cell r="AF87">
            <v>4734234001.549839</v>
          </cell>
          <cell r="AG87">
            <v>7829839201.4978905</v>
          </cell>
          <cell r="AH87">
            <v>9237328335.119606</v>
          </cell>
          <cell r="AI87">
            <v>10805782559.099617</v>
          </cell>
        </row>
        <row r="88">
          <cell r="C88">
            <v>14448252650.520636</v>
          </cell>
          <cell r="D88">
            <v>13244980441.118401</v>
          </cell>
          <cell r="E88">
            <v>11735833234.422342</v>
          </cell>
          <cell r="F88">
            <v>9350171782.995245</v>
          </cell>
          <cell r="G88">
            <v>5858962086.8715258</v>
          </cell>
          <cell r="U88">
            <v>16543126068.82074</v>
          </cell>
          <cell r="V88">
            <v>18565360957.082005</v>
          </cell>
          <cell r="W88">
            <v>20450463245.890903</v>
          </cell>
          <cell r="X88">
            <v>19842334074.472767</v>
          </cell>
          <cell r="Y88">
            <v>17791380977.020412</v>
          </cell>
          <cell r="AE88">
            <v>2094873418.3001041</v>
          </cell>
          <cell r="AF88">
            <v>5320380515.963604</v>
          </cell>
          <cell r="AG88">
            <v>8714630011.4685612</v>
          </cell>
          <cell r="AH88">
            <v>10492162291.477522</v>
          </cell>
          <cell r="AI88">
            <v>11932418890.148888</v>
          </cell>
        </row>
        <row r="89">
          <cell r="C89">
            <v>15995710502.588127</v>
          </cell>
          <cell r="D89">
            <v>14627252091.059713</v>
          </cell>
          <cell r="E89">
            <v>12923806738.02606</v>
          </cell>
          <cell r="F89">
            <v>10300799870.70879</v>
          </cell>
          <cell r="G89">
            <v>6476399804.9341707</v>
          </cell>
          <cell r="U89">
            <v>18323939256.18129</v>
          </cell>
          <cell r="V89">
            <v>20573157939.919662</v>
          </cell>
          <cell r="W89">
            <v>22587944919.18269</v>
          </cell>
          <cell r="X89">
            <v>21934460026.770916</v>
          </cell>
          <cell r="Y89">
            <v>19583038331.239223</v>
          </cell>
          <cell r="AE89">
            <v>2328228753.5931625</v>
          </cell>
          <cell r="AF89">
            <v>5945905848.8599491</v>
          </cell>
          <cell r="AG89">
            <v>9664138181.1566296</v>
          </cell>
          <cell r="AH89">
            <v>11633660156.062126</v>
          </cell>
          <cell r="AI89">
            <v>13106638526.305054</v>
          </cell>
        </row>
        <row r="90">
          <cell r="C90">
            <v>17679258464.632549</v>
          </cell>
          <cell r="D90">
            <v>16103338409.968157</v>
          </cell>
          <cell r="E90">
            <v>14197058708.686335</v>
          </cell>
          <cell r="F90">
            <v>11364242243.958344</v>
          </cell>
          <cell r="G90">
            <v>7137972934.0677395</v>
          </cell>
          <cell r="U90">
            <v>20277390702.02198</v>
          </cell>
          <cell r="V90">
            <v>22734044433.506413</v>
          </cell>
          <cell r="W90">
            <v>24912583737.36948</v>
          </cell>
          <cell r="X90">
            <v>24191765432.230911</v>
          </cell>
          <cell r="Y90">
            <v>21513823789.766624</v>
          </cell>
          <cell r="AE90">
            <v>2598132237.389431</v>
          </cell>
          <cell r="AF90">
            <v>6630706023.5382557</v>
          </cell>
          <cell r="AG90">
            <v>10715525028.683146</v>
          </cell>
          <cell r="AH90">
            <v>12827523188.272568</v>
          </cell>
          <cell r="AI90">
            <v>14375850855.698885</v>
          </cell>
        </row>
        <row r="91">
          <cell r="C91">
            <v>19507820920.45639</v>
          </cell>
          <cell r="D91">
            <v>17749733638.493996</v>
          </cell>
          <cell r="E91">
            <v>15615969203.620741</v>
          </cell>
          <cell r="F91">
            <v>12537451756.23966</v>
          </cell>
          <cell r="G91">
            <v>7767768363.6562042</v>
          </cell>
          <cell r="U91">
            <v>22411862709.364655</v>
          </cell>
          <cell r="V91">
            <v>25120565791.788818</v>
          </cell>
          <cell r="W91">
            <v>27475633755.866631</v>
          </cell>
          <cell r="X91">
            <v>26668770360.47176</v>
          </cell>
          <cell r="Y91">
            <v>23436427243.064926</v>
          </cell>
          <cell r="AE91">
            <v>2904041788.9082642</v>
          </cell>
          <cell r="AF91">
            <v>7370832153.2948227</v>
          </cell>
          <cell r="AG91">
            <v>11859664552.24589</v>
          </cell>
          <cell r="AH91">
            <v>14131318604.2321</v>
          </cell>
          <cell r="AI91">
            <v>15668658879.408722</v>
          </cell>
        </row>
        <row r="92">
          <cell r="C92">
            <v>21499339453.710106</v>
          </cell>
          <cell r="D92">
            <v>19565744940.943394</v>
          </cell>
          <cell r="E92">
            <v>17199144901.868778</v>
          </cell>
          <cell r="F92">
            <v>13677079645.488003</v>
          </cell>
          <cell r="G92">
            <v>8438111387.1377964</v>
          </cell>
          <cell r="U92">
            <v>24750832816.805405</v>
          </cell>
          <cell r="V92">
            <v>27748133112.048832</v>
          </cell>
          <cell r="W92">
            <v>30310003431.255131</v>
          </cell>
          <cell r="X92">
            <v>29172729733.553558</v>
          </cell>
          <cell r="Y92">
            <v>25516193540.230072</v>
          </cell>
          <cell r="AE92">
            <v>3251493363.0952988</v>
          </cell>
          <cell r="AF92">
            <v>8182388171.1054382</v>
          </cell>
          <cell r="AG92">
            <v>13110858529.386353</v>
          </cell>
          <cell r="AH92">
            <v>15495650088.065556</v>
          </cell>
          <cell r="AI92">
            <v>17078082153.092276</v>
          </cell>
        </row>
        <row r="93">
          <cell r="C93">
            <v>23663444388.80611</v>
          </cell>
          <cell r="D93">
            <v>21583346455.04977</v>
          </cell>
          <cell r="E93">
            <v>18851265496.725845</v>
          </cell>
          <cell r="F93">
            <v>14848749088.414799</v>
          </cell>
          <cell r="G93">
            <v>9176657037.3789444</v>
          </cell>
          <cell r="U93">
            <v>27295296123.375076</v>
          </cell>
          <cell r="V93">
            <v>30621370175.836323</v>
          </cell>
          <cell r="W93">
            <v>33295489976.671322</v>
          </cell>
          <cell r="X93">
            <v>31812866335.36805</v>
          </cell>
          <cell r="Y93">
            <v>27747669339.868904</v>
          </cell>
          <cell r="AE93">
            <v>3631851734.5689659</v>
          </cell>
          <cell r="AF93">
            <v>9038023720.7865524</v>
          </cell>
          <cell r="AG93">
            <v>14444224479.945477</v>
          </cell>
          <cell r="AH93">
            <v>16964117246.953251</v>
          </cell>
          <cell r="AI93">
            <v>18571012302.48996</v>
          </cell>
        </row>
        <row r="94">
          <cell r="C94">
            <v>26022527805.612087</v>
          </cell>
          <cell r="D94">
            <v>23666901496.934135</v>
          </cell>
          <cell r="E94">
            <v>20478163060.198372</v>
          </cell>
          <cell r="F94">
            <v>16107227980.793297</v>
          </cell>
          <cell r="G94">
            <v>9921831442.8760376</v>
          </cell>
          <cell r="U94">
            <v>30052716653.208527</v>
          </cell>
          <cell r="V94">
            <v>33669857933.094967</v>
          </cell>
          <cell r="W94">
            <v>36340090739.678764</v>
          </cell>
          <cell r="X94">
            <v>34665330096.340263</v>
          </cell>
          <cell r="Y94">
            <v>30094304079.618187</v>
          </cell>
          <cell r="AE94">
            <v>4030188847.5964394</v>
          </cell>
          <cell r="AF94">
            <v>10002956436.160831</v>
          </cell>
          <cell r="AG94">
            <v>15861927679.480392</v>
          </cell>
          <cell r="AH94">
            <v>18558102115.546967</v>
          </cell>
          <cell r="AI94">
            <v>20172472636.742149</v>
          </cell>
        </row>
        <row r="95">
          <cell r="C95">
            <v>28575936009.636852</v>
          </cell>
          <cell r="D95">
            <v>25739546955.743805</v>
          </cell>
          <cell r="E95">
            <v>22269527393.042786</v>
          </cell>
          <cell r="F95">
            <v>17405751264.271362</v>
          </cell>
          <cell r="G95">
            <v>10715538923.81518</v>
          </cell>
          <cell r="U95">
            <v>33049865584.459053</v>
          </cell>
          <cell r="V95">
            <v>36796112632.997246</v>
          </cell>
          <cell r="W95">
            <v>39688630757.901932</v>
          </cell>
          <cell r="X95">
            <v>37667395301.045143</v>
          </cell>
          <cell r="Y95">
            <v>32657245182.600033</v>
          </cell>
          <cell r="AE95">
            <v>4473929574.8222008</v>
          </cell>
          <cell r="AF95">
            <v>11056565677.253441</v>
          </cell>
          <cell r="AG95">
            <v>17419103364.859146</v>
          </cell>
          <cell r="AH95">
            <v>20261644036.773781</v>
          </cell>
          <cell r="AI95">
            <v>21941706258.784851</v>
          </cell>
        </row>
        <row r="96">
          <cell r="C96">
            <v>31609107183.842632</v>
          </cell>
          <cell r="D96">
            <v>28459770050.924934</v>
          </cell>
          <cell r="E96">
            <v>24531501782.357449</v>
          </cell>
          <cell r="F96">
            <v>19164206740.644569</v>
          </cell>
          <cell r="G96">
            <v>11812903491.714991</v>
          </cell>
          <cell r="U96">
            <v>36348250005.479393</v>
          </cell>
          <cell r="V96">
            <v>40482386458.847168</v>
          </cell>
          <cell r="W96">
            <v>43476873632.914581</v>
          </cell>
          <cell r="X96">
            <v>41257836581.178658</v>
          </cell>
          <cell r="Y96">
            <v>35743165263.430893</v>
          </cell>
          <cell r="AE96">
            <v>4739142821.6367607</v>
          </cell>
          <cell r="AF96">
            <v>12022616407.922234</v>
          </cell>
          <cell r="AG96">
            <v>18945371850.557133</v>
          </cell>
          <cell r="AH96">
            <v>22093629840.534088</v>
          </cell>
          <cell r="AI96">
            <v>23930261771.715904</v>
          </cell>
        </row>
        <row r="97">
          <cell r="C97">
            <v>35064668203.525276</v>
          </cell>
          <cell r="D97">
            <v>31485651603.36792</v>
          </cell>
          <cell r="E97">
            <v>27165666679.27858</v>
          </cell>
          <cell r="F97">
            <v>21178416206.982227</v>
          </cell>
          <cell r="G97">
            <v>13027968765.609251</v>
          </cell>
          <cell r="U97">
            <v>39930786979.865547</v>
          </cell>
          <cell r="V97">
            <v>44381635728.194901</v>
          </cell>
          <cell r="W97">
            <v>47694213650.597115</v>
          </cell>
          <cell r="X97">
            <v>45288754329.533142</v>
          </cell>
          <cell r="Y97">
            <v>39192342624.893852</v>
          </cell>
          <cell r="AE97">
            <v>4866118776.340271</v>
          </cell>
          <cell r="AF97">
            <v>12895984124.826981</v>
          </cell>
          <cell r="AG97">
            <v>20528546971.318535</v>
          </cell>
          <cell r="AH97">
            <v>24110338122.550915</v>
          </cell>
          <cell r="AI97">
            <v>26164373859.284599</v>
          </cell>
        </row>
        <row r="98">
          <cell r="C98">
            <v>39018358360.271278</v>
          </cell>
          <cell r="D98">
            <v>35019282063.266464</v>
          </cell>
          <cell r="E98">
            <v>30177045733.69241</v>
          </cell>
          <cell r="F98">
            <v>23441639656.183014</v>
          </cell>
          <cell r="G98">
            <v>14444587091.849646</v>
          </cell>
          <cell r="U98">
            <v>43165078104.442657</v>
          </cell>
          <cell r="V98">
            <v>48119186809.565788</v>
          </cell>
          <cell r="W98">
            <v>51787067600.684448</v>
          </cell>
          <cell r="X98">
            <v>49032426716.643135</v>
          </cell>
          <cell r="Y98">
            <v>42155550971.039955</v>
          </cell>
          <cell r="AE98">
            <v>4146719744.1713791</v>
          </cell>
          <cell r="AF98">
            <v>13099904746.299324</v>
          </cell>
          <cell r="AG98">
            <v>21610021866.992039</v>
          </cell>
          <cell r="AH98">
            <v>25590787060.460121</v>
          </cell>
          <cell r="AI98">
            <v>27710963879.190308</v>
          </cell>
        </row>
        <row r="99">
          <cell r="C99">
            <v>43492000591.885742</v>
          </cell>
          <cell r="D99">
            <v>38979439048.064453</v>
          </cell>
          <cell r="E99">
            <v>33566519821.421272</v>
          </cell>
          <cell r="F99">
            <v>25997229261.060734</v>
          </cell>
          <cell r="G99">
            <v>16025855472.83724</v>
          </cell>
          <cell r="U99">
            <v>51238771827.103752</v>
          </cell>
          <cell r="V99">
            <v>56775103120.869888</v>
          </cell>
          <cell r="W99">
            <v>60796723324.65004</v>
          </cell>
          <cell r="X99">
            <v>57556892627.107788</v>
          </cell>
          <cell r="Y99">
            <v>49807935885.732323</v>
          </cell>
          <cell r="AE99">
            <v>7746771235.2180099</v>
          </cell>
          <cell r="AF99">
            <v>17795664072.805435</v>
          </cell>
          <cell r="AG99">
            <v>27230203503.228767</v>
          </cell>
          <cell r="AH99">
            <v>31559663366.047054</v>
          </cell>
          <cell r="AI99">
            <v>33782080412.895081</v>
          </cell>
        </row>
        <row r="100">
          <cell r="C100">
            <v>48574970212.817856</v>
          </cell>
          <cell r="D100">
            <v>43581281836.040848</v>
          </cell>
          <cell r="E100">
            <v>37340573309.019875</v>
          </cell>
          <cell r="F100">
            <v>28882919138.73103</v>
          </cell>
          <cell r="G100">
            <v>17971074524.572346</v>
          </cell>
          <cell r="U100">
            <v>56280262412.159973</v>
          </cell>
          <cell r="V100">
            <v>62499135583.694565</v>
          </cell>
          <cell r="W100">
            <v>66675595629.160255</v>
          </cell>
          <cell r="X100">
            <v>62984598328.457153</v>
          </cell>
          <cell r="Y100">
            <v>54366175294.015076</v>
          </cell>
          <cell r="AE100">
            <v>7705292199.3421173</v>
          </cell>
          <cell r="AF100">
            <v>18917853747.653717</v>
          </cell>
          <cell r="AG100">
            <v>29335022320.140381</v>
          </cell>
          <cell r="AH100">
            <v>34101679189.726124</v>
          </cell>
          <cell r="AI100">
            <v>36395100769.442734</v>
          </cell>
        </row>
        <row r="101">
          <cell r="C101">
            <v>54304457842.788216</v>
          </cell>
          <cell r="D101">
            <v>48564289560.447319</v>
          </cell>
          <cell r="E101">
            <v>41578625003.627182</v>
          </cell>
          <cell r="F101">
            <v>32267853009.891888</v>
          </cell>
          <cell r="G101">
            <v>20147752876.170998</v>
          </cell>
          <cell r="U101">
            <v>61819068015.478134</v>
          </cell>
          <cell r="V101">
            <v>68573205850.574646</v>
          </cell>
          <cell r="W101">
            <v>73080233425.389542</v>
          </cell>
          <cell r="X101">
            <v>68997117573.852676</v>
          </cell>
          <cell r="Y101">
            <v>59264924292.175606</v>
          </cell>
          <cell r="AE101">
            <v>7514610172.6899185</v>
          </cell>
          <cell r="AF101">
            <v>20008916290.127327</v>
          </cell>
          <cell r="AG101">
            <v>31501608421.76236</v>
          </cell>
          <cell r="AH101">
            <v>36729264563.960785</v>
          </cell>
          <cell r="AI101">
            <v>39117171416.004608</v>
          </cell>
        </row>
        <row r="102">
          <cell r="C102">
            <v>60774986783.454811</v>
          </cell>
          <cell r="D102">
            <v>54262424232.939026</v>
          </cell>
          <cell r="E102">
            <v>46732016058.430679</v>
          </cell>
          <cell r="F102">
            <v>36347550438.192345</v>
          </cell>
          <cell r="G102">
            <v>22825347835.781326</v>
          </cell>
          <cell r="U102">
            <v>67857633362.998558</v>
          </cell>
          <cell r="V102">
            <v>75293165493.118698</v>
          </cell>
          <cell r="W102">
            <v>80418165310.39621</v>
          </cell>
          <cell r="X102">
            <v>75825213135.490372</v>
          </cell>
          <cell r="Y102">
            <v>65291013832.080078</v>
          </cell>
          <cell r="AE102">
            <v>7082646579.5437469</v>
          </cell>
          <cell r="AF102">
            <v>21030741260.179672</v>
          </cell>
          <cell r="AG102">
            <v>33686149251.96553</v>
          </cell>
          <cell r="AH102">
            <v>39477662697.298027</v>
          </cell>
          <cell r="AI102">
            <v>42465665996.298752</v>
          </cell>
        </row>
        <row r="103">
          <cell r="C103">
            <v>68040934148.80426</v>
          </cell>
          <cell r="D103">
            <v>61002229451.543129</v>
          </cell>
          <cell r="E103">
            <v>52739321185.697212</v>
          </cell>
          <cell r="F103">
            <v>41067220969.208176</v>
          </cell>
          <cell r="G103">
            <v>25813503219.228344</v>
          </cell>
          <cell r="U103">
            <v>74459633575.100006</v>
          </cell>
          <cell r="V103">
            <v>82859474544.733627</v>
          </cell>
          <cell r="W103">
            <v>88616231904.923111</v>
          </cell>
          <cell r="X103">
            <v>83742716791.938477</v>
          </cell>
          <cell r="Y103">
            <v>72029687968.579498</v>
          </cell>
          <cell r="AE103">
            <v>6418699426.2957458</v>
          </cell>
          <cell r="AF103">
            <v>21857245093.190498</v>
          </cell>
          <cell r="AG103">
            <v>35876910719.225899</v>
          </cell>
          <cell r="AH103">
            <v>42675495822.730301</v>
          </cell>
          <cell r="AI103">
            <v>46216184749.351151</v>
          </cell>
        </row>
        <row r="104">
          <cell r="C104">
            <v>76312841928.53566</v>
          </cell>
          <cell r="D104">
            <v>68635824178.052513</v>
          </cell>
          <cell r="E104">
            <v>59414125802.861015</v>
          </cell>
          <cell r="F104">
            <v>46283245547.675179</v>
          </cell>
          <cell r="G104">
            <v>28878746906.01841</v>
          </cell>
          <cell r="U104">
            <v>81743144814.587112</v>
          </cell>
          <cell r="V104">
            <v>91197657566.50676</v>
          </cell>
          <cell r="W104">
            <v>97796615176.735611</v>
          </cell>
          <cell r="X104">
            <v>92600200307.359802</v>
          </cell>
          <cell r="Y104">
            <v>78879380945.445847</v>
          </cell>
          <cell r="AE104">
            <v>5430302886.0514526</v>
          </cell>
          <cell r="AF104">
            <v>22561833388.454247</v>
          </cell>
          <cell r="AG104">
            <v>38382489373.874596</v>
          </cell>
          <cell r="AH104">
            <v>46316954759.684624</v>
          </cell>
          <cell r="AI104">
            <v>50000634039.427437</v>
          </cell>
        </row>
        <row r="105">
          <cell r="C105">
            <v>85573308860.611679</v>
          </cell>
          <cell r="D105">
            <v>77005674734.857285</v>
          </cell>
          <cell r="E105">
            <v>66758762065.71505</v>
          </cell>
          <cell r="F105">
            <v>51632131679.546204</v>
          </cell>
          <cell r="G105">
            <v>32151443538.803619</v>
          </cell>
          <cell r="U105">
            <v>89692097596.517746</v>
          </cell>
          <cell r="V105">
            <v>100411494651.63101</v>
          </cell>
          <cell r="W105">
            <v>107988278949.19325</v>
          </cell>
          <cell r="X105">
            <v>101668746652.00499</v>
          </cell>
          <cell r="Y105">
            <v>86069448394.560181</v>
          </cell>
          <cell r="AE105">
            <v>4118788735.9060669</v>
          </cell>
          <cell r="AF105">
            <v>23405819916.773727</v>
          </cell>
          <cell r="AG105">
            <v>41229516883.478203</v>
          </cell>
          <cell r="AH105">
            <v>50036614972.458786</v>
          </cell>
          <cell r="AI105">
            <v>53918004855.756561</v>
          </cell>
        </row>
        <row r="106">
          <cell r="C106">
            <v>95077945627.472839</v>
          </cell>
          <cell r="D106">
            <v>85736877392.242584</v>
          </cell>
          <cell r="E106">
            <v>74163839558.180023</v>
          </cell>
          <cell r="F106">
            <v>57031220563.088654</v>
          </cell>
          <cell r="G106">
            <v>35639650694.476433</v>
          </cell>
          <cell r="U106">
            <v>97864264166.726929</v>
          </cell>
          <cell r="V106">
            <v>109751151466.26141</v>
          </cell>
          <cell r="W106">
            <v>116630423265.52992</v>
          </cell>
          <cell r="X106">
            <v>109477176918.16287</v>
          </cell>
          <cell r="Y106">
            <v>92568091676.275269</v>
          </cell>
          <cell r="AE106">
            <v>2786318539.2540894</v>
          </cell>
          <cell r="AF106">
            <v>24014274074.018829</v>
          </cell>
          <cell r="AG106">
            <v>42466583707.349899</v>
          </cell>
          <cell r="AH106">
            <v>52445956355.074219</v>
          </cell>
          <cell r="AI106">
            <v>56928440981.798836</v>
          </cell>
        </row>
        <row r="107">
          <cell r="C107">
            <v>105320116868.48724</v>
          </cell>
          <cell r="D107">
            <v>94695361238.850845</v>
          </cell>
          <cell r="E107">
            <v>81663740303.756393</v>
          </cell>
          <cell r="F107">
            <v>62793583131.071381</v>
          </cell>
          <cell r="G107">
            <v>39422291649.50425</v>
          </cell>
          <cell r="U107">
            <v>107577743518.94623</v>
          </cell>
          <cell r="V107">
            <v>120524206286.34058</v>
          </cell>
          <cell r="W107">
            <v>127701786864.74113</v>
          </cell>
          <cell r="X107">
            <v>119614318975.61292</v>
          </cell>
          <cell r="Y107">
            <v>100669112461.18896</v>
          </cell>
          <cell r="AE107">
            <v>2257626650.4589844</v>
          </cell>
          <cell r="AF107">
            <v>25828845047.489731</v>
          </cell>
          <cell r="AG107">
            <v>46038046560.984741</v>
          </cell>
          <cell r="AH107">
            <v>56820735844.541534</v>
          </cell>
          <cell r="AI107">
            <v>61246820811.684715</v>
          </cell>
        </row>
        <row r="108">
          <cell r="C108">
            <v>116349380072.28712</v>
          </cell>
          <cell r="D108">
            <v>104273398734.77591</v>
          </cell>
          <cell r="E108">
            <v>89956901808.669373</v>
          </cell>
          <cell r="F108">
            <v>69378039262.117523</v>
          </cell>
          <cell r="G108">
            <v>43612245875.022545</v>
          </cell>
          <cell r="U108">
            <v>118167024433.07344</v>
          </cell>
          <cell r="V108">
            <v>132162356067.01813</v>
          </cell>
          <cell r="W108">
            <v>140065886096.38434</v>
          </cell>
          <cell r="X108">
            <v>130986899563.41319</v>
          </cell>
          <cell r="Y108">
            <v>109798765143.6969</v>
          </cell>
          <cell r="AE108">
            <v>1817644360.7863159</v>
          </cell>
          <cell r="AF108">
            <v>27888957332.242218</v>
          </cell>
          <cell r="AG108">
            <v>50108984287.714966</v>
          </cell>
          <cell r="AH108">
            <v>61608860301.29567</v>
          </cell>
          <cell r="AI108">
            <v>66186519268.674355</v>
          </cell>
        </row>
        <row r="109">
          <cell r="C109">
            <v>128248121605.64899</v>
          </cell>
          <cell r="D109">
            <v>115030115076.83727</v>
          </cell>
          <cell r="E109">
            <v>99593936769.324005</v>
          </cell>
          <cell r="F109">
            <v>76775425634.572693</v>
          </cell>
          <cell r="G109">
            <v>48262145475.345863</v>
          </cell>
          <cell r="U109">
            <v>129687354351.35435</v>
          </cell>
          <cell r="V109">
            <v>145279249995.57373</v>
          </cell>
          <cell r="W109">
            <v>154196044743.85519</v>
          </cell>
          <cell r="X109">
            <v>143894098438.09253</v>
          </cell>
          <cell r="Y109">
            <v>120412662757.87828</v>
          </cell>
          <cell r="AE109">
            <v>1439232745.705368</v>
          </cell>
          <cell r="AF109">
            <v>30249134918.736465</v>
          </cell>
          <cell r="AG109">
            <v>54602107974.531189</v>
          </cell>
          <cell r="AH109">
            <v>67118672803.519836</v>
          </cell>
          <cell r="AI109">
            <v>72150517282.53241</v>
          </cell>
        </row>
        <row r="110">
          <cell r="C110">
            <v>141451282288.48712</v>
          </cell>
          <cell r="D110">
            <v>127178791511.04703</v>
          </cell>
          <cell r="E110">
            <v>110129107324.43172</v>
          </cell>
          <cell r="F110">
            <v>84853901894.522186</v>
          </cell>
          <cell r="G110">
            <v>53316623677.223137</v>
          </cell>
          <cell r="U110">
            <v>142340140408.23828</v>
          </cell>
          <cell r="V110">
            <v>159734025955.01416</v>
          </cell>
          <cell r="W110">
            <v>169680912301.733</v>
          </cell>
          <cell r="X110">
            <v>158421141547.12872</v>
          </cell>
          <cell r="Y110">
            <v>131826506660.75993</v>
          </cell>
          <cell r="AE110">
            <v>888858119.75115967</v>
          </cell>
          <cell r="AF110">
            <v>32555234443.967133</v>
          </cell>
          <cell r="AG110">
            <v>59551804977.301285</v>
          </cell>
          <cell r="AH110">
            <v>73567239652.606537</v>
          </cell>
          <cell r="AI110">
            <v>78509882983.536804</v>
          </cell>
        </row>
        <row r="111">
          <cell r="C111">
            <v>155700451220.13388</v>
          </cell>
          <cell r="D111">
            <v>140158925875.80286</v>
          </cell>
          <cell r="E111">
            <v>121306520020.43288</v>
          </cell>
          <cell r="F111">
            <v>93308167286.638763</v>
          </cell>
          <cell r="G111">
            <v>58454892764.01432</v>
          </cell>
          <cell r="U111">
            <v>156111329836.57617</v>
          </cell>
          <cell r="V111">
            <v>175579483007.89975</v>
          </cell>
          <cell r="W111">
            <v>186970749336.12579</v>
          </cell>
          <cell r="X111">
            <v>174079358755.96439</v>
          </cell>
          <cell r="Y111">
            <v>143614107366.84424</v>
          </cell>
          <cell r="AE111">
            <v>410878616.44229126</v>
          </cell>
          <cell r="AF111">
            <v>35420557132.096893</v>
          </cell>
          <cell r="AG111">
            <v>65664229315.692917</v>
          </cell>
          <cell r="AH111">
            <v>80771191469.325623</v>
          </cell>
          <cell r="AI111">
            <v>85159214602.829926</v>
          </cell>
        </row>
        <row r="112">
          <cell r="C112">
            <v>171021456483.07968</v>
          </cell>
          <cell r="D112">
            <v>153955546460.37982</v>
          </cell>
          <cell r="E112">
            <v>133346584293.71045</v>
          </cell>
          <cell r="F112">
            <v>101977378878.71591</v>
          </cell>
          <cell r="G112">
            <v>63871102876.112389</v>
          </cell>
          <cell r="U112">
            <v>171230177334.01111</v>
          </cell>
          <cell r="V112">
            <v>193165878386.67807</v>
          </cell>
          <cell r="W112">
            <v>205954400822.35696</v>
          </cell>
          <cell r="X112">
            <v>190384756342.90173</v>
          </cell>
          <cell r="Y112">
            <v>156328808742.20233</v>
          </cell>
          <cell r="AE112">
            <v>208720850.931427</v>
          </cell>
          <cell r="AF112">
            <v>39210331926.298248</v>
          </cell>
          <cell r="AG112">
            <v>72607816528.646515</v>
          </cell>
          <cell r="AH112">
            <v>88407377464.185822</v>
          </cell>
          <cell r="AI112">
            <v>92457705866.089935</v>
          </cell>
        </row>
        <row r="113">
          <cell r="C113">
            <v>187566750686.43256</v>
          </cell>
          <cell r="D113">
            <v>168878878574.27716</v>
          </cell>
          <cell r="E113">
            <v>145378591707.36734</v>
          </cell>
          <cell r="F113">
            <v>111281449227.71494</v>
          </cell>
          <cell r="G113">
            <v>69945361089.195297</v>
          </cell>
          <cell r="U113">
            <v>188202939273.72495</v>
          </cell>
          <cell r="V113">
            <v>212554637624.78665</v>
          </cell>
          <cell r="W113">
            <v>225553180948.12173</v>
          </cell>
          <cell r="X113">
            <v>208326528135.59061</v>
          </cell>
          <cell r="Y113">
            <v>170223758154.1311</v>
          </cell>
          <cell r="AE113">
            <v>636188587.29238892</v>
          </cell>
          <cell r="AF113">
            <v>43675759050.509491</v>
          </cell>
          <cell r="AG113">
            <v>80174589240.754395</v>
          </cell>
          <cell r="AH113">
            <v>97045078907.875671</v>
          </cell>
          <cell r="AI113">
            <v>100278397064.93581</v>
          </cell>
        </row>
        <row r="114">
          <cell r="C114">
            <v>205336000296.96182</v>
          </cell>
          <cell r="D114">
            <v>184211586260.36572</v>
          </cell>
          <cell r="E114">
            <v>158516074721.84842</v>
          </cell>
          <cell r="F114">
            <v>121392319310.45432</v>
          </cell>
          <cell r="G114">
            <v>76516102804.063843</v>
          </cell>
          <cell r="U114">
            <v>206752582248.28165</v>
          </cell>
          <cell r="V114">
            <v>232910177114.75528</v>
          </cell>
          <cell r="W114">
            <v>247330176755.2048</v>
          </cell>
          <cell r="X114">
            <v>227853545023.09076</v>
          </cell>
          <cell r="Y114">
            <v>185404402984.34448</v>
          </cell>
          <cell r="AE114">
            <v>1416581951.3198242</v>
          </cell>
          <cell r="AF114">
            <v>48698590854.389557</v>
          </cell>
          <cell r="AG114">
            <v>88814102033.356384</v>
          </cell>
          <cell r="AH114">
            <v>106461225712.63644</v>
          </cell>
          <cell r="AI114">
            <v>108888300180.28064</v>
          </cell>
        </row>
        <row r="115">
          <cell r="C115">
            <v>224538915528.75006</v>
          </cell>
          <cell r="D115">
            <v>201478724512.86621</v>
          </cell>
          <cell r="E115">
            <v>173650057950.56815</v>
          </cell>
          <cell r="F115">
            <v>133101488612.63057</v>
          </cell>
          <cell r="G115">
            <v>83900900528.181839</v>
          </cell>
          <cell r="U115">
            <v>226944020031.06464</v>
          </cell>
          <cell r="V115">
            <v>256056602942.90094</v>
          </cell>
          <cell r="W115">
            <v>272287505584.87381</v>
          </cell>
          <cell r="X115">
            <v>250383577547.56055</v>
          </cell>
          <cell r="Y115">
            <v>203247232965.99921</v>
          </cell>
          <cell r="AE115">
            <v>2405104502.3145752</v>
          </cell>
          <cell r="AF115">
            <v>54577878430.034729</v>
          </cell>
          <cell r="AG115">
            <v>98637447634.305664</v>
          </cell>
          <cell r="AH115">
            <v>117282088934.92998</v>
          </cell>
          <cell r="AI115">
            <v>119346332437.81737</v>
          </cell>
        </row>
        <row r="116">
          <cell r="C116">
            <v>245048612091.96832</v>
          </cell>
          <cell r="D116">
            <v>220258249317.18579</v>
          </cell>
          <cell r="E116">
            <v>189484731327.34628</v>
          </cell>
          <cell r="F116">
            <v>145407330481.58282</v>
          </cell>
          <cell r="G116">
            <v>91787474792.913345</v>
          </cell>
          <cell r="U116">
            <v>249051035877.75208</v>
          </cell>
          <cell r="V116">
            <v>281606422819.63513</v>
          </cell>
          <cell r="W116">
            <v>299697767742.7699</v>
          </cell>
          <cell r="X116">
            <v>275790141145.98975</v>
          </cell>
          <cell r="Y116">
            <v>223156388449.24881</v>
          </cell>
          <cell r="AE116">
            <v>4002423785.7837524</v>
          </cell>
          <cell r="AF116">
            <v>61348173502.449341</v>
          </cell>
          <cell r="AG116">
            <v>110213036415.42361</v>
          </cell>
          <cell r="AH116">
            <v>130382810664.40692</v>
          </cell>
          <cell r="AI116">
            <v>131368913656.33546</v>
          </cell>
        </row>
        <row r="117">
          <cell r="C117">
            <v>267197590158.66251</v>
          </cell>
          <cell r="D117">
            <v>240277007374.30948</v>
          </cell>
          <cell r="E117">
            <v>206269632895.51611</v>
          </cell>
          <cell r="F117">
            <v>158310233780.89682</v>
          </cell>
          <cell r="G117">
            <v>99490970599.813263</v>
          </cell>
          <cell r="U117">
            <v>273162968261.82706</v>
          </cell>
          <cell r="V117">
            <v>309515528991.3233</v>
          </cell>
          <cell r="W117">
            <v>330059757677.81342</v>
          </cell>
          <cell r="X117">
            <v>303505958292.48706</v>
          </cell>
          <cell r="Y117">
            <v>243163823588.65067</v>
          </cell>
          <cell r="AE117">
            <v>5965378103.1645508</v>
          </cell>
          <cell r="AF117">
            <v>69238521617.013824</v>
          </cell>
          <cell r="AG117">
            <v>123790124782.2973</v>
          </cell>
          <cell r="AH117">
            <v>145195724511.59024</v>
          </cell>
          <cell r="AI117">
            <v>143672852988.8374</v>
          </cell>
        </row>
        <row r="118">
          <cell r="C118">
            <v>291001185495.14709</v>
          </cell>
          <cell r="D118">
            <v>261822429511.2659</v>
          </cell>
          <cell r="E118">
            <v>224396320475.23938</v>
          </cell>
          <cell r="F118">
            <v>171551476968.94934</v>
          </cell>
          <cell r="G118">
            <v>107677250324.04193</v>
          </cell>
          <cell r="U118">
            <v>299582177478.53418</v>
          </cell>
          <cell r="V118">
            <v>340593158260.9624</v>
          </cell>
          <cell r="W118">
            <v>363789150724.67389</v>
          </cell>
          <cell r="X118">
            <v>332545014303.37512</v>
          </cell>
          <cell r="Y118">
            <v>264588594349.94623</v>
          </cell>
          <cell r="AE118">
            <v>8580991983.387085</v>
          </cell>
          <cell r="AF118">
            <v>78770728749.696503</v>
          </cell>
          <cell r="AG118">
            <v>139392830249.43451</v>
          </cell>
          <cell r="AH118">
            <v>160993537334.42578</v>
          </cell>
          <cell r="AI118">
            <v>156911344025.9043</v>
          </cell>
        </row>
        <row r="119">
          <cell r="C119">
            <v>316694321362.35919</v>
          </cell>
          <cell r="D119">
            <v>284950477498.3526</v>
          </cell>
          <cell r="E119">
            <v>242954537117.1557</v>
          </cell>
          <cell r="F119">
            <v>185341796558.59976</v>
          </cell>
          <cell r="G119">
            <v>116445335665.04012</v>
          </cell>
          <cell r="U119">
            <v>329138463595.75067</v>
          </cell>
          <cell r="V119">
            <v>374921374668.77289</v>
          </cell>
          <cell r="W119">
            <v>399247788954.18805</v>
          </cell>
          <cell r="X119">
            <v>363450962506.56287</v>
          </cell>
          <cell r="Y119">
            <v>287735829491.83539</v>
          </cell>
          <cell r="AE119">
            <v>12444142233.391479</v>
          </cell>
          <cell r="AF119">
            <v>89970897170.420288</v>
          </cell>
          <cell r="AG119">
            <v>156293251837.03235</v>
          </cell>
          <cell r="AH119">
            <v>178109165947.9631</v>
          </cell>
          <cell r="AI119">
            <v>171290493826.79529</v>
          </cell>
        </row>
        <row r="120">
          <cell r="C120">
            <v>344327803638.14093</v>
          </cell>
          <cell r="D120">
            <v>308732473905.54364</v>
          </cell>
          <cell r="E120">
            <v>262181358769.11597</v>
          </cell>
          <cell r="F120">
            <v>199869308725.00769</v>
          </cell>
          <cell r="G120">
            <v>125720270125.83659</v>
          </cell>
          <cell r="U120">
            <v>361689750629.52777</v>
          </cell>
          <cell r="V120">
            <v>411069873661.05225</v>
          </cell>
          <cell r="W120">
            <v>436892045541.35724</v>
          </cell>
          <cell r="X120">
            <v>396701839743.77277</v>
          </cell>
          <cell r="Y120">
            <v>312462940964.52026</v>
          </cell>
          <cell r="AE120">
            <v>17361946991.386841</v>
          </cell>
          <cell r="AF120">
            <v>102337399755.50861</v>
          </cell>
          <cell r="AG120">
            <v>174710686772.24127</v>
          </cell>
          <cell r="AH120">
            <v>196832531018.76508</v>
          </cell>
          <cell r="AI120">
            <v>186742670838.68365</v>
          </cell>
        </row>
        <row r="121">
          <cell r="C121">
            <v>374129074227.31207</v>
          </cell>
          <cell r="D121">
            <v>334884455374.40649</v>
          </cell>
          <cell r="E121">
            <v>283858494534.01953</v>
          </cell>
          <cell r="F121">
            <v>216796733736.2496</v>
          </cell>
          <cell r="G121">
            <v>136289711361.52902</v>
          </cell>
          <cell r="U121">
            <v>397167558781.71857</v>
          </cell>
          <cell r="V121">
            <v>451270188629.19086</v>
          </cell>
          <cell r="W121">
            <v>479604369482.13251</v>
          </cell>
          <cell r="X121">
            <v>434912484873.85992</v>
          </cell>
          <cell r="Y121">
            <v>340925994198.72394</v>
          </cell>
          <cell r="AE121">
            <v>23038484554.406494</v>
          </cell>
          <cell r="AF121">
            <v>116385733254.78436</v>
          </cell>
          <cell r="AG121">
            <v>195745874948.11298</v>
          </cell>
          <cell r="AH121">
            <v>218115751137.61032</v>
          </cell>
          <cell r="AI121">
            <v>204636282837.19492</v>
          </cell>
        </row>
        <row r="122">
          <cell r="C122">
            <v>406203805937.66302</v>
          </cell>
          <cell r="D122">
            <v>363581000734.22803</v>
          </cell>
          <cell r="E122">
            <v>307942263110.94385</v>
          </cell>
          <cell r="F122">
            <v>234939882572.51901</v>
          </cell>
          <cell r="G122">
            <v>147912958814.19696</v>
          </cell>
          <cell r="U122">
            <v>435925814396.2215</v>
          </cell>
          <cell r="V122">
            <v>495892069841.6402</v>
          </cell>
          <cell r="W122">
            <v>527272460399.03107</v>
          </cell>
          <cell r="X122">
            <v>477109854016.26904</v>
          </cell>
          <cell r="Y122">
            <v>373590974531.2998</v>
          </cell>
          <cell r="AE122">
            <v>29722008458.558472</v>
          </cell>
          <cell r="AF122">
            <v>132311069107.41217</v>
          </cell>
          <cell r="AG122">
            <v>219330197288.08722</v>
          </cell>
          <cell r="AH122">
            <v>242169971443.75003</v>
          </cell>
          <cell r="AI122">
            <v>225678015717.10284</v>
          </cell>
        </row>
        <row r="123">
          <cell r="C123">
            <v>440777975810.52747</v>
          </cell>
          <cell r="D123">
            <v>394471776061.82703</v>
          </cell>
          <cell r="E123">
            <v>333623494188.47571</v>
          </cell>
          <cell r="F123">
            <v>254891736422.64502</v>
          </cell>
          <cell r="G123">
            <v>160197104779.48965</v>
          </cell>
          <cell r="U123">
            <v>478229710888.16797</v>
          </cell>
          <cell r="V123">
            <v>544637531650.64246</v>
          </cell>
          <cell r="W123">
            <v>579652303099.89063</v>
          </cell>
          <cell r="X123">
            <v>525084297408.66205</v>
          </cell>
          <cell r="Y123">
            <v>408541818306.21387</v>
          </cell>
          <cell r="AE123">
            <v>37451735077.640503</v>
          </cell>
          <cell r="AF123">
            <v>150165755588.81543</v>
          </cell>
          <cell r="AG123">
            <v>246028808911.41492</v>
          </cell>
          <cell r="AH123">
            <v>270192560986.01703</v>
          </cell>
          <cell r="AI123">
            <v>248344713526.72421</v>
          </cell>
        </row>
        <row r="124">
          <cell r="C124">
            <v>478009033376.02234</v>
          </cell>
          <cell r="D124">
            <v>427901883167.0304</v>
          </cell>
          <cell r="E124">
            <v>361766256552.79089</v>
          </cell>
          <cell r="F124">
            <v>275960060435.9342</v>
          </cell>
          <cell r="G124">
            <v>172742829489.38202</v>
          </cell>
          <cell r="U124">
            <v>524432723431.44513</v>
          </cell>
          <cell r="V124">
            <v>598742744398.70447</v>
          </cell>
          <cell r="W124">
            <v>638769002717.62976</v>
          </cell>
          <cell r="X124">
            <v>576744514378.64417</v>
          </cell>
          <cell r="Y124">
            <v>444523808572.06683</v>
          </cell>
          <cell r="AE124">
            <v>46423690055.422791</v>
          </cell>
          <cell r="AF124">
            <v>170840861231.67407</v>
          </cell>
          <cell r="AG124">
            <v>277002746164.83887</v>
          </cell>
          <cell r="AH124">
            <v>300784453942.70996</v>
          </cell>
          <cell r="AI124">
            <v>271780979082.68481</v>
          </cell>
        </row>
        <row r="125">
          <cell r="C125">
            <v>518104984204.70599</v>
          </cell>
          <cell r="D125">
            <v>463926880403.47327</v>
          </cell>
          <cell r="E125">
            <v>391381789023.91394</v>
          </cell>
          <cell r="F125">
            <v>297015374107.70825</v>
          </cell>
          <cell r="G125">
            <v>185997551738.64529</v>
          </cell>
          <cell r="U125">
            <v>575532609211.48047</v>
          </cell>
          <cell r="V125">
            <v>658887416772.10449</v>
          </cell>
          <cell r="W125">
            <v>702470542584.11072</v>
          </cell>
          <cell r="X125">
            <v>629565371534.45728</v>
          </cell>
          <cell r="Y125">
            <v>483447443565.96973</v>
          </cell>
          <cell r="AE125">
            <v>57427625006.774475</v>
          </cell>
          <cell r="AF125">
            <v>194960536368.63123</v>
          </cell>
          <cell r="AG125">
            <v>311088753560.19678</v>
          </cell>
          <cell r="AH125">
            <v>332549997426.74902</v>
          </cell>
          <cell r="AI125">
            <v>297449891827.32446</v>
          </cell>
        </row>
        <row r="126">
          <cell r="C126">
            <v>561318811953.60645</v>
          </cell>
          <cell r="D126">
            <v>501503027704.8681</v>
          </cell>
          <cell r="E126">
            <v>421066026711.08466</v>
          </cell>
          <cell r="F126">
            <v>319488217171.92566</v>
          </cell>
          <cell r="G126">
            <v>200807000828.15741</v>
          </cell>
          <cell r="U126">
            <v>632194018612.20862</v>
          </cell>
          <cell r="V126">
            <v>723323107628.6554</v>
          </cell>
          <cell r="W126">
            <v>767973516260.75305</v>
          </cell>
          <cell r="X126">
            <v>687190613116.05017</v>
          </cell>
          <cell r="Y126">
            <v>525863082235.4162</v>
          </cell>
          <cell r="AE126">
            <v>70875206658.602173</v>
          </cell>
          <cell r="AF126">
            <v>221820079923.78729</v>
          </cell>
          <cell r="AG126">
            <v>346907489549.6684</v>
          </cell>
          <cell r="AH126">
            <v>367702395944.12451</v>
          </cell>
          <cell r="AI126">
            <v>325056081407.25879</v>
          </cell>
        </row>
        <row r="127">
          <cell r="C127">
            <v>607824288201.0144</v>
          </cell>
          <cell r="D127">
            <v>541209958055.62555</v>
          </cell>
          <cell r="E127">
            <v>453653298766.63025</v>
          </cell>
          <cell r="F127">
            <v>344721700832.50049</v>
          </cell>
          <cell r="G127">
            <v>216674520221.65475</v>
          </cell>
          <cell r="U127">
            <v>694020650784.33289</v>
          </cell>
          <cell r="V127">
            <v>792333176280.22461</v>
          </cell>
          <cell r="W127">
            <v>841029453988.49146</v>
          </cell>
          <cell r="X127">
            <v>751416436099.62476</v>
          </cell>
          <cell r="Y127">
            <v>572205322003.15027</v>
          </cell>
          <cell r="AE127">
            <v>86196362583.318481</v>
          </cell>
          <cell r="AF127">
            <v>251123218224.59906</v>
          </cell>
          <cell r="AG127">
            <v>387376155221.86121</v>
          </cell>
          <cell r="AH127">
            <v>406694735267.12427</v>
          </cell>
          <cell r="AI127">
            <v>355530801781.49548</v>
          </cell>
        </row>
        <row r="128">
          <cell r="C128">
            <v>657962981473.88477</v>
          </cell>
          <cell r="D128">
            <v>585332916163.35425</v>
          </cell>
          <cell r="E128">
            <v>491423987532.73132</v>
          </cell>
          <cell r="F128">
            <v>373800978554.43732</v>
          </cell>
          <cell r="G128">
            <v>234923736124.5087</v>
          </cell>
          <cell r="U128">
            <v>761332415650.27014</v>
          </cell>
          <cell r="V128">
            <v>869982555497.17834</v>
          </cell>
          <cell r="W128">
            <v>924951958821.54919</v>
          </cell>
          <cell r="X128">
            <v>825524587900.81409</v>
          </cell>
          <cell r="Y128">
            <v>627249872496.15857</v>
          </cell>
          <cell r="AE128">
            <v>103369434176.38538</v>
          </cell>
          <cell r="AF128">
            <v>284649639333.8241</v>
          </cell>
          <cell r="AG128">
            <v>433527971288.81787</v>
          </cell>
          <cell r="AH128">
            <v>451723609346.37677</v>
          </cell>
          <cell r="AI128">
            <v>392326136371.6499</v>
          </cell>
        </row>
        <row r="129">
          <cell r="C129">
            <v>712713281907.46899</v>
          </cell>
          <cell r="D129">
            <v>635040059887.67456</v>
          </cell>
          <cell r="E129">
            <v>532322775880.07941</v>
          </cell>
          <cell r="F129">
            <v>405156789166.86542</v>
          </cell>
          <cell r="G129">
            <v>254847290001.78983</v>
          </cell>
          <cell r="U129">
            <v>835405409275.45728</v>
          </cell>
          <cell r="V129">
            <v>956824155590.92188</v>
          </cell>
          <cell r="W129">
            <v>1017001990556.2655</v>
          </cell>
          <cell r="X129">
            <v>908484256051.1731</v>
          </cell>
          <cell r="Y129">
            <v>688706865963.38208</v>
          </cell>
          <cell r="AE129">
            <v>122692127367.98828</v>
          </cell>
          <cell r="AF129">
            <v>321784095703.24731</v>
          </cell>
          <cell r="AG129">
            <v>484679214676.1861</v>
          </cell>
          <cell r="AH129">
            <v>503327466884.30768</v>
          </cell>
          <cell r="AI129">
            <v>433859575961.59229</v>
          </cell>
        </row>
        <row r="130">
          <cell r="C130">
            <v>771799274982.57617</v>
          </cell>
          <cell r="D130">
            <v>686611820226.1637</v>
          </cell>
          <cell r="E130">
            <v>576294105386.71875</v>
          </cell>
          <cell r="F130">
            <v>438489756195.32166</v>
          </cell>
          <cell r="G130">
            <v>273807071073.66788</v>
          </cell>
          <cell r="U130">
            <v>916069129051.56921</v>
          </cell>
          <cell r="V130">
            <v>1049650260091.9668</v>
          </cell>
          <cell r="W130">
            <v>1119893896827.7466</v>
          </cell>
          <cell r="X130">
            <v>999437845539.03333</v>
          </cell>
          <cell r="Y130">
            <v>749171976381.5741</v>
          </cell>
          <cell r="AE130">
            <v>144269854068.99304</v>
          </cell>
          <cell r="AF130">
            <v>363038439865.8031</v>
          </cell>
          <cell r="AG130">
            <v>543599791441.02783</v>
          </cell>
          <cell r="AH130">
            <v>560948089343.71167</v>
          </cell>
          <cell r="AI130">
            <v>475364905307.90625</v>
          </cell>
        </row>
        <row r="131">
          <cell r="C131">
            <v>835284788049.07483</v>
          </cell>
          <cell r="D131">
            <v>743810614060.0498</v>
          </cell>
          <cell r="E131">
            <v>623147827248.37646</v>
          </cell>
          <cell r="F131">
            <v>471622454854.56653</v>
          </cell>
          <cell r="G131">
            <v>294036638681.45917</v>
          </cell>
          <cell r="U131">
            <v>1004518165384.6976</v>
          </cell>
          <cell r="V131">
            <v>1155657448142.3948</v>
          </cell>
          <cell r="W131">
            <v>1232661729000.9204</v>
          </cell>
          <cell r="X131">
            <v>1092099486181.9539</v>
          </cell>
          <cell r="Y131">
            <v>814679103291.94531</v>
          </cell>
          <cell r="AE131">
            <v>169233377335.6228</v>
          </cell>
          <cell r="AF131">
            <v>411846834082.34497</v>
          </cell>
          <cell r="AG131">
            <v>609513901752.54395</v>
          </cell>
          <cell r="AH131">
            <v>620477031327.38733</v>
          </cell>
          <cell r="AI131">
            <v>520642464610.48615</v>
          </cell>
        </row>
        <row r="132">
          <cell r="C132">
            <v>903834624942.17249</v>
          </cell>
          <cell r="D132">
            <v>803974446573.36218</v>
          </cell>
          <cell r="E132">
            <v>669711456998.61682</v>
          </cell>
          <cell r="F132">
            <v>505888411857.84448</v>
          </cell>
          <cell r="G132">
            <v>316202180878.27087</v>
          </cell>
          <cell r="U132">
            <v>1103389056353.2778</v>
          </cell>
          <cell r="V132">
            <v>1270655892590.9624</v>
          </cell>
          <cell r="W132">
            <v>1348191088819.2961</v>
          </cell>
          <cell r="X132">
            <v>1190890181549.7319</v>
          </cell>
          <cell r="Y132">
            <v>886167050650.29346</v>
          </cell>
          <cell r="AE132">
            <v>199554431411.10535</v>
          </cell>
          <cell r="AF132">
            <v>466681446017.60022</v>
          </cell>
          <cell r="AG132">
            <v>678479631820.67932</v>
          </cell>
          <cell r="AH132">
            <v>685001769691.88745</v>
          </cell>
          <cell r="AI132">
            <v>569964869772.02258</v>
          </cell>
        </row>
        <row r="133">
          <cell r="C133">
            <v>977451360519.72424</v>
          </cell>
          <cell r="D133">
            <v>864302535047.43945</v>
          </cell>
          <cell r="E133">
            <v>718748124939.87805</v>
          </cell>
          <cell r="F133">
            <v>543636111474.79657</v>
          </cell>
          <cell r="G133">
            <v>340361510893.16058</v>
          </cell>
          <cell r="U133">
            <v>1211909506966.0452</v>
          </cell>
          <cell r="V133">
            <v>1389273868748.979</v>
          </cell>
          <cell r="W133">
            <v>1472885672475.4819</v>
          </cell>
          <cell r="X133">
            <v>1300523861202.2261</v>
          </cell>
          <cell r="Y133">
            <v>964293682515.48462</v>
          </cell>
          <cell r="AE133">
            <v>234458146446.32092</v>
          </cell>
          <cell r="AF133">
            <v>524971333701.53955</v>
          </cell>
          <cell r="AG133">
            <v>754137547535.60388</v>
          </cell>
          <cell r="AH133">
            <v>756887749727.42944</v>
          </cell>
          <cell r="AI133">
            <v>623932171622.32397</v>
          </cell>
        </row>
        <row r="134">
          <cell r="C134">
            <v>1056989536311.037</v>
          </cell>
          <cell r="D134">
            <v>933613559000.88086</v>
          </cell>
          <cell r="E134">
            <v>777307833045.45508</v>
          </cell>
          <cell r="F134">
            <v>588872991074.01953</v>
          </cell>
          <cell r="G134">
            <v>368143198967.6991</v>
          </cell>
          <cell r="U134">
            <v>1330330936187.741</v>
          </cell>
          <cell r="V134">
            <v>1526697314728.3638</v>
          </cell>
          <cell r="W134">
            <v>1621284432212.2058</v>
          </cell>
          <cell r="X134">
            <v>1430632136282.4592</v>
          </cell>
          <cell r="Y134">
            <v>1055283201150.6029</v>
          </cell>
          <cell r="AE134">
            <v>273341399876.70398</v>
          </cell>
          <cell r="AF134">
            <v>593083755727.48291</v>
          </cell>
          <cell r="AG134">
            <v>843976599166.75073</v>
          </cell>
          <cell r="AH134">
            <v>841759145208.4397</v>
          </cell>
          <cell r="AI134">
            <v>687140002182.90381</v>
          </cell>
        </row>
        <row r="135">
          <cell r="C135">
            <v>1142396393686.0005</v>
          </cell>
          <cell r="D135">
            <v>1009622612772.187</v>
          </cell>
          <cell r="E135">
            <v>840934454970.94763</v>
          </cell>
          <cell r="F135">
            <v>637283198719.43689</v>
          </cell>
          <cell r="G135">
            <v>398589448561.29712</v>
          </cell>
          <cell r="U135">
            <v>1460243553223.4807</v>
          </cell>
          <cell r="V135">
            <v>1679053597663.459</v>
          </cell>
          <cell r="W135">
            <v>1785120112225.9456</v>
          </cell>
          <cell r="X135">
            <v>1574229128904.4177</v>
          </cell>
          <cell r="Y135">
            <v>1158041425602.1902</v>
          </cell>
          <cell r="AE135">
            <v>317847159537.48022</v>
          </cell>
          <cell r="AF135">
            <v>669430984891.27197</v>
          </cell>
          <cell r="AG135">
            <v>944185657254.99792</v>
          </cell>
          <cell r="AH135">
            <v>936945930184.98083</v>
          </cell>
          <cell r="AI135">
            <v>759451977040.89307</v>
          </cell>
        </row>
        <row r="136">
          <cell r="C136">
            <v>1237041459902.0356</v>
          </cell>
          <cell r="D136">
            <v>1092678424145.0706</v>
          </cell>
          <cell r="E136">
            <v>910063283675.72241</v>
          </cell>
          <cell r="F136">
            <v>690653885818.96814</v>
          </cell>
          <cell r="G136">
            <v>430431703699.5838</v>
          </cell>
          <cell r="U136">
            <v>1602699262892.0374</v>
          </cell>
          <cell r="V136">
            <v>1845571608732.1572</v>
          </cell>
          <cell r="W136">
            <v>1964501236087.4158</v>
          </cell>
          <cell r="X136">
            <v>1733140037356.467</v>
          </cell>
          <cell r="Y136">
            <v>1265170678323.5422</v>
          </cell>
          <cell r="AE136">
            <v>365657802990.00171</v>
          </cell>
          <cell r="AF136">
            <v>752893184587.08667</v>
          </cell>
          <cell r="AG136">
            <v>1054437952411.6934</v>
          </cell>
          <cell r="AH136">
            <v>1042486151537.4989</v>
          </cell>
          <cell r="AI136">
            <v>834738974623.9585</v>
          </cell>
        </row>
        <row r="137">
          <cell r="C137">
            <v>1338743809094.5735</v>
          </cell>
          <cell r="D137">
            <v>1182439410428.5645</v>
          </cell>
          <cell r="E137">
            <v>985936034203.21692</v>
          </cell>
          <cell r="F137">
            <v>745391783535.45593</v>
          </cell>
          <cell r="G137">
            <v>463430685066.54126</v>
          </cell>
          <cell r="U137">
            <v>1758822021890.3125</v>
          </cell>
          <cell r="V137">
            <v>2030191535651.0686</v>
          </cell>
          <cell r="W137">
            <v>2165840858781.2029</v>
          </cell>
          <cell r="X137">
            <v>1900115289627.5891</v>
          </cell>
          <cell r="Y137">
            <v>1377388203325.1343</v>
          </cell>
          <cell r="AE137">
            <v>420078212795.73901</v>
          </cell>
          <cell r="AF137">
            <v>847752125222.50415</v>
          </cell>
          <cell r="AG137">
            <v>1179904824577.9858</v>
          </cell>
          <cell r="AH137">
            <v>1154723506092.1333</v>
          </cell>
          <cell r="AI137">
            <v>913957518258.59302</v>
          </cell>
        </row>
        <row r="138">
          <cell r="C138">
            <v>1448440701528.1853</v>
          </cell>
          <cell r="D138">
            <v>1278993537295.9114</v>
          </cell>
          <cell r="E138">
            <v>1062101920887.2942</v>
          </cell>
          <cell r="F138">
            <v>800899207233.19983</v>
          </cell>
          <cell r="G138">
            <v>498294577656.37897</v>
          </cell>
          <cell r="U138">
            <v>1931839606790.3999</v>
          </cell>
          <cell r="V138">
            <v>2233966389504.4497</v>
          </cell>
          <cell r="W138">
            <v>2374274593425.9644</v>
          </cell>
          <cell r="X138">
            <v>2073912313883.3105</v>
          </cell>
          <cell r="Y138">
            <v>1498023391613.9607</v>
          </cell>
          <cell r="AE138">
            <v>483398905262.2146</v>
          </cell>
          <cell r="AF138">
            <v>954972852208.53833</v>
          </cell>
          <cell r="AG138">
            <v>1312172672538.6702</v>
          </cell>
          <cell r="AH138">
            <v>1273013106650.1108</v>
          </cell>
          <cell r="AI138">
            <v>999728813957.58179</v>
          </cell>
        </row>
        <row r="139">
          <cell r="C139">
            <v>1566370356397.1853</v>
          </cell>
          <cell r="D139">
            <v>1377523765032.8428</v>
          </cell>
          <cell r="E139">
            <v>1141175556227.8323</v>
          </cell>
          <cell r="F139">
            <v>860953910397.40601</v>
          </cell>
          <cell r="G139">
            <v>536612547763.883</v>
          </cell>
          <cell r="U139">
            <v>2121954113099.7444</v>
          </cell>
          <cell r="V139">
            <v>2447550292541.1714</v>
          </cell>
          <cell r="W139">
            <v>2595255006052.5293</v>
          </cell>
          <cell r="X139">
            <v>2264883309361.644</v>
          </cell>
          <cell r="Y139">
            <v>1630120829170.5857</v>
          </cell>
          <cell r="AE139">
            <v>555583756702.55908</v>
          </cell>
          <cell r="AF139">
            <v>1070026527508.3286</v>
          </cell>
          <cell r="AG139">
            <v>1454079449824.697</v>
          </cell>
          <cell r="AH139">
            <v>1403929398964.238</v>
          </cell>
          <cell r="AI139">
            <v>1093508281406.7026</v>
          </cell>
        </row>
        <row r="140">
          <cell r="C140">
            <v>1693501972790.3784</v>
          </cell>
          <cell r="D140">
            <v>1485850648899.7708</v>
          </cell>
          <cell r="E140">
            <v>1230155573972.6646</v>
          </cell>
          <cell r="F140">
            <v>929882127808.45898</v>
          </cell>
          <cell r="G140">
            <v>580082405014.93787</v>
          </cell>
          <cell r="U140">
            <v>2329538137923.1992</v>
          </cell>
          <cell r="V140">
            <v>2685130852902.918</v>
          </cell>
          <cell r="W140">
            <v>2846845865634.2402</v>
          </cell>
          <cell r="X140">
            <v>2483088974483.8794</v>
          </cell>
          <cell r="Y140">
            <v>1779856429879.7505</v>
          </cell>
          <cell r="AE140">
            <v>636036165132.8208</v>
          </cell>
          <cell r="AF140">
            <v>1199280204003.1472</v>
          </cell>
          <cell r="AG140">
            <v>1616690291661.5757</v>
          </cell>
          <cell r="AH140">
            <v>1553206846675.4204</v>
          </cell>
          <cell r="AI140">
            <v>1199774024864.8125</v>
          </cell>
        </row>
        <row r="141">
          <cell r="C141">
            <v>1830262508336.7937</v>
          </cell>
          <cell r="D141">
            <v>1605606573675.8484</v>
          </cell>
          <cell r="E141">
            <v>1332820435835.4917</v>
          </cell>
          <cell r="F141">
            <v>1007093774854.1499</v>
          </cell>
          <cell r="G141">
            <v>628315752433.97217</v>
          </cell>
          <cell r="U141">
            <v>2556525693591.8721</v>
          </cell>
          <cell r="V141">
            <v>2951223620083.75</v>
          </cell>
          <cell r="W141">
            <v>3137141515542.7349</v>
          </cell>
          <cell r="X141">
            <v>2730440128583.9795</v>
          </cell>
          <cell r="Y141">
            <v>1951359217653.8167</v>
          </cell>
          <cell r="AE141">
            <v>726263185255.07837</v>
          </cell>
          <cell r="AF141">
            <v>1345617046407.9016</v>
          </cell>
          <cell r="AG141">
            <v>1804321079707.2432</v>
          </cell>
          <cell r="AH141">
            <v>1723346353729.8296</v>
          </cell>
          <cell r="AI141">
            <v>1323043465219.8445</v>
          </cell>
        </row>
        <row r="142">
          <cell r="C142">
            <v>1977583661973.8511</v>
          </cell>
          <cell r="D142">
            <v>1735440904203.9636</v>
          </cell>
          <cell r="E142">
            <v>1439690672503.5007</v>
          </cell>
          <cell r="F142">
            <v>1088910612725.8859</v>
          </cell>
          <cell r="G142">
            <v>678515636942.20203</v>
          </cell>
          <cell r="U142">
            <v>2804540475552.9932</v>
          </cell>
          <cell r="V142">
            <v>3243611468280.2275</v>
          </cell>
          <cell r="W142">
            <v>3448138710584.0103</v>
          </cell>
          <cell r="X142">
            <v>3001958247590.2461</v>
          </cell>
          <cell r="Y142">
            <v>2134505907803.9319</v>
          </cell>
          <cell r="AE142">
            <v>826956813579.14209</v>
          </cell>
          <cell r="AF142">
            <v>1508170564076.2639</v>
          </cell>
          <cell r="AG142">
            <v>2008448038080.5095</v>
          </cell>
          <cell r="AH142">
            <v>1913047634864.3604</v>
          </cell>
          <cell r="AI142">
            <v>1455990270861.73</v>
          </cell>
        </row>
        <row r="143">
          <cell r="C143">
            <v>2136156899384.4788</v>
          </cell>
          <cell r="D143">
            <v>1872735099371.376</v>
          </cell>
          <cell r="E143">
            <v>1554472216607.8455</v>
          </cell>
          <cell r="F143">
            <v>1175180542556.4609</v>
          </cell>
          <cell r="G143">
            <v>728645829071.85962</v>
          </cell>
          <cell r="U143">
            <v>3075633650821.8887</v>
          </cell>
          <cell r="V143">
            <v>3560998223290.0205</v>
          </cell>
          <cell r="W143">
            <v>3790988154259.9409</v>
          </cell>
          <cell r="X143">
            <v>3294373481742.1924</v>
          </cell>
          <cell r="Y143">
            <v>2320669118987.2676</v>
          </cell>
          <cell r="AE143">
            <v>939476751437.40991</v>
          </cell>
          <cell r="AF143">
            <v>1688263123918.6445</v>
          </cell>
          <cell r="AG143">
            <v>2236515937652.0957</v>
          </cell>
          <cell r="AH143">
            <v>2119192939185.7314</v>
          </cell>
          <cell r="AI143">
            <v>1592023289915.408</v>
          </cell>
        </row>
        <row r="144">
          <cell r="C144">
            <v>2306890550726.2578</v>
          </cell>
          <cell r="D144">
            <v>2021614255328.395</v>
          </cell>
          <cell r="E144">
            <v>1676629468839.0027</v>
          </cell>
          <cell r="F144">
            <v>1261918895690.7583</v>
          </cell>
          <cell r="G144">
            <v>782464340322.82849</v>
          </cell>
          <cell r="U144">
            <v>3373897685297.4082</v>
          </cell>
          <cell r="V144">
            <v>3912920197520.9858</v>
          </cell>
          <cell r="W144">
            <v>4163739513473.9888</v>
          </cell>
          <cell r="X144">
            <v>3594281754393.7114</v>
          </cell>
          <cell r="Y144">
            <v>2522856307584.7832</v>
          </cell>
          <cell r="AE144">
            <v>1067007134571.1504</v>
          </cell>
          <cell r="AF144">
            <v>1891305942192.5908</v>
          </cell>
          <cell r="AG144">
            <v>2487110044634.9863</v>
          </cell>
          <cell r="AH144">
            <v>2332362858702.9531</v>
          </cell>
          <cell r="AI144">
            <v>1740391967261.9546</v>
          </cell>
        </row>
        <row r="145">
          <cell r="C145">
            <v>2490751588216.543</v>
          </cell>
          <cell r="D145">
            <v>2179303636819.519</v>
          </cell>
          <cell r="E145">
            <v>1799586287487.7078</v>
          </cell>
          <cell r="F145">
            <v>1353952446711.5544</v>
          </cell>
          <cell r="G145">
            <v>841286980796.84485</v>
          </cell>
          <cell r="U145">
            <v>3702136608267.8931</v>
          </cell>
          <cell r="V145">
            <v>4293799708785.8345</v>
          </cell>
          <cell r="W145">
            <v>4547319809556.4287</v>
          </cell>
          <cell r="X145">
            <v>3919682081193.7939</v>
          </cell>
          <cell r="Y145">
            <v>2745150859590.5151</v>
          </cell>
          <cell r="AE145">
            <v>1211385020051.3501</v>
          </cell>
          <cell r="AF145">
            <v>2114496071966.3154</v>
          </cell>
          <cell r="AG145">
            <v>2747733522068.7207</v>
          </cell>
          <cell r="AH145">
            <v>2565729634482.2393</v>
          </cell>
          <cell r="AI145">
            <v>1903863878793.6704</v>
          </cell>
        </row>
        <row r="146">
          <cell r="C146">
            <v>2688527026161.0391</v>
          </cell>
          <cell r="D146">
            <v>2343644892240.0205</v>
          </cell>
          <cell r="E146">
            <v>1932748706339.0481</v>
          </cell>
          <cell r="F146">
            <v>1457923583090.2827</v>
          </cell>
          <cell r="G146">
            <v>905795200863.34778</v>
          </cell>
          <cell r="U146">
            <v>4060686787928.6904</v>
          </cell>
          <cell r="V146">
            <v>4697726577913.1543</v>
          </cell>
          <cell r="W146">
            <v>4970911927947.7998</v>
          </cell>
          <cell r="X146">
            <v>4289787906456.0693</v>
          </cell>
          <cell r="Y146">
            <v>2991834302932.2974</v>
          </cell>
          <cell r="AE146">
            <v>1372159761767.6514</v>
          </cell>
          <cell r="AF146">
            <v>2354081685673.1338</v>
          </cell>
          <cell r="AG146">
            <v>3038163221608.752</v>
          </cell>
          <cell r="AH146">
            <v>2831864323365.7866</v>
          </cell>
          <cell r="AI146">
            <v>2086039102068.9497</v>
          </cell>
        </row>
        <row r="147">
          <cell r="C147">
            <v>2901445383366.0752</v>
          </cell>
          <cell r="D147">
            <v>2526713800238.189</v>
          </cell>
          <cell r="E147">
            <v>2089221839889.9678</v>
          </cell>
          <cell r="F147">
            <v>1575118979584.9402</v>
          </cell>
          <cell r="G147">
            <v>978448041686.76904</v>
          </cell>
          <cell r="U147">
            <v>4451817126202.6836</v>
          </cell>
          <cell r="V147">
            <v>5154688569536.3877</v>
          </cell>
          <cell r="W147">
            <v>5470954641556.5791</v>
          </cell>
          <cell r="X147">
            <v>4713171736264.4756</v>
          </cell>
          <cell r="Y147">
            <v>3276242032811.79</v>
          </cell>
          <cell r="AE147">
            <v>1550371742836.6084</v>
          </cell>
          <cell r="AF147">
            <v>2627974769298.1987</v>
          </cell>
          <cell r="AG147">
            <v>3381732801666.6113</v>
          </cell>
          <cell r="AH147">
            <v>3138052756679.5352</v>
          </cell>
          <cell r="AI147">
            <v>2297793991125.021</v>
          </cell>
        </row>
        <row r="148">
          <cell r="C148">
            <v>3130162017338.8105</v>
          </cell>
          <cell r="D148">
            <v>2727627052247.145</v>
          </cell>
          <cell r="E148">
            <v>2254685961401.2583</v>
          </cell>
          <cell r="F148">
            <v>1701238814719.9082</v>
          </cell>
          <cell r="G148">
            <v>1057523550678.6116</v>
          </cell>
          <cell r="U148">
            <v>4880155851824.8652</v>
          </cell>
          <cell r="V148">
            <v>5663493511425.3125</v>
          </cell>
          <cell r="W148">
            <v>6015053892224.7891</v>
          </cell>
          <cell r="X148">
            <v>5183555561101.8184</v>
          </cell>
          <cell r="Y148">
            <v>3593548114984.1987</v>
          </cell>
          <cell r="AE148">
            <v>1749993834486.0547</v>
          </cell>
          <cell r="AF148">
            <v>2935866459178.1675</v>
          </cell>
          <cell r="AG148">
            <v>3760367930823.5308</v>
          </cell>
          <cell r="AH148">
            <v>3482316746381.9102</v>
          </cell>
          <cell r="AI148">
            <v>2536024564305.5869</v>
          </cell>
        </row>
        <row r="149">
          <cell r="C149">
            <v>3376532121387.0137</v>
          </cell>
          <cell r="D149">
            <v>2939566014572.2378</v>
          </cell>
          <cell r="E149">
            <v>2432447054942.1445</v>
          </cell>
          <cell r="F149">
            <v>1836116435306.8</v>
          </cell>
          <cell r="G149">
            <v>1136666824241.3057</v>
          </cell>
          <cell r="U149">
            <v>5350477717755.2256</v>
          </cell>
          <cell r="V149">
            <v>6216983022007.7129</v>
          </cell>
          <cell r="W149">
            <v>6618081598212.1992</v>
          </cell>
          <cell r="X149">
            <v>5701341625515.8301</v>
          </cell>
          <cell r="Y149">
            <v>3920312524899.0273</v>
          </cell>
          <cell r="AE149">
            <v>1973945596368.2119</v>
          </cell>
          <cell r="AF149">
            <v>3277417007435.4751</v>
          </cell>
          <cell r="AG149">
            <v>4185634543270.0547</v>
          </cell>
          <cell r="AH149">
            <v>3865225190209.0303</v>
          </cell>
          <cell r="AI149">
            <v>2783645700657.7217</v>
          </cell>
        </row>
        <row r="150">
          <cell r="C150">
            <v>3641021420134.8569</v>
          </cell>
          <cell r="D150">
            <v>3173018600228.7256</v>
          </cell>
          <cell r="E150">
            <v>2623919702140.8789</v>
          </cell>
          <cell r="F150">
            <v>1974039150426.3176</v>
          </cell>
          <cell r="G150">
            <v>1219960797272.2783</v>
          </cell>
          <cell r="U150">
            <v>5868580045956.7266</v>
          </cell>
          <cell r="V150">
            <v>6842247594946.7822</v>
          </cell>
          <cell r="W150">
            <v>7285047580251.585</v>
          </cell>
          <cell r="X150">
            <v>6244428791435.8438</v>
          </cell>
          <cell r="Y150">
            <v>4270430423929.0859</v>
          </cell>
          <cell r="AE150">
            <v>2227558625821.8696</v>
          </cell>
          <cell r="AF150">
            <v>3669228994718.0566</v>
          </cell>
          <cell r="AG150">
            <v>4661127878110.7061</v>
          </cell>
          <cell r="AH150">
            <v>4270389641009.5264</v>
          </cell>
          <cell r="AI150">
            <v>3050469626656.8076</v>
          </cell>
        </row>
        <row r="151">
          <cell r="C151">
            <v>3926086553208.7505</v>
          </cell>
          <cell r="D151">
            <v>3417725470696.3042</v>
          </cell>
          <cell r="E151">
            <v>2816785561777.0913</v>
          </cell>
          <cell r="F151">
            <v>2115644429942.6675</v>
          </cell>
          <cell r="G151">
            <v>1307509509795.0264</v>
          </cell>
          <cell r="U151">
            <v>6443068115019.2813</v>
          </cell>
          <cell r="V151">
            <v>7518105237606.3086</v>
          </cell>
          <cell r="W151">
            <v>7976348341011.5264</v>
          </cell>
          <cell r="X151">
            <v>6817945293833.0986</v>
          </cell>
          <cell r="Y151">
            <v>4645618028033.3574</v>
          </cell>
          <cell r="AE151">
            <v>2516981561810.5308</v>
          </cell>
          <cell r="AF151">
            <v>4100379766910.0044</v>
          </cell>
          <cell r="AG151">
            <v>5159562779234.4355</v>
          </cell>
          <cell r="AH151">
            <v>4702300863890.4316</v>
          </cell>
          <cell r="AI151">
            <v>3338108518238.3311</v>
          </cell>
        </row>
        <row r="152">
          <cell r="C152">
            <v>4231932701710.4312</v>
          </cell>
          <cell r="D152">
            <v>3669244581632.1426</v>
          </cell>
          <cell r="E152">
            <v>3018907396422.771</v>
          </cell>
          <cell r="F152">
            <v>2265690622361.208</v>
          </cell>
          <cell r="G152">
            <v>1402385685257.1001</v>
          </cell>
          <cell r="U152">
            <v>7074189821860.4453</v>
          </cell>
          <cell r="V152">
            <v>8229623626176.8252</v>
          </cell>
          <cell r="W152">
            <v>8719905027826.8535</v>
          </cell>
          <cell r="X152">
            <v>7439107533218.2227</v>
          </cell>
          <cell r="Y152">
            <v>5055400742464.8301</v>
          </cell>
          <cell r="AE152">
            <v>2842257120150.0142</v>
          </cell>
          <cell r="AF152">
            <v>4560379044544.6826</v>
          </cell>
          <cell r="AG152">
            <v>5700997631404.082</v>
          </cell>
          <cell r="AH152">
            <v>5173416910857.0146</v>
          </cell>
          <cell r="AI152">
            <v>3653015057207.73</v>
          </cell>
        </row>
        <row r="153">
          <cell r="C153">
            <v>4561755822399.4658</v>
          </cell>
          <cell r="D153">
            <v>3952318290283.1758</v>
          </cell>
          <cell r="E153">
            <v>3253471549576.5742</v>
          </cell>
          <cell r="F153">
            <v>2445352293986.3677</v>
          </cell>
          <cell r="G153">
            <v>1510272139967.3267</v>
          </cell>
          <cell r="U153">
            <v>7765327142222.165</v>
          </cell>
          <cell r="V153">
            <v>9044040366816.2637</v>
          </cell>
          <cell r="W153">
            <v>9590633010534.7832</v>
          </cell>
          <cell r="X153">
            <v>8181619465430.6035</v>
          </cell>
          <cell r="Y153">
            <v>5530696511241.2168</v>
          </cell>
          <cell r="AE153">
            <v>3203571319822.6992</v>
          </cell>
          <cell r="AF153">
            <v>5091722076533.0879</v>
          </cell>
          <cell r="AG153">
            <v>6337161460958.209</v>
          </cell>
          <cell r="AH153">
            <v>5736267171444.2363</v>
          </cell>
          <cell r="AI153">
            <v>4020424371273.8901</v>
          </cell>
        </row>
        <row r="154">
          <cell r="C154">
            <v>4915533799729.9268</v>
          </cell>
          <cell r="D154">
            <v>4258333364253.7544</v>
          </cell>
          <cell r="E154">
            <v>3506960109357.8638</v>
          </cell>
          <cell r="F154">
            <v>2634787531706.8516</v>
          </cell>
          <cell r="G154">
            <v>1627098884601.1914</v>
          </cell>
          <cell r="U154">
            <v>8524199346942.4941</v>
          </cell>
          <cell r="V154">
            <v>9939606896039.5879</v>
          </cell>
          <cell r="W154">
            <v>10549706894917.031</v>
          </cell>
          <cell r="X154">
            <v>8993162689394.5</v>
          </cell>
          <cell r="Y154">
            <v>6080304606445.8037</v>
          </cell>
          <cell r="AE154">
            <v>3608665547212.5674</v>
          </cell>
          <cell r="AF154">
            <v>5681273531785.834</v>
          </cell>
          <cell r="AG154">
            <v>7042746785559.168</v>
          </cell>
          <cell r="AH154">
            <v>6358375157687.6484</v>
          </cell>
          <cell r="AI154">
            <v>4453205721844.6123</v>
          </cell>
        </row>
        <row r="155">
          <cell r="C155">
            <v>5304799152080.0332</v>
          </cell>
          <cell r="D155">
            <v>4592772290462.1006</v>
          </cell>
          <cell r="E155">
            <v>3782569299366.8369</v>
          </cell>
          <cell r="F155">
            <v>2843100226513.6426</v>
          </cell>
          <cell r="G155">
            <v>1760718854517.4778</v>
          </cell>
          <cell r="U155">
            <v>9357913708011.5977</v>
          </cell>
          <cell r="V155">
            <v>10923714130919.918</v>
          </cell>
          <cell r="W155">
            <v>11609904724317.434</v>
          </cell>
          <cell r="X155">
            <v>9906548510066.1895</v>
          </cell>
          <cell r="Y155">
            <v>6701370539416.9268</v>
          </cell>
          <cell r="AE155">
            <v>4053114555931.5645</v>
          </cell>
          <cell r="AF155">
            <v>6330941840457.8174</v>
          </cell>
          <cell r="AG155">
            <v>7827335424950.5967</v>
          </cell>
          <cell r="AH155">
            <v>7063448283552.5469</v>
          </cell>
          <cell r="AI155">
            <v>4940651684899.4492</v>
          </cell>
        </row>
        <row r="156">
          <cell r="C156">
            <v>5722462220822.6123</v>
          </cell>
          <cell r="D156">
            <v>4955238672016.7578</v>
          </cell>
          <cell r="E156">
            <v>4081661045041.2876</v>
          </cell>
          <cell r="F156">
            <v>3081105738037.5703</v>
          </cell>
          <cell r="G156">
            <v>1930170293789.6938</v>
          </cell>
          <cell r="U156">
            <v>10271533689434.793</v>
          </cell>
          <cell r="V156">
            <v>12023520287264.58</v>
          </cell>
          <cell r="W156">
            <v>12795694028144.473</v>
          </cell>
          <cell r="X156">
            <v>10958627172558.73</v>
          </cell>
          <cell r="Y156">
            <v>7468033909956.6836</v>
          </cell>
          <cell r="AE156">
            <v>4549071468612.1807</v>
          </cell>
          <cell r="AF156">
            <v>7068281615247.8223</v>
          </cell>
          <cell r="AG156">
            <v>8714032983103.1855</v>
          </cell>
          <cell r="AH156">
            <v>7877521434521.1602</v>
          </cell>
          <cell r="AI156">
            <v>5537863616166.9902</v>
          </cell>
        </row>
        <row r="157">
          <cell r="C157">
            <v>6172561651719.8008</v>
          </cell>
          <cell r="D157">
            <v>5340834949509.0107</v>
          </cell>
          <cell r="E157">
            <v>4426160999149.5869</v>
          </cell>
          <cell r="F157">
            <v>3370435596523.3735</v>
          </cell>
          <cell r="G157">
            <v>2795211863541.6763</v>
          </cell>
          <cell r="U157">
            <v>11291836623648.236</v>
          </cell>
          <cell r="V157">
            <v>13228476961955.592</v>
          </cell>
          <cell r="W157">
            <v>14173253295997.666</v>
          </cell>
          <cell r="X157">
            <v>12234770150435.354</v>
          </cell>
          <cell r="Y157">
            <v>11157307495500.248</v>
          </cell>
          <cell r="AE157">
            <v>5119274971928.4355</v>
          </cell>
          <cell r="AF157">
            <v>7887642012446.5811</v>
          </cell>
          <cell r="AG157">
            <v>9747092296848.0781</v>
          </cell>
          <cell r="AH157">
            <v>8864334553911.9805</v>
          </cell>
          <cell r="AI157">
            <v>8362095631958.5723</v>
          </cell>
        </row>
        <row r="158">
          <cell r="C158">
            <v>6655758366139.5996</v>
          </cell>
          <cell r="D158">
            <v>5804031668191.293</v>
          </cell>
          <cell r="E158">
            <v>4828534301718.2451</v>
          </cell>
          <cell r="F158">
            <v>4243084768198.5645</v>
          </cell>
          <cell r="G158">
            <v>4470587403134.9912</v>
          </cell>
          <cell r="U158">
            <v>12412655340489.961</v>
          </cell>
          <cell r="V158">
            <v>14677174283654.035</v>
          </cell>
          <cell r="W158">
            <v>15794223374996.238</v>
          </cell>
          <cell r="X158">
            <v>16706887033625.775</v>
          </cell>
          <cell r="Y158">
            <v>18486883379658.746</v>
          </cell>
          <cell r="AE158">
            <v>5756896974350.3613</v>
          </cell>
          <cell r="AF158">
            <v>8873142615462.7422</v>
          </cell>
          <cell r="AG158">
            <v>10965689073277.992</v>
          </cell>
          <cell r="AH158">
            <v>12463802265427.211</v>
          </cell>
          <cell r="AI158">
            <v>14016295976523.754</v>
          </cell>
        </row>
        <row r="159">
          <cell r="C159">
            <v>7176179316556.6816</v>
          </cell>
          <cell r="D159">
            <v>6286669901145.4277</v>
          </cell>
          <cell r="E159">
            <v>5710769454395.9219</v>
          </cell>
          <cell r="F159">
            <v>5613539258881.2471</v>
          </cell>
          <cell r="G159">
            <v>6120796304396.1465</v>
          </cell>
          <cell r="U159">
            <v>13635078115492.236</v>
          </cell>
          <cell r="V159">
            <v>16218497126089.936</v>
          </cell>
          <cell r="W159">
            <v>20185267486893.859</v>
          </cell>
          <cell r="X159">
            <v>24181215471498.023</v>
          </cell>
          <cell r="Y159">
            <v>25746883368117.992</v>
          </cell>
          <cell r="AE159">
            <v>6458898798935.5547</v>
          </cell>
          <cell r="AF159">
            <v>9931827224944.5078</v>
          </cell>
          <cell r="AG159">
            <v>14474498032497.938</v>
          </cell>
          <cell r="AH159">
            <v>18567676212616.777</v>
          </cell>
          <cell r="AI159">
            <v>19626087063721.844</v>
          </cell>
        </row>
        <row r="160">
          <cell r="C160">
            <v>7735166859519.6045</v>
          </cell>
          <cell r="D160">
            <v>7227768925888.1787</v>
          </cell>
          <cell r="E160">
            <v>7053146322100.9854</v>
          </cell>
          <cell r="F160">
            <v>7024991408033.666</v>
          </cell>
          <cell r="G160">
            <v>7843368282162.7471</v>
          </cell>
          <cell r="U160">
            <v>14970880667707.654</v>
          </cell>
          <cell r="V160">
            <v>19986170038907.52</v>
          </cell>
          <cell r="W160">
            <v>27375862946950.457</v>
          </cell>
          <cell r="X160">
            <v>31905702627473.121</v>
          </cell>
          <cell r="Y160">
            <v>33329345550662.23</v>
          </cell>
          <cell r="AE160">
            <v>7235713808188.0498</v>
          </cell>
          <cell r="AF160">
            <v>12758401113019.34</v>
          </cell>
          <cell r="AG160">
            <v>20322716624849.473</v>
          </cell>
          <cell r="AH160">
            <v>24880711219439.453</v>
          </cell>
          <cell r="AI160">
            <v>25485977268499.484</v>
          </cell>
        </row>
        <row r="161">
          <cell r="C161">
            <v>8207593625636.042</v>
          </cell>
          <cell r="D161">
            <v>7919353445696.7568</v>
          </cell>
          <cell r="E161">
            <v>7795294553379.7578</v>
          </cell>
          <cell r="F161">
            <v>7821369597260.6084</v>
          </cell>
          <cell r="G161">
            <v>8803511668990.7656</v>
          </cell>
          <cell r="U161">
            <v>16311088026299.613</v>
          </cell>
          <cell r="V161">
            <v>22972128067380.336</v>
          </cell>
          <cell r="W161">
            <v>31380438925001.016</v>
          </cell>
          <cell r="X161">
            <v>36279289676550.414</v>
          </cell>
          <cell r="Y161">
            <v>37574808869151.898</v>
          </cell>
          <cell r="AE161">
            <v>8103494400663.5713</v>
          </cell>
          <cell r="AF161">
            <v>15052774621683.578</v>
          </cell>
          <cell r="AG161">
            <v>23585144371621.258</v>
          </cell>
          <cell r="AH161">
            <v>28457920079289.805</v>
          </cell>
          <cell r="AI161">
            <v>28771297200161.133</v>
          </cell>
        </row>
        <row r="162">
          <cell r="C162">
            <v>8640191869566.0791</v>
          </cell>
          <cell r="D162">
            <v>8361394409049.1289</v>
          </cell>
          <cell r="E162">
            <v>8259978805174.5088</v>
          </cell>
          <cell r="F162">
            <v>8319955678619.626</v>
          </cell>
          <cell r="G162">
            <v>9378624936261.1328</v>
          </cell>
          <cell r="U162">
            <v>17704994115943.27</v>
          </cell>
          <cell r="V162">
            <v>24902494623702.379</v>
          </cell>
          <cell r="W162">
            <v>33905590019059.742</v>
          </cell>
          <cell r="X162">
            <v>39035110529708.242</v>
          </cell>
          <cell r="Y162">
            <v>40140586667406.016</v>
          </cell>
          <cell r="AE162">
            <v>9064802246377.1914</v>
          </cell>
          <cell r="AF162">
            <v>16541100214653.25</v>
          </cell>
          <cell r="AG162">
            <v>25645611213885.234</v>
          </cell>
          <cell r="AH162">
            <v>30715154851088.617</v>
          </cell>
          <cell r="AI162">
            <v>30761961731144.883</v>
          </cell>
        </row>
        <row r="163">
          <cell r="C163">
            <v>9104373585473.7832</v>
          </cell>
          <cell r="D163">
            <v>8835702067536.8672</v>
          </cell>
          <cell r="E163">
            <v>8758566080250.9395</v>
          </cell>
          <cell r="F163">
            <v>8854883805983.582</v>
          </cell>
          <cell r="G163">
            <v>10022182087127.674</v>
          </cell>
          <cell r="U163">
            <v>19209074417827.164</v>
          </cell>
          <cell r="V163">
            <v>26971749463052.473</v>
          </cell>
          <cell r="W163">
            <v>36612319182190.125</v>
          </cell>
          <cell r="X163">
            <v>41989065474180.305</v>
          </cell>
          <cell r="Y163">
            <v>43003967474426.164</v>
          </cell>
          <cell r="AE163">
            <v>10104700832353.381</v>
          </cell>
          <cell r="AF163">
            <v>18136047395515.605</v>
          </cell>
          <cell r="AG163">
            <v>27853753101939.188</v>
          </cell>
          <cell r="AH163">
            <v>33134181668196.723</v>
          </cell>
          <cell r="AI163">
            <v>32981785387298.492</v>
          </cell>
        </row>
        <row r="164">
          <cell r="C164">
            <v>9602444613148.3281</v>
          </cell>
          <cell r="D164">
            <v>9344631692025.166</v>
          </cell>
          <cell r="E164">
            <v>9293529894034.3848</v>
          </cell>
          <cell r="F164">
            <v>9428802966090.6035</v>
          </cell>
          <cell r="G164">
            <v>10712539713004.186</v>
          </cell>
          <cell r="U164">
            <v>20821473254043.215</v>
          </cell>
          <cell r="V164">
            <v>29189887393045.539</v>
          </cell>
          <cell r="W164">
            <v>39513685215766.359</v>
          </cell>
          <cell r="X164">
            <v>45155401594382.992</v>
          </cell>
          <cell r="Y164">
            <v>46073228683115.484</v>
          </cell>
          <cell r="AE164">
            <v>11219028640894.887</v>
          </cell>
          <cell r="AF164">
            <v>19845255701020.375</v>
          </cell>
          <cell r="AG164">
            <v>30220155321731.977</v>
          </cell>
          <cell r="AH164">
            <v>35726598628292.391</v>
          </cell>
          <cell r="AI164">
            <v>35360688970111.297</v>
          </cell>
        </row>
        <row r="165">
          <cell r="C165">
            <v>10136879088547.682</v>
          </cell>
          <cell r="D165">
            <v>9890710425650.7539</v>
          </cell>
          <cell r="E165">
            <v>9867524178434.9551</v>
          </cell>
          <cell r="F165">
            <v>10044555186076.348</v>
          </cell>
          <cell r="G165">
            <v>11453101267647.939</v>
          </cell>
          <cell r="U165">
            <v>22549993224186.168</v>
          </cell>
          <cell r="V165">
            <v>31567622471939.004</v>
          </cell>
          <cell r="W165">
            <v>42623686085246.445</v>
          </cell>
          <cell r="X165">
            <v>48549390426004.867</v>
          </cell>
          <cell r="Y165">
            <v>49363175246099.016</v>
          </cell>
          <cell r="AE165">
            <v>12413114135638.486</v>
          </cell>
          <cell r="AF165">
            <v>21676912046288.25</v>
          </cell>
          <cell r="AG165">
            <v>32756161906811.492</v>
          </cell>
          <cell r="AH165">
            <v>38504835239928.516</v>
          </cell>
          <cell r="AI165">
            <v>37910073978451.078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4">
          <cell r="L4">
            <v>1040.835041035225</v>
          </cell>
          <cell r="M4">
            <v>1168.9514075544139</v>
          </cell>
          <cell r="N4">
            <v>1452.2170921747929</v>
          </cell>
          <cell r="O4">
            <v>2510.7420810943149</v>
          </cell>
          <cell r="P4">
            <v>3045.4163259050983</v>
          </cell>
        </row>
        <row r="5">
          <cell r="L5">
            <v>2156.374416894656</v>
          </cell>
          <cell r="M5">
            <v>2445.0611126582735</v>
          </cell>
          <cell r="N5">
            <v>3068.6811642890971</v>
          </cell>
          <cell r="O5">
            <v>5380.4252587438386</v>
          </cell>
          <cell r="P5">
            <v>6628.3383907346288</v>
          </cell>
        </row>
        <row r="6">
          <cell r="L6">
            <v>3351.9799163550924</v>
          </cell>
          <cell r="M6">
            <v>3828.7490927985655</v>
          </cell>
          <cell r="N6">
            <v>4848.3388704559402</v>
          </cell>
          <cell r="O6">
            <v>8568.4271495352878</v>
          </cell>
          <cell r="P6">
            <v>10613.278588731744</v>
          </cell>
        </row>
        <row r="7">
          <cell r="L7">
            <v>4633.3981623392356</v>
          </cell>
          <cell r="M7">
            <v>5317.4178485010689</v>
          </cell>
          <cell r="N7">
            <v>6773.2179808691108</v>
          </cell>
          <cell r="O7">
            <v>12026.203100390187</v>
          </cell>
          <cell r="P7">
            <v>15024.65547902332</v>
          </cell>
        </row>
        <row r="8">
          <cell r="L8">
            <v>6006.7882327948482</v>
          </cell>
          <cell r="M8">
            <v>6890.3194072293518</v>
          </cell>
          <cell r="N8">
            <v>8791.1622092020007</v>
          </cell>
          <cell r="O8">
            <v>15638.775498799143</v>
          </cell>
          <cell r="P8">
            <v>19574.371397395094</v>
          </cell>
        </row>
        <row r="9">
          <cell r="L9">
            <v>7478.7512640200202</v>
          </cell>
          <cell r="M9">
            <v>8590.8915374402568</v>
          </cell>
          <cell r="N9">
            <v>10971.054226523374</v>
          </cell>
          <cell r="O9">
            <v>19602.187931548884</v>
          </cell>
          <cell r="P9">
            <v>24730.552218563884</v>
          </cell>
        </row>
        <row r="10">
          <cell r="L10">
            <v>9056.3621787216434</v>
          </cell>
          <cell r="M10">
            <v>10443.397445751798</v>
          </cell>
          <cell r="N10">
            <v>13372.602223250004</v>
          </cell>
          <cell r="O10">
            <v>23847.860572220146</v>
          </cell>
          <cell r="P10">
            <v>29846.900469614717</v>
          </cell>
        </row>
        <row r="11">
          <cell r="L11">
            <v>10747.203691306449</v>
          </cell>
          <cell r="M11">
            <v>12335.241753294831</v>
          </cell>
          <cell r="N11">
            <v>15694.426400842287</v>
          </cell>
          <cell r="O11">
            <v>27889.162916099172</v>
          </cell>
          <cell r="P11">
            <v>34995.51148943085</v>
          </cell>
        </row>
        <row r="12">
          <cell r="L12">
            <v>12559.402753849572</v>
          </cell>
          <cell r="M12">
            <v>14410.136663622912</v>
          </cell>
          <cell r="N12">
            <v>18405.361766949645</v>
          </cell>
          <cell r="O12">
            <v>32952.200165292699</v>
          </cell>
          <cell r="P12">
            <v>41453.729804028262</v>
          </cell>
        </row>
        <row r="13">
          <cell r="L13">
            <v>14501.669617916437</v>
          </cell>
          <cell r="M13">
            <v>16712.90990833447</v>
          </cell>
          <cell r="N13">
            <v>21406.920453879597</v>
          </cell>
          <cell r="O13">
            <v>38510.450786271111</v>
          </cell>
          <cell r="P13">
            <v>48829.553574009988</v>
          </cell>
        </row>
        <row r="14">
          <cell r="L14">
            <v>15726.076164537446</v>
          </cell>
          <cell r="M14">
            <v>19167.892841191657</v>
          </cell>
          <cell r="N14">
            <v>24667.987800292423</v>
          </cell>
          <cell r="O14">
            <v>44364.522942034891</v>
          </cell>
          <cell r="P14">
            <v>56779.072060653169</v>
          </cell>
        </row>
        <row r="15">
          <cell r="L15">
            <v>17038.362608561554</v>
          </cell>
          <cell r="M15">
            <v>20825.048291306714</v>
          </cell>
          <cell r="N15">
            <v>28123.706794598067</v>
          </cell>
          <cell r="O15">
            <v>51022.978650687284</v>
          </cell>
          <cell r="P15">
            <v>65345.523235560933</v>
          </cell>
        </row>
        <row r="16">
          <cell r="L16">
            <v>18444.836394512706</v>
          </cell>
          <cell r="M16">
            <v>22522.535670001602</v>
          </cell>
          <cell r="N16">
            <v>31563.033799916746</v>
          </cell>
          <cell r="O16">
            <v>58217.556541480983</v>
          </cell>
          <cell r="P16">
            <v>74826.695848425647</v>
          </cell>
        </row>
        <row r="17">
          <cell r="L17">
            <v>19952.257674048102</v>
          </cell>
          <cell r="M17">
            <v>24227.181037351893</v>
          </cell>
          <cell r="N17">
            <v>33754.396140102763</v>
          </cell>
          <cell r="O17">
            <v>65190.377600126143</v>
          </cell>
          <cell r="P17">
            <v>83664.921462532249</v>
          </cell>
        </row>
        <row r="18">
          <cell r="L18">
            <v>21567.871798316643</v>
          </cell>
          <cell r="M18">
            <v>26100.525893686823</v>
          </cell>
          <cell r="N18">
            <v>36178.552658079228</v>
          </cell>
          <cell r="O18">
            <v>73118.515216453117</v>
          </cell>
          <cell r="P18">
            <v>94215.933727436743</v>
          </cell>
        </row>
        <row r="19">
          <cell r="L19">
            <v>23299.444142406479</v>
          </cell>
          <cell r="M19">
            <v>28126.140963708571</v>
          </cell>
          <cell r="N19">
            <v>38754.105595914298</v>
          </cell>
          <cell r="O19">
            <v>79658.045062188001</v>
          </cell>
          <cell r="P19">
            <v>106274.06990245648</v>
          </cell>
        </row>
        <row r="20">
          <cell r="L20">
            <v>25155.29742926373</v>
          </cell>
          <cell r="M20">
            <v>30214.386223092777</v>
          </cell>
          <cell r="N20">
            <v>41393.097983093241</v>
          </cell>
          <cell r="O20">
            <v>84395.104267291987</v>
          </cell>
          <cell r="P20">
            <v>116732.01363545773</v>
          </cell>
        </row>
        <row r="21">
          <cell r="L21">
            <v>27144.351732478088</v>
          </cell>
          <cell r="M21">
            <v>32567.635248777504</v>
          </cell>
          <cell r="N21">
            <v>44521.732522196733</v>
          </cell>
          <cell r="O21">
            <v>89977.143341197036</v>
          </cell>
          <cell r="P21">
            <v>129678.5182875696</v>
          </cell>
        </row>
        <row r="22">
          <cell r="L22">
            <v>29276.167350206852</v>
          </cell>
          <cell r="M22">
            <v>35074.898336608647</v>
          </cell>
          <cell r="N22">
            <v>47709.656421677602</v>
          </cell>
          <cell r="O22">
            <v>95580.499402156187</v>
          </cell>
          <cell r="P22">
            <v>143468.1581316232</v>
          </cell>
        </row>
        <row r="23">
          <cell r="L23">
            <v>31560.990756308958</v>
          </cell>
          <cell r="M23">
            <v>37677.85890001012</v>
          </cell>
          <cell r="N23">
            <v>50971.775536819776</v>
          </cell>
          <cell r="O23">
            <v>101504.66492547667</v>
          </cell>
          <cell r="P23">
            <v>157266.19395963172</v>
          </cell>
        </row>
        <row r="24">
          <cell r="L24">
            <v>34009.803849550975</v>
          </cell>
          <cell r="M24">
            <v>40482.974438534104</v>
          </cell>
          <cell r="N24">
            <v>54641.636173264473</v>
          </cell>
          <cell r="O24">
            <v>108100.412287677</v>
          </cell>
          <cell r="P24">
            <v>173667.51590922949</v>
          </cell>
        </row>
        <row r="25">
          <cell r="L25">
            <v>36634.376737599181</v>
          </cell>
          <cell r="M25">
            <v>43561.271213555854</v>
          </cell>
          <cell r="N25">
            <v>58641.554051869723</v>
          </cell>
          <cell r="O25">
            <v>115316.37774460955</v>
          </cell>
          <cell r="P25">
            <v>185363.73475842547</v>
          </cell>
        </row>
        <row r="26">
          <cell r="L26">
            <v>39447.324309501484</v>
          </cell>
          <cell r="M26">
            <v>46769.728312955136</v>
          </cell>
          <cell r="N26">
            <v>62697.901915471855</v>
          </cell>
          <cell r="O26">
            <v>122561.49803839554</v>
          </cell>
          <cell r="P26">
            <v>194255.8999611715</v>
          </cell>
        </row>
        <row r="27">
          <cell r="L27">
            <v>42462.166868572283</v>
          </cell>
          <cell r="M27">
            <v>50311.479744375174</v>
          </cell>
          <cell r="N27">
            <v>67313.780674291833</v>
          </cell>
          <cell r="O27">
            <v>130763.11545599645</v>
          </cell>
          <cell r="P27">
            <v>204715.41420967627</v>
          </cell>
        </row>
        <row r="28">
          <cell r="L28">
            <v>45693.395117109379</v>
          </cell>
          <cell r="M28">
            <v>54072.966570293283</v>
          </cell>
          <cell r="N28">
            <v>72125.668911170214</v>
          </cell>
          <cell r="O28">
            <v>139369.75079341503</v>
          </cell>
          <cell r="P28">
            <v>215425.57532037748</v>
          </cell>
        </row>
        <row r="29">
          <cell r="L29">
            <v>49156.539805289045</v>
          </cell>
          <cell r="M29">
            <v>58079.59664807489</v>
          </cell>
          <cell r="N29">
            <v>77252.463396304316</v>
          </cell>
          <cell r="O29">
            <v>148350.10032860559</v>
          </cell>
          <cell r="P29">
            <v>226939.46229293998</v>
          </cell>
        </row>
        <row r="30">
          <cell r="L30">
            <v>52868.246379003547</v>
          </cell>
          <cell r="M30">
            <v>62368.728153745236</v>
          </cell>
          <cell r="N30">
            <v>82720.102977940507</v>
          </cell>
          <cell r="O30">
            <v>158008.53114752041</v>
          </cell>
          <cell r="P30">
            <v>239429.10662795004</v>
          </cell>
        </row>
        <row r="31">
          <cell r="L31">
            <v>56846.354985432248</v>
          </cell>
          <cell r="M31">
            <v>66925.865677337453</v>
          </cell>
          <cell r="N31">
            <v>88432.92874273815</v>
          </cell>
          <cell r="O31">
            <v>168325.96524921531</v>
          </cell>
          <cell r="P31">
            <v>253395.86369261745</v>
          </cell>
        </row>
        <row r="32">
          <cell r="L32">
            <v>61109.986220889768</v>
          </cell>
          <cell r="M32">
            <v>71909.142689994362</v>
          </cell>
          <cell r="N32">
            <v>95016.451060014617</v>
          </cell>
          <cell r="O32">
            <v>180461.82121345436</v>
          </cell>
          <cell r="P32">
            <v>269111.83298230742</v>
          </cell>
        </row>
        <row r="33">
          <cell r="L33">
            <v>65679.633033093996</v>
          </cell>
          <cell r="M33">
            <v>77224.619202126982</v>
          </cell>
          <cell r="N33">
            <v>101868.20683164423</v>
          </cell>
          <cell r="O33">
            <v>192673.12621450244</v>
          </cell>
          <cell r="P33">
            <v>284936.53992411529</v>
          </cell>
        </row>
        <row r="34">
          <cell r="L34">
            <v>68946.414422100366</v>
          </cell>
          <cell r="M34">
            <v>82976.621326828375</v>
          </cell>
          <cell r="N34">
            <v>109247.3323915014</v>
          </cell>
          <cell r="O34">
            <v>205710.63853714615</v>
          </cell>
          <cell r="P34">
            <v>302074.36877897341</v>
          </cell>
        </row>
        <row r="35">
          <cell r="L35">
            <v>72447.664022744866</v>
          </cell>
          <cell r="M35">
            <v>88592.190927420321</v>
          </cell>
          <cell r="N35">
            <v>117010.28548958738</v>
          </cell>
          <cell r="O35">
            <v>219761.63126870093</v>
          </cell>
          <cell r="P35">
            <v>320093.55226307816</v>
          </cell>
        </row>
        <row r="36">
          <cell r="L36">
            <v>76200.210430431442</v>
          </cell>
          <cell r="M36">
            <v>93105.444599275739</v>
          </cell>
          <cell r="N36">
            <v>125127.57264337523</v>
          </cell>
          <cell r="O36">
            <v>234538.11192016784</v>
          </cell>
          <cell r="P36">
            <v>339163.99620031868</v>
          </cell>
        </row>
        <row r="37">
          <cell r="L37">
            <v>80222.090087125791</v>
          </cell>
          <cell r="M37">
            <v>98093.047869989445</v>
          </cell>
          <cell r="N37">
            <v>134277.1711699669</v>
          </cell>
          <cell r="O37">
            <v>251090.37437911981</v>
          </cell>
          <cell r="P37">
            <v>360241.1122185922</v>
          </cell>
        </row>
        <row r="38">
          <cell r="L38">
            <v>84532.633972685391</v>
          </cell>
          <cell r="M38">
            <v>103523.74514549437</v>
          </cell>
          <cell r="N38">
            <v>142372.47416216935</v>
          </cell>
          <cell r="O38">
            <v>268448.34019889223</v>
          </cell>
          <cell r="P38">
            <v>382381.44736431562</v>
          </cell>
        </row>
        <row r="39">
          <cell r="L39">
            <v>89152.560518326238</v>
          </cell>
          <cell r="M39">
            <v>109335.54990863096</v>
          </cell>
          <cell r="N39">
            <v>150359.62152258429</v>
          </cell>
          <cell r="O39">
            <v>286554.8936392396</v>
          </cell>
          <cell r="P39">
            <v>404401.79423212062</v>
          </cell>
        </row>
        <row r="40">
          <cell r="L40">
            <v>94104.075188811068</v>
          </cell>
          <cell r="M40">
            <v>115437.50342372782</v>
          </cell>
          <cell r="N40">
            <v>158902.39405592703</v>
          </cell>
          <cell r="O40">
            <v>305380.95462916966</v>
          </cell>
          <cell r="P40">
            <v>429602.48382192344</v>
          </cell>
        </row>
        <row r="41">
          <cell r="L41">
            <v>99410.977211995836</v>
          </cell>
          <cell r="M41">
            <v>121954.14984730988</v>
          </cell>
          <cell r="N41">
            <v>167791.16136745675</v>
          </cell>
          <cell r="O41">
            <v>325595.23906733689</v>
          </cell>
          <cell r="P41">
            <v>455738.67921687185</v>
          </cell>
        </row>
        <row r="42">
          <cell r="L42">
            <v>105098.77396872545</v>
          </cell>
          <cell r="M42">
            <v>128844.40872083814</v>
          </cell>
          <cell r="N42">
            <v>177293.07114321354</v>
          </cell>
          <cell r="O42">
            <v>345267.62017907808</v>
          </cell>
          <cell r="P42">
            <v>484619.14708949189</v>
          </cell>
        </row>
        <row r="43">
          <cell r="L43">
            <v>111194.66475055939</v>
          </cell>
          <cell r="M43">
            <v>136193.0538694</v>
          </cell>
          <cell r="N43">
            <v>187736.78519743646</v>
          </cell>
          <cell r="O43">
            <v>366453.62565543572</v>
          </cell>
          <cell r="P43">
            <v>516440.86062535236</v>
          </cell>
        </row>
        <row r="44">
          <cell r="L44">
            <v>117728.0680854571</v>
          </cell>
          <cell r="M44">
            <v>144286.94550351414</v>
          </cell>
          <cell r="N44">
            <v>199189.29368187545</v>
          </cell>
          <cell r="O44">
            <v>389367.92493179109</v>
          </cell>
          <cell r="P44">
            <v>551240.41832300276</v>
          </cell>
        </row>
        <row r="45">
          <cell r="L45">
            <v>124730.39639984665</v>
          </cell>
          <cell r="M45">
            <v>153038.26516565747</v>
          </cell>
          <cell r="N45">
            <v>211811.50273130697</v>
          </cell>
          <cell r="O45">
            <v>414607.76734107314</v>
          </cell>
          <cell r="P45">
            <v>588663.34367313969</v>
          </cell>
        </row>
        <row r="46">
          <cell r="L46">
            <v>132235.30606317584</v>
          </cell>
          <cell r="M46">
            <v>162094.50350397083</v>
          </cell>
          <cell r="N46">
            <v>224924.38373098284</v>
          </cell>
          <cell r="O46">
            <v>440056.78055408294</v>
          </cell>
          <cell r="P46">
            <v>626380.61364181258</v>
          </cell>
        </row>
        <row r="47">
          <cell r="L47">
            <v>140278.86907906426</v>
          </cell>
          <cell r="M47">
            <v>171771.55840970713</v>
          </cell>
          <cell r="N47">
            <v>238274.6932228136</v>
          </cell>
          <cell r="O47">
            <v>467305.28448905109</v>
          </cell>
          <cell r="P47">
            <v>666359.52900459396</v>
          </cell>
        </row>
        <row r="48">
          <cell r="L48">
            <v>148899.74646373183</v>
          </cell>
          <cell r="M48">
            <v>182160.11020518572</v>
          </cell>
          <cell r="N48">
            <v>252129.42597476879</v>
          </cell>
          <cell r="O48">
            <v>496638.23900656134</v>
          </cell>
          <cell r="P48">
            <v>709324.66893442092</v>
          </cell>
        </row>
        <row r="49">
          <cell r="L49">
            <v>158139.3740683978</v>
          </cell>
          <cell r="M49">
            <v>193204.54620878515</v>
          </cell>
          <cell r="N49">
            <v>266878.49825077143</v>
          </cell>
          <cell r="O49">
            <v>527718.99474196602</v>
          </cell>
          <cell r="P49">
            <v>753272.6078759908</v>
          </cell>
        </row>
        <row r="50">
          <cell r="L50">
            <v>168042.16173879663</v>
          </cell>
          <cell r="M50">
            <v>205055.5776799398</v>
          </cell>
          <cell r="N50">
            <v>282731.54881384032</v>
          </cell>
          <cell r="O50">
            <v>560893.19390363805</v>
          </cell>
          <cell r="P50">
            <v>796206.61137623014</v>
          </cell>
        </row>
        <row r="51">
          <cell r="L51">
            <v>178655.70676906168</v>
          </cell>
          <cell r="M51">
            <v>217605.37966176262</v>
          </cell>
          <cell r="N51">
            <v>299776.2635994812</v>
          </cell>
          <cell r="O51">
            <v>593950.98405621317</v>
          </cell>
          <cell r="P51">
            <v>841310.2743151118</v>
          </cell>
        </row>
        <row r="52">
          <cell r="L52">
            <v>190031.02267593372</v>
          </cell>
          <cell r="M52">
            <v>231243.13855378734</v>
          </cell>
          <cell r="N52">
            <v>317553.92435627885</v>
          </cell>
          <cell r="O52">
            <v>626750.12164847367</v>
          </cell>
          <cell r="P52">
            <v>892414.11980283039</v>
          </cell>
        </row>
        <row r="53">
          <cell r="L53">
            <v>202460.77150011496</v>
          </cell>
          <cell r="M53">
            <v>245882.27466174675</v>
          </cell>
          <cell r="N53">
            <v>336559.39382662793</v>
          </cell>
          <cell r="O53">
            <v>663473.9316090222</v>
          </cell>
          <cell r="P53">
            <v>948227.08385455236</v>
          </cell>
        </row>
        <row r="54">
          <cell r="L54">
            <v>216074.17524910433</v>
          </cell>
          <cell r="M54">
            <v>260711.40774225458</v>
          </cell>
          <cell r="N54">
            <v>356749.68966652756</v>
          </cell>
          <cell r="O54">
            <v>702903.98769564752</v>
          </cell>
          <cell r="P54">
            <v>1005477.6594224552</v>
          </cell>
        </row>
        <row r="55">
          <cell r="L55">
            <v>230664.66012206342</v>
          </cell>
          <cell r="M55">
            <v>277972.32144470641</v>
          </cell>
          <cell r="N55">
            <v>380062.26944797102</v>
          </cell>
          <cell r="O55">
            <v>747009.57279136905</v>
          </cell>
          <cell r="P55">
            <v>1068551.1820132434</v>
          </cell>
        </row>
        <row r="56">
          <cell r="L56">
            <v>246302.35461443799</v>
          </cell>
          <cell r="M56">
            <v>297217.18069448252</v>
          </cell>
          <cell r="N56">
            <v>405306.9067153121</v>
          </cell>
          <cell r="O56">
            <v>792622.34259208362</v>
          </cell>
          <cell r="P56">
            <v>1135459.396298388</v>
          </cell>
        </row>
        <row r="57">
          <cell r="L57">
            <v>263062.42058661516</v>
          </cell>
          <cell r="M57">
            <v>317876.59517674573</v>
          </cell>
          <cell r="N57">
            <v>430546.85723958787</v>
          </cell>
          <cell r="O57">
            <v>840000.76122888306</v>
          </cell>
          <cell r="P57">
            <v>1202786.3389670113</v>
          </cell>
        </row>
        <row r="58">
          <cell r="L58">
            <v>281025.41452595219</v>
          </cell>
          <cell r="M58">
            <v>339074.62393771962</v>
          </cell>
          <cell r="N58">
            <v>458379.31501573889</v>
          </cell>
          <cell r="O58">
            <v>889920.63455856242</v>
          </cell>
          <cell r="P58">
            <v>1275311.0814513923</v>
          </cell>
        </row>
        <row r="59">
          <cell r="L59">
            <v>300277.67473783367</v>
          </cell>
          <cell r="M59">
            <v>361563.95766727335</v>
          </cell>
          <cell r="N59">
            <v>488642.52439504786</v>
          </cell>
          <cell r="O59">
            <v>943383.18795575271</v>
          </cell>
          <cell r="P59">
            <v>1353079.0087540871</v>
          </cell>
        </row>
        <row r="60">
          <cell r="L60">
            <v>320911.7363267719</v>
          </cell>
          <cell r="M60">
            <v>386451.12367402425</v>
          </cell>
          <cell r="N60">
            <v>521344.67212707683</v>
          </cell>
          <cell r="O60">
            <v>1000986.8548422724</v>
          </cell>
          <cell r="P60">
            <v>1430244.5659359123</v>
          </cell>
        </row>
        <row r="61">
          <cell r="L61">
            <v>343026.77596213506</v>
          </cell>
          <cell r="M61">
            <v>412278.30425887648</v>
          </cell>
          <cell r="N61">
            <v>556337.6110908431</v>
          </cell>
          <cell r="O61">
            <v>1063628.1509771484</v>
          </cell>
          <cell r="P61">
            <v>1510607.0006319527</v>
          </cell>
        </row>
        <row r="62">
          <cell r="L62">
            <v>366729.08856625599</v>
          </cell>
          <cell r="M62">
            <v>440817.20879392774</v>
          </cell>
          <cell r="N62">
            <v>594256.38754723337</v>
          </cell>
          <cell r="O62">
            <v>1131681.7094343728</v>
          </cell>
          <cell r="P62">
            <v>1599206.7074256099</v>
          </cell>
        </row>
        <row r="63">
          <cell r="L63">
            <v>392132.59821609186</v>
          </cell>
          <cell r="M63">
            <v>470740.0183985075</v>
          </cell>
          <cell r="N63">
            <v>634527.87920609</v>
          </cell>
          <cell r="O63">
            <v>1208423.1067335366</v>
          </cell>
          <cell r="P63">
            <v>1697504.3112048719</v>
          </cell>
        </row>
        <row r="64">
          <cell r="L64">
            <v>419359.40571407066</v>
          </cell>
          <cell r="M64">
            <v>503599.80796600773</v>
          </cell>
          <cell r="N64">
            <v>678452.78549535968</v>
          </cell>
          <cell r="O64">
            <v>1292710.6435888133</v>
          </cell>
          <cell r="P64">
            <v>1799904.8510779799</v>
          </cell>
        </row>
        <row r="65">
          <cell r="L65">
            <v>448540.37545998866</v>
          </cell>
          <cell r="M65">
            <v>538418.19758123276</v>
          </cell>
          <cell r="N65">
            <v>726018.8056215453</v>
          </cell>
          <cell r="O65">
            <v>1383875.3232681956</v>
          </cell>
          <cell r="P65">
            <v>1917457.7014228147</v>
          </cell>
        </row>
        <row r="66">
          <cell r="L66">
            <v>479815.76444473793</v>
          </cell>
          <cell r="M66">
            <v>576360.36893851194</v>
          </cell>
          <cell r="N66">
            <v>776825.22432911792</v>
          </cell>
          <cell r="O66">
            <v>1482526.7148168012</v>
          </cell>
          <cell r="P66">
            <v>2039177.9895627568</v>
          </cell>
        </row>
        <row r="67">
          <cell r="L67">
            <v>513335.89638909214</v>
          </cell>
          <cell r="M67">
            <v>616784.94431292021</v>
          </cell>
          <cell r="N67">
            <v>831863.44967939856</v>
          </cell>
          <cell r="O67">
            <v>1588458.1835041833</v>
          </cell>
          <cell r="P67">
            <v>2165988.598774923</v>
          </cell>
        </row>
        <row r="68">
          <cell r="L68">
            <v>549261.88426776615</v>
          </cell>
          <cell r="M68">
            <v>659832.42779441259</v>
          </cell>
          <cell r="N68">
            <v>891641.57990938867</v>
          </cell>
          <cell r="O68">
            <v>1700335.3216925128</v>
          </cell>
          <cell r="P68">
            <v>2293557.4453785233</v>
          </cell>
        </row>
        <row r="69">
          <cell r="L69">
            <v>578193.08271131397</v>
          </cell>
          <cell r="M69">
            <v>706593.98857294978</v>
          </cell>
          <cell r="N69">
            <v>954799.36016067839</v>
          </cell>
          <cell r="O69">
            <v>1812975.3181423638</v>
          </cell>
          <cell r="P69">
            <v>2437037.9805586222</v>
          </cell>
        </row>
        <row r="70">
          <cell r="L70">
            <v>608363.08854293334</v>
          </cell>
          <cell r="M70">
            <v>756752.16475218767</v>
          </cell>
          <cell r="N70">
            <v>1019495.24370119</v>
          </cell>
          <cell r="O70">
            <v>1933617.4907177035</v>
          </cell>
          <cell r="P70">
            <v>2587472.4826778704</v>
          </cell>
        </row>
        <row r="71">
          <cell r="L71">
            <v>640698.50015782821</v>
          </cell>
          <cell r="M71">
            <v>798698.62074769591</v>
          </cell>
          <cell r="N71">
            <v>1086291.8347718469</v>
          </cell>
          <cell r="O71">
            <v>2065550.2044772638</v>
          </cell>
          <cell r="P71">
            <v>2755779.4978033509</v>
          </cell>
        </row>
        <row r="72">
          <cell r="L72">
            <v>675354.73622686043</v>
          </cell>
          <cell r="M72">
            <v>841761.11998430872</v>
          </cell>
          <cell r="N72">
            <v>1162321.1518883156</v>
          </cell>
          <cell r="O72">
            <v>2209174.7280686991</v>
          </cell>
          <cell r="P72">
            <v>2936634.1956873862</v>
          </cell>
        </row>
        <row r="73">
          <cell r="L73">
            <v>712498.37035704229</v>
          </cell>
          <cell r="M73">
            <v>889838.56388145185</v>
          </cell>
          <cell r="N73">
            <v>1245802.878406188</v>
          </cell>
          <cell r="O73">
            <v>2362132.4260761165</v>
          </cell>
          <cell r="P73">
            <v>3137135.8133194884</v>
          </cell>
        </row>
        <row r="74">
          <cell r="L74">
            <v>752307.9317199284</v>
          </cell>
          <cell r="M74">
            <v>941823.5683095007</v>
          </cell>
          <cell r="N74">
            <v>1320572.1026993566</v>
          </cell>
          <cell r="O74">
            <v>2525432.6795643969</v>
          </cell>
          <cell r="P74">
            <v>3352995.1112255133</v>
          </cell>
        </row>
        <row r="75">
          <cell r="L75">
            <v>794974.76314387983</v>
          </cell>
          <cell r="M75">
            <v>996931.87662420981</v>
          </cell>
          <cell r="N75">
            <v>1398313.4510641582</v>
          </cell>
          <cell r="O75">
            <v>2698719.929154498</v>
          </cell>
          <cell r="P75">
            <v>3580665.6498166975</v>
          </cell>
        </row>
        <row r="76">
          <cell r="L76">
            <v>840703.94079458085</v>
          </cell>
          <cell r="M76">
            <v>1053882.5115484819</v>
          </cell>
          <cell r="N76">
            <v>1482149.0736799857</v>
          </cell>
          <cell r="O76">
            <v>2885748.0618788595</v>
          </cell>
          <cell r="P76">
            <v>3825614.4364031143</v>
          </cell>
        </row>
        <row r="77">
          <cell r="L77">
            <v>889715.25986420969</v>
          </cell>
          <cell r="M77">
            <v>1116722.1855716594</v>
          </cell>
          <cell r="N77">
            <v>1575901.0191297359</v>
          </cell>
          <cell r="O77">
            <v>3091811.3126886017</v>
          </cell>
          <cell r="P77">
            <v>4096141.9052127399</v>
          </cell>
        </row>
        <row r="78">
          <cell r="L78">
            <v>942235.66947868746</v>
          </cell>
          <cell r="M78">
            <v>1184984.7647291548</v>
          </cell>
          <cell r="N78">
            <v>1676078.8728202805</v>
          </cell>
          <cell r="O78">
            <v>3306015.4898633086</v>
          </cell>
          <cell r="P78">
            <v>4390824.7863592003</v>
          </cell>
        </row>
        <row r="79">
          <cell r="L79">
            <v>992741.84678232833</v>
          </cell>
          <cell r="M79">
            <v>1257326.3321354499</v>
          </cell>
          <cell r="N79">
            <v>1781532.1387018331</v>
          </cell>
          <cell r="O79">
            <v>3529278.8456289577</v>
          </cell>
          <cell r="P79">
            <v>4712060.6303917561</v>
          </cell>
        </row>
        <row r="80">
          <cell r="L80">
            <v>1046873.0273105236</v>
          </cell>
          <cell r="M80">
            <v>1335651.5004051947</v>
          </cell>
          <cell r="N80">
            <v>1897133.2691686742</v>
          </cell>
          <cell r="O80">
            <v>3770826.6917057256</v>
          </cell>
          <cell r="P80">
            <v>5030178.8351574987</v>
          </cell>
        </row>
        <row r="81">
          <cell r="L81">
            <v>1104889.3900964044</v>
          </cell>
          <cell r="M81">
            <v>1413024.9283677761</v>
          </cell>
          <cell r="N81">
            <v>2020657.7774502486</v>
          </cell>
          <cell r="O81">
            <v>4024296.7740012375</v>
          </cell>
          <cell r="P81">
            <v>5368443.6286368724</v>
          </cell>
        </row>
        <row r="82">
          <cell r="L82">
            <v>1167069.7881231895</v>
          </cell>
          <cell r="M82">
            <v>1496624.7608805022</v>
          </cell>
          <cell r="N82">
            <v>2153433.9115108359</v>
          </cell>
          <cell r="O82">
            <v>4284286.1605098322</v>
          </cell>
          <cell r="P82">
            <v>5735794.5310839284</v>
          </cell>
        </row>
        <row r="83">
          <cell r="L83">
            <v>1233713.0886182424</v>
          </cell>
          <cell r="M83">
            <v>1586003.1105398117</v>
          </cell>
          <cell r="N83">
            <v>2287161.4573655371</v>
          </cell>
          <cell r="O83">
            <v>4561256.7228277707</v>
          </cell>
          <cell r="P83">
            <v>6118326.4134436566</v>
          </cell>
        </row>
        <row r="84">
          <cell r="L84">
            <v>1305139.6095446711</v>
          </cell>
          <cell r="M84">
            <v>1676977.6403088388</v>
          </cell>
          <cell r="N84">
            <v>2422925.2904371223</v>
          </cell>
          <cell r="O84">
            <v>4861612.8844266506</v>
          </cell>
          <cell r="P84">
            <v>6535784.2350349613</v>
          </cell>
        </row>
        <row r="85">
          <cell r="L85">
            <v>1381692.6591949102</v>
          </cell>
          <cell r="M85">
            <v>1776992.0580115258</v>
          </cell>
          <cell r="N85">
            <v>2573716.085641453</v>
          </cell>
          <cell r="O85">
            <v>5190486.0776572078</v>
          </cell>
          <cell r="P85">
            <v>6977413.1895274259</v>
          </cell>
        </row>
        <row r="86">
          <cell r="L86">
            <v>1463740.1862862627</v>
          </cell>
          <cell r="M86">
            <v>1886516.5674247157</v>
          </cell>
          <cell r="N86">
            <v>2740721.148298745</v>
          </cell>
          <cell r="O86">
            <v>5542755.7713506911</v>
          </cell>
          <cell r="P86">
            <v>7467419.7834469248</v>
          </cell>
        </row>
        <row r="87">
          <cell r="L87">
            <v>1551676.5484894984</v>
          </cell>
          <cell r="M87">
            <v>2003969.6105418983</v>
          </cell>
          <cell r="N87">
            <v>2913662.2726687724</v>
          </cell>
          <cell r="O87">
            <v>5915678.7140376261</v>
          </cell>
          <cell r="P87">
            <v>7984760.1342338435</v>
          </cell>
        </row>
        <row r="88">
          <cell r="L88">
            <v>1645558.0719424491</v>
          </cell>
          <cell r="M88">
            <v>2125839.3510513669</v>
          </cell>
          <cell r="N88">
            <v>3096842.2973454497</v>
          </cell>
          <cell r="O88">
            <v>6324496.3497360647</v>
          </cell>
          <cell r="P88">
            <v>8534526.4962922726</v>
          </cell>
        </row>
        <row r="89">
          <cell r="L89">
            <v>1737405.689927869</v>
          </cell>
          <cell r="M89">
            <v>2258543.9832172454</v>
          </cell>
          <cell r="N89">
            <v>3298362.0284952996</v>
          </cell>
          <cell r="O89">
            <v>6768470.4817987308</v>
          </cell>
          <cell r="P89">
            <v>9046497.4465792254</v>
          </cell>
        </row>
        <row r="90">
          <cell r="L90">
            <v>1835845.5294818119</v>
          </cell>
          <cell r="M90">
            <v>2403177.7931655813</v>
          </cell>
          <cell r="N90">
            <v>3520310.9434052585</v>
          </cell>
          <cell r="O90">
            <v>7192076.8263135627</v>
          </cell>
          <cell r="P90">
            <v>9589640.8807141967</v>
          </cell>
        </row>
        <row r="91">
          <cell r="L91">
            <v>1941350.7371720613</v>
          </cell>
          <cell r="M91">
            <v>2551336.9765501898</v>
          </cell>
          <cell r="N91">
            <v>3745927.4891351936</v>
          </cell>
          <cell r="O91">
            <v>7623394.8001260012</v>
          </cell>
          <cell r="P91">
            <v>10183549.4144447</v>
          </cell>
        </row>
        <row r="92">
          <cell r="L92">
            <v>2054428.4189338493</v>
          </cell>
          <cell r="M92">
            <v>2701739.1780132162</v>
          </cell>
          <cell r="N92">
            <v>3962659.5637297323</v>
          </cell>
          <cell r="O92">
            <v>8082875.40785194</v>
          </cell>
          <cell r="P92">
            <v>10776901.948630381</v>
          </cell>
        </row>
        <row r="93">
          <cell r="L93">
            <v>2175622.077451258</v>
          </cell>
          <cell r="M93">
            <v>2848441.8314843313</v>
          </cell>
          <cell r="N93">
            <v>4199464.0832919627</v>
          </cell>
          <cell r="O93">
            <v>8551110.6743539069</v>
          </cell>
          <cell r="P93">
            <v>11404611.365267668</v>
          </cell>
        </row>
        <row r="94">
          <cell r="L94">
            <v>2305514.2244779021</v>
          </cell>
          <cell r="M94">
            <v>3023881.3246313361</v>
          </cell>
          <cell r="N94">
            <v>4459162.4194747172</v>
          </cell>
          <cell r="O94">
            <v>9120586.7557984497</v>
          </cell>
          <cell r="P94">
            <v>12156023.231311075</v>
          </cell>
        </row>
        <row r="95">
          <cell r="L95">
            <v>2444729.1806529197</v>
          </cell>
          <cell r="M95">
            <v>3205701.1598805604</v>
          </cell>
          <cell r="N95">
            <v>4741387.7960959515</v>
          </cell>
          <cell r="O95">
            <v>9729541.8240975179</v>
          </cell>
          <cell r="P95">
            <v>12934776.450145163</v>
          </cell>
        </row>
        <row r="96">
          <cell r="L96">
            <v>2593936.0762694604</v>
          </cell>
          <cell r="M96">
            <v>3406431.2041925588</v>
          </cell>
          <cell r="N96">
            <v>5043466.9514683168</v>
          </cell>
          <cell r="O96">
            <v>10370600.950609375</v>
          </cell>
          <cell r="P96">
            <v>13789484.105817867</v>
          </cell>
        </row>
        <row r="97">
          <cell r="L97">
            <v>2753852.0674186898</v>
          </cell>
          <cell r="M97">
            <v>3617786.9077585824</v>
          </cell>
          <cell r="N97">
            <v>5364655.4935809486</v>
          </cell>
          <cell r="O97">
            <v>11051007.937921636</v>
          </cell>
          <cell r="P97">
            <v>14691146.630442608</v>
          </cell>
        </row>
        <row r="98">
          <cell r="L98">
            <v>2924415.7793038557</v>
          </cell>
          <cell r="M98">
            <v>3850859.4388750191</v>
          </cell>
          <cell r="N98">
            <v>5702162.1321197227</v>
          </cell>
          <cell r="O98">
            <v>11779764.946705725</v>
          </cell>
          <cell r="P98">
            <v>15736860.379284777</v>
          </cell>
        </row>
        <row r="99">
          <cell r="L99">
            <v>3094094.087705594</v>
          </cell>
          <cell r="M99">
            <v>4089613.7788059195</v>
          </cell>
          <cell r="N99">
            <v>6061972.1504050065</v>
          </cell>
          <cell r="O99">
            <v>12583123.27707411</v>
          </cell>
          <cell r="P99">
            <v>16846751.769342024</v>
          </cell>
        </row>
        <row r="100">
          <cell r="L100">
            <v>3275950.7958186241</v>
          </cell>
          <cell r="M100">
            <v>4349508.970539622</v>
          </cell>
          <cell r="N100">
            <v>6478000.5649687108</v>
          </cell>
          <cell r="O100">
            <v>13504406.381960735</v>
          </cell>
          <cell r="P100">
            <v>18149026.922231399</v>
          </cell>
        </row>
        <row r="101">
          <cell r="L101">
            <v>3470859.9895583829</v>
          </cell>
          <cell r="M101">
            <v>4630628.0284939269</v>
          </cell>
          <cell r="N101">
            <v>6939906.1318451175</v>
          </cell>
          <cell r="O101">
            <v>14521154.317098457</v>
          </cell>
          <cell r="P101">
            <v>19532609.287606977</v>
          </cell>
        </row>
        <row r="102">
          <cell r="L102">
            <v>3679758.4910129989</v>
          </cell>
          <cell r="M102">
            <v>4926679.7539730156</v>
          </cell>
          <cell r="N102">
            <v>7422931.6089484841</v>
          </cell>
          <cell r="O102">
            <v>15580706.157435667</v>
          </cell>
          <cell r="P102">
            <v>20864889.123261806</v>
          </cell>
        </row>
        <row r="103">
          <cell r="L103">
            <v>3903650.3612356558</v>
          </cell>
          <cell r="M103">
            <v>5237009.3448348707</v>
          </cell>
          <cell r="N103">
            <v>7931039.5859523583</v>
          </cell>
          <cell r="O103">
            <v>16619830.654701956</v>
          </cell>
          <cell r="P103">
            <v>22225262.886818055</v>
          </cell>
        </row>
        <row r="104">
          <cell r="L104">
            <v>4143611.7262179158</v>
          </cell>
          <cell r="M104">
            <v>5573158.002972086</v>
          </cell>
          <cell r="N104">
            <v>8443453.8395632785</v>
          </cell>
          <cell r="O104">
            <v>17688858.289318532</v>
          </cell>
          <cell r="P104">
            <v>23701751.606441565</v>
          </cell>
        </row>
        <row r="105">
          <cell r="L105">
            <v>4400795.949239891</v>
          </cell>
          <cell r="M105">
            <v>5916418.6852669548</v>
          </cell>
          <cell r="N105">
            <v>8955778.0341024622</v>
          </cell>
          <cell r="O105">
            <v>18828374.381195396</v>
          </cell>
          <cell r="P105">
            <v>25296583.581661798</v>
          </cell>
        </row>
        <row r="106">
          <cell r="L106">
            <v>4676439.174457863</v>
          </cell>
          <cell r="M106">
            <v>6280769.3738048393</v>
          </cell>
          <cell r="N106">
            <v>9522328.9439811669</v>
          </cell>
          <cell r="O106">
            <v>20126728.43345426</v>
          </cell>
          <cell r="P106">
            <v>27060383.174256839</v>
          </cell>
        </row>
        <row r="107">
          <cell r="L107">
            <v>4971866.2683743965</v>
          </cell>
          <cell r="M107">
            <v>6688630.3175444501</v>
          </cell>
          <cell r="N107">
            <v>10177418.247611826</v>
          </cell>
          <cell r="O107">
            <v>21585506.202110097</v>
          </cell>
          <cell r="P107">
            <v>29013239.344368137</v>
          </cell>
        </row>
        <row r="108">
          <cell r="L108">
            <v>5287142.595091057</v>
          </cell>
          <cell r="M108">
            <v>7131970.0587444119</v>
          </cell>
          <cell r="N108">
            <v>10872117.294617573</v>
          </cell>
          <cell r="O108">
            <v>23120605.596151121</v>
          </cell>
          <cell r="P108">
            <v>31050396.275423549</v>
          </cell>
        </row>
        <row r="109">
          <cell r="L109">
            <v>5606820.490469682</v>
          </cell>
          <cell r="M109">
            <v>7604407.5095479935</v>
          </cell>
          <cell r="N109">
            <v>11604917.14280984</v>
          </cell>
          <cell r="O109">
            <v>24712319.533483163</v>
          </cell>
          <cell r="P109">
            <v>33111734.537100207</v>
          </cell>
        </row>
        <row r="110">
          <cell r="L110">
            <v>5949442.7752959486</v>
          </cell>
          <cell r="M110">
            <v>8102342.2474621274</v>
          </cell>
          <cell r="N110">
            <v>12393835.147102714</v>
          </cell>
          <cell r="O110">
            <v>26331518.106822722</v>
          </cell>
          <cell r="P110">
            <v>35286092.833120786</v>
          </cell>
        </row>
        <row r="111">
          <cell r="L111">
            <v>6316656.2478462998</v>
          </cell>
          <cell r="M111">
            <v>8622684.6952408925</v>
          </cell>
          <cell r="N111">
            <v>13177641.50473636</v>
          </cell>
          <cell r="O111">
            <v>28070981.554587901</v>
          </cell>
          <cell r="P111">
            <v>37717385.674777366</v>
          </cell>
        </row>
        <row r="112">
          <cell r="L112">
            <v>6710225.9028115589</v>
          </cell>
          <cell r="M112">
            <v>9148596.7668882236</v>
          </cell>
          <cell r="N112">
            <v>14033212.904790752</v>
          </cell>
          <cell r="O112">
            <v>29952388.502311274</v>
          </cell>
          <cell r="P112">
            <v>40349203.087457478</v>
          </cell>
        </row>
        <row r="113">
          <cell r="L113">
            <v>7132043.4146628883</v>
          </cell>
          <cell r="M113">
            <v>9739330.1893099211</v>
          </cell>
          <cell r="N113">
            <v>15014383.306518577</v>
          </cell>
          <cell r="O113">
            <v>32129809.575409979</v>
          </cell>
          <cell r="P113">
            <v>43296594.349445909</v>
          </cell>
        </row>
        <row r="114">
          <cell r="L114">
            <v>7584136.2298982274</v>
          </cell>
          <cell r="M114">
            <v>10385792.914284958</v>
          </cell>
          <cell r="N114">
            <v>16058278.641152065</v>
          </cell>
          <cell r="O114">
            <v>34483227.38008634</v>
          </cell>
          <cell r="P114">
            <v>46531517.273902252</v>
          </cell>
        </row>
        <row r="115">
          <cell r="L115">
            <v>8068677.311870791</v>
          </cell>
          <cell r="M115">
            <v>11072468.383451544</v>
          </cell>
          <cell r="N115">
            <v>17149810.063459232</v>
          </cell>
          <cell r="O115">
            <v>36946723.548383601</v>
          </cell>
          <cell r="P115">
            <v>49678009.1177627</v>
          </cell>
        </row>
        <row r="116">
          <cell r="L116">
            <v>8587995.585037617</v>
          </cell>
          <cell r="M116">
            <v>11806389.860534446</v>
          </cell>
          <cell r="N116">
            <v>18325582.508544412</v>
          </cell>
          <cell r="O116">
            <v>39464001.96036721</v>
          </cell>
          <cell r="P116">
            <v>53019874.50672397</v>
          </cell>
        </row>
        <row r="117">
          <cell r="L117">
            <v>9144587.1288279872</v>
          </cell>
          <cell r="M117">
            <v>12590618.587584667</v>
          </cell>
          <cell r="N117">
            <v>19524749.479385361</v>
          </cell>
          <cell r="O117">
            <v>42080201.852823667</v>
          </cell>
          <cell r="P117">
            <v>56588778.122578196</v>
          </cell>
        </row>
        <row r="118">
          <cell r="L118">
            <v>9738971.0387969632</v>
          </cell>
          <cell r="M118">
            <v>13393215.900042122</v>
          </cell>
          <cell r="N118">
            <v>20763350.619827822</v>
          </cell>
          <cell r="O118">
            <v>44827332.863771528</v>
          </cell>
          <cell r="P118">
            <v>60339192.218955062</v>
          </cell>
        </row>
        <row r="119">
          <cell r="L119">
            <v>10349049.764023628</v>
          </cell>
          <cell r="M119">
            <v>14272888.305495575</v>
          </cell>
          <cell r="N119">
            <v>22155916.972318336</v>
          </cell>
          <cell r="O119">
            <v>48000821.939325437</v>
          </cell>
          <cell r="P119">
            <v>64604279.535831437</v>
          </cell>
        </row>
        <row r="120">
          <cell r="L120">
            <v>11002915.951779539</v>
          </cell>
          <cell r="M120">
            <v>15234777.531176174</v>
          </cell>
          <cell r="N120">
            <v>23696642.935575712</v>
          </cell>
          <cell r="O120">
            <v>51384953.577316478</v>
          </cell>
          <cell r="P120">
            <v>69279630.502757639</v>
          </cell>
        </row>
        <row r="121">
          <cell r="L121">
            <v>11703712.379866134</v>
          </cell>
          <cell r="M121">
            <v>16242644.206902737</v>
          </cell>
          <cell r="N121">
            <v>25335337.988974229</v>
          </cell>
          <cell r="O121">
            <v>55090923.652445495</v>
          </cell>
          <cell r="P121">
            <v>74214311.418471232</v>
          </cell>
        </row>
        <row r="122">
          <cell r="L122">
            <v>12454807.394129533</v>
          </cell>
          <cell r="M122">
            <v>17321760.706106771</v>
          </cell>
          <cell r="N122">
            <v>27123048.88173325</v>
          </cell>
          <cell r="O122">
            <v>58998871.31937407</v>
          </cell>
          <cell r="P122">
            <v>79235998.496226966</v>
          </cell>
        </row>
        <row r="123">
          <cell r="L123">
            <v>13259811.098260373</v>
          </cell>
          <cell r="M123">
            <v>18479137.137995131</v>
          </cell>
          <cell r="N123">
            <v>29001056.440831129</v>
          </cell>
          <cell r="O123">
            <v>62884764.049579173</v>
          </cell>
          <cell r="P123">
            <v>84536815.829425484</v>
          </cell>
        </row>
        <row r="124">
          <cell r="L124">
            <v>14122592.705591226</v>
          </cell>
          <cell r="M124">
            <v>19683826.532139763</v>
          </cell>
          <cell r="N124">
            <v>30856562.752762023</v>
          </cell>
          <cell r="O124">
            <v>67030390.757503167</v>
          </cell>
          <cell r="P124">
            <v>90435571.876954556</v>
          </cell>
        </row>
        <row r="125">
          <cell r="L125">
            <v>15047299.13629283</v>
          </cell>
          <cell r="M125">
            <v>20950190.263734274</v>
          </cell>
          <cell r="N125">
            <v>32875151.059766777</v>
          </cell>
          <cell r="O125">
            <v>71657461.993985146</v>
          </cell>
          <cell r="P125">
            <v>96750300.922906265</v>
          </cell>
        </row>
        <row r="126">
          <cell r="L126">
            <v>16038374.949355489</v>
          </cell>
          <cell r="M126">
            <v>22355931.115644921</v>
          </cell>
          <cell r="N126">
            <v>35201165.934915461</v>
          </cell>
          <cell r="O126">
            <v>76984930.008975729</v>
          </cell>
          <cell r="P126">
            <v>103983932.53081658</v>
          </cell>
        </row>
        <row r="127">
          <cell r="L127">
            <v>17100583.7051576</v>
          </cell>
          <cell r="M127">
            <v>23905003.391709842</v>
          </cell>
          <cell r="N127">
            <v>37678183.260454133</v>
          </cell>
          <cell r="O127">
            <v>82613223.116949111</v>
          </cell>
          <cell r="P127">
            <v>111762251.23281986</v>
          </cell>
        </row>
        <row r="128">
          <cell r="L128">
            <v>18235680.063363619</v>
          </cell>
          <cell r="M128">
            <v>25511451.247479346</v>
          </cell>
          <cell r="N128">
            <v>40325778.235202461</v>
          </cell>
          <cell r="O128">
            <v>88586810.051572904</v>
          </cell>
          <cell r="P128">
            <v>119109399.86009653</v>
          </cell>
        </row>
        <row r="129">
          <cell r="L129">
            <v>19411777.729560923</v>
          </cell>
          <cell r="M129">
            <v>27281130.976422139</v>
          </cell>
          <cell r="N129">
            <v>43142627.215919189</v>
          </cell>
          <cell r="O129">
            <v>94473379.994099244</v>
          </cell>
          <cell r="P129">
            <v>126934513.79283579</v>
          </cell>
        </row>
        <row r="130">
          <cell r="L130">
            <v>20672287.997542065</v>
          </cell>
          <cell r="M130">
            <v>29141266.209874645</v>
          </cell>
          <cell r="N130">
            <v>45927905.740344137</v>
          </cell>
          <cell r="O130">
            <v>100538270.95431761</v>
          </cell>
          <cell r="P130">
            <v>135483651.49213481</v>
          </cell>
        </row>
        <row r="131">
          <cell r="L131">
            <v>22023269.452018794</v>
          </cell>
          <cell r="M131">
            <v>30962739.884104647</v>
          </cell>
          <cell r="N131">
            <v>48856360.431765094</v>
          </cell>
          <cell r="O131">
            <v>107193738.10418305</v>
          </cell>
          <cell r="P131">
            <v>144779719.39877108</v>
          </cell>
        </row>
        <row r="132">
          <cell r="L132">
            <v>23471215.52330564</v>
          </cell>
          <cell r="M132">
            <v>33038915.597263657</v>
          </cell>
          <cell r="N132">
            <v>52337714.341107279</v>
          </cell>
          <cell r="O132">
            <v>115144235.24571466</v>
          </cell>
          <cell r="P132">
            <v>155434396.11675525</v>
          </cell>
        </row>
        <row r="133">
          <cell r="L133">
            <v>25023085.69769454</v>
          </cell>
          <cell r="M133">
            <v>35303354.416100398</v>
          </cell>
          <cell r="N133">
            <v>56107158.657668903</v>
          </cell>
          <cell r="O133">
            <v>123616631.71920326</v>
          </cell>
          <cell r="P133">
            <v>167071151.25383592</v>
          </cell>
        </row>
        <row r="134">
          <cell r="L134">
            <v>26686338.96790614</v>
          </cell>
          <cell r="M134">
            <v>37707897.868109673</v>
          </cell>
          <cell r="N134">
            <v>60054266.543630913</v>
          </cell>
          <cell r="O134">
            <v>132666532.38131481</v>
          </cell>
          <cell r="P134">
            <v>178831133.91022751</v>
          </cell>
        </row>
        <row r="135">
          <cell r="L135">
            <v>28468969.684395615</v>
          </cell>
          <cell r="M135">
            <v>40295248.84361539</v>
          </cell>
          <cell r="N135">
            <v>64340727.828569002</v>
          </cell>
          <cell r="O135">
            <v>141922838.84265536</v>
          </cell>
          <cell r="P135">
            <v>190984974.41441336</v>
          </cell>
        </row>
        <row r="136">
          <cell r="L136">
            <v>30379545.97983114</v>
          </cell>
          <cell r="M136">
            <v>43070244.94542972</v>
          </cell>
          <cell r="N136">
            <v>68630932.667530671</v>
          </cell>
          <cell r="O136">
            <v>151272974.37649736</v>
          </cell>
          <cell r="P136">
            <v>203811662.32802075</v>
          </cell>
        </row>
        <row r="137">
          <cell r="L137">
            <v>32427250.951429788</v>
          </cell>
          <cell r="M137">
            <v>45891121.638941728</v>
          </cell>
          <cell r="N137">
            <v>73069970.162524119</v>
          </cell>
          <cell r="O137">
            <v>161376226.21735916</v>
          </cell>
          <cell r="P137">
            <v>217839731.54167435</v>
          </cell>
        </row>
        <row r="138">
          <cell r="L138">
            <v>34616821.97570309</v>
          </cell>
          <cell r="M138">
            <v>48983250.919365264</v>
          </cell>
          <cell r="N138">
            <v>78052016.801077932</v>
          </cell>
          <cell r="O138">
            <v>172909770.65865353</v>
          </cell>
          <cell r="P138">
            <v>233721425.98623991</v>
          </cell>
        </row>
        <row r="139">
          <cell r="L139">
            <v>36902938.696316682</v>
          </cell>
          <cell r="M139">
            <v>52388516.334771439</v>
          </cell>
          <cell r="N139">
            <v>83770658.696275473</v>
          </cell>
          <cell r="O139">
            <v>185783394.27809614</v>
          </cell>
          <cell r="P139">
            <v>251228762.91278711</v>
          </cell>
        </row>
        <row r="140">
          <cell r="L140">
            <v>39353137.929730825</v>
          </cell>
          <cell r="M140">
            <v>56066256.975797266</v>
          </cell>
          <cell r="N140">
            <v>89712667.710442379</v>
          </cell>
          <cell r="O140">
            <v>199306774.64980674</v>
          </cell>
          <cell r="P140">
            <v>269433923.08411831</v>
          </cell>
        </row>
        <row r="141">
          <cell r="L141">
            <v>41979196.446030945</v>
          </cell>
          <cell r="M141">
            <v>59894873.109987818</v>
          </cell>
          <cell r="N141">
            <v>96059922.881508112</v>
          </cell>
          <cell r="O141">
            <v>213564343.30262405</v>
          </cell>
          <cell r="P141">
            <v>287525614.78077847</v>
          </cell>
        </row>
        <row r="142">
          <cell r="L142">
            <v>44793736.274868831</v>
          </cell>
          <cell r="M142">
            <v>64004089.500927396</v>
          </cell>
          <cell r="N142">
            <v>102808270.82699633</v>
          </cell>
          <cell r="O142">
            <v>227821747.38144231</v>
          </cell>
          <cell r="P142">
            <v>306955081.46726733</v>
          </cell>
        </row>
        <row r="143">
          <cell r="L143">
            <v>47810285.372668676</v>
          </cell>
          <cell r="M143">
            <v>68348647.109153748</v>
          </cell>
          <cell r="N143">
            <v>109564168.77379413</v>
          </cell>
          <cell r="O143">
            <v>242937778.72647399</v>
          </cell>
          <cell r="P143">
            <v>328084604.91583538</v>
          </cell>
        </row>
        <row r="144">
          <cell r="L144">
            <v>51043342.644128293</v>
          </cell>
          <cell r="M144">
            <v>72854131.819895953</v>
          </cell>
          <cell r="N144">
            <v>116848362.97970985</v>
          </cell>
          <cell r="O144">
            <v>259925805.97412655</v>
          </cell>
          <cell r="P144">
            <v>351222185.41022617</v>
          </cell>
        </row>
        <row r="145">
          <cell r="L145">
            <v>54508447.630538821</v>
          </cell>
          <cell r="M145">
            <v>77864714.830096498</v>
          </cell>
          <cell r="N145">
            <v>125302379.05516258</v>
          </cell>
          <cell r="O145">
            <v>279038624.92162037</v>
          </cell>
          <cell r="P145">
            <v>377172082.82340437</v>
          </cell>
        </row>
        <row r="146">
          <cell r="L146">
            <v>58222255.199875817</v>
          </cell>
          <cell r="M146">
            <v>83329810.424338534</v>
          </cell>
          <cell r="N146">
            <v>134229939.51039585</v>
          </cell>
          <cell r="O146">
            <v>299506925.71393383</v>
          </cell>
          <cell r="P146">
            <v>405361383.65829158</v>
          </cell>
        </row>
        <row r="147">
          <cell r="L147">
            <v>62202615.597657517</v>
          </cell>
          <cell r="M147">
            <v>89092269.498039722</v>
          </cell>
          <cell r="N147">
            <v>143769184.16262266</v>
          </cell>
          <cell r="O147">
            <v>321355978.4037751</v>
          </cell>
          <cell r="P147">
            <v>433477699.94335592</v>
          </cell>
        </row>
        <row r="148">
          <cell r="L148">
            <v>66460953.909228235</v>
          </cell>
          <cell r="M148">
            <v>95399115.097684681</v>
          </cell>
          <cell r="N148">
            <v>154025854.6475544</v>
          </cell>
          <cell r="O148">
            <v>343601530.79847765</v>
          </cell>
          <cell r="P148">
            <v>462985035.44815344</v>
          </cell>
        </row>
        <row r="149">
          <cell r="L149">
            <v>70934204.323786035</v>
          </cell>
          <cell r="M149">
            <v>102004466.54795414</v>
          </cell>
          <cell r="N149">
            <v>164314324.18176514</v>
          </cell>
          <cell r="O149">
            <v>366371545.85117048</v>
          </cell>
          <cell r="P149">
            <v>493893104.34400183</v>
          </cell>
        </row>
        <row r="150">
          <cell r="L150">
            <v>75728515.409388557</v>
          </cell>
          <cell r="M150">
            <v>108756699.70273985</v>
          </cell>
          <cell r="N150">
            <v>175072890.13131616</v>
          </cell>
          <cell r="O150">
            <v>390364381.12920755</v>
          </cell>
          <cell r="P150">
            <v>527280604.8819595</v>
          </cell>
        </row>
        <row r="151">
          <cell r="L151">
            <v>80866930.802081034</v>
          </cell>
          <cell r="M151">
            <v>116275792.76869337</v>
          </cell>
          <cell r="N151">
            <v>187507737.75645947</v>
          </cell>
          <cell r="O151">
            <v>418989061.5143469</v>
          </cell>
          <cell r="P151">
            <v>565145693.10666561</v>
          </cell>
        </row>
        <row r="152">
          <cell r="L152">
            <v>86374148.059456855</v>
          </cell>
          <cell r="M152">
            <v>124322990.40684396</v>
          </cell>
          <cell r="N152">
            <v>200901824.47019178</v>
          </cell>
          <cell r="O152">
            <v>449075840.52126032</v>
          </cell>
          <cell r="P152">
            <v>605981757.8834312</v>
          </cell>
        </row>
        <row r="153">
          <cell r="L153">
            <v>92276637.36833404</v>
          </cell>
          <cell r="M153">
            <v>132919399.23072517</v>
          </cell>
          <cell r="N153">
            <v>215112207.14432383</v>
          </cell>
          <cell r="O153">
            <v>481342203.03059143</v>
          </cell>
          <cell r="P153">
            <v>651563703.70137095</v>
          </cell>
        </row>
        <row r="154">
          <cell r="L154">
            <v>98602768.772492707</v>
          </cell>
          <cell r="M154">
            <v>142197965.99100167</v>
          </cell>
          <cell r="N154">
            <v>230440197.66468024</v>
          </cell>
          <cell r="O154">
            <v>518095965.48027289</v>
          </cell>
          <cell r="P154">
            <v>709034303.99197984</v>
          </cell>
        </row>
        <row r="155">
          <cell r="L155">
            <v>105382948.53198764</v>
          </cell>
          <cell r="M155">
            <v>152042403.29731771</v>
          </cell>
          <cell r="N155">
            <v>247950656.43083337</v>
          </cell>
          <cell r="O155">
            <v>562504054.91756916</v>
          </cell>
          <cell r="P155">
            <v>1098419216.0039763</v>
          </cell>
        </row>
        <row r="156">
          <cell r="L156">
            <v>112649765.26944001</v>
          </cell>
          <cell r="M156">
            <v>163807280.17162213</v>
          </cell>
          <cell r="N156">
            <v>268278110.71782511</v>
          </cell>
          <cell r="O156">
            <v>744522404.74258518</v>
          </cell>
          <cell r="P156">
            <v>1880536848.1282055</v>
          </cell>
        </row>
        <row r="157">
          <cell r="L157">
            <v>120438146.60575587</v>
          </cell>
          <cell r="M157">
            <v>176039881.47491232</v>
          </cell>
          <cell r="N157">
            <v>329311182.25354558</v>
          </cell>
          <cell r="O157">
            <v>1048366425.5557858</v>
          </cell>
          <cell r="P157">
            <v>2651221534.3012562</v>
          </cell>
        </row>
        <row r="158">
          <cell r="L158">
            <v>128772171.47289588</v>
          </cell>
          <cell r="M158">
            <v>209027559.51887181</v>
          </cell>
          <cell r="N158">
            <v>429274091.88127488</v>
          </cell>
          <cell r="O158">
            <v>1361178391.8983619</v>
          </cell>
          <cell r="P158">
            <v>3455418395.3409452</v>
          </cell>
        </row>
        <row r="159">
          <cell r="L159">
            <v>137547788.35663012</v>
          </cell>
          <cell r="M159">
            <v>234743967.95066649</v>
          </cell>
          <cell r="N159">
            <v>484052633.85409045</v>
          </cell>
          <cell r="O159">
            <v>1536744389.5671546</v>
          </cell>
          <cell r="P159">
            <v>3901895010.8805704</v>
          </cell>
        </row>
        <row r="160">
          <cell r="L160">
            <v>146953261.65000191</v>
          </cell>
          <cell r="M160">
            <v>251078806.53497377</v>
          </cell>
          <cell r="N160">
            <v>518229710.79547375</v>
          </cell>
          <cell r="O160">
            <v>1646419589.0521469</v>
          </cell>
          <cell r="P160">
            <v>4168907237.9799809</v>
          </cell>
        </row>
        <row r="161">
          <cell r="L161">
            <v>157033798.3284319</v>
          </cell>
          <cell r="M161">
            <v>268586053.04444873</v>
          </cell>
          <cell r="N161">
            <v>554859794.88831043</v>
          </cell>
          <cell r="O161">
            <v>1763966557.3585384</v>
          </cell>
          <cell r="P161">
            <v>4467438110.0798645</v>
          </cell>
        </row>
        <row r="162">
          <cell r="L162">
            <v>167837850.02849692</v>
          </cell>
          <cell r="M162">
            <v>287349855.2553851</v>
          </cell>
          <cell r="N162">
            <v>594118946.94948554</v>
          </cell>
          <cell r="O162">
            <v>1889950278.5909238</v>
          </cell>
          <cell r="P162">
            <v>4787395576.5443373</v>
          </cell>
        </row>
        <row r="163">
          <cell r="L163">
            <v>179417345.92849648</v>
          </cell>
          <cell r="M163">
            <v>307460400.52134615</v>
          </cell>
          <cell r="N163">
            <v>636195864.29032934</v>
          </cell>
          <cell r="O163">
            <v>2024976287.7193623</v>
          </cell>
          <cell r="P163">
            <v>5130317498.2412987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基础状态预期"/>
      <sheetName val="备份"/>
      <sheetName val="武将升星"/>
      <sheetName val="武将升级"/>
      <sheetName val="第4特性"/>
      <sheetName val="武将羁绊"/>
      <sheetName val="三国武将羁绊"/>
      <sheetName val="武将上阵羁绊"/>
      <sheetName val="武将进阶"/>
      <sheetName val="武将觉醒"/>
      <sheetName val="武将天赋"/>
      <sheetName val="武将经验消耗"/>
      <sheetName val="银币消耗"/>
      <sheetName val="属性汇总"/>
      <sheetName val="武将升星（废弃）"/>
      <sheetName val="Sheet2"/>
      <sheetName val="武将觉醒(废弃）"/>
      <sheetName val="属性分配（废弃）"/>
      <sheetName val="武将数量星级阶位验证"/>
      <sheetName val="武将天赋进度验证"/>
      <sheetName val="抽奖相关（日韩版本）"/>
      <sheetName val="130和140抽将（越南）"/>
      <sheetName val="140武将价值"/>
      <sheetName val="祈愿验证"/>
      <sheetName val="武将战力价值情况"/>
      <sheetName val="各r阵容卡情况"/>
      <sheetName val="抽奖券产出"/>
      <sheetName val="武将产出"/>
      <sheetName val="消耗-武将觉醒"/>
      <sheetName val="消耗-武将升星"/>
      <sheetName val="升级经验"/>
      <sheetName val="非r"/>
      <sheetName val="小r"/>
      <sheetName val="中r"/>
      <sheetName val="大r"/>
      <sheetName val="超r"/>
      <sheetName val="非r分类武将战斗属性"/>
      <sheetName val="中r分类武将战斗属性"/>
      <sheetName val="超r分类武将战斗属性"/>
      <sheetName val="Sheet1"/>
      <sheetName val="武将资质"/>
      <sheetName val="武将三维评级"/>
      <sheetName val="羁绊传记"/>
      <sheetName val="武将特性解锁"/>
      <sheetName val="羁绊简述"/>
      <sheetName val="羁绊设计"/>
      <sheetName val="羁绊解锁统计"/>
      <sheetName val="分列处理"/>
      <sheetName val="各武将羁绊具体加成"/>
      <sheetName val="武将"/>
      <sheetName val="武将怪物"/>
      <sheetName val="导表"/>
    </sheetNames>
    <sheetDataSet>
      <sheetData sheetId="0"/>
      <sheetData sheetId="1"/>
      <sheetData sheetId="2"/>
      <sheetData sheetId="3"/>
      <sheetData sheetId="4"/>
      <sheetData sheetId="5"/>
      <sheetData sheetId="6">
        <row r="97">
          <cell r="D97">
            <v>1000</v>
          </cell>
        </row>
        <row r="98">
          <cell r="D98">
            <v>2000</v>
          </cell>
        </row>
        <row r="99">
          <cell r="D99">
            <v>8000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8">
          <cell r="C8">
            <v>540</v>
          </cell>
          <cell r="D8">
            <v>4800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设计思路"/>
      <sheetName val="基础状态预期"/>
      <sheetName val="宝物升星"/>
      <sheetName val="宝物升星货币产销情况"/>
      <sheetName val="盗宝贼掉落"/>
      <sheetName val="匈奴铁骑掉落"/>
      <sheetName val="宝物鉴赏"/>
      <sheetName val="宝物温养"/>
      <sheetName val="宝石镶嵌"/>
      <sheetName val="万里长城"/>
      <sheetName val="宝物效用情况"/>
      <sheetName val="投放验证"/>
      <sheetName val="宝物实力"/>
      <sheetName val="宝物图鉴"/>
      <sheetName val="武将升星（废弃）"/>
      <sheetName val="Sheet2"/>
      <sheetName val="武将觉醒(废弃）"/>
      <sheetName val="属性分配（废弃）"/>
    </sheetNames>
    <sheetDataSet>
      <sheetData sheetId="0"/>
      <sheetData sheetId="1"/>
      <sheetData sheetId="2"/>
      <sheetData sheetId="3"/>
      <sheetData sheetId="4"/>
      <sheetData sheetId="5">
        <row r="2">
          <cell r="D2">
            <v>100</v>
          </cell>
        </row>
      </sheetData>
      <sheetData sheetId="6"/>
      <sheetData sheetId="7"/>
      <sheetData sheetId="8">
        <row r="11">
          <cell r="C11">
            <v>500</v>
          </cell>
        </row>
      </sheetData>
      <sheetData sheetId="9"/>
      <sheetData sheetId="10"/>
      <sheetData sheetId="11"/>
      <sheetData sheetId="12"/>
      <sheetData sheetId="13">
        <row r="10">
          <cell r="E10">
            <v>100</v>
          </cell>
          <cell r="F10">
            <v>500</v>
          </cell>
          <cell r="G10">
            <v>2500</v>
          </cell>
          <cell r="H10">
            <v>10000</v>
          </cell>
        </row>
        <row r="12">
          <cell r="E12">
            <v>100</v>
          </cell>
          <cell r="F12">
            <v>500</v>
          </cell>
          <cell r="G12">
            <v>4000</v>
          </cell>
          <cell r="H12">
            <v>20000</v>
          </cell>
        </row>
        <row r="25">
          <cell r="E25">
            <v>330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皮肤效用"/>
    </sheetNames>
    <sheetDataSet>
      <sheetData sheetId="0"/>
      <sheetData sheetId="1">
        <row r="3">
          <cell r="W3">
            <v>6000</v>
          </cell>
          <cell r="X3">
            <v>16000</v>
          </cell>
          <cell r="Y3">
            <v>150000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导表"/>
      <sheetName val="商城方法"/>
      <sheetName val="副本商店方法纯后台"/>
      <sheetName val="商品具体设计"/>
      <sheetName val="元宝商城"/>
      <sheetName val="军团商城"/>
      <sheetName val="竞技商城"/>
      <sheetName val="国家商城"/>
      <sheetName val="战法商城"/>
      <sheetName val="副本商店"/>
      <sheetName val="城防战商城"/>
      <sheetName val="洛阳商城"/>
      <sheetName val="王者商城"/>
      <sheetName val="终生累充商城"/>
      <sheetName val="奇珍商城"/>
      <sheetName val="养马商城"/>
      <sheetName val="回归商店"/>
      <sheetName val="商店总览"/>
      <sheetName val="增益商品"/>
      <sheetName val="国家奖池表"/>
      <sheetName val="军团红利等级限制"/>
      <sheetName val="商店总览（沿用2）"/>
    </sheetNames>
    <sheetDataSet>
      <sheetData sheetId="0"/>
      <sheetData sheetId="1"/>
      <sheetData sheetId="2"/>
      <sheetData sheetId="3">
        <row r="4">
          <cell r="B4">
            <v>21001</v>
          </cell>
          <cell r="C4" t="str">
            <v>一担粮食</v>
          </cell>
          <cell r="D4">
            <v>6</v>
          </cell>
          <cell r="E4" t="str">
            <v>使用后获得10000安全粮食</v>
          </cell>
        </row>
        <row r="5">
          <cell r="B5">
            <v>21002</v>
          </cell>
          <cell r="C5" t="str">
            <v>一堆粮食</v>
          </cell>
          <cell r="D5">
            <v>20</v>
          </cell>
          <cell r="E5" t="str">
            <v>使用后获得50000安全粮食</v>
          </cell>
        </row>
        <row r="6">
          <cell r="B6">
            <v>21003</v>
          </cell>
          <cell r="C6" t="str">
            <v>一箱粮食</v>
          </cell>
          <cell r="D6">
            <v>45</v>
          </cell>
          <cell r="E6" t="str">
            <v>使用后获得150000安全粮食</v>
          </cell>
        </row>
        <row r="7">
          <cell r="B7">
            <v>21004</v>
          </cell>
          <cell r="C7" t="str">
            <v>一车粮食</v>
          </cell>
          <cell r="D7">
            <v>100</v>
          </cell>
          <cell r="E7" t="str">
            <v>使用后获得500000安全粮食</v>
          </cell>
        </row>
        <row r="8">
          <cell r="B8">
            <v>21005</v>
          </cell>
          <cell r="C8" t="str">
            <v>一担木材</v>
          </cell>
          <cell r="D8">
            <v>6</v>
          </cell>
          <cell r="E8" t="str">
            <v>使用后获得10000安全木材</v>
          </cell>
        </row>
        <row r="9">
          <cell r="B9">
            <v>21006</v>
          </cell>
          <cell r="C9" t="str">
            <v>一堆木材</v>
          </cell>
          <cell r="D9">
            <v>20</v>
          </cell>
          <cell r="E9" t="str">
            <v>使用后获得50000安全木材</v>
          </cell>
        </row>
        <row r="10">
          <cell r="B10">
            <v>21007</v>
          </cell>
          <cell r="C10" t="str">
            <v>一箱木材</v>
          </cell>
          <cell r="D10">
            <v>45</v>
          </cell>
          <cell r="E10" t="str">
            <v>使用后获得150000安全木材</v>
          </cell>
        </row>
        <row r="11">
          <cell r="B11">
            <v>21008</v>
          </cell>
          <cell r="C11" t="str">
            <v>一车木材</v>
          </cell>
          <cell r="D11">
            <v>100</v>
          </cell>
          <cell r="E11" t="str">
            <v>使用后获得500000安全木材</v>
          </cell>
        </row>
        <row r="12">
          <cell r="B12">
            <v>21009</v>
          </cell>
          <cell r="C12" t="str">
            <v>一担石料</v>
          </cell>
          <cell r="D12">
            <v>6</v>
          </cell>
          <cell r="E12" t="str">
            <v>使用后获得10000安全石料</v>
          </cell>
        </row>
        <row r="13">
          <cell r="B13">
            <v>21010</v>
          </cell>
          <cell r="C13" t="str">
            <v>一堆石料</v>
          </cell>
          <cell r="D13">
            <v>20</v>
          </cell>
          <cell r="E13" t="str">
            <v>使用后获得50000安全石料</v>
          </cell>
        </row>
        <row r="14">
          <cell r="B14">
            <v>21011</v>
          </cell>
          <cell r="C14" t="str">
            <v>一箱石料</v>
          </cell>
          <cell r="D14">
            <v>45</v>
          </cell>
          <cell r="E14" t="str">
            <v>使用后获得150000安全石料</v>
          </cell>
        </row>
        <row r="15">
          <cell r="B15">
            <v>21012</v>
          </cell>
          <cell r="C15" t="str">
            <v>一车石料</v>
          </cell>
          <cell r="D15">
            <v>100</v>
          </cell>
          <cell r="E15" t="str">
            <v>使用后获得500000安全石料</v>
          </cell>
        </row>
        <row r="16">
          <cell r="B16">
            <v>21013</v>
          </cell>
          <cell r="C16" t="str">
            <v>一担铁矿</v>
          </cell>
          <cell r="D16">
            <v>12</v>
          </cell>
          <cell r="E16" t="str">
            <v>使用后获得10000安全铁矿</v>
          </cell>
        </row>
        <row r="17">
          <cell r="B17">
            <v>21014</v>
          </cell>
          <cell r="C17" t="str">
            <v>一堆铁矿</v>
          </cell>
          <cell r="D17">
            <v>40</v>
          </cell>
          <cell r="E17" t="str">
            <v>使用后获得50000安全铁矿</v>
          </cell>
        </row>
        <row r="18">
          <cell r="B18">
            <v>21015</v>
          </cell>
          <cell r="C18" t="str">
            <v>一箱铁矿</v>
          </cell>
          <cell r="D18">
            <v>90</v>
          </cell>
          <cell r="E18" t="str">
            <v>使用后获得150000安全铁矿</v>
          </cell>
        </row>
        <row r="19">
          <cell r="B19">
            <v>21016</v>
          </cell>
          <cell r="C19" t="str">
            <v>一车铁矿</v>
          </cell>
          <cell r="D19">
            <v>200</v>
          </cell>
          <cell r="E19" t="str">
            <v>使用后获得500000安全铁矿</v>
          </cell>
        </row>
        <row r="20">
          <cell r="B20">
            <v>21017</v>
          </cell>
          <cell r="C20" t="str">
            <v>一担铜矿</v>
          </cell>
          <cell r="D20">
            <v>6</v>
          </cell>
          <cell r="E20" t="str">
            <v>使用后获得10000安全铜矿</v>
          </cell>
        </row>
        <row r="21">
          <cell r="B21">
            <v>21018</v>
          </cell>
          <cell r="C21" t="str">
            <v>一堆铜矿</v>
          </cell>
          <cell r="D21">
            <v>20</v>
          </cell>
          <cell r="E21" t="str">
            <v>使用后获得50000安全铜矿</v>
          </cell>
        </row>
        <row r="22">
          <cell r="B22">
            <v>21019</v>
          </cell>
          <cell r="C22" t="str">
            <v>一箱铜矿</v>
          </cell>
          <cell r="D22">
            <v>45</v>
          </cell>
          <cell r="E22" t="str">
            <v>使用后获得150000安全铜矿</v>
          </cell>
        </row>
        <row r="23">
          <cell r="B23">
            <v>21020</v>
          </cell>
          <cell r="C23" t="str">
            <v>一车铜矿</v>
          </cell>
          <cell r="D23">
            <v>100</v>
          </cell>
          <cell r="E23" t="str">
            <v>使用后获得500000安全铜矿</v>
          </cell>
        </row>
        <row r="24">
          <cell r="B24">
            <v>21021</v>
          </cell>
          <cell r="C24" t="str">
            <v>一吊刀币</v>
          </cell>
          <cell r="D24">
            <v>50</v>
          </cell>
          <cell r="E24" t="str">
            <v>使用后获得10000刀币</v>
          </cell>
        </row>
        <row r="25">
          <cell r="B25">
            <v>21022</v>
          </cell>
          <cell r="C25" t="str">
            <v>一贯刀币</v>
          </cell>
          <cell r="D25">
            <v>150</v>
          </cell>
          <cell r="E25" t="str">
            <v>使用后获得50000刀币</v>
          </cell>
        </row>
        <row r="26">
          <cell r="B26">
            <v>21023</v>
          </cell>
          <cell r="C26" t="str">
            <v>一袋刀币</v>
          </cell>
          <cell r="D26">
            <v>300</v>
          </cell>
          <cell r="E26" t="str">
            <v>使用后获得150000刀币</v>
          </cell>
        </row>
        <row r="27">
          <cell r="D27">
            <v>800</v>
          </cell>
          <cell r="E27" t="str">
            <v>使用后获得500000刀币</v>
          </cell>
        </row>
        <row r="28">
          <cell r="B28">
            <v>21024</v>
          </cell>
          <cell r="C28" t="str">
            <v>普通资源自选宝箱</v>
          </cell>
          <cell r="D28">
            <v>6</v>
          </cell>
          <cell r="E28" t="str">
            <v>使用后可选择获得10000资源(可选择资源类型：粮食、木材、石料和铜矿)</v>
          </cell>
        </row>
        <row r="29">
          <cell r="B29">
            <v>21025</v>
          </cell>
          <cell r="C29" t="str">
            <v>初级资源自选宝箱</v>
          </cell>
          <cell r="D29">
            <v>20</v>
          </cell>
          <cell r="E29" t="str">
            <v>使用后可选择获得50000资源(可选择资源类型：粮食、木材、石料和铜矿)</v>
          </cell>
        </row>
        <row r="30">
          <cell r="B30">
            <v>21026</v>
          </cell>
          <cell r="C30" t="str">
            <v>中级资源自选宝箱</v>
          </cell>
          <cell r="D30">
            <v>45</v>
          </cell>
          <cell r="E30" t="str">
            <v>使用后可选择获得150000资源(可选择资源类型：粮食、木材、石料和铜矿)</v>
          </cell>
        </row>
        <row r="31">
          <cell r="B31">
            <v>21027</v>
          </cell>
          <cell r="C31" t="str">
            <v>高级资源自选宝箱</v>
          </cell>
          <cell r="D31">
            <v>100</v>
          </cell>
          <cell r="E31" t="str">
            <v>使用后可选择获得500000资源(可选择资源类型：粮食、木材、石料和铜矿)</v>
          </cell>
        </row>
        <row r="32">
          <cell r="B32">
            <v>21031</v>
          </cell>
          <cell r="C32" t="str">
            <v>普通资源宝箱</v>
          </cell>
          <cell r="D32">
            <v>30</v>
          </cell>
          <cell r="E32" t="str">
            <v>使用后直接获得10000粮食、木材、石料和铜矿</v>
          </cell>
        </row>
        <row r="33">
          <cell r="B33">
            <v>21032</v>
          </cell>
          <cell r="C33" t="str">
            <v>初级资源宝箱</v>
          </cell>
          <cell r="D33">
            <v>80</v>
          </cell>
          <cell r="E33" t="str">
            <v>使用后直接获得50000粮食、木材、石料和铜矿</v>
          </cell>
        </row>
        <row r="34">
          <cell r="B34">
            <v>21033</v>
          </cell>
          <cell r="C34" t="str">
            <v>中级资源宝箱</v>
          </cell>
          <cell r="D34">
            <v>180</v>
          </cell>
          <cell r="E34" t="str">
            <v>使用后直接获得150000粮食、木材、石料和铜矿</v>
          </cell>
        </row>
        <row r="35">
          <cell r="B35">
            <v>21034</v>
          </cell>
          <cell r="C35" t="str">
            <v>高级资源宝箱</v>
          </cell>
          <cell r="D35">
            <v>400</v>
          </cell>
          <cell r="E35" t="str">
            <v>使用后直接获得500000粮食、木材、石料和铜矿</v>
          </cell>
        </row>
        <row r="37">
          <cell r="B37">
            <v>21061</v>
          </cell>
          <cell r="C37" t="str">
            <v>初级经验书</v>
          </cell>
          <cell r="D37">
            <v>2</v>
          </cell>
          <cell r="E37" t="str">
            <v>武将使用后获得200经验</v>
          </cell>
        </row>
        <row r="38">
          <cell r="B38">
            <v>21062</v>
          </cell>
          <cell r="C38" t="str">
            <v>中级经验书</v>
          </cell>
          <cell r="D38">
            <v>5</v>
          </cell>
          <cell r="E38" t="str">
            <v>武将使用后获得1000经验</v>
          </cell>
        </row>
        <row r="39">
          <cell r="B39">
            <v>21063</v>
          </cell>
          <cell r="C39" t="str">
            <v>高级经验书</v>
          </cell>
          <cell r="D39">
            <v>10</v>
          </cell>
          <cell r="E39" t="str">
            <v>武将使用后获得5000经验</v>
          </cell>
        </row>
        <row r="40">
          <cell r="B40">
            <v>21064</v>
          </cell>
          <cell r="C40" t="str">
            <v>特级经验书</v>
          </cell>
          <cell r="D40">
            <v>20</v>
          </cell>
          <cell r="E40" t="str">
            <v>武将使用后获得20000经验</v>
          </cell>
        </row>
        <row r="41">
          <cell r="B41">
            <v>21065</v>
          </cell>
          <cell r="C41" t="str">
            <v>超级经验书</v>
          </cell>
          <cell r="D41">
            <v>40</v>
          </cell>
          <cell r="E41" t="str">
            <v>武将使用后获得100000经验</v>
          </cell>
        </row>
        <row r="43">
          <cell r="B43">
            <v>21073</v>
          </cell>
          <cell r="C43" t="str">
            <v>1个行军令</v>
          </cell>
          <cell r="D43">
            <v>75</v>
          </cell>
          <cell r="E43" t="str">
            <v>使用后获得1个行军令</v>
          </cell>
        </row>
        <row r="44">
          <cell r="B44">
            <v>21074</v>
          </cell>
          <cell r="C44" t="str">
            <v>大捆行军令</v>
          </cell>
          <cell r="D44">
            <v>225</v>
          </cell>
          <cell r="E44" t="str">
            <v>使用后获得3个行军令</v>
          </cell>
        </row>
        <row r="46">
          <cell r="B46">
            <v>21081</v>
          </cell>
          <cell r="C46" t="str">
            <v>木材增产令</v>
          </cell>
          <cell r="D46">
            <v>35</v>
          </cell>
          <cell r="E46" t="str">
            <v>使用后伐木场产量提高50%，持续12小时</v>
          </cell>
        </row>
        <row r="47">
          <cell r="B47">
            <v>21082</v>
          </cell>
          <cell r="C47" t="str">
            <v>铁矿增产令</v>
          </cell>
          <cell r="D47">
            <v>50</v>
          </cell>
          <cell r="E47" t="str">
            <v>使用后冶炼厂产量提高50%，持续12小时</v>
          </cell>
        </row>
        <row r="48">
          <cell r="B48">
            <v>21083</v>
          </cell>
          <cell r="C48" t="str">
            <v>石料增产令</v>
          </cell>
          <cell r="D48">
            <v>35</v>
          </cell>
          <cell r="E48" t="str">
            <v>使用后采石场产量提高50%，持续12小时</v>
          </cell>
        </row>
        <row r="49">
          <cell r="B49">
            <v>21084</v>
          </cell>
          <cell r="C49" t="str">
            <v>粮食增产令</v>
          </cell>
          <cell r="D49">
            <v>35</v>
          </cell>
          <cell r="E49" t="str">
            <v>使用后农田产量提高50%，持续12小时</v>
          </cell>
        </row>
        <row r="50">
          <cell r="B50">
            <v>21085</v>
          </cell>
          <cell r="C50" t="str">
            <v>赋税增收令</v>
          </cell>
          <cell r="D50">
            <v>85</v>
          </cell>
          <cell r="E50" t="str">
            <v>使用后民居税收提高25%，持续12小时</v>
          </cell>
        </row>
        <row r="51">
          <cell r="B51">
            <v>21086</v>
          </cell>
          <cell r="C51" t="str">
            <v>铜矿增产令</v>
          </cell>
          <cell r="D51">
            <v>35</v>
          </cell>
          <cell r="E51" t="str">
            <v>使用后铜矿产量提高50%，持续12小时</v>
          </cell>
        </row>
        <row r="53">
          <cell r="B53">
            <v>21100</v>
          </cell>
          <cell r="C53" t="str">
            <v>免战牌</v>
          </cell>
          <cell r="D53">
            <v>100</v>
          </cell>
          <cell r="E53" t="str">
            <v>使用后城池不会遭受来自玩家的攻击，主动进攻玩家后失效，持续8小时</v>
          </cell>
        </row>
        <row r="54">
          <cell r="B54">
            <v>21101</v>
          </cell>
          <cell r="C54" t="str">
            <v>普通点将牌</v>
          </cell>
          <cell r="D54">
            <v>65</v>
          </cell>
          <cell r="E54" t="str">
            <v>点将台普通招募时消耗的令牌</v>
          </cell>
        </row>
        <row r="55">
          <cell r="B55">
            <v>21102</v>
          </cell>
          <cell r="C55" t="str">
            <v>高级点将牌</v>
          </cell>
          <cell r="D55">
            <v>240</v>
          </cell>
          <cell r="E55" t="str">
            <v>点将台高级招募时消耗的令牌</v>
          </cell>
        </row>
        <row r="56">
          <cell r="B56"/>
          <cell r="C56" t="str">
            <v>行军丸（旧版)</v>
          </cell>
          <cell r="D56"/>
          <cell r="E56" t="str">
            <v>使用后每次可增加部队100%的行军速度</v>
          </cell>
        </row>
        <row r="57">
          <cell r="B57">
            <v>21104</v>
          </cell>
          <cell r="C57" t="str">
            <v>撤军令</v>
          </cell>
          <cell r="D57">
            <v>60</v>
          </cell>
          <cell r="E57" t="str">
            <v>使用后使一支出征队伍立即撤军回城</v>
          </cell>
        </row>
        <row r="59">
          <cell r="B59">
            <v>21110</v>
          </cell>
          <cell r="C59" t="str">
            <v>城建1分钟加速令</v>
          </cell>
          <cell r="D59">
            <v>2</v>
          </cell>
          <cell r="E59" t="str">
            <v>使用后城池建设加速1分钟</v>
          </cell>
        </row>
        <row r="60">
          <cell r="B60">
            <v>21111</v>
          </cell>
          <cell r="C60" t="str">
            <v>城建5分钟加速令</v>
          </cell>
          <cell r="D60">
            <v>8</v>
          </cell>
          <cell r="E60" t="str">
            <v>使用后城池建设加速5分钟</v>
          </cell>
        </row>
        <row r="61">
          <cell r="B61">
            <v>21112</v>
          </cell>
          <cell r="C61" t="str">
            <v>城建20分钟加速令</v>
          </cell>
          <cell r="D61">
            <v>20</v>
          </cell>
          <cell r="E61" t="str">
            <v>使用后城池建设加速20分钟</v>
          </cell>
        </row>
        <row r="62">
          <cell r="B62">
            <v>21113</v>
          </cell>
          <cell r="C62" t="str">
            <v>城建1小时加速令</v>
          </cell>
          <cell r="D62">
            <v>50</v>
          </cell>
          <cell r="E62" t="str">
            <v>使用后城池建设加速1小时</v>
          </cell>
        </row>
        <row r="63">
          <cell r="B63">
            <v>21114</v>
          </cell>
          <cell r="C63" t="str">
            <v>城建3小时加速令</v>
          </cell>
          <cell r="D63">
            <v>100</v>
          </cell>
          <cell r="E63" t="str">
            <v>使用后城池建设加速3小时</v>
          </cell>
        </row>
        <row r="64">
          <cell r="B64">
            <v>21135</v>
          </cell>
          <cell r="C64" t="str">
            <v>城建8小时加速令</v>
          </cell>
          <cell r="D64">
            <v>160</v>
          </cell>
          <cell r="E64" t="str">
            <v>使用后城池建设加速8小时</v>
          </cell>
        </row>
        <row r="65">
          <cell r="E65" t="str">
            <v/>
          </cell>
        </row>
        <row r="66">
          <cell r="B66">
            <v>21115</v>
          </cell>
          <cell r="C66" t="str">
            <v>招募1分钟加速令</v>
          </cell>
          <cell r="D66">
            <v>2</v>
          </cell>
          <cell r="E66" t="str">
            <v>使用后士兵招募加速1分钟</v>
          </cell>
        </row>
        <row r="67">
          <cell r="B67">
            <v>21116</v>
          </cell>
          <cell r="C67" t="str">
            <v>招募5分钟加速令</v>
          </cell>
          <cell r="D67">
            <v>8</v>
          </cell>
          <cell r="E67" t="str">
            <v>使用后士兵招募加速5分钟</v>
          </cell>
        </row>
        <row r="68">
          <cell r="B68">
            <v>21117</v>
          </cell>
          <cell r="C68" t="str">
            <v>招募20分钟加速令</v>
          </cell>
          <cell r="D68">
            <v>20</v>
          </cell>
          <cell r="E68" t="str">
            <v>使用后士兵招募加速20分钟</v>
          </cell>
        </row>
        <row r="69">
          <cell r="B69">
            <v>21118</v>
          </cell>
          <cell r="C69" t="str">
            <v>招募1小时加速令</v>
          </cell>
          <cell r="D69">
            <v>50</v>
          </cell>
          <cell r="E69" t="str">
            <v>使用后士兵招募加速1小时</v>
          </cell>
        </row>
        <row r="70">
          <cell r="B70">
            <v>21119</v>
          </cell>
          <cell r="C70" t="str">
            <v>招募3小时加速令</v>
          </cell>
          <cell r="D70">
            <v>100</v>
          </cell>
          <cell r="E70" t="str">
            <v>使用后士兵招募加速3小时</v>
          </cell>
        </row>
        <row r="71">
          <cell r="B71">
            <v>21136</v>
          </cell>
          <cell r="C71" t="str">
            <v>招募8小时加速令</v>
          </cell>
          <cell r="D71">
            <v>160</v>
          </cell>
          <cell r="E71" t="str">
            <v>使用后士兵招募加速8小时</v>
          </cell>
        </row>
        <row r="72">
          <cell r="E72" t="str">
            <v/>
          </cell>
        </row>
        <row r="73">
          <cell r="B73">
            <v>21120</v>
          </cell>
          <cell r="C73" t="str">
            <v>治疗1分钟加速令</v>
          </cell>
          <cell r="D73">
            <v>2</v>
          </cell>
          <cell r="E73" t="str">
            <v>使用后士兵治疗加速1分钟</v>
          </cell>
        </row>
        <row r="74">
          <cell r="B74">
            <v>21121</v>
          </cell>
          <cell r="C74" t="str">
            <v>治疗5分钟加速令</v>
          </cell>
          <cell r="D74">
            <v>8</v>
          </cell>
          <cell r="E74" t="str">
            <v>使用后士兵治疗加速5分钟</v>
          </cell>
        </row>
        <row r="75">
          <cell r="B75">
            <v>21122</v>
          </cell>
          <cell r="C75" t="str">
            <v>治疗20分钟加速令</v>
          </cell>
          <cell r="D75">
            <v>20</v>
          </cell>
          <cell r="E75" t="str">
            <v>使用后士兵治疗加速20分钟</v>
          </cell>
        </row>
        <row r="76">
          <cell r="B76">
            <v>21123</v>
          </cell>
          <cell r="C76" t="str">
            <v>治疗1小时加速令</v>
          </cell>
          <cell r="D76">
            <v>50</v>
          </cell>
          <cell r="E76" t="str">
            <v>使用后士兵治疗加速1小时</v>
          </cell>
        </row>
        <row r="77">
          <cell r="B77">
            <v>21124</v>
          </cell>
          <cell r="C77" t="str">
            <v>治疗3小时加速令</v>
          </cell>
          <cell r="D77">
            <v>100</v>
          </cell>
          <cell r="E77" t="str">
            <v>使用后士兵治疗加速3小时</v>
          </cell>
        </row>
        <row r="78">
          <cell r="B78">
            <v>21137</v>
          </cell>
          <cell r="C78" t="str">
            <v>治疗8小时加速令</v>
          </cell>
          <cell r="D78">
            <v>160</v>
          </cell>
          <cell r="E78" t="str">
            <v>使用后士兵治疗加速8小时</v>
          </cell>
        </row>
        <row r="79">
          <cell r="E79" t="str">
            <v/>
          </cell>
        </row>
        <row r="80">
          <cell r="B80">
            <v>21130</v>
          </cell>
          <cell r="C80" t="str">
            <v>训练1分钟加速令</v>
          </cell>
          <cell r="D80">
            <v>2</v>
          </cell>
          <cell r="E80" t="str">
            <v>使用后士兵训练加速1分钟</v>
          </cell>
        </row>
        <row r="81">
          <cell r="B81">
            <v>21131</v>
          </cell>
          <cell r="C81" t="str">
            <v>训练5分钟加速令</v>
          </cell>
          <cell r="D81">
            <v>8</v>
          </cell>
          <cell r="E81" t="str">
            <v>使用后士兵训练加速5分钟</v>
          </cell>
        </row>
        <row r="82">
          <cell r="B82">
            <v>21132</v>
          </cell>
          <cell r="C82" t="str">
            <v>训练20分钟加速令</v>
          </cell>
          <cell r="D82">
            <v>20</v>
          </cell>
          <cell r="E82" t="str">
            <v>使用后士兵训练加速20分钟</v>
          </cell>
        </row>
        <row r="83">
          <cell r="B83">
            <v>21133</v>
          </cell>
          <cell r="C83" t="str">
            <v>训练1小时加速令</v>
          </cell>
          <cell r="D83">
            <v>50</v>
          </cell>
          <cell r="E83" t="str">
            <v>使用后士兵训练加速1小时</v>
          </cell>
        </row>
        <row r="84">
          <cell r="B84">
            <v>21134</v>
          </cell>
          <cell r="C84" t="str">
            <v>训练3小时加速令</v>
          </cell>
          <cell r="D84">
            <v>100</v>
          </cell>
          <cell r="E84" t="str">
            <v>使用后士兵训练加速3小时</v>
          </cell>
        </row>
        <row r="85">
          <cell r="B85">
            <v>21139</v>
          </cell>
          <cell r="C85" t="str">
            <v>训练8小时加速令</v>
          </cell>
          <cell r="D85">
            <v>160</v>
          </cell>
          <cell r="E85" t="str">
            <v>使用后士兵训练加速8小时</v>
          </cell>
        </row>
        <row r="87">
          <cell r="B87">
            <v>21140</v>
          </cell>
          <cell r="C87" t="str">
            <v>圣人1分钟加速令</v>
          </cell>
          <cell r="D87">
            <v>2</v>
          </cell>
          <cell r="E87" t="str">
            <v>使用后士兵训练加速1分钟</v>
          </cell>
        </row>
        <row r="88">
          <cell r="B88">
            <v>21141</v>
          </cell>
          <cell r="C88" t="str">
            <v>圣人5分钟加速令</v>
          </cell>
          <cell r="D88">
            <v>8</v>
          </cell>
          <cell r="E88" t="str">
            <v>使用后士兵训练加速5分钟</v>
          </cell>
        </row>
        <row r="89">
          <cell r="B89">
            <v>21142</v>
          </cell>
          <cell r="C89" t="str">
            <v>圣人20分钟加速令</v>
          </cell>
          <cell r="D89">
            <v>20</v>
          </cell>
          <cell r="E89" t="str">
            <v>使用后士兵训练加速20分钟</v>
          </cell>
        </row>
        <row r="90">
          <cell r="B90">
            <v>21143</v>
          </cell>
          <cell r="C90" t="str">
            <v>圣人1小时加速令</v>
          </cell>
          <cell r="D90">
            <v>50</v>
          </cell>
          <cell r="E90" t="str">
            <v>使用后士兵训练加速1小时</v>
          </cell>
        </row>
        <row r="91">
          <cell r="B91">
            <v>21144</v>
          </cell>
          <cell r="C91" t="str">
            <v>圣人3小时加速令</v>
          </cell>
          <cell r="D91">
            <v>100</v>
          </cell>
          <cell r="E91" t="str">
            <v>使用后士兵训练加速3小时</v>
          </cell>
        </row>
        <row r="92">
          <cell r="B92">
            <v>21145</v>
          </cell>
          <cell r="C92" t="str">
            <v>圣人8小时加速令</v>
          </cell>
          <cell r="D92">
            <v>160</v>
          </cell>
          <cell r="E92" t="str">
            <v>使用后士兵训练加速8小时</v>
          </cell>
        </row>
        <row r="94">
          <cell r="B94">
            <v>21125</v>
          </cell>
          <cell r="C94" t="str">
            <v>通用1分钟加速令</v>
          </cell>
          <cell r="D94">
            <v>2</v>
          </cell>
          <cell r="E94" t="str">
            <v>使用后任意队列加速1分钟</v>
          </cell>
        </row>
        <row r="95">
          <cell r="B95">
            <v>21126</v>
          </cell>
          <cell r="C95" t="str">
            <v>通用5分钟加速令</v>
          </cell>
          <cell r="D95">
            <v>8</v>
          </cell>
          <cell r="E95" t="str">
            <v>使用后任意队列加速5分钟</v>
          </cell>
        </row>
        <row r="96">
          <cell r="B96">
            <v>21127</v>
          </cell>
          <cell r="C96" t="str">
            <v>通用20分钟加速令</v>
          </cell>
          <cell r="D96">
            <v>20</v>
          </cell>
          <cell r="E96" t="str">
            <v>使用后任意队列加速20分钟</v>
          </cell>
        </row>
        <row r="97">
          <cell r="B97">
            <v>21128</v>
          </cell>
          <cell r="C97" t="str">
            <v>通用1小时加速令</v>
          </cell>
          <cell r="D97">
            <v>50</v>
          </cell>
          <cell r="E97" t="str">
            <v>使用后任意队列加速1小时</v>
          </cell>
        </row>
        <row r="98">
          <cell r="B98">
            <v>21129</v>
          </cell>
          <cell r="C98" t="str">
            <v>通用3小时加速令</v>
          </cell>
          <cell r="D98">
            <v>100</v>
          </cell>
          <cell r="E98" t="str">
            <v>使用后任意队列加速3小时</v>
          </cell>
        </row>
        <row r="99">
          <cell r="B99">
            <v>21138</v>
          </cell>
          <cell r="C99" t="str">
            <v>通用8小时加速令</v>
          </cell>
          <cell r="D99">
            <v>160</v>
          </cell>
          <cell r="E99" t="str">
            <v>使用后任意队列加速8小时</v>
          </cell>
        </row>
        <row r="100">
          <cell r="E100" t="str">
            <v/>
          </cell>
        </row>
        <row r="101">
          <cell r="E101" t="str">
            <v/>
          </cell>
        </row>
        <row r="102">
          <cell r="B102">
            <v>21150</v>
          </cell>
          <cell r="C102" t="str">
            <v>初级装备淬炼</v>
          </cell>
          <cell r="D102">
            <v>10</v>
          </cell>
          <cell r="E102" t="str">
            <v>装备使用后获得10经验</v>
          </cell>
        </row>
        <row r="103">
          <cell r="B103">
            <v>21151</v>
          </cell>
          <cell r="C103" t="str">
            <v>中级装备淬炼</v>
          </cell>
          <cell r="D103">
            <v>20</v>
          </cell>
          <cell r="E103" t="str">
            <v>装备使用后获得20经验</v>
          </cell>
        </row>
        <row r="104">
          <cell r="B104">
            <v>21152</v>
          </cell>
          <cell r="C104" t="str">
            <v>高级装备淬炼</v>
          </cell>
          <cell r="D104">
            <v>40</v>
          </cell>
          <cell r="E104" t="str">
            <v>装备使用后获得40经验</v>
          </cell>
        </row>
        <row r="105">
          <cell r="B105">
            <v>21153</v>
          </cell>
          <cell r="C105" t="str">
            <v>特级装备淬炼</v>
          </cell>
          <cell r="D105">
            <v>75</v>
          </cell>
          <cell r="E105" t="str">
            <v>装备使用后获得75经验</v>
          </cell>
        </row>
        <row r="106">
          <cell r="B106">
            <v>21154</v>
          </cell>
          <cell r="C106" t="str">
            <v>超级装备淬炼</v>
          </cell>
          <cell r="D106">
            <v>150</v>
          </cell>
          <cell r="E106" t="str">
            <v>装备使用后获得150经验</v>
          </cell>
        </row>
        <row r="108">
          <cell r="B108">
            <v>21500</v>
          </cell>
          <cell r="C108" t="str">
            <v>随机迁城令</v>
          </cell>
          <cell r="D108">
            <v>100</v>
          </cell>
          <cell r="E108" t="str">
            <v>使用后城池迁移到随机位置</v>
          </cell>
        </row>
        <row r="109">
          <cell r="B109">
            <v>21501</v>
          </cell>
          <cell r="C109" t="str">
            <v>九州迁城令</v>
          </cell>
          <cell r="D109">
            <v>300</v>
          </cell>
          <cell r="E109" t="str">
            <v>使用后城池迁移到指定位置</v>
          </cell>
        </row>
        <row r="110">
          <cell r="B110">
            <v>21504</v>
          </cell>
          <cell r="C110" t="str">
            <v>国内迁城令</v>
          </cell>
          <cell r="D110">
            <v>100</v>
          </cell>
          <cell r="E110" t="str">
            <v>使用后城池迁移到国内指定位置</v>
          </cell>
        </row>
        <row r="111">
          <cell r="B111">
            <v>21502</v>
          </cell>
          <cell r="C111" t="str">
            <v>校武牌</v>
          </cell>
          <cell r="D111">
            <v>20</v>
          </cell>
          <cell r="E111" t="str">
            <v>使用后增加1次校场挑战机会</v>
          </cell>
        </row>
        <row r="112">
          <cell r="B112">
            <v>21503</v>
          </cell>
          <cell r="C112" t="str">
            <v>复仇令</v>
          </cell>
          <cell r="D112">
            <v>50</v>
          </cell>
          <cell r="E112" t="str">
            <v>被其他玩家攻击后，可以通过复仇令追查到该玩家城池所在坐标</v>
          </cell>
        </row>
        <row r="114">
          <cell r="B114">
            <v>26400</v>
          </cell>
          <cell r="C114" t="str">
            <v>步兵虎符</v>
          </cell>
          <cell r="D114">
            <v>200</v>
          </cell>
          <cell r="E114" t="str">
            <v>使用后立即获得10000步兵新兵</v>
          </cell>
        </row>
        <row r="115">
          <cell r="B115">
            <v>26401</v>
          </cell>
          <cell r="C115" t="str">
            <v>骑兵虎符</v>
          </cell>
          <cell r="D115">
            <v>200</v>
          </cell>
          <cell r="E115" t="str">
            <v>使用后立即获得10000骑兵新兵</v>
          </cell>
        </row>
        <row r="116">
          <cell r="B116">
            <v>26402</v>
          </cell>
          <cell r="C116" t="str">
            <v>弓箭虎符</v>
          </cell>
          <cell r="D116">
            <v>200</v>
          </cell>
          <cell r="E116" t="str">
            <v>使用后立即获得10000弓箭新兵</v>
          </cell>
        </row>
        <row r="117">
          <cell r="B117">
            <v>26403</v>
          </cell>
          <cell r="C117" t="str">
            <v>器械虎符</v>
          </cell>
          <cell r="D117">
            <v>200</v>
          </cell>
          <cell r="E117" t="str">
            <v>使用后立即获得10000器械兵新兵</v>
          </cell>
        </row>
        <row r="118">
          <cell r="E118" t="str">
            <v/>
          </cell>
        </row>
        <row r="119">
          <cell r="B119">
            <v>26500</v>
          </cell>
          <cell r="C119" t="str">
            <v>兵法宝箱</v>
          </cell>
          <cell r="D119">
            <v>250</v>
          </cell>
          <cell r="E119" t="str">
            <v>使用后随机获得1个兵法</v>
          </cell>
        </row>
        <row r="120">
          <cell r="B120">
            <v>26501</v>
          </cell>
          <cell r="C120" t="str">
            <v>蓝色兵法宝箱</v>
          </cell>
          <cell r="D120">
            <v>50</v>
          </cell>
          <cell r="E120" t="str">
            <v>使用后随机获得1个蓝色品质兵法</v>
          </cell>
        </row>
        <row r="121">
          <cell r="B121">
            <v>26502</v>
          </cell>
          <cell r="C121" t="str">
            <v>紫色兵法宝箱</v>
          </cell>
          <cell r="D121">
            <v>500</v>
          </cell>
          <cell r="E121" t="str">
            <v>使用后随机获得1个紫色品质兵法</v>
          </cell>
        </row>
        <row r="122">
          <cell r="B122">
            <v>26503</v>
          </cell>
          <cell r="C122" t="str">
            <v>橙色兵法宝箱</v>
          </cell>
          <cell r="D122">
            <v>1680</v>
          </cell>
          <cell r="E122" t="str">
            <v>使用后随机获得1个橙色品质兵法</v>
          </cell>
        </row>
        <row r="123">
          <cell r="B123">
            <v>26504</v>
          </cell>
          <cell r="C123" t="str">
            <v>红色兵法宝箱</v>
          </cell>
          <cell r="D123">
            <v>14100</v>
          </cell>
          <cell r="E123" t="str">
            <v>使用后随机获得1个红色品质兵法</v>
          </cell>
        </row>
        <row r="124">
          <cell r="C124" t="str">
            <v>指定or任选蓝色兵法</v>
          </cell>
          <cell r="D124">
            <v>35</v>
          </cell>
        </row>
        <row r="125">
          <cell r="C125" t="str">
            <v>指定or任选紫色兵法</v>
          </cell>
          <cell r="D125">
            <v>750</v>
          </cell>
        </row>
        <row r="126">
          <cell r="C126" t="str">
            <v>指定or任选橙色兵法</v>
          </cell>
          <cell r="D126">
            <v>3350</v>
          </cell>
        </row>
        <row r="127">
          <cell r="C127" t="str">
            <v>指定or任选红色兵法</v>
          </cell>
          <cell r="D127">
            <v>9165</v>
          </cell>
        </row>
        <row r="128">
          <cell r="B128">
            <v>26505</v>
          </cell>
          <cell r="C128" t="str">
            <v>兵家信物</v>
          </cell>
          <cell r="D128">
            <v>300</v>
          </cell>
          <cell r="E128" t="str">
            <v>抽取兵法时消耗的道具（赠送10个5分钟通用加速）</v>
          </cell>
        </row>
        <row r="130">
          <cell r="E130" t="str">
            <v/>
          </cell>
        </row>
        <row r="131">
          <cell r="B131">
            <v>26520</v>
          </cell>
          <cell r="C131" t="str">
            <v>紫色兵法自选宝箱</v>
          </cell>
          <cell r="D131">
            <v>750</v>
          </cell>
          <cell r="E131" t="str">
            <v>使用后可选择一个紫色兵法。紫色兵法：攻其不备、出奇制胜、破军夺志</v>
          </cell>
        </row>
        <row r="132">
          <cell r="B132">
            <v>26521</v>
          </cell>
          <cell r="C132" t="str">
            <v>橙色兵法自选宝箱</v>
          </cell>
          <cell r="D132">
            <v>3350</v>
          </cell>
          <cell r="E132" t="str">
            <v>使用后可选择一个橙色兵法。橙色兵法：援军秘策、养精蓄锐、退敌千里、奇佐鬼谋</v>
          </cell>
        </row>
        <row r="134">
          <cell r="B134">
            <v>26551</v>
          </cell>
          <cell r="C134" t="str">
            <v>虎符宝箱</v>
          </cell>
          <cell r="D134">
            <v>160</v>
          </cell>
          <cell r="E134" t="str">
            <v>使用后随机获得1个虎符</v>
          </cell>
        </row>
        <row r="135">
          <cell r="B135">
            <v>26552</v>
          </cell>
          <cell r="C135" t="str">
            <v>1级贡品宝箱</v>
          </cell>
          <cell r="D135">
            <v>40</v>
          </cell>
          <cell r="E135" t="str">
            <v>使用后随机获得铜镜、陶罐中的1个贡品</v>
          </cell>
        </row>
        <row r="136">
          <cell r="B136">
            <v>26553</v>
          </cell>
          <cell r="C136" t="str">
            <v>2级贡品宝箱</v>
          </cell>
          <cell r="D136">
            <v>60</v>
          </cell>
          <cell r="E136" t="str">
            <v>使用后随机获得水晶杯、香鼎、铜壶中的1个贡品</v>
          </cell>
        </row>
        <row r="137">
          <cell r="B137">
            <v>26554</v>
          </cell>
          <cell r="C137" t="str">
            <v>3级贡品宝箱</v>
          </cell>
          <cell r="D137">
            <v>80</v>
          </cell>
          <cell r="E137" t="str">
            <v>使用后随机获得长颈壶、方陶皿、兽头觥、象形尊中的1个贡品</v>
          </cell>
        </row>
        <row r="138">
          <cell r="B138">
            <v>26555</v>
          </cell>
          <cell r="C138" t="str">
            <v>4级贡品宝箱</v>
          </cell>
          <cell r="D138">
            <v>100</v>
          </cell>
          <cell r="E138" t="str">
            <v>使用后随机获得冰鉴、螭首盉、三足爵、鎏金缶中的1个贡品</v>
          </cell>
        </row>
        <row r="139">
          <cell r="B139">
            <v>26556</v>
          </cell>
          <cell r="C139" t="str">
            <v>5级贡品宝箱</v>
          </cell>
          <cell r="D139">
            <v>120</v>
          </cell>
          <cell r="E139" t="str">
            <v>使用后随机获得锦瑟、编钟、石磬、瑶琴中的1个贡品</v>
          </cell>
        </row>
        <row r="140">
          <cell r="B140">
            <v>26557</v>
          </cell>
          <cell r="C140" t="str">
            <v>6级贡品宝箱</v>
          </cell>
          <cell r="D140">
            <v>140</v>
          </cell>
          <cell r="E140" t="str">
            <v>使用后随机获得青圭、赤璋、白琥、玄璜中的1个贡品</v>
          </cell>
        </row>
        <row r="142">
          <cell r="B142">
            <v>21251</v>
          </cell>
          <cell r="C142" t="str">
            <v>绿色装备宝箱</v>
          </cell>
          <cell r="D142">
            <v>35</v>
          </cell>
          <cell r="E142" t="str">
            <v>使用后随机获得1件品质为绿色的装备</v>
          </cell>
        </row>
        <row r="143">
          <cell r="B143">
            <v>21252</v>
          </cell>
          <cell r="C143" t="str">
            <v>蓝色装备宝箱</v>
          </cell>
          <cell r="D143">
            <v>75</v>
          </cell>
          <cell r="E143" t="str">
            <v>使用后随机获得1件品质为蓝色的装备</v>
          </cell>
        </row>
        <row r="144">
          <cell r="B144">
            <v>21253</v>
          </cell>
          <cell r="C144" t="str">
            <v>紫色装备宝箱</v>
          </cell>
          <cell r="D144">
            <v>150</v>
          </cell>
          <cell r="E144" t="str">
            <v>使用后随机获得1件品质为紫色的装备</v>
          </cell>
        </row>
        <row r="145">
          <cell r="B145">
            <v>21254</v>
          </cell>
          <cell r="C145" t="str">
            <v>橙色装备宝箱</v>
          </cell>
          <cell r="D145">
            <v>320</v>
          </cell>
          <cell r="E145" t="str">
            <v>使用后随机获得1件品质为橙色的装备</v>
          </cell>
        </row>
        <row r="146">
          <cell r="B146">
            <v>21255</v>
          </cell>
          <cell r="C146" t="str">
            <v>红色装备宝箱</v>
          </cell>
          <cell r="D146">
            <v>2400</v>
          </cell>
          <cell r="E146" t="str">
            <v>使用后随机获得1件品质为红色的装备</v>
          </cell>
        </row>
        <row r="148">
          <cell r="B148">
            <v>20052</v>
          </cell>
          <cell r="C148" t="str">
            <v>练军心得·觉</v>
          </cell>
          <cell r="D148">
            <v>40</v>
          </cell>
          <cell r="E148" t="str">
            <v>掌军之策，厉兵秣马，可用于武将觉醒</v>
          </cell>
        </row>
        <row r="149">
          <cell r="B149">
            <v>20053</v>
          </cell>
          <cell r="C149" t="str">
            <v>策论心得·觉</v>
          </cell>
          <cell r="D149">
            <v>40</v>
          </cell>
          <cell r="E149" t="str">
            <v>书山万卷，算无遗策，可用于武将觉醒</v>
          </cell>
        </row>
        <row r="150">
          <cell r="B150">
            <v>20054</v>
          </cell>
          <cell r="C150" t="str">
            <v>兵书心得·觉</v>
          </cell>
          <cell r="D150">
            <v>40</v>
          </cell>
          <cell r="E150" t="str">
            <v>千军万马，文韬武略，可用于武将觉醒</v>
          </cell>
        </row>
        <row r="152">
          <cell r="B152">
            <v>20055</v>
          </cell>
          <cell r="C152" t="str">
            <v>虎咬佩剑·觉</v>
          </cell>
          <cell r="D152">
            <v>60</v>
          </cell>
          <cell r="E152" t="str">
            <v>卧虎藏龙，剑及履及，可用于武将觉醒</v>
          </cell>
        </row>
        <row r="153">
          <cell r="B153">
            <v>20056</v>
          </cell>
          <cell r="C153" t="str">
            <v>灵蛇佩剑·觉</v>
          </cell>
          <cell r="D153">
            <v>60</v>
          </cell>
          <cell r="E153" t="str">
            <v>灵蛇之珠，剑态箫心，可用于武将觉醒</v>
          </cell>
        </row>
        <row r="154">
          <cell r="B154">
            <v>20057</v>
          </cell>
          <cell r="C154" t="str">
            <v>狼头佩剑·觉</v>
          </cell>
          <cell r="D154">
            <v>60</v>
          </cell>
          <cell r="E154" t="str">
            <v>封狼居胥，剑气纵横，可用于武将觉醒</v>
          </cell>
        </row>
        <row r="155">
          <cell r="E155" t="str">
            <v/>
          </cell>
        </row>
        <row r="156">
          <cell r="B156">
            <v>20059</v>
          </cell>
          <cell r="C156" t="str">
            <v>勇之授印·觉</v>
          </cell>
          <cell r="D156">
            <v>80</v>
          </cell>
          <cell r="E156" t="str">
            <v>拔山盖世，气吞山河，可用于武将觉醒</v>
          </cell>
        </row>
        <row r="157">
          <cell r="B157">
            <v>20060</v>
          </cell>
          <cell r="C157" t="str">
            <v>谋之授印·觉</v>
          </cell>
          <cell r="D157">
            <v>80</v>
          </cell>
          <cell r="E157" t="str">
            <v>渊谋远略，运筹帷幄，可用于武将觉醒</v>
          </cell>
        </row>
        <row r="158">
          <cell r="B158">
            <v>20061</v>
          </cell>
          <cell r="C158" t="str">
            <v>御之授印·觉</v>
          </cell>
          <cell r="D158">
            <v>80</v>
          </cell>
          <cell r="E158" t="str">
            <v>御下有方，论功行赏，可用于武将觉醒</v>
          </cell>
        </row>
        <row r="160">
          <cell r="B160">
            <v>20064</v>
          </cell>
          <cell r="C160" t="str">
            <v>战阵精研·极</v>
          </cell>
          <cell r="D160">
            <v>100</v>
          </cell>
          <cell r="E160" t="str">
            <v>行兵布阵，勇往直前，可用于武将觉醒</v>
          </cell>
        </row>
        <row r="161">
          <cell r="B161">
            <v>20065</v>
          </cell>
          <cell r="C161" t="str">
            <v>谋略精研·极</v>
          </cell>
          <cell r="D161">
            <v>100</v>
          </cell>
          <cell r="E161" t="str">
            <v>目达耳通，上兵伐谋，可用于武将觉醒</v>
          </cell>
        </row>
        <row r="162">
          <cell r="B162">
            <v>20066</v>
          </cell>
          <cell r="C162" t="str">
            <v>御军精研·极</v>
          </cell>
          <cell r="D162">
            <v>100</v>
          </cell>
          <cell r="E162" t="str">
            <v>持筹握算，精兵简政，可用于武将觉醒</v>
          </cell>
        </row>
        <row r="164">
          <cell r="B164">
            <v>20070</v>
          </cell>
          <cell r="C164" t="str">
            <v>白虎白琥·极</v>
          </cell>
          <cell r="D164">
            <v>120</v>
          </cell>
          <cell r="E164" t="str">
            <v>形神兼备，虎啸龙吟，可用于武将觉醒</v>
          </cell>
        </row>
        <row r="165">
          <cell r="B165">
            <v>20071</v>
          </cell>
          <cell r="C165" t="str">
            <v>朱雀赤璋·极</v>
          </cell>
          <cell r="D165">
            <v>120</v>
          </cell>
          <cell r="E165" t="str">
            <v>烈火真金，朱雀玄武，可用于武将觉醒</v>
          </cell>
        </row>
        <row r="166">
          <cell r="B166">
            <v>20072</v>
          </cell>
          <cell r="C166" t="str">
            <v>青龙青圭·极</v>
          </cell>
          <cell r="D166">
            <v>120</v>
          </cell>
          <cell r="E166" t="str">
            <v>青云直上，龙飞凤舞，可用于武将觉醒</v>
          </cell>
        </row>
        <row r="168">
          <cell r="B168">
            <v>20077</v>
          </cell>
          <cell r="C168" t="str">
            <v>战将护符·极</v>
          </cell>
          <cell r="D168">
            <v>140</v>
          </cell>
          <cell r="E168" t="str">
            <v>王侯将相，功成名就，可用于武将觉醒</v>
          </cell>
        </row>
        <row r="169">
          <cell r="B169">
            <v>20078</v>
          </cell>
          <cell r="C169" t="str">
            <v>军师护符·极</v>
          </cell>
          <cell r="D169">
            <v>140</v>
          </cell>
          <cell r="E169" t="str">
            <v>神机妙算，才华横溢，可用于武将觉醒</v>
          </cell>
        </row>
        <row r="170">
          <cell r="B170">
            <v>20079</v>
          </cell>
          <cell r="C170" t="str">
            <v>统帅护符·极</v>
          </cell>
          <cell r="D170">
            <v>140</v>
          </cell>
          <cell r="E170" t="str">
            <v>号令如山，统帅三军，可用于武将觉醒</v>
          </cell>
        </row>
        <row r="173">
          <cell r="B173">
            <v>23001</v>
          </cell>
          <cell r="C173" t="str">
            <v>紫色步将自选宝箱</v>
          </cell>
          <cell r="D173">
            <v>600</v>
          </cell>
          <cell r="E173" t="str">
            <v>使用后选择获得一个紫色步将</v>
          </cell>
        </row>
        <row r="174">
          <cell r="B174">
            <v>23002</v>
          </cell>
          <cell r="C174" t="str">
            <v>橙色步将自选宝箱</v>
          </cell>
          <cell r="D174">
            <v>4800</v>
          </cell>
          <cell r="E174" t="str">
            <v>使用后选择获得一个橙色武将</v>
          </cell>
        </row>
        <row r="175">
          <cell r="B175">
            <v>23003</v>
          </cell>
          <cell r="C175" t="str">
            <v>红色步将自选宝箱</v>
          </cell>
          <cell r="D175">
            <v>14400</v>
          </cell>
          <cell r="E175" t="str">
            <v>使用后选择获得一个红色步将</v>
          </cell>
        </row>
        <row r="176">
          <cell r="B176">
            <v>23004</v>
          </cell>
          <cell r="C176" t="str">
            <v>紫色骑将自选宝箱</v>
          </cell>
          <cell r="D176">
            <v>600</v>
          </cell>
          <cell r="E176" t="str">
            <v>使用后选择获得一个紫色骑将</v>
          </cell>
        </row>
        <row r="177">
          <cell r="B177">
            <v>23005</v>
          </cell>
          <cell r="C177" t="str">
            <v>橙色骑将自选宝箱</v>
          </cell>
          <cell r="D177">
            <v>4800</v>
          </cell>
          <cell r="E177" t="str">
            <v>使用后选择获得一个橙色骑将</v>
          </cell>
        </row>
        <row r="178">
          <cell r="B178">
            <v>23006</v>
          </cell>
          <cell r="C178" t="str">
            <v>红色骑将自选宝箱</v>
          </cell>
          <cell r="D178">
            <v>14400</v>
          </cell>
          <cell r="E178" t="str">
            <v>使用后选择获得一个红色骑将</v>
          </cell>
        </row>
        <row r="179">
          <cell r="B179">
            <v>23007</v>
          </cell>
          <cell r="C179" t="str">
            <v>紫色弓将自选宝箱</v>
          </cell>
          <cell r="D179">
            <v>600</v>
          </cell>
          <cell r="E179" t="str">
            <v>使用后选择获得一个紫色弓将</v>
          </cell>
        </row>
        <row r="180">
          <cell r="B180">
            <v>23008</v>
          </cell>
          <cell r="C180" t="str">
            <v>橙色弓将自选宝箱</v>
          </cell>
          <cell r="D180">
            <v>4800</v>
          </cell>
          <cell r="E180" t="str">
            <v>使用后选择获得一个橙色弓将</v>
          </cell>
        </row>
        <row r="181">
          <cell r="B181">
            <v>23009</v>
          </cell>
          <cell r="C181" t="str">
            <v>红色弓将自选宝箱</v>
          </cell>
          <cell r="D181">
            <v>14400</v>
          </cell>
          <cell r="E181" t="str">
            <v>使用后选择获得一个红色弓将</v>
          </cell>
        </row>
        <row r="182">
          <cell r="B182">
            <v>23010</v>
          </cell>
          <cell r="C182" t="str">
            <v>君主自选宝箱</v>
          </cell>
          <cell r="D182">
            <v>4800</v>
          </cell>
          <cell r="E182" t="str">
            <v>使用后选择获得一个君主武将</v>
          </cell>
        </row>
        <row r="183">
          <cell r="B183">
            <v>23011</v>
          </cell>
          <cell r="C183" t="str">
            <v>紫色武将随机宝箱</v>
          </cell>
          <cell r="D183">
            <v>400</v>
          </cell>
          <cell r="E183" t="str">
            <v>使用后随机获得一个紫色武将</v>
          </cell>
        </row>
        <row r="184">
          <cell r="B184">
            <v>23012</v>
          </cell>
          <cell r="C184" t="str">
            <v>橙色武将随机宝箱</v>
          </cell>
          <cell r="D184">
            <v>1800</v>
          </cell>
          <cell r="E184" t="str">
            <v>使用后随机获得一个橙色武将</v>
          </cell>
        </row>
        <row r="185">
          <cell r="B185">
            <v>23013</v>
          </cell>
          <cell r="C185" t="str">
            <v>红色武将随机宝箱</v>
          </cell>
          <cell r="D185">
            <v>14400</v>
          </cell>
          <cell r="E185" t="str">
            <v>使用后随机获得一个红色武将</v>
          </cell>
        </row>
        <row r="187">
          <cell r="B187">
            <v>23014</v>
          </cell>
          <cell r="C187" t="str">
            <v>橙色武将自选宝箱碎片</v>
          </cell>
          <cell r="D187">
            <v>160</v>
          </cell>
          <cell r="E187" t="str">
    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188">
          <cell r="B188">
            <v>23015</v>
          </cell>
          <cell r="C188" t="str">
            <v>橙色武将随机宝箱碎片</v>
          </cell>
          <cell r="D188">
            <v>60</v>
          </cell>
          <cell r="E188" t="str">
    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189">
          <cell r="B189">
            <v>23016</v>
          </cell>
          <cell r="C189" t="str">
            <v>紫色武将随机宝箱碎片</v>
          </cell>
          <cell r="D189">
            <v>36</v>
          </cell>
          <cell r="E189" t="str">
            <v>集齐10个碎片可以合成，随机获得下列武将中的一个：\n聂荌、专诸、钟无艳、田忌、春申君、莫邪、孙叔敖、西门豹、暴鸢、秦开</v>
          </cell>
        </row>
        <row r="191">
          <cell r="C191" t="str">
            <v>指定绿色装备</v>
          </cell>
          <cell r="D191">
            <v>35</v>
          </cell>
          <cell r="E191">
            <v>1</v>
          </cell>
        </row>
        <row r="192">
          <cell r="C192" t="str">
            <v>指定蓝色装备</v>
          </cell>
          <cell r="D192">
            <v>120</v>
          </cell>
          <cell r="E192">
            <v>1.5</v>
          </cell>
        </row>
        <row r="193">
          <cell r="C193" t="str">
            <v>指定紫色装备</v>
          </cell>
          <cell r="D193">
            <v>300</v>
          </cell>
          <cell r="E193">
            <v>2</v>
          </cell>
        </row>
        <row r="194">
          <cell r="C194" t="str">
            <v>指定橙色装备</v>
          </cell>
          <cell r="D194">
            <v>800</v>
          </cell>
          <cell r="E194">
            <v>2.5</v>
          </cell>
        </row>
        <row r="195">
          <cell r="C195" t="str">
            <v>指定红色装备</v>
          </cell>
          <cell r="D195">
            <v>7200</v>
          </cell>
          <cell r="E195">
            <v>3</v>
          </cell>
        </row>
        <row r="196">
          <cell r="C196" t="str">
            <v>指定红+装备</v>
          </cell>
          <cell r="D196">
            <v>14400</v>
          </cell>
        </row>
        <row r="197">
          <cell r="B197">
            <v>23215</v>
          </cell>
          <cell r="C197" t="str">
            <v>紫色武力装备礼包</v>
          </cell>
        </row>
        <row r="198">
          <cell r="B198">
            <v>23216</v>
          </cell>
          <cell r="C198" t="str">
            <v>紫色智力装备礼包</v>
          </cell>
        </row>
        <row r="199">
          <cell r="B199">
            <v>23217</v>
          </cell>
          <cell r="C199" t="str">
            <v>橙色统率装备礼包</v>
          </cell>
        </row>
        <row r="200">
          <cell r="B200">
            <v>23218</v>
          </cell>
          <cell r="C200" t="str">
            <v>橙色智力装备礼包</v>
          </cell>
        </row>
        <row r="201">
          <cell r="B201">
            <v>23219</v>
          </cell>
          <cell r="C201" t="str">
            <v>橙色武力装备礼包</v>
          </cell>
        </row>
        <row r="202">
          <cell r="B202">
            <v>22118</v>
          </cell>
          <cell r="C202" t="str">
            <v>负荆请罪武魂</v>
          </cell>
        </row>
        <row r="204">
          <cell r="B204">
            <v>23348</v>
          </cell>
          <cell r="C204" t="str">
            <v>清剿令</v>
          </cell>
        </row>
        <row r="208">
          <cell r="B208">
            <v>22116</v>
          </cell>
          <cell r="C208" t="str">
            <v>倾国倾城武魂</v>
          </cell>
        </row>
        <row r="209">
          <cell r="B209">
            <v>22117</v>
          </cell>
          <cell r="C209" t="str">
            <v>墨行天下武魂</v>
          </cell>
        </row>
        <row r="210">
          <cell r="B210">
            <v>23220</v>
          </cell>
          <cell r="C210" t="str">
            <v>红色统智装备礼包</v>
          </cell>
        </row>
        <row r="211">
          <cell r="B211">
            <v>23221</v>
          </cell>
          <cell r="C211" t="str">
            <v>紫色兵法自选宝箱</v>
          </cell>
        </row>
        <row r="212">
          <cell r="B212">
            <v>23222</v>
          </cell>
          <cell r="C212" t="str">
            <v>橙色兵法自选宝箱</v>
          </cell>
        </row>
        <row r="213">
          <cell r="B213">
            <v>23364</v>
          </cell>
          <cell r="C213" t="str">
            <v>自选橙色兵法碎片</v>
          </cell>
        </row>
        <row r="214">
          <cell r="B214">
            <v>23365</v>
          </cell>
          <cell r="C214" t="str">
            <v>自选紫色兵法碎片</v>
          </cell>
        </row>
        <row r="216">
          <cell r="B216">
            <v>21075</v>
          </cell>
          <cell r="C216" t="str">
            <v>中级免战牌</v>
          </cell>
          <cell r="D216">
            <v>200</v>
          </cell>
          <cell r="E216" t="str">
            <v>使用后城池不会遭受来自其他玩家的攻击，主动进攻其他玩家后失效，持续12小时</v>
          </cell>
        </row>
        <row r="217">
          <cell r="B217">
            <v>21071</v>
          </cell>
          <cell r="C217" t="str">
            <v>高级免战牌</v>
          </cell>
          <cell r="D217">
            <v>500</v>
          </cell>
          <cell r="E217" t="str">
            <v>使用后城池不会遭受来自其他玩家的攻击，主动进攻其他玩家后失效，持续24小时</v>
          </cell>
        </row>
        <row r="218">
          <cell r="B218">
            <v>21072</v>
          </cell>
          <cell r="C218" t="str">
            <v>特级免战牌</v>
          </cell>
          <cell r="D218">
            <v>1800</v>
          </cell>
          <cell r="E218" t="str">
            <v>使用后城池不会遭受来自其他玩家的攻击，主动进攻其他玩家后失效，持续72小时</v>
          </cell>
        </row>
        <row r="219">
          <cell r="E219" t="str">
            <v>消灭野怪获得，用于宝物温养。</v>
          </cell>
        </row>
        <row r="220">
          <cell r="B220">
            <v>23359</v>
          </cell>
          <cell r="C220" t="str">
            <v>宝鉴</v>
          </cell>
          <cell r="E220" t="str">
            <v>持有宝鉴名册，可鉴天下珍宝</v>
          </cell>
        </row>
        <row r="221">
          <cell r="B221">
            <v>23526</v>
          </cell>
          <cell r="C221" t="str">
            <v>极品装备宝箱碎片</v>
          </cell>
          <cell r="E221" t="str">
            <v>使用后可以获得一个极品红色装备宝箱</v>
          </cell>
        </row>
        <row r="222">
          <cell r="B222">
            <v>23527</v>
          </cell>
          <cell r="C222" t="str">
            <v>极品装备宝箱</v>
          </cell>
          <cell r="E222" t="str">
            <v>使用后可以选择获得一件极品红色装备</v>
          </cell>
        </row>
        <row r="223">
          <cell r="B223">
            <v>23528</v>
          </cell>
          <cell r="C223" t="str">
            <v>极品统武装备宝箱</v>
          </cell>
          <cell r="E223" t="str">
            <v>使用后获得十方古璃套装3件套装备</v>
          </cell>
        </row>
        <row r="224">
          <cell r="B224">
            <v>23529</v>
          </cell>
          <cell r="C224" t="str">
            <v>极品统智装备宝箱</v>
          </cell>
          <cell r="E224" t="str">
            <v>使用后获得墨霜广焱3件套装备</v>
          </cell>
        </row>
        <row r="225">
          <cell r="B225">
            <v>23530</v>
          </cell>
          <cell r="C225" t="str">
            <v>红色装备宝箱碎片</v>
          </cell>
          <cell r="E225" t="str">
            <v>使用后可以获得一个红色装备宝箱</v>
          </cell>
        </row>
        <row r="226">
          <cell r="B226">
            <v>23531</v>
          </cell>
          <cell r="C226" t="str">
            <v>红色装备宝箱</v>
          </cell>
          <cell r="E226" t="str">
            <v>使用后可以选择获得一件红色装备</v>
          </cell>
        </row>
        <row r="227">
          <cell r="B227">
            <v>23532</v>
          </cell>
          <cell r="C227" t="str">
            <v>抛砖引玉·极-残片</v>
          </cell>
        </row>
        <row r="228">
          <cell r="B228">
            <v>23389</v>
          </cell>
          <cell r="C228" t="str">
            <v>秦阳陵虎符碎片</v>
          </cell>
        </row>
        <row r="229">
          <cell r="B229">
            <v>180024</v>
          </cell>
          <cell r="C229" t="str">
            <v>高级盗贼</v>
          </cell>
        </row>
        <row r="230">
          <cell r="B230">
            <v>180023</v>
          </cell>
          <cell r="C230" t="str">
            <v>高级间谍</v>
          </cell>
        </row>
        <row r="231">
          <cell r="B231">
            <v>180022</v>
          </cell>
          <cell r="C231" t="str">
            <v>高级刺客</v>
          </cell>
        </row>
        <row r="233">
          <cell r="B233">
            <v>23542</v>
          </cell>
          <cell r="C233" t="str">
            <v>十方装备宝箱碎片</v>
          </cell>
        </row>
        <row r="234">
          <cell r="B234">
            <v>23543</v>
          </cell>
          <cell r="C234" t="str">
            <v>墨霜装备宝箱碎片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U363"/>
  <sheetViews>
    <sheetView topLeftCell="Q1" workbookViewId="0">
      <selection activeCell="AM20" sqref="AM20"/>
    </sheetView>
  </sheetViews>
  <sheetFormatPr defaultColWidth="6.625" defaultRowHeight="11.25" x14ac:dyDescent="0.15"/>
  <cols>
    <col min="1" max="12" width="6.625" style="20"/>
    <col min="13" max="13" width="6.625" style="16"/>
    <col min="14" max="35" width="6.625" style="20"/>
    <col min="36" max="36" width="6.625" style="16"/>
    <col min="37" max="43" width="6.625" style="20"/>
    <col min="44" max="44" width="6.625" style="17"/>
    <col min="45" max="50" width="6.625" style="20"/>
    <col min="51" max="51" width="6.625" style="17"/>
    <col min="52" max="58" width="6.625" style="20"/>
    <col min="59" max="59" width="6.625" style="16"/>
    <col min="60" max="16384" width="6.625" style="20"/>
  </cols>
  <sheetData>
    <row r="1" spans="2:73" x14ac:dyDescent="0.15">
      <c r="F1" s="58" t="s">
        <v>158</v>
      </c>
      <c r="G1" s="58" t="s">
        <v>153</v>
      </c>
      <c r="H1" s="21"/>
      <c r="I1" s="58" t="s">
        <v>148</v>
      </c>
      <c r="J1" s="58" t="s">
        <v>153</v>
      </c>
      <c r="K1" s="58" t="s">
        <v>154</v>
      </c>
      <c r="P1" s="20">
        <v>1</v>
      </c>
      <c r="Q1" s="20">
        <v>0.85</v>
      </c>
      <c r="R1" s="20">
        <v>0.7</v>
      </c>
      <c r="S1" s="20">
        <v>0.5</v>
      </c>
      <c r="T1" s="20">
        <v>0.27500000000000002</v>
      </c>
      <c r="AM1" s="20">
        <v>1</v>
      </c>
      <c r="AN1" s="20">
        <v>0.8</v>
      </c>
      <c r="AO1" s="20">
        <v>0.6</v>
      </c>
      <c r="AP1" s="20">
        <v>0.4</v>
      </c>
      <c r="AQ1" s="20">
        <v>0.2</v>
      </c>
    </row>
    <row r="2" spans="2:73" x14ac:dyDescent="0.15">
      <c r="F2" s="58"/>
      <c r="G2" s="58"/>
      <c r="H2" s="21"/>
      <c r="I2" s="58"/>
      <c r="J2" s="58"/>
      <c r="K2" s="58"/>
      <c r="P2" s="57" t="s">
        <v>159</v>
      </c>
      <c r="Q2" s="57"/>
      <c r="R2" s="57"/>
      <c r="S2" s="57"/>
      <c r="T2" s="57"/>
      <c r="W2" s="57" t="s">
        <v>160</v>
      </c>
      <c r="X2" s="57"/>
      <c r="Y2" s="57"/>
      <c r="Z2" s="57"/>
      <c r="AA2" s="57"/>
      <c r="AD2" s="57" t="s">
        <v>161</v>
      </c>
      <c r="AE2" s="57"/>
      <c r="AF2" s="57"/>
      <c r="AG2" s="57"/>
      <c r="AH2" s="57"/>
      <c r="AM2" s="57" t="s">
        <v>149</v>
      </c>
      <c r="AN2" s="57"/>
      <c r="AO2" s="57"/>
      <c r="AP2" s="57"/>
      <c r="AQ2" s="57"/>
      <c r="AT2" s="57" t="s">
        <v>150</v>
      </c>
      <c r="AU2" s="57"/>
      <c r="AV2" s="57"/>
      <c r="AW2" s="57"/>
      <c r="AX2" s="57"/>
      <c r="BA2" s="57" t="s">
        <v>155</v>
      </c>
      <c r="BB2" s="57"/>
      <c r="BC2" s="57"/>
      <c r="BD2" s="57"/>
      <c r="BE2" s="57"/>
      <c r="BJ2" s="56" t="s">
        <v>237</v>
      </c>
      <c r="BK2" s="56"/>
      <c r="BL2" s="56"/>
      <c r="BM2" s="56"/>
      <c r="BN2" s="56"/>
      <c r="BQ2" s="56" t="s">
        <v>238</v>
      </c>
      <c r="BR2" s="56"/>
      <c r="BS2" s="56"/>
      <c r="BT2" s="56"/>
      <c r="BU2" s="56"/>
    </row>
    <row r="3" spans="2:73" x14ac:dyDescent="0.15">
      <c r="F3" s="20">
        <f>[1]节奏总纲!F3</f>
        <v>1</v>
      </c>
      <c r="G3" s="24">
        <f>[1]节奏总纲!G3</f>
        <v>7.1773462536293131E-2</v>
      </c>
      <c r="I3" s="24">
        <f>[1]节奏总纲!I3</f>
        <v>1</v>
      </c>
      <c r="J3" s="24">
        <f>[1]节奏总纲!J3</f>
        <v>7.4349177498517554E-3</v>
      </c>
      <c r="K3" s="24">
        <f>[1]节奏总纲!K3</f>
        <v>0.1</v>
      </c>
      <c r="N3" s="22" t="str">
        <f>[1]节奏总纲!N3</f>
        <v>对应玩家等级</v>
      </c>
      <c r="O3" s="20" t="s">
        <v>158</v>
      </c>
      <c r="P3" s="20" t="s">
        <v>72</v>
      </c>
      <c r="Q3" s="20" t="s">
        <v>73</v>
      </c>
      <c r="R3" s="20" t="s">
        <v>74</v>
      </c>
      <c r="S3" s="20" t="s">
        <v>75</v>
      </c>
      <c r="T3" s="20" t="s">
        <v>76</v>
      </c>
      <c r="V3" s="20" t="s">
        <v>158</v>
      </c>
      <c r="W3" s="20" t="s">
        <v>72</v>
      </c>
      <c r="X3" s="20" t="s">
        <v>73</v>
      </c>
      <c r="Y3" s="20" t="s">
        <v>74</v>
      </c>
      <c r="Z3" s="20" t="s">
        <v>75</v>
      </c>
      <c r="AA3" s="20" t="s">
        <v>76</v>
      </c>
      <c r="AC3" s="20" t="s">
        <v>156</v>
      </c>
      <c r="AD3" s="20" t="s">
        <v>72</v>
      </c>
      <c r="AE3" s="20" t="s">
        <v>73</v>
      </c>
      <c r="AF3" s="20" t="s">
        <v>74</v>
      </c>
      <c r="AG3" s="20" t="s">
        <v>75</v>
      </c>
      <c r="AH3" s="20" t="s">
        <v>76</v>
      </c>
      <c r="AL3" s="20" t="s">
        <v>148</v>
      </c>
      <c r="AM3" s="20" t="s">
        <v>72</v>
      </c>
      <c r="AN3" s="20" t="s">
        <v>73</v>
      </c>
      <c r="AO3" s="20" t="s">
        <v>74</v>
      </c>
      <c r="AP3" s="20" t="s">
        <v>75</v>
      </c>
      <c r="AQ3" s="20" t="s">
        <v>76</v>
      </c>
      <c r="AS3" s="20" t="s">
        <v>148</v>
      </c>
      <c r="AT3" s="20" t="s">
        <v>72</v>
      </c>
      <c r="AU3" s="20" t="s">
        <v>73</v>
      </c>
      <c r="AV3" s="20" t="s">
        <v>74</v>
      </c>
      <c r="AW3" s="20" t="s">
        <v>75</v>
      </c>
      <c r="AX3" s="20" t="s">
        <v>76</v>
      </c>
      <c r="AZ3" s="20" t="s">
        <v>156</v>
      </c>
      <c r="BA3" s="20" t="s">
        <v>72</v>
      </c>
      <c r="BB3" s="20" t="s">
        <v>73</v>
      </c>
      <c r="BC3" s="20" t="s">
        <v>74</v>
      </c>
      <c r="BD3" s="20" t="s">
        <v>75</v>
      </c>
      <c r="BE3" s="20" t="s">
        <v>76</v>
      </c>
      <c r="BI3" s="20" t="s">
        <v>148</v>
      </c>
      <c r="BJ3" s="20" t="s">
        <v>231</v>
      </c>
      <c r="BK3" s="20" t="s">
        <v>232</v>
      </c>
      <c r="BL3" s="20" t="s">
        <v>233</v>
      </c>
      <c r="BM3" s="20" t="s">
        <v>234</v>
      </c>
      <c r="BN3" s="20" t="s">
        <v>235</v>
      </c>
      <c r="BP3" s="20" t="s">
        <v>158</v>
      </c>
      <c r="BQ3" s="20" t="s">
        <v>231</v>
      </c>
      <c r="BR3" s="20" t="s">
        <v>232</v>
      </c>
      <c r="BS3" s="20" t="s">
        <v>233</v>
      </c>
      <c r="BT3" s="20" t="s">
        <v>234</v>
      </c>
      <c r="BU3" s="20" t="s">
        <v>235</v>
      </c>
    </row>
    <row r="4" spans="2:73" x14ac:dyDescent="0.15">
      <c r="F4" s="24">
        <f>[1]节奏总纲!F4</f>
        <v>2</v>
      </c>
      <c r="G4" s="24">
        <f>[1]节奏总纲!G4</f>
        <v>0.1486983549970351</v>
      </c>
      <c r="I4" s="24">
        <f>[1]节奏总纲!I4</f>
        <v>2</v>
      </c>
      <c r="J4" s="24">
        <f>[1]节奏总纲!J4</f>
        <v>2.3963093307967063E-2</v>
      </c>
      <c r="K4" s="24">
        <f>[1]节奏总纲!K4</f>
        <v>0.15</v>
      </c>
      <c r="N4" s="24">
        <f>[1]节奏总纲!N4</f>
        <v>2</v>
      </c>
      <c r="O4" s="24">
        <f>[1]节奏总纲!O4</f>
        <v>1</v>
      </c>
      <c r="P4" s="20">
        <f>[1]节奏总纲!P4</f>
        <v>7.1773462536293131E-2</v>
      </c>
      <c r="Q4" s="20">
        <f>[1]节奏总纲!Q4</f>
        <v>5.9787294292732177E-2</v>
      </c>
      <c r="R4" s="20">
        <f>[1]节奏总纲!R4</f>
        <v>4.677476553490223E-2</v>
      </c>
      <c r="S4" s="20">
        <f>[1]节奏总纲!S4</f>
        <v>3.2585151991477081E-2</v>
      </c>
      <c r="T4" s="20">
        <f>[1]节奏总纲!T4</f>
        <v>1.7039020006115988E-2</v>
      </c>
      <c r="V4" s="24">
        <f>[1]节奏总纲!V4</f>
        <v>1</v>
      </c>
      <c r="W4" s="20">
        <f>[1]节奏总纲!W4</f>
        <v>7.1773462536293131E-2</v>
      </c>
      <c r="X4" s="20">
        <f>[1]节奏总纲!X4</f>
        <v>5.9787294292732177E-2</v>
      </c>
      <c r="Y4" s="20">
        <f>[1]节奏总纲!Y4</f>
        <v>4.677476553490223E-2</v>
      </c>
      <c r="Z4" s="20">
        <f>[1]节奏总纲!Z4</f>
        <v>3.2585151991477081E-2</v>
      </c>
      <c r="AA4" s="20">
        <f>[1]节奏总纲!AA4</f>
        <v>1.7039020006115988E-2</v>
      </c>
      <c r="AC4" s="24">
        <f>[1]节奏总纲!AC4</f>
        <v>1</v>
      </c>
      <c r="AD4" s="20">
        <f>[1]节奏总纲!AD4</f>
        <v>10</v>
      </c>
      <c r="AE4" s="20">
        <f>[1]节奏总纲!AE4</f>
        <v>11.148446722089302</v>
      </c>
      <c r="AF4" s="20">
        <f>[1]节奏总纲!AF4</f>
        <v>12.761737853656415</v>
      </c>
      <c r="AG4" s="20">
        <f>[1]节奏总纲!AG4</f>
        <v>15.452231935206081</v>
      </c>
      <c r="AH4" s="20">
        <f>[1]节奏总纲!AH4</f>
        <v>21.291911942729964</v>
      </c>
      <c r="AL4" s="24">
        <f>[1]节奏总纲!AL4</f>
        <v>1</v>
      </c>
      <c r="AM4" s="24">
        <f>[1]节奏总纲!AM4</f>
        <v>7.4349177498517554E-3</v>
      </c>
      <c r="AN4" s="24">
        <f>[1]节奏总纲!AN4</f>
        <v>5.947934199881405E-3</v>
      </c>
      <c r="AO4" s="24">
        <f>[1]节奏总纲!AO4</f>
        <v>4.4609506499110529E-3</v>
      </c>
      <c r="AP4" s="24">
        <f>[1]节奏总纲!AP4</f>
        <v>2.9739670999407025E-3</v>
      </c>
      <c r="AQ4" s="24">
        <f>[1]节奏总纲!AQ4</f>
        <v>1.4869835499703513E-3</v>
      </c>
      <c r="AS4" s="24">
        <f>[1]节奏总纲!AS4</f>
        <v>1</v>
      </c>
      <c r="AT4" s="20">
        <f>[1]节奏总纲!AT4</f>
        <v>7.4349177498517554E-3</v>
      </c>
      <c r="AU4" s="20">
        <f>[1]节奏总纲!AU4</f>
        <v>5.947934199881405E-3</v>
      </c>
      <c r="AV4" s="20">
        <f>[1]节奏总纲!AV4</f>
        <v>4.4609506499110529E-3</v>
      </c>
      <c r="AW4" s="20">
        <f>[1]节奏总纲!AW4</f>
        <v>2.9739670999407025E-3</v>
      </c>
      <c r="AX4" s="20">
        <f>[1]节奏总纲!AX4</f>
        <v>1.4869835499703513E-3</v>
      </c>
      <c r="AY4" s="20"/>
      <c r="AZ4" s="20">
        <v>1</v>
      </c>
      <c r="BA4" s="20">
        <f>[1]节奏总纲!BA4</f>
        <v>11.296493250964016</v>
      </c>
      <c r="BB4" s="20">
        <f>[1]节奏总纲!BB4</f>
        <v>12.361596792946616</v>
      </c>
      <c r="BC4" s="20">
        <f>[1]节奏总纲!BC4</f>
        <v>13.798091195443488</v>
      </c>
      <c r="BD4" s="20">
        <f>[1]节奏总纲!BD4</f>
        <v>15.911635365458322</v>
      </c>
      <c r="BE4" s="20">
        <f>[1]节奏总纲!BE4</f>
        <v>19.707330185578734</v>
      </c>
      <c r="BI4" s="20">
        <v>1</v>
      </c>
      <c r="BJ4" s="20">
        <f>[1]节奏总纲!BQ4</f>
        <v>0.10358867312681475</v>
      </c>
      <c r="BK4" s="32">
        <f>[1]节奏总纲!BR4</f>
        <v>9.9484920169810143E-2</v>
      </c>
      <c r="BL4" s="32">
        <f>[1]节奏总纲!BS4</f>
        <v>9.5370882117675193E-2</v>
      </c>
      <c r="BM4" s="32">
        <f>[1]节奏总纲!BT4</f>
        <v>9.1267553415695812E-2</v>
      </c>
      <c r="BN4" s="32">
        <f>[1]节奏总纲!BU4</f>
        <v>8.7269311817030126E-2</v>
      </c>
      <c r="BP4" s="20">
        <v>1</v>
      </c>
      <c r="BQ4" s="32">
        <f>[1]节奏总纲!BX4</f>
        <v>3.4919352669146524</v>
      </c>
      <c r="BR4" s="32">
        <f>[1]节奏总纲!BY4</f>
        <v>3.5640303448543476</v>
      </c>
      <c r="BS4" s="32">
        <f>[1]节奏总纲!BZ4</f>
        <v>3.6425338741664604</v>
      </c>
      <c r="BT4" s="32">
        <f>[1]节奏总纲!CA4</f>
        <v>3.7278827947172908</v>
      </c>
      <c r="BU4" s="32">
        <f>[1]节奏总纲!CB4</f>
        <v>3.8187662869079366</v>
      </c>
    </row>
    <row r="5" spans="2:73" x14ac:dyDescent="0.15">
      <c r="F5" s="24">
        <f>[1]节奏总纲!F5</f>
        <v>3</v>
      </c>
      <c r="G5" s="24">
        <f>[1]节奏总纲!G5</f>
        <v>0.23114441334491631</v>
      </c>
      <c r="I5" s="24">
        <f>[1]节奏总纲!I5</f>
        <v>3</v>
      </c>
      <c r="J5" s="24">
        <f>[1]节奏总纲!J5</f>
        <v>5.1571656651039799E-2</v>
      </c>
      <c r="K5" s="24">
        <f>[1]节奏总纲!K5</f>
        <v>0.2</v>
      </c>
      <c r="N5" s="24">
        <f>[1]节奏总纲!N5</f>
        <v>4</v>
      </c>
      <c r="O5" s="24">
        <f>[1]节奏总纲!O5</f>
        <v>2</v>
      </c>
      <c r="P5" s="24">
        <f>[1]节奏总纲!P5</f>
        <v>0.1486983549970351</v>
      </c>
      <c r="Q5" s="24">
        <f>[1]节奏总纲!Q5</f>
        <v>0.12505531655250651</v>
      </c>
      <c r="R5" s="24">
        <f>[1]节奏总纲!R5</f>
        <v>9.883979656652922E-2</v>
      </c>
      <c r="S5" s="24">
        <f>[1]节奏总纲!S5</f>
        <v>6.9828747506607683E-2</v>
      </c>
      <c r="T5" s="24">
        <f>[1]节奏总纲!T5</f>
        <v>3.7085369736260552E-2</v>
      </c>
      <c r="U5" s="23"/>
      <c r="V5" s="24">
        <f>[1]节奏总纲!V5</f>
        <v>2</v>
      </c>
      <c r="W5" s="24">
        <f>[1]节奏总纲!W5</f>
        <v>7.6924892460741967E-2</v>
      </c>
      <c r="X5" s="24">
        <f>[1]节奏总纲!X5</f>
        <v>6.5268022259774336E-2</v>
      </c>
      <c r="Y5" s="24">
        <f>[1]节奏总纲!Y5</f>
        <v>5.206503103162699E-2</v>
      </c>
      <c r="Z5" s="24">
        <f>[1]节奏总纲!Z5</f>
        <v>3.7243595515130602E-2</v>
      </c>
      <c r="AA5" s="24">
        <f>[1]节奏总纲!AA5</f>
        <v>2.0046349730144564E-2</v>
      </c>
      <c r="AC5" s="24">
        <f>[1]节奏总纲!AC5</f>
        <v>2</v>
      </c>
      <c r="AD5" s="24">
        <f>[1]节奏总纲!AD5</f>
        <v>15.845161563010114</v>
      </c>
      <c r="AE5" s="24">
        <f>[1]节奏总纲!AE5</f>
        <v>17.271997130667014</v>
      </c>
      <c r="AF5" s="24">
        <f>[1]节奏总纲!AF5</f>
        <v>19.263096801323076</v>
      </c>
      <c r="AG5" s="24">
        <f>[1]节奏总纲!AG5</f>
        <v>22.536681597650272</v>
      </c>
      <c r="AH5" s="24">
        <f>[1]节奏总纲!AH5</f>
        <v>29.386000042029625</v>
      </c>
      <c r="AL5" s="24">
        <f>[1]节奏总纲!AL5</f>
        <v>2</v>
      </c>
      <c r="AM5" s="24">
        <f>[1]节奏总纲!AM5</f>
        <v>2.3963093307967063E-2</v>
      </c>
      <c r="AN5" s="24">
        <f>[1]节奏总纲!AN5</f>
        <v>1.9170474646373652E-2</v>
      </c>
      <c r="AO5" s="24">
        <f>[1]节奏总纲!AO5</f>
        <v>1.4377855984780237E-2</v>
      </c>
      <c r="AP5" s="24">
        <f>[1]节奏总纲!AP5</f>
        <v>9.5852373231868262E-3</v>
      </c>
      <c r="AQ5" s="24">
        <f>[1]节奏总纲!AQ5</f>
        <v>4.7926186615934131E-3</v>
      </c>
      <c r="AS5" s="24">
        <f>[1]节奏总纲!AS5</f>
        <v>2</v>
      </c>
      <c r="AT5" s="24">
        <f>[1]节奏总纲!AT5</f>
        <v>1.6528175558115307E-2</v>
      </c>
      <c r="AU5" s="24">
        <f>[1]节奏总纲!AU5</f>
        <v>1.3222540446492247E-2</v>
      </c>
      <c r="AV5" s="24">
        <f>[1]节奏总纲!AV5</f>
        <v>9.9169053348691846E-3</v>
      </c>
      <c r="AW5" s="24">
        <f>[1]节奏总纲!AW5</f>
        <v>6.6112702232461237E-3</v>
      </c>
      <c r="AX5" s="24">
        <f>[1]节奏总纲!AX5</f>
        <v>3.3056351116230618E-3</v>
      </c>
      <c r="AY5" s="20"/>
      <c r="AZ5" s="20">
        <v>2</v>
      </c>
      <c r="BA5" s="20">
        <f>[1]节奏总纲!BA5</f>
        <v>14.729965238833779</v>
      </c>
      <c r="BB5" s="20">
        <f>[1]节奏总纲!BB5</f>
        <v>15.911635365458322</v>
      </c>
      <c r="BC5" s="20">
        <f>[1]节奏总纲!BC5</f>
        <v>17.448850811924295</v>
      </c>
      <c r="BD5" s="20">
        <f>[1]节奏总纲!BD5</f>
        <v>19.707330185578734</v>
      </c>
      <c r="BE5" s="20">
        <f>[1]节奏总纲!BE5</f>
        <v>23.710496742673982</v>
      </c>
      <c r="BI5" s="20">
        <v>2</v>
      </c>
      <c r="BJ5" s="32">
        <f>[1]节奏总纲!BQ5</f>
        <v>0.33387121731586833</v>
      </c>
      <c r="BK5" s="32">
        <f>[1]节奏总纲!BR5</f>
        <v>0.3206446264738233</v>
      </c>
      <c r="BL5" s="32">
        <f>[1]节奏总纲!BS5</f>
        <v>0.30738488628129679</v>
      </c>
      <c r="BM5" s="32">
        <f>[1]节奏总纲!BT5</f>
        <v>0.29415966283336437</v>
      </c>
      <c r="BN5" s="32">
        <f>[1]节奏总纲!BU5</f>
        <v>0.2812731401144638</v>
      </c>
      <c r="BP5" s="20">
        <v>2</v>
      </c>
      <c r="BQ5" s="32">
        <f>[1]节奏总纲!BX5</f>
        <v>4.977308377450588</v>
      </c>
      <c r="BR5" s="32">
        <f>[1]节奏总纲!BY5</f>
        <v>5.0895603019048199</v>
      </c>
      <c r="BS5" s="32">
        <f>[1]节奏总纲!BZ5</f>
        <v>5.2088085130582007</v>
      </c>
      <c r="BT5" s="32">
        <f>[1]节奏总纲!CA5</f>
        <v>5.348253402094703</v>
      </c>
      <c r="BU5" s="32">
        <f>[1]节奏总纲!CB5</f>
        <v>5.5020994005782997</v>
      </c>
    </row>
    <row r="6" spans="2:73" x14ac:dyDescent="0.15">
      <c r="B6" s="57" t="s">
        <v>162</v>
      </c>
      <c r="C6" s="57"/>
      <c r="D6" s="57"/>
      <c r="F6" s="24">
        <f>[1]节奏总纲!F6</f>
        <v>4</v>
      </c>
      <c r="G6" s="24">
        <f>[1]节奏总纲!G6</f>
        <v>0.3195079107728942</v>
      </c>
      <c r="I6" s="24">
        <f>[1]节奏总纲!I6</f>
        <v>4</v>
      </c>
      <c r="J6" s="24">
        <f>[1]节奏总纲!J6</f>
        <v>9.2637640824031031E-2</v>
      </c>
      <c r="K6" s="24">
        <f>[1]节奏总纲!K6</f>
        <v>0.25</v>
      </c>
      <c r="N6" s="24">
        <f>[1]节奏总纲!N6</f>
        <v>6</v>
      </c>
      <c r="O6" s="24">
        <f>[1]节奏总纲!O6</f>
        <v>3</v>
      </c>
      <c r="P6" s="24">
        <f>[1]节奏总纲!P6</f>
        <v>0.23114441334491631</v>
      </c>
      <c r="Q6" s="24">
        <f>[1]节奏总纲!Q6</f>
        <v>0.19582554698581309</v>
      </c>
      <c r="R6" s="24">
        <f>[1]节奏总纲!R6</f>
        <v>0.15616116565582547</v>
      </c>
      <c r="S6" s="24">
        <f>[1]节奏总纲!S6</f>
        <v>0.11120357726023924</v>
      </c>
      <c r="T6" s="24">
        <f>[1]节奏总纲!T6</f>
        <v>5.9380999788309005E-2</v>
      </c>
      <c r="U6" s="23"/>
      <c r="V6" s="24">
        <f>[1]节奏总纲!V6</f>
        <v>3</v>
      </c>
      <c r="W6" s="24">
        <f>[1]节奏总纲!W6</f>
        <v>8.2446058347881213E-2</v>
      </c>
      <c r="X6" s="24">
        <f>[1]节奏总纲!X6</f>
        <v>7.0770230433306575E-2</v>
      </c>
      <c r="Y6" s="24">
        <f>[1]节奏总纲!Y6</f>
        <v>5.7321369089296248E-2</v>
      </c>
      <c r="Z6" s="24">
        <f>[1]节奏总纲!Z6</f>
        <v>4.1374829753631562E-2</v>
      </c>
      <c r="AA6" s="24">
        <f>[1]节奏总纲!AA6</f>
        <v>2.2295630052048453E-2</v>
      </c>
      <c r="AC6" s="24">
        <f>[1]节奏总纲!AC6</f>
        <v>3</v>
      </c>
      <c r="AD6" s="24">
        <f>[1]节奏总纲!AD6</f>
        <v>20</v>
      </c>
      <c r="AE6" s="24">
        <f>[1]节奏总纲!AE6</f>
        <v>21.543844702365945</v>
      </c>
      <c r="AF6" s="24">
        <f>[1]节奏总纲!AF6</f>
        <v>23.734615677065324</v>
      </c>
      <c r="AG6" s="24">
        <f>[1]节奏总纲!AG6</f>
        <v>27.324610510337703</v>
      </c>
      <c r="AH6" s="24">
        <f>[1]节奏总纲!AH6</f>
        <v>34.517938607173015</v>
      </c>
      <c r="AL6" s="24">
        <f>[1]节奏总纲!AL6</f>
        <v>3</v>
      </c>
      <c r="AM6" s="24">
        <f>[1]节奏总纲!AM6</f>
        <v>5.1571656651039799E-2</v>
      </c>
      <c r="AN6" s="24">
        <f>[1]节奏总纲!AN6</f>
        <v>4.1257325320831845E-2</v>
      </c>
      <c r="AO6" s="24">
        <f>[1]节奏总纲!AO6</f>
        <v>3.0942993990623877E-2</v>
      </c>
      <c r="AP6" s="24">
        <f>[1]节奏总纲!AP6</f>
        <v>2.0628662660415922E-2</v>
      </c>
      <c r="AQ6" s="24">
        <f>[1]节奏总纲!AQ6</f>
        <v>1.0314331330207961E-2</v>
      </c>
      <c r="AS6" s="24">
        <f>[1]节奏总纲!AS6</f>
        <v>3</v>
      </c>
      <c r="AT6" s="24">
        <f>[1]节奏总纲!AT6</f>
        <v>2.7608563343072736E-2</v>
      </c>
      <c r="AU6" s="24">
        <f>[1]节奏总纲!AU6</f>
        <v>2.2086850674458192E-2</v>
      </c>
      <c r="AV6" s="24">
        <f>[1]节奏总纲!AV6</f>
        <v>1.6565138005843638E-2</v>
      </c>
      <c r="AW6" s="24">
        <f>[1]节奏总纲!AW6</f>
        <v>1.1043425337229096E-2</v>
      </c>
      <c r="AX6" s="24">
        <f>[1]节奏总纲!AX6</f>
        <v>5.5217126686145481E-3</v>
      </c>
      <c r="AY6" s="20"/>
      <c r="AZ6" s="20">
        <v>3</v>
      </c>
      <c r="BA6" s="20">
        <f>[1]节奏总纲!BA6</f>
        <v>16.888397947066121</v>
      </c>
      <c r="BB6" s="20">
        <f>[1]节奏总纲!BB6</f>
        <v>18.108391417375849</v>
      </c>
      <c r="BC6" s="20">
        <f>[1]节奏总纲!BC6</f>
        <v>19.707330185578734</v>
      </c>
      <c r="BD6" s="20">
        <f>[1]节奏总纲!BD6</f>
        <v>22.041972908628715</v>
      </c>
      <c r="BE6" s="20">
        <f>[1]节奏总纲!BE6</f>
        <v>26.127796402772656</v>
      </c>
      <c r="BI6" s="20">
        <v>3</v>
      </c>
      <c r="BJ6" s="32">
        <f>[1]节奏总纲!BQ6</f>
        <v>0.71853377040242361</v>
      </c>
      <c r="BK6" s="32">
        <f>[1]节奏总纲!BR6</f>
        <v>0.69006844696511282</v>
      </c>
      <c r="BL6" s="32">
        <f>[1]节奏总纲!BS6</f>
        <v>0.66153178186505168</v>
      </c>
      <c r="BM6" s="32">
        <f>[1]节奏总纲!BT6</f>
        <v>0.63306940123561561</v>
      </c>
      <c r="BN6" s="32">
        <f>[1]节奏总纲!BU6</f>
        <v>0.60533594810650693</v>
      </c>
      <c r="BP6" s="20">
        <v>3</v>
      </c>
      <c r="BQ6" s="32">
        <f>[1]节奏总纲!BX6</f>
        <v>6.1165253069520942</v>
      </c>
      <c r="BR6" s="32">
        <f>[1]节奏总纲!BY6</f>
        <v>6.2666264078379221</v>
      </c>
      <c r="BS6" s="32">
        <f>[1]节奏总纲!BZ6</f>
        <v>6.4370802003692873</v>
      </c>
      <c r="BT6" s="32">
        <f>[1]节奏总纲!CA6</f>
        <v>6.6323388358436492</v>
      </c>
      <c r="BU6" s="32">
        <f>[1]节奏总纲!CB6</f>
        <v>6.8403179035964721</v>
      </c>
    </row>
    <row r="7" spans="2:73" x14ac:dyDescent="0.15">
      <c r="B7" s="20" t="s">
        <v>158</v>
      </c>
      <c r="C7" s="20" t="s">
        <v>88</v>
      </c>
      <c r="D7" s="20" t="s">
        <v>151</v>
      </c>
      <c r="F7" s="24">
        <f>[1]节奏总纲!F7</f>
        <v>5</v>
      </c>
      <c r="G7" s="24">
        <f>[1]节奏总纲!G7</f>
        <v>0.41421356237309515</v>
      </c>
      <c r="I7" s="24">
        <f>[1]节奏总纲!I7</f>
        <v>5</v>
      </c>
      <c r="J7" s="24">
        <f>[1]节奏总纲!J7</f>
        <v>0.15</v>
      </c>
      <c r="K7" s="24">
        <f>[1]节奏总纲!K7</f>
        <v>0.3</v>
      </c>
      <c r="N7" s="24">
        <f>[1]节奏总纲!N7</f>
        <v>8</v>
      </c>
      <c r="O7" s="24">
        <f>[1]节奏总纲!O7</f>
        <v>4</v>
      </c>
      <c r="P7" s="24">
        <f>[1]节奏总纲!P7</f>
        <v>0.3195079107728942</v>
      </c>
      <c r="Q7" s="24">
        <f>[1]节奏总纲!Q7</f>
        <v>0.2719651336498875</v>
      </c>
      <c r="R7" s="24">
        <f>[1]节奏总纲!R7</f>
        <v>0.21816000147573214</v>
      </c>
      <c r="S7" s="24">
        <f>[1]节奏总纲!S7</f>
        <v>0.15607961441255883</v>
      </c>
      <c r="T7" s="24">
        <f>[1]节奏总纲!T7</f>
        <v>8.4062531324348461E-2</v>
      </c>
      <c r="U7" s="23"/>
      <c r="V7" s="24">
        <f>[1]节奏总纲!V7</f>
        <v>4</v>
      </c>
      <c r="W7" s="24">
        <f>[1]节奏总纲!W7</f>
        <v>8.8363497427977888E-2</v>
      </c>
      <c r="X7" s="24">
        <f>[1]节奏总纲!X7</f>
        <v>7.6139586664074416E-2</v>
      </c>
      <c r="Y7" s="24">
        <f>[1]节奏总纲!Y7</f>
        <v>6.1998835819906672E-2</v>
      </c>
      <c r="Z7" s="24">
        <f>[1]节奏总纲!Z7</f>
        <v>4.4876037152319581E-2</v>
      </c>
      <c r="AA7" s="24">
        <f>[1]节奏总纲!AA7</f>
        <v>2.4681531536039455E-2</v>
      </c>
      <c r="AC7" s="24">
        <f>[1]节奏总纲!AC7</f>
        <v>4</v>
      </c>
      <c r="AD7" s="24">
        <f>[1]节奏总纲!AD7</f>
        <v>23.213386604241784</v>
      </c>
      <c r="AE7" s="24">
        <f>[1]节奏总纲!AE7</f>
        <v>24.836966034810484</v>
      </c>
      <c r="AF7" s="24">
        <f>[1]节奏总纲!AF7</f>
        <v>27.155717181399513</v>
      </c>
      <c r="AG7" s="24">
        <f>[1]节奏总纲!AG7</f>
        <v>30.831257561377125</v>
      </c>
      <c r="AH7" s="24">
        <f>[1]节奏总纲!AH7</f>
        <v>38.431365705145346</v>
      </c>
      <c r="AL7" s="24">
        <f>[1]节奏总纲!AL7</f>
        <v>4</v>
      </c>
      <c r="AM7" s="24">
        <f>[1]节奏总纲!AM7</f>
        <v>9.2637640824031031E-2</v>
      </c>
      <c r="AN7" s="24">
        <f>[1]节奏总纲!AN7</f>
        <v>7.4110112659224833E-2</v>
      </c>
      <c r="AO7" s="24">
        <f>[1]节奏总纲!AO7</f>
        <v>5.5582584494418615E-2</v>
      </c>
      <c r="AP7" s="24">
        <f>[1]节奏总纲!AP7</f>
        <v>3.7055056329612417E-2</v>
      </c>
      <c r="AQ7" s="24">
        <f>[1]节奏总纲!AQ7</f>
        <v>1.8527528164806208E-2</v>
      </c>
      <c r="AS7" s="24">
        <f>[1]节奏总纲!AS7</f>
        <v>4</v>
      </c>
      <c r="AT7" s="24">
        <f>[1]节奏总纲!AT7</f>
        <v>4.1065984172991232E-2</v>
      </c>
      <c r="AU7" s="24">
        <f>[1]节奏总纲!AU7</f>
        <v>3.2852787338392989E-2</v>
      </c>
      <c r="AV7" s="24">
        <f>[1]节奏总纲!AV7</f>
        <v>2.4639590503794738E-2</v>
      </c>
      <c r="AW7" s="24">
        <f>[1]节奏总纲!AW7</f>
        <v>1.6426393669196494E-2</v>
      </c>
      <c r="AX7" s="24">
        <f>[1]节奏总纲!AX7</f>
        <v>8.2131968345982471E-3</v>
      </c>
      <c r="AY7" s="20"/>
      <c r="AZ7" s="20">
        <v>4</v>
      </c>
      <c r="BA7" s="20">
        <f>[1]节奏总纲!BA7</f>
        <v>18.453550676044042</v>
      </c>
      <c r="BB7" s="20">
        <f>[1]节奏总纲!BB7</f>
        <v>19.707330185578734</v>
      </c>
      <c r="BC7" s="20">
        <f>[1]节奏总纲!BC7</f>
        <v>21.34613466141565</v>
      </c>
      <c r="BD7" s="20">
        <f>[1]节奏总纲!BD7</f>
        <v>23.710496742673982</v>
      </c>
      <c r="BE7" s="20">
        <f>[1]节奏总纲!BE7</f>
        <v>27.863030247590562</v>
      </c>
      <c r="BI7" s="20">
        <v>4</v>
      </c>
      <c r="BJ7" s="32">
        <f>[1]节奏总纲!BQ7</f>
        <v>1.2712279162221225</v>
      </c>
      <c r="BK7" s="32">
        <f>[1]节奏总纲!BR7</f>
        <v>1.2194461831474863</v>
      </c>
      <c r="BL7" s="32">
        <f>[1]节奏总纲!BS7</f>
        <v>1.1691695709192234</v>
      </c>
      <c r="BM7" s="32">
        <f>[1]节奏总纲!BT7</f>
        <v>1.1200180669001034</v>
      </c>
      <c r="BN7" s="32">
        <f>[1]节奏总纲!BU7</f>
        <v>1.0742533268514161</v>
      </c>
      <c r="BP7" s="20">
        <v>4</v>
      </c>
      <c r="BQ7" s="32">
        <f>[1]节奏总纲!BX7</f>
        <v>7.0702756195404151</v>
      </c>
      <c r="BR7" s="32">
        <f>[1]节奏总纲!BY7</f>
        <v>7.2477985806027867</v>
      </c>
      <c r="BS7" s="32">
        <f>[1]节奏总纲!BZ7</f>
        <v>7.4530595043311552</v>
      </c>
      <c r="BT7" s="32">
        <f>[1]节奏总纲!CA7</f>
        <v>7.6839780435255705</v>
      </c>
      <c r="BU7" s="32">
        <f>[1]节奏总纲!CB7</f>
        <v>7.9454083416525796</v>
      </c>
    </row>
    <row r="8" spans="2:73" x14ac:dyDescent="0.15">
      <c r="B8" s="24">
        <f>[1]节奏总纲!B8</f>
        <v>10</v>
      </c>
      <c r="C8" s="24">
        <f>[1]节奏总纲!C8</f>
        <v>1</v>
      </c>
      <c r="D8" s="24">
        <f>[1]节奏总纲!D8</f>
        <v>1</v>
      </c>
      <c r="F8" s="24">
        <f>[1]节奏总纲!F8</f>
        <v>6</v>
      </c>
      <c r="G8" s="24">
        <f>[1]节奏总纲!G8</f>
        <v>0.51571656651039799</v>
      </c>
      <c r="I8" s="24">
        <f>[1]节奏总纲!I8</f>
        <v>6</v>
      </c>
      <c r="J8" s="24">
        <f>[1]节奏总纲!J8</f>
        <v>0.22055744069899194</v>
      </c>
      <c r="K8" s="24">
        <f>[1]节奏总纲!K8</f>
        <v>0.34</v>
      </c>
      <c r="N8" s="24">
        <f>[1]节奏总纲!N8</f>
        <v>10</v>
      </c>
      <c r="O8" s="24">
        <f>[1]节奏总纲!O8</f>
        <v>5</v>
      </c>
      <c r="P8" s="24">
        <f>[1]节奏总纲!P8</f>
        <v>0.41421356237309515</v>
      </c>
      <c r="Q8" s="24">
        <f>[1]节奏总纲!Q8</f>
        <v>0.35241289886702937</v>
      </c>
      <c r="R8" s="24">
        <f>[1]节奏总纲!R8</f>
        <v>0.28315639123824782</v>
      </c>
      <c r="S8" s="24">
        <f>[1]节奏总纲!S8</f>
        <v>0.20296464556281663</v>
      </c>
      <c r="T8" s="24">
        <f>[1]节奏总纲!T8</f>
        <v>0.10951806589144637</v>
      </c>
      <c r="U8" s="23"/>
      <c r="V8" s="24">
        <f>[1]节奏总纲!V8</f>
        <v>5</v>
      </c>
      <c r="W8" s="24">
        <f>[1]节奏总纲!W8</f>
        <v>9.4705651600200946E-2</v>
      </c>
      <c r="X8" s="24">
        <f>[1]节奏总纲!X8</f>
        <v>8.0447765217141864E-2</v>
      </c>
      <c r="Y8" s="24">
        <f>[1]节奏总纲!Y8</f>
        <v>6.4996389762515677E-2</v>
      </c>
      <c r="Z8" s="24">
        <f>[1]节奏总纲!Z8</f>
        <v>4.68850311502578E-2</v>
      </c>
      <c r="AA8" s="24">
        <f>[1]节奏总纲!AA8</f>
        <v>2.5455534567097912E-2</v>
      </c>
      <c r="AC8" s="24">
        <f>[1]节奏总纲!AC8</f>
        <v>5</v>
      </c>
      <c r="AD8" s="24">
        <f>[1]节奏总纲!AD8</f>
        <v>25.845161563010112</v>
      </c>
      <c r="AE8" s="24">
        <f>[1]节奏总纲!AE8</f>
        <v>27.525245270311611</v>
      </c>
      <c r="AF8" s="24">
        <f>[1]节奏总纲!AF8</f>
        <v>29.892344464157688</v>
      </c>
      <c r="AG8" s="24">
        <f>[1]节奏总纲!AG8</f>
        <v>33.672145166817529</v>
      </c>
      <c r="AH8" s="24">
        <f>[1]节奏总纲!AH8</f>
        <v>41.359260538726978</v>
      </c>
      <c r="AL8" s="24">
        <f>[1]节奏总纲!AL8</f>
        <v>5</v>
      </c>
      <c r="AM8" s="24">
        <f>[1]节奏总纲!AM8</f>
        <v>0.15</v>
      </c>
      <c r="AN8" s="24">
        <f>[1]节奏总纲!AN8</f>
        <v>0.12</v>
      </c>
      <c r="AO8" s="24">
        <f>[1]节奏总纲!AO8</f>
        <v>0.09</v>
      </c>
      <c r="AP8" s="24">
        <f>[1]节奏总纲!AP8</f>
        <v>0.06</v>
      </c>
      <c r="AQ8" s="24">
        <f>[1]节奏总纲!AQ8</f>
        <v>0.03</v>
      </c>
      <c r="AS8" s="24">
        <f>[1]节奏总纲!AS8</f>
        <v>5</v>
      </c>
      <c r="AT8" s="24">
        <f>[1]节奏总纲!AT8</f>
        <v>5.7362359175968963E-2</v>
      </c>
      <c r="AU8" s="24">
        <f>[1]节奏总纲!AU8</f>
        <v>4.5889887340775162E-2</v>
      </c>
      <c r="AV8" s="24">
        <f>[1]节奏总纲!AV8</f>
        <v>3.4417415505581382E-2</v>
      </c>
      <c r="AW8" s="24">
        <f>[1]节奏总纲!AW8</f>
        <v>2.2944943670387581E-2</v>
      </c>
      <c r="AX8" s="24">
        <f>[1]节奏总纲!AX8</f>
        <v>1.1472471835193791E-2</v>
      </c>
      <c r="AY8" s="20"/>
      <c r="AZ8" s="20">
        <v>5</v>
      </c>
      <c r="BA8" s="20">
        <f>[1]节奏总纲!BA8</f>
        <v>19.707330185578734</v>
      </c>
      <c r="BB8" s="20">
        <f>[1]节奏总纲!BB8</f>
        <v>20.993539484876777</v>
      </c>
      <c r="BC8" s="20">
        <f>[1]节奏总纲!BC8</f>
        <v>22.639743033177162</v>
      </c>
      <c r="BD8" s="20">
        <f>[1]节奏总纲!BD8</f>
        <v>25.044229735272328</v>
      </c>
      <c r="BE8" s="20">
        <f>[1]节奏总纲!BE8</f>
        <v>29.216428548527322</v>
      </c>
      <c r="BI8" s="20">
        <v>5</v>
      </c>
      <c r="BJ8" s="32">
        <f>[1]节奏总纲!BQ8</f>
        <v>2.0157878378790723</v>
      </c>
      <c r="BK8" s="32">
        <f>[1]节奏总纲!BR8</f>
        <v>1.9225452774961409</v>
      </c>
      <c r="BL8" s="32">
        <f>[1]节奏总纲!BS8</f>
        <v>1.830216243198636</v>
      </c>
      <c r="BM8" s="32">
        <f>[1]节奏总纲!BT8</f>
        <v>1.7360956328017618</v>
      </c>
      <c r="BN8" s="32">
        <f>[1]节奏总纲!BU8</f>
        <v>1.6465506273391022</v>
      </c>
      <c r="BP8" s="20">
        <v>5</v>
      </c>
      <c r="BQ8" s="32">
        <f>[1]节奏总纲!BX8</f>
        <v>7.8924592775257718</v>
      </c>
      <c r="BR8" s="32">
        <f>[1]节奏总纲!BY8</f>
        <v>8.0964284787133458</v>
      </c>
      <c r="BS8" s="32">
        <f>[1]节奏总纲!BZ8</f>
        <v>8.3140998912475936</v>
      </c>
      <c r="BT8" s="32">
        <f>[1]节奏总纲!CA8</f>
        <v>8.5599968276049641</v>
      </c>
      <c r="BU8" s="32">
        <f>[1]节奏总纲!CB8</f>
        <v>8.8384248761652557</v>
      </c>
    </row>
    <row r="9" spans="2:73" x14ac:dyDescent="0.15">
      <c r="B9" s="24">
        <f>[1]节奏总纲!B9</f>
        <v>20</v>
      </c>
      <c r="C9" s="24">
        <f>[1]节奏总纲!C9</f>
        <v>3</v>
      </c>
      <c r="D9" s="24">
        <f>[1]节奏总纲!D9</f>
        <v>2</v>
      </c>
      <c r="F9" s="24">
        <f>[1]节奏总纲!F9</f>
        <v>7</v>
      </c>
      <c r="G9" s="24">
        <f>[1]节奏总纲!G9</f>
        <v>0.62450479271247095</v>
      </c>
      <c r="I9" s="24">
        <f>[1]节奏总纲!I9</f>
        <v>7</v>
      </c>
      <c r="J9" s="24">
        <f>[1]节奏总纲!J9</f>
        <v>0.31141300609369982</v>
      </c>
      <c r="K9" s="24">
        <f>[1]节奏总纲!K9</f>
        <v>0.38</v>
      </c>
      <c r="N9" s="24">
        <f>[1]节奏总纲!N9</f>
        <v>12</v>
      </c>
      <c r="O9" s="24">
        <f>[1]节奏总纲!O9</f>
        <v>6</v>
      </c>
      <c r="P9" s="24">
        <f>[1]节奏总纲!P9</f>
        <v>0.51571656651039799</v>
      </c>
      <c r="Q9" s="24">
        <f>[1]节奏总纲!Q9</f>
        <v>0.43939051466685908</v>
      </c>
      <c r="R9" s="24">
        <f>[1]节奏总纲!R9</f>
        <v>0.35336899137292471</v>
      </c>
      <c r="S9" s="24">
        <f>[1]节奏总纲!S9</f>
        <v>0.25440298225957936</v>
      </c>
      <c r="T9" s="24">
        <f>[1]节奏总纲!T9</f>
        <v>0.13836675479473978</v>
      </c>
      <c r="U9" s="23"/>
      <c r="V9" s="24">
        <f>[1]节奏总纲!V9</f>
        <v>6</v>
      </c>
      <c r="W9" s="24">
        <f>[1]节奏总纲!W9</f>
        <v>0.10150300413730284</v>
      </c>
      <c r="X9" s="24">
        <f>[1]节奏总纲!X9</f>
        <v>8.6977615799829711E-2</v>
      </c>
      <c r="Y9" s="24">
        <f>[1]节奏总纲!Y9</f>
        <v>7.0212600134676895E-2</v>
      </c>
      <c r="Z9" s="24">
        <f>[1]节奏总纲!Z9</f>
        <v>5.1438336696762732E-2</v>
      </c>
      <c r="AA9" s="24">
        <f>[1]节奏总纲!AA9</f>
        <v>2.884868890329341E-2</v>
      </c>
      <c r="AC9" s="24">
        <f>[1]节奏总纲!AC9</f>
        <v>6</v>
      </c>
      <c r="AD9" s="24">
        <f>[1]节奏总纲!AD9</f>
        <v>28.071211008105138</v>
      </c>
      <c r="AE9" s="24">
        <f>[1]节奏总纲!AE9</f>
        <v>29.78183527117605</v>
      </c>
      <c r="AF9" s="24">
        <f>[1]节奏总纲!AF9</f>
        <v>32.202183458664891</v>
      </c>
      <c r="AG9" s="24">
        <f>[1]节奏总纲!AG9</f>
        <v>36.067019846099676</v>
      </c>
      <c r="AH9" s="24">
        <f>[1]节奏总纲!AH9</f>
        <v>43.870275262019007</v>
      </c>
      <c r="AL9" s="24">
        <f>[1]节奏总纲!AL9</f>
        <v>6</v>
      </c>
      <c r="AM9" s="24">
        <f>[1]节奏总纲!AM9</f>
        <v>0.22055744069899194</v>
      </c>
      <c r="AN9" s="24">
        <f>[1]节奏总纲!AN9</f>
        <v>0.17644595255919357</v>
      </c>
      <c r="AO9" s="24">
        <f>[1]节奏总纲!AO9</f>
        <v>0.13233446441939517</v>
      </c>
      <c r="AP9" s="24">
        <f>[1]节奏总纲!AP9</f>
        <v>8.8222976279596785E-2</v>
      </c>
      <c r="AQ9" s="24">
        <f>[1]节奏总纲!AQ9</f>
        <v>4.4111488139798392E-2</v>
      </c>
      <c r="AS9" s="24">
        <f>[1]节奏总纲!AS9</f>
        <v>6</v>
      </c>
      <c r="AT9" s="24">
        <f>[1]节奏总纲!AT9</f>
        <v>7.0557440698991947E-2</v>
      </c>
      <c r="AU9" s="24">
        <f>[1]节奏总纲!AU9</f>
        <v>5.6445952559193574E-2</v>
      </c>
      <c r="AV9" s="24">
        <f>[1]节奏总纲!AV9</f>
        <v>4.2334464419395174E-2</v>
      </c>
      <c r="AW9" s="24">
        <f>[1]节奏总纲!AW9</f>
        <v>2.8222976279596787E-2</v>
      </c>
      <c r="AX9" s="24">
        <f>[1]节奏总纲!AX9</f>
        <v>1.4111488139798394E-2</v>
      </c>
      <c r="AY9" s="20"/>
      <c r="AZ9" s="20">
        <v>6</v>
      </c>
      <c r="BA9" s="20">
        <f>[1]节奏总纲!BA9</f>
        <v>20.745154613657583</v>
      </c>
      <c r="BB9" s="20">
        <f>[1]节奏总纲!BB9</f>
        <v>22.041972908628715</v>
      </c>
      <c r="BC9" s="20">
        <f>[1]节奏总纲!BC9</f>
        <v>23.710496742673982</v>
      </c>
      <c r="BD9" s="20">
        <f>[1]节奏总纲!BD9</f>
        <v>26.127796402772656</v>
      </c>
      <c r="BE9" s="20">
        <f>[1]节奏总纲!BE9</f>
        <v>30.329493925593439</v>
      </c>
      <c r="BI9" s="20">
        <v>6</v>
      </c>
      <c r="BJ9" s="32">
        <f>[1]节奏总纲!BQ9</f>
        <v>2.871589098883871</v>
      </c>
      <c r="BK9" s="32">
        <f>[1]节奏总纲!BR9</f>
        <v>2.7261617729946108</v>
      </c>
      <c r="BL9" s="32">
        <f>[1]节奏总纲!BS9</f>
        <v>2.5843312604883417</v>
      </c>
      <c r="BM9" s="32">
        <f>[1]节奏总纲!BT9</f>
        <v>2.4445753343885266</v>
      </c>
      <c r="BN9" s="32">
        <f>[1]节奏总纲!BU9</f>
        <v>2.3151343284372583</v>
      </c>
      <c r="BP9" s="20">
        <v>6</v>
      </c>
      <c r="BQ9" s="32">
        <f>[1]节奏总纲!BX9</f>
        <v>8.6175479890862157</v>
      </c>
      <c r="BR9" s="32">
        <f>[1]节奏总纲!BY9</f>
        <v>8.849843797743457</v>
      </c>
      <c r="BS9" s="32">
        <f>[1]节奏总纲!BZ9</f>
        <v>9.1007395721182949</v>
      </c>
      <c r="BT9" s="32">
        <f>[1]节奏总纲!CA9</f>
        <v>9.3635025505897787</v>
      </c>
      <c r="BU9" s="32">
        <f>[1]节奏总纲!CB9</f>
        <v>9.6752186318997833</v>
      </c>
    </row>
    <row r="10" spans="2:73" x14ac:dyDescent="0.15">
      <c r="B10" s="24">
        <f>[1]节奏总纲!B10</f>
        <v>30</v>
      </c>
      <c r="C10" s="24">
        <f>[1]节奏总纲!C10</f>
        <v>7</v>
      </c>
      <c r="D10" s="24">
        <f>[1]节奏总纲!D10</f>
        <v>4</v>
      </c>
      <c r="F10" s="24">
        <f>[1]节奏总纲!F10</f>
        <v>8</v>
      </c>
      <c r="G10" s="24">
        <f>[1]节奏总纲!G10</f>
        <v>0.74110112659224825</v>
      </c>
      <c r="I10" s="24">
        <f>[1]节奏总纲!I10</f>
        <v>8</v>
      </c>
      <c r="J10" s="24">
        <f>[1]节奏总纲!J10</f>
        <v>0.42660095793436714</v>
      </c>
      <c r="K10" s="24">
        <f>[1]节奏总纲!K10</f>
        <v>0.42</v>
      </c>
      <c r="N10" s="24">
        <f>[1]节奏总纲!N10</f>
        <v>14</v>
      </c>
      <c r="O10" s="24">
        <f>[1]节奏总纲!O10</f>
        <v>7</v>
      </c>
      <c r="P10" s="24">
        <f>[1]节奏总纲!P10</f>
        <v>0.62450479271247095</v>
      </c>
      <c r="Q10" s="24">
        <f>[1]节奏总纲!Q10</f>
        <v>0.53413894920697635</v>
      </c>
      <c r="R10" s="24">
        <f>[1]节奏总纲!R10</f>
        <v>0.43072095553379119</v>
      </c>
      <c r="S10" s="24">
        <f>[1]节奏总纲!S10</f>
        <v>0.30950457526830061</v>
      </c>
      <c r="T10" s="24">
        <f>[1]节奏总纲!T10</f>
        <v>0.16699258157131475</v>
      </c>
      <c r="U10" s="23"/>
      <c r="V10" s="24">
        <f>[1]节奏总纲!V10</f>
        <v>7</v>
      </c>
      <c r="W10" s="24">
        <f>[1]节奏总纲!W10</f>
        <v>0.10878822620207296</v>
      </c>
      <c r="X10" s="24">
        <f>[1]节奏总纲!X10</f>
        <v>9.4748434540117277E-2</v>
      </c>
      <c r="Y10" s="24">
        <f>[1]节奏总纲!Y10</f>
        <v>7.7351964160866482E-2</v>
      </c>
      <c r="Z10" s="24">
        <f>[1]节奏总纲!Z10</f>
        <v>5.510159300872125E-2</v>
      </c>
      <c r="AA10" s="24">
        <f>[1]节奏总纲!AA10</f>
        <v>2.8625826776574964E-2</v>
      </c>
      <c r="AC10" s="24">
        <f>[1]节奏总纲!AC10</f>
        <v>7</v>
      </c>
      <c r="AD10" s="24">
        <f>[1]节奏总纲!AD10</f>
        <v>30</v>
      </c>
      <c r="AE10" s="24">
        <f>[1]节奏总纲!AE10</f>
        <v>31.718819483847451</v>
      </c>
      <c r="AF10" s="24">
        <f>[1]节奏总纲!AF10</f>
        <v>34.192155176139416</v>
      </c>
      <c r="AG10" s="24">
        <f>[1]节奏总纲!AG10</f>
        <v>38.19822972207853</v>
      </c>
      <c r="AH10" s="24">
        <f>[1]节奏总纲!AH10</f>
        <v>46.093186357957826</v>
      </c>
      <c r="AL10" s="24">
        <f>[1]节奏总纲!AL10</f>
        <v>7</v>
      </c>
      <c r="AM10" s="24">
        <f>[1]节奏总纲!AM10</f>
        <v>0.31141300609369982</v>
      </c>
      <c r="AN10" s="24">
        <f>[1]节奏总纲!AN10</f>
        <v>0.24913040487495985</v>
      </c>
      <c r="AO10" s="24">
        <f>[1]节奏总纲!AO10</f>
        <v>0.18684780365621989</v>
      </c>
      <c r="AP10" s="24">
        <f>[1]节奏总纲!AP10</f>
        <v>0.12456520243747993</v>
      </c>
      <c r="AQ10" s="24">
        <f>[1]节奏总纲!AQ10</f>
        <v>6.2282601218739964E-2</v>
      </c>
      <c r="AS10" s="24">
        <f>[1]节奏总纲!AS10</f>
        <v>7</v>
      </c>
      <c r="AT10" s="24">
        <f>[1]节奏总纲!AT10</f>
        <v>9.0855565394707877E-2</v>
      </c>
      <c r="AU10" s="24">
        <f>[1]节奏总纲!AU10</f>
        <v>7.2684452315766285E-2</v>
      </c>
      <c r="AV10" s="24">
        <f>[1]节奏总纲!AV10</f>
        <v>5.451333923682472E-2</v>
      </c>
      <c r="AW10" s="24">
        <f>[1]节奏总纲!AW10</f>
        <v>3.6342226157883142E-2</v>
      </c>
      <c r="AX10" s="24">
        <f>[1]节奏总纲!AX10</f>
        <v>1.8171113078941571E-2</v>
      </c>
      <c r="AY10" s="20"/>
      <c r="AZ10" s="20">
        <v>7</v>
      </c>
      <c r="BA10" s="20">
        <f>[1]节奏总纲!BA10</f>
        <v>21.627432338833255</v>
      </c>
      <c r="BB10" s="20">
        <f>[1]节奏总纲!BB10</f>
        <v>22.938628095451385</v>
      </c>
      <c r="BC10" s="20">
        <f>[1]节奏总纲!BC10</f>
        <v>24.619152272059132</v>
      </c>
      <c r="BD10" s="20">
        <f>[1]节奏总纲!BD10</f>
        <v>27.059707353051884</v>
      </c>
      <c r="BE10" s="20">
        <f>[1]节奏总纲!BE10</f>
        <v>31.280110398778046</v>
      </c>
      <c r="BI10" s="20">
        <v>7</v>
      </c>
      <c r="BJ10" s="32">
        <f>[1]节奏总纲!BQ10</f>
        <v>3.9083908523902386</v>
      </c>
      <c r="BK10" s="32">
        <f>[1]节奏总纲!BR10</f>
        <v>3.7000938700170019</v>
      </c>
      <c r="BL10" s="32">
        <f>[1]节奏总纲!BS10</f>
        <v>3.4949550680198662</v>
      </c>
      <c r="BM10" s="32">
        <f>[1]节奏总纲!BT10</f>
        <v>3.2977452115900578</v>
      </c>
      <c r="BN10" s="32">
        <f>[1]节奏总纲!BU10</f>
        <v>3.1175616442680676</v>
      </c>
      <c r="BP10" s="20">
        <v>7</v>
      </c>
      <c r="BQ10" s="32">
        <f>[1]节奏总纲!BX10</f>
        <v>9.2992754060675331</v>
      </c>
      <c r="BR10" s="32">
        <f>[1]节奏总纲!BY10</f>
        <v>9.5403165281128111</v>
      </c>
      <c r="BS10" s="32">
        <f>[1]节奏总纲!BZ10</f>
        <v>9.8205867658616608</v>
      </c>
      <c r="BT10" s="32">
        <f>[1]节奏总纲!CA10</f>
        <v>10.128686248037246</v>
      </c>
      <c r="BU10" s="32">
        <f>[1]节奏总纲!CB10</f>
        <v>10.460138723751793</v>
      </c>
    </row>
    <row r="11" spans="2:73" x14ac:dyDescent="0.15">
      <c r="B11" s="24">
        <f>[1]节奏总纲!B11</f>
        <v>40</v>
      </c>
      <c r="C11" s="24">
        <f>[1]节奏总纲!C11</f>
        <v>15</v>
      </c>
      <c r="D11" s="24">
        <f>[1]节奏总纲!D11</f>
        <v>8</v>
      </c>
      <c r="F11" s="24">
        <f>[1]节奏总纲!F11</f>
        <v>9</v>
      </c>
      <c r="G11" s="24">
        <f>[1]节奏总纲!G11</f>
        <v>0.86606598307361482</v>
      </c>
      <c r="I11" s="24">
        <f>[1]节奏总纲!I11</f>
        <v>9</v>
      </c>
      <c r="J11" s="24">
        <f>[1]节奏总纲!J11</f>
        <v>0.57090651823243421</v>
      </c>
      <c r="K11" s="24">
        <f>[1]节奏总纲!K11</f>
        <v>0.46</v>
      </c>
      <c r="N11" s="24">
        <f>[1]节奏总纲!N11</f>
        <v>16</v>
      </c>
      <c r="O11" s="24">
        <f>[1]节奏总纲!O11</f>
        <v>8</v>
      </c>
      <c r="P11" s="24">
        <f>[1]节奏总纲!P11</f>
        <v>0.74110112659224825</v>
      </c>
      <c r="Q11" s="24">
        <f>[1]节奏总纲!Q11</f>
        <v>0.63089938906798093</v>
      </c>
      <c r="R11" s="24">
        <f>[1]节奏总纲!R11</f>
        <v>0.50550507844857251</v>
      </c>
      <c r="S11" s="24">
        <f>[1]节奏总纲!S11</f>
        <v>0.36195379022765406</v>
      </c>
      <c r="T11" s="24">
        <f>[1]节奏总纲!T11</f>
        <v>0.19579891764567198</v>
      </c>
      <c r="U11" s="23"/>
      <c r="V11" s="24">
        <f>[1]节奏总纲!V11</f>
        <v>8</v>
      </c>
      <c r="W11" s="24">
        <f>[1]节奏总纲!W11</f>
        <v>0.1165963338797773</v>
      </c>
      <c r="X11" s="24">
        <f>[1]节奏总纲!X11</f>
        <v>9.6760439861004577E-2</v>
      </c>
      <c r="Y11" s="24">
        <f>[1]节奏总纲!Y11</f>
        <v>7.4784122914781315E-2</v>
      </c>
      <c r="Z11" s="24">
        <f>[1]节奏总纲!Z11</f>
        <v>5.2449214959353452E-2</v>
      </c>
      <c r="AA11" s="24">
        <f>[1]节奏总纲!AA11</f>
        <v>2.8806336074357231E-2</v>
      </c>
      <c r="AC11" s="24">
        <f>[1]节奏总纲!AC11</f>
        <v>8</v>
      </c>
      <c r="AD11" s="24">
        <f>[1]节奏总纲!AD11</f>
        <v>31.691928656135214</v>
      </c>
      <c r="AE11" s="24">
        <f>[1]节奏总纲!AE11</f>
        <v>33.465251056098396</v>
      </c>
      <c r="AF11" s="24">
        <f>[1]节奏总纲!AF11</f>
        <v>35.930751746472978</v>
      </c>
      <c r="AG11" s="24">
        <f>[1]节奏总纲!AG11</f>
        <v>39.998279638578282</v>
      </c>
      <c r="AH11" s="24">
        <f>[1]节奏总纲!AH11</f>
        <v>48.067140183443534</v>
      </c>
      <c r="AL11" s="24">
        <f>[1]节奏总纲!AL11</f>
        <v>8</v>
      </c>
      <c r="AM11" s="24">
        <f>[1]节奏总纲!AM11</f>
        <v>0.42660095793436714</v>
      </c>
      <c r="AN11" s="24">
        <f>[1]节奏总纲!AN11</f>
        <v>0.34128076634749371</v>
      </c>
      <c r="AO11" s="24">
        <f>[1]节奏总纲!AO11</f>
        <v>0.25596057476062029</v>
      </c>
      <c r="AP11" s="24">
        <f>[1]节奏总纲!AP11</f>
        <v>0.17064038317374686</v>
      </c>
      <c r="AQ11" s="24">
        <f>[1]节奏总纲!AQ11</f>
        <v>8.5320191586873428E-2</v>
      </c>
      <c r="AS11" s="24">
        <f>[1]节奏总纲!AS11</f>
        <v>8</v>
      </c>
      <c r="AT11" s="24">
        <f>[1]节奏总纲!AT11</f>
        <v>0.11518795184066732</v>
      </c>
      <c r="AU11" s="24">
        <f>[1]节奏总纲!AU11</f>
        <v>9.2150361472533859E-2</v>
      </c>
      <c r="AV11" s="24">
        <f>[1]节奏总纲!AV11</f>
        <v>6.9112771104400395E-2</v>
      </c>
      <c r="AW11" s="24">
        <f>[1]节奏总纲!AW11</f>
        <v>4.607518073626693E-2</v>
      </c>
      <c r="AX11" s="24">
        <f>[1]节奏总纲!AX11</f>
        <v>2.3037590368133465E-2</v>
      </c>
      <c r="AY11" s="20"/>
      <c r="AZ11" s="20">
        <v>8</v>
      </c>
      <c r="BA11" s="20">
        <f>[1]节奏总纲!BA11</f>
        <v>22.400634983357783</v>
      </c>
      <c r="BB11" s="20">
        <f>[1]节奏总纲!BB11</f>
        <v>23.710496742673982</v>
      </c>
      <c r="BC11" s="20">
        <f>[1]节奏总纲!BC11</f>
        <v>25.412810862541733</v>
      </c>
      <c r="BD11" s="20">
        <f>[1]节奏总纲!BD11</f>
        <v>27.863030247590562</v>
      </c>
      <c r="BE11" s="20">
        <f>[1]节奏总纲!BE11</f>
        <v>32.113552950216736</v>
      </c>
      <c r="BI11" s="20">
        <v>8</v>
      </c>
      <c r="BJ11" s="32">
        <f>[1]节奏总纲!BQ11</f>
        <v>5.1220396939633002</v>
      </c>
      <c r="BK11" s="32">
        <f>[1]节奏总纲!BR11</f>
        <v>4.8616228494416447</v>
      </c>
      <c r="BL11" s="32">
        <f>[1]节奏总纲!BS11</f>
        <v>4.5815795834661612</v>
      </c>
      <c r="BM11" s="32">
        <f>[1]节奏总纲!BT11</f>
        <v>4.3105632736922681</v>
      </c>
      <c r="BN11" s="32">
        <f>[1]节奏总纲!BU11</f>
        <v>4.0494061619177515</v>
      </c>
      <c r="BP11" s="20">
        <v>8</v>
      </c>
      <c r="BQ11" s="32">
        <f>[1]节奏总纲!BX11</f>
        <v>9.9503115729287064</v>
      </c>
      <c r="BR11" s="32">
        <f>[1]节奏总纲!BY11</f>
        <v>10.209179596854964</v>
      </c>
      <c r="BS11" s="32">
        <f>[1]节奏总纲!BZ11</f>
        <v>10.501003645853389</v>
      </c>
      <c r="BT11" s="32">
        <f>[1]节奏总纲!CA11</f>
        <v>10.838817158161019</v>
      </c>
      <c r="BU11" s="32">
        <f>[1]节奏总纲!CB11</f>
        <v>11.201197012273351</v>
      </c>
    </row>
    <row r="12" spans="2:73" x14ac:dyDescent="0.15">
      <c r="B12" s="24">
        <f>[1]节奏总纲!B12</f>
        <v>50</v>
      </c>
      <c r="C12" s="24">
        <f>[1]节奏总纲!C12</f>
        <v>31</v>
      </c>
      <c r="D12" s="24">
        <f>[1]节奏总纲!D12</f>
        <v>16</v>
      </c>
      <c r="F12" s="24">
        <f>[1]节奏总纲!F12</f>
        <v>10</v>
      </c>
      <c r="G12" s="24">
        <f>[1]节奏总纲!G12</f>
        <v>1</v>
      </c>
      <c r="I12" s="24">
        <f>[1]节奏总纲!I12</f>
        <v>10</v>
      </c>
      <c r="J12" s="24">
        <f>[1]节奏总纲!J12</f>
        <v>0.75</v>
      </c>
      <c r="K12" s="24">
        <f>[1]节奏总纲!K12</f>
        <v>0.5</v>
      </c>
      <c r="N12" s="24">
        <f>[1]节奏总纲!N12</f>
        <v>18</v>
      </c>
      <c r="O12" s="24">
        <f>[1]节奏总纲!O12</f>
        <v>9</v>
      </c>
      <c r="P12" s="24">
        <f>[1]节奏总纲!P12</f>
        <v>0.86606598307361482</v>
      </c>
      <c r="Q12" s="24">
        <f>[1]节奏总纲!Q12</f>
        <v>0.73702215159564621</v>
      </c>
      <c r="R12" s="24">
        <f>[1]节奏总纲!R12</f>
        <v>0.59282216541388932</v>
      </c>
      <c r="S12" s="24">
        <f>[1]节奏总纲!S12</f>
        <v>0.42766338244175101</v>
      </c>
      <c r="T12" s="24">
        <f>[1]节奏总纲!T12</f>
        <v>0.23193247026711403</v>
      </c>
      <c r="U12" s="23"/>
      <c r="V12" s="24">
        <f>[1]节奏总纲!V12</f>
        <v>9</v>
      </c>
      <c r="W12" s="24">
        <f>[1]节奏总纲!W12</f>
        <v>0.12496485648136657</v>
      </c>
      <c r="X12" s="24">
        <f>[1]节奏总纲!X12</f>
        <v>0.10612276252766528</v>
      </c>
      <c r="Y12" s="24">
        <f>[1]节奏总纲!Y12</f>
        <v>8.7317086965316815E-2</v>
      </c>
      <c r="Z12" s="24">
        <f>[1]节奏总纲!Z12</f>
        <v>6.5709592214096946E-2</v>
      </c>
      <c r="AA12" s="24">
        <f>[1]节奏总纲!AA12</f>
        <v>3.613355262144205E-2</v>
      </c>
      <c r="AC12" s="24">
        <f>[1]节奏总纲!AC12</f>
        <v>9</v>
      </c>
      <c r="AD12" s="24">
        <f>[1]节奏总纲!AD12</f>
        <v>33.213386604241784</v>
      </c>
      <c r="AE12" s="24">
        <f>[1]节奏总纲!AE12</f>
        <v>34.992730785174565</v>
      </c>
      <c r="AF12" s="24">
        <f>[1]节奏总纲!AF12</f>
        <v>37.510565846691456</v>
      </c>
      <c r="AG12" s="24">
        <f>[1]节奏总纲!AG12</f>
        <v>41.534743419557365</v>
      </c>
      <c r="AH12" s="24">
        <f>[1]节奏总纲!AH12</f>
        <v>49.706056771838036</v>
      </c>
      <c r="AL12" s="24">
        <f>[1]节奏总纲!AL12</f>
        <v>9</v>
      </c>
      <c r="AM12" s="24">
        <f>[1]节奏总纲!AM12</f>
        <v>0.57090651823243421</v>
      </c>
      <c r="AN12" s="24">
        <f>[1]节奏总纲!AN12</f>
        <v>0.45672521458594739</v>
      </c>
      <c r="AO12" s="24">
        <f>[1]节奏总纲!AO12</f>
        <v>0.34254391093946052</v>
      </c>
      <c r="AP12" s="24">
        <f>[1]节奏总纲!AP12</f>
        <v>0.2283626072929737</v>
      </c>
      <c r="AQ12" s="24">
        <f>[1]节奏总纲!AQ12</f>
        <v>0.11418130364648685</v>
      </c>
      <c r="AS12" s="24">
        <f>[1]节奏总纲!AS12</f>
        <v>9</v>
      </c>
      <c r="AT12" s="24">
        <f>[1]节奏总纲!AT12</f>
        <v>0.14430556029806707</v>
      </c>
      <c r="AU12" s="24">
        <f>[1]节奏总纲!AU12</f>
        <v>0.11544444823845368</v>
      </c>
      <c r="AV12" s="24">
        <f>[1]节奏总纲!AV12</f>
        <v>8.6583336178840231E-2</v>
      </c>
      <c r="AW12" s="24">
        <f>[1]节奏总纲!AW12</f>
        <v>5.7722224119226839E-2</v>
      </c>
      <c r="AX12" s="24">
        <f>[1]节奏总纲!AX12</f>
        <v>2.886111205961342E-2</v>
      </c>
      <c r="AY12" s="20"/>
      <c r="AZ12" s="20">
        <v>9</v>
      </c>
      <c r="BA12" s="20">
        <f>[1]节奏总纲!BA12</f>
        <v>23.100336713798686</v>
      </c>
      <c r="BB12" s="20">
        <f>[1]节奏总纲!BB12</f>
        <v>24.402761517547276</v>
      </c>
      <c r="BC12" s="20">
        <f>[1]节奏总纲!BC12</f>
        <v>26.127796402772656</v>
      </c>
      <c r="BD12" s="20">
        <f>[1]节奏总纲!BD12</f>
        <v>28.568390277483555</v>
      </c>
      <c r="BE12" s="20">
        <f>[1]节奏总纲!BE12</f>
        <v>32.842201900114915</v>
      </c>
      <c r="BI12" s="20">
        <v>9</v>
      </c>
      <c r="BJ12" s="32">
        <f>[1]节奏总纲!BQ12</f>
        <v>6.5073154848533106</v>
      </c>
      <c r="BK12" s="32">
        <f>[1]节奏总纲!BR12</f>
        <v>6.182955000821134</v>
      </c>
      <c r="BL12" s="32">
        <f>[1]节奏总纲!BS12</f>
        <v>5.8458242478885518</v>
      </c>
      <c r="BM12" s="32">
        <f>[1]节奏总纲!BT12</f>
        <v>5.4937555014634736</v>
      </c>
      <c r="BN12" s="32">
        <f>[1]节奏总纲!BU12</f>
        <v>5.1616447031846953</v>
      </c>
      <c r="BP12" s="20">
        <v>9</v>
      </c>
      <c r="BQ12" s="32">
        <f>[1]节奏总纲!BX12</f>
        <v>10.62858551654854</v>
      </c>
      <c r="BR12" s="32">
        <f>[1]节奏总纲!BY12</f>
        <v>10.92759887154785</v>
      </c>
      <c r="BS12" s="32">
        <f>[1]节奏总纲!BZ12</f>
        <v>11.242219885173299</v>
      </c>
      <c r="BT12" s="32">
        <f>[1]节奏总纲!CA12</f>
        <v>11.610247668732617</v>
      </c>
      <c r="BU12" s="32">
        <f>[1]节奏总纲!CB12</f>
        <v>12.017497952687538</v>
      </c>
    </row>
    <row r="13" spans="2:73" x14ac:dyDescent="0.15">
      <c r="B13" s="24">
        <f>[1]节奏总纲!B13</f>
        <v>60</v>
      </c>
      <c r="C13" s="24">
        <f>[1]节奏总纲!C13</f>
        <v>63</v>
      </c>
      <c r="D13" s="24">
        <f>[1]节奏总纲!D13</f>
        <v>32</v>
      </c>
      <c r="F13" s="24">
        <f>[1]节奏总纲!F13</f>
        <v>11</v>
      </c>
      <c r="G13" s="24">
        <f>[1]节奏总纲!G13</f>
        <v>1.1435469250725863</v>
      </c>
      <c r="I13" s="24">
        <f>[1]节奏总纲!I13</f>
        <v>11</v>
      </c>
      <c r="J13" s="24">
        <f>[1]节奏总纲!J13</f>
        <v>0.93464628919691628</v>
      </c>
      <c r="K13" s="24">
        <f>[1]节奏总纲!K13</f>
        <v>0.52</v>
      </c>
      <c r="N13" s="24">
        <f>[1]节奏总纲!N13</f>
        <v>20</v>
      </c>
      <c r="O13" s="24">
        <f>[1]节奏总纲!O13</f>
        <v>10</v>
      </c>
      <c r="P13" s="24">
        <f>[1]节奏总纲!P13</f>
        <v>1</v>
      </c>
      <c r="Q13" s="24">
        <f>[1]节奏总纲!Q13</f>
        <v>0.8548</v>
      </c>
      <c r="R13" s="24">
        <f>[1]节奏总纲!R13</f>
        <v>0.6895</v>
      </c>
      <c r="S13" s="24">
        <f>[1]节奏总纲!S13</f>
        <v>0.49980000000000002</v>
      </c>
      <c r="T13" s="24">
        <f>[1]节奏总纲!T13</f>
        <v>0.2732</v>
      </c>
      <c r="U13" s="23"/>
      <c r="V13" s="24">
        <f>[1]节奏总纲!V13</f>
        <v>10</v>
      </c>
      <c r="W13" s="24">
        <f>[1]节奏总纲!W13</f>
        <v>0.13393401692638518</v>
      </c>
      <c r="X13" s="24">
        <f>[1]节奏总纲!X13</f>
        <v>0.11777784840435379</v>
      </c>
      <c r="Y13" s="24">
        <f>[1]节奏总纲!Y13</f>
        <v>9.6677834586110678E-2</v>
      </c>
      <c r="Z13" s="24">
        <f>[1]节奏总纲!Z13</f>
        <v>7.2136617558249017E-2</v>
      </c>
      <c r="AA13" s="24">
        <f>[1]节奏总纲!AA13</f>
        <v>4.1267529732885971E-2</v>
      </c>
      <c r="AC13" s="24">
        <f>[1]节奏总纲!AC13</f>
        <v>10</v>
      </c>
      <c r="AD13" s="24">
        <f>[1]节奏总纲!AD13</f>
        <v>34.585942742481357</v>
      </c>
      <c r="AE13" s="24">
        <f>[1]节奏总纲!AE13</f>
        <v>36.36169634498642</v>
      </c>
      <c r="AF13" s="24">
        <f>[1]节奏总纲!AF13</f>
        <v>38.977035507933373</v>
      </c>
      <c r="AG13" s="24">
        <f>[1]节奏总纲!AG13</f>
        <v>42.970748198558951</v>
      </c>
      <c r="AH13" s="24">
        <f>[1]节奏总纲!AH13</f>
        <v>51.212821897464167</v>
      </c>
      <c r="AL13" s="24">
        <f>[1]节奏总纲!AL13</f>
        <v>10</v>
      </c>
      <c r="AM13" s="24">
        <f>[1]节奏总纲!AM13</f>
        <v>0.75</v>
      </c>
      <c r="AN13" s="24">
        <f>[1]节奏总纲!AN13</f>
        <v>0.60000000000000009</v>
      </c>
      <c r="AO13" s="24">
        <f>[1]节奏总纲!AO13</f>
        <v>0.44999999999999996</v>
      </c>
      <c r="AP13" s="24">
        <f>[1]节奏总纲!AP13</f>
        <v>0.30000000000000004</v>
      </c>
      <c r="AQ13" s="24">
        <f>[1]节奏总纲!AQ13</f>
        <v>0.15000000000000002</v>
      </c>
      <c r="AS13" s="24">
        <f>[1]节奏总纲!AS13</f>
        <v>10</v>
      </c>
      <c r="AT13" s="24">
        <f>[1]节奏总纲!AT13</f>
        <v>0.17909348176756579</v>
      </c>
      <c r="AU13" s="24">
        <f>[1]节奏总纲!AU13</f>
        <v>0.1432747854140527</v>
      </c>
      <c r="AV13" s="24">
        <f>[1]节奏总纲!AV13</f>
        <v>0.10745608906053944</v>
      </c>
      <c r="AW13" s="24">
        <f>[1]节奏总纲!AW13</f>
        <v>7.1637392707026348E-2</v>
      </c>
      <c r="AX13" s="24">
        <f>[1]节奏总纲!AX13</f>
        <v>3.5818696353513174E-2</v>
      </c>
      <c r="AY13" s="20"/>
      <c r="AZ13" s="20">
        <v>10</v>
      </c>
      <c r="BA13" s="20">
        <f>[1]节奏总纲!BA13</f>
        <v>23.710496742673982</v>
      </c>
      <c r="BB13" s="20">
        <f>[1]节奏总纲!BB13</f>
        <v>25.044229735272328</v>
      </c>
      <c r="BC13" s="20">
        <f>[1]节奏总纲!BC13</f>
        <v>26.755953543357073</v>
      </c>
      <c r="BD13" s="20">
        <f>[1]节奏总纲!BD13</f>
        <v>29.216428548527322</v>
      </c>
      <c r="BE13" s="20">
        <f>[1]节奏总纲!BE13</f>
        <v>33.487933395889513</v>
      </c>
      <c r="BI13" s="20">
        <v>10</v>
      </c>
      <c r="BJ13" s="32">
        <f>[1]节奏总纲!BQ13</f>
        <v>8.071211008105136</v>
      </c>
      <c r="BK13" s="32">
        <f>[1]节奏总纲!BR13</f>
        <v>7.6806609280366285</v>
      </c>
      <c r="BL13" s="32">
        <f>[1]节奏总纲!BS13</f>
        <v>7.2577959560771719</v>
      </c>
      <c r="BM13" s="32">
        <f>[1]节奏总纲!BT13</f>
        <v>6.8275081581253696</v>
      </c>
      <c r="BN13" s="32">
        <f>[1]节奏总纲!BU13</f>
        <v>6.4063898414553373</v>
      </c>
      <c r="BP13" s="20">
        <v>10</v>
      </c>
      <c r="BQ13" s="32">
        <f>[1]节奏总纲!BX13</f>
        <v>11.296493250964016</v>
      </c>
      <c r="BR13" s="32">
        <f>[1]节奏总纲!BY13</f>
        <v>11.607260419981094</v>
      </c>
      <c r="BS13" s="32">
        <f>[1]节奏总纲!BZ13</f>
        <v>11.973224677412396</v>
      </c>
      <c r="BT13" s="32">
        <f>[1]节奏总纲!CA13</f>
        <v>12.359692277800681</v>
      </c>
      <c r="BU13" s="32">
        <f>[1]节奏总纲!CB13</f>
        <v>12.803444306803474</v>
      </c>
    </row>
    <row r="14" spans="2:73" x14ac:dyDescent="0.15">
      <c r="B14" s="24">
        <f>[1]节奏总纲!B14</f>
        <v>70</v>
      </c>
      <c r="C14" s="24">
        <f>[1]节奏总纲!C14</f>
        <v>127</v>
      </c>
      <c r="D14" s="24">
        <f>[1]节奏总纲!D14</f>
        <v>64</v>
      </c>
      <c r="F14" s="24">
        <f>[1]节奏总纲!F14</f>
        <v>12</v>
      </c>
      <c r="G14" s="24">
        <f>[1]节奏总纲!G14</f>
        <v>1.2973967099940702</v>
      </c>
      <c r="I14" s="24">
        <f>[1]节奏总纲!I14</f>
        <v>12</v>
      </c>
      <c r="J14" s="24">
        <f>[1]节奏总纲!J14</f>
        <v>1.1550685436347259</v>
      </c>
      <c r="K14" s="24">
        <f>[1]节奏总纲!K14</f>
        <v>0.54</v>
      </c>
      <c r="N14" s="24">
        <f>[1]节奏总纲!N14</f>
        <v>21</v>
      </c>
      <c r="O14" s="24">
        <f>[1]节奏总纲!O14</f>
        <v>11</v>
      </c>
      <c r="P14" s="24">
        <f>[1]节奏总纲!P14</f>
        <v>1.1435469250725863</v>
      </c>
      <c r="Q14" s="24">
        <f>[1]节奏总纲!Q14</f>
        <v>0.98036277886472811</v>
      </c>
      <c r="R14" s="24">
        <f>[1]节奏总纲!R14</f>
        <v>0.79453640354043287</v>
      </c>
      <c r="S14" s="24">
        <f>[1]节奏总纲!S14</f>
        <v>0.57577587677404707</v>
      </c>
      <c r="T14" s="24">
        <f>[1]节奏总纲!T14</f>
        <v>0.31767733578516444</v>
      </c>
      <c r="U14" s="23"/>
      <c r="V14" s="24">
        <f>[1]节奏总纲!V14</f>
        <v>11</v>
      </c>
      <c r="W14" s="24">
        <f>[1]节奏总纲!W14</f>
        <v>0.14354692507258626</v>
      </c>
      <c r="X14" s="24">
        <f>[1]节奏总纲!X14</f>
        <v>0.12556277886472811</v>
      </c>
      <c r="Y14" s="24">
        <f>[1]节奏总纲!Y14</f>
        <v>0.10503640354043287</v>
      </c>
      <c r="Z14" s="24">
        <f>[1]节奏总纲!Z14</f>
        <v>7.5975876774047046E-2</v>
      </c>
      <c r="AA14" s="24">
        <f>[1]节奏总纲!AA14</f>
        <v>4.447733578516444E-2</v>
      </c>
      <c r="AC14" s="24">
        <f>[1]节奏总纲!AC14</f>
        <v>11</v>
      </c>
      <c r="AD14" s="24">
        <f>[1]节奏总纲!AD14</f>
        <v>35.845161563010116</v>
      </c>
      <c r="AE14" s="24">
        <f>[1]节奏总纲!AE14</f>
        <v>37.6388925299823</v>
      </c>
      <c r="AF14" s="24">
        <f>[1]节奏总纲!AF14</f>
        <v>40.259528204263837</v>
      </c>
      <c r="AG14" s="24">
        <f>[1]节奏总纲!AG14</f>
        <v>44.288230531994081</v>
      </c>
      <c r="AH14" s="24">
        <f>[1]节奏总纲!AH14</f>
        <v>52.559419343629337</v>
      </c>
      <c r="AL14" s="24">
        <f>[1]节奏总纲!AL14</f>
        <v>11</v>
      </c>
      <c r="AM14" s="24">
        <f>[1]节奏总纲!AM14</f>
        <v>0.93464628919691628</v>
      </c>
      <c r="AN14" s="24">
        <f>[1]节奏总纲!AN14</f>
        <v>0.74771703135753309</v>
      </c>
      <c r="AO14" s="24">
        <f>[1]节奏总纲!AO14</f>
        <v>0.56078777351814979</v>
      </c>
      <c r="AP14" s="24">
        <f>[1]节奏总纲!AP14</f>
        <v>0.37385851567876655</v>
      </c>
      <c r="AQ14" s="24">
        <f>[1]节奏总纲!AQ14</f>
        <v>0.18692925783938327</v>
      </c>
      <c r="AS14" s="24">
        <f>[1]节奏总纲!AS14</f>
        <v>11</v>
      </c>
      <c r="AT14" s="24">
        <f>[1]节奏总纲!AT14</f>
        <v>0.18464628919691628</v>
      </c>
      <c r="AU14" s="24">
        <f>[1]节奏总纲!AU14</f>
        <v>0.147717031357533</v>
      </c>
      <c r="AV14" s="24">
        <f>[1]节奏总纲!AV14</f>
        <v>0.11078777351814983</v>
      </c>
      <c r="AW14" s="24">
        <f>[1]节奏总纲!AW14</f>
        <v>7.3858515678766501E-2</v>
      </c>
      <c r="AX14" s="24">
        <f>[1]节奏总纲!AX14</f>
        <v>3.692925783938325E-2</v>
      </c>
      <c r="AY14" s="20"/>
      <c r="AZ14" s="20">
        <v>11</v>
      </c>
      <c r="BA14" s="20">
        <f>[1]节奏总纲!BA14</f>
        <v>24.272927064840161</v>
      </c>
      <c r="BB14" s="20">
        <f>[1]节奏总纲!BB14</f>
        <v>25.597101426176433</v>
      </c>
      <c r="BC14" s="20">
        <f>[1]节奏总纲!BC14</f>
        <v>27.327481651231444</v>
      </c>
      <c r="BD14" s="20">
        <f>[1]节奏总纲!BD14</f>
        <v>29.80118336305917</v>
      </c>
      <c r="BE14" s="20">
        <f>[1]节奏总纲!BE14</f>
        <v>34.09469189131628</v>
      </c>
      <c r="BI14" s="20">
        <v>11</v>
      </c>
      <c r="BJ14" s="32">
        <f>[1]节奏总纲!BQ14</f>
        <v>9.5120454660969038</v>
      </c>
      <c r="BK14" s="32">
        <f>[1]节奏总纲!BR14</f>
        <v>9.0908055284315381</v>
      </c>
      <c r="BL14" s="32">
        <f>[1]节奏总纲!BS14</f>
        <v>8.6331257373661145</v>
      </c>
      <c r="BM14" s="32">
        <f>[1]节奏总纲!BT14</f>
        <v>8.1811718053632738</v>
      </c>
      <c r="BN14" s="32">
        <f>[1]节奏总纲!BU14</f>
        <v>7.6920934414083888</v>
      </c>
      <c r="BP14" s="20">
        <v>11</v>
      </c>
      <c r="BQ14" s="32">
        <f>[1]节奏总纲!BX14</f>
        <v>11.947729331634296</v>
      </c>
      <c r="BR14" s="32">
        <f>[1]节奏总纲!BY14</f>
        <v>12.268098330256127</v>
      </c>
      <c r="BS14" s="32">
        <f>[1]节奏总纲!BZ14</f>
        <v>12.644330976574002</v>
      </c>
      <c r="BT14" s="32">
        <f>[1]节奏总纲!CA14</f>
        <v>13.069974059992543</v>
      </c>
      <c r="BU14" s="32">
        <f>[1]节奏总纲!CB14</f>
        <v>13.547253897167892</v>
      </c>
    </row>
    <row r="15" spans="2:73" x14ac:dyDescent="0.15">
      <c r="B15" s="24">
        <f>[1]节奏总纲!B15</f>
        <v>80</v>
      </c>
      <c r="C15" s="24">
        <f>[1]节奏总纲!C15</f>
        <v>255</v>
      </c>
      <c r="D15" s="24">
        <f>[1]节奏总纲!D15</f>
        <v>128</v>
      </c>
      <c r="F15" s="24">
        <f>[1]节奏总纲!F15</f>
        <v>13</v>
      </c>
      <c r="G15" s="24">
        <f>[1]节奏总纲!G15</f>
        <v>1.4622888266898326</v>
      </c>
      <c r="I15" s="24">
        <f>[1]节奏总纲!I15</f>
        <v>13</v>
      </c>
      <c r="J15" s="24">
        <f>[1]节奏总纲!J15</f>
        <v>1.417602554491646</v>
      </c>
      <c r="K15" s="24">
        <f>[1]节奏总纲!K15</f>
        <v>0.56000000000000005</v>
      </c>
      <c r="N15" s="24">
        <f>[1]节奏总纲!N15</f>
        <v>22</v>
      </c>
      <c r="O15" s="24">
        <f>[1]节奏总纲!O15</f>
        <v>12</v>
      </c>
      <c r="P15" s="24">
        <f>[1]节奏总纲!P15</f>
        <v>1.2973967099940702</v>
      </c>
      <c r="Q15" s="24">
        <f>[1]节奏总纲!Q15</f>
        <v>1.1126474184909145</v>
      </c>
      <c r="R15" s="24">
        <f>[1]节奏总纲!R15</f>
        <v>0.9058423829178599</v>
      </c>
      <c r="S15" s="24">
        <f>[1]节奏总纲!S15</f>
        <v>0.66219128078097333</v>
      </c>
      <c r="T15" s="24">
        <f>[1]节奏总纲!T15</f>
        <v>0.36560639287632896</v>
      </c>
      <c r="U15" s="23"/>
      <c r="V15" s="24">
        <f>[1]节奏总纲!V15</f>
        <v>12</v>
      </c>
      <c r="W15" s="24">
        <f>[1]节奏总纲!W15</f>
        <v>0.15384978492148393</v>
      </c>
      <c r="X15" s="24">
        <f>[1]节奏总纲!X15</f>
        <v>0.13228463962618642</v>
      </c>
      <c r="Y15" s="24">
        <f>[1]节奏总纲!Y15</f>
        <v>0.11130597937742703</v>
      </c>
      <c r="Z15" s="24">
        <f>[1]节奏总纲!Z15</f>
        <v>8.6415404006926266E-2</v>
      </c>
      <c r="AA15" s="24">
        <f>[1]节奏总纲!AA15</f>
        <v>4.7929057091164518E-2</v>
      </c>
      <c r="AC15" s="24">
        <f>[1]节奏总纲!AC15</f>
        <v>12</v>
      </c>
      <c r="AD15" s="24">
        <f>[1]节奏总纲!AD15</f>
        <v>37.004247194324648</v>
      </c>
      <c r="AE15" s="24">
        <f>[1]节奏总纲!AE15</f>
        <v>38.827998824669805</v>
      </c>
      <c r="AF15" s="24">
        <f>[1]节奏总纲!AF15</f>
        <v>41.408320762540754</v>
      </c>
      <c r="AG15" s="24">
        <f>[1]节奏总纲!AG15</f>
        <v>45.500930067545958</v>
      </c>
      <c r="AH15" s="24">
        <f>[1]节奏总纲!AH15</f>
        <v>53.855547243088772</v>
      </c>
      <c r="AL15" s="24">
        <f>[1]节奏总纲!AL15</f>
        <v>12</v>
      </c>
      <c r="AM15" s="24">
        <f>[1]节奏总纲!AM15</f>
        <v>1.1550685436347259</v>
      </c>
      <c r="AN15" s="24">
        <f>[1]节奏总纲!AN15</f>
        <v>0.92405483490778073</v>
      </c>
      <c r="AO15" s="24">
        <f>[1]节奏总纲!AO15</f>
        <v>0.69304112618083547</v>
      </c>
      <c r="AP15" s="24">
        <f>[1]节奏总纲!AP15</f>
        <v>0.46202741745389037</v>
      </c>
      <c r="AQ15" s="24">
        <f>[1]节奏总纲!AQ15</f>
        <v>0.23101370872694518</v>
      </c>
      <c r="AS15" s="24">
        <f>[1]节奏总纲!AS15</f>
        <v>12</v>
      </c>
      <c r="AT15" s="24">
        <f>[1]节奏总纲!AT15</f>
        <v>0.22042225443780961</v>
      </c>
      <c r="AU15" s="24">
        <f>[1]节奏总纲!AU15</f>
        <v>0.17633780355024764</v>
      </c>
      <c r="AV15" s="24">
        <f>[1]节奏总纲!AV15</f>
        <v>0.13225335266268567</v>
      </c>
      <c r="AW15" s="24">
        <f>[1]节奏总纲!AW15</f>
        <v>8.816890177512382E-2</v>
      </c>
      <c r="AX15" s="24">
        <f>[1]节奏总纲!AX15</f>
        <v>4.408445088756191E-2</v>
      </c>
      <c r="AY15" s="20"/>
      <c r="AZ15" s="20">
        <v>12</v>
      </c>
      <c r="BA15" s="20">
        <f>[1]节奏总纲!BA15</f>
        <v>24.792264875668618</v>
      </c>
      <c r="BB15" s="20">
        <f>[1]节奏总纲!BB15</f>
        <v>26.127796402772656</v>
      </c>
      <c r="BC15" s="20">
        <f>[1]节奏总纲!BC15</f>
        <v>27.863030247590562</v>
      </c>
      <c r="BD15" s="20">
        <f>[1]节奏总纲!BD15</f>
        <v>30.329493925593439</v>
      </c>
      <c r="BE15" s="20">
        <f>[1]节奏总纲!BE15</f>
        <v>34.627226072894942</v>
      </c>
      <c r="BI15" s="20">
        <v>12</v>
      </c>
      <c r="BJ15" s="32">
        <f>[1]节奏总纲!BQ15</f>
        <v>11.074888753130331</v>
      </c>
      <c r="BK15" s="32">
        <f>[1]节奏总纲!BR15</f>
        <v>10.551555449265667</v>
      </c>
      <c r="BL15" s="32">
        <f>[1]节奏总纲!BS15</f>
        <v>10.033713322824047</v>
      </c>
      <c r="BM15" s="32">
        <f>[1]节奏总纲!BT15</f>
        <v>9.4763743598650301</v>
      </c>
      <c r="BN15" s="32">
        <f>[1]节奏总纲!BU15</f>
        <v>8.9745731744178503</v>
      </c>
      <c r="BP15" s="20">
        <v>12</v>
      </c>
      <c r="BQ15" s="32">
        <f>[1]节奏总纲!BX15</f>
        <v>12.542132297048981</v>
      </c>
      <c r="BR15" s="32">
        <f>[1]节奏总纲!BY15</f>
        <v>12.897943579612605</v>
      </c>
      <c r="BS15" s="32">
        <f>[1]节奏总纲!BZ15</f>
        <v>13.295232951964469</v>
      </c>
      <c r="BT15" s="32">
        <f>[1]节奏总纲!CA15</f>
        <v>13.76223932139796</v>
      </c>
      <c r="BU15" s="32">
        <f>[1]节奏总纲!CB15</f>
        <v>14.265591764569512</v>
      </c>
    </row>
    <row r="16" spans="2:73" x14ac:dyDescent="0.15">
      <c r="B16" s="24">
        <f>[1]节奏总纲!B16</f>
        <v>90</v>
      </c>
      <c r="C16" s="24">
        <f>[1]节奏总纲!C16</f>
        <v>511</v>
      </c>
      <c r="D16" s="24">
        <f>[1]节奏总纲!D16</f>
        <v>256</v>
      </c>
      <c r="F16" s="24">
        <f>[1]节奏总纲!F16</f>
        <v>14</v>
      </c>
      <c r="G16" s="24">
        <f>[1]节奏总纲!G16</f>
        <v>1.6390158215457884</v>
      </c>
      <c r="I16" s="24">
        <f>[1]节奏总纲!I16</f>
        <v>14</v>
      </c>
      <c r="J16" s="24">
        <f>[1]节奏总纲!J16</f>
        <v>1.7296773068470075</v>
      </c>
      <c r="K16" s="24">
        <f>[1]节奏总纲!K16</f>
        <v>0.57999999999999996</v>
      </c>
      <c r="N16" s="24">
        <f>[1]节奏总纲!N16</f>
        <v>23</v>
      </c>
      <c r="O16" s="24">
        <f>[1]节奏总纲!O16</f>
        <v>13</v>
      </c>
      <c r="P16" s="24">
        <f>[1]节奏总纲!P16</f>
        <v>1.4622888266898326</v>
      </c>
      <c r="Q16" s="24">
        <f>[1]节奏总纲!Q16</f>
        <v>1.2628326307293396</v>
      </c>
      <c r="R16" s="24">
        <f>[1]节奏总纲!R16</f>
        <v>1.0294513339896421</v>
      </c>
      <c r="S16" s="24">
        <f>[1]节奏总纲!S16</f>
        <v>0.75556463675063656</v>
      </c>
      <c r="T16" s="24">
        <f>[1]节奏总纲!T16</f>
        <v>0.41865329108129906</v>
      </c>
      <c r="U16" s="23"/>
      <c r="V16" s="24">
        <f>[1]节奏总纲!V16</f>
        <v>13</v>
      </c>
      <c r="W16" s="24">
        <f>[1]节奏总纲!W16</f>
        <v>0.16489211669576243</v>
      </c>
      <c r="X16" s="24">
        <f>[1]节奏总纲!X16</f>
        <v>0.15018521223842507</v>
      </c>
      <c r="Y16" s="24">
        <f>[1]节奏总纲!Y16</f>
        <v>0.12360895107178216</v>
      </c>
      <c r="Z16" s="24">
        <f>[1]节奏总纲!Z16</f>
        <v>9.337335596966323E-2</v>
      </c>
      <c r="AA16" s="24">
        <f>[1]节奏总纲!AA16</f>
        <v>5.3046898204970105E-2</v>
      </c>
      <c r="AC16" s="24">
        <f>[1]节奏总纲!AC16</f>
        <v>13</v>
      </c>
      <c r="AD16" s="24">
        <f>[1]节奏总纲!AD16</f>
        <v>38.071211008105138</v>
      </c>
      <c r="AE16" s="24">
        <f>[1]节奏总纲!AE16</f>
        <v>39.935302111946527</v>
      </c>
      <c r="AF16" s="24">
        <f>[1]节奏总纲!AF16</f>
        <v>42.470214785133983</v>
      </c>
      <c r="AG16" s="24">
        <f>[1]节奏总纲!AG16</f>
        <v>46.631096344914496</v>
      </c>
      <c r="AH16" s="24">
        <f>[1]节奏总纲!AH16</f>
        <v>55.062101953238496</v>
      </c>
      <c r="AL16" s="24">
        <f>[1]节奏总纲!AL16</f>
        <v>13</v>
      </c>
      <c r="AM16" s="24">
        <f>[1]节奏总纲!AM16</f>
        <v>1.417602554491646</v>
      </c>
      <c r="AN16" s="24">
        <f>[1]节奏总纲!AN16</f>
        <v>1.1340820435933168</v>
      </c>
      <c r="AO16" s="24">
        <f>[1]节奏总纲!AO16</f>
        <v>0.85056153269498758</v>
      </c>
      <c r="AP16" s="24">
        <f>[1]节奏总纲!AP16</f>
        <v>0.56704102179665838</v>
      </c>
      <c r="AQ16" s="24">
        <f>[1]节奏总纲!AQ16</f>
        <v>0.28352051089832919</v>
      </c>
      <c r="AS16" s="24">
        <f>[1]节奏总纲!AS16</f>
        <v>13</v>
      </c>
      <c r="AT16" s="24">
        <f>[1]节奏总纲!AT16</f>
        <v>0.26253401085692007</v>
      </c>
      <c r="AU16" s="24">
        <f>[1]节奏总纲!AU16</f>
        <v>0.21002720868553604</v>
      </c>
      <c r="AV16" s="24">
        <f>[1]节奏总纲!AV16</f>
        <v>0.15752040651415211</v>
      </c>
      <c r="AW16" s="24">
        <f>[1]节奏总纲!AW16</f>
        <v>0.10501360434276802</v>
      </c>
      <c r="AX16" s="24">
        <f>[1]节奏总纲!AX16</f>
        <v>5.2506802171384009E-2</v>
      </c>
      <c r="AY16" s="20"/>
      <c r="AZ16" s="20">
        <v>13</v>
      </c>
      <c r="BA16" s="20">
        <f>[1]节奏总纲!BA16</f>
        <v>25.265378411633971</v>
      </c>
      <c r="BB16" s="20">
        <f>[1]节奏总纲!BB16</f>
        <v>26.598914258210968</v>
      </c>
      <c r="BC16" s="20">
        <f>[1]节奏总纲!BC16</f>
        <v>28.339982398803929</v>
      </c>
      <c r="BD16" s="20">
        <f>[1]节奏总纲!BD16</f>
        <v>30.828727146189561</v>
      </c>
      <c r="BE16" s="20">
        <f>[1]节奏总纲!BE16</f>
        <v>35.146386283795508</v>
      </c>
      <c r="BI16" s="20">
        <v>13</v>
      </c>
      <c r="BJ16" s="32">
        <f>[1]节奏总纲!BQ16</f>
        <v>12.728996915718925</v>
      </c>
      <c r="BK16" s="32">
        <f>[1]节奏总纲!BR16</f>
        <v>12.142721275836225</v>
      </c>
      <c r="BL16" s="32">
        <f>[1]节奏总纲!BS16</f>
        <v>11.503343391504416</v>
      </c>
      <c r="BM16" s="32">
        <f>[1]节奏总纲!BT16</f>
        <v>10.885031205321049</v>
      </c>
      <c r="BN16" s="32">
        <f>[1]节奏总纲!BU16</f>
        <v>10.232039772979649</v>
      </c>
      <c r="BP16" s="20">
        <v>13</v>
      </c>
      <c r="BQ16" s="32">
        <f>[1]节奏总纲!BX16</f>
        <v>13.143190924164548</v>
      </c>
      <c r="BR16" s="32">
        <f>[1]节奏总纲!BY16</f>
        <v>13.515704114816591</v>
      </c>
      <c r="BS16" s="32">
        <f>[1]节奏总纲!BZ16</f>
        <v>13.955379012797932</v>
      </c>
      <c r="BT16" s="32">
        <f>[1]节奏总纲!CA16</f>
        <v>14.429987921274376</v>
      </c>
      <c r="BU16" s="32">
        <f>[1]节奏总纲!CB16</f>
        <v>14.981817088938907</v>
      </c>
    </row>
    <row r="17" spans="2:73" x14ac:dyDescent="0.15">
      <c r="B17" s="24">
        <f>[1]节奏总纲!B17</f>
        <v>100</v>
      </c>
      <c r="C17" s="24">
        <f>[1]节奏总纲!C17</f>
        <v>1023</v>
      </c>
      <c r="D17" s="24">
        <f>[1]节奏总纲!D17</f>
        <v>512</v>
      </c>
      <c r="F17" s="24">
        <f>[1]节奏总纲!F17</f>
        <v>15</v>
      </c>
      <c r="G17" s="24">
        <f>[1]节奏总纲!G17</f>
        <v>1.8284271247461898</v>
      </c>
      <c r="I17" s="24">
        <f>[1]节奏总纲!I17</f>
        <v>15</v>
      </c>
      <c r="J17" s="24">
        <f>[1]节奏总纲!J17</f>
        <v>2.1</v>
      </c>
      <c r="K17" s="24">
        <f>[1]节奏总纲!K17</f>
        <v>0.6</v>
      </c>
      <c r="N17" s="24">
        <f>[1]节奏总纲!N17</f>
        <v>24</v>
      </c>
      <c r="O17" s="24">
        <f>[1]节奏总纲!O17</f>
        <v>14</v>
      </c>
      <c r="P17" s="24">
        <f>[1]节奏总纲!P17</f>
        <v>1.6390158215457884</v>
      </c>
      <c r="Q17" s="24">
        <f>[1]节奏总纲!Q17</f>
        <v>1.4136511460832426</v>
      </c>
      <c r="R17" s="24">
        <f>[1]节奏总纲!R17</f>
        <v>1.1545227446968533</v>
      </c>
      <c r="S17" s="24">
        <f>[1]节奏总纲!S17</f>
        <v>0.84605996708193598</v>
      </c>
      <c r="T17" s="24">
        <f>[1]节奏总纲!T17</f>
        <v>0.46810291863347719</v>
      </c>
      <c r="U17" s="23"/>
      <c r="V17" s="24">
        <f>[1]节奏总纲!V17</f>
        <v>14</v>
      </c>
      <c r="W17" s="24">
        <f>[1]节奏总纲!W17</f>
        <v>0.17672699485595578</v>
      </c>
      <c r="X17" s="24">
        <f>[1]节奏总纲!X17</f>
        <v>0.150818515353903</v>
      </c>
      <c r="Y17" s="24">
        <f>[1]节奏总纲!Y17</f>
        <v>0.12507141070721128</v>
      </c>
      <c r="Z17" s="24">
        <f>[1]节奏总纲!Z17</f>
        <v>9.0495330331299417E-2</v>
      </c>
      <c r="AA17" s="24">
        <f>[1]节奏总纲!AA17</f>
        <v>4.9449627552178133E-2</v>
      </c>
      <c r="AC17" s="24">
        <f>[1]节奏总纲!AC17</f>
        <v>14</v>
      </c>
      <c r="AD17" s="24">
        <f>[1]节奏总纲!AD17</f>
        <v>39.066704614192943</v>
      </c>
      <c r="AE17" s="24">
        <f>[1]节奏总纲!AE17</f>
        <v>40.935169244165145</v>
      </c>
      <c r="AF17" s="24">
        <f>[1]节奏总纲!AF17</f>
        <v>43.484929789964411</v>
      </c>
      <c r="AG17" s="24">
        <f>[1]节奏总纲!AG17</f>
        <v>47.711408234944486</v>
      </c>
      <c r="AH17" s="24">
        <f>[1]节奏总纲!AH17</f>
        <v>56.165983112651688</v>
      </c>
      <c r="AL17" s="24">
        <f>[1]节奏总纲!AL17</f>
        <v>14</v>
      </c>
      <c r="AM17" s="24">
        <f>[1]节奏总纲!AM17</f>
        <v>1.7296773068470075</v>
      </c>
      <c r="AN17" s="24">
        <f>[1]节奏总纲!AN17</f>
        <v>1.383741845477606</v>
      </c>
      <c r="AO17" s="24">
        <f>[1]节奏总纲!AO17</f>
        <v>1.0378063841082044</v>
      </c>
      <c r="AP17" s="24">
        <f>[1]节奏总纲!AP17</f>
        <v>0.69187092273880302</v>
      </c>
      <c r="AQ17" s="24">
        <f>[1]节奏总纲!AQ17</f>
        <v>0.34593546136940151</v>
      </c>
      <c r="AS17" s="24">
        <f>[1]节奏总纲!AS17</f>
        <v>14</v>
      </c>
      <c r="AT17" s="24">
        <f>[1]节奏总纲!AT17</f>
        <v>0.31207475235536153</v>
      </c>
      <c r="AU17" s="24">
        <f>[1]节奏总纲!AU17</f>
        <v>0.24965980188428927</v>
      </c>
      <c r="AV17" s="24">
        <f>[1]节奏总纲!AV17</f>
        <v>0.18724485141321678</v>
      </c>
      <c r="AW17" s="24">
        <f>[1]节奏总纲!AW17</f>
        <v>0.12482990094214463</v>
      </c>
      <c r="AX17" s="24">
        <f>[1]节奏总纲!AX17</f>
        <v>6.2414950471072317E-2</v>
      </c>
      <c r="AY17" s="20"/>
      <c r="AZ17" s="20">
        <v>14</v>
      </c>
      <c r="BA17" s="20">
        <f>[1]节奏总纲!BA17</f>
        <v>25.707675764357255</v>
      </c>
      <c r="BB17" s="20">
        <f>[1]节奏总纲!BB17</f>
        <v>27.059707353051884</v>
      </c>
      <c r="BC17" s="20">
        <f>[1]节奏总纲!BC17</f>
        <v>28.796798156163181</v>
      </c>
      <c r="BD17" s="20">
        <f>[1]节奏总纲!BD17</f>
        <v>31.280110398778046</v>
      </c>
      <c r="BE17" s="20">
        <f>[1]节奏总纲!BE17</f>
        <v>35.634340563113874</v>
      </c>
      <c r="BI17" s="20">
        <v>14</v>
      </c>
      <c r="BJ17" s="32">
        <f>[1]节奏总纲!BQ17</f>
        <v>14.478648759442287</v>
      </c>
      <c r="BK17" s="32">
        <f>[1]节奏总纲!BR17</f>
        <v>13.801686811891411</v>
      </c>
      <c r="BL17" s="32">
        <f>[1]节奏总纲!BS17</f>
        <v>13.066802237788149</v>
      </c>
      <c r="BM17" s="32">
        <f>[1]节奏总纲!BT17</f>
        <v>12.317859861087916</v>
      </c>
      <c r="BN17" s="32">
        <f>[1]节奏总纲!BU17</f>
        <v>11.589582338965862</v>
      </c>
      <c r="BP17" s="20">
        <v>14</v>
      </c>
      <c r="BQ17" s="32">
        <f>[1]节奏总纲!BX17</f>
        <v>13.709487920387797</v>
      </c>
      <c r="BR17" s="32">
        <f>[1]节奏总纲!BY17</f>
        <v>14.100956885571147</v>
      </c>
      <c r="BS17" s="32">
        <f>[1]节奏总纲!BZ17</f>
        <v>14.525291242595772</v>
      </c>
      <c r="BT17" s="32">
        <f>[1]节奏总纲!CA17</f>
        <v>15.034528001908788</v>
      </c>
      <c r="BU17" s="32">
        <f>[1]节奏总纲!CB17</f>
        <v>15.548154022600523</v>
      </c>
    </row>
    <row r="18" spans="2:73" x14ac:dyDescent="0.15">
      <c r="F18" s="24">
        <f>[1]节奏总纲!F18</f>
        <v>16</v>
      </c>
      <c r="G18" s="24">
        <f>[1]节奏总纲!G18</f>
        <v>2.031433133020796</v>
      </c>
      <c r="I18" s="24">
        <f>[1]节奏总纲!I18</f>
        <v>16</v>
      </c>
      <c r="J18" s="24">
        <f>[1]节奏总纲!J18</f>
        <v>2.5387719203926467</v>
      </c>
      <c r="K18" s="24">
        <f>[1]节奏总纲!K18</f>
        <v>0.62</v>
      </c>
      <c r="N18" s="24">
        <f>[1]节奏总纲!N18</f>
        <v>25</v>
      </c>
      <c r="O18" s="24">
        <f>[1]节奏总纲!O18</f>
        <v>15</v>
      </c>
      <c r="P18" s="24">
        <f>[1]节奏总纲!P18</f>
        <v>1.8284271247461898</v>
      </c>
      <c r="Q18" s="24">
        <f>[1]节奏总纲!Q18</f>
        <v>1.5793953503557587</v>
      </c>
      <c r="R18" s="24">
        <f>[1]节奏总纲!R18</f>
        <v>1.2928808199080308</v>
      </c>
      <c r="S18" s="24">
        <f>[1]节奏总纲!S18</f>
        <v>0.94895367774327255</v>
      </c>
      <c r="T18" s="24">
        <f>[1]节奏总纲!T18</f>
        <v>0.5271355400643265</v>
      </c>
      <c r="U18" s="23"/>
      <c r="V18" s="24">
        <f>[1]节奏总纲!V18</f>
        <v>15</v>
      </c>
      <c r="W18" s="24">
        <f>[1]节奏总纲!W18</f>
        <v>0.18941130320040145</v>
      </c>
      <c r="X18" s="24">
        <f>[1]节奏总纲!X18</f>
        <v>0.16574420427251613</v>
      </c>
      <c r="Y18" s="24">
        <f>[1]节奏总纲!Y18</f>
        <v>0.13835807521117749</v>
      </c>
      <c r="Z18" s="24">
        <f>[1]节奏总纲!Z18</f>
        <v>0.10289371066133657</v>
      </c>
      <c r="AA18" s="24">
        <f>[1]节奏总纲!AA18</f>
        <v>5.9032621430849308E-2</v>
      </c>
      <c r="AC18" s="24">
        <f>[1]节奏总纲!AC18</f>
        <v>15</v>
      </c>
      <c r="AD18" s="24">
        <f>[1]节奏总纲!AD18</f>
        <v>40</v>
      </c>
      <c r="AE18" s="24">
        <f>[1]节奏总纲!AE18</f>
        <v>41.83669503626701</v>
      </c>
      <c r="AF18" s="24">
        <f>[1]节奏总纲!AF18</f>
        <v>44.442238853326032</v>
      </c>
      <c r="AG18" s="24">
        <f>[1]节奏总纲!AG18</f>
        <v>48.731413734867289</v>
      </c>
      <c r="AH18" s="24">
        <f>[1]节奏总纲!AH18</f>
        <v>57.176846218996921</v>
      </c>
      <c r="AL18" s="24">
        <f>[1]节奏总纲!AL18</f>
        <v>15</v>
      </c>
      <c r="AM18" s="24">
        <f>[1]节奏总纲!AM18</f>
        <v>2.1</v>
      </c>
      <c r="AN18" s="24">
        <f>[1]节奏总纲!AN18</f>
        <v>1.6800000000000002</v>
      </c>
      <c r="AO18" s="24">
        <f>[1]节奏总纲!AO18</f>
        <v>1.26</v>
      </c>
      <c r="AP18" s="24">
        <f>[1]节奏总纲!AP18</f>
        <v>0.84000000000000008</v>
      </c>
      <c r="AQ18" s="24">
        <f>[1]节奏总纲!AQ18</f>
        <v>0.42000000000000004</v>
      </c>
      <c r="AS18" s="24">
        <f>[1]节奏总纲!AS18</f>
        <v>15</v>
      </c>
      <c r="AT18" s="24">
        <f>[1]节奏总纲!AT18</f>
        <v>0.3703226931529926</v>
      </c>
      <c r="AU18" s="24">
        <f>[1]节奏总纲!AU18</f>
        <v>0.29625815452239412</v>
      </c>
      <c r="AV18" s="24">
        <f>[1]节奏总纲!AV18</f>
        <v>0.22219361589179565</v>
      </c>
      <c r="AW18" s="24">
        <f>[1]节奏总纲!AW18</f>
        <v>0.14812907726119706</v>
      </c>
      <c r="AX18" s="24">
        <f>[1]节奏总纲!AX18</f>
        <v>7.4064538630598531E-2</v>
      </c>
      <c r="AY18" s="20"/>
      <c r="AZ18" s="20">
        <v>15</v>
      </c>
      <c r="BA18" s="20">
        <f>[1]节奏总纲!BA18</f>
        <v>26.127796402772656</v>
      </c>
      <c r="BB18" s="20">
        <f>[1]节奏总纲!BB18</f>
        <v>27.461368800321225</v>
      </c>
      <c r="BC18" s="20">
        <f>[1]节奏总纲!BC18</f>
        <v>29.216428548527322</v>
      </c>
      <c r="BD18" s="20">
        <f>[1]节奏总纲!BD18</f>
        <v>31.706504654507764</v>
      </c>
      <c r="BE18" s="20">
        <f>[1]节奏总纲!BE18</f>
        <v>36.105477566569242</v>
      </c>
      <c r="BI18" s="20">
        <v>15</v>
      </c>
      <c r="BJ18" s="32">
        <f>[1]节奏总纲!BQ18</f>
        <v>16.315139190025224</v>
      </c>
      <c r="BK18" s="32">
        <f>[1]节奏总纲!BR18</f>
        <v>15.561358773741674</v>
      </c>
      <c r="BL18" s="32">
        <f>[1]节奏总纲!BS18</f>
        <v>14.762349831349963</v>
      </c>
      <c r="BM18" s="32">
        <f>[1]节奏总纲!BT18</f>
        <v>13.933035582501875</v>
      </c>
      <c r="BN18" s="32">
        <f>[1]节奏总纲!BU18</f>
        <v>13.02723395474071</v>
      </c>
      <c r="BP18" s="20">
        <v>15</v>
      </c>
      <c r="BQ18" s="32">
        <f>[1]节奏总纲!BX18</f>
        <v>14.266658834916136</v>
      </c>
      <c r="BR18" s="32">
        <f>[1]节奏总纲!BY18</f>
        <v>14.660415593263824</v>
      </c>
      <c r="BS18" s="32">
        <f>[1]节奏总纲!BZ18</f>
        <v>15.124897159472612</v>
      </c>
      <c r="BT18" s="32">
        <f>[1]节奏总纲!CA18</f>
        <v>15.620787661421978</v>
      </c>
      <c r="BU18" s="32">
        <f>[1]节奏总纲!CB18</f>
        <v>16.186655799493046</v>
      </c>
    </row>
    <row r="19" spans="2:73" x14ac:dyDescent="0.15">
      <c r="F19" s="24">
        <f>[1]节奏总纲!F19</f>
        <v>17</v>
      </c>
      <c r="G19" s="24">
        <f>[1]节奏总纲!G19</f>
        <v>2.2490095854249419</v>
      </c>
      <c r="I19" s="24">
        <f>[1]节奏总纲!I19</f>
        <v>17</v>
      </c>
      <c r="J19" s="24">
        <f>[1]节奏总纲!J19</f>
        <v>3.0579402515786085</v>
      </c>
      <c r="K19" s="24">
        <f>[1]节奏总纲!K19</f>
        <v>0.64</v>
      </c>
      <c r="N19" s="24">
        <f>[1]节奏总纲!N19</f>
        <v>26</v>
      </c>
      <c r="O19" s="24">
        <f>[1]节奏总纲!O19</f>
        <v>16</v>
      </c>
      <c r="P19" s="24">
        <f>[1]节奏总纲!P19</f>
        <v>2.031433133020796</v>
      </c>
      <c r="Q19" s="24">
        <f>[1]节奏总纲!Q19</f>
        <v>1.7586116632561031</v>
      </c>
      <c r="R19" s="24">
        <f>[1]节奏总纲!R19</f>
        <v>1.4398798046851402</v>
      </c>
      <c r="S19" s="24">
        <f>[1]节奏总纲!S19</f>
        <v>1.0618300986299702</v>
      </c>
      <c r="T19" s="24">
        <f>[1]节奏总纲!T19</f>
        <v>0.59460047803518701</v>
      </c>
      <c r="U19" s="23"/>
      <c r="V19" s="24">
        <f>[1]节奏总纲!V19</f>
        <v>16</v>
      </c>
      <c r="W19" s="24">
        <f>[1]节奏总纲!W19</f>
        <v>0.20300600827460613</v>
      </c>
      <c r="X19" s="24">
        <f>[1]节奏总纲!X19</f>
        <v>0.17921631290034434</v>
      </c>
      <c r="Y19" s="24">
        <f>[1]节奏总纲!Y19</f>
        <v>0.14699898477710938</v>
      </c>
      <c r="Z19" s="24">
        <f>[1]节奏总纲!Z19</f>
        <v>0.11287642088669769</v>
      </c>
      <c r="AA19" s="24">
        <f>[1]节奏总纲!AA19</f>
        <v>6.7464937970860506E-2</v>
      </c>
      <c r="AC19" s="24">
        <f>[1]节奏总纲!AC19</f>
        <v>16</v>
      </c>
      <c r="AD19" s="24">
        <f>[1]节奏总纲!AD19</f>
        <v>40.870795385807064</v>
      </c>
      <c r="AE19" s="24">
        <f>[1]节奏总纲!AE19</f>
        <v>42.707142308553742</v>
      </c>
      <c r="AF19" s="24">
        <f>[1]节奏总纲!AF19</f>
        <v>45.343250058486468</v>
      </c>
      <c r="AG19" s="24">
        <f>[1]节奏总纲!AG19</f>
        <v>49.654306534727205</v>
      </c>
      <c r="AH19" s="24">
        <f>[1]节奏总纲!AH19</f>
        <v>58.12511610143563</v>
      </c>
      <c r="AL19" s="24">
        <f>[1]节奏总纲!AL19</f>
        <v>16</v>
      </c>
      <c r="AM19" s="24">
        <f>[1]节奏总纲!AM19</f>
        <v>2.5387719203926467</v>
      </c>
      <c r="AN19" s="24">
        <f>[1]节奏总纲!AN19</f>
        <v>2.0310175363141174</v>
      </c>
      <c r="AO19" s="24">
        <f>[1]节奏总纲!AO19</f>
        <v>1.5232631522355879</v>
      </c>
      <c r="AP19" s="24">
        <f>[1]节奏总纲!AP19</f>
        <v>1.0155087681570587</v>
      </c>
      <c r="AQ19" s="24">
        <f>[1]节奏总纲!AQ19</f>
        <v>0.50775438407852935</v>
      </c>
      <c r="AS19" s="24">
        <f>[1]节奏总纲!AS19</f>
        <v>16</v>
      </c>
      <c r="AT19" s="24">
        <f>[1]节奏总纲!AT19</f>
        <v>0.43877192039264656</v>
      </c>
      <c r="AU19" s="24">
        <f>[1]节奏总纲!AU19</f>
        <v>0.35101753631411725</v>
      </c>
      <c r="AV19" s="24">
        <f>[1]节奏总纲!AV19</f>
        <v>0.26326315223558794</v>
      </c>
      <c r="AW19" s="24">
        <f>[1]节奏总纲!AW19</f>
        <v>0.17550876815705863</v>
      </c>
      <c r="AX19" s="24">
        <f>[1]节奏总纲!AX19</f>
        <v>8.7754384078529313E-2</v>
      </c>
      <c r="AY19" s="20"/>
      <c r="AZ19" s="20">
        <v>16</v>
      </c>
      <c r="BA19" s="20">
        <f>[1]节奏总纲!BA19</f>
        <v>26.504690687123308</v>
      </c>
      <c r="BB19" s="20">
        <f>[1]节奏总纲!BB19</f>
        <v>27.863030247590562</v>
      </c>
      <c r="BC19" s="20">
        <f>[1]节奏总纲!BC19</f>
        <v>29.606265091548554</v>
      </c>
      <c r="BD19" s="20">
        <f>[1]节奏总纲!BD19</f>
        <v>32.113552950216736</v>
      </c>
      <c r="BE19" s="20">
        <f>[1]节奏总纲!BE19</f>
        <v>36.526331209747774</v>
      </c>
      <c r="BI19" s="20">
        <v>16</v>
      </c>
      <c r="BJ19" s="32">
        <f>[1]节奏总纲!BQ19</f>
        <v>18.226342304552581</v>
      </c>
      <c r="BK19" s="32">
        <f>[1]节奏总纲!BR19</f>
        <v>17.420973982667814</v>
      </c>
      <c r="BL19" s="32">
        <f>[1]节奏总纲!BS19</f>
        <v>16.55360159735687</v>
      </c>
      <c r="BM19" s="32">
        <f>[1]节奏总纲!BT19</f>
        <v>15.589627930182091</v>
      </c>
      <c r="BN19" s="32">
        <f>[1]节奏总纲!BU19</f>
        <v>14.671687356650759</v>
      </c>
      <c r="BP19" s="20">
        <v>16</v>
      </c>
      <c r="BQ19" s="32">
        <f>[1]节奏总纲!BX19</f>
        <v>14.814845624513547</v>
      </c>
      <c r="BR19" s="32">
        <f>[1]节奏总纲!BY19</f>
        <v>15.223953663630512</v>
      </c>
      <c r="BS19" s="32">
        <f>[1]节奏总纲!BZ19</f>
        <v>15.68326996451129</v>
      </c>
      <c r="BT19" s="32">
        <f>[1]节奏总纲!CA19</f>
        <v>16.223055450854915</v>
      </c>
      <c r="BU19" s="32">
        <f>[1]节奏总纲!CB19</f>
        <v>16.836396297114952</v>
      </c>
    </row>
    <row r="20" spans="2:73" x14ac:dyDescent="0.15">
      <c r="F20" s="24">
        <f>[1]节奏总纲!F20</f>
        <v>18</v>
      </c>
      <c r="G20" s="24">
        <f>[1]节奏总纲!G20</f>
        <v>2.4822022531844965</v>
      </c>
      <c r="I20" s="24">
        <f>[1]节奏总纲!I20</f>
        <v>18</v>
      </c>
      <c r="J20" s="24">
        <f>[1]节奏总纲!J20</f>
        <v>3.671491735587451</v>
      </c>
      <c r="K20" s="24">
        <f>[1]节奏总纲!K20</f>
        <v>0.66</v>
      </c>
      <c r="N20" s="24">
        <f>[1]节奏总纲!N20</f>
        <v>27</v>
      </c>
      <c r="O20" s="24">
        <f>[1]节奏总纲!O20</f>
        <v>17</v>
      </c>
      <c r="P20" s="24">
        <f>[1]节奏总纲!P20</f>
        <v>2.2490095854249419</v>
      </c>
      <c r="Q20" s="24">
        <f>[1]节奏总纲!Q20</f>
        <v>1.9433691827656923</v>
      </c>
      <c r="R20" s="24">
        <f>[1]节奏总纲!R20</f>
        <v>1.5904995788125189</v>
      </c>
      <c r="S20" s="24">
        <f>[1]节奏总纲!S20</f>
        <v>1.1742079045503622</v>
      </c>
      <c r="T20" s="24">
        <f>[1]节奏总纲!T20</f>
        <v>0.65311238360740309</v>
      </c>
      <c r="U20" s="23"/>
      <c r="V20" s="24">
        <f>[1]节奏总纲!V20</f>
        <v>17</v>
      </c>
      <c r="W20" s="24">
        <f>[1]节奏总纲!W20</f>
        <v>0.21757645240414591</v>
      </c>
      <c r="X20" s="24">
        <f>[1]节奏总纲!X20</f>
        <v>0.18475751950958919</v>
      </c>
      <c r="Y20" s="24">
        <f>[1]节奏总纲!Y20</f>
        <v>0.1506197741273787</v>
      </c>
      <c r="Z20" s="24">
        <f>[1]节奏总纲!Z20</f>
        <v>0.11237780592039193</v>
      </c>
      <c r="AA20" s="24">
        <f>[1]节奏总纲!AA20</f>
        <v>5.8511905572216083E-2</v>
      </c>
      <c r="AC20" s="24">
        <f>[1]节奏总纲!AC20</f>
        <v>17</v>
      </c>
      <c r="AD20" s="24">
        <f>[1]节奏总纲!AD20</f>
        <v>41.691928656135218</v>
      </c>
      <c r="AE20" s="24">
        <f>[1]节奏总纲!AE20</f>
        <v>43.535389560453282</v>
      </c>
      <c r="AF20" s="24">
        <f>[1]节奏总纲!AF20</f>
        <v>46.195785611164197</v>
      </c>
      <c r="AG20" s="24">
        <f>[1]节奏总纲!AG20</f>
        <v>50.510850036206186</v>
      </c>
      <c r="AH20" s="24">
        <f>[1]节奏总纲!AH20</f>
        <v>58.996855914896834</v>
      </c>
      <c r="AL20" s="24">
        <f>[1]节奏总纲!AL20</f>
        <v>17</v>
      </c>
      <c r="AM20" s="24">
        <f>[1]节奏总纲!AM20</f>
        <v>3.0579402515786085</v>
      </c>
      <c r="AN20" s="24">
        <f>[1]节奏总纲!AN20</f>
        <v>2.4463522012628869</v>
      </c>
      <c r="AO20" s="24">
        <f>[1]节奏总纲!AO20</f>
        <v>1.8347641509471651</v>
      </c>
      <c r="AP20" s="24">
        <f>[1]节奏总纲!AP20</f>
        <v>1.2231761006314434</v>
      </c>
      <c r="AQ20" s="24">
        <f>[1]节奏总纲!AQ20</f>
        <v>0.61158805031572172</v>
      </c>
      <c r="AS20" s="24">
        <f>[1]节奏总纲!AS20</f>
        <v>17</v>
      </c>
      <c r="AT20" s="24">
        <f>[1]节奏总纲!AT20</f>
        <v>0.51916833118596184</v>
      </c>
      <c r="AU20" s="24">
        <f>[1]节奏总纲!AU20</f>
        <v>0.41533466494876947</v>
      </c>
      <c r="AV20" s="24">
        <f>[1]节奏总纲!AV20</f>
        <v>0.3115009987115771</v>
      </c>
      <c r="AW20" s="24">
        <f>[1]节奏总纲!AW20</f>
        <v>0.20766733247438474</v>
      </c>
      <c r="AX20" s="24">
        <f>[1]节奏总纲!AX20</f>
        <v>0.10383366623719237</v>
      </c>
      <c r="AY20" s="20"/>
      <c r="AZ20" s="20">
        <v>17</v>
      </c>
      <c r="BA20" s="20">
        <f>[1]节奏总纲!BA20</f>
        <v>26.881584971473956</v>
      </c>
      <c r="BB20" s="20">
        <f>[1]节奏总纲!BB20</f>
        <v>28.225778459464117</v>
      </c>
      <c r="BC20" s="20">
        <f>[1]节奏总纲!BC20</f>
        <v>29.996101634569786</v>
      </c>
      <c r="BD20" s="20">
        <f>[1]节奏总纲!BD20</f>
        <v>32.477877425165822</v>
      </c>
      <c r="BE20" s="20">
        <f>[1]节奏总纲!BE20</f>
        <v>36.947184852926306</v>
      </c>
      <c r="BI20" s="20">
        <v>17</v>
      </c>
      <c r="BJ20" s="32">
        <f>[1]节奏总纲!BQ20</f>
        <v>20.20181641490861</v>
      </c>
      <c r="BK20" s="32">
        <f>[1]节奏总纲!BR20</f>
        <v>19.316761289213389</v>
      </c>
      <c r="BL20" s="32">
        <f>[1]节奏总纲!BS20</f>
        <v>18.361080760620879</v>
      </c>
      <c r="BM20" s="32">
        <f>[1]节奏总纲!BT20</f>
        <v>17.369785176246889</v>
      </c>
      <c r="BN20" s="32">
        <f>[1]节奏总纲!BU20</f>
        <v>16.290326765372022</v>
      </c>
      <c r="BP20" s="20">
        <v>17</v>
      </c>
      <c r="BQ20" s="32">
        <f>[1]节奏总纲!BX20</f>
        <v>15.339606019664149</v>
      </c>
      <c r="BR20" s="32">
        <f>[1]节奏总纲!BY20</f>
        <v>15.750302066190816</v>
      </c>
      <c r="BS20" s="32">
        <f>[1]节奏总纲!BZ20</f>
        <v>16.215846584296784</v>
      </c>
      <c r="BT20" s="32">
        <f>[1]节奏总纲!CA20</f>
        <v>16.764198848718195</v>
      </c>
      <c r="BU20" s="32">
        <f>[1]节奏总纲!CB20</f>
        <v>17.338393226762065</v>
      </c>
    </row>
    <row r="21" spans="2:73" x14ac:dyDescent="0.15">
      <c r="F21" s="24">
        <f>[1]节奏总纲!F21</f>
        <v>19</v>
      </c>
      <c r="G21" s="24">
        <f>[1]节奏总纲!G21</f>
        <v>2.7321319661472296</v>
      </c>
      <c r="I21" s="24">
        <f>[1]节奏总纲!I21</f>
        <v>19</v>
      </c>
      <c r="J21" s="24">
        <f>[1]节奏总纲!J21</f>
        <v>4.3957950643309154</v>
      </c>
      <c r="K21" s="24">
        <f>[1]节奏总纲!K21</f>
        <v>0.68</v>
      </c>
      <c r="N21" s="24">
        <f>[1]节奏总纲!N21</f>
        <v>28</v>
      </c>
      <c r="O21" s="24">
        <f>[1]节奏总纲!O21</f>
        <v>18</v>
      </c>
      <c r="P21" s="24">
        <f>[1]节奏总纲!P21</f>
        <v>2.4822022531844965</v>
      </c>
      <c r="Q21" s="24">
        <f>[1]节奏总纲!Q21</f>
        <v>2.1515729130603214</v>
      </c>
      <c r="R21" s="24">
        <f>[1]节奏总纲!R21</f>
        <v>1.7690655458445907</v>
      </c>
      <c r="S21" s="24">
        <f>[1]节奏总纲!S21</f>
        <v>1.3066312660763189</v>
      </c>
      <c r="T21" s="24">
        <f>[1]节奏总纲!T21</f>
        <v>0.72554771860582834</v>
      </c>
      <c r="U21" s="23"/>
      <c r="V21" s="24">
        <f>[1]节奏总纲!V21</f>
        <v>18</v>
      </c>
      <c r="W21" s="24">
        <f>[1]节奏总纲!W21</f>
        <v>0.23319266775955461</v>
      </c>
      <c r="X21" s="24">
        <f>[1]节奏总纲!X21</f>
        <v>0.20820373029462913</v>
      </c>
      <c r="Y21" s="24">
        <f>[1]节奏总纲!Y21</f>
        <v>0.17856596703207184</v>
      </c>
      <c r="Z21" s="24">
        <f>[1]节奏总纲!Z21</f>
        <v>0.13242336152595668</v>
      </c>
      <c r="AA21" s="24">
        <f>[1]节奏总纲!AA21</f>
        <v>7.2435334998425249E-2</v>
      </c>
      <c r="AC21" s="24">
        <f>[1]节奏总纲!AC21</f>
        <v>18</v>
      </c>
      <c r="AD21" s="24">
        <f>[1]节奏总纲!AD21</f>
        <v>42.470630686057078</v>
      </c>
      <c r="AE21" s="24">
        <f>[1]节奏总纲!AE21</f>
        <v>44.32123076997032</v>
      </c>
      <c r="AF21" s="24">
        <f>[1]节奏总纲!AF21</f>
        <v>47.002405448181747</v>
      </c>
      <c r="AG21" s="24">
        <f>[1]节奏总纲!AG21</f>
        <v>51.307235833425089</v>
      </c>
      <c r="AH21" s="24">
        <f>[1]节奏总纲!AH21</f>
        <v>59.782901351568675</v>
      </c>
      <c r="AL21" s="24">
        <f>[1]节奏总纲!AL21</f>
        <v>18</v>
      </c>
      <c r="AM21" s="24">
        <f>[1]节奏总纲!AM21</f>
        <v>3.671491735587451</v>
      </c>
      <c r="AN21" s="24">
        <f>[1]节奏总纲!AN21</f>
        <v>2.9371933884699608</v>
      </c>
      <c r="AO21" s="24">
        <f>[1]节奏总纲!AO21</f>
        <v>2.2028950413524706</v>
      </c>
      <c r="AP21" s="24">
        <f>[1]节奏总纲!AP21</f>
        <v>1.4685966942349804</v>
      </c>
      <c r="AQ21" s="24">
        <f>[1]节奏总纲!AQ21</f>
        <v>0.7342983471174902</v>
      </c>
      <c r="AS21" s="24">
        <f>[1]节奏总纲!AS21</f>
        <v>18</v>
      </c>
      <c r="AT21" s="24">
        <f>[1]节奏总纲!AT21</f>
        <v>0.61355148400884252</v>
      </c>
      <c r="AU21" s="24">
        <f>[1]节奏总纲!AU21</f>
        <v>0.49084118720707393</v>
      </c>
      <c r="AV21" s="24">
        <f>[1]节奏总纲!AV21</f>
        <v>0.36813089040530556</v>
      </c>
      <c r="AW21" s="24">
        <f>[1]节奏总纲!AW21</f>
        <v>0.24542059360353696</v>
      </c>
      <c r="AX21" s="24">
        <f>[1]节奏总纲!AX21</f>
        <v>0.12271029680176848</v>
      </c>
      <c r="AY21" s="20"/>
      <c r="AZ21" s="20">
        <v>18</v>
      </c>
      <c r="BA21" s="20">
        <f>[1]节奏总纲!BA21</f>
        <v>27.220371931959619</v>
      </c>
      <c r="BB21" s="20">
        <f>[1]节奏总纲!BB21</f>
        <v>28.568390277483555</v>
      </c>
      <c r="BC21" s="20">
        <f>[1]节奏总纲!BC21</f>
        <v>30.329493925593439</v>
      </c>
      <c r="BD21" s="20">
        <f>[1]节奏总纲!BD21</f>
        <v>32.842201900114915</v>
      </c>
      <c r="BE21" s="20">
        <f>[1]节奏总纲!BE21</f>
        <v>37.317457773889828</v>
      </c>
      <c r="BI21" s="20">
        <v>18</v>
      </c>
      <c r="BJ21" s="32">
        <f>[1]节奏总纲!BQ21</f>
        <v>22.23257120211764</v>
      </c>
      <c r="BK21" s="32">
        <f>[1]节奏总纲!BR21</f>
        <v>21.313236761787984</v>
      </c>
      <c r="BL21" s="32">
        <f>[1]节奏总纲!BS21</f>
        <v>20.31364557414641</v>
      </c>
      <c r="BM21" s="32">
        <f>[1]节奏总纲!BT21</f>
        <v>19.206606162403641</v>
      </c>
      <c r="BN21" s="32">
        <f>[1]节奏总纲!BU21</f>
        <v>18.113419670820548</v>
      </c>
      <c r="BP21" s="20">
        <v>18</v>
      </c>
      <c r="BQ21" s="32">
        <f>[1]节奏总纲!BX21</f>
        <v>15.871072726902106</v>
      </c>
      <c r="BR21" s="32">
        <f>[1]节奏总纲!BY21</f>
        <v>16.290260811148702</v>
      </c>
      <c r="BS21" s="32">
        <f>[1]节奏总纲!BZ21</f>
        <v>16.78909022643807</v>
      </c>
      <c r="BT21" s="32">
        <f>[1]节奏总纲!CA21</f>
        <v>17.340049562343136</v>
      </c>
      <c r="BU21" s="32">
        <f>[1]节奏总纲!CB21</f>
        <v>17.928688718553115</v>
      </c>
    </row>
    <row r="22" spans="2:73" x14ac:dyDescent="0.15">
      <c r="B22" s="57" t="s">
        <v>152</v>
      </c>
      <c r="C22" s="57"/>
      <c r="D22" s="57"/>
      <c r="F22" s="24">
        <f>[1]节奏总纲!F22</f>
        <v>20</v>
      </c>
      <c r="G22" s="24">
        <f>[1]节奏总纲!G22</f>
        <v>3</v>
      </c>
      <c r="I22" s="24">
        <f>[1]节奏总纲!I22</f>
        <v>20</v>
      </c>
      <c r="J22" s="24">
        <f>[1]节奏总纲!J22</f>
        <v>5.25</v>
      </c>
      <c r="K22" s="24">
        <f>[1]节奏总纲!K22</f>
        <v>0.7</v>
      </c>
      <c r="N22" s="24">
        <f>[1]节奏总纲!N22</f>
        <v>29</v>
      </c>
      <c r="O22" s="24">
        <f>[1]节奏总纲!O22</f>
        <v>19</v>
      </c>
      <c r="P22" s="24">
        <f>[1]节奏总纲!P22</f>
        <v>2.7321319661472296</v>
      </c>
      <c r="Q22" s="24">
        <f>[1]节奏总纲!Q22</f>
        <v>2.3734030389920986</v>
      </c>
      <c r="R22" s="24">
        <f>[1]节奏总纲!R22</f>
        <v>1.9510154370257367</v>
      </c>
      <c r="S22" s="24">
        <f>[1]节奏总纲!S22</f>
        <v>1.4395603329629754</v>
      </c>
      <c r="T22" s="24">
        <f>[1]节奏总纲!T22</f>
        <v>0.80270037165405606</v>
      </c>
      <c r="U22" s="23"/>
      <c r="V22" s="24">
        <f>[1]节奏总纲!V22</f>
        <v>19</v>
      </c>
      <c r="W22" s="24">
        <f>[1]节奏总纲!W22</f>
        <v>0.24992971296273314</v>
      </c>
      <c r="X22" s="24">
        <f>[1]节奏总纲!X22</f>
        <v>0.2218301259317772</v>
      </c>
      <c r="Y22" s="24">
        <f>[1]节奏总纲!Y22</f>
        <v>0.18194989118114591</v>
      </c>
      <c r="Z22" s="24">
        <f>[1]节奏总纲!Z22</f>
        <v>0.13292906688665651</v>
      </c>
      <c r="AA22" s="24">
        <f>[1]节奏总纲!AA22</f>
        <v>7.7152653048227715E-2</v>
      </c>
      <c r="AC22" s="24">
        <f>[1]节奏总纲!AC22</f>
        <v>19</v>
      </c>
      <c r="AD22" s="24">
        <f>[1]节奏总纲!AD22</f>
        <v>43.213386604241784</v>
      </c>
      <c r="AE22" s="24">
        <f>[1]节奏总纲!AE22</f>
        <v>45.070782602372333</v>
      </c>
      <c r="AF22" s="24">
        <f>[1]节奏总纲!AF22</f>
        <v>47.752799438858894</v>
      </c>
      <c r="AG22" s="24">
        <f>[1]节奏总纲!AG22</f>
        <v>52.050057424983954</v>
      </c>
      <c r="AH22" s="24">
        <f>[1]节奏总纲!AH22</f>
        <v>60.54585273688761</v>
      </c>
      <c r="AL22" s="24">
        <f>[1]节奏总纲!AL22</f>
        <v>19</v>
      </c>
      <c r="AM22" s="24">
        <f>[1]节奏总纲!AM22</f>
        <v>4.3957950643309154</v>
      </c>
      <c r="AN22" s="24">
        <f>[1]节奏总纲!AN22</f>
        <v>3.5166360514647326</v>
      </c>
      <c r="AO22" s="24">
        <f>[1]节奏总纲!AO22</f>
        <v>2.6374770385985493</v>
      </c>
      <c r="AP22" s="24">
        <f>[1]节奏总纲!AP22</f>
        <v>1.7583180257323663</v>
      </c>
      <c r="AQ22" s="24">
        <f>[1]节奏总纲!AQ22</f>
        <v>0.87915901286618314</v>
      </c>
      <c r="AS22" s="24">
        <f>[1]节奏总纲!AS22</f>
        <v>19</v>
      </c>
      <c r="AT22" s="24">
        <f>[1]节奏总纲!AT22</f>
        <v>0.72430332874346437</v>
      </c>
      <c r="AU22" s="24">
        <f>[1]节奏总纲!AU22</f>
        <v>0.57944266299477176</v>
      </c>
      <c r="AV22" s="24">
        <f>[1]节奏总纲!AV22</f>
        <v>0.43458199724607871</v>
      </c>
      <c r="AW22" s="24">
        <f>[1]节奏总纲!AW22</f>
        <v>0.28972133149738588</v>
      </c>
      <c r="AX22" s="24">
        <f>[1]节奏总纲!AX22</f>
        <v>0.14486066574869294</v>
      </c>
      <c r="AY22" s="20"/>
      <c r="AZ22" s="20">
        <v>19</v>
      </c>
      <c r="BA22" s="20">
        <f>[1]节奏总纲!BA22</f>
        <v>27.541701089775092</v>
      </c>
      <c r="BB22" s="20">
        <f>[1]节奏总纲!BB22</f>
        <v>28.911002095502997</v>
      </c>
      <c r="BC22" s="20">
        <f>[1]节奏总纲!BC22</f>
        <v>30.662316072657521</v>
      </c>
      <c r="BD22" s="20">
        <f>[1]节奏总纲!BD22</f>
        <v>33.176527924103851</v>
      </c>
      <c r="BE22" s="20">
        <f>[1]节奏总纲!BE22</f>
        <v>37.680472138177471</v>
      </c>
      <c r="BI22" s="20">
        <v>19</v>
      </c>
      <c r="BJ22" s="32">
        <f>[1]节奏总纲!BQ22</f>
        <v>24.310866931512376</v>
      </c>
      <c r="BK22" s="32">
        <f>[1]节奏总纲!BR22</f>
        <v>23.346355732194773</v>
      </c>
      <c r="BL22" s="32">
        <f>[1]节奏总纲!BS22</f>
        <v>22.270075478919804</v>
      </c>
      <c r="BM22" s="32">
        <f>[1]节奏总纲!BT22</f>
        <v>21.127034033068878</v>
      </c>
      <c r="BN22" s="32">
        <f>[1]节奏总纲!BU22</f>
        <v>19.990401674856564</v>
      </c>
      <c r="BP22" s="20">
        <v>19</v>
      </c>
      <c r="BQ22" s="32">
        <f>[1]节奏总纲!BX22</f>
        <v>16.372441911687645</v>
      </c>
      <c r="BR22" s="32">
        <f>[1]节奏总纲!BY22</f>
        <v>16.824360525554045</v>
      </c>
      <c r="BS22" s="32">
        <f>[1]节奏总纲!BZ22</f>
        <v>17.315787914321945</v>
      </c>
      <c r="BT22" s="32">
        <f>[1]节奏总纲!CA22</f>
        <v>17.881687348051518</v>
      </c>
      <c r="BU22" s="32">
        <f>[1]节奏总纲!CB22</f>
        <v>18.472191841608893</v>
      </c>
    </row>
    <row r="23" spans="2:73" x14ac:dyDescent="0.15">
      <c r="B23" s="20" t="s">
        <v>158</v>
      </c>
      <c r="C23" s="20" t="s">
        <v>88</v>
      </c>
      <c r="D23" s="20" t="s">
        <v>151</v>
      </c>
      <c r="F23" s="24">
        <f>[1]节奏总纲!F23</f>
        <v>21</v>
      </c>
      <c r="G23" s="24">
        <f>[1]节奏总纲!G23</f>
        <v>3.2870938501451725</v>
      </c>
      <c r="I23" s="24">
        <f>[1]节奏总纲!I23</f>
        <v>21</v>
      </c>
      <c r="J23" s="24">
        <f>[1]节奏总纲!J23</f>
        <v>6.2565025247829205</v>
      </c>
      <c r="K23" s="24">
        <f>[1]节奏总纲!K23</f>
        <v>0.72</v>
      </c>
      <c r="N23" s="24">
        <f>[1]节奏总纲!N23</f>
        <v>30</v>
      </c>
      <c r="O23" s="24">
        <f>[1]节奏总纲!O23</f>
        <v>20</v>
      </c>
      <c r="P23" s="24">
        <f>[1]节奏总纲!P23</f>
        <v>3</v>
      </c>
      <c r="Q23" s="24">
        <f>[1]节奏总纲!Q23</f>
        <v>2.6036999999999999</v>
      </c>
      <c r="R23" s="24">
        <f>[1]节奏总纲!R23</f>
        <v>2.1372</v>
      </c>
      <c r="S23" s="24">
        <f>[1]节奏总纲!S23</f>
        <v>1.5800999999999998</v>
      </c>
      <c r="T23" s="24">
        <f>[1]节奏总纲!T23</f>
        <v>0.87990000000000002</v>
      </c>
      <c r="U23" s="23"/>
      <c r="V23" s="24">
        <f>[1]节奏总纲!V23</f>
        <v>20</v>
      </c>
      <c r="W23" s="24">
        <f>[1]节奏总纲!W23</f>
        <v>0.26786803385277036</v>
      </c>
      <c r="X23" s="24">
        <f>[1]节奏总纲!X23</f>
        <v>0.23029696100790131</v>
      </c>
      <c r="Y23" s="24">
        <f>[1]节奏总纲!Y23</f>
        <v>0.18618456297426333</v>
      </c>
      <c r="Z23" s="24">
        <f>[1]节奏总纲!Z23</f>
        <v>0.14053966703702447</v>
      </c>
      <c r="AA23" s="24">
        <f>[1]节奏总纲!AA23</f>
        <v>7.719962834594396E-2</v>
      </c>
      <c r="AC23" s="24">
        <f>[1]节奏总纲!AC23</f>
        <v>20</v>
      </c>
      <c r="AD23" s="24">
        <f>[1]节奏总纲!AD23</f>
        <v>43.920692243099523</v>
      </c>
      <c r="AE23" s="24">
        <f>[1]节奏总纲!AE23</f>
        <v>45.780025086357675</v>
      </c>
      <c r="AF23" s="24">
        <f>[1]节奏总纲!AF23</f>
        <v>48.482447528152484</v>
      </c>
      <c r="AG23" s="24">
        <f>[1]节奏总纲!AG23</f>
        <v>52.769987980532711</v>
      </c>
      <c r="AH23" s="24">
        <f>[1]节奏总纲!AH23</f>
        <v>61.261422558944936</v>
      </c>
      <c r="AL23" s="24">
        <f>[1]节奏总纲!AL23</f>
        <v>20</v>
      </c>
      <c r="AM23" s="24">
        <f>[1]节奏总纲!AM23</f>
        <v>5.25</v>
      </c>
      <c r="AN23" s="24">
        <f>[1]节奏总纲!AN23</f>
        <v>4.2</v>
      </c>
      <c r="AO23" s="24">
        <f>[1]节奏总纲!AO23</f>
        <v>3.15</v>
      </c>
      <c r="AP23" s="24">
        <f>[1]节奏总纲!AP23</f>
        <v>2.1</v>
      </c>
      <c r="AQ23" s="24">
        <f>[1]节奏总纲!AQ23</f>
        <v>1.05</v>
      </c>
      <c r="AS23" s="24">
        <f>[1]节奏总纲!AS23</f>
        <v>20</v>
      </c>
      <c r="AT23" s="24">
        <f>[1]节奏总纲!AT23</f>
        <v>0.85420493566908462</v>
      </c>
      <c r="AU23" s="24">
        <f>[1]节奏总纲!AU23</f>
        <v>0.68336394853526761</v>
      </c>
      <c r="AV23" s="24">
        <f>[1]节奏总纲!AV23</f>
        <v>0.51252296140145059</v>
      </c>
      <c r="AW23" s="24">
        <f>[1]节奏总纲!AW23</f>
        <v>0.3416819742676338</v>
      </c>
      <c r="AX23" s="24">
        <f>[1]节奏总纲!AX23</f>
        <v>0.1708409871338169</v>
      </c>
      <c r="AY23" s="20"/>
      <c r="AZ23" s="20">
        <v>20</v>
      </c>
      <c r="BA23" s="20">
        <f>[1]节奏总纲!BA23</f>
        <v>27.863030247590562</v>
      </c>
      <c r="BB23" s="20">
        <f>[1]节奏总纲!BB23</f>
        <v>29.216428548527322</v>
      </c>
      <c r="BC23" s="20">
        <f>[1]节奏总纲!BC23</f>
        <v>30.995138219721603</v>
      </c>
      <c r="BD23" s="20">
        <f>[1]节奏总纲!BD23</f>
        <v>33.487933395889513</v>
      </c>
      <c r="BE23" s="20">
        <f>[1]节奏总纲!BE23</f>
        <v>38.037513426486328</v>
      </c>
      <c r="BI23" s="20">
        <v>20</v>
      </c>
      <c r="BJ23" s="32">
        <f>[1]节奏总纲!BQ23</f>
        <v>26.430041330048915</v>
      </c>
      <c r="BK23" s="32">
        <f>[1]节奏总纲!BR23</f>
        <v>25.411137335118717</v>
      </c>
      <c r="BL23" s="32">
        <f>[1]节奏总纲!BS23</f>
        <v>24.291601023356559</v>
      </c>
      <c r="BM23" s="32">
        <f>[1]节奏总纲!BT23</f>
        <v>23.104674507319633</v>
      </c>
      <c r="BN23" s="32">
        <f>[1]节奏总纲!BU23</f>
        <v>21.807019312177008</v>
      </c>
      <c r="BP23" s="20">
        <v>20</v>
      </c>
      <c r="BQ23" s="32">
        <f>[1]节奏总纲!BX23</f>
        <v>16.888397947066121</v>
      </c>
      <c r="BR23" s="32">
        <f>[1]节奏总纲!BY23</f>
        <v>17.320567635394323</v>
      </c>
      <c r="BS23" s="32">
        <f>[1]节奏总纲!BZ23</f>
        <v>17.821544339079665</v>
      </c>
      <c r="BT23" s="32">
        <f>[1]节奏总纲!CA23</f>
        <v>18.384863983569073</v>
      </c>
      <c r="BU23" s="32">
        <f>[1]节奏总纲!CB23</f>
        <v>19.004337291338853</v>
      </c>
    </row>
    <row r="24" spans="2:73" x14ac:dyDescent="0.15">
      <c r="B24" s="24">
        <f>[1]节奏总纲!B24</f>
        <v>5</v>
      </c>
      <c r="C24" s="24">
        <f>[1]节奏总纲!C24</f>
        <v>0.5</v>
      </c>
      <c r="D24" s="24">
        <f>[1]节奏总纲!D24</f>
        <v>0.5</v>
      </c>
      <c r="F24" s="24">
        <f>[1]节奏总纲!F24</f>
        <v>22</v>
      </c>
      <c r="G24" s="24">
        <f>[1]节奏总纲!G24</f>
        <v>3.5947934199881395</v>
      </c>
      <c r="I24" s="24">
        <f>[1]节奏总纲!I24</f>
        <v>22</v>
      </c>
      <c r="J24" s="24">
        <f>[1]节奏总纲!J24</f>
        <v>7.4414868317755332</v>
      </c>
      <c r="K24" s="24">
        <f>[1]节奏总纲!K24</f>
        <v>0.74</v>
      </c>
      <c r="N24" s="24">
        <f>[1]节奏总纲!N24</f>
        <v>31</v>
      </c>
      <c r="O24" s="24">
        <f>[1]节奏总纲!O24</f>
        <v>21</v>
      </c>
      <c r="P24" s="24">
        <f>[1]节奏总纲!P24</f>
        <v>3.2870938501451725</v>
      </c>
      <c r="Q24" s="24">
        <f>[1]节奏总纲!Q24</f>
        <v>2.8518826243859516</v>
      </c>
      <c r="R24" s="24">
        <f>[1]节奏总纲!R24</f>
        <v>2.3466562996186386</v>
      </c>
      <c r="S24" s="24">
        <f>[1]节奏总纲!S24</f>
        <v>1.7365716810316947</v>
      </c>
      <c r="T24" s="24">
        <f>[1]节奏总纲!T24</f>
        <v>0.97166494210291288</v>
      </c>
      <c r="U24" s="23"/>
      <c r="V24" s="24">
        <f>[1]节奏总纲!V24</f>
        <v>21</v>
      </c>
      <c r="W24" s="24">
        <f>[1]节奏总纲!W24</f>
        <v>0.28709385014517252</v>
      </c>
      <c r="X24" s="24">
        <f>[1]节奏总纲!X24</f>
        <v>0.24818262438595173</v>
      </c>
      <c r="Y24" s="24">
        <f>[1]节奏总纲!Y24</f>
        <v>0.20945629961863865</v>
      </c>
      <c r="Z24" s="24">
        <f>[1]节奏总纲!Z24</f>
        <v>0.15647168103169484</v>
      </c>
      <c r="AA24" s="24">
        <f>[1]节奏总纲!AA24</f>
        <v>9.1764942102912861E-2</v>
      </c>
      <c r="AC24" s="24">
        <f>[1]节奏总纲!AC24</f>
        <v>21</v>
      </c>
      <c r="AD24" s="24">
        <f>[1]节奏总纲!AD24</f>
        <v>44.585942742481357</v>
      </c>
      <c r="AE24" s="24">
        <f>[1]节奏总纲!AE24</f>
        <v>46.455967430551723</v>
      </c>
      <c r="AF24" s="24">
        <f>[1]节奏总纲!AF24</f>
        <v>49.18886033229559</v>
      </c>
      <c r="AG24" s="24">
        <f>[1]节奏总纲!AG24</f>
        <v>53.471660769826336</v>
      </c>
      <c r="AH24" s="24">
        <f>[1]节奏总纲!AH24</f>
        <v>61.918453772109508</v>
      </c>
      <c r="AL24" s="24">
        <f>[1]节奏总纲!AL24</f>
        <v>21</v>
      </c>
      <c r="AM24" s="24">
        <f>[1]节奏总纲!AM24</f>
        <v>6.2565025247829205</v>
      </c>
      <c r="AN24" s="24">
        <f>[1]节奏总纲!AN24</f>
        <v>5.0052020198263367</v>
      </c>
      <c r="AO24" s="24">
        <f>[1]节奏总纲!AO24</f>
        <v>3.7539015148697521</v>
      </c>
      <c r="AP24" s="24">
        <f>[1]节奏总纲!AP24</f>
        <v>2.5026010099131684</v>
      </c>
      <c r="AQ24" s="24">
        <f>[1]节奏总纲!AQ24</f>
        <v>1.2513005049565842</v>
      </c>
      <c r="AS24" s="24">
        <f>[1]节奏总纲!AS24</f>
        <v>21</v>
      </c>
      <c r="AT24" s="24">
        <f>[1]节奏总纲!AT24</f>
        <v>1.0065025247829205</v>
      </c>
      <c r="AU24" s="24">
        <f>[1]节奏总纲!AU24</f>
        <v>0.80520201982633655</v>
      </c>
      <c r="AV24" s="24">
        <f>[1]节奏总纲!AV24</f>
        <v>0.60390151486975219</v>
      </c>
      <c r="AW24" s="24">
        <f>[1]节奏总纲!AW24</f>
        <v>0.40260100991316827</v>
      </c>
      <c r="AX24" s="24">
        <f>[1]节奏总纲!AX24</f>
        <v>0.20130050495658414</v>
      </c>
      <c r="AY24" s="20"/>
      <c r="AZ24" s="20">
        <v>21</v>
      </c>
      <c r="BA24" s="20">
        <f>[1]节奏总纲!BA24</f>
        <v>28.157256095860227</v>
      </c>
      <c r="BB24" s="20">
        <f>[1]节奏总纲!BB24</f>
        <v>29.508805955793246</v>
      </c>
      <c r="BC24" s="20">
        <f>[1]节奏总纲!BC24</f>
        <v>31.280110398778046</v>
      </c>
      <c r="BD24" s="20">
        <f>[1]节奏总纲!BD24</f>
        <v>33.799338867675175</v>
      </c>
      <c r="BE24" s="20">
        <f>[1]节奏总纲!BE24</f>
        <v>38.35066605767593</v>
      </c>
      <c r="BI24" s="20">
        <v>21</v>
      </c>
      <c r="BJ24" s="32">
        <f>[1]节奏总纲!BQ24</f>
        <v>28.584360328652647</v>
      </c>
      <c r="BK24" s="32">
        <f>[1]节奏总纲!BR24</f>
        <v>27.538147336025965</v>
      </c>
      <c r="BL24" s="32">
        <f>[1]节奏总纲!BS24</f>
        <v>26.374084715154964</v>
      </c>
      <c r="BM24" s="32">
        <f>[1]节奏总纲!BT24</f>
        <v>25.113701488415835</v>
      </c>
      <c r="BN24" s="32">
        <f>[1]节奏总纲!BU24</f>
        <v>23.834029842136172</v>
      </c>
      <c r="BP24" s="20">
        <v>21</v>
      </c>
      <c r="BQ24" s="32">
        <f>[1]节奏总纲!BX24</f>
        <v>17.373487155583607</v>
      </c>
      <c r="BR24" s="32">
        <f>[1]节奏总纲!BY24</f>
        <v>17.826194772754434</v>
      </c>
      <c r="BS24" s="32">
        <f>[1]节奏总纲!BZ24</f>
        <v>18.330803528855718</v>
      </c>
      <c r="BT24" s="32">
        <f>[1]节奏总纲!CA24</f>
        <v>18.92494047784373</v>
      </c>
      <c r="BU24" s="32">
        <f>[1]节奏总纲!CB24</f>
        <v>19.541473862851607</v>
      </c>
    </row>
    <row r="25" spans="2:73" x14ac:dyDescent="0.15">
      <c r="B25" s="24">
        <f>[1]节奏总纲!B25</f>
        <v>10</v>
      </c>
      <c r="C25" s="24">
        <f>[1]节奏总纲!C25</f>
        <v>1.5</v>
      </c>
      <c r="D25" s="24">
        <f>[1]节奏总纲!D25</f>
        <v>1</v>
      </c>
      <c r="F25" s="24">
        <f>[1]节奏总纲!F25</f>
        <v>23</v>
      </c>
      <c r="G25" s="24">
        <f>[1]节奏总纲!G25</f>
        <v>3.9245776533796644</v>
      </c>
      <c r="I25" s="24">
        <f>[1]节奏总纲!I25</f>
        <v>23</v>
      </c>
      <c r="J25" s="24">
        <f>[1]节奏总纲!J25</f>
        <v>8.8355567243832152</v>
      </c>
      <c r="K25" s="24">
        <f>[1]节奏总纲!K25</f>
        <v>0.76</v>
      </c>
      <c r="N25" s="24">
        <f>[1]节奏总纲!N25</f>
        <v>32</v>
      </c>
      <c r="O25" s="24">
        <f>[1]节奏总纲!O25</f>
        <v>22</v>
      </c>
      <c r="P25" s="24">
        <f>[1]节奏总纲!P25</f>
        <v>3.5947934199881395</v>
      </c>
      <c r="Q25" s="24">
        <f>[1]节奏总纲!Q25</f>
        <v>3.124234961311692</v>
      </c>
      <c r="R25" s="24">
        <f>[1]节奏总纲!R25</f>
        <v>2.5749505267375046</v>
      </c>
      <c r="S25" s="24">
        <f>[1]节奏总纲!S25</f>
        <v>1.9077568679877055</v>
      </c>
      <c r="T25" s="24">
        <f>[1]节奏总纲!T25</f>
        <v>1.0687320837624739</v>
      </c>
      <c r="U25" s="23"/>
      <c r="V25" s="24">
        <f>[1]节奏总纲!V25</f>
        <v>22</v>
      </c>
      <c r="W25" s="24">
        <f>[1]节奏总纲!W25</f>
        <v>0.30769956984296698</v>
      </c>
      <c r="X25" s="24">
        <f>[1]节奏总纲!X25</f>
        <v>0.27235233692574035</v>
      </c>
      <c r="Y25" s="24">
        <f>[1]节奏总纲!Y25</f>
        <v>0.22829422711886593</v>
      </c>
      <c r="Z25" s="24">
        <f>[1]节奏总纲!Z25</f>
        <v>0.17118518695601082</v>
      </c>
      <c r="AA25" s="24">
        <f>[1]节奏总纲!AA25</f>
        <v>9.7067141659560985E-2</v>
      </c>
      <c r="AC25" s="24">
        <f>[1]节奏总纲!AC25</f>
        <v>22</v>
      </c>
      <c r="AD25" s="24">
        <f>[1]节奏总纲!AD25</f>
        <v>45.229416240679988</v>
      </c>
      <c r="AE25" s="24">
        <f>[1]节奏总纲!AE25</f>
        <v>47.110426931480873</v>
      </c>
      <c r="AF25" s="24">
        <f>[1]节奏总纲!AF25</f>
        <v>49.861837738505173</v>
      </c>
      <c r="AG25" s="24">
        <f>[1]节奏总纲!AG25</f>
        <v>54.15637358335789</v>
      </c>
      <c r="AH25" s="24">
        <f>[1]节奏总纲!AH25</f>
        <v>62.555781631668886</v>
      </c>
      <c r="AL25" s="24">
        <f>[1]节奏总纲!AL25</f>
        <v>22</v>
      </c>
      <c r="AM25" s="24">
        <f>[1]节奏总纲!AM25</f>
        <v>7.4414868317755332</v>
      </c>
      <c r="AN25" s="24">
        <f>[1]节奏总纲!AN25</f>
        <v>5.9531894654204267</v>
      </c>
      <c r="AO25" s="24">
        <f>[1]节奏总纲!AO25</f>
        <v>4.4648920990653194</v>
      </c>
      <c r="AP25" s="24">
        <f>[1]节奏总纲!AP25</f>
        <v>2.9765947327102134</v>
      </c>
      <c r="AQ25" s="24">
        <f>[1]节奏总纲!AQ25</f>
        <v>1.4882973663551067</v>
      </c>
      <c r="AS25" s="24">
        <f>[1]节奏总纲!AS25</f>
        <v>22</v>
      </c>
      <c r="AT25" s="24">
        <f>[1]节奏总纲!AT25</f>
        <v>1.1849843069926127</v>
      </c>
      <c r="AU25" s="24">
        <f>[1]节奏总纲!AU25</f>
        <v>0.94798744559408998</v>
      </c>
      <c r="AV25" s="24">
        <f>[1]节奏总纲!AV25</f>
        <v>0.71099058419556727</v>
      </c>
      <c r="AW25" s="24">
        <f>[1]节奏总纲!AW25</f>
        <v>0.47399372279704499</v>
      </c>
      <c r="AX25" s="24">
        <f>[1]节奏总纲!AX25</f>
        <v>0.2369968613985225</v>
      </c>
      <c r="AY25" s="20"/>
      <c r="AZ25" s="20">
        <v>22</v>
      </c>
      <c r="BA25" s="20">
        <f>[1]节奏总纲!BA25</f>
        <v>28.431345550275779</v>
      </c>
      <c r="BB25" s="20">
        <f>[1]节奏总纲!BB25</f>
        <v>29.80118336305917</v>
      </c>
      <c r="BC25" s="20">
        <f>[1]节奏总纲!BC25</f>
        <v>31.564373235931193</v>
      </c>
      <c r="BD25" s="20">
        <f>[1]节奏总纲!BD25</f>
        <v>34.09469189131628</v>
      </c>
      <c r="BE25" s="20">
        <f>[1]节奏总纲!BE25</f>
        <v>38.663818688865533</v>
      </c>
      <c r="BI25" s="20">
        <v>22</v>
      </c>
      <c r="BJ25" s="32">
        <f>[1]节奏总纲!BQ25</f>
        <v>30.768889392009427</v>
      </c>
      <c r="BK25" s="32">
        <f>[1]节奏总纲!BR25</f>
        <v>29.682299134892848</v>
      </c>
      <c r="BL25" s="32">
        <f>[1]节奏总纲!BS25</f>
        <v>28.504605619902428</v>
      </c>
      <c r="BM25" s="32">
        <f>[1]节奏总纲!BT25</f>
        <v>27.228985792746204</v>
      </c>
      <c r="BN25" s="32">
        <f>[1]节奏总纲!BU25</f>
        <v>25.905106178844033</v>
      </c>
      <c r="BP25" s="20">
        <v>22</v>
      </c>
      <c r="BQ25" s="32">
        <f>[1]节奏总纲!BX25</f>
        <v>17.874992861074709</v>
      </c>
      <c r="BR25" s="32">
        <f>[1]节奏总纲!BY25</f>
        <v>18.322795653110926</v>
      </c>
      <c r="BS25" s="32">
        <f>[1]节奏总纲!BZ25</f>
        <v>18.856122636792893</v>
      </c>
      <c r="BT25" s="32">
        <f>[1]节奏总纲!CA25</f>
        <v>19.437362382301988</v>
      </c>
      <c r="BU25" s="32">
        <f>[1]节奏总纲!CB25</f>
        <v>20.093055324260185</v>
      </c>
    </row>
    <row r="26" spans="2:73" x14ac:dyDescent="0.15">
      <c r="B26" s="24">
        <f>[1]节奏总纲!B26</f>
        <v>15</v>
      </c>
      <c r="C26" s="24">
        <f>[1]节奏总纲!C26</f>
        <v>3.5</v>
      </c>
      <c r="D26" s="24">
        <f>[1]节奏总纲!D26</f>
        <v>2</v>
      </c>
      <c r="F26" s="24">
        <f>[1]节奏总纲!F26</f>
        <v>24</v>
      </c>
      <c r="G26" s="24">
        <f>[1]节奏总纲!G26</f>
        <v>4.2780316430915768</v>
      </c>
      <c r="I26" s="24">
        <f>[1]节奏总纲!I26</f>
        <v>24</v>
      </c>
      <c r="J26" s="24">
        <f>[1]节奏总纲!J26</f>
        <v>10.47447102993563</v>
      </c>
      <c r="K26" s="24">
        <f>[1]节奏总纲!K26</f>
        <v>0.78</v>
      </c>
      <c r="N26" s="24">
        <f>[1]节奏总纲!N26</f>
        <v>33</v>
      </c>
      <c r="O26" s="24">
        <f>[1]节奏总纲!O26</f>
        <v>23</v>
      </c>
      <c r="P26" s="24">
        <f>[1]节奏总纲!P26</f>
        <v>3.9245776533796644</v>
      </c>
      <c r="Q26" s="24">
        <f>[1]节奏总纲!Q26</f>
        <v>3.4081032341949005</v>
      </c>
      <c r="R26" s="24">
        <f>[1]节奏总纲!R26</f>
        <v>2.8064654799317976</v>
      </c>
      <c r="S26" s="24">
        <f>[1]节奏总纲!S26</f>
        <v>2.0796336985258841</v>
      </c>
      <c r="T26" s="24">
        <f>[1]节奏总纲!T26</f>
        <v>1.1608900698697047</v>
      </c>
      <c r="U26" s="23"/>
      <c r="V26" s="24">
        <f>[1]节奏总纲!V26</f>
        <v>23</v>
      </c>
      <c r="W26" s="24">
        <f>[1]节奏总纲!W26</f>
        <v>0.32978423339152485</v>
      </c>
      <c r="X26" s="24">
        <f>[1]节奏总纲!X26</f>
        <v>0.28386827288320848</v>
      </c>
      <c r="Y26" s="24">
        <f>[1]节奏总纲!Y26</f>
        <v>0.23151495319429305</v>
      </c>
      <c r="Z26" s="24">
        <f>[1]节奏总纲!Z26</f>
        <v>0.17187683053817859</v>
      </c>
      <c r="AA26" s="24">
        <f>[1]节奏总纲!AA26</f>
        <v>9.2157986107230805E-2</v>
      </c>
      <c r="AC26" s="24">
        <f>[1]节奏总纲!AC26</f>
        <v>23</v>
      </c>
      <c r="AD26" s="24">
        <f>[1]节奏总纲!AD26</f>
        <v>45.845161563010116</v>
      </c>
      <c r="AE26" s="24">
        <f>[1]节奏总纲!AE26</f>
        <v>47.734594805743399</v>
      </c>
      <c r="AF26" s="24">
        <f>[1]节奏总纲!AF26</f>
        <v>50.503430607741265</v>
      </c>
      <c r="AG26" s="24">
        <f>[1]节奏总纲!AG26</f>
        <v>54.814188287451351</v>
      </c>
      <c r="AH26" s="24">
        <f>[1]节奏总纲!AH26</f>
        <v>63.182677965405439</v>
      </c>
      <c r="AL26" s="24">
        <f>[1]节奏总纲!AL26</f>
        <v>23</v>
      </c>
      <c r="AM26" s="24">
        <f>[1]节奏总纲!AM26</f>
        <v>8.8355567243832152</v>
      </c>
      <c r="AN26" s="24">
        <f>[1]节奏总纲!AN26</f>
        <v>7.0684453795065725</v>
      </c>
      <c r="AO26" s="24">
        <f>[1]节奏总纲!AO26</f>
        <v>5.3013340346299289</v>
      </c>
      <c r="AP26" s="24">
        <f>[1]节奏总纲!AP26</f>
        <v>3.5342226897532862</v>
      </c>
      <c r="AQ26" s="24">
        <f>[1]节奏总纲!AQ26</f>
        <v>1.7671113448766431</v>
      </c>
      <c r="AS26" s="24">
        <f>[1]节奏总纲!AS26</f>
        <v>23</v>
      </c>
      <c r="AT26" s="24">
        <f>[1]节奏总纲!AT26</f>
        <v>1.394069892607682</v>
      </c>
      <c r="AU26" s="24">
        <f>[1]节奏总纲!AU26</f>
        <v>1.1152559140861458</v>
      </c>
      <c r="AV26" s="24">
        <f>[1]节奏总纲!AV26</f>
        <v>0.83644193556460955</v>
      </c>
      <c r="AW26" s="24">
        <f>[1]节奏总纲!AW26</f>
        <v>0.55762795704307289</v>
      </c>
      <c r="AX26" s="24">
        <f>[1]节奏总纲!AX26</f>
        <v>0.27881397852153644</v>
      </c>
      <c r="AY26" s="20"/>
      <c r="AZ26" s="20">
        <v>23</v>
      </c>
      <c r="BA26" s="20">
        <f>[1]节奏总纲!BA26</f>
        <v>28.705435004691331</v>
      </c>
      <c r="BB26" s="20">
        <f>[1]节奏总纲!BB26</f>
        <v>30.079877315295377</v>
      </c>
      <c r="BC26" s="20">
        <f>[1]节奏总纲!BC26</f>
        <v>31.848636073084339</v>
      </c>
      <c r="BD26" s="20">
        <f>[1]节奏总纲!BD26</f>
        <v>34.360958982105608</v>
      </c>
      <c r="BE26" s="20">
        <f>[1]节奏总纲!BE26</f>
        <v>38.976971320055128</v>
      </c>
      <c r="BI26" s="20">
        <v>23</v>
      </c>
      <c r="BJ26" s="32">
        <f>[1]节奏总纲!BQ26</f>
        <v>32.979382606869549</v>
      </c>
      <c r="BK26" s="32">
        <f>[1]节奏总纲!BR26</f>
        <v>31.845462834406923</v>
      </c>
      <c r="BL26" s="32">
        <f>[1]节奏总纲!BS26</f>
        <v>30.615521552489891</v>
      </c>
      <c r="BM26" s="32">
        <f>[1]节奏总纲!BT26</f>
        <v>29.279653557700659</v>
      </c>
      <c r="BN26" s="32">
        <f>[1]节奏总纲!BU26</f>
        <v>27.953695907743711</v>
      </c>
      <c r="BP26" s="20">
        <v>23</v>
      </c>
      <c r="BQ26" s="32">
        <f>[1]节奏总纲!BX26</f>
        <v>18.349419791058079</v>
      </c>
      <c r="BR26" s="32">
        <f>[1]节奏总纲!BY26</f>
        <v>18.812694466249869</v>
      </c>
      <c r="BS26" s="32">
        <f>[1]节奏总纲!BZ26</f>
        <v>19.32971877176227</v>
      </c>
      <c r="BT26" s="32">
        <f>[1]节奏总纲!CA26</f>
        <v>19.940393983271228</v>
      </c>
      <c r="BU26" s="32">
        <f>[1]节奏总纲!CB26</f>
        <v>20.55086831448148</v>
      </c>
    </row>
    <row r="27" spans="2:73" x14ac:dyDescent="0.15">
      <c r="B27" s="24">
        <f>[1]节奏总纲!B27</f>
        <v>20</v>
      </c>
      <c r="C27" s="24">
        <f>[1]节奏总纲!C27</f>
        <v>7.5</v>
      </c>
      <c r="D27" s="24">
        <f>[1]节奏总纲!D27</f>
        <v>4</v>
      </c>
      <c r="F27" s="24">
        <f>[1]节奏总纲!F27</f>
        <v>25</v>
      </c>
      <c r="G27" s="24">
        <f>[1]节奏总纲!G27</f>
        <v>4.6568542494923806</v>
      </c>
      <c r="I27" s="24">
        <f>[1]节奏总纲!I27</f>
        <v>25</v>
      </c>
      <c r="J27" s="24">
        <f>[1]节奏总纲!J27</f>
        <v>12.4</v>
      </c>
      <c r="K27" s="24">
        <f>[1]节奏总纲!K27</f>
        <v>0.8</v>
      </c>
      <c r="N27" s="24">
        <f>[1]节奏总纲!N27</f>
        <v>34</v>
      </c>
      <c r="O27" s="24">
        <f>[1]节奏总纲!O27</f>
        <v>24</v>
      </c>
      <c r="P27" s="24">
        <f>[1]节奏总纲!P27</f>
        <v>4.2780316430915768</v>
      </c>
      <c r="Q27" s="24">
        <f>[1]节奏总纲!Q27</f>
        <v>3.7214597263253628</v>
      </c>
      <c r="R27" s="24">
        <f>[1]节奏总纲!R27</f>
        <v>3.0699155070825155</v>
      </c>
      <c r="S27" s="24">
        <f>[1]节奏总纲!S27</f>
        <v>2.2742016214674821</v>
      </c>
      <c r="T27" s="24">
        <f>[1]节奏总纲!T27</f>
        <v>1.2692919885052709</v>
      </c>
      <c r="U27" s="23"/>
      <c r="V27" s="24">
        <f>[1]节奏总纲!V27</f>
        <v>24</v>
      </c>
      <c r="W27" s="24">
        <f>[1]节奏总纲!W27</f>
        <v>0.35345398971191244</v>
      </c>
      <c r="X27" s="24">
        <f>[1]节奏总纲!X27</f>
        <v>0.31335649213046235</v>
      </c>
      <c r="Y27" s="24">
        <f>[1]节奏总纲!Y27</f>
        <v>0.26345002715071786</v>
      </c>
      <c r="Z27" s="24">
        <f>[1]节奏总纲!Z27</f>
        <v>0.19456792294159797</v>
      </c>
      <c r="AA27" s="24">
        <f>[1]节奏总纲!AA27</f>
        <v>0.10840191863556625</v>
      </c>
      <c r="AC27" s="24">
        <f>[1]节奏总纲!AC27</f>
        <v>24</v>
      </c>
      <c r="AD27" s="24">
        <f>[1]节奏总纲!AD27</f>
        <v>46.430041330048923</v>
      </c>
      <c r="AE27" s="24">
        <f>[1]节奏总纲!AE27</f>
        <v>48.330142263709867</v>
      </c>
      <c r="AF27" s="24">
        <f>[1]节奏总纲!AF27</f>
        <v>51.118578408701396</v>
      </c>
      <c r="AG27" s="24">
        <f>[1]节奏总纲!AG27</f>
        <v>55.44072585486321</v>
      </c>
      <c r="AH27" s="24">
        <f>[1]节奏总纲!AH27</f>
        <v>63.791742872142052</v>
      </c>
      <c r="AL27" s="24">
        <f>[1]节奏总纲!AL27</f>
        <v>24</v>
      </c>
      <c r="AM27" s="24">
        <f>[1]节奏总纲!AM27</f>
        <v>10.47447102993563</v>
      </c>
      <c r="AN27" s="24">
        <f>[1]节奏总纲!AN27</f>
        <v>8.3795768239485042</v>
      </c>
      <c r="AO27" s="24">
        <f>[1]节奏总纲!AO27</f>
        <v>6.2846826179613782</v>
      </c>
      <c r="AP27" s="24">
        <f>[1]节奏总纲!AP27</f>
        <v>4.1897884119742521</v>
      </c>
      <c r="AQ27" s="24">
        <f>[1]节奏总纲!AQ27</f>
        <v>2.0948942059871261</v>
      </c>
      <c r="AS27" s="24">
        <f>[1]节奏总纲!AS27</f>
        <v>24</v>
      </c>
      <c r="AT27" s="24">
        <f>[1]节奏总纲!AT27</f>
        <v>1.6389143055524151</v>
      </c>
      <c r="AU27" s="24">
        <f>[1]节奏总纲!AU27</f>
        <v>1.3111314444419317</v>
      </c>
      <c r="AV27" s="24">
        <f>[1]节奏总纲!AV27</f>
        <v>0.98334858333144926</v>
      </c>
      <c r="AW27" s="24">
        <f>[1]节奏总纲!AW27</f>
        <v>0.65556572222096587</v>
      </c>
      <c r="AX27" s="24">
        <f>[1]节奏总纲!AX27</f>
        <v>0.32778286111048294</v>
      </c>
      <c r="AY27" s="20"/>
      <c r="AZ27" s="20">
        <v>24</v>
      </c>
      <c r="BA27" s="20">
        <f>[1]节奏总纲!BA27</f>
        <v>28.979524459106884</v>
      </c>
      <c r="BB27" s="20">
        <f>[1]节奏总纲!BB27</f>
        <v>30.329493925593439</v>
      </c>
      <c r="BC27" s="20">
        <f>[1]节奏总纲!BC27</f>
        <v>32.113552950216736</v>
      </c>
      <c r="BD27" s="20">
        <f>[1]节奏总纲!BD27</f>
        <v>34.627226072894942</v>
      </c>
      <c r="BE27" s="20">
        <f>[1]节奏总纲!BE27</f>
        <v>39.250296194358178</v>
      </c>
      <c r="BI27" s="20">
        <v>24</v>
      </c>
      <c r="BJ27" s="32">
        <f>[1]节奏总纲!BQ27</f>
        <v>35.197977552877902</v>
      </c>
      <c r="BK27" s="32">
        <f>[1]节奏总纲!BR27</f>
        <v>34.072116335246974</v>
      </c>
      <c r="BL27" s="32">
        <f>[1]节奏总纲!BS27</f>
        <v>32.816661243819851</v>
      </c>
      <c r="BM27" s="32">
        <f>[1]节奏总纲!BT27</f>
        <v>31.412793977181359</v>
      </c>
      <c r="BN27" s="32">
        <f>[1]节奏总纲!BU27</f>
        <v>29.964600225621755</v>
      </c>
      <c r="BP27" s="20">
        <v>24</v>
      </c>
      <c r="BQ27" s="32">
        <f>[1]节奏总纲!BX27</f>
        <v>18.837411459307198</v>
      </c>
      <c r="BR27" s="32">
        <f>[1]节奏总纲!BY27</f>
        <v>19.299728534552713</v>
      </c>
      <c r="BS27" s="32">
        <f>[1]节奏总纲!BZ27</f>
        <v>19.843744575465458</v>
      </c>
      <c r="BT27" s="32">
        <f>[1]节奏总纲!CA27</f>
        <v>20.432690473143754</v>
      </c>
      <c r="BU27" s="32">
        <f>[1]节奏总纲!CB27</f>
        <v>21.075914438033141</v>
      </c>
    </row>
    <row r="28" spans="2:73" x14ac:dyDescent="0.15">
      <c r="B28" s="24">
        <f>[1]节奏总纲!B28</f>
        <v>25</v>
      </c>
      <c r="C28" s="24">
        <f>[1]节奏总纲!C28</f>
        <v>15.5</v>
      </c>
      <c r="D28" s="24">
        <f>[1]节奏总纲!D28</f>
        <v>8</v>
      </c>
      <c r="F28" s="24">
        <f>[1]节奏总纲!F28</f>
        <v>26</v>
      </c>
      <c r="G28" s="24">
        <f>[1]节奏总纲!G28</f>
        <v>5.062866266041592</v>
      </c>
      <c r="I28" s="24">
        <f>[1]节奏总纲!I28</f>
        <v>26</v>
      </c>
      <c r="J28" s="24">
        <f>[1]节奏总纲!J28</f>
        <v>14.6609224175611</v>
      </c>
      <c r="K28" s="24">
        <f>[1]节奏总纲!K28</f>
        <v>0.82</v>
      </c>
      <c r="N28" s="24">
        <f>[1]节奏总纲!N28</f>
        <v>35</v>
      </c>
      <c r="O28" s="24">
        <f>[1]节奏总纲!O28</f>
        <v>25</v>
      </c>
      <c r="P28" s="24">
        <f>[1]节奏总纲!P28</f>
        <v>4.6568542494923806</v>
      </c>
      <c r="Q28" s="24">
        <f>[1]节奏总纲!Q28</f>
        <v>4.054257309608067</v>
      </c>
      <c r="R28" s="24">
        <f>[1]节奏总纲!R28</f>
        <v>3.3445527219854276</v>
      </c>
      <c r="S28" s="24">
        <f>[1]节奏总纲!S28</f>
        <v>2.478377831579845</v>
      </c>
      <c r="T28" s="24">
        <f>[1]节奏总纲!T28</f>
        <v>1.3802915995495415</v>
      </c>
      <c r="U28" s="23"/>
      <c r="V28" s="24">
        <f>[1]节奏总纲!V28</f>
        <v>25</v>
      </c>
      <c r="W28" s="24">
        <f>[1]节奏总纲!W28</f>
        <v>0.37882260640080379</v>
      </c>
      <c r="X28" s="24">
        <f>[1]节奏总纲!X28</f>
        <v>0.33279758328270415</v>
      </c>
      <c r="Y28" s="24">
        <f>[1]节奏总纲!Y28</f>
        <v>0.27463721490291215</v>
      </c>
      <c r="Z28" s="24">
        <f>[1]节奏总纲!Z28</f>
        <v>0.20417621011236298</v>
      </c>
      <c r="AA28" s="24">
        <f>[1]节奏总纲!AA28</f>
        <v>0.11099961104427059</v>
      </c>
      <c r="AC28" s="24">
        <f>[1]节奏总纲!AC28</f>
        <v>25</v>
      </c>
      <c r="AD28" s="24">
        <f>[1]节奏总纲!AD28</f>
        <v>47.004247194324648</v>
      </c>
      <c r="AE28" s="24">
        <f>[1]节奏总纲!AE28</f>
        <v>48.904516930942819</v>
      </c>
      <c r="AF28" s="24">
        <f>[1]节奏总纲!AF28</f>
        <v>51.667220029142385</v>
      </c>
      <c r="AG28" s="24">
        <f>[1]节奏总纲!AG28</f>
        <v>56.05100027504308</v>
      </c>
      <c r="AH28" s="24">
        <f>[1]节奏总纲!AH28</f>
        <v>64.398425477456215</v>
      </c>
      <c r="AL28" s="24">
        <f>[1]节奏总纲!AL28</f>
        <v>25</v>
      </c>
      <c r="AM28" s="24">
        <f>[1]节奏总纲!AM28</f>
        <v>12.4</v>
      </c>
      <c r="AN28" s="24">
        <f>[1]节奏总纲!AN28</f>
        <v>9.9200000000000017</v>
      </c>
      <c r="AO28" s="24">
        <f>[1]节奏总纲!AO28</f>
        <v>7.4399999999999995</v>
      </c>
      <c r="AP28" s="24">
        <f>[1]节奏总纲!AP28</f>
        <v>4.9600000000000009</v>
      </c>
      <c r="AQ28" s="24">
        <f>[1]节奏总纲!AQ28</f>
        <v>2.4800000000000004</v>
      </c>
      <c r="AS28" s="24">
        <f>[1]节奏总纲!AS28</f>
        <v>25</v>
      </c>
      <c r="AT28" s="24">
        <f>[1]节奏总纲!AT28</f>
        <v>1.9255289700643701</v>
      </c>
      <c r="AU28" s="24">
        <f>[1]节奏总纲!AU28</f>
        <v>1.5404231760514975</v>
      </c>
      <c r="AV28" s="24">
        <f>[1]节奏总纲!AV28</f>
        <v>1.1553173820386213</v>
      </c>
      <c r="AW28" s="24">
        <f>[1]节奏总纲!AW28</f>
        <v>0.77021158802574874</v>
      </c>
      <c r="AX28" s="24">
        <f>[1]节奏总纲!AX28</f>
        <v>0.38510579401287437</v>
      </c>
      <c r="AY28" s="20"/>
      <c r="AZ28" s="20">
        <v>25</v>
      </c>
      <c r="BA28" s="20">
        <f>[1]节奏总纲!BA28</f>
        <v>29.216428548527322</v>
      </c>
      <c r="BB28" s="20">
        <f>[1]节奏总纲!BB28</f>
        <v>30.579110535891502</v>
      </c>
      <c r="BC28" s="20">
        <f>[1]节奏总纲!BC28</f>
        <v>32.356435933516131</v>
      </c>
      <c r="BD28" s="20">
        <f>[1]节奏总纲!BD28</f>
        <v>34.893493163684269</v>
      </c>
      <c r="BE28" s="20">
        <f>[1]节奏总纲!BE28</f>
        <v>39.520459727922798</v>
      </c>
      <c r="BI28" s="20">
        <v>25</v>
      </c>
      <c r="BJ28" s="32">
        <f>[1]节奏总纲!BQ28</f>
        <v>37.433077144085807</v>
      </c>
      <c r="BK28" s="32">
        <f>[1]节奏总纲!BR28</f>
        <v>36.256047084538473</v>
      </c>
      <c r="BL28" s="32">
        <f>[1]节奏总纲!BS28</f>
        <v>34.973799799710449</v>
      </c>
      <c r="BM28" s="32">
        <f>[1]节奏总纲!BT28</f>
        <v>33.570278782515963</v>
      </c>
      <c r="BN28" s="32">
        <f>[1]节奏总纲!BU28</f>
        <v>32.075561469230017</v>
      </c>
      <c r="BP28" s="20">
        <v>25</v>
      </c>
      <c r="BQ28" s="32">
        <f>[1]节奏总纲!BX28</f>
        <v>19.305616573096692</v>
      </c>
      <c r="BR28" s="32">
        <f>[1]节奏总纲!BY28</f>
        <v>19.786727569248686</v>
      </c>
      <c r="BS28" s="32">
        <f>[1]节奏总纲!BZ28</f>
        <v>20.32215968530463</v>
      </c>
      <c r="BT28" s="32">
        <f>[1]节奏总纲!CA28</f>
        <v>20.939833289691578</v>
      </c>
      <c r="BU28" s="32">
        <f>[1]节奏总纲!CB28</f>
        <v>21.544273429748305</v>
      </c>
    </row>
    <row r="29" spans="2:73" x14ac:dyDescent="0.15">
      <c r="B29" s="24">
        <f>[1]节奏总纲!B29</f>
        <v>30</v>
      </c>
      <c r="C29" s="24">
        <f>[1]节奏总纲!C29</f>
        <v>31.5</v>
      </c>
      <c r="D29" s="24">
        <f>[1]节奏总纲!D29</f>
        <v>16</v>
      </c>
      <c r="F29" s="24">
        <f>[1]节奏总纲!F29</f>
        <v>27</v>
      </c>
      <c r="G29" s="24">
        <f>[1]节奏总纲!G29</f>
        <v>5.4980191708498847</v>
      </c>
      <c r="I29" s="24">
        <f>[1]节奏总纲!I29</f>
        <v>27</v>
      </c>
      <c r="J29" s="24">
        <f>[1]节奏总纲!J29</f>
        <v>17.314186320787698</v>
      </c>
      <c r="K29" s="24">
        <f>[1]节奏总纲!K29</f>
        <v>0.84</v>
      </c>
      <c r="N29" s="24">
        <f>[1]节奏总纲!N29</f>
        <v>36</v>
      </c>
      <c r="O29" s="24">
        <f>[1]节奏总纲!O29</f>
        <v>26</v>
      </c>
      <c r="P29" s="24">
        <f>[1]节奏总纲!P29</f>
        <v>5.062866266041592</v>
      </c>
      <c r="Q29" s="24">
        <f>[1]节奏总纲!Q29</f>
        <v>4.408743944469018</v>
      </c>
      <c r="R29" s="24">
        <f>[1]节奏总纲!R29</f>
        <v>3.63716312552428</v>
      </c>
      <c r="S29" s="24">
        <f>[1]节奏总纲!S29</f>
        <v>2.6914197070277099</v>
      </c>
      <c r="T29" s="24">
        <f>[1]节奏总纲!T29</f>
        <v>1.4996209880015197</v>
      </c>
      <c r="U29" s="23"/>
      <c r="V29" s="24">
        <f>[1]节奏总纲!V29</f>
        <v>26</v>
      </c>
      <c r="W29" s="24">
        <f>[1]节奏总纲!W29</f>
        <v>0.40601201654921137</v>
      </c>
      <c r="X29" s="24">
        <f>[1]节奏总纲!X29</f>
        <v>0.354486634860951</v>
      </c>
      <c r="Y29" s="24">
        <f>[1]节奏总纲!Y29</f>
        <v>0.29261040353885237</v>
      </c>
      <c r="Z29" s="24">
        <f>[1]节奏总纲!Z29</f>
        <v>0.2130418754478649</v>
      </c>
      <c r="AA29" s="24">
        <f>[1]节奏总纲!AA29</f>
        <v>0.11932938845197816</v>
      </c>
      <c r="AC29" s="24">
        <f>[1]节奏总纲!AC29</f>
        <v>26</v>
      </c>
      <c r="AD29" s="24">
        <f>[1]节奏总纲!AD29</f>
        <v>47.540284631526092</v>
      </c>
      <c r="AE29" s="24">
        <f>[1]节奏总纲!AE29</f>
        <v>49.446133440059114</v>
      </c>
      <c r="AF29" s="24">
        <f>[1]节奏总纲!AF29</f>
        <v>52.199341027338768</v>
      </c>
      <c r="AG29" s="24">
        <f>[1]节奏总纲!AG29</f>
        <v>56.621068614050692</v>
      </c>
      <c r="AH29" s="24">
        <f>[1]节奏总纲!AH29</f>
        <v>65.00344105132713</v>
      </c>
      <c r="AL29" s="24">
        <f>[1]节奏总纲!AL29</f>
        <v>26</v>
      </c>
      <c r="AM29" s="24">
        <f>[1]节奏总纲!AM29</f>
        <v>14.6609224175611</v>
      </c>
      <c r="AN29" s="24">
        <f>[1]节奏总纲!AN29</f>
        <v>11.72873793404888</v>
      </c>
      <c r="AO29" s="24">
        <f>[1]节奏总纲!AO29</f>
        <v>8.7965534505366598</v>
      </c>
      <c r="AP29" s="24">
        <f>[1]节奏总纲!AP29</f>
        <v>5.8643689670244399</v>
      </c>
      <c r="AQ29" s="24">
        <f>[1]节奏总纲!AQ29</f>
        <v>2.9321844835122199</v>
      </c>
      <c r="AS29" s="24">
        <f>[1]节奏总纲!AS29</f>
        <v>26</v>
      </c>
      <c r="AT29" s="24">
        <f>[1]节奏总纲!AT29</f>
        <v>2.2609224175610994</v>
      </c>
      <c r="AU29" s="24">
        <f>[1]节奏总纲!AU29</f>
        <v>1.8087379340488781</v>
      </c>
      <c r="AV29" s="24">
        <f>[1]节奏总纲!AV29</f>
        <v>1.3565534505366603</v>
      </c>
      <c r="AW29" s="24">
        <f>[1]节奏总纲!AW29</f>
        <v>0.90436896702443903</v>
      </c>
      <c r="AX29" s="24">
        <f>[1]节奏总纲!AX29</f>
        <v>0.45218448351221951</v>
      </c>
      <c r="AY29" s="20"/>
      <c r="AZ29" s="20">
        <v>26</v>
      </c>
      <c r="BA29" s="20">
        <f>[1]节奏总纲!BA29</f>
        <v>29.45033047434006</v>
      </c>
      <c r="BB29" s="20">
        <f>[1]节奏总纲!BB29</f>
        <v>30.828727146189561</v>
      </c>
      <c r="BC29" s="20">
        <f>[1]节奏总纲!BC29</f>
        <v>32.59931891681552</v>
      </c>
      <c r="BD29" s="20">
        <f>[1]节奏总纲!BD29</f>
        <v>35.146386283795508</v>
      </c>
      <c r="BE29" s="20">
        <f>[1]节奏总纲!BE29</f>
        <v>39.790623261487418</v>
      </c>
      <c r="BI29" s="20">
        <v>26</v>
      </c>
      <c r="BJ29" s="32">
        <f>[1]节奏总纲!BQ29</f>
        <v>39.683540456879165</v>
      </c>
      <c r="BK29" s="32">
        <f>[1]节奏总纲!BR29</f>
        <v>38.510750823022413</v>
      </c>
      <c r="BL29" s="32">
        <f>[1]节奏总纲!BS29</f>
        <v>37.198506294230036</v>
      </c>
      <c r="BM29" s="32">
        <f>[1]节奏总纲!BT29</f>
        <v>35.753927091474367</v>
      </c>
      <c r="BN29" s="32">
        <f>[1]节奏总纲!BU29</f>
        <v>34.222396456091865</v>
      </c>
      <c r="BP29" s="20">
        <v>26</v>
      </c>
      <c r="BQ29" s="32">
        <f>[1]节奏总纲!BX29</f>
        <v>19.780926419241737</v>
      </c>
      <c r="BR29" s="32">
        <f>[1]节奏总纲!BY29</f>
        <v>20.259244188823619</v>
      </c>
      <c r="BS29" s="32">
        <f>[1]节奏总纲!BZ29</f>
        <v>20.806693001307259</v>
      </c>
      <c r="BT29" s="32">
        <f>[1]节奏总纲!CA29</f>
        <v>21.398356957135043</v>
      </c>
      <c r="BU29" s="32">
        <f>[1]节奏总纲!CB29</f>
        <v>22.040613536331495</v>
      </c>
    </row>
    <row r="30" spans="2:73" x14ac:dyDescent="0.15">
      <c r="B30" s="24">
        <f>[1]节奏总纲!B30</f>
        <v>35</v>
      </c>
      <c r="C30" s="24">
        <f>[1]节奏总纲!C30</f>
        <v>63.5</v>
      </c>
      <c r="D30" s="24">
        <f>[1]节奏总纲!D30</f>
        <v>32</v>
      </c>
      <c r="F30" s="24">
        <f>[1]节奏总纲!F30</f>
        <v>28</v>
      </c>
      <c r="G30" s="24">
        <f>[1]节奏总纲!G30</f>
        <v>5.9644045063689921</v>
      </c>
      <c r="I30" s="24">
        <f>[1]节奏总纲!I30</f>
        <v>28</v>
      </c>
      <c r="J30" s="24">
        <f>[1]节奏总纲!J30</f>
        <v>20.42625995518307</v>
      </c>
      <c r="K30" s="24">
        <f>[1]节奏总纲!K30</f>
        <v>0.86</v>
      </c>
      <c r="N30" s="24">
        <f>[1]节奏总纲!N30</f>
        <v>37</v>
      </c>
      <c r="O30" s="24">
        <f>[1]节奏总纲!O30</f>
        <v>27</v>
      </c>
      <c r="P30" s="24">
        <f>[1]节奏总纲!P30</f>
        <v>5.4980191708498847</v>
      </c>
      <c r="Q30" s="24">
        <f>[1]节奏总纲!Q30</f>
        <v>4.7882248958931646</v>
      </c>
      <c r="R30" s="24">
        <f>[1]节奏总纲!R30</f>
        <v>3.9492271704214725</v>
      </c>
      <c r="S30" s="24">
        <f>[1]节奏总纲!S30</f>
        <v>2.9205477835554587</v>
      </c>
      <c r="T30" s="24">
        <f>[1]节奏总纲!T30</f>
        <v>1.6290630803228208</v>
      </c>
      <c r="U30" s="23"/>
      <c r="V30" s="24">
        <f>[1]节奏总纲!V30</f>
        <v>27</v>
      </c>
      <c r="W30" s="24">
        <f>[1]节奏总纲!W30</f>
        <v>0.43515290480829272</v>
      </c>
      <c r="X30" s="24">
        <f>[1]节奏总纲!X30</f>
        <v>0.37948095142414662</v>
      </c>
      <c r="Y30" s="24">
        <f>[1]节奏总纲!Y30</f>
        <v>0.31206404489719253</v>
      </c>
      <c r="Z30" s="24">
        <f>[1]节奏总纲!Z30</f>
        <v>0.2291280765277488</v>
      </c>
      <c r="AA30" s="24">
        <f>[1]节奏总纲!AA30</f>
        <v>0.12944209232130111</v>
      </c>
      <c r="AC30" s="24">
        <f>[1]节奏总纲!AC30</f>
        <v>27</v>
      </c>
      <c r="AD30" s="24">
        <f>[1]节奏总纲!AD30</f>
        <v>48.071211008105138</v>
      </c>
      <c r="AE30" s="24">
        <f>[1]节奏总纲!AE30</f>
        <v>49.981218513907905</v>
      </c>
      <c r="AF30" s="24">
        <f>[1]节奏总纲!AF30</f>
        <v>52.705993248660157</v>
      </c>
      <c r="AG30" s="24">
        <f>[1]节奏总纲!AG30</f>
        <v>57.175765669822162</v>
      </c>
      <c r="AH30" s="24">
        <f>[1]节奏总纲!AH30</f>
        <v>65.541743280100334</v>
      </c>
      <c r="AL30" s="24">
        <f>[1]节奏总纲!AL30</f>
        <v>27</v>
      </c>
      <c r="AM30" s="24">
        <f>[1]节奏总纲!AM30</f>
        <v>17.314186320787698</v>
      </c>
      <c r="AN30" s="24">
        <f>[1]节奏总纲!AN30</f>
        <v>13.851349056630159</v>
      </c>
      <c r="AO30" s="24">
        <f>[1]节奏总纲!AO30</f>
        <v>10.388511792472618</v>
      </c>
      <c r="AP30" s="24">
        <f>[1]节奏总纲!AP30</f>
        <v>6.9256745283150796</v>
      </c>
      <c r="AQ30" s="24">
        <f>[1]节奏总纲!AQ30</f>
        <v>3.4628372641575398</v>
      </c>
      <c r="AS30" s="24">
        <f>[1]节奏总纲!AS30</f>
        <v>27</v>
      </c>
      <c r="AT30" s="24">
        <f>[1]节奏总纲!AT30</f>
        <v>2.6532639032265983</v>
      </c>
      <c r="AU30" s="24">
        <f>[1]节奏总纲!AU30</f>
        <v>2.1226111225812794</v>
      </c>
      <c r="AV30" s="24">
        <f>[1]节奏总纲!AV30</f>
        <v>1.5919583419359586</v>
      </c>
      <c r="AW30" s="24">
        <f>[1]节奏总纲!AW30</f>
        <v>1.0613055612906397</v>
      </c>
      <c r="AX30" s="24">
        <f>[1]节奏总纲!AX30</f>
        <v>0.53065278064531984</v>
      </c>
      <c r="AY30" s="20"/>
      <c r="AZ30" s="20">
        <v>27</v>
      </c>
      <c r="BA30" s="20">
        <f>[1]节奏总纲!BA30</f>
        <v>29.684232400152801</v>
      </c>
      <c r="BB30" s="20">
        <f>[1]节奏总纲!BB30</f>
        <v>31.066913270913183</v>
      </c>
      <c r="BC30" s="20">
        <f>[1]节奏总纲!BC30</f>
        <v>32.842201900114915</v>
      </c>
      <c r="BD30" s="20">
        <f>[1]节奏总纲!BD30</f>
        <v>35.390363423454687</v>
      </c>
      <c r="BE30" s="20">
        <f>[1]节奏总纲!BE30</f>
        <v>40.052446592012309</v>
      </c>
      <c r="BI30" s="20">
        <v>27</v>
      </c>
      <c r="BJ30" s="32">
        <f>[1]节奏总纲!BQ30</f>
        <v>41.947199016886806</v>
      </c>
      <c r="BK30" s="32">
        <f>[1]节奏总纲!BR30</f>
        <v>40.787439392565133</v>
      </c>
      <c r="BL30" s="32">
        <f>[1]节奏总纲!BS30</f>
        <v>39.486304880774611</v>
      </c>
      <c r="BM30" s="32">
        <f>[1]节奏总纲!BT30</f>
        <v>38.056251761612167</v>
      </c>
      <c r="BN30" s="32">
        <f>[1]节奏总纲!BU30</f>
        <v>36.474789469426575</v>
      </c>
      <c r="BP30" s="20">
        <v>27</v>
      </c>
      <c r="BQ30" s="32">
        <f>[1]节奏总纲!BX30</f>
        <v>20.246416839245761</v>
      </c>
      <c r="BR30" s="32">
        <f>[1]节奏总纲!BY30</f>
        <v>20.730530825071739</v>
      </c>
      <c r="BS30" s="32">
        <f>[1]节奏总纲!BZ30</f>
        <v>21.274723266233853</v>
      </c>
      <c r="BT30" s="32">
        <f>[1]节奏总纲!CA30</f>
        <v>21.881755925323187</v>
      </c>
      <c r="BU30" s="32">
        <f>[1]节奏总纲!CB30</f>
        <v>22.50487323022379</v>
      </c>
    </row>
    <row r="31" spans="2:73" x14ac:dyDescent="0.15">
      <c r="B31" s="24">
        <f>[1]节奏总纲!B31</f>
        <v>40</v>
      </c>
      <c r="C31" s="24">
        <f>[1]节奏总纲!C31</f>
        <v>127.5</v>
      </c>
      <c r="D31" s="24">
        <f>[1]节奏总纲!D31</f>
        <v>64</v>
      </c>
      <c r="F31" s="24">
        <f>[1]节奏总纲!F31</f>
        <v>29</v>
      </c>
      <c r="G31" s="24">
        <f>[1]节奏总纲!G31</f>
        <v>6.4642639322944575</v>
      </c>
      <c r="I31" s="24">
        <f>[1]节奏总纲!I31</f>
        <v>29</v>
      </c>
      <c r="J31" s="24">
        <f>[1]节奏总纲!J31</f>
        <v>24.074703862418847</v>
      </c>
      <c r="K31" s="24">
        <f>[1]节奏总纲!K31</f>
        <v>0.88</v>
      </c>
      <c r="N31" s="24">
        <f>[1]节奏总纲!N31</f>
        <v>38</v>
      </c>
      <c r="O31" s="24">
        <f>[1]节奏总纲!O31</f>
        <v>28</v>
      </c>
      <c r="P31" s="24">
        <f>[1]节奏总纲!P31</f>
        <v>5.9644045063689921</v>
      </c>
      <c r="Q31" s="24">
        <f>[1]节奏总纲!Q31</f>
        <v>5.1914176823435705</v>
      </c>
      <c r="R31" s="24">
        <f>[1]节奏总纲!R31</f>
        <v>4.2752851501652938</v>
      </c>
      <c r="S31" s="24">
        <f>[1]节奏总纲!S31</f>
        <v>3.1653094715300236</v>
      </c>
      <c r="T31" s="24">
        <f>[1]节奏总纲!T31</f>
        <v>1.7738139001941382</v>
      </c>
      <c r="U31" s="23"/>
      <c r="V31" s="24">
        <f>[1]节奏总纲!V31</f>
        <v>28</v>
      </c>
      <c r="W31" s="24">
        <f>[1]节奏总纲!W31</f>
        <v>0.46638533551910744</v>
      </c>
      <c r="X31" s="24">
        <f>[1]节奏总纲!X31</f>
        <v>0.4031927864504059</v>
      </c>
      <c r="Y31" s="24">
        <f>[1]节奏总纲!Y31</f>
        <v>0.32605797974382122</v>
      </c>
      <c r="Z31" s="24">
        <f>[1]节奏总纲!Z31</f>
        <v>0.24476168797456488</v>
      </c>
      <c r="AA31" s="24">
        <f>[1]节奏总纲!AA31</f>
        <v>0.14475081987131744</v>
      </c>
      <c r="AC31" s="24">
        <f>[1]节奏总纲!AC31</f>
        <v>28</v>
      </c>
      <c r="AD31" s="24">
        <f>[1]节奏总纲!AD31</f>
        <v>48.571351621712928</v>
      </c>
      <c r="AE31" s="24">
        <f>[1]节奏总纲!AE31</f>
        <v>50.509688493127967</v>
      </c>
      <c r="AF31" s="24">
        <f>[1]节奏总纲!AF31</f>
        <v>53.212684955585161</v>
      </c>
      <c r="AG31" s="24">
        <f>[1]节奏总纲!AG31</f>
        <v>57.699988965458331</v>
      </c>
      <c r="AH31" s="24">
        <f>[1]节奏总纲!AH31</f>
        <v>66.076345334947405</v>
      </c>
      <c r="AL31" s="24">
        <f>[1]节奏总纲!AL31</f>
        <v>28</v>
      </c>
      <c r="AM31" s="24">
        <f>[1]节奏总纲!AM31</f>
        <v>20.42625995518307</v>
      </c>
      <c r="AN31" s="24">
        <f>[1]节奏总纲!AN31</f>
        <v>16.341007964146456</v>
      </c>
      <c r="AO31" s="24">
        <f>[1]节奏总纲!AO31</f>
        <v>12.255755973109842</v>
      </c>
      <c r="AP31" s="24">
        <f>[1]节奏总纲!AP31</f>
        <v>8.1705039820732281</v>
      </c>
      <c r="AQ31" s="24">
        <f>[1]节奏总纲!AQ31</f>
        <v>4.0852519910366141</v>
      </c>
      <c r="AS31" s="24">
        <f>[1]节奏总纲!AS31</f>
        <v>28</v>
      </c>
      <c r="AT31" s="24">
        <f>[1]节奏总纲!AT31</f>
        <v>3.1120736343953723</v>
      </c>
      <c r="AU31" s="24">
        <f>[1]节奏总纲!AU31</f>
        <v>2.4896589075162971</v>
      </c>
      <c r="AV31" s="24">
        <f>[1]节奏总纲!AV31</f>
        <v>1.8672441806372237</v>
      </c>
      <c r="AW31" s="24">
        <f>[1]节奏总纲!AW31</f>
        <v>1.2448294537581486</v>
      </c>
      <c r="AX31" s="24">
        <f>[1]节奏总纲!AX31</f>
        <v>0.62241472687907429</v>
      </c>
      <c r="AY31" s="20"/>
      <c r="AZ31" s="20">
        <v>28</v>
      </c>
      <c r="BA31" s="20">
        <f>[1]节奏总纲!BA31</f>
        <v>29.918134325965539</v>
      </c>
      <c r="BB31" s="20">
        <f>[1]节奏总纲!BB31</f>
        <v>31.280110398778046</v>
      </c>
      <c r="BC31" s="20">
        <f>[1]节奏总纲!BC31</f>
        <v>33.072726100175295</v>
      </c>
      <c r="BD31" s="20">
        <f>[1]节奏总纲!BD31</f>
        <v>35.634340563113874</v>
      </c>
      <c r="BE31" s="20">
        <f>[1]节奏总纲!BE31</f>
        <v>40.28554255651148</v>
      </c>
      <c r="BI31" s="20">
        <v>28</v>
      </c>
      <c r="BJ31" s="32">
        <f>[1]节奏总纲!BQ31</f>
        <v>44.207309026381338</v>
      </c>
      <c r="BK31" s="32">
        <f>[1]节奏总纲!BR31</f>
        <v>43.001962251090099</v>
      </c>
      <c r="BL31" s="32">
        <f>[1]节奏总纲!BS31</f>
        <v>41.684581461949612</v>
      </c>
      <c r="BM31" s="32">
        <f>[1]节奏总纲!BT31</f>
        <v>40.269613788949812</v>
      </c>
      <c r="BN31" s="32">
        <f>[1]节奏总纲!BU31</f>
        <v>38.716188571600512</v>
      </c>
      <c r="BP31" s="20">
        <v>28</v>
      </c>
      <c r="BQ31" s="32">
        <f>[1]节奏总纲!BX31</f>
        <v>20.709789085251497</v>
      </c>
      <c r="BR31" s="32">
        <f>[1]节奏总纲!BY31</f>
        <v>21.196432625118295</v>
      </c>
      <c r="BS31" s="32">
        <f>[1]节奏总纲!BZ31</f>
        <v>21.73332002826092</v>
      </c>
      <c r="BT31" s="32">
        <f>[1]节奏总纲!CA31</f>
        <v>22.338424098785335</v>
      </c>
      <c r="BU31" s="32">
        <f>[1]节奏总纲!CB31</f>
        <v>23.020448156730307</v>
      </c>
    </row>
    <row r="32" spans="2:73" x14ac:dyDescent="0.15">
      <c r="B32" s="24">
        <f>[1]节奏总纲!B32</f>
        <v>45</v>
      </c>
      <c r="C32" s="24">
        <f>[1]节奏总纲!C32</f>
        <v>255.5</v>
      </c>
      <c r="D32" s="24">
        <f>[1]节奏总纲!D32</f>
        <v>128</v>
      </c>
      <c r="F32" s="24">
        <f>[1]节奏总纲!F32</f>
        <v>30</v>
      </c>
      <c r="G32" s="24">
        <f>[1]节奏总纲!G32</f>
        <v>7</v>
      </c>
      <c r="I32" s="24">
        <f>[1]节奏总纲!I32</f>
        <v>30</v>
      </c>
      <c r="J32" s="24">
        <f>[1]节奏总纲!J32</f>
        <v>28.35</v>
      </c>
      <c r="K32" s="24">
        <f>[1]节奏总纲!K32</f>
        <v>0.9</v>
      </c>
      <c r="N32" s="24">
        <f>[1]节奏总纲!N32</f>
        <v>39</v>
      </c>
      <c r="O32" s="24">
        <f>[1]节奏总纲!O32</f>
        <v>29</v>
      </c>
      <c r="P32" s="24">
        <f>[1]节奏总纲!P32</f>
        <v>6.4642639322944575</v>
      </c>
      <c r="Q32" s="24">
        <f>[1]节奏总纲!Q32</f>
        <v>5.6323131642081607</v>
      </c>
      <c r="R32" s="24">
        <f>[1]节奏总纲!R32</f>
        <v>4.6510378992858623</v>
      </c>
      <c r="S32" s="24">
        <f>[1]节奏总纲!S32</f>
        <v>3.4532097926316991</v>
      </c>
      <c r="T32" s="24">
        <f>[1]节奏总纲!T32</f>
        <v>1.9366934741154194</v>
      </c>
      <c r="U32" s="23"/>
      <c r="V32" s="24">
        <f>[1]节奏总纲!V32</f>
        <v>29</v>
      </c>
      <c r="W32" s="24">
        <f>[1]节奏总纲!W32</f>
        <v>0.49985942592546539</v>
      </c>
      <c r="X32" s="24">
        <f>[1]节奏总纲!X32</f>
        <v>0.44089548186459027</v>
      </c>
      <c r="Y32" s="24">
        <f>[1]节奏总纲!Y32</f>
        <v>0.37575274912056855</v>
      </c>
      <c r="Z32" s="24">
        <f>[1]节奏总纲!Z32</f>
        <v>0.28790032110167552</v>
      </c>
      <c r="AA32" s="24">
        <f>[1]节奏总纲!AA32</f>
        <v>0.16287957392128116</v>
      </c>
      <c r="AC32" s="24">
        <f>[1]节奏总纲!AC32</f>
        <v>29</v>
      </c>
      <c r="AD32" s="24">
        <f>[1]节奏总纲!AD32</f>
        <v>49.066704614192936</v>
      </c>
      <c r="AE32" s="24">
        <f>[1]节奏总纲!AE32</f>
        <v>51.033341828534468</v>
      </c>
      <c r="AF32" s="24">
        <f>[1]节奏总纲!AF32</f>
        <v>53.719431255885922</v>
      </c>
      <c r="AG32" s="24">
        <f>[1]节奏总纲!AG32</f>
        <v>58.210135614815364</v>
      </c>
      <c r="AH32" s="24">
        <f>[1]节奏总纲!AH32</f>
        <v>66.589764070576265</v>
      </c>
      <c r="AL32" s="24">
        <f>[1]节奏总纲!AL32</f>
        <v>29</v>
      </c>
      <c r="AM32" s="24">
        <f>[1]节奏总纲!AM32</f>
        <v>24.074703862418847</v>
      </c>
      <c r="AN32" s="24">
        <f>[1]节奏总纲!AN32</f>
        <v>19.259763089935078</v>
      </c>
      <c r="AO32" s="24">
        <f>[1]节奏总纲!AO32</f>
        <v>14.444822317451308</v>
      </c>
      <c r="AP32" s="24">
        <f>[1]节奏总纲!AP32</f>
        <v>9.6298815449675388</v>
      </c>
      <c r="AQ32" s="24">
        <f>[1]节奏总纲!AQ32</f>
        <v>4.8149407724837694</v>
      </c>
      <c r="AS32" s="24">
        <f>[1]节奏总纲!AS32</f>
        <v>29</v>
      </c>
      <c r="AT32" s="24">
        <f>[1]节奏总纲!AT32</f>
        <v>3.6484439072357766</v>
      </c>
      <c r="AU32" s="24">
        <f>[1]节奏总纲!AU32</f>
        <v>2.9187551257886213</v>
      </c>
      <c r="AV32" s="24">
        <f>[1]节奏总纲!AV32</f>
        <v>2.189066344341466</v>
      </c>
      <c r="AW32" s="24">
        <f>[1]节奏总纲!AW32</f>
        <v>1.4593775628943106</v>
      </c>
      <c r="AX32" s="24">
        <f>[1]节奏总纲!AX32</f>
        <v>0.72968878144715532</v>
      </c>
      <c r="AY32" s="20"/>
      <c r="AZ32" s="20">
        <v>29</v>
      </c>
      <c r="BA32" s="20">
        <f>[1]节奏总纲!BA32</f>
        <v>30.12980063735499</v>
      </c>
      <c r="BB32" s="20">
        <f>[1]节奏总纲!BB32</f>
        <v>31.493307526642905</v>
      </c>
      <c r="BC32" s="20">
        <f>[1]节奏总纲!BC32</f>
        <v>33.280329748032408</v>
      </c>
      <c r="BD32" s="20">
        <f>[1]节奏总纲!BD32</f>
        <v>35.878317702773053</v>
      </c>
      <c r="BE32" s="20">
        <f>[1]节奏总纲!BE32</f>
        <v>40.518638521010644</v>
      </c>
      <c r="BI32" s="20">
        <v>29</v>
      </c>
      <c r="BJ32" s="32">
        <f>[1]节奏总纲!BQ32</f>
        <v>46.472959498348729</v>
      </c>
      <c r="BK32" s="32">
        <f>[1]节奏总纲!BR32</f>
        <v>45.255017621525596</v>
      </c>
      <c r="BL32" s="32">
        <f>[1]节奏总纲!BS32</f>
        <v>43.924726999026539</v>
      </c>
      <c r="BM32" s="32">
        <f>[1]节奏总纲!BT32</f>
        <v>42.440671676816109</v>
      </c>
      <c r="BN32" s="32">
        <f>[1]节奏总纲!BU32</f>
        <v>40.873232138623273</v>
      </c>
      <c r="BP32" s="20">
        <v>29</v>
      </c>
      <c r="BQ32" s="32">
        <f>[1]节奏总纲!BX32</f>
        <v>21.175328404170024</v>
      </c>
      <c r="BR32" s="32">
        <f>[1]节奏总纲!BY32</f>
        <v>21.66151840648989</v>
      </c>
      <c r="BS32" s="32">
        <f>[1]节奏总纲!BZ32</f>
        <v>22.222544796364009</v>
      </c>
      <c r="BT32" s="32">
        <f>[1]节奏总纲!CA32</f>
        <v>22.854718731192797</v>
      </c>
      <c r="BU32" s="32">
        <f>[1]节奏总纲!CB32</f>
        <v>23.517361184365331</v>
      </c>
    </row>
    <row r="33" spans="2:73" x14ac:dyDescent="0.15">
      <c r="B33" s="24">
        <f>[1]节奏总纲!B33</f>
        <v>50</v>
      </c>
      <c r="C33" s="24">
        <f>[1]节奏总纲!C33</f>
        <v>511.5</v>
      </c>
      <c r="D33" s="24">
        <f>[1]节奏总纲!D33</f>
        <v>256</v>
      </c>
      <c r="F33" s="24">
        <f>[1]节奏总纲!F33</f>
        <v>31</v>
      </c>
      <c r="G33" s="24">
        <f>[1]节奏总纲!G33</f>
        <v>7.5741877002903433</v>
      </c>
      <c r="I33" s="24">
        <f>[1]节奏总纲!I33</f>
        <v>31</v>
      </c>
      <c r="J33" s="24">
        <f>[1]节奏总纲!J33</f>
        <v>33.357679571112705</v>
      </c>
      <c r="K33" s="24">
        <f>[1]节奏总纲!K33</f>
        <v>0.92</v>
      </c>
      <c r="N33" s="24">
        <f>[1]节奏总纲!N33</f>
        <v>40</v>
      </c>
      <c r="O33" s="24">
        <f>[1]节奏总纲!O33</f>
        <v>30</v>
      </c>
      <c r="P33" s="24">
        <f>[1]节奏总纲!P33</f>
        <v>7</v>
      </c>
      <c r="Q33" s="24">
        <f>[1]节奏总纲!Q33</f>
        <v>6.1025999999999998</v>
      </c>
      <c r="R33" s="24">
        <f>[1]节奏总纲!R33</f>
        <v>5.0421000000000005</v>
      </c>
      <c r="S33" s="24">
        <f>[1]节奏总纲!S33</f>
        <v>3.7428999999999997</v>
      </c>
      <c r="T33" s="24">
        <f>[1]节奏总纲!T33</f>
        <v>2.1006999999999998</v>
      </c>
      <c r="U33" s="23"/>
      <c r="V33" s="24">
        <f>[1]节奏总纲!V33</f>
        <v>30</v>
      </c>
      <c r="W33" s="24">
        <f>[1]节奏总纲!W33</f>
        <v>0.5357360677055425</v>
      </c>
      <c r="X33" s="24">
        <f>[1]节奏总纲!X33</f>
        <v>0.47028683579183905</v>
      </c>
      <c r="Y33" s="24">
        <f>[1]节奏总纲!Y33</f>
        <v>0.39106210071413816</v>
      </c>
      <c r="Z33" s="24">
        <f>[1]节奏总纲!Z33</f>
        <v>0.28969020736830053</v>
      </c>
      <c r="AA33" s="24">
        <f>[1]节奏总纲!AA33</f>
        <v>0.16400652588458042</v>
      </c>
      <c r="AC33" s="24">
        <f>[1]节奏总纲!AC33</f>
        <v>30</v>
      </c>
      <c r="AD33" s="24">
        <f>[1]节奏总纲!AD33</f>
        <v>49.533352307096472</v>
      </c>
      <c r="AE33" s="24">
        <f>[1]节奏总纲!AE33</f>
        <v>51.497823295559343</v>
      </c>
      <c r="AF33" s="24">
        <f>[1]节奏总纲!AF33</f>
        <v>54.213705787583436</v>
      </c>
      <c r="AG33" s="24">
        <f>[1]节奏总纲!AG33</f>
        <v>58.701446767877648</v>
      </c>
      <c r="AH33" s="24">
        <f>[1]节奏总纲!AH33</f>
        <v>67.097551508592701</v>
      </c>
      <c r="AL33" s="24">
        <f>[1]节奏总纲!AL33</f>
        <v>30</v>
      </c>
      <c r="AM33" s="24">
        <f>[1]节奏总纲!AM33</f>
        <v>28.35</v>
      </c>
      <c r="AN33" s="24">
        <f>[1]节奏总纲!AN33</f>
        <v>22.680000000000003</v>
      </c>
      <c r="AO33" s="24">
        <f>[1]节奏总纲!AO33</f>
        <v>17.010000000000002</v>
      </c>
      <c r="AP33" s="24">
        <f>[1]节奏总纲!AP33</f>
        <v>11.340000000000002</v>
      </c>
      <c r="AQ33" s="24">
        <f>[1]节奏总纲!AQ33</f>
        <v>5.6700000000000008</v>
      </c>
      <c r="AS33" s="24">
        <f>[1]节奏总纲!AS33</f>
        <v>30</v>
      </c>
      <c r="AT33" s="24">
        <f>[1]节奏总纲!AT33</f>
        <v>4.2752961375811545</v>
      </c>
      <c r="AU33" s="24">
        <f>[1]节奏总纲!AU33</f>
        <v>3.4202369100649257</v>
      </c>
      <c r="AV33" s="24">
        <f>[1]节奏总纲!AV33</f>
        <v>2.5651776825486934</v>
      </c>
      <c r="AW33" s="24">
        <f>[1]节奏总纲!AW33</f>
        <v>1.7101184550324628</v>
      </c>
      <c r="AX33" s="24">
        <f>[1]节奏总纲!AX33</f>
        <v>0.85505922751623142</v>
      </c>
      <c r="AY33" s="20"/>
      <c r="AZ33" s="20">
        <v>30</v>
      </c>
      <c r="BA33" s="20">
        <f>[1]节奏总纲!BA33</f>
        <v>30.329493925593439</v>
      </c>
      <c r="BB33" s="20">
        <f>[1]节奏总纲!BB33</f>
        <v>31.706504654507764</v>
      </c>
      <c r="BC33" s="20">
        <f>[1]节奏总纲!BC33</f>
        <v>33.487933395889513</v>
      </c>
      <c r="BD33" s="20">
        <f>[1]节奏总纲!BD33</f>
        <v>36.105477566569242</v>
      </c>
      <c r="BE33" s="20">
        <f>[1]节奏总纲!BE33</f>
        <v>40.751734485509814</v>
      </c>
      <c r="BI33" s="20">
        <v>30</v>
      </c>
      <c r="BJ33" s="32">
        <f>[1]节奏总纲!BQ33</f>
        <v>48.746400836475651</v>
      </c>
      <c r="BK33" s="32">
        <f>[1]节奏总纲!BR33</f>
        <v>47.534861085979394</v>
      </c>
      <c r="BL33" s="32">
        <f>[1]节奏总纲!BS33</f>
        <v>46.203853617695223</v>
      </c>
      <c r="BM33" s="32">
        <f>[1]节奏总纲!BT33</f>
        <v>44.710696649522191</v>
      </c>
      <c r="BN33" s="32">
        <f>[1]节奏总纲!BU33</f>
        <v>43.073827164214144</v>
      </c>
      <c r="BP33" s="20">
        <v>30</v>
      </c>
      <c r="BQ33" s="32">
        <f>[1]节奏总纲!BX33</f>
        <v>21.627432338833255</v>
      </c>
      <c r="BR33" s="32">
        <f>[1]节奏总纲!BY33</f>
        <v>22.133969730796721</v>
      </c>
      <c r="BS33" s="32">
        <f>[1]节奏总纲!BZ33</f>
        <v>22.690075277664143</v>
      </c>
      <c r="BT33" s="32">
        <f>[1]节奏总纲!CA33</f>
        <v>23.318316384114386</v>
      </c>
      <c r="BU33" s="32">
        <f>[1]节奏总纲!CB33</f>
        <v>24.015075841763835</v>
      </c>
    </row>
    <row r="34" spans="2:73" x14ac:dyDescent="0.15">
      <c r="B34" s="24">
        <f>[1]节奏总纲!B34</f>
        <v>55</v>
      </c>
      <c r="C34" s="24">
        <f>[1]节奏总纲!C34</f>
        <v>1023.5</v>
      </c>
      <c r="D34" s="24">
        <f>[1]节奏总纲!D34</f>
        <v>512</v>
      </c>
      <c r="F34" s="24">
        <f>[1]节奏总纲!F34</f>
        <v>32</v>
      </c>
      <c r="G34" s="24">
        <f>[1]节奏总纲!G34</f>
        <v>8.189586839976279</v>
      </c>
      <c r="I34" s="24">
        <f>[1]节奏总纲!I34</f>
        <v>32</v>
      </c>
      <c r="J34" s="24">
        <f>[1]节奏总纲!J34</f>
        <v>39.220797956048642</v>
      </c>
      <c r="K34" s="24">
        <f>[1]节奏总纲!K34</f>
        <v>0.94</v>
      </c>
      <c r="N34" s="24">
        <f>[1]节奏总纲!N34</f>
        <v>41</v>
      </c>
      <c r="O34" s="24">
        <f>[1]节奏总纲!O34</f>
        <v>31</v>
      </c>
      <c r="P34" s="24">
        <f>[1]节奏总纲!P34</f>
        <v>7.5741877002903433</v>
      </c>
      <c r="Q34" s="24">
        <f>[1]节奏总纲!Q34</f>
        <v>6.6115084435834408</v>
      </c>
      <c r="R34" s="24">
        <f>[1]节奏总纲!R34</f>
        <v>5.4632615882194253</v>
      </c>
      <c r="S34" s="24">
        <f>[1]节奏总纲!S34</f>
        <v>4.052190419655334</v>
      </c>
      <c r="T34" s="24">
        <f>[1]节奏总纲!T34</f>
        <v>2.2783156602473356</v>
      </c>
      <c r="U34" s="23"/>
      <c r="V34" s="24">
        <f>[1]节奏总纲!V34</f>
        <v>31</v>
      </c>
      <c r="W34" s="24">
        <f>[1]节奏总纲!W34</f>
        <v>0.57418770029034327</v>
      </c>
      <c r="X34" s="24">
        <f>[1]节奏总纲!X34</f>
        <v>0.50890844358344101</v>
      </c>
      <c r="Y34" s="24">
        <f>[1]节奏总纲!Y34</f>
        <v>0.42116158821942484</v>
      </c>
      <c r="Z34" s="24">
        <f>[1]节奏总纲!Z34</f>
        <v>0.30929041965533433</v>
      </c>
      <c r="AA34" s="24">
        <f>[1]节奏总纲!AA34</f>
        <v>0.17761566024733577</v>
      </c>
      <c r="AC34" s="24">
        <f>[1]节奏总纲!AC34</f>
        <v>31</v>
      </c>
      <c r="AD34" s="24">
        <f>[1]节奏总纲!AD34</f>
        <v>50</v>
      </c>
      <c r="AE34" s="24">
        <f>[1]节奏总纲!AE34</f>
        <v>51.96230476258421</v>
      </c>
      <c r="AF34" s="24">
        <f>[1]节奏总纲!AF34</f>
        <v>54.692509339255828</v>
      </c>
      <c r="AG34" s="24">
        <f>[1]节奏总纲!AG34</f>
        <v>59.178112178215827</v>
      </c>
      <c r="AH34" s="24">
        <f>[1]节奏总纲!AH34</f>
        <v>67.582949939226467</v>
      </c>
      <c r="AL34" s="24">
        <f>[1]节奏总纲!AL34</f>
        <v>31</v>
      </c>
      <c r="AM34" s="24">
        <f>[1]节奏总纲!AM34</f>
        <v>33.357679571112705</v>
      </c>
      <c r="AN34" s="24">
        <f>[1]节奏总纲!AN34</f>
        <v>26.686143656890167</v>
      </c>
      <c r="AO34" s="24">
        <f>[1]节奏总纲!AO34</f>
        <v>20.014607742667621</v>
      </c>
      <c r="AP34" s="24">
        <f>[1]节奏总纲!AP34</f>
        <v>13.343071828445083</v>
      </c>
      <c r="AQ34" s="24">
        <f>[1]节奏总纲!AQ34</f>
        <v>6.6715359142225417</v>
      </c>
      <c r="AS34" s="24">
        <f>[1]节奏总纲!AS34</f>
        <v>31</v>
      </c>
      <c r="AT34" s="24">
        <f>[1]节奏总纲!AT34</f>
        <v>5.0076795711127033</v>
      </c>
      <c r="AU34" s="24">
        <f>[1]节奏总纲!AU34</f>
        <v>4.0061436568901634</v>
      </c>
      <c r="AV34" s="24">
        <f>[1]节奏总纲!AV34</f>
        <v>3.0046077426676199</v>
      </c>
      <c r="AW34" s="24">
        <f>[1]节奏总纲!AW34</f>
        <v>2.0030718284450817</v>
      </c>
      <c r="AX34" s="24">
        <f>[1]节奏总纲!AX34</f>
        <v>1.0015359142225408</v>
      </c>
      <c r="AY34" s="20"/>
      <c r="AZ34" s="20">
        <v>31</v>
      </c>
      <c r="BA34" s="20">
        <f>[1]节奏总纲!BA34</f>
        <v>30.529187213831889</v>
      </c>
      <c r="BB34" s="20">
        <f>[1]节奏总纲!BB34</f>
        <v>31.919701782372627</v>
      </c>
      <c r="BC34" s="20">
        <f>[1]节奏总纲!BC34</f>
        <v>33.695537043746626</v>
      </c>
      <c r="BD34" s="20">
        <f>[1]节奏总纲!BD34</f>
        <v>36.315904388158508</v>
      </c>
      <c r="BE34" s="20">
        <f>[1]节奏总纲!BE34</f>
        <v>40.984830450008978</v>
      </c>
      <c r="BI34" s="20">
        <v>31</v>
      </c>
      <c r="BJ34" s="32">
        <f>[1]节奏总纲!BQ34</f>
        <v>51.024751728602688</v>
      </c>
      <c r="BK34" s="32">
        <f>[1]节奏总纲!BR34</f>
        <v>49.81327866937707</v>
      </c>
      <c r="BL34" s="32">
        <f>[1]节奏总纲!BS34</f>
        <v>48.49295716189016</v>
      </c>
      <c r="BM34" s="32">
        <f>[1]节奏总纲!BT34</f>
        <v>47.007818211309306</v>
      </c>
      <c r="BN34" s="32">
        <f>[1]节奏总纲!BU34</f>
        <v>45.378719658137989</v>
      </c>
      <c r="BP34" s="20">
        <v>31</v>
      </c>
      <c r="BQ34" s="32">
        <f>[1]节奏总纲!BX34</f>
        <v>22.095189537639744</v>
      </c>
      <c r="BR34" s="32">
        <f>[1]节奏总纲!BY34</f>
        <v>22.590285126353667</v>
      </c>
      <c r="BS34" s="32">
        <f>[1]节奏总纲!BZ34</f>
        <v>23.164669534623123</v>
      </c>
      <c r="BT34" s="32">
        <f>[1]节奏总纲!CA34</f>
        <v>23.790108012583765</v>
      </c>
      <c r="BU34" s="32">
        <f>[1]节奏总纲!CB34</f>
        <v>24.476288482572343</v>
      </c>
    </row>
    <row r="35" spans="2:73" x14ac:dyDescent="0.15">
      <c r="B35" s="24">
        <f>[1]节奏总纲!B35</f>
        <v>60</v>
      </c>
      <c r="C35" s="24">
        <f>[1]节奏总纲!C35</f>
        <v>2047.5</v>
      </c>
      <c r="D35" s="24">
        <f>[1]节奏总纲!D35</f>
        <v>1024</v>
      </c>
      <c r="F35" s="24">
        <f>[1]节奏总纲!F35</f>
        <v>33</v>
      </c>
      <c r="G35" s="24">
        <f>[1]节奏总纲!G35</f>
        <v>8.8491553067593287</v>
      </c>
      <c r="I35" s="24">
        <f>[1]节奏总纲!I35</f>
        <v>33</v>
      </c>
      <c r="J35" s="24">
        <f>[1]节奏总纲!J35</f>
        <v>46.082812923199413</v>
      </c>
      <c r="K35" s="24">
        <f>[1]节奏总纲!K35</f>
        <v>0.96</v>
      </c>
      <c r="N35" s="24">
        <f>[1]节奏总纲!N35</f>
        <v>42</v>
      </c>
      <c r="O35" s="24">
        <f>[1]节奏总纲!O35</f>
        <v>32</v>
      </c>
      <c r="P35" s="24">
        <f>[1]节奏总纲!P35</f>
        <v>8.189586839976279</v>
      </c>
      <c r="Q35" s="24">
        <f>[1]节奏总纲!Q35</f>
        <v>7.1519661873512845</v>
      </c>
      <c r="R35" s="24">
        <f>[1]节奏总纲!R35</f>
        <v>5.906330028990892</v>
      </c>
      <c r="S35" s="24">
        <f>[1]节奏总纲!S35</f>
        <v>4.3855237528072974</v>
      </c>
      <c r="T35" s="24">
        <f>[1]节奏总纲!T35</f>
        <v>2.46506563883286</v>
      </c>
      <c r="U35" s="23"/>
      <c r="V35" s="24">
        <f>[1]节奏总纲!V35</f>
        <v>32</v>
      </c>
      <c r="W35" s="24">
        <f>[1]节奏总纲!W35</f>
        <v>0.61539913968593574</v>
      </c>
      <c r="X35" s="24">
        <f>[1]节奏总纲!X35</f>
        <v>0.54045774376784372</v>
      </c>
      <c r="Y35" s="24">
        <f>[1]节奏总纲!Y35</f>
        <v>0.44306844077146668</v>
      </c>
      <c r="Z35" s="24">
        <f>[1]节奏总纲!Z35</f>
        <v>0.33333333315196345</v>
      </c>
      <c r="AA35" s="24">
        <f>[1]节奏总纲!AA35</f>
        <v>0.18674997858552445</v>
      </c>
      <c r="AC35" s="24">
        <f>[1]节奏总纲!AC35</f>
        <v>32</v>
      </c>
      <c r="AD35" s="24">
        <f>[1]节奏总纲!AD35</f>
        <v>50.435397692903535</v>
      </c>
      <c r="AE35" s="24">
        <f>[1]节奏总纲!AE35</f>
        <v>52.391506955233744</v>
      </c>
      <c r="AF35" s="24">
        <f>[1]节奏总纲!AF35</f>
        <v>55.159275389027101</v>
      </c>
      <c r="AG35" s="24">
        <f>[1]节奏总纲!AG35</f>
        <v>59.632093520341421</v>
      </c>
      <c r="AH35" s="24">
        <f>[1]节奏总纲!AH35</f>
        <v>68.063981730538742</v>
      </c>
      <c r="AL35" s="24">
        <f>[1]节奏总纲!AL35</f>
        <v>32</v>
      </c>
      <c r="AM35" s="24">
        <f>[1]节奏总纲!AM35</f>
        <v>39.220797956048642</v>
      </c>
      <c r="AN35" s="24">
        <f>[1]节奏总纲!AN35</f>
        <v>31.376638364838914</v>
      </c>
      <c r="AO35" s="24">
        <f>[1]节奏总纲!AO35</f>
        <v>23.532478773629183</v>
      </c>
      <c r="AP35" s="24">
        <f>[1]节奏总纲!AP35</f>
        <v>15.688319182419457</v>
      </c>
      <c r="AQ35" s="24">
        <f>[1]节奏总纲!AQ35</f>
        <v>7.8441595912097286</v>
      </c>
      <c r="AS35" s="24">
        <f>[1]节奏总纲!AS35</f>
        <v>32</v>
      </c>
      <c r="AT35" s="24">
        <f>[1]节奏总纲!AT35</f>
        <v>5.8631183849359374</v>
      </c>
      <c r="AU35" s="24">
        <f>[1]节奏总纲!AU35</f>
        <v>4.6904947079487478</v>
      </c>
      <c r="AV35" s="24">
        <f>[1]节奏总纲!AV35</f>
        <v>3.5178710309615617</v>
      </c>
      <c r="AW35" s="24">
        <f>[1]节奏总纲!AW35</f>
        <v>2.3452473539743739</v>
      </c>
      <c r="AX35" s="24">
        <f>[1]节奏总纲!AX35</f>
        <v>1.1726236769871869</v>
      </c>
      <c r="AY35" s="20"/>
      <c r="AZ35" s="20">
        <v>32</v>
      </c>
      <c r="BA35" s="20">
        <f>[1]节奏总纲!BA35</f>
        <v>30.728880502070336</v>
      </c>
      <c r="BB35" s="20">
        <f>[1]节奏总纲!BB35</f>
        <v>32.113552950216736</v>
      </c>
      <c r="BC35" s="20">
        <f>[1]节奏总纲!BC35</f>
        <v>33.903140691603731</v>
      </c>
      <c r="BD35" s="20">
        <f>[1]节奏总纲!BD35</f>
        <v>36.526331209747774</v>
      </c>
      <c r="BE35" s="20">
        <f>[1]节奏总纲!BE35</f>
        <v>41.188041754455355</v>
      </c>
      <c r="BI35" s="20">
        <v>32</v>
      </c>
      <c r="BJ35" s="32">
        <f>[1]节奏总纲!BQ35</f>
        <v>53.291472423922521</v>
      </c>
      <c r="BK35" s="32">
        <f>[1]节奏总纲!BR35</f>
        <v>52.125901161769718</v>
      </c>
      <c r="BL35" s="32">
        <f>[1]节奏总纲!BS35</f>
        <v>50.840747976078326</v>
      </c>
      <c r="BM35" s="32">
        <f>[1]节奏总纲!BT35</f>
        <v>49.375604977850649</v>
      </c>
      <c r="BN35" s="32">
        <f>[1]节奏总纲!BU35</f>
        <v>47.775197036238126</v>
      </c>
      <c r="BP35" s="20">
        <v>32</v>
      </c>
      <c r="BQ35" s="32">
        <f>[1]节奏总纲!BX35</f>
        <v>22.536630202092223</v>
      </c>
      <c r="BR35" s="32">
        <f>[1]节奏总纲!BY35</f>
        <v>23.063701323157773</v>
      </c>
      <c r="BS35" s="32">
        <f>[1]节奏总纲!BZ35</f>
        <v>23.615240622314541</v>
      </c>
      <c r="BT35" s="32">
        <f>[1]节奏总纲!CA35</f>
        <v>24.25413190852499</v>
      </c>
      <c r="BU35" s="32">
        <f>[1]节奏总纲!CB35</f>
        <v>24.96122010782668</v>
      </c>
    </row>
    <row r="36" spans="2:73" x14ac:dyDescent="0.15">
      <c r="F36" s="24">
        <f>[1]节奏总纲!F36</f>
        <v>34</v>
      </c>
      <c r="G36" s="24">
        <f>[1]节奏总纲!G36</f>
        <v>9.5560632861831518</v>
      </c>
      <c r="I36" s="24">
        <f>[1]节奏总纲!I36</f>
        <v>34</v>
      </c>
      <c r="J36" s="24">
        <f>[1]节奏总纲!J36</f>
        <v>54.110931329932889</v>
      </c>
      <c r="K36" s="24">
        <f>[1]节奏总纲!K36</f>
        <v>0.98</v>
      </c>
      <c r="N36" s="24">
        <f>[1]节奏总纲!N36</f>
        <v>43</v>
      </c>
      <c r="O36" s="24">
        <f>[1]节奏总纲!O36</f>
        <v>33</v>
      </c>
      <c r="P36" s="24">
        <f>[1]节奏总纲!P36</f>
        <v>8.8491553067593287</v>
      </c>
      <c r="Q36" s="24">
        <f>[1]节奏总纲!Q36</f>
        <v>7.7120388498407557</v>
      </c>
      <c r="R36" s="24">
        <f>[1]节奏总纲!R36</f>
        <v>6.3696219898053652</v>
      </c>
      <c r="S36" s="24">
        <f>[1]节奏总纲!S36</f>
        <v>4.736067920177593</v>
      </c>
      <c r="T36" s="24">
        <f>[1]节奏总纲!T36</f>
        <v>2.6627108318038819</v>
      </c>
      <c r="U36" s="23"/>
      <c r="V36" s="24">
        <f>[1]节奏总纲!V36</f>
        <v>33</v>
      </c>
      <c r="W36" s="24">
        <f>[1]节奏总纲!W36</f>
        <v>0.6595684667830497</v>
      </c>
      <c r="X36" s="24">
        <f>[1]节奏总纲!X36</f>
        <v>0.56007266248947118</v>
      </c>
      <c r="Y36" s="24">
        <f>[1]节奏总纲!Y36</f>
        <v>0.46329196081447321</v>
      </c>
      <c r="Z36" s="24">
        <f>[1]节奏总纲!Z36</f>
        <v>0.35054416737029559</v>
      </c>
      <c r="AA36" s="24">
        <f>[1]节奏总纲!AA36</f>
        <v>0.1976451929710219</v>
      </c>
      <c r="AC36" s="24">
        <f>[1]节奏总纲!AC36</f>
        <v>33</v>
      </c>
      <c r="AD36" s="24">
        <f>[1]节奏总纲!AD36</f>
        <v>50.870795385807064</v>
      </c>
      <c r="AE36" s="24">
        <f>[1]节奏总纲!AE36</f>
        <v>52.81759316022675</v>
      </c>
      <c r="AF36" s="24">
        <f>[1]节奏总纲!AF36</f>
        <v>55.604435245632025</v>
      </c>
      <c r="AG36" s="24">
        <f>[1]节奏总纲!AG36</f>
        <v>60.078368706270226</v>
      </c>
      <c r="AH36" s="24">
        <f>[1]节奏总纲!AH36</f>
        <v>68.518369035696878</v>
      </c>
      <c r="AL36" s="24">
        <f>[1]节奏总纲!AL36</f>
        <v>33</v>
      </c>
      <c r="AM36" s="24">
        <f>[1]节奏总纲!AM36</f>
        <v>46.082812923199413</v>
      </c>
      <c r="AN36" s="24">
        <f>[1]节奏总纲!AN36</f>
        <v>36.866250338559531</v>
      </c>
      <c r="AO36" s="24">
        <f>[1]节奏总纲!AO36</f>
        <v>27.649687753919647</v>
      </c>
      <c r="AP36" s="24">
        <f>[1]节奏总纲!AP36</f>
        <v>18.433125169279766</v>
      </c>
      <c r="AQ36" s="24">
        <f>[1]节奏总纲!AQ36</f>
        <v>9.2165625846398829</v>
      </c>
      <c r="AS36" s="24">
        <f>[1]节奏总纲!AS36</f>
        <v>33</v>
      </c>
      <c r="AT36" s="24">
        <f>[1]节奏总纲!AT36</f>
        <v>6.8620149671507704</v>
      </c>
      <c r="AU36" s="24">
        <f>[1]节奏总纲!AU36</f>
        <v>5.489611973720617</v>
      </c>
      <c r="AV36" s="24">
        <f>[1]节奏总纲!AV36</f>
        <v>4.1172089802904637</v>
      </c>
      <c r="AW36" s="24">
        <f>[1]节奏总纲!AW36</f>
        <v>2.7448059868603085</v>
      </c>
      <c r="AX36" s="24">
        <f>[1]节奏总纲!AX36</f>
        <v>1.3724029934301543</v>
      </c>
      <c r="AY36" s="20"/>
      <c r="AZ36" s="20">
        <v>33</v>
      </c>
      <c r="BA36" s="20">
        <f>[1]节奏总纲!BA36</f>
        <v>30.928573790308786</v>
      </c>
      <c r="BB36" s="20">
        <f>[1]节奏总纲!BB36</f>
        <v>32.295715187691279</v>
      </c>
      <c r="BC36" s="20">
        <f>[1]节奏总纲!BC36</f>
        <v>34.09469189131628</v>
      </c>
      <c r="BD36" s="20">
        <f>[1]节奏总纲!BD36</f>
        <v>36.73675803133704</v>
      </c>
      <c r="BE36" s="20">
        <f>[1]节奏总纲!BE36</f>
        <v>41.389172829914081</v>
      </c>
      <c r="BI36" s="20">
        <v>33</v>
      </c>
      <c r="BJ36" s="32">
        <f>[1]节奏总纲!BQ36</f>
        <v>55.562784736889313</v>
      </c>
      <c r="BK36" s="32">
        <f>[1]节奏总纲!BR36</f>
        <v>54.355378546520704</v>
      </c>
      <c r="BL36" s="32">
        <f>[1]节奏总纲!BS36</f>
        <v>53.035165520933894</v>
      </c>
      <c r="BM36" s="32">
        <f>[1]节奏总纲!BT36</f>
        <v>51.629711452863589</v>
      </c>
      <c r="BN36" s="32">
        <f>[1]节奏总纲!BU36</f>
        <v>50.042836137195067</v>
      </c>
      <c r="BP36" s="20">
        <v>33</v>
      </c>
      <c r="BQ36" s="32">
        <f>[1]节奏总纲!BX36</f>
        <v>23.008297311415273</v>
      </c>
      <c r="BR36" s="32">
        <f>[1]节奏总纲!BY36</f>
        <v>23.490868763053822</v>
      </c>
      <c r="BS36" s="32">
        <f>[1]节奏总纲!BZ36</f>
        <v>24.073520379044336</v>
      </c>
      <c r="BT36" s="32">
        <f>[1]节奏总纲!CA36</f>
        <v>24.709259009726921</v>
      </c>
      <c r="BU36" s="32">
        <f>[1]节奏总纲!CB36</f>
        <v>25.404062586103631</v>
      </c>
    </row>
    <row r="37" spans="2:73" x14ac:dyDescent="0.15">
      <c r="F37" s="24">
        <f>[1]节奏总纲!F37</f>
        <v>35</v>
      </c>
      <c r="G37" s="24">
        <f>[1]节奏总纲!G37</f>
        <v>10.313708498984759</v>
      </c>
      <c r="I37" s="24">
        <f>[1]节奏总纲!I37</f>
        <v>35</v>
      </c>
      <c r="J37" s="24">
        <f>[1]节奏总纲!J37</f>
        <v>63.5</v>
      </c>
      <c r="K37" s="24">
        <f>[1]节奏总纲!K37</f>
        <v>1</v>
      </c>
      <c r="N37" s="24">
        <f>[1]节奏总纲!N37</f>
        <v>44</v>
      </c>
      <c r="O37" s="24">
        <f>[1]节奏总纲!O37</f>
        <v>34</v>
      </c>
      <c r="P37" s="24">
        <f>[1]节奏总纲!P37</f>
        <v>9.5560632861831518</v>
      </c>
      <c r="Q37" s="24">
        <f>[1]节奏总纲!Q37</f>
        <v>8.3309759728944712</v>
      </c>
      <c r="R37" s="24">
        <f>[1]节奏总纲!R37</f>
        <v>6.8918328419952886</v>
      </c>
      <c r="S37" s="24">
        <f>[1]节奏总纲!S37</f>
        <v>5.1287391656944967</v>
      </c>
      <c r="T37" s="24">
        <f>[1]节奏总纲!T37</f>
        <v>2.8811530807842201</v>
      </c>
      <c r="U37" s="23"/>
      <c r="V37" s="24">
        <f>[1]节奏总纲!V37</f>
        <v>34</v>
      </c>
      <c r="W37" s="24">
        <f>[1]节奏总纲!W37</f>
        <v>0.70690797942382311</v>
      </c>
      <c r="X37" s="24">
        <f>[1]节奏总纲!X37</f>
        <v>0.61893712305371551</v>
      </c>
      <c r="Y37" s="24">
        <f>[1]节奏总纲!Y37</f>
        <v>0.52221085218992336</v>
      </c>
      <c r="Z37" s="24">
        <f>[1]节奏总纲!Z37</f>
        <v>0.39267124551690369</v>
      </c>
      <c r="AA37" s="24">
        <f>[1]节奏总纲!AA37</f>
        <v>0.21844224898033815</v>
      </c>
      <c r="AC37" s="24">
        <f>[1]节奏总纲!AC37</f>
        <v>34</v>
      </c>
      <c r="AD37" s="24">
        <f>[1]节奏总纲!AD37</f>
        <v>51.285688244217212</v>
      </c>
      <c r="AE37" s="24">
        <f>[1]节奏总纲!AE37</f>
        <v>53.226994578658328</v>
      </c>
      <c r="AF37" s="24">
        <f>[1]节奏总纲!AF37</f>
        <v>56.045896281048073</v>
      </c>
      <c r="AG37" s="24">
        <f>[1]节奏总纲!AG37</f>
        <v>60.491705764657482</v>
      </c>
      <c r="AH37" s="24">
        <f>[1]节奏总纲!AH37</f>
        <v>68.972756340855</v>
      </c>
      <c r="AL37" s="24">
        <f>[1]节奏总纲!AL37</f>
        <v>34</v>
      </c>
      <c r="AM37" s="24">
        <f>[1]节奏总纲!AM37</f>
        <v>54.110931329932889</v>
      </c>
      <c r="AN37" s="24">
        <f>[1]节奏总纲!AN37</f>
        <v>43.288745063946315</v>
      </c>
      <c r="AO37" s="24">
        <f>[1]节奏总纲!AO37</f>
        <v>32.466558797959735</v>
      </c>
      <c r="AP37" s="24">
        <f>[1]节奏总纲!AP37</f>
        <v>21.644372531973158</v>
      </c>
      <c r="AQ37" s="24">
        <f>[1]节奏总纲!AQ37</f>
        <v>10.822186265986579</v>
      </c>
      <c r="AS37" s="24">
        <f>[1]节奏总纲!AS37</f>
        <v>34</v>
      </c>
      <c r="AT37" s="24">
        <f>[1]节奏总纲!AT37</f>
        <v>8.0281184067334763</v>
      </c>
      <c r="AU37" s="24">
        <f>[1]节奏总纲!AU37</f>
        <v>6.4224947253867839</v>
      </c>
      <c r="AV37" s="24">
        <f>[1]节奏总纲!AV37</f>
        <v>4.8168710440400879</v>
      </c>
      <c r="AW37" s="24">
        <f>[1]节奏总纲!AW37</f>
        <v>3.2112473626933919</v>
      </c>
      <c r="AX37" s="24">
        <f>[1]节奏总纲!AX37</f>
        <v>1.605623681346696</v>
      </c>
      <c r="AY37" s="20"/>
      <c r="AZ37" s="20">
        <v>34</v>
      </c>
      <c r="BA37" s="20">
        <f>[1]节奏总纲!BA37</f>
        <v>31.109552696486158</v>
      </c>
      <c r="BB37" s="20">
        <f>[1]节奏总纲!BB37</f>
        <v>32.477877425165822</v>
      </c>
      <c r="BC37" s="20">
        <f>[1]节奏总纲!BC37</f>
        <v>34.272203285175834</v>
      </c>
      <c r="BD37" s="20">
        <f>[1]节奏总纲!BD37</f>
        <v>36.947184852926306</v>
      </c>
      <c r="BE37" s="20">
        <f>[1]节奏总纲!BE37</f>
        <v>41.590303905372799</v>
      </c>
      <c r="BI37" s="20">
        <v>34</v>
      </c>
      <c r="BJ37" s="32">
        <f>[1]节奏总纲!BQ37</f>
        <v>57.838035023028112</v>
      </c>
      <c r="BK37" s="32">
        <f>[1]节奏总纲!BR37</f>
        <v>56.663402979853082</v>
      </c>
      <c r="BL37" s="32">
        <f>[1]节奏总纲!BS37</f>
        <v>55.366968636624627</v>
      </c>
      <c r="BM37" s="32">
        <f>[1]节奏总纲!BT37</f>
        <v>53.918275980301416</v>
      </c>
      <c r="BN37" s="32">
        <f>[1]节奏总纲!BU37</f>
        <v>52.327997946582151</v>
      </c>
      <c r="BP37" s="20">
        <v>34</v>
      </c>
      <c r="BQ37" s="32">
        <f>[1]节奏总纲!BX37</f>
        <v>23.439624304552691</v>
      </c>
      <c r="BR37" s="32">
        <f>[1]节奏总纲!BY37</f>
        <v>23.962932129146886</v>
      </c>
      <c r="BS37" s="32">
        <f>[1]节奏总纲!BZ37</f>
        <v>24.525526780322963</v>
      </c>
      <c r="BT37" s="32">
        <f>[1]节奏总纲!CA37</f>
        <v>25.186582215718527</v>
      </c>
      <c r="BU37" s="32">
        <f>[1]节奏总纲!CB37</f>
        <v>25.887144728338249</v>
      </c>
    </row>
    <row r="38" spans="2:73" x14ac:dyDescent="0.15">
      <c r="F38" s="24">
        <f>[1]节奏总纲!F38</f>
        <v>36</v>
      </c>
      <c r="G38" s="24">
        <f>[1]节奏总纲!G38</f>
        <v>11.125732532083184</v>
      </c>
      <c r="I38" s="24">
        <f>[1]节奏总纲!I38</f>
        <v>36</v>
      </c>
      <c r="J38" s="24">
        <f>[1]节奏总纲!J38</f>
        <v>73.746861667008318</v>
      </c>
      <c r="K38" s="24">
        <f>[1]节奏总纲!K38</f>
        <v>1.01</v>
      </c>
      <c r="N38" s="24">
        <f>[1]节奏总纲!N38</f>
        <v>45</v>
      </c>
      <c r="O38" s="24">
        <f>[1]节奏总纲!O38</f>
        <v>35</v>
      </c>
      <c r="P38" s="24">
        <f>[1]节奏总纲!P38</f>
        <v>10.313708498984759</v>
      </c>
      <c r="Q38" s="24">
        <f>[1]节奏总纲!Q38</f>
        <v>9.0048988904635934</v>
      </c>
      <c r="R38" s="24">
        <f>[1]节奏总纲!R38</f>
        <v>7.4547485030661838</v>
      </c>
      <c r="S38" s="24">
        <f>[1]节奏总纲!S38</f>
        <v>5.5405242056546129</v>
      </c>
      <c r="T38" s="24">
        <f>[1]节奏总纲!T38</f>
        <v>3.1106144832938032</v>
      </c>
      <c r="U38" s="23"/>
      <c r="V38" s="24">
        <f>[1]节奏总纲!V38</f>
        <v>35</v>
      </c>
      <c r="W38" s="24">
        <f>[1]节奏总纲!W38</f>
        <v>0.75764521280160757</v>
      </c>
      <c r="X38" s="24">
        <f>[1]节奏总纲!X38</f>
        <v>0.67392291756912215</v>
      </c>
      <c r="Y38" s="24">
        <f>[1]节奏总纲!Y38</f>
        <v>0.56291566107089519</v>
      </c>
      <c r="Z38" s="24">
        <f>[1]节奏总纲!Z38</f>
        <v>0.41178503996011617</v>
      </c>
      <c r="AA38" s="24">
        <f>[1]节奏总纲!AA38</f>
        <v>0.22946140250958313</v>
      </c>
      <c r="AC38" s="24">
        <f>[1]节奏总纲!AC38</f>
        <v>35</v>
      </c>
      <c r="AD38" s="24">
        <f>[1]节奏总纲!AD38</f>
        <v>51.691928656135211</v>
      </c>
      <c r="AE38" s="24">
        <f>[1]节奏总纲!AE38</f>
        <v>53.623906555539456</v>
      </c>
      <c r="AF38" s="24">
        <f>[1]节奏总纲!AF38</f>
        <v>56.457855949816349</v>
      </c>
      <c r="AG38" s="24">
        <f>[1]节奏总纲!AG38</f>
        <v>60.905042823044738</v>
      </c>
      <c r="AH38" s="24">
        <f>[1]节奏总纲!AH38</f>
        <v>69.385288338144662</v>
      </c>
      <c r="AL38" s="24">
        <f>[1]节奏总纲!AL38</f>
        <v>35</v>
      </c>
      <c r="AM38" s="24">
        <f>[1]节奏总纲!AM38</f>
        <v>63.5</v>
      </c>
      <c r="AN38" s="24">
        <f>[1]节奏总纲!AN38</f>
        <v>50.800000000000004</v>
      </c>
      <c r="AO38" s="24">
        <f>[1]节奏总纲!AO38</f>
        <v>38.1</v>
      </c>
      <c r="AP38" s="24">
        <f>[1]节奏总纲!AP38</f>
        <v>25.400000000000002</v>
      </c>
      <c r="AQ38" s="24">
        <f>[1]节奏总纲!AQ38</f>
        <v>12.700000000000001</v>
      </c>
      <c r="AS38" s="24">
        <f>[1]节奏总纲!AS38</f>
        <v>35</v>
      </c>
      <c r="AT38" s="24">
        <f>[1]节奏总纲!AT38</f>
        <v>9.3890686700671111</v>
      </c>
      <c r="AU38" s="24">
        <f>[1]节奏总纲!AU38</f>
        <v>7.5112549360536889</v>
      </c>
      <c r="AV38" s="24">
        <f>[1]节奏总纲!AV38</f>
        <v>5.6334412020402667</v>
      </c>
      <c r="AW38" s="24">
        <f>[1]节奏总纲!AW38</f>
        <v>3.7556274680268444</v>
      </c>
      <c r="AX38" s="24">
        <f>[1]节奏总纲!AX38</f>
        <v>1.8778137340134222</v>
      </c>
      <c r="AY38" s="20"/>
      <c r="AZ38" s="20">
        <v>35</v>
      </c>
      <c r="BA38" s="20">
        <f>[1]节奏总纲!BA38</f>
        <v>31.280110398778046</v>
      </c>
      <c r="BB38" s="20">
        <f>[1]节奏总纲!BB38</f>
        <v>32.660039662640372</v>
      </c>
      <c r="BC38" s="20">
        <f>[1]节奏总纲!BC38</f>
        <v>34.449714679035388</v>
      </c>
      <c r="BD38" s="20">
        <f>[1]节奏总纲!BD38</f>
        <v>37.135950591746003</v>
      </c>
      <c r="BE38" s="20">
        <f>[1]节奏总纲!BE38</f>
        <v>41.791434980831518</v>
      </c>
      <c r="BI38" s="20">
        <v>35</v>
      </c>
      <c r="BJ38" s="32">
        <f>[1]节奏总纲!BQ38</f>
        <v>60.108849423225884</v>
      </c>
      <c r="BK38" s="32">
        <f>[1]节奏总纲!BR38</f>
        <v>58.959670032750353</v>
      </c>
      <c r="BL38" s="32">
        <f>[1]节奏总纲!BS38</f>
        <v>57.686819122040689</v>
      </c>
      <c r="BM38" s="32">
        <f>[1]节奏总纲!BT38</f>
        <v>56.279027610646125</v>
      </c>
      <c r="BN38" s="32">
        <f>[1]节奏总纲!BU38</f>
        <v>54.706384157580409</v>
      </c>
      <c r="BP38" s="20">
        <v>35</v>
      </c>
      <c r="BQ38" s="32">
        <f>[1]节奏总纲!BX38</f>
        <v>23.901909129472951</v>
      </c>
      <c r="BR38" s="32">
        <f>[1]节奏总纲!BY38</f>
        <v>24.40594174135834</v>
      </c>
      <c r="BS38" s="32">
        <f>[1]节奏总纲!BZ38</f>
        <v>25.010872039771339</v>
      </c>
      <c r="BT38" s="32">
        <f>[1]节奏总纲!CA38</f>
        <v>25.641910798382057</v>
      </c>
      <c r="BU38" s="32">
        <f>[1]节奏总纲!CB38</f>
        <v>26.336246235371831</v>
      </c>
    </row>
    <row r="39" spans="2:73" x14ac:dyDescent="0.15">
      <c r="F39" s="24">
        <f>[1]节奏总纲!F39</f>
        <v>37</v>
      </c>
      <c r="G39" s="24">
        <f>[1]节奏总纲!G39</f>
        <v>11.996038341699768</v>
      </c>
      <c r="I39" s="24">
        <f>[1]节奏总纲!I39</f>
        <v>37</v>
      </c>
      <c r="J39" s="24">
        <f>[1]节奏总纲!J39</f>
        <v>85.62747641525452</v>
      </c>
      <c r="K39" s="24">
        <f>[1]节奏总纲!K39</f>
        <v>1.02</v>
      </c>
      <c r="N39" s="24">
        <f>[1]节奏总纲!N39</f>
        <v>46</v>
      </c>
      <c r="O39" s="24">
        <f>[1]节奏总纲!O39</f>
        <v>36</v>
      </c>
      <c r="P39" s="24">
        <f>[1]节奏总纲!P39</f>
        <v>11.125732532083184</v>
      </c>
      <c r="Q39" s="24">
        <f>[1]节奏总纲!Q39</f>
        <v>9.7261153795471191</v>
      </c>
      <c r="R39" s="24">
        <f>[1]节奏总纲!R39</f>
        <v>8.0405669009365166</v>
      </c>
      <c r="S39" s="24">
        <f>[1]节奏总纲!S39</f>
        <v>5.9700680767158358</v>
      </c>
      <c r="T39" s="24">
        <f>[1]节奏总纲!T39</f>
        <v>3.3388323328781633</v>
      </c>
      <c r="U39" s="23"/>
      <c r="V39" s="24">
        <f>[1]节奏总纲!V39</f>
        <v>36</v>
      </c>
      <c r="W39" s="24">
        <f>[1]节奏总纲!W39</f>
        <v>0.81202403309842452</v>
      </c>
      <c r="X39" s="24">
        <f>[1]节奏总纲!X39</f>
        <v>0.72121648908352576</v>
      </c>
      <c r="Y39" s="24">
        <f>[1]节奏总纲!Y39</f>
        <v>0.58581839787033285</v>
      </c>
      <c r="Z39" s="24">
        <f>[1]节奏总纲!Z39</f>
        <v>0.42954387106122294</v>
      </c>
      <c r="AA39" s="24">
        <f>[1]节奏总纲!AA39</f>
        <v>0.22821784958436009</v>
      </c>
      <c r="AC39" s="24">
        <f>[1]节奏总纲!AC39</f>
        <v>36</v>
      </c>
      <c r="AD39" s="24">
        <f>[1]节奏总纲!AD39</f>
        <v>52.091594979242075</v>
      </c>
      <c r="AE39" s="24">
        <f>[1]节奏总纲!AE39</f>
        <v>54.020289560649204</v>
      </c>
      <c r="AF39" s="24">
        <f>[1]节奏总纲!AF39</f>
        <v>56.869815618584624</v>
      </c>
      <c r="AG39" s="24">
        <f>[1]节奏总纲!AG39</f>
        <v>61.294362422865476</v>
      </c>
      <c r="AH39" s="24">
        <f>[1]节奏总纲!AH39</f>
        <v>69.795150761037945</v>
      </c>
      <c r="AL39" s="24">
        <f>[1]节奏总纲!AL39</f>
        <v>36</v>
      </c>
      <c r="AM39" s="24">
        <f>[1]节奏总纲!AM39</f>
        <v>73.746861667008318</v>
      </c>
      <c r="AN39" s="24">
        <f>[1]节奏总纲!AN39</f>
        <v>58.997489333606659</v>
      </c>
      <c r="AO39" s="24">
        <f>[1]节奏总纲!AO39</f>
        <v>44.248117000204992</v>
      </c>
      <c r="AP39" s="24">
        <f>[1]节奏总纲!AP39</f>
        <v>29.498744666803329</v>
      </c>
      <c r="AQ39" s="24">
        <f>[1]节奏总纲!AQ39</f>
        <v>14.749372333401665</v>
      </c>
      <c r="AS39" s="24">
        <f>[1]节奏总纲!AS39</f>
        <v>36</v>
      </c>
      <c r="AT39" s="24">
        <f>[1]节奏总纲!AT39</f>
        <v>10.246861667008318</v>
      </c>
      <c r="AU39" s="24">
        <f>[1]节奏总纲!AU39</f>
        <v>8.1974893336066543</v>
      </c>
      <c r="AV39" s="24">
        <f>[1]节奏总纲!AV39</f>
        <v>6.1481170002049907</v>
      </c>
      <c r="AW39" s="24">
        <f>[1]节奏总纲!AW39</f>
        <v>4.0987446668033272</v>
      </c>
      <c r="AX39" s="24">
        <f>[1]节奏总纲!AX39</f>
        <v>2.0493723334016636</v>
      </c>
      <c r="AY39" s="20"/>
      <c r="AZ39" s="20">
        <v>36</v>
      </c>
      <c r="BA39" s="20">
        <f>[1]节奏总纲!BA39</f>
        <v>31.450668101069933</v>
      </c>
      <c r="BB39" s="20">
        <f>[1]节奏总纲!BB39</f>
        <v>32.842201900114915</v>
      </c>
      <c r="BC39" s="20">
        <f>[1]节奏总纲!BC39</f>
        <v>34.627226072894942</v>
      </c>
      <c r="BD39" s="20">
        <f>[1]节奏总纲!BD39</f>
        <v>37.317457773889828</v>
      </c>
      <c r="BE39" s="20">
        <f>[1]节奏总纲!BE39</f>
        <v>41.992566056290244</v>
      </c>
      <c r="BI39" s="20">
        <v>36</v>
      </c>
      <c r="BJ39" s="32">
        <f>[1]节奏总纲!BQ39</f>
        <v>62.233138599165841</v>
      </c>
      <c r="BK39" s="32">
        <f>[1]节奏总纲!BR39</f>
        <v>61.094363540297287</v>
      </c>
      <c r="BL39" s="32">
        <f>[1]节奏总纲!BS39</f>
        <v>59.843011412474425</v>
      </c>
      <c r="BM39" s="32">
        <f>[1]节奏总纲!BT39</f>
        <v>58.455174432146173</v>
      </c>
      <c r="BN39" s="32">
        <f>[1]节奏总纲!BU39</f>
        <v>56.931905949406854</v>
      </c>
      <c r="BP39" s="20">
        <v>36</v>
      </c>
      <c r="BQ39" s="32">
        <f>[1]节奏总纲!BX39</f>
        <v>24.338224722802163</v>
      </c>
      <c r="BR39" s="32">
        <f>[1]节奏总纲!BY39</f>
        <v>24.874135482075868</v>
      </c>
      <c r="BS39" s="32">
        <f>[1]节奏总纲!BZ39</f>
        <v>25.442715250695745</v>
      </c>
      <c r="BT39" s="32">
        <f>[1]节奏总纲!CA39</f>
        <v>26.0995934757591</v>
      </c>
      <c r="BU39" s="32">
        <f>[1]节奏总纲!CB39</f>
        <v>26.766316250847538</v>
      </c>
    </row>
    <row r="40" spans="2:73" x14ac:dyDescent="0.15">
      <c r="F40" s="24">
        <f>[1]节奏总纲!F40</f>
        <v>38</v>
      </c>
      <c r="G40" s="24">
        <f>[1]节奏总纲!G40</f>
        <v>12.928809012737984</v>
      </c>
      <c r="I40" s="24">
        <f>[1]节奏总纲!I40</f>
        <v>38</v>
      </c>
      <c r="J40" s="24">
        <f>[1]节奏总纲!J40</f>
        <v>99.401036064365428</v>
      </c>
      <c r="K40" s="24">
        <f>[1]节奏总纲!K40</f>
        <v>1.03</v>
      </c>
      <c r="N40" s="24">
        <f>[1]节奏总纲!N40</f>
        <v>47</v>
      </c>
      <c r="O40" s="24">
        <f>[1]节奏总纲!O40</f>
        <v>37</v>
      </c>
      <c r="P40" s="24">
        <f>[1]节奏总纲!P40</f>
        <v>11.996038341699768</v>
      </c>
      <c r="Q40" s="24">
        <f>[1]节奏总纲!Q40</f>
        <v>10.483337906811427</v>
      </c>
      <c r="R40" s="24">
        <f>[1]节奏总纲!R40</f>
        <v>8.6671377018780831</v>
      </c>
      <c r="S40" s="24">
        <f>[1]节奏总纲!S40</f>
        <v>6.4166809089752066</v>
      </c>
      <c r="T40" s="24">
        <f>[1]节奏总纲!T40</f>
        <v>3.6000111063441</v>
      </c>
      <c r="U40" s="23"/>
      <c r="V40" s="24">
        <f>[1]节奏总纲!V40</f>
        <v>37</v>
      </c>
      <c r="W40" s="24">
        <f>[1]节奏总纲!W40</f>
        <v>0.87030580961658366</v>
      </c>
      <c r="X40" s="24">
        <f>[1]节奏总纲!X40</f>
        <v>0.75722252726430739</v>
      </c>
      <c r="Y40" s="24">
        <f>[1]节奏总纲!Y40</f>
        <v>0.62657080094156647</v>
      </c>
      <c r="Z40" s="24">
        <f>[1]节奏总纲!Z40</f>
        <v>0.44661283225937076</v>
      </c>
      <c r="AA40" s="24">
        <f>[1]节奏总纲!AA40</f>
        <v>0.26117877346593676</v>
      </c>
      <c r="AC40" s="24">
        <f>[1]节奏总纲!AC40</f>
        <v>37</v>
      </c>
      <c r="AD40" s="24">
        <f>[1]节奏总纲!AD40</f>
        <v>52.470630686057078</v>
      </c>
      <c r="AE40" s="24">
        <f>[1]节奏总纲!AE40</f>
        <v>54.407116521581436</v>
      </c>
      <c r="AF40" s="24">
        <f>[1]节奏总纲!AF40</f>
        <v>57.263329041432932</v>
      </c>
      <c r="AG40" s="24">
        <f>[1]节奏总纲!AG40</f>
        <v>61.676518787205197</v>
      </c>
      <c r="AH40" s="24">
        <f>[1]节奏总纲!AH40</f>
        <v>70.190427169053478</v>
      </c>
      <c r="AL40" s="24">
        <f>[1]节奏总纲!AL40</f>
        <v>37</v>
      </c>
      <c r="AM40" s="24">
        <f>[1]节奏总纲!AM40</f>
        <v>85.62747641525452</v>
      </c>
      <c r="AN40" s="24">
        <f>[1]节奏总纲!AN40</f>
        <v>68.501981132203625</v>
      </c>
      <c r="AO40" s="24">
        <f>[1]节奏总纲!AO40</f>
        <v>51.376485849152708</v>
      </c>
      <c r="AP40" s="24">
        <f>[1]节奏总纲!AP40</f>
        <v>34.250990566101812</v>
      </c>
      <c r="AQ40" s="24">
        <f>[1]节奏总纲!AQ40</f>
        <v>17.125495283050906</v>
      </c>
      <c r="AS40" s="24">
        <f>[1]节奏总纲!AS40</f>
        <v>37</v>
      </c>
      <c r="AT40" s="24">
        <f>[1]节奏总纲!AT40</f>
        <v>11.880614748246202</v>
      </c>
      <c r="AU40" s="24">
        <f>[1]节奏总纲!AU40</f>
        <v>9.5044917985969661</v>
      </c>
      <c r="AV40" s="24">
        <f>[1]节奏总纲!AV40</f>
        <v>7.1283688489477157</v>
      </c>
      <c r="AW40" s="24">
        <f>[1]节奏总纲!AW40</f>
        <v>4.7522458992984831</v>
      </c>
      <c r="AX40" s="24">
        <f>[1]节奏总纲!AX40</f>
        <v>2.3761229496492415</v>
      </c>
      <c r="AY40" s="20"/>
      <c r="AZ40" s="20">
        <v>37</v>
      </c>
      <c r="BA40" s="20">
        <f>[1]节奏总纲!BA40</f>
        <v>31.621225803361821</v>
      </c>
      <c r="BB40" s="20">
        <f>[1]节奏总纲!BB40</f>
        <v>33.02082518821102</v>
      </c>
      <c r="BC40" s="20">
        <f>[1]节奏总纲!BC40</f>
        <v>34.804737466754489</v>
      </c>
      <c r="BD40" s="20">
        <f>[1]节奏总纲!BD40</f>
        <v>37.498964956033646</v>
      </c>
      <c r="BE40" s="20">
        <f>[1]节奏总纲!BE40</f>
        <v>42.167148737437564</v>
      </c>
      <c r="BI40" s="20">
        <v>37</v>
      </c>
      <c r="BJ40" s="32">
        <f>[1]节奏总纲!BQ40</f>
        <v>64.359497111737156</v>
      </c>
      <c r="BK40" s="32">
        <f>[1]节奏总纲!BR40</f>
        <v>63.209317326948991</v>
      </c>
      <c r="BL40" s="32">
        <f>[1]节奏总纲!BS40</f>
        <v>61.962579408406434</v>
      </c>
      <c r="BM40" s="32">
        <f>[1]节奏总纲!BT40</f>
        <v>60.595449466932955</v>
      </c>
      <c r="BN40" s="32">
        <f>[1]节奏总纲!BU40</f>
        <v>59.095772172790291</v>
      </c>
      <c r="BP40" s="20">
        <v>37</v>
      </c>
      <c r="BQ40" s="32">
        <f>[1]节奏总纲!BX40</f>
        <v>24.790207436719726</v>
      </c>
      <c r="BR40" s="32">
        <f>[1]节奏总纲!BY40</f>
        <v>25.311453581089211</v>
      </c>
      <c r="BS40" s="32">
        <f>[1]节奏总纲!BZ40</f>
        <v>25.904599594946017</v>
      </c>
      <c r="BT40" s="32">
        <f>[1]节奏总纲!CA40</f>
        <v>26.520408035249631</v>
      </c>
      <c r="BU40" s="32">
        <f>[1]节奏总纲!CB40</f>
        <v>27.220389775920598</v>
      </c>
    </row>
    <row r="41" spans="2:73" x14ac:dyDescent="0.15">
      <c r="F41" s="24">
        <f>[1]节奏总纲!F41</f>
        <v>39</v>
      </c>
      <c r="G41" s="24">
        <f>[1]节奏总纲!G41</f>
        <v>13.928527864588917</v>
      </c>
      <c r="I41" s="24">
        <f>[1]节奏总纲!I41</f>
        <v>39</v>
      </c>
      <c r="J41" s="24">
        <f>[1]节奏总纲!J41</f>
        <v>115.36769098598003</v>
      </c>
      <c r="K41" s="24">
        <f>[1]节奏总纲!K41</f>
        <v>1.04</v>
      </c>
      <c r="N41" s="24">
        <f>[1]节奏总纲!N41</f>
        <v>48</v>
      </c>
      <c r="O41" s="24">
        <f>[1]节奏总纲!O41</f>
        <v>38</v>
      </c>
      <c r="P41" s="24">
        <f>[1]节奏总纲!P41</f>
        <v>12.928809012737984</v>
      </c>
      <c r="Q41" s="24">
        <f>[1]节奏总纲!Q41</f>
        <v>11.292021791725356</v>
      </c>
      <c r="R41" s="24">
        <f>[1]节奏总纲!R41</f>
        <v>9.3190855363815395</v>
      </c>
      <c r="S41" s="24">
        <f>[1]节奏总纲!S41</f>
        <v>6.8962267273944402</v>
      </c>
      <c r="T41" s="24">
        <f>[1]节奏总纲!T41</f>
        <v>3.8708854184137524</v>
      </c>
      <c r="U41" s="23"/>
      <c r="V41" s="24">
        <f>[1]节奏总纲!V41</f>
        <v>38</v>
      </c>
      <c r="W41" s="24">
        <f>[1]节奏总纲!W41</f>
        <v>0.93277067103821665</v>
      </c>
      <c r="X41" s="24">
        <f>[1]节奏总纲!X41</f>
        <v>0.80868388491392906</v>
      </c>
      <c r="Y41" s="24">
        <f>[1]节奏总纲!Y41</f>
        <v>0.65194783450345639</v>
      </c>
      <c r="Z41" s="24">
        <f>[1]节奏总纲!Z41</f>
        <v>0.4795458184192336</v>
      </c>
      <c r="AA41" s="24">
        <f>[1]节奏总纲!AA41</f>
        <v>0.2708743120696524</v>
      </c>
      <c r="AC41" s="24">
        <f>[1]节奏总纲!AC41</f>
        <v>38</v>
      </c>
      <c r="AD41" s="24">
        <f>[1]节奏总纲!AD41</f>
        <v>52.849666392872081</v>
      </c>
      <c r="AE41" s="24">
        <f>[1]节奏总纲!AE41</f>
        <v>54.793943482513676</v>
      </c>
      <c r="AF41" s="24">
        <f>[1]节奏总纲!AF41</f>
        <v>57.64832002380362</v>
      </c>
      <c r="AG41" s="24">
        <f>[1]节奏总纲!AG41</f>
        <v>62.054222259937362</v>
      </c>
      <c r="AH41" s="24">
        <f>[1]节奏总纲!AH41</f>
        <v>70.571129226337533</v>
      </c>
      <c r="AL41" s="24">
        <f>[1]节奏总纲!AL41</f>
        <v>38</v>
      </c>
      <c r="AM41" s="24">
        <f>[1]节奏总纲!AM41</f>
        <v>99.401036064365428</v>
      </c>
      <c r="AN41" s="24">
        <f>[1]节奏总纲!AN41</f>
        <v>79.520828851492354</v>
      </c>
      <c r="AO41" s="24">
        <f>[1]节奏总纲!AO41</f>
        <v>59.640621638619251</v>
      </c>
      <c r="AP41" s="24">
        <f>[1]节奏总纲!AP41</f>
        <v>39.760414425746177</v>
      </c>
      <c r="AQ41" s="24">
        <f>[1]节奏总纲!AQ41</f>
        <v>19.880207212873088</v>
      </c>
      <c r="AS41" s="24">
        <f>[1]节奏总纲!AS41</f>
        <v>38</v>
      </c>
      <c r="AT41" s="24">
        <f>[1]节奏总纲!AT41</f>
        <v>13.773559649110908</v>
      </c>
      <c r="AU41" s="24">
        <f>[1]节奏总纲!AU41</f>
        <v>11.018847719288729</v>
      </c>
      <c r="AV41" s="24">
        <f>[1]节奏总纲!AV41</f>
        <v>8.2641357894665433</v>
      </c>
      <c r="AW41" s="24">
        <f>[1]节奏总纲!AW41</f>
        <v>5.5094238596443645</v>
      </c>
      <c r="AX41" s="24">
        <f>[1]节奏总纲!AX41</f>
        <v>2.7547119298221823</v>
      </c>
      <c r="AY41" s="20"/>
      <c r="AZ41" s="20">
        <v>38</v>
      </c>
      <c r="BA41" s="20">
        <f>[1]节奏总纲!BA41</f>
        <v>31.791783505653711</v>
      </c>
      <c r="BB41" s="20">
        <f>[1]节奏总纲!BB41</f>
        <v>33.176527924103851</v>
      </c>
      <c r="BC41" s="20">
        <f>[1]节奏总纲!BC41</f>
        <v>34.982248860614042</v>
      </c>
      <c r="BD41" s="20">
        <f>[1]节奏总纲!BD41</f>
        <v>37.680472138177471</v>
      </c>
      <c r="BE41" s="20">
        <f>[1]节奏总纲!BE41</f>
        <v>42.340712512072891</v>
      </c>
      <c r="BI41" s="20">
        <v>38</v>
      </c>
      <c r="BJ41" s="32">
        <f>[1]节奏总纲!BQ41</f>
        <v>66.487641207576758</v>
      </c>
      <c r="BK41" s="32">
        <f>[1]节奏总纲!BR41</f>
        <v>65.328126673719694</v>
      </c>
      <c r="BL41" s="32">
        <f>[1]节奏总纲!BS41</f>
        <v>64.062055525287363</v>
      </c>
      <c r="BM41" s="32">
        <f>[1]节奏总纲!BT41</f>
        <v>62.675920173751969</v>
      </c>
      <c r="BN41" s="32">
        <f>[1]节奏总纲!BU41</f>
        <v>61.182714958690575</v>
      </c>
      <c r="BP41" s="20">
        <v>38</v>
      </c>
      <c r="BQ41" s="32">
        <f>[1]节奏总纲!BX41</f>
        <v>25.233890826430223</v>
      </c>
      <c r="BR41" s="32">
        <f>[1]节奏总纲!BY41</f>
        <v>25.758552007948477</v>
      </c>
      <c r="BS41" s="32">
        <f>[1]节奏总纲!BZ41</f>
        <v>26.328232260907932</v>
      </c>
      <c r="BT41" s="32">
        <f>[1]节奏总纲!CA41</f>
        <v>26.972253230365787</v>
      </c>
      <c r="BU41" s="32">
        <f>[1]节奏总纲!CB41</f>
        <v>27.655588848776532</v>
      </c>
    </row>
    <row r="42" spans="2:73" x14ac:dyDescent="0.15">
      <c r="F42" s="24">
        <f>[1]节奏总纲!F42</f>
        <v>40</v>
      </c>
      <c r="G42" s="24">
        <f>[1]节奏总纲!G42</f>
        <v>15</v>
      </c>
      <c r="I42" s="24">
        <f>[1]节奏总纲!I42</f>
        <v>40</v>
      </c>
      <c r="J42" s="24">
        <f>[1]节奏总纲!J42</f>
        <v>133.875</v>
      </c>
      <c r="K42" s="24">
        <f>[1]节奏总纲!K42</f>
        <v>1.05</v>
      </c>
      <c r="N42" s="24">
        <f>[1]节奏总纲!N42</f>
        <v>49</v>
      </c>
      <c r="O42" s="24">
        <f>[1]节奏总纲!O42</f>
        <v>39</v>
      </c>
      <c r="P42" s="24">
        <f>[1]节奏总纲!P42</f>
        <v>13.928527864588917</v>
      </c>
      <c r="Q42" s="24">
        <f>[1]节奏总纲!Q42</f>
        <v>12.147069150707994</v>
      </c>
      <c r="R42" s="24">
        <f>[1]节奏总纲!R42</f>
        <v>10.016004387425889</v>
      </c>
      <c r="S42" s="24">
        <f>[1]节奏总纲!S42</f>
        <v>7.4197267934665154</v>
      </c>
      <c r="T42" s="24">
        <f>[1]节奏总纲!T42</f>
        <v>4.1702012426579218</v>
      </c>
      <c r="U42" s="23"/>
      <c r="V42" s="24">
        <f>[1]节奏总纲!V42</f>
        <v>39</v>
      </c>
      <c r="W42" s="24">
        <f>[1]节奏总纲!W42</f>
        <v>0.99971885185093257</v>
      </c>
      <c r="X42" s="24">
        <f>[1]节奏总纲!X42</f>
        <v>0.85504735898263817</v>
      </c>
      <c r="Y42" s="24">
        <f>[1]节奏总纲!Y42</f>
        <v>0.69691885104434981</v>
      </c>
      <c r="Z42" s="24">
        <f>[1]节奏总纲!Z42</f>
        <v>0.52350006607207522</v>
      </c>
      <c r="AA42" s="24">
        <f>[1]节奏总纲!AA42</f>
        <v>0.29931582424416936</v>
      </c>
      <c r="AC42" s="24">
        <f>[1]节奏总纲!AC42</f>
        <v>39</v>
      </c>
      <c r="AD42" s="24">
        <f>[1]节奏总纲!AD42</f>
        <v>53.213386604241784</v>
      </c>
      <c r="AE42" s="24">
        <f>[1]节奏总纲!AE42</f>
        <v>55.170390866416149</v>
      </c>
      <c r="AF42" s="24">
        <f>[1]节奏总纲!AF42</f>
        <v>58.030740707238266</v>
      </c>
      <c r="AG42" s="24">
        <f>[1]节奏总纲!AG42</f>
        <v>62.407376554018477</v>
      </c>
      <c r="AH42" s="24">
        <f>[1]节奏总纲!AH42</f>
        <v>70.951831283621587</v>
      </c>
      <c r="AL42" s="24">
        <f>[1]节奏总纲!AL42</f>
        <v>39</v>
      </c>
      <c r="AM42" s="24">
        <f>[1]节奏总纲!AM42</f>
        <v>115.36769098598003</v>
      </c>
      <c r="AN42" s="24">
        <f>[1]节奏总纲!AN42</f>
        <v>92.294152788784032</v>
      </c>
      <c r="AO42" s="24">
        <f>[1]节奏总纲!AO42</f>
        <v>69.220614591588017</v>
      </c>
      <c r="AP42" s="24">
        <f>[1]节奏总纲!AP42</f>
        <v>46.147076394392016</v>
      </c>
      <c r="AQ42" s="24">
        <f>[1]节奏总纲!AQ42</f>
        <v>23.073538197196008</v>
      </c>
      <c r="AS42" s="24">
        <f>[1]节奏总纲!AS42</f>
        <v>39</v>
      </c>
      <c r="AT42" s="24">
        <f>[1]节奏总纲!AT42</f>
        <v>15.966654921614605</v>
      </c>
      <c r="AU42" s="24">
        <f>[1]节奏总纲!AU42</f>
        <v>12.773323937291678</v>
      </c>
      <c r="AV42" s="24">
        <f>[1]节奏总纲!AV42</f>
        <v>9.579992952968766</v>
      </c>
      <c r="AW42" s="24">
        <f>[1]节奏总纲!AW42</f>
        <v>6.3866619686458392</v>
      </c>
      <c r="AX42" s="24">
        <f>[1]节奏总纲!AX42</f>
        <v>3.1933309843229196</v>
      </c>
      <c r="AY42" s="20"/>
      <c r="AZ42" s="20">
        <v>39</v>
      </c>
      <c r="BA42" s="20">
        <f>[1]节奏总纲!BA42</f>
        <v>31.962341207945599</v>
      </c>
      <c r="BB42" s="20">
        <f>[1]节奏总纲!BB42</f>
        <v>33.332230659996682</v>
      </c>
      <c r="BC42" s="20">
        <f>[1]节奏总纲!BC42</f>
        <v>35.146386283795508</v>
      </c>
      <c r="BD42" s="20">
        <f>[1]节奏总纲!BD42</f>
        <v>37.861979320321296</v>
      </c>
      <c r="BE42" s="20">
        <f>[1]节奏总纲!BE42</f>
        <v>42.51427628670821</v>
      </c>
      <c r="BI42" s="20">
        <v>39</v>
      </c>
      <c r="BJ42" s="32">
        <f>[1]节奏总纲!BQ42</f>
        <v>68.617325920549462</v>
      </c>
      <c r="BK42" s="32">
        <f>[1]节奏总纲!BR42</f>
        <v>67.444013295864096</v>
      </c>
      <c r="BL42" s="32">
        <f>[1]节奏总纲!BS42</f>
        <v>66.152018816255293</v>
      </c>
      <c r="BM42" s="32">
        <f>[1]节奏总纲!BT42</f>
        <v>64.756218484668864</v>
      </c>
      <c r="BN42" s="32">
        <f>[1]节奏总纲!BU42</f>
        <v>63.227467500622204</v>
      </c>
      <c r="BP42" s="20">
        <v>39</v>
      </c>
      <c r="BQ42" s="32">
        <f>[1]节奏总纲!BX42</f>
        <v>25.676063828071452</v>
      </c>
      <c r="BR42" s="32">
        <f>[1]节奏总纲!BY42</f>
        <v>26.19708330565534</v>
      </c>
      <c r="BS42" s="32">
        <f>[1]节奏总纲!BZ42</f>
        <v>26.766006813599326</v>
      </c>
      <c r="BT42" s="32">
        <f>[1]节奏总纲!CA42</f>
        <v>27.396883495694844</v>
      </c>
      <c r="BU42" s="32">
        <f>[1]节奏总纲!CB42</f>
        <v>28.116418470149469</v>
      </c>
    </row>
    <row r="43" spans="2:73" x14ac:dyDescent="0.15">
      <c r="F43" s="24">
        <f>[1]节奏总纲!F43</f>
        <v>41</v>
      </c>
      <c r="G43" s="24">
        <f>[1]节奏总纲!G43</f>
        <v>16.148375400580683</v>
      </c>
      <c r="I43" s="24">
        <f>[1]节奏总纲!I43</f>
        <v>41</v>
      </c>
      <c r="J43" s="24">
        <f>[1]节奏总纲!J43</f>
        <v>155.32539280599755</v>
      </c>
      <c r="K43" s="24">
        <f>[1]节奏总纲!K43</f>
        <v>1.06</v>
      </c>
      <c r="N43" s="24">
        <f>[1]节奏总纲!N43</f>
        <v>50</v>
      </c>
      <c r="O43" s="24">
        <f>[1]节奏总纲!O43</f>
        <v>40</v>
      </c>
      <c r="P43" s="24">
        <f>[1]节奏总纲!P43</f>
        <v>15</v>
      </c>
      <c r="Q43" s="24">
        <f>[1]节奏总纲!Q43</f>
        <v>13.059000000000001</v>
      </c>
      <c r="R43" s="24">
        <f>[1]节奏总纲!R43</f>
        <v>10.782</v>
      </c>
      <c r="S43" s="24">
        <f>[1]节奏总纲!S43</f>
        <v>8.0009999999999994</v>
      </c>
      <c r="T43" s="24">
        <f>[1]节奏总纲!T43</f>
        <v>4.5</v>
      </c>
      <c r="U43" s="23"/>
      <c r="V43" s="24">
        <f>[1]节奏总纲!V43</f>
        <v>40</v>
      </c>
      <c r="W43" s="24">
        <f>[1]节奏总纲!W43</f>
        <v>1.0714721354110832</v>
      </c>
      <c r="X43" s="24">
        <f>[1]节奏总纲!X43</f>
        <v>0.9119308492920073</v>
      </c>
      <c r="Y43" s="24">
        <f>[1]节奏总纲!Y43</f>
        <v>0.76599561257411075</v>
      </c>
      <c r="Z43" s="24">
        <f>[1]节奏总纲!Z43</f>
        <v>0.58127320653348402</v>
      </c>
      <c r="AA43" s="24">
        <f>[1]节奏总纲!AA43</f>
        <v>0.3297987573420782</v>
      </c>
      <c r="AC43" s="24">
        <f>[1]节奏总纲!AC43</f>
        <v>40</v>
      </c>
      <c r="AD43" s="24">
        <f>[1]节奏总纲!AD43</f>
        <v>53.567039423670657</v>
      </c>
      <c r="AE43" s="24">
        <f>[1]节奏总纲!AE43</f>
        <v>55.535006783542492</v>
      </c>
      <c r="AF43" s="24">
        <f>[1]节奏总纲!AF43</f>
        <v>58.38602553461638</v>
      </c>
      <c r="AG43" s="24">
        <f>[1]节奏总纲!AG43</f>
        <v>62.760530848099599</v>
      </c>
      <c r="AH43" s="24">
        <f>[1]节奏总纲!AH43</f>
        <v>71.315281959371688</v>
      </c>
      <c r="AL43" s="24">
        <f>[1]节奏总纲!AL43</f>
        <v>40</v>
      </c>
      <c r="AM43" s="24">
        <f>[1]节奏总纲!AM43</f>
        <v>133.875</v>
      </c>
      <c r="AN43" s="24">
        <f>[1]节奏总纲!AN43</f>
        <v>107.10000000000001</v>
      </c>
      <c r="AO43" s="24">
        <f>[1]节奏总纲!AO43</f>
        <v>80.325000000000003</v>
      </c>
      <c r="AP43" s="24">
        <f>[1]节奏总纲!AP43</f>
        <v>53.550000000000004</v>
      </c>
      <c r="AQ43" s="24">
        <f>[1]节奏总纲!AQ43</f>
        <v>26.775000000000002</v>
      </c>
      <c r="AS43" s="24">
        <f>[1]节奏总纲!AS43</f>
        <v>40</v>
      </c>
      <c r="AT43" s="24">
        <f>[1]节奏总纲!AT43</f>
        <v>18.507309014019967</v>
      </c>
      <c r="AU43" s="24">
        <f>[1]节奏总纲!AU43</f>
        <v>14.805847211215976</v>
      </c>
      <c r="AV43" s="24">
        <f>[1]节奏总纲!AV43</f>
        <v>11.104385408411986</v>
      </c>
      <c r="AW43" s="24">
        <f>[1]节奏总纲!AW43</f>
        <v>7.4029236056079881</v>
      </c>
      <c r="AX43" s="24">
        <f>[1]节奏总纲!AX43</f>
        <v>3.7014618028039941</v>
      </c>
      <c r="AY43" s="20"/>
      <c r="AZ43" s="20">
        <v>40</v>
      </c>
      <c r="BA43" s="20">
        <f>[1]节奏总纲!BA43</f>
        <v>32.113552950216736</v>
      </c>
      <c r="BB43" s="20">
        <f>[1]节奏总纲!BB43</f>
        <v>33.487933395889513</v>
      </c>
      <c r="BC43" s="20">
        <f>[1]节奏总纲!BC43</f>
        <v>35.309037710234961</v>
      </c>
      <c r="BD43" s="20">
        <f>[1]节奏总纲!BD43</f>
        <v>38.037513426486328</v>
      </c>
      <c r="BE43" s="20">
        <f>[1]节奏总纲!BE43</f>
        <v>42.687840061343536</v>
      </c>
      <c r="BI43" s="20">
        <v>40</v>
      </c>
      <c r="BJ43" s="32">
        <f>[1]节奏总纲!BQ43</f>
        <v>70.748339784677938</v>
      </c>
      <c r="BK43" s="32">
        <f>[1]节奏总纲!BR43</f>
        <v>69.615263433680354</v>
      </c>
      <c r="BL43" s="32">
        <f>[1]节奏总纲!BS43</f>
        <v>68.367495331711169</v>
      </c>
      <c r="BM43" s="32">
        <f>[1]节奏总纲!BT43</f>
        <v>66.978083215330415</v>
      </c>
      <c r="BN43" s="32">
        <f>[1]节奏总纲!BU43</f>
        <v>65.42062527862636</v>
      </c>
      <c r="BP43" s="20">
        <v>40</v>
      </c>
      <c r="BQ43" s="32">
        <f>[1]节奏总纲!BX43</f>
        <v>26.127796402772656</v>
      </c>
      <c r="BR43" s="32">
        <f>[1]节奏总纲!BY43</f>
        <v>26.626710211681832</v>
      </c>
      <c r="BS43" s="32">
        <f>[1]节奏总纲!BZ43</f>
        <v>27.210732057225155</v>
      </c>
      <c r="BT43" s="32">
        <f>[1]节奏总纲!CA43</f>
        <v>27.863833570485102</v>
      </c>
      <c r="BU43" s="32">
        <f>[1]节奏总纲!CB43</f>
        <v>28.568390277483555</v>
      </c>
    </row>
    <row r="44" spans="2:73" x14ac:dyDescent="0.15">
      <c r="F44" s="24">
        <f>[1]节奏总纲!F44</f>
        <v>42</v>
      </c>
      <c r="G44" s="24">
        <f>[1]节奏总纲!G44</f>
        <v>17.379173679952558</v>
      </c>
      <c r="I44" s="24">
        <f>[1]节奏总纲!I44</f>
        <v>42</v>
      </c>
      <c r="J44" s="24">
        <f>[1]节奏总纲!J44</f>
        <v>180.18480345945557</v>
      </c>
      <c r="K44" s="24">
        <f>[1]节奏总纲!K44</f>
        <v>1.07</v>
      </c>
      <c r="N44" s="24">
        <f>[1]节奏总纲!N44</f>
        <v>51</v>
      </c>
      <c r="O44" s="24">
        <f>[1]节奏总纲!O44</f>
        <v>41</v>
      </c>
      <c r="P44" s="24">
        <f>[1]节奏总纲!P44</f>
        <v>16.148375400580683</v>
      </c>
      <c r="Q44" s="24">
        <f>[1]节奏总纲!Q44</f>
        <v>14.065234973905774</v>
      </c>
      <c r="R44" s="24">
        <f>[1]节奏总纲!R44</f>
        <v>11.621985775797917</v>
      </c>
      <c r="S44" s="24">
        <f>[1]节奏总纲!S44</f>
        <v>8.6296918140703163</v>
      </c>
      <c r="T44" s="24">
        <f>[1]节奏总纲!T44</f>
        <v>4.8606609955747855</v>
      </c>
      <c r="U44" s="23"/>
      <c r="V44" s="24">
        <f>[1]节奏总纲!V44</f>
        <v>41</v>
      </c>
      <c r="W44" s="24">
        <f>[1]节奏总纲!W44</f>
        <v>1.148375400580683</v>
      </c>
      <c r="X44" s="24">
        <f>[1]节奏总纲!X44</f>
        <v>1.006234973905773</v>
      </c>
      <c r="Y44" s="24">
        <f>[1]节奏总纲!Y44</f>
        <v>0.839985775797917</v>
      </c>
      <c r="Z44" s="24">
        <f>[1]节奏总纲!Z44</f>
        <v>0.62869181407031682</v>
      </c>
      <c r="AA44" s="24">
        <f>[1]节奏总纲!AA44</f>
        <v>0.36066099557478548</v>
      </c>
      <c r="AC44" s="24">
        <f>[1]节奏总纲!AC44</f>
        <v>41</v>
      </c>
      <c r="AD44" s="24">
        <f>[1]节奏总纲!AD44</f>
        <v>53.920692243099523</v>
      </c>
      <c r="AE44" s="24">
        <f>[1]节奏总纲!AE44</f>
        <v>55.899622700668843</v>
      </c>
      <c r="AF44" s="24">
        <f>[1]节奏总纲!AF44</f>
        <v>58.741310361994486</v>
      </c>
      <c r="AG44" s="24">
        <f>[1]节奏总纲!AG44</f>
        <v>63.10587219844583</v>
      </c>
      <c r="AH44" s="24">
        <f>[1]节奏总纲!AH44</f>
        <v>71.676233707038421</v>
      </c>
      <c r="AL44" s="24">
        <f>[1]节奏总纲!AL44</f>
        <v>41</v>
      </c>
      <c r="AM44" s="24">
        <f>[1]节奏总纲!AM44</f>
        <v>155.32539280599755</v>
      </c>
      <c r="AN44" s="24">
        <f>[1]节奏总纲!AN44</f>
        <v>124.26031424479805</v>
      </c>
      <c r="AO44" s="24">
        <f>[1]节奏总纲!AO44</f>
        <v>93.195235683598526</v>
      </c>
      <c r="AP44" s="24">
        <f>[1]节奏总纲!AP44</f>
        <v>62.130157122399027</v>
      </c>
      <c r="AQ44" s="24">
        <f>[1]节奏总纲!AQ44</f>
        <v>31.065078561199513</v>
      </c>
      <c r="AS44" s="24">
        <f>[1]节奏总纲!AS44</f>
        <v>41</v>
      </c>
      <c r="AT44" s="24">
        <f>[1]节奏总纲!AT44</f>
        <v>21.450392805997552</v>
      </c>
      <c r="AU44" s="24">
        <f>[1]节奏总纲!AU44</f>
        <v>17.160314244798045</v>
      </c>
      <c r="AV44" s="24">
        <f>[1]节奏总纲!AV44</f>
        <v>12.870235683598523</v>
      </c>
      <c r="AW44" s="24">
        <f>[1]节奏总纲!AW44</f>
        <v>8.5801571223990223</v>
      </c>
      <c r="AX44" s="24">
        <f>[1]节奏总纲!AX44</f>
        <v>4.2900785611995111</v>
      </c>
      <c r="AY44" s="20"/>
      <c r="AZ44" s="20">
        <v>41</v>
      </c>
      <c r="BA44" s="20">
        <f>[1]节奏总纲!BA44</f>
        <v>32.259282740196369</v>
      </c>
      <c r="BB44" s="20">
        <f>[1]节奏总纲!BB44</f>
        <v>33.643636131782344</v>
      </c>
      <c r="BC44" s="20">
        <f>[1]节奏总纲!BC44</f>
        <v>35.471689136674414</v>
      </c>
      <c r="BD44" s="20">
        <f>[1]节奏总纲!BD44</f>
        <v>38.194089742081125</v>
      </c>
      <c r="BE44" s="20">
        <f>[1]节奏总纲!BE44</f>
        <v>42.861403835978855</v>
      </c>
      <c r="BI44" s="20">
        <v>41</v>
      </c>
      <c r="BJ44" s="32">
        <f>[1]节奏总纲!BQ44</f>
        <v>72.880500265925534</v>
      </c>
      <c r="BK44" s="32">
        <f>[1]节奏总纲!BR44</f>
        <v>71.728439272842749</v>
      </c>
      <c r="BL44" s="32">
        <f>[1]节奏总纲!BS44</f>
        <v>70.476853761910021</v>
      </c>
      <c r="BM44" s="32">
        <f>[1]节奏总纲!BT44</f>
        <v>69.13548950479607</v>
      </c>
      <c r="BN44" s="32">
        <f>[1]节奏总纲!BU44</f>
        <v>67.614538970700607</v>
      </c>
      <c r="BP44" s="20">
        <v>41</v>
      </c>
      <c r="BQ44" s="32">
        <f>[1]节奏总纲!BX44</f>
        <v>26.560612527540403</v>
      </c>
      <c r="BR44" s="32">
        <f>[1]节奏总纲!BY44</f>
        <v>27.085909727083454</v>
      </c>
      <c r="BS44" s="32">
        <f>[1]节奏总纲!BZ44</f>
        <v>27.660585260415356</v>
      </c>
      <c r="BT44" s="32">
        <f>[1]节奏总纲!CA44</f>
        <v>28.314646355865854</v>
      </c>
      <c r="BU44" s="32">
        <f>[1]节奏总纲!CB44</f>
        <v>29.053470241147885</v>
      </c>
    </row>
    <row r="45" spans="2:73" x14ac:dyDescent="0.15">
      <c r="F45" s="24">
        <f>[1]节奏总纲!F45</f>
        <v>43</v>
      </c>
      <c r="G45" s="24">
        <f>[1]节奏总纲!G45</f>
        <v>18.698310613518661</v>
      </c>
      <c r="I45" s="24">
        <f>[1]节奏总纲!I45</f>
        <v>43</v>
      </c>
      <c r="J45" s="24">
        <f>[1]节奏总纲!J45</f>
        <v>208.99265815439742</v>
      </c>
      <c r="K45" s="24">
        <f>[1]节奏总纲!K45</f>
        <v>1.08</v>
      </c>
      <c r="N45" s="24">
        <f>[1]节奏总纲!N45</f>
        <v>52</v>
      </c>
      <c r="O45" s="24">
        <f>[1]节奏总纲!O45</f>
        <v>42</v>
      </c>
      <c r="P45" s="24">
        <f>[1]节奏总纲!P45</f>
        <v>17.379173679952558</v>
      </c>
      <c r="Q45" s="24">
        <f>[1]节奏总纲!Q45</f>
        <v>15.182446126806555</v>
      </c>
      <c r="R45" s="24">
        <f>[1]节奏总纲!R45</f>
        <v>12.547763396925747</v>
      </c>
      <c r="S45" s="24">
        <f>[1]节奏总纲!S45</f>
        <v>9.3221887619265527</v>
      </c>
      <c r="T45" s="24">
        <f>[1]节奏总纲!T45</f>
        <v>5.2485104513456724</v>
      </c>
      <c r="U45" s="23"/>
      <c r="V45" s="24">
        <f>[1]节奏总纲!V45</f>
        <v>42</v>
      </c>
      <c r="W45" s="24">
        <f>[1]节奏总纲!W45</f>
        <v>1.230798279371875</v>
      </c>
      <c r="X45" s="24">
        <f>[1]节奏总纲!X45</f>
        <v>1.1172111529007811</v>
      </c>
      <c r="Y45" s="24">
        <f>[1]节奏总纲!Y45</f>
        <v>0.92577762112783013</v>
      </c>
      <c r="Z45" s="24">
        <f>[1]节奏总纲!Z45</f>
        <v>0.69249694785623639</v>
      </c>
      <c r="AA45" s="24">
        <f>[1]节奏总纲!AA45</f>
        <v>0.38784945577088692</v>
      </c>
      <c r="AC45" s="24">
        <f>[1]节奏总纲!AC45</f>
        <v>42</v>
      </c>
      <c r="AD45" s="24">
        <f>[1]节奏总纲!AD45</f>
        <v>54.255972994404218</v>
      </c>
      <c r="AE45" s="24">
        <f>[1]节奏总纲!AE45</f>
        <v>56.238779717153008</v>
      </c>
      <c r="AF45" s="24">
        <f>[1]节奏总纲!AF45</f>
        <v>59.09095196730258</v>
      </c>
      <c r="AG45" s="24">
        <f>[1]节奏总纲!AG45</f>
        <v>63.434756173851497</v>
      </c>
      <c r="AH45" s="24">
        <f>[1]节奏总纲!AH45</f>
        <v>72.034562459436771</v>
      </c>
      <c r="AL45" s="24">
        <f>[1]节奏总纲!AL45</f>
        <v>42</v>
      </c>
      <c r="AM45" s="24">
        <f>[1]节奏总纲!AM45</f>
        <v>180.18480345945557</v>
      </c>
      <c r="AN45" s="24">
        <f>[1]节奏总纲!AN45</f>
        <v>144.14784276756447</v>
      </c>
      <c r="AO45" s="24">
        <f>[1]节奏总纲!AO45</f>
        <v>108.11088207567333</v>
      </c>
      <c r="AP45" s="24">
        <f>[1]节奏总纲!AP45</f>
        <v>72.073921383782235</v>
      </c>
      <c r="AQ45" s="24">
        <f>[1]节奏总纲!AQ45</f>
        <v>36.036960691891117</v>
      </c>
      <c r="AS45" s="24">
        <f>[1]节奏总纲!AS45</f>
        <v>42</v>
      </c>
      <c r="AT45" s="24">
        <f>[1]节奏总纲!AT45</f>
        <v>24.859410653458013</v>
      </c>
      <c r="AU45" s="24">
        <f>[1]节奏总纲!AU45</f>
        <v>19.887528522766416</v>
      </c>
      <c r="AV45" s="24">
        <f>[1]节奏总纲!AV45</f>
        <v>14.915646392074805</v>
      </c>
      <c r="AW45" s="24">
        <f>[1]节奏总纲!AW45</f>
        <v>9.9437642613832082</v>
      </c>
      <c r="AX45" s="24">
        <f>[1]节奏总纲!AX45</f>
        <v>4.9718821306916041</v>
      </c>
      <c r="AY45" s="20"/>
      <c r="AZ45" s="20">
        <v>42</v>
      </c>
      <c r="BA45" s="20">
        <f>[1]节奏总纲!BA45</f>
        <v>32.405012530176009</v>
      </c>
      <c r="BB45" s="20">
        <f>[1]节奏总纲!BB45</f>
        <v>33.799338867675175</v>
      </c>
      <c r="BC45" s="20">
        <f>[1]节奏总纲!BC45</f>
        <v>35.634340563113874</v>
      </c>
      <c r="BD45" s="20">
        <f>[1]节奏总纲!BD45</f>
        <v>38.35066605767593</v>
      </c>
      <c r="BE45" s="20">
        <f>[1]节奏总纲!BE45</f>
        <v>43.030177309109042</v>
      </c>
      <c r="BI45" s="20">
        <v>42</v>
      </c>
      <c r="BJ45" s="32">
        <f>[1]节奏总纲!BQ45</f>
        <v>75.012735728019962</v>
      </c>
      <c r="BK45" s="32">
        <f>[1]节奏总纲!BR45</f>
        <v>73.895779769437553</v>
      </c>
      <c r="BL45" s="32">
        <f>[1]节奏总纲!BS45</f>
        <v>72.65984060067882</v>
      </c>
      <c r="BM45" s="32">
        <f>[1]节奏总纲!BT45</f>
        <v>71.293724037797247</v>
      </c>
      <c r="BN45" s="32">
        <f>[1]节奏总纲!BU45</f>
        <v>69.810299559768239</v>
      </c>
      <c r="BP45" s="20">
        <v>42</v>
      </c>
      <c r="BQ45" s="32">
        <f>[1]节奏总纲!BX45</f>
        <v>27.020882333389096</v>
      </c>
      <c r="BR45" s="32">
        <f>[1]节奏总纲!BY45</f>
        <v>27.534650375663031</v>
      </c>
      <c r="BS45" s="32">
        <f>[1]节奏总纲!BZ45</f>
        <v>28.133393592464987</v>
      </c>
      <c r="BT45" s="32">
        <f>[1]节奏总纲!CA45</f>
        <v>28.789161632421735</v>
      </c>
      <c r="BU45" s="32">
        <f>[1]节奏总纲!CB45</f>
        <v>29.507063914299049</v>
      </c>
    </row>
    <row r="46" spans="2:73" x14ac:dyDescent="0.15">
      <c r="F46" s="24">
        <f>[1]节奏总纲!F46</f>
        <v>44</v>
      </c>
      <c r="G46" s="24">
        <f>[1]节奏总纲!G46</f>
        <v>20.112126572366307</v>
      </c>
      <c r="I46" s="24">
        <f>[1]节奏总纲!I46</f>
        <v>44</v>
      </c>
      <c r="J46" s="24">
        <f>[1]节奏总纲!J46</f>
        <v>242.37342918215046</v>
      </c>
      <c r="K46" s="24">
        <f>[1]节奏总纲!K46</f>
        <v>1.0900000000000001</v>
      </c>
      <c r="N46" s="24">
        <f>[1]节奏总纲!N46</f>
        <v>53</v>
      </c>
      <c r="O46" s="24">
        <f>[1]节奏总纲!O46</f>
        <v>43</v>
      </c>
      <c r="P46" s="24">
        <f>[1]节奏总纲!P46</f>
        <v>18.698310613518661</v>
      </c>
      <c r="Q46" s="24">
        <f>[1]节奏总纲!Q46</f>
        <v>16.338583814092605</v>
      </c>
      <c r="R46" s="24">
        <f>[1]节奏总纲!R46</f>
        <v>13.509529418267233</v>
      </c>
      <c r="S46" s="24">
        <f>[1]节奏总纲!S46</f>
        <v>10.020424657784652</v>
      </c>
      <c r="T46" s="24">
        <f>[1]节奏总纲!T46</f>
        <v>5.6394104810372276</v>
      </c>
      <c r="U46" s="23"/>
      <c r="V46" s="24">
        <f>[1]节奏总纲!V46</f>
        <v>43</v>
      </c>
      <c r="W46" s="24">
        <f>[1]节奏总纲!W46</f>
        <v>1.319136933566103</v>
      </c>
      <c r="X46" s="24">
        <f>[1]节奏总纲!X46</f>
        <v>1.1561376872860496</v>
      </c>
      <c r="Y46" s="24">
        <f>[1]节奏总纲!Y46</f>
        <v>0.96176602134148581</v>
      </c>
      <c r="Z46" s="24">
        <f>[1]节奏总纲!Z46</f>
        <v>0.6982358958580992</v>
      </c>
      <c r="AA46" s="24">
        <f>[1]节奏总纲!AA46</f>
        <v>0.39090002969155524</v>
      </c>
      <c r="AC46" s="24">
        <f>[1]节奏总纲!AC46</f>
        <v>43</v>
      </c>
      <c r="AD46" s="24">
        <f>[1]节奏总纲!AD46</f>
        <v>54.585942742481357</v>
      </c>
      <c r="AE46" s="24">
        <f>[1]节奏总纲!AE46</f>
        <v>56.568265567054013</v>
      </c>
      <c r="AF46" s="24">
        <f>[1]节奏总纲!AF46</f>
        <v>59.425480572843689</v>
      </c>
      <c r="AG46" s="24">
        <f>[1]节奏总纲!AG46</f>
        <v>63.763640149257171</v>
      </c>
      <c r="AH46" s="24">
        <f>[1]节奏总纲!AH46</f>
        <v>72.370053318329937</v>
      </c>
      <c r="AL46" s="24">
        <f>[1]节奏总纲!AL46</f>
        <v>43</v>
      </c>
      <c r="AM46" s="24">
        <f>[1]节奏总纲!AM46</f>
        <v>208.99265815439742</v>
      </c>
      <c r="AN46" s="24">
        <f>[1]节奏总纲!AN46</f>
        <v>167.19412652351795</v>
      </c>
      <c r="AO46" s="24">
        <f>[1]节奏总纲!AO46</f>
        <v>125.39559489263844</v>
      </c>
      <c r="AP46" s="24">
        <f>[1]节奏总纲!AP46</f>
        <v>83.597063261758976</v>
      </c>
      <c r="AQ46" s="24">
        <f>[1]节奏总纲!AQ46</f>
        <v>41.798531630879488</v>
      </c>
      <c r="AS46" s="24">
        <f>[1]节奏总纲!AS46</f>
        <v>43</v>
      </c>
      <c r="AT46" s="24">
        <f>[1]节奏总纲!AT46</f>
        <v>28.807854694941852</v>
      </c>
      <c r="AU46" s="24">
        <f>[1]节奏总纲!AU46</f>
        <v>23.046283755953482</v>
      </c>
      <c r="AV46" s="24">
        <f>[1]节奏总纲!AV46</f>
        <v>17.284712816965111</v>
      </c>
      <c r="AW46" s="24">
        <f>[1]节奏总纲!AW46</f>
        <v>11.523141877976741</v>
      </c>
      <c r="AX46" s="24">
        <f>[1]节奏总纲!AX46</f>
        <v>5.7615709389883705</v>
      </c>
      <c r="AY46" s="20"/>
      <c r="AZ46" s="20">
        <v>43</v>
      </c>
      <c r="BA46" s="20">
        <f>[1]节奏总纲!BA46</f>
        <v>32.550742320155642</v>
      </c>
      <c r="BB46" s="20">
        <f>[1]节奏总纲!BB46</f>
        <v>33.955041603568006</v>
      </c>
      <c r="BC46" s="20">
        <f>[1]节奏总纲!BC46</f>
        <v>35.796991989553327</v>
      </c>
      <c r="BD46" s="20">
        <f>[1]节奏总纲!BD46</f>
        <v>38.507242373270728</v>
      </c>
      <c r="BE46" s="20">
        <f>[1]节奏总纲!BE46</f>
        <v>43.179964142847631</v>
      </c>
      <c r="BI46" s="20">
        <v>43</v>
      </c>
      <c r="BJ46" s="32">
        <f>[1]节奏总纲!BQ46</f>
        <v>77.137764615612369</v>
      </c>
      <c r="BK46" s="32">
        <f>[1]节奏总纲!BR46</f>
        <v>76.018081402346411</v>
      </c>
      <c r="BL46" s="32">
        <f>[1]节奏总纲!BS46</f>
        <v>74.771148405180824</v>
      </c>
      <c r="BM46" s="32">
        <f>[1]节奏总纲!BT46</f>
        <v>73.446658299619131</v>
      </c>
      <c r="BN46" s="32">
        <f>[1]节奏总纲!BU46</f>
        <v>71.964465094771541</v>
      </c>
      <c r="BP46" s="20">
        <v>43</v>
      </c>
      <c r="BQ46" s="32">
        <f>[1]节奏总纲!BX46</f>
        <v>27.444759493295177</v>
      </c>
      <c r="BR46" s="32">
        <f>[1]节奏总纲!BY46</f>
        <v>27.999026312380973</v>
      </c>
      <c r="BS46" s="32">
        <f>[1]节奏总纲!BZ46</f>
        <v>28.572743465906495</v>
      </c>
      <c r="BT46" s="32">
        <f>[1]节奏总纲!CA46</f>
        <v>29.228371965502063</v>
      </c>
      <c r="BU46" s="32">
        <f>[1]节奏总纲!CB46</f>
        <v>29.964225263024609</v>
      </c>
    </row>
    <row r="47" spans="2:73" x14ac:dyDescent="0.15">
      <c r="F47" s="24">
        <f>[1]节奏总纲!F47</f>
        <v>45</v>
      </c>
      <c r="G47" s="24">
        <f>[1]节奏总纲!G47</f>
        <v>21.627416997969519</v>
      </c>
      <c r="I47" s="24">
        <f>[1]节奏总纲!I47</f>
        <v>45</v>
      </c>
      <c r="J47" s="24">
        <f>[1]节奏总纲!J47</f>
        <v>281.05</v>
      </c>
      <c r="K47" s="24">
        <f>[1]节奏总纲!K47</f>
        <v>1.1000000000000001</v>
      </c>
      <c r="N47" s="24">
        <f>[1]节奏总纲!N47</f>
        <v>54</v>
      </c>
      <c r="O47" s="24">
        <f>[1]节奏总纲!O47</f>
        <v>44</v>
      </c>
      <c r="P47" s="24">
        <f>[1]节奏总纲!P47</f>
        <v>20.112126572366307</v>
      </c>
      <c r="Q47" s="24">
        <f>[1]节奏总纲!Q47</f>
        <v>17.573976198933678</v>
      </c>
      <c r="R47" s="24">
        <f>[1]节奏总纲!R47</f>
        <v>14.520955385248474</v>
      </c>
      <c r="S47" s="24">
        <f>[1]节奏总纲!S47</f>
        <v>10.768032566844921</v>
      </c>
      <c r="T47" s="24">
        <f>[1]节奏总纲!T47</f>
        <v>6.0537500982822579</v>
      </c>
      <c r="U47" s="23"/>
      <c r="V47" s="24">
        <f>[1]节奏总纲!V47</f>
        <v>44</v>
      </c>
      <c r="W47" s="24">
        <f>[1]节奏总纲!W47</f>
        <v>1.4138159588476462</v>
      </c>
      <c r="X47" s="24">
        <f>[1]节奏总纲!X47</f>
        <v>1.2353923848410737</v>
      </c>
      <c r="Y47" s="24">
        <f>[1]节奏总纲!Y47</f>
        <v>1.0114259669812409</v>
      </c>
      <c r="Z47" s="24">
        <f>[1]节奏总纲!Z47</f>
        <v>0.74760790906026919</v>
      </c>
      <c r="AA47" s="24">
        <f>[1]节奏总纲!AA47</f>
        <v>0.41433961724503021</v>
      </c>
      <c r="AC47" s="24">
        <f>[1]节奏总纲!AC47</f>
        <v>44</v>
      </c>
      <c r="AD47" s="24">
        <f>[1]节奏总纲!AD47</f>
        <v>54.915912490558505</v>
      </c>
      <c r="AE47" s="24">
        <f>[1]节奏总纲!AE47</f>
        <v>56.897751416955018</v>
      </c>
      <c r="AF47" s="24">
        <f>[1]节奏总纲!AF47</f>
        <v>59.760009178384806</v>
      </c>
      <c r="AG47" s="24">
        <f>[1]节奏总纲!AG47</f>
        <v>64.08760696397195</v>
      </c>
      <c r="AH47" s="24">
        <f>[1]节奏总纲!AH47</f>
        <v>72.705544177223089</v>
      </c>
      <c r="AL47" s="24">
        <f>[1]节奏总纲!AL47</f>
        <v>44</v>
      </c>
      <c r="AM47" s="24">
        <f>[1]节奏总纲!AM47</f>
        <v>242.37342918215046</v>
      </c>
      <c r="AN47" s="24">
        <f>[1]节奏总纲!AN47</f>
        <v>193.89874334572039</v>
      </c>
      <c r="AO47" s="24">
        <f>[1]节奏总纲!AO47</f>
        <v>145.42405750929026</v>
      </c>
      <c r="AP47" s="24">
        <f>[1]节奏总纲!AP47</f>
        <v>96.949371672860195</v>
      </c>
      <c r="AQ47" s="24">
        <f>[1]节奏总纲!AQ47</f>
        <v>48.474685836430098</v>
      </c>
      <c r="AS47" s="24">
        <f>[1]节奏总纲!AS47</f>
        <v>44</v>
      </c>
      <c r="AT47" s="24">
        <f>[1]节奏总纲!AT47</f>
        <v>33.380771027753042</v>
      </c>
      <c r="AU47" s="24">
        <f>[1]节奏总纲!AU47</f>
        <v>26.704616822202439</v>
      </c>
      <c r="AV47" s="24">
        <f>[1]节奏总纲!AV47</f>
        <v>20.028462616651822</v>
      </c>
      <c r="AW47" s="24">
        <f>[1]节奏总纲!AW47</f>
        <v>13.35230841110122</v>
      </c>
      <c r="AX47" s="24">
        <f>[1]节奏总纲!AX47</f>
        <v>6.6761542055506098</v>
      </c>
      <c r="AY47" s="20"/>
      <c r="AZ47" s="20">
        <v>44</v>
      </c>
      <c r="BA47" s="20">
        <f>[1]节奏总纲!BA47</f>
        <v>32.696472110135275</v>
      </c>
      <c r="BB47" s="20">
        <f>[1]节奏总纲!BB47</f>
        <v>34.09469189131628</v>
      </c>
      <c r="BC47" s="20">
        <f>[1]节奏总纲!BC47</f>
        <v>35.95964341599278</v>
      </c>
      <c r="BD47" s="20">
        <f>[1]节奏总纲!BD47</f>
        <v>38.663818688865533</v>
      </c>
      <c r="BE47" s="20">
        <f>[1]节奏总纲!BE47</f>
        <v>43.329750976586219</v>
      </c>
      <c r="BI47" s="20">
        <v>44</v>
      </c>
      <c r="BJ47" s="32">
        <f>[1]节奏总纲!BQ47</f>
        <v>79.263479982320931</v>
      </c>
      <c r="BK47" s="32">
        <f>[1]节奏总纲!BR47</f>
        <v>78.132225077256265</v>
      </c>
      <c r="BL47" s="32">
        <f>[1]节奏总纲!BS47</f>
        <v>76.889385936298638</v>
      </c>
      <c r="BM47" s="32">
        <f>[1]节奏总纲!BT47</f>
        <v>75.547388626818275</v>
      </c>
      <c r="BN47" s="32">
        <f>[1]节奏总纲!BU47</f>
        <v>74.085064391446963</v>
      </c>
      <c r="BP47" s="20">
        <v>44</v>
      </c>
      <c r="BQ47" s="32">
        <f>[1]节奏总纲!BX47</f>
        <v>27.899059784657766</v>
      </c>
      <c r="BR47" s="32">
        <f>[1]节奏总纲!BY47</f>
        <v>28.42242948848067</v>
      </c>
      <c r="BS47" s="32">
        <f>[1]节奏总纲!BZ47</f>
        <v>29.029679451959648</v>
      </c>
      <c r="BT47" s="32">
        <f>[1]节奏总纲!CA47</f>
        <v>29.665539289707144</v>
      </c>
      <c r="BU47" s="32">
        <f>[1]节奏总纲!CB47</f>
        <v>30.383161594939057</v>
      </c>
    </row>
    <row r="48" spans="2:73" x14ac:dyDescent="0.15">
      <c r="F48" s="24">
        <f>[1]节奏总纲!F48</f>
        <v>46</v>
      </c>
      <c r="G48" s="24">
        <f>[1]节奏总纲!G48</f>
        <v>23.251465064166357</v>
      </c>
      <c r="I48" s="24">
        <f>[1]节奏总纲!I48</f>
        <v>46</v>
      </c>
      <c r="J48" s="24">
        <f>[1]节奏总纲!J48</f>
        <v>325.85912455595718</v>
      </c>
      <c r="K48" s="24">
        <f>[1]节奏总纲!K48</f>
        <v>1.1100000000000001</v>
      </c>
      <c r="N48" s="24">
        <f>[1]节奏总纲!N48</f>
        <v>55</v>
      </c>
      <c r="O48" s="24">
        <f>[1]节奏总纲!O48</f>
        <v>45</v>
      </c>
      <c r="P48" s="24">
        <f>[1]节奏总纲!P48</f>
        <v>21.627416997969519</v>
      </c>
      <c r="Q48" s="24">
        <f>[1]节奏总纲!Q48</f>
        <v>18.900199714525563</v>
      </c>
      <c r="R48" s="24">
        <f>[1]节奏总纲!R48</f>
        <v>15.604181364035009</v>
      </c>
      <c r="S48" s="24">
        <f>[1]节奏总纲!S48</f>
        <v>11.572830835613489</v>
      </c>
      <c r="T48" s="24">
        <f>[1]节奏总纲!T48</f>
        <v>6.49903880788984</v>
      </c>
      <c r="U48" s="23"/>
      <c r="V48" s="24">
        <f>[1]节奏总纲!V48</f>
        <v>45</v>
      </c>
      <c r="W48" s="24">
        <f>[1]节奏总纲!W48</f>
        <v>1.5152904256032116</v>
      </c>
      <c r="X48" s="24">
        <f>[1]节奏总纲!X48</f>
        <v>1.3262235155918844</v>
      </c>
      <c r="Y48" s="24">
        <f>[1]节奏总纲!Y48</f>
        <v>1.083225978786535</v>
      </c>
      <c r="Z48" s="24">
        <f>[1]节奏总纲!Z48</f>
        <v>0.80479826876856819</v>
      </c>
      <c r="AA48" s="24">
        <f>[1]节奏总纲!AA48</f>
        <v>0.44528870960758216</v>
      </c>
      <c r="AC48" s="24">
        <f>[1]节奏总纲!AC48</f>
        <v>45</v>
      </c>
      <c r="AD48" s="24">
        <f>[1]节奏总纲!AD48</f>
        <v>55.229416240679981</v>
      </c>
      <c r="AE48" s="24">
        <f>[1]节奏总纲!AE48</f>
        <v>57.218966664386244</v>
      </c>
      <c r="AF48" s="24">
        <f>[1]节奏总纲!AF48</f>
        <v>60.086674688654931</v>
      </c>
      <c r="AG48" s="24">
        <f>[1]节奏总纲!AG48</f>
        <v>64.399012521055653</v>
      </c>
      <c r="AH48" s="24">
        <f>[1]节奏总纲!AH48</f>
        <v>73.037155126421851</v>
      </c>
      <c r="AL48" s="24">
        <f>[1]节奏总纲!AL48</f>
        <v>45</v>
      </c>
      <c r="AM48" s="24">
        <f>[1]节奏总纲!AM48</f>
        <v>281.05</v>
      </c>
      <c r="AN48" s="24">
        <f>[1]节奏总纲!AN48</f>
        <v>224.84000000000003</v>
      </c>
      <c r="AO48" s="24">
        <f>[1]节奏总纲!AO48</f>
        <v>168.63</v>
      </c>
      <c r="AP48" s="24">
        <f>[1]节奏总纲!AP48</f>
        <v>112.42000000000002</v>
      </c>
      <c r="AQ48" s="24">
        <f>[1]节奏总纲!AQ48</f>
        <v>56.210000000000008</v>
      </c>
      <c r="AS48" s="24">
        <f>[1]节奏总纲!AS48</f>
        <v>45</v>
      </c>
      <c r="AT48" s="24">
        <f>[1]节奏总纲!AT48</f>
        <v>38.676570817849552</v>
      </c>
      <c r="AU48" s="24">
        <f>[1]节奏总纲!AU48</f>
        <v>30.941256654279641</v>
      </c>
      <c r="AV48" s="24">
        <f>[1]节奏总纲!AV48</f>
        <v>23.205942490709731</v>
      </c>
      <c r="AW48" s="24">
        <f>[1]节奏总纲!AW48</f>
        <v>15.470628327139821</v>
      </c>
      <c r="AX48" s="24">
        <f>[1]节奏总纲!AX48</f>
        <v>7.7353141635699103</v>
      </c>
      <c r="AY48" s="20"/>
      <c r="AZ48" s="20">
        <v>45</v>
      </c>
      <c r="BA48" s="20">
        <f>[1]节奏总纲!BA48</f>
        <v>32.842201900114915</v>
      </c>
      <c r="BB48" s="20">
        <f>[1]节奏总纲!BB48</f>
        <v>34.227825436710944</v>
      </c>
      <c r="BC48" s="20">
        <f>[1]节奏总纲!BC48</f>
        <v>36.105477566569242</v>
      </c>
      <c r="BD48" s="20">
        <f>[1]节奏总纲!BD48</f>
        <v>38.82039500446033</v>
      </c>
      <c r="BE48" s="20">
        <f>[1]节奏总纲!BE48</f>
        <v>43.479537810324807</v>
      </c>
      <c r="BI48" s="20">
        <v>45</v>
      </c>
      <c r="BJ48" s="32">
        <f>[1]节奏总纲!BQ48</f>
        <v>81.389787349771211</v>
      </c>
      <c r="BK48" s="32">
        <f>[1]节奏总纲!BR48</f>
        <v>80.245839937472738</v>
      </c>
      <c r="BL48" s="32">
        <f>[1]节奏总纲!BS48</f>
        <v>78.990840028799411</v>
      </c>
      <c r="BM48" s="32">
        <f>[1]节奏总纲!BT48</f>
        <v>77.645290038760592</v>
      </c>
      <c r="BN48" s="32">
        <f>[1]节奏总纲!BU48</f>
        <v>76.140895902703022</v>
      </c>
      <c r="BP48" s="20">
        <v>45</v>
      </c>
      <c r="BQ48" s="32">
        <f>[1]节奏总纲!BX48</f>
        <v>28.329224478524736</v>
      </c>
      <c r="BR48" s="32">
        <f>[1]节奏总纲!BY48</f>
        <v>28.87680933825774</v>
      </c>
      <c r="BS48" s="32">
        <f>[1]节奏总纲!BZ48</f>
        <v>29.451960522840583</v>
      </c>
      <c r="BT48" s="32">
        <f>[1]节奏总纲!CA48</f>
        <v>30.116236887917406</v>
      </c>
      <c r="BU48" s="32">
        <f>[1]节奏总纲!CB48</f>
        <v>30.827767428124027</v>
      </c>
    </row>
    <row r="49" spans="6:73" x14ac:dyDescent="0.15">
      <c r="F49" s="24">
        <f>[1]节奏总纲!F49</f>
        <v>47</v>
      </c>
      <c r="G49" s="24">
        <f>[1]节奏总纲!G49</f>
        <v>24.992076683399535</v>
      </c>
      <c r="I49" s="24">
        <f>[1]节奏总纲!I49</f>
        <v>47</v>
      </c>
      <c r="J49" s="24">
        <f>[1]节奏总纲!J49</f>
        <v>377.76930817680426</v>
      </c>
      <c r="K49" s="24">
        <f>[1]节奏总纲!K49</f>
        <v>1.1200000000000001</v>
      </c>
      <c r="N49" s="24">
        <f>[1]节奏总纲!N49</f>
        <v>56</v>
      </c>
      <c r="O49" s="24">
        <f>[1]节奏总纲!O49</f>
        <v>46</v>
      </c>
      <c r="P49" s="24">
        <f>[1]节奏总纲!P49</f>
        <v>23.251465064166357</v>
      </c>
      <c r="Q49" s="24">
        <f>[1]节奏总纲!Q49</f>
        <v>20.310154733549314</v>
      </c>
      <c r="R49" s="24">
        <f>[1]节奏总纲!R49</f>
        <v>16.757330871744692</v>
      </c>
      <c r="S49" s="24">
        <f>[1]节奏总纲!S49</f>
        <v>12.425582930290501</v>
      </c>
      <c r="T49" s="24">
        <f>[1]节奏总纲!T49</f>
        <v>6.9545132006921566</v>
      </c>
      <c r="U49" s="23"/>
      <c r="V49" s="24">
        <f>[1]节奏总纲!V49</f>
        <v>46</v>
      </c>
      <c r="W49" s="24">
        <f>[1]节奏总纲!W49</f>
        <v>1.6240480661968384</v>
      </c>
      <c r="X49" s="24">
        <f>[1]节奏总纲!X49</f>
        <v>1.4099550190237515</v>
      </c>
      <c r="Y49" s="24">
        <f>[1]节奏总纲!Y49</f>
        <v>1.1531495077096832</v>
      </c>
      <c r="Z49" s="24">
        <f>[1]节奏总纲!Z49</f>
        <v>0.85275209467701174</v>
      </c>
      <c r="AA49" s="24">
        <f>[1]节奏总纲!AA49</f>
        <v>0.45547439280231661</v>
      </c>
      <c r="AC49" s="24">
        <f>[1]节奏总纲!AC49</f>
        <v>46</v>
      </c>
      <c r="AD49" s="24">
        <f>[1]节奏总纲!AD49</f>
        <v>55.537288901845052</v>
      </c>
      <c r="AE49" s="24">
        <f>[1]节奏总纲!AE49</f>
        <v>57.53646043868428</v>
      </c>
      <c r="AF49" s="24">
        <f>[1]节奏总纲!AF49</f>
        <v>60.393379177879737</v>
      </c>
      <c r="AG49" s="24">
        <f>[1]节奏总纲!AG49</f>
        <v>64.710418078139355</v>
      </c>
      <c r="AH49" s="24">
        <f>[1]节奏总纲!AH49</f>
        <v>73.340924940105893</v>
      </c>
      <c r="AL49" s="24">
        <f>[1]节奏总纲!AL49</f>
        <v>46</v>
      </c>
      <c r="AM49" s="24">
        <f>[1]节奏总纲!AM49</f>
        <v>325.85912455595718</v>
      </c>
      <c r="AN49" s="24">
        <f>[1]节奏总纲!AN49</f>
        <v>260.68729964476574</v>
      </c>
      <c r="AO49" s="24">
        <f>[1]节奏总纲!AO49</f>
        <v>195.51547473357431</v>
      </c>
      <c r="AP49" s="24">
        <f>[1]节奏总纲!AP49</f>
        <v>130.34364982238287</v>
      </c>
      <c r="AQ49" s="24">
        <f>[1]节奏总纲!AQ49</f>
        <v>65.171824911191436</v>
      </c>
      <c r="AS49" s="24">
        <f>[1]节奏总纲!AS49</f>
        <v>46</v>
      </c>
      <c r="AT49" s="24">
        <f>[1]节奏总纲!AT49</f>
        <v>44.809124555957169</v>
      </c>
      <c r="AU49" s="24">
        <f>[1]节奏总纲!AU49</f>
        <v>35.847299644765712</v>
      </c>
      <c r="AV49" s="24">
        <f>[1]节奏总纲!AV49</f>
        <v>26.885474733574313</v>
      </c>
      <c r="AW49" s="24">
        <f>[1]节奏总纲!AW49</f>
        <v>17.923649822382856</v>
      </c>
      <c r="AX49" s="24">
        <f>[1]节奏总纲!AX49</f>
        <v>8.9618249111914281</v>
      </c>
      <c r="AY49" s="20"/>
      <c r="AZ49" s="20">
        <v>46</v>
      </c>
      <c r="BA49" s="20">
        <f>[1]节奏总纲!BA49</f>
        <v>32.987931690094548</v>
      </c>
      <c r="BB49" s="20">
        <f>[1]节奏总纲!BB49</f>
        <v>34.360958982105608</v>
      </c>
      <c r="BC49" s="20">
        <f>[1]节奏总纲!BC49</f>
        <v>36.245762114295424</v>
      </c>
      <c r="BD49" s="20">
        <f>[1]节奏总纲!BD49</f>
        <v>38.976971320055128</v>
      </c>
      <c r="BE49" s="20">
        <f>[1]节奏总纲!BE49</f>
        <v>43.629324644063402</v>
      </c>
      <c r="BI49" s="20">
        <v>46</v>
      </c>
      <c r="BJ49" s="32">
        <f>[1]节奏总纲!BQ49</f>
        <v>83.516605196495291</v>
      </c>
      <c r="BK49" s="32">
        <f>[1]节奏总纲!BR49</f>
        <v>82.409830559291493</v>
      </c>
      <c r="BL49" s="32">
        <f>[1]节奏总纲!BS49</f>
        <v>81.207352055772077</v>
      </c>
      <c r="BM49" s="32">
        <f>[1]节奏总纲!BT49</f>
        <v>79.853954326796469</v>
      </c>
      <c r="BN49" s="32">
        <f>[1]节奏总纲!BU49</f>
        <v>78.340013067243973</v>
      </c>
      <c r="BP49" s="20">
        <v>46</v>
      </c>
      <c r="BQ49" s="32">
        <f>[1]节奏总纲!BX49</f>
        <v>28.77435892693326</v>
      </c>
      <c r="BR49" s="32">
        <f>[1]节奏总纲!BY49</f>
        <v>29.307110785373723</v>
      </c>
      <c r="BS49" s="32">
        <f>[1]节奏总纲!BZ49</f>
        <v>29.901500340512762</v>
      </c>
      <c r="BT49" s="32">
        <f>[1]节奏总纲!CA49</f>
        <v>30.541959062513101</v>
      </c>
      <c r="BU49" s="32">
        <f>[1]节奏总纲!CB49</f>
        <v>31.241319778905254</v>
      </c>
    </row>
    <row r="50" spans="6:73" x14ac:dyDescent="0.15">
      <c r="F50" s="24">
        <f>[1]节奏总纲!F50</f>
        <v>48</v>
      </c>
      <c r="G50" s="24">
        <f>[1]节奏总纲!G50</f>
        <v>26.857618025475972</v>
      </c>
      <c r="I50" s="24">
        <f>[1]节奏总纲!I50</f>
        <v>48</v>
      </c>
      <c r="J50" s="24">
        <f>[1]节奏总纲!J50</f>
        <v>437.90148836012787</v>
      </c>
      <c r="K50" s="24">
        <f>[1]节奏总纲!K50</f>
        <v>1.1299999999999999</v>
      </c>
      <c r="N50" s="24">
        <f>[1]节奏总纲!N50</f>
        <v>57</v>
      </c>
      <c r="O50" s="24">
        <f>[1]节奏总纲!O50</f>
        <v>47</v>
      </c>
      <c r="P50" s="24">
        <f>[1]节奏总纲!P50</f>
        <v>24.992076683399535</v>
      </c>
      <c r="Q50" s="24">
        <f>[1]节奏总纲!Q50</f>
        <v>21.823081359944474</v>
      </c>
      <c r="R50" s="24">
        <f>[1]节奏总纲!R50</f>
        <v>17.996794419716004</v>
      </c>
      <c r="S50" s="24">
        <f>[1]节奏总纲!S50</f>
        <v>13.335772118261991</v>
      </c>
      <c r="T50" s="24">
        <f>[1]节奏总纲!T50</f>
        <v>7.4426404363163821</v>
      </c>
      <c r="U50" s="23"/>
      <c r="V50" s="24">
        <f>[1]节奏总纲!V50</f>
        <v>47</v>
      </c>
      <c r="W50" s="24">
        <f>[1]节奏总纲!W50</f>
        <v>1.740611619233178</v>
      </c>
      <c r="X50" s="24">
        <f>[1]节奏总纲!X50</f>
        <v>1.51292662639516</v>
      </c>
      <c r="Y50" s="24">
        <f>[1]节奏总纲!Y50</f>
        <v>1.2394635479713116</v>
      </c>
      <c r="Z50" s="24">
        <f>[1]节奏总纲!Z50</f>
        <v>0.91018918797148984</v>
      </c>
      <c r="AA50" s="24">
        <f>[1]节奏总纲!AA50</f>
        <v>0.48812723562422544</v>
      </c>
      <c r="AC50" s="24">
        <f>[1]节奏总纲!AC50</f>
        <v>47</v>
      </c>
      <c r="AD50" s="24">
        <f>[1]节奏总纲!AD50</f>
        <v>55.845161563010116</v>
      </c>
      <c r="AE50" s="24">
        <f>[1]节奏总纲!AE50</f>
        <v>57.853954212982316</v>
      </c>
      <c r="AF50" s="24">
        <f>[1]节奏总纲!AF50</f>
        <v>60.700083667104536</v>
      </c>
      <c r="AG50" s="24">
        <f>[1]节奏总纲!AG50</f>
        <v>65.021675833900701</v>
      </c>
      <c r="AH50" s="24">
        <f>[1]节奏总纲!AH50</f>
        <v>73.644694753789935</v>
      </c>
      <c r="AL50" s="24">
        <f>[1]节奏总纲!AL50</f>
        <v>47</v>
      </c>
      <c r="AM50" s="24">
        <f>[1]节奏总纲!AM50</f>
        <v>377.76930817680426</v>
      </c>
      <c r="AN50" s="24">
        <f>[1]节奏总纲!AN50</f>
        <v>302.21544654144344</v>
      </c>
      <c r="AO50" s="24">
        <f>[1]节奏总纲!AO50</f>
        <v>226.66158490608254</v>
      </c>
      <c r="AP50" s="24">
        <f>[1]节奏总纲!AP50</f>
        <v>151.10772327072172</v>
      </c>
      <c r="AQ50" s="24">
        <f>[1]节奏总纲!AQ50</f>
        <v>75.55386163536086</v>
      </c>
      <c r="AS50" s="24">
        <f>[1]节奏总纲!AS50</f>
        <v>47</v>
      </c>
      <c r="AT50" s="24">
        <f>[1]节奏总纲!AT50</f>
        <v>51.910183620847079</v>
      </c>
      <c r="AU50" s="24">
        <f>[1]节奏总纲!AU50</f>
        <v>41.528146896677697</v>
      </c>
      <c r="AV50" s="24">
        <f>[1]节奏总纲!AV50</f>
        <v>31.14611017250823</v>
      </c>
      <c r="AW50" s="24">
        <f>[1]节奏总纲!AW50</f>
        <v>20.764073448338848</v>
      </c>
      <c r="AX50" s="24">
        <f>[1]节奏总纲!AX50</f>
        <v>10.382036724169424</v>
      </c>
      <c r="AY50" s="20"/>
      <c r="AZ50" s="20">
        <v>47</v>
      </c>
      <c r="BA50" s="20">
        <f>[1]节奏总纲!BA50</f>
        <v>33.114246829746719</v>
      </c>
      <c r="BB50" s="20">
        <f>[1]节奏总纲!BB50</f>
        <v>34.494092527500278</v>
      </c>
      <c r="BC50" s="20">
        <f>[1]节奏总纲!BC50</f>
        <v>36.386046662021599</v>
      </c>
      <c r="BD50" s="20">
        <f>[1]节奏总纲!BD50</f>
        <v>39.115214427575864</v>
      </c>
      <c r="BE50" s="20">
        <f>[1]节奏总纲!BE50</f>
        <v>43.77911147780199</v>
      </c>
      <c r="BI50" s="20">
        <v>47</v>
      </c>
      <c r="BJ50" s="32">
        <f>[1]节奏总纲!BQ50</f>
        <v>85.643863186592412</v>
      </c>
      <c r="BK50" s="32">
        <f>[1]节奏总纲!BR50</f>
        <v>84.53544812855209</v>
      </c>
      <c r="BL50" s="32">
        <f>[1]节奏总纲!BS50</f>
        <v>83.32493049129468</v>
      </c>
      <c r="BM50" s="32">
        <f>[1]节奏总纲!BT50</f>
        <v>82.027450452783569</v>
      </c>
      <c r="BN50" s="32">
        <f>[1]节奏总纲!BU50</f>
        <v>80.54663523468885</v>
      </c>
      <c r="BP50" s="20">
        <v>47</v>
      </c>
      <c r="BQ50" s="32">
        <f>[1]节奏总纲!BX50</f>
        <v>29.214575269515649</v>
      </c>
      <c r="BR50" s="32">
        <f>[1]节奏总纲!BY50</f>
        <v>29.749456349782722</v>
      </c>
      <c r="BS50" s="32">
        <f>[1]节奏总纲!BZ50</f>
        <v>30.328427037480733</v>
      </c>
      <c r="BT50" s="32">
        <f>[1]节奏总纲!CA50</f>
        <v>30.996355742175876</v>
      </c>
      <c r="BU50" s="32">
        <f>[1]节奏总纲!CB50</f>
        <v>31.657589077576048</v>
      </c>
    </row>
    <row r="51" spans="6:73" x14ac:dyDescent="0.15">
      <c r="F51" s="24">
        <f>[1]节奏总纲!F51</f>
        <v>49</v>
      </c>
      <c r="G51" s="24">
        <f>[1]节奏总纲!G51</f>
        <v>28.857055729177837</v>
      </c>
      <c r="I51" s="24">
        <f>[1]节奏总纲!I51</f>
        <v>49</v>
      </c>
      <c r="J51" s="24">
        <f>[1]节奏总纲!J51</f>
        <v>507.55295278468168</v>
      </c>
      <c r="K51" s="24">
        <f>[1]节奏总纲!K51</f>
        <v>1.1399999999999999</v>
      </c>
      <c r="N51" s="24">
        <f>[1]节奏总纲!N51</f>
        <v>58</v>
      </c>
      <c r="O51" s="24">
        <f>[1]节奏总纲!O51</f>
        <v>48</v>
      </c>
      <c r="P51" s="24">
        <f>[1]节奏总纲!P51</f>
        <v>26.857618025475972</v>
      </c>
      <c r="Q51" s="24">
        <f>[1]节奏总纲!Q51</f>
        <v>23.425214441820142</v>
      </c>
      <c r="R51" s="24">
        <f>[1]节奏总纲!R51</f>
        <v>19.329427692935056</v>
      </c>
      <c r="S51" s="24">
        <f>[1]节奏总纲!S51</f>
        <v>14.269452456935383</v>
      </c>
      <c r="T51" s="24">
        <f>[1]节奏总纲!T51</f>
        <v>7.9605979827510778</v>
      </c>
      <c r="U51" s="23"/>
      <c r="V51" s="24">
        <f>[1]节奏总纲!V51</f>
        <v>48</v>
      </c>
      <c r="W51" s="24">
        <f>[1]节奏总纲!W51</f>
        <v>1.8655413420764368</v>
      </c>
      <c r="X51" s="24">
        <f>[1]节奏总纲!X51</f>
        <v>1.6021330818756674</v>
      </c>
      <c r="Y51" s="24">
        <f>[1]节奏总纲!Y51</f>
        <v>1.3326332732190522</v>
      </c>
      <c r="Z51" s="24">
        <f>[1]节奏总纲!Z51</f>
        <v>0.93368033867339228</v>
      </c>
      <c r="AA51" s="24">
        <f>[1]节奏总纲!AA51</f>
        <v>0.51795754643469571</v>
      </c>
      <c r="AC51" s="24">
        <f>[1]节奏总纲!AC51</f>
        <v>48</v>
      </c>
      <c r="AD51" s="24">
        <f>[1]节奏总纲!AD51</f>
        <v>56.142785979989682</v>
      </c>
      <c r="AE51" s="24">
        <f>[1]节奏总纲!AE51</f>
        <v>58.155157256402767</v>
      </c>
      <c r="AF51" s="24">
        <f>[1]节奏总纲!AF51</f>
        <v>61.006268532239034</v>
      </c>
      <c r="AG51" s="24">
        <f>[1]节奏总纲!AG51</f>
        <v>65.330972386106993</v>
      </c>
      <c r="AH51" s="24">
        <f>[1]节奏总纲!AH51</f>
        <v>73.948464567473962</v>
      </c>
      <c r="AL51" s="24">
        <f>[1]节奏总纲!AL51</f>
        <v>48</v>
      </c>
      <c r="AM51" s="24">
        <f>[1]节奏总纲!AM51</f>
        <v>437.90148836012787</v>
      </c>
      <c r="AN51" s="24">
        <f>[1]节奏总纲!AN51</f>
        <v>350.32119068810232</v>
      </c>
      <c r="AO51" s="24">
        <f>[1]节奏总纲!AO51</f>
        <v>262.74089301607671</v>
      </c>
      <c r="AP51" s="24">
        <f>[1]节奏总纲!AP51</f>
        <v>175.16059534405116</v>
      </c>
      <c r="AQ51" s="24">
        <f>[1]节奏总纲!AQ51</f>
        <v>87.58029767202558</v>
      </c>
      <c r="AS51" s="24">
        <f>[1]节奏总纲!AS51</f>
        <v>48</v>
      </c>
      <c r="AT51" s="24">
        <f>[1]节奏总纲!AT51</f>
        <v>60.132180183323612</v>
      </c>
      <c r="AU51" s="24">
        <f>[1]节奏总纲!AU51</f>
        <v>48.105744146658878</v>
      </c>
      <c r="AV51" s="24">
        <f>[1]节奏总纲!AV51</f>
        <v>36.079308109994173</v>
      </c>
      <c r="AW51" s="24">
        <f>[1]节奏总纲!AW51</f>
        <v>24.052872073329439</v>
      </c>
      <c r="AX51" s="24">
        <f>[1]节奏总纲!AX51</f>
        <v>12.02643603666472</v>
      </c>
      <c r="AY51" s="20"/>
      <c r="AZ51" s="20">
        <v>48</v>
      </c>
      <c r="BA51" s="20">
        <f>[1]节奏总纲!BA51</f>
        <v>33.238809018460984</v>
      </c>
      <c r="BB51" s="20">
        <f>[1]节奏总纲!BB51</f>
        <v>34.627226072894942</v>
      </c>
      <c r="BC51" s="20">
        <f>[1]节奏总纲!BC51</f>
        <v>36.526331209747774</v>
      </c>
      <c r="BD51" s="20">
        <f>[1]节奏总纲!BD51</f>
        <v>39.250296194358178</v>
      </c>
      <c r="BE51" s="20">
        <f>[1]节奏总纲!BE51</f>
        <v>43.928898311540578</v>
      </c>
      <c r="BI51" s="20">
        <v>48</v>
      </c>
      <c r="BJ51" s="32">
        <f>[1]节奏总纲!BQ51</f>
        <v>87.771500639866005</v>
      </c>
      <c r="BK51" s="32">
        <f>[1]节奏总纲!BR51</f>
        <v>86.672065508292405</v>
      </c>
      <c r="BL51" s="32">
        <f>[1]节奏总纲!BS51</f>
        <v>85.481735065071589</v>
      </c>
      <c r="BM51" s="32">
        <f>[1]节奏总纲!BT51</f>
        <v>84.173317183629351</v>
      </c>
      <c r="BN51" s="32">
        <f>[1]节奏总纲!BU51</f>
        <v>82.729418319864251</v>
      </c>
      <c r="BP51" s="20">
        <v>48</v>
      </c>
      <c r="BQ51" s="32">
        <f>[1]节奏总纲!BX51</f>
        <v>29.65092898211061</v>
      </c>
      <c r="BR51" s="32">
        <f>[1]节奏总纲!BY51</f>
        <v>30.186017902912305</v>
      </c>
      <c r="BS51" s="32">
        <f>[1]节奏总纲!BZ51</f>
        <v>30.771956904722533</v>
      </c>
      <c r="BT51" s="32">
        <f>[1]节奏总纲!CA51</f>
        <v>31.395003378607552</v>
      </c>
      <c r="BU51" s="32">
        <f>[1]节奏总纲!CB51</f>
        <v>32.084842711724434</v>
      </c>
    </row>
    <row r="52" spans="6:73" x14ac:dyDescent="0.15">
      <c r="F52" s="24">
        <f>[1]节奏总纲!F52</f>
        <v>50</v>
      </c>
      <c r="G52" s="24">
        <f>[1]节奏总纲!G52</f>
        <v>31</v>
      </c>
      <c r="I52" s="24">
        <f>[1]节奏总纲!I52</f>
        <v>50</v>
      </c>
      <c r="J52" s="24">
        <f>[1]节奏总纲!J52</f>
        <v>588.22499999999991</v>
      </c>
      <c r="K52" s="24">
        <f>[1]节奏总纲!K52</f>
        <v>1.1499999999999999</v>
      </c>
      <c r="N52" s="24">
        <f>[1]节奏总纲!N52</f>
        <v>59</v>
      </c>
      <c r="O52" s="24">
        <f>[1]节奏总纲!O52</f>
        <v>49</v>
      </c>
      <c r="P52" s="24">
        <f>[1]节奏总纲!P52</f>
        <v>28.857055729177837</v>
      </c>
      <c r="Q52" s="24">
        <f>[1]节奏总纲!Q52</f>
        <v>25.166238301415991</v>
      </c>
      <c r="R52" s="24">
        <f>[1]节奏总纲!R52</f>
        <v>20.719366013549685</v>
      </c>
      <c r="S52" s="24">
        <f>[1]节奏总纲!S52</f>
        <v>15.268268186307994</v>
      </c>
      <c r="T52" s="24">
        <f>[1]节奏总纲!T52</f>
        <v>8.5474599069824766</v>
      </c>
      <c r="U52" s="23"/>
      <c r="V52" s="24">
        <f>[1]节奏总纲!V52</f>
        <v>49</v>
      </c>
      <c r="W52" s="24">
        <f>[1]节奏总纲!W52</f>
        <v>1.9994377037018651</v>
      </c>
      <c r="X52" s="24">
        <f>[1]节奏总纲!X52</f>
        <v>1.7410238595958489</v>
      </c>
      <c r="Y52" s="24">
        <f>[1]节奏总纲!Y52</f>
        <v>1.389938320614629</v>
      </c>
      <c r="Z52" s="24">
        <f>[1]节奏总纲!Z52</f>
        <v>0.99881572937261076</v>
      </c>
      <c r="AA52" s="24">
        <f>[1]节奏总纲!AA52</f>
        <v>0.58686192423139882</v>
      </c>
      <c r="AC52" s="24">
        <f>[1]节奏总纲!AC52</f>
        <v>49</v>
      </c>
      <c r="AD52" s="24">
        <f>[1]节奏总纲!AD52</f>
        <v>56.430041330048923</v>
      </c>
      <c r="AE52" s="24">
        <f>[1]节奏总纲!AE52</f>
        <v>58.442483247955479</v>
      </c>
      <c r="AF52" s="24">
        <f>[1]节奏总纲!AF52</f>
        <v>61.289495211956165</v>
      </c>
      <c r="AG52" s="24">
        <f>[1]节奏总纲!AG52</f>
        <v>65.640268938313284</v>
      </c>
      <c r="AH52" s="24">
        <f>[1]节奏总纲!AH52</f>
        <v>74.231558509323534</v>
      </c>
      <c r="AL52" s="24">
        <f>[1]节奏总纲!AL52</f>
        <v>49</v>
      </c>
      <c r="AM52" s="24">
        <f>[1]节奏总纲!AM52</f>
        <v>507.55295278468168</v>
      </c>
      <c r="AN52" s="24">
        <f>[1]节奏总纲!AN52</f>
        <v>406.04236222774534</v>
      </c>
      <c r="AO52" s="24">
        <f>[1]节奏总纲!AO52</f>
        <v>304.53177167080901</v>
      </c>
      <c r="AP52" s="24">
        <f>[1]节奏总纲!AP52</f>
        <v>203.02118111387267</v>
      </c>
      <c r="AQ52" s="24">
        <f>[1]节奏总纲!AQ52</f>
        <v>101.51059055693634</v>
      </c>
      <c r="AS52" s="24">
        <f>[1]节奏总纲!AS52</f>
        <v>49</v>
      </c>
      <c r="AT52" s="24">
        <f>[1]节奏总纲!AT52</f>
        <v>69.651464424553808</v>
      </c>
      <c r="AU52" s="24">
        <f>[1]节奏总纲!AU52</f>
        <v>55.721171539643024</v>
      </c>
      <c r="AV52" s="24">
        <f>[1]节奏总纲!AV52</f>
        <v>41.790878654732296</v>
      </c>
      <c r="AW52" s="24">
        <f>[1]节奏总纲!AW52</f>
        <v>27.860585769821512</v>
      </c>
      <c r="AX52" s="24">
        <f>[1]节奏总纲!AX52</f>
        <v>13.930292884910756</v>
      </c>
      <c r="AY52" s="20"/>
      <c r="AZ52" s="20">
        <v>49</v>
      </c>
      <c r="BA52" s="20">
        <f>[1]节奏总纲!BA52</f>
        <v>33.363371207175248</v>
      </c>
      <c r="BB52" s="20">
        <f>[1]节奏总纲!BB52</f>
        <v>34.760359618289606</v>
      </c>
      <c r="BC52" s="20">
        <f>[1]节奏总纲!BC52</f>
        <v>36.666615757473956</v>
      </c>
      <c r="BD52" s="20">
        <f>[1]节奏总纲!BD52</f>
        <v>39.385377961140485</v>
      </c>
      <c r="BE52" s="20">
        <f>[1]节奏总纲!BE52</f>
        <v>44.067911160744309</v>
      </c>
      <c r="BI52" s="20">
        <v>49</v>
      </c>
      <c r="BJ52" s="32">
        <f>[1]节奏总纲!BQ52</f>
        <v>89.899465210602642</v>
      </c>
      <c r="BK52" s="32">
        <f>[1]节奏总纲!BR52</f>
        <v>88.787413007435532</v>
      </c>
      <c r="BL52" s="32">
        <f>[1]节奏总纲!BS52</f>
        <v>87.591558541772201</v>
      </c>
      <c r="BM52" s="32">
        <f>[1]节奏总纲!BT52</f>
        <v>86.275030259152317</v>
      </c>
      <c r="BN52" s="32">
        <f>[1]节奏总纲!BU52</f>
        <v>84.851224267970963</v>
      </c>
      <c r="BP52" s="20">
        <v>49</v>
      </c>
      <c r="BQ52" s="32">
        <f>[1]节奏总纲!BX52</f>
        <v>30.101255625879666</v>
      </c>
      <c r="BR52" s="32">
        <f>[1]节奏总纲!BY52</f>
        <v>30.620606377192669</v>
      </c>
      <c r="BS52" s="32">
        <f>[1]节奏总纲!BZ52</f>
        <v>31.200336585588083</v>
      </c>
      <c r="BT52" s="32">
        <f>[1]节奏总纲!CA52</f>
        <v>31.820892668144523</v>
      </c>
      <c r="BU52" s="32">
        <f>[1]节奏总纲!CB52</f>
        <v>32.512459036550872</v>
      </c>
    </row>
    <row r="53" spans="6:73" x14ac:dyDescent="0.15">
      <c r="F53" s="24">
        <f>[1]节奏总纲!F53</f>
        <v>51</v>
      </c>
      <c r="G53" s="24">
        <f>[1]节奏总纲!G53</f>
        <v>33.296750801161366</v>
      </c>
      <c r="I53" s="24">
        <f>[1]节奏总纲!I53</f>
        <v>51</v>
      </c>
      <c r="J53" s="24">
        <f>[1]节奏总纲!J53</f>
        <v>681.65492699983838</v>
      </c>
      <c r="K53" s="24">
        <f>[1]节奏总纲!K53</f>
        <v>1.1599999999999999</v>
      </c>
      <c r="N53" s="24">
        <f>[1]节奏总纲!N53</f>
        <v>60</v>
      </c>
      <c r="O53" s="24">
        <f>[1]节奏总纲!O53</f>
        <v>50</v>
      </c>
      <c r="P53" s="24">
        <f>[1]节奏总纲!P53</f>
        <v>31</v>
      </c>
      <c r="Q53" s="24">
        <f>[1]节奏总纲!Q53</f>
        <v>27.0351</v>
      </c>
      <c r="R53" s="24">
        <f>[1]节奏总纲!R53</f>
        <v>22.205300000000001</v>
      </c>
      <c r="S53" s="24">
        <f>[1]节奏总纲!S53</f>
        <v>16.386599999999998</v>
      </c>
      <c r="T53" s="24">
        <f>[1]节奏总纲!T53</f>
        <v>9.1883999999999997</v>
      </c>
      <c r="U53" s="23"/>
      <c r="V53" s="24">
        <f>[1]节奏总纲!V53</f>
        <v>50</v>
      </c>
      <c r="W53" s="24">
        <f>[1]节奏总纲!W53</f>
        <v>2.1429442708221629</v>
      </c>
      <c r="X53" s="24">
        <f>[1]节奏总纲!X53</f>
        <v>1.8688616985840092</v>
      </c>
      <c r="Y53" s="24">
        <f>[1]节奏总纲!Y53</f>
        <v>1.4859339864503163</v>
      </c>
      <c r="Z53" s="24">
        <f>[1]节奏总纲!Z53</f>
        <v>1.118331813692004</v>
      </c>
      <c r="AA53" s="24">
        <f>[1]节奏总纲!AA53</f>
        <v>0.64094009301752308</v>
      </c>
      <c r="AC53" s="24">
        <f>[1]节奏总纲!AC53</f>
        <v>50</v>
      </c>
      <c r="AD53" s="24">
        <f>[1]节奏总纲!AD53</f>
        <v>56.717296680108156</v>
      </c>
      <c r="AE53" s="24">
        <f>[1]节奏总纲!AE53</f>
        <v>58.729809239508185</v>
      </c>
      <c r="AF53" s="24">
        <f>[1]节奏总纲!AF53</f>
        <v>61.572721891673297</v>
      </c>
      <c r="AG53" s="24">
        <f>[1]节奏总纲!AG53</f>
        <v>65.949565490519575</v>
      </c>
      <c r="AH53" s="24">
        <f>[1]节奏总纲!AH53</f>
        <v>74.51042804689898</v>
      </c>
      <c r="AL53" s="24">
        <f>[1]节奏总纲!AL53</f>
        <v>50</v>
      </c>
      <c r="AM53" s="24">
        <f>[1]节奏总纲!AM53</f>
        <v>588.22499999999991</v>
      </c>
      <c r="AN53" s="24">
        <f>[1]节奏总纲!AN53</f>
        <v>470.57999999999993</v>
      </c>
      <c r="AO53" s="24">
        <f>[1]节奏总纲!AO53</f>
        <v>352.93499999999995</v>
      </c>
      <c r="AP53" s="24">
        <f>[1]节奏总纲!AP53</f>
        <v>235.28999999999996</v>
      </c>
      <c r="AQ53" s="24">
        <f>[1]节奏总纲!AQ53</f>
        <v>117.64499999999998</v>
      </c>
      <c r="AS53" s="24">
        <f>[1]节奏总纲!AS53</f>
        <v>50</v>
      </c>
      <c r="AT53" s="24">
        <f>[1]节奏总纲!AT53</f>
        <v>80.67204721531823</v>
      </c>
      <c r="AU53" s="24">
        <f>[1]节奏总纲!AU53</f>
        <v>64.537637772254584</v>
      </c>
      <c r="AV53" s="24">
        <f>[1]节奏总纲!AV53</f>
        <v>48.403228329190938</v>
      </c>
      <c r="AW53" s="24">
        <f>[1]节奏总纲!AW53</f>
        <v>32.268818886127292</v>
      </c>
      <c r="AX53" s="24">
        <f>[1]节奏总纲!AX53</f>
        <v>16.134409443063646</v>
      </c>
      <c r="AY53" s="20"/>
      <c r="AZ53" s="20">
        <v>50</v>
      </c>
      <c r="BA53" s="20">
        <f>[1]节奏总纲!BA53</f>
        <v>33.487933395889513</v>
      </c>
      <c r="BB53" s="20">
        <f>[1]节奏总纲!BB53</f>
        <v>34.893493163684269</v>
      </c>
      <c r="BC53" s="20">
        <f>[1]节奏总纲!BC53</f>
        <v>36.806900305200131</v>
      </c>
      <c r="BD53" s="20">
        <f>[1]节奏总纲!BD53</f>
        <v>39.520459727922798</v>
      </c>
      <c r="BE53" s="20">
        <f>[1]节奏总纲!BE53</f>
        <v>44.197188392263818</v>
      </c>
      <c r="BI53" s="20">
        <v>50</v>
      </c>
      <c r="BJ53" s="32">
        <f>[1]节奏总纲!BQ53</f>
        <v>92.02585597384136</v>
      </c>
      <c r="BK53" s="32">
        <f>[1]节奏总纲!BR53</f>
        <v>91.028813161489012</v>
      </c>
      <c r="BL53" s="32">
        <f>[1]节奏总纲!BS53</f>
        <v>89.944796604838743</v>
      </c>
      <c r="BM53" s="32">
        <f>[1]节奏总纲!BT53</f>
        <v>88.648964439402022</v>
      </c>
      <c r="BN53" s="32">
        <f>[1]节奏总纲!BU53</f>
        <v>87.254811090446921</v>
      </c>
      <c r="BP53" s="20">
        <v>50</v>
      </c>
      <c r="BQ53" s="32">
        <f>[1]节奏总纲!BX53</f>
        <v>30.529187213831889</v>
      </c>
      <c r="BR53" s="32">
        <f>[1]节奏总纲!BY53</f>
        <v>31.07439649010124</v>
      </c>
      <c r="BS53" s="32">
        <f>[1]节奏总纲!BZ53</f>
        <v>31.622732396398735</v>
      </c>
      <c r="BT53" s="32">
        <f>[1]节奏总纲!CA53</f>
        <v>32.254400792232055</v>
      </c>
      <c r="BU53" s="32">
        <f>[1]节奏总纲!CB53</f>
        <v>32.979479362275733</v>
      </c>
    </row>
    <row r="54" spans="6:73" x14ac:dyDescent="0.15">
      <c r="F54" s="24">
        <f>[1]节奏总纲!F54</f>
        <v>52</v>
      </c>
      <c r="G54" s="24">
        <f>[1]节奏总纲!G54</f>
        <v>35.758347359905123</v>
      </c>
      <c r="I54" s="24">
        <f>[1]节奏总纲!I54</f>
        <v>52</v>
      </c>
      <c r="J54" s="24">
        <f>[1]节奏总纲!J54</f>
        <v>789.85301886939453</v>
      </c>
      <c r="K54" s="24">
        <f>[1]节奏总纲!K54</f>
        <v>1.17</v>
      </c>
      <c r="N54" s="24">
        <f>[1]节奏总纲!N54</f>
        <v>61</v>
      </c>
      <c r="O54" s="24">
        <f>[1]节奏总纲!O54</f>
        <v>51</v>
      </c>
      <c r="P54" s="24">
        <f>[1]节奏总纲!P54</f>
        <v>33.296750801161366</v>
      </c>
      <c r="Q54" s="24">
        <f>[1]节奏总纲!Q54</f>
        <v>28.928217096048996</v>
      </c>
      <c r="R54" s="24">
        <f>[1]节奏总纲!R54</f>
        <v>23.783869097269566</v>
      </c>
      <c r="S54" s="24">
        <f>[1]节奏总纲!S54</f>
        <v>17.587343773173433</v>
      </c>
      <c r="T54" s="24">
        <f>[1]节奏总纲!T54</f>
        <v>9.8458492119034169</v>
      </c>
      <c r="U54" s="23"/>
      <c r="V54" s="24">
        <f>[1]节奏总纲!V54</f>
        <v>51</v>
      </c>
      <c r="W54" s="24">
        <f>[1]节奏总纲!W54</f>
        <v>2.296750801161366</v>
      </c>
      <c r="X54" s="24">
        <f>[1]节奏总纲!X54</f>
        <v>1.8931170960489965</v>
      </c>
      <c r="Y54" s="24">
        <f>[1]节奏总纲!Y54</f>
        <v>1.5785690972695647</v>
      </c>
      <c r="Z54" s="24">
        <f>[1]节奏总纲!Z54</f>
        <v>1.2007437731734356</v>
      </c>
      <c r="AA54" s="24">
        <f>[1]节奏总纲!AA54</f>
        <v>0.65744921190341721</v>
      </c>
      <c r="AC54" s="24">
        <f>[1]节奏总纲!AC54</f>
        <v>51</v>
      </c>
      <c r="AD54" s="24">
        <f>[1]节奏总纲!AD54</f>
        <v>57.004247194324648</v>
      </c>
      <c r="AE54" s="24">
        <f>[1]节奏总纲!AE54</f>
        <v>59.016342740868758</v>
      </c>
      <c r="AF54" s="24">
        <f>[1]节奏总纲!AF54</f>
        <v>61.855948571390428</v>
      </c>
      <c r="AG54" s="24">
        <f>[1]节奏总纲!AG54</f>
        <v>66.241691764589476</v>
      </c>
      <c r="AH54" s="24">
        <f>[1]节奏总纲!AH54</f>
        <v>74.789297584474426</v>
      </c>
      <c r="AL54" s="24">
        <f>[1]节奏总纲!AL54</f>
        <v>51</v>
      </c>
      <c r="AM54" s="24">
        <f>[1]节奏总纲!AM54</f>
        <v>681.65492699983838</v>
      </c>
      <c r="AN54" s="24">
        <f>[1]节奏总纲!AN54</f>
        <v>545.32394159987075</v>
      </c>
      <c r="AO54" s="24">
        <f>[1]节奏总纲!AO54</f>
        <v>408.99295619990301</v>
      </c>
      <c r="AP54" s="24">
        <f>[1]节奏总纲!AP54</f>
        <v>272.66197079993537</v>
      </c>
      <c r="AQ54" s="24">
        <f>[1]节奏总纲!AQ54</f>
        <v>136.33098539996769</v>
      </c>
      <c r="AS54" s="24">
        <f>[1]节奏总纲!AS54</f>
        <v>51</v>
      </c>
      <c r="AT54" s="24">
        <f>[1]节奏总纲!AT54</f>
        <v>93.429926999838472</v>
      </c>
      <c r="AU54" s="24">
        <f>[1]节奏总纲!AU54</f>
        <v>74.743941599870823</v>
      </c>
      <c r="AV54" s="24">
        <f>[1]节奏总纲!AV54</f>
        <v>56.05795619990306</v>
      </c>
      <c r="AW54" s="24">
        <f>[1]节奏总纲!AW54</f>
        <v>37.371970799935411</v>
      </c>
      <c r="AX54" s="24">
        <f>[1]节奏总纲!AX54</f>
        <v>18.685985399967706</v>
      </c>
      <c r="AZ54" s="20">
        <v>51</v>
      </c>
      <c r="BA54" s="20">
        <v>33.612495584603778</v>
      </c>
      <c r="BB54" s="20">
        <v>35.024397713965918</v>
      </c>
      <c r="BC54" s="20">
        <v>36.947184852926306</v>
      </c>
      <c r="BD54" s="20">
        <v>39.655541494705105</v>
      </c>
      <c r="BE54" s="20">
        <v>44.326465623783335</v>
      </c>
      <c r="BI54" s="20">
        <v>51</v>
      </c>
      <c r="BJ54" s="32">
        <f>[1]节奏总纲!BQ54</f>
        <v>94.145740969946885</v>
      </c>
      <c r="BK54" s="32">
        <f>[1]节奏总纲!BR54</f>
        <v>93.183924727109627</v>
      </c>
      <c r="BL54" s="32">
        <f>[1]节奏总纲!BS54</f>
        <v>92.135531632926771</v>
      </c>
      <c r="BM54" s="32">
        <f>[1]节奏总纲!BT54</f>
        <v>91.002520783186228</v>
      </c>
      <c r="BN54" s="32">
        <f>[1]节奏总纲!BU54</f>
        <v>89.726519272163628</v>
      </c>
      <c r="BP54" s="20">
        <v>51</v>
      </c>
      <c r="BQ54" s="32">
        <f>[1]节奏总纲!BX54</f>
        <v>30.987832933580094</v>
      </c>
      <c r="BR54" s="32">
        <f>[1]节奏总纲!BY54</f>
        <v>31.478003617690753</v>
      </c>
      <c r="BS54" s="32">
        <f>[1]节奏总纲!BZ54</f>
        <v>32.061058431778378</v>
      </c>
      <c r="BT54" s="32">
        <f>[1]节奏总纲!CA54</f>
        <v>32.691861136941853</v>
      </c>
      <c r="BU54" s="32">
        <f>[1]节奏总纲!CB54</f>
        <v>33.39192659810282</v>
      </c>
    </row>
    <row r="55" spans="6:73" x14ac:dyDescent="0.15">
      <c r="F55" s="24">
        <f>[1]节奏总纲!F55</f>
        <v>53</v>
      </c>
      <c r="G55" s="24">
        <f>[1]节奏总纲!G55</f>
        <v>38.396621227037308</v>
      </c>
      <c r="I55" s="24">
        <f>[1]节奏总纲!I55</f>
        <v>53</v>
      </c>
      <c r="J55" s="24">
        <f>[1]节奏总纲!J55</f>
        <v>915.14532082292135</v>
      </c>
      <c r="K55" s="24">
        <f>[1]节奏总纲!K55</f>
        <v>1.18</v>
      </c>
      <c r="N55" s="24">
        <f>[1]节奏总纲!N55</f>
        <v>62</v>
      </c>
      <c r="O55" s="24">
        <f>[1]节奏总纲!O55</f>
        <v>52</v>
      </c>
      <c r="P55" s="24">
        <f>[1]节奏总纲!P55</f>
        <v>35.758347359905123</v>
      </c>
      <c r="Q55" s="24">
        <f>[1]节奏总纲!Q55</f>
        <v>31.081155525229534</v>
      </c>
      <c r="R55" s="24">
        <f>[1]节奏总纲!R55</f>
        <v>25.606552544428059</v>
      </c>
      <c r="S55" s="24">
        <f>[1]节奏总纲!S55</f>
        <v>18.930469092333773</v>
      </c>
      <c r="T55" s="24">
        <f>[1]节奏总纲!T55</f>
        <v>10.570167479587953</v>
      </c>
      <c r="U55" s="23"/>
      <c r="V55" s="24">
        <f>[1]节奏总纲!V55</f>
        <v>52</v>
      </c>
      <c r="W55" s="24">
        <f>[1]节奏总纲!W55</f>
        <v>2.4615965587437572</v>
      </c>
      <c r="X55" s="24">
        <f>[1]节奏总纲!X55</f>
        <v>2.1529384291805371</v>
      </c>
      <c r="Y55" s="24">
        <f>[1]节奏总纲!Y55</f>
        <v>1.822683447158493</v>
      </c>
      <c r="Z55" s="24">
        <f>[1]节奏总纲!Z55</f>
        <v>1.3431253191603396</v>
      </c>
      <c r="AA55" s="24">
        <f>[1]节奏总纲!AA55</f>
        <v>0.72431826768453611</v>
      </c>
      <c r="AC55" s="24">
        <f>[1]节奏总纲!AC55</f>
        <v>52</v>
      </c>
      <c r="AD55" s="24">
        <f>[1]节奏总纲!AD55</f>
        <v>57.27226591292537</v>
      </c>
      <c r="AE55" s="24">
        <f>[1]节奏总纲!AE55</f>
        <v>59.290380144164828</v>
      </c>
      <c r="AF55" s="24">
        <f>[1]节奏总纲!AF55</f>
        <v>62.130298748930763</v>
      </c>
      <c r="AG55" s="24">
        <f>[1]节奏总纲!AG55</f>
        <v>66.530472725664353</v>
      </c>
      <c r="AH55" s="24">
        <f>[1]节奏总纲!AH55</f>
        <v>75.062532510920803</v>
      </c>
      <c r="AL55" s="24">
        <f>[1]节奏总纲!AL55</f>
        <v>52</v>
      </c>
      <c r="AM55" s="24">
        <f>[1]节奏总纲!AM55</f>
        <v>789.85301886939453</v>
      </c>
      <c r="AN55" s="24">
        <f>[1]节奏总纲!AN55</f>
        <v>631.88241509551563</v>
      </c>
      <c r="AO55" s="24">
        <f>[1]节奏总纲!AO55</f>
        <v>473.91181132163672</v>
      </c>
      <c r="AP55" s="24">
        <f>[1]节奏总纲!AP55</f>
        <v>315.94120754775781</v>
      </c>
      <c r="AQ55" s="24">
        <f>[1]节奏总纲!AQ55</f>
        <v>157.97060377387891</v>
      </c>
      <c r="AS55" s="24">
        <f>[1]节奏总纲!AS55</f>
        <v>52</v>
      </c>
      <c r="AT55" s="24">
        <f>[1]节奏总纲!AT55</f>
        <v>108.19809186955615</v>
      </c>
      <c r="AU55" s="24">
        <f>[1]节奏总纲!AU55</f>
        <v>86.558473495644876</v>
      </c>
      <c r="AV55" s="24">
        <f>[1]节奏总纲!AV55</f>
        <v>64.918855121733714</v>
      </c>
      <c r="AW55" s="24">
        <f>[1]节奏总纲!AW55</f>
        <v>43.279236747822438</v>
      </c>
      <c r="AX55" s="24">
        <f>[1]节奏总纲!AX55</f>
        <v>21.639618373911219</v>
      </c>
      <c r="AZ55" s="20">
        <v>52</v>
      </c>
      <c r="BA55" s="20">
        <v>33.737057773318043</v>
      </c>
      <c r="BB55" s="20">
        <v>35.146386283795508</v>
      </c>
      <c r="BC55" s="20">
        <v>37.075448197698059</v>
      </c>
      <c r="BD55" s="20">
        <v>39.790623261487418</v>
      </c>
      <c r="BE55" s="20">
        <v>44.455742855302844</v>
      </c>
      <c r="BI55" s="20">
        <v>52</v>
      </c>
      <c r="BJ55" s="32">
        <f>[1]节奏总纲!BQ55</f>
        <v>96.265821375882837</v>
      </c>
      <c r="BK55" s="32">
        <f>[1]节奏总纲!BR55</f>
        <v>95.320056465518832</v>
      </c>
      <c r="BL55" s="32">
        <f>[1]节奏总纲!BS55</f>
        <v>94.309081972684396</v>
      </c>
      <c r="BM55" s="32">
        <f>[1]节奏总纲!BT55</f>
        <v>93.208444061349098</v>
      </c>
      <c r="BN55" s="32">
        <f>[1]节奏总纲!BU55</f>
        <v>92.03038330510195</v>
      </c>
      <c r="BP55" s="20">
        <v>52</v>
      </c>
      <c r="BQ55" s="32">
        <f>[1]节奏总纲!BX55</f>
        <v>31.409452382022582</v>
      </c>
      <c r="BR55" s="32">
        <f>[1]节奏总纲!BY55</f>
        <v>31.937003907261929</v>
      </c>
      <c r="BS55" s="32">
        <f>[1]节奏总纲!BZ55</f>
        <v>32.503757225034654</v>
      </c>
      <c r="BT55" s="32">
        <f>[1]节奏总纲!CA55</f>
        <v>33.154875618998368</v>
      </c>
      <c r="BU55" s="32">
        <f>[1]节奏总纲!CB55</f>
        <v>33.843039941845369</v>
      </c>
    </row>
    <row r="56" spans="6:73" x14ac:dyDescent="0.15">
      <c r="F56" s="24">
        <f>[1]节奏总纲!F56</f>
        <v>54</v>
      </c>
      <c r="G56" s="24">
        <f>[1]节奏总纲!G56</f>
        <v>41.224253144732614</v>
      </c>
      <c r="I56" s="24">
        <f>[1]节奏总纲!I56</f>
        <v>54</v>
      </c>
      <c r="J56" s="24">
        <f>[1]节奏总纲!J56</f>
        <v>1060.2230944101252</v>
      </c>
      <c r="K56" s="24">
        <f>[1]节奏总纲!K56</f>
        <v>1.19</v>
      </c>
      <c r="N56" s="24">
        <f>[1]节奏总纲!N56</f>
        <v>63</v>
      </c>
      <c r="O56" s="24">
        <f>[1]节奏总纲!O56</f>
        <v>53</v>
      </c>
      <c r="P56" s="24">
        <f>[1]节奏总纲!P56</f>
        <v>38.396621227037308</v>
      </c>
      <c r="Q56" s="24">
        <f>[1]节奏总纲!Q56</f>
        <v>33.42809844025868</v>
      </c>
      <c r="R56" s="24">
        <f>[1]节奏总纲!R56</f>
        <v>27.5802930273809</v>
      </c>
      <c r="S56" s="24">
        <f>[1]节奏总纲!S56</f>
        <v>20.319491953348145</v>
      </c>
      <c r="T56" s="24">
        <f>[1]节奏总纲!T56</f>
        <v>11.338522248344118</v>
      </c>
      <c r="U56" s="23"/>
      <c r="V56" s="24">
        <f>[1]节奏总纲!V56</f>
        <v>53</v>
      </c>
      <c r="W56" s="24">
        <f>[1]节奏总纲!W56</f>
        <v>2.6382738671321846</v>
      </c>
      <c r="X56" s="24">
        <f>[1]节奏总纲!X56</f>
        <v>2.3469429150291461</v>
      </c>
      <c r="Y56" s="24">
        <f>[1]节奏总纲!Y56</f>
        <v>1.9737404829528415</v>
      </c>
      <c r="Z56" s="24">
        <f>[1]节奏总纲!Z56</f>
        <v>1.3890228610143716</v>
      </c>
      <c r="AA56" s="24">
        <f>[1]节奏总纲!AA56</f>
        <v>0.76835476875616493</v>
      </c>
      <c r="AC56" s="24">
        <f>[1]节奏总纲!AC56</f>
        <v>53</v>
      </c>
      <c r="AD56" s="24">
        <f>[1]节奏总纲!AD56</f>
        <v>57.540284631526099</v>
      </c>
      <c r="AE56" s="24">
        <f>[1]节奏总纲!AE56</f>
        <v>59.564417547460899</v>
      </c>
      <c r="AF56" s="24">
        <f>[1]节奏总纲!AF56</f>
        <v>62.395461425033538</v>
      </c>
      <c r="AG56" s="24">
        <f>[1]节奏总纲!AG56</f>
        <v>66.819253686739231</v>
      </c>
      <c r="AH56" s="24">
        <f>[1]节奏总纲!AH56</f>
        <v>75.318351032805268</v>
      </c>
      <c r="AL56" s="24">
        <f>[1]节奏总纲!AL56</f>
        <v>53</v>
      </c>
      <c r="AM56" s="24">
        <f>[1]节奏总纲!AM56</f>
        <v>915.14532082292135</v>
      </c>
      <c r="AN56" s="24">
        <f>[1]节奏总纲!AN56</f>
        <v>732.11625665833708</v>
      </c>
      <c r="AO56" s="24">
        <f>[1]节奏总纲!AO56</f>
        <v>549.08719249375281</v>
      </c>
      <c r="AP56" s="24">
        <f>[1]节奏总纲!AP56</f>
        <v>366.05812832916854</v>
      </c>
      <c r="AQ56" s="24">
        <f>[1]节奏总纲!AQ56</f>
        <v>183.02906416458427</v>
      </c>
      <c r="AS56" s="24">
        <f>[1]节奏总纲!AS56</f>
        <v>53</v>
      </c>
      <c r="AT56" s="24">
        <f>[1]节奏总纲!AT56</f>
        <v>125.29230195352682</v>
      </c>
      <c r="AU56" s="24">
        <f>[1]节奏总纲!AU56</f>
        <v>100.23384156282145</v>
      </c>
      <c r="AV56" s="24">
        <f>[1]节奏总纲!AV56</f>
        <v>75.17538117211609</v>
      </c>
      <c r="AW56" s="24">
        <f>[1]节奏总纲!AW56</f>
        <v>50.116920781410727</v>
      </c>
      <c r="AX56" s="24">
        <f>[1]节奏总纲!AX56</f>
        <v>25.058460390705363</v>
      </c>
      <c r="AZ56" s="20">
        <v>53</v>
      </c>
      <c r="BA56" s="20">
        <v>33.861619962032307</v>
      </c>
      <c r="BB56" s="20">
        <v>35.268374853625097</v>
      </c>
      <c r="BC56" s="20">
        <v>37.196452985793947</v>
      </c>
      <c r="BD56" s="20">
        <v>39.925705028269732</v>
      </c>
      <c r="BE56" s="20">
        <v>44.585020086822361</v>
      </c>
      <c r="BI56" s="20">
        <v>53</v>
      </c>
      <c r="BJ56" s="32">
        <f>[1]节奏总纲!BQ56</f>
        <v>98.386070168033314</v>
      </c>
      <c r="BK56" s="32">
        <f>[1]节奏总纲!BR56</f>
        <v>97.463615621461287</v>
      </c>
      <c r="BL56" s="32">
        <f>[1]节奏总纲!BS56</f>
        <v>96.485848981556117</v>
      </c>
      <c r="BM56" s="32">
        <f>[1]节奏总纲!BT56</f>
        <v>95.421390644954613</v>
      </c>
      <c r="BN56" s="32">
        <f>[1]节奏总纲!BU56</f>
        <v>94.2564978309629</v>
      </c>
      <c r="BP56" s="20">
        <v>53</v>
      </c>
      <c r="BQ56" s="32">
        <f>[1]节奏总纲!BX56</f>
        <v>31.859430310817384</v>
      </c>
      <c r="BR56" s="32">
        <f>[1]节奏总纲!BY56</f>
        <v>32.373698557428163</v>
      </c>
      <c r="BS56" s="32">
        <f>[1]节奏总纲!BZ56</f>
        <v>32.983145201793022</v>
      </c>
      <c r="BT56" s="32">
        <f>[1]节奏总纲!CA56</f>
        <v>33.587424938353614</v>
      </c>
      <c r="BU56" s="32">
        <f>[1]节奏总纲!CB56</f>
        <v>34.274966559784382</v>
      </c>
    </row>
    <row r="57" spans="6:73" x14ac:dyDescent="0.15">
      <c r="F57" s="24">
        <f>[1]节奏总纲!F57</f>
        <v>55</v>
      </c>
      <c r="G57" s="24">
        <f>[1]节奏总纲!G57</f>
        <v>44.254833995939045</v>
      </c>
      <c r="I57" s="24">
        <f>[1]节奏总纲!I57</f>
        <v>55</v>
      </c>
      <c r="J57" s="24">
        <f>[1]节奏总纲!J57</f>
        <v>1228.2</v>
      </c>
      <c r="K57" s="24">
        <f>[1]节奏总纲!K57</f>
        <v>1.2</v>
      </c>
      <c r="N57" s="24">
        <f>[1]节奏总纲!N57</f>
        <v>64</v>
      </c>
      <c r="O57" s="24">
        <f>[1]节奏总纲!O57</f>
        <v>54</v>
      </c>
      <c r="P57" s="24">
        <f>[1]节奏总纲!P57</f>
        <v>41.224253144732614</v>
      </c>
      <c r="Q57" s="24">
        <f>[1]节奏总纲!Q57</f>
        <v>35.947548742206841</v>
      </c>
      <c r="R57" s="24">
        <f>[1]节奏总纲!R57</f>
        <v>29.553667079458812</v>
      </c>
      <c r="S57" s="24">
        <f>[1]节奏总纲!S57</f>
        <v>21.762283235104348</v>
      </c>
      <c r="T57" s="24">
        <f>[1]节奏总纲!T57</f>
        <v>12.111685573922442</v>
      </c>
      <c r="U57" s="23"/>
      <c r="V57" s="24">
        <f>[1]节奏总纲!V57</f>
        <v>54</v>
      </c>
      <c r="W57" s="24">
        <f>[1]节奏总纲!W57</f>
        <v>2.8276319176953066</v>
      </c>
      <c r="X57" s="24">
        <f>[1]节奏总纲!X57</f>
        <v>2.5194503019481616</v>
      </c>
      <c r="Y57" s="24">
        <f>[1]节奏总纲!Y57</f>
        <v>1.9733740520779115</v>
      </c>
      <c r="Z57" s="24">
        <f>[1]节奏总纲!Z57</f>
        <v>1.4427912817562039</v>
      </c>
      <c r="AA57" s="24">
        <f>[1]节奏总纲!AA57</f>
        <v>0.77316332557832368</v>
      </c>
      <c r="AC57" s="24">
        <f>[1]节奏总纲!AC57</f>
        <v>54</v>
      </c>
      <c r="AD57" s="24">
        <f>[1]节奏总纲!AD57</f>
        <v>57.80830335012682</v>
      </c>
      <c r="AE57" s="24">
        <f>[1]节奏总纲!AE57</f>
        <v>59.838454950756969</v>
      </c>
      <c r="AF57" s="24">
        <f>[1]节奏总纲!AF57</f>
        <v>62.660624101136307</v>
      </c>
      <c r="AG57" s="24">
        <f>[1]节奏总纲!AG57</f>
        <v>67.098789255934349</v>
      </c>
      <c r="AH57" s="24">
        <f>[1]节奏总纲!AH57</f>
        <v>75.574169554689718</v>
      </c>
      <c r="AL57" s="24">
        <f>[1]节奏总纲!AL57</f>
        <v>54</v>
      </c>
      <c r="AM57" s="24">
        <f>[1]节奏总纲!AM57</f>
        <v>1060.2230944101252</v>
      </c>
      <c r="AN57" s="24">
        <f>[1]节奏总纲!AN57</f>
        <v>848.17847552810019</v>
      </c>
      <c r="AO57" s="24">
        <f>[1]节奏总纲!AO57</f>
        <v>636.13385664607506</v>
      </c>
      <c r="AP57" s="24">
        <f>[1]节奏总纲!AP57</f>
        <v>424.0892377640501</v>
      </c>
      <c r="AQ57" s="24">
        <f>[1]节奏总纲!AQ57</f>
        <v>212.04461888202505</v>
      </c>
      <c r="AS57" s="24">
        <f>[1]节奏总纲!AS57</f>
        <v>54</v>
      </c>
      <c r="AT57" s="24">
        <f>[1]节奏总纲!AT57</f>
        <v>145.07777358720386</v>
      </c>
      <c r="AU57" s="24">
        <f>[1]节奏总纲!AU57</f>
        <v>116.06221886976311</v>
      </c>
      <c r="AV57" s="24">
        <f>[1]节奏总纲!AV57</f>
        <v>87.046664152322251</v>
      </c>
      <c r="AW57" s="24">
        <f>[1]节奏总纲!AW57</f>
        <v>58.031109434881557</v>
      </c>
      <c r="AX57" s="24">
        <f>[1]节奏总纲!AX57</f>
        <v>29.015554717440779</v>
      </c>
      <c r="AZ57" s="20">
        <v>54</v>
      </c>
      <c r="BA57" s="20">
        <v>33.986182150746572</v>
      </c>
      <c r="BB57" s="20">
        <v>35.390363423454687</v>
      </c>
      <c r="BC57" s="20">
        <v>37.317457773889828</v>
      </c>
      <c r="BD57" s="20">
        <v>40.052446592012309</v>
      </c>
      <c r="BE57" s="20">
        <v>44.71429731834187</v>
      </c>
      <c r="BI57" s="20">
        <v>54</v>
      </c>
      <c r="BJ57" s="32">
        <f>[1]节奏总纲!BQ57</f>
        <v>100.5064640446531</v>
      </c>
      <c r="BK57" s="32">
        <f>[1]节奏总纲!BR57</f>
        <v>99.5379191894814</v>
      </c>
      <c r="BL57" s="32">
        <f>[1]节奏总纲!BS57</f>
        <v>98.506974116675693</v>
      </c>
      <c r="BM57" s="32">
        <f>[1]节奏总纲!BT57</f>
        <v>97.444645169634811</v>
      </c>
      <c r="BN57" s="32">
        <f>[1]节奏总纲!BU57</f>
        <v>96.315276464549527</v>
      </c>
      <c r="BP57" s="20">
        <v>54</v>
      </c>
      <c r="BQ57" s="32">
        <f>[1]节奏总纲!BX57</f>
        <v>32.291963103880526</v>
      </c>
      <c r="BR57" s="32">
        <f>[1]节奏总纲!BY57</f>
        <v>32.832647261636957</v>
      </c>
      <c r="BS57" s="32">
        <f>[1]节奏总纲!BZ57</f>
        <v>33.39527305342645</v>
      </c>
      <c r="BT57" s="32">
        <f>[1]节奏总纲!CA57</f>
        <v>34.031395739895665</v>
      </c>
      <c r="BU57" s="32">
        <f>[1]节奏总纲!CB57</f>
        <v>34.686702458597871</v>
      </c>
    </row>
    <row r="58" spans="6:73" x14ac:dyDescent="0.15">
      <c r="F58" s="24">
        <f>[1]节奏总纲!F58</f>
        <v>56</v>
      </c>
      <c r="G58" s="24">
        <f>[1]节奏总纲!G58</f>
        <v>47.502930128332721</v>
      </c>
      <c r="I58" s="24">
        <f>[1]节奏总纲!I58</f>
        <v>56</v>
      </c>
      <c r="J58" s="24">
        <f>[1]节奏总纲!J58</f>
        <v>1422.6782097755249</v>
      </c>
      <c r="K58" s="24">
        <f>[1]节奏总纲!K58</f>
        <v>1.21</v>
      </c>
      <c r="N58" s="24">
        <f>[1]节奏总纲!N58</f>
        <v>65</v>
      </c>
      <c r="O58" s="24">
        <f>[1]节奏总纲!O58</f>
        <v>55</v>
      </c>
      <c r="P58" s="24">
        <f>[1]节奏总纲!P58</f>
        <v>44.254833995939045</v>
      </c>
      <c r="Q58" s="24">
        <f>[1]节奏总纲!Q58</f>
        <v>38.53268396026413</v>
      </c>
      <c r="R58" s="24">
        <f>[1]节奏总纲!R58</f>
        <v>31.642206307096416</v>
      </c>
      <c r="S58" s="24">
        <f>[1]节奏总纲!S58</f>
        <v>23.282468165263531</v>
      </c>
      <c r="T58" s="24">
        <f>[1]节奏总纲!T58</f>
        <v>12.944538943812169</v>
      </c>
      <c r="U58" s="23"/>
      <c r="V58" s="24">
        <f>[1]节奏总纲!V58</f>
        <v>55</v>
      </c>
      <c r="W58" s="24">
        <f>[1]节奏总纲!W58</f>
        <v>3.0305808512064303</v>
      </c>
      <c r="X58" s="24">
        <f>[1]节奏总纲!X58</f>
        <v>2.5851352180572889</v>
      </c>
      <c r="Y58" s="24">
        <f>[1]节奏总纲!Y58</f>
        <v>2.0885392276376038</v>
      </c>
      <c r="Z58" s="24">
        <f>[1]节奏总纲!Z58</f>
        <v>1.5201849301591821</v>
      </c>
      <c r="AA58" s="24">
        <f>[1]节奏总纲!AA58</f>
        <v>0.8328533698897278</v>
      </c>
      <c r="AC58" s="24">
        <f>[1]节奏总纲!AC58</f>
        <v>55</v>
      </c>
      <c r="AD58" s="24">
        <f>[1]节奏总纲!AD58</f>
        <v>58.071211008105138</v>
      </c>
      <c r="AE58" s="24">
        <f>[1]节奏总纲!AE58</f>
        <v>60.102437883401088</v>
      </c>
      <c r="AF58" s="24">
        <f>[1]节奏总纲!AF58</f>
        <v>62.925786777239075</v>
      </c>
      <c r="AG58" s="24">
        <f>[1]节奏总纲!AG58</f>
        <v>67.36285691246691</v>
      </c>
      <c r="AH58" s="24">
        <f>[1]节奏总纲!AH58</f>
        <v>75.829988076574182</v>
      </c>
      <c r="AL58" s="24">
        <f>[1]节奏总纲!AL58</f>
        <v>55</v>
      </c>
      <c r="AM58" s="24">
        <f>[1]节奏总纲!AM58</f>
        <v>1228.2</v>
      </c>
      <c r="AN58" s="24">
        <f>[1]节奏总纲!AN58</f>
        <v>982.56000000000006</v>
      </c>
      <c r="AO58" s="24">
        <f>[1]节奏总纲!AO58</f>
        <v>736.92</v>
      </c>
      <c r="AP58" s="24">
        <f>[1]节奏总纲!AP58</f>
        <v>491.28000000000003</v>
      </c>
      <c r="AQ58" s="24">
        <f>[1]节奏总纲!AQ58</f>
        <v>245.64000000000001</v>
      </c>
      <c r="AS58" s="24">
        <f>[1]节奏总纲!AS58</f>
        <v>55</v>
      </c>
      <c r="AT58" s="24">
        <f>[1]节奏总纲!AT58</f>
        <v>167.97690558987483</v>
      </c>
      <c r="AU58" s="24">
        <f>[1]节奏总纲!AU58</f>
        <v>134.38152447189987</v>
      </c>
      <c r="AV58" s="24">
        <f>[1]节奏总纲!AV58</f>
        <v>100.7861433539249</v>
      </c>
      <c r="AW58" s="24">
        <f>[1]节奏总纲!AW58</f>
        <v>67.190762235949933</v>
      </c>
      <c r="AX58" s="24">
        <f>[1]节奏总纲!AX58</f>
        <v>33.595381117974966</v>
      </c>
      <c r="AZ58" s="20">
        <v>55</v>
      </c>
      <c r="BA58" s="20">
        <v>34.09469189131628</v>
      </c>
      <c r="BB58" s="20">
        <v>35.512351993284277</v>
      </c>
      <c r="BC58" s="20">
        <v>37.438462561985709</v>
      </c>
      <c r="BD58" s="20">
        <v>40.168994574261895</v>
      </c>
      <c r="BE58" s="20">
        <v>44.843574549861387</v>
      </c>
      <c r="BI58" s="20">
        <v>55</v>
      </c>
      <c r="BJ58" s="32">
        <f>[1]节奏总纲!BQ58</f>
        <v>102.62698291511826</v>
      </c>
      <c r="BK58" s="32">
        <f>[1]节奏总纲!BR58</f>
        <v>101.66666489356477</v>
      </c>
      <c r="BL58" s="32">
        <f>[1]节奏总纲!BS58</f>
        <v>100.60993958592766</v>
      </c>
      <c r="BM58" s="32">
        <f>[1]节奏总纲!BT58</f>
        <v>99.483765111599226</v>
      </c>
      <c r="BN58" s="32">
        <f>[1]节奏总纲!BU58</f>
        <v>98.289119177560053</v>
      </c>
      <c r="BP58" s="20">
        <v>55</v>
      </c>
      <c r="BQ58" s="32">
        <f>[1]节奏总纲!BX58</f>
        <v>32.733609014843147</v>
      </c>
      <c r="BR58" s="32">
        <f>[1]节奏总纲!BY58</f>
        <v>33.259468274083204</v>
      </c>
      <c r="BS58" s="32">
        <f>[1]节奏总纲!BZ58</f>
        <v>33.828861415776679</v>
      </c>
      <c r="BT58" s="32">
        <f>[1]节奏总纲!CA58</f>
        <v>34.436170958710932</v>
      </c>
      <c r="BU58" s="32">
        <f>[1]节奏总纲!CB58</f>
        <v>35.119323824093144</v>
      </c>
    </row>
    <row r="59" spans="6:73" x14ac:dyDescent="0.15">
      <c r="F59" s="24">
        <f>[1]节奏总纲!F59</f>
        <v>57</v>
      </c>
      <c r="G59" s="24">
        <f>[1]节奏总纲!G59</f>
        <v>50.984153366799077</v>
      </c>
      <c r="I59" s="24">
        <f>[1]节奏总纲!I59</f>
        <v>57</v>
      </c>
      <c r="J59" s="24">
        <f>[1]节奏总纲!J59</f>
        <v>1647.8248427703616</v>
      </c>
      <c r="K59" s="24">
        <f>[1]节奏总纲!K59</f>
        <v>1.22</v>
      </c>
      <c r="N59" s="24">
        <f>[1]节奏总纲!N59</f>
        <v>66</v>
      </c>
      <c r="O59" s="24">
        <f>[1]节奏总纲!O59</f>
        <v>56</v>
      </c>
      <c r="P59" s="24">
        <f>[1]节奏总纲!P59</f>
        <v>47.502930128332721</v>
      </c>
      <c r="Q59" s="24">
        <f>[1]节奏总纲!Q59</f>
        <v>41.275295988508304</v>
      </c>
      <c r="R59" s="24">
        <f>[1]节奏总纲!R59</f>
        <v>33.888590353552566</v>
      </c>
      <c r="S59" s="24">
        <f>[1]节奏总纲!S59</f>
        <v>24.910536559297679</v>
      </c>
      <c r="T59" s="24">
        <f>[1]节奏总纲!T59</f>
        <v>13.837603546383322</v>
      </c>
      <c r="U59" s="23"/>
      <c r="V59" s="24">
        <f>[1]节奏总纲!V59</f>
        <v>56</v>
      </c>
      <c r="W59" s="24">
        <f>[1]节奏总纲!W59</f>
        <v>3.2480961323936768</v>
      </c>
      <c r="X59" s="24">
        <f>[1]节奏总纲!X59</f>
        <v>2.7426120282441744</v>
      </c>
      <c r="Y59" s="24">
        <f>[1]节奏总纲!Y59</f>
        <v>2.24638404645615</v>
      </c>
      <c r="Z59" s="24">
        <f>[1]节奏总纲!Z59</f>
        <v>1.6280683940341483</v>
      </c>
      <c r="AA59" s="24">
        <f>[1]节奏总纲!AA59</f>
        <v>0.89306460257115283</v>
      </c>
      <c r="AC59" s="24">
        <f>[1]节奏总纲!AC59</f>
        <v>56</v>
      </c>
      <c r="AD59" s="24">
        <f>[1]节奏总纲!AD59</f>
        <v>58.321281314909029</v>
      </c>
      <c r="AE59" s="24">
        <f>[1]节奏总纲!AE59</f>
        <v>60.351982057337977</v>
      </c>
      <c r="AF59" s="24">
        <f>[1]节奏总纲!AF59</f>
        <v>63.17626763611517</v>
      </c>
      <c r="AG59" s="24">
        <f>[1]节奏总纲!AG59</f>
        <v>67.626924568999456</v>
      </c>
      <c r="AH59" s="24">
        <f>[1]节奏总纲!AH59</f>
        <v>76.086647524934079</v>
      </c>
      <c r="AL59" s="24">
        <f>[1]节奏总纲!AL59</f>
        <v>56</v>
      </c>
      <c r="AM59" s="24">
        <f>[1]节奏总纲!AM59</f>
        <v>1422.6782097755249</v>
      </c>
      <c r="AN59" s="24">
        <f>[1]节奏总纲!AN59</f>
        <v>1138.14256782042</v>
      </c>
      <c r="AO59" s="24">
        <f>[1]节奏总纲!AO59</f>
        <v>853.60692586531491</v>
      </c>
      <c r="AP59" s="24">
        <f>[1]节奏总纲!AP59</f>
        <v>569.07128391021001</v>
      </c>
      <c r="AQ59" s="24">
        <f>[1]节奏总纲!AQ59</f>
        <v>284.53564195510501</v>
      </c>
      <c r="AS59" s="24">
        <f>[1]节奏总纲!AS59</f>
        <v>56</v>
      </c>
      <c r="AT59" s="24">
        <f>[1]节奏总纲!AT59</f>
        <v>194.47820977552487</v>
      </c>
      <c r="AU59" s="24">
        <f>[1]节奏总纲!AU59</f>
        <v>155.58256782041997</v>
      </c>
      <c r="AV59" s="24">
        <f>[1]节奏总纲!AV59</f>
        <v>116.68692586531495</v>
      </c>
      <c r="AW59" s="24">
        <f>[1]节奏总纲!AW59</f>
        <v>77.791283910209984</v>
      </c>
      <c r="AX59" s="24">
        <f>[1]节奏总纲!AX59</f>
        <v>38.895641955104992</v>
      </c>
      <c r="AZ59" s="20">
        <v>56</v>
      </c>
      <c r="BA59" s="20">
        <v>34.201198727632011</v>
      </c>
      <c r="BB59" s="20">
        <v>35.634340563113874</v>
      </c>
      <c r="BC59" s="20">
        <v>37.55946735008159</v>
      </c>
      <c r="BD59" s="20">
        <v>40.28554255651148</v>
      </c>
      <c r="BE59" s="20">
        <v>44.972851781380903</v>
      </c>
      <c r="BI59" s="20">
        <v>56</v>
      </c>
      <c r="BJ59" s="32">
        <f>[1]节奏总纲!BQ59</f>
        <v>104.74760945904168</v>
      </c>
      <c r="BK59" s="32">
        <f>[1]节奏总纲!BR59</f>
        <v>103.83698778121276</v>
      </c>
      <c r="BL59" s="32">
        <f>[1]节奏总纲!BS59</f>
        <v>102.85713143900996</v>
      </c>
      <c r="BM59" s="32">
        <f>[1]节奏总纲!BT59</f>
        <v>101.75206987035675</v>
      </c>
      <c r="BN59" s="32">
        <f>[1]节奏总纲!BU59</f>
        <v>100.52336200343598</v>
      </c>
      <c r="BP59" s="20">
        <v>56</v>
      </c>
      <c r="BQ59" s="32">
        <f>[1]节奏总纲!BX59</f>
        <v>33.176892907302189</v>
      </c>
      <c r="BR59" s="32">
        <f>[1]节奏总纲!BY59</f>
        <v>33.68650047037341</v>
      </c>
      <c r="BS59" s="32">
        <f>[1]节奏总纲!BZ59</f>
        <v>34.252426803545553</v>
      </c>
      <c r="BT59" s="32">
        <f>[1]节奏总纲!CA59</f>
        <v>34.869671993596455</v>
      </c>
      <c r="BU59" s="32">
        <f>[1]节奏总纲!CB59</f>
        <v>35.555098518625485</v>
      </c>
    </row>
    <row r="60" spans="6:73" x14ac:dyDescent="0.15">
      <c r="F60" s="24">
        <f>[1]节奏总纲!F60</f>
        <v>58</v>
      </c>
      <c r="G60" s="24">
        <f>[1]节奏总纲!G60</f>
        <v>54.715236050951923</v>
      </c>
      <c r="I60" s="24">
        <f>[1]节奏总纲!I60</f>
        <v>58</v>
      </c>
      <c r="J60" s="24">
        <f>[1]节奏总纲!J60</f>
        <v>1908.4603298511749</v>
      </c>
      <c r="K60" s="24">
        <f>[1]节奏总纲!K60</f>
        <v>1.23</v>
      </c>
      <c r="N60" s="24">
        <f>[1]节奏总纲!N60</f>
        <v>67</v>
      </c>
      <c r="O60" s="24">
        <f>[1]节奏总纲!O60</f>
        <v>57</v>
      </c>
      <c r="P60" s="24">
        <f>[1]节奏总纲!P60</f>
        <v>50.984153366799077</v>
      </c>
      <c r="Q60" s="24">
        <f>[1]节奏总纲!Q60</f>
        <v>44.310327691085078</v>
      </c>
      <c r="R60" s="24">
        <f>[1]节奏总纲!R60</f>
        <v>36.316012443170983</v>
      </c>
      <c r="S60" s="24">
        <f>[1]节奏总纲!S60</f>
        <v>26.664712210835919</v>
      </c>
      <c r="T60" s="24">
        <f>[1]节奏总纲!T60</f>
        <v>14.815994968391813</v>
      </c>
      <c r="U60" s="23"/>
      <c r="V60" s="24">
        <f>[1]节奏总纲!V60</f>
        <v>57</v>
      </c>
      <c r="W60" s="24">
        <f>[1]节奏总纲!W60</f>
        <v>3.481223238466356</v>
      </c>
      <c r="X60" s="24">
        <f>[1]节奏总纲!X60</f>
        <v>3.0350317025767737</v>
      </c>
      <c r="Y60" s="24">
        <f>[1]节奏总纲!Y60</f>
        <v>2.4274220896184175</v>
      </c>
      <c r="Z60" s="24">
        <f>[1]节奏总纲!Z60</f>
        <v>1.7541756515382403</v>
      </c>
      <c r="AA60" s="24">
        <f>[1]节奏总纲!AA60</f>
        <v>0.97839142200849061</v>
      </c>
      <c r="AC60" s="24">
        <f>[1]节奏总纲!AC60</f>
        <v>57</v>
      </c>
      <c r="AD60" s="24">
        <f>[1]节奏总纲!AD60</f>
        <v>58.571351621712921</v>
      </c>
      <c r="AE60" s="24">
        <f>[1]节奏总纲!AE60</f>
        <v>60.60152623127486</v>
      </c>
      <c r="AF60" s="24">
        <f>[1]节奏总纲!AF60</f>
        <v>63.421042351541736</v>
      </c>
      <c r="AG60" s="24">
        <f>[1]节奏总纲!AG60</f>
        <v>67.890992225532017</v>
      </c>
      <c r="AH60" s="24">
        <f>[1]节奏总纲!AH60</f>
        <v>76.344973133357612</v>
      </c>
      <c r="AL60" s="24">
        <f>[1]节奏总纲!AL60</f>
        <v>57</v>
      </c>
      <c r="AM60" s="24">
        <f>[1]节奏总纲!AM60</f>
        <v>1647.8248427703616</v>
      </c>
      <c r="AN60" s="24">
        <f>[1]节奏总纲!AN60</f>
        <v>1318.2598742162893</v>
      </c>
      <c r="AO60" s="24">
        <f>[1]节奏总纲!AO60</f>
        <v>988.69490566221691</v>
      </c>
      <c r="AP60" s="24">
        <f>[1]节奏总纲!AP60</f>
        <v>659.12993710814465</v>
      </c>
      <c r="AQ60" s="24">
        <f>[1]节奏总纲!AQ60</f>
        <v>329.56496855407232</v>
      </c>
      <c r="AS60" s="24">
        <f>[1]节奏总纲!AS60</f>
        <v>57</v>
      </c>
      <c r="AT60" s="24">
        <f>[1]节奏总纲!AT60</f>
        <v>225.14663299483664</v>
      </c>
      <c r="AU60" s="24">
        <f>[1]节奏总纲!AU60</f>
        <v>180.11730639586926</v>
      </c>
      <c r="AV60" s="24">
        <f>[1]节奏总纲!AV60</f>
        <v>135.087979796902</v>
      </c>
      <c r="AW60" s="24">
        <f>[1]节奏总纲!AW60</f>
        <v>90.058653197934632</v>
      </c>
      <c r="AX60" s="24">
        <f>[1]节奏总纲!AX60</f>
        <v>45.029326598967316</v>
      </c>
      <c r="AZ60" s="20">
        <v>57</v>
      </c>
      <c r="BA60" s="20">
        <v>34.307705563947749</v>
      </c>
      <c r="BB60" s="20">
        <v>35.756329132943463</v>
      </c>
      <c r="BC60" s="20">
        <v>37.680472138177478</v>
      </c>
      <c r="BD60" s="20">
        <v>40.402090538761065</v>
      </c>
      <c r="BE60" s="20">
        <v>45.088151688727308</v>
      </c>
      <c r="BI60" s="20">
        <v>57</v>
      </c>
      <c r="BJ60" s="32">
        <f>[1]节奏总纲!BQ60</f>
        <v>106.86832874572353</v>
      </c>
      <c r="BK60" s="32">
        <f>[1]节奏总纲!BR60</f>
        <v>105.93060744042049</v>
      </c>
      <c r="BL60" s="32">
        <f>[1]节奏总纲!BS60</f>
        <v>104.93378702762401</v>
      </c>
      <c r="BM60" s="32">
        <f>[1]节奏总纲!BT60</f>
        <v>103.87052361677672</v>
      </c>
      <c r="BN60" s="32">
        <f>[1]节奏总纲!BU60</f>
        <v>102.71853803916484</v>
      </c>
      <c r="BP60" s="20">
        <v>57</v>
      </c>
      <c r="BQ60" s="32">
        <f>[1]节奏总纲!BX60</f>
        <v>33.610521693288518</v>
      </c>
      <c r="BR60" s="32">
        <f>[1]节奏总纲!BY60</f>
        <v>34.136006917064577</v>
      </c>
      <c r="BS60" s="32">
        <f>[1]节奏总纲!BZ60</f>
        <v>34.683321882159184</v>
      </c>
      <c r="BT60" s="32">
        <f>[1]节奏总纲!CA60</f>
        <v>35.308560867691789</v>
      </c>
      <c r="BU60" s="32">
        <f>[1]节奏总纲!CB60</f>
        <v>36.028038378653754</v>
      </c>
    </row>
    <row r="61" spans="6:73" x14ac:dyDescent="0.15">
      <c r="F61" s="24">
        <f>[1]节奏总纲!F61</f>
        <v>59</v>
      </c>
      <c r="G61" s="24">
        <f>[1]节奏总纲!G61</f>
        <v>58.714111458355703</v>
      </c>
      <c r="I61" s="24">
        <f>[1]节奏总纲!I61</f>
        <v>59</v>
      </c>
      <c r="J61" s="24">
        <f>[1]节奏总纲!J61</f>
        <v>2210.1605665017755</v>
      </c>
      <c r="K61" s="24">
        <f>[1]节奏总纲!K61</f>
        <v>1.24</v>
      </c>
      <c r="N61" s="24">
        <f>[1]节奏总纲!N61</f>
        <v>68</v>
      </c>
      <c r="O61" s="24">
        <f>[1]节奏总纲!O61</f>
        <v>58</v>
      </c>
      <c r="P61" s="24">
        <f>[1]节奏总纲!P61</f>
        <v>54.715236050951923</v>
      </c>
      <c r="Q61" s="24">
        <f>[1]节奏总纲!Q61</f>
        <v>47.459995750595695</v>
      </c>
      <c r="R61" s="24">
        <f>[1]节奏总纲!R61</f>
        <v>38.913475879437009</v>
      </c>
      <c r="S61" s="24">
        <f>[1]节奏总纲!S61</f>
        <v>28.572296265807093</v>
      </c>
      <c r="T61" s="24">
        <f>[1]节奏总纲!T61</f>
        <v>15.856475407565867</v>
      </c>
      <c r="U61" s="23"/>
      <c r="V61" s="24">
        <f>[1]节奏总纲!V61</f>
        <v>58</v>
      </c>
      <c r="W61" s="24">
        <f>[1]节奏总纲!W61</f>
        <v>3.7310826841528453</v>
      </c>
      <c r="X61" s="24">
        <f>[1]节奏总纲!X61</f>
        <v>3.149668059510617</v>
      </c>
      <c r="Y61" s="24">
        <f>[1]节奏总纲!Y61</f>
        <v>2.5974634362660254</v>
      </c>
      <c r="Z61" s="24">
        <f>[1]节奏总纲!Z61</f>
        <v>1.9075840549711742</v>
      </c>
      <c r="AA61" s="24">
        <f>[1]节奏总纲!AA61</f>
        <v>1.0404804391740541</v>
      </c>
      <c r="AC61" s="24">
        <f>[1]节奏总纲!AC61</f>
        <v>58</v>
      </c>
      <c r="AD61" s="24">
        <f>[1]节奏总纲!AD61</f>
        <v>58.821421928516813</v>
      </c>
      <c r="AE61" s="24">
        <f>[1]节奏总纲!AE61</f>
        <v>60.851070405211743</v>
      </c>
      <c r="AF61" s="24">
        <f>[1]节奏总纲!AF61</f>
        <v>63.665817066968295</v>
      </c>
      <c r="AG61" s="24">
        <f>[1]节奏总纲!AG61</f>
        <v>68.142437172458173</v>
      </c>
      <c r="AH61" s="24">
        <f>[1]节奏总纲!AH61</f>
        <v>76.60329874178116</v>
      </c>
      <c r="AL61" s="24">
        <f>[1]节奏总纲!AL61</f>
        <v>58</v>
      </c>
      <c r="AM61" s="24">
        <f>[1]节奏总纲!AM61</f>
        <v>1908.4603298511749</v>
      </c>
      <c r="AN61" s="24">
        <f>[1]节奏总纲!AN61</f>
        <v>1526.7682638809401</v>
      </c>
      <c r="AO61" s="24">
        <f>[1]节奏总纲!AO61</f>
        <v>1145.0761979107049</v>
      </c>
      <c r="AP61" s="24">
        <f>[1]节奏总纲!AP61</f>
        <v>763.38413194047007</v>
      </c>
      <c r="AQ61" s="24">
        <f>[1]节奏总纲!AQ61</f>
        <v>381.69206597023503</v>
      </c>
      <c r="AS61" s="24">
        <f>[1]节奏总纲!AS61</f>
        <v>58</v>
      </c>
      <c r="AT61" s="24">
        <f>[1]节奏总纲!AT61</f>
        <v>260.63548708081339</v>
      </c>
      <c r="AU61" s="24">
        <f>[1]节奏总纲!AU61</f>
        <v>208.50838966465085</v>
      </c>
      <c r="AV61" s="24">
        <f>[1]节奏总纲!AV61</f>
        <v>156.38129224848797</v>
      </c>
      <c r="AW61" s="24">
        <f>[1]节奏总纲!AW61</f>
        <v>104.25419483232542</v>
      </c>
      <c r="AX61" s="24">
        <f>[1]节奏总纲!AX61</f>
        <v>52.127097416162712</v>
      </c>
      <c r="AZ61" s="20">
        <v>58</v>
      </c>
      <c r="BA61" s="20">
        <v>34.41421240026348</v>
      </c>
      <c r="BB61" s="20">
        <v>35.878317702773053</v>
      </c>
      <c r="BC61" s="20">
        <v>37.801476926273359</v>
      </c>
      <c r="BD61" s="20">
        <v>40.518638521010644</v>
      </c>
      <c r="BE61" s="20">
        <v>45.199736104837825</v>
      </c>
      <c r="BI61" s="20">
        <v>58</v>
      </c>
      <c r="BJ61" s="32">
        <f>[1]节奏总纲!BQ61</f>
        <v>108.98912790570419</v>
      </c>
      <c r="BK61" s="32">
        <f>[1]节奏总纲!BR61</f>
        <v>108.05706415648734</v>
      </c>
      <c r="BL61" s="32">
        <f>[1]节奏总纲!BS61</f>
        <v>107.0450185423547</v>
      </c>
      <c r="BM61" s="32">
        <f>[1]节奏总纲!BT61</f>
        <v>105.98041084497018</v>
      </c>
      <c r="BN61" s="32">
        <f>[1]节奏总纲!BU61</f>
        <v>104.81855388022134</v>
      </c>
      <c r="BP61" s="20">
        <v>58</v>
      </c>
      <c r="BQ61" s="32">
        <f>[1]节奏总纲!BX61</f>
        <v>34.064362584006396</v>
      </c>
      <c r="BR61" s="32">
        <f>[1]节奏总纲!BY61</f>
        <v>34.555333392643561</v>
      </c>
      <c r="BS61" s="32">
        <f>[1]节奏总纲!BZ61</f>
        <v>35.132313012164516</v>
      </c>
      <c r="BT61" s="32">
        <f>[1]节奏总纲!CA61</f>
        <v>35.773967769083114</v>
      </c>
      <c r="BU61" s="32">
        <f>[1]节奏总纲!CB61</f>
        <v>36.465928362136154</v>
      </c>
    </row>
    <row r="62" spans="6:73" x14ac:dyDescent="0.15">
      <c r="F62" s="24">
        <f>[1]节奏总纲!F62</f>
        <v>60</v>
      </c>
      <c r="G62" s="24">
        <f>[1]节奏总纲!G62</f>
        <v>63</v>
      </c>
      <c r="I62" s="24">
        <f>[1]节奏总纲!I62</f>
        <v>60</v>
      </c>
      <c r="J62" s="24">
        <f>[1]节奏总纲!J62</f>
        <v>2559.375</v>
      </c>
      <c r="K62" s="24">
        <f>[1]节奏总纲!K62</f>
        <v>1.25</v>
      </c>
      <c r="N62" s="24">
        <f>[1]节奏总纲!N62</f>
        <v>69</v>
      </c>
      <c r="O62" s="24">
        <f>[1]节奏总纲!O62</f>
        <v>59</v>
      </c>
      <c r="P62" s="24">
        <f>[1]节奏总纲!P62</f>
        <v>58.714111458355703</v>
      </c>
      <c r="Q62" s="24">
        <f>[1]节奏总纲!Q62</f>
        <v>50.940363101269412</v>
      </c>
      <c r="R62" s="24">
        <f>[1]节奏总纲!R62</f>
        <v>41.728119013453394</v>
      </c>
      <c r="S62" s="24">
        <f>[1]节奏总纲!S62</f>
        <v>30.607666303240826</v>
      </c>
      <c r="T62" s="24">
        <f>[1]节奏总纲!T62</f>
        <v>17.003606678339814</v>
      </c>
      <c r="U62" s="23"/>
      <c r="V62" s="24">
        <f>[1]节奏总纲!V62</f>
        <v>59</v>
      </c>
      <c r="W62" s="24">
        <f>[1]节奏总纲!W62</f>
        <v>3.99887540740378</v>
      </c>
      <c r="X62" s="24">
        <f>[1]节奏总纲!X62</f>
        <v>3.4803673506737169</v>
      </c>
      <c r="Y62" s="24">
        <f>[1]节奏总纲!Y62</f>
        <v>2.8146431340163858</v>
      </c>
      <c r="Z62" s="24">
        <f>[1]节奏总纲!Z62</f>
        <v>2.0353700374337329</v>
      </c>
      <c r="AA62" s="24">
        <f>[1]节奏总纲!AA62</f>
        <v>1.1471312707739472</v>
      </c>
      <c r="AC62" s="24">
        <f>[1]节奏总纲!AC62</f>
        <v>59</v>
      </c>
      <c r="AD62" s="24">
        <f>[1]节奏总纲!AD62</f>
        <v>59.066704614192936</v>
      </c>
      <c r="AE62" s="24">
        <f>[1]节奏总纲!AE62</f>
        <v>61.094954819415335</v>
      </c>
      <c r="AF62" s="24">
        <f>[1]节奏总纲!AF62</f>
        <v>63.91059178239486</v>
      </c>
      <c r="AG62" s="24">
        <f>[1]节奏总纲!AG62</f>
        <v>68.385008299388929</v>
      </c>
      <c r="AH62" s="24">
        <f>[1]节奏总纲!AH62</f>
        <v>76.861624350204693</v>
      </c>
      <c r="AL62" s="24">
        <f>[1]节奏总纲!AL62</f>
        <v>59</v>
      </c>
      <c r="AM62" s="24">
        <f>[1]节奏总纲!AM62</f>
        <v>2210.1605665017755</v>
      </c>
      <c r="AN62" s="24">
        <f>[1]节奏总纲!AN62</f>
        <v>1768.1284532014206</v>
      </c>
      <c r="AO62" s="24">
        <f>[1]节奏总纲!AO62</f>
        <v>1326.0963399010652</v>
      </c>
      <c r="AP62" s="24">
        <f>[1]节奏总纲!AP62</f>
        <v>884.0642266007103</v>
      </c>
      <c r="AQ62" s="24">
        <f>[1]节奏总纲!AQ62</f>
        <v>442.03211330035515</v>
      </c>
      <c r="AS62" s="24">
        <f>[1]节奏总纲!AS62</f>
        <v>59</v>
      </c>
      <c r="AT62" s="24">
        <f>[1]节奏总纲!AT62</f>
        <v>301.70023665060057</v>
      </c>
      <c r="AU62" s="24">
        <f>[1]节奏总纲!AU62</f>
        <v>241.36018932048046</v>
      </c>
      <c r="AV62" s="24">
        <f>[1]节奏总纲!AV62</f>
        <v>181.02014199036034</v>
      </c>
      <c r="AW62" s="24">
        <f>[1]节奏总纲!AW62</f>
        <v>120.68009466024023</v>
      </c>
      <c r="AX62" s="24">
        <f>[1]节奏总纲!AX62</f>
        <v>60.340047330120115</v>
      </c>
      <c r="AZ62" s="20">
        <v>59</v>
      </c>
      <c r="BA62" s="20">
        <v>34.520719236579211</v>
      </c>
      <c r="BB62" s="20">
        <v>36.000264155774609</v>
      </c>
      <c r="BC62" s="20">
        <v>37.922481714369241</v>
      </c>
      <c r="BD62" s="20">
        <v>40.635186503260229</v>
      </c>
      <c r="BE62" s="20">
        <v>45.31132052094835</v>
      </c>
      <c r="BI62" s="20">
        <v>59</v>
      </c>
      <c r="BJ62" s="32">
        <f>[1]节奏总纲!BQ62</f>
        <v>111.10262975447033</v>
      </c>
      <c r="BK62" s="32">
        <f>[1]节奏总纲!BR62</f>
        <v>110.20947507564244</v>
      </c>
      <c r="BL62" s="32">
        <f>[1]节奏总纲!BS62</f>
        <v>109.25629876969376</v>
      </c>
      <c r="BM62" s="32">
        <f>[1]节奏总纲!BT62</f>
        <v>108.20567887066987</v>
      </c>
      <c r="BN62" s="32">
        <f>[1]节奏总纲!BU62</f>
        <v>107.05837602863994</v>
      </c>
      <c r="BP62" s="20">
        <v>59</v>
      </c>
      <c r="BQ62" s="32">
        <f>[1]节奏总纲!BX62</f>
        <v>34.490270152469755</v>
      </c>
      <c r="BR62" s="32">
        <f>[1]节奏总纲!BY62</f>
        <v>35.017122693980703</v>
      </c>
      <c r="BS62" s="32">
        <f>[1]节奏总纲!BZ62</f>
        <v>35.590118732830298</v>
      </c>
      <c r="BT62" s="32">
        <f>[1]节奏总纲!CA62</f>
        <v>36.233346855347108</v>
      </c>
      <c r="BU62" s="32">
        <f>[1]节奏总纲!CB62</f>
        <v>36.948702736645387</v>
      </c>
    </row>
    <row r="63" spans="6:73" x14ac:dyDescent="0.15">
      <c r="F63" s="24">
        <f>[1]节奏总纲!F63</f>
        <v>61</v>
      </c>
      <c r="G63" s="24">
        <f>[1]节奏总纲!G63</f>
        <v>67.593501602322732</v>
      </c>
      <c r="I63" s="24">
        <f>[1]节奏总纲!I63</f>
        <v>61</v>
      </c>
      <c r="J63" s="24">
        <f>[1]节奏总纲!J63</f>
        <v>2963.5631311027469</v>
      </c>
      <c r="K63" s="24">
        <f>[1]节奏总纲!K63</f>
        <v>1.26</v>
      </c>
      <c r="N63" s="24">
        <f>[1]节奏总纲!N63</f>
        <v>70</v>
      </c>
      <c r="O63" s="24">
        <f>[1]节奏总纲!O63</f>
        <v>60</v>
      </c>
      <c r="P63" s="24">
        <f>[1]节奏总纲!P63</f>
        <v>63</v>
      </c>
      <c r="Q63" s="24">
        <f>[1]节奏总纲!Q63</f>
        <v>54.589500000000001</v>
      </c>
      <c r="R63" s="24">
        <f>[1]节奏总纲!R63</f>
        <v>44.717399999999998</v>
      </c>
      <c r="S63" s="24">
        <f>[1]节奏总纲!S63</f>
        <v>32.810400000000001</v>
      </c>
      <c r="T63" s="24">
        <f>[1]节奏总纲!T63</f>
        <v>18.276300000000003</v>
      </c>
      <c r="U63" s="23"/>
      <c r="V63" s="24">
        <f>[1]节奏总纲!V63</f>
        <v>60</v>
      </c>
      <c r="W63" s="24">
        <f>[1]节奏总纲!W63</f>
        <v>4.2858885416442973</v>
      </c>
      <c r="X63" s="24">
        <f>[1]节奏总纲!X63</f>
        <v>3.649136898730589</v>
      </c>
      <c r="Y63" s="24">
        <f>[1]节奏总纲!Y63</f>
        <v>2.9892809865466035</v>
      </c>
      <c r="Z63" s="24">
        <f>[1]节奏总纲!Z63</f>
        <v>2.2027336967591751</v>
      </c>
      <c r="AA63" s="24">
        <f>[1]节奏总纲!AA63</f>
        <v>1.2726933216601886</v>
      </c>
      <c r="AC63" s="24">
        <f>[1]节奏总纲!AC63</f>
        <v>60</v>
      </c>
      <c r="AD63" s="24">
        <f>[1]节奏总纲!AD63</f>
        <v>59.300028460644697</v>
      </c>
      <c r="AE63" s="24">
        <f>[1]节奏总纲!AE63</f>
        <v>61.330461663183208</v>
      </c>
      <c r="AF63" s="24">
        <f>[1]节奏总纲!AF63</f>
        <v>64.14304723627319</v>
      </c>
      <c r="AG63" s="24">
        <f>[1]节奏总纲!AG63</f>
        <v>68.627579426319684</v>
      </c>
      <c r="AH63" s="24">
        <f>[1]节奏总纲!AH63</f>
        <v>77.112805903056142</v>
      </c>
      <c r="AL63" s="24">
        <f>[1]节奏总纲!AL63</f>
        <v>60</v>
      </c>
      <c r="AM63" s="24">
        <f>[1]节奏总纲!AM63</f>
        <v>2559.375</v>
      </c>
      <c r="AN63" s="24">
        <f>[1]节奏总纲!AN63</f>
        <v>2047.5</v>
      </c>
      <c r="AO63" s="24">
        <f>[1]节奏总纲!AO63</f>
        <v>1535.625</v>
      </c>
      <c r="AP63" s="24">
        <f>[1]节奏总纲!AP63</f>
        <v>1023.75</v>
      </c>
      <c r="AQ63" s="24">
        <f>[1]节奏总纲!AQ63</f>
        <v>511.875</v>
      </c>
      <c r="AS63" s="24">
        <f>[1]节奏总纲!AS63</f>
        <v>60</v>
      </c>
      <c r="AT63" s="24">
        <f>[1]节奏总纲!AT63</f>
        <v>349.21443349822448</v>
      </c>
      <c r="AU63" s="24">
        <f>[1]节奏总纲!AU63</f>
        <v>279.3715467985794</v>
      </c>
      <c r="AV63" s="24">
        <f>[1]节奏总纲!AV63</f>
        <v>209.52866009893478</v>
      </c>
      <c r="AW63" s="24">
        <f>[1]节奏总纲!AW63</f>
        <v>139.6857733992897</v>
      </c>
      <c r="AX63" s="24">
        <f>[1]节奏总纲!AX63</f>
        <v>69.842886699644851</v>
      </c>
      <c r="AZ63" s="20">
        <v>60</v>
      </c>
      <c r="BA63" s="20">
        <v>34.627226072894942</v>
      </c>
      <c r="BB63" s="20">
        <v>36.105477566569242</v>
      </c>
      <c r="BC63" s="20">
        <v>38.037513426486328</v>
      </c>
      <c r="BD63" s="20">
        <v>40.751734485509814</v>
      </c>
      <c r="BE63" s="20">
        <v>45.422904937058867</v>
      </c>
      <c r="BI63" s="20">
        <v>60</v>
      </c>
      <c r="BJ63" s="32">
        <f>[1]节奏总纲!BQ63</f>
        <v>113.21545878873063</v>
      </c>
      <c r="BK63" s="32">
        <f>[1]节奏总纲!BR63</f>
        <v>112.29538714242203</v>
      </c>
      <c r="BL63" s="32">
        <f>[1]节奏总纲!BS63</f>
        <v>111.32275250484524</v>
      </c>
      <c r="BM63" s="32">
        <f>[1]节奏总纲!BT63</f>
        <v>110.29731048917512</v>
      </c>
      <c r="BN63" s="32">
        <f>[1]节奏总纲!BU63</f>
        <v>109.19465210702913</v>
      </c>
      <c r="BP63" s="20">
        <v>60</v>
      </c>
      <c r="BQ63" s="32">
        <f>[1]节奏总纲!BX63</f>
        <v>34.946746581842135</v>
      </c>
      <c r="BR63" s="32">
        <f>[1]节奏总纲!BY63</f>
        <v>35.462275685369235</v>
      </c>
      <c r="BS63" s="32">
        <f>[1]节奏总纲!BZ63</f>
        <v>36.065833153381824</v>
      </c>
      <c r="BT63" s="32">
        <f>[1]节奏总纲!CA63</f>
        <v>36.696861105963713</v>
      </c>
      <c r="BU63" s="32">
        <f>[1]节奏总纲!CB63</f>
        <v>37.417758642742506</v>
      </c>
    </row>
    <row r="64" spans="6:73" x14ac:dyDescent="0.15">
      <c r="F64" s="24">
        <f>[1]节奏总纲!F64</f>
        <v>62</v>
      </c>
      <c r="G64" s="24">
        <f>[1]节奏总纲!G64</f>
        <v>72.516694719810218</v>
      </c>
      <c r="I64" s="24">
        <f>[1]节奏总纲!I64</f>
        <v>62</v>
      </c>
      <c r="J64" s="24">
        <f>[1]节奏总纲!J64</f>
        <v>3431.3522956038646</v>
      </c>
      <c r="K64" s="24">
        <f>[1]节奏总纲!K64</f>
        <v>1.27</v>
      </c>
      <c r="N64" s="24">
        <f>[1]节奏总纲!N64</f>
        <v>71</v>
      </c>
      <c r="O64" s="24">
        <f>[1]节奏总纲!O64</f>
        <v>61</v>
      </c>
      <c r="P64" s="24">
        <f>[1]节奏总纲!P64</f>
        <v>67.593501602322732</v>
      </c>
      <c r="Q64" s="24">
        <f>[1]节奏总纲!Q64</f>
        <v>58.596806539053574</v>
      </c>
      <c r="R64" s="24">
        <f>[1]节奏总纲!R64</f>
        <v>47.977867437328676</v>
      </c>
      <c r="S64" s="24">
        <f>[1]节奏总纲!S64</f>
        <v>35.229733035130607</v>
      </c>
      <c r="T64" s="24">
        <f>[1]节奏总纲!T64</f>
        <v>19.602115464673592</v>
      </c>
      <c r="U64" s="23"/>
      <c r="V64" s="24">
        <f>[1]节奏总纲!V64</f>
        <v>61</v>
      </c>
      <c r="W64" s="24">
        <f>[1]节奏总纲!W64</f>
        <v>4.593501602322732</v>
      </c>
      <c r="X64" s="24">
        <f>[1]节奏总纲!X64</f>
        <v>4.0073065390535731</v>
      </c>
      <c r="Y64" s="24">
        <f>[1]节奏总纲!Y64</f>
        <v>3.2604674373286784</v>
      </c>
      <c r="Z64" s="24">
        <f>[1]节奏总纲!Z64</f>
        <v>2.4193330351306059</v>
      </c>
      <c r="AA64" s="24">
        <f>[1]节奏总纲!AA64</f>
        <v>1.3258154646735889</v>
      </c>
      <c r="AC64" s="24">
        <f>[1]节奏总纲!AC64</f>
        <v>61</v>
      </c>
      <c r="AD64" s="24">
        <f>[1]节奏总纲!AD64</f>
        <v>59.533352307096465</v>
      </c>
      <c r="AE64" s="24">
        <f>[1]节奏总纲!AE64</f>
        <v>61.56596850695108</v>
      </c>
      <c r="AF64" s="24">
        <f>[1]节奏总纲!AF64</f>
        <v>64.368413367596901</v>
      </c>
      <c r="AG64" s="24">
        <f>[1]节奏总纲!AG64</f>
        <v>68.870150553250454</v>
      </c>
      <c r="AH64" s="24">
        <f>[1]节奏总纲!AH64</f>
        <v>77.355745991356301</v>
      </c>
      <c r="AL64" s="24">
        <f>[1]节奏总纲!AL64</f>
        <v>61</v>
      </c>
      <c r="AM64" s="24">
        <f>[1]节奏总纲!AM64</f>
        <v>2963.5631311027469</v>
      </c>
      <c r="AN64" s="24">
        <f>[1]节奏总纲!AN64</f>
        <v>2370.8505048821976</v>
      </c>
      <c r="AO64" s="24">
        <f>[1]节奏总纲!AO64</f>
        <v>1778.1378786616481</v>
      </c>
      <c r="AP64" s="24">
        <f>[1]节奏总纲!AP64</f>
        <v>1185.4252524410988</v>
      </c>
      <c r="AQ64" s="24">
        <f>[1]节奏总纲!AQ64</f>
        <v>592.7126262205494</v>
      </c>
      <c r="AS64" s="24">
        <f>[1]节奏总纲!AS64</f>
        <v>61</v>
      </c>
      <c r="AT64" s="24">
        <f>[1]节奏总纲!AT64</f>
        <v>404.18813110274687</v>
      </c>
      <c r="AU64" s="24">
        <f>[1]节奏总纲!AU64</f>
        <v>323.35050488219758</v>
      </c>
      <c r="AV64" s="24">
        <f>[1]节奏总纲!AV64</f>
        <v>242.51287866164807</v>
      </c>
      <c r="AW64" s="24">
        <f>[1]节奏总纲!AW64</f>
        <v>161.67525244109879</v>
      </c>
      <c r="AX64" s="24">
        <f>[1]节奏总纲!AX64</f>
        <v>80.837626220549396</v>
      </c>
      <c r="AZ64" s="20">
        <v>61</v>
      </c>
      <c r="BA64" s="20">
        <v>34.733732909210673</v>
      </c>
      <c r="BB64" s="20">
        <v>36.210690977363875</v>
      </c>
      <c r="BC64" s="20">
        <v>38.14189763688286</v>
      </c>
      <c r="BD64" s="20">
        <v>40.8682824677594</v>
      </c>
      <c r="BE64" s="20">
        <v>45.534489353169384</v>
      </c>
      <c r="BI64" s="20">
        <v>61</v>
      </c>
      <c r="BJ64" s="32">
        <f>[1]节奏总纲!BQ64</f>
        <v>115.32833539528137</v>
      </c>
      <c r="BK64" s="32">
        <f>[1]节奏总纲!BR64</f>
        <v>114.41842394774007</v>
      </c>
      <c r="BL64" s="32">
        <f>[1]节奏总纲!BS64</f>
        <v>113.42974477170841</v>
      </c>
      <c r="BM64" s="32">
        <f>[1]节奏总纲!BT64</f>
        <v>112.37441833838224</v>
      </c>
      <c r="BN64" s="32">
        <f>[1]节奏总纲!BU64</f>
        <v>111.23877737165789</v>
      </c>
      <c r="BP64" s="20">
        <v>61</v>
      </c>
      <c r="BQ64" s="32">
        <f>[1]节奏总纲!BX64</f>
        <v>35.39948832484999</v>
      </c>
      <c r="BR64" s="32">
        <f>[1]节奏总纲!BY64</f>
        <v>35.951121278937144</v>
      </c>
      <c r="BS64" s="32">
        <f>[1]节奏总纲!BZ64</f>
        <v>36.523226353203405</v>
      </c>
      <c r="BT64" s="32">
        <f>[1]节奏总纲!CA64</f>
        <v>37.177648787597903</v>
      </c>
      <c r="BU64" s="32">
        <f>[1]节奏总纲!CB64</f>
        <v>37.899048700813722</v>
      </c>
    </row>
    <row r="65" spans="6:73" x14ac:dyDescent="0.15">
      <c r="F65" s="24">
        <f>[1]节奏总纲!F65</f>
        <v>63</v>
      </c>
      <c r="G65" s="24">
        <f>[1]节奏总纲!G65</f>
        <v>77.793242454074615</v>
      </c>
      <c r="I65" s="24">
        <f>[1]节奏总纲!I65</f>
        <v>63</v>
      </c>
      <c r="J65" s="24">
        <f>[1]节奏总纲!J65</f>
        <v>3972.7200361130153</v>
      </c>
      <c r="K65" s="24">
        <f>[1]节奏总纲!K65</f>
        <v>1.28</v>
      </c>
      <c r="N65" s="24">
        <f>[1]节奏总纲!N65</f>
        <v>72</v>
      </c>
      <c r="O65" s="24">
        <f>[1]节奏总纲!O65</f>
        <v>62</v>
      </c>
      <c r="P65" s="24">
        <f>[1]节奏总纲!P65</f>
        <v>72.516694719810218</v>
      </c>
      <c r="Q65" s="24">
        <f>[1]节奏总纲!Q65</f>
        <v>62.842967644187539</v>
      </c>
      <c r="R65" s="24">
        <f>[1]节奏总纲!R65</f>
        <v>51.5086082594812</v>
      </c>
      <c r="S65" s="24">
        <f>[1]节奏总纲!S65</f>
        <v>37.846462974268952</v>
      </c>
      <c r="T65" s="24">
        <f>[1]节奏总纲!T65</f>
        <v>21.124113171880715</v>
      </c>
      <c r="U65" s="23"/>
      <c r="V65" s="24">
        <f>[1]节奏总纲!V65</f>
        <v>62</v>
      </c>
      <c r="W65" s="24">
        <f>[1]节奏总纲!W65</f>
        <v>4.9231931174874859</v>
      </c>
      <c r="X65" s="24">
        <f>[1]节奏总纲!X65</f>
        <v>4.2461611051339645</v>
      </c>
      <c r="Y65" s="24">
        <f>[1]节奏总纲!Y65</f>
        <v>3.5307408221525236</v>
      </c>
      <c r="Z65" s="24">
        <f>[1]节奏总纲!Z65</f>
        <v>2.6167299391383452</v>
      </c>
      <c r="AA65" s="24">
        <f>[1]节奏总纲!AA65</f>
        <v>1.5219977072071238</v>
      </c>
      <c r="AC65" s="24">
        <f>[1]节奏总纲!AC65</f>
        <v>62</v>
      </c>
      <c r="AD65" s="24">
        <f>[1]节奏总纲!AD65</f>
        <v>59.766676153548232</v>
      </c>
      <c r="AE65" s="24">
        <f>[1]节奏总纲!AE65</f>
        <v>61.801475350718952</v>
      </c>
      <c r="AF65" s="24">
        <f>[1]节奏总纲!AF65</f>
        <v>64.593779498920611</v>
      </c>
      <c r="AG65" s="24">
        <f>[1]节奏总纲!AG65</f>
        <v>69.105843627521551</v>
      </c>
      <c r="AH65" s="24">
        <f>[1]节奏总纲!AH65</f>
        <v>77.59868607965646</v>
      </c>
      <c r="AL65" s="24">
        <f>[1]节奏总纲!AL65</f>
        <v>62</v>
      </c>
      <c r="AM65" s="24">
        <f>[1]节奏总纲!AM65</f>
        <v>3431.3522956038646</v>
      </c>
      <c r="AN65" s="24">
        <f>[1]节奏总纲!AN65</f>
        <v>2745.081836483092</v>
      </c>
      <c r="AO65" s="24">
        <f>[1]节奏总纲!AO65</f>
        <v>2058.8113773623186</v>
      </c>
      <c r="AP65" s="24">
        <f>[1]节奏总纲!AP65</f>
        <v>1372.540918241546</v>
      </c>
      <c r="AQ65" s="24">
        <f>[1]节奏总纲!AQ65</f>
        <v>686.27045912077301</v>
      </c>
      <c r="AS65" s="24">
        <f>[1]节奏总纲!AS65</f>
        <v>62</v>
      </c>
      <c r="AT65" s="24">
        <f>[1]节奏总纲!AT65</f>
        <v>467.78916450111774</v>
      </c>
      <c r="AU65" s="24">
        <f>[1]节奏总纲!AU65</f>
        <v>374.23133160089446</v>
      </c>
      <c r="AV65" s="24">
        <f>[1]节奏总纲!AV65</f>
        <v>280.67349870067051</v>
      </c>
      <c r="AW65" s="24">
        <f>[1]节奏总纲!AW65</f>
        <v>187.11566580044723</v>
      </c>
      <c r="AX65" s="24">
        <f>[1]节奏总纲!AX65</f>
        <v>93.557832900223616</v>
      </c>
      <c r="AZ65" s="20">
        <v>62</v>
      </c>
      <c r="BA65" s="20">
        <v>34.840239745526404</v>
      </c>
      <c r="BB65" s="20">
        <v>36.315904388158508</v>
      </c>
      <c r="BC65" s="20">
        <v>38.246281847279398</v>
      </c>
      <c r="BD65" s="20">
        <v>40.984830450008978</v>
      </c>
      <c r="BE65" s="20">
        <v>45.646073769279901</v>
      </c>
      <c r="BI65" s="20">
        <v>62</v>
      </c>
      <c r="BJ65" s="32">
        <f>[1]节奏总纲!BQ65</f>
        <v>117.44125295293078</v>
      </c>
      <c r="BK65" s="32">
        <f>[1]节奏总纲!BR65</f>
        <v>116.57008716694446</v>
      </c>
      <c r="BL65" s="32">
        <f>[1]节奏总纲!BS65</f>
        <v>115.63935175516689</v>
      </c>
      <c r="BM65" s="32">
        <f>[1]节奏总纲!BT65</f>
        <v>114.60606674176169</v>
      </c>
      <c r="BN65" s="32">
        <f>[1]节奏总纲!BU65</f>
        <v>113.4549371467006</v>
      </c>
      <c r="BP65" s="20">
        <v>62</v>
      </c>
      <c r="BQ65" s="32">
        <f>[1]节奏总纲!BX65</f>
        <v>35.879946954767739</v>
      </c>
      <c r="BR65" s="32">
        <f>[1]节奏总纲!BY65</f>
        <v>36.404595889192997</v>
      </c>
      <c r="BS65" s="32">
        <f>[1]节奏总纲!BZ65</f>
        <v>37.015987444264518</v>
      </c>
      <c r="BT65" s="32">
        <f>[1]节奏总纲!CA65</f>
        <v>37.65260406528229</v>
      </c>
      <c r="BU65" s="32">
        <f>[1]节奏总纲!CB65</f>
        <v>38.389532424015663</v>
      </c>
    </row>
    <row r="66" spans="6:73" x14ac:dyDescent="0.15">
      <c r="F66" s="24">
        <f>[1]节奏总纲!F66</f>
        <v>64</v>
      </c>
      <c r="G66" s="24">
        <f>[1]节奏总纲!G66</f>
        <v>83.4485062894652</v>
      </c>
      <c r="I66" s="24">
        <f>[1]节奏总纲!I66</f>
        <v>64</v>
      </c>
      <c r="J66" s="24">
        <f>[1]节奏总纲!J66</f>
        <v>4599.2048883665893</v>
      </c>
      <c r="K66" s="24">
        <f>[1]节奏总纲!K66</f>
        <v>1.29</v>
      </c>
      <c r="N66" s="24">
        <f>[1]节奏总纲!N66</f>
        <v>73</v>
      </c>
      <c r="O66" s="24">
        <f>[1]节奏总纲!O66</f>
        <v>63</v>
      </c>
      <c r="P66" s="24">
        <f>[1]节奏总纲!P66</f>
        <v>77.793242454074615</v>
      </c>
      <c r="Q66" s="24">
        <f>[1]节奏总纲!Q66</f>
        <v>67.470079180418907</v>
      </c>
      <c r="R66" s="24">
        <f>[1]节奏总纲!R66</f>
        <v>55.27987808786542</v>
      </c>
      <c r="S66" s="24">
        <f>[1]节奏总纲!S66</f>
        <v>40.678086479235617</v>
      </c>
      <c r="T66" s="24">
        <f>[1]节奏总纲!T66</f>
        <v>22.700068148098975</v>
      </c>
      <c r="U66" s="23"/>
      <c r="V66" s="24">
        <f>[1]节奏总纲!V66</f>
        <v>63</v>
      </c>
      <c r="W66" s="24">
        <f>[1]节奏总纲!W66</f>
        <v>5.2765477342643976</v>
      </c>
      <c r="X66" s="24">
        <f>[1]节奏总纲!X66</f>
        <v>4.6271115362313679</v>
      </c>
      <c r="Y66" s="24">
        <f>[1]节奏总纲!Y66</f>
        <v>3.7712698283842201</v>
      </c>
      <c r="Z66" s="24">
        <f>[1]节奏总纲!Z66</f>
        <v>2.8316235049666645</v>
      </c>
      <c r="AA66" s="24">
        <f>[1]节奏总纲!AA66</f>
        <v>1.5759549762182594</v>
      </c>
      <c r="AC66" s="24">
        <f>[1]节奏总纲!AC66</f>
        <v>63</v>
      </c>
      <c r="AD66" s="24">
        <f>[1]节奏总纲!AD66</f>
        <v>60</v>
      </c>
      <c r="AE66" s="24">
        <f>[1]节奏总纲!AE66</f>
        <v>62.033937447710706</v>
      </c>
      <c r="AF66" s="24">
        <f>[1]节奏总纲!AF66</f>
        <v>64.819145630244321</v>
      </c>
      <c r="AG66" s="24">
        <f>[1]节奏总纲!AG66</f>
        <v>69.333613546893503</v>
      </c>
      <c r="AH66" s="24">
        <f>[1]节奏总纲!AH66</f>
        <v>77.841626167956619</v>
      </c>
      <c r="AL66" s="24">
        <f>[1]节奏总纲!AL66</f>
        <v>63</v>
      </c>
      <c r="AM66" s="24">
        <f>[1]节奏总纲!AM66</f>
        <v>3972.7200361130153</v>
      </c>
      <c r="AN66" s="24">
        <f>[1]节奏总纲!AN66</f>
        <v>3178.1760288904125</v>
      </c>
      <c r="AO66" s="24">
        <f>[1]节奏总纲!AO66</f>
        <v>2383.6320216678091</v>
      </c>
      <c r="AP66" s="24">
        <f>[1]节奏总纲!AP66</f>
        <v>1589.0880144452062</v>
      </c>
      <c r="AQ66" s="24">
        <f>[1]节奏总纲!AQ66</f>
        <v>794.54400722260311</v>
      </c>
      <c r="AS66" s="24">
        <f>[1]节奏总纲!AS66</f>
        <v>63</v>
      </c>
      <c r="AT66" s="24">
        <f>[1]节奏总纲!AT66</f>
        <v>541.36774050915074</v>
      </c>
      <c r="AU66" s="24">
        <f>[1]节奏总纲!AU66</f>
        <v>433.09419240732041</v>
      </c>
      <c r="AV66" s="24">
        <f>[1]节奏总纲!AV66</f>
        <v>324.82064430549053</v>
      </c>
      <c r="AW66" s="24">
        <f>[1]节奏总纲!AW66</f>
        <v>216.5470962036602</v>
      </c>
      <c r="AX66" s="24">
        <f>[1]节奏总纲!AX66</f>
        <v>108.2735481018301</v>
      </c>
      <c r="AZ66" s="20">
        <v>63</v>
      </c>
      <c r="BA66" s="20">
        <v>34.946746581842135</v>
      </c>
      <c r="BB66" s="20">
        <v>36.421117798953141</v>
      </c>
      <c r="BC66" s="20">
        <v>38.35066605767593</v>
      </c>
      <c r="BD66" s="20">
        <v>41.087476216725996</v>
      </c>
      <c r="BE66" s="20">
        <v>45.757658185390426</v>
      </c>
      <c r="BI66" s="20">
        <v>63</v>
      </c>
      <c r="BJ66" s="32">
        <f>[1]节奏总纲!BQ66</f>
        <v>119.55420575752977</v>
      </c>
      <c r="BK66" s="32">
        <f>[1]节奏总纲!BR66</f>
        <v>118.67207694028556</v>
      </c>
      <c r="BL66" s="32">
        <f>[1]节奏总纲!BS66</f>
        <v>117.73975971101574</v>
      </c>
      <c r="BM66" s="32">
        <f>[1]节奏总纲!BT66</f>
        <v>116.73393678080937</v>
      </c>
      <c r="BN66" s="32">
        <f>[1]节奏总纲!BU66</f>
        <v>115.65492353979617</v>
      </c>
      <c r="BP66" s="20">
        <v>63</v>
      </c>
      <c r="BQ66" s="32">
        <f>[1]节奏总纲!BX66</f>
        <v>36.340586819184892</v>
      </c>
      <c r="BR66" s="32">
        <f>[1]节奏总纲!BY66</f>
        <v>36.891430076047094</v>
      </c>
      <c r="BS66" s="32">
        <f>[1]节奏总纲!BZ66</f>
        <v>37.472329150700546</v>
      </c>
      <c r="BT66" s="32">
        <f>[1]节奏总纲!CA66</f>
        <v>38.143685709059689</v>
      </c>
      <c r="BU66" s="32">
        <f>[1]节奏总纲!CB66</f>
        <v>38.883046871454752</v>
      </c>
    </row>
    <row r="67" spans="6:73" x14ac:dyDescent="0.15">
      <c r="F67" s="24">
        <f>[1]节奏总纲!F67</f>
        <v>65</v>
      </c>
      <c r="G67" s="24">
        <f>[1]节奏总纲!G67</f>
        <v>89.509667991878061</v>
      </c>
      <c r="I67" s="24">
        <f>[1]节奏总纲!I67</f>
        <v>65</v>
      </c>
      <c r="J67" s="24">
        <f>[1]节奏总纲!J67</f>
        <v>5324.1500000000005</v>
      </c>
      <c r="K67" s="24">
        <f>[1]节奏总纲!K67</f>
        <v>1.3</v>
      </c>
      <c r="N67" s="24">
        <f>[1]节奏总纲!N67</f>
        <v>74</v>
      </c>
      <c r="O67" s="24">
        <f>[1]节奏总纲!O67</f>
        <v>64</v>
      </c>
      <c r="P67" s="24">
        <f>[1]节奏总纲!P67</f>
        <v>83.4485062894652</v>
      </c>
      <c r="Q67" s="24">
        <f>[1]节奏总纲!Q67</f>
        <v>72.399924056740005</v>
      </c>
      <c r="R67" s="24">
        <f>[1]节奏总纲!R67</f>
        <v>59.365267374325548</v>
      </c>
      <c r="S67" s="24">
        <f>[1]节奏总纲!S67</f>
        <v>43.718672445050821</v>
      </c>
      <c r="T67" s="24">
        <f>[1]节奏总纲!T67</f>
        <v>24.341929284637001</v>
      </c>
      <c r="U67" s="23"/>
      <c r="V67" s="24">
        <f>[1]节奏总纲!V67</f>
        <v>64</v>
      </c>
      <c r="W67" s="24">
        <f>[1]节奏总纲!W67</f>
        <v>5.6552638353905849</v>
      </c>
      <c r="X67" s="24">
        <f>[1]节奏总纲!X67</f>
        <v>4.9298448763210985</v>
      </c>
      <c r="Y67" s="24">
        <f>[1]节奏总纲!Y67</f>
        <v>4.0853892864601278</v>
      </c>
      <c r="Z67" s="24">
        <f>[1]节奏总纲!Z67</f>
        <v>3.0405859658152039</v>
      </c>
      <c r="AA67" s="24">
        <f>[1]节奏总纲!AA67</f>
        <v>1.6418611365380258</v>
      </c>
      <c r="AC67" s="24">
        <f>[1]节奏总纲!AC67</f>
        <v>64</v>
      </c>
      <c r="AD67" s="24">
        <f>[1]节奏总纲!AD67</f>
        <v>60.217698846451768</v>
      </c>
      <c r="AE67" s="24">
        <f>[1]节奏总纲!AE67</f>
        <v>62.250054995811666</v>
      </c>
      <c r="AF67" s="24">
        <f>[1]节奏总纲!AF67</f>
        <v>65.042129882798193</v>
      </c>
      <c r="AG67" s="24">
        <f>[1]节奏总纲!AG67</f>
        <v>69.56138346626544</v>
      </c>
      <c r="AH67" s="24">
        <f>[1]节奏总纲!AH67</f>
        <v>78.077870469399883</v>
      </c>
      <c r="AL67" s="24">
        <f>[1]节奏总纲!AL67</f>
        <v>64</v>
      </c>
      <c r="AM67" s="24">
        <f>[1]节奏总纲!AM67</f>
        <v>4599.2048883665893</v>
      </c>
      <c r="AN67" s="24">
        <f>[1]节奏总纲!AN67</f>
        <v>3679.3639106932715</v>
      </c>
      <c r="AO67" s="24">
        <f>[1]节奏总纲!AO67</f>
        <v>2759.5229330199536</v>
      </c>
      <c r="AP67" s="24">
        <f>[1]节奏总纲!AP67</f>
        <v>1839.6819553466357</v>
      </c>
      <c r="AQ67" s="24">
        <f>[1]节奏总纲!AQ67</f>
        <v>919.84097767331787</v>
      </c>
      <c r="AS67" s="24">
        <f>[1]节奏总纲!AS67</f>
        <v>64</v>
      </c>
      <c r="AT67" s="24">
        <f>[1]节奏总纲!AT67</f>
        <v>626.48485225357399</v>
      </c>
      <c r="AU67" s="24">
        <f>[1]节奏总纲!AU67</f>
        <v>501.18788180285901</v>
      </c>
      <c r="AV67" s="24">
        <f>[1]节奏总纲!AV67</f>
        <v>375.89091135214449</v>
      </c>
      <c r="AW67" s="24">
        <f>[1]节奏总纲!AW67</f>
        <v>250.59394090142951</v>
      </c>
      <c r="AX67" s="24">
        <f>[1]节奏总纲!AX67</f>
        <v>125.29697045071475</v>
      </c>
      <c r="AZ67" s="20">
        <v>64</v>
      </c>
      <c r="BA67" s="20">
        <v>35.048795427931836</v>
      </c>
      <c r="BB67" s="20">
        <v>36.526331209747774</v>
      </c>
      <c r="BC67" s="20">
        <v>38.455050268072462</v>
      </c>
      <c r="BD67" s="20">
        <v>41.188041754455355</v>
      </c>
      <c r="BE67" s="20">
        <v>45.869242601500943</v>
      </c>
      <c r="BI67" s="20">
        <v>64</v>
      </c>
      <c r="BJ67" s="32">
        <f>[1]节奏总纲!BQ67</f>
        <v>121.66718889550316</v>
      </c>
      <c r="BK67" s="32">
        <f>[1]节奏总纲!BR67</f>
        <v>120.7875236036714</v>
      </c>
      <c r="BL67" s="32">
        <f>[1]节奏总纲!BS67</f>
        <v>119.82684914766305</v>
      </c>
      <c r="BM67" s="32">
        <f>[1]节奏总纲!BT67</f>
        <v>118.81193261353252</v>
      </c>
      <c r="BN67" s="32">
        <f>[1]节奏总纲!BU67</f>
        <v>117.74192085001619</v>
      </c>
      <c r="BP67" s="20">
        <v>64</v>
      </c>
      <c r="BQ67" s="32">
        <f>[1]节奏总纲!BX67</f>
        <v>36.816594496836878</v>
      </c>
      <c r="BR67" s="32">
        <f>[1]节奏总纲!BY67</f>
        <v>37.353752318195028</v>
      </c>
      <c r="BS67" s="32">
        <f>[1]节奏总纲!BZ67</f>
        <v>37.96668081559784</v>
      </c>
      <c r="BT67" s="32">
        <f>[1]节奏总纲!CA67</f>
        <v>38.619769456836295</v>
      </c>
      <c r="BU67" s="32">
        <f>[1]节奏总纲!CB67</f>
        <v>39.342673018124934</v>
      </c>
    </row>
    <row r="68" spans="6:73" x14ac:dyDescent="0.15">
      <c r="F68" s="24">
        <f>[1]节奏总纲!F68</f>
        <v>66</v>
      </c>
      <c r="G68" s="24">
        <f>[1]节奏总纲!G68</f>
        <v>96.005860256665443</v>
      </c>
      <c r="I68" s="24">
        <f>[1]节奏总纲!I68</f>
        <v>66</v>
      </c>
      <c r="J68" s="24">
        <f>[1]节奏总纲!J68</f>
        <v>6162.9846853088866</v>
      </c>
      <c r="K68" s="24">
        <f>[1]节奏总纲!K68</f>
        <v>1.31</v>
      </c>
      <c r="N68" s="24">
        <f>[1]节奏总纲!N68</f>
        <v>75</v>
      </c>
      <c r="O68" s="24">
        <f>[1]节奏总纲!O68</f>
        <v>65</v>
      </c>
      <c r="P68" s="24">
        <f>[1]节奏总纲!P68</f>
        <v>89.509667991878061</v>
      </c>
      <c r="Q68" s="24">
        <f>[1]节奏总纲!Q68</f>
        <v>77.64963698295422</v>
      </c>
      <c r="R68" s="24">
        <f>[1]节奏总纲!R68</f>
        <v>63.802491344610679</v>
      </c>
      <c r="S68" s="24">
        <f>[1]节奏总纲!S68</f>
        <v>46.929918928141667</v>
      </c>
      <c r="T68" s="24">
        <f>[1]节奏总纲!T68</f>
        <v>25.993607584841389</v>
      </c>
      <c r="U68" s="23"/>
      <c r="V68" s="24">
        <f>[1]节奏总纲!V68</f>
        <v>65</v>
      </c>
      <c r="W68" s="24">
        <f>[1]节奏总纲!W68</f>
        <v>6.0611617024128606</v>
      </c>
      <c r="X68" s="24">
        <f>[1]节奏总纲!X68</f>
        <v>5.2497129262142153</v>
      </c>
      <c r="Y68" s="24">
        <f>[1]节奏总纲!Y68</f>
        <v>4.4372239702851317</v>
      </c>
      <c r="Z68" s="24">
        <f>[1]节奏总纲!Z68</f>
        <v>3.2112464830908465</v>
      </c>
      <c r="AA68" s="24">
        <f>[1]节奏总纲!AA68</f>
        <v>1.651678300204388</v>
      </c>
      <c r="AC68" s="24">
        <f>[1]节奏总纲!AC68</f>
        <v>65</v>
      </c>
      <c r="AD68" s="24">
        <f>[1]节奏总纲!AD68</f>
        <v>60.435397692903535</v>
      </c>
      <c r="AE68" s="24">
        <f>[1]节奏总纲!AE68</f>
        <v>62.466172543912634</v>
      </c>
      <c r="AF68" s="24">
        <f>[1]节奏总纲!AF68</f>
        <v>65.255436396961542</v>
      </c>
      <c r="AG68" s="24">
        <f>[1]节奏总纲!AG68</f>
        <v>69.789153385637391</v>
      </c>
      <c r="AH68" s="24">
        <f>[1]节奏总纲!AH68</f>
        <v>78.301575047908599</v>
      </c>
      <c r="AL68" s="24">
        <f>[1]节奏总纲!AL68</f>
        <v>65</v>
      </c>
      <c r="AM68" s="24">
        <f>[1]节奏总纲!AM68</f>
        <v>5324.1500000000005</v>
      </c>
      <c r="AN68" s="24">
        <f>[1]节奏总纲!AN68</f>
        <v>4259.3200000000006</v>
      </c>
      <c r="AO68" s="24">
        <f>[1]节奏总纲!AO68</f>
        <v>3194.4900000000002</v>
      </c>
      <c r="AP68" s="24">
        <f>[1]节奏总纲!AP68</f>
        <v>2129.6600000000003</v>
      </c>
      <c r="AQ68" s="24">
        <f>[1]节奏总纲!AQ68</f>
        <v>1064.8300000000002</v>
      </c>
      <c r="AS68" s="24">
        <f>[1]节奏总纲!AS68</f>
        <v>65</v>
      </c>
      <c r="AT68" s="24">
        <f>[1]节奏总纲!AT68</f>
        <v>724.94511163341122</v>
      </c>
      <c r="AU68" s="24">
        <f>[1]节奏总纲!AU68</f>
        <v>579.95608930672915</v>
      </c>
      <c r="AV68" s="24">
        <f>[1]节奏总纲!AV68</f>
        <v>434.96706698004664</v>
      </c>
      <c r="AW68" s="24">
        <f>[1]节奏总纲!AW68</f>
        <v>289.97804465336458</v>
      </c>
      <c r="AX68" s="24">
        <f>[1]节奏总纲!AX68</f>
        <v>144.98902232668229</v>
      </c>
      <c r="AZ68" s="20">
        <v>65</v>
      </c>
      <c r="BA68" s="20">
        <v>35.146386283795508</v>
      </c>
      <c r="BB68" s="20">
        <v>36.631544620542407</v>
      </c>
      <c r="BC68" s="20">
        <v>38.559434478468994</v>
      </c>
      <c r="BD68" s="20">
        <v>41.288607292184714</v>
      </c>
      <c r="BE68" s="20">
        <v>45.98082701761146</v>
      </c>
      <c r="BI68" s="20">
        <v>65</v>
      </c>
      <c r="BJ68" s="32">
        <f>[1]节奏总纲!BQ68</f>
        <v>123.78019813475611</v>
      </c>
      <c r="BK68" s="32">
        <f>[1]节奏总纲!BR68</f>
        <v>122.94202904218383</v>
      </c>
      <c r="BL68" s="32">
        <f>[1]节奏总纲!BS68</f>
        <v>122.04564028811234</v>
      </c>
      <c r="BM68" s="32">
        <f>[1]节奏总纲!BT68</f>
        <v>121.05089677308304</v>
      </c>
      <c r="BN68" s="32">
        <f>[1]节奏总纲!BU68</f>
        <v>119.95354120546152</v>
      </c>
      <c r="BP68" s="20">
        <v>65</v>
      </c>
      <c r="BQ68" s="32">
        <f>[1]节奏总纲!BX68</f>
        <v>37.281858261446175</v>
      </c>
      <c r="BR68" s="32">
        <f>[1]节奏总纲!BY68</f>
        <v>37.830182618345603</v>
      </c>
      <c r="BS68" s="32">
        <f>[1]节奏总纲!BZ68</f>
        <v>38.434433483033168</v>
      </c>
      <c r="BT68" s="32">
        <f>[1]节奏总纲!CA68</f>
        <v>39.10574775257124</v>
      </c>
      <c r="BU68" s="32">
        <f>[1]节奏总纲!CB68</f>
        <v>39.788896264020153</v>
      </c>
    </row>
    <row r="69" spans="6:73" x14ac:dyDescent="0.15">
      <c r="F69" s="24">
        <f>[1]节奏总纲!F69</f>
        <v>67</v>
      </c>
      <c r="G69" s="24">
        <f>[1]节奏总纲!G69</f>
        <v>102.96830673359811</v>
      </c>
      <c r="I69" s="24">
        <f>[1]节奏总纲!I69</f>
        <v>67</v>
      </c>
      <c r="J69" s="24">
        <f>[1]节奏总纲!J69</f>
        <v>7133.5498113340191</v>
      </c>
      <c r="K69" s="24">
        <f>[1]节奏总纲!K69</f>
        <v>1.32</v>
      </c>
      <c r="N69" s="24">
        <f>[1]节奏总纲!N69</f>
        <v>76</v>
      </c>
      <c r="O69" s="24">
        <f>[1]节奏总纲!O69</f>
        <v>66</v>
      </c>
      <c r="P69" s="24">
        <f>[1]节奏总纲!P69</f>
        <v>96.005860256665443</v>
      </c>
      <c r="Q69" s="24">
        <f>[1]节奏总纲!Q69</f>
        <v>83.352287874836932</v>
      </c>
      <c r="R69" s="24">
        <f>[1]节奏总纲!R69</f>
        <v>68.490580707105124</v>
      </c>
      <c r="S69" s="24">
        <f>[1]节奏总纲!S69</f>
        <v>50.163061984107692</v>
      </c>
      <c r="T69" s="24">
        <f>[1]节奏总纲!T69</f>
        <v>27.851300060458648</v>
      </c>
      <c r="U69" s="23"/>
      <c r="V69" s="24">
        <f>[1]节奏总纲!V69</f>
        <v>66</v>
      </c>
      <c r="W69" s="24">
        <f>[1]节奏总纲!W69</f>
        <v>6.496192264787382</v>
      </c>
      <c r="X69" s="24">
        <f>[1]节奏总纲!X69</f>
        <v>5.7026508918827119</v>
      </c>
      <c r="Y69" s="24">
        <f>[1]节奏总纲!Y69</f>
        <v>4.6880893624944449</v>
      </c>
      <c r="Z69" s="24">
        <f>[1]节奏总纲!Z69</f>
        <v>3.2331430559660248</v>
      </c>
      <c r="AA69" s="24">
        <f>[1]节奏总纲!AA69</f>
        <v>1.8576924756172595</v>
      </c>
      <c r="AC69" s="24">
        <f>[1]节奏总纲!AC69</f>
        <v>66</v>
      </c>
      <c r="AD69" s="24">
        <f>[1]节奏总纲!AD69</f>
        <v>60.653096539355303</v>
      </c>
      <c r="AE69" s="24">
        <f>[1]节奏总纲!AE69</f>
        <v>62.682290092013595</v>
      </c>
      <c r="AF69" s="24">
        <f>[1]节奏总纲!AF69</f>
        <v>65.468742911124906</v>
      </c>
      <c r="AG69" s="24">
        <f>[1]节奏总纲!AG69</f>
        <v>70.015851474333999</v>
      </c>
      <c r="AH69" s="24">
        <f>[1]节奏总纲!AH69</f>
        <v>78.525279626417301</v>
      </c>
      <c r="AL69" s="24">
        <f>[1]节奏总纲!AL69</f>
        <v>66</v>
      </c>
      <c r="AM69" s="24">
        <f>[1]节奏总纲!AM69</f>
        <v>6162.9846853088866</v>
      </c>
      <c r="AN69" s="24">
        <f>[1]节奏总纲!AN69</f>
        <v>4930.3877482471098</v>
      </c>
      <c r="AO69" s="24">
        <f>[1]节奏总纲!AO69</f>
        <v>3697.7908111853317</v>
      </c>
      <c r="AP69" s="24">
        <f>[1]节奏总纲!AP69</f>
        <v>2465.1938741235549</v>
      </c>
      <c r="AQ69" s="24">
        <f>[1]节奏总纲!AQ69</f>
        <v>1232.5969370617775</v>
      </c>
      <c r="AS69" s="24">
        <f>[1]节奏总纲!AS69</f>
        <v>66</v>
      </c>
      <c r="AT69" s="24">
        <f>[1]节奏总纲!AT69</f>
        <v>838.83468530888604</v>
      </c>
      <c r="AU69" s="24">
        <f>[1]节奏总纲!AU69</f>
        <v>671.06774824710919</v>
      </c>
      <c r="AV69" s="24">
        <f>[1]节奏总纲!AV69</f>
        <v>503.30081118533144</v>
      </c>
      <c r="AW69" s="24">
        <f>[1]节奏总纲!AW69</f>
        <v>335.5338741235546</v>
      </c>
      <c r="AX69" s="24">
        <f>[1]节奏总纲!AX69</f>
        <v>167.7669370617773</v>
      </c>
      <c r="AZ69" s="20">
        <v>66</v>
      </c>
      <c r="BA69" s="20">
        <v>35.243977139659179</v>
      </c>
      <c r="BB69" s="20">
        <v>36.73675803133704</v>
      </c>
      <c r="BC69" s="20">
        <v>38.663818688865533</v>
      </c>
      <c r="BD69" s="20">
        <v>41.389172829914081</v>
      </c>
      <c r="BE69" s="20">
        <v>46.079770001861057</v>
      </c>
      <c r="BI69" s="20">
        <v>66</v>
      </c>
      <c r="BJ69" s="32">
        <f>[1]节奏总纲!BQ69</f>
        <v>125.89322983057725</v>
      </c>
      <c r="BK69" s="32">
        <f>[1]节奏总纲!BR69</f>
        <v>125.03207854890056</v>
      </c>
      <c r="BL69" s="32">
        <f>[1]节奏总纲!BS69</f>
        <v>124.09865268465654</v>
      </c>
      <c r="BM69" s="32">
        <f>[1]节奏总纲!BT69</f>
        <v>123.12386763900987</v>
      </c>
      <c r="BN69" s="32">
        <f>[1]节奏总纲!BU69</f>
        <v>122.09304851303449</v>
      </c>
      <c r="BP69" s="20">
        <v>66</v>
      </c>
      <c r="BQ69" s="32">
        <f>[1]节奏总纲!BX69</f>
        <v>37.753500482504599</v>
      </c>
      <c r="BR69" s="32">
        <f>[1]节奏总纲!BY69</f>
        <v>38.299957868613873</v>
      </c>
      <c r="BS69" s="32">
        <f>[1]节奏总纲!BZ69</f>
        <v>38.923795989405541</v>
      </c>
      <c r="BT69" s="32">
        <f>[1]节奏总纲!CA69</f>
        <v>39.54248642883109</v>
      </c>
      <c r="BU69" s="32">
        <f>[1]节奏总纲!CB69</f>
        <v>40.250881200683118</v>
      </c>
    </row>
    <row r="70" spans="6:73" x14ac:dyDescent="0.15">
      <c r="F70" s="24">
        <f>[1]节奏总纲!F70</f>
        <v>68</v>
      </c>
      <c r="G70" s="24">
        <f>[1]节奏总纲!G70</f>
        <v>110.43047210190386</v>
      </c>
      <c r="I70" s="24">
        <f>[1]节奏总纲!I70</f>
        <v>68</v>
      </c>
      <c r="J70" s="24">
        <f>[1]节奏总纲!J70</f>
        <v>8256.4738250473602</v>
      </c>
      <c r="K70" s="24">
        <f>[1]节奏总纲!K70</f>
        <v>1.33</v>
      </c>
      <c r="N70" s="24">
        <f>[1]节奏总纲!N70</f>
        <v>77</v>
      </c>
      <c r="O70" s="24">
        <f>[1]节奏总纲!O70</f>
        <v>67</v>
      </c>
      <c r="P70" s="24">
        <f>[1]节奏总纲!P70</f>
        <v>102.96830673359811</v>
      </c>
      <c r="Q70" s="24">
        <f>[1]节奏总纲!Q70</f>
        <v>89.469161720823394</v>
      </c>
      <c r="R70" s="24">
        <f>[1]节奏总纲!R70</f>
        <v>73.292840732975137</v>
      </c>
      <c r="S70" s="24">
        <f>[1]节奏总纲!S70</f>
        <v>53.625894146857902</v>
      </c>
      <c r="T70" s="24">
        <f>[1]节奏总纲!T70</f>
        <v>29.799027968703292</v>
      </c>
      <c r="U70" s="23"/>
      <c r="V70" s="24">
        <f>[1]节奏总纲!V70</f>
        <v>67</v>
      </c>
      <c r="W70" s="24">
        <f>[1]节奏总纲!W70</f>
        <v>6.9624464769326693</v>
      </c>
      <c r="X70" s="24">
        <f>[1]节奏总纲!X70</f>
        <v>6.1168738459864613</v>
      </c>
      <c r="Y70" s="24">
        <f>[1]节奏总纲!Y70</f>
        <v>4.8022600258700123</v>
      </c>
      <c r="Z70" s="24">
        <f>[1]节奏总纲!Z70</f>
        <v>3.4628321627502103</v>
      </c>
      <c r="AA70" s="24">
        <f>[1]节奏总纲!AA70</f>
        <v>1.9477279082446444</v>
      </c>
      <c r="AC70" s="24">
        <f>[1]节奏总纲!AC70</f>
        <v>67</v>
      </c>
      <c r="AD70" s="24">
        <f>[1]节奏总纲!AD70</f>
        <v>60.870795385807064</v>
      </c>
      <c r="AE70" s="24">
        <f>[1]节奏总纲!AE70</f>
        <v>62.898407640114556</v>
      </c>
      <c r="AF70" s="24">
        <f>[1]节奏总纲!AF70</f>
        <v>65.682049425288255</v>
      </c>
      <c r="AG70" s="24">
        <f>[1]节奏总纲!AG70</f>
        <v>70.229195678021767</v>
      </c>
      <c r="AH70" s="24">
        <f>[1]节奏总纲!AH70</f>
        <v>78.748984204926018</v>
      </c>
      <c r="AL70" s="24">
        <f>[1]节奏总纲!AL70</f>
        <v>67</v>
      </c>
      <c r="AM70" s="24">
        <f>[1]节奏总纲!AM70</f>
        <v>7133.5498113340191</v>
      </c>
      <c r="AN70" s="24">
        <f>[1]节奏总纲!AN70</f>
        <v>5706.8398490672153</v>
      </c>
      <c r="AO70" s="24">
        <f>[1]节奏总纲!AO70</f>
        <v>4280.1298868004114</v>
      </c>
      <c r="AP70" s="24">
        <f>[1]节奏总纲!AP70</f>
        <v>2853.4199245336076</v>
      </c>
      <c r="AQ70" s="24">
        <f>[1]节奏总纲!AQ70</f>
        <v>1426.7099622668038</v>
      </c>
      <c r="AS70" s="24">
        <f>[1]节奏总纲!AS70</f>
        <v>67</v>
      </c>
      <c r="AT70" s="24">
        <f>[1]节奏总纲!AT70</f>
        <v>970.56512602513249</v>
      </c>
      <c r="AU70" s="24">
        <f>[1]节奏总纲!AU70</f>
        <v>776.45210082010544</v>
      </c>
      <c r="AV70" s="24">
        <f>[1]节奏总纲!AV70</f>
        <v>582.33907561507976</v>
      </c>
      <c r="AW70" s="24">
        <f>[1]节奏总纲!AW70</f>
        <v>388.22605041005272</v>
      </c>
      <c r="AX70" s="24">
        <f>[1]节奏总纲!AX70</f>
        <v>194.11302520502636</v>
      </c>
      <c r="AZ70" s="20">
        <v>67</v>
      </c>
      <c r="BA70" s="20">
        <v>35.341567995522851</v>
      </c>
      <c r="BB70" s="20">
        <v>36.841971442131673</v>
      </c>
      <c r="BC70" s="20">
        <v>38.768202899262064</v>
      </c>
      <c r="BD70" s="20">
        <v>41.48973836764344</v>
      </c>
      <c r="BE70" s="20">
        <v>46.176090215954694</v>
      </c>
      <c r="BI70" s="20">
        <v>67</v>
      </c>
      <c r="BJ70" s="32">
        <f>[1]节奏总纲!BQ70</f>
        <v>128.00586023511804</v>
      </c>
      <c r="BK70" s="32">
        <f>[1]节奏总纲!BR70</f>
        <v>127.12838978012395</v>
      </c>
      <c r="BL70" s="32">
        <f>[1]节奏总纲!BS70</f>
        <v>126.19151638854794</v>
      </c>
      <c r="BM70" s="32">
        <f>[1]节奏总纲!BT70</f>
        <v>125.19410714767859</v>
      </c>
      <c r="BN70" s="32">
        <f>[1]节奏总纲!BU70</f>
        <v>124.11624751239822</v>
      </c>
      <c r="BP70" s="20">
        <v>67</v>
      </c>
      <c r="BQ70" s="32">
        <f>[1]节奏总纲!BX70</f>
        <v>38.223420039247138</v>
      </c>
      <c r="BR70" s="32">
        <f>[1]节奏总纲!BY70</f>
        <v>38.778836653495254</v>
      </c>
      <c r="BS70" s="32">
        <f>[1]节奏总纲!BZ70</f>
        <v>39.366722334610458</v>
      </c>
      <c r="BT70" s="32">
        <f>[1]节奏总纲!CA70</f>
        <v>40.008845309680844</v>
      </c>
      <c r="BU70" s="32">
        <f>[1]节奏总纲!CB70</f>
        <v>40.704888716037352</v>
      </c>
    </row>
    <row r="71" spans="6:73" x14ac:dyDescent="0.15">
      <c r="F71" s="24">
        <f>[1]节奏总纲!F71</f>
        <v>69</v>
      </c>
      <c r="G71" s="24">
        <f>[1]节奏总纲!G71</f>
        <v>118.42822291671132</v>
      </c>
      <c r="I71" s="24">
        <f>[1]节奏总纲!I71</f>
        <v>69</v>
      </c>
      <c r="J71" s="24">
        <f>[1]节奏总纲!J71</f>
        <v>9555.6072874592737</v>
      </c>
      <c r="K71" s="24">
        <f>[1]节奏总纲!K71</f>
        <v>1.34</v>
      </c>
      <c r="N71" s="24">
        <f>[1]节奏总纲!N71</f>
        <v>78</v>
      </c>
      <c r="O71" s="24">
        <f>[1]节奏总纲!O71</f>
        <v>68</v>
      </c>
      <c r="P71" s="24">
        <f>[1]节奏总纲!P71</f>
        <v>110.43047210190386</v>
      </c>
      <c r="Q71" s="24">
        <f>[1]节奏总纲!Q71</f>
        <v>95.831563690032169</v>
      </c>
      <c r="R71" s="24">
        <f>[1]节奏总纲!R71</f>
        <v>78.251032531409081</v>
      </c>
      <c r="S71" s="24">
        <f>[1]节奏总纲!S71</f>
        <v>57.412802445779818</v>
      </c>
      <c r="T71" s="24">
        <f>[1]节奏总纲!T71</f>
        <v>31.859191201399263</v>
      </c>
      <c r="U71" s="23"/>
      <c r="V71" s="24">
        <f>[1]节奏总纲!V71</f>
        <v>68</v>
      </c>
      <c r="W71" s="24">
        <f>[1]节奏总纲!W71</f>
        <v>7.4621653683057474</v>
      </c>
      <c r="X71" s="24">
        <f>[1]节奏总纲!X71</f>
        <v>6.3624019692087757</v>
      </c>
      <c r="Y71" s="24">
        <f>[1]节奏总纲!Y71</f>
        <v>4.9581917984339441</v>
      </c>
      <c r="Z71" s="24">
        <f>[1]节奏总纲!Z71</f>
        <v>3.7869082989219152</v>
      </c>
      <c r="AA71" s="24">
        <f>[1]节奏总纲!AA71</f>
        <v>2.0601632326959702</v>
      </c>
      <c r="AC71" s="24">
        <f>[1]节奏总纲!AC71</f>
        <v>68</v>
      </c>
      <c r="AD71" s="24">
        <f>[1]节奏总纲!AD71</f>
        <v>61.082568038258209</v>
      </c>
      <c r="AE71" s="24">
        <f>[1]节奏总纲!AE71</f>
        <v>63.107492392331935</v>
      </c>
      <c r="AF71" s="24">
        <f>[1]节奏总纲!AF71</f>
        <v>65.895355939451605</v>
      </c>
      <c r="AG71" s="24">
        <f>[1]节奏总纲!AG71</f>
        <v>70.442539881709536</v>
      </c>
      <c r="AH71" s="24">
        <f>[1]节奏总纲!AH71</f>
        <v>78.972688783434734</v>
      </c>
      <c r="AL71" s="24">
        <f>[1]节奏总纲!AL71</f>
        <v>68</v>
      </c>
      <c r="AM71" s="24">
        <f>[1]节奏总纲!AM71</f>
        <v>8256.4738250473602</v>
      </c>
      <c r="AN71" s="24">
        <f>[1]节奏总纲!AN71</f>
        <v>6605.1790600378881</v>
      </c>
      <c r="AO71" s="24">
        <f>[1]节奏总纲!AO71</f>
        <v>4953.8842950284161</v>
      </c>
      <c r="AP71" s="24">
        <f>[1]节奏总纲!AP71</f>
        <v>3302.5895300189441</v>
      </c>
      <c r="AQ71" s="24">
        <f>[1]节奏总纲!AQ71</f>
        <v>1651.294765009472</v>
      </c>
      <c r="AS71" s="24">
        <f>[1]节奏总纲!AS71</f>
        <v>68</v>
      </c>
      <c r="AT71" s="24">
        <f>[1]节奏总纲!AT71</f>
        <v>1122.9240137133411</v>
      </c>
      <c r="AU71" s="24">
        <f>[1]节奏总纲!AU71</f>
        <v>898.33921097067287</v>
      </c>
      <c r="AV71" s="24">
        <f>[1]节奏总纲!AV71</f>
        <v>673.75440822800465</v>
      </c>
      <c r="AW71" s="24">
        <f>[1]节奏总纲!AW71</f>
        <v>449.16960548533643</v>
      </c>
      <c r="AX71" s="24">
        <f>[1]节奏总纲!AX71</f>
        <v>224.58480274266822</v>
      </c>
      <c r="AZ71" s="20">
        <v>68</v>
      </c>
      <c r="BA71" s="20">
        <v>35.439158851386523</v>
      </c>
      <c r="BB71" s="20">
        <v>36.947184852926306</v>
      </c>
      <c r="BC71" s="20">
        <v>38.872587109658596</v>
      </c>
      <c r="BD71" s="20">
        <v>41.590303905372799</v>
      </c>
      <c r="BE71" s="20">
        <v>46.272410430048332</v>
      </c>
      <c r="BI71" s="20">
        <v>68</v>
      </c>
      <c r="BJ71" s="32">
        <f>[1]节奏总纲!BQ71</f>
        <v>130.11135606394996</v>
      </c>
      <c r="BK71" s="32">
        <f>[1]节奏总纲!BR71</f>
        <v>129.28753527830008</v>
      </c>
      <c r="BL71" s="32">
        <f>[1]节奏总纲!BS71</f>
        <v>128.41849022048493</v>
      </c>
      <c r="BM71" s="32">
        <f>[1]节奏总纲!BT71</f>
        <v>127.45983734027742</v>
      </c>
      <c r="BN71" s="32">
        <f>[1]节奏总纲!BU71</f>
        <v>126.37501502290067</v>
      </c>
      <c r="BP71" s="20">
        <v>68</v>
      </c>
      <c r="BQ71" s="32">
        <f>[1]节奏总纲!BX71</f>
        <v>38.690779383138512</v>
      </c>
      <c r="BR71" s="32">
        <f>[1]节奏总纲!BY71</f>
        <v>39.238919857187803</v>
      </c>
      <c r="BS71" s="32">
        <f>[1]节奏总纲!BZ71</f>
        <v>39.813229873395798</v>
      </c>
      <c r="BT71" s="32">
        <f>[1]节奏总纲!CA71</f>
        <v>40.450201830884396</v>
      </c>
      <c r="BU71" s="32">
        <f>[1]节奏总纲!CB71</f>
        <v>41.159720729358739</v>
      </c>
    </row>
    <row r="72" spans="6:73" x14ac:dyDescent="0.15">
      <c r="F72" s="24">
        <f>[1]节奏总纲!F72</f>
        <v>70</v>
      </c>
      <c r="G72" s="24">
        <f>[1]节奏总纲!G72</f>
        <v>127</v>
      </c>
      <c r="I72" s="24">
        <f>[1]节奏总纲!I72</f>
        <v>70</v>
      </c>
      <c r="J72" s="24">
        <f>[1]节奏总纲!J72</f>
        <v>11058.525000000001</v>
      </c>
      <c r="K72" s="24">
        <f>[1]节奏总纲!K72</f>
        <v>1.35</v>
      </c>
      <c r="N72" s="24">
        <f>[1]节奏总纲!N72</f>
        <v>79</v>
      </c>
      <c r="O72" s="24">
        <f>[1]节奏总纲!O72</f>
        <v>69</v>
      </c>
      <c r="P72" s="24">
        <f>[1]节奏总纲!P72</f>
        <v>118.42822291671132</v>
      </c>
      <c r="Q72" s="24">
        <f>[1]节奏总纲!Q72</f>
        <v>102.51146975670532</v>
      </c>
      <c r="R72" s="24">
        <f>[1]节奏总纲!R72</f>
        <v>83.894553114198303</v>
      </c>
      <c r="S72" s="24">
        <f>[1]节奏总纲!S72</f>
        <v>61.535304627523196</v>
      </c>
      <c r="T72" s="24">
        <f>[1]节奏总纲!T72</f>
        <v>34.059956910846175</v>
      </c>
      <c r="U72" s="23"/>
      <c r="V72" s="24">
        <f>[1]节奏总纲!V72</f>
        <v>69</v>
      </c>
      <c r="W72" s="24">
        <f>[1]节奏总纲!W72</f>
        <v>7.9977508148074605</v>
      </c>
      <c r="X72" s="24">
        <f>[1]节奏总纲!X72</f>
        <v>6.6799060666731549</v>
      </c>
      <c r="Y72" s="24">
        <f>[1]节奏总纲!Y72</f>
        <v>5.6435205827892219</v>
      </c>
      <c r="Z72" s="24">
        <f>[1]节奏总纲!Z72</f>
        <v>4.1225021817433785</v>
      </c>
      <c r="AA72" s="24">
        <f>[1]节奏总纲!AA72</f>
        <v>2.2007657094469124</v>
      </c>
      <c r="AC72" s="24">
        <f>[1]节奏总纲!AC72</f>
        <v>69</v>
      </c>
      <c r="AD72" s="24">
        <f>[1]节奏总纲!AD72</f>
        <v>61.285688244217212</v>
      </c>
      <c r="AE72" s="24">
        <f>[1]节奏总纲!AE72</f>
        <v>63.310338531528565</v>
      </c>
      <c r="AF72" s="24">
        <f>[1]节奏总纲!AF72</f>
        <v>66.106079073217742</v>
      </c>
      <c r="AG72" s="24">
        <f>[1]节奏总纲!AG72</f>
        <v>70.655884085397304</v>
      </c>
      <c r="AH72" s="24">
        <f>[1]节奏总纲!AH72</f>
        <v>79.188599387584361</v>
      </c>
      <c r="AL72" s="24">
        <f>[1]节奏总纲!AL72</f>
        <v>69</v>
      </c>
      <c r="AM72" s="24">
        <f>[1]节奏总纲!AM72</f>
        <v>9555.6072874592737</v>
      </c>
      <c r="AN72" s="24">
        <f>[1]节奏总纲!AN72</f>
        <v>7644.4858299674197</v>
      </c>
      <c r="AO72" s="24">
        <f>[1]节奏总纲!AO72</f>
        <v>5733.3643724755639</v>
      </c>
      <c r="AP72" s="24">
        <f>[1]节奏总纲!AP72</f>
        <v>3822.2429149837099</v>
      </c>
      <c r="AQ72" s="24">
        <f>[1]节奏总纲!AQ72</f>
        <v>1911.1214574918549</v>
      </c>
      <c r="AS72" s="24">
        <f>[1]节奏总纲!AS72</f>
        <v>69</v>
      </c>
      <c r="AT72" s="24">
        <f>[1]节奏总纲!AT72</f>
        <v>1299.1334624119136</v>
      </c>
      <c r="AU72" s="24">
        <f>[1]节奏总纲!AU72</f>
        <v>1039.3067699295316</v>
      </c>
      <c r="AV72" s="24">
        <f>[1]节奏总纲!AV72</f>
        <v>779.48007744714778</v>
      </c>
      <c r="AW72" s="24">
        <f>[1]节奏总纲!AW72</f>
        <v>519.65338496476579</v>
      </c>
      <c r="AX72" s="24">
        <f>[1]节奏总纲!AX72</f>
        <v>259.8266924823829</v>
      </c>
      <c r="AZ72" s="20">
        <v>69</v>
      </c>
      <c r="BA72" s="20">
        <v>35.536749707250202</v>
      </c>
      <c r="BB72" s="20">
        <v>37.045197000674086</v>
      </c>
      <c r="BC72" s="20">
        <v>38.976971320055128</v>
      </c>
      <c r="BD72" s="20">
        <v>41.690869443102159</v>
      </c>
      <c r="BE72" s="20">
        <v>46.368730644141969</v>
      </c>
      <c r="BI72" s="20">
        <v>69</v>
      </c>
      <c r="BJ72" s="32">
        <f>[1]节奏总纲!BQ72</f>
        <v>132.21686522535077</v>
      </c>
      <c r="BK72" s="32">
        <f>[1]节奏总纲!BR72</f>
        <v>131.37187315551134</v>
      </c>
      <c r="BL72" s="32">
        <f>[1]节奏总纲!BS72</f>
        <v>130.47467154691921</v>
      </c>
      <c r="BM72" s="32">
        <f>[1]节奏总纲!BT72</f>
        <v>129.52983824261307</v>
      </c>
      <c r="BN72" s="32">
        <f>[1]节奏总纲!BU72</f>
        <v>128.52822980669353</v>
      </c>
      <c r="BP72" s="20">
        <v>69</v>
      </c>
      <c r="BQ72" s="32">
        <f>[1]节奏总纲!BX72</f>
        <v>39.165368824198744</v>
      </c>
      <c r="BR72" s="32">
        <f>[1]节奏总纲!BY72</f>
        <v>39.690086613900846</v>
      </c>
      <c r="BS72" s="32">
        <f>[1]节奏总纲!BZ72</f>
        <v>40.27734947532835</v>
      </c>
      <c r="BT72" s="32">
        <f>[1]节奏总纲!CA72</f>
        <v>40.930671141986089</v>
      </c>
      <c r="BU72" s="32">
        <f>[1]节奏总纲!CB72</f>
        <v>41.602363103332472</v>
      </c>
    </row>
    <row r="73" spans="6:73" x14ac:dyDescent="0.15">
      <c r="F73" s="24">
        <f>[1]节奏总纲!F73</f>
        <v>71</v>
      </c>
      <c r="G73" s="24">
        <f>[1]节奏总纲!G73</f>
        <v>136.18700320464549</v>
      </c>
      <c r="I73" s="24">
        <f>[1]节奏总纲!I73</f>
        <v>71</v>
      </c>
      <c r="J73" s="24">
        <f>[1]节奏总纲!J73</f>
        <v>12797.106216824561</v>
      </c>
      <c r="K73" s="24">
        <f>[1]节奏总纲!K73</f>
        <v>1.36</v>
      </c>
      <c r="N73" s="24">
        <f>[1]节奏总纲!N73</f>
        <v>80</v>
      </c>
      <c r="O73" s="24">
        <f>[1]节奏总纲!O73</f>
        <v>70</v>
      </c>
      <c r="P73" s="24">
        <f>[1]节奏总纲!P73</f>
        <v>127</v>
      </c>
      <c r="Q73" s="24">
        <f>[1]节奏总纲!Q73</f>
        <v>109.9693</v>
      </c>
      <c r="R73" s="24">
        <f>[1]节奏总纲!R73</f>
        <v>90.106499999999997</v>
      </c>
      <c r="S73" s="24">
        <f>[1]节奏总纲!S73</f>
        <v>65.925700000000006</v>
      </c>
      <c r="T73" s="24">
        <f>[1]节奏总纲!T73</f>
        <v>36.4998</v>
      </c>
      <c r="U73" s="23"/>
      <c r="V73" s="24">
        <f>[1]节奏总纲!V73</f>
        <v>70</v>
      </c>
      <c r="W73" s="24">
        <f>[1]节奏总纲!W73</f>
        <v>8.5717770832886799</v>
      </c>
      <c r="X73" s="24">
        <f>[1]节奏总纲!X73</f>
        <v>7.4578302432946799</v>
      </c>
      <c r="Y73" s="24">
        <f>[1]节奏总纲!Y73</f>
        <v>6.2119468858016944</v>
      </c>
      <c r="Z73" s="24">
        <f>[1]节奏总纲!Z73</f>
        <v>4.3903953724768101</v>
      </c>
      <c r="AA73" s="24">
        <f>[1]节奏总纲!AA73</f>
        <v>2.4398430891538254</v>
      </c>
      <c r="AC73" s="24">
        <f>[1]节奏总纲!AC73</f>
        <v>70</v>
      </c>
      <c r="AD73" s="24">
        <f>[1]节奏总纲!AD73</f>
        <v>61.488808450176215</v>
      </c>
      <c r="AE73" s="24">
        <f>[1]节奏总纲!AE73</f>
        <v>63.513184670725188</v>
      </c>
      <c r="AF73" s="24">
        <f>[1]节奏总纲!AF73</f>
        <v>66.314314361313961</v>
      </c>
      <c r="AG73" s="24">
        <f>[1]节奏总纲!AG73</f>
        <v>70.869228289085072</v>
      </c>
      <c r="AH73" s="24">
        <f>[1]节奏总纲!AH73</f>
        <v>79.403426131671111</v>
      </c>
      <c r="AL73" s="24">
        <f>[1]节奏总纲!AL73</f>
        <v>70</v>
      </c>
      <c r="AM73" s="24">
        <f>[1]节奏总纲!AM73</f>
        <v>11058.525000000001</v>
      </c>
      <c r="AN73" s="24">
        <f>[1]节奏总纲!AN73</f>
        <v>8846.8200000000015</v>
      </c>
      <c r="AO73" s="24">
        <f>[1]节奏总纲!AO73</f>
        <v>6635.1150000000007</v>
      </c>
      <c r="AP73" s="24">
        <f>[1]节奏总纲!AP73</f>
        <v>4423.4100000000008</v>
      </c>
      <c r="AQ73" s="24">
        <f>[1]节奏总纲!AQ73</f>
        <v>2211.7050000000004</v>
      </c>
      <c r="AS73" s="24">
        <f>[1]节奏总纲!AS73</f>
        <v>70</v>
      </c>
      <c r="AT73" s="24">
        <f>[1]节奏总纲!AT73</f>
        <v>1502.9177125407277</v>
      </c>
      <c r="AU73" s="24">
        <f>[1]节奏总纲!AU73</f>
        <v>1202.3341700325818</v>
      </c>
      <c r="AV73" s="24">
        <f>[1]节奏总纲!AV73</f>
        <v>901.75062752443682</v>
      </c>
      <c r="AW73" s="24">
        <f>[1]节奏总纲!AW73</f>
        <v>601.16708501629091</v>
      </c>
      <c r="AX73" s="24">
        <f>[1]节奏总纲!AX73</f>
        <v>300.58354250814546</v>
      </c>
      <c r="AZ73" s="20">
        <v>70</v>
      </c>
      <c r="BA73" s="20">
        <v>35.634340563113874</v>
      </c>
      <c r="BB73" s="20">
        <v>37.135950591746003</v>
      </c>
      <c r="BC73" s="20">
        <v>39.070187171981765</v>
      </c>
      <c r="BD73" s="20">
        <v>41.791434980831518</v>
      </c>
      <c r="BE73" s="20">
        <v>46.465050858235607</v>
      </c>
      <c r="BI73" s="20">
        <v>70</v>
      </c>
      <c r="BJ73" s="32">
        <f>[1]节奏总纲!BQ73</f>
        <v>134.32238585092639</v>
      </c>
      <c r="BK73" s="32">
        <f>[1]节奏总纲!BR73</f>
        <v>133.48248819741508</v>
      </c>
      <c r="BL73" s="32">
        <f>[1]节奏总纲!BS73</f>
        <v>132.56461040487298</v>
      </c>
      <c r="BM73" s="32">
        <f>[1]节奏总纲!BT73</f>
        <v>131.5959653197481</v>
      </c>
      <c r="BN73" s="32">
        <f>[1]节奏总纲!BU73</f>
        <v>130.57679608675303</v>
      </c>
      <c r="BP73" s="20">
        <v>70</v>
      </c>
      <c r="BQ73" s="32">
        <f>[1]节奏总纲!BX73</f>
        <v>39.628525141348646</v>
      </c>
      <c r="BR73" s="32">
        <f>[1]节奏总纲!BY73</f>
        <v>40.167205562734367</v>
      </c>
      <c r="BS73" s="32">
        <f>[1]节奏总纲!BZ73</f>
        <v>40.760009392249536</v>
      </c>
      <c r="BT73" s="32">
        <f>[1]节奏总纲!CA73</f>
        <v>41.381700810460785</v>
      </c>
      <c r="BU73" s="32">
        <f>[1]节奏总纲!CB73</f>
        <v>42.080332137364977</v>
      </c>
    </row>
    <row r="74" spans="6:73" x14ac:dyDescent="0.15">
      <c r="F74" s="24">
        <f>[1]节奏总纲!F74</f>
        <v>72</v>
      </c>
      <c r="G74" s="24">
        <f>[1]节奏总纲!G74</f>
        <v>146.03338943962044</v>
      </c>
      <c r="I74" s="24">
        <f>[1]节奏总纲!I74</f>
        <v>72</v>
      </c>
      <c r="J74" s="24">
        <f>[1]节奏总纲!J74</f>
        <v>14808.205062920617</v>
      </c>
      <c r="K74" s="24">
        <f>[1]节奏总纲!K74</f>
        <v>1.37</v>
      </c>
      <c r="N74" s="24">
        <f>[1]节奏总纲!N74</f>
        <v>81</v>
      </c>
      <c r="O74" s="24">
        <f>[1]节奏总纲!O74</f>
        <v>71</v>
      </c>
      <c r="P74" s="24">
        <f>[1]节奏总纲!P74</f>
        <v>136.18700320464549</v>
      </c>
      <c r="Q74" s="24">
        <f>[1]节奏总纲!Q74</f>
        <v>118.03327567746625</v>
      </c>
      <c r="R74" s="24">
        <f>[1]节奏总纲!R74</f>
        <v>96.583822672734584</v>
      </c>
      <c r="S74" s="24">
        <f>[1]节奏总纲!S74</f>
        <v>70.612961161608681</v>
      </c>
      <c r="T74" s="24">
        <f>[1]节奏总纲!T74</f>
        <v>39.126526020694648</v>
      </c>
      <c r="U74" s="23"/>
      <c r="V74" s="24">
        <f>[1]节奏总纲!V74</f>
        <v>71</v>
      </c>
      <c r="W74" s="24">
        <f>[1]节奏总纲!W74</f>
        <v>9.1870032046454924</v>
      </c>
      <c r="X74" s="24">
        <f>[1]节奏总纲!X74</f>
        <v>8.0639756774662459</v>
      </c>
      <c r="Y74" s="24">
        <f>[1]节奏总纲!Y74</f>
        <v>6.4773226727345872</v>
      </c>
      <c r="Z74" s="24">
        <f>[1]节奏总纲!Z74</f>
        <v>4.6872611616086743</v>
      </c>
      <c r="AA74" s="24">
        <f>[1]节奏总纲!AA74</f>
        <v>2.6267260206946474</v>
      </c>
      <c r="AC74" s="24">
        <f>[1]节奏总纲!AC74</f>
        <v>71</v>
      </c>
      <c r="AD74" s="24">
        <f>[1]节奏总纲!AD74</f>
        <v>61.691928656135218</v>
      </c>
      <c r="AE74" s="24">
        <f>[1]节奏总纲!AE74</f>
        <v>63.716030809921811</v>
      </c>
      <c r="AF74" s="24">
        <f>[1]节奏总纲!AF74</f>
        <v>66.52254964941018</v>
      </c>
      <c r="AG74" s="24">
        <f>[1]节奏总纲!AG74</f>
        <v>71.07781362467729</v>
      </c>
      <c r="AH74" s="24">
        <f>[1]节奏总纲!AH74</f>
        <v>79.618252875757847</v>
      </c>
      <c r="AL74" s="24">
        <f>[1]节奏总纲!AL74</f>
        <v>71</v>
      </c>
      <c r="AM74" s="24">
        <f>[1]节奏总纲!AM74</f>
        <v>12797.106216824561</v>
      </c>
      <c r="AN74" s="24">
        <f>[1]节奏总纲!AN74</f>
        <v>10237.684973459649</v>
      </c>
      <c r="AO74" s="24">
        <f>[1]节奏总纲!AO74</f>
        <v>7678.2637300947363</v>
      </c>
      <c r="AP74" s="24">
        <f>[1]节奏总纲!AP74</f>
        <v>5118.8424867298245</v>
      </c>
      <c r="AQ74" s="24">
        <f>[1]节奏总纲!AQ74</f>
        <v>2559.4212433649122</v>
      </c>
      <c r="AS74" s="24">
        <f>[1]节奏总纲!AS74</f>
        <v>71</v>
      </c>
      <c r="AT74" s="24">
        <f>[1]节奏总纲!AT74</f>
        <v>1738.5812168245593</v>
      </c>
      <c r="AU74" s="24">
        <f>[1]节奏总纲!AU74</f>
        <v>1390.8649734596474</v>
      </c>
      <c r="AV74" s="24">
        <f>[1]节奏总纲!AV74</f>
        <v>1043.1487300947356</v>
      </c>
      <c r="AW74" s="24">
        <f>[1]节奏总纲!AW74</f>
        <v>695.43248672982372</v>
      </c>
      <c r="AX74" s="24">
        <f>[1]节奏总纲!AX74</f>
        <v>347.71624336491186</v>
      </c>
      <c r="AZ74" s="20">
        <v>71</v>
      </c>
      <c r="BA74" s="20">
        <v>35.731931418977545</v>
      </c>
      <c r="BB74" s="20">
        <v>37.226704182817912</v>
      </c>
      <c r="BC74" s="20">
        <v>39.160241683169971</v>
      </c>
      <c r="BD74" s="20">
        <v>41.892000518560877</v>
      </c>
      <c r="BE74" s="20">
        <v>46.561371072329244</v>
      </c>
      <c r="BI74" s="20">
        <v>71</v>
      </c>
      <c r="BJ74" s="32">
        <f>[1]节奏总纲!BQ74</f>
        <v>136.42791633259191</v>
      </c>
      <c r="BK74" s="32">
        <f>[1]节奏总纲!BR74</f>
        <v>135.62040290082996</v>
      </c>
      <c r="BL74" s="32">
        <f>[1]节奏总纲!BS74</f>
        <v>134.76985377611533</v>
      </c>
      <c r="BM74" s="32">
        <f>[1]节奏总纲!BT74</f>
        <v>133.82828810970861</v>
      </c>
      <c r="BN74" s="32">
        <f>[1]节奏总纲!BU74</f>
        <v>132.7790170152997</v>
      </c>
      <c r="BP74" s="20">
        <v>71</v>
      </c>
      <c r="BQ74" s="32">
        <f>[1]节奏总纲!BX74</f>
        <v>40.107783723382404</v>
      </c>
      <c r="BR74" s="32">
        <f>[1]节奏总纲!BY74</f>
        <v>40.637125609793571</v>
      </c>
      <c r="BS74" s="32">
        <f>[1]节奏总纲!BZ74</f>
        <v>41.227183381803457</v>
      </c>
      <c r="BT74" s="32">
        <f>[1]节奏总纲!CA74</f>
        <v>41.85307774965591</v>
      </c>
      <c r="BU74" s="32">
        <f>[1]节奏总纲!CB74</f>
        <v>42.536236620449564</v>
      </c>
    </row>
    <row r="75" spans="6:73" x14ac:dyDescent="0.15">
      <c r="F75" s="24">
        <f>[1]节奏总纲!F75</f>
        <v>73</v>
      </c>
      <c r="G75" s="24">
        <f>[1]节奏总纲!G75</f>
        <v>156.58648490814926</v>
      </c>
      <c r="I75" s="24">
        <f>[1]节奏总纲!I75</f>
        <v>73</v>
      </c>
      <c r="J75" s="24">
        <f>[1]节奏总纲!J75</f>
        <v>17134.425155737379</v>
      </c>
      <c r="K75" s="24">
        <f>[1]节奏总纲!K75</f>
        <v>1.38</v>
      </c>
      <c r="N75" s="24">
        <f>[1]节奏总纲!N75</f>
        <v>82</v>
      </c>
      <c r="O75" s="24">
        <f>[1]节奏总纲!O75</f>
        <v>72</v>
      </c>
      <c r="P75" s="24">
        <f>[1]节奏总纲!P75</f>
        <v>146.03338943962044</v>
      </c>
      <c r="Q75" s="24">
        <f>[1]节奏总纲!Q75</f>
        <v>126.581741966263</v>
      </c>
      <c r="R75" s="24">
        <f>[1]节奏总纲!R75</f>
        <v>103.31862302853146</v>
      </c>
      <c r="S75" s="24">
        <f>[1]节奏总纲!S75</f>
        <v>75.586882373947532</v>
      </c>
      <c r="T75" s="24">
        <f>[1]节奏总纲!T75</f>
        <v>41.896979430227098</v>
      </c>
      <c r="U75" s="23"/>
      <c r="V75" s="24">
        <f>[1]节奏总纲!V75</f>
        <v>72</v>
      </c>
      <c r="W75" s="24">
        <f>[1]节奏总纲!W75</f>
        <v>9.8463862349749434</v>
      </c>
      <c r="X75" s="24">
        <f>[1]节奏总纲!X75</f>
        <v>8.548466288796746</v>
      </c>
      <c r="Y75" s="24">
        <f>[1]节奏总纲!Y75</f>
        <v>6.7348003557968781</v>
      </c>
      <c r="Z75" s="24">
        <f>[1]节奏总纲!Z75</f>
        <v>4.9739212123388512</v>
      </c>
      <c r="AA75" s="24">
        <f>[1]节奏总纲!AA75</f>
        <v>2.7704534095324505</v>
      </c>
      <c r="AC75" s="24">
        <f>[1]节奏总纲!AC75</f>
        <v>72</v>
      </c>
      <c r="AD75" s="24">
        <f>[1]节奏总纲!AD75</f>
        <v>61.895048862094221</v>
      </c>
      <c r="AE75" s="24">
        <f>[1]节奏总纲!AE75</f>
        <v>63.918876949118435</v>
      </c>
      <c r="AF75" s="24">
        <f>[1]节奏总纲!AF75</f>
        <v>66.7307849375064</v>
      </c>
      <c r="AG75" s="24">
        <f>[1]节奏总纲!AG75</f>
        <v>71.278862245535876</v>
      </c>
      <c r="AH75" s="24">
        <f>[1]节奏总纲!AH75</f>
        <v>79.833079619844597</v>
      </c>
      <c r="AL75" s="24">
        <f>[1]节奏总纲!AL75</f>
        <v>72</v>
      </c>
      <c r="AM75" s="24">
        <f>[1]节奏总纲!AM75</f>
        <v>14808.205062920617</v>
      </c>
      <c r="AN75" s="24">
        <f>[1]节奏总纲!AN75</f>
        <v>11846.564050336494</v>
      </c>
      <c r="AO75" s="24">
        <f>[1]节奏总纲!AO75</f>
        <v>8884.9230377523691</v>
      </c>
      <c r="AP75" s="24">
        <f>[1]节奏总纲!AP75</f>
        <v>5923.2820251682469</v>
      </c>
      <c r="AQ75" s="24">
        <f>[1]节奏总纲!AQ75</f>
        <v>2961.6410125841235</v>
      </c>
      <c r="AS75" s="24">
        <f>[1]节奏总纲!AS75</f>
        <v>72</v>
      </c>
      <c r="AT75" s="24">
        <f>[1]节奏总纲!AT75</f>
        <v>2011.0988460960561</v>
      </c>
      <c r="AU75" s="24">
        <f>[1]节奏总纲!AU75</f>
        <v>1608.8790768768449</v>
      </c>
      <c r="AV75" s="24">
        <f>[1]节奏总纲!AV75</f>
        <v>1206.6593076576328</v>
      </c>
      <c r="AW75" s="24">
        <f>[1]节奏总纲!AW75</f>
        <v>804.43953843842246</v>
      </c>
      <c r="AX75" s="24">
        <f>[1]节奏总纲!AX75</f>
        <v>402.21976921921123</v>
      </c>
      <c r="AZ75" s="20">
        <v>72</v>
      </c>
      <c r="BA75" s="20">
        <v>35.829522274841217</v>
      </c>
      <c r="BB75" s="20">
        <v>37.317457773889828</v>
      </c>
      <c r="BC75" s="20">
        <v>39.250296194358178</v>
      </c>
      <c r="BD75" s="20">
        <v>41.992566056290244</v>
      </c>
      <c r="BE75" s="20">
        <v>46.657691286422882</v>
      </c>
      <c r="BI75" s="20">
        <v>72</v>
      </c>
      <c r="BJ75" s="32">
        <f>[1]节奏总纲!BQ75</f>
        <v>138.53345528648683</v>
      </c>
      <c r="BK75" s="32">
        <f>[1]节奏总纲!BR75</f>
        <v>137.70627422196659</v>
      </c>
      <c r="BL75" s="32">
        <f>[1]节奏总纲!BS75</f>
        <v>136.8190741194654</v>
      </c>
      <c r="BM75" s="32">
        <f>[1]节奏总纲!BT75</f>
        <v>135.89542876835631</v>
      </c>
      <c r="BN75" s="32">
        <f>[1]节奏总纲!BU75</f>
        <v>134.91256595481366</v>
      </c>
      <c r="BP75" s="20">
        <v>72</v>
      </c>
      <c r="BQ75" s="32">
        <f>[1]节奏总纲!BX75</f>
        <v>40.566814302636963</v>
      </c>
      <c r="BR75" s="32">
        <f>[1]节奏总纲!BY75</f>
        <v>41.116727813554483</v>
      </c>
      <c r="BS75" s="32">
        <f>[1]节奏总纲!BZ75</f>
        <v>41.67870926132386</v>
      </c>
      <c r="BT75" s="32">
        <f>[1]节奏总纲!CA75</f>
        <v>42.304861384799864</v>
      </c>
      <c r="BU75" s="32">
        <f>[1]节奏总纲!CB75</f>
        <v>43.014746184152813</v>
      </c>
    </row>
    <row r="76" spans="6:73" x14ac:dyDescent="0.15">
      <c r="F76" s="24">
        <f>[1]节奏总纲!F76</f>
        <v>74</v>
      </c>
      <c r="G76" s="24">
        <f>[1]节奏总纲!G76</f>
        <v>167.89701257893043</v>
      </c>
      <c r="I76" s="24">
        <f>[1]节奏总纲!I76</f>
        <v>74</v>
      </c>
      <c r="J76" s="24">
        <f>[1]节奏总纲!J76</f>
        <v>19825.014596370729</v>
      </c>
      <c r="K76" s="24">
        <f>[1]节奏总纲!K76</f>
        <v>1.39</v>
      </c>
      <c r="N76" s="24">
        <f>[1]节奏总纲!N76</f>
        <v>83</v>
      </c>
      <c r="O76" s="24">
        <f>[1]节奏总纲!O76</f>
        <v>73</v>
      </c>
      <c r="P76" s="24">
        <f>[1]节奏总纲!P76</f>
        <v>156.58648490814926</v>
      </c>
      <c r="Q76" s="24">
        <f>[1]节奏总纲!Q76</f>
        <v>135.41599214856748</v>
      </c>
      <c r="R76" s="24">
        <f>[1]节奏总纲!R76</f>
        <v>110.58137564213501</v>
      </c>
      <c r="S76" s="24">
        <f>[1]节奏总纲!S76</f>
        <v>80.955212697513176</v>
      </c>
      <c r="T76" s="24">
        <f>[1]节奏总纲!T76</f>
        <v>44.877686574675579</v>
      </c>
      <c r="U76" s="23"/>
      <c r="V76" s="24">
        <f>[1]节奏总纲!V76</f>
        <v>73</v>
      </c>
      <c r="W76" s="24">
        <f>[1]节奏总纲!W76</f>
        <v>10.553095468528824</v>
      </c>
      <c r="X76" s="24">
        <f>[1]节奏总纲!X76</f>
        <v>8.834250182304487</v>
      </c>
      <c r="Y76" s="24">
        <f>[1]节奏总纲!Y76</f>
        <v>7.2627526136035527</v>
      </c>
      <c r="Z76" s="24">
        <f>[1]节奏总纲!Z76</f>
        <v>5.3683303235656439</v>
      </c>
      <c r="AA76" s="24">
        <f>[1]节奏总纲!AA76</f>
        <v>2.9807071444484805</v>
      </c>
      <c r="AC76" s="24">
        <f>[1]节奏总纲!AC76</f>
        <v>73</v>
      </c>
      <c r="AD76" s="24">
        <f>[1]节奏总纲!AD76</f>
        <v>62.091594979242075</v>
      </c>
      <c r="AE76" s="24">
        <f>[1]节奏总纲!AE76</f>
        <v>64.114306430026588</v>
      </c>
      <c r="AF76" s="24">
        <f>[1]节奏总纲!AF76</f>
        <v>66.939020225602619</v>
      </c>
      <c r="AG76" s="24">
        <f>[1]节奏总纲!AG76</f>
        <v>71.479910866394462</v>
      </c>
      <c r="AH76" s="24">
        <f>[1]节奏总纲!AH76</f>
        <v>80.043898354812981</v>
      </c>
      <c r="AL76" s="24">
        <f>[1]节奏总纲!AL76</f>
        <v>73</v>
      </c>
      <c r="AM76" s="24">
        <f>[1]节奏总纲!AM76</f>
        <v>17134.425155737379</v>
      </c>
      <c r="AN76" s="24">
        <f>[1]节奏总纲!AN76</f>
        <v>13707.540124589905</v>
      </c>
      <c r="AO76" s="24">
        <f>[1]节奏总纲!AO76</f>
        <v>10280.655093442427</v>
      </c>
      <c r="AP76" s="24">
        <f>[1]节奏总纲!AP76</f>
        <v>6853.7700622949524</v>
      </c>
      <c r="AQ76" s="24">
        <f>[1]节奏总纲!AQ76</f>
        <v>3426.8850311474762</v>
      </c>
      <c r="AS76" s="24">
        <f>[1]节奏总纲!AS76</f>
        <v>73</v>
      </c>
      <c r="AT76" s="24">
        <f>[1]节奏总纲!AT76</f>
        <v>2326.2200928167622</v>
      </c>
      <c r="AU76" s="24">
        <f>[1]节奏总纲!AU76</f>
        <v>1860.9760742534108</v>
      </c>
      <c r="AV76" s="24">
        <f>[1]节奏总纲!AV76</f>
        <v>1395.7320556900577</v>
      </c>
      <c r="AW76" s="24">
        <f>[1]节奏总纲!AW76</f>
        <v>930.48803712670542</v>
      </c>
      <c r="AX76" s="24">
        <f>[1]节奏总纲!AX76</f>
        <v>465.24401856335271</v>
      </c>
      <c r="AZ76" s="20">
        <v>73</v>
      </c>
      <c r="BA76" s="20">
        <v>35.927113130704889</v>
      </c>
      <c r="BB76" s="20">
        <v>37.408211364961737</v>
      </c>
      <c r="BC76" s="20">
        <v>39.340350705546385</v>
      </c>
      <c r="BD76" s="20">
        <v>42.080366850119908</v>
      </c>
      <c r="BE76" s="20">
        <v>46.754011500516519</v>
      </c>
      <c r="BI76" s="20">
        <v>73</v>
      </c>
      <c r="BJ76" s="32">
        <f>[1]节奏总纲!BQ76</f>
        <v>140.63900152187057</v>
      </c>
      <c r="BK76" s="32">
        <f>[1]节奏总纲!BR76</f>
        <v>139.81183580038677</v>
      </c>
      <c r="BL76" s="32">
        <f>[1]节奏总纲!BS76</f>
        <v>138.91106706435997</v>
      </c>
      <c r="BM76" s="32">
        <f>[1]节奏总纲!BT76</f>
        <v>137.96184741964817</v>
      </c>
      <c r="BN76" s="32">
        <f>[1]节奏总纲!BU76</f>
        <v>136.95030487715928</v>
      </c>
      <c r="BP76" s="20">
        <v>73</v>
      </c>
      <c r="BQ76" s="32">
        <f>[1]节奏总纲!BX76</f>
        <v>41.050728962151652</v>
      </c>
      <c r="BR76" s="32">
        <f>[1]节奏总纲!BY76</f>
        <v>41.560938373564056</v>
      </c>
      <c r="BS76" s="32">
        <f>[1]节奏总纲!BZ76</f>
        <v>42.142929396202454</v>
      </c>
      <c r="BT76" s="32">
        <f>[1]节奏总纲!CA76</f>
        <v>42.770735222023518</v>
      </c>
      <c r="BU76" s="32">
        <f>[1]节奏总纲!CB76</f>
        <v>43.461216869621744</v>
      </c>
    </row>
    <row r="77" spans="6:73" x14ac:dyDescent="0.15">
      <c r="F77" s="24">
        <f>[1]节奏总纲!F77</f>
        <v>75</v>
      </c>
      <c r="G77" s="24">
        <f>[1]节奏总纲!G77</f>
        <v>180.01933598375612</v>
      </c>
      <c r="I77" s="24">
        <f>[1]节奏总纲!I77</f>
        <v>75</v>
      </c>
      <c r="J77" s="24">
        <f>[1]节奏总纲!J77</f>
        <v>22936.899999999998</v>
      </c>
      <c r="K77" s="24">
        <f>[1]节奏总纲!K77</f>
        <v>1.4</v>
      </c>
      <c r="N77" s="24">
        <f>[1]节奏总纲!N77</f>
        <v>84</v>
      </c>
      <c r="O77" s="24">
        <f>[1]节奏总纲!O77</f>
        <v>74</v>
      </c>
      <c r="P77" s="24">
        <f>[1]节奏总纲!P77</f>
        <v>167.89701257893043</v>
      </c>
      <c r="Q77" s="24">
        <f>[1]节奏总纲!Q77</f>
        <v>145.16375707574326</v>
      </c>
      <c r="R77" s="24">
        <f>[1]节奏总纲!R77</f>
        <v>118.70318789330381</v>
      </c>
      <c r="S77" s="24">
        <f>[1]节奏总纲!S77</f>
        <v>86.869914308338593</v>
      </c>
      <c r="T77" s="24">
        <f>[1]节奏总纲!T77</f>
        <v>48.169652908895138</v>
      </c>
      <c r="U77" s="23"/>
      <c r="V77" s="24">
        <f>[1]节奏总纲!V77</f>
        <v>74</v>
      </c>
      <c r="W77" s="24">
        <f>[1]节奏总纲!W77</f>
        <v>11.31052767078117</v>
      </c>
      <c r="X77" s="24">
        <f>[1]节奏总纲!X77</f>
        <v>9.7477649271757798</v>
      </c>
      <c r="Y77" s="24">
        <f>[1]节奏总纲!Y77</f>
        <v>8.1218122511687909</v>
      </c>
      <c r="Z77" s="24">
        <f>[1]节奏总纲!Z77</f>
        <v>5.9147016108254178</v>
      </c>
      <c r="AA77" s="24">
        <f>[1]节奏总纲!AA77</f>
        <v>3.2919663342195591</v>
      </c>
      <c r="AC77" s="24">
        <f>[1]节奏总纲!AC77</f>
        <v>74</v>
      </c>
      <c r="AD77" s="24">
        <f>[1]节奏总纲!AD77</f>
        <v>62.281112832649576</v>
      </c>
      <c r="AE77" s="24">
        <f>[1]节奏总纲!AE77</f>
        <v>64.304793036447776</v>
      </c>
      <c r="AF77" s="24">
        <f>[1]节奏总纲!AF77</f>
        <v>67.14262442756818</v>
      </c>
      <c r="AG77" s="24">
        <f>[1]节奏总纲!AG77</f>
        <v>71.680959487253048</v>
      </c>
      <c r="AH77" s="24">
        <f>[1]节奏总纲!AH77</f>
        <v>80.24075196383977</v>
      </c>
      <c r="AL77" s="24">
        <f>[1]节奏总纲!AL77</f>
        <v>74</v>
      </c>
      <c r="AM77" s="24">
        <f>[1]节奏总纲!AM77</f>
        <v>19825.014596370729</v>
      </c>
      <c r="AN77" s="24">
        <f>[1]节奏总纲!AN77</f>
        <v>15860.011677096583</v>
      </c>
      <c r="AO77" s="24">
        <f>[1]节奏总纲!AO77</f>
        <v>11895.008757822437</v>
      </c>
      <c r="AP77" s="24">
        <f>[1]节奏总纲!AP77</f>
        <v>7930.0058385482916</v>
      </c>
      <c r="AQ77" s="24">
        <f>[1]节奏总纲!AQ77</f>
        <v>3965.0029192741458</v>
      </c>
      <c r="AS77" s="24">
        <f>[1]节奏总纲!AS77</f>
        <v>74</v>
      </c>
      <c r="AT77" s="24">
        <f>[1]节奏总纲!AT77</f>
        <v>2690.58944063335</v>
      </c>
      <c r="AU77" s="24">
        <f>[1]节奏总纲!AU77</f>
        <v>2152.4715525066786</v>
      </c>
      <c r="AV77" s="24">
        <f>[1]节奏总纲!AV77</f>
        <v>1614.3536643800107</v>
      </c>
      <c r="AW77" s="24">
        <f>[1]节奏总纲!AW77</f>
        <v>1076.2357762533393</v>
      </c>
      <c r="AX77" s="24">
        <f>[1]节奏总纲!AX77</f>
        <v>538.11788812666964</v>
      </c>
      <c r="AZ77" s="20">
        <v>74</v>
      </c>
      <c r="BA77" s="20">
        <v>36.021306837933537</v>
      </c>
      <c r="BB77" s="20">
        <v>37.498964956033646</v>
      </c>
      <c r="BC77" s="20">
        <v>39.430405216734592</v>
      </c>
      <c r="BD77" s="20">
        <v>42.167148737437564</v>
      </c>
      <c r="BE77" s="20">
        <v>46.850331714610157</v>
      </c>
      <c r="BI77" s="20">
        <v>74</v>
      </c>
      <c r="BJ77" s="32">
        <f>[1]节奏总纲!BQ77</f>
        <v>142.74455401431342</v>
      </c>
      <c r="BK77" s="32">
        <f>[1]节奏总纲!BR77</f>
        <v>141.95854268233577</v>
      </c>
      <c r="BL77" s="32">
        <f>[1]节奏总纲!BS77</f>
        <v>141.12063409703663</v>
      </c>
      <c r="BM77" s="32">
        <f>[1]节奏总纲!BT77</f>
        <v>140.18479766698579</v>
      </c>
      <c r="BN77" s="32">
        <f>[1]节奏总纲!BU77</f>
        <v>139.16271061168544</v>
      </c>
      <c r="BP77" s="20">
        <v>74</v>
      </c>
      <c r="BQ77" s="32">
        <f>[1]节奏总纲!BX77</f>
        <v>41.505708681037625</v>
      </c>
      <c r="BR77" s="32">
        <f>[1]节奏总纲!BY77</f>
        <v>42.044081480508389</v>
      </c>
      <c r="BS77" s="32">
        <f>[1]节奏总纲!BZ77</f>
        <v>42.612813526599879</v>
      </c>
      <c r="BT77" s="32">
        <f>[1]节奏总纲!CA77</f>
        <v>43.245114997782593</v>
      </c>
      <c r="BU77" s="32">
        <f>[1]节奏总纲!CB77</f>
        <v>43.954310083598529</v>
      </c>
    </row>
    <row r="78" spans="6:73" x14ac:dyDescent="0.15">
      <c r="F78" s="24">
        <f>[1]节奏总纲!F78</f>
        <v>76</v>
      </c>
      <c r="G78" s="24">
        <f>[1]节奏总纲!G78</f>
        <v>193.01172051333091</v>
      </c>
      <c r="I78" s="24">
        <f>[1]节奏总纲!I78</f>
        <v>76</v>
      </c>
      <c r="J78" s="24">
        <f>[1]节奏总纲!J78</f>
        <v>26535.88112606269</v>
      </c>
      <c r="K78" s="24">
        <f>[1]节奏总纲!K78</f>
        <v>1.41</v>
      </c>
      <c r="N78" s="24">
        <f>[1]节奏总纲!N78</f>
        <v>85</v>
      </c>
      <c r="O78" s="24">
        <f>[1]节奏总纲!O78</f>
        <v>75</v>
      </c>
      <c r="P78" s="24">
        <f>[1]节奏总纲!P78</f>
        <v>180.01933598375612</v>
      </c>
      <c r="Q78" s="24">
        <f>[1]节奏总纲!Q78</f>
        <v>155.75272949314578</v>
      </c>
      <c r="R78" s="24">
        <f>[1]节奏总纲!R78</f>
        <v>127.38168214210583</v>
      </c>
      <c r="S78" s="24">
        <f>[1]节奏总纲!S78</f>
        <v>93.214012172388934</v>
      </c>
      <c r="T78" s="24">
        <f>[1]节奏总纲!T78</f>
        <v>51.755559095329879</v>
      </c>
      <c r="U78" s="23"/>
      <c r="V78" s="24">
        <f>[1]节奏总纲!V78</f>
        <v>75</v>
      </c>
      <c r="W78" s="24">
        <f>[1]节奏总纲!W78</f>
        <v>12.122323404825693</v>
      </c>
      <c r="X78" s="24">
        <f>[1]节奏总纲!X78</f>
        <v>10.588972417402516</v>
      </c>
      <c r="Y78" s="24">
        <f>[1]节奏总纲!Y78</f>
        <v>8.6784942488020249</v>
      </c>
      <c r="Z78" s="24">
        <f>[1]节奏总纲!Z78</f>
        <v>6.3440978640503403</v>
      </c>
      <c r="AA78" s="24">
        <f>[1]节奏总纲!AA78</f>
        <v>3.585906186434741</v>
      </c>
      <c r="AC78" s="24">
        <f>[1]节奏总纲!AC78</f>
        <v>75</v>
      </c>
      <c r="AD78" s="24">
        <f>[1]节奏总纲!AD78</f>
        <v>62.470630686057078</v>
      </c>
      <c r="AE78" s="24">
        <f>[1]节奏总纲!AE78</f>
        <v>64.495279642868965</v>
      </c>
      <c r="AF78" s="24">
        <f>[1]节奏总纲!AF78</f>
        <v>67.344310856946692</v>
      </c>
      <c r="AG78" s="24">
        <f>[1]节奏总纲!AG78</f>
        <v>71.882008108111634</v>
      </c>
      <c r="AH78" s="24">
        <f>[1]节奏总纲!AH78</f>
        <v>80.437605572866573</v>
      </c>
      <c r="AL78" s="24">
        <f>[1]节奏总纲!AL78</f>
        <v>75</v>
      </c>
      <c r="AM78" s="24">
        <f>[1]节奏总纲!AM78</f>
        <v>22936.899999999998</v>
      </c>
      <c r="AN78" s="24">
        <f>[1]节奏总纲!AN78</f>
        <v>18349.52</v>
      </c>
      <c r="AO78" s="24">
        <f>[1]节奏总纲!AO78</f>
        <v>13762.139999999998</v>
      </c>
      <c r="AP78" s="24">
        <f>[1]节奏总纲!AP78</f>
        <v>9174.76</v>
      </c>
      <c r="AQ78" s="24">
        <f>[1]节奏总纲!AQ78</f>
        <v>4587.38</v>
      </c>
      <c r="AS78" s="24">
        <f>[1]节奏总纲!AS78</f>
        <v>75</v>
      </c>
      <c r="AT78" s="24">
        <f>[1]节奏总纲!AT78</f>
        <v>3111.8854036292687</v>
      </c>
      <c r="AU78" s="24">
        <f>[1]节奏总纲!AU78</f>
        <v>2489.5083229034171</v>
      </c>
      <c r="AV78" s="24">
        <f>[1]节奏总纲!AV78</f>
        <v>1867.1312421775601</v>
      </c>
      <c r="AW78" s="24">
        <f>[1]节奏总纲!AW78</f>
        <v>1244.7541614517086</v>
      </c>
      <c r="AX78" s="24">
        <f>[1]节奏总纲!AX78</f>
        <v>622.37708072585428</v>
      </c>
      <c r="AZ78" s="20">
        <v>75</v>
      </c>
      <c r="BA78" s="20">
        <v>36.105477566569242</v>
      </c>
      <c r="BB78" s="20">
        <v>37.589718547105562</v>
      </c>
      <c r="BC78" s="20">
        <v>39.520459727922798</v>
      </c>
      <c r="BD78" s="20">
        <v>42.253930624755228</v>
      </c>
      <c r="BE78" s="20">
        <v>46.946651928703787</v>
      </c>
      <c r="BI78" s="20">
        <v>75</v>
      </c>
      <c r="BJ78" s="32">
        <f>[1]节奏总纲!BQ78</f>
        <v>144.85011188259233</v>
      </c>
      <c r="BK78" s="32">
        <f>[1]节奏总纲!BR78</f>
        <v>144.04377283559913</v>
      </c>
      <c r="BL78" s="32">
        <f>[1]节奏总纲!BS78</f>
        <v>143.16904869712448</v>
      </c>
      <c r="BM78" s="32">
        <f>[1]节奏总纲!BT78</f>
        <v>142.25753558451294</v>
      </c>
      <c r="BN78" s="32">
        <f>[1]节奏总纲!BU78</f>
        <v>141.29248112662486</v>
      </c>
      <c r="BP78" s="20">
        <v>75</v>
      </c>
      <c r="BQ78" s="32">
        <f>[1]节奏总纲!BX78</f>
        <v>41.993343869731824</v>
      </c>
      <c r="BR78" s="32">
        <f>[1]节奏总纲!BY78</f>
        <v>42.503546986076806</v>
      </c>
      <c r="BS78" s="32">
        <f>[1]节奏总纲!BZ78</f>
        <v>43.099163240208767</v>
      </c>
      <c r="BT78" s="32">
        <f>[1]节奏总纲!CA78</f>
        <v>43.720246163774526</v>
      </c>
      <c r="BU78" s="32">
        <f>[1]节奏总纲!CB78</f>
        <v>44.424142211876969</v>
      </c>
    </row>
    <row r="79" spans="6:73" x14ac:dyDescent="0.15">
      <c r="F79" s="24">
        <f>[1]节奏总纲!F79</f>
        <v>77</v>
      </c>
      <c r="G79" s="24">
        <f>[1]节奏总纲!G79</f>
        <v>206.93661346719625</v>
      </c>
      <c r="I79" s="24">
        <f>[1]节奏总纲!I79</f>
        <v>77</v>
      </c>
      <c r="J79" s="24">
        <f>[1]节奏总纲!J79</f>
        <v>30698.011006346387</v>
      </c>
      <c r="K79" s="24">
        <f>[1]节奏总纲!K79</f>
        <v>1.42</v>
      </c>
      <c r="N79" s="24">
        <f>[1]节奏总纲!N79</f>
        <v>86</v>
      </c>
      <c r="O79" s="24">
        <f>[1]节奏总纲!O79</f>
        <v>76</v>
      </c>
      <c r="P79" s="24">
        <f>[1]节奏总纲!P79</f>
        <v>193.01172051333091</v>
      </c>
      <c r="Q79" s="24">
        <f>[1]节奏总纲!Q79</f>
        <v>166.97443941608256</v>
      </c>
      <c r="R79" s="24">
        <f>[1]节奏总纲!R79</f>
        <v>136.51718991907896</v>
      </c>
      <c r="S79" s="24">
        <f>[1]节奏总纲!S79</f>
        <v>100.0379747420594</v>
      </c>
      <c r="T79" s="24">
        <f>[1]节奏总纲!T79</f>
        <v>55.664580196044632</v>
      </c>
      <c r="U79" s="23"/>
      <c r="V79" s="24">
        <f>[1]节奏总纲!V79</f>
        <v>76</v>
      </c>
      <c r="W79" s="24">
        <f>[1]节奏总纲!W79</f>
        <v>12.992384529574792</v>
      </c>
      <c r="X79" s="24">
        <f>[1]节奏总纲!X79</f>
        <v>11.221709922936782</v>
      </c>
      <c r="Y79" s="24">
        <f>[1]节奏总纲!Y79</f>
        <v>9.1355077769731281</v>
      </c>
      <c r="Z79" s="24">
        <f>[1]节奏总纲!Z79</f>
        <v>6.8239625696704707</v>
      </c>
      <c r="AA79" s="24">
        <f>[1]节奏总纲!AA79</f>
        <v>3.9090211007147531</v>
      </c>
      <c r="AC79" s="24">
        <f>[1]节奏总纲!AC79</f>
        <v>76</v>
      </c>
      <c r="AD79" s="24">
        <f>[1]节奏总纲!AD79</f>
        <v>62.660148539464579</v>
      </c>
      <c r="AE79" s="24">
        <f>[1]节奏总纲!AE79</f>
        <v>64.685766249290154</v>
      </c>
      <c r="AF79" s="24">
        <f>[1]节奏总纲!AF79</f>
        <v>67.545997286325218</v>
      </c>
      <c r="AG79" s="24">
        <f>[1]节奏总纲!AG79</f>
        <v>72.076954583856178</v>
      </c>
      <c r="AH79" s="24">
        <f>[1]节奏总纲!AH79</f>
        <v>80.634459181893376</v>
      </c>
      <c r="AL79" s="24">
        <f>[1]节奏总纲!AL79</f>
        <v>76</v>
      </c>
      <c r="AM79" s="24">
        <f>[1]节奏总纲!AM79</f>
        <v>26535.88112606269</v>
      </c>
      <c r="AN79" s="24">
        <f>[1]节奏总纲!AN79</f>
        <v>21228.704900850153</v>
      </c>
      <c r="AO79" s="24">
        <f>[1]节奏总纲!AO79</f>
        <v>15921.528675637614</v>
      </c>
      <c r="AP79" s="24">
        <f>[1]节奏总纲!AP79</f>
        <v>10614.352450425076</v>
      </c>
      <c r="AQ79" s="24">
        <f>[1]节奏总纲!AQ79</f>
        <v>5307.1762252125382</v>
      </c>
      <c r="AS79" s="24">
        <f>[1]节奏总纲!AS79</f>
        <v>76</v>
      </c>
      <c r="AT79" s="24">
        <f>[1]节奏总纲!AT79</f>
        <v>3598.9811260626921</v>
      </c>
      <c r="AU79" s="24">
        <f>[1]节奏总纲!AU79</f>
        <v>2879.1849008501522</v>
      </c>
      <c r="AV79" s="24">
        <f>[1]节奏总纲!AV79</f>
        <v>2159.388675637616</v>
      </c>
      <c r="AW79" s="24">
        <f>[1]节奏总纲!AW79</f>
        <v>1439.5924504250761</v>
      </c>
      <c r="AX79" s="24">
        <f>[1]节奏总纲!AX79</f>
        <v>719.79622521253805</v>
      </c>
      <c r="AZ79" s="20">
        <v>76</v>
      </c>
      <c r="BA79" s="20">
        <v>36.189648295204947</v>
      </c>
      <c r="BB79" s="20">
        <v>37.680472138177471</v>
      </c>
      <c r="BC79" s="20">
        <v>39.610514239111005</v>
      </c>
      <c r="BD79" s="20">
        <v>42.340712512072891</v>
      </c>
      <c r="BE79" s="20">
        <v>47.037096473408994</v>
      </c>
      <c r="BI79" s="20">
        <v>76</v>
      </c>
      <c r="BJ79" s="32">
        <f>[1]节奏总纲!BQ79</f>
        <v>146.95567436878142</v>
      </c>
      <c r="BK79" s="32">
        <f>[1]节奏总纲!BR79</f>
        <v>146.1345285871148</v>
      </c>
      <c r="BL79" s="32">
        <f>[1]节奏总纲!BS79</f>
        <v>145.25314650323406</v>
      </c>
      <c r="BM79" s="32">
        <f>[1]节奏总纲!BT79</f>
        <v>144.32236845404299</v>
      </c>
      <c r="BN79" s="32">
        <f>[1]节奏总纲!BU79</f>
        <v>143.33605108914449</v>
      </c>
      <c r="BP79" s="20">
        <v>76</v>
      </c>
      <c r="BQ79" s="32">
        <f>[1]节奏总纲!BX79</f>
        <v>42.445257628160959</v>
      </c>
      <c r="BR79" s="32">
        <f>[1]节奏总纲!BY79</f>
        <v>42.990467569098698</v>
      </c>
      <c r="BS79" s="32">
        <f>[1]节奏总纲!BZ79</f>
        <v>43.55528950171113</v>
      </c>
      <c r="BT79" s="32">
        <f>[1]节奏总纲!CA79</f>
        <v>44.199643027024372</v>
      </c>
      <c r="BU79" s="32">
        <f>[1]节奏总纲!CB79</f>
        <v>44.929489637728736</v>
      </c>
    </row>
    <row r="80" spans="6:73" x14ac:dyDescent="0.15">
      <c r="F80" s="24">
        <f>[1]节奏总纲!F80</f>
        <v>78</v>
      </c>
      <c r="G80" s="24">
        <f>[1]节奏总纲!G80</f>
        <v>221.86094420380775</v>
      </c>
      <c r="I80" s="24">
        <f>[1]节奏总纲!I80</f>
        <v>78</v>
      </c>
      <c r="J80" s="24">
        <f>[1]节奏总纲!J80</f>
        <v>35511.190322760085</v>
      </c>
      <c r="K80" s="24">
        <f>[1]节奏总纲!K80</f>
        <v>1.43</v>
      </c>
      <c r="N80" s="24">
        <f>[1]节奏总纲!N80</f>
        <v>87</v>
      </c>
      <c r="O80" s="24">
        <f>[1]节奏总纲!O80</f>
        <v>77</v>
      </c>
      <c r="P80" s="24">
        <f>[1]节奏总纲!P80</f>
        <v>206.93661346719625</v>
      </c>
      <c r="Q80" s="24">
        <f>[1]节奏总纲!Q80</f>
        <v>179.12433261720508</v>
      </c>
      <c r="R80" s="24">
        <f>[1]节奏总纲!R80</f>
        <v>146.53181599612165</v>
      </c>
      <c r="S80" s="24">
        <f>[1]节奏总纲!S80</f>
        <v>107.42079605082158</v>
      </c>
      <c r="T80" s="24">
        <f>[1]节奏总纲!T80</f>
        <v>59.535663694512365</v>
      </c>
      <c r="U80" s="23"/>
      <c r="V80" s="24">
        <f>[1]节奏总纲!V80</f>
        <v>77</v>
      </c>
      <c r="W80" s="24">
        <f>[1]节奏总纲!W80</f>
        <v>13.924892953865339</v>
      </c>
      <c r="X80" s="24">
        <f>[1]节奏总纲!X80</f>
        <v>12.149893201122524</v>
      </c>
      <c r="Y80" s="24">
        <f>[1]节奏总纲!Y80</f>
        <v>10.014626077042692</v>
      </c>
      <c r="Z80" s="24">
        <f>[1]节奏总纲!Z80</f>
        <v>7.3828213087621748</v>
      </c>
      <c r="AA80" s="24">
        <f>[1]节奏总纲!AA80</f>
        <v>3.8710834984677334</v>
      </c>
      <c r="AC80" s="24">
        <f>[1]节奏总纲!AC80</f>
        <v>77</v>
      </c>
      <c r="AD80" s="24">
        <f>[1]节奏总纲!AD80</f>
        <v>62.849666392872081</v>
      </c>
      <c r="AE80" s="24">
        <f>[1]节奏总纲!AE80</f>
        <v>64.876252855711357</v>
      </c>
      <c r="AF80" s="24">
        <f>[1]节奏总纲!AF80</f>
        <v>67.747683715703729</v>
      </c>
      <c r="AG80" s="24">
        <f>[1]节奏总纲!AG80</f>
        <v>72.263232241847945</v>
      </c>
      <c r="AH80" s="24">
        <f>[1]节奏总纲!AH80</f>
        <v>80.83131279092018</v>
      </c>
      <c r="AL80" s="24">
        <f>[1]节奏总纲!AL80</f>
        <v>77</v>
      </c>
      <c r="AM80" s="24">
        <f>[1]节奏总纲!AM80</f>
        <v>30698.011006346387</v>
      </c>
      <c r="AN80" s="24">
        <f>[1]节奏总纲!AN80</f>
        <v>24558.40880507711</v>
      </c>
      <c r="AO80" s="24">
        <f>[1]节奏总纲!AO80</f>
        <v>18418.806603807832</v>
      </c>
      <c r="AP80" s="24">
        <f>[1]节奏总纲!AP80</f>
        <v>12279.204402538555</v>
      </c>
      <c r="AQ80" s="24">
        <f>[1]节奏总纲!AQ80</f>
        <v>6139.6022012692774</v>
      </c>
      <c r="AS80" s="24">
        <f>[1]节奏总纲!AS80</f>
        <v>77</v>
      </c>
      <c r="AT80" s="24">
        <f>[1]节奏总纲!AT80</f>
        <v>4162.1298802836973</v>
      </c>
      <c r="AU80" s="24">
        <f>[1]节奏总纲!AU80</f>
        <v>3329.7039042269571</v>
      </c>
      <c r="AV80" s="24">
        <f>[1]节奏总纲!AV80</f>
        <v>2497.2779281702187</v>
      </c>
      <c r="AW80" s="24">
        <f>[1]节奏总纲!AW80</f>
        <v>1664.8519521134785</v>
      </c>
      <c r="AX80" s="24">
        <f>[1]节奏总纲!AX80</f>
        <v>832.42597605673927</v>
      </c>
      <c r="AZ80" s="20">
        <v>77</v>
      </c>
      <c r="BA80" s="20">
        <v>36.273819023840659</v>
      </c>
      <c r="BB80" s="20">
        <v>37.771225729249387</v>
      </c>
      <c r="BC80" s="20">
        <v>39.700568750299212</v>
      </c>
      <c r="BD80" s="20">
        <v>42.427494399390554</v>
      </c>
      <c r="BE80" s="20">
        <v>47.12024662670057</v>
      </c>
      <c r="BI80" s="20">
        <v>77</v>
      </c>
      <c r="BJ80" s="32">
        <f>[1]节奏总纲!BQ80</f>
        <v>149.05713970651243</v>
      </c>
      <c r="BK80" s="32">
        <f>[1]节奏总纲!BR80</f>
        <v>148.27357279823164</v>
      </c>
      <c r="BL80" s="32">
        <f>[1]节奏总纲!BS80</f>
        <v>147.45018844840658</v>
      </c>
      <c r="BM80" s="32">
        <f>[1]节奏总纲!BT80</f>
        <v>146.55064673623977</v>
      </c>
      <c r="BN80" s="32">
        <f>[1]节奏总纲!BU80</f>
        <v>145.53468456757108</v>
      </c>
      <c r="BP80" s="20">
        <v>77</v>
      </c>
      <c r="BQ80" s="32">
        <f>[1]节奏总纲!BX80</f>
        <v>42.928629024654093</v>
      </c>
      <c r="BR80" s="32">
        <f>[1]节奏总纲!BY80</f>
        <v>43.44674694915556</v>
      </c>
      <c r="BS80" s="32">
        <f>[1]节奏总纲!BZ80</f>
        <v>44.047735983456604</v>
      </c>
      <c r="BT80" s="32">
        <f>[1]节奏总纲!CA80</f>
        <v>44.676858376824399</v>
      </c>
      <c r="BU80" s="32">
        <f>[1]节奏总纲!CB80</f>
        <v>45.371092241532111</v>
      </c>
    </row>
    <row r="81" spans="6:73" x14ac:dyDescent="0.15">
      <c r="F81" s="24">
        <f>[1]节奏总纲!F81</f>
        <v>79</v>
      </c>
      <c r="G81" s="24">
        <f>[1]节奏总纲!G81</f>
        <v>237.85644583342264</v>
      </c>
      <c r="I81" s="24">
        <f>[1]节奏总纲!I81</f>
        <v>79</v>
      </c>
      <c r="J81" s="24">
        <f>[1]节奏总纲!J81</f>
        <v>41077.009235645834</v>
      </c>
      <c r="K81" s="24">
        <f>[1]节奏总纲!K81</f>
        <v>1.44</v>
      </c>
      <c r="N81" s="24">
        <f>[1]节奏总纲!N81</f>
        <v>88</v>
      </c>
      <c r="O81" s="24">
        <f>[1]节奏总纲!O81</f>
        <v>78</v>
      </c>
      <c r="P81" s="24">
        <f>[1]节奏总纲!P81</f>
        <v>221.86094420380775</v>
      </c>
      <c r="Q81" s="24">
        <f>[1]节奏总纲!Q81</f>
        <v>192.04283330281601</v>
      </c>
      <c r="R81" s="24">
        <f>[1]节奏总纲!R81</f>
        <v>157.23285115723854</v>
      </c>
      <c r="S81" s="24">
        <f>[1]节奏总纲!S81</f>
        <v>115.1680161361966</v>
      </c>
      <c r="T81" s="24">
        <f>[1]节奏总纲!T81</f>
        <v>63.651904892072437</v>
      </c>
      <c r="U81" s="23"/>
      <c r="V81" s="24">
        <f>[1]节奏总纲!V81</f>
        <v>78</v>
      </c>
      <c r="W81" s="24">
        <f>[1]节奏总纲!W81</f>
        <v>14.924330736611495</v>
      </c>
      <c r="X81" s="24">
        <f>[1]节奏总纲!X81</f>
        <v>12.918500685610923</v>
      </c>
      <c r="Y81" s="24">
        <f>[1]节奏总纲!Y81</f>
        <v>10.701035161116891</v>
      </c>
      <c r="Z81" s="24">
        <f>[1]节奏总纲!Z81</f>
        <v>7.7472200853750195</v>
      </c>
      <c r="AA81" s="24">
        <f>[1]节奏总纲!AA81</f>
        <v>4.1162411975600719</v>
      </c>
      <c r="AC81" s="24">
        <f>[1]节奏总纲!AC81</f>
        <v>78</v>
      </c>
      <c r="AD81" s="24">
        <f>[1]节奏总纲!AD81</f>
        <v>63.036560194527354</v>
      </c>
      <c r="AE81" s="24">
        <f>[1]节奏总纲!AE81</f>
        <v>65.061438622789353</v>
      </c>
      <c r="AF81" s="24">
        <f>[1]节奏总纲!AF81</f>
        <v>67.949370145082256</v>
      </c>
      <c r="AG81" s="24">
        <f>[1]节奏总纲!AG81</f>
        <v>72.449509899839711</v>
      </c>
      <c r="AH81" s="24">
        <f>[1]节奏总纲!AH81</f>
        <v>81.026624803116562</v>
      </c>
      <c r="AL81" s="24">
        <f>[1]节奏总纲!AL81</f>
        <v>78</v>
      </c>
      <c r="AM81" s="24">
        <f>[1]节奏总纲!AM81</f>
        <v>35511.190322760085</v>
      </c>
      <c r="AN81" s="24">
        <f>[1]节奏总纲!AN81</f>
        <v>28408.952258208068</v>
      </c>
      <c r="AO81" s="24">
        <f>[1]节奏总纲!AO81</f>
        <v>21306.714193656051</v>
      </c>
      <c r="AP81" s="24">
        <f>[1]节奏总纲!AP81</f>
        <v>14204.476129104034</v>
      </c>
      <c r="AQ81" s="24">
        <f>[1]节奏总纲!AQ81</f>
        <v>7102.238064552017</v>
      </c>
      <c r="AS81" s="24">
        <f>[1]节奏总纲!AS81</f>
        <v>78</v>
      </c>
      <c r="AT81" s="24">
        <f>[1]节奏总纲!AT81</f>
        <v>4813.179316413698</v>
      </c>
      <c r="AU81" s="24">
        <f>[1]节奏总纲!AU81</f>
        <v>3850.5434531309584</v>
      </c>
      <c r="AV81" s="24">
        <f>[1]节奏总纲!AV81</f>
        <v>2887.9075898482188</v>
      </c>
      <c r="AW81" s="24">
        <f>[1]节奏总纲!AW81</f>
        <v>1925.2717265654792</v>
      </c>
      <c r="AX81" s="24">
        <f>[1]节奏总纲!AX81</f>
        <v>962.63586328273959</v>
      </c>
      <c r="AZ81" s="20">
        <v>78</v>
      </c>
      <c r="BA81" s="20">
        <v>36.357989752476364</v>
      </c>
      <c r="BB81" s="20">
        <v>37.861979320321296</v>
      </c>
      <c r="BC81" s="20">
        <v>39.790623261487418</v>
      </c>
      <c r="BD81" s="20">
        <v>42.51427628670821</v>
      </c>
      <c r="BE81" s="20">
        <v>47.203396779992147</v>
      </c>
      <c r="BI81" s="20">
        <v>78</v>
      </c>
      <c r="BJ81" s="32">
        <f>[1]节奏总纲!BQ81</f>
        <v>151.15563986695878</v>
      </c>
      <c r="BK81" s="32">
        <f>[1]节奏总纲!BR81</f>
        <v>150.36857275778672</v>
      </c>
      <c r="BL81" s="32">
        <f>[1]节奏总纲!BS81</f>
        <v>149.53271887048692</v>
      </c>
      <c r="BM81" s="32">
        <f>[1]节奏总纲!BT81</f>
        <v>148.64897064481843</v>
      </c>
      <c r="BN81" s="32">
        <f>[1]节奏总纲!BU81</f>
        <v>147.71229603325094</v>
      </c>
      <c r="BP81" s="20">
        <v>78</v>
      </c>
      <c r="BQ81" s="32">
        <f>[1]节奏总纲!BX81</f>
        <v>43.385499964596733</v>
      </c>
      <c r="BR81" s="32">
        <f>[1]节奏总纲!BY81</f>
        <v>43.930502277742427</v>
      </c>
      <c r="BS81" s="32">
        <f>[1]节奏总纲!BZ81</f>
        <v>44.508869383463988</v>
      </c>
      <c r="BT81" s="32">
        <f>[1]节奏总纲!CA81</f>
        <v>45.153317888009887</v>
      </c>
      <c r="BU81" s="32">
        <f>[1]节奏总纲!CB81</f>
        <v>45.830400612131918</v>
      </c>
    </row>
    <row r="82" spans="6:73" x14ac:dyDescent="0.15">
      <c r="F82" s="24">
        <f>[1]节奏总纲!F82</f>
        <v>80</v>
      </c>
      <c r="G82" s="24">
        <f>[1]节奏总纲!G82</f>
        <v>255</v>
      </c>
      <c r="I82" s="24">
        <f>[1]节奏总纲!I82</f>
        <v>80</v>
      </c>
      <c r="J82" s="24">
        <f>[1]节奏总纲!J82</f>
        <v>47512.875</v>
      </c>
      <c r="K82" s="24">
        <f>[1]节奏总纲!K82</f>
        <v>1.45</v>
      </c>
      <c r="N82" s="24">
        <f>[1]节奏总纲!N82</f>
        <v>89</v>
      </c>
      <c r="O82" s="24">
        <f>[1]节奏总纲!O82</f>
        <v>79</v>
      </c>
      <c r="P82" s="24">
        <f>[1]节奏总纲!P82</f>
        <v>237.85644583342264</v>
      </c>
      <c r="Q82" s="24">
        <f>[1]节奏总纲!Q82</f>
        <v>206.07882467007735</v>
      </c>
      <c r="R82" s="24">
        <f>[1]节奏总纲!R82</f>
        <v>168.73536267423003</v>
      </c>
      <c r="S82" s="24">
        <f>[1]节奏总纲!S82</f>
        <v>123.11449636337954</v>
      </c>
      <c r="T82" s="24">
        <f>[1]节奏总纲!T82</f>
        <v>68.122086086692235</v>
      </c>
      <c r="U82" s="23"/>
      <c r="V82" s="24">
        <f>[1]节奏总纲!V82</f>
        <v>79</v>
      </c>
      <c r="W82" s="24">
        <f>[1]节奏总纲!W82</f>
        <v>15.995501629614893</v>
      </c>
      <c r="X82" s="24">
        <f>[1]节奏总纲!X82</f>
        <v>14.035991367261346</v>
      </c>
      <c r="Y82" s="24">
        <f>[1]节奏总纲!Y82</f>
        <v>11.50251151699149</v>
      </c>
      <c r="Z82" s="24">
        <f>[1]节奏总纲!Z82</f>
        <v>7.9464802271829456</v>
      </c>
      <c r="AA82" s="24">
        <f>[1]节奏总纲!AA82</f>
        <v>4.4701811946197978</v>
      </c>
      <c r="AC82" s="24">
        <f>[1]节奏总纲!AC82</f>
        <v>79</v>
      </c>
      <c r="AD82" s="24">
        <f>[1]节奏总纲!AD82</f>
        <v>63.213386604241791</v>
      </c>
      <c r="AE82" s="24">
        <f>[1]节奏总纲!AE82</f>
        <v>65.23679566619937</v>
      </c>
      <c r="AF82" s="24">
        <f>[1]节奏总纲!AF82</f>
        <v>68.132712808893615</v>
      </c>
      <c r="AG82" s="24">
        <f>[1]节奏总纲!AG82</f>
        <v>72.635787557831478</v>
      </c>
      <c r="AH82" s="24">
        <f>[1]节奏总纲!AH82</f>
        <v>81.212704266341873</v>
      </c>
      <c r="AL82" s="24">
        <f>[1]节奏总纲!AL82</f>
        <v>79</v>
      </c>
      <c r="AM82" s="24">
        <f>[1]节奏总纲!AM82</f>
        <v>41077.009235645834</v>
      </c>
      <c r="AN82" s="24">
        <f>[1]节奏总纲!AN82</f>
        <v>32861.60738851667</v>
      </c>
      <c r="AO82" s="24">
        <f>[1]节奏总纲!AO82</f>
        <v>24646.205541387499</v>
      </c>
      <c r="AP82" s="24">
        <f>[1]节奏总纲!AP82</f>
        <v>16430.803694258335</v>
      </c>
      <c r="AQ82" s="24">
        <f>[1]节奏总纲!AQ82</f>
        <v>8215.4018471291674</v>
      </c>
      <c r="AS82" s="24">
        <f>[1]节奏总纲!AS82</f>
        <v>79</v>
      </c>
      <c r="AT82" s="24">
        <f>[1]节奏总纲!AT82</f>
        <v>5565.8189128857484</v>
      </c>
      <c r="AU82" s="24">
        <f>[1]节奏总纲!AU82</f>
        <v>4452.6551303086017</v>
      </c>
      <c r="AV82" s="24">
        <f>[1]节奏总纲!AV82</f>
        <v>3339.4913477314476</v>
      </c>
      <c r="AW82" s="24">
        <f>[1]节奏总纲!AW82</f>
        <v>2226.3275651543008</v>
      </c>
      <c r="AX82" s="24">
        <f>[1]节奏总纲!AX82</f>
        <v>1113.1637825771504</v>
      </c>
      <c r="AZ82" s="20">
        <v>79</v>
      </c>
      <c r="BA82" s="20">
        <v>36.442160481112069</v>
      </c>
      <c r="BB82" s="20">
        <v>37.952732911393213</v>
      </c>
      <c r="BC82" s="20">
        <v>39.880677772675625</v>
      </c>
      <c r="BD82" s="20">
        <v>42.601058174025873</v>
      </c>
      <c r="BE82" s="20">
        <v>47.286546933283724</v>
      </c>
      <c r="BI82" s="20">
        <v>79</v>
      </c>
      <c r="BJ82" s="32">
        <f>[1]节奏总纲!BQ82</f>
        <v>153.254142755516</v>
      </c>
      <c r="BK82" s="32">
        <f>[1]节奏总纲!BR82</f>
        <v>152.42090057971816</v>
      </c>
      <c r="BL82" s="32">
        <f>[1]节奏总纲!BS82</f>
        <v>151.57476523052998</v>
      </c>
      <c r="BM82" s="32">
        <f>[1]节奏总纲!BT82</f>
        <v>150.68887650130068</v>
      </c>
      <c r="BN82" s="32">
        <f>[1]节奏总纲!BU82</f>
        <v>149.76122007031191</v>
      </c>
      <c r="BP82" s="20">
        <v>79</v>
      </c>
      <c r="BQ82" s="32">
        <f>[1]节奏总纲!BX82</f>
        <v>43.864683073228825</v>
      </c>
      <c r="BR82" s="32">
        <f>[1]节奏总纲!BY82</f>
        <v>44.393651798323852</v>
      </c>
      <c r="BS82" s="32">
        <f>[1]节奏总纲!BZ82</f>
        <v>45.003918944161271</v>
      </c>
      <c r="BT82" s="32">
        <f>[1]节奏总纲!CA82</f>
        <v>45.596669566151888</v>
      </c>
      <c r="BU82" s="32">
        <f>[1]节奏总纲!CB82</f>
        <v>46.284169788056381</v>
      </c>
    </row>
    <row r="83" spans="6:73" x14ac:dyDescent="0.15">
      <c r="F83" s="24">
        <f>[1]节奏总纲!F83</f>
        <v>81</v>
      </c>
      <c r="G83" s="24">
        <f>[1]节奏总纲!G83</f>
        <v>273.37400640929098</v>
      </c>
      <c r="N83" s="24">
        <f>[1]节奏总纲!N83</f>
        <v>90</v>
      </c>
      <c r="O83" s="24">
        <f>[1]节奏总纲!O83</f>
        <v>80</v>
      </c>
      <c r="P83" s="24">
        <f>[1]节奏总纲!P83</f>
        <v>255</v>
      </c>
      <c r="Q83" s="24">
        <f>[1]节奏总纲!Q83</f>
        <v>221.08500000000001</v>
      </c>
      <c r="R83" s="24">
        <f>[1]节奏总纲!R83</f>
        <v>180.33600000000001</v>
      </c>
      <c r="S83" s="24">
        <f>[1]节奏总纲!S83</f>
        <v>131.58000000000001</v>
      </c>
      <c r="T83" s="24">
        <f>[1]节奏总纲!T83</f>
        <v>72.777000000000001</v>
      </c>
      <c r="U83" s="23"/>
      <c r="V83" s="24">
        <f>[1]节奏总纲!V83</f>
        <v>80</v>
      </c>
      <c r="W83" s="24">
        <f>[1]节奏总纲!W83</f>
        <v>17.14355416657736</v>
      </c>
      <c r="X83" s="24">
        <f>[1]节奏总纲!X83</f>
        <v>15.006175329922655</v>
      </c>
      <c r="Y83" s="24">
        <f>[1]节奏总纲!Y83</f>
        <v>11.600637325769981</v>
      </c>
      <c r="Z83" s="24">
        <f>[1]节奏总纲!Z83</f>
        <v>8.4655036366204683</v>
      </c>
      <c r="AA83" s="24">
        <f>[1]节奏总纲!AA83</f>
        <v>4.6549139133077659</v>
      </c>
      <c r="AC83" s="24">
        <f>[1]节奏总纲!AC83</f>
        <v>80</v>
      </c>
      <c r="AD83" s="24">
        <f>[1]节奏总纲!AD83</f>
        <v>63.39021301395622</v>
      </c>
      <c r="AE83" s="24">
        <f>[1]节奏总纲!AE83</f>
        <v>65.412152709609373</v>
      </c>
      <c r="AF83" s="24">
        <f>[1]节奏总纲!AF83</f>
        <v>68.309907165737044</v>
      </c>
      <c r="AG83" s="24">
        <f>[1]节奏总纲!AG83</f>
        <v>72.822065215823244</v>
      </c>
      <c r="AH83" s="24">
        <f>[1]节奏总纲!AH83</f>
        <v>81.398783729567185</v>
      </c>
      <c r="AL83" s="24">
        <f>[1]节奏总纲!AL83</f>
        <v>80</v>
      </c>
      <c r="AM83" s="24">
        <f>[1]节奏总纲!AM83</f>
        <v>47512.875</v>
      </c>
      <c r="AN83" s="24">
        <f>[1]节奏总纲!AN83</f>
        <v>38010.300000000003</v>
      </c>
      <c r="AO83" s="24">
        <f>[1]节奏总纲!AO83</f>
        <v>28507.724999999999</v>
      </c>
      <c r="AP83" s="24">
        <f>[1]节奏总纲!AP83</f>
        <v>19005.150000000001</v>
      </c>
      <c r="AQ83" s="24">
        <f>[1]节奏总纲!AQ83</f>
        <v>9502.5750000000007</v>
      </c>
      <c r="AS83" s="24">
        <f>[1]节奏总纲!AS83</f>
        <v>80</v>
      </c>
      <c r="AT83" s="24">
        <f>[1]节奏总纲!AT83</f>
        <v>6435.8657643541665</v>
      </c>
      <c r="AU83" s="24">
        <f>[1]节奏总纲!AU83</f>
        <v>5148.6926114833332</v>
      </c>
      <c r="AV83" s="24">
        <f>[1]节奏总纲!AV83</f>
        <v>3861.5194586124999</v>
      </c>
      <c r="AW83" s="24">
        <f>[1]节奏总纲!AW83</f>
        <v>2574.3463057416666</v>
      </c>
      <c r="AX83" s="24">
        <f>[1]节奏总纲!AX83</f>
        <v>1287.1731528708333</v>
      </c>
      <c r="AZ83" s="20">
        <v>80</v>
      </c>
      <c r="BA83" s="20">
        <v>36.526331209747774</v>
      </c>
      <c r="BB83" s="20">
        <v>38.037513426486328</v>
      </c>
      <c r="BC83" s="20">
        <v>39.970732283863832</v>
      </c>
      <c r="BD83" s="20">
        <v>42.687840061343536</v>
      </c>
      <c r="BE83" s="20">
        <v>47.3696970865753</v>
      </c>
      <c r="BI83" s="20">
        <v>80</v>
      </c>
      <c r="BJ83" s="32">
        <f>[1]节奏总纲!BQ83</f>
        <v>155.35264798579232</v>
      </c>
      <c r="BK83" s="32">
        <f>[1]节奏总纲!BR83</f>
        <v>154.14666602127767</v>
      </c>
      <c r="BL83" s="32">
        <f>[1]节奏总纲!BS83</f>
        <v>153.14946182958477</v>
      </c>
      <c r="BM83" s="32">
        <f>[1]节奏总纲!BT83</f>
        <v>152.12605579164665</v>
      </c>
      <c r="BN83" s="32">
        <f>[1]节奏总纲!BU83</f>
        <v>151.0810487166913</v>
      </c>
      <c r="BP83" s="20">
        <v>80</v>
      </c>
      <c r="BQ83" s="32">
        <f>[1]节奏总纲!BX83</f>
        <v>44.326465623783335</v>
      </c>
      <c r="BR83" s="32">
        <f>[1]节奏总纲!BY83</f>
        <v>44.878640998911052</v>
      </c>
      <c r="BS83" s="32">
        <f>[1]节奏总纲!BZ83</f>
        <v>45.435402391663246</v>
      </c>
      <c r="BT83" s="32">
        <f>[1]节奏总纲!CA83</f>
        <v>46.059542756901394</v>
      </c>
      <c r="BU83" s="32">
        <f>[1]节奏总纲!CB83</f>
        <v>46.732532092773639</v>
      </c>
    </row>
    <row r="84" spans="6:73" x14ac:dyDescent="0.15">
      <c r="F84" s="24">
        <f>[1]节奏总纲!F84</f>
        <v>82</v>
      </c>
      <c r="G84" s="24">
        <f>[1]节奏总纲!G84</f>
        <v>293.06677887924064</v>
      </c>
      <c r="N84" s="24">
        <f>[1]节奏总纲!N84</f>
        <v>91</v>
      </c>
      <c r="O84" s="24">
        <f>[1]节奏总纲!O84</f>
        <v>81</v>
      </c>
      <c r="P84" s="24">
        <f>[1]节奏总纲!P84</f>
        <v>273.37400640929098</v>
      </c>
      <c r="Q84" s="24">
        <f>[1]节奏总纲!Q84</f>
        <v>236.35916594147301</v>
      </c>
      <c r="R84" s="24">
        <f>[1]节奏总纲!R84</f>
        <v>192.67399971726829</v>
      </c>
      <c r="S84" s="24">
        <f>[1]节奏总纲!S84</f>
        <v>140.76027590014394</v>
      </c>
      <c r="T84" s="24">
        <f>[1]节奏总纲!T84</f>
        <v>77.856917025366073</v>
      </c>
      <c r="U84" s="23"/>
      <c r="V84" s="24">
        <f>[1]节奏总纲!V84</f>
        <v>81</v>
      </c>
      <c r="W84" s="24">
        <f>[1]节奏总纲!W84</f>
        <v>18.374006409290985</v>
      </c>
      <c r="X84" s="24">
        <f>[1]节奏总纲!X84</f>
        <v>15.274165941473001</v>
      </c>
      <c r="Y84" s="24">
        <f>[1]节奏总纲!Y84</f>
        <v>12.337999717268275</v>
      </c>
      <c r="Z84" s="24">
        <f>[1]节奏总纲!Z84</f>
        <v>9.1802759001439256</v>
      </c>
      <c r="AA84" s="24">
        <f>[1]节奏总纲!AA84</f>
        <v>5.0799170253660719</v>
      </c>
      <c r="AC84" s="24">
        <f>[1]节奏总纲!AC84</f>
        <v>81</v>
      </c>
      <c r="AD84" s="24">
        <f>[1]节奏总纲!AD84</f>
        <v>63.567039423670657</v>
      </c>
      <c r="AE84" s="24">
        <f>[1]节奏总纲!AE84</f>
        <v>65.58750975301939</v>
      </c>
      <c r="AF84" s="24">
        <f>[1]节奏总纲!AF84</f>
        <v>68.487101522580488</v>
      </c>
      <c r="AG84" s="24">
        <f>[1]节奏总纲!AG84</f>
        <v>73.007572199822363</v>
      </c>
      <c r="AH84" s="24">
        <f>[1]节奏总纲!AH84</f>
        <v>81.584863192792497</v>
      </c>
      <c r="AZ84" s="20">
        <v>81</v>
      </c>
      <c r="BA84" s="20">
        <v>36.610501938383479</v>
      </c>
      <c r="BB84" s="20">
        <v>38.11580158428373</v>
      </c>
      <c r="BC84" s="20">
        <v>40.052446592012309</v>
      </c>
      <c r="BD84" s="20">
        <v>42.774621948661192</v>
      </c>
      <c r="BE84" s="20">
        <v>47.452847239866877</v>
      </c>
      <c r="BP84" s="20">
        <v>81</v>
      </c>
      <c r="BQ84" s="32">
        <f>[1]节奏总纲!BX84</f>
        <v>44.801533759886318</v>
      </c>
      <c r="BR84" s="32">
        <f>[1]节奏总纲!BY84</f>
        <v>45.321339851414862</v>
      </c>
      <c r="BS84" s="32">
        <f>[1]节奏总纲!BZ84</f>
        <v>45.894311889804285</v>
      </c>
      <c r="BT84" s="32">
        <f>[1]节奏总纲!CA84</f>
        <v>46.501665826971653</v>
      </c>
      <c r="BU84" s="32">
        <f>[1]节奏总纲!CB84</f>
        <v>47.191499408717924</v>
      </c>
    </row>
    <row r="85" spans="6:73" x14ac:dyDescent="0.15">
      <c r="F85" s="24">
        <f>[1]节奏总纲!F85</f>
        <v>83</v>
      </c>
      <c r="G85" s="24">
        <f>[1]节奏总纲!G85</f>
        <v>314.1729698162988</v>
      </c>
      <c r="N85" s="24">
        <f>[1]节奏总纲!N85</f>
        <v>92</v>
      </c>
      <c r="O85" s="24">
        <f>[1]节奏总纲!O85</f>
        <v>82</v>
      </c>
      <c r="P85" s="24">
        <f>[1]节奏总纲!P85</f>
        <v>293.06677887924064</v>
      </c>
      <c r="Q85" s="24">
        <f>[1]节奏总纲!Q85</f>
        <v>253.15108359588808</v>
      </c>
      <c r="R85" s="24">
        <f>[1]节奏总纲!R85</f>
        <v>206.37762568676126</v>
      </c>
      <c r="S85" s="24">
        <f>[1]节奏总纲!S85</f>
        <v>150.81216441125721</v>
      </c>
      <c r="T85" s="24">
        <f>[1]节奏总纲!T85</f>
        <v>83.230965201704336</v>
      </c>
      <c r="U85" s="23"/>
      <c r="V85" s="24">
        <f>[1]节奏总纲!V85</f>
        <v>82</v>
      </c>
      <c r="W85" s="24">
        <f>[1]节奏总纲!W85</f>
        <v>19.692772469949659</v>
      </c>
      <c r="X85" s="24">
        <f>[1]节奏总纲!X85</f>
        <v>16.791917654415073</v>
      </c>
      <c r="Y85" s="24">
        <f>[1]节奏总纲!Y85</f>
        <v>13.703625969492975</v>
      </c>
      <c r="Z85" s="24">
        <f>[1]节奏总纲!Z85</f>
        <v>10.051888511113276</v>
      </c>
      <c r="AA85" s="24">
        <f>[1]节奏总纲!AA85</f>
        <v>5.3740481763382633</v>
      </c>
      <c r="AC85" s="24">
        <f>[1]节奏总纲!AC85</f>
        <v>82</v>
      </c>
      <c r="AD85" s="24">
        <f>[1]节奏总纲!AD85</f>
        <v>63.743865833385094</v>
      </c>
      <c r="AE85" s="24">
        <f>[1]节奏总纲!AE85</f>
        <v>65.762866796429392</v>
      </c>
      <c r="AF85" s="24">
        <f>[1]节奏总纲!AF85</f>
        <v>68.664295879423918</v>
      </c>
      <c r="AG85" s="24">
        <f>[1]节奏总纲!AG85</f>
        <v>73.176642436293761</v>
      </c>
      <c r="AH85" s="24">
        <f>[1]节奏总纲!AH85</f>
        <v>81.770942656017823</v>
      </c>
      <c r="AZ85" s="20">
        <v>82</v>
      </c>
      <c r="BA85" s="20">
        <v>36.694672667019191</v>
      </c>
      <c r="BB85" s="20">
        <v>38.194089742081125</v>
      </c>
      <c r="BC85" s="20">
        <v>40.130145246845366</v>
      </c>
      <c r="BD85" s="20">
        <v>42.861403835978855</v>
      </c>
      <c r="BE85" s="20">
        <v>47.535997393158453</v>
      </c>
      <c r="BP85" s="20">
        <v>82</v>
      </c>
      <c r="BQ85" s="32">
        <f>[1]节奏总纲!BX85</f>
        <v>45.268177050953859</v>
      </c>
      <c r="BR85" s="32">
        <f>[1]节奏总纲!BY85</f>
        <v>45.789768933125814</v>
      </c>
      <c r="BS85" s="32">
        <f>[1]节奏总纲!BZ85</f>
        <v>46.348748235109454</v>
      </c>
      <c r="BT85" s="32">
        <f>[1]节奏总纲!CA85</f>
        <v>46.985765853689557</v>
      </c>
      <c r="BU85" s="32">
        <f>[1]节奏总纲!CB85</f>
        <v>47.638352338376762</v>
      </c>
    </row>
    <row r="86" spans="6:73" x14ac:dyDescent="0.15">
      <c r="F86" s="24">
        <f>[1]节奏总纲!F86</f>
        <v>84</v>
      </c>
      <c r="G86" s="24">
        <f>[1]节奏总纲!G86</f>
        <v>336.79402515786086</v>
      </c>
      <c r="N86" s="24">
        <f>[1]节奏总纲!N86</f>
        <v>93</v>
      </c>
      <c r="O86" s="24">
        <f>[1]节奏总纲!O86</f>
        <v>83</v>
      </c>
      <c r="P86" s="24">
        <f>[1]节奏总纲!P86</f>
        <v>314.1729698162988</v>
      </c>
      <c r="Q86" s="24">
        <f>[1]节奏总纲!Q86</f>
        <v>271.53969781222702</v>
      </c>
      <c r="R86" s="24">
        <f>[1]节奏总纲!R86</f>
        <v>221.55477831445393</v>
      </c>
      <c r="S86" s="24">
        <f>[1]节奏总纲!S86</f>
        <v>161.57915837652246</v>
      </c>
      <c r="T86" s="24">
        <f>[1]节奏总纲!T86</f>
        <v>89.193706130847232</v>
      </c>
      <c r="U86" s="23"/>
      <c r="V86" s="24">
        <f>[1]节奏总纲!V86</f>
        <v>83</v>
      </c>
      <c r="W86" s="24">
        <f>[1]节奏总纲!W86</f>
        <v>21.106190937058159</v>
      </c>
      <c r="X86" s="24">
        <f>[1]节奏总纲!X86</f>
        <v>18.388614216338937</v>
      </c>
      <c r="Y86" s="24">
        <f>[1]节奏总纲!Y86</f>
        <v>15.177152627692664</v>
      </c>
      <c r="Z86" s="24">
        <f>[1]节奏总纲!Z86</f>
        <v>10.766993965265243</v>
      </c>
      <c r="AA86" s="24">
        <f>[1]节奏总纲!AA86</f>
        <v>5.9627409291428961</v>
      </c>
      <c r="AC86" s="24">
        <f>[1]节奏总纲!AC86</f>
        <v>83</v>
      </c>
      <c r="AD86" s="24">
        <f>[1]节奏总纲!AD86</f>
        <v>63.920692243099523</v>
      </c>
      <c r="AE86" s="24">
        <f>[1]节奏总纲!AE86</f>
        <v>65.938223839839395</v>
      </c>
      <c r="AF86" s="24">
        <f>[1]节奏总纲!AF86</f>
        <v>68.841490236267347</v>
      </c>
      <c r="AG86" s="24">
        <f>[1]节奏总纲!AG86</f>
        <v>73.34571267276516</v>
      </c>
      <c r="AH86" s="24">
        <f>[1]节奏总纲!AH86</f>
        <v>81.957022119243135</v>
      </c>
      <c r="AZ86" s="20">
        <v>83</v>
      </c>
      <c r="BA86" s="20">
        <v>36.778843395654896</v>
      </c>
      <c r="BB86" s="20">
        <v>38.272377899878528</v>
      </c>
      <c r="BC86" s="20">
        <v>40.207843901678423</v>
      </c>
      <c r="BD86" s="20">
        <v>42.948185723296518</v>
      </c>
      <c r="BE86" s="20">
        <v>47.619147546450023</v>
      </c>
      <c r="BP86" s="20">
        <v>83</v>
      </c>
      <c r="BQ86" s="32">
        <f>[1]节奏总纲!BX86</f>
        <v>45.739201449359612</v>
      </c>
      <c r="BR86" s="32">
        <f>[1]节奏总纲!BY86</f>
        <v>46.261326328729815</v>
      </c>
      <c r="BS86" s="32">
        <f>[1]节奏总纲!BZ86</f>
        <v>46.836037098586509</v>
      </c>
      <c r="BT86" s="32">
        <f>[1]节奏总纲!CA86</f>
        <v>47.435350717115057</v>
      </c>
      <c r="BU86" s="32">
        <f>[1]节奏总纲!CB86</f>
        <v>48.115820139041681</v>
      </c>
    </row>
    <row r="87" spans="6:73" x14ac:dyDescent="0.15">
      <c r="F87" s="24">
        <f>[1]节奏总纲!F87</f>
        <v>85</v>
      </c>
      <c r="G87" s="24">
        <f>[1]节奏总纲!G87</f>
        <v>361.0386719675123</v>
      </c>
      <c r="N87" s="24">
        <f>[1]节奏总纲!N87</f>
        <v>94</v>
      </c>
      <c r="O87" s="24">
        <f>[1]节奏总纲!O87</f>
        <v>84</v>
      </c>
      <c r="P87" s="24">
        <f>[1]节奏总纲!P87</f>
        <v>336.79402515786086</v>
      </c>
      <c r="Q87" s="24">
        <f>[1]节奏总纲!Q87</f>
        <v>291.2594729565181</v>
      </c>
      <c r="R87" s="24">
        <f>[1]节奏总纲!R87</f>
        <v>237.27139072371298</v>
      </c>
      <c r="S87" s="24">
        <f>[1]节奏总纲!S87</f>
        <v>172.97741132107731</v>
      </c>
      <c r="T87" s="24">
        <f>[1]节奏总纲!T87</f>
        <v>95.64950314483248</v>
      </c>
      <c r="U87" s="23"/>
      <c r="V87" s="24">
        <f>[1]节奏总纲!V87</f>
        <v>84</v>
      </c>
      <c r="W87" s="24">
        <f>[1]节奏总纲!W87</f>
        <v>22.621055341562055</v>
      </c>
      <c r="X87" s="24">
        <f>[1]节奏总纲!X87</f>
        <v>19.719775144291077</v>
      </c>
      <c r="Y87" s="24">
        <f>[1]节奏总纲!Y87</f>
        <v>15.716612409259056</v>
      </c>
      <c r="Z87" s="24">
        <f>[1]节奏总纲!Z87</f>
        <v>11.398252944554855</v>
      </c>
      <c r="AA87" s="24">
        <f>[1]节奏总纲!AA87</f>
        <v>6.4557970139852472</v>
      </c>
      <c r="AC87" s="24">
        <f>[1]节奏总纲!AC87</f>
        <v>84</v>
      </c>
      <c r="AD87" s="24">
        <f>[1]节奏总纲!AD87</f>
        <v>64.090988120365651</v>
      </c>
      <c r="AE87" s="24">
        <f>[1]节奏总纲!AE87</f>
        <v>66.105889403880397</v>
      </c>
      <c r="AF87" s="24">
        <f>[1]节奏总纲!AF87</f>
        <v>69.01697485309198</v>
      </c>
      <c r="AG87" s="24">
        <f>[1]节奏总纲!AG87</f>
        <v>73.514782909236544</v>
      </c>
      <c r="AH87" s="24">
        <f>[1]节奏总纲!AH87</f>
        <v>82.128973371044353</v>
      </c>
      <c r="AZ87" s="20">
        <v>84</v>
      </c>
      <c r="BA87" s="20">
        <v>36.863014124290601</v>
      </c>
      <c r="BB87" s="20">
        <v>38.35066605767593</v>
      </c>
      <c r="BC87" s="20">
        <v>40.28554255651148</v>
      </c>
      <c r="BD87" s="20">
        <v>43.030177309109042</v>
      </c>
      <c r="BE87" s="20">
        <v>47.7022976997416</v>
      </c>
      <c r="BP87" s="20">
        <v>84</v>
      </c>
      <c r="BQ87" s="32">
        <f>[1]节奏总纲!BX87</f>
        <v>46.210650393413601</v>
      </c>
      <c r="BR87" s="32">
        <f>[1]节奏总纲!BY87</f>
        <v>46.736179569673936</v>
      </c>
      <c r="BS87" s="32">
        <f>[1]节奏总纲!BZ87</f>
        <v>47.294068993376605</v>
      </c>
      <c r="BT87" s="32">
        <f>[1]节奏总纲!CA87</f>
        <v>47.909233956913006</v>
      </c>
      <c r="BU87" s="32">
        <f>[1]节奏总纲!CB87</f>
        <v>48.579255981153665</v>
      </c>
    </row>
    <row r="88" spans="6:73" x14ac:dyDescent="0.15">
      <c r="F88" s="24">
        <f>[1]节奏总纲!F88</f>
        <v>86</v>
      </c>
      <c r="G88" s="24">
        <f>[1]节奏总纲!G88</f>
        <v>387.02344102666189</v>
      </c>
      <c r="N88" s="24">
        <f>[1]节奏总纲!N88</f>
        <v>95</v>
      </c>
      <c r="O88" s="24">
        <f>[1]节奏总纲!O88</f>
        <v>85</v>
      </c>
      <c r="P88" s="24">
        <f>[1]节奏总纲!P88</f>
        <v>361.0386719675123</v>
      </c>
      <c r="Q88" s="24">
        <f>[1]节奏总纲!Q88</f>
        <v>311.72078937675008</v>
      </c>
      <c r="R88" s="24">
        <f>[1]节奏总纲!R88</f>
        <v>253.91849799475142</v>
      </c>
      <c r="S88" s="24">
        <f>[1]节奏总纲!S88</f>
        <v>185.57387739130132</v>
      </c>
      <c r="T88" s="24">
        <f>[1]节奏总纲!T88</f>
        <v>102.53498283877349</v>
      </c>
      <c r="U88" s="23"/>
      <c r="V88" s="24">
        <f>[1]节奏总纲!V88</f>
        <v>85</v>
      </c>
      <c r="W88" s="24">
        <f>[1]节奏总纲!W88</f>
        <v>24.244646809651442</v>
      </c>
      <c r="X88" s="24">
        <f>[1]节奏总纲!X88</f>
        <v>20.461316420231981</v>
      </c>
      <c r="Y88" s="24">
        <f>[1]节奏总纲!Y88</f>
        <v>16.647107271038436</v>
      </c>
      <c r="Z88" s="24">
        <f>[1]节奏总纲!Z88</f>
        <v>12.596466070224011</v>
      </c>
      <c r="AA88" s="24">
        <f>[1]节奏总纲!AA88</f>
        <v>6.8854796939410079</v>
      </c>
      <c r="AC88" s="24">
        <f>[1]节奏总纲!AC88</f>
        <v>85</v>
      </c>
      <c r="AD88" s="24">
        <f>[1]节奏总纲!AD88</f>
        <v>64.255972994404218</v>
      </c>
      <c r="AE88" s="24">
        <f>[1]节奏总纲!AE88</f>
        <v>66.269371604948859</v>
      </c>
      <c r="AF88" s="24">
        <f>[1]节奏总纲!AF88</f>
        <v>69.17795498031839</v>
      </c>
      <c r="AG88" s="24">
        <f>[1]节奏总纲!AG88</f>
        <v>73.683853145707943</v>
      </c>
      <c r="AH88" s="24">
        <f>[1]节奏总纲!AH88</f>
        <v>82.296681479091191</v>
      </c>
      <c r="AZ88" s="20">
        <v>85</v>
      </c>
      <c r="BA88" s="20">
        <v>36.947184852926306</v>
      </c>
      <c r="BB88" s="20">
        <v>38.428954215473325</v>
      </c>
      <c r="BC88" s="20">
        <v>40.363241211344537</v>
      </c>
      <c r="BD88" s="20">
        <v>43.105070725978337</v>
      </c>
      <c r="BE88" s="20">
        <v>47.785447853033176</v>
      </c>
      <c r="BP88" s="20">
        <v>85</v>
      </c>
      <c r="BQ88" s="32">
        <f>[1]节奏总纲!BX88</f>
        <v>46.67770030767965</v>
      </c>
      <c r="BR88" s="32">
        <f>[1]节奏总纲!BY88</f>
        <v>47.197592678461184</v>
      </c>
      <c r="BS88" s="32">
        <f>[1]节奏总纲!BZ88</f>
        <v>47.755472167192657</v>
      </c>
      <c r="BT88" s="32">
        <f>[1]节奏总纲!CA88</f>
        <v>48.373763930639598</v>
      </c>
      <c r="BU88" s="32">
        <f>[1]节奏总纲!CB88</f>
        <v>49.063491154445543</v>
      </c>
    </row>
    <row r="89" spans="6:73" x14ac:dyDescent="0.15">
      <c r="F89" s="24">
        <f>[1]节奏总纲!F89</f>
        <v>87</v>
      </c>
      <c r="G89" s="24">
        <f>[1]节奏总纲!G89</f>
        <v>414.87322693439216</v>
      </c>
      <c r="N89" s="24">
        <f>[1]节奏总纲!N89</f>
        <v>96</v>
      </c>
      <c r="O89" s="24">
        <f>[1]节奏总纲!O89</f>
        <v>86</v>
      </c>
      <c r="P89" s="24">
        <f>[1]节奏总纲!P89</f>
        <v>387.02344102666189</v>
      </c>
      <c r="Q89" s="24">
        <f>[1]节奏总纲!Q89</f>
        <v>334.00122960600919</v>
      </c>
      <c r="R89" s="24">
        <f>[1]节奏总纲!R89</f>
        <v>272.23228841815398</v>
      </c>
      <c r="S89" s="24">
        <f>[1]节奏总纲!S89</f>
        <v>199.39447681693619</v>
      </c>
      <c r="T89" s="24">
        <f>[1]节奏总纲!T89</f>
        <v>108.94709864900531</v>
      </c>
      <c r="U89" s="23"/>
      <c r="V89" s="24">
        <f>[1]节奏总纲!V89</f>
        <v>86</v>
      </c>
      <c r="W89" s="24">
        <f>[1]节奏总纲!W89</f>
        <v>25.984769059149585</v>
      </c>
      <c r="X89" s="24">
        <f>[1]节奏总纲!X89</f>
        <v>22.280440229259113</v>
      </c>
      <c r="Y89" s="24">
        <f>[1]节奏总纲!Y89</f>
        <v>18.313790423402565</v>
      </c>
      <c r="Z89" s="24">
        <f>[1]节奏总纲!Z89</f>
        <v>13.820599425634867</v>
      </c>
      <c r="AA89" s="24">
        <f>[1]节奏总纲!AA89</f>
        <v>6.4121158102318248</v>
      </c>
      <c r="AC89" s="24">
        <f>[1]节奏总纲!AC89</f>
        <v>86</v>
      </c>
      <c r="AD89" s="24">
        <f>[1]节奏总纲!AD89</f>
        <v>64.420957868442798</v>
      </c>
      <c r="AE89" s="24">
        <f>[1]节奏总纲!AE89</f>
        <v>66.43285380601732</v>
      </c>
      <c r="AF89" s="24">
        <f>[1]节奏总纲!AF89</f>
        <v>69.338935107544785</v>
      </c>
      <c r="AG89" s="24">
        <f>[1]节奏总纲!AG89</f>
        <v>73.852923382179341</v>
      </c>
      <c r="AH89" s="24">
        <f>[1]节奏总纲!AH89</f>
        <v>82.464389587138029</v>
      </c>
      <c r="AZ89" s="20">
        <v>86</v>
      </c>
      <c r="BA89" s="20">
        <v>37.027046282459708</v>
      </c>
      <c r="BB89" s="20">
        <v>38.507242373270728</v>
      </c>
      <c r="BC89" s="20">
        <v>40.440939866177594</v>
      </c>
      <c r="BD89" s="20">
        <v>43.179964142847631</v>
      </c>
      <c r="BE89" s="20">
        <v>47.868598006324753</v>
      </c>
      <c r="BP89" s="20">
        <v>86</v>
      </c>
      <c r="BQ89" s="32">
        <f>[1]节奏总纲!BX89</f>
        <v>47.153896513009251</v>
      </c>
      <c r="BR89" s="32">
        <f>[1]节奏总纲!BY89</f>
        <v>47.660748183577851</v>
      </c>
      <c r="BS89" s="32">
        <f>[1]节奏总纲!BZ89</f>
        <v>48.227116435634038</v>
      </c>
      <c r="BT89" s="32">
        <f>[1]节奏总纲!CA89</f>
        <v>48.869826703325636</v>
      </c>
      <c r="BU89" s="32">
        <f>[1]节奏总纲!CB89</f>
        <v>49.460909841064307</v>
      </c>
    </row>
    <row r="90" spans="6:73" x14ac:dyDescent="0.15">
      <c r="F90" s="24">
        <f>[1]节奏总纲!F90</f>
        <v>88</v>
      </c>
      <c r="G90" s="24">
        <f>[1]节奏总纲!G90</f>
        <v>444.72188840761549</v>
      </c>
      <c r="N90" s="24">
        <f>[1]节奏总纲!N90</f>
        <v>97</v>
      </c>
      <c r="O90" s="24">
        <f>[1]节奏总纲!O90</f>
        <v>87</v>
      </c>
      <c r="P90" s="24">
        <f>[1]节奏总纲!P90</f>
        <v>414.87322693439216</v>
      </c>
      <c r="Q90" s="24">
        <f>[1]节奏总纲!Q90</f>
        <v>358.28451878054108</v>
      </c>
      <c r="R90" s="24">
        <f>[1]节奏总纲!R90</f>
        <v>292.4026503433596</v>
      </c>
      <c r="S90" s="24">
        <f>[1]节奏总纲!S90</f>
        <v>212.58104148118252</v>
      </c>
      <c r="T90" s="24">
        <f>[1]节奏总纲!T90</f>
        <v>115.74963031469542</v>
      </c>
      <c r="U90" s="23"/>
      <c r="V90" s="24">
        <f>[1]节奏总纲!V90</f>
        <v>87</v>
      </c>
      <c r="W90" s="24">
        <f>[1]节奏总纲!W90</f>
        <v>27.849785907730279</v>
      </c>
      <c r="X90" s="24">
        <f>[1]节奏总纲!X90</f>
        <v>24.283289174531888</v>
      </c>
      <c r="Y90" s="24">
        <f>[1]节奏总纲!Y90</f>
        <v>20.170361925205611</v>
      </c>
      <c r="Z90" s="24">
        <f>[1]节奏总纲!Z90</f>
        <v>13.186564664246333</v>
      </c>
      <c r="AA90" s="24">
        <f>[1]节奏总纲!AA90</f>
        <v>6.8025316656901111</v>
      </c>
      <c r="AC90" s="24">
        <f>[1]节奏总纲!AC90</f>
        <v>87</v>
      </c>
      <c r="AD90" s="24">
        <f>[1]节奏总纲!AD90</f>
        <v>64.585942742481365</v>
      </c>
      <c r="AE90" s="24">
        <f>[1]节奏总纲!AE90</f>
        <v>66.596336007085796</v>
      </c>
      <c r="AF90" s="24">
        <f>[1]节奏总纲!AF90</f>
        <v>69.49991523477118</v>
      </c>
      <c r="AG90" s="24">
        <f>[1]节奏总纲!AG90</f>
        <v>74.02050499447661</v>
      </c>
      <c r="AH90" s="24">
        <f>[1]节奏总纲!AH90</f>
        <v>82.632097695184868</v>
      </c>
      <c r="AZ90" s="20">
        <v>87</v>
      </c>
      <c r="BA90" s="20">
        <v>37.099649155317238</v>
      </c>
      <c r="BB90" s="20">
        <v>38.58553053106813</v>
      </c>
      <c r="BC90" s="20">
        <v>40.518638521010651</v>
      </c>
      <c r="BD90" s="20">
        <v>43.254857559716925</v>
      </c>
      <c r="BE90" s="20">
        <v>47.951748159616329</v>
      </c>
      <c r="BP90" s="20">
        <v>87</v>
      </c>
      <c r="BQ90" s="32">
        <f>[1]节奏总纲!BX90</f>
        <v>47.617039306482319</v>
      </c>
      <c r="BR90" s="32">
        <f>[1]节奏总纲!BY90</f>
        <v>48.142913866891206</v>
      </c>
      <c r="BS90" s="32">
        <f>[1]节奏总纲!BZ90</f>
        <v>48.709766300257584</v>
      </c>
      <c r="BT90" s="32">
        <f>[1]节奏总纲!CA90</f>
        <v>49.296256903639559</v>
      </c>
      <c r="BU90" s="32">
        <f>[1]节奏总纲!CB90</f>
        <v>49.882526243554615</v>
      </c>
    </row>
    <row r="91" spans="6:73" x14ac:dyDescent="0.15">
      <c r="F91" s="24">
        <f>[1]节奏总纲!F91</f>
        <v>89</v>
      </c>
      <c r="G91" s="24">
        <f>[1]节奏总纲!G91</f>
        <v>476.71289166684534</v>
      </c>
      <c r="N91" s="24">
        <f>[1]节奏总纲!N91</f>
        <v>98</v>
      </c>
      <c r="O91" s="24">
        <f>[1]节奏总纲!O91</f>
        <v>88</v>
      </c>
      <c r="P91" s="24">
        <f>[1]节奏总纲!P91</f>
        <v>444.72188840761549</v>
      </c>
      <c r="Q91" s="24">
        <f>[1]节奏总纲!Q91</f>
        <v>384.7733778502689</v>
      </c>
      <c r="R91" s="24">
        <f>[1]节奏总纲!R91</f>
        <v>312.90632068359827</v>
      </c>
      <c r="S91" s="24">
        <f>[1]节奏总纲!S91</f>
        <v>226.0076636887502</v>
      </c>
      <c r="T91" s="24">
        <f>[1]节奏总纲!T91</f>
        <v>123.1879630889095</v>
      </c>
      <c r="U91" s="23"/>
      <c r="V91" s="24">
        <f>[1]节奏总纲!V91</f>
        <v>88</v>
      </c>
      <c r="W91" s="24">
        <f>[1]节奏总纲!W91</f>
        <v>29.848661473223331</v>
      </c>
      <c r="X91" s="24">
        <f>[1]节奏总纲!X91</f>
        <v>26.488859069727823</v>
      </c>
      <c r="Y91" s="24">
        <f>[1]节奏总纲!Y91</f>
        <v>20.503670340238671</v>
      </c>
      <c r="Z91" s="24">
        <f>[1]节奏总纲!Z91</f>
        <v>13.426622207567675</v>
      </c>
      <c r="AA91" s="24">
        <f>[1]节奏总纲!AA91</f>
        <v>7.438332774214075</v>
      </c>
      <c r="AC91" s="24">
        <f>[1]节奏总纲!AC91</f>
        <v>88</v>
      </c>
      <c r="AD91" s="24">
        <f>[1]节奏总纲!AD91</f>
        <v>64.750927616519931</v>
      </c>
      <c r="AE91" s="24">
        <f>[1]节奏总纲!AE91</f>
        <v>66.759818208154257</v>
      </c>
      <c r="AF91" s="24">
        <f>[1]节奏总纲!AF91</f>
        <v>69.660895361997589</v>
      </c>
      <c r="AG91" s="24">
        <f>[1]节奏总纲!AG91</f>
        <v>74.178131818877702</v>
      </c>
      <c r="AH91" s="24">
        <f>[1]节奏总纲!AH91</f>
        <v>82.799805803231706</v>
      </c>
      <c r="AZ91" s="20">
        <v>88</v>
      </c>
      <c r="BA91" s="20">
        <v>37.172252028174768</v>
      </c>
      <c r="BB91" s="20">
        <v>38.663818688865533</v>
      </c>
      <c r="BC91" s="20">
        <v>40.596337175843701</v>
      </c>
      <c r="BD91" s="20">
        <v>43.329750976586219</v>
      </c>
      <c r="BE91" s="20">
        <v>48.030128751164234</v>
      </c>
      <c r="BP91" s="20">
        <v>88</v>
      </c>
      <c r="BQ91" s="32">
        <f>[1]节奏总纲!BX91</f>
        <v>48.097921847068633</v>
      </c>
      <c r="BR91" s="32">
        <f>[1]节奏总纲!BY91</f>
        <v>48.618296173791954</v>
      </c>
      <c r="BS91" s="32">
        <f>[1]节奏总纲!BZ91</f>
        <v>49.173016331799893</v>
      </c>
      <c r="BT91" s="32">
        <f>[1]节奏总纲!CA91</f>
        <v>49.712343474857072</v>
      </c>
      <c r="BU91" s="32">
        <f>[1]节奏总纲!CB91</f>
        <v>50.296637451558702</v>
      </c>
    </row>
    <row r="92" spans="6:73" x14ac:dyDescent="0.15">
      <c r="F92" s="24">
        <f>[1]节奏总纲!F92</f>
        <v>90</v>
      </c>
      <c r="G92" s="24">
        <f>[1]节奏总纲!G92</f>
        <v>511</v>
      </c>
      <c r="N92" s="24">
        <f>[1]节奏总纲!N92</f>
        <v>99</v>
      </c>
      <c r="O92" s="24">
        <f>[1]节奏总纲!O92</f>
        <v>89</v>
      </c>
      <c r="P92" s="24">
        <f>[1]节奏总纲!P92</f>
        <v>476.71289166684534</v>
      </c>
      <c r="Q92" s="24">
        <f>[1]节奏总纲!Q92</f>
        <v>411.78459582182103</v>
      </c>
      <c r="R92" s="24">
        <f>[1]节奏总纲!R92</f>
        <v>332.60258451595797</v>
      </c>
      <c r="S92" s="24">
        <f>[1]节奏总纲!S92</f>
        <v>240.31096868925673</v>
      </c>
      <c r="T92" s="24">
        <f>[1]节奏总纲!T92</f>
        <v>130.61933231671563</v>
      </c>
      <c r="U92" s="23"/>
      <c r="V92" s="24">
        <f>[1]节奏总纲!V92</f>
        <v>89</v>
      </c>
      <c r="W92" s="24">
        <f>[1]节奏总纲!W92</f>
        <v>31.991003259229842</v>
      </c>
      <c r="X92" s="24">
        <f>[1]节奏总纲!X92</f>
        <v>27.011217971552128</v>
      </c>
      <c r="Y92" s="24">
        <f>[1]节奏总纲!Y92</f>
        <v>19.696263832359705</v>
      </c>
      <c r="Z92" s="24">
        <f>[1]节奏总纲!Z92</f>
        <v>14.303305000506526</v>
      </c>
      <c r="AA92" s="24">
        <f>[1]节奏总纲!AA92</f>
        <v>7.4313692278061296</v>
      </c>
      <c r="AC92" s="24">
        <f>[1]节奏总纲!AC92</f>
        <v>89</v>
      </c>
      <c r="AD92" s="24">
        <f>[1]节奏总纲!AD92</f>
        <v>64.915912490558512</v>
      </c>
      <c r="AE92" s="24">
        <f>[1]节奏总纲!AE92</f>
        <v>66.923300409222719</v>
      </c>
      <c r="AF92" s="24">
        <f>[1]节奏总纲!AF92</f>
        <v>69.821875489223984</v>
      </c>
      <c r="AG92" s="24">
        <f>[1]节奏总纲!AG92</f>
        <v>74.335758643278794</v>
      </c>
      <c r="AH92" s="24">
        <f>[1]节奏总纲!AH92</f>
        <v>82.967513911278544</v>
      </c>
      <c r="AZ92" s="20">
        <v>89</v>
      </c>
      <c r="BA92" s="20">
        <v>37.244854901032298</v>
      </c>
      <c r="BB92" s="20">
        <v>38.742106846662928</v>
      </c>
      <c r="BC92" s="20">
        <v>40.674035830676758</v>
      </c>
      <c r="BD92" s="20">
        <v>43.404644393455513</v>
      </c>
      <c r="BE92" s="20">
        <v>48.101914750802706</v>
      </c>
      <c r="BP92" s="20">
        <v>89</v>
      </c>
      <c r="BQ92" s="32">
        <f>[1]节奏总纲!BX92</f>
        <v>48.557223076748912</v>
      </c>
      <c r="BR92" s="32">
        <f>[1]节奏总纲!BY92</f>
        <v>49.088974957750068</v>
      </c>
      <c r="BS92" s="32">
        <f>[1]节奏总纲!BZ92</f>
        <v>49.579936789633926</v>
      </c>
      <c r="BT92" s="32">
        <f>[1]节奏总纲!CA92</f>
        <v>50.13435118838489</v>
      </c>
      <c r="BU92" s="32">
        <f>[1]节奏总纲!CB92</f>
        <v>50.6943349274338</v>
      </c>
    </row>
    <row r="93" spans="6:73" x14ac:dyDescent="0.15">
      <c r="F93" s="24">
        <f>[1]节奏总纲!F93</f>
        <v>91</v>
      </c>
      <c r="G93" s="24">
        <f>[1]节奏总纲!G93</f>
        <v>547.74801281858208</v>
      </c>
      <c r="N93" s="24">
        <f>[1]节奏总纲!N93</f>
        <v>100</v>
      </c>
      <c r="O93" s="24">
        <f>[1]节奏总纲!O93</f>
        <v>90</v>
      </c>
      <c r="P93" s="24">
        <f>[1]节奏总纲!P93</f>
        <v>511</v>
      </c>
      <c r="Q93" s="24">
        <f>[1]节奏总纲!Q93</f>
        <v>438.13140000000004</v>
      </c>
      <c r="R93" s="24">
        <f>[1]节奏总纲!R93</f>
        <v>354.12299999999999</v>
      </c>
      <c r="S93" s="24">
        <f>[1]节奏总纲!S93</f>
        <v>254.88680000000002</v>
      </c>
      <c r="T93" s="24">
        <f>[1]节奏总纲!T93</f>
        <v>138.48100000000002</v>
      </c>
      <c r="U93" s="23"/>
      <c r="V93" s="24">
        <f>[1]节奏总纲!V93</f>
        <v>90</v>
      </c>
      <c r="W93" s="24">
        <f>[1]节奏总纲!W93</f>
        <v>34.287108333154663</v>
      </c>
      <c r="X93" s="24">
        <f>[1]节奏总纲!X93</f>
        <v>26.346804178179013</v>
      </c>
      <c r="Y93" s="24">
        <f>[1]节奏总纲!Y93</f>
        <v>21.520415484042019</v>
      </c>
      <c r="Z93" s="24">
        <f>[1]节奏总纲!Z93</f>
        <v>14.575831310743297</v>
      </c>
      <c r="AA93" s="24">
        <f>[1]节奏总纲!AA93</f>
        <v>7.861667683284395</v>
      </c>
      <c r="AC93" s="24">
        <f>[1]节奏总纲!AC93</f>
        <v>90</v>
      </c>
      <c r="AD93" s="24">
        <f>[1]节奏总纲!AD93</f>
        <v>65.075479910097457</v>
      </c>
      <c r="AE93" s="24">
        <f>[1]节奏总纲!AE93</f>
        <v>67.083433628014333</v>
      </c>
      <c r="AF93" s="24">
        <f>[1]节奏总纲!AF93</f>
        <v>69.982855616450394</v>
      </c>
      <c r="AG93" s="24">
        <f>[1]节奏总纲!AG93</f>
        <v>74.493385467679886</v>
      </c>
      <c r="AH93" s="24">
        <f>[1]节奏总纲!AH93</f>
        <v>83.124894550960335</v>
      </c>
      <c r="AZ93" s="20">
        <v>90</v>
      </c>
      <c r="BA93" s="20">
        <v>37.317457773889828</v>
      </c>
      <c r="BB93" s="20">
        <v>38.82039500446033</v>
      </c>
      <c r="BC93" s="20">
        <v>40.751734485509814</v>
      </c>
      <c r="BD93" s="20">
        <v>43.479537810324807</v>
      </c>
      <c r="BE93" s="20">
        <v>48.173700750441178</v>
      </c>
      <c r="BP93" s="20">
        <v>90</v>
      </c>
      <c r="BQ93" s="32">
        <f>[1]节奏总纲!BX93</f>
        <v>49.042729140195462</v>
      </c>
      <c r="BR93" s="32">
        <f>[1]节奏总纲!BY93</f>
        <v>49.497214321439728</v>
      </c>
      <c r="BS93" s="32">
        <f>[1]节奏总纲!BZ93</f>
        <v>50.021192353066951</v>
      </c>
      <c r="BT93" s="32">
        <f>[1]节奏总纲!CA93</f>
        <v>50.524371596694976</v>
      </c>
      <c r="BU93" s="32">
        <f>[1]节奏总纲!CB93</f>
        <v>51.099355476740961</v>
      </c>
    </row>
    <row r="94" spans="6:73" x14ac:dyDescent="0.15">
      <c r="F94" s="24">
        <f>[1]节奏总纲!F94</f>
        <v>92</v>
      </c>
      <c r="G94" s="24">
        <f>[1]节奏总纲!G94</f>
        <v>587.1335577584814</v>
      </c>
      <c r="N94" s="24">
        <f>[1]节奏总纲!N94</f>
        <v>101</v>
      </c>
      <c r="O94" s="24">
        <f>[1]节奏总纲!O94</f>
        <v>91</v>
      </c>
      <c r="P94" s="24">
        <f>[1]节奏总纲!P94</f>
        <v>547.74801281858208</v>
      </c>
      <c r="Q94" s="24">
        <f>[1]节奏总纲!Q94</f>
        <v>469.6391461906523</v>
      </c>
      <c r="R94" s="24">
        <f>[1]节奏总纲!R94</f>
        <v>378.43910205635837</v>
      </c>
      <c r="S94" s="24">
        <f>[1]节奏总纲!S94</f>
        <v>272.61418597980827</v>
      </c>
      <c r="T94" s="24">
        <f>[1]节奏总纲!T94</f>
        <v>147.89196346101718</v>
      </c>
      <c r="U94" s="23"/>
      <c r="V94" s="24">
        <f>[1]节奏总纲!V94</f>
        <v>91</v>
      </c>
      <c r="W94" s="24">
        <f>[1]节奏总纲!W94</f>
        <v>36.748012818582083</v>
      </c>
      <c r="X94" s="24">
        <f>[1]节奏总纲!X94</f>
        <v>31.507746190652256</v>
      </c>
      <c r="Y94" s="24">
        <f>[1]节奏总纲!Y94</f>
        <v>24.316102056358375</v>
      </c>
      <c r="Z94" s="24">
        <f>[1]节奏总纲!Z94</f>
        <v>17.727385979808247</v>
      </c>
      <c r="AA94" s="24">
        <f>[1]节奏总纲!AA94</f>
        <v>9.4109634610171611</v>
      </c>
      <c r="AC94" s="24">
        <f>[1]节奏总纲!AC94</f>
        <v>91</v>
      </c>
      <c r="AD94" s="24">
        <f>[1]节奏总纲!AD94</f>
        <v>65.229416240679981</v>
      </c>
      <c r="AE94" s="24">
        <f>[1]节奏总纲!AE94</f>
        <v>67.240606973055961</v>
      </c>
      <c r="AF94" s="24">
        <f>[1]节奏总纲!AF94</f>
        <v>70.137942795989005</v>
      </c>
      <c r="AG94" s="24">
        <f>[1]节奏总纲!AG94</f>
        <v>74.651012292080978</v>
      </c>
      <c r="AH94" s="24">
        <f>[1]节奏总纲!AH94</f>
        <v>83.279794092850153</v>
      </c>
      <c r="AZ94" s="20">
        <v>91</v>
      </c>
      <c r="BA94" s="20">
        <v>37.390060646747358</v>
      </c>
      <c r="BB94" s="20">
        <v>38.898683162257733</v>
      </c>
      <c r="BC94" s="20">
        <v>40.829433140342871</v>
      </c>
      <c r="BD94" s="20">
        <v>43.554431227194108</v>
      </c>
      <c r="BE94" s="20">
        <v>48.24548675007965</v>
      </c>
      <c r="BP94" s="20">
        <v>91</v>
      </c>
      <c r="BQ94" s="32">
        <f>[1]节奏总纲!BX94</f>
        <v>49.498252634231747</v>
      </c>
      <c r="BR94" s="32">
        <f>[1]节奏总纲!BY94</f>
        <v>49.985421626173121</v>
      </c>
      <c r="BS94" s="32">
        <f>[1]节奏总纲!BZ94</f>
        <v>50.454959541611018</v>
      </c>
      <c r="BT94" s="32">
        <f>[1]节奏总纲!CA94</f>
        <v>50.998721372753316</v>
      </c>
      <c r="BU94" s="32">
        <f>[1]节奏总纲!CB94</f>
        <v>51.534250551986972</v>
      </c>
    </row>
    <row r="95" spans="6:73" x14ac:dyDescent="0.15">
      <c r="F95" s="24">
        <f>[1]节奏总纲!F95</f>
        <v>93</v>
      </c>
      <c r="G95" s="24">
        <f>[1]节奏总纲!G95</f>
        <v>629.34593963259704</v>
      </c>
      <c r="N95" s="24">
        <f>[1]节奏总纲!N95</f>
        <v>102</v>
      </c>
      <c r="O95" s="24">
        <f>[1]节奏总纲!O95</f>
        <v>92</v>
      </c>
      <c r="P95" s="24">
        <f>[1]节奏总纲!P95</f>
        <v>587.1335577584814</v>
      </c>
      <c r="Q95" s="24">
        <f>[1]节奏总纲!Q95</f>
        <v>502.29275866238083</v>
      </c>
      <c r="R95" s="24">
        <f>[1]节奏总纲!R95</f>
        <v>405.12215485335213</v>
      </c>
      <c r="S95" s="24">
        <f>[1]节奏总纲!S95</f>
        <v>291.57052478286187</v>
      </c>
      <c r="T95" s="24">
        <f>[1]节奏总纲!T95</f>
        <v>157.64536025815227</v>
      </c>
      <c r="U95" s="23"/>
      <c r="V95" s="24">
        <f>[1]节奏总纲!V95</f>
        <v>92</v>
      </c>
      <c r="W95" s="24">
        <f>[1]节奏总纲!W95</f>
        <v>39.385544939899319</v>
      </c>
      <c r="X95" s="24">
        <f>[1]节奏总纲!X95</f>
        <v>32.653612471728536</v>
      </c>
      <c r="Y95" s="24">
        <f>[1]节奏总纲!Y95</f>
        <v>26.683052796993763</v>
      </c>
      <c r="Z95" s="24">
        <f>[1]节奏总纲!Z95</f>
        <v>18.956338803053598</v>
      </c>
      <c r="AA95" s="24">
        <f>[1]节奏总纲!AA95</f>
        <v>9.7533967971350819</v>
      </c>
      <c r="AC95" s="24">
        <f>[1]节奏总纲!AC95</f>
        <v>92</v>
      </c>
      <c r="AD95" s="24">
        <f>[1]节奏总纲!AD95</f>
        <v>65.38335257126252</v>
      </c>
      <c r="AE95" s="24">
        <f>[1]节奏总纲!AE95</f>
        <v>67.397780318097588</v>
      </c>
      <c r="AF95" s="24">
        <f>[1]节奏总纲!AF95</f>
        <v>70.292327570459079</v>
      </c>
      <c r="AG95" s="24">
        <f>[1]节奏总纲!AG95</f>
        <v>74.808639116482055</v>
      </c>
      <c r="AH95" s="24">
        <f>[1]节奏总纲!AH95</f>
        <v>83.434693634739986</v>
      </c>
      <c r="AZ95" s="20">
        <v>92</v>
      </c>
      <c r="BA95" s="20">
        <v>37.462663519604888</v>
      </c>
      <c r="BB95" s="20">
        <v>38.976971320055128</v>
      </c>
      <c r="BC95" s="20">
        <v>40.907131795175928</v>
      </c>
      <c r="BD95" s="20">
        <v>43.629324644063402</v>
      </c>
      <c r="BE95" s="20">
        <v>48.317272749718121</v>
      </c>
      <c r="BP95" s="20">
        <v>92</v>
      </c>
      <c r="BQ95" s="32">
        <f>[1]节奏总纲!BX95</f>
        <v>49.986470626701646</v>
      </c>
      <c r="BR95" s="32">
        <f>[1]节奏总纲!BY95</f>
        <v>50.424285339835969</v>
      </c>
      <c r="BS95" s="32">
        <f>[1]节奏总纲!BZ95</f>
        <v>50.930950009437595</v>
      </c>
      <c r="BT95" s="32">
        <f>[1]节奏总纲!CA95</f>
        <v>51.436896660010483</v>
      </c>
      <c r="BU95" s="32">
        <f>[1]节奏总纲!CB95</f>
        <v>51.984969997617021</v>
      </c>
    </row>
    <row r="96" spans="6:73" x14ac:dyDescent="0.15">
      <c r="F96" s="24">
        <f>[1]节奏总纲!F96</f>
        <v>94</v>
      </c>
      <c r="G96" s="24">
        <f>[1]节奏总纲!G96</f>
        <v>674.58805031572183</v>
      </c>
      <c r="N96" s="24">
        <f>[1]节奏总纲!N96</f>
        <v>103</v>
      </c>
      <c r="O96" s="24">
        <f>[1]节奏总纲!O96</f>
        <v>93</v>
      </c>
      <c r="P96" s="24">
        <f>[1]节奏总纲!P96</f>
        <v>629.34593963259704</v>
      </c>
      <c r="Q96" s="24">
        <f>[1]节奏总纲!Q96</f>
        <v>538.34251676172357</v>
      </c>
      <c r="R96" s="24">
        <f>[1]节奏总纲!R96</f>
        <v>433.68228700082267</v>
      </c>
      <c r="S96" s="24">
        <f>[1]节奏总纲!S96</f>
        <v>311.52624011813555</v>
      </c>
      <c r="T96" s="24">
        <f>[1]节奏总纲!T96</f>
        <v>168.35003885171972</v>
      </c>
      <c r="U96" s="23"/>
      <c r="V96" s="24">
        <f>[1]节奏总纲!V96</f>
        <v>93</v>
      </c>
      <c r="W96" s="24">
        <f>[1]节奏总纲!W96</f>
        <v>42.212381874115636</v>
      </c>
      <c r="X96" s="24">
        <f>[1]节奏总纲!X96</f>
        <v>36.049758099342739</v>
      </c>
      <c r="Y96" s="24">
        <f>[1]节奏总纲!Y96</f>
        <v>28.56013214747054</v>
      </c>
      <c r="Z96" s="24">
        <f>[1]节奏总纲!Z96</f>
        <v>19.95571533527368</v>
      </c>
      <c r="AA96" s="24">
        <f>[1]节奏总纲!AA96</f>
        <v>10.704678593567451</v>
      </c>
      <c r="AC96" s="24">
        <f>[1]节奏总纲!AC96</f>
        <v>93</v>
      </c>
      <c r="AD96" s="24">
        <f>[1]节奏总纲!AD96</f>
        <v>65.537288901845059</v>
      </c>
      <c r="AE96" s="24">
        <f>[1]节奏总纲!AE96</f>
        <v>67.554953663139216</v>
      </c>
      <c r="AF96" s="24">
        <f>[1]节奏总纲!AF96</f>
        <v>70.446712344929153</v>
      </c>
      <c r="AG96" s="24">
        <f>[1]节奏总纲!AG96</f>
        <v>74.966265940883147</v>
      </c>
      <c r="AH96" s="24">
        <f>[1]节奏总纲!AH96</f>
        <v>83.589593176629805</v>
      </c>
      <c r="AZ96" s="20">
        <v>93</v>
      </c>
      <c r="BA96" s="20">
        <v>37.535266392462418</v>
      </c>
      <c r="BB96" s="20">
        <v>39.047673544184711</v>
      </c>
      <c r="BC96" s="20">
        <v>40.984830450008985</v>
      </c>
      <c r="BD96" s="20">
        <v>43.704218060932696</v>
      </c>
      <c r="BE96" s="20">
        <v>48.389058749356593</v>
      </c>
      <c r="BP96" s="20">
        <v>93</v>
      </c>
      <c r="BQ96" s="32">
        <f>[1]节奏总纲!BX96</f>
        <v>50.440125995524625</v>
      </c>
      <c r="BR96" s="32">
        <f>[1]节奏总纲!BY96</f>
        <v>50.90659544186844</v>
      </c>
      <c r="BS96" s="32">
        <f>[1]节奏总纲!BZ96</f>
        <v>51.380310631705122</v>
      </c>
      <c r="BT96" s="32">
        <f>[1]节奏总纲!CA96</f>
        <v>51.897988787201882</v>
      </c>
      <c r="BU96" s="32">
        <f>[1]节奏总纲!CB96</f>
        <v>52.414208810757216</v>
      </c>
    </row>
    <row r="97" spans="6:73" x14ac:dyDescent="0.15">
      <c r="F97" s="24">
        <f>[1]节奏总纲!F97</f>
        <v>95</v>
      </c>
      <c r="G97" s="24">
        <f>[1]节奏总纲!G97</f>
        <v>723.0773439350246</v>
      </c>
      <c r="N97" s="24">
        <f>[1]节奏总纲!N97</f>
        <v>104</v>
      </c>
      <c r="O97" s="24">
        <f>[1]节奏总纲!O97</f>
        <v>94</v>
      </c>
      <c r="P97" s="24">
        <f>[1]节奏总纲!P97</f>
        <v>674.58805031572183</v>
      </c>
      <c r="Q97" s="24">
        <f>[1]节奏总纲!Q97</f>
        <v>576.30057138472114</v>
      </c>
      <c r="R97" s="24">
        <f>[1]节奏总纲!R97</f>
        <v>464.04911981218504</v>
      </c>
      <c r="S97" s="24">
        <f>[1]节奏总纲!S97</f>
        <v>332.70682641571403</v>
      </c>
      <c r="T97" s="24">
        <f>[1]节奏总纲!T97</f>
        <v>179.6427977990767</v>
      </c>
      <c r="U97" s="23"/>
      <c r="V97" s="24">
        <f>[1]节奏总纲!V97</f>
        <v>94</v>
      </c>
      <c r="W97" s="24">
        <f>[1]节奏总纲!W97</f>
        <v>45.242110683124793</v>
      </c>
      <c r="X97" s="24">
        <f>[1]节奏总纲!X97</f>
        <v>37.958054622997565</v>
      </c>
      <c r="Y97" s="24">
        <f>[1]节奏总纲!Y97</f>
        <v>30.366832811362372</v>
      </c>
      <c r="Z97" s="24">
        <f>[1]节奏总纲!Z97</f>
        <v>21.180586297578486</v>
      </c>
      <c r="AA97" s="24">
        <f>[1]节奏总纲!AA97</f>
        <v>11.292758947356987</v>
      </c>
      <c r="AC97" s="24">
        <f>[1]节奏总纲!AC97</f>
        <v>94</v>
      </c>
      <c r="AD97" s="24">
        <f>[1]节奏总纲!AD97</f>
        <v>65.691225232427584</v>
      </c>
      <c r="AE97" s="24">
        <f>[1]节奏总纲!AE97</f>
        <v>67.712127008180858</v>
      </c>
      <c r="AF97" s="24">
        <f>[1]节奏总纲!AF97</f>
        <v>70.601097119399213</v>
      </c>
      <c r="AG97" s="24">
        <f>[1]节奏总纲!AG97</f>
        <v>75.115180559621535</v>
      </c>
      <c r="AH97" s="24">
        <f>[1]节奏总纲!AH97</f>
        <v>83.744492718519624</v>
      </c>
      <c r="AZ97" s="20">
        <v>94</v>
      </c>
      <c r="BA97" s="20">
        <v>37.607869265319941</v>
      </c>
      <c r="BB97" s="20">
        <v>39.115214427575864</v>
      </c>
      <c r="BC97" s="20">
        <v>41.053954370816207</v>
      </c>
      <c r="BD97" s="20">
        <v>43.77911147780199</v>
      </c>
      <c r="BE97" s="20">
        <v>48.460844748995065</v>
      </c>
      <c r="BP97" s="20">
        <v>94</v>
      </c>
      <c r="BQ97" s="32">
        <f>[1]节奏总纲!BX97</f>
        <v>50.924361744560407</v>
      </c>
      <c r="BR97" s="32">
        <f>[1]节奏总纲!BY97</f>
        <v>51.357869409358393</v>
      </c>
      <c r="BS97" s="32">
        <f>[1]节奏总纲!BZ97</f>
        <v>51.84807662595162</v>
      </c>
      <c r="BT97" s="32">
        <f>[1]节奏总纲!CA97</f>
        <v>52.334530106928973</v>
      </c>
      <c r="BU97" s="32">
        <f>[1]节奏总纲!CB97</f>
        <v>52.864865346365669</v>
      </c>
    </row>
    <row r="98" spans="6:73" x14ac:dyDescent="0.15">
      <c r="F98" s="24">
        <f>[1]节奏总纲!F98</f>
        <v>96</v>
      </c>
      <c r="G98" s="24">
        <f>[1]节奏总纲!G98</f>
        <v>775.04688205332377</v>
      </c>
      <c r="N98" s="24">
        <f>[1]节奏总纲!N98</f>
        <v>105</v>
      </c>
      <c r="O98" s="24">
        <f>[1]节奏总纲!O98</f>
        <v>95</v>
      </c>
      <c r="P98" s="24">
        <f>[1]节奏总纲!P98</f>
        <v>723.0773439350246</v>
      </c>
      <c r="Q98" s="24">
        <f>[1]节奏总纲!Q98</f>
        <v>618.15882133005255</v>
      </c>
      <c r="R98" s="24">
        <f>[1]节奏总纲!R98</f>
        <v>495.95875020503337</v>
      </c>
      <c r="S98" s="24">
        <f>[1]节奏总纲!S98</f>
        <v>355.39251454406457</v>
      </c>
      <c r="T98" s="24">
        <f>[1]节奏总纲!T98</f>
        <v>192.84472762747106</v>
      </c>
      <c r="U98" s="23"/>
      <c r="V98" s="24">
        <f>[1]节奏总纲!V98</f>
        <v>95</v>
      </c>
      <c r="W98" s="24">
        <f>[1]节奏总纲!W98</f>
        <v>48.489293619302771</v>
      </c>
      <c r="X98" s="24">
        <f>[1]节奏总纲!X98</f>
        <v>41.858249945331409</v>
      </c>
      <c r="Y98" s="24">
        <f>[1]节奏总纲!Y98</f>
        <v>31.909630392848328</v>
      </c>
      <c r="Z98" s="24">
        <f>[1]节奏总纲!Z98</f>
        <v>22.685688128350534</v>
      </c>
      <c r="AA98" s="24">
        <f>[1]节奏总纲!AA98</f>
        <v>13.201929828394356</v>
      </c>
      <c r="AC98" s="24">
        <f>[1]节奏总纲!AC98</f>
        <v>95</v>
      </c>
      <c r="AD98" s="24">
        <f>[1]节奏总纲!AD98</f>
        <v>65.845161563010123</v>
      </c>
      <c r="AE98" s="24">
        <f>[1]节奏总纲!AE98</f>
        <v>67.869300353222485</v>
      </c>
      <c r="AF98" s="24">
        <f>[1]节奏总纲!AF98</f>
        <v>70.755481893869288</v>
      </c>
      <c r="AG98" s="24">
        <f>[1]节奏总纲!AG98</f>
        <v>75.261722981240993</v>
      </c>
      <c r="AH98" s="24">
        <f>[1]节奏总纲!AH98</f>
        <v>83.899392260409456</v>
      </c>
      <c r="AZ98" s="20">
        <v>95</v>
      </c>
      <c r="BA98" s="20">
        <v>37.680472138177471</v>
      </c>
      <c r="BB98" s="20">
        <v>39.182755310967018</v>
      </c>
      <c r="BC98" s="20">
        <v>41.120998062635785</v>
      </c>
      <c r="BD98" s="20">
        <v>43.854004894671284</v>
      </c>
      <c r="BE98" s="20">
        <v>48.532630748633537</v>
      </c>
      <c r="BP98" s="20">
        <v>95</v>
      </c>
      <c r="BQ98" s="32">
        <f>[1]节奏总纲!BX98</f>
        <v>51.382838700936844</v>
      </c>
      <c r="BR98" s="32">
        <f>[1]节奏总纲!BY98</f>
        <v>51.841452913721341</v>
      </c>
      <c r="BS98" s="32">
        <f>[1]节奏总纲!BZ98</f>
        <v>52.293273390033363</v>
      </c>
      <c r="BT98" s="32">
        <f>[1]节奏总纲!CA98</f>
        <v>52.787185373346801</v>
      </c>
      <c r="BU98" s="32">
        <f>[1]节奏总纲!CB98</f>
        <v>53.338289705589766</v>
      </c>
    </row>
    <row r="99" spans="6:73" x14ac:dyDescent="0.15">
      <c r="F99" s="24">
        <f>[1]节奏总纲!F99</f>
        <v>97</v>
      </c>
      <c r="G99" s="24">
        <f>[1]节奏总纲!G99</f>
        <v>830.74645386878444</v>
      </c>
      <c r="N99" s="24">
        <f>[1]节奏总纲!N99</f>
        <v>106</v>
      </c>
      <c r="O99" s="24">
        <f>[1]节奏总纲!O99</f>
        <v>96</v>
      </c>
      <c r="P99" s="24">
        <f>[1]节奏总纲!P99</f>
        <v>775.04688205332377</v>
      </c>
      <c r="Q99" s="24">
        <f>[1]节奏总纲!Q99</f>
        <v>661.0374857032798</v>
      </c>
      <c r="R99" s="24">
        <f>[1]节奏总纲!R99</f>
        <v>529.97705794806279</v>
      </c>
      <c r="S99" s="24">
        <f>[1]节奏总纲!S99</f>
        <v>380.70302846459265</v>
      </c>
      <c r="T99" s="24">
        <f>[1]节奏总纲!T99</f>
        <v>206.86001282003213</v>
      </c>
      <c r="U99" s="23"/>
      <c r="V99" s="24">
        <f>[1]节奏总纲!V99</f>
        <v>96</v>
      </c>
      <c r="W99" s="24">
        <f>[1]节奏总纲!W99</f>
        <v>51.96953811829917</v>
      </c>
      <c r="X99" s="24">
        <f>[1]节奏总纲!X99</f>
        <v>42.878664373227252</v>
      </c>
      <c r="Y99" s="24">
        <f>[1]节奏总纲!Y99</f>
        <v>34.018307743029425</v>
      </c>
      <c r="Z99" s="24">
        <f>[1]节奏总纲!Z99</f>
        <v>25.310513920528081</v>
      </c>
      <c r="AA99" s="24">
        <f>[1]节奏总纲!AA99</f>
        <v>14.015285192561066</v>
      </c>
      <c r="AC99" s="24">
        <f>[1]节奏总纲!AC99</f>
        <v>96</v>
      </c>
      <c r="AD99" s="24">
        <f>[1]节奏总纲!AD99</f>
        <v>65.999097893592648</v>
      </c>
      <c r="AE99" s="24">
        <f>[1]节奏总纲!AE99</f>
        <v>68.025215371037646</v>
      </c>
      <c r="AF99" s="24">
        <f>[1]节奏总纲!AF99</f>
        <v>70.909866668339362</v>
      </c>
      <c r="AG99" s="24">
        <f>[1]节奏总纲!AG99</f>
        <v>75.408265402860437</v>
      </c>
      <c r="AH99" s="24">
        <f>[1]节奏总纲!AH99</f>
        <v>84.050903767166133</v>
      </c>
      <c r="AZ99" s="20">
        <v>96</v>
      </c>
      <c r="BA99" s="20">
        <v>37.753075011035001</v>
      </c>
      <c r="BB99" s="20">
        <v>39.250296194358178</v>
      </c>
      <c r="BC99" s="20">
        <v>41.188041754455355</v>
      </c>
      <c r="BD99" s="20">
        <v>43.928898311540578</v>
      </c>
      <c r="BE99" s="20">
        <v>48.604416748272008</v>
      </c>
      <c r="BP99" s="20">
        <v>96</v>
      </c>
      <c r="BQ99" s="32">
        <f>[1]节奏总纲!BX99</f>
        <v>51.863157135581275</v>
      </c>
      <c r="BR99" s="32">
        <f>[1]节奏总纲!BY99</f>
        <v>52.290870529884771</v>
      </c>
      <c r="BS99" s="32">
        <f>[1]节奏总纲!BZ99</f>
        <v>52.745792648501016</v>
      </c>
      <c r="BT99" s="32">
        <f>[1]节奏总纲!CA99</f>
        <v>53.252362918407712</v>
      </c>
      <c r="BU99" s="32">
        <f>[1]节奏总纲!CB99</f>
        <v>53.821316321108398</v>
      </c>
    </row>
    <row r="100" spans="6:73" x14ac:dyDescent="0.15">
      <c r="F100" s="24">
        <f>[1]节奏总纲!F100</f>
        <v>98</v>
      </c>
      <c r="G100" s="24">
        <f>[1]节奏总纲!G100</f>
        <v>890.4437768152311</v>
      </c>
      <c r="N100" s="24">
        <f>[1]节奏总纲!N100</f>
        <v>107</v>
      </c>
      <c r="O100" s="24">
        <f>[1]节奏总纲!O100</f>
        <v>97</v>
      </c>
      <c r="P100" s="24">
        <f>[1]节奏总纲!P100</f>
        <v>830.74645386878444</v>
      </c>
      <c r="Q100" s="24">
        <f>[1]节奏总纲!Q100</f>
        <v>707.71290405081743</v>
      </c>
      <c r="R100" s="24">
        <f>[1]节奏总纲!R100</f>
        <v>569.31054483627804</v>
      </c>
      <c r="S100" s="24">
        <f>[1]节奏总纲!S100</f>
        <v>409.80722569347137</v>
      </c>
      <c r="T100" s="24">
        <f>[1]节奏总纲!T100</f>
        <v>223.30464679992923</v>
      </c>
      <c r="U100" s="23"/>
      <c r="V100" s="24">
        <f>[1]节奏总纲!V100</f>
        <v>97</v>
      </c>
      <c r="W100" s="24">
        <f>[1]节奏总纲!W100</f>
        <v>55.699571815460672</v>
      </c>
      <c r="X100" s="24">
        <f>[1]节奏总纲!X100</f>
        <v>46.675418347537629</v>
      </c>
      <c r="Y100" s="24">
        <f>[1]节奏总纲!Y100</f>
        <v>39.333486888215248</v>
      </c>
      <c r="Z100" s="24">
        <f>[1]节奏总纲!Z100</f>
        <v>29.104197228878718</v>
      </c>
      <c r="AA100" s="24">
        <f>[1]节奏总纲!AA100</f>
        <v>16.444633979897105</v>
      </c>
      <c r="AC100" s="24">
        <f>[1]节奏总纲!AC100</f>
        <v>97</v>
      </c>
      <c r="AD100" s="24">
        <f>[1]节奏总纲!AD100</f>
        <v>66.142785979989682</v>
      </c>
      <c r="AE100" s="24">
        <f>[1]节奏总纲!AE100</f>
        <v>68.174918074940805</v>
      </c>
      <c r="AF100" s="24">
        <f>[1]节奏总纲!AF100</f>
        <v>71.061795050376986</v>
      </c>
      <c r="AG100" s="24">
        <f>[1]节奏总纲!AG100</f>
        <v>75.554807824479894</v>
      </c>
      <c r="AH100" s="24">
        <f>[1]节奏总纲!AH100</f>
        <v>84.196136930932482</v>
      </c>
      <c r="AZ100" s="20">
        <v>97</v>
      </c>
      <c r="BA100" s="20">
        <v>37.825677883892531</v>
      </c>
      <c r="BB100" s="20">
        <v>39.317837077749331</v>
      </c>
      <c r="BC100" s="20">
        <v>41.255085446274933</v>
      </c>
      <c r="BD100" s="20">
        <v>44.003272544984547</v>
      </c>
      <c r="BE100" s="20">
        <v>48.67620274791048</v>
      </c>
      <c r="BP100" s="20">
        <v>97</v>
      </c>
      <c r="BQ100" s="32">
        <f>[1]节奏总纲!BX100</f>
        <v>52.326384257945534</v>
      </c>
      <c r="BR100" s="32">
        <f>[1]节奏总纲!BY100</f>
        <v>52.756535794428025</v>
      </c>
      <c r="BS100" s="32">
        <f>[1]节奏总纲!BZ100</f>
        <v>53.232327712261743</v>
      </c>
      <c r="BT100" s="32">
        <f>[1]节奏总纲!CA100</f>
        <v>53.753890418265996</v>
      </c>
      <c r="BU100" s="32">
        <f>[1]节奏总纲!CB100</f>
        <v>54.335165952675545</v>
      </c>
    </row>
    <row r="101" spans="6:73" x14ac:dyDescent="0.15">
      <c r="F101" s="24">
        <f>[1]节奏总纲!F101</f>
        <v>99</v>
      </c>
      <c r="G101" s="24">
        <f>[1]节奏总纲!G101</f>
        <v>954.42578333369079</v>
      </c>
      <c r="N101" s="24">
        <f>[1]节奏总纲!N101</f>
        <v>108</v>
      </c>
      <c r="O101" s="24">
        <f>[1]节奏总纲!O101</f>
        <v>98</v>
      </c>
      <c r="P101" s="24">
        <f>[1]节奏总纲!P101</f>
        <v>890.4437768152311</v>
      </c>
      <c r="Q101" s="24">
        <f>[1]节奏总纲!Q101</f>
        <v>760.34994102252585</v>
      </c>
      <c r="R101" s="24">
        <f>[1]节奏总纲!R101</f>
        <v>612.98149595960513</v>
      </c>
      <c r="S101" s="24">
        <f>[1]节奏总纲!S101</f>
        <v>441.9272464333992</v>
      </c>
      <c r="T101" s="24">
        <f>[1]节奏总纲!T101</f>
        <v>240.77599725083846</v>
      </c>
      <c r="U101" s="23"/>
      <c r="V101" s="24">
        <f>[1]节奏总纲!V101</f>
        <v>98</v>
      </c>
      <c r="W101" s="24">
        <f>[1]节奏总纲!W101</f>
        <v>59.697322946446661</v>
      </c>
      <c r="X101" s="24">
        <f>[1]节奏总纲!X101</f>
        <v>52.637036971708426</v>
      </c>
      <c r="Y101" s="24">
        <f>[1]节奏总纲!Y101</f>
        <v>43.670951123327086</v>
      </c>
      <c r="Z101" s="24">
        <f>[1]节奏总纲!Z101</f>
        <v>32.120020739927838</v>
      </c>
      <c r="AA101" s="24">
        <f>[1]节奏总纲!AA101</f>
        <v>17.471350450909227</v>
      </c>
      <c r="AC101" s="24">
        <f>[1]节奏总纲!AC101</f>
        <v>98</v>
      </c>
      <c r="AD101" s="24">
        <f>[1]节奏总纲!AD101</f>
        <v>66.286413655019302</v>
      </c>
      <c r="AE101" s="24">
        <f>[1]节奏总纲!AE101</f>
        <v>68.324620778843951</v>
      </c>
      <c r="AF101" s="24">
        <f>[1]节奏总纲!AF101</f>
        <v>71.210277551293188</v>
      </c>
      <c r="AG101" s="24">
        <f>[1]节奏总纲!AG101</f>
        <v>75.701350246099338</v>
      </c>
      <c r="AH101" s="24">
        <f>[1]节奏总纲!AH101</f>
        <v>84.341370094698831</v>
      </c>
      <c r="AZ101" s="20">
        <v>98</v>
      </c>
      <c r="BA101" s="20">
        <v>37.898280756750061</v>
      </c>
      <c r="BB101" s="20">
        <v>39.385377961140485</v>
      </c>
      <c r="BC101" s="20">
        <v>41.322129138094503</v>
      </c>
      <c r="BD101" s="20">
        <v>44.067911160744309</v>
      </c>
      <c r="BE101" s="20">
        <v>48.747988747548945</v>
      </c>
      <c r="BP101" s="20">
        <v>98</v>
      </c>
      <c r="BQ101" s="32">
        <f>[1]节奏总纲!BX101</f>
        <v>52.802848669690398</v>
      </c>
      <c r="BR101" s="32">
        <f>[1]节奏总纲!BY101</f>
        <v>53.243263351667181</v>
      </c>
      <c r="BS101" s="32">
        <f>[1]节奏总纲!BZ101</f>
        <v>53.734023573310566</v>
      </c>
      <c r="BT101" s="32">
        <f>[1]节奏总纲!CA101</f>
        <v>54.265483052665907</v>
      </c>
      <c r="BU101" s="32">
        <f>[1]节奏总纲!CB101</f>
        <v>54.855218110725374</v>
      </c>
    </row>
    <row r="102" spans="6:73" x14ac:dyDescent="0.15">
      <c r="F102" s="24">
        <f>[1]节奏总纲!F102</f>
        <v>100</v>
      </c>
      <c r="G102" s="24">
        <f>[1]节奏总纲!G102</f>
        <v>1023</v>
      </c>
      <c r="N102" s="24">
        <f>[1]节奏总纲!N102</f>
        <v>109</v>
      </c>
      <c r="O102" s="24">
        <f>[1]节奏总纲!O102</f>
        <v>99</v>
      </c>
      <c r="P102" s="24">
        <f>[1]节奏总纲!P102</f>
        <v>954.42578333369079</v>
      </c>
      <c r="Q102" s="24">
        <f>[1]节奏总纲!Q102</f>
        <v>816.51125764197252</v>
      </c>
      <c r="R102" s="24">
        <f>[1]节奏总纲!R102</f>
        <v>658.6492330785801</v>
      </c>
      <c r="S102" s="24">
        <f>[1]节奏总纲!S102</f>
        <v>475.39948267851139</v>
      </c>
      <c r="T102" s="24">
        <f>[1]节奏总纲!T102</f>
        <v>257.59951892176309</v>
      </c>
      <c r="U102" s="23"/>
      <c r="V102" s="24">
        <f>[1]节奏总纲!V102</f>
        <v>99</v>
      </c>
      <c r="W102" s="24">
        <f>[1]节奏总纲!W102</f>
        <v>63.982006518459684</v>
      </c>
      <c r="X102" s="24">
        <f>[1]节奏总纲!X102</f>
        <v>56.161316619446666</v>
      </c>
      <c r="Y102" s="24">
        <f>[1]节奏总纲!Y102</f>
        <v>45.667737118974969</v>
      </c>
      <c r="Z102" s="24">
        <f>[1]节奏总纲!Z102</f>
        <v>33.472236245112185</v>
      </c>
      <c r="AA102" s="24">
        <f>[1]节奏总纲!AA102</f>
        <v>16.823521670924634</v>
      </c>
      <c r="AC102" s="24">
        <f>[1]节奏总纲!AC102</f>
        <v>99</v>
      </c>
      <c r="AD102" s="24">
        <f>[1]节奏总纲!AD102</f>
        <v>66.430041330048923</v>
      </c>
      <c r="AE102" s="24">
        <f>[1]节奏总纲!AE102</f>
        <v>68.474323482747096</v>
      </c>
      <c r="AF102" s="24">
        <f>[1]节奏总纲!AF102</f>
        <v>71.358760052209377</v>
      </c>
      <c r="AG102" s="24">
        <f>[1]节奏总纲!AG102</f>
        <v>75.847892667718796</v>
      </c>
      <c r="AH102" s="24">
        <f>[1]节奏总纲!AH102</f>
        <v>84.48660325846518</v>
      </c>
      <c r="AZ102" s="20">
        <v>99</v>
      </c>
      <c r="BA102" s="20">
        <v>37.970883629607592</v>
      </c>
      <c r="BB102" s="20">
        <v>39.452918844531645</v>
      </c>
      <c r="BC102" s="20">
        <v>41.389172829914081</v>
      </c>
      <c r="BD102" s="20">
        <v>44.132549776504064</v>
      </c>
      <c r="BE102" s="20">
        <v>48.819774747187417</v>
      </c>
      <c r="BP102" s="20">
        <v>99</v>
      </c>
      <c r="BQ102" s="32">
        <f>[1]节奏总纲!BX102</f>
        <v>53.27075451697057</v>
      </c>
      <c r="BR102" s="32">
        <f>[1]节奏总纲!BY102</f>
        <v>53.72715308914038</v>
      </c>
      <c r="BS102" s="32">
        <f>[1]节奏总纲!BZ102</f>
        <v>54.223397539416098</v>
      </c>
      <c r="BT102" s="32">
        <f>[1]节奏总纲!CA102</f>
        <v>54.763650287732681</v>
      </c>
      <c r="BU102" s="32">
        <f>[1]节奏总纲!CB102</f>
        <v>55.30747709307812</v>
      </c>
    </row>
    <row r="103" spans="6:73" x14ac:dyDescent="0.15">
      <c r="F103" s="24">
        <f>[1]节奏总纲!F103</f>
        <v>101</v>
      </c>
      <c r="G103" s="24">
        <f>[1]节奏总纲!G103</f>
        <v>1096.4960256371633</v>
      </c>
      <c r="N103" s="24">
        <f>[1]节奏总纲!N103</f>
        <v>110</v>
      </c>
      <c r="O103" s="24">
        <f>[1]节奏总纲!O103</f>
        <v>100</v>
      </c>
      <c r="P103" s="24">
        <f>[1]节奏总纲!P103</f>
        <v>1023</v>
      </c>
      <c r="Q103" s="24">
        <f>[1]节奏总纲!Q103</f>
        <v>875.38110000000006</v>
      </c>
      <c r="R103" s="24">
        <f>[1]节奏总纲!R103</f>
        <v>706.6884</v>
      </c>
      <c r="S103" s="24">
        <f>[1]节奏总纲!S103</f>
        <v>508.22640000000001</v>
      </c>
      <c r="T103" s="24">
        <f>[1]节奏总纲!T103</f>
        <v>274.77780000000001</v>
      </c>
      <c r="U103" s="23"/>
      <c r="V103" s="24">
        <f>[1]节奏总纲!V103</f>
        <v>100</v>
      </c>
      <c r="W103" s="24">
        <f>[1]节奏总纲!W103</f>
        <v>68.574216666309212</v>
      </c>
      <c r="X103" s="24">
        <f>[1]节奏总纲!X103</f>
        <v>58.86984235802754</v>
      </c>
      <c r="Y103" s="24">
        <f>[1]节奏总纲!Y103</f>
        <v>48.039166921419906</v>
      </c>
      <c r="Z103" s="24">
        <f>[1]节奏总纲!Z103</f>
        <v>32.826917321488622</v>
      </c>
      <c r="AA103" s="24">
        <f>[1]节奏总纲!AA103</f>
        <v>17.178281078236921</v>
      </c>
      <c r="AC103" s="24">
        <f>[1]节奏总纲!AC103</f>
        <v>100</v>
      </c>
      <c r="AD103" s="24">
        <f>[1]节奏总纲!AD103</f>
        <v>66.573669005078543</v>
      </c>
      <c r="AE103" s="24">
        <f>[1]节奏总纲!AE103</f>
        <v>68.624026186650241</v>
      </c>
      <c r="AF103" s="24">
        <f>[1]节奏总纲!AF103</f>
        <v>71.507242553125565</v>
      </c>
      <c r="AG103" s="24">
        <f>[1]节奏总纲!AG103</f>
        <v>75.994435089338239</v>
      </c>
      <c r="AH103" s="24">
        <f>[1]节奏总纲!AH103</f>
        <v>84.63183642223153</v>
      </c>
      <c r="AZ103" s="20">
        <v>100</v>
      </c>
      <c r="BA103" s="20">
        <v>38.037513426486328</v>
      </c>
      <c r="BB103" s="20">
        <v>39.520459727922798</v>
      </c>
      <c r="BC103" s="20">
        <v>41.456216521733651</v>
      </c>
      <c r="BD103" s="20">
        <v>44.197188392263818</v>
      </c>
      <c r="BE103" s="20">
        <v>48.891560746825888</v>
      </c>
      <c r="BP103" s="20">
        <v>100</v>
      </c>
      <c r="BQ103" s="32">
        <f>[1]节奏总纲!BX103</f>
        <v>53.743426622219623</v>
      </c>
      <c r="BR103" s="32">
        <f>[1]节奏总纲!BY103</f>
        <v>54.202428306858415</v>
      </c>
      <c r="BS103" s="32">
        <f>[1]节奏总纲!BZ103</f>
        <v>54.700042099102475</v>
      </c>
      <c r="BT103" s="32">
        <f>[1]节奏总纲!CA103</f>
        <v>55.217844456964613</v>
      </c>
      <c r="BU103" s="32">
        <f>[1]节奏总纲!CB103</f>
        <v>55.74912762806774</v>
      </c>
    </row>
    <row r="104" spans="6:73" x14ac:dyDescent="0.15">
      <c r="F104" s="24">
        <f>[1]节奏总纲!F104</f>
        <v>102</v>
      </c>
      <c r="G104" s="24">
        <f>[1]节奏总纲!G104</f>
        <v>1175.2671155169628</v>
      </c>
      <c r="N104" s="24">
        <f>[1]节奏总纲!N104</f>
        <v>111</v>
      </c>
      <c r="O104" s="24">
        <f>[1]节奏总纲!O104</f>
        <v>101</v>
      </c>
      <c r="P104" s="24">
        <f>[1]节奏总纲!P104</f>
        <v>1096.4960256371633</v>
      </c>
      <c r="Q104" s="24">
        <f>[1]节奏总纲!Q104</f>
        <v>939.14884595823037</v>
      </c>
      <c r="R104" s="24">
        <f>[1]节奏总纲!R104</f>
        <v>756.25330888195151</v>
      </c>
      <c r="S104" s="24">
        <f>[1]节奏总纲!S104</f>
        <v>541.99798547244984</v>
      </c>
      <c r="T104" s="24">
        <f>[1]节奏总纲!T104</f>
        <v>293.42233646050488</v>
      </c>
      <c r="U104" s="23"/>
      <c r="V104" s="24">
        <f>[1]节奏总纲!V104</f>
        <v>101</v>
      </c>
      <c r="W104" s="24">
        <f>[1]节奏总纲!W104</f>
        <v>73.496025637163257</v>
      </c>
      <c r="X104" s="24">
        <f>[1]节奏总纲!X104</f>
        <v>63.767745958230307</v>
      </c>
      <c r="Y104" s="24">
        <f>[1]节奏总纲!Y104</f>
        <v>49.56490888195151</v>
      </c>
      <c r="Z104" s="24">
        <f>[1]节奏总纲!Z104</f>
        <v>33.771585472449829</v>
      </c>
      <c r="AA104" s="24">
        <f>[1]节奏总纲!AA104</f>
        <v>18.644536460504867</v>
      </c>
      <c r="AC104" s="24">
        <f>[1]节奏总纲!AC104</f>
        <v>101</v>
      </c>
      <c r="AD104" s="24">
        <f>[1]节奏总纲!AD104</f>
        <v>66.717296680108163</v>
      </c>
      <c r="AE104" s="24">
        <f>[1]节奏总纲!AE104</f>
        <v>68.773728890553386</v>
      </c>
      <c r="AF104" s="24">
        <f>[1]节奏总纲!AF104</f>
        <v>71.655725054041767</v>
      </c>
      <c r="AG104" s="24">
        <f>[1]节奏总纲!AG104</f>
        <v>76.130305911210229</v>
      </c>
      <c r="AH104" s="24">
        <f>[1]节奏总纲!AH104</f>
        <v>84.777069585997879</v>
      </c>
      <c r="AZ104" s="20">
        <v>101</v>
      </c>
      <c r="BA104" s="20">
        <v>38.100143952724252</v>
      </c>
      <c r="BB104" s="20">
        <v>39.588000611313952</v>
      </c>
      <c r="BC104" s="20">
        <v>41.523260213553229</v>
      </c>
      <c r="BD104" s="20">
        <v>44.261827008023573</v>
      </c>
      <c r="BE104" s="20">
        <v>48.96334674646436</v>
      </c>
      <c r="BP104" s="20">
        <v>101</v>
      </c>
      <c r="BQ104" s="32">
        <f>[1]节奏总纲!BX104</f>
        <v>54.215939989486415</v>
      </c>
      <c r="BR104" s="32">
        <f>[1]节奏总纲!BY104</f>
        <v>54.676955934140729</v>
      </c>
      <c r="BS104" s="32">
        <f>[1]节奏总纲!BZ104</f>
        <v>55.165685304832408</v>
      </c>
      <c r="BT104" s="32">
        <f>[1]节奏总纲!CA104</f>
        <v>55.651975168978964</v>
      </c>
      <c r="BU104" s="32">
        <f>[1]节奏总纲!CB104</f>
        <v>56.197353484420169</v>
      </c>
    </row>
    <row r="105" spans="6:73" x14ac:dyDescent="0.15">
      <c r="F105" s="24">
        <f>[1]节奏总纲!F105</f>
        <v>103</v>
      </c>
      <c r="G105" s="24">
        <f>[1]节奏总纲!G105</f>
        <v>1259.6918792651943</v>
      </c>
      <c r="N105" s="24">
        <f>[1]节奏总纲!N105</f>
        <v>112</v>
      </c>
      <c r="O105" s="24">
        <f>[1]节奏总纲!O105</f>
        <v>102</v>
      </c>
      <c r="P105" s="24">
        <f>[1]节奏总纲!P105</f>
        <v>1175.2671155169628</v>
      </c>
      <c r="Q105" s="24">
        <f>[1]节奏总纲!Q105</f>
        <v>1004.2657502092447</v>
      </c>
      <c r="R105" s="24">
        <f>[1]节奏总纲!R105</f>
        <v>806.23324124463659</v>
      </c>
      <c r="S105" s="24">
        <f>[1]节奏总纲!S105</f>
        <v>577.99636741124232</v>
      </c>
      <c r="T105" s="24">
        <f>[1]节奏总纲!T105</f>
        <v>313.56126641992563</v>
      </c>
      <c r="U105" s="23"/>
      <c r="V105" s="24">
        <f>[1]节奏总纲!V105</f>
        <v>102</v>
      </c>
      <c r="W105" s="24">
        <f>[1]节奏总纲!W105</f>
        <v>78.771089879799547</v>
      </c>
      <c r="X105" s="24">
        <f>[1]节奏总纲!X105</f>
        <v>65.116904251014375</v>
      </c>
      <c r="Y105" s="24">
        <f>[1]节奏总纲!Y105</f>
        <v>49.979932362685076</v>
      </c>
      <c r="Z105" s="24">
        <f>[1]节奏总纲!Z105</f>
        <v>35.998381938792477</v>
      </c>
      <c r="AA105" s="24">
        <f>[1]节奏总纲!AA105</f>
        <v>20.13892995942075</v>
      </c>
      <c r="AC105" s="24">
        <f>[1]节奏总纲!AC105</f>
        <v>102</v>
      </c>
      <c r="AD105" s="24">
        <f>[1]节奏总纲!AD105</f>
        <v>66.860924355137783</v>
      </c>
      <c r="AE105" s="24">
        <f>[1]节奏总纲!AE105</f>
        <v>68.923431594456531</v>
      </c>
      <c r="AF105" s="24">
        <f>[1]节奏总纲!AF105</f>
        <v>71.804207554957955</v>
      </c>
      <c r="AG105" s="24">
        <f>[1]节奏总纲!AG105</f>
        <v>76.265755485049056</v>
      </c>
      <c r="AH105" s="24">
        <f>[1]节奏总纲!AH105</f>
        <v>84.922302749764228</v>
      </c>
      <c r="AZ105" s="20">
        <v>102</v>
      </c>
      <c r="BA105" s="20">
        <v>38.16277447896217</v>
      </c>
      <c r="BB105" s="20">
        <v>39.655541494705105</v>
      </c>
      <c r="BC105" s="20">
        <v>41.590303905372799</v>
      </c>
      <c r="BD105" s="20">
        <v>44.326465623783335</v>
      </c>
      <c r="BE105" s="20">
        <v>49.030333272797542</v>
      </c>
      <c r="BP105" s="20">
        <v>102</v>
      </c>
      <c r="BQ105" s="32">
        <f>[1]节奏总纲!BX105</f>
        <v>54.684879988131968</v>
      </c>
      <c r="BR105" s="32">
        <f>[1]节奏总纲!BY105</f>
        <v>55.13951273920545</v>
      </c>
      <c r="BS105" s="32">
        <f>[1]节奏总纲!BZ105</f>
        <v>55.594010346323124</v>
      </c>
      <c r="BT105" s="32">
        <f>[1]节奏总纲!CA105</f>
        <v>56.09910300880712</v>
      </c>
      <c r="BU105" s="32">
        <f>[1]节奏总纲!CB105</f>
        <v>56.644593793802954</v>
      </c>
    </row>
    <row r="106" spans="6:73" x14ac:dyDescent="0.15">
      <c r="F106" s="24">
        <f>[1]节奏总纲!F106</f>
        <v>104</v>
      </c>
      <c r="G106" s="24">
        <f>[1]节奏总纲!G106</f>
        <v>1350.1761006314437</v>
      </c>
      <c r="N106" s="24">
        <f>[1]节奏总纲!N106</f>
        <v>113</v>
      </c>
      <c r="O106" s="24">
        <f>[1]节奏总纲!O106</f>
        <v>103</v>
      </c>
      <c r="P106" s="24">
        <f>[1]节奏总纲!P106</f>
        <v>1259.6918792651943</v>
      </c>
      <c r="Q106" s="24">
        <f>[1]节奏总纲!Q106</f>
        <v>1073.383450321872</v>
      </c>
      <c r="R106" s="24">
        <f>[1]节奏总纲!R106</f>
        <v>861.50327622946634</v>
      </c>
      <c r="S106" s="24">
        <f>[1]节奏总纲!S106</f>
        <v>619.01258947091651</v>
      </c>
      <c r="T106" s="24">
        <f>[1]节奏总纲!T106</f>
        <v>335.8338550121008</v>
      </c>
      <c r="U106" s="23"/>
      <c r="V106" s="24">
        <f>[1]节奏总纲!V106</f>
        <v>103</v>
      </c>
      <c r="W106" s="24">
        <f>[1]节奏总纲!W106</f>
        <v>84.424763748231499</v>
      </c>
      <c r="X106" s="24">
        <f>[1]节奏总纲!X106</f>
        <v>69.11770011262729</v>
      </c>
      <c r="Y106" s="24">
        <f>[1]节奏总纲!Y106</f>
        <v>55.270034984829749</v>
      </c>
      <c r="Z106" s="24">
        <f>[1]节奏总纲!Z106</f>
        <v>41.016222059674192</v>
      </c>
      <c r="AA106" s="24">
        <f>[1]节奏总纲!AA106</f>
        <v>22.272588592175168</v>
      </c>
      <c r="AC106" s="24">
        <f>[1]节奏总纲!AC106</f>
        <v>103</v>
      </c>
      <c r="AD106" s="24">
        <f>[1]节奏总纲!AD106</f>
        <v>67.004247194324648</v>
      </c>
      <c r="AE106" s="24">
        <f>[1]节奏总纲!AE106</f>
        <v>69.0655056802525</v>
      </c>
      <c r="AF106" s="24">
        <f>[1]节奏总纲!AF106</f>
        <v>71.952690055874157</v>
      </c>
      <c r="AG106" s="24">
        <f>[1]节奏总纲!AG106</f>
        <v>76.401205058887882</v>
      </c>
      <c r="AH106" s="24">
        <f>[1]节奏总纲!AH106</f>
        <v>85.072521641060263</v>
      </c>
      <c r="AZ106" s="20">
        <v>103</v>
      </c>
      <c r="BA106" s="20">
        <v>38.225405005200088</v>
      </c>
      <c r="BB106" s="20">
        <v>39.723082378096265</v>
      </c>
      <c r="BC106" s="20">
        <v>41.657347597192377</v>
      </c>
      <c r="BD106" s="20">
        <v>44.39110423954309</v>
      </c>
      <c r="BE106" s="20">
        <v>49.09231260978715</v>
      </c>
      <c r="BP106" s="20">
        <v>103</v>
      </c>
      <c r="BQ106" s="32">
        <f>[1]节奏总纲!BX106</f>
        <v>55.161930117011792</v>
      </c>
      <c r="BR106" s="32">
        <f>[1]节奏总纲!BY106</f>
        <v>55.583763667062648</v>
      </c>
      <c r="BS106" s="32">
        <f>[1]节奏总纲!BZ106</f>
        <v>56.058453389976094</v>
      </c>
      <c r="BT106" s="32">
        <f>[1]节奏总纲!CA106</f>
        <v>56.554541998878705</v>
      </c>
      <c r="BU106" s="32">
        <f>[1]节奏总纲!CB106</f>
        <v>57.120261567759663</v>
      </c>
    </row>
    <row r="107" spans="6:73" x14ac:dyDescent="0.15">
      <c r="F107" s="24">
        <f>[1]节奏总纲!F107</f>
        <v>105</v>
      </c>
      <c r="G107" s="24">
        <f>[1]节奏总纲!G107</f>
        <v>1447.1546878700494</v>
      </c>
      <c r="N107" s="24">
        <f>[1]节奏总纲!N107</f>
        <v>114</v>
      </c>
      <c r="O107" s="24">
        <f>[1]节奏总纲!O107</f>
        <v>104</v>
      </c>
      <c r="P107" s="24">
        <f>[1]节奏总纲!P107</f>
        <v>1350.1761006314437</v>
      </c>
      <c r="Q107" s="24">
        <f>[1]节奏总纲!Q107</f>
        <v>1150.7550905681794</v>
      </c>
      <c r="R107" s="24">
        <f>[1]节奏总纲!R107</f>
        <v>925.41069937279144</v>
      </c>
      <c r="S107" s="24">
        <f>[1]节奏总纲!S107</f>
        <v>665.09674717104917</v>
      </c>
      <c r="T107" s="24">
        <f>[1]节奏总纲!T107</f>
        <v>360.49701886859549</v>
      </c>
      <c r="U107" s="23"/>
      <c r="V107" s="24">
        <f>[1]节奏总纲!V107</f>
        <v>104</v>
      </c>
      <c r="W107" s="24">
        <f>[1]节奏总纲!W107</f>
        <v>90.484221366249358</v>
      </c>
      <c r="X107" s="24">
        <f>[1]节奏总纲!X107</f>
        <v>77.371640246307379</v>
      </c>
      <c r="Y107" s="24">
        <f>[1]节奏总纲!Y107</f>
        <v>63.907423143325104</v>
      </c>
      <c r="Z107" s="24">
        <f>[1]节奏总纲!Z107</f>
        <v>46.084157700132664</v>
      </c>
      <c r="AA107" s="24">
        <f>[1]节奏总纲!AA107</f>
        <v>24.663163856494691</v>
      </c>
      <c r="AC107" s="24">
        <f>[1]节奏总纲!AC107</f>
        <v>104</v>
      </c>
      <c r="AD107" s="24">
        <f>[1]节奏总纲!AD107</f>
        <v>67.138256553625013</v>
      </c>
      <c r="AE107" s="24">
        <f>[1]节奏总纲!AE107</f>
        <v>69.199592937186125</v>
      </c>
      <c r="AF107" s="24">
        <f>[1]节奏总纲!AF107</f>
        <v>72.093818006439079</v>
      </c>
      <c r="AG107" s="24">
        <f>[1]节奏总纲!AG107</f>
        <v>76.536654632726695</v>
      </c>
      <c r="AH107" s="24">
        <f>[1]节奏总纲!AH107</f>
        <v>85.228476403824274</v>
      </c>
      <c r="AZ107" s="20">
        <v>104</v>
      </c>
      <c r="BA107" s="20">
        <v>38.288035531438013</v>
      </c>
      <c r="BB107" s="20">
        <v>39.790623261487418</v>
      </c>
      <c r="BC107" s="20">
        <v>41.724391289011947</v>
      </c>
      <c r="BD107" s="20">
        <v>44.455742855302844</v>
      </c>
      <c r="BE107" s="20">
        <v>49.154291946776759</v>
      </c>
      <c r="BP107" s="20">
        <v>104</v>
      </c>
      <c r="BQ107" s="32">
        <f>[1]节奏总纲!BX107</f>
        <v>55.627196747503149</v>
      </c>
      <c r="BR107" s="32">
        <f>[1]节奏总纲!BY107</f>
        <v>56.070023936067749</v>
      </c>
      <c r="BS107" s="32">
        <f>[1]节奏总纲!BZ107</f>
        <v>56.53153340227184</v>
      </c>
      <c r="BT107" s="32">
        <f>[1]节奏总纲!CA107</f>
        <v>57.057233285169012</v>
      </c>
      <c r="BU107" s="32">
        <f>[1]节奏总纲!CB107</f>
        <v>57.593396752318156</v>
      </c>
    </row>
    <row r="108" spans="6:73" x14ac:dyDescent="0.15">
      <c r="F108" s="24">
        <f>[1]节奏总纲!F108</f>
        <v>106</v>
      </c>
      <c r="G108" s="24">
        <f>[1]节奏总纲!G108</f>
        <v>1551.0937641066464</v>
      </c>
      <c r="N108" s="24">
        <f>[1]节奏总纲!N108</f>
        <v>115</v>
      </c>
      <c r="O108" s="24">
        <f>[1]节奏总纲!O108</f>
        <v>105</v>
      </c>
      <c r="P108" s="24">
        <f>[1]节奏总纲!P108</f>
        <v>1447.1546878700494</v>
      </c>
      <c r="Q108" s="24">
        <f>[1]节奏总纲!Q108</f>
        <v>1234.8570951595132</v>
      </c>
      <c r="R108" s="24">
        <f>[1]节奏总纲!R108</f>
        <v>993.18226228521496</v>
      </c>
      <c r="S108" s="24">
        <f>[1]节奏总纲!S108</f>
        <v>713.59197658872131</v>
      </c>
      <c r="T108" s="24">
        <f>[1]节奏总纲!T108</f>
        <v>386.39030166130323</v>
      </c>
      <c r="U108" s="23"/>
      <c r="V108" s="24">
        <f>[1]节奏总纲!V108</f>
        <v>105</v>
      </c>
      <c r="W108" s="24">
        <f>[1]节奏总纲!W108</f>
        <v>96.978587238605769</v>
      </c>
      <c r="X108" s="24">
        <f>[1]节奏总纲!X108</f>
        <v>84.102004591333753</v>
      </c>
      <c r="Y108" s="24">
        <f>[1]节奏总纲!Y108</f>
        <v>67.771562912423519</v>
      </c>
      <c r="Z108" s="24">
        <f>[1]节奏总纲!Z108</f>
        <v>48.495229417672135</v>
      </c>
      <c r="AA108" s="24">
        <f>[1]节奏总纲!AA108</f>
        <v>25.893282792707737</v>
      </c>
      <c r="AC108" s="24">
        <f>[1]节奏总纲!AC108</f>
        <v>105</v>
      </c>
      <c r="AD108" s="24">
        <f>[1]节奏总纲!AD108</f>
        <v>67.272265912925377</v>
      </c>
      <c r="AE108" s="24">
        <f>[1]节奏总纲!AE108</f>
        <v>69.333680194119751</v>
      </c>
      <c r="AF108" s="24">
        <f>[1]节奏总纲!AF108</f>
        <v>72.23150684883845</v>
      </c>
      <c r="AG108" s="24">
        <f>[1]节奏总纲!AG108</f>
        <v>76.672104206565521</v>
      </c>
      <c r="AH108" s="24">
        <f>[1]节奏总纲!AH108</f>
        <v>85.384431166588271</v>
      </c>
      <c r="AZ108" s="20">
        <v>105</v>
      </c>
      <c r="BA108" s="20">
        <v>38.35066605767593</v>
      </c>
      <c r="BB108" s="20">
        <v>39.858164144878572</v>
      </c>
      <c r="BC108" s="20">
        <v>41.791434980831518</v>
      </c>
      <c r="BD108" s="20">
        <v>44.520381471062606</v>
      </c>
      <c r="BE108" s="20">
        <v>49.216271283766375</v>
      </c>
      <c r="BP108" s="20">
        <v>105</v>
      </c>
      <c r="BQ108" s="32">
        <f>[1]节奏总纲!BX108</f>
        <v>56.108713498260869</v>
      </c>
      <c r="BR108" s="32">
        <f>[1]节奏总纲!BY108</f>
        <v>56.536952996213088</v>
      </c>
      <c r="BS108" s="32">
        <f>[1]节奏总纲!BZ108</f>
        <v>57.028694970852825</v>
      </c>
      <c r="BT108" s="32">
        <f>[1]节奏总纲!CA108</f>
        <v>57.522396624597881</v>
      </c>
      <c r="BU108" s="32">
        <f>[1]节奏总纲!CB108</f>
        <v>58.077862645108048</v>
      </c>
    </row>
    <row r="109" spans="6:73" x14ac:dyDescent="0.15">
      <c r="F109" s="24">
        <f>[1]节奏总纲!F109</f>
        <v>107</v>
      </c>
      <c r="G109" s="24">
        <f>[1]节奏总纲!G109</f>
        <v>1662.4929077375689</v>
      </c>
      <c r="N109" s="24">
        <f>[1]节奏总纲!N109</f>
        <v>116</v>
      </c>
      <c r="O109" s="24">
        <f>[1]节奏总纲!O109</f>
        <v>106</v>
      </c>
      <c r="P109" s="24">
        <f>[1]节奏总纲!P109</f>
        <v>1551.0937641066464</v>
      </c>
      <c r="Q109" s="24">
        <f>[1]节奏总纲!Q109</f>
        <v>1324.4789651706653</v>
      </c>
      <c r="R109" s="24">
        <f>[1]节奏总纲!R109</f>
        <v>1064.6707596828021</v>
      </c>
      <c r="S109" s="24">
        <f>[1]节奏总纲!S109</f>
        <v>764.3790069517554</v>
      </c>
      <c r="T109" s="24">
        <f>[1]节奏总纲!T109</f>
        <v>412.59094125236794</v>
      </c>
      <c r="U109" s="23"/>
      <c r="V109" s="24">
        <f>[1]节奏总纲!V109</f>
        <v>106</v>
      </c>
      <c r="W109" s="24">
        <f>[1]节奏总纲!W109</f>
        <v>103.93907623659697</v>
      </c>
      <c r="X109" s="24">
        <f>[1]节奏总纲!X109</f>
        <v>89.621870011152168</v>
      </c>
      <c r="Y109" s="24">
        <f>[1]节奏总纲!Y109</f>
        <v>71.488497397587139</v>
      </c>
      <c r="Z109" s="24">
        <f>[1]节奏总纲!Z109</f>
        <v>50.787030363034091</v>
      </c>
      <c r="AA109" s="24">
        <f>[1]节奏总纲!AA109</f>
        <v>26.200639591064714</v>
      </c>
      <c r="AC109" s="24">
        <f>[1]节奏总纲!AC109</f>
        <v>106</v>
      </c>
      <c r="AD109" s="24">
        <f>[1]节奏总纲!AD109</f>
        <v>67.406275272225741</v>
      </c>
      <c r="AE109" s="24">
        <f>[1]节奏总纲!AE109</f>
        <v>69.467767451053362</v>
      </c>
      <c r="AF109" s="24">
        <f>[1]节奏总纲!AF109</f>
        <v>72.369195691237806</v>
      </c>
      <c r="AG109" s="24">
        <f>[1]节奏总纲!AG109</f>
        <v>76.807553780404334</v>
      </c>
      <c r="AH109" s="24">
        <f>[1]节奏总纲!AH109</f>
        <v>85.540385929352269</v>
      </c>
      <c r="AZ109" s="20">
        <v>106</v>
      </c>
      <c r="BA109" s="20">
        <v>38.413296583913848</v>
      </c>
      <c r="BB109" s="20">
        <v>39.925705028269732</v>
      </c>
      <c r="BC109" s="20">
        <v>41.858478672651096</v>
      </c>
      <c r="BD109" s="20">
        <v>44.585020086822361</v>
      </c>
      <c r="BE109" s="20">
        <v>49.278250620755983</v>
      </c>
      <c r="BP109" s="20">
        <v>106</v>
      </c>
      <c r="BQ109" s="32">
        <f>[1]节奏总纲!BX109</f>
        <v>56.570364089495698</v>
      </c>
      <c r="BR109" s="32">
        <f>[1]节奏总纲!BY109</f>
        <v>57.029826574193862</v>
      </c>
      <c r="BS109" s="32">
        <f>[1]节奏总纲!BZ109</f>
        <v>57.485837231091942</v>
      </c>
      <c r="BT109" s="32">
        <f>[1]节奏总纲!CA109</f>
        <v>58.008243903139835</v>
      </c>
      <c r="BU109" s="32">
        <f>[1]节奏总纲!CB109</f>
        <v>58.512079069363097</v>
      </c>
    </row>
    <row r="110" spans="6:73" x14ac:dyDescent="0.15">
      <c r="F110" s="24">
        <f>[1]节奏总纲!F110</f>
        <v>108</v>
      </c>
      <c r="G110" s="24">
        <f>[1]节奏总纲!G110</f>
        <v>1781.8875536304624</v>
      </c>
      <c r="N110" s="24">
        <f>[1]节奏总纲!N110</f>
        <v>117</v>
      </c>
      <c r="O110" s="24">
        <f>[1]节奏总纲!O110</f>
        <v>107</v>
      </c>
      <c r="P110" s="24">
        <f>[1]节奏总纲!P110</f>
        <v>1662.4929077375689</v>
      </c>
      <c r="Q110" s="24">
        <f>[1]节奏总纲!Q110</f>
        <v>1418.9376967540152</v>
      </c>
      <c r="R110" s="24">
        <f>[1]节奏总纲!R110</f>
        <v>1141.6338797433884</v>
      </c>
      <c r="S110" s="24">
        <f>[1]节奏总纲!S110</f>
        <v>816.11776840837263</v>
      </c>
      <c r="T110" s="24">
        <f>[1]节奏总纲!T110</f>
        <v>440.22812196890823</v>
      </c>
      <c r="U110" s="23"/>
      <c r="V110" s="24">
        <f>[1]节奏总纲!V110</f>
        <v>107</v>
      </c>
      <c r="W110" s="24">
        <f>[1]节奏总纲!W110</f>
        <v>111.39914363092248</v>
      </c>
      <c r="X110" s="24">
        <f>[1]节奏总纲!X110</f>
        <v>94.458731583349845</v>
      </c>
      <c r="Y110" s="24">
        <f>[1]节奏总纲!Y110</f>
        <v>76.963120060586334</v>
      </c>
      <c r="Z110" s="24">
        <f>[1]节奏总纲!Z110</f>
        <v>51.738761456617226</v>
      </c>
      <c r="AA110" s="24">
        <f>[1]节奏总纲!AA110</f>
        <v>27.637180716540286</v>
      </c>
      <c r="AC110" s="24">
        <f>[1]节奏总纲!AC110</f>
        <v>107</v>
      </c>
      <c r="AD110" s="24">
        <f>[1]节奏总纲!AD110</f>
        <v>67.540284631526106</v>
      </c>
      <c r="AE110" s="24">
        <f>[1]节奏总纲!AE110</f>
        <v>69.601854707986988</v>
      </c>
      <c r="AF110" s="24">
        <f>[1]节奏总纲!AF110</f>
        <v>72.506884533637162</v>
      </c>
      <c r="AG110" s="24">
        <f>[1]节奏总纲!AG110</f>
        <v>76.94300335424316</v>
      </c>
      <c r="AH110" s="24">
        <f>[1]节奏总纲!AH110</f>
        <v>85.696340692116266</v>
      </c>
      <c r="AZ110" s="20">
        <v>107</v>
      </c>
      <c r="BA110" s="20">
        <v>38.475927110151773</v>
      </c>
      <c r="BB110" s="20">
        <v>39.993245911660885</v>
      </c>
      <c r="BC110" s="20">
        <v>41.925522364470666</v>
      </c>
      <c r="BD110" s="20">
        <v>44.649658702582116</v>
      </c>
      <c r="BE110" s="20">
        <v>49.340229957745592</v>
      </c>
      <c r="BP110" s="20">
        <v>107</v>
      </c>
      <c r="BQ110" s="32">
        <f>[1]节奏总纲!BX110</f>
        <v>57.056278080669266</v>
      </c>
      <c r="BR110" s="32">
        <f>[1]节奏总纲!BY110</f>
        <v>57.482847825450328</v>
      </c>
      <c r="BS110" s="32">
        <f>[1]节奏总纲!BZ110</f>
        <v>57.977987660046658</v>
      </c>
      <c r="BT110" s="32">
        <f>[1]节奏总纲!CA110</f>
        <v>58.436970459928517</v>
      </c>
      <c r="BU110" s="32">
        <f>[1]节奏总纲!CB110</f>
        <v>58.970102918190015</v>
      </c>
    </row>
    <row r="111" spans="6:73" x14ac:dyDescent="0.15">
      <c r="F111" s="24">
        <f>[1]节奏总纲!F111</f>
        <v>109</v>
      </c>
      <c r="G111" s="24">
        <f>[1]节奏总纲!G111</f>
        <v>1909.8515666673818</v>
      </c>
      <c r="N111" s="24">
        <f>[1]节奏总纲!N111</f>
        <v>118</v>
      </c>
      <c r="O111" s="24">
        <f>[1]节奏总纲!O111</f>
        <v>108</v>
      </c>
      <c r="P111" s="24">
        <f>[1]节奏总纲!P111</f>
        <v>1781.8875536304624</v>
      </c>
      <c r="Q111" s="24">
        <f>[1]节奏总纲!Q111</f>
        <v>1520.8410270235997</v>
      </c>
      <c r="R111" s="24">
        <f>[1]节奏总纲!R111</f>
        <v>1218.0983316617842</v>
      </c>
      <c r="S111" s="24">
        <f>[1]节奏总纲!S111</f>
        <v>871.69939123602228</v>
      </c>
      <c r="T111" s="24">
        <f>[1]节奏总纲!T111</f>
        <v>471.13106917989433</v>
      </c>
      <c r="U111" s="23"/>
      <c r="V111" s="24">
        <f>[1]节奏总纲!V111</f>
        <v>108</v>
      </c>
      <c r="W111" s="24">
        <f>[1]节奏总纲!W111</f>
        <v>119.39464589289355</v>
      </c>
      <c r="X111" s="24">
        <f>[1]节奏总纲!X111</f>
        <v>101.90333026958456</v>
      </c>
      <c r="Y111" s="24">
        <f>[1]节奏总纲!Y111</f>
        <v>76.464451918395753</v>
      </c>
      <c r="Z111" s="24">
        <f>[1]节奏总纲!Z111</f>
        <v>55.581622827649653</v>
      </c>
      <c r="AA111" s="24">
        <f>[1]节奏总纲!AA111</f>
        <v>30.902947210986099</v>
      </c>
      <c r="AC111" s="24">
        <f>[1]节奏总纲!AC111</f>
        <v>108</v>
      </c>
      <c r="AD111" s="24">
        <f>[1]节奏总纲!AD111</f>
        <v>67.674293990826456</v>
      </c>
      <c r="AE111" s="24">
        <f>[1]节奏总纲!AE111</f>
        <v>69.735941964920613</v>
      </c>
      <c r="AF111" s="24">
        <f>[1]节奏总纲!AF111</f>
        <v>72.644573376036519</v>
      </c>
      <c r="AG111" s="24">
        <f>[1]节奏总纲!AG111</f>
        <v>77.074762810762508</v>
      </c>
      <c r="AH111" s="24">
        <f>[1]节奏总纲!AH111</f>
        <v>85.852295454880277</v>
      </c>
      <c r="AZ111" s="20">
        <v>108</v>
      </c>
      <c r="BA111" s="20">
        <v>38.53855763638969</v>
      </c>
      <c r="BB111" s="20">
        <v>40.052446592012309</v>
      </c>
      <c r="BC111" s="20">
        <v>41.992566056290244</v>
      </c>
      <c r="BD111" s="20">
        <v>44.71429731834187</v>
      </c>
      <c r="BE111" s="20">
        <v>49.402209294735208</v>
      </c>
      <c r="BP111" s="20">
        <v>108</v>
      </c>
      <c r="BQ111" s="32">
        <f>[1]节奏总纲!BX111</f>
        <v>57.514368600997656</v>
      </c>
      <c r="BR111" s="32">
        <f>[1]节奏总纲!BY111</f>
        <v>57.971573149325678</v>
      </c>
      <c r="BS111" s="32">
        <f>[1]节奏总纲!BZ111</f>
        <v>58.403392312856369</v>
      </c>
      <c r="BT111" s="32">
        <f>[1]节奏总纲!CA111</f>
        <v>58.897540390571457</v>
      </c>
      <c r="BU111" s="32">
        <f>[1]节奏总纲!CB111</f>
        <v>59.41663449571719</v>
      </c>
    </row>
    <row r="112" spans="6:73" x14ac:dyDescent="0.15">
      <c r="F112" s="24">
        <f>[1]节奏总纲!F112</f>
        <v>110</v>
      </c>
      <c r="G112" s="24">
        <f>[1]节奏总纲!G112</f>
        <v>2047</v>
      </c>
      <c r="N112" s="24">
        <f>[1]节奏总纲!N112</f>
        <v>119</v>
      </c>
      <c r="O112" s="24">
        <f>[1]节奏总纲!O112</f>
        <v>109</v>
      </c>
      <c r="P112" s="24">
        <f>[1]节奏总纲!P112</f>
        <v>1909.8515666673818</v>
      </c>
      <c r="Q112" s="24">
        <f>[1]节奏总纲!Q112</f>
        <v>1624.7107277639418</v>
      </c>
      <c r="R112" s="24">
        <f>[1]节奏总纲!R112</f>
        <v>1301.5638426838207</v>
      </c>
      <c r="S112" s="24">
        <f>[1]节奏总纲!S112</f>
        <v>931.81657937701561</v>
      </c>
      <c r="T112" s="24">
        <f>[1]节奏总纲!T112</f>
        <v>504.58278391352223</v>
      </c>
      <c r="U112" s="23"/>
      <c r="V112" s="24">
        <f>[1]节奏总纲!V112</f>
        <v>109</v>
      </c>
      <c r="W112" s="24">
        <f>[1]节奏总纲!W112</f>
        <v>127.96401303691937</v>
      </c>
      <c r="X112" s="24">
        <f>[1]节奏总纲!X112</f>
        <v>103.86970074034207</v>
      </c>
      <c r="Y112" s="24">
        <f>[1]节奏总纲!Y112</f>
        <v>83.46551102203648</v>
      </c>
      <c r="Z112" s="24">
        <f>[1]节奏总纲!Z112</f>
        <v>60.117188140993335</v>
      </c>
      <c r="AA112" s="24">
        <f>[1]节奏总纲!AA112</f>
        <v>33.451714733627909</v>
      </c>
      <c r="AC112" s="24">
        <f>[1]节奏总纲!AC112</f>
        <v>109</v>
      </c>
      <c r="AD112" s="24">
        <f>[1]节奏总纲!AD112</f>
        <v>67.80830335012682</v>
      </c>
      <c r="AE112" s="24">
        <f>[1]节奏总纲!AE112</f>
        <v>69.870029221854239</v>
      </c>
      <c r="AF112" s="24">
        <f>[1]节奏总纲!AF112</f>
        <v>72.782262218435889</v>
      </c>
      <c r="AG112" s="24">
        <f>[1]节奏总纲!AG112</f>
        <v>77.203841369133116</v>
      </c>
      <c r="AH112" s="24">
        <f>[1]节奏总纲!AH112</f>
        <v>86.007776715139968</v>
      </c>
      <c r="AZ112" s="20">
        <v>109</v>
      </c>
      <c r="BA112" s="20">
        <v>38.601188162627608</v>
      </c>
      <c r="BB112" s="20">
        <v>40.110720583137102</v>
      </c>
      <c r="BC112" s="20">
        <v>42.051439554347354</v>
      </c>
      <c r="BD112" s="20">
        <v>44.778935934101632</v>
      </c>
      <c r="BE112" s="20">
        <v>49.464188631724817</v>
      </c>
      <c r="BP112" s="20">
        <v>109</v>
      </c>
      <c r="BQ112" s="32">
        <f>[1]节奏总纲!BX112</f>
        <v>58.004611321594084</v>
      </c>
      <c r="BR112" s="32">
        <f>[1]节奏总纲!BY112</f>
        <v>58.405793781313918</v>
      </c>
      <c r="BS112" s="32">
        <f>[1]节奏总纲!BZ112</f>
        <v>58.86447642263726</v>
      </c>
      <c r="BT112" s="32">
        <f>[1]节奏总纲!CA112</f>
        <v>59.34185552053183</v>
      </c>
      <c r="BU112" s="32">
        <f>[1]节奏总纲!CB112</f>
        <v>59.895591141330719</v>
      </c>
    </row>
    <row r="113" spans="6:73" x14ac:dyDescent="0.15">
      <c r="F113" s="24">
        <f>[1]节奏总纲!F113</f>
        <v>111</v>
      </c>
      <c r="G113" s="24">
        <f>[1]节奏总纲!G113</f>
        <v>2193.9920512743265</v>
      </c>
      <c r="N113" s="24">
        <f>[1]节奏总纲!N113</f>
        <v>120</v>
      </c>
      <c r="O113" s="24">
        <f>[1]节奏总纲!O113</f>
        <v>110</v>
      </c>
      <c r="P113" s="24">
        <f>[1]节奏总纲!P113</f>
        <v>2047</v>
      </c>
      <c r="Q113" s="24">
        <f>[1]节奏总纲!Q113</f>
        <v>1741.3829000000001</v>
      </c>
      <c r="R113" s="24">
        <f>[1]节奏总纲!R113</f>
        <v>1397.2821999999999</v>
      </c>
      <c r="S113" s="24">
        <f>[1]节奏总纲!S113</f>
        <v>1001.3924000000001</v>
      </c>
      <c r="T113" s="24">
        <f>[1]节奏总纲!T113</f>
        <v>542.04559999999992</v>
      </c>
      <c r="U113" s="23"/>
      <c r="V113" s="24">
        <f>[1]节奏总纲!V113</f>
        <v>110</v>
      </c>
      <c r="W113" s="24">
        <f>[1]节奏总纲!W113</f>
        <v>137.1484333326182</v>
      </c>
      <c r="X113" s="24">
        <f>[1]节奏总纲!X113</f>
        <v>116.67217223605826</v>
      </c>
      <c r="Y113" s="24">
        <f>[1]节奏总纲!Y113</f>
        <v>95.718357316179208</v>
      </c>
      <c r="Z113" s="24">
        <f>[1]节奏总纲!Z113</f>
        <v>69.575820622984452</v>
      </c>
      <c r="AA113" s="24">
        <f>[1]节奏总纲!AA113</f>
        <v>37.462816086477687</v>
      </c>
      <c r="AC113" s="24">
        <f>[1]节奏总纲!AC113</f>
        <v>110</v>
      </c>
      <c r="AD113" s="24">
        <f>[1]节奏总纲!AD113</f>
        <v>67.942312709427185</v>
      </c>
      <c r="AE113" s="24">
        <f>[1]节奏总纲!AE113</f>
        <v>70.003807055133578</v>
      </c>
      <c r="AF113" s="24">
        <f>[1]节奏总纲!AF113</f>
        <v>72.919951060835245</v>
      </c>
      <c r="AG113" s="24">
        <f>[1]节奏总纲!AG113</f>
        <v>77.332919927503724</v>
      </c>
      <c r="AH113" s="24">
        <f>[1]节奏总纲!AH113</f>
        <v>86.154780808490045</v>
      </c>
      <c r="AZ113" s="20">
        <v>110</v>
      </c>
      <c r="BA113" s="20">
        <v>38.663818688865533</v>
      </c>
      <c r="BB113" s="20">
        <v>40.168994574261895</v>
      </c>
      <c r="BC113" s="20">
        <v>42.109294145892463</v>
      </c>
      <c r="BD113" s="20">
        <v>44.843574549861387</v>
      </c>
      <c r="BE113" s="20">
        <v>49.526167968714425</v>
      </c>
      <c r="BP113" s="20">
        <v>110</v>
      </c>
      <c r="BQ113" s="32">
        <f>[1]节奏总纲!BX113</f>
        <v>58.459196425189646</v>
      </c>
      <c r="BR113" s="32">
        <f>[1]节奏总纲!BY113</f>
        <v>58.889188215849849</v>
      </c>
      <c r="BS113" s="32">
        <f>[1]节奏总纲!BZ113</f>
        <v>59.339742830719779</v>
      </c>
      <c r="BT113" s="32">
        <f>[1]节奏总纲!CA113</f>
        <v>59.839943614471814</v>
      </c>
      <c r="BU113" s="32">
        <f>[1]节奏总纲!CB113</f>
        <v>60.373224714907948</v>
      </c>
    </row>
    <row r="114" spans="6:73" x14ac:dyDescent="0.15">
      <c r="F114" s="24">
        <f>[1]节奏总纲!F114</f>
        <v>112</v>
      </c>
      <c r="G114" s="24">
        <f>[1]节奏总纲!G114</f>
        <v>2351.5342310339256</v>
      </c>
      <c r="N114" s="24">
        <f>[1]节奏总纲!N114</f>
        <v>121</v>
      </c>
      <c r="O114" s="24">
        <f>[1]节奏总纲!O114</f>
        <v>111</v>
      </c>
      <c r="P114" s="24">
        <f>[1]节奏总纲!P114</f>
        <v>2193.9920512743265</v>
      </c>
      <c r="Q114" s="24">
        <f>[1]节奏总纲!Q114</f>
        <v>1869.0618284805987</v>
      </c>
      <c r="R114" s="24">
        <f>[1]节奏总纲!R114</f>
        <v>1500.4711638665117</v>
      </c>
      <c r="S114" s="24">
        <f>[1]节奏总纲!S114</f>
        <v>1076.5918995603122</v>
      </c>
      <c r="T114" s="24">
        <f>[1]节奏总纲!T114</f>
        <v>583.16308722871599</v>
      </c>
      <c r="U114" s="24"/>
      <c r="V114" s="24">
        <f>[1]节奏总纲!V114</f>
        <v>111</v>
      </c>
      <c r="W114" s="24">
        <f>[1]节奏总纲!W114</f>
        <v>146.99205127432651</v>
      </c>
      <c r="X114" s="24">
        <f>[1]节奏总纲!X114</f>
        <v>127.67892848059864</v>
      </c>
      <c r="Y114" s="24">
        <f>[1]节奏总纲!Y114</f>
        <v>103.18896386651181</v>
      </c>
      <c r="Z114" s="24">
        <f>[1]节奏总纲!Z114</f>
        <v>75.19949956031212</v>
      </c>
      <c r="AA114" s="24">
        <f>[1]节奏总纲!AA114</f>
        <v>41.117487228716072</v>
      </c>
      <c r="AC114" s="24">
        <f>[1]节奏总纲!AC114</f>
        <v>111</v>
      </c>
      <c r="AD114" s="24">
        <f>[1]节奏总纲!AD114</f>
        <v>68.071211008105138</v>
      </c>
      <c r="AE114" s="24">
        <f>[1]节奏总纲!AE114</f>
        <v>70.127815365673797</v>
      </c>
      <c r="AF114" s="24">
        <f>[1]节奏总纲!AF114</f>
        <v>73.051543220271398</v>
      </c>
      <c r="AG114" s="24">
        <f>[1]节奏总纲!AG114</f>
        <v>77.461998485874332</v>
      </c>
      <c r="AH114" s="24">
        <f>[1]节奏总纲!AH114</f>
        <v>86.301784901840136</v>
      </c>
      <c r="AZ114" s="20">
        <v>111</v>
      </c>
      <c r="BA114" s="20">
        <v>38.72644921510345</v>
      </c>
      <c r="BB114" s="20">
        <v>40.227268565386687</v>
      </c>
      <c r="BC114" s="20">
        <v>42.167148737437572</v>
      </c>
      <c r="BD114" s="20">
        <v>44.908213165621142</v>
      </c>
      <c r="BE114" s="20">
        <v>49.588147305704041</v>
      </c>
      <c r="BP114" s="20">
        <v>111</v>
      </c>
      <c r="BQ114" s="32">
        <f>[1]节奏总纲!BX114</f>
        <v>58.946408675687671</v>
      </c>
      <c r="BR114" s="32">
        <f>[1]节奏总纲!BY114</f>
        <v>59.361287240722291</v>
      </c>
      <c r="BS114" s="32">
        <f>[1]节奏总纲!BZ114</f>
        <v>59.832224211633438</v>
      </c>
      <c r="BT114" s="32">
        <f>[1]节奏总纲!CA114</f>
        <v>60.326839752914957</v>
      </c>
      <c r="BU114" s="32">
        <f>[1]节奏总纲!CB114</f>
        <v>60.881867647056097</v>
      </c>
    </row>
    <row r="115" spans="6:73" x14ac:dyDescent="0.15">
      <c r="F115" s="24">
        <f>[1]节奏总纲!F115</f>
        <v>113</v>
      </c>
      <c r="G115" s="24">
        <f>[1]节奏总纲!G115</f>
        <v>2520.3837585303886</v>
      </c>
      <c r="N115" s="24">
        <f>[1]节奏总纲!N115</f>
        <v>122</v>
      </c>
      <c r="O115" s="24">
        <f>[1]节奏总纲!O115</f>
        <v>112</v>
      </c>
      <c r="P115" s="24">
        <f>[1]节奏总纲!P115</f>
        <v>2351.5342310339256</v>
      </c>
      <c r="Q115" s="24">
        <f>[1]节奏总纲!Q115</f>
        <v>2004.6829319564217</v>
      </c>
      <c r="R115" s="24">
        <f>[1]节奏总纲!R115</f>
        <v>1609.3900277196187</v>
      </c>
      <c r="S115" s="24">
        <f>[1]节奏总纲!S115</f>
        <v>1155.3087677069677</v>
      </c>
      <c r="T115" s="24">
        <f>[1]节奏总纲!T115</f>
        <v>623.15657122399034</v>
      </c>
      <c r="U115" s="24"/>
      <c r="V115" s="24">
        <f>[1]节奏总纲!V115</f>
        <v>112</v>
      </c>
      <c r="W115" s="24">
        <f>[1]节奏总纲!W115</f>
        <v>157.54217975959909</v>
      </c>
      <c r="X115" s="24">
        <f>[1]节奏总纲!X115</f>
        <v>135.62110347582302</v>
      </c>
      <c r="Y115" s="24">
        <f>[1]节奏总纲!Y115</f>
        <v>108.91886385310704</v>
      </c>
      <c r="Z115" s="24">
        <f>[1]节奏总纲!Z115</f>
        <v>78.716868146655543</v>
      </c>
      <c r="AA115" s="24">
        <f>[1]节奏总纲!AA115</f>
        <v>39.993483995274346</v>
      </c>
      <c r="AC115" s="24">
        <f>[1]节奏总纲!AC115</f>
        <v>112</v>
      </c>
      <c r="AD115" s="24">
        <f>[1]节奏总纲!AD115</f>
        <v>68.196246161507091</v>
      </c>
      <c r="AE115" s="24">
        <f>[1]节奏总纲!AE115</f>
        <v>70.251823676214016</v>
      </c>
      <c r="AF115" s="24">
        <f>[1]节奏总纲!AF115</f>
        <v>73.174668450093861</v>
      </c>
      <c r="AG115" s="24">
        <f>[1]节奏总纲!AG115</f>
        <v>77.591077044244926</v>
      </c>
      <c r="AH115" s="24">
        <f>[1]节奏总纲!AH115</f>
        <v>86.448788995190213</v>
      </c>
      <c r="AZ115" s="20">
        <v>112</v>
      </c>
      <c r="BA115" s="20">
        <v>38.789079741341368</v>
      </c>
      <c r="BB115" s="20">
        <v>40.28554255651148</v>
      </c>
      <c r="BC115" s="20">
        <v>42.225003328982673</v>
      </c>
      <c r="BD115" s="20">
        <v>44.972851781380903</v>
      </c>
      <c r="BE115" s="20">
        <v>49.65012664269365</v>
      </c>
      <c r="BP115" s="20">
        <v>112</v>
      </c>
      <c r="BQ115" s="32">
        <f>[1]节奏总纲!BX115</f>
        <v>59.404833394530556</v>
      </c>
      <c r="BR115" s="32">
        <f>[1]节奏总纲!BY115</f>
        <v>59.846737906797472</v>
      </c>
      <c r="BS115" s="32">
        <f>[1]节奏总纲!BZ115</f>
        <v>60.304169527518312</v>
      </c>
      <c r="BT115" s="32">
        <f>[1]节奏总纲!CA115</f>
        <v>60.81372235837329</v>
      </c>
      <c r="BU115" s="32">
        <f>[1]节奏总纲!CB115</f>
        <v>61.325402417517608</v>
      </c>
    </row>
    <row r="116" spans="6:73" x14ac:dyDescent="0.15">
      <c r="F116" s="24">
        <f>[1]节奏总纲!F116</f>
        <v>114</v>
      </c>
      <c r="G116" s="24">
        <f>[1]节奏总纲!G116</f>
        <v>2701.3522012628878</v>
      </c>
      <c r="N116" s="24">
        <f>[1]节奏总纲!N116</f>
        <v>123</v>
      </c>
      <c r="O116" s="24">
        <f>[1]节奏总纲!O116</f>
        <v>113</v>
      </c>
      <c r="P116" s="24">
        <f>[1]节奏总纲!P116</f>
        <v>2520.3837585303886</v>
      </c>
      <c r="Q116" s="24">
        <f>[1]节奏总纲!Q116</f>
        <v>2149.6353076505684</v>
      </c>
      <c r="R116" s="24">
        <f>[1]节奏总纲!R116</f>
        <v>1726.7149129691693</v>
      </c>
      <c r="S116" s="24">
        <f>[1]节奏总纲!S116</f>
        <v>1235.7441568074496</v>
      </c>
      <c r="T116" s="24">
        <f>[1]节奏总纲!T116</f>
        <v>665.63335062787564</v>
      </c>
      <c r="U116" s="24"/>
      <c r="V116" s="24">
        <f>[1]节奏总纲!V116</f>
        <v>113</v>
      </c>
      <c r="W116" s="24">
        <f>[1]节奏总纲!W116</f>
        <v>168.849527496463</v>
      </c>
      <c r="X116" s="24">
        <f>[1]节奏总纲!X116</f>
        <v>144.95237569414667</v>
      </c>
      <c r="Y116" s="24">
        <f>[1]节奏总纲!Y116</f>
        <v>117.32488524955056</v>
      </c>
      <c r="Z116" s="24">
        <f>[1]节奏总纲!Z116</f>
        <v>80.435389100481871</v>
      </c>
      <c r="AA116" s="24">
        <f>[1]节奏总纲!AA116</f>
        <v>42.476779403885303</v>
      </c>
      <c r="AC116" s="24">
        <f>[1]节奏总纲!AC116</f>
        <v>113</v>
      </c>
      <c r="AD116" s="24">
        <f>[1]节奏总纲!AD116</f>
        <v>68.321281314909029</v>
      </c>
      <c r="AE116" s="24">
        <f>[1]节奏总纲!AE116</f>
        <v>70.375831986754235</v>
      </c>
      <c r="AF116" s="24">
        <f>[1]节奏总纲!AF116</f>
        <v>73.297793679916325</v>
      </c>
      <c r="AG116" s="24">
        <f>[1]节奏总纲!AG116</f>
        <v>77.720155602615534</v>
      </c>
      <c r="AH116" s="24">
        <f>[1]节奏总纲!AH116</f>
        <v>86.595793088540304</v>
      </c>
      <c r="AZ116" s="20">
        <v>113</v>
      </c>
      <c r="BA116" s="20">
        <v>38.851710267579293</v>
      </c>
      <c r="BB116" s="20">
        <v>40.343816547636273</v>
      </c>
      <c r="BC116" s="20">
        <v>42.282857920527782</v>
      </c>
      <c r="BD116" s="20">
        <v>45.032359480672049</v>
      </c>
      <c r="BE116" s="20">
        <v>49.712105979683258</v>
      </c>
      <c r="BP116" s="20">
        <v>113</v>
      </c>
      <c r="BQ116" s="32">
        <f>[1]节奏总纲!BX116</f>
        <v>59.888345847910635</v>
      </c>
      <c r="BR116" s="32">
        <f>[1]节奏总纲!BY116</f>
        <v>60.315865619841162</v>
      </c>
      <c r="BS116" s="32">
        <f>[1]节奏总纲!BZ116</f>
        <v>60.787957794339562</v>
      </c>
      <c r="BT116" s="32">
        <f>[1]节奏总纲!CA116</f>
        <v>61.268918714801863</v>
      </c>
      <c r="BU116" s="32">
        <f>[1]节奏总纲!CB116</f>
        <v>61.779418699074547</v>
      </c>
    </row>
    <row r="117" spans="6:73" x14ac:dyDescent="0.15">
      <c r="F117" s="24">
        <f>[1]节奏总纲!F117</f>
        <v>115</v>
      </c>
      <c r="G117" s="24">
        <f>[1]节奏总纲!G117</f>
        <v>2895.3093757400989</v>
      </c>
      <c r="N117" s="24">
        <f>[1]节奏总纲!N117</f>
        <v>124</v>
      </c>
      <c r="O117" s="24">
        <f>[1]节奏总纲!O117</f>
        <v>114</v>
      </c>
      <c r="P117" s="24">
        <f>[1]节奏总纲!P117</f>
        <v>2701.3522012628878</v>
      </c>
      <c r="Q117" s="24">
        <f>[1]节奏总纲!Q117</f>
        <v>2304.5235628973696</v>
      </c>
      <c r="R117" s="24">
        <f>[1]节奏总纲!R117</f>
        <v>1846.3742295631837</v>
      </c>
      <c r="S117" s="24">
        <f>[1]节奏总纲!S117</f>
        <v>1319.3404150967945</v>
      </c>
      <c r="T117" s="24">
        <f>[1]节奏总纲!T117</f>
        <v>710.99589937239205</v>
      </c>
      <c r="U117" s="24"/>
      <c r="V117" s="24">
        <f>[1]节奏总纲!V117</f>
        <v>114</v>
      </c>
      <c r="W117" s="24">
        <f>[1]节奏总纲!W117</f>
        <v>180.96844273249917</v>
      </c>
      <c r="X117" s="24">
        <f>[1]节奏总纲!X117</f>
        <v>154.88825524680124</v>
      </c>
      <c r="Y117" s="24">
        <f>[1]节奏总纲!Y117</f>
        <v>119.6593165940144</v>
      </c>
      <c r="Z117" s="24">
        <f>[1]节奏总纲!Z117</f>
        <v>83.59625828934486</v>
      </c>
      <c r="AA117" s="24">
        <f>[1]节奏总纲!AA117</f>
        <v>45.362548744516403</v>
      </c>
      <c r="AC117" s="24">
        <f>[1]节奏总纲!AC117</f>
        <v>114</v>
      </c>
      <c r="AD117" s="24">
        <f>[1]节奏总纲!AD117</f>
        <v>68.446316468310982</v>
      </c>
      <c r="AE117" s="24">
        <f>[1]节奏总纲!AE117</f>
        <v>70.499840297294455</v>
      </c>
      <c r="AF117" s="24">
        <f>[1]节奏总纲!AF117</f>
        <v>73.420918909738774</v>
      </c>
      <c r="AG117" s="24">
        <f>[1]节奏总纲!AG117</f>
        <v>77.849234160986143</v>
      </c>
      <c r="AH117" s="24">
        <f>[1]节奏总纲!AH117</f>
        <v>86.742797181890381</v>
      </c>
      <c r="AZ117" s="20">
        <v>114</v>
      </c>
      <c r="BA117" s="20">
        <v>38.91434079381721</v>
      </c>
      <c r="BB117" s="20">
        <v>40.402090538761065</v>
      </c>
      <c r="BC117" s="20">
        <v>42.340712512072891</v>
      </c>
      <c r="BD117" s="20">
        <v>45.088151688727308</v>
      </c>
      <c r="BE117" s="20">
        <v>49.774085316672867</v>
      </c>
      <c r="BP117" s="20">
        <v>114</v>
      </c>
      <c r="BQ117" s="32">
        <f>[1]节奏总纲!BX117</f>
        <v>60.351265141991014</v>
      </c>
      <c r="BR117" s="32">
        <f>[1]节奏总纲!BY117</f>
        <v>60.79487602158224</v>
      </c>
      <c r="BS117" s="32">
        <f>[1]节奏总纲!BZ117</f>
        <v>61.243116472404502</v>
      </c>
      <c r="BT117" s="32">
        <f>[1]节奏总纲!CA117</f>
        <v>61.715681191539097</v>
      </c>
      <c r="BU117" s="32">
        <f>[1]节奏总纲!CB117</f>
        <v>62.228360857153817</v>
      </c>
    </row>
    <row r="118" spans="6:73" x14ac:dyDescent="0.15">
      <c r="F118" s="24">
        <f>[1]节奏总纲!F118</f>
        <v>116</v>
      </c>
      <c r="G118" s="24">
        <f>[1]节奏总纲!G118</f>
        <v>3103.1875282132928</v>
      </c>
      <c r="N118" s="24">
        <f>[1]节奏总纲!N118</f>
        <v>125</v>
      </c>
      <c r="O118" s="24">
        <f>[1]节奏总纲!O118</f>
        <v>115</v>
      </c>
      <c r="P118" s="24">
        <f>[1]节奏总纲!P118</f>
        <v>2895.3093757400989</v>
      </c>
      <c r="Q118" s="24">
        <f>[1]节奏总纲!Q118</f>
        <v>2463.0396859421021</v>
      </c>
      <c r="R118" s="24">
        <f>[1]节奏总纲!R118</f>
        <v>1969.9684992535633</v>
      </c>
      <c r="S118" s="24">
        <f>[1]节奏总纲!S118</f>
        <v>1407.1203566096881</v>
      </c>
      <c r="T118" s="24">
        <f>[1]节奏总纲!T118</f>
        <v>758.86058738147995</v>
      </c>
      <c r="U118" s="24"/>
      <c r="V118" s="24">
        <f>[1]节奏总纲!V118</f>
        <v>115</v>
      </c>
      <c r="W118" s="24">
        <f>[1]节奏总纲!W118</f>
        <v>193.95717447721108</v>
      </c>
      <c r="X118" s="24">
        <f>[1]节奏总纲!X118</f>
        <v>158.51612304473247</v>
      </c>
      <c r="Y118" s="24">
        <f>[1]节奏总纲!Y118</f>
        <v>123.59426969037963</v>
      </c>
      <c r="Z118" s="24">
        <f>[1]节奏总纲!Z118</f>
        <v>87.779941512893629</v>
      </c>
      <c r="AA118" s="24">
        <f>[1]节奏总纲!AA118</f>
        <v>47.864688009087899</v>
      </c>
      <c r="AC118" s="24">
        <f>[1]节奏总纲!AC118</f>
        <v>115</v>
      </c>
      <c r="AD118" s="24">
        <f>[1]节奏总纲!AD118</f>
        <v>68.571351621712935</v>
      </c>
      <c r="AE118" s="24">
        <f>[1]节奏总纲!AE118</f>
        <v>70.623848607834674</v>
      </c>
      <c r="AF118" s="24">
        <f>[1]节奏总纲!AF118</f>
        <v>73.544044139561237</v>
      </c>
      <c r="AG118" s="24">
        <f>[1]节奏总纲!AG118</f>
        <v>77.978312719356751</v>
      </c>
      <c r="AH118" s="24">
        <f>[1]节奏总纲!AH118</f>
        <v>86.889801275240458</v>
      </c>
      <c r="AZ118" s="20">
        <v>115</v>
      </c>
      <c r="BA118" s="20">
        <v>38.976971320055128</v>
      </c>
      <c r="BB118" s="20">
        <v>40.460364529885858</v>
      </c>
      <c r="BC118" s="20">
        <v>42.398567103617999</v>
      </c>
      <c r="BD118" s="20">
        <v>45.143943896782567</v>
      </c>
      <c r="BE118" s="20">
        <v>49.836064653662483</v>
      </c>
      <c r="BP118" s="20">
        <v>115</v>
      </c>
      <c r="BQ118" s="32">
        <f>[1]节奏总纲!BX118</f>
        <v>60.831133697131506</v>
      </c>
      <c r="BR118" s="32">
        <f>[1]节奏总纲!BY118</f>
        <v>61.24634276522368</v>
      </c>
      <c r="BS118" s="32">
        <f>[1]节奏总纲!BZ118</f>
        <v>61.683465384084933</v>
      </c>
      <c r="BT118" s="32">
        <f>[1]节奏总纲!CA118</f>
        <v>62.159685532497839</v>
      </c>
      <c r="BU118" s="32">
        <f>[1]节奏总纲!CB118</f>
        <v>62.670432709865914</v>
      </c>
    </row>
    <row r="119" spans="6:73" x14ac:dyDescent="0.15">
      <c r="F119" s="24">
        <f>[1]节奏总纲!F119</f>
        <v>117</v>
      </c>
      <c r="G119" s="24">
        <f>[1]节奏总纲!G119</f>
        <v>3325.985815475135</v>
      </c>
      <c r="N119" s="24">
        <f>[1]节奏总纲!N119</f>
        <v>126</v>
      </c>
      <c r="O119" s="24">
        <f>[1]节奏总纲!O119</f>
        <v>116</v>
      </c>
      <c r="P119" s="24">
        <f>[1]节奏总纲!P119</f>
        <v>3103.1875282132928</v>
      </c>
      <c r="Q119" s="24">
        <f>[1]节奏总纲!Q119</f>
        <v>2636.7784427228348</v>
      </c>
      <c r="R119" s="24">
        <f>[1]节奏总纲!R119</f>
        <v>2108.9262441737537</v>
      </c>
      <c r="S119" s="24">
        <f>[1]节奏总纲!S119</f>
        <v>1509.0800949701243</v>
      </c>
      <c r="T119" s="24">
        <f>[1]节奏总纲!T119</f>
        <v>813.34545114470404</v>
      </c>
      <c r="U119" s="24"/>
      <c r="V119" s="24">
        <f>[1]节奏总纲!V119</f>
        <v>116</v>
      </c>
      <c r="W119" s="24">
        <f>[1]节奏总纲!W119</f>
        <v>207.87815247319395</v>
      </c>
      <c r="X119" s="24">
        <f>[1]节奏总纲!X119</f>
        <v>173.73875678073273</v>
      </c>
      <c r="Y119" s="24">
        <f>[1]节奏总纲!Y119</f>
        <v>138.95774492019041</v>
      </c>
      <c r="Z119" s="24">
        <f>[1]节奏总纲!Z119</f>
        <v>101.95973836043618</v>
      </c>
      <c r="AA119" s="24">
        <f>[1]节奏总纲!AA119</f>
        <v>54.484863763224098</v>
      </c>
      <c r="AC119" s="24">
        <f>[1]节奏总纲!AC119</f>
        <v>116</v>
      </c>
      <c r="AD119" s="24">
        <f>[1]节奏总纲!AD119</f>
        <v>68.696386775114874</v>
      </c>
      <c r="AE119" s="24">
        <f>[1]节奏总纲!AE119</f>
        <v>70.747856918374893</v>
      </c>
      <c r="AF119" s="24">
        <f>[1]节奏总纲!AF119</f>
        <v>73.667169369383686</v>
      </c>
      <c r="AG119" s="24">
        <f>[1]节奏总纲!AG119</f>
        <v>78.10469841238104</v>
      </c>
      <c r="AH119" s="24">
        <f>[1]节奏总纲!AH119</f>
        <v>87.033659382136349</v>
      </c>
      <c r="AZ119" s="20">
        <v>116</v>
      </c>
      <c r="BA119" s="20">
        <v>39.034165367506482</v>
      </c>
      <c r="BB119" s="20">
        <v>40.518638521010644</v>
      </c>
      <c r="BC119" s="20">
        <v>42.456421695163108</v>
      </c>
      <c r="BD119" s="20">
        <v>45.199736104837825</v>
      </c>
      <c r="BE119" s="20">
        <v>49.898043990652091</v>
      </c>
      <c r="BP119" s="20">
        <v>116</v>
      </c>
      <c r="BQ119" s="32">
        <f>[1]节奏总纲!BX119</f>
        <v>61.298477193800437</v>
      </c>
      <c r="BR119" s="32">
        <f>[1]节奏总纲!BY119</f>
        <v>61.71059773831081</v>
      </c>
      <c r="BS119" s="32">
        <f>[1]节奏总纲!BZ119</f>
        <v>62.154284734329579</v>
      </c>
      <c r="BT119" s="32">
        <f>[1]节奏总纲!CA119</f>
        <v>62.630528781601228</v>
      </c>
      <c r="BU119" s="32">
        <f>[1]节奏总纲!CB119</f>
        <v>63.150055056035825</v>
      </c>
    </row>
    <row r="120" spans="6:73" x14ac:dyDescent="0.15">
      <c r="F120" s="24">
        <f>[1]节奏总纲!F120</f>
        <v>118</v>
      </c>
      <c r="G120" s="24">
        <f>[1]节奏总纲!G120</f>
        <v>3564.7751072609281</v>
      </c>
      <c r="N120" s="24">
        <f>[1]节奏总纲!N120</f>
        <v>127</v>
      </c>
      <c r="O120" s="24">
        <f>[1]节奏总纲!O120</f>
        <v>117</v>
      </c>
      <c r="P120" s="24">
        <f>[1]节奏总纲!P120</f>
        <v>3325.985815475135</v>
      </c>
      <c r="Q120" s="24">
        <f>[1]节奏总纲!Q120</f>
        <v>2826.7553445723174</v>
      </c>
      <c r="R120" s="24">
        <f>[1]节奏总纲!R120</f>
        <v>2262.6681502677343</v>
      </c>
      <c r="S120" s="24">
        <f>[1]节奏总纲!S120</f>
        <v>1618.0920992286531</v>
      </c>
      <c r="T120" s="24">
        <f>[1]节奏总纲!T120</f>
        <v>873.07127656222303</v>
      </c>
      <c r="U120" s="24"/>
      <c r="V120" s="24">
        <f>[1]节奏总纲!V120</f>
        <v>117</v>
      </c>
      <c r="W120" s="24">
        <f>[1]节奏总纲!W120</f>
        <v>222.79828726184223</v>
      </c>
      <c r="X120" s="24">
        <f>[1]节奏总纲!X120</f>
        <v>189.9769018494826</v>
      </c>
      <c r="Y120" s="24">
        <f>[1]节奏总纲!Y120</f>
        <v>153.74190609398056</v>
      </c>
      <c r="Z120" s="24">
        <f>[1]节奏总纲!Z120</f>
        <v>109.0120042585288</v>
      </c>
      <c r="AA120" s="24">
        <f>[1]节奏总纲!AA120</f>
        <v>59.72582541751899</v>
      </c>
      <c r="AC120" s="24">
        <f>[1]节奏总纲!AC120</f>
        <v>117</v>
      </c>
      <c r="AD120" s="24">
        <f>[1]节奏总纲!AD120</f>
        <v>68.821421928516827</v>
      </c>
      <c r="AE120" s="24">
        <f>[1]节奏总纲!AE120</f>
        <v>70.871865228915112</v>
      </c>
      <c r="AF120" s="24">
        <f>[1]节奏总纲!AF120</f>
        <v>73.790294599206149</v>
      </c>
      <c r="AG120" s="24">
        <f>[1]节奏总纲!AG120</f>
        <v>78.230540290975199</v>
      </c>
      <c r="AH120" s="24">
        <f>[1]节奏总纲!AH120</f>
        <v>87.168098110592624</v>
      </c>
      <c r="AZ120" s="20">
        <v>117</v>
      </c>
      <c r="BA120" s="20">
        <v>39.088198074219406</v>
      </c>
      <c r="BB120" s="20">
        <v>40.576912512135436</v>
      </c>
      <c r="BC120" s="20">
        <v>42.51427628670821</v>
      </c>
      <c r="BD120" s="20">
        <v>45.255528312893091</v>
      </c>
      <c r="BE120" s="20">
        <v>49.9600233276417</v>
      </c>
      <c r="BP120" s="20">
        <v>117</v>
      </c>
      <c r="BQ120" s="32">
        <f>[1]节奏总纲!BX120</f>
        <v>61.774756475513705</v>
      </c>
      <c r="BR120" s="32">
        <f>[1]节奏总纲!BY120</f>
        <v>62.188581397582936</v>
      </c>
      <c r="BS120" s="32">
        <f>[1]节奏总纲!BZ120</f>
        <v>62.627597957455222</v>
      </c>
      <c r="BT120" s="32">
        <f>[1]节奏总纲!CA120</f>
        <v>63.115741365011118</v>
      </c>
      <c r="BU120" s="32">
        <f>[1]节奏总纲!CB120</f>
        <v>63.626729194306485</v>
      </c>
    </row>
    <row r="121" spans="6:73" x14ac:dyDescent="0.15">
      <c r="F121" s="24">
        <f>[1]节奏总纲!F121</f>
        <v>119</v>
      </c>
      <c r="G121" s="24">
        <f>[1]节奏总纲!G121</f>
        <v>3820.7031333347636</v>
      </c>
      <c r="N121" s="24">
        <f>[1]节奏总纲!N121</f>
        <v>128</v>
      </c>
      <c r="O121" s="24">
        <f>[1]节奏总纲!O121</f>
        <v>118</v>
      </c>
      <c r="P121" s="24">
        <f>[1]节奏总纲!P121</f>
        <v>3564.7751072609281</v>
      </c>
      <c r="Q121" s="24">
        <f>[1]节奏总纲!Q121</f>
        <v>3030.4153186825147</v>
      </c>
      <c r="R121" s="24">
        <f>[1]节奏总纲!R121</f>
        <v>2426.1859380017877</v>
      </c>
      <c r="S121" s="24">
        <f>[1]节奏总纲!S121</f>
        <v>1737.4713872789764</v>
      </c>
      <c r="T121" s="24">
        <f>[1]节奏总纲!T121</f>
        <v>936.10994316671975</v>
      </c>
      <c r="U121" s="24"/>
      <c r="V121" s="24">
        <f>[1]节奏总纲!V121</f>
        <v>118</v>
      </c>
      <c r="W121" s="24">
        <f>[1]节奏总纲!W121</f>
        <v>238.78929178579301</v>
      </c>
      <c r="X121" s="24">
        <f>[1]节奏总纲!X121</f>
        <v>203.65997411019725</v>
      </c>
      <c r="Y121" s="24">
        <f>[1]节奏总纲!Y121</f>
        <v>163.5177877340534</v>
      </c>
      <c r="Z121" s="24">
        <f>[1]节奏总纲!Z121</f>
        <v>119.37928805032334</v>
      </c>
      <c r="AA121" s="24">
        <f>[1]节奏总纲!AA121</f>
        <v>63.038666604496711</v>
      </c>
      <c r="AC121" s="24">
        <f>[1]节奏总纲!AC121</f>
        <v>118</v>
      </c>
      <c r="AD121" s="24">
        <f>[1]节奏总纲!AD121</f>
        <v>68.946457081918766</v>
      </c>
      <c r="AE121" s="24">
        <f>[1]节奏总纲!AE121</f>
        <v>70.995873539455332</v>
      </c>
      <c r="AF121" s="24">
        <f>[1]节奏总纲!AF121</f>
        <v>73.913419829028598</v>
      </c>
      <c r="AG121" s="24">
        <f>[1]节奏总纲!AG121</f>
        <v>78.356382169569343</v>
      </c>
      <c r="AH121" s="24">
        <f>[1]节奏总纲!AH121</f>
        <v>87.302536839048898</v>
      </c>
      <c r="AZ121" s="20">
        <v>118</v>
      </c>
      <c r="BA121" s="20">
        <v>39.14223078093233</v>
      </c>
      <c r="BB121" s="20">
        <v>40.635186503260229</v>
      </c>
      <c r="BC121" s="20">
        <v>42.572130878253319</v>
      </c>
      <c r="BD121" s="20">
        <v>45.31132052094835</v>
      </c>
      <c r="BE121" s="20">
        <v>50</v>
      </c>
      <c r="BP121" s="20">
        <v>118</v>
      </c>
      <c r="BQ121" s="32">
        <f>[1]节奏总纲!BX121</f>
        <v>62.246455046493132</v>
      </c>
      <c r="BR121" s="32">
        <f>[1]节奏总纲!BY121</f>
        <v>62.6588254638406</v>
      </c>
      <c r="BS121" s="32">
        <f>[1]节奏总纲!BZ121</f>
        <v>63.11320815441082</v>
      </c>
      <c r="BT121" s="32">
        <f>[1]节奏总纲!CA121</f>
        <v>63.592126738180539</v>
      </c>
      <c r="BU121" s="32">
        <f>[1]节奏总纲!CB121</f>
        <v>64.112208257096498</v>
      </c>
    </row>
    <row r="122" spans="6:73" x14ac:dyDescent="0.15">
      <c r="F122" s="24">
        <f>[1]节奏总纲!F122</f>
        <v>120</v>
      </c>
      <c r="G122" s="24">
        <f>[1]节奏总纲!G122</f>
        <v>4095</v>
      </c>
      <c r="N122" s="24">
        <f>[1]节奏总纲!N122</f>
        <v>129</v>
      </c>
      <c r="O122" s="24">
        <f>[1]节奏总纲!O122</f>
        <v>119</v>
      </c>
      <c r="P122" s="24">
        <f>[1]节奏总纲!P122</f>
        <v>3820.7031333347636</v>
      </c>
      <c r="Q122" s="24">
        <f>[1]节奏总纲!Q122</f>
        <v>3250.2721555278836</v>
      </c>
      <c r="R122" s="24">
        <f>[1]节奏总纲!R122</f>
        <v>2604.5733259943081</v>
      </c>
      <c r="S122" s="24">
        <f>[1]节奏总纲!S122</f>
        <v>1863.3569181273642</v>
      </c>
      <c r="T122" s="24">
        <f>[1]节奏总纲!T122</f>
        <v>1000.260080307041</v>
      </c>
      <c r="U122" s="24"/>
      <c r="V122" s="24">
        <f>[1]节奏总纲!V122</f>
        <v>119</v>
      </c>
      <c r="W122" s="24">
        <f>[1]节奏总纲!W122</f>
        <v>255.92802607383555</v>
      </c>
      <c r="X122" s="24">
        <f>[1]节奏总纲!X122</f>
        <v>219.85683684536889</v>
      </c>
      <c r="Y122" s="24">
        <f>[1]节奏总纲!Y122</f>
        <v>178.38738799252042</v>
      </c>
      <c r="Z122" s="24">
        <f>[1]节奏总纲!Z122</f>
        <v>125.88553084838782</v>
      </c>
      <c r="AA122" s="24">
        <f>[1]节奏总纲!AA122</f>
        <v>64.150137140321249</v>
      </c>
      <c r="AC122" s="24">
        <f>[1]节奏总纲!AC122</f>
        <v>119</v>
      </c>
      <c r="AD122" s="24">
        <f>[1]节奏总纲!AD122</f>
        <v>69.066704614192943</v>
      </c>
      <c r="AE122" s="24">
        <f>[1]节奏总纲!AE122</f>
        <v>71.113087458015798</v>
      </c>
      <c r="AF122" s="24">
        <f>[1]节奏总纲!AF122</f>
        <v>74.034200876118248</v>
      </c>
      <c r="AG122" s="24">
        <f>[1]节奏总纲!AG122</f>
        <v>78.482224048163502</v>
      </c>
      <c r="AH122" s="24">
        <f>[1]节奏总纲!AH122</f>
        <v>87.436975567505186</v>
      </c>
      <c r="AZ122" s="20">
        <v>119</v>
      </c>
      <c r="BA122" s="20">
        <v>39.196263487645254</v>
      </c>
      <c r="BB122" s="20">
        <v>40.693460494385022</v>
      </c>
      <c r="BC122" s="20">
        <v>42.629985469798427</v>
      </c>
      <c r="BD122" s="20">
        <v>45.367112729003608</v>
      </c>
      <c r="BE122" s="20">
        <v>50</v>
      </c>
      <c r="BP122" s="20">
        <v>119</v>
      </c>
      <c r="BQ122" s="32">
        <f>[1]节奏总纲!BX122</f>
        <v>62.719198446077925</v>
      </c>
      <c r="BR122" s="32">
        <f>[1]节奏总纲!BY122</f>
        <v>63.143850498495951</v>
      </c>
      <c r="BS122" s="32">
        <f>[1]节奏总纲!BZ122</f>
        <v>63.587780384292174</v>
      </c>
      <c r="BT122" s="32">
        <f>[1]节奏总纲!CA122</f>
        <v>64.081643983802394</v>
      </c>
      <c r="BU122" s="32">
        <f>[1]节奏总纲!CB122</f>
        <v>64.554656492906943</v>
      </c>
    </row>
    <row r="123" spans="6:73" x14ac:dyDescent="0.15">
      <c r="F123" s="24">
        <f>[1]节奏总纲!F123</f>
        <v>121</v>
      </c>
      <c r="G123" s="24">
        <f>[1]节奏总纲!G123</f>
        <v>4388.9841025486576</v>
      </c>
      <c r="N123" s="24">
        <f>[1]节奏总纲!N123</f>
        <v>130</v>
      </c>
      <c r="O123" s="24">
        <f>[1]节奏总纲!O123</f>
        <v>120</v>
      </c>
      <c r="P123" s="24">
        <f>[1]节奏总纲!P123</f>
        <v>4095</v>
      </c>
      <c r="Q123" s="24">
        <f>[1]节奏总纲!Q123</f>
        <v>3486.0735</v>
      </c>
      <c r="R123" s="24">
        <f>[1]节奏总纲!R123</f>
        <v>2791.971</v>
      </c>
      <c r="S123" s="24">
        <f>[1]节奏总纲!S123</f>
        <v>1988.5319999999999</v>
      </c>
      <c r="T123" s="24">
        <f>[1]节奏总纲!T123</f>
        <v>1067.9759999999999</v>
      </c>
      <c r="U123" s="24"/>
      <c r="V123" s="24">
        <f>[1]节奏总纲!V123</f>
        <v>120</v>
      </c>
      <c r="W123" s="24">
        <f>[1]节奏总纲!W123</f>
        <v>274.29686666523639</v>
      </c>
      <c r="X123" s="24">
        <f>[1]节奏总纲!X123</f>
        <v>235.8013444721164</v>
      </c>
      <c r="Y123" s="24">
        <f>[1]节奏总纲!Y123</f>
        <v>187.3976740056919</v>
      </c>
      <c r="Z123" s="24">
        <f>[1]节奏总纲!Z123</f>
        <v>125.1750818726357</v>
      </c>
      <c r="AA123" s="24">
        <f>[1]节奏总纲!AA123</f>
        <v>67.715919692958892</v>
      </c>
      <c r="AC123" s="24">
        <f>[1]节奏总纲!AC123</f>
        <v>120</v>
      </c>
      <c r="AD123" s="24">
        <f>[1]节奏总纲!AD123</f>
        <v>69.18336653741882</v>
      </c>
      <c r="AE123" s="24">
        <f>[1]节奏总纲!AE123</f>
        <v>71.230067506391322</v>
      </c>
      <c r="AF123" s="24">
        <f>[1]节奏总纲!AF123</f>
        <v>74.149428238300118</v>
      </c>
      <c r="AG123" s="24">
        <f>[1]节奏总纲!AG123</f>
        <v>78.608065926757661</v>
      </c>
      <c r="AH123" s="24">
        <f>[1]节奏总纲!AH123</f>
        <v>87.571414295961461</v>
      </c>
      <c r="AZ123" s="20">
        <v>120</v>
      </c>
      <c r="BA123" s="20">
        <v>39.250296194358178</v>
      </c>
      <c r="BB123" s="20">
        <v>40.751734485509814</v>
      </c>
      <c r="BC123" s="20">
        <v>42.687840061343536</v>
      </c>
      <c r="BD123" s="20">
        <v>45.422904937058867</v>
      </c>
      <c r="BE123" s="20">
        <v>50</v>
      </c>
      <c r="BP123" s="20">
        <v>120</v>
      </c>
      <c r="BQ123" s="32">
        <f>[1]节奏总纲!BX123</f>
        <v>63.195184230627639</v>
      </c>
      <c r="BR123" s="32">
        <f>[1]节奏总纲!BY123</f>
        <v>63.614335426471264</v>
      </c>
      <c r="BS123" s="32">
        <f>[1]节奏总纲!BZ123</f>
        <v>64.074598905166155</v>
      </c>
      <c r="BT123" s="32">
        <f>[1]节奏总纲!CA123</f>
        <v>64.513314878136029</v>
      </c>
      <c r="BU123" s="32">
        <f>[1]节奏总纲!CB123</f>
        <v>65.018752205023816</v>
      </c>
    </row>
    <row r="124" spans="6:73" x14ac:dyDescent="0.15">
      <c r="F124" s="24">
        <f>[1]节奏总纲!F124</f>
        <v>122</v>
      </c>
      <c r="G124" s="24">
        <f>[1]节奏总纲!G124</f>
        <v>4704.0684620678521</v>
      </c>
      <c r="N124" s="24">
        <f>[1]节奏总纲!N124</f>
        <v>131</v>
      </c>
      <c r="O124" s="24">
        <f>[1]节奏总纲!O124</f>
        <v>121</v>
      </c>
      <c r="P124" s="24">
        <f>[1]节奏总纲!P124</f>
        <v>4388.9841025486576</v>
      </c>
      <c r="Q124" s="24">
        <f>[1]节奏总纲!Q124</f>
        <v>3731.5142839868686</v>
      </c>
      <c r="R124" s="24">
        <f>[1]节奏总纲!R124</f>
        <v>2978.8035103997736</v>
      </c>
      <c r="S124" s="24">
        <f>[1]节奏总纲!S124</f>
        <v>2122.0738135822758</v>
      </c>
      <c r="T124" s="24">
        <f>[1]节奏总纲!T124</f>
        <v>1143.3303587139253</v>
      </c>
      <c r="U124" s="24"/>
      <c r="V124" s="24">
        <f>[1]节奏总纲!V124</f>
        <v>121</v>
      </c>
      <c r="W124" s="24">
        <f>[1]节奏总纲!W124</f>
        <v>293.98410254865757</v>
      </c>
      <c r="X124" s="24">
        <f>[1]节奏总纲!X124</f>
        <v>245.44078398686861</v>
      </c>
      <c r="Y124" s="24">
        <f>[1]节奏总纲!Y124</f>
        <v>186.83251039977358</v>
      </c>
      <c r="Z124" s="24">
        <f>[1]节奏总纲!Z124</f>
        <v>133.54181358227584</v>
      </c>
      <c r="AA124" s="24">
        <f>[1]节奏总纲!AA124</f>
        <v>75.354358713925421</v>
      </c>
      <c r="AC124" s="24">
        <f>[1]节奏总纲!AC124</f>
        <v>121</v>
      </c>
      <c r="AD124" s="24">
        <f>[1]节奏总纲!AD124</f>
        <v>69.300028460644711</v>
      </c>
      <c r="AE124" s="24">
        <f>[1]节奏总纲!AE124</f>
        <v>71.347047554766846</v>
      </c>
      <c r="AF124" s="24">
        <f>[1]节奏总纲!AF124</f>
        <v>74.264655600481987</v>
      </c>
      <c r="AG124" s="24">
        <f>[1]节奏总纲!AG124</f>
        <v>78.733907805351805</v>
      </c>
      <c r="AH124" s="24">
        <f>[1]节奏总纲!AH124</f>
        <v>87.705853024417735</v>
      </c>
      <c r="AZ124" s="20">
        <v>121</v>
      </c>
      <c r="BA124" s="20">
        <v>39.304328901071102</v>
      </c>
      <c r="BB124" s="20">
        <v>40.810008476634607</v>
      </c>
      <c r="BC124" s="20">
        <v>42.745694652888645</v>
      </c>
      <c r="BD124" s="20">
        <v>45.478697145114126</v>
      </c>
      <c r="BE124" s="20">
        <v>50</v>
      </c>
      <c r="BP124" s="20">
        <v>121</v>
      </c>
      <c r="BQ124" s="32">
        <f>[1]节奏总纲!BX124</f>
        <v>63.664443944555515</v>
      </c>
      <c r="BR124" s="32">
        <f>[1]节奏总纲!BY124</f>
        <v>64.08992124447893</v>
      </c>
      <c r="BS124" s="32">
        <f>[1]节奏总纲!BZ124</f>
        <v>64.504131448162894</v>
      </c>
      <c r="BT124" s="32">
        <f>[1]节奏总纲!CA124</f>
        <v>64.973838755872734</v>
      </c>
      <c r="BU124" s="32">
        <f>[1]节奏总纲!CB124</f>
        <v>65.467913166257659</v>
      </c>
    </row>
    <row r="125" spans="6:73" x14ac:dyDescent="0.15">
      <c r="F125" s="24">
        <f>[1]节奏总纲!F125</f>
        <v>123</v>
      </c>
      <c r="G125" s="24">
        <f>[1]节奏总纲!G125</f>
        <v>5041.7675170607781</v>
      </c>
      <c r="N125" s="24">
        <f>[1]节奏总纲!N125</f>
        <v>132</v>
      </c>
      <c r="O125" s="24">
        <f>[1]节奏总纲!O125</f>
        <v>122</v>
      </c>
      <c r="P125" s="24">
        <f>[1]节奏总纲!P125</f>
        <v>4704.0684620678521</v>
      </c>
      <c r="Q125" s="24">
        <f>[1]节奏总纲!Q125</f>
        <v>3989.5204626797454</v>
      </c>
      <c r="R125" s="24">
        <f>[1]节奏总纲!R125</f>
        <v>3183.7135351275219</v>
      </c>
      <c r="S125" s="24">
        <f>[1]节奏总纲!S125</f>
        <v>2271.1242534863591</v>
      </c>
      <c r="T125" s="24">
        <f>[1]节奏总纲!T125</f>
        <v>1223.9986138300551</v>
      </c>
      <c r="U125" s="24"/>
      <c r="V125" s="24">
        <f>[1]节奏总纲!V125</f>
        <v>122</v>
      </c>
      <c r="W125" s="24">
        <f>[1]节奏总纲!W125</f>
        <v>315.08435951919455</v>
      </c>
      <c r="X125" s="24">
        <f>[1]节奏总纲!X125</f>
        <v>258.0061786928768</v>
      </c>
      <c r="Y125" s="24">
        <f>[1]节奏总纲!Y125</f>
        <v>204.91002472774835</v>
      </c>
      <c r="Z125" s="24">
        <f>[1]节奏总纲!Z125</f>
        <v>149.05043990408331</v>
      </c>
      <c r="AA125" s="24">
        <f>[1]节奏总纲!AA125</f>
        <v>80.668255116129785</v>
      </c>
      <c r="AC125" s="24">
        <f>[1]节奏总纲!AC125</f>
        <v>122</v>
      </c>
      <c r="AD125" s="24">
        <f>[1]节奏总纲!AD125</f>
        <v>69.416690383870588</v>
      </c>
      <c r="AE125" s="24">
        <f>[1]节奏总纲!AE125</f>
        <v>71.46402760314237</v>
      </c>
      <c r="AF125" s="24">
        <f>[1]节奏总纲!AF125</f>
        <v>74.379882962663856</v>
      </c>
      <c r="AG125" s="24">
        <f>[1]节奏总纲!AG125</f>
        <v>78.859749683945964</v>
      </c>
      <c r="AH125" s="24">
        <f>[1]节奏总纲!AH125</f>
        <v>87.840291752874009</v>
      </c>
      <c r="AZ125" s="20">
        <v>122</v>
      </c>
      <c r="BA125" s="20">
        <v>39.358361607784026</v>
      </c>
      <c r="BB125" s="20">
        <v>40.8682824677594</v>
      </c>
      <c r="BC125" s="20">
        <v>42.803549244433754</v>
      </c>
      <c r="BD125" s="20">
        <v>45.534489353169384</v>
      </c>
      <c r="BE125" s="20">
        <v>50</v>
      </c>
      <c r="BP125" s="20">
        <v>122</v>
      </c>
      <c r="BQ125" s="32">
        <f>[1]节奏总纲!BX125</f>
        <v>64.144650363204718</v>
      </c>
      <c r="BR125" s="32">
        <f>[1]节奏总纲!BY125</f>
        <v>64.534793164008732</v>
      </c>
      <c r="BS125" s="32">
        <f>[1]节奏总纲!BZ125</f>
        <v>64.975224641839446</v>
      </c>
      <c r="BT125" s="32">
        <f>[1]节奏总纲!CA125</f>
        <v>65.421609454055499</v>
      </c>
      <c r="BU125" s="32">
        <f>[1]节奏总纲!CB125</f>
        <v>65.948748404290441</v>
      </c>
    </row>
    <row r="126" spans="6:73" x14ac:dyDescent="0.15">
      <c r="F126" s="24">
        <f>[1]节奏总纲!F126</f>
        <v>124</v>
      </c>
      <c r="G126" s="24">
        <f>[1]节奏总纲!G126</f>
        <v>5403.704402525771</v>
      </c>
      <c r="N126" s="24">
        <f>[1]节奏总纲!N126</f>
        <v>133</v>
      </c>
      <c r="O126" s="24">
        <f>[1]节奏总纲!O126</f>
        <v>123</v>
      </c>
      <c r="P126" s="24">
        <f>[1]节奏总纲!P126</f>
        <v>5041.7675170607781</v>
      </c>
      <c r="Q126" s="24">
        <f>[1]节奏总纲!Q126</f>
        <v>4275.9230312192458</v>
      </c>
      <c r="R126" s="24">
        <f>[1]节奏总纲!R126</f>
        <v>3419.8309068223257</v>
      </c>
      <c r="S126" s="24">
        <f>[1]节奏总纲!S126</f>
        <v>2442.7363620159467</v>
      </c>
      <c r="T126" s="24">
        <f>[1]节奏总纲!T126</f>
        <v>1316.4054987045693</v>
      </c>
      <c r="U126" s="24"/>
      <c r="V126" s="24">
        <f>[1]节奏总纲!V126</f>
        <v>123</v>
      </c>
      <c r="W126" s="24">
        <f>[1]节奏总纲!W126</f>
        <v>337.69905499292599</v>
      </c>
      <c r="X126" s="24">
        <f>[1]节奏总纲!X126</f>
        <v>286.40256853950041</v>
      </c>
      <c r="Y126" s="24">
        <f>[1]节奏总纲!Y126</f>
        <v>236.11737169480375</v>
      </c>
      <c r="Z126" s="24">
        <f>[1]节奏总纲!Z126</f>
        <v>171.61210852958766</v>
      </c>
      <c r="AA126" s="24">
        <f>[1]节奏总纲!AA126</f>
        <v>92.406884874514162</v>
      </c>
      <c r="AC126" s="24">
        <f>[1]节奏总纲!AC126</f>
        <v>123</v>
      </c>
      <c r="AD126" s="24">
        <f>[1]节奏总纲!AD126</f>
        <v>69.533352307096465</v>
      </c>
      <c r="AE126" s="24">
        <f>[1]节奏总纲!AE126</f>
        <v>71.581007651517908</v>
      </c>
      <c r="AF126" s="24">
        <f>[1]节奏总纲!AF126</f>
        <v>74.495110324845726</v>
      </c>
      <c r="AG126" s="24">
        <f>[1]节奏总纲!AG126</f>
        <v>78.985591562540122</v>
      </c>
      <c r="AH126" s="24">
        <f>[1]节奏总纲!AH126</f>
        <v>87.974730481330297</v>
      </c>
      <c r="AZ126" s="20">
        <v>123</v>
      </c>
      <c r="BA126" s="20">
        <v>39.41239431449695</v>
      </c>
      <c r="BB126" s="20">
        <v>40.926556458884193</v>
      </c>
      <c r="BC126" s="20">
        <v>42.861403835978855</v>
      </c>
      <c r="BD126" s="20">
        <v>45.590281561224643</v>
      </c>
      <c r="BE126" s="20">
        <v>50</v>
      </c>
      <c r="BP126" s="20">
        <v>123</v>
      </c>
      <c r="BQ126" s="32">
        <f>[1]节奏总纲!BX126</f>
        <v>64.610477430073331</v>
      </c>
      <c r="BR126" s="32">
        <f>[1]节奏总纲!BY126</f>
        <v>65.024741214672602</v>
      </c>
      <c r="BS126" s="32">
        <f>[1]节奏总纲!BZ126</f>
        <v>65.447726095039712</v>
      </c>
      <c r="BT126" s="32">
        <f>[1]节奏总纲!CA126</f>
        <v>65.933069314785968</v>
      </c>
      <c r="BU126" s="32">
        <f>[1]节奏总纲!CB126</f>
        <v>66.431751354934946</v>
      </c>
    </row>
    <row r="127" spans="6:73" x14ac:dyDescent="0.15">
      <c r="F127" s="24">
        <f>[1]节奏总纲!F127</f>
        <v>125</v>
      </c>
      <c r="G127" s="24">
        <f>[1]节奏总纲!G127</f>
        <v>5791.6187514801986</v>
      </c>
      <c r="N127" s="24">
        <f>[1]节奏总纲!N127</f>
        <v>134</v>
      </c>
      <c r="O127" s="24">
        <f>[1]节奏总纲!O127</f>
        <v>124</v>
      </c>
      <c r="P127" s="24">
        <f>[1]节奏总纲!P127</f>
        <v>5403.704402525771</v>
      </c>
      <c r="Q127" s="24">
        <f>[1]节奏总纲!Q127</f>
        <v>4591.5276308261473</v>
      </c>
      <c r="R127" s="24">
        <f>[1]节奏总纲!R127</f>
        <v>3671.276771076009</v>
      </c>
      <c r="S127" s="24">
        <f>[1]节奏总纲!S127</f>
        <v>2624.0388578665143</v>
      </c>
      <c r="T127" s="24">
        <f>[1]节奏总纲!T127</f>
        <v>1415.7705534617521</v>
      </c>
      <c r="U127" s="24"/>
      <c r="V127" s="24">
        <f>[1]节奏总纲!V127</f>
        <v>124</v>
      </c>
      <c r="W127" s="24">
        <f>[1]节奏总纲!W127</f>
        <v>361.93688546499288</v>
      </c>
      <c r="X127" s="24">
        <f>[1]节奏总纲!X127</f>
        <v>315.6045996069015</v>
      </c>
      <c r="Y127" s="24">
        <f>[1]节奏总纲!Y127</f>
        <v>251.44586425368334</v>
      </c>
      <c r="Z127" s="24">
        <f>[1]节奏总纲!Z127</f>
        <v>181.30249585056754</v>
      </c>
      <c r="AA127" s="24">
        <f>[1]节奏总纲!AA127</f>
        <v>99.365054757182861</v>
      </c>
      <c r="AC127" s="24">
        <f>[1]节奏总纲!AC127</f>
        <v>124</v>
      </c>
      <c r="AD127" s="24">
        <f>[1]节奏总纲!AD127</f>
        <v>69.650014230322356</v>
      </c>
      <c r="AE127" s="24">
        <f>[1]节奏总纲!AE127</f>
        <v>71.697987699893432</v>
      </c>
      <c r="AF127" s="24">
        <f>[1]节奏总纲!AF127</f>
        <v>74.610337687027609</v>
      </c>
      <c r="AG127" s="24">
        <f>[1]节奏总纲!AG127</f>
        <v>79.104601412347151</v>
      </c>
      <c r="AH127" s="24">
        <f>[1]节奏总纲!AH127</f>
        <v>88.109271506528316</v>
      </c>
      <c r="AZ127" s="20">
        <v>124</v>
      </c>
      <c r="BA127" s="20">
        <v>39.466427021209874</v>
      </c>
      <c r="BB127" s="20">
        <v>40.984830450008978</v>
      </c>
      <c r="BC127" s="20">
        <v>42.919258427523964</v>
      </c>
      <c r="BD127" s="20">
        <v>45.646073769279901</v>
      </c>
      <c r="BE127" s="20">
        <v>50</v>
      </c>
      <c r="BP127" s="20">
        <v>124</v>
      </c>
      <c r="BQ127" s="32">
        <f>[1]节奏总纲!BX127</f>
        <v>65.094839190509248</v>
      </c>
      <c r="BR127" s="32">
        <f>[1]节奏总纲!BY127</f>
        <v>65.495043356939604</v>
      </c>
      <c r="BS127" s="32">
        <f>[1]节奏总纲!BZ127</f>
        <v>65.947319695259623</v>
      </c>
      <c r="BT127" s="32">
        <f>[1]节奏总纲!CA127</f>
        <v>66.409155912065103</v>
      </c>
      <c r="BU127" s="32">
        <f>[1]节奏总纲!CB127</f>
        <v>66.943644127984214</v>
      </c>
    </row>
    <row r="128" spans="6:73" x14ac:dyDescent="0.15">
      <c r="F128" s="24">
        <f>[1]节奏总纲!F128</f>
        <v>126</v>
      </c>
      <c r="G128" s="24">
        <f>[1]节奏总纲!G128</f>
        <v>6207.3750564265865</v>
      </c>
      <c r="N128" s="24">
        <f>[1]节奏总纲!N128</f>
        <v>135</v>
      </c>
      <c r="O128" s="24">
        <f>[1]节奏总纲!O128</f>
        <v>125</v>
      </c>
      <c r="P128" s="24">
        <f>[1]节奏总纲!P128</f>
        <v>5791.6187514801986</v>
      </c>
      <c r="Q128" s="24">
        <f>[1]节奏总纲!Q128</f>
        <v>4918.821805632133</v>
      </c>
      <c r="R128" s="24">
        <f>[1]节奏总纲!R128</f>
        <v>3940.0382366319791</v>
      </c>
      <c r="S128" s="24">
        <f>[1]节奏总纲!S128</f>
        <v>2816.4641988448207</v>
      </c>
      <c r="T128" s="24">
        <f>[1]节奏总纲!T128</f>
        <v>1509.8750085108877</v>
      </c>
      <c r="U128" s="24"/>
      <c r="V128" s="24">
        <f>[1]节奏总纲!V128</f>
        <v>125</v>
      </c>
      <c r="W128" s="24">
        <f>[1]节奏总纲!W128</f>
        <v>387.91434895442762</v>
      </c>
      <c r="X128" s="24">
        <f>[1]节奏总纲!X128</f>
        <v>327.29417480598568</v>
      </c>
      <c r="Y128" s="24">
        <f>[1]节奏总纲!Y128</f>
        <v>268.76146555597006</v>
      </c>
      <c r="Z128" s="24">
        <f>[1]节奏总纲!Z128</f>
        <v>192.42534097830639</v>
      </c>
      <c r="AA128" s="24">
        <f>[1]节奏总纲!AA128</f>
        <v>94.104455049135595</v>
      </c>
      <c r="AC128" s="24">
        <f>[1]节奏总纲!AC128</f>
        <v>125</v>
      </c>
      <c r="AD128" s="24">
        <f>[1]节奏总纲!AD128</f>
        <v>69.766676153548232</v>
      </c>
      <c r="AE128" s="24">
        <f>[1]节奏总纲!AE128</f>
        <v>71.814967748268955</v>
      </c>
      <c r="AF128" s="24">
        <f>[1]节奏总纲!AF128</f>
        <v>74.725565049209479</v>
      </c>
      <c r="AG128" s="24">
        <f>[1]节奏总纲!AG128</f>
        <v>79.222727875098187</v>
      </c>
      <c r="AH128" s="24">
        <f>[1]节奏总纲!AH128</f>
        <v>88.243836210467165</v>
      </c>
      <c r="AZ128" s="20">
        <v>125</v>
      </c>
      <c r="BA128" s="20">
        <v>39.520459727922798</v>
      </c>
      <c r="BB128" s="20">
        <v>41.037193447861313</v>
      </c>
      <c r="BC128" s="20">
        <v>42.977113019069073</v>
      </c>
      <c r="BD128" s="20">
        <v>45.701865977335167</v>
      </c>
      <c r="BE128" s="20">
        <v>50</v>
      </c>
      <c r="BP128" s="20">
        <v>125</v>
      </c>
      <c r="BQ128" s="32">
        <f>[1]节奏总纲!BX128</f>
        <v>65.557283526381681</v>
      </c>
      <c r="BR128" s="32">
        <f>[1]节奏总纲!BY128</f>
        <v>65.98276486592421</v>
      </c>
      <c r="BS128" s="32">
        <f>[1]节奏总纲!BZ128</f>
        <v>66.4159903320772</v>
      </c>
      <c r="BT128" s="32">
        <f>[1]节奏总纲!CA128</f>
        <v>66.904808743128513</v>
      </c>
      <c r="BU128" s="32">
        <f>[1]节奏总纲!CB128</f>
        <v>67.370305760801529</v>
      </c>
    </row>
    <row r="129" spans="6:73" x14ac:dyDescent="0.15">
      <c r="F129" s="24">
        <f>[1]节奏总纲!F129</f>
        <v>127</v>
      </c>
      <c r="G129" s="24">
        <f>[1]节奏总纲!G129</f>
        <v>6652.971630950271</v>
      </c>
      <c r="N129" s="24">
        <f>[1]节奏总纲!N129</f>
        <v>136</v>
      </c>
      <c r="O129" s="24">
        <f>[1]节奏总纲!O129</f>
        <v>126</v>
      </c>
      <c r="P129" s="24">
        <f>[1]节奏总纲!P129</f>
        <v>6207.3750564265865</v>
      </c>
      <c r="Q129" s="24">
        <f>[1]节奏总纲!Q129</f>
        <v>5279.3724854908123</v>
      </c>
      <c r="R129" s="24">
        <f>[1]节奏总纲!R129</f>
        <v>4225.9809384152195</v>
      </c>
      <c r="S129" s="24">
        <f>[1]节奏总纲!S129</f>
        <v>3006.8524773330387</v>
      </c>
      <c r="T129" s="24">
        <f>[1]节奏总纲!T129</f>
        <v>1610.1930896370566</v>
      </c>
      <c r="U129" s="24"/>
      <c r="V129" s="24">
        <f>[1]节奏总纲!V129</f>
        <v>126</v>
      </c>
      <c r="W129" s="24">
        <f>[1]节奏总纲!W129</f>
        <v>415.7563049463879</v>
      </c>
      <c r="X129" s="24">
        <f>[1]节奏总纲!X129</f>
        <v>360.55067985867936</v>
      </c>
      <c r="Y129" s="24">
        <f>[1]节奏总纲!Y129</f>
        <v>285.94270178324041</v>
      </c>
      <c r="Z129" s="24">
        <f>[1]节奏总纲!Z129</f>
        <v>190.38827848821802</v>
      </c>
      <c r="AA129" s="24">
        <f>[1]节奏总纲!AA129</f>
        <v>100.31808112616886</v>
      </c>
      <c r="AC129" s="24">
        <f>[1]节奏总纲!AC129</f>
        <v>126</v>
      </c>
      <c r="AD129" s="24">
        <f>[1]节奏总纲!AD129</f>
        <v>69.883338076774123</v>
      </c>
      <c r="AE129" s="24">
        <f>[1]节奏总纲!AE129</f>
        <v>71.931947796644479</v>
      </c>
      <c r="AF129" s="24">
        <f>[1]节奏总纲!AF129</f>
        <v>74.840792411391348</v>
      </c>
      <c r="AG129" s="24">
        <f>[1]节奏总纲!AG129</f>
        <v>79.340854337849223</v>
      </c>
      <c r="AH129" s="24">
        <f>[1]节奏总纲!AH129</f>
        <v>88.378400914406001</v>
      </c>
      <c r="AZ129" s="20">
        <v>126</v>
      </c>
      <c r="BA129" s="20">
        <v>39.574492434635722</v>
      </c>
      <c r="BB129" s="20">
        <v>41.087476216725996</v>
      </c>
      <c r="BC129" s="20">
        <v>43.030177309109042</v>
      </c>
      <c r="BD129" s="20">
        <v>45.757658185390426</v>
      </c>
      <c r="BE129" s="20">
        <v>50</v>
      </c>
      <c r="BP129" s="20">
        <v>126</v>
      </c>
      <c r="BQ129" s="32">
        <f>[1]节奏总纲!BX129</f>
        <v>66.045736622847244</v>
      </c>
      <c r="BR129" s="32">
        <f>[1]节奏总纲!BY129</f>
        <v>66.44946074184756</v>
      </c>
      <c r="BS129" s="32">
        <f>[1]节奏总纲!BZ129</f>
        <v>66.907014743381254</v>
      </c>
      <c r="BT129" s="32">
        <f>[1]节奏总纲!CA129</f>
        <v>67.341591574598297</v>
      </c>
      <c r="BU129" s="32">
        <f>[1]节奏总纲!CB129</f>
        <v>67.816988171637291</v>
      </c>
    </row>
    <row r="130" spans="6:73" x14ac:dyDescent="0.15">
      <c r="F130" s="24">
        <f>[1]节奏总纲!F130</f>
        <v>128</v>
      </c>
      <c r="G130" s="24">
        <f>[1]节奏总纲!G130</f>
        <v>7130.5502145218443</v>
      </c>
      <c r="N130" s="24">
        <f>[1]节奏总纲!N130</f>
        <v>137</v>
      </c>
      <c r="O130" s="24">
        <f>[1]节奏总纲!O130</f>
        <v>127</v>
      </c>
      <c r="P130" s="24">
        <f>[1]节奏总纲!P130</f>
        <v>6652.971630950271</v>
      </c>
      <c r="Q130" s="24">
        <f>[1]节奏总纲!Q130</f>
        <v>5658.3523721232059</v>
      </c>
      <c r="R130" s="24">
        <f>[1]节奏总纲!R130</f>
        <v>4508.7188742949984</v>
      </c>
      <c r="S130" s="24">
        <f>[1]节奏总纲!S130</f>
        <v>3203.4058403025556</v>
      </c>
      <c r="T130" s="24">
        <f>[1]节奏总纲!T130</f>
        <v>1719.793166600645</v>
      </c>
      <c r="U130" s="24"/>
      <c r="V130" s="24">
        <f>[1]节奏总纲!V130</f>
        <v>127</v>
      </c>
      <c r="W130" s="24">
        <f>[1]节奏总纲!W130</f>
        <v>445.59657452368447</v>
      </c>
      <c r="X130" s="24">
        <f>[1]节奏总纲!X130</f>
        <v>378.97988663239357</v>
      </c>
      <c r="Y130" s="24">
        <f>[1]节奏总纲!Y130</f>
        <v>282.73793587977889</v>
      </c>
      <c r="Z130" s="24">
        <f>[1]节奏总纲!Z130</f>
        <v>196.55336296951691</v>
      </c>
      <c r="AA130" s="24">
        <f>[1]节奏总纲!AA130</f>
        <v>109.60007696358844</v>
      </c>
      <c r="AC130" s="24">
        <f>[1]节奏总纲!AC130</f>
        <v>127</v>
      </c>
      <c r="AD130" s="24">
        <f>[1]节奏总纲!AD130</f>
        <v>70</v>
      </c>
      <c r="AE130" s="24">
        <f>[1]节奏总纲!AE130</f>
        <v>72.047345051940553</v>
      </c>
      <c r="AF130" s="24">
        <f>[1]节奏总纲!AF130</f>
        <v>74.956019773573217</v>
      </c>
      <c r="AG130" s="24">
        <f>[1]节奏总纲!AG130</f>
        <v>79.458980800600258</v>
      </c>
      <c r="AH130" s="24">
        <f>[1]节奏总纲!AH130</f>
        <v>88.51296561834485</v>
      </c>
      <c r="AZ130" s="20">
        <v>127</v>
      </c>
      <c r="BA130" s="20">
        <v>39.628525141348646</v>
      </c>
      <c r="BB130" s="20">
        <v>41.137758985590679</v>
      </c>
      <c r="BC130" s="20">
        <v>43.080106253688569</v>
      </c>
      <c r="BD130" s="20">
        <v>45.813450393445684</v>
      </c>
      <c r="BE130" s="20">
        <v>50</v>
      </c>
      <c r="BP130" s="20">
        <v>127</v>
      </c>
      <c r="BQ130" s="32">
        <f>[1]节奏总纲!BX130</f>
        <v>66.504847055084383</v>
      </c>
      <c r="BR130" s="32">
        <f>[1]节奏总纲!BY130</f>
        <v>66.937552520119667</v>
      </c>
      <c r="BS130" s="32">
        <f>[1]节奏总纲!BZ130</f>
        <v>67.339276425805934</v>
      </c>
      <c r="BT130" s="32">
        <f>[1]节奏总纲!CA130</f>
        <v>67.779184324795935</v>
      </c>
      <c r="BU130" s="32">
        <f>[1]节奏总纲!CB130</f>
        <v>68.263631118638116</v>
      </c>
    </row>
    <row r="131" spans="6:73" x14ac:dyDescent="0.15">
      <c r="F131" s="24">
        <f>[1]节奏总纲!F131</f>
        <v>129</v>
      </c>
      <c r="G131" s="24">
        <f>[1]节奏总纲!G131</f>
        <v>7642.4062666695281</v>
      </c>
      <c r="N131" s="24">
        <f>[1]节奏总纲!N131</f>
        <v>138</v>
      </c>
      <c r="O131" s="24">
        <f>[1]节奏总纲!O131</f>
        <v>128</v>
      </c>
      <c r="P131" s="24">
        <f>[1]节奏总纲!P131</f>
        <v>7130.5502145218443</v>
      </c>
      <c r="Q131" s="24">
        <f>[1]节奏总纲!Q131</f>
        <v>6036.010756592741</v>
      </c>
      <c r="R131" s="24">
        <f>[1]节奏总纲!R131</f>
        <v>4805.9908445877236</v>
      </c>
      <c r="S131" s="24">
        <f>[1]节奏总纲!S131</f>
        <v>3419.0988278632244</v>
      </c>
      <c r="T131" s="24">
        <f>[1]节奏总纲!T131</f>
        <v>1838.9689003251838</v>
      </c>
      <c r="U131" s="24"/>
      <c r="V131" s="24">
        <f>[1]节奏总纲!V131</f>
        <v>128</v>
      </c>
      <c r="W131" s="24">
        <f>[1]节奏总纲!W131</f>
        <v>477.57858357157329</v>
      </c>
      <c r="X131" s="24">
        <f>[1]节奏总纲!X131</f>
        <v>377.65838446953512</v>
      </c>
      <c r="Y131" s="24">
        <f>[1]节奏总纲!Y131</f>
        <v>297.2719702927252</v>
      </c>
      <c r="Z131" s="24">
        <f>[1]节奏总纲!Z131</f>
        <v>215.69298756066883</v>
      </c>
      <c r="AA131" s="24">
        <f>[1]节奏总纲!AA131</f>
        <v>119.17573372453876</v>
      </c>
      <c r="AC131" s="24">
        <f>[1]节奏总纲!AC131</f>
        <v>128</v>
      </c>
      <c r="AD131" s="24">
        <f>[1]节奏总纲!AD131</f>
        <v>70.108849423225877</v>
      </c>
      <c r="AE131" s="24">
        <f>[1]节奏总纲!AE131</f>
        <v>72.160540850040434</v>
      </c>
      <c r="AF131" s="24">
        <f>[1]节奏总纲!AF131</f>
        <v>75.067682921736733</v>
      </c>
      <c r="AG131" s="24">
        <f>[1]节奏总纲!AG131</f>
        <v>79.577107263351294</v>
      </c>
      <c r="AH131" s="24">
        <f>[1]节奏总纲!AH131</f>
        <v>88.6475303222837</v>
      </c>
      <c r="AZ131" s="20">
        <v>128</v>
      </c>
      <c r="BA131" s="20">
        <v>39.68255784806157</v>
      </c>
      <c r="BB131" s="20">
        <v>41.188041754455355</v>
      </c>
      <c r="BC131" s="20">
        <v>43.130035198268104</v>
      </c>
      <c r="BD131" s="20">
        <v>45.869242601500943</v>
      </c>
      <c r="BE131" s="20">
        <v>50</v>
      </c>
      <c r="BP131" s="20">
        <v>128</v>
      </c>
      <c r="BQ131" s="32">
        <f>[1]节奏总纲!BX131</f>
        <v>66.996909432729709</v>
      </c>
      <c r="BR131" s="32">
        <f>[1]节奏总纲!BY131</f>
        <v>67.366421618366019</v>
      </c>
      <c r="BS131" s="32">
        <f>[1]节奏总纲!BZ131</f>
        <v>67.780493532013153</v>
      </c>
      <c r="BT131" s="32">
        <f>[1]节奏总纲!CA131</f>
        <v>68.224205790273416</v>
      </c>
      <c r="BU131" s="32">
        <f>[1]节奏总纲!CB131</f>
        <v>68.722305062357819</v>
      </c>
    </row>
    <row r="132" spans="6:73" x14ac:dyDescent="0.15">
      <c r="F132" s="24">
        <f>[1]节奏总纲!F132</f>
        <v>130</v>
      </c>
      <c r="G132" s="24">
        <f>[1]节奏总纲!G132</f>
        <v>8191</v>
      </c>
      <c r="N132" s="24">
        <f>[1]节奏总纲!N132</f>
        <v>139</v>
      </c>
      <c r="O132" s="24">
        <f>[1]节奏总纲!O132</f>
        <v>129</v>
      </c>
      <c r="P132" s="24">
        <f>[1]节奏总纲!P132</f>
        <v>7642.4062666695281</v>
      </c>
      <c r="Q132" s="24">
        <f>[1]节奏总纲!Q132</f>
        <v>6469.2969047357556</v>
      </c>
      <c r="R132" s="24">
        <f>[1]节奏总纲!R132</f>
        <v>5159.388470628599</v>
      </c>
      <c r="S132" s="24">
        <f>[1]节奏总纲!S132</f>
        <v>3676.7616548947103</v>
      </c>
      <c r="T132" s="24">
        <f>[1]节奏总纲!T132</f>
        <v>1975.5620199340731</v>
      </c>
      <c r="U132" s="24"/>
      <c r="V132" s="24">
        <f>[1]节奏总纲!V132</f>
        <v>129</v>
      </c>
      <c r="W132" s="24">
        <f>[1]节奏总纲!W132</f>
        <v>511.85605214768384</v>
      </c>
      <c r="X132" s="24">
        <f>[1]节奏总纲!X132</f>
        <v>433.28614814301454</v>
      </c>
      <c r="Y132" s="24">
        <f>[1]节奏总纲!Y132</f>
        <v>353.39762604087537</v>
      </c>
      <c r="Z132" s="24">
        <f>[1]节奏总纲!Z132</f>
        <v>257.6628270314859</v>
      </c>
      <c r="AA132" s="24">
        <f>[1]节奏总纲!AA132</f>
        <v>136.59311960888931</v>
      </c>
      <c r="AC132" s="24">
        <f>[1]节奏总纲!AC132</f>
        <v>129</v>
      </c>
      <c r="AD132" s="24">
        <f>[1]节奏总纲!AD132</f>
        <v>70.217698846451768</v>
      </c>
      <c r="AE132" s="24">
        <f>[1]节奏总纲!AE132</f>
        <v>72.273736648140314</v>
      </c>
      <c r="AF132" s="24">
        <f>[1]节奏总纲!AF132</f>
        <v>75.177145912126889</v>
      </c>
      <c r="AG132" s="24">
        <f>[1]节奏总纲!AG132</f>
        <v>79.69523372610233</v>
      </c>
      <c r="AH132" s="24">
        <f>[1]节奏总纲!AH132</f>
        <v>88.782095026222549</v>
      </c>
      <c r="AZ132" s="20">
        <v>129</v>
      </c>
      <c r="BA132" s="20">
        <v>39.736590554774494</v>
      </c>
      <c r="BB132" s="20">
        <v>41.238324523320038</v>
      </c>
      <c r="BC132" s="20">
        <v>43.179964142847631</v>
      </c>
      <c r="BD132" s="20">
        <v>45.925034809556202</v>
      </c>
      <c r="BE132" s="20">
        <v>50</v>
      </c>
      <c r="BP132" s="20">
        <v>129</v>
      </c>
      <c r="BQ132" s="32">
        <f>[1]节奏总纲!BX132</f>
        <v>67.453153062113969</v>
      </c>
      <c r="BR132" s="32">
        <f>[1]节奏总纲!BY132</f>
        <v>67.848740705467691</v>
      </c>
      <c r="BS132" s="32">
        <f>[1]节奏总纲!BZ132</f>
        <v>68.263642627369293</v>
      </c>
      <c r="BT132" s="32">
        <f>[1]节奏总纲!CA132</f>
        <v>68.720041734936714</v>
      </c>
      <c r="BU132" s="32">
        <f>[1]节奏总纲!CB132</f>
        <v>69.214384865866279</v>
      </c>
    </row>
    <row r="133" spans="6:73" x14ac:dyDescent="0.15">
      <c r="F133" s="24">
        <f>[1]节奏总纲!F133</f>
        <v>131</v>
      </c>
      <c r="G133" s="24">
        <f>[1]节奏总纲!G133</f>
        <v>8778.9682050973151</v>
      </c>
      <c r="N133" s="24">
        <f>[1]节奏总纲!N133</f>
        <v>140</v>
      </c>
      <c r="O133" s="24">
        <f>[1]节奏总纲!O133</f>
        <v>130</v>
      </c>
      <c r="P133" s="24">
        <f>[1]节奏总纲!P133</f>
        <v>8191</v>
      </c>
      <c r="Q133" s="24">
        <f>[1]节奏总纲!Q133</f>
        <v>6941.8725000000004</v>
      </c>
      <c r="R133" s="24">
        <f>[1]节奏总纲!R133</f>
        <v>5542.0306</v>
      </c>
      <c r="S133" s="24">
        <f>[1]节奏总纲!S133</f>
        <v>3951.3384000000001</v>
      </c>
      <c r="T133" s="24">
        <f>[1]节奏总纲!T133</f>
        <v>2124.7454000000002</v>
      </c>
      <c r="U133" s="24"/>
      <c r="V133" s="24">
        <f>[1]节奏总纲!V133</f>
        <v>130</v>
      </c>
      <c r="W133" s="24">
        <f>[1]节奏总纲!W133</f>
        <v>548.59373333047188</v>
      </c>
      <c r="X133" s="24">
        <f>[1]节奏总纲!X133</f>
        <v>472.57559526424484</v>
      </c>
      <c r="Y133" s="24">
        <f>[1]节奏总纲!Y133</f>
        <v>382.6421293714011</v>
      </c>
      <c r="Z133" s="24">
        <f>[1]节奏总纲!Z133</f>
        <v>274.57674510528977</v>
      </c>
      <c r="AA133" s="24">
        <f>[1]节奏总纲!AA133</f>
        <v>149.18338006592717</v>
      </c>
      <c r="AC133" s="24">
        <f>[1]节奏总纲!AC133</f>
        <v>130</v>
      </c>
      <c r="AD133" s="24">
        <f>[1]节奏总纲!AD133</f>
        <v>70.326548269677644</v>
      </c>
      <c r="AE133" s="24">
        <f>[1]节奏总纲!AE133</f>
        <v>72.386932446240195</v>
      </c>
      <c r="AF133" s="24">
        <f>[1]节奏总纲!AF133</f>
        <v>75.286608902517045</v>
      </c>
      <c r="AG133" s="24">
        <f>[1]节奏总纲!AG133</f>
        <v>79.813360188853366</v>
      </c>
      <c r="AH133" s="24">
        <f>[1]节奏总纲!AH133</f>
        <v>88.916659730161399</v>
      </c>
      <c r="AZ133" s="20">
        <v>130</v>
      </c>
      <c r="BA133" s="20">
        <v>39.790623261487418</v>
      </c>
      <c r="BB133" s="20">
        <v>41.288607292184714</v>
      </c>
      <c r="BC133" s="20">
        <v>43.229893087427158</v>
      </c>
      <c r="BD133" s="20">
        <v>45.98082701761146</v>
      </c>
      <c r="BE133" s="20">
        <v>50</v>
      </c>
      <c r="BP133" s="20">
        <v>130</v>
      </c>
      <c r="BQ133" s="32">
        <f>[1]节奏总纲!BX133</f>
        <v>67.941693450092984</v>
      </c>
      <c r="BR133" s="32">
        <f>[1]节奏总纲!BY133</f>
        <v>68.323959633193709</v>
      </c>
      <c r="BS133" s="32">
        <f>[1]节奏总纲!BZ133</f>
        <v>68.754536673852911</v>
      </c>
      <c r="BT133" s="32">
        <f>[1]节奏总纲!CA133</f>
        <v>69.214741439167099</v>
      </c>
      <c r="BU133" s="32">
        <f>[1]节奏总纲!CB133</f>
        <v>69.710697401213693</v>
      </c>
    </row>
    <row r="134" spans="6:73" x14ac:dyDescent="0.15">
      <c r="F134" s="24">
        <f>[1]节奏总纲!F134</f>
        <v>132</v>
      </c>
      <c r="G134" s="24">
        <f>[1]节奏总纲!G134</f>
        <v>9409.1369241357042</v>
      </c>
      <c r="N134" s="24">
        <f>[1]节奏总纲!N134</f>
        <v>141</v>
      </c>
      <c r="O134" s="24">
        <f>[1]节奏总纲!O134</f>
        <v>131</v>
      </c>
      <c r="P134" s="24">
        <f>[1]节奏总纲!P134</f>
        <v>8778.9682050973151</v>
      </c>
      <c r="Q134" s="24">
        <f>[1]节奏总纲!Q134</f>
        <v>7443.6871411020138</v>
      </c>
      <c r="R134" s="24">
        <f>[1]节奏总纲!R134</f>
        <v>5945.117268491902</v>
      </c>
      <c r="S134" s="24">
        <f>[1]节奏总纲!S134</f>
        <v>4244.6311271645518</v>
      </c>
      <c r="T134" s="24">
        <f>[1]节奏总纲!T134</f>
        <v>2275.5085587612239</v>
      </c>
      <c r="U134" s="24"/>
      <c r="V134" s="24">
        <f>[1]节奏总纲!V134</f>
        <v>131</v>
      </c>
      <c r="W134" s="24">
        <f>[1]节奏总纲!W134</f>
        <v>587.96820509731515</v>
      </c>
      <c r="X134" s="24">
        <f>[1]节奏总纲!X134</f>
        <v>501.81464110201341</v>
      </c>
      <c r="Y134" s="24">
        <f>[1]节奏总纲!Y134</f>
        <v>403.08666849190195</v>
      </c>
      <c r="Z134" s="24">
        <f>[1]节奏总纲!Z134</f>
        <v>293.29272716455171</v>
      </c>
      <c r="AA134" s="24">
        <f>[1]节奏总纲!AA134</f>
        <v>150.76315876122362</v>
      </c>
      <c r="AC134" s="24">
        <f>[1]节奏总纲!AC134</f>
        <v>131</v>
      </c>
      <c r="AD134" s="24">
        <f>[1]节奏总纲!AD134</f>
        <v>70.435397692903535</v>
      </c>
      <c r="AE134" s="24">
        <f>[1]节奏总纲!AE134</f>
        <v>72.50012824434009</v>
      </c>
      <c r="AF134" s="24">
        <f>[1]节奏总纲!AF134</f>
        <v>75.396071892907202</v>
      </c>
      <c r="AG134" s="24">
        <f>[1]节奏总纲!AG134</f>
        <v>79.931486651604402</v>
      </c>
      <c r="AH134" s="24">
        <f>[1]节奏总纲!AH134</f>
        <v>89.048420729369383</v>
      </c>
      <c r="AZ134" s="20">
        <v>131</v>
      </c>
      <c r="BA134" s="20">
        <v>39.844655968200342</v>
      </c>
      <c r="BB134" s="20">
        <v>41.338890061049398</v>
      </c>
      <c r="BC134" s="20">
        <v>43.279822032006692</v>
      </c>
      <c r="BD134" s="20">
        <v>46.031609894814238</v>
      </c>
      <c r="BE134" s="20">
        <v>50</v>
      </c>
      <c r="BP134" s="20">
        <v>131</v>
      </c>
      <c r="BQ134" s="32">
        <f>[1]节奏总纲!BX134</f>
        <v>68.402186838509962</v>
      </c>
      <c r="BR134" s="32">
        <f>[1]节奏总纲!BY134</f>
        <v>68.806795553848815</v>
      </c>
      <c r="BS134" s="32">
        <f>[1]节奏总纲!BZ134</f>
        <v>69.234824229174819</v>
      </c>
      <c r="BT134" s="32">
        <f>[1]节奏总纲!CA134</f>
        <v>69.702613670489626</v>
      </c>
      <c r="BU134" s="32">
        <f>[1]节奏总纲!CB134</f>
        <v>70.183493178644127</v>
      </c>
    </row>
    <row r="135" spans="6:73" x14ac:dyDescent="0.15">
      <c r="F135" s="24">
        <f>[1]节奏总纲!F135</f>
        <v>133</v>
      </c>
      <c r="G135" s="24">
        <f>[1]节奏总纲!G135</f>
        <v>10084.535034121556</v>
      </c>
      <c r="N135" s="24">
        <f>[1]节奏总纲!N135</f>
        <v>142</v>
      </c>
      <c r="O135" s="24">
        <f>[1]节奏总纲!O135</f>
        <v>132</v>
      </c>
      <c r="P135" s="24">
        <f>[1]节奏总纲!P135</f>
        <v>9409.1369241357042</v>
      </c>
      <c r="Q135" s="24">
        <f>[1]节奏总纲!Q135</f>
        <v>7983.6526801291457</v>
      </c>
      <c r="R135" s="24">
        <f>[1]节奏总纲!R135</f>
        <v>6385.9812304109018</v>
      </c>
      <c r="S135" s="24">
        <f>[1]节奏总纲!S135</f>
        <v>4544.6131343575453</v>
      </c>
      <c r="T135" s="24">
        <f>[1]节奏总纲!T135</f>
        <v>2431.3209811966663</v>
      </c>
      <c r="U135" s="24"/>
      <c r="V135" s="24">
        <f>[1]节奏总纲!V135</f>
        <v>132</v>
      </c>
      <c r="W135" s="24">
        <f>[1]节奏总纲!W135</f>
        <v>630.1687190383891</v>
      </c>
      <c r="X135" s="24">
        <f>[1]节奏总纲!X135</f>
        <v>539.96553902713185</v>
      </c>
      <c r="Y135" s="24">
        <f>[1]节奏总纲!Y135</f>
        <v>440.86396191899985</v>
      </c>
      <c r="Z135" s="24">
        <f>[1]节奏总纲!Z135</f>
        <v>299.98200719299348</v>
      </c>
      <c r="AA135" s="24">
        <f>[1]节奏总纲!AA135</f>
        <v>155.81242243544239</v>
      </c>
      <c r="AC135" s="24">
        <f>[1]节奏总纲!AC135</f>
        <v>132</v>
      </c>
      <c r="AD135" s="24">
        <f>[1]节奏总纲!AD135</f>
        <v>70.544247116129412</v>
      </c>
      <c r="AE135" s="24">
        <f>[1]节奏总纲!AE135</f>
        <v>72.61332404243997</v>
      </c>
      <c r="AF135" s="24">
        <f>[1]节奏总纲!AF135</f>
        <v>75.505534883297358</v>
      </c>
      <c r="AG135" s="24">
        <f>[1]节奏总纲!AG135</f>
        <v>80.045750258986601</v>
      </c>
      <c r="AH135" s="24">
        <f>[1]节奏总纲!AH135</f>
        <v>89.175620204122851</v>
      </c>
      <c r="AZ135" s="20">
        <v>132</v>
      </c>
      <c r="BA135" s="20">
        <v>39.898688674913267</v>
      </c>
      <c r="BB135" s="20">
        <v>41.389172829914081</v>
      </c>
      <c r="BC135" s="20">
        <v>43.329750976586219</v>
      </c>
      <c r="BD135" s="20">
        <v>46.079770001861057</v>
      </c>
      <c r="BE135" s="20">
        <v>50</v>
      </c>
      <c r="BP135" s="20">
        <v>132</v>
      </c>
      <c r="BQ135" s="32">
        <f>[1]节奏总纲!BX135</f>
        <v>68.887255337837544</v>
      </c>
      <c r="BR135" s="32">
        <f>[1]节奏总纲!BY135</f>
        <v>69.282090336127212</v>
      </c>
      <c r="BS135" s="32">
        <f>[1]节奏总纲!BZ135</f>
        <v>69.723722100118692</v>
      </c>
      <c r="BT135" s="32">
        <f>[1]节奏总纲!CA135</f>
        <v>70.174284544754997</v>
      </c>
      <c r="BU135" s="32">
        <f>[1]节奏总纲!CB135</f>
        <v>70.631595403974814</v>
      </c>
    </row>
    <row r="136" spans="6:73" x14ac:dyDescent="0.15">
      <c r="F136" s="24">
        <f>[1]节奏总纲!F136</f>
        <v>134</v>
      </c>
      <c r="G136" s="24">
        <f>[1]节奏总纲!G136</f>
        <v>10808.408805051544</v>
      </c>
      <c r="N136" s="24">
        <f>[1]节奏总纲!N136</f>
        <v>143</v>
      </c>
      <c r="O136" s="24">
        <f>[1]节奏总纲!O136</f>
        <v>133</v>
      </c>
      <c r="P136" s="24">
        <f>[1]节奏总纲!P136</f>
        <v>10084.535034121556</v>
      </c>
      <c r="Q136" s="24">
        <f>[1]节奏总纲!Q136</f>
        <v>8562.7786974726132</v>
      </c>
      <c r="R136" s="24">
        <f>[1]节奏总纲!R136</f>
        <v>6827.2302181002942</v>
      </c>
      <c r="S136" s="24">
        <f>[1]节奏总纲!S136</f>
        <v>4847.6359909022322</v>
      </c>
      <c r="T136" s="24">
        <f>[1]节奏总纲!T136</f>
        <v>2595.759317782889</v>
      </c>
      <c r="U136" s="24"/>
      <c r="V136" s="24">
        <f>[1]节奏总纲!V136</f>
        <v>133</v>
      </c>
      <c r="W136" s="24">
        <f>[1]节奏总纲!W136</f>
        <v>675.39810998585199</v>
      </c>
      <c r="X136" s="24">
        <f>[1]节奏总纲!X136</f>
        <v>579.12601734346754</v>
      </c>
      <c r="Y136" s="24">
        <f>[1]节奏总纲!Y136</f>
        <v>441.24898768939238</v>
      </c>
      <c r="Z136" s="24">
        <f>[1]节奏总纲!Z136</f>
        <v>303.02285654468687</v>
      </c>
      <c r="AA136" s="24">
        <f>[1]节奏总纲!AA136</f>
        <v>164.4383365862227</v>
      </c>
      <c r="AC136" s="24">
        <f>[1]节奏总纲!AC136</f>
        <v>133</v>
      </c>
      <c r="AD136" s="24">
        <f>[1]节奏总纲!AD136</f>
        <v>70.653096539355303</v>
      </c>
      <c r="AE136" s="24">
        <f>[1]节奏总纲!AE136</f>
        <v>72.726519840539851</v>
      </c>
      <c r="AF136" s="24">
        <f>[1]节奏总纲!AF136</f>
        <v>75.614997873687514</v>
      </c>
      <c r="AG136" s="24">
        <f>[1]节奏总纲!AG136</f>
        <v>80.154679447049915</v>
      </c>
      <c r="AH136" s="24">
        <f>[1]节奏总纲!AH136</f>
        <v>89.302819678876304</v>
      </c>
      <c r="AZ136" s="20">
        <v>133</v>
      </c>
      <c r="BA136" s="20">
        <v>39.952721381626191</v>
      </c>
      <c r="BB136" s="20">
        <v>41.439455598778757</v>
      </c>
      <c r="BC136" s="20">
        <v>43.379679921165753</v>
      </c>
      <c r="BD136" s="20">
        <v>46.127930108907876</v>
      </c>
      <c r="BE136" s="20">
        <v>50</v>
      </c>
      <c r="BP136" s="20">
        <v>133</v>
      </c>
      <c r="BQ136" s="32">
        <f>[1]节奏总纲!BX136</f>
        <v>69.351933936401693</v>
      </c>
      <c r="BR136" s="32">
        <f>[1]节奏总纲!BY136</f>
        <v>69.763758437872809</v>
      </c>
      <c r="BS136" s="32">
        <f>[1]节奏总纲!BZ136</f>
        <v>70.18416857784301</v>
      </c>
      <c r="BT136" s="32">
        <f>[1]节奏总纲!CA136</f>
        <v>70.61001750564904</v>
      </c>
      <c r="BU136" s="32">
        <f>[1]节奏总纲!CB136</f>
        <v>71.090343829912982</v>
      </c>
    </row>
    <row r="137" spans="6:73" x14ac:dyDescent="0.15">
      <c r="F137" s="24">
        <f>[1]节奏总纲!F137</f>
        <v>135</v>
      </c>
      <c r="G137" s="24">
        <f>[1]节奏总纲!G137</f>
        <v>11584.237502960397</v>
      </c>
      <c r="N137" s="24">
        <f>[1]节奏总纲!N137</f>
        <v>144</v>
      </c>
      <c r="O137" s="24">
        <f>[1]节奏总纲!O137</f>
        <v>134</v>
      </c>
      <c r="P137" s="24">
        <f>[1]节奏总纲!P137</f>
        <v>10808.408805051544</v>
      </c>
      <c r="Q137" s="24">
        <f>[1]节奏总纲!Q137</f>
        <v>9151.4797352371424</v>
      </c>
      <c r="R137" s="24">
        <f>[1]节奏总纲!R137</f>
        <v>7283.7866937242361</v>
      </c>
      <c r="S137" s="24">
        <f>[1]节奏总纲!S137</f>
        <v>5175.0661358586794</v>
      </c>
      <c r="T137" s="24">
        <f>[1]节奏总纲!T137</f>
        <v>2775.5993811372364</v>
      </c>
      <c r="U137" s="24"/>
      <c r="V137" s="24">
        <f>[1]节奏总纲!V137</f>
        <v>134</v>
      </c>
      <c r="W137" s="24">
        <f>[1]节奏总纲!W137</f>
        <v>723.87377092998759</v>
      </c>
      <c r="X137" s="24">
        <f>[1]节奏总纲!X137</f>
        <v>588.70103776452925</v>
      </c>
      <c r="Y137" s="24">
        <f>[1]节奏总纲!Y137</f>
        <v>456.55647562394188</v>
      </c>
      <c r="Z137" s="24">
        <f>[1]节奏总纲!Z137</f>
        <v>327.43014495644729</v>
      </c>
      <c r="AA137" s="24">
        <f>[1]节奏总纲!AA137</f>
        <v>179.84006335434742</v>
      </c>
      <c r="AC137" s="24">
        <f>[1]节奏总纲!AC137</f>
        <v>134</v>
      </c>
      <c r="AD137" s="24">
        <f>[1]节奏总纲!AD137</f>
        <v>70.76194596258118</v>
      </c>
      <c r="AE137" s="24">
        <f>[1]节奏总纲!AE137</f>
        <v>72.839715638639731</v>
      </c>
      <c r="AF137" s="24">
        <f>[1]节奏总纲!AF137</f>
        <v>75.72446086407767</v>
      </c>
      <c r="AG137" s="24">
        <f>[1]节奏总纲!AG137</f>
        <v>80.263608635113243</v>
      </c>
      <c r="AH137" s="24">
        <f>[1]节奏总纲!AH137</f>
        <v>89.430019153629758</v>
      </c>
      <c r="AZ137" s="20">
        <v>134</v>
      </c>
      <c r="BA137" s="20">
        <v>40.005827399112476</v>
      </c>
      <c r="BB137" s="20">
        <v>41.48973836764344</v>
      </c>
      <c r="BC137" s="20">
        <v>43.42960886574528</v>
      </c>
      <c r="BD137" s="20">
        <v>46.176090215954694</v>
      </c>
      <c r="BE137" s="20">
        <v>50</v>
      </c>
      <c r="BP137" s="20">
        <v>134</v>
      </c>
      <c r="BQ137" s="32">
        <f>[1]节奏总纲!BX137</f>
        <v>69.833579581329417</v>
      </c>
      <c r="BR137" s="32">
        <f>[1]节奏总纲!BY137</f>
        <v>70.219043358665743</v>
      </c>
      <c r="BS137" s="32">
        <f>[1]节奏总纲!BZ137</f>
        <v>70.621840083786836</v>
      </c>
      <c r="BT137" s="32">
        <f>[1]节奏总纲!CA137</f>
        <v>71.069891702784773</v>
      </c>
      <c r="BU137" s="32">
        <f>[1]节奏总纲!CB137</f>
        <v>71.537462736334334</v>
      </c>
    </row>
    <row r="138" spans="6:73" x14ac:dyDescent="0.15">
      <c r="F138" s="24">
        <f>[1]节奏总纲!F138</f>
        <v>136</v>
      </c>
      <c r="G138" s="24">
        <f>[1]节奏总纲!G138</f>
        <v>12415.750112853173</v>
      </c>
      <c r="N138" s="24">
        <f>[1]节奏总纲!N138</f>
        <v>145</v>
      </c>
      <c r="O138" s="24">
        <f>[1]节奏总纲!O138</f>
        <v>135</v>
      </c>
      <c r="P138" s="24">
        <f>[1]节奏总纲!P138</f>
        <v>11584.237502960397</v>
      </c>
      <c r="Q138" s="24">
        <f>[1]节奏总纲!Q138</f>
        <v>9796.789656253608</v>
      </c>
      <c r="R138" s="24">
        <f>[1]节奏总纲!R138</f>
        <v>7796.1918394923478</v>
      </c>
      <c r="S138" s="24">
        <f>[1]节奏总纲!S138</f>
        <v>5548.8497639180305</v>
      </c>
      <c r="T138" s="24">
        <f>[1]节奏总纲!T138</f>
        <v>2979.465885761414</v>
      </c>
      <c r="U138" s="24"/>
      <c r="V138" s="24">
        <f>[1]节奏总纲!V138</f>
        <v>135</v>
      </c>
      <c r="W138" s="24">
        <f>[1]节奏总纲!W138</f>
        <v>775.82869790885343</v>
      </c>
      <c r="X138" s="24">
        <f>[1]节奏总纲!X138</f>
        <v>645.30992101646552</v>
      </c>
      <c r="Y138" s="24">
        <f>[1]节奏总纲!Y138</f>
        <v>512.40514576811165</v>
      </c>
      <c r="Z138" s="24">
        <f>[1]节奏总纲!Z138</f>
        <v>373.78362805935103</v>
      </c>
      <c r="AA138" s="24">
        <f>[1]节奏总纲!AA138</f>
        <v>203.86650462417765</v>
      </c>
      <c r="AC138" s="24">
        <f>[1]节奏总纲!AC138</f>
        <v>135</v>
      </c>
      <c r="AD138" s="24">
        <f>[1]节奏总纲!AD138</f>
        <v>70.870795385807057</v>
      </c>
      <c r="AE138" s="24">
        <f>[1]节奏总纲!AE138</f>
        <v>72.952911436739612</v>
      </c>
      <c r="AF138" s="24">
        <f>[1]节奏总纲!AF138</f>
        <v>75.833923854467812</v>
      </c>
      <c r="AG138" s="24">
        <f>[1]节奏总纲!AG138</f>
        <v>80.372537823176572</v>
      </c>
      <c r="AH138" s="24">
        <f>[1]节奏总纲!AH138</f>
        <v>89.557218628383211</v>
      </c>
      <c r="AZ138" s="20">
        <v>135</v>
      </c>
      <c r="BA138" s="20">
        <v>40.052446592012309</v>
      </c>
      <c r="BB138" s="20">
        <v>41.540021136508116</v>
      </c>
      <c r="BC138" s="20">
        <v>43.479537810324814</v>
      </c>
      <c r="BD138" s="20">
        <v>46.224250323001513</v>
      </c>
      <c r="BE138" s="20">
        <v>50</v>
      </c>
      <c r="BP138" s="20">
        <v>135</v>
      </c>
      <c r="BQ138" s="32">
        <f>[1]节奏总纲!BX138</f>
        <v>70.302380180961919</v>
      </c>
      <c r="BR138" s="32">
        <f>[1]节奏总纲!BY138</f>
        <v>70.68300638407095</v>
      </c>
      <c r="BS138" s="32">
        <f>[1]节奏总纲!BZ138</f>
        <v>71.09773107342663</v>
      </c>
      <c r="BT138" s="32">
        <f>[1]节奏总纲!CA138</f>
        <v>71.534542692944868</v>
      </c>
      <c r="BU138" s="32">
        <f>[1]节奏总纲!CB138</f>
        <v>72.038312955064598</v>
      </c>
    </row>
    <row r="139" spans="6:73" x14ac:dyDescent="0.15">
      <c r="F139" s="24">
        <f>[1]节奏总纲!F139</f>
        <v>137</v>
      </c>
      <c r="G139" s="24">
        <f>[1]节奏总纲!G139</f>
        <v>13306.943261900544</v>
      </c>
      <c r="N139" s="24">
        <f>[1]节奏总纲!N139</f>
        <v>146</v>
      </c>
      <c r="O139" s="24">
        <f>[1]节奏总纲!O139</f>
        <v>136</v>
      </c>
      <c r="P139" s="24">
        <f>[1]节奏总纲!P139</f>
        <v>12415.750112853173</v>
      </c>
      <c r="Q139" s="24">
        <f>[1]节奏总纲!Q139</f>
        <v>10507.449320507641</v>
      </c>
      <c r="R139" s="24">
        <f>[1]节奏总纲!R139</f>
        <v>8384.3560512097483</v>
      </c>
      <c r="S139" s="24">
        <f>[1]节奏总纲!S139</f>
        <v>5967.009504237235</v>
      </c>
      <c r="T139" s="24">
        <f>[1]节奏总纲!T139</f>
        <v>3204.5051041274041</v>
      </c>
      <c r="U139" s="24"/>
      <c r="V139" s="24">
        <f>[1]节奏总纲!V139</f>
        <v>136</v>
      </c>
      <c r="W139" s="24">
        <f>[1]节奏总纲!W139</f>
        <v>831.5126098927758</v>
      </c>
      <c r="X139" s="24">
        <f>[1]节奏总纲!X139</f>
        <v>710.65966425403349</v>
      </c>
      <c r="Y139" s="24">
        <f>[1]节奏总纲!Y139</f>
        <v>588.16421171740058</v>
      </c>
      <c r="Z139" s="24">
        <f>[1]节奏总纲!Z139</f>
        <v>418.1597403192045</v>
      </c>
      <c r="AA139" s="24">
        <f>[1]节奏总纲!AA139</f>
        <v>225.03921836599011</v>
      </c>
      <c r="AC139" s="24">
        <f>[1]节奏总纲!AC139</f>
        <v>136</v>
      </c>
      <c r="AD139" s="24">
        <f>[1]节奏总纲!AD139</f>
        <v>70.979644809032948</v>
      </c>
      <c r="AE139" s="24">
        <f>[1]节奏总纲!AE139</f>
        <v>73.059911975288244</v>
      </c>
      <c r="AF139" s="24">
        <f>[1]节奏总纲!AF139</f>
        <v>75.943386844857969</v>
      </c>
      <c r="AG139" s="24">
        <f>[1]节奏总纲!AG139</f>
        <v>80.4814670112399</v>
      </c>
      <c r="AH139" s="24">
        <f>[1]节奏总纲!AH139</f>
        <v>89.684418103136665</v>
      </c>
      <c r="AZ139" s="20">
        <v>136</v>
      </c>
      <c r="BA139" s="20">
        <v>40.099065784912149</v>
      </c>
      <c r="BB139" s="20">
        <v>41.590303905372799</v>
      </c>
      <c r="BC139" s="20">
        <v>43.529466754904341</v>
      </c>
      <c r="BD139" s="20">
        <v>46.272410430048332</v>
      </c>
      <c r="BE139" s="20">
        <v>50</v>
      </c>
      <c r="BP139" s="20">
        <v>136</v>
      </c>
      <c r="BQ139" s="32">
        <f>[1]节奏总纲!BX139</f>
        <v>70.780650969721208</v>
      </c>
      <c r="BR139" s="32">
        <f>[1]节奏总纲!BY139</f>
        <v>71.167672232752054</v>
      </c>
      <c r="BS139" s="32">
        <f>[1]节奏总纲!BZ139</f>
        <v>71.585162950829655</v>
      </c>
      <c r="BT139" s="32">
        <f>[1]节奏总纲!CA139</f>
        <v>72.046994133534497</v>
      </c>
      <c r="BU139" s="32">
        <f>[1]节奏总纲!CB139</f>
        <v>72.52201443082113</v>
      </c>
    </row>
    <row r="140" spans="6:73" x14ac:dyDescent="0.15">
      <c r="F140" s="24">
        <f>[1]节奏总纲!F140</f>
        <v>138</v>
      </c>
      <c r="G140" s="24">
        <f>[1]节奏总纲!G140</f>
        <v>14262.10042904369</v>
      </c>
      <c r="N140" s="24">
        <f>[1]节奏总纲!N140</f>
        <v>147</v>
      </c>
      <c r="O140" s="24">
        <f>[1]节奏总纲!O140</f>
        <v>137</v>
      </c>
      <c r="P140" s="24">
        <f>[1]节奏总纲!P140</f>
        <v>13306.943261900544</v>
      </c>
      <c r="Q140" s="24">
        <f>[1]节奏总纲!Q140</f>
        <v>11274.973025808331</v>
      </c>
      <c r="R140" s="24">
        <f>[1]节奏总纲!R140</f>
        <v>8995.4936450447676</v>
      </c>
      <c r="S140" s="24">
        <f>[1]节奏总纲!S140</f>
        <v>6407.293180605112</v>
      </c>
      <c r="T140" s="24">
        <f>[1]节奏总纲!T140</f>
        <v>3438.5141388751008</v>
      </c>
      <c r="U140" s="24"/>
      <c r="V140" s="24">
        <f>[1]节奏总纲!V140</f>
        <v>137</v>
      </c>
      <c r="W140" s="24">
        <f>[1]节奏总纲!W140</f>
        <v>891.19314904737075</v>
      </c>
      <c r="X140" s="24">
        <f>[1]节奏总纲!X140</f>
        <v>767.52370530068947</v>
      </c>
      <c r="Y140" s="24">
        <f>[1]节奏总纲!Y140</f>
        <v>611.13759383501929</v>
      </c>
      <c r="Z140" s="24">
        <f>[1]节奏总纲!Z140</f>
        <v>440.28367636787698</v>
      </c>
      <c r="AA140" s="24">
        <f>[1]节奏总纲!AA140</f>
        <v>234.00903474769666</v>
      </c>
      <c r="AC140" s="24">
        <f>[1]节奏总纲!AC140</f>
        <v>137</v>
      </c>
      <c r="AD140" s="24">
        <f>[1]节奏总纲!AD140</f>
        <v>71.082568038258202</v>
      </c>
      <c r="AE140" s="24">
        <f>[1]节奏总纲!AE140</f>
        <v>73.162499594857536</v>
      </c>
      <c r="AF140" s="24">
        <f>[1]节奏总纲!AF140</f>
        <v>76.048210495050611</v>
      </c>
      <c r="AG140" s="24">
        <f>[1]节奏总纲!AG140</f>
        <v>80.590396199303228</v>
      </c>
      <c r="AH140" s="24">
        <f>[1]节奏总纲!AH140</f>
        <v>89.811617577890132</v>
      </c>
      <c r="AZ140" s="20">
        <v>137</v>
      </c>
      <c r="BA140" s="20">
        <v>40.145684977811982</v>
      </c>
      <c r="BB140" s="20">
        <v>41.640586674237483</v>
      </c>
      <c r="BC140" s="20">
        <v>43.579395699483875</v>
      </c>
      <c r="BD140" s="20">
        <v>46.320570537095151</v>
      </c>
      <c r="BE140" s="20">
        <v>50</v>
      </c>
      <c r="BP140" s="20">
        <v>137</v>
      </c>
      <c r="BQ140" s="32">
        <f>[1]节奏总纲!BX140</f>
        <v>71.253511678983699</v>
      </c>
      <c r="BR140" s="32">
        <f>[1]节奏总纲!BY140</f>
        <v>71.64472716890711</v>
      </c>
      <c r="BS140" s="32">
        <f>[1]节奏总纲!BZ140</f>
        <v>72.079220511445328</v>
      </c>
      <c r="BT140" s="32">
        <f>[1]节奏总纲!CA140</f>
        <v>72.52016913289016</v>
      </c>
      <c r="BU140" s="32">
        <f>[1]节奏总纲!CB140</f>
        <v>73.021610706471975</v>
      </c>
    </row>
    <row r="141" spans="6:73" x14ac:dyDescent="0.15">
      <c r="F141" s="24">
        <f>[1]节奏总纲!F141</f>
        <v>139</v>
      </c>
      <c r="G141" s="24">
        <f>[1]节奏总纲!G141</f>
        <v>15285.812533339058</v>
      </c>
      <c r="N141" s="24">
        <f>[1]节奏总纲!N141</f>
        <v>148</v>
      </c>
      <c r="O141" s="24">
        <f>[1]节奏总纲!O141</f>
        <v>138</v>
      </c>
      <c r="P141" s="24">
        <f>[1]节奏总纲!P141</f>
        <v>14262.10042904369</v>
      </c>
      <c r="Q141" s="24">
        <f>[1]节奏总纲!Q141</f>
        <v>12084.27769352872</v>
      </c>
      <c r="R141" s="24">
        <f>[1]节奏总纲!R141</f>
        <v>9648.3109402480568</v>
      </c>
      <c r="S141" s="24">
        <f>[1]节奏总纲!S141</f>
        <v>6871.4799867132497</v>
      </c>
      <c r="T141" s="24">
        <f>[1]节奏总纲!T141</f>
        <v>3671.064650435846</v>
      </c>
      <c r="U141" s="24"/>
      <c r="V141" s="24">
        <f>[1]节奏总纲!V141</f>
        <v>138</v>
      </c>
      <c r="W141" s="24">
        <f>[1]节奏总纲!W141</f>
        <v>955.15716714314658</v>
      </c>
      <c r="X141" s="24">
        <f>[1]节奏总纲!X141</f>
        <v>809.30466772038926</v>
      </c>
      <c r="Y141" s="24">
        <f>[1]节奏总纲!Y141</f>
        <v>652.81729520328918</v>
      </c>
      <c r="Z141" s="24">
        <f>[1]节奏总纲!Z141</f>
        <v>464.18680610813772</v>
      </c>
      <c r="AA141" s="24">
        <f>[1]节奏总纲!AA141</f>
        <v>232.55051156074524</v>
      </c>
      <c r="AC141" s="24">
        <f>[1]节奏总纲!AC141</f>
        <v>138</v>
      </c>
      <c r="AD141" s="24">
        <f>[1]节奏总纲!AD141</f>
        <v>71.184128141237707</v>
      </c>
      <c r="AE141" s="24">
        <f>[1]节奏总纲!AE141</f>
        <v>73.265087214426828</v>
      </c>
      <c r="AF141" s="24">
        <f>[1]节奏总纲!AF141</f>
        <v>76.148064447889894</v>
      </c>
      <c r="AG141" s="24">
        <f>[1]节奏总纲!AG141</f>
        <v>80.699325387366557</v>
      </c>
      <c r="AH141" s="24">
        <f>[1]节奏总纲!AH141</f>
        <v>89.938817052643586</v>
      </c>
      <c r="AZ141" s="20">
        <v>138</v>
      </c>
      <c r="BA141" s="20">
        <v>40.192304170711814</v>
      </c>
      <c r="BB141" s="20">
        <v>41.690869443102159</v>
      </c>
      <c r="BC141" s="20">
        <v>43.629324644063402</v>
      </c>
      <c r="BD141" s="20">
        <v>46.368730644141969</v>
      </c>
      <c r="BE141" s="20">
        <v>50</v>
      </c>
      <c r="BP141" s="20">
        <v>138</v>
      </c>
      <c r="BQ141" s="32">
        <f>[1]节奏总纲!BX141</f>
        <v>71.728454603344318</v>
      </c>
      <c r="BR141" s="32">
        <f>[1]节奏总纲!BY141</f>
        <v>72.127736001811627</v>
      </c>
      <c r="BS141" s="32">
        <f>[1]节奏总纲!BZ141</f>
        <v>72.546944450679874</v>
      </c>
      <c r="BT141" s="32">
        <f>[1]节奏总纲!CA141</f>
        <v>73.016455431801333</v>
      </c>
      <c r="BU141" s="32">
        <f>[1]节奏总纲!CB141</f>
        <v>73.453766032826792</v>
      </c>
    </row>
    <row r="142" spans="6:73" x14ac:dyDescent="0.15">
      <c r="F142" s="24">
        <f>[1]节奏总纲!F142</f>
        <v>140</v>
      </c>
      <c r="G142" s="24">
        <f>[1]节奏总纲!G142</f>
        <v>16383</v>
      </c>
      <c r="N142" s="24">
        <f>[1]节奏总纲!N142</f>
        <v>149</v>
      </c>
      <c r="O142" s="24">
        <f>[1]节奏总纲!O142</f>
        <v>139</v>
      </c>
      <c r="P142" s="24">
        <f>[1]节奏总纲!P142</f>
        <v>15285.812533339058</v>
      </c>
      <c r="Q142" s="24">
        <f>[1]节奏总纲!Q142</f>
        <v>12957.783284511519</v>
      </c>
      <c r="R142" s="24">
        <f>[1]节奏总纲!R142</f>
        <v>10342.380760057207</v>
      </c>
      <c r="S142" s="24">
        <f>[1]节奏总纲!S142</f>
        <v>7335.6614347494142</v>
      </c>
      <c r="T142" s="24">
        <f>[1]节奏总纲!T142</f>
        <v>3920.8109148014687</v>
      </c>
      <c r="U142" s="24"/>
      <c r="V142" s="24">
        <f>[1]节奏总纲!V142</f>
        <v>139</v>
      </c>
      <c r="W142" s="24">
        <f>[1]节奏总纲!W142</f>
        <v>1023.7121042953677</v>
      </c>
      <c r="X142" s="24">
        <f>[1]节奏总纲!X142</f>
        <v>873.50559098279882</v>
      </c>
      <c r="Y142" s="24">
        <f>[1]节奏总纲!Y142</f>
        <v>694.06981980915043</v>
      </c>
      <c r="Z142" s="24">
        <f>[1]节奏总纲!Z142</f>
        <v>464.18144803616451</v>
      </c>
      <c r="AA142" s="24">
        <f>[1]节奏总纲!AA142</f>
        <v>249.74626436562266</v>
      </c>
      <c r="AC142" s="24">
        <f>[1]节奏总纲!AC142</f>
        <v>139</v>
      </c>
      <c r="AD142" s="24">
        <f>[1]节奏总纲!AD142</f>
        <v>71.285688244217212</v>
      </c>
      <c r="AE142" s="24">
        <f>[1]节奏总纲!AE142</f>
        <v>73.367674833996119</v>
      </c>
      <c r="AF142" s="24">
        <f>[1]节奏总纲!AF142</f>
        <v>76.247918400729162</v>
      </c>
      <c r="AG142" s="24">
        <f>[1]节奏总纲!AG142</f>
        <v>80.808254575429885</v>
      </c>
      <c r="AH142" s="24">
        <f>[1]节奏总纲!AH142</f>
        <v>90.055148444912135</v>
      </c>
      <c r="AZ142" s="20">
        <v>139</v>
      </c>
      <c r="BA142" s="20">
        <v>40.238923363611647</v>
      </c>
      <c r="BB142" s="20">
        <v>41.741152211966842</v>
      </c>
      <c r="BC142" s="20">
        <v>43.679253588642929</v>
      </c>
      <c r="BD142" s="20">
        <v>46.416890751188788</v>
      </c>
      <c r="BE142" s="20">
        <v>50</v>
      </c>
      <c r="BP142" s="20">
        <v>139</v>
      </c>
      <c r="BQ142" s="32">
        <f>[1]节奏总纲!BX142</f>
        <v>72.205314824634726</v>
      </c>
      <c r="BR142" s="32">
        <f>[1]节奏总纲!BY142</f>
        <v>72.597116346388717</v>
      </c>
      <c r="BS142" s="32">
        <f>[1]节奏总纲!BZ142</f>
        <v>73.038235529163615</v>
      </c>
      <c r="BT142" s="32">
        <f>[1]节奏总纲!CA142</f>
        <v>73.447756321697511</v>
      </c>
      <c r="BU142" s="32">
        <f>[1]节奏总纲!CB142</f>
        <v>73.91787672283759</v>
      </c>
    </row>
    <row r="143" spans="6:73" x14ac:dyDescent="0.15">
      <c r="F143" s="24">
        <f>[1]节奏总纲!F143</f>
        <v>141</v>
      </c>
      <c r="G143" s="24">
        <f>[1]节奏总纲!G143</f>
        <v>17558.936410194601</v>
      </c>
      <c r="N143" s="24">
        <f>[1]节奏总纲!N143</f>
        <v>150</v>
      </c>
      <c r="O143" s="24">
        <f>[1]节奏总纲!O143</f>
        <v>140</v>
      </c>
      <c r="P143" s="24">
        <f>[1]节奏总纲!P143</f>
        <v>16383</v>
      </c>
      <c r="Q143" s="24">
        <f>[1]节奏总纲!Q143</f>
        <v>13881.315900000001</v>
      </c>
      <c r="R143" s="24">
        <f>[1]节奏总纲!R143</f>
        <v>11037.2271</v>
      </c>
      <c r="S143" s="24">
        <f>[1]节奏总纲!S143</f>
        <v>7827.7974000000004</v>
      </c>
      <c r="T143" s="24">
        <f>[1]节奏总纲!T143</f>
        <v>4192.4097000000002</v>
      </c>
      <c r="U143" s="24"/>
      <c r="V143" s="24">
        <f>[1]节奏总纲!V143</f>
        <v>140</v>
      </c>
      <c r="W143" s="24">
        <f>[1]节奏总纲!W143</f>
        <v>1097.1874666609419</v>
      </c>
      <c r="X143" s="24">
        <f>[1]节奏总纲!X143</f>
        <v>923.53261548848241</v>
      </c>
      <c r="Y143" s="24">
        <f>[1]节奏总纲!Y143</f>
        <v>694.84633994279284</v>
      </c>
      <c r="Z143" s="24">
        <f>[1]节奏总纲!Z143</f>
        <v>492.1359652505862</v>
      </c>
      <c r="AA143" s="24">
        <f>[1]节奏总纲!AA143</f>
        <v>271.59878519853146</v>
      </c>
      <c r="AC143" s="24">
        <f>[1]节奏总纲!AC143</f>
        <v>140</v>
      </c>
      <c r="AD143" s="24">
        <f>[1]节奏总纲!AD143</f>
        <v>71.387248347196717</v>
      </c>
      <c r="AE143" s="24">
        <f>[1]节奏总纲!AE143</f>
        <v>73.470262453565411</v>
      </c>
      <c r="AF143" s="24">
        <f>[1]节奏总纲!AF143</f>
        <v>76.347772353568445</v>
      </c>
      <c r="AG143" s="24">
        <f>[1]节奏总纲!AG143</f>
        <v>80.917183763493213</v>
      </c>
      <c r="AH143" s="24">
        <f>[1]节奏总纲!AH143</f>
        <v>90.16140749098561</v>
      </c>
      <c r="AZ143" s="20">
        <v>140</v>
      </c>
      <c r="BA143" s="20">
        <v>40.28554255651148</v>
      </c>
      <c r="BB143" s="20">
        <v>41.791434980831518</v>
      </c>
      <c r="BC143" s="20">
        <v>43.729182533222463</v>
      </c>
      <c r="BD143" s="20">
        <v>46.465050858235607</v>
      </c>
      <c r="BE143" s="20">
        <v>50</v>
      </c>
      <c r="BP143" s="20">
        <v>140</v>
      </c>
      <c r="BQ143" s="32">
        <f>[1]节奏总纲!BX143</f>
        <v>72.676975898343528</v>
      </c>
      <c r="BR143" s="32">
        <f>[1]节奏总纲!BY143</f>
        <v>73.080733134525161</v>
      </c>
      <c r="BS143" s="32">
        <f>[1]节奏总纲!BZ143</f>
        <v>73.468653197407107</v>
      </c>
      <c r="BT143" s="32">
        <f>[1]节奏总纲!CA143</f>
        <v>73.905031554605898</v>
      </c>
      <c r="BU143" s="32">
        <f>[1]节奏总纲!CB143</f>
        <v>74.365384246573853</v>
      </c>
    </row>
    <row r="144" spans="6:73" x14ac:dyDescent="0.15">
      <c r="F144" s="24">
        <f>[1]节奏总纲!F144</f>
        <v>142</v>
      </c>
      <c r="G144" s="24">
        <f>[1]节奏总纲!G144</f>
        <v>18819.273848271412</v>
      </c>
      <c r="N144" s="24">
        <f>[1]节奏总纲!N144</f>
        <v>151</v>
      </c>
      <c r="O144" s="24">
        <f>[1]节奏总纲!O144</f>
        <v>141</v>
      </c>
      <c r="P144" s="24">
        <f>[1]节奏总纲!P144</f>
        <v>17558.936410194601</v>
      </c>
      <c r="Q144" s="24">
        <f>[1]节奏总纲!Q144</f>
        <v>14839.057160255457</v>
      </c>
      <c r="R144" s="24">
        <f>[1]节奏总纲!R144</f>
        <v>11789.069905804656</v>
      </c>
      <c r="S144" s="24">
        <f>[1]节奏总纲!S144</f>
        <v>8380.8803485858825</v>
      </c>
      <c r="T144" s="24">
        <f>[1]节奏总纲!T144</f>
        <v>4489.820040086759</v>
      </c>
      <c r="U144" s="24"/>
      <c r="V144" s="24">
        <f>[1]节奏总纲!V144</f>
        <v>141</v>
      </c>
      <c r="W144" s="24">
        <f>[1]节奏总纲!W144</f>
        <v>1175.9364101946012</v>
      </c>
      <c r="X144" s="24">
        <f>[1]节奏总纲!X144</f>
        <v>957.74126025545593</v>
      </c>
      <c r="Y144" s="24">
        <f>[1]节奏总纲!Y144</f>
        <v>751.84280580465565</v>
      </c>
      <c r="Z144" s="24">
        <f>[1]节奏总纲!Z144</f>
        <v>553.08294858588215</v>
      </c>
      <c r="AA144" s="24">
        <f>[1]节奏总纲!AA144</f>
        <v>297.41034008675888</v>
      </c>
      <c r="AC144" s="24">
        <f>[1]节奏总纲!AC144</f>
        <v>141</v>
      </c>
      <c r="AD144" s="24">
        <f>[1]节奏总纲!AD144</f>
        <v>71.488808450176208</v>
      </c>
      <c r="AE144" s="24">
        <f>[1]节奏总纲!AE144</f>
        <v>73.572850073134703</v>
      </c>
      <c r="AF144" s="24">
        <f>[1]节奏总纲!AF144</f>
        <v>76.447626306407713</v>
      </c>
      <c r="AG144" s="24">
        <f>[1]节奏总纲!AG144</f>
        <v>81.023848662825003</v>
      </c>
      <c r="AH144" s="24">
        <f>[1]节奏总纲!AH144</f>
        <v>90.267666537059071</v>
      </c>
      <c r="AZ144" s="20">
        <v>141</v>
      </c>
      <c r="BA144" s="20">
        <v>40.332161749411313</v>
      </c>
      <c r="BB144" s="20">
        <v>41.841717749696201</v>
      </c>
      <c r="BC144" s="20">
        <v>43.77911147780199</v>
      </c>
      <c r="BD144" s="20">
        <v>46.513210965282425</v>
      </c>
      <c r="BE144" s="20">
        <v>50</v>
      </c>
      <c r="BP144" s="20">
        <v>141</v>
      </c>
      <c r="BQ144" s="32">
        <f>[1]节奏总纲!BX144</f>
        <v>73.157776302859972</v>
      </c>
      <c r="BR144" s="32">
        <f>[1]节奏总纲!BY144</f>
        <v>73.525682689904926</v>
      </c>
      <c r="BS144" s="32">
        <f>[1]节奏总纲!BZ144</f>
        <v>73.934376924737577</v>
      </c>
      <c r="BT144" s="32">
        <f>[1]节奏总纲!CA144</f>
        <v>74.362219724987099</v>
      </c>
      <c r="BU144" s="32">
        <f>[1]节奏总纲!CB144</f>
        <v>74.843246220121955</v>
      </c>
    </row>
    <row r="145" spans="6:73" x14ac:dyDescent="0.15">
      <c r="F145" s="24">
        <f>[1]节奏总纲!F145</f>
        <v>143</v>
      </c>
      <c r="G145" s="24">
        <f>[1]节奏总纲!G145</f>
        <v>20170.070068243116</v>
      </c>
      <c r="N145" s="24">
        <f>[1]节奏总纲!N145</f>
        <v>152</v>
      </c>
      <c r="O145" s="24">
        <f>[1]节奏总纲!O145</f>
        <v>142</v>
      </c>
      <c r="P145" s="24">
        <f>[1]节奏总纲!P145</f>
        <v>18819.273848271412</v>
      </c>
      <c r="Q145" s="24">
        <f>[1]节奏总纲!Q145</f>
        <v>15904.16832917417</v>
      </c>
      <c r="R145" s="24">
        <f>[1]节奏总纲!R145</f>
        <v>12667.253227271489</v>
      </c>
      <c r="S145" s="24">
        <f>[1]节奏总纲!S145</f>
        <v>9003.140609013044</v>
      </c>
      <c r="T145" s="24">
        <f>[1]节奏总纲!T145</f>
        <v>4823.3798873119622</v>
      </c>
      <c r="U145" s="24"/>
      <c r="V145" s="24">
        <f>[1]节奏总纲!V145</f>
        <v>142</v>
      </c>
      <c r="W145" s="24">
        <f>[1]节奏总纲!W145</f>
        <v>1260.3374380768109</v>
      </c>
      <c r="X145" s="24">
        <f>[1]节奏总纲!X145</f>
        <v>1065.1111689187128</v>
      </c>
      <c r="Y145" s="24">
        <f>[1]节奏总纲!Y145</f>
        <v>878.18332146683315</v>
      </c>
      <c r="Z145" s="24">
        <f>[1]节奏总纲!Z145</f>
        <v>622.26026042716148</v>
      </c>
      <c r="AA145" s="24">
        <f>[1]节奏总纲!AA145</f>
        <v>333.55984722520316</v>
      </c>
      <c r="AC145" s="24">
        <f>[1]节奏总纲!AC145</f>
        <v>142</v>
      </c>
      <c r="AD145" s="24">
        <f>[1]节奏总纲!AD145</f>
        <v>71.590368553155713</v>
      </c>
      <c r="AE145" s="24">
        <f>[1]节奏总纲!AE145</f>
        <v>73.675437692703994</v>
      </c>
      <c r="AF145" s="24">
        <f>[1]节奏总纲!AF145</f>
        <v>76.547480259246996</v>
      </c>
      <c r="AG145" s="24">
        <f>[1]节奏总纲!AG145</f>
        <v>81.123332456233015</v>
      </c>
      <c r="AH145" s="24">
        <f>[1]节奏总纲!AH145</f>
        <v>90.373925583132547</v>
      </c>
      <c r="AZ145" s="20">
        <v>142</v>
      </c>
      <c r="BA145" s="20">
        <v>40.378780942311145</v>
      </c>
      <c r="BB145" s="20">
        <v>41.892000518560877</v>
      </c>
      <c r="BC145" s="20">
        <v>43.829040422381524</v>
      </c>
      <c r="BD145" s="20">
        <v>46.561371072329244</v>
      </c>
      <c r="BE145" s="20">
        <v>50</v>
      </c>
      <c r="BP145" s="20">
        <v>142</v>
      </c>
      <c r="BQ145" s="32">
        <f>[1]节奏总纲!BX145</f>
        <v>73.626200589019419</v>
      </c>
      <c r="BR145" s="32">
        <f>[1]节奏总纲!BY145</f>
        <v>74.017737097591251</v>
      </c>
      <c r="BS145" s="32">
        <f>[1]节奏总纲!BZ145</f>
        <v>74.413599457823011</v>
      </c>
      <c r="BT145" s="32">
        <f>[1]节奏总纲!CA145</f>
        <v>74.862125874890182</v>
      </c>
      <c r="BU145" s="32">
        <f>[1]节奏总纲!CB145</f>
        <v>75.327870415328007</v>
      </c>
    </row>
    <row r="146" spans="6:73" x14ac:dyDescent="0.15">
      <c r="F146" s="24">
        <f>[1]节奏总纲!F146</f>
        <v>144</v>
      </c>
      <c r="G146" s="24">
        <f>[1]节奏总纲!G146</f>
        <v>21617.817610103088</v>
      </c>
      <c r="N146" s="24">
        <f>[1]节奏总纲!N146</f>
        <v>153</v>
      </c>
      <c r="O146" s="24">
        <f>[1]节奏总纲!O146</f>
        <v>143</v>
      </c>
      <c r="P146" s="24">
        <f>[1]节奏总纲!P146</f>
        <v>20170.070068243116</v>
      </c>
      <c r="Q146" s="24">
        <f>[1]节奏总纲!Q146</f>
        <v>17065.896284740498</v>
      </c>
      <c r="R146" s="24">
        <f>[1]节奏总纲!R146</f>
        <v>13594.62722599586</v>
      </c>
      <c r="S146" s="24">
        <f>[1]节奏总纲!S146</f>
        <v>9669.5315907157492</v>
      </c>
      <c r="T146" s="24">
        <f>[1]节奏总纲!T146</f>
        <v>5185.7250145453054</v>
      </c>
      <c r="U146" s="24"/>
      <c r="V146" s="24">
        <f>[1]节奏总纲!V146</f>
        <v>143</v>
      </c>
      <c r="W146" s="24">
        <f>[1]节奏总纲!W146</f>
        <v>1350.796219971704</v>
      </c>
      <c r="X146" s="24">
        <f>[1]节奏总纲!X146</f>
        <v>1161.7279555663281</v>
      </c>
      <c r="Y146" s="24">
        <f>[1]节奏总纲!Y146</f>
        <v>927.37399872437163</v>
      </c>
      <c r="Z146" s="24">
        <f>[1]节奏总纲!Z146</f>
        <v>666.39098170270518</v>
      </c>
      <c r="AA146" s="24">
        <f>[1]节奏总纲!AA146</f>
        <v>362.34512723334319</v>
      </c>
      <c r="AC146" s="24">
        <f>[1]节奏总纲!AC146</f>
        <v>143</v>
      </c>
      <c r="AD146" s="24">
        <f>[1]节奏总纲!AD146</f>
        <v>71.691928656135218</v>
      </c>
      <c r="AE146" s="24">
        <f>[1]节奏总纲!AE146</f>
        <v>73.778025312273286</v>
      </c>
      <c r="AF146" s="24">
        <f>[1]节奏总纲!AF146</f>
        <v>76.647334212086264</v>
      </c>
      <c r="AG146" s="24">
        <f>[1]节奏总纲!AG146</f>
        <v>81.222816249641028</v>
      </c>
      <c r="AH146" s="24">
        <f>[1]节奏总纲!AH146</f>
        <v>90.480184629206022</v>
      </c>
      <c r="AZ146" s="20">
        <v>143</v>
      </c>
      <c r="BA146" s="20">
        <v>40.425400135210978</v>
      </c>
      <c r="BB146" s="20">
        <v>41.94228328742556</v>
      </c>
      <c r="BC146" s="20">
        <v>43.878969366961051</v>
      </c>
      <c r="BD146" s="20">
        <v>46.609531179376063</v>
      </c>
      <c r="BE146" s="20">
        <v>50</v>
      </c>
      <c r="BP146" s="20">
        <v>143</v>
      </c>
      <c r="BQ146" s="32">
        <f>[1]节奏总纲!BX146</f>
        <v>74.110883090832957</v>
      </c>
      <c r="BR146" s="32">
        <f>[1]节奏总纲!BY146</f>
        <v>74.48438665440473</v>
      </c>
      <c r="BS146" s="32">
        <f>[1]节奏总纲!BZ146</f>
        <v>74.910283342584549</v>
      </c>
      <c r="BT146" s="32">
        <f>[1]节奏总纲!CA146</f>
        <v>75.343688653389123</v>
      </c>
      <c r="BU146" s="32">
        <f>[1]节奏总纲!CB146</f>
        <v>75.8312700089093</v>
      </c>
    </row>
    <row r="147" spans="6:73" x14ac:dyDescent="0.15">
      <c r="F147" s="24">
        <f>[1]节奏总纲!F147</f>
        <v>145</v>
      </c>
      <c r="G147" s="24">
        <f>[1]节奏总纲!G147</f>
        <v>23169.475005920798</v>
      </c>
      <c r="N147" s="24">
        <f>[1]节奏总纲!N147</f>
        <v>154</v>
      </c>
      <c r="O147" s="24">
        <f>[1]节奏总纲!O147</f>
        <v>144</v>
      </c>
      <c r="P147" s="24">
        <f>[1]节奏总纲!P147</f>
        <v>21617.817610103088</v>
      </c>
      <c r="Q147" s="24">
        <f>[1]节奏总纲!Q147</f>
        <v>18290.835479908223</v>
      </c>
      <c r="R147" s="24">
        <f>[1]节奏总纲!R147</f>
        <v>14585.541541536553</v>
      </c>
      <c r="S147" s="24">
        <f>[1]节奏总纲!S147</f>
        <v>10380.876016371503</v>
      </c>
      <c r="T147" s="24">
        <f>[1]节奏总纲!T147</f>
        <v>5547.1319987524521</v>
      </c>
      <c r="U147" s="24"/>
      <c r="V147" s="24">
        <f>[1]节奏总纲!V147</f>
        <v>144</v>
      </c>
      <c r="W147" s="24">
        <f>[1]节奏总纲!W147</f>
        <v>1447.7475418599715</v>
      </c>
      <c r="X147" s="24">
        <f>[1]节奏总纲!X147</f>
        <v>1224.9391951677244</v>
      </c>
      <c r="Y147" s="24">
        <f>[1]节奏总纲!Y147</f>
        <v>990.91431554069277</v>
      </c>
      <c r="Z147" s="24">
        <f>[1]节奏总纲!Z147</f>
        <v>711.34442565575409</v>
      </c>
      <c r="AA147" s="24">
        <f>[1]节奏总纲!AA147</f>
        <v>361.40698420714671</v>
      </c>
      <c r="AC147" s="24">
        <f>[1]节奏总纲!AC147</f>
        <v>144</v>
      </c>
      <c r="AD147" s="24">
        <f>[1]节奏总纲!AD147</f>
        <v>71.793488759114723</v>
      </c>
      <c r="AE147" s="24">
        <f>[1]节奏总纲!AE147</f>
        <v>73.880612931842577</v>
      </c>
      <c r="AF147" s="24">
        <f>[1]节奏总纲!AF147</f>
        <v>76.747188164925547</v>
      </c>
      <c r="AG147" s="24">
        <f>[1]节奏总纲!AG147</f>
        <v>81.322300043049054</v>
      </c>
      <c r="AH147" s="24">
        <f>[1]节奏总纲!AH147</f>
        <v>90.586443675279497</v>
      </c>
      <c r="AZ147" s="20">
        <v>144</v>
      </c>
      <c r="BA147" s="20">
        <v>40.472019328110811</v>
      </c>
      <c r="BB147" s="20">
        <v>41.992566056290244</v>
      </c>
      <c r="BC147" s="20">
        <v>43.928898311540586</v>
      </c>
      <c r="BD147" s="20">
        <v>46.657691286422882</v>
      </c>
      <c r="BE147" s="20">
        <v>50</v>
      </c>
      <c r="BP147" s="20">
        <v>144</v>
      </c>
      <c r="BQ147" s="32">
        <f>[1]节奏总纲!BX147</f>
        <v>74.576114728274206</v>
      </c>
      <c r="BR147" s="32">
        <f>[1]节奏总纲!BY147</f>
        <v>74.976427264953529</v>
      </c>
      <c r="BS147" s="32">
        <f>[1]节奏总纲!BZ147</f>
        <v>75.381312336600743</v>
      </c>
      <c r="BT147" s="32">
        <f>[1]节奏总纲!CA147</f>
        <v>75.837817686537164</v>
      </c>
      <c r="BU147" s="32">
        <f>[1]节奏总纲!CB147</f>
        <v>76.288260794883655</v>
      </c>
    </row>
    <row r="148" spans="6:73" x14ac:dyDescent="0.15">
      <c r="F148" s="24">
        <f>[1]节奏总纲!F148</f>
        <v>146</v>
      </c>
      <c r="G148" s="24">
        <f>[1]节奏总纲!G148</f>
        <v>24832.50022570635</v>
      </c>
      <c r="N148" s="24">
        <f>[1]节奏总纲!N148</f>
        <v>155</v>
      </c>
      <c r="O148" s="24">
        <f>[1]节奏总纲!O148</f>
        <v>145</v>
      </c>
      <c r="P148" s="24">
        <f>[1]节奏总纲!P148</f>
        <v>23169.475005920798</v>
      </c>
      <c r="Q148" s="24">
        <f>[1]节奏总纲!Q148</f>
        <v>19631.496172516694</v>
      </c>
      <c r="R148" s="24">
        <f>[1]节奏总纲!R148</f>
        <v>15650.9803664995</v>
      </c>
      <c r="S148" s="24">
        <f>[1]节奏总纲!S148</f>
        <v>11105.129370337838</v>
      </c>
      <c r="T148" s="24">
        <f>[1]节奏总纲!T148</f>
        <v>5926.7517065145412</v>
      </c>
      <c r="U148" s="24"/>
      <c r="V148" s="24">
        <f>[1]节奏总纲!V148</f>
        <v>145</v>
      </c>
      <c r="W148" s="24">
        <f>[1]节奏总纲!W148</f>
        <v>1551.6573958177105</v>
      </c>
      <c r="X148" s="24">
        <f>[1]节奏总纲!X148</f>
        <v>1340.6606926084714</v>
      </c>
      <c r="Y148" s="24">
        <f>[1]节奏总纲!Y148</f>
        <v>1065.4388249629465</v>
      </c>
      <c r="Z148" s="24">
        <f>[1]节奏总纲!Z148</f>
        <v>724.25335396633454</v>
      </c>
      <c r="AA148" s="24">
        <f>[1]节奏总纲!AA148</f>
        <v>379.61970776208909</v>
      </c>
      <c r="AC148" s="24">
        <f>[1]节奏总纲!AC148</f>
        <v>145</v>
      </c>
      <c r="AD148" s="24">
        <f>[1]节奏总纲!AD148</f>
        <v>71.895048862094214</v>
      </c>
      <c r="AE148" s="24">
        <f>[1]节奏总纲!AE148</f>
        <v>73.983200551411869</v>
      </c>
      <c r="AF148" s="24">
        <f>[1]节奏总纲!AF148</f>
        <v>76.847042117764815</v>
      </c>
      <c r="AG148" s="24">
        <f>[1]节奏总纲!AG148</f>
        <v>81.421783836457067</v>
      </c>
      <c r="AH148" s="24">
        <f>[1]节奏总纲!AH148</f>
        <v>90.692702721352973</v>
      </c>
      <c r="AZ148" s="20">
        <v>145</v>
      </c>
      <c r="BA148" s="20">
        <v>40.518638521010651</v>
      </c>
      <c r="BB148" s="20">
        <v>42.036975906461073</v>
      </c>
      <c r="BC148" s="20">
        <v>43.978827256120113</v>
      </c>
      <c r="BD148" s="20">
        <v>46.7058513934697</v>
      </c>
      <c r="BE148" s="20">
        <v>50</v>
      </c>
      <c r="BP148" s="20">
        <v>145</v>
      </c>
      <c r="BQ148" s="32">
        <f>[1]节奏总纲!BX148</f>
        <v>75.064622457794115</v>
      </c>
      <c r="BR148" s="32">
        <f>[1]节奏总纲!BY148</f>
        <v>75.445256632228848</v>
      </c>
      <c r="BS148" s="32">
        <f>[1]节奏总纲!BZ148</f>
        <v>75.874710693729909</v>
      </c>
      <c r="BT148" s="32">
        <f>[1]节奏总纲!CA148</f>
        <v>76.294787124638759</v>
      </c>
      <c r="BU148" s="32">
        <f>[1]节奏总纲!CB148</f>
        <v>76.744300993869714</v>
      </c>
    </row>
    <row r="149" spans="6:73" x14ac:dyDescent="0.15">
      <c r="F149" s="24">
        <f>[1]节奏总纲!F149</f>
        <v>147</v>
      </c>
      <c r="G149" s="24">
        <f>[1]节奏总纲!G149</f>
        <v>26614.886523801088</v>
      </c>
      <c r="N149" s="24">
        <f>[1]节奏总纲!N149</f>
        <v>156</v>
      </c>
      <c r="O149" s="24">
        <f>[1]节奏总纲!O149</f>
        <v>146</v>
      </c>
      <c r="P149" s="24">
        <f>[1]节奏总纲!P149</f>
        <v>24832.50022570635</v>
      </c>
      <c r="Q149" s="24">
        <f>[1]节奏总纲!Q149</f>
        <v>21035.61094119585</v>
      </c>
      <c r="R149" s="24">
        <f>[1]节奏总纲!R149</f>
        <v>16719.722401968087</v>
      </c>
      <c r="S149" s="24">
        <f>[1]节奏总纲!S149</f>
        <v>11847.5858576845</v>
      </c>
      <c r="T149" s="24">
        <f>[1]节奏总纲!T149</f>
        <v>6324.8378074874072</v>
      </c>
      <c r="U149" s="24"/>
      <c r="V149" s="24">
        <f>[1]节奏总纲!V149</f>
        <v>146</v>
      </c>
      <c r="W149" s="24">
        <f>[1]节奏总纲!W149</f>
        <v>1663.0252197855516</v>
      </c>
      <c r="X149" s="24">
        <f>[1]节奏总纲!X149</f>
        <v>1404.1147686791555</v>
      </c>
      <c r="Y149" s="24">
        <f>[1]节奏总纲!Y149</f>
        <v>1068.7420354685873</v>
      </c>
      <c r="Z149" s="24">
        <f>[1]节奏总纲!Z149</f>
        <v>742.45648734666247</v>
      </c>
      <c r="AA149" s="24">
        <f>[1]节奏总纲!AA149</f>
        <v>398.08610097286601</v>
      </c>
      <c r="AC149" s="24">
        <f>[1]节奏总纲!AC149</f>
        <v>146</v>
      </c>
      <c r="AD149" s="24">
        <f>[1]节奏总纲!AD149</f>
        <v>71.996608965073719</v>
      </c>
      <c r="AE149" s="24">
        <f>[1]节奏总纲!AE149</f>
        <v>74.078973000522922</v>
      </c>
      <c r="AF149" s="24">
        <f>[1]节奏总纲!AF149</f>
        <v>76.946896070604097</v>
      </c>
      <c r="AG149" s="24">
        <f>[1]节奏总纲!AG149</f>
        <v>81.521267629865079</v>
      </c>
      <c r="AH149" s="24">
        <f>[1]节奏总纲!AH149</f>
        <v>90.798961767426448</v>
      </c>
      <c r="AZ149" s="20">
        <v>146</v>
      </c>
      <c r="BA149" s="20">
        <v>40.565257713910484</v>
      </c>
      <c r="BB149" s="20">
        <v>42.080366850119908</v>
      </c>
      <c r="BC149" s="20">
        <v>44.024818750237806</v>
      </c>
      <c r="BD149" s="20">
        <v>46.754011500516519</v>
      </c>
      <c r="BE149" s="20">
        <v>50</v>
      </c>
      <c r="BP149" s="20">
        <v>146</v>
      </c>
      <c r="BQ149" s="32">
        <f>[1]节奏总纲!BX149</f>
        <v>75.526704686495577</v>
      </c>
      <c r="BR149" s="32">
        <f>[1]节奏总纲!BY149</f>
        <v>75.932934505318755</v>
      </c>
      <c r="BS149" s="32">
        <f>[1]节奏总纲!BZ149</f>
        <v>76.319625507968723</v>
      </c>
      <c r="BT149" s="32">
        <f>[1]节奏总纲!CA149</f>
        <v>76.740746590526484</v>
      </c>
      <c r="BU149" s="32">
        <f>[1]节奏总纲!CB149</f>
        <v>77.192425415760482</v>
      </c>
    </row>
    <row r="150" spans="6:73" x14ac:dyDescent="0.15">
      <c r="F150" s="24">
        <f>[1]节奏总纲!F150</f>
        <v>148</v>
      </c>
      <c r="G150" s="24">
        <f>[1]节奏总纲!G150</f>
        <v>28525.200858087381</v>
      </c>
      <c r="N150" s="24">
        <f>[1]节奏总纲!N150</f>
        <v>157</v>
      </c>
      <c r="O150" s="24">
        <f>[1]节奏总纲!O150</f>
        <v>147</v>
      </c>
      <c r="P150" s="24">
        <f>[1]节奏总纲!P150</f>
        <v>26614.886523801088</v>
      </c>
      <c r="Q150" s="24">
        <f>[1]节奏总纲!Q150</f>
        <v>22470.948692045258</v>
      </c>
      <c r="R150" s="24">
        <f>[1]节奏总纲!R150</f>
        <v>17837.296948251489</v>
      </c>
      <c r="S150" s="24">
        <f>[1]节奏总纲!S150</f>
        <v>12631.425144195997</v>
      </c>
      <c r="T150" s="24">
        <f>[1]节奏总纲!T150</f>
        <v>6754.8581997407164</v>
      </c>
      <c r="U150" s="24"/>
      <c r="V150" s="24">
        <f>[1]节奏总纲!V150</f>
        <v>147</v>
      </c>
      <c r="W150" s="24">
        <f>[1]节奏总纲!W150</f>
        <v>1782.3862980947379</v>
      </c>
      <c r="X150" s="24">
        <f>[1]节奏总纲!X150</f>
        <v>1435.3377508494086</v>
      </c>
      <c r="Y150" s="24">
        <f>[1]节奏总纲!Y150</f>
        <v>1117.574546283402</v>
      </c>
      <c r="Z150" s="24">
        <f>[1]节奏总纲!Z150</f>
        <v>783.83928651149654</v>
      </c>
      <c r="AA150" s="24">
        <f>[1]节奏总纲!AA150</f>
        <v>430.02039225330918</v>
      </c>
      <c r="AC150" s="24">
        <f>[1]节奏总纲!AC150</f>
        <v>147</v>
      </c>
      <c r="AD150" s="24">
        <f>[1]节奏总纲!AD150</f>
        <v>72.091594979242075</v>
      </c>
      <c r="AE150" s="24">
        <f>[1]节奏总纲!AE150</f>
        <v>74.173410870467364</v>
      </c>
      <c r="AF150" s="24">
        <f>[1]节奏总纲!AF150</f>
        <v>77.043751281705866</v>
      </c>
      <c r="AG150" s="24">
        <f>[1]节奏总纲!AG150</f>
        <v>81.620751423273092</v>
      </c>
      <c r="AH150" s="24">
        <f>[1]节奏总纲!AH150</f>
        <v>90.905220813499923</v>
      </c>
      <c r="AZ150" s="20">
        <v>147</v>
      </c>
      <c r="BA150" s="20">
        <v>40.611876906810316</v>
      </c>
      <c r="BB150" s="20">
        <v>42.123757793778736</v>
      </c>
      <c r="BC150" s="20">
        <v>44.067911160744309</v>
      </c>
      <c r="BD150" s="20">
        <v>46.802171607563338</v>
      </c>
      <c r="BE150" s="20">
        <v>50</v>
      </c>
      <c r="BP150" s="20">
        <v>147</v>
      </c>
      <c r="BQ150" s="32">
        <f>[1]节奏总纲!BX150</f>
        <v>76.018981963564528</v>
      </c>
      <c r="BR150" s="32">
        <f>[1]节奏总纲!BY150</f>
        <v>76.37307935688159</v>
      </c>
      <c r="BS150" s="32">
        <f>[1]节奏总纲!BZ150</f>
        <v>76.767142595945487</v>
      </c>
      <c r="BT150" s="32">
        <f>[1]节奏总纲!CA150</f>
        <v>77.182945989803613</v>
      </c>
      <c r="BU150" s="32">
        <f>[1]节奏总纲!CB150</f>
        <v>77.639136792985582</v>
      </c>
    </row>
    <row r="151" spans="6:73" x14ac:dyDescent="0.15">
      <c r="F151" s="24">
        <f>[1]节奏总纲!F151</f>
        <v>149</v>
      </c>
      <c r="G151" s="24">
        <f>[1]节奏总纲!G151</f>
        <v>30572.62506667812</v>
      </c>
      <c r="N151" s="24">
        <f>[1]节奏总纲!N151</f>
        <v>158</v>
      </c>
      <c r="O151" s="24">
        <f>[1]节奏总纲!O151</f>
        <v>148</v>
      </c>
      <c r="P151" s="24">
        <f>[1]节奏总纲!P151</f>
        <v>28525.200858087381</v>
      </c>
      <c r="Q151" s="24">
        <f>[1]节奏总纲!Q151</f>
        <v>24083.827084483179</v>
      </c>
      <c r="R151" s="24">
        <f>[1]节奏总纲!R151</f>
        <v>19128.999695433398</v>
      </c>
      <c r="S151" s="24">
        <f>[1]节奏总纲!S151</f>
        <v>13566.58552810636</v>
      </c>
      <c r="T151" s="24">
        <f>[1]节奏总纲!T151</f>
        <v>7242.5484978683862</v>
      </c>
      <c r="U151" s="24"/>
      <c r="V151" s="24">
        <f>[1]节奏总纲!V151</f>
        <v>148</v>
      </c>
      <c r="W151" s="24">
        <f>[1]节奏总纲!W151</f>
        <v>1910.3143342862932</v>
      </c>
      <c r="X151" s="24">
        <f>[1]节奏总纲!X151</f>
        <v>1612.8783924379204</v>
      </c>
      <c r="Y151" s="24">
        <f>[1]节奏总纲!Y151</f>
        <v>1291.7027471819092</v>
      </c>
      <c r="Z151" s="24">
        <f>[1]节奏总纲!Z151</f>
        <v>935.16038391036273</v>
      </c>
      <c r="AA151" s="24">
        <f>[1]节奏总纲!AA151</f>
        <v>487.69029812766985</v>
      </c>
      <c r="AC151" s="24">
        <f>[1]节奏总纲!AC151</f>
        <v>148</v>
      </c>
      <c r="AD151" s="24">
        <f>[1]节奏总纲!AD151</f>
        <v>72.186353905945822</v>
      </c>
      <c r="AE151" s="24">
        <f>[1]节奏总纲!AE151</f>
        <v>74.267848740411821</v>
      </c>
      <c r="AF151" s="24">
        <f>[1]节奏总纲!AF151</f>
        <v>77.137200185007629</v>
      </c>
      <c r="AG151" s="24">
        <f>[1]节奏总纲!AG151</f>
        <v>81.720235216681118</v>
      </c>
      <c r="AH151" s="24">
        <f>[1]节奏总纲!AH151</f>
        <v>91.011076811620597</v>
      </c>
      <c r="AZ151" s="20">
        <v>148</v>
      </c>
      <c r="BA151" s="20">
        <v>40.658496099710149</v>
      </c>
      <c r="BB151" s="20">
        <v>42.167148737437564</v>
      </c>
      <c r="BC151" s="20">
        <v>44.111003571250812</v>
      </c>
      <c r="BD151" s="20">
        <v>46.850331714610157</v>
      </c>
      <c r="BE151" s="20">
        <v>50</v>
      </c>
      <c r="BP151" s="20">
        <v>148</v>
      </c>
      <c r="BQ151" s="32">
        <f>[1]节奏总纲!BX151</f>
        <v>76.477957149162563</v>
      </c>
      <c r="BR151" s="32">
        <f>[1]节奏总纲!BY151</f>
        <v>76.857470293382107</v>
      </c>
      <c r="BS151" s="32">
        <f>[1]节奏总纲!BZ151</f>
        <v>77.245919604256756</v>
      </c>
      <c r="BT151" s="32">
        <f>[1]节奏总纲!CA151</f>
        <v>77.668675027947558</v>
      </c>
      <c r="BU151" s="32">
        <f>[1]节奏总纲!CB151</f>
        <v>78.126046531078771</v>
      </c>
    </row>
    <row r="152" spans="6:73" x14ac:dyDescent="0.15">
      <c r="F152" s="24">
        <f>[1]节奏总纲!F152</f>
        <v>150</v>
      </c>
      <c r="G152" s="24">
        <f>[1]节奏总纲!G152</f>
        <v>32767</v>
      </c>
      <c r="N152" s="24">
        <f>[1]节奏总纲!N152</f>
        <v>159</v>
      </c>
      <c r="O152" s="24">
        <f>[1]节奏总纲!O152</f>
        <v>149</v>
      </c>
      <c r="P152" s="24">
        <f>[1]节奏总纲!P152</f>
        <v>30572.62506667812</v>
      </c>
      <c r="Q152" s="24">
        <f>[1]节奏总纲!Q152</f>
        <v>25818.581868809673</v>
      </c>
      <c r="R152" s="24">
        <f>[1]节奏总纲!R152</f>
        <v>20520.345944754354</v>
      </c>
      <c r="S152" s="24">
        <f>[1]节奏总纲!S152</f>
        <v>14549.512269232117</v>
      </c>
      <c r="T152" s="24">
        <f>[1]节奏总纲!T152</f>
        <v>7768.50402944291</v>
      </c>
      <c r="U152" s="24"/>
      <c r="V152" s="24">
        <f>[1]节奏总纲!V152</f>
        <v>149</v>
      </c>
      <c r="W152" s="24">
        <f>[1]节奏总纲!W152</f>
        <v>2047.424208590739</v>
      </c>
      <c r="X152" s="24">
        <f>[1]节奏总纲!X152</f>
        <v>1734.7547843264947</v>
      </c>
      <c r="Y152" s="24">
        <f>[1]节奏总纲!Y152</f>
        <v>1391.3462493209554</v>
      </c>
      <c r="Z152" s="24">
        <f>[1]节奏总纲!Z152</f>
        <v>982.92674112575696</v>
      </c>
      <c r="AA152" s="24">
        <f>[1]节奏总纲!AA152</f>
        <v>525.95553157452377</v>
      </c>
      <c r="AC152" s="24">
        <f>[1]节奏总纲!AC152</f>
        <v>149</v>
      </c>
      <c r="AD152" s="24">
        <f>[1]节奏总纲!AD152</f>
        <v>72.281112832649583</v>
      </c>
      <c r="AE152" s="24">
        <f>[1]节奏总纲!AE152</f>
        <v>74.362286610356264</v>
      </c>
      <c r="AF152" s="24">
        <f>[1]节奏总纲!AF152</f>
        <v>77.230649088309391</v>
      </c>
      <c r="AG152" s="24">
        <f>[1]节奏总纲!AG152</f>
        <v>81.819719010089131</v>
      </c>
      <c r="AH152" s="24">
        <f>[1]节奏总纲!AH152</f>
        <v>91.113605194377854</v>
      </c>
      <c r="AZ152" s="20">
        <v>149</v>
      </c>
      <c r="BA152" s="20">
        <v>40.705115292609982</v>
      </c>
      <c r="BB152" s="20">
        <v>42.2105396810964</v>
      </c>
      <c r="BC152" s="20">
        <v>44.154095981757315</v>
      </c>
      <c r="BD152" s="20">
        <v>46.898491821656968</v>
      </c>
      <c r="BE152" s="20">
        <v>50</v>
      </c>
      <c r="BP152" s="20">
        <v>149</v>
      </c>
      <c r="BQ152" s="32">
        <f>[1]节奏总纲!BX152</f>
        <v>76.969874573049196</v>
      </c>
      <c r="BR152" s="32">
        <f>[1]节奏总纲!BY152</f>
        <v>77.327271482343065</v>
      </c>
      <c r="BS152" s="32">
        <f>[1]节奏总纲!BZ152</f>
        <v>77.727703112223537</v>
      </c>
      <c r="BT152" s="32">
        <f>[1]节奏总纲!CA152</f>
        <v>78.1549799524241</v>
      </c>
      <c r="BU152" s="32">
        <f>[1]节奏总纲!CB152</f>
        <v>78.598533634779585</v>
      </c>
    </row>
    <row r="153" spans="6:73" x14ac:dyDescent="0.15">
      <c r="F153" s="24">
        <f>[1]节奏总纲!F153</f>
        <v>151</v>
      </c>
      <c r="G153" s="24">
        <f>[1]节奏总纲!G153</f>
        <v>35118.87282038921</v>
      </c>
      <c r="N153" s="24">
        <f>[1]节奏总纲!N153</f>
        <v>160</v>
      </c>
      <c r="O153" s="24">
        <f>[1]节奏总纲!O153</f>
        <v>150</v>
      </c>
      <c r="P153" s="24">
        <f>[1]节奏总纲!P153</f>
        <v>32767</v>
      </c>
      <c r="Q153" s="24">
        <f>[1]节奏总纲!Q153</f>
        <v>27671.731500000002</v>
      </c>
      <c r="R153" s="24">
        <f>[1]节奏总纲!R153</f>
        <v>21996.487099999998</v>
      </c>
      <c r="S153" s="24">
        <f>[1]节奏总纲!S153</f>
        <v>15603.645400000001</v>
      </c>
      <c r="T153" s="24">
        <f>[1]节奏总纲!T153</f>
        <v>8355.5850000000009</v>
      </c>
      <c r="U153" s="24"/>
      <c r="V153" s="24">
        <f>[1]节奏总纲!V153</f>
        <v>150</v>
      </c>
      <c r="W153" s="24">
        <f>[1]节奏总纲!W153</f>
        <v>2194.3749333218802</v>
      </c>
      <c r="X153" s="24">
        <f>[1]节奏总纲!X153</f>
        <v>1853.1496311903284</v>
      </c>
      <c r="Y153" s="24">
        <f>[1]节奏总纲!Y153</f>
        <v>1476.1411552456448</v>
      </c>
      <c r="Z153" s="24">
        <f>[1]节奏总纲!Z153</f>
        <v>1054.1331307678847</v>
      </c>
      <c r="AA153" s="24">
        <f>[1]节奏总纲!AA153</f>
        <v>587.08097055709095</v>
      </c>
      <c r="AC153" s="24">
        <f>[1]节奏总纲!AC153</f>
        <v>150</v>
      </c>
      <c r="AD153" s="24">
        <f>[1]节奏总纲!AD153</f>
        <v>72.375871759353331</v>
      </c>
      <c r="AE153" s="24">
        <f>[1]节奏总纲!AE153</f>
        <v>74.456724480300707</v>
      </c>
      <c r="AF153" s="24">
        <f>[1]节奏总纲!AF153</f>
        <v>77.324097991611154</v>
      </c>
      <c r="AG153" s="24">
        <f>[1]节奏总纲!AG153</f>
        <v>81.919202803497143</v>
      </c>
      <c r="AH153" s="24">
        <f>[1]节奏总纲!AH153</f>
        <v>91.216133577135096</v>
      </c>
      <c r="AZ153" s="20">
        <v>150</v>
      </c>
      <c r="BA153" s="20">
        <v>40.751734485509814</v>
      </c>
      <c r="BB153" s="20">
        <v>42.253930624755228</v>
      </c>
      <c r="BC153" s="20">
        <v>44.197188392263818</v>
      </c>
      <c r="BD153" s="20">
        <v>46.946651928703787</v>
      </c>
      <c r="BE153" s="20">
        <v>50</v>
      </c>
      <c r="BP153" s="20">
        <v>150</v>
      </c>
      <c r="BQ153" s="32">
        <f>[1]节奏总纲!BX153</f>
        <v>77.429859113413457</v>
      </c>
      <c r="BR153" s="32">
        <f>[1]节奏总纲!BY153</f>
        <v>77.808541114473428</v>
      </c>
      <c r="BS153" s="32">
        <f>[1]节奏总纲!BZ153</f>
        <v>78.206550290005254</v>
      </c>
      <c r="BT153" s="32">
        <f>[1]节奏总纲!CA153</f>
        <v>78.628465142683979</v>
      </c>
      <c r="BU153" s="32">
        <f>[1]节奏总纲!CB153</f>
        <v>79.108907766261424</v>
      </c>
    </row>
    <row r="154" spans="6:73" x14ac:dyDescent="0.15">
      <c r="F154" s="24">
        <f>[1]节奏总纲!F154</f>
        <v>152</v>
      </c>
      <c r="G154" s="24">
        <f>[1]节奏总纲!G154</f>
        <v>37639.547696542824</v>
      </c>
      <c r="N154" s="24">
        <f>[1]节奏总纲!N154</f>
        <v>161</v>
      </c>
      <c r="O154" s="24">
        <f>[1]节奏总纲!O154</f>
        <v>151</v>
      </c>
      <c r="P154" s="24">
        <f>[1]节奏总纲!P154</f>
        <v>35118.87282038921</v>
      </c>
      <c r="Q154" s="24">
        <f>[1]节奏总纲!Q154</f>
        <v>29671.935645946844</v>
      </c>
      <c r="R154" s="24">
        <f>[1]节奏总纲!R154</f>
        <v>23592.858760737468</v>
      </c>
      <c r="S154" s="24">
        <f>[1]节奏总纲!S154</f>
        <v>16804.380644556237</v>
      </c>
      <c r="T154" s="24">
        <f>[1]节奏总纲!T154</f>
        <v>9095.7880604808051</v>
      </c>
      <c r="U154" s="24"/>
      <c r="V154" s="24">
        <f>[1]节奏总纲!V154</f>
        <v>151</v>
      </c>
      <c r="W154" s="24">
        <f>[1]节奏总纲!W154</f>
        <v>2351.8728203892097</v>
      </c>
      <c r="X154" s="24">
        <f>[1]节奏总纲!X154</f>
        <v>2000.2041459468419</v>
      </c>
      <c r="Y154" s="24">
        <f>[1]节奏总纲!Y154</f>
        <v>1596.3716607374699</v>
      </c>
      <c r="Z154" s="24">
        <f>[1]节奏总纲!Z154</f>
        <v>1200.7352445562356</v>
      </c>
      <c r="AA154" s="24">
        <f>[1]节奏总纲!AA154</f>
        <v>740.2030604808042</v>
      </c>
      <c r="AC154" s="24">
        <f>[1]节奏总纲!AC154</f>
        <v>151</v>
      </c>
      <c r="AD154" s="24">
        <f>[1]节奏总纲!AD154</f>
        <v>72.470630686057078</v>
      </c>
      <c r="AE154" s="24">
        <f>[1]节奏总纲!AE154</f>
        <v>74.551162350245164</v>
      </c>
      <c r="AF154" s="24">
        <f>[1]节奏总纲!AF154</f>
        <v>77.417546894912917</v>
      </c>
      <c r="AG154" s="24">
        <f>[1]节奏总纲!AG154</f>
        <v>82.01744549958407</v>
      </c>
      <c r="AH154" s="24">
        <f>[1]节奏总纲!AH154</f>
        <v>91.318661959892353</v>
      </c>
      <c r="AZ154" s="20">
        <v>151</v>
      </c>
      <c r="BA154" s="20">
        <v>40.798353678409647</v>
      </c>
      <c r="BB154" s="20">
        <v>42.297321568414056</v>
      </c>
      <c r="BC154" s="20">
        <v>44.240280802770329</v>
      </c>
      <c r="BD154" s="20">
        <v>46.994812035750606</v>
      </c>
      <c r="BE154" s="20">
        <v>50</v>
      </c>
      <c r="BP154" s="20">
        <v>151</v>
      </c>
      <c r="BQ154" s="32">
        <f>[1]节奏总纲!BX154</f>
        <v>77.918490985566862</v>
      </c>
      <c r="BR154" s="32">
        <f>[1]节奏总纲!BY154</f>
        <v>78.283647251084375</v>
      </c>
      <c r="BS154" s="32">
        <f>[1]节奏总纲!BZ154</f>
        <v>78.684578676520431</v>
      </c>
      <c r="BT154" s="32">
        <f>[1]节奏总纲!CA154</f>
        <v>79.145115266529871</v>
      </c>
      <c r="BU154" s="32">
        <f>[1]节奏总纲!CB154</f>
        <v>79.683968750737293</v>
      </c>
    </row>
    <row r="155" spans="6:73" x14ac:dyDescent="0.15">
      <c r="F155" s="24">
        <f>[1]节奏总纲!F155</f>
        <v>153</v>
      </c>
      <c r="G155" s="24">
        <f>[1]节奏总纲!G155</f>
        <v>40341.140136486232</v>
      </c>
      <c r="N155" s="24">
        <f>[1]节奏总纲!N155</f>
        <v>162</v>
      </c>
      <c r="O155" s="24">
        <f>[1]节奏总纲!O155</f>
        <v>152</v>
      </c>
      <c r="P155" s="24">
        <f>[1]节奏总纲!P155</f>
        <v>37639.547696542824</v>
      </c>
      <c r="Q155" s="24">
        <f>[1]节奏总纲!Q155</f>
        <v>31794.125939269725</v>
      </c>
      <c r="R155" s="24">
        <f>[1]节奏总纲!R155</f>
        <v>25425.514469014677</v>
      </c>
      <c r="S155" s="24">
        <f>[1]节奏总纲!S155</f>
        <v>18255.180632823271</v>
      </c>
      <c r="T155" s="24">
        <f>[1]节奏总纲!T155</f>
        <v>14114.830386203559</v>
      </c>
      <c r="U155" s="24"/>
      <c r="V155" s="24">
        <f>[1]节奏总纲!V155</f>
        <v>152</v>
      </c>
      <c r="W155" s="24">
        <f>[1]节奏总纲!W155</f>
        <v>2520.6748761536146</v>
      </c>
      <c r="X155" s="24">
        <f>[1]节奏总纲!X155</f>
        <v>2122.1902933228812</v>
      </c>
      <c r="Y155" s="24">
        <f>[1]节奏总纲!Y155</f>
        <v>1832.6557082772088</v>
      </c>
      <c r="Z155" s="24">
        <f>[1]节奏总纲!Z155</f>
        <v>1450.7999882670338</v>
      </c>
      <c r="AA155" s="24">
        <f>[1]节奏总纲!AA155</f>
        <v>5019.042325722754</v>
      </c>
      <c r="AC155" s="24">
        <f>[1]节奏总纲!AC155</f>
        <v>152</v>
      </c>
      <c r="AD155" s="24">
        <f>[1]节奏总纲!AD155</f>
        <v>72.565389612760825</v>
      </c>
      <c r="AE155" s="24">
        <f>[1]节奏总纲!AE155</f>
        <v>74.645600220189607</v>
      </c>
      <c r="AF155" s="24">
        <f>[1]节奏总纲!AF155</f>
        <v>77.51099579821468</v>
      </c>
      <c r="AG155" s="24">
        <f>[1]节奏总纲!AG155</f>
        <v>82.110321933176039</v>
      </c>
      <c r="AH155" s="24">
        <f>[1]节奏总纲!AH155</f>
        <v>91.421190342649595</v>
      </c>
      <c r="AZ155" s="20">
        <v>152</v>
      </c>
      <c r="BA155" s="20">
        <v>40.84497287130948</v>
      </c>
      <c r="BB155" s="20">
        <v>42.340712512072891</v>
      </c>
      <c r="BC155" s="20">
        <v>44.283373213276832</v>
      </c>
      <c r="BD155" s="20">
        <v>47.037096473408994</v>
      </c>
      <c r="BE155" s="20">
        <v>50</v>
      </c>
      <c r="BP155" s="20">
        <v>152</v>
      </c>
      <c r="BQ155" s="32">
        <f>[1]节奏总纲!BX155</f>
        <v>78.382397883778651</v>
      </c>
      <c r="BR155" s="32">
        <f>[1]节奏总纲!BY155</f>
        <v>78.760259571422736</v>
      </c>
      <c r="BS155" s="32">
        <f>[1]节奏总纲!BZ155</f>
        <v>79.201814062049863</v>
      </c>
      <c r="BT155" s="32">
        <f>[1]节奏总纲!CA155</f>
        <v>79.708675804221045</v>
      </c>
      <c r="BU155" s="32">
        <f>[1]节奏总纲!CB155</f>
        <v>80</v>
      </c>
    </row>
    <row r="156" spans="6:73" x14ac:dyDescent="0.15">
      <c r="F156" s="24">
        <f>[1]节奏总纲!F156</f>
        <v>154</v>
      </c>
      <c r="G156" s="24">
        <f>[1]节奏总纲!G156</f>
        <v>43236.635220206183</v>
      </c>
      <c r="N156" s="24">
        <f>[1]节奏总纲!N156</f>
        <v>163</v>
      </c>
      <c r="O156" s="24">
        <f>[1]节奏总纲!O156</f>
        <v>153</v>
      </c>
      <c r="P156" s="24">
        <f>[1]节奏总纲!P156</f>
        <v>40341.140136486232</v>
      </c>
      <c r="Q156" s="24">
        <f>[1]节奏总纲!Q156</f>
        <v>34330.31025614978</v>
      </c>
      <c r="R156" s="24">
        <f>[1]节奏总纲!R156</f>
        <v>27552.998713220099</v>
      </c>
      <c r="S156" s="24">
        <f>[1]节奏总纲!S156</f>
        <v>24204.684081891737</v>
      </c>
      <c r="T156" s="24">
        <f>[1]节奏总纲!T156</f>
        <v>24204.684081891737</v>
      </c>
      <c r="U156" s="24"/>
      <c r="V156" s="24">
        <f>[1]节奏总纲!V156</f>
        <v>153</v>
      </c>
      <c r="W156" s="24">
        <f>[1]节奏总纲!W156</f>
        <v>2701.592439943408</v>
      </c>
      <c r="X156" s="24">
        <f>[1]节奏总纲!X156</f>
        <v>2536.1843168800551</v>
      </c>
      <c r="Y156" s="24">
        <f>[1]节奏总纲!Y156</f>
        <v>2127.4842442054214</v>
      </c>
      <c r="Z156" s="24">
        <f>[1]节奏总纲!Z156</f>
        <v>5949.5034490684666</v>
      </c>
      <c r="AA156" s="24">
        <f>[1]节奏总纲!AA156</f>
        <v>10089.853695688178</v>
      </c>
      <c r="AC156" s="24">
        <f>[1]节奏总纲!AC156</f>
        <v>153</v>
      </c>
      <c r="AD156" s="24">
        <f>[1]节奏总纲!AD156</f>
        <v>72.660148539464572</v>
      </c>
      <c r="AE156" s="24">
        <f>[1]节奏总纲!AE156</f>
        <v>74.74003809013405</v>
      </c>
      <c r="AF156" s="24">
        <f>[1]节奏总纲!AF156</f>
        <v>77.604444701516456</v>
      </c>
      <c r="AG156" s="24">
        <f>[1]节奏总纲!AG156</f>
        <v>82.203198366767992</v>
      </c>
      <c r="AH156" s="24">
        <f>[1]节奏总纲!AH156</f>
        <v>91.523718725406852</v>
      </c>
      <c r="AZ156" s="20">
        <v>153</v>
      </c>
      <c r="BA156" s="20">
        <v>40.891592064209313</v>
      </c>
      <c r="BB156" s="20">
        <v>42.384103455731719</v>
      </c>
      <c r="BC156" s="20">
        <v>44.326465623783335</v>
      </c>
      <c r="BD156" s="20">
        <v>47.078671550054786</v>
      </c>
      <c r="BE156" s="20">
        <v>50</v>
      </c>
      <c r="BP156" s="20">
        <v>153</v>
      </c>
      <c r="BQ156" s="32">
        <f>[1]节奏总纲!BX156</f>
        <v>78.867787811519349</v>
      </c>
      <c r="BR156" s="32">
        <f>[1]节奏总纲!BY156</f>
        <v>79.28525743882193</v>
      </c>
      <c r="BS156" s="32">
        <f>[1]节奏总纲!BZ156</f>
        <v>79.75275890824517</v>
      </c>
      <c r="BT156" s="32">
        <f>[1]节奏总纲!CA156</f>
        <v>80</v>
      </c>
      <c r="BU156" s="32">
        <f>[1]节奏总纲!CB156</f>
        <v>80</v>
      </c>
    </row>
    <row r="157" spans="6:73" x14ac:dyDescent="0.15">
      <c r="F157" s="24">
        <f>[1]节奏总纲!F157</f>
        <v>155</v>
      </c>
      <c r="G157" s="24">
        <f>[1]节奏总纲!G157</f>
        <v>46339.950011841604</v>
      </c>
      <c r="N157" s="24">
        <f>[1]节奏总纲!N157</f>
        <v>164</v>
      </c>
      <c r="O157" s="24">
        <f>[1]节奏总纲!O157</f>
        <v>154</v>
      </c>
      <c r="P157" s="24">
        <f>[1]节奏总纲!P157</f>
        <v>43236.635220206183</v>
      </c>
      <c r="Q157" s="24">
        <f>[1]节奏总纲!Q157</f>
        <v>36967.323113276288</v>
      </c>
      <c r="R157" s="24">
        <f>[1]节奏总纲!R157</f>
        <v>33940.758647861854</v>
      </c>
      <c r="S157" s="24">
        <f>[1]节奏总纲!S157</f>
        <v>34156.941823962887</v>
      </c>
      <c r="T157" s="24">
        <f>[1]节奏总纲!T157</f>
        <v>34156.941823962887</v>
      </c>
      <c r="U157" s="24"/>
      <c r="V157" s="24">
        <f>[1]节奏总纲!V157</f>
        <v>154</v>
      </c>
      <c r="W157" s="24">
        <f>[1]节奏总纲!W157</f>
        <v>2895.4950837199503</v>
      </c>
      <c r="X157" s="24">
        <f>[1]节奏总纲!X157</f>
        <v>2637.0128571265086</v>
      </c>
      <c r="Y157" s="24">
        <f>[1]节奏总纲!Y157</f>
        <v>6387.7599346417555</v>
      </c>
      <c r="Z157" s="24">
        <f>[1]节奏总纲!Z157</f>
        <v>9952.2577420711496</v>
      </c>
      <c r="AA157" s="24">
        <f>[1]节奏总纲!AA157</f>
        <v>9952.2577420711496</v>
      </c>
      <c r="AC157" s="24">
        <f>[1]节奏总纲!AC157</f>
        <v>154</v>
      </c>
      <c r="AD157" s="24">
        <f>[1]节奏总纲!AD157</f>
        <v>72.754907466168333</v>
      </c>
      <c r="AE157" s="24">
        <f>[1]节奏总纲!AE157</f>
        <v>74.834475960078507</v>
      </c>
      <c r="AF157" s="24">
        <f>[1]节奏总纲!AF157</f>
        <v>77.697893604818219</v>
      </c>
      <c r="AG157" s="24">
        <f>[1]节奏总纲!AG157</f>
        <v>82.29607480035996</v>
      </c>
      <c r="AH157" s="24">
        <f>[1]节奏总纲!AH157</f>
        <v>91.626247108164094</v>
      </c>
      <c r="AZ157" s="20">
        <v>154</v>
      </c>
      <c r="BA157" s="20">
        <v>40.938211257109145</v>
      </c>
      <c r="BB157" s="20">
        <v>42.427494399390554</v>
      </c>
      <c r="BC157" s="20">
        <v>44.369558034289838</v>
      </c>
      <c r="BD157" s="20">
        <v>47.12024662670057</v>
      </c>
      <c r="BE157" s="20">
        <v>50</v>
      </c>
      <c r="BP157" s="20">
        <v>154</v>
      </c>
      <c r="BQ157" s="32">
        <f>[1]节奏总纲!BX157</f>
        <v>79.335561067249373</v>
      </c>
      <c r="BR157" s="32">
        <f>[1]节奏总纲!BY157</f>
        <v>79.797428791068725</v>
      </c>
      <c r="BS157" s="32">
        <f>[1]节奏总纲!BZ157</f>
        <v>80</v>
      </c>
      <c r="BT157" s="32">
        <f>[1]节奏总纲!CA157</f>
        <v>80</v>
      </c>
      <c r="BU157" s="32">
        <f>[1]节奏总纲!CB157</f>
        <v>80</v>
      </c>
    </row>
    <row r="158" spans="6:73" x14ac:dyDescent="0.15">
      <c r="F158" s="24">
        <f>[1]节奏总纲!F158</f>
        <v>156</v>
      </c>
      <c r="G158" s="24">
        <f>[1]节奏总纲!G158</f>
        <v>49666.000451412707</v>
      </c>
      <c r="N158" s="24">
        <f>[1]节奏总纲!N158</f>
        <v>165</v>
      </c>
      <c r="O158" s="24">
        <f>[1]节奏总纲!O158</f>
        <v>155</v>
      </c>
      <c r="P158" s="24">
        <f>[1]节奏总纲!P158</f>
        <v>46339.950011841604</v>
      </c>
      <c r="Q158" s="24">
        <f>[1]节奏总纲!Q158</f>
        <v>44078.560451263736</v>
      </c>
      <c r="R158" s="24">
        <f>[1]节奏总纲!R158</f>
        <v>44402.940101346627</v>
      </c>
      <c r="S158" s="24">
        <f>[1]节奏总纲!S158</f>
        <v>44402.940101346627</v>
      </c>
      <c r="T158" s="24">
        <f>[1]节奏总纲!T158</f>
        <v>44541.959951382152</v>
      </c>
      <c r="U158" s="24"/>
      <c r="V158" s="24">
        <f>[1]节奏总纲!V158</f>
        <v>155</v>
      </c>
      <c r="W158" s="24">
        <f>[1]节奏总纲!W158</f>
        <v>3103.314791635421</v>
      </c>
      <c r="X158" s="24">
        <f>[1]节奏总纲!X158</f>
        <v>7111.237337987448</v>
      </c>
      <c r="Y158" s="24">
        <f>[1]节奏总纲!Y158</f>
        <v>10462.181453484773</v>
      </c>
      <c r="Z158" s="24">
        <f>[1]节奏总纲!Z158</f>
        <v>10245.99827738374</v>
      </c>
      <c r="AA158" s="24">
        <f>[1]节奏总纲!AA158</f>
        <v>10385.018127419266</v>
      </c>
      <c r="AC158" s="24">
        <f>[1]节奏总纲!AC158</f>
        <v>155</v>
      </c>
      <c r="AD158" s="24">
        <f>[1]节奏总纲!AD158</f>
        <v>72.849666392872081</v>
      </c>
      <c r="AE158" s="24">
        <f>[1]节奏总纲!AE158</f>
        <v>74.92891383002295</v>
      </c>
      <c r="AF158" s="24">
        <f>[1]节奏总纲!AF158</f>
        <v>77.791342508119982</v>
      </c>
      <c r="AG158" s="24">
        <f>[1]节奏总纲!AG158</f>
        <v>82.388951233951914</v>
      </c>
      <c r="AH158" s="24">
        <f>[1]节奏总纲!AH158</f>
        <v>91.72877549092135</v>
      </c>
      <c r="AZ158" s="20">
        <v>155</v>
      </c>
      <c r="BA158" s="20">
        <v>40.984830450008985</v>
      </c>
      <c r="BB158" s="20">
        <v>42.470885343049382</v>
      </c>
      <c r="BC158" s="20">
        <v>44.412650444796341</v>
      </c>
      <c r="BD158" s="20">
        <v>47.161821703346362</v>
      </c>
      <c r="BE158" s="20">
        <v>50</v>
      </c>
      <c r="BP158" s="20">
        <v>155</v>
      </c>
      <c r="BQ158" s="32">
        <f>[1]节奏总纲!BX158</f>
        <v>79.8177517942256</v>
      </c>
      <c r="BR158" s="32">
        <f>[1]节奏总纲!BY158</f>
        <v>80</v>
      </c>
      <c r="BS158" s="32">
        <f>[1]节奏总纲!BZ158</f>
        <v>80</v>
      </c>
      <c r="BT158" s="32">
        <f>[1]节奏总纲!CA158</f>
        <v>80</v>
      </c>
      <c r="BU158" s="32">
        <f>[1]节奏总纲!CB158</f>
        <v>80</v>
      </c>
    </row>
    <row r="159" spans="6:73" x14ac:dyDescent="0.15">
      <c r="F159" s="24">
        <f>[1]节奏总纲!F159</f>
        <v>157</v>
      </c>
      <c r="G159" s="24">
        <f>[1]节奏总纲!G159</f>
        <v>53230.773047602182</v>
      </c>
      <c r="N159" s="24">
        <f>[1]节奏总纲!N159</f>
        <v>166</v>
      </c>
      <c r="O159" s="24">
        <f>[1]节奏总纲!O159</f>
        <v>156</v>
      </c>
      <c r="P159" s="24">
        <f>[1]节奏总纲!P159</f>
        <v>49666.000451412707</v>
      </c>
      <c r="Q159" s="24">
        <f>[1]节奏总纲!Q159</f>
        <v>49666.000451412707</v>
      </c>
      <c r="R159" s="24">
        <f>[1]节奏总纲!R159</f>
        <v>50162.660455926831</v>
      </c>
      <c r="S159" s="24">
        <f>[1]节奏总纲!S159</f>
        <v>50162.660455926831</v>
      </c>
      <c r="T159" s="24">
        <f>[1]节奏总纲!T159</f>
        <v>50311.658457281068</v>
      </c>
      <c r="U159" s="24"/>
      <c r="V159" s="24">
        <f>[1]节奏总纲!V159</f>
        <v>156</v>
      </c>
      <c r="W159" s="24">
        <f>[1]节奏总纲!W159</f>
        <v>3326.0504395711032</v>
      </c>
      <c r="X159" s="24">
        <f>[1]节奏总纲!X159</f>
        <v>5587.4400001489703</v>
      </c>
      <c r="Y159" s="24">
        <f>[1]节奏总纲!Y159</f>
        <v>5759.720354580204</v>
      </c>
      <c r="Z159" s="24">
        <f>[1]节奏总纲!Z159</f>
        <v>5759.720354580204</v>
      </c>
      <c r="AA159" s="24">
        <f>[1]节奏总纲!AA159</f>
        <v>5769.6985058989158</v>
      </c>
      <c r="AC159" s="24">
        <f>[1]节奏总纲!AC159</f>
        <v>156</v>
      </c>
      <c r="AD159" s="24">
        <f>[1]节奏总纲!AD159</f>
        <v>72.944425319575828</v>
      </c>
      <c r="AE159" s="24">
        <f>[1]节奏总纲!AE159</f>
        <v>75.022035011469043</v>
      </c>
      <c r="AF159" s="24">
        <f>[1]节奏总纲!AF159</f>
        <v>77.884791411421745</v>
      </c>
      <c r="AG159" s="24">
        <f>[1]节奏总纲!AG159</f>
        <v>82.481827667543882</v>
      </c>
      <c r="AH159" s="24">
        <f>[1]节奏总纲!AH159</f>
        <v>91.831303873678593</v>
      </c>
      <c r="AZ159" s="20">
        <v>156</v>
      </c>
      <c r="BA159" s="20">
        <v>41.027136894088379</v>
      </c>
      <c r="BB159" s="20">
        <v>42.51427628670821</v>
      </c>
      <c r="BC159" s="20">
        <v>44.455742855302844</v>
      </c>
      <c r="BD159" s="20">
        <v>47.203396779992147</v>
      </c>
      <c r="BE159" s="20">
        <v>50</v>
      </c>
      <c r="BP159" s="20">
        <v>156</v>
      </c>
      <c r="BQ159" s="32">
        <f>[1]节奏总纲!BX159</f>
        <v>80</v>
      </c>
      <c r="BR159" s="32">
        <f>[1]节奏总纲!BY159</f>
        <v>80</v>
      </c>
      <c r="BS159" s="32">
        <f>[1]节奏总纲!BZ159</f>
        <v>80</v>
      </c>
      <c r="BT159" s="32">
        <f>[1]节奏总纲!CA159</f>
        <v>80</v>
      </c>
      <c r="BU159" s="32">
        <f>[1]节奏总纲!CB159</f>
        <v>80</v>
      </c>
    </row>
    <row r="160" spans="6:73" x14ac:dyDescent="0.15">
      <c r="F160" s="24">
        <f>[1]节奏总纲!F160</f>
        <v>158</v>
      </c>
      <c r="G160" s="24">
        <f>[1]节奏总纲!G160</f>
        <v>57051.401716174769</v>
      </c>
      <c r="N160" s="24">
        <f>[1]节奏总纲!N160</f>
        <v>167</v>
      </c>
      <c r="O160" s="24">
        <f>[1]节奏总纲!O160</f>
        <v>157</v>
      </c>
      <c r="P160" s="24">
        <f>[1]节奏总纲!P160</f>
        <v>53230.773047602182</v>
      </c>
      <c r="Q160" s="24">
        <f>[1]节奏总纲!Q160</f>
        <v>53230.773047602182</v>
      </c>
      <c r="R160" s="24">
        <f>[1]节奏总纲!R160</f>
        <v>53763.080778078205</v>
      </c>
      <c r="S160" s="24">
        <f>[1]节奏总纲!S160</f>
        <v>53763.080778078205</v>
      </c>
      <c r="T160" s="24">
        <f>[1]节奏总纲!T160</f>
        <v>53763.080778078205</v>
      </c>
      <c r="U160" s="24"/>
      <c r="V160" s="24">
        <f>[1]节奏总纲!V160</f>
        <v>157</v>
      </c>
      <c r="W160" s="24">
        <f>[1]节奏总纲!W160</f>
        <v>3564.7725961894757</v>
      </c>
      <c r="X160" s="24">
        <f>[1]节奏总纲!X160</f>
        <v>3564.7725961894757</v>
      </c>
      <c r="Y160" s="24">
        <f>[1]节奏总纲!Y160</f>
        <v>3600.4203221513744</v>
      </c>
      <c r="Z160" s="24">
        <f>[1]节奏总纲!Z160</f>
        <v>3600.4203221513744</v>
      </c>
      <c r="AA160" s="24">
        <f>[1]节奏总纲!AA160</f>
        <v>3451.4223207971372</v>
      </c>
      <c r="AC160" s="24">
        <f>[1]节奏总纲!AC160</f>
        <v>157</v>
      </c>
      <c r="AD160" s="24">
        <f>[1]节奏总纲!AD160</f>
        <v>73.036560194527354</v>
      </c>
      <c r="AE160" s="24">
        <f>[1]节奏总纲!AE160</f>
        <v>75.111147990406067</v>
      </c>
      <c r="AF160" s="24">
        <f>[1]节奏总纲!AF160</f>
        <v>77.978240314723507</v>
      </c>
      <c r="AG160" s="24">
        <f>[1]节奏总纲!AG160</f>
        <v>82.574704101135836</v>
      </c>
      <c r="AH160" s="24">
        <f>[1]节奏总纲!AH160</f>
        <v>91.933832256435849</v>
      </c>
      <c r="AZ160" s="20">
        <v>157</v>
      </c>
      <c r="BA160" s="20">
        <v>41.067363109180121</v>
      </c>
      <c r="BB160" s="20">
        <v>42.557667230367045</v>
      </c>
      <c r="BC160" s="20">
        <v>44.498835265809355</v>
      </c>
      <c r="BD160" s="20">
        <v>47.244971856637939</v>
      </c>
      <c r="BE160" s="20">
        <v>50</v>
      </c>
      <c r="BP160" s="20">
        <v>157</v>
      </c>
      <c r="BQ160" s="32">
        <f>[1]节奏总纲!BX160</f>
        <v>80</v>
      </c>
      <c r="BR160" s="32">
        <f>[1]节奏总纲!BY160</f>
        <v>80</v>
      </c>
      <c r="BS160" s="32">
        <f>[1]节奏总纲!BZ160</f>
        <v>80</v>
      </c>
      <c r="BT160" s="32">
        <f>[1]节奏总纲!CA160</f>
        <v>80</v>
      </c>
      <c r="BU160" s="32">
        <f>[1]节奏总纲!CB160</f>
        <v>80</v>
      </c>
    </row>
    <row r="161" spans="6:73" x14ac:dyDescent="0.15">
      <c r="F161" s="25">
        <f>[1]节奏总纲!F161</f>
        <v>159</v>
      </c>
      <c r="G161" s="25">
        <f>[1]节奏总纲!G161</f>
        <v>61146.25013335624</v>
      </c>
      <c r="N161" s="24">
        <f>[1]节奏总纲!N161</f>
        <v>168</v>
      </c>
      <c r="O161" s="24">
        <f>[1]节奏总纲!O161</f>
        <v>158</v>
      </c>
      <c r="P161" s="24">
        <f>[1]节奏总纲!P161</f>
        <v>57051.401716174769</v>
      </c>
      <c r="Q161" s="24">
        <f>[1]节奏总纲!Q161</f>
        <v>57051.401716174769</v>
      </c>
      <c r="R161" s="24">
        <f>[1]节奏总纲!R161</f>
        <v>57621.915733336515</v>
      </c>
      <c r="S161" s="24">
        <f>[1]节奏总纲!S161</f>
        <v>57621.915733336515</v>
      </c>
      <c r="T161" s="24">
        <f>[1]节奏总纲!T161</f>
        <v>57621.915733336515</v>
      </c>
      <c r="U161" s="24"/>
      <c r="V161" s="24">
        <f>[1]节奏总纲!V161</f>
        <v>158</v>
      </c>
      <c r="W161" s="24">
        <f>[1]节奏总纲!W161</f>
        <v>3820.6286685725863</v>
      </c>
      <c r="X161" s="24">
        <f>[1]节奏总纲!X161</f>
        <v>3820.6286685725863</v>
      </c>
      <c r="Y161" s="24">
        <f>[1]节奏总纲!Y161</f>
        <v>3858.8349552583095</v>
      </c>
      <c r="Z161" s="24">
        <f>[1]节奏总纲!Z161</f>
        <v>3858.8349552583095</v>
      </c>
      <c r="AA161" s="24">
        <f>[1]节奏总纲!AA161</f>
        <v>3858.8349552583095</v>
      </c>
      <c r="AC161" s="24">
        <f>[1]节奏总纲!AC161</f>
        <v>158</v>
      </c>
      <c r="AD161" s="24">
        <f>[1]节奏总纲!AD161</f>
        <v>73.124973399384572</v>
      </c>
      <c r="AE161" s="24">
        <f>[1]节奏总纲!AE161</f>
        <v>75.200260969343077</v>
      </c>
      <c r="AF161" s="24">
        <f>[1]节奏总纲!AF161</f>
        <v>78.066694029528094</v>
      </c>
      <c r="AG161" s="24">
        <f>[1]节奏总纲!AG161</f>
        <v>82.667580534727804</v>
      </c>
      <c r="AH161" s="24">
        <f>[1]节奏总纲!AH161</f>
        <v>92.033129415212969</v>
      </c>
      <c r="AZ161" s="20">
        <v>158</v>
      </c>
      <c r="BA161" s="20">
        <v>41.107589324271871</v>
      </c>
      <c r="BB161" s="20">
        <v>42.601058174025873</v>
      </c>
      <c r="BC161" s="20">
        <v>44.541927676315858</v>
      </c>
      <c r="BD161" s="20">
        <v>47.286546933283724</v>
      </c>
      <c r="BE161" s="20">
        <v>50</v>
      </c>
      <c r="BP161" s="20">
        <v>158</v>
      </c>
      <c r="BQ161" s="32">
        <f>[1]节奏总纲!BX161</f>
        <v>80</v>
      </c>
      <c r="BR161" s="32">
        <f>[1]节奏总纲!BY161</f>
        <v>80</v>
      </c>
      <c r="BS161" s="32">
        <f>[1]节奏总纲!BZ161</f>
        <v>80</v>
      </c>
      <c r="BT161" s="32">
        <f>[1]节奏总纲!CA161</f>
        <v>80</v>
      </c>
      <c r="BU161" s="32">
        <f>[1]节奏总纲!CB161</f>
        <v>80</v>
      </c>
    </row>
    <row r="162" spans="6:73" x14ac:dyDescent="0.15">
      <c r="F162" s="25">
        <f>[1]节奏总纲!F162</f>
        <v>160</v>
      </c>
      <c r="G162" s="25">
        <f>[1]节奏总纲!G162</f>
        <v>65535</v>
      </c>
      <c r="N162" s="24">
        <f>[1]节奏总纲!N162</f>
        <v>169</v>
      </c>
      <c r="O162" s="24">
        <f>[1]节奏总纲!O162</f>
        <v>159</v>
      </c>
      <c r="P162" s="24">
        <f>[1]节奏总纲!P162</f>
        <v>61146.25013335624</v>
      </c>
      <c r="Q162" s="24">
        <f>[1]节奏总纲!Q162</f>
        <v>61146.25013335624</v>
      </c>
      <c r="R162" s="24">
        <f>[1]节奏总纲!R162</f>
        <v>61757.7126346898</v>
      </c>
      <c r="S162" s="24">
        <f>[1]节奏总纲!S162</f>
        <v>61757.7126346898</v>
      </c>
      <c r="T162" s="24">
        <f>[1]节奏总纲!T162</f>
        <v>61757.7126346898</v>
      </c>
      <c r="U162" s="24"/>
      <c r="V162" s="24">
        <f>[1]节奏总纲!V162</f>
        <v>159</v>
      </c>
      <c r="W162" s="24">
        <f>[1]节奏总纲!W162</f>
        <v>4094.8484171814707</v>
      </c>
      <c r="X162" s="24">
        <f>[1]节奏总纲!X162</f>
        <v>4094.8484171814707</v>
      </c>
      <c r="Y162" s="24">
        <f>[1]节奏总纲!Y162</f>
        <v>4135.7969013532856</v>
      </c>
      <c r="Z162" s="24">
        <f>[1]节奏总纲!Z162</f>
        <v>4135.7969013532856</v>
      </c>
      <c r="AA162" s="24">
        <f>[1]节奏总纲!AA162</f>
        <v>4135.7969013532856</v>
      </c>
      <c r="AC162" s="24">
        <f>[1]节奏总纲!AC162</f>
        <v>159</v>
      </c>
      <c r="AD162" s="24">
        <f>[1]节奏总纲!AD162</f>
        <v>73.213386604241791</v>
      </c>
      <c r="AE162" s="24">
        <f>[1]节奏总纲!AE162</f>
        <v>75.289373948280101</v>
      </c>
      <c r="AF162" s="24">
        <f>[1]节奏总纲!AF162</f>
        <v>78.153631564737054</v>
      </c>
      <c r="AG162" s="24">
        <f>[1]节奏总纲!AG162</f>
        <v>82.760456968319758</v>
      </c>
      <c r="AH162" s="24">
        <f>[1]节奏总纲!AH162</f>
        <v>92.126546512350387</v>
      </c>
      <c r="AZ162" s="20">
        <v>159</v>
      </c>
      <c r="BA162" s="20">
        <v>41.147815539363613</v>
      </c>
      <c r="BB162" s="20">
        <v>42.644449117684701</v>
      </c>
      <c r="BC162" s="20">
        <v>44.585020086822361</v>
      </c>
      <c r="BD162" s="20">
        <v>47.328122009929508</v>
      </c>
      <c r="BE162" s="20">
        <v>50</v>
      </c>
      <c r="BP162" s="20">
        <v>159</v>
      </c>
      <c r="BQ162" s="32">
        <f>[1]节奏总纲!BX162</f>
        <v>80</v>
      </c>
      <c r="BR162" s="32">
        <f>[1]节奏总纲!BY162</f>
        <v>80</v>
      </c>
      <c r="BS162" s="32">
        <f>[1]节奏总纲!BZ162</f>
        <v>80</v>
      </c>
      <c r="BT162" s="32">
        <f>[1]节奏总纲!CA162</f>
        <v>80</v>
      </c>
      <c r="BU162" s="32">
        <f>[1]节奏总纲!CB162</f>
        <v>80</v>
      </c>
    </row>
    <row r="163" spans="6:73" x14ac:dyDescent="0.15">
      <c r="N163" s="24">
        <f>[1]节奏总纲!N163</f>
        <v>170</v>
      </c>
      <c r="O163" s="24">
        <f>[1]节奏总纲!O163</f>
        <v>160</v>
      </c>
      <c r="P163" s="24">
        <f>[1]节奏总纲!P163</f>
        <v>65535</v>
      </c>
      <c r="Q163" s="24">
        <f>[1]节奏总纲!Q163</f>
        <v>65535</v>
      </c>
      <c r="R163" s="24">
        <f>[1]节奏总纲!R163</f>
        <v>66190.350000000006</v>
      </c>
      <c r="S163" s="24">
        <f>[1]节奏总纲!S163</f>
        <v>66190.350000000006</v>
      </c>
      <c r="T163" s="24">
        <f>[1]节奏总纲!T163</f>
        <v>66190.350000000006</v>
      </c>
      <c r="U163" s="24"/>
      <c r="V163" s="24">
        <f>[1]节奏总纲!V163</f>
        <v>160</v>
      </c>
      <c r="W163" s="24">
        <f>[1]节奏总纲!W163</f>
        <v>4388.7498666437605</v>
      </c>
      <c r="X163" s="24">
        <f>[1]节奏总纲!X163</f>
        <v>4388.7498666437605</v>
      </c>
      <c r="Y163" s="24">
        <f>[1]节奏总纲!Y163</f>
        <v>4432.6373653102055</v>
      </c>
      <c r="Z163" s="24">
        <f>[1]节奏总纲!Z163</f>
        <v>4432.6373653102055</v>
      </c>
      <c r="AA163" s="24">
        <f>[1]节奏总纲!AA163</f>
        <v>4432.6373653102055</v>
      </c>
      <c r="AC163" s="24">
        <f>[1]节奏总纲!AC163</f>
        <v>160</v>
      </c>
      <c r="AD163" s="24">
        <f>[1]节奏总纲!AD163</f>
        <v>73.301799809099009</v>
      </c>
      <c r="AE163" s="24">
        <f>[1]节奏总纲!AE163</f>
        <v>75.378486927217125</v>
      </c>
      <c r="AF163" s="24">
        <f>[1]节奏总纲!AF163</f>
        <v>78.240569099946029</v>
      </c>
      <c r="AG163" s="24">
        <f>[1]节奏总纲!AG163</f>
        <v>82.853333401911726</v>
      </c>
      <c r="AH163" s="24">
        <f>[1]节奏总纲!AH163</f>
        <v>92.219963609487792</v>
      </c>
      <c r="AZ163" s="20">
        <v>160</v>
      </c>
      <c r="BA163" s="20">
        <v>41.188041754455355</v>
      </c>
      <c r="BB163" s="20">
        <v>42.687840061343536</v>
      </c>
      <c r="BC163" s="20">
        <v>44.628112497328864</v>
      </c>
      <c r="BD163" s="20">
        <v>47.3696970865753</v>
      </c>
      <c r="BE163" s="20">
        <v>50</v>
      </c>
      <c r="BP163" s="20">
        <v>160</v>
      </c>
      <c r="BQ163" s="32">
        <f>[1]节奏总纲!BX163</f>
        <v>80</v>
      </c>
      <c r="BR163" s="32">
        <f>[1]节奏总纲!BY163</f>
        <v>80</v>
      </c>
      <c r="BS163" s="32">
        <f>[1]节奏总纲!BZ163</f>
        <v>80</v>
      </c>
      <c r="BT163" s="32">
        <f>[1]节奏总纲!CA163</f>
        <v>80</v>
      </c>
      <c r="BU163" s="32">
        <f>[1]节奏总纲!CB163</f>
        <v>80</v>
      </c>
    </row>
    <row r="164" spans="6:73" x14ac:dyDescent="0.15">
      <c r="AC164" s="24">
        <f>[1]节奏总纲!AC164</f>
        <v>161</v>
      </c>
      <c r="AD164" s="24">
        <f>[1]节奏总纲!AD164</f>
        <v>73.390213013956213</v>
      </c>
      <c r="AE164" s="24">
        <f>[1]节奏总纲!AE164</f>
        <v>75.467599906154135</v>
      </c>
      <c r="AF164" s="24">
        <f>[1]节奏总纲!AF164</f>
        <v>78.32750663515499</v>
      </c>
      <c r="AG164" s="24">
        <f>[1]节奏总纲!AG164</f>
        <v>82.94620983550368</v>
      </c>
      <c r="AH164" s="24">
        <f>[1]节奏总纲!AH164</f>
        <v>92.313380706625196</v>
      </c>
      <c r="AZ164" s="20">
        <v>161</v>
      </c>
      <c r="BA164" s="20">
        <v>41.228267969547105</v>
      </c>
      <c r="BB164" s="20">
        <v>42.731231005002364</v>
      </c>
      <c r="BC164" s="20">
        <v>44.671204907835367</v>
      </c>
      <c r="BD164" s="20">
        <v>47.411272163221085</v>
      </c>
      <c r="BE164" s="20">
        <v>50</v>
      </c>
    </row>
    <row r="165" spans="6:73" x14ac:dyDescent="0.15">
      <c r="AC165" s="24">
        <f>[1]节奏总纲!AC165</f>
        <v>162</v>
      </c>
      <c r="AD165" s="24">
        <f>[1]节奏总纲!AD165</f>
        <v>73.478626218813432</v>
      </c>
      <c r="AE165" s="24">
        <f>[1]节奏总纲!AE165</f>
        <v>75.556712885091159</v>
      </c>
      <c r="AF165" s="24">
        <f>[1]节奏总纲!AF165</f>
        <v>78.414444170363964</v>
      </c>
      <c r="AG165" s="24">
        <f>[1]节奏总纲!AG165</f>
        <v>83.036921590135321</v>
      </c>
      <c r="AH165" s="24">
        <f>[1]节奏总纲!AH165</f>
        <v>92.406797803762601</v>
      </c>
      <c r="AZ165" s="20">
        <v>162</v>
      </c>
      <c r="BA165" s="20">
        <v>41.268494184638847</v>
      </c>
      <c r="BB165" s="20">
        <v>42.774621948661192</v>
      </c>
      <c r="BC165" s="20">
        <v>44.714297318341877</v>
      </c>
      <c r="BD165" s="20">
        <v>47.452847239866877</v>
      </c>
      <c r="BE165" s="20">
        <v>50</v>
      </c>
    </row>
    <row r="166" spans="6:73" x14ac:dyDescent="0.15">
      <c r="AC166" s="24">
        <f>[1]节奏总纲!AC166</f>
        <v>163</v>
      </c>
      <c r="AD166" s="24">
        <f>[1]节奏总纲!AD166</f>
        <v>73.56703942367065</v>
      </c>
      <c r="AE166" s="24">
        <f>[1]节奏总纲!AE166</f>
        <v>75.645825864028183</v>
      </c>
      <c r="AF166" s="24">
        <f>[1]节奏总纲!AF166</f>
        <v>78.501381705572925</v>
      </c>
      <c r="AG166" s="24">
        <f>[1]节奏总纲!AG166</f>
        <v>83.124654333465756</v>
      </c>
      <c r="AH166" s="24">
        <f>[1]节奏总纲!AH166</f>
        <v>92.500214900900005</v>
      </c>
      <c r="AZ166" s="20">
        <v>163</v>
      </c>
      <c r="BA166" s="20">
        <v>41.308720399730589</v>
      </c>
      <c r="BB166" s="20">
        <v>42.818012892320027</v>
      </c>
      <c r="BC166" s="20">
        <v>44.757389728848381</v>
      </c>
      <c r="BD166" s="20">
        <v>47.494422316512662</v>
      </c>
      <c r="BE166" s="20">
        <v>50</v>
      </c>
    </row>
    <row r="167" spans="6:73" x14ac:dyDescent="0.15">
      <c r="AC167" s="24">
        <f>[1]节奏总纲!AC167</f>
        <v>164</v>
      </c>
      <c r="AD167" s="24">
        <f>[1]节奏总纲!AD167</f>
        <v>73.655452628527868</v>
      </c>
      <c r="AE167" s="24">
        <f>[1]节奏总纲!AE167</f>
        <v>75.734938842965192</v>
      </c>
      <c r="AF167" s="24">
        <f>[1]节奏总纲!AF167</f>
        <v>78.5883192407819</v>
      </c>
      <c r="AG167" s="24">
        <f>[1]节奏总纲!AG167</f>
        <v>83.21238707679619</v>
      </c>
      <c r="AH167" s="24">
        <f>[1]节奏总纲!AH167</f>
        <v>92.593631998037409</v>
      </c>
      <c r="AZ167" s="20">
        <v>164</v>
      </c>
      <c r="BA167" s="20">
        <v>41.348946614822331</v>
      </c>
      <c r="BB167" s="20">
        <v>42.861403835978855</v>
      </c>
      <c r="BC167" s="20">
        <v>44.800482139354884</v>
      </c>
      <c r="BD167" s="20">
        <v>47.535997393158453</v>
      </c>
      <c r="BE167" s="20">
        <v>50</v>
      </c>
    </row>
    <row r="168" spans="6:73" x14ac:dyDescent="0.15">
      <c r="AC168" s="24">
        <f>[1]节奏总纲!AC168</f>
        <v>165</v>
      </c>
      <c r="AD168" s="24">
        <f>[1]节奏总纲!AD168</f>
        <v>73.743865833385087</v>
      </c>
      <c r="AE168" s="24">
        <f>[1]节奏总纲!AE168</f>
        <v>75.824051821902216</v>
      </c>
      <c r="AF168" s="24">
        <f>[1]节奏总纲!AF168</f>
        <v>78.67525677599086</v>
      </c>
      <c r="AG168" s="24">
        <f>[1]节奏总纲!AG168</f>
        <v>83.300119820126625</v>
      </c>
      <c r="AH168" s="24">
        <f>[1]节奏总纲!AH168</f>
        <v>92.687049095174814</v>
      </c>
      <c r="AZ168" s="20">
        <v>165</v>
      </c>
      <c r="BA168" s="20">
        <v>41.389172829914081</v>
      </c>
      <c r="BB168" s="20">
        <v>42.904794779637683</v>
      </c>
      <c r="BC168" s="20">
        <v>44.843574549861387</v>
      </c>
      <c r="BD168" s="20">
        <v>47.577572469804238</v>
      </c>
      <c r="BE168" s="20">
        <v>50</v>
      </c>
    </row>
    <row r="169" spans="6:73" x14ac:dyDescent="0.15">
      <c r="AC169" s="24">
        <f>[1]节奏总纲!AC169</f>
        <v>166</v>
      </c>
      <c r="AD169" s="24">
        <f>[1]节奏总纲!AD169</f>
        <v>73.832279038242305</v>
      </c>
      <c r="AE169" s="24">
        <f>[1]节奏总纲!AE169</f>
        <v>75.91316480083924</v>
      </c>
      <c r="AF169" s="24">
        <f>[1]节奏总纲!AF169</f>
        <v>78.762194311199835</v>
      </c>
      <c r="AG169" s="24">
        <f>[1]节奏总纲!AG169</f>
        <v>83.387852563457059</v>
      </c>
      <c r="AH169" s="24">
        <f>[1]节奏总纲!AH169</f>
        <v>92.780466192312218</v>
      </c>
      <c r="AZ169" s="20">
        <v>166</v>
      </c>
      <c r="BA169" s="20">
        <v>41.429399045005823</v>
      </c>
      <c r="BB169" s="20">
        <v>42.948185723296518</v>
      </c>
      <c r="BC169" s="20">
        <v>44.88666696036789</v>
      </c>
      <c r="BD169" s="20">
        <v>47.619147546450023</v>
      </c>
      <c r="BE169" s="20">
        <v>50</v>
      </c>
    </row>
    <row r="170" spans="6:73" x14ac:dyDescent="0.15">
      <c r="AC170" s="24">
        <f>[1]节奏总纲!AC170</f>
        <v>167</v>
      </c>
      <c r="AD170" s="24">
        <f>[1]节奏总纲!AD170</f>
        <v>73.920692243099523</v>
      </c>
      <c r="AE170" s="24">
        <f>[1]节奏总纲!AE170</f>
        <v>76.002103770254962</v>
      </c>
      <c r="AF170" s="24">
        <f>[1]节奏总纲!AF170</f>
        <v>78.849131846408795</v>
      </c>
      <c r="AG170" s="24">
        <f>[1]节奏总纲!AG170</f>
        <v>83.475585306787494</v>
      </c>
      <c r="AH170" s="24">
        <f>[1]节奏总纲!AH170</f>
        <v>92.873883289449623</v>
      </c>
      <c r="AZ170" s="20">
        <v>167</v>
      </c>
      <c r="BA170" s="20">
        <v>41.469625260097565</v>
      </c>
      <c r="BB170" s="20">
        <v>42.991576666955346</v>
      </c>
      <c r="BC170" s="20">
        <v>44.9297593708744</v>
      </c>
      <c r="BD170" s="20">
        <v>47.660722623095815</v>
      </c>
      <c r="BE170" s="20">
        <v>50</v>
      </c>
    </row>
    <row r="171" spans="6:73" x14ac:dyDescent="0.15">
      <c r="AC171" s="24">
        <f>[1]节奏总纲!AC171</f>
        <v>168</v>
      </c>
      <c r="AD171" s="24">
        <f>[1]节奏总纲!AD171</f>
        <v>74.008495683346354</v>
      </c>
      <c r="AE171" s="24">
        <f>[1]节奏总纲!AE171</f>
        <v>76.084409020469636</v>
      </c>
      <c r="AF171" s="24">
        <f>[1]节奏总纲!AF171</f>
        <v>78.93606938161777</v>
      </c>
      <c r="AG171" s="24">
        <f>[1]节奏总纲!AG171</f>
        <v>83.563318050117928</v>
      </c>
      <c r="AH171" s="24">
        <f>[1]节奏总纲!AH171</f>
        <v>92.967300386587027</v>
      </c>
      <c r="AZ171" s="20">
        <v>168</v>
      </c>
      <c r="BA171" s="20">
        <v>41.509851475189308</v>
      </c>
      <c r="BB171" s="20">
        <v>43.030177309109042</v>
      </c>
      <c r="BC171" s="20">
        <v>44.972851781380903</v>
      </c>
      <c r="BD171" s="20">
        <v>47.7022976997416</v>
      </c>
      <c r="BE171" s="20">
        <v>50</v>
      </c>
    </row>
    <row r="172" spans="6:73" x14ac:dyDescent="0.15">
      <c r="AC172" s="24">
        <f>[1]节奏总纲!AC172</f>
        <v>169</v>
      </c>
      <c r="AD172" s="24">
        <f>[1]节奏总纲!AD172</f>
        <v>74.090988120365651</v>
      </c>
      <c r="AE172" s="24">
        <f>[1]节奏总纲!AE172</f>
        <v>76.166714270684309</v>
      </c>
      <c r="AF172" s="24">
        <f>[1]节奏总纲!AF172</f>
        <v>79.022812309215297</v>
      </c>
      <c r="AG172" s="24">
        <f>[1]节奏总纲!AG172</f>
        <v>83.651050793448363</v>
      </c>
      <c r="AH172" s="24">
        <f>[1]节奏总纲!AH172</f>
        <v>93.057555567360481</v>
      </c>
      <c r="AZ172" s="20">
        <v>169</v>
      </c>
      <c r="BA172" s="20">
        <v>41.550077690281057</v>
      </c>
      <c r="BB172" s="20">
        <v>43.067624017543686</v>
      </c>
      <c r="BC172" s="20">
        <v>45.013762077986961</v>
      </c>
      <c r="BD172" s="20">
        <v>47.743872776387391</v>
      </c>
      <c r="BE172" s="20">
        <v>50</v>
      </c>
    </row>
    <row r="173" spans="6:73" x14ac:dyDescent="0.15">
      <c r="AC173" s="24">
        <f>[1]节奏总纲!AC173</f>
        <v>170</v>
      </c>
      <c r="AD173" s="24">
        <f>[1]节奏总纲!AD173</f>
        <v>74.173480557384934</v>
      </c>
      <c r="AE173" s="24">
        <f>[1]节奏总纲!AE173</f>
        <v>76.249019520898997</v>
      </c>
      <c r="AF173" s="24">
        <f>[1]节奏总纲!AF173</f>
        <v>79.109014469658547</v>
      </c>
      <c r="AG173" s="24">
        <f>[1]节奏总纲!AG173</f>
        <v>83.738783536778797</v>
      </c>
      <c r="AH173" s="24">
        <f>[1]节奏总纲!AH173</f>
        <v>93.146107887007233</v>
      </c>
      <c r="AZ173" s="20">
        <v>170</v>
      </c>
      <c r="BA173" s="20">
        <v>41.590303905372799</v>
      </c>
      <c r="BB173" s="20">
        <v>43.105070725978337</v>
      </c>
      <c r="BC173" s="20">
        <v>45.050956883357138</v>
      </c>
      <c r="BD173" s="20">
        <v>47.785447853033176</v>
      </c>
      <c r="BE173" s="20">
        <v>50</v>
      </c>
    </row>
    <row r="174" spans="6:73" x14ac:dyDescent="0.15">
      <c r="AC174" s="24">
        <f>[1]节奏总纲!AC174</f>
        <v>171</v>
      </c>
      <c r="AD174" s="24">
        <f>[1]节奏总纲!AD174</f>
        <v>74.255972994404218</v>
      </c>
      <c r="AE174" s="24">
        <f>[1]节奏总纲!AE174</f>
        <v>76.331324771113671</v>
      </c>
      <c r="AF174" s="24">
        <f>[1]节奏总纲!AF174</f>
        <v>79.195216630101797</v>
      </c>
      <c r="AG174" s="24">
        <f>[1]节奏总纲!AG174</f>
        <v>83.826516280109232</v>
      </c>
      <c r="AH174" s="24">
        <f>[1]节奏总纲!AH174</f>
        <v>93.23466020665397</v>
      </c>
      <c r="AZ174" s="20">
        <v>171</v>
      </c>
      <c r="BA174" s="20">
        <v>41.630530120464542</v>
      </c>
      <c r="BB174" s="20">
        <v>43.14251743441298</v>
      </c>
      <c r="BC174" s="20">
        <v>45.088151688727308</v>
      </c>
      <c r="BD174" s="20">
        <v>47.827022929678968</v>
      </c>
      <c r="BE174" s="20">
        <v>50</v>
      </c>
    </row>
    <row r="175" spans="6:73" x14ac:dyDescent="0.15">
      <c r="AC175" s="24">
        <f>[1]节奏总纲!AC175</f>
        <v>172</v>
      </c>
      <c r="AD175" s="24">
        <f>[1]节奏总纲!AD175</f>
        <v>74.338465431423501</v>
      </c>
      <c r="AE175" s="24">
        <f>[1]节奏总纲!AE175</f>
        <v>76.413630021328345</v>
      </c>
      <c r="AF175" s="24">
        <f>[1]节奏总纲!AF175</f>
        <v>79.281418790545047</v>
      </c>
      <c r="AG175" s="24">
        <f>[1]节奏总纲!AG175</f>
        <v>83.914249023439666</v>
      </c>
      <c r="AH175" s="24">
        <f>[1]节奏总纲!AH175</f>
        <v>93.323212526300722</v>
      </c>
      <c r="AZ175" s="20">
        <v>172</v>
      </c>
      <c r="BA175" s="20">
        <v>41.670756335556291</v>
      </c>
      <c r="BB175" s="20">
        <v>43.179964142847631</v>
      </c>
      <c r="BC175" s="20">
        <v>45.125346494097485</v>
      </c>
      <c r="BD175" s="20">
        <v>47.868598006324753</v>
      </c>
      <c r="BE175" s="20">
        <v>50</v>
      </c>
    </row>
    <row r="176" spans="6:73" x14ac:dyDescent="0.15">
      <c r="AC176" s="24">
        <f>[1]节奏总纲!AC176</f>
        <v>173</v>
      </c>
      <c r="AD176" s="24">
        <f>[1]节奏总纲!AD176</f>
        <v>74.420957868442784</v>
      </c>
      <c r="AE176" s="24">
        <f>[1]节奏总纲!AE176</f>
        <v>76.495935271543019</v>
      </c>
      <c r="AF176" s="24">
        <f>[1]节奏总纲!AF176</f>
        <v>79.367620950988297</v>
      </c>
      <c r="AG176" s="24">
        <f>[1]节奏总纲!AG176</f>
        <v>84.00179325525086</v>
      </c>
      <c r="AH176" s="24">
        <f>[1]节奏总纲!AH176</f>
        <v>93.411764845947459</v>
      </c>
      <c r="AZ176" s="20">
        <v>173</v>
      </c>
      <c r="BA176" s="20">
        <v>41.710982550648033</v>
      </c>
      <c r="BB176" s="20">
        <v>43.217410851282274</v>
      </c>
      <c r="BC176" s="20">
        <v>45.162541299467655</v>
      </c>
      <c r="BD176" s="20">
        <v>47.910173082970537</v>
      </c>
      <c r="BE176" s="20">
        <v>50</v>
      </c>
    </row>
    <row r="177" spans="29:57" x14ac:dyDescent="0.15">
      <c r="AC177" s="24">
        <f>[1]节奏总纲!AC177</f>
        <v>174</v>
      </c>
      <c r="AD177" s="24">
        <f>[1]节奏总纲!AD177</f>
        <v>74.503450305462081</v>
      </c>
      <c r="AE177" s="24">
        <f>[1]节奏总纲!AE177</f>
        <v>76.578240521757706</v>
      </c>
      <c r="AF177" s="24">
        <f>[1]节奏总纲!AF177</f>
        <v>79.453823111431561</v>
      </c>
      <c r="AG177" s="24">
        <f>[1]节奏总纲!AG177</f>
        <v>84.08118060043364</v>
      </c>
      <c r="AH177" s="24">
        <f>[1]节奏总纲!AH177</f>
        <v>93.500317165594211</v>
      </c>
      <c r="AZ177" s="20">
        <v>174</v>
      </c>
      <c r="BA177" s="20">
        <v>41.751208765739776</v>
      </c>
      <c r="BB177" s="20">
        <v>43.254857559716925</v>
      </c>
      <c r="BC177" s="20">
        <v>45.199736104837832</v>
      </c>
      <c r="BD177" s="20">
        <v>47.951748159616329</v>
      </c>
      <c r="BE177" s="20">
        <v>50</v>
      </c>
    </row>
    <row r="178" spans="29:57" x14ac:dyDescent="0.15">
      <c r="AC178" s="24">
        <f>[1]节奏总纲!AC178</f>
        <v>175</v>
      </c>
      <c r="AD178" s="24">
        <f>[1]节奏总纲!AD178</f>
        <v>74.585942742481365</v>
      </c>
      <c r="AE178" s="24">
        <f>[1]节奏总纲!AE178</f>
        <v>76.66054577197238</v>
      </c>
      <c r="AF178" s="24">
        <f>[1]节奏总纲!AF178</f>
        <v>79.540025271874811</v>
      </c>
      <c r="AG178" s="24">
        <f>[1]节奏总纲!AG178</f>
        <v>84.160567945616407</v>
      </c>
      <c r="AH178" s="24">
        <f>[1]节奏总纲!AH178</f>
        <v>93.588869485240949</v>
      </c>
      <c r="AZ178" s="20">
        <v>175</v>
      </c>
      <c r="BA178" s="20">
        <v>41.791434980831518</v>
      </c>
      <c r="BB178" s="20">
        <v>43.292304268151575</v>
      </c>
      <c r="BC178" s="20">
        <v>45.236930910208002</v>
      </c>
      <c r="BD178" s="20">
        <v>47.993323236262114</v>
      </c>
      <c r="BE178" s="20">
        <v>50</v>
      </c>
    </row>
    <row r="179" spans="29:57" x14ac:dyDescent="0.15">
      <c r="AC179" s="24">
        <f>[1]节奏总纲!AC179</f>
        <v>176</v>
      </c>
      <c r="AD179" s="24">
        <f>[1]节奏总纲!AD179</f>
        <v>74.668435179500648</v>
      </c>
      <c r="AE179" s="24">
        <f>[1]节奏总纲!AE179</f>
        <v>76.742851022187054</v>
      </c>
      <c r="AF179" s="24">
        <f>[1]节奏总纲!AF179</f>
        <v>79.626227432318061</v>
      </c>
      <c r="AG179" s="24">
        <f>[1]节奏总纲!AG179</f>
        <v>84.239955290799188</v>
      </c>
      <c r="AH179" s="24">
        <f>[1]节奏总纲!AH179</f>
        <v>93.6774218048877</v>
      </c>
      <c r="AZ179" s="20">
        <v>176</v>
      </c>
      <c r="BA179" s="20">
        <v>41.831661195923267</v>
      </c>
      <c r="BB179" s="20">
        <v>43.329750976586219</v>
      </c>
      <c r="BC179" s="20">
        <v>45.274125715578172</v>
      </c>
      <c r="BD179" s="20">
        <v>48.030128751164234</v>
      </c>
      <c r="BE179" s="20">
        <v>50</v>
      </c>
    </row>
    <row r="180" spans="29:57" x14ac:dyDescent="0.15">
      <c r="AC180" s="24">
        <f>[1]节奏总纲!AC180</f>
        <v>177</v>
      </c>
      <c r="AD180" s="24">
        <f>[1]节奏总纲!AD180</f>
        <v>74.750927616519931</v>
      </c>
      <c r="AE180" s="24">
        <f>[1]节奏总纲!AE180</f>
        <v>76.825156272401728</v>
      </c>
      <c r="AF180" s="24">
        <f>[1]节奏总纲!AF180</f>
        <v>79.71242959276131</v>
      </c>
      <c r="AG180" s="24">
        <f>[1]节奏总纲!AG180</f>
        <v>84.319342635981968</v>
      </c>
      <c r="AH180" s="24">
        <f>[1]节奏总纲!AH180</f>
        <v>93.765974124534438</v>
      </c>
      <c r="AZ180" s="20">
        <v>177</v>
      </c>
      <c r="BA180" s="20">
        <v>41.87188741101501</v>
      </c>
      <c r="BB180" s="20">
        <v>43.367197685020869</v>
      </c>
      <c r="BC180" s="20">
        <v>45.31132052094835</v>
      </c>
      <c r="BD180" s="20">
        <v>48.066021750983474</v>
      </c>
      <c r="BE180" s="20">
        <v>50</v>
      </c>
    </row>
    <row r="181" spans="29:57" x14ac:dyDescent="0.15">
      <c r="AC181" s="24">
        <f>[1]节奏总纲!AC181</f>
        <v>178</v>
      </c>
      <c r="AD181" s="24">
        <f>[1]节奏总纲!AD181</f>
        <v>74.833420053539214</v>
      </c>
      <c r="AE181" s="24">
        <f>[1]节奏总纲!AE181</f>
        <v>76.907461522616416</v>
      </c>
      <c r="AF181" s="24">
        <f>[1]节奏总纲!AF181</f>
        <v>79.79863175320456</v>
      </c>
      <c r="AG181" s="24">
        <f>[1]节奏总纲!AG181</f>
        <v>84.398729981164735</v>
      </c>
      <c r="AH181" s="24">
        <f>[1]节奏总纲!AH181</f>
        <v>93.85452644418119</v>
      </c>
      <c r="AZ181" s="20">
        <v>178</v>
      </c>
      <c r="BA181" s="20">
        <v>41.912113626106752</v>
      </c>
      <c r="BB181" s="20">
        <v>43.404644393455513</v>
      </c>
      <c r="BC181" s="20">
        <v>45.34851532631852</v>
      </c>
      <c r="BD181" s="20">
        <v>48.101914750802706</v>
      </c>
      <c r="BE181" s="20">
        <v>50</v>
      </c>
    </row>
    <row r="182" spans="29:57" x14ac:dyDescent="0.15">
      <c r="AC182" s="24">
        <f>[1]节奏总纲!AC182</f>
        <v>179</v>
      </c>
      <c r="AD182" s="24">
        <f>[1]节奏总纲!AD182</f>
        <v>74.915912490558512</v>
      </c>
      <c r="AE182" s="24">
        <f>[1]节奏总纲!AE182</f>
        <v>76.989766772831089</v>
      </c>
      <c r="AF182" s="24">
        <f>[1]节奏总纲!AF182</f>
        <v>79.88483391364781</v>
      </c>
      <c r="AG182" s="24">
        <f>[1]节奏总纲!AG182</f>
        <v>84.478117326347515</v>
      </c>
      <c r="AH182" s="24">
        <f>[1]节奏总纲!AH182</f>
        <v>93.943078763827941</v>
      </c>
      <c r="AZ182" s="20">
        <v>179</v>
      </c>
      <c r="BA182" s="20">
        <v>41.952339841198494</v>
      </c>
      <c r="BB182" s="20">
        <v>43.442091101890163</v>
      </c>
      <c r="BC182" s="20">
        <v>45.385710131688697</v>
      </c>
      <c r="BD182" s="20">
        <v>48.137807750621946</v>
      </c>
      <c r="BE182" s="20">
        <v>50</v>
      </c>
    </row>
    <row r="183" spans="29:57" x14ac:dyDescent="0.15">
      <c r="AC183" s="24">
        <f>[1]节奏总纲!AC183</f>
        <v>180</v>
      </c>
      <c r="AD183" s="24">
        <f>[1]节奏总纲!AD183</f>
        <v>74.998404927577795</v>
      </c>
      <c r="AE183" s="24">
        <f>[1]节奏总纲!AE183</f>
        <v>77.06778397927944</v>
      </c>
      <c r="AF183" s="24">
        <f>[1]节奏总纲!AF183</f>
        <v>79.97103607409106</v>
      </c>
      <c r="AG183" s="24">
        <f>[1]节奏总纲!AG183</f>
        <v>84.557504671530296</v>
      </c>
      <c r="AH183" s="24">
        <f>[1]节奏总纲!AH183</f>
        <v>94.027056817114342</v>
      </c>
      <c r="AZ183" s="20">
        <v>180</v>
      </c>
      <c r="BA183" s="20">
        <v>41.992566056290244</v>
      </c>
      <c r="BB183" s="20">
        <v>43.479537810324807</v>
      </c>
      <c r="BC183" s="20">
        <v>45.422904937058867</v>
      </c>
      <c r="BD183" s="20">
        <v>48.173700750441178</v>
      </c>
      <c r="BE183" s="20">
        <v>50</v>
      </c>
    </row>
    <row r="184" spans="29:57" x14ac:dyDescent="0.15">
      <c r="AC184" s="24">
        <f>[1]节奏总纲!AC184</f>
        <v>181</v>
      </c>
      <c r="AD184" s="24">
        <f>[1]节奏总纲!AD184</f>
        <v>75.075479910097457</v>
      </c>
      <c r="AE184" s="24">
        <f>[1]节奏总纲!AE184</f>
        <v>77.145192343015793</v>
      </c>
      <c r="AF184" s="24">
        <f>[1]节奏总纲!AF184</f>
        <v>80.053817475702374</v>
      </c>
      <c r="AG184" s="24">
        <f>[1]节奏总纲!AG184</f>
        <v>84.636892016713063</v>
      </c>
      <c r="AH184" s="24">
        <f>[1]节奏总纲!AH184</f>
        <v>94.102803318799971</v>
      </c>
      <c r="AZ184" s="20">
        <v>181</v>
      </c>
      <c r="BA184" s="20">
        <v>42.028297717729309</v>
      </c>
      <c r="BB184" s="20">
        <v>43.516984518759458</v>
      </c>
      <c r="BC184" s="20">
        <v>45.460099742429037</v>
      </c>
      <c r="BD184" s="20">
        <v>48.209593750260417</v>
      </c>
      <c r="BE184" s="20">
        <v>50</v>
      </c>
    </row>
    <row r="185" spans="29:57" x14ac:dyDescent="0.15">
      <c r="AC185" s="24">
        <f>[1]节奏总纲!AC185</f>
        <v>182</v>
      </c>
      <c r="AD185" s="24">
        <f>[1]节奏总纲!AD185</f>
        <v>75.152448075388719</v>
      </c>
      <c r="AE185" s="24">
        <f>[1]节奏总纲!AE185</f>
        <v>77.222600706752132</v>
      </c>
      <c r="AF185" s="24">
        <f>[1]节奏总纲!AF185</f>
        <v>80.134867890916794</v>
      </c>
      <c r="AG185" s="24">
        <f>[1]节奏总纲!AG185</f>
        <v>84.716279361895843</v>
      </c>
      <c r="AH185" s="24">
        <f>[1]节奏总纲!AH185</f>
        <v>94.1785498204856</v>
      </c>
      <c r="AZ185" s="20">
        <v>182</v>
      </c>
      <c r="BA185" s="20">
        <v>42.063010472656373</v>
      </c>
      <c r="BB185" s="20">
        <v>43.554431227194108</v>
      </c>
      <c r="BC185" s="20">
        <v>45.497294547799214</v>
      </c>
      <c r="BD185" s="20">
        <v>48.24548675007965</v>
      </c>
      <c r="BE185" s="20">
        <v>50</v>
      </c>
    </row>
    <row r="186" spans="29:57" x14ac:dyDescent="0.15">
      <c r="AC186" s="24">
        <f>[1]节奏总纲!AC186</f>
        <v>183</v>
      </c>
      <c r="AD186" s="24">
        <f>[1]节奏总纲!AD186</f>
        <v>75.229416240679981</v>
      </c>
      <c r="AE186" s="24">
        <f>[1]节奏总纲!AE186</f>
        <v>77.300009070488485</v>
      </c>
      <c r="AF186" s="24">
        <f>[1]节奏总纲!AF186</f>
        <v>80.215918306131215</v>
      </c>
      <c r="AG186" s="24">
        <f>[1]节奏总纲!AG186</f>
        <v>84.795666707078624</v>
      </c>
      <c r="AH186" s="24">
        <f>[1]节奏总纲!AH186</f>
        <v>94.254296322171228</v>
      </c>
      <c r="AZ186" s="20">
        <v>183</v>
      </c>
      <c r="BA186" s="20">
        <v>42.097723227583437</v>
      </c>
      <c r="BB186" s="20">
        <v>43.591877935628752</v>
      </c>
      <c r="BC186" s="20">
        <v>45.534489353169384</v>
      </c>
      <c r="BD186" s="20">
        <v>48.281379749898889</v>
      </c>
      <c r="BE186" s="20">
        <v>50</v>
      </c>
    </row>
    <row r="187" spans="29:57" x14ac:dyDescent="0.15">
      <c r="AC187" s="24">
        <f>[1]节奏总纲!AC187</f>
        <v>184</v>
      </c>
      <c r="AD187" s="24">
        <f>[1]节奏总纲!AD187</f>
        <v>75.306384405971258</v>
      </c>
      <c r="AE187" s="24">
        <f>[1]节奏总纲!AE187</f>
        <v>77.377417434224824</v>
      </c>
      <c r="AF187" s="24">
        <f>[1]节奏总纲!AF187</f>
        <v>80.296968721345635</v>
      </c>
      <c r="AG187" s="24">
        <f>[1]节奏总纲!AG187</f>
        <v>84.87505405226139</v>
      </c>
      <c r="AH187" s="24">
        <f>[1]节奏总纲!AH187</f>
        <v>94.330042823856857</v>
      </c>
      <c r="AZ187" s="20">
        <v>184</v>
      </c>
      <c r="BA187" s="20">
        <v>42.132435982510501</v>
      </c>
      <c r="BB187" s="20">
        <v>43.629324644063402</v>
      </c>
      <c r="BC187" s="20">
        <v>45.571684158539561</v>
      </c>
      <c r="BD187" s="20">
        <v>48.317272749718121</v>
      </c>
      <c r="BE187" s="20">
        <v>50</v>
      </c>
    </row>
    <row r="188" spans="29:57" x14ac:dyDescent="0.15">
      <c r="AC188" s="24">
        <f>[1]节奏总纲!AC188</f>
        <v>185</v>
      </c>
      <c r="AD188" s="24">
        <f>[1]节奏总纲!AD188</f>
        <v>75.38335257126252</v>
      </c>
      <c r="AE188" s="24">
        <f>[1]节奏总纲!AE188</f>
        <v>77.454825797961163</v>
      </c>
      <c r="AF188" s="24">
        <f>[1]节奏总纲!AF188</f>
        <v>80.378019136560056</v>
      </c>
      <c r="AG188" s="24">
        <f>[1]节奏总纲!AG188</f>
        <v>84.954441397444171</v>
      </c>
      <c r="AH188" s="24">
        <f>[1]节奏总纲!AH188</f>
        <v>94.405789325542486</v>
      </c>
      <c r="AZ188" s="20">
        <v>185</v>
      </c>
      <c r="BA188" s="20">
        <v>42.167148737437564</v>
      </c>
      <c r="BB188" s="20">
        <v>43.666771352498046</v>
      </c>
      <c r="BC188" s="20">
        <v>45.608878963909731</v>
      </c>
      <c r="BD188" s="20">
        <v>48.353165749537354</v>
      </c>
      <c r="BE188" s="20">
        <v>50</v>
      </c>
    </row>
    <row r="189" spans="29:57" x14ac:dyDescent="0.15">
      <c r="AC189" s="24">
        <f>[1]节奏总纲!AC189</f>
        <v>186</v>
      </c>
      <c r="AD189" s="24">
        <f>[1]节奏总纲!AD189</f>
        <v>75.460320736553783</v>
      </c>
      <c r="AE189" s="24">
        <f>[1]节奏总纲!AE189</f>
        <v>77.532234161697517</v>
      </c>
      <c r="AF189" s="24">
        <f>[1]节奏总纲!AF189</f>
        <v>80.459069551774476</v>
      </c>
      <c r="AG189" s="24">
        <f>[1]节奏总纲!AG189</f>
        <v>85.030832425973387</v>
      </c>
      <c r="AH189" s="24">
        <f>[1]节奏总纲!AH189</f>
        <v>94.4815358272281</v>
      </c>
      <c r="AZ189" s="20">
        <v>186</v>
      </c>
      <c r="BA189" s="20">
        <v>42.201861492364635</v>
      </c>
      <c r="BB189" s="20">
        <v>43.704218060932696</v>
      </c>
      <c r="BC189" s="20">
        <v>45.646073769279901</v>
      </c>
      <c r="BD189" s="20">
        <v>48.389058749356593</v>
      </c>
      <c r="BE189" s="20">
        <v>50</v>
      </c>
    </row>
    <row r="190" spans="29:57" x14ac:dyDescent="0.15">
      <c r="AC190" s="24">
        <f>[1]节奏总纲!AC190</f>
        <v>187</v>
      </c>
      <c r="AD190" s="24">
        <f>[1]节奏总纲!AD190</f>
        <v>75.537288901845045</v>
      </c>
      <c r="AE190" s="24">
        <f>[1]节奏总纲!AE190</f>
        <v>77.609642525433856</v>
      </c>
      <c r="AF190" s="24">
        <f>[1]节奏总纲!AF190</f>
        <v>80.540119966988897</v>
      </c>
      <c r="AG190" s="24">
        <f>[1]节奏总纲!AG190</f>
        <v>85.103188187775231</v>
      </c>
      <c r="AH190" s="24">
        <f>[1]节奏总纲!AH190</f>
        <v>94.557282328913729</v>
      </c>
      <c r="AZ190" s="20">
        <v>187</v>
      </c>
      <c r="BA190" s="20">
        <v>42.236574247291699</v>
      </c>
      <c r="BB190" s="20">
        <v>43.741664769367347</v>
      </c>
      <c r="BC190" s="20">
        <v>45.683268574650079</v>
      </c>
      <c r="BD190" s="20">
        <v>48.424951749175825</v>
      </c>
      <c r="BE190" s="20">
        <v>50</v>
      </c>
    </row>
    <row r="191" spans="29:57" x14ac:dyDescent="0.15">
      <c r="AC191" s="24">
        <f>[1]节奏总纲!AC191</f>
        <v>188</v>
      </c>
      <c r="AD191" s="24">
        <f>[1]节奏总纲!AD191</f>
        <v>75.614257067136322</v>
      </c>
      <c r="AE191" s="24">
        <f>[1]节奏总纲!AE191</f>
        <v>77.687050889170209</v>
      </c>
      <c r="AF191" s="24">
        <f>[1]节奏总纲!AF191</f>
        <v>80.621170382203317</v>
      </c>
      <c r="AG191" s="24">
        <f>[1]节奏总纲!AG191</f>
        <v>85.175543949577076</v>
      </c>
      <c r="AH191" s="24">
        <f>[1]节奏总纲!AH191</f>
        <v>94.633028830599358</v>
      </c>
      <c r="AZ191" s="20">
        <v>188</v>
      </c>
      <c r="BA191" s="20">
        <v>42.271287002218763</v>
      </c>
      <c r="BB191" s="20">
        <v>43.77911147780199</v>
      </c>
      <c r="BC191" s="20">
        <v>45.720463380020249</v>
      </c>
      <c r="BD191" s="20">
        <v>48.460844748995065</v>
      </c>
      <c r="BE191" s="20">
        <v>50</v>
      </c>
    </row>
    <row r="192" spans="29:57" x14ac:dyDescent="0.15">
      <c r="AC192" s="24">
        <f>[1]节奏总纲!AC192</f>
        <v>189</v>
      </c>
      <c r="AD192" s="24">
        <f>[1]节奏总纲!AD192</f>
        <v>75.691225232427584</v>
      </c>
      <c r="AE192" s="24">
        <f>[1]节奏总纲!AE192</f>
        <v>77.764459252906548</v>
      </c>
      <c r="AF192" s="24">
        <f>[1]节奏总纲!AF192</f>
        <v>80.702220797417738</v>
      </c>
      <c r="AG192" s="24">
        <f>[1]节奏总纲!AG192</f>
        <v>85.247899711378935</v>
      </c>
      <c r="AH192" s="24">
        <f>[1]节奏总纲!AH192</f>
        <v>94.708775332284986</v>
      </c>
      <c r="AZ192" s="20">
        <v>189</v>
      </c>
      <c r="BA192" s="20">
        <v>42.305999757145827</v>
      </c>
      <c r="BB192" s="20">
        <v>43.816558186236641</v>
      </c>
      <c r="BC192" s="20">
        <v>45.757658185390426</v>
      </c>
      <c r="BD192" s="20">
        <v>48.496737748814297</v>
      </c>
      <c r="BE192" s="20">
        <v>50</v>
      </c>
    </row>
    <row r="193" spans="29:57" x14ac:dyDescent="0.15">
      <c r="AC193" s="24">
        <f>[1]节奏总纲!AC193</f>
        <v>190</v>
      </c>
      <c r="AD193" s="24">
        <f>[1]节奏总纲!AD193</f>
        <v>75.768193397718846</v>
      </c>
      <c r="AE193" s="24">
        <f>[1]节奏总纲!AE193</f>
        <v>77.841867616642901</v>
      </c>
      <c r="AF193" s="24">
        <f>[1]节奏总纲!AF193</f>
        <v>80.783271212632158</v>
      </c>
      <c r="AG193" s="24">
        <f>[1]节奏总纲!AG193</f>
        <v>85.320255473180779</v>
      </c>
      <c r="AH193" s="24">
        <f>[1]节奏总纲!AH193</f>
        <v>94.784521833970615</v>
      </c>
      <c r="AZ193" s="20">
        <v>190</v>
      </c>
      <c r="BA193" s="20">
        <v>42.340712512072891</v>
      </c>
      <c r="BB193" s="20">
        <v>43.854004894671284</v>
      </c>
      <c r="BC193" s="20">
        <v>45.794852990760596</v>
      </c>
      <c r="BD193" s="20">
        <v>48.532630748633537</v>
      </c>
      <c r="BE193" s="20">
        <v>50</v>
      </c>
    </row>
    <row r="194" spans="29:57" x14ac:dyDescent="0.15">
      <c r="AC194" s="24">
        <f>[1]节奏总纲!AC194</f>
        <v>191</v>
      </c>
      <c r="AD194" s="24">
        <f>[1]节奏总纲!AD194</f>
        <v>75.845161563010109</v>
      </c>
      <c r="AE194" s="24">
        <f>[1]节奏总纲!AE194</f>
        <v>77.91927598037924</v>
      </c>
      <c r="AF194" s="24">
        <f>[1]节奏总纲!AF194</f>
        <v>80.864321627846579</v>
      </c>
      <c r="AG194" s="24">
        <f>[1]节奏总纲!AG194</f>
        <v>85.392611234982624</v>
      </c>
      <c r="AH194" s="24">
        <f>[1]节奏总纲!AH194</f>
        <v>94.860268335656244</v>
      </c>
      <c r="AZ194" s="20">
        <v>191</v>
      </c>
      <c r="BA194" s="20">
        <v>42.375425266999954</v>
      </c>
      <c r="BB194" s="20">
        <v>43.891451603105935</v>
      </c>
      <c r="BC194" s="20">
        <v>45.832047796130773</v>
      </c>
      <c r="BD194" s="20">
        <v>48.568523748452769</v>
      </c>
      <c r="BE194" s="20">
        <v>50</v>
      </c>
    </row>
    <row r="195" spans="29:57" x14ac:dyDescent="0.15">
      <c r="AC195" s="24">
        <f>[1]节奏总纲!AC195</f>
        <v>192</v>
      </c>
      <c r="AD195" s="24">
        <f>[1]节奏总纲!AD195</f>
        <v>75.922129728301385</v>
      </c>
      <c r="AE195" s="24">
        <f>[1]节奏总纲!AE195</f>
        <v>77.996684344115593</v>
      </c>
      <c r="AF195" s="24">
        <f>[1]节奏总纲!AF195</f>
        <v>80.945372043060999</v>
      </c>
      <c r="AG195" s="24">
        <f>[1]节奏总纲!AG195</f>
        <v>85.464966996784469</v>
      </c>
      <c r="AH195" s="24">
        <f>[1]节奏总纲!AH195</f>
        <v>94.936014837341872</v>
      </c>
      <c r="AZ195" s="20">
        <v>192</v>
      </c>
      <c r="BA195" s="20">
        <v>42.410138021927018</v>
      </c>
      <c r="BB195" s="20">
        <v>43.928898311540578</v>
      </c>
      <c r="BC195" s="20">
        <v>45.869242601500943</v>
      </c>
      <c r="BD195" s="20">
        <v>48.604416748272008</v>
      </c>
      <c r="BE195" s="20">
        <v>50</v>
      </c>
    </row>
    <row r="196" spans="29:57" x14ac:dyDescent="0.15">
      <c r="AC196" s="24">
        <f>[1]节奏总纲!AC196</f>
        <v>193</v>
      </c>
      <c r="AD196" s="24">
        <f>[1]节奏总纲!AD196</f>
        <v>75.999097893592648</v>
      </c>
      <c r="AE196" s="24">
        <f>[1]节奏总纲!AE196</f>
        <v>78.068193736526268</v>
      </c>
      <c r="AF196" s="24">
        <f>[1]节奏总纲!AF196</f>
        <v>81.02378934476593</v>
      </c>
      <c r="AG196" s="24">
        <f>[1]节奏总纲!AG196</f>
        <v>85.537322758586328</v>
      </c>
      <c r="AH196" s="24">
        <f>[1]节奏总纲!AH196</f>
        <v>95.011078787937279</v>
      </c>
      <c r="AZ196" s="20">
        <v>193</v>
      </c>
      <c r="BA196" s="20">
        <v>42.444850776854082</v>
      </c>
      <c r="BB196" s="20">
        <v>43.966345019975229</v>
      </c>
      <c r="BC196" s="20">
        <v>45.906437406871113</v>
      </c>
      <c r="BD196" s="20">
        <v>48.640309748091241</v>
      </c>
      <c r="BE196" s="20">
        <v>50</v>
      </c>
    </row>
    <row r="197" spans="29:57" x14ac:dyDescent="0.15">
      <c r="AC197" s="24">
        <f>[1]节奏总纲!AC197</f>
        <v>194</v>
      </c>
      <c r="AD197" s="24">
        <f>[1]节奏总纲!AD197</f>
        <v>76.070972142474872</v>
      </c>
      <c r="AE197" s="24">
        <f>[1]节奏总纲!AE197</f>
        <v>78.139439149396253</v>
      </c>
      <c r="AF197" s="24">
        <f>[1]节奏总纲!AF197</f>
        <v>81.096762731680187</v>
      </c>
      <c r="AG197" s="24">
        <f>[1]节奏总纲!AG197</f>
        <v>85.609678520388172</v>
      </c>
      <c r="AH197" s="24">
        <f>[1]节奏总纲!AH197</f>
        <v>95.082429458741387</v>
      </c>
      <c r="AZ197" s="20">
        <v>194</v>
      </c>
      <c r="BA197" s="20">
        <v>42.479563531781146</v>
      </c>
      <c r="BB197" s="20">
        <v>44.003272544984547</v>
      </c>
      <c r="BC197" s="20">
        <v>45.94363221224129</v>
      </c>
      <c r="BD197" s="20">
        <v>48.67620274791048</v>
      </c>
      <c r="BE197" s="20">
        <v>50</v>
      </c>
    </row>
    <row r="198" spans="29:57" x14ac:dyDescent="0.15">
      <c r="AC198" s="24">
        <f>[1]节奏总纲!AC198</f>
        <v>195</v>
      </c>
      <c r="AD198" s="24">
        <f>[1]节奏总纲!AD198</f>
        <v>76.142785979989682</v>
      </c>
      <c r="AE198" s="24">
        <f>[1]节奏总纲!AE198</f>
        <v>78.210684562266223</v>
      </c>
      <c r="AF198" s="24">
        <f>[1]节奏总纲!AF198</f>
        <v>81.169736118594443</v>
      </c>
      <c r="AG198" s="24">
        <f>[1]节奏总纲!AG198</f>
        <v>85.682034282190017</v>
      </c>
      <c r="AH198" s="24">
        <f>[1]节奏总纲!AH198</f>
        <v>95.153780129545481</v>
      </c>
      <c r="AZ198" s="20">
        <v>195</v>
      </c>
      <c r="BA198" s="20">
        <v>42.51427628670821</v>
      </c>
      <c r="BB198" s="20">
        <v>44.035591852864428</v>
      </c>
      <c r="BC198" s="20">
        <v>45.98082701761146</v>
      </c>
      <c r="BD198" s="20">
        <v>48.712095747729713</v>
      </c>
      <c r="BE198" s="20">
        <v>50</v>
      </c>
    </row>
    <row r="199" spans="29:57" x14ac:dyDescent="0.15">
      <c r="AC199" s="24">
        <f>[1]节奏总纲!AC199</f>
        <v>196</v>
      </c>
      <c r="AD199" s="24">
        <f>[1]节奏总纲!AD199</f>
        <v>76.214599817504492</v>
      </c>
      <c r="AE199" s="24">
        <f>[1]节奏总纲!AE199</f>
        <v>78.281929975136208</v>
      </c>
      <c r="AF199" s="24">
        <f>[1]节奏总纲!AF199</f>
        <v>81.242709505508685</v>
      </c>
      <c r="AG199" s="24">
        <f>[1]节奏总纲!AG199</f>
        <v>85.754390043991862</v>
      </c>
      <c r="AH199" s="24">
        <f>[1]节奏总纲!AH199</f>
        <v>95.225130800349589</v>
      </c>
      <c r="AZ199" s="20">
        <v>196</v>
      </c>
      <c r="BA199" s="20">
        <v>42.548989041635274</v>
      </c>
      <c r="BB199" s="20">
        <v>44.067911160744309</v>
      </c>
      <c r="BC199" s="20">
        <v>46.01555652579863</v>
      </c>
      <c r="BD199" s="20">
        <v>48.747988747548945</v>
      </c>
      <c r="BE199" s="20">
        <v>50</v>
      </c>
    </row>
    <row r="200" spans="29:57" x14ac:dyDescent="0.15">
      <c r="AC200" s="24">
        <f>[1]节奏总纲!AC200</f>
        <v>197</v>
      </c>
      <c r="AD200" s="24">
        <f>[1]节奏总纲!AD200</f>
        <v>76.286413655019302</v>
      </c>
      <c r="AE200" s="24">
        <f>[1]节奏总纲!AE200</f>
        <v>78.353175388006179</v>
      </c>
      <c r="AF200" s="24">
        <f>[1]节奏总纲!AF200</f>
        <v>81.315682892422942</v>
      </c>
      <c r="AG200" s="24">
        <f>[1]节奏总纲!AG200</f>
        <v>85.82674580579372</v>
      </c>
      <c r="AH200" s="24">
        <f>[1]节奏总纲!AH200</f>
        <v>95.296481471153683</v>
      </c>
      <c r="AZ200" s="20">
        <v>197</v>
      </c>
      <c r="BA200" s="20">
        <v>42.583701796562345</v>
      </c>
      <c r="BB200" s="20">
        <v>44.100230468624183</v>
      </c>
      <c r="BC200" s="20">
        <v>46.047663263829847</v>
      </c>
      <c r="BD200" s="20">
        <v>48.783881747368184</v>
      </c>
      <c r="BE200" s="20">
        <v>50</v>
      </c>
    </row>
    <row r="201" spans="29:57" x14ac:dyDescent="0.15">
      <c r="AC201" s="24">
        <f>[1]节奏总纲!AC201</f>
        <v>198</v>
      </c>
      <c r="AD201" s="24">
        <f>[1]节奏总纲!AD201</f>
        <v>76.358227492534112</v>
      </c>
      <c r="AE201" s="24">
        <f>[1]节奏总纲!AE201</f>
        <v>78.424420800876163</v>
      </c>
      <c r="AF201" s="24">
        <f>[1]节奏总纲!AF201</f>
        <v>81.388656279337198</v>
      </c>
      <c r="AG201" s="24">
        <f>[1]节奏总纲!AG201</f>
        <v>85.899101567595565</v>
      </c>
      <c r="AH201" s="24">
        <f>[1]节奏总纲!AH201</f>
        <v>95.367832141957777</v>
      </c>
      <c r="AZ201" s="20">
        <v>198</v>
      </c>
      <c r="BA201" s="20">
        <v>42.618414551489408</v>
      </c>
      <c r="BB201" s="20">
        <v>44.132549776504064</v>
      </c>
      <c r="BC201" s="20">
        <v>46.079770001861057</v>
      </c>
      <c r="BD201" s="20">
        <v>48.819774747187417</v>
      </c>
      <c r="BE201" s="20">
        <v>50</v>
      </c>
    </row>
    <row r="202" spans="29:57" x14ac:dyDescent="0.15">
      <c r="AC202" s="24">
        <f>[1]节奏总纲!AC202</f>
        <v>199</v>
      </c>
      <c r="AD202" s="24">
        <f>[1]节奏总纲!AD202</f>
        <v>76.430041330048923</v>
      </c>
      <c r="AE202" s="24">
        <f>[1]节奏总纲!AE202</f>
        <v>78.495666213746148</v>
      </c>
      <c r="AF202" s="24">
        <f>[1]节奏总纲!AF202</f>
        <v>81.461629666251454</v>
      </c>
      <c r="AG202" s="24">
        <f>[1]节奏总纲!AG202</f>
        <v>85.97145732939741</v>
      </c>
      <c r="AH202" s="24">
        <f>[1]节奏总纲!AH202</f>
        <v>95.439182812761885</v>
      </c>
      <c r="AZ202" s="20">
        <v>199</v>
      </c>
      <c r="BA202" s="20">
        <v>42.653127306416472</v>
      </c>
      <c r="BB202" s="20">
        <v>44.164869084383938</v>
      </c>
      <c r="BC202" s="20">
        <v>46.111876739892267</v>
      </c>
      <c r="BD202" s="20">
        <v>48.855667747006656</v>
      </c>
      <c r="BE202" s="20">
        <v>50</v>
      </c>
    </row>
    <row r="203" spans="29:57" x14ac:dyDescent="0.15">
      <c r="AC203" s="24">
        <f>[1]节奏总纲!AC203</f>
        <v>200</v>
      </c>
      <c r="AD203" s="24">
        <f>[1]节奏总纲!AD203</f>
        <v>76.501855167563733</v>
      </c>
      <c r="AE203" s="24">
        <f>[1]节奏总纲!AE203</f>
        <v>78.566911626616118</v>
      </c>
      <c r="AF203" s="24">
        <f>[1]节奏总纲!AF203</f>
        <v>81.534603053165696</v>
      </c>
      <c r="AG203" s="24">
        <f>[1]节奏总纲!AG203</f>
        <v>86.045919706798657</v>
      </c>
      <c r="AH203" s="24">
        <f>[1]节奏总纲!AH203</f>
        <v>95.510533483565979</v>
      </c>
      <c r="AZ203" s="20">
        <v>200</v>
      </c>
      <c r="BA203" s="20">
        <v>42.687840061343536</v>
      </c>
      <c r="BB203" s="20">
        <v>44.197188392263818</v>
      </c>
      <c r="BC203" s="20">
        <v>46.143983477923484</v>
      </c>
      <c r="BD203" s="20">
        <v>48.891560746825888</v>
      </c>
      <c r="BE203" s="20">
        <v>50</v>
      </c>
    </row>
    <row r="204" spans="29:57" x14ac:dyDescent="0.15">
      <c r="AC204" s="24">
        <f>[1]节奏总纲!AC204</f>
        <v>201</v>
      </c>
      <c r="AD204" s="24">
        <f>[1]节奏总纲!AD204</f>
        <v>76.573669005078543</v>
      </c>
      <c r="AE204" s="24">
        <f>[1]节奏总纲!AE204</f>
        <v>78.638157039486103</v>
      </c>
      <c r="AF204" s="24">
        <f>[1]节奏总纲!AF204</f>
        <v>81.607576440079953</v>
      </c>
      <c r="AG204" s="24">
        <f>[1]节奏总纲!AG204</f>
        <v>86.121754469336281</v>
      </c>
      <c r="AH204" s="24">
        <f>[1]节奏总纲!AH204</f>
        <v>95.581884154370087</v>
      </c>
      <c r="AZ204" s="20">
        <v>201</v>
      </c>
      <c r="BA204" s="20">
        <v>42.7225528162706</v>
      </c>
      <c r="BB204" s="20">
        <v>44.229507700143699</v>
      </c>
      <c r="BC204" s="20">
        <v>46.176090215954694</v>
      </c>
      <c r="BD204" s="20">
        <v>48.927453746645128</v>
      </c>
      <c r="BE204" s="20">
        <v>50</v>
      </c>
    </row>
    <row r="205" spans="29:57" x14ac:dyDescent="0.15">
      <c r="AC205" s="24">
        <f>[1]节奏总纲!AC205</f>
        <v>202</v>
      </c>
      <c r="AD205" s="24">
        <f>[1]节奏总纲!AD205</f>
        <v>76.645482842593353</v>
      </c>
      <c r="AE205" s="24">
        <f>[1]节奏总纲!AE205</f>
        <v>78.709402452356088</v>
      </c>
      <c r="AF205" s="24">
        <f>[1]节奏总纲!AF205</f>
        <v>81.680549826994209</v>
      </c>
      <c r="AG205" s="24">
        <f>[1]节奏总纲!AG205</f>
        <v>86.197589231873891</v>
      </c>
      <c r="AH205" s="24">
        <f>[1]节奏总纲!AH205</f>
        <v>95.653234825174181</v>
      </c>
      <c r="AZ205" s="20">
        <v>202</v>
      </c>
      <c r="BA205" s="20">
        <v>42.757265571197664</v>
      </c>
      <c r="BB205" s="20">
        <v>44.261827008023573</v>
      </c>
      <c r="BC205" s="20">
        <v>46.208196953985905</v>
      </c>
      <c r="BD205" s="20">
        <v>48.96334674646436</v>
      </c>
      <c r="BE205" s="20">
        <v>50</v>
      </c>
    </row>
    <row r="206" spans="29:57" x14ac:dyDescent="0.15">
      <c r="AC206" s="24">
        <f>[1]节奏总纲!AC206</f>
        <v>203</v>
      </c>
      <c r="AD206" s="24">
        <f>[1]节奏总纲!AD206</f>
        <v>76.717296680108163</v>
      </c>
      <c r="AE206" s="24">
        <f>[1]节奏总纲!AE206</f>
        <v>78.780647865226058</v>
      </c>
      <c r="AF206" s="24">
        <f>[1]节奏总纲!AF206</f>
        <v>81.753523213908451</v>
      </c>
      <c r="AG206" s="24">
        <f>[1]节奏总纲!AG206</f>
        <v>86.273423994411502</v>
      </c>
      <c r="AH206" s="24">
        <f>[1]节奏总纲!AH206</f>
        <v>95.724585495978289</v>
      </c>
      <c r="AZ206" s="20">
        <v>203</v>
      </c>
      <c r="BA206" s="20">
        <v>42.791978326124728</v>
      </c>
      <c r="BB206" s="20">
        <v>44.294146315903454</v>
      </c>
      <c r="BC206" s="20">
        <v>46.240303692017122</v>
      </c>
      <c r="BD206" s="20">
        <v>48.9992397462836</v>
      </c>
      <c r="BE206" s="20">
        <v>50</v>
      </c>
    </row>
    <row r="207" spans="29:57" x14ac:dyDescent="0.15">
      <c r="AC207" s="24">
        <f>[1]节奏总纲!AC207</f>
        <v>204</v>
      </c>
      <c r="AD207" s="24">
        <f>[1]节奏总纲!AD207</f>
        <v>76.789110517622973</v>
      </c>
      <c r="AE207" s="24">
        <f>[1]节奏总纲!AE207</f>
        <v>78.851893278096043</v>
      </c>
      <c r="AF207" s="24">
        <f>[1]节奏总纲!AF207</f>
        <v>81.826496600822708</v>
      </c>
      <c r="AG207" s="24">
        <f>[1]节奏总纲!AG207</f>
        <v>86.349258756949112</v>
      </c>
      <c r="AH207" s="24">
        <f>[1]节奏总纲!AH207</f>
        <v>95.795936166782383</v>
      </c>
      <c r="AZ207" s="20">
        <v>204</v>
      </c>
      <c r="BA207" s="20">
        <v>42.826691081051791</v>
      </c>
      <c r="BB207" s="20">
        <v>44.326465623783335</v>
      </c>
      <c r="BC207" s="20">
        <v>46.272410430048332</v>
      </c>
      <c r="BD207" s="20">
        <v>49.030333272797542</v>
      </c>
      <c r="BE207" s="20">
        <v>50</v>
      </c>
    </row>
    <row r="208" spans="29:57" x14ac:dyDescent="0.15">
      <c r="AC208" s="24">
        <f>[1]节奏总纲!AC208</f>
        <v>205</v>
      </c>
      <c r="AD208" s="24">
        <f>[1]节奏总纲!AD208</f>
        <v>76.860924355137783</v>
      </c>
      <c r="AE208" s="24">
        <f>[1]节奏总纲!AE208</f>
        <v>78.923138690966013</v>
      </c>
      <c r="AF208" s="24">
        <f>[1]节奏总纲!AF208</f>
        <v>81.899469987736964</v>
      </c>
      <c r="AG208" s="24">
        <f>[1]节奏总纲!AG208</f>
        <v>86.425093519486722</v>
      </c>
      <c r="AH208" s="24">
        <f>[1]节奏总纲!AH208</f>
        <v>95.867286837586477</v>
      </c>
      <c r="AZ208" s="20">
        <v>205</v>
      </c>
      <c r="BA208" s="20">
        <v>42.861403835978855</v>
      </c>
      <c r="BB208" s="20">
        <v>44.358784931663209</v>
      </c>
      <c r="BC208" s="20">
        <v>46.304517168079542</v>
      </c>
      <c r="BD208" s="20">
        <v>49.061322941292346</v>
      </c>
      <c r="BE208" s="20">
        <v>50</v>
      </c>
    </row>
    <row r="209" spans="29:57" x14ac:dyDescent="0.15">
      <c r="AC209" s="24">
        <f>[1]节奏总纲!AC209</f>
        <v>206</v>
      </c>
      <c r="AD209" s="24">
        <f>[1]节奏总纲!AD209</f>
        <v>76.932738192652593</v>
      </c>
      <c r="AE209" s="24">
        <f>[1]节奏总纲!AE209</f>
        <v>78.994384103835998</v>
      </c>
      <c r="AF209" s="24">
        <f>[1]节奏总纲!AF209</f>
        <v>81.972443374651206</v>
      </c>
      <c r="AG209" s="24">
        <f>[1]节奏总纲!AG209</f>
        <v>86.500928282024347</v>
      </c>
      <c r="AH209" s="24">
        <f>[1]节奏总纲!AH209</f>
        <v>95.938637508390585</v>
      </c>
      <c r="AZ209" s="20">
        <v>206</v>
      </c>
      <c r="BA209" s="20">
        <v>42.896116590905919</v>
      </c>
      <c r="BB209" s="20">
        <v>44.39110423954309</v>
      </c>
      <c r="BC209" s="20">
        <v>46.336623906110759</v>
      </c>
      <c r="BD209" s="20">
        <v>49.09231260978715</v>
      </c>
      <c r="BE209" s="20">
        <v>50</v>
      </c>
    </row>
    <row r="210" spans="29:57" x14ac:dyDescent="0.15">
      <c r="AC210" s="24">
        <f>[1]节奏总纲!AC210</f>
        <v>207</v>
      </c>
      <c r="AD210" s="24">
        <f>[1]节奏总纲!AD210</f>
        <v>77.004247194324648</v>
      </c>
      <c r="AE210" s="24">
        <f>[1]节奏总纲!AE210</f>
        <v>79.061386416569832</v>
      </c>
      <c r="AF210" s="24">
        <f>[1]节奏总纲!AF210</f>
        <v>82.041007317281839</v>
      </c>
      <c r="AG210" s="24">
        <f>[1]节奏总纲!AG210</f>
        <v>86.576763044561957</v>
      </c>
      <c r="AH210" s="24">
        <f>[1]节奏总纲!AH210</f>
        <v>96.008512635801992</v>
      </c>
      <c r="AZ210" s="20">
        <v>207</v>
      </c>
      <c r="BA210" s="20">
        <v>42.930829345832983</v>
      </c>
      <c r="BB210" s="20">
        <v>44.423423547422971</v>
      </c>
      <c r="BC210" s="20">
        <v>46.368730644141969</v>
      </c>
      <c r="BD210" s="20">
        <v>49.123302278281955</v>
      </c>
      <c r="BE210" s="20">
        <v>50</v>
      </c>
    </row>
    <row r="211" spans="29:57" x14ac:dyDescent="0.15">
      <c r="AC211" s="24">
        <f>[1]节奏总纲!AC211</f>
        <v>208</v>
      </c>
      <c r="AD211" s="24">
        <f>[1]节奏总纲!AD211</f>
        <v>77.07125187397483</v>
      </c>
      <c r="AE211" s="24">
        <f>[1]节奏总纲!AE211</f>
        <v>79.128025648620252</v>
      </c>
      <c r="AF211" s="24">
        <f>[1]节奏总纲!AF211</f>
        <v>82.106895829081836</v>
      </c>
      <c r="AG211" s="24">
        <f>[1]节奏总纲!AG211</f>
        <v>86.652597807099568</v>
      </c>
      <c r="AH211" s="24">
        <f>[1]节奏总纲!AH211</f>
        <v>96.069322745727362</v>
      </c>
      <c r="AZ211" s="20">
        <v>208</v>
      </c>
      <c r="BA211" s="20">
        <v>42.965542100760054</v>
      </c>
      <c r="BB211" s="20">
        <v>44.455742855302844</v>
      </c>
      <c r="BC211" s="20">
        <v>46.400837382173179</v>
      </c>
      <c r="BD211" s="20">
        <v>49.154291946776759</v>
      </c>
      <c r="BE211" s="20">
        <v>50</v>
      </c>
    </row>
    <row r="212" spans="29:57" x14ac:dyDescent="0.15">
      <c r="AC212" s="24">
        <f>[1]节奏总纲!AC212</f>
        <v>209</v>
      </c>
      <c r="AD212" s="24">
        <f>[1]节奏总纲!AD212</f>
        <v>77.138256553625013</v>
      </c>
      <c r="AE212" s="24">
        <f>[1]节奏总纲!AE212</f>
        <v>79.194664880670672</v>
      </c>
      <c r="AF212" s="24">
        <f>[1]节奏总纲!AF212</f>
        <v>82.172784340881819</v>
      </c>
      <c r="AG212" s="24">
        <f>[1]节奏总纲!AG212</f>
        <v>86.728432569637178</v>
      </c>
      <c r="AH212" s="24">
        <f>[1]节奏总纲!AH212</f>
        <v>96.130132855652732</v>
      </c>
      <c r="AZ212" s="20">
        <v>209</v>
      </c>
      <c r="BA212" s="20">
        <v>43.000219942361319</v>
      </c>
      <c r="BB212" s="20">
        <v>44.488062163182725</v>
      </c>
      <c r="BC212" s="20">
        <v>46.432944120204397</v>
      </c>
      <c r="BD212" s="20">
        <v>49.18528161527157</v>
      </c>
      <c r="BE212" s="20">
        <v>50</v>
      </c>
    </row>
    <row r="213" spans="29:57" x14ac:dyDescent="0.15">
      <c r="AC213" s="24">
        <f>[1]节奏总纲!AC213</f>
        <v>210</v>
      </c>
      <c r="AD213" s="24">
        <f>[1]节奏总纲!AD213</f>
        <v>77.205261233275195</v>
      </c>
      <c r="AE213" s="24">
        <f>[1]节奏总纲!AE213</f>
        <v>79.261304112721092</v>
      </c>
      <c r="AF213" s="24">
        <f>[1]节奏总纲!AF213</f>
        <v>82.238672852681816</v>
      </c>
      <c r="AG213" s="24">
        <f>[1]节奏总纲!AG213</f>
        <v>86.804267332174788</v>
      </c>
      <c r="AH213" s="24">
        <f>[1]节奏总纲!AH213</f>
        <v>96.190942965578103</v>
      </c>
      <c r="AZ213" s="20">
        <v>210</v>
      </c>
      <c r="BA213" s="20">
        <v>43.030177309109042</v>
      </c>
      <c r="BB213" s="20">
        <v>44.520381471062606</v>
      </c>
      <c r="BC213" s="20">
        <v>46.465050858235607</v>
      </c>
      <c r="BD213" s="20">
        <v>49.216271283766375</v>
      </c>
      <c r="BE213" s="20">
        <v>50</v>
      </c>
    </row>
    <row r="214" spans="29:57" x14ac:dyDescent="0.15">
      <c r="AC214" s="24">
        <f>[1]节奏总纲!AC214</f>
        <v>211</v>
      </c>
      <c r="AD214" s="24">
        <f>[1]节奏总纲!AD214</f>
        <v>77.272265912925377</v>
      </c>
      <c r="AE214" s="24">
        <f>[1]节奏总纲!AE214</f>
        <v>79.327943344771512</v>
      </c>
      <c r="AF214" s="24">
        <f>[1]节奏总纲!AF214</f>
        <v>82.304561364481813</v>
      </c>
      <c r="AG214" s="24">
        <f>[1]节奏总纲!AG214</f>
        <v>86.880102094712413</v>
      </c>
      <c r="AH214" s="24">
        <f>[1]节奏总纲!AH214</f>
        <v>96.251753075503458</v>
      </c>
      <c r="AZ214" s="20">
        <v>211</v>
      </c>
      <c r="BA214" s="20">
        <v>43.060134675856759</v>
      </c>
      <c r="BB214" s="20">
        <v>44.55270077894248</v>
      </c>
      <c r="BC214" s="20">
        <v>46.497157596266817</v>
      </c>
      <c r="BD214" s="20">
        <v>49.247260952261179</v>
      </c>
      <c r="BE214" s="20">
        <v>50</v>
      </c>
    </row>
    <row r="215" spans="29:57" x14ac:dyDescent="0.15">
      <c r="AC215" s="24">
        <f>[1]节奏总纲!AC215</f>
        <v>212</v>
      </c>
      <c r="AD215" s="24">
        <f>[1]节奏总纲!AD215</f>
        <v>77.339270592575559</v>
      </c>
      <c r="AE215" s="24">
        <f>[1]节奏总纲!AE215</f>
        <v>79.394582576821932</v>
      </c>
      <c r="AF215" s="24">
        <f>[1]节奏总纲!AF215</f>
        <v>82.370449876281796</v>
      </c>
      <c r="AG215" s="24">
        <f>[1]节奏总纲!AG215</f>
        <v>86.955936857250023</v>
      </c>
      <c r="AH215" s="24">
        <f>[1]节奏总纲!AH215</f>
        <v>96.312563185428829</v>
      </c>
      <c r="AZ215" s="20">
        <v>212</v>
      </c>
      <c r="BA215" s="20">
        <v>43.090092042604475</v>
      </c>
      <c r="BB215" s="20">
        <v>44.585020086822361</v>
      </c>
      <c r="BC215" s="20">
        <v>46.529264334298034</v>
      </c>
      <c r="BD215" s="20">
        <v>49.278250620755983</v>
      </c>
      <c r="BE215" s="20">
        <v>50</v>
      </c>
    </row>
    <row r="216" spans="29:57" x14ac:dyDescent="0.15">
      <c r="AC216" s="24">
        <f>[1]节奏总纲!AC216</f>
        <v>213</v>
      </c>
      <c r="AD216" s="24">
        <f>[1]节奏总纲!AD216</f>
        <v>77.406275272225741</v>
      </c>
      <c r="AE216" s="24">
        <f>[1]节奏总纲!AE216</f>
        <v>79.461221808872352</v>
      </c>
      <c r="AF216" s="24">
        <f>[1]节奏总纲!AF216</f>
        <v>82.436338388081793</v>
      </c>
      <c r="AG216" s="24">
        <f>[1]节奏总纲!AG216</f>
        <v>87.031203567981635</v>
      </c>
      <c r="AH216" s="24">
        <f>[1]节奏总纲!AH216</f>
        <v>96.373373295354199</v>
      </c>
      <c r="AZ216" s="20">
        <v>213</v>
      </c>
      <c r="BA216" s="20">
        <v>43.120049409352191</v>
      </c>
      <c r="BB216" s="20">
        <v>44.617339394702242</v>
      </c>
      <c r="BC216" s="20">
        <v>46.561371072329244</v>
      </c>
      <c r="BD216" s="20">
        <v>49.309240289250788</v>
      </c>
      <c r="BE216" s="20">
        <v>50</v>
      </c>
    </row>
    <row r="217" spans="29:57" x14ac:dyDescent="0.15">
      <c r="AC217" s="24">
        <f>[1]节奏总纲!AC217</f>
        <v>214</v>
      </c>
      <c r="AD217" s="24">
        <f>[1]节奏总纲!AD217</f>
        <v>77.473279951875909</v>
      </c>
      <c r="AE217" s="24">
        <f>[1]节奏总纲!AE217</f>
        <v>79.527861040922772</v>
      </c>
      <c r="AF217" s="24">
        <f>[1]节奏总纲!AF217</f>
        <v>82.502226899881776</v>
      </c>
      <c r="AG217" s="24">
        <f>[1]节奏总纲!AG217</f>
        <v>87.10568246405397</v>
      </c>
      <c r="AH217" s="24">
        <f>[1]节奏总纲!AH217</f>
        <v>96.434183405279569</v>
      </c>
      <c r="AZ217" s="20">
        <v>214</v>
      </c>
      <c r="BA217" s="20">
        <v>43.150006776099914</v>
      </c>
      <c r="BB217" s="20">
        <v>44.649658702582116</v>
      </c>
      <c r="BC217" s="20">
        <v>46.593477810360454</v>
      </c>
      <c r="BD217" s="20">
        <v>49.340229957745592</v>
      </c>
      <c r="BE217" s="20">
        <v>50</v>
      </c>
    </row>
    <row r="218" spans="29:57" x14ac:dyDescent="0.15">
      <c r="AC218" s="24">
        <f>[1]节奏总纲!AC218</f>
        <v>215</v>
      </c>
      <c r="AD218" s="24">
        <f>[1]节奏总纲!AD218</f>
        <v>77.540284631526092</v>
      </c>
      <c r="AE218" s="24">
        <f>[1]节奏总纲!AE218</f>
        <v>79.594500272973193</v>
      </c>
      <c r="AF218" s="24">
        <f>[1]节奏总纲!AF218</f>
        <v>82.568115411681774</v>
      </c>
      <c r="AG218" s="24">
        <f>[1]节奏总纲!AG218</f>
        <v>87.180161360126306</v>
      </c>
      <c r="AH218" s="24">
        <f>[1]节奏总纲!AH218</f>
        <v>96.494993515204939</v>
      </c>
      <c r="AZ218" s="20">
        <v>215</v>
      </c>
      <c r="BA218" s="20">
        <v>43.179964142847631</v>
      </c>
      <c r="BB218" s="20">
        <v>44.681978010461997</v>
      </c>
      <c r="BC218" s="20">
        <v>46.625584548391664</v>
      </c>
      <c r="BD218" s="20">
        <v>49.371219626240396</v>
      </c>
      <c r="BE218" s="20">
        <v>50</v>
      </c>
    </row>
    <row r="219" spans="29:57" x14ac:dyDescent="0.15">
      <c r="AC219" s="24">
        <f>[1]节奏总纲!AC219</f>
        <v>216</v>
      </c>
      <c r="AD219" s="24">
        <f>[1]节奏总纲!AD219</f>
        <v>77.607289311176274</v>
      </c>
      <c r="AE219" s="24">
        <f>[1]节奏总纲!AE219</f>
        <v>79.661139505023613</v>
      </c>
      <c r="AF219" s="24">
        <f>[1]节奏总纲!AF219</f>
        <v>82.634003923481771</v>
      </c>
      <c r="AG219" s="24">
        <f>[1]节奏总纲!AG219</f>
        <v>87.254640256198641</v>
      </c>
      <c r="AH219" s="24">
        <f>[1]节奏总纲!AH219</f>
        <v>96.555803625130309</v>
      </c>
      <c r="AZ219" s="20">
        <v>216</v>
      </c>
      <c r="BA219" s="20">
        <v>43.209921509595347</v>
      </c>
      <c r="BB219" s="20">
        <v>44.71429731834187</v>
      </c>
      <c r="BC219" s="20">
        <v>46.657691286422882</v>
      </c>
      <c r="BD219" s="20">
        <v>49.402209294735208</v>
      </c>
      <c r="BE219" s="20">
        <v>50</v>
      </c>
    </row>
    <row r="220" spans="29:57" x14ac:dyDescent="0.15">
      <c r="AC220" s="24">
        <f>[1]节奏总纲!AC220</f>
        <v>217</v>
      </c>
      <c r="AD220" s="24">
        <f>[1]节奏总纲!AD220</f>
        <v>77.674293990826456</v>
      </c>
      <c r="AE220" s="24">
        <f>[1]节奏总纲!AE220</f>
        <v>79.727778737074033</v>
      </c>
      <c r="AF220" s="24">
        <f>[1]节奏总纲!AF220</f>
        <v>82.699892435281754</v>
      </c>
      <c r="AG220" s="24">
        <f>[1]节奏总纲!AG220</f>
        <v>87.329119152270991</v>
      </c>
      <c r="AH220" s="24">
        <f>[1]节奏总纲!AH220</f>
        <v>96.61661373505568</v>
      </c>
      <c r="AZ220" s="20">
        <v>217</v>
      </c>
      <c r="BA220" s="20">
        <v>43.239878876343063</v>
      </c>
      <c r="BB220" s="20">
        <v>44.746616626221751</v>
      </c>
      <c r="BC220" s="20">
        <v>46.689798024454092</v>
      </c>
      <c r="BD220" s="20">
        <v>49.433198963230012</v>
      </c>
      <c r="BE220" s="20">
        <v>50</v>
      </c>
    </row>
    <row r="221" spans="29:57" x14ac:dyDescent="0.15">
      <c r="AC221" s="24">
        <f>[1]节奏总纲!AC221</f>
        <v>218</v>
      </c>
      <c r="AD221" s="24">
        <f>[1]节奏总纲!AD221</f>
        <v>77.741298670476638</v>
      </c>
      <c r="AE221" s="24">
        <f>[1]节奏总纲!AE221</f>
        <v>79.794417969124453</v>
      </c>
      <c r="AF221" s="24">
        <f>[1]节奏总纲!AF221</f>
        <v>82.765780947081751</v>
      </c>
      <c r="AG221" s="24">
        <f>[1]节奏总纲!AG221</f>
        <v>87.403598048343326</v>
      </c>
      <c r="AH221" s="24">
        <f>[1]节奏总纲!AH221</f>
        <v>96.67742384498105</v>
      </c>
      <c r="AZ221" s="20">
        <v>218</v>
      </c>
      <c r="BA221" s="20">
        <v>43.269836243090786</v>
      </c>
      <c r="BB221" s="20">
        <v>44.778935934101632</v>
      </c>
      <c r="BC221" s="20">
        <v>46.721904762485302</v>
      </c>
      <c r="BD221" s="20">
        <v>49.464188631724817</v>
      </c>
      <c r="BE221" s="20">
        <v>50</v>
      </c>
    </row>
    <row r="222" spans="29:57" x14ac:dyDescent="0.15">
      <c r="AC222" s="24">
        <f>[1]节奏总纲!AC222</f>
        <v>219</v>
      </c>
      <c r="AD222" s="24">
        <f>[1]节奏总纲!AD222</f>
        <v>77.80830335012682</v>
      </c>
      <c r="AE222" s="24">
        <f>[1]节奏总纲!AE222</f>
        <v>79.861057201174873</v>
      </c>
      <c r="AF222" s="24">
        <f>[1]节奏总纲!AF222</f>
        <v>82.831669458881734</v>
      </c>
      <c r="AG222" s="24">
        <f>[1]节奏总纲!AG222</f>
        <v>87.478076944415662</v>
      </c>
      <c r="AH222" s="24">
        <f>[1]节奏总纲!AH222</f>
        <v>96.73823395490642</v>
      </c>
      <c r="AZ222" s="20">
        <v>219</v>
      </c>
      <c r="BA222" s="20">
        <v>43.299793609838503</v>
      </c>
      <c r="BB222" s="20">
        <v>44.811255241981506</v>
      </c>
      <c r="BC222" s="20">
        <v>46.754011500516519</v>
      </c>
      <c r="BD222" s="20">
        <v>49.495178300219621</v>
      </c>
      <c r="BE222" s="20">
        <v>50</v>
      </c>
    </row>
    <row r="223" spans="29:57" x14ac:dyDescent="0.15">
      <c r="AC223" s="24">
        <f>[1]节奏总纲!AC223</f>
        <v>220</v>
      </c>
      <c r="AD223" s="24">
        <f>[1]节奏总纲!AD223</f>
        <v>77.875308029777003</v>
      </c>
      <c r="AE223" s="24">
        <f>[1]节奏总纲!AE223</f>
        <v>79.927696433225293</v>
      </c>
      <c r="AF223" s="24">
        <f>[1]节奏总纲!AF223</f>
        <v>82.897557970681731</v>
      </c>
      <c r="AG223" s="24">
        <f>[1]节奏总纲!AG223</f>
        <v>87.552555840488012</v>
      </c>
      <c r="AH223" s="24">
        <f>[1]节奏总纲!AH223</f>
        <v>96.79904406483179</v>
      </c>
      <c r="AZ223" s="20">
        <v>220</v>
      </c>
      <c r="BA223" s="20">
        <v>43.329750976586219</v>
      </c>
      <c r="BB223" s="20">
        <v>44.843574549861387</v>
      </c>
      <c r="BC223" s="20">
        <v>46.786118238547729</v>
      </c>
      <c r="BD223" s="20">
        <v>49.526167968714425</v>
      </c>
      <c r="BE223" s="20">
        <v>50</v>
      </c>
    </row>
    <row r="224" spans="29:57" x14ac:dyDescent="0.15">
      <c r="AC224" s="24">
        <f>[1]节奏总纲!AC224</f>
        <v>221</v>
      </c>
      <c r="AD224" s="24">
        <f>[1]节奏总纲!AD224</f>
        <v>77.942312709427185</v>
      </c>
      <c r="AE224" s="24">
        <f>[1]节奏总纲!AE224</f>
        <v>79.994335665275713</v>
      </c>
      <c r="AF224" s="24">
        <f>[1]节奏总纲!AF224</f>
        <v>82.963446482481729</v>
      </c>
      <c r="AG224" s="24">
        <f>[1]节奏总纲!AG224</f>
        <v>87.627034736560347</v>
      </c>
      <c r="AH224" s="24">
        <f>[1]节奏总纲!AH224</f>
        <v>96.85985417475716</v>
      </c>
      <c r="AZ224" s="20">
        <v>221</v>
      </c>
      <c r="BA224" s="20">
        <v>43.359708343333942</v>
      </c>
      <c r="BB224" s="20">
        <v>44.875893857741268</v>
      </c>
      <c r="BC224" s="20">
        <v>46.818224976578939</v>
      </c>
      <c r="BD224" s="20">
        <v>49.55715763720923</v>
      </c>
      <c r="BE224" s="20">
        <v>50</v>
      </c>
    </row>
    <row r="225" spans="29:57" x14ac:dyDescent="0.15">
      <c r="AC225" s="24">
        <f>[1]节奏总纲!AC225</f>
        <v>222</v>
      </c>
      <c r="AD225" s="24">
        <f>[1]节奏总纲!AD225</f>
        <v>78.008693431404168</v>
      </c>
      <c r="AE225" s="24">
        <f>[1]节奏总纲!AE225</f>
        <v>80.05990507131493</v>
      </c>
      <c r="AF225" s="24">
        <f>[1]节奏总纲!AF225</f>
        <v>83.028328094754301</v>
      </c>
      <c r="AG225" s="24">
        <f>[1]节奏总纲!AG225</f>
        <v>87.701513632632683</v>
      </c>
      <c r="AH225" s="24">
        <f>[1]节奏总纲!AH225</f>
        <v>96.920664284682516</v>
      </c>
      <c r="AZ225" s="20">
        <v>222</v>
      </c>
      <c r="BA225" s="20">
        <v>43.389665710081658</v>
      </c>
      <c r="BB225" s="20">
        <v>44.908213165621142</v>
      </c>
      <c r="BC225" s="20">
        <v>46.850331714610157</v>
      </c>
      <c r="BD225" s="20">
        <v>49.588147305704041</v>
      </c>
      <c r="BE225" s="20">
        <v>50</v>
      </c>
    </row>
    <row r="226" spans="29:57" x14ac:dyDescent="0.15">
      <c r="AC226" s="24">
        <f>[1]节奏总纲!AC226</f>
        <v>223</v>
      </c>
      <c r="AD226" s="24">
        <f>[1]节奏总纲!AD226</f>
        <v>78.071211008105138</v>
      </c>
      <c r="AE226" s="24">
        <f>[1]节奏总纲!AE226</f>
        <v>80.125375094609936</v>
      </c>
      <c r="AF226" s="24">
        <f>[1]节奏总纲!AF226</f>
        <v>83.091955037632331</v>
      </c>
      <c r="AG226" s="24">
        <f>[1]节奏总纲!AG226</f>
        <v>87.775992528705018</v>
      </c>
      <c r="AH226" s="24">
        <f>[1]节奏总纲!AH226</f>
        <v>96.981474394607886</v>
      </c>
      <c r="AZ226" s="20">
        <v>223</v>
      </c>
      <c r="BA226" s="20">
        <v>43.419623076829374</v>
      </c>
      <c r="BB226" s="20">
        <v>44.940532473501023</v>
      </c>
      <c r="BC226" s="20">
        <v>46.882438452641367</v>
      </c>
      <c r="BD226" s="20">
        <v>49.619136974198845</v>
      </c>
      <c r="BE226" s="20">
        <v>50</v>
      </c>
    </row>
    <row r="227" spans="29:57" x14ac:dyDescent="0.15">
      <c r="AC227" s="24">
        <f>[1]节奏总纲!AC227</f>
        <v>224</v>
      </c>
      <c r="AD227" s="24">
        <f>[1]节奏总纲!AD227</f>
        <v>78.133728584806107</v>
      </c>
      <c r="AE227" s="24">
        <f>[1]节奏总纲!AE227</f>
        <v>80.190845117904942</v>
      </c>
      <c r="AF227" s="24">
        <f>[1]节奏总纲!AF227</f>
        <v>83.155581980510348</v>
      </c>
      <c r="AG227" s="24">
        <f>[1]节奏总纲!AG227</f>
        <v>87.850471424777368</v>
      </c>
      <c r="AH227" s="24">
        <f>[1]节奏总纲!AH227</f>
        <v>97.03979962522213</v>
      </c>
      <c r="AZ227" s="20">
        <v>224</v>
      </c>
      <c r="BA227" s="20">
        <v>43.449580443577091</v>
      </c>
      <c r="BB227" s="20">
        <v>44.972851781380903</v>
      </c>
      <c r="BC227" s="20">
        <v>46.914545190672577</v>
      </c>
      <c r="BD227" s="20">
        <v>49.65012664269365</v>
      </c>
      <c r="BE227" s="20">
        <v>50</v>
      </c>
    </row>
    <row r="228" spans="29:57" x14ac:dyDescent="0.15">
      <c r="AC228" s="24">
        <f>[1]节奏总纲!AC228</f>
        <v>225</v>
      </c>
      <c r="AD228" s="24">
        <f>[1]节奏总纲!AD228</f>
        <v>78.196246161507091</v>
      </c>
      <c r="AE228" s="24">
        <f>[1]节奏总纲!AE228</f>
        <v>80.256315141199948</v>
      </c>
      <c r="AF228" s="24">
        <f>[1]节奏总纲!AF228</f>
        <v>83.219208923388379</v>
      </c>
      <c r="AG228" s="24">
        <f>[1]节奏总纲!AG228</f>
        <v>87.924950320849703</v>
      </c>
      <c r="AH228" s="24">
        <f>[1]节奏总纲!AH228</f>
        <v>97.097036185315744</v>
      </c>
      <c r="AZ228" s="20">
        <v>225</v>
      </c>
      <c r="BA228" s="20">
        <v>43.479537810324814</v>
      </c>
      <c r="BB228" s="20">
        <v>45.004463376644416</v>
      </c>
      <c r="BC228" s="20">
        <v>46.946651928703794</v>
      </c>
      <c r="BD228" s="20">
        <v>49.681116311188454</v>
      </c>
      <c r="BE228" s="20">
        <v>50</v>
      </c>
    </row>
    <row r="229" spans="29:57" x14ac:dyDescent="0.15">
      <c r="AC229" s="24">
        <f>[1]节奏总纲!AC229</f>
        <v>226</v>
      </c>
      <c r="AD229" s="24">
        <f>[1]节奏总纲!AD229</f>
        <v>78.25876373820806</v>
      </c>
      <c r="AE229" s="24">
        <f>[1]节奏总纲!AE229</f>
        <v>80.321785164494941</v>
      </c>
      <c r="AF229" s="24">
        <f>[1]节奏总纲!AF229</f>
        <v>83.282835866266396</v>
      </c>
      <c r="AG229" s="24">
        <f>[1]节奏总纲!AG229</f>
        <v>87.999429216922039</v>
      </c>
      <c r="AH229" s="24">
        <f>[1]节奏总纲!AH229</f>
        <v>97.154272745409358</v>
      </c>
      <c r="AZ229" s="20">
        <v>226</v>
      </c>
      <c r="BA229" s="20">
        <v>43.50949517707253</v>
      </c>
      <c r="BB229" s="20">
        <v>45.032359480672049</v>
      </c>
      <c r="BC229" s="20">
        <v>46.978758666735004</v>
      </c>
      <c r="BD229" s="20">
        <v>49.712105979683258</v>
      </c>
      <c r="BE229" s="20">
        <v>50</v>
      </c>
    </row>
    <row r="230" spans="29:57" x14ac:dyDescent="0.15">
      <c r="AC230" s="24">
        <f>[1]节奏总纲!AC230</f>
        <v>227</v>
      </c>
      <c r="AD230" s="24">
        <f>[1]节奏总纲!AD230</f>
        <v>78.321281314909029</v>
      </c>
      <c r="AE230" s="24">
        <f>[1]节奏总纲!AE230</f>
        <v>80.387255187789947</v>
      </c>
      <c r="AF230" s="24">
        <f>[1]节奏总纲!AF230</f>
        <v>83.346462809144427</v>
      </c>
      <c r="AG230" s="24">
        <f>[1]节奏总纲!AG230</f>
        <v>88.069378113045531</v>
      </c>
      <c r="AH230" s="24">
        <f>[1]节奏总纲!AH230</f>
        <v>97.211509305502972</v>
      </c>
      <c r="AZ230" s="20">
        <v>227</v>
      </c>
      <c r="BA230" s="20">
        <v>43.539452543820246</v>
      </c>
      <c r="BB230" s="20">
        <v>45.060255584699682</v>
      </c>
      <c r="BC230" s="20">
        <v>47.009379755645142</v>
      </c>
      <c r="BD230" s="20">
        <v>49.743095648178063</v>
      </c>
      <c r="BE230" s="20">
        <v>50</v>
      </c>
    </row>
    <row r="231" spans="29:57" x14ac:dyDescent="0.15">
      <c r="AC231" s="24">
        <f>[1]节奏总纲!AC231</f>
        <v>228</v>
      </c>
      <c r="AD231" s="24">
        <f>[1]节奏总纲!AD231</f>
        <v>78.383798891610013</v>
      </c>
      <c r="AE231" s="24">
        <f>[1]节奏总纲!AE231</f>
        <v>80.452725211084953</v>
      </c>
      <c r="AF231" s="24">
        <f>[1]节奏总纲!AF231</f>
        <v>83.410089752022458</v>
      </c>
      <c r="AG231" s="24">
        <f>[1]节奏总纲!AG231</f>
        <v>88.139292024548126</v>
      </c>
      <c r="AH231" s="24">
        <f>[1]节奏总纲!AH231</f>
        <v>97.268745865596571</v>
      </c>
      <c r="AZ231" s="20">
        <v>228</v>
      </c>
      <c r="BA231" s="20">
        <v>43.569409910567963</v>
      </c>
      <c r="BB231" s="20">
        <v>45.088151688727308</v>
      </c>
      <c r="BC231" s="20">
        <v>47.037096473409001</v>
      </c>
      <c r="BD231" s="20">
        <v>49.774085316672867</v>
      </c>
      <c r="BE231" s="20">
        <v>50</v>
      </c>
    </row>
    <row r="232" spans="29:57" x14ac:dyDescent="0.15">
      <c r="AC232" s="24">
        <f>[1]节奏总纲!AC232</f>
        <v>229</v>
      </c>
      <c r="AD232" s="24">
        <f>[1]节奏总纲!AD232</f>
        <v>78.446316468310982</v>
      </c>
      <c r="AE232" s="24">
        <f>[1]节奏总纲!AE232</f>
        <v>80.518195234379959</v>
      </c>
      <c r="AF232" s="24">
        <f>[1]节奏总纲!AF232</f>
        <v>83.473716694900475</v>
      </c>
      <c r="AG232" s="24">
        <f>[1]节奏总纲!AG232</f>
        <v>88.209205936050708</v>
      </c>
      <c r="AH232" s="24">
        <f>[1]节奏总纲!AH232</f>
        <v>97.325982425690185</v>
      </c>
      <c r="AZ232" s="20">
        <v>229</v>
      </c>
      <c r="BA232" s="20">
        <v>43.599367277315686</v>
      </c>
      <c r="BB232" s="20">
        <v>45.116047792754941</v>
      </c>
      <c r="BC232" s="20">
        <v>47.06481319117286</v>
      </c>
      <c r="BD232" s="20">
        <v>49.805074985167678</v>
      </c>
      <c r="BE232" s="20">
        <v>50</v>
      </c>
    </row>
    <row r="233" spans="29:57" x14ac:dyDescent="0.15">
      <c r="AC233" s="24">
        <f>[1]节奏总纲!AC233</f>
        <v>230</v>
      </c>
      <c r="AD233" s="24">
        <f>[1]节奏总纲!AD233</f>
        <v>78.508834045011952</v>
      </c>
      <c r="AE233" s="24">
        <f>[1]节奏总纲!AE233</f>
        <v>80.583665257674966</v>
      </c>
      <c r="AF233" s="24">
        <f>[1]节奏总纲!AF233</f>
        <v>83.537343637778505</v>
      </c>
      <c r="AG233" s="24">
        <f>[1]节奏总纲!AG233</f>
        <v>88.279119847553304</v>
      </c>
      <c r="AH233" s="24">
        <f>[1]节奏总纲!AH233</f>
        <v>97.383218985783799</v>
      </c>
      <c r="AZ233" s="20">
        <v>230</v>
      </c>
      <c r="BA233" s="20">
        <v>43.629324644063402</v>
      </c>
      <c r="BB233" s="20">
        <v>45.143943896782567</v>
      </c>
      <c r="BC233" s="20">
        <v>47.092529908936719</v>
      </c>
      <c r="BD233" s="20">
        <v>49.836064653662483</v>
      </c>
      <c r="BE233" s="20">
        <v>50</v>
      </c>
    </row>
    <row r="234" spans="29:57" x14ac:dyDescent="0.15">
      <c r="AC234" s="24">
        <f>[1]节奏总纲!AC234</f>
        <v>231</v>
      </c>
      <c r="AD234" s="24">
        <f>[1]节奏总纲!AD234</f>
        <v>78.571351621712921</v>
      </c>
      <c r="AE234" s="24">
        <f>[1]节奏总纲!AE234</f>
        <v>80.649135280969972</v>
      </c>
      <c r="AF234" s="24">
        <f>[1]节奏总纲!AF234</f>
        <v>83.600970580656536</v>
      </c>
      <c r="AG234" s="24">
        <f>[1]节奏总纲!AG234</f>
        <v>88.349033759055899</v>
      </c>
      <c r="AH234" s="24">
        <f>[1]节奏总纲!AH234</f>
        <v>97.440455545877413</v>
      </c>
      <c r="AZ234" s="20">
        <v>231</v>
      </c>
      <c r="BA234" s="20">
        <v>43.659282010811118</v>
      </c>
      <c r="BB234" s="20">
        <v>45.171840000810199</v>
      </c>
      <c r="BC234" s="20">
        <v>47.120246626700578</v>
      </c>
      <c r="BD234" s="20">
        <v>49.867054322157287</v>
      </c>
      <c r="BE234" s="20">
        <v>50</v>
      </c>
    </row>
    <row r="235" spans="29:57" x14ac:dyDescent="0.15">
      <c r="AC235" s="24">
        <f>[1]节奏总纲!AC235</f>
        <v>232</v>
      </c>
      <c r="AD235" s="24">
        <f>[1]节奏总纲!AD235</f>
        <v>78.633869198413905</v>
      </c>
      <c r="AE235" s="24">
        <f>[1]节奏总纲!AE235</f>
        <v>80.714605304264978</v>
      </c>
      <c r="AF235" s="24">
        <f>[1]节奏总纲!AF235</f>
        <v>83.664597523534553</v>
      </c>
      <c r="AG235" s="24">
        <f>[1]节奏总纲!AG235</f>
        <v>88.418947670558495</v>
      </c>
      <c r="AH235" s="24">
        <f>[1]节奏总纲!AH235</f>
        <v>97.497692105971026</v>
      </c>
      <c r="AZ235" s="20">
        <v>232</v>
      </c>
      <c r="BA235" s="20">
        <v>43.689239377558835</v>
      </c>
      <c r="BB235" s="20">
        <v>45.199736104837825</v>
      </c>
      <c r="BC235" s="20">
        <v>47.147963344464429</v>
      </c>
      <c r="BD235" s="20">
        <v>49.898043990652091</v>
      </c>
      <c r="BE235" s="20">
        <v>50</v>
      </c>
    </row>
    <row r="236" spans="29:57" x14ac:dyDescent="0.15">
      <c r="AC236" s="24">
        <f>[1]节奏总纲!AC236</f>
        <v>233</v>
      </c>
      <c r="AD236" s="24">
        <f>[1]节奏总纲!AD236</f>
        <v>78.696386775114874</v>
      </c>
      <c r="AE236" s="24">
        <f>[1]节奏总纲!AE236</f>
        <v>80.78007532755997</v>
      </c>
      <c r="AF236" s="24">
        <f>[1]节奏总纲!AF236</f>
        <v>83.728224466412584</v>
      </c>
      <c r="AG236" s="24">
        <f>[1]节奏总纲!AG236</f>
        <v>88.488861582061077</v>
      </c>
      <c r="AH236" s="24">
        <f>[1]节奏总纲!AH236</f>
        <v>97.554928666064626</v>
      </c>
      <c r="AZ236" s="20">
        <v>233</v>
      </c>
      <c r="BA236" s="20">
        <v>43.719196744306558</v>
      </c>
      <c r="BB236" s="20">
        <v>45.227632208865458</v>
      </c>
      <c r="BC236" s="20">
        <v>47.175680062228288</v>
      </c>
      <c r="BD236" s="20">
        <v>49.929033659146896</v>
      </c>
      <c r="BE236" s="20">
        <v>50</v>
      </c>
    </row>
    <row r="237" spans="29:57" x14ac:dyDescent="0.15">
      <c r="AC237" s="24">
        <f>[1]节奏总纲!AC237</f>
        <v>234</v>
      </c>
      <c r="AD237" s="24">
        <f>[1]节奏总纲!AD237</f>
        <v>78.758904351815843</v>
      </c>
      <c r="AE237" s="24">
        <f>[1]节奏总纲!AE237</f>
        <v>80.845545350854977</v>
      </c>
      <c r="AF237" s="24">
        <f>[1]节奏总纲!AF237</f>
        <v>83.791851409290615</v>
      </c>
      <c r="AG237" s="24">
        <f>[1]节奏总纲!AG237</f>
        <v>88.558775493563672</v>
      </c>
      <c r="AH237" s="24">
        <f>[1]节奏总纲!AH237</f>
        <v>97.61216522615824</v>
      </c>
      <c r="AZ237" s="20">
        <v>234</v>
      </c>
      <c r="BA237" s="20">
        <v>43.749154111054274</v>
      </c>
      <c r="BB237" s="20">
        <v>45.255528312893091</v>
      </c>
      <c r="BC237" s="20">
        <v>47.203396779992147</v>
      </c>
      <c r="BD237" s="20">
        <v>49.9600233276417</v>
      </c>
      <c r="BE237" s="20">
        <v>50</v>
      </c>
    </row>
    <row r="238" spans="29:57" x14ac:dyDescent="0.15">
      <c r="AC238" s="24">
        <f>[1]节奏总纲!AC238</f>
        <v>235</v>
      </c>
      <c r="AD238" s="24">
        <f>[1]节奏总纲!AD238</f>
        <v>78.821421928516827</v>
      </c>
      <c r="AE238" s="24">
        <f>[1]节奏总纲!AE238</f>
        <v>80.911015374149983</v>
      </c>
      <c r="AF238" s="24">
        <f>[1]节奏总纲!AF238</f>
        <v>83.855478352168632</v>
      </c>
      <c r="AG238" s="24">
        <f>[1]节奏总纲!AG238</f>
        <v>88.628689405066268</v>
      </c>
      <c r="AH238" s="24">
        <f>[1]节奏总纲!AH238</f>
        <v>97.669401786251854</v>
      </c>
      <c r="AZ238" s="20">
        <v>235</v>
      </c>
      <c r="BA238" s="20">
        <v>43.77911147780199</v>
      </c>
      <c r="BB238" s="20">
        <v>45.283424416920717</v>
      </c>
      <c r="BC238" s="20">
        <v>47.231113497756006</v>
      </c>
      <c r="BD238" s="20">
        <v>49.991012996136504</v>
      </c>
      <c r="BE238" s="20">
        <v>50</v>
      </c>
    </row>
    <row r="239" spans="29:57" x14ac:dyDescent="0.15">
      <c r="AC239" s="24">
        <f>[1]节奏总纲!AC239</f>
        <v>236</v>
      </c>
      <c r="AD239" s="24">
        <f>[1]节奏总纲!AD239</f>
        <v>78.883939505217796</v>
      </c>
      <c r="AE239" s="24">
        <f>[1]节奏总纲!AE239</f>
        <v>80.976485397444989</v>
      </c>
      <c r="AF239" s="24">
        <f>[1]节奏总纲!AF239</f>
        <v>83.919105295046663</v>
      </c>
      <c r="AG239" s="24">
        <f>[1]节奏总纲!AG239</f>
        <v>88.698603316568864</v>
      </c>
      <c r="AH239" s="24">
        <f>[1]节奏总纲!AH239</f>
        <v>97.726638346345467</v>
      </c>
      <c r="AZ239" s="20">
        <v>236</v>
      </c>
      <c r="BA239" s="20">
        <v>43.809068844549707</v>
      </c>
      <c r="BB239" s="20">
        <v>45.31132052094835</v>
      </c>
      <c r="BC239" s="20">
        <v>47.258830215519865</v>
      </c>
      <c r="BD239" s="20">
        <v>50</v>
      </c>
      <c r="BE239" s="20">
        <v>50</v>
      </c>
    </row>
    <row r="240" spans="29:57" x14ac:dyDescent="0.15">
      <c r="AC240" s="24">
        <f>[1]节奏总纲!AC240</f>
        <v>237</v>
      </c>
      <c r="AD240" s="24">
        <f>[1]节奏总纲!AD240</f>
        <v>78.946457081918766</v>
      </c>
      <c r="AE240" s="24">
        <f>[1]节奏总纲!AE240</f>
        <v>81.038163244467697</v>
      </c>
      <c r="AF240" s="24">
        <f>[1]节奏总纲!AF240</f>
        <v>83.982732237924694</v>
      </c>
      <c r="AG240" s="24">
        <f>[1]节奏总纲!AG240</f>
        <v>88.768517228071445</v>
      </c>
      <c r="AH240" s="24">
        <f>[1]节奏总纲!AH240</f>
        <v>97.783874906439081</v>
      </c>
      <c r="AZ240" s="20">
        <v>237</v>
      </c>
      <c r="BA240" s="20">
        <v>43.83902621129743</v>
      </c>
      <c r="BB240" s="20">
        <v>45.339216624975975</v>
      </c>
      <c r="BC240" s="20">
        <v>47.286546933283724</v>
      </c>
      <c r="BD240" s="20">
        <v>50</v>
      </c>
      <c r="BE240" s="20">
        <v>50</v>
      </c>
    </row>
    <row r="241" spans="29:57" x14ac:dyDescent="0.15">
      <c r="AC241" s="24">
        <f>[1]节奏总纲!AC241</f>
        <v>238</v>
      </c>
      <c r="AD241" s="24">
        <f>[1]节奏总纲!AD241</f>
        <v>79.008373652580005</v>
      </c>
      <c r="AE241" s="24">
        <f>[1]节奏总纲!AE241</f>
        <v>81.097715704203424</v>
      </c>
      <c r="AF241" s="24">
        <f>[1]节奏总纲!AF241</f>
        <v>84.043767921022209</v>
      </c>
      <c r="AG241" s="24">
        <f>[1]节奏总纲!AG241</f>
        <v>88.838431139574041</v>
      </c>
      <c r="AH241" s="24">
        <f>[1]节奏总纲!AH241</f>
        <v>97.841111466532681</v>
      </c>
      <c r="AZ241" s="20">
        <v>238</v>
      </c>
      <c r="BA241" s="20">
        <v>43.868983578045146</v>
      </c>
      <c r="BB241" s="20">
        <v>45.367112729003608</v>
      </c>
      <c r="BC241" s="20">
        <v>47.314263651047582</v>
      </c>
      <c r="BD241" s="20">
        <v>50</v>
      </c>
      <c r="BE241" s="20">
        <v>50</v>
      </c>
    </row>
    <row r="242" spans="29:57" x14ac:dyDescent="0.15">
      <c r="AC242" s="24">
        <f>[1]节奏总纲!AC242</f>
        <v>239</v>
      </c>
      <c r="AD242" s="24">
        <f>[1]节奏总纲!AD242</f>
        <v>79.066704614192943</v>
      </c>
      <c r="AE242" s="24">
        <f>[1]节奏总纲!AE242</f>
        <v>81.157268163939136</v>
      </c>
      <c r="AF242" s="24">
        <f>[1]节奏总纲!AF242</f>
        <v>84.103838417578672</v>
      </c>
      <c r="AG242" s="24">
        <f>[1]节奏总纲!AG242</f>
        <v>88.908345051076637</v>
      </c>
      <c r="AH242" s="24">
        <f>[1]节奏总纲!AH242</f>
        <v>97.898348026626294</v>
      </c>
      <c r="AZ242" s="20">
        <v>239</v>
      </c>
      <c r="BA242" s="20">
        <v>43.898940944792862</v>
      </c>
      <c r="BB242" s="20">
        <v>45.395008833031234</v>
      </c>
      <c r="BC242" s="20">
        <v>47.341980368811441</v>
      </c>
      <c r="BD242" s="20">
        <v>50</v>
      </c>
      <c r="BE242" s="20">
        <v>50</v>
      </c>
    </row>
    <row r="243" spans="29:57" x14ac:dyDescent="0.15">
      <c r="AC243" s="24">
        <f>[1]节奏总纲!AC243</f>
        <v>240</v>
      </c>
      <c r="AD243" s="24">
        <f>[1]节奏总纲!AD243</f>
        <v>79.125035575805882</v>
      </c>
      <c r="AE243" s="24">
        <f>[1]节奏总纲!AE243</f>
        <v>81.216820623674849</v>
      </c>
      <c r="AF243" s="24">
        <f>[1]节奏总纲!AF243</f>
        <v>84.163908914135135</v>
      </c>
      <c r="AG243" s="24">
        <f>[1]节奏总纲!AG243</f>
        <v>88.978258962579233</v>
      </c>
      <c r="AH243" s="24">
        <f>[1]节奏总纲!AH243</f>
        <v>97.955584586719908</v>
      </c>
      <c r="AZ243" s="20">
        <v>240</v>
      </c>
      <c r="BA243" s="20">
        <v>43.928898311540586</v>
      </c>
      <c r="BB243" s="20">
        <v>45.422904937058867</v>
      </c>
      <c r="BC243" s="20">
        <v>47.3696970865753</v>
      </c>
      <c r="BD243" s="20">
        <v>50</v>
      </c>
      <c r="BE243" s="20">
        <v>50</v>
      </c>
    </row>
    <row r="244" spans="29:57" x14ac:dyDescent="0.15">
      <c r="AC244" s="24">
        <f>[1]节奏总纲!AC244</f>
        <v>241</v>
      </c>
      <c r="AD244" s="24">
        <f>[1]节奏总纲!AD244</f>
        <v>79.18336653741882</v>
      </c>
      <c r="AE244" s="24">
        <f>[1]节奏总纲!AE244</f>
        <v>81.276373083410562</v>
      </c>
      <c r="AF244" s="24">
        <f>[1]节奏总纲!AF244</f>
        <v>84.223979410691598</v>
      </c>
      <c r="AG244" s="24">
        <f>[1]节奏总纲!AG244</f>
        <v>89.047272179270863</v>
      </c>
      <c r="AH244" s="24">
        <f>[1]节奏总纲!AH244</f>
        <v>98.013314854852808</v>
      </c>
      <c r="AZ244" s="20">
        <v>241</v>
      </c>
      <c r="BA244" s="20">
        <v>43.958855678288302</v>
      </c>
      <c r="BB244" s="20">
        <v>45.450801041086493</v>
      </c>
      <c r="BC244" s="20">
        <v>47.397413804339159</v>
      </c>
      <c r="BD244" s="20">
        <v>50</v>
      </c>
      <c r="BE244" s="20">
        <v>50</v>
      </c>
    </row>
    <row r="245" spans="29:57" x14ac:dyDescent="0.15">
      <c r="AC245" s="24">
        <f>[1]节奏总纲!AC245</f>
        <v>242</v>
      </c>
      <c r="AD245" s="24">
        <f>[1]节奏总纲!AD245</f>
        <v>79.241697499031773</v>
      </c>
      <c r="AE245" s="24">
        <f>[1]节奏总纲!AE245</f>
        <v>81.335925543146274</v>
      </c>
      <c r="AF245" s="24">
        <f>[1]节奏总纲!AF245</f>
        <v>84.284049907248061</v>
      </c>
      <c r="AG245" s="24">
        <f>[1]节奏总纲!AG245</f>
        <v>89.11587890081428</v>
      </c>
      <c r="AH245" s="24">
        <f>[1]节奏总纲!AH245</f>
        <v>98.072755441643167</v>
      </c>
      <c r="AZ245" s="20">
        <v>242</v>
      </c>
      <c r="BA245" s="20">
        <v>43.988813045036018</v>
      </c>
      <c r="BB245" s="20">
        <v>45.478697145114126</v>
      </c>
      <c r="BC245" s="20">
        <v>47.425130522103018</v>
      </c>
      <c r="BD245" s="20">
        <v>50</v>
      </c>
      <c r="BE245" s="20">
        <v>50</v>
      </c>
    </row>
    <row r="246" spans="29:57" x14ac:dyDescent="0.15">
      <c r="AC246" s="24">
        <f>[1]节奏总纲!AC246</f>
        <v>243</v>
      </c>
      <c r="AD246" s="24">
        <f>[1]节奏总纲!AD246</f>
        <v>79.300028460644711</v>
      </c>
      <c r="AE246" s="24">
        <f>[1]节奏总纲!AE246</f>
        <v>81.395478002882001</v>
      </c>
      <c r="AF246" s="24">
        <f>[1]节奏总纲!AF246</f>
        <v>84.344120403804524</v>
      </c>
      <c r="AG246" s="24">
        <f>[1]节奏总纲!AG246</f>
        <v>89.184485622357698</v>
      </c>
      <c r="AH246" s="24">
        <f>[1]节奏总纲!AH246</f>
        <v>98.132196028433526</v>
      </c>
      <c r="AZ246" s="20">
        <v>243</v>
      </c>
      <c r="BA246" s="20">
        <v>44.016200268136501</v>
      </c>
      <c r="BB246" s="20">
        <v>45.506593249141758</v>
      </c>
      <c r="BC246" s="20">
        <v>47.452847239866877</v>
      </c>
      <c r="BD246" s="20">
        <v>50</v>
      </c>
      <c r="BE246" s="20">
        <v>50</v>
      </c>
    </row>
    <row r="247" spans="29:57" x14ac:dyDescent="0.15">
      <c r="AC247" s="24">
        <f>[1]节奏总纲!AC247</f>
        <v>244</v>
      </c>
      <c r="AD247" s="24">
        <f>[1]节奏总纲!AD247</f>
        <v>79.358359422257649</v>
      </c>
      <c r="AE247" s="24">
        <f>[1]节奏总纲!AE247</f>
        <v>81.455030462617714</v>
      </c>
      <c r="AF247" s="24">
        <f>[1]节奏总纲!AF247</f>
        <v>84.404190900360987</v>
      </c>
      <c r="AG247" s="24">
        <f>[1]节奏总纲!AG247</f>
        <v>89.253092343901116</v>
      </c>
      <c r="AH247" s="24">
        <f>[1]节奏总纲!AH247</f>
        <v>98.191636615223871</v>
      </c>
      <c r="AZ247" s="20">
        <v>244</v>
      </c>
      <c r="BA247" s="20">
        <v>44.042055714440401</v>
      </c>
      <c r="BB247" s="20">
        <v>45.534489353169384</v>
      </c>
      <c r="BC247" s="20">
        <v>47.480563957630736</v>
      </c>
      <c r="BD247" s="20">
        <v>50</v>
      </c>
      <c r="BE247" s="20">
        <v>50</v>
      </c>
    </row>
    <row r="248" spans="29:57" x14ac:dyDescent="0.15">
      <c r="AC248" s="24">
        <f>[1]节奏总纲!AC248</f>
        <v>245</v>
      </c>
      <c r="AD248" s="24">
        <f>[1]节奏总纲!AD248</f>
        <v>79.416690383870588</v>
      </c>
      <c r="AE248" s="24">
        <f>[1]节奏总纲!AE248</f>
        <v>81.514582922353426</v>
      </c>
      <c r="AF248" s="24">
        <f>[1]节奏总纲!AF248</f>
        <v>84.46426139691745</v>
      </c>
      <c r="AG248" s="24">
        <f>[1]节奏总纲!AG248</f>
        <v>89.321699065444534</v>
      </c>
      <c r="AH248" s="24">
        <f>[1]节奏总纲!AH248</f>
        <v>98.25107720201423</v>
      </c>
      <c r="AZ248" s="20">
        <v>245</v>
      </c>
      <c r="BA248" s="20">
        <v>44.067911160744309</v>
      </c>
      <c r="BB248" s="20">
        <v>45.562385457197017</v>
      </c>
      <c r="BC248" s="20">
        <v>47.508280675394595</v>
      </c>
      <c r="BD248" s="20">
        <v>50</v>
      </c>
      <c r="BE248" s="20">
        <v>50</v>
      </c>
    </row>
    <row r="249" spans="29:57" x14ac:dyDescent="0.15">
      <c r="AC249" s="24">
        <f>[1]节奏总纲!AC249</f>
        <v>246</v>
      </c>
      <c r="AD249" s="24">
        <f>[1]节奏总纲!AD249</f>
        <v>79.475021345483526</v>
      </c>
      <c r="AE249" s="24">
        <f>[1]节奏总纲!AE249</f>
        <v>81.574135382089139</v>
      </c>
      <c r="AF249" s="24">
        <f>[1]节奏总纲!AF249</f>
        <v>84.524331893473914</v>
      </c>
      <c r="AG249" s="24">
        <f>[1]节奏总纲!AG249</f>
        <v>89.390305786987952</v>
      </c>
      <c r="AH249" s="24">
        <f>[1]节奏总纲!AH249</f>
        <v>98.310517788804589</v>
      </c>
      <c r="AZ249" s="20">
        <v>246</v>
      </c>
      <c r="BA249" s="20">
        <v>44.093766607048209</v>
      </c>
      <c r="BB249" s="20">
        <v>45.590281561224643</v>
      </c>
      <c r="BC249" s="20">
        <v>47.535997393158453</v>
      </c>
      <c r="BD249" s="20">
        <v>50</v>
      </c>
      <c r="BE249" s="20">
        <v>50</v>
      </c>
    </row>
    <row r="250" spans="29:57" x14ac:dyDescent="0.15">
      <c r="AC250" s="24">
        <f>[1]节奏总纲!AC250</f>
        <v>247</v>
      </c>
      <c r="AD250" s="24">
        <f>[1]节奏总纲!AD250</f>
        <v>79.533352307096465</v>
      </c>
      <c r="AE250" s="24">
        <f>[1]节奏总纲!AE250</f>
        <v>81.633687841824852</v>
      </c>
      <c r="AF250" s="24">
        <f>[1]节奏总纲!AF250</f>
        <v>84.584402390030377</v>
      </c>
      <c r="AG250" s="24">
        <f>[1]节奏总纲!AG250</f>
        <v>89.45891250853137</v>
      </c>
      <c r="AH250" s="24">
        <f>[1]节奏总纲!AH250</f>
        <v>98.369958375594933</v>
      </c>
      <c r="AZ250" s="20">
        <v>247</v>
      </c>
      <c r="BA250" s="20">
        <v>44.11962205335211</v>
      </c>
      <c r="BB250" s="20">
        <v>45.618177665252276</v>
      </c>
      <c r="BC250" s="20">
        <v>47.563714110922312</v>
      </c>
      <c r="BD250" s="20">
        <v>50</v>
      </c>
      <c r="BE250" s="20">
        <v>50</v>
      </c>
    </row>
    <row r="251" spans="29:57" x14ac:dyDescent="0.15">
      <c r="AC251" s="24">
        <f>[1]节奏总纲!AC251</f>
        <v>248</v>
      </c>
      <c r="AD251" s="24">
        <f>[1]节奏总纲!AD251</f>
        <v>79.591683268709417</v>
      </c>
      <c r="AE251" s="24">
        <f>[1]节奏总纲!AE251</f>
        <v>81.693240301560579</v>
      </c>
      <c r="AF251" s="24">
        <f>[1]节奏总纲!AF251</f>
        <v>84.64447288658684</v>
      </c>
      <c r="AG251" s="24">
        <f>[1]节奏总纲!AG251</f>
        <v>89.527519230074788</v>
      </c>
      <c r="AH251" s="24">
        <f>[1]节奏总纲!AH251</f>
        <v>98.429398962385292</v>
      </c>
      <c r="AZ251" s="20">
        <v>248</v>
      </c>
      <c r="BA251" s="20">
        <v>44.145477499656018</v>
      </c>
      <c r="BB251" s="20">
        <v>45.646073769279901</v>
      </c>
      <c r="BC251" s="20">
        <v>47.591430828686171</v>
      </c>
      <c r="BD251" s="20">
        <v>50</v>
      </c>
      <c r="BE251" s="20">
        <v>50</v>
      </c>
    </row>
    <row r="252" spans="29:57" x14ac:dyDescent="0.15">
      <c r="AC252" s="24">
        <f>[1]节奏总纲!AC252</f>
        <v>249</v>
      </c>
      <c r="AD252" s="24">
        <f>[1]节奏总纲!AD252</f>
        <v>79.650014230322356</v>
      </c>
      <c r="AE252" s="24">
        <f>[1]节奏总纲!AE252</f>
        <v>81.752792761296291</v>
      </c>
      <c r="AF252" s="24">
        <f>[1]节奏总纲!AF252</f>
        <v>84.704543383143317</v>
      </c>
      <c r="AG252" s="24">
        <f>[1]节奏总纲!AG252</f>
        <v>89.596125951618205</v>
      </c>
      <c r="AH252" s="24">
        <f>[1]节奏总纲!AH252</f>
        <v>98.488839549175651</v>
      </c>
      <c r="AZ252" s="20">
        <v>249</v>
      </c>
      <c r="BA252" s="20">
        <v>44.171332945959918</v>
      </c>
      <c r="BB252" s="20">
        <v>45.673969873307534</v>
      </c>
      <c r="BC252" s="20">
        <v>47.61914754645003</v>
      </c>
      <c r="BD252" s="20">
        <v>50</v>
      </c>
      <c r="BE252" s="20">
        <v>50</v>
      </c>
    </row>
    <row r="253" spans="29:57" x14ac:dyDescent="0.15">
      <c r="AC253" s="24">
        <f>[1]节奏总纲!AC253</f>
        <v>250</v>
      </c>
      <c r="AD253" s="24">
        <f>[1]节奏总纲!AD253</f>
        <v>79.708345191935294</v>
      </c>
      <c r="AE253" s="24">
        <f>[1]节奏总纲!AE253</f>
        <v>81.812345221032004</v>
      </c>
      <c r="AF253" s="24">
        <f>[1]节奏总纲!AF253</f>
        <v>84.76461387969978</v>
      </c>
      <c r="AG253" s="24">
        <f>[1]节奏总纲!AG253</f>
        <v>89.664732673161623</v>
      </c>
      <c r="AH253" s="24">
        <f>[1]节奏总纲!AH253</f>
        <v>98.548280135965996</v>
      </c>
      <c r="AZ253" s="20">
        <v>250</v>
      </c>
      <c r="BA253" s="20">
        <v>44.197188392263818</v>
      </c>
      <c r="BB253" s="20">
        <v>45.701865977335167</v>
      </c>
      <c r="BC253" s="20">
        <v>47.646864264213889</v>
      </c>
      <c r="BD253" s="20">
        <v>50</v>
      </c>
      <c r="BE253" s="20">
        <v>50</v>
      </c>
    </row>
    <row r="254" spans="29:57" x14ac:dyDescent="0.15">
      <c r="AC254" s="24">
        <f>[1]节奏总纲!AC254</f>
        <v>251</v>
      </c>
      <c r="AD254" s="24">
        <f>[1]节奏总纲!AD254</f>
        <v>79.766676153548232</v>
      </c>
      <c r="AE254" s="24">
        <f>[1]节奏总纲!AE254</f>
        <v>81.871897680767717</v>
      </c>
      <c r="AF254" s="24">
        <f>[1]节奏总纲!AF254</f>
        <v>84.824684376256243</v>
      </c>
      <c r="AG254" s="24">
        <f>[1]节奏总纲!AG254</f>
        <v>89.733339394705041</v>
      </c>
      <c r="AH254" s="24">
        <f>[1]节奏总纲!AH254</f>
        <v>98.607720722756355</v>
      </c>
      <c r="AZ254" s="20">
        <v>251</v>
      </c>
      <c r="BA254" s="20">
        <v>44.223043838567726</v>
      </c>
      <c r="BB254" s="20">
        <v>45.729762081362793</v>
      </c>
      <c r="BC254" s="20">
        <v>47.674580981977748</v>
      </c>
      <c r="BD254" s="20">
        <v>50</v>
      </c>
      <c r="BE254" s="20">
        <v>50</v>
      </c>
    </row>
    <row r="255" spans="29:57" x14ac:dyDescent="0.15">
      <c r="AC255" s="24">
        <f>[1]节奏总纲!AC255</f>
        <v>252</v>
      </c>
      <c r="AD255" s="24">
        <f>[1]节奏总纲!AD255</f>
        <v>79.825007115161171</v>
      </c>
      <c r="AE255" s="24">
        <f>[1]节奏总纲!AE255</f>
        <v>81.931450140503429</v>
      </c>
      <c r="AF255" s="24">
        <f>[1]节奏总纲!AF255</f>
        <v>84.884754872812707</v>
      </c>
      <c r="AG255" s="24">
        <f>[1]节奏总纲!AG255</f>
        <v>89.801946116248459</v>
      </c>
      <c r="AH255" s="24">
        <f>[1]节奏总纲!AH255</f>
        <v>98.667161309546714</v>
      </c>
      <c r="AZ255" s="20">
        <v>252</v>
      </c>
      <c r="BA255" s="20">
        <v>44.248899284871626</v>
      </c>
      <c r="BB255" s="20">
        <v>45.757658185390426</v>
      </c>
      <c r="BC255" s="20">
        <v>47.7022976997416</v>
      </c>
      <c r="BD255" s="20">
        <v>50</v>
      </c>
      <c r="BE255" s="20">
        <v>50</v>
      </c>
    </row>
    <row r="256" spans="29:57" x14ac:dyDescent="0.15">
      <c r="AC256" s="24">
        <f>[1]节奏总纲!AC256</f>
        <v>253</v>
      </c>
      <c r="AD256" s="24">
        <f>[1]节奏总纲!AD256</f>
        <v>79.883338076774123</v>
      </c>
      <c r="AE256" s="24">
        <f>[1]节奏总纲!AE256</f>
        <v>81.991002600239142</v>
      </c>
      <c r="AF256" s="24">
        <f>[1]节奏总纲!AF256</f>
        <v>84.94482536936917</v>
      </c>
      <c r="AG256" s="24">
        <f>[1]节奏总纲!AG256</f>
        <v>89.870552837791877</v>
      </c>
      <c r="AH256" s="24">
        <f>[1]节奏总纲!AH256</f>
        <v>98.726601896337058</v>
      </c>
      <c r="AZ256" s="20">
        <v>253</v>
      </c>
      <c r="BA256" s="20">
        <v>44.274754731175527</v>
      </c>
      <c r="BB256" s="20">
        <v>45.785554289418052</v>
      </c>
      <c r="BC256" s="20">
        <v>47.730014417505458</v>
      </c>
      <c r="BD256" s="20">
        <v>50</v>
      </c>
      <c r="BE256" s="20">
        <v>50</v>
      </c>
    </row>
    <row r="257" spans="29:57" x14ac:dyDescent="0.15">
      <c r="AC257" s="24">
        <f>[1]节奏总纲!AC257</f>
        <v>254</v>
      </c>
      <c r="AD257" s="24">
        <f>[1]节奏总纲!AD257</f>
        <v>79.941669038387062</v>
      </c>
      <c r="AE257" s="24">
        <f>[1]节奏总纲!AE257</f>
        <v>82.046165327855846</v>
      </c>
      <c r="AF257" s="24">
        <f>[1]节奏总纲!AF257</f>
        <v>85.004450307848032</v>
      </c>
      <c r="AG257" s="24">
        <f>[1]节奏总纲!AG257</f>
        <v>89.939159559335295</v>
      </c>
      <c r="AH257" s="24">
        <f>[1]节奏总纲!AH257</f>
        <v>98.786042483127417</v>
      </c>
      <c r="AZ257" s="20">
        <v>254</v>
      </c>
      <c r="BA257" s="20">
        <v>44.300610177479435</v>
      </c>
      <c r="BB257" s="20">
        <v>45.813450393445684</v>
      </c>
      <c r="BC257" s="20">
        <v>47.757731135269317</v>
      </c>
      <c r="BD257" s="20">
        <v>50</v>
      </c>
      <c r="BE257" s="20">
        <v>50</v>
      </c>
    </row>
    <row r="258" spans="29:57" x14ac:dyDescent="0.15">
      <c r="AC258" s="24">
        <f>[1]节奏总纲!AC258</f>
        <v>255</v>
      </c>
      <c r="AD258" s="24">
        <f>[1]节奏总纲!AD258</f>
        <v>80</v>
      </c>
      <c r="AE258" s="24">
        <f>[1]节奏总纲!AE258</f>
        <v>82.100546804797787</v>
      </c>
      <c r="AF258" s="24">
        <f>[1]节奏总纲!AF258</f>
        <v>85.059053968634842</v>
      </c>
      <c r="AG258" s="24">
        <f>[1]节奏总纲!AG258</f>
        <v>90.006385600230558</v>
      </c>
      <c r="AH258" s="24">
        <f>[1]节奏总纲!AH258</f>
        <v>98.845483069917776</v>
      </c>
      <c r="AZ258" s="20">
        <v>255</v>
      </c>
      <c r="BA258" s="20">
        <v>44.326465623783335</v>
      </c>
      <c r="BB258" s="20">
        <v>45.84134649747331</v>
      </c>
      <c r="BC258" s="20">
        <v>47.785447853033176</v>
      </c>
      <c r="BD258" s="20">
        <v>50</v>
      </c>
      <c r="BE258" s="20">
        <v>50</v>
      </c>
    </row>
    <row r="259" spans="29:57" x14ac:dyDescent="0.15">
      <c r="AC259" s="24">
        <f>[1]节奏总纲!AC259</f>
        <v>256</v>
      </c>
      <c r="AD259" s="24">
        <f>[1]节奏总纲!AD259</f>
        <v>80.054424711612938</v>
      </c>
      <c r="AE259" s="24">
        <f>[1]节奏总纲!AE259</f>
        <v>82.154928281739714</v>
      </c>
      <c r="AF259" s="24">
        <f>[1]节奏总纲!AF259</f>
        <v>85.113657629421638</v>
      </c>
      <c r="AG259" s="24">
        <f>[1]节奏总纲!AG259</f>
        <v>90.062795496260307</v>
      </c>
      <c r="AH259" s="24">
        <f>[1]节奏总纲!AH259</f>
        <v>98.904923656708121</v>
      </c>
      <c r="AZ259" s="20">
        <v>256</v>
      </c>
      <c r="BA259" s="20">
        <v>44.352321070087235</v>
      </c>
      <c r="BB259" s="20">
        <v>45.869242601500943</v>
      </c>
      <c r="BC259" s="20">
        <v>47.813164570797035</v>
      </c>
      <c r="BD259" s="20">
        <v>50</v>
      </c>
      <c r="BE259" s="20">
        <v>50</v>
      </c>
    </row>
    <row r="260" spans="29:57" x14ac:dyDescent="0.15">
      <c r="AC260" s="24">
        <f>[1]节奏总纲!AC260</f>
        <v>257</v>
      </c>
      <c r="AD260" s="24">
        <f>[1]节奏总纲!AD260</f>
        <v>80.108849423225877</v>
      </c>
      <c r="AE260" s="24">
        <f>[1]节奏总纲!AE260</f>
        <v>82.209309758681655</v>
      </c>
      <c r="AF260" s="24">
        <f>[1]节奏总纲!AF260</f>
        <v>85.168261290208434</v>
      </c>
      <c r="AG260" s="24">
        <f>[1]节奏总纲!AG260</f>
        <v>90.119205392290041</v>
      </c>
      <c r="AH260" s="24">
        <f>[1]节奏总纲!AH260</f>
        <v>98.96436424349848</v>
      </c>
      <c r="AZ260" s="20">
        <v>257</v>
      </c>
      <c r="BA260" s="20">
        <v>44.378176516391136</v>
      </c>
      <c r="BB260" s="20">
        <v>45.897138705528576</v>
      </c>
      <c r="BC260" s="20">
        <v>47.840881288560894</v>
      </c>
      <c r="BD260" s="20">
        <v>50</v>
      </c>
      <c r="BE260" s="20">
        <v>50</v>
      </c>
    </row>
    <row r="261" spans="29:57" x14ac:dyDescent="0.15">
      <c r="AC261" s="24">
        <f>[1]节奏总纲!AC261</f>
        <v>258</v>
      </c>
      <c r="AD261" s="24">
        <f>[1]节奏总纲!AD261</f>
        <v>80.163274134838829</v>
      </c>
      <c r="AE261" s="24">
        <f>[1]节奏总纲!AE261</f>
        <v>82.263691235623583</v>
      </c>
      <c r="AF261" s="24">
        <f>[1]节奏总纲!AF261</f>
        <v>85.222864950995231</v>
      </c>
      <c r="AG261" s="24">
        <f>[1]节奏总纲!AG261</f>
        <v>90.175615288319776</v>
      </c>
      <c r="AH261" s="24">
        <f>[1]节奏总纲!AH261</f>
        <v>99.023313221876677</v>
      </c>
      <c r="AZ261" s="20">
        <v>258</v>
      </c>
      <c r="BA261" s="20">
        <v>44.404031962695043</v>
      </c>
      <c r="BB261" s="20">
        <v>45.925034809556202</v>
      </c>
      <c r="BC261" s="20">
        <v>47.868598006324753</v>
      </c>
      <c r="BD261" s="20">
        <v>50</v>
      </c>
      <c r="BE261" s="20">
        <v>50</v>
      </c>
    </row>
    <row r="262" spans="29:57" x14ac:dyDescent="0.15">
      <c r="AC262" s="24">
        <f>[1]节奏总纲!AC262</f>
        <v>259</v>
      </c>
      <c r="AD262" s="24">
        <f>[1]节奏总纲!AD262</f>
        <v>80.217698846451768</v>
      </c>
      <c r="AE262" s="24">
        <f>[1]节奏总纲!AE262</f>
        <v>82.318072712565524</v>
      </c>
      <c r="AF262" s="24">
        <f>[1]节奏总纲!AF262</f>
        <v>85.277468611782027</v>
      </c>
      <c r="AG262" s="24">
        <f>[1]节奏总纲!AG262</f>
        <v>90.23202518434951</v>
      </c>
      <c r="AH262" s="24">
        <f>[1]节奏总纲!AH262</f>
        <v>99.081526263999208</v>
      </c>
      <c r="AZ262" s="20">
        <v>259</v>
      </c>
      <c r="BA262" s="20">
        <v>44.429887408998944</v>
      </c>
      <c r="BB262" s="20">
        <v>45.952930913583835</v>
      </c>
      <c r="BC262" s="20">
        <v>47.896314724088612</v>
      </c>
      <c r="BD262" s="20">
        <v>50</v>
      </c>
      <c r="BE262" s="20">
        <v>50</v>
      </c>
    </row>
    <row r="263" spans="29:57" x14ac:dyDescent="0.15">
      <c r="AC263" s="24">
        <f>[1]节奏总纲!AC263</f>
        <v>260</v>
      </c>
      <c r="AD263" s="24">
        <f>[1]节奏总纲!AD263</f>
        <v>80.272123558064706</v>
      </c>
      <c r="AE263" s="24">
        <f>[1]节奏总纲!AE263</f>
        <v>82.372454189507465</v>
      </c>
      <c r="AF263" s="24">
        <f>[1]节奏总纲!AF263</f>
        <v>85.332072272568837</v>
      </c>
      <c r="AG263" s="24">
        <f>[1]节奏总纲!AG263</f>
        <v>90.288435080379244</v>
      </c>
      <c r="AH263" s="24">
        <f>[1]节奏总纲!AH263</f>
        <v>99.139739306121726</v>
      </c>
      <c r="AZ263" s="20">
        <v>260</v>
      </c>
      <c r="BA263" s="20">
        <v>44.455742855302844</v>
      </c>
      <c r="BB263" s="20">
        <v>45.98082701761146</v>
      </c>
      <c r="BC263" s="20">
        <v>47.92403144185247</v>
      </c>
      <c r="BD263" s="20">
        <v>50</v>
      </c>
      <c r="BE263" s="20">
        <v>50</v>
      </c>
    </row>
    <row r="264" spans="29:57" x14ac:dyDescent="0.15">
      <c r="AC264" s="24">
        <f>[1]节奏总纲!AC264</f>
        <v>261</v>
      </c>
      <c r="AD264" s="24">
        <f>[1]节奏总纲!AD264</f>
        <v>80.326548269677644</v>
      </c>
      <c r="AE264" s="24">
        <f>[1]节奏总纲!AE264</f>
        <v>82.426835666449392</v>
      </c>
      <c r="AF264" s="24">
        <f>[1]节奏总纲!AF264</f>
        <v>85.386675933355633</v>
      </c>
      <c r="AG264" s="24">
        <f>[1]节奏总纲!AG264</f>
        <v>90.344844976408993</v>
      </c>
      <c r="AH264" s="24">
        <f>[1]节奏总纲!AH264</f>
        <v>99.197952348244257</v>
      </c>
      <c r="AZ264" s="20">
        <v>261</v>
      </c>
      <c r="BA264" s="20">
        <v>44.481598301606752</v>
      </c>
      <c r="BB264" s="20">
        <v>46.007529841290832</v>
      </c>
      <c r="BC264" s="20">
        <v>47.951748159616329</v>
      </c>
      <c r="BD264" s="20">
        <v>50</v>
      </c>
      <c r="BE264" s="20">
        <v>50</v>
      </c>
    </row>
    <row r="265" spans="29:57" x14ac:dyDescent="0.15">
      <c r="AC265" s="24">
        <f>[1]节奏总纲!AC265</f>
        <v>262</v>
      </c>
      <c r="AD265" s="24">
        <f>[1]节奏总纲!AD265</f>
        <v>80.380972981290597</v>
      </c>
      <c r="AE265" s="24">
        <f>[1]节奏总纲!AE265</f>
        <v>82.481217143391333</v>
      </c>
      <c r="AF265" s="24">
        <f>[1]节奏总纲!AF265</f>
        <v>85.441279594142429</v>
      </c>
      <c r="AG265" s="24">
        <f>[1]节奏总纲!AG265</f>
        <v>90.401254872438727</v>
      </c>
      <c r="AH265" s="24">
        <f>[1]节奏总纲!AH265</f>
        <v>99.256165390366789</v>
      </c>
      <c r="AZ265" s="20">
        <v>262</v>
      </c>
      <c r="BA265" s="20">
        <v>44.507453747910652</v>
      </c>
      <c r="BB265" s="20">
        <v>46.031609894814238</v>
      </c>
      <c r="BC265" s="20">
        <v>47.979464877380188</v>
      </c>
      <c r="BD265" s="20">
        <v>50</v>
      </c>
      <c r="BE265" s="20">
        <v>50</v>
      </c>
    </row>
    <row r="266" spans="29:57" x14ac:dyDescent="0.15">
      <c r="AC266" s="24">
        <f>[1]节奏总纲!AC266</f>
        <v>263</v>
      </c>
      <c r="AD266" s="24">
        <f>[1]节奏总纲!AD266</f>
        <v>80.435397692903535</v>
      </c>
      <c r="AE266" s="24">
        <f>[1]节奏总纲!AE266</f>
        <v>82.535598620333275</v>
      </c>
      <c r="AF266" s="24">
        <f>[1]节奏总纲!AF266</f>
        <v>85.495883254929225</v>
      </c>
      <c r="AG266" s="24">
        <f>[1]节奏总纲!AG266</f>
        <v>90.457664768468462</v>
      </c>
      <c r="AH266" s="24">
        <f>[1]节奏总纲!AH266</f>
        <v>99.314378432489306</v>
      </c>
      <c r="AZ266" s="20">
        <v>263</v>
      </c>
      <c r="BA266" s="20">
        <v>44.533309194214553</v>
      </c>
      <c r="BB266" s="20">
        <v>46.055689948337651</v>
      </c>
      <c r="BC266" s="20">
        <v>48.006200084618079</v>
      </c>
      <c r="BD266" s="20">
        <v>50</v>
      </c>
      <c r="BE266" s="20">
        <v>50</v>
      </c>
    </row>
    <row r="267" spans="29:57" x14ac:dyDescent="0.15">
      <c r="AC267" s="24">
        <f>[1]节奏总纲!AC267</f>
        <v>264</v>
      </c>
      <c r="AD267" s="24">
        <f>[1]节奏总纲!AD267</f>
        <v>80.489822404516474</v>
      </c>
      <c r="AE267" s="24">
        <f>[1]节奏总纲!AE267</f>
        <v>82.589980097275202</v>
      </c>
      <c r="AF267" s="24">
        <f>[1]节奏总纲!AF267</f>
        <v>85.550486915716021</v>
      </c>
      <c r="AG267" s="24">
        <f>[1]节奏总纲!AG267</f>
        <v>90.514074664498196</v>
      </c>
      <c r="AH267" s="24">
        <f>[1]节奏总纲!AH267</f>
        <v>99.372591474611838</v>
      </c>
      <c r="AZ267" s="20">
        <v>264</v>
      </c>
      <c r="BA267" s="20">
        <v>44.55916464051846</v>
      </c>
      <c r="BB267" s="20">
        <v>46.079770001861057</v>
      </c>
      <c r="BC267" s="20">
        <v>48.030128751164241</v>
      </c>
      <c r="BD267" s="20">
        <v>50</v>
      </c>
      <c r="BE267" s="20">
        <v>50</v>
      </c>
    </row>
    <row r="268" spans="29:57" x14ac:dyDescent="0.15">
      <c r="AC268" s="24">
        <f>[1]节奏总纲!AC268</f>
        <v>265</v>
      </c>
      <c r="AD268" s="24">
        <f>[1]节奏总纲!AD268</f>
        <v>80.544247116129412</v>
      </c>
      <c r="AE268" s="24">
        <f>[1]节奏总纲!AE268</f>
        <v>82.644361574217143</v>
      </c>
      <c r="AF268" s="24">
        <f>[1]节奏总纲!AF268</f>
        <v>85.605090576502832</v>
      </c>
      <c r="AG268" s="24">
        <f>[1]节奏总纲!AG268</f>
        <v>90.57048456052793</v>
      </c>
      <c r="AH268" s="24">
        <f>[1]节奏总纲!AH268</f>
        <v>99.430804516734369</v>
      </c>
      <c r="AZ268" s="20">
        <v>265</v>
      </c>
      <c r="BA268" s="20">
        <v>44.585020086822361</v>
      </c>
      <c r="BB268" s="20">
        <v>46.10385005538447</v>
      </c>
      <c r="BC268" s="20">
        <v>48.054057417710396</v>
      </c>
      <c r="BD268" s="20">
        <v>50</v>
      </c>
      <c r="BE268" s="20">
        <v>50</v>
      </c>
    </row>
    <row r="269" spans="29:57" x14ac:dyDescent="0.15">
      <c r="AC269" s="24">
        <f>[1]节奏总纲!AC269</f>
        <v>266</v>
      </c>
      <c r="AD269" s="24">
        <f>[1]节奏总纲!AD269</f>
        <v>80.598671827742351</v>
      </c>
      <c r="AE269" s="24">
        <f>[1]节奏总纲!AE269</f>
        <v>82.698743051159084</v>
      </c>
      <c r="AF269" s="24">
        <f>[1]节奏总纲!AF269</f>
        <v>85.659694237289628</v>
      </c>
      <c r="AG269" s="24">
        <f>[1]节奏总纲!AG269</f>
        <v>90.626894456557665</v>
      </c>
      <c r="AH269" s="24">
        <f>[1]节奏总纲!AH269</f>
        <v>99.489017558856887</v>
      </c>
      <c r="AZ269" s="20">
        <v>266</v>
      </c>
      <c r="BA269" s="20">
        <v>44.610875533126261</v>
      </c>
      <c r="BB269" s="20">
        <v>46.127930108907876</v>
      </c>
      <c r="BC269" s="20">
        <v>48.077986084256551</v>
      </c>
      <c r="BD269" s="20">
        <v>50</v>
      </c>
      <c r="BE269" s="20">
        <v>50</v>
      </c>
    </row>
    <row r="270" spans="29:57" x14ac:dyDescent="0.15">
      <c r="AC270" s="24">
        <f>[1]节奏总纲!AC270</f>
        <v>267</v>
      </c>
      <c r="AD270" s="24">
        <f>[1]节奏总纲!AD270</f>
        <v>80.653096539355303</v>
      </c>
      <c r="AE270" s="24">
        <f>[1]节奏总纲!AE270</f>
        <v>82.753124528101011</v>
      </c>
      <c r="AF270" s="24">
        <f>[1]节奏总纲!AF270</f>
        <v>85.714297898076424</v>
      </c>
      <c r="AG270" s="24">
        <f>[1]节奏总纲!AG270</f>
        <v>90.683304352587413</v>
      </c>
      <c r="AH270" s="24">
        <f>[1]节奏总纲!AH270</f>
        <v>99.547230600979418</v>
      </c>
      <c r="AZ270" s="20">
        <v>267</v>
      </c>
      <c r="BA270" s="20">
        <v>44.636730979430169</v>
      </c>
      <c r="BB270" s="20">
        <v>46.152010162431289</v>
      </c>
      <c r="BC270" s="20">
        <v>48.101914750802706</v>
      </c>
      <c r="BD270" s="20">
        <v>50</v>
      </c>
      <c r="BE270" s="20">
        <v>50</v>
      </c>
    </row>
    <row r="271" spans="29:57" x14ac:dyDescent="0.15">
      <c r="AC271" s="24">
        <f>[1]节奏总纲!AC271</f>
        <v>268</v>
      </c>
      <c r="AD271" s="24">
        <f>[1]节奏总纲!AD271</f>
        <v>80.707521250968242</v>
      </c>
      <c r="AE271" s="24">
        <f>[1]节奏总纲!AE271</f>
        <v>82.807506005042953</v>
      </c>
      <c r="AF271" s="24">
        <f>[1]节奏总纲!AF271</f>
        <v>85.76890155886322</v>
      </c>
      <c r="AG271" s="24">
        <f>[1]节奏总纲!AG271</f>
        <v>90.739714248617148</v>
      </c>
      <c r="AH271" s="24">
        <f>[1]节奏总纲!AH271</f>
        <v>99.605443643101935</v>
      </c>
      <c r="AZ271" s="20">
        <v>268</v>
      </c>
      <c r="BA271" s="20">
        <v>44.662586425734069</v>
      </c>
      <c r="BB271" s="20">
        <v>46.176090215954694</v>
      </c>
      <c r="BC271" s="20">
        <v>48.125843417348868</v>
      </c>
      <c r="BD271" s="20">
        <v>50</v>
      </c>
      <c r="BE271" s="20">
        <v>50</v>
      </c>
    </row>
    <row r="272" spans="29:57" x14ac:dyDescent="0.15">
      <c r="AC272" s="24">
        <f>[1]节奏总纲!AC272</f>
        <v>269</v>
      </c>
      <c r="AD272" s="24">
        <f>[1]节奏总纲!AD272</f>
        <v>80.76194596258118</v>
      </c>
      <c r="AE272" s="24">
        <f>[1]节奏总纲!AE272</f>
        <v>82.861887481984894</v>
      </c>
      <c r="AF272" s="24">
        <f>[1]节奏总纲!AF272</f>
        <v>85.823505219650016</v>
      </c>
      <c r="AG272" s="24">
        <f>[1]节奏总纲!AG272</f>
        <v>90.796124144646882</v>
      </c>
      <c r="AH272" s="24">
        <f>[1]节奏总纲!AH272</f>
        <v>99.663656685224467</v>
      </c>
      <c r="AZ272" s="20">
        <v>269</v>
      </c>
      <c r="BA272" s="20">
        <v>44.68844187203797</v>
      </c>
      <c r="BB272" s="20">
        <v>46.200170269478107</v>
      </c>
      <c r="BC272" s="20">
        <v>48.149772083895023</v>
      </c>
      <c r="BD272" s="20">
        <v>50</v>
      </c>
      <c r="BE272" s="20">
        <v>50</v>
      </c>
    </row>
    <row r="273" spans="29:57" x14ac:dyDescent="0.15">
      <c r="AC273" s="24">
        <f>[1]节奏总纲!AC273</f>
        <v>270</v>
      </c>
      <c r="AD273" s="24">
        <f>[1]节奏总纲!AD273</f>
        <v>80.816370674194118</v>
      </c>
      <c r="AE273" s="24">
        <f>[1]节奏总纲!AE273</f>
        <v>82.916268958926821</v>
      </c>
      <c r="AF273" s="24">
        <f>[1]节奏总纲!AF273</f>
        <v>85.878108880436827</v>
      </c>
      <c r="AG273" s="24">
        <f>[1]节奏总纲!AG273</f>
        <v>90.852534040676616</v>
      </c>
      <c r="AH273" s="24">
        <f>[1]节奏总纲!AH273</f>
        <v>99.721869727346999</v>
      </c>
      <c r="AZ273" s="20">
        <v>270</v>
      </c>
      <c r="BA273" s="20">
        <v>44.714297318341877</v>
      </c>
      <c r="BB273" s="20">
        <v>46.224250323001513</v>
      </c>
      <c r="BC273" s="20">
        <v>48.173700750441178</v>
      </c>
      <c r="BD273" s="20">
        <v>50</v>
      </c>
      <c r="BE273" s="20">
        <v>50</v>
      </c>
    </row>
    <row r="274" spans="29:57" x14ac:dyDescent="0.15">
      <c r="AC274" s="24">
        <f>[1]节奏总纲!AC274</f>
        <v>271</v>
      </c>
      <c r="AD274" s="24">
        <f>[1]节奏总纲!AD274</f>
        <v>80.870795385807057</v>
      </c>
      <c r="AE274" s="24">
        <f>[1]节奏总纲!AE274</f>
        <v>82.970650435868762</v>
      </c>
      <c r="AF274" s="24">
        <f>[1]节奏总纲!AF274</f>
        <v>85.932712541223623</v>
      </c>
      <c r="AG274" s="24">
        <f>[1]节奏总纲!AG274</f>
        <v>90.908943936706351</v>
      </c>
      <c r="AH274" s="24">
        <f>[1]节奏总纲!AH274</f>
        <v>99.780082769469516</v>
      </c>
      <c r="AZ274" s="20">
        <v>271</v>
      </c>
      <c r="BA274" s="20">
        <v>44.740152764645778</v>
      </c>
      <c r="BB274" s="20">
        <v>46.248330376524919</v>
      </c>
      <c r="BC274" s="20">
        <v>48.19762941698734</v>
      </c>
      <c r="BD274" s="20">
        <v>50</v>
      </c>
      <c r="BE274" s="20">
        <v>50</v>
      </c>
    </row>
    <row r="275" spans="29:57" x14ac:dyDescent="0.15">
      <c r="AC275" s="24">
        <f>[1]节奏总纲!AC275</f>
        <v>272</v>
      </c>
      <c r="AD275" s="24">
        <f>[1]节奏总纲!AD275</f>
        <v>80.925220097420009</v>
      </c>
      <c r="AE275" s="24">
        <f>[1]节奏总纲!AE275</f>
        <v>83.023342162088809</v>
      </c>
      <c r="AF275" s="24">
        <f>[1]节奏总纲!AF275</f>
        <v>85.987316202010419</v>
      </c>
      <c r="AG275" s="24">
        <f>[1]节奏总纲!AG275</f>
        <v>90.965353832736099</v>
      </c>
      <c r="AH275" s="24">
        <f>[1]节奏总纲!AH275</f>
        <v>99.838295811592047</v>
      </c>
      <c r="AZ275" s="20">
        <v>272</v>
      </c>
      <c r="BA275" s="20">
        <v>44.766008210949678</v>
      </c>
      <c r="BB275" s="20">
        <v>46.272410430048332</v>
      </c>
      <c r="BC275" s="20">
        <v>48.221558083533495</v>
      </c>
      <c r="BD275" s="20">
        <v>50</v>
      </c>
      <c r="BE275" s="20">
        <v>50</v>
      </c>
    </row>
    <row r="276" spans="29:57" x14ac:dyDescent="0.15">
      <c r="AC276" s="24">
        <f>[1]节奏总纲!AC276</f>
        <v>273</v>
      </c>
      <c r="AD276" s="24">
        <f>[1]节奏总纲!AD276</f>
        <v>80.979644809032948</v>
      </c>
      <c r="AE276" s="24">
        <f>[1]节奏总纲!AE276</f>
        <v>83.07405267945947</v>
      </c>
      <c r="AF276" s="24">
        <f>[1]节奏总纲!AF276</f>
        <v>86.038061368689995</v>
      </c>
      <c r="AG276" s="24">
        <f>[1]节奏总纲!AG276</f>
        <v>91.020352770869948</v>
      </c>
      <c r="AH276" s="24">
        <f>[1]节奏总纲!AH276</f>
        <v>99.896508853714579</v>
      </c>
      <c r="AZ276" s="20">
        <v>273</v>
      </c>
      <c r="BA276" s="20">
        <v>44.791863657253586</v>
      </c>
      <c r="BB276" s="20">
        <v>46.296490483571738</v>
      </c>
      <c r="BC276" s="20">
        <v>48.24548675007965</v>
      </c>
      <c r="BD276" s="20">
        <v>50</v>
      </c>
      <c r="BE276" s="20">
        <v>50</v>
      </c>
    </row>
    <row r="277" spans="29:57" x14ac:dyDescent="0.15">
      <c r="AC277" s="24">
        <f>[1]节奏总纲!AC277</f>
        <v>274</v>
      </c>
      <c r="AD277" s="24">
        <f>[1]节奏总纲!AD277</f>
        <v>81.031787986768464</v>
      </c>
      <c r="AE277" s="24">
        <f>[1]节奏总纲!AE277</f>
        <v>83.124763196830131</v>
      </c>
      <c r="AF277" s="24">
        <f>[1]节奏总纲!AF277</f>
        <v>86.087639061133402</v>
      </c>
      <c r="AG277" s="24">
        <f>[1]节奏总纲!AG277</f>
        <v>91.073105573528181</v>
      </c>
      <c r="AH277" s="24">
        <f>[1]节奏总纲!AH277</f>
        <v>99.954721895837096</v>
      </c>
      <c r="AZ277" s="20">
        <v>274</v>
      </c>
      <c r="BA277" s="20">
        <v>44.817719103557486</v>
      </c>
      <c r="BB277" s="20">
        <v>46.320570537095151</v>
      </c>
      <c r="BC277" s="20">
        <v>48.269415416625804</v>
      </c>
      <c r="BD277" s="20">
        <v>50</v>
      </c>
      <c r="BE277" s="20">
        <v>50</v>
      </c>
    </row>
    <row r="278" spans="29:57" x14ac:dyDescent="0.15">
      <c r="AC278" s="24">
        <f>[1]节奏总纲!AC278</f>
        <v>275</v>
      </c>
      <c r="AD278" s="24">
        <f>[1]节奏总纲!AD278</f>
        <v>81.082568038258216</v>
      </c>
      <c r="AE278" s="24">
        <f>[1]节奏总纲!AE278</f>
        <v>83.175473714200777</v>
      </c>
      <c r="AF278" s="24">
        <f>[1]节奏总纲!AF278</f>
        <v>86.137216753576809</v>
      </c>
      <c r="AG278" s="24">
        <f>[1]节奏总纲!AG278</f>
        <v>91.125858376186414</v>
      </c>
      <c r="AH278" s="24">
        <f>[1]节奏总纲!AH278</f>
        <v>100.01191770041967</v>
      </c>
      <c r="AZ278" s="20">
        <v>275</v>
      </c>
      <c r="BA278" s="20">
        <v>44.843574549861387</v>
      </c>
      <c r="BB278" s="20">
        <v>46.344650590618556</v>
      </c>
      <c r="BC278" s="20">
        <v>48.293344083171966</v>
      </c>
      <c r="BD278" s="20">
        <v>50</v>
      </c>
      <c r="BE278" s="20">
        <v>50</v>
      </c>
    </row>
    <row r="279" spans="29:57" x14ac:dyDescent="0.15">
      <c r="AC279" s="24">
        <f>[1]节奏总纲!AC279</f>
        <v>276</v>
      </c>
      <c r="AD279" s="24">
        <f>[1]节奏总纲!AD279</f>
        <v>81.133348089747955</v>
      </c>
      <c r="AE279" s="24">
        <f>[1]节奏总纲!AE279</f>
        <v>83.226184231571438</v>
      </c>
      <c r="AF279" s="24">
        <f>[1]节奏总纲!AF279</f>
        <v>86.186794446020215</v>
      </c>
      <c r="AG279" s="24">
        <f>[1]节奏总纲!AG279</f>
        <v>91.178611178844633</v>
      </c>
      <c r="AH279" s="24">
        <f>[1]节奏总纲!AH279</f>
        <v>100.06555271580974</v>
      </c>
      <c r="AZ279" s="20">
        <v>276</v>
      </c>
      <c r="BA279" s="20">
        <v>44.869429996165294</v>
      </c>
      <c r="BB279" s="20">
        <v>46.368730644141969</v>
      </c>
      <c r="BC279" s="20">
        <v>48.317272749718121</v>
      </c>
      <c r="BD279" s="20">
        <v>50</v>
      </c>
      <c r="BE279" s="20">
        <v>50</v>
      </c>
    </row>
    <row r="280" spans="29:57" x14ac:dyDescent="0.15">
      <c r="AC280" s="24">
        <f>[1]节奏总纲!AC280</f>
        <v>277</v>
      </c>
      <c r="AD280" s="24">
        <f>[1]节奏总纲!AD280</f>
        <v>81.184128141237707</v>
      </c>
      <c r="AE280" s="24">
        <f>[1]节奏总纲!AE280</f>
        <v>83.276894748942098</v>
      </c>
      <c r="AF280" s="24">
        <f>[1]节奏总纲!AF280</f>
        <v>86.236372138463622</v>
      </c>
      <c r="AG280" s="24">
        <f>[1]节奏总纲!AG280</f>
        <v>91.231363981502867</v>
      </c>
      <c r="AH280" s="24">
        <f>[1]节奏总纲!AH280</f>
        <v>100.11918773119983</v>
      </c>
      <c r="AZ280" s="20">
        <v>277</v>
      </c>
      <c r="BA280" s="20">
        <v>44.895285442469195</v>
      </c>
      <c r="BB280" s="20">
        <v>46.392810697665375</v>
      </c>
      <c r="BC280" s="20">
        <v>48.341201416264276</v>
      </c>
      <c r="BD280" s="20">
        <v>50</v>
      </c>
      <c r="BE280" s="20">
        <v>50</v>
      </c>
    </row>
    <row r="281" spans="29:57" x14ac:dyDescent="0.15">
      <c r="AC281" s="24">
        <f>[1]节奏总纲!AC281</f>
        <v>278</v>
      </c>
      <c r="AD281" s="24">
        <f>[1]节奏总纲!AD281</f>
        <v>81.23490819272746</v>
      </c>
      <c r="AE281" s="24">
        <f>[1]节奏总纲!AE281</f>
        <v>83.327605266312744</v>
      </c>
      <c r="AF281" s="24">
        <f>[1]节奏总纲!AF281</f>
        <v>86.285949830907029</v>
      </c>
      <c r="AG281" s="24">
        <f>[1]节奏总纲!AG281</f>
        <v>91.2841167841611</v>
      </c>
      <c r="AH281" s="24">
        <f>[1]节奏总纲!AH281</f>
        <v>100.1728227465899</v>
      </c>
      <c r="AZ281" s="20">
        <v>278</v>
      </c>
      <c r="BA281" s="20">
        <v>44.921140888773095</v>
      </c>
      <c r="BB281" s="20">
        <v>46.416890751188788</v>
      </c>
      <c r="BC281" s="20">
        <v>48.365130082810438</v>
      </c>
      <c r="BD281" s="20">
        <v>50</v>
      </c>
      <c r="BE281" s="20">
        <v>50</v>
      </c>
    </row>
    <row r="282" spans="29:57" x14ac:dyDescent="0.15">
      <c r="AC282" s="24">
        <f>[1]节奏总纲!AC282</f>
        <v>279</v>
      </c>
      <c r="AD282" s="24">
        <f>[1]节奏总纲!AD282</f>
        <v>81.285688244217212</v>
      </c>
      <c r="AE282" s="24">
        <f>[1]节奏总纲!AE282</f>
        <v>83.378315783683405</v>
      </c>
      <c r="AF282" s="24">
        <f>[1]节奏总纲!AF282</f>
        <v>86.335527523350422</v>
      </c>
      <c r="AG282" s="24">
        <f>[1]节奏总纲!AG282</f>
        <v>91.336869586819319</v>
      </c>
      <c r="AH282" s="24">
        <f>[1]节奏总纲!AH282</f>
        <v>100.22645776197997</v>
      </c>
      <c r="AZ282" s="20">
        <v>279</v>
      </c>
      <c r="BA282" s="20">
        <v>44.946996335076996</v>
      </c>
      <c r="BB282" s="20">
        <v>46.440970804712194</v>
      </c>
      <c r="BC282" s="20">
        <v>48.389058749356593</v>
      </c>
      <c r="BD282" s="20">
        <v>50</v>
      </c>
      <c r="BE282" s="20">
        <v>50</v>
      </c>
    </row>
    <row r="283" spans="29:57" x14ac:dyDescent="0.15">
      <c r="AC283" s="24">
        <f>[1]节奏总纲!AC283</f>
        <v>280</v>
      </c>
      <c r="AD283" s="24">
        <f>[1]节奏总纲!AD283</f>
        <v>81.336468295706965</v>
      </c>
      <c r="AE283" s="24">
        <f>[1]节奏总纲!AE283</f>
        <v>83.429026301054066</v>
      </c>
      <c r="AF283" s="24">
        <f>[1]节奏总纲!AF283</f>
        <v>86.385105215793828</v>
      </c>
      <c r="AG283" s="24">
        <f>[1]节奏总纲!AG283</f>
        <v>91.389622389477552</v>
      </c>
      <c r="AH283" s="24">
        <f>[1]节奏总纲!AH283</f>
        <v>100.28009277737006</v>
      </c>
      <c r="AZ283" s="20">
        <v>280</v>
      </c>
      <c r="BA283" s="20">
        <v>44.972851781380903</v>
      </c>
      <c r="BB283" s="20">
        <v>46.465050858235607</v>
      </c>
      <c r="BC283" s="20">
        <v>48.412987415902748</v>
      </c>
      <c r="BD283" s="20">
        <v>50</v>
      </c>
      <c r="BE283" s="20">
        <v>50</v>
      </c>
    </row>
    <row r="284" spans="29:57" x14ac:dyDescent="0.15">
      <c r="AC284" s="24">
        <f>[1]节奏总纲!AC284</f>
        <v>281</v>
      </c>
      <c r="AD284" s="24">
        <f>[1]节奏总纲!AD284</f>
        <v>81.387248347196717</v>
      </c>
      <c r="AE284" s="24">
        <f>[1]节奏总纲!AE284</f>
        <v>83.479736818424712</v>
      </c>
      <c r="AF284" s="24">
        <f>[1]节奏总纲!AF284</f>
        <v>86.434682908237235</v>
      </c>
      <c r="AG284" s="24">
        <f>[1]节奏总纲!AG284</f>
        <v>91.442375192135771</v>
      </c>
      <c r="AH284" s="24">
        <f>[1]节奏总纲!AH284</f>
        <v>100.33372779276013</v>
      </c>
      <c r="AZ284" s="20">
        <v>281</v>
      </c>
      <c r="BA284" s="20">
        <v>44.998707227684804</v>
      </c>
      <c r="BB284" s="20">
        <v>46.489130911759013</v>
      </c>
      <c r="BC284" s="20">
        <v>48.43691608244891</v>
      </c>
      <c r="BD284" s="20">
        <v>50</v>
      </c>
      <c r="BE284" s="20">
        <v>50</v>
      </c>
    </row>
    <row r="285" spans="29:57" x14ac:dyDescent="0.15">
      <c r="AC285" s="24">
        <f>[1]节奏总纲!AC285</f>
        <v>282</v>
      </c>
      <c r="AD285" s="24">
        <f>[1]节奏总纲!AD285</f>
        <v>81.43802839868647</v>
      </c>
      <c r="AE285" s="24">
        <f>[1]节奏总纲!AE285</f>
        <v>83.530447335795373</v>
      </c>
      <c r="AF285" s="24">
        <f>[1]节奏总纲!AF285</f>
        <v>86.484260600680642</v>
      </c>
      <c r="AG285" s="24">
        <f>[1]节奏总纲!AG285</f>
        <v>91.495127994794004</v>
      </c>
      <c r="AH285" s="24">
        <f>[1]节奏总纲!AH285</f>
        <v>100.3873628081502</v>
      </c>
      <c r="AZ285" s="20">
        <v>282</v>
      </c>
      <c r="BA285" s="20">
        <v>45.021201039060998</v>
      </c>
      <c r="BB285" s="20">
        <v>46.513210965282425</v>
      </c>
      <c r="BC285" s="20">
        <v>48.460844748995065</v>
      </c>
      <c r="BD285" s="20">
        <v>50</v>
      </c>
      <c r="BE285" s="20">
        <v>50</v>
      </c>
    </row>
    <row r="286" spans="29:57" x14ac:dyDescent="0.15">
      <c r="AC286" s="24">
        <f>[1]节奏总纲!AC286</f>
        <v>283</v>
      </c>
      <c r="AD286" s="24">
        <f>[1]节奏总纲!AD286</f>
        <v>81.488808450176222</v>
      </c>
      <c r="AE286" s="24">
        <f>[1]节奏总纲!AE286</f>
        <v>83.581157853166033</v>
      </c>
      <c r="AF286" s="24">
        <f>[1]节奏总纲!AF286</f>
        <v>86.533838293124049</v>
      </c>
      <c r="AG286" s="24">
        <f>[1]节奏总纲!AG286</f>
        <v>91.547880797452237</v>
      </c>
      <c r="AH286" s="24">
        <f>[1]节奏总纲!AH286</f>
        <v>100.44099782354027</v>
      </c>
      <c r="AZ286" s="20">
        <v>283</v>
      </c>
      <c r="BA286" s="20">
        <v>45.043517922283101</v>
      </c>
      <c r="BB286" s="20">
        <v>46.537291018805831</v>
      </c>
      <c r="BC286" s="20">
        <v>48.48477341554122</v>
      </c>
      <c r="BD286" s="20">
        <v>50</v>
      </c>
      <c r="BE286" s="20">
        <v>50</v>
      </c>
    </row>
    <row r="287" spans="29:57" x14ac:dyDescent="0.15">
      <c r="AC287" s="24">
        <f>[1]节奏总纲!AC287</f>
        <v>284</v>
      </c>
      <c r="AD287" s="24">
        <f>[1]节奏总纲!AD287</f>
        <v>81.539588501665975</v>
      </c>
      <c r="AE287" s="24">
        <f>[1]节奏总纲!AE287</f>
        <v>83.631868370536679</v>
      </c>
      <c r="AF287" s="24">
        <f>[1]节奏总纲!AF287</f>
        <v>86.583415985567456</v>
      </c>
      <c r="AG287" s="24">
        <f>[1]节奏总纲!AG287</f>
        <v>91.600633600110456</v>
      </c>
      <c r="AH287" s="24">
        <f>[1]节奏总纲!AH287</f>
        <v>100.49463283893036</v>
      </c>
      <c r="AZ287" s="20">
        <v>284</v>
      </c>
      <c r="BA287" s="20">
        <v>45.065834805505204</v>
      </c>
      <c r="BB287" s="20">
        <v>46.561371072329244</v>
      </c>
      <c r="BC287" s="20">
        <v>48.508702082087382</v>
      </c>
      <c r="BD287" s="20">
        <v>50</v>
      </c>
      <c r="BE287" s="20">
        <v>50</v>
      </c>
    </row>
    <row r="288" spans="29:57" x14ac:dyDescent="0.15">
      <c r="AC288" s="24">
        <f>[1]节奏总纲!AC288</f>
        <v>285</v>
      </c>
      <c r="AD288" s="24">
        <f>[1]节奏总纲!AD288</f>
        <v>81.590368553155727</v>
      </c>
      <c r="AE288" s="24">
        <f>[1]节奏总纲!AE288</f>
        <v>83.68257888790734</v>
      </c>
      <c r="AF288" s="24">
        <f>[1]节奏总纲!AF288</f>
        <v>86.632993678010848</v>
      </c>
      <c r="AG288" s="24">
        <f>[1]节奏总纲!AG288</f>
        <v>91.653386402768689</v>
      </c>
      <c r="AH288" s="24">
        <f>[1]节奏总纲!AH288</f>
        <v>100.54826785432043</v>
      </c>
      <c r="AZ288" s="20">
        <v>285</v>
      </c>
      <c r="BA288" s="20">
        <v>45.088151688727308</v>
      </c>
      <c r="BB288" s="20">
        <v>46.58545112585265</v>
      </c>
      <c r="BC288" s="20">
        <v>48.532630748633537</v>
      </c>
      <c r="BD288" s="20">
        <v>50</v>
      </c>
      <c r="BE288" s="20">
        <v>50</v>
      </c>
    </row>
    <row r="289" spans="29:57" x14ac:dyDescent="0.15">
      <c r="AC289" s="24">
        <f>[1]节奏总纲!AC289</f>
        <v>286</v>
      </c>
      <c r="AD289" s="24">
        <f>[1]节奏总纲!AD289</f>
        <v>81.64114860464548</v>
      </c>
      <c r="AE289" s="24">
        <f>[1]节奏总纲!AE289</f>
        <v>83.733289405278001</v>
      </c>
      <c r="AF289" s="24">
        <f>[1]节奏总纲!AF289</f>
        <v>86.682571370454255</v>
      </c>
      <c r="AG289" s="24">
        <f>[1]节奏总纲!AG289</f>
        <v>91.706139205426922</v>
      </c>
      <c r="AH289" s="24">
        <f>[1]节奏总纲!AH289</f>
        <v>100.6019028697105</v>
      </c>
      <c r="AZ289" s="20">
        <v>286</v>
      </c>
      <c r="BA289" s="20">
        <v>45.110468571949411</v>
      </c>
      <c r="BB289" s="20">
        <v>46.609531179376063</v>
      </c>
      <c r="BC289" s="20">
        <v>48.556559415179692</v>
      </c>
      <c r="BD289" s="20">
        <v>50</v>
      </c>
      <c r="BE289" s="20">
        <v>50</v>
      </c>
    </row>
    <row r="290" spans="29:57" x14ac:dyDescent="0.15">
      <c r="AC290" s="24">
        <f>[1]节奏总纲!AC290</f>
        <v>287</v>
      </c>
      <c r="AD290" s="24">
        <f>[1]节奏总纲!AD290</f>
        <v>81.691928656135218</v>
      </c>
      <c r="AE290" s="24">
        <f>[1]节奏总纲!AE290</f>
        <v>83.783999922648647</v>
      </c>
      <c r="AF290" s="24">
        <f>[1]节奏总纲!AF290</f>
        <v>86.732149062897662</v>
      </c>
      <c r="AG290" s="24">
        <f>[1]节奏总纲!AG290</f>
        <v>91.758892008085141</v>
      </c>
      <c r="AH290" s="24">
        <f>[1]节奏总纲!AH290</f>
        <v>100.65553788510059</v>
      </c>
      <c r="AZ290" s="20">
        <v>287</v>
      </c>
      <c r="BA290" s="20">
        <v>45.132785455171515</v>
      </c>
      <c r="BB290" s="20">
        <v>46.633611232899469</v>
      </c>
      <c r="BC290" s="20">
        <v>48.580488081725846</v>
      </c>
      <c r="BD290" s="20">
        <v>50</v>
      </c>
      <c r="BE290" s="20">
        <v>50</v>
      </c>
    </row>
    <row r="291" spans="29:57" x14ac:dyDescent="0.15">
      <c r="AC291" s="24">
        <f>[1]节奏总纲!AC291</f>
        <v>288</v>
      </c>
      <c r="AD291" s="24">
        <f>[1]节奏总纲!AD291</f>
        <v>81.742708707624971</v>
      </c>
      <c r="AE291" s="24">
        <f>[1]节奏总纲!AE291</f>
        <v>83.834710440019307</v>
      </c>
      <c r="AF291" s="24">
        <f>[1]节奏总纲!AF291</f>
        <v>86.781726755341069</v>
      </c>
      <c r="AG291" s="24">
        <f>[1]节奏总纲!AG291</f>
        <v>91.811644810743374</v>
      </c>
      <c r="AH291" s="24">
        <f>[1]节奏总纲!AH291</f>
        <v>100.70917290049066</v>
      </c>
      <c r="AZ291" s="20">
        <v>288</v>
      </c>
      <c r="BA291" s="20">
        <v>45.155102338393618</v>
      </c>
      <c r="BB291" s="20">
        <v>46.657691286422882</v>
      </c>
      <c r="BC291" s="20">
        <v>48.604416748272008</v>
      </c>
      <c r="BD291" s="20">
        <v>50</v>
      </c>
      <c r="BE291" s="20">
        <v>50</v>
      </c>
    </row>
    <row r="292" spans="29:57" x14ac:dyDescent="0.15">
      <c r="AC292" s="24">
        <f>[1]节奏总纲!AC292</f>
        <v>289</v>
      </c>
      <c r="AD292" s="24">
        <f>[1]节奏总纲!AD292</f>
        <v>81.793488759114723</v>
      </c>
      <c r="AE292" s="24">
        <f>[1]节奏总纲!AE292</f>
        <v>83.885420957389968</v>
      </c>
      <c r="AF292" s="24">
        <f>[1]节奏总纲!AF292</f>
        <v>86.831304447784476</v>
      </c>
      <c r="AG292" s="24">
        <f>[1]节奏总纲!AG292</f>
        <v>91.864397613401607</v>
      </c>
      <c r="AH292" s="24">
        <f>[1]节奏总纲!AH292</f>
        <v>100.76280791588073</v>
      </c>
      <c r="AZ292" s="20">
        <v>289</v>
      </c>
      <c r="BA292" s="20">
        <v>45.177419221615722</v>
      </c>
      <c r="BB292" s="20">
        <v>46.681771339946287</v>
      </c>
      <c r="BC292" s="20">
        <v>48.628345414818163</v>
      </c>
      <c r="BD292" s="20">
        <v>50</v>
      </c>
      <c r="BE292" s="20">
        <v>50</v>
      </c>
    </row>
    <row r="293" spans="29:57" x14ac:dyDescent="0.15">
      <c r="AC293" s="24">
        <f>[1]节奏总纲!AC293</f>
        <v>290</v>
      </c>
      <c r="AD293" s="24">
        <f>[1]节奏总纲!AD293</f>
        <v>81.844268810604476</v>
      </c>
      <c r="AE293" s="24">
        <f>[1]节奏总纲!AE293</f>
        <v>83.936131474760614</v>
      </c>
      <c r="AF293" s="24">
        <f>[1]节奏总纲!AF293</f>
        <v>86.880882140227882</v>
      </c>
      <c r="AG293" s="24">
        <f>[1]节奏总纲!AG293</f>
        <v>91.917150416059826</v>
      </c>
      <c r="AH293" s="24">
        <f>[1]节奏总纲!AH293</f>
        <v>100.8164429312708</v>
      </c>
      <c r="AZ293" s="20">
        <v>290</v>
      </c>
      <c r="BA293" s="20">
        <v>45.199736104837825</v>
      </c>
      <c r="BB293" s="20">
        <v>46.7058513934697</v>
      </c>
      <c r="BC293" s="20">
        <v>48.652274081364318</v>
      </c>
      <c r="BD293" s="20">
        <v>50</v>
      </c>
      <c r="BE293" s="20">
        <v>50</v>
      </c>
    </row>
    <row r="294" spans="29:57" x14ac:dyDescent="0.15">
      <c r="AC294" s="24">
        <f>[1]节奏总纲!AC294</f>
        <v>291</v>
      </c>
      <c r="AD294" s="24">
        <f>[1]节奏总纲!AD294</f>
        <v>81.895048862094228</v>
      </c>
      <c r="AE294" s="24">
        <f>[1]节奏总纲!AE294</f>
        <v>83.986841992131275</v>
      </c>
      <c r="AF294" s="24">
        <f>[1]节奏总纲!AF294</f>
        <v>86.930459832671289</v>
      </c>
      <c r="AG294" s="24">
        <f>[1]节奏总纲!AG294</f>
        <v>91.969903218718059</v>
      </c>
      <c r="AH294" s="24">
        <f>[1]节奏总纲!AH294</f>
        <v>100.87007794666089</v>
      </c>
      <c r="AZ294" s="20">
        <v>291</v>
      </c>
      <c r="BA294" s="20">
        <v>45.222052988059936</v>
      </c>
      <c r="BB294" s="20">
        <v>46.729931446993106</v>
      </c>
      <c r="BC294" s="20">
        <v>48.67620274791048</v>
      </c>
      <c r="BD294" s="20">
        <v>50</v>
      </c>
      <c r="BE294" s="20">
        <v>50</v>
      </c>
    </row>
    <row r="295" spans="29:57" x14ac:dyDescent="0.15">
      <c r="AC295" s="24">
        <f>[1]节奏总纲!AC295</f>
        <v>292</v>
      </c>
      <c r="AD295" s="24">
        <f>[1]节奏总纲!AD295</f>
        <v>81.945828913583981</v>
      </c>
      <c r="AE295" s="24">
        <f>[1]节奏总纲!AE295</f>
        <v>84.036191564035917</v>
      </c>
      <c r="AF295" s="24">
        <f>[1]节奏总纲!AF295</f>
        <v>86.980037525114682</v>
      </c>
      <c r="AG295" s="24">
        <f>[1]节奏总纲!AG295</f>
        <v>92.021521414287719</v>
      </c>
      <c r="AH295" s="24">
        <f>[1]节奏总纲!AH295</f>
        <v>100.92371296205096</v>
      </c>
      <c r="AZ295" s="20">
        <v>292</v>
      </c>
      <c r="BA295" s="20">
        <v>45.244369871282039</v>
      </c>
      <c r="BB295" s="20">
        <v>46.754011500516519</v>
      </c>
      <c r="BC295" s="20">
        <v>48.700131414456635</v>
      </c>
      <c r="BD295" s="20">
        <v>50</v>
      </c>
      <c r="BE295" s="20">
        <v>50</v>
      </c>
    </row>
    <row r="296" spans="29:57" x14ac:dyDescent="0.15">
      <c r="AC296" s="24">
        <f>[1]节奏总纲!AC296</f>
        <v>293</v>
      </c>
      <c r="AD296" s="24">
        <f>[1]节奏总纲!AD296</f>
        <v>81.996608965073733</v>
      </c>
      <c r="AE296" s="24">
        <f>[1]节奏总纲!AE296</f>
        <v>84.085064274836242</v>
      </c>
      <c r="AF296" s="24">
        <f>[1]节奏总纲!AF296</f>
        <v>87.029133791498197</v>
      </c>
      <c r="AG296" s="24">
        <f>[1]节奏总纲!AG296</f>
        <v>92.071632371634976</v>
      </c>
      <c r="AH296" s="24">
        <f>[1]节奏总纲!AH296</f>
        <v>100.97734797744103</v>
      </c>
      <c r="AZ296" s="20">
        <v>293</v>
      </c>
      <c r="BA296" s="20">
        <v>45.266686754504143</v>
      </c>
      <c r="BB296" s="20">
        <v>46.778091554039925</v>
      </c>
      <c r="BC296" s="20">
        <v>48.72406008100279</v>
      </c>
      <c r="BD296" s="20">
        <v>50</v>
      </c>
      <c r="BE296" s="20">
        <v>50</v>
      </c>
    </row>
    <row r="297" spans="29:57" x14ac:dyDescent="0.15">
      <c r="AC297" s="24">
        <f>[1]节奏总纲!AC297</f>
        <v>294</v>
      </c>
      <c r="AD297" s="24">
        <f>[1]节奏总纲!AD297</f>
        <v>82.044215515890215</v>
      </c>
      <c r="AE297" s="24">
        <f>[1]节奏总纲!AE297</f>
        <v>84.133936985636566</v>
      </c>
      <c r="AF297" s="24">
        <f>[1]节奏总纲!AF297</f>
        <v>87.077905547159801</v>
      </c>
      <c r="AG297" s="24">
        <f>[1]节奏总纲!AG297</f>
        <v>92.121743328982234</v>
      </c>
      <c r="AH297" s="24">
        <f>[1]节奏总纲!AH297</f>
        <v>101.02868392415382</v>
      </c>
      <c r="AZ297" s="20">
        <v>294</v>
      </c>
      <c r="BA297" s="20">
        <v>45.289003637726246</v>
      </c>
      <c r="BB297" s="20">
        <v>46.802171607563338</v>
      </c>
      <c r="BC297" s="20">
        <v>48.747988747548945</v>
      </c>
      <c r="BD297" s="20">
        <v>50</v>
      </c>
      <c r="BE297" s="20">
        <v>50</v>
      </c>
    </row>
    <row r="298" spans="29:57" x14ac:dyDescent="0.15">
      <c r="AC298" s="24">
        <f>[1]节奏总纲!AC298</f>
        <v>295</v>
      </c>
      <c r="AD298" s="24">
        <f>[1]节奏总纲!AD298</f>
        <v>82.091594979242089</v>
      </c>
      <c r="AE298" s="24">
        <f>[1]节奏总纲!AE298</f>
        <v>84.182809696436891</v>
      </c>
      <c r="AF298" s="24">
        <f>[1]节奏总纲!AF298</f>
        <v>87.126677302821392</v>
      </c>
      <c r="AG298" s="24">
        <f>[1]节奏总纲!AG298</f>
        <v>92.171854286329506</v>
      </c>
      <c r="AH298" s="24">
        <f>[1]节奏总纲!AH298</f>
        <v>101.07833899530283</v>
      </c>
      <c r="AZ298" s="20">
        <v>295</v>
      </c>
      <c r="BA298" s="20">
        <v>45.31132052094835</v>
      </c>
      <c r="BB298" s="20">
        <v>46.826251661086744</v>
      </c>
      <c r="BC298" s="20">
        <v>48.771917414095107</v>
      </c>
      <c r="BD298" s="20">
        <v>50</v>
      </c>
      <c r="BE298" s="20">
        <v>50</v>
      </c>
    </row>
    <row r="299" spans="29:57" x14ac:dyDescent="0.15">
      <c r="AC299" s="24">
        <f>[1]节奏总纲!AC299</f>
        <v>296</v>
      </c>
      <c r="AD299" s="24">
        <f>[1]节奏总纲!AD299</f>
        <v>82.138974442593963</v>
      </c>
      <c r="AE299" s="24">
        <f>[1]节奏总纲!AE299</f>
        <v>84.23168240723723</v>
      </c>
      <c r="AF299" s="24">
        <f>[1]节奏总纲!AF299</f>
        <v>87.175449058482982</v>
      </c>
      <c r="AG299" s="24">
        <f>[1]节奏总纲!AG299</f>
        <v>92.221965243676763</v>
      </c>
      <c r="AH299" s="24">
        <f>[1]节奏总纲!AH299</f>
        <v>101.12799406645185</v>
      </c>
      <c r="AZ299" s="20">
        <v>296</v>
      </c>
      <c r="BA299" s="20">
        <v>45.333637404170453</v>
      </c>
      <c r="BB299" s="20">
        <v>46.850331714610157</v>
      </c>
      <c r="BC299" s="20">
        <v>48.795846080641262</v>
      </c>
      <c r="BD299" s="20">
        <v>50</v>
      </c>
      <c r="BE299" s="20">
        <v>50</v>
      </c>
    </row>
    <row r="300" spans="29:57" x14ac:dyDescent="0.15">
      <c r="AC300" s="24">
        <f>[1]节奏总纲!AC300</f>
        <v>297</v>
      </c>
      <c r="AD300" s="24">
        <f>[1]节奏总纲!AD300</f>
        <v>82.186353905945836</v>
      </c>
      <c r="AE300" s="24">
        <f>[1]节奏总纲!AE300</f>
        <v>84.280555118037555</v>
      </c>
      <c r="AF300" s="24">
        <f>[1]节奏总纲!AF300</f>
        <v>87.224220814144587</v>
      </c>
      <c r="AG300" s="24">
        <f>[1]节奏总纲!AG300</f>
        <v>92.272076201024021</v>
      </c>
      <c r="AH300" s="24">
        <f>[1]节奏总纲!AH300</f>
        <v>101.17764913760085</v>
      </c>
      <c r="AZ300" s="20">
        <v>297</v>
      </c>
      <c r="BA300" s="20">
        <v>45.355954287392557</v>
      </c>
      <c r="BB300" s="20">
        <v>46.874411768133562</v>
      </c>
      <c r="BC300" s="20">
        <v>48.819774747187417</v>
      </c>
      <c r="BD300" s="20">
        <v>50</v>
      </c>
      <c r="BE300" s="20">
        <v>50</v>
      </c>
    </row>
    <row r="301" spans="29:57" x14ac:dyDescent="0.15">
      <c r="AC301" s="24">
        <f>[1]节奏总纲!AC301</f>
        <v>298</v>
      </c>
      <c r="AD301" s="24">
        <f>[1]节奏总纲!AD301</f>
        <v>82.23373336929771</v>
      </c>
      <c r="AE301" s="24">
        <f>[1]节奏总纲!AE301</f>
        <v>84.329427828837879</v>
      </c>
      <c r="AF301" s="24">
        <f>[1]节奏总纲!AF301</f>
        <v>87.272992569806178</v>
      </c>
      <c r="AG301" s="24">
        <f>[1]节奏总纲!AG301</f>
        <v>92.322187158371293</v>
      </c>
      <c r="AH301" s="24">
        <f>[1]节奏总纲!AH301</f>
        <v>101.22730420874987</v>
      </c>
      <c r="AZ301" s="20">
        <v>298</v>
      </c>
      <c r="BA301" s="20">
        <v>45.37827117061466</v>
      </c>
      <c r="BB301" s="20">
        <v>46.898491821656968</v>
      </c>
      <c r="BC301" s="20">
        <v>48.843703413733579</v>
      </c>
      <c r="BD301" s="20">
        <v>50</v>
      </c>
      <c r="BE301" s="20">
        <v>50</v>
      </c>
    </row>
    <row r="302" spans="29:57" x14ac:dyDescent="0.15">
      <c r="AC302" s="24">
        <f>[1]节奏总纲!AC302</f>
        <v>299</v>
      </c>
      <c r="AD302" s="24">
        <f>[1]节奏总纲!AD302</f>
        <v>82.281112832649583</v>
      </c>
      <c r="AE302" s="24">
        <f>[1]节奏总纲!AE302</f>
        <v>84.378300539638204</v>
      </c>
      <c r="AF302" s="24">
        <f>[1]节奏总纲!AF302</f>
        <v>87.321764325467768</v>
      </c>
      <c r="AG302" s="24">
        <f>[1]节奏总纲!AG302</f>
        <v>92.37229811571855</v>
      </c>
      <c r="AH302" s="24">
        <f>[1]节奏总纲!AH302</f>
        <v>101.27695927989888</v>
      </c>
      <c r="AZ302" s="20">
        <v>299</v>
      </c>
      <c r="BA302" s="20">
        <v>45.400588053836763</v>
      </c>
      <c r="BB302" s="20">
        <v>46.922571875180381</v>
      </c>
      <c r="BC302" s="20">
        <v>48.867632080279733</v>
      </c>
      <c r="BD302" s="20">
        <v>50</v>
      </c>
      <c r="BE302" s="20">
        <v>50</v>
      </c>
    </row>
    <row r="303" spans="29:57" x14ac:dyDescent="0.15">
      <c r="AC303" s="24">
        <f>[1]节奏总纲!AC303</f>
        <v>300</v>
      </c>
      <c r="AD303" s="24">
        <f>[1]节奏总纲!AD303</f>
        <v>82.328492296001457</v>
      </c>
      <c r="AE303" s="24">
        <f>[1]节奏总纲!AE303</f>
        <v>84.427173250438543</v>
      </c>
      <c r="AF303" s="24">
        <f>[1]节奏总纲!AF303</f>
        <v>87.370536081129359</v>
      </c>
      <c r="AG303" s="24">
        <f>[1]节奏总纲!AG303</f>
        <v>92.422409073065808</v>
      </c>
      <c r="AH303" s="24">
        <f>[1]节奏总纲!AH303</f>
        <v>101.32661435104789</v>
      </c>
      <c r="AZ303" s="20">
        <v>300</v>
      </c>
      <c r="BA303" s="20">
        <v>45.422904937058867</v>
      </c>
      <c r="BB303" s="20">
        <v>46.946651928703787</v>
      </c>
      <c r="BC303" s="20">
        <v>48.891560746825888</v>
      </c>
      <c r="BD303" s="20">
        <v>50</v>
      </c>
      <c r="BE303" s="20">
        <v>50</v>
      </c>
    </row>
    <row r="304" spans="29:57" x14ac:dyDescent="0.15">
      <c r="AC304" s="24">
        <f>[1]节奏总纲!AC304</f>
        <v>301</v>
      </c>
      <c r="AD304" s="24">
        <f>[1]节奏总纲!AD304</f>
        <v>82.375871759353331</v>
      </c>
      <c r="AE304" s="24">
        <f>[1]节奏总纲!AE304</f>
        <v>84.476045961238867</v>
      </c>
      <c r="AF304" s="24">
        <f>[1]节奏总纲!AF304</f>
        <v>87.419307836790964</v>
      </c>
      <c r="AG304" s="24">
        <f>[1]节奏总纲!AG304</f>
        <v>92.472520030413079</v>
      </c>
      <c r="AH304" s="24">
        <f>[1]节奏总纲!AH304</f>
        <v>101.3762694221969</v>
      </c>
      <c r="AZ304" s="20">
        <v>301</v>
      </c>
      <c r="BA304" s="20">
        <v>45.44522182028097</v>
      </c>
      <c r="BB304" s="20">
        <v>46.9707319822272</v>
      </c>
      <c r="BC304" s="20">
        <v>48.91548941337205</v>
      </c>
      <c r="BD304" s="20">
        <v>50</v>
      </c>
      <c r="BE304" s="20">
        <v>50</v>
      </c>
    </row>
    <row r="305" spans="29:57" x14ac:dyDescent="0.15">
      <c r="AC305" s="24">
        <f>[1]节奏总纲!AC305</f>
        <v>302</v>
      </c>
      <c r="AD305" s="24">
        <f>[1]节奏总纲!AD305</f>
        <v>82.423251222705204</v>
      </c>
      <c r="AE305" s="24">
        <f>[1]节奏总纲!AE305</f>
        <v>84.524918672039192</v>
      </c>
      <c r="AF305" s="24">
        <f>[1]节奏总纲!AF305</f>
        <v>87.468079592452554</v>
      </c>
      <c r="AG305" s="24">
        <f>[1]节奏总纲!AG305</f>
        <v>92.522630987760337</v>
      </c>
      <c r="AH305" s="24">
        <f>[1]节奏总纲!AH305</f>
        <v>101.42592449334592</v>
      </c>
      <c r="AZ305" s="20">
        <v>302</v>
      </c>
      <c r="BA305" s="20">
        <v>45.467538703503074</v>
      </c>
      <c r="BB305" s="20">
        <v>46.994812035750606</v>
      </c>
      <c r="BC305" s="20">
        <v>48.939418079918205</v>
      </c>
      <c r="BD305" s="20">
        <v>50</v>
      </c>
      <c r="BE305" s="20">
        <v>50</v>
      </c>
    </row>
    <row r="306" spans="29:57" x14ac:dyDescent="0.15">
      <c r="AC306" s="24">
        <f>[1]节奏总纲!AC306</f>
        <v>303</v>
      </c>
      <c r="AD306" s="24">
        <f>[1]节奏总纲!AD306</f>
        <v>82.470630686057078</v>
      </c>
      <c r="AE306" s="24">
        <f>[1]节奏总纲!AE306</f>
        <v>84.573791382839516</v>
      </c>
      <c r="AF306" s="24">
        <f>[1]节奏总纲!AF306</f>
        <v>87.516851348114145</v>
      </c>
      <c r="AG306" s="24">
        <f>[1]节奏总纲!AG306</f>
        <v>92.572741945107595</v>
      </c>
      <c r="AH306" s="24">
        <f>[1]节奏总纲!AH306</f>
        <v>101.47557956449492</v>
      </c>
      <c r="AZ306" s="20">
        <v>303</v>
      </c>
      <c r="BA306" s="20">
        <v>45.489855586725177</v>
      </c>
      <c r="BB306" s="20">
        <v>47.016308935086101</v>
      </c>
      <c r="BC306" s="20">
        <v>48.96334674646436</v>
      </c>
      <c r="BD306" s="20">
        <v>50</v>
      </c>
      <c r="BE306" s="20">
        <v>50</v>
      </c>
    </row>
    <row r="307" spans="29:57" x14ac:dyDescent="0.15">
      <c r="AC307" s="24">
        <f>[1]节奏总纲!AC307</f>
        <v>304</v>
      </c>
      <c r="AD307" s="24">
        <f>[1]节奏总纲!AD307</f>
        <v>82.518010149408951</v>
      </c>
      <c r="AE307" s="24">
        <f>[1]节奏总纲!AE307</f>
        <v>84.622664093639855</v>
      </c>
      <c r="AF307" s="24">
        <f>[1]节奏总纲!AF307</f>
        <v>87.565623103775735</v>
      </c>
      <c r="AG307" s="24">
        <f>[1]节奏总纲!AG307</f>
        <v>92.622852902454852</v>
      </c>
      <c r="AH307" s="24">
        <f>[1]节奏总纲!AH307</f>
        <v>101.52523463564394</v>
      </c>
      <c r="AZ307" s="20">
        <v>304</v>
      </c>
      <c r="BA307" s="20">
        <v>45.512172469947281</v>
      </c>
      <c r="BB307" s="20">
        <v>47.037096473408994</v>
      </c>
      <c r="BC307" s="20">
        <v>48.987275413010522</v>
      </c>
      <c r="BD307" s="20">
        <v>50</v>
      </c>
      <c r="BE307" s="20">
        <v>50</v>
      </c>
    </row>
    <row r="308" spans="29:57" x14ac:dyDescent="0.15">
      <c r="AC308" s="24">
        <f>[1]节奏总纲!AC308</f>
        <v>305</v>
      </c>
      <c r="AD308" s="24">
        <f>[1]节奏总纲!AD308</f>
        <v>82.565389612760825</v>
      </c>
      <c r="AE308" s="24">
        <f>[1]节奏总纲!AE308</f>
        <v>84.67153680444018</v>
      </c>
      <c r="AF308" s="24">
        <f>[1]节奏总纲!AF308</f>
        <v>87.61439485943734</v>
      </c>
      <c r="AG308" s="24">
        <f>[1]节奏总纲!AG308</f>
        <v>92.672963859802124</v>
      </c>
      <c r="AH308" s="24">
        <f>[1]节奏总纲!AH308</f>
        <v>101.57488970679294</v>
      </c>
      <c r="AZ308" s="20">
        <v>305</v>
      </c>
      <c r="BA308" s="20">
        <v>45.534489353169384</v>
      </c>
      <c r="BB308" s="20">
        <v>47.057884011731893</v>
      </c>
      <c r="BC308" s="20">
        <v>49.009673493801003</v>
      </c>
      <c r="BD308" s="20">
        <v>50</v>
      </c>
      <c r="BE308" s="20">
        <v>50</v>
      </c>
    </row>
    <row r="309" spans="29:57" x14ac:dyDescent="0.15">
      <c r="AC309" s="24">
        <f>[1]节奏总纲!AC309</f>
        <v>306</v>
      </c>
      <c r="AD309" s="24">
        <f>[1]节奏总纲!AD309</f>
        <v>82.612769076112698</v>
      </c>
      <c r="AE309" s="24">
        <f>[1]节奏总纲!AE309</f>
        <v>84.720409515240505</v>
      </c>
      <c r="AF309" s="24">
        <f>[1]节奏总纲!AF309</f>
        <v>87.66316661509893</v>
      </c>
      <c r="AG309" s="24">
        <f>[1]节奏总纲!AG309</f>
        <v>92.723074817149381</v>
      </c>
      <c r="AH309" s="24">
        <f>[1]节奏总纲!AH309</f>
        <v>101.62454477794196</v>
      </c>
      <c r="AZ309" s="20">
        <v>306</v>
      </c>
      <c r="BA309" s="20">
        <v>45.556806236391488</v>
      </c>
      <c r="BB309" s="20">
        <v>47.078671550054786</v>
      </c>
      <c r="BC309" s="20">
        <v>49.030333272797542</v>
      </c>
      <c r="BD309" s="20">
        <v>50</v>
      </c>
      <c r="BE309" s="20">
        <v>50</v>
      </c>
    </row>
    <row r="310" spans="29:57" x14ac:dyDescent="0.15">
      <c r="AC310" s="24">
        <f>[1]节奏总纲!AC310</f>
        <v>307</v>
      </c>
      <c r="AD310" s="24">
        <f>[1]节奏总纲!AD310</f>
        <v>82.660148539464572</v>
      </c>
      <c r="AE310" s="24">
        <f>[1]节奏总纲!AE310</f>
        <v>84.769282226040829</v>
      </c>
      <c r="AF310" s="24">
        <f>[1]节奏总纲!AF310</f>
        <v>87.711938370760521</v>
      </c>
      <c r="AG310" s="24">
        <f>[1]节奏总纲!AG310</f>
        <v>92.773185774496639</v>
      </c>
      <c r="AH310" s="24">
        <f>[1]节奏总纲!AH310</f>
        <v>101.67419984909097</v>
      </c>
      <c r="AZ310" s="20">
        <v>307</v>
      </c>
      <c r="BA310" s="20">
        <v>45.579123119613591</v>
      </c>
      <c r="BB310" s="20">
        <v>47.099459088377678</v>
      </c>
      <c r="BC310" s="20">
        <v>49.05099305179408</v>
      </c>
      <c r="BD310" s="20">
        <v>50</v>
      </c>
      <c r="BE310" s="20">
        <v>50</v>
      </c>
    </row>
    <row r="311" spans="29:57" x14ac:dyDescent="0.15">
      <c r="AC311" s="24">
        <f>[1]节奏总纲!AC311</f>
        <v>308</v>
      </c>
      <c r="AD311" s="24">
        <f>[1]节奏总纲!AD311</f>
        <v>82.707528002816446</v>
      </c>
      <c r="AE311" s="24">
        <f>[1]节奏总纲!AE311</f>
        <v>84.818154936841154</v>
      </c>
      <c r="AF311" s="24">
        <f>[1]节奏总纲!AF311</f>
        <v>87.760710126422126</v>
      </c>
      <c r="AG311" s="24">
        <f>[1]节奏总纲!AG311</f>
        <v>92.823296731843911</v>
      </c>
      <c r="AH311" s="24">
        <f>[1]节奏总纲!AH311</f>
        <v>101.72385492023999</v>
      </c>
      <c r="AZ311" s="20">
        <v>308</v>
      </c>
      <c r="BA311" s="20">
        <v>45.601440002835695</v>
      </c>
      <c r="BB311" s="20">
        <v>47.12024662670057</v>
      </c>
      <c r="BC311" s="20">
        <v>49.071652830790612</v>
      </c>
      <c r="BD311" s="20">
        <v>50</v>
      </c>
      <c r="BE311" s="20">
        <v>50</v>
      </c>
    </row>
    <row r="312" spans="29:57" x14ac:dyDescent="0.15">
      <c r="AC312" s="24">
        <f>[1]节奏总纲!AC312</f>
        <v>309</v>
      </c>
      <c r="AD312" s="24">
        <f>[1]节奏总纲!AD312</f>
        <v>82.754907466168319</v>
      </c>
      <c r="AE312" s="24">
        <f>[1]节奏总纲!AE312</f>
        <v>84.867027647641493</v>
      </c>
      <c r="AF312" s="24">
        <f>[1]节奏总纲!AF312</f>
        <v>87.809481882083716</v>
      </c>
      <c r="AG312" s="24">
        <f>[1]节奏总纲!AG312</f>
        <v>92.873407689191168</v>
      </c>
      <c r="AH312" s="24">
        <f>[1]节奏总纲!AH312</f>
        <v>101.77350999138899</v>
      </c>
      <c r="AZ312" s="20">
        <v>309</v>
      </c>
      <c r="BA312" s="20">
        <v>45.623756886057798</v>
      </c>
      <c r="BB312" s="20">
        <v>47.14103416502347</v>
      </c>
      <c r="BC312" s="20">
        <v>49.09231260978715</v>
      </c>
      <c r="BD312" s="20">
        <v>50</v>
      </c>
      <c r="BE312" s="20">
        <v>50</v>
      </c>
    </row>
    <row r="313" spans="29:57" x14ac:dyDescent="0.15">
      <c r="AC313" s="24">
        <f>[1]节奏总纲!AC313</f>
        <v>310</v>
      </c>
      <c r="AD313" s="24">
        <f>[1]节奏总纲!AD313</f>
        <v>82.802286929520193</v>
      </c>
      <c r="AE313" s="24">
        <f>[1]节奏总纲!AE313</f>
        <v>84.915900358441817</v>
      </c>
      <c r="AF313" s="24">
        <f>[1]节奏总纲!AF313</f>
        <v>87.858253637745307</v>
      </c>
      <c r="AG313" s="24">
        <f>[1]节奏总纲!AG313</f>
        <v>92.923518646538426</v>
      </c>
      <c r="AH313" s="24">
        <f>[1]节奏总纲!AH313</f>
        <v>101.82316506253801</v>
      </c>
      <c r="AZ313" s="20">
        <v>310</v>
      </c>
      <c r="BA313" s="20">
        <v>45.646073769279901</v>
      </c>
      <c r="BB313" s="20">
        <v>47.161821703346362</v>
      </c>
      <c r="BC313" s="20">
        <v>49.112972388783689</v>
      </c>
      <c r="BD313" s="20">
        <v>50</v>
      </c>
      <c r="BE313" s="20">
        <v>50</v>
      </c>
    </row>
    <row r="314" spans="29:57" x14ac:dyDescent="0.15">
      <c r="AC314" s="24">
        <f>[1]节奏总纲!AC314</f>
        <v>311</v>
      </c>
      <c r="AD314" s="24">
        <f>[1]节奏总纲!AD314</f>
        <v>82.849666392872066</v>
      </c>
      <c r="AE314" s="24">
        <f>[1]节奏总纲!AE314</f>
        <v>84.964773069242142</v>
      </c>
      <c r="AF314" s="24">
        <f>[1]节奏总纲!AF314</f>
        <v>87.907025393406897</v>
      </c>
      <c r="AG314" s="24">
        <f>[1]节奏总纲!AG314</f>
        <v>92.973629603885698</v>
      </c>
      <c r="AH314" s="24">
        <f>[1]节奏总纲!AH314</f>
        <v>101.87282013368701</v>
      </c>
      <c r="AZ314" s="20">
        <v>311</v>
      </c>
      <c r="BA314" s="20">
        <v>45.668390652502012</v>
      </c>
      <c r="BB314" s="20">
        <v>47.182609241669255</v>
      </c>
      <c r="BC314" s="20">
        <v>49.133632167780227</v>
      </c>
      <c r="BD314" s="20">
        <v>50</v>
      </c>
      <c r="BE314" s="20">
        <v>50</v>
      </c>
    </row>
    <row r="315" spans="29:57" x14ac:dyDescent="0.15">
      <c r="AC315" s="24">
        <f>[1]节奏总纲!AC315</f>
        <v>312</v>
      </c>
      <c r="AD315" s="24">
        <f>[1]节奏总纲!AD315</f>
        <v>82.89704585622394</v>
      </c>
      <c r="AE315" s="24">
        <f>[1]节奏总纲!AE315</f>
        <v>85.012531647506819</v>
      </c>
      <c r="AF315" s="24">
        <f>[1]节奏总纲!AF315</f>
        <v>87.955797149068502</v>
      </c>
      <c r="AG315" s="24">
        <f>[1]节奏总纲!AG315</f>
        <v>93.022367647203353</v>
      </c>
      <c r="AH315" s="24">
        <f>[1]节奏总纲!AH315</f>
        <v>101.92247520483603</v>
      </c>
      <c r="AZ315" s="20">
        <v>312</v>
      </c>
      <c r="BA315" s="20">
        <v>45.690707535724115</v>
      </c>
      <c r="BB315" s="20">
        <v>47.203396779992147</v>
      </c>
      <c r="BC315" s="20">
        <v>49.154291946776759</v>
      </c>
      <c r="BD315" s="20">
        <v>50</v>
      </c>
      <c r="BE315" s="20">
        <v>50</v>
      </c>
    </row>
    <row r="316" spans="29:57" x14ac:dyDescent="0.15">
      <c r="AC316" s="24">
        <f>[1]节奏总纲!AC316</f>
        <v>313</v>
      </c>
      <c r="AD316" s="24">
        <f>[1]节奏总纲!AD316</f>
        <v>82.944425319575814</v>
      </c>
      <c r="AE316" s="24">
        <f>[1]节奏总纲!AE316</f>
        <v>85.057414064088832</v>
      </c>
      <c r="AF316" s="24">
        <f>[1]节奏总纲!AF316</f>
        <v>88.004756197276762</v>
      </c>
      <c r="AG316" s="24">
        <f>[1]节奏总纲!AG316</f>
        <v>93.069580693431178</v>
      </c>
      <c r="AH316" s="24">
        <f>[1]节奏总纲!AH316</f>
        <v>101.97213027598504</v>
      </c>
      <c r="AZ316" s="20">
        <v>313</v>
      </c>
      <c r="BA316" s="20">
        <v>45.713024418946219</v>
      </c>
      <c r="BB316" s="20">
        <v>47.224184318315039</v>
      </c>
      <c r="BC316" s="20">
        <v>49.174951725773298</v>
      </c>
      <c r="BD316" s="20">
        <v>50</v>
      </c>
      <c r="BE316" s="20">
        <v>50</v>
      </c>
    </row>
    <row r="317" spans="29:57" x14ac:dyDescent="0.15">
      <c r="AC317" s="24">
        <f>[1]节奏总纲!AC317</f>
        <v>314</v>
      </c>
      <c r="AD317" s="24">
        <f>[1]节奏总纲!AD317</f>
        <v>82.991804782927687</v>
      </c>
      <c r="AE317" s="24">
        <f>[1]节奏总纲!AE317</f>
        <v>85.10229648067083</v>
      </c>
      <c r="AF317" s="24">
        <f>[1]节奏总纲!AF317</f>
        <v>88.05552724748766</v>
      </c>
      <c r="AG317" s="24">
        <f>[1]节奏总纲!AG317</f>
        <v>93.116793739659002</v>
      </c>
      <c r="AH317" s="24">
        <f>[1]节奏总纲!AH317</f>
        <v>102.01969836502204</v>
      </c>
      <c r="AZ317" s="20">
        <v>314</v>
      </c>
      <c r="BA317" s="20">
        <v>45.735341302168322</v>
      </c>
      <c r="BB317" s="20">
        <v>47.244971856637939</v>
      </c>
      <c r="BC317" s="20">
        <v>49.195611504769836</v>
      </c>
      <c r="BD317" s="20">
        <v>50</v>
      </c>
      <c r="BE317" s="20">
        <v>50</v>
      </c>
    </row>
    <row r="318" spans="29:57" x14ac:dyDescent="0.15">
      <c r="AC318" s="24">
        <f>[1]节奏总纲!AC318</f>
        <v>315</v>
      </c>
      <c r="AD318" s="24">
        <f>[1]节奏总纲!AD318</f>
        <v>83.03656019452734</v>
      </c>
      <c r="AE318" s="24">
        <f>[1]节奏总纲!AE318</f>
        <v>85.147178897252829</v>
      </c>
      <c r="AF318" s="24">
        <f>[1]节奏总纲!AF318</f>
        <v>88.106298297698572</v>
      </c>
      <c r="AG318" s="24">
        <f>[1]节奏总纲!AG318</f>
        <v>93.164006785886826</v>
      </c>
      <c r="AH318" s="24">
        <f>[1]节奏总纲!AH318</f>
        <v>102.06459660376342</v>
      </c>
      <c r="AZ318" s="20">
        <v>315</v>
      </c>
      <c r="BA318" s="20">
        <v>45.757658185390426</v>
      </c>
      <c r="BB318" s="20">
        <v>47.265759394960831</v>
      </c>
      <c r="BC318" s="20">
        <v>49.216271283766375</v>
      </c>
      <c r="BD318" s="20">
        <v>50</v>
      </c>
      <c r="BE318" s="20">
        <v>50</v>
      </c>
    </row>
    <row r="319" spans="29:57" x14ac:dyDescent="0.15">
      <c r="AC319" s="24">
        <f>[1]节奏总纲!AC319</f>
        <v>316</v>
      </c>
      <c r="AD319" s="24">
        <f>[1]节奏总纲!AD319</f>
        <v>83.080766796955942</v>
      </c>
      <c r="AE319" s="24">
        <f>[1]节奏总纲!AE319</f>
        <v>85.192061313834827</v>
      </c>
      <c r="AF319" s="24">
        <f>[1]节奏总纲!AF319</f>
        <v>88.15706934790947</v>
      </c>
      <c r="AG319" s="24">
        <f>[1]节奏总纲!AG319</f>
        <v>93.211219832114651</v>
      </c>
      <c r="AH319" s="24">
        <f>[1]节奏总纲!AH319</f>
        <v>102.1094948425048</v>
      </c>
      <c r="AZ319" s="20">
        <v>316</v>
      </c>
      <c r="BA319" s="20">
        <v>45.779975068612529</v>
      </c>
      <c r="BB319" s="20">
        <v>47.286546933283724</v>
      </c>
      <c r="BC319" s="20">
        <v>49.236931062762913</v>
      </c>
      <c r="BD319" s="20">
        <v>50</v>
      </c>
      <c r="BE319" s="20">
        <v>50</v>
      </c>
    </row>
    <row r="320" spans="29:57" x14ac:dyDescent="0.15">
      <c r="AC320" s="24">
        <f>[1]节奏总纲!AC320</f>
        <v>317</v>
      </c>
      <c r="AD320" s="24">
        <f>[1]节奏总纲!AD320</f>
        <v>83.124973399384558</v>
      </c>
      <c r="AE320" s="24">
        <f>[1]节奏总纲!AE320</f>
        <v>85.236943730416826</v>
      </c>
      <c r="AF320" s="24">
        <f>[1]节奏总纲!AF320</f>
        <v>88.207840398120382</v>
      </c>
      <c r="AG320" s="24">
        <f>[1]节奏总纲!AG320</f>
        <v>93.258432878342475</v>
      </c>
      <c r="AH320" s="24">
        <f>[1]节奏总纲!AH320</f>
        <v>102.15439308124618</v>
      </c>
      <c r="AZ320" s="20">
        <v>317</v>
      </c>
      <c r="BA320" s="20">
        <v>45.802291951834633</v>
      </c>
      <c r="BB320" s="20">
        <v>47.307334471606616</v>
      </c>
      <c r="BC320" s="20">
        <v>49.257590841759445</v>
      </c>
      <c r="BD320" s="20">
        <v>50</v>
      </c>
      <c r="BE320" s="20">
        <v>50</v>
      </c>
    </row>
    <row r="321" spans="29:57" x14ac:dyDescent="0.15">
      <c r="AC321" s="24">
        <f>[1]节奏总纲!AC321</f>
        <v>318</v>
      </c>
      <c r="AD321" s="24">
        <f>[1]节奏总纲!AD321</f>
        <v>83.16918000181316</v>
      </c>
      <c r="AE321" s="24">
        <f>[1]节奏总纲!AE321</f>
        <v>85.281826146998839</v>
      </c>
      <c r="AF321" s="24">
        <f>[1]节奏总纲!AF321</f>
        <v>88.258611448331294</v>
      </c>
      <c r="AG321" s="24">
        <f>[1]节奏总纲!AG321</f>
        <v>93.3056459245703</v>
      </c>
      <c r="AH321" s="24">
        <f>[1]节奏总纲!AH321</f>
        <v>102.19929131998755</v>
      </c>
      <c r="AZ321" s="20">
        <v>318</v>
      </c>
      <c r="BA321" s="20">
        <v>45.824608835056736</v>
      </c>
      <c r="BB321" s="20">
        <v>47.328122009929508</v>
      </c>
      <c r="BC321" s="20">
        <v>49.278250620755983</v>
      </c>
      <c r="BD321" s="20">
        <v>50</v>
      </c>
      <c r="BE321" s="20">
        <v>50</v>
      </c>
    </row>
    <row r="322" spans="29:57" x14ac:dyDescent="0.15">
      <c r="AC322" s="24">
        <f>[1]节奏总纲!AC322</f>
        <v>319</v>
      </c>
      <c r="AD322" s="24">
        <f>[1]节奏总纲!AD322</f>
        <v>83.213386604241776</v>
      </c>
      <c r="AE322" s="24">
        <f>[1]节奏总纲!AE322</f>
        <v>85.326708563580837</v>
      </c>
      <c r="AF322" s="24">
        <f>[1]节奏总纲!AF322</f>
        <v>88.309382498542192</v>
      </c>
      <c r="AG322" s="24">
        <f>[1]节奏总纲!AG322</f>
        <v>93.352858970798124</v>
      </c>
      <c r="AH322" s="24">
        <f>[1]节奏总纲!AH322</f>
        <v>102.24418955872893</v>
      </c>
      <c r="AZ322" s="20">
        <v>319</v>
      </c>
      <c r="BA322" s="20">
        <v>45.84692571827884</v>
      </c>
      <c r="BB322" s="20">
        <v>47.348909548252408</v>
      </c>
      <c r="BC322" s="20">
        <v>49.298910399752522</v>
      </c>
      <c r="BD322" s="20">
        <v>50</v>
      </c>
      <c r="BE322" s="20">
        <v>50</v>
      </c>
    </row>
    <row r="323" spans="29:57" x14ac:dyDescent="0.15">
      <c r="AC323" s="24">
        <f>[1]节奏总纲!AC323</f>
        <v>320</v>
      </c>
      <c r="AD323" s="24">
        <f>[1]节奏总纲!AD323</f>
        <v>83.257593206670379</v>
      </c>
      <c r="AE323" s="24">
        <f>[1]节奏总纲!AE323</f>
        <v>85.371590980162836</v>
      </c>
      <c r="AF323" s="24">
        <f>[1]节奏总纲!AF323</f>
        <v>88.360153548753104</v>
      </c>
      <c r="AG323" s="24">
        <f>[1]节奏总纲!AG323</f>
        <v>93.400072017025948</v>
      </c>
      <c r="AH323" s="24">
        <f>[1]节奏总纲!AH323</f>
        <v>102.28908779747032</v>
      </c>
      <c r="AZ323" s="20">
        <v>320</v>
      </c>
      <c r="BA323" s="20">
        <v>45.869242601500943</v>
      </c>
      <c r="BB323" s="20">
        <v>47.3696970865753</v>
      </c>
      <c r="BC323" s="20">
        <v>49.319570178749061</v>
      </c>
      <c r="BD323" s="20">
        <v>50</v>
      </c>
      <c r="BE323" s="20">
        <v>50</v>
      </c>
    </row>
    <row r="324" spans="29:57" x14ac:dyDescent="0.15">
      <c r="AC324" s="24">
        <f>[1]节奏总纲!AC324</f>
        <v>321</v>
      </c>
      <c r="AD324" s="24">
        <f>[1]节奏总纲!AD324</f>
        <v>83.301799809098995</v>
      </c>
      <c r="AE324" s="24">
        <f>[1]节奏总纲!AE324</f>
        <v>85.416473396744834</v>
      </c>
      <c r="AF324" s="24">
        <f>[1]节奏总纲!AF324</f>
        <v>88.410924598964016</v>
      </c>
      <c r="AG324" s="24">
        <f>[1]节奏总纲!AG324</f>
        <v>93.447285063253773</v>
      </c>
      <c r="AH324" s="24">
        <f>[1]节奏总纲!AH324</f>
        <v>102.3339860362117</v>
      </c>
      <c r="AZ324" s="20">
        <v>321</v>
      </c>
      <c r="BA324" s="20">
        <v>45.891559484723047</v>
      </c>
      <c r="BB324" s="20">
        <v>47.390484624898193</v>
      </c>
      <c r="BC324" s="20">
        <v>49.340229957745592</v>
      </c>
      <c r="BD324" s="20">
        <v>50</v>
      </c>
      <c r="BE324" s="20">
        <v>50</v>
      </c>
    </row>
    <row r="325" spans="29:57" x14ac:dyDescent="0.15">
      <c r="AC325" s="24">
        <f>[1]节奏总纲!AC325</f>
        <v>322</v>
      </c>
      <c r="AD325" s="24">
        <f>[1]节奏总纲!AD325</f>
        <v>83.346006411527597</v>
      </c>
      <c r="AE325" s="24">
        <f>[1]节奏总纲!AE325</f>
        <v>85.461355813326847</v>
      </c>
      <c r="AF325" s="24">
        <f>[1]节奏总纲!AF325</f>
        <v>88.461695649174914</v>
      </c>
      <c r="AG325" s="24">
        <f>[1]节奏总纲!AG325</f>
        <v>93.494498109481597</v>
      </c>
      <c r="AH325" s="24">
        <f>[1]节奏总纲!AH325</f>
        <v>102.37888427495307</v>
      </c>
      <c r="AZ325" s="20">
        <v>322</v>
      </c>
      <c r="BA325" s="20">
        <v>45.91387636794515</v>
      </c>
      <c r="BB325" s="20">
        <v>47.411272163221085</v>
      </c>
      <c r="BC325" s="20">
        <v>49.360889736742131</v>
      </c>
      <c r="BD325" s="20">
        <v>50</v>
      </c>
      <c r="BE325" s="20">
        <v>50</v>
      </c>
    </row>
    <row r="326" spans="29:57" x14ac:dyDescent="0.15">
      <c r="AC326" s="24">
        <f>[1]节奏总纲!AC326</f>
        <v>323</v>
      </c>
      <c r="AD326" s="24">
        <f>[1]节奏总纲!AD326</f>
        <v>83.390213013956213</v>
      </c>
      <c r="AE326" s="24">
        <f>[1]节奏总纲!AE326</f>
        <v>85.506238229908845</v>
      </c>
      <c r="AF326" s="24">
        <f>[1]节奏总纲!AF326</f>
        <v>88.512466699385826</v>
      </c>
      <c r="AG326" s="24">
        <f>[1]节奏总纲!AG326</f>
        <v>93.541711155709422</v>
      </c>
      <c r="AH326" s="24">
        <f>[1]节奏总纲!AH326</f>
        <v>102.42378251369445</v>
      </c>
      <c r="AZ326" s="20">
        <v>323</v>
      </c>
      <c r="BA326" s="20">
        <v>45.936193251167253</v>
      </c>
      <c r="BB326" s="20">
        <v>47.432059701543984</v>
      </c>
      <c r="BC326" s="20">
        <v>49.381549515738669</v>
      </c>
      <c r="BD326" s="20">
        <v>50</v>
      </c>
      <c r="BE326" s="20">
        <v>50</v>
      </c>
    </row>
    <row r="327" spans="29:57" x14ac:dyDescent="0.15">
      <c r="AC327" s="24">
        <f>[1]节奏总纲!AC327</f>
        <v>324</v>
      </c>
      <c r="AD327" s="24">
        <f>[1]节奏总纲!AD327</f>
        <v>83.434419616384815</v>
      </c>
      <c r="AE327" s="24">
        <f>[1]节奏总纲!AE327</f>
        <v>85.551120646490844</v>
      </c>
      <c r="AF327" s="24">
        <f>[1]节奏总纲!AF327</f>
        <v>88.563237749596723</v>
      </c>
      <c r="AG327" s="24">
        <f>[1]节奏总纲!AG327</f>
        <v>93.588924201937246</v>
      </c>
      <c r="AH327" s="24">
        <f>[1]节奏总纲!AH327</f>
        <v>102.46868075243583</v>
      </c>
      <c r="AZ327" s="20">
        <v>324</v>
      </c>
      <c r="BA327" s="20">
        <v>45.958510134389357</v>
      </c>
      <c r="BB327" s="20">
        <v>47.452847239866877</v>
      </c>
      <c r="BC327" s="20">
        <v>49.402209294735208</v>
      </c>
      <c r="BD327" s="20">
        <v>50</v>
      </c>
      <c r="BE327" s="20">
        <v>50</v>
      </c>
    </row>
    <row r="328" spans="29:57" x14ac:dyDescent="0.15">
      <c r="AC328" s="24">
        <f>[1]节奏总纲!AC328</f>
        <v>325</v>
      </c>
      <c r="AD328" s="24">
        <f>[1]节奏总纲!AD328</f>
        <v>83.478626218813432</v>
      </c>
      <c r="AE328" s="24">
        <f>[1]节奏总纲!AE328</f>
        <v>85.596003063072843</v>
      </c>
      <c r="AF328" s="24">
        <f>[1]节奏总纲!AF328</f>
        <v>88.614008799807635</v>
      </c>
      <c r="AG328" s="24">
        <f>[1]节奏总纲!AG328</f>
        <v>93.63613724816507</v>
      </c>
      <c r="AH328" s="24">
        <f>[1]节奏总纲!AH328</f>
        <v>102.51357899117721</v>
      </c>
      <c r="AZ328" s="20">
        <v>325</v>
      </c>
      <c r="BA328" s="20">
        <v>45.98082701761146</v>
      </c>
      <c r="BB328" s="20">
        <v>47.473634778189769</v>
      </c>
      <c r="BC328" s="20">
        <v>49.422869073731739</v>
      </c>
      <c r="BD328" s="20">
        <v>50</v>
      </c>
      <c r="BE328" s="20">
        <v>50</v>
      </c>
    </row>
    <row r="329" spans="29:57" x14ac:dyDescent="0.15">
      <c r="AC329" s="24">
        <f>[1]节奏总纲!AC329</f>
        <v>326</v>
      </c>
      <c r="AD329" s="24">
        <f>[1]节奏总纲!AD329</f>
        <v>83.522832821242034</v>
      </c>
      <c r="AE329" s="24">
        <f>[1]节奏总纲!AE329</f>
        <v>85.640885479654855</v>
      </c>
      <c r="AF329" s="24">
        <f>[1]节奏总纲!AF329</f>
        <v>88.664779850018547</v>
      </c>
      <c r="AG329" s="24">
        <f>[1]节奏总纲!AG329</f>
        <v>93.683350294392895</v>
      </c>
      <c r="AH329" s="24">
        <f>[1]节奏总纲!AH329</f>
        <v>102.55847722991859</v>
      </c>
      <c r="AZ329" s="20">
        <v>326</v>
      </c>
      <c r="BA329" s="20">
        <v>46.002713830586146</v>
      </c>
      <c r="BB329" s="20">
        <v>47.494422316512662</v>
      </c>
      <c r="BC329" s="20">
        <v>49.443528852728278</v>
      </c>
      <c r="BD329" s="20">
        <v>50</v>
      </c>
      <c r="BE329" s="20">
        <v>50</v>
      </c>
    </row>
    <row r="330" spans="29:57" x14ac:dyDescent="0.15">
      <c r="AC330" s="24">
        <f>[1]节奏总纲!AC330</f>
        <v>327</v>
      </c>
      <c r="AD330" s="24">
        <f>[1]节奏总纲!AD330</f>
        <v>83.56703942367065</v>
      </c>
      <c r="AE330" s="24">
        <f>[1]节奏总纲!AE330</f>
        <v>85.685767896236854</v>
      </c>
      <c r="AF330" s="24">
        <f>[1]节奏总纲!AF330</f>
        <v>88.715550900229445</v>
      </c>
      <c r="AG330" s="24">
        <f>[1]节奏总纲!AG330</f>
        <v>93.730563340620719</v>
      </c>
      <c r="AH330" s="24">
        <f>[1]节奏总纲!AH330</f>
        <v>102.60337546865996</v>
      </c>
      <c r="AZ330" s="20">
        <v>327</v>
      </c>
      <c r="BA330" s="20">
        <v>46.021977873404879</v>
      </c>
      <c r="BB330" s="20">
        <v>47.515209854835554</v>
      </c>
      <c r="BC330" s="20">
        <v>49.464188631724817</v>
      </c>
      <c r="BD330" s="20">
        <v>50</v>
      </c>
      <c r="BE330" s="20">
        <v>50</v>
      </c>
    </row>
    <row r="331" spans="29:57" x14ac:dyDescent="0.15">
      <c r="AC331" s="24">
        <f>[1]节奏总纲!AC331</f>
        <v>328</v>
      </c>
      <c r="AD331" s="24">
        <f>[1]节奏总纲!AD331</f>
        <v>83.611246026099252</v>
      </c>
      <c r="AE331" s="24">
        <f>[1]节奏总纲!AE331</f>
        <v>85.730650312818852</v>
      </c>
      <c r="AF331" s="24">
        <f>[1]节奏总纲!AF331</f>
        <v>88.766321950440357</v>
      </c>
      <c r="AG331" s="24">
        <f>[1]节奏总纲!AG331</f>
        <v>93.777776386848544</v>
      </c>
      <c r="AH331" s="24">
        <f>[1]节奏总纲!AH331</f>
        <v>102.64827370740134</v>
      </c>
      <c r="AZ331" s="20">
        <v>328</v>
      </c>
      <c r="BA331" s="20">
        <v>46.041241916223605</v>
      </c>
      <c r="BB331" s="20">
        <v>47.535997393158453</v>
      </c>
      <c r="BC331" s="20">
        <v>49.484848410721355</v>
      </c>
      <c r="BD331" s="20">
        <v>50</v>
      </c>
      <c r="BE331" s="20">
        <v>50</v>
      </c>
    </row>
    <row r="332" spans="29:57" x14ac:dyDescent="0.15">
      <c r="AC332" s="24">
        <f>[1]节奏总纲!AC332</f>
        <v>329</v>
      </c>
      <c r="AD332" s="24">
        <f>[1]节奏总纲!AD332</f>
        <v>83.655452628527868</v>
      </c>
      <c r="AE332" s="24">
        <f>[1]节奏总纲!AE332</f>
        <v>85.775532729400851</v>
      </c>
      <c r="AF332" s="24">
        <f>[1]节奏总纲!AF332</f>
        <v>88.817093000651269</v>
      </c>
      <c r="AG332" s="24">
        <f>[1]节奏总纲!AG332</f>
        <v>93.824989433076368</v>
      </c>
      <c r="AH332" s="24">
        <f>[1]节奏总纲!AH332</f>
        <v>102.69317194614273</v>
      </c>
      <c r="AZ332" s="20">
        <v>329</v>
      </c>
      <c r="BA332" s="20">
        <v>46.060505959042331</v>
      </c>
      <c r="BB332" s="20">
        <v>47.556784931481346</v>
      </c>
      <c r="BC332" s="20">
        <v>49.505508189717887</v>
      </c>
      <c r="BD332" s="20">
        <v>50</v>
      </c>
      <c r="BE332" s="20">
        <v>50</v>
      </c>
    </row>
    <row r="333" spans="29:57" x14ac:dyDescent="0.15">
      <c r="AC333" s="24">
        <f>[1]节奏总纲!AC333</f>
        <v>330</v>
      </c>
      <c r="AD333" s="24">
        <f>[1]节奏总纲!AD333</f>
        <v>83.69965923095647</v>
      </c>
      <c r="AE333" s="24">
        <f>[1]节奏总纲!AE333</f>
        <v>85.820415145982849</v>
      </c>
      <c r="AF333" s="24">
        <f>[1]节奏总纲!AF333</f>
        <v>88.867864050862167</v>
      </c>
      <c r="AG333" s="24">
        <f>[1]节奏总纲!AG333</f>
        <v>93.872202479304192</v>
      </c>
      <c r="AH333" s="24">
        <f>[1]节奏总纲!AH333</f>
        <v>102.73807018488411</v>
      </c>
      <c r="AZ333" s="20">
        <v>330</v>
      </c>
      <c r="BA333" s="20">
        <v>46.079770001861057</v>
      </c>
      <c r="BB333" s="20">
        <v>47.577572469804238</v>
      </c>
      <c r="BC333" s="20">
        <v>49.526167968714425</v>
      </c>
      <c r="BD333" s="20">
        <v>50</v>
      </c>
      <c r="BE333" s="20">
        <v>50</v>
      </c>
    </row>
    <row r="334" spans="29:57" x14ac:dyDescent="0.15">
      <c r="AC334" s="24">
        <f>[1]节奏总纲!AC334</f>
        <v>331</v>
      </c>
      <c r="AD334" s="24">
        <f>[1]节奏总纲!AD334</f>
        <v>83.743865833385087</v>
      </c>
      <c r="AE334" s="24">
        <f>[1]节奏总纲!AE334</f>
        <v>85.865297562564862</v>
      </c>
      <c r="AF334" s="24">
        <f>[1]节奏总纲!AF334</f>
        <v>88.918635101073079</v>
      </c>
      <c r="AG334" s="24">
        <f>[1]节奏总纲!AG334</f>
        <v>93.919415525532017</v>
      </c>
      <c r="AH334" s="24">
        <f>[1]节奏总纲!AH334</f>
        <v>102.78296842362549</v>
      </c>
      <c r="AZ334" s="20">
        <v>331</v>
      </c>
      <c r="BA334" s="20">
        <v>46.099034044679783</v>
      </c>
      <c r="BB334" s="20">
        <v>47.598360008127131</v>
      </c>
      <c r="BC334" s="20">
        <v>49.546827747710964</v>
      </c>
      <c r="BD334" s="20">
        <v>50</v>
      </c>
      <c r="BE334" s="20">
        <v>50</v>
      </c>
    </row>
    <row r="335" spans="29:57" x14ac:dyDescent="0.15">
      <c r="AC335" s="24">
        <f>[1]节奏总纲!AC335</f>
        <v>332</v>
      </c>
      <c r="AD335" s="24">
        <f>[1]节奏总纲!AD335</f>
        <v>83.788072435813689</v>
      </c>
      <c r="AE335" s="24">
        <f>[1]节奏总纲!AE335</f>
        <v>85.910179979146861</v>
      </c>
      <c r="AF335" s="24">
        <f>[1]节奏总纲!AF335</f>
        <v>88.969406151283977</v>
      </c>
      <c r="AG335" s="24">
        <f>[1]节奏总纲!AG335</f>
        <v>93.966628571759841</v>
      </c>
      <c r="AH335" s="24">
        <f>[1]节奏总纲!AH335</f>
        <v>102.82786666236686</v>
      </c>
      <c r="AZ335" s="20">
        <v>332</v>
      </c>
      <c r="BA335" s="20">
        <v>46.118298087498509</v>
      </c>
      <c r="BB335" s="20">
        <v>47.619147546450023</v>
      </c>
      <c r="BC335" s="20">
        <v>49.567487526707502</v>
      </c>
      <c r="BD335" s="20">
        <v>50</v>
      </c>
      <c r="BE335" s="20">
        <v>50</v>
      </c>
    </row>
    <row r="336" spans="29:57" x14ac:dyDescent="0.15">
      <c r="AC336" s="24">
        <f>[1]节奏总纲!AC336</f>
        <v>333</v>
      </c>
      <c r="AD336" s="24">
        <f>[1]节奏总纲!AD336</f>
        <v>83.832279038242305</v>
      </c>
      <c r="AE336" s="24">
        <f>[1]节奏总纲!AE336</f>
        <v>85.955062395728859</v>
      </c>
      <c r="AF336" s="24">
        <f>[1]节奏总纲!AF336</f>
        <v>89.018466905731287</v>
      </c>
      <c r="AG336" s="24">
        <f>[1]节奏总纲!AG336</f>
        <v>94.012923283729691</v>
      </c>
      <c r="AH336" s="24">
        <f>[1]节奏总纲!AH336</f>
        <v>102.87276490110824</v>
      </c>
      <c r="AZ336" s="20">
        <v>333</v>
      </c>
      <c r="BA336" s="20">
        <v>46.137562130317242</v>
      </c>
      <c r="BB336" s="20">
        <v>47.639935084772922</v>
      </c>
      <c r="BC336" s="20">
        <v>49.588147305704041</v>
      </c>
      <c r="BD336" s="20">
        <v>50</v>
      </c>
      <c r="BE336" s="20">
        <v>50</v>
      </c>
    </row>
    <row r="337" spans="29:57" x14ac:dyDescent="0.15">
      <c r="AC337" s="24">
        <f>[1]节奏总纲!AC337</f>
        <v>334</v>
      </c>
      <c r="AD337" s="24">
        <f>[1]节奏总纲!AD337</f>
        <v>83.876485640670907</v>
      </c>
      <c r="AE337" s="24">
        <f>[1]节奏总纲!AE337</f>
        <v>85.999944812310858</v>
      </c>
      <c r="AF337" s="24">
        <f>[1]节奏总纲!AF337</f>
        <v>89.064934410075779</v>
      </c>
      <c r="AG337" s="24">
        <f>[1]节奏总纲!AG337</f>
        <v>94.057003939090123</v>
      </c>
      <c r="AH337" s="24">
        <f>[1]节奏总纲!AH337</f>
        <v>102.91766313984962</v>
      </c>
      <c r="AZ337" s="20">
        <v>334</v>
      </c>
      <c r="BA337" s="20">
        <v>46.156826173135968</v>
      </c>
      <c r="BB337" s="20">
        <v>47.660722623095815</v>
      </c>
      <c r="BC337" s="20">
        <v>49.608807084700572</v>
      </c>
      <c r="BD337" s="20">
        <v>50</v>
      </c>
      <c r="BE337" s="20">
        <v>50</v>
      </c>
    </row>
    <row r="338" spans="29:57" x14ac:dyDescent="0.15">
      <c r="AC338" s="24">
        <f>[1]节奏总纲!AC338</f>
        <v>335</v>
      </c>
      <c r="AD338" s="24">
        <f>[1]节奏总纲!AD338</f>
        <v>83.920692243099523</v>
      </c>
      <c r="AE338" s="24">
        <f>[1]节奏总纲!AE338</f>
        <v>86.041129946887025</v>
      </c>
      <c r="AF338" s="24">
        <f>[1]节奏总纲!AF338</f>
        <v>89.11140191442027</v>
      </c>
      <c r="AG338" s="24">
        <f>[1]节奏总纲!AG338</f>
        <v>94.101084594450555</v>
      </c>
      <c r="AH338" s="24">
        <f>[1]节奏总纲!AH338</f>
        <v>102.962561378591</v>
      </c>
      <c r="AZ338" s="20">
        <v>335</v>
      </c>
      <c r="BA338" s="20">
        <v>46.176090215954694</v>
      </c>
      <c r="BB338" s="20">
        <v>47.681510161418707</v>
      </c>
      <c r="BC338" s="20">
        <v>49.629466863697111</v>
      </c>
      <c r="BD338" s="20">
        <v>50</v>
      </c>
      <c r="BE338" s="20">
        <v>50</v>
      </c>
    </row>
    <row r="339" spans="29:57" x14ac:dyDescent="0.15">
      <c r="AC339" s="24">
        <f>[1]节奏总纲!AC339</f>
        <v>336</v>
      </c>
      <c r="AD339" s="24">
        <f>[1]节奏总纲!AD339</f>
        <v>83.964898845528126</v>
      </c>
      <c r="AE339" s="24">
        <f>[1]节奏总纲!AE339</f>
        <v>86.082310529666103</v>
      </c>
      <c r="AF339" s="24">
        <f>[1]节奏总纲!AF339</f>
        <v>89.157869418764761</v>
      </c>
      <c r="AG339" s="24">
        <f>[1]节奏总纲!AG339</f>
        <v>94.145165249810972</v>
      </c>
      <c r="AH339" s="24">
        <f>[1]节奏总纲!AH339</f>
        <v>103.00673656424885</v>
      </c>
      <c r="AZ339" s="20">
        <v>336</v>
      </c>
      <c r="BA339" s="20">
        <v>46.19535425877342</v>
      </c>
      <c r="BB339" s="20">
        <v>47.7022976997416</v>
      </c>
      <c r="BC339" s="20">
        <v>49.65012664269365</v>
      </c>
      <c r="BD339" s="20">
        <v>50</v>
      </c>
      <c r="BE339" s="20">
        <v>50</v>
      </c>
    </row>
    <row r="340" spans="29:57" x14ac:dyDescent="0.15">
      <c r="AC340" s="24">
        <f>[1]节奏总纲!AC340</f>
        <v>337</v>
      </c>
      <c r="AD340" s="24">
        <f>[1]节奏总纲!AD340</f>
        <v>84.008495683346354</v>
      </c>
      <c r="AE340" s="24">
        <f>[1]节奏总纲!AE340</f>
        <v>86.12349111244518</v>
      </c>
      <c r="AF340" s="24">
        <f>[1]节奏总纲!AF340</f>
        <v>89.204336923109267</v>
      </c>
      <c r="AG340" s="24">
        <f>[1]节奏总纲!AG340</f>
        <v>94.189245905171404</v>
      </c>
      <c r="AH340" s="24">
        <f>[1]节奏总纲!AH340</f>
        <v>103.04728286259964</v>
      </c>
      <c r="AZ340" s="20">
        <v>337</v>
      </c>
      <c r="BA340" s="20">
        <v>46.214618301592147</v>
      </c>
      <c r="BB340" s="20">
        <v>47.723085238064499</v>
      </c>
      <c r="BC340" s="20">
        <v>49.670786421690188</v>
      </c>
      <c r="BD340" s="20">
        <v>50</v>
      </c>
      <c r="BE340" s="20">
        <v>50</v>
      </c>
    </row>
    <row r="341" spans="29:57" x14ac:dyDescent="0.15">
      <c r="AC341" s="24">
        <f>[1]节奏总纲!AC341</f>
        <v>338</v>
      </c>
      <c r="AD341" s="24">
        <f>[1]节奏总纲!AD341</f>
        <v>84.049741901856009</v>
      </c>
      <c r="AE341" s="24">
        <f>[1]节奏总纲!AE341</f>
        <v>86.164671695224243</v>
      </c>
      <c r="AF341" s="24">
        <f>[1]节奏总纲!AF341</f>
        <v>89.250804427453758</v>
      </c>
      <c r="AG341" s="24">
        <f>[1]节奏总纲!AG341</f>
        <v>94.233326560531836</v>
      </c>
      <c r="AH341" s="24">
        <f>[1]节奏总纲!AH341</f>
        <v>103.08782916095045</v>
      </c>
      <c r="AZ341" s="20">
        <v>338</v>
      </c>
      <c r="BA341" s="20">
        <v>46.23388234441088</v>
      </c>
      <c r="BB341" s="20">
        <v>47.743872776387391</v>
      </c>
      <c r="BC341" s="20">
        <v>49.69144620068672</v>
      </c>
      <c r="BD341" s="20">
        <v>50</v>
      </c>
      <c r="BE341" s="20">
        <v>50</v>
      </c>
    </row>
    <row r="342" spans="29:57" x14ac:dyDescent="0.15">
      <c r="AC342" s="24">
        <f>[1]节奏总纲!AC342</f>
        <v>339</v>
      </c>
      <c r="AD342" s="24">
        <f>[1]节奏总纲!AD342</f>
        <v>84.090988120365651</v>
      </c>
      <c r="AE342" s="24">
        <f>[1]节奏总纲!AE342</f>
        <v>86.20585227800332</v>
      </c>
      <c r="AF342" s="24">
        <f>[1]节奏总纲!AF342</f>
        <v>89.29727193179825</v>
      </c>
      <c r="AG342" s="24">
        <f>[1]节奏总纲!AG342</f>
        <v>94.277407215892268</v>
      </c>
      <c r="AH342" s="24">
        <f>[1]节奏总纲!AH342</f>
        <v>103.12837545930124</v>
      </c>
      <c r="AZ342" s="20">
        <v>339</v>
      </c>
      <c r="BA342" s="20">
        <v>46.253146387229606</v>
      </c>
      <c r="BB342" s="20">
        <v>47.764660314710284</v>
      </c>
      <c r="BC342" s="20">
        <v>49.712105979683258</v>
      </c>
      <c r="BD342" s="20">
        <v>50</v>
      </c>
      <c r="BE342" s="20">
        <v>50</v>
      </c>
    </row>
    <row r="343" spans="29:57" x14ac:dyDescent="0.15">
      <c r="AC343" s="24">
        <f>[1]节奏总纲!AC343</f>
        <v>340</v>
      </c>
      <c r="AD343" s="24">
        <f>[1]节奏总纲!AD343</f>
        <v>84.132234338875293</v>
      </c>
      <c r="AE343" s="24">
        <f>[1]节奏总纲!AE343</f>
        <v>86.247032860782397</v>
      </c>
      <c r="AF343" s="24">
        <f>[1]节奏总纲!AF343</f>
        <v>89.343739436142741</v>
      </c>
      <c r="AG343" s="24">
        <f>[1]节奏总纲!AG343</f>
        <v>94.3214878712527</v>
      </c>
      <c r="AH343" s="24">
        <f>[1]节奏总纲!AH343</f>
        <v>103.16892175765203</v>
      </c>
      <c r="AZ343" s="20">
        <v>340</v>
      </c>
      <c r="BA343" s="20">
        <v>46.272410430048332</v>
      </c>
      <c r="BB343" s="20">
        <v>47.785447853033176</v>
      </c>
      <c r="BC343" s="20">
        <v>49.732765758679797</v>
      </c>
      <c r="BD343" s="20">
        <v>50</v>
      </c>
      <c r="BE343" s="20">
        <v>50</v>
      </c>
    </row>
    <row r="344" spans="29:57" x14ac:dyDescent="0.15">
      <c r="AC344" s="24">
        <f>[1]节奏总纲!AC344</f>
        <v>341</v>
      </c>
      <c r="AD344" s="24">
        <f>[1]节奏总纲!AD344</f>
        <v>84.173480557384934</v>
      </c>
      <c r="AE344" s="24">
        <f>[1]节奏总纲!AE344</f>
        <v>86.288213443561474</v>
      </c>
      <c r="AF344" s="24">
        <f>[1]节奏总纲!AF344</f>
        <v>89.390206940487232</v>
      </c>
      <c r="AG344" s="24">
        <f>[1]节奏总纲!AG344</f>
        <v>94.365568526613131</v>
      </c>
      <c r="AH344" s="24">
        <f>[1]节奏总纲!AH344</f>
        <v>103.20946805600283</v>
      </c>
      <c r="AZ344" s="20">
        <v>341</v>
      </c>
      <c r="BA344" s="20">
        <v>46.291674472867058</v>
      </c>
      <c r="BB344" s="20">
        <v>47.806235391356068</v>
      </c>
      <c r="BC344" s="20">
        <v>49.753425537676335</v>
      </c>
      <c r="BD344" s="20">
        <v>50</v>
      </c>
      <c r="BE344" s="20">
        <v>50</v>
      </c>
    </row>
    <row r="345" spans="29:57" x14ac:dyDescent="0.15">
      <c r="AC345" s="24">
        <f>[1]节奏总纲!AC345</f>
        <v>342</v>
      </c>
      <c r="AD345" s="24">
        <f>[1]节奏总纲!AD345</f>
        <v>84.214726775894576</v>
      </c>
      <c r="AE345" s="24">
        <f>[1]节奏总纲!AE345</f>
        <v>86.329394026340537</v>
      </c>
      <c r="AF345" s="24">
        <f>[1]节奏总纲!AF345</f>
        <v>89.436674444831723</v>
      </c>
      <c r="AG345" s="24">
        <f>[1]节奏总纲!AG345</f>
        <v>94.409649181973549</v>
      </c>
      <c r="AH345" s="24">
        <f>[1]节奏总纲!AH345</f>
        <v>103.25001435435362</v>
      </c>
      <c r="AZ345" s="20">
        <v>342</v>
      </c>
      <c r="BA345" s="20">
        <v>46.310938515685784</v>
      </c>
      <c r="BB345" s="20">
        <v>47.827022929678968</v>
      </c>
      <c r="BC345" s="20">
        <v>49.774085316672867</v>
      </c>
      <c r="BD345" s="20">
        <v>50</v>
      </c>
      <c r="BE345" s="20">
        <v>50</v>
      </c>
    </row>
    <row r="346" spans="29:57" x14ac:dyDescent="0.15">
      <c r="AC346" s="24">
        <f>[1]节奏总纲!AC346</f>
        <v>343</v>
      </c>
      <c r="AD346" s="24">
        <f>[1]节奏总纲!AD346</f>
        <v>84.255972994404218</v>
      </c>
      <c r="AE346" s="24">
        <f>[1]节奏总纲!AE346</f>
        <v>86.370574609119615</v>
      </c>
      <c r="AF346" s="24">
        <f>[1]节奏总纲!AF346</f>
        <v>89.483141949176215</v>
      </c>
      <c r="AG346" s="24">
        <f>[1]节奏总纲!AG346</f>
        <v>94.453729837333981</v>
      </c>
      <c r="AH346" s="24">
        <f>[1]节奏总纲!AH346</f>
        <v>103.29056065270443</v>
      </c>
      <c r="AZ346" s="20">
        <v>343</v>
      </c>
      <c r="BA346" s="20">
        <v>46.330202558504517</v>
      </c>
      <c r="BB346" s="20">
        <v>47.84781046800186</v>
      </c>
      <c r="BC346" s="20">
        <v>49.794745095669406</v>
      </c>
      <c r="BD346" s="20">
        <v>50</v>
      </c>
      <c r="BE346" s="20">
        <v>50</v>
      </c>
    </row>
    <row r="347" spans="29:57" x14ac:dyDescent="0.15">
      <c r="AC347" s="24">
        <f>[1]节奏总纲!AC347</f>
        <v>344</v>
      </c>
      <c r="AD347" s="24">
        <f>[1]节奏总纲!AD347</f>
        <v>84.297219212913859</v>
      </c>
      <c r="AE347" s="24">
        <f>[1]节奏总纲!AE347</f>
        <v>86.411755191898692</v>
      </c>
      <c r="AF347" s="24">
        <f>[1]节奏总纲!AF347</f>
        <v>89.529609453520706</v>
      </c>
      <c r="AG347" s="24">
        <f>[1]节奏总纲!AG347</f>
        <v>94.497810492694413</v>
      </c>
      <c r="AH347" s="24">
        <f>[1]节奏总纲!AH347</f>
        <v>103.33110695105522</v>
      </c>
      <c r="AZ347" s="20">
        <v>344</v>
      </c>
      <c r="BA347" s="20">
        <v>46.349466601323243</v>
      </c>
      <c r="BB347" s="20">
        <v>47.868598006324753</v>
      </c>
      <c r="BC347" s="20">
        <v>49.815404874665944</v>
      </c>
      <c r="BD347" s="20">
        <v>50</v>
      </c>
      <c r="BE347" s="20">
        <v>50</v>
      </c>
    </row>
    <row r="348" spans="29:57" x14ac:dyDescent="0.15">
      <c r="AC348" s="24">
        <f>[1]节奏总纲!AC348</f>
        <v>345</v>
      </c>
      <c r="AD348" s="24">
        <f>[1]节奏总纲!AD348</f>
        <v>84.338465431423501</v>
      </c>
      <c r="AE348" s="24">
        <f>[1]节奏总纲!AE348</f>
        <v>86.452935774677769</v>
      </c>
      <c r="AF348" s="24">
        <f>[1]节奏总纲!AF348</f>
        <v>89.576076957865197</v>
      </c>
      <c r="AG348" s="24">
        <f>[1]节奏总纲!AG348</f>
        <v>94.541891148054845</v>
      </c>
      <c r="AH348" s="24">
        <f>[1]节奏总纲!AH348</f>
        <v>103.37165324940601</v>
      </c>
      <c r="AZ348" s="20">
        <v>345</v>
      </c>
      <c r="BA348" s="20">
        <v>46.368730644141969</v>
      </c>
      <c r="BB348" s="20">
        <v>47.889385544647645</v>
      </c>
      <c r="BC348" s="20">
        <v>49.836064653662483</v>
      </c>
      <c r="BD348" s="20">
        <v>50</v>
      </c>
      <c r="BE348" s="20">
        <v>50</v>
      </c>
    </row>
    <row r="349" spans="29:57" x14ac:dyDescent="0.15">
      <c r="AC349" s="24">
        <f>[1]节奏总纲!AC349</f>
        <v>346</v>
      </c>
      <c r="AD349" s="24">
        <f>[1]节奏总纲!AD349</f>
        <v>84.379711649933142</v>
      </c>
      <c r="AE349" s="24">
        <f>[1]节奏总纲!AE349</f>
        <v>86.494116357456846</v>
      </c>
      <c r="AF349" s="24">
        <f>[1]节奏总纲!AF349</f>
        <v>89.622544462209689</v>
      </c>
      <c r="AG349" s="24">
        <f>[1]节奏总纲!AG349</f>
        <v>94.585971803415276</v>
      </c>
      <c r="AH349" s="24">
        <f>[1]节奏总纲!AH349</f>
        <v>103.41219954775681</v>
      </c>
      <c r="AZ349" s="20">
        <v>346</v>
      </c>
      <c r="BA349" s="20">
        <v>46.387994686960695</v>
      </c>
      <c r="BB349" s="20">
        <v>47.910173082970537</v>
      </c>
      <c r="BC349" s="20">
        <v>49.856724432659014</v>
      </c>
      <c r="BD349" s="20">
        <v>50</v>
      </c>
      <c r="BE349" s="20">
        <v>50</v>
      </c>
    </row>
    <row r="350" spans="29:57" x14ac:dyDescent="0.15">
      <c r="AC350" s="24">
        <f>[1]节奏总纲!AC350</f>
        <v>347</v>
      </c>
      <c r="AD350" s="24">
        <f>[1]节奏总纲!AD350</f>
        <v>84.420957868442784</v>
      </c>
      <c r="AE350" s="24">
        <f>[1]节奏总纲!AE350</f>
        <v>86.535296940235909</v>
      </c>
      <c r="AF350" s="24">
        <f>[1]节奏总纲!AF350</f>
        <v>89.66901196655418</v>
      </c>
      <c r="AG350" s="24">
        <f>[1]节奏总纲!AG350</f>
        <v>94.630052458775694</v>
      </c>
      <c r="AH350" s="24">
        <f>[1]节奏总纲!AH350</f>
        <v>103.4527458461076</v>
      </c>
      <c r="AZ350" s="20">
        <v>347</v>
      </c>
      <c r="BA350" s="20">
        <v>46.407258729779421</v>
      </c>
      <c r="BB350" s="20">
        <v>47.930960621293437</v>
      </c>
      <c r="BC350" s="20">
        <v>49.877384211655553</v>
      </c>
      <c r="BD350" s="20">
        <v>50</v>
      </c>
      <c r="BE350" s="20">
        <v>50</v>
      </c>
    </row>
    <row r="351" spans="29:57" x14ac:dyDescent="0.15">
      <c r="AC351" s="24">
        <f>[1]节奏总纲!AC351</f>
        <v>348</v>
      </c>
      <c r="AD351" s="24">
        <f>[1]节奏总纲!AD351</f>
        <v>84.462204086952426</v>
      </c>
      <c r="AE351" s="24">
        <f>[1]节奏总纲!AE351</f>
        <v>86.576477523014987</v>
      </c>
      <c r="AF351" s="24">
        <f>[1]节奏总纲!AF351</f>
        <v>89.715479470898671</v>
      </c>
      <c r="AG351" s="24">
        <f>[1]节奏总纲!AG351</f>
        <v>94.674133114136126</v>
      </c>
      <c r="AH351" s="24">
        <f>[1]节奏总纲!AH351</f>
        <v>103.49329214445841</v>
      </c>
      <c r="AZ351" s="20">
        <v>348</v>
      </c>
      <c r="BA351" s="20">
        <v>46.426522772598148</v>
      </c>
      <c r="BB351" s="20">
        <v>47.951748159616329</v>
      </c>
      <c r="BC351" s="20">
        <v>49.898043990652091</v>
      </c>
      <c r="BD351" s="20">
        <v>50</v>
      </c>
      <c r="BE351" s="20">
        <v>50</v>
      </c>
    </row>
    <row r="352" spans="29:57" x14ac:dyDescent="0.15">
      <c r="AC352" s="24">
        <f>[1]节奏总纲!AC352</f>
        <v>349</v>
      </c>
      <c r="AD352" s="24">
        <f>[1]节奏总纲!AD352</f>
        <v>84.503450305462081</v>
      </c>
      <c r="AE352" s="24">
        <f>[1]节奏总纲!AE352</f>
        <v>86.617658105794064</v>
      </c>
      <c r="AF352" s="24">
        <f>[1]节奏总纲!AF352</f>
        <v>89.761946975243163</v>
      </c>
      <c r="AG352" s="24">
        <f>[1]节奏总纲!AG352</f>
        <v>94.718213769496558</v>
      </c>
      <c r="AH352" s="24">
        <f>[1]节奏总纲!AH352</f>
        <v>103.5338384428092</v>
      </c>
      <c r="AZ352" s="20">
        <v>349</v>
      </c>
      <c r="BA352" s="20">
        <v>46.445786815416881</v>
      </c>
      <c r="BB352" s="20">
        <v>47.972535697939222</v>
      </c>
      <c r="BC352" s="20">
        <v>49.91870376964863</v>
      </c>
      <c r="BD352" s="20">
        <v>50</v>
      </c>
      <c r="BE352" s="20">
        <v>50</v>
      </c>
    </row>
    <row r="353" spans="29:57" x14ac:dyDescent="0.15">
      <c r="AC353" s="24">
        <f>[1]节奏总纲!AC353</f>
        <v>350</v>
      </c>
      <c r="AD353" s="24">
        <f>[1]节奏总纲!AD353</f>
        <v>84.544696523971723</v>
      </c>
      <c r="AE353" s="24">
        <f>[1]节奏总纲!AE353</f>
        <v>86.658838688573141</v>
      </c>
      <c r="AF353" s="24">
        <f>[1]节奏总纲!AF353</f>
        <v>89.808414479587654</v>
      </c>
      <c r="AG353" s="24">
        <f>[1]节奏总纲!AG353</f>
        <v>94.762294424856989</v>
      </c>
      <c r="AH353" s="24">
        <f>[1]节奏总纲!AH353</f>
        <v>103.57438474115999</v>
      </c>
      <c r="AZ353" s="20">
        <v>350</v>
      </c>
      <c r="BA353" s="20">
        <v>46.465050858235607</v>
      </c>
      <c r="BB353" s="20">
        <v>47.993323236262114</v>
      </c>
      <c r="BC353" s="20">
        <v>49.939363548645169</v>
      </c>
      <c r="BD353" s="20">
        <v>50</v>
      </c>
      <c r="BE353" s="20">
        <v>50</v>
      </c>
    </row>
    <row r="354" spans="29:57" x14ac:dyDescent="0.15">
      <c r="AC354" s="24">
        <f>[1]节奏总纲!AC354</f>
        <v>351</v>
      </c>
      <c r="AD354" s="24">
        <f>[1]节奏总纲!AD354</f>
        <v>84.585942742481365</v>
      </c>
      <c r="AE354" s="24">
        <f>[1]节奏总纲!AE354</f>
        <v>86.700019271352204</v>
      </c>
      <c r="AF354" s="24">
        <f>[1]节奏总纲!AF354</f>
        <v>89.854881983932145</v>
      </c>
      <c r="AG354" s="24">
        <f>[1]节奏总纲!AG354</f>
        <v>94.806375080217421</v>
      </c>
      <c r="AH354" s="24">
        <f>[1]节奏总纲!AH354</f>
        <v>103.61493103951079</v>
      </c>
      <c r="AZ354" s="20">
        <v>351</v>
      </c>
      <c r="BA354" s="20">
        <v>46.484314901054333</v>
      </c>
      <c r="BB354" s="20">
        <v>48.012182251254622</v>
      </c>
      <c r="BC354" s="20">
        <v>49.9600233276417</v>
      </c>
      <c r="BD354" s="20">
        <v>50</v>
      </c>
      <c r="BE354" s="20">
        <v>50</v>
      </c>
    </row>
    <row r="355" spans="29:57" x14ac:dyDescent="0.15">
      <c r="AC355" s="24">
        <f>[1]节奏总纲!AC355</f>
        <v>352</v>
      </c>
      <c r="AD355" s="24">
        <f>[1]节奏总纲!AD355</f>
        <v>84.627188960991006</v>
      </c>
      <c r="AE355" s="24">
        <f>[1]节奏总纲!AE355</f>
        <v>86.741199854131281</v>
      </c>
      <c r="AF355" s="24">
        <f>[1]节奏总纲!AF355</f>
        <v>89.901349488276637</v>
      </c>
      <c r="AG355" s="24">
        <f>[1]节奏总纲!AG355</f>
        <v>94.850455735577853</v>
      </c>
      <c r="AH355" s="24">
        <f>[1]节奏总纲!AH355</f>
        <v>103.65547733786158</v>
      </c>
      <c r="AZ355" s="20">
        <v>352</v>
      </c>
      <c r="BA355" s="20">
        <v>46.503578943873059</v>
      </c>
      <c r="BB355" s="20">
        <v>48.030128751164234</v>
      </c>
      <c r="BC355" s="20">
        <v>49.980683106638239</v>
      </c>
      <c r="BD355" s="20">
        <v>50</v>
      </c>
      <c r="BE355" s="20">
        <v>50</v>
      </c>
    </row>
    <row r="356" spans="29:57" x14ac:dyDescent="0.15">
      <c r="AC356" s="24">
        <f>[1]节奏总纲!AC356</f>
        <v>353</v>
      </c>
      <c r="AD356" s="24">
        <f>[1]节奏总纲!AD356</f>
        <v>84.668435179500648</v>
      </c>
      <c r="AE356" s="24">
        <f>[1]节奏总纲!AE356</f>
        <v>86.782380436910358</v>
      </c>
      <c r="AF356" s="24">
        <f>[1]节奏总纲!AF356</f>
        <v>89.947816992621142</v>
      </c>
      <c r="AG356" s="24">
        <f>[1]节奏总纲!AG356</f>
        <v>94.894536390938271</v>
      </c>
      <c r="AH356" s="24">
        <f>[1]节奏总纲!AH356</f>
        <v>103.69602363621237</v>
      </c>
      <c r="AZ356" s="20">
        <v>353</v>
      </c>
      <c r="BA356" s="20">
        <v>46.522842986691785</v>
      </c>
      <c r="BB356" s="20">
        <v>48.048075251073854</v>
      </c>
      <c r="BC356" s="20">
        <v>50</v>
      </c>
      <c r="BD356" s="20">
        <v>50</v>
      </c>
      <c r="BE356" s="20">
        <v>50</v>
      </c>
    </row>
    <row r="357" spans="29:57" x14ac:dyDescent="0.15">
      <c r="AC357" s="24">
        <f>[1]节奏总纲!AC357</f>
        <v>354</v>
      </c>
      <c r="AD357" s="24">
        <f>[1]节奏总纲!AD357</f>
        <v>84.709681398010289</v>
      </c>
      <c r="AE357" s="24">
        <f>[1]节奏总纲!AE357</f>
        <v>86.823561019689436</v>
      </c>
      <c r="AF357" s="24">
        <f>[1]节奏总纲!AF357</f>
        <v>89.994284496965633</v>
      </c>
      <c r="AG357" s="24">
        <f>[1]节奏总纲!AG357</f>
        <v>94.938617046298702</v>
      </c>
      <c r="AH357" s="24">
        <f>[1]节奏总纲!AH357</f>
        <v>103.73656993456318</v>
      </c>
      <c r="AZ357" s="20">
        <v>354</v>
      </c>
      <c r="BA357" s="20">
        <v>46.542107029510518</v>
      </c>
      <c r="BB357" s="20">
        <v>48.066021750983474</v>
      </c>
      <c r="BC357" s="20">
        <v>50</v>
      </c>
      <c r="BD357" s="20">
        <v>50</v>
      </c>
      <c r="BE357" s="20">
        <v>50</v>
      </c>
    </row>
    <row r="358" spans="29:57" x14ac:dyDescent="0.15">
      <c r="AC358" s="24">
        <f>[1]节奏总纲!AC358</f>
        <v>355</v>
      </c>
      <c r="AD358" s="24">
        <f>[1]节奏总纲!AD358</f>
        <v>84.750927616519931</v>
      </c>
      <c r="AE358" s="24">
        <f>[1]节奏总纲!AE358</f>
        <v>86.864741602468499</v>
      </c>
      <c r="AF358" s="24">
        <f>[1]节奏总纲!AF358</f>
        <v>90.036066635925749</v>
      </c>
      <c r="AG358" s="24">
        <f>[1]节奏总纲!AG358</f>
        <v>94.982697701659134</v>
      </c>
      <c r="AH358" s="24">
        <f>[1]节奏总纲!AH358</f>
        <v>103.77711623291397</v>
      </c>
      <c r="AZ358" s="20">
        <v>355</v>
      </c>
      <c r="BA358" s="20">
        <v>46.561371072329244</v>
      </c>
      <c r="BB358" s="20">
        <v>48.083968250893093</v>
      </c>
      <c r="BC358" s="20">
        <v>50</v>
      </c>
      <c r="BD358" s="20">
        <v>50</v>
      </c>
      <c r="BE358" s="20">
        <v>50</v>
      </c>
    </row>
    <row r="359" spans="29:57" x14ac:dyDescent="0.15">
      <c r="AC359" s="24">
        <f>[1]节奏总纲!AC359</f>
        <v>356</v>
      </c>
      <c r="AD359" s="24">
        <f>[1]节奏总纲!AD359</f>
        <v>84.792173835029573</v>
      </c>
      <c r="AE359" s="24">
        <f>[1]节奏总纲!AE359</f>
        <v>86.905922185247576</v>
      </c>
      <c r="AF359" s="24">
        <f>[1]节奏总纲!AF359</f>
        <v>90.077191648383845</v>
      </c>
      <c r="AG359" s="24">
        <f>[1]节奏总纲!AG359</f>
        <v>95.024001308619916</v>
      </c>
      <c r="AH359" s="24">
        <f>[1]节奏总纲!AH359</f>
        <v>103.81766253126477</v>
      </c>
      <c r="AZ359" s="20">
        <v>356</v>
      </c>
      <c r="BA359" s="20">
        <v>46.58063511514797</v>
      </c>
      <c r="BB359" s="20">
        <v>48.101914750802706</v>
      </c>
      <c r="BC359" s="20">
        <v>50</v>
      </c>
      <c r="BD359" s="20">
        <v>50</v>
      </c>
      <c r="BE359" s="20">
        <v>50</v>
      </c>
    </row>
    <row r="360" spans="29:57" x14ac:dyDescent="0.15">
      <c r="AC360" s="24">
        <f>[1]节奏总纲!AC360</f>
        <v>357</v>
      </c>
      <c r="AD360" s="24">
        <f>[1]节奏总纲!AD360</f>
        <v>84.833420053539214</v>
      </c>
      <c r="AE360" s="24">
        <f>[1]节奏总纲!AE360</f>
        <v>86.947102768026653</v>
      </c>
      <c r="AF360" s="24">
        <f>[1]节奏总纲!AF360</f>
        <v>90.118316660841927</v>
      </c>
      <c r="AG360" s="24">
        <f>[1]节奏总纲!AG360</f>
        <v>95.063510581451752</v>
      </c>
      <c r="AH360" s="24">
        <f>[1]节奏总纲!AH360</f>
        <v>103.85820882961556</v>
      </c>
      <c r="AZ360" s="20">
        <v>357</v>
      </c>
      <c r="BA360" s="20">
        <v>46.599899157966696</v>
      </c>
      <c r="BB360" s="20">
        <v>48.119861250712326</v>
      </c>
      <c r="BC360" s="20">
        <v>50</v>
      </c>
      <c r="BD360" s="20">
        <v>50</v>
      </c>
      <c r="BE360" s="20">
        <v>50</v>
      </c>
    </row>
    <row r="361" spans="29:57" x14ac:dyDescent="0.15">
      <c r="AC361" s="24">
        <f>[1]节奏总纲!AC361</f>
        <v>358</v>
      </c>
      <c r="AD361" s="24">
        <f>[1]节奏总纲!AD361</f>
        <v>84.874666272048856</v>
      </c>
      <c r="AE361" s="24">
        <f>[1]节奏总纲!AE361</f>
        <v>86.98828335080573</v>
      </c>
      <c r="AF361" s="24">
        <f>[1]节奏总纲!AF361</f>
        <v>90.159441673300023</v>
      </c>
      <c r="AG361" s="24">
        <f>[1]节奏总纲!AG361</f>
        <v>95.103019854283588</v>
      </c>
      <c r="AH361" s="24">
        <f>[1]节奏总纲!AH361</f>
        <v>103.89875512796635</v>
      </c>
      <c r="AZ361" s="20">
        <v>358</v>
      </c>
      <c r="BA361" s="20">
        <v>46.619163200785422</v>
      </c>
      <c r="BB361" s="20">
        <v>48.137807750621946</v>
      </c>
      <c r="BC361" s="20">
        <v>50</v>
      </c>
      <c r="BD361" s="20">
        <v>50</v>
      </c>
      <c r="BE361" s="20">
        <v>50</v>
      </c>
    </row>
    <row r="362" spans="29:57" x14ac:dyDescent="0.15">
      <c r="AC362" s="24">
        <f>[1]节奏总纲!AC362</f>
        <v>359</v>
      </c>
      <c r="AD362" s="24">
        <f>[1]节奏总纲!AD362</f>
        <v>84.915912490558497</v>
      </c>
      <c r="AE362" s="24">
        <f>[1]节奏总纲!AE362</f>
        <v>87.027010646912942</v>
      </c>
      <c r="AF362" s="24">
        <f>[1]节奏总纲!AF362</f>
        <v>90.200566685758119</v>
      </c>
      <c r="AG362" s="24">
        <f>[1]节奏总纲!AG362</f>
        <v>95.142529127115409</v>
      </c>
      <c r="AH362" s="24">
        <f>[1]节奏总纲!AH362</f>
        <v>103.93930142631716</v>
      </c>
      <c r="AZ362" s="20">
        <v>359</v>
      </c>
      <c r="BA362" s="20">
        <v>46.638427243604156</v>
      </c>
      <c r="BB362" s="20">
        <v>48.155754250531558</v>
      </c>
      <c r="BC362" s="20">
        <v>50</v>
      </c>
      <c r="BD362" s="20">
        <v>50</v>
      </c>
      <c r="BE362" s="20">
        <v>50</v>
      </c>
    </row>
    <row r="363" spans="29:57" x14ac:dyDescent="0.15">
      <c r="AC363" s="24">
        <f>[1]节奏总纲!AC363</f>
        <v>360</v>
      </c>
      <c r="AD363" s="24">
        <f>[1]节奏总纲!AD363</f>
        <v>84.957158709068153</v>
      </c>
      <c r="AE363" s="24">
        <f>[1]节奏总纲!AE363</f>
        <v>87.064762367263285</v>
      </c>
      <c r="AF363" s="24">
        <f>[1]节奏总纲!AF363</f>
        <v>90.241691698216215</v>
      </c>
      <c r="AG363" s="24">
        <f>[1]节奏总纲!AG363</f>
        <v>95.182038399947245</v>
      </c>
      <c r="AH363" s="24">
        <f>[1]节奏总纲!AH363</f>
        <v>103.97984772466795</v>
      </c>
      <c r="AZ363" s="20">
        <v>360</v>
      </c>
      <c r="BA363" s="20">
        <v>46.657691286422882</v>
      </c>
      <c r="BB363" s="20">
        <v>48.173700750441178</v>
      </c>
      <c r="BC363" s="20">
        <v>50</v>
      </c>
      <c r="BD363" s="20">
        <v>50</v>
      </c>
      <c r="BE363" s="20">
        <v>50</v>
      </c>
    </row>
  </sheetData>
  <mergeCells count="15">
    <mergeCell ref="B6:D6"/>
    <mergeCell ref="K1:K2"/>
    <mergeCell ref="P2:T2"/>
    <mergeCell ref="W2:AA2"/>
    <mergeCell ref="B22:D22"/>
    <mergeCell ref="F1:F2"/>
    <mergeCell ref="G1:G2"/>
    <mergeCell ref="I1:I2"/>
    <mergeCell ref="J1:J2"/>
    <mergeCell ref="BJ2:BN2"/>
    <mergeCell ref="BQ2:BU2"/>
    <mergeCell ref="AD2:AH2"/>
    <mergeCell ref="AM2:AQ2"/>
    <mergeCell ref="AT2:AX2"/>
    <mergeCell ref="BA2:BE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DFB21-8567-4E35-85CE-C436C4C3B3CC}">
  <dimension ref="B4:L165"/>
  <sheetViews>
    <sheetView workbookViewId="0">
      <selection activeCell="P20" sqref="P20"/>
    </sheetView>
  </sheetViews>
  <sheetFormatPr defaultRowHeight="11.25" x14ac:dyDescent="0.15"/>
  <cols>
    <col min="1" max="16384" width="9" style="36"/>
  </cols>
  <sheetData>
    <row r="4" spans="2:12" x14ac:dyDescent="0.15">
      <c r="C4" s="59" t="s">
        <v>229</v>
      </c>
      <c r="D4" s="59"/>
      <c r="E4" s="59"/>
      <c r="F4" s="59"/>
      <c r="G4" s="59"/>
      <c r="H4" s="59" t="s">
        <v>230</v>
      </c>
      <c r="I4" s="59"/>
      <c r="J4" s="59"/>
      <c r="K4" s="59"/>
      <c r="L4" s="59"/>
    </row>
    <row r="5" spans="2:12" x14ac:dyDescent="0.15">
      <c r="B5" s="36" t="s">
        <v>158</v>
      </c>
      <c r="C5" s="36" t="s">
        <v>231</v>
      </c>
      <c r="D5" s="36" t="s">
        <v>232</v>
      </c>
      <c r="E5" s="36" t="s">
        <v>233</v>
      </c>
      <c r="F5" s="36" t="s">
        <v>234</v>
      </c>
      <c r="G5" s="36" t="s">
        <v>235</v>
      </c>
      <c r="H5" s="36" t="s">
        <v>231</v>
      </c>
      <c r="I5" s="36" t="s">
        <v>232</v>
      </c>
      <c r="J5" s="36" t="s">
        <v>233</v>
      </c>
      <c r="K5" s="36" t="s">
        <v>234</v>
      </c>
      <c r="L5" s="36" t="s">
        <v>235</v>
      </c>
    </row>
    <row r="6" spans="2:12" x14ac:dyDescent="0.15">
      <c r="B6" s="36">
        <v>1</v>
      </c>
      <c r="C6" s="37">
        <f>'[1]功能-付费相关'!S6</f>
        <v>9.6699025938898793E-3</v>
      </c>
      <c r="D6" s="37">
        <f>'[1]功能-付费相关'!T6</f>
        <v>9.6656664478053916E-3</v>
      </c>
      <c r="E6" s="37">
        <f>'[1]功能-付费相关'!U6</f>
        <v>9.6563134915450752E-3</v>
      </c>
      <c r="F6" s="37">
        <f>'[1]功能-付费相关'!V6</f>
        <v>9.6215224703200958E-3</v>
      </c>
      <c r="G6" s="37">
        <f>'[1]功能-付费相关'!W6</f>
        <v>9.6040441747252785E-3</v>
      </c>
      <c r="H6" s="37">
        <f>'[1]功能-付费相关'!X6</f>
        <v>1.4552770284378439E-2</v>
      </c>
      <c r="I6" s="37">
        <f>'[1]功能-付费相关'!Y6</f>
        <v>1.4552288807650037E-2</v>
      </c>
      <c r="J6" s="37">
        <f>'[1]功能-付费相关'!Z6</f>
        <v>1.4551224375748904E-2</v>
      </c>
      <c r="K6" s="37">
        <f>'[1]功能-付费相关'!AA6</f>
        <v>1.4547248125565206E-2</v>
      </c>
      <c r="L6" s="37">
        <f>'[1]功能-付费相关'!AB6</f>
        <v>1.454524049323027E-2</v>
      </c>
    </row>
    <row r="7" spans="2:12" x14ac:dyDescent="0.15">
      <c r="B7" s="36">
        <v>2</v>
      </c>
      <c r="C7" s="37">
        <f>'[1]功能-付费相关'!S7</f>
        <v>4.6742198225858634E-3</v>
      </c>
      <c r="D7" s="37">
        <f>'[1]功能-付费相关'!T7</f>
        <v>4.6696258450750561E-3</v>
      </c>
      <c r="E7" s="37">
        <f>'[1]功能-付费相关'!U7</f>
        <v>4.65973271744838E-3</v>
      </c>
      <c r="F7" s="37">
        <f>'[1]功能-付费相关'!V7</f>
        <v>4.6234220694459233E-3</v>
      </c>
      <c r="G7" s="37">
        <f>'[1]功能-付费相关'!W7</f>
        <v>4.6040552204809557E-3</v>
      </c>
      <c r="H7" s="37">
        <f>'[1]功能-付费相关'!X7</f>
        <v>7.0593017893497397E-3</v>
      </c>
      <c r="I7" s="37">
        <f>'[1]功能-付费相关'!Y7</f>
        <v>7.0587756872025143E-3</v>
      </c>
      <c r="J7" s="37">
        <f>'[1]功能-付费相关'!Z7</f>
        <v>7.0576394718097173E-3</v>
      </c>
      <c r="K7" s="37">
        <f>'[1]功能-付费相关'!AA7</f>
        <v>7.0534307460900078E-3</v>
      </c>
      <c r="L7" s="37">
        <f>'[1]功能-付费相关'!AB7</f>
        <v>7.051160895726793E-3</v>
      </c>
    </row>
    <row r="8" spans="2:12" x14ac:dyDescent="0.15">
      <c r="B8" s="36">
        <v>3</v>
      </c>
      <c r="C8" s="37">
        <f>'[1]功能-付费相关'!S8</f>
        <v>3.0117793189317278E-3</v>
      </c>
      <c r="D8" s="37">
        <f>'[1]功能-付费相关'!T8</f>
        <v>3.0069136450126804E-3</v>
      </c>
      <c r="E8" s="37">
        <f>'[1]功能-付费相关'!U8</f>
        <v>2.9965607945639876E-3</v>
      </c>
      <c r="F8" s="37">
        <f>'[1]功能-付费相关'!V8</f>
        <v>2.9593843817688039E-3</v>
      </c>
      <c r="G8" s="37">
        <f>'[1]功能-付费相关'!W8</f>
        <v>2.9393395008535266E-3</v>
      </c>
      <c r="H8" s="37">
        <f>'[1]功能-付费相关'!X8</f>
        <v>4.5657026234405132E-3</v>
      </c>
      <c r="I8" s="37">
        <f>'[1]功能-付费相关'!Y8</f>
        <v>4.5651408748392406E-3</v>
      </c>
      <c r="J8" s="37">
        <f>'[1]功能-付费相关'!Z8</f>
        <v>4.5639400178227934E-3</v>
      </c>
      <c r="K8" s="37">
        <f>'[1]功能-付费相关'!AA8</f>
        <v>4.5595639147399877E-3</v>
      </c>
      <c r="L8" s="37">
        <f>'[1]功能-付费相关'!AB8</f>
        <v>4.5571620340699838E-3</v>
      </c>
    </row>
    <row r="9" spans="2:12" x14ac:dyDescent="0.15">
      <c r="B9" s="36">
        <v>4</v>
      </c>
      <c r="C9" s="37">
        <f>'[1]功能-付费相关'!S9</f>
        <v>2.1825835467951292E-3</v>
      </c>
      <c r="D9" s="37">
        <f>'[1]功能-付费相关'!T9</f>
        <v>2.1775500964426684E-3</v>
      </c>
      <c r="E9" s="37">
        <f>'[1]功能-付费相关'!U9</f>
        <v>2.166914311191856E-3</v>
      </c>
      <c r="F9" s="37">
        <f>'[1]功能-付费相关'!V9</f>
        <v>2.1293859486552227E-3</v>
      </c>
      <c r="G9" s="37">
        <f>'[1]功能-付费相关'!W9</f>
        <v>2.1085414348532626E-3</v>
      </c>
      <c r="H9" s="37">
        <f>'[1]功能-付费相关'!X9</f>
        <v>3.3219756308028778E-3</v>
      </c>
      <c r="I9" s="37">
        <f>'[1]功能-付费相关'!Y9</f>
        <v>3.3213894598425608E-3</v>
      </c>
      <c r="J9" s="37">
        <f>'[1]功能-付费相关'!Z9</f>
        <v>3.3201426003855233E-3</v>
      </c>
      <c r="K9" s="37">
        <f>'[1]功能-付费相关'!AA9</f>
        <v>3.3156513178116249E-3</v>
      </c>
      <c r="L9" s="37">
        <f>'[1]功能-付费相关'!AB9</f>
        <v>3.3130930910713137E-3</v>
      </c>
    </row>
    <row r="10" spans="2:12" x14ac:dyDescent="0.15">
      <c r="B10" s="36">
        <v>5</v>
      </c>
      <c r="C10" s="37">
        <f>'[1]功能-付费相关'!S10</f>
        <v>1.6866349637513652E-3</v>
      </c>
      <c r="D10" s="37">
        <f>'[1]功能-付费相关'!T10</f>
        <v>1.6816372392703558E-3</v>
      </c>
      <c r="E10" s="37">
        <f>'[1]功能-付费相关'!U10</f>
        <v>1.670984831930115E-3</v>
      </c>
      <c r="F10" s="37">
        <f>'[1]功能-付费相关'!V10</f>
        <v>1.6337043628775712E-3</v>
      </c>
      <c r="G10" s="37">
        <f>'[1]功能-付费相关'!W10</f>
        <v>1.6145577919885374E-3</v>
      </c>
      <c r="H10" s="37">
        <f>'[1]功能-付费相关'!X10</f>
        <v>2.5781235873189256E-3</v>
      </c>
      <c r="I10" s="37">
        <f>'[1]功能-付费相关'!Y10</f>
        <v>2.5775362214575321E-3</v>
      </c>
      <c r="J10" s="37">
        <f>'[1]功能-付费相关'!Z10</f>
        <v>2.5762734609973241E-3</v>
      </c>
      <c r="K10" s="37">
        <f>'[1]功能-付费相关'!AA10</f>
        <v>2.5717347260998964E-3</v>
      </c>
      <c r="L10" s="37">
        <f>'[1]功能-付费相关'!AB10</f>
        <v>2.5691333596406835E-3</v>
      </c>
    </row>
    <row r="11" spans="2:12" x14ac:dyDescent="0.15">
      <c r="B11" s="36">
        <v>6</v>
      </c>
      <c r="C11" s="37">
        <f>'[1]功能-付费相关'!S11</f>
        <v>1.586418729376789E-3</v>
      </c>
      <c r="D11" s="37">
        <f>'[1]功能-付费相关'!T11</f>
        <v>1.5805352146401935E-3</v>
      </c>
      <c r="E11" s="37">
        <f>'[1]功能-付费相关'!U11</f>
        <v>1.5680890209040237E-3</v>
      </c>
      <c r="F11" s="37">
        <f>'[1]功能-付费相关'!V11</f>
        <v>1.5260232340116526E-3</v>
      </c>
      <c r="G11" s="37">
        <f>'[1]功能-付费相关'!W11</f>
        <v>1.5044816884692235E-3</v>
      </c>
      <c r="H11" s="37">
        <f>'[1]功能-付费相关'!X11</f>
        <v>2.4399795539212688E-3</v>
      </c>
      <c r="I11" s="37">
        <f>'[1]功能-付费相关'!Y11</f>
        <v>2.4392801333419467E-3</v>
      </c>
      <c r="J11" s="37">
        <f>'[1]功能-付费相关'!Z11</f>
        <v>2.4377846059379115E-3</v>
      </c>
      <c r="K11" s="37">
        <f>'[1]功能-付费相关'!AA11</f>
        <v>2.4323767617546138E-3</v>
      </c>
      <c r="L11" s="37">
        <f>'[1]功能-付费相关'!AB11</f>
        <v>2.4291749237056017E-3</v>
      </c>
    </row>
    <row r="12" spans="2:12" x14ac:dyDescent="0.15">
      <c r="B12" s="36">
        <v>7</v>
      </c>
      <c r="C12" s="37">
        <f>'[1]功能-付费相关'!S12</f>
        <v>1.4926754940598256E-3</v>
      </c>
      <c r="D12" s="37">
        <f>'[1]功能-付费相关'!T12</f>
        <v>1.4858137007853264E-3</v>
      </c>
      <c r="E12" s="37">
        <f>'[1]功能-付费相关'!U12</f>
        <v>1.4715279588321836E-3</v>
      </c>
      <c r="F12" s="37">
        <f>'[1]功能-付费相关'!V12</f>
        <v>1.426300661332876E-3</v>
      </c>
      <c r="G12" s="37">
        <f>'[1]功能-付费相关'!W12</f>
        <v>1.404981467609217E-3</v>
      </c>
      <c r="H12" s="37">
        <f>'[1]功能-付费相关'!X12</f>
        <v>2.3105496840702604E-3</v>
      </c>
      <c r="I12" s="37">
        <f>'[1]功能-付费相关'!Y12</f>
        <v>2.309724049167385E-3</v>
      </c>
      <c r="J12" s="37">
        <f>'[1]功能-付费相关'!Z12</f>
        <v>2.3079823735334924E-3</v>
      </c>
      <c r="K12" s="37">
        <f>'[1]功能-付费相关'!AA12</f>
        <v>2.3017753329505689E-3</v>
      </c>
      <c r="L12" s="37">
        <f>'[1]功能-付费相关'!AB12</f>
        <v>2.2982356494865366E-3</v>
      </c>
    </row>
    <row r="13" spans="2:12" x14ac:dyDescent="0.15">
      <c r="B13" s="36">
        <v>8</v>
      </c>
      <c r="C13" s="37">
        <f>'[1]功能-付费相关'!S13</f>
        <v>1.4048842830007315E-3</v>
      </c>
      <c r="D13" s="37">
        <f>'[1]功能-付费相关'!T13</f>
        <v>1.3975362381518138E-3</v>
      </c>
      <c r="E13" s="37">
        <f>'[1]功能-付费相关'!U13</f>
        <v>1.3822433853445868E-3</v>
      </c>
      <c r="F13" s="37">
        <f>'[1]功能-付费相关'!V13</f>
        <v>1.3362865138524006E-3</v>
      </c>
      <c r="G13" s="37">
        <f>'[1]功能-付费相关'!W13</f>
        <v>1.3130112253614355E-3</v>
      </c>
      <c r="H13" s="37">
        <f>'[1]功能-付费相关'!X13</f>
        <v>2.1891630469216849E-3</v>
      </c>
      <c r="I13" s="37">
        <f>'[1]功能-付费相关'!Y13</f>
        <v>2.1882678619914281E-3</v>
      </c>
      <c r="J13" s="37">
        <f>'[1]功能-付费相关'!Z13</f>
        <v>2.1863766840878665E-3</v>
      </c>
      <c r="K13" s="37">
        <f>'[1]功能-付费相关'!AA13</f>
        <v>2.1795386004904781E-3</v>
      </c>
      <c r="L13" s="37">
        <f>'[1]功能-付费相关'!AB13</f>
        <v>2.1755734653644966E-3</v>
      </c>
    </row>
    <row r="14" spans="2:12" x14ac:dyDescent="0.15">
      <c r="B14" s="36">
        <v>9</v>
      </c>
      <c r="C14" s="37">
        <f>'[1]功能-付费相关'!S14</f>
        <v>1.322576117906192E-3</v>
      </c>
      <c r="D14" s="37">
        <f>'[1]功能-付费相关'!T14</f>
        <v>1.3145689816932112E-3</v>
      </c>
      <c r="E14" s="37">
        <f>'[1]功能-付费相关'!U14</f>
        <v>1.2982554550164686E-3</v>
      </c>
      <c r="F14" s="37">
        <f>'[1]功能-付费相关'!V14</f>
        <v>1.2497612741253193E-3</v>
      </c>
      <c r="G14" s="37">
        <f>'[1]功能-付费相关'!W14</f>
        <v>1.2242067149544906E-3</v>
      </c>
      <c r="H14" s="37">
        <f>'[1]功能-付费相关'!X14</f>
        <v>2.0752114816648252E-3</v>
      </c>
      <c r="I14" s="37">
        <f>'[1]功能-付费相关'!Y14</f>
        <v>2.0742230466323265E-3</v>
      </c>
      <c r="J14" s="37">
        <f>'[1]功能-付费相关'!Z14</f>
        <v>2.0720924958418747E-3</v>
      </c>
      <c r="K14" s="37">
        <f>'[1]功能-付费相关'!AA14</f>
        <v>2.0643718939855342E-3</v>
      </c>
      <c r="L14" s="37">
        <f>'[1]功能-付费相关'!AB14</f>
        <v>2.059886356652758E-3</v>
      </c>
    </row>
    <row r="15" spans="2:12" x14ac:dyDescent="0.15">
      <c r="B15" s="36">
        <v>10</v>
      </c>
      <c r="C15" s="37">
        <f>'[1]功能-付费相关'!S15</f>
        <v>1.2453279070002608E-3</v>
      </c>
      <c r="D15" s="37">
        <f>'[1]功能-付费相关'!T15</f>
        <v>1.2365677928137795E-3</v>
      </c>
      <c r="E15" s="37">
        <f>'[1]功能-付费相关'!U15</f>
        <v>1.2198491768514027E-3</v>
      </c>
      <c r="F15" s="37">
        <f>'[1]功能-付费相关'!V15</f>
        <v>1.1682919727070543E-3</v>
      </c>
      <c r="G15" s="37">
        <f>'[1]功能-付费相关'!W15</f>
        <v>1.1414864233881218E-3</v>
      </c>
      <c r="H15" s="37">
        <f>'[1]功能-付费相关'!X15</f>
        <v>1.9681425710583768E-3</v>
      </c>
      <c r="I15" s="37">
        <f>'[1]功能-付费相关'!Y15</f>
        <v>1.9670459531507156E-3</v>
      </c>
      <c r="J15" s="37">
        <f>'[1]功能-付费相关'!Z15</f>
        <v>1.9646511983295849E-3</v>
      </c>
      <c r="K15" s="37">
        <f>'[1]功能-付费相关'!AA15</f>
        <v>1.9560565767857397E-3</v>
      </c>
      <c r="L15" s="37">
        <f>'[1]功能-付费相关'!AB15</f>
        <v>1.9509074352136941E-3</v>
      </c>
    </row>
    <row r="16" spans="2:12" x14ac:dyDescent="0.15">
      <c r="B16" s="36">
        <v>11</v>
      </c>
      <c r="C16" s="37">
        <f>'[1]功能-付费相关'!S16</f>
        <v>1.1812950849207655E-3</v>
      </c>
      <c r="D16" s="37">
        <f>'[1]功能-付费相关'!T16</f>
        <v>1.1724518558167613E-3</v>
      </c>
      <c r="E16" s="37">
        <f>'[1]功能-付费相关'!U16</f>
        <v>1.1546363231647865E-3</v>
      </c>
      <c r="F16" s="37">
        <f>'[1]功能-付费相关'!V16</f>
        <v>1.1018074406581367E-3</v>
      </c>
      <c r="G16" s="37">
        <f>'[1]功能-付费相关'!W16</f>
        <v>1.0702228141224524E-3</v>
      </c>
      <c r="H16" s="37">
        <f>'[1]功能-付费相关'!X16</f>
        <v>1.8747504031013495E-3</v>
      </c>
      <c r="I16" s="37">
        <f>'[1]功能-付费相关'!Y16</f>
        <v>1.8735875270752093E-3</v>
      </c>
      <c r="J16" s="37">
        <f>'[1]功能-付费相关'!Z16</f>
        <v>1.8709758127516732E-3</v>
      </c>
      <c r="K16" s="37">
        <f>'[1]功能-付费相关'!AA16</f>
        <v>1.8618749688140549E-3</v>
      </c>
      <c r="L16" s="37">
        <f>'[1]功能-付费相关'!AB16</f>
        <v>1.8555230769505323E-3</v>
      </c>
    </row>
    <row r="17" spans="2:12" x14ac:dyDescent="0.15">
      <c r="B17" s="36">
        <v>12</v>
      </c>
      <c r="C17" s="37">
        <f>'[1]功能-付费相关'!S17</f>
        <v>1.1207123098229332E-3</v>
      </c>
      <c r="D17" s="37">
        <f>'[1]功能-付费相关'!T17</f>
        <v>1.1120765947483613E-3</v>
      </c>
      <c r="E17" s="37">
        <f>'[1]功能-付费相关'!U17</f>
        <v>1.0938294388710646E-3</v>
      </c>
      <c r="F17" s="37">
        <f>'[1]功能-付费相关'!V17</f>
        <v>1.0389279254085363E-3</v>
      </c>
      <c r="G17" s="37">
        <f>'[1]功能-付费相关'!W17</f>
        <v>1.0043686232985099E-3</v>
      </c>
      <c r="H17" s="37">
        <f>'[1]功能-付费相关'!X17</f>
        <v>1.7863465031612744E-3</v>
      </c>
      <c r="I17" s="37">
        <f>'[1]功能-付费相关'!Y17</f>
        <v>1.7851284353307963E-3</v>
      </c>
      <c r="J17" s="37">
        <f>'[1]功能-付费相关'!Z17</f>
        <v>1.7823724486327234E-3</v>
      </c>
      <c r="K17" s="37">
        <f>'[1]功能-付费相关'!AA17</f>
        <v>1.772576003653563E-3</v>
      </c>
      <c r="L17" s="37">
        <f>'[1]功能-付费相关'!AB17</f>
        <v>1.7651682088916929E-3</v>
      </c>
    </row>
    <row r="18" spans="2:12" x14ac:dyDescent="0.15">
      <c r="B18" s="36">
        <v>13</v>
      </c>
      <c r="C18" s="37">
        <f>'[1]功能-付费相关'!S18</f>
        <v>1.0636431553130048E-3</v>
      </c>
      <c r="D18" s="37">
        <f>'[1]功能-付费相关'!T18</f>
        <v>1.0546592839561302E-3</v>
      </c>
      <c r="E18" s="37">
        <f>'[1]功能-付费相关'!U18</f>
        <v>1.0362585042320593E-3</v>
      </c>
      <c r="F18" s="37">
        <f>'[1]功能-付费相关'!V18</f>
        <v>9.7932237797966615E-4</v>
      </c>
      <c r="G18" s="37">
        <f>'[1]功能-付费相关'!W18</f>
        <v>9.4284314782660421E-4</v>
      </c>
      <c r="H18" s="37">
        <f>'[1]功能-付费相关'!X18</f>
        <v>1.7026196089781895E-3</v>
      </c>
      <c r="I18" s="37">
        <f>'[1]功能-付费相关'!Y18</f>
        <v>1.7013089102262953E-3</v>
      </c>
      <c r="J18" s="37">
        <f>'[1]功能-付费相关'!Z18</f>
        <v>1.6984139855262617E-3</v>
      </c>
      <c r="K18" s="37">
        <f>'[1]功能-付费相关'!AA18</f>
        <v>1.6879468950102617E-3</v>
      </c>
      <c r="L18" s="37">
        <f>'[1]功能-付费相关'!AB18</f>
        <v>1.6794147442895054E-3</v>
      </c>
    </row>
    <row r="19" spans="2:12" x14ac:dyDescent="0.15">
      <c r="B19" s="36">
        <v>14</v>
      </c>
      <c r="C19" s="37">
        <f>'[1]功能-付费相关'!S19</f>
        <v>1.0097924792827574E-3</v>
      </c>
      <c r="D19" s="37">
        <f>'[1]功能-付费相关'!T19</f>
        <v>1.0005500736607934E-3</v>
      </c>
      <c r="E19" s="37">
        <f>'[1]功能-付费相关'!U19</f>
        <v>9.820207204022666E-4</v>
      </c>
      <c r="F19" s="37">
        <f>'[1]功能-付费相关'!V19</f>
        <v>9.2384327604944398E-4</v>
      </c>
      <c r="G19" s="37">
        <f>'[1]功能-付费相关'!W19</f>
        <v>8.902510917507564E-4</v>
      </c>
      <c r="H19" s="37">
        <f>'[1]功能-付费相关'!X19</f>
        <v>1.623281314478004E-3</v>
      </c>
      <c r="I19" s="37">
        <f>'[1]功能-付费相关'!Y19</f>
        <v>1.6219218474785269E-3</v>
      </c>
      <c r="J19" s="37">
        <f>'[1]功能-付费相关'!Z19</f>
        <v>1.6188986043673768E-3</v>
      </c>
      <c r="K19" s="37">
        <f>'[1]功能-付费相关'!AA19</f>
        <v>1.6079159737470183E-3</v>
      </c>
      <c r="L19" s="37">
        <f>'[1]功能-付费相关'!AB19</f>
        <v>1.5985532865057182E-3</v>
      </c>
    </row>
    <row r="20" spans="2:12" x14ac:dyDescent="0.15">
      <c r="B20" s="36">
        <v>15</v>
      </c>
      <c r="C20" s="37">
        <f>'[1]功能-付费相关'!S20</f>
        <v>9.5875082599324046E-4</v>
      </c>
      <c r="D20" s="37">
        <f>'[1]功能-付费相关'!T20</f>
        <v>9.4914540896190469E-4</v>
      </c>
      <c r="E20" s="37">
        <f>'[1]功能-付费相关'!U20</f>
        <v>9.3042612920893678E-4</v>
      </c>
      <c r="F20" s="37">
        <f>'[1]功能-付费相关'!V20</f>
        <v>8.7142569857553997E-4</v>
      </c>
      <c r="G20" s="37">
        <f>'[1]功能-付费相关'!W20</f>
        <v>8.397301907552611E-4</v>
      </c>
      <c r="H20" s="37">
        <f>'[1]功能-付费相关'!X20</f>
        <v>1.5480640918139178E-3</v>
      </c>
      <c r="I20" s="37">
        <f>'[1]功能-付费相关'!Y20</f>
        <v>1.5466388611741618E-3</v>
      </c>
      <c r="J20" s="37">
        <f>'[1]功能-付费相关'!Z20</f>
        <v>1.5434739894699609E-3</v>
      </c>
      <c r="K20" s="37">
        <f>'[1]功能-付费相关'!AA20</f>
        <v>1.5318894674425441E-3</v>
      </c>
      <c r="L20" s="37">
        <f>'[1]功能-付费相关'!AB20</f>
        <v>1.5214688177009382E-3</v>
      </c>
    </row>
    <row r="21" spans="2:12" x14ac:dyDescent="0.15">
      <c r="B21" s="36">
        <v>16</v>
      </c>
      <c r="C21" s="37">
        <f>'[1]功能-付费相关'!S21</f>
        <v>9.1034283580622812E-4</v>
      </c>
      <c r="D21" s="37">
        <f>'[1]功能-付费相关'!T21</f>
        <v>9.0079327743063597E-4</v>
      </c>
      <c r="E21" s="37">
        <f>'[1]功能-付费相关'!U21</f>
        <v>8.8152977730143083E-4</v>
      </c>
      <c r="F21" s="37">
        <f>'[1]功能-付费相关'!V21</f>
        <v>8.2239405875931713E-4</v>
      </c>
      <c r="G21" s="37">
        <f>'[1]功能-付费相关'!W21</f>
        <v>7.9125598197300371E-4</v>
      </c>
      <c r="H21" s="37">
        <f>'[1]功能-付费相关'!X21</f>
        <v>1.476719512412262E-3</v>
      </c>
      <c r="I21" s="37">
        <f>'[1]功能-付费相关'!Y21</f>
        <v>1.4752223720369158E-3</v>
      </c>
      <c r="J21" s="37">
        <f>'[1]功能-付费相关'!Z21</f>
        <v>1.4719302692149632E-3</v>
      </c>
      <c r="K21" s="37">
        <f>'[1]功能-付费相关'!AA21</f>
        <v>1.4596899575562972E-3</v>
      </c>
      <c r="L21" s="37">
        <f>'[1]功能-付费相关'!AB21</f>
        <v>1.4480454937781785E-3</v>
      </c>
    </row>
    <row r="22" spans="2:12" x14ac:dyDescent="0.15">
      <c r="B22" s="36">
        <v>17</v>
      </c>
      <c r="C22" s="37">
        <f>'[1]功能-付费相关'!S22</f>
        <v>8.425277406902842E-4</v>
      </c>
      <c r="D22" s="37">
        <f>'[1]功能-付费相关'!T22</f>
        <v>8.5506703929177691E-4</v>
      </c>
      <c r="E22" s="37">
        <f>'[1]功能-付费相关'!U22</f>
        <v>8.3536489143314302E-4</v>
      </c>
      <c r="F22" s="37">
        <f>'[1]功能-付费相关'!V22</f>
        <v>7.7699360408455128E-4</v>
      </c>
      <c r="G22" s="37">
        <f>'[1]功能-付费相关'!W22</f>
        <v>7.4750487269901534E-4</v>
      </c>
      <c r="H22" s="37">
        <f>'[1]功能-付费相关'!X22</f>
        <v>1.3708740140492615E-3</v>
      </c>
      <c r="I22" s="37">
        <f>'[1]功能-付费相关'!Y22</f>
        <v>1.4074744761526585E-3</v>
      </c>
      <c r="J22" s="37">
        <f>'[1]功能-付费相关'!Z22</f>
        <v>1.4040708036929788E-3</v>
      </c>
      <c r="K22" s="37">
        <f>'[1]功能-付费相关'!AA22</f>
        <v>1.3912917747616537E-3</v>
      </c>
      <c r="L22" s="37">
        <f>'[1]功能-付费相关'!AB22</f>
        <v>1.379041906181346E-3</v>
      </c>
    </row>
    <row r="23" spans="2:12" x14ac:dyDescent="0.15">
      <c r="B23" s="36">
        <v>18</v>
      </c>
      <c r="C23" s="37">
        <f>'[1]功能-付费相关'!S23</f>
        <v>7.7845803781566596E-4</v>
      </c>
      <c r="D23" s="37">
        <f>'[1]功能-付费相关'!T23</f>
        <v>8.0052101244294739E-4</v>
      </c>
      <c r="E23" s="37">
        <f>'[1]功能-付费相关'!U23</f>
        <v>7.9095515169324226E-4</v>
      </c>
      <c r="F23" s="37">
        <f>'[1]功能-付费相关'!V23</f>
        <v>7.3553708764542843E-4</v>
      </c>
      <c r="G23" s="37">
        <f>'[1]功能-付费相关'!W23</f>
        <v>7.0502278074215878E-4</v>
      </c>
      <c r="H23" s="37">
        <f>'[1]功能-付费相关'!X23</f>
        <v>1.2700116953859475E-3</v>
      </c>
      <c r="I23" s="37">
        <f>'[1]功能-付费相关'!Y23</f>
        <v>1.323491683334046E-3</v>
      </c>
      <c r="J23" s="37">
        <f>'[1]功能-付费相关'!Z23</f>
        <v>1.3395342003163096E-3</v>
      </c>
      <c r="K23" s="37">
        <f>'[1]功能-付费相关'!AA23</f>
        <v>1.3261128053425441E-3</v>
      </c>
      <c r="L23" s="37">
        <f>'[1]功能-付费相关'!AB23</f>
        <v>1.312971481737137E-3</v>
      </c>
    </row>
    <row r="24" spans="2:12" x14ac:dyDescent="0.15">
      <c r="B24" s="36">
        <v>19</v>
      </c>
      <c r="C24" s="37">
        <f>'[1]功能-付费相关'!S24</f>
        <v>6.0572970388065889E-4</v>
      </c>
      <c r="D24" s="37">
        <f>'[1]功能-付费相关'!T24</f>
        <v>6.1890676325748425E-4</v>
      </c>
      <c r="E24" s="37">
        <f>'[1]功能-付费相关'!U24</f>
        <v>6.2145183906211999E-4</v>
      </c>
      <c r="F24" s="37">
        <f>'[1]功能-付费相关'!V24</f>
        <v>5.7936814408394727E-4</v>
      </c>
      <c r="G24" s="37">
        <f>'[1]功能-付费相关'!W24</f>
        <v>5.5585036091887192E-4</v>
      </c>
      <c r="H24" s="37">
        <f>'[1]功能-付费相关'!X24</f>
        <v>1.1754819502807997E-3</v>
      </c>
      <c r="I24" s="37">
        <f>'[1]功能-付费相关'!Y24</f>
        <v>1.2276255123842591E-3</v>
      </c>
      <c r="J24" s="37">
        <f>'[1]功能-付费相关'!Z24</f>
        <v>1.2782781061040618E-3</v>
      </c>
      <c r="K24" s="37">
        <f>'[1]功能-付费相关'!AA24</f>
        <v>1.2643116848445246E-3</v>
      </c>
      <c r="L24" s="37">
        <f>'[1]功能-付费相关'!AB24</f>
        <v>1.2501719390627609E-3</v>
      </c>
    </row>
    <row r="25" spans="2:12" x14ac:dyDescent="0.15">
      <c r="B25" s="36">
        <v>20</v>
      </c>
      <c r="C25" s="37">
        <f>'[1]功能-付费相关'!S25</f>
        <v>5.6195290049408674E-4</v>
      </c>
      <c r="D25" s="37">
        <f>'[1]功能-付费相关'!T25</f>
        <v>5.7550491615703024E-4</v>
      </c>
      <c r="E25" s="37">
        <f>'[1]功能-付费相关'!U25</f>
        <v>5.8464482967224816E-4</v>
      </c>
      <c r="F25" s="37">
        <f>'[1]功能-付费相关'!V25</f>
        <v>5.5042361543950835E-4</v>
      </c>
      <c r="G25" s="37">
        <f>'[1]功能-付费相关'!W25</f>
        <v>5.2699631616409258E-4</v>
      </c>
      <c r="H25" s="37">
        <f>'[1]功能-付费相关'!X25</f>
        <v>1.0869643505394581E-3</v>
      </c>
      <c r="I25" s="37">
        <f>'[1]功能-付费相关'!Y25</f>
        <v>1.1387396893056977E-3</v>
      </c>
      <c r="J25" s="37">
        <f>'[1]功能-付费相关'!Z25</f>
        <v>1.2046585010427693E-3</v>
      </c>
      <c r="K25" s="37">
        <f>'[1]功能-付费相关'!AA25</f>
        <v>1.2060537907360724E-3</v>
      </c>
      <c r="L25" s="37">
        <f>'[1]功能-付费相关'!AB25</f>
        <v>1.1918278506958962E-3</v>
      </c>
    </row>
    <row r="26" spans="2:12" x14ac:dyDescent="0.15">
      <c r="B26" s="36">
        <v>21</v>
      </c>
      <c r="C26" s="37">
        <f>'[1]功能-付费相关'!S26</f>
        <v>5.2704615217283508E-4</v>
      </c>
      <c r="D26" s="37">
        <f>'[1]功能-付费相关'!T26</f>
        <v>5.3486829111280072E-4</v>
      </c>
      <c r="E26" s="37">
        <f>'[1]功能-付费相关'!U26</f>
        <v>5.4471884860826344E-4</v>
      </c>
      <c r="F26" s="37">
        <f>'[1]功能-付费相关'!V26</f>
        <v>5.2342403459037633E-4</v>
      </c>
      <c r="G26" s="37">
        <f>'[1]功能-付费相关'!W26</f>
        <v>5.0006336014839258E-4</v>
      </c>
      <c r="H26" s="37">
        <f>'[1]功能-付费相关'!X26</f>
        <v>1.0189518342846253E-3</v>
      </c>
      <c r="I26" s="37">
        <f>'[1]功能-付费相关'!Y26</f>
        <v>1.0551955755294825E-3</v>
      </c>
      <c r="J26" s="37">
        <f>'[1]功能-付费相关'!Z26</f>
        <v>1.1196357903908731E-3</v>
      </c>
      <c r="K26" s="37">
        <f>'[1]功能-付费相关'!AA26</f>
        <v>1.1509579481489803E-3</v>
      </c>
      <c r="L26" s="37">
        <f>'[1]功能-付费相关'!AB26</f>
        <v>1.1365775036216515E-3</v>
      </c>
    </row>
    <row r="27" spans="2:12" x14ac:dyDescent="0.15">
      <c r="B27" s="36">
        <v>22</v>
      </c>
      <c r="C27" s="37">
        <f>'[1]功能-付费相关'!S27</f>
        <v>5.0167499943839274E-4</v>
      </c>
      <c r="D27" s="37">
        <f>'[1]功能-付费相关'!T27</f>
        <v>4.9630439576255883E-4</v>
      </c>
      <c r="E27" s="37">
        <f>'[1]功能-付费相关'!U27</f>
        <v>5.0685741459387712E-4</v>
      </c>
      <c r="F27" s="37">
        <f>'[1]功能-付费相关'!V27</f>
        <v>4.9771781099798931E-4</v>
      </c>
      <c r="G27" s="37">
        <f>'[1]功能-付费相关'!W27</f>
        <v>4.7472118493133267E-4</v>
      </c>
      <c r="H27" s="37">
        <f>'[1]功能-付费相关'!X27</f>
        <v>9.7341346845177521E-4</v>
      </c>
      <c r="I27" s="37">
        <f>'[1]功能-付费相关'!Y27</f>
        <v>9.7611753305044762E-4</v>
      </c>
      <c r="J27" s="37">
        <f>'[1]功能-付费相关'!Z27</f>
        <v>1.0391526238709258E-3</v>
      </c>
      <c r="K27" s="37">
        <f>'[1]功能-付费相关'!AA27</f>
        <v>1.0985114105365979E-3</v>
      </c>
      <c r="L27" s="37">
        <f>'[1]功能-付费相关'!AB27</f>
        <v>1.0840266480675667E-3</v>
      </c>
    </row>
    <row r="28" spans="2:12" x14ac:dyDescent="0.15">
      <c r="B28" s="36">
        <v>23</v>
      </c>
      <c r="C28" s="37">
        <f>'[1]功能-付费相关'!S28</f>
        <v>4.3531738123088541E-4</v>
      </c>
      <c r="D28" s="37">
        <f>'[1]功能-付费相关'!T28</f>
        <v>4.2896114005927684E-4</v>
      </c>
      <c r="E28" s="37">
        <f>'[1]功能-付费相关'!U28</f>
        <v>4.286063693376303E-4</v>
      </c>
      <c r="F28" s="37">
        <f>'[1]功能-付费相关'!V28</f>
        <v>4.2658304194765235E-4</v>
      </c>
      <c r="G28" s="37">
        <f>'[1]功能-付费相关'!W28</f>
        <v>4.0838588474506772E-4</v>
      </c>
      <c r="H28" s="37">
        <f>'[1]功能-付费相关'!X28</f>
        <v>9.2320416607243625E-4</v>
      </c>
      <c r="I28" s="37">
        <f>'[1]功能-付费相关'!Y28</f>
        <v>9.2188610952410248E-4</v>
      </c>
      <c r="J28" s="37">
        <f>'[1]功能-付费相关'!Z28</f>
        <v>9.5795156065134476E-4</v>
      </c>
      <c r="K28" s="37">
        <f>'[1]功能-付费相关'!AA28</f>
        <v>1.0355761681031792E-3</v>
      </c>
      <c r="L28" s="37">
        <f>'[1]功能-付费相关'!AB28</f>
        <v>1.0265942449638216E-3</v>
      </c>
    </row>
    <row r="29" spans="2:12" x14ac:dyDescent="0.15">
      <c r="B29" s="36">
        <v>24</v>
      </c>
      <c r="C29" s="37">
        <f>'[1]功能-付费相关'!S29</f>
        <v>4.1147536740330679E-4</v>
      </c>
      <c r="D29" s="37">
        <f>'[1]功能-付费相关'!T29</f>
        <v>4.0538822910561535E-4</v>
      </c>
      <c r="E29" s="37">
        <f>'[1]功能-付费相关'!U29</f>
        <v>3.9613282872049695E-4</v>
      </c>
      <c r="F29" s="37">
        <f>'[1]功能-付费相关'!V29</f>
        <v>3.9668081576726939E-4</v>
      </c>
      <c r="G29" s="37">
        <f>'[1]功能-付费相关'!W29</f>
        <v>3.8508819478320249E-4</v>
      </c>
      <c r="H29" s="37">
        <f>'[1]功能-付费相关'!X29</f>
        <v>8.7598698687300349E-4</v>
      </c>
      <c r="I29" s="37">
        <f>'[1]功能-付费相关'!Y29</f>
        <v>8.7465986396551931E-4</v>
      </c>
      <c r="J29" s="37">
        <f>'[1]功能-付费相关'!Z29</f>
        <v>8.8088463519884878E-4</v>
      </c>
      <c r="K29" s="37">
        <f>'[1]功能-付费相关'!AA29</f>
        <v>9.5749441533241584E-4</v>
      </c>
      <c r="L29" s="37">
        <f>'[1]功能-付费相关'!AB29</f>
        <v>9.7235329944873384E-4</v>
      </c>
    </row>
    <row r="30" spans="2:12" x14ac:dyDescent="0.15">
      <c r="B30" s="36">
        <v>25</v>
      </c>
      <c r="C30" s="37">
        <f>'[1]功能-付费相关'!S30</f>
        <v>3.8902543170588234E-4</v>
      </c>
      <c r="D30" s="37">
        <f>'[1]功能-付费相关'!T30</f>
        <v>3.8321514702236158E-4</v>
      </c>
      <c r="E30" s="37">
        <f>'[1]功能-付费相关'!U30</f>
        <v>3.7168923645549616E-4</v>
      </c>
      <c r="F30" s="37">
        <f>'[1]功能-付费相关'!V30</f>
        <v>3.6885197568080021E-4</v>
      </c>
      <c r="G30" s="37">
        <f>'[1]功能-付费相关'!W30</f>
        <v>3.6326956921016961E-4</v>
      </c>
      <c r="H30" s="37">
        <f>'[1]功能-付费相关'!X30</f>
        <v>8.315469185885446E-4</v>
      </c>
      <c r="I30" s="37">
        <f>'[1]功能-付费相关'!Y30</f>
        <v>8.3021431669824263E-4</v>
      </c>
      <c r="J30" s="37">
        <f>'[1]功能-付费相关'!Z30</f>
        <v>8.2732347779848581E-4</v>
      </c>
      <c r="K30" s="37">
        <f>'[1]功能-付费相关'!AA30</f>
        <v>8.8521026281731044E-4</v>
      </c>
      <c r="L30" s="37">
        <f>'[1]功能-付费相关'!AB30</f>
        <v>9.2136785537835417E-4</v>
      </c>
    </row>
    <row r="31" spans="2:12" x14ac:dyDescent="0.15">
      <c r="B31" s="36">
        <v>26</v>
      </c>
      <c r="C31" s="37">
        <f>'[1]功能-付费相关'!S31</f>
        <v>3.6795184421407185E-4</v>
      </c>
      <c r="D31" s="37">
        <f>'[1]功能-付费相关'!T31</f>
        <v>3.6232899345622465E-4</v>
      </c>
      <c r="E31" s="37">
        <f>'[1]功能-付费相关'!U31</f>
        <v>3.5139545460151779E-4</v>
      </c>
      <c r="F31" s="37">
        <f>'[1]功能-付费相关'!V31</f>
        <v>3.4295402456489734E-4</v>
      </c>
      <c r="G31" s="37">
        <f>'[1]功能-付费相关'!W31</f>
        <v>3.4271889916179672E-4</v>
      </c>
      <c r="H31" s="37">
        <f>'[1]功能-付费相关'!X31</f>
        <v>7.8968754306310497E-4</v>
      </c>
      <c r="I31" s="37">
        <f>'[1]功能-付费相关'!Y31</f>
        <v>7.8835137224341943E-4</v>
      </c>
      <c r="J31" s="37">
        <f>'[1]功能-付费相关'!Z31</f>
        <v>7.8546250976140584E-4</v>
      </c>
      <c r="K31" s="37">
        <f>'[1]功能-付费相关'!AA31</f>
        <v>8.1841291854905986E-4</v>
      </c>
      <c r="L31" s="37">
        <f>'[1]功能-付费相关'!AB31</f>
        <v>8.7330236667999069E-4</v>
      </c>
    </row>
    <row r="32" spans="2:12" x14ac:dyDescent="0.15">
      <c r="B32" s="36">
        <v>27</v>
      </c>
      <c r="C32" s="37">
        <f>'[1]功能-付费相关'!S32</f>
        <v>3.4814713322529883E-4</v>
      </c>
      <c r="D32" s="37">
        <f>'[1]功能-付费相关'!T32</f>
        <v>3.4263619018700607E-4</v>
      </c>
      <c r="E32" s="37">
        <f>'[1]功能-付费相关'!U32</f>
        <v>3.3225924544931382E-4</v>
      </c>
      <c r="F32" s="37">
        <f>'[1]功能-付费相关'!V32</f>
        <v>3.1867037818863466E-4</v>
      </c>
      <c r="G32" s="37">
        <f>'[1]功能-付费相关'!W32</f>
        <v>3.2332644909446591E-4</v>
      </c>
      <c r="H32" s="37">
        <f>'[1]功能-付费相关'!X32</f>
        <v>7.5022911916469627E-4</v>
      </c>
      <c r="I32" s="37">
        <f>'[1]功能-付费相关'!Y32</f>
        <v>7.4888852664503928E-4</v>
      </c>
      <c r="J32" s="37">
        <f>'[1]功能-付费相关'!Z32</f>
        <v>7.4600091883145984E-4</v>
      </c>
      <c r="K32" s="37">
        <f>'[1]功能-付费相关'!AA32</f>
        <v>7.5603561704669755E-4</v>
      </c>
      <c r="L32" s="37">
        <f>'[1]功能-付费相关'!AB32</f>
        <v>8.2793258517911217E-4</v>
      </c>
    </row>
    <row r="33" spans="2:12" x14ac:dyDescent="0.15">
      <c r="B33" s="36">
        <v>28</v>
      </c>
      <c r="C33" s="37">
        <f>'[1]功能-付费相关'!S33</f>
        <v>3.294582489301691E-4</v>
      </c>
      <c r="D33" s="37">
        <f>'[1]功能-付费相关'!T33</f>
        <v>3.241440494073086E-4</v>
      </c>
      <c r="E33" s="37">
        <f>'[1]功能-付费相关'!U33</f>
        <v>3.1468643573396784E-4</v>
      </c>
      <c r="F33" s="37">
        <f>'[1]功能-付费相关'!V33</f>
        <v>2.9611479734276E-4</v>
      </c>
      <c r="G33" s="37">
        <f>'[1]功能-付费相关'!W33</f>
        <v>3.0539121224907505E-4</v>
      </c>
      <c r="H33" s="37">
        <f>'[1]功能-付费相关'!X33</f>
        <v>7.1300689637820666E-4</v>
      </c>
      <c r="I33" s="37">
        <f>'[1]功能-付费相关'!Y33</f>
        <v>7.1169124910045638E-4</v>
      </c>
      <c r="J33" s="37">
        <f>'[1]功能-付费相关'!Z33</f>
        <v>7.0880096375534527E-4</v>
      </c>
      <c r="K33" s="37">
        <f>'[1]功能-付费相关'!AA33</f>
        <v>6.9842572672535732E-4</v>
      </c>
      <c r="L33" s="37">
        <f>'[1]功能-付费相关'!AB33</f>
        <v>7.8547071917430922E-4</v>
      </c>
    </row>
    <row r="34" spans="2:12" x14ac:dyDescent="0.15">
      <c r="B34" s="36">
        <v>29</v>
      </c>
      <c r="C34" s="37">
        <f>'[1]功能-付费相关'!S34</f>
        <v>3.1229463908189267E-4</v>
      </c>
      <c r="D34" s="37">
        <f>'[1]功能-付费相关'!T34</f>
        <v>3.0698990671666895E-4</v>
      </c>
      <c r="E34" s="37">
        <f>'[1]功能-付费相关'!U34</f>
        <v>2.9824256048041668E-4</v>
      </c>
      <c r="F34" s="37">
        <f>'[1]功能-付费相关'!V34</f>
        <v>2.8017779090957741E-4</v>
      </c>
      <c r="G34" s="37">
        <f>'[1]功能-付费相关'!W34</f>
        <v>2.8852279707255725E-4</v>
      </c>
      <c r="H34" s="37">
        <f>'[1]功能-付费相关'!X34</f>
        <v>6.7802420782625051E-4</v>
      </c>
      <c r="I34" s="37">
        <f>'[1]功能-付费相关'!Y34</f>
        <v>6.7665766613178059E-4</v>
      </c>
      <c r="J34" s="37">
        <f>'[1]功能-付费相关'!Z34</f>
        <v>6.7367496806675726E-4</v>
      </c>
      <c r="K34" s="37">
        <f>'[1]功能-付费相关'!AA34</f>
        <v>6.6326205964096043E-4</v>
      </c>
      <c r="L34" s="37">
        <f>'[1]功能-付费相关'!AB34</f>
        <v>7.4534653253839807E-4</v>
      </c>
    </row>
    <row r="35" spans="2:12" x14ac:dyDescent="0.15">
      <c r="B35" s="36">
        <v>30</v>
      </c>
      <c r="C35" s="37">
        <f>'[1]功能-付费相关'!S35</f>
        <v>2.9611086413334846E-4</v>
      </c>
      <c r="D35" s="37">
        <f>'[1]功能-付费相关'!T35</f>
        <v>2.909383090896873E-4</v>
      </c>
      <c r="E35" s="37">
        <f>'[1]功能-付费相关'!U35</f>
        <v>2.8272768762665514E-4</v>
      </c>
      <c r="F35" s="37">
        <f>'[1]功能-付费相关'!V35</f>
        <v>2.652812190365431E-4</v>
      </c>
      <c r="G35" s="37">
        <f>'[1]功能-付费相关'!W35</f>
        <v>2.7148533556407779E-4</v>
      </c>
      <c r="H35" s="37">
        <f>'[1]功能-付费相关'!X35</f>
        <v>6.4499474251041911E-4</v>
      </c>
      <c r="I35" s="37">
        <f>'[1]功能-付费相关'!Y35</f>
        <v>6.4356740028656502E-4</v>
      </c>
      <c r="J35" s="37">
        <f>'[1]功能-付费相关'!Z35</f>
        <v>6.4050995380406485E-4</v>
      </c>
      <c r="K35" s="37">
        <f>'[1]功能-付费相关'!AA35</f>
        <v>6.3010595228748482E-4</v>
      </c>
      <c r="L35" s="37">
        <f>'[1]功能-付费相关'!AB35</f>
        <v>7.0215536597460629E-4</v>
      </c>
    </row>
    <row r="36" spans="2:12" x14ac:dyDescent="0.15">
      <c r="B36" s="36">
        <v>31</v>
      </c>
      <c r="C36" s="37">
        <f>'[1]功能-付费相关'!S36</f>
        <v>2.7808819010416419E-4</v>
      </c>
      <c r="D36" s="37">
        <f>'[1]功能-付费相关'!T36</f>
        <v>2.730772490476255E-4</v>
      </c>
      <c r="E36" s="37">
        <f>'[1]功能-付费相关'!U36</f>
        <v>2.654510561445276E-4</v>
      </c>
      <c r="F36" s="37">
        <f>'[1]功能-付费相关'!V36</f>
        <v>2.4879140310981462E-4</v>
      </c>
      <c r="G36" s="37">
        <f>'[1]功能-付费相关'!W36</f>
        <v>2.5081578025334998E-4</v>
      </c>
      <c r="H36" s="37">
        <f>'[1]功能-付费相关'!X36</f>
        <v>6.0690778475788461E-4</v>
      </c>
      <c r="I36" s="37">
        <f>'[1]功能-付费相关'!Y36</f>
        <v>6.0543195672544412E-4</v>
      </c>
      <c r="J36" s="37">
        <f>'[1]功能-付费相关'!Z36</f>
        <v>6.0233490071571311E-4</v>
      </c>
      <c r="K36" s="37">
        <f>'[1]功能-付费相关'!AA36</f>
        <v>5.9205304381594365E-4</v>
      </c>
      <c r="L36" s="37">
        <f>'[1]功能-付费相关'!AB36</f>
        <v>6.4488358669018912E-4</v>
      </c>
    </row>
    <row r="37" spans="2:12" x14ac:dyDescent="0.15">
      <c r="B37" s="36">
        <v>32</v>
      </c>
      <c r="C37" s="37">
        <f>'[1]功能-付费相关'!S37</f>
        <v>2.6132314087669209E-4</v>
      </c>
      <c r="D37" s="37">
        <f>'[1]功能-付费相关'!T37</f>
        <v>2.5647040472175374E-4</v>
      </c>
      <c r="E37" s="37">
        <f>'[1]功能-付费相关'!U37</f>
        <v>2.4938361718994867E-4</v>
      </c>
      <c r="F37" s="37">
        <f>'[1]功能-付费相关'!V37</f>
        <v>2.3343191933400796E-4</v>
      </c>
      <c r="G37" s="37">
        <f>'[1]功能-付费相关'!W37</f>
        <v>2.3190810872938792E-4</v>
      </c>
      <c r="H37" s="37">
        <f>'[1]功能-付费相关'!X37</f>
        <v>5.7155640585461627E-4</v>
      </c>
      <c r="I37" s="37">
        <f>'[1]功能-付费相关'!Y37</f>
        <v>5.7003708598976882E-4</v>
      </c>
      <c r="J37" s="37">
        <f>'[1]功能-付费相关'!Z37</f>
        <v>5.6690731876041548E-4</v>
      </c>
      <c r="K37" s="37">
        <f>'[1]功能-付费相关'!AA37</f>
        <v>5.5671082438239728E-4</v>
      </c>
      <c r="L37" s="37">
        <f>'[1]功能-付费相关'!AB37</f>
        <v>5.9243889583046995E-4</v>
      </c>
    </row>
    <row r="38" spans="2:12" x14ac:dyDescent="0.15">
      <c r="B38" s="36">
        <v>33</v>
      </c>
      <c r="C38" s="37">
        <f>'[1]功能-付费相关'!S38</f>
        <v>2.4580054621055911E-4</v>
      </c>
      <c r="D38" s="37">
        <f>'[1]功能-付费相关'!T38</f>
        <v>2.4124366815786902E-4</v>
      </c>
      <c r="E38" s="37">
        <f>'[1]功能-付费相关'!U38</f>
        <v>2.3443628141979735E-4</v>
      </c>
      <c r="F38" s="37">
        <f>'[1]功能-付费相关'!V38</f>
        <v>2.1913539319095093E-4</v>
      </c>
      <c r="G38" s="37">
        <f>'[1]功能-付费相关'!W38</f>
        <v>2.1448745369053018E-4</v>
      </c>
      <c r="H38" s="37">
        <f>'[1]功能-付费相关'!X38</f>
        <v>5.3869381863448282E-4</v>
      </c>
      <c r="I38" s="37">
        <f>'[1]功能-付费相关'!Y38</f>
        <v>5.3714704618201381E-4</v>
      </c>
      <c r="J38" s="37">
        <f>'[1]功能-付费相关'!Z38</f>
        <v>5.3398362253502204E-4</v>
      </c>
      <c r="K38" s="37">
        <f>'[1]功能-付费相关'!AA38</f>
        <v>5.2386329527132004E-4</v>
      </c>
      <c r="L38" s="37">
        <f>'[1]功能-付费相关'!AB38</f>
        <v>5.4428279547183152E-4</v>
      </c>
    </row>
    <row r="39" spans="2:12" x14ac:dyDescent="0.15">
      <c r="B39" s="36">
        <v>34</v>
      </c>
      <c r="C39" s="37">
        <f>'[1]功能-付费相关'!S39</f>
        <v>2.3136608218387396E-4</v>
      </c>
      <c r="D39" s="37">
        <f>'[1]功能-付费相关'!T39</f>
        <v>2.2718912850347588E-4</v>
      </c>
      <c r="E39" s="37">
        <f>'[1]功能-付费相关'!U39</f>
        <v>2.2051291381814902E-4</v>
      </c>
      <c r="F39" s="37">
        <f>'[1]功能-付费相关'!V39</f>
        <v>2.0577326161944569E-4</v>
      </c>
      <c r="G39" s="37">
        <f>'[1]功能-付费相关'!W39</f>
        <v>1.9823154672484714E-4</v>
      </c>
      <c r="H39" s="37">
        <f>'[1]功能-付费相关'!X39</f>
        <v>5.0810071676043924E-4</v>
      </c>
      <c r="I39" s="37">
        <f>'[1]功能-付费相关'!Y39</f>
        <v>5.0651149904568777E-4</v>
      </c>
      <c r="J39" s="37">
        <f>'[1]功能-付费相关'!Z39</f>
        <v>5.0329189629736836E-4</v>
      </c>
      <c r="K39" s="37">
        <f>'[1]功能-付费相关'!AA39</f>
        <v>4.9324834763163133E-4</v>
      </c>
      <c r="L39" s="37">
        <f>'[1]功能-付费相关'!AB39</f>
        <v>4.9948929098649183E-4</v>
      </c>
    </row>
    <row r="40" spans="2:12" x14ac:dyDescent="0.15">
      <c r="B40" s="36">
        <v>35</v>
      </c>
      <c r="C40" s="37">
        <f>'[1]功能-付费相关'!S40</f>
        <v>2.1794839880856393E-4</v>
      </c>
      <c r="D40" s="37">
        <f>'[1]功能-付费相关'!T40</f>
        <v>2.1418632738829911E-4</v>
      </c>
      <c r="E40" s="37">
        <f>'[1]功能-付费相关'!U40</f>
        <v>2.0773885276981972E-4</v>
      </c>
      <c r="F40" s="37">
        <f>'[1]功能-付费相关'!V40</f>
        <v>1.933779186830243E-4</v>
      </c>
      <c r="G40" s="37">
        <f>'[1]功能-付费相关'!W40</f>
        <v>1.8365008653849869E-4</v>
      </c>
      <c r="H40" s="37">
        <f>'[1]功能-付费相关'!X40</f>
        <v>4.7960613750594341E-4</v>
      </c>
      <c r="I40" s="37">
        <f>'[1]功能-付费相关'!Y40</f>
        <v>4.7803457287779751E-4</v>
      </c>
      <c r="J40" s="37">
        <f>'[1]功能-付费相关'!Z40</f>
        <v>4.7483343938866263E-4</v>
      </c>
      <c r="K40" s="37">
        <f>'[1]功能-付费相关'!AA40</f>
        <v>4.6478585934580703E-4</v>
      </c>
      <c r="L40" s="37">
        <f>'[1]功能-付费相关'!AB40</f>
        <v>4.5848117045339164E-4</v>
      </c>
    </row>
    <row r="41" spans="2:12" x14ac:dyDescent="0.15">
      <c r="B41" s="36">
        <v>36</v>
      </c>
      <c r="C41" s="37">
        <f>'[1]功能-付费相关'!S41</f>
        <v>2.0547727569563556E-4</v>
      </c>
      <c r="D41" s="37">
        <f>'[1]功能-付费相关'!T41</f>
        <v>2.0208050165883921E-4</v>
      </c>
      <c r="E41" s="37">
        <f>'[1]功能-付费相关'!U41</f>
        <v>1.9585066827900927E-4</v>
      </c>
      <c r="F41" s="37">
        <f>'[1]功能-付费相关'!V41</f>
        <v>1.8184475536587108E-4</v>
      </c>
      <c r="G41" s="37">
        <f>'[1]功能-付费相关'!W41</f>
        <v>1.7247774937021259E-4</v>
      </c>
      <c r="H41" s="37">
        <f>'[1]功能-付费相关'!X41</f>
        <v>4.530447777992472E-4</v>
      </c>
      <c r="I41" s="37">
        <f>'[1]功能-付费相关'!Y41</f>
        <v>4.5148479088019802E-4</v>
      </c>
      <c r="J41" s="37">
        <f>'[1]功能-付费相关'!Z41</f>
        <v>4.4832046801751628E-4</v>
      </c>
      <c r="K41" s="37">
        <f>'[1]功能-付费相关'!AA41</f>
        <v>4.3823463940419617E-4</v>
      </c>
      <c r="L41" s="37">
        <f>'[1]功能-付费相关'!AB41</f>
        <v>4.2973590717036426E-4</v>
      </c>
    </row>
    <row r="42" spans="2:12" x14ac:dyDescent="0.15">
      <c r="B42" s="36">
        <v>37</v>
      </c>
      <c r="C42" s="37">
        <f>'[1]功能-付费相关'!S42</f>
        <v>1.9393092172617974E-4</v>
      </c>
      <c r="D42" s="37">
        <f>'[1]功能-付费相关'!T42</f>
        <v>1.9074761520933783E-4</v>
      </c>
      <c r="E42" s="37">
        <f>'[1]功能-付费相关'!U42</f>
        <v>1.8472345753052616E-4</v>
      </c>
      <c r="F42" s="37">
        <f>'[1]功能-付费相关'!V42</f>
        <v>1.7108865795621069E-4</v>
      </c>
      <c r="G42" s="37">
        <f>'[1]功能-付费相关'!W42</f>
        <v>1.6255027962051963E-4</v>
      </c>
      <c r="H42" s="37">
        <f>'[1]功能-付费相关'!X42</f>
        <v>4.2822335667218428E-4</v>
      </c>
      <c r="I42" s="37">
        <f>'[1]功能-付费相关'!Y42</f>
        <v>4.2668019820733707E-4</v>
      </c>
      <c r="J42" s="37">
        <f>'[1]功能-付费相关'!Z42</f>
        <v>4.2354071054285315E-4</v>
      </c>
      <c r="K42" s="37">
        <f>'[1]功能-付费相关'!AA42</f>
        <v>4.1344071771997736E-4</v>
      </c>
      <c r="L42" s="37">
        <f>'[1]功能-付费相关'!AB42</f>
        <v>4.0507509454999063E-4</v>
      </c>
    </row>
    <row r="43" spans="2:12" x14ac:dyDescent="0.15">
      <c r="B43" s="36">
        <v>38</v>
      </c>
      <c r="C43" s="37">
        <f>'[1]功能-付费相关'!S43</f>
        <v>1.8323391499428535E-4</v>
      </c>
      <c r="D43" s="37">
        <f>'[1]功能-付费相关'!T43</f>
        <v>1.8012605453317468E-4</v>
      </c>
      <c r="E43" s="37">
        <f>'[1]功能-付费相关'!U43</f>
        <v>1.7430094640854098E-4</v>
      </c>
      <c r="F43" s="37">
        <f>'[1]功能-付费相关'!V43</f>
        <v>1.6100427202069982E-4</v>
      </c>
      <c r="G43" s="37">
        <f>'[1]功能-付费相关'!W43</f>
        <v>1.5315849320114502E-4</v>
      </c>
      <c r="H43" s="37">
        <f>'[1]功能-付费相关'!X43</f>
        <v>4.0500120828406382E-4</v>
      </c>
      <c r="I43" s="37">
        <f>'[1]功能-付费相关'!Y43</f>
        <v>4.0347360914294171E-4</v>
      </c>
      <c r="J43" s="37">
        <f>'[1]功能-付费相关'!Z43</f>
        <v>4.0036811314901599E-4</v>
      </c>
      <c r="K43" s="37">
        <f>'[1]功能-付费相关'!AA43</f>
        <v>3.9022787163332947E-4</v>
      </c>
      <c r="L43" s="37">
        <f>'[1]功能-付费相关'!AB43</f>
        <v>3.8203013565482808E-4</v>
      </c>
    </row>
    <row r="44" spans="2:12" x14ac:dyDescent="0.15">
      <c r="B44" s="36">
        <v>39</v>
      </c>
      <c r="C44" s="37">
        <f>'[1]功能-付费相关'!S44</f>
        <v>1.7319454280826155E-4</v>
      </c>
      <c r="D44" s="37">
        <f>'[1]功能-付费相关'!T44</f>
        <v>1.7016257119256421E-4</v>
      </c>
      <c r="E44" s="37">
        <f>'[1]功能-付费相关'!U44</f>
        <v>1.6452125336808253E-4</v>
      </c>
      <c r="F44" s="37">
        <f>'[1]功能-付费相关'!V44</f>
        <v>1.5157559050547317E-4</v>
      </c>
      <c r="G44" s="37">
        <f>'[1]功能-付费相关'!W44</f>
        <v>1.4432146999852173E-4</v>
      </c>
      <c r="H44" s="37">
        <f>'[1]功能-付费相关'!X44</f>
        <v>3.832515541964159E-4</v>
      </c>
      <c r="I44" s="37">
        <f>'[1]功能-付费相关'!Y44</f>
        <v>3.8174210763862741E-4</v>
      </c>
      <c r="J44" s="37">
        <f>'[1]功能-付费相关'!Z44</f>
        <v>3.7866185493151818E-4</v>
      </c>
      <c r="K44" s="37">
        <f>'[1]功能-付费相关'!AA44</f>
        <v>3.6845229296422684E-4</v>
      </c>
      <c r="L44" s="37">
        <f>'[1]功能-付费相关'!AB44</f>
        <v>3.603921646684441E-4</v>
      </c>
    </row>
    <row r="45" spans="2:12" x14ac:dyDescent="0.15">
      <c r="B45" s="36">
        <v>40</v>
      </c>
      <c r="C45" s="37">
        <f>'[1]功能-付费相关'!S45</f>
        <v>1.6376471647587673E-4</v>
      </c>
      <c r="D45" s="37">
        <f>'[1]功能-付费相关'!T45</f>
        <v>1.6083279960931341E-4</v>
      </c>
      <c r="E45" s="37">
        <f>'[1]功能-付费相关'!U45</f>
        <v>1.5532347911031258E-4</v>
      </c>
      <c r="F45" s="37">
        <f>'[1]功能-付费相关'!V45</f>
        <v>1.4285501863059075E-4</v>
      </c>
      <c r="G45" s="37">
        <f>'[1]功能-付费相关'!W45</f>
        <v>1.360232334272265E-4</v>
      </c>
      <c r="H45" s="37">
        <f>'[1]功能-付费相关'!X45</f>
        <v>3.628598601579608E-4</v>
      </c>
      <c r="I45" s="37">
        <f>'[1]功能-付费相关'!Y45</f>
        <v>3.6137362865307937E-4</v>
      </c>
      <c r="J45" s="37">
        <f>'[1]功能-付费相关'!Z45</f>
        <v>3.5830057803451569E-4</v>
      </c>
      <c r="K45" s="37">
        <f>'[1]功能-付费相关'!AA45</f>
        <v>3.4813732432490617E-4</v>
      </c>
      <c r="L45" s="37">
        <f>'[1]功能-付费相关'!AB45</f>
        <v>3.4008261086301557E-4</v>
      </c>
    </row>
    <row r="46" spans="2:12" x14ac:dyDescent="0.15">
      <c r="B46" s="36">
        <v>41</v>
      </c>
      <c r="C46" s="37">
        <f>'[1]功能-付费相关'!S46</f>
        <v>1.5490527127613781E-4</v>
      </c>
      <c r="D46" s="37">
        <f>'[1]功能-付费相关'!T46</f>
        <v>1.5208886576585485E-4</v>
      </c>
      <c r="E46" s="37">
        <f>'[1]功能-付费相关'!U46</f>
        <v>1.4672826324406424E-4</v>
      </c>
      <c r="F46" s="37">
        <f>'[1]功能-付费相关'!V46</f>
        <v>1.3471533473833204E-4</v>
      </c>
      <c r="G46" s="37">
        <f>'[1]功能-付费相关'!W46</f>
        <v>1.2826950856783485E-4</v>
      </c>
      <c r="H46" s="37">
        <f>'[1]功能-付费相关'!X46</f>
        <v>3.4372965470894215E-4</v>
      </c>
      <c r="I46" s="37">
        <f>'[1]功能-付费相关'!Y46</f>
        <v>3.4225739273525502E-4</v>
      </c>
      <c r="J46" s="37">
        <f>'[1]功能-付费相关'!Z46</f>
        <v>3.3918786212471896E-4</v>
      </c>
      <c r="K46" s="37">
        <f>'[1]功能-付费相关'!AA46</f>
        <v>3.2907529694673377E-4</v>
      </c>
      <c r="L46" s="37">
        <f>'[1]功能-付费相关'!AB46</f>
        <v>3.2097580161912143E-4</v>
      </c>
    </row>
    <row r="47" spans="2:12" x14ac:dyDescent="0.15">
      <c r="B47" s="36">
        <v>42</v>
      </c>
      <c r="C47" s="37">
        <f>'[1]功能-付费相关'!S47</f>
        <v>1.4657087002580932E-4</v>
      </c>
      <c r="D47" s="37">
        <f>'[1]功能-付费相关'!T47</f>
        <v>1.4383555301271533E-4</v>
      </c>
      <c r="E47" s="37">
        <f>'[1]功能-付费相关'!U47</f>
        <v>1.3866148552329707E-4</v>
      </c>
      <c r="F47" s="37">
        <f>'[1]功能-付费相关'!V47</f>
        <v>1.2733130982576309E-4</v>
      </c>
      <c r="G47" s="37">
        <f>'[1]功能-付费相关'!W47</f>
        <v>1.2095843259764385E-4</v>
      </c>
      <c r="H47" s="37">
        <f>'[1]功能-付费相关'!X47</f>
        <v>3.2575932125878196E-4</v>
      </c>
      <c r="I47" s="37">
        <f>'[1]功能-付费相关'!Y47</f>
        <v>3.2428515699104549E-4</v>
      </c>
      <c r="J47" s="37">
        <f>'[1]功能-付费相关'!Z47</f>
        <v>3.2121413009389784E-4</v>
      </c>
      <c r="K47" s="37">
        <f>'[1]功能-付费相关'!AA47</f>
        <v>3.1112838334246111E-4</v>
      </c>
      <c r="L47" s="37">
        <f>'[1]功能-付费相关'!AB47</f>
        <v>3.0300535235907179E-4</v>
      </c>
    </row>
    <row r="48" spans="2:12" x14ac:dyDescent="0.15">
      <c r="B48" s="36">
        <v>43</v>
      </c>
      <c r="C48" s="37">
        <f>'[1]功能-付费相关'!S48</f>
        <v>1.3871267678000206E-4</v>
      </c>
      <c r="D48" s="37">
        <f>'[1]功能-付费相关'!T48</f>
        <v>1.3608153686313289E-4</v>
      </c>
      <c r="E48" s="37">
        <f>'[1]功能-付费相关'!U48</f>
        <v>1.3109863476386667E-4</v>
      </c>
      <c r="F48" s="37">
        <f>'[1]功能-付费相关'!V48</f>
        <v>1.2040354413046254E-4</v>
      </c>
      <c r="G48" s="37">
        <f>'[1]功能-付费相关'!W48</f>
        <v>1.1414752871907044E-4</v>
      </c>
      <c r="H48" s="37">
        <f>'[1]功能-付费相关'!X48</f>
        <v>3.0886332039088628E-4</v>
      </c>
      <c r="I48" s="37">
        <f>'[1]功能-付费相关'!Y48</f>
        <v>3.0739939564610076E-4</v>
      </c>
      <c r="J48" s="37">
        <f>'[1]功能-付费相关'!Z48</f>
        <v>3.0432715156483676E-4</v>
      </c>
      <c r="K48" s="37">
        <f>'[1]功能-付费相关'!AA48</f>
        <v>2.9430614271586732E-4</v>
      </c>
      <c r="L48" s="37">
        <f>'[1]功能-付费相关'!AB48</f>
        <v>2.8623197447014061E-4</v>
      </c>
    </row>
    <row r="49" spans="2:12" x14ac:dyDescent="0.15">
      <c r="B49" s="36">
        <v>44</v>
      </c>
      <c r="C49" s="37">
        <f>'[1]功能-付费相关'!S49</f>
        <v>1.3132399787959368E-4</v>
      </c>
      <c r="D49" s="37">
        <f>'[1]功能-付费相关'!T49</f>
        <v>1.2877996533586244E-4</v>
      </c>
      <c r="E49" s="37">
        <f>'[1]功能-付费相关'!U49</f>
        <v>1.2401639042771792E-4</v>
      </c>
      <c r="F49" s="37">
        <f>'[1]功能-付费相关'!V49</f>
        <v>1.1386506254813148E-4</v>
      </c>
      <c r="G49" s="37">
        <f>'[1]功能-付费相关'!W49</f>
        <v>1.0779784599655293E-4</v>
      </c>
      <c r="H49" s="37">
        <f>'[1]功能-付费相关'!X49</f>
        <v>2.9296495849832709E-4</v>
      </c>
      <c r="I49" s="37">
        <f>'[1]功能-付费相关'!Y49</f>
        <v>2.9151985978951645E-4</v>
      </c>
      <c r="J49" s="37">
        <f>'[1]功能-付费相关'!Z49</f>
        <v>2.8847282409005673E-4</v>
      </c>
      <c r="K49" s="37">
        <f>'[1]功能-付费相关'!AA49</f>
        <v>2.7853603088805304E-4</v>
      </c>
      <c r="L49" s="37">
        <f>'[1]功能-付费相关'!AB49</f>
        <v>2.705386511254814E-4</v>
      </c>
    </row>
    <row r="50" spans="2:12" x14ac:dyDescent="0.15">
      <c r="B50" s="36">
        <v>45</v>
      </c>
      <c r="C50" s="37">
        <f>'[1]功能-付费相关'!S50</f>
        <v>1.1874409693642572E-4</v>
      </c>
      <c r="D50" s="37">
        <f>'[1]功能-付费相关'!T50</f>
        <v>1.1639452439548057E-4</v>
      </c>
      <c r="E50" s="37">
        <f>'[1]功能-付费相关'!U50</f>
        <v>1.1207301929218009E-4</v>
      </c>
      <c r="F50" s="37">
        <f>'[1]功能-付费相关'!V50</f>
        <v>1.0297614877377888E-4</v>
      </c>
      <c r="G50" s="37">
        <f>'[1]功能-付费相关'!W50</f>
        <v>9.7366129276184039E-5</v>
      </c>
      <c r="H50" s="37">
        <f>'[1]功能-付费相关'!X50</f>
        <v>2.7800638414401854E-4</v>
      </c>
      <c r="I50" s="37">
        <f>'[1]功能-付费相关'!Y50</f>
        <v>2.7657513752395109E-4</v>
      </c>
      <c r="J50" s="37">
        <f>'[1]功能-付费相关'!Z50</f>
        <v>2.7356734548828799E-4</v>
      </c>
      <c r="K50" s="37">
        <f>'[1]功能-付费相关'!AA50</f>
        <v>2.6366894240758518E-4</v>
      </c>
      <c r="L50" s="37">
        <f>'[1]功能-付费相关'!AB50</f>
        <v>2.5574139758083802E-4</v>
      </c>
    </row>
    <row r="51" spans="2:12" x14ac:dyDescent="0.15">
      <c r="B51" s="36">
        <v>46</v>
      </c>
      <c r="C51" s="37">
        <f>'[1]功能-付费相关'!S51</f>
        <v>1.1253214501954112E-4</v>
      </c>
      <c r="D51" s="37">
        <f>'[1]功能-付费相关'!T51</f>
        <v>1.1023516896177355E-4</v>
      </c>
      <c r="E51" s="37">
        <f>'[1]功能-付费相关'!U51</f>
        <v>1.0611263786626674E-4</v>
      </c>
      <c r="F51" s="37">
        <f>'[1]功能-付费相关'!V51</f>
        <v>9.7404094363353317E-5</v>
      </c>
      <c r="G51" s="37">
        <f>'[1]功能-付费相关'!W51</f>
        <v>9.2024014956406487E-5</v>
      </c>
      <c r="H51" s="37">
        <f>'[1]功能-付费相关'!X51</f>
        <v>2.6390750111780629E-4</v>
      </c>
      <c r="I51" s="37">
        <f>'[1]功能-付费相关'!Y51</f>
        <v>2.6249108197768452E-4</v>
      </c>
      <c r="J51" s="37">
        <f>'[1]功能-付费相关'!Z51</f>
        <v>2.5951822192943878E-4</v>
      </c>
      <c r="K51" s="37">
        <f>'[1]功能-付费相关'!AA51</f>
        <v>2.4965634367437619E-4</v>
      </c>
      <c r="L51" s="37">
        <f>'[1]功能-付费相关'!AB51</f>
        <v>2.4183933558673731E-4</v>
      </c>
    </row>
    <row r="52" spans="2:12" x14ac:dyDescent="0.15">
      <c r="B52" s="36">
        <v>47</v>
      </c>
      <c r="C52" s="37">
        <f>'[1]功能-付费相关'!S52</f>
        <v>1.0665993626331687E-4</v>
      </c>
      <c r="D52" s="37">
        <f>'[1]功能-付费相关'!T52</f>
        <v>1.0442031439537457E-4</v>
      </c>
      <c r="E52" s="37">
        <f>'[1]功能-付费相关'!U52</f>
        <v>1.004726956165581E-4</v>
      </c>
      <c r="F52" s="37">
        <f>'[1]功能-付费相关'!V52</f>
        <v>9.2164215844417162E-5</v>
      </c>
      <c r="G52" s="37">
        <f>'[1]功能-付费相关'!W52</f>
        <v>8.6999487843362818E-5</v>
      </c>
      <c r="H52" s="37">
        <f>'[1]功能-付费相关'!X52</f>
        <v>2.5060880005161755E-4</v>
      </c>
      <c r="I52" s="37">
        <f>'[1]功能-付费相关'!Y52</f>
        <v>2.4920469933326626E-4</v>
      </c>
      <c r="J52" s="37">
        <f>'[1]功能-付费相关'!Z52</f>
        <v>2.4626149497243967E-4</v>
      </c>
      <c r="K52" s="37">
        <f>'[1]功能-付费相关'!AA52</f>
        <v>2.364325584451088E-4</v>
      </c>
      <c r="L52" s="37">
        <f>'[1]功能-付费相关'!AB52</f>
        <v>2.2871375233909721E-4</v>
      </c>
    </row>
    <row r="53" spans="2:12" x14ac:dyDescent="0.15">
      <c r="B53" s="36">
        <v>48</v>
      </c>
      <c r="C53" s="37">
        <f>'[1]功能-付费相关'!S53</f>
        <v>1.0110496619393069E-4</v>
      </c>
      <c r="D53" s="37">
        <f>'[1]功能-付费相关'!T53</f>
        <v>9.8970372852089206E-5</v>
      </c>
      <c r="E53" s="37">
        <f>'[1]功能-付费相关'!U53</f>
        <v>9.513755876294449E-5</v>
      </c>
      <c r="F53" s="37">
        <f>'[1]功能-付费相关'!V53</f>
        <v>8.7248689623813637E-5</v>
      </c>
      <c r="G53" s="37">
        <f>'[1]功能-付费相关'!W53</f>
        <v>8.2255844062415628E-5</v>
      </c>
      <c r="H53" s="37">
        <f>'[1]功能-付费相关'!X53</f>
        <v>2.3805569363461614E-4</v>
      </c>
      <c r="I53" s="37">
        <f>'[1]功能-付费相关'!Y53</f>
        <v>2.3666662864112363E-4</v>
      </c>
      <c r="J53" s="37">
        <f>'[1]功能-付费相关'!Z53</f>
        <v>2.3374285824536185E-4</v>
      </c>
      <c r="K53" s="37">
        <f>'[1]功能-付费相关'!AA53</f>
        <v>2.2398116133019608E-4</v>
      </c>
      <c r="L53" s="37">
        <f>'[1]功能-付费相关'!AB53</f>
        <v>2.1615377517139034E-4</v>
      </c>
    </row>
    <row r="54" spans="2:12" x14ac:dyDescent="0.15">
      <c r="B54" s="36">
        <v>49</v>
      </c>
      <c r="C54" s="37">
        <f>'[1]功能-付费相关'!S54</f>
        <v>9.5848724693391743E-5</v>
      </c>
      <c r="D54" s="37">
        <f>'[1]功能-付费相关'!T54</f>
        <v>9.3829718000863936E-5</v>
      </c>
      <c r="E54" s="37">
        <f>'[1]功能-付费相关'!U54</f>
        <v>9.0109335172636201E-5</v>
      </c>
      <c r="F54" s="37">
        <f>'[1]功能-付费相关'!V54</f>
        <v>8.261626513327655E-5</v>
      </c>
      <c r="G54" s="37">
        <f>'[1]功能-付费相关'!W54</f>
        <v>7.7688541451482587E-5</v>
      </c>
      <c r="H54" s="37">
        <f>'[1]功能-付费相关'!X54</f>
        <v>2.2619803332923834E-4</v>
      </c>
      <c r="I54" s="37">
        <f>'[1]功能-付费相关'!Y54</f>
        <v>2.2481660975197721E-4</v>
      </c>
      <c r="J54" s="37">
        <f>'[1]功能-付费相关'!Z54</f>
        <v>2.2192801980824137E-4</v>
      </c>
      <c r="K54" s="37">
        <f>'[1]功能-付费相关'!AA54</f>
        <v>2.1224288049424692E-4</v>
      </c>
      <c r="L54" s="37">
        <f>'[1]功能-付费相关'!AB54</f>
        <v>2.0345091210336437E-4</v>
      </c>
    </row>
    <row r="55" spans="2:12" x14ac:dyDescent="0.15">
      <c r="B55" s="36">
        <v>50</v>
      </c>
      <c r="C55" s="37">
        <f>'[1]功能-付费相关'!S55</f>
        <v>9.0865587770739366E-5</v>
      </c>
      <c r="D55" s="37">
        <f>'[1]功能-付费相关'!T55</f>
        <v>8.8969899519676486E-5</v>
      </c>
      <c r="E55" s="37">
        <f>'[1]功能-付费相关'!U55</f>
        <v>8.5375655325560379E-5</v>
      </c>
      <c r="F55" s="37">
        <f>'[1]功能-付费相关'!V55</f>
        <v>7.8254910665465901E-5</v>
      </c>
      <c r="G55" s="37">
        <f>'[1]功能-付费相关'!W55</f>
        <v>7.354224884604965E-5</v>
      </c>
      <c r="H55" s="37">
        <f>'[1]功能-付费相关'!X55</f>
        <v>2.1498850568311604E-4</v>
      </c>
      <c r="I55" s="37">
        <f>'[1]功能-付费相关'!Y55</f>
        <v>2.1361633641766157E-4</v>
      </c>
      <c r="J55" s="37">
        <f>'[1]功能-付费相关'!Z55</f>
        <v>2.1077224568089538E-4</v>
      </c>
      <c r="K55" s="37">
        <f>'[1]功能-付费相关'!AA55</f>
        <v>2.0118721468834514E-4</v>
      </c>
      <c r="L55" s="37">
        <f>'[1]功能-付费相关'!AB55</f>
        <v>1.915126466610406E-4</v>
      </c>
    </row>
    <row r="56" spans="2:12" x14ac:dyDescent="0.15">
      <c r="B56" s="36">
        <v>51</v>
      </c>
      <c r="C56" s="37">
        <f>'[1]功能-付费相关'!S56</f>
        <v>8.6165540687708377E-5</v>
      </c>
      <c r="D56" s="37">
        <f>'[1]功能-付费相关'!T56</f>
        <v>8.4382389038030773E-5</v>
      </c>
      <c r="E56" s="37">
        <f>'[1]功能-付费相关'!U56</f>
        <v>8.0897918769664998E-5</v>
      </c>
      <c r="F56" s="37">
        <f>'[1]功能-付费相关'!V56</f>
        <v>7.4131396737096665E-5</v>
      </c>
      <c r="G56" s="37">
        <f>'[1]功能-付费相关'!W56</f>
        <v>6.9637699795601577E-5</v>
      </c>
      <c r="H56" s="37">
        <f>'[1]功能-付费相关'!X56</f>
        <v>2.0438445309461697E-4</v>
      </c>
      <c r="I56" s="37">
        <f>'[1]功能-付费相关'!Y56</f>
        <v>2.0304408269577602E-4</v>
      </c>
      <c r="J56" s="37">
        <f>'[1]功能-付费相关'!Z56</f>
        <v>2.0022515069584E-4</v>
      </c>
      <c r="K56" s="37">
        <f>'[1]功能-付费相关'!AA56</f>
        <v>1.9072055704167656E-4</v>
      </c>
      <c r="L56" s="37">
        <f>'[1]功能-付费相关'!AB56</f>
        <v>1.8031152987384619E-4</v>
      </c>
    </row>
    <row r="57" spans="2:12" x14ac:dyDescent="0.15">
      <c r="B57" s="36">
        <v>52</v>
      </c>
      <c r="C57" s="37">
        <f>'[1]功能-付费相关'!S57</f>
        <v>8.1738609933506854E-5</v>
      </c>
      <c r="D57" s="37">
        <f>'[1]功能-付费相关'!T57</f>
        <v>8.0012458569923671E-5</v>
      </c>
      <c r="E57" s="37">
        <f>'[1]功能-付费相关'!U57</f>
        <v>7.6627233738003721E-5</v>
      </c>
      <c r="F57" s="37">
        <f>'[1]功能-付费相关'!V57</f>
        <v>7.0210748297389866E-5</v>
      </c>
      <c r="G57" s="37">
        <f>'[1]功能-付费相关'!W57</f>
        <v>6.592506337088233E-5</v>
      </c>
      <c r="H57" s="37">
        <f>'[1]功能-付费相关'!X57</f>
        <v>1.9434807353450274E-4</v>
      </c>
      <c r="I57" s="37">
        <f>'[1]功能-付费相关'!Y57</f>
        <v>1.9301328375193405E-4</v>
      </c>
      <c r="J57" s="37">
        <f>'[1]功能-付费相关'!Z57</f>
        <v>1.9020116673867167E-4</v>
      </c>
      <c r="K57" s="37">
        <f>'[1]功能-付费相关'!AA57</f>
        <v>1.8076831116327875E-4</v>
      </c>
      <c r="L57" s="37">
        <f>'[1]功能-付费相关'!AB57</f>
        <v>1.6965330236857004E-4</v>
      </c>
    </row>
    <row r="58" spans="2:12" x14ac:dyDescent="0.15">
      <c r="B58" s="36">
        <v>53</v>
      </c>
      <c r="C58" s="37">
        <f>'[1]功能-付费相关'!S58</f>
        <v>7.7560864994299965E-5</v>
      </c>
      <c r="D58" s="37">
        <f>'[1]功能-付费相关'!T58</f>
        <v>7.5855309125610483E-5</v>
      </c>
      <c r="E58" s="37">
        <f>'[1]功能-付费相关'!U58</f>
        <v>7.2603110851714278E-5</v>
      </c>
      <c r="F58" s="37">
        <f>'[1]功能-付费相关'!V58</f>
        <v>6.650842361180474E-5</v>
      </c>
      <c r="G58" s="37">
        <f>'[1]功能-付费相关'!W58</f>
        <v>6.2667789311686325E-5</v>
      </c>
      <c r="H58" s="37">
        <f>'[1]功能-付费相关'!X58</f>
        <v>1.8484314239480183E-4</v>
      </c>
      <c r="I58" s="37">
        <f>'[1]功能-付费相关'!Y58</f>
        <v>1.835053058829264E-4</v>
      </c>
      <c r="J58" s="37">
        <f>'[1]功能-付费相关'!Z58</f>
        <v>1.8069895647786121E-4</v>
      </c>
      <c r="K58" s="37">
        <f>'[1]功能-付费相关'!AA58</f>
        <v>1.7137785818401892E-4</v>
      </c>
      <c r="L58" s="37">
        <f>'[1]功能-付费相关'!AB58</f>
        <v>1.5968397157188602E-4</v>
      </c>
    </row>
    <row r="59" spans="2:12" x14ac:dyDescent="0.15">
      <c r="B59" s="36">
        <v>54</v>
      </c>
      <c r="C59" s="37">
        <f>'[1]功能-付费相关'!S59</f>
        <v>7.3601899104425869E-5</v>
      </c>
      <c r="D59" s="37">
        <f>'[1]功能-付费相关'!T59</f>
        <v>7.1919422081438011E-5</v>
      </c>
      <c r="E59" s="37">
        <f>'[1]功能-付费相关'!U59</f>
        <v>6.8808896494534921E-5</v>
      </c>
      <c r="F59" s="37">
        <f>'[1]功能-付费相关'!V59</f>
        <v>6.3040092030512422E-5</v>
      </c>
      <c r="G59" s="37">
        <f>'[1]功能-付费相关'!W59</f>
        <v>5.9629667276920359E-5</v>
      </c>
      <c r="H59" s="37">
        <f>'[1]功能-付费相关'!X59</f>
        <v>1.3170643308605751E-4</v>
      </c>
      <c r="I59" s="37">
        <f>'[1]功能-付费相关'!Y59</f>
        <v>1.3045586980822796E-4</v>
      </c>
      <c r="J59" s="37">
        <f>'[1]功能-付费相关'!Z59</f>
        <v>1.278569718901531E-4</v>
      </c>
      <c r="K59" s="37">
        <f>'[1]功能-付费相关'!AA59</f>
        <v>1.2126514661300346E-4</v>
      </c>
      <c r="L59" s="37">
        <f>'[1]功能-付费相关'!AB59</f>
        <v>1.1278209575103458E-4</v>
      </c>
    </row>
    <row r="60" spans="2:12" x14ac:dyDescent="0.15">
      <c r="B60" s="36">
        <v>55</v>
      </c>
      <c r="C60" s="37">
        <f>'[1]功能-付费相关'!S60</f>
        <v>6.9854285118833097E-5</v>
      </c>
      <c r="D60" s="37">
        <f>'[1]功能-付费相关'!T60</f>
        <v>6.8209651177289428E-5</v>
      </c>
      <c r="E60" s="37">
        <f>'[1]功能-付费相关'!U60</f>
        <v>6.5349252099226152E-5</v>
      </c>
      <c r="F60" s="37">
        <f>'[1]功能-付费相关'!V60</f>
        <v>5.9764449909840726E-5</v>
      </c>
      <c r="G60" s="37">
        <f>'[1]功能-付费相关'!W60</f>
        <v>5.6746183692073524E-5</v>
      </c>
      <c r="H60" s="37">
        <f>'[1]功能-付费相关'!X60</f>
        <v>1.2547806726587708E-4</v>
      </c>
      <c r="I60" s="37">
        <f>'[1]功能-付费相关'!Y60</f>
        <v>1.2425377399446954E-4</v>
      </c>
      <c r="J60" s="37">
        <f>'[1]功能-付费相关'!Z60</f>
        <v>1.2172061331333972E-4</v>
      </c>
      <c r="K60" s="37">
        <f>'[1]功能-付费相关'!AA60</f>
        <v>1.152578936066376E-4</v>
      </c>
      <c r="L60" s="37">
        <f>'[1]功能-付费相关'!AB60</f>
        <v>1.0665210551446462E-4</v>
      </c>
    </row>
    <row r="61" spans="2:12" x14ac:dyDescent="0.15">
      <c r="B61" s="36">
        <v>56</v>
      </c>
      <c r="C61" s="37">
        <f>'[1]功能-付费相关'!S61</f>
        <v>6.6292515238719469E-5</v>
      </c>
      <c r="D61" s="37">
        <f>'[1]功能-付费相关'!T61</f>
        <v>6.469954763257595E-5</v>
      </c>
      <c r="E61" s="37">
        <f>'[1]功能-付费相关'!U61</f>
        <v>6.209402769683699E-5</v>
      </c>
      <c r="F61" s="37">
        <f>'[1]功能-付费相关'!V61</f>
        <v>5.6592292070755557E-5</v>
      </c>
      <c r="G61" s="37">
        <f>'[1]功能-付费相关'!W61</f>
        <v>5.4006993975941449E-5</v>
      </c>
      <c r="H61" s="37">
        <f>'[1]功能-付费相关'!X61</f>
        <v>1.1956716843100939E-4</v>
      </c>
      <c r="I61" s="37">
        <f>'[1]功能-付费相关'!Y61</f>
        <v>1.1836915658499439E-4</v>
      </c>
      <c r="J61" s="37">
        <f>'[1]功能-付费相关'!Z61</f>
        <v>1.1589116181895977E-4</v>
      </c>
      <c r="K61" s="37">
        <f>'[1]功能-付费相关'!AA61</f>
        <v>1.0918163359671093E-4</v>
      </c>
      <c r="L61" s="37">
        <f>'[1]功能-付费相关'!AB61</f>
        <v>1.0082710892050048E-4</v>
      </c>
    </row>
    <row r="62" spans="2:12" x14ac:dyDescent="0.15">
      <c r="B62" s="36">
        <v>57</v>
      </c>
      <c r="C62" s="37">
        <f>'[1]功能-付费相关'!S62</f>
        <v>6.2904686755844026E-5</v>
      </c>
      <c r="D62" s="37">
        <f>'[1]功能-付费相关'!T62</f>
        <v>6.1349857919484909E-5</v>
      </c>
      <c r="E62" s="37">
        <f>'[1]功能-付费相关'!U62</f>
        <v>5.8984074340987159E-5</v>
      </c>
      <c r="F62" s="37">
        <f>'[1]功能-付费相关'!V62</f>
        <v>5.3659049669834213E-5</v>
      </c>
      <c r="G62" s="37">
        <f>'[1]功能-付费相关'!W62</f>
        <v>5.1403314838623321E-5</v>
      </c>
      <c r="H62" s="37">
        <f>'[1]功能-付费相关'!X62</f>
        <v>1.1395249516260556E-4</v>
      </c>
      <c r="I62" s="37">
        <f>'[1]功能-付费相关'!Y62</f>
        <v>1.1277684019627962E-4</v>
      </c>
      <c r="J62" s="37">
        <f>'[1]功能-付费相关'!Z62</f>
        <v>1.1035209568211307E-4</v>
      </c>
      <c r="K62" s="37">
        <f>'[1]功能-付费相关'!AA62</f>
        <v>1.0340064528521134E-4</v>
      </c>
      <c r="L62" s="37">
        <f>'[1]功能-付费相关'!AB62</f>
        <v>9.5296909275028281E-5</v>
      </c>
    </row>
    <row r="63" spans="2:12" x14ac:dyDescent="0.15">
      <c r="B63" s="36">
        <v>58</v>
      </c>
      <c r="C63" s="37">
        <f>'[1]功能-付费相关'!S63</f>
        <v>5.409993769748626E-5</v>
      </c>
      <c r="D63" s="37">
        <f>'[1]功能-付费相关'!T63</f>
        <v>5.2800579363657136E-5</v>
      </c>
      <c r="E63" s="37">
        <f>'[1]功能-付费相关'!U63</f>
        <v>5.0834963772903262E-5</v>
      </c>
      <c r="F63" s="37">
        <f>'[1]功能-付费相关'!V63</f>
        <v>4.6418009417018524E-5</v>
      </c>
      <c r="G63" s="37">
        <f>'[1]功能-付费相关'!W63</f>
        <v>4.4550302511585713E-5</v>
      </c>
      <c r="H63" s="37">
        <f>'[1]功能-付费相关'!X63</f>
        <v>9.6674320021711242E-5</v>
      </c>
      <c r="I63" s="37">
        <f>'[1]功能-付费相关'!Y63</f>
        <v>9.5599145046095662E-5</v>
      </c>
      <c r="J63" s="37">
        <f>'[1]功能-付费相关'!Z63</f>
        <v>9.3393052547039438E-5</v>
      </c>
      <c r="K63" s="37">
        <f>'[1]功能-付费相关'!AA63</f>
        <v>8.7238481602173621E-5</v>
      </c>
      <c r="L63" s="37">
        <f>'[1]功能-付费相关'!AB63</f>
        <v>8.0586630916932892E-5</v>
      </c>
    </row>
    <row r="64" spans="2:12" x14ac:dyDescent="0.15">
      <c r="B64" s="36">
        <v>59</v>
      </c>
      <c r="C64" s="37">
        <f>'[1]功能-付费相关'!S64</f>
        <v>5.1379644930763772E-5</v>
      </c>
      <c r="D64" s="37">
        <f>'[1]功能-付费相关'!T64</f>
        <v>5.0126079496233483E-5</v>
      </c>
      <c r="E64" s="37">
        <f>'[1]功能-付费相关'!U64</f>
        <v>4.8288838479858925E-5</v>
      </c>
      <c r="F64" s="37">
        <f>'[1]功能-付费相关'!V64</f>
        <v>4.406332948579996E-5</v>
      </c>
      <c r="G64" s="37">
        <f>'[1]功能-付费相关'!W64</f>
        <v>4.2442445615575138E-5</v>
      </c>
      <c r="H64" s="37">
        <f>'[1]功能-付费相关'!X64</f>
        <v>9.2201767757862596E-5</v>
      </c>
      <c r="I64" s="37">
        <f>'[1]功能-付费相关'!Y64</f>
        <v>9.1154233801062591E-5</v>
      </c>
      <c r="J64" s="37">
        <f>'[1]功能-付费相关'!Z64</f>
        <v>8.8999654395467251E-5</v>
      </c>
      <c r="K64" s="37">
        <f>'[1]功能-付费相关'!AA64</f>
        <v>8.2676840085124382E-5</v>
      </c>
      <c r="L64" s="37">
        <f>'[1]功能-付费相关'!AB64</f>
        <v>7.6375842984908223E-5</v>
      </c>
    </row>
    <row r="65" spans="2:12" x14ac:dyDescent="0.15">
      <c r="B65" s="36">
        <v>60</v>
      </c>
      <c r="C65" s="37">
        <f>'[1]功能-付费相关'!S65</f>
        <v>4.9209535162095231E-5</v>
      </c>
      <c r="D65" s="37">
        <f>'[1]功能-付费相关'!T65</f>
        <v>4.8030793358406516E-5</v>
      </c>
      <c r="E65" s="37">
        <f>'[1]功能-付费相关'!U65</f>
        <v>4.6273500354743053E-5</v>
      </c>
      <c r="F65" s="37">
        <f>'[1]功能-付费相关'!V65</f>
        <v>4.2297234101148228E-5</v>
      </c>
      <c r="G65" s="37">
        <f>'[1]功能-付费相关'!W65</f>
        <v>4.0774773562358808E-5</v>
      </c>
      <c r="H65" s="37">
        <f>'[1]功能-付费相关'!X65</f>
        <v>8.8689046477352732E-5</v>
      </c>
      <c r="I65" s="37">
        <f>'[1]功能-付费相关'!Y65</f>
        <v>8.765787185338455E-5</v>
      </c>
      <c r="J65" s="37">
        <f>'[1]功能-付费相关'!Z65</f>
        <v>8.5538083318197983E-5</v>
      </c>
      <c r="K65" s="37">
        <f>'[1]功能-付费相关'!AA65</f>
        <v>7.8970493620000477E-5</v>
      </c>
      <c r="L65" s="37">
        <f>'[1]功能-付费相关'!AB65</f>
        <v>7.2988266580263398E-5</v>
      </c>
    </row>
    <row r="66" spans="2:12" x14ac:dyDescent="0.15">
      <c r="B66" s="36">
        <v>61</v>
      </c>
      <c r="C66" s="37">
        <f>'[1]功能-付费相关'!S66</f>
        <v>4.8177587815092902E-5</v>
      </c>
      <c r="D66" s="37">
        <f>'[1]功能-付费相关'!T66</f>
        <v>4.7115321528118466E-5</v>
      </c>
      <c r="E66" s="37">
        <f>'[1]功能-付费相关'!U66</f>
        <v>4.53188896522189E-5</v>
      </c>
      <c r="F66" s="37">
        <f>'[1]功能-付费相关'!V66</f>
        <v>4.1544267649195261E-5</v>
      </c>
      <c r="G66" s="37">
        <f>'[1]功能-付费相关'!W66</f>
        <v>4.003990779321007E-5</v>
      </c>
      <c r="H66" s="37">
        <f>'[1]功能-付费相关'!X66</f>
        <v>8.7200217016421901E-5</v>
      </c>
      <c r="I66" s="37">
        <f>'[1]功能-付费相关'!Y66</f>
        <v>8.6162028751183325E-5</v>
      </c>
      <c r="J66" s="37">
        <f>'[1]功能-付费相关'!Z66</f>
        <v>8.4017256633620325E-5</v>
      </c>
      <c r="K66" s="37">
        <f>'[1]功能-付费相关'!AA66</f>
        <v>7.7049294417620614E-5</v>
      </c>
      <c r="L66" s="37">
        <f>'[1]功能-付费相关'!AB66</f>
        <v>7.1284192753840345E-5</v>
      </c>
    </row>
    <row r="67" spans="2:12" x14ac:dyDescent="0.15">
      <c r="B67" s="36">
        <v>62</v>
      </c>
      <c r="C67" s="37">
        <f>'[1]功能-付费相关'!S67</f>
        <v>4.7176414377666556E-5</v>
      </c>
      <c r="D67" s="37">
        <f>'[1]功能-付费相关'!T67</f>
        <v>4.6213936792821517E-5</v>
      </c>
      <c r="E67" s="37">
        <f>'[1]功能-付费相关'!U67</f>
        <v>4.4376765721861911E-5</v>
      </c>
      <c r="F67" s="37">
        <f>'[1]功能-付费相关'!V67</f>
        <v>4.0803578565354285E-5</v>
      </c>
      <c r="G67" s="37">
        <f>'[1]功能-付费相关'!W67</f>
        <v>3.9308145150925015E-5</v>
      </c>
      <c r="H67" s="37">
        <f>'[1]功能-付费相关'!X67</f>
        <v>8.5750403951092056E-5</v>
      </c>
      <c r="I67" s="37">
        <f>'[1]功能-付费相关'!Y67</f>
        <v>8.4694374088292311E-5</v>
      </c>
      <c r="J67" s="37">
        <f>'[1]功能-付费相关'!Z67</f>
        <v>8.2529718228708219E-5</v>
      </c>
      <c r="K67" s="37">
        <f>'[1]功能-付费相关'!AA67</f>
        <v>7.5138210169002899E-5</v>
      </c>
      <c r="L67" s="37">
        <f>'[1]功能-付费相关'!AB67</f>
        <v>6.9551575552781025E-5</v>
      </c>
    </row>
    <row r="68" spans="2:12" x14ac:dyDescent="0.15">
      <c r="B68" s="36">
        <v>63</v>
      </c>
      <c r="C68" s="37">
        <f>'[1]功能-付费相关'!S68</f>
        <v>4.619365137868795E-5</v>
      </c>
      <c r="D68" s="37">
        <f>'[1]功能-付费相关'!T68</f>
        <v>4.5292947948187211E-5</v>
      </c>
      <c r="E68" s="37">
        <f>'[1]功能-付费相关'!U68</f>
        <v>4.3445846872783104E-5</v>
      </c>
      <c r="F68" s="37">
        <f>'[1]功能-付费相关'!V68</f>
        <v>4.0075556323968607E-5</v>
      </c>
      <c r="G68" s="37">
        <f>'[1]功能-付费相关'!W68</f>
        <v>3.8593838944739458E-5</v>
      </c>
      <c r="H68" s="37">
        <f>'[1]功能-付费相关'!X68</f>
        <v>8.4328700045746275E-5</v>
      </c>
      <c r="I68" s="37">
        <f>'[1]功能-付费相关'!Y68</f>
        <v>8.3259037380126836E-5</v>
      </c>
      <c r="J68" s="37">
        <f>'[1]功能-付费相关'!Z68</f>
        <v>8.1063098258643334E-5</v>
      </c>
      <c r="K68" s="37">
        <f>'[1]功能-付费相关'!AA68</f>
        <v>7.3238481287296955E-5</v>
      </c>
      <c r="L68" s="37">
        <f>'[1]功能-付费相关'!AB68</f>
        <v>6.7859058216533552E-5</v>
      </c>
    </row>
    <row r="69" spans="2:12" x14ac:dyDescent="0.15">
      <c r="B69" s="36">
        <v>64</v>
      </c>
      <c r="C69" s="37">
        <f>'[1]功能-付费相关'!S69</f>
        <v>4.5337835915314835E-5</v>
      </c>
      <c r="D69" s="37">
        <f>'[1]功能-付费相关'!T69</f>
        <v>4.4378765365387178E-5</v>
      </c>
      <c r="E69" s="37">
        <f>'[1]功能-付费相关'!U69</f>
        <v>4.2535161342591128E-5</v>
      </c>
      <c r="F69" s="37">
        <f>'[1]功能-付费相关'!V69</f>
        <v>3.9362513890828857E-5</v>
      </c>
      <c r="G69" s="37">
        <f>'[1]功能-付费相关'!W69</f>
        <v>3.7892085954406105E-5</v>
      </c>
      <c r="H69" s="37">
        <f>'[1]功能-付费相关'!X69</f>
        <v>8.2939090602435805E-5</v>
      </c>
      <c r="I69" s="37">
        <f>'[1]功能-付费相关'!Y69</f>
        <v>8.1848336180578729E-5</v>
      </c>
      <c r="J69" s="37">
        <f>'[1]功能-付费相关'!Z69</f>
        <v>7.962480019845445E-5</v>
      </c>
      <c r="K69" s="37">
        <f>'[1]功能-付费相关'!AA69</f>
        <v>7.1468091481396542E-5</v>
      </c>
      <c r="L69" s="37">
        <f>'[1]功能-付费相关'!AB69</f>
        <v>6.6194579482682864E-5</v>
      </c>
    </row>
    <row r="70" spans="2:12" x14ac:dyDescent="0.15">
      <c r="B70" s="36">
        <v>65</v>
      </c>
      <c r="C70" s="37">
        <f>'[1]功能-付费相关'!S70</f>
        <v>4.4493024751436383E-5</v>
      </c>
      <c r="D70" s="37">
        <f>'[1]功能-付费相关'!T70</f>
        <v>4.3492520552738626E-5</v>
      </c>
      <c r="E70" s="37">
        <f>'[1]功能-付费相关'!U70</f>
        <v>4.1629406417793324E-5</v>
      </c>
      <c r="F70" s="37">
        <f>'[1]功能-付费相关'!V70</f>
        <v>3.8668467897742994E-5</v>
      </c>
      <c r="G70" s="37">
        <f>'[1]功能-付费相关'!W70</f>
        <v>3.7232712106680398E-5</v>
      </c>
      <c r="H70" s="37">
        <f>'[1]功能-付费相关'!X70</f>
        <v>8.1574885956556614E-5</v>
      </c>
      <c r="I70" s="37">
        <f>'[1]功能-付费相关'!Y70</f>
        <v>8.0475621663766002E-5</v>
      </c>
      <c r="J70" s="37">
        <f>'[1]功能-付费相关'!Z70</f>
        <v>7.8202052581528169E-5</v>
      </c>
      <c r="K70" s="37">
        <f>'[1]功能-付费相关'!AA70</f>
        <v>6.9774042413028493E-5</v>
      </c>
      <c r="L70" s="37">
        <f>'[1]功能-付费相关'!AB70</f>
        <v>6.457689401098872E-5</v>
      </c>
    </row>
    <row r="71" spans="2:12" x14ac:dyDescent="0.15">
      <c r="B71" s="36">
        <v>66</v>
      </c>
      <c r="C71" s="37">
        <f>'[1]功能-付费相关'!S71</f>
        <v>4.3712668200139667E-5</v>
      </c>
      <c r="D71" s="37">
        <f>'[1]功能-付费相关'!T71</f>
        <v>4.2664097158884342E-5</v>
      </c>
      <c r="E71" s="37">
        <f>'[1]功能-付费相关'!U71</f>
        <v>4.0761984989265212E-5</v>
      </c>
      <c r="F71" s="37">
        <f>'[1]功能-付费相关'!V71</f>
        <v>3.7993012623257217E-5</v>
      </c>
      <c r="G71" s="37">
        <f>'[1]功能-付费相关'!W71</f>
        <v>3.6579857610567966E-5</v>
      </c>
      <c r="H71" s="37">
        <f>'[1]功能-付费相关'!X71</f>
        <v>8.0305823947201236E-5</v>
      </c>
      <c r="I71" s="37">
        <f>'[1]功能-付费相关'!Y71</f>
        <v>7.9153962939285851E-5</v>
      </c>
      <c r="J71" s="37">
        <f>'[1]功能-付费相关'!Z71</f>
        <v>7.6819852937272444E-5</v>
      </c>
      <c r="K71" s="37">
        <f>'[1]功能-付费相关'!AA71</f>
        <v>6.8139680592467345E-5</v>
      </c>
      <c r="L71" s="37">
        <f>'[1]功能-付费相关'!AB71</f>
        <v>6.2936749067052833E-5</v>
      </c>
    </row>
    <row r="72" spans="2:12" x14ac:dyDescent="0.15">
      <c r="B72" s="36">
        <v>67</v>
      </c>
      <c r="C72" s="37">
        <f>'[1]功能-付费相关'!S72</f>
        <v>4.294115430602583E-5</v>
      </c>
      <c r="D72" s="37">
        <f>'[1]功能-付费相关'!T72</f>
        <v>4.1845067171974427E-5</v>
      </c>
      <c r="E72" s="37">
        <f>'[1]功能-付费相关'!U72</f>
        <v>3.990835861451864E-5</v>
      </c>
      <c r="F72" s="37">
        <f>'[1]功能-付费相关'!V72</f>
        <v>3.7329211165965296E-5</v>
      </c>
      <c r="G72" s="37">
        <f>'[1]功能-付费相关'!W72</f>
        <v>3.5938476941225548E-5</v>
      </c>
      <c r="H72" s="37">
        <f>'[1]功能-付费相关'!X72</f>
        <v>7.9068052974306605E-5</v>
      </c>
      <c r="I72" s="37">
        <f>'[1]功能-付费相关'!Y72</f>
        <v>7.785626969113998E-5</v>
      </c>
      <c r="J72" s="37">
        <f>'[1]功能-付费相关'!Z72</f>
        <v>7.5382189979322426E-5</v>
      </c>
      <c r="K72" s="37">
        <f>'[1]功能-付费相关'!AA72</f>
        <v>6.6520966203523704E-5</v>
      </c>
      <c r="L72" s="37">
        <f>'[1]功能-付费相关'!AB72</f>
        <v>6.1322019393219323E-5</v>
      </c>
    </row>
    <row r="73" spans="2:12" x14ac:dyDescent="0.15">
      <c r="B73" s="36">
        <v>68</v>
      </c>
      <c r="C73" s="37">
        <f>'[1]功能-付费相关'!S73</f>
        <v>4.2179204482269107E-5</v>
      </c>
      <c r="D73" s="37">
        <f>'[1]功能-付费相关'!T73</f>
        <v>4.1040128595839706E-5</v>
      </c>
      <c r="E73" s="37">
        <f>'[1]功能-付费相关'!U73</f>
        <v>3.9054682159331954E-5</v>
      </c>
      <c r="F73" s="37">
        <f>'[1]功能-付费相关'!V73</f>
        <v>3.6668716592584447E-5</v>
      </c>
      <c r="G73" s="37">
        <f>'[1]功能-付费相关'!W73</f>
        <v>3.5307143284284061E-5</v>
      </c>
      <c r="H73" s="37">
        <f>'[1]功能-付费相关'!X73</f>
        <v>7.7853945217254525E-5</v>
      </c>
      <c r="I73" s="37">
        <f>'[1]功能-付费相关'!Y73</f>
        <v>7.6583591722967074E-5</v>
      </c>
      <c r="J73" s="37">
        <f>'[1]功能-付费相关'!Z73</f>
        <v>7.3794363104036603E-5</v>
      </c>
      <c r="K73" s="37">
        <f>'[1]功能-付费相关'!AA73</f>
        <v>6.4892898977842039E-5</v>
      </c>
      <c r="L73" s="37">
        <f>'[1]功能-付费相关'!AB73</f>
        <v>5.9726337535840041E-5</v>
      </c>
    </row>
    <row r="74" spans="2:12" x14ac:dyDescent="0.15">
      <c r="B74" s="36">
        <v>69</v>
      </c>
      <c r="C74" s="37">
        <f>'[1]功能-付费相关'!S74</f>
        <v>4.1426480187937603E-5</v>
      </c>
      <c r="D74" s="37">
        <f>'[1]功能-付费相关'!T74</f>
        <v>4.0256551554923318E-5</v>
      </c>
      <c r="E74" s="37">
        <f>'[1]功能-付费相关'!U74</f>
        <v>3.8268945371962767E-5</v>
      </c>
      <c r="F74" s="37">
        <f>'[1]功能-付费相关'!V74</f>
        <v>3.6018124262797866E-5</v>
      </c>
      <c r="G74" s="37">
        <f>'[1]功能-付费相关'!W74</f>
        <v>3.4681689029848987E-5</v>
      </c>
      <c r="H74" s="37">
        <f>'[1]功能-付费相关'!X74</f>
        <v>7.6663340548457578E-5</v>
      </c>
      <c r="I74" s="37">
        <f>'[1]功能-付费相关'!Y74</f>
        <v>7.5337302454831485E-5</v>
      </c>
      <c r="J74" s="37">
        <f>'[1]功能-付费相关'!Z74</f>
        <v>7.2181804428730285E-5</v>
      </c>
      <c r="K74" s="37">
        <f>'[1]功能-付费相关'!AA74</f>
        <v>6.327723734877518E-5</v>
      </c>
      <c r="L74" s="37">
        <f>'[1]功能-付费相关'!AB74</f>
        <v>5.8135427312539809E-5</v>
      </c>
    </row>
    <row r="75" spans="2:12" x14ac:dyDescent="0.15">
      <c r="B75" s="36">
        <v>70</v>
      </c>
      <c r="C75" s="37">
        <f>'[1]功能-付费相关'!S75</f>
        <v>4.0703926516240926E-5</v>
      </c>
      <c r="D75" s="37">
        <f>'[1]功能-付费相关'!T75</f>
        <v>3.9518509334933723E-5</v>
      </c>
      <c r="E75" s="37">
        <f>'[1]功能-付费相关'!U75</f>
        <v>3.7525918336552253E-5</v>
      </c>
      <c r="F75" s="37">
        <f>'[1]功能-付费相关'!V75</f>
        <v>3.5388868203018864E-5</v>
      </c>
      <c r="G75" s="37">
        <f>'[1]功能-付费相关'!W75</f>
        <v>3.4059008240674745E-5</v>
      </c>
      <c r="H75" s="37">
        <f>'[1]功能-付费相关'!X75</f>
        <v>7.5496526741259453E-5</v>
      </c>
      <c r="I75" s="37">
        <f>'[1]功能-付费相关'!Y75</f>
        <v>7.4146775921467287E-5</v>
      </c>
      <c r="J75" s="37">
        <f>'[1]功能-付费相关'!Z75</f>
        <v>7.0665534146873178E-5</v>
      </c>
      <c r="K75" s="37">
        <f>'[1]功能-付费相关'!AA75</f>
        <v>6.1681452931541185E-5</v>
      </c>
      <c r="L75" s="37">
        <f>'[1]功能-付费相关'!AB75</f>
        <v>5.6528313158798716E-5</v>
      </c>
    </row>
    <row r="76" spans="2:12" x14ac:dyDescent="0.15">
      <c r="B76" s="36">
        <v>71</v>
      </c>
      <c r="C76" s="37">
        <f>'[1]功能-付费相关'!S76</f>
        <v>3.9991348062799445E-5</v>
      </c>
      <c r="D76" s="37">
        <f>'[1]功能-付费相关'!T76</f>
        <v>3.8784115360758706E-5</v>
      </c>
      <c r="E76" s="37">
        <f>'[1]功能-付费相关'!U76</f>
        <v>3.6840867667994853E-5</v>
      </c>
      <c r="F76" s="37">
        <f>'[1]功能-付费相关'!V76</f>
        <v>3.4784015114499466E-5</v>
      </c>
      <c r="G76" s="37">
        <f>'[1]功能-付费相关'!W76</f>
        <v>3.3463219915575335E-5</v>
      </c>
      <c r="H76" s="37">
        <f>'[1]功能-付费相关'!X76</f>
        <v>7.435261328990391E-5</v>
      </c>
      <c r="I76" s="37">
        <f>'[1]功能-付费相关'!Y76</f>
        <v>7.297010506908554E-5</v>
      </c>
      <c r="J76" s="37">
        <f>'[1]功能-付费相关'!Z76</f>
        <v>6.9172858057687899E-5</v>
      </c>
      <c r="K76" s="37">
        <f>'[1]功能-付费相关'!AA76</f>
        <v>6.0088118626570987E-5</v>
      </c>
      <c r="L76" s="37">
        <f>'[1]功能-付费相关'!AB76</f>
        <v>5.5031823942040703E-5</v>
      </c>
    </row>
    <row r="77" spans="2:12" x14ac:dyDescent="0.15">
      <c r="B77" s="36">
        <v>72</v>
      </c>
      <c r="C77" s="37">
        <f>'[1]功能-付费相关'!S77</f>
        <v>3.9283909004070173E-5</v>
      </c>
      <c r="D77" s="37">
        <f>'[1]功能-付费相关'!T77</f>
        <v>3.8063708920948079E-5</v>
      </c>
      <c r="E77" s="37">
        <f>'[1]功能-付费相关'!U77</f>
        <v>3.627545915723006E-5</v>
      </c>
      <c r="F77" s="37">
        <f>'[1]功能-付费相关'!V77</f>
        <v>3.4186557525238E-5</v>
      </c>
      <c r="G77" s="37">
        <f>'[1]功能-付费相关'!W77</f>
        <v>3.2879072647243549E-5</v>
      </c>
      <c r="H77" s="37">
        <f>'[1]功能-付费相关'!X77</f>
        <v>7.3223358733059453E-5</v>
      </c>
      <c r="I77" s="37">
        <f>'[1]功能-付费相关'!Y77</f>
        <v>7.1813093851219546E-5</v>
      </c>
      <c r="J77" s="37">
        <f>'[1]功能-付费相关'!Z77</f>
        <v>6.7702785473586425E-5</v>
      </c>
      <c r="K77" s="37">
        <f>'[1]功能-付费相关'!AA77</f>
        <v>5.8511927088731416E-5</v>
      </c>
      <c r="L77" s="37">
        <f>'[1]功能-付费相关'!AB77</f>
        <v>5.3565933526889755E-5</v>
      </c>
    </row>
    <row r="78" spans="2:12" x14ac:dyDescent="0.15">
      <c r="B78" s="36">
        <v>73</v>
      </c>
      <c r="C78" s="37">
        <f>'[1]功能-付费相关'!S78</f>
        <v>3.8590755514072997E-5</v>
      </c>
      <c r="D78" s="37">
        <f>'[1]功能-付费相关'!T78</f>
        <v>3.7377322091768843E-5</v>
      </c>
      <c r="E78" s="37">
        <f>'[1]功能-付费相关'!U78</f>
        <v>3.5726939461978707E-5</v>
      </c>
      <c r="F78" s="37">
        <f>'[1]功能-付费相关'!V78</f>
        <v>3.3603459436444987E-5</v>
      </c>
      <c r="G78" s="37">
        <f>'[1]功能-付费相关'!W78</f>
        <v>3.2304102784120903E-5</v>
      </c>
      <c r="H78" s="37">
        <f>'[1]功能-付费相关'!X78</f>
        <v>7.2120930568863226E-5</v>
      </c>
      <c r="I78" s="37">
        <f>'[1]功能-付费相关'!Y78</f>
        <v>7.0686126959213874E-5</v>
      </c>
      <c r="J78" s="37">
        <f>'[1]功能-付费相关'!Z78</f>
        <v>6.6287325566665394E-5</v>
      </c>
      <c r="K78" s="37">
        <f>'[1]功能-付费相关'!AA78</f>
        <v>5.6982850999122073E-5</v>
      </c>
      <c r="L78" s="37">
        <f>'[1]功能-付费相关'!AB78</f>
        <v>5.2131441787277266E-5</v>
      </c>
    </row>
    <row r="79" spans="2:12" x14ac:dyDescent="0.15">
      <c r="B79" s="36">
        <v>74</v>
      </c>
      <c r="C79" s="37">
        <f>'[1]功能-付费相关'!S79</f>
        <v>3.7911782267733883E-5</v>
      </c>
      <c r="D79" s="37">
        <f>'[1]功能-付费相关'!T79</f>
        <v>3.6666353554915139E-5</v>
      </c>
      <c r="E79" s="37">
        <f>'[1]功能-付费相关'!U79</f>
        <v>3.5184347910559242E-5</v>
      </c>
      <c r="F79" s="37">
        <f>'[1]功能-付费相关'!V79</f>
        <v>3.302068956719213E-5</v>
      </c>
      <c r="G79" s="37">
        <f>'[1]功能-付费相关'!W79</f>
        <v>3.17305991805335E-5</v>
      </c>
      <c r="H79" s="37">
        <f>'[1]功能-付费相关'!X79</f>
        <v>7.1033613977361556E-5</v>
      </c>
      <c r="I79" s="37">
        <f>'[1]功能-付费相关'!Y79</f>
        <v>6.9417038000059591E-5</v>
      </c>
      <c r="J79" s="37">
        <f>'[1]功能-付费相关'!Z79</f>
        <v>6.4867622157492436E-5</v>
      </c>
      <c r="K79" s="37">
        <f>'[1]功能-付费相关'!AA79</f>
        <v>5.5435735560985934E-5</v>
      </c>
      <c r="L79" s="37">
        <f>'[1]功能-付费相关'!AB79</f>
        <v>5.0682204531291582E-5</v>
      </c>
    </row>
    <row r="80" spans="2:12" x14ac:dyDescent="0.15">
      <c r="B80" s="36">
        <v>75</v>
      </c>
      <c r="C80" s="37">
        <f>'[1]功能-付费相关'!S80</f>
        <v>3.7241353276199416E-5</v>
      </c>
      <c r="D80" s="37">
        <f>'[1]功能-付费相关'!T80</f>
        <v>3.5969748122794014E-5</v>
      </c>
      <c r="E80" s="37">
        <f>'[1]功能-付费相关'!U80</f>
        <v>3.4649425910048508E-5</v>
      </c>
      <c r="F80" s="37">
        <f>'[1]功能-付费相关'!V80</f>
        <v>3.2447130338010698E-5</v>
      </c>
      <c r="G80" s="37">
        <f>'[1]功能-付费相关'!W80</f>
        <v>3.1163403350667068E-5</v>
      </c>
      <c r="H80" s="37">
        <f>'[1]功能-付费相关'!X80</f>
        <v>6.9964665211537895E-5</v>
      </c>
      <c r="I80" s="37">
        <f>'[1]功能-付费相关'!Y80</f>
        <v>6.8082961276689504E-5</v>
      </c>
      <c r="J80" s="37">
        <f>'[1]功能-付费相关'!Z80</f>
        <v>6.3454168087343922E-5</v>
      </c>
      <c r="K80" s="37">
        <f>'[1]功能-付费相关'!AA80</f>
        <v>5.391803101014084E-5</v>
      </c>
      <c r="L80" s="37">
        <f>'[1]功能-付费相关'!AB80</f>
        <v>4.9254854162013275E-5</v>
      </c>
    </row>
    <row r="81" spans="2:12" x14ac:dyDescent="0.15">
      <c r="B81" s="36">
        <v>76</v>
      </c>
      <c r="C81" s="37">
        <f>'[1]功能-付费相关'!S81</f>
        <v>3.6513627027921522E-5</v>
      </c>
      <c r="D81" s="37">
        <f>'[1]功能-付费相关'!T81</f>
        <v>3.5317331173677743E-5</v>
      </c>
      <c r="E81" s="37">
        <f>'[1]功能-付费相关'!U81</f>
        <v>3.4123324466658509E-5</v>
      </c>
      <c r="F81" s="37">
        <f>'[1]功能-付费相关'!V81</f>
        <v>3.1905512640601309E-5</v>
      </c>
      <c r="G81" s="37">
        <f>'[1]功能-付费相关'!W81</f>
        <v>3.0613115487507679E-5</v>
      </c>
      <c r="H81" s="37">
        <f>'[1]功能-付费相关'!X81</f>
        <v>6.8842139085787337E-5</v>
      </c>
      <c r="I81" s="37">
        <f>'[1]功能-付费相关'!Y81</f>
        <v>6.6743439225261611E-5</v>
      </c>
      <c r="J81" s="37">
        <f>'[1]功能-付费相关'!Z81</f>
        <v>6.2136101427853383E-5</v>
      </c>
      <c r="K81" s="37">
        <f>'[1]功能-付费相关'!AA81</f>
        <v>5.2535110005120137E-5</v>
      </c>
      <c r="L81" s="37">
        <f>'[1]功能-付费相关'!AB81</f>
        <v>4.7885452523302548E-5</v>
      </c>
    </row>
    <row r="82" spans="2:12" x14ac:dyDescent="0.15">
      <c r="B82" s="36">
        <v>77</v>
      </c>
      <c r="C82" s="37">
        <f>'[1]功能-付费相关'!S82</f>
        <v>3.5805915866911709E-5</v>
      </c>
      <c r="D82" s="37">
        <f>'[1]功能-付费相关'!T82</f>
        <v>3.4663325676346382E-5</v>
      </c>
      <c r="E82" s="37">
        <f>'[1]功能-付费相关'!U82</f>
        <v>3.3602957788974286E-5</v>
      </c>
      <c r="F82" s="37">
        <f>'[1]功能-付费相关'!V82</f>
        <v>3.1365473726600064E-5</v>
      </c>
      <c r="G82" s="37">
        <f>'[1]功能-付费相关'!W82</f>
        <v>3.0075989603694776E-5</v>
      </c>
      <c r="H82" s="37">
        <f>'[1]功能-付费相关'!X82</f>
        <v>6.7733021067890715E-5</v>
      </c>
      <c r="I82" s="37">
        <f>'[1]功能-付费相关'!Y82</f>
        <v>6.539688402772885E-5</v>
      </c>
      <c r="J82" s="37">
        <f>'[1]功能-付费相关'!Z82</f>
        <v>6.0837007785193382E-5</v>
      </c>
      <c r="K82" s="37">
        <f>'[1]功能-付费相关'!AA82</f>
        <v>5.1146450079861579E-5</v>
      </c>
      <c r="L82" s="37">
        <f>'[1]功能-付费相关'!AB82</f>
        <v>4.657360729095866E-5</v>
      </c>
    </row>
    <row r="83" spans="2:12" x14ac:dyDescent="0.15">
      <c r="B83" s="36">
        <v>78</v>
      </c>
      <c r="C83" s="37">
        <f>'[1]功能-付费相关'!S83</f>
        <v>3.5080571442808576E-5</v>
      </c>
      <c r="D83" s="37">
        <f>'[1]功能-付费相关'!T83</f>
        <v>3.4073386834480007E-5</v>
      </c>
      <c r="E83" s="37">
        <f>'[1]功能-付费相关'!U83</f>
        <v>3.3087781819821594E-5</v>
      </c>
      <c r="F83" s="37">
        <f>'[1]功能-付费相关'!V83</f>
        <v>3.0839262375037557E-5</v>
      </c>
      <c r="G83" s="37">
        <f>'[1]功能-付费相关'!W83</f>
        <v>2.9551950072413352E-5</v>
      </c>
      <c r="H83" s="37">
        <f>'[1]功能-付费相关'!X83</f>
        <v>6.6481566531294116E-5</v>
      </c>
      <c r="I83" s="37">
        <f>'[1]功能-付费相关'!Y83</f>
        <v>6.4044124917640494E-5</v>
      </c>
      <c r="J83" s="37">
        <f>'[1]功能-付费相关'!Z83</f>
        <v>5.9545862818377143E-5</v>
      </c>
      <c r="K83" s="37">
        <f>'[1]功能-付费相关'!AA83</f>
        <v>4.9809084378024726E-5</v>
      </c>
      <c r="L83" s="37">
        <f>'[1]功能-付费相关'!AB83</f>
        <v>4.5305686861192347E-5</v>
      </c>
    </row>
    <row r="84" spans="2:12" x14ac:dyDescent="0.15">
      <c r="B84" s="36">
        <v>79</v>
      </c>
      <c r="C84" s="37">
        <f>'[1]功能-付费相关'!S84</f>
        <v>3.4396643766345896E-5</v>
      </c>
      <c r="D84" s="37">
        <f>'[1]功能-付费相关'!T84</f>
        <v>3.3570368152065513E-5</v>
      </c>
      <c r="E84" s="37">
        <f>'[1]功能-付费相关'!U84</f>
        <v>3.2583158237843614E-5</v>
      </c>
      <c r="F84" s="37">
        <f>'[1]功能-付费相关'!V84</f>
        <v>3.0324821371337447E-5</v>
      </c>
      <c r="G84" s="37">
        <f>'[1]功能-付费相关'!W84</f>
        <v>2.9074579999006542E-5</v>
      </c>
      <c r="H84" s="37">
        <f>'[1]功能-付费相关'!X84</f>
        <v>6.515348669588435E-5</v>
      </c>
      <c r="I84" s="37">
        <f>'[1]功能-付费相关'!Y84</f>
        <v>6.2653934767949811E-5</v>
      </c>
      <c r="J84" s="37">
        <f>'[1]功能-付费相关'!Z84</f>
        <v>5.8279442747840318E-5</v>
      </c>
      <c r="K84" s="37">
        <f>'[1]功能-付费相关'!AA84</f>
        <v>4.8518567154953886E-5</v>
      </c>
      <c r="L84" s="37">
        <f>'[1]功能-付费相关'!AB84</f>
        <v>4.4216568040478511E-5</v>
      </c>
    </row>
    <row r="85" spans="2:12" x14ac:dyDescent="0.15">
      <c r="B85" s="36">
        <v>80</v>
      </c>
      <c r="C85" s="37">
        <f>'[1]功能-付费相关'!S85</f>
        <v>3.3756528325571558E-5</v>
      </c>
      <c r="D85" s="37">
        <f>'[1]功能-付费相关'!T85</f>
        <v>3.3073294416808363E-5</v>
      </c>
      <c r="E85" s="37">
        <f>'[1]功能-付费相关'!U85</f>
        <v>3.20866612806784E-5</v>
      </c>
      <c r="F85" s="37">
        <f>'[1]功能-付费相关'!V85</f>
        <v>2.9816683227429182E-5</v>
      </c>
      <c r="G85" s="37">
        <f>'[1]功能-付费相关'!W85</f>
        <v>2.8751722335763408E-5</v>
      </c>
      <c r="H85" s="37">
        <f>'[1]功能-付费相关'!X85</f>
        <v>6.3823443543847865E-5</v>
      </c>
      <c r="I85" s="37">
        <f>'[1]功能-付费相关'!Y85</f>
        <v>6.1267400110334223E-5</v>
      </c>
      <c r="J85" s="37">
        <f>'[1]功能-付费相关'!Z85</f>
        <v>5.7041038549541026E-5</v>
      </c>
      <c r="K85" s="37">
        <f>'[1]功能-付费相关'!AA85</f>
        <v>4.7243713992263019E-5</v>
      </c>
      <c r="L85" s="37">
        <f>'[1]功能-付费相关'!AB85</f>
        <v>4.3720345062956834E-5</v>
      </c>
    </row>
    <row r="86" spans="2:12" x14ac:dyDescent="0.15">
      <c r="B86" s="36">
        <v>81</v>
      </c>
      <c r="C86" s="37">
        <f>'[1]功能-付费相关'!S86</f>
        <v>3.2856961386484932E-5</v>
      </c>
      <c r="D86" s="37">
        <f>'[1]功能-付费相关'!T86</f>
        <v>3.2327773686852503E-5</v>
      </c>
      <c r="E86" s="37">
        <f>'[1]功能-付费相关'!U86</f>
        <v>3.1335093996697745E-5</v>
      </c>
      <c r="F86" s="37">
        <f>'[1]功能-付费相关'!V86</f>
        <v>2.909403745435877E-5</v>
      </c>
      <c r="G86" s="37">
        <f>'[1]功能-付费相关'!W86</f>
        <v>2.8214141589238741E-5</v>
      </c>
      <c r="H86" s="37">
        <f>'[1]功能-付费相关'!X86</f>
        <v>6.1935590162527824E-5</v>
      </c>
      <c r="I86" s="37">
        <f>'[1]功能-付费相关'!Y86</f>
        <v>5.9371661711293139E-5</v>
      </c>
      <c r="J86" s="37">
        <f>'[1]功能-付费相关'!Z86</f>
        <v>5.5254673624263266E-5</v>
      </c>
      <c r="K86" s="37">
        <f>'[1]功能-付费相关'!AA86</f>
        <v>4.562026257237522E-5</v>
      </c>
      <c r="L86" s="37">
        <f>'[1]功能-付费相关'!AB86</f>
        <v>4.2852111111751116E-5</v>
      </c>
    </row>
    <row r="87" spans="2:12" x14ac:dyDescent="0.15">
      <c r="B87" s="36">
        <v>82</v>
      </c>
      <c r="C87" s="37">
        <f>'[1]功能-付费相关'!S87</f>
        <v>3.2114120553629848E-5</v>
      </c>
      <c r="D87" s="37">
        <f>'[1]功能-付费相关'!T87</f>
        <v>3.1603808244380937E-5</v>
      </c>
      <c r="E87" s="37">
        <f>'[1]功能-付费相关'!U87</f>
        <v>3.0595483687459071E-5</v>
      </c>
      <c r="F87" s="37">
        <f>'[1]功能-付费相关'!V87</f>
        <v>2.8388470547262714E-5</v>
      </c>
      <c r="G87" s="37">
        <f>'[1]功能-付费相关'!W87</f>
        <v>2.7696605194098175E-5</v>
      </c>
      <c r="H87" s="37">
        <f>'[1]功能-付费相关'!X87</f>
        <v>6.0090038113373625E-5</v>
      </c>
      <c r="I87" s="37">
        <f>'[1]功能-付费相关'!Y87</f>
        <v>5.7570627781567778E-5</v>
      </c>
      <c r="J87" s="37">
        <f>'[1]功能-付费相关'!Z87</f>
        <v>5.3474818993493964E-5</v>
      </c>
      <c r="K87" s="37">
        <f>'[1]功能-付费相关'!AA87</f>
        <v>4.4025656104281764E-5</v>
      </c>
      <c r="L87" s="37">
        <f>'[1]功能-付费相关'!AB87</f>
        <v>4.2018250516330529E-5</v>
      </c>
    </row>
    <row r="88" spans="2:12" x14ac:dyDescent="0.15">
      <c r="B88" s="36">
        <v>83</v>
      </c>
      <c r="C88" s="37">
        <f>'[1]功能-付费相关'!S88</f>
        <v>3.1420779684120232E-5</v>
      </c>
      <c r="D88" s="37">
        <f>'[1]功能-付费相关'!T88</f>
        <v>3.0904529256905101E-5</v>
      </c>
      <c r="E88" s="37">
        <f>'[1]功能-付费相关'!U88</f>
        <v>2.9900814616798311E-5</v>
      </c>
      <c r="F88" s="37">
        <f>'[1]功能-付费相关'!V88</f>
        <v>2.77055456897163E-5</v>
      </c>
      <c r="G88" s="37">
        <f>'[1]功能-付费相关'!W88</f>
        <v>2.720033106548045E-5</v>
      </c>
      <c r="H88" s="37">
        <f>'[1]功能-付费相关'!X88</f>
        <v>5.8309818981759248E-5</v>
      </c>
      <c r="I88" s="37">
        <f>'[1]功能-付费相关'!Y88</f>
        <v>5.5882919257368574E-5</v>
      </c>
      <c r="J88" s="37">
        <f>'[1]功能-付费相关'!Z88</f>
        <v>5.1726006236022379E-5</v>
      </c>
      <c r="K88" s="37">
        <f>'[1]功能-付费相关'!AA88</f>
        <v>4.2496216575438404E-5</v>
      </c>
      <c r="L88" s="37">
        <f>'[1]功能-付费相关'!AB88</f>
        <v>4.1220284684848945E-5</v>
      </c>
    </row>
    <row r="89" spans="2:12" x14ac:dyDescent="0.15">
      <c r="B89" s="36">
        <v>84</v>
      </c>
      <c r="C89" s="37">
        <f>'[1]功能-付费相关'!S89</f>
        <v>2.8578753931379353E-5</v>
      </c>
      <c r="D89" s="37">
        <f>'[1]功能-付费相关'!T89</f>
        <v>2.8101925595180495E-5</v>
      </c>
      <c r="E89" s="37">
        <f>'[1]功能-付费相关'!U89</f>
        <v>2.7189880238814249E-5</v>
      </c>
      <c r="F89" s="37">
        <f>'[1]功能-付费相关'!V89</f>
        <v>2.5222105462983426E-5</v>
      </c>
      <c r="G89" s="37">
        <f>'[1]功能-付费相关'!W89</f>
        <v>2.4861039057158364E-5</v>
      </c>
      <c r="H89" s="37">
        <f>'[1]功能-付费相关'!X89</f>
        <v>5.1784044147611935E-5</v>
      </c>
      <c r="I89" s="37">
        <f>'[1]功能-付费相关'!Y89</f>
        <v>4.9764347873165373E-5</v>
      </c>
      <c r="J89" s="37">
        <f>'[1]功能-付费相关'!Z89</f>
        <v>4.6119606253705241E-5</v>
      </c>
      <c r="K89" s="37">
        <f>'[1]功能-付费相关'!AA89</f>
        <v>3.823544563974783E-5</v>
      </c>
      <c r="L89" s="37">
        <f>'[1]功能-付费相关'!AB89</f>
        <v>3.7626173795066034E-5</v>
      </c>
    </row>
    <row r="90" spans="2:12" x14ac:dyDescent="0.15">
      <c r="B90" s="36">
        <v>85</v>
      </c>
      <c r="C90" s="37">
        <f>'[1]功能-付费相关'!S90</f>
        <v>2.799467310978492E-5</v>
      </c>
      <c r="D90" s="37">
        <f>'[1]功能-付费相关'!T90</f>
        <v>2.7502438635412238E-5</v>
      </c>
      <c r="E90" s="37">
        <f>'[1]功能-付费相关'!U90</f>
        <v>2.6596131416274981E-5</v>
      </c>
      <c r="F90" s="37">
        <f>'[1]功能-付费相关'!V90</f>
        <v>2.4763948587982764E-5</v>
      </c>
      <c r="G90" s="37">
        <f>'[1]功能-付费相关'!W90</f>
        <v>2.4432845261869371E-5</v>
      </c>
      <c r="H90" s="37">
        <f>'[1]功能-付费相关'!X90</f>
        <v>5.0360878600329439E-5</v>
      </c>
      <c r="I90" s="37">
        <f>'[1]功能-付费相关'!Y90</f>
        <v>4.8358663282815282E-5</v>
      </c>
      <c r="J90" s="37">
        <f>'[1]功能-付费相关'!Z90</f>
        <v>4.4675487366079197E-5</v>
      </c>
      <c r="K90" s="37">
        <f>'[1]功能-付费相关'!AA90</f>
        <v>3.7443034106788005E-5</v>
      </c>
      <c r="L90" s="37">
        <f>'[1]功能-付费相关'!AB90</f>
        <v>3.6940719093123706E-5</v>
      </c>
    </row>
    <row r="91" spans="2:12" x14ac:dyDescent="0.15">
      <c r="B91" s="36">
        <v>86</v>
      </c>
      <c r="C91" s="37">
        <f>'[1]功能-付费相关'!S91</f>
        <v>2.7431029498474093E-5</v>
      </c>
      <c r="D91" s="37">
        <f>'[1]功能-付费相关'!T91</f>
        <v>2.6915171489084152E-5</v>
      </c>
      <c r="E91" s="37">
        <f>'[1]功能-付费相关'!U91</f>
        <v>2.6012759519763066E-5</v>
      </c>
      <c r="F91" s="37">
        <f>'[1]功能-付费相关'!V91</f>
        <v>2.4344478292560372E-5</v>
      </c>
      <c r="G91" s="37">
        <f>'[1]功能-付费相关'!W91</f>
        <v>2.4015783034269261E-5</v>
      </c>
      <c r="H91" s="37">
        <f>'[1]功能-付费相关'!X91</f>
        <v>4.9050540530386075E-5</v>
      </c>
      <c r="I91" s="37">
        <f>'[1]功能-付费相关'!Y91</f>
        <v>4.6971501002344349E-5</v>
      </c>
      <c r="J91" s="37">
        <f>'[1]功能-付费相关'!Z91</f>
        <v>4.3242946122230722E-5</v>
      </c>
      <c r="K91" s="37">
        <f>'[1]功能-付费相关'!AA91</f>
        <v>3.6772932229795135E-5</v>
      </c>
      <c r="L91" s="37">
        <f>'[1]功能-付费相关'!AB91</f>
        <v>3.6274754994872297E-5</v>
      </c>
    </row>
    <row r="92" spans="2:12" x14ac:dyDescent="0.15">
      <c r="B92" s="36">
        <v>87</v>
      </c>
      <c r="C92" s="37">
        <f>'[1]功能-付费相关'!S92</f>
        <v>2.6894205484508132E-5</v>
      </c>
      <c r="D92" s="37">
        <f>'[1]功能-付费相关'!T92</f>
        <v>2.6352776156956564E-5</v>
      </c>
      <c r="E92" s="37">
        <f>'[1]功能-付费相关'!U92</f>
        <v>2.5441619783262888E-5</v>
      </c>
      <c r="F92" s="37">
        <f>'[1]功能-付费相关'!V92</f>
        <v>2.3935471483455787E-5</v>
      </c>
      <c r="G92" s="37">
        <f>'[1]功能-付费相关'!W92</f>
        <v>2.3614538561151873E-5</v>
      </c>
      <c r="H92" s="37">
        <f>'[1]功能-付费相关'!X92</f>
        <v>4.7835226392117996E-5</v>
      </c>
      <c r="I92" s="37">
        <f>'[1]功能-付费相关'!Y92</f>
        <v>4.5658031146119391E-5</v>
      </c>
      <c r="J92" s="37">
        <f>'[1]功能-付费相关'!Z92</f>
        <v>4.1841255714188486E-5</v>
      </c>
      <c r="K92" s="37">
        <f>'[1]功能-付费相关'!AA92</f>
        <v>3.6121140798979384E-5</v>
      </c>
      <c r="L92" s="37">
        <f>'[1]功能-付费相关'!AB92</f>
        <v>3.5635184027034673E-5</v>
      </c>
    </row>
    <row r="93" spans="2:12" x14ac:dyDescent="0.15">
      <c r="B93" s="36">
        <v>88</v>
      </c>
      <c r="C93" s="37">
        <f>'[1]功能-付费相关'!S93</f>
        <v>2.6383467777057833E-5</v>
      </c>
      <c r="D93" s="37">
        <f>'[1]功能-付费相关'!T93</f>
        <v>2.5806482379035384E-5</v>
      </c>
      <c r="E93" s="37">
        <f>'[1]功能-付费相关'!U93</f>
        <v>2.4901782673005068E-5</v>
      </c>
      <c r="F93" s="37">
        <f>'[1]功能-付费相关'!V93</f>
        <v>2.3540163082271999E-5</v>
      </c>
      <c r="G93" s="37">
        <f>'[1]功能-付费相关'!W93</f>
        <v>2.3226811475719713E-5</v>
      </c>
      <c r="H93" s="37">
        <f>'[1]功能-付费相关'!X93</f>
        <v>4.6698565449080834E-5</v>
      </c>
      <c r="I93" s="37">
        <f>'[1]功能-付费相关'!Y93</f>
        <v>4.4372093299669661E-5</v>
      </c>
      <c r="J93" s="37">
        <f>'[1]功能-付费相关'!Z93</f>
        <v>4.0565121445026753E-5</v>
      </c>
      <c r="K93" s="37">
        <f>'[1]功能-付费相关'!AA93</f>
        <v>3.5492376469749409E-5</v>
      </c>
      <c r="L93" s="37">
        <f>'[1]功能-付费相关'!AB93</f>
        <v>3.5018328095510283E-5</v>
      </c>
    </row>
    <row r="94" spans="2:12" x14ac:dyDescent="0.15">
      <c r="B94" s="36">
        <v>89</v>
      </c>
      <c r="C94" s="37">
        <f>'[1]功能-付费相关'!S94</f>
        <v>2.5883568755300536E-5</v>
      </c>
      <c r="D94" s="37">
        <f>'[1]功能-付费相关'!T94</f>
        <v>2.5287716451867943E-5</v>
      </c>
      <c r="E94" s="37">
        <f>'[1]功能-付费相关'!U94</f>
        <v>2.4387479979755247E-5</v>
      </c>
      <c r="F94" s="37">
        <f>'[1]功能-付费相关'!V94</f>
        <v>2.3158523775863076E-5</v>
      </c>
      <c r="G94" s="37">
        <f>'[1]功能-付费相关'!W94</f>
        <v>2.2851501091081289E-5</v>
      </c>
      <c r="H94" s="37">
        <f>'[1]功能-付费相关'!X94</f>
        <v>4.5579870140071492E-5</v>
      </c>
      <c r="I94" s="37">
        <f>'[1]功能-付费相关'!Y94</f>
        <v>4.3116174840490195E-5</v>
      </c>
      <c r="J94" s="37">
        <f>'[1]功能-付费相关'!Z94</f>
        <v>3.9382001001827937E-5</v>
      </c>
      <c r="K94" s="37">
        <f>'[1]功能-付费相关'!AA94</f>
        <v>3.4886417328462306E-5</v>
      </c>
      <c r="L94" s="37">
        <f>'[1]功能-付费相关'!AB94</f>
        <v>3.4422348638001542E-5</v>
      </c>
    </row>
    <row r="95" spans="2:12" x14ac:dyDescent="0.15">
      <c r="B95" s="36">
        <v>90</v>
      </c>
      <c r="C95" s="37">
        <f>'[1]功能-付费相关'!S95</f>
        <v>2.5392415399100256E-5</v>
      </c>
      <c r="D95" s="37">
        <f>'[1]功能-付费相关'!T95</f>
        <v>2.4786734940535309E-5</v>
      </c>
      <c r="E95" s="37">
        <f>'[1]功能-付费相关'!U95</f>
        <v>2.3882315668510699E-5</v>
      </c>
      <c r="F95" s="37">
        <f>'[1]功能-付费相关'!V95</f>
        <v>2.2788335618306288E-5</v>
      </c>
      <c r="G95" s="37">
        <f>'[1]功能-付费相关'!W95</f>
        <v>2.2484541877459248E-5</v>
      </c>
      <c r="H95" s="37">
        <f>'[1]功能-付费相关'!X95</f>
        <v>4.4474925330109975E-5</v>
      </c>
      <c r="I95" s="37">
        <f>'[1]功能-付费相关'!Y95</f>
        <v>4.1921029283516185E-5</v>
      </c>
      <c r="J95" s="37">
        <f>'[1]功能-付费相关'!Z95</f>
        <v>3.820953754050519E-5</v>
      </c>
      <c r="K95" s="37">
        <f>'[1]功能-付费相关'!AA95</f>
        <v>3.4299748554712673E-5</v>
      </c>
      <c r="L95" s="37">
        <f>'[1]功能-付费相关'!AB95</f>
        <v>3.3840947546531304E-5</v>
      </c>
    </row>
    <row r="96" spans="2:12" x14ac:dyDescent="0.15">
      <c r="B96" s="36">
        <v>91</v>
      </c>
      <c r="C96" s="37">
        <f>'[1]功能-付费相关'!S96</f>
        <v>2.1118711988257705E-5</v>
      </c>
      <c r="D96" s="37">
        <f>'[1]功能-付费相关'!T96</f>
        <v>2.0599283534207581E-5</v>
      </c>
      <c r="E96" s="37">
        <f>'[1]功能-付费相关'!U96</f>
        <v>1.982445074445538E-5</v>
      </c>
      <c r="F96" s="37">
        <f>'[1]功能-付费相关'!V96</f>
        <v>1.9006304887192357E-5</v>
      </c>
      <c r="G96" s="37">
        <f>'[1]功能-付费相关'!W96</f>
        <v>1.873711823121604E-5</v>
      </c>
      <c r="H96" s="37">
        <f>'[1]功能-付费相关'!X96</f>
        <v>3.684655498452726E-5</v>
      </c>
      <c r="I96" s="37">
        <f>'[1]功能-付费相关'!Y96</f>
        <v>3.4613339867452143E-5</v>
      </c>
      <c r="J96" s="37">
        <f>'[1]功能-付费相关'!Z96</f>
        <v>3.1465741944225985E-5</v>
      </c>
      <c r="K96" s="37">
        <f>'[1]功能-付费相关'!AA96</f>
        <v>2.8607326854505307E-5</v>
      </c>
      <c r="L96" s="37">
        <f>'[1]功能-付费相关'!AB96</f>
        <v>2.8200789622109419E-5</v>
      </c>
    </row>
    <row r="97" spans="2:12" x14ac:dyDescent="0.15">
      <c r="B97" s="36">
        <v>92</v>
      </c>
      <c r="C97" s="37">
        <f>'[1]功能-付费相关'!S97</f>
        <v>1.8067688139686755E-5</v>
      </c>
      <c r="D97" s="37">
        <f>'[1]功能-付费相关'!T97</f>
        <v>1.760790391130952E-5</v>
      </c>
      <c r="E97" s="37">
        <f>'[1]功能-付费相关'!U97</f>
        <v>1.6930332924864071E-5</v>
      </c>
      <c r="F97" s="37">
        <f>'[1]功能-付费相关'!V97</f>
        <v>1.629115553166186E-5</v>
      </c>
      <c r="G97" s="37">
        <f>'[1]功能-付费相关'!W97</f>
        <v>1.6060387055328034E-5</v>
      </c>
      <c r="H97" s="37">
        <f>'[1]功能-付费相关'!X97</f>
        <v>3.1404191642116306E-5</v>
      </c>
      <c r="I97" s="37">
        <f>'[1]功能-付费相关'!Y97</f>
        <v>2.9399072198638382E-5</v>
      </c>
      <c r="J97" s="37">
        <f>'[1]功能-付费相关'!Z97</f>
        <v>2.6670010130058525E-5</v>
      </c>
      <c r="K97" s="37">
        <f>'[1]功能-付费相关'!AA97</f>
        <v>2.4520621842969938E-5</v>
      </c>
      <c r="L97" s="37">
        <f>'[1]功能-付费相关'!AB97</f>
        <v>2.4172105390379503E-5</v>
      </c>
    </row>
    <row r="98" spans="2:12" x14ac:dyDescent="0.15">
      <c r="B98" s="36">
        <v>93</v>
      </c>
      <c r="C98" s="37">
        <f>'[1]功能-付费相关'!S98</f>
        <v>1.577574207100125E-5</v>
      </c>
      <c r="D98" s="37">
        <f>'[1]功能-付费相关'!T98</f>
        <v>1.5360013980874359E-5</v>
      </c>
      <c r="E98" s="37">
        <f>'[1]功能-付费相关'!U98</f>
        <v>1.4748284505639293E-5</v>
      </c>
      <c r="F98" s="37">
        <f>'[1]功能-付费相关'!V98</f>
        <v>1.4254761090204128E-5</v>
      </c>
      <c r="G98" s="37">
        <f>'[1]功能-付费相关'!W98</f>
        <v>1.4052838673412029E-5</v>
      </c>
      <c r="H98" s="37">
        <f>'[1]功能-付费相关'!X98</f>
        <v>2.7309831666109449E-5</v>
      </c>
      <c r="I98" s="37">
        <f>'[1]功能-付费相关'!Y98</f>
        <v>2.5468402393471961E-5</v>
      </c>
      <c r="J98" s="37">
        <f>'[1]功能-付费相关'!Z98</f>
        <v>2.3054378897900329E-5</v>
      </c>
      <c r="K98" s="37">
        <f>'[1]功能-付费相关'!AA98</f>
        <v>2.1455544112598697E-5</v>
      </c>
      <c r="L98" s="37">
        <f>'[1]功能-付费相关'!AB98</f>
        <v>2.1150592216582064E-5</v>
      </c>
    </row>
    <row r="99" spans="2:12" x14ac:dyDescent="0.15">
      <c r="B99" s="36">
        <v>94</v>
      </c>
      <c r="C99" s="37">
        <f>'[1]功能-付费相关'!S99</f>
        <v>1.4000511889698789E-5</v>
      </c>
      <c r="D99" s="37">
        <f>'[1]功能-付费相关'!T99</f>
        <v>1.3614290378596538E-5</v>
      </c>
      <c r="E99" s="37">
        <f>'[1]功能-付费相关'!U99</f>
        <v>1.3060532589698238E-5</v>
      </c>
      <c r="F99" s="37">
        <f>'[1]功能-付费相关'!V99</f>
        <v>1.2670898746848113E-5</v>
      </c>
      <c r="G99" s="37">
        <f>'[1]功能-付费相关'!W99</f>
        <v>1.2491412154144026E-5</v>
      </c>
      <c r="H99" s="37">
        <f>'[1]功能-付费相关'!X99</f>
        <v>2.4156587351475369E-5</v>
      </c>
      <c r="I99" s="37">
        <f>'[1]功能-付费相关'!Y99</f>
        <v>2.2449729172931618E-5</v>
      </c>
      <c r="J99" s="37">
        <f>'[1]功能-付费相关'!Z99</f>
        <v>2.0288580592378651E-5</v>
      </c>
      <c r="K99" s="37">
        <f>'[1]功能-付费相关'!AA99</f>
        <v>1.9071594766754396E-5</v>
      </c>
      <c r="L99" s="37">
        <f>'[1]功能-付费相关'!AB99</f>
        <v>1.8800526414739612E-5</v>
      </c>
    </row>
    <row r="100" spans="2:12" x14ac:dyDescent="0.15">
      <c r="B100" s="36">
        <v>95</v>
      </c>
      <c r="C100" s="37">
        <f>'[1]功能-付费相关'!S100</f>
        <v>1.2574122454609685E-5</v>
      </c>
      <c r="D100" s="37">
        <f>'[1]功能-付费相关'!T100</f>
        <v>1.2214619045899052E-5</v>
      </c>
      <c r="E100" s="37">
        <f>'[1]功能-付费相关'!U100</f>
        <v>1.1715921807569796E-5</v>
      </c>
      <c r="F100" s="37">
        <f>'[1]功能-付费相关'!V100</f>
        <v>1.1403808872163303E-5</v>
      </c>
      <c r="G100" s="37">
        <f>'[1]功能-付费相关'!W100</f>
        <v>1.1242270938729624E-5</v>
      </c>
      <c r="H100" s="37">
        <f>'[1]功能-付费相关'!X100</f>
        <v>2.1622225876153665E-5</v>
      </c>
      <c r="I100" s="37">
        <f>'[1]功能-付费相关'!Y100</f>
        <v>2.0027504656080864E-5</v>
      </c>
      <c r="J100" s="37">
        <f>'[1]功能-付费相关'!Z100</f>
        <v>1.8101083078384695E-5</v>
      </c>
      <c r="K100" s="37">
        <f>'[1]功能-付费相关'!AA100</f>
        <v>1.7164435290078956E-5</v>
      </c>
      <c r="L100" s="37">
        <f>'[1]功能-付费相关'!AB100</f>
        <v>1.6920473773265652E-5</v>
      </c>
    </row>
    <row r="101" spans="2:12" x14ac:dyDescent="0.15">
      <c r="B101" s="36">
        <v>96</v>
      </c>
      <c r="C101" s="37">
        <f>'[1]功能-付费相关'!S101</f>
        <v>1.1407443640600685E-5</v>
      </c>
      <c r="D101" s="37">
        <f>'[1]功能-付费相关'!T101</f>
        <v>1.107259341920733E-5</v>
      </c>
      <c r="E101" s="37">
        <f>'[1]功能-付费相关'!U101</f>
        <v>1.0613721733868704E-5</v>
      </c>
      <c r="F101" s="37">
        <f>'[1]功能-付费相关'!V101</f>
        <v>1.0367098974693912E-5</v>
      </c>
      <c r="G101" s="37">
        <f>'[1]功能-付费相关'!W101</f>
        <v>1.0220246307936021E-5</v>
      </c>
      <c r="H101" s="37">
        <f>'[1]功能-付费相关'!X101</f>
        <v>1.9537534791543389E-5</v>
      </c>
      <c r="I101" s="37">
        <f>'[1]功能-付费相关'!Y101</f>
        <v>1.806190852807465E-5</v>
      </c>
      <c r="J101" s="37">
        <f>'[1]功能-付费相关'!Z101</f>
        <v>1.6304516530005503E-5</v>
      </c>
      <c r="K101" s="37">
        <f>'[1]功能-付费相关'!AA101</f>
        <v>1.5604032081889959E-5</v>
      </c>
      <c r="L101" s="37">
        <f>'[1]功能-付费相关'!AB101</f>
        <v>1.5382248884786955E-5</v>
      </c>
    </row>
    <row r="102" spans="2:12" x14ac:dyDescent="0.15">
      <c r="B102" s="36">
        <v>97</v>
      </c>
      <c r="C102" s="37">
        <f>'[1]功能-付费相关'!S102</f>
        <v>1.0435062797968037E-5</v>
      </c>
      <c r="D102" s="37">
        <f>'[1]功能-付费相关'!T102</f>
        <v>1.0121586404015847E-5</v>
      </c>
      <c r="E102" s="37">
        <f>'[1]功能-付费相关'!U102</f>
        <v>9.69020013459872E-6</v>
      </c>
      <c r="F102" s="37">
        <f>'[1]功能-付费相关'!V102</f>
        <v>9.5031740601360863E-6</v>
      </c>
      <c r="G102" s="37">
        <f>'[1]功能-付费相关'!W102</f>
        <v>9.3685591156080201E-6</v>
      </c>
      <c r="H102" s="37">
        <f>'[1]功能-付费相关'!X102</f>
        <v>1.7800421195783857E-5</v>
      </c>
      <c r="I102" s="37">
        <f>'[1]功能-付费相关'!Y102</f>
        <v>1.6428342287660064E-5</v>
      </c>
      <c r="J102" s="37">
        <f>'[1]功能-付费相关'!Z102</f>
        <v>1.4788882906493675E-5</v>
      </c>
      <c r="K102" s="37">
        <f>'[1]功能-付费相关'!AA102</f>
        <v>1.4303696075065797E-5</v>
      </c>
      <c r="L102" s="37">
        <f>'[1]功能-付费相关'!AB102</f>
        <v>1.4100394811054709E-5</v>
      </c>
    </row>
    <row r="103" spans="2:12" x14ac:dyDescent="0.15">
      <c r="B103" s="36">
        <v>98</v>
      </c>
      <c r="C103" s="37">
        <f>'[1]功能-付费相关'!S103</f>
        <v>9.6163057683927161E-6</v>
      </c>
      <c r="D103" s="37">
        <f>'[1]功能-付费相关'!T103</f>
        <v>9.3215887140993436E-6</v>
      </c>
      <c r="E103" s="37">
        <f>'[1]功能-付费相关'!U103</f>
        <v>8.9168849095398593E-6</v>
      </c>
      <c r="F103" s="37">
        <f>'[1]功能-付费相关'!V103</f>
        <v>8.7721606708948474E-6</v>
      </c>
      <c r="G103" s="37">
        <f>'[1]功能-付费相关'!W103</f>
        <v>8.6479007220997099E-6</v>
      </c>
      <c r="H103" s="37">
        <f>'[1]功能-付费相关'!X103</f>
        <v>1.6351302476574878E-5</v>
      </c>
      <c r="I103" s="37">
        <f>'[1]功能-付费相关'!Y103</f>
        <v>1.5068306613276842E-5</v>
      </c>
      <c r="J103" s="37">
        <f>'[1]功能-付费相关'!Z103</f>
        <v>1.3540373277873476E-5</v>
      </c>
      <c r="K103" s="37">
        <f>'[1]功能-付费相关'!AA103</f>
        <v>1.3203411761599196E-5</v>
      </c>
      <c r="L103" s="37">
        <f>'[1]功能-付费相关'!AB103</f>
        <v>1.3015749056358193E-5</v>
      </c>
    </row>
    <row r="104" spans="2:12" x14ac:dyDescent="0.15">
      <c r="B104" s="36">
        <v>99</v>
      </c>
      <c r="C104" s="37">
        <f>'[1]功能-付费相关'!S104</f>
        <v>8.9134987995032823E-6</v>
      </c>
      <c r="D104" s="37">
        <f>'[1]功能-付费相关'!T104</f>
        <v>8.6346453156484254E-6</v>
      </c>
      <c r="E104" s="37">
        <f>'[1]功能-付费相关'!U104</f>
        <v>8.2543977843583167E-6</v>
      </c>
      <c r="F104" s="37">
        <f>'[1]功能-付费相关'!V104</f>
        <v>8.1455777658309301E-6</v>
      </c>
      <c r="G104" s="37">
        <f>'[1]功能-付费相关'!W104</f>
        <v>8.0301935276640168E-6</v>
      </c>
      <c r="H104" s="37">
        <f>'[1]功能-付费相关'!X104</f>
        <v>1.5104674662396511E-5</v>
      </c>
      <c r="I104" s="37">
        <f>'[1]功能-付费相关'!Y104</f>
        <v>1.3897817858935797E-5</v>
      </c>
      <c r="J104" s="37">
        <f>'[1]功能-付费相关'!Z104</f>
        <v>1.2472638134349683E-5</v>
      </c>
      <c r="K104" s="37">
        <f>'[1]功能-付费相关'!AA104</f>
        <v>1.2260310921484969E-5</v>
      </c>
      <c r="L104" s="37">
        <f>'[1]功能-付费相关'!AB104</f>
        <v>1.2086052695189752E-5</v>
      </c>
    </row>
    <row r="105" spans="2:12" x14ac:dyDescent="0.15">
      <c r="B105" s="36">
        <v>100</v>
      </c>
      <c r="C105" s="37">
        <f>'[1]功能-付费相关'!S105</f>
        <v>8.3033912028988308E-6</v>
      </c>
      <c r="D105" s="37">
        <f>'[1]功能-付费相关'!T105</f>
        <v>8.0384468633791703E-6</v>
      </c>
      <c r="E105" s="37">
        <f>'[1]功能-付费相关'!U105</f>
        <v>7.685361308048496E-6</v>
      </c>
      <c r="F105" s="37">
        <f>'[1]功能-付费相关'!V105</f>
        <v>7.602539248108868E-6</v>
      </c>
      <c r="G105" s="37">
        <f>'[1]功能-付费相关'!W105</f>
        <v>7.4948472924864153E-6</v>
      </c>
      <c r="H105" s="37">
        <f>'[1]功能-付费相关'!X105</f>
        <v>1.4019833644237442E-5</v>
      </c>
      <c r="I105" s="37">
        <f>'[1]功能-付费相关'!Y105</f>
        <v>1.2880416385827854E-5</v>
      </c>
      <c r="J105" s="37">
        <f>'[1]功能-付费相关'!Z105</f>
        <v>1.1568049048527965E-5</v>
      </c>
      <c r="K105" s="37">
        <f>'[1]功能-付费相关'!AA105</f>
        <v>1.1442956860052638E-5</v>
      </c>
      <c r="L105" s="37">
        <f>'[1]功能-付费相关'!AB105</f>
        <v>1.1280315848843767E-5</v>
      </c>
    </row>
    <row r="106" spans="2:12" x14ac:dyDescent="0.15">
      <c r="B106" s="36">
        <v>101</v>
      </c>
      <c r="C106" s="37">
        <f>'[1]功能-付费相关'!S106</f>
        <v>8.2864463330651032E-6</v>
      </c>
      <c r="D106" s="37">
        <f>'[1]功能-付费相关'!T106</f>
        <v>8.0162365887527351E-6</v>
      </c>
      <c r="E106" s="37">
        <f>'[1]功能-付费相关'!U106</f>
        <v>7.685361308048496E-6</v>
      </c>
      <c r="F106" s="37">
        <f>'[1]功能-付费相关'!V106</f>
        <v>7.602539248108868E-6</v>
      </c>
      <c r="G106" s="37">
        <f>'[1]功能-付费相关'!W106</f>
        <v>7.4948472924864153E-6</v>
      </c>
      <c r="H106" s="37">
        <f>'[1]功能-付费相关'!X106</f>
        <v>1.3937340021292671E-5</v>
      </c>
      <c r="I106" s="37">
        <f>'[1]功能-付费相关'!Y106</f>
        <v>1.2783127887618795E-5</v>
      </c>
      <c r="J106" s="37">
        <f>'[1]功能-付费相关'!Z106</f>
        <v>1.1568049048527965E-5</v>
      </c>
      <c r="K106" s="37">
        <f>'[1]功能-付费相关'!AA106</f>
        <v>1.1442956860052638E-5</v>
      </c>
      <c r="L106" s="37">
        <f>'[1]功能-付费相关'!AB106</f>
        <v>1.1280315848843767E-5</v>
      </c>
    </row>
    <row r="107" spans="2:12" x14ac:dyDescent="0.15">
      <c r="B107" s="36">
        <v>102</v>
      </c>
      <c r="C107" s="37">
        <f>'[1]功能-付费相关'!S107</f>
        <v>8.2683637347774096E-6</v>
      </c>
      <c r="D107" s="37">
        <f>'[1]功能-付费相关'!T107</f>
        <v>7.993639991995212E-6</v>
      </c>
      <c r="E107" s="37">
        <f>'[1]功能-付费相关'!U107</f>
        <v>7.685361308048496E-6</v>
      </c>
      <c r="F107" s="37">
        <f>'[1]功能-付费相关'!V107</f>
        <v>7.602539248108868E-6</v>
      </c>
      <c r="G107" s="37">
        <f>'[1]功能-付费相关'!W107</f>
        <v>7.4948472924864153E-6</v>
      </c>
      <c r="H107" s="37">
        <f>'[1]功能-付费相关'!X107</f>
        <v>1.385000549158766E-5</v>
      </c>
      <c r="I107" s="37">
        <f>'[1]功能-付费相关'!Y107</f>
        <v>1.2685101676539011E-5</v>
      </c>
      <c r="J107" s="37">
        <f>'[1]功能-付费相关'!Z107</f>
        <v>1.1568049048527965E-5</v>
      </c>
      <c r="K107" s="37">
        <f>'[1]功能-付费相关'!AA107</f>
        <v>1.1442956860052638E-5</v>
      </c>
      <c r="L107" s="37">
        <f>'[1]功能-付费相关'!AB107</f>
        <v>1.1280315848843767E-5</v>
      </c>
    </row>
    <row r="108" spans="2:12" x14ac:dyDescent="0.15">
      <c r="B108" s="36">
        <v>103</v>
      </c>
      <c r="C108" s="37">
        <f>'[1]功能-付费相关'!S108</f>
        <v>8.2490707004170514E-6</v>
      </c>
      <c r="D108" s="37">
        <f>'[1]功能-付费相关'!T108</f>
        <v>7.9697940139784422E-6</v>
      </c>
      <c r="E108" s="37">
        <f>'[1]功能-付费相关'!U108</f>
        <v>7.685361308048496E-6</v>
      </c>
      <c r="F108" s="37">
        <f>'[1]功能-付费相关'!V108</f>
        <v>7.602539248108868E-6</v>
      </c>
      <c r="G108" s="37">
        <f>'[1]功能-付费相关'!W108</f>
        <v>7.4948472924864153E-6</v>
      </c>
      <c r="H108" s="37">
        <f>'[1]功能-付费相关'!X108</f>
        <v>1.375760972452014E-5</v>
      </c>
      <c r="I108" s="37">
        <f>'[1]功能-付费相关'!Y108</f>
        <v>1.2582684237027383E-5</v>
      </c>
      <c r="J108" s="37">
        <f>'[1]功能-付费相关'!Z108</f>
        <v>1.1568049048527965E-5</v>
      </c>
      <c r="K108" s="37">
        <f>'[1]功能-付费相关'!AA108</f>
        <v>1.1442956860052638E-5</v>
      </c>
      <c r="L108" s="37">
        <f>'[1]功能-付费相关'!AB108</f>
        <v>1.1280315848843767E-5</v>
      </c>
    </row>
    <row r="109" spans="2:12" x14ac:dyDescent="0.15">
      <c r="B109" s="36">
        <v>104</v>
      </c>
      <c r="C109" s="37">
        <f>'[1]功能-付费相关'!S109</f>
        <v>8.2284926489379726E-6</v>
      </c>
      <c r="D109" s="37">
        <f>'[1]功能-付费相关'!T109</f>
        <v>7.9432685904351814E-6</v>
      </c>
      <c r="E109" s="37">
        <f>'[1]功能-付费相关'!U109</f>
        <v>7.685361308048496E-6</v>
      </c>
      <c r="F109" s="37">
        <f>'[1]功能-付费相关'!V109</f>
        <v>7.602539248108868E-6</v>
      </c>
      <c r="G109" s="37">
        <f>'[1]功能-付费相关'!W109</f>
        <v>7.4948472924864153E-6</v>
      </c>
      <c r="H109" s="37">
        <f>'[1]功能-付费相关'!X109</f>
        <v>1.3659941349089977E-5</v>
      </c>
      <c r="I109" s="37">
        <f>'[1]功能-付费相关'!Y109</f>
        <v>1.2469980514302416E-5</v>
      </c>
      <c r="J109" s="37">
        <f>'[1]功能-付费相关'!Z109</f>
        <v>1.1568049048527965E-5</v>
      </c>
      <c r="K109" s="37">
        <f>'[1]功能-付费相关'!AA109</f>
        <v>1.1442956860052638E-5</v>
      </c>
      <c r="L109" s="37">
        <f>'[1]功能-付费相关'!AB109</f>
        <v>1.1280315848843767E-5</v>
      </c>
    </row>
    <row r="110" spans="2:12" x14ac:dyDescent="0.15">
      <c r="B110" s="36">
        <v>105</v>
      </c>
      <c r="C110" s="37">
        <f>'[1]功能-付费相关'!S110</f>
        <v>7.8018943813488739E-6</v>
      </c>
      <c r="D110" s="37">
        <f>'[1]功能-付费相关'!T110</f>
        <v>7.5359478574590804E-6</v>
      </c>
      <c r="E110" s="37">
        <f>'[1]功能-付费相关'!U110</f>
        <v>7.3104224693145021E-6</v>
      </c>
      <c r="F110" s="37">
        <f>'[1]功能-付费相关'!V110</f>
        <v>7.2206336828120038E-6</v>
      </c>
      <c r="G110" s="37">
        <f>'[1]功能-付费相关'!W110</f>
        <v>7.1042909917590236E-6</v>
      </c>
      <c r="H110" s="37">
        <f>'[1]功能-付费相关'!X110</f>
        <v>1.2836311735363569E-5</v>
      </c>
      <c r="I110" s="37">
        <f>'[1]功能-付费相关'!Y110</f>
        <v>1.1755820740325598E-5</v>
      </c>
      <c r="J110" s="37">
        <f>'[1]功能-付费相关'!Z110</f>
        <v>1.1001826303166326E-5</v>
      </c>
      <c r="K110" s="37">
        <f>'[1]功能-付费相关'!AA110</f>
        <v>1.0866258095362281E-5</v>
      </c>
      <c r="L110" s="37">
        <f>'[1]功能-付费相关'!AB110</f>
        <v>1.0690613641223006E-5</v>
      </c>
    </row>
    <row r="111" spans="2:12" x14ac:dyDescent="0.15">
      <c r="B111" s="36">
        <v>106</v>
      </c>
      <c r="C111" s="37">
        <f>'[1]功能-付费相关'!S111</f>
        <v>7.7858018818506688E-6</v>
      </c>
      <c r="D111" s="37">
        <f>'[1]功能-付费相关'!T111</f>
        <v>7.5179198454050981E-6</v>
      </c>
      <c r="E111" s="37">
        <f>'[1]功能-付费相关'!U111</f>
        <v>7.3104224693145021E-6</v>
      </c>
      <c r="F111" s="37">
        <f>'[1]功能-付费相关'!V111</f>
        <v>7.2206336828120038E-6</v>
      </c>
      <c r="G111" s="37">
        <f>'[1]功能-付费相关'!W111</f>
        <v>7.1042909917590236E-6</v>
      </c>
      <c r="H111" s="37">
        <f>'[1]功能-付费相关'!X111</f>
        <v>1.2761914059884698E-5</v>
      </c>
      <c r="I111" s="37">
        <f>'[1]功能-付费相关'!Y111</f>
        <v>1.1680913253986533E-5</v>
      </c>
      <c r="J111" s="37">
        <f>'[1]功能-付费相关'!Z111</f>
        <v>1.1001826303166326E-5</v>
      </c>
      <c r="K111" s="37">
        <f>'[1]功能-付费相关'!AA111</f>
        <v>1.0866258095362281E-5</v>
      </c>
      <c r="L111" s="37">
        <f>'[1]功能-付费相关'!AB111</f>
        <v>1.0690613641223006E-5</v>
      </c>
    </row>
    <row r="112" spans="2:12" x14ac:dyDescent="0.15">
      <c r="B112" s="36">
        <v>107</v>
      </c>
      <c r="C112" s="37">
        <f>'[1]功能-付费相关'!S112</f>
        <v>7.7686279095604325E-6</v>
      </c>
      <c r="D112" s="37">
        <f>'[1]功能-付费相关'!T112</f>
        <v>7.4990119970147806E-6</v>
      </c>
      <c r="E112" s="37">
        <f>'[1]功能-付费相关'!U112</f>
        <v>7.3104224693145021E-6</v>
      </c>
      <c r="F112" s="37">
        <f>'[1]功能-付费相关'!V112</f>
        <v>7.2206336828120038E-6</v>
      </c>
      <c r="G112" s="37">
        <f>'[1]功能-付费相关'!W112</f>
        <v>7.1042909917590236E-6</v>
      </c>
      <c r="H112" s="37">
        <f>'[1]功能-付费相关'!X112</f>
        <v>1.2683128161535513E-5</v>
      </c>
      <c r="I112" s="37">
        <f>'[1]功能-付费相关'!Y112</f>
        <v>1.16029894270447E-5</v>
      </c>
      <c r="J112" s="37">
        <f>'[1]功能-付费相关'!Z112</f>
        <v>1.1001826303166326E-5</v>
      </c>
      <c r="K112" s="37">
        <f>'[1]功能-付费相关'!AA112</f>
        <v>1.0866258095362281E-5</v>
      </c>
      <c r="L112" s="37">
        <f>'[1]功能-付费相关'!AB112</f>
        <v>1.0690613641223006E-5</v>
      </c>
    </row>
    <row r="113" spans="2:12" x14ac:dyDescent="0.15">
      <c r="B113" s="36">
        <v>108</v>
      </c>
      <c r="C113" s="37">
        <f>'[1]功能-付费相关'!S113</f>
        <v>7.7541466785706589E-6</v>
      </c>
      <c r="D113" s="37">
        <f>'[1]功能-付费相关'!T113</f>
        <v>7.4813853743646957E-6</v>
      </c>
      <c r="E113" s="37">
        <f>'[1]功能-付费相关'!U113</f>
        <v>7.3104224693145021E-6</v>
      </c>
      <c r="F113" s="37">
        <f>'[1]功能-付费相关'!V113</f>
        <v>7.2206336828120038E-6</v>
      </c>
      <c r="G113" s="37">
        <f>'[1]功能-付费相关'!W113</f>
        <v>7.1042909917590236E-6</v>
      </c>
      <c r="H113" s="37">
        <f>'[1]功能-付费相关'!X113</f>
        <v>1.2617180552706496E-5</v>
      </c>
      <c r="I113" s="37">
        <f>'[1]功能-付费相关'!Y113</f>
        <v>1.1530928406108019E-5</v>
      </c>
      <c r="J113" s="37">
        <f>'[1]功能-付费相关'!Z113</f>
        <v>1.1001826303166326E-5</v>
      </c>
      <c r="K113" s="37">
        <f>'[1]功能-付费相关'!AA113</f>
        <v>1.0866258095362281E-5</v>
      </c>
      <c r="L113" s="37">
        <f>'[1]功能-付费相关'!AB113</f>
        <v>1.0690613641223006E-5</v>
      </c>
    </row>
    <row r="114" spans="2:12" x14ac:dyDescent="0.15">
      <c r="B114" s="36">
        <v>109</v>
      </c>
      <c r="C114" s="37">
        <f>'[1]功能-付费相关'!S114</f>
        <v>7.7412204003608284E-6</v>
      </c>
      <c r="D114" s="37">
        <f>'[1]功能-付费相关'!T114</f>
        <v>7.4654834669187596E-6</v>
      </c>
      <c r="E114" s="37">
        <f>'[1]功能-付费相关'!U114</f>
        <v>7.3104224693145021E-6</v>
      </c>
      <c r="F114" s="37">
        <f>'[1]功能-付费相关'!V114</f>
        <v>7.2206336828120038E-6</v>
      </c>
      <c r="G114" s="37">
        <f>'[1]功能-付费相关'!W114</f>
        <v>7.1042909917590236E-6</v>
      </c>
      <c r="H114" s="37">
        <f>'[1]功能-付费相关'!X114</f>
        <v>1.2558685415988893E-5</v>
      </c>
      <c r="I114" s="37">
        <f>'[1]功能-付费相关'!Y114</f>
        <v>1.1466395140481911E-5</v>
      </c>
      <c r="J114" s="37">
        <f>'[1]功能-付费相关'!Z114</f>
        <v>1.1001826303166326E-5</v>
      </c>
      <c r="K114" s="37">
        <f>'[1]功能-付费相关'!AA114</f>
        <v>1.0866258095362281E-5</v>
      </c>
      <c r="L114" s="37">
        <f>'[1]功能-付费相关'!AB114</f>
        <v>1.0690613641223006E-5</v>
      </c>
    </row>
    <row r="115" spans="2:12" x14ac:dyDescent="0.15">
      <c r="B115" s="36">
        <v>110</v>
      </c>
      <c r="C115" s="37">
        <f>'[1]功能-付费相关'!S115</f>
        <v>7.7274141204613597E-6</v>
      </c>
      <c r="D115" s="37">
        <f>'[1]功能-付费相关'!T115</f>
        <v>7.4477019876018935E-6</v>
      </c>
      <c r="E115" s="37">
        <f>'[1]功能-付费相关'!U115</f>
        <v>7.3104224693145021E-6</v>
      </c>
      <c r="F115" s="37">
        <f>'[1]功能-付费相关'!V115</f>
        <v>7.2206336828120038E-6</v>
      </c>
      <c r="G115" s="37">
        <f>'[1]功能-付费相关'!W115</f>
        <v>7.1042909917590236E-6</v>
      </c>
      <c r="H115" s="37">
        <f>'[1]功能-付费相关'!X115</f>
        <v>1.249659107806397E-5</v>
      </c>
      <c r="I115" s="37">
        <f>'[1]功能-付费相关'!Y115</f>
        <v>1.139476379687726E-5</v>
      </c>
      <c r="J115" s="37">
        <f>'[1]功能-付费相关'!Z115</f>
        <v>1.1001826303166326E-5</v>
      </c>
      <c r="K115" s="37">
        <f>'[1]功能-付费相关'!AA115</f>
        <v>1.0866258095362281E-5</v>
      </c>
      <c r="L115" s="37">
        <f>'[1]功能-付费相关'!AB115</f>
        <v>1.0690613641223006E-5</v>
      </c>
    </row>
    <row r="116" spans="2:12" x14ac:dyDescent="0.15">
      <c r="B116" s="36">
        <v>111</v>
      </c>
      <c r="C116" s="37">
        <f>'[1]功能-付费相关'!S116</f>
        <v>7.7126714867867166E-6</v>
      </c>
      <c r="D116" s="37">
        <f>'[1]功能-付费相关'!T116</f>
        <v>7.4283398340390719E-6</v>
      </c>
      <c r="E116" s="37">
        <f>'[1]功能-付费相关'!U116</f>
        <v>7.3104224693145021E-6</v>
      </c>
      <c r="F116" s="37">
        <f>'[1]功能-付费相关'!V116</f>
        <v>7.2206336828120038E-6</v>
      </c>
      <c r="G116" s="37">
        <f>'[1]功能-付费相关'!W116</f>
        <v>7.1042909917590236E-6</v>
      </c>
      <c r="H116" s="37">
        <f>'[1]功能-付费相关'!X116</f>
        <v>1.2430718139486718E-5</v>
      </c>
      <c r="I116" s="37">
        <f>'[1]功能-付费相关'!Y116</f>
        <v>1.1317393448302181E-5</v>
      </c>
      <c r="J116" s="37">
        <f>'[1]功能-付费相关'!Z116</f>
        <v>1.1001826303166326E-5</v>
      </c>
      <c r="K116" s="37">
        <f>'[1]功能-付费相关'!AA116</f>
        <v>1.0866258095362281E-5</v>
      </c>
      <c r="L116" s="37">
        <f>'[1]功能-付费相关'!AB116</f>
        <v>1.0690613641223006E-5</v>
      </c>
    </row>
    <row r="117" spans="2:12" x14ac:dyDescent="0.15">
      <c r="B117" s="36">
        <v>112</v>
      </c>
      <c r="C117" s="37">
        <f>'[1]功能-付费相关'!S117</f>
        <v>7.700616062976748E-6</v>
      </c>
      <c r="D117" s="37">
        <f>'[1]功能-付费相关'!T117</f>
        <v>7.4129675451906183E-6</v>
      </c>
      <c r="E117" s="37">
        <f>'[1]功能-付费相关'!U117</f>
        <v>7.3104224693145021E-6</v>
      </c>
      <c r="F117" s="37">
        <f>'[1]功能-付费相关'!V117</f>
        <v>7.2206336828120038E-6</v>
      </c>
      <c r="G117" s="37">
        <f>'[1]功能-付费相关'!W117</f>
        <v>7.1042909917590236E-6</v>
      </c>
      <c r="H117" s="37">
        <f>'[1]功能-付费相关'!X117</f>
        <v>1.2377181223076715E-5</v>
      </c>
      <c r="I117" s="37">
        <f>'[1]功能-付费相关'!Y117</f>
        <v>1.1256427843572248E-5</v>
      </c>
      <c r="J117" s="37">
        <f>'[1]功能-付费相关'!Z117</f>
        <v>1.1001826303166326E-5</v>
      </c>
      <c r="K117" s="37">
        <f>'[1]功能-付费相关'!AA117</f>
        <v>1.0866258095362281E-5</v>
      </c>
      <c r="L117" s="37">
        <f>'[1]功能-付费相关'!AB117</f>
        <v>1.0690613641223006E-5</v>
      </c>
    </row>
    <row r="118" spans="2:12" x14ac:dyDescent="0.15">
      <c r="B118" s="36">
        <v>113</v>
      </c>
      <c r="C118" s="37">
        <f>'[1]功能-付费相关'!S118</f>
        <v>7.6878932084179934E-6</v>
      </c>
      <c r="D118" s="37">
        <f>'[1]功能-付费相关'!T118</f>
        <v>7.3966454786091637E-6</v>
      </c>
      <c r="E118" s="37">
        <f>'[1]功能-付费相关'!U118</f>
        <v>7.3104224693145021E-6</v>
      </c>
      <c r="F118" s="37">
        <f>'[1]功能-付费相关'!V118</f>
        <v>7.2206336828120038E-6</v>
      </c>
      <c r="G118" s="37">
        <f>'[1]功能-付费相关'!W118</f>
        <v>7.1042909917590236E-6</v>
      </c>
      <c r="H118" s="37">
        <f>'[1]功能-付费相关'!X118</f>
        <v>1.2320998522486394E-5</v>
      </c>
      <c r="I118" s="37">
        <f>'[1]功能-付费相关'!Y118</f>
        <v>1.1192137598461956E-5</v>
      </c>
      <c r="J118" s="37">
        <f>'[1]功能-付费相关'!Z118</f>
        <v>1.1001826303166326E-5</v>
      </c>
      <c r="K118" s="37">
        <f>'[1]功能-付费相关'!AA118</f>
        <v>1.0866258095362281E-5</v>
      </c>
      <c r="L118" s="37">
        <f>'[1]功能-付费相关'!AB118</f>
        <v>1.0690613641223006E-5</v>
      </c>
    </row>
    <row r="119" spans="2:12" x14ac:dyDescent="0.15">
      <c r="B119" s="36">
        <v>114</v>
      </c>
      <c r="C119" s="37">
        <f>'[1]功能-付费相关'!S119</f>
        <v>7.6743037835223951E-6</v>
      </c>
      <c r="D119" s="37">
        <f>'[1]功能-付费相关'!T119</f>
        <v>7.3792838519634006E-6</v>
      </c>
      <c r="E119" s="37">
        <f>'[1]功能-付费相关'!U119</f>
        <v>7.3104224693145021E-6</v>
      </c>
      <c r="F119" s="37">
        <f>'[1]功能-付费相关'!V119</f>
        <v>7.2206336828120038E-6</v>
      </c>
      <c r="G119" s="37">
        <f>'[1]功能-付费相关'!W119</f>
        <v>7.1042909917590236E-6</v>
      </c>
      <c r="H119" s="37">
        <f>'[1]功能-付费相关'!X119</f>
        <v>1.2261346930094031E-5</v>
      </c>
      <c r="I119" s="37">
        <f>'[1]功能-付费相关'!Y119</f>
        <v>1.1124247213480153E-5</v>
      </c>
      <c r="J119" s="37">
        <f>'[1]功能-付费相关'!Z119</f>
        <v>1.1001826303166326E-5</v>
      </c>
      <c r="K119" s="37">
        <f>'[1]功能-付费相关'!AA119</f>
        <v>1.0866258095362281E-5</v>
      </c>
      <c r="L119" s="37">
        <f>'[1]功能-付费相关'!AB119</f>
        <v>1.0690613641223006E-5</v>
      </c>
    </row>
    <row r="120" spans="2:12" x14ac:dyDescent="0.15">
      <c r="B120" s="36">
        <v>115</v>
      </c>
      <c r="C120" s="37">
        <f>'[1]功能-付费相关'!S120</f>
        <v>7.6614067570409488E-6</v>
      </c>
      <c r="D120" s="37">
        <f>'[1]功能-付费相关'!T120</f>
        <v>7.3715326153460577E-6</v>
      </c>
      <c r="E120" s="37">
        <f>'[1]功能-付费相关'!U120</f>
        <v>7.3104224693145021E-6</v>
      </c>
      <c r="F120" s="37">
        <f>'[1]功能-付费相关'!V120</f>
        <v>7.2206336828120038E-6</v>
      </c>
      <c r="G120" s="37">
        <f>'[1]功能-付费相关'!W120</f>
        <v>7.1042909917590236E-6</v>
      </c>
      <c r="H120" s="37">
        <f>'[1]功能-付费相关'!X120</f>
        <v>1.2205073437749292E-5</v>
      </c>
      <c r="I120" s="37">
        <f>'[1]功能-付费相关'!Y120</f>
        <v>1.1094100157536222E-5</v>
      </c>
      <c r="J120" s="37">
        <f>'[1]功能-付费相关'!Z120</f>
        <v>1.1001826303166326E-5</v>
      </c>
      <c r="K120" s="37">
        <f>'[1]功能-付费相关'!AA120</f>
        <v>1.0866258095362281E-5</v>
      </c>
      <c r="L120" s="37">
        <f>'[1]功能-付费相关'!AB120</f>
        <v>1.0690613641223006E-5</v>
      </c>
    </row>
    <row r="121" spans="2:12" x14ac:dyDescent="0.15">
      <c r="B121" s="36">
        <v>116</v>
      </c>
      <c r="C121" s="37">
        <f>'[1]功能-付费相关'!S121</f>
        <v>7.6494174766769083E-6</v>
      </c>
      <c r="D121" s="37">
        <f>'[1]功能-付费相关'!T121</f>
        <v>7.3715326153460577E-6</v>
      </c>
      <c r="E121" s="37">
        <f>'[1]功能-付费相关'!U121</f>
        <v>7.3104224693145021E-6</v>
      </c>
      <c r="F121" s="37">
        <f>'[1]功能-付费相关'!V121</f>
        <v>7.2206336828120038E-6</v>
      </c>
      <c r="G121" s="37">
        <f>'[1]功能-付费相关'!W121</f>
        <v>7.1042909917590236E-6</v>
      </c>
      <c r="H121" s="37">
        <f>'[1]功能-付费相关'!X121</f>
        <v>1.215305404666841E-5</v>
      </c>
      <c r="I121" s="37">
        <f>'[1]功能-付费相关'!Y121</f>
        <v>1.1094100157536222E-5</v>
      </c>
      <c r="J121" s="37">
        <f>'[1]功能-付费相关'!Z121</f>
        <v>1.1001826303166326E-5</v>
      </c>
      <c r="K121" s="37">
        <f>'[1]功能-付费相关'!AA121</f>
        <v>1.0866258095362281E-5</v>
      </c>
      <c r="L121" s="37">
        <f>'[1]功能-付费相关'!AB121</f>
        <v>1.0690613641223006E-5</v>
      </c>
    </row>
    <row r="122" spans="2:12" x14ac:dyDescent="0.15">
      <c r="B122" s="36">
        <v>117</v>
      </c>
      <c r="C122" s="37">
        <f>'[1]功能-付费相关'!S122</f>
        <v>7.6366092747476712E-6</v>
      </c>
      <c r="D122" s="37">
        <f>'[1]功能-付费相关'!T122</f>
        <v>7.3715326153460577E-6</v>
      </c>
      <c r="E122" s="37">
        <f>'[1]功能-付费相关'!U122</f>
        <v>7.3104224693145021E-6</v>
      </c>
      <c r="F122" s="37">
        <f>'[1]功能-付费相关'!V122</f>
        <v>7.2206336828120038E-6</v>
      </c>
      <c r="G122" s="37">
        <f>'[1]功能-付费相关'!W122</f>
        <v>7.1042909917590236E-6</v>
      </c>
      <c r="H122" s="37">
        <f>'[1]功能-付费相关'!X122</f>
        <v>1.2097791111436361E-5</v>
      </c>
      <c r="I122" s="37">
        <f>'[1]功能-付费相关'!Y122</f>
        <v>1.1094100157536222E-5</v>
      </c>
      <c r="J122" s="37">
        <f>'[1]功能-付费相关'!Z122</f>
        <v>1.1001826303166326E-5</v>
      </c>
      <c r="K122" s="37">
        <f>'[1]功能-付费相关'!AA122</f>
        <v>1.0866258095362281E-5</v>
      </c>
      <c r="L122" s="37">
        <f>'[1]功能-付费相关'!AB122</f>
        <v>1.0690613641223006E-5</v>
      </c>
    </row>
    <row r="123" spans="2:12" x14ac:dyDescent="0.15">
      <c r="B123" s="36">
        <v>118</v>
      </c>
      <c r="C123" s="37">
        <f>'[1]功能-付费相关'!S123</f>
        <v>7.622929318932863E-6</v>
      </c>
      <c r="D123" s="37">
        <f>'[1]功能-付费相关'!T123</f>
        <v>7.3715326153460577E-6</v>
      </c>
      <c r="E123" s="37">
        <f>'[1]功能-付费相关'!U123</f>
        <v>7.3104224693145021E-6</v>
      </c>
      <c r="F123" s="37">
        <f>'[1]功能-付费相关'!V123</f>
        <v>7.2206336828120038E-6</v>
      </c>
      <c r="G123" s="37">
        <f>'[1]功能-付费相关'!W123</f>
        <v>7.1042909917590236E-6</v>
      </c>
      <c r="H123" s="37">
        <f>'[1]功能-付费相关'!X123</f>
        <v>1.2039117049435433E-5</v>
      </c>
      <c r="I123" s="37">
        <f>'[1]功能-付费相关'!Y123</f>
        <v>1.1094100157536222E-5</v>
      </c>
      <c r="J123" s="37">
        <f>'[1]功能-付费相关'!Z123</f>
        <v>1.1001826303166326E-5</v>
      </c>
      <c r="K123" s="37">
        <f>'[1]功能-付费相关'!AA123</f>
        <v>1.0866258095362281E-5</v>
      </c>
      <c r="L123" s="37">
        <f>'[1]功能-付费相关'!AB123</f>
        <v>1.0690613641223006E-5</v>
      </c>
    </row>
    <row r="124" spans="2:12" x14ac:dyDescent="0.15">
      <c r="B124" s="36">
        <v>119</v>
      </c>
      <c r="C124" s="37">
        <f>'[1]功能-付费相关'!S124</f>
        <v>7.611766813975097E-6</v>
      </c>
      <c r="D124" s="37">
        <f>'[1]功能-付费相关'!T124</f>
        <v>7.3715326153460577E-6</v>
      </c>
      <c r="E124" s="37">
        <f>'[1]功能-付费相关'!U124</f>
        <v>7.3104224693145021E-6</v>
      </c>
      <c r="F124" s="37">
        <f>'[1]功能-付费相关'!V124</f>
        <v>7.2206336828120038E-6</v>
      </c>
      <c r="G124" s="37">
        <f>'[1]功能-付费相关'!W124</f>
        <v>7.1042909917590236E-6</v>
      </c>
      <c r="H124" s="37">
        <f>'[1]功能-付费相关'!X124</f>
        <v>1.1991506205900257E-5</v>
      </c>
      <c r="I124" s="37">
        <f>'[1]功能-付费相关'!Y124</f>
        <v>1.1094100157536222E-5</v>
      </c>
      <c r="J124" s="37">
        <f>'[1]功能-付费相关'!Z124</f>
        <v>1.1001826303166326E-5</v>
      </c>
      <c r="K124" s="37">
        <f>'[1]功能-付费相关'!AA124</f>
        <v>1.0866258095362281E-5</v>
      </c>
      <c r="L124" s="37">
        <f>'[1]功能-付费相关'!AB124</f>
        <v>1.0690613641223006E-5</v>
      </c>
    </row>
    <row r="125" spans="2:12" x14ac:dyDescent="0.15">
      <c r="B125" s="36">
        <v>120</v>
      </c>
      <c r="C125" s="37">
        <f>'[1]功能-付费相关'!S125</f>
        <v>7.6000722984758932E-6</v>
      </c>
      <c r="D125" s="37">
        <f>'[1]功能-付费相关'!T125</f>
        <v>7.3715326153460577E-6</v>
      </c>
      <c r="E125" s="37">
        <f>'[1]功能-付费相关'!U125</f>
        <v>7.3104224693145021E-6</v>
      </c>
      <c r="F125" s="37">
        <f>'[1]功能-付费相关'!V125</f>
        <v>7.2206336828120038E-6</v>
      </c>
      <c r="G125" s="37">
        <f>'[1]功能-付费相关'!W125</f>
        <v>7.1042909917590236E-6</v>
      </c>
      <c r="H125" s="37">
        <f>'[1]功能-付费相关'!X125</f>
        <v>1.1941880272295926E-5</v>
      </c>
      <c r="I125" s="37">
        <f>'[1]功能-付费相关'!Y125</f>
        <v>1.1094100157536222E-5</v>
      </c>
      <c r="J125" s="37">
        <f>'[1]功能-付费相关'!Z125</f>
        <v>1.1001826303166326E-5</v>
      </c>
      <c r="K125" s="37">
        <f>'[1]功能-付费相关'!AA125</f>
        <v>1.0866258095362281E-5</v>
      </c>
      <c r="L125" s="37">
        <f>'[1]功能-付费相关'!AB125</f>
        <v>1.0690613641223006E-5</v>
      </c>
    </row>
    <row r="126" spans="2:12" x14ac:dyDescent="0.15">
      <c r="B126" s="36">
        <v>121</v>
      </c>
      <c r="C126" s="37">
        <f>'[1]功能-付费相关'!S126</f>
        <v>7.5875782570526154E-6</v>
      </c>
      <c r="D126" s="37">
        <f>'[1]功能-付费相关'!T126</f>
        <v>7.3715326153460577E-6</v>
      </c>
      <c r="E126" s="37">
        <f>'[1]功能-付费相关'!U126</f>
        <v>7.3104224693145021E-6</v>
      </c>
      <c r="F126" s="37">
        <f>'[1]功能-付费相关'!V126</f>
        <v>7.2206336828120038E-6</v>
      </c>
      <c r="G126" s="37">
        <f>'[1]功能-付费相关'!W126</f>
        <v>7.1042909917590236E-6</v>
      </c>
      <c r="H126" s="37">
        <f>'[1]功能-付费相关'!X126</f>
        <v>1.1889146525128621E-5</v>
      </c>
      <c r="I126" s="37">
        <f>'[1]功能-付费相关'!Y126</f>
        <v>1.1094100157536222E-5</v>
      </c>
      <c r="J126" s="37">
        <f>'[1]功能-付费相关'!Z126</f>
        <v>1.1001826303166326E-5</v>
      </c>
      <c r="K126" s="37">
        <f>'[1]功能-付费相关'!AA126</f>
        <v>1.0866258095362281E-5</v>
      </c>
      <c r="L126" s="37">
        <f>'[1]功能-付费相关'!AB126</f>
        <v>1.0690613641223006E-5</v>
      </c>
    </row>
    <row r="127" spans="2:12" x14ac:dyDescent="0.15">
      <c r="B127" s="36">
        <v>122</v>
      </c>
      <c r="C127" s="37">
        <f>'[1]功能-付费相关'!S127</f>
        <v>7.5763056383863327E-6</v>
      </c>
      <c r="D127" s="37">
        <f>'[1]功能-付费相关'!T127</f>
        <v>7.3715326153460577E-6</v>
      </c>
      <c r="E127" s="37">
        <f>'[1]功能-付费相关'!U127</f>
        <v>7.3104224693145021E-6</v>
      </c>
      <c r="F127" s="37">
        <f>'[1]功能-付费相关'!V127</f>
        <v>7.2206336828120038E-6</v>
      </c>
      <c r="G127" s="37">
        <f>'[1]功能-付费相关'!W127</f>
        <v>7.1042909917590236E-6</v>
      </c>
      <c r="H127" s="37">
        <f>'[1]功能-付费相关'!X127</f>
        <v>1.1841818711766222E-5</v>
      </c>
      <c r="I127" s="37">
        <f>'[1]功能-付费相关'!Y127</f>
        <v>1.1094100157536222E-5</v>
      </c>
      <c r="J127" s="37">
        <f>'[1]功能-付费相关'!Z127</f>
        <v>1.1001826303166326E-5</v>
      </c>
      <c r="K127" s="37">
        <f>'[1]功能-付费相关'!AA127</f>
        <v>1.0866258095362281E-5</v>
      </c>
      <c r="L127" s="37">
        <f>'[1]功能-付费相关'!AB127</f>
        <v>1.0690613641223006E-5</v>
      </c>
    </row>
    <row r="128" spans="2:12" x14ac:dyDescent="0.15">
      <c r="B128" s="36">
        <v>123</v>
      </c>
      <c r="C128" s="37">
        <f>'[1]功能-付费相关'!S128</f>
        <v>7.5667659917836428E-6</v>
      </c>
      <c r="D128" s="37">
        <f>'[1]功能-付费相关'!T128</f>
        <v>7.3715326153460577E-6</v>
      </c>
      <c r="E128" s="37">
        <f>'[1]功能-付费相关'!U128</f>
        <v>7.3104224693145021E-6</v>
      </c>
      <c r="F128" s="37">
        <f>'[1]功能-付费相关'!V128</f>
        <v>7.2206336828120038E-6</v>
      </c>
      <c r="G128" s="37">
        <f>'[1]功能-付费相关'!W128</f>
        <v>7.1042909917590236E-6</v>
      </c>
      <c r="H128" s="37">
        <f>'[1]功能-付费相关'!X128</f>
        <v>1.1801951127313845E-5</v>
      </c>
      <c r="I128" s="37">
        <f>'[1]功能-付费相关'!Y128</f>
        <v>1.1094100157536222E-5</v>
      </c>
      <c r="J128" s="37">
        <f>'[1]功能-付费相关'!Z128</f>
        <v>1.1001826303166326E-5</v>
      </c>
      <c r="K128" s="37">
        <f>'[1]功能-付费相关'!AA128</f>
        <v>1.0866258095362281E-5</v>
      </c>
      <c r="L128" s="37">
        <f>'[1]功能-付费相关'!AB128</f>
        <v>1.0690613641223006E-5</v>
      </c>
    </row>
    <row r="129" spans="2:12" x14ac:dyDescent="0.15">
      <c r="B129" s="36">
        <v>124</v>
      </c>
      <c r="C129" s="37">
        <f>'[1]功能-付费相关'!S129</f>
        <v>7.5565682875690194E-6</v>
      </c>
      <c r="D129" s="37">
        <f>'[1]功能-付费相关'!T129</f>
        <v>7.3715326153460577E-6</v>
      </c>
      <c r="E129" s="37">
        <f>'[1]功能-付费相关'!U129</f>
        <v>7.3104224693145021E-6</v>
      </c>
      <c r="F129" s="37">
        <f>'[1]功能-付费相关'!V129</f>
        <v>7.2206336828120038E-6</v>
      </c>
      <c r="G129" s="37">
        <f>'[1]功能-付费相关'!W129</f>
        <v>7.1042909917590236E-6</v>
      </c>
      <c r="H129" s="37">
        <f>'[1]功能-付费相关'!X129</f>
        <v>1.1759519071357615E-5</v>
      </c>
      <c r="I129" s="37">
        <f>'[1]功能-付费相关'!Y129</f>
        <v>1.1094100157536222E-5</v>
      </c>
      <c r="J129" s="37">
        <f>'[1]功能-付费相关'!Z129</f>
        <v>1.1001826303166326E-5</v>
      </c>
      <c r="K129" s="37">
        <f>'[1]功能-付费相关'!AA129</f>
        <v>1.0866258095362281E-5</v>
      </c>
      <c r="L129" s="37">
        <f>'[1]功能-付费相关'!AB129</f>
        <v>1.0690613641223006E-5</v>
      </c>
    </row>
    <row r="130" spans="2:12" x14ac:dyDescent="0.15">
      <c r="B130" s="36">
        <v>125</v>
      </c>
      <c r="C130" s="37">
        <f>'[1]功能-付费相关'!S130</f>
        <v>7.5456691316529594E-6</v>
      </c>
      <c r="D130" s="37">
        <f>'[1]功能-付费相关'!T130</f>
        <v>7.3715326153460577E-6</v>
      </c>
      <c r="E130" s="37">
        <f>'[1]功能-付费相关'!U130</f>
        <v>7.3104224693145021E-6</v>
      </c>
      <c r="F130" s="37">
        <f>'[1]功能-付费相关'!V130</f>
        <v>7.2206336828120038E-6</v>
      </c>
      <c r="G130" s="37">
        <f>'[1]功能-付费相关'!W130</f>
        <v>7.1042909917590236E-6</v>
      </c>
      <c r="H130" s="37">
        <f>'[1]功能-付费相关'!X130</f>
        <v>1.1714378969729809E-5</v>
      </c>
      <c r="I130" s="37">
        <f>'[1]功能-付费相关'!Y130</f>
        <v>1.1094100157536222E-5</v>
      </c>
      <c r="J130" s="37">
        <f>'[1]功能-付费相关'!Z130</f>
        <v>1.1001826303166326E-5</v>
      </c>
      <c r="K130" s="37">
        <f>'[1]功能-付费相关'!AA130</f>
        <v>1.0866258095362281E-5</v>
      </c>
      <c r="L130" s="37">
        <f>'[1]功能-付费相关'!AB130</f>
        <v>1.0690613641223006E-5</v>
      </c>
    </row>
    <row r="131" spans="2:12" x14ac:dyDescent="0.15">
      <c r="B131" s="36">
        <v>126</v>
      </c>
      <c r="C131" s="37">
        <f>'[1]功能-付费相关'!S131</f>
        <v>7.5365757019175821E-6</v>
      </c>
      <c r="D131" s="37">
        <f>'[1]功能-付费相关'!T131</f>
        <v>7.3715326153460577E-6</v>
      </c>
      <c r="E131" s="37">
        <f>'[1]功能-付费相关'!U131</f>
        <v>7.3104224693145021E-6</v>
      </c>
      <c r="F131" s="37">
        <f>'[1]功能-付费相关'!V131</f>
        <v>7.2206336828120038E-6</v>
      </c>
      <c r="G131" s="37">
        <f>'[1]功能-付费相关'!W131</f>
        <v>7.1042909917590236E-6</v>
      </c>
      <c r="H131" s="37">
        <f>'[1]功能-付费相关'!X131</f>
        <v>1.1676882939235783E-5</v>
      </c>
      <c r="I131" s="37">
        <f>'[1]功能-付费相关'!Y131</f>
        <v>1.1094100157536222E-5</v>
      </c>
      <c r="J131" s="37">
        <f>'[1]功能-付费相关'!Z131</f>
        <v>1.1001826303166326E-5</v>
      </c>
      <c r="K131" s="37">
        <f>'[1]功能-付费相关'!AA131</f>
        <v>1.0866258095362281E-5</v>
      </c>
      <c r="L131" s="37">
        <f>'[1]功能-付费相关'!AB131</f>
        <v>1.0690613641223006E-5</v>
      </c>
    </row>
    <row r="132" spans="2:12" x14ac:dyDescent="0.15">
      <c r="B132" s="36">
        <v>127</v>
      </c>
      <c r="C132" s="37">
        <f>'[1]功能-付费相关'!S132</f>
        <v>7.5269100795074538E-6</v>
      </c>
      <c r="D132" s="37">
        <f>'[1]功能-付费相关'!T132</f>
        <v>7.3715326153460577E-6</v>
      </c>
      <c r="E132" s="37">
        <f>'[1]功能-付费相关'!U132</f>
        <v>7.3104224693145021E-6</v>
      </c>
      <c r="F132" s="37">
        <f>'[1]功能-付费相关'!V132</f>
        <v>7.2206336828120038E-6</v>
      </c>
      <c r="G132" s="37">
        <f>'[1]功能-付费相关'!W132</f>
        <v>7.1042909917590236E-6</v>
      </c>
      <c r="H132" s="37">
        <f>'[1]功能-付费相关'!X132</f>
        <v>1.1637191454614089E-5</v>
      </c>
      <c r="I132" s="37">
        <f>'[1]功能-付费相关'!Y132</f>
        <v>1.1094100157536222E-5</v>
      </c>
      <c r="J132" s="37">
        <f>'[1]功能-付费相关'!Z132</f>
        <v>1.1001826303166326E-5</v>
      </c>
      <c r="K132" s="37">
        <f>'[1]功能-付费相关'!AA132</f>
        <v>1.0866258095362281E-5</v>
      </c>
      <c r="L132" s="37">
        <f>'[1]功能-付费相关'!AB132</f>
        <v>1.0690613641223006E-5</v>
      </c>
    </row>
    <row r="133" spans="2:12" x14ac:dyDescent="0.15">
      <c r="B133" s="36">
        <v>128</v>
      </c>
      <c r="C133" s="37">
        <f>'[1]功能-付费相关'!S133</f>
        <v>7.5165782093499358E-6</v>
      </c>
      <c r="D133" s="37">
        <f>'[1]功能-付费相关'!T133</f>
        <v>7.3715326153460577E-6</v>
      </c>
      <c r="E133" s="37">
        <f>'[1]功能-付费相关'!U133</f>
        <v>7.3104224693145021E-6</v>
      </c>
      <c r="F133" s="37">
        <f>'[1]功能-付费相关'!V133</f>
        <v>7.2206336828120038E-6</v>
      </c>
      <c r="G133" s="37">
        <f>'[1]功能-付费相关'!W133</f>
        <v>7.1042909917590236E-6</v>
      </c>
      <c r="H133" s="37">
        <f>'[1]功能-付费相关'!X133</f>
        <v>1.1594949667407978E-5</v>
      </c>
      <c r="I133" s="37">
        <f>'[1]功能-付费相关'!Y133</f>
        <v>1.1094100157536222E-5</v>
      </c>
      <c r="J133" s="37">
        <f>'[1]功能-付费相关'!Z133</f>
        <v>1.1001826303166326E-5</v>
      </c>
      <c r="K133" s="37">
        <f>'[1]功能-付费相关'!AA133</f>
        <v>1.0866258095362281E-5</v>
      </c>
      <c r="L133" s="37">
        <f>'[1]功能-付费相关'!AB133</f>
        <v>1.0690613641223006E-5</v>
      </c>
    </row>
    <row r="134" spans="2:12" x14ac:dyDescent="0.15">
      <c r="B134" s="36">
        <v>129</v>
      </c>
      <c r="C134" s="37">
        <f>'[1]功能-付费相关'!S134</f>
        <v>7.5067256664743412E-6</v>
      </c>
      <c r="D134" s="37">
        <f>'[1]功能-付费相关'!T134</f>
        <v>7.3715326153460577E-6</v>
      </c>
      <c r="E134" s="37">
        <f>'[1]功能-付费相关'!U134</f>
        <v>7.3104224693145021E-6</v>
      </c>
      <c r="F134" s="37">
        <f>'[1]功能-付费相关'!V134</f>
        <v>7.2206336828120038E-6</v>
      </c>
      <c r="G134" s="37">
        <f>'[1]功能-付费相关'!W134</f>
        <v>7.1042909917590236E-6</v>
      </c>
      <c r="H134" s="37">
        <f>'[1]功能-付费相关'!X134</f>
        <v>1.1554845102438038E-5</v>
      </c>
      <c r="I134" s="37">
        <f>'[1]功能-付费相关'!Y134</f>
        <v>1.1094100157536222E-5</v>
      </c>
      <c r="J134" s="37">
        <f>'[1]功能-付费相关'!Z134</f>
        <v>1.1001826303166326E-5</v>
      </c>
      <c r="K134" s="37">
        <f>'[1]功能-付费相关'!AA134</f>
        <v>1.0866258095362281E-5</v>
      </c>
      <c r="L134" s="37">
        <f>'[1]功能-付费相关'!AB134</f>
        <v>1.0690613641223006E-5</v>
      </c>
    </row>
    <row r="135" spans="2:12" x14ac:dyDescent="0.15">
      <c r="B135" s="36">
        <v>130</v>
      </c>
      <c r="C135" s="37">
        <f>'[1]功能-付费相关'!S135</f>
        <v>7.4978496764390094E-6</v>
      </c>
      <c r="D135" s="37">
        <f>'[1]功能-付费相关'!T135</f>
        <v>7.3715326153460577E-6</v>
      </c>
      <c r="E135" s="37">
        <f>'[1]功能-付费相关'!U135</f>
        <v>7.3104224693145021E-6</v>
      </c>
      <c r="F135" s="37">
        <f>'[1]功能-付费相关'!V135</f>
        <v>7.2206336828120038E-6</v>
      </c>
      <c r="G135" s="37">
        <f>'[1]功能-付费相关'!W135</f>
        <v>7.1042909917590236E-6</v>
      </c>
      <c r="H135" s="37">
        <f>'[1]功能-付费相关'!X135</f>
        <v>1.1518863004668935E-5</v>
      </c>
      <c r="I135" s="37">
        <f>'[1]功能-付费相关'!Y135</f>
        <v>1.1094100157536222E-5</v>
      </c>
      <c r="J135" s="37">
        <f>'[1]功能-付费相关'!Z135</f>
        <v>1.1001826303166326E-5</v>
      </c>
      <c r="K135" s="37">
        <f>'[1]功能-付费相关'!AA135</f>
        <v>1.0866258095362281E-5</v>
      </c>
      <c r="L135" s="37">
        <f>'[1]功能-付费相关'!AB135</f>
        <v>1.0690613641223006E-5</v>
      </c>
    </row>
    <row r="136" spans="2:12" x14ac:dyDescent="0.15">
      <c r="B136" s="36">
        <v>131</v>
      </c>
      <c r="C136" s="37">
        <f>'[1]功能-付费相关'!S136</f>
        <v>7.1464002206268656E-6</v>
      </c>
      <c r="D136" s="37">
        <f>'[1]功能-付费相关'!T136</f>
        <v>7.0352430500592721E-6</v>
      </c>
      <c r="E136" s="37">
        <f>'[1]功能-付费相关'!U136</f>
        <v>6.970365491114527E-6</v>
      </c>
      <c r="F136" s="37">
        <f>'[1]功能-付费相关'!V136</f>
        <v>6.8752621193683013E-6</v>
      </c>
      <c r="G136" s="37">
        <f>'[1]功能-付费相关'!W136</f>
        <v>6.7524224315473176E-6</v>
      </c>
      <c r="H136" s="37">
        <f>'[1]功能-付费相关'!X136</f>
        <v>1.0945245792049102E-5</v>
      </c>
      <c r="I136" s="37">
        <f>'[1]功能-付费相关'!Y136</f>
        <v>1.058637956405289E-5</v>
      </c>
      <c r="J136" s="37">
        <f>'[1]功能-付费相关'!Z136</f>
        <v>1.0488446975656315E-5</v>
      </c>
      <c r="K136" s="37">
        <f>'[1]功能-付费相关'!AA136</f>
        <v>1.0344898930337451E-5</v>
      </c>
      <c r="L136" s="37">
        <f>'[1]功能-付费相关'!AB136</f>
        <v>1.0159504216194249E-5</v>
      </c>
    </row>
    <row r="137" spans="2:12" x14ac:dyDescent="0.15">
      <c r="B137" s="36">
        <v>132</v>
      </c>
      <c r="C137" s="37">
        <f>'[1]功能-付费相关'!S137</f>
        <v>7.1371607233360018E-6</v>
      </c>
      <c r="D137" s="37">
        <f>'[1]功能-付费相关'!T137</f>
        <v>7.0352430500592721E-6</v>
      </c>
      <c r="E137" s="37">
        <f>'[1]功能-付费相关'!U137</f>
        <v>6.970365491114527E-6</v>
      </c>
      <c r="F137" s="37">
        <f>'[1]功能-付费相关'!V137</f>
        <v>6.8752621193683013E-6</v>
      </c>
      <c r="G137" s="37">
        <f>'[1]功能-付费相关'!W137</f>
        <v>6.7524224315473176E-6</v>
      </c>
      <c r="H137" s="37">
        <f>'[1]功能-付费相关'!X137</f>
        <v>1.0908169513670155E-5</v>
      </c>
      <c r="I137" s="37">
        <f>'[1]功能-付费相关'!Y137</f>
        <v>1.058637956405289E-5</v>
      </c>
      <c r="J137" s="37">
        <f>'[1]功能-付费相关'!Z137</f>
        <v>1.0488446975656315E-5</v>
      </c>
      <c r="K137" s="37">
        <f>'[1]功能-付费相关'!AA137</f>
        <v>1.0344898930337451E-5</v>
      </c>
      <c r="L137" s="37">
        <f>'[1]功能-付费相关'!AB137</f>
        <v>1.0159504216194249E-5</v>
      </c>
    </row>
    <row r="138" spans="2:12" x14ac:dyDescent="0.15">
      <c r="B138" s="36">
        <v>133</v>
      </c>
      <c r="C138" s="37">
        <f>'[1]功能-付费相关'!S138</f>
        <v>7.1296232998785064E-6</v>
      </c>
      <c r="D138" s="37">
        <f>'[1]功能-付费相关'!T138</f>
        <v>7.0352430500592721E-6</v>
      </c>
      <c r="E138" s="37">
        <f>'[1]功能-付费相关'!U138</f>
        <v>6.970365491114527E-6</v>
      </c>
      <c r="F138" s="37">
        <f>'[1]功能-付费相关'!V138</f>
        <v>6.8752621193683013E-6</v>
      </c>
      <c r="G138" s="37">
        <f>'[1]功能-付费相关'!W138</f>
        <v>6.7524224315473176E-6</v>
      </c>
      <c r="H138" s="37">
        <f>'[1]功能-付费相关'!X138</f>
        <v>1.087803830715022E-5</v>
      </c>
      <c r="I138" s="37">
        <f>'[1]功能-付费相关'!Y138</f>
        <v>1.058637956405289E-5</v>
      </c>
      <c r="J138" s="37">
        <f>'[1]功能-付费相关'!Z138</f>
        <v>1.0488446975656315E-5</v>
      </c>
      <c r="K138" s="37">
        <f>'[1]功能-付费相关'!AA138</f>
        <v>1.0344898930337451E-5</v>
      </c>
      <c r="L138" s="37">
        <f>'[1]功能-付费相关'!AB138</f>
        <v>1.0159504216194249E-5</v>
      </c>
    </row>
    <row r="139" spans="2:12" x14ac:dyDescent="0.15">
      <c r="B139" s="36">
        <v>134</v>
      </c>
      <c r="C139" s="37">
        <f>'[1]功能-付费相关'!S139</f>
        <v>7.1217662969521284E-6</v>
      </c>
      <c r="D139" s="37">
        <f>'[1]功能-付费相关'!T139</f>
        <v>7.0352430500592721E-6</v>
      </c>
      <c r="E139" s="37">
        <f>'[1]功能-付费相关'!U139</f>
        <v>6.970365491114527E-6</v>
      </c>
      <c r="F139" s="37">
        <f>'[1]功能-付费相关'!V139</f>
        <v>6.8752621193683013E-6</v>
      </c>
      <c r="G139" s="37">
        <f>'[1]功能-付费相关'!W139</f>
        <v>6.7524224315473176E-6</v>
      </c>
      <c r="H139" s="37">
        <f>'[1]功能-付费相关'!X139</f>
        <v>1.084673893757505E-5</v>
      </c>
      <c r="I139" s="37">
        <f>'[1]功能-付费相关'!Y139</f>
        <v>1.058637956405289E-5</v>
      </c>
      <c r="J139" s="37">
        <f>'[1]功能-付费相关'!Z139</f>
        <v>1.0488446975656315E-5</v>
      </c>
      <c r="K139" s="37">
        <f>'[1]功能-付费相关'!AA139</f>
        <v>1.0344898930337451E-5</v>
      </c>
      <c r="L139" s="37">
        <f>'[1]功能-付费相关'!AB139</f>
        <v>1.0159504216194249E-5</v>
      </c>
    </row>
    <row r="140" spans="2:12" x14ac:dyDescent="0.15">
      <c r="B140" s="36">
        <v>135</v>
      </c>
      <c r="C140" s="37">
        <f>'[1]功能-付费相关'!S140</f>
        <v>7.1133645731971745E-6</v>
      </c>
      <c r="D140" s="37">
        <f>'[1]功能-付费相关'!T140</f>
        <v>7.0352430500592721E-6</v>
      </c>
      <c r="E140" s="37">
        <f>'[1]功能-付费相关'!U140</f>
        <v>6.970365491114527E-6</v>
      </c>
      <c r="F140" s="37">
        <f>'[1]功能-付费相关'!V140</f>
        <v>6.8752621193683013E-6</v>
      </c>
      <c r="G140" s="37">
        <f>'[1]功能-付费相关'!W140</f>
        <v>6.7524224315473176E-6</v>
      </c>
      <c r="H140" s="37">
        <f>'[1]功能-付费相关'!X140</f>
        <v>1.0813392459562135E-5</v>
      </c>
      <c r="I140" s="37">
        <f>'[1]功能-付费相关'!Y140</f>
        <v>1.058637956405289E-5</v>
      </c>
      <c r="J140" s="37">
        <f>'[1]功能-付费相关'!Z140</f>
        <v>1.0488446975656315E-5</v>
      </c>
      <c r="K140" s="37">
        <f>'[1]功能-付费相关'!AA140</f>
        <v>1.0344898930337451E-5</v>
      </c>
      <c r="L140" s="37">
        <f>'[1]功能-付费相关'!AB140</f>
        <v>1.0159504216194249E-5</v>
      </c>
    </row>
    <row r="141" spans="2:12" x14ac:dyDescent="0.15">
      <c r="B141" s="36">
        <v>136</v>
      </c>
      <c r="C141" s="37">
        <f>'[1]功能-付费相关'!S141</f>
        <v>7.1052782206676133E-6</v>
      </c>
      <c r="D141" s="37">
        <f>'[1]功能-付费相关'!T141</f>
        <v>7.0352430500592721E-6</v>
      </c>
      <c r="E141" s="37">
        <f>'[1]功能-付费相关'!U141</f>
        <v>6.970365491114527E-6</v>
      </c>
      <c r="F141" s="37">
        <f>'[1]功能-付费相关'!V141</f>
        <v>6.8752621193683013E-6</v>
      </c>
      <c r="G141" s="37">
        <f>'[1]功能-付费相关'!W141</f>
        <v>6.7524224315473176E-6</v>
      </c>
      <c r="H141" s="37">
        <f>'[1]功能-付费相关'!X141</f>
        <v>1.07814169460287E-5</v>
      </c>
      <c r="I141" s="37">
        <f>'[1]功能-付费相关'!Y141</f>
        <v>1.058637956405289E-5</v>
      </c>
      <c r="J141" s="37">
        <f>'[1]功能-付费相关'!Z141</f>
        <v>1.0488446975656315E-5</v>
      </c>
      <c r="K141" s="37">
        <f>'[1]功能-付费相关'!AA141</f>
        <v>1.0344898930337451E-5</v>
      </c>
      <c r="L141" s="37">
        <f>'[1]功能-付费相关'!AB141</f>
        <v>1.0159504216194249E-5</v>
      </c>
    </row>
    <row r="142" spans="2:12" x14ac:dyDescent="0.15">
      <c r="B142" s="36">
        <v>137</v>
      </c>
      <c r="C142" s="37">
        <f>'[1]功能-付费相关'!S142</f>
        <v>7.0977947041416081E-6</v>
      </c>
      <c r="D142" s="37">
        <f>'[1]功能-付费相关'!T142</f>
        <v>7.0352430500592721E-6</v>
      </c>
      <c r="E142" s="37">
        <f>'[1]功能-付费相关'!U142</f>
        <v>6.970365491114527E-6</v>
      </c>
      <c r="F142" s="37">
        <f>'[1]功能-付费相关'!V142</f>
        <v>6.8752621193683013E-6</v>
      </c>
      <c r="G142" s="37">
        <f>'[1]功能-付费相关'!W142</f>
        <v>6.7524224315473176E-6</v>
      </c>
      <c r="H142" s="37">
        <f>'[1]功能-付费相关'!X142</f>
        <v>1.0751928856941108E-5</v>
      </c>
      <c r="I142" s="37">
        <f>'[1]功能-付费相关'!Y142</f>
        <v>1.058637956405289E-5</v>
      </c>
      <c r="J142" s="37">
        <f>'[1]功能-付费相关'!Z142</f>
        <v>1.0488446975656315E-5</v>
      </c>
      <c r="K142" s="37">
        <f>'[1]功能-付费相关'!AA142</f>
        <v>1.0344898930337451E-5</v>
      </c>
      <c r="L142" s="37">
        <f>'[1]功能-付费相关'!AB142</f>
        <v>1.0159504216194249E-5</v>
      </c>
    </row>
    <row r="143" spans="2:12" x14ac:dyDescent="0.15">
      <c r="B143" s="36">
        <v>138</v>
      </c>
      <c r="C143" s="37">
        <f>'[1]功能-付费相关'!S143</f>
        <v>7.0897915515027308E-6</v>
      </c>
      <c r="D143" s="37">
        <f>'[1]功能-付费相关'!T143</f>
        <v>7.0352430500592721E-6</v>
      </c>
      <c r="E143" s="37">
        <f>'[1]功能-付费相关'!U143</f>
        <v>6.970365491114527E-6</v>
      </c>
      <c r="F143" s="37">
        <f>'[1]功能-付费相关'!V143</f>
        <v>6.8752621193683013E-6</v>
      </c>
      <c r="G143" s="37">
        <f>'[1]功能-付费相关'!W143</f>
        <v>6.7524224315473176E-6</v>
      </c>
      <c r="H143" s="37">
        <f>'[1]功能-付费相关'!X143</f>
        <v>1.0720502868589992E-5</v>
      </c>
      <c r="I143" s="37">
        <f>'[1]功能-付费相关'!Y143</f>
        <v>1.058637956405289E-5</v>
      </c>
      <c r="J143" s="37">
        <f>'[1]功能-付费相关'!Z143</f>
        <v>1.0488446975656315E-5</v>
      </c>
      <c r="K143" s="37">
        <f>'[1]功能-付费相关'!AA143</f>
        <v>1.0344898930337451E-5</v>
      </c>
      <c r="L143" s="37">
        <f>'[1]功能-付费相关'!AB143</f>
        <v>1.0159504216194249E-5</v>
      </c>
    </row>
    <row r="144" spans="2:12" x14ac:dyDescent="0.15">
      <c r="B144" s="36">
        <v>139</v>
      </c>
      <c r="C144" s="37">
        <f>'[1]功能-付费相关'!S144</f>
        <v>7.0812339982248694E-6</v>
      </c>
      <c r="D144" s="37">
        <f>'[1]功能-付费相关'!T144</f>
        <v>7.0352430500592721E-6</v>
      </c>
      <c r="E144" s="37">
        <f>'[1]功能-付费相关'!U144</f>
        <v>6.970365491114527E-6</v>
      </c>
      <c r="F144" s="37">
        <f>'[1]功能-付费相关'!V144</f>
        <v>6.8752621193683013E-6</v>
      </c>
      <c r="G144" s="37">
        <f>'[1]功能-付费相关'!W144</f>
        <v>6.7524224315473176E-6</v>
      </c>
      <c r="H144" s="37">
        <f>'[1]功能-付费相关'!X144</f>
        <v>1.0687024647457736E-5</v>
      </c>
      <c r="I144" s="37">
        <f>'[1]功能-付费相关'!Y144</f>
        <v>1.058637956405289E-5</v>
      </c>
      <c r="J144" s="37">
        <f>'[1]功能-付费相关'!Z144</f>
        <v>1.0488446975656315E-5</v>
      </c>
      <c r="K144" s="37">
        <f>'[1]功能-付费相关'!AA144</f>
        <v>1.0344898930337451E-5</v>
      </c>
      <c r="L144" s="37">
        <f>'[1]功能-付费相关'!AB144</f>
        <v>1.0159504216194249E-5</v>
      </c>
    </row>
    <row r="145" spans="2:12" x14ac:dyDescent="0.15">
      <c r="B145" s="36">
        <v>140</v>
      </c>
      <c r="C145" s="37">
        <f>'[1]功能-付费相关'!S145</f>
        <v>7.0741941196432067E-6</v>
      </c>
      <c r="D145" s="37">
        <f>'[1]功能-付费相关'!T145</f>
        <v>7.0352430500592721E-6</v>
      </c>
      <c r="E145" s="37">
        <f>'[1]功能-付费相关'!U145</f>
        <v>6.970365491114527E-6</v>
      </c>
      <c r="F145" s="37">
        <f>'[1]功能-付费相关'!V145</f>
        <v>6.8752621193683013E-6</v>
      </c>
      <c r="G145" s="37">
        <f>'[1]功能-付费相关'!W145</f>
        <v>6.7524224315473176E-6</v>
      </c>
      <c r="H145" s="37">
        <f>'[1]功能-付费相关'!X145</f>
        <v>1.0659579892590202E-5</v>
      </c>
      <c r="I145" s="37">
        <f>'[1]功能-付费相关'!Y145</f>
        <v>1.058637956405289E-5</v>
      </c>
      <c r="J145" s="37">
        <f>'[1]功能-付费相关'!Z145</f>
        <v>1.0488446975656315E-5</v>
      </c>
      <c r="K145" s="37">
        <f>'[1]功能-付费相关'!AA145</f>
        <v>1.0344898930337451E-5</v>
      </c>
      <c r="L145" s="37">
        <f>'[1]功能-付费相关'!AB145</f>
        <v>1.0159504216194249E-5</v>
      </c>
    </row>
    <row r="146" spans="2:12" x14ac:dyDescent="0.15">
      <c r="B146" s="36">
        <v>141</v>
      </c>
      <c r="C146" s="37">
        <f>'[1]功能-付费相关'!S146</f>
        <v>7.0681368391292069E-6</v>
      </c>
      <c r="D146" s="37">
        <f>'[1]功能-付费相关'!T146</f>
        <v>7.0352430500592721E-6</v>
      </c>
      <c r="E146" s="37">
        <f>'[1]功能-付费相关'!U146</f>
        <v>6.970365491114527E-6</v>
      </c>
      <c r="F146" s="37">
        <f>'[1]功能-付费相关'!V146</f>
        <v>6.8752621193683013E-6</v>
      </c>
      <c r="G146" s="37">
        <f>'[1]功能-付费相关'!W146</f>
        <v>6.7524224315473176E-6</v>
      </c>
      <c r="H146" s="37">
        <f>'[1]功能-付费相关'!X146</f>
        <v>1.0636034886194427E-5</v>
      </c>
      <c r="I146" s="37">
        <f>'[1]功能-付费相关'!Y146</f>
        <v>1.058637956405289E-5</v>
      </c>
      <c r="J146" s="37">
        <f>'[1]功能-付费相关'!Z146</f>
        <v>1.0488446975656315E-5</v>
      </c>
      <c r="K146" s="37">
        <f>'[1]功能-付费相关'!AA146</f>
        <v>1.0344898930337451E-5</v>
      </c>
      <c r="L146" s="37">
        <f>'[1]功能-付费相关'!AB146</f>
        <v>1.0159504216194249E-5</v>
      </c>
    </row>
    <row r="147" spans="2:12" x14ac:dyDescent="0.15">
      <c r="B147" s="36">
        <v>142</v>
      </c>
      <c r="C147" s="37">
        <f>'[1]功能-付费相关'!S147</f>
        <v>7.0681368391292069E-6</v>
      </c>
      <c r="D147" s="37">
        <f>'[1]功能-付费相关'!T147</f>
        <v>7.0352430500592721E-6</v>
      </c>
      <c r="E147" s="37">
        <f>'[1]功能-付费相关'!U147</f>
        <v>6.970365491114527E-6</v>
      </c>
      <c r="F147" s="37">
        <f>'[1]功能-付费相关'!V147</f>
        <v>6.8752621193683013E-6</v>
      </c>
      <c r="G147" s="37">
        <f>'[1]功能-付费相关'!W147</f>
        <v>6.7524224315473176E-6</v>
      </c>
      <c r="H147" s="37">
        <f>'[1]功能-付费相关'!X147</f>
        <v>1.0636034886194427E-5</v>
      </c>
      <c r="I147" s="37">
        <f>'[1]功能-付费相关'!Y147</f>
        <v>1.058637956405289E-5</v>
      </c>
      <c r="J147" s="37">
        <f>'[1]功能-付费相关'!Z147</f>
        <v>1.0488446975656315E-5</v>
      </c>
      <c r="K147" s="37">
        <f>'[1]功能-付费相关'!AA147</f>
        <v>1.0344898930337451E-5</v>
      </c>
      <c r="L147" s="37">
        <f>'[1]功能-付费相关'!AB147</f>
        <v>1.0159504216194249E-5</v>
      </c>
    </row>
    <row r="148" spans="2:12" x14ac:dyDescent="0.15">
      <c r="B148" s="36">
        <v>143</v>
      </c>
      <c r="C148" s="37">
        <f>'[1]功能-付费相关'!S148</f>
        <v>7.0681368391292069E-6</v>
      </c>
      <c r="D148" s="37">
        <f>'[1]功能-付费相关'!T148</f>
        <v>7.0352430500592721E-6</v>
      </c>
      <c r="E148" s="37">
        <f>'[1]功能-付费相关'!U148</f>
        <v>6.970365491114527E-6</v>
      </c>
      <c r="F148" s="37">
        <f>'[1]功能-付费相关'!V148</f>
        <v>6.8752621193683013E-6</v>
      </c>
      <c r="G148" s="37">
        <f>'[1]功能-付费相关'!W148</f>
        <v>6.7524224315473176E-6</v>
      </c>
      <c r="H148" s="37">
        <f>'[1]功能-付费相关'!X148</f>
        <v>1.0636034886194427E-5</v>
      </c>
      <c r="I148" s="37">
        <f>'[1]功能-付费相关'!Y148</f>
        <v>1.058637956405289E-5</v>
      </c>
      <c r="J148" s="37">
        <f>'[1]功能-付费相关'!Z148</f>
        <v>1.0488446975656315E-5</v>
      </c>
      <c r="K148" s="37">
        <f>'[1]功能-付费相关'!AA148</f>
        <v>1.0344898930337451E-5</v>
      </c>
      <c r="L148" s="37">
        <f>'[1]功能-付费相关'!AB148</f>
        <v>1.0159504216194249E-5</v>
      </c>
    </row>
    <row r="149" spans="2:12" x14ac:dyDescent="0.15">
      <c r="B149" s="36">
        <v>144</v>
      </c>
      <c r="C149" s="37">
        <f>'[1]功能-付费相关'!S149</f>
        <v>7.0681368391292069E-6</v>
      </c>
      <c r="D149" s="37">
        <f>'[1]功能-付费相关'!T149</f>
        <v>7.0352430500592721E-6</v>
      </c>
      <c r="E149" s="37">
        <f>'[1]功能-付费相关'!U149</f>
        <v>6.970365491114527E-6</v>
      </c>
      <c r="F149" s="37">
        <f>'[1]功能-付费相关'!V149</f>
        <v>6.8752621193683013E-6</v>
      </c>
      <c r="G149" s="37">
        <f>'[1]功能-付费相关'!W149</f>
        <v>6.7524224315473176E-6</v>
      </c>
      <c r="H149" s="37">
        <f>'[1]功能-付费相关'!X149</f>
        <v>1.0636034886194427E-5</v>
      </c>
      <c r="I149" s="37">
        <f>'[1]功能-付费相关'!Y149</f>
        <v>1.058637956405289E-5</v>
      </c>
      <c r="J149" s="37">
        <f>'[1]功能-付费相关'!Z149</f>
        <v>1.0488446975656315E-5</v>
      </c>
      <c r="K149" s="37">
        <f>'[1]功能-付费相关'!AA149</f>
        <v>1.0344898930337451E-5</v>
      </c>
      <c r="L149" s="37">
        <f>'[1]功能-付费相关'!AB149</f>
        <v>1.0159504216194249E-5</v>
      </c>
    </row>
    <row r="150" spans="2:12" x14ac:dyDescent="0.15">
      <c r="B150" s="36">
        <v>145</v>
      </c>
      <c r="C150" s="37">
        <f>'[1]功能-付费相关'!S150</f>
        <v>7.0681368391292069E-6</v>
      </c>
      <c r="D150" s="37">
        <f>'[1]功能-付费相关'!T150</f>
        <v>7.0352430500592721E-6</v>
      </c>
      <c r="E150" s="37">
        <f>'[1]功能-付费相关'!U150</f>
        <v>6.970365491114527E-6</v>
      </c>
      <c r="F150" s="37">
        <f>'[1]功能-付费相关'!V150</f>
        <v>6.8752621193683013E-6</v>
      </c>
      <c r="G150" s="37">
        <f>'[1]功能-付费相关'!W150</f>
        <v>6.7524224315473176E-6</v>
      </c>
      <c r="H150" s="37">
        <f>'[1]功能-付费相关'!X150</f>
        <v>1.0636034886194427E-5</v>
      </c>
      <c r="I150" s="37">
        <f>'[1]功能-付费相关'!Y150</f>
        <v>1.058637956405289E-5</v>
      </c>
      <c r="J150" s="37">
        <f>'[1]功能-付费相关'!Z150</f>
        <v>1.0488446975656315E-5</v>
      </c>
      <c r="K150" s="37">
        <f>'[1]功能-付费相关'!AA150</f>
        <v>1.0344898930337451E-5</v>
      </c>
      <c r="L150" s="37">
        <f>'[1]功能-付费相关'!AB150</f>
        <v>1.0159504216194249E-5</v>
      </c>
    </row>
    <row r="151" spans="2:12" x14ac:dyDescent="0.15">
      <c r="B151" s="36">
        <v>146</v>
      </c>
      <c r="C151" s="37">
        <f>'[1]功能-付费相关'!S151</f>
        <v>7.0681368391292069E-6</v>
      </c>
      <c r="D151" s="37">
        <f>'[1]功能-付费相关'!T151</f>
        <v>7.0352430500592721E-6</v>
      </c>
      <c r="E151" s="37">
        <f>'[1]功能-付费相关'!U151</f>
        <v>6.970365491114527E-6</v>
      </c>
      <c r="F151" s="37">
        <f>'[1]功能-付费相关'!V151</f>
        <v>6.8752621193683013E-6</v>
      </c>
      <c r="G151" s="37">
        <f>'[1]功能-付费相关'!W151</f>
        <v>6.7524224315473176E-6</v>
      </c>
      <c r="H151" s="37">
        <f>'[1]功能-付费相关'!X151</f>
        <v>1.0636034886194427E-5</v>
      </c>
      <c r="I151" s="37">
        <f>'[1]功能-付费相关'!Y151</f>
        <v>1.058637956405289E-5</v>
      </c>
      <c r="J151" s="37">
        <f>'[1]功能-付费相关'!Z151</f>
        <v>1.0488446975656315E-5</v>
      </c>
      <c r="K151" s="37">
        <f>'[1]功能-付费相关'!AA151</f>
        <v>1.0344898930337451E-5</v>
      </c>
      <c r="L151" s="37">
        <f>'[1]功能-付费相关'!AB151</f>
        <v>1.0159504216194249E-5</v>
      </c>
    </row>
    <row r="152" spans="2:12" x14ac:dyDescent="0.15">
      <c r="B152" s="36">
        <v>147</v>
      </c>
      <c r="C152" s="37">
        <f>'[1]功能-付费相关'!S152</f>
        <v>7.0681368391292069E-6</v>
      </c>
      <c r="D152" s="37">
        <f>'[1]功能-付费相关'!T152</f>
        <v>7.0352430500592721E-6</v>
      </c>
      <c r="E152" s="37">
        <f>'[1]功能-付费相关'!U152</f>
        <v>6.970365491114527E-6</v>
      </c>
      <c r="F152" s="37">
        <f>'[1]功能-付费相关'!V152</f>
        <v>6.8752621193683013E-6</v>
      </c>
      <c r="G152" s="37">
        <f>'[1]功能-付费相关'!W152</f>
        <v>6.7524224315473176E-6</v>
      </c>
      <c r="H152" s="37">
        <f>'[1]功能-付费相关'!X152</f>
        <v>1.0636034886194427E-5</v>
      </c>
      <c r="I152" s="37">
        <f>'[1]功能-付费相关'!Y152</f>
        <v>1.058637956405289E-5</v>
      </c>
      <c r="J152" s="37">
        <f>'[1]功能-付费相关'!Z152</f>
        <v>1.0488446975656315E-5</v>
      </c>
      <c r="K152" s="37">
        <f>'[1]功能-付费相关'!AA152</f>
        <v>1.0344898930337451E-5</v>
      </c>
      <c r="L152" s="37">
        <f>'[1]功能-付费相关'!AB152</f>
        <v>1.0159504216194249E-5</v>
      </c>
    </row>
    <row r="153" spans="2:12" x14ac:dyDescent="0.15">
      <c r="B153" s="36">
        <v>148</v>
      </c>
      <c r="C153" s="37">
        <f>'[1]功能-付费相关'!S153</f>
        <v>7.0681368391292069E-6</v>
      </c>
      <c r="D153" s="37">
        <f>'[1]功能-付费相关'!T153</f>
        <v>7.0352430500592721E-6</v>
      </c>
      <c r="E153" s="37">
        <f>'[1]功能-付费相关'!U153</f>
        <v>6.970365491114527E-6</v>
      </c>
      <c r="F153" s="37">
        <f>'[1]功能-付费相关'!V153</f>
        <v>6.8752621193683013E-6</v>
      </c>
      <c r="G153" s="37">
        <f>'[1]功能-付费相关'!W153</f>
        <v>6.7524224315473176E-6</v>
      </c>
      <c r="H153" s="37">
        <f>'[1]功能-付费相关'!X153</f>
        <v>1.0636034886194427E-5</v>
      </c>
      <c r="I153" s="37">
        <f>'[1]功能-付费相关'!Y153</f>
        <v>1.058637956405289E-5</v>
      </c>
      <c r="J153" s="37">
        <f>'[1]功能-付费相关'!Z153</f>
        <v>1.0488446975656315E-5</v>
      </c>
      <c r="K153" s="37">
        <f>'[1]功能-付费相关'!AA153</f>
        <v>1.0344898930337451E-5</v>
      </c>
      <c r="L153" s="37">
        <f>'[1]功能-付费相关'!AB153</f>
        <v>1.0159504216194249E-5</v>
      </c>
    </row>
    <row r="154" spans="2:12" x14ac:dyDescent="0.15">
      <c r="B154" s="36">
        <v>149</v>
      </c>
      <c r="C154" s="37">
        <f>'[1]功能-付费相关'!S154</f>
        <v>7.0681368391292069E-6</v>
      </c>
      <c r="D154" s="37">
        <f>'[1]功能-付费相关'!T154</f>
        <v>7.0352430500592721E-6</v>
      </c>
      <c r="E154" s="37">
        <f>'[1]功能-付费相关'!U154</f>
        <v>6.970365491114527E-6</v>
      </c>
      <c r="F154" s="37">
        <f>'[1]功能-付费相关'!V154</f>
        <v>6.8752621193683013E-6</v>
      </c>
      <c r="G154" s="37">
        <f>'[1]功能-付费相关'!W154</f>
        <v>6.7524224315473176E-6</v>
      </c>
      <c r="H154" s="37">
        <f>'[1]功能-付费相关'!X154</f>
        <v>1.0636034886194427E-5</v>
      </c>
      <c r="I154" s="37">
        <f>'[1]功能-付费相关'!Y154</f>
        <v>1.058637956405289E-5</v>
      </c>
      <c r="J154" s="37">
        <f>'[1]功能-付费相关'!Z154</f>
        <v>1.0488446975656315E-5</v>
      </c>
      <c r="K154" s="37">
        <f>'[1]功能-付费相关'!AA154</f>
        <v>1.0344898930337451E-5</v>
      </c>
      <c r="L154" s="37">
        <f>'[1]功能-付费相关'!AB154</f>
        <v>1.0159504216194249E-5</v>
      </c>
    </row>
    <row r="155" spans="2:12" x14ac:dyDescent="0.15">
      <c r="B155" s="36">
        <v>150</v>
      </c>
      <c r="C155" s="37">
        <f>'[1]功能-付费相关'!S155</f>
        <v>6.9120442370831171E-6</v>
      </c>
      <c r="D155" s="37">
        <f>'[1]功能-付费相关'!T155</f>
        <v>6.8783478208534307E-6</v>
      </c>
      <c r="E155" s="37">
        <f>'[1]功能-付费相关'!U155</f>
        <v>6.8119310973169508E-6</v>
      </c>
      <c r="F155" s="37">
        <f>'[1]功能-付费相关'!V155</f>
        <v>6.7146766043880416E-6</v>
      </c>
      <c r="G155" s="37">
        <f>'[1]功能-付费相关'!W155</f>
        <v>6.5892430607034019E-6</v>
      </c>
      <c r="H155" s="37">
        <f>'[1]功能-付费相关'!X155</f>
        <v>1.0400416016640667E-5</v>
      </c>
      <c r="I155" s="37">
        <f>'[1]功能-付费相关'!Y155</f>
        <v>1.0349556262775234E-5</v>
      </c>
      <c r="J155" s="37">
        <f>'[1]功能-付费相关'!Z155</f>
        <v>1.0249314577087659E-5</v>
      </c>
      <c r="K155" s="37">
        <f>'[1]功能-付费相关'!AA155</f>
        <v>1.0102540789008437E-5</v>
      </c>
      <c r="L155" s="37">
        <f>'[1]功能-付费相关'!AB155</f>
        <v>9.9132589838909529E-6</v>
      </c>
    </row>
    <row r="156" spans="2:12" x14ac:dyDescent="0.15">
      <c r="B156" s="36">
        <v>151</v>
      </c>
      <c r="C156" s="37">
        <f>'[1]功能-付费相关'!S156</f>
        <v>6.9120442370831171E-6</v>
      </c>
      <c r="D156" s="37">
        <f>'[1]功能-付费相关'!T156</f>
        <v>6.8783478208534307E-6</v>
      </c>
      <c r="E156" s="37">
        <f>'[1]功能-付费相关'!U156</f>
        <v>6.8119310973169508E-6</v>
      </c>
      <c r="F156" s="37">
        <f>'[1]功能-付费相关'!V156</f>
        <v>6.7146766043880416E-6</v>
      </c>
      <c r="G156" s="37">
        <f>'[1]功能-付费相关'!W156</f>
        <v>6.5892430607034019E-6</v>
      </c>
      <c r="H156" s="37">
        <f>'[1]功能-付费相关'!X156</f>
        <v>1.0400416016640667E-5</v>
      </c>
      <c r="I156" s="37">
        <f>'[1]功能-付费相关'!Y156</f>
        <v>1.0349556262775234E-5</v>
      </c>
      <c r="J156" s="37">
        <f>'[1]功能-付费相关'!Z156</f>
        <v>1.0249314577087659E-5</v>
      </c>
      <c r="K156" s="37">
        <f>'[1]功能-付费相关'!AA156</f>
        <v>1.0102540789008437E-5</v>
      </c>
      <c r="L156" s="37">
        <f>'[1]功能-付费相关'!AB156</f>
        <v>9.9132589838909529E-6</v>
      </c>
    </row>
    <row r="157" spans="2:12" x14ac:dyDescent="0.15">
      <c r="B157" s="36">
        <v>152</v>
      </c>
      <c r="C157" s="37">
        <f>'[1]功能-付费相关'!S157</f>
        <v>6.9120442370831171E-6</v>
      </c>
      <c r="D157" s="37">
        <f>'[1]功能-付费相关'!T157</f>
        <v>6.8783478208534307E-6</v>
      </c>
      <c r="E157" s="37">
        <f>'[1]功能-付费相关'!U157</f>
        <v>6.8119310973169508E-6</v>
      </c>
      <c r="F157" s="37">
        <f>'[1]功能-付费相关'!V157</f>
        <v>6.7146766043880416E-6</v>
      </c>
      <c r="G157" s="37">
        <f>'[1]功能-付费相关'!W157</f>
        <v>6.5892430607034019E-6</v>
      </c>
      <c r="H157" s="37">
        <f>'[1]功能-付费相关'!X157</f>
        <v>1.0400416016640667E-5</v>
      </c>
      <c r="I157" s="37">
        <f>'[1]功能-付费相关'!Y157</f>
        <v>1.0349556262775234E-5</v>
      </c>
      <c r="J157" s="37">
        <f>'[1]功能-付费相关'!Z157</f>
        <v>1.0249314577087659E-5</v>
      </c>
      <c r="K157" s="37">
        <f>'[1]功能-付费相关'!AA157</f>
        <v>1.0102540789008437E-5</v>
      </c>
      <c r="L157" s="37">
        <f>'[1]功能-付费相关'!AB157</f>
        <v>9.9132589838909529E-6</v>
      </c>
    </row>
    <row r="158" spans="2:12" x14ac:dyDescent="0.15">
      <c r="B158" s="36">
        <v>153</v>
      </c>
      <c r="C158" s="37">
        <f>'[1]功能-付费相关'!S158</f>
        <v>6.9120442370831171E-6</v>
      </c>
      <c r="D158" s="37">
        <f>'[1]功能-付费相关'!T158</f>
        <v>6.8783478208534307E-6</v>
      </c>
      <c r="E158" s="37">
        <f>'[1]功能-付费相关'!U158</f>
        <v>6.8119310973169508E-6</v>
      </c>
      <c r="F158" s="37">
        <f>'[1]功能-付费相关'!V158</f>
        <v>6.7146766043880416E-6</v>
      </c>
      <c r="G158" s="37">
        <f>'[1]功能-付费相关'!W158</f>
        <v>6.5892430607034019E-6</v>
      </c>
      <c r="H158" s="37">
        <f>'[1]功能-付费相关'!X158</f>
        <v>1.0400416016640667E-5</v>
      </c>
      <c r="I158" s="37">
        <f>'[1]功能-付费相关'!Y158</f>
        <v>1.0349556262775234E-5</v>
      </c>
      <c r="J158" s="37">
        <f>'[1]功能-付费相关'!Z158</f>
        <v>1.0249314577087659E-5</v>
      </c>
      <c r="K158" s="37">
        <f>'[1]功能-付费相关'!AA158</f>
        <v>1.0102540789008437E-5</v>
      </c>
      <c r="L158" s="37">
        <f>'[1]功能-付费相关'!AB158</f>
        <v>9.9132589838909529E-6</v>
      </c>
    </row>
    <row r="159" spans="2:12" x14ac:dyDescent="0.15">
      <c r="B159" s="36">
        <v>154</v>
      </c>
      <c r="C159" s="37">
        <f>'[1]功能-付费相关'!S159</f>
        <v>6.9120442370831171E-6</v>
      </c>
      <c r="D159" s="37">
        <f>'[1]功能-付费相关'!T159</f>
        <v>6.8783478208534307E-6</v>
      </c>
      <c r="E159" s="37">
        <f>'[1]功能-付费相关'!U159</f>
        <v>6.8119310973169508E-6</v>
      </c>
      <c r="F159" s="37">
        <f>'[1]功能-付费相关'!V159</f>
        <v>6.7146766043880416E-6</v>
      </c>
      <c r="G159" s="37">
        <f>'[1]功能-付费相关'!W159</f>
        <v>6.5892430607034019E-6</v>
      </c>
      <c r="H159" s="37">
        <f>'[1]功能-付费相关'!X159</f>
        <v>1.0400416016640667E-5</v>
      </c>
      <c r="I159" s="37">
        <f>'[1]功能-付费相关'!Y159</f>
        <v>1.0349556262775234E-5</v>
      </c>
      <c r="J159" s="37">
        <f>'[1]功能-付费相关'!Z159</f>
        <v>1.0249314577087659E-5</v>
      </c>
      <c r="K159" s="37">
        <f>'[1]功能-付费相关'!AA159</f>
        <v>1.0102540789008437E-5</v>
      </c>
      <c r="L159" s="37">
        <f>'[1]功能-付费相关'!AB159</f>
        <v>9.9132589838909529E-6</v>
      </c>
    </row>
    <row r="160" spans="2:12" x14ac:dyDescent="0.15">
      <c r="B160" s="36">
        <v>155</v>
      </c>
      <c r="C160" s="37">
        <f>'[1]功能-付费相关'!S160</f>
        <v>6.9120442370831171E-6</v>
      </c>
      <c r="D160" s="37">
        <f>'[1]功能-付费相关'!T160</f>
        <v>6.8783478208534307E-6</v>
      </c>
      <c r="E160" s="37">
        <f>'[1]功能-付费相关'!U160</f>
        <v>6.8119310973169508E-6</v>
      </c>
      <c r="F160" s="37">
        <f>'[1]功能-付费相关'!V160</f>
        <v>6.7146766043880416E-6</v>
      </c>
      <c r="G160" s="37">
        <f>'[1]功能-付费相关'!W160</f>
        <v>6.5892430607034019E-6</v>
      </c>
      <c r="H160" s="37">
        <f>'[1]功能-付费相关'!X160</f>
        <v>1.0400416016640667E-5</v>
      </c>
      <c r="I160" s="37">
        <f>'[1]功能-付费相关'!Y160</f>
        <v>1.0349556262775234E-5</v>
      </c>
      <c r="J160" s="37">
        <f>'[1]功能-付费相关'!Z160</f>
        <v>1.0249314577087659E-5</v>
      </c>
      <c r="K160" s="37">
        <f>'[1]功能-付费相关'!AA160</f>
        <v>1.0102540789008437E-5</v>
      </c>
      <c r="L160" s="37">
        <f>'[1]功能-付费相关'!AB160</f>
        <v>9.9132589838909529E-6</v>
      </c>
    </row>
    <row r="161" spans="2:12" x14ac:dyDescent="0.15">
      <c r="B161" s="36">
        <v>156</v>
      </c>
      <c r="C161" s="37">
        <f>'[1]功能-付费相关'!S161</f>
        <v>6.9120442370831171E-6</v>
      </c>
      <c r="D161" s="37">
        <f>'[1]功能-付费相关'!T161</f>
        <v>6.8783478208534307E-6</v>
      </c>
      <c r="E161" s="37">
        <f>'[1]功能-付费相关'!U161</f>
        <v>6.8119310973169508E-6</v>
      </c>
      <c r="F161" s="37">
        <f>'[1]功能-付费相关'!V161</f>
        <v>6.7146766043880416E-6</v>
      </c>
      <c r="G161" s="37">
        <f>'[1]功能-付费相关'!W161</f>
        <v>6.5892430607034019E-6</v>
      </c>
      <c r="H161" s="37">
        <f>'[1]功能-付费相关'!X161</f>
        <v>1.0400416016640667E-5</v>
      </c>
      <c r="I161" s="37">
        <f>'[1]功能-付费相关'!Y161</f>
        <v>1.0349556262775234E-5</v>
      </c>
      <c r="J161" s="37">
        <f>'[1]功能-付费相关'!Z161</f>
        <v>1.0249314577087659E-5</v>
      </c>
      <c r="K161" s="37">
        <f>'[1]功能-付费相关'!AA161</f>
        <v>1.0102540789008437E-5</v>
      </c>
      <c r="L161" s="37">
        <f>'[1]功能-付费相关'!AB161</f>
        <v>9.9132589838909529E-6</v>
      </c>
    </row>
    <row r="162" spans="2:12" x14ac:dyDescent="0.15">
      <c r="B162" s="36">
        <v>157</v>
      </c>
      <c r="C162" s="37">
        <f>'[1]功能-付费相关'!S162</f>
        <v>6.9120442370831171E-6</v>
      </c>
      <c r="D162" s="37">
        <f>'[1]功能-付费相关'!T162</f>
        <v>6.8783478208534307E-6</v>
      </c>
      <c r="E162" s="37">
        <f>'[1]功能-付费相关'!U162</f>
        <v>6.8119310973169508E-6</v>
      </c>
      <c r="F162" s="37">
        <f>'[1]功能-付费相关'!V162</f>
        <v>6.7146766043880416E-6</v>
      </c>
      <c r="G162" s="37">
        <f>'[1]功能-付费相关'!W162</f>
        <v>6.5892430607034019E-6</v>
      </c>
      <c r="H162" s="37">
        <f>'[1]功能-付费相关'!X162</f>
        <v>1.0400416016640667E-5</v>
      </c>
      <c r="I162" s="37">
        <f>'[1]功能-付费相关'!Y162</f>
        <v>1.0349556262775234E-5</v>
      </c>
      <c r="J162" s="37">
        <f>'[1]功能-付费相关'!Z162</f>
        <v>1.0249314577087659E-5</v>
      </c>
      <c r="K162" s="37">
        <f>'[1]功能-付费相关'!AA162</f>
        <v>1.0102540789008437E-5</v>
      </c>
      <c r="L162" s="37">
        <f>'[1]功能-付费相关'!AB162</f>
        <v>9.9132589838909529E-6</v>
      </c>
    </row>
    <row r="163" spans="2:12" x14ac:dyDescent="0.15">
      <c r="B163" s="36">
        <v>158</v>
      </c>
      <c r="C163" s="37">
        <f>'[1]功能-付费相关'!S163</f>
        <v>6.9120442370831171E-6</v>
      </c>
      <c r="D163" s="37">
        <f>'[1]功能-付费相关'!T163</f>
        <v>6.8783478208534307E-6</v>
      </c>
      <c r="E163" s="37">
        <f>'[1]功能-付费相关'!U163</f>
        <v>6.8119310973169508E-6</v>
      </c>
      <c r="F163" s="37">
        <f>'[1]功能-付费相关'!V163</f>
        <v>6.7146766043880416E-6</v>
      </c>
      <c r="G163" s="37">
        <f>'[1]功能-付费相关'!W163</f>
        <v>6.5892430607034019E-6</v>
      </c>
      <c r="H163" s="37">
        <f>'[1]功能-付费相关'!X163</f>
        <v>1.0400416016640667E-5</v>
      </c>
      <c r="I163" s="37">
        <f>'[1]功能-付费相关'!Y163</f>
        <v>1.0349556262775234E-5</v>
      </c>
      <c r="J163" s="37">
        <f>'[1]功能-付费相关'!Z163</f>
        <v>1.0249314577087659E-5</v>
      </c>
      <c r="K163" s="37">
        <f>'[1]功能-付费相关'!AA163</f>
        <v>1.0102540789008437E-5</v>
      </c>
      <c r="L163" s="37">
        <f>'[1]功能-付费相关'!AB163</f>
        <v>9.9132589838909529E-6</v>
      </c>
    </row>
    <row r="164" spans="2:12" x14ac:dyDescent="0.15">
      <c r="B164" s="36">
        <v>159</v>
      </c>
      <c r="C164" s="37">
        <f>'[1]功能-付费相关'!S164</f>
        <v>6.9120442370831171E-6</v>
      </c>
      <c r="D164" s="37">
        <f>'[1]功能-付费相关'!T164</f>
        <v>6.8783478208534307E-6</v>
      </c>
      <c r="E164" s="37">
        <f>'[1]功能-付费相关'!U164</f>
        <v>6.8119310973169508E-6</v>
      </c>
      <c r="F164" s="37">
        <f>'[1]功能-付费相关'!V164</f>
        <v>6.7146766043880416E-6</v>
      </c>
      <c r="G164" s="37">
        <f>'[1]功能-付费相关'!W164</f>
        <v>6.5892430607034019E-6</v>
      </c>
      <c r="H164" s="37">
        <f>'[1]功能-付费相关'!X164</f>
        <v>1.0400416016640667E-5</v>
      </c>
      <c r="I164" s="37">
        <f>'[1]功能-付费相关'!Y164</f>
        <v>1.0349556262775234E-5</v>
      </c>
      <c r="J164" s="37">
        <f>'[1]功能-付费相关'!Z164</f>
        <v>1.0249314577087659E-5</v>
      </c>
      <c r="K164" s="37">
        <f>'[1]功能-付费相关'!AA164</f>
        <v>1.0102540789008437E-5</v>
      </c>
      <c r="L164" s="37">
        <f>'[1]功能-付费相关'!AB164</f>
        <v>9.9132589838909529E-6</v>
      </c>
    </row>
    <row r="165" spans="2:12" x14ac:dyDescent="0.15">
      <c r="B165" s="36">
        <v>160</v>
      </c>
      <c r="C165" s="37">
        <f>'[1]功能-付费相关'!S165</f>
        <v>6.9120442370831171E-6</v>
      </c>
      <c r="D165" s="37">
        <f>'[1]功能-付费相关'!T165</f>
        <v>6.8783478208534307E-6</v>
      </c>
      <c r="E165" s="37">
        <f>'[1]功能-付费相关'!U165</f>
        <v>6.8119310973169508E-6</v>
      </c>
      <c r="F165" s="37">
        <f>'[1]功能-付费相关'!V165</f>
        <v>6.7146766043880416E-6</v>
      </c>
      <c r="G165" s="37">
        <f>'[1]功能-付费相关'!W165</f>
        <v>6.5892430607034019E-6</v>
      </c>
      <c r="H165" s="37">
        <f>'[1]功能-付费相关'!X165</f>
        <v>1.0400416016640667E-5</v>
      </c>
      <c r="I165" s="37">
        <f>'[1]功能-付费相关'!Y165</f>
        <v>1.0349556262775234E-5</v>
      </c>
      <c r="J165" s="37">
        <f>'[1]功能-付费相关'!Z165</f>
        <v>1.0249314577087659E-5</v>
      </c>
      <c r="K165" s="37">
        <f>'[1]功能-付费相关'!AA165</f>
        <v>1.0102540789008437E-5</v>
      </c>
      <c r="L165" s="37">
        <f>'[1]功能-付费相关'!AB165</f>
        <v>9.9132589838909529E-6</v>
      </c>
    </row>
  </sheetData>
  <mergeCells count="2">
    <mergeCell ref="H4:L4"/>
    <mergeCell ref="C4:G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1A1E1-6D8A-4ED9-9C62-75C052D2EC2E}">
  <dimension ref="A1:A5"/>
  <sheetViews>
    <sheetView workbookViewId="0">
      <selection activeCell="A3" sqref="A3"/>
    </sheetView>
  </sheetViews>
  <sheetFormatPr defaultRowHeight="11.25" x14ac:dyDescent="0.15"/>
  <cols>
    <col min="1" max="16384" width="9" style="17"/>
  </cols>
  <sheetData>
    <row r="1" spans="1:1" x14ac:dyDescent="0.15">
      <c r="A1" s="17" t="s">
        <v>163</v>
      </c>
    </row>
    <row r="2" spans="1:1" x14ac:dyDescent="0.15">
      <c r="A2" s="17" t="s">
        <v>243</v>
      </c>
    </row>
    <row r="3" spans="1:1" x14ac:dyDescent="0.15">
      <c r="A3" s="17" t="s">
        <v>226</v>
      </c>
    </row>
    <row r="4" spans="1:1" x14ac:dyDescent="0.15">
      <c r="A4" s="17" t="s">
        <v>227</v>
      </c>
    </row>
    <row r="5" spans="1:1" x14ac:dyDescent="0.15">
      <c r="A5" s="17" t="s">
        <v>228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W1020"/>
  <sheetViews>
    <sheetView tabSelected="1" workbookViewId="0">
      <selection activeCell="P34" sqref="P34"/>
    </sheetView>
  </sheetViews>
  <sheetFormatPr defaultColWidth="6.625" defaultRowHeight="11.25" x14ac:dyDescent="0.15"/>
  <cols>
    <col min="1" max="2" width="6.625" style="26"/>
    <col min="3" max="4" width="6.625" style="35"/>
    <col min="5" max="11" width="6.625" style="26"/>
    <col min="12" max="12" width="6.625" style="39"/>
    <col min="13" max="14" width="6.625" style="26"/>
    <col min="15" max="17" width="6.625" style="26" customWidth="1"/>
    <col min="18" max="18" width="9.75" style="26" bestFit="1" customWidth="1"/>
    <col min="19" max="19" width="9.875" style="26" customWidth="1"/>
    <col min="20" max="20" width="6.625" style="26"/>
    <col min="21" max="30" width="6.625" style="35"/>
    <col min="31" max="31" width="6.625" style="26"/>
    <col min="32" max="32" width="6.625" style="42" customWidth="1"/>
    <col min="33" max="33" width="6.625" style="26" customWidth="1"/>
    <col min="34" max="34" width="6.625" style="35" customWidth="1"/>
    <col min="35" max="35" width="8.25" style="35" customWidth="1"/>
    <col min="36" max="49" width="6.625" style="35" customWidth="1"/>
    <col min="50" max="67" width="6.625" style="26" customWidth="1"/>
    <col min="68" max="74" width="6.625" style="26"/>
    <col min="75" max="75" width="6.625" style="26" customWidth="1"/>
    <col min="76" max="16384" width="6.625" style="26"/>
  </cols>
  <sheetData>
    <row r="1" spans="1:75" x14ac:dyDescent="0.15">
      <c r="A1" s="38" t="s">
        <v>239</v>
      </c>
      <c r="U1" s="35">
        <f>SUMIFS($K$5:$K$1004,$J$5:$J$1004,"&lt;="&amp;U$2)</f>
        <v>100</v>
      </c>
      <c r="V1" s="53">
        <f t="shared" ref="V1:Y1" si="0">SUMIFS($K$5:$K$1004,$J$5:$J$1004,"&lt;="&amp;V$2)</f>
        <v>900</v>
      </c>
      <c r="W1" s="53">
        <f t="shared" si="0"/>
        <v>2700</v>
      </c>
      <c r="X1" s="53">
        <f t="shared" si="0"/>
        <v>5700</v>
      </c>
      <c r="Y1" s="53">
        <f t="shared" si="0"/>
        <v>5700</v>
      </c>
      <c r="AG1" s="35" t="s">
        <v>248</v>
      </c>
      <c r="AH1" s="44" t="s">
        <v>249</v>
      </c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75" s="35" customFormat="1" x14ac:dyDescent="0.15">
      <c r="A2" s="38"/>
      <c r="J2" s="49" t="s">
        <v>260</v>
      </c>
      <c r="K2" s="35">
        <v>1</v>
      </c>
      <c r="L2" s="39"/>
      <c r="T2" s="49" t="s">
        <v>255</v>
      </c>
      <c r="U2" s="35">
        <v>5</v>
      </c>
      <c r="V2" s="35">
        <v>20</v>
      </c>
      <c r="W2" s="35">
        <v>50</v>
      </c>
      <c r="X2" s="35">
        <v>100</v>
      </c>
      <c r="Y2" s="35">
        <v>100</v>
      </c>
      <c r="AF2" s="42"/>
      <c r="AH2" s="44"/>
      <c r="AI2" s="48"/>
      <c r="AJ2" s="44"/>
      <c r="AK2" s="44"/>
      <c r="AL2" s="44"/>
      <c r="AM2" s="44"/>
      <c r="AN2" s="48"/>
      <c r="AO2" s="44"/>
      <c r="AP2" s="44"/>
      <c r="AQ2" s="44"/>
      <c r="AR2" s="44"/>
      <c r="AS2" s="48"/>
      <c r="AT2" s="44"/>
      <c r="AU2" s="44"/>
      <c r="AV2" s="44"/>
      <c r="AW2" s="44"/>
    </row>
    <row r="3" spans="1:75" x14ac:dyDescent="0.15">
      <c r="U3" s="56" t="s">
        <v>253</v>
      </c>
      <c r="V3" s="56"/>
      <c r="W3" s="56"/>
      <c r="X3" s="56"/>
      <c r="Y3" s="56"/>
      <c r="Z3" s="56" t="s">
        <v>254</v>
      </c>
      <c r="AA3" s="56"/>
      <c r="AB3" s="56"/>
      <c r="AC3" s="56"/>
      <c r="AD3" s="56"/>
      <c r="AI3" s="56" t="s">
        <v>252</v>
      </c>
      <c r="AJ3" s="56"/>
      <c r="AK3" s="56"/>
      <c r="AL3" s="56"/>
      <c r="AM3" s="56"/>
      <c r="AN3" s="56" t="s">
        <v>42</v>
      </c>
      <c r="AO3" s="56"/>
      <c r="AP3" s="56"/>
      <c r="AQ3" s="56"/>
      <c r="AR3" s="56"/>
      <c r="AS3" s="56" t="s">
        <v>250</v>
      </c>
      <c r="AT3" s="56"/>
      <c r="AU3" s="56"/>
      <c r="AV3" s="56"/>
      <c r="AW3" s="56"/>
      <c r="AX3" s="60" t="s">
        <v>251</v>
      </c>
      <c r="AY3" s="60"/>
      <c r="AZ3" s="60"/>
      <c r="BA3" s="60"/>
      <c r="BB3" s="60"/>
    </row>
    <row r="4" spans="1:75" s="33" customFormat="1" ht="45" x14ac:dyDescent="0.15">
      <c r="A4" s="33" t="s">
        <v>245</v>
      </c>
      <c r="B4" s="33" t="s">
        <v>246</v>
      </c>
      <c r="C4" s="33" t="s">
        <v>259</v>
      </c>
      <c r="D4" s="34"/>
      <c r="E4" s="33" t="s">
        <v>236</v>
      </c>
      <c r="F4" s="33" t="s">
        <v>240</v>
      </c>
      <c r="G4" s="33" t="s">
        <v>241</v>
      </c>
      <c r="H4" s="33" t="s">
        <v>242</v>
      </c>
      <c r="J4" s="33" t="s">
        <v>244</v>
      </c>
      <c r="K4" s="33" t="s">
        <v>256</v>
      </c>
      <c r="L4" s="40" t="s">
        <v>257</v>
      </c>
      <c r="N4" s="33" t="s">
        <v>236</v>
      </c>
      <c r="O4" s="33" t="s">
        <v>273</v>
      </c>
      <c r="P4" s="33" t="s">
        <v>274</v>
      </c>
      <c r="Q4" s="33" t="s">
        <v>261</v>
      </c>
      <c r="T4" s="33" t="s">
        <v>247</v>
      </c>
      <c r="U4" s="34" t="s">
        <v>231</v>
      </c>
      <c r="V4" s="34" t="s">
        <v>232</v>
      </c>
      <c r="W4" s="34" t="s">
        <v>233</v>
      </c>
      <c r="X4" s="34" t="s">
        <v>234</v>
      </c>
      <c r="Y4" s="34" t="s">
        <v>235</v>
      </c>
      <c r="Z4" s="34" t="s">
        <v>231</v>
      </c>
      <c r="AA4" s="34" t="s">
        <v>232</v>
      </c>
      <c r="AB4" s="34" t="s">
        <v>233</v>
      </c>
      <c r="AC4" s="34" t="s">
        <v>234</v>
      </c>
      <c r="AD4" s="34" t="s">
        <v>235</v>
      </c>
      <c r="AF4" s="43"/>
      <c r="AH4" s="34" t="s">
        <v>247</v>
      </c>
      <c r="AI4" s="45" t="s">
        <v>72</v>
      </c>
      <c r="AJ4" s="45" t="s">
        <v>73</v>
      </c>
      <c r="AK4" s="45" t="s">
        <v>74</v>
      </c>
      <c r="AL4" s="45" t="s">
        <v>75</v>
      </c>
      <c r="AM4" s="45" t="s">
        <v>76</v>
      </c>
      <c r="AN4" s="45" t="s">
        <v>72</v>
      </c>
      <c r="AO4" s="45" t="s">
        <v>73</v>
      </c>
      <c r="AP4" s="45" t="s">
        <v>74</v>
      </c>
      <c r="AQ4" s="45" t="s">
        <v>75</v>
      </c>
      <c r="AR4" s="45" t="s">
        <v>76</v>
      </c>
      <c r="AS4" s="45" t="s">
        <v>72</v>
      </c>
      <c r="AT4" s="45" t="s">
        <v>73</v>
      </c>
      <c r="AU4" s="45" t="s">
        <v>74</v>
      </c>
      <c r="AV4" s="45" t="s">
        <v>75</v>
      </c>
      <c r="AW4" s="45" t="s">
        <v>76</v>
      </c>
      <c r="AX4" s="45" t="s">
        <v>72</v>
      </c>
      <c r="AY4" s="45" t="s">
        <v>73</v>
      </c>
      <c r="AZ4" s="45" t="s">
        <v>74</v>
      </c>
      <c r="BA4" s="45" t="s">
        <v>75</v>
      </c>
      <c r="BB4" s="45" t="s">
        <v>76</v>
      </c>
      <c r="BS4" s="52" t="s">
        <v>231</v>
      </c>
      <c r="BT4" s="52" t="s">
        <v>232</v>
      </c>
      <c r="BU4" s="52" t="s">
        <v>233</v>
      </c>
      <c r="BV4" s="52" t="s">
        <v>234</v>
      </c>
      <c r="BW4" s="52" t="s">
        <v>235</v>
      </c>
    </row>
    <row r="5" spans="1:75" x14ac:dyDescent="0.15">
      <c r="A5" s="26">
        <v>1</v>
      </c>
      <c r="B5" s="26">
        <v>0.8</v>
      </c>
      <c r="C5" s="26">
        <f>SUMPRODUCT(A5:A9,B5:B9)</f>
        <v>1.272</v>
      </c>
      <c r="E5" s="26">
        <v>1</v>
      </c>
      <c r="F5" s="26">
        <f>节奏总纲!$BL4</f>
        <v>9.5370882117675193E-2</v>
      </c>
      <c r="G5" s="26">
        <f>数据索引!$E6</f>
        <v>9.6563134915450752E-3</v>
      </c>
      <c r="H5" s="26">
        <f>数据索引!J6</f>
        <v>1.4551224375748904E-2</v>
      </c>
      <c r="J5" s="26">
        <v>1</v>
      </c>
      <c r="K5" s="26">
        <v>20</v>
      </c>
      <c r="L5" s="39">
        <f>K5*1.5</f>
        <v>30</v>
      </c>
      <c r="N5" s="26">
        <v>1</v>
      </c>
      <c r="O5" s="26">
        <f>INT(1/INDEX($G$5:$G$84,$N5)/50)*50</f>
        <v>100</v>
      </c>
      <c r="P5" s="26">
        <v>600</v>
      </c>
      <c r="Q5" s="35">
        <f>P5*50</f>
        <v>30000</v>
      </c>
      <c r="T5" s="26">
        <v>1</v>
      </c>
      <c r="U5" s="41">
        <f>INDEX($Q$5:$Q$21,MATCH(节奏总纲!BQ4,$N$5:$N$21,1))*(U$2+$K$2)*节奏总纲!W4*4*$C$5</f>
        <v>65733.007929238694</v>
      </c>
      <c r="V5" s="41">
        <f>INDEX($Q$5:$Q$21,MATCH(节奏总纲!BR4,$N$5:$N$21,1))*(V$2+$K$2)*节奏总纲!X4*4*$C$5</f>
        <v>191644.58461769542</v>
      </c>
      <c r="W5" s="41">
        <f>INDEX($Q$5:$Q$21,MATCH(节奏总纲!BS4,$N$5:$N$21,1))*(W$2+$K$2)*节奏总纲!Y4*4*$C$5</f>
        <v>364124.71077362134</v>
      </c>
      <c r="X5" s="41">
        <f>INDEX($Q$5:$Q$21,MATCH(节奏总纲!BT4,$N$5:$N$21,1))*(X$2+$K$2)*节奏总纲!Z4*4*$C$5</f>
        <v>502353.55759788526</v>
      </c>
      <c r="Y5" s="41">
        <f>INDEX($Q$5:$Q$21,MATCH(节奏总纲!BU4,$N$5:$N$21,1))*(Y$2+$K$2)*节奏总纲!AA4*4*$C$5</f>
        <v>262684.43738708802</v>
      </c>
      <c r="Z5" s="41">
        <f>SUMIFS($K$5:$K$1004,$J$5:$J$1004,"&lt;="&amp;U$2)*节奏总纲!W4*4</f>
        <v>28.709385014517252</v>
      </c>
      <c r="AA5" s="41">
        <f>SUMIFS($K$5:$K$1004,$J$5:$J$1004,"&lt;="&amp;V$2)*节奏总纲!X4*4</f>
        <v>215.23425945383585</v>
      </c>
      <c r="AB5" s="41">
        <f>SUMIFS($K$5:$K$1004,$J$5:$J$1004,"&lt;="&amp;W$2)*节奏总纲!Y4*4</f>
        <v>505.16746777694408</v>
      </c>
      <c r="AC5" s="41">
        <f>SUMIFS($K$5:$K$1004,$J$5:$J$1004,"&lt;="&amp;X$2)*节奏总纲!Z4*4</f>
        <v>742.94146540567749</v>
      </c>
      <c r="AD5" s="41">
        <f>SUMIFS($K$5:$K$1004,$J$5:$J$1004,"&lt;="&amp;Y$2)*节奏总纲!AA4*4</f>
        <v>388.48965613944455</v>
      </c>
      <c r="AH5" s="35">
        <v>1</v>
      </c>
      <c r="AI5" s="47">
        <f>'[1]资源-木石铜粮'!AE6-U5</f>
        <v>-505784.73374960595</v>
      </c>
      <c r="AJ5" s="47">
        <f>'[1]资源-木石铜粮'!AF6-V5</f>
        <v>-655912.66163074016</v>
      </c>
      <c r="AK5" s="47">
        <f>'[1]资源-木石铜粮'!AG6-W5</f>
        <v>-856406.80413239473</v>
      </c>
      <c r="AL5" s="47">
        <f>'[1]资源-木石铜粮'!AH6-X5</f>
        <v>-1038201.6987281172</v>
      </c>
      <c r="AM5" s="47">
        <f>'[1]资源-木石铜粮'!AI6-Y5</f>
        <v>-829029.37167109339</v>
      </c>
      <c r="AN5" s="46">
        <f>AI5*IF($AH5&lt;=10,'[1]功能-付费相关'!S16,'[1]功能-付费相关'!S6)</f>
        <v>-597.48102000636754</v>
      </c>
      <c r="AO5" s="46">
        <f>AJ5*IF($AH5&lt;=10,'[1]功能-付费相关'!T16,'[1]功能-付费相关'!T6)</f>
        <v>-769.02601738267276</v>
      </c>
      <c r="AP5" s="46">
        <f>AK5*IF($AH5&lt;=10,'[1]功能-付费相关'!U16,'[1]功能-付费相关'!U6)</f>
        <v>-988.83840345673377</v>
      </c>
      <c r="AQ5" s="46">
        <f>AL5*IF($AH5&lt;=10,'[1]功能-付费相关'!V16,'[1]功能-付费相关'!V6)</f>
        <v>-1143.8983565625567</v>
      </c>
      <c r="AR5" s="46">
        <f>AM5*IF($AH5&lt;=10,'[1]功能-付费相关'!W16,'[1]功能-付费相关'!W6)</f>
        <v>-887.24614714000609</v>
      </c>
      <c r="AS5" s="48">
        <f>SUM(AN$5:AN5)/'[1]资源-钻石'!L4</f>
        <v>-0.5740400701845193</v>
      </c>
      <c r="AT5" s="48">
        <f>SUM(AO$5:AO5)/'[1]资源-钻石'!M4</f>
        <v>-0.65787680515443081</v>
      </c>
      <c r="AU5" s="48">
        <f>SUM(AP$5:AP5)/'[1]资源-钻石'!N4</f>
        <v>-0.68091637867715882</v>
      </c>
      <c r="AV5" s="48">
        <f>SUM(AQ$5:AQ5)/'[1]资源-钻石'!O4</f>
        <v>-0.45560169846836079</v>
      </c>
      <c r="AW5" s="48">
        <f>SUM(AR$5:AR5)/'[1]资源-钻石'!P4</f>
        <v>-0.29133821198529114</v>
      </c>
      <c r="AX5" s="35">
        <f>('[1]资源-木石铜粮'!C6+U5)/'[1]资源-木石铜粮'!U6</f>
        <v>5.062635296894431</v>
      </c>
      <c r="AY5" s="35">
        <f>('[1]资源-木石铜粮'!D6+V5)/'[1]资源-木石铜粮'!V6</f>
        <v>6.0441574040333599</v>
      </c>
      <c r="AZ5" s="35">
        <f>('[1]资源-木石铜粮'!E6+W5)/'[1]资源-木石铜粮'!W6</f>
        <v>7.3738111013909746</v>
      </c>
      <c r="BA5" s="35">
        <f>('[1]资源-木石铜粮'!F6+X5)/'[1]资源-木石铜粮'!X6</f>
        <v>8.6773834251242246</v>
      </c>
      <c r="BB5" s="35">
        <f>('[1]资源-木石铜粮'!G6+Y5)/'[1]资源-木石铜粮'!Y6</f>
        <v>6.7329266208703258</v>
      </c>
      <c r="BE5" s="26">
        <f>Z5/U5</f>
        <v>4.367575122292104E-4</v>
      </c>
      <c r="BF5" s="39">
        <f t="shared" ref="BF5:BI5" si="1">AA5/V5</f>
        <v>1.1230907457322552E-3</v>
      </c>
      <c r="BG5" s="39">
        <f t="shared" si="1"/>
        <v>1.3873473917869032E-3</v>
      </c>
      <c r="BH5" s="39">
        <f t="shared" si="1"/>
        <v>1.4789214770533658E-3</v>
      </c>
      <c r="BI5" s="39">
        <f t="shared" si="1"/>
        <v>1.4789214770533656E-3</v>
      </c>
      <c r="BK5" s="26">
        <f>BE5/求节点(节奏总纲!AM$4:AM$83,$G$5:$G$84,节奏总纲!P4)</f>
        <v>0.16873462951995147</v>
      </c>
      <c r="BL5" s="39">
        <f>BF5/求节点(节奏总纲!AN$4:AN$83,$G$5:$G$84,节奏总纲!Q4)</f>
        <v>0.44415252802357891</v>
      </c>
      <c r="BM5" s="39">
        <f>BG5/求节点(节奏总纲!AO$4:AO$83,$G$5:$G$84,节奏总纲!R4)</f>
        <v>0.56316457786728091</v>
      </c>
      <c r="BN5" s="39">
        <f>BH5/求节点(节奏总纲!AP$4:AP$83,$G$5:$G$84,节奏总纲!S4)</f>
        <v>0.61810368468579058</v>
      </c>
      <c r="BO5" s="39">
        <f>BI5/求节点(节奏总纲!AQ$4:AQ$83,$G$5:$G$84,节奏总纲!T4)</f>
        <v>0.6382159960969096</v>
      </c>
      <c r="BQ5" s="56" t="s">
        <v>255</v>
      </c>
      <c r="BR5" s="56"/>
      <c r="BS5" s="26">
        <v>5</v>
      </c>
      <c r="BT5" s="26">
        <v>20</v>
      </c>
      <c r="BU5" s="26">
        <v>50</v>
      </c>
      <c r="BV5" s="26">
        <v>100</v>
      </c>
      <c r="BW5" s="26">
        <v>500</v>
      </c>
    </row>
    <row r="6" spans="1:75" x14ac:dyDescent="0.15">
      <c r="A6" s="26">
        <v>2</v>
      </c>
      <c r="B6" s="26">
        <v>0.14000000000000001</v>
      </c>
      <c r="C6" s="26"/>
      <c r="E6" s="26">
        <v>2</v>
      </c>
      <c r="F6" s="26">
        <f>节奏总纲!$BL5</f>
        <v>0.30738488628129679</v>
      </c>
      <c r="G6" s="26">
        <f>数据索引!$E7</f>
        <v>4.65973271744838E-3</v>
      </c>
      <c r="H6" s="26">
        <f>数据索引!J7</f>
        <v>7.0576394718097173E-3</v>
      </c>
      <c r="I6" s="54"/>
      <c r="J6" s="26">
        <v>2</v>
      </c>
      <c r="K6" s="26">
        <v>20</v>
      </c>
      <c r="L6" s="55">
        <f t="shared" ref="L6:L69" si="2">K6*1.5</f>
        <v>30</v>
      </c>
      <c r="M6" s="55"/>
      <c r="N6" s="26">
        <v>5</v>
      </c>
      <c r="O6" s="39">
        <f>INT(1/INDEX($G$5:$G$84,$N6)/50)*50</f>
        <v>550</v>
      </c>
      <c r="P6" s="35">
        <v>800</v>
      </c>
      <c r="Q6" s="35">
        <f>P6*50</f>
        <v>40000</v>
      </c>
      <c r="T6" s="26">
        <v>2</v>
      </c>
      <c r="U6" s="35">
        <f>INDEX($Q$5:$Q$21,MATCH(节奏总纲!BQ5,$N$5:$N$21,1))*(U$2+$K$2)*节奏总纲!W5*4*$C$5+U5</f>
        <v>136183.90144048462</v>
      </c>
      <c r="V6" s="50">
        <f>INDEX($Q$5:$Q$21,MATCH(节奏总纲!BR5,$N$5:$N$21,1))*(V$2+$K$2)*节奏总纲!X5*4*$C$5+V5</f>
        <v>470594.89031419018</v>
      </c>
      <c r="W6" s="50">
        <f>INDEX($Q$5:$Q$21,MATCH(节奏总纲!BS5,$N$5:$N$21,1))*(W$2+$K$2)*节奏总纲!Y5*4*$C$5+W5</f>
        <v>904534.74166701431</v>
      </c>
      <c r="X6" s="50">
        <f>INDEX($Q$5:$Q$21,MATCH(节奏总纲!BT5,$N$5:$N$21,1))*(X$2+$K$2)*节奏总纲!Z5*4*$C$5+X5</f>
        <v>1267915.0300810626</v>
      </c>
      <c r="Y6" s="50">
        <f>INDEX($Q$5:$Q$21,MATCH(节奏总纲!BU5,$N$5:$N$21,1))*(Y$2+$K$2)*节奏总纲!AA5*4*$C$5+Y5</f>
        <v>674747.58019206929</v>
      </c>
      <c r="Z6" s="35">
        <f>SUMIFS($K$5:$K$1004,$J$5:$J$1004,"&lt;="&amp;U$2)*节奏总纲!W5*4+Z5</f>
        <v>59.479341998814036</v>
      </c>
      <c r="AA6" s="51">
        <f>SUMIFS($K$5:$K$1004,$J$5:$J$1004,"&lt;="&amp;V$2)*节奏总纲!X5*4+AA5</f>
        <v>450.19913958902345</v>
      </c>
      <c r="AB6" s="51">
        <f>SUMIFS($K$5:$K$1004,$J$5:$J$1004,"&lt;="&amp;W$2)*节奏总纲!Y5*4+AB5</f>
        <v>1067.4698029185156</v>
      </c>
      <c r="AC6" s="51">
        <f>SUMIFS($K$5:$K$1004,$J$5:$J$1004,"&lt;="&amp;X$2)*节奏总纲!Z5*4+AC5</f>
        <v>1592.0954431506552</v>
      </c>
      <c r="AD6" s="51">
        <f>SUMIFS($K$5:$K$1004,$J$5:$J$1004,"&lt;="&amp;Y$2)*节奏总纲!AA5*4+AD5</f>
        <v>845.54642998674058</v>
      </c>
      <c r="AG6" s="35"/>
      <c r="AH6" s="35">
        <v>2</v>
      </c>
      <c r="AI6" s="47">
        <f>'[1]资源-木石铜粮'!AE7-U6</f>
        <v>-909630.56240042974</v>
      </c>
      <c r="AJ6" s="47">
        <f>'[1]资源-木石铜粮'!AF7-V6</f>
        <v>-1260628.0650970687</v>
      </c>
      <c r="AK6" s="47">
        <f>'[1]资源-木石铜粮'!AG7-W6</f>
        <v>-1709944.9949942068</v>
      </c>
      <c r="AL6" s="47">
        <f>'[1]资源-木石铜粮'!AH7-X6</f>
        <v>-2106496.9532899982</v>
      </c>
      <c r="AM6" s="47">
        <f>'[1]资源-木石铜粮'!AI7-Y6</f>
        <v>-1527770.7207435812</v>
      </c>
      <c r="AN6" s="47">
        <f>(AI6-AI5)*IF($AH6&lt;=10,'[1]功能-付费相关'!S17,'[1]功能-付费相关'!S7)</f>
        <v>-452.59499143962125</v>
      </c>
      <c r="AO6" s="47">
        <f>(AJ6-AJ5)*IF($AH6&lt;=10,'[1]功能-付费相关'!T17,'[1]功能-付费相关'!T7)</f>
        <v>-672.48984667871605</v>
      </c>
      <c r="AP6" s="47">
        <f>(AK6-AK5)*IF($AH6&lt;=10,'[1]功能-付费相关'!U17,'[1]功能-付费相关'!U7)</f>
        <v>-933.62520036539956</v>
      </c>
      <c r="AQ6" s="47">
        <f>(AL6-AL5)*IF($AH6&lt;=10,'[1]功能-付费相关'!V17,'[1]功能-付费相关'!V7)</f>
        <v>-1109.8817725457593</v>
      </c>
      <c r="AR6" s="47">
        <f>(AM6-AM5)*IF($AH6&lt;=10,'[1]功能-付费相关'!W17,'[1]功能-付费相关'!W7)</f>
        <v>-701.79388680967804</v>
      </c>
      <c r="AS6" s="48">
        <f>SUM(AN$5:AN6)/'[1]资源-钻石'!L5</f>
        <v>-0.48696367533342311</v>
      </c>
      <c r="AT6" s="48">
        <f>SUM(AO$5:AO6)/'[1]资源-钻石'!M5</f>
        <v>-0.58956230443425239</v>
      </c>
      <c r="AU6" s="48">
        <f>SUM(AP$5:AP6)/'[1]资源-钻石'!N5</f>
        <v>-0.62647877081342174</v>
      </c>
      <c r="AV6" s="48">
        <f>SUM(AQ$5:AQ6)/'[1]资源-钻石'!O5</f>
        <v>-0.41888512909749132</v>
      </c>
      <c r="AW6" s="48">
        <f>SUM(AR$5:AR6)/'[1]资源-钻石'!P5</f>
        <v>-0.23973429542627325</v>
      </c>
      <c r="AX6" s="35">
        <f>('[1]资源-木石铜粮'!C7+U6)/'[1]资源-木石铜粮'!U7</f>
        <v>4.5812764501326084</v>
      </c>
      <c r="AY6" s="35">
        <f>('[1]资源-木石铜粮'!D7+V6)/'[1]资源-木石铜粮'!V7</f>
        <v>5.6840065894195515</v>
      </c>
      <c r="AZ6" s="35">
        <f>('[1]资源-木石铜粮'!E7+W6)/'[1]资源-木石铜粮'!W7</f>
        <v>7.115105265233062</v>
      </c>
      <c r="BA6" s="35">
        <f>('[1]资源-木石铜粮'!F7+X6)/'[1]资源-木石铜粮'!X7</f>
        <v>8.5951841109300737</v>
      </c>
      <c r="BB6" s="35">
        <f>('[1]资源-木石铜粮'!G7+Y6)/'[1]资源-木石铜粮'!Y7</f>
        <v>6.333814688522347</v>
      </c>
      <c r="BE6" s="39">
        <f t="shared" ref="BE6:BE24" si="3">Z6/U6</f>
        <v>4.3675751222921029E-4</v>
      </c>
      <c r="BF6" s="39">
        <f t="shared" ref="BF6:BF24" si="4">AA6/V6</f>
        <v>9.5665964262478575E-4</v>
      </c>
      <c r="BG6" s="39">
        <f t="shared" ref="BG6:BG24" si="5">AB6/W6</f>
        <v>1.1801313468084375E-3</v>
      </c>
      <c r="BH6" s="39">
        <f t="shared" ref="BH6:BH24" si="6">AC6/X6</f>
        <v>1.2556799196937248E-3</v>
      </c>
      <c r="BI6" s="39">
        <f t="shared" ref="BI6:BI24" si="7">AD6/Y6</f>
        <v>1.2531299923240226E-3</v>
      </c>
      <c r="BK6" s="39">
        <f>BE6/求节点(节奏总纲!AM$4:AM$83,$G$5:$G$84,节奏总纲!P5)</f>
        <v>0.25962880427491919</v>
      </c>
      <c r="BL6" s="39">
        <f>BF6/求节点(节奏总纲!AN$4:AN$83,$G$5:$G$84,节奏总纲!Q5)</f>
        <v>0.57568734426800983</v>
      </c>
      <c r="BM6" s="39">
        <f>BG6/求节点(节奏总纲!AO$4:AO$83,$G$5:$G$84,节奏总纲!R5)</f>
        <v>0.71544822068329339</v>
      </c>
      <c r="BN6" s="39">
        <f>BH6/求节点(节奏总纲!AP$4:AP$83,$G$5:$G$84,节奏总纲!S5)</f>
        <v>0.76792902163370669</v>
      </c>
      <c r="BO6" s="39">
        <f>BI6/求节点(节奏总纲!AQ$4:AQ$83,$G$5:$G$84,节奏总纲!T5)</f>
        <v>0.77386142980717998</v>
      </c>
      <c r="BQ6" s="58" t="s">
        <v>262</v>
      </c>
      <c r="BR6" s="26" t="s">
        <v>263</v>
      </c>
      <c r="BS6" s="26">
        <f>SUMIFS($K$5:$K$1004,$J$5:$J$1004,"&lt;="&amp;BS$5)</f>
        <v>100</v>
      </c>
      <c r="BT6" s="53">
        <f t="shared" ref="BT6:BW6" si="8">SUMIFS($K$5:$K$1004,$J$5:$J$1004,"&lt;="&amp;BT$5)</f>
        <v>900</v>
      </c>
      <c r="BU6" s="53">
        <f t="shared" si="8"/>
        <v>2700</v>
      </c>
      <c r="BV6" s="53">
        <f t="shared" si="8"/>
        <v>5700</v>
      </c>
      <c r="BW6" s="53">
        <f t="shared" si="8"/>
        <v>29700</v>
      </c>
    </row>
    <row r="7" spans="1:75" x14ac:dyDescent="0.15">
      <c r="A7" s="26">
        <v>3</v>
      </c>
      <c r="B7" s="26">
        <v>4.9000000000000002E-2</v>
      </c>
      <c r="C7" s="26"/>
      <c r="E7" s="26">
        <v>3</v>
      </c>
      <c r="F7" s="26">
        <f>节奏总纲!$BL6</f>
        <v>0.66153178186505168</v>
      </c>
      <c r="G7" s="26">
        <f>数据索引!$E8</f>
        <v>2.9965607945639876E-3</v>
      </c>
      <c r="H7" s="26">
        <f>数据索引!J8</f>
        <v>4.5639400178227934E-3</v>
      </c>
      <c r="I7" s="54"/>
      <c r="J7" s="35">
        <v>3</v>
      </c>
      <c r="K7" s="35">
        <v>20</v>
      </c>
      <c r="L7" s="55">
        <f t="shared" si="2"/>
        <v>30</v>
      </c>
      <c r="M7" s="55"/>
      <c r="N7" s="35">
        <v>10</v>
      </c>
      <c r="O7" s="39">
        <f>INT(1/INDEX($G$5:$G$84,$N7)/50)*50</f>
        <v>800</v>
      </c>
      <c r="P7" s="39">
        <v>1000</v>
      </c>
      <c r="Q7" s="35">
        <f t="shared" ref="Q7:Q21" si="9">P7*50</f>
        <v>50000</v>
      </c>
      <c r="T7" s="35">
        <v>3</v>
      </c>
      <c r="U7" s="50">
        <f>INDEX($Q$5:$Q$21,MATCH(节奏总纲!BQ6,$N$5:$N$21,1))*(U$2+$K$2)*节奏总纲!W6*4*$C$5+U6</f>
        <v>236860.43221024933</v>
      </c>
      <c r="V7" s="50">
        <f>INDEX($Q$5:$Q$21,MATCH(节奏总纲!BR6,$N$5:$N$21,1))*(V$2+$K$2)*节奏总纲!X6*4*$C$5+V6</f>
        <v>773061.1935677079</v>
      </c>
      <c r="W7" s="50">
        <f>INDEX($Q$5:$Q$21,MATCH(节奏总纲!BS6,$N$5:$N$21,1))*(W$2+$K$2)*节奏总纲!Y6*4*$C$5+W6</f>
        <v>1499503.0385567467</v>
      </c>
      <c r="X7" s="50">
        <f>INDEX($Q$5:$Q$21,MATCH(节奏总纲!BT6,$N$5:$N$21,1))*(X$2+$K$2)*节奏总纲!Z6*4*$C$5+X6</f>
        <v>2118396.1705784313</v>
      </c>
      <c r="Y7" s="50">
        <f>INDEX($Q$5:$Q$21,MATCH(节奏总纲!BU6,$N$5:$N$21,1))*(Y$2+$K$2)*节奏总纲!AA6*4*$C$5+Y6</f>
        <v>1133045.8496395524</v>
      </c>
      <c r="Z7" s="51">
        <f>SUMIFS($K$5:$K$1004,$J$5:$J$1004,"&lt;="&amp;U$2)*节奏总纲!W6*4+Z6</f>
        <v>92.457765337966521</v>
      </c>
      <c r="AA7" s="51">
        <f>SUMIFS($K$5:$K$1004,$J$5:$J$1004,"&lt;="&amp;V$2)*节奏总纲!X6*4+AA6</f>
        <v>704.97196914892709</v>
      </c>
      <c r="AB7" s="51">
        <f>SUMIFS($K$5:$K$1004,$J$5:$J$1004,"&lt;="&amp;W$2)*节奏总纲!Y6*4+AB6</f>
        <v>1686.5405890829152</v>
      </c>
      <c r="AC7" s="51">
        <f>SUMIFS($K$5:$K$1004,$J$5:$J$1004,"&lt;="&amp;X$2)*节奏总纲!Z6*4+AC6</f>
        <v>2535.4415615334547</v>
      </c>
      <c r="AD7" s="51">
        <f>SUMIFS($K$5:$K$1004,$J$5:$J$1004,"&lt;="&amp;Y$2)*节奏总纲!AA6*4+AD6</f>
        <v>1353.8867951734453</v>
      </c>
      <c r="AG7" s="35"/>
      <c r="AH7" s="35">
        <v>3</v>
      </c>
      <c r="AI7" s="47">
        <f>'[1]资源-木石铜粮'!AE8-U7</f>
        <v>-1159122.7574909525</v>
      </c>
      <c r="AJ7" s="47">
        <f>'[1]资源-木石铜粮'!AF8-V7</f>
        <v>-1695936.8887183359</v>
      </c>
      <c r="AK7" s="47">
        <f>'[1]资源-木石铜粮'!AG8-W7</f>
        <v>-2418552.2273797584</v>
      </c>
      <c r="AL7" s="47">
        <f>'[1]资源-木石铜粮'!AH8-X7</f>
        <v>-3068426.2200406212</v>
      </c>
      <c r="AM7" s="47">
        <f>'[1]资源-木石铜粮'!AI8-Y7</f>
        <v>-2091980.9596722145</v>
      </c>
      <c r="AN7" s="47">
        <f>(AI7-AI6)*IF($AH7&lt;=10,'[1]功能-付费相关'!S18,'[1]功能-付费相关'!S8)</f>
        <v>-265.37066561205143</v>
      </c>
      <c r="AO7" s="47">
        <f>(AJ7-AJ6)*IF($AH7&lt;=10,'[1]功能-付费相关'!T18,'[1]功能-付费相关'!T8)</f>
        <v>-459.10249222019104</v>
      </c>
      <c r="AP7" s="47">
        <f>(AK7-AK6)*IF($AH7&lt;=10,'[1]功能-付费相关'!U18,'[1]功能-付费相关'!U8)</f>
        <v>-734.30027071987092</v>
      </c>
      <c r="AQ7" s="47">
        <f>(AL7-AL6)*IF($AH7&lt;=10,'[1]功能-付费相关'!V18,'[1]功能-付费相关'!V8)</f>
        <v>-942.03885696245675</v>
      </c>
      <c r="AR7" s="47">
        <f>(AM7-AM6)*IF($AH7&lt;=10,'[1]功能-付费相关'!W18,'[1]功能-付费相关'!W8)</f>
        <v>-531.96175770747311</v>
      </c>
      <c r="AS7" s="48">
        <f>SUM(AN$5:AN7)/'[1]资源-钻石'!L6</f>
        <v>-0.39243871081675308</v>
      </c>
      <c r="AT7" s="48">
        <f>SUM(AO$5:AO7)/'[1]资源-钻石'!M6</f>
        <v>-0.49640713199421277</v>
      </c>
      <c r="AU7" s="48">
        <f>SUM(AP$5:AP7)/'[1]资源-钻石'!N6</f>
        <v>-0.54797404750962897</v>
      </c>
      <c r="AV7" s="48">
        <f>SUM(AQ$5:AQ7)/'[1]资源-钻石'!O6</f>
        <v>-0.37297615190018851</v>
      </c>
      <c r="AW7" s="48">
        <f>SUM(AR$5:AR7)/'[1]资源-钻石'!P6</f>
        <v>-0.19984416445160053</v>
      </c>
      <c r="AX7" s="35">
        <f>('[1]资源-木石铜粮'!C8+U7)/'[1]资源-木石铜粮'!U8</f>
        <v>3.1948120250332357</v>
      </c>
      <c r="AY7" s="35">
        <f>('[1]资源-木石铜粮'!D8+V7)/'[1]资源-木石铜粮'!V8</f>
        <v>4.0247167509333215</v>
      </c>
      <c r="AZ7" s="35">
        <f>('[1]资源-木石铜粮'!E8+W7)/'[1]资源-木石铜粮'!W8</f>
        <v>5.1477246033184203</v>
      </c>
      <c r="BA7" s="35">
        <f>('[1]资源-木石铜粮'!F8+X7)/'[1]资源-木石铜粮'!X8</f>
        <v>6.3345006304017097</v>
      </c>
      <c r="BB7" s="35">
        <f>('[1]资源-木石铜粮'!G8+Y7)/'[1]资源-木石铜粮'!Y8</f>
        <v>4.6256770800650804</v>
      </c>
      <c r="BE7" s="39">
        <f t="shared" si="3"/>
        <v>3.9034702620105124E-4</v>
      </c>
      <c r="BF7" s="39">
        <f t="shared" si="4"/>
        <v>9.1192259424568143E-4</v>
      </c>
      <c r="BG7" s="39">
        <f t="shared" si="5"/>
        <v>1.1247330253536464E-3</v>
      </c>
      <c r="BH7" s="39">
        <f t="shared" si="6"/>
        <v>1.1968684596144962E-3</v>
      </c>
      <c r="BI7" s="39">
        <f t="shared" si="7"/>
        <v>1.1949090988719894E-3</v>
      </c>
      <c r="BK7" s="39">
        <f>BE7/求节点(节奏总纲!AM$4:AM$83,$G$5:$G$84,节奏总纲!P6)</f>
        <v>0.2507307911286808</v>
      </c>
      <c r="BL7" s="39">
        <f>BF7/求节点(节奏总纲!AN$4:AN$83,$G$5:$G$84,节奏总纲!Q6)</f>
        <v>0.59125786010274362</v>
      </c>
      <c r="BM7" s="39">
        <f>BG7/求节点(节奏总纲!AO$4:AO$83,$G$5:$G$84,节奏总纲!R6)</f>
        <v>0.73710253016474947</v>
      </c>
      <c r="BN7" s="39">
        <f>BH7/求节点(节奏总纲!AP$4:AP$83,$G$5:$G$84,节奏总纲!S6)</f>
        <v>0.79419035379312197</v>
      </c>
      <c r="BO7" s="39">
        <f>BI7/求节点(节奏总纲!AQ$4:AQ$83,$G$5:$G$84,节奏总纲!T6)</f>
        <v>0.80359896716846801</v>
      </c>
      <c r="BQ7" s="58"/>
      <c r="BR7" s="26" t="s">
        <v>264</v>
      </c>
      <c r="BS7" s="53">
        <f t="shared" ref="BS7:BW9" si="10">SUMIFS($K$5:$K$1004,$J$5:$J$1004,"&lt;="&amp;BS$5)</f>
        <v>100</v>
      </c>
      <c r="BT7" s="53">
        <f t="shared" si="10"/>
        <v>900</v>
      </c>
      <c r="BU7" s="53">
        <f t="shared" si="10"/>
        <v>2700</v>
      </c>
      <c r="BV7" s="53">
        <f t="shared" si="10"/>
        <v>5700</v>
      </c>
      <c r="BW7" s="53">
        <f t="shared" si="10"/>
        <v>29700</v>
      </c>
    </row>
    <row r="8" spans="1:75" x14ac:dyDescent="0.15">
      <c r="A8" s="26">
        <v>4</v>
      </c>
      <c r="B8" s="26">
        <v>0.01</v>
      </c>
      <c r="C8" s="26"/>
      <c r="E8" s="26">
        <v>4</v>
      </c>
      <c r="F8" s="26">
        <f>节奏总纲!$BL7</f>
        <v>1.1691695709192234</v>
      </c>
      <c r="G8" s="26">
        <f>数据索引!$E9</f>
        <v>2.166914311191856E-3</v>
      </c>
      <c r="H8" s="26">
        <f>数据索引!J9</f>
        <v>3.3201426003855233E-3</v>
      </c>
      <c r="I8" s="54"/>
      <c r="J8" s="35">
        <v>4</v>
      </c>
      <c r="K8" s="35">
        <v>20</v>
      </c>
      <c r="L8" s="55">
        <f t="shared" si="2"/>
        <v>30</v>
      </c>
      <c r="M8" s="55"/>
      <c r="N8" s="35">
        <v>15</v>
      </c>
      <c r="O8" s="39">
        <f>INT(1/INDEX($G$5:$G$84,$N8)/50)*50</f>
        <v>1050</v>
      </c>
      <c r="P8" s="39">
        <v>1400</v>
      </c>
      <c r="Q8" s="35">
        <f t="shared" si="9"/>
        <v>70000</v>
      </c>
      <c r="T8" s="35">
        <v>4</v>
      </c>
      <c r="U8" s="50">
        <f>INDEX($Q$5:$Q$21,MATCH(节奏总纲!BQ7,$N$5:$N$21,1))*(U$2+$K$2)*节奏总纲!W7*4*$C$5+U7</f>
        <v>344762.86618950171</v>
      </c>
      <c r="V8" s="50">
        <f>INDEX($Q$5:$Q$21,MATCH(节奏总纲!BR7,$N$5:$N$21,1))*(V$2+$K$2)*节奏总纲!X7*4*$C$5+V7</f>
        <v>1098475.6958030288</v>
      </c>
      <c r="W8" s="50">
        <f>INDEX($Q$5:$Q$21,MATCH(节奏总纲!BS7,$N$5:$N$21,1))*(W$2+$K$2)*节奏总纲!Y7*4*$C$5+W7</f>
        <v>2143021.1949261846</v>
      </c>
      <c r="X8" s="50">
        <f>INDEX($Q$5:$Q$21,MATCH(节奏总纲!BT7,$N$5:$N$21,1))*(X$2+$K$2)*节奏总纲!Z7*4*$C$5+X7</f>
        <v>3040846.4497836796</v>
      </c>
      <c r="Y8" s="50">
        <f>INDEX($Q$5:$Q$21,MATCH(节奏总纲!BU7,$N$5:$N$21,1))*(Y$2+$K$2)*节奏总纲!AA7*4*$C$5+Y7</f>
        <v>1640387.5647592421</v>
      </c>
      <c r="Z8" s="51">
        <f>SUMIFS($K$5:$K$1004,$J$5:$J$1004,"&lt;="&amp;U$2)*节奏总纲!W7*4+Z7</f>
        <v>127.80316430915768</v>
      </c>
      <c r="AA8" s="51">
        <f>SUMIFS($K$5:$K$1004,$J$5:$J$1004,"&lt;="&amp;V$2)*节奏总纲!X7*4+AA7</f>
        <v>979.07448113959504</v>
      </c>
      <c r="AB8" s="51">
        <f>SUMIFS($K$5:$K$1004,$J$5:$J$1004,"&lt;="&amp;W$2)*节奏总纲!Y7*4+AB7</f>
        <v>2356.1280159379071</v>
      </c>
      <c r="AC8" s="51">
        <f>SUMIFS($K$5:$K$1004,$J$5:$J$1004,"&lt;="&amp;X$2)*节奏总纲!Z7*4+AC7</f>
        <v>3558.6152086063412</v>
      </c>
      <c r="AD8" s="51">
        <f>SUMIFS($K$5:$K$1004,$J$5:$J$1004,"&lt;="&amp;Y$2)*节奏总纲!AA7*4+AD7</f>
        <v>1916.6257141951448</v>
      </c>
      <c r="AG8" s="35"/>
      <c r="AH8" s="35">
        <v>4</v>
      </c>
      <c r="AI8" s="47">
        <f>'[1]资源-木石铜粮'!AE9-U8</f>
        <v>-1473382.3696631179</v>
      </c>
      <c r="AJ8" s="47">
        <f>'[1]资源-木石铜粮'!AF9-V8</f>
        <v>-2184477.0857598614</v>
      </c>
      <c r="AK8" s="47">
        <f>'[1]资源-木石铜粮'!AG9-W8</f>
        <v>-3204365.3054001923</v>
      </c>
      <c r="AL8" s="47">
        <f>'[1]资源-木石铜粮'!AH9-X8</f>
        <v>-4130219.2093439195</v>
      </c>
      <c r="AM8" s="47">
        <f>'[1]资源-木石铜粮'!AI9-Y8</f>
        <v>-2745986.43661517</v>
      </c>
      <c r="AN8" s="47">
        <f>(AI8-AI7)*IF($AH8&lt;=10,'[1]功能-付费相关'!S19,'[1]功能-付费相关'!S9)</f>
        <v>-317.33699291376871</v>
      </c>
      <c r="AO8" s="47">
        <f>(AJ8-AJ7)*IF($AH8&lt;=10,'[1]功能-付费相关'!T19,'[1]功能-付费相关'!T9)</f>
        <v>-488.80893013615685</v>
      </c>
      <c r="AP8" s="47">
        <f>(AK8-AK7)*IF($AH8&lt;=10,'[1]功能-付费相关'!U19,'[1]功能-付费相关'!U9)</f>
        <v>-771.684724979149</v>
      </c>
      <c r="AQ8" s="47">
        <f>(AL8-AL7)*IF($AH8&lt;=10,'[1]功能-付费相关'!V19,'[1]功能-付费相关'!V9)</f>
        <v>-980.9303137242913</v>
      </c>
      <c r="AR8" s="47">
        <f>(AM8-AM7)*IF($AH8&lt;=10,'[1]功能-付费相关'!W19,'[1]功能-付费相关'!W9)</f>
        <v>-582.22908985944025</v>
      </c>
      <c r="AS8" s="48">
        <f>SUM(AN$5:AN8)/'[1]资源-钻石'!L7</f>
        <v>-0.35239442257374992</v>
      </c>
      <c r="AT8" s="48">
        <f>SUM(AO$5:AO8)/'[1]资源-钻石'!M7</f>
        <v>-0.44935857111385263</v>
      </c>
      <c r="AU8" s="48">
        <f>SUM(AP$5:AP8)/'[1]资源-钻石'!N7</f>
        <v>-0.50617721284104156</v>
      </c>
      <c r="AV8" s="48">
        <f>SUM(AQ$5:AQ8)/'[1]资源-钻石'!O7</f>
        <v>-0.34730407136226982</v>
      </c>
      <c r="AW8" s="48">
        <f>SUM(AR$5:AR8)/'[1]资源-钻石'!P7</f>
        <v>-0.17991965841018548</v>
      </c>
      <c r="AX8" s="35">
        <f>('[1]资源-木石铜粮'!C9+U8)/'[1]资源-木石铜粮'!U9</f>
        <v>2.8244096083351344</v>
      </c>
      <c r="AY8" s="35">
        <f>('[1]资源-木石铜粮'!D9+V8)/'[1]资源-木石铜粮'!V9</f>
        <v>3.5403670392766791</v>
      </c>
      <c r="AZ8" s="35">
        <f>('[1]资源-木石铜粮'!E9+W8)/'[1]资源-木石铜粮'!W9</f>
        <v>4.5946354743251465</v>
      </c>
      <c r="BA8" s="35">
        <f>('[1]资源-木石铜粮'!F9+X8)/'[1]资源-木石铜粮'!X9</f>
        <v>5.7805857511094159</v>
      </c>
      <c r="BB8" s="35">
        <f>('[1]资源-木石铜粮'!G9+Y8)/'[1]资源-木石铜粮'!Y9</f>
        <v>4.3003463943414824</v>
      </c>
      <c r="BE8" s="39">
        <f t="shared" si="3"/>
        <v>3.7069875222266435E-4</v>
      </c>
      <c r="BF8" s="39">
        <f t="shared" si="4"/>
        <v>8.9130281614820182E-4</v>
      </c>
      <c r="BG8" s="39">
        <f t="shared" si="5"/>
        <v>1.0994422367432829E-3</v>
      </c>
      <c r="BH8" s="39">
        <f t="shared" si="6"/>
        <v>1.1702712607732939E-3</v>
      </c>
      <c r="BI8" s="39">
        <f t="shared" si="7"/>
        <v>1.1683981001626563E-3</v>
      </c>
      <c r="BK8" s="39">
        <f>BE8/求节点(节奏总纲!AM$4:AM$83,$G$5:$G$84,节奏总纲!P7)</f>
        <v>0.25299292573134269</v>
      </c>
      <c r="BL8" s="39">
        <f>BF8/求节点(节奏总纲!AN$4:AN$83,$G$5:$G$84,节奏总纲!Q7)</f>
        <v>0.6149446287150433</v>
      </c>
      <c r="BM8" s="39">
        <f>BG8/求节点(节奏总纲!AO$4:AO$83,$G$5:$G$84,节奏总纲!R7)</f>
        <v>0.76826225348416288</v>
      </c>
      <c r="BN8" s="39">
        <f>BH8/求节点(节奏总纲!AP$4:AP$83,$G$5:$G$84,节奏总纲!S7)</f>
        <v>0.82970936125822048</v>
      </c>
      <c r="BO8" s="39">
        <f>BI8/求节点(节奏总纲!AQ$4:AQ$83,$G$5:$G$84,节奏总纲!T7)</f>
        <v>0.84232088069615485</v>
      </c>
      <c r="BQ8" s="58"/>
      <c r="BR8" s="26" t="s">
        <v>265</v>
      </c>
      <c r="BS8" s="53">
        <f t="shared" si="10"/>
        <v>100</v>
      </c>
      <c r="BT8" s="53">
        <f t="shared" si="10"/>
        <v>900</v>
      </c>
      <c r="BU8" s="53">
        <f t="shared" si="10"/>
        <v>2700</v>
      </c>
      <c r="BV8" s="53">
        <f t="shared" si="10"/>
        <v>5700</v>
      </c>
      <c r="BW8" s="53">
        <f t="shared" si="10"/>
        <v>29700</v>
      </c>
    </row>
    <row r="9" spans="1:75" x14ac:dyDescent="0.15">
      <c r="A9" s="26">
        <v>5</v>
      </c>
      <c r="B9" s="26">
        <v>1E-3</v>
      </c>
      <c r="C9" s="26"/>
      <c r="E9" s="26">
        <v>5</v>
      </c>
      <c r="F9" s="26">
        <f>节奏总纲!$BL8</f>
        <v>1.830216243198636</v>
      </c>
      <c r="G9" s="26">
        <f>数据索引!$E10</f>
        <v>1.670984831930115E-3</v>
      </c>
      <c r="H9" s="26">
        <f>数据索引!J10</f>
        <v>2.5762734609973241E-3</v>
      </c>
      <c r="I9" s="54"/>
      <c r="J9" s="35">
        <v>5</v>
      </c>
      <c r="K9" s="35">
        <v>20</v>
      </c>
      <c r="L9" s="55">
        <f t="shared" si="2"/>
        <v>30</v>
      </c>
      <c r="M9" s="55"/>
      <c r="N9" s="35">
        <v>20</v>
      </c>
      <c r="O9" s="39">
        <f>INT(1/INDEX($G$5:$G$84,$N9)/50)*50</f>
        <v>1700</v>
      </c>
      <c r="P9" s="39">
        <v>2000</v>
      </c>
      <c r="Q9" s="35">
        <f t="shared" si="9"/>
        <v>100000</v>
      </c>
      <c r="T9" s="35">
        <v>5</v>
      </c>
      <c r="U9" s="50">
        <f>INDEX($Q$5:$Q$21,MATCH(节奏总纲!BQ8,$N$5:$N$21,1))*(U$2+$K$2)*节奏总纲!W8*4*$C$5+U8</f>
        <v>460409.8314715391</v>
      </c>
      <c r="V9" s="50">
        <f>INDEX($Q$5:$Q$21,MATCH(节奏总纲!BR8,$N$5:$N$21,1))*(V$2+$K$2)*节奏总纲!X8*4*$C$5+V8</f>
        <v>1442303.0085198758</v>
      </c>
      <c r="W9" s="50">
        <f>INDEX($Q$5:$Q$21,MATCH(节奏总纲!BS8,$N$5:$N$21,1))*(W$2+$K$2)*节奏总纲!Y8*4*$C$5+W8</f>
        <v>2817652.5223940113</v>
      </c>
      <c r="X9" s="50">
        <f>INDEX($Q$5:$Q$21,MATCH(节奏总纲!BT8,$N$5:$N$21,1))*(X$2+$K$2)*节奏总纲!Z8*4*$C$5+X8</f>
        <v>4004592.6452934267</v>
      </c>
      <c r="Y9" s="50">
        <f>INDEX($Q$5:$Q$21,MATCH(节奏总纲!BU8,$N$5:$N$21,1))*(Y$2+$K$2)*节奏总纲!AA8*4*$C$5+Y8</f>
        <v>2163639.3146639145</v>
      </c>
      <c r="Z9" s="51">
        <f>SUMIFS($K$5:$K$1004,$J$5:$J$1004,"&lt;="&amp;U$2)*节奏总纲!W8*4+Z8</f>
        <v>165.68542494923804</v>
      </c>
      <c r="AA9" s="51">
        <f>SUMIFS($K$5:$K$1004,$J$5:$J$1004,"&lt;="&amp;V$2)*节奏总纲!X8*4+AA8</f>
        <v>1268.6864359213057</v>
      </c>
      <c r="AB9" s="51">
        <f>SUMIFS($K$5:$K$1004,$J$5:$J$1004,"&lt;="&amp;W$2)*节奏总纲!Y8*4+AB8</f>
        <v>3058.0890253730763</v>
      </c>
      <c r="AC9" s="51">
        <f>SUMIFS($K$5:$K$1004,$J$5:$J$1004,"&lt;="&amp;X$2)*节奏总纲!Z8*4+AC8</f>
        <v>4627.5939188322191</v>
      </c>
      <c r="AD9" s="51">
        <f>SUMIFS($K$5:$K$1004,$J$5:$J$1004,"&lt;="&amp;Y$2)*节奏总纲!AA8*4+AD8</f>
        <v>2497.0119023249772</v>
      </c>
      <c r="AG9" s="35"/>
      <c r="AH9" s="35">
        <v>5</v>
      </c>
      <c r="AI9" s="47">
        <f>'[1]资源-木石铜粮'!AE10-U9</f>
        <v>-1551346.8415162659</v>
      </c>
      <c r="AJ9" s="47">
        <f>'[1]资源-木石铜粮'!AF10-V9</f>
        <v>-2450280.5794017459</v>
      </c>
      <c r="AK9" s="47">
        <f>'[1]资源-木石铜粮'!AG10-W9</f>
        <v>-3775419.9793370818</v>
      </c>
      <c r="AL9" s="47">
        <f>'[1]资源-木石铜粮'!AH10-X9</f>
        <v>-4992163.1571240611</v>
      </c>
      <c r="AM9" s="47">
        <f>'[1]资源-木石铜粮'!AI10-Y9</f>
        <v>-3174639.5557737253</v>
      </c>
      <c r="AN9" s="47">
        <f>(AI9-AI8)*IF($AH9&lt;=10,'[1]功能-付费相关'!S20,'[1]功能-付费相关'!S10)</f>
        <v>-74.748501787332359</v>
      </c>
      <c r="AO9" s="47">
        <f>(AJ9-AJ8)*IF($AH9&lt;=10,'[1]功能-付费相关'!T20,'[1]功能-付费相关'!T10)</f>
        <v>-252.28616567622953</v>
      </c>
      <c r="AP9" s="47">
        <f>(AK9-AK8)*IF($AH9&lt;=10,'[1]功能-付费相关'!U20,'[1]功能-付费相关'!U10)</f>
        <v>-531.32418983777166</v>
      </c>
      <c r="AQ9" s="47">
        <f>(AL9-AL8)*IF($AH9&lt;=10,'[1]功能-付费相关'!V20,'[1]功能-付费相关'!V10)</f>
        <v>-751.12010682726861</v>
      </c>
      <c r="AR9" s="47">
        <f>(AM9-AM8)*IF($AH9&lt;=10,'[1]功能-付费相关'!W20,'[1]功能-付费相关'!W10)</f>
        <v>-359.95296551885127</v>
      </c>
      <c r="AS9" s="48">
        <f>SUM(AN$5:AN9)/'[1]资源-钻石'!L8</f>
        <v>-0.28426708343680995</v>
      </c>
      <c r="AT9" s="48">
        <f>SUM(AO$5:AO9)/'[1]资源-钻石'!M8</f>
        <v>-0.38339491915603646</v>
      </c>
      <c r="AU9" s="48">
        <f>SUM(AP$5:AP9)/'[1]资源-钻石'!N8</f>
        <v>-0.45042654146616701</v>
      </c>
      <c r="AV9" s="48">
        <f>SUM(AQ$5:AQ9)/'[1]资源-钻石'!O8</f>
        <v>-0.31510583466082298</v>
      </c>
      <c r="AW9" s="48">
        <f>SUM(AR$5:AR9)/'[1]资源-钻石'!P8</f>
        <v>-0.15648951298855446</v>
      </c>
      <c r="AX9" s="35">
        <f>('[1]资源-木石铜粮'!C10+U9)/'[1]资源-木石铜粮'!U10</f>
        <v>2.1588250327510803</v>
      </c>
      <c r="AY9" s="35">
        <f>('[1]资源-木石铜粮'!D10+V9)/'[1]资源-木石铜粮'!V10</f>
        <v>2.7334339558314888</v>
      </c>
      <c r="AZ9" s="35">
        <f>('[1]资源-木石铜粮'!E10+W9)/'[1]资源-木石铜粮'!W10</f>
        <v>3.6023569523777961</v>
      </c>
      <c r="BA9" s="35">
        <f>('[1]资源-木石铜粮'!F10+X9)/'[1]资源-木石铜粮'!X10</f>
        <v>4.5926787366391748</v>
      </c>
      <c r="BB9" s="35">
        <f>('[1]资源-木石铜粮'!G10+Y9)/'[1]资源-木石铜粮'!Y10</f>
        <v>3.422439778268656</v>
      </c>
      <c r="BE9" s="39">
        <f t="shared" si="3"/>
        <v>3.5986508893540023E-4</v>
      </c>
      <c r="BF9" s="39">
        <f t="shared" si="4"/>
        <v>8.7962545209086169E-4</v>
      </c>
      <c r="BG9" s="39">
        <f t="shared" si="5"/>
        <v>1.0853322051133469E-3</v>
      </c>
      <c r="BH9" s="39">
        <f t="shared" si="6"/>
        <v>1.1555716969792176E-3</v>
      </c>
      <c r="BI9" s="39">
        <f t="shared" si="7"/>
        <v>1.1540795572541381E-3</v>
      </c>
      <c r="BK9" s="39">
        <f>BE9/求节点(节奏总纲!AM$4:AM$83,$G$5:$G$84,节奏总纲!P8)</f>
        <v>0.25855253979369125</v>
      </c>
      <c r="BL9" s="39">
        <f>BF9/求节点(节奏总纲!AN$4:AN$83,$G$5:$G$84,节奏总纲!Q8)</f>
        <v>0.64012584965287156</v>
      </c>
      <c r="BM9" s="39">
        <f>BG9/求节点(节奏总纲!AO$4:AO$83,$G$5:$G$84,节奏总纲!R8)</f>
        <v>0.80047348202948809</v>
      </c>
      <c r="BN9" s="39">
        <f>BH9/求节点(节奏总纲!AP$4:AP$83,$G$5:$G$84,节奏总纲!S8)</f>
        <v>0.86546037061201297</v>
      </c>
      <c r="BO9" s="39">
        <f>BI9/求节点(节奏总纲!AQ$4:AQ$83,$G$5:$G$84,节奏总纲!T8)</f>
        <v>0.87975060700076835</v>
      </c>
      <c r="BQ9" s="58"/>
      <c r="BR9" s="26" t="s">
        <v>266</v>
      </c>
      <c r="BS9" s="53">
        <f t="shared" si="10"/>
        <v>100</v>
      </c>
      <c r="BT9" s="53">
        <f t="shared" si="10"/>
        <v>900</v>
      </c>
      <c r="BU9" s="53">
        <f t="shared" si="10"/>
        <v>2700</v>
      </c>
      <c r="BV9" s="53">
        <f t="shared" si="10"/>
        <v>5700</v>
      </c>
      <c r="BW9" s="53">
        <f t="shared" si="10"/>
        <v>29700</v>
      </c>
    </row>
    <row r="10" spans="1:75" x14ac:dyDescent="0.15">
      <c r="E10" s="26">
        <v>6</v>
      </c>
      <c r="F10" s="26">
        <f>节奏总纲!$BL9</f>
        <v>2.5843312604883417</v>
      </c>
      <c r="G10" s="26">
        <f>数据索引!$E11</f>
        <v>1.5680890209040237E-3</v>
      </c>
      <c r="H10" s="26">
        <f>数据索引!J11</f>
        <v>2.4377846059379115E-3</v>
      </c>
      <c r="I10" s="54"/>
      <c r="J10" s="35">
        <v>6</v>
      </c>
      <c r="K10" s="55">
        <v>40</v>
      </c>
      <c r="L10" s="55">
        <f t="shared" si="2"/>
        <v>60</v>
      </c>
      <c r="M10" s="55"/>
      <c r="N10" s="35">
        <v>25</v>
      </c>
      <c r="O10" s="39">
        <f>INT(1/INDEX($G$5:$G$84,$N10)/50)*50</f>
        <v>2650</v>
      </c>
      <c r="P10" s="39">
        <v>2600</v>
      </c>
      <c r="Q10" s="35">
        <f t="shared" si="9"/>
        <v>130000</v>
      </c>
      <c r="T10" s="35">
        <v>6</v>
      </c>
      <c r="U10" s="50">
        <f>INDEX($Q$5:$Q$21,MATCH(节奏总纲!BQ9,$N$5:$N$21,1))*(U$2+$K$2)*节奏总纲!W9*4*$C$5+U9</f>
        <v>584357.1798836824</v>
      </c>
      <c r="V10" s="50">
        <f>INDEX($Q$5:$Q$21,MATCH(节奏总纲!BR9,$N$5:$N$21,1))*(V$2+$K$2)*节奏总纲!X9*4*$C$5+V9</f>
        <v>1814038.3802390839</v>
      </c>
      <c r="W10" s="50">
        <f>INDEX($Q$5:$Q$21,MATCH(节奏总纲!BS9,$N$5:$N$21,1))*(W$2+$K$2)*节奏总纲!Y9*4*$C$5+W9</f>
        <v>3546425.6097438927</v>
      </c>
      <c r="X10" s="50">
        <f>INDEX($Q$5:$Q$21,MATCH(节奏总纲!BT9,$N$5:$N$21,1))*(X$2+$K$2)*节奏总纲!Z9*4*$C$5+X9</f>
        <v>5061934.4040304665</v>
      </c>
      <c r="Y10" s="50">
        <f>INDEX($Q$5:$Q$21,MATCH(节奏总纲!BU9,$N$5:$N$21,1))*(Y$2+$K$2)*节奏总纲!AA9*4*$C$5+Y9</f>
        <v>2756639.1163893403</v>
      </c>
      <c r="Z10" s="51">
        <f>SUMIFS($K$5:$K$1004,$J$5:$J$1004,"&lt;="&amp;U$2)*节奏总纲!W9*4+Z9</f>
        <v>206.28662660415918</v>
      </c>
      <c r="AA10" s="51">
        <f>SUMIFS($K$5:$K$1004,$J$5:$J$1004,"&lt;="&amp;V$2)*节奏总纲!X9*4+AA9</f>
        <v>1581.8058528006927</v>
      </c>
      <c r="AB10" s="51">
        <f>SUMIFS($K$5:$K$1004,$J$5:$J$1004,"&lt;="&amp;W$2)*节奏总纲!Y9*4+AB9</f>
        <v>3816.3851068275867</v>
      </c>
      <c r="AC10" s="51">
        <f>SUMIFS($K$5:$K$1004,$J$5:$J$1004,"&lt;="&amp;X$2)*节奏总纲!Z9*4+AC9</f>
        <v>5800.3879955184093</v>
      </c>
      <c r="AD10" s="51">
        <f>SUMIFS($K$5:$K$1004,$J$5:$J$1004,"&lt;="&amp;Y$2)*节奏总纲!AA9*4+AD9</f>
        <v>3154.7620093200667</v>
      </c>
      <c r="AG10" s="35"/>
      <c r="AH10" s="35">
        <v>6</v>
      </c>
      <c r="AI10" s="47">
        <f>'[1]资源-木石铜粮'!AE11-U10</f>
        <v>-1924097.029534335</v>
      </c>
      <c r="AJ10" s="47">
        <f>'[1]资源-木石铜粮'!AF11-V10</f>
        <v>-2991469.0629746658</v>
      </c>
      <c r="AK10" s="47">
        <f>'[1]资源-木石铜粮'!AG11-W10</f>
        <v>-4640417.3084415421</v>
      </c>
      <c r="AL10" s="47">
        <f>'[1]资源-木石铜粮'!AH11-X10</f>
        <v>-6184985.1640875442</v>
      </c>
      <c r="AM10" s="47">
        <f>'[1]资源-木石铜粮'!AI11-Y10</f>
        <v>-3921888.0537817716</v>
      </c>
      <c r="AN10" s="47">
        <f>(AI10-AI9)*IF($AH10&lt;=10,'[1]功能-付费相关'!S21,'[1]功能-付费相关'!S11)</f>
        <v>-339.33046320767374</v>
      </c>
      <c r="AO10" s="47">
        <f>(AJ10-AJ9)*IF($AH10&lt;=10,'[1]功能-付费相关'!T21,'[1]功能-付费相关'!T11)</f>
        <v>-487.49894782536637</v>
      </c>
      <c r="AP10" s="47">
        <f>(AK10-AK9)*IF($AH10&lt;=10,'[1]功能-付费相关'!U21,'[1]功能-付费相关'!U11)</f>
        <v>-762.52090289178739</v>
      </c>
      <c r="AQ10" s="47">
        <f>(AL10-AL9)*IF($AH10&lt;=10,'[1]功能-付费相关'!V21,'[1]功能-付费相关'!V11)</f>
        <v>-980.96973168413331</v>
      </c>
      <c r="AR10" s="47">
        <f>(AM10-AM9)*IF($AH10&lt;=10,'[1]功能-付费相关'!W21,'[1]功能-付费相关'!W11)</f>
        <v>-591.26484406920883</v>
      </c>
      <c r="AS10" s="48">
        <f>SUM(AN$5:AN10)/'[1]资源-钻石'!L9</f>
        <v>-0.27369042808178301</v>
      </c>
      <c r="AT10" s="48">
        <f>SUM(AO$5:AO10)/'[1]资源-钻石'!M9</f>
        <v>-0.36424769027542786</v>
      </c>
      <c r="AU10" s="48">
        <f>SUM(AP$5:AP10)/'[1]资源-钻石'!N9</f>
        <v>-0.43043208015818579</v>
      </c>
      <c r="AV10" s="48">
        <f>SUM(AQ$5:AQ10)/'[1]资源-钻石'!O9</f>
        <v>-0.30143773536608337</v>
      </c>
      <c r="AW10" s="48">
        <f>SUM(AR$5:AR10)/'[1]资源-钻石'!P9</f>
        <v>-0.14777060612344359</v>
      </c>
      <c r="AX10" s="35">
        <f>('[1]资源-木石铜粮'!C11+U10)/'[1]资源-木石铜粮'!U11</f>
        <v>2.1510864983294598</v>
      </c>
      <c r="AY10" s="35">
        <f>('[1]资源-木石铜粮'!D11+V10)/'[1]资源-木石铜粮'!V11</f>
        <v>2.6830472752075125</v>
      </c>
      <c r="AZ10" s="35">
        <f>('[1]资源-木石铜粮'!E11+W10)/'[1]资源-木石铜粮'!W11</f>
        <v>3.5407366038344175</v>
      </c>
      <c r="BA10" s="35">
        <f>('[1]资源-木石铜粮'!F11+X10)/'[1]资源-木石铜粮'!X11</f>
        <v>4.5714415868563059</v>
      </c>
      <c r="BB10" s="35">
        <f>('[1]资源-木石铜粮'!G11+Y10)/'[1]资源-木石铜粮'!Y11</f>
        <v>3.4633772144321466</v>
      </c>
      <c r="BE10" s="39">
        <f t="shared" si="3"/>
        <v>3.5301461795202209E-4</v>
      </c>
      <c r="BF10" s="39">
        <f t="shared" si="4"/>
        <v>8.7198036713656319E-4</v>
      </c>
      <c r="BG10" s="39">
        <f t="shared" si="5"/>
        <v>1.0761215733221567E-3</v>
      </c>
      <c r="BH10" s="39">
        <f t="shared" si="6"/>
        <v>1.1458836746086561E-3</v>
      </c>
      <c r="BI10" s="39">
        <f t="shared" si="7"/>
        <v>1.1444232908702934E-3</v>
      </c>
      <c r="BK10" s="39">
        <f>BE10/求节点(节奏总纲!AM$4:AM$83,$G$5:$G$84,节奏总纲!P9)</f>
        <v>0.26534934754243678</v>
      </c>
      <c r="BL10" s="39">
        <f>BF10/求节点(节奏总纲!AN$4:AN$83,$G$5:$G$84,节奏总纲!Q9)</f>
        <v>0.66519374150226473</v>
      </c>
      <c r="BM10" s="39">
        <f>BG10/求节点(节奏总纲!AO$4:AO$83,$G$5:$G$84,节奏总纲!R9)</f>
        <v>0.83397207646567062</v>
      </c>
      <c r="BN10" s="39">
        <f>BH10/求节点(节奏总纲!AP$4:AP$83,$G$5:$G$84,节奏总纲!S9)</f>
        <v>0.90244500712639275</v>
      </c>
      <c r="BO10" s="39">
        <f>BI10/求节点(节奏总纲!AQ$4:AQ$83,$G$5:$G$84,节奏总纲!T9)</f>
        <v>0.91898366341058035</v>
      </c>
      <c r="BQ10" s="58"/>
      <c r="BR10" s="26" t="s">
        <v>267</v>
      </c>
      <c r="BS10" s="53">
        <f>SUMIFS($L$5:$L$1004,$J$5:$J$1004,"&lt;="&amp;BS$5)</f>
        <v>150</v>
      </c>
      <c r="BT10" s="53">
        <f t="shared" ref="BT10:BW10" si="11">SUMIFS($L$5:$L$1004,$J$5:$J$1004,"&lt;="&amp;BT$5)</f>
        <v>1350</v>
      </c>
      <c r="BU10" s="53">
        <f t="shared" si="11"/>
        <v>4050</v>
      </c>
      <c r="BV10" s="53">
        <f t="shared" si="11"/>
        <v>8550</v>
      </c>
      <c r="BW10" s="53">
        <f t="shared" si="11"/>
        <v>44550</v>
      </c>
    </row>
    <row r="11" spans="1:75" x14ac:dyDescent="0.15">
      <c r="E11" s="26">
        <v>7</v>
      </c>
      <c r="F11" s="26">
        <f>节奏总纲!$BL10</f>
        <v>3.4949550680198662</v>
      </c>
      <c r="G11" s="26">
        <f>数据索引!$E12</f>
        <v>1.4715279588321836E-3</v>
      </c>
      <c r="H11" s="26">
        <f>数据索引!J12</f>
        <v>2.3079823735334924E-3</v>
      </c>
      <c r="I11" s="54"/>
      <c r="J11" s="35">
        <v>7</v>
      </c>
      <c r="K11" s="55">
        <v>40</v>
      </c>
      <c r="L11" s="55">
        <f t="shared" si="2"/>
        <v>60</v>
      </c>
      <c r="M11" s="55"/>
      <c r="N11" s="35">
        <v>30</v>
      </c>
      <c r="O11" s="39">
        <f>INT(1/INDEX($G$5:$G$84,$N11)/50)*50</f>
        <v>3500</v>
      </c>
      <c r="P11" s="39">
        <v>3600</v>
      </c>
      <c r="Q11" s="35">
        <f t="shared" si="9"/>
        <v>180000</v>
      </c>
      <c r="T11" s="35">
        <v>7</v>
      </c>
      <c r="U11" s="50">
        <f>INDEX($Q$5:$Q$21,MATCH(节奏总纲!BQ10,$N$5:$N$21,1))*(U$2+$K$2)*节奏总纲!W10*4*$C$5+U10</f>
        <v>717200.65866355773</v>
      </c>
      <c r="V11" s="50">
        <f>INDEX($Q$5:$Q$21,MATCH(节奏总纲!BR10,$N$5:$N$21,1))*(V$2+$K$2)*节奏总纲!X10*4*$C$5+V10</f>
        <v>2218985.6095887818</v>
      </c>
      <c r="W11" s="50">
        <f>INDEX($Q$5:$Q$21,MATCH(节奏总纲!BS10,$N$5:$N$21,1))*(W$2+$K$2)*节奏总纲!Y10*4*$C$5+W10</f>
        <v>4349301.8687908892</v>
      </c>
      <c r="X11" s="50">
        <f>INDEX($Q$5:$Q$21,MATCH(节奏总纲!BT10,$N$5:$N$21,1))*(X$2+$K$2)*节奏总纲!Z10*4*$C$5+X10</f>
        <v>6477736.7754337536</v>
      </c>
      <c r="Y11" s="50">
        <f>INDEX($Q$5:$Q$21,MATCH(节奏总纲!BU10,$N$5:$N$21,1))*(Y$2+$K$2)*节奏总纲!AA10*4*$C$5+Y10</f>
        <v>3492162.559917368</v>
      </c>
      <c r="Z11" s="51">
        <f>SUMIFS($K$5:$K$1004,$J$5:$J$1004,"&lt;="&amp;U$2)*节奏总纲!W10*4+Z10</f>
        <v>249.80191708498836</v>
      </c>
      <c r="AA11" s="51">
        <f>SUMIFS($K$5:$K$1004,$J$5:$J$1004,"&lt;="&amp;V$2)*节奏总纲!X10*4+AA10</f>
        <v>1922.900217145115</v>
      </c>
      <c r="AB11" s="51">
        <f>SUMIFS($K$5:$K$1004,$J$5:$J$1004,"&lt;="&amp;W$2)*节奏总纲!Y10*4+AB10</f>
        <v>4651.7863197649449</v>
      </c>
      <c r="AC11" s="51">
        <f>SUMIFS($K$5:$K$1004,$J$5:$J$1004,"&lt;="&amp;X$2)*节奏总纲!Z10*4+AC10</f>
        <v>7056.7043161172533</v>
      </c>
      <c r="AD11" s="51">
        <f>SUMIFS($K$5:$K$1004,$J$5:$J$1004,"&lt;="&amp;Y$2)*节奏总纲!AA10*4+AD10</f>
        <v>3807.4308598259759</v>
      </c>
      <c r="AG11" s="35"/>
      <c r="AH11" s="35">
        <v>7</v>
      </c>
      <c r="AI11" s="47">
        <f>'[1]资源-木石铜粮'!AE12-U11</f>
        <v>-2299742.6699839174</v>
      </c>
      <c r="AJ11" s="47">
        <f>'[1]资源-木石铜粮'!AF12-V11</f>
        <v>-3575452.3411420109</v>
      </c>
      <c r="AK11" s="47">
        <f>'[1]资源-木石铜粮'!AG12-W11</f>
        <v>-5555180.891181008</v>
      </c>
      <c r="AL11" s="47">
        <f>'[1]资源-木石铜粮'!AH12-X11</f>
        <v>-7715839.5117776673</v>
      </c>
      <c r="AM11" s="47">
        <f>'[1]资源-木石铜粮'!AI12-Y11</f>
        <v>-4793106.7984554125</v>
      </c>
      <c r="AN11" s="47">
        <f>(AI11-AI10)*IF($AH11&lt;=10,'[1]功能-付费相关'!S22,'[1]功能-付费相关'!S12)</f>
        <v>-316.49187274814147</v>
      </c>
      <c r="AO11" s="47">
        <f>(AJ11-AJ10)*IF($AH11&lt;=10,'[1]功能-付费相关'!T22,'[1]功能-付费相关'!T12)</f>
        <v>-499.34485265845797</v>
      </c>
      <c r="AP11" s="47">
        <f>(AK11-AK10)*IF($AH11&lt;=10,'[1]功能-付费相关'!U22,'[1]功能-付费相关'!U12)</f>
        <v>-764.16138098214685</v>
      </c>
      <c r="AQ11" s="47">
        <f>(AL11-AL10)*IF($AH11&lt;=10,'[1]功能-付费相关'!V22,'[1]功能-付费相关'!V12)</f>
        <v>-1189.4640369402534</v>
      </c>
      <c r="AR11" s="47">
        <f>(AM11-AM10)*IF($AH11&lt;=10,'[1]功能-付费相关'!W22,'[1]功能-付费相关'!W12)</f>
        <v>-651.24025683026593</v>
      </c>
      <c r="AS11" s="48">
        <f>SUM(AN$5:AN11)/'[1]资源-钻石'!L10</f>
        <v>-0.26096068830680946</v>
      </c>
      <c r="AT11" s="48">
        <f>SUM(AO$5:AO11)/'[1]资源-钻石'!M10</f>
        <v>-0.34744988605732208</v>
      </c>
      <c r="AU11" s="48">
        <f>SUM(AP$5:AP11)/'[1]资源-钻石'!N10</f>
        <v>-0.41027579985097778</v>
      </c>
      <c r="AV11" s="48">
        <f>SUM(AQ$5:AQ11)/'[1]资源-钻石'!O10</f>
        <v>-0.29764947483445864</v>
      </c>
      <c r="AW11" s="48">
        <f>SUM(AR$5:AR11)/'[1]资源-钻石'!P10</f>
        <v>-0.14425916527976762</v>
      </c>
      <c r="AX11" s="35">
        <f>('[1]资源-木石铜粮'!C12+U11)/'[1]资源-木石铜粮'!U12</f>
        <v>2.131647779099286</v>
      </c>
      <c r="AY11" s="35">
        <f>('[1]资源-木石铜粮'!D12+V11)/'[1]资源-木石铜粮'!V12</f>
        <v>2.6427211221131013</v>
      </c>
      <c r="AZ11" s="35">
        <f>('[1]资源-木石铜粮'!E12+W11)/'[1]资源-木石铜粮'!W12</f>
        <v>3.4777521882856659</v>
      </c>
      <c r="BA11" s="35">
        <f>('[1]资源-木石铜粮'!F12+X11)/'[1]资源-木石铜粮'!X12</f>
        <v>4.6661005904814479</v>
      </c>
      <c r="BB11" s="35">
        <f>('[1]资源-木石铜粮'!G12+Y11)/'[1]资源-木石铜粮'!Y12</f>
        <v>3.5392097785677947</v>
      </c>
      <c r="BE11" s="39">
        <f t="shared" si="3"/>
        <v>3.4830129346293817E-4</v>
      </c>
      <c r="BF11" s="39">
        <f t="shared" si="4"/>
        <v>8.6656723181790401E-4</v>
      </c>
      <c r="BG11" s="39">
        <f t="shared" si="5"/>
        <v>1.0695478171208537E-3</v>
      </c>
      <c r="BH11" s="39">
        <f t="shared" si="6"/>
        <v>1.0893780591516443E-3</v>
      </c>
      <c r="BI11" s="39">
        <f t="shared" si="7"/>
        <v>1.0902788156333901E-3</v>
      </c>
      <c r="BK11" s="39">
        <f>BE11/求节点(节奏总纲!AM$4:AM$83,$G$5:$G$84,节奏总纲!P10)</f>
        <v>0.27322240405786868</v>
      </c>
      <c r="BL11" s="39">
        <f>BF11/求节点(节奏总纲!AN$4:AN$83,$G$5:$G$84,节奏总纲!Q10)</f>
        <v>0.69000180857762894</v>
      </c>
      <c r="BM11" s="39">
        <f>BG11/求节点(节奏总纲!AO$4:AO$83,$G$5:$G$84,节奏总纲!R10)</f>
        <v>0.86679122111673257</v>
      </c>
      <c r="BN11" s="39">
        <f>BH11/求节点(节奏总纲!AP$4:AP$83,$G$5:$G$84,节奏总纲!S10)</f>
        <v>0.89922952101630915</v>
      </c>
      <c r="BO11" s="39">
        <f>BI11/求节点(节奏总纲!AQ$4:AQ$83,$G$5:$G$84,节奏总纲!T10)</f>
        <v>0.91632218080761973</v>
      </c>
      <c r="BQ11" s="58" t="s">
        <v>268</v>
      </c>
      <c r="BR11" s="53" t="s">
        <v>263</v>
      </c>
      <c r="BS11" s="26">
        <f>BS$5*$Q$15</f>
        <v>3000000</v>
      </c>
      <c r="BT11" s="53">
        <f>BT$5*$Q$15</f>
        <v>12000000</v>
      </c>
      <c r="BU11" s="53">
        <f>BU$5*$Q$15</f>
        <v>30000000</v>
      </c>
      <c r="BV11" s="53">
        <f>BV$5*$Q$15</f>
        <v>60000000</v>
      </c>
      <c r="BW11" s="53">
        <f>BW$5*$Q$15</f>
        <v>300000000</v>
      </c>
    </row>
    <row r="12" spans="1:75" x14ac:dyDescent="0.15">
      <c r="A12" s="26" t="s">
        <v>156</v>
      </c>
      <c r="B12" s="26" t="s">
        <v>258</v>
      </c>
      <c r="E12" s="26">
        <v>8</v>
      </c>
      <c r="F12" s="26">
        <f>节奏总纲!$BL11</f>
        <v>4.5815795834661612</v>
      </c>
      <c r="G12" s="26">
        <f>数据索引!$E13</f>
        <v>1.3822433853445868E-3</v>
      </c>
      <c r="H12" s="26">
        <f>数据索引!J13</f>
        <v>2.1863766840878665E-3</v>
      </c>
      <c r="I12" s="54"/>
      <c r="J12" s="35">
        <v>8</v>
      </c>
      <c r="K12" s="55">
        <v>40</v>
      </c>
      <c r="L12" s="55">
        <f t="shared" si="2"/>
        <v>60</v>
      </c>
      <c r="M12" s="55"/>
      <c r="N12" s="35">
        <v>35</v>
      </c>
      <c r="O12" s="39">
        <f>INT(1/INDEX($G$5:$G$84,$N12)/50)*50</f>
        <v>4800</v>
      </c>
      <c r="P12" s="39">
        <v>4800</v>
      </c>
      <c r="Q12" s="35">
        <f t="shared" si="9"/>
        <v>240000</v>
      </c>
      <c r="T12" s="35">
        <v>8</v>
      </c>
      <c r="U12" s="50">
        <f>INDEX($Q$5:$Q$21,MATCH(节奏总纲!BQ11,$N$5:$N$21,1))*(U$2+$K$2)*节奏总纲!W11*4*$C$5+U11</f>
        <v>859578.77389083139</v>
      </c>
      <c r="V12" s="50">
        <f>INDEX($Q$5:$Q$21,MATCH(节奏总纲!BR11,$N$5:$N$21,1))*(V$2+$K$2)*节奏总纲!X11*4*$C$5+V11</f>
        <v>2735918.5835022125</v>
      </c>
      <c r="W12" s="50">
        <f>INDEX($Q$5:$Q$21,MATCH(节奏总纲!BS11,$N$5:$N$21,1))*(W$2+$K$2)*节奏总纲!Y11*4*$C$5+W11</f>
        <v>5319580.9931364283</v>
      </c>
      <c r="X12" s="50">
        <f>INDEX($Q$5:$Q$21,MATCH(节奏总纲!BT11,$N$5:$N$21,1))*(X$2+$K$2)*节奏总纲!Z11*4*$C$5+X11</f>
        <v>7825387.8842853643</v>
      </c>
      <c r="Y12" s="50">
        <f>INDEX($Q$5:$Q$21,MATCH(节奏总纲!BU11,$N$5:$N$21,1))*(Y$2+$K$2)*节奏总纲!AA11*4*$C$5+Y11</f>
        <v>4232324.0815463327</v>
      </c>
      <c r="Z12" s="51">
        <f>SUMIFS($K$5:$K$1004,$J$5:$J$1004,"&lt;="&amp;U$2)*节奏总纲!W11*4+Z11</f>
        <v>296.4404506368993</v>
      </c>
      <c r="AA12" s="51">
        <f>SUMIFS($K$5:$K$1004,$J$5:$J$1004,"&lt;="&amp;V$2)*节奏总纲!X11*4+AA11</f>
        <v>2271.2378006447316</v>
      </c>
      <c r="AB12" s="51">
        <f>SUMIFS($K$5:$K$1004,$J$5:$J$1004,"&lt;="&amp;W$2)*节奏总纲!Y11*4+AB11</f>
        <v>5459.4548472445831</v>
      </c>
      <c r="AC12" s="51">
        <f>SUMIFS($K$5:$K$1004,$J$5:$J$1004,"&lt;="&amp;X$2)*节奏总纲!Z11*4+AC11</f>
        <v>8252.5464171905114</v>
      </c>
      <c r="AD12" s="51">
        <f>SUMIFS($K$5:$K$1004,$J$5:$J$1004,"&lt;="&amp;Y$2)*节奏总纲!AA11*4+AD11</f>
        <v>4464.2153223213209</v>
      </c>
      <c r="AG12" s="35"/>
      <c r="AH12" s="35">
        <v>8</v>
      </c>
      <c r="AI12" s="47">
        <f>'[1]资源-木石铜粮'!AE13-U12</f>
        <v>-2497380.357076454</v>
      </c>
      <c r="AJ12" s="47">
        <f>'[1]资源-木石铜粮'!AF13-V12</f>
        <v>-4070981.4065791559</v>
      </c>
      <c r="AK12" s="47">
        <f>'[1]资源-木石铜粮'!AG13-W12</f>
        <v>-6451895.3263793997</v>
      </c>
      <c r="AL12" s="47">
        <f>'[1]资源-木石铜粮'!AH13-X12</f>
        <v>-8970632.190413408</v>
      </c>
      <c r="AM12" s="47">
        <f>'[1]资源-木石铜粮'!AI13-Y12</f>
        <v>-5463258.247733647</v>
      </c>
      <c r="AN12" s="47">
        <f>(AI12-AI11)*IF($AH12&lt;=10,'[1]功能-付费相关'!S23,'[1]功能-付费相关'!S13)</f>
        <v>-153.85264609248262</v>
      </c>
      <c r="AO12" s="47">
        <f>(AJ12-AJ11)*IF($AH12&lt;=10,'[1]功能-付费相关'!T23,'[1]功能-付费相关'!T13)</f>
        <v>-396.68142915865087</v>
      </c>
      <c r="AP12" s="47">
        <f>(AK12-AK11)*IF($AH12&lt;=10,'[1]功能-付费相关'!U23,'[1]功能-付费相关'!U13)</f>
        <v>-709.26090211786402</v>
      </c>
      <c r="AQ12" s="47">
        <f>(AL12-AL11)*IF($AH12&lt;=10,'[1]功能-付费相关'!V23,'[1]功能-付费相关'!V13)</f>
        <v>-922.94655244253863</v>
      </c>
      <c r="AR12" s="47">
        <f>(AM12-AM11)*IF($AH12&lt;=10,'[1]功能-付费相关'!W23,'[1]功能-付费相关'!W13)</f>
        <v>-472.47203828852867</v>
      </c>
      <c r="AS12" s="48">
        <f>SUM(AN$5:AN12)/'[1]资源-钻石'!L11</f>
        <v>-0.23421973064897247</v>
      </c>
      <c r="AT12" s="48">
        <f>SUM(AO$5:AO12)/'[1]资源-钻石'!M11</f>
        <v>-0.32632021019460533</v>
      </c>
      <c r="AU12" s="48">
        <f>SUM(AP$5:AP12)/'[1]资源-钻石'!N11</f>
        <v>-0.39477173724668346</v>
      </c>
      <c r="AV12" s="48">
        <f>SUM(AQ$5:AQ12)/'[1]资源-钻石'!O11</f>
        <v>-0.28761170608885311</v>
      </c>
      <c r="AW12" s="48">
        <f>SUM(AR$5:AR12)/'[1]资源-钻石'!P11</f>
        <v>-0.13653639517932251</v>
      </c>
      <c r="AX12" s="35">
        <f>('[1]资源-木石铜粮'!C13+U12)/'[1]资源-木石铜粮'!U13</f>
        <v>1.958199136097682</v>
      </c>
      <c r="AY12" s="35">
        <f>('[1]资源-木石铜粮'!D13+V12)/'[1]资源-木石铜粮'!V13</f>
        <v>2.4605240899941072</v>
      </c>
      <c r="AZ12" s="35">
        <f>('[1]资源-木石铜粮'!E13+W12)/'[1]资源-木石铜粮'!W13</f>
        <v>3.2556925433989186</v>
      </c>
      <c r="BA12" s="35">
        <f>('[1]资源-木石铜粮'!F13+X12)/'[1]资源-木石铜粮'!X13</f>
        <v>4.3512447107385581</v>
      </c>
      <c r="BB12" s="35">
        <f>('[1]资源-木石铜粮'!G13+Y12)/'[1]资源-木石铜粮'!Y13</f>
        <v>3.2880409237421069</v>
      </c>
      <c r="BE12" s="39">
        <f t="shared" si="3"/>
        <v>3.4486711356898625E-4</v>
      </c>
      <c r="BF12" s="39">
        <f t="shared" si="4"/>
        <v>8.3015547843435849E-4</v>
      </c>
      <c r="BG12" s="39">
        <f t="shared" si="5"/>
        <v>1.0262941487851442E-3</v>
      </c>
      <c r="BH12" s="39">
        <f t="shared" si="6"/>
        <v>1.0545862440586428E-3</v>
      </c>
      <c r="BI12" s="39">
        <f t="shared" si="7"/>
        <v>1.0547905208360753E-3</v>
      </c>
      <c r="BK12" s="39">
        <f>BE12/求节点(节奏总纲!AM$4:AM$83,$G$5:$G$84,节奏总纲!P11)</f>
        <v>0.28181287461150561</v>
      </c>
      <c r="BL12" s="39">
        <f>BF12/求节点(节奏总纲!AN$4:AN$83,$G$5:$G$84,节奏总纲!Q11)</f>
        <v>0.68823577135544356</v>
      </c>
      <c r="BM12" s="39">
        <f>BG12/求节点(节奏总纲!AO$4:AO$83,$G$5:$G$84,节奏总纲!R11)</f>
        <v>0.86448262555697908</v>
      </c>
      <c r="BN12" s="39">
        <f>BH12/求节点(节奏总纲!AP$4:AP$83,$G$5:$G$84,节奏总纲!S11)</f>
        <v>0.9051096357790297</v>
      </c>
      <c r="BO12" s="39">
        <f>BI12/求节点(节奏总纲!AQ$4:AQ$83,$G$5:$G$84,节奏总纲!T11)</f>
        <v>0.92330928461769124</v>
      </c>
      <c r="BQ12" s="58"/>
      <c r="BR12" s="53" t="s">
        <v>264</v>
      </c>
      <c r="BS12" s="53">
        <f>BS$5*$Q$15</f>
        <v>3000000</v>
      </c>
      <c r="BT12" s="53">
        <f>BT$5*$Q$15</f>
        <v>12000000</v>
      </c>
      <c r="BU12" s="53">
        <f>BU$5*$Q$15</f>
        <v>30000000</v>
      </c>
      <c r="BV12" s="53">
        <f>BV$5*$Q$15</f>
        <v>60000000</v>
      </c>
      <c r="BW12" s="53">
        <f>BW$5*$Q$15</f>
        <v>300000000</v>
      </c>
    </row>
    <row r="13" spans="1:75" x14ac:dyDescent="0.15">
      <c r="A13" s="26">
        <v>0</v>
      </c>
      <c r="B13" s="26">
        <v>4.0000000000000002E-4</v>
      </c>
      <c r="E13" s="26">
        <v>9</v>
      </c>
      <c r="F13" s="26">
        <f>节奏总纲!$BL12</f>
        <v>5.8458242478885518</v>
      </c>
      <c r="G13" s="26">
        <f>数据索引!$E14</f>
        <v>1.2982554550164686E-3</v>
      </c>
      <c r="H13" s="26">
        <f>数据索引!J14</f>
        <v>2.0720924958418747E-3</v>
      </c>
      <c r="I13" s="54"/>
      <c r="J13" s="35">
        <v>9</v>
      </c>
      <c r="K13" s="55">
        <v>40</v>
      </c>
      <c r="L13" s="55">
        <f t="shared" si="2"/>
        <v>60</v>
      </c>
      <c r="M13" s="55"/>
      <c r="N13" s="35">
        <v>40</v>
      </c>
      <c r="O13" s="39">
        <f>INT(1/INDEX($G$5:$G$84,$N13)/50)*50</f>
        <v>6400</v>
      </c>
      <c r="P13" s="39">
        <v>6400</v>
      </c>
      <c r="Q13" s="35">
        <f t="shared" si="9"/>
        <v>320000</v>
      </c>
      <c r="T13" s="35">
        <v>9</v>
      </c>
      <c r="U13" s="50">
        <f>INDEX($Q$5:$Q$21,MATCH(节奏总纲!BQ12,$N$5:$N$21,1))*(U$2+$K$2)*节奏总纲!W12*4*$C$5+U12</f>
        <v>1050325.1308239894</v>
      </c>
      <c r="V13" s="50">
        <f>INDEX($Q$5:$Q$21,MATCH(节奏总纲!BR12,$N$5:$N$21,1))*(V$2+$K$2)*节奏总纲!X12*4*$C$5+V12</f>
        <v>3302868.8300300115</v>
      </c>
      <c r="W13" s="50">
        <f>INDEX($Q$5:$Q$21,MATCH(节奏总纲!BS12,$N$5:$N$21,1))*(W$2+$K$2)*节奏总纲!Y12*4*$C$5+W12</f>
        <v>6452467.8062592354</v>
      </c>
      <c r="X13" s="50">
        <f>INDEX($Q$5:$Q$21,MATCH(节奏总纲!BT12,$N$5:$N$21,1))*(X$2+$K$2)*节奏总纲!Z12*4*$C$5+X12</f>
        <v>9513756.4304712564</v>
      </c>
      <c r="Y13" s="50">
        <f>INDEX($Q$5:$Q$21,MATCH(节奏总纲!BU12,$N$5:$N$21,1))*(Y$2+$K$2)*节奏总纲!AA12*4*$C$5+Y12</f>
        <v>5160754.0360227134</v>
      </c>
      <c r="Z13" s="51">
        <f>SUMIFS($K$5:$K$1004,$J$5:$J$1004,"&lt;="&amp;U$2)*节奏总纲!W12*4+Z12</f>
        <v>346.42639322944592</v>
      </c>
      <c r="AA13" s="51">
        <f>SUMIFS($K$5:$K$1004,$J$5:$J$1004,"&lt;="&amp;V$2)*节奏总纲!X12*4+AA12</f>
        <v>2653.2797457443266</v>
      </c>
      <c r="AB13" s="51">
        <f>SUMIFS($K$5:$K$1004,$J$5:$J$1004,"&lt;="&amp;W$2)*节奏总纲!Y12*4+AB12</f>
        <v>6402.479386470005</v>
      </c>
      <c r="AC13" s="51">
        <f>SUMIFS($K$5:$K$1004,$J$5:$J$1004,"&lt;="&amp;X$2)*节奏总纲!Z12*4+AC12</f>
        <v>9750.7251196719226</v>
      </c>
      <c r="AD13" s="51">
        <f>SUMIFS($K$5:$K$1004,$J$5:$J$1004,"&lt;="&amp;Y$2)*节奏总纲!AA12*4+AD12</f>
        <v>5288.0603220901994</v>
      </c>
      <c r="AG13" s="35"/>
      <c r="AH13" s="35">
        <v>9</v>
      </c>
      <c r="AI13" s="47">
        <f>'[1]资源-木石铜粮'!AE14-U13</f>
        <v>-2858848.4923497913</v>
      </c>
      <c r="AJ13" s="47">
        <f>'[1]资源-木石铜粮'!AF14-V13</f>
        <v>-4730626.5726586012</v>
      </c>
      <c r="AK13" s="47">
        <f>'[1]资源-木石铜粮'!AG14-W13</f>
        <v>-7625657.6035586093</v>
      </c>
      <c r="AL13" s="47">
        <f>'[1]资源-木石铜粮'!AH14-X13</f>
        <v>-10686361.426338945</v>
      </c>
      <c r="AM13" s="47">
        <f>'[1]资源-木石铜粮'!AI14-Y13</f>
        <v>-6462258.1608594265</v>
      </c>
      <c r="AN13" s="47">
        <f>(AI13-AI12)*IF($AH13&lt;=10,'[1]功能-付费相关'!S24,'[1]功能-付费相关'!S14)</f>
        <v>-218.95198654141259</v>
      </c>
      <c r="AO13" s="47">
        <f>(AJ13-AJ12)*IF($AH13&lt;=10,'[1]功能-付费相关'!T24,'[1]功能-付费相关'!T14)</f>
        <v>-408.2588546366751</v>
      </c>
      <c r="AP13" s="47">
        <f>(AK13-AK12)*IF($AH13&lt;=10,'[1]功能-付费相关'!U24,'[1]功能-付费相关'!U14)</f>
        <v>-729.43672577476161</v>
      </c>
      <c r="AQ13" s="47">
        <f>(AL13-AL12)*IF($AH13&lt;=10,'[1]功能-付费相关'!V24,'[1]功能-付费相关'!V14)</f>
        <v>-994.03886316874707</v>
      </c>
      <c r="AR13" s="47">
        <f>(AM13-AM12)*IF($AH13&lt;=10,'[1]功能-付费相关'!W24,'[1]功能-付费相关'!W14)</f>
        <v>-555.29446226888626</v>
      </c>
      <c r="AS13" s="48">
        <f>SUM(AN$5:AN13)/'[1]资源-钻石'!L12</f>
        <v>-0.21785742474977116</v>
      </c>
      <c r="AT13" s="48">
        <f>SUM(AO$5:AO13)/'[1]资源-钻石'!M12</f>
        <v>-0.30766519706680368</v>
      </c>
      <c r="AU13" s="48">
        <f>SUM(AP$5:AP13)/'[1]资源-钻石'!N12</f>
        <v>-0.37625735309158248</v>
      </c>
      <c r="AV13" s="48">
        <f>SUM(AQ$5:AQ13)/'[1]资源-钻石'!O12</f>
        <v>-0.27358684839361547</v>
      </c>
      <c r="AW13" s="48">
        <f>SUM(AR$5:AR13)/'[1]资源-钻石'!P12</f>
        <v>-0.12866044801532092</v>
      </c>
      <c r="AX13" s="35">
        <f>('[1]资源-木石铜粮'!C14+U13)/'[1]资源-木石铜粮'!U14</f>
        <v>1.920122035599573</v>
      </c>
      <c r="AY13" s="35">
        <f>('[1]资源-木石铜粮'!D14+V13)/'[1]资源-木石铜粮'!V14</f>
        <v>2.4205177155333413</v>
      </c>
      <c r="AZ13" s="35">
        <f>('[1]资源-木石铜粮'!E14+W13)/'[1]资源-木石铜粮'!W14</f>
        <v>3.2289514838419864</v>
      </c>
      <c r="BA13" s="35">
        <f>('[1]资源-木石铜粮'!F14+X13)/'[1]资源-木石铜粮'!X14</f>
        <v>4.3517803782578417</v>
      </c>
      <c r="BB13" s="35">
        <f>('[1]资源-木石铜粮'!G14+Y13)/'[1]资源-木石铜粮'!Y14</f>
        <v>3.3117023231709277</v>
      </c>
      <c r="BE13" s="39">
        <f t="shared" si="3"/>
        <v>3.2982776767196965E-4</v>
      </c>
      <c r="BF13" s="39">
        <f t="shared" si="4"/>
        <v>8.0332580017118563E-4</v>
      </c>
      <c r="BG13" s="39">
        <f t="shared" si="5"/>
        <v>9.9225282151105981E-4</v>
      </c>
      <c r="BH13" s="39">
        <f t="shared" si="6"/>
        <v>1.0249080046280865E-3</v>
      </c>
      <c r="BI13" s="39">
        <f t="shared" si="7"/>
        <v>1.0246681560831755E-3</v>
      </c>
      <c r="BK13" s="39">
        <f>BE13/求节点(节奏总纲!AM$4:AM$83,$G$5:$G$84,节奏总纲!P12)</f>
        <v>0.27978599415539301</v>
      </c>
      <c r="BL13" s="39">
        <f>BF13/求节点(节奏总纲!AN$4:AN$83,$G$5:$G$84,节奏总纲!Q12)</f>
        <v>0.6929058441410495</v>
      </c>
      <c r="BM13" s="39">
        <f>BG13/求节点(节奏总纲!AO$4:AO$83,$G$5:$G$84,节奏总纲!R12)</f>
        <v>0.87046769939903046</v>
      </c>
      <c r="BN13" s="39">
        <f>BH13/求节点(节奏总纲!AP$4:AP$83,$G$5:$G$84,节奏总纲!S12)</f>
        <v>0.91711977598136163</v>
      </c>
      <c r="BO13" s="39">
        <f>BI13/求节点(节奏总纲!AQ$4:AQ$83,$G$5:$G$84,节奏总纲!T12)</f>
        <v>0.93763494400740899</v>
      </c>
      <c r="BQ13" s="58"/>
      <c r="BR13" s="53" t="s">
        <v>265</v>
      </c>
      <c r="BS13" s="53">
        <f>BS$5*$Q$15</f>
        <v>3000000</v>
      </c>
      <c r="BT13" s="53">
        <f>BT$5*$Q$15</f>
        <v>12000000</v>
      </c>
      <c r="BU13" s="53">
        <f>BU$5*$Q$15</f>
        <v>30000000</v>
      </c>
      <c r="BV13" s="53">
        <f>BV$5*$Q$15</f>
        <v>60000000</v>
      </c>
      <c r="BW13" s="53">
        <f>BW$5*$Q$15</f>
        <v>300000000</v>
      </c>
    </row>
    <row r="14" spans="1:75" x14ac:dyDescent="0.15">
      <c r="A14" s="26">
        <v>11</v>
      </c>
      <c r="B14" s="26">
        <v>2.9999999999999997E-4</v>
      </c>
      <c r="E14" s="26">
        <v>10</v>
      </c>
      <c r="F14" s="26">
        <f>节奏总纲!$BL13</f>
        <v>7.2577959560771719</v>
      </c>
      <c r="G14" s="26">
        <f>数据索引!$E15</f>
        <v>1.2198491768514027E-3</v>
      </c>
      <c r="H14" s="26">
        <f>数据索引!J15</f>
        <v>1.9646511983295849E-3</v>
      </c>
      <c r="I14" s="54"/>
      <c r="J14" s="35">
        <v>10</v>
      </c>
      <c r="K14" s="55">
        <v>40</v>
      </c>
      <c r="L14" s="55">
        <f t="shared" si="2"/>
        <v>60</v>
      </c>
      <c r="M14" s="55"/>
      <c r="N14" s="35">
        <v>45</v>
      </c>
      <c r="O14" s="39">
        <f>INT(1/INDEX($G$5:$G$84,$N14)/50)*50</f>
        <v>8900</v>
      </c>
      <c r="P14" s="54">
        <v>9000</v>
      </c>
      <c r="Q14" s="35">
        <f t="shared" si="9"/>
        <v>450000</v>
      </c>
      <c r="T14" s="35">
        <v>10</v>
      </c>
      <c r="U14" s="50">
        <f>INDEX($Q$5:$Q$21,MATCH(节奏总纲!BQ13,$N$5:$N$21,1))*(U$2+$K$2)*节奏总纲!W13*4*$C$5+U13</f>
        <v>1254762.0142604238</v>
      </c>
      <c r="V14" s="50">
        <f>INDEX($Q$5:$Q$21,MATCH(节奏总纲!BR13,$N$5:$N$21,1))*(V$2+$K$2)*节奏总纲!X13*4*$C$5+V13</f>
        <v>3932085.2073454312</v>
      </c>
      <c r="W14" s="50">
        <f>INDEX($Q$5:$Q$21,MATCH(节奏总纲!BS13,$N$5:$N$21,1))*(W$2+$K$2)*节奏总纲!Y13*4*$C$5+W13</f>
        <v>7706804.7033132697</v>
      </c>
      <c r="X14" s="50">
        <f>INDEX($Q$5:$Q$21,MATCH(节奏总纲!BT13,$N$5:$N$21,1))*(X$2+$K$2)*节奏总纲!Z13*4*$C$5+X13</f>
        <v>11367263.53665993</v>
      </c>
      <c r="Y14" s="50">
        <f>INDEX($Q$5:$Q$21,MATCH(节奏总纲!BU13,$N$5:$N$21,1))*(Y$2+$K$2)*节奏总纲!AA13*4*$C$5+Y13</f>
        <v>6221098.4519913793</v>
      </c>
      <c r="Z14" s="51">
        <f>SUMIFS($K$5:$K$1004,$J$5:$J$1004,"&lt;="&amp;U$2)*节奏总纲!W13*4+Z13</f>
        <v>400</v>
      </c>
      <c r="AA14" s="51">
        <f>SUMIFS($K$5:$K$1004,$J$5:$J$1004,"&lt;="&amp;V$2)*节奏总纲!X13*4+AA13</f>
        <v>3077.28</v>
      </c>
      <c r="AB14" s="51">
        <f>SUMIFS($K$5:$K$1004,$J$5:$J$1004,"&lt;="&amp;W$2)*节奏总纲!Y13*4+AB13</f>
        <v>7446.6</v>
      </c>
      <c r="AC14" s="51">
        <f>SUMIFS($K$5:$K$1004,$J$5:$J$1004,"&lt;="&amp;X$2)*节奏总纲!Z13*4+AC13</f>
        <v>11395.44</v>
      </c>
      <c r="AD14" s="51">
        <f>SUMIFS($K$5:$K$1004,$J$5:$J$1004,"&lt;="&amp;Y$2)*节奏总纲!AA13*4+AD13</f>
        <v>6228.9599999999991</v>
      </c>
      <c r="AG14" s="35"/>
      <c r="AH14" s="35">
        <v>10</v>
      </c>
      <c r="AI14" s="47">
        <f>'[1]资源-木石铜粮'!AE15-U14</f>
        <v>-2959570.1186339655</v>
      </c>
      <c r="AJ14" s="47">
        <f>'[1]资源-木石铜粮'!AF15-V14</f>
        <v>-5113607.7756009363</v>
      </c>
      <c r="AK14" s="47">
        <f>'[1]资源-木石铜粮'!AG15-W14</f>
        <v>-8417159.437153412</v>
      </c>
      <c r="AL14" s="47">
        <f>'[1]资源-木石铜粮'!AH15-X14</f>
        <v>-12153382.040018959</v>
      </c>
      <c r="AM14" s="47">
        <f>'[1]资源-木石铜粮'!AI15-Y14</f>
        <v>-7255565.0564518087</v>
      </c>
      <c r="AN14" s="47">
        <f>(AI14-AI13)*IF($AH14&lt;=10,'[1]功能-付费相关'!S25,'[1]功能-付费相关'!S15)</f>
        <v>-56.600810032873113</v>
      </c>
      <c r="AO14" s="47">
        <f>(AJ14-AJ13)*IF($AH14&lt;=10,'[1]功能-付费相关'!T25,'[1]功能-付费相关'!T15)</f>
        <v>-220.40756508904713</v>
      </c>
      <c r="AP14" s="47">
        <f>(AK14-AK13)*IF($AH14&lt;=10,'[1]功能-付费相关'!U25,'[1]功能-付费相关'!U15)</f>
        <v>-462.74745468730555</v>
      </c>
      <c r="AQ14" s="47">
        <f>(AL14-AL13)*IF($AH14&lt;=10,'[1]功能-付费相关'!V25,'[1]功能-付费相关'!V15)</f>
        <v>-807.48279010603983</v>
      </c>
      <c r="AR14" s="47">
        <f>(AM14-AM13)*IF($AH14&lt;=10,'[1]功能-付费相关'!W25,'[1]功能-付费相关'!W15)</f>
        <v>-418.0698115647578</v>
      </c>
      <c r="AS14" s="48">
        <f>SUM(AN$5:AN14)/'[1]资源-钻石'!L13</f>
        <v>-0.19258195945460946</v>
      </c>
      <c r="AT14" s="48">
        <f>SUM(AO$5:AO14)/'[1]资源-钻石'!M13</f>
        <v>-0.27846168782022412</v>
      </c>
      <c r="AU14" s="48">
        <f>SUM(AP$5:AP14)/'[1]资源-钻石'!N13</f>
        <v>-0.34511737322188601</v>
      </c>
      <c r="AV14" s="48">
        <f>SUM(AQ$5:AQ14)/'[1]资源-钻石'!O13</f>
        <v>-0.255067681120623</v>
      </c>
      <c r="AW14" s="48">
        <f>SUM(AR$5:AR14)/'[1]资源-钻石'!P13</f>
        <v>-0.11778779118550864</v>
      </c>
      <c r="AX14" s="35">
        <f>('[1]资源-木石铜粮'!C15+U14)/'[1]资源-木石铜粮'!U15</f>
        <v>1.7552164556247702</v>
      </c>
      <c r="AY14" s="35">
        <f>('[1]资源-木石铜粮'!D15+V14)/'[1]资源-木石铜粮'!V15</f>
        <v>2.2015466971658162</v>
      </c>
      <c r="AZ14" s="35">
        <f>('[1]资源-木石铜粮'!E15+W14)/'[1]资源-木石铜粮'!W15</f>
        <v>2.8576529682312093</v>
      </c>
      <c r="BA14" s="35">
        <f>('[1]资源-木石铜粮'!F15+X14)/'[1]资源-木石铜粮'!X15</f>
        <v>3.9299817879370615</v>
      </c>
      <c r="BB14" s="35">
        <f>('[1]资源-木石铜粮'!G15+Y14)/'[1]资源-木石铜粮'!Y15</f>
        <v>3.0344609538469389</v>
      </c>
      <c r="BE14" s="39">
        <f t="shared" si="3"/>
        <v>3.1878555092836963E-4</v>
      </c>
      <c r="BF14" s="39">
        <f t="shared" si="4"/>
        <v>7.8260765922656239E-4</v>
      </c>
      <c r="BG14" s="39">
        <f t="shared" si="5"/>
        <v>9.6623701866982523E-4</v>
      </c>
      <c r="BH14" s="39">
        <f t="shared" si="6"/>
        <v>1.0024787375826382E-3</v>
      </c>
      <c r="BI14" s="39">
        <f t="shared" si="7"/>
        <v>1.0012636913029568E-3</v>
      </c>
      <c r="BK14" s="39">
        <f>BE14/求节点(节奏总纲!AM$4:AM$83,$G$5:$G$84,节奏总纲!P13)</f>
        <v>0.28047109760519401</v>
      </c>
      <c r="BL14" s="39">
        <f>BF14/求节点(节奏总纲!AN$4:AN$83,$G$5:$G$84,节奏总纲!Q13)</f>
        <v>0.70018802976053585</v>
      </c>
      <c r="BM14" s="39">
        <f>BG14/求节点(节奏总纲!AO$4:AO$83,$G$5:$G$84,节奏总纲!R13)</f>
        <v>0.88203966221031826</v>
      </c>
      <c r="BN14" s="39">
        <f>BH14/求节点(节奏总纲!AP$4:AP$83,$G$5:$G$84,节奏总纲!S13)</f>
        <v>0.93417066670612958</v>
      </c>
      <c r="BO14" s="39">
        <f>BI14/求节点(节奏总纲!AQ$4:AQ$83,$G$5:$G$84,节奏总纲!T13)</f>
        <v>0.95579244020233944</v>
      </c>
      <c r="BQ14" s="58"/>
      <c r="BR14" s="53" t="s">
        <v>266</v>
      </c>
      <c r="BS14" s="53">
        <f>BS$5*$Q$15</f>
        <v>3000000</v>
      </c>
      <c r="BT14" s="53">
        <f>BT$5*$Q$15</f>
        <v>12000000</v>
      </c>
      <c r="BU14" s="53">
        <f>BU$5*$Q$15</f>
        <v>30000000</v>
      </c>
      <c r="BV14" s="53">
        <f>BV$5*$Q$15</f>
        <v>60000000</v>
      </c>
      <c r="BW14" s="53">
        <f>BW$5*$Q$15</f>
        <v>300000000</v>
      </c>
    </row>
    <row r="15" spans="1:75" x14ac:dyDescent="0.15">
      <c r="A15" s="26">
        <v>31</v>
      </c>
      <c r="B15" s="26">
        <v>2.0000000000000001E-4</v>
      </c>
      <c r="E15" s="26">
        <v>11</v>
      </c>
      <c r="F15" s="26">
        <f>节奏总纲!$BL14</f>
        <v>8.6331257373661145</v>
      </c>
      <c r="G15" s="26">
        <f>数据索引!$E16</f>
        <v>1.1546363231647865E-3</v>
      </c>
      <c r="H15" s="26">
        <f>数据索引!J16</f>
        <v>1.8709758127516732E-3</v>
      </c>
      <c r="I15" s="54"/>
      <c r="J15" s="35">
        <v>11</v>
      </c>
      <c r="K15" s="55">
        <v>60</v>
      </c>
      <c r="L15" s="55">
        <f t="shared" si="2"/>
        <v>90</v>
      </c>
      <c r="M15" s="55"/>
      <c r="N15" s="35">
        <v>50</v>
      </c>
      <c r="O15" s="39">
        <f>INT(1/INDEX($G$5:$G$84,$N15)/50)*50</f>
        <v>11700</v>
      </c>
      <c r="P15" s="54">
        <v>12000</v>
      </c>
      <c r="Q15" s="35">
        <f t="shared" si="9"/>
        <v>600000</v>
      </c>
      <c r="T15" s="35">
        <v>11</v>
      </c>
      <c r="U15" s="50">
        <f>INDEX($Q$5:$Q$21,MATCH(节奏总纲!BQ14,$N$5:$N$21,1))*(U$2+$K$2)*节奏总纲!W14*4*$C$5+U14</f>
        <v>1473872.0406912195</v>
      </c>
      <c r="V15" s="50">
        <f>INDEX($Q$5:$Q$21,MATCH(节奏总纲!BR14,$N$5:$N$21,1))*(V$2+$K$2)*节奏总纲!X14*4*$C$5+V14</f>
        <v>4602891.7971523544</v>
      </c>
      <c r="W15" s="50">
        <f>INDEX($Q$5:$Q$21,MATCH(节奏总纲!BS14,$N$5:$N$21,1))*(W$2+$K$2)*节奏总纲!Y14*4*$C$5+W14</f>
        <v>9069589.0174082611</v>
      </c>
      <c r="X15" s="50">
        <f>INDEX($Q$5:$Q$21,MATCH(节奏总纲!BT14,$N$5:$N$21,1))*(X$2+$K$2)*节奏总纲!Z14*4*$C$5+X14</f>
        <v>13319418.104843006</v>
      </c>
      <c r="Y15" s="50">
        <f>INDEX($Q$5:$Q$21,MATCH(节奏总纲!BU14,$N$5:$N$21,1))*(Y$2+$K$2)*节奏总纲!AA14*4*$C$5+Y14</f>
        <v>7363916.9085897086</v>
      </c>
      <c r="Z15" s="51">
        <f>SUMIFS($K$5:$K$1004,$J$5:$J$1004,"&lt;="&amp;U$2)*节奏总纲!W14*4+Z14</f>
        <v>457.41877002903448</v>
      </c>
      <c r="AA15" s="51">
        <f>SUMIFS($K$5:$K$1004,$J$5:$J$1004,"&lt;="&amp;V$2)*节奏总纲!X14*4+AA14</f>
        <v>3529.3060039130214</v>
      </c>
      <c r="AB15" s="51">
        <f>SUMIFS($K$5:$K$1004,$J$5:$J$1004,"&lt;="&amp;W$2)*节奏总纲!Y14*4+AB14</f>
        <v>8580.9931582366753</v>
      </c>
      <c r="AC15" s="51">
        <f>SUMIFS($K$5:$K$1004,$J$5:$J$1004,"&lt;="&amp;X$2)*节奏总纲!Z14*4+AC14</f>
        <v>13127.689990448273</v>
      </c>
      <c r="AD15" s="51">
        <f>SUMIFS($K$5:$K$1004,$J$5:$J$1004,"&lt;="&amp;Y$2)*节奏总纲!AA14*4+AD14</f>
        <v>7243.0432559017481</v>
      </c>
      <c r="AG15" s="35"/>
      <c r="AH15" s="35">
        <v>11</v>
      </c>
      <c r="AI15" s="47">
        <f>'[1]资源-木石铜粮'!AE16-U15</f>
        <v>-3255382.4737752909</v>
      </c>
      <c r="AJ15" s="47">
        <f>'[1]资源-木石铜粮'!AF16-V15</f>
        <v>-5691308.0988527657</v>
      </c>
      <c r="AK15" s="47">
        <f>'[1]资源-木石铜粮'!AG16-W15</f>
        <v>-9403450.4051489756</v>
      </c>
      <c r="AL15" s="47">
        <f>'[1]资源-木石铜粮'!AH16-X15</f>
        <v>-13863361.031455375</v>
      </c>
      <c r="AM15" s="47">
        <f>'[1]资源-木石铜粮'!AI16-Y15</f>
        <v>-8300481.3825404923</v>
      </c>
      <c r="AN15" s="47">
        <f>(AI15-AI14)*IF($AH15&lt;=10,'[1]功能-付费相关'!S26,'[1]功能-付费相关'!S16)</f>
        <v>-349.44168118728362</v>
      </c>
      <c r="AO15" s="47">
        <f>(AJ15-AJ14)*IF($AH15&lt;=10,'[1]功能-付费相关'!T26,'[1]功能-付费相关'!T16)</f>
        <v>-677.32581610255045</v>
      </c>
      <c r="AP15" s="47">
        <f>(AK15-AK14)*IF($AH15&lt;=10,'[1]功能-付费相关'!U26,'[1]功能-付费相关'!U16)</f>
        <v>-1138.8073768570355</v>
      </c>
      <c r="AQ15" s="47">
        <f>(AL15-AL14)*IF($AH15&lt;=10,'[1]功能-付费相关'!V26,'[1]功能-付费相关'!V16)</f>
        <v>-1884.0675761337397</v>
      </c>
      <c r="AR15" s="47">
        <f>(AM15-AM14)*IF($AH15&lt;=10,'[1]功能-付费相关'!W26,'[1]功能-付费相关'!W16)</f>
        <v>-1118.2932910291252</v>
      </c>
      <c r="AS15" s="48">
        <f>SUM(AN$5:AN15)/'[1]资源-钻石'!L14</f>
        <v>-0.19980836915026037</v>
      </c>
      <c r="AT15" s="48">
        <f>SUM(AO$5:AO15)/'[1]资源-钻石'!M14</f>
        <v>-0.27813338491270878</v>
      </c>
      <c r="AU15" s="48">
        <f>SUM(AP$5:AP15)/'[1]资源-钻石'!N14</f>
        <v>-0.34565881910192714</v>
      </c>
      <c r="AV15" s="48">
        <f>SUM(AQ$5:AQ15)/'[1]资源-钻石'!O14</f>
        <v>-0.26387839157863874</v>
      </c>
      <c r="AW15" s="48">
        <f>SUM(AR$5:AR15)/'[1]资源-钻石'!P14</f>
        <v>-0.12099208919349135</v>
      </c>
      <c r="AX15" s="35">
        <f>('[1]资源-木石铜粮'!C16+U15)/'[1]资源-木石铜粮'!U16</f>
        <v>1.711356395325323</v>
      </c>
      <c r="AY15" s="35">
        <f>('[1]资源-木石铜粮'!D16+V15)/'[1]资源-木石铜粮'!V16</f>
        <v>2.1296579094007448</v>
      </c>
      <c r="AZ15" s="35">
        <f>('[1]资源-木石铜粮'!E16+W15)/'[1]资源-木石铜粮'!W16</f>
        <v>2.6921486573009208</v>
      </c>
      <c r="BA15" s="35">
        <f>('[1]资源-木石铜粮'!F16+X15)/'[1]资源-木石铜粮'!X16</f>
        <v>3.7883258041717083</v>
      </c>
      <c r="BB15" s="35">
        <f>('[1]资源-木石铜粮'!G16+Y15)/'[1]资源-木石铜粮'!Y16</f>
        <v>2.99757538695075</v>
      </c>
      <c r="BE15" s="39">
        <f t="shared" si="3"/>
        <v>3.1035175198419079E-4</v>
      </c>
      <c r="BF15" s="39">
        <f t="shared" si="4"/>
        <v>7.6675841176550741E-4</v>
      </c>
      <c r="BG15" s="39">
        <f t="shared" si="5"/>
        <v>9.4612811471018478E-4</v>
      </c>
      <c r="BH15" s="39">
        <f t="shared" si="6"/>
        <v>9.8560536857649817E-4</v>
      </c>
      <c r="BI15" s="39">
        <f t="shared" si="7"/>
        <v>9.8358568487553599E-4</v>
      </c>
      <c r="BK15" s="39">
        <f>BE15/求节点(节奏总纲!AM$4:AM$83,$G$5:$G$84,节奏总纲!P14)</f>
        <v>0.28290750195580611</v>
      </c>
      <c r="BL15" s="39">
        <f>BF15/求节点(节奏总纲!AN$4:AN$83,$G$5:$G$84,节奏总纲!Q14)</f>
        <v>0.7110182976849535</v>
      </c>
      <c r="BM15" s="39">
        <f>BG15/求节点(节奏总纲!AO$4:AO$83,$G$5:$G$84,节奏总纲!R14)</f>
        <v>0.89533173522315712</v>
      </c>
      <c r="BN15" s="39">
        <f>BH15/求节点(节奏总纲!AP$4:AP$83,$G$5:$G$84,节奏总纲!S14)</f>
        <v>0.95461543355023526</v>
      </c>
      <c r="BO15" s="39">
        <f>BI15/求节点(节奏总纲!AQ$4:AQ$83,$G$5:$G$84,节奏总纲!T14)</f>
        <v>0.97715923529093263</v>
      </c>
      <c r="BQ15" s="58"/>
      <c r="BR15" s="53" t="s">
        <v>267</v>
      </c>
      <c r="BS15" s="53">
        <f>BS$5*$Q$15</f>
        <v>3000000</v>
      </c>
      <c r="BT15" s="53">
        <f>BT$5*$Q$15</f>
        <v>12000000</v>
      </c>
      <c r="BU15" s="53">
        <f>BU$5*$Q$15</f>
        <v>30000000</v>
      </c>
      <c r="BV15" s="53">
        <f>BV$5*$Q$15</f>
        <v>60000000</v>
      </c>
      <c r="BW15" s="53">
        <f>BW$5*$Q$15</f>
        <v>300000000</v>
      </c>
    </row>
    <row r="16" spans="1:75" x14ac:dyDescent="0.15">
      <c r="E16" s="26">
        <v>12</v>
      </c>
      <c r="F16" s="26">
        <f>节奏总纲!$BL15</f>
        <v>10.033713322824047</v>
      </c>
      <c r="G16" s="26">
        <f>数据索引!$E17</f>
        <v>1.0938294388710646E-3</v>
      </c>
      <c r="H16" s="26">
        <f>数据索引!J17</f>
        <v>1.7823724486327234E-3</v>
      </c>
      <c r="I16" s="54"/>
      <c r="J16" s="35">
        <v>12</v>
      </c>
      <c r="K16" s="55">
        <v>60</v>
      </c>
      <c r="L16" s="55">
        <f t="shared" si="2"/>
        <v>90</v>
      </c>
      <c r="M16" s="55"/>
      <c r="N16" s="35">
        <v>55</v>
      </c>
      <c r="O16" s="39">
        <f>INT(1/INDEX($G$5:$G$84,$N16)/50)*50</f>
        <v>15300</v>
      </c>
      <c r="P16" s="54">
        <v>15000</v>
      </c>
      <c r="Q16" s="35">
        <f t="shared" si="9"/>
        <v>750000</v>
      </c>
      <c r="T16" s="35">
        <v>12</v>
      </c>
      <c r="U16" s="50">
        <f>INDEX($Q$5:$Q$21,MATCH(节奏总纲!BQ15,$N$5:$N$21,1))*(U$2+$K$2)*节奏总纲!W15*4*$C$5+U15</f>
        <v>1708708.3523953725</v>
      </c>
      <c r="V16" s="50">
        <f>INDEX($Q$5:$Q$21,MATCH(节奏总纲!BR15,$N$5:$N$21,1))*(V$2+$K$2)*节奏总纲!X15*4*$C$5+V15</f>
        <v>5309609.2558912924</v>
      </c>
      <c r="W16" s="50">
        <f>INDEX($Q$5:$Q$21,MATCH(节奏总纲!BS15,$N$5:$N$21,1))*(W$2+$K$2)*节奏总纲!Y15*4*$C$5+W15</f>
        <v>10513717.316242751</v>
      </c>
      <c r="X16" s="50">
        <f>INDEX($Q$5:$Q$21,MATCH(节奏总纲!BT15,$N$5:$N$21,1))*(X$2+$K$2)*节奏总纲!Z15*4*$C$5+X15</f>
        <v>15539810.061558573</v>
      </c>
      <c r="Y16" s="50">
        <f>INDEX($Q$5:$Q$21,MATCH(节奏总纲!BU15,$N$5:$N$21,1))*(Y$2+$K$2)*节奏总纲!AA15*4*$C$5+Y15</f>
        <v>8595425.2731129266</v>
      </c>
      <c r="Z16" s="51">
        <f>SUMIFS($K$5:$K$1004,$J$5:$J$1004,"&lt;="&amp;U$2)*节奏总纲!W15*4+Z15</f>
        <v>518.9586839976281</v>
      </c>
      <c r="AA16" s="51">
        <f>SUMIFS($K$5:$K$1004,$J$5:$J$1004,"&lt;="&amp;V$2)*节奏总纲!X15*4+AA15</f>
        <v>4005.5307065672923</v>
      </c>
      <c r="AB16" s="51">
        <f>SUMIFS($K$5:$K$1004,$J$5:$J$1004,"&lt;="&amp;W$2)*节奏总纲!Y15*4+AB15</f>
        <v>9783.0977355128871</v>
      </c>
      <c r="AC16" s="51">
        <f>SUMIFS($K$5:$K$1004,$J$5:$J$1004,"&lt;="&amp;X$2)*节奏总纲!Z15*4+AC15</f>
        <v>15097.961201806191</v>
      </c>
      <c r="AD16" s="51">
        <f>SUMIFS($K$5:$K$1004,$J$5:$J$1004,"&lt;="&amp;Y$2)*节奏总纲!AA15*4+AD15</f>
        <v>8335.8257575803</v>
      </c>
      <c r="AG16" s="35"/>
      <c r="AH16" s="35">
        <v>12</v>
      </c>
      <c r="AI16" s="47">
        <f>'[1]资源-木石铜粮'!AE17-U16</f>
        <v>-3268182.2994235018</v>
      </c>
      <c r="AJ16" s="47">
        <f>'[1]资源-木石铜粮'!AF17-V16</f>
        <v>-5949933.3065249659</v>
      </c>
      <c r="AK16" s="47">
        <f>'[1]资源-木石铜粮'!AG17-W16</f>
        <v>-10119995.935515417</v>
      </c>
      <c r="AL16" s="47">
        <f>'[1]资源-木石铜粮'!AH17-X16</f>
        <v>-15501468.241703052</v>
      </c>
      <c r="AM16" s="47">
        <f>'[1]资源-木石铜粮'!AI17-Y16</f>
        <v>-9101397.9333333597</v>
      </c>
      <c r="AN16" s="47">
        <f>(AI16-AI15)*IF($AH16&lt;=10,'[1]功能-付费相关'!S27,'[1]功能-付费相关'!S17)</f>
        <v>-14.344922167537309</v>
      </c>
      <c r="AO16" s="47">
        <f>(AJ16-AJ15)*IF($AH16&lt;=10,'[1]功能-付费相关'!T27,'[1]功能-付费相关'!T17)</f>
        <v>-287.61104026418809</v>
      </c>
      <c r="AP16" s="47">
        <f>(AK16-AK15)*IF($AH16&lt;=10,'[1]功能-付费相关'!U27,'[1]功能-付费相关'!U17)</f>
        <v>-783.77859540629379</v>
      </c>
      <c r="AQ16" s="47">
        <f>(AL16-AL15)*IF($AH16&lt;=10,'[1]功能-付费相关'!V27,'[1]功能-付费相关'!V17)</f>
        <v>-1701.8753255393838</v>
      </c>
      <c r="AR16" s="47">
        <f>(AM16-AM15)*IF($AH16&lt;=10,'[1]功能-付费相关'!W27,'[1]功能-付费相关'!W17)</f>
        <v>-804.41545349682315</v>
      </c>
      <c r="AS16" s="48">
        <f>SUM(AN$5:AN16)/'[1]资源-钻石'!L15</f>
        <v>-0.18526114429272816</v>
      </c>
      <c r="AT16" s="48">
        <f>SUM(AO$5:AO16)/'[1]资源-钻石'!M15</f>
        <v>-0.26981171324219461</v>
      </c>
      <c r="AU16" s="48">
        <f>SUM(AP$5:AP16)/'[1]资源-钻石'!N15</f>
        <v>-0.33105472888319448</v>
      </c>
      <c r="AV16" s="48">
        <f>SUM(AQ$5:AQ16)/'[1]资源-钻石'!O15</f>
        <v>-0.26279755979037794</v>
      </c>
      <c r="AW16" s="48">
        <f>SUM(AR$5:AR16)/'[1]资源-钻石'!P15</f>
        <v>-0.11744085324588444</v>
      </c>
      <c r="AX16" s="35">
        <f>('[1]资源-木石铜粮'!C17+U16)/'[1]资源-木石铜粮'!U17</f>
        <v>1.5845755743672205</v>
      </c>
      <c r="AY16" s="35">
        <f>('[1]资源-木石铜粮'!D17+V16)/'[1]资源-木石铜粮'!V17</f>
        <v>1.9546934749601887</v>
      </c>
      <c r="AZ16" s="35">
        <f>('[1]资源-木石铜粮'!E17+W16)/'[1]资源-木石铜粮'!W17</f>
        <v>2.4492972538934552</v>
      </c>
      <c r="BA16" s="35">
        <f>('[1]资源-木石铜粮'!F17+X16)/'[1]资源-木石铜粮'!X17</f>
        <v>3.5023719213690989</v>
      </c>
      <c r="BB16" s="35">
        <f>('[1]资源-木石铜粮'!G17+Y16)/'[1]资源-木石铜粮'!Y17</f>
        <v>2.7845211072343519</v>
      </c>
      <c r="BE16" s="39">
        <f t="shared" si="3"/>
        <v>3.0371402075147575E-4</v>
      </c>
      <c r="BF16" s="39">
        <f t="shared" si="4"/>
        <v>7.5439274596768942E-4</v>
      </c>
      <c r="BG16" s="39">
        <f t="shared" si="5"/>
        <v>9.305079679476333E-4</v>
      </c>
      <c r="BH16" s="39">
        <f t="shared" si="6"/>
        <v>9.7156664991386219E-4</v>
      </c>
      <c r="BI16" s="39">
        <f t="shared" si="7"/>
        <v>9.6979794398949963E-4</v>
      </c>
      <c r="BK16" s="39">
        <f>BE16/求节点(节奏总纲!AM$4:AM$83,$G$5:$G$84,节奏总纲!P15)</f>
        <v>0.28581664655825911</v>
      </c>
      <c r="BL16" s="39">
        <f>BF16/求节点(节奏总纲!AN$4:AN$83,$G$5:$G$84,节奏总纲!Q15)</f>
        <v>0.72389227761770136</v>
      </c>
      <c r="BM16" s="39">
        <f>BG16/求节点(节奏总纲!AO$4:AO$83,$G$5:$G$84,节奏总纲!R15)</f>
        <v>0.91204299786277643</v>
      </c>
      <c r="BN16" s="39">
        <f>BH16/求节点(节奏总纲!AP$4:AP$83,$G$5:$G$84,节奏总纲!S15)</f>
        <v>0.97653100867840847</v>
      </c>
      <c r="BO16" s="39">
        <f>BI16/求节点(节奏总纲!AQ$4:AQ$83,$G$5:$G$84,节奏总纲!T15)</f>
        <v>1.0015287567540394</v>
      </c>
    </row>
    <row r="17" spans="5:75" x14ac:dyDescent="0.15">
      <c r="E17" s="26">
        <v>13</v>
      </c>
      <c r="F17" s="26">
        <f>节奏总纲!$BL16</f>
        <v>11.503343391504416</v>
      </c>
      <c r="G17" s="26">
        <f>数据索引!$E18</f>
        <v>1.0362585042320593E-3</v>
      </c>
      <c r="H17" s="26">
        <f>数据索引!J18</f>
        <v>1.6984139855262617E-3</v>
      </c>
      <c r="I17" s="54"/>
      <c r="J17" s="35">
        <v>13</v>
      </c>
      <c r="K17" s="55">
        <v>60</v>
      </c>
      <c r="L17" s="55">
        <f t="shared" si="2"/>
        <v>90</v>
      </c>
      <c r="M17" s="55"/>
      <c r="N17" s="35">
        <v>60</v>
      </c>
      <c r="O17" s="39">
        <f>INT(1/INDEX($G$5:$G$84,$N17)/50)*50</f>
        <v>21600</v>
      </c>
      <c r="P17" s="54">
        <v>20000</v>
      </c>
      <c r="Q17" s="35">
        <f t="shared" si="9"/>
        <v>1000000</v>
      </c>
      <c r="T17" s="35">
        <v>13</v>
      </c>
      <c r="U17" s="50">
        <f>INDEX($Q$5:$Q$21,MATCH(节奏总纲!BQ16,$N$5:$N$21,1))*(U$2+$K$2)*节奏总纲!W16*4*$C$5+U16</f>
        <v>1960399.6793197843</v>
      </c>
      <c r="V17" s="50">
        <f>INDEX($Q$5:$Q$21,MATCH(节奏总纲!BR16,$N$5:$N$21,1))*(V$2+$K$2)*节奏总纲!X16*4*$C$5+V16</f>
        <v>6111958.7337538544</v>
      </c>
      <c r="W17" s="50">
        <f>INDEX($Q$5:$Q$21,MATCH(节奏总纲!BS16,$N$5:$N$21,1))*(W$2+$K$2)*节奏总纲!Y16*4*$C$5+W16</f>
        <v>12117469.291028481</v>
      </c>
      <c r="X17" s="50">
        <f>INDEX($Q$5:$Q$21,MATCH(节奏总纲!BT16,$N$5:$N$21,1))*(X$2+$K$2)*节奏总纲!Z16*4*$C$5+X16</f>
        <v>17938982.419185489</v>
      </c>
      <c r="Y17" s="50">
        <f>INDEX($Q$5:$Q$21,MATCH(节奏总纲!BU16,$N$5:$N$21,1))*(Y$2+$K$2)*节奏总纲!AA16*4*$C$5+Y16</f>
        <v>9958433.4943507109</v>
      </c>
      <c r="Z17" s="51">
        <f>SUMIFS($K$5:$K$1004,$J$5:$J$1004,"&lt;="&amp;U$2)*节奏总纲!W16*4+Z16</f>
        <v>584.91553067593304</v>
      </c>
      <c r="AA17" s="51">
        <f>SUMIFS($K$5:$K$1004,$J$5:$J$1004,"&lt;="&amp;V$2)*节奏总纲!X16*4+AA16</f>
        <v>4546.1974706256224</v>
      </c>
      <c r="AB17" s="51">
        <f>SUMIFS($K$5:$K$1004,$J$5:$J$1004,"&lt;="&amp;W$2)*节奏总纲!Y16*4+AB16</f>
        <v>11118.074407088134</v>
      </c>
      <c r="AC17" s="51">
        <f>SUMIFS($K$5:$K$1004,$J$5:$J$1004,"&lt;="&amp;X$2)*节奏总纲!Z16*4+AC16</f>
        <v>17226.873717914514</v>
      </c>
      <c r="AD17" s="51">
        <f>SUMIFS($K$5:$K$1004,$J$5:$J$1004,"&lt;="&amp;Y$2)*节奏总纲!AA16*4+AD16</f>
        <v>9545.2950366536188</v>
      </c>
      <c r="AG17" s="35"/>
      <c r="AH17" s="35">
        <v>13</v>
      </c>
      <c r="AI17" s="47">
        <f>'[1]资源-木石铜粮'!AE18-U17</f>
        <v>-3548353.0161094349</v>
      </c>
      <c r="AJ17" s="47">
        <f>'[1]资源-木石铜粮'!AF18-V17</f>
        <v>-6503161.0321232546</v>
      </c>
      <c r="AK17" s="47">
        <f>'[1]资源-木石铜粮'!AG18-W17</f>
        <v>-11121412.509578107</v>
      </c>
      <c r="AL17" s="47">
        <f>'[1]资源-木石铜粮'!AH18-X17</f>
        <v>-17520700.696706291</v>
      </c>
      <c r="AM17" s="47">
        <f>'[1]资源-木石铜粮'!AI18-Y17</f>
        <v>-10266002.376736177</v>
      </c>
      <c r="AN17" s="47">
        <f>(AI17-AI16)*IF($AH17&lt;=10,'[1]功能-付费相关'!S28,'[1]功能-付费相关'!S18)</f>
        <v>-298.00166512213178</v>
      </c>
      <c r="AO17" s="47">
        <f>(AJ17-AJ16)*IF($AH17&lt;=10,'[1]功能-付费相关'!T28,'[1]功能-付费相关'!T18)</f>
        <v>-583.46675694416967</v>
      </c>
      <c r="AP17" s="47">
        <f>(AK17-AK16)*IF($AH17&lt;=10,'[1]功能-付费相关'!U28,'[1]功能-付费相关'!U18)</f>
        <v>-1037.7264411513966</v>
      </c>
      <c r="AQ17" s="47">
        <f>(AL17-AL16)*IF($AH17&lt;=10,'[1]功能-付费相关'!V28,'[1]功能-付费相关'!V18)</f>
        <v>-1977.4795295274914</v>
      </c>
      <c r="AR17" s="47">
        <f>(AM17-AM16)*IF($AH17&lt;=10,'[1]功能-付费相关'!W28,'[1]功能-付费相关'!W18)</f>
        <v>-1098.0393193907628</v>
      </c>
      <c r="AS17" s="48">
        <f>SUM(AN$5:AN17)/'[1]资源-钻石'!L16</f>
        <v>-0.18729080296350029</v>
      </c>
      <c r="AT17" s="48">
        <f>SUM(AO$5:AO17)/'[1]资源-钻石'!M16</f>
        <v>-0.27538234618201102</v>
      </c>
      <c r="AU17" s="48">
        <f>SUM(AP$5:AP17)/'[1]资源-钻石'!N16</f>
        <v>-0.3278586157093305</v>
      </c>
      <c r="AV17" s="48">
        <f>SUM(AQ$5:AQ17)/'[1]资源-钻石'!O16</f>
        <v>-0.26428786651672231</v>
      </c>
      <c r="AW17" s="48">
        <f>SUM(AR$5:AR17)/'[1]资源-钻石'!P16</f>
        <v>-0.11723454075459321</v>
      </c>
      <c r="AX17" s="35">
        <f>('[1]资源-木石铜粮'!C18+U17)/'[1]资源-木石铜粮'!U18</f>
        <v>1.5532940487499873</v>
      </c>
      <c r="AY17" s="35">
        <f>('[1]资源-木石铜粮'!D18+V17)/'[1]资源-木石铜粮'!V18</f>
        <v>1.889834179789657</v>
      </c>
      <c r="AZ17" s="35">
        <f>('[1]资源-木石铜粮'!E18+W17)/'[1]资源-木石铜粮'!W18</f>
        <v>2.3328225418917348</v>
      </c>
      <c r="BA17" s="35">
        <f>('[1]资源-木石铜粮'!F18+X17)/'[1]资源-木石铜粮'!X18</f>
        <v>3.4147779539311514</v>
      </c>
      <c r="BB17" s="35">
        <f>('[1]资源-木石铜粮'!G18+Y17)/'[1]资源-木石铜粮'!Y18</f>
        <v>2.7553556487061819</v>
      </c>
      <c r="BE17" s="39">
        <f t="shared" si="3"/>
        <v>2.9836544906949072E-4</v>
      </c>
      <c r="BF17" s="39">
        <f t="shared" si="4"/>
        <v>7.4382005322104494E-4</v>
      </c>
      <c r="BG17" s="39">
        <f t="shared" si="5"/>
        <v>9.1752445498828063E-4</v>
      </c>
      <c r="BH17" s="39">
        <f t="shared" si="6"/>
        <v>9.60303840840527E-4</v>
      </c>
      <c r="BI17" s="39">
        <f t="shared" si="7"/>
        <v>9.5851371022044184E-4</v>
      </c>
      <c r="BK17" s="39">
        <f>BE17/求节点(节奏总纲!AM$4:AM$83,$G$5:$G$84,节奏总纲!P16)</f>
        <v>0.29009988095297007</v>
      </c>
      <c r="BL17" s="39">
        <f>BF17/求节点(节奏总纲!AN$4:AN$83,$G$5:$G$84,节奏总纲!Q16)</f>
        <v>0.73770605174365833</v>
      </c>
      <c r="BM17" s="39">
        <f>BG17/求节点(节奏总纲!AO$4:AO$83,$G$5:$G$84,节奏总纲!R16)</f>
        <v>0.93202597400343945</v>
      </c>
      <c r="BN17" s="39">
        <f>BH17/求节点(节奏总纲!AP$4:AP$83,$G$5:$G$84,节奏总纲!S16)</f>
        <v>1.0004877620924224</v>
      </c>
      <c r="BO17" s="39">
        <f>BI17/求节点(节奏总纲!AQ$4:AQ$83,$G$5:$G$84,节奏总纲!T16)</f>
        <v>1.0291501854324512</v>
      </c>
      <c r="BR17" s="26" t="s">
        <v>269</v>
      </c>
      <c r="BS17" s="26">
        <f>BS11/BS6</f>
        <v>30000</v>
      </c>
      <c r="BT17" s="53">
        <f t="shared" ref="BT17:BW17" si="12">BT11/BT6</f>
        <v>13333.333333333334</v>
      </c>
      <c r="BU17" s="53">
        <f t="shared" si="12"/>
        <v>11111.111111111111</v>
      </c>
      <c r="BV17" s="53">
        <f t="shared" si="12"/>
        <v>10526.315789473685</v>
      </c>
      <c r="BW17" s="53">
        <f t="shared" si="12"/>
        <v>10101.010101010101</v>
      </c>
    </row>
    <row r="18" spans="5:75" x14ac:dyDescent="0.15">
      <c r="E18" s="26">
        <v>14</v>
      </c>
      <c r="F18" s="26">
        <f>节奏总纲!$BL17</f>
        <v>13.066802237788149</v>
      </c>
      <c r="G18" s="26">
        <f>数据索引!$E19</f>
        <v>9.820207204022666E-4</v>
      </c>
      <c r="H18" s="26">
        <f>数据索引!J19</f>
        <v>1.6188986043673768E-3</v>
      </c>
      <c r="I18" s="54"/>
      <c r="J18" s="35">
        <v>14</v>
      </c>
      <c r="K18" s="55">
        <v>60</v>
      </c>
      <c r="L18" s="55">
        <f t="shared" si="2"/>
        <v>90</v>
      </c>
      <c r="M18" s="55"/>
      <c r="N18" s="35">
        <v>65</v>
      </c>
      <c r="O18" s="39">
        <f>INT(1/INDEX($G$5:$G$84,$N18)/50)*50</f>
        <v>24000</v>
      </c>
      <c r="P18" s="54">
        <v>24000</v>
      </c>
      <c r="Q18" s="35">
        <f t="shared" si="9"/>
        <v>1200000</v>
      </c>
      <c r="T18" s="35">
        <v>14</v>
      </c>
      <c r="U18" s="50">
        <f>INDEX($Q$5:$Q$21,MATCH(节奏总纲!BQ17,$N$5:$N$21,1))*(U$2+$K$2)*节奏总纲!W17*4*$C$5+U17</f>
        <v>2230155.7642679149</v>
      </c>
      <c r="V18" s="50">
        <f>INDEX($Q$5:$Q$21,MATCH(节奏总纲!BR17,$N$5:$N$21,1))*(V$2+$K$2)*节奏总纲!X17*4*$C$5+V17</f>
        <v>6917691.5701805456</v>
      </c>
      <c r="W18" s="50">
        <f>INDEX($Q$5:$Q$21,MATCH(节奏总纲!BS17,$N$5:$N$21,1))*(W$2+$K$2)*节奏总纲!Y17*4*$C$5+W17</f>
        <v>13740195.802108124</v>
      </c>
      <c r="X18" s="50">
        <f>INDEX($Q$5:$Q$21,MATCH(节奏总纲!BT17,$N$5:$N$21,1))*(X$2+$K$2)*节奏总纲!Z17*4*$C$5+X17</f>
        <v>21194294.921115845</v>
      </c>
      <c r="Y18" s="50">
        <f>INDEX($Q$5:$Q$21,MATCH(节奏总纲!BU17,$N$5:$N$21,1))*(Y$2+$K$2)*节奏总纲!AA17*4*$C$5+Y17</f>
        <v>11737243.408598071</v>
      </c>
      <c r="Z18" s="51">
        <f>SUMIFS($K$5:$K$1004,$J$5:$J$1004,"&lt;="&amp;U$2)*节奏总纲!W17*4+Z17</f>
        <v>655.60632861831539</v>
      </c>
      <c r="AA18" s="51">
        <f>SUMIFS($K$5:$K$1004,$J$5:$J$1004,"&lt;="&amp;V$2)*节奏总纲!X17*4+AA17</f>
        <v>5089.1441258996729</v>
      </c>
      <c r="AB18" s="51">
        <f>SUMIFS($K$5:$K$1004,$J$5:$J$1004,"&lt;="&amp;W$2)*节奏总纲!Y17*4+AB17</f>
        <v>12468.845642726015</v>
      </c>
      <c r="AC18" s="51">
        <f>SUMIFS($K$5:$K$1004,$J$5:$J$1004,"&lt;="&amp;X$2)*节奏总纲!Z17*4+AC17</f>
        <v>19290.167249468141</v>
      </c>
      <c r="AD18" s="51">
        <f>SUMIFS($K$5:$K$1004,$J$5:$J$1004,"&lt;="&amp;Y$2)*节奏总纲!AA17*4+AD17</f>
        <v>10672.746544843279</v>
      </c>
      <c r="AG18" s="35"/>
      <c r="AH18" s="35">
        <v>14</v>
      </c>
      <c r="AI18" s="47">
        <f>'[1]资源-木石铜粮'!AE19-U18</f>
        <v>-3496288.6487998432</v>
      </c>
      <c r="AJ18" s="47">
        <f>'[1]资源-木石铜粮'!AF19-V18</f>
        <v>-6559618.2980299452</v>
      </c>
      <c r="AK18" s="47">
        <f>'[1]资源-木石铜粮'!AG19-W18</f>
        <v>-11372035.231611833</v>
      </c>
      <c r="AL18" s="47">
        <f>'[1]资源-木石铜粮'!AH19-X18</f>
        <v>-19918401.340482224</v>
      </c>
      <c r="AM18" s="47">
        <f>'[1]资源-木石铜粮'!AI19-Y18</f>
        <v>-11392515.738231968</v>
      </c>
      <c r="AN18" s="47">
        <f>(AI18-AI17)*IF($AH18&lt;=10,'[1]功能-付费相关'!S29,'[1]功能-付费相关'!S19)</f>
        <v>52.574206547840781</v>
      </c>
      <c r="AO18" s="47">
        <f>(AJ18-AJ17)*IF($AH18&lt;=10,'[1]功能-付费相关'!T29,'[1]功能-付费相关'!T19)</f>
        <v>-56.4883215616263</v>
      </c>
      <c r="AP18" s="47">
        <f>(AK18-AK17)*IF($AH18&lt;=10,'[1]功能-付费相关'!U29,'[1]功能-付费相关'!U19)</f>
        <v>-246.11670604073666</v>
      </c>
      <c r="AQ18" s="47">
        <f>(AL18-AL17)*IF($AH18&lt;=10,'[1]功能-付费相关'!V29,'[1]功能-付费相关'!V19)</f>
        <v>-2215.0996177318184</v>
      </c>
      <c r="AR18" s="47">
        <f>(AM18-AM17)*IF($AH18&lt;=10,'[1]功能-付费相关'!W29,'[1]功能-付费相关'!W19)</f>
        <v>-1002.8797499434424</v>
      </c>
      <c r="AS18" s="48">
        <f>SUM(AN$5:AN18)/'[1]资源-钻石'!L17</f>
        <v>-0.17050571759284086</v>
      </c>
      <c r="AT18" s="48">
        <f>SUM(AO$5:AO18)/'[1]资源-钻石'!M17</f>
        <v>-0.25833781597146166</v>
      </c>
      <c r="AU18" s="48">
        <f>SUM(AP$5:AP18)/'[1]资源-钻石'!N17</f>
        <v>-0.31386516977803053</v>
      </c>
      <c r="AV18" s="48">
        <f>SUM(AQ$5:AQ18)/'[1]资源-钻石'!O17</f>
        <v>-0.26999833530435663</v>
      </c>
      <c r="AW18" s="48">
        <f>SUM(AR$5:AR18)/'[1]资源-钻石'!P17</f>
        <v>-0.11683693599467329</v>
      </c>
      <c r="AX18" s="35">
        <f>('[1]资源-木石铜粮'!C19+U18)/'[1]资源-木石铜粮'!U19</f>
        <v>1.4531458556597678</v>
      </c>
      <c r="AY18" s="35">
        <f>('[1]资源-木石铜粮'!D19+V18)/'[1]资源-木石铜粮'!V19</f>
        <v>1.7369803519033324</v>
      </c>
      <c r="AZ18" s="35">
        <f>('[1]资源-木石铜粮'!E19+W18)/'[1]资源-木石铜粮'!W19</f>
        <v>2.0822202678761346</v>
      </c>
      <c r="BA18" s="35">
        <f>('[1]资源-木石铜粮'!F19+X18)/'[1]资源-木石铜粮'!X19</f>
        <v>3.2641130749048743</v>
      </c>
      <c r="BB18" s="35">
        <f>('[1]资源-木石铜粮'!G19+Y18)/'[1]资源-木石铜粮'!Y19</f>
        <v>2.6176302782641367</v>
      </c>
      <c r="BE18" s="39">
        <f t="shared" si="3"/>
        <v>2.9397333546050714E-4</v>
      </c>
      <c r="BF18" s="39">
        <f t="shared" si="4"/>
        <v>7.3567086278274922E-4</v>
      </c>
      <c r="BG18" s="39">
        <f t="shared" si="5"/>
        <v>9.0747219488771414E-4</v>
      </c>
      <c r="BH18" s="39">
        <f t="shared" si="6"/>
        <v>9.1015847997138956E-4</v>
      </c>
      <c r="BI18" s="39">
        <f t="shared" si="7"/>
        <v>9.0930605878250775E-4</v>
      </c>
      <c r="BK18" s="39">
        <f>BE18/求节点(节奏总纲!AM$4:AM$83,$G$5:$G$84,节奏总纲!P17)</f>
        <v>0.29462816075587162</v>
      </c>
      <c r="BL18" s="39">
        <f>BF18/求节点(节奏总纲!AN$4:AN$83,$G$5:$G$84,节奏总纲!Q17)</f>
        <v>0.75313463056515395</v>
      </c>
      <c r="BM18" s="39">
        <f>BG18/求节点(节奏总纲!AO$4:AO$83,$G$5:$G$84,节奏总纲!R17)</f>
        <v>0.95031373155747112</v>
      </c>
      <c r="BN18" s="39">
        <f>BH18/求节点(节奏总纲!AP$4:AP$83,$G$5:$G$84,节奏总纲!S17)</f>
        <v>0.97999504791574588</v>
      </c>
      <c r="BO18" s="39">
        <f>BI18/求节点(节奏总纲!AQ$4:AQ$83,$G$5:$G$84,节奏总纲!T17)</f>
        <v>1.0062887499146675</v>
      </c>
    </row>
    <row r="19" spans="5:75" x14ac:dyDescent="0.15">
      <c r="E19" s="26">
        <v>15</v>
      </c>
      <c r="F19" s="26">
        <f>节奏总纲!$BL18</f>
        <v>14.762349831349963</v>
      </c>
      <c r="G19" s="26">
        <f>数据索引!$E20</f>
        <v>9.3042612920893678E-4</v>
      </c>
      <c r="H19" s="26">
        <f>数据索引!J20</f>
        <v>1.5434739894699609E-3</v>
      </c>
      <c r="I19" s="54"/>
      <c r="J19" s="35">
        <v>15</v>
      </c>
      <c r="K19" s="55">
        <v>60</v>
      </c>
      <c r="L19" s="55">
        <f t="shared" si="2"/>
        <v>90</v>
      </c>
      <c r="M19" s="55"/>
      <c r="N19" s="35">
        <v>70</v>
      </c>
      <c r="O19" s="39">
        <f>INT(1/INDEX($G$5:$G$84,$N19)/50)*50</f>
        <v>26600</v>
      </c>
      <c r="P19" s="54">
        <v>26000</v>
      </c>
      <c r="Q19" s="35">
        <f t="shared" si="9"/>
        <v>1300000</v>
      </c>
      <c r="T19" s="35">
        <v>15</v>
      </c>
      <c r="U19" s="50">
        <f>INDEX($Q$5:$Q$21,MATCH(节奏总纲!BQ18,$N$5:$N$21,1))*(U$2+$K$2)*节奏总纲!W18*4*$C$5+U18</f>
        <v>2519273.1774730077</v>
      </c>
      <c r="V19" s="50">
        <f>INDEX($Q$5:$Q$21,MATCH(节奏总纲!BR18,$N$5:$N$21,1))*(V$2+$K$2)*节奏总纲!X18*4*$C$5+V18</f>
        <v>7803163.4070860352</v>
      </c>
      <c r="W19" s="50">
        <f>INDEX($Q$5:$Q$21,MATCH(节奏总纲!BS18,$N$5:$N$21,1))*(W$2+$K$2)*节奏总纲!Y18*4*$C$5+W18</f>
        <v>16253354.017535985</v>
      </c>
      <c r="X19" s="50">
        <f>INDEX($Q$5:$Q$21,MATCH(节奏总纲!BT18,$N$5:$N$21,1))*(X$2+$K$2)*节奏总纲!Z18*4*$C$5+X18</f>
        <v>24895603.94401915</v>
      </c>
      <c r="Y19" s="50">
        <f>INDEX($Q$5:$Q$21,MATCH(节奏总纲!BU18,$N$5:$N$21,1))*(Y$2+$K$2)*节奏总纲!AA18*4*$C$5+Y18</f>
        <v>13860774.311928011</v>
      </c>
      <c r="Z19" s="51">
        <f>SUMIFS($K$5:$K$1004,$J$5:$J$1004,"&lt;="&amp;U$2)*节奏总纲!W18*4+Z18</f>
        <v>731.37084989847597</v>
      </c>
      <c r="AA19" s="51">
        <f>SUMIFS($K$5:$K$1004,$J$5:$J$1004,"&lt;="&amp;V$2)*节奏总纲!X18*4+AA18</f>
        <v>5685.8232612807305</v>
      </c>
      <c r="AB19" s="51">
        <f>SUMIFS($K$5:$K$1004,$J$5:$J$1004,"&lt;="&amp;W$2)*节奏总纲!Y18*4+AB18</f>
        <v>13963.112855006731</v>
      </c>
      <c r="AC19" s="51">
        <f>SUMIFS($K$5:$K$1004,$J$5:$J$1004,"&lt;="&amp;X$2)*节奏总纲!Z18*4+AC18</f>
        <v>21636.143852546615</v>
      </c>
      <c r="AD19" s="51">
        <f>SUMIFS($K$5:$K$1004,$J$5:$J$1004,"&lt;="&amp;Y$2)*节奏总纲!AA18*4+AD18</f>
        <v>12018.690313466643</v>
      </c>
      <c r="AG19" s="35"/>
      <c r="AH19" s="35">
        <v>15</v>
      </c>
      <c r="AI19" s="47">
        <f>'[1]资源-木石铜粮'!AE20-U19</f>
        <v>-3829070.3222881788</v>
      </c>
      <c r="AJ19" s="47">
        <f>'[1]资源-木石铜粮'!AF20-V19</f>
        <v>-7215830.0692660045</v>
      </c>
      <c r="AK19" s="47">
        <f>'[1]资源-木石铜粮'!AG20-W19</f>
        <v>-13160225.184935151</v>
      </c>
      <c r="AL19" s="47">
        <f>'[1]资源-木石铜粮'!AH20-X19</f>
        <v>-23269443.793434788</v>
      </c>
      <c r="AM19" s="47">
        <f>'[1]资源-木石铜粮'!AI20-Y19</f>
        <v>-13259701.435054727</v>
      </c>
      <c r="AN19" s="47">
        <f>(AI19-AI18)*IF($AH19&lt;=10,'[1]功能-付费相关'!S30,'[1]功能-付费相关'!S20)</f>
        <v>-319.05470433235467</v>
      </c>
      <c r="AO19" s="47">
        <f>(AJ19-AJ18)*IF($AH19&lt;=10,'[1]功能-付费相关'!T30,'[1]功能-付费相关'!T20)</f>
        <v>-622.84038997546531</v>
      </c>
      <c r="AP19" s="47">
        <f>(AK19-AK18)*IF($AH19&lt;=10,'[1]功能-付费相关'!U30,'[1]功能-付费相关'!U20)</f>
        <v>-1663.7786565609238</v>
      </c>
      <c r="AQ19" s="47">
        <f>(AL19-AL18)*IF($AH19&lt;=10,'[1]功能-付费相关'!V30,'[1]功能-付费相关'!V20)</f>
        <v>-2920.1845105204789</v>
      </c>
      <c r="AR19" s="47">
        <f>(AM19-AM18)*IF($AH19&lt;=10,'[1]功能-付费相关'!W30,'[1]功能-付费相关'!W20)</f>
        <v>-1567.9322013684703</v>
      </c>
      <c r="AS19" s="48">
        <f>SUM(AN$5:AN19)/'[1]资源-钻石'!L18</f>
        <v>-0.17252646674826838</v>
      </c>
      <c r="AT19" s="48">
        <f>SUM(AO$5:AO19)/'[1]资源-钻石'!M18</f>
        <v>-0.26365895669461165</v>
      </c>
      <c r="AU19" s="48">
        <f>SUM(AP$5:AP19)/'[1]资源-钻石'!N18</f>
        <v>-0.33882250756904592</v>
      </c>
      <c r="AV19" s="48">
        <f>SUM(AQ$5:AQ19)/'[1]资源-钻石'!O18</f>
        <v>-0.28066048496290058</v>
      </c>
      <c r="AW19" s="48">
        <f>SUM(AR$5:AR19)/'[1]资源-钻石'!P18</f>
        <v>-0.12039455351682711</v>
      </c>
      <c r="AX19" s="35">
        <f>('[1]资源-木石铜粮'!C20+U19)/'[1]资源-木石铜粮'!U20</f>
        <v>1.4371144802692264</v>
      </c>
      <c r="AY19" s="35">
        <f>('[1]资源-木石铜粮'!D20+V19)/'[1]资源-木石铜粮'!V20</f>
        <v>1.7107824663959592</v>
      </c>
      <c r="AZ19" s="35">
        <f>('[1]资源-木石铜粮'!E20+W19)/'[1]资源-木石铜粮'!W20</f>
        <v>2.0847355835596755</v>
      </c>
      <c r="BA19" s="35">
        <f>('[1]资源-木石铜粮'!F20+X19)/'[1]资源-木石铜粮'!X20</f>
        <v>3.341614712692043</v>
      </c>
      <c r="BB19" s="35">
        <f>('[1]资源-木石铜粮'!G20+Y19)/'[1]资源-木石铜粮'!Y20</f>
        <v>2.6697081464127099</v>
      </c>
      <c r="BE19" s="39">
        <f t="shared" si="3"/>
        <v>2.9031025949797465E-4</v>
      </c>
      <c r="BF19" s="39">
        <f t="shared" si="4"/>
        <v>7.2865618271141766E-4</v>
      </c>
      <c r="BG19" s="39">
        <f t="shared" si="5"/>
        <v>8.5909116604128118E-4</v>
      </c>
      <c r="BH19" s="39">
        <f t="shared" si="6"/>
        <v>8.6907487366838596E-4</v>
      </c>
      <c r="BI19" s="39">
        <f t="shared" si="7"/>
        <v>8.6710093123180379E-4</v>
      </c>
      <c r="BK19" s="39">
        <f>BE19/求节点(节奏总纲!AM$4:AM$83,$G$5:$G$84,节奏总纲!P18)</f>
        <v>0.29982596605941164</v>
      </c>
      <c r="BL19" s="39">
        <f>BF19/求节点(节奏总纲!AN$4:AN$83,$G$5:$G$84,节奏总纲!Q18)</f>
        <v>0.76866776271682502</v>
      </c>
      <c r="BM19" s="39">
        <f>BG19/求节点(节奏总纲!AO$4:AO$83,$G$5:$G$84,节奏总纲!R18)</f>
        <v>0.92943135467424665</v>
      </c>
      <c r="BN19" s="39">
        <f>BH19/求节点(节奏总纲!AP$4:AP$83,$G$5:$G$84,节奏总纲!S18)</f>
        <v>0.96556163527482297</v>
      </c>
      <c r="BO19" s="39">
        <f>BI19/求节点(节奏总纲!AQ$4:AQ$83,$G$5:$G$84,节奏总纲!T18)</f>
        <v>0.99334194416037325</v>
      </c>
    </row>
    <row r="20" spans="5:75" x14ac:dyDescent="0.15">
      <c r="E20" s="26">
        <v>16</v>
      </c>
      <c r="F20" s="26">
        <f>节奏总纲!$BL19</f>
        <v>16.55360159735687</v>
      </c>
      <c r="G20" s="26">
        <f>数据索引!$E21</f>
        <v>8.8152977730143083E-4</v>
      </c>
      <c r="H20" s="26">
        <f>数据索引!J21</f>
        <v>1.4719302692149632E-3</v>
      </c>
      <c r="I20" s="54"/>
      <c r="J20" s="35">
        <v>16</v>
      </c>
      <c r="K20" s="55">
        <v>60</v>
      </c>
      <c r="L20" s="55">
        <f t="shared" si="2"/>
        <v>90</v>
      </c>
      <c r="M20" s="55"/>
      <c r="N20" s="35">
        <v>75</v>
      </c>
      <c r="O20" s="39">
        <f>INT(1/INDEX($G$5:$G$84,$N20)/50)*50</f>
        <v>28850</v>
      </c>
      <c r="P20" s="54">
        <v>28000</v>
      </c>
      <c r="Q20" s="35">
        <f t="shared" si="9"/>
        <v>1400000</v>
      </c>
      <c r="T20" s="35">
        <v>16</v>
      </c>
      <c r="U20" s="50">
        <f>INDEX($Q$5:$Q$21,MATCH(节奏总纲!BQ19,$N$5:$N$21,1))*(U$2+$K$2)*节奏总纲!W19*4*$C$5+U19</f>
        <v>2829141.5485033663</v>
      </c>
      <c r="V20" s="50">
        <f>INDEX($Q$5:$Q$21,MATCH(节奏总纲!BR19,$N$5:$N$21,1))*(V$2+$K$2)*节奏总纲!X19*4*$C$5+V19</f>
        <v>9143586.7291403543</v>
      </c>
      <c r="W20" s="50">
        <f>INDEX($Q$5:$Q$21,MATCH(节奏总纲!BS19,$N$5:$N$21,1))*(W$2+$K$2)*节奏总纲!Y19*4*$C$5+W19</f>
        <v>18923467.096864965</v>
      </c>
      <c r="X20" s="50">
        <f>INDEX($Q$5:$Q$21,MATCH(节奏总纲!BT19,$N$5:$N$21,1))*(X$2+$K$2)*节奏总纲!Z19*4*$C$5+X19</f>
        <v>28956012.616382781</v>
      </c>
      <c r="Y20" s="50">
        <f>INDEX($Q$5:$Q$21,MATCH(节奏总纲!BU19,$N$5:$N$21,1))*(Y$2+$K$2)*节奏总纲!AA19*4*$C$5+Y19</f>
        <v>16287633.855005881</v>
      </c>
      <c r="Z20" s="51">
        <f>SUMIFS($K$5:$K$1004,$J$5:$J$1004,"&lt;="&amp;U$2)*节奏总纲!W19*4+Z19</f>
        <v>812.57325320831842</v>
      </c>
      <c r="AA20" s="51">
        <f>SUMIFS($K$5:$K$1004,$J$5:$J$1004,"&lt;="&amp;V$2)*节奏总纲!X19*4+AA19</f>
        <v>6331.0019877219702</v>
      </c>
      <c r="AB20" s="51">
        <f>SUMIFS($K$5:$K$1004,$J$5:$J$1004,"&lt;="&amp;W$2)*节奏总纲!Y19*4+AB19</f>
        <v>15550.701890599514</v>
      </c>
      <c r="AC20" s="51">
        <f>SUMIFS($K$5:$K$1004,$J$5:$J$1004,"&lt;="&amp;X$2)*节奏总纲!Z19*4+AC19</f>
        <v>24209.726248763323</v>
      </c>
      <c r="AD20" s="51">
        <f>SUMIFS($K$5:$K$1004,$J$5:$J$1004,"&lt;="&amp;Y$2)*节奏总纲!AA19*4+AD19</f>
        <v>13556.890899202263</v>
      </c>
      <c r="AG20" s="35"/>
      <c r="AH20" s="35">
        <v>16</v>
      </c>
      <c r="AI20" s="47">
        <f>'[1]资源-木石铜粮'!AE21-U20</f>
        <v>-3697148.6996063339</v>
      </c>
      <c r="AJ20" s="47">
        <f>'[1]资源-木石铜粮'!AF21-V20</f>
        <v>-7834133.6459464952</v>
      </c>
      <c r="AK20" s="47">
        <f>'[1]资源-木石铜粮'!AG21-W20</f>
        <v>-14586346.014247024</v>
      </c>
      <c r="AL20" s="47">
        <f>'[1]资源-木石铜粮'!AH21-X20</f>
        <v>-26346111.647348695</v>
      </c>
      <c r="AM20" s="47">
        <f>'[1]资源-木石铜粮'!AI21-Y20</f>
        <v>-14856111.01261726</v>
      </c>
      <c r="AN20" s="47">
        <f>(AI20-AI19)*IF($AH20&lt;=10,'[1]功能-付费相关'!S31,'[1]功能-付费相关'!S21)</f>
        <v>120.09390409634999</v>
      </c>
      <c r="AO20" s="47">
        <f>(AJ20-AJ19)*IF($AH20&lt;=10,'[1]功能-付费相关'!T31,'[1]功能-付费相关'!T21)</f>
        <v>-556.96370528510386</v>
      </c>
      <c r="AP20" s="47">
        <f>(AK20-AK19)*IF($AH20&lt;=10,'[1]功能-付费相关'!U31,'[1]功能-付费相关'!U21)</f>
        <v>-1257.1679770682279</v>
      </c>
      <c r="AQ20" s="47">
        <f>(AL20-AL19)*IF($AH20&lt;=10,'[1]功能-付费相关'!V31,'[1]功能-付费相关'!V21)</f>
        <v>-2530.2333638345758</v>
      </c>
      <c r="AR20" s="47">
        <f>(AM20-AM19)*IF($AH20&lt;=10,'[1]功能-付费相关'!W31,'[1]功能-付费相关'!W21)</f>
        <v>-1263.1686279253504</v>
      </c>
      <c r="AS20" s="48">
        <f>SUM(AN$5:AN20)/'[1]资源-钻石'!L19</f>
        <v>-0.15455024551392238</v>
      </c>
      <c r="AT20" s="48">
        <f>SUM(AO$5:AO20)/'[1]资源-钻石'!M19</f>
        <v>-0.26447286676097392</v>
      </c>
      <c r="AU20" s="48">
        <f>SUM(AP$5:AP20)/'[1]资源-钻石'!N19</f>
        <v>-0.34874436401190662</v>
      </c>
      <c r="AV20" s="48">
        <f>SUM(AQ$5:AQ20)/'[1]资源-钻石'!O19</f>
        <v>-0.28938334208748612</v>
      </c>
      <c r="AW20" s="48">
        <f>SUM(AR$5:AR20)/'[1]资源-钻石'!P19</f>
        <v>-0.11862022330359327</v>
      </c>
      <c r="AX20" s="35">
        <f>('[1]资源-木石铜粮'!C21+U20)/'[1]资源-木石铜粮'!U21</f>
        <v>1.3561285120888287</v>
      </c>
      <c r="AY20" s="35">
        <f>('[1]资源-木石铜粮'!D21+V20)/'[1]资源-木石铜粮'!V21</f>
        <v>1.6529723074796896</v>
      </c>
      <c r="AZ20" s="35">
        <f>('[1]资源-木石铜粮'!E21+W20)/'[1]资源-木石铜粮'!W21</f>
        <v>2.0163081106537675</v>
      </c>
      <c r="BA20" s="35">
        <f>('[1]资源-木石铜粮'!F21+X20)/'[1]资源-木石铜粮'!X21</f>
        <v>3.2317140853098785</v>
      </c>
      <c r="BB20" s="35">
        <f>('[1]资源-木石铜粮'!G21+Y20)/'[1]资源-木石铜粮'!Y21</f>
        <v>2.5698238819587131</v>
      </c>
      <c r="BE20" s="39">
        <f t="shared" si="3"/>
        <v>2.8721548189703509E-4</v>
      </c>
      <c r="BF20" s="39">
        <f t="shared" si="4"/>
        <v>6.923980900782889E-4</v>
      </c>
      <c r="BG20" s="39">
        <f t="shared" si="5"/>
        <v>8.2176811527184606E-4</v>
      </c>
      <c r="BH20" s="39">
        <f t="shared" si="6"/>
        <v>8.360863275444874E-4</v>
      </c>
      <c r="BI20" s="39">
        <f t="shared" si="7"/>
        <v>8.3234256245486851E-4</v>
      </c>
      <c r="BK20" s="39">
        <f>BE20/求节点(节奏总纲!AM$4:AM$83,$G$5:$G$84,节奏总纲!P19)</f>
        <v>0.30555518083017874</v>
      </c>
      <c r="BL20" s="39">
        <f>BF20/求节点(节奏总纲!AN$4:AN$83,$G$5:$G$84,节奏总纲!Q19)</f>
        <v>0.75303584020702707</v>
      </c>
      <c r="BM20" s="39">
        <f>BG20/求节点(节奏总纲!AO$4:AO$83,$G$5:$G$84,节奏总纲!R19)</f>
        <v>0.91611237162204973</v>
      </c>
      <c r="BN20" s="39">
        <f>BH20/求节点(节奏总纲!AP$4:AP$83,$G$5:$G$84,节奏总纲!S19)</f>
        <v>0.95965930744219219</v>
      </c>
      <c r="BO20" s="39">
        <f>BI20/求节点(节奏总纲!AQ$4:AQ$83,$G$5:$G$84,节奏总纲!T19)</f>
        <v>0.98745420100783343</v>
      </c>
    </row>
    <row r="21" spans="5:75" x14ac:dyDescent="0.15">
      <c r="E21" s="26">
        <v>17</v>
      </c>
      <c r="F21" s="26">
        <f>节奏总纲!$BL20</f>
        <v>18.361080760620879</v>
      </c>
      <c r="G21" s="26">
        <f>数据索引!$E22</f>
        <v>8.3536489143314302E-4</v>
      </c>
      <c r="H21" s="26">
        <f>数据索引!J22</f>
        <v>1.4040708036929788E-3</v>
      </c>
      <c r="I21" s="54"/>
      <c r="J21" s="35">
        <v>17</v>
      </c>
      <c r="K21" s="55">
        <v>60</v>
      </c>
      <c r="L21" s="55">
        <f t="shared" si="2"/>
        <v>90</v>
      </c>
      <c r="M21" s="55"/>
      <c r="N21" s="35">
        <v>80</v>
      </c>
      <c r="O21" s="39">
        <f>INT(1/INDEX($G$5:$G$84,$N21)/50)*50</f>
        <v>31150</v>
      </c>
      <c r="P21" s="54">
        <v>30000</v>
      </c>
      <c r="Q21" s="35">
        <f t="shared" si="9"/>
        <v>1500000</v>
      </c>
      <c r="T21" s="35">
        <v>17</v>
      </c>
      <c r="U21" s="50">
        <f>INDEX($Q$5:$Q$21,MATCH(节奏总纲!BQ20,$N$5:$N$21,1))*(U$2+$K$2)*节奏总纲!W20*4*$C$5+U20</f>
        <v>3294093.7242329298</v>
      </c>
      <c r="V21" s="50">
        <f>INDEX($Q$5:$Q$21,MATCH(节奏总纲!BR20,$N$5:$N$21,1))*(V$2+$K$2)*节奏总纲!X20*4*$C$5+V20</f>
        <v>10525454.730259595</v>
      </c>
      <c r="W21" s="50">
        <f>INDEX($Q$5:$Q$21,MATCH(节奏总纲!BS20,$N$5:$N$21,1))*(W$2+$K$2)*节奏总纲!Y20*4*$C$5+W20</f>
        <v>21659348.773278531</v>
      </c>
      <c r="X21" s="50">
        <f>INDEX($Q$5:$Q$21,MATCH(节奏总纲!BT20,$N$5:$N$21,1))*(X$2+$K$2)*节奏总纲!Z20*4*$C$5+X20</f>
        <v>32998485.031400066</v>
      </c>
      <c r="Y21" s="50">
        <f>INDEX($Q$5:$Q$21,MATCH(节奏总纲!BU20,$N$5:$N$21,1))*(Y$2+$K$2)*节奏总纲!AA20*4*$C$5+Y20</f>
        <v>18392433.48415453</v>
      </c>
      <c r="Z21" s="51">
        <f>SUMIFS($K$5:$K$1004,$J$5:$J$1004,"&lt;="&amp;U$2)*节奏总纲!W20*4+Z20</f>
        <v>899.60383416997684</v>
      </c>
      <c r="AA21" s="51">
        <f>SUMIFS($K$5:$K$1004,$J$5:$J$1004,"&lt;="&amp;V$2)*节奏总纲!X20*4+AA20</f>
        <v>6996.1290579564911</v>
      </c>
      <c r="AB21" s="51">
        <f>SUMIFS($K$5:$K$1004,$J$5:$J$1004,"&lt;="&amp;W$2)*节奏总纲!Y20*4+AB20</f>
        <v>17177.395451175205</v>
      </c>
      <c r="AC21" s="51">
        <f>SUMIFS($K$5:$K$1004,$J$5:$J$1004,"&lt;="&amp;X$2)*节奏总纲!Z20*4+AC20</f>
        <v>26771.940223748257</v>
      </c>
      <c r="AD21" s="51">
        <f>SUMIFS($K$5:$K$1004,$J$5:$J$1004,"&lt;="&amp;Y$2)*节奏总纲!AA20*4+AD20</f>
        <v>14890.962346248789</v>
      </c>
      <c r="AG21" s="35"/>
      <c r="AH21" s="35">
        <v>17</v>
      </c>
      <c r="AI21" s="47">
        <f>'[1]资源-木石铜粮'!AE22-U21</f>
        <v>-4160131.1291423263</v>
      </c>
      <c r="AJ21" s="47">
        <f>'[1]资源-木石铜粮'!AF22-V21</f>
        <v>-8896930.4756871983</v>
      </c>
      <c r="AK21" s="47">
        <f>'[1]资源-木石铜粮'!AG22-W21</f>
        <v>-16512406.172876228</v>
      </c>
      <c r="AL21" s="47">
        <f>'[1]资源-木石铜粮'!AH22-X21</f>
        <v>-29662291.594133928</v>
      </c>
      <c r="AM21" s="47">
        <f>'[1]资源-木石铜粮'!AI22-Y21</f>
        <v>-16514750.214910997</v>
      </c>
      <c r="AN21" s="47">
        <f>(AI21-AI20)*IF($AH21&lt;=10,'[1]功能-付费相关'!S32,'[1]功能-付费相关'!S22)</f>
        <v>-390.07554033625843</v>
      </c>
      <c r="AO21" s="47">
        <f>(AJ21-AJ20)*IF($AH21&lt;=10,'[1]功能-付费相关'!T32,'[1]功能-付费相关'!T22)</f>
        <v>-908.7625385750697</v>
      </c>
      <c r="AP21" s="47">
        <f>(AK21-AK20)*IF($AH21&lt;=10,'[1]功能-付费相关'!U32,'[1]功能-付费相关'!U22)</f>
        <v>-1608.9630353069865</v>
      </c>
      <c r="AQ21" s="47">
        <f>(AL21-AL20)*IF($AH21&lt;=10,'[1]功能-付费相关'!V32,'[1]功能-付费相关'!V22)</f>
        <v>-2576.6506086455743</v>
      </c>
      <c r="AR21" s="47">
        <f>(AM21-AM20)*IF($AH21&lt;=10,'[1]功能-付费相关'!W32,'[1]功能-付费相关'!W22)</f>
        <v>-1239.8408857641762</v>
      </c>
      <c r="AS21" s="48">
        <f>SUM(AN$5:AN21)/'[1]资源-钻石'!L20</f>
        <v>-0.15865486639964221</v>
      </c>
      <c r="AT21" s="48">
        <f>SUM(AO$5:AO21)/'[1]资源-钻石'!M20</f>
        <v>-0.27627116462125811</v>
      </c>
      <c r="AU21" s="48">
        <f>SUM(AP$5:AP21)/'[1]资源-钻石'!N20</f>
        <v>-0.36538069584407024</v>
      </c>
      <c r="AV21" s="48">
        <f>SUM(AQ$5:AQ21)/'[1]资源-钻石'!O20</f>
        <v>-0.30367119201284748</v>
      </c>
      <c r="AW21" s="48">
        <f>SUM(AR$5:AR21)/'[1]资源-钻石'!P20</f>
        <v>-0.11861437456407803</v>
      </c>
      <c r="AX21" s="35">
        <f>('[1]资源-木石铜粮'!C22+U21)/'[1]资源-木石铜粮'!U22</f>
        <v>1.3550506146879531</v>
      </c>
      <c r="AY21" s="35">
        <f>('[1]资源-木石铜粮'!D22+V21)/'[1]资源-木石铜粮'!V22</f>
        <v>1.6579886047006314</v>
      </c>
      <c r="AZ21" s="35">
        <f>('[1]资源-木石铜粮'!E22+W21)/'[1]资源-木石铜粮'!W22</f>
        <v>2.0151127283235755</v>
      </c>
      <c r="BA21" s="35">
        <f>('[1]资源-木石铜粮'!F22+X21)/'[1]资源-木石铜粮'!X22</f>
        <v>3.2070436405515861</v>
      </c>
      <c r="BB21" s="35">
        <f>('[1]资源-木石铜粮'!G22+Y21)/'[1]资源-木石铜粮'!Y22</f>
        <v>2.5604037875024281</v>
      </c>
      <c r="BE21" s="39">
        <f t="shared" si="3"/>
        <v>2.7309600438872172E-4</v>
      </c>
      <c r="BF21" s="39">
        <f t="shared" si="4"/>
        <v>6.6468663228804196E-4</v>
      </c>
      <c r="BG21" s="39">
        <f t="shared" si="5"/>
        <v>7.930707257628734E-4</v>
      </c>
      <c r="BH21" s="39">
        <f t="shared" si="6"/>
        <v>8.1130816151932814E-4</v>
      </c>
      <c r="BI21" s="39">
        <f t="shared" si="7"/>
        <v>8.0962436857948497E-4</v>
      </c>
      <c r="BK21" s="39">
        <f>BE21/求节点(节奏总纲!AM$4:AM$83,$G$5:$G$84,节奏总纲!P20)</f>
        <v>0.29885077475717003</v>
      </c>
      <c r="BL21" s="39">
        <f>BF21/求节点(节奏总纲!AN$4:AN$83,$G$5:$G$84,节奏总纲!Q20)</f>
        <v>0.74371439690969876</v>
      </c>
      <c r="BM21" s="39">
        <f>BG21/求节点(节奏总纲!AO$4:AO$83,$G$5:$G$84,节奏总纲!R20)</f>
        <v>0.90993844796327639</v>
      </c>
      <c r="BN21" s="39">
        <f>BH21/求节点(节奏总纲!AP$4:AP$83,$G$5:$G$84,节奏总纲!S20)</f>
        <v>0.95870908436376101</v>
      </c>
      <c r="BO21" s="39">
        <f>BI21/求节点(节奏总纲!AQ$4:AQ$83,$G$5:$G$84,节奏总纲!T20)</f>
        <v>0.98694125882995221</v>
      </c>
    </row>
    <row r="22" spans="5:75" x14ac:dyDescent="0.15">
      <c r="E22" s="26">
        <v>18</v>
      </c>
      <c r="F22" s="26">
        <f>节奏总纲!$BL21</f>
        <v>20.31364557414641</v>
      </c>
      <c r="G22" s="26">
        <f>数据索引!$E23</f>
        <v>7.9095515169324226E-4</v>
      </c>
      <c r="H22" s="26">
        <f>数据索引!J23</f>
        <v>1.3395342003163096E-3</v>
      </c>
      <c r="I22" s="54"/>
      <c r="J22" s="35">
        <v>18</v>
      </c>
      <c r="K22" s="55">
        <v>60</v>
      </c>
      <c r="L22" s="55">
        <f t="shared" si="2"/>
        <v>90</v>
      </c>
      <c r="M22" s="55"/>
      <c r="T22" s="35">
        <v>18</v>
      </c>
      <c r="U22" s="50">
        <f>INDEX($Q$5:$Q$21,MATCH(节奏总纲!BQ21,$N$5:$N$21,1))*(U$2+$K$2)*节奏总纲!W21*4*$C$5+U21</f>
        <v>3792417.1275283876</v>
      </c>
      <c r="V22" s="50">
        <f>INDEX($Q$5:$Q$21,MATCH(节奏总纲!BR21,$N$5:$N$21,1))*(V$2+$K$2)*节奏总纲!X21*4*$C$5+V21</f>
        <v>12082685.382476032</v>
      </c>
      <c r="W22" s="50">
        <f>INDEX($Q$5:$Q$21,MATCH(节奏总纲!BS21,$N$5:$N$21,1))*(W$2+$K$2)*节奏总纲!Y21*4*$C$5+W21</f>
        <v>24902849.569003809</v>
      </c>
      <c r="X22" s="50">
        <f>INDEX($Q$5:$Q$21,MATCH(节奏总纲!BT21,$N$5:$N$21,1))*(X$2+$K$2)*节奏总纲!Z21*4*$C$5+X21</f>
        <v>37762039.379949622</v>
      </c>
      <c r="Y22" s="50">
        <f>INDEX($Q$5:$Q$21,MATCH(节奏总纲!BU21,$N$5:$N$21,1))*(Y$2+$K$2)*节奏总纲!AA21*4*$C$5+Y21</f>
        <v>20998088.944371484</v>
      </c>
      <c r="Z22" s="51">
        <f>SUMIFS($K$5:$K$1004,$J$5:$J$1004,"&lt;="&amp;U$2)*节奏总纲!W21*4+Z21</f>
        <v>992.88090127379871</v>
      </c>
      <c r="AA22" s="51">
        <f>SUMIFS($K$5:$K$1004,$J$5:$J$1004,"&lt;="&amp;V$2)*节奏总纲!X21*4+AA21</f>
        <v>7745.6624870171563</v>
      </c>
      <c r="AB22" s="51">
        <f>SUMIFS($K$5:$K$1004,$J$5:$J$1004,"&lt;="&amp;W$2)*节奏总纲!Y21*4+AB21</f>
        <v>19105.907895121582</v>
      </c>
      <c r="AC22" s="51">
        <f>SUMIFS($K$5:$K$1004,$J$5:$J$1004,"&lt;="&amp;X$2)*节奏总纲!Z21*4+AC21</f>
        <v>29791.19286654007</v>
      </c>
      <c r="AD22" s="51">
        <f>SUMIFS($K$5:$K$1004,$J$5:$J$1004,"&lt;="&amp;Y$2)*节奏总纲!AA21*4+AD21</f>
        <v>16542.487984212883</v>
      </c>
      <c r="AG22" s="35"/>
      <c r="AH22" s="35">
        <v>18</v>
      </c>
      <c r="AI22" s="47">
        <f>'[1]资源-木石铜粮'!AE23-U22</f>
        <v>-4129731.4955107546</v>
      </c>
      <c r="AJ22" s="47">
        <f>'[1]资源-木石铜粮'!AF23-V22</f>
        <v>-9515620.9255535919</v>
      </c>
      <c r="AK22" s="47">
        <f>'[1]资源-木石铜粮'!AG23-W22</f>
        <v>-18296417.206879839</v>
      </c>
      <c r="AL22" s="47">
        <f>'[1]资源-木石铜粮'!AH23-X22</f>
        <v>-33043039.965222955</v>
      </c>
      <c r="AM22" s="47">
        <f>'[1]资源-木石铜粮'!AI23-Y22</f>
        <v>-17996444.946741372</v>
      </c>
      <c r="AN22" s="47">
        <f>(AI22-AI21)*IF($AH22&lt;=10,'[1]功能-付费相关'!S33,'[1]功能-付费相关'!S23)</f>
        <v>23.664839147148403</v>
      </c>
      <c r="AO22" s="47">
        <f>(AJ22-AJ21)*IF($AH22&lt;=10,'[1]功能-付费相关'!T33,'[1]功能-付费相关'!T23)</f>
        <v>-495.27470531582799</v>
      </c>
      <c r="AP22" s="47">
        <f>(AK22-AK21)*IF($AH22&lt;=10,'[1]功能-付费相关'!U33,'[1]功能-付费相关'!U23)</f>
        <v>-1411.0727180227445</v>
      </c>
      <c r="AQ22" s="47">
        <f>(AL22-AL21)*IF($AH22&lt;=10,'[1]功能-付费相关'!V33,'[1]功能-付费相关'!V23)</f>
        <v>-2486.6658109328487</v>
      </c>
      <c r="AR22" s="47">
        <f>(AM22-AM21)*IF($AH22&lt;=10,'[1]功能-付费相关'!W33,'[1]功能-付费相关'!W23)</f>
        <v>-1044.6285400460583</v>
      </c>
      <c r="AS22" s="48">
        <f>SUM(AN$5:AN22)/'[1]资源-钻石'!L21</f>
        <v>-0.14615731305120991</v>
      </c>
      <c r="AT22" s="48">
        <f>SUM(AO$5:AO22)/'[1]资源-钻石'!M21</f>
        <v>-0.27151613274771286</v>
      </c>
      <c r="AU22" s="48">
        <f>SUM(AP$5:AP22)/'[1]资源-钻石'!N21</f>
        <v>-0.37139865691397561</v>
      </c>
      <c r="AV22" s="48">
        <f>SUM(AQ$5:AQ22)/'[1]资源-钻石'!O21</f>
        <v>-0.31246855234352811</v>
      </c>
      <c r="AW22" s="48">
        <f>SUM(AR$5:AR22)/'[1]资源-钻石'!P21</f>
        <v>-0.11482798790159111</v>
      </c>
      <c r="AX22" s="35">
        <f>('[1]资源-木石铜粮'!C23+U22)/'[1]资源-木石铜粮'!U23</f>
        <v>1.3007589277630174</v>
      </c>
      <c r="AY22" s="35">
        <f>('[1]资源-木石铜粮'!D23+V22)/'[1]资源-木石铜粮'!V23</f>
        <v>1.5999326203692397</v>
      </c>
      <c r="AZ22" s="35">
        <f>('[1]资源-木石铜粮'!E23+W22)/'[1]资源-木石铜粮'!W23</f>
        <v>1.9618410004283244</v>
      </c>
      <c r="BA22" s="35">
        <f>('[1]资源-木石铜粮'!F23+X22)/'[1]资源-木石铜粮'!X23</f>
        <v>3.0779944515203881</v>
      </c>
      <c r="BB22" s="35">
        <f>('[1]资源-木石铜粮'!G23+Y22)/'[1]资源-木石铜粮'!Y23</f>
        <v>2.4402808119875945</v>
      </c>
      <c r="BE22" s="39">
        <f t="shared" si="3"/>
        <v>2.6180688143893178E-4</v>
      </c>
      <c r="BF22" s="39">
        <f t="shared" si="4"/>
        <v>6.4105471936321196E-4</v>
      </c>
      <c r="BG22" s="39">
        <f t="shared" si="5"/>
        <v>7.6721773715817678E-4</v>
      </c>
      <c r="BH22" s="39">
        <f t="shared" si="6"/>
        <v>7.8891906675883068E-4</v>
      </c>
      <c r="BI22" s="39">
        <f t="shared" si="7"/>
        <v>7.878092157832811E-4</v>
      </c>
      <c r="BK22" s="39">
        <f>BE22/求节点(节奏总纲!AM$4:AM$83,$G$5:$G$84,节奏总纲!P21)</f>
        <v>0.29488274327105291</v>
      </c>
      <c r="BL22" s="39">
        <f>BF22/求节点(节奏总纲!AN$4:AN$83,$G$5:$G$84,节奏总纲!Q21)</f>
        <v>0.73843177678075311</v>
      </c>
      <c r="BM22" s="39">
        <f>BG22/求节点(节奏总纲!AO$4:AO$83,$G$5:$G$84,节奏总纲!R21)</f>
        <v>0.90784091812889089</v>
      </c>
      <c r="BN22" s="39">
        <f>BH22/求节点(节奏总纲!AP$4:AP$83,$G$5:$G$84,节奏总纲!S21)</f>
        <v>0.96178750274681846</v>
      </c>
      <c r="BO22" s="39">
        <f>BI22/求节点(节奏总纲!AQ$4:AQ$83,$G$5:$G$84,节奏总纲!T21)</f>
        <v>0.99205052772019131</v>
      </c>
    </row>
    <row r="23" spans="5:75" x14ac:dyDescent="0.15">
      <c r="E23" s="26">
        <v>19</v>
      </c>
      <c r="F23" s="26">
        <f>节奏总纲!$BL22</f>
        <v>22.270075478919804</v>
      </c>
      <c r="G23" s="26">
        <f>数据索引!$E24</f>
        <v>6.2145183906211999E-4</v>
      </c>
      <c r="H23" s="26">
        <f>数据索引!J24</f>
        <v>1.2782781061040618E-3</v>
      </c>
      <c r="I23" s="54"/>
      <c r="J23" s="35">
        <v>19</v>
      </c>
      <c r="K23" s="55">
        <v>60</v>
      </c>
      <c r="L23" s="55">
        <f t="shared" si="2"/>
        <v>90</v>
      </c>
      <c r="M23" s="55"/>
      <c r="T23" s="35">
        <v>19</v>
      </c>
      <c r="U23" s="50">
        <f>INDEX($Q$5:$Q$21,MATCH(节奏总纲!BQ22,$N$5:$N$21,1))*(U$2+$K$2)*节奏总纲!W22*4*$C$5+U22</f>
        <v>4326506.92694123</v>
      </c>
      <c r="V23" s="50">
        <f>INDEX($Q$5:$Q$21,MATCH(节奏总纲!BR22,$N$5:$N$21,1))*(V$2+$K$2)*节奏总纲!X22*4*$C$5+V22</f>
        <v>13741832.75316513</v>
      </c>
      <c r="W23" s="50">
        <f>INDEX($Q$5:$Q$21,MATCH(节奏总纲!BS22,$N$5:$N$21,1))*(W$2+$K$2)*节奏总纲!Y22*4*$C$5+W22</f>
        <v>28207816.504400734</v>
      </c>
      <c r="X23" s="50">
        <f>INDEX($Q$5:$Q$21,MATCH(节奏总纲!BT22,$N$5:$N$21,1))*(X$2+$K$2)*节奏总纲!Z22*4*$C$5+X22</f>
        <v>42543785.042647131</v>
      </c>
      <c r="Y23" s="50">
        <f>INDEX($Q$5:$Q$21,MATCH(节奏总纲!BU22,$N$5:$N$21,1))*(Y$2+$K$2)*节奏总纲!AA22*4*$C$5+Y22</f>
        <v>23773436.524246819</v>
      </c>
      <c r="Z23" s="51">
        <f>SUMIFS($K$5:$K$1004,$J$5:$J$1004,"&lt;="&amp;U$2)*节奏总纲!W22*4+Z22</f>
        <v>1092.8527864588921</v>
      </c>
      <c r="AA23" s="51">
        <f>SUMIFS($K$5:$K$1004,$J$5:$J$1004,"&lt;="&amp;V$2)*节奏总纲!X22*4+AA22</f>
        <v>8544.250940371554</v>
      </c>
      <c r="AB23" s="51">
        <f>SUMIFS($K$5:$K$1004,$J$5:$J$1004,"&lt;="&amp;W$2)*节奏总纲!Y22*4+AB22</f>
        <v>21070.966719877957</v>
      </c>
      <c r="AC23" s="51">
        <f>SUMIFS($K$5:$K$1004,$J$5:$J$1004,"&lt;="&amp;X$2)*节奏总纲!Z22*4+AC22</f>
        <v>32821.975591555842</v>
      </c>
      <c r="AD23" s="51">
        <f>SUMIFS($K$5:$K$1004,$J$5:$J$1004,"&lt;="&amp;Y$2)*节奏总纲!AA22*4+AD22</f>
        <v>18301.568473712476</v>
      </c>
      <c r="AG23" s="35"/>
      <c r="AH23" s="35">
        <v>19</v>
      </c>
      <c r="AI23" s="47">
        <f>'[1]资源-木石铜粮'!AE24-U23</f>
        <v>-4725230.8303696653</v>
      </c>
      <c r="AJ23" s="47">
        <f>'[1]资源-木石铜粮'!AF24-V23</f>
        <v>-10764020.234848998</v>
      </c>
      <c r="AK23" s="47">
        <f>'[1]资源-木石铜粮'!AG24-W23</f>
        <v>-20645335.903121047</v>
      </c>
      <c r="AL23" s="47">
        <f>'[1]资源-木石铜粮'!AH24-X23</f>
        <v>-36912051.176461115</v>
      </c>
      <c r="AM23" s="47">
        <f>'[1]资源-木石铜粮'!AI24-Y23</f>
        <v>-19890658.805400886</v>
      </c>
      <c r="AN23" s="47">
        <f>(AI23-AI22)*IF($AH23&lt;=10,'[1]功能-付费相关'!S34,'[1]功能-付费相关'!S24)</f>
        <v>-360.7116357652173</v>
      </c>
      <c r="AO23" s="47">
        <f>(AJ23-AJ22)*IF($AH23&lt;=10,'[1]功能-付费相关'!T34,'[1]功能-付费相关'!T24)</f>
        <v>-772.64277576889901</v>
      </c>
      <c r="AP23" s="47">
        <f>(AK23-AK22)*IF($AH23&lt;=10,'[1]功能-付费相关'!U34,'[1]功能-付费相关'!U24)</f>
        <v>-1459.7398435864955</v>
      </c>
      <c r="AQ23" s="47">
        <f>(AL23-AL22)*IF($AH23&lt;=10,'[1]功能-付费相关'!V34,'[1]功能-付费相关'!V24)</f>
        <v>-2241.5818448950381</v>
      </c>
      <c r="AR23" s="47">
        <f>(AM23-AM22)*IF($AH23&lt;=10,'[1]功能-付费相关'!W34,'[1]功能-付费相关'!W24)</f>
        <v>-1052.8994569934196</v>
      </c>
      <c r="AS23" s="48">
        <f>SUM(AN$5:AN23)/'[1]资源-钻石'!L22</f>
        <v>-0.14783551062979522</v>
      </c>
      <c r="AT23" s="48">
        <f>SUM(AO$5:AO23)/'[1]资源-钻石'!M22</f>
        <v>-0.27413568127777949</v>
      </c>
      <c r="AU23" s="48">
        <f>SUM(AP$5:AP23)/'[1]资源-钻石'!N22</f>
        <v>-0.37717839228951788</v>
      </c>
      <c r="AV23" s="48">
        <f>SUM(AQ$5:AQ23)/'[1]资源-钻石'!O22</f>
        <v>-0.31760254192645687</v>
      </c>
      <c r="AW23" s="48">
        <f>SUM(AR$5:AR23)/'[1]资源-钻石'!P22</f>
        <v>-0.11113004441994322</v>
      </c>
      <c r="AX23" s="35">
        <f>('[1]资源-木石铜粮'!C24+U23)/'[1]资源-木石铜粮'!U24</f>
        <v>1.3070769981481645</v>
      </c>
      <c r="AY23" s="35">
        <f>('[1]资源-木石铜粮'!D24+V23)/'[1]资源-木石铜粮'!V24</f>
        <v>1.6021558381167686</v>
      </c>
      <c r="AZ23" s="35">
        <f>('[1]资源-木石铜粮'!E24+W23)/'[1]资源-木石铜粮'!W24</f>
        <v>1.9641624691747779</v>
      </c>
      <c r="BA23" s="35">
        <f>('[1]资源-木石铜粮'!F24+X23)/'[1]资源-木石铜粮'!X24</f>
        <v>3.0538207382964382</v>
      </c>
      <c r="BB23" s="35">
        <f>('[1]资源-木石铜粮'!G24+Y23)/'[1]资源-木石铜粮'!Y24</f>
        <v>2.398261113996969</v>
      </c>
      <c r="BE23" s="39">
        <f t="shared" si="3"/>
        <v>2.525947155322183E-4</v>
      </c>
      <c r="BF23" s="39">
        <f t="shared" si="4"/>
        <v>6.2176938795908238E-4</v>
      </c>
      <c r="BG23" s="39">
        <f t="shared" si="5"/>
        <v>7.469903498766255E-4</v>
      </c>
      <c r="BH23" s="39">
        <f t="shared" si="6"/>
        <v>7.7148696475064769E-4</v>
      </c>
      <c r="BI23" s="39">
        <f t="shared" si="7"/>
        <v>7.6983268510829228E-4</v>
      </c>
      <c r="BK23" s="39">
        <f>BE23/求节点(节奏总纲!AM$4:AM$83,$G$5:$G$84,节奏总纲!P22)</f>
        <v>0.292241332245472</v>
      </c>
      <c r="BL23" s="39">
        <f>BF23/求节点(节奏总纲!AN$4:AN$83,$G$5:$G$84,节奏总纲!Q22)</f>
        <v>0.73715363811846202</v>
      </c>
      <c r="BM23" s="39">
        <f>BG23/求节点(节奏总纲!AO$4:AO$83,$G$5:$G$84,节奏总纲!R22)</f>
        <v>0.90947670012193627</v>
      </c>
      <c r="BN23" s="39">
        <f>BH23/求节点(节奏总纲!AP$4:AP$83,$G$5:$G$84,节奏总纲!S22)</f>
        <v>0.96894984979419108</v>
      </c>
      <c r="BO23" s="39">
        <f>BI23/求节点(节奏总纲!AQ$4:AQ$83,$G$5:$G$84,节奏总纲!T22)</f>
        <v>1.0828726967221516</v>
      </c>
    </row>
    <row r="24" spans="5:75" x14ac:dyDescent="0.15">
      <c r="E24" s="26">
        <v>20</v>
      </c>
      <c r="F24" s="26">
        <f>节奏总纲!$BL23</f>
        <v>24.291601023356559</v>
      </c>
      <c r="G24" s="26">
        <f>数据索引!$E25</f>
        <v>5.8464482967224816E-4</v>
      </c>
      <c r="H24" s="26">
        <f>数据索引!J25</f>
        <v>1.2046585010427693E-3</v>
      </c>
      <c r="I24" s="54"/>
      <c r="J24" s="35">
        <v>20</v>
      </c>
      <c r="K24" s="55">
        <v>60</v>
      </c>
      <c r="L24" s="55">
        <f t="shared" si="2"/>
        <v>90</v>
      </c>
      <c r="M24" s="55"/>
      <c r="T24" s="35">
        <v>20</v>
      </c>
      <c r="U24" s="50">
        <f>INDEX($Q$5:$Q$21,MATCH(节奏总纲!BQ23,$N$5:$N$21,1))*(U$2+$K$2)*节奏总纲!W23*4*$C$5+U23</f>
        <v>4898930.2005632464</v>
      </c>
      <c r="V24" s="50">
        <f>INDEX($Q$5:$Q$21,MATCH(节奏总纲!BR23,$N$5:$N$21,1))*(V$2+$K$2)*节奏总纲!X23*4*$C$5+V23</f>
        <v>15464306.631449185</v>
      </c>
      <c r="W24" s="50">
        <f>INDEX($Q$5:$Q$21,MATCH(节奏总纲!BS23,$N$5:$N$21,1))*(W$2+$K$2)*节奏总纲!Y23*4*$C$5+W23</f>
        <v>31589702.695795327</v>
      </c>
      <c r="X24" s="50">
        <f>INDEX($Q$5:$Q$21,MATCH(节奏总纲!BT23,$N$5:$N$21,1))*(X$2+$K$2)*节奏总纲!Z23*4*$C$5+X23</f>
        <v>47599300.4316497</v>
      </c>
      <c r="Y24" s="50">
        <f>INDEX($Q$5:$Q$21,MATCH(节奏总纲!BU23,$N$5:$N$21,1))*(Y$2+$K$2)*节奏总纲!AA23*4*$C$5+Y23</f>
        <v>26550473.907047652</v>
      </c>
      <c r="Z24" s="51">
        <f>SUMIFS($K$5:$K$1004,$J$5:$J$1004,"&lt;="&amp;U$2)*节奏总纲!W23*4+Z23</f>
        <v>1200.0000000000002</v>
      </c>
      <c r="AA24" s="51">
        <f>SUMIFS($K$5:$K$1004,$J$5:$J$1004,"&lt;="&amp;V$2)*节奏总纲!X23*4+AA23</f>
        <v>9373.3199999999979</v>
      </c>
      <c r="AB24" s="51">
        <f>SUMIFS($K$5:$K$1004,$J$5:$J$1004,"&lt;="&amp;W$2)*节奏总纲!Y23*4+AB23</f>
        <v>23081.760000000002</v>
      </c>
      <c r="AC24" s="51">
        <f>SUMIFS($K$5:$K$1004,$J$5:$J$1004,"&lt;="&amp;X$2)*节奏总纲!Z23*4+AC23</f>
        <v>36026.28</v>
      </c>
      <c r="AD24" s="51">
        <f>SUMIFS($K$5:$K$1004,$J$5:$J$1004,"&lt;="&amp;Y$2)*节奏总纲!AA23*4+AD23</f>
        <v>20061.719999999998</v>
      </c>
      <c r="AG24" s="35"/>
      <c r="AH24" s="35">
        <v>20</v>
      </c>
      <c r="AI24" s="47">
        <f>'[1]资源-木石铜粮'!AE25-U24</f>
        <v>-5382003.068011133</v>
      </c>
      <c r="AJ24" s="47">
        <f>'[1]资源-木石铜粮'!AF25-V24</f>
        <v>-12029507.451277338</v>
      </c>
      <c r="AK24" s="47">
        <f>'[1]资源-木石铜粮'!AG25-W24</f>
        <v>-22789548.548333541</v>
      </c>
      <c r="AL24" s="47">
        <f>'[1]资源-木石铜粮'!AH25-X24</f>
        <v>-40837160.868540779</v>
      </c>
      <c r="AM24" s="47">
        <f>'[1]资源-木石铜粮'!AI25-Y24</f>
        <v>-21659284.492575474</v>
      </c>
      <c r="AN24" s="47">
        <f>(AI24-AI23)*IF($AH24&lt;=10,'[1]功能-付费相关'!S35,'[1]功能-付费相关'!S25)</f>
        <v>-369.07506390661439</v>
      </c>
      <c r="AO24" s="47">
        <f>(AJ24-AJ23)*IF($AH24&lt;=10,'[1]功能-付费相关'!T35,'[1]功能-付费相关'!T25)</f>
        <v>-728.29411438838508</v>
      </c>
      <c r="AP24" s="47">
        <f>(AK24-AK23)*IF($AH24&lt;=10,'[1]功能-付费相关'!U35,'[1]功能-付费相关'!U25)</f>
        <v>-1253.6028367413392</v>
      </c>
      <c r="AQ24" s="47">
        <f>(AL24-AL23)*IF($AH24&lt;=10,'[1]功能-付费相关'!V35,'[1]功能-付费相关'!V25)</f>
        <v>-2160.4730677111438</v>
      </c>
      <c r="AR24" s="47">
        <f>(AM24-AM23)*IF($AH24&lt;=10,'[1]功能-付费相关'!W35,'[1]功能-付费相关'!W25)</f>
        <v>-932.05922181419487</v>
      </c>
      <c r="AS24" s="48">
        <f>SUM(AN$5:AN24)/'[1]资源-钻石'!L23</f>
        <v>-0.14882714708405786</v>
      </c>
      <c r="AT24" s="48">
        <f>SUM(AO$5:AO24)/'[1]资源-钻石'!M23</f>
        <v>-0.27452662034467867</v>
      </c>
      <c r="AU24" s="48">
        <f>SUM(AP$5:AP24)/'[1]资源-钻石'!N23</f>
        <v>-0.37763358525053897</v>
      </c>
      <c r="AV24" s="48">
        <f>SUM(AQ$5:AQ24)/'[1]资源-钻石'!O23</f>
        <v>-0.32035062290299399</v>
      </c>
      <c r="AW24" s="48">
        <f>SUM(AR$5:AR24)/'[1]资源-钻石'!P23</f>
        <v>-0.10730648197768872</v>
      </c>
      <c r="AX24" s="35">
        <f>('[1]资源-木石铜粮'!C25+U24)/'[1]资源-木石铜粮'!U25</f>
        <v>1.3129096412259389</v>
      </c>
      <c r="AY24" s="35">
        <f>('[1]资源-木石铜粮'!D25+V24)/'[1]资源-木石铜粮'!V25</f>
        <v>1.5995716773946276</v>
      </c>
      <c r="AZ24" s="35">
        <f>('[1]资源-木石铜粮'!E25+W24)/'[1]资源-木石铜粮'!W25</f>
        <v>1.942901445609684</v>
      </c>
      <c r="BA24" s="35">
        <f>('[1]资源-木石铜粮'!F25+X24)/'[1]资源-木石铜粮'!X25</f>
        <v>3.0030553811997951</v>
      </c>
      <c r="BB24" s="35">
        <f>('[1]资源-木石铜粮'!G25+Y24)/'[1]资源-木石铜粮'!Y25</f>
        <v>2.3451102341431995</v>
      </c>
      <c r="BE24" s="39">
        <f t="shared" si="3"/>
        <v>2.4495143855326459E-4</v>
      </c>
      <c r="BF24" s="39">
        <f t="shared" si="4"/>
        <v>6.0612610855360471E-4</v>
      </c>
      <c r="BG24" s="39">
        <f t="shared" si="5"/>
        <v>7.3067354328321186E-4</v>
      </c>
      <c r="BH24" s="39">
        <f t="shared" si="6"/>
        <v>7.5686574536388412E-4</v>
      </c>
      <c r="BI24" s="39">
        <f t="shared" si="7"/>
        <v>7.5560685169821936E-4</v>
      </c>
      <c r="BK24" s="39">
        <f>BE24/求节点(节奏总纲!AM$4:AM$83,$G$5:$G$84,节奏总纲!P23)</f>
        <v>0.29142949185444339</v>
      </c>
      <c r="BL24" s="39">
        <f>BF24/求节点(节奏总纲!AN$4:AN$83,$G$5:$G$84,节奏总纲!Q23)</f>
        <v>0.73816224830193855</v>
      </c>
      <c r="BM24" s="39">
        <f>BG24/求节点(节奏总纲!AO$4:AO$83,$G$5:$G$84,节奏总纲!R23)</f>
        <v>0.9146220327865322</v>
      </c>
      <c r="BN24" s="39">
        <f>BH24/求节点(节奏总纲!AP$4:AP$83,$G$5:$G$84,节奏总纲!S23)</f>
        <v>1.0429178446149709</v>
      </c>
      <c r="BO24" s="39">
        <f>BI24/求节点(节奏总纲!AQ$4:AQ$83,$G$5:$G$84,节奏总纲!T23)</f>
        <v>1.2161859687769681</v>
      </c>
    </row>
    <row r="25" spans="5:75" x14ac:dyDescent="0.15">
      <c r="E25" s="26">
        <v>21</v>
      </c>
      <c r="F25" s="26">
        <f>节奏总纲!$BL24</f>
        <v>26.374084715154964</v>
      </c>
      <c r="G25" s="26">
        <f>数据索引!$E26</f>
        <v>5.4471884860826344E-4</v>
      </c>
      <c r="H25" s="26">
        <f>数据索引!J26</f>
        <v>1.1196357903908731E-3</v>
      </c>
      <c r="I25" s="54"/>
      <c r="J25" s="35">
        <v>21</v>
      </c>
      <c r="K25" s="55">
        <v>60</v>
      </c>
      <c r="L25" s="55">
        <f t="shared" si="2"/>
        <v>90</v>
      </c>
      <c r="M25" s="55"/>
      <c r="P25" s="26">
        <v>45</v>
      </c>
      <c r="Q25" s="26">
        <v>50</v>
      </c>
      <c r="R25" s="26">
        <v>55</v>
      </c>
      <c r="S25" s="26">
        <v>60</v>
      </c>
      <c r="T25" s="35">
        <v>21</v>
      </c>
      <c r="U25" s="50">
        <f>INDEX($Q$5:$Q$21,MATCH(节奏总纲!BQ24,$N$5:$N$21,1))*(U$2+$K$2)*节奏总纲!W24*4*$C$5+U24</f>
        <v>5512438.2745694742</v>
      </c>
      <c r="V25" s="50">
        <f>INDEX($Q$5:$Q$21,MATCH(节奏总纲!BR24,$N$5:$N$21,1))*(V$2+$K$2)*节奏总纲!X24*4*$C$5+V24</f>
        <v>17320553.824976496</v>
      </c>
      <c r="W25" s="50">
        <f>INDEX($Q$5:$Q$21,MATCH(节奏总纲!BS24,$N$5:$N$21,1))*(W$2+$K$2)*节奏总纲!Y24*4*$C$5+W24</f>
        <v>35394300.435076222</v>
      </c>
      <c r="X25" s="50">
        <f>INDEX($Q$5:$Q$21,MATCH(节奏总纲!BT24,$N$5:$N$21,1))*(X$2+$K$2)*节奏总纲!Z24*4*$C$5+X24</f>
        <v>53227924.77719079</v>
      </c>
      <c r="Y25" s="50">
        <f>INDEX($Q$5:$Q$21,MATCH(节奏总纲!BU24,$N$5:$N$21,1))*(Y$2+$K$2)*节奏总纲!AA24*4*$C$5+Y24</f>
        <v>29851457.086764369</v>
      </c>
      <c r="Z25" s="51">
        <f>SUMIFS($K$5:$K$1004,$J$5:$J$1004,"&lt;="&amp;U$2)*节奏总纲!W24*4+Z24</f>
        <v>1314.8375400580692</v>
      </c>
      <c r="AA25" s="51">
        <f>SUMIFS($K$5:$K$1004,$J$5:$J$1004,"&lt;="&amp;V$2)*节奏总纲!X24*4+AA24</f>
        <v>10266.777447789424</v>
      </c>
      <c r="AB25" s="51">
        <f>SUMIFS($K$5:$K$1004,$J$5:$J$1004,"&lt;="&amp;W$2)*节奏总纲!Y24*4+AB24</f>
        <v>25343.8880358813</v>
      </c>
      <c r="AC25" s="51">
        <f>SUMIFS($K$5:$K$1004,$J$5:$J$1004,"&lt;="&amp;X$2)*节奏总纲!Z24*4+AC24</f>
        <v>39593.834327522643</v>
      </c>
      <c r="AD25" s="51">
        <f>SUMIFS($K$5:$K$1004,$J$5:$J$1004,"&lt;="&amp;Y$2)*节奏总纲!AA24*4+AD24</f>
        <v>22153.960679946409</v>
      </c>
      <c r="AG25" s="35"/>
      <c r="AH25" s="35">
        <v>21</v>
      </c>
      <c r="AI25" s="47">
        <f>'[1]资源-木石铜粮'!AE26-U25</f>
        <v>-5873345.5370201431</v>
      </c>
      <c r="AJ25" s="47">
        <f>'[1]资源-木石铜粮'!AF26-V25</f>
        <v>-13183000.129338335</v>
      </c>
      <c r="AK25" s="47">
        <f>'[1]资源-木石铜粮'!AG26-W25</f>
        <v>-24898679.387025729</v>
      </c>
      <c r="AL25" s="47">
        <f>'[1]资源-木石铜粮'!AH26-X25</f>
        <v>-44995895.304900527</v>
      </c>
      <c r="AM25" s="47">
        <f>'[1]资源-木石铜粮'!AI26-Y25</f>
        <v>-23712360.447589584</v>
      </c>
      <c r="AN25" s="47">
        <f>(AI25-AI24)*IF($AH25&lt;=10,'[1]功能-付费相关'!S36,'[1]功能-付费相关'!S26)</f>
        <v>-258.96015769029924</v>
      </c>
      <c r="AO25" s="47">
        <f>(AJ25-AJ24)*IF($AH25&lt;=10,'[1]功能-付费相关'!T36,'[1]功能-付费相关'!T26)</f>
        <v>-616.96665752561364</v>
      </c>
      <c r="AP25" s="47">
        <f>(AK25-AK24)*IF($AH25&lt;=10,'[1]功能-付费相关'!U36,'[1]功能-付费相关'!U26)</f>
        <v>-1148.8833220165898</v>
      </c>
      <c r="AQ25" s="47">
        <f>(AL25-AL24)*IF($AH25&lt;=10,'[1]功能-付费相关'!V36,'[1]功能-付费相关'!V26)</f>
        <v>-2176.7815574693541</v>
      </c>
      <c r="AR25" s="47">
        <f>(AM25-AM24)*IF($AH25&lt;=10,'[1]功能-付费相关'!W36,'[1]功能-付费相关'!W26)</f>
        <v>-1026.6680607042258</v>
      </c>
      <c r="AS25" s="48">
        <f>SUM(AN$5:AN25)/'[1]资源-钻石'!L24</f>
        <v>-0.14572540297563397</v>
      </c>
      <c r="AT25" s="48">
        <f>SUM(AO$5:AO25)/'[1]资源-钻石'!M24</f>
        <v>-0.2707444814809894</v>
      </c>
      <c r="AU25" s="48">
        <f>SUM(AP$5:AP25)/'[1]资源-钻石'!N24</f>
        <v>-0.37329661212728915</v>
      </c>
      <c r="AV25" s="48">
        <f>SUM(AQ$5:AQ25)/'[1]资源-钻石'!O24</f>
        <v>-0.32094109041488322</v>
      </c>
      <c r="AW25" s="48">
        <f>SUM(AR$5:AR25)/'[1]资源-钻石'!P24</f>
        <v>-0.10308404525052421</v>
      </c>
      <c r="AX25" s="35">
        <f>('[1]资源-木石铜粮'!C26+U25)/'[1]资源-木石铜粮'!U26</f>
        <v>1.3004791730676182</v>
      </c>
      <c r="AY25" s="35">
        <f>('[1]资源-木石铜粮'!D26+V25)/'[1]资源-木石铜粮'!V26</f>
        <v>1.5787723603392427</v>
      </c>
      <c r="AZ25" s="35">
        <f>('[1]资源-木石铜粮'!E26+W25)/'[1]资源-木石铜粮'!W26</f>
        <v>1.8991166271584834</v>
      </c>
      <c r="BA25" s="35">
        <f>('[1]资源-木石铜粮'!F26+X25)/'[1]资源-木石铜粮'!X26</f>
        <v>2.9238328821405628</v>
      </c>
      <c r="BB25" s="35">
        <f>('[1]资源-木石铜粮'!G26+Y25)/'[1]资源-木石铜粮'!Y26</f>
        <v>2.2677289143814829</v>
      </c>
      <c r="BE25" s="39">
        <f t="shared" ref="BE25:BE88" si="13">Z25/U25</f>
        <v>2.3852195245864391E-4</v>
      </c>
      <c r="BF25" s="39">
        <f t="shared" ref="BF25:BF88" si="14">AA25/V25</f>
        <v>5.9275110666407089E-4</v>
      </c>
      <c r="BG25" s="39">
        <f t="shared" ref="BG25:BG88" si="15">AB25/W25</f>
        <v>7.1604432703422413E-4</v>
      </c>
      <c r="BH25" s="39">
        <f t="shared" ref="BH25:BH88" si="16">AC25/X25</f>
        <v>7.4385455554129326E-4</v>
      </c>
      <c r="BI25" s="39">
        <f t="shared" ref="BI25:BI88" si="17">AD25/Y25</f>
        <v>7.421400106385125E-4</v>
      </c>
      <c r="BK25" s="39">
        <f>BE25/求节点(节奏总纲!AM$4:AM$83,$G$5:$G$84,节奏总纲!P24)</f>
        <v>0.29131440869758363</v>
      </c>
      <c r="BL25" s="39">
        <f>BF25/求节点(节奏总纲!AN$4:AN$83,$G$5:$G$84,节奏总纲!Q24)</f>
        <v>0.7421692175040201</v>
      </c>
      <c r="BM25" s="39">
        <f>BG25/求节点(节奏总纲!AO$4:AO$83,$G$5:$G$84,节奏总纲!R24)</f>
        <v>0.97436526040857496</v>
      </c>
      <c r="BN25" s="39">
        <f>BH25/求节点(节奏总纲!AP$4:AP$83,$G$5:$G$84,节奏总纲!S24)</f>
        <v>1.1729490042046662</v>
      </c>
      <c r="BO25" s="39">
        <f>BI25/求节点(节奏总纲!AQ$4:AQ$83,$G$5:$G$84,节奏总纲!T24)</f>
        <v>1.2337707525200019</v>
      </c>
    </row>
    <row r="26" spans="5:75" x14ac:dyDescent="0.15">
      <c r="E26" s="26">
        <v>22</v>
      </c>
      <c r="F26" s="26">
        <f>节奏总纲!$BL25</f>
        <v>28.504605619902428</v>
      </c>
      <c r="G26" s="26">
        <f>数据索引!$E27</f>
        <v>5.0685741459387712E-4</v>
      </c>
      <c r="H26" s="26">
        <f>数据索引!J27</f>
        <v>1.0391526238709258E-3</v>
      </c>
      <c r="I26" s="54"/>
      <c r="J26" s="35">
        <v>22</v>
      </c>
      <c r="K26" s="55">
        <v>60</v>
      </c>
      <c r="L26" s="55">
        <f t="shared" si="2"/>
        <v>90</v>
      </c>
      <c r="M26" s="55"/>
      <c r="N26" s="26" t="s">
        <v>270</v>
      </c>
      <c r="O26" s="26" t="s">
        <v>271</v>
      </c>
      <c r="P26" s="26" t="s">
        <v>272</v>
      </c>
      <c r="Q26" s="55" t="s">
        <v>272</v>
      </c>
      <c r="R26" s="55" t="s">
        <v>272</v>
      </c>
      <c r="T26" s="35">
        <v>22</v>
      </c>
      <c r="U26" s="50">
        <f>INDEX($Q$5:$Q$21,MATCH(节奏总纲!BQ25,$N$5:$N$21,1))*(U$2+$K$2)*节奏总纲!W25*4*$C$5+U25</f>
        <v>6169979.9473411012</v>
      </c>
      <c r="V26" s="50">
        <f>INDEX($Q$5:$Q$21,MATCH(节奏总纲!BR25,$N$5:$N$21,1))*(V$2+$K$2)*节奏总纲!X25*4*$C$5+V25</f>
        <v>19357574.999685403</v>
      </c>
      <c r="W26" s="50">
        <f>INDEX($Q$5:$Q$21,MATCH(节奏总纲!BS25,$N$5:$N$21,1))*(W$2+$K$2)*节奏总纲!Y25*4*$C$5+W25</f>
        <v>39541073.303539641</v>
      </c>
      <c r="X26" s="50">
        <f>INDEX($Q$5:$Q$21,MATCH(节奏总纲!BT25,$N$5:$N$21,1))*(X$2+$K$2)*节奏总纲!Z25*4*$C$5+X25</f>
        <v>59385825.712002322</v>
      </c>
      <c r="Y26" s="50">
        <f>INDEX($Q$5:$Q$21,MATCH(节奏总纲!BU25,$N$5:$N$21,1))*(Y$2+$K$2)*节奏总纲!AA25*4*$C$5+Y25</f>
        <v>34839621.016079217</v>
      </c>
      <c r="Z26" s="51">
        <f>SUMIFS($K$5:$K$1004,$J$5:$J$1004,"&lt;="&amp;U$2)*节奏总纲!W25*4+Z25</f>
        <v>1437.917367995256</v>
      </c>
      <c r="AA26" s="51">
        <f>SUMIFS($K$5:$K$1004,$J$5:$J$1004,"&lt;="&amp;V$2)*节奏总纲!X25*4+AA25</f>
        <v>11247.245860722089</v>
      </c>
      <c r="AB26" s="51">
        <f>SUMIFS($K$5:$K$1004,$J$5:$J$1004,"&lt;="&amp;W$2)*节奏总纲!Y25*4+AB25</f>
        <v>27809.465688765053</v>
      </c>
      <c r="AC26" s="51">
        <f>SUMIFS($K$5:$K$1004,$J$5:$J$1004,"&lt;="&amp;X$2)*节奏总纲!Z25*4+AC25</f>
        <v>43496.856590119693</v>
      </c>
      <c r="AD26" s="51">
        <f>SUMIFS($K$5:$K$1004,$J$5:$J$1004,"&lt;="&amp;Y$2)*节奏总纲!AA25*4+AD25</f>
        <v>24367.091509784401</v>
      </c>
      <c r="AG26" s="35"/>
      <c r="AH26" s="35">
        <v>22</v>
      </c>
      <c r="AI26" s="47">
        <f>'[1]资源-木石铜粮'!AE27-U26</f>
        <v>-6659064.0398598742</v>
      </c>
      <c r="AJ26" s="47">
        <f>'[1]资源-木石铜粮'!AF27-V26</f>
        <v>-14617908.021225546</v>
      </c>
      <c r="AK26" s="47">
        <f>'[1]资源-木石铜粮'!AG27-W26</f>
        <v>-27432756.216340385</v>
      </c>
      <c r="AL26" s="47">
        <f>'[1]资源-木石铜粮'!AH27-X26</f>
        <v>-49875553.023194991</v>
      </c>
      <c r="AM26" s="47">
        <f>'[1]资源-木石铜粮'!AI27-Y26</f>
        <v>-27470873.608729392</v>
      </c>
      <c r="AN26" s="47">
        <f>(AI26-AI25)*IF($AH26&lt;=10,'[1]功能-付费相关'!S37,'[1]功能-付费相关'!S27)</f>
        <v>-394.17532947085687</v>
      </c>
      <c r="AO26" s="47">
        <f>(AJ26-AJ25)*IF($AH26&lt;=10,'[1]功能-付费相关'!T37,'[1]功能-付费相关'!T27)</f>
        <v>-712.15109425800904</v>
      </c>
      <c r="AP26" s="47">
        <f>(AK26-AK25)*IF($AH26&lt;=10,'[1]功能-付费相关'!U37,'[1]功能-付费相关'!U27)</f>
        <v>-1284.4156300886764</v>
      </c>
      <c r="AQ26" s="47">
        <f>(AL26-AL25)*IF($AH26&lt;=10,'[1]功能-付费相关'!V37,'[1]功能-付费相关'!V27)</f>
        <v>-2428.6925579689637</v>
      </c>
      <c r="AR26" s="47">
        <f>(AM26-AM25)*IF($AH26&lt;=10,'[1]功能-付费相关'!W37,'[1]功能-付费相关'!W27)</f>
        <v>-1784.2458214362989</v>
      </c>
      <c r="AS26" s="48">
        <f>SUM(AN$5:AN26)/'[1]资源-钻石'!L25</f>
        <v>-0.14604500409250221</v>
      </c>
      <c r="AT26" s="48">
        <f>SUM(AO$5:AO26)/'[1]资源-钻石'!M25</f>
        <v>-0.26796033936205799</v>
      </c>
      <c r="AU26" s="48">
        <f>SUM(AP$5:AP26)/'[1]资源-钻石'!N25</f>
        <v>-0.36973701746515919</v>
      </c>
      <c r="AV26" s="48">
        <f>SUM(AQ$5:AQ26)/'[1]资源-钻石'!O25</f>
        <v>-0.32191920590923823</v>
      </c>
      <c r="AW26" s="48">
        <f>SUM(AR$5:AR26)/'[1]资源-钻石'!P25</f>
        <v>-0.10620521816538667</v>
      </c>
      <c r="AX26" s="35">
        <f>('[1]资源-木石铜粮'!C27+U26)/'[1]资源-木石铜粮'!U27</f>
        <v>1.3048634960780434</v>
      </c>
      <c r="AY26" s="35">
        <f>('[1]资源-木石铜粮'!D27+V26)/'[1]资源-木石铜粮'!V27</f>
        <v>1.570412291737733</v>
      </c>
      <c r="AZ26" s="35">
        <f>('[1]资源-木石铜粮'!E27+W26)/'[1]资源-木石铜粮'!W27</f>
        <v>1.8760580340324198</v>
      </c>
      <c r="BA26" s="35">
        <f>('[1]资源-木石铜粮'!F27+X26)/'[1]资源-木石铜粮'!X27</f>
        <v>2.878219948249265</v>
      </c>
      <c r="BB26" s="35">
        <f>('[1]资源-木石铜粮'!G27+Y26)/'[1]资源-木石铜粮'!Y27</f>
        <v>2.282626733148756</v>
      </c>
      <c r="BE26" s="39">
        <f t="shared" si="13"/>
        <v>2.3305057395120284E-4</v>
      </c>
      <c r="BF26" s="39">
        <f t="shared" si="14"/>
        <v>5.8102556032482776E-4</v>
      </c>
      <c r="BG26" s="39">
        <f t="shared" si="15"/>
        <v>7.0330578725781839E-4</v>
      </c>
      <c r="BH26" s="39">
        <f t="shared" si="16"/>
        <v>7.3244509221884321E-4</v>
      </c>
      <c r="BI26" s="39">
        <f t="shared" si="17"/>
        <v>6.9940747916111018E-4</v>
      </c>
      <c r="BK26" s="39">
        <f>BE26/求节点(节奏总纲!AM$4:AM$83,$G$5:$G$84,节奏总纲!P25)</f>
        <v>0.29259085703784121</v>
      </c>
      <c r="BL26" s="39">
        <f>BF26/求节点(节奏总纲!AN$4:AN$83,$G$5:$G$84,节奏总纲!Q25)</f>
        <v>0.78917932650518674</v>
      </c>
      <c r="BM26" s="39">
        <f>BG26/求节点(节奏总纲!AO$4:AO$83,$G$5:$G$84,节奏总纲!R25)</f>
        <v>1.0889791596245624</v>
      </c>
      <c r="BN26" s="39">
        <f>BH26/求节点(节奏总纲!AP$4:AP$83,$G$5:$G$84,节奏总纲!S25)</f>
        <v>1.2099454014222097</v>
      </c>
      <c r="BO26" s="39">
        <f>BI26/求节点(节奏总纲!AQ$4:AQ$83,$G$5:$G$84,节奏总纲!T25)</f>
        <v>1.2039455281124596</v>
      </c>
    </row>
    <row r="27" spans="5:75" x14ac:dyDescent="0.15">
      <c r="E27" s="26">
        <v>23</v>
      </c>
      <c r="F27" s="26">
        <f>节奏总纲!$BL26</f>
        <v>30.615521552489891</v>
      </c>
      <c r="G27" s="26">
        <f>数据索引!$E28</f>
        <v>4.286063693376303E-4</v>
      </c>
      <c r="H27" s="26">
        <f>数据索引!J28</f>
        <v>9.5795156065134476E-4</v>
      </c>
      <c r="I27" s="54"/>
      <c r="J27" s="35">
        <v>23</v>
      </c>
      <c r="K27" s="55">
        <v>60</v>
      </c>
      <c r="L27" s="55">
        <f t="shared" si="2"/>
        <v>90</v>
      </c>
      <c r="M27" s="55"/>
      <c r="N27" s="26">
        <v>5</v>
      </c>
      <c r="O27" s="26">
        <f>SUMIFS($K$5:$K$1004,$J$5:$J$1004,"&lt;="&amp;$N27)</f>
        <v>100</v>
      </c>
      <c r="P27" s="26">
        <f>INDEX($Q$5:$Q$21,MATCH(P$25,$N$5:$N$21,0))*$N27</f>
        <v>2250000</v>
      </c>
      <c r="Q27" s="55">
        <f>INDEX($Q$5:$Q$21,MATCH(Q$25,$N$5:$N$21,0))*$N27</f>
        <v>3000000</v>
      </c>
      <c r="R27" s="55">
        <f>INDEX($Q$5:$Q$21,MATCH(R$25,$N$5:$N$21,0))*$N27</f>
        <v>3750000</v>
      </c>
      <c r="S27" s="55">
        <f>INDEX($Q$5:$Q$21,MATCH(S$25,$N$5:$N$21,0))*$N27</f>
        <v>5000000</v>
      </c>
      <c r="T27" s="35">
        <v>23</v>
      </c>
      <c r="U27" s="50">
        <f>INDEX($Q$5:$Q$21,MATCH(节奏总纲!BQ26,$N$5:$N$21,1))*(U$2+$K$2)*节奏总纲!W26*4*$C$5+U26</f>
        <v>6874715.6627294542</v>
      </c>
      <c r="V27" s="50">
        <f>INDEX($Q$5:$Q$21,MATCH(节奏总纲!BR26,$N$5:$N$21,1))*(V$2+$K$2)*节奏总纲!X26*4*$C$5+V26</f>
        <v>21480728.005157158</v>
      </c>
      <c r="W27" s="50">
        <f>INDEX($Q$5:$Q$21,MATCH(节奏总纲!BS26,$N$5:$N$21,1))*(W$2+$K$2)*节奏总纲!Y26*4*$C$5+W26</f>
        <v>43746347.955753289</v>
      </c>
      <c r="X27" s="50">
        <f>INDEX($Q$5:$Q$21,MATCH(节奏总纲!BT26,$N$5:$N$21,1))*(X$2+$K$2)*节奏总纲!Z26*4*$C$5+X26</f>
        <v>65568606.560414568</v>
      </c>
      <c r="Y27" s="50">
        <f>INDEX($Q$5:$Q$21,MATCH(节奏总纲!BU26,$N$5:$N$21,1))*(Y$2+$K$2)*节奏总纲!AA26*4*$C$5+Y26</f>
        <v>39575509.33254648</v>
      </c>
      <c r="Z27" s="51">
        <f>SUMIFS($K$5:$K$1004,$J$5:$J$1004,"&lt;="&amp;U$2)*节奏总纲!W26*4+Z26</f>
        <v>1569.8310613518659</v>
      </c>
      <c r="AA27" s="51">
        <f>SUMIFS($K$5:$K$1004,$J$5:$J$1004,"&lt;="&amp;V$2)*节奏总纲!X26*4+AA26</f>
        <v>12269.171643101639</v>
      </c>
      <c r="AB27" s="51">
        <f>SUMIFS($K$5:$K$1004,$J$5:$J$1004,"&lt;="&amp;W$2)*节奏总纲!Y26*4+AB26</f>
        <v>30309.827183263416</v>
      </c>
      <c r="AC27" s="51">
        <f>SUMIFS($K$5:$K$1004,$J$5:$J$1004,"&lt;="&amp;X$2)*节奏总纲!Z26*4+AC26</f>
        <v>47415.648326390161</v>
      </c>
      <c r="AD27" s="51">
        <f>SUMIFS($K$5:$K$1004,$J$5:$J$1004,"&lt;="&amp;Y$2)*节奏总纲!AA26*4+AD26</f>
        <v>26468.293593029262</v>
      </c>
      <c r="AG27" s="35"/>
      <c r="AH27" s="35">
        <v>23</v>
      </c>
      <c r="AI27" s="47">
        <f>'[1]资源-木石铜粮'!AE28-U27</f>
        <v>-7511992.0758068869</v>
      </c>
      <c r="AJ27" s="47">
        <f>'[1]资源-木石铜粮'!AF28-V27</f>
        <v>-16135665.428135399</v>
      </c>
      <c r="AK27" s="47">
        <f>'[1]资源-木石铜粮'!AG28-W27</f>
        <v>-30127488.141016614</v>
      </c>
      <c r="AL27" s="47">
        <f>'[1]资源-木石铜粮'!AH28-X27</f>
        <v>-54766280.134423777</v>
      </c>
      <c r="AM27" s="47">
        <f>'[1]资源-木石铜粮'!AI28-Y27</f>
        <v>-30689583.921570301</v>
      </c>
      <c r="AN27" s="47">
        <f>(AI27-AI26)*IF($AH27&lt;=10,'[1]功能-付费相关'!S38,'[1]功能-付费相关'!S28)</f>
        <v>-371.29439898685609</v>
      </c>
      <c r="AO27" s="47">
        <f>(AJ27-AJ26)*IF($AH27&lt;=10,'[1]功能-付费相关'!T38,'[1]功能-付费相关'!T28)</f>
        <v>-651.05894760146236</v>
      </c>
      <c r="AP27" s="47">
        <f>(AK27-AK26)*IF($AH27&lt;=10,'[1]功能-付费相关'!U38,'[1]功能-付费相关'!U28)</f>
        <v>-1154.9792665736829</v>
      </c>
      <c r="AQ27" s="47">
        <f>(AL27-AL26)*IF($AH27&lt;=10,'[1]功能-付费相关'!V38,'[1]功能-付费相关'!V28)</f>
        <v>-2086.30124844383</v>
      </c>
      <c r="AR27" s="47">
        <f>(AM27-AM26)*IF($AH27&lt;=10,'[1]功能-付费相关'!W38,'[1]功能-付费相关'!W28)</f>
        <v>-1314.4758588476082</v>
      </c>
      <c r="AS27" s="48">
        <f>SUM(AN$5:AN27)/'[1]资源-钻石'!L26</f>
        <v>-0.14504309733823118</v>
      </c>
      <c r="AT27" s="48">
        <f>SUM(AO$5:AO27)/'[1]资源-钻石'!M26</f>
        <v>-0.26349847240003915</v>
      </c>
      <c r="AU27" s="48">
        <f>SUM(AP$5:AP27)/'[1]资源-钻石'!N26</f>
        <v>-0.36423758791836836</v>
      </c>
      <c r="AV27" s="48">
        <f>SUM(AQ$5:AQ27)/'[1]资源-钻石'!O26</f>
        <v>-0.31991170659512586</v>
      </c>
      <c r="AW27" s="48">
        <f>SUM(AR$5:AR27)/'[1]资源-钻石'!P26</f>
        <v>-0.10811034183782739</v>
      </c>
      <c r="AX27" s="35">
        <f>('[1]资源-木石铜粮'!C28+U27)/'[1]资源-木石铜粮'!U28</f>
        <v>1.3078828750708671</v>
      </c>
      <c r="AY27" s="35">
        <f>('[1]资源-木石铜粮'!D28+V27)/'[1]资源-木石铜粮'!V28</f>
        <v>1.5621777204712006</v>
      </c>
      <c r="AZ27" s="35">
        <f>('[1]资源-木石铜粮'!E28+W27)/'[1]资源-木石铜粮'!W28</f>
        <v>1.8571923016552336</v>
      </c>
      <c r="BA27" s="35">
        <f>('[1]资源-木石铜粮'!F28+X27)/'[1]资源-木石铜粮'!X28</f>
        <v>2.8311302605774058</v>
      </c>
      <c r="BB27" s="35">
        <f>('[1]资源-木石铜粮'!G28+Y27)/'[1]资源-木石铜粮'!Y28</f>
        <v>2.2558713864165023</v>
      </c>
      <c r="BE27" s="39">
        <f t="shared" si="13"/>
        <v>2.2834850754083392E-4</v>
      </c>
      <c r="BF27" s="39">
        <f t="shared" si="14"/>
        <v>5.7117112791317038E-4</v>
      </c>
      <c r="BG27" s="39">
        <f t="shared" si="15"/>
        <v>6.9285388608712945E-4</v>
      </c>
      <c r="BH27" s="39">
        <f t="shared" si="16"/>
        <v>7.2314558465874418E-4</v>
      </c>
      <c r="BI27" s="39">
        <f t="shared" si="17"/>
        <v>6.6880487552593588E-4</v>
      </c>
      <c r="BK27" s="39">
        <f>BE27/求节点(节奏总纲!AM$4:AM$83,$G$5:$G$84,节奏总纲!P26)</f>
        <v>0.31206775417539151</v>
      </c>
      <c r="BL27" s="39">
        <f>BF27/求节点(节奏总纲!AN$4:AN$83,$G$5:$G$84,节奏总纲!Q26)</f>
        <v>0.87441897470751195</v>
      </c>
      <c r="BM27" s="39">
        <f>BG27/求节点(节奏总纲!AO$4:AO$83,$G$5:$G$84,节奏总纲!R26)</f>
        <v>1.137101316555599</v>
      </c>
      <c r="BN27" s="39">
        <f>BH27/求节点(节奏总纲!AP$4:AP$83,$G$5:$G$84,节奏总纲!S26)</f>
        <v>1.2322730665399404</v>
      </c>
      <c r="BO27" s="39">
        <f>BI27/求节点(节奏总纲!AQ$4:AQ$83,$G$5:$G$84,节奏总纲!T26)</f>
        <v>1.1886676251130446</v>
      </c>
    </row>
    <row r="28" spans="5:75" x14ac:dyDescent="0.15">
      <c r="E28" s="26">
        <v>24</v>
      </c>
      <c r="F28" s="26">
        <f>节奏总纲!$BL27</f>
        <v>32.816661243819851</v>
      </c>
      <c r="G28" s="26">
        <f>数据索引!$E29</f>
        <v>3.9613282872049695E-4</v>
      </c>
      <c r="H28" s="26">
        <f>数据索引!J29</f>
        <v>8.8088463519884878E-4</v>
      </c>
      <c r="I28" s="54"/>
      <c r="J28" s="35">
        <v>24</v>
      </c>
      <c r="K28" s="55">
        <v>60</v>
      </c>
      <c r="L28" s="55">
        <f t="shared" si="2"/>
        <v>90</v>
      </c>
      <c r="M28" s="55"/>
      <c r="N28" s="26">
        <v>10</v>
      </c>
      <c r="O28" s="55">
        <f t="shared" ref="O28:O31" si="18">SUMIFS($K$5:$K$1004,$J$5:$J$1004,"&lt;="&amp;$N28)</f>
        <v>300</v>
      </c>
      <c r="P28" s="55">
        <f>INDEX($Q$5:$Q$21,MATCH(P$25,$N$5:$N$21,0))*$N28</f>
        <v>4500000</v>
      </c>
      <c r="Q28" s="55">
        <f>INDEX($Q$5:$Q$21,MATCH(Q$25,$N$5:$N$21,0))*$N28</f>
        <v>6000000</v>
      </c>
      <c r="R28" s="55">
        <f>INDEX($Q$5:$Q$21,MATCH(R$25,$N$5:$N$21,0))*$N28</f>
        <v>7500000</v>
      </c>
      <c r="S28" s="55">
        <f t="shared" ref="S28:S31" si="19">INDEX($Q$5:$Q$21,MATCH(S$25,$N$5:$N$21,0))*$N28</f>
        <v>10000000</v>
      </c>
      <c r="T28" s="35">
        <v>24</v>
      </c>
      <c r="U28" s="50">
        <f>INDEX($Q$5:$Q$21,MATCH(节奏总纲!BQ27,$N$5:$N$21,1))*(U$2+$K$2)*节奏总纲!W27*4*$C$5+U27</f>
        <v>7630032.7005842226</v>
      </c>
      <c r="V28" s="50">
        <f>INDEX($Q$5:$Q$21,MATCH(节奏总纲!BR27,$N$5:$N$21,1))*(V$2+$K$2)*节奏总纲!X27*4*$C$5+V27</f>
        <v>23824434.018138051</v>
      </c>
      <c r="W28" s="50">
        <f>INDEX($Q$5:$Q$21,MATCH(节奏总纲!BS27,$N$5:$N$21,1))*(W$2+$K$2)*节奏总纲!Y27*4*$C$5+W27</f>
        <v>48531696.400923274</v>
      </c>
      <c r="X28" s="50">
        <f>INDEX($Q$5:$Q$21,MATCH(节奏总纲!BT27,$N$5:$N$21,1))*(X$2+$K$2)*节奏总纲!Z27*4*$C$5+X27</f>
        <v>75567218.638875753</v>
      </c>
      <c r="Y28" s="50">
        <f>INDEX($Q$5:$Q$21,MATCH(节奏总纲!BU27,$N$5:$N$21,1))*(Y$2+$K$2)*节奏总纲!AA27*4*$C$5+Y27</f>
        <v>45146153.848925866</v>
      </c>
      <c r="Z28" s="51">
        <f>SUMIFS($K$5:$K$1004,$J$5:$J$1004,"&lt;="&amp;U$2)*节奏总纲!W27*4+Z27</f>
        <v>1711.2126572366308</v>
      </c>
      <c r="AA28" s="51">
        <f>SUMIFS($K$5:$K$1004,$J$5:$J$1004,"&lt;="&amp;V$2)*节奏总纲!X27*4+AA27</f>
        <v>13397.255014771305</v>
      </c>
      <c r="AB28" s="51">
        <f>SUMIFS($K$5:$K$1004,$J$5:$J$1004,"&lt;="&amp;W$2)*节奏总纲!Y27*4+AB27</f>
        <v>33155.087476491171</v>
      </c>
      <c r="AC28" s="51">
        <f>SUMIFS($K$5:$K$1004,$J$5:$J$1004,"&lt;="&amp;X$2)*节奏总纲!Z27*4+AC27</f>
        <v>51851.796969458592</v>
      </c>
      <c r="AD28" s="51">
        <f>SUMIFS($K$5:$K$1004,$J$5:$J$1004,"&lt;="&amp;Y$2)*节奏总纲!AA27*4+AD27</f>
        <v>28939.857337920173</v>
      </c>
      <c r="AG28" s="35"/>
      <c r="AH28" s="35">
        <v>24</v>
      </c>
      <c r="AI28" s="47">
        <f>'[1]资源-木石铜粮'!AE29-U28</f>
        <v>-8541801.1065465584</v>
      </c>
      <c r="AJ28" s="47">
        <f>'[1]资源-木石铜粮'!AF29-V28</f>
        <v>-18022868.702180557</v>
      </c>
      <c r="AK28" s="47">
        <f>'[1]资源-木石铜粮'!AG29-W28</f>
        <v>-33406937.893372443</v>
      </c>
      <c r="AL28" s="47">
        <f>'[1]资源-木石铜粮'!AH29-X28</f>
        <v>-63078123.13171874</v>
      </c>
      <c r="AM28" s="47">
        <f>'[1]资源-木石铜粮'!AI29-Y28</f>
        <v>-34577892.279699668</v>
      </c>
      <c r="AN28" s="47">
        <f>(AI28-AI27)*IF($AH28&lt;=10,'[1]功能-付费相关'!S39,'[1]功能-付费相关'!S29)</f>
        <v>-423.74104927884963</v>
      </c>
      <c r="AO28" s="47">
        <f>(AJ28-AJ27)*IF($AH28&lt;=10,'[1]功能-付费相关'!T39,'[1]功能-付费相关'!T29)</f>
        <v>-765.04999322748597</v>
      </c>
      <c r="AP28" s="47">
        <f>(AK28-AK27)*IF($AH28&lt;=10,'[1]功能-付费相关'!U39,'[1]功能-付费相关'!U29)</f>
        <v>-1299.0977070474478</v>
      </c>
      <c r="AQ28" s="47">
        <f>(AL28-AL27)*IF($AH28&lt;=10,'[1]功能-付费相关'!V39,'[1]功能-付费相关'!V29)</f>
        <v>-3297.1486606964313</v>
      </c>
      <c r="AR28" s="47">
        <f>(AM28-AM27)*IF($AH28&lt;=10,'[1]功能-付费相关'!W39,'[1]功能-付费相关'!W29)</f>
        <v>-1497.3416463924759</v>
      </c>
      <c r="AS28" s="48">
        <f>SUM(AN$5:AN28)/'[1]资源-钻石'!L27</f>
        <v>-0.14472420043601206</v>
      </c>
      <c r="AT28" s="48">
        <f>SUM(AO$5:AO28)/'[1]资源-钻石'!M27</f>
        <v>-0.26015537656133741</v>
      </c>
      <c r="AU28" s="48">
        <f>SUM(AP$5:AP28)/'[1]资源-钻石'!N27</f>
        <v>-0.35856001589135644</v>
      </c>
      <c r="AV28" s="48">
        <f>SUM(AQ$5:AQ28)/'[1]资源-钻石'!O27</f>
        <v>-0.32506113450102497</v>
      </c>
      <c r="AW28" s="48">
        <f>SUM(AR$5:AR28)/'[1]资源-钻石'!P27</f>
        <v>-0.1099009250576799</v>
      </c>
      <c r="AX28" s="35">
        <f>('[1]资源-木石铜粮'!C29+U28)/'[1]资源-木石铜粮'!U29</f>
        <v>1.3148389508720575</v>
      </c>
      <c r="AY28" s="35">
        <f>('[1]资源-木石铜粮'!D29+V28)/'[1]资源-木石铜粮'!V29</f>
        <v>1.5615898767116538</v>
      </c>
      <c r="AZ28" s="35">
        <f>('[1]资源-木石铜粮'!E29+W28)/'[1]资源-木石铜粮'!W29</f>
        <v>1.8472070034334547</v>
      </c>
      <c r="BA28" s="35">
        <f>('[1]资源-木石铜粮'!F29+X28)/'[1]资源-木石铜粮'!X29</f>
        <v>2.8559800683944525</v>
      </c>
      <c r="BB28" s="35">
        <f>('[1]资源-木石铜粮'!G29+Y28)/'[1]资源-木石铜粮'!Y29</f>
        <v>2.2404897261156909</v>
      </c>
      <c r="BE28" s="39">
        <f t="shared" si="13"/>
        <v>2.2427330581500723E-4</v>
      </c>
      <c r="BF28" s="39">
        <f t="shared" si="14"/>
        <v>5.6233256179650214E-4</v>
      </c>
      <c r="BG28" s="39">
        <f t="shared" si="15"/>
        <v>6.8316358040722486E-4</v>
      </c>
      <c r="BH28" s="39">
        <f t="shared" si="16"/>
        <v>6.8616786357124566E-4</v>
      </c>
      <c r="BI28" s="39">
        <f t="shared" si="17"/>
        <v>6.4102597609450008E-4</v>
      </c>
      <c r="BK28" s="39">
        <f>BE28/求节点(节奏总纲!AM$4:AM$83,$G$5:$G$84,节奏总纲!P27)</f>
        <v>0.34556156838429175</v>
      </c>
      <c r="BL28" s="39">
        <f>BF28/求节点(节奏总纲!AN$4:AN$83,$G$5:$G$84,节奏总纲!Q27)</f>
        <v>0.92122278480176667</v>
      </c>
      <c r="BM28" s="39">
        <f>BG28/求节点(节奏总纲!AO$4:AO$83,$G$5:$G$84,节奏总纲!R27)</f>
        <v>1.1571274810239889</v>
      </c>
      <c r="BN28" s="39">
        <f>BH28/求节点(节奏总纲!AP$4:AP$83,$G$5:$G$84,节奏总纲!S27)</f>
        <v>1.2093850310738645</v>
      </c>
      <c r="BO28" s="39">
        <f>BI28/求节点(节奏总纲!AQ$4:AQ$83,$G$5:$G$84,节奏总纲!T27)</f>
        <v>1.1830439086638758</v>
      </c>
    </row>
    <row r="29" spans="5:75" x14ac:dyDescent="0.15">
      <c r="E29" s="26">
        <v>25</v>
      </c>
      <c r="F29" s="26">
        <f>节奏总纲!$BL28</f>
        <v>34.973799799710449</v>
      </c>
      <c r="G29" s="26">
        <f>数据索引!$E30</f>
        <v>3.7168923645549616E-4</v>
      </c>
      <c r="H29" s="26">
        <f>数据索引!J30</f>
        <v>8.2732347779848581E-4</v>
      </c>
      <c r="I29" s="54"/>
      <c r="J29" s="35">
        <v>25</v>
      </c>
      <c r="K29" s="55">
        <v>60</v>
      </c>
      <c r="L29" s="55">
        <f t="shared" si="2"/>
        <v>90</v>
      </c>
      <c r="M29" s="55"/>
      <c r="N29" s="26">
        <v>15</v>
      </c>
      <c r="O29" s="55">
        <f t="shared" si="18"/>
        <v>600</v>
      </c>
      <c r="P29" s="55">
        <f>INDEX($Q$5:$Q$21,MATCH(P$25,$N$5:$N$21,0))*$N29</f>
        <v>6750000</v>
      </c>
      <c r="Q29" s="55">
        <f>INDEX($Q$5:$Q$21,MATCH(Q$25,$N$5:$N$21,0))*$N29</f>
        <v>9000000</v>
      </c>
      <c r="R29" s="55">
        <f>INDEX($Q$5:$Q$21,MATCH(R$25,$N$5:$N$21,0))*$N29</f>
        <v>11250000</v>
      </c>
      <c r="S29" s="55">
        <f t="shared" si="19"/>
        <v>15000000</v>
      </c>
      <c r="T29" s="35">
        <v>25</v>
      </c>
      <c r="U29" s="50">
        <f>INDEX($Q$5:$Q$21,MATCH(节奏总纲!BQ28,$N$5:$N$21,1))*(U$2+$K$2)*节奏总纲!W28*4*$C$5+U28</f>
        <v>8439561.4575584847</v>
      </c>
      <c r="V29" s="50">
        <f>INDEX($Q$5:$Q$21,MATCH(节奏总纲!BR28,$N$5:$N$21,1))*(V$2+$K$2)*节奏总纲!X28*4*$C$5+V28</f>
        <v>26313546.950639378</v>
      </c>
      <c r="W29" s="50">
        <f>INDEX($Q$5:$Q$21,MATCH(节奏总纲!BS28,$N$5:$N$21,1))*(W$2+$K$2)*节奏总纲!Y28*4*$C$5+W28</f>
        <v>55658202.562995963</v>
      </c>
      <c r="X29" s="50">
        <f>INDEX($Q$5:$Q$21,MATCH(节奏总纲!BT28,$N$5:$N$21,1))*(X$2+$K$2)*节奏总纲!Z28*4*$C$5+X28</f>
        <v>86059589.065097958</v>
      </c>
      <c r="Y29" s="50">
        <f>INDEX($Q$5:$Q$21,MATCH(节奏总纲!BU28,$N$5:$N$21,1))*(Y$2+$K$2)*节奏总纲!AA28*4*$C$5+Y28</f>
        <v>50850290.660957679</v>
      </c>
      <c r="Z29" s="51">
        <f>SUMIFS($K$5:$K$1004,$J$5:$J$1004,"&lt;="&amp;U$2)*节奏总纲!W28*4+Z28</f>
        <v>1862.7416997969522</v>
      </c>
      <c r="AA29" s="51">
        <f>SUMIFS($K$5:$K$1004,$J$5:$J$1004,"&lt;="&amp;V$2)*节奏总纲!X28*4+AA28</f>
        <v>14595.32631458904</v>
      </c>
      <c r="AB29" s="51">
        <f>SUMIFS($K$5:$K$1004,$J$5:$J$1004,"&lt;="&amp;W$2)*节奏总纲!Y28*4+AB28</f>
        <v>36121.169397442623</v>
      </c>
      <c r="AC29" s="51">
        <f>SUMIFS($K$5:$K$1004,$J$5:$J$1004,"&lt;="&amp;X$2)*节奏总纲!Z28*4+AC28</f>
        <v>56507.014560020471</v>
      </c>
      <c r="AD29" s="51">
        <f>SUMIFS($K$5:$K$1004,$J$5:$J$1004,"&lt;="&amp;Y$2)*节奏总纲!AA28*4+AD28</f>
        <v>31470.648469729542</v>
      </c>
      <c r="AH29" s="35">
        <v>25</v>
      </c>
      <c r="AI29" s="47">
        <f>'[1]资源-木石铜粮'!AE30-U29</f>
        <v>-9497483.4618689697</v>
      </c>
      <c r="AJ29" s="47">
        <f>'[1]资源-木石铜粮'!AF30-V29</f>
        <v>-19816020.832184717</v>
      </c>
      <c r="AK29" s="47">
        <f>'[1]资源-木石铜粮'!AG30-W29</f>
        <v>-38397410.058950424</v>
      </c>
      <c r="AL29" s="47">
        <f>'[1]资源-木石铜粮'!AH30-X29</f>
        <v>-71486861.677790731</v>
      </c>
      <c r="AM29" s="47">
        <f>'[1]资源-木石铜粮'!AI30-Y29</f>
        <v>-37990463.536874384</v>
      </c>
      <c r="AN29" s="47">
        <f>(AI29-AI28)*IF($AH29&lt;=10,'[1]功能-付费相关'!S40,'[1]功能-付费相关'!S30)</f>
        <v>-371.78474085299547</v>
      </c>
      <c r="AO29" s="47">
        <f>(AJ29-AJ28)*IF($AH29&lt;=10,'[1]功能-付费相关'!T40,'[1]功能-付费相关'!T30)</f>
        <v>-687.16305713300505</v>
      </c>
      <c r="AP29" s="47">
        <f>(AK29-AK28)*IF($AH29&lt;=10,'[1]功能-付费相关'!U40,'[1]功能-付费相关'!U30)</f>
        <v>-1854.9047887760864</v>
      </c>
      <c r="AQ29" s="47">
        <f>(AL29-AL28)*IF($AH29&lt;=10,'[1]功能-付费相关'!V40,'[1]功能-付费相关'!V30)</f>
        <v>-3101.5798257019533</v>
      </c>
      <c r="AR29" s="47">
        <f>(AM29-AM28)*IF($AH29&lt;=10,'[1]功能-付费相关'!W40,'[1]功能-付费相关'!W30)</f>
        <v>-1239.6832904928658</v>
      </c>
      <c r="AS29" s="48">
        <f>SUM(AN$5:AN29)/'[1]资源-钻石'!L28</f>
        <v>-0.14262647529221112</v>
      </c>
      <c r="AT29" s="48">
        <f>SUM(AO$5:AO29)/'[1]资源-钻石'!M28</f>
        <v>-0.25476621478647143</v>
      </c>
      <c r="AU29" s="48">
        <f>SUM(AP$5:AP29)/'[1]资源-钻石'!N28</f>
        <v>-0.36035624278324291</v>
      </c>
      <c r="AV29" s="48">
        <f>SUM(AQ$5:AQ29)/'[1]资源-钻石'!O28</f>
        <v>-0.32724164481229417</v>
      </c>
      <c r="AW29" s="48">
        <f>SUM(AR$5:AR29)/'[1]资源-钻石'!P28</f>
        <v>-0.11019163648698385</v>
      </c>
      <c r="AX29" s="35">
        <f>('[1]资源-木石铜粮'!C30+U29)/'[1]资源-木石铜粮'!U30</f>
        <v>1.3119025894104253</v>
      </c>
      <c r="AY29" s="35">
        <f>('[1]资源-木石铜粮'!D30+V29)/'[1]资源-木石铜粮'!V30</f>
        <v>1.5493301958839591</v>
      </c>
      <c r="AZ29" s="35">
        <f>('[1]资源-木石铜粮'!E30+W29)/'[1]资源-木石铜粮'!W30</f>
        <v>1.8609971296826484</v>
      </c>
      <c r="BA29" s="35">
        <f>('[1]资源-木石铜粮'!F30+X29)/'[1]资源-木石铜粮'!X30</f>
        <v>2.8498169155277484</v>
      </c>
      <c r="BB29" s="35">
        <f>('[1]资源-木石铜粮'!G30+Y29)/'[1]资源-木石铜粮'!Y30</f>
        <v>2.1872068132152909</v>
      </c>
      <c r="BE29" s="39">
        <f t="shared" si="13"/>
        <v>2.2071546124338934E-4</v>
      </c>
      <c r="BF29" s="39">
        <f t="shared" si="14"/>
        <v>5.5466966661575038E-4</v>
      </c>
      <c r="BG29" s="39">
        <f t="shared" si="15"/>
        <v>6.4898196014431797E-4</v>
      </c>
      <c r="BH29" s="39">
        <f t="shared" si="16"/>
        <v>6.5660335093253733E-4</v>
      </c>
      <c r="BI29" s="39">
        <f t="shared" si="17"/>
        <v>6.1888827105352961E-4</v>
      </c>
      <c r="BK29" s="39">
        <f>BE29/求节点(节奏总纲!AM$4:AM$83,$G$5:$G$84,节奏总纲!P28)</f>
        <v>0.36170824908486665</v>
      </c>
      <c r="BL29" s="39">
        <f>BF29/求节点(节奏总纲!AN$4:AN$83,$G$5:$G$84,节奏总纲!Q28)</f>
        <v>0.9361596310927266</v>
      </c>
      <c r="BM29" s="39">
        <f>BG29/求节点(节奏总纲!AO$4:AO$83,$G$5:$G$84,节奏总纲!R28)</f>
        <v>1.1350158505490422</v>
      </c>
      <c r="BN29" s="39">
        <f>BH29/求节点(节奏总纲!AP$4:AP$83,$G$5:$G$84,节奏总纲!S28)</f>
        <v>1.2001061459387021</v>
      </c>
      <c r="BO29" s="39">
        <f>BI29/求节点(节奏总纲!AQ$4:AQ$83,$G$5:$G$84,节奏总纲!T28)</f>
        <v>1.1808323743845905</v>
      </c>
    </row>
    <row r="30" spans="5:75" x14ac:dyDescent="0.15">
      <c r="E30" s="26">
        <v>26</v>
      </c>
      <c r="F30" s="26">
        <f>节奏总纲!$BL29</f>
        <v>37.198506294230036</v>
      </c>
      <c r="G30" s="26">
        <f>数据索引!$E31</f>
        <v>3.5139545460151779E-4</v>
      </c>
      <c r="H30" s="26">
        <f>数据索引!J31</f>
        <v>7.8546250976140584E-4</v>
      </c>
      <c r="I30" s="54"/>
      <c r="J30" s="35">
        <v>26</v>
      </c>
      <c r="K30" s="55">
        <v>60</v>
      </c>
      <c r="L30" s="55">
        <f t="shared" si="2"/>
        <v>90</v>
      </c>
      <c r="M30" s="55"/>
      <c r="N30" s="26">
        <v>20</v>
      </c>
      <c r="O30" s="55">
        <f t="shared" si="18"/>
        <v>900</v>
      </c>
      <c r="P30" s="55">
        <f>INDEX($Q$5:$Q$21,MATCH(P$25,$N$5:$N$21,0))*$N30</f>
        <v>9000000</v>
      </c>
      <c r="Q30" s="55">
        <f>INDEX($Q$5:$Q$21,MATCH(Q$25,$N$5:$N$21,0))*$N30</f>
        <v>12000000</v>
      </c>
      <c r="R30" s="55">
        <f>INDEX($Q$5:$Q$21,MATCH(R$25,$N$5:$N$21,0))*$N30</f>
        <v>15000000</v>
      </c>
      <c r="S30" s="55">
        <f t="shared" si="19"/>
        <v>20000000</v>
      </c>
      <c r="T30" s="35">
        <v>26</v>
      </c>
      <c r="U30" s="50">
        <f>INDEX($Q$5:$Q$21,MATCH(节奏总纲!BQ29,$N$5:$N$21,1))*(U$2+$K$2)*节奏总纲!W29*4*$C$5+U29</f>
        <v>9307192.8964434881</v>
      </c>
      <c r="V30" s="50">
        <f>INDEX($Q$5:$Q$21,MATCH(节奏总纲!BR29,$N$5:$N$21,1))*(V$2+$K$2)*节奏总纲!X29*4*$C$5+V29</f>
        <v>30101165.746801667</v>
      </c>
      <c r="W30" s="50">
        <f>INDEX($Q$5:$Q$21,MATCH(节奏总纲!BS29,$N$5:$N$21,1))*(W$2+$K$2)*节奏总纲!Y29*4*$C$5+W29</f>
        <v>63251091.402344935</v>
      </c>
      <c r="X30" s="50">
        <f>INDEX($Q$5:$Q$21,MATCH(节奏总纲!BT29,$N$5:$N$21,1))*(X$2+$K$2)*节奏总纲!Z29*4*$C$5+X29</f>
        <v>97007555.394113198</v>
      </c>
      <c r="Y30" s="50">
        <f>INDEX($Q$5:$Q$21,MATCH(节奏总纲!BU29,$N$5:$N$21,1))*(Y$2+$K$2)*节奏总纲!AA29*4*$C$5+Y29</f>
        <v>56982484.738238692</v>
      </c>
      <c r="Z30" s="51">
        <f>SUMIFS($K$5:$K$1004,$J$5:$J$1004,"&lt;="&amp;U$2)*节奏总纲!W29*4+Z29</f>
        <v>2025.1465064166368</v>
      </c>
      <c r="AA30" s="51">
        <f>SUMIFS($K$5:$K$1004,$J$5:$J$1004,"&lt;="&amp;V$2)*节奏总纲!X29*4+AA29</f>
        <v>15871.478200088462</v>
      </c>
      <c r="AB30" s="51">
        <f>SUMIFS($K$5:$K$1004,$J$5:$J$1004,"&lt;="&amp;W$2)*节奏总纲!Y29*4+AB29</f>
        <v>39281.361755662227</v>
      </c>
      <c r="AC30" s="51">
        <f>SUMIFS($K$5:$K$1004,$J$5:$J$1004,"&lt;="&amp;X$2)*节奏总纲!Z29*4+AC29</f>
        <v>61364.369320231788</v>
      </c>
      <c r="AD30" s="51">
        <f>SUMIFS($K$5:$K$1004,$J$5:$J$1004,"&lt;="&amp;Y$2)*节奏总纲!AA29*4+AD29</f>
        <v>34191.358526434648</v>
      </c>
      <c r="AH30" s="35">
        <v>26</v>
      </c>
      <c r="AI30" s="47">
        <f>'[1]资源-木石铜粮'!AE31-U30</f>
        <v>-10937569.27421193</v>
      </c>
      <c r="AJ30" s="47">
        <f>'[1]资源-木石铜粮'!AF31-V30</f>
        <v>-23090386.970498756</v>
      </c>
      <c r="AK30" s="47">
        <f>'[1]资源-木石铜粮'!AG31-W30</f>
        <v>-43946348.833110936</v>
      </c>
      <c r="AL30" s="47">
        <f>'[1]资源-木石铜粮'!AH31-X30</f>
        <v>-80322301.062523887</v>
      </c>
      <c r="AM30" s="47">
        <f>'[1]资源-木石铜粮'!AI31-Y30</f>
        <v>-41920712.860997342</v>
      </c>
      <c r="AN30" s="47">
        <f>(AI30-AI29)*IF($AH30&lt;=10,'[1]功能-付费相关'!S41,'[1]功能-付费相关'!S31)</f>
        <v>-529.88223047811209</v>
      </c>
      <c r="AO30" s="47">
        <f>(AJ30-AJ29)*IF($AH30&lt;=10,'[1]功能-付费相关'!T41,'[1]功能-付费相关'!T31)</f>
        <v>-1186.3977871024708</v>
      </c>
      <c r="AP30" s="47">
        <f>(AK30-AK29)*IF($AH30&lt;=10,'[1]功能-付费相关'!U41,'[1]功能-付费相关'!U31)</f>
        <v>-1949.8718631021218</v>
      </c>
      <c r="AQ30" s="47">
        <f>(AL30-AL29)*IF($AH30&lt;=10,'[1]功能-付费相关'!V41,'[1]功能-付费相关'!V31)</f>
        <v>-3030.149495793436</v>
      </c>
      <c r="AR30" s="47">
        <f>(AM30-AM29)*IF($AH30&lt;=10,'[1]功能-付费相关'!W41,'[1]功能-付费相关'!W31)</f>
        <v>-1346.9707217948157</v>
      </c>
      <c r="AS30" s="48">
        <f>SUM(AN$5:AN30)/'[1]资源-钻石'!L29</f>
        <v>-0.14335773323507053</v>
      </c>
      <c r="AT30" s="48">
        <f>SUM(AO$5:AO30)/'[1]资源-钻石'!M29</f>
        <v>-0.25761822853477823</v>
      </c>
      <c r="AU30" s="48">
        <f>SUM(AP$5:AP30)/'[1]资源-钻石'!N29</f>
        <v>-0.36168175993072904</v>
      </c>
      <c r="AV30" s="48">
        <f>SUM(AQ$5:AQ30)/'[1]资源-钻石'!O29</f>
        <v>-0.32785778961237105</v>
      </c>
      <c r="AW30" s="48">
        <f>SUM(AR$5:AR30)/'[1]资源-钻石'!P29</f>
        <v>-0.11053638337750482</v>
      </c>
      <c r="AX30" s="35">
        <f>('[1]资源-木石铜粮'!C31+U30)/'[1]资源-木石铜粮'!U31</f>
        <v>1.3238231898543515</v>
      </c>
      <c r="AY30" s="35">
        <f>('[1]资源-木石铜粮'!D31+V30)/'[1]资源-木石铜粮'!V31</f>
        <v>1.5738684659965161</v>
      </c>
      <c r="AZ30" s="35">
        <f>('[1]资源-木石铜粮'!E31+W30)/'[1]资源-木石铜粮'!W31</f>
        <v>1.8800048175655317</v>
      </c>
      <c r="BA30" s="35">
        <f>('[1]资源-木石铜粮'!F31+X30)/'[1]资源-木石铜粮'!X31</f>
        <v>2.8453246776802246</v>
      </c>
      <c r="BB30" s="35">
        <f>('[1]资源-木石铜粮'!G31+Y30)/'[1]资源-木石铜粮'!Y31</f>
        <v>2.1581382993740288</v>
      </c>
      <c r="BE30" s="39">
        <f t="shared" si="13"/>
        <v>2.1758939875314028E-4</v>
      </c>
      <c r="BF30" s="39">
        <f t="shared" si="14"/>
        <v>5.27271213799248E-4</v>
      </c>
      <c r="BG30" s="39">
        <f t="shared" si="15"/>
        <v>6.2103848146730849E-4</v>
      </c>
      <c r="BH30" s="39">
        <f t="shared" si="16"/>
        <v>6.3257309258981308E-4</v>
      </c>
      <c r="BI30" s="39">
        <f t="shared" si="17"/>
        <v>6.0003277644876337E-4</v>
      </c>
      <c r="BK30" s="39">
        <f>BE30/求节点(节奏总纲!AM$4:AM$83,$G$5:$G$84,节奏总纲!P29)</f>
        <v>0.36711044650318203</v>
      </c>
      <c r="BL30" s="39">
        <f>BF30/求节点(节奏总纲!AN$4:AN$83,$G$5:$G$84,节奏总纲!Q29)</f>
        <v>0.91812030642976228</v>
      </c>
      <c r="BM30" s="39">
        <f>BG30/求节点(节奏总纲!AO$4:AO$83,$G$5:$G$84,节奏总纲!R29)</f>
        <v>1.1241801031068999</v>
      </c>
      <c r="BN30" s="39">
        <f>BH30/求节点(节奏总纲!AP$4:AP$83,$G$5:$G$84,节奏总纲!S29)</f>
        <v>1.1943533214568376</v>
      </c>
      <c r="BO30" s="39">
        <f>BI30/求节点(节奏总纲!AQ$4:AQ$83,$G$5:$G$84,节奏总纲!T29)</f>
        <v>1.191299109347951</v>
      </c>
    </row>
    <row r="31" spans="5:75" x14ac:dyDescent="0.15">
      <c r="E31" s="26">
        <v>27</v>
      </c>
      <c r="F31" s="26">
        <f>节奏总纲!$BL30</f>
        <v>39.486304880774611</v>
      </c>
      <c r="G31" s="26">
        <f>数据索引!$E32</f>
        <v>3.3225924544931382E-4</v>
      </c>
      <c r="H31" s="26">
        <f>数据索引!J32</f>
        <v>7.4600091883145984E-4</v>
      </c>
      <c r="I31" s="54"/>
      <c r="J31" s="35">
        <v>27</v>
      </c>
      <c r="K31" s="55">
        <v>60</v>
      </c>
      <c r="L31" s="55">
        <f t="shared" si="2"/>
        <v>90</v>
      </c>
      <c r="M31" s="55"/>
      <c r="N31" s="26">
        <v>100</v>
      </c>
      <c r="O31" s="55">
        <f t="shared" si="18"/>
        <v>5700</v>
      </c>
      <c r="P31" s="55">
        <f>INDEX($Q$5:$Q$21,MATCH(P$25,$N$5:$N$21,0))*$N31</f>
        <v>45000000</v>
      </c>
      <c r="Q31" s="55">
        <f>INDEX($Q$5:$Q$21,MATCH(Q$25,$N$5:$N$21,0))*$N31</f>
        <v>60000000</v>
      </c>
      <c r="R31" s="55">
        <f>INDEX($Q$5:$Q$21,MATCH(R$25,$N$5:$N$21,0))*$N31</f>
        <v>75000000</v>
      </c>
      <c r="S31" s="55">
        <f t="shared" si="19"/>
        <v>100000000</v>
      </c>
      <c r="T31" s="35">
        <v>27</v>
      </c>
      <c r="U31" s="50">
        <f>INDEX($Q$5:$Q$21,MATCH(节奏总纲!BQ30,$N$5:$N$21,1))*(U$2+$K$2)*节奏总纲!W30*4*$C$5+U30</f>
        <v>10635627.684242245</v>
      </c>
      <c r="V31" s="50">
        <f>INDEX($Q$5:$Q$21,MATCH(节奏总纲!BR30,$N$5:$N$21,1))*(V$2+$K$2)*节奏总纲!X30*4*$C$5+V30</f>
        <v>34155843.816578388</v>
      </c>
      <c r="W31" s="50">
        <f>INDEX($Q$5:$Q$21,MATCH(节奏总纲!BS30,$N$5:$N$21,1))*(W$2+$K$2)*节奏总纲!Y30*4*$C$5+W30</f>
        <v>71348778.890573204</v>
      </c>
      <c r="X31" s="50">
        <f>INDEX($Q$5:$Q$21,MATCH(节奏总纲!BT30,$N$5:$N$21,1))*(X$2+$K$2)*节奏总纲!Z30*4*$C$5+X30</f>
        <v>108782172.29318237</v>
      </c>
      <c r="Y31" s="50">
        <f>INDEX($Q$5:$Q$21,MATCH(节奏总纲!BU30,$N$5:$N$21,1))*(Y$2+$K$2)*节奏总纲!AA30*4*$C$5+Y30</f>
        <v>63634358.532119572</v>
      </c>
      <c r="Z31" s="51">
        <f>SUMIFS($K$5:$K$1004,$J$5:$J$1004,"&lt;="&amp;U$2)*节奏总纲!W30*4+Z30</f>
        <v>2199.2076683399541</v>
      </c>
      <c r="AA31" s="51">
        <f>SUMIFS($K$5:$K$1004,$J$5:$J$1004,"&lt;="&amp;V$2)*节奏总纲!X30*4+AA30</f>
        <v>17237.609625215391</v>
      </c>
      <c r="AB31" s="51">
        <f>SUMIFS($K$5:$K$1004,$J$5:$J$1004,"&lt;="&amp;W$2)*节奏总纲!Y30*4+AB30</f>
        <v>42651.653440551905</v>
      </c>
      <c r="AC31" s="51">
        <f>SUMIFS($K$5:$K$1004,$J$5:$J$1004,"&lt;="&amp;X$2)*节奏总纲!Z30*4+AC30</f>
        <v>66588.489465064456</v>
      </c>
      <c r="AD31" s="51">
        <f>SUMIFS($K$5:$K$1004,$J$5:$J$1004,"&lt;="&amp;Y$2)*节奏总纲!AA30*4+AD30</f>
        <v>37142.63823136031</v>
      </c>
      <c r="AH31" s="35">
        <v>27</v>
      </c>
      <c r="AI31" s="47">
        <f>'[1]资源-木石铜粮'!AE32-U31</f>
        <v>-12829042.315654319</v>
      </c>
      <c r="AJ31" s="47">
        <f>'[1]资源-木石铜粮'!AF32-V31</f>
        <v>-26520106.90939641</v>
      </c>
      <c r="AK31" s="47">
        <f>'[1]资源-木石铜粮'!AG32-W31</f>
        <v>-49798374.482215494</v>
      </c>
      <c r="AL31" s="47">
        <f>'[1]资源-木石铜粮'!AH32-X31</f>
        <v>-89857700.51201129</v>
      </c>
      <c r="AM31" s="47">
        <f>'[1]资源-木石铜粮'!AI32-Y31</f>
        <v>-45947682.958789766</v>
      </c>
      <c r="AN31" s="47">
        <f>(AI31-AI30)*IF($AH31&lt;=10,'[1]功能-付费相关'!S42,'[1]功能-付费相关'!S32)</f>
        <v>-658.51091695110449</v>
      </c>
      <c r="AO31" s="47">
        <f>(AJ31-AJ30)*IF($AH31&lt;=10,'[1]功能-付费相关'!T42,'[1]功能-付费相关'!T32)</f>
        <v>-1175.1461732723035</v>
      </c>
      <c r="AP31" s="47">
        <f>(AK31-AK30)*IF($AH31&lt;=10,'[1]功能-付费相关'!U42,'[1]功能-付费相关'!U32)</f>
        <v>-1944.3896265215114</v>
      </c>
      <c r="AQ31" s="47">
        <f>(AL31-AL30)*IF($AH31&lt;=10,'[1]功能-付费相关'!V42,'[1]功能-付费相关'!V32)</f>
        <v>-3038.6493487478497</v>
      </c>
      <c r="AR31" s="47">
        <f>(AM31-AM30)*IF($AH31&lt;=10,'[1]功能-付费相关'!W42,'[1]功能-付费相关'!W32)</f>
        <v>-1302.0259423288187</v>
      </c>
      <c r="AS31" s="48">
        <f>SUM(AN$5:AN31)/'[1]资源-钻石'!L30</f>
        <v>-0.14574875402292642</v>
      </c>
      <c r="AT31" s="48">
        <f>SUM(AO$5:AO31)/'[1]资源-钻石'!M30</f>
        <v>-0.25874359560424587</v>
      </c>
      <c r="AU31" s="48">
        <f>SUM(AP$5:AP31)/'[1]资源-钻石'!N30</f>
        <v>-0.36128093982971415</v>
      </c>
      <c r="AV31" s="48">
        <f>SUM(AQ$5:AQ31)/'[1]资源-钻石'!O30</f>
        <v>-0.3270480711133989</v>
      </c>
      <c r="AW31" s="48">
        <f>SUM(AR$5:AR31)/'[1]资源-钻石'!P30</f>
        <v>-0.11020837742517685</v>
      </c>
      <c r="AX31" s="35">
        <f>('[1]资源-木石铜粮'!C32+U31)/'[1]资源-木石铜粮'!U32</f>
        <v>1.3415178156583971</v>
      </c>
      <c r="AY31" s="35">
        <f>('[1]资源-木石铜粮'!D32+V31)/'[1]资源-木石铜粮'!V32</f>
        <v>1.5909514198767043</v>
      </c>
      <c r="AZ31" s="35">
        <f>('[1]资源-木石铜粮'!E32+W31)/'[1]资源-木石铜粮'!W32</f>
        <v>1.8925001748065879</v>
      </c>
      <c r="BA31" s="35">
        <f>('[1]资源-木石铜粮'!F32+X31)/'[1]资源-木石铜粮'!X32</f>
        <v>2.8407639682813253</v>
      </c>
      <c r="BB31" s="35">
        <f>('[1]资源-木石铜粮'!G32+Y31)/'[1]资源-木石铜粮'!Y32</f>
        <v>2.1187670368152585</v>
      </c>
      <c r="BE31" s="39">
        <f t="shared" si="13"/>
        <v>2.0677742147727699E-4</v>
      </c>
      <c r="BF31" s="39">
        <f t="shared" si="14"/>
        <v>5.0467526780435411E-4</v>
      </c>
      <c r="BG31" s="39">
        <f t="shared" si="15"/>
        <v>5.9779093775334617E-4</v>
      </c>
      <c r="BH31" s="39">
        <f t="shared" si="16"/>
        <v>6.1212685922100961E-4</v>
      </c>
      <c r="BI31" s="39">
        <f t="shared" si="17"/>
        <v>5.8368842066055377E-4</v>
      </c>
      <c r="BK31" s="39">
        <f>BE31/求节点(节奏总纲!AM$4:AM$83,$G$5:$G$84,节奏总纲!P30)</f>
        <v>0.35973403054459313</v>
      </c>
      <c r="BL31" s="39">
        <f>BF31/求节点(节奏总纲!AN$4:AN$83,$G$5:$G$84,节奏总纲!Q30)</f>
        <v>0.90854285465840989</v>
      </c>
      <c r="BM31" s="39">
        <f>BG31/求节点(节奏总纲!AO$4:AO$83,$G$5:$G$84,节奏总纲!R30)</f>
        <v>1.1187936275052632</v>
      </c>
      <c r="BN31" s="39">
        <f>BH31/求节点(节奏总纲!AP$4:AP$83,$G$5:$G$84,节奏总纲!S30)</f>
        <v>1.1971167462169197</v>
      </c>
      <c r="BO31" s="39">
        <f>BI31/求节点(节奏总纲!AQ$4:AQ$83,$G$5:$G$84,节奏总纲!T30)</f>
        <v>1.2489306205136792</v>
      </c>
    </row>
    <row r="32" spans="5:75" x14ac:dyDescent="0.15">
      <c r="E32" s="26">
        <v>28</v>
      </c>
      <c r="F32" s="26">
        <f>节奏总纲!$BL31</f>
        <v>41.684581461949612</v>
      </c>
      <c r="G32" s="26">
        <f>数据索引!$E33</f>
        <v>3.1468643573396784E-4</v>
      </c>
      <c r="H32" s="26">
        <f>数据索引!J33</f>
        <v>7.0880096375534527E-4</v>
      </c>
      <c r="I32" s="54"/>
      <c r="J32" s="35">
        <v>28</v>
      </c>
      <c r="K32" s="55">
        <v>60</v>
      </c>
      <c r="L32" s="55">
        <f t="shared" si="2"/>
        <v>90</v>
      </c>
      <c r="M32" s="55"/>
      <c r="T32" s="35">
        <v>28</v>
      </c>
      <c r="U32" s="50">
        <f>INDEX($Q$5:$Q$21,MATCH(节奏总纲!BQ31,$N$5:$N$21,1))*(U$2+$K$2)*节奏总纲!W31*4*$C$5+U31</f>
        <v>12059408.836514976</v>
      </c>
      <c r="V32" s="50">
        <f>INDEX($Q$5:$Q$21,MATCH(节奏总纲!BR31,$N$5:$N$21,1))*(V$2+$K$2)*节奏总纲!X31*4*$C$5+V31</f>
        <v>38463878.101243682</v>
      </c>
      <c r="W32" s="50">
        <f>INDEX($Q$5:$Q$21,MATCH(节奏总纲!BS31,$N$5:$N$21,1))*(W$2+$K$2)*节奏总纲!Y31*4*$C$5+W31</f>
        <v>79809592.195349663</v>
      </c>
      <c r="X32" s="50">
        <f>INDEX($Q$5:$Q$21,MATCH(节奏总纲!BT31,$N$5:$N$21,1))*(X$2+$K$2)*节奏总纲!Z31*4*$C$5+X31</f>
        <v>121360181.7241697</v>
      </c>
      <c r="Y32" s="50">
        <f>INDEX($Q$5:$Q$21,MATCH(节奏总纲!BU31,$N$5:$N$21,1))*(Y$2+$K$2)*节奏总纲!AA31*4*$C$5+Y31</f>
        <v>71072929.464322731</v>
      </c>
      <c r="Z32" s="51">
        <f>SUMIFS($K$5:$K$1004,$J$5:$J$1004,"&lt;="&amp;U$2)*节奏总纲!W31*4+Z31</f>
        <v>2385.7618025475972</v>
      </c>
      <c r="AA32" s="51">
        <f>SUMIFS($K$5:$K$1004,$J$5:$J$1004,"&lt;="&amp;V$2)*节奏总纲!X31*4+AA31</f>
        <v>18689.103656436851</v>
      </c>
      <c r="AB32" s="51">
        <f>SUMIFS($K$5:$K$1004,$J$5:$J$1004,"&lt;="&amp;W$2)*节奏总纲!Y31*4+AB31</f>
        <v>46173.079621785175</v>
      </c>
      <c r="AC32" s="51">
        <f>SUMIFS($K$5:$K$1004,$J$5:$J$1004,"&lt;="&amp;X$2)*节奏总纲!Z31*4+AC31</f>
        <v>72169.055950884533</v>
      </c>
      <c r="AD32" s="51">
        <f>SUMIFS($K$5:$K$1004,$J$5:$J$1004,"&lt;="&amp;Y$2)*节奏总纲!AA31*4+AD31</f>
        <v>40442.956924426348</v>
      </c>
      <c r="AH32" s="35">
        <v>28</v>
      </c>
      <c r="AI32" s="47">
        <f>'[1]资源-木石铜粮'!AE33-U32</f>
        <v>-14867138.903989505</v>
      </c>
      <c r="AJ32" s="47">
        <f>'[1]资源-木石铜粮'!AF33-V32</f>
        <v>-30177139.503025435</v>
      </c>
      <c r="AK32" s="47">
        <f>'[1]资源-木石铜粮'!AG33-W32</f>
        <v>-55834020.472689748</v>
      </c>
      <c r="AL32" s="47">
        <f>'[1]资源-木石铜粮'!AH33-X32</f>
        <v>-99807228.993018478</v>
      </c>
      <c r="AM32" s="47">
        <f>'[1]资源-木石铜粮'!AI33-Y32</f>
        <v>-50547843.301636577</v>
      </c>
      <c r="AN32" s="47">
        <f>(AI32-AI31)*IF($AH32&lt;=10,'[1]功能-付费相关'!S43,'[1]功能-付费相关'!S33)</f>
        <v>-671.46773314346217</v>
      </c>
      <c r="AO32" s="47">
        <f>(AJ32-AJ31)*IF($AH32&lt;=10,'[1]功能-付费相关'!T43,'[1]功能-付费相关'!T33)</f>
        <v>-1185.4053537134246</v>
      </c>
      <c r="AP32" s="47">
        <f>(AK32-AK31)*IF($AH32&lt;=10,'[1]功能-付费相关'!U43,'[1]功能-付费相关'!U33)</f>
        <v>-1899.3359240943571</v>
      </c>
      <c r="AQ32" s="47">
        <f>(AL32-AL31)*IF($AH32&lt;=10,'[1]功能-付费相关'!V43,'[1]功能-付费相关'!V33)</f>
        <v>-2946.2026098094625</v>
      </c>
      <c r="AR32" s="47">
        <f>(AM32-AM31)*IF($AH32&lt;=10,'[1]功能-付费相关'!W43,'[1]功能-付费相关'!W33)</f>
        <v>-1404.8485436421083</v>
      </c>
      <c r="AS32" s="48">
        <f>SUM(AN$5:AN32)/'[1]资源-钻石'!L31</f>
        <v>-0.14736122962337764</v>
      </c>
      <c r="AT32" s="48">
        <f>SUM(AO$5:AO32)/'[1]资源-钻石'!M31</f>
        <v>-0.25883735913098754</v>
      </c>
      <c r="AU32" s="48">
        <f>SUM(AP$5:AP32)/'[1]资源-钻石'!N31</f>
        <v>-0.35941965196290632</v>
      </c>
      <c r="AV32" s="48">
        <f>SUM(AQ$5:AQ32)/'[1]资源-钻石'!O31</f>
        <v>-0.32450482526683183</v>
      </c>
      <c r="AW32" s="48">
        <f>SUM(AR$5:AR32)/'[1]资源-钻石'!P31</f>
        <v>-0.10967796193856277</v>
      </c>
      <c r="AX32" s="35">
        <f>('[1]资源-木石铜粮'!C33+U32)/'[1]资源-木石铜粮'!U33</f>
        <v>1.3561209136130368</v>
      </c>
      <c r="AY32" s="35">
        <f>('[1]资源-木石铜粮'!D33+V32)/'[1]资源-木石铜粮'!V33</f>
        <v>1.6044607232901336</v>
      </c>
      <c r="AZ32" s="35">
        <f>('[1]资源-木石铜粮'!E33+W32)/'[1]资源-木石铜粮'!W33</f>
        <v>1.8986832422635351</v>
      </c>
      <c r="BA32" s="35">
        <f>('[1]资源-木石铜粮'!F33+X32)/'[1]资源-木石铜粮'!X33</f>
        <v>2.820909897738141</v>
      </c>
      <c r="BB32" s="35">
        <f>('[1]资源-木石铜粮'!G33+Y32)/'[1]资源-木石铜粮'!Y33</f>
        <v>2.0884934195013973</v>
      </c>
      <c r="BE32" s="39">
        <f t="shared" si="13"/>
        <v>1.9783405927193472E-4</v>
      </c>
      <c r="BF32" s="39">
        <f t="shared" si="14"/>
        <v>4.8588713824549486E-4</v>
      </c>
      <c r="BG32" s="39">
        <f t="shared" si="15"/>
        <v>5.7854047805140369E-4</v>
      </c>
      <c r="BH32" s="39">
        <f t="shared" si="16"/>
        <v>5.9466832469740429E-4</v>
      </c>
      <c r="BI32" s="39">
        <f t="shared" si="17"/>
        <v>5.690346131677033E-4</v>
      </c>
      <c r="BK32" s="39">
        <f>BE32/求节点(节奏总纲!AM$4:AM$83,$G$5:$G$84,节奏总纲!P31)</f>
        <v>0.35562105916501363</v>
      </c>
      <c r="BL32" s="39">
        <f>BF32/求节点(节奏总纲!AN$4:AN$83,$G$5:$G$84,节奏总纲!Q31)</f>
        <v>0.90434348238310291</v>
      </c>
      <c r="BM32" s="39">
        <f>BG32/求节点(节奏总纲!AO$4:AO$83,$G$5:$G$84,节奏总纲!R31)</f>
        <v>1.1191327303314753</v>
      </c>
      <c r="BN32" s="39">
        <f>BH32/求节点(节奏总纲!AP$4:AP$83,$G$5:$G$84,节奏总纲!S31)</f>
        <v>1.2379242473531775</v>
      </c>
      <c r="BO32" s="39">
        <f>BI32/求节点(节奏总纲!AQ$4:AQ$83,$G$5:$G$84,节奏总纲!T31)</f>
        <v>1.3296992443754336</v>
      </c>
    </row>
    <row r="33" spans="5:67" x14ac:dyDescent="0.15">
      <c r="E33" s="26">
        <v>29</v>
      </c>
      <c r="F33" s="26">
        <f>节奏总纲!$BL32</f>
        <v>43.924726999026539</v>
      </c>
      <c r="G33" s="26">
        <f>数据索引!$E34</f>
        <v>2.9824256048041668E-4</v>
      </c>
      <c r="H33" s="26">
        <f>数据索引!J34</f>
        <v>6.7367496806675726E-4</v>
      </c>
      <c r="I33" s="54"/>
      <c r="J33" s="35">
        <v>29</v>
      </c>
      <c r="K33" s="55">
        <v>60</v>
      </c>
      <c r="L33" s="55">
        <f t="shared" si="2"/>
        <v>90</v>
      </c>
      <c r="M33" s="55"/>
      <c r="P33" s="26">
        <f>P27/$O27</f>
        <v>22500</v>
      </c>
      <c r="Q33" s="55">
        <f t="shared" ref="Q33:R33" si="20">Q27/$O27</f>
        <v>30000</v>
      </c>
      <c r="R33" s="55">
        <f t="shared" si="20"/>
        <v>37500</v>
      </c>
      <c r="S33" s="55">
        <f t="shared" ref="S33" si="21">S27/$O27</f>
        <v>50000</v>
      </c>
      <c r="T33" s="35">
        <v>29</v>
      </c>
      <c r="U33" s="50">
        <f>INDEX($Q$5:$Q$21,MATCH(节奏总纲!BQ32,$N$5:$N$21,1))*(U$2+$K$2)*节奏总纲!W32*4*$C$5+U32</f>
        <v>13585379.691980237</v>
      </c>
      <c r="V33" s="50">
        <f>INDEX($Q$5:$Q$21,MATCH(节奏总纲!BR32,$N$5:$N$21,1))*(V$2+$K$2)*节奏总纲!X32*4*$C$5+V32</f>
        <v>43174758.145870455</v>
      </c>
      <c r="W33" s="50">
        <f>INDEX($Q$5:$Q$21,MATCH(节奏总纲!BS32,$N$5:$N$21,1))*(W$2+$K$2)*节奏总纲!Y32*4*$C$5+W32</f>
        <v>89559925.131729469</v>
      </c>
      <c r="X33" s="50">
        <f>INDEX($Q$5:$Q$21,MATCH(节奏总纲!BT32,$N$5:$N$21,1))*(X$2+$K$2)*节奏总纲!Z32*4*$C$5+X32</f>
        <v>136155033.74519947</v>
      </c>
      <c r="Y33" s="50">
        <f>INDEX($Q$5:$Q$21,MATCH(节奏总纲!BU32,$N$5:$N$21,1))*(Y$2+$K$2)*节奏总纲!AA32*4*$C$5+Y32</f>
        <v>79443115.312648669</v>
      </c>
      <c r="Z33" s="51">
        <f>SUMIFS($K$5:$K$1004,$J$5:$J$1004,"&lt;="&amp;U$2)*节奏总纲!W32*4+Z32</f>
        <v>2585.7055729177832</v>
      </c>
      <c r="AA33" s="51">
        <f>SUMIFS($K$5:$K$1004,$J$5:$J$1004,"&lt;="&amp;V$2)*节奏总纲!X32*4+AA32</f>
        <v>20276.327391149378</v>
      </c>
      <c r="AB33" s="51">
        <f>SUMIFS($K$5:$K$1004,$J$5:$J$1004,"&lt;="&amp;W$2)*节奏总纲!Y32*4+AB32</f>
        <v>50231.209312287312</v>
      </c>
      <c r="AC33" s="51">
        <f>SUMIFS($K$5:$K$1004,$J$5:$J$1004,"&lt;="&amp;X$2)*节奏总纲!Z32*4+AC32</f>
        <v>78733.183272002731</v>
      </c>
      <c r="AD33" s="51">
        <f>SUMIFS($K$5:$K$1004,$J$5:$J$1004,"&lt;="&amp;Y$2)*节奏总纲!AA32*4+AD32</f>
        <v>44156.611209831557</v>
      </c>
      <c r="AH33" s="35">
        <v>29</v>
      </c>
      <c r="AI33" s="47">
        <f>'[1]资源-木石铜粮'!AE34-U33</f>
        <v>-17136650.721175931</v>
      </c>
      <c r="AJ33" s="47">
        <f>'[1]资源-木石铜粮'!AF34-V33</f>
        <v>-34281304.781775787</v>
      </c>
      <c r="AK33" s="47">
        <f>'[1]资源-木石铜粮'!AG34-W33</f>
        <v>-63012155.572177455</v>
      </c>
      <c r="AL33" s="47">
        <f>'[1]资源-木石铜粮'!AH34-X33</f>
        <v>-111697539.7548072</v>
      </c>
      <c r="AM33" s="47">
        <f>'[1]资源-木石铜粮'!AI34-Y33</f>
        <v>-55591361.199495971</v>
      </c>
      <c r="AN33" s="47">
        <f>(AI33-AI32)*IF($AH33&lt;=10,'[1]功能-付费相关'!S44,'[1]功能-付费相关'!S34)</f>
        <v>-708.75637384032541</v>
      </c>
      <c r="AO33" s="47">
        <f>(AJ33-AJ32)*IF($AH33&lt;=10,'[1]功能-付费相关'!T44,'[1]功能-付费相关'!T34)</f>
        <v>-1259.9373160733624</v>
      </c>
      <c r="AP33" s="47">
        <f>(AK33-AK32)*IF($AH33&lt;=10,'[1]功能-付费相关'!U44,'[1]功能-付费相关'!U34)</f>
        <v>-2140.8253915455643</v>
      </c>
      <c r="AQ33" s="47">
        <f>(AL33-AL32)*IF($AH33&lt;=10,'[1]功能-付费相关'!V44,'[1]功能-付费相关'!V34)</f>
        <v>-3331.4010024663398</v>
      </c>
      <c r="AR33" s="47">
        <f>(AM33-AM32)*IF($AH33&lt;=10,'[1]功能-付费相关'!W44,'[1]功能-付费相关'!W34)</f>
        <v>-1455.1698909758966</v>
      </c>
      <c r="AS33" s="48">
        <f>SUM(AN$5:AN33)/'[1]资源-钻石'!L32</f>
        <v>-0.14867791184339688</v>
      </c>
      <c r="AT33" s="48">
        <f>SUM(AO$5:AO33)/'[1]资源-钻石'!M32</f>
        <v>-0.25842126536903154</v>
      </c>
      <c r="AU33" s="48">
        <f>SUM(AP$5:AP33)/'[1]资源-钻石'!N32</f>
        <v>-0.35704720060416645</v>
      </c>
      <c r="AV33" s="48">
        <f>SUM(AQ$5:AQ33)/'[1]资源-钻石'!O32</f>
        <v>-0.32114265806385972</v>
      </c>
      <c r="AW33" s="48">
        <f>SUM(AR$5:AR33)/'[1]资源-钻石'!P32</f>
        <v>-0.10868014037259695</v>
      </c>
      <c r="AX33" s="35">
        <f>('[1]资源-木石铜粮'!C34+U33)/'[1]资源-木石铜粮'!U34</f>
        <v>1.3700286119896428</v>
      </c>
      <c r="AY33" s="35">
        <f>('[1]资源-木石铜粮'!D34+V33)/'[1]资源-木石铜粮'!V34</f>
        <v>1.6177342753746777</v>
      </c>
      <c r="AZ33" s="35">
        <f>('[1]资源-木石铜粮'!E34+W33)/'[1]资源-木石铜粮'!W34</f>
        <v>1.9093477746746605</v>
      </c>
      <c r="BA33" s="35">
        <f>('[1]资源-木石铜粮'!F34+X33)/'[1]资源-木石铜粮'!X34</f>
        <v>2.8095616575790356</v>
      </c>
      <c r="BB33" s="35">
        <f>('[1]资源-木石铜粮'!G34+Y33)/'[1]资源-木石铜粮'!Y34</f>
        <v>2.056050240133168</v>
      </c>
      <c r="BE33" s="39">
        <f t="shared" si="13"/>
        <v>1.9033001885432652E-4</v>
      </c>
      <c r="BF33" s="39">
        <f t="shared" si="14"/>
        <v>4.6963383842576898E-4</v>
      </c>
      <c r="BG33" s="39">
        <f t="shared" si="15"/>
        <v>5.6086703107896302E-4</v>
      </c>
      <c r="BH33" s="39">
        <f t="shared" si="16"/>
        <v>5.7826127397789793E-4</v>
      </c>
      <c r="BI33" s="39">
        <f t="shared" si="17"/>
        <v>5.5582678292578349E-4</v>
      </c>
      <c r="BK33" s="39">
        <f>BE33/求节点(节奏总纲!AM$4:AM$83,$G$5:$G$84,节奏总纲!P32)</f>
        <v>0.35372023500928729</v>
      </c>
      <c r="BL33" s="39">
        <f>BF33/求节点(节奏总纲!AN$4:AN$83,$G$5:$G$84,节奏总纲!Q32)</f>
        <v>0.90371061671235553</v>
      </c>
      <c r="BM33" s="39">
        <f>BG33/求节点(节奏总纲!AO$4:AO$83,$G$5:$G$84,节奏总纲!R32)</f>
        <v>1.1459290905742068</v>
      </c>
      <c r="BN33" s="39">
        <f>BH33/求节点(节奏总纲!AP$4:AP$83,$G$5:$G$84,节奏总纲!S32)</f>
        <v>1.3143055003055595</v>
      </c>
      <c r="BO33" s="39">
        <f>BI33/求节点(节奏总纲!AQ$4:AQ$83,$G$5:$G$84,节奏总纲!T32)</f>
        <v>1.3497302759250656</v>
      </c>
    </row>
    <row r="34" spans="5:67" x14ac:dyDescent="0.15">
      <c r="E34" s="26">
        <v>30</v>
      </c>
      <c r="F34" s="26">
        <f>节奏总纲!$BL33</f>
        <v>46.203853617695223</v>
      </c>
      <c r="G34" s="26">
        <f>数据索引!$E35</f>
        <v>2.8272768762665514E-4</v>
      </c>
      <c r="H34" s="26">
        <f>数据索引!J35</f>
        <v>6.4050995380406485E-4</v>
      </c>
      <c r="I34" s="54"/>
      <c r="J34" s="35">
        <v>30</v>
      </c>
      <c r="K34" s="55">
        <v>60</v>
      </c>
      <c r="L34" s="55">
        <f t="shared" si="2"/>
        <v>90</v>
      </c>
      <c r="M34" s="55"/>
      <c r="P34" s="55">
        <f t="shared" ref="P34:R34" si="22">P28/$O28</f>
        <v>15000</v>
      </c>
      <c r="Q34" s="55">
        <f t="shared" si="22"/>
        <v>20000</v>
      </c>
      <c r="R34" s="55">
        <f t="shared" si="22"/>
        <v>25000</v>
      </c>
      <c r="S34" s="55">
        <f t="shared" ref="S34" si="23">S28/$O28</f>
        <v>33333.333333333336</v>
      </c>
      <c r="T34" s="35">
        <v>30</v>
      </c>
      <c r="U34" s="50">
        <f>INDEX($Q$5:$Q$21,MATCH(节奏总纲!BQ33,$N$5:$N$21,1))*(U$2+$K$2)*节奏总纲!W33*4*$C$5+U33</f>
        <v>15220874.759471718</v>
      </c>
      <c r="V34" s="50">
        <f>INDEX($Q$5:$Q$21,MATCH(节奏总纲!BR33,$N$5:$N$21,1))*(V$2+$K$2)*节奏总纲!X33*4*$C$5+V33</f>
        <v>48199678.928939097</v>
      </c>
      <c r="W34" s="50">
        <f>INDEX($Q$5:$Q$21,MATCH(节奏总纲!BS33,$N$5:$N$21,1))*(W$2+$K$2)*节奏总纲!Y33*4*$C$5+W33</f>
        <v>99707517.370740503</v>
      </c>
      <c r="X34" s="50">
        <f>INDEX($Q$5:$Q$21,MATCH(节奏总纲!BT33,$N$5:$N$21,1))*(X$2+$K$2)*节奏总纲!Z33*4*$C$5+X33</f>
        <v>151041865.87360761</v>
      </c>
      <c r="Y34" s="50">
        <f>INDEX($Q$5:$Q$21,MATCH(节奏总纲!BU33,$N$5:$N$21,1))*(Y$2+$K$2)*节奏总纲!AA33*4*$C$5+Y33</f>
        <v>87871213.870026201</v>
      </c>
      <c r="Z34" s="51">
        <f>SUMIFS($K$5:$K$1004,$J$5:$J$1004,"&lt;="&amp;U$2)*节奏总纲!W33*4+Z33</f>
        <v>2800</v>
      </c>
      <c r="AA34" s="51">
        <f>SUMIFS($K$5:$K$1004,$J$5:$J$1004,"&lt;="&amp;V$2)*节奏总纲!X33*4+AA33</f>
        <v>21969.359999999997</v>
      </c>
      <c r="AB34" s="51">
        <f>SUMIFS($K$5:$K$1004,$J$5:$J$1004,"&lt;="&amp;W$2)*节奏总纲!Y33*4+AB33</f>
        <v>54454.680000000008</v>
      </c>
      <c r="AC34" s="51">
        <f>SUMIFS($K$5:$K$1004,$J$5:$J$1004,"&lt;="&amp;X$2)*节奏总纲!Z33*4+AC33</f>
        <v>85338.119999999981</v>
      </c>
      <c r="AD34" s="51">
        <f>SUMIFS($K$5:$K$1004,$J$5:$J$1004,"&lt;="&amp;Y$2)*节奏总纲!AA33*4+AD33</f>
        <v>47895.959999999992</v>
      </c>
      <c r="AH34" s="35">
        <v>30</v>
      </c>
      <c r="AI34" s="47">
        <f>'[1]资源-木石铜粮'!AE35-U34</f>
        <v>-19802346.549974699</v>
      </c>
      <c r="AJ34" s="47">
        <f>'[1]资源-木石铜粮'!AF35-V34</f>
        <v>-38602237.80209022</v>
      </c>
      <c r="AK34" s="47">
        <f>'[1]资源-木石铜粮'!AG35-W34</f>
        <v>-70297440.219126359</v>
      </c>
      <c r="AL34" s="47">
        <f>'[1]资源-木石铜粮'!AH35-X34</f>
        <v>-123365267.33970541</v>
      </c>
      <c r="AM34" s="47">
        <f>'[1]资源-木石铜粮'!AI35-Y34</f>
        <v>-60459316.140596181</v>
      </c>
      <c r="AN34" s="47">
        <f>(AI34-AI33)*IF($AH34&lt;=10,'[1]功能-付费相关'!S45,'[1]功能-付费相关'!S35)</f>
        <v>-789.34149538226552</v>
      </c>
      <c r="AO34" s="47">
        <f>(AJ34-AJ33)*IF($AH34&lt;=10,'[1]功能-付费相关'!T45,'[1]功能-付费相关'!T35)</f>
        <v>-1257.1249466200766</v>
      </c>
      <c r="AP34" s="47">
        <f>(AK34-AK33)*IF($AH34&lt;=10,'[1]功能-付费相关'!U45,'[1]功能-付费相关'!U35)</f>
        <v>-2059.7516819338362</v>
      </c>
      <c r="AQ34" s="47">
        <f>(AL34-AL33)*IF($AH34&lt;=10,'[1]功能-付费相关'!V45,'[1]功能-付费相关'!V35)</f>
        <v>-3095.2289971080963</v>
      </c>
      <c r="AR34" s="47">
        <f>(AM34-AM33)*IF($AH34&lt;=10,'[1]功能-付费相关'!W45,'[1]功能-付费相关'!W35)</f>
        <v>-1321.5783806954009</v>
      </c>
      <c r="AS34" s="48">
        <f>SUM(AN$5:AN34)/'[1]资源-钻石'!L33</f>
        <v>-0.15035173285007805</v>
      </c>
      <c r="AT34" s="48">
        <f>SUM(AO$5:AO34)/'[1]资源-钻石'!M33</f>
        <v>-0.25691258561264896</v>
      </c>
      <c r="AU34" s="48">
        <f>SUM(AP$5:AP34)/'[1]资源-钻石'!N33</f>
        <v>-0.35325162446146507</v>
      </c>
      <c r="AV34" s="48">
        <f>SUM(AQ$5:AQ34)/'[1]资源-钻石'!O33</f>
        <v>-0.31685382980019716</v>
      </c>
      <c r="AW34" s="48">
        <f>SUM(AR$5:AR34)/'[1]资源-钻石'!P33</f>
        <v>-0.10728245023709677</v>
      </c>
      <c r="AX34" s="35">
        <f>('[1]资源-木石铜粮'!C35+U34)/'[1]资源-木石铜粮'!U35</f>
        <v>1.3856541124387465</v>
      </c>
      <c r="AY34" s="35">
        <f>('[1]资源-木石铜粮'!D35+V34)/'[1]资源-木石铜粮'!V35</f>
        <v>1.6266927780111142</v>
      </c>
      <c r="AZ34" s="35">
        <f>('[1]资源-木石铜粮'!E35+W34)/'[1]资源-木石铜粮'!W35</f>
        <v>1.9123565314731314</v>
      </c>
      <c r="BA34" s="35">
        <f>('[1]资源-木石铜粮'!F35+X34)/'[1]资源-木石铜粮'!X35</f>
        <v>2.7854704543861</v>
      </c>
      <c r="BB34" s="35">
        <f>('[1]资源-木石铜粮'!G35+Y34)/'[1]资源-木石铜粮'!Y35</f>
        <v>2.0210955244083473</v>
      </c>
      <c r="BE34" s="39">
        <f t="shared" si="13"/>
        <v>1.8395788969077502E-4</v>
      </c>
      <c r="BF34" s="39">
        <f t="shared" si="14"/>
        <v>4.557988868014967E-4</v>
      </c>
      <c r="BG34" s="39">
        <f t="shared" si="15"/>
        <v>5.4614417684799277E-4</v>
      </c>
      <c r="BH34" s="39">
        <f t="shared" si="16"/>
        <v>5.649964631091835E-4</v>
      </c>
      <c r="BI34" s="39">
        <f t="shared" si="17"/>
        <v>5.4506997104700075E-4</v>
      </c>
      <c r="BK34" s="39">
        <f>BE34/求节点(节奏总纲!AM$4:AM$83,$G$5:$G$84,节奏总纲!P33)</f>
        <v>0.35311099327525902</v>
      </c>
      <c r="BL34" s="39">
        <f>BF34/求节点(节奏总纲!AN$4:AN$83,$G$5:$G$84,节奏总纲!Q33)</f>
        <v>0.91825670839886631</v>
      </c>
      <c r="BM34" s="39">
        <f>BG34/求节点(节奏总纲!AO$4:AO$83,$G$5:$G$84,节奏总纲!R33)</f>
        <v>1.2059935159800499</v>
      </c>
      <c r="BN34" s="39">
        <f>BH34/求节点(节奏总纲!AP$4:AP$83,$G$5:$G$84,节奏总纲!S33)</f>
        <v>1.3507952421456508</v>
      </c>
      <c r="BO34" s="39">
        <f>BI34/求节点(节奏总纲!AQ$4:AQ$83,$G$5:$G$84,节奏总纲!T33)</f>
        <v>1.3772589951555696</v>
      </c>
    </row>
    <row r="35" spans="5:67" x14ac:dyDescent="0.15">
      <c r="E35" s="26">
        <v>31</v>
      </c>
      <c r="F35" s="26">
        <f>节奏总纲!$BL34</f>
        <v>48.49295716189016</v>
      </c>
      <c r="G35" s="26">
        <f>数据索引!$E36</f>
        <v>2.654510561445276E-4</v>
      </c>
      <c r="H35" s="26">
        <f>数据索引!J36</f>
        <v>6.0233490071571311E-4</v>
      </c>
      <c r="I35" s="54"/>
      <c r="J35" s="35">
        <v>31</v>
      </c>
      <c r="K35" s="55">
        <v>60</v>
      </c>
      <c r="L35" s="55">
        <f t="shared" si="2"/>
        <v>90</v>
      </c>
      <c r="M35" s="55"/>
      <c r="P35" s="55">
        <f t="shared" ref="P35:R35" si="24">P29/$O29</f>
        <v>11250</v>
      </c>
      <c r="Q35" s="55">
        <f t="shared" si="24"/>
        <v>15000</v>
      </c>
      <c r="R35" s="55">
        <f t="shared" si="24"/>
        <v>18750</v>
      </c>
      <c r="S35" s="55">
        <f t="shared" ref="S35" si="25">S29/$O29</f>
        <v>25000</v>
      </c>
      <c r="T35" s="35">
        <v>31</v>
      </c>
      <c r="U35" s="50">
        <f>INDEX($Q$5:$Q$21,MATCH(节奏总纲!BQ34,$N$5:$N$21,1))*(U$2+$K$2)*节奏总纲!W34*4*$C$5+U34</f>
        <v>16973754.970918078</v>
      </c>
      <c r="V35" s="50">
        <f>INDEX($Q$5:$Q$21,MATCH(节奏总纲!BR34,$N$5:$N$21,1))*(V$2+$K$2)*节奏总纲!X34*4*$C$5+V34</f>
        <v>53637263.866939448</v>
      </c>
      <c r="W35" s="50">
        <f>INDEX($Q$5:$Q$21,MATCH(节奏总纲!BS34,$N$5:$N$21,1))*(W$2+$K$2)*节奏总纲!Y34*4*$C$5+W34</f>
        <v>110636155.19112872</v>
      </c>
      <c r="X35" s="50">
        <f>INDEX($Q$5:$Q$21,MATCH(节奏总纲!BT34,$N$5:$N$21,1))*(X$2+$K$2)*节奏总纲!Z34*4*$C$5+X34</f>
        <v>166935929.39119166</v>
      </c>
      <c r="Y35" s="50">
        <f>INDEX($Q$5:$Q$21,MATCH(节奏总纲!BU34,$N$5:$N$21,1))*(Y$2+$K$2)*节奏总纲!AA34*4*$C$5+Y34</f>
        <v>96998669.511344492</v>
      </c>
      <c r="Z35" s="51">
        <f>SUMIFS($K$5:$K$1004,$J$5:$J$1004,"&lt;="&amp;U$2)*节奏总纲!W34*4+Z34</f>
        <v>3029.6750801161375</v>
      </c>
      <c r="AA35" s="51">
        <f>SUMIFS($K$5:$K$1004,$J$5:$J$1004,"&lt;="&amp;V$2)*节奏总纲!X34*4+AA34</f>
        <v>23801.430396900385</v>
      </c>
      <c r="AB35" s="51">
        <f>SUMIFS($K$5:$K$1004,$J$5:$J$1004,"&lt;="&amp;W$2)*节奏总纲!Y34*4+AB34</f>
        <v>59003.225152769795</v>
      </c>
      <c r="AC35" s="51">
        <f>SUMIFS($K$5:$K$1004,$J$5:$J$1004,"&lt;="&amp;X$2)*节奏总纲!Z34*4+AC34</f>
        <v>92389.941568141599</v>
      </c>
      <c r="AD35" s="51">
        <f>SUMIFS($K$5:$K$1004,$J$5:$J$1004,"&lt;="&amp;Y$2)*节奏总纲!AA34*4+AD34</f>
        <v>51945.597053639249</v>
      </c>
      <c r="AH35" s="35">
        <v>31</v>
      </c>
      <c r="AI35" s="47">
        <f>'[1]资源-木石铜粮'!AE36-U35</f>
        <v>-21611423.031428326</v>
      </c>
      <c r="AJ35" s="47">
        <f>'[1]资源-木石铜粮'!AF36-V35</f>
        <v>-42393873.680651762</v>
      </c>
      <c r="AK35" s="47">
        <f>'[1]资源-木石铜粮'!AG36-W35</f>
        <v>-77159899.829049602</v>
      </c>
      <c r="AL35" s="47">
        <f>'[1]资源-木石铜粮'!AH36-X35</f>
        <v>-134737324.98559844</v>
      </c>
      <c r="AM35" s="47">
        <f>'[1]资源-木石铜粮'!AI36-Y35</f>
        <v>-64312803.130126014</v>
      </c>
      <c r="AN35" s="47">
        <f>(AI35-AI34)*IF($AH35&lt;=10,'[1]功能-付费相关'!S46,'[1]功能-付费相关'!S36)</f>
        <v>-503.08280448744881</v>
      </c>
      <c r="AO35" s="47">
        <f>(AJ35-AJ34)*IF($AH35&lt;=10,'[1]功能-付费相关'!T46,'[1]功能-付费相关'!T36)</f>
        <v>-1035.4094951078623</v>
      </c>
      <c r="AP35" s="47">
        <f>(AK35-AK34)*IF($AH35&lt;=10,'[1]功能-付费相关'!U46,'[1]功能-付费相关'!U36)</f>
        <v>-1821.6471512032879</v>
      </c>
      <c r="AQ35" s="47">
        <f>(AL35-AL34)*IF($AH35&lt;=10,'[1]功能-付费相关'!V46,'[1]功能-付费相关'!V36)</f>
        <v>-2829.2701779674244</v>
      </c>
      <c r="AR35" s="47">
        <f>(AM35-AM34)*IF($AH35&lt;=10,'[1]功能-付费相关'!W46,'[1]功能-付费相关'!W36)</f>
        <v>-966.51534597505781</v>
      </c>
      <c r="AS35" s="48">
        <f>SUM(AN$5:AN35)/'[1]资源-钻石'!L34</f>
        <v>-0.15052457087084881</v>
      </c>
      <c r="AT35" s="48">
        <f>SUM(AO$5:AO35)/'[1]资源-钻石'!M34</f>
        <v>-0.25158153891388924</v>
      </c>
      <c r="AU35" s="48">
        <f>SUM(AP$5:AP35)/'[1]资源-钻石'!N34</f>
        <v>-0.34606571957265658</v>
      </c>
      <c r="AV35" s="48">
        <f>SUM(AQ$5:AQ35)/'[1]资源-钻石'!O34</f>
        <v>-0.31052593377213422</v>
      </c>
      <c r="AW35" s="48">
        <f>SUM(AR$5:AR35)/'[1]资源-钻石'!P34</f>
        <v>-0.10439550246710497</v>
      </c>
      <c r="AX35" s="35">
        <f>('[1]资源-木石铜粮'!C36+U35)/'[1]资源-木石铜粮'!U36</f>
        <v>1.3712459059816027</v>
      </c>
      <c r="AY35" s="35">
        <f>('[1]资源-木石铜粮'!D36+V35)/'[1]资源-木石铜粮'!V36</f>
        <v>1.607787822425339</v>
      </c>
      <c r="AZ35" s="35">
        <f>('[1]资源-木石铜粮'!E36+W35)/'[1]资源-木石铜粮'!W36</f>
        <v>1.8889103755035435</v>
      </c>
      <c r="BA35" s="35">
        <f>('[1]资源-木石铜粮'!F36+X35)/'[1]资源-木石铜粮'!X36</f>
        <v>2.7177887750306766</v>
      </c>
      <c r="BB35" s="35">
        <f>('[1]资源-木石铜粮'!G36+Y35)/'[1]资源-木石铜粮'!Y36</f>
        <v>1.9442915164262693</v>
      </c>
      <c r="BE35" s="39">
        <f t="shared" si="13"/>
        <v>1.7849174123857805E-4</v>
      </c>
      <c r="BF35" s="39">
        <f t="shared" si="14"/>
        <v>4.4374803412690372E-4</v>
      </c>
      <c r="BG35" s="39">
        <f t="shared" si="15"/>
        <v>5.3330870953386973E-4</v>
      </c>
      <c r="BH35" s="39">
        <f t="shared" si="16"/>
        <v>5.5344551592388679E-4</v>
      </c>
      <c r="BI35" s="39">
        <f t="shared" si="17"/>
        <v>5.3552896462733381E-4</v>
      </c>
      <c r="BK35" s="39">
        <f>BE35/求节点(节奏总纲!AM$4:AM$83,$G$5:$G$84,节奏总纲!P34)</f>
        <v>0.35740612681915623</v>
      </c>
      <c r="BL35" s="39">
        <f>BF35/求节点(节奏总纲!AN$4:AN$83,$G$5:$G$84,节奏总纲!Q34)</f>
        <v>0.96327292202836268</v>
      </c>
      <c r="BM35" s="39">
        <f>BG35/求节点(节奏总纲!AO$4:AO$83,$G$5:$G$84,节奏总纲!R34)</f>
        <v>1.2600056979841936</v>
      </c>
      <c r="BN35" s="39">
        <f>BH35/求节点(节奏总纲!AP$4:AP$83,$G$5:$G$84,节奏总纲!S34)</f>
        <v>1.3734885534075585</v>
      </c>
      <c r="BO35" s="39">
        <f>BI35/求节点(节奏总纲!AQ$4:AQ$83,$G$5:$G$84,节奏总纲!T34)</f>
        <v>1.3928270981658171</v>
      </c>
    </row>
    <row r="36" spans="5:67" x14ac:dyDescent="0.15">
      <c r="E36" s="26">
        <v>32</v>
      </c>
      <c r="F36" s="26">
        <f>节奏总纲!$BL35</f>
        <v>50.840747976078326</v>
      </c>
      <c r="G36" s="26">
        <f>数据索引!$E37</f>
        <v>2.4938361718994867E-4</v>
      </c>
      <c r="H36" s="26">
        <f>数据索引!J37</f>
        <v>5.6690731876041548E-4</v>
      </c>
      <c r="I36" s="54"/>
      <c r="J36" s="35">
        <v>32</v>
      </c>
      <c r="K36" s="55">
        <v>60</v>
      </c>
      <c r="L36" s="55">
        <f t="shared" si="2"/>
        <v>90</v>
      </c>
      <c r="M36" s="55"/>
      <c r="P36" s="55">
        <f t="shared" ref="P36:R36" si="26">P30/$O30</f>
        <v>10000</v>
      </c>
      <c r="Q36" s="55">
        <f t="shared" si="26"/>
        <v>13333.333333333334</v>
      </c>
      <c r="R36" s="55">
        <f t="shared" si="26"/>
        <v>16666.666666666668</v>
      </c>
      <c r="S36" s="55">
        <f t="shared" ref="S36" si="27">S30/$O30</f>
        <v>22222.222222222223</v>
      </c>
      <c r="T36" s="35">
        <v>32</v>
      </c>
      <c r="U36" s="50">
        <f>INDEX($Q$5:$Q$21,MATCH(节奏总纲!BQ35,$N$5:$N$21,1))*(U$2+$K$2)*节奏总纲!W35*4*$C$5+U35</f>
        <v>18852445.464551304</v>
      </c>
      <c r="V36" s="50">
        <f>INDEX($Q$5:$Q$21,MATCH(节奏总纲!BR35,$N$5:$N$21,1))*(V$2+$K$2)*节奏总纲!X35*4*$C$5+V35</f>
        <v>59411946.767550103</v>
      </c>
      <c r="W36" s="50">
        <f>INDEX($Q$5:$Q$21,MATCH(节奏总纲!BS35,$N$5:$N$21,1))*(W$2+$K$2)*节奏总纲!Y35*4*$C$5+W35</f>
        <v>122133249.54701935</v>
      </c>
      <c r="X36" s="50">
        <f>INDEX($Q$5:$Q$21,MATCH(节奏总纲!BT35,$N$5:$N$21,1))*(X$2+$K$2)*节奏总纲!Z35*4*$C$5+X35</f>
        <v>184065529.38187128</v>
      </c>
      <c r="Y36" s="50">
        <f>INDEX($Q$5:$Q$21,MATCH(节奏总纲!BU35,$N$5:$N$21,1))*(Y$2+$K$2)*节奏总纲!AA35*4*$C$5+Y35</f>
        <v>106595526.81088029</v>
      </c>
      <c r="Z36" s="51">
        <f>SUMIFS($K$5:$K$1004,$J$5:$J$1004,"&lt;="&amp;U$2)*节奏总纲!W35*4+Z35</f>
        <v>3275.8347359905119</v>
      </c>
      <c r="AA36" s="51">
        <f>SUMIFS($K$5:$K$1004,$J$5:$J$1004,"&lt;="&amp;V$2)*节奏总纲!X35*4+AA35</f>
        <v>25747.078274464624</v>
      </c>
      <c r="AB36" s="51">
        <f>SUMIFS($K$5:$K$1004,$J$5:$J$1004,"&lt;="&amp;W$2)*节奏总纲!Y35*4+AB35</f>
        <v>63788.364313101636</v>
      </c>
      <c r="AC36" s="51">
        <f>SUMIFS($K$5:$K$1004,$J$5:$J$1004,"&lt;="&amp;X$2)*节奏总纲!Z35*4+AC35</f>
        <v>99989.941564006367</v>
      </c>
      <c r="AD36" s="51">
        <f>SUMIFS($K$5:$K$1004,$J$5:$J$1004,"&lt;="&amp;Y$2)*节奏总纲!AA35*4+AD35</f>
        <v>56203.496565389207</v>
      </c>
      <c r="AH36" s="35">
        <v>32</v>
      </c>
      <c r="AI36" s="47">
        <f>'[1]资源-木石铜粮'!AE37-U36</f>
        <v>-24577149.609910879</v>
      </c>
      <c r="AJ36" s="47">
        <f>'[1]资源-木石铜粮'!AF37-V36</f>
        <v>-47481676.325958468</v>
      </c>
      <c r="AK36" s="47">
        <f>'[1]资源-木石铜粮'!AG37-W36</f>
        <v>-85339645.762781516</v>
      </c>
      <c r="AL36" s="47">
        <f>'[1]资源-木石铜粮'!AH37-X36</f>
        <v>-147946562.54995137</v>
      </c>
      <c r="AM36" s="47">
        <f>'[1]资源-木石铜粮'!AI37-Y36</f>
        <v>-69382384.359686971</v>
      </c>
      <c r="AN36" s="47">
        <f>(AI36-AI35)*IF($AH36&lt;=10,'[1]功能-付费相关'!S47,'[1]功能-付费相关'!S37)</f>
        <v>-775.01298447054626</v>
      </c>
      <c r="AO36" s="47">
        <f>(AJ36-AJ35)*IF($AH36&lt;=10,'[1]功能-付费相关'!T47,'[1]功能-付费相关'!T37)</f>
        <v>-1304.8708035862203</v>
      </c>
      <c r="AP36" s="47">
        <f>(AK36-AK35)*IF($AH36&lt;=10,'[1]功能-付费相关'!U47,'[1]功能-付费相关'!U37)</f>
        <v>-2039.8946286488388</v>
      </c>
      <c r="AQ36" s="47">
        <f>(AL36-AL35)*IF($AH36&lt;=10,'[1]功能-付费相关'!V47,'[1]功能-付费相关'!V37)</f>
        <v>-3083.4576775857809</v>
      </c>
      <c r="AR36" s="47">
        <f>(AM36-AM35)*IF($AH36&lt;=10,'[1]功能-付费相关'!W47,'[1]功能-付费相关'!W37)</f>
        <v>-1175.6769949974864</v>
      </c>
      <c r="AS36" s="48">
        <f>SUM(AN$5:AN36)/'[1]资源-钻石'!L35</f>
        <v>-0.15394757828132855</v>
      </c>
      <c r="AT36" s="48">
        <f>SUM(AO$5:AO36)/'[1]资源-钻石'!M35</f>
        <v>-0.25036356657028669</v>
      </c>
      <c r="AU36" s="48">
        <f>SUM(AP$5:AP36)/'[1]资源-钻石'!N35</f>
        <v>-0.34053973253191383</v>
      </c>
      <c r="AV36" s="48">
        <f>SUM(AQ$5:AQ36)/'[1]资源-钻石'!O35</f>
        <v>-0.30470262442819779</v>
      </c>
      <c r="AW36" s="48">
        <f>SUM(AR$5:AR36)/'[1]资源-钻石'!P35</f>
        <v>-0.10219163202396403</v>
      </c>
      <c r="AX36" s="35">
        <f>('[1]资源-木石铜粮'!C37+U36)/'[1]资源-木石铜粮'!U37</f>
        <v>1.3795230421457731</v>
      </c>
      <c r="AY36" s="35">
        <f>('[1]资源-木石铜粮'!D37+V36)/'[1]资源-木石铜粮'!V37</f>
        <v>1.6126419333038018</v>
      </c>
      <c r="AZ36" s="35">
        <f>('[1]资源-木石铜粮'!E37+W36)/'[1]资源-木石铜粮'!W37</f>
        <v>1.8865937629561635</v>
      </c>
      <c r="BA36" s="35">
        <f>('[1]资源-木石铜粮'!F37+X36)/'[1]资源-木石铜粮'!X37</f>
        <v>2.6871229337273075</v>
      </c>
      <c r="BB36" s="35">
        <f>('[1]资源-木石铜粮'!G37+Y36)/'[1]资源-木石铜粮'!Y37</f>
        <v>1.9064759369325992</v>
      </c>
      <c r="BE36" s="39">
        <f t="shared" si="13"/>
        <v>1.7376179351109335E-4</v>
      </c>
      <c r="BF36" s="39">
        <f t="shared" si="14"/>
        <v>4.3336533601903926E-4</v>
      </c>
      <c r="BG36" s="39">
        <f t="shared" si="15"/>
        <v>5.2228500060128296E-4</v>
      </c>
      <c r="BH36" s="39">
        <f t="shared" si="16"/>
        <v>5.4323013059421016E-4</v>
      </c>
      <c r="BI36" s="39">
        <f t="shared" si="17"/>
        <v>5.272594286728782E-4</v>
      </c>
      <c r="BK36" s="39">
        <f>BE36/求节点(节奏总纲!AM$4:AM$83,$G$5:$G$84,节奏总纲!P35)</f>
        <v>0.37378936148934705</v>
      </c>
      <c r="BL36" s="39">
        <f>BF36/求节点(节奏总纲!AN$4:AN$83,$G$5:$G$84,节奏总纲!Q35)</f>
        <v>1.0160069630341801</v>
      </c>
      <c r="BM36" s="39">
        <f>BG36/求节点(节奏总纲!AO$4:AO$83,$G$5:$G$84,节奏总纲!R35)</f>
        <v>1.2781450598473159</v>
      </c>
      <c r="BN36" s="39">
        <f>BH36/求节点(节奏总纲!AP$4:AP$83,$G$5:$G$84,节奏总纲!S35)</f>
        <v>1.3931802220871925</v>
      </c>
      <c r="BO36" s="39">
        <f>BI36/求节点(节奏总纲!AQ$4:AQ$83,$G$5:$G$84,节奏总纲!T35)</f>
        <v>1.4149405654249188</v>
      </c>
    </row>
    <row r="37" spans="5:67" x14ac:dyDescent="0.15">
      <c r="E37" s="26">
        <v>33</v>
      </c>
      <c r="F37" s="26">
        <f>节奏总纲!$BL36</f>
        <v>53.035165520933894</v>
      </c>
      <c r="G37" s="26">
        <f>数据索引!$E38</f>
        <v>2.3443628141979735E-4</v>
      </c>
      <c r="H37" s="26">
        <f>数据索引!J38</f>
        <v>5.3398362253502204E-4</v>
      </c>
      <c r="I37" s="54"/>
      <c r="J37" s="35">
        <v>33</v>
      </c>
      <c r="K37" s="55">
        <v>60</v>
      </c>
      <c r="L37" s="55">
        <f t="shared" si="2"/>
        <v>90</v>
      </c>
      <c r="M37" s="55"/>
      <c r="P37" s="55">
        <f t="shared" ref="P37:R37" si="28">P31/$O31</f>
        <v>7894.7368421052633</v>
      </c>
      <c r="Q37" s="55">
        <f t="shared" si="28"/>
        <v>10526.315789473685</v>
      </c>
      <c r="R37" s="55">
        <f t="shared" si="28"/>
        <v>13157.894736842105</v>
      </c>
      <c r="S37" s="55">
        <f t="shared" ref="S37" si="29">S31/$O31</f>
        <v>17543.859649122805</v>
      </c>
      <c r="T37" s="35">
        <v>33</v>
      </c>
      <c r="U37" s="50">
        <f>INDEX($Q$5:$Q$21,MATCH(节奏总纲!BQ36,$N$5:$N$21,1))*(U$2+$K$2)*节奏总纲!W36*4*$C$5+U36</f>
        <v>20865976.079946596</v>
      </c>
      <c r="V37" s="50">
        <f>INDEX($Q$5:$Q$21,MATCH(节奏总纲!BR36,$N$5:$N$21,1))*(V$2+$K$2)*节奏总纲!X36*4*$C$5+V36</f>
        <v>65396211.151717603</v>
      </c>
      <c r="W37" s="50">
        <f>INDEX($Q$5:$Q$21,MATCH(节奏总纲!BS36,$N$5:$N$21,1))*(W$2+$K$2)*节奏总纲!Y36*4*$C$5+W36</f>
        <v>134155119.97980195</v>
      </c>
      <c r="X37" s="50">
        <f>INDEX($Q$5:$Q$21,MATCH(节奏总纲!BT36,$N$5:$N$21,1))*(X$2+$K$2)*节奏总纲!Z36*4*$C$5+X36</f>
        <v>202079573.49002993</v>
      </c>
      <c r="Y37" s="50">
        <f>INDEX($Q$5:$Q$21,MATCH(节奏总纲!BU36,$N$5:$N$21,1))*(Y$2+$K$2)*节奏总纲!AA36*4*$C$5+Y36</f>
        <v>119799300.89119431</v>
      </c>
      <c r="Z37" s="51">
        <f>SUMIFS($K$5:$K$1004,$J$5:$J$1004,"&lt;="&amp;U$2)*节奏总纲!W36*4+Z36</f>
        <v>3539.6621227037317</v>
      </c>
      <c r="AA37" s="51">
        <f>SUMIFS($K$5:$K$1004,$J$5:$J$1004,"&lt;="&amp;V$2)*节奏总纲!X36*4+AA36</f>
        <v>27763.33985942672</v>
      </c>
      <c r="AB37" s="51">
        <f>SUMIFS($K$5:$K$1004,$J$5:$J$1004,"&lt;="&amp;W$2)*节奏总纲!Y36*4+AB36</f>
        <v>68791.917489897955</v>
      </c>
      <c r="AC37" s="51">
        <f>SUMIFS($K$5:$K$1004,$J$5:$J$1004,"&lt;="&amp;X$2)*节奏总纲!Z36*4+AC36</f>
        <v>107982.3485800491</v>
      </c>
      <c r="AD37" s="51">
        <f>SUMIFS($K$5:$K$1004,$J$5:$J$1004,"&lt;="&amp;Y$2)*节奏总纲!AA36*4+AD36</f>
        <v>60709.806965128504</v>
      </c>
      <c r="AH37" s="35">
        <v>33</v>
      </c>
      <c r="AI37" s="47">
        <f>'[1]资源-木石铜粮'!AE38-U37</f>
        <v>-27778054.004375014</v>
      </c>
      <c r="AJ37" s="47">
        <f>'[1]资源-木石铜粮'!AF38-V37</f>
        <v>-52579321.765058026</v>
      </c>
      <c r="AK37" s="47">
        <f>'[1]资源-木石铜粮'!AG38-W37</f>
        <v>-93827495.186879307</v>
      </c>
      <c r="AL37" s="47">
        <f>'[1]资源-木石铜粮'!AH38-X37</f>
        <v>-161635029.93890411</v>
      </c>
      <c r="AM37" s="47">
        <f>'[1]资源-木石铜粮'!AI38-Y37</f>
        <v>-77584335.192339599</v>
      </c>
      <c r="AN37" s="47">
        <f>(AI37-AI36)*IF($AH37&lt;=10,'[1]功能-付费相关'!S48,'[1]功能-付费相关'!S38)</f>
        <v>-786.78404852706342</v>
      </c>
      <c r="AO37" s="47">
        <f>(AJ37-AJ36)*IF($AH37&lt;=10,'[1]功能-付费相关'!T48,'[1]功能-付费相关'!T38)</f>
        <v>-1229.7746846966081</v>
      </c>
      <c r="AP37" s="47">
        <f>(AK37-AK36)*IF($AH37&lt;=10,'[1]功能-付费相关'!U48,'[1]功能-付费相关'!U38)</f>
        <v>-1989.8598562366547</v>
      </c>
      <c r="AQ37" s="47">
        <f>(AL37-AL36)*IF($AH37&lt;=10,'[1]功能-付费相关'!V48,'[1]功能-付费相关'!V38)</f>
        <v>-2999.6276834596665</v>
      </c>
      <c r="AR37" s="47">
        <f>(AM37-AM36)*IF($AH37&lt;=10,'[1]功能-付费相关'!W48,'[1]功能-付费相关'!W38)</f>
        <v>-1759.2155493905861</v>
      </c>
      <c r="AS37" s="48">
        <f>SUM(AN$5:AN37)/'[1]资源-钻石'!L36</f>
        <v>-0.15669151580452356</v>
      </c>
      <c r="AT37" s="48">
        <f>SUM(AO$5:AO37)/'[1]资源-钻石'!M36</f>
        <v>-0.2514356886035799</v>
      </c>
      <c r="AU37" s="48">
        <f>SUM(AP$5:AP37)/'[1]资源-钻石'!N36</f>
        <v>-0.33435085726134411</v>
      </c>
      <c r="AV37" s="48">
        <f>SUM(AQ$5:AQ37)/'[1]资源-钻石'!O36</f>
        <v>-0.29829511675896953</v>
      </c>
      <c r="AW37" s="48">
        <f>SUM(AR$5:AR37)/'[1]资源-钻石'!P36</f>
        <v>-0.10163253895364434</v>
      </c>
      <c r="AX37" s="35">
        <f>('[1]资源-木石铜粮'!C38+U37)/'[1]资源-木石铜粮'!U38</f>
        <v>1.3861798471138276</v>
      </c>
      <c r="AY37" s="35">
        <f>('[1]资源-木石铜粮'!D38+V37)/'[1]资源-木石铜粮'!V38</f>
        <v>1.6117111070511736</v>
      </c>
      <c r="AZ37" s="35">
        <f>('[1]资源-木石铜粮'!E38+W37)/'[1]资源-木石铜粮'!W38</f>
        <v>1.8817673351201081</v>
      </c>
      <c r="BA37" s="35">
        <f>('[1]资源-木石铜粮'!F38+X37)/'[1]资源-木石铜粮'!X38</f>
        <v>2.6527353157887115</v>
      </c>
      <c r="BB37" s="35">
        <f>('[1]资源-木石铜粮'!G38+Y37)/'[1]资源-木石铜粮'!Y38</f>
        <v>1.9039145077306543</v>
      </c>
      <c r="BE37" s="39">
        <f t="shared" si="13"/>
        <v>1.696379843023759E-4</v>
      </c>
      <c r="BF37" s="39">
        <f t="shared" si="14"/>
        <v>4.2454049509101457E-4</v>
      </c>
      <c r="BG37" s="39">
        <f t="shared" si="15"/>
        <v>5.1277891965849007E-4</v>
      </c>
      <c r="BH37" s="39">
        <f t="shared" si="16"/>
        <v>5.3435558436279397E-4</v>
      </c>
      <c r="BI37" s="39">
        <f t="shared" si="17"/>
        <v>5.0676261475237792E-4</v>
      </c>
      <c r="BK37" s="39">
        <f>BE37/求节点(节奏总纲!AM$4:AM$83,$G$5:$G$84,节奏总纲!P36)</f>
        <v>0.39603866466569826</v>
      </c>
      <c r="BL37" s="39">
        <f>BF37/求节点(节奏总纲!AN$4:AN$83,$G$5:$G$84,节奏总纲!Q36)</f>
        <v>1.0287747692798737</v>
      </c>
      <c r="BM37" s="39">
        <f>BG37/求节点(节奏总纲!AO$4:AO$83,$G$5:$G$84,节奏总纲!R36)</f>
        <v>1.300361304166316</v>
      </c>
      <c r="BN37" s="39">
        <f>BH37/求节点(节奏总纲!AP$4:AP$83,$G$5:$G$84,节奏总纲!S36)</f>
        <v>1.4106685327068584</v>
      </c>
      <c r="BO37" s="39">
        <f>BI37/求节点(节奏总纲!AQ$4:AQ$83,$G$5:$G$84,节奏总纲!T36)</f>
        <v>1.3941611066896749</v>
      </c>
    </row>
    <row r="38" spans="5:67" x14ac:dyDescent="0.15">
      <c r="E38" s="26">
        <v>34</v>
      </c>
      <c r="F38" s="26">
        <f>节奏总纲!$BL37</f>
        <v>55.366968636624627</v>
      </c>
      <c r="G38" s="26">
        <f>数据索引!$E39</f>
        <v>2.2051291381814902E-4</v>
      </c>
      <c r="H38" s="26">
        <f>数据索引!J39</f>
        <v>5.0329189629736836E-4</v>
      </c>
      <c r="I38" s="54"/>
      <c r="J38" s="35">
        <v>34</v>
      </c>
      <c r="K38" s="55">
        <v>60</v>
      </c>
      <c r="L38" s="55">
        <f t="shared" si="2"/>
        <v>90</v>
      </c>
      <c r="M38" s="55"/>
      <c r="T38" s="35">
        <v>34</v>
      </c>
      <c r="U38" s="50">
        <f>INDEX($Q$5:$Q$21,MATCH(节奏总纲!BQ37,$N$5:$N$21,1))*(U$2+$K$2)*节奏总纲!W37*4*$C$5+U37</f>
        <v>23024024.759531643</v>
      </c>
      <c r="V38" s="50">
        <f>INDEX($Q$5:$Q$21,MATCH(节奏总纲!BR37,$N$5:$N$21,1))*(V$2+$K$2)*节奏总纲!X37*4*$C$5+V37</f>
        <v>72009430.52412194</v>
      </c>
      <c r="W38" s="50">
        <f>INDEX($Q$5:$Q$21,MATCH(节奏总纲!BS37,$N$5:$N$21,1))*(W$2+$K$2)*节奏总纲!Y37*4*$C$5+W37</f>
        <v>147705864.94110784</v>
      </c>
      <c r="X38" s="50">
        <f>INDEX($Q$5:$Q$21,MATCH(节奏总纲!BT37,$N$5:$N$21,1))*(X$2+$K$2)*节奏总纲!Z37*4*$C$5+X37</f>
        <v>228312148.8221347</v>
      </c>
      <c r="Y38" s="50">
        <f>INDEX($Q$5:$Q$21,MATCH(节奏总纲!BU37,$N$5:$N$21,1))*(Y$2+$K$2)*节奏总纲!AA37*4*$C$5+Y37</f>
        <v>134392431.44891536</v>
      </c>
      <c r="Z38" s="51">
        <f>SUMIFS($K$5:$K$1004,$J$5:$J$1004,"&lt;="&amp;U$2)*节奏总纲!W37*4+Z37</f>
        <v>3822.4253144732611</v>
      </c>
      <c r="AA38" s="51">
        <f>SUMIFS($K$5:$K$1004,$J$5:$J$1004,"&lt;="&amp;V$2)*节奏总纲!X37*4+AA37</f>
        <v>29991.513502420097</v>
      </c>
      <c r="AB38" s="51">
        <f>SUMIFS($K$5:$K$1004,$J$5:$J$1004,"&lt;="&amp;W$2)*节奏总纲!Y37*4+AB37</f>
        <v>74431.79469354912</v>
      </c>
      <c r="AC38" s="51">
        <f>SUMIFS($K$5:$K$1004,$J$5:$J$1004,"&lt;="&amp;X$2)*节奏总纲!Z37*4+AC37</f>
        <v>116935.25297783451</v>
      </c>
      <c r="AD38" s="51">
        <f>SUMIFS($K$5:$K$1004,$J$5:$J$1004,"&lt;="&amp;Y$2)*节奏总纲!AA37*4+AD37</f>
        <v>65690.290241880211</v>
      </c>
      <c r="AH38" s="35">
        <v>34</v>
      </c>
      <c r="AI38" s="47">
        <f>'[1]资源-木石铜粮'!AE39-U38</f>
        <v>-31107934.075357448</v>
      </c>
      <c r="AJ38" s="47">
        <f>'[1]资源-木石铜粮'!AF39-V38</f>
        <v>-58233443.883946478</v>
      </c>
      <c r="AK38" s="47">
        <f>'[1]资源-木石铜粮'!AG39-W38</f>
        <v>-103608799.1192856</v>
      </c>
      <c r="AL38" s="47">
        <f>'[1]资源-木石铜粮'!AH39-X38</f>
        <v>-183120951.23314136</v>
      </c>
      <c r="AM38" s="47">
        <f>'[1]资源-木石铜粮'!AI39-Y38</f>
        <v>-86614340.216211319</v>
      </c>
      <c r="AN38" s="47">
        <f>(AI38-AI37)*IF($AH38&lt;=10,'[1]功能-付费相关'!S49,'[1]功能-付费相关'!S39)</f>
        <v>-770.42130616536588</v>
      </c>
      <c r="AO38" s="47">
        <f>(AJ38-AJ37)*IF($AH38&lt;=10,'[1]功能-付费相关'!T49,'[1]功能-付费相关'!T39)</f>
        <v>-1284.555076642494</v>
      </c>
      <c r="AP38" s="47">
        <f>(AK38-AK37)*IF($AH38&lt;=10,'[1]功能-付费相关'!U49,'[1]功能-付费相关'!U39)</f>
        <v>-2156.9038310758306</v>
      </c>
      <c r="AQ38" s="47">
        <f>(AL38-AL37)*IF($AH38&lt;=10,'[1]功能-付费相关'!V49,'[1]功能-付费相关'!V39)</f>
        <v>-4421.228103613902</v>
      </c>
      <c r="AR38" s="47">
        <f>(AM38-AM37)*IF($AH38&lt;=10,'[1]功能-付费相关'!W49,'[1]功能-付费相关'!W39)</f>
        <v>-1790.0318628152313</v>
      </c>
      <c r="AS38" s="48">
        <f>SUM(AN$5:AN38)/'[1]资源-钻石'!L37</f>
        <v>-0.15843949926172665</v>
      </c>
      <c r="AT38" s="48">
        <f>SUM(AO$5:AO38)/'[1]资源-钻石'!M37</f>
        <v>-0.25174655277235913</v>
      </c>
      <c r="AU38" s="48">
        <f>SUM(AP$5:AP38)/'[1]资源-钻石'!N37</f>
        <v>-0.32763138088255495</v>
      </c>
      <c r="AV38" s="48">
        <f>SUM(AQ$5:AQ38)/'[1]资源-钻石'!O37</f>
        <v>-0.29623915997257028</v>
      </c>
      <c r="AW38" s="48">
        <f>SUM(AR$5:AR38)/'[1]资源-钻石'!P37</f>
        <v>-0.10065516868689703</v>
      </c>
      <c r="AX38" s="35">
        <f>('[1]资源-木石铜粮'!C39+U38)/'[1]资源-木石铜粮'!U39</f>
        <v>1.3885400835253894</v>
      </c>
      <c r="AY38" s="35">
        <f>('[1]资源-木石铜粮'!D39+V38)/'[1]资源-木石铜粮'!V39</f>
        <v>1.6098831660841315</v>
      </c>
      <c r="AZ38" s="35">
        <f>('[1]资源-木石铜粮'!E39+W38)/'[1]资源-木石铜粮'!W39</f>
        <v>1.8776113802655319</v>
      </c>
      <c r="BA38" s="35">
        <f>('[1]资源-木石铜粮'!F39+X38)/'[1]资源-木石铜粮'!X39</f>
        <v>2.6768629842958664</v>
      </c>
      <c r="BB38" s="35">
        <f>('[1]资源-木石铜粮'!G39+Y38)/'[1]资源-木石铜粮'!Y39</f>
        <v>1.9005038750144507</v>
      </c>
      <c r="BE38" s="39">
        <f t="shared" si="13"/>
        <v>1.6601898905146145E-4</v>
      </c>
      <c r="BF38" s="39">
        <f t="shared" si="14"/>
        <v>4.1649424643586716E-4</v>
      </c>
      <c r="BG38" s="39">
        <f t="shared" si="15"/>
        <v>5.0391901989285258E-4</v>
      </c>
      <c r="BH38" s="39">
        <f t="shared" si="16"/>
        <v>5.1217271433476037E-4</v>
      </c>
      <c r="BI38" s="39">
        <f t="shared" si="17"/>
        <v>4.8879456628366836E-4</v>
      </c>
      <c r="BK38" s="39">
        <f>BE38/求节点(节奏总纲!AM$4:AM$83,$G$5:$G$84,节奏总纲!P37)</f>
        <v>0.40069245348860927</v>
      </c>
      <c r="BL38" s="39">
        <f>BF38/求节点(节奏总纲!AN$4:AN$83,$G$5:$G$84,节奏总纲!Q37)</f>
        <v>1.0482152787750749</v>
      </c>
      <c r="BM38" s="39">
        <f>BG38/求节点(节奏总纲!AO$4:AO$83,$G$5:$G$84,节奏总纲!R37)</f>
        <v>1.3147300394320076</v>
      </c>
      <c r="BN38" s="39">
        <f>BH38/求节点(节奏总纲!AP$4:AP$83,$G$5:$G$84,节奏总纲!S37)</f>
        <v>1.3921414716568419</v>
      </c>
      <c r="BO38" s="39">
        <f>BI38/求节点(节奏总纲!AQ$4:AQ$83,$G$5:$G$84,节奏总纲!T37)</f>
        <v>1.3820025682102577</v>
      </c>
    </row>
    <row r="39" spans="5:67" x14ac:dyDescent="0.15">
      <c r="E39" s="26">
        <v>35</v>
      </c>
      <c r="F39" s="26">
        <f>节奏总纲!$BL38</f>
        <v>57.686819122040689</v>
      </c>
      <c r="G39" s="26">
        <f>数据索引!$E40</f>
        <v>2.0773885276981972E-4</v>
      </c>
      <c r="H39" s="26">
        <f>数据索引!J40</f>
        <v>4.7483343938866263E-4</v>
      </c>
      <c r="I39" s="54"/>
      <c r="J39" s="35">
        <v>35</v>
      </c>
      <c r="K39" s="55">
        <v>60</v>
      </c>
      <c r="L39" s="55">
        <f t="shared" si="2"/>
        <v>90</v>
      </c>
      <c r="M39" s="55"/>
      <c r="T39" s="35">
        <v>35</v>
      </c>
      <c r="U39" s="50">
        <f>INDEX($Q$5:$Q$21,MATCH(节奏总纲!BQ38,$N$5:$N$21,1))*(U$2+$K$2)*节奏总纲!W38*4*$C$5+U38</f>
        <v>25336964.065172389</v>
      </c>
      <c r="V39" s="50">
        <f>INDEX($Q$5:$Q$21,MATCH(节奏总纲!BR38,$N$5:$N$21,1))*(V$2+$K$2)*节奏总纲!X38*4*$C$5+V38</f>
        <v>79210162.113764495</v>
      </c>
      <c r="W39" s="50">
        <f>INDEX($Q$5:$Q$21,MATCH(节奏总纲!BS38,$N$5:$N$21,1))*(W$2+$K$2)*节奏总纲!Y38*4*$C$5+W38</f>
        <v>166694946.61890322</v>
      </c>
      <c r="X39" s="50">
        <f>INDEX($Q$5:$Q$21,MATCH(节奏总纲!BT38,$N$5:$N$21,1))*(X$2+$K$2)*节奏总纲!Z38*4*$C$5+X38</f>
        <v>255821629.60208786</v>
      </c>
      <c r="Y39" s="50">
        <f>INDEX($Q$5:$Q$21,MATCH(节奏总纲!BU38,$N$5:$N$21,1))*(Y$2+$K$2)*节奏总纲!AA38*4*$C$5+Y38</f>
        <v>149721701.40658516</v>
      </c>
      <c r="Z39" s="51">
        <f>SUMIFS($K$5:$K$1004,$J$5:$J$1004,"&lt;="&amp;U$2)*节奏总纲!W38*4+Z38</f>
        <v>4125.4833995939043</v>
      </c>
      <c r="AA39" s="51">
        <f>SUMIFS($K$5:$K$1004,$J$5:$J$1004,"&lt;="&amp;V$2)*节奏总纲!X38*4+AA38</f>
        <v>32417.636005668937</v>
      </c>
      <c r="AB39" s="51">
        <f>SUMIFS($K$5:$K$1004,$J$5:$J$1004,"&lt;="&amp;W$2)*节奏总纲!Y38*4+AB38</f>
        <v>80511.283833114794</v>
      </c>
      <c r="AC39" s="51">
        <f>SUMIFS($K$5:$K$1004,$J$5:$J$1004,"&lt;="&amp;X$2)*节奏总纲!Z38*4+AC38</f>
        <v>126323.95188892515</v>
      </c>
      <c r="AD39" s="51">
        <f>SUMIFS($K$5:$K$1004,$J$5:$J$1004,"&lt;="&amp;Y$2)*节奏总纲!AA38*4+AD38</f>
        <v>70922.010219098709</v>
      </c>
      <c r="AH39" s="35">
        <v>35</v>
      </c>
      <c r="AI39" s="47">
        <f>'[1]资源-木石铜粮'!AE40-U39</f>
        <v>-34764754.204938814</v>
      </c>
      <c r="AJ39" s="47">
        <f>'[1]资源-木石铜粮'!AF40-V39</f>
        <v>-64324354.980595246</v>
      </c>
      <c r="AK39" s="47">
        <f>'[1]资源-木石铜粮'!AG40-W39</f>
        <v>-118592845.68750097</v>
      </c>
      <c r="AL39" s="47">
        <f>'[1]资源-木石铜粮'!AH40-X39</f>
        <v>-205653365.75173753</v>
      </c>
      <c r="AM39" s="47">
        <f>'[1]资源-木石铜粮'!AI40-Y39</f>
        <v>-95530505.253881723</v>
      </c>
      <c r="AN39" s="47">
        <f>(AI39-AI38)*IF($AH39&lt;=10,'[1]功能-付费相关'!S50,'[1]功能-付费相关'!S40)</f>
        <v>-796.99809197318393</v>
      </c>
      <c r="AO39" s="47">
        <f>(AJ39-AJ38)*IF($AH39&lt;=10,'[1]功能-付费相关'!T50,'[1]功能-付费相关'!T40)</f>
        <v>-1304.5898782398369</v>
      </c>
      <c r="AP39" s="47">
        <f>(AK39-AK38)*IF($AH39&lt;=10,'[1]功能-付费相关'!U50,'[1]功能-付费相关'!U40)</f>
        <v>-3112.7686439306153</v>
      </c>
      <c r="AQ39" s="47">
        <f>(AL39-AL38)*IF($AH39&lt;=10,'[1]功能-付费相关'!V50,'[1]功能-付费相关'!V40)</f>
        <v>-4357.2714225092868</v>
      </c>
      <c r="AR39" s="47">
        <f>(AM39-AM38)*IF($AH39&lt;=10,'[1]功能-付费相关'!W50,'[1]功能-付费相关'!W40)</f>
        <v>-1637.454480759706</v>
      </c>
      <c r="AS39" s="48">
        <f>SUM(AN$5:AN39)/'[1]资源-钻石'!L38</f>
        <v>-0.15978853657240918</v>
      </c>
      <c r="AT39" s="48">
        <f>SUM(AO$5:AO39)/'[1]资源-钻石'!M38</f>
        <v>-0.25114215578178628</v>
      </c>
      <c r="AU39" s="48">
        <f>SUM(AP$5:AP39)/'[1]资源-钻石'!N38</f>
        <v>-0.33086580768199453</v>
      </c>
      <c r="AV39" s="48">
        <f>SUM(AQ$5:AQ39)/'[1]资源-钻石'!O38</f>
        <v>-0.29331555169027956</v>
      </c>
      <c r="AW39" s="48">
        <f>SUM(AR$5:AR39)/'[1]资源-钻石'!P38</f>
        <v>-9.9109370133667635E-2</v>
      </c>
      <c r="AX39" s="35">
        <f>('[1]资源-木石铜粮'!C40+U39)/'[1]资源-木石铜粮'!U40</f>
        <v>1.3907624540025978</v>
      </c>
      <c r="AY39" s="35">
        <f>('[1]资源-木石铜粮'!D40+V39)/'[1]资源-木石铜粮'!V40</f>
        <v>1.6055740976253376</v>
      </c>
      <c r="AZ39" s="35">
        <f>('[1]资源-木石铜粮'!E40+W39)/'[1]资源-木石铜粮'!W40</f>
        <v>1.9065549181740766</v>
      </c>
      <c r="BA39" s="35">
        <f>('[1]资源-木石铜粮'!F40+X39)/'[1]资源-木石铜粮'!X40</f>
        <v>2.6925452479442358</v>
      </c>
      <c r="BB39" s="35">
        <f>('[1]资源-木石铜粮'!G40+Y39)/'[1]资源-木石铜粮'!Y40</f>
        <v>1.8854449632462291</v>
      </c>
      <c r="BE39" s="39">
        <f t="shared" si="13"/>
        <v>1.6282469316300998E-4</v>
      </c>
      <c r="BF39" s="39">
        <f t="shared" si="14"/>
        <v>4.0926107383935863E-4</v>
      </c>
      <c r="BG39" s="39">
        <f t="shared" si="15"/>
        <v>4.8298575011502366E-4</v>
      </c>
      <c r="BH39" s="39">
        <f t="shared" si="16"/>
        <v>4.9379699474752373E-4</v>
      </c>
      <c r="BI39" s="39">
        <f t="shared" si="17"/>
        <v>4.7369225404741072E-4</v>
      </c>
      <c r="BK39" s="39">
        <f>BE39/求节点(节奏总纲!AM$4:AM$83,$G$5:$G$84,节奏总纲!P38)</f>
        <v>0.40775676798990701</v>
      </c>
      <c r="BL39" s="39">
        <f>BF39/求节点(节奏总纲!AN$4:AN$83,$G$5:$G$84,节奏总纲!Q38)</f>
        <v>1.0596849131765296</v>
      </c>
      <c r="BM39" s="39">
        <f>BG39/求节点(节奏总纲!AO$4:AO$83,$G$5:$G$84,节奏总纲!R38)</f>
        <v>1.3002061223128785</v>
      </c>
      <c r="BN39" s="39">
        <f>BH39/求节点(节奏总纲!AP$4:AP$83,$G$5:$G$84,节奏总纲!S38)</f>
        <v>1.3767736495562604</v>
      </c>
      <c r="BO39" s="39">
        <f>BI39/求节点(节奏总纲!AQ$4:AQ$83,$G$5:$G$84,节奏总纲!T38)</f>
        <v>1.3731763491274827</v>
      </c>
    </row>
    <row r="40" spans="5:67" x14ac:dyDescent="0.15">
      <c r="E40" s="26">
        <v>36</v>
      </c>
      <c r="F40" s="26">
        <f>节奏总纲!$BL39</f>
        <v>59.843011412474425</v>
      </c>
      <c r="G40" s="26">
        <f>数据索引!$E41</f>
        <v>1.9585066827900927E-4</v>
      </c>
      <c r="H40" s="26">
        <f>数据索引!J41</f>
        <v>4.4832046801751628E-4</v>
      </c>
      <c r="I40" s="54"/>
      <c r="J40" s="35">
        <v>36</v>
      </c>
      <c r="K40" s="55">
        <v>60</v>
      </c>
      <c r="L40" s="55">
        <f t="shared" si="2"/>
        <v>90</v>
      </c>
      <c r="M40" s="55"/>
      <c r="O40" s="26">
        <f>100000000/1000000</f>
        <v>100</v>
      </c>
      <c r="P40" s="26">
        <f>O40*40</f>
        <v>4000</v>
      </c>
      <c r="T40" s="35">
        <v>36</v>
      </c>
      <c r="U40" s="50">
        <f>INDEX($Q$5:$Q$21,MATCH(节奏总纲!BQ39,$N$5:$N$21,1))*(U$2+$K$2)*节奏总纲!W39*4*$C$5+U39</f>
        <v>27815911.033415258</v>
      </c>
      <c r="V40" s="50">
        <f>INDEX($Q$5:$Q$21,MATCH(节奏总纲!BR39,$N$5:$N$21,1))*(V$2+$K$2)*节奏总纲!X39*4*$C$5+V39</f>
        <v>86916216.056324154</v>
      </c>
      <c r="W40" s="50">
        <f>INDEX($Q$5:$Q$21,MATCH(节奏总纲!BS39,$N$5:$N$21,1))*(W$2+$K$2)*节奏总纲!Y39*4*$C$5+W39</f>
        <v>186456616.39435822</v>
      </c>
      <c r="X40" s="50">
        <f>INDEX($Q$5:$Q$21,MATCH(节奏总纲!BT39,$N$5:$N$21,1))*(X$2+$K$2)*节奏总纲!Z39*4*$C$5+X39</f>
        <v>284517496.90763611</v>
      </c>
      <c r="Y40" s="50">
        <f>INDEX($Q$5:$Q$21,MATCH(节奏总纲!BU39,$N$5:$N$21,1))*(Y$2+$K$2)*节奏总纲!AA39*4*$C$5+Y39</f>
        <v>164967895.26392215</v>
      </c>
      <c r="Z40" s="51">
        <f>SUMIFS($K$5:$K$1004,$J$5:$J$1004,"&lt;="&amp;U$2)*节奏总纲!W39*4+Z39</f>
        <v>4450.2930128332737</v>
      </c>
      <c r="AA40" s="51">
        <f>SUMIFS($K$5:$K$1004,$J$5:$J$1004,"&lt;="&amp;V$2)*节奏总纲!X39*4+AA39</f>
        <v>35014.015366369633</v>
      </c>
      <c r="AB40" s="51">
        <f>SUMIFS($K$5:$K$1004,$J$5:$J$1004,"&lt;="&amp;W$2)*节奏总纲!Y39*4+AB39</f>
        <v>86838.122530114386</v>
      </c>
      <c r="AC40" s="51">
        <f>SUMIFS($K$5:$K$1004,$J$5:$J$1004,"&lt;="&amp;X$2)*节奏总纲!Z39*4+AC39</f>
        <v>136117.55214912104</v>
      </c>
      <c r="AD40" s="51">
        <f>SUMIFS($K$5:$K$1004,$J$5:$J$1004,"&lt;="&amp;Y$2)*节奏总纲!AA39*4+AD39</f>
        <v>76125.377189622115</v>
      </c>
      <c r="AH40" s="35">
        <v>36</v>
      </c>
      <c r="AI40" s="47">
        <f>'[1]资源-木石铜粮'!AE41-U40</f>
        <v>-38660875.816509277</v>
      </c>
      <c r="AJ40" s="47">
        <f>'[1]资源-木石铜粮'!AF41-V40</f>
        <v>-70917207.010479212</v>
      </c>
      <c r="AK40" s="47">
        <f>'[1]资源-木石铜粮'!AG41-W40</f>
        <v>-134213381.42149992</v>
      </c>
      <c r="AL40" s="47">
        <f>'[1]资源-木石铜粮'!AH41-X40</f>
        <v>-228879293.26093572</v>
      </c>
      <c r="AM40" s="47">
        <f>'[1]资源-木石铜粮'!AI41-Y40</f>
        <v>-103955882.46104109</v>
      </c>
      <c r="AN40" s="47">
        <f>(AI40-AI39)*IF($AH40&lt;=10,'[1]功能-付费相关'!S51,'[1]功能-付费相关'!S41)</f>
        <v>-800.56445452438788</v>
      </c>
      <c r="AO40" s="47">
        <f>(AJ40-AJ39)*IF($AH40&lt;=10,'[1]功能-付费相关'!T51,'[1]功能-付费相关'!T41)</f>
        <v>-1332.2868455614482</v>
      </c>
      <c r="AP40" s="47">
        <f>(AK40-AK39)*IF($AH40&lt;=10,'[1]功能-付费相关'!U51,'[1]功能-付费相关'!U41)</f>
        <v>-3059.2923623798397</v>
      </c>
      <c r="AQ40" s="47">
        <f>(AL40-AL39)*IF($AH40&lt;=10,'[1]功能-付费相关'!V51,'[1]功能-付费相关'!V41)</f>
        <v>-4223.5131060556005</v>
      </c>
      <c r="AR40" s="47">
        <f>(AM40-AM39)*IF($AH40&lt;=10,'[1]功能-付费相关'!W51,'[1]功能-付费相关'!W41)</f>
        <v>-1453.1900982859356</v>
      </c>
      <c r="AS40" s="48">
        <f>SUM(AN$5:AN40)/'[1]资源-钻石'!L39</f>
        <v>-0.16048793491118821</v>
      </c>
      <c r="AT40" s="48">
        <f>SUM(AO$5:AO40)/'[1]资源-钻石'!M39</f>
        <v>-0.24997782879260558</v>
      </c>
      <c r="AU40" s="48">
        <f>SUM(AP$5:AP40)/'[1]资源-钻石'!N39</f>
        <v>-0.33363662072130817</v>
      </c>
      <c r="AV40" s="48">
        <f>SUM(AQ$5:AQ40)/'[1]资源-钻石'!O39</f>
        <v>-0.28952074437884545</v>
      </c>
      <c r="AW40" s="48">
        <f>SUM(AR$5:AR40)/'[1]资源-钻石'!P39</f>
        <v>-9.730613231348989E-2</v>
      </c>
      <c r="AX40" s="35">
        <f>('[1]资源-木石铜粮'!C41+U40)/'[1]资源-木石铜粮'!U41</f>
        <v>1.3908631263387494</v>
      </c>
      <c r="AY40" s="35">
        <f>('[1]资源-木石铜粮'!D41+V40)/'[1]资源-木石铜粮'!V41</f>
        <v>1.60104654584844</v>
      </c>
      <c r="AZ40" s="35">
        <f>('[1]资源-木石铜粮'!E41+W40)/'[1]资源-木石铜粮'!W41</f>
        <v>1.9280630553337204</v>
      </c>
      <c r="BA40" s="35">
        <f>('[1]资源-木石铜粮'!F41+X40)/'[1]资源-木石铜粮'!X41</f>
        <v>2.6974043955813705</v>
      </c>
      <c r="BB40" s="35">
        <f>('[1]资源-木石铜粮'!G41+Y40)/'[1]资源-木石铜粮'!Y41</f>
        <v>1.8650273105163757</v>
      </c>
      <c r="BE40" s="39">
        <f t="shared" si="13"/>
        <v>1.5999091338360754E-4</v>
      </c>
      <c r="BF40" s="39">
        <f t="shared" si="14"/>
        <v>4.0284790290087599E-4</v>
      </c>
      <c r="BG40" s="39">
        <f t="shared" si="15"/>
        <v>4.6572829760275499E-4</v>
      </c>
      <c r="BH40" s="39">
        <f t="shared" si="16"/>
        <v>4.7841540020756386E-4</v>
      </c>
      <c r="BI40" s="39">
        <f t="shared" si="17"/>
        <v>4.614557097175407E-4</v>
      </c>
      <c r="BK40" s="39">
        <f>BE40/求节点(节奏总纲!AM$4:AM$83,$G$5:$G$84,节奏总纲!P39)</f>
        <v>0.41249080934749638</v>
      </c>
      <c r="BL40" s="39">
        <f>BF40/求节点(节奏总纲!AN$4:AN$83,$G$5:$G$84,节奏总纲!Q39)</f>
        <v>1.074932355577455</v>
      </c>
      <c r="BM40" s="39">
        <f>BG40/求节点(节奏总纲!AO$4:AO$83,$G$5:$G$84,节奏总纲!R39)</f>
        <v>1.2840420310423066</v>
      </c>
      <c r="BN40" s="39">
        <f>BH40/求节点(节奏总纲!AP$4:AP$83,$G$5:$G$84,节奏总纲!S39)</f>
        <v>1.368897335959697</v>
      </c>
      <c r="BO40" s="39">
        <f>BI40/求节点(节奏总纲!AQ$4:AQ$83,$G$5:$G$84,节奏总纲!T39)</f>
        <v>1.3703983848219876</v>
      </c>
    </row>
    <row r="41" spans="5:67" x14ac:dyDescent="0.15">
      <c r="E41" s="26">
        <v>37</v>
      </c>
      <c r="F41" s="26">
        <f>节奏总纲!$BL40</f>
        <v>61.962579408406434</v>
      </c>
      <c r="G41" s="26">
        <f>数据索引!$E42</f>
        <v>1.8472345753052616E-4</v>
      </c>
      <c r="H41" s="26">
        <f>数据索引!J42</f>
        <v>4.2354071054285315E-4</v>
      </c>
      <c r="I41" s="54"/>
      <c r="J41" s="35">
        <v>37</v>
      </c>
      <c r="K41" s="55">
        <v>60</v>
      </c>
      <c r="L41" s="55">
        <f t="shared" si="2"/>
        <v>90</v>
      </c>
      <c r="M41" s="55"/>
      <c r="T41" s="35">
        <v>37</v>
      </c>
      <c r="U41" s="50">
        <f>INDEX($Q$5:$Q$21,MATCH(节奏总纲!BQ40,$N$5:$N$21,1))*(U$2+$K$2)*节奏总纲!W40*4*$C$5+U40</f>
        <v>30472780.609012764</v>
      </c>
      <c r="V41" s="50">
        <f>INDEX($Q$5:$Q$21,MATCH(节奏总纲!BR40,$N$5:$N$21,1))*(V$2+$K$2)*节奏总纲!X40*4*$C$5+V40</f>
        <v>97434218.693431929</v>
      </c>
      <c r="W41" s="50">
        <f>INDEX($Q$5:$Q$21,MATCH(节奏总纲!BS40,$N$5:$N$21,1))*(W$2+$K$2)*节奏总纲!Y40*4*$C$5+W40</f>
        <v>207593004.91367251</v>
      </c>
      <c r="X41" s="50">
        <f>INDEX($Q$5:$Q$21,MATCH(节奏总纲!BT40,$N$5:$N$21,1))*(X$2+$K$2)*节奏总纲!Z40*4*$C$5+X40</f>
        <v>314353663.67636955</v>
      </c>
      <c r="Y41" s="50">
        <f>INDEX($Q$5:$Q$21,MATCH(节奏总纲!BU40,$N$5:$N$21,1))*(Y$2+$K$2)*节奏总纲!AA40*4*$C$5+Y40</f>
        <v>182416058.14397439</v>
      </c>
      <c r="Z41" s="51">
        <f>SUMIFS($K$5:$K$1004,$J$5:$J$1004,"&lt;="&amp;U$2)*节奏总纲!W40*4+Z40</f>
        <v>4798.4153366799073</v>
      </c>
      <c r="AA41" s="51">
        <f>SUMIFS($K$5:$K$1004,$J$5:$J$1004,"&lt;="&amp;V$2)*节奏总纲!X40*4+AA40</f>
        <v>37740.016464521141</v>
      </c>
      <c r="AB41" s="51">
        <f>SUMIFS($K$5:$K$1004,$J$5:$J$1004,"&lt;="&amp;W$2)*节奏总纲!Y40*4+AB40</f>
        <v>93605.087180283299</v>
      </c>
      <c r="AC41" s="51">
        <f>SUMIFS($K$5:$K$1004,$J$5:$J$1004,"&lt;="&amp;X$2)*节奏总纲!Z40*4+AC40</f>
        <v>146300.3247246347</v>
      </c>
      <c r="AD41" s="51">
        <f>SUMIFS($K$5:$K$1004,$J$5:$J$1004,"&lt;="&amp;Y$2)*节奏总纲!AA40*4+AD40</f>
        <v>82080.253224645479</v>
      </c>
      <c r="AH41" s="35">
        <v>37</v>
      </c>
      <c r="AI41" s="47">
        <f>'[1]资源-木石铜粮'!AE42-U41</f>
        <v>-42955998.613684356</v>
      </c>
      <c r="AJ41" s="47">
        <f>'[1]资源-木石铜粮'!AF42-V41</f>
        <v>-80534934.950716123</v>
      </c>
      <c r="AK41" s="47">
        <f>'[1]资源-木石铜粮'!AG42-W41</f>
        <v>-151022237.0779807</v>
      </c>
      <c r="AL41" s="47">
        <f>'[1]资源-木石铜粮'!AH42-X41</f>
        <v>-252745100.76188233</v>
      </c>
      <c r="AM41" s="47">
        <f>'[1]资源-木石铜粮'!AI42-Y41</f>
        <v>-113515134.39633337</v>
      </c>
      <c r="AN41" s="47">
        <f>(AI41-AI40)*IF($AH41&lt;=10,'[1]功能-付费相关'!S52,'[1]功能-付费相关'!S42)</f>
        <v>-832.95712298329056</v>
      </c>
      <c r="AO41" s="47">
        <f>(AJ41-AJ40)*IF($AH41&lt;=10,'[1]功能-付费相关'!T52,'[1]功能-付费相关'!T42)</f>
        <v>-1834.5586683324077</v>
      </c>
      <c r="AP41" s="47">
        <f>(AK41-AK40)*IF($AH41&lt;=10,'[1]功能-付费相关'!U52,'[1]功能-付费相关'!U42)</f>
        <v>-3104.9899339966705</v>
      </c>
      <c r="AQ41" s="47">
        <f>(AL41-AL40)*IF($AH41&lt;=10,'[1]功能-付费相关'!V52,'[1]功能-付费相关'!V42)</f>
        <v>-4083.1689763782219</v>
      </c>
      <c r="AR41" s="47">
        <f>(AM41-AM40)*IF($AH41&lt;=10,'[1]功能-付费相关'!W52,'[1]功能-付费相关'!W42)</f>
        <v>-1553.8590750447524</v>
      </c>
      <c r="AS41" s="48">
        <f>SUM(AN$5:AN41)/'[1]资源-钻石'!L40</f>
        <v>-0.16089491791121116</v>
      </c>
      <c r="AT41" s="48">
        <f>SUM(AO$5:AO41)/'[1]资源-钻石'!M40</f>
        <v>-0.25265638271195112</v>
      </c>
      <c r="AU41" s="48">
        <f>SUM(AP$5:AP41)/'[1]资源-钻石'!N40</f>
        <v>-0.3352401722341426</v>
      </c>
      <c r="AV41" s="48">
        <f>SUM(AQ$5:AQ41)/'[1]资源-钻石'!O40</f>
        <v>-0.2850431690932213</v>
      </c>
      <c r="AW41" s="48">
        <f>SUM(AR$5:AR41)/'[1]资源-钻石'!P40</f>
        <v>-9.5215076990485384E-2</v>
      </c>
      <c r="AX41" s="35">
        <f>('[1]资源-木石铜粮'!C42+U41)/'[1]资源-木石铜粮'!U42</f>
        <v>1.3910525361215376</v>
      </c>
      <c r="AY41" s="35">
        <f>('[1]资源-木石铜粮'!D42+V41)/'[1]资源-木石铜粮'!V42</f>
        <v>1.616018340025734</v>
      </c>
      <c r="AZ41" s="35">
        <f>('[1]资源-木石铜粮'!E42+W41)/'[1]资源-木石铜粮'!W42</f>
        <v>1.9466034886755783</v>
      </c>
      <c r="BA41" s="35">
        <f>('[1]资源-木石铜粮'!F42+X41)/'[1]资源-木石铜粮'!X42</f>
        <v>2.6908839166953658</v>
      </c>
      <c r="BB41" s="35">
        <f>('[1]资源-木石铜粮'!G42+Y41)/'[1]资源-木石铜粮'!Y42</f>
        <v>1.8447740315895083</v>
      </c>
      <c r="BE41" s="39">
        <f t="shared" si="13"/>
        <v>1.5746562147534075E-4</v>
      </c>
      <c r="BF41" s="39">
        <f t="shared" si="14"/>
        <v>3.8733842145608757E-4</v>
      </c>
      <c r="BG41" s="39">
        <f t="shared" si="15"/>
        <v>4.5090675005744508E-4</v>
      </c>
      <c r="BH41" s="39">
        <f t="shared" si="16"/>
        <v>4.6540041243245205E-4</v>
      </c>
      <c r="BI41" s="39">
        <f t="shared" si="17"/>
        <v>4.4996177452679364E-4</v>
      </c>
      <c r="BK41" s="39">
        <f>BE41/求节点(节奏总纲!AM$4:AM$83,$G$5:$G$84,节奏总纲!P40)</f>
        <v>0.41788318365083194</v>
      </c>
      <c r="BL41" s="39">
        <f>BF41/求节点(节奏总纲!AN$4:AN$83,$G$5:$G$84,节奏总纲!Q40)</f>
        <v>1.0601303781959712</v>
      </c>
      <c r="BM41" s="39">
        <f>BG41/求节点(节奏总纲!AO$4:AO$83,$G$5:$G$84,节奏总纲!R40)</f>
        <v>1.2761578385061401</v>
      </c>
      <c r="BN41" s="39">
        <f>BH41/求节点(节奏总纲!AP$4:AP$83,$G$5:$G$84,节奏总纲!S40)</f>
        <v>1.3630645216040638</v>
      </c>
      <c r="BO41" s="39">
        <f>BI41/求节点(节奏总纲!AQ$4:AQ$83,$G$5:$G$84,节奏总纲!T40)</f>
        <v>1.3702205842626234</v>
      </c>
    </row>
    <row r="42" spans="5:67" x14ac:dyDescent="0.15">
      <c r="E42" s="26">
        <v>38</v>
      </c>
      <c r="F42" s="26">
        <f>节奏总纲!$BL41</f>
        <v>64.062055525287363</v>
      </c>
      <c r="G42" s="26">
        <f>数据索引!$E43</f>
        <v>1.7430094640854098E-4</v>
      </c>
      <c r="H42" s="26">
        <f>数据索引!J43</f>
        <v>4.0036811314901599E-4</v>
      </c>
      <c r="I42" s="54"/>
      <c r="J42" s="35">
        <v>38</v>
      </c>
      <c r="K42" s="55">
        <v>60</v>
      </c>
      <c r="L42" s="55">
        <f t="shared" si="2"/>
        <v>90</v>
      </c>
      <c r="M42" s="55"/>
      <c r="T42" s="35">
        <v>38</v>
      </c>
      <c r="U42" s="50">
        <f>INDEX($Q$5:$Q$21,MATCH(节奏总纲!BQ41,$N$5:$N$21,1))*(U$2+$K$2)*节奏总纲!W41*4*$C$5+U41</f>
        <v>34174611.60492187</v>
      </c>
      <c r="V42" s="50">
        <f>INDEX($Q$5:$Q$21,MATCH(节奏总纲!BR41,$N$5:$N$21,1))*(V$2+$K$2)*节奏总纲!X41*4*$C$5+V41</f>
        <v>108667031.93901879</v>
      </c>
      <c r="W42" s="50">
        <f>INDEX($Q$5:$Q$21,MATCH(节奏总纲!BS41,$N$5:$N$21,1))*(W$2+$K$2)*节奏总纲!Y41*4*$C$5+W41</f>
        <v>229585448.07202479</v>
      </c>
      <c r="X42" s="50">
        <f>INDEX($Q$5:$Q$21,MATCH(节奏总纲!BT41,$N$5:$N$21,1))*(X$2+$K$2)*节奏总纲!Z41*4*$C$5+X41</f>
        <v>346389933.07602656</v>
      </c>
      <c r="Y42" s="50">
        <f>INDEX($Q$5:$Q$21,MATCH(节奏总纲!BU41,$N$5:$N$21,1))*(Y$2+$K$2)*节奏总纲!AA41*4*$C$5+Y41</f>
        <v>200511935.74648485</v>
      </c>
      <c r="Z42" s="51">
        <f>SUMIFS($K$5:$K$1004,$J$5:$J$1004,"&lt;="&amp;U$2)*节奏总纲!W41*4+Z41</f>
        <v>5171.5236050951944</v>
      </c>
      <c r="AA42" s="51">
        <f>SUMIFS($K$5:$K$1004,$J$5:$J$1004,"&lt;="&amp;V$2)*节奏总纲!X41*4+AA41</f>
        <v>40651.278450211285</v>
      </c>
      <c r="AB42" s="51">
        <f>SUMIFS($K$5:$K$1004,$J$5:$J$1004,"&lt;="&amp;W$2)*节奏总纲!Y41*4+AB41</f>
        <v>100646.12379292063</v>
      </c>
      <c r="AC42" s="51">
        <f>SUMIFS($K$5:$K$1004,$J$5:$J$1004,"&lt;="&amp;X$2)*节奏总纲!Z41*4+AC41</f>
        <v>157233.96938459322</v>
      </c>
      <c r="AD42" s="51">
        <f>SUMIFS($K$5:$K$1004,$J$5:$J$1004,"&lt;="&amp;Y$2)*节奏总纲!AA41*4+AD41</f>
        <v>88256.187539833554</v>
      </c>
      <c r="AH42" s="35">
        <v>38</v>
      </c>
      <c r="AI42" s="47">
        <f>'[1]资源-木石铜粮'!AE43-U42</f>
        <v>-48781683.982104875</v>
      </c>
      <c r="AJ42" s="47">
        <f>'[1]资源-木石铜粮'!AF43-V42</f>
        <v>-90841574.619396716</v>
      </c>
      <c r="AK42" s="47">
        <f>'[1]资源-木石铜粮'!AG43-W42</f>
        <v>-168196027.37118638</v>
      </c>
      <c r="AL42" s="47">
        <f>'[1]资源-木石铜粮'!AH43-X42</f>
        <v>-278415523.91376293</v>
      </c>
      <c r="AM42" s="47">
        <f>'[1]资源-木石铜粮'!AI43-Y42</f>
        <v>-122869830.22790153</v>
      </c>
      <c r="AN42" s="47">
        <f>(AI42-AI41)*IF($AH42&lt;=10,'[1]功能-付费相关'!S53,'[1]功能-付费相关'!S43)</f>
        <v>-1067.4631375806173</v>
      </c>
      <c r="AO42" s="47">
        <f>(AJ42-AJ41)*IF($AH42&lt;=10,'[1]功能-付费相关'!T53,'[1]功能-付费相关'!T43)</f>
        <v>-1856.494339014542</v>
      </c>
      <c r="AP42" s="47">
        <f>(AK42-AK41)*IF($AH42&lt;=10,'[1]功能-付费相关'!U53,'[1]功能-付费相关'!U43)</f>
        <v>-2993.4079015275643</v>
      </c>
      <c r="AQ42" s="47">
        <f>(AL42-AL41)*IF($AH42&lt;=10,'[1]功能-付费相关'!V53,'[1]功能-付费相关'!V43)</f>
        <v>-4133.0477920318535</v>
      </c>
      <c r="AR42" s="47">
        <f>(AM42-AM41)*IF($AH42&lt;=10,'[1]功能-付费相关'!W53,'[1]功能-付费相关'!W43)</f>
        <v>-1432.7511179180126</v>
      </c>
      <c r="AS42" s="48">
        <f>SUM(AN$5:AN42)/'[1]资源-钻石'!L41</f>
        <v>-0.16304367027426192</v>
      </c>
      <c r="AT42" s="48">
        <f>SUM(AO$5:AO42)/'[1]资源-钻石'!M41</f>
        <v>-0.25437852194610161</v>
      </c>
      <c r="AU42" s="48">
        <f>SUM(AP$5:AP42)/'[1]资源-钻石'!N41</f>
        <v>-0.33532084404635731</v>
      </c>
      <c r="AV42" s="48">
        <f>SUM(AQ$5:AQ42)/'[1]资源-钻石'!O41</f>
        <v>-0.28004034439025244</v>
      </c>
      <c r="AW42" s="48">
        <f>SUM(AR$5:AR42)/'[1]资源-钻石'!P41</f>
        <v>-9.2898379314824767E-2</v>
      </c>
      <c r="AX42" s="35">
        <f>('[1]资源-木石铜粮'!C43+U42)/'[1]资源-木石铜粮'!U43</f>
        <v>1.4001400668602557</v>
      </c>
      <c r="AY42" s="35">
        <f>('[1]资源-木石铜粮'!D43+V42)/'[1]资源-木石铜粮'!V43</f>
        <v>1.6277924166911981</v>
      </c>
      <c r="AZ42" s="35">
        <f>('[1]资源-木石铜粮'!E43+W42)/'[1]资源-木石铜粮'!W43</f>
        <v>1.9556736239561268</v>
      </c>
      <c r="BA42" s="35">
        <f>('[1]资源-木石铜粮'!F43+X42)/'[1]资源-木石铜粮'!X43</f>
        <v>2.6819716285752735</v>
      </c>
      <c r="BB42" s="35">
        <f>('[1]资源-木石铜粮'!G43+Y42)/'[1]资源-木石铜粮'!Y43</f>
        <v>1.8203038840835939</v>
      </c>
      <c r="BE42" s="39">
        <f t="shared" si="13"/>
        <v>1.5132647782163485E-4</v>
      </c>
      <c r="BF42" s="39">
        <f t="shared" si="14"/>
        <v>3.7409026201271203E-4</v>
      </c>
      <c r="BG42" s="39">
        <f t="shared" si="15"/>
        <v>4.3838198212521839E-4</v>
      </c>
      <c r="BH42" s="39">
        <f t="shared" si="16"/>
        <v>4.5392187927725689E-4</v>
      </c>
      <c r="BI42" s="39">
        <f t="shared" si="17"/>
        <v>4.4015428413907159E-4</v>
      </c>
      <c r="BK42" s="39">
        <f>BE42/求节点(节奏总纲!AM$4:AM$83,$G$5:$G$84,节奏总纲!P41)</f>
        <v>0.41239810715886865</v>
      </c>
      <c r="BL42" s="39">
        <f>BF42/求节点(节奏总纲!AN$4:AN$83,$G$5:$G$84,节奏总纲!Q41)</f>
        <v>1.0499442798150875</v>
      </c>
      <c r="BM42" s="39">
        <f>BG42/求节点(节奏总纲!AO$4:AO$83,$G$5:$G$84,节奏总纲!R41)</f>
        <v>1.2702514491310248</v>
      </c>
      <c r="BN42" s="39">
        <f>BH42/求节点(节奏总纲!AP$4:AP$83,$G$5:$G$84,节奏总纲!S41)</f>
        <v>1.3639880650038982</v>
      </c>
      <c r="BO42" s="39">
        <f>BI42/求节点(节奏总纲!AQ$4:AQ$83,$G$5:$G$84,节奏总纲!T41)</f>
        <v>1.372314204806671</v>
      </c>
    </row>
    <row r="43" spans="5:67" x14ac:dyDescent="0.15">
      <c r="E43" s="26">
        <v>39</v>
      </c>
      <c r="F43" s="26">
        <f>节奏总纲!$BL42</f>
        <v>66.152018816255293</v>
      </c>
      <c r="G43" s="26">
        <f>数据索引!$E44</f>
        <v>1.6452125336808253E-4</v>
      </c>
      <c r="H43" s="26">
        <f>数据索引!J44</f>
        <v>3.7866185493151818E-4</v>
      </c>
      <c r="I43" s="54"/>
      <c r="J43" s="35">
        <v>39</v>
      </c>
      <c r="K43" s="55">
        <v>60</v>
      </c>
      <c r="L43" s="55">
        <f t="shared" si="2"/>
        <v>90</v>
      </c>
      <c r="M43" s="55"/>
      <c r="T43" s="35">
        <v>39</v>
      </c>
      <c r="U43" s="50">
        <f>INDEX($Q$5:$Q$21,MATCH(节奏总纲!BQ42,$N$5:$N$21,1))*(U$2+$K$2)*节奏总纲!W42*4*$C$5+U42</f>
        <v>38142135.829131559</v>
      </c>
      <c r="V43" s="50">
        <f>INDEX($Q$5:$Q$21,MATCH(节奏总纲!BR42,$N$5:$N$21,1))*(V$2+$K$2)*节奏总纲!X42*4*$C$5+V42</f>
        <v>120543844.96665379</v>
      </c>
      <c r="W43" s="50">
        <f>INDEX($Q$5:$Q$21,MATCH(节奏总纲!BS42,$N$5:$N$21,1))*(W$2+$K$2)*节奏总纲!Y42*4*$C$5+W42</f>
        <v>253094918.3185983</v>
      </c>
      <c r="X43" s="50">
        <f>INDEX($Q$5:$Q$21,MATCH(节奏总纲!BT42,$N$5:$N$21,1))*(X$2+$K$2)*节奏总纲!Z42*4*$C$5+X42</f>
        <v>381362585.33000064</v>
      </c>
      <c r="Y43" s="50">
        <f>INDEX($Q$5:$Q$21,MATCH(节奏总纲!BU42,$N$5:$N$21,1))*(Y$2+$K$2)*节奏总纲!AA42*4*$C$5+Y42</f>
        <v>220507861.08407924</v>
      </c>
      <c r="Z43" s="51">
        <f>SUMIFS($K$5:$K$1004,$J$5:$J$1004,"&lt;="&amp;U$2)*节奏总纲!W42*4+Z42</f>
        <v>5571.4111458355674</v>
      </c>
      <c r="AA43" s="51">
        <f>SUMIFS($K$5:$K$1004,$J$5:$J$1004,"&lt;="&amp;V$2)*节奏总纲!X42*4+AA42</f>
        <v>43729.448942548785</v>
      </c>
      <c r="AB43" s="51">
        <f>SUMIFS($K$5:$K$1004,$J$5:$J$1004,"&lt;="&amp;W$2)*节奏总纲!Y42*4+AB42</f>
        <v>108172.8473841996</v>
      </c>
      <c r="AC43" s="51">
        <f>SUMIFS($K$5:$K$1004,$J$5:$J$1004,"&lt;="&amp;X$2)*节奏总纲!Z42*4+AC42</f>
        <v>169169.77089103655</v>
      </c>
      <c r="AD43" s="51">
        <f>SUMIFS($K$5:$K$1004,$J$5:$J$1004,"&lt;="&amp;Y$2)*节奏总纲!AA42*4+AD42</f>
        <v>95080.588332600615</v>
      </c>
      <c r="AH43" s="35">
        <v>39</v>
      </c>
      <c r="AI43" s="47">
        <f>'[1]资源-木石铜粮'!AE44-U43</f>
        <v>-56043437.835743383</v>
      </c>
      <c r="AJ43" s="47">
        <f>'[1]资源-木石铜粮'!AF44-V43</f>
        <v>-101648092.92904824</v>
      </c>
      <c r="AK43" s="47">
        <f>'[1]资源-木石铜粮'!AG44-W43</f>
        <v>-186467170.67604095</v>
      </c>
      <c r="AL43" s="47">
        <f>'[1]资源-木石铜粮'!AH44-X43</f>
        <v>-306004969.6297937</v>
      </c>
      <c r="AM43" s="47">
        <f>'[1]资源-木石铜粮'!AI44-Y43</f>
        <v>-132900889.84457473</v>
      </c>
      <c r="AN43" s="47">
        <f>(AI43-AI42)*IF($AH43&lt;=10,'[1]功能-付费相关'!S54,'[1]功能-付费相关'!S44)</f>
        <v>-1257.6961386670528</v>
      </c>
      <c r="AO43" s="47">
        <f>(AJ43-AJ42)*IF($AH43&lt;=10,'[1]功能-付费相关'!T54,'[1]功能-付费相关'!T44)</f>
        <v>-1838.8649412098262</v>
      </c>
      <c r="AP43" s="47">
        <f>(AK43-AK42)*IF($AH43&lt;=10,'[1]功能-付费相关'!U54,'[1]功能-付费相关'!U44)</f>
        <v>-3005.9913969825238</v>
      </c>
      <c r="AQ43" s="47">
        <f>(AL43-AL42)*IF($AH43&lt;=10,'[1]功能-付费相关'!V54,'[1]功能-付费相关'!V44)</f>
        <v>-4181.8865261260617</v>
      </c>
      <c r="AR43" s="47">
        <f>(AM43-AM42)*IF($AH43&lt;=10,'[1]功能-付费相关'!W54,'[1]功能-付费相关'!W44)</f>
        <v>-1447.6972695210843</v>
      </c>
      <c r="AS43" s="48">
        <f>SUM(AN$5:AN43)/'[1]资源-钻石'!L42</f>
        <v>-0.16618677905851958</v>
      </c>
      <c r="AT43" s="48">
        <f>SUM(AO$5:AO43)/'[1]资源-钻石'!M42</f>
        <v>-0.25504701097089366</v>
      </c>
      <c r="AU43" s="48">
        <f>SUM(AP$5:AP43)/'[1]资源-钻石'!N42</f>
        <v>-0.33430446473770953</v>
      </c>
      <c r="AV43" s="48">
        <f>SUM(AQ$5:AQ43)/'[1]资源-钻石'!O42</f>
        <v>-0.27619644540344945</v>
      </c>
      <c r="AW43" s="48">
        <f>SUM(AR$5:AR43)/'[1]资源-钻石'!P42</f>
        <v>-9.0349467665093622E-2</v>
      </c>
      <c r="AX43" s="35">
        <f>('[1]资源-木石铜粮'!C44+U43)/'[1]资源-木石铜粮'!U44</f>
        <v>1.4142675416871653</v>
      </c>
      <c r="AY43" s="35">
        <f>('[1]资源-木石铜粮'!D44+V43)/'[1]资源-木石铜粮'!V44</f>
        <v>1.6346316412433175</v>
      </c>
      <c r="AZ43" s="35">
        <f>('[1]资源-木石铜粮'!E44+W43)/'[1]资源-木石铜粮'!W44</f>
        <v>1.9608867381630282</v>
      </c>
      <c r="BA43" s="35">
        <f>('[1]资源-木石铜粮'!F44+X43)/'[1]资源-木石铜粮'!X44</f>
        <v>2.6648611239035143</v>
      </c>
      <c r="BB43" s="35">
        <f>('[1]资源-木石铜粮'!G44+Y43)/'[1]资源-木石铜粮'!Y44</f>
        <v>1.7946179752749793</v>
      </c>
      <c r="BE43" s="39">
        <f t="shared" si="13"/>
        <v>1.4606972118169452E-4</v>
      </c>
      <c r="BF43" s="39">
        <f t="shared" si="14"/>
        <v>3.6276799495358491E-4</v>
      </c>
      <c r="BG43" s="39">
        <f t="shared" si="15"/>
        <v>4.2740031330076167E-4</v>
      </c>
      <c r="BH43" s="39">
        <f t="shared" si="16"/>
        <v>4.4359299364579924E-4</v>
      </c>
      <c r="BI43" s="39">
        <f t="shared" si="17"/>
        <v>4.3118910983561972E-4</v>
      </c>
      <c r="BK43" s="39">
        <f>BE43/求节点(节奏总纲!AM$4:AM$83,$G$5:$G$84,节奏总纲!P42)</f>
        <v>0.40805092218480604</v>
      </c>
      <c r="BL43" s="39">
        <f>BF43/求节点(节奏总纲!AN$4:AN$83,$G$5:$G$84,节奏总纲!Q42)</f>
        <v>1.0435642145612161</v>
      </c>
      <c r="BM43" s="39">
        <f>BG43/求节点(节奏总纲!AO$4:AO$83,$G$5:$G$84,节奏总纲!R42)</f>
        <v>1.2692407680949234</v>
      </c>
      <c r="BN43" s="39">
        <f>BH43/求节点(节奏总纲!AP$4:AP$83,$G$5:$G$84,节奏总纲!S42)</f>
        <v>1.3637061264277819</v>
      </c>
      <c r="BO43" s="39">
        <f>BI43/求节点(节奏总纲!AQ$4:AQ$83,$G$5:$G$84,节奏总纲!T42)</f>
        <v>1.378604927288281</v>
      </c>
    </row>
    <row r="44" spans="5:67" x14ac:dyDescent="0.15">
      <c r="E44" s="26">
        <v>40</v>
      </c>
      <c r="F44" s="26">
        <f>节奏总纲!$BL43</f>
        <v>68.367495331711169</v>
      </c>
      <c r="G44" s="26">
        <f>数据索引!$E45</f>
        <v>1.5532347911031258E-4</v>
      </c>
      <c r="H44" s="26">
        <f>数据索引!J45</f>
        <v>3.5830057803451569E-4</v>
      </c>
      <c r="I44" s="54"/>
      <c r="J44" s="35">
        <v>40</v>
      </c>
      <c r="K44" s="55">
        <v>60</v>
      </c>
      <c r="L44" s="55">
        <f t="shared" si="2"/>
        <v>90</v>
      </c>
      <c r="M44" s="55"/>
      <c r="T44" s="35">
        <v>40</v>
      </c>
      <c r="U44" s="50">
        <f>INDEX($Q$5:$Q$21,MATCH(节奏总纲!BQ43,$N$5:$N$21,1))*(U$2+$K$2)*节奏总纲!W43*4*$C$5+U43</f>
        <v>42394423.004609399</v>
      </c>
      <c r="V44" s="50">
        <f>INDEX($Q$5:$Q$21,MATCH(节奏总纲!BR43,$N$5:$N$21,1))*(V$2+$K$2)*节奏总纲!X43*4*$C$5+V43</f>
        <v>133210783.32672361</v>
      </c>
      <c r="W44" s="50">
        <f>INDEX($Q$5:$Q$21,MATCH(节奏总纲!BS43,$N$5:$N$21,1))*(W$2+$K$2)*节奏总纲!Y43*4*$C$5+W43</f>
        <v>278934585.35563034</v>
      </c>
      <c r="X44" s="50">
        <f>INDEX($Q$5:$Q$21,MATCH(节奏总纲!BT43,$N$5:$N$21,1))*(X$2+$K$2)*节奏总纲!Z43*4*$C$5+X43</f>
        <v>420194797.65268093</v>
      </c>
      <c r="Y44" s="50">
        <f>INDEX($Q$5:$Q$21,MATCH(节奏总纲!BU43,$N$5:$N$21,1))*(Y$2+$K$2)*节奏总纲!AA43*4*$C$5+Y43</f>
        <v>242540212.17976999</v>
      </c>
      <c r="Z44" s="51">
        <f>SUMIFS($K$5:$K$1004,$J$5:$J$1004,"&lt;="&amp;U$2)*节奏总纲!W43*4+Z43</f>
        <v>6000.0000000000009</v>
      </c>
      <c r="AA44" s="51">
        <f>SUMIFS($K$5:$K$1004,$J$5:$J$1004,"&lt;="&amp;V$2)*节奏总纲!X43*4+AA43</f>
        <v>47012.400000000009</v>
      </c>
      <c r="AB44" s="51">
        <f>SUMIFS($K$5:$K$1004,$J$5:$J$1004,"&lt;="&amp;W$2)*节奏总纲!Y43*4+AB43</f>
        <v>116445.6</v>
      </c>
      <c r="AC44" s="51">
        <f>SUMIFS($K$5:$K$1004,$J$5:$J$1004,"&lt;="&amp;X$2)*节奏总纲!Z43*4+AC43</f>
        <v>182422.8</v>
      </c>
      <c r="AD44" s="51">
        <f>SUMIFS($K$5:$K$1004,$J$5:$J$1004,"&lt;="&amp;Y$2)*节奏总纲!AA43*4+AD43</f>
        <v>102600</v>
      </c>
      <c r="AH44" s="35">
        <v>40</v>
      </c>
      <c r="AI44" s="47">
        <f>'[1]资源-木石铜粮'!AE45-U44</f>
        <v>-63841447.588869236</v>
      </c>
      <c r="AJ44" s="47">
        <f>'[1]资源-木石铜粮'!AF45-V44</f>
        <v>-113039626.07323056</v>
      </c>
      <c r="AK44" s="47">
        <f>'[1]资源-木石铜粮'!AG45-W44</f>
        <v>-206503376.52801296</v>
      </c>
      <c r="AL44" s="47">
        <f>'[1]资源-木石铜粮'!AH45-X44</f>
        <v>-336661378.42779046</v>
      </c>
      <c r="AM44" s="47">
        <f>'[1]资源-木石铜粮'!AI45-Y44</f>
        <v>-143243209.57020909</v>
      </c>
      <c r="AN44" s="47">
        <f>(AI44-AI43)*IF($AH44&lt;=10,'[1]功能-付费相关'!S55,'[1]功能-付费相关'!S45)</f>
        <v>-1277.0388562967769</v>
      </c>
      <c r="AO44" s="47">
        <f>(AJ44-AJ43)*IF($AH44&lt;=10,'[1]功能-付费相关'!T55,'[1]功能-付费相关'!T45)</f>
        <v>-1832.1321674211276</v>
      </c>
      <c r="AP44" s="47">
        <f>(AK44-AK43)*IF($AH44&lt;=10,'[1]功能-付费相关'!U55,'[1]功能-付费相关'!U45)</f>
        <v>-3112.093201098698</v>
      </c>
      <c r="AQ44" s="47">
        <f>(AL44-AL43)*IF($AH44&lt;=10,'[1]功能-付费相关'!V55,'[1]功能-付费相关'!V45)</f>
        <v>-4379.421849984833</v>
      </c>
      <c r="AR44" s="47">
        <f>(AM44-AM43)*IF($AH44&lt;=10,'[1]功能-付费相关'!W55,'[1]功能-付费相关'!W45)</f>
        <v>-1406.7957702189706</v>
      </c>
      <c r="AS44" s="48">
        <f>SUM(AN$5:AN44)/'[1]资源-钻石'!L43</f>
        <v>-0.16856083542501399</v>
      </c>
      <c r="AT44" s="48">
        <f>SUM(AO$5:AO44)/'[1]资源-钻石'!M43</f>
        <v>-0.25473776015957311</v>
      </c>
      <c r="AU44" s="48">
        <f>SUM(AP$5:AP44)/'[1]资源-钻石'!N43</f>
        <v>-0.33228415190837723</v>
      </c>
      <c r="AV44" s="48">
        <f>SUM(AQ$5:AQ44)/'[1]资源-钻石'!O43</f>
        <v>-0.27217935442160912</v>
      </c>
      <c r="AW44" s="48">
        <f>SUM(AR$5:AR44)/'[1]资源-钻石'!P43</f>
        <v>-8.7506394585710995E-2</v>
      </c>
      <c r="AX44" s="35">
        <f>('[1]资源-木石铜粮'!C45+U44)/'[1]资源-木石铜粮'!U45</f>
        <v>1.4251197673906744</v>
      </c>
      <c r="AY44" s="35">
        <f>('[1]资源-木石铜粮'!D45+V44)/'[1]资源-木石铜粮'!V45</f>
        <v>1.6371587270614585</v>
      </c>
      <c r="AZ44" s="35">
        <f>('[1]资源-木石铜粮'!E45+W44)/'[1]资源-木石铜粮'!W45</f>
        <v>1.9637007743785579</v>
      </c>
      <c r="BA44" s="35">
        <f>('[1]资源-木石铜粮'!F45+X44)/'[1]资源-木石铜粮'!X45</f>
        <v>2.6479091612258454</v>
      </c>
      <c r="BB44" s="35">
        <f>('[1]资源-木石铜粮'!G45+Y44)/'[1]资源-木石铜粮'!Y45</f>
        <v>1.7644696389665933</v>
      </c>
      <c r="BE44" s="39">
        <f t="shared" si="13"/>
        <v>1.4152804955849127E-4</v>
      </c>
      <c r="BF44" s="39">
        <f t="shared" si="14"/>
        <v>3.5291737519997592E-4</v>
      </c>
      <c r="BG44" s="39">
        <f t="shared" si="15"/>
        <v>4.1746562138049882E-4</v>
      </c>
      <c r="BH44" s="39">
        <f t="shared" si="16"/>
        <v>4.3413864478823131E-4</v>
      </c>
      <c r="BI44" s="39">
        <f t="shared" si="17"/>
        <v>4.2302263644410944E-4</v>
      </c>
      <c r="BK44" s="39">
        <f>BE44/求节点(节奏总纲!AM$4:AM$83,$G$5:$G$84,节奏总纲!P43)</f>
        <v>0.40558270143080943</v>
      </c>
      <c r="BL44" s="39">
        <f>BF44/求节点(节奏总纲!AN$4:AN$83,$G$5:$G$84,节奏总纲!Q43)</f>
        <v>1.0398193131400519</v>
      </c>
      <c r="BM44" s="39">
        <f>BG44/求节点(节奏总纲!AO$4:AO$83,$G$5:$G$84,节奏总纲!R43)</f>
        <v>1.2706068542945765</v>
      </c>
      <c r="BN44" s="39">
        <f>BH44/求节点(节奏总纲!AP$4:AP$83,$G$5:$G$84,节奏总纲!S43)</f>
        <v>1.3691801897725004</v>
      </c>
      <c r="BO44" s="39">
        <f>BI44/求节点(节奏总纲!AQ$4:AQ$83,$G$5:$G$84,节奏总纲!T43)</f>
        <v>1.3854155343509014</v>
      </c>
    </row>
    <row r="45" spans="5:67" x14ac:dyDescent="0.15">
      <c r="E45" s="26">
        <v>41</v>
      </c>
      <c r="F45" s="26">
        <f>节奏总纲!$BL44</f>
        <v>70.476853761910021</v>
      </c>
      <c r="G45" s="26">
        <f>数据索引!$E46</f>
        <v>1.4672826324406424E-4</v>
      </c>
      <c r="H45" s="26">
        <f>数据索引!J46</f>
        <v>3.3918786212471896E-4</v>
      </c>
      <c r="I45" s="54"/>
      <c r="J45" s="35">
        <v>41</v>
      </c>
      <c r="K45" s="55">
        <v>60</v>
      </c>
      <c r="L45" s="55">
        <f t="shared" si="2"/>
        <v>90</v>
      </c>
      <c r="M45" s="55"/>
      <c r="T45" s="35">
        <v>41</v>
      </c>
      <c r="U45" s="50">
        <f>INDEX($Q$5:$Q$21,MATCH(节奏总纲!BQ44,$N$5:$N$21,1))*(U$2+$K$2)*节奏总纲!W44*4*$C$5+U44</f>
        <v>46951911.554369919</v>
      </c>
      <c r="V45" s="50">
        <f>INDEX($Q$5:$Q$21,MATCH(节奏总纲!BR44,$N$5:$N$21,1))*(V$2+$K$2)*节奏总纲!X44*4*$C$5+V44</f>
        <v>147187628.61066854</v>
      </c>
      <c r="W45" s="50">
        <f>INDEX($Q$5:$Q$21,MATCH(节奏总纲!BS44,$N$5:$N$21,1))*(W$2+$K$2)*节奏总纲!Y44*4*$C$5+W44</f>
        <v>307270195.12436283</v>
      </c>
      <c r="X45" s="50">
        <f>INDEX($Q$5:$Q$21,MATCH(节奏总纲!BT44,$N$5:$N$21,1))*(X$2+$K$2)*节奏总纲!Z44*4*$C$5+X44</f>
        <v>462194830.91604662</v>
      </c>
      <c r="Y45" s="50">
        <f>INDEX($Q$5:$Q$21,MATCH(节奏总纲!BU44,$N$5:$N$21,1))*(Y$2+$K$2)*节奏总纲!AA44*4*$C$5+Y44</f>
        <v>266634328.67998159</v>
      </c>
      <c r="Z45" s="51">
        <f>SUMIFS($K$5:$K$1004,$J$5:$J$1004,"&lt;="&amp;U$2)*节奏总纲!W44*4+Z44</f>
        <v>6459.350160232274</v>
      </c>
      <c r="AA45" s="51">
        <f>SUMIFS($K$5:$K$1004,$J$5:$J$1004,"&lt;="&amp;V$2)*节奏总纲!X44*4+AA44</f>
        <v>50634.845906060793</v>
      </c>
      <c r="AB45" s="51">
        <f>SUMIFS($K$5:$K$1004,$J$5:$J$1004,"&lt;="&amp;W$2)*节奏总纲!Y44*4+AB44</f>
        <v>125517.4463786175</v>
      </c>
      <c r="AC45" s="51">
        <f>SUMIFS($K$5:$K$1004,$J$5:$J$1004,"&lt;="&amp;X$2)*节奏总纲!Z44*4+AC44</f>
        <v>196756.97336080321</v>
      </c>
      <c r="AD45" s="51">
        <f>SUMIFS($K$5:$K$1004,$J$5:$J$1004,"&lt;="&amp;Y$2)*节奏总纲!AA44*4+AD44</f>
        <v>110823.07069910511</v>
      </c>
      <c r="AH45" s="35">
        <v>41</v>
      </c>
      <c r="AI45" s="47">
        <f>'[1]资源-木石铜粮'!AE46-U45</f>
        <v>-72647920.189971656</v>
      </c>
      <c r="AJ45" s="47">
        <f>'[1]资源-木石铜粮'!AF46-V45</f>
        <v>-126851942.56750816</v>
      </c>
      <c r="AK45" s="47">
        <f>'[1]资源-木石铜粮'!AG46-W45</f>
        <v>-228830199.48278582</v>
      </c>
      <c r="AL45" s="47">
        <f>'[1]资源-木石铜粮'!AH46-X45</f>
        <v>-369564777.70463639</v>
      </c>
      <c r="AM45" s="47">
        <f>'[1]资源-木石铜粮'!AI46-Y45</f>
        <v>-154787353.04835358</v>
      </c>
      <c r="AN45" s="47">
        <f>(AI45-AI44)*IF($AH45&lt;=10,'[1]功能-付费相关'!S56,'[1]功能-付费相关'!S46)</f>
        <v>-1364.1690272596452</v>
      </c>
      <c r="AO45" s="47">
        <f>(AJ45-AJ44)*IF($AH45&lt;=10,'[1]功能-付费相关'!T56,'[1]功能-付费相关'!T46)</f>
        <v>-2100.6995492136884</v>
      </c>
      <c r="AP45" s="47">
        <f>(AK45-AK44)*IF($AH45&lt;=10,'[1]功能-付费相关'!U56,'[1]功能-付费相关'!U46)</f>
        <v>-3275.9759559115282</v>
      </c>
      <c r="AQ45" s="47">
        <f>(AL45-AL44)*IF($AH45&lt;=10,'[1]功能-付费相关'!V56,'[1]功能-付费相关'!V46)</f>
        <v>-4432.5924476092923</v>
      </c>
      <c r="AR45" s="47">
        <f>(AM45-AM44)*IF($AH45&lt;=10,'[1]功能-付费相关'!W56,'[1]功能-付费相关'!W46)</f>
        <v>-1480.7616107781703</v>
      </c>
      <c r="AS45" s="48">
        <f>SUM(AN$5:AN45)/'[1]资源-钻石'!L44</f>
        <v>-0.17079388916687854</v>
      </c>
      <c r="AT45" s="48">
        <f>SUM(AO$5:AO45)/'[1]资源-钻石'!M44</f>
        <v>-0.25500722128947273</v>
      </c>
      <c r="AU45" s="48">
        <f>SUM(AP$5:AP45)/'[1]资源-钻石'!N44</f>
        <v>-0.32962582071358193</v>
      </c>
      <c r="AV45" s="48">
        <f>SUM(AQ$5:AQ45)/'[1]资源-钻石'!O44</f>
        <v>-0.26754567347121055</v>
      </c>
      <c r="AW45" s="48">
        <f>SUM(AR$5:AR45)/'[1]资源-钻石'!P44</f>
        <v>-8.4668391122031825E-2</v>
      </c>
      <c r="AX45" s="35">
        <f>('[1]资源-木石铜粮'!C46+U45)/'[1]资源-木石铜粮'!U46</f>
        <v>1.4342558981594411</v>
      </c>
      <c r="AY45" s="35">
        <f>('[1]资源-木石铜粮'!D46+V45)/'[1]资源-木石铜粮'!V46</f>
        <v>1.643337225726679</v>
      </c>
      <c r="AZ45" s="35">
        <f>('[1]资源-木石铜粮'!E46+W45)/'[1]资源-木石铜粮'!W46</f>
        <v>1.9646742415637382</v>
      </c>
      <c r="BA45" s="35">
        <f>('[1]资源-木石铜粮'!F46+X45)/'[1]资源-木石铜粮'!X46</f>
        <v>2.6221271955266277</v>
      </c>
      <c r="BB45" s="35">
        <f>('[1]资源-木石铜粮'!G46+Y45)/'[1]资源-木石铜粮'!Y46</f>
        <v>1.7368899269912288</v>
      </c>
      <c r="BE45" s="39">
        <f t="shared" si="13"/>
        <v>1.3757374186463954E-4</v>
      </c>
      <c r="BF45" s="39">
        <f t="shared" si="14"/>
        <v>3.440156376185454E-4</v>
      </c>
      <c r="BG45" s="39">
        <f t="shared" si="15"/>
        <v>4.0849209708678798E-4</v>
      </c>
      <c r="BH45" s="39">
        <f t="shared" si="16"/>
        <v>4.2570137136938745E-4</v>
      </c>
      <c r="BI45" s="39">
        <f t="shared" si="17"/>
        <v>4.1563691835088713E-4</v>
      </c>
      <c r="BK45" s="39">
        <f>BE45/求节点(节奏总纲!AM$4:AM$83,$G$5:$G$84,节奏总纲!P44)</f>
        <v>0.40383587992653697</v>
      </c>
      <c r="BL45" s="39">
        <f>BF45/求节点(节奏总纲!AN$4:AN$83,$G$5:$G$84,节奏总纲!Q44)</f>
        <v>1.0401090996110609</v>
      </c>
      <c r="BM45" s="39">
        <f>BG45/求节点(节奏总纲!AO$4:AO$83,$G$5:$G$84,节奏总纲!R44)</f>
        <v>1.2739464912626897</v>
      </c>
      <c r="BN45" s="39">
        <f>BH45/求节点(节奏总纲!AP$4:AP$83,$G$5:$G$84,节奏总纲!S44)</f>
        <v>1.3753934565542929</v>
      </c>
      <c r="BO45" s="39">
        <f>BI45/求节点(节奏总纲!AQ$4:AQ$83,$G$5:$G$84,节奏总纲!T44)</f>
        <v>1.3975076785806955</v>
      </c>
    </row>
    <row r="46" spans="5:67" x14ac:dyDescent="0.15">
      <c r="E46" s="26">
        <v>42</v>
      </c>
      <c r="F46" s="26">
        <f>节奏总纲!$BL45</f>
        <v>72.65984060067882</v>
      </c>
      <c r="G46" s="26">
        <f>数据索引!$E47</f>
        <v>1.3866148552329707E-4</v>
      </c>
      <c r="H46" s="26">
        <f>数据索引!J47</f>
        <v>3.2121413009389784E-4</v>
      </c>
      <c r="I46" s="54"/>
      <c r="J46" s="35">
        <v>42</v>
      </c>
      <c r="K46" s="55">
        <v>60</v>
      </c>
      <c r="L46" s="55">
        <f t="shared" si="2"/>
        <v>90</v>
      </c>
      <c r="M46" s="55"/>
      <c r="T46" s="35">
        <v>42</v>
      </c>
      <c r="U46" s="50">
        <f>INDEX($Q$5:$Q$21,MATCH(节奏总纲!BQ45,$N$5:$N$21,1))*(U$2+$K$2)*节奏总纲!W45*4*$C$5+U45</f>
        <v>51836506.837816313</v>
      </c>
      <c r="V46" s="50">
        <f>INDEX($Q$5:$Q$21,MATCH(节奏总纲!BR45,$N$5:$N$21,1))*(V$2+$K$2)*节奏总纲!X45*4*$C$5+V45</f>
        <v>162705959.65513709</v>
      </c>
      <c r="W46" s="50">
        <f>INDEX($Q$5:$Q$21,MATCH(节奏总纲!BS45,$N$5:$N$21,1))*(W$2+$K$2)*节奏总纲!Y45*4*$C$5+W45</f>
        <v>338499858.9600212</v>
      </c>
      <c r="X46" s="50">
        <f>INDEX($Q$5:$Q$21,MATCH(节奏总纲!BT45,$N$5:$N$21,1))*(X$2+$K$2)*节奏总纲!Z45*4*$C$5+X45</f>
        <v>508457394.21623957</v>
      </c>
      <c r="Y46" s="50">
        <f>INDEX($Q$5:$Q$21,MATCH(节奏总纲!BU45,$N$5:$N$21,1))*(Y$2+$K$2)*节奏总纲!AA45*4*$C$5+Y45</f>
        <v>292544782.22651625</v>
      </c>
      <c r="Z46" s="51">
        <f>SUMIFS($K$5:$K$1004,$J$5:$J$1004,"&lt;="&amp;U$2)*节奏总纲!W45*4+Z45</f>
        <v>6951.6694719810239</v>
      </c>
      <c r="AA46" s="51">
        <f>SUMIFS($K$5:$K$1004,$J$5:$J$1004,"&lt;="&amp;V$2)*节奏总纲!X45*4+AA45</f>
        <v>54656.806056503607</v>
      </c>
      <c r="AB46" s="51">
        <f>SUMIFS($K$5:$K$1004,$J$5:$J$1004,"&lt;="&amp;W$2)*节奏总纲!Y45*4+AB45</f>
        <v>135515.84468679808</v>
      </c>
      <c r="AC46" s="51">
        <f>SUMIFS($K$5:$K$1004,$J$5:$J$1004,"&lt;="&amp;X$2)*节奏总纲!Z45*4+AC45</f>
        <v>212545.9037719254</v>
      </c>
      <c r="AD46" s="51">
        <f>SUMIFS($K$5:$K$1004,$J$5:$J$1004,"&lt;="&amp;Y$2)*节奏总纲!AA45*4+AD45</f>
        <v>119666.03829068133</v>
      </c>
      <c r="AH46" s="35">
        <v>42</v>
      </c>
      <c r="AI46" s="47">
        <f>'[1]资源-木石铜粮'!AE47-U46</f>
        <v>-82037779.936817244</v>
      </c>
      <c r="AJ46" s="47">
        <f>'[1]资源-木石铜粮'!AF47-V46</f>
        <v>-142084649.23552135</v>
      </c>
      <c r="AK46" s="47">
        <f>'[1]资源-木石铜粮'!AG47-W46</f>
        <v>-253254705.21998253</v>
      </c>
      <c r="AL46" s="47">
        <f>'[1]资源-木石铜粮'!AH47-X46</f>
        <v>-405567257.38171053</v>
      </c>
      <c r="AM46" s="47">
        <f>'[1]资源-木石铜粮'!AI47-Y46</f>
        <v>-166503272.64220718</v>
      </c>
      <c r="AN46" s="47">
        <f>(AI46-AI45)*IF($AH46&lt;=10,'[1]功能-付费相关'!S57,'[1]功能-付费相关'!S47)</f>
        <v>-1376.2799125154834</v>
      </c>
      <c r="AO46" s="47">
        <f>(AJ46-AJ45)*IF($AH46&lt;=10,'[1]功能-付费相关'!T57,'[1]功能-付费相关'!T47)</f>
        <v>-2191.0047874741526</v>
      </c>
      <c r="AP46" s="47">
        <f>(AK46-AK45)*IF($AH46&lt;=10,'[1]功能-付费相关'!U57,'[1]功能-付费相关'!U47)</f>
        <v>-3386.7382486919882</v>
      </c>
      <c r="AQ46" s="47">
        <f>(AL46-AL45)*IF($AH46&lt;=10,'[1]功能-付费相关'!V57,'[1]功能-付费相关'!V47)</f>
        <v>-4584.2428942572651</v>
      </c>
      <c r="AR46" s="47">
        <f>(AM46-AM45)*IF($AH46&lt;=10,'[1]功能-付费相关'!W57,'[1]功能-付费相关'!W47)</f>
        <v>-1417.1392705125547</v>
      </c>
      <c r="AS46" s="48">
        <f>SUM(AN$5:AN46)/'[1]资源-钻石'!L45</f>
        <v>-0.17223960754573683</v>
      </c>
      <c r="AT46" s="48">
        <f>SUM(AO$5:AO46)/'[1]资源-钻石'!M45</f>
        <v>-0.25474163462628785</v>
      </c>
      <c r="AU46" s="48">
        <f>SUM(AP$5:AP46)/'[1]资源-钻石'!N45</f>
        <v>-0.32597225252457296</v>
      </c>
      <c r="AV46" s="48">
        <f>SUM(AQ$5:AQ46)/'[1]资源-钻石'!O45</f>
        <v>-0.26231526557183954</v>
      </c>
      <c r="AW46" s="48">
        <f>SUM(AR$5:AR46)/'[1]资源-钻石'!P45</f>
        <v>-8.1693176801678424E-2</v>
      </c>
      <c r="AX46" s="35">
        <f>('[1]资源-木石铜粮'!C47+U46)/'[1]资源-木石铜粮'!U47</f>
        <v>1.4407560528358427</v>
      </c>
      <c r="AY46" s="35">
        <f>('[1]资源-木石铜粮'!D47+V46)/'[1]资源-木石铜粮'!V47</f>
        <v>1.6466622365601025</v>
      </c>
      <c r="AZ46" s="35">
        <f>('[1]资源-木石铜粮'!E47+W46)/'[1]资源-木石铜粮'!W47</f>
        <v>1.9629496286260761</v>
      </c>
      <c r="BA46" s="35">
        <f>('[1]资源-木石铜粮'!F47+X46)/'[1]资源-木石铜粮'!X47</f>
        <v>2.595302280516095</v>
      </c>
      <c r="BB46" s="35">
        <f>('[1]资源-木石铜粮'!G47+Y46)/'[1]资源-木石铜粮'!Y47</f>
        <v>1.7075522102829199</v>
      </c>
      <c r="BE46" s="39">
        <f t="shared" si="13"/>
        <v>1.3410759898870286E-4</v>
      </c>
      <c r="BF46" s="39">
        <f t="shared" si="14"/>
        <v>3.3592381110287092E-4</v>
      </c>
      <c r="BG46" s="39">
        <f t="shared" si="15"/>
        <v>4.0034239631043183E-4</v>
      </c>
      <c r="BH46" s="39">
        <f t="shared" si="16"/>
        <v>4.1802106959139371E-4</v>
      </c>
      <c r="BI46" s="39">
        <f t="shared" si="17"/>
        <v>4.0905203428999941E-4</v>
      </c>
      <c r="BK46" s="39">
        <f>BE46/求节点(节奏总纲!AM$4:AM$83,$G$5:$G$84,节奏总纲!P45)</f>
        <v>0.40406964964776193</v>
      </c>
      <c r="BL46" s="39">
        <f>BF46/求节点(节奏总纲!AN$4:AN$83,$G$5:$G$84,节奏总纲!Q45)</f>
        <v>1.0404500890552226</v>
      </c>
      <c r="BM46" s="39">
        <f>BG46/求节点(节奏总纲!AO$4:AO$83,$G$5:$G$84,节奏总纲!R45)</f>
        <v>1.281124659983556</v>
      </c>
      <c r="BN46" s="39">
        <f>BH46/求节点(节奏总纲!AP$4:AP$83,$G$5:$G$84,节奏总纲!S45)</f>
        <v>1.3855081992825353</v>
      </c>
      <c r="BO46" s="39">
        <f>BI46/求节点(节奏总纲!AQ$4:AQ$83,$G$5:$G$84,节奏总纲!T45)</f>
        <v>1.4087000948555588</v>
      </c>
    </row>
    <row r="47" spans="5:67" x14ac:dyDescent="0.15">
      <c r="E47" s="26">
        <v>43</v>
      </c>
      <c r="F47" s="26">
        <f>节奏总纲!$BL46</f>
        <v>74.771148405180824</v>
      </c>
      <c r="G47" s="26">
        <f>数据索引!$E48</f>
        <v>1.3109863476386667E-4</v>
      </c>
      <c r="H47" s="26">
        <f>数据索引!J48</f>
        <v>3.0432715156483676E-4</v>
      </c>
      <c r="I47" s="54"/>
      <c r="J47" s="35">
        <v>43</v>
      </c>
      <c r="K47" s="55">
        <v>60</v>
      </c>
      <c r="L47" s="55">
        <f t="shared" si="2"/>
        <v>90</v>
      </c>
      <c r="M47" s="55"/>
      <c r="T47" s="35">
        <v>43</v>
      </c>
      <c r="U47" s="50">
        <f>INDEX($Q$5:$Q$21,MATCH(节奏总纲!BQ46,$N$5:$N$21,1))*(U$2+$K$2)*节奏总纲!W46*4*$C$5+U46</f>
        <v>57071686.43784409</v>
      </c>
      <c r="V47" s="50">
        <f>INDEX($Q$5:$Q$21,MATCH(节奏总纲!BR46,$N$5:$N$21,1))*(V$2+$K$2)*节奏总纲!X46*4*$C$5+V46</f>
        <v>178764989.60458526</v>
      </c>
      <c r="W47" s="50">
        <f>INDEX($Q$5:$Q$21,MATCH(节奏总纲!BS46,$N$5:$N$21,1))*(W$2+$K$2)*节奏总纲!Y46*4*$C$5+W46</f>
        <v>370943535.33498293</v>
      </c>
      <c r="X47" s="50">
        <f>INDEX($Q$5:$Q$21,MATCH(节奏总纲!BT46,$N$5:$N$21,1))*(X$2+$K$2)*节奏总纲!Z46*4*$C$5+X46</f>
        <v>555103350.46283412</v>
      </c>
      <c r="Y47" s="50">
        <f>INDEX($Q$5:$Q$21,MATCH(节奏总纲!BU46,$N$5:$N$21,1))*(Y$2+$K$2)*节奏总纲!AA46*4*$C$5+Y46</f>
        <v>318659030.70607364</v>
      </c>
      <c r="Z47" s="51">
        <f>SUMIFS($K$5:$K$1004,$J$5:$J$1004,"&lt;="&amp;U$2)*节奏总纲!W46*4+Z46</f>
        <v>7479.3242454074652</v>
      </c>
      <c r="AA47" s="51">
        <f>SUMIFS($K$5:$K$1004,$J$5:$J$1004,"&lt;="&amp;V$2)*节奏总纲!X46*4+AA46</f>
        <v>58818.901730733385</v>
      </c>
      <c r="AB47" s="51">
        <f>SUMIFS($K$5:$K$1004,$J$5:$J$1004,"&lt;="&amp;W$2)*节奏总纲!Y46*4+AB46</f>
        <v>145902.91771728612</v>
      </c>
      <c r="AC47" s="51">
        <f>SUMIFS($K$5:$K$1004,$J$5:$J$1004,"&lt;="&amp;X$2)*节奏总纲!Z46*4+AC46</f>
        <v>228465.68219749007</v>
      </c>
      <c r="AD47" s="51">
        <f>SUMIFS($K$5:$K$1004,$J$5:$J$1004,"&lt;="&amp;Y$2)*节奏总纲!AA46*4+AD46</f>
        <v>128578.55896764879</v>
      </c>
      <c r="AH47" s="35">
        <v>43</v>
      </c>
      <c r="AI47" s="47">
        <f>'[1]资源-木石铜粮'!AE48-U47</f>
        <v>-92368785.569252223</v>
      </c>
      <c r="AJ47" s="47">
        <f>'[1]资源-木石铜粮'!AF48-V47</f>
        <v>-157392596.77772263</v>
      </c>
      <c r="AK47" s="47">
        <f>'[1]资源-木石铜粮'!AG48-W47</f>
        <v>-277746916.59261525</v>
      </c>
      <c r="AL47" s="47">
        <f>'[1]资源-木石铜粮'!AH48-X47</f>
        <v>-441023481.20931339</v>
      </c>
      <c r="AM47" s="47">
        <f>'[1]资源-木石铜粮'!AI48-Y47</f>
        <v>-177522414.0478805</v>
      </c>
      <c r="AN47" s="47">
        <f>(AI47-AI46)*IF($AH47&lt;=10,'[1]功能-付费相关'!S58,'[1]功能-付费相关'!S48)</f>
        <v>-1433.0414451043341</v>
      </c>
      <c r="AO47" s="47">
        <f>(AJ47-AJ46)*IF($AH47&lt;=10,'[1]功能-付费相关'!T58,'[1]功能-付费相关'!T48)</f>
        <v>-2083.1290277629682</v>
      </c>
      <c r="AP47" s="47">
        <f>(AK47-AK46)*IF($AH47&lt;=10,'[1]功能-付费相关'!U58,'[1]功能-付费相关'!U48)</f>
        <v>-3210.8954733001974</v>
      </c>
      <c r="AQ47" s="47">
        <f>(AL47-AL46)*IF($AH47&lt;=10,'[1]功能-付费相关'!V58,'[1]功能-付费相关'!V48)</f>
        <v>-4269.0550103263386</v>
      </c>
      <c r="AR47" s="47">
        <f>(AM47-AM46)*IF($AH47&lt;=10,'[1]功能-付费相关'!W58,'[1]功能-付费相关'!W48)</f>
        <v>-1257.8077600635941</v>
      </c>
      <c r="AS47" s="48">
        <f>SUM(AN$5:AN47)/'[1]资源-钻石'!L46</f>
        <v>-0.17330134176941858</v>
      </c>
      <c r="AT47" s="48">
        <f>SUM(AO$5:AO47)/'[1]资源-钻石'!M46</f>
        <v>-0.25336051481491345</v>
      </c>
      <c r="AU47" s="48">
        <f>SUM(AP$5:AP47)/'[1]资源-钻石'!N46</f>
        <v>-0.32124381950362119</v>
      </c>
      <c r="AV47" s="48">
        <f>SUM(AQ$5:AQ47)/'[1]资源-钻石'!O46</f>
        <v>-0.25684640392595059</v>
      </c>
      <c r="AW47" s="48">
        <f>SUM(AR$5:AR47)/'[1]资源-钻石'!P46</f>
        <v>-7.8782109945119319E-2</v>
      </c>
      <c r="AX47" s="35">
        <f>('[1]资源-木石铜粮'!C48+U47)/'[1]资源-木石铜粮'!U48</f>
        <v>1.4457389181428413</v>
      </c>
      <c r="AY47" s="35">
        <f>('[1]资源-木石铜粮'!D48+V47)/'[1]资源-木石铜粮'!V48</f>
        <v>1.6452423916203514</v>
      </c>
      <c r="AZ47" s="35">
        <f>('[1]资源-木石铜粮'!E48+W47)/'[1]资源-木石铜粮'!W48</f>
        <v>1.9539842379617673</v>
      </c>
      <c r="BA47" s="35">
        <f>('[1]资源-木石铜粮'!F48+X47)/'[1]资源-木石铜粮'!X48</f>
        <v>2.5633328308317913</v>
      </c>
      <c r="BB47" s="35">
        <f>('[1]资源-木石铜粮'!G48+Y47)/'[1]资源-木石铜粮'!Y48</f>
        <v>1.6780567957460943</v>
      </c>
      <c r="BE47" s="39">
        <f t="shared" si="13"/>
        <v>1.3105139715037306E-4</v>
      </c>
      <c r="BF47" s="39">
        <f t="shared" si="14"/>
        <v>3.2902920119222661E-4</v>
      </c>
      <c r="BG47" s="39">
        <f t="shared" si="15"/>
        <v>3.9332918306697964E-4</v>
      </c>
      <c r="BH47" s="39">
        <f t="shared" si="16"/>
        <v>4.1157323587940865E-4</v>
      </c>
      <c r="BI47" s="39">
        <f t="shared" si="17"/>
        <v>4.0349887050980125E-4</v>
      </c>
      <c r="BK47" s="39">
        <f>BE47/求节点(节奏总纲!AM$4:AM$83,$G$5:$G$84,节奏总纲!P46)</f>
        <v>0.40392662595423812</v>
      </c>
      <c r="BL47" s="39">
        <f>BF47/求节点(节奏总纲!AN$4:AN$83,$G$5:$G$84,节奏总纲!Q46)</f>
        <v>1.0455211109177287</v>
      </c>
      <c r="BM47" s="39">
        <f>BG47/求节点(节奏总纲!AO$4:AO$83,$G$5:$G$84,节奏总纲!R46)</f>
        <v>1.2884703898416554</v>
      </c>
      <c r="BN47" s="39">
        <f>BH47/求节点(节奏总纲!AP$4:AP$83,$G$5:$G$84,节奏总纲!S46)</f>
        <v>1.3965866167796406</v>
      </c>
      <c r="BO47" s="39">
        <f>BI47/求节点(节奏总纲!AQ$4:AQ$83,$G$5:$G$84,节奏总纲!T46)</f>
        <v>1.4243680621987522</v>
      </c>
    </row>
    <row r="48" spans="5:67" x14ac:dyDescent="0.15">
      <c r="E48" s="26">
        <v>44</v>
      </c>
      <c r="F48" s="26">
        <f>节奏总纲!$BL47</f>
        <v>76.889385936298638</v>
      </c>
      <c r="G48" s="26">
        <f>数据索引!$E49</f>
        <v>1.2401639042771792E-4</v>
      </c>
      <c r="H48" s="26">
        <f>数据索引!J49</f>
        <v>2.8847282409005673E-4</v>
      </c>
      <c r="I48" s="54"/>
      <c r="J48" s="35">
        <v>44</v>
      </c>
      <c r="K48" s="55">
        <v>60</v>
      </c>
      <c r="L48" s="55">
        <f t="shared" si="2"/>
        <v>90</v>
      </c>
      <c r="M48" s="55"/>
      <c r="T48" s="35">
        <v>44</v>
      </c>
      <c r="U48" s="50">
        <f>INDEX($Q$5:$Q$21,MATCH(节奏总纲!BQ47,$N$5:$N$21,1))*(U$2+$K$2)*节奏总纲!W47*4*$C$5+U47</f>
        <v>62682613.004765213</v>
      </c>
      <c r="V48" s="50">
        <f>INDEX($Q$5:$Q$21,MATCH(节奏总纲!BR47,$N$5:$N$21,1))*(V$2+$K$2)*节奏总纲!X47*4*$C$5+V47</f>
        <v>195924886.32420012</v>
      </c>
      <c r="W48" s="50">
        <f>INDEX($Q$5:$Q$21,MATCH(节奏总纲!BS47,$N$5:$N$21,1))*(W$2+$K$2)*节奏总纲!Y47*4*$C$5+W47</f>
        <v>405062412.50658661</v>
      </c>
      <c r="X48" s="50">
        <f>INDEX($Q$5:$Q$21,MATCH(节奏总纲!BT47,$N$5:$N$21,1))*(X$2+$K$2)*节奏总纲!Z47*4*$C$5+X47</f>
        <v>605047625.77508545</v>
      </c>
      <c r="Y48" s="50">
        <f>INDEX($Q$5:$Q$21,MATCH(节奏总纲!BU47,$N$5:$N$21,1))*(Y$2+$K$2)*节奏总纲!AA47*4*$C$5+Y47</f>
        <v>356985379.00690019</v>
      </c>
      <c r="Z48" s="51">
        <f>SUMIFS($K$5:$K$1004,$J$5:$J$1004,"&lt;="&amp;U$2)*节奏总纲!W47*4+Z47</f>
        <v>8044.850628946524</v>
      </c>
      <c r="AA48" s="51">
        <f>SUMIFS($K$5:$K$1004,$J$5:$J$1004,"&lt;="&amp;V$2)*节奏总纲!X47*4+AA47</f>
        <v>63266.314316161253</v>
      </c>
      <c r="AB48" s="51">
        <f>SUMIFS($K$5:$K$1004,$J$5:$J$1004,"&lt;="&amp;W$2)*节奏总纲!Y47*4+AB47</f>
        <v>156826.31816068353</v>
      </c>
      <c r="AC48" s="51">
        <f>SUMIFS($K$5:$K$1004,$J$5:$J$1004,"&lt;="&amp;X$2)*节奏总纲!Z47*4+AC47</f>
        <v>245511.1425240642</v>
      </c>
      <c r="AD48" s="51">
        <f>SUMIFS($K$5:$K$1004,$J$5:$J$1004,"&lt;="&amp;Y$2)*节奏总纲!AA47*4+AD47</f>
        <v>138025.50224083549</v>
      </c>
      <c r="AH48" s="35">
        <v>44</v>
      </c>
      <c r="AI48" s="47">
        <f>'[1]资源-木石铜粮'!AE49-U48</f>
        <v>-103538390.38383028</v>
      </c>
      <c r="AJ48" s="47">
        <f>'[1]资源-木石铜粮'!AF49-V48</f>
        <v>-173214420.17410275</v>
      </c>
      <c r="AK48" s="47">
        <f>'[1]资源-木石铜粮'!AG49-W48</f>
        <v>-304024866.40290749</v>
      </c>
      <c r="AL48" s="47">
        <f>'[1]资源-木石铜粮'!AH49-X48</f>
        <v>-478590569.00400662</v>
      </c>
      <c r="AM48" s="47">
        <f>'[1]资源-木石铜粮'!AI49-Y48</f>
        <v>-198507313.15688357</v>
      </c>
      <c r="AN48" s="47">
        <f>(AI48-AI47)*IF($AH48&lt;=10,'[1]功能-付费相关'!S59,'[1]功能-付费相关'!S49)</f>
        <v>-1466.8371589855481</v>
      </c>
      <c r="AO48" s="47">
        <f>(AJ48-AJ47)*IF($AH48&lt;=10,'[1]功能-付费相关'!T59,'[1]功能-付费相关'!T49)</f>
        <v>-2037.53386853597</v>
      </c>
      <c r="AP48" s="47">
        <f>(AK48-AK47)*IF($AH48&lt;=10,'[1]功能-付费相关'!U59,'[1]功能-付费相关'!U49)</f>
        <v>-3258.896483313179</v>
      </c>
      <c r="AQ48" s="47">
        <f>(AL48-AL47)*IF($AH48&lt;=10,'[1]功能-付费相关'!V59,'[1]功能-付费相关'!V49)</f>
        <v>-4277.5788014938917</v>
      </c>
      <c r="AR48" s="47">
        <f>(AM48-AM47)*IF($AH48&lt;=10,'[1]功能-付费相关'!W59,'[1]功能-付费相关'!W49)</f>
        <v>-2262.1269224055136</v>
      </c>
      <c r="AS48" s="48">
        <f>SUM(AN$5:AN48)/'[1]资源-钻石'!L47</f>
        <v>-0.17382085619239371</v>
      </c>
      <c r="AT48" s="48">
        <f>SUM(AO$5:AO48)/'[1]资源-钻石'!M47</f>
        <v>-0.25094888306336643</v>
      </c>
      <c r="AU48" s="48">
        <f>SUM(AP$5:AP48)/'[1]资源-钻石'!N47</f>
        <v>-0.31692188369302715</v>
      </c>
      <c r="AV48" s="48">
        <f>SUM(AQ$5:AQ48)/'[1]资源-钻石'!O47</f>
        <v>-0.25102344078625483</v>
      </c>
      <c r="AW48" s="48">
        <f>SUM(AR$5:AR48)/'[1]资源-钻石'!P47</f>
        <v>-7.7450251774624654E-2</v>
      </c>
      <c r="AX48" s="35">
        <f>('[1]资源-木石铜粮'!C49+U48)/'[1]资源-木石铜粮'!U49</f>
        <v>1.4495558455368112</v>
      </c>
      <c r="AY48" s="35">
        <f>('[1]资源-木石铜粮'!D49+V48)/'[1]资源-木石铜粮'!V49</f>
        <v>1.6392270739987329</v>
      </c>
      <c r="AZ48" s="35">
        <f>('[1]资源-木石铜粮'!E49+W48)/'[1]资源-木石铜粮'!W49</f>
        <v>1.9457026494700624</v>
      </c>
      <c r="BA48" s="35">
        <f>('[1]资源-木石铜粮'!F49+X48)/'[1]资源-木石铜粮'!X49</f>
        <v>2.5304398170386162</v>
      </c>
      <c r="BB48" s="35">
        <f>('[1]资源-木石铜粮'!G49+Y48)/'[1]资源-木石铜粮'!Y49</f>
        <v>1.681089254998408</v>
      </c>
      <c r="BE48" s="39">
        <f t="shared" si="13"/>
        <v>1.2834261756661204E-4</v>
      </c>
      <c r="BF48" s="39">
        <f t="shared" si="14"/>
        <v>3.2291106812982117E-4</v>
      </c>
      <c r="BG48" s="39">
        <f t="shared" si="15"/>
        <v>3.8716581276998497E-4</v>
      </c>
      <c r="BH48" s="39">
        <f t="shared" si="16"/>
        <v>4.0577159890439459E-4</v>
      </c>
      <c r="BI48" s="39">
        <f t="shared" si="17"/>
        <v>3.8664189167861572E-4</v>
      </c>
      <c r="BK48" s="39">
        <f>BE48/求节点(节奏总纲!AM$4:AM$83,$G$5:$G$84,节奏总纲!P47)</f>
        <v>0.40555684973326256</v>
      </c>
      <c r="BL48" s="39">
        <f>BF48/求节点(节奏总纲!AN$4:AN$83,$G$5:$G$84,节奏总纲!Q47)</f>
        <v>1.0492981326847532</v>
      </c>
      <c r="BM48" s="39">
        <f>BG48/求节点(节奏总纲!AO$4:AO$83,$G$5:$G$84,节奏总纲!R47)</f>
        <v>1.3001648821338663</v>
      </c>
      <c r="BN48" s="39">
        <f>BH48/求节点(节奏总纲!AP$4:AP$83,$G$5:$G$84,节奏总纲!S47)</f>
        <v>1.4093362896718322</v>
      </c>
      <c r="BO48" s="39">
        <f>BI48/求节点(节奏总纲!AQ$4:AQ$83,$G$5:$G$84,节奏总纲!T47)</f>
        <v>1.4003287386185073</v>
      </c>
    </row>
    <row r="49" spans="5:67" x14ac:dyDescent="0.15">
      <c r="E49" s="26">
        <v>45</v>
      </c>
      <c r="F49" s="26">
        <f>节奏总纲!$BL48</f>
        <v>78.990840028799411</v>
      </c>
      <c r="G49" s="26">
        <f>数据索引!$E50</f>
        <v>1.1207301929218009E-4</v>
      </c>
      <c r="H49" s="26">
        <f>数据索引!J50</f>
        <v>2.7356734548828799E-4</v>
      </c>
      <c r="I49" s="54"/>
      <c r="J49" s="35">
        <v>45</v>
      </c>
      <c r="K49" s="55">
        <v>60</v>
      </c>
      <c r="L49" s="55">
        <f t="shared" si="2"/>
        <v>90</v>
      </c>
      <c r="M49" s="55"/>
      <c r="T49" s="35">
        <v>45</v>
      </c>
      <c r="U49" s="50">
        <f>INDEX($Q$5:$Q$21,MATCH(节奏总纲!BQ48,$N$5:$N$21,1))*(U$2+$K$2)*节奏总纲!W48*4*$C$5+U48</f>
        <v>68696255.199431136</v>
      </c>
      <c r="V49" s="50">
        <f>INDEX($Q$5:$Q$21,MATCH(节奏总纲!BR48,$N$5:$N$21,1))*(V$2+$K$2)*节奏总纲!X48*4*$C$5+V48</f>
        <v>214346449.24941513</v>
      </c>
      <c r="W49" s="50">
        <f>INDEX($Q$5:$Q$21,MATCH(节奏总纲!BS48,$N$5:$N$21,1))*(W$2+$K$2)*节奏总纲!Y48*4*$C$5+W48</f>
        <v>441603351.06842345</v>
      </c>
      <c r="X49" s="50">
        <f>INDEX($Q$5:$Q$21,MATCH(节奏总纲!BT48,$N$5:$N$21,1))*(X$2+$K$2)*节奏总纲!Z48*4*$C$5+X48</f>
        <v>679491336.86845505</v>
      </c>
      <c r="Y49" s="50">
        <f>INDEX($Q$5:$Q$21,MATCH(节奏总纲!BU48,$N$5:$N$21,1))*(Y$2+$K$2)*节奏总纲!AA48*4*$C$5+Y48</f>
        <v>398174513.39940798</v>
      </c>
      <c r="Z49" s="51">
        <f>SUMIFS($K$5:$K$1004,$J$5:$J$1004,"&lt;="&amp;U$2)*节奏总纲!W48*4+Z48</f>
        <v>8650.9667991878086</v>
      </c>
      <c r="AA49" s="51">
        <f>SUMIFS($K$5:$K$1004,$J$5:$J$1004,"&lt;="&amp;V$2)*节奏总纲!X48*4+AA48</f>
        <v>68040.71897229203</v>
      </c>
      <c r="AB49" s="51">
        <f>SUMIFS($K$5:$K$1004,$J$5:$J$1004,"&lt;="&amp;W$2)*节奏总纲!Y48*4+AB48</f>
        <v>168525.15873157809</v>
      </c>
      <c r="AC49" s="51">
        <f>SUMIFS($K$5:$K$1004,$J$5:$J$1004,"&lt;="&amp;X$2)*节奏总纲!Z48*4+AC48</f>
        <v>263860.54305198754</v>
      </c>
      <c r="AD49" s="51">
        <f>SUMIFS($K$5:$K$1004,$J$5:$J$1004,"&lt;="&amp;Y$2)*节奏总纲!AA48*4+AD48</f>
        <v>148178.08481988835</v>
      </c>
      <c r="AH49" s="35">
        <v>45</v>
      </c>
      <c r="AI49" s="47">
        <f>'[1]资源-木石铜粮'!AE50-U49</f>
        <v>-116215421.86049952</v>
      </c>
      <c r="AJ49" s="47">
        <f>'[1]资源-木石铜粮'!AF50-V49</f>
        <v>-190846464.43511698</v>
      </c>
      <c r="AK49" s="47">
        <f>'[1]资源-木石铜粮'!AG50-W49</f>
        <v>-332352386.09063119</v>
      </c>
      <c r="AL49" s="47">
        <f>'[1]资源-木石铜粮'!AH50-X49</f>
        <v>-539713631.73822021</v>
      </c>
      <c r="AM49" s="47">
        <f>'[1]资源-木石铜粮'!AI50-Y49</f>
        <v>-221023019.10827261</v>
      </c>
      <c r="AN49" s="47">
        <f>(AI49-AI48)*IF($AH49&lt;=10,'[1]功能-付费相关'!S60,'[1]功能-付费相关'!S50)</f>
        <v>-1505.322654531732</v>
      </c>
      <c r="AO49" s="47">
        <f>(AJ49-AJ48)*IF($AH49&lt;=10,'[1]功能-付费相关'!T60,'[1]功能-付费相关'!T50)</f>
        <v>-2052.2734058808132</v>
      </c>
      <c r="AP49" s="47">
        <f>(AK49-AK48)*IF($AH49&lt;=10,'[1]功能-付费相关'!U60,'[1]功能-付费相关'!U50)</f>
        <v>-3174.7506604618688</v>
      </c>
      <c r="AQ49" s="47">
        <f>(AL49-AL48)*IF($AH49&lt;=10,'[1]功能-付费相关'!V60,'[1]功能-付费相关'!V50)</f>
        <v>-6294.2176016273988</v>
      </c>
      <c r="AR49" s="47">
        <f>(AM49-AM48)*IF($AH49&lt;=10,'[1]功能-付费相关'!W60,'[1]功能-付费相关'!W50)</f>
        <v>-2192.2671364074922</v>
      </c>
      <c r="AS49" s="48">
        <f>SUM(AN$5:AN49)/'[1]资源-钻石'!L48</f>
        <v>-0.17386675530613624</v>
      </c>
      <c r="AT49" s="48">
        <f>SUM(AO$5:AO49)/'[1]资源-钻石'!M48</f>
        <v>-0.24790363861761136</v>
      </c>
      <c r="AU49" s="48">
        <f>SUM(AP$5:AP49)/'[1]资源-钻石'!N48</f>
        <v>-0.31209849849453408</v>
      </c>
      <c r="AV49" s="48">
        <f>SUM(AQ$5:AQ49)/'[1]资源-钻石'!O48</f>
        <v>-0.24887088488978745</v>
      </c>
      <c r="AW49" s="48">
        <f>SUM(AR$5:AR49)/'[1]资源-钻石'!P48</f>
        <v>-7.5849583112705385E-2</v>
      </c>
      <c r="AX49" s="35">
        <f>('[1]资源-木石铜粮'!C50+U49)/'[1]资源-木石铜粮'!U50</f>
        <v>1.4537222890028401</v>
      </c>
      <c r="AY49" s="35">
        <f>('[1]资源-木石铜粮'!D50+V49)/'[1]资源-木石铜粮'!V50</f>
        <v>1.6347604560924043</v>
      </c>
      <c r="AZ49" s="35">
        <f>('[1]资源-木石铜粮'!E50+W49)/'[1]资源-木石铜粮'!W50</f>
        <v>1.9359321525423767</v>
      </c>
      <c r="BA49" s="35">
        <f>('[1]资源-木石铜粮'!F50+X49)/'[1]资源-木石铜粮'!X50</f>
        <v>2.5570559402926225</v>
      </c>
      <c r="BB49" s="35">
        <f>('[1]资源-木石铜粮'!G50+Y49)/'[1]资源-木石铜粮'!Y50</f>
        <v>1.6822609279145488</v>
      </c>
      <c r="BE49" s="39">
        <f t="shared" si="13"/>
        <v>1.2593068973080568E-4</v>
      </c>
      <c r="BF49" s="39">
        <f t="shared" si="14"/>
        <v>3.1743338511345875E-4</v>
      </c>
      <c r="BG49" s="39">
        <f t="shared" si="15"/>
        <v>3.8162110483048908E-4</v>
      </c>
      <c r="BH49" s="39">
        <f t="shared" si="16"/>
        <v>3.8832068745428192E-4</v>
      </c>
      <c r="BI49" s="39">
        <f t="shared" si="17"/>
        <v>3.7214356980013743E-4</v>
      </c>
      <c r="BK49" s="39">
        <f>BE49/求节点(节奏总纲!AM$4:AM$83,$G$5:$G$84,节奏总纲!P48)</f>
        <v>0.40718332355633235</v>
      </c>
      <c r="BL49" s="39">
        <f>BF49/求节点(节奏总纲!AN$4:AN$83,$G$5:$G$84,节奏总纲!Q48)</f>
        <v>1.0571658519930707</v>
      </c>
      <c r="BM49" s="39">
        <f>BG49/求节点(节奏总纲!AO$4:AO$83,$G$5:$G$84,节奏总纲!R48)</f>
        <v>1.310375011480692</v>
      </c>
      <c r="BN49" s="39">
        <f>BH49/求节点(节奏总纲!AP$4:AP$83,$G$5:$G$84,节奏总纲!S48)</f>
        <v>1.3833049699112538</v>
      </c>
      <c r="BO49" s="39">
        <f>BI49/求节点(节奏总纲!AQ$4:AQ$83,$G$5:$G$84,节奏总纲!T48)</f>
        <v>1.3863882856655716</v>
      </c>
    </row>
    <row r="50" spans="5:67" x14ac:dyDescent="0.15">
      <c r="E50" s="26">
        <v>46</v>
      </c>
      <c r="F50" s="26">
        <f>节奏总纲!$BL49</f>
        <v>81.207352055772077</v>
      </c>
      <c r="G50" s="26">
        <f>数据索引!$E51</f>
        <v>1.0611263786626674E-4</v>
      </c>
      <c r="H50" s="26">
        <f>数据索引!J51</f>
        <v>2.5951822192943878E-4</v>
      </c>
      <c r="I50" s="54"/>
      <c r="J50" s="35">
        <v>46</v>
      </c>
      <c r="K50" s="55">
        <v>60</v>
      </c>
      <c r="L50" s="55">
        <f t="shared" si="2"/>
        <v>90</v>
      </c>
      <c r="M50" s="55"/>
      <c r="T50" s="35">
        <v>46</v>
      </c>
      <c r="U50" s="50">
        <f>INDEX($Q$5:$Q$21,MATCH(节奏总纲!BQ49,$N$5:$N$21,1))*(U$2+$K$2)*节奏总纲!W49*4*$C$5+U49</f>
        <v>75141517.316862553</v>
      </c>
      <c r="V50" s="50">
        <f>INDEX($Q$5:$Q$21,MATCH(节奏总纲!BR49,$N$5:$N$21,1))*(V$2+$K$2)*节奏总纲!X49*4*$C$5+V49</f>
        <v>233931062.85285962</v>
      </c>
      <c r="W50" s="50">
        <f>INDEX($Q$5:$Q$21,MATCH(节奏总纲!BS49,$N$5:$N$21,1))*(W$2+$K$2)*节奏总纲!Y49*4*$C$5+W49</f>
        <v>480503050.79777759</v>
      </c>
      <c r="X50" s="50">
        <f>INDEX($Q$5:$Q$21,MATCH(节奏总纲!BT49,$N$5:$N$21,1))*(X$2+$K$2)*节奏总纲!Z49*4*$C$5+X49</f>
        <v>758370769.18574345</v>
      </c>
      <c r="Y50" s="50">
        <f>INDEX($Q$5:$Q$21,MATCH(节奏总纲!BU49,$N$5:$N$21,1))*(Y$2+$K$2)*节奏总纲!AA49*4*$C$5+Y49</f>
        <v>440305821.85771942</v>
      </c>
      <c r="Z50" s="51">
        <f>SUMIFS($K$5:$K$1004,$J$5:$J$1004,"&lt;="&amp;U$2)*节奏总纲!W49*4+Z49</f>
        <v>9300.5860256665437</v>
      </c>
      <c r="AA50" s="51">
        <f>SUMIFS($K$5:$K$1004,$J$5:$J$1004,"&lt;="&amp;V$2)*节奏总纲!X49*4+AA49</f>
        <v>73116.557040777538</v>
      </c>
      <c r="AB50" s="51">
        <f>SUMIFS($K$5:$K$1004,$J$5:$J$1004,"&lt;="&amp;W$2)*节奏总纲!Y49*4+AB49</f>
        <v>180979.17341484266</v>
      </c>
      <c r="AC50" s="51">
        <f>SUMIFS($K$5:$K$1004,$J$5:$J$1004,"&lt;="&amp;X$2)*节奏总纲!Z49*4+AC49</f>
        <v>283303.29081062338</v>
      </c>
      <c r="AD50" s="51">
        <f>SUMIFS($K$5:$K$1004,$J$5:$J$1004,"&lt;="&amp;Y$2)*节奏总纲!AA49*4+AD49</f>
        <v>158562.90097578117</v>
      </c>
      <c r="AH50" s="35">
        <v>46</v>
      </c>
      <c r="AI50" s="47">
        <f>'[1]资源-木石铜粮'!AE51-U50</f>
        <v>-129800363.48766854</v>
      </c>
      <c r="AJ50" s="47">
        <f>'[1]资源-木石铜粮'!AF51-V50</f>
        <v>-209384868.5675112</v>
      </c>
      <c r="AK50" s="47">
        <f>'[1]资源-木石铜粮'!AG51-W50</f>
        <v>-361952931.03825557</v>
      </c>
      <c r="AL50" s="47">
        <f>'[1]资源-木石铜粮'!AH51-X50</f>
        <v>-603377869.55282831</v>
      </c>
      <c r="AM50" s="47">
        <f>'[1]资源-木石铜粮'!AI51-Y50</f>
        <v>-243137263.58696929</v>
      </c>
      <c r="AN50" s="47">
        <f>(AI50-AI49)*IF($AH50&lt;=10,'[1]功能-付费相关'!S61,'[1]功能-付费相关'!S51)</f>
        <v>-1528.7426212705859</v>
      </c>
      <c r="AO50" s="47">
        <f>(AJ50-AJ49)*IF($AH50&lt;=10,'[1]功能-付费相关'!T61,'[1]功能-付费相关'!T51)</f>
        <v>-2043.5841118161181</v>
      </c>
      <c r="AP50" s="47">
        <f>(AK50-AK49)*IF($AH50&lt;=10,'[1]功能-付费相关'!U61,'[1]功能-付费相关'!U51)</f>
        <v>-3140.9919066714178</v>
      </c>
      <c r="AQ50" s="47">
        <f>(AL50-AL49)*IF($AH50&lt;=10,'[1]功能-付费相关'!V61,'[1]功能-付费相关'!V51)</f>
        <v>-6201.1574276650535</v>
      </c>
      <c r="AR50" s="47">
        <f>(AM50-AM49)*IF($AH50&lt;=10,'[1]功能-付费相关'!W61,'[1]功能-付费相关'!W51)</f>
        <v>-2035.0415646572123</v>
      </c>
      <c r="AS50" s="48">
        <f>SUM(AN$5:AN50)/'[1]资源-钻石'!L49</f>
        <v>-0.17337528092761698</v>
      </c>
      <c r="AT50" s="48">
        <f>SUM(AO$5:AO50)/'[1]资源-钻石'!M49</f>
        <v>-0.24430966645918625</v>
      </c>
      <c r="AU50" s="48">
        <f>SUM(AP$5:AP50)/'[1]资源-钻石'!N49</f>
        <v>-0.30661970790465887</v>
      </c>
      <c r="AV50" s="48">
        <f>SUM(AQ$5:AQ50)/'[1]资源-钻石'!O49</f>
        <v>-0.24596415276429617</v>
      </c>
      <c r="AW50" s="48">
        <f>SUM(AR$5:AR50)/'[1]资源-钻石'!P49</f>
        <v>-7.4125915918189206E-2</v>
      </c>
      <c r="AX50" s="35">
        <f>('[1]资源-木石铜粮'!C51+U50)/'[1]资源-木石铜粮'!U51</f>
        <v>1.4561404602770744</v>
      </c>
      <c r="AY50" s="35">
        <f>('[1]资源-木石铜粮'!D51+V50)/'[1]资源-木石铜粮'!V51</f>
        <v>1.6283450260749659</v>
      </c>
      <c r="AZ50" s="35">
        <f>('[1]资源-木石铜粮'!E51+W50)/'[1]资源-木石铜粮'!W51</f>
        <v>1.923574781622029</v>
      </c>
      <c r="BA50" s="35">
        <f>('[1]资源-木石铜粮'!F51+X50)/'[1]资源-木石铜粮'!X51</f>
        <v>2.570545467374854</v>
      </c>
      <c r="BB50" s="35">
        <f>('[1]资源-木石铜粮'!G51+Y50)/'[1]资源-木石铜粮'!Y51</f>
        <v>1.6779333045466125</v>
      </c>
      <c r="BE50" s="39">
        <f t="shared" si="13"/>
        <v>1.2377426431844747E-4</v>
      </c>
      <c r="BF50" s="39">
        <f t="shared" si="14"/>
        <v>3.1255599897294165E-4</v>
      </c>
      <c r="BG50" s="39">
        <f t="shared" si="15"/>
        <v>3.7664521195934878E-4</v>
      </c>
      <c r="BH50" s="39">
        <f t="shared" si="16"/>
        <v>3.7356831555467761E-4</v>
      </c>
      <c r="BI50" s="39">
        <f t="shared" si="17"/>
        <v>3.6011992825073127E-4</v>
      </c>
      <c r="BK50" s="39">
        <f>BE50/求节点(节奏总纲!AM$4:AM$83,$G$5:$G$84,节奏总纲!P49)</f>
        <v>0.40991238676085401</v>
      </c>
      <c r="BL50" s="39">
        <f>BF50/求节点(节奏总纲!AN$4:AN$83,$G$5:$G$84,节奏总纲!Q49)</f>
        <v>1.0650073867929042</v>
      </c>
      <c r="BM50" s="39">
        <f>BG50/求节点(节奏总纲!AO$4:AO$83,$G$5:$G$84,节奏总纲!R49)</f>
        <v>1.3250216284367478</v>
      </c>
      <c r="BN50" s="39">
        <f>BH50/求节点(节奏总纲!AP$4:AP$83,$G$5:$G$84,节奏总纲!S49)</f>
        <v>1.3665577255371182</v>
      </c>
      <c r="BO50" s="39">
        <f>BI50/求节点(节奏总纲!AQ$4:AQ$83,$G$5:$G$84,节奏总纲!T49)</f>
        <v>1.3767438239570504</v>
      </c>
    </row>
    <row r="51" spans="5:67" x14ac:dyDescent="0.15">
      <c r="E51" s="26">
        <v>47</v>
      </c>
      <c r="F51" s="26">
        <f>节奏总纲!$BL50</f>
        <v>83.32493049129468</v>
      </c>
      <c r="G51" s="26">
        <f>数据索引!$E52</f>
        <v>1.004726956165581E-4</v>
      </c>
      <c r="H51" s="26">
        <f>数据索引!J52</f>
        <v>2.4626149497243967E-4</v>
      </c>
      <c r="I51" s="54"/>
      <c r="J51" s="35">
        <v>47</v>
      </c>
      <c r="K51" s="55">
        <v>60</v>
      </c>
      <c r="L51" s="55">
        <f t="shared" si="2"/>
        <v>90</v>
      </c>
      <c r="M51" s="55"/>
      <c r="T51" s="35">
        <v>47</v>
      </c>
      <c r="U51" s="50">
        <f>INDEX($Q$5:$Q$21,MATCH(节奏总纲!BQ50,$N$5:$N$21,1))*(U$2+$K$2)*节奏总纲!W50*4*$C$5+U50</f>
        <v>82049378.213416114</v>
      </c>
      <c r="V51" s="50">
        <f>INDEX($Q$5:$Q$21,MATCH(节奏总纲!BR50,$N$5:$N$21,1))*(V$2+$K$2)*节奏总纲!X50*4*$C$5+V50</f>
        <v>254945976.79587871</v>
      </c>
      <c r="W51" s="50">
        <f>INDEX($Q$5:$Q$21,MATCH(节奏总纲!BS50,$N$5:$N$21,1))*(W$2+$K$2)*节奏总纲!Y50*4*$C$5+W50</f>
        <v>538395715.88225389</v>
      </c>
      <c r="X51" s="50">
        <f>INDEX($Q$5:$Q$21,MATCH(节奏总纲!BT50,$N$5:$N$21,1))*(X$2+$K$2)*节奏总纲!Z50*4*$C$5+X50</f>
        <v>842563123.44283617</v>
      </c>
      <c r="Y51" s="50">
        <f>INDEX($Q$5:$Q$21,MATCH(节奏总纲!BU50,$N$5:$N$21,1))*(Y$2+$K$2)*节奏总纲!AA50*4*$C$5+Y50</f>
        <v>485457513.05260259</v>
      </c>
      <c r="Z51" s="51">
        <f>SUMIFS($K$5:$K$1004,$J$5:$J$1004,"&lt;="&amp;U$2)*节奏总纲!W50*4+Z50</f>
        <v>9996.8306733598147</v>
      </c>
      <c r="AA51" s="51">
        <f>SUMIFS($K$5:$K$1004,$J$5:$J$1004,"&lt;="&amp;V$2)*节奏总纲!X50*4+AA50</f>
        <v>78563.092895800117</v>
      </c>
      <c r="AB51" s="51">
        <f>SUMIFS($K$5:$K$1004,$J$5:$J$1004,"&lt;="&amp;W$2)*节奏总纲!Y50*4+AB50</f>
        <v>194365.37973293284</v>
      </c>
      <c r="AC51" s="51">
        <f>SUMIFS($K$5:$K$1004,$J$5:$J$1004,"&lt;="&amp;X$2)*节奏总纲!Z50*4+AC50</f>
        <v>304055.60429637332</v>
      </c>
      <c r="AD51" s="51">
        <f>SUMIFS($K$5:$K$1004,$J$5:$J$1004,"&lt;="&amp;Y$2)*节奏总纲!AA50*4+AD50</f>
        <v>169692.20194801351</v>
      </c>
      <c r="AH51" s="35">
        <v>47</v>
      </c>
      <c r="AI51" s="47">
        <f>'[1]资源-木石铜粮'!AE52-U51</f>
        <v>-144422448.70646536</v>
      </c>
      <c r="AJ51" s="47">
        <f>'[1]资源-木石铜粮'!AF52-V51</f>
        <v>-228838310.66436553</v>
      </c>
      <c r="AK51" s="47">
        <f>'[1]资源-木石铜粮'!AG52-W51</f>
        <v>-408915186.4281491</v>
      </c>
      <c r="AL51" s="47">
        <f>'[1]资源-木石铜粮'!AH52-X51</f>
        <v>-670742103.20896268</v>
      </c>
      <c r="AM51" s="47">
        <f>'[1]资源-木石铜粮'!AI52-Y51</f>
        <v>-266235236.08980548</v>
      </c>
      <c r="AN51" s="47">
        <f>(AI51-AI50)*IF($AH51&lt;=10,'[1]功能-付费相关'!S62,'[1]功能-付费相关'!S52)</f>
        <v>-1559.5906774736566</v>
      </c>
      <c r="AO51" s="47">
        <f>(AJ51-AJ50)*IF($AH51&lt;=10,'[1]功能-付费相关'!T62,'[1]功能-付费相关'!T52)</f>
        <v>-2031.3345398257438</v>
      </c>
      <c r="AP51" s="47">
        <f>(AK51-AK50)*IF($AH51&lt;=10,'[1]功能-付费相关'!U62,'[1]功能-付费相关'!U52)</f>
        <v>-4718.4243912558377</v>
      </c>
      <c r="AQ51" s="47">
        <f>(AL51-AL50)*IF($AH51&lt;=10,'[1]功能-付费相关'!V62,'[1]功能-付费相关'!V52)</f>
        <v>-6208.5717708777192</v>
      </c>
      <c r="AR51" s="47">
        <f>(AM51-AM50)*IF($AH51&lt;=10,'[1]功能-付费相关'!W62,'[1]功能-付费相关'!W52)</f>
        <v>-2009.5117779668265</v>
      </c>
      <c r="AS51" s="48">
        <f>SUM(AN$5:AN51)/'[1]资源-钻石'!L50</f>
        <v>-0.17243915921137293</v>
      </c>
      <c r="AT51" s="48">
        <f>SUM(AO$5:AO51)/'[1]资源-钻石'!M50</f>
        <v>-0.24009623800303415</v>
      </c>
      <c r="AU51" s="48">
        <f>SUM(AP$5:AP51)/'[1]资源-钻石'!N50</f>
        <v>-0.30611593199996168</v>
      </c>
      <c r="AV51" s="48">
        <f>SUM(AQ$5:AQ51)/'[1]资源-钻石'!O50</f>
        <v>-0.24248560811308012</v>
      </c>
      <c r="AW51" s="48">
        <f>SUM(AR$5:AR51)/'[1]资源-钻石'!P50</f>
        <v>-7.2652666966518703E-2</v>
      </c>
      <c r="AX51" s="35">
        <f>('[1]资源-木石铜粮'!C52+U51)/'[1]资源-木石铜粮'!U52</f>
        <v>1.4571207249669196</v>
      </c>
      <c r="AY51" s="35">
        <f>('[1]资源-木石铜粮'!D52+V51)/'[1]资源-木石铜粮'!V52</f>
        <v>1.6196454104840359</v>
      </c>
      <c r="AZ51" s="35">
        <f>('[1]资源-木石铜粮'!E52+W51)/'[1]资源-木石铜粮'!W52</f>
        <v>1.9440991473241511</v>
      </c>
      <c r="BA51" s="35">
        <f>('[1]资源-木石铜粮'!F52+X51)/'[1]资源-木石铜粮'!X52</f>
        <v>2.5770815589013916</v>
      </c>
      <c r="BB51" s="35">
        <f>('[1]资源-木石铜粮'!G52+Y51)/'[1]资源-木石铜粮'!Y52</f>
        <v>1.6710390414741227</v>
      </c>
      <c r="BE51" s="39">
        <f t="shared" si="13"/>
        <v>1.2183920086947357E-4</v>
      </c>
      <c r="BF51" s="39">
        <f t="shared" si="14"/>
        <v>3.0815584494867825E-4</v>
      </c>
      <c r="BG51" s="39">
        <f t="shared" si="15"/>
        <v>3.6100840701236219E-4</v>
      </c>
      <c r="BH51" s="39">
        <f t="shared" si="16"/>
        <v>3.6086982190005853E-4</v>
      </c>
      <c r="BI51" s="39">
        <f t="shared" si="17"/>
        <v>3.4955108817035901E-4</v>
      </c>
      <c r="BK51" s="39">
        <f>BE51/求节点(节奏总纲!AM$4:AM$83,$G$5:$G$84,节奏总纲!P50)</f>
        <v>0.4131354465341639</v>
      </c>
      <c r="BL51" s="39">
        <f>BF51/求节点(节奏总纲!AN$4:AN$83,$G$5:$G$84,节奏总纲!Q50)</f>
        <v>1.075156626246913</v>
      </c>
      <c r="BM51" s="39">
        <f>BG51/求节点(节奏总纲!AO$4:AO$83,$G$5:$G$84,节奏总纲!R50)</f>
        <v>1.303027428404206</v>
      </c>
      <c r="BN51" s="39">
        <f>BH51/求节点(节奏总纲!AP$4:AP$83,$G$5:$G$84,节奏总纲!S50)</f>
        <v>1.3591366153145021</v>
      </c>
      <c r="BO51" s="39">
        <f>BI51/求节点(节奏总纲!AQ$4:AQ$83,$G$5:$G$84,节奏总纲!T50)</f>
        <v>1.3714055318605118</v>
      </c>
    </row>
    <row r="52" spans="5:67" x14ac:dyDescent="0.15">
      <c r="E52" s="26">
        <v>48</v>
      </c>
      <c r="F52" s="26">
        <f>节奏总纲!$BL51</f>
        <v>85.481735065071589</v>
      </c>
      <c r="G52" s="26">
        <f>数据索引!$E53</f>
        <v>9.513755876294449E-5</v>
      </c>
      <c r="H52" s="26">
        <f>数据索引!J53</f>
        <v>2.3374285824536185E-4</v>
      </c>
      <c r="I52" s="54"/>
      <c r="J52" s="35">
        <v>48</v>
      </c>
      <c r="K52" s="55">
        <v>60</v>
      </c>
      <c r="L52" s="55">
        <f t="shared" si="2"/>
        <v>90</v>
      </c>
      <c r="M52" s="55"/>
      <c r="T52" s="35">
        <v>48</v>
      </c>
      <c r="U52" s="50">
        <f>INDEX($Q$5:$Q$21,MATCH(节奏总纲!BQ51,$N$5:$N$21,1))*(U$2+$K$2)*节奏总纲!W51*4*$C$5+U51</f>
        <v>89453040.205234349</v>
      </c>
      <c r="V52" s="50">
        <f>INDEX($Q$5:$Q$21,MATCH(节奏总纲!BR51,$N$5:$N$21,1))*(V$2+$K$2)*节奏总纲!X51*4*$C$5+V51</f>
        <v>285759225.59168392</v>
      </c>
      <c r="W52" s="50">
        <f>INDEX($Q$5:$Q$21,MATCH(节奏总纲!BS51,$N$5:$N$21,1))*(W$2+$K$2)*节奏总纲!Y51*4*$C$5+W51</f>
        <v>600640137.58644569</v>
      </c>
      <c r="X52" s="50">
        <f>INDEX($Q$5:$Q$21,MATCH(节奏总纲!BT51,$N$5:$N$21,1))*(X$2+$K$2)*节奏总纲!Z51*4*$C$5+X51</f>
        <v>928928405.38127077</v>
      </c>
      <c r="Y52" s="50">
        <f>INDEX($Q$5:$Q$21,MATCH(节奏总纲!BU51,$N$5:$N$21,1))*(Y$2+$K$2)*节奏总纲!AA51*4*$C$5+Y51</f>
        <v>533368503.22460449</v>
      </c>
      <c r="Z52" s="51">
        <f>SUMIFS($K$5:$K$1004,$J$5:$J$1004,"&lt;="&amp;U$2)*节奏总纲!W51*4+Z51</f>
        <v>10743.047210190389</v>
      </c>
      <c r="AA52" s="51">
        <f>SUMIFS($K$5:$K$1004,$J$5:$J$1004,"&lt;="&amp;V$2)*节奏总纲!X51*4+AA51</f>
        <v>84330.771990552515</v>
      </c>
      <c r="AB52" s="51">
        <f>SUMIFS($K$5:$K$1004,$J$5:$J$1004,"&lt;="&amp;W$2)*节奏总纲!Y51*4+AB51</f>
        <v>208757.81908369859</v>
      </c>
      <c r="AC52" s="51">
        <f>SUMIFS($K$5:$K$1004,$J$5:$J$1004,"&lt;="&amp;X$2)*节奏总纲!Z51*4+AC51</f>
        <v>325343.51601812668</v>
      </c>
      <c r="AD52" s="51">
        <f>SUMIFS($K$5:$K$1004,$J$5:$J$1004,"&lt;="&amp;Y$2)*节奏总纲!AA51*4+AD51</f>
        <v>181501.63400672458</v>
      </c>
      <c r="AH52" s="35">
        <v>48</v>
      </c>
      <c r="AI52" s="47">
        <f>'[1]资源-木石铜粮'!AE53-U52</f>
        <v>-160013707.57345855</v>
      </c>
      <c r="AJ52" s="47">
        <f>'[1]资源-木石铜粮'!AF53-V52</f>
        <v>-257295862.93012798</v>
      </c>
      <c r="AK52" s="47">
        <f>'[1]资源-木石铜粮'!AG53-W52</f>
        <v>-458913543.45795196</v>
      </c>
      <c r="AL52" s="47">
        <f>'[1]资源-木石铜粮'!AH53-X52</f>
        <v>-739334142.54007137</v>
      </c>
      <c r="AM52" s="47">
        <f>'[1]资源-木石铜粮'!AI53-Y52</f>
        <v>-289984813.72530317</v>
      </c>
      <c r="AN52" s="47">
        <f>(AI52-AI51)*IF($AH52&lt;=10,'[1]功能-付费相关'!S63,'[1]功能-付费相关'!S53)</f>
        <v>-1576.3537006681684</v>
      </c>
      <c r="AO52" s="47">
        <f>(AJ52-AJ51)*IF($AH52&lt;=10,'[1]功能-付费相关'!T63,'[1]功能-付费相关'!T53)</f>
        <v>-2816.4545582003257</v>
      </c>
      <c r="AP52" s="47">
        <f>(AK52-AK51)*IF($AH52&lt;=10,'[1]功能-付费相关'!U63,'[1]功能-付费相关'!U53)</f>
        <v>-4756.7216299735483</v>
      </c>
      <c r="AQ52" s="47">
        <f>(AL52-AL51)*IF($AH52&lt;=10,'[1]功能-付费相关'!V63,'[1]功能-付费相关'!V53)</f>
        <v>-5984.5655502643194</v>
      </c>
      <c r="AR52" s="47">
        <f>(AM52-AM51)*IF($AH52&lt;=10,'[1]功能-付费相关'!W63,'[1]功能-付费相关'!W53)</f>
        <v>-1953.5415545337316</v>
      </c>
      <c r="AS52" s="48">
        <f>SUM(AN$5:AN52)/'[1]资源-钻石'!L51</f>
        <v>-0.1710183421258549</v>
      </c>
      <c r="AT52" s="48">
        <f>SUM(AO$5:AO52)/'[1]资源-钻石'!M51</f>
        <v>-0.2391922820180116</v>
      </c>
      <c r="AU52" s="48">
        <f>SUM(AP$5:AP52)/'[1]资源-钻石'!N51</f>
        <v>-0.30457832819914082</v>
      </c>
      <c r="AV52" s="48">
        <f>SUM(AQ$5:AQ52)/'[1]资源-钻石'!O51</f>
        <v>-0.23906533800276883</v>
      </c>
      <c r="AW52" s="48">
        <f>SUM(AR$5:AR52)/'[1]资源-钻石'!P51</f>
        <v>-7.1079692181428553E-2</v>
      </c>
      <c r="AX52" s="35">
        <f>('[1]资源-木石铜粮'!C53+U52)/'[1]资源-木石铜粮'!U53</f>
        <v>1.4562330014051297</v>
      </c>
      <c r="AY52" s="35">
        <f>('[1]资源-木石铜粮'!D53+V52)/'[1]资源-木石铜粮'!V53</f>
        <v>1.6288720976311484</v>
      </c>
      <c r="AZ52" s="35">
        <f>('[1]资源-木石铜粮'!E53+W52)/'[1]资源-木石铜粮'!W53</f>
        <v>1.9586749220930886</v>
      </c>
      <c r="BA52" s="35">
        <f>('[1]资源-木石铜粮'!F53+X52)/'[1]资源-木石铜粮'!X53</f>
        <v>2.5744362778869516</v>
      </c>
      <c r="BB52" s="35">
        <f>('[1]资源-木石铜粮'!G53+Y52)/'[1]资源-木石铜粮'!Y53</f>
        <v>1.6616609269686102</v>
      </c>
      <c r="BE52" s="39">
        <f t="shared" si="13"/>
        <v>1.2009706082143599E-4</v>
      </c>
      <c r="BF52" s="39">
        <f t="shared" si="14"/>
        <v>2.9511128403970129E-4</v>
      </c>
      <c r="BG52" s="39">
        <f t="shared" si="15"/>
        <v>3.475588892919325E-4</v>
      </c>
      <c r="BH52" s="39">
        <f t="shared" si="16"/>
        <v>3.5023529707285911E-4</v>
      </c>
      <c r="BI52" s="39">
        <f t="shared" si="17"/>
        <v>3.4029312362731176E-4</v>
      </c>
      <c r="BK52" s="39">
        <f>BE52/求节点(节奏总纲!AM$4:AM$83,$G$5:$G$84,节奏总纲!P51)</f>
        <v>0.4167960378125935</v>
      </c>
      <c r="BL52" s="39">
        <f>BF52/求节点(节奏总纲!AN$4:AN$83,$G$5:$G$84,节奏总纲!Q51)</f>
        <v>1.0558017250054801</v>
      </c>
      <c r="BM52" s="39">
        <f>BG52/求节点(节奏总纲!AO$4:AO$83,$G$5:$G$84,节奏总纲!R51)</f>
        <v>1.2901657946141365</v>
      </c>
      <c r="BN52" s="39">
        <f>BH52/求节点(节奏总纲!AP$4:AP$83,$G$5:$G$84,节奏总纲!S51)</f>
        <v>1.3517151636500502</v>
      </c>
      <c r="BO52" s="39">
        <f>BI52/求节点(节奏总纲!AQ$4:AQ$83,$G$5:$G$84,节奏总纲!T51)</f>
        <v>1.3715112497421107</v>
      </c>
    </row>
    <row r="53" spans="5:67" x14ac:dyDescent="0.15">
      <c r="E53" s="26">
        <v>49</v>
      </c>
      <c r="F53" s="26">
        <f>节奏总纲!$BL52</f>
        <v>87.591558541772201</v>
      </c>
      <c r="G53" s="26">
        <f>数据索引!$E54</f>
        <v>9.0109335172636201E-5</v>
      </c>
      <c r="H53" s="26">
        <f>数据索引!J54</f>
        <v>2.2192801980824137E-4</v>
      </c>
      <c r="I53" s="54"/>
      <c r="J53" s="35">
        <v>49</v>
      </c>
      <c r="K53" s="55">
        <v>60</v>
      </c>
      <c r="L53" s="55">
        <f t="shared" si="2"/>
        <v>90</v>
      </c>
      <c r="M53" s="55"/>
      <c r="T53" s="35">
        <v>49</v>
      </c>
      <c r="U53" s="50">
        <f>INDEX($Q$5:$Q$21,MATCH(节奏总纲!BQ52,$N$5:$N$21,1))*(U$2+$K$2)*节奏总纲!W52*4*$C$5+U52</f>
        <v>100440030.36458424</v>
      </c>
      <c r="V53" s="50">
        <f>INDEX($Q$5:$Q$21,MATCH(节奏总纲!BR52,$N$5:$N$21,1))*(V$2+$K$2)*节奏总纲!X52*4*$C$5+V52</f>
        <v>319243710.71470141</v>
      </c>
      <c r="W53" s="50">
        <f>INDEX($Q$5:$Q$21,MATCH(节奏总纲!BS52,$N$5:$N$21,1))*(W$2+$K$2)*节奏总纲!Y52*4*$C$5+W52</f>
        <v>665561154.27558243</v>
      </c>
      <c r="X53" s="50">
        <f>INDEX($Q$5:$Q$21,MATCH(节奏总纲!BT52,$N$5:$N$21,1))*(X$2+$K$2)*节奏总纲!Z52*4*$C$5+X52</f>
        <v>1021318700.5377206</v>
      </c>
      <c r="Y53" s="50">
        <f>INDEX($Q$5:$Q$21,MATCH(节奏总纲!BU52,$N$5:$N$21,1))*(Y$2+$K$2)*节奏总纲!AA52*4*$C$5+Y52</f>
        <v>587653137.31810105</v>
      </c>
      <c r="Z53" s="51">
        <f>SUMIFS($K$5:$K$1004,$J$5:$J$1004,"&lt;="&amp;U$2)*节奏总纲!W52*4+Z52</f>
        <v>11542.822291671135</v>
      </c>
      <c r="AA53" s="51">
        <f>SUMIFS($K$5:$K$1004,$J$5:$J$1004,"&lt;="&amp;V$2)*节奏总纲!X52*4+AA52</f>
        <v>90598.457885097567</v>
      </c>
      <c r="AB53" s="51">
        <f>SUMIFS($K$5:$K$1004,$J$5:$J$1004,"&lt;="&amp;W$2)*节奏总纲!Y52*4+AB52</f>
        <v>223769.15294633657</v>
      </c>
      <c r="AC53" s="51">
        <f>SUMIFS($K$5:$K$1004,$J$5:$J$1004,"&lt;="&amp;X$2)*节奏总纲!Z52*4+AC52</f>
        <v>348116.51464782219</v>
      </c>
      <c r="AD53" s="51">
        <f>SUMIFS($K$5:$K$1004,$J$5:$J$1004,"&lt;="&amp;Y$2)*节奏总纲!AA52*4+AD52</f>
        <v>194882.08587920046</v>
      </c>
      <c r="AH53" s="35">
        <v>49</v>
      </c>
      <c r="AI53" s="47">
        <f>'[1]资源-木石铜粮'!AE54-U53</f>
        <v>-181088652.43347856</v>
      </c>
      <c r="AJ53" s="47">
        <f>'[1]资源-木石铜粮'!AF54-V53</f>
        <v>-290612586.04682386</v>
      </c>
      <c r="AK53" s="47">
        <f>'[1]资源-木石铜粮'!AG54-W53</f>
        <v>-511231991.3996383</v>
      </c>
      <c r="AL53" s="47">
        <f>'[1]资源-木石铜粮'!AH54-X53</f>
        <v>-812883165.95810843</v>
      </c>
      <c r="AM53" s="47">
        <f>'[1]资源-木石铜粮'!AI54-Y53</f>
        <v>-317124059.83646268</v>
      </c>
      <c r="AN53" s="47">
        <f>(AI53-AI52)*IF($AH53&lt;=10,'[1]功能-付费相关'!S64,'[1]功能-付费相关'!S54)</f>
        <v>-2020.0065878164694</v>
      </c>
      <c r="AO53" s="47">
        <f>(AJ53-AJ52)*IF($AH53&lt;=10,'[1]功能-付费相关'!T64,'[1]功能-付费相关'!T54)</f>
        <v>-3126.0987347524392</v>
      </c>
      <c r="AP53" s="47">
        <f>(AK53-AK52)*IF($AH53&lt;=10,'[1]功能-付费相关'!U64,'[1]功能-付费相关'!U54)</f>
        <v>-4714.3805612895321</v>
      </c>
      <c r="AQ53" s="47">
        <f>(AL53-AL52)*IF($AH53&lt;=10,'[1]功能-付费相关'!V64,'[1]功能-付费相关'!V54)</f>
        <v>-6076.3456189981152</v>
      </c>
      <c r="AR53" s="47">
        <f>(AM53-AM52)*IF($AH53&lt;=10,'[1]功能-付费相关'!W64,'[1]功能-付费相关'!W54)</f>
        <v>-2108.4084464688026</v>
      </c>
      <c r="AS53" s="48">
        <f>SUM(AN$5:AN53)/'[1]资源-钻石'!L52</f>
        <v>-0.17141100917155405</v>
      </c>
      <c r="AT53" s="48">
        <f>SUM(AO$5:AO53)/'[1]资源-钻石'!M52</f>
        <v>-0.23860438160681408</v>
      </c>
      <c r="AU53" s="48">
        <f>SUM(AP$5:AP53)/'[1]资源-钻石'!N52</f>
        <v>-0.30237300312647175</v>
      </c>
      <c r="AV53" s="48">
        <f>SUM(AQ$5:AQ53)/'[1]资源-钻石'!O52</f>
        <v>-0.23624955666545816</v>
      </c>
      <c r="AW53" s="48">
        <f>SUM(AR$5:AR53)/'[1]资源-钻石'!P52</f>
        <v>-6.9371923191374654E-2</v>
      </c>
      <c r="AX53" s="35">
        <f>('[1]资源-木石铜粮'!C54+U53)/'[1]资源-木石铜粮'!U54</f>
        <v>1.4651209738544857</v>
      </c>
      <c r="AY53" s="35">
        <f>('[1]资源-木石铜粮'!D54+V53)/'[1]资源-木石铜粮'!V54</f>
        <v>1.6401773345112787</v>
      </c>
      <c r="AZ53" s="35">
        <f>('[1]资源-木石铜粮'!E54+W53)/'[1]资源-木石铜粮'!W54</f>
        <v>1.9680579628740693</v>
      </c>
      <c r="BA53" s="35">
        <f>('[1]资源-木石铜粮'!F54+X53)/'[1]资源-木石铜粮'!X54</f>
        <v>2.5686646527818855</v>
      </c>
      <c r="BB53" s="35">
        <f>('[1]资源-木石铜粮'!G54+Y53)/'[1]资源-木石铜粮'!Y54</f>
        <v>1.6524411486542985</v>
      </c>
      <c r="BE53" s="39">
        <f t="shared" si="13"/>
        <v>1.1492252889383041E-4</v>
      </c>
      <c r="BF53" s="39">
        <f t="shared" si="14"/>
        <v>2.8379089342832098E-4</v>
      </c>
      <c r="BG53" s="39">
        <f t="shared" si="15"/>
        <v>3.3621125798709501E-4</v>
      </c>
      <c r="BH53" s="39">
        <f t="shared" si="16"/>
        <v>3.4085003482707223E-4</v>
      </c>
      <c r="BI53" s="39">
        <f t="shared" si="17"/>
        <v>3.316277468858459E-4</v>
      </c>
      <c r="BK53" s="39">
        <f>BE53/求节点(节奏总纲!AM$4:AM$83,$G$5:$G$84,节奏总纲!P52)</f>
        <v>0.40900851066787303</v>
      </c>
      <c r="BL53" s="39">
        <f>BF53/求节点(节奏总纲!AN$4:AN$83,$G$5:$G$84,节奏总纲!Q52)</f>
        <v>1.0433270092426095</v>
      </c>
      <c r="BM53" s="39">
        <f>BG53/求节点(节奏总纲!AO$4:AO$83,$G$5:$G$84,节奏总纲!R52)</f>
        <v>1.2821129857657725</v>
      </c>
      <c r="BN53" s="39">
        <f>BH53/求节点(节奏总纲!AP$4:AP$83,$G$5:$G$84,节奏总纲!S52)</f>
        <v>1.351177852980048</v>
      </c>
      <c r="BO53" s="39">
        <f>BI53/求节点(节奏总纲!AQ$4:AQ$83,$G$5:$G$84,节奏总纲!T52)</f>
        <v>1.371928857540565</v>
      </c>
    </row>
    <row r="54" spans="5:67" x14ac:dyDescent="0.15">
      <c r="E54" s="26">
        <v>50</v>
      </c>
      <c r="F54" s="26">
        <f>节奏总纲!$BL53</f>
        <v>89.944796604838743</v>
      </c>
      <c r="G54" s="26">
        <f>数据索引!$E55</f>
        <v>8.5375655325560379E-5</v>
      </c>
      <c r="H54" s="26">
        <f>数据索引!J55</f>
        <v>2.1077224568089538E-4</v>
      </c>
      <c r="I54" s="54"/>
      <c r="J54" s="35">
        <v>50</v>
      </c>
      <c r="K54" s="55">
        <v>60</v>
      </c>
      <c r="L54" s="55">
        <f t="shared" si="2"/>
        <v>90</v>
      </c>
      <c r="M54" s="55"/>
      <c r="T54" s="35">
        <v>50</v>
      </c>
      <c r="U54" s="50">
        <f>INDEX($Q$5:$Q$21,MATCH(节奏总纲!BQ53,$N$5:$N$21,1))*(U$2+$K$2)*节奏总纲!W53*4*$C$5+U53</f>
        <v>112215594.85052286</v>
      </c>
      <c r="V54" s="50">
        <f>INDEX($Q$5:$Q$21,MATCH(节奏总纲!BR53,$N$5:$N$21,1))*(V$2+$K$2)*节奏总纲!X53*4*$C$5+V53</f>
        <v>355186854.97335619</v>
      </c>
      <c r="W54" s="50">
        <f>INDEX($Q$5:$Q$21,MATCH(节奏总纲!BS53,$N$5:$N$21,1))*(W$2+$K$2)*节奏总纲!Y53*4*$C$5+W53</f>
        <v>734965921.16526604</v>
      </c>
      <c r="X54" s="50">
        <f>INDEX($Q$5:$Q$21,MATCH(节奏总纲!BT53,$N$5:$N$21,1))*(X$2+$K$2)*节奏总纲!Z53*4*$C$5+X53</f>
        <v>1124764214.3711407</v>
      </c>
      <c r="Y54" s="50">
        <f>INDEX($Q$5:$Q$21,MATCH(节奏总纲!BU53,$N$5:$N$21,1))*(Y$2+$K$2)*节奏总纲!AA53*4*$C$5+Y53</f>
        <v>646939993.3718071</v>
      </c>
      <c r="Z54" s="51">
        <f>SUMIFS($K$5:$K$1004,$J$5:$J$1004,"&lt;="&amp;U$2)*节奏总纲!W53*4+Z53</f>
        <v>12400</v>
      </c>
      <c r="AA54" s="51">
        <f>SUMIFS($K$5:$K$1004,$J$5:$J$1004,"&lt;="&amp;V$2)*节奏总纲!X53*4+AA53</f>
        <v>97326.36</v>
      </c>
      <c r="AB54" s="51">
        <f>SUMIFS($K$5:$K$1004,$J$5:$J$1004,"&lt;="&amp;W$2)*节奏总纲!Y53*4+AB53</f>
        <v>239817.24</v>
      </c>
      <c r="AC54" s="51">
        <f>SUMIFS($K$5:$K$1004,$J$5:$J$1004,"&lt;="&amp;X$2)*节奏总纲!Z53*4+AC53</f>
        <v>373614.47999999986</v>
      </c>
      <c r="AD54" s="51">
        <f>SUMIFS($K$5:$K$1004,$J$5:$J$1004,"&lt;="&amp;Y$2)*节奏总纲!AA53*4+AD53</f>
        <v>209495.52</v>
      </c>
      <c r="AH54" s="35">
        <v>50</v>
      </c>
      <c r="AI54" s="47">
        <f>'[1]资源-木石铜粮'!AE55-U54</f>
        <v>-203112545.21037543</v>
      </c>
      <c r="AJ54" s="47">
        <f>'[1]资源-木石铜粮'!AF55-V54</f>
        <v>-325594878.92618996</v>
      </c>
      <c r="AK54" s="47">
        <f>'[1]资源-木石铜粮'!AG55-W54</f>
        <v>-566278813.20516157</v>
      </c>
      <c r="AL54" s="47">
        <f>'[1]资源-木石铜粮'!AH55-X54</f>
        <v>-894781971.68735313</v>
      </c>
      <c r="AM54" s="47">
        <f>'[1]资源-木石铜粮'!AI55-Y54</f>
        <v>-346343073.62191248</v>
      </c>
      <c r="AN54" s="47">
        <f>(AI54-AI53)*IF($AH54&lt;=10,'[1]功能-付费相关'!S65,'[1]功能-付费相关'!S55)</f>
        <v>-2001.2139621724748</v>
      </c>
      <c r="AO54" s="47">
        <f>(AJ54-AJ53)*IF($AH54&lt;=10,'[1]功能-付费相关'!T65,'[1]功能-付费相关'!T55)</f>
        <v>-3112.3710824450959</v>
      </c>
      <c r="AP54" s="47">
        <f>(AK54-AK53)*IF($AH54&lt;=10,'[1]功能-付费相关'!U65,'[1]功能-付费相关'!U55)</f>
        <v>-4699.6584852358965</v>
      </c>
      <c r="AQ54" s="47">
        <f>(AL54-AL53)*IF($AH54&lt;=10,'[1]功能-付费相关'!V65,'[1]功能-付费相关'!V55)</f>
        <v>-6408.983725950392</v>
      </c>
      <c r="AR54" s="47">
        <f>(AM54-AM53)*IF($AH54&lt;=10,'[1]功能-付费相关'!W65,'[1]功能-付费相关'!W55)</f>
        <v>-2148.8319828457047</v>
      </c>
      <c r="AS54" s="48">
        <f>SUM(AN$5:AN54)/'[1]资源-钻石'!L53</f>
        <v>-0.170771962769771</v>
      </c>
      <c r="AT54" s="48">
        <f>SUM(AO$5:AO54)/'[1]资源-钻石'!M53</f>
        <v>-0.23705652324095133</v>
      </c>
      <c r="AU54" s="48">
        <f>SUM(AP$5:AP54)/'[1]资源-钻石'!N53</f>
        <v>-0.2992618660922714</v>
      </c>
      <c r="AV54" s="48">
        <f>SUM(AQ$5:AQ54)/'[1]资源-钻石'!O53</f>
        <v>-0.23283269280948429</v>
      </c>
      <c r="AW54" s="48">
        <f>SUM(AR$5:AR54)/'[1]资源-钻石'!P53</f>
        <v>-6.7554826103798107E-2</v>
      </c>
      <c r="AX54" s="35">
        <f>('[1]资源-木石铜粮'!C55+U54)/'[1]资源-木石铜粮'!U55</f>
        <v>1.4696874806217708</v>
      </c>
      <c r="AY54" s="35">
        <f>('[1]资源-木石铜粮'!D55+V54)/'[1]资源-木石铜粮'!V55</f>
        <v>1.6467163154026236</v>
      </c>
      <c r="AZ54" s="35">
        <f>('[1]资源-木石铜粮'!E55+W54)/'[1]资源-木石铜粮'!W55</f>
        <v>1.972210443376647</v>
      </c>
      <c r="BA54" s="35">
        <f>('[1]资源-木石铜粮'!F55+X54)/'[1]资源-木石铜粮'!X55</f>
        <v>2.5601084999875279</v>
      </c>
      <c r="BB54" s="35">
        <f>('[1]资源-木石铜粮'!G55+Y54)/'[1]资源-木石铜粮'!Y55</f>
        <v>1.6427688967489176</v>
      </c>
      <c r="BE54" s="39">
        <f t="shared" si="13"/>
        <v>1.1050157526248877E-4</v>
      </c>
      <c r="BF54" s="39">
        <f t="shared" si="14"/>
        <v>2.740145324558838E-4</v>
      </c>
      <c r="BG54" s="39">
        <f t="shared" si="15"/>
        <v>3.2629708819665687E-4</v>
      </c>
      <c r="BH54" s="39">
        <f t="shared" si="16"/>
        <v>3.3217137887774008E-4</v>
      </c>
      <c r="BI54" s="39">
        <f t="shared" si="17"/>
        <v>3.2382527304908705E-4</v>
      </c>
      <c r="BK54" s="39">
        <f>BE54/求节点(节奏总纲!AM$4:AM$83,$G$5:$G$84,节奏总纲!P53)</f>
        <v>0.40390200030662954</v>
      </c>
      <c r="BL54" s="39">
        <f>BF54/求节点(节奏总纲!AN$4:AN$83,$G$5:$G$84,节奏总纲!Q53)</f>
        <v>1.0369295252898414</v>
      </c>
      <c r="BM54" s="39">
        <f>BG54/求节点(节奏总纲!AO$4:AO$83,$G$5:$G$84,节奏总纲!R53)</f>
        <v>1.2773655860523521</v>
      </c>
      <c r="BN54" s="39">
        <f>BH54/求节点(节奏总纲!AP$4:AP$83,$G$5:$G$84,节奏总纲!S53)</f>
        <v>1.3525939492325121</v>
      </c>
      <c r="BO54" s="39">
        <f>BI54/求节点(节奏总纲!AQ$4:AQ$83,$G$5:$G$84,节奏总纲!T53)</f>
        <v>1.3794884570150201</v>
      </c>
    </row>
    <row r="55" spans="5:67" x14ac:dyDescent="0.15">
      <c r="E55" s="26">
        <v>51</v>
      </c>
      <c r="F55" s="26">
        <f>节奏总纲!$BL54</f>
        <v>92.135531632926771</v>
      </c>
      <c r="G55" s="26">
        <f>数据索引!$E56</f>
        <v>8.0897918769664998E-5</v>
      </c>
      <c r="H55" s="26">
        <f>数据索引!J56</f>
        <v>2.0022515069584E-4</v>
      </c>
      <c r="I55" s="54"/>
      <c r="J55" s="35">
        <v>51</v>
      </c>
      <c r="K55" s="55">
        <v>60</v>
      </c>
      <c r="L55" s="55">
        <f t="shared" si="2"/>
        <v>90</v>
      </c>
      <c r="M55" s="55"/>
      <c r="T55" s="35">
        <v>51</v>
      </c>
      <c r="U55" s="50">
        <f>INDEX($Q$5:$Q$21,MATCH(节奏总纲!BQ54,$N$5:$N$21,1))*(U$2+$K$2)*节奏总纲!W54*4*$C$5+U54</f>
        <v>124836332.37293661</v>
      </c>
      <c r="V55" s="50">
        <f>INDEX($Q$5:$Q$21,MATCH(节奏总纲!BR54,$N$5:$N$21,1))*(V$2+$K$2)*节奏总纲!X54*4*$C$5+V54</f>
        <v>391596494.55951196</v>
      </c>
      <c r="W55" s="50">
        <f>INDEX($Q$5:$Q$21,MATCH(节奏总纲!BS54,$N$5:$N$21,1))*(W$2+$K$2)*节奏总纲!Y54*4*$C$5+W54</f>
        <v>808697473.98947728</v>
      </c>
      <c r="X55" s="50">
        <f>INDEX($Q$5:$Q$21,MATCH(节奏总纲!BT54,$N$5:$N$21,1))*(X$2+$K$2)*节奏总纲!Z54*4*$C$5+X54</f>
        <v>1235832821.2706797</v>
      </c>
      <c r="Y55" s="50">
        <f>INDEX($Q$5:$Q$21,MATCH(节奏总纲!BU54,$N$5:$N$21,1))*(Y$2+$K$2)*节奏总纲!AA54*4*$C$5+Y54</f>
        <v>707753940.2809993</v>
      </c>
      <c r="Z55" s="51">
        <f>SUMIFS($K$5:$K$1004,$J$5:$J$1004,"&lt;="&amp;U$2)*节奏总纲!W54*4+Z54</f>
        <v>13318.700320464546</v>
      </c>
      <c r="AA55" s="51">
        <f>SUMIFS($K$5:$K$1004,$J$5:$J$1004,"&lt;="&amp;V$2)*节奏总纲!X54*4+AA54</f>
        <v>104141.58154577638</v>
      </c>
      <c r="AB55" s="51">
        <f>SUMIFS($K$5:$K$1004,$J$5:$J$1004,"&lt;="&amp;W$2)*节奏总纲!Y54*4+AB54</f>
        <v>256865.7862505113</v>
      </c>
      <c r="AC55" s="51">
        <f>SUMIFS($K$5:$K$1004,$J$5:$J$1004,"&lt;="&amp;X$2)*节奏总纲!Z54*4+AC54</f>
        <v>400991.4380283542</v>
      </c>
      <c r="AD55" s="51">
        <f>SUMIFS($K$5:$K$1004,$J$5:$J$1004,"&lt;="&amp;Y$2)*节奏总纲!AA54*4+AD54</f>
        <v>224485.3620313979</v>
      </c>
      <c r="AH55" s="35">
        <v>51</v>
      </c>
      <c r="AI55" s="47">
        <f>'[1]资源-木石铜粮'!AE56-U55</f>
        <v>-227745444.8433156</v>
      </c>
      <c r="AJ55" s="47">
        <f>'[1]资源-木石铜粮'!AF56-V55</f>
        <v>-360805691.32349485</v>
      </c>
      <c r="AK55" s="47">
        <f>'[1]资源-木石铜粮'!AG56-W55</f>
        <v>-626374143.3364284</v>
      </c>
      <c r="AL55" s="47">
        <f>'[1]资源-木石铜粮'!AH56-X55</f>
        <v>-983090700.14097583</v>
      </c>
      <c r="AM55" s="47">
        <f>'[1]资源-木石铜粮'!AI56-Y55</f>
        <v>-376240674.85888153</v>
      </c>
      <c r="AN55" s="47">
        <f>(AI55-AI54)*IF($AH55&lt;=10,'[1]功能-付费相关'!S66,'[1]功能-付费相关'!S56)</f>
        <v>-2122.507115578343</v>
      </c>
      <c r="AO55" s="47">
        <f>(AJ55-AJ54)*IF($AH55&lt;=10,'[1]功能-付费相关'!T66,'[1]功能-付费相关'!T56)</f>
        <v>-2971.1724700544983</v>
      </c>
      <c r="AP55" s="47">
        <f>(AK55-AK54)*IF($AH55&lt;=10,'[1]功能-付费相关'!U66,'[1]功能-付费相关'!U56)</f>
        <v>-4861.5871353954253</v>
      </c>
      <c r="AQ55" s="47">
        <f>(AL55-AL54)*IF($AH55&lt;=10,'[1]功能-付费相关'!V66,'[1]功能-付费相关'!V56)</f>
        <v>-6546.4493843440414</v>
      </c>
      <c r="AR55" s="47">
        <f>(AM55-AM54)*IF($AH55&lt;=10,'[1]功能-付费相关'!W66,'[1]功能-付费相关'!W56)</f>
        <v>-2082.0001795486573</v>
      </c>
      <c r="AS55" s="48">
        <f>SUM(AN$5:AN55)/'[1]资源-钻石'!L54</f>
        <v>-0.16983580016551381</v>
      </c>
      <c r="AT55" s="48">
        <f>SUM(AO$5:AO55)/'[1]资源-钻石'!M54</f>
        <v>-0.23496927180304708</v>
      </c>
      <c r="AU55" s="48">
        <f>SUM(AP$5:AP55)/'[1]资源-钻石'!N54</f>
        <v>-0.29595254723704961</v>
      </c>
      <c r="AV55" s="48">
        <f>SUM(AQ$5:AQ55)/'[1]资源-钻石'!O54</f>
        <v>-0.22908515858284037</v>
      </c>
      <c r="AW55" s="48">
        <f>SUM(AR$5:AR55)/'[1]资源-钻石'!P54</f>
        <v>-6.5779000971781756E-2</v>
      </c>
      <c r="AX55" s="35">
        <f>('[1]资源-木石铜粮'!C56+U55)/'[1]资源-木石铜粮'!U56</f>
        <v>1.4741376002775679</v>
      </c>
      <c r="AY55" s="35">
        <f>('[1]资源-木石铜粮'!D56+V55)/'[1]资源-木石铜粮'!V56</f>
        <v>1.6480918359521928</v>
      </c>
      <c r="AZ55" s="35">
        <f>('[1]资源-木石铜粮'!E56+W55)/'[1]资源-木石铜粮'!W56</f>
        <v>1.9750799011729399</v>
      </c>
      <c r="BA55" s="35">
        <f>('[1]资源-木石铜粮'!F56+X55)/'[1]资源-木石铜粮'!X56</f>
        <v>2.5483156243330196</v>
      </c>
      <c r="BB55" s="35">
        <f>('[1]资源-木石铜粮'!G56+Y55)/'[1]资源-木石铜粮'!Y56</f>
        <v>1.6320274731254645</v>
      </c>
      <c r="BE55" s="39">
        <f t="shared" si="13"/>
        <v>1.0668929523398847E-4</v>
      </c>
      <c r="BF55" s="39">
        <f t="shared" si="14"/>
        <v>2.6594104644098063E-4</v>
      </c>
      <c r="BG55" s="39">
        <f t="shared" si="15"/>
        <v>3.1762902013695866E-4</v>
      </c>
      <c r="BH55" s="39">
        <f t="shared" si="16"/>
        <v>3.2447061700146136E-4</v>
      </c>
      <c r="BI55" s="39">
        <f t="shared" si="17"/>
        <v>3.1717995373119445E-4</v>
      </c>
      <c r="BK55" s="39">
        <f>BE55/求节点(节奏总纲!AM$4:AM$83,$G$5:$G$84,节奏总纲!P54)</f>
        <v>0.40159899265617327</v>
      </c>
      <c r="BL55" s="39">
        <f>BF55/求节点(节奏总纲!AN$4:AN$83,$G$5:$G$84,节奏总纲!Q54)</f>
        <v>1.0316959308112539</v>
      </c>
      <c r="BM55" s="39">
        <f>BG55/求节点(节奏总纲!AO$4:AO$83,$G$5:$G$84,节奏总纲!R54)</f>
        <v>1.2783345983605334</v>
      </c>
      <c r="BN55" s="39">
        <f>BH55/求节点(节奏总纲!AP$4:AP$83,$G$5:$G$84,节奏总纲!S54)</f>
        <v>1.3573783341854806</v>
      </c>
      <c r="BO55" s="39">
        <f>BI55/求节点(节奏总纲!AQ$4:AQ$83,$G$5:$G$84,节奏总纲!T54)</f>
        <v>1.3851902496103714</v>
      </c>
    </row>
    <row r="56" spans="5:67" x14ac:dyDescent="0.15">
      <c r="E56" s="26">
        <v>52</v>
      </c>
      <c r="F56" s="26">
        <f>节奏总纲!$BL55</f>
        <v>94.309081972684396</v>
      </c>
      <c r="G56" s="26">
        <f>数据索引!$E57</f>
        <v>7.6627233738003721E-5</v>
      </c>
      <c r="H56" s="26">
        <f>数据索引!J57</f>
        <v>1.9020116673867167E-4</v>
      </c>
      <c r="I56" s="54"/>
      <c r="J56" s="35">
        <v>52</v>
      </c>
      <c r="K56" s="55">
        <v>60</v>
      </c>
      <c r="L56" s="55">
        <f t="shared" si="2"/>
        <v>90</v>
      </c>
      <c r="M56" s="55"/>
      <c r="T56" s="35">
        <v>52</v>
      </c>
      <c r="U56" s="50">
        <f>INDEX($Q$5:$Q$21,MATCH(节奏总纲!BQ55,$N$5:$N$21,1))*(U$2+$K$2)*节奏总纲!W55*4*$C$5+U55</f>
        <v>138362903.92709589</v>
      </c>
      <c r="V56" s="50">
        <f>INDEX($Q$5:$Q$21,MATCH(节奏总纲!BR55,$N$5:$N$21,1))*(V$2+$K$2)*节奏总纲!X55*4*$C$5+V55</f>
        <v>433003184.31010675</v>
      </c>
      <c r="W56" s="50">
        <f>INDEX($Q$5:$Q$21,MATCH(节奏总纲!BS55,$N$5:$N$21,1))*(W$2+$K$2)*节奏总纲!Y55*4*$C$5+W55</f>
        <v>893831080.81000459</v>
      </c>
      <c r="X56" s="50">
        <f>INDEX($Q$5:$Q$21,MATCH(节奏总纲!BT55,$N$5:$N$21,1))*(X$2+$K$2)*节奏总纲!Z55*4*$C$5+X55</f>
        <v>1360071698.3929601</v>
      </c>
      <c r="Y56" s="50">
        <f>INDEX($Q$5:$Q$21,MATCH(节奏总纲!BU55,$N$5:$N$21,1))*(Y$2+$K$2)*节奏总纲!AA55*4*$C$5+Y55</f>
        <v>774753264.15089607</v>
      </c>
      <c r="Z56" s="51">
        <f>SUMIFS($K$5:$K$1004,$J$5:$J$1004,"&lt;="&amp;U$2)*节奏总纲!W55*4+Z55</f>
        <v>14303.33894396205</v>
      </c>
      <c r="AA56" s="51">
        <f>SUMIFS($K$5:$K$1004,$J$5:$J$1004,"&lt;="&amp;V$2)*节奏总纲!X55*4+AA55</f>
        <v>111892.15989082631</v>
      </c>
      <c r="AB56" s="51">
        <f>SUMIFS($K$5:$K$1004,$J$5:$J$1004,"&lt;="&amp;W$2)*节奏总纲!Y55*4+AB55</f>
        <v>276550.76747982303</v>
      </c>
      <c r="AC56" s="51">
        <f>SUMIFS($K$5:$K$1004,$J$5:$J$1004,"&lt;="&amp;X$2)*节奏总纲!Z55*4+AC55</f>
        <v>431614.69530520996</v>
      </c>
      <c r="AD56" s="51">
        <f>SUMIFS($K$5:$K$1004,$J$5:$J$1004,"&lt;="&amp;Y$2)*节奏总纲!AA55*4+AD55</f>
        <v>240999.81853460532</v>
      </c>
      <c r="AH56" s="35">
        <v>52</v>
      </c>
      <c r="AI56" s="47">
        <f>'[1]资源-木石铜粮'!AE57-U56</f>
        <v>-253961607.97533053</v>
      </c>
      <c r="AJ56" s="47">
        <f>'[1]资源-木石铜粮'!AF57-V56</f>
        <v>-400778119.09409046</v>
      </c>
      <c r="AK56" s="47">
        <f>'[1]资源-木石铜粮'!AG57-W56</f>
        <v>-695740920.3452723</v>
      </c>
      <c r="AL56" s="47">
        <f>'[1]资源-木石铜粮'!AH57-X56</f>
        <v>-1081586971.288085</v>
      </c>
      <c r="AM56" s="47">
        <f>'[1]资源-木石铜粮'!AI57-Y56</f>
        <v>-408765940.62089443</v>
      </c>
      <c r="AN56" s="47">
        <f>(AI56-AI55)*IF($AH56&lt;=10,'[1]功能-付费相关'!S67,'[1]功能-付费相关'!S57)</f>
        <v>-2142.8727322009518</v>
      </c>
      <c r="AO56" s="47">
        <f>(AJ56-AJ55)*IF($AH56&lt;=10,'[1]功能-付费相关'!T67,'[1]功能-付费相关'!T57)</f>
        <v>-3198.2922209340477</v>
      </c>
      <c r="AP56" s="47">
        <f>(AK56-AK55)*IF($AH56&lt;=10,'[1]功能-付费相关'!U67,'[1]功能-付费相关'!U57)</f>
        <v>-5315.3842355086645</v>
      </c>
      <c r="AQ56" s="47">
        <f>(AL56-AL55)*IF($AH56&lt;=10,'[1]功能-付费相关'!V67,'[1]功能-付费相关'!V57)</f>
        <v>-6915.496901741144</v>
      </c>
      <c r="AR56" s="47">
        <f>(AM56-AM55)*IF($AH56&lt;=10,'[1]功能-付费相关'!W67,'[1]功能-付费相关'!W57)</f>
        <v>-2144.2302065154895</v>
      </c>
      <c r="AS56" s="48">
        <f>SUM(AN$5:AN56)/'[1]资源-钻石'!L55</f>
        <v>-0.16838298142499436</v>
      </c>
      <c r="AT56" s="48">
        <f>SUM(AO$5:AO56)/'[1]资源-钻石'!M55</f>
        <v>-0.23188446070412311</v>
      </c>
      <c r="AU56" s="48">
        <f>SUM(AP$5:AP56)/'[1]资源-钻石'!N55</f>
        <v>-0.2917847219599517</v>
      </c>
      <c r="AV56" s="48">
        <f>SUM(AQ$5:AQ56)/'[1]资源-钻石'!O55</f>
        <v>-0.22481688924542495</v>
      </c>
      <c r="AW56" s="48">
        <f>SUM(AR$5:AR56)/'[1]资源-钻石'!P55</f>
        <v>-6.3902925093506396E-2</v>
      </c>
      <c r="AX56" s="35">
        <f>('[1]资源-木石铜粮'!C57+U56)/'[1]资源-木石铜粮'!U57</f>
        <v>1.4761490765797651</v>
      </c>
      <c r="AY56" s="35">
        <f>('[1]资源-木石铜粮'!D57+V56)/'[1]资源-木石铜粮'!V57</f>
        <v>1.6489615608646584</v>
      </c>
      <c r="AZ56" s="35">
        <f>('[1]资源-木石铜粮'!E57+W56)/'[1]资源-木石铜粮'!W57</f>
        <v>1.9769295036719003</v>
      </c>
      <c r="BA56" s="35">
        <f>('[1]资源-木石铜粮'!F57+X56)/'[1]资源-木石铜粮'!X57</f>
        <v>2.5359637805723452</v>
      </c>
      <c r="BB56" s="35">
        <f>('[1]资源-木石铜粮'!G57+Y56)/'[1]资源-木石铜粮'!Y57</f>
        <v>1.6213023554083941</v>
      </c>
      <c r="BE56" s="39">
        <f t="shared" si="13"/>
        <v>1.0337553302219323E-4</v>
      </c>
      <c r="BF56" s="39">
        <f t="shared" si="14"/>
        <v>2.5840955435258822E-4</v>
      </c>
      <c r="BG56" s="39">
        <f t="shared" si="15"/>
        <v>3.0939936350077258E-4</v>
      </c>
      <c r="BH56" s="39">
        <f t="shared" si="16"/>
        <v>3.1734701620157176E-4</v>
      </c>
      <c r="BI56" s="39">
        <f t="shared" si="17"/>
        <v>3.1106654167986392E-4</v>
      </c>
      <c r="BK56" s="39">
        <f>BE56/求节点(节奏总纲!AM$4:AM$83,$G$5:$G$84,节奏总纲!P55)</f>
        <v>0.39933036853283826</v>
      </c>
      <c r="BL56" s="39">
        <f>BF56/求节点(节奏总纲!AN$4:AN$83,$G$5:$G$84,节奏总纲!Q55)</f>
        <v>1.0320043354965205</v>
      </c>
      <c r="BM56" s="39">
        <f>BG56/求节点(节奏总纲!AO$4:AO$83,$G$5:$G$84,节奏总纲!R55)</f>
        <v>1.2792826816358585</v>
      </c>
      <c r="BN56" s="39">
        <f>BH56/求节点(节奏总纲!AP$4:AP$83,$G$5:$G$84,节奏总纲!S55)</f>
        <v>1.3662268158558777</v>
      </c>
      <c r="BO56" s="39">
        <f>BI56/求节点(节奏总纲!AQ$4:AQ$83,$G$5:$G$84,节奏总纲!T55)</f>
        <v>1.3968068224810342</v>
      </c>
    </row>
    <row r="57" spans="5:67" x14ac:dyDescent="0.15">
      <c r="E57" s="26">
        <v>53</v>
      </c>
      <c r="F57" s="26">
        <f>节奏总纲!$BL56</f>
        <v>96.485848981556117</v>
      </c>
      <c r="G57" s="26">
        <f>数据索引!$E58</f>
        <v>7.2603110851714278E-5</v>
      </c>
      <c r="H57" s="26">
        <f>数据索引!J58</f>
        <v>1.8069895647786121E-4</v>
      </c>
      <c r="I57" s="54"/>
      <c r="J57" s="35">
        <v>53</v>
      </c>
      <c r="K57" s="55">
        <v>60</v>
      </c>
      <c r="L57" s="55">
        <f t="shared" si="2"/>
        <v>90</v>
      </c>
      <c r="M57" s="55"/>
      <c r="T57" s="35">
        <v>53</v>
      </c>
      <c r="U57" s="50">
        <f>INDEX($Q$5:$Q$21,MATCH(节奏总纲!BQ56,$N$5:$N$21,1))*(U$2+$K$2)*节奏总纲!W56*4*$C$5+U56</f>
        <v>152860324.35794193</v>
      </c>
      <c r="V57" s="50">
        <f>INDEX($Q$5:$Q$21,MATCH(节奏总纲!BR56,$N$5:$N$21,1))*(V$2+$K$2)*节奏总纲!X56*4*$C$5+V56</f>
        <v>478141092.49541295</v>
      </c>
      <c r="W57" s="50">
        <f>INDEX($Q$5:$Q$21,MATCH(节奏总纲!BS56,$N$5:$N$21,1))*(W$2+$K$2)*节奏总纲!Y56*4*$C$5+W56</f>
        <v>986020235.48928869</v>
      </c>
      <c r="X57" s="50">
        <f>INDEX($Q$5:$Q$21,MATCH(节奏总纲!BT56,$N$5:$N$21,1))*(X$2+$K$2)*节奏总纲!Z56*4*$C$5+X56</f>
        <v>1488556090.7931316</v>
      </c>
      <c r="Y57" s="50">
        <f>INDEX($Q$5:$Q$21,MATCH(节奏总纲!BU56,$N$5:$N$21,1))*(Y$2+$K$2)*节奏总纲!AA56*4*$C$5+Y56</f>
        <v>845825957.32407832</v>
      </c>
      <c r="Z57" s="51">
        <f>SUMIFS($K$5:$K$1004,$J$5:$J$1004,"&lt;="&amp;U$2)*节奏总纲!W56*4+Z56</f>
        <v>15358.648490814923</v>
      </c>
      <c r="AA57" s="51">
        <f>SUMIFS($K$5:$K$1004,$J$5:$J$1004,"&lt;="&amp;V$2)*节奏总纲!X56*4+AA56</f>
        <v>120341.15438493123</v>
      </c>
      <c r="AB57" s="51">
        <f>SUMIFS($K$5:$K$1004,$J$5:$J$1004,"&lt;="&amp;W$2)*节奏总纲!Y56*4+AB56</f>
        <v>297867.16469571373</v>
      </c>
      <c r="AC57" s="51">
        <f>SUMIFS($K$5:$K$1004,$J$5:$J$1004,"&lt;="&amp;X$2)*节奏总纲!Z56*4+AC56</f>
        <v>463284.41653633764</v>
      </c>
      <c r="AD57" s="51">
        <f>SUMIFS($K$5:$K$1004,$J$5:$J$1004,"&lt;="&amp;Y$2)*节奏总纲!AA56*4+AD56</f>
        <v>258518.30726224589</v>
      </c>
      <c r="AH57" s="35">
        <v>53</v>
      </c>
      <c r="AI57" s="47">
        <f>'[1]资源-木石铜粮'!AE58-U57</f>
        <v>-281756047.81563538</v>
      </c>
      <c r="AJ57" s="47">
        <f>'[1]资源-木石铜粮'!AF58-V57</f>
        <v>-443824362.10995221</v>
      </c>
      <c r="AK57" s="47">
        <f>'[1]资源-木石铜粮'!AG58-W57</f>
        <v>-769939324.46341884</v>
      </c>
      <c r="AL57" s="47">
        <f>'[1]资源-木石铜粮'!AH58-X57</f>
        <v>-1182024265.8499629</v>
      </c>
      <c r="AM57" s="47">
        <f>'[1]资源-木石铜粮'!AI58-Y57</f>
        <v>-441204915.42874593</v>
      </c>
      <c r="AN57" s="47">
        <f>(AI57-AI56)*IF($AH57&lt;=10,'[1]功能-付费相关'!S68,'[1]功能-付费相关'!S58)</f>
        <v>-2155.7607960460768</v>
      </c>
      <c r="AO57" s="47">
        <f>(AJ57-AJ56)*IF($AH57&lt;=10,'[1]功能-付费相关'!T68,'[1]功能-付费相关'!T58)</f>
        <v>-3265.2860706643442</v>
      </c>
      <c r="AP57" s="47">
        <f>(AK57-AK56)*IF($AH57&lt;=10,'[1]功能-付费相关'!U68,'[1]功能-付费相关'!U58)</f>
        <v>-5387.0349592100865</v>
      </c>
      <c r="AQ57" s="47">
        <f>(AL57-AL56)*IF($AH57&lt;=10,'[1]功能-付费相关'!V68,'[1]功能-付费相关'!V58)</f>
        <v>-6679.9261331449925</v>
      </c>
      <c r="AR57" s="47">
        <f>(AM57-AM56)*IF($AH57&lt;=10,'[1]功能-付费相关'!W68,'[1]功能-付费相关'!W58)</f>
        <v>-2032.8788387455377</v>
      </c>
      <c r="AS57" s="48">
        <f>SUM(AN$5:AN57)/'[1]资源-钻石'!L56</f>
        <v>-0.16644487236411903</v>
      </c>
      <c r="AT57" s="48">
        <f>SUM(AO$5:AO57)/'[1]资源-钻石'!M56</f>
        <v>-0.22785610092021316</v>
      </c>
      <c r="AU57" s="48">
        <f>SUM(AP$5:AP57)/'[1]资源-钻石'!N56</f>
        <v>-0.28690208987539434</v>
      </c>
      <c r="AV57" s="48">
        <f>SUM(AQ$5:AQ57)/'[1]资源-钻石'!O56</f>
        <v>-0.22030705563206826</v>
      </c>
      <c r="AW57" s="48">
        <f>SUM(AR$5:AR57)/'[1]资源-钻石'!P56</f>
        <v>-6.1927731815640437E-2</v>
      </c>
      <c r="AX57" s="35">
        <f>('[1]资源-木石铜粮'!C58+U57)/'[1]资源-木石铜粮'!U58</f>
        <v>1.476409230936043</v>
      </c>
      <c r="AY57" s="35">
        <f>('[1]资源-木石铜粮'!D58+V57)/'[1]资源-木石铜粮'!V58</f>
        <v>1.6474938652414008</v>
      </c>
      <c r="AZ57" s="35">
        <f>('[1]资源-木石铜粮'!E58+W57)/'[1]资源-木石铜粮'!W58</f>
        <v>1.9757510068499968</v>
      </c>
      <c r="BA57" s="35">
        <f>('[1]资源-木石铜粮'!F58+X57)/'[1]资源-木石铜粮'!X58</f>
        <v>2.5194438954723921</v>
      </c>
      <c r="BB57" s="35">
        <f>('[1]资源-木石铜粮'!G58+Y57)/'[1]资源-木石铜粮'!Y58</f>
        <v>1.607180044708602</v>
      </c>
      <c r="BE57" s="39">
        <f t="shared" si="13"/>
        <v>1.0047504841642682E-4</v>
      </c>
      <c r="BF57" s="39">
        <f t="shared" si="14"/>
        <v>2.5168544656321444E-4</v>
      </c>
      <c r="BG57" s="39">
        <f t="shared" si="15"/>
        <v>3.0209031617683214E-4</v>
      </c>
      <c r="BH57" s="39">
        <f t="shared" si="16"/>
        <v>3.1123074192621839E-4</v>
      </c>
      <c r="BI57" s="39">
        <f t="shared" si="17"/>
        <v>3.0564007290591409E-4</v>
      </c>
      <c r="BK57" s="39">
        <f>BE57/求节点(节奏总纲!AM$4:AM$83,$G$5:$G$84,节奏总纲!P56)</f>
        <v>0.39927740096558156</v>
      </c>
      <c r="BL57" s="39">
        <f>BF57/求节点(节奏总纲!AN$4:AN$83,$G$5:$G$84,节奏总纲!Q56)</f>
        <v>1.032353149048578</v>
      </c>
      <c r="BM57" s="39">
        <f>BG57/求节点(节奏总纲!AO$4:AO$83,$G$5:$G$84,节奏总纲!R56)</f>
        <v>1.2871984867842261</v>
      </c>
      <c r="BN57" s="39">
        <f>BH57/求节点(节奏总纲!AP$4:AP$83,$G$5:$G$84,节奏总纲!S56)</f>
        <v>1.3755608142157933</v>
      </c>
      <c r="BO57" s="39">
        <f>BI57/求节点(节奏总纲!AQ$4:AQ$83,$G$5:$G$84,节奏总纲!T56)</f>
        <v>1.4084765207846621</v>
      </c>
    </row>
    <row r="58" spans="5:67" x14ac:dyDescent="0.15">
      <c r="E58" s="26">
        <v>54</v>
      </c>
      <c r="F58" s="26">
        <f>节奏总纲!$BL57</f>
        <v>98.506974116675693</v>
      </c>
      <c r="G58" s="26">
        <f>数据索引!$E59</f>
        <v>6.8808896494534921E-5</v>
      </c>
      <c r="H58" s="26">
        <f>数据索引!J59</f>
        <v>1.278569718901531E-4</v>
      </c>
      <c r="I58" s="54"/>
      <c r="J58" s="35">
        <v>54</v>
      </c>
      <c r="K58" s="55">
        <v>60</v>
      </c>
      <c r="L58" s="55">
        <f t="shared" si="2"/>
        <v>90</v>
      </c>
      <c r="M58" s="55"/>
      <c r="T58" s="35">
        <v>54</v>
      </c>
      <c r="U58" s="50">
        <f>INDEX($Q$5:$Q$21,MATCH(节奏总纲!BQ57,$N$5:$N$21,1))*(U$2+$K$2)*节奏总纲!W57*4*$C$5+U57</f>
        <v>168398274.85095435</v>
      </c>
      <c r="V58" s="50">
        <f>INDEX($Q$5:$Q$21,MATCH(节奏总纲!BR57,$N$5:$N$21,1))*(V$2+$K$2)*节奏总纲!X57*4*$C$5+V57</f>
        <v>526596773.15067327</v>
      </c>
      <c r="W58" s="50">
        <f>INDEX($Q$5:$Q$21,MATCH(节奏总纲!BS57,$N$5:$N$21,1))*(W$2+$K$2)*节奏总纲!Y57*4*$C$5+W57</f>
        <v>1078192274.9738955</v>
      </c>
      <c r="X58" s="50">
        <f>INDEX($Q$5:$Q$21,MATCH(节奏总纲!BT57,$N$5:$N$21,1))*(X$2+$K$2)*节奏总纲!Z57*4*$C$5+X57</f>
        <v>1622014053.5089753</v>
      </c>
      <c r="Y58" s="50">
        <f>INDEX($Q$5:$Q$21,MATCH(节奏总纲!BU57,$N$5:$N$21,1))*(Y$2+$K$2)*节奏总纲!AA57*4*$C$5+Y57</f>
        <v>917343441.2339412</v>
      </c>
      <c r="Z58" s="51">
        <f>SUMIFS($K$5:$K$1004,$J$5:$J$1004,"&lt;="&amp;U$2)*节奏总纲!W57*4+Z57</f>
        <v>16489.701257893044</v>
      </c>
      <c r="AA58" s="51">
        <f>SUMIFS($K$5:$K$1004,$J$5:$J$1004,"&lt;="&amp;V$2)*节奏总纲!X57*4+AA57</f>
        <v>129411.17547194462</v>
      </c>
      <c r="AB58" s="51">
        <f>SUMIFS($K$5:$K$1004,$J$5:$J$1004,"&lt;="&amp;W$2)*节奏总纲!Y57*4+AB57</f>
        <v>319179.60445815517</v>
      </c>
      <c r="AC58" s="51">
        <f>SUMIFS($K$5:$K$1004,$J$5:$J$1004,"&lt;="&amp;X$2)*节奏总纲!Z57*4+AC57</f>
        <v>496180.0577603791</v>
      </c>
      <c r="AD58" s="51">
        <f>SUMIFS($K$5:$K$1004,$J$5:$J$1004,"&lt;="&amp;Y$2)*节奏总纲!AA57*4+AD57</f>
        <v>276146.43108543166</v>
      </c>
      <c r="AH58" s="35">
        <v>54</v>
      </c>
      <c r="AI58" s="47">
        <f>'[1]资源-木石铜粮'!AE59-U58</f>
        <v>-311262403.85746485</v>
      </c>
      <c r="AJ58" s="47">
        <f>'[1]资源-木石铜粮'!AF59-V58</f>
        <v>-488804372.89128232</v>
      </c>
      <c r="AK58" s="47">
        <f>'[1]资源-木石铜粮'!AG59-W58</f>
        <v>-841696089.95812881</v>
      </c>
      <c r="AL58" s="47">
        <f>'[1]资源-木石铜粮'!AH59-X58</f>
        <v>-1284371217.2948363</v>
      </c>
      <c r="AM58" s="47">
        <f>'[1]资源-木石铜粮'!AI59-Y58</f>
        <v>-470970651.35120076</v>
      </c>
      <c r="AN58" s="47">
        <f>(AI58-AI57)*IF($AH58&lt;=10,'[1]功能-付费相关'!S69,'[1]功能-付费相关'!S59)</f>
        <v>-2171.7238403299989</v>
      </c>
      <c r="AO58" s="47">
        <f>(AJ58-AJ57)*IF($AH58&lt;=10,'[1]功能-付费相关'!T69,'[1]功能-付费相关'!T59)</f>
        <v>-3234.9363806101123</v>
      </c>
      <c r="AP58" s="47">
        <f>(AK58-AK57)*IF($AH58&lt;=10,'[1]功能-付费相关'!U69,'[1]功能-付费相关'!U59)</f>
        <v>-4937.5038497081132</v>
      </c>
      <c r="AQ58" s="47">
        <f>(AL58-AL57)*IF($AH58&lt;=10,'[1]功能-付费相关'!V69,'[1]功能-付费相关'!V59)</f>
        <v>-6451.9612381272009</v>
      </c>
      <c r="AR58" s="47">
        <f>(AM58-AM57)*IF($AH58&lt;=10,'[1]功能-付费相关'!W69,'[1]功能-付费相关'!W59)</f>
        <v>-1774.9209293086578</v>
      </c>
      <c r="AS58" s="48">
        <f>SUM(AN$5:AN58)/'[1]资源-钻石'!L57</f>
        <v>-0.16409598802007114</v>
      </c>
      <c r="AT58" s="48">
        <f>SUM(AO$5:AO58)/'[1]资源-钻石'!M57</f>
        <v>-0.22322399754124542</v>
      </c>
      <c r="AU58" s="48">
        <f>SUM(AP$5:AP58)/'[1]资源-钻石'!N57</f>
        <v>-0.28155100981217113</v>
      </c>
      <c r="AV58" s="48">
        <f>SUM(AQ$5:AQ58)/'[1]资源-钻石'!O57</f>
        <v>-0.21556201389375068</v>
      </c>
      <c r="AW58" s="48">
        <f>SUM(AR$5:AR58)/'[1]资源-钻石'!P57</f>
        <v>-5.9936951040480239E-2</v>
      </c>
      <c r="AX58" s="35">
        <f>('[1]资源-木石铜粮'!C59+U58)/'[1]资源-木石铜粮'!U59</f>
        <v>1.4748201574357782</v>
      </c>
      <c r="AY58" s="35">
        <f>('[1]资源-木石铜粮'!D59+V58)/'[1]资源-木石铜粮'!V59</f>
        <v>1.6430123871618842</v>
      </c>
      <c r="AZ58" s="35">
        <f>('[1]资源-木石铜粮'!E59+W58)/'[1]资源-木石铜粮'!W59</f>
        <v>1.9678963426496761</v>
      </c>
      <c r="BA58" s="35">
        <f>('[1]资源-木石铜粮'!F59+X58)/'[1]资源-木石铜粮'!X59</f>
        <v>2.4987441582520238</v>
      </c>
      <c r="BB58" s="35">
        <f>('[1]资源-木石铜粮'!G59+Y58)/'[1]资源-木石铜粮'!Y59</f>
        <v>1.5894595351192429</v>
      </c>
      <c r="BE58" s="39">
        <f t="shared" si="13"/>
        <v>9.7920844334585495E-5</v>
      </c>
      <c r="BF58" s="39">
        <f t="shared" si="14"/>
        <v>2.4575003507459143E-4</v>
      </c>
      <c r="BG58" s="39">
        <f t="shared" si="15"/>
        <v>2.9603217521279582E-4</v>
      </c>
      <c r="BH58" s="39">
        <f t="shared" si="16"/>
        <v>3.0590367369935585E-4</v>
      </c>
      <c r="BI58" s="39">
        <f t="shared" si="17"/>
        <v>3.0102840296539353E-4</v>
      </c>
      <c r="BK58" s="39">
        <f>BE58/求节点(节奏总纲!AM$4:AM$83,$G$5:$G$84,节奏总纲!P57)</f>
        <v>0.39964503108382082</v>
      </c>
      <c r="BL58" s="39">
        <f>BF58/求节点(节奏总纲!AN$4:AN$83,$G$5:$G$84,节奏总纲!Q57)</f>
        <v>1.0371923669739733</v>
      </c>
      <c r="BM58" s="39">
        <f>BG58/求节点(节奏总纲!AO$4:AO$83,$G$5:$G$84,节奏总纲!R57)</f>
        <v>1.2930966670191242</v>
      </c>
      <c r="BN58" s="39">
        <f>BH58/求节点(节奏总纲!AP$4:AP$83,$G$5:$G$84,节奏总纲!S57)</f>
        <v>1.3897645947797033</v>
      </c>
      <c r="BO58" s="39">
        <f>BI58/求节点(节奏总纲!AQ$4:AQ$83,$G$5:$G$84,节奏总纲!T57)</f>
        <v>1.4216826019311792</v>
      </c>
    </row>
    <row r="59" spans="5:67" x14ac:dyDescent="0.15">
      <c r="E59" s="26">
        <v>55</v>
      </c>
      <c r="F59" s="26">
        <f>节奏总纲!$BL58</f>
        <v>100.60993958592766</v>
      </c>
      <c r="G59" s="26">
        <f>数据索引!$E60</f>
        <v>6.5349252099226152E-5</v>
      </c>
      <c r="H59" s="26">
        <f>数据索引!J60</f>
        <v>1.2172061331333972E-4</v>
      </c>
      <c r="I59" s="54"/>
      <c r="J59" s="35">
        <v>55</v>
      </c>
      <c r="K59" s="55">
        <v>60</v>
      </c>
      <c r="L59" s="55">
        <f t="shared" si="2"/>
        <v>90</v>
      </c>
      <c r="M59" s="55"/>
      <c r="T59" s="35">
        <v>55</v>
      </c>
      <c r="U59" s="50">
        <f>INDEX($Q$5:$Q$21,MATCH(节奏总纲!BQ58,$N$5:$N$21,1))*(U$2+$K$2)*节奏总纲!W58*4*$C$5+U58</f>
        <v>185051437.85156775</v>
      </c>
      <c r="V59" s="50">
        <f>INDEX($Q$5:$Q$21,MATCH(节奏总纲!BR58,$N$5:$N$21,1))*(V$2+$K$2)*节奏总纲!X58*4*$C$5+V58</f>
        <v>576315748.15089059</v>
      </c>
      <c r="W59" s="50">
        <f>INDEX($Q$5:$Q$21,MATCH(节奏总纲!BS58,$N$5:$N$21,1))*(W$2+$K$2)*节奏总纲!Y58*4*$C$5+W58</f>
        <v>1175743431.0521164</v>
      </c>
      <c r="X59" s="50">
        <f>INDEX($Q$5:$Q$21,MATCH(节奏总纲!BT58,$N$5:$N$21,1))*(X$2+$K$2)*节奏总纲!Z58*4*$C$5+X58</f>
        <v>1762630916.3191109</v>
      </c>
      <c r="Y59" s="50">
        <f>INDEX($Q$5:$Q$21,MATCH(节奏总纲!BU58,$N$5:$N$21,1))*(Y$2+$K$2)*节奏总纲!AA58*4*$C$5+Y58</f>
        <v>1020061845.8449554</v>
      </c>
      <c r="Z59" s="51">
        <f>SUMIFS($K$5:$K$1004,$J$5:$J$1004,"&lt;="&amp;U$2)*节奏总纲!W58*4+Z58</f>
        <v>17701.933598375617</v>
      </c>
      <c r="AA59" s="51">
        <f>SUMIFS($K$5:$K$1004,$J$5:$J$1004,"&lt;="&amp;V$2)*节奏总纲!X58*4+AA58</f>
        <v>138717.66225695086</v>
      </c>
      <c r="AB59" s="51">
        <f>SUMIFS($K$5:$K$1004,$J$5:$J$1004,"&lt;="&amp;W$2)*节奏总纲!Y58*4+AB58</f>
        <v>341735.82811664126</v>
      </c>
      <c r="AC59" s="51">
        <f>SUMIFS($K$5:$K$1004,$J$5:$J$1004,"&lt;="&amp;X$2)*节奏总纲!Z58*4+AC58</f>
        <v>530840.27416800847</v>
      </c>
      <c r="AD59" s="51">
        <f>SUMIFS($K$5:$K$1004,$J$5:$J$1004,"&lt;="&amp;Y$2)*节奏总纲!AA58*4+AD58</f>
        <v>295135.48791891744</v>
      </c>
      <c r="AH59" s="35">
        <v>55</v>
      </c>
      <c r="AI59" s="47">
        <f>'[1]资源-木石铜粮'!AE60-U59</f>
        <v>-342663945.94539857</v>
      </c>
      <c r="AJ59" s="47">
        <f>'[1]资源-木石铜粮'!AF60-V59</f>
        <v>-533144749.07345581</v>
      </c>
      <c r="AK59" s="47">
        <f>'[1]资源-木石铜粮'!AG60-W59</f>
        <v>-915996987.00321269</v>
      </c>
      <c r="AL59" s="47">
        <f>'[1]资源-木石铜粮'!AH60-X59</f>
        <v>-1389565886.3992214</v>
      </c>
      <c r="AM59" s="47">
        <f>'[1]资源-木石铜粮'!AI60-Y59</f>
        <v>-526930980.70786065</v>
      </c>
      <c r="AN59" s="47">
        <f>(AI59-AI58)*IF($AH59&lt;=10,'[1]功能-付费相关'!S70,'[1]功能-付费相关'!S60)</f>
        <v>-2193.5322741815594</v>
      </c>
      <c r="AO59" s="47">
        <f>(AJ59-AJ58)*IF($AH59&lt;=10,'[1]功能-付费相关'!T70,'[1]功能-付费相关'!T60)</f>
        <v>-3024.4415924558461</v>
      </c>
      <c r="AP59" s="47">
        <f>(AK59-AK58)*IF($AH59&lt;=10,'[1]功能-付费相关'!U70,'[1]功能-付费相关'!U60)</f>
        <v>-4855.5080521978343</v>
      </c>
      <c r="AQ59" s="47">
        <f>(AL59-AL58)*IF($AH59&lt;=10,'[1]功能-付费相关'!V70,'[1]功能-付费相关'!V60)</f>
        <v>-6286.9015324712955</v>
      </c>
      <c r="AR59" s="47">
        <f>(AM59-AM58)*IF($AH59&lt;=10,'[1]功能-付费相关'!W70,'[1]功能-付费相关'!W60)</f>
        <v>-3175.5351291419565</v>
      </c>
      <c r="AS59" s="48">
        <f>SUM(AN$5:AN59)/'[1]资源-钻石'!L58</f>
        <v>-0.16141251910547283</v>
      </c>
      <c r="AT59" s="48">
        <f>SUM(AO$5:AO59)/'[1]资源-钻石'!M58</f>
        <v>-0.21818832985330702</v>
      </c>
      <c r="AU59" s="48">
        <f>SUM(AP$5:AP59)/'[1]资源-钻石'!N58</f>
        <v>-0.27504821083632786</v>
      </c>
      <c r="AV59" s="48">
        <f>SUM(AQ$5:AQ59)/'[1]资源-钻石'!O58</f>
        <v>-0.21053468143054221</v>
      </c>
      <c r="AW59" s="48">
        <f>SUM(AR$5:AR59)/'[1]资源-钻石'!P58</f>
        <v>-5.9018448231710853E-2</v>
      </c>
      <c r="AX59" s="35">
        <f>('[1]资源-木石铜粮'!C60+U59)/'[1]资源-木石铜粮'!U60</f>
        <v>1.4719315212656525</v>
      </c>
      <c r="AY59" s="35">
        <f>('[1]资源-木石铜粮'!D60+V59)/'[1]资源-木石铜粮'!V60</f>
        <v>1.6347972846045931</v>
      </c>
      <c r="AZ59" s="35">
        <f>('[1]资源-木石铜粮'!E60+W59)/'[1]资源-木石铜粮'!W60</f>
        <v>1.9571757625183857</v>
      </c>
      <c r="BA59" s="35">
        <f>('[1]资源-木石铜粮'!F60+X59)/'[1]资源-木石铜粮'!X60</f>
        <v>2.4724110398177781</v>
      </c>
      <c r="BB59" s="35">
        <f>('[1]资源-木石铜粮'!G60+Y59)/'[1]资源-木石铜粮'!Y60</f>
        <v>1.5995975529168243</v>
      </c>
      <c r="BE59" s="39">
        <f t="shared" si="13"/>
        <v>9.5659530149528349E-5</v>
      </c>
      <c r="BF59" s="39">
        <f t="shared" si="14"/>
        <v>2.4069733076360756E-4</v>
      </c>
      <c r="BG59" s="39">
        <f t="shared" si="15"/>
        <v>2.9065510305325567E-4</v>
      </c>
      <c r="BH59" s="39">
        <f t="shared" si="16"/>
        <v>3.0116360109951908E-4</v>
      </c>
      <c r="BI59" s="39">
        <f t="shared" si="17"/>
        <v>2.8933097451012458E-4</v>
      </c>
      <c r="BK59" s="39">
        <f>BE59/求节点(节奏总纲!AM$4:AM$83,$G$5:$G$84,节奏总纲!P58)</f>
        <v>0.401225927730961</v>
      </c>
      <c r="BL59" s="39">
        <f>BF59/求节点(节奏总纲!AN$4:AN$83,$G$5:$G$84,节奏总纲!Q58)</f>
        <v>1.0427760467681046</v>
      </c>
      <c r="BM59" s="39">
        <f>BG59/求节点(节奏总纲!AO$4:AO$83,$G$5:$G$84,节奏总纲!R58)</f>
        <v>1.3039957786903118</v>
      </c>
      <c r="BN59" s="39">
        <f>BH59/求节点(节奏总纲!AP$4:AP$83,$G$5:$G$84,节奏总纲!S58)</f>
        <v>1.4011438753705541</v>
      </c>
      <c r="BO59" s="39">
        <f>BI59/求节点(节奏总纲!AQ$4:AQ$83,$G$5:$G$84,节奏总纲!T58)</f>
        <v>1.40233879894498</v>
      </c>
    </row>
    <row r="60" spans="5:67" x14ac:dyDescent="0.15">
      <c r="E60" s="26">
        <v>56</v>
      </c>
      <c r="F60" s="26">
        <f>节奏总纲!$BL59</f>
        <v>102.85713143900996</v>
      </c>
      <c r="G60" s="26">
        <f>数据索引!$E61</f>
        <v>6.209402769683699E-5</v>
      </c>
      <c r="H60" s="26">
        <f>数据索引!J61</f>
        <v>1.1589116181895977E-4</v>
      </c>
      <c r="I60" s="54"/>
      <c r="J60" s="35">
        <v>56</v>
      </c>
      <c r="K60" s="55">
        <v>60</v>
      </c>
      <c r="L60" s="55">
        <f t="shared" si="2"/>
        <v>90</v>
      </c>
      <c r="M60" s="55"/>
      <c r="T60" s="35">
        <v>56</v>
      </c>
      <c r="U60" s="50">
        <f>INDEX($Q$5:$Q$21,MATCH(节奏总纲!BQ59,$N$5:$N$21,1))*(U$2+$K$2)*节奏总纲!W59*4*$C$5+U59</f>
        <v>202899856.02291629</v>
      </c>
      <c r="V60" s="50">
        <f>INDEX($Q$5:$Q$21,MATCH(节奏总纲!BR59,$N$5:$N$21,1))*(V$2+$K$2)*节奏总纲!X59*4*$C$5+V59</f>
        <v>629063417.94978058</v>
      </c>
      <c r="W60" s="50">
        <f>INDEX($Q$5:$Q$21,MATCH(节奏总纲!BS59,$N$5:$N$21,1))*(W$2+$K$2)*节奏总纲!Y59*4*$C$5+W59</f>
        <v>1280667177.6725428</v>
      </c>
      <c r="X60" s="50">
        <f>INDEX($Q$5:$Q$21,MATCH(节奏总纲!BT59,$N$5:$N$21,1))*(X$2+$K$2)*节奏总纲!Z59*4*$C$5+X59</f>
        <v>1913226982.2763267</v>
      </c>
      <c r="Y60" s="50">
        <f>INDEX($Q$5:$Q$21,MATCH(节奏总纲!BU59,$N$5:$N$21,1))*(Y$2+$K$2)*节奏总纲!AA59*4*$C$5+Y59</f>
        <v>1130206289.6416156</v>
      </c>
      <c r="Z60" s="51">
        <f>SUMIFS($K$5:$K$1004,$J$5:$J$1004,"&lt;="&amp;U$2)*节奏总纲!W59*4+Z59</f>
        <v>19001.172051333087</v>
      </c>
      <c r="AA60" s="51">
        <f>SUMIFS($K$5:$K$1004,$J$5:$J$1004,"&lt;="&amp;V$2)*节奏总纲!X59*4+AA59</f>
        <v>148591.0655586299</v>
      </c>
      <c r="AB60" s="51">
        <f>SUMIFS($K$5:$K$1004,$J$5:$J$1004,"&lt;="&amp;W$2)*节奏总纲!Y59*4+AB59</f>
        <v>365996.77581836766</v>
      </c>
      <c r="AC60" s="51">
        <f>SUMIFS($K$5:$K$1004,$J$5:$J$1004,"&lt;="&amp;X$2)*节奏总纲!Z59*4+AC59</f>
        <v>567960.2335519871</v>
      </c>
      <c r="AD60" s="51">
        <f>SUMIFS($K$5:$K$1004,$J$5:$J$1004,"&lt;="&amp;Y$2)*节奏总纲!AA59*4+AD59</f>
        <v>315497.36085753969</v>
      </c>
      <c r="AH60" s="35">
        <v>56</v>
      </c>
      <c r="AI60" s="47">
        <f>'[1]资源-木石铜粮'!AE61-U60</f>
        <v>-376041149.13518476</v>
      </c>
      <c r="AJ60" s="47">
        <f>'[1]资源-木石铜粮'!AF61-V60</f>
        <v>-578784081.44573379</v>
      </c>
      <c r="AK60" s="47">
        <f>'[1]资源-木石铜粮'!AG61-W60</f>
        <v>-994055418.79572332</v>
      </c>
      <c r="AL60" s="47">
        <f>'[1]资源-木石铜粮'!AH61-X60</f>
        <v>-1502159986.3432958</v>
      </c>
      <c r="AM60" s="47">
        <f>'[1]资源-木石铜粮'!AI61-Y60</f>
        <v>-584292354.22909856</v>
      </c>
      <c r="AN60" s="47">
        <f>(AI60-AI59)*IF($AH60&lt;=10,'[1]功能-付费相关'!S71,'[1]功能-付费相关'!S61)</f>
        <v>-2212.6587510847376</v>
      </c>
      <c r="AO60" s="47">
        <f>(AJ60-AJ59)*IF($AH60&lt;=10,'[1]功能-付费相关'!T71,'[1]功能-付费相关'!T61)</f>
        <v>-2952.8441587391644</v>
      </c>
      <c r="AP60" s="47">
        <f>(AK60-AK59)*IF($AH60&lt;=10,'[1]功能-付费相关'!U71,'[1]功能-付费相关'!U61)</f>
        <v>-4846.9624256958159</v>
      </c>
      <c r="AQ60" s="47">
        <f>(AL60-AL59)*IF($AH60&lt;=10,'[1]功能-付费相关'!V71,'[1]功能-付费相关'!V61)</f>
        <v>-6371.9581894788998</v>
      </c>
      <c r="AR60" s="47">
        <f>(AM60-AM59)*IF($AH60&lt;=10,'[1]功能-付费相关'!W71,'[1]功能-付费相关'!W61)</f>
        <v>-3097.9153542132231</v>
      </c>
      <c r="AS60" s="48">
        <f>SUM(AN$5:AN60)/'[1]资源-钻石'!L59</f>
        <v>-0.15843228732843367</v>
      </c>
      <c r="AT60" s="48">
        <f>SUM(AO$5:AO60)/'[1]资源-钻石'!M59</f>
        <v>-0.21278384755968185</v>
      </c>
      <c r="AU60" s="48">
        <f>SUM(AP$5:AP60)/'[1]资源-钻石'!N59</f>
        <v>-0.26793282690089826</v>
      </c>
      <c r="AV60" s="48">
        <f>SUM(AQ$5:AQ60)/'[1]资源-钻石'!O59</f>
        <v>-0.20535782061638599</v>
      </c>
      <c r="AW60" s="48">
        <f>SUM(AR$5:AR60)/'[1]资源-钻石'!P59</f>
        <v>-5.7915905787598886E-2</v>
      </c>
      <c r="AX60" s="35">
        <f>('[1]资源-木石铜粮'!C61+U60)/'[1]资源-木石铜粮'!U61</f>
        <v>1.4679901188708446</v>
      </c>
      <c r="AY60" s="35">
        <f>('[1]资源-木石铜粮'!D61+V60)/'[1]资源-木石铜粮'!V61</f>
        <v>1.6245373268994516</v>
      </c>
      <c r="AZ60" s="35">
        <f>('[1]资源-木石铜粮'!E61+W60)/'[1]资源-木石铜粮'!W61</f>
        <v>1.9433564891329445</v>
      </c>
      <c r="BA60" s="35">
        <f>('[1]资源-木石铜粮'!F61+X60)/'[1]资源-木石铜粮'!X61</f>
        <v>2.4464625997348159</v>
      </c>
      <c r="BB60" s="35">
        <f>('[1]资源-木石铜粮'!G61+Y60)/'[1]资源-木石铜粮'!Y61</f>
        <v>1.6035456993688344</v>
      </c>
      <c r="BE60" s="39">
        <f t="shared" si="13"/>
        <v>9.3648031219830047E-5</v>
      </c>
      <c r="BF60" s="39">
        <f t="shared" si="14"/>
        <v>2.3620999301296556E-4</v>
      </c>
      <c r="BG60" s="39">
        <f t="shared" si="15"/>
        <v>2.8578602013016561E-4</v>
      </c>
      <c r="BH60" s="39">
        <f t="shared" si="16"/>
        <v>2.9685982834939804E-4</v>
      </c>
      <c r="BI60" s="39">
        <f t="shared" si="17"/>
        <v>2.7915024341050408E-4</v>
      </c>
      <c r="BK60" s="39">
        <f>BE60/求节点(节奏总纲!AM$4:AM$83,$G$5:$G$84,节奏总纲!P59)</f>
        <v>0.40370170406162459</v>
      </c>
      <c r="BL60" s="39">
        <f>BF60/求节点(节奏总纲!AN$4:AN$83,$G$5:$G$84,节奏总纲!Q59)</f>
        <v>1.0503922833543962</v>
      </c>
      <c r="BM60" s="39">
        <f>BG60/求节点(节奏总纲!AO$4:AO$83,$G$5:$G$84,节奏总纲!R59)</f>
        <v>1.3152382833552103</v>
      </c>
      <c r="BN60" s="39">
        <f>BH60/求节点(节奏总纲!AP$4:AP$83,$G$5:$G$84,节奏总纲!S59)</f>
        <v>1.4176438616644382</v>
      </c>
      <c r="BO60" s="39">
        <f>BI60/求节点(节奏总纲!AQ$4:AQ$83,$G$5:$G$84,节奏总纲!T59)</f>
        <v>1.3878423257515247</v>
      </c>
    </row>
    <row r="61" spans="5:67" x14ac:dyDescent="0.15">
      <c r="E61" s="26">
        <v>57</v>
      </c>
      <c r="F61" s="26">
        <f>节奏总纲!$BL60</f>
        <v>104.93378702762401</v>
      </c>
      <c r="G61" s="26">
        <f>数据索引!$E62</f>
        <v>5.8984074340987159E-5</v>
      </c>
      <c r="H61" s="26">
        <f>数据索引!J62</f>
        <v>1.1035209568211307E-4</v>
      </c>
      <c r="I61" s="54"/>
      <c r="J61" s="35">
        <v>57</v>
      </c>
      <c r="K61" s="55">
        <v>60</v>
      </c>
      <c r="L61" s="55">
        <f t="shared" si="2"/>
        <v>90</v>
      </c>
      <c r="M61" s="55"/>
      <c r="T61" s="35">
        <v>57</v>
      </c>
      <c r="U61" s="50">
        <f>INDEX($Q$5:$Q$21,MATCH(节奏总纲!BQ60,$N$5:$N$21,1))*(U$2+$K$2)*节奏总纲!W60*4*$C$5+U60</f>
        <v>222029316.96721846</v>
      </c>
      <c r="V61" s="50">
        <f>INDEX($Q$5:$Q$21,MATCH(节奏总纲!BR60,$N$5:$N$21,1))*(V$2+$K$2)*节奏总纲!X60*4*$C$5+V60</f>
        <v>687435090.0740267</v>
      </c>
      <c r="W61" s="50">
        <f>INDEX($Q$5:$Q$21,MATCH(节奏总纲!BS60,$N$5:$N$21,1))*(W$2+$K$2)*节奏总纲!Y60*4*$C$5+W60</f>
        <v>1394046820.2469056</v>
      </c>
      <c r="X61" s="50">
        <f>INDEX($Q$5:$Q$21,MATCH(节奏总纲!BT60,$N$5:$N$21,1))*(X$2+$K$2)*节奏总纲!Z60*4*$C$5+X60</f>
        <v>2129574938.4085705</v>
      </c>
      <c r="Y61" s="50">
        <f>INDEX($Q$5:$Q$21,MATCH(节奏总纲!BU60,$N$5:$N$21,1))*(Y$2+$K$2)*节奏总纲!AA60*4*$C$5+Y60</f>
        <v>1250874356.2991595</v>
      </c>
      <c r="Z61" s="51">
        <f>SUMIFS($K$5:$K$1004,$J$5:$J$1004,"&lt;="&amp;U$2)*节奏总纲!W60*4+Z60</f>
        <v>20393.661346719629</v>
      </c>
      <c r="AA61" s="51">
        <f>SUMIFS($K$5:$K$1004,$J$5:$J$1004,"&lt;="&amp;V$2)*节奏总纲!X60*4+AA60</f>
        <v>159517.17968790629</v>
      </c>
      <c r="AB61" s="51">
        <f>SUMIFS($K$5:$K$1004,$J$5:$J$1004,"&lt;="&amp;W$2)*节奏总纲!Y60*4+AB60</f>
        <v>392212.93438624655</v>
      </c>
      <c r="AC61" s="51">
        <f>SUMIFS($K$5:$K$1004,$J$5:$J$1004,"&lt;="&amp;X$2)*节奏总纲!Z60*4+AC60</f>
        <v>607955.43840705894</v>
      </c>
      <c r="AD61" s="51">
        <f>SUMIFS($K$5:$K$1004,$J$5:$J$1004,"&lt;="&amp;Y$2)*节奏总纲!AA60*4+AD60</f>
        <v>337804.68527933327</v>
      </c>
      <c r="AH61" s="35">
        <v>57</v>
      </c>
      <c r="AI61" s="47">
        <f>'[1]资源-木石铜粮'!AE62-U61</f>
        <v>-411276647.76605231</v>
      </c>
      <c r="AJ61" s="47">
        <f>'[1]资源-木石铜粮'!AF62-V61</f>
        <v>-628537249.07946491</v>
      </c>
      <c r="AK61" s="47">
        <f>'[1]资源-木石铜粮'!AG62-W61</f>
        <v>-1076664064.5906038</v>
      </c>
      <c r="AL61" s="47">
        <f>'[1]资源-木石铜粮'!AH62-X61</f>
        <v>-1674438852.0243578</v>
      </c>
      <c r="AM61" s="47">
        <f>'[1]资源-木石铜粮'!AI62-Y61</f>
        <v>-646350073.00365877</v>
      </c>
      <c r="AN61" s="47">
        <f>(AI61-AI60)*IF($AH61&lt;=10,'[1]功能-付费相关'!S72,'[1]功能-付费相关'!S62)</f>
        <v>-2216.4780040606938</v>
      </c>
      <c r="AO61" s="47">
        <f>(AJ61-AJ60)*IF($AH61&lt;=10,'[1]功能-付费相关'!T72,'[1]功能-付费相关'!T62)</f>
        <v>-3052.3497653737199</v>
      </c>
      <c r="AP61" s="47">
        <f>(AK61-AK60)*IF($AH61&lt;=10,'[1]功能-付费相关'!U72,'[1]功能-付费相关'!U62)</f>
        <v>-4872.5945047735086</v>
      </c>
      <c r="AQ61" s="47">
        <f>(AL61-AL60)*IF($AH61&lt;=10,'[1]功能-付费相关'!V72,'[1]功能-付费相关'!V62)</f>
        <v>-9244.3202106428016</v>
      </c>
      <c r="AR61" s="47">
        <f>(AM61-AM60)*IF($AH61&lt;=10,'[1]功能-付费相关'!W72,'[1]功能-付费相关'!W62)</f>
        <v>-3189.9724563354639</v>
      </c>
      <c r="AS61" s="48">
        <f>SUM(AN$5:AN61)/'[1]资源-钻石'!L60</f>
        <v>-0.15515218426209174</v>
      </c>
      <c r="AT61" s="48">
        <f>SUM(AO$5:AO61)/'[1]资源-钻石'!M60</f>
        <v>-0.20697913634271703</v>
      </c>
      <c r="AU61" s="48">
        <f>SUM(AP$5:AP61)/'[1]资源-钻石'!N60</f>
        <v>-0.26047253318209762</v>
      </c>
      <c r="AV61" s="48">
        <f>SUM(AQ$5:AQ61)/'[1]资源-钻石'!O60</f>
        <v>-0.20277532588313349</v>
      </c>
      <c r="AW61" s="48">
        <f>SUM(AR$5:AR61)/'[1]资源-钻石'!P60</f>
        <v>-5.7021554769654162E-2</v>
      </c>
      <c r="AX61" s="35">
        <f>('[1]资源-木石铜粮'!C62+U61)/'[1]资源-木石铜粮'!U62</f>
        <v>1.4628340482409494</v>
      </c>
      <c r="AY61" s="35">
        <f>('[1]资源-木石铜粮'!D62+V61)/'[1]资源-木石铜粮'!V62</f>
        <v>1.6134517797189343</v>
      </c>
      <c r="AZ61" s="35">
        <f>('[1]资源-木石铜粮'!E62+W61)/'[1]资源-木石铜粮'!W62</f>
        <v>1.9274468752330614</v>
      </c>
      <c r="BA61" s="35">
        <f>('[1]资源-木石铜粮'!F62+X61)/'[1]资源-木石铜粮'!X62</f>
        <v>2.4628364987975795</v>
      </c>
      <c r="BB61" s="35">
        <f>('[1]资源-木石铜粮'!G62+Y61)/'[1]资源-木石铜粮'!Y62</f>
        <v>1.6058920847878555</v>
      </c>
      <c r="BE61" s="39">
        <f t="shared" si="13"/>
        <v>9.1851209674849625E-5</v>
      </c>
      <c r="BF61" s="39">
        <f t="shared" si="14"/>
        <v>2.3204689721429352E-4</v>
      </c>
      <c r="BG61" s="39">
        <f t="shared" si="15"/>
        <v>2.8134846598393303E-4</v>
      </c>
      <c r="BH61" s="39">
        <f t="shared" si="16"/>
        <v>2.8548205909174695E-4</v>
      </c>
      <c r="BI61" s="39">
        <f t="shared" si="17"/>
        <v>2.7005484889686539E-4</v>
      </c>
      <c r="BK61" s="39">
        <f>BE61/求节点(节奏总纲!AM$4:AM$83,$G$5:$G$84,节奏总纲!P60)</f>
        <v>0.40653683272678182</v>
      </c>
      <c r="BL61" s="39">
        <f>BF61/求节点(节奏总纲!AN$4:AN$83,$G$5:$G$84,节奏总纲!Q60)</f>
        <v>1.0606619152196799</v>
      </c>
      <c r="BM61" s="39">
        <f>BG61/求节点(节奏总纲!AO$4:AO$83,$G$5:$G$84,节奏总纲!R60)</f>
        <v>1.3284681974093842</v>
      </c>
      <c r="BN61" s="39">
        <f>BH61/求节点(节奏总纲!AP$4:AP$83,$G$5:$G$84,节奏总纲!S60)</f>
        <v>1.3989375498980843</v>
      </c>
      <c r="BO61" s="39">
        <f>BI61/求节点(节奏总纲!AQ$4:AQ$83,$G$5:$G$84,节奏总纲!T60)</f>
        <v>1.3810814812764745</v>
      </c>
    </row>
    <row r="62" spans="5:67" x14ac:dyDescent="0.15">
      <c r="E62" s="26">
        <v>58</v>
      </c>
      <c r="F62" s="26">
        <f>节奏总纲!$BL61</f>
        <v>107.0450185423547</v>
      </c>
      <c r="G62" s="26">
        <f>数据索引!$E63</f>
        <v>5.0834963772903262E-5</v>
      </c>
      <c r="H62" s="26">
        <f>数据索引!J63</f>
        <v>9.3393052547039438E-5</v>
      </c>
      <c r="I62" s="54"/>
      <c r="J62" s="35">
        <v>58</v>
      </c>
      <c r="K62" s="55">
        <v>60</v>
      </c>
      <c r="L62" s="55">
        <f t="shared" si="2"/>
        <v>90</v>
      </c>
      <c r="M62" s="55"/>
      <c r="T62" s="35">
        <v>58</v>
      </c>
      <c r="U62" s="50">
        <f>INDEX($Q$5:$Q$21,MATCH(节奏总纲!BQ61,$N$5:$N$21,1))*(U$2+$K$2)*节奏总纲!W61*4*$C$5+U61</f>
        <v>242531765.5599457</v>
      </c>
      <c r="V62" s="50">
        <f>INDEX($Q$5:$Q$21,MATCH(节奏总纲!BR61,$N$5:$N$21,1))*(V$2+$K$2)*节奏总纲!X61*4*$C$5+V61</f>
        <v>748011521.98209298</v>
      </c>
      <c r="W62" s="50">
        <f>INDEX($Q$5:$Q$21,MATCH(节奏总纲!BS61,$N$5:$N$21,1))*(W$2+$K$2)*节奏总纲!Y61*4*$C$5+W61</f>
        <v>1555809362.3628571</v>
      </c>
      <c r="X62" s="50">
        <f>INDEX($Q$5:$Q$21,MATCH(节奏总纲!BT61,$N$5:$N$21,1))*(X$2+$K$2)*节奏总纲!Z61*4*$C$5+X61</f>
        <v>2364843231.5704169</v>
      </c>
      <c r="Y62" s="50">
        <f>INDEX($Q$5:$Q$21,MATCH(节奏总纲!BU61,$N$5:$N$21,1))*(Y$2+$K$2)*节奏总纲!AA61*4*$C$5+Y61</f>
        <v>1379200055.1614659</v>
      </c>
      <c r="Z62" s="51">
        <f>SUMIFS($K$5:$K$1004,$J$5:$J$1004,"&lt;="&amp;U$2)*节奏总纲!W61*4+Z61</f>
        <v>21886.094420380767</v>
      </c>
      <c r="AA62" s="51">
        <f>SUMIFS($K$5:$K$1004,$J$5:$J$1004,"&lt;="&amp;V$2)*节奏总纲!X61*4+AA61</f>
        <v>170855.98470214452</v>
      </c>
      <c r="AB62" s="51">
        <f>SUMIFS($K$5:$K$1004,$J$5:$J$1004,"&lt;="&amp;W$2)*节奏总纲!Y61*4+AB61</f>
        <v>420265.53949791961</v>
      </c>
      <c r="AC62" s="51">
        <f>SUMIFS($K$5:$K$1004,$J$5:$J$1004,"&lt;="&amp;X$2)*节奏总纲!Z61*4+AC61</f>
        <v>651448.35486040171</v>
      </c>
      <c r="AD62" s="51">
        <f>SUMIFS($K$5:$K$1004,$J$5:$J$1004,"&lt;="&amp;Y$2)*节奏总纲!AA61*4+AD61</f>
        <v>361527.63929250173</v>
      </c>
      <c r="AH62" s="35">
        <v>58</v>
      </c>
      <c r="AI62" s="47">
        <f>'[1]资源-木石铜粮'!AE63-U62</f>
        <v>-451993499.6465379</v>
      </c>
      <c r="AJ62" s="47">
        <f>'[1]资源-木石铜粮'!AF63-V62</f>
        <v>-680716657.75809991</v>
      </c>
      <c r="AK62" s="47">
        <f>'[1]资源-木石铜粮'!AG63-W62</f>
        <v>-1206093300.4547956</v>
      </c>
      <c r="AL62" s="47">
        <f>'[1]资源-木石铜粮'!AH63-X62</f>
        <v>-1862161409.3998175</v>
      </c>
      <c r="AM62" s="47">
        <f>'[1]资源-木石铜粮'!AI63-Y62</f>
        <v>-711778625.42227387</v>
      </c>
      <c r="AN62" s="47">
        <f>(AI62-AI61)*IF($AH62&lt;=10,'[1]功能-付费相关'!S73,'[1]功能-付费相关'!S63)</f>
        <v>-2202.779149972047</v>
      </c>
      <c r="AO62" s="47">
        <f>(AJ62-AJ61)*IF($AH62&lt;=10,'[1]功能-付费相关'!T73,'[1]功能-付费相关'!T63)</f>
        <v>-2755.1030090849672</v>
      </c>
      <c r="AP62" s="47">
        <f>(AK62-AK61)*IF($AH62&lt;=10,'[1]功能-付费相关'!U73,'[1]功能-付费相关'!U63)</f>
        <v>-6579.5305163107405</v>
      </c>
      <c r="AQ62" s="47">
        <f>(AL62-AL61)*IF($AH62&lt;=10,'[1]功能-付费相关'!V73,'[1]功能-付费相关'!V63)</f>
        <v>-8713.7074360408878</v>
      </c>
      <c r="AR62" s="47">
        <f>(AM62-AM61)*IF($AH62&lt;=10,'[1]功能-付费相关'!W73,'[1]功能-付费相关'!W63)</f>
        <v>-2914.8618031444457</v>
      </c>
      <c r="AS62" s="48">
        <f>SUM(AN$5:AN62)/'[1]资源-钻石'!L61</f>
        <v>-0.1515710715310177</v>
      </c>
      <c r="AT62" s="48">
        <f>SUM(AO$5:AO62)/'[1]资源-钻石'!M61</f>
        <v>-0.20069555436478093</v>
      </c>
      <c r="AU62" s="48">
        <f>SUM(AP$5:AP62)/'[1]资源-钻石'!N61</f>
        <v>-0.25591564382475729</v>
      </c>
      <c r="AV62" s="48">
        <f>SUM(AQ$5:AQ62)/'[1]资源-钻石'!O61</f>
        <v>-0.19902551745827526</v>
      </c>
      <c r="AW62" s="48">
        <f>SUM(AR$5:AR62)/'[1]资源-钻石'!P61</f>
        <v>-5.5917674562822754E-2</v>
      </c>
      <c r="AX62" s="35">
        <f>('[1]资源-木石铜粮'!C63+U62)/'[1]资源-木石铜粮'!U63</f>
        <v>1.4599556014968456</v>
      </c>
      <c r="AY62" s="35">
        <f>('[1]资源-木石铜粮'!D63+V62)/'[1]资源-木石铜粮'!V63</f>
        <v>1.6018167351718189</v>
      </c>
      <c r="AZ62" s="35">
        <f>('[1]资源-木石铜粮'!E63+W62)/'[1]资源-木石铜粮'!W63</f>
        <v>1.9426889006943027</v>
      </c>
      <c r="BA62" s="35">
        <f>('[1]资源-木石铜粮'!F63+X62)/'[1]资源-木石铜粮'!X63</f>
        <v>2.4741155547274016</v>
      </c>
      <c r="BB62" s="35">
        <f>('[1]资源-木石铜粮'!G63+Y62)/'[1]资源-木石铜粮'!Y63</f>
        <v>1.6058396630928877</v>
      </c>
      <c r="BE62" s="39">
        <f t="shared" si="13"/>
        <v>9.0240115021020869E-5</v>
      </c>
      <c r="BF62" s="39">
        <f t="shared" si="14"/>
        <v>2.284135734292001E-4</v>
      </c>
      <c r="BG62" s="39">
        <f t="shared" si="15"/>
        <v>2.7012662969173098E-4</v>
      </c>
      <c r="BH62" s="39">
        <f t="shared" si="16"/>
        <v>2.7547211001711756E-4</v>
      </c>
      <c r="BI62" s="39">
        <f t="shared" si="17"/>
        <v>2.6212849828386711E-4</v>
      </c>
      <c r="BK62" s="39">
        <f>BE62/求节点(节奏总纲!AM$4:AM$83,$G$5:$G$84,节奏总纲!P61)</f>
        <v>0.41075975300816475</v>
      </c>
      <c r="BL62" s="39">
        <f>BF62/求节点(节奏总纲!AN$4:AN$83,$G$5:$G$84,节奏总纲!Q61)</f>
        <v>1.070258593080009</v>
      </c>
      <c r="BM62" s="39">
        <f>BG62/求节点(节奏总纲!AO$4:AO$83,$G$5:$G$84,节奏总纲!R61)</f>
        <v>1.3102391866416181</v>
      </c>
      <c r="BN62" s="39">
        <f>BH62/求节点(节奏总纲!AP$4:AP$83,$G$5:$G$84,节奏总纲!S61)</f>
        <v>1.3875047279865262</v>
      </c>
      <c r="BO62" s="39">
        <f>BI62/求节点(节奏总纲!AQ$4:AQ$83,$G$5:$G$84,节奏总纲!T61)</f>
        <v>1.3748032877940441</v>
      </c>
    </row>
    <row r="63" spans="5:67" x14ac:dyDescent="0.15">
      <c r="E63" s="26">
        <v>59</v>
      </c>
      <c r="F63" s="26">
        <f>节奏总纲!$BL62</f>
        <v>109.25629876969376</v>
      </c>
      <c r="G63" s="26">
        <f>数据索引!$E64</f>
        <v>4.8288838479858925E-5</v>
      </c>
      <c r="H63" s="26">
        <f>数据索引!J64</f>
        <v>8.8999654395467251E-5</v>
      </c>
      <c r="I63" s="54"/>
      <c r="J63" s="35">
        <v>59</v>
      </c>
      <c r="K63" s="55">
        <v>60</v>
      </c>
      <c r="L63" s="55">
        <f t="shared" si="2"/>
        <v>90</v>
      </c>
      <c r="M63" s="55"/>
      <c r="T63" s="35">
        <v>59</v>
      </c>
      <c r="U63" s="50">
        <f>INDEX($Q$5:$Q$21,MATCH(节奏总纲!BQ62,$N$5:$N$21,1))*(U$2+$K$2)*节奏总纲!W62*4*$C$5+U62</f>
        <v>264505745.87864578</v>
      </c>
      <c r="V63" s="50">
        <f>INDEX($Q$5:$Q$21,MATCH(节奏总纲!BR62,$N$5:$N$21,1))*(V$2+$K$2)*节奏总纲!X62*4*$C$5+V62</f>
        <v>837260391.74644148</v>
      </c>
      <c r="W63" s="50">
        <f>INDEX($Q$5:$Q$21,MATCH(节奏总纲!BS62,$N$5:$N$21,1))*(W$2+$K$2)*节奏总纲!Y62*4*$C$5+W62</f>
        <v>1731097230.5771716</v>
      </c>
      <c r="X63" s="50">
        <f>INDEX($Q$5:$Q$21,MATCH(节奏总纲!BT62,$N$5:$N$21,1))*(X$2+$K$2)*节奏总纲!Z62*4*$C$5+X62</f>
        <v>2615871768.6416359</v>
      </c>
      <c r="Y63" s="50">
        <f>INDEX($Q$5:$Q$21,MATCH(节奏总纲!BU62,$N$5:$N$21,1))*(Y$2+$K$2)*节奏总纲!AA62*4*$C$5+Y62</f>
        <v>1520679333.8355815</v>
      </c>
      <c r="Z63" s="51">
        <f>SUMIFS($K$5:$K$1004,$J$5:$J$1004,"&lt;="&amp;U$2)*节奏总纲!W62*4+Z62</f>
        <v>23485.644583342277</v>
      </c>
      <c r="AA63" s="51">
        <f>SUMIFS($K$5:$K$1004,$J$5:$J$1004,"&lt;="&amp;V$2)*节奏总纲!X62*4+AA62</f>
        <v>183385.30716456991</v>
      </c>
      <c r="AB63" s="51">
        <f>SUMIFS($K$5:$K$1004,$J$5:$J$1004,"&lt;="&amp;W$2)*节奏总纲!Y62*4+AB62</f>
        <v>450663.68534529657</v>
      </c>
      <c r="AC63" s="51">
        <f>SUMIFS($K$5:$K$1004,$J$5:$J$1004,"&lt;="&amp;X$2)*节奏总纲!Z62*4+AC62</f>
        <v>697854.79171389085</v>
      </c>
      <c r="AD63" s="51">
        <f>SUMIFS($K$5:$K$1004,$J$5:$J$1004,"&lt;="&amp;Y$2)*节奏总纲!AA62*4+AD62</f>
        <v>387682.23226614774</v>
      </c>
      <c r="AH63" s="35">
        <v>59</v>
      </c>
      <c r="AI63" s="47">
        <f>'[1]资源-木石铜粮'!AE64-U63</f>
        <v>-495149103.49362957</v>
      </c>
      <c r="AJ63" s="47">
        <f>'[1]资源-木石铜粮'!AF64-V63</f>
        <v>-760272529.58825362</v>
      </c>
      <c r="AK63" s="47">
        <f>'[1]资源-木石铜粮'!AG64-W63</f>
        <v>-1343854101.9700255</v>
      </c>
      <c r="AL63" s="47">
        <f>'[1]资源-木石铜粮'!AH64-X63</f>
        <v>-2060652927.9914479</v>
      </c>
      <c r="AM63" s="47">
        <f>'[1]资源-木石铜粮'!AI64-Y63</f>
        <v>-783154597.26821828</v>
      </c>
      <c r="AN63" s="47">
        <f>(AI63-AI62)*IF($AH63&lt;=10,'[1]功能-付费相关'!S74,'[1]功能-付费相关'!S64)</f>
        <v>-2217.3196024362733</v>
      </c>
      <c r="AO63" s="47">
        <f>(AJ63-AJ62)*IF($AH63&lt;=10,'[1]功能-付费相关'!T74,'[1]功能-付费相关'!T64)</f>
        <v>-3987.8239557504467</v>
      </c>
      <c r="AP63" s="47">
        <f>(AK63-AK62)*IF($AH63&lt;=10,'[1]功能-付费相关'!U74,'[1]功能-付费相关'!U64)</f>
        <v>-6652.3090932248433</v>
      </c>
      <c r="AQ63" s="47">
        <f>(AL63-AL62)*IF($AH63&lt;=10,'[1]功能-付费相关'!V74,'[1]功能-付费相关'!V64)</f>
        <v>-8746.1971838398022</v>
      </c>
      <c r="AR63" s="47">
        <f>(AM63-AM62)*IF($AH63&lt;=10,'[1]功能-付费相关'!W74,'[1]功能-付费相关'!W64)</f>
        <v>-3029.3708033303178</v>
      </c>
      <c r="AS63" s="48">
        <f>SUM(AN$5:AN63)/'[1]资源-钻石'!L62</f>
        <v>-0.14782098636021726</v>
      </c>
      <c r="AT63" s="48">
        <f>SUM(AO$5:AO63)/'[1]资源-钻石'!M62</f>
        <v>-0.19674877716060751</v>
      </c>
      <c r="AU63" s="48">
        <f>SUM(AP$5:AP63)/'[1]资源-钻石'!N62</f>
        <v>-0.2507803199803556</v>
      </c>
      <c r="AV63" s="48">
        <f>SUM(AQ$5:AQ63)/'[1]资源-钻石'!O62</f>
        <v>-0.19478563493389969</v>
      </c>
      <c r="AW63" s="48">
        <f>SUM(AR$5:AR63)/'[1]资源-钻石'!P62</f>
        <v>-5.4714003543572434E-2</v>
      </c>
      <c r="AX63" s="35">
        <f>('[1]资源-木石铜粮'!C64+U63)/'[1]资源-木石铜粮'!U64</f>
        <v>1.4552279473373944</v>
      </c>
      <c r="AY63" s="35">
        <f>('[1]资源-木石铜粮'!D64+V63)/'[1]资源-木石铜粮'!V64</f>
        <v>1.6076708793612597</v>
      </c>
      <c r="AZ63" s="35">
        <f>('[1]资源-木石铜粮'!E64+W63)/'[1]资源-木石铜粮'!W64</f>
        <v>1.9511358672289585</v>
      </c>
      <c r="BA63" s="35">
        <f>('[1]资源-木石铜粮'!F64+X63)/'[1]资源-木石铜粮'!X64</f>
        <v>2.4787811396957031</v>
      </c>
      <c r="BB63" s="35">
        <f>('[1]资源-木石铜粮'!G64+Y63)/'[1]资源-木石铜粮'!Y64</f>
        <v>1.6045647888357522</v>
      </c>
      <c r="BE63" s="39">
        <f t="shared" si="13"/>
        <v>8.8790678271758226E-5</v>
      </c>
      <c r="BF63" s="39">
        <f t="shared" si="14"/>
        <v>2.1903019535182656E-4</v>
      </c>
      <c r="BG63" s="39">
        <f t="shared" si="15"/>
        <v>2.6033412646327158E-4</v>
      </c>
      <c r="BH63" s="39">
        <f t="shared" si="16"/>
        <v>2.6677714102028453E-4</v>
      </c>
      <c r="BI63" s="39">
        <f t="shared" si="17"/>
        <v>2.5494015972999642E-4</v>
      </c>
      <c r="BK63" s="39">
        <f>BE63/求节点(节奏总纲!AM$4:AM$83,$G$5:$G$84,节奏总纲!P62)</f>
        <v>0.41442523497145489</v>
      </c>
      <c r="BL63" s="39">
        <f>BF63/求节点(节奏总纲!AN$4:AN$83,$G$5:$G$84,节奏总纲!Q62)</f>
        <v>1.0553876887574984</v>
      </c>
      <c r="BM63" s="39">
        <f>BG63/求节点(节奏总纲!AO$4:AO$83,$G$5:$G$84,节奏总纲!R62)</f>
        <v>1.2969793774794065</v>
      </c>
      <c r="BN63" s="39">
        <f>BH63/求节点(节奏总纲!AP$4:AP$83,$G$5:$G$84,节奏总纲!S62)</f>
        <v>1.3804470190466795</v>
      </c>
      <c r="BO63" s="39">
        <f>BI63/求节点(节奏总纲!AQ$4:AQ$83,$G$5:$G$84,节奏总纲!T62)</f>
        <v>1.3758665237329359</v>
      </c>
    </row>
    <row r="64" spans="5:67" x14ac:dyDescent="0.15">
      <c r="E64" s="26">
        <v>60</v>
      </c>
      <c r="F64" s="26">
        <f>节奏总纲!$BL63</f>
        <v>111.32275250484524</v>
      </c>
      <c r="G64" s="26">
        <f>数据索引!$E65</f>
        <v>4.6273500354743053E-5</v>
      </c>
      <c r="H64" s="26">
        <f>数据索引!J65</f>
        <v>8.5538083318197983E-5</v>
      </c>
      <c r="I64" s="54"/>
      <c r="J64" s="35">
        <v>60</v>
      </c>
      <c r="K64" s="55">
        <v>60</v>
      </c>
      <c r="L64" s="55">
        <f t="shared" si="2"/>
        <v>90</v>
      </c>
      <c r="M64" s="55"/>
      <c r="T64" s="35">
        <v>60</v>
      </c>
      <c r="U64" s="50">
        <f>INDEX($Q$5:$Q$21,MATCH(节奏总纲!BQ63,$N$5:$N$21,1))*(U$2+$K$2)*节奏总纲!W63*4*$C$5+U63</f>
        <v>288056874.85052288</v>
      </c>
      <c r="V64" s="50">
        <f>INDEX($Q$5:$Q$21,MATCH(节奏总纲!BR63,$N$5:$N$21,1))*(V$2+$K$2)*节奏总纲!X63*4*$C$5+V63</f>
        <v>930837106.79177737</v>
      </c>
      <c r="W64" s="50">
        <f>INDEX($Q$5:$Q$21,MATCH(节奏总纲!BS63,$N$5:$N$21,1))*(W$2+$K$2)*节奏总纲!Y63*4*$C$5+W63</f>
        <v>1917261041.2900529</v>
      </c>
      <c r="X64" s="50">
        <f>INDEX($Q$5:$Q$21,MATCH(节奏总纲!BT63,$N$5:$N$21,1))*(X$2+$K$2)*节奏总纲!Z63*4*$C$5+X63</f>
        <v>2887541787.9920788</v>
      </c>
      <c r="Y64" s="50">
        <f>INDEX($Q$5:$Q$21,MATCH(节奏总纲!BU63,$N$5:$N$21,1))*(Y$2+$K$2)*节奏总纲!AA63*4*$C$5+Y63</f>
        <v>1677644571.9990962</v>
      </c>
      <c r="Z64" s="51">
        <f>SUMIFS($K$5:$K$1004,$J$5:$J$1004,"&lt;="&amp;U$2)*节奏总纲!W63*4+Z63</f>
        <v>25199.999999999996</v>
      </c>
      <c r="AA64" s="51">
        <f>SUMIFS($K$5:$K$1004,$J$5:$J$1004,"&lt;="&amp;V$2)*节奏总纲!X63*4+AA63</f>
        <v>196522.20000000004</v>
      </c>
      <c r="AB64" s="51">
        <f>SUMIFS($K$5:$K$1004,$J$5:$J$1004,"&lt;="&amp;W$2)*节奏总纲!Y63*4+AB63</f>
        <v>482947.91999999987</v>
      </c>
      <c r="AC64" s="51">
        <f>SUMIFS($K$5:$K$1004,$J$5:$J$1004,"&lt;="&amp;X$2)*节奏总纲!Z63*4+AC63</f>
        <v>748077.12</v>
      </c>
      <c r="AD64" s="51">
        <f>SUMIFS($K$5:$K$1004,$J$5:$J$1004,"&lt;="&amp;Y$2)*节奏总纲!AA63*4+AD63</f>
        <v>416699.64</v>
      </c>
      <c r="AH64" s="35">
        <v>60</v>
      </c>
      <c r="AI64" s="47">
        <f>'[1]资源-木石铜粮'!AE65-U64</f>
        <v>-541567582.54608738</v>
      </c>
      <c r="AJ64" s="47">
        <f>'[1]资源-木石铜粮'!AF65-V64</f>
        <v>-845524151.40751004</v>
      </c>
      <c r="AK64" s="47">
        <f>'[1]资源-木石铜粮'!AG65-W64</f>
        <v>-1488331813.8684731</v>
      </c>
      <c r="AL64" s="47">
        <f>'[1]资源-木石铜粮'!AH65-X64</f>
        <v>-2274278454.6823025</v>
      </c>
      <c r="AM64" s="47">
        <f>'[1]资源-木石铜粮'!AI65-Y64</f>
        <v>-864588947.19897711</v>
      </c>
      <c r="AN64" s="47">
        <f>(AI64-AI63)*IF($AH64&lt;=10,'[1]功能-付费相关'!S75,'[1]功能-付费相关'!S65)</f>
        <v>-2284.2317771029034</v>
      </c>
      <c r="AO64" s="47">
        <f>(AJ64-AJ63)*IF($AH64&lt;=10,'[1]功能-付费相关'!T75,'[1]功能-付费相关'!T65)</f>
        <v>-4094.7030310697255</v>
      </c>
      <c r="AP64" s="47">
        <f>(AK64-AK63)*IF($AH64&lt;=10,'[1]功能-付费相关'!U75,'[1]功能-付费相关'!U65)</f>
        <v>-6685.4894527852757</v>
      </c>
      <c r="AQ64" s="47">
        <f>(AL64-AL63)*IF($AH64&lt;=10,'[1]功能-付费相关'!V75,'[1]功能-付费相关'!V65)</f>
        <v>-9035.7689124241642</v>
      </c>
      <c r="AR64" s="47">
        <f>(AM64-AM63)*IF($AH64&lt;=10,'[1]功能-付费相关'!W75,'[1]功能-付费相关'!W65)</f>
        <v>-3320.4671786245813</v>
      </c>
      <c r="AS64" s="48">
        <f>SUM(AN$5:AN64)/'[1]资源-钻石'!L63</f>
        <v>-0.1440698570660989</v>
      </c>
      <c r="AT64" s="48">
        <f>SUM(AO$5:AO64)/'[1]资源-钻石'!M63</f>
        <v>-0.192940787404522</v>
      </c>
      <c r="AU64" s="48">
        <f>SUM(AP$5:AP64)/'[1]资源-钻石'!N63</f>
        <v>-0.24540024414226905</v>
      </c>
      <c r="AV64" s="48">
        <f>SUM(AQ$5:AQ64)/'[1]资源-钻石'!O63</f>
        <v>-0.1898930167331524</v>
      </c>
      <c r="AW64" s="48">
        <f>SUM(AR$5:AR64)/'[1]资源-钻石'!P63</f>
        <v>-5.350176022301318E-2</v>
      </c>
      <c r="AX64" s="35">
        <f>('[1]资源-木石铜粮'!C65+U64)/'[1]资源-木石铜粮'!U65</f>
        <v>1.4501102810441699</v>
      </c>
      <c r="AY64" s="35">
        <f>('[1]资源-木石铜粮'!D65+V64)/'[1]资源-木石铜粮'!V65</f>
        <v>1.6111455889683997</v>
      </c>
      <c r="AZ64" s="35">
        <f>('[1]资源-木石铜粮'!E65+W64)/'[1]资源-木石铜粮'!W65</f>
        <v>1.9549363807653763</v>
      </c>
      <c r="BA64" s="35">
        <f>('[1]资源-木石铜粮'!F65+X64)/'[1]资源-木石铜粮'!X65</f>
        <v>2.4793081122513665</v>
      </c>
      <c r="BB64" s="35">
        <f>('[1]资源-木石铜粮'!G65+Y64)/'[1]资源-木石铜粮'!Y65</f>
        <v>1.6047508863809625</v>
      </c>
      <c r="BE64" s="39">
        <f t="shared" si="13"/>
        <v>8.748272372626643E-5</v>
      </c>
      <c r="BF64" s="39">
        <f t="shared" si="14"/>
        <v>2.1112415756322108E-4</v>
      </c>
      <c r="BG64" s="39">
        <f t="shared" si="15"/>
        <v>2.5189471313465084E-4</v>
      </c>
      <c r="BH64" s="39">
        <f t="shared" si="16"/>
        <v>2.5907057799506107E-4</v>
      </c>
      <c r="BI64" s="39">
        <f t="shared" si="17"/>
        <v>2.4838374406293759E-4</v>
      </c>
      <c r="BK64" s="39">
        <f>BE64/求节点(节奏总纲!AM$4:AM$83,$G$5:$G$84,节奏总纲!P63)</f>
        <v>0.41974424298301705</v>
      </c>
      <c r="BL64" s="39">
        <f>BF64/求节点(节奏总纲!AN$4:AN$83,$G$5:$G$84,节奏总纲!Q63)</f>
        <v>1.0439120916188036</v>
      </c>
      <c r="BM64" s="39">
        <f>BG64/求节点(节奏总纲!AO$4:AO$83,$G$5:$G$84,节奏总纲!R63)</f>
        <v>1.290985694387184</v>
      </c>
      <c r="BN64" s="39">
        <f>BH64/求节点(节奏总纲!AP$4:AP$83,$G$5:$G$84,节奏总纲!S63)</f>
        <v>1.3773276591223627</v>
      </c>
      <c r="BO64" s="39">
        <f>BI64/求节点(节奏总纲!AQ$4:AQ$83,$G$5:$G$84,节奏总纲!T63)</f>
        <v>1.3770838868597943</v>
      </c>
    </row>
    <row r="65" spans="5:67" x14ac:dyDescent="0.15">
      <c r="E65" s="26">
        <v>61</v>
      </c>
      <c r="F65" s="26">
        <f>节奏总纲!$BL64</f>
        <v>113.42974477170841</v>
      </c>
      <c r="G65" s="26">
        <f>数据索引!$E66</f>
        <v>4.53188896522189E-5</v>
      </c>
      <c r="H65" s="26">
        <f>数据索引!J66</f>
        <v>8.4017256633620325E-5</v>
      </c>
      <c r="I65" s="54"/>
      <c r="J65" s="35">
        <v>61</v>
      </c>
      <c r="K65" s="55">
        <v>60</v>
      </c>
      <c r="L65" s="55">
        <f t="shared" si="2"/>
        <v>90</v>
      </c>
      <c r="M65" s="55"/>
      <c r="T65" s="35">
        <v>61</v>
      </c>
      <c r="U65" s="50">
        <f>INDEX($Q$5:$Q$21,MATCH(节奏总纲!BQ64,$N$5:$N$21,1))*(U$2+$K$2)*节奏总纲!W64*4*$C$5+U64</f>
        <v>321712174.91029286</v>
      </c>
      <c r="V65" s="50">
        <f>INDEX($Q$5:$Q$21,MATCH(节奏总纲!BR64,$N$5:$N$21,1))*(V$2+$K$2)*节奏总纲!X64*4*$C$5+V64</f>
        <v>1033598552.1721284</v>
      </c>
      <c r="W65" s="50">
        <f>INDEX($Q$5:$Q$21,MATCH(节奏总纲!BS64,$N$5:$N$21,1))*(W$2+$K$2)*节奏总纲!Y64*4*$C$5+W64</f>
        <v>2120313563.1406634</v>
      </c>
      <c r="X65" s="50">
        <f>INDEX($Q$5:$Q$21,MATCH(节奏总纲!BT64,$N$5:$N$21,1))*(X$2+$K$2)*节奏总纲!Z64*4*$C$5+X64</f>
        <v>3185925679.5338058</v>
      </c>
      <c r="Y65" s="50">
        <f>INDEX($Q$5:$Q$21,MATCH(节奏总纲!BU64,$N$5:$N$21,1))*(Y$2+$K$2)*节奏总纲!AA64*4*$C$5+Y64</f>
        <v>1841161529.8015397</v>
      </c>
      <c r="Z65" s="51">
        <f>SUMIFS($K$5:$K$1004,$J$5:$J$1004,"&lt;="&amp;U$2)*节奏总纲!W64*4+Z64</f>
        <v>27037.400640929089</v>
      </c>
      <c r="AA65" s="51">
        <f>SUMIFS($K$5:$K$1004,$J$5:$J$1004,"&lt;="&amp;V$2)*节奏总纲!X64*4+AA64</f>
        <v>210948.50354059291</v>
      </c>
      <c r="AB65" s="51">
        <f>SUMIFS($K$5:$K$1004,$J$5:$J$1004,"&lt;="&amp;W$2)*节奏总纲!Y64*4+AB64</f>
        <v>518160.9683231496</v>
      </c>
      <c r="AC65" s="51">
        <f>SUMIFS($K$5:$K$1004,$J$5:$J$1004,"&lt;="&amp;X$2)*节奏总纲!Z64*4+AC64</f>
        <v>803237.91320097784</v>
      </c>
      <c r="AD65" s="51">
        <f>SUMIFS($K$5:$K$1004,$J$5:$J$1004,"&lt;="&amp;Y$2)*节奏总纲!AA64*4+AD64</f>
        <v>446928.23259455786</v>
      </c>
      <c r="AH65" s="35">
        <v>61</v>
      </c>
      <c r="AI65" s="47">
        <f>'[1]资源-木石铜粮'!AE66-U65</f>
        <v>-601882146.68254066</v>
      </c>
      <c r="AJ65" s="47">
        <f>'[1]资源-木石铜粮'!AF66-V65</f>
        <v>-941664489.30584908</v>
      </c>
      <c r="AK65" s="47">
        <f>'[1]资源-木石铜粮'!AG66-W65</f>
        <v>-1648089034.6798186</v>
      </c>
      <c r="AL65" s="47">
        <f>'[1]资源-木石铜粮'!AH66-X65</f>
        <v>-2512635549.7305546</v>
      </c>
      <c r="AM65" s="47">
        <f>'[1]资源-木石铜粮'!AI66-Y65</f>
        <v>-949480513.24040425</v>
      </c>
      <c r="AN65" s="47">
        <f>(AI65-AI64)*IF($AH65&lt;=10,'[1]功能-付费相关'!S76,'[1]功能-付费相关'!S66)</f>
        <v>-2905.8102102130306</v>
      </c>
      <c r="AO65" s="47">
        <f>(AJ65-AJ64)*IF($AH65&lt;=10,'[1]功能-付费相关'!T76,'[1]功能-付费相关'!T66)</f>
        <v>-4529.6829319021963</v>
      </c>
      <c r="AP65" s="47">
        <f>(AK65-AK64)*IF($AH65&lt;=10,'[1]功能-付费相关'!U76,'[1]功能-付费相关'!U66)</f>
        <v>-7240.019861094539</v>
      </c>
      <c r="AQ65" s="47">
        <f>(AL65-AL64)*IF($AH65&lt;=10,'[1]功能-付费相关'!V76,'[1]功能-付费相关'!V66)</f>
        <v>-9902.370952769259</v>
      </c>
      <c r="AR65" s="47">
        <f>(AM65-AM64)*IF($AH65&lt;=10,'[1]功能-付费相关'!W76,'[1]功能-付费相关'!W66)</f>
        <v>-3399.0504767199459</v>
      </c>
      <c r="AS65" s="48">
        <f>SUM(AN$5:AN65)/'[1]资源-钻石'!L64</f>
        <v>-0.14164532087939843</v>
      </c>
      <c r="AT65" s="48">
        <f>SUM(AO$5:AO65)/'[1]资源-钻石'!M64</f>
        <v>-0.1893460466747551</v>
      </c>
      <c r="AU65" s="48">
        <f>SUM(AP$5:AP65)/'[1]资源-钻石'!N64</f>
        <v>-0.24018372363873175</v>
      </c>
      <c r="AV65" s="48">
        <f>SUM(AQ$5:AQ65)/'[1]资源-钻石'!O64</f>
        <v>-0.18517174076628776</v>
      </c>
      <c r="AW65" s="48">
        <f>SUM(AR$5:AR65)/'[1]资源-钻石'!P64</f>
        <v>-5.2346388785999322E-2</v>
      </c>
      <c r="AX65" s="35">
        <f>('[1]资源-木石铜粮'!C66+U65)/'[1]资源-木石铜粮'!U66</f>
        <v>1.4510984398918871</v>
      </c>
      <c r="AY65" s="35">
        <f>('[1]资源-木石铜粮'!D66+V65)/'[1]资源-木石铜粮'!V66</f>
        <v>1.6141103854275543</v>
      </c>
      <c r="AZ65" s="35">
        <f>('[1]资源-木石铜粮'!E66+W65)/'[1]资源-木石铜粮'!W66</f>
        <v>1.9565063211333935</v>
      </c>
      <c r="BA65" s="35">
        <f>('[1]资源-木石铜粮'!F66+X65)/'[1]资源-木石铜粮'!X66</f>
        <v>2.4783764704223343</v>
      </c>
      <c r="BB65" s="35">
        <f>('[1]资源-木石铜粮'!G66+Y65)/'[1]资源-木石铜粮'!Y66</f>
        <v>1.6026849849578162</v>
      </c>
      <c r="BE65" s="39">
        <f t="shared" si="13"/>
        <v>8.4042205267700155E-5</v>
      </c>
      <c r="BF65" s="39">
        <f t="shared" si="14"/>
        <v>2.0409133033060111E-4</v>
      </c>
      <c r="BG65" s="39">
        <f t="shared" si="15"/>
        <v>2.4437940563641733E-4</v>
      </c>
      <c r="BH65" s="39">
        <f t="shared" si="16"/>
        <v>2.5212073161685146E-4</v>
      </c>
      <c r="BI65" s="39">
        <f t="shared" si="17"/>
        <v>2.4274254342188686E-4</v>
      </c>
      <c r="BK65" s="39">
        <f>BE65/求节点(节奏总纲!AM$4:AM$83,$G$5:$G$84,节奏总纲!P64)</f>
        <v>0.41402209598636025</v>
      </c>
      <c r="BL65" s="39">
        <f>BF65/求节点(节奏总纲!AN$4:AN$83,$G$5:$G$84,节奏总纲!Q64)</f>
        <v>1.0389936092008114</v>
      </c>
      <c r="BM65" s="39">
        <f>BG65/求节点(节奏总纲!AO$4:AO$83,$G$5:$G$84,节奏总纲!R64)</f>
        <v>1.2860136947931686</v>
      </c>
      <c r="BN65" s="39">
        <f>BH65/求节点(节奏总纲!AP$4:AP$83,$G$5:$G$84,节奏总纲!S64)</f>
        <v>1.3786739043039082</v>
      </c>
      <c r="BO65" s="39">
        <f>BI65/求节点(节奏总纲!AQ$4:AQ$83,$G$5:$G$84,节奏总纲!T64)</f>
        <v>1.3843070136273294</v>
      </c>
    </row>
    <row r="66" spans="5:67" x14ac:dyDescent="0.15">
      <c r="E66" s="26">
        <v>62</v>
      </c>
      <c r="F66" s="26">
        <f>节奏总纲!$BL65</f>
        <v>115.63935175516689</v>
      </c>
      <c r="G66" s="26">
        <f>数据索引!$E67</f>
        <v>4.4376765721861911E-5</v>
      </c>
      <c r="H66" s="26">
        <f>数据索引!J67</f>
        <v>8.2529718228708219E-5</v>
      </c>
      <c r="I66" s="54"/>
      <c r="J66" s="35">
        <v>62</v>
      </c>
      <c r="K66" s="55">
        <v>60</v>
      </c>
      <c r="L66" s="55">
        <f t="shared" si="2"/>
        <v>90</v>
      </c>
      <c r="M66" s="55"/>
      <c r="T66" s="35">
        <v>62</v>
      </c>
      <c r="U66" s="50">
        <f>INDEX($Q$5:$Q$21,MATCH(节奏总纲!BQ65,$N$5:$N$21,1))*(U$2+$K$2)*节奏总纲!W65*4*$C$5+U65</f>
        <v>357783032.38805079</v>
      </c>
      <c r="V66" s="50">
        <f>INDEX($Q$5:$Q$21,MATCH(节奏总纲!BR65,$N$5:$N$21,1))*(V$2+$K$2)*节奏总纲!X65*4*$C$5+V65</f>
        <v>1142485069.3948534</v>
      </c>
      <c r="W66" s="50">
        <f>INDEX($Q$5:$Q$21,MATCH(节奏总纲!BS65,$N$5:$N$21,1))*(W$2+$K$2)*节奏总纲!Y65*4*$C$5+W65</f>
        <v>2340197933.0107546</v>
      </c>
      <c r="X66" s="50">
        <f>INDEX($Q$5:$Q$21,MATCH(节奏总纲!BT65,$N$5:$N$21,1))*(X$2+$K$2)*节奏总纲!Z65*4*$C$5+X65</f>
        <v>3508655147.1251478</v>
      </c>
      <c r="Y66" s="50">
        <f>INDEX($Q$5:$Q$21,MATCH(节奏总纲!BU65,$N$5:$N$21,1))*(Y$2+$K$2)*节奏总纲!AA65*4*$C$5+Y65</f>
        <v>2028874255.6642408</v>
      </c>
      <c r="Z66" s="51">
        <f>SUMIFS($K$5:$K$1004,$J$5:$J$1004,"&lt;="&amp;U$2)*节奏总纲!W65*4+Z65</f>
        <v>29006.677887924085</v>
      </c>
      <c r="AA66" s="51">
        <f>SUMIFS($K$5:$K$1004,$J$5:$J$1004,"&lt;="&amp;V$2)*节奏总纲!X65*4+AA65</f>
        <v>226234.68351907519</v>
      </c>
      <c r="AB66" s="51">
        <f>SUMIFS($K$5:$K$1004,$J$5:$J$1004,"&lt;="&amp;W$2)*节奏总纲!Y65*4+AB65</f>
        <v>556292.96920239681</v>
      </c>
      <c r="AC66" s="51">
        <f>SUMIFS($K$5:$K$1004,$J$5:$J$1004,"&lt;="&amp;X$2)*节奏总纲!Z65*4+AC65</f>
        <v>862899.35581333213</v>
      </c>
      <c r="AD66" s="51">
        <f>SUMIFS($K$5:$K$1004,$J$5:$J$1004,"&lt;="&amp;Y$2)*节奏总纲!AA65*4+AD65</f>
        <v>481629.78031888028</v>
      </c>
      <c r="AH66" s="35">
        <v>62</v>
      </c>
      <c r="AI66" s="47">
        <f>'[1]资源-木石铜粮'!AE67-U66</f>
        <v>-666423278.5321312</v>
      </c>
      <c r="AJ66" s="47">
        <f>'[1]资源-木石铜粮'!AF67-V66</f>
        <v>-1047386068.4741158</v>
      </c>
      <c r="AK66" s="47">
        <f>'[1]资源-木石铜粮'!AG67-W66</f>
        <v>-1820016499.3083644</v>
      </c>
      <c r="AL66" s="47">
        <f>'[1]资源-木石铜粮'!AH67-X66</f>
        <v>-2771916932.6334052</v>
      </c>
      <c r="AM66" s="47">
        <f>'[1]资源-木石铜粮'!AI67-Y66</f>
        <v>-1048306828.5780206</v>
      </c>
      <c r="AN66" s="47">
        <f>(AI66-AI65)*IF($AH66&lt;=10,'[1]功能-付费相关'!S77,'[1]功能-付费相关'!S67)</f>
        <v>-3044.819180539896</v>
      </c>
      <c r="AO66" s="47">
        <f>(AJ66-AJ65)*IF($AH66&lt;=10,'[1]功能-付费相关'!T77,'[1]功能-付费相关'!T67)</f>
        <v>-4885.8103773195571</v>
      </c>
      <c r="AP66" s="47">
        <f>(AK66-AK65)*IF($AH66&lt;=10,'[1]功能-付费相关'!U77,'[1]功能-付费相关'!U67)</f>
        <v>-7629.5848189746757</v>
      </c>
      <c r="AQ66" s="47">
        <f>(AL66-AL65)*IF($AH66&lt;=10,'[1]功能-付费相关'!V77,'[1]功能-付费相关'!V67)</f>
        <v>-10579.608277810174</v>
      </c>
      <c r="AR66" s="47">
        <f>(AM66-AM65)*IF($AH66&lt;=10,'[1]功能-付费相关'!W77,'[1]功能-付费相关'!W67)</f>
        <v>-3884.6791480221095</v>
      </c>
      <c r="AS66" s="48">
        <f>SUM(AN$5:AN66)/'[1]资源-钻石'!L65</f>
        <v>-0.13921849666858715</v>
      </c>
      <c r="AT66" s="48">
        <f>SUM(AO$5:AO66)/'[1]资源-钻石'!M65</f>
        <v>-0.18617580826978899</v>
      </c>
      <c r="AU66" s="48">
        <f>SUM(AP$5:AP66)/'[1]资源-钻石'!N65</f>
        <v>-0.23495658766894303</v>
      </c>
      <c r="AV66" s="48">
        <f>SUM(AQ$5:AQ66)/'[1]资源-钻石'!O65</f>
        <v>-0.18061821340087433</v>
      </c>
      <c r="AW66" s="48">
        <f>SUM(AR$5:AR66)/'[1]资源-钻石'!P65</f>
        <v>-5.1163161611106497E-2</v>
      </c>
      <c r="AX66" s="35">
        <f>('[1]资源-木石铜粮'!C67+U66)/'[1]资源-木石铜粮'!U67</f>
        <v>1.4508460228175206</v>
      </c>
      <c r="AY66" s="35">
        <f>('[1]资源-木石铜粮'!D67+V66)/'[1]资源-木石铜粮'!V67</f>
        <v>1.6172400793457529</v>
      </c>
      <c r="AZ66" s="35">
        <f>('[1]资源-木石铜粮'!E67+W66)/'[1]资源-木石铜粮'!W67</f>
        <v>1.9557210366419515</v>
      </c>
      <c r="BA66" s="35">
        <f>('[1]资源-木石铜粮'!F67+X66)/'[1]资源-木石铜粮'!X67</f>
        <v>2.4762953036163604</v>
      </c>
      <c r="BB66" s="35">
        <f>('[1]资源-木石铜粮'!G67+Y66)/'[1]资源-木石铜粮'!Y67</f>
        <v>1.6011206100683752</v>
      </c>
      <c r="BE66" s="39">
        <f t="shared" si="13"/>
        <v>8.1073374816901598E-5</v>
      </c>
      <c r="BF66" s="39">
        <f t="shared" si="14"/>
        <v>1.9801981625799819E-4</v>
      </c>
      <c r="BG66" s="39">
        <f t="shared" si="15"/>
        <v>2.3771193083941601E-4</v>
      </c>
      <c r="BH66" s="39">
        <f t="shared" si="16"/>
        <v>2.459345018618765E-4</v>
      </c>
      <c r="BI66" s="39">
        <f t="shared" si="17"/>
        <v>2.373876936800096E-4</v>
      </c>
      <c r="BK66" s="39">
        <f>BE66/求节点(节奏总纲!AM$4:AM$83,$G$5:$G$84,节奏总纲!P65)</f>
        <v>0.41096028806601786</v>
      </c>
      <c r="BL66" s="39">
        <f>BF66/求节点(节奏总纲!AN$4:AN$83,$G$5:$G$84,节奏总纲!Q65)</f>
        <v>1.0348639611303689</v>
      </c>
      <c r="BM66" s="39">
        <f>BG66/求节点(节奏总纲!AO$4:AO$83,$G$5:$G$84,节奏总纲!R65)</f>
        <v>1.2880148252367229</v>
      </c>
      <c r="BN66" s="39">
        <f>BH66/求节点(节奏总纲!AP$4:AP$83,$G$5:$G$84,节奏总纲!S65)</f>
        <v>1.3822626662323423</v>
      </c>
      <c r="BO66" s="39">
        <f>BI66/求节点(节奏总纲!AQ$4:AQ$83,$G$5:$G$84,节奏总纲!T65)</f>
        <v>1.3923731024273258</v>
      </c>
    </row>
    <row r="67" spans="5:67" x14ac:dyDescent="0.15">
      <c r="E67" s="26">
        <v>63</v>
      </c>
      <c r="F67" s="26">
        <f>节奏总纲!$BL66</f>
        <v>117.73975971101574</v>
      </c>
      <c r="G67" s="26">
        <f>数据索引!$E68</f>
        <v>4.3445846872783104E-5</v>
      </c>
      <c r="H67" s="26">
        <f>数据索引!J68</f>
        <v>8.1063098258643334E-5</v>
      </c>
      <c r="I67" s="54"/>
      <c r="J67" s="35">
        <v>63</v>
      </c>
      <c r="K67" s="55">
        <v>60</v>
      </c>
      <c r="L67" s="55">
        <f t="shared" si="2"/>
        <v>90</v>
      </c>
      <c r="M67" s="55"/>
      <c r="T67" s="35">
        <v>63</v>
      </c>
      <c r="U67" s="50">
        <f>INDEX($Q$5:$Q$21,MATCH(节奏总纲!BQ66,$N$5:$N$21,1))*(U$2+$K$2)*节奏总纲!W66*4*$C$5+U66</f>
        <v>396442820.20364046</v>
      </c>
      <c r="V67" s="50">
        <f>INDEX($Q$5:$Q$21,MATCH(节奏总纲!BR66,$N$5:$N$21,1))*(V$2+$K$2)*节奏总纲!X66*4*$C$5+V66</f>
        <v>1261140496.6164331</v>
      </c>
      <c r="W67" s="50">
        <f>INDEX($Q$5:$Q$21,MATCH(节奏总纲!BS66,$N$5:$N$21,1))*(W$2+$K$2)*节奏总纲!Y66*4*$C$5+W66</f>
        <v>2575061756.6654181</v>
      </c>
      <c r="X67" s="50">
        <f>INDEX($Q$5:$Q$21,MATCH(节奏总纲!BT66,$N$5:$N$21,1))*(X$2+$K$2)*节奏总纲!Z66*4*$C$5+X66</f>
        <v>3857888108.6580219</v>
      </c>
      <c r="Y67" s="50">
        <f>INDEX($Q$5:$Q$21,MATCH(节奏总纲!BU66,$N$5:$N$21,1))*(Y$2+$K$2)*节奏总纲!AA66*4*$C$5+Y66</f>
        <v>2223241699.8607645</v>
      </c>
      <c r="Z67" s="51">
        <f>SUMIFS($K$5:$K$1004,$J$5:$J$1004,"&lt;="&amp;U$2)*节奏总纲!W66*4+Z66</f>
        <v>31117.296981629843</v>
      </c>
      <c r="AA67" s="51">
        <f>SUMIFS($K$5:$K$1004,$J$5:$J$1004,"&lt;="&amp;V$2)*节奏总纲!X66*4+AA66</f>
        <v>242892.28504950812</v>
      </c>
      <c r="AB67" s="51">
        <f>SUMIFS($K$5:$K$1004,$J$5:$J$1004,"&lt;="&amp;W$2)*节奏总纲!Y66*4+AB66</f>
        <v>597022.68334894639</v>
      </c>
      <c r="AC67" s="51">
        <f>SUMIFS($K$5:$K$1004,$J$5:$J$1004,"&lt;="&amp;X$2)*节奏总纲!Z66*4+AC66</f>
        <v>927460.37172657205</v>
      </c>
      <c r="AD67" s="51">
        <f>SUMIFS($K$5:$K$1004,$J$5:$J$1004,"&lt;="&amp;Y$2)*节奏总纲!AA66*4+AD66</f>
        <v>517561.55377665657</v>
      </c>
      <c r="AH67" s="35">
        <v>63</v>
      </c>
      <c r="AI67" s="47">
        <f>'[1]资源-木石铜粮'!AE68-U67</f>
        <v>-703971061.8556726</v>
      </c>
      <c r="AJ67" s="47">
        <f>'[1]资源-木石铜粮'!AF68-V67</f>
        <v>-1133113456.8615406</v>
      </c>
      <c r="AK67" s="47">
        <f>'[1]资源-木石铜粮'!AG68-W67</f>
        <v>-1982895367.0894125</v>
      </c>
      <c r="AL67" s="47">
        <f>'[1]资源-木石铜粮'!AH68-X67</f>
        <v>-3022085881.5284586</v>
      </c>
      <c r="AM67" s="47">
        <f>'[1]资源-木石铜粮'!AI68-Y67</f>
        <v>-1117282783.2405386</v>
      </c>
      <c r="AN67" s="47">
        <f>(AI67-AI66)*IF($AH67&lt;=10,'[1]功能-付费相关'!S78,'[1]功能-付费相关'!S68)</f>
        <v>-1734.4692128901847</v>
      </c>
      <c r="AO67" s="47">
        <f>(AJ67-AJ66)*IF($AH67&lt;=10,'[1]功能-付费相关'!T78,'[1]功能-付费相关'!T68)</f>
        <v>-3882.8461399656562</v>
      </c>
      <c r="AP67" s="47">
        <f>(AK67-AK66)*IF($AH67&lt;=10,'[1]功能-付费相关'!U78,'[1]功能-付费相关'!U68)</f>
        <v>-7076.4103484276993</v>
      </c>
      <c r="AQ67" s="47">
        <f>(AL67-AL66)*IF($AH67&lt;=10,'[1]功能-付费相关'!V78,'[1]功能-付费相关'!V68)</f>
        <v>-10025.659801951737</v>
      </c>
      <c r="AR67" s="47">
        <f>(AM67-AM66)*IF($AH67&lt;=10,'[1]功能-付费相关'!W78,'[1]功能-付费相关'!W68)</f>
        <v>-2662.0468853048715</v>
      </c>
      <c r="AS67" s="48">
        <f>SUM(AN$5:AN67)/'[1]资源-钻石'!L66</f>
        <v>-0.13375881064238196</v>
      </c>
      <c r="AT67" s="48">
        <f>SUM(AO$5:AO67)/'[1]资源-钻石'!M66</f>
        <v>-0.18065657334070248</v>
      </c>
      <c r="AU67" s="48">
        <f>SUM(AP$5:AP67)/'[1]资源-钻石'!N66</f>
        <v>-0.22869920535108498</v>
      </c>
      <c r="AV67" s="48">
        <f>SUM(AQ$5:AQ67)/'[1]资源-钻石'!O66</f>
        <v>-0.17536193153344742</v>
      </c>
      <c r="AW67" s="48">
        <f>SUM(AR$5:AR67)/'[1]资源-钻石'!P66</f>
        <v>-4.9414639458357112E-2</v>
      </c>
      <c r="AX67" s="35">
        <f>('[1]资源-木石铜粮'!C68+U67)/'[1]资源-木石铜粮'!U68</f>
        <v>1.4218222806388994</v>
      </c>
      <c r="AY67" s="35">
        <f>('[1]资源-木石铜粮'!D68+V67)/'[1]资源-木石铜粮'!V68</f>
        <v>1.5939302594290499</v>
      </c>
      <c r="AZ67" s="35">
        <f>('[1]资源-木石铜粮'!E68+W67)/'[1]资源-木石铜粮'!W68</f>
        <v>1.9301481100100595</v>
      </c>
      <c r="BA67" s="35">
        <f>('[1]资源-木石铜粮'!F68+X67)/'[1]资源-木石铜粮'!X68</f>
        <v>2.4363516790952562</v>
      </c>
      <c r="BB67" s="35">
        <f>('[1]资源-木石铜粮'!G68+Y67)/'[1]资源-木石铜粮'!Y68</f>
        <v>1.5719406371701796</v>
      </c>
      <c r="BE67" s="39">
        <f t="shared" si="13"/>
        <v>7.8491261276079729E-5</v>
      </c>
      <c r="BF67" s="39">
        <f t="shared" si="14"/>
        <v>1.9259732416901531E-4</v>
      </c>
      <c r="BG67" s="39">
        <f t="shared" si="15"/>
        <v>2.3184790881367531E-4</v>
      </c>
      <c r="BH67" s="39">
        <f t="shared" si="16"/>
        <v>2.4040623926990768E-4</v>
      </c>
      <c r="BI67" s="39">
        <f t="shared" si="17"/>
        <v>2.3279590060274149E-4</v>
      </c>
      <c r="BK67" s="39">
        <f>BE67/求节点(节奏总纲!AM$4:AM$83,$G$5:$G$84,节奏总纲!P66)</f>
        <v>0.40867905234073332</v>
      </c>
      <c r="BL67" s="39">
        <f>BF67/求节点(节奏总纲!AN$4:AN$83,$G$5:$G$84,节奏总纲!Q66)</f>
        <v>1.0358507560741039</v>
      </c>
      <c r="BM67" s="39">
        <f>BG67/求节点(节奏总纲!AO$4:AO$83,$G$5:$G$84,节奏总纲!R66)</f>
        <v>1.2894723744874603</v>
      </c>
      <c r="BN67" s="39">
        <f>BH67/求节点(节奏总纲!AP$4:AP$83,$G$5:$G$84,节奏总纲!S66)</f>
        <v>1.3904693853024028</v>
      </c>
      <c r="BO67" s="39">
        <f>BI67/求节点(节奏总纲!AQ$4:AQ$83,$G$5:$G$84,节奏总纲!T66)</f>
        <v>1.4052206187890115</v>
      </c>
    </row>
    <row r="68" spans="5:67" x14ac:dyDescent="0.15">
      <c r="E68" s="26">
        <v>64</v>
      </c>
      <c r="F68" s="26">
        <f>节奏总纲!$BL67</f>
        <v>119.82684914766305</v>
      </c>
      <c r="G68" s="26">
        <f>数据索引!$E69</f>
        <v>4.2535161342591128E-5</v>
      </c>
      <c r="H68" s="26">
        <f>数据索引!J69</f>
        <v>7.962480019845445E-5</v>
      </c>
      <c r="I68" s="54"/>
      <c r="J68" s="35">
        <v>64</v>
      </c>
      <c r="K68" s="55">
        <v>60</v>
      </c>
      <c r="L68" s="55">
        <f t="shared" si="2"/>
        <v>90</v>
      </c>
      <c r="M68" s="55"/>
      <c r="T68" s="35">
        <v>64</v>
      </c>
      <c r="U68" s="50">
        <f>INDEX($Q$5:$Q$21,MATCH(节奏总纲!BQ67,$N$5:$N$21,1))*(U$2+$K$2)*节奏总纲!W67*4*$C$5+U67</f>
        <v>437877354.85167336</v>
      </c>
      <c r="V68" s="50">
        <f>INDEX($Q$5:$Q$21,MATCH(节奏总纲!BR67,$N$5:$N$21,1))*(V$2+$K$2)*节奏总纲!X67*4*$C$5+V67</f>
        <v>1387559072.2992709</v>
      </c>
      <c r="W68" s="50">
        <f>INDEX($Q$5:$Q$21,MATCH(节奏总纲!BS67,$N$5:$N$21,1))*(W$2+$K$2)*节奏总纲!Y67*4*$C$5+W67</f>
        <v>2829488035.5050101</v>
      </c>
      <c r="X68" s="50">
        <f>INDEX($Q$5:$Q$21,MATCH(节奏总纲!BT67,$N$5:$N$21,1))*(X$2+$K$2)*节奏总纲!Z67*4*$C$5+X67</f>
        <v>4232893062.4502244</v>
      </c>
      <c r="Y68" s="50">
        <f>INDEX($Q$5:$Q$21,MATCH(节奏总纲!BU67,$N$5:$N$21,1))*(Y$2+$K$2)*节奏总纲!AA67*4*$C$5+Y67</f>
        <v>2425737556.4367452</v>
      </c>
      <c r="Z68" s="51">
        <f>SUMIFS($K$5:$K$1004,$J$5:$J$1004,"&lt;="&amp;U$2)*节奏总纲!W67*4+Z67</f>
        <v>33379.402515786074</v>
      </c>
      <c r="AA68" s="51">
        <f>SUMIFS($K$5:$K$1004,$J$5:$J$1004,"&lt;="&amp;V$2)*节奏总纲!X67*4+AA67</f>
        <v>260639.72660426408</v>
      </c>
      <c r="AB68" s="51">
        <f>SUMIFS($K$5:$K$1004,$J$5:$J$1004,"&lt;="&amp;W$2)*节奏总纲!Y67*4+AB67</f>
        <v>641144.88764271582</v>
      </c>
      <c r="AC68" s="51">
        <f>SUMIFS($K$5:$K$1004,$J$5:$J$1004,"&lt;="&amp;X$2)*节奏总纲!Z67*4+AC67</f>
        <v>996785.73174715869</v>
      </c>
      <c r="AD68" s="51">
        <f>SUMIFS($K$5:$K$1004,$J$5:$J$1004,"&lt;="&amp;Y$2)*节奏总纲!AA67*4+AD67</f>
        <v>554995.98768972361</v>
      </c>
      <c r="AH68" s="35">
        <v>64</v>
      </c>
      <c r="AI68" s="47">
        <f>'[1]资源-木石铜粮'!AE69-U68</f>
        <v>-705531648.88300085</v>
      </c>
      <c r="AJ68" s="47">
        <f>'[1]资源-木石铜粮'!AF69-V68</f>
        <v>-1192139130.9165621</v>
      </c>
      <c r="AK68" s="47">
        <f>'[1]资源-木石铜粮'!AG69-W68</f>
        <v>-2121246307.4450235</v>
      </c>
      <c r="AL68" s="47">
        <f>'[1]资源-木石铜粮'!AH69-X68</f>
        <v>-3253500021.672606</v>
      </c>
      <c r="AM68" s="47">
        <f>'[1]资源-木石铜粮'!AI69-Y68</f>
        <v>-1148798607.7661548</v>
      </c>
      <c r="AN68" s="47">
        <f>(AI68-AI67)*IF($AH68&lt;=10,'[1]功能-付费相关'!S79,'[1]功能-付费相关'!S69)</f>
        <v>-70.753638576577274</v>
      </c>
      <c r="AO68" s="47">
        <f>(AJ68-AJ67)*IF($AH68&lt;=10,'[1]功能-付费相关'!T79,'[1]功能-付费相关'!T69)</f>
        <v>-2619.4865394216217</v>
      </c>
      <c r="AP68" s="47">
        <f>(AK68-AK67)*IF($AH68&lt;=10,'[1]功能-付费相关'!U79,'[1]功能-付费相关'!U69)</f>
        <v>-5884.7795699251192</v>
      </c>
      <c r="AQ68" s="47">
        <f>(AL68-AL67)*IF($AH68&lt;=10,'[1]功能-付费相关'!V79,'[1]功能-付费相关'!V69)</f>
        <v>-9109.0423059582172</v>
      </c>
      <c r="AR68" s="47">
        <f>(AM68-AM67)*IF($AH68&lt;=10,'[1]功能-付费相关'!W79,'[1]功能-付费相关'!W69)</f>
        <v>-1194.2003318486279</v>
      </c>
      <c r="AS68" s="48">
        <f>SUM(AN$5:AN68)/'[1]资源-钻石'!L67</f>
        <v>-0.12516237432472546</v>
      </c>
      <c r="AT68" s="48">
        <f>SUM(AO$5:AO68)/'[1]资源-钻石'!M67</f>
        <v>-0.17306319939463577</v>
      </c>
      <c r="AU68" s="48">
        <f>SUM(AP$5:AP68)/'[1]资源-钻石'!N67</f>
        <v>-0.2206420911285511</v>
      </c>
      <c r="AV68" s="48">
        <f>SUM(AQ$5:AQ68)/'[1]资源-钻石'!O67</f>
        <v>-0.16940187243239455</v>
      </c>
      <c r="AW68" s="48">
        <f>SUM(AR$5:AR68)/'[1]资源-钻石'!P67</f>
        <v>-4.7072937288394651E-2</v>
      </c>
      <c r="AX68" s="35">
        <f>('[1]资源-木石铜粮'!C69+U68)/'[1]资源-木石铜粮'!U69</f>
        <v>1.368212244802486</v>
      </c>
      <c r="AY68" s="35">
        <f>('[1]资源-木石铜粮'!D69+V68)/'[1]资源-木石铜粮'!V69</f>
        <v>1.5482383518487706</v>
      </c>
      <c r="AZ68" s="35">
        <f>('[1]资源-木石铜粮'!E69+W68)/'[1]资源-木石铜粮'!W69</f>
        <v>1.8769691189899966</v>
      </c>
      <c r="BA68" s="35">
        <f>('[1]资源-木石铜粮'!F69+X68)/'[1]资源-木石铜粮'!X69</f>
        <v>2.3612334597484335</v>
      </c>
      <c r="BB68" s="35">
        <f>('[1]资源-木石铜粮'!G69+Y68)/'[1]资源-木石铜粮'!Y69</f>
        <v>1.5184913986317452</v>
      </c>
      <c r="BE68" s="39">
        <f t="shared" si="13"/>
        <v>7.6230026846428299E-5</v>
      </c>
      <c r="BF68" s="39">
        <f t="shared" si="14"/>
        <v>1.8784045436881329E-4</v>
      </c>
      <c r="BG68" s="39">
        <f t="shared" si="15"/>
        <v>2.2659395607880123E-4</v>
      </c>
      <c r="BH68" s="39">
        <f t="shared" si="16"/>
        <v>2.3548568722172393E-4</v>
      </c>
      <c r="BI68" s="39">
        <f t="shared" si="17"/>
        <v>2.2879473759105975E-4</v>
      </c>
      <c r="BK68" s="39">
        <f>BE68/求节点(节奏总纲!AM$4:AM$83,$G$5:$G$84,节奏总纲!P67)</f>
        <v>0.40816177167825357</v>
      </c>
      <c r="BL68" s="39">
        <f>BF68/求节点(节奏总纲!AN$4:AN$83,$G$5:$G$84,节奏总纲!Q67)</f>
        <v>1.0375835007546199</v>
      </c>
      <c r="BM68" s="39">
        <f>BG68/求节点(节奏总纲!AO$4:AO$83,$G$5:$G$84,节奏总纲!R67)</f>
        <v>1.2974306940909937</v>
      </c>
      <c r="BN68" s="39">
        <f>BH68/求节点(节奏总纲!AP$4:AP$83,$G$5:$G$84,节奏总纲!S67)</f>
        <v>1.3997026821738614</v>
      </c>
      <c r="BO68" s="39">
        <f>BI68/求节点(节奏总纲!AQ$4:AQ$83,$G$5:$G$84,节奏总纲!T67)</f>
        <v>1.4178320247412988</v>
      </c>
    </row>
    <row r="69" spans="5:67" x14ac:dyDescent="0.15">
      <c r="E69" s="26">
        <v>65</v>
      </c>
      <c r="F69" s="26">
        <f>节奏总纲!$BL68</f>
        <v>122.04564028811234</v>
      </c>
      <c r="G69" s="26">
        <f>数据索引!$E70</f>
        <v>4.1629406417793324E-5</v>
      </c>
      <c r="H69" s="26">
        <f>数据索引!J70</f>
        <v>7.8202052581528169E-5</v>
      </c>
      <c r="I69" s="54"/>
      <c r="J69" s="35">
        <v>65</v>
      </c>
      <c r="K69" s="55">
        <v>60</v>
      </c>
      <c r="L69" s="55">
        <f t="shared" si="2"/>
        <v>90</v>
      </c>
      <c r="M69" s="55"/>
      <c r="T69" s="35">
        <v>65</v>
      </c>
      <c r="U69" s="50">
        <f>INDEX($Q$5:$Q$21,MATCH(节奏总纲!BQ68,$N$5:$N$21,1))*(U$2+$K$2)*节奏总纲!W68*4*$C$5+U68</f>
        <v>482285789.51997572</v>
      </c>
      <c r="V69" s="50">
        <f>INDEX($Q$5:$Q$21,MATCH(节奏总纲!BR68,$N$5:$N$21,1))*(V$2+$K$2)*节奏总纲!X68*4*$C$5+V68</f>
        <v>1522180190.7169037</v>
      </c>
      <c r="W69" s="50">
        <f>INDEX($Q$5:$Q$21,MATCH(节奏总纲!BS68,$N$5:$N$21,1))*(W$2+$K$2)*节奏总纲!Y68*4*$C$5+W68</f>
        <v>3105825565.1693335</v>
      </c>
      <c r="X69" s="50">
        <f>INDEX($Q$5:$Q$21,MATCH(节奏总纲!BT68,$N$5:$N$21,1))*(X$2+$K$2)*节奏总纲!Z68*4*$C$5+X68</f>
        <v>4628946110.2988453</v>
      </c>
      <c r="Y69" s="50">
        <f>INDEX($Q$5:$Q$21,MATCH(节奏总纲!BU68,$N$5:$N$21,1))*(Y$2+$K$2)*节奏总纲!AA68*4*$C$5+Y68</f>
        <v>2629444194.4372492</v>
      </c>
      <c r="Z69" s="51">
        <f>SUMIFS($K$5:$K$1004,$J$5:$J$1004,"&lt;="&amp;U$2)*节奏总纲!W68*4+Z68</f>
        <v>35803.86719675122</v>
      </c>
      <c r="AA69" s="51">
        <f>SUMIFS($K$5:$K$1004,$J$5:$J$1004,"&lt;="&amp;V$2)*节奏总纲!X68*4+AA68</f>
        <v>279538.69313863525</v>
      </c>
      <c r="AB69" s="51">
        <f>SUMIFS($K$5:$K$1004,$J$5:$J$1004,"&lt;="&amp;W$2)*节奏总纲!Y68*4+AB68</f>
        <v>689066.9065217952</v>
      </c>
      <c r="AC69" s="51">
        <f>SUMIFS($K$5:$K$1004,$J$5:$J$1004,"&lt;="&amp;X$2)*节奏总纲!Z68*4+AC68</f>
        <v>1070002.15156163</v>
      </c>
      <c r="AD69" s="51">
        <f>SUMIFS($K$5:$K$1004,$J$5:$J$1004,"&lt;="&amp;Y$2)*节奏总纲!AA68*4+AD68</f>
        <v>592654.25293438369</v>
      </c>
      <c r="AH69" s="35">
        <v>65</v>
      </c>
      <c r="AI69" s="47">
        <f>'[1]资源-木石铜粮'!AE70-U69</f>
        <v>-710869997.61064577</v>
      </c>
      <c r="AJ69" s="47">
        <f>'[1]资源-木石铜粮'!AF70-V69</f>
        <v>-1240177659.0797715</v>
      </c>
      <c r="AK69" s="47">
        <f>'[1]资源-木石铜粮'!AG70-W69</f>
        <v>-2276471864.2606764</v>
      </c>
      <c r="AL69" s="47">
        <f>'[1]资源-木石铜粮'!AH70-X69</f>
        <v>-3488246640.0787191</v>
      </c>
      <c r="AM69" s="47">
        <f>'[1]资源-木石铜粮'!AI70-Y69</f>
        <v>-1164333804.3069468</v>
      </c>
      <c r="AN69" s="47">
        <f>(AI69-AI68)*IF($AH69&lt;=10,'[1]功能-付费相关'!S80,'[1]功能-付费相关'!S70)</f>
        <v>-237.51928207090435</v>
      </c>
      <c r="AO69" s="47">
        <f>(AJ69-AJ68)*IF($AH69&lt;=10,'[1]功能-付费相关'!T80,'[1]功能-付费相关'!T70)</f>
        <v>-2089.3166734616998</v>
      </c>
      <c r="AP69" s="47">
        <f>(AK69-AK68)*IF($AH69&lt;=10,'[1]功能-付费相关'!U80,'[1]功能-付费相关'!U70)</f>
        <v>-6461.9477911070808</v>
      </c>
      <c r="AQ69" s="47">
        <f>(AL69-AL68)*IF($AH69&lt;=10,'[1]功能-付费相关'!V80,'[1]功能-付费相关'!V70)</f>
        <v>-9077.2920779405104</v>
      </c>
      <c r="AR69" s="47">
        <f>(AM69-AM68)*IF($AH69&lt;=10,'[1]功能-付费相关'!W80,'[1]功能-付费相关'!W70)</f>
        <v>-578.41750032400535</v>
      </c>
      <c r="AS69" s="48">
        <f>SUM(AN$5:AN69)/'[1]资源-钻石'!L68</f>
        <v>-0.11740821773244144</v>
      </c>
      <c r="AT69" s="48">
        <f>SUM(AO$5:AO69)/'[1]资源-钻石'!M68</f>
        <v>-0.1649389873706045</v>
      </c>
      <c r="AU69" s="48">
        <f>SUM(AP$5:AP69)/'[1]资源-钻石'!N68</f>
        <v>-0.21309688011755665</v>
      </c>
      <c r="AV69" s="48">
        <f>SUM(AQ$5:AQ69)/'[1]资源-钻石'!O68</f>
        <v>-0.16359425055478116</v>
      </c>
      <c r="AW69" s="48">
        <f>SUM(AR$5:AR69)/'[1]资源-钻石'!P68</f>
        <v>-4.4706908555722333E-2</v>
      </c>
      <c r="AX69" s="35">
        <f>('[1]资源-木石铜粮'!C70+U69)/'[1]资源-木石铜粮'!U70</f>
        <v>1.3250012279055743</v>
      </c>
      <c r="AY69" s="35">
        <f>('[1]资源-木石铜粮'!D70+V69)/'[1]资源-木石铜粮'!V70</f>
        <v>1.5003238193273785</v>
      </c>
      <c r="AZ69" s="35">
        <f>('[1]资源-木石铜粮'!E70+W69)/'[1]资源-木石铜粮'!W70</f>
        <v>1.8303452709761312</v>
      </c>
      <c r="BA69" s="35">
        <f>('[1]资源-木石铜粮'!F70+X69)/'[1]资源-木石铜粮'!X70</f>
        <v>2.2896357017060547</v>
      </c>
      <c r="BB69" s="35">
        <f>('[1]资源-木石铜粮'!G70+Y69)/'[1]资源-木石铜粮'!Y70</f>
        <v>1.466225762658846</v>
      </c>
      <c r="BE69" s="39">
        <f t="shared" si="13"/>
        <v>7.4237864715830001E-5</v>
      </c>
      <c r="BF69" s="39">
        <f t="shared" si="14"/>
        <v>1.8364362829277161E-4</v>
      </c>
      <c r="BG69" s="39">
        <f t="shared" si="15"/>
        <v>2.2186271960969786E-4</v>
      </c>
      <c r="BH69" s="39">
        <f t="shared" si="16"/>
        <v>2.3115459244189612E-4</v>
      </c>
      <c r="BI69" s="39">
        <f t="shared" si="17"/>
        <v>2.2539145504140389E-4</v>
      </c>
      <c r="BK69" s="39">
        <f>BE69/求节点(节奏总纲!AM$4:AM$83,$G$5:$G$84,节奏总纲!P68)</f>
        <v>0.40838101854640096</v>
      </c>
      <c r="BL69" s="39">
        <f>BF69/求节点(节奏总纲!AN$4:AN$83,$G$5:$G$84,节奏总纲!Q68)</f>
        <v>1.0430097172636077</v>
      </c>
      <c r="BM69" s="39">
        <f>BG69/求节点(节奏总纲!AO$4:AO$83,$G$5:$G$84,节奏总纲!R68)</f>
        <v>1.30467328655635</v>
      </c>
      <c r="BN69" s="39">
        <f>BH69/求节点(节奏总纲!AP$4:AP$83,$G$5:$G$84,节奏总纲!S68)</f>
        <v>1.4133693540619499</v>
      </c>
      <c r="BO69" s="39">
        <f>BI69/求节点(节奏总纲!AQ$4:AQ$83,$G$5:$G$84,节奏总纲!T68)</f>
        <v>1.4331937846559495</v>
      </c>
    </row>
    <row r="70" spans="5:67" x14ac:dyDescent="0.15">
      <c r="E70" s="26">
        <v>66</v>
      </c>
      <c r="F70" s="26">
        <f>节奏总纲!$BL69</f>
        <v>124.09865268465654</v>
      </c>
      <c r="G70" s="26">
        <f>数据索引!$E71</f>
        <v>4.0761984989265212E-5</v>
      </c>
      <c r="H70" s="26">
        <f>数据索引!J71</f>
        <v>7.6819852937272444E-5</v>
      </c>
      <c r="I70" s="54"/>
      <c r="J70" s="35">
        <v>66</v>
      </c>
      <c r="K70" s="55">
        <v>60</v>
      </c>
      <c r="L70" s="55">
        <f t="shared" ref="L70:L133" si="30">K70*1.5</f>
        <v>90</v>
      </c>
      <c r="M70" s="55"/>
      <c r="T70" s="35">
        <v>66</v>
      </c>
      <c r="U70" s="50">
        <f>INDEX($Q$5:$Q$21,MATCH(节奏总纲!BQ69,$N$5:$N$21,1))*(U$2+$K$2)*节奏总纲!W69*4*$C$5+U69</f>
        <v>529881571.31023872</v>
      </c>
      <c r="V70" s="50">
        <f>INDEX($Q$5:$Q$21,MATCH(节奏总纲!BR69,$N$5:$N$21,1))*(V$2+$K$2)*节奏总纲!X69*4*$C$5+V69</f>
        <v>1668416232.915916</v>
      </c>
      <c r="W70" s="50">
        <f>INDEX($Q$5:$Q$21,MATCH(节奏总纲!BS69,$N$5:$N$21,1))*(W$2+$K$2)*节奏总纲!Y69*4*$C$5+W69</f>
        <v>3397786268.9681234</v>
      </c>
      <c r="X70" s="50">
        <f>INDEX($Q$5:$Q$21,MATCH(节奏总纲!BT69,$N$5:$N$21,1))*(X$2+$K$2)*节奏总纲!Z69*4*$C$5+X69</f>
        <v>5027699730.7974701</v>
      </c>
      <c r="Y70" s="50">
        <f>INDEX($Q$5:$Q$21,MATCH(节奏总纲!BU69,$N$5:$N$21,1))*(Y$2+$K$2)*节奏总纲!AA69*4*$C$5+Y69</f>
        <v>2934930873.1284499</v>
      </c>
      <c r="Z70" s="51">
        <f>SUMIFS($K$5:$K$1004,$J$5:$J$1004,"&lt;="&amp;U$2)*节奏总纲!W69*4+Z69</f>
        <v>38402.344102666175</v>
      </c>
      <c r="AA70" s="51">
        <f>SUMIFS($K$5:$K$1004,$J$5:$J$1004,"&lt;="&amp;V$2)*节奏总纲!X69*4+AA69</f>
        <v>300068.236349413</v>
      </c>
      <c r="AB70" s="51">
        <f>SUMIFS($K$5:$K$1004,$J$5:$J$1004,"&lt;="&amp;W$2)*节奏总纲!Y69*4+AB69</f>
        <v>739698.27163673518</v>
      </c>
      <c r="AC70" s="51">
        <f>SUMIFS($K$5:$K$1004,$J$5:$J$1004,"&lt;="&amp;X$2)*节奏总纲!Z69*4+AC69</f>
        <v>1143717.8132376554</v>
      </c>
      <c r="AD70" s="51">
        <f>SUMIFS($K$5:$K$1004,$J$5:$J$1004,"&lt;="&amp;Y$2)*节奏总纲!AA69*4+AD69</f>
        <v>635009.64137845719</v>
      </c>
      <c r="AH70" s="35">
        <v>66</v>
      </c>
      <c r="AI70" s="47">
        <f>'[1]资源-木石铜粮'!AE71-U70</f>
        <v>-717540638.83654201</v>
      </c>
      <c r="AJ70" s="47">
        <f>'[1]资源-木石铜粮'!AF71-V70</f>
        <v>-1287732878.1075335</v>
      </c>
      <c r="AK70" s="47">
        <f>'[1]资源-木石铜粮'!AG71-W70</f>
        <v>-2432819841.9520512</v>
      </c>
      <c r="AL70" s="47">
        <f>'[1]资源-木石铜粮'!AH71-X70</f>
        <v>-3710033832.6302676</v>
      </c>
      <c r="AM70" s="47">
        <f>'[1]资源-木石铜粮'!AI71-Y70</f>
        <v>-1255166213.7119777</v>
      </c>
      <c r="AN70" s="47">
        <f>(AI70-AI69)*IF($AH70&lt;=10,'[1]功能-付费相关'!S81,'[1]功能-付费相关'!S71)</f>
        <v>-291.59152658977524</v>
      </c>
      <c r="AO70" s="47">
        <f>(AJ70-AJ69)*IF($AH70&lt;=10,'[1]功能-付费相关'!T81,'[1]功能-付费相关'!T71)</f>
        <v>-2028.9004850124606</v>
      </c>
      <c r="AP70" s="47">
        <f>(AK70-AK69)*IF($AH70&lt;=10,'[1]功能-付费相关'!U81,'[1]功能-付费相关'!U71)</f>
        <v>-6373.0539197577909</v>
      </c>
      <c r="AQ70" s="47">
        <f>(AL70-AL69)*IF($AH70&lt;=10,'[1]功能-付费相关'!V81,'[1]功能-付费相关'!V71)</f>
        <v>-8426.3636062877613</v>
      </c>
      <c r="AR70" s="47">
        <f>(AM70-AM69)*IF($AH70&lt;=10,'[1]功能-付费相关'!W81,'[1]功能-付费相关'!W71)</f>
        <v>-3322.6366024608474</v>
      </c>
      <c r="AS70" s="48">
        <f>SUM(AN$5:AN70)/'[1]资源-钻石'!L69</f>
        <v>-0.11203774718829428</v>
      </c>
      <c r="AT70" s="48">
        <f>SUM(AO$5:AO70)/'[1]资源-钻石'!M69</f>
        <v>-0.15689489969141585</v>
      </c>
      <c r="AU70" s="48">
        <f>SUM(AP$5:AP70)/'[1]资源-钻石'!N69</f>
        <v>-0.20567576914639948</v>
      </c>
      <c r="AV70" s="48">
        <f>SUM(AQ$5:AQ70)/'[1]资源-钻石'!O69</f>
        <v>-0.15807796354560882</v>
      </c>
      <c r="AW70" s="48">
        <f>SUM(AR$5:AR70)/'[1]资源-钻石'!P69</f>
        <v>-4.3438182098429617E-2</v>
      </c>
      <c r="AX70" s="35">
        <f>('[1]资源-木石铜粮'!C71+U70)/'[1]资源-木石铜粮'!U71</f>
        <v>1.2887867615109183</v>
      </c>
      <c r="AY70" s="35">
        <f>('[1]资源-木石铜粮'!D71+V70)/'[1]资源-木石铜粮'!V71</f>
        <v>1.4559661260853984</v>
      </c>
      <c r="AZ70" s="35">
        <f>('[1]资源-木石铜粮'!E71+W70)/'[1]资源-木石铜粮'!W71</f>
        <v>1.7862560412191959</v>
      </c>
      <c r="BA70" s="35">
        <f>('[1]资源-木石铜粮'!F71+X70)/'[1]资源-木石铜粮'!X71</f>
        <v>2.22020123732519</v>
      </c>
      <c r="BB70" s="35">
        <f>('[1]资源-木石铜粮'!G71+Y70)/'[1]资源-木石铜粮'!Y71</f>
        <v>1.4453054779256311</v>
      </c>
      <c r="BE70" s="39">
        <f t="shared" si="13"/>
        <v>7.2473447241632992E-5</v>
      </c>
      <c r="BF70" s="39">
        <f t="shared" si="14"/>
        <v>1.798521438651908E-4</v>
      </c>
      <c r="BG70" s="39">
        <f t="shared" si="15"/>
        <v>2.1770005912154526E-4</v>
      </c>
      <c r="BH70" s="39">
        <f t="shared" si="16"/>
        <v>2.2748331731740955E-4</v>
      </c>
      <c r="BI70" s="39">
        <f t="shared" si="17"/>
        <v>2.16362724993784E-4</v>
      </c>
      <c r="BK70" s="39">
        <f>BE70/求节点(节奏总纲!AM$4:AM$83,$G$5:$G$84,节奏总纲!P69)</f>
        <v>0.40975524516062339</v>
      </c>
      <c r="BL70" s="39">
        <f>BF70/求节点(节奏总纲!AN$4:AN$83,$G$5:$G$84,节奏总纲!Q69)</f>
        <v>1.0495116972949083</v>
      </c>
      <c r="BM70" s="39">
        <f>BG70/求节点(节奏总纲!AO$4:AO$83,$G$5:$G$84,节奏总纲!R69)</f>
        <v>1.3172666709318788</v>
      </c>
      <c r="BN70" s="39">
        <f>BH70/求节点(节奏总纲!AP$4:AP$83,$G$5:$G$84,节奏总纲!S69)</f>
        <v>1.4259453159663427</v>
      </c>
      <c r="BO70" s="39">
        <f>BI70/求节点(节奏总纲!AQ$4:AQ$83,$G$5:$G$84,节奏总纲!T69)</f>
        <v>1.4125926751479061</v>
      </c>
    </row>
    <row r="71" spans="5:67" x14ac:dyDescent="0.15">
      <c r="E71" s="26">
        <v>67</v>
      </c>
      <c r="F71" s="26">
        <f>节奏总纲!$BL70</f>
        <v>126.19151638854794</v>
      </c>
      <c r="G71" s="26">
        <f>数据索引!$E72</f>
        <v>3.990835861451864E-5</v>
      </c>
      <c r="H71" s="26">
        <f>数据索引!J72</f>
        <v>7.5382189979322426E-5</v>
      </c>
      <c r="I71" s="54"/>
      <c r="J71" s="35">
        <v>67</v>
      </c>
      <c r="K71" s="55">
        <v>60</v>
      </c>
      <c r="L71" s="55">
        <f t="shared" si="30"/>
        <v>90</v>
      </c>
      <c r="M71" s="55"/>
      <c r="T71" s="35">
        <v>67</v>
      </c>
      <c r="U71" s="50">
        <f>INDEX($Q$5:$Q$21,MATCH(节奏总纲!BQ70,$N$5:$N$21,1))*(U$2+$K$2)*节奏总纲!W70*4*$C$5+U70</f>
        <v>580893467.16171086</v>
      </c>
      <c r="V71" s="50">
        <f>INDEX($Q$5:$Q$21,MATCH(节奏总纲!BR70,$N$5:$N$21,1))*(V$2+$K$2)*节奏总纲!X70*4*$C$5+V70</f>
        <v>1825274409.7229466</v>
      </c>
      <c r="W71" s="50">
        <f>INDEX($Q$5:$Q$21,MATCH(节奏总纲!BS70,$N$5:$N$21,1))*(W$2+$K$2)*节奏总纲!Y70*4*$C$5+W70</f>
        <v>3696857192.8704333</v>
      </c>
      <c r="X71" s="50">
        <f>INDEX($Q$5:$Q$21,MATCH(节奏总纲!BT70,$N$5:$N$21,1))*(X$2+$K$2)*节奏总纲!Z70*4*$C$5+X70</f>
        <v>5597142257.0219116</v>
      </c>
      <c r="Y71" s="50">
        <f>INDEX($Q$5:$Q$21,MATCH(节奏总纲!BU70,$N$5:$N$21,1))*(Y$2+$K$2)*节奏总纲!AA70*4*$C$5+Y70</f>
        <v>3255223352.9082975</v>
      </c>
      <c r="Z71" s="51">
        <f>SUMIFS($K$5:$K$1004,$J$5:$J$1004,"&lt;="&amp;U$2)*节奏总纲!W70*4+Z70</f>
        <v>41187.322693439244</v>
      </c>
      <c r="AA71" s="51">
        <f>SUMIFS($K$5:$K$1004,$J$5:$J$1004,"&lt;="&amp;V$2)*节奏总纲!X70*4+AA70</f>
        <v>322088.98219496425</v>
      </c>
      <c r="AB71" s="51">
        <f>SUMIFS($K$5:$K$1004,$J$5:$J$1004,"&lt;="&amp;W$2)*节奏总纲!Y70*4+AB70</f>
        <v>791562.67991613131</v>
      </c>
      <c r="AC71" s="51">
        <f>SUMIFS($K$5:$K$1004,$J$5:$J$1004,"&lt;="&amp;X$2)*节奏总纲!Z70*4+AC70</f>
        <v>1222670.3865483603</v>
      </c>
      <c r="AD71" s="51">
        <f>SUMIFS($K$5:$K$1004,$J$5:$J$1004,"&lt;="&amp;Y$2)*节奏总纲!AA70*4+AD70</f>
        <v>679417.83768643509</v>
      </c>
      <c r="AH71" s="35">
        <v>67</v>
      </c>
      <c r="AI71" s="47">
        <f>'[1]资源-木石铜粮'!AE72-U71</f>
        <v>-725428440.13976824</v>
      </c>
      <c r="AJ71" s="47">
        <f>'[1]资源-木石铜粮'!AF72-V71</f>
        <v>-1347643595.0566397</v>
      </c>
      <c r="AK71" s="47">
        <f>'[1]资源-木石铜粮'!AG72-W71</f>
        <v>-2578992839.7297626</v>
      </c>
      <c r="AL71" s="47">
        <f>'[1]资源-木石铜粮'!AH72-X71</f>
        <v>-4085144798.2465649</v>
      </c>
      <c r="AM71" s="47">
        <f>'[1]资源-木石铜粮'!AI72-Y71</f>
        <v>-1334264825.4853694</v>
      </c>
      <c r="AN71" s="47">
        <f>(AI71-AI70)*IF($AH71&lt;=10,'[1]功能-付费相关'!S82,'[1]功能-付费相关'!S72)</f>
        <v>-338.71129289710927</v>
      </c>
      <c r="AO71" s="47">
        <f>(AJ71-AJ70)*IF($AH71&lt;=10,'[1]功能-付费相关'!T82,'[1]功能-付费相关'!T72)</f>
        <v>-2506.9679750564965</v>
      </c>
      <c r="AP71" s="47">
        <f>(AK71-AK70)*IF($AH71&lt;=10,'[1]功能-付费相关'!U82,'[1]功能-付费相关'!U72)</f>
        <v>-5833.5244150721428</v>
      </c>
      <c r="AQ71" s="47">
        <f>(AL71-AL70)*IF($AH71&lt;=10,'[1]功能-付费相关'!V82,'[1]功能-付费相关'!V72)</f>
        <v>-14002.596446159907</v>
      </c>
      <c r="AR71" s="47">
        <f>(AM71-AM70)*IF($AH71&lt;=10,'[1]功能-付费相关'!W82,'[1]功能-付费相关'!W72)</f>
        <v>-2842.6836353009903</v>
      </c>
      <c r="AS71" s="48">
        <f>SUM(AN$5:AN71)/'[1]资源-钻石'!L70</f>
        <v>-0.10703831798160172</v>
      </c>
      <c r="AT71" s="48">
        <f>SUM(AO$5:AO71)/'[1]资源-钻石'!M70</f>
        <v>-0.14980857170311671</v>
      </c>
      <c r="AU71" s="48">
        <f>SUM(AP$5:AP71)/'[1]资源-钻石'!N70</f>
        <v>-0.19834581715407931</v>
      </c>
      <c r="AV71" s="48">
        <f>SUM(AQ$5:AQ71)/'[1]资源-钻石'!O70</f>
        <v>-0.15545682852971354</v>
      </c>
      <c r="AW71" s="48">
        <f>SUM(AR$5:AR71)/'[1]资源-钻石'!P70</f>
        <v>-4.2011338842566033E-2</v>
      </c>
      <c r="AX71" s="35">
        <f>('[1]资源-木石铜粮'!C72+U71)/'[1]资源-木石铜粮'!U72</f>
        <v>1.2577658058246455</v>
      </c>
      <c r="AY71" s="35">
        <f>('[1]资源-木石铜粮'!D72+V71)/'[1]资源-木石铜粮'!V72</f>
        <v>1.4218727679518659</v>
      </c>
      <c r="AZ71" s="35">
        <f>('[1]资源-木石铜粮'!E72+W71)/'[1]资源-木石铜粮'!W72</f>
        <v>1.7420714212703274</v>
      </c>
      <c r="BA71" s="35">
        <f>('[1]资源-木石铜粮'!F72+X71)/'[1]资源-木石铜粮'!X72</f>
        <v>2.1974214881312357</v>
      </c>
      <c r="BB71" s="35">
        <f>('[1]资源-木石铜粮'!G72+Y71)/'[1]资源-木石铜粮'!Y72</f>
        <v>1.4204180752300446</v>
      </c>
      <c r="BE71" s="39">
        <f t="shared" si="13"/>
        <v>7.0903401435522419E-5</v>
      </c>
      <c r="BF71" s="39">
        <f t="shared" si="14"/>
        <v>1.7646058065529623E-4</v>
      </c>
      <c r="BG71" s="39">
        <f t="shared" si="15"/>
        <v>2.1411773260884893E-4</v>
      </c>
      <c r="BH71" s="39">
        <f t="shared" si="16"/>
        <v>2.1844547277933762E-4</v>
      </c>
      <c r="BI71" s="39">
        <f t="shared" si="17"/>
        <v>2.0871619671793836E-4</v>
      </c>
      <c r="BK71" s="39">
        <f>BE71/求节点(节奏总纲!AM$4:AM$83,$G$5:$G$84,节奏总纲!P70)</f>
        <v>0.4119513294964004</v>
      </c>
      <c r="BL71" s="39">
        <f>BF71/求节点(节奏总纲!AN$4:AN$83,$G$5:$G$84,节奏总纲!Q70)</f>
        <v>1.0586523486702601</v>
      </c>
      <c r="BM71" s="39">
        <f>BG71/求节点(节奏总纲!AO$4:AO$83,$G$5:$G$84,节奏总纲!R70)</f>
        <v>1.3287005412523993</v>
      </c>
      <c r="BN71" s="39">
        <f>BH71/求节点(节奏总纲!AP$4:AP$83,$G$5:$G$84,节奏总纲!S70)</f>
        <v>1.4070792808317665</v>
      </c>
      <c r="BO71" s="39">
        <f>BI71/求节点(节奏总纲!AQ$4:AQ$83,$G$5:$G$84,节奏总纲!T70)</f>
        <v>1.3982947414548945</v>
      </c>
    </row>
    <row r="72" spans="5:67" x14ac:dyDescent="0.15">
      <c r="E72" s="26">
        <v>68</v>
      </c>
      <c r="F72" s="26">
        <f>节奏总纲!$BL71</f>
        <v>128.41849022048493</v>
      </c>
      <c r="G72" s="26">
        <f>数据索引!$E73</f>
        <v>3.9054682159331954E-5</v>
      </c>
      <c r="H72" s="26">
        <f>数据索引!J73</f>
        <v>7.3794363104036603E-5</v>
      </c>
      <c r="I72" s="54"/>
      <c r="J72" s="35">
        <v>68</v>
      </c>
      <c r="K72" s="55">
        <v>60</v>
      </c>
      <c r="L72" s="55">
        <f t="shared" si="30"/>
        <v>90</v>
      </c>
      <c r="M72" s="55"/>
      <c r="T72" s="35">
        <v>68</v>
      </c>
      <c r="U72" s="50">
        <f>INDEX($Q$5:$Q$21,MATCH(节奏总纲!BQ71,$N$5:$N$21,1))*(U$2+$K$2)*节奏总纲!W71*4*$C$5+U71</f>
        <v>635566663.40898395</v>
      </c>
      <c r="V72" s="50">
        <f>INDEX($Q$5:$Q$21,MATCH(节奏总纲!BR71,$N$5:$N$21,1))*(V$2+$K$2)*节奏总纲!X71*4*$C$5+V71</f>
        <v>1988428791.8683913</v>
      </c>
      <c r="W72" s="50">
        <f>INDEX($Q$5:$Q$21,MATCH(节奏总纲!BS71,$N$5:$N$21,1))*(W$2+$K$2)*节奏总纲!Y71*4*$C$5+W71</f>
        <v>4005639098.48452</v>
      </c>
      <c r="X72" s="50">
        <f>INDEX($Q$5:$Q$21,MATCH(节奏总纲!BT71,$N$5:$N$21,1))*(X$2+$K$2)*节奏总纲!Z71*4*$C$5+X71</f>
        <v>6219877211.2351551</v>
      </c>
      <c r="Y72" s="50">
        <f>INDEX($Q$5:$Q$21,MATCH(节奏总纲!BU71,$N$5:$N$21,1))*(Y$2+$K$2)*节奏总纲!AA71*4*$C$5+Y71</f>
        <v>3594005165.1718707</v>
      </c>
      <c r="Z72" s="51">
        <f>SUMIFS($K$5:$K$1004,$J$5:$J$1004,"&lt;="&amp;U$2)*节奏总纲!W71*4+Z71</f>
        <v>44172.188840761541</v>
      </c>
      <c r="AA72" s="51">
        <f>SUMIFS($K$5:$K$1004,$J$5:$J$1004,"&lt;="&amp;V$2)*节奏总纲!X71*4+AA71</f>
        <v>344993.62928411586</v>
      </c>
      <c r="AB72" s="51">
        <f>SUMIFS($K$5:$K$1004,$J$5:$J$1004,"&lt;="&amp;W$2)*节奏总纲!Y71*4+AB71</f>
        <v>845111.1513392179</v>
      </c>
      <c r="AC72" s="51">
        <f>SUMIFS($K$5:$K$1004,$J$5:$J$1004,"&lt;="&amp;X$2)*节奏总纲!Z71*4+AC71</f>
        <v>1309011.89576378</v>
      </c>
      <c r="AD72" s="51">
        <f>SUMIFS($K$5:$K$1004,$J$5:$J$1004,"&lt;="&amp;Y$2)*节奏总纲!AA71*4+AD71</f>
        <v>726389.55939190323</v>
      </c>
      <c r="AH72" s="35">
        <v>68</v>
      </c>
      <c r="AI72" s="47">
        <f>'[1]资源-木石铜粮'!AE73-U72</f>
        <v>-733329123.80130935</v>
      </c>
      <c r="AJ72" s="47">
        <f>'[1]资源-木石铜粮'!AF73-V72</f>
        <v>-1402597256.0147121</v>
      </c>
      <c r="AK72" s="47">
        <f>'[1]资源-木石铜粮'!AG73-W72</f>
        <v>-2681409679.621542</v>
      </c>
      <c r="AL72" s="47">
        <f>'[1]资源-木石铜粮'!AH73-X72</f>
        <v>-4483154635.4573898</v>
      </c>
      <c r="AM72" s="47">
        <f>'[1]资源-木石铜粮'!AI73-Y72</f>
        <v>-1404280597.550899</v>
      </c>
      <c r="AN72" s="47">
        <f>(AI72-AI71)*IF($AH72&lt;=10,'[1]功能-付费相关'!S83,'[1]功能-付费相关'!S73)</f>
        <v>-333.24455170986482</v>
      </c>
      <c r="AO72" s="47">
        <f>(AJ72-AJ71)*IF($AH72&lt;=10,'[1]功能-付费相关'!T83,'[1]功能-付费相关'!T73)</f>
        <v>-2255.3053125314682</v>
      </c>
      <c r="AP72" s="47">
        <f>(AK72-AK71)*IF($AH72&lt;=10,'[1]功能-付费相关'!U83,'[1]功能-付费相关'!U73)</f>
        <v>-3999.8571297366348</v>
      </c>
      <c r="AQ72" s="47">
        <f>(AL72-AL71)*IF($AH72&lt;=10,'[1]功能-付费相关'!V83,'[1]功能-付费相关'!V73)</f>
        <v>-14594.509921744411</v>
      </c>
      <c r="AR72" s="47">
        <f>(AM72-AM71)*IF($AH72&lt;=10,'[1]功能-付费相关'!W83,'[1]功能-付费相关'!W73)</f>
        <v>-2472.0568964774266</v>
      </c>
      <c r="AS72" s="48">
        <f>SUM(AN$5:AN72)/'[1]资源-钻石'!L71</f>
        <v>-0.10215632821883389</v>
      </c>
      <c r="AT72" s="48">
        <f>SUM(AO$5:AO72)/'[1]资源-钻石'!M71</f>
        <v>-0.14476457482680824</v>
      </c>
      <c r="AU72" s="48">
        <f>SUM(AP$5:AP72)/'[1]资源-钻石'!N71</f>
        <v>-0.18983156065944015</v>
      </c>
      <c r="AV72" s="48">
        <f>SUM(AQ$5:AQ72)/'[1]资源-钻石'!O71</f>
        <v>-0.15259302433564781</v>
      </c>
      <c r="AW72" s="48">
        <f>SUM(AR$5:AR72)/'[1]资源-钻石'!P71</f>
        <v>-4.0342574651089286E-2</v>
      </c>
      <c r="AX72" s="35">
        <f>('[1]资源-木石铜粮'!C73+U72)/'[1]资源-木石铜粮'!U73</f>
        <v>1.230666481420148</v>
      </c>
      <c r="AY72" s="35">
        <f>('[1]资源-木石铜粮'!D73+V72)/'[1]资源-木石铜粮'!V73</f>
        <v>1.3902712021331993</v>
      </c>
      <c r="AZ72" s="35">
        <f>('[1]资源-木石铜粮'!E73+W72)/'[1]资源-木石铜粮'!W73</f>
        <v>1.6824617461248319</v>
      </c>
      <c r="BA72" s="35">
        <f>('[1]资源-木石铜粮'!F73+X72)/'[1]资源-木石铜粮'!X73</f>
        <v>2.1691577663427468</v>
      </c>
      <c r="BB72" s="35">
        <f>('[1]资源-木石铜粮'!G73+Y72)/'[1]资源-木石铜粮'!Y73</f>
        <v>1.3939227567242469</v>
      </c>
      <c r="BE72" s="39">
        <f t="shared" si="13"/>
        <v>6.9500481041336425E-5</v>
      </c>
      <c r="BF72" s="39">
        <f t="shared" si="14"/>
        <v>1.735006205376602E-4</v>
      </c>
      <c r="BG72" s="39">
        <f t="shared" si="15"/>
        <v>2.1098035308746472E-4</v>
      </c>
      <c r="BH72" s="39">
        <f t="shared" si="16"/>
        <v>2.1045622788168095E-4</v>
      </c>
      <c r="BI72" s="39">
        <f t="shared" si="17"/>
        <v>2.0211144002548094E-4</v>
      </c>
      <c r="BK72" s="39">
        <f>BE72/求节点(节奏总纲!AM$4:AM$83,$G$5:$G$84,节奏总纲!P71)</f>
        <v>0.41481596961315881</v>
      </c>
      <c r="BL72" s="39">
        <f>BF72/求节点(节奏总纲!AN$4:AN$83,$G$5:$G$84,节奏总纲!Q71)</f>
        <v>1.068855604791354</v>
      </c>
      <c r="BM72" s="39">
        <f>BG72/求节点(节奏总纲!AO$4:AO$83,$G$5:$G$84,节奏总纲!R71)</f>
        <v>1.3434700797255834</v>
      </c>
      <c r="BN72" s="39">
        <f>BH72/求节点(节奏总纲!AP$4:AP$83,$G$5:$G$84,节奏总纲!S71)</f>
        <v>1.3895728785175712</v>
      </c>
      <c r="BO72" s="39">
        <f>BI72/求节点(节奏总纲!AQ$4:AQ$83,$G$5:$G$84,节奏总纲!T71)</f>
        <v>1.3896567245036484</v>
      </c>
    </row>
    <row r="73" spans="5:67" x14ac:dyDescent="0.15">
      <c r="E73" s="26">
        <v>69</v>
      </c>
      <c r="F73" s="26">
        <f>节奏总纲!$BL72</f>
        <v>130.47467154691921</v>
      </c>
      <c r="G73" s="26">
        <f>数据索引!$E74</f>
        <v>3.8268945371962767E-5</v>
      </c>
      <c r="H73" s="26">
        <f>数据索引!J74</f>
        <v>7.2181804428730285E-5</v>
      </c>
      <c r="I73" s="54"/>
      <c r="J73" s="35">
        <v>69</v>
      </c>
      <c r="K73" s="55">
        <v>60</v>
      </c>
      <c r="L73" s="55">
        <f t="shared" si="30"/>
        <v>90</v>
      </c>
      <c r="M73" s="55"/>
      <c r="T73" s="35">
        <v>69</v>
      </c>
      <c r="U73" s="50">
        <f>INDEX($Q$5:$Q$21,MATCH(节奏总纲!BQ72,$N$5:$N$21,1))*(U$2+$K$2)*节奏总纲!W72*4*$C$5+U72</f>
        <v>694163944.2588501</v>
      </c>
      <c r="V73" s="50">
        <f>INDEX($Q$5:$Q$21,MATCH(节奏总纲!BR72,$N$5:$N$21,1))*(V$2+$K$2)*节奏总纲!X72*4*$C$5+V72</f>
        <v>2159725096.6872458</v>
      </c>
      <c r="W73" s="50">
        <f>INDEX($Q$5:$Q$21,MATCH(节奏总纲!BS72,$N$5:$N$21,1))*(W$2+$K$2)*节奏总纲!Y72*4*$C$5+W72</f>
        <v>4474255376.5602989</v>
      </c>
      <c r="X73" s="50">
        <f>INDEX($Q$5:$Q$21,MATCH(节奏总纲!BT72,$N$5:$N$21,1))*(X$2+$K$2)*节奏总纲!Z72*4*$C$5+X72</f>
        <v>6897798619.6101122</v>
      </c>
      <c r="Y73" s="50">
        <f>INDEX($Q$5:$Q$21,MATCH(节奏总纲!BU72,$N$5:$N$21,1))*(Y$2+$K$2)*节奏总纲!AA72*4*$C$5+Y72</f>
        <v>3955908233.6186724</v>
      </c>
      <c r="Z73" s="51">
        <f>SUMIFS($K$5:$K$1004,$J$5:$J$1004,"&lt;="&amp;U$2)*节奏总纲!W72*4+Z72</f>
        <v>47371.289166684524</v>
      </c>
      <c r="AA73" s="51">
        <f>SUMIFS($K$5:$K$1004,$J$5:$J$1004,"&lt;="&amp;V$2)*节奏总纲!X72*4+AA72</f>
        <v>369041.29112413921</v>
      </c>
      <c r="AB73" s="51">
        <f>SUMIFS($K$5:$K$1004,$J$5:$J$1004,"&lt;="&amp;W$2)*节奏总纲!Y72*4+AB72</f>
        <v>906061.17363334144</v>
      </c>
      <c r="AC73" s="51">
        <f>SUMIFS($K$5:$K$1004,$J$5:$J$1004,"&lt;="&amp;X$2)*节奏总纲!Z72*4+AC72</f>
        <v>1403004.945507529</v>
      </c>
      <c r="AD73" s="51">
        <f>SUMIFS($K$5:$K$1004,$J$5:$J$1004,"&lt;="&amp;Y$2)*节奏总纲!AA72*4+AD72</f>
        <v>776567.01756729279</v>
      </c>
      <c r="AH73" s="35">
        <v>69</v>
      </c>
      <c r="AI73" s="47">
        <f>'[1]资源-木石铜粮'!AE74-U73</f>
        <v>-740981753.36503935</v>
      </c>
      <c r="AJ73" s="47">
        <f>'[1]资源-木石铜粮'!AF74-V73</f>
        <v>-1455300505.6554084</v>
      </c>
      <c r="AK73" s="47">
        <f>'[1]资源-木石铜粮'!AG74-W73</f>
        <v>-2918348426.569932</v>
      </c>
      <c r="AL73" s="47">
        <f>'[1]资源-木石铜粮'!AH74-X73</f>
        <v>-4910669220.1212463</v>
      </c>
      <c r="AM73" s="47">
        <f>'[1]资源-木石铜粮'!AI74-Y73</f>
        <v>-1469593190.6619945</v>
      </c>
      <c r="AN73" s="47">
        <f>(AI73-AI72)*IF($AH73&lt;=10,'[1]功能-付费相关'!S84,'[1]功能-付费相关'!S74)</f>
        <v>-317.02150700748649</v>
      </c>
      <c r="AO73" s="47">
        <f>(AJ73-AJ72)*IF($AH73&lt;=10,'[1]功能-付费相关'!T84,'[1]功能-付费相关'!T74)</f>
        <v>-2121.6510862726841</v>
      </c>
      <c r="AP73" s="47">
        <f>(AK73-AK72)*IF($AH73&lt;=10,'[1]功能-付费相关'!U84,'[1]功能-付费相关'!U74)</f>
        <v>-9067.3959634692474</v>
      </c>
      <c r="AQ73" s="47">
        <f>(AL73-AL72)*IF($AH73&lt;=10,'[1]功能-付费相关'!V84,'[1]功能-付费相关'!V74)</f>
        <v>-15398.273434581202</v>
      </c>
      <c r="AR73" s="47">
        <f>(AM73-AM72)*IF($AH73&lt;=10,'[1]功能-付费相关'!W84,'[1]功能-付费相关'!W74)</f>
        <v>-2265.1510440120687</v>
      </c>
      <c r="AS73" s="48">
        <f>SUM(AN$5:AN73)/'[1]资源-钻石'!L72</f>
        <v>-9.7383529352125131E-2</v>
      </c>
      <c r="AT73" s="48">
        <f>SUM(AO$5:AO73)/'[1]资源-钻石'!M72</f>
        <v>-0.13987925379086874</v>
      </c>
      <c r="AU73" s="48">
        <f>SUM(AP$5:AP73)/'[1]资源-钻石'!N72</f>
        <v>-0.18521548019673426</v>
      </c>
      <c r="AV73" s="48">
        <f>SUM(AQ$5:AQ73)/'[1]资源-钻石'!O72</f>
        <v>-0.14964267961814304</v>
      </c>
      <c r="AW73" s="48">
        <f>SUM(AR$5:AR73)/'[1]资源-钻石'!P72</f>
        <v>-3.8629391199856873E-2</v>
      </c>
      <c r="AX73" s="35">
        <f>('[1]资源-木石铜粮'!C74+U73)/'[1]资源-木石铜粮'!U74</f>
        <v>1.2070798443483348</v>
      </c>
      <c r="AY73" s="35">
        <f>('[1]资源-木石铜粮'!D74+V73)/'[1]资源-木石铜粮'!V74</f>
        <v>1.3615550968560155</v>
      </c>
      <c r="AZ73" s="35">
        <f>('[1]资源-木石铜粮'!E74+W73)/'[1]资源-木石铜粮'!W74</f>
        <v>1.6550808694483536</v>
      </c>
      <c r="BA73" s="35">
        <f>('[1]资源-木石铜粮'!F74+X73)/'[1]资源-木石铜粮'!X74</f>
        <v>2.1410676849814649</v>
      </c>
      <c r="BB73" s="35">
        <f>('[1]资源-木石铜粮'!G74+Y73)/'[1]资源-木石铜粮'!Y74</f>
        <v>1.3678744427332519</v>
      </c>
      <c r="BE73" s="39">
        <f t="shared" si="13"/>
        <v>6.8242220816095892E-5</v>
      </c>
      <c r="BF73" s="39">
        <f t="shared" si="14"/>
        <v>1.7087419676245066E-4</v>
      </c>
      <c r="BG73" s="39">
        <f t="shared" si="15"/>
        <v>2.025054668046015E-4</v>
      </c>
      <c r="BH73" s="39">
        <f t="shared" si="16"/>
        <v>2.0339894260160813E-4</v>
      </c>
      <c r="BI73" s="39">
        <f t="shared" si="17"/>
        <v>1.9630561977342106E-4</v>
      </c>
      <c r="BK73" s="39">
        <f>BE73/求节点(节奏总纲!AM$4:AM$83,$G$5:$G$84,节奏总纲!P72)</f>
        <v>0.41866334512014747</v>
      </c>
      <c r="BL73" s="39">
        <f>BF73/求节点(节奏总纲!AN$4:AN$83,$G$5:$G$84,节奏总纲!Q72)</f>
        <v>1.0802926200989402</v>
      </c>
      <c r="BM73" s="39">
        <f>BG73/求节点(节奏总纲!AO$4:AO$83,$G$5:$G$84,节奏总纲!R72)</f>
        <v>1.3240878499960322</v>
      </c>
      <c r="BN73" s="39">
        <f>BH73/求节点(节奏总纲!AP$4:AP$83,$G$5:$G$84,节奏总纲!S72)</f>
        <v>1.380621772792868</v>
      </c>
      <c r="BO73" s="39">
        <f>BI73/求节点(节奏总纲!AQ$4:AQ$83,$G$5:$G$84,节奏总纲!T72)</f>
        <v>1.3837091569046089</v>
      </c>
    </row>
    <row r="74" spans="5:67" x14ac:dyDescent="0.15">
      <c r="E74" s="26">
        <v>70</v>
      </c>
      <c r="F74" s="26">
        <f>节奏总纲!$BL73</f>
        <v>132.56461040487298</v>
      </c>
      <c r="G74" s="26">
        <f>数据索引!$E75</f>
        <v>3.7525918336552253E-5</v>
      </c>
      <c r="H74" s="26">
        <f>数据索引!J75</f>
        <v>7.0665534146873178E-5</v>
      </c>
      <c r="I74" s="54"/>
      <c r="J74" s="35">
        <v>70</v>
      </c>
      <c r="K74" s="55">
        <v>60</v>
      </c>
      <c r="L74" s="55">
        <f t="shared" si="30"/>
        <v>90</v>
      </c>
      <c r="M74" s="55"/>
      <c r="T74" s="35">
        <v>70</v>
      </c>
      <c r="U74" s="50">
        <f>INDEX($Q$5:$Q$21,MATCH(节奏总纲!BQ73,$N$5:$N$21,1))*(U$2+$K$2)*节奏总纲!W73*4*$C$5+U73</f>
        <v>756966954.85052299</v>
      </c>
      <c r="V74" s="50">
        <f>INDEX($Q$5:$Q$21,MATCH(节奏总纲!BR73,$N$5:$N$21,1))*(V$2+$K$2)*节奏总纲!X73*4*$C$5+V73</f>
        <v>2414718455.3546219</v>
      </c>
      <c r="W74" s="50">
        <f>INDEX($Q$5:$Q$21,MATCH(节奏总纲!BS73,$N$5:$N$21,1))*(W$2+$K$2)*节奏总纲!Y73*4*$C$5+W73</f>
        <v>4990071592.0812302</v>
      </c>
      <c r="X74" s="50">
        <f>INDEX($Q$5:$Q$21,MATCH(节奏总纲!BT73,$N$5:$N$21,1))*(X$2+$K$2)*节奏总纲!Z73*4*$C$5+X73</f>
        <v>7619773498.7049484</v>
      </c>
      <c r="Y74" s="50">
        <f>INDEX($Q$5:$Q$21,MATCH(节奏总纲!BU73,$N$5:$N$21,1))*(Y$2+$K$2)*节奏总纲!AA73*4*$C$5+Y73</f>
        <v>4357126180.9463787</v>
      </c>
      <c r="Z74" s="51">
        <f>SUMIFS($K$5:$K$1004,$J$5:$J$1004,"&lt;="&amp;U$2)*节奏总纲!W73*4+Z73</f>
        <v>50800</v>
      </c>
      <c r="AA74" s="51">
        <f>SUMIFS($K$5:$K$1004,$J$5:$J$1004,"&lt;="&amp;V$2)*节奏总纲!X73*4+AA73</f>
        <v>395889.48000000004</v>
      </c>
      <c r="AB74" s="51">
        <f>SUMIFS($K$5:$K$1004,$J$5:$J$1004,"&lt;="&amp;W$2)*节奏总纲!Y73*4+AB73</f>
        <v>973150.19999999972</v>
      </c>
      <c r="AC74" s="51">
        <f>SUMIFS($K$5:$K$1004,$J$5:$J$1004,"&lt;="&amp;X$2)*节奏总纲!Z73*4+AC73</f>
        <v>1503105.9600000002</v>
      </c>
      <c r="AD74" s="51">
        <f>SUMIFS($K$5:$K$1004,$J$5:$J$1004,"&lt;="&amp;Y$2)*节奏总纲!AA73*4+AD73</f>
        <v>832195.44000000006</v>
      </c>
      <c r="AH74" s="35">
        <v>70</v>
      </c>
      <c r="AI74" s="47">
        <f>'[1]资源-木石铜粮'!AE75-U74</f>
        <v>-748168141.54327965</v>
      </c>
      <c r="AJ74" s="47">
        <f>'[1]资源-木石铜粮'!AF75-V74</f>
        <v>-1579530386.1528387</v>
      </c>
      <c r="AK74" s="47">
        <f>'[1]资源-木石铜粮'!AG75-W74</f>
        <v>-3210228648.6716428</v>
      </c>
      <c r="AL74" s="47">
        <f>'[1]资源-木石铜粮'!AH75-X74</f>
        <v>-5358208643.5935984</v>
      </c>
      <c r="AM74" s="47">
        <f>'[1]资源-木石铜粮'!AI75-Y74</f>
        <v>-1538959098.9535294</v>
      </c>
      <c r="AN74" s="47">
        <f>(AI74-AI73)*IF($AH74&lt;=10,'[1]功能-付费相关'!S85,'[1]功能-付费相关'!S75)</f>
        <v>-292.51421632427565</v>
      </c>
      <c r="AO74" s="47">
        <f>(AJ74-AJ73)*IF($AH74&lt;=10,'[1]功能-付费相关'!T85,'[1]功能-付费相关'!T75)</f>
        <v>-4909.3796921154008</v>
      </c>
      <c r="AP74" s="47">
        <f>(AK74-AK73)*IF($AH74&lt;=10,'[1]功能-付费相关'!U85,'[1]功能-付费相关'!U75)</f>
        <v>-10953.073378643534</v>
      </c>
      <c r="AQ74" s="47">
        <f>(AL74-AL73)*IF($AH74&lt;=10,'[1]功能-付费相关'!V85,'[1]功能-付费相关'!V75)</f>
        <v>-15837.913672918114</v>
      </c>
      <c r="AR74" s="47">
        <f>(AM74-AM73)*IF($AH74&lt;=10,'[1]功能-付费相关'!W85,'[1]功能-付费相关'!W75)</f>
        <v>-2362.5340421232759</v>
      </c>
      <c r="AS74" s="48">
        <f>SUM(AN$5:AN74)/'[1]资源-钻石'!L73</f>
        <v>-9.2717323636355056E-2</v>
      </c>
      <c r="AT74" s="48">
        <f>SUM(AO$5:AO74)/'[1]资源-钻石'!M73</f>
        <v>-0.13783881931422673</v>
      </c>
      <c r="AU74" s="48">
        <f>SUM(AP$5:AP74)/'[1]资源-钻石'!N73</f>
        <v>-0.18159609966376802</v>
      </c>
      <c r="AV74" s="48">
        <f>SUM(AQ$5:AQ74)/'[1]资源-钻石'!O73</f>
        <v>-0.14665762846381486</v>
      </c>
      <c r="AW74" s="48">
        <f>SUM(AR$5:AR74)/'[1]资源-钻石'!P73</f>
        <v>-3.6913583628269554E-2</v>
      </c>
      <c r="AX74" s="35">
        <f>('[1]资源-木石铜粮'!C75+U74)/'[1]资源-木石铜粮'!U75</f>
        <v>1.1863010878904263</v>
      </c>
      <c r="AY74" s="35">
        <f>('[1]资源-木石铜粮'!D75+V74)/'[1]资源-木石铜粮'!V75</f>
        <v>1.3501116648979978</v>
      </c>
      <c r="AZ74" s="35">
        <f>('[1]资源-木石铜粮'!E75+W74)/'[1]资源-木石铜粮'!W75</f>
        <v>1.64089680099469</v>
      </c>
      <c r="BA74" s="35">
        <f>('[1]资源-木石铜粮'!F75+X74)/'[1]资源-木石铜粮'!X75</f>
        <v>2.1111218148529778</v>
      </c>
      <c r="BB74" s="35">
        <f>('[1]资源-木石铜粮'!G75+Y74)/'[1]资源-木石铜粮'!Y75</f>
        <v>1.3437822805929609</v>
      </c>
      <c r="BE74" s="39">
        <f t="shared" si="13"/>
        <v>6.7109930855609659E-5</v>
      </c>
      <c r="BF74" s="39">
        <f t="shared" si="14"/>
        <v>1.6394850468886665E-4</v>
      </c>
      <c r="BG74" s="39">
        <f t="shared" si="15"/>
        <v>1.9501728222582953E-4</v>
      </c>
      <c r="BH74" s="39">
        <f t="shared" si="16"/>
        <v>1.9726386358537653E-4</v>
      </c>
      <c r="BI74" s="39">
        <f t="shared" si="17"/>
        <v>1.9099640575918439E-4</v>
      </c>
      <c r="BK74" s="39">
        <f>BE74/求节点(节奏总纲!AM$4:AM$83,$G$5:$G$84,节奏总纲!P73)</f>
        <v>0.42276576428919049</v>
      </c>
      <c r="BL74" s="39">
        <f>BF74/求节点(节奏总纲!AN$4:AN$83,$G$5:$G$84,节奏总纲!Q73)</f>
        <v>1.0653871900985203</v>
      </c>
      <c r="BM74" s="39">
        <f>BG74/求节点(节奏总纲!AO$4:AO$83,$G$5:$G$84,节奏总纲!R73)</f>
        <v>1.3106789875642453</v>
      </c>
      <c r="BN74" s="39">
        <f>BH74/求节点(节奏总纲!AP$4:AP$83,$G$5:$G$84,节奏总纲!S73)</f>
        <v>1.3732335996939307</v>
      </c>
      <c r="BO74" s="39">
        <f>BI74/求节点(节奏总纲!AQ$4:AQ$83,$G$5:$G$84,节奏总纲!T73)</f>
        <v>1.3834911055115153</v>
      </c>
    </row>
    <row r="75" spans="5:67" x14ac:dyDescent="0.15">
      <c r="E75" s="26">
        <v>71</v>
      </c>
      <c r="F75" s="26">
        <f>节奏总纲!$BL74</f>
        <v>134.76985377611533</v>
      </c>
      <c r="G75" s="26">
        <f>数据索引!$E76</f>
        <v>3.6840867667994853E-5</v>
      </c>
      <c r="H75" s="26">
        <f>数据索引!J76</f>
        <v>6.9172858057687899E-5</v>
      </c>
      <c r="I75" s="54"/>
      <c r="J75" s="35">
        <v>71</v>
      </c>
      <c r="K75" s="55">
        <v>60</v>
      </c>
      <c r="L75" s="55">
        <f t="shared" si="30"/>
        <v>90</v>
      </c>
      <c r="M75" s="55"/>
      <c r="T75" s="35">
        <v>71</v>
      </c>
      <c r="U75" s="50">
        <f>INDEX($Q$5:$Q$21,MATCH(节奏总纲!BQ74,$N$5:$N$21,1))*(U$2+$K$2)*节奏总纲!W74*4*$C$5+U74</f>
        <v>846714421.67657661</v>
      </c>
      <c r="V75" s="50">
        <f>INDEX($Q$5:$Q$21,MATCH(节奏总纲!BR74,$N$5:$N$21,1))*(V$2+$K$2)*节奏总纲!X74*4*$C$5+V74</f>
        <v>2690436750.7741141</v>
      </c>
      <c r="W75" s="50">
        <f>INDEX($Q$5:$Q$21,MATCH(节奏总纲!BS74,$N$5:$N$21,1))*(W$2+$K$2)*节奏总纲!Y74*4*$C$5+W74</f>
        <v>5527923593.9060469</v>
      </c>
      <c r="X75" s="50">
        <f>INDEX($Q$5:$Q$21,MATCH(节奏总纲!BT74,$N$5:$N$21,1))*(X$2+$K$2)*节奏总纲!Z74*4*$C$5+X74</f>
        <v>8390566223.1263113</v>
      </c>
      <c r="Y75" s="50">
        <f>INDEX($Q$5:$Q$21,MATCH(节奏总纲!BU74,$N$5:$N$21,1))*(Y$2+$K$2)*节奏总纲!AA74*4*$C$5+Y74</f>
        <v>4789075934.9696522</v>
      </c>
      <c r="Z75" s="51">
        <f>SUMIFS($K$5:$K$1004,$J$5:$J$1004,"&lt;="&amp;U$2)*节奏总纲!W74*4+Z74</f>
        <v>54474.801281858199</v>
      </c>
      <c r="AA75" s="51">
        <f>SUMIFS($K$5:$K$1004,$J$5:$J$1004,"&lt;="&amp;V$2)*节奏总纲!X74*4+AA74</f>
        <v>424919.7924388785</v>
      </c>
      <c r="AB75" s="51">
        <f>SUMIFS($K$5:$K$1004,$J$5:$J$1004,"&lt;="&amp;W$2)*节奏总纲!Y74*4+AB74</f>
        <v>1043105.2848655332</v>
      </c>
      <c r="AC75" s="51">
        <f>SUMIFS($K$5:$K$1004,$J$5:$J$1004,"&lt;="&amp;X$2)*节奏总纲!Z74*4+AC74</f>
        <v>1609975.5144846779</v>
      </c>
      <c r="AD75" s="51">
        <f>SUMIFS($K$5:$K$1004,$J$5:$J$1004,"&lt;="&amp;Y$2)*节奏总纲!AA74*4+AD74</f>
        <v>892084.79327183799</v>
      </c>
      <c r="AH75" s="35">
        <v>71</v>
      </c>
      <c r="AI75" s="47">
        <f>'[1]资源-木石铜粮'!AE76-U75</f>
        <v>-777788059.53765106</v>
      </c>
      <c r="AJ75" s="47">
        <f>'[1]资源-木石铜粮'!AF76-V75</f>
        <v>-1710309733.9062557</v>
      </c>
      <c r="AK75" s="47">
        <f>'[1]资源-木石铜粮'!AG76-W75</f>
        <v>-3512399835.3222699</v>
      </c>
      <c r="AL75" s="47">
        <f>'[1]资源-木石铜粮'!AH76-X75</f>
        <v>-5828198241.8472147</v>
      </c>
      <c r="AM75" s="47">
        <f>'[1]资源-木石铜粮'!AI76-Y75</f>
        <v>-1597576086.7329483</v>
      </c>
      <c r="AN75" s="47">
        <f>(AI75-AI74)*IF($AH75&lt;=10,'[1]功能-付费相关'!S86,'[1]功能-付费相关'!S76)</f>
        <v>-1184.5404501044836</v>
      </c>
      <c r="AO75" s="47">
        <f>(AJ75-AJ74)*IF($AH75&lt;=10,'[1]功能-付费相关'!T86,'[1]功能-付费相关'!T76)</f>
        <v>-5072.1613100733057</v>
      </c>
      <c r="AP75" s="47">
        <f>(AK75-AK74)*IF($AH75&lt;=10,'[1]功能-付费相关'!U86,'[1]功能-付费相关'!U76)</f>
        <v>-11132.248700476726</v>
      </c>
      <c r="AQ75" s="47">
        <f>(AL75-AL74)*IF($AH75&lt;=10,'[1]功能-付费相关'!V86,'[1]功能-付费相关'!V76)</f>
        <v>-16348.125289311323</v>
      </c>
      <c r="AR75" s="47">
        <f>(AM75-AM74)*IF($AH75&lt;=10,'[1]功能-付费相关'!W86,'[1]功能-付费相关'!W76)</f>
        <v>-1961.5131528512882</v>
      </c>
      <c r="AS75" s="48">
        <f>SUM(AN$5:AN75)/'[1]资源-钻石'!L74</f>
        <v>-8.9385582165985064E-2</v>
      </c>
      <c r="AT75" s="48">
        <f>SUM(AO$5:AO75)/'[1]资源-钻石'!M74</f>
        <v>-0.13561612029418493</v>
      </c>
      <c r="AU75" s="48">
        <f>SUM(AP$5:AP75)/'[1]资源-钻石'!N74</f>
        <v>-0.17974421228779722</v>
      </c>
      <c r="AV75" s="48">
        <f>SUM(AQ$5:AQ75)/'[1]资源-钻石'!O74</f>
        <v>-0.1436478065523748</v>
      </c>
      <c r="AW75" s="48">
        <f>SUM(AR$5:AR75)/'[1]资源-钻石'!P74</f>
        <v>-3.5122162259287333E-2</v>
      </c>
      <c r="AX75" s="35">
        <f>('[1]资源-木石铜粮'!C76+U75)/'[1]资源-木石铜粮'!U76</f>
        <v>1.1726392296357759</v>
      </c>
      <c r="AY75" s="35">
        <f>('[1]资源-木石铜粮'!D76+V75)/'[1]资源-木石铜粮'!V76</f>
        <v>1.3379090721347595</v>
      </c>
      <c r="AZ75" s="35">
        <f>('[1]资源-木石铜粮'!E76+W75)/'[1]资源-木石铜粮'!W76</f>
        <v>1.6262852839565369</v>
      </c>
      <c r="BA75" s="35">
        <f>('[1]资源-木石铜粮'!F76+X75)/'[1]资源-木石铜粮'!X76</f>
        <v>2.0793268223659478</v>
      </c>
      <c r="BB75" s="35">
        <f>('[1]资源-木石铜粮'!G76+Y75)/'[1]资源-木石铜粮'!Y76</f>
        <v>1.3178276480410966</v>
      </c>
      <c r="BE75" s="39">
        <f t="shared" si="13"/>
        <v>6.4336687656734142E-5</v>
      </c>
      <c r="BF75" s="39">
        <f t="shared" si="14"/>
        <v>1.5793710531073334E-4</v>
      </c>
      <c r="BG75" s="39">
        <f t="shared" si="15"/>
        <v>1.8869748598107378E-4</v>
      </c>
      <c r="BH75" s="39">
        <f t="shared" si="16"/>
        <v>1.9187924529422327E-4</v>
      </c>
      <c r="BI75" s="39">
        <f t="shared" si="17"/>
        <v>1.8627493182095286E-4</v>
      </c>
      <c r="BK75" s="39">
        <f>BE75/求节点(节奏总纲!AM$4:AM$83,$G$5:$G$84,节奏总纲!P74)</f>
        <v>0.41669634025512864</v>
      </c>
      <c r="BL75" s="39">
        <f>BF75/求节点(节奏总纲!AN$4:AN$83,$G$5:$G$84,节奏总纲!Q74)</f>
        <v>1.0539873672331073</v>
      </c>
      <c r="BM75" s="39">
        <f>BG75/求节点(节奏总纲!AO$4:AO$83,$G$5:$G$84,节奏总纲!R74)</f>
        <v>1.3022993997133219</v>
      </c>
      <c r="BN75" s="39">
        <f>BH75/求节点(节奏总纲!AP$4:AP$83,$G$5:$G$84,节奏总纲!S74)</f>
        <v>1.3720687013975805</v>
      </c>
      <c r="BO75" s="39">
        <f>BI75/求节点(节奏总纲!AQ$4:AQ$83,$G$5:$G$84,节奏总纲!T74)</f>
        <v>1.3838530285607689</v>
      </c>
    </row>
    <row r="76" spans="5:67" x14ac:dyDescent="0.15">
      <c r="E76" s="26">
        <v>72</v>
      </c>
      <c r="F76" s="26">
        <f>节奏总纲!$BL75</f>
        <v>136.8190741194654</v>
      </c>
      <c r="G76" s="26">
        <f>数据索引!$E77</f>
        <v>3.627545915723006E-5</v>
      </c>
      <c r="H76" s="26">
        <f>数据索引!J77</f>
        <v>6.7702785473586425E-5</v>
      </c>
      <c r="I76" s="54"/>
      <c r="J76" s="35">
        <v>72</v>
      </c>
      <c r="K76" s="55">
        <v>60</v>
      </c>
      <c r="L76" s="55">
        <f t="shared" si="30"/>
        <v>90</v>
      </c>
      <c r="M76" s="55"/>
      <c r="T76" s="35">
        <v>72</v>
      </c>
      <c r="U76" s="50">
        <f>INDEX($Q$5:$Q$21,MATCH(节奏总纲!BQ75,$N$5:$N$21,1))*(U$2+$K$2)*节奏总纲!W75*4*$C$5+U75</f>
        <v>942903374.95059741</v>
      </c>
      <c r="V76" s="50">
        <f>INDEX($Q$5:$Q$21,MATCH(节奏总纲!BR75,$N$5:$N$21,1))*(V$2+$K$2)*节奏总纲!X75*4*$C$5+V75</f>
        <v>2982720439.1022277</v>
      </c>
      <c r="W76" s="50">
        <f>INDEX($Q$5:$Q$21,MATCH(节奏总纲!BS75,$N$5:$N$21,1))*(W$2+$K$2)*节奏总纲!Y75*4*$C$5+W75</f>
        <v>6087155553.8180532</v>
      </c>
      <c r="X76" s="50">
        <f>INDEX($Q$5:$Q$21,MATCH(节奏总纲!BT75,$N$5:$N$21,1))*(X$2+$K$2)*节奏总纲!Z75*4*$C$5+X75</f>
        <v>9208498518.7955551</v>
      </c>
      <c r="Y76" s="50">
        <f>INDEX($Q$5:$Q$21,MATCH(节奏总纲!BU75,$N$5:$N$21,1))*(Y$2+$K$2)*节奏总纲!AA75*4*$C$5+Y75</f>
        <v>5244660818.7193518</v>
      </c>
      <c r="Z76" s="51">
        <f>SUMIFS($K$5:$K$1004,$J$5:$J$1004,"&lt;="&amp;U$2)*节奏总纲!W75*4+Z75</f>
        <v>58413.355775848177</v>
      </c>
      <c r="AA76" s="51">
        <f>SUMIFS($K$5:$K$1004,$J$5:$J$1004,"&lt;="&amp;V$2)*节奏总纲!X75*4+AA75</f>
        <v>455694.27107854676</v>
      </c>
      <c r="AB76" s="51">
        <f>SUMIFS($K$5:$K$1004,$J$5:$J$1004,"&lt;="&amp;W$2)*节奏总纲!Y75*4+AB75</f>
        <v>1115841.1287081395</v>
      </c>
      <c r="AC76" s="51">
        <f>SUMIFS($K$5:$K$1004,$J$5:$J$1004,"&lt;="&amp;X$2)*节奏总纲!Z75*4+AC75</f>
        <v>1723380.9181260038</v>
      </c>
      <c r="AD76" s="51">
        <f>SUMIFS($K$5:$K$1004,$J$5:$J$1004,"&lt;="&amp;Y$2)*节奏总纲!AA75*4+AD75</f>
        <v>955251.13100917789</v>
      </c>
      <c r="AH76" s="35">
        <v>72</v>
      </c>
      <c r="AI76" s="47">
        <f>'[1]资源-木石铜粮'!AE77-U76</f>
        <v>-800275744.37221682</v>
      </c>
      <c r="AJ76" s="47">
        <f>'[1]资源-木石铜粮'!AF77-V76</f>
        <v>-1833907820.6346641</v>
      </c>
      <c r="AK76" s="47">
        <f>'[1]资源-木石铜粮'!AG77-W76</f>
        <v>-3809199581.1084647</v>
      </c>
      <c r="AL76" s="47">
        <f>'[1]资源-木石铜粮'!AH77-X76</f>
        <v>-6301990750.390543</v>
      </c>
      <c r="AM76" s="47">
        <f>'[1]资源-木石铜粮'!AI77-Y76</f>
        <v>-1643787460.1310387</v>
      </c>
      <c r="AN76" s="47">
        <f>(AI76-AI75)*IF($AH76&lt;=10,'[1]功能-付费相关'!S87,'[1]功能-付费相关'!S77)</f>
        <v>-883.40416475329005</v>
      </c>
      <c r="AO76" s="47">
        <f>(AJ76-AJ75)*IF($AH76&lt;=10,'[1]功能-付费相关'!T87,'[1]功能-付费相关'!T77)</f>
        <v>-4704.6015964162307</v>
      </c>
      <c r="AP76" s="47">
        <f>(AK76-AK75)*IF($AH76&lt;=10,'[1]功能-付费相关'!U87,'[1]功能-付费相关'!U77)</f>
        <v>-10766.547056143374</v>
      </c>
      <c r="AQ76" s="47">
        <f>(AL76-AL75)*IF($AH76&lt;=10,'[1]功能-付费相关'!V87,'[1]功能-付费相关'!V77)</f>
        <v>-16197.334848343309</v>
      </c>
      <c r="AR76" s="47">
        <f>(AM76-AM75)*IF($AH76&lt;=10,'[1]功能-付费相关'!W87,'[1]功能-付费相关'!W77)</f>
        <v>-1519.387103084711</v>
      </c>
      <c r="AS76" s="48">
        <f>SUM(AN$5:AN76)/'[1]资源-钻石'!L75</f>
        <v>-8.5699433199864741E-2</v>
      </c>
      <c r="AT76" s="48">
        <f>SUM(AO$5:AO76)/'[1]资源-钻石'!M75</f>
        <v>-0.13283862522343182</v>
      </c>
      <c r="AU76" s="48">
        <f>SUM(AP$5:AP76)/'[1]资源-钻石'!N75</f>
        <v>-0.17745072768644515</v>
      </c>
      <c r="AV76" s="48">
        <f>SUM(AQ$5:AQ76)/'[1]资源-钻石'!O75</f>
        <v>-0.14042590925031104</v>
      </c>
      <c r="AW76" s="48">
        <f>SUM(AR$5:AR76)/'[1]资源-钻石'!P75</f>
        <v>-3.3313310183052357E-2</v>
      </c>
      <c r="AX76" s="35">
        <f>('[1]资源-木石铜粮'!C77+U76)/'[1]资源-木石铜粮'!U77</f>
        <v>1.15847174940368</v>
      </c>
      <c r="AY76" s="35">
        <f>('[1]资源-木石铜粮'!D77+V76)/'[1]资源-木石铜粮'!V77</f>
        <v>1.3236200639871671</v>
      </c>
      <c r="AZ76" s="35">
        <f>('[1]资源-木石铜粮'!E77+W76)/'[1]资源-木石铜粮'!W77</f>
        <v>1.6089042221242273</v>
      </c>
      <c r="BA76" s="35">
        <f>('[1]资源-木石铜粮'!F77+X76)/'[1]资源-木石铜粮'!X77</f>
        <v>2.0428085186863534</v>
      </c>
      <c r="BB76" s="35">
        <f>('[1]资源-木石铜粮'!G77+Y76)/'[1]资源-木石铜粮'!Y77</f>
        <v>1.2922670215588199</v>
      </c>
      <c r="BE76" s="39">
        <f t="shared" si="13"/>
        <v>6.1950521471946897E-5</v>
      </c>
      <c r="BF76" s="39">
        <f t="shared" si="14"/>
        <v>1.5277806967913717E-4</v>
      </c>
      <c r="BG76" s="39">
        <f t="shared" si="15"/>
        <v>1.8331076294054113E-4</v>
      </c>
      <c r="BH76" s="39">
        <f t="shared" si="16"/>
        <v>1.8715113159961902E-4</v>
      </c>
      <c r="BI76" s="39">
        <f t="shared" si="17"/>
        <v>1.8213782816987436E-4</v>
      </c>
      <c r="BK76" s="39">
        <f>BE76/求节点(节奏总纲!AM$4:AM$83,$G$5:$G$84,节奏总纲!P75)</f>
        <v>0.41176382628011821</v>
      </c>
      <c r="BL76" s="39">
        <f>BF76/求节点(节奏总纲!AN$4:AN$83,$G$5:$G$84,节奏总纲!Q75)</f>
        <v>1.0479565444201706</v>
      </c>
      <c r="BM76" s="39">
        <f>BG76/求节点(节奏总纲!AO$4:AO$83,$G$5:$G$84,节奏总纲!R75)</f>
        <v>1.2977453016692664</v>
      </c>
      <c r="BN76" s="39">
        <f>BH76/求节点(节奏总纲!AP$4:AP$83,$G$5:$G$84,节奏总纲!S75)</f>
        <v>1.3725198580010114</v>
      </c>
      <c r="BO76" s="39">
        <f>BI76/求节点(节奏总纲!AQ$4:AQ$83,$G$5:$G$84,节奏总纲!T75)</f>
        <v>1.3904266753699279</v>
      </c>
    </row>
    <row r="77" spans="5:67" x14ac:dyDescent="0.15">
      <c r="E77" s="26">
        <v>73</v>
      </c>
      <c r="F77" s="26">
        <f>节奏总纲!$BL76</f>
        <v>138.91106706435997</v>
      </c>
      <c r="G77" s="26">
        <f>数据索引!$E78</f>
        <v>3.5726939461978707E-5</v>
      </c>
      <c r="H77" s="26">
        <f>数据索引!J78</f>
        <v>6.6287325566665394E-5</v>
      </c>
      <c r="I77" s="54"/>
      <c r="J77" s="35">
        <v>73</v>
      </c>
      <c r="K77" s="55">
        <v>60</v>
      </c>
      <c r="L77" s="55">
        <f t="shared" si="30"/>
        <v>90</v>
      </c>
      <c r="M77" s="55"/>
      <c r="T77" s="35">
        <v>73</v>
      </c>
      <c r="U77" s="50">
        <f>INDEX($Q$5:$Q$21,MATCH(节奏总纲!BQ76,$N$5:$N$21,1))*(U$2+$K$2)*节奏总纲!W76*4*$C$5+U76</f>
        <v>1045996142.4588368</v>
      </c>
      <c r="V77" s="50">
        <f>INDEX($Q$5:$Q$21,MATCH(节奏总纲!BR76,$N$5:$N$21,1))*(V$2+$K$2)*节奏总纲!X76*4*$C$5+V76</f>
        <v>3284775467.4154658</v>
      </c>
      <c r="W77" s="50">
        <f>INDEX($Q$5:$Q$21,MATCH(节奏总纲!BS76,$N$5:$N$21,1))*(W$2+$K$2)*节奏总纲!Y76*4*$C$5+W76</f>
        <v>6690226641.8816557</v>
      </c>
      <c r="X77" s="50">
        <f>INDEX($Q$5:$Q$21,MATCH(节奏总纲!BT76,$N$5:$N$21,1))*(X$2+$K$2)*节奏总纲!Z76*4*$C$5+X76</f>
        <v>10091289089.456835</v>
      </c>
      <c r="Y77" s="50">
        <f>INDEX($Q$5:$Q$21,MATCH(节奏总纲!BU76,$N$5:$N$21,1))*(Y$2+$K$2)*节奏总纲!AA76*4*$C$5+Y76</f>
        <v>5734820701.2941809</v>
      </c>
      <c r="Z77" s="51">
        <f>SUMIFS($K$5:$K$1004,$J$5:$J$1004,"&lt;="&amp;U$2)*节奏总纲!W76*4+Z76</f>
        <v>62634.593963259707</v>
      </c>
      <c r="AA77" s="51">
        <f>SUMIFS($K$5:$K$1004,$J$5:$J$1004,"&lt;="&amp;V$2)*节奏总纲!X76*4+AA76</f>
        <v>487497.5717348429</v>
      </c>
      <c r="AB77" s="51">
        <f>SUMIFS($K$5:$K$1004,$J$5:$J$1004,"&lt;="&amp;W$2)*节奏总纲!Y76*4+AB76</f>
        <v>1194278.8569350578</v>
      </c>
      <c r="AC77" s="51">
        <f>SUMIFS($K$5:$K$1004,$J$5:$J$1004,"&lt;="&amp;X$2)*节奏总纲!Z76*4+AC76</f>
        <v>1845778.8495033006</v>
      </c>
      <c r="AD77" s="51">
        <f>SUMIFS($K$5:$K$1004,$J$5:$J$1004,"&lt;="&amp;Y$2)*节奏总纲!AA76*4+AD76</f>
        <v>1023211.2539026033</v>
      </c>
      <c r="AH77" s="35">
        <v>73</v>
      </c>
      <c r="AI77" s="47">
        <f>'[1]资源-木石铜粮'!AE78-U77</f>
        <v>-802374430.39400315</v>
      </c>
      <c r="AJ77" s="47">
        <f>'[1]资源-木石铜粮'!AF78-V77</f>
        <v>-1941411202.2488608</v>
      </c>
      <c r="AK77" s="47">
        <f>'[1]资源-木石铜粮'!AG78-W77</f>
        <v>-4117256712.4273739</v>
      </c>
      <c r="AL77" s="47">
        <f>'[1]资源-木石铜粮'!AH78-X77</f>
        <v>-6739050318.0477314</v>
      </c>
      <c r="AM77" s="47">
        <f>'[1]资源-木石铜粮'!AI78-Y77</f>
        <v>-1676158921.7206359</v>
      </c>
      <c r="AN77" s="47">
        <f>(AI77-AI76)*IF($AH77&lt;=10,'[1]功能-付费相关'!S88,'[1]功能-付费相关'!S78)</f>
        <v>-80.989879167558811</v>
      </c>
      <c r="AO77" s="47">
        <f>(AJ77-AJ76)*IF($AH77&lt;=10,'[1]功能-付费相关'!T88,'[1]功能-付费相关'!T78)</f>
        <v>-4018.1885205481735</v>
      </c>
      <c r="AP77" s="47">
        <f>(AK77-AK76)*IF($AH77&lt;=10,'[1]功能-付费相关'!U88,'[1]功能-付费相关'!U78)</f>
        <v>-11005.938481461493</v>
      </c>
      <c r="AQ77" s="47">
        <f>(AL77-AL76)*IF($AH77&lt;=10,'[1]功能-付费相关'!V88,'[1]功能-付费相关'!V78)</f>
        <v>-14686.713453078515</v>
      </c>
      <c r="AR77" s="47">
        <f>(AM77-AM76)*IF($AH77&lt;=10,'[1]功能-付费相关'!W88,'[1]功能-付费相关'!W78)</f>
        <v>-1045.7310224625705</v>
      </c>
      <c r="AS77" s="48">
        <f>SUM(AN$5:AN77)/'[1]资源-钻石'!L76</f>
        <v>-8.1134241412413363E-2</v>
      </c>
      <c r="AT77" s="48">
        <f>SUM(AO$5:AO77)/'[1]资源-钻石'!M76</f>
        <v>-0.12947292222568307</v>
      </c>
      <c r="AU77" s="48">
        <f>SUM(AP$5:AP77)/'[1]资源-钻石'!N76</f>
        <v>-0.17483914574337331</v>
      </c>
      <c r="AV77" s="48">
        <f>SUM(AQ$5:AQ77)/'[1]资源-钻石'!O76</f>
        <v>-0.13641416536557624</v>
      </c>
      <c r="AW77" s="48">
        <f>SUM(AR$5:AR77)/'[1]资源-钻石'!P76</f>
        <v>-3.1453654955814661E-2</v>
      </c>
      <c r="AX77" s="35">
        <f>('[1]资源-木石铜粮'!C78+U77)/'[1]资源-木石铜粮'!U78</f>
        <v>1.1416509434538633</v>
      </c>
      <c r="AY77" s="35">
        <f>('[1]资源-木石铜粮'!D78+V77)/'[1]资源-木石铜粮'!V78</f>
        <v>1.3070163976717364</v>
      </c>
      <c r="AZ77" s="35">
        <f>('[1]资源-木石铜粮'!E78+W77)/'[1]资源-木石铜粮'!W78</f>
        <v>1.590517631223936</v>
      </c>
      <c r="BA77" s="35">
        <f>('[1]资源-木石铜粮'!F78+X77)/'[1]资源-木石铜粮'!X78</f>
        <v>1.9875193065187111</v>
      </c>
      <c r="BB77" s="35">
        <f>('[1]资源-木石铜粮'!G78+Y77)/'[1]资源-木石铜粮'!Y78</f>
        <v>1.2665440651178677</v>
      </c>
      <c r="BE77" s="39">
        <f t="shared" si="13"/>
        <v>5.9880329784031276E-5</v>
      </c>
      <c r="BF77" s="39">
        <f t="shared" si="14"/>
        <v>1.4841123132182206E-4</v>
      </c>
      <c r="BG77" s="39">
        <f t="shared" si="15"/>
        <v>1.785109714308814E-4</v>
      </c>
      <c r="BH77" s="39">
        <f t="shared" si="16"/>
        <v>1.8290813325640739E-4</v>
      </c>
      <c r="BI77" s="39">
        <f t="shared" si="17"/>
        <v>1.7842079241844379E-4</v>
      </c>
      <c r="BK77" s="39">
        <f>BE77/求节点(节奏总纲!AM$4:AM$83,$G$5:$G$84,节奏总纲!P76)</f>
        <v>0.40924494962693653</v>
      </c>
      <c r="BL77" s="39">
        <f>BF77/求节点(节奏总纲!AN$4:AN$83,$G$5:$G$84,节奏总纲!Q76)</f>
        <v>1.0436553394796431</v>
      </c>
      <c r="BM77" s="39">
        <f>BG77/求节点(节奏总纲!AO$4:AO$83,$G$5:$G$84,节奏总纲!R76)</f>
        <v>1.2975016817827922</v>
      </c>
      <c r="BN77" s="39">
        <f>BH77/求节点(节奏总纲!AP$4:AP$83,$G$5:$G$84,节奏总纲!S76)</f>
        <v>1.3769829812633043</v>
      </c>
      <c r="BO77" s="39">
        <f>BI77/求节点(节奏总纲!AQ$4:AQ$83,$G$5:$G$84,节奏总纲!T76)</f>
        <v>1.3957423440215031</v>
      </c>
    </row>
    <row r="78" spans="5:67" x14ac:dyDescent="0.15">
      <c r="E78" s="26">
        <v>74</v>
      </c>
      <c r="F78" s="26">
        <f>节奏总纲!$BL77</f>
        <v>141.12063409703663</v>
      </c>
      <c r="G78" s="26">
        <f>数据索引!$E79</f>
        <v>3.5184347910559242E-5</v>
      </c>
      <c r="H78" s="26">
        <f>数据索引!J79</f>
        <v>6.4867622157492436E-5</v>
      </c>
      <c r="I78" s="54"/>
      <c r="J78" s="35">
        <v>74</v>
      </c>
      <c r="K78" s="55">
        <v>60</v>
      </c>
      <c r="L78" s="55">
        <f t="shared" si="30"/>
        <v>90</v>
      </c>
      <c r="M78" s="55"/>
      <c r="T78" s="35">
        <v>74</v>
      </c>
      <c r="U78" s="50">
        <f>INDEX($Q$5:$Q$21,MATCH(节奏总纲!BQ77,$N$5:$N$21,1))*(U$2+$K$2)*节奏总纲!W77*4*$C$5+U77</f>
        <v>1156488234.8535912</v>
      </c>
      <c r="V78" s="50">
        <f>INDEX($Q$5:$Q$21,MATCH(节奏总纲!BR77,$N$5:$N$21,1))*(V$2+$K$2)*节奏总纲!X77*4*$C$5+V77</f>
        <v>3618064807.2359066</v>
      </c>
      <c r="W78" s="50">
        <f>INDEX($Q$5:$Q$21,MATCH(节奏总纲!BS77,$N$5:$N$21,1))*(W$2+$K$2)*节奏总纲!Y77*4*$C$5+W77</f>
        <v>7364630743.4596672</v>
      </c>
      <c r="X78" s="50">
        <f>INDEX($Q$5:$Q$21,MATCH(节奏总纲!BT77,$N$5:$N$21,1))*(X$2+$K$2)*节奏总纲!Z77*4*$C$5+X77</f>
        <v>11063927227.499668</v>
      </c>
      <c r="Y78" s="50">
        <f>INDEX($Q$5:$Q$21,MATCH(节奏总纲!BU77,$N$5:$N$21,1))*(Y$2+$K$2)*节奏总纲!AA77*4*$C$5+Y77</f>
        <v>6276165339.8731956</v>
      </c>
      <c r="Z78" s="51">
        <f>SUMIFS($K$5:$K$1004,$J$5:$J$1004,"&lt;="&amp;U$2)*节奏总纲!W77*4+Z77</f>
        <v>67158.805031572178</v>
      </c>
      <c r="AA78" s="51">
        <f>SUMIFS($K$5:$K$1004,$J$5:$J$1004,"&lt;="&amp;V$2)*节奏总纲!X77*4+AA77</f>
        <v>522589.52547267568</v>
      </c>
      <c r="AB78" s="51">
        <f>SUMIFS($K$5:$K$1004,$J$5:$J$1004,"&lt;="&amp;W$2)*节奏总纲!Y77*4+AB77</f>
        <v>1281994.4292476808</v>
      </c>
      <c r="AC78" s="51">
        <f>SUMIFS($K$5:$K$1004,$J$5:$J$1004,"&lt;="&amp;X$2)*节奏总纲!Z77*4+AC77</f>
        <v>1980634.0462301201</v>
      </c>
      <c r="AD78" s="51">
        <f>SUMIFS($K$5:$K$1004,$J$5:$J$1004,"&lt;="&amp;Y$2)*节奏总纲!AA77*4+AD77</f>
        <v>1098268.0863228093</v>
      </c>
      <c r="AH78" s="35">
        <v>74</v>
      </c>
      <c r="AI78" s="47">
        <f>'[1]资源-木石铜粮'!AE79-U78</f>
        <v>-804373803.28069425</v>
      </c>
      <c r="AJ78" s="47">
        <f>'[1]资源-木石铜粮'!AF79-V78</f>
        <v>-2054469544.4556208</v>
      </c>
      <c r="AK78" s="47">
        <f>'[1]资源-木石铜粮'!AG79-W78</f>
        <v>-4453465330.7954998</v>
      </c>
      <c r="AL78" s="47">
        <f>'[1]资源-木石铜粮'!AH79-X78</f>
        <v>-7263352666.5539913</v>
      </c>
      <c r="AM78" s="47">
        <f>'[1]资源-木石铜粮'!AI79-Y78</f>
        <v>-1708813519.9720707</v>
      </c>
      <c r="AN78" s="47">
        <f>(AI78-AI77)*IF($AH78&lt;=10,'[1]功能-付费相关'!S89,'[1]功能-付费相关'!S79)</f>
        <v>-75.799789552243297</v>
      </c>
      <c r="AO78" s="47">
        <f>(AJ78-AJ77)*IF($AH78&lt;=10,'[1]功能-付费相关'!T89,'[1]功能-付费相关'!T79)</f>
        <v>-4145.437147685644</v>
      </c>
      <c r="AP78" s="47">
        <f>(AK78-AK77)*IF($AH78&lt;=10,'[1]功能-付费相关'!U89,'[1]功能-付费相关'!U79)</f>
        <v>-11829.280999192581</v>
      </c>
      <c r="AQ78" s="47">
        <f>(AL78-AL77)*IF($AH78&lt;=10,'[1]功能-付费相关'!V89,'[1]功能-付费相关'!V79)</f>
        <v>-17312.82508937499</v>
      </c>
      <c r="AR78" s="47">
        <f>(AM78-AM77)*IF($AH78&lt;=10,'[1]功能-付费相关'!W89,'[1]功能-付费相关'!W79)</f>
        <v>-1036.1499685176279</v>
      </c>
      <c r="AS78" s="48">
        <f>SUM(AN$5:AN78)/'[1]资源-钻石'!L77</f>
        <v>-7.6750033812805402E-2</v>
      </c>
      <c r="AT78" s="48">
        <f>SUM(AO$5:AO78)/'[1]资源-钻石'!M77</f>
        <v>-0.12589942907638949</v>
      </c>
      <c r="AU78" s="48">
        <f>SUM(AP$5:AP78)/'[1]资源-钻石'!N77</f>
        <v>-0.17194414853248219</v>
      </c>
      <c r="AV78" s="48">
        <f>SUM(AQ$5:AQ78)/'[1]资源-钻石'!O77</f>
        <v>-0.13292199841539959</v>
      </c>
      <c r="AW78" s="48">
        <f>SUM(AR$5:AR78)/'[1]资源-钻石'!P77</f>
        <v>-2.9629272924034895E-2</v>
      </c>
      <c r="AX78" s="35">
        <f>('[1]资源-木石铜粮'!C79+U78)/'[1]资源-木石铜粮'!U79</f>
        <v>1.1269207640897374</v>
      </c>
      <c r="AY78" s="35">
        <f>('[1]资源-木石铜粮'!D79+V78)/'[1]资源-木石铜粮'!V79</f>
        <v>1.290951223564889</v>
      </c>
      <c r="AZ78" s="35">
        <f>('[1]资源-木石铜粮'!E79+W78)/'[1]资源-木石铜粮'!W79</f>
        <v>1.5717289769036822</v>
      </c>
      <c r="BA78" s="35">
        <f>('[1]资源-木石铜粮'!F79+X78)/'[1]资源-木石铜粮'!X79</f>
        <v>1.9486866702867045</v>
      </c>
      <c r="BB78" s="35">
        <f>('[1]资源-木石铜粮'!G79+Y78)/'[1]资源-木石铜粮'!Y79</f>
        <v>1.2431824913688474</v>
      </c>
      <c r="BE78" s="39">
        <f t="shared" si="13"/>
        <v>5.80713257667289E-5</v>
      </c>
      <c r="BF78" s="39">
        <f t="shared" si="14"/>
        <v>1.4443896207373867E-4</v>
      </c>
      <c r="BG78" s="39">
        <f t="shared" si="15"/>
        <v>1.7407450202254688E-4</v>
      </c>
      <c r="BH78" s="39">
        <f t="shared" si="16"/>
        <v>1.7901726986301977E-4</v>
      </c>
      <c r="BI78" s="39">
        <f t="shared" si="17"/>
        <v>1.7499030488336351E-4</v>
      </c>
      <c r="BK78" s="39">
        <f>BE78/求节点(节奏总纲!AM$4:AM$83,$G$5:$G$84,节奏总纲!P77)</f>
        <v>0.4070929170760455</v>
      </c>
      <c r="BL78" s="39">
        <f>BF78/求节点(节奏总纲!AN$4:AN$83,$G$5:$G$84,节奏总纲!Q77)</f>
        <v>1.0441765486408097</v>
      </c>
      <c r="BM78" s="39">
        <f>BG78/求节点(节奏总纲!AO$4:AO$83,$G$5:$G$84,节奏总纲!R77)</f>
        <v>1.2988030255332044</v>
      </c>
      <c r="BN78" s="39">
        <f>BH78/求节点(节奏总纲!AP$4:AP$83,$G$5:$G$84,节奏总纲!S77)</f>
        <v>1.3838402471723634</v>
      </c>
      <c r="BO78" s="39">
        <f>BI78/求节点(节奏总纲!AQ$4:AQ$83,$G$5:$G$84,节奏总纲!T77)</f>
        <v>1.4073535180723347</v>
      </c>
    </row>
    <row r="79" spans="5:67" x14ac:dyDescent="0.15">
      <c r="E79" s="26">
        <v>75</v>
      </c>
      <c r="F79" s="26">
        <f>节奏总纲!$BL78</f>
        <v>143.16904869712448</v>
      </c>
      <c r="G79" s="26">
        <f>数据索引!$E80</f>
        <v>3.4649425910048508E-5</v>
      </c>
      <c r="H79" s="26">
        <f>数据索引!J80</f>
        <v>6.3454168087343922E-5</v>
      </c>
      <c r="I79" s="54"/>
      <c r="J79" s="35">
        <v>75</v>
      </c>
      <c r="K79" s="55">
        <v>60</v>
      </c>
      <c r="L79" s="55">
        <f t="shared" si="30"/>
        <v>90</v>
      </c>
      <c r="M79" s="55"/>
      <c r="T79" s="35">
        <v>75</v>
      </c>
      <c r="U79" s="50">
        <f>INDEX($Q$5:$Q$21,MATCH(节奏总纲!BQ78,$N$5:$N$21,1))*(U$2+$K$2)*节奏总纲!W78*4*$C$5+U78</f>
        <v>1274910727.3023973</v>
      </c>
      <c r="V79" s="50">
        <f>INDEX($Q$5:$Q$21,MATCH(节奏总纲!BR78,$N$5:$N$21,1))*(V$2+$K$2)*节奏总纲!X78*4*$C$5+V78</f>
        <v>3980116175.1893864</v>
      </c>
      <c r="W79" s="50">
        <f>INDEX($Q$5:$Q$21,MATCH(节奏总纲!BS78,$N$5:$N$21,1))*(W$2+$K$2)*节奏总纲!Y78*4*$C$5+W78</f>
        <v>8085259580.4622717</v>
      </c>
      <c r="X79" s="50">
        <f>INDEX($Q$5:$Q$21,MATCH(节奏总纲!BT78,$N$5:$N$21,1))*(X$2+$K$2)*节奏总纲!Z78*4*$C$5+X78</f>
        <v>12107177071.71122</v>
      </c>
      <c r="Y79" s="50">
        <f>INDEX($Q$5:$Q$21,MATCH(节奏总纲!BU78,$N$5:$N$21,1))*(Y$2+$K$2)*节奏总纲!AA78*4*$C$5+Y78</f>
        <v>6865846670.5402603</v>
      </c>
      <c r="Z79" s="51">
        <f>SUMIFS($K$5:$K$1004,$J$5:$J$1004,"&lt;="&amp;U$2)*节奏总纲!W78*4+Z78</f>
        <v>72007.734393502455</v>
      </c>
      <c r="AA79" s="51">
        <f>SUMIFS($K$5:$K$1004,$J$5:$J$1004,"&lt;="&amp;V$2)*节奏总纲!X78*4+AA78</f>
        <v>560709.82617532474</v>
      </c>
      <c r="AB79" s="51">
        <f>SUMIFS($K$5:$K$1004,$J$5:$J$1004,"&lt;="&amp;W$2)*节奏总纲!Y78*4+AB78</f>
        <v>1375722.1671347427</v>
      </c>
      <c r="AC79" s="51">
        <f>SUMIFS($K$5:$K$1004,$J$5:$J$1004,"&lt;="&amp;X$2)*节奏总纲!Z78*4+AC78</f>
        <v>2125279.4775304678</v>
      </c>
      <c r="AD79" s="51">
        <f>SUMIFS($K$5:$K$1004,$J$5:$J$1004,"&lt;="&amp;Y$2)*节奏总纲!AA78*4+AD78</f>
        <v>1180026.7473735213</v>
      </c>
      <c r="AH79" s="35">
        <v>75</v>
      </c>
      <c r="AI79" s="47">
        <f>'[1]资源-木石铜粮'!AE80-U79</f>
        <v>-805213554.36854029</v>
      </c>
      <c r="AJ79" s="47">
        <f>'[1]资源-木石铜粮'!AF80-V79</f>
        <v>-2114865732.7025948</v>
      </c>
      <c r="AK79" s="47">
        <f>'[1]资源-木石铜粮'!AG80-W79</f>
        <v>-4795854946.5493574</v>
      </c>
      <c r="AL79" s="47">
        <f>'[1]资源-木石铜粮'!AH80-X79</f>
        <v>-7828353750.8688679</v>
      </c>
      <c r="AM79" s="47">
        <f>'[1]资源-木石铜粮'!AI80-Y79</f>
        <v>-1738515065.7525587</v>
      </c>
      <c r="AN79" s="47">
        <f>(AI79-AI78)*IF($AH79&lt;=10,'[1]功能-付费相关'!S90,'[1]功能-付费相关'!S80)</f>
        <v>-31.273466926547172</v>
      </c>
      <c r="AO79" s="47">
        <f>(AJ79-AJ78)*IF($AH79&lt;=10,'[1]功能-付费相关'!T90,'[1]功能-付费相关'!T80)</f>
        <v>-2172.4356788205068</v>
      </c>
      <c r="AP79" s="47">
        <f>(AK79-AK78)*IF($AH79&lt;=10,'[1]功能-付费相关'!U90,'[1]功能-付费相关'!U80)</f>
        <v>-11863.603623433266</v>
      </c>
      <c r="AQ79" s="47">
        <f>(AL79-AL78)*IF($AH79&lt;=10,'[1]功能-付费相关'!V90,'[1]功能-付费相关'!V80)</f>
        <v>-18332.663823882172</v>
      </c>
      <c r="AR79" s="47">
        <f>(AM79-AM78)*IF($AH79&lt;=10,'[1]功能-付费相关'!W90,'[1]功能-付费相关'!W80)</f>
        <v>-925.60125129565154</v>
      </c>
      <c r="AS79" s="48">
        <f>SUM(AN$5:AN79)/'[1]资源-钻石'!L78</f>
        <v>-7.2505161880648636E-2</v>
      </c>
      <c r="AT79" s="48">
        <f>SUM(AO$5:AO79)/'[1]资源-钻石'!M78</f>
        <v>-0.12048013234318819</v>
      </c>
      <c r="AU79" s="48">
        <f>SUM(AP$5:AP79)/'[1]资源-钻石'!N78</f>
        <v>-0.16874537774780093</v>
      </c>
      <c r="AV79" s="48">
        <f>SUM(AQ$5:AQ79)/'[1]资源-钻石'!O78</f>
        <v>-0.1298549276451034</v>
      </c>
      <c r="AW79" s="48">
        <f>SUM(AR$5:AR79)/'[1]资源-钻石'!P78</f>
        <v>-2.785155720090169E-2</v>
      </c>
      <c r="AX79" s="35">
        <f>('[1]资源-木石铜粮'!C80+U79)/'[1]资源-木石铜粮'!U80</f>
        <v>1.1139034248833437</v>
      </c>
      <c r="AY79" s="35">
        <f>('[1]资源-木石铜粮'!D80+V79)/'[1]资源-木石铜粮'!V80</f>
        <v>1.2663686495012361</v>
      </c>
      <c r="AZ79" s="35">
        <f>('[1]资源-木石铜粮'!E80+W79)/'[1]资源-木石铜粮'!W80</f>
        <v>1.5520884832403772</v>
      </c>
      <c r="BA79" s="35">
        <f>('[1]资源-木石铜粮'!F80+X79)/'[1]资源-木石铜粮'!X80</f>
        <v>1.9153166215121522</v>
      </c>
      <c r="BB79" s="35">
        <f>('[1]资源-木石铜粮'!G80+Y79)/'[1]资源-木石铜粮'!Y80</f>
        <v>1.2215562883678717</v>
      </c>
      <c r="BE79" s="39">
        <f t="shared" si="13"/>
        <v>5.6480609074381779E-5</v>
      </c>
      <c r="BF79" s="39">
        <f t="shared" si="14"/>
        <v>1.4087775368733913E-4</v>
      </c>
      <c r="BG79" s="39">
        <f t="shared" si="15"/>
        <v>1.7015188608899138E-4</v>
      </c>
      <c r="BH79" s="39">
        <f t="shared" si="16"/>
        <v>1.7553881180909186E-4</v>
      </c>
      <c r="BI79" s="39">
        <f t="shared" si="17"/>
        <v>1.7186907951742349E-4</v>
      </c>
      <c r="BK79" s="39">
        <f>BE79/求节点(节奏总纲!AM$4:AM$83,$G$5:$G$84,节奏总纲!P78)</f>
        <v>0.40716963682386154</v>
      </c>
      <c r="BL79" s="39">
        <f>BF79/求节点(节奏总纲!AN$4:AN$83,$G$5:$G$84,节奏总纲!Q78)</f>
        <v>1.0446746337102466</v>
      </c>
      <c r="BM79" s="39">
        <f>BG79/求节点(节奏总纲!AO$4:AO$83,$G$5:$G$84,节奏总纲!R78)</f>
        <v>1.3048824123317506</v>
      </c>
      <c r="BN79" s="39">
        <f>BH79/求节点(节奏总纲!AP$4:AP$83,$G$5:$G$84,节奏总纲!S78)</f>
        <v>1.3931908758028793</v>
      </c>
      <c r="BO79" s="39">
        <f>BI79/求节点(节奏总纲!AQ$4:AQ$83,$G$5:$G$84,节奏总纲!T78)</f>
        <v>1.4448765395575049</v>
      </c>
    </row>
    <row r="80" spans="5:67" x14ac:dyDescent="0.15">
      <c r="E80" s="26">
        <v>76</v>
      </c>
      <c r="F80" s="26">
        <f>节奏总纲!$BL79</f>
        <v>145.25314650323406</v>
      </c>
      <c r="G80" s="26">
        <f>数据索引!$E81</f>
        <v>3.4123324466658509E-5</v>
      </c>
      <c r="H80" s="26">
        <f>数据索引!J81</f>
        <v>6.2136101427853383E-5</v>
      </c>
      <c r="I80" s="54"/>
      <c r="J80" s="35">
        <v>76</v>
      </c>
      <c r="K80" s="55">
        <v>60</v>
      </c>
      <c r="L80" s="55">
        <f t="shared" si="30"/>
        <v>90</v>
      </c>
      <c r="M80" s="55"/>
      <c r="T80" s="35">
        <v>76</v>
      </c>
      <c r="U80" s="50">
        <f>INDEX($Q$5:$Q$21,MATCH(节奏总纲!BQ79,$N$5:$N$21,1))*(U$2+$K$2)*节奏总纲!W79*4*$C$5+U79</f>
        <v>1401832812.0764322</v>
      </c>
      <c r="V80" s="50">
        <f>INDEX($Q$5:$Q$21,MATCH(节奏总纲!BR79,$N$5:$N$21,1))*(V$2+$K$2)*节奏总纲!X79*4*$C$5+V79</f>
        <v>4363801698.9800901</v>
      </c>
      <c r="W80" s="50">
        <f>INDEX($Q$5:$Q$21,MATCH(节奏总纲!BS79,$N$5:$N$21,1))*(W$2+$K$2)*节奏总纲!Y79*4*$C$5+W79</f>
        <v>8843837065.9122562</v>
      </c>
      <c r="X80" s="50">
        <f>INDEX($Q$5:$Q$21,MATCH(节奏总纲!BT79,$N$5:$N$21,1))*(X$2+$K$2)*节奏总纲!Z79*4*$C$5+X79</f>
        <v>13229337864.352121</v>
      </c>
      <c r="Y80" s="50">
        <f>INDEX($Q$5:$Q$21,MATCH(节奏总纲!BU79,$N$5:$N$21,1))*(Y$2+$K$2)*节奏总纲!AA79*4*$C$5+Y79</f>
        <v>7508662361.8695736</v>
      </c>
      <c r="Z80" s="51">
        <f>SUMIFS($K$5:$K$1004,$J$5:$J$1004,"&lt;="&amp;U$2)*节奏总纲!W79*4+Z79</f>
        <v>77204.688205332379</v>
      </c>
      <c r="AA80" s="51">
        <f>SUMIFS($K$5:$K$1004,$J$5:$J$1004,"&lt;="&amp;V$2)*节奏总纲!X79*4+AA79</f>
        <v>601107.9818978972</v>
      </c>
      <c r="AB80" s="51">
        <f>SUMIFS($K$5:$K$1004,$J$5:$J$1004,"&lt;="&amp;W$2)*节奏总纲!Y79*4+AB79</f>
        <v>1474385.6511260525</v>
      </c>
      <c r="AC80" s="51">
        <f>SUMIFS($K$5:$K$1004,$J$5:$J$1004,"&lt;="&amp;X$2)*节奏总纲!Z79*4+AC79</f>
        <v>2280865.8241189546</v>
      </c>
      <c r="AD80" s="51">
        <f>SUMIFS($K$5:$K$1004,$J$5:$J$1004,"&lt;="&amp;Y$2)*节奏总纲!AA79*4+AD79</f>
        <v>1269152.4284698176</v>
      </c>
      <c r="AH80" s="35">
        <v>76</v>
      </c>
      <c r="AI80" s="47">
        <f>'[1]资源-木石铜粮'!AE81-U80</f>
        <v>-789605311.9617424</v>
      </c>
      <c r="AJ80" s="47">
        <f>'[1]资源-木石铜粮'!AF81-V80</f>
        <v>-2176706240.1987209</v>
      </c>
      <c r="AK80" s="47">
        <f>'[1]资源-木石铜粮'!AG81-W80</f>
        <v>-5124280621.1581345</v>
      </c>
      <c r="AL80" s="47">
        <f>'[1]资源-木石铜粮'!AH81-X80</f>
        <v>-8423266642.1457453</v>
      </c>
      <c r="AM80" s="47">
        <f>'[1]资源-木石铜粮'!AI81-Y80</f>
        <v>-1760999207.3523226</v>
      </c>
      <c r="AN80" s="47">
        <f>(AI80-AI79)*IF($AH80&lt;=10,'[1]功能-付费相关'!S91,'[1]功能-付费相关'!S81)</f>
        <v>569.91354180320616</v>
      </c>
      <c r="AO80" s="47">
        <f>(AJ80-AJ79)*IF($AH80&lt;=10,'[1]功能-付费相关'!T91,'[1]功能-付费相关'!T81)</f>
        <v>-2184.0416831889893</v>
      </c>
      <c r="AP80" s="47">
        <f>(AK80-AK79)*IF($AH80&lt;=10,'[1]功能-付费相关'!U91,'[1]功能-付费相关'!U81)</f>
        <v>-11206.975857856509</v>
      </c>
      <c r="AQ80" s="47">
        <f>(AL80-AL79)*IF($AH80&lt;=10,'[1]功能-付费相关'!V91,'[1]功能-付费相关'!V81)</f>
        <v>-18981.000772691084</v>
      </c>
      <c r="AR80" s="47">
        <f>(AM80-AM79)*IF($AH80&lt;=10,'[1]功能-付费相关'!W91,'[1]功能-付费相关'!W81)</f>
        <v>-688.30962343104704</v>
      </c>
      <c r="AS80" s="48">
        <f>SUM(AN$5:AN80)/'[1]资源-钻石'!L79</f>
        <v>-6.8242349633040905E-2</v>
      </c>
      <c r="AT80" s="48">
        <f>SUM(AO$5:AO80)/'[1]资源-钻石'!M79</f>
        <v>-0.11528523602638102</v>
      </c>
      <c r="AU80" s="48">
        <f>SUM(AP$5:AP80)/'[1]资源-钻石'!N79</f>
        <v>-0.16504756327398193</v>
      </c>
      <c r="AV80" s="48">
        <f>SUM(AQ$5:AQ80)/'[1]资源-钻石'!O79</f>
        <v>-0.12701841441564896</v>
      </c>
      <c r="AW80" s="48">
        <f>SUM(AR$5:AR80)/'[1]资源-钻石'!P79</f>
        <v>-2.6098903848278125E-2</v>
      </c>
      <c r="AX80" s="35">
        <f>('[1]资源-木石铜粮'!C81+U80)/'[1]资源-木石铜粮'!U81</f>
        <v>1.1000971978058838</v>
      </c>
      <c r="AY80" s="35">
        <f>('[1]资源-木石铜粮'!D81+V80)/'[1]资源-木石铜粮'!V81</f>
        <v>1.2450519468120544</v>
      </c>
      <c r="AZ80" s="35">
        <f>('[1]资源-木石铜粮'!E81+W80)/'[1]资源-木石铜粮'!W81</f>
        <v>1.5296637970229749</v>
      </c>
      <c r="BA80" s="35">
        <f>('[1]资源-木石铜粮'!F81+X80)/'[1]资源-木石铜粮'!X81</f>
        <v>1.8831932087395542</v>
      </c>
      <c r="BB80" s="35">
        <f>('[1]资源-木石铜粮'!G81+Y80)/'[1]资源-木石铜粮'!Y81</f>
        <v>1.2011665420617461</v>
      </c>
      <c r="BE80" s="39">
        <f t="shared" si="13"/>
        <v>5.5074105514033967E-5</v>
      </c>
      <c r="BF80" s="39">
        <f t="shared" si="14"/>
        <v>1.3774869330986981E-4</v>
      </c>
      <c r="BG80" s="39">
        <f t="shared" si="15"/>
        <v>1.6671334400866953E-4</v>
      </c>
      <c r="BH80" s="39">
        <f t="shared" si="16"/>
        <v>1.7240967367422022E-4</v>
      </c>
      <c r="BI80" s="39">
        <f t="shared" si="17"/>
        <v>1.6902510291511E-4</v>
      </c>
      <c r="BK80" s="39">
        <f>BE80/求节点(节奏总纲!AM$4:AM$83,$G$5:$G$84,节奏总纲!P79)</f>
        <v>0.40706962331464297</v>
      </c>
      <c r="BL80" s="39">
        <f>BF80/求节点(节奏总纲!AN$4:AN$83,$G$5:$G$84,节奏总纲!Q79)</f>
        <v>1.0501481263262147</v>
      </c>
      <c r="BM80" s="39">
        <f>BG80/求节点(节奏总纲!AO$4:AO$83,$G$5:$G$84,节奏总纲!R79)</f>
        <v>1.310990549319915</v>
      </c>
      <c r="BN80" s="39">
        <f>BH80/求节点(节奏总纲!AP$4:AP$83,$G$5:$G$84,节奏总纲!S79)</f>
        <v>1.4174699298182554</v>
      </c>
      <c r="BO80" s="39">
        <f>BI80/求节点(节奏总纲!AQ$4:AQ$83,$G$5:$G$84,节奏总纲!T79)</f>
        <v>1.4969213771649676</v>
      </c>
    </row>
    <row r="81" spans="5:67" x14ac:dyDescent="0.15">
      <c r="E81" s="26">
        <v>77</v>
      </c>
      <c r="F81" s="26">
        <f>节奏总纲!$BL80</f>
        <v>147.45018844840658</v>
      </c>
      <c r="G81" s="26">
        <f>数据索引!$E82</f>
        <v>3.3602957788974286E-5</v>
      </c>
      <c r="H81" s="26">
        <f>数据索引!J82</f>
        <v>6.0837007785193382E-5</v>
      </c>
      <c r="I81" s="54"/>
      <c r="J81" s="35">
        <v>77</v>
      </c>
      <c r="K81" s="55">
        <v>60</v>
      </c>
      <c r="L81" s="55">
        <f t="shared" si="30"/>
        <v>90</v>
      </c>
      <c r="M81" s="55"/>
      <c r="T81" s="35">
        <v>77</v>
      </c>
      <c r="U81" s="50">
        <f>INDEX($Q$5:$Q$21,MATCH(节奏总纲!BQ80,$N$5:$N$21,1))*(U$2+$K$2)*节奏总纲!W80*4*$C$5+U80</f>
        <v>1537864534.3470244</v>
      </c>
      <c r="V81" s="50">
        <f>INDEX($Q$5:$Q$21,MATCH(节奏总纲!BR80,$N$5:$N$21,1))*(V$2+$K$2)*节奏总纲!X80*4*$C$5+V80</f>
        <v>4779223071.3812227</v>
      </c>
      <c r="W81" s="50">
        <f>INDEX($Q$5:$Q$21,MATCH(节奏总纲!BS80,$N$5:$N$21,1))*(W$2+$K$2)*节奏总纲!Y80*4*$C$5+W80</f>
        <v>9675413159.1857452</v>
      </c>
      <c r="X81" s="50">
        <f>INDEX($Q$5:$Q$21,MATCH(节奏总纲!BT80,$N$5:$N$21,1))*(X$2+$K$2)*节奏总纲!Z80*4*$C$5+X80</f>
        <v>14443399712.901617</v>
      </c>
      <c r="Y81" s="50">
        <f>INDEX($Q$5:$Q$21,MATCH(节奏总纲!BU80,$N$5:$N$21,1))*(Y$2+$K$2)*节奏总纲!AA80*4*$C$5+Y80</f>
        <v>8403848872.4568377</v>
      </c>
      <c r="Z81" s="51">
        <f>SUMIFS($K$5:$K$1004,$J$5:$J$1004,"&lt;="&amp;U$2)*节奏总纲!W80*4+Z80</f>
        <v>82774.645386878517</v>
      </c>
      <c r="AA81" s="51">
        <f>SUMIFS($K$5:$K$1004,$J$5:$J$1004,"&lt;="&amp;V$2)*节奏总纲!X80*4+AA80</f>
        <v>644847.59742193832</v>
      </c>
      <c r="AB81" s="51">
        <f>SUMIFS($K$5:$K$1004,$J$5:$J$1004,"&lt;="&amp;W$2)*节奏总纲!Y80*4+AB80</f>
        <v>1582543.6127581135</v>
      </c>
      <c r="AC81" s="51">
        <f>SUMIFS($K$5:$K$1004,$J$5:$J$1004,"&lt;="&amp;X$2)*节奏总纲!Z80*4+AC80</f>
        <v>2449194.1499587321</v>
      </c>
      <c r="AD81" s="51">
        <f>SUMIFS($K$5:$K$1004,$J$5:$J$1004,"&lt;="&amp;Y$2)*节奏总纲!AA80*4+AD80</f>
        <v>1357413.1322348819</v>
      </c>
      <c r="AH81" s="35">
        <v>77</v>
      </c>
      <c r="AI81" s="47">
        <f>'[1]资源-木石铜粮'!AE82-U81</f>
        <v>-764844520.77744341</v>
      </c>
      <c r="AJ81" s="47">
        <f>'[1]资源-木石铜粮'!AF82-V81</f>
        <v>-2261907852.0758448</v>
      </c>
      <c r="AK81" s="47">
        <f>'[1]资源-木石铜粮'!AG82-W81</f>
        <v>-5476737504.9188776</v>
      </c>
      <c r="AL81" s="47">
        <f>'[1]资源-木石铜粮'!AH82-X81</f>
        <v>-9055724767.3035316</v>
      </c>
      <c r="AM81" s="47">
        <f>'[1]资源-木石铜粮'!AI82-Y81</f>
        <v>-1995938083.5929384</v>
      </c>
      <c r="AN81" s="47">
        <f>(AI81-AI80)*IF($AH81&lt;=10,'[1]功能-付费相关'!S92,'[1]功能-付费相关'!S82)</f>
        <v>886.58280594317887</v>
      </c>
      <c r="AO81" s="47">
        <f>(AJ81-AJ80)*IF($AH81&lt;=10,'[1]功能-付费相关'!T92,'[1]功能-付费相关'!T82)</f>
        <v>-2953.3712206464052</v>
      </c>
      <c r="AP81" s="47">
        <f>(AK81-AK80)*IF($AH81&lt;=10,'[1]功能-付费相关'!U92,'[1]功能-付费相关'!U82)</f>
        <v>-11843.593787445669</v>
      </c>
      <c r="AQ81" s="47">
        <f>(AL81-AL80)*IF($AH81&lt;=10,'[1]功能-付费相关'!V92,'[1]功能-付费相关'!V82)</f>
        <v>-19837.348707811285</v>
      </c>
      <c r="AR81" s="47">
        <f>(AM81-AM80)*IF($AH81&lt;=10,'[1]功能-付费相关'!W92,'[1]功能-付费相关'!W82)</f>
        <v>-7066.0191993164954</v>
      </c>
      <c r="AS81" s="48">
        <f>SUM(AN$5:AN81)/'[1]资源-钻石'!L80</f>
        <v>-6.3866822100952875E-2</v>
      </c>
      <c r="AT81" s="48">
        <f>SUM(AO$5:AO81)/'[1]资源-钻石'!M80</f>
        <v>-0.11073587244741318</v>
      </c>
      <c r="AU81" s="48">
        <f>SUM(AP$5:AP81)/'[1]资源-钻石'!N80</f>
        <v>-0.1612333393470593</v>
      </c>
      <c r="AV81" s="48">
        <f>SUM(AQ$5:AQ81)/'[1]资源-钻石'!O80</f>
        <v>-0.12414273844511797</v>
      </c>
      <c r="AW81" s="48">
        <f>SUM(AR$5:AR81)/'[1]资源-钻石'!P80</f>
        <v>-2.5853084111093223E-2</v>
      </c>
      <c r="AX81" s="35">
        <f>('[1]资源-木石铜粮'!C82+U81)/'[1]资源-木石铜粮'!U82</f>
        <v>1.0870476478502955</v>
      </c>
      <c r="AY81" s="35">
        <f>('[1]资源-木石铜粮'!D82+V81)/'[1]资源-木石铜粮'!V82</f>
        <v>1.2284000443104284</v>
      </c>
      <c r="AZ81" s="35">
        <f>('[1]资源-木石铜粮'!E82+W81)/'[1]资源-木石铜粮'!W82</f>
        <v>1.5083711602541858</v>
      </c>
      <c r="BA81" s="35">
        <f>('[1]资源-木石铜粮'!F82+X81)/'[1]资源-木石铜粮'!X82</f>
        <v>1.8524734450666991</v>
      </c>
      <c r="BB81" s="35">
        <f>('[1]资源-木石铜粮'!G82+Y81)/'[1]资源-木石铜粮'!Y82</f>
        <v>1.2056417239160542</v>
      </c>
      <c r="BE81" s="39">
        <f t="shared" si="13"/>
        <v>5.3824406206249198E-5</v>
      </c>
      <c r="BF81" s="39">
        <f t="shared" si="14"/>
        <v>1.3492728583509571E-4</v>
      </c>
      <c r="BG81" s="39">
        <f t="shared" si="15"/>
        <v>1.6356341447348549E-4</v>
      </c>
      <c r="BH81" s="39">
        <f t="shared" si="16"/>
        <v>1.6957185971741687E-4</v>
      </c>
      <c r="BI81" s="39">
        <f t="shared" si="17"/>
        <v>1.615227918583508E-4</v>
      </c>
      <c r="BK81" s="39">
        <f>BE81/求节点(节奏总纲!AM$4:AM$83,$G$5:$G$84,节奏总纲!P80)</f>
        <v>0.40888072980078205</v>
      </c>
      <c r="BL81" s="39">
        <f>BF81/求节点(节奏总纲!AN$4:AN$83,$G$5:$G$84,节奏总纲!Q80)</f>
        <v>1.0546577598174345</v>
      </c>
      <c r="BM81" s="39">
        <f>BG81/求节点(节奏总纲!AO$4:AO$83,$G$5:$G$84,节奏总纲!R80)</f>
        <v>1.3249766498231779</v>
      </c>
      <c r="BN81" s="39">
        <f>BH81/求节点(节奏总纲!AP$4:AP$83,$G$5:$G$84,节奏总纲!S80)</f>
        <v>1.462678517905865</v>
      </c>
      <c r="BO81" s="39">
        <f>BI81/求节点(节奏总纲!AQ$4:AQ$83,$G$5:$G$84,节奏总纲!T80)</f>
        <v>1.4702446261569864</v>
      </c>
    </row>
    <row r="82" spans="5:67" x14ac:dyDescent="0.15">
      <c r="E82" s="26">
        <v>78</v>
      </c>
      <c r="F82" s="26">
        <f>节奏总纲!$BL81</f>
        <v>149.53271887048692</v>
      </c>
      <c r="G82" s="26">
        <f>数据索引!$E83</f>
        <v>3.3087781819821594E-5</v>
      </c>
      <c r="H82" s="26">
        <f>数据索引!J83</f>
        <v>5.9545862818377143E-5</v>
      </c>
      <c r="I82" s="54"/>
      <c r="J82" s="35">
        <v>78</v>
      </c>
      <c r="K82" s="55">
        <v>60</v>
      </c>
      <c r="L82" s="55">
        <f t="shared" si="30"/>
        <v>90</v>
      </c>
      <c r="M82" s="55"/>
      <c r="T82" s="35">
        <v>78</v>
      </c>
      <c r="U82" s="50">
        <f>INDEX($Q$5:$Q$21,MATCH(节奏总纲!BQ81,$N$5:$N$21,1))*(U$2+$K$2)*节奏总纲!W81*4*$C$5+U81</f>
        <v>1683659724.3397527</v>
      </c>
      <c r="V82" s="50">
        <f>INDEX($Q$5:$Q$21,MATCH(节奏总纲!BR81,$N$5:$N$21,1))*(V$2+$K$2)*节奏总纲!X81*4*$C$5+V81</f>
        <v>5220924178.9831924</v>
      </c>
      <c r="W82" s="50">
        <f>INDEX($Q$5:$Q$21,MATCH(节奏总纲!BS81,$N$5:$N$21,1))*(W$2+$K$2)*节奏总纲!Y81*4*$C$5+W81</f>
        <v>10563986026.989874</v>
      </c>
      <c r="X82" s="50">
        <f>INDEX($Q$5:$Q$21,MATCH(节奏总纲!BT81,$N$5:$N$21,1))*(X$2+$K$2)*节奏总纲!Z81*4*$C$5+X81</f>
        <v>16234941258.756556</v>
      </c>
      <c r="Y82" s="50">
        <f>INDEX($Q$5:$Q$21,MATCH(节奏总纲!BU81,$N$5:$N$21,1))*(Y$2+$K$2)*节奏总纲!AA81*4*$C$5+Y81</f>
        <v>9355728002.8961258</v>
      </c>
      <c r="Z82" s="51">
        <f>SUMIFS($K$5:$K$1004,$J$5:$J$1004,"&lt;="&amp;U$2)*节奏总纲!W81*4+Z81</f>
        <v>88744.37768152311</v>
      </c>
      <c r="AA82" s="51">
        <f>SUMIFS($K$5:$K$1004,$J$5:$J$1004,"&lt;="&amp;V$2)*节奏总纲!X81*4+AA81</f>
        <v>691354.19989013765</v>
      </c>
      <c r="AB82" s="51">
        <f>SUMIFS($K$5:$K$1004,$J$5:$J$1004,"&lt;="&amp;W$2)*节奏总纲!Y81*4+AB81</f>
        <v>1698114.792498176</v>
      </c>
      <c r="AC82" s="51">
        <f>SUMIFS($K$5:$K$1004,$J$5:$J$1004,"&lt;="&amp;X$2)*节奏总纲!Z81*4+AC81</f>
        <v>2625830.7679052823</v>
      </c>
      <c r="AD82" s="51">
        <f>SUMIFS($K$5:$K$1004,$J$5:$J$1004,"&lt;="&amp;Y$2)*节奏总纲!AA81*4+AD81</f>
        <v>1451263.4315392515</v>
      </c>
      <c r="AH82" s="35">
        <v>78</v>
      </c>
      <c r="AI82" s="47">
        <f>'[1]资源-木石铜粮'!AE83-U82</f>
        <v>-724787179.8891778</v>
      </c>
      <c r="AJ82" s="47">
        <f>'[1]资源-木石铜粮'!AF83-V82</f>
        <v>-2334067069.0107241</v>
      </c>
      <c r="AK82" s="47">
        <f>'[1]资源-木石铜粮'!AG83-W82</f>
        <v>-5607941356.3047953</v>
      </c>
      <c r="AL82" s="47">
        <f>'[1]资源-木石铜粮'!AH83-X82</f>
        <v>-10206881380.076431</v>
      </c>
      <c r="AM82" s="47">
        <f>'[1]资源-木石铜粮'!AI83-Y82</f>
        <v>-2229708283.1722584</v>
      </c>
      <c r="AN82" s="47">
        <f>(AI82-AI81)*IF($AH82&lt;=10,'[1]功能-付费相关'!S93,'[1]功能-付费相关'!S83)</f>
        <v>1405.2344088397388</v>
      </c>
      <c r="AO82" s="47">
        <f>(AJ82-AJ81)*IF($AH82&lt;=10,'[1]功能-付费相关'!T93,'[1]功能-付费相关'!T83)</f>
        <v>-2458.708912295303</v>
      </c>
      <c r="AP82" s="47">
        <f>(AK82-AK81)*IF($AH82&lt;=10,'[1]功能-付费相关'!U93,'[1]功能-付费相关'!U83)</f>
        <v>-4341.2444085775405</v>
      </c>
      <c r="AQ82" s="47">
        <f>(AL82-AL81)*IF($AH82&lt;=10,'[1]功能-付费相关'!V93,'[1]功能-付费相关'!V83)</f>
        <v>-35500.820816062958</v>
      </c>
      <c r="AR82" s="47">
        <f>(AM82-AM81)*IF($AH82&lt;=10,'[1]功能-付费相关'!W93,'[1]功能-付费相关'!W83)</f>
        <v>-6908.3652663861685</v>
      </c>
      <c r="AS82" s="48">
        <f>SUM(AN$5:AN82)/'[1]资源-钻石'!L81</f>
        <v>-5.9241422331855614E-2</v>
      </c>
      <c r="AT82" s="48">
        <f>SUM(AO$5:AO82)/'[1]资源-钻石'!M81</f>
        <v>-0.10641230743823442</v>
      </c>
      <c r="AU82" s="48">
        <f>SUM(AP$5:AP82)/'[1]资源-钻石'!N81</f>
        <v>-0.15352544109398777</v>
      </c>
      <c r="AV82" s="48">
        <f>SUM(AQ$5:AQ82)/'[1]资源-钻石'!O81</f>
        <v>-0.12514523674794009</v>
      </c>
      <c r="AW82" s="48">
        <f>SUM(AR$5:AR82)/'[1]资源-钻石'!P81</f>
        <v>-2.5510932266290476E-2</v>
      </c>
      <c r="AX82" s="35">
        <f>('[1]资源-木石铜粮'!C83+U82)/'[1]资源-木石铜粮'!U83</f>
        <v>1.0740800224446265</v>
      </c>
      <c r="AY82" s="35">
        <f>('[1]资源-木石铜粮'!D83+V82)/'[1]资源-木石铜粮'!V83</f>
        <v>1.2118192173415219</v>
      </c>
      <c r="AZ82" s="35">
        <f>('[1]资源-木石铜粮'!E83+W82)/'[1]资源-木石铜粮'!W83</f>
        <v>1.459358323185757</v>
      </c>
      <c r="BA82" s="35">
        <f>('[1]资源-木石铜粮'!F83+X82)/'[1]资源-木石铜粮'!X83</f>
        <v>1.8648883940898282</v>
      </c>
      <c r="BB82" s="35">
        <f>('[1]资源-木石铜粮'!G83+Y82)/'[1]资源-木石铜粮'!Y83</f>
        <v>1.2075285115925953</v>
      </c>
      <c r="BE82" s="39">
        <f t="shared" si="13"/>
        <v>5.2709212199231188E-5</v>
      </c>
      <c r="BF82" s="39">
        <f t="shared" si="14"/>
        <v>1.3241988892946979E-4</v>
      </c>
      <c r="BG82" s="39">
        <f t="shared" si="15"/>
        <v>1.6074564924259378E-4</v>
      </c>
      <c r="BH82" s="39">
        <f t="shared" si="16"/>
        <v>1.6173946835126377E-4</v>
      </c>
      <c r="BI82" s="39">
        <f t="shared" si="17"/>
        <v>1.5512031036922017E-4</v>
      </c>
      <c r="BK82" s="39">
        <f>BE82/求节点(节奏总纲!AM$4:AM$83,$G$5:$G$84,节奏总纲!P81)</f>
        <v>0.41060884106709428</v>
      </c>
      <c r="BL82" s="39">
        <f>BF82/求节点(节奏总纲!AN$4:AN$83,$G$5:$G$84,节奏总纲!Q81)</f>
        <v>1.0635401833261644</v>
      </c>
      <c r="BM82" s="39">
        <f>BG82/求节点(节奏总纲!AO$4:AO$83,$G$5:$G$84,节奏总纲!R81)</f>
        <v>1.3629584493715148</v>
      </c>
      <c r="BN82" s="39">
        <f>BH82/求节点(节奏总纲!AP$4:AP$83,$G$5:$G$84,节奏总纲!S81)</f>
        <v>1.4550256607666259</v>
      </c>
      <c r="BO82" s="39">
        <f>BI82/求节点(节奏总纲!AQ$4:AQ$83,$G$5:$G$84,节奏总纲!T81)</f>
        <v>1.4480509765113214</v>
      </c>
    </row>
    <row r="83" spans="5:67" x14ac:dyDescent="0.15">
      <c r="E83" s="26">
        <v>79</v>
      </c>
      <c r="F83" s="26">
        <f>节奏总纲!$BL82</f>
        <v>151.57476523052998</v>
      </c>
      <c r="G83" s="26">
        <f>数据索引!$E84</f>
        <v>3.2583158237843614E-5</v>
      </c>
      <c r="H83" s="26">
        <f>数据索引!J84</f>
        <v>5.8279442747840318E-5</v>
      </c>
      <c r="I83" s="54"/>
      <c r="J83" s="35">
        <v>79</v>
      </c>
      <c r="K83" s="55">
        <v>60</v>
      </c>
      <c r="L83" s="55">
        <f t="shared" si="30"/>
        <v>90</v>
      </c>
      <c r="M83" s="55"/>
      <c r="T83" s="35">
        <v>79</v>
      </c>
      <c r="U83" s="50">
        <f>INDEX($Q$5:$Q$21,MATCH(节奏总纲!BQ82,$N$5:$N$21,1))*(U$2+$K$2)*节奏总纲!W82*4*$C$5+U82</f>
        <v>1839919139.9393954</v>
      </c>
      <c r="V83" s="50">
        <f>INDEX($Q$5:$Q$21,MATCH(节奏总纲!BR82,$N$5:$N$21,1))*(V$2+$K$2)*节奏总纲!X82*4*$C$5+V82</f>
        <v>5700833812.7781172</v>
      </c>
      <c r="W83" s="50">
        <f>INDEX($Q$5:$Q$21,MATCH(节奏总纲!BS82,$N$5:$N$21,1))*(W$2+$K$2)*节奏总纲!Y82*4*$C$5+W82</f>
        <v>11907129695.824364</v>
      </c>
      <c r="X83" s="50">
        <f>INDEX($Q$5:$Q$21,MATCH(节奏总纲!BT82,$N$5:$N$21,1))*(X$2+$K$2)*节奏总纲!Z82*4*$C$5+X82</f>
        <v>18072561632.70052</v>
      </c>
      <c r="Y83" s="50">
        <f>INDEX($Q$5:$Q$21,MATCH(节奏总纲!BU82,$N$5:$N$21,1))*(Y$2+$K$2)*节奏总纲!AA82*4*$C$5+Y82</f>
        <v>10389455616.079475</v>
      </c>
      <c r="Z83" s="51">
        <f>SUMIFS($K$5:$K$1004,$J$5:$J$1004,"&lt;="&amp;U$2)*节奏总纲!W82*4+Z82</f>
        <v>95142.578333369063</v>
      </c>
      <c r="AA83" s="51">
        <f>SUMIFS($K$5:$K$1004,$J$5:$J$1004,"&lt;="&amp;V$2)*节奏总纲!X82*4+AA82</f>
        <v>741883.76881227852</v>
      </c>
      <c r="AB83" s="51">
        <f>SUMIFS($K$5:$K$1004,$J$5:$J$1004,"&lt;="&amp;W$2)*节奏总纲!Y82*4+AB82</f>
        <v>1822341.916881684</v>
      </c>
      <c r="AC83" s="51">
        <f>SUMIFS($K$5:$K$1004,$J$5:$J$1004,"&lt;="&amp;X$2)*节奏总纲!Z82*4+AC82</f>
        <v>2807010.5170850535</v>
      </c>
      <c r="AD83" s="51">
        <f>SUMIFS($K$5:$K$1004,$J$5:$J$1004,"&lt;="&amp;Y$2)*节奏总纲!AA82*4+AD82</f>
        <v>1553183.5627765828</v>
      </c>
      <c r="AH83" s="35">
        <v>79</v>
      </c>
      <c r="AI83" s="47">
        <f>'[1]资源-木石铜粮'!AE84-U83</f>
        <v>-672123680.80128431</v>
      </c>
      <c r="AJ83" s="47">
        <f>'[1]资源-木石铜粮'!AF84-V83</f>
        <v>-2406332681.0113363</v>
      </c>
      <c r="AK83" s="47">
        <f>'[1]资源-木石铜粮'!AG84-W83</f>
        <v>-6251583575.3431931</v>
      </c>
      <c r="AL83" s="47">
        <f>'[1]资源-木石铜粮'!AH84-X83</f>
        <v>-11347518939.160576</v>
      </c>
      <c r="AM83" s="47">
        <f>'[1]资源-木石铜粮'!AI84-Y83</f>
        <v>-2465762666.7866173</v>
      </c>
      <c r="AN83" s="47">
        <f>(AI83-AI82)*IF($AH83&lt;=10,'[1]功能-付费相关'!S94,'[1]功能-付费相关'!S84)</f>
        <v>1811.4476176155542</v>
      </c>
      <c r="AO83" s="47">
        <f>(AJ83-AJ82)*IF($AH83&lt;=10,'[1]功能-付费相关'!T94,'[1]功能-付费相关'!T84)</f>
        <v>-2425.9831995948771</v>
      </c>
      <c r="AP83" s="47">
        <f>(AK83-AK82)*IF($AH83&lt;=10,'[1]功能-付费相关'!U94,'[1]功能-付费相关'!U84)</f>
        <v>-20971.896271484915</v>
      </c>
      <c r="AQ83" s="47">
        <f>(AL83-AL82)*IF($AH83&lt;=10,'[1]功能-付费相关'!V94,'[1]功能-付费相关'!V84)</f>
        <v>-34589.630228665046</v>
      </c>
      <c r="AR83" s="47">
        <f>(AM83-AM82)*IF($AH83&lt;=10,'[1]功能-付费相关'!W94,'[1]功能-付费相关'!W84)</f>
        <v>-6863.1820605118573</v>
      </c>
      <c r="AS83" s="48">
        <f>SUM(AN$5:AN83)/'[1]资源-钻石'!L82</f>
        <v>-5.453296111230841E-2</v>
      </c>
      <c r="AT83" s="48">
        <f>SUM(AO$5:AO83)/'[1]资源-钻石'!M82</f>
        <v>-0.10208920117362355</v>
      </c>
      <c r="AU83" s="48">
        <f>SUM(AP$5:AP83)/'[1]资源-钻石'!N82</f>
        <v>-0.15379820624361185</v>
      </c>
      <c r="AV83" s="48">
        <f>SUM(AQ$5:AQ83)/'[1]资源-钻石'!O82</f>
        <v>-0.1256244757215223</v>
      </c>
      <c r="AW83" s="48">
        <f>SUM(AR$5:AR83)/'[1]资源-钻石'!P82</f>
        <v>-2.5073628957013521E-2</v>
      </c>
      <c r="AX83" s="35">
        <f>('[1]资源-木石铜粮'!C84+U83)/'[1]资源-木石铜粮'!U84</f>
        <v>1.0617765695117556</v>
      </c>
      <c r="AY83" s="35">
        <f>('[1]资源-木石铜粮'!D84+V83)/'[1]资源-木石铜粮'!V84</f>
        <v>1.1963025940681715</v>
      </c>
      <c r="AZ83" s="35">
        <f>('[1]资源-木石铜粮'!E84+W83)/'[1]资源-木石铜粮'!W84</f>
        <v>1.4581314646356147</v>
      </c>
      <c r="BA83" s="35">
        <f>('[1]资源-木石铜粮'!F84+X83)/'[1]资源-木石铜粮'!X84</f>
        <v>1.868726204646016</v>
      </c>
      <c r="BB83" s="35">
        <f>('[1]资源-木石铜粮'!G84+Y83)/'[1]资源-木石铜粮'!Y84</f>
        <v>1.2072836247118899</v>
      </c>
      <c r="BE83" s="39">
        <f t="shared" si="13"/>
        <v>5.1710195447231958E-5</v>
      </c>
      <c r="BF83" s="39">
        <f t="shared" si="14"/>
        <v>1.3013601048137647E-4</v>
      </c>
      <c r="BG83" s="39">
        <f t="shared" si="15"/>
        <v>1.5304628096230022E-4</v>
      </c>
      <c r="BH83" s="39">
        <f t="shared" si="16"/>
        <v>1.5531890686741633E-4</v>
      </c>
      <c r="BI83" s="39">
        <f t="shared" si="17"/>
        <v>1.4949614495419407E-4</v>
      </c>
      <c r="BK83" s="39">
        <f>BE83/求节点(节奏总纲!AM$4:AM$83,$G$5:$G$84,节奏总纲!P82)</f>
        <v>0.41376518397925915</v>
      </c>
      <c r="BL83" s="39">
        <f>BF83/求节点(节奏总纲!AN$4:AN$83,$G$5:$G$84,节奏总纲!Q82)</f>
        <v>1.0906940635675324</v>
      </c>
      <c r="BM83" s="39">
        <f>BG83/求节点(节奏总纲!AO$4:AO$83,$G$5:$G$84,节奏总纲!R82)</f>
        <v>1.3658790195918982</v>
      </c>
      <c r="BN83" s="39">
        <f>BH83/求节点(节奏总纲!AP$4:AP$83,$G$5:$G$84,节奏总纲!S82)</f>
        <v>1.4312911393448255</v>
      </c>
      <c r="BO83" s="39">
        <f>BI83/求节点(节奏总纲!AQ$4:AQ$83,$G$5:$G$84,节奏总纲!T82)</f>
        <v>1.4304491009562288</v>
      </c>
    </row>
    <row r="84" spans="5:67" x14ac:dyDescent="0.15">
      <c r="E84" s="26">
        <v>80</v>
      </c>
      <c r="F84" s="26">
        <f>节奏总纲!$BL83</f>
        <v>153.14946182958477</v>
      </c>
      <c r="G84" s="26">
        <f>数据索引!$E85</f>
        <v>3.20866612806784E-5</v>
      </c>
      <c r="H84" s="26">
        <f>数据索引!J85</f>
        <v>5.7041038549541026E-5</v>
      </c>
      <c r="I84" s="54"/>
      <c r="J84" s="35">
        <v>80</v>
      </c>
      <c r="K84" s="55">
        <v>60</v>
      </c>
      <c r="L84" s="55">
        <f t="shared" si="30"/>
        <v>90</v>
      </c>
      <c r="M84" s="55"/>
      <c r="T84" s="35">
        <v>80</v>
      </c>
      <c r="U84" s="50">
        <f>INDEX($Q$5:$Q$21,MATCH(节奏总纲!BQ83,$N$5:$N$21,1))*(U$2+$K$2)*节奏总纲!W83*4*$C$5+U83</f>
        <v>2007393834.850523</v>
      </c>
      <c r="V84" s="50">
        <f>INDEX($Q$5:$Q$21,MATCH(节奏总纲!BR83,$N$5:$N$21,1))*(V$2+$K$2)*节奏总纲!X83*4*$C$5+V83</f>
        <v>6213915355.7066212</v>
      </c>
      <c r="W84" s="50">
        <f>INDEX($Q$5:$Q$21,MATCH(节奏总纲!BS83,$N$5:$N$21,1))*(W$2+$K$2)*节奏总纲!Y83*4*$C$5+W83</f>
        <v>13261731476.099594</v>
      </c>
      <c r="X84" s="50">
        <f>INDEX($Q$5:$Q$21,MATCH(节奏总纲!BT83,$N$5:$N$21,1))*(X$2+$K$2)*节奏总纲!Z83*4*$C$5+X83</f>
        <v>20030205962.467548</v>
      </c>
      <c r="Y84" s="50">
        <f>INDEX($Q$5:$Q$21,MATCH(节奏总纲!BU83,$N$5:$N$21,1))*(Y$2+$K$2)*节奏总纲!AA83*4*$C$5+Y83</f>
        <v>11465902596.56633</v>
      </c>
      <c r="Z84" s="51">
        <f>SUMIFS($K$5:$K$1004,$J$5:$J$1004,"&lt;="&amp;U$2)*节奏总纲!W83*4+Z83</f>
        <v>102000</v>
      </c>
      <c r="AA84" s="51">
        <f>SUMIFS($K$5:$K$1004,$J$5:$J$1004,"&lt;="&amp;V$2)*节奏总纲!X83*4+AA83</f>
        <v>795906.00000000012</v>
      </c>
      <c r="AB84" s="51">
        <f>SUMIFS($K$5:$K$1004,$J$5:$J$1004,"&lt;="&amp;W$2)*节奏总纲!Y83*4+AB83</f>
        <v>1947628.7999999998</v>
      </c>
      <c r="AC84" s="51">
        <f>SUMIFS($K$5:$K$1004,$J$5:$J$1004,"&lt;="&amp;X$2)*节奏总纲!Z83*4+AC83</f>
        <v>3000024</v>
      </c>
      <c r="AD84" s="51">
        <f>SUMIFS($K$5:$K$1004,$J$5:$J$1004,"&lt;="&amp;Y$2)*节奏总纲!AA83*4+AD83</f>
        <v>1659315.5999999999</v>
      </c>
      <c r="AH84" s="35">
        <v>80</v>
      </c>
      <c r="AI84" s="47">
        <f>'[1]资源-木石铜粮'!AE85-U84</f>
        <v>-631191136.84462929</v>
      </c>
      <c r="AJ84" s="47">
        <f>'[1]资源-木石铜粮'!AF85-V84</f>
        <v>-2484319500.6077843</v>
      </c>
      <c r="AK84" s="47">
        <f>'[1]资源-木石铜粮'!AG85-W84</f>
        <v>-6938561451.7189579</v>
      </c>
      <c r="AL84" s="47">
        <f>'[1]资源-木石铜粮'!AH85-X84</f>
        <v>-12547988026.473656</v>
      </c>
      <c r="AM84" s="47">
        <f>'[1]资源-木石铜粮'!AI85-Y84</f>
        <v>-2676241057.1411495</v>
      </c>
      <c r="AN84" s="47">
        <f>(AI84-AI83)*IF($AH84&lt;=10,'[1]功能-付费相关'!S95,'[1]功能-付费相关'!S85)</f>
        <v>1381.7405795105283</v>
      </c>
      <c r="AO84" s="47">
        <f>(AJ84-AJ83)*IF($AH84&lt;=10,'[1]功能-付费相关'!T95,'[1]功能-付费相关'!T85)</f>
        <v>-2579.2810451438427</v>
      </c>
      <c r="AP84" s="47">
        <f>(AK84-AK83)*IF($AH84&lt;=10,'[1]功能-付费相关'!U95,'[1]功能-付费相关'!U85)</f>
        <v>-22042.826426588927</v>
      </c>
      <c r="AQ84" s="47">
        <f>(AL84-AL83)*IF($AH84&lt;=10,'[1]功能-付费相关'!V95,'[1]功能-付费相关'!V85)</f>
        <v>-35794.006500735122</v>
      </c>
      <c r="AR84" s="47">
        <f>(AM84-AM83)*IF($AH84&lt;=10,'[1]功能-付费相关'!W95,'[1]功能-付费相关'!W85)</f>
        <v>-6051.616237151934</v>
      </c>
      <c r="AS84" s="48">
        <f>SUM(AN$5:AN84)/'[1]资源-钻石'!L83</f>
        <v>-5.0467188332495354E-2</v>
      </c>
      <c r="AT84" s="48">
        <f>SUM(AO$5:AO84)/'[1]资源-钻石'!M83</f>
        <v>-9.7962296736743767E-2</v>
      </c>
      <c r="AU84" s="48">
        <f>SUM(AP$5:AP84)/'[1]资源-钻石'!N83</f>
        <v>-0.15444344698252993</v>
      </c>
      <c r="AV84" s="48">
        <f>SUM(AQ$5:AQ84)/'[1]资源-钻石'!O83</f>
        <v>-0.1258436532157961</v>
      </c>
      <c r="AW84" s="48">
        <f>SUM(AR$5:AR84)/'[1]资源-钻石'!P83</f>
        <v>-2.4495064492458994E-2</v>
      </c>
      <c r="AX84" s="35">
        <f>('[1]资源-木石铜粮'!C85+U84)/'[1]资源-木石铜粮'!U85</f>
        <v>1.0521963438522615</v>
      </c>
      <c r="AY84" s="35">
        <f>('[1]资源-木石铜粮'!D85+V84)/'[1]资源-木石铜粮'!V85</f>
        <v>1.1823700594135451</v>
      </c>
      <c r="AZ84" s="35">
        <f>('[1]资源-木石铜粮'!E85+W84)/'[1]资源-木石铜粮'!W85</f>
        <v>1.4595846657759548</v>
      </c>
      <c r="BA84" s="35">
        <f>('[1]资源-木石铜粮'!F85+X84)/'[1]资源-木石铜粮'!X85</f>
        <v>1.8686843128945063</v>
      </c>
      <c r="BB84" s="35">
        <f>('[1]资源-木石铜粮'!G85+Y84)/'[1]资源-木石铜粮'!Y85</f>
        <v>1.2036080717404551</v>
      </c>
      <c r="BE84" s="39">
        <f t="shared" si="13"/>
        <v>5.081215167107218E-5</v>
      </c>
      <c r="BF84" s="39">
        <f t="shared" si="14"/>
        <v>1.2808446115524741E-4</v>
      </c>
      <c r="BG84" s="39">
        <f t="shared" si="15"/>
        <v>1.4686082307653665E-4</v>
      </c>
      <c r="BH84" s="39">
        <f t="shared" si="16"/>
        <v>1.4977499510596259E-4</v>
      </c>
      <c r="BI84" s="39">
        <f t="shared" si="17"/>
        <v>1.4471739891606193E-4</v>
      </c>
      <c r="BK84" s="39">
        <f>BE84/求节点(节奏总纲!AM$4:AM$83,$G$5:$G$84,节奏总纲!P83)</f>
        <v>0.42302112823022175</v>
      </c>
      <c r="BL84" s="39">
        <f>BF84/求节点(节奏总纲!AN$4:AN$83,$G$5:$G$84,节奏总纲!Q83)</f>
        <v>1.1282742369115843</v>
      </c>
      <c r="BM84" s="39">
        <f>BG84/求节点(节奏总纲!AO$4:AO$83,$G$5:$G$84,节奏总纲!R83)</f>
        <v>1.341466026391172</v>
      </c>
      <c r="BN84" s="39">
        <f>BH84/求节点(节奏总纲!AP$4:AP$83,$G$5:$G$84,节奏总纲!S83)</f>
        <v>1.4159528986136893</v>
      </c>
      <c r="BO84" s="39">
        <f>BI84/求节点(节奏总纲!AQ$4:AQ$83,$G$5:$G$84,节奏总纲!T83)</f>
        <v>1.4190595923384695</v>
      </c>
    </row>
    <row r="85" spans="5:67" x14ac:dyDescent="0.15">
      <c r="I85" s="54"/>
      <c r="J85" s="35">
        <v>81</v>
      </c>
      <c r="K85" s="55">
        <v>60</v>
      </c>
      <c r="L85" s="55">
        <f t="shared" si="30"/>
        <v>90</v>
      </c>
      <c r="M85" s="55"/>
      <c r="T85" s="35">
        <v>81</v>
      </c>
      <c r="U85" s="50">
        <f>INDEX($Q$5:$Q$21,MATCH(节奏总纲!BQ84,$N$5:$N$21,1))*(U$2+$K$2)*节奏总纲!W84*4*$C$5+U84</f>
        <v>2186888768.5026302</v>
      </c>
      <c r="V85" s="50">
        <f>INDEX($Q$5:$Q$21,MATCH(节奏总纲!BR84,$N$5:$N$21,1))*(V$2+$K$2)*节奏总纲!X84*4*$C$5+V84</f>
        <v>6948321692.8381491</v>
      </c>
      <c r="W85" s="50">
        <f>INDEX($Q$5:$Q$21,MATCH(节奏总纲!BS84,$N$5:$N$21,1))*(W$2+$K$2)*节奏总纲!Y84*4*$C$5+W84</f>
        <v>14702434767.885124</v>
      </c>
      <c r="X85" s="50">
        <f>INDEX($Q$5:$Q$21,MATCH(节奏总纲!BT84,$N$5:$N$21,1))*(X$2+$K$2)*节奏总纲!Z84*4*$C$5+X84</f>
        <v>22153141092.265472</v>
      </c>
      <c r="Y85" s="50">
        <f>INDEX($Q$5:$Q$21,MATCH(节奏总纲!BU84,$N$5:$N$21,1))*(Y$2+$K$2)*节奏总纲!AA84*4*$C$5+Y84</f>
        <v>12640631376.715424</v>
      </c>
      <c r="Z85" s="51">
        <f>SUMIFS($K$5:$K$1004,$J$5:$J$1004,"&lt;="&amp;U$2)*节奏总纲!W84*4+Z84</f>
        <v>109349.6025637164</v>
      </c>
      <c r="AA85" s="51">
        <f>SUMIFS($K$5:$K$1004,$J$5:$J$1004,"&lt;="&amp;V$2)*节奏总纲!X84*4+AA84</f>
        <v>850892.99738930294</v>
      </c>
      <c r="AB85" s="51">
        <f>SUMIFS($K$5:$K$1004,$J$5:$J$1004,"&lt;="&amp;W$2)*节奏总纲!Y84*4+AB84</f>
        <v>2080879.1969464971</v>
      </c>
      <c r="AC85" s="51">
        <f>SUMIFS($K$5:$K$1004,$J$5:$J$1004,"&lt;="&amp;X$2)*节奏总纲!Z84*4+AC84</f>
        <v>3209334.2905232813</v>
      </c>
      <c r="AD85" s="51">
        <f>SUMIFS($K$5:$K$1004,$J$5:$J$1004,"&lt;="&amp;Y$2)*节奏总纲!AA84*4+AD84</f>
        <v>1775137.7081783463</v>
      </c>
      <c r="AH85" s="35">
        <v>81</v>
      </c>
      <c r="AI85" s="47">
        <f>'[1]资源-木石铜粮'!AE86-U85</f>
        <v>-588910415.10316658</v>
      </c>
      <c r="AJ85" s="47">
        <f>'[1]资源-木石铜粮'!AF86-V85</f>
        <v>-2741979212.9274988</v>
      </c>
      <c r="AK85" s="47">
        <f>'[1]资源-木石铜粮'!AG86-W85</f>
        <v>-7666593316.5565186</v>
      </c>
      <c r="AL85" s="47">
        <f>'[1]资源-木石铜粮'!AH86-X85</f>
        <v>-13839177593.5411</v>
      </c>
      <c r="AM85" s="47">
        <f>'[1]资源-木石铜粮'!AI86-Y85</f>
        <v>-2890711934.272892</v>
      </c>
      <c r="AN85" s="47">
        <f>(AI85-AI84)*IF($AH85&lt;=10,'[1]功能-付费相关'!S96,'[1]功能-付费相关'!S86)</f>
        <v>1389.2160416519541</v>
      </c>
      <c r="AO85" s="47">
        <f>(AJ85-AJ84)*IF($AH85&lt;=10,'[1]功能-付费相关'!T96,'[1]功能-付费相关'!T86)</f>
        <v>-8329.5648680912545</v>
      </c>
      <c r="AP85" s="47">
        <f>(AK85-AK84)*IF($AH85&lt;=10,'[1]功能-付费相关'!U96,'[1]功能-付费相关'!U86)</f>
        <v>-22812.946917276109</v>
      </c>
      <c r="AQ85" s="47">
        <f>(AL85-AL84)*IF($AH85&lt;=10,'[1]功能-付费相关'!V96,'[1]功能-付费相关'!V86)</f>
        <v>-37565.917624937494</v>
      </c>
      <c r="AR85" s="47">
        <f>(AM85-AM84)*IF($AH85&lt;=10,'[1]功能-付费相关'!W96,'[1]功能-付费相关'!W86)</f>
        <v>-6051.1116941632072</v>
      </c>
      <c r="AS85" s="48">
        <f>SUM(AN$5:AN85)/'[1]资源-钻石'!L84</f>
        <v>-4.6640845396720691E-2</v>
      </c>
      <c r="AT85" s="48">
        <f>SUM(AO$5:AO85)/'[1]资源-钻石'!M84</f>
        <v>-9.7614940279134338E-2</v>
      </c>
      <c r="AU85" s="48">
        <f>SUM(AP$5:AP85)/'[1]资源-钻石'!N84</f>
        <v>-0.15520496966315986</v>
      </c>
      <c r="AV85" s="48">
        <f>SUM(AQ$5:AQ85)/'[1]资源-钻石'!O84</f>
        <v>-0.12579593262963368</v>
      </c>
      <c r="AW85" s="48">
        <f>SUM(AR$5:AR85)/'[1]资源-钻石'!P84</f>
        <v>-2.3856343197741266E-2</v>
      </c>
      <c r="AX85" s="35">
        <f>('[1]资源-木石铜粮'!C86+U85)/'[1]资源-木石铜粮'!U86</f>
        <v>1.0438115177333385</v>
      </c>
      <c r="AY85" s="35">
        <f>('[1]资源-木石铜粮'!D86+V85)/'[1]资源-木石铜粮'!V86</f>
        <v>1.1816131915403876</v>
      </c>
      <c r="AZ85" s="35">
        <f>('[1]资源-木石铜粮'!E86+W85)/'[1]资源-木石铜粮'!W86</f>
        <v>1.4595327940819476</v>
      </c>
      <c r="BA85" s="35">
        <f>('[1]资源-木石铜粮'!F86+X85)/'[1]资源-木石铜粮'!X86</f>
        <v>1.8650044750962704</v>
      </c>
      <c r="BB85" s="35">
        <f>('[1]资源-木石铜粮'!G86+Y85)/'[1]资源-木石铜粮'!Y86</f>
        <v>1.1985061619532558</v>
      </c>
      <c r="BE85" s="39">
        <f t="shared" si="13"/>
        <v>5.0002361408892518E-5</v>
      </c>
      <c r="BF85" s="39">
        <f t="shared" si="14"/>
        <v>1.2246021917297593E-4</v>
      </c>
      <c r="BG85" s="39">
        <f t="shared" si="15"/>
        <v>1.4153296578413058E-4</v>
      </c>
      <c r="BH85" s="39">
        <f t="shared" si="16"/>
        <v>1.4487039454841847E-4</v>
      </c>
      <c r="BI85" s="39">
        <f t="shared" si="17"/>
        <v>1.4043109519420248E-4</v>
      </c>
      <c r="BK85" s="39">
        <f>BE85/求节点(节奏总纲!AM$4:AM$83,$G$5:$G$84,节奏总纲!P84)</f>
        <v>0.43691791942660202</v>
      </c>
      <c r="BL85" s="39">
        <f>BF85/求节点(节奏总纲!AN$4:AN$83,$G$5:$G$84,节奏总纲!Q84)</f>
        <v>1.1116808603537245</v>
      </c>
      <c r="BM85" s="39">
        <f>BG85/求节点(节奏总纲!AO$4:AO$83,$G$5:$G$84,节奏总纲!R84)</f>
        <v>1.3259279164144551</v>
      </c>
      <c r="BN85" s="39">
        <f>BH85/求节点(节奏总纲!AP$4:AP$83,$G$5:$G$84,节奏总纲!S84)</f>
        <v>1.4026511006221527</v>
      </c>
      <c r="BO85" s="39">
        <f>BI85/求节点(节奏总纲!AQ$4:AQ$83,$G$5:$G$84,节奏总纲!T84)</f>
        <v>1.4120628939181106</v>
      </c>
    </row>
    <row r="86" spans="5:67" x14ac:dyDescent="0.15">
      <c r="I86" s="54"/>
      <c r="J86" s="35">
        <v>82</v>
      </c>
      <c r="K86" s="55">
        <v>60</v>
      </c>
      <c r="L86" s="55">
        <f t="shared" si="30"/>
        <v>90</v>
      </c>
      <c r="M86" s="55"/>
      <c r="T86" s="35">
        <v>82</v>
      </c>
      <c r="U86" s="50">
        <f>INDEX($Q$5:$Q$21,MATCH(节奏总纲!BQ85,$N$5:$N$21,1))*(U$2+$K$2)*节奏总纲!W85*4*$C$5+U85</f>
        <v>2457420199.5858107</v>
      </c>
      <c r="V86" s="50">
        <f>INDEX($Q$5:$Q$21,MATCH(节奏总纲!BR85,$N$5:$N$21,1))*(V$2+$K$2)*节奏总纲!X85*4*$C$5+V85</f>
        <v>7755703960.7306728</v>
      </c>
      <c r="W86" s="50">
        <f>INDEX($Q$5:$Q$21,MATCH(节奏总纲!BS85,$N$5:$N$21,1))*(W$2+$K$2)*节奏总纲!Y85*4*$C$5+W85</f>
        <v>16302601690.892431</v>
      </c>
      <c r="X86" s="50">
        <f>INDEX($Q$5:$Q$21,MATCH(节奏总纲!BT85,$N$5:$N$21,1))*(X$2+$K$2)*节奏总纲!Z85*4*$C$5+X85</f>
        <v>24477636289.705013</v>
      </c>
      <c r="Y86" s="50">
        <f>INDEX($Q$5:$Q$21,MATCH(节奏总纲!BU85,$N$5:$N$21,1))*(Y$2+$K$2)*节奏总纲!AA85*4*$C$5+Y85</f>
        <v>13883377867.874376</v>
      </c>
      <c r="Z86" s="51">
        <f>SUMIFS($K$5:$K$1004,$J$5:$J$1004,"&lt;="&amp;U$2)*节奏总纲!W85*4+Z85</f>
        <v>117226.71155169627</v>
      </c>
      <c r="AA86" s="51">
        <f>SUMIFS($K$5:$K$1004,$J$5:$J$1004,"&lt;="&amp;V$2)*节奏总纲!X85*4+AA85</f>
        <v>911343.90094519721</v>
      </c>
      <c r="AB86" s="51">
        <f>SUMIFS($K$5:$K$1004,$J$5:$J$1004,"&lt;="&amp;W$2)*节奏总纲!Y85*4+AB85</f>
        <v>2228878.3574170214</v>
      </c>
      <c r="AC86" s="51">
        <f>SUMIFS($K$5:$K$1004,$J$5:$J$1004,"&lt;="&amp;X$2)*节奏总纲!Z85*4+AC85</f>
        <v>3438517.348576664</v>
      </c>
      <c r="AD86" s="51">
        <f>SUMIFS($K$5:$K$1004,$J$5:$J$1004,"&lt;="&amp;Y$2)*节奏总纲!AA85*4+AD85</f>
        <v>1897666.0065988586</v>
      </c>
      <c r="AH86" s="35">
        <v>82</v>
      </c>
      <c r="AI86" s="47">
        <f>'[1]资源-木石铜粮'!AE87-U86</f>
        <v>-612019722.49230862</v>
      </c>
      <c r="AJ86" s="47">
        <f>'[1]资源-木石铜粮'!AF87-V86</f>
        <v>-3021469959.1808338</v>
      </c>
      <c r="AK86" s="47">
        <f>'[1]资源-木石铜粮'!AG87-W86</f>
        <v>-8472762489.3945408</v>
      </c>
      <c r="AL86" s="47">
        <f>'[1]资源-木石铜粮'!AH87-X86</f>
        <v>-15240307954.585407</v>
      </c>
      <c r="AM86" s="47">
        <f>'[1]资源-木石铜粮'!AI87-Y86</f>
        <v>-3077595308.7747593</v>
      </c>
      <c r="AN86" s="47">
        <f>(AI86-AI85)*IF($AH86&lt;=10,'[1]功能-付费相关'!S97,'[1]功能-付费相关'!S87)</f>
        <v>-742.13508340579642</v>
      </c>
      <c r="AO86" s="47">
        <f>(AJ86-AJ85)*IF($AH86&lt;=10,'[1]功能-付费相关'!T97,'[1]功能-付费相关'!T87)</f>
        <v>-8832.9719506693291</v>
      </c>
      <c r="AP86" s="47">
        <f>(AK86-AK85)*IF($AH86&lt;=10,'[1]功能-付费相关'!U97,'[1]功能-付费相关'!U87)</f>
        <v>-24665.135776898082</v>
      </c>
      <c r="AQ86" s="47">
        <f>(AL86-AL85)*IF($AH86&lt;=10,'[1]功能-付费相关'!V97,'[1]功能-付费相关'!V87)</f>
        <v>-39775.9479873819</v>
      </c>
      <c r="AR86" s="47">
        <f>(AM86-AM85)*IF($AH86&lt;=10,'[1]功能-付费相关'!W97,'[1]功能-付费相关'!W87)</f>
        <v>-5176.0350409190123</v>
      </c>
      <c r="AS86" s="48">
        <f>SUM(AN$5:AN86)/'[1]资源-钻石'!L85</f>
        <v>-4.4593817172928485E-2</v>
      </c>
      <c r="AT86" s="48">
        <f>SUM(AO$5:AO86)/'[1]资源-钻石'!M85</f>
        <v>-9.70916236687768E-2</v>
      </c>
      <c r="AU86" s="48">
        <f>SUM(AP$5:AP86)/'[1]资源-钻石'!N85</f>
        <v>-0.15569517718401457</v>
      </c>
      <c r="AV86" s="48">
        <f>SUM(AQ$5:AQ86)/'[1]资源-钻石'!O85</f>
        <v>-0.12548864694423181</v>
      </c>
      <c r="AW86" s="48">
        <f>SUM(AR$5:AR86)/'[1]资源-钻石'!P85</f>
        <v>-2.3088205104449432E-2</v>
      </c>
      <c r="AX86" s="35">
        <f>('[1]资源-木石铜粮'!C87+U86)/'[1]资源-木石铜粮'!U87</f>
        <v>1.0410139870543236</v>
      </c>
      <c r="AY86" s="35">
        <f>('[1]资源-木石铜粮'!D87+V86)/'[1]资源-木石铜粮'!V87</f>
        <v>1.1805073847148504</v>
      </c>
      <c r="AZ86" s="35">
        <f>('[1]资源-木石铜粮'!E87+W86)/'[1]资源-木石铜粮'!W87</f>
        <v>1.4588837736509275</v>
      </c>
      <c r="BA86" s="35">
        <f>('[1]资源-木石铜粮'!F87+X86)/'[1]资源-木石铜粮'!X87</f>
        <v>1.8601254549578359</v>
      </c>
      <c r="BB86" s="35">
        <f>('[1]资源-木石铜粮'!G87+Y86)/'[1]资源-木石铜粮'!Y87</f>
        <v>1.1909874225254959</v>
      </c>
      <c r="BE86" s="39">
        <f t="shared" si="13"/>
        <v>4.7703161051355568E-5</v>
      </c>
      <c r="BF86" s="39">
        <f t="shared" si="14"/>
        <v>1.1750627738753176E-4</v>
      </c>
      <c r="BG86" s="39">
        <f t="shared" si="15"/>
        <v>1.3671918137227144E-4</v>
      </c>
      <c r="BH86" s="39">
        <f t="shared" si="16"/>
        <v>1.4047587389076703E-4</v>
      </c>
      <c r="BI86" s="39">
        <f t="shared" si="17"/>
        <v>1.3668618866810416E-4</v>
      </c>
      <c r="BK86" s="39">
        <f>BE86/求节点(节奏总纲!AM$4:AM$83,$G$5:$G$84,节奏总纲!P85)</f>
        <v>0.43180214202450851</v>
      </c>
      <c r="BL86" s="39">
        <f>BF86/求节点(节奏总纲!AN$4:AN$83,$G$5:$G$84,节奏总纲!Q85)</f>
        <v>1.0944489965352149</v>
      </c>
      <c r="BM86" s="39">
        <f>BG86/求节点(节奏总纲!AO$4:AO$83,$G$5:$G$84,节奏总纲!R85)</f>
        <v>1.3127681487974852</v>
      </c>
      <c r="BN86" s="39">
        <f>BH86/求节点(节奏总纲!AP$4:AP$83,$G$5:$G$84,节奏总纲!S85)</f>
        <v>1.3970334876743467</v>
      </c>
      <c r="BO86" s="39">
        <f>BI86/求节点(节奏总纲!AQ$4:AQ$83,$G$5:$G$84,节奏总纲!T85)</f>
        <v>1.4081633380799745</v>
      </c>
    </row>
    <row r="87" spans="5:67" x14ac:dyDescent="0.15">
      <c r="I87" s="54"/>
      <c r="J87" s="35">
        <v>83</v>
      </c>
      <c r="K87" s="55">
        <v>60</v>
      </c>
      <c r="L87" s="55">
        <f t="shared" si="30"/>
        <v>90</v>
      </c>
      <c r="M87" s="55"/>
      <c r="T87" s="35">
        <v>83</v>
      </c>
      <c r="U87" s="50">
        <f>INDEX($Q$5:$Q$21,MATCH(节奏总纲!BQ86,$N$5:$N$21,1))*(U$2+$K$2)*节奏总纲!W86*4*$C$5+U86</f>
        <v>2747368608.2027407</v>
      </c>
      <c r="V87" s="50">
        <f>INDEX($Q$5:$Q$21,MATCH(节奏总纲!BR86,$N$5:$N$21,1))*(V$2+$K$2)*节奏总纲!X86*4*$C$5+V86</f>
        <v>8639857954.0349941</v>
      </c>
      <c r="W87" s="50">
        <f>INDEX($Q$5:$Q$21,MATCH(节奏总纲!BS86,$N$5:$N$21,1))*(W$2+$K$2)*节奏总纲!Y86*4*$C$5+W86</f>
        <v>18074831732.367054</v>
      </c>
      <c r="X87" s="50">
        <f>INDEX($Q$5:$Q$21,MATCH(节奏总纲!BT86,$N$5:$N$21,1))*(X$2+$K$2)*节奏总纲!Z86*4*$C$5+X86</f>
        <v>26967499337.375015</v>
      </c>
      <c r="Y87" s="50">
        <f>INDEX($Q$5:$Q$21,MATCH(节奏总纲!BU86,$N$5:$N$21,1))*(Y$2+$K$2)*节奏总纲!AA86*4*$C$5+Y86</f>
        <v>15262259322.6423</v>
      </c>
      <c r="Z87" s="51">
        <f>SUMIFS($K$5:$K$1004,$J$5:$J$1004,"&lt;="&amp;U$2)*节奏总纲!W86*4+Z86</f>
        <v>125669.18792651953</v>
      </c>
      <c r="AA87" s="51">
        <f>SUMIFS($K$5:$K$1004,$J$5:$J$1004,"&lt;="&amp;V$2)*节奏总纲!X86*4+AA86</f>
        <v>977542.91212401737</v>
      </c>
      <c r="AB87" s="51">
        <f>SUMIFS($K$5:$K$1004,$J$5:$J$1004,"&lt;="&amp;W$2)*节奏总纲!Y86*4+AB86</f>
        <v>2392791.605796102</v>
      </c>
      <c r="AC87" s="51">
        <f>SUMIFS($K$5:$K$1004,$J$5:$J$1004,"&lt;="&amp;X$2)*节奏总纲!Z86*4+AC86</f>
        <v>3684004.8109847116</v>
      </c>
      <c r="AD87" s="51">
        <f>SUMIFS($K$5:$K$1004,$J$5:$J$1004,"&lt;="&amp;Y$2)*节奏总纲!AA86*4+AD86</f>
        <v>2033616.4997833166</v>
      </c>
      <c r="AH87" s="35">
        <v>83</v>
      </c>
      <c r="AI87" s="47">
        <f>'[1]资源-木石铜粮'!AE88-U87</f>
        <v>-652495189.90263653</v>
      </c>
      <c r="AJ87" s="47">
        <f>'[1]资源-木石铜粮'!AF88-V87</f>
        <v>-3319477438.0713902</v>
      </c>
      <c r="AK87" s="47">
        <f>'[1]资源-木石铜粮'!AG88-W87</f>
        <v>-9360201720.8984928</v>
      </c>
      <c r="AL87" s="47">
        <f>'[1]资源-木石铜粮'!AH88-X87</f>
        <v>-16475337045.897493</v>
      </c>
      <c r="AM87" s="47">
        <f>'[1]资源-木石铜粮'!AI88-Y87</f>
        <v>-3329840432.493412</v>
      </c>
      <c r="AN87" s="47">
        <f>(AI87-AI86)*IF($AH87&lt;=10,'[1]功能-付费相关'!S98,'[1]功能-付费相关'!S88)</f>
        <v>-1271.7707441117018</v>
      </c>
      <c r="AO87" s="47">
        <f>(AJ87-AJ86)*IF($AH87&lt;=10,'[1]功能-付费相关'!T98,'[1]功能-付费相关'!T88)</f>
        <v>-9209.7808501497275</v>
      </c>
      <c r="AP87" s="47">
        <f>(AK87-AK86)*IF($AH87&lt;=10,'[1]功能-付费相关'!U98,'[1]功能-付费相关'!U88)</f>
        <v>-26535.15594487363</v>
      </c>
      <c r="AQ87" s="47">
        <f>(AL87-AL86)*IF($AH87&lt;=10,'[1]功能-付费相关'!V98,'[1]功能-付费相关'!V88)</f>
        <v>-34217.154917475804</v>
      </c>
      <c r="AR87" s="47">
        <f>(AM87-AM86)*IF($AH87&lt;=10,'[1]功能-付费相关'!W98,'[1]功能-付费相关'!W88)</f>
        <v>-6861.1508748004289</v>
      </c>
      <c r="AS87" s="48">
        <f>SUM(AN$5:AN87)/'[1]资源-钻石'!L86</f>
        <v>-4.2963034810829609E-2</v>
      </c>
      <c r="AT87" s="48">
        <f>SUM(AO$5:AO87)/'[1]资源-钻石'!M86</f>
        <v>-9.6336723539674193E-2</v>
      </c>
      <c r="AU87" s="48">
        <f>SUM(AP$5:AP87)/'[1]资源-钻石'!N86</f>
        <v>-0.15588975120120349</v>
      </c>
      <c r="AV87" s="48">
        <f>SUM(AQ$5:AQ87)/'[1]资源-钻石'!O86</f>
        <v>-0.12368653032289198</v>
      </c>
      <c r="AW87" s="48">
        <f>SUM(AR$5:AR87)/'[1]资源-钻石'!P86</f>
        <v>-2.2491985526970355E-2</v>
      </c>
      <c r="AX87" s="35">
        <f>('[1]资源-木石铜粮'!C88+U87)/'[1]资源-木石铜粮'!U88</f>
        <v>1.0394420732326046</v>
      </c>
      <c r="AY87" s="35">
        <f>('[1]资源-木石铜粮'!D88+V87)/'[1]资源-木石铜粮'!V88</f>
        <v>1.1787995097830368</v>
      </c>
      <c r="AZ87" s="35">
        <f>('[1]资源-木石铜粮'!E88+W87)/'[1]资源-木石铜粮'!W88</f>
        <v>1.4577012074667419</v>
      </c>
      <c r="BA87" s="35">
        <f>('[1]资源-木石铜粮'!F88+X87)/'[1]资源-木石铜粮'!X88</f>
        <v>1.8303124513508255</v>
      </c>
      <c r="BB87" s="35">
        <f>('[1]资源-木石铜粮'!G88+Y87)/'[1]资源-木石铜粮'!Y88</f>
        <v>1.1871603130074209</v>
      </c>
      <c r="BE87" s="39">
        <f t="shared" si="13"/>
        <v>4.5741655324776074E-5</v>
      </c>
      <c r="BF87" s="39">
        <f t="shared" si="14"/>
        <v>1.131434008897663E-4</v>
      </c>
      <c r="BG87" s="39">
        <f t="shared" si="15"/>
        <v>1.323825107323832E-4</v>
      </c>
      <c r="BH87" s="39">
        <f t="shared" si="16"/>
        <v>1.3660906281654918E-4</v>
      </c>
      <c r="BI87" s="39">
        <f t="shared" si="17"/>
        <v>1.3324478747169159E-4</v>
      </c>
      <c r="BK87" s="39">
        <f>BE87/求节点(节奏总纲!AM$4:AM$83,$G$5:$G$84,节奏总纲!P86)</f>
        <v>0.42484339900778478</v>
      </c>
      <c r="BL87" s="39">
        <f>BF87/求节点(节奏总纲!AN$4:AN$83,$G$5:$G$84,节奏总纲!Q86)</f>
        <v>1.0812760722016113</v>
      </c>
      <c r="BM87" s="39">
        <f>BG87/求节点(节奏总纲!AO$4:AO$83,$G$5:$G$84,节奏总纲!R86)</f>
        <v>1.3055804442844456</v>
      </c>
      <c r="BN87" s="39">
        <f>BH87/求节点(节奏总纲!AP$4:AP$83,$G$5:$G$84,节奏总纲!S86)</f>
        <v>1.3918390952284057</v>
      </c>
      <c r="BO87" s="39">
        <f>BI87/求节点(节奏总纲!AQ$4:AQ$83,$G$5:$G$84,节奏总纲!T86)</f>
        <v>1.4091747749472721</v>
      </c>
    </row>
    <row r="88" spans="5:67" x14ac:dyDescent="0.15">
      <c r="I88" s="54"/>
      <c r="J88" s="35">
        <v>84</v>
      </c>
      <c r="K88" s="55">
        <v>60</v>
      </c>
      <c r="L88" s="55">
        <f t="shared" si="30"/>
        <v>90</v>
      </c>
      <c r="M88" s="55"/>
      <c r="T88" s="35">
        <v>84</v>
      </c>
      <c r="U88" s="50">
        <f>INDEX($Q$5:$Q$21,MATCH(节奏总纲!BQ87,$N$5:$N$21,1))*(U$2+$K$2)*节奏总纲!W87*4*$C$5+U87</f>
        <v>3058127618.0629835</v>
      </c>
      <c r="V88" s="50">
        <f>INDEX($Q$5:$Q$21,MATCH(节奏总纲!BR87,$N$5:$N$21,1))*(V$2+$K$2)*节奏总纲!X87*4*$C$5+V87</f>
        <v>9588016294.6127396</v>
      </c>
      <c r="W88" s="50">
        <f>INDEX($Q$5:$Q$21,MATCH(节奏总纲!BS87,$N$5:$N$21,1))*(W$2+$K$2)*节奏总纲!Y87*4*$C$5+W87</f>
        <v>19910054276.75127</v>
      </c>
      <c r="X88" s="50">
        <f>INDEX($Q$5:$Q$21,MATCH(节奏总纲!BT87,$N$5:$N$21,1))*(X$2+$K$2)*节奏总纲!Z87*4*$C$5+X87</f>
        <v>29603340771.502148</v>
      </c>
      <c r="Y88" s="50">
        <f>INDEX($Q$5:$Q$21,MATCH(节奏总纲!BU87,$N$5:$N$21,1))*(Y$2+$K$2)*节奏总纲!AA87*4*$C$5+Y87</f>
        <v>16755159799.807583</v>
      </c>
      <c r="Z88" s="51">
        <f>SUMIFS($K$5:$K$1004,$J$5:$J$1004,"&lt;="&amp;U$2)*节奏总纲!W87*4+Z87</f>
        <v>134717.61006314436</v>
      </c>
      <c r="AA88" s="51">
        <f>SUMIFS($K$5:$K$1004,$J$5:$J$1004,"&lt;="&amp;V$2)*节奏总纲!X87*4+AA87</f>
        <v>1048534.1026434653</v>
      </c>
      <c r="AB88" s="51">
        <f>SUMIFS($K$5:$K$1004,$J$5:$J$1004,"&lt;="&amp;W$2)*节奏总纲!Y87*4+AB87</f>
        <v>2562531.0198160997</v>
      </c>
      <c r="AC88" s="51">
        <f>SUMIFS($K$5:$K$1004,$J$5:$J$1004,"&lt;="&amp;X$2)*节奏总纲!Z87*4+AC87</f>
        <v>3943884.9781205622</v>
      </c>
      <c r="AD88" s="51">
        <f>SUMIFS($K$5:$K$1004,$J$5:$J$1004,"&lt;="&amp;Y$2)*节奏总纲!AA87*4+AD87</f>
        <v>2180808.6717021801</v>
      </c>
      <c r="AH88" s="35">
        <v>84</v>
      </c>
      <c r="AI88" s="47">
        <f>'[1]资源-木石铜粮'!AE89-U88</f>
        <v>-729898864.46982098</v>
      </c>
      <c r="AJ88" s="47">
        <f>'[1]资源-木石铜粮'!AF89-V88</f>
        <v>-3642110445.7527905</v>
      </c>
      <c r="AK88" s="47">
        <f>'[1]资源-木石铜粮'!AG89-W88</f>
        <v>-10245916095.594641</v>
      </c>
      <c r="AL88" s="47">
        <f>'[1]资源-木石铜粮'!AH89-X88</f>
        <v>-17969680615.440022</v>
      </c>
      <c r="AM88" s="47">
        <f>'[1]资源-木石铜粮'!AI89-Y88</f>
        <v>-3648521273.5025291</v>
      </c>
      <c r="AN88" s="47">
        <f>(AI88-AI87)*IF($AH88&lt;=10,'[1]功能-付费相关'!S99,'[1]功能-付费相关'!S89)</f>
        <v>-2212.1005688401306</v>
      </c>
      <c r="AO88" s="47">
        <f>(AJ88-AJ87)*IF($AH88&lt;=10,'[1]功能-付费相关'!T99,'[1]功能-付费相关'!T89)</f>
        <v>-9066.6087764120075</v>
      </c>
      <c r="AP88" s="47">
        <f>(AK88-AK87)*IF($AH88&lt;=10,'[1]功能-付费相关'!U99,'[1]功能-付费相关'!U89)</f>
        <v>-24082.467773784512</v>
      </c>
      <c r="AQ88" s="47">
        <f>(AL88-AL87)*IF($AH88&lt;=10,'[1]功能-付费相关'!V99,'[1]功能-付费相关'!V89)</f>
        <v>-37690.491108932751</v>
      </c>
      <c r="AR88" s="47">
        <f>(AM88-AM87)*IF($AH88&lt;=10,'[1]功能-付费相关'!W99,'[1]功能-付费相关'!W89)</f>
        <v>-7922.7368350957358</v>
      </c>
      <c r="AS88" s="48">
        <f>SUM(AN$5:AN88)/'[1]资源-钻石'!L87</f>
        <v>-4.1953860300098247E-2</v>
      </c>
      <c r="AT88" s="48">
        <f>SUM(AO$5:AO88)/'[1]资源-钻石'!M87</f>
        <v>-9.5214734186425745E-2</v>
      </c>
      <c r="AU88" s="48">
        <f>SUM(AP$5:AP88)/'[1]资源-钻石'!N87</f>
        <v>-0.15490223761608232</v>
      </c>
      <c r="AV88" s="48">
        <f>SUM(AQ$5:AQ88)/'[1]资源-钻石'!O87</f>
        <v>-0.12226064934497462</v>
      </c>
      <c r="AW88" s="48">
        <f>SUM(AR$5:AR88)/'[1]资源-钻石'!P87</f>
        <v>-2.2026940267639256E-2</v>
      </c>
      <c r="AX88" s="35">
        <f>('[1]资源-木石铜粮'!C89+U88)/'[1]资源-木石铜粮'!U89</f>
        <v>1.0398330759704741</v>
      </c>
      <c r="AY88" s="35">
        <f>('[1]资源-木石铜粮'!D89+V88)/'[1]资源-木石铜粮'!V89</f>
        <v>1.1770321530797043</v>
      </c>
      <c r="AZ88" s="35">
        <f>('[1]资源-木石铜粮'!E89+W88)/'[1]资源-木石铜粮'!W89</f>
        <v>1.4536010749208685</v>
      </c>
      <c r="BA88" s="35">
        <f>('[1]资源-木石铜粮'!F89+X88)/'[1]资源-木石铜粮'!X89</f>
        <v>1.8192442664878963</v>
      </c>
      <c r="BB88" s="35">
        <f>('[1]资源-木石铜粮'!G89+Y88)/'[1]资源-木石铜粮'!Y89</f>
        <v>1.1863102758514414</v>
      </c>
      <c r="BE88" s="39">
        <f t="shared" si="13"/>
        <v>4.40523179174826E-5</v>
      </c>
      <c r="BF88" s="39">
        <f t="shared" si="14"/>
        <v>1.0935881525697966E-4</v>
      </c>
      <c r="BG88" s="39">
        <f t="shared" si="15"/>
        <v>1.2870537589685711E-4</v>
      </c>
      <c r="BH88" s="39">
        <f t="shared" si="16"/>
        <v>1.3322432115219811E-4</v>
      </c>
      <c r="BI88" s="39">
        <f t="shared" si="17"/>
        <v>1.3015743793307329E-4</v>
      </c>
      <c r="BK88" s="39">
        <f>BE88/求节点(节奏总纲!AM$4:AM$83,$G$5:$G$84,节奏总纲!P87)</f>
        <v>0.41984744810504976</v>
      </c>
      <c r="BL88" s="39">
        <f>BF88/求节点(节奏总纲!AN$4:AN$83,$G$5:$G$84,节奏总纲!Q87)</f>
        <v>1.0725592596148044</v>
      </c>
      <c r="BM88" s="39">
        <f>BG88/求节点(节奏总纲!AO$4:AO$83,$G$5:$G$84,节奏总纲!R87)</f>
        <v>1.3013188514515273</v>
      </c>
      <c r="BN88" s="39">
        <f>BH88/求节点(节奏总纲!AP$4:AP$83,$G$5:$G$84,节奏总纲!S87)</f>
        <v>1.3932420219255743</v>
      </c>
      <c r="BO88" s="39">
        <f>BI88/求节点(节奏总纲!AQ$4:AQ$83,$G$5:$G$84,节奏总纲!T87)</f>
        <v>1.4113042719355526</v>
      </c>
    </row>
    <row r="89" spans="5:67" x14ac:dyDescent="0.15">
      <c r="I89" s="54"/>
      <c r="J89" s="35">
        <v>85</v>
      </c>
      <c r="K89" s="55">
        <v>60</v>
      </c>
      <c r="L89" s="55">
        <f t="shared" si="30"/>
        <v>90</v>
      </c>
      <c r="M89" s="55"/>
      <c r="T89" s="35">
        <v>85</v>
      </c>
      <c r="U89" s="50">
        <f>INDEX($Q$5:$Q$21,MATCH(节奏总纲!BQ88,$N$5:$N$21,1))*(U$2+$K$2)*节奏总纲!W88*4*$C$5+U88</f>
        <v>3391190878.0752511</v>
      </c>
      <c r="V89" s="50">
        <f>INDEX($Q$5:$Q$21,MATCH(节奏总纲!BR88,$N$5:$N$21,1))*(V$2+$K$2)*节奏总纲!X88*4*$C$5+V88</f>
        <v>10571829126.203766</v>
      </c>
      <c r="W89" s="50">
        <f>INDEX($Q$5:$Q$21,MATCH(节奏总纲!BS88,$N$5:$N$21,1))*(W$2+$K$2)*节奏总纲!Y88*4*$C$5+W88</f>
        <v>21853930333.947521</v>
      </c>
      <c r="X89" s="50">
        <f>INDEX($Q$5:$Q$21,MATCH(节奏总纲!BT88,$N$5:$N$21,1))*(X$2+$K$2)*节奏总纲!Z88*4*$C$5+X88</f>
        <v>32516268511.655022</v>
      </c>
      <c r="Y89" s="50">
        <f>INDEX($Q$5:$Q$21,MATCH(节奏总纲!BU88,$N$5:$N$21,1))*(Y$2+$K$2)*节奏总纲!AA88*4*$C$5+Y88</f>
        <v>18347424224.839561</v>
      </c>
      <c r="Z89" s="51">
        <f>SUMIFS($K$5:$K$1004,$J$5:$J$1004,"&lt;="&amp;U$2)*节奏总纲!W88*4+Z88</f>
        <v>144415.46878700494</v>
      </c>
      <c r="AA89" s="51">
        <f>SUMIFS($K$5:$K$1004,$J$5:$J$1004,"&lt;="&amp;V$2)*节奏总纲!X88*4+AA88</f>
        <v>1122194.8417563003</v>
      </c>
      <c r="AB89" s="51">
        <f>SUMIFS($K$5:$K$1004,$J$5:$J$1004,"&lt;="&amp;W$2)*节奏总纲!Y88*4+AB88</f>
        <v>2742319.7783433148</v>
      </c>
      <c r="AC89" s="51">
        <f>SUMIFS($K$5:$K$1004,$J$5:$J$1004,"&lt;="&amp;X$2)*节奏总纲!Z88*4+AC88</f>
        <v>4231084.4045216693</v>
      </c>
      <c r="AD89" s="51">
        <f>SUMIFS($K$5:$K$1004,$J$5:$J$1004,"&lt;="&amp;Y$2)*节奏总纲!AA88*4+AD88</f>
        <v>2337797.6087240349</v>
      </c>
      <c r="AH89" s="35">
        <v>85</v>
      </c>
      <c r="AI89" s="47">
        <f>'[1]资源-木石铜粮'!AE90-U89</f>
        <v>-793058640.6858201</v>
      </c>
      <c r="AJ89" s="47">
        <f>'[1]资源-木石铜粮'!AF90-V89</f>
        <v>-3941123102.6655102</v>
      </c>
      <c r="AK89" s="47">
        <f>'[1]资源-木石铜粮'!AG90-W89</f>
        <v>-11138405305.264376</v>
      </c>
      <c r="AL89" s="47">
        <f>'[1]资源-木石铜粮'!AH90-X89</f>
        <v>-19688745323.382454</v>
      </c>
      <c r="AM89" s="47">
        <f>'[1]资源-木石铜粮'!AI90-Y89</f>
        <v>-3971573369.1406765</v>
      </c>
      <c r="AN89" s="47">
        <f>(AI89-AI88)*IF($AH89&lt;=10,'[1]功能-付费相关'!S100,'[1]功能-付费相关'!S90)</f>
        <v>-1768.1372888540639</v>
      </c>
      <c r="AO89" s="47">
        <f>(AJ89-AJ88)*IF($AH89&lt;=10,'[1]功能-付费相关'!T100,'[1]功能-付费相关'!T90)</f>
        <v>-8223.5772479536481</v>
      </c>
      <c r="AP89" s="47">
        <f>(AK89-AK88)*IF($AH89&lt;=10,'[1]功能-付费相关'!U100,'[1]功能-付费相关'!U90)</f>
        <v>-23736.760307983666</v>
      </c>
      <c r="AQ89" s="47">
        <f>(AL89-AL88)*IF($AH89&lt;=10,'[1]功能-付费相关'!V100,'[1]功能-付费相关'!V90)</f>
        <v>-42570.830046902003</v>
      </c>
      <c r="AR89" s="47">
        <f>(AM89-AM88)*IF($AH89&lt;=10,'[1]功能-付费相关'!W100,'[1]功能-付费相关'!W90)</f>
        <v>-7893.0818642494796</v>
      </c>
      <c r="AS89" s="48">
        <f>SUM(AN$5:AN89)/'[1]资源-钻石'!L88</f>
        <v>-4.06348214476503E-2</v>
      </c>
      <c r="AT89" s="48">
        <f>SUM(AO$5:AO89)/'[1]资源-钻石'!M88</f>
        <v>-9.3624671560878642E-2</v>
      </c>
      <c r="AU89" s="48">
        <f>SUM(AP$5:AP89)/'[1]资源-钻石'!N88</f>
        <v>-0.15340450703904304</v>
      </c>
      <c r="AV89" s="48">
        <f>SUM(AQ$5:AQ89)/'[1]资源-钻石'!O88</f>
        <v>-0.12108878060675078</v>
      </c>
      <c r="AW89" s="48">
        <f>SUM(AR$5:AR89)/'[1]资源-钻石'!P88</f>
        <v>-2.1532877831275537E-2</v>
      </c>
      <c r="AX89" s="35">
        <f>('[1]资源-木石铜粮'!C90+U89)/'[1]资源-木石铜粮'!U90</f>
        <v>1.0391104877515991</v>
      </c>
      <c r="AY89" s="35">
        <f>('[1]资源-木石铜粮'!D90+V89)/'[1]资源-木石铜粮'!V90</f>
        <v>1.1733577636919241</v>
      </c>
      <c r="AZ89" s="35">
        <f>('[1]资源-木石铜粮'!E90+W89)/'[1]资源-木石铜粮'!W90</f>
        <v>1.4470995631238561</v>
      </c>
      <c r="BA89" s="35">
        <f>('[1]资源-木石铜粮'!F90+X89)/'[1]资源-木石铜粮'!X90</f>
        <v>1.8138614512668414</v>
      </c>
      <c r="BB89" s="35">
        <f>('[1]资源-木石铜粮'!G90+Y89)/'[1]资源-木石铜粮'!Y90</f>
        <v>1.1846056474177229</v>
      </c>
      <c r="BE89" s="39">
        <f t="shared" ref="BE89:BE152" si="31">Z89/U89</f>
        <v>4.2585473357067789E-5</v>
      </c>
      <c r="BF89" s="39">
        <f t="shared" ref="BF89:BF152" si="32">AA89/V89</f>
        <v>1.0614954407225355E-4</v>
      </c>
      <c r="BG89" s="39">
        <f t="shared" ref="BG89:BG152" si="33">AB89/W89</f>
        <v>1.2548405419245993E-4</v>
      </c>
      <c r="BH89" s="39">
        <f t="shared" ref="BH89:BH152" si="34">AC89/X89</f>
        <v>1.3012207729202056E-4</v>
      </c>
      <c r="BI89" s="39">
        <f t="shared" ref="BI89:BI152" si="35">AD89/Y89</f>
        <v>1.2741830025159718E-4</v>
      </c>
      <c r="BK89" s="39">
        <f>BE89/求节点(节奏总纲!AM$4:AM$83,$G$5:$G$84,节奏总纲!P88)</f>
        <v>0.41631916268144914</v>
      </c>
      <c r="BL89" s="39">
        <f>BF89/求节点(节奏总纲!AN$4:AN$83,$G$5:$G$84,节奏总纲!Q88)</f>
        <v>1.0677040153369304</v>
      </c>
      <c r="BM89" s="39">
        <f>BG89/求节点(节奏总纲!AO$4:AO$83,$G$5:$G$84,节奏总纲!R88)</f>
        <v>1.3011329228386723</v>
      </c>
      <c r="BN89" s="39">
        <f>BH89/求节点(节奏总纲!AP$4:AP$83,$G$5:$G$84,节奏总纲!S88)</f>
        <v>1.395288468317381</v>
      </c>
      <c r="BO89" s="39">
        <f>BI89/求节点(节奏总纲!AQ$4:AQ$83,$G$5:$G$84,节奏总纲!T88)</f>
        <v>1.4187731797522019</v>
      </c>
    </row>
    <row r="90" spans="5:67" x14ac:dyDescent="0.15">
      <c r="I90" s="54"/>
      <c r="J90" s="35">
        <v>86</v>
      </c>
      <c r="K90" s="55">
        <v>60</v>
      </c>
      <c r="L90" s="55">
        <f t="shared" si="30"/>
        <v>90</v>
      </c>
      <c r="M90" s="55"/>
      <c r="T90" s="35">
        <v>86</v>
      </c>
      <c r="U90" s="50">
        <f>INDEX($Q$5:$Q$21,MATCH(节奏总纲!BQ89,$N$5:$N$21,1))*(U$2+$K$2)*节奏总纲!W89*4*$C$5+U89</f>
        <v>3748159241.5022244</v>
      </c>
      <c r="V90" s="50">
        <f>INDEX($Q$5:$Q$21,MATCH(节奏总纲!BR89,$N$5:$N$21,1))*(V$2+$K$2)*节奏总纲!X89*4*$C$5+V89</f>
        <v>11643108341.130911</v>
      </c>
      <c r="W90" s="50">
        <f>INDEX($Q$5:$Q$21,MATCH(节奏总纲!BS89,$N$5:$N$21,1))*(W$2+$K$2)*节奏总纲!Y89*4*$C$5+W89</f>
        <v>23992424316.17207</v>
      </c>
      <c r="X90" s="50">
        <f>INDEX($Q$5:$Q$21,MATCH(节奏总纲!BT89,$N$5:$N$21,1))*(X$2+$K$2)*节奏总纲!Z89*4*$C$5+X89</f>
        <v>35712276600.593315</v>
      </c>
      <c r="Y90" s="50">
        <f>INDEX($Q$5:$Q$21,MATCH(节奏总纲!BU89,$N$5:$N$21,1))*(Y$2+$K$2)*节奏总纲!AA89*4*$C$5+Y89</f>
        <v>19830223441.109348</v>
      </c>
      <c r="Z90" s="51">
        <f>SUMIFS($K$5:$K$1004,$J$5:$J$1004,"&lt;="&amp;U$2)*节奏总纲!W89*4+Z89</f>
        <v>154809.37641066476</v>
      </c>
      <c r="AA90" s="51">
        <f>SUMIFS($K$5:$K$1004,$J$5:$J$1004,"&lt;="&amp;V$2)*节奏总纲!X89*4+AA89</f>
        <v>1202404.426581633</v>
      </c>
      <c r="AB90" s="51">
        <f>SUMIFS($K$5:$K$1004,$J$5:$J$1004,"&lt;="&amp;W$2)*节奏总纲!Y89*4+AB89</f>
        <v>2940108.7149160625</v>
      </c>
      <c r="AC90" s="51">
        <f>SUMIFS($K$5:$K$1004,$J$5:$J$1004,"&lt;="&amp;X$2)*节奏总纲!Z89*4+AC89</f>
        <v>4546194.0714261439</v>
      </c>
      <c r="AD90" s="51">
        <f>SUMIFS($K$5:$K$1004,$J$5:$J$1004,"&lt;="&amp;Y$2)*节奏总纲!AA89*4+AD89</f>
        <v>2483993.8491973206</v>
      </c>
      <c r="AH90" s="35">
        <v>86</v>
      </c>
      <c r="AI90" s="47">
        <f>'[1]资源-木石铜粮'!AE91-U90</f>
        <v>-844117452.59396029</v>
      </c>
      <c r="AJ90" s="47">
        <f>'[1]资源-木石铜粮'!AF91-V90</f>
        <v>-4272276187.8360882</v>
      </c>
      <c r="AK90" s="47">
        <f>'[1]资源-木石铜粮'!AG91-W90</f>
        <v>-12132759763.92618</v>
      </c>
      <c r="AL90" s="47">
        <f>'[1]资源-木石铜粮'!AH91-X90</f>
        <v>-21580957996.361214</v>
      </c>
      <c r="AM90" s="47">
        <f>'[1]资源-木石铜粮'!AI91-Y90</f>
        <v>-4161564561.7006264</v>
      </c>
      <c r="AN90" s="47">
        <f>(AI90-AI89)*IF($AH90&lt;=10,'[1]功能-付费相关'!S101,'[1]功能-付费相关'!S91)</f>
        <v>-1400.5957756092337</v>
      </c>
      <c r="AO90" s="47">
        <f>(AJ90-AJ89)*IF($AH90&lt;=10,'[1]功能-付费相关'!T101,'[1]功能-付费相关'!T91)</f>
        <v>-8913.0420765053968</v>
      </c>
      <c r="AP90" s="47">
        <f>(AK90-AK89)*IF($AH90&lt;=10,'[1]功能-付费相关'!U101,'[1]功能-付费相关'!U91)</f>
        <v>-25865.903410573697</v>
      </c>
      <c r="AQ90" s="47">
        <f>(AL90-AL89)*IF($AH90&lt;=10,'[1]功能-付费相关'!V101,'[1]功能-付费相关'!V91)</f>
        <v>-46064.930342239059</v>
      </c>
      <c r="AR90" s="47">
        <f>(AM90-AM89)*IF($AH90&lt;=10,'[1]功能-付费相关'!W101,'[1]功能-付费相关'!W91)</f>
        <v>-4562.7872589418284</v>
      </c>
      <c r="AS90" s="48">
        <f>SUM(AN$5:AN90)/'[1]资源-钻石'!L89</f>
        <v>-3.9292811463950354E-2</v>
      </c>
      <c r="AT90" s="48">
        <f>SUM(AO$5:AO90)/'[1]资源-钻石'!M89</f>
        <v>-9.2069959520411637E-2</v>
      </c>
      <c r="AU90" s="48">
        <f>SUM(AP$5:AP90)/'[1]资源-钻石'!N89</f>
        <v>-0.15187401051940769</v>
      </c>
      <c r="AV90" s="48">
        <f>SUM(AQ$5:AQ90)/'[1]资源-钻石'!O89</f>
        <v>-0.11995183896670619</v>
      </c>
      <c r="AW90" s="48">
        <f>SUM(AR$5:AR90)/'[1]资源-钻石'!P89</f>
        <v>-2.0818632267740621E-2</v>
      </c>
      <c r="AX90" s="35">
        <f>('[1]资源-木石铜粮'!C91+U90)/'[1]资源-木石铜粮'!U91</f>
        <v>1.0376638686190618</v>
      </c>
      <c r="AY90" s="35">
        <f>('[1]资源-木石铜粮'!D91+V90)/'[1]资源-木石铜粮'!V91</f>
        <v>1.1700708584052901</v>
      </c>
      <c r="AZ90" s="35">
        <f>('[1]资源-木石铜粮'!E91+W90)/'[1]资源-木石铜粮'!W91</f>
        <v>1.4415825262387469</v>
      </c>
      <c r="BA90" s="35">
        <f>('[1]资源-木石铜粮'!F91+X90)/'[1]资源-木石铜粮'!X91</f>
        <v>1.8092220865326563</v>
      </c>
      <c r="BB90" s="35">
        <f>('[1]资源-木石铜粮'!G91+Y90)/'[1]资源-木石铜粮'!Y91</f>
        <v>1.1775682154340343</v>
      </c>
      <c r="BE90" s="39">
        <f t="shared" si="31"/>
        <v>4.1302774625076687E-5</v>
      </c>
      <c r="BF90" s="39">
        <f t="shared" si="32"/>
        <v>1.0327177170841665E-4</v>
      </c>
      <c r="BG90" s="39">
        <f t="shared" si="33"/>
        <v>1.22543210980738E-4</v>
      </c>
      <c r="BH90" s="39">
        <f t="shared" si="34"/>
        <v>1.2730059531826696E-4</v>
      </c>
      <c r="BI90" s="39">
        <f t="shared" si="35"/>
        <v>1.2526302875881062E-4</v>
      </c>
      <c r="BK90" s="39">
        <f>BE90/求节点(节奏总纲!AM$4:AM$83,$G$5:$G$84,节奏总纲!P89)</f>
        <v>0.41447161341340383</v>
      </c>
      <c r="BL90" s="39">
        <f>BF90/求节点(节奏总纲!AN$4:AN$83,$G$5:$G$84,节奏总纲!Q89)</f>
        <v>1.0652338346816053</v>
      </c>
      <c r="BM90" s="39">
        <f>BG90/求节点(节奏总纲!AO$4:AO$83,$G$5:$G$84,节奏总纲!R89)</f>
        <v>1.3037126695116075</v>
      </c>
      <c r="BN90" s="39">
        <f>BH90/求节点(节奏总纲!AP$4:AP$83,$G$5:$G$84,节奏总纲!S89)</f>
        <v>1.4025469324373849</v>
      </c>
      <c r="BO90" s="39">
        <f>BI90/求节点(节奏总纲!AQ$4:AQ$83,$G$5:$G$84,节奏总纲!T89)</f>
        <v>1.4246166229954451</v>
      </c>
    </row>
    <row r="91" spans="5:67" x14ac:dyDescent="0.15">
      <c r="I91" s="54"/>
      <c r="J91" s="35">
        <v>87</v>
      </c>
      <c r="K91" s="55">
        <v>60</v>
      </c>
      <c r="L91" s="55">
        <f t="shared" si="30"/>
        <v>90</v>
      </c>
      <c r="M91" s="55"/>
      <c r="T91" s="35">
        <v>87</v>
      </c>
      <c r="U91" s="50">
        <f>INDEX($Q$5:$Q$21,MATCH(节奏总纲!BQ90,$N$5:$N$21,1))*(U$2+$K$2)*节奏总纲!W90*4*$C$5+U90</f>
        <v>4130748460.3882599</v>
      </c>
      <c r="V91" s="50">
        <f>INDEX($Q$5:$Q$21,MATCH(节奏总纲!BR90,$N$5:$N$21,1))*(V$2+$K$2)*节奏总纲!X90*4*$C$5+V90</f>
        <v>12810687737.905083</v>
      </c>
      <c r="W91" s="50">
        <f>INDEX($Q$5:$Q$21,MATCH(节奏总纲!BS90,$N$5:$N$21,1))*(W$2+$K$2)*节奏总纲!Y90*4*$C$5+W90</f>
        <v>26347709410.033558</v>
      </c>
      <c r="X91" s="50">
        <f>INDEX($Q$5:$Q$21,MATCH(节奏总纲!BT90,$N$5:$N$21,1))*(X$2+$K$2)*节奏总纲!Z90*4*$C$5+X90</f>
        <v>38761664404.574417</v>
      </c>
      <c r="Y91" s="50">
        <f>INDEX($Q$5:$Q$21,MATCH(节奏总纲!BU90,$N$5:$N$21,1))*(Y$2+$K$2)*节奏总纲!AA90*4*$C$5+Y90</f>
        <v>21403306167.787521</v>
      </c>
      <c r="Z91" s="51">
        <f>SUMIFS($K$5:$K$1004,$J$5:$J$1004,"&lt;="&amp;U$2)*节奏总纲!W90*4+Z90</f>
        <v>165949.29077375686</v>
      </c>
      <c r="AA91" s="51">
        <f>SUMIFS($K$5:$K$1004,$J$5:$J$1004,"&lt;="&amp;V$2)*节奏总纲!X90*4+AA90</f>
        <v>1289824.2676099478</v>
      </c>
      <c r="AB91" s="51">
        <f>SUMIFS($K$5:$K$1004,$J$5:$J$1004,"&lt;="&amp;W$2)*节奏总纲!Y90*4+AB90</f>
        <v>3157948.6237082831</v>
      </c>
      <c r="AC91" s="51">
        <f>SUMIFS($K$5:$K$1004,$J$5:$J$1004,"&lt;="&amp;X$2)*节奏总纲!Z90*4+AC90</f>
        <v>4846847.7457709601</v>
      </c>
      <c r="AD91" s="51">
        <f>SUMIFS($K$5:$K$1004,$J$5:$J$1004,"&lt;="&amp;Y$2)*节奏总纲!AA90*4+AD90</f>
        <v>2639091.5711750551</v>
      </c>
      <c r="AH91" s="35">
        <v>87</v>
      </c>
      <c r="AI91" s="47">
        <f>'[1]资源-木石铜粮'!AE92-U91</f>
        <v>-879255097.29296112</v>
      </c>
      <c r="AJ91" s="47">
        <f>'[1]资源-木石铜粮'!AF92-V91</f>
        <v>-4628299566.7996445</v>
      </c>
      <c r="AK91" s="47">
        <f>'[1]资源-木石铜粮'!AG92-W91</f>
        <v>-13236850880.647205</v>
      </c>
      <c r="AL91" s="47">
        <f>'[1]资源-木石铜粮'!AH92-X91</f>
        <v>-23266014316.508862</v>
      </c>
      <c r="AM91" s="47">
        <f>'[1]资源-木石铜粮'!AI92-Y91</f>
        <v>-4325224014.6952457</v>
      </c>
      <c r="AN91" s="47">
        <f>(AI91-AI90)*IF($AH91&lt;=10,'[1]功能-付费相关'!S102,'[1]功能-付费相关'!S92)</f>
        <v>-944.99903677656641</v>
      </c>
      <c r="AO91" s="47">
        <f>(AJ91-AJ90)*IF($AH91&lt;=10,'[1]功能-付费相关'!T102,'[1]功能-付费相关'!T92)</f>
        <v>-9382.2044124699169</v>
      </c>
      <c r="AP91" s="47">
        <f>(AK91-AK90)*IF($AH91&lt;=10,'[1]功能-付费相关'!U102,'[1]功能-付费相关'!U92)</f>
        <v>-28089.866397694455</v>
      </c>
      <c r="AQ91" s="47">
        <f>(AL91-AL90)*IF($AH91&lt;=10,'[1]功能-付费相关'!V102,'[1]功能-付费相关'!V92)</f>
        <v>-40332.617498910971</v>
      </c>
      <c r="AR91" s="47">
        <f>(AM91-AM90)*IF($AH91&lt;=10,'[1]功能-付费相关'!W102,'[1]功能-付费相关'!W92)</f>
        <v>-3864.7424636384617</v>
      </c>
      <c r="AS91" s="48">
        <f>SUM(AN$5:AN91)/'[1]资源-钻石'!L90</f>
        <v>-3.7700641004934081E-2</v>
      </c>
      <c r="AT91" s="48">
        <f>SUM(AO$5:AO91)/'[1]资源-钻石'!M90</f>
        <v>-9.0432866906646273E-2</v>
      </c>
      <c r="AU91" s="48">
        <f>SUM(AP$5:AP91)/'[1]资源-钻石'!N90</f>
        <v>-0.1502780135945801</v>
      </c>
      <c r="AV91" s="48">
        <f>SUM(AQ$5:AQ91)/'[1]资源-钻石'!O90</f>
        <v>-0.11849471569387558</v>
      </c>
      <c r="AW91" s="48">
        <f>SUM(AR$5:AR91)/'[1]资源-钻石'!P90</f>
        <v>-2.0042507170582549E-2</v>
      </c>
      <c r="AX91" s="35">
        <f>('[1]资源-木石铜粮'!C92+U91)/'[1]资源-木石铜粮'!U92</f>
        <v>1.035524263114733</v>
      </c>
      <c r="AY91" s="35">
        <f>('[1]资源-木石铜粮'!D92+V91)/'[1]资源-木石铜粮'!V92</f>
        <v>1.1667967912691732</v>
      </c>
      <c r="AZ91" s="35">
        <f>('[1]资源-木石铜粮'!E92+W91)/'[1]资源-木石铜粮'!W92</f>
        <v>1.436715585026876</v>
      </c>
      <c r="BA91" s="35">
        <f>('[1]资源-木石铜粮'!F92+X91)/'[1]资源-木石铜粮'!X92</f>
        <v>1.7975261324191074</v>
      </c>
      <c r="BB91" s="35">
        <f>('[1]资源-木石铜粮'!G92+Y91)/'[1]资源-木石铜粮'!Y92</f>
        <v>1.1695089829082808</v>
      </c>
      <c r="BE91" s="39">
        <f t="shared" si="31"/>
        <v>4.0174145766832495E-5</v>
      </c>
      <c r="BF91" s="39">
        <f t="shared" si="32"/>
        <v>1.0068345228597941E-4</v>
      </c>
      <c r="BG91" s="39">
        <f t="shared" si="33"/>
        <v>1.1985666664843716E-4</v>
      </c>
      <c r="BH91" s="39">
        <f t="shared" si="34"/>
        <v>1.2504230198120606E-4</v>
      </c>
      <c r="BI91" s="39">
        <f t="shared" si="35"/>
        <v>1.2330298648659008E-4</v>
      </c>
      <c r="BK91" s="39">
        <f>BE91/求节点(节奏总纲!AM$4:AM$83,$G$5:$G$84,节奏总纲!P90)</f>
        <v>0.41339631316876235</v>
      </c>
      <c r="BL91" s="39">
        <f>BF91/求节点(节奏总纲!AN$4:AN$83,$G$5:$G$84,节奏总纲!Q90)</f>
        <v>1.0663478677679845</v>
      </c>
      <c r="BM91" s="39">
        <f>BG91/求节点(节奏总纲!AO$4:AO$83,$G$5:$G$84,节奏总纲!R90)</f>
        <v>1.3089262275341063</v>
      </c>
      <c r="BN91" s="39">
        <f>BH91/求节点(节奏总纲!AP$4:AP$83,$G$5:$G$84,节奏总纲!S90)</f>
        <v>1.4096111094915476</v>
      </c>
      <c r="BO91" s="39">
        <f>BI91/求节点(节奏总纲!AQ$4:AQ$83,$G$5:$G$84,节奏总纲!T90)</f>
        <v>1.434894588065549</v>
      </c>
    </row>
    <row r="92" spans="5:67" x14ac:dyDescent="0.15">
      <c r="I92" s="54"/>
      <c r="J92" s="35">
        <v>88</v>
      </c>
      <c r="K92" s="55">
        <v>60</v>
      </c>
      <c r="L92" s="55">
        <f t="shared" si="30"/>
        <v>90</v>
      </c>
      <c r="M92" s="55"/>
      <c r="T92" s="35">
        <v>88</v>
      </c>
      <c r="U92" s="50">
        <f>INDEX($Q$5:$Q$21,MATCH(节奏总纲!BQ91,$N$5:$N$21,1))*(U$2+$K$2)*节奏总纲!W91*4*$C$5+U91</f>
        <v>4540797432.2428131</v>
      </c>
      <c r="V92" s="50">
        <f>INDEX($Q$5:$Q$21,MATCH(节奏总纲!BR91,$N$5:$N$21,1))*(V$2+$K$2)*节奏总纲!X91*4*$C$5+V91</f>
        <v>14084314464.152107</v>
      </c>
      <c r="W92" s="50">
        <f>INDEX($Q$5:$Q$21,MATCH(节奏总纲!BS91,$N$5:$N$21,1))*(W$2+$K$2)*节奏总纲!Y91*4*$C$5+W91</f>
        <v>28741914794.195091</v>
      </c>
      <c r="X92" s="50">
        <f>INDEX($Q$5:$Q$21,MATCH(节奏总纲!BT91,$N$5:$N$21,1))*(X$2+$K$2)*节奏总纲!Z91*4*$C$5+X91</f>
        <v>41866565419.42556</v>
      </c>
      <c r="Y92" s="50">
        <f>INDEX($Q$5:$Q$21,MATCH(节奏总纲!BU91,$N$5:$N$21,1))*(Y$2+$K$2)*节奏总纲!AA91*4*$C$5+Y91</f>
        <v>23696788139.392715</v>
      </c>
      <c r="Z92" s="51">
        <f>SUMIFS($K$5:$K$1004,$J$5:$J$1004,"&lt;="&amp;U$2)*节奏总纲!W91*4+Z91</f>
        <v>177888.75536304619</v>
      </c>
      <c r="AA92" s="51">
        <f>SUMIFS($K$5:$K$1004,$J$5:$J$1004,"&lt;="&amp;V$2)*节奏总纲!X91*4+AA91</f>
        <v>1385184.1602609679</v>
      </c>
      <c r="AB92" s="51">
        <f>SUMIFS($K$5:$K$1004,$J$5:$J$1004,"&lt;="&amp;W$2)*节奏总纲!Y91*4+AB91</f>
        <v>3379388.2633828605</v>
      </c>
      <c r="AC92" s="51">
        <f>SUMIFS($K$5:$K$1004,$J$5:$J$1004,"&lt;="&amp;X$2)*节奏总纲!Z91*4+AC91</f>
        <v>5152974.7321035033</v>
      </c>
      <c r="AD92" s="51">
        <f>SUMIFS($K$5:$K$1004,$J$5:$J$1004,"&lt;="&amp;Y$2)*节奏总纲!AA91*4+AD91</f>
        <v>2808685.5584271359</v>
      </c>
      <c r="AH92" s="35">
        <v>88</v>
      </c>
      <c r="AI92" s="47">
        <f>'[1]资源-木石铜粮'!AE93-U92</f>
        <v>-908945697.6738472</v>
      </c>
      <c r="AJ92" s="47">
        <f>'[1]资源-木石铜粮'!AF93-V92</f>
        <v>-5046290743.3655548</v>
      </c>
      <c r="AK92" s="47">
        <f>'[1]资源-木石铜粮'!AG93-W92</f>
        <v>-14297690314.249615</v>
      </c>
      <c r="AL92" s="47">
        <f>'[1]资源-木石铜粮'!AH93-X92</f>
        <v>-24902448172.472309</v>
      </c>
      <c r="AM92" s="47">
        <f>'[1]资源-木石铜粮'!AI93-Y92</f>
        <v>-5125775836.9027557</v>
      </c>
      <c r="AN92" s="47">
        <f>(AI92-AI91)*IF($AH92&lt;=10,'[1]功能-付费相关'!S103,'[1]功能-付费相关'!S93)</f>
        <v>-783.34099843060881</v>
      </c>
      <c r="AO92" s="47">
        <f>(AJ92-AJ91)*IF($AH92&lt;=10,'[1]功能-付费相关'!T103,'[1]功能-付费相关'!T93)</f>
        <v>-10786.881932640434</v>
      </c>
      <c r="AP92" s="47">
        <f>(AK92-AK91)*IF($AH92&lt;=10,'[1]功能-付费相关'!U103,'[1]功能-付费相关'!U93)</f>
        <v>-26416.793026520987</v>
      </c>
      <c r="AQ92" s="47">
        <f>(AL92-AL91)*IF($AH92&lt;=10,'[1]功能-付费相关'!V103,'[1]功能-付费相关'!V93)</f>
        <v>-38521.919842730764</v>
      </c>
      <c r="AR92" s="47">
        <f>(AM92-AM91)*IF($AH92&lt;=10,'[1]功能-付费相关'!W103,'[1]功能-付费相关'!W93)</f>
        <v>-18594.26625095772</v>
      </c>
      <c r="AS92" s="48">
        <f>SUM(AN$5:AN92)/'[1]资源-钻石'!L91</f>
        <v>-3.6055254161800547E-2</v>
      </c>
      <c r="AT92" s="48">
        <f>SUM(AO$5:AO92)/'[1]资源-钻石'!M91</f>
        <v>-8.9409255441998237E-2</v>
      </c>
      <c r="AU92" s="48">
        <f>SUM(AP$5:AP92)/'[1]资源-钻石'!N91</f>
        <v>-0.14827893237329004</v>
      </c>
      <c r="AV92" s="48">
        <f>SUM(AQ$5:AQ92)/'[1]资源-钻石'!O91</f>
        <v>-0.11684361652246383</v>
      </c>
      <c r="AW92" s="48">
        <f>SUM(AR$5:AR92)/'[1]资源-钻石'!P91</f>
        <v>-2.0699532529098848E-2</v>
      </c>
      <c r="AX92" s="35">
        <f>('[1]资源-木石铜粮'!C93+U92)/'[1]资源-木石铜粮'!U93</f>
        <v>1.0333004519740472</v>
      </c>
      <c r="AY92" s="35">
        <f>('[1]资源-木石铜粮'!D93+V92)/'[1]资源-木石铜粮'!V93</f>
        <v>1.1647963730684932</v>
      </c>
      <c r="AZ92" s="35">
        <f>('[1]资源-木石铜粮'!E93+W92)/'[1]资源-木石铜粮'!W93</f>
        <v>1.4294182282425449</v>
      </c>
      <c r="BA92" s="35">
        <f>('[1]资源-木石铜粮'!F93+X92)/'[1]资源-木石铜粮'!X93</f>
        <v>1.7827791406770204</v>
      </c>
      <c r="BB92" s="35">
        <f>('[1]资源-木石铜粮'!G93+Y92)/'[1]资源-木石铜粮'!Y93</f>
        <v>1.1847281576740518</v>
      </c>
      <c r="BE92" s="39">
        <f t="shared" si="31"/>
        <v>3.9175664190591852E-5</v>
      </c>
      <c r="BF92" s="39">
        <f t="shared" si="32"/>
        <v>9.8349420114595377E-5</v>
      </c>
      <c r="BG92" s="39">
        <f t="shared" si="33"/>
        <v>1.1757700513625433E-4</v>
      </c>
      <c r="BH92" s="39">
        <f t="shared" si="34"/>
        <v>1.2308090430825233E-4</v>
      </c>
      <c r="BI92" s="39">
        <f t="shared" si="35"/>
        <v>1.1852600200100851E-4</v>
      </c>
      <c r="BK92" s="39">
        <f>BE92/求节点(节奏总纲!AM$4:AM$83,$G$5:$G$84,节奏总纲!P91)</f>
        <v>0.41392136166834459</v>
      </c>
      <c r="BL92" s="39">
        <f>BF92/求节点(节奏总纲!AN$4:AN$83,$G$5:$G$84,节奏总纲!Q91)</f>
        <v>1.0686828972690412</v>
      </c>
      <c r="BM92" s="39">
        <f>BG92/求节点(节奏总纲!AO$4:AO$83,$G$5:$G$84,节奏总纲!R91)</f>
        <v>1.316794366095571</v>
      </c>
      <c r="BN92" s="39">
        <f>BH92/求节点(节奏总纲!AP$4:AP$83,$G$5:$G$84,节奏总纲!S91)</f>
        <v>1.4190073110728254</v>
      </c>
      <c r="BO92" s="39">
        <f>BI92/求节点(节奏总纲!AQ$4:AQ$83,$G$5:$G$84,节奏总纲!T91)</f>
        <v>1.4102282133963226</v>
      </c>
    </row>
    <row r="93" spans="5:67" x14ac:dyDescent="0.15">
      <c r="I93" s="54"/>
      <c r="J93" s="35">
        <v>89</v>
      </c>
      <c r="K93" s="55">
        <v>60</v>
      </c>
      <c r="L93" s="55">
        <f t="shared" si="30"/>
        <v>90</v>
      </c>
      <c r="M93" s="55"/>
      <c r="T93" s="35">
        <v>89</v>
      </c>
      <c r="U93" s="50">
        <f>INDEX($Q$5:$Q$21,MATCH(节奏总纲!BQ92,$N$5:$N$21,1))*(U$2+$K$2)*节奏总纲!W92*4*$C$5+U92</f>
        <v>4980277038.6168089</v>
      </c>
      <c r="V93" s="50">
        <f>INDEX($Q$5:$Q$21,MATCH(节奏总纲!BR92,$N$5:$N$21,1))*(V$2+$K$2)*节奏总纲!X92*4*$C$5+V92</f>
        <v>15383057042.173088</v>
      </c>
      <c r="W93" s="50">
        <f>INDEX($Q$5:$Q$21,MATCH(节奏总纲!BS92,$N$5:$N$21,1))*(W$2+$K$2)*节奏总纲!Y92*4*$C$5+W92</f>
        <v>31041839643.394199</v>
      </c>
      <c r="X93" s="50">
        <f>INDEX($Q$5:$Q$21,MATCH(节奏总纲!BT92,$N$5:$N$21,1))*(X$2+$K$2)*节奏总纲!Z92*4*$C$5+X92</f>
        <v>46276743499.485741</v>
      </c>
      <c r="Y93" s="50">
        <f>INDEX($Q$5:$Q$21,MATCH(节奏总纲!BU92,$N$5:$N$21,1))*(Y$2+$K$2)*节奏总纲!AA92*4*$C$5+Y92</f>
        <v>25988123021.236015</v>
      </c>
      <c r="Z93" s="51">
        <f>SUMIFS($K$5:$K$1004,$J$5:$J$1004,"&lt;="&amp;U$2)*节奏总纲!W92*4+Z92</f>
        <v>190685.15666673813</v>
      </c>
      <c r="AA93" s="51">
        <f>SUMIFS($K$5:$K$1004,$J$5:$J$1004,"&lt;="&amp;V$2)*节奏总纲!X92*4+AA92</f>
        <v>1482424.5449585556</v>
      </c>
      <c r="AB93" s="51">
        <f>SUMIFS($K$5:$K$1004,$J$5:$J$1004,"&lt;="&amp;W$2)*节奏总纲!Y92*4+AB92</f>
        <v>3592107.9127723454</v>
      </c>
      <c r="AC93" s="51">
        <f>SUMIFS($K$5:$K$1004,$J$5:$J$1004,"&lt;="&amp;X$2)*节奏总纲!Z92*4+AC92</f>
        <v>5479090.086115052</v>
      </c>
      <c r="AD93" s="51">
        <f>SUMIFS($K$5:$K$1004,$J$5:$J$1004,"&lt;="&amp;Y$2)*节奏总纲!AA92*4+AD92</f>
        <v>2978120.7768211155</v>
      </c>
      <c r="AH93" s="35">
        <v>89</v>
      </c>
      <c r="AI93" s="47">
        <f>'[1]资源-木石铜粮'!AE94-U93</f>
        <v>-950088191.02036953</v>
      </c>
      <c r="AJ93" s="47">
        <f>'[1]资源-木石铜粮'!AF94-V93</f>
        <v>-5380100606.0122566</v>
      </c>
      <c r="AK93" s="47">
        <f>'[1]资源-木石铜粮'!AG94-W93</f>
        <v>-15179911963.913807</v>
      </c>
      <c r="AL93" s="47">
        <f>'[1]资源-木石铜粮'!AH94-X93</f>
        <v>-27718641383.938774</v>
      </c>
      <c r="AM93" s="47">
        <f>'[1]资源-木石铜粮'!AI94-Y93</f>
        <v>-5815650384.493866</v>
      </c>
      <c r="AN93" s="47">
        <f>(AI93-AI92)*IF($AH93&lt;=10,'[1]功能-付费相关'!S104,'[1]功能-付费相关'!S94)</f>
        <v>-1064.9145552992056</v>
      </c>
      <c r="AO93" s="47">
        <f>(AJ93-AJ92)*IF($AH93&lt;=10,'[1]功能-付费相关'!T104,'[1]功能-付费相关'!T94)</f>
        <v>-8441.2891554467788</v>
      </c>
      <c r="AP93" s="47">
        <f>(AK93-AK92)*IF($AH93&lt;=10,'[1]功能-付费相关'!U104,'[1]功能-付费相关'!U94)</f>
        <v>-21515.162818892135</v>
      </c>
      <c r="AQ93" s="47">
        <f>(AL93-AL92)*IF($AH93&lt;=10,'[1]功能-付费相关'!V104,'[1]功能-付费相关'!V94)</f>
        <v>-65218.877445170321</v>
      </c>
      <c r="AR93" s="47">
        <f>(AM93-AM92)*IF($AH93&lt;=10,'[1]功能-付费相关'!W104,'[1]功能-付费相关'!W94)</f>
        <v>-15764.668976987467</v>
      </c>
      <c r="AS93" s="48">
        <f>SUM(AN$5:AN93)/'[1]资源-钻石'!L92</f>
        <v>-3.4589089669093423E-2</v>
      </c>
      <c r="AT93" s="48">
        <f>SUM(AO$5:AO93)/'[1]资源-钻石'!M92</f>
        <v>-8.7556352787686073E-2</v>
      </c>
      <c r="AU93" s="48">
        <f>SUM(AP$5:AP93)/'[1]资源-钻石'!N92</f>
        <v>-0.14559850079893671</v>
      </c>
      <c r="AV93" s="48">
        <f>SUM(AQ$5:AQ93)/'[1]资源-钻石'!O92</f>
        <v>-0.11827027485067833</v>
      </c>
      <c r="AW93" s="48">
        <f>SUM(AR$5:AR93)/'[1]资源-钻石'!P92</f>
        <v>-2.1022681882316291E-2</v>
      </c>
      <c r="AX93" s="35">
        <f>('[1]资源-木石铜粮'!C94+U93)/'[1]资源-木石铜粮'!U94</f>
        <v>1.031614053464246</v>
      </c>
      <c r="AY93" s="35">
        <f>('[1]资源-木石铜粮'!D94+V93)/'[1]资源-木石铜粮'!V94</f>
        <v>1.1597898220034963</v>
      </c>
      <c r="AZ93" s="35">
        <f>('[1]资源-木石铜粮'!E94+W93)/'[1]资源-木石铜粮'!W94</f>
        <v>1.4177180533932809</v>
      </c>
      <c r="BA93" s="35">
        <f>('[1]资源-木石铜粮'!F94+X93)/'[1]资源-木石铜粮'!X94</f>
        <v>1.7996070225468623</v>
      </c>
      <c r="BB93" s="35">
        <f>('[1]资源-木石铜粮'!G94+Y93)/'[1]资源-木石铜粮'!Y94</f>
        <v>1.1932475450871982</v>
      </c>
      <c r="BE93" s="39">
        <f t="shared" si="31"/>
        <v>3.8288062127503219E-5</v>
      </c>
      <c r="BF93" s="39">
        <f t="shared" si="32"/>
        <v>9.636735668953489E-5</v>
      </c>
      <c r="BG93" s="39">
        <f t="shared" si="33"/>
        <v>1.1571826779721018E-4</v>
      </c>
      <c r="BH93" s="39">
        <f t="shared" si="34"/>
        <v>1.1839835026801182E-4</v>
      </c>
      <c r="BI93" s="39">
        <f t="shared" si="35"/>
        <v>1.1459545479246672E-4</v>
      </c>
      <c r="BK93" s="39">
        <f>BE93/求节点(节奏总纲!AM$4:AM$83,$G$5:$G$84,节奏总纲!P92)</f>
        <v>0.41466145020403622</v>
      </c>
      <c r="BL93" s="39">
        <f>BF93/求节点(节奏总纲!AN$4:AN$83,$G$5:$G$84,节奏总纲!Q92)</f>
        <v>1.0744713768648191</v>
      </c>
      <c r="BM93" s="39">
        <f>BG93/求节点(节奏总纲!AO$4:AO$83,$G$5:$G$84,节奏总纲!R92)</f>
        <v>1.3245517059365652</v>
      </c>
      <c r="BN93" s="39">
        <f>BH93/求节点(节奏总纲!AP$4:AP$83,$G$5:$G$84,节奏总纲!S92)</f>
        <v>1.3966340853715777</v>
      </c>
      <c r="BO93" s="39">
        <f>BI93/求节点(节奏总纲!AQ$4:AQ$83,$G$5:$G$84,节奏总纲!T92)</f>
        <v>1.3929765642818979</v>
      </c>
    </row>
    <row r="94" spans="5:67" x14ac:dyDescent="0.15">
      <c r="I94" s="54"/>
      <c r="J94" s="35">
        <v>90</v>
      </c>
      <c r="K94" s="55">
        <v>60</v>
      </c>
      <c r="L94" s="55">
        <f t="shared" si="30"/>
        <v>90</v>
      </c>
      <c r="M94" s="55"/>
      <c r="T94" s="35">
        <v>90</v>
      </c>
      <c r="U94" s="50">
        <f>INDEX($Q$5:$Q$21,MATCH(节奏总纲!BQ93,$N$5:$N$21,1))*(U$2+$K$2)*节奏总纲!W93*4*$C$5+U93</f>
        <v>5451299618.0543547</v>
      </c>
      <c r="V94" s="50">
        <f>INDEX($Q$5:$Q$21,MATCH(节奏总纲!BR93,$N$5:$N$21,1))*(V$2+$K$2)*节奏总纲!X93*4*$C$5+V93</f>
        <v>16649853541.946621</v>
      </c>
      <c r="W94" s="50">
        <f>INDEX($Q$5:$Q$21,MATCH(节奏总纲!BS93,$N$5:$N$21,1))*(W$2+$K$2)*节奏总纲!Y93*4*$C$5+W93</f>
        <v>34392413387.268059</v>
      </c>
      <c r="X94" s="50">
        <f>INDEX($Q$5:$Q$21,MATCH(节奏总纲!BT93,$N$5:$N$21,1))*(X$2+$K$2)*节奏总纲!Z93*4*$C$5+X93</f>
        <v>50770950379.854889</v>
      </c>
      <c r="Y94" s="50">
        <f>INDEX($Q$5:$Q$21,MATCH(节奏总纲!BU93,$N$5:$N$21,1))*(Y$2+$K$2)*节奏总纲!AA93*4*$C$5+Y93</f>
        <v>28412133030.692604</v>
      </c>
      <c r="Z94" s="51">
        <f>SUMIFS($K$5:$K$1004,$J$5:$J$1004,"&lt;="&amp;U$2)*节奏总纲!W93*4+Z93</f>
        <v>204400</v>
      </c>
      <c r="AA94" s="51">
        <f>SUMIFS($K$5:$K$1004,$J$5:$J$1004,"&lt;="&amp;V$2)*节奏总纲!X93*4+AA93</f>
        <v>1577273.04</v>
      </c>
      <c r="AB94" s="51">
        <f>SUMIFS($K$5:$K$1004,$J$5:$J$1004,"&lt;="&amp;W$2)*节奏总纲!Y93*4+AB93</f>
        <v>3824528.399999999</v>
      </c>
      <c r="AC94" s="51">
        <f>SUMIFS($K$5:$K$1004,$J$5:$J$1004,"&lt;="&amp;X$2)*节奏总纲!Z93*4+AC93</f>
        <v>5811419.0399999991</v>
      </c>
      <c r="AD94" s="51">
        <f>SUMIFS($K$5:$K$1004,$J$5:$J$1004,"&lt;="&amp;Y$2)*节奏总纲!AA93*4+AD93</f>
        <v>3157366.8</v>
      </c>
      <c r="AH94" s="35">
        <v>90</v>
      </c>
      <c r="AI94" s="47">
        <f>'[1]资源-木石铜粮'!AE95-U94</f>
        <v>-977370043.23215389</v>
      </c>
      <c r="AJ94" s="47">
        <f>'[1]资源-木石铜粮'!AF95-V94</f>
        <v>-5593287864.6931801</v>
      </c>
      <c r="AK94" s="47">
        <f>'[1]资源-木石铜粮'!AG95-W94</f>
        <v>-16973310022.408913</v>
      </c>
      <c r="AL94" s="47">
        <f>'[1]资源-木石铜粮'!AH95-X94</f>
        <v>-30509306343.081108</v>
      </c>
      <c r="AM94" s="47">
        <f>'[1]资源-木石铜粮'!AI95-Y94</f>
        <v>-6470426771.907753</v>
      </c>
      <c r="AN94" s="47">
        <f>(AI94-AI93)*IF($AH94&lt;=10,'[1]功能-付费相关'!S105,'[1]功能-付费相关'!S95)</f>
        <v>-692.75212421849062</v>
      </c>
      <c r="AO94" s="47">
        <f>(AJ94-AJ93)*IF($AH94&lt;=10,'[1]功能-付费相关'!T105,'[1]功能-付费相关'!T95)</f>
        <v>-5284.2160736233845</v>
      </c>
      <c r="AP94" s="47">
        <f>(AK94-AK93)*IF($AH94&lt;=10,'[1]功能-付费相关'!U105,'[1]功能-付费相关'!U95)</f>
        <v>-42830.49855227433</v>
      </c>
      <c r="AQ94" s="47">
        <f>(AL94-AL93)*IF($AH94&lt;=10,'[1]功能-付费相关'!V105,'[1]功能-付费相关'!V95)</f>
        <v>-63594.609687182514</v>
      </c>
      <c r="AR94" s="47">
        <f>(AM94-AM93)*IF($AH94&lt;=10,'[1]功能-付费相关'!W105,'[1]功能-付费相关'!W95)</f>
        <v>-14722.347103179023</v>
      </c>
      <c r="AS94" s="48">
        <f>SUM(AN$5:AN94)/'[1]资源-钻石'!L93</f>
        <v>-3.2980710054898207E-2</v>
      </c>
      <c r="AT94" s="48">
        <f>SUM(AO$5:AO94)/'[1]资源-钻石'!M93</f>
        <v>-8.4902082960226277E-2</v>
      </c>
      <c r="AU94" s="48">
        <f>SUM(AP$5:AP94)/'[1]资源-钻石'!N93</f>
        <v>-0.14758735350869817</v>
      </c>
      <c r="AV94" s="48">
        <f>SUM(AQ$5:AQ94)/'[1]资源-钻石'!O93</f>
        <v>-0.11923112032866473</v>
      </c>
      <c r="AW94" s="48">
        <f>SUM(AR$5:AR94)/'[1]资源-钻石'!P93</f>
        <v>-2.1156505970993882E-2</v>
      </c>
      <c r="AX94" s="35">
        <f>('[1]资源-木石铜粮'!C95+U94)/'[1]资源-木石铜粮'!U95</f>
        <v>1.0295725875415283</v>
      </c>
      <c r="AY94" s="35">
        <f>('[1]资源-木石铜粮'!D95+V94)/'[1]资源-木石铜粮'!V95</f>
        <v>1.1520075753784207</v>
      </c>
      <c r="AZ94" s="35">
        <f>('[1]资源-木石铜粮'!E95+W94)/'[1]资源-木石铜粮'!W95</f>
        <v>1.4276617685791431</v>
      </c>
      <c r="BA94" s="35">
        <f>('[1]资源-木石铜粮'!F95+X94)/'[1]资源-木石铜粮'!X95</f>
        <v>1.8099659161257315</v>
      </c>
      <c r="BB94" s="35">
        <f>('[1]资源-木石铜粮'!G95+Y94)/'[1]资源-木石铜粮'!Y95</f>
        <v>1.1981314325727397</v>
      </c>
      <c r="BE94" s="39">
        <f t="shared" si="31"/>
        <v>3.7495645868196333E-5</v>
      </c>
      <c r="BF94" s="39">
        <f t="shared" si="32"/>
        <v>9.4731946802193489E-5</v>
      </c>
      <c r="BG94" s="39">
        <f t="shared" si="33"/>
        <v>1.1120267591967899E-4</v>
      </c>
      <c r="BH94" s="39">
        <f t="shared" si="34"/>
        <v>1.1446346772161032E-4</v>
      </c>
      <c r="BI94" s="39">
        <f t="shared" si="35"/>
        <v>1.1112741153890875E-4</v>
      </c>
      <c r="BK94" s="39">
        <f>BE94/求节点(节奏总纲!AM$4:AM$83,$G$5:$G$84,节奏总纲!P93)</f>
        <v>0.41704891775884168</v>
      </c>
      <c r="BL94" s="39">
        <f>BF94/求节点(节奏总纲!AN$4:AN$83,$G$5:$G$84,节奏总纲!Q93)</f>
        <v>1.0794964485803686</v>
      </c>
      <c r="BM94" s="39">
        <f>BG94/求节点(节奏总纲!AO$4:AO$83,$G$5:$G$84,节奏总纲!R93)</f>
        <v>1.3039596961442446</v>
      </c>
      <c r="BN94" s="39">
        <f>BH94/求节点(节奏总纲!AP$4:AP$83,$G$5:$G$84,节奏总纲!S93)</f>
        <v>1.3786185377960756</v>
      </c>
      <c r="BO94" s="39">
        <f>BI94/求节点(节奏总纲!AQ$4:AQ$83,$G$5:$G$84,节奏总纲!T93)</f>
        <v>1.3809175635425581</v>
      </c>
    </row>
    <row r="95" spans="5:67" x14ac:dyDescent="0.15">
      <c r="I95" s="54"/>
      <c r="J95" s="35">
        <v>91</v>
      </c>
      <c r="K95" s="55">
        <v>60</v>
      </c>
      <c r="L95" s="55">
        <f t="shared" si="30"/>
        <v>90</v>
      </c>
      <c r="M95" s="55"/>
      <c r="T95" s="35">
        <v>91</v>
      </c>
      <c r="U95" s="50">
        <f>INDEX($Q$5:$Q$21,MATCH(节奏总纲!BQ94,$N$5:$N$21,1))*(U$2+$K$2)*节奏总纲!W94*4*$C$5+U94</f>
        <v>5956129118.9509077</v>
      </c>
      <c r="V95" s="50">
        <f>INDEX($Q$5:$Q$21,MATCH(节奏总纲!BR94,$N$5:$N$21,1))*(V$2+$K$2)*节奏总纲!X94*4*$C$5+V94</f>
        <v>18164796391.187088</v>
      </c>
      <c r="W95" s="50">
        <f>INDEX($Q$5:$Q$21,MATCH(节奏总纲!BS94,$N$5:$N$21,1))*(W$2+$K$2)*节奏总纲!Y94*4*$C$5+W94</f>
        <v>38178255401.508255</v>
      </c>
      <c r="X95" s="50">
        <f>INDEX($Q$5:$Q$21,MATCH(节奏总纲!BT94,$N$5:$N$21,1))*(X$2+$K$2)*节奏总纲!Z94*4*$C$5+X94</f>
        <v>56236884935.689911</v>
      </c>
      <c r="Y95" s="50">
        <f>INDEX($Q$5:$Q$21,MATCH(节奏总纲!BU94,$N$5:$N$21,1))*(Y$2+$K$2)*节奏总纲!AA94*4*$C$5+Y94</f>
        <v>31313841745.325714</v>
      </c>
      <c r="Z95" s="51">
        <f>SUMIFS($K$5:$K$1004,$J$5:$J$1004,"&lt;="&amp;U$2)*节奏总纲!W94*4+Z94</f>
        <v>219099.20512743283</v>
      </c>
      <c r="AA95" s="51">
        <f>SUMIFS($K$5:$K$1004,$J$5:$J$1004,"&lt;="&amp;V$2)*节奏总纲!X94*4+AA94</f>
        <v>1690700.9262863481</v>
      </c>
      <c r="AB95" s="51">
        <f>SUMIFS($K$5:$K$1004,$J$5:$J$1004,"&lt;="&amp;W$2)*节奏总纲!Y94*4+AB94</f>
        <v>4087142.3022086695</v>
      </c>
      <c r="AC95" s="51">
        <f>SUMIFS($K$5:$K$1004,$J$5:$J$1004,"&lt;="&amp;X$2)*节奏总纲!Z94*4+AC94</f>
        <v>6215603.4403396267</v>
      </c>
      <c r="AD95" s="51">
        <f>SUMIFS($K$5:$K$1004,$J$5:$J$1004,"&lt;="&amp;Y$2)*节奏总纲!AA94*4+AD94</f>
        <v>3371936.7669111909</v>
      </c>
      <c r="AH95" s="35">
        <v>91</v>
      </c>
      <c r="AI95" s="47">
        <f>'[1]资源-木石铜粮'!AE96-U95</f>
        <v>-1216986297.314147</v>
      </c>
      <c r="AJ95" s="47">
        <f>'[1]资源-木石铜粮'!AF96-V95</f>
        <v>-6142179983.2648544</v>
      </c>
      <c r="AK95" s="47">
        <f>'[1]资源-木石铜粮'!AG96-W95</f>
        <v>-19232883550.951122</v>
      </c>
      <c r="AL95" s="47">
        <f>'[1]资源-木石铜粮'!AH96-X95</f>
        <v>-34143255095.155823</v>
      </c>
      <c r="AM95" s="47">
        <f>'[1]资源-木石铜粮'!AI96-Y95</f>
        <v>-7383579973.6098099</v>
      </c>
      <c r="AN95" s="47">
        <f>(AI95-AI94)*IF($AH95&lt;=10,'[1]功能-付费相关'!S106,'[1]功能-付费相关'!S96)</f>
        <v>-5060.3866576627925</v>
      </c>
      <c r="AO95" s="47">
        <f>(AJ95-AJ94)*IF($AH95&lt;=10,'[1]功能-付费相关'!T106,'[1]功能-付费相关'!T96)</f>
        <v>-11306.784380149806</v>
      </c>
      <c r="AP95" s="47">
        <f>(AK95-AK94)*IF($AH95&lt;=10,'[1]功能-付费相关'!U106,'[1]功能-付费相关'!U96)</f>
        <v>-44794.804120060275</v>
      </c>
      <c r="AQ95" s="47">
        <f>(AL95-AL94)*IF($AH95&lt;=10,'[1]功能-付费相关'!V106,'[1]功能-付费相关'!V96)</f>
        <v>-69067.937926364219</v>
      </c>
      <c r="AR95" s="47">
        <f>(AM95-AM94)*IF($AH95&lt;=10,'[1]功能-付费相关'!W106,'[1]功能-付费相关'!W96)</f>
        <v>-17109.859503504907</v>
      </c>
      <c r="AS95" s="48">
        <f>SUM(AN$5:AN95)/'[1]资源-钻石'!L94</f>
        <v>-3.3317490201351073E-2</v>
      </c>
      <c r="AT95" s="48">
        <f>SUM(AO$5:AO95)/'[1]资源-钻石'!M94</f>
        <v>-8.3715398154745435E-2</v>
      </c>
      <c r="AU95" s="48">
        <f>SUM(AP$5:AP95)/'[1]资源-钻石'!N94</f>
        <v>-0.14903753929784846</v>
      </c>
      <c r="AV95" s="48">
        <f>SUM(AQ$5:AQ95)/'[1]资源-钻石'!O94</f>
        <v>-0.11935925536719286</v>
      </c>
      <c r="AW95" s="48">
        <f>SUM(AR$5:AR95)/'[1]资源-钻石'!P94</f>
        <v>-2.12562598008285E-2</v>
      </c>
      <c r="AX95" s="35">
        <f>('[1]资源-木石铜粮'!C96+U95)/'[1]资源-木石铜粮'!U96</f>
        <v>1.0334812899419006</v>
      </c>
      <c r="AY95" s="35">
        <f>('[1]资源-木石铜粮'!D96+V95)/'[1]资源-木石铜粮'!V96</f>
        <v>1.1517247504543429</v>
      </c>
      <c r="AZ95" s="35">
        <f>('[1]资源-木石铜粮'!E96+W95)/'[1]资源-木石铜粮'!W96</f>
        <v>1.4423704361389658</v>
      </c>
      <c r="BA95" s="35">
        <f>('[1]资源-木石铜粮'!F96+X95)/'[1]资源-木石铜粮'!X96</f>
        <v>1.8275580574365735</v>
      </c>
      <c r="BB95" s="35">
        <f>('[1]资源-木石铜粮'!G96+Y95)/'[1]资源-木石铜粮'!Y96</f>
        <v>1.206573198517592</v>
      </c>
      <c r="BE95" s="39">
        <f t="shared" si="31"/>
        <v>3.6785502925098479E-5</v>
      </c>
      <c r="BF95" s="39">
        <f t="shared" si="32"/>
        <v>9.3075688264065314E-5</v>
      </c>
      <c r="BG95" s="39">
        <f t="shared" si="33"/>
        <v>1.070541924775118E-4</v>
      </c>
      <c r="BH95" s="39">
        <f t="shared" si="34"/>
        <v>1.105253864513926E-4</v>
      </c>
      <c r="BI95" s="39">
        <f t="shared" si="35"/>
        <v>1.0768198914508877E-4</v>
      </c>
      <c r="BK95" s="39">
        <f>BE95/求节点(节奏总纲!AM$4:AM$83,$G$5:$G$84,节奏总纲!P94)</f>
        <v>0.41920434772726589</v>
      </c>
      <c r="BL95" s="39">
        <f>BF95/求节点(节奏总纲!AN$4:AN$83,$G$5:$G$84,节奏总纲!Q94)</f>
        <v>1.0893095386669398</v>
      </c>
      <c r="BM95" s="39">
        <f>BG95/求节点(节奏总纲!AO$4:AO$83,$G$5:$G$84,节奏总纲!R94)</f>
        <v>1.2845711849550661</v>
      </c>
      <c r="BN95" s="39">
        <f>BH95/求节点(节奏总纲!AP$4:AP$83,$G$5:$G$84,节奏总纲!S94)</f>
        <v>1.3661360702092296</v>
      </c>
      <c r="BO95" s="39">
        <f>BI95/求节点(节奏总纲!AQ$4:AQ$83,$G$5:$G$84,节奏总纲!T94)</f>
        <v>1.3697157602959493</v>
      </c>
    </row>
    <row r="96" spans="5:67" x14ac:dyDescent="0.15">
      <c r="I96" s="54"/>
      <c r="J96" s="35">
        <v>92</v>
      </c>
      <c r="K96" s="55">
        <v>60</v>
      </c>
      <c r="L96" s="55">
        <f t="shared" si="30"/>
        <v>90</v>
      </c>
      <c r="M96" s="55"/>
      <c r="T96" s="35">
        <v>92</v>
      </c>
      <c r="U96" s="50">
        <f>INDEX($Q$5:$Q$21,MATCH(节奏总纲!BQ95,$N$5:$N$21,1))*(U$2+$K$2)*节奏总纲!W95*4*$C$5+U95</f>
        <v>6497191981.1172686</v>
      </c>
      <c r="V96" s="50">
        <f>INDEX($Q$5:$Q$21,MATCH(节奏总纲!BR95,$N$5:$N$21,1))*(V$2+$K$2)*节奏总纲!X95*4*$C$5+V95</f>
        <v>20258180302.414639</v>
      </c>
      <c r="W96" s="50">
        <f>INDEX($Q$5:$Q$21,MATCH(节奏总纲!BS95,$N$5:$N$21,1))*(W$2+$K$2)*节奏总纲!Y95*4*$C$5+W95</f>
        <v>42332614604.020042</v>
      </c>
      <c r="X96" s="50">
        <f>INDEX($Q$5:$Q$21,MATCH(节奏总纲!BT95,$N$5:$N$21,1))*(X$2+$K$2)*节奏总纲!Z95*4*$C$5+X95</f>
        <v>62081745956.584076</v>
      </c>
      <c r="Y96" s="50">
        <f>INDEX($Q$5:$Q$21,MATCH(节奏总纲!BU95,$N$5:$N$21,1))*(Y$2+$K$2)*节奏总纲!AA95*4*$C$5+Y95</f>
        <v>34321133889.297405</v>
      </c>
      <c r="Z96" s="51">
        <f>SUMIFS($K$5:$K$1004,$J$5:$J$1004,"&lt;="&amp;U$2)*节奏总纲!W95*4+Z95</f>
        <v>234853.42310339256</v>
      </c>
      <c r="AA96" s="51">
        <f>SUMIFS($K$5:$K$1004,$J$5:$J$1004,"&lt;="&amp;V$2)*节奏总纲!X95*4+AA95</f>
        <v>1808253.9311845708</v>
      </c>
      <c r="AB96" s="51">
        <f>SUMIFS($K$5:$K$1004,$J$5:$J$1004,"&lt;="&amp;W$2)*节奏总纲!Y95*4+AB95</f>
        <v>4375319.2724162024</v>
      </c>
      <c r="AC96" s="51">
        <f>SUMIFS($K$5:$K$1004,$J$5:$J$1004,"&lt;="&amp;X$2)*节奏总纲!Z95*4+AC95</f>
        <v>6647807.9650492491</v>
      </c>
      <c r="AD96" s="51">
        <f>SUMIFS($K$5:$K$1004,$J$5:$J$1004,"&lt;="&amp;Y$2)*节奏总纲!AA95*4+AD95</f>
        <v>3594314.2138858708</v>
      </c>
      <c r="AH96" s="35">
        <v>92</v>
      </c>
      <c r="AI96" s="47">
        <f>'[1]资源-木石铜粮'!AE97-U96</f>
        <v>-1631073204.7769976</v>
      </c>
      <c r="AJ96" s="47">
        <f>'[1]资源-木石铜粮'!AF97-V96</f>
        <v>-7362196177.5876579</v>
      </c>
      <c r="AK96" s="47">
        <f>'[1]资源-木石铜粮'!AG97-W96</f>
        <v>-21804067632.701508</v>
      </c>
      <c r="AL96" s="47">
        <f>'[1]资源-木石铜粮'!AH97-X96</f>
        <v>-37971407834.033157</v>
      </c>
      <c r="AM96" s="47">
        <f>'[1]资源-木石铜粮'!AI97-Y96</f>
        <v>-8156760030.0128059</v>
      </c>
      <c r="AN96" s="47">
        <f>(AI96-AI95)*IF($AH96&lt;=10,'[1]功能-付费相关'!S107,'[1]功能-付费相关'!S97)</f>
        <v>-7481.5931067661122</v>
      </c>
      <c r="AO96" s="47">
        <f>(AJ96-AJ95)*IF($AH96&lt;=10,'[1]功能-付费相关'!T107,'[1]功能-付费相关'!T97)</f>
        <v>-21481.927919877446</v>
      </c>
      <c r="AP96" s="47">
        <f>(AK96-AK95)*IF($AH96&lt;=10,'[1]功能-付费相关'!U107,'[1]功能-付费相关'!U97)</f>
        <v>-43531.002515144944</v>
      </c>
      <c r="AQ96" s="47">
        <f>(AL96-AL95)*IF($AH96&lt;=10,'[1]功能-付费相关'!V107,'[1]功能-付费相关'!V97)</f>
        <v>-62365.031668007992</v>
      </c>
      <c r="AR96" s="47">
        <f>(AM96-AM95)*IF($AH96&lt;=10,'[1]功能-付费相关'!W107,'[1]功能-付费相关'!W97)</f>
        <v>-12417.570969292477</v>
      </c>
      <c r="AS96" s="48">
        <f>SUM(AN$5:AN96)/'[1]资源-钻石'!L95</f>
        <v>-3.4480522978570217E-2</v>
      </c>
      <c r="AT96" s="48">
        <f>SUM(AO$5:AO96)/'[1]资源-钻石'!M95</f>
        <v>-8.5668421130783434E-2</v>
      </c>
      <c r="AU96" s="48">
        <f>SUM(AP$5:AP96)/'[1]资源-钻石'!N95</f>
        <v>-0.1493473276803379</v>
      </c>
      <c r="AV96" s="48">
        <f>SUM(AQ$5:AQ96)/'[1]资源-钻石'!O95</f>
        <v>-0.11829863072290711</v>
      </c>
      <c r="AW96" s="48">
        <f>SUM(AR$5:AR96)/'[1]资源-钻石'!P95</f>
        <v>-2.0936516372179609E-2</v>
      </c>
      <c r="AX96" s="35">
        <f>('[1]资源-木石铜粮'!C97+U96)/'[1]资源-木石铜粮'!U97</f>
        <v>1.0408475096070469</v>
      </c>
      <c r="AY96" s="35">
        <f>('[1]资源-木石铜粮'!D97+V96)/'[1]资源-木石铜粮'!V97</f>
        <v>1.1658838403946112</v>
      </c>
      <c r="AZ96" s="35">
        <f>('[1]资源-木石铜粮'!E97+W96)/'[1]资源-木石铜粮'!W97</f>
        <v>1.4571637933363542</v>
      </c>
      <c r="BA96" s="35">
        <f>('[1]资源-木石铜粮'!F97+X96)/'[1]资源-木石铜粮'!X97</f>
        <v>1.8384290624940354</v>
      </c>
      <c r="BB96" s="35">
        <f>('[1]资源-木石铜粮'!G97+Y96)/'[1]资源-木石铜粮'!Y97</f>
        <v>1.2081212676690538</v>
      </c>
      <c r="BE96" s="39">
        <f t="shared" si="31"/>
        <v>3.614691143280743E-5</v>
      </c>
      <c r="BF96" s="39">
        <f t="shared" si="32"/>
        <v>8.926043228912516E-5</v>
      </c>
      <c r="BG96" s="39">
        <f t="shared" si="33"/>
        <v>1.0335575332029475E-4</v>
      </c>
      <c r="BH96" s="39">
        <f t="shared" si="34"/>
        <v>1.0708152392650639E-4</v>
      </c>
      <c r="BI96" s="39">
        <f t="shared" si="35"/>
        <v>1.0472597512306289E-4</v>
      </c>
      <c r="BK96" s="39">
        <f>BE96/求节点(节奏总纲!AM$4:AM$83,$G$5:$G$84,节奏总纲!P95)</f>
        <v>0.42306927383723603</v>
      </c>
      <c r="BL96" s="39">
        <f>BF96/求节点(节奏总纲!AN$4:AN$83,$G$5:$G$84,节奏总纲!Q95)</f>
        <v>1.0692968948800716</v>
      </c>
      <c r="BM96" s="39">
        <f>BG96/求节点(节奏总纲!AO$4:AO$83,$G$5:$G$84,节奏总纲!R95)</f>
        <v>1.272742717424598</v>
      </c>
      <c r="BN96" s="39">
        <f>BH96/求节点(节奏总纲!AP$4:AP$83,$G$5:$G$84,节奏总纲!S95)</f>
        <v>1.3549122896477073</v>
      </c>
      <c r="BO96" s="39">
        <f>BI96/求节点(节奏总纲!AQ$4:AQ$83,$G$5:$G$84,节奏总纲!T95)</f>
        <v>1.3655500471244573</v>
      </c>
    </row>
    <row r="97" spans="9:67" x14ac:dyDescent="0.15">
      <c r="I97" s="54"/>
      <c r="J97" s="35">
        <v>93</v>
      </c>
      <c r="K97" s="55">
        <v>60</v>
      </c>
      <c r="L97" s="55">
        <f t="shared" si="30"/>
        <v>90</v>
      </c>
      <c r="M97" s="55"/>
      <c r="T97" s="35">
        <v>93</v>
      </c>
      <c r="U97" s="50">
        <f>INDEX($Q$5:$Q$21,MATCH(节奏总纲!BQ96,$N$5:$N$21,1))*(U$2+$K$2)*节奏总纲!W96*4*$C$5+U96</f>
        <v>7270387737.4290695</v>
      </c>
      <c r="V97" s="50">
        <f>INDEX($Q$5:$Q$21,MATCH(节奏总纲!BR96,$N$5:$N$21,1))*(V$2+$K$2)*节奏总纲!X96*4*$C$5+V96</f>
        <v>22569287034.453781</v>
      </c>
      <c r="W97" s="50">
        <f>INDEX($Q$5:$Q$21,MATCH(节奏总纲!BS96,$N$5:$N$21,1))*(W$2+$K$2)*节奏总纲!Y96*4*$C$5+W96</f>
        <v>46779221546.429741</v>
      </c>
      <c r="X97" s="50">
        <f>INDEX($Q$5:$Q$21,MATCH(节奏总纲!BT96,$N$5:$N$21,1))*(X$2+$K$2)*节奏总纲!Z96*4*$C$5+X96</f>
        <v>68234747541.911949</v>
      </c>
      <c r="Y97" s="50">
        <f>INDEX($Q$5:$Q$21,MATCH(节奏总纲!BU96,$N$5:$N$21,1))*(Y$2+$K$2)*节奏总纲!AA96*4*$C$5+Y96</f>
        <v>37621737413.152122</v>
      </c>
      <c r="Z97" s="51">
        <f>SUMIFS($K$5:$K$1004,$J$5:$J$1004,"&lt;="&amp;U$2)*节奏总纲!W96*4+Z96</f>
        <v>251738.3758530388</v>
      </c>
      <c r="AA97" s="51">
        <f>SUMIFS($K$5:$K$1004,$J$5:$J$1004,"&lt;="&amp;V$2)*节奏总纲!X96*4+AA96</f>
        <v>1938033.0603422045</v>
      </c>
      <c r="AB97" s="51">
        <f>SUMIFS($K$5:$K$1004,$J$5:$J$1004,"&lt;="&amp;W$2)*节奏总纲!Y96*4+AB96</f>
        <v>4683768.6996088838</v>
      </c>
      <c r="AC97" s="51">
        <f>SUMIFS($K$5:$K$1004,$J$5:$J$1004,"&lt;="&amp;X$2)*节奏总纲!Z96*4+AC96</f>
        <v>7102798.2746934891</v>
      </c>
      <c r="AD97" s="51">
        <f>SUMIFS($K$5:$K$1004,$J$5:$J$1004,"&lt;="&amp;Y$2)*节奏总纲!AA96*4+AD96</f>
        <v>3838380.8858192088</v>
      </c>
      <c r="AH97" s="35">
        <v>93</v>
      </c>
      <c r="AI97" s="47">
        <f>'[1]资源-木石铜粮'!AE98-U97</f>
        <v>-3123667993.2576904</v>
      </c>
      <c r="AJ97" s="47">
        <f>'[1]资源-木石铜粮'!AF98-V97</f>
        <v>-9469382288.1544571</v>
      </c>
      <c r="AK97" s="47">
        <f>'[1]资源-木石铜粮'!AG98-W97</f>
        <v>-25169199679.437702</v>
      </c>
      <c r="AL97" s="47">
        <f>'[1]资源-木石铜粮'!AH98-X97</f>
        <v>-42643960481.451828</v>
      </c>
      <c r="AM97" s="47">
        <f>'[1]资源-木石铜粮'!AI98-Y97</f>
        <v>-9910773533.9618149</v>
      </c>
      <c r="AN97" s="47">
        <f>(AI97-AI96)*IF($AH97&lt;=10,'[1]功能-付费相关'!S108,'[1]功能-付费相关'!S98)</f>
        <v>-23546.790399592079</v>
      </c>
      <c r="AO97" s="47">
        <f>(AJ97-AJ96)*IF($AH97&lt;=10,'[1]功能-付费相关'!T108,'[1]功能-付费相关'!T98)</f>
        <v>-32366.408118610299</v>
      </c>
      <c r="AP97" s="47">
        <f>(AK97-AK96)*IF($AH97&lt;=10,'[1]功能-付费相关'!U108,'[1]功能-付费相关'!U98)</f>
        <v>-49629.924824309659</v>
      </c>
      <c r="AQ97" s="47">
        <f>(AL97-AL96)*IF($AH97&lt;=10,'[1]功能-付费相关'!V108,'[1]功能-付费相关'!V98)</f>
        <v>-66606.121670353954</v>
      </c>
      <c r="AR97" s="47">
        <f>(AM97-AM96)*IF($AH97&lt;=10,'[1]功能-付费相关'!W108,'[1]功能-付费相关'!W98)</f>
        <v>-24648.868801981575</v>
      </c>
      <c r="AS97" s="48">
        <f>SUM(AN$5:AN97)/'[1]资源-钻石'!L96</f>
        <v>-4.1574783617864861E-2</v>
      </c>
      <c r="AT97" s="48">
        <f>SUM(AO$5:AO97)/'[1]资源-钻石'!M96</f>
        <v>-9.0121815677609476E-2</v>
      </c>
      <c r="AU97" s="48">
        <f>SUM(AP$5:AP97)/'[1]资源-钻石'!N96</f>
        <v>-0.15024258688694356</v>
      </c>
      <c r="AV97" s="48">
        <f>SUM(AQ$5:AQ97)/'[1]资源-钻石'!O96</f>
        <v>-0.11740858633180755</v>
      </c>
      <c r="AW97" s="48">
        <f>SUM(AR$5:AR97)/'[1]资源-钻石'!P96</f>
        <v>-2.1426329328468021E-2</v>
      </c>
      <c r="AX97" s="35">
        <f>('[1]资源-木石铜粮'!C98+U97)/'[1]资源-木石铜粮'!U98</f>
        <v>1.0723656281983234</v>
      </c>
      <c r="AY97" s="35">
        <f>('[1]资源-木石铜粮'!D98+V97)/'[1]资源-木石铜粮'!V98</f>
        <v>1.1967901561934127</v>
      </c>
      <c r="AZ97" s="35">
        <f>('[1]资源-木石铜粮'!E98+W97)/'[1]资源-木石铜粮'!W98</f>
        <v>1.4860132238710702</v>
      </c>
      <c r="BA97" s="35">
        <f>('[1]资源-木石铜粮'!F98+X97)/'[1]资源-木石铜粮'!X98</f>
        <v>1.8697093604583341</v>
      </c>
      <c r="BB97" s="35">
        <f>('[1]资源-木石铜粮'!G98+Y97)/'[1]资源-木石铜粮'!Y98</f>
        <v>1.2351000830417405</v>
      </c>
      <c r="BE97" s="39">
        <f t="shared" si="31"/>
        <v>3.4625165114241583E-5</v>
      </c>
      <c r="BF97" s="39">
        <f t="shared" si="32"/>
        <v>8.5870371420401789E-5</v>
      </c>
      <c r="BG97" s="39">
        <f t="shared" si="33"/>
        <v>1.0012498166435085E-4</v>
      </c>
      <c r="BH97" s="39">
        <f t="shared" si="34"/>
        <v>1.0409356714232327E-4</v>
      </c>
      <c r="BI97" s="39">
        <f t="shared" si="35"/>
        <v>1.0202561470426285E-4</v>
      </c>
      <c r="BK97" s="39">
        <f>BE97/求节点(节奏总纲!AM$4:AM$83,$G$5:$G$84,节奏总纲!P96)</f>
        <v>0.41514551883223566</v>
      </c>
      <c r="BL97" s="39">
        <f>BF97/求节点(节奏总纲!AN$4:AN$83,$G$5:$G$84,节奏总纲!Q96)</f>
        <v>1.0560062312209009</v>
      </c>
      <c r="BM97" s="39">
        <f>BG97/求节点(节奏总纲!AO$4:AO$83,$G$5:$G$84,节奏总纲!R96)</f>
        <v>1.263028487885657</v>
      </c>
      <c r="BN97" s="39">
        <f>BH97/求节点(节奏总纲!AP$4:AP$83,$G$5:$G$84,节奏总纲!S96)</f>
        <v>1.3507612434399257</v>
      </c>
      <c r="BO97" s="39">
        <f>BI97/求节点(节奏总纲!AQ$4:AQ$83,$G$5:$G$84,节奏总纲!T96)</f>
        <v>1.3610600496328178</v>
      </c>
    </row>
    <row r="98" spans="9:67" x14ac:dyDescent="0.15">
      <c r="I98" s="54"/>
      <c r="J98" s="35">
        <v>94</v>
      </c>
      <c r="K98" s="55">
        <v>60</v>
      </c>
      <c r="L98" s="55">
        <f t="shared" si="30"/>
        <v>90</v>
      </c>
      <c r="M98" s="55"/>
      <c r="T98" s="35">
        <v>94</v>
      </c>
      <c r="U98" s="50">
        <f>INDEX($Q$5:$Q$21,MATCH(节奏总纲!BQ97,$N$5:$N$21,1))*(U$2+$K$2)*节奏总纲!W97*4*$C$5+U97</f>
        <v>8099078430.3897295</v>
      </c>
      <c r="V98" s="50">
        <f>INDEX($Q$5:$Q$21,MATCH(节奏总纲!BR97,$N$5:$N$21,1))*(V$2+$K$2)*节奏总纲!X97*4*$C$5+V97</f>
        <v>25002732366.66861</v>
      </c>
      <c r="W98" s="50">
        <f>INDEX($Q$5:$Q$21,MATCH(节奏总纲!BS97,$N$5:$N$21,1))*(W$2+$K$2)*节奏总纲!Y97*4*$C$5+W97</f>
        <v>51507118773.962624</v>
      </c>
      <c r="X98" s="50">
        <f>INDEX($Q$5:$Q$21,MATCH(节奏总纲!BT97,$N$5:$N$21,1))*(X$2+$K$2)*节奏总纲!Z97*4*$C$5+X97</f>
        <v>74765417020.685959</v>
      </c>
      <c r="Y98" s="50">
        <f>INDEX($Q$5:$Q$21,MATCH(节奏总纲!BU97,$N$5:$N$21,1))*(Y$2+$K$2)*节奏总纲!AA97*4*$C$5+Y97</f>
        <v>41103665399.115753</v>
      </c>
      <c r="Z98" s="51">
        <f>SUMIFS($K$5:$K$1004,$J$5:$J$1004,"&lt;="&amp;U$2)*节奏总纲!W97*4+Z97</f>
        <v>269835.22012628871</v>
      </c>
      <c r="AA98" s="51">
        <f>SUMIFS($K$5:$K$1004,$J$5:$J$1004,"&lt;="&amp;V$2)*节奏总纲!X97*4+AA97</f>
        <v>2074682.0569849957</v>
      </c>
      <c r="AB98" s="51">
        <f>SUMIFS($K$5:$K$1004,$J$5:$J$1004,"&lt;="&amp;W$2)*节奏总纲!Y97*4+AB97</f>
        <v>5011730.4939715974</v>
      </c>
      <c r="AC98" s="51">
        <f>SUMIFS($K$5:$K$1004,$J$5:$J$1004,"&lt;="&amp;X$2)*节奏总纲!Z97*4+AC97</f>
        <v>7585715.6422782782</v>
      </c>
      <c r="AD98" s="51">
        <f>SUMIFS($K$5:$K$1004,$J$5:$J$1004,"&lt;="&amp;Y$2)*节奏总纲!AA97*4+AD97</f>
        <v>4095855.7898189481</v>
      </c>
      <c r="AH98" s="35">
        <v>94</v>
      </c>
      <c r="AI98" s="47">
        <f>'[1]资源-木石铜粮'!AE99-U98</f>
        <v>-352307195.17171955</v>
      </c>
      <c r="AJ98" s="47">
        <f>'[1]资源-木石铜粮'!AF99-V98</f>
        <v>-7207068293.8631744</v>
      </c>
      <c r="AK98" s="47">
        <f>'[1]资源-木石铜粮'!AG99-W98</f>
        <v>-24276915270.733856</v>
      </c>
      <c r="AL98" s="47">
        <f>'[1]资源-木石铜粮'!AH99-X98</f>
        <v>-43205753654.638901</v>
      </c>
      <c r="AM98" s="47">
        <f>'[1]资源-木石铜粮'!AI99-Y98</f>
        <v>-7321584986.2206726</v>
      </c>
      <c r="AN98" s="47">
        <f>(AI98-AI97)*IF($AH98&lt;=10,'[1]功能-付费相关'!S109,'[1]功能-付费相关'!S99)</f>
        <v>38800.469804247761</v>
      </c>
      <c r="AO98" s="47">
        <f>(AJ98-AJ97)*IF($AH98&lt;=10,'[1]功能-付费相关'!T109,'[1]功能-付费相关'!T99)</f>
        <v>30799.799645844112</v>
      </c>
      <c r="AP98" s="47">
        <f>(AK98-AK97)*IF($AH98&lt;=10,'[1]功能-付费相关'!U109,'[1]功能-付费相关'!U99)</f>
        <v>11653.709599156202</v>
      </c>
      <c r="AQ98" s="47">
        <f>(AL98-AL97)*IF($AH98&lt;=10,'[1]功能-付费相关'!V109,'[1]功能-付费相关'!V99)</f>
        <v>-7118.4244141239051</v>
      </c>
      <c r="AR98" s="47">
        <f>(AM98-AM97)*IF($AH98&lt;=10,'[1]功能-付费相关'!W109,'[1]功能-付费相关'!W99)</f>
        <v>32342.621294624227</v>
      </c>
      <c r="AS98" s="48">
        <f>SUM(AN$5:AN98)/'[1]资源-钻石'!L97</f>
        <v>-2.5071013109990516E-2</v>
      </c>
      <c r="AT98" s="48">
        <f>SUM(AO$5:AO98)/'[1]资源-钻石'!M97</f>
        <v>-7.6343348157001403E-2</v>
      </c>
      <c r="AU98" s="48">
        <f>SUM(AP$5:AP98)/'[1]资源-钻石'!N97</f>
        <v>-0.1390750651110739</v>
      </c>
      <c r="AV98" s="48">
        <f>SUM(AQ$5:AQ98)/'[1]资源-钻石'!O97</f>
        <v>-0.11082392016332246</v>
      </c>
      <c r="AW98" s="48">
        <f>SUM(AR$5:AR98)/'[1]资源-钻石'!P97</f>
        <v>-1.7909793772058875E-2</v>
      </c>
      <c r="AX98" s="35">
        <f>('[1]资源-木石铜粮'!C99+U98)/'[1]资源-木石铜粮'!U99</f>
        <v>1.0068757931271366</v>
      </c>
      <c r="AY98" s="35">
        <f>('[1]资源-木石铜粮'!D99+V98)/'[1]资源-木石铜粮'!V99</f>
        <v>1.1269406464752669</v>
      </c>
      <c r="AZ98" s="35">
        <f>('[1]资源-木石铜粮'!E99+W98)/'[1]资源-木石铜粮'!W99</f>
        <v>1.3993128896288853</v>
      </c>
      <c r="BA98" s="35">
        <f>('[1]资源-木石铜粮'!F99+X98)/'[1]资源-木石铜粮'!X99</f>
        <v>1.7506616789505089</v>
      </c>
      <c r="BB98" s="35">
        <f>('[1]资源-木石铜粮'!G99+Y98)/'[1]资源-木石铜粮'!Y99</f>
        <v>1.1469963542158745</v>
      </c>
      <c r="BE98" s="39">
        <f t="shared" si="31"/>
        <v>3.3316780723322882E-5</v>
      </c>
      <c r="BF98" s="39">
        <f t="shared" si="32"/>
        <v>8.2978213203240738E-5</v>
      </c>
      <c r="BG98" s="39">
        <f t="shared" si="33"/>
        <v>9.7301705342234729E-5</v>
      </c>
      <c r="BH98" s="39">
        <f t="shared" si="34"/>
        <v>1.0146021977219062E-4</v>
      </c>
      <c r="BI98" s="39">
        <f t="shared" si="35"/>
        <v>9.9646971870957776E-5</v>
      </c>
      <c r="BK98" s="39">
        <f>BE98/求节点(节奏总纲!AM$4:AM$83,$G$5:$G$84,节奏总纲!P97)</f>
        <v>0.41012028903902453</v>
      </c>
      <c r="BL98" s="39">
        <f>BF98/求节点(节奏总纲!AN$4:AN$83,$G$5:$G$84,节奏总纲!Q97)</f>
        <v>1.0454663154536636</v>
      </c>
      <c r="BM98" s="39">
        <f>BG98/求节点(节奏总纲!AO$4:AO$83,$G$5:$G$84,节奏总纲!R97)</f>
        <v>1.2591443864521858</v>
      </c>
      <c r="BN98" s="39">
        <f>BH98/求节点(节奏总纲!AP$4:AP$83,$G$5:$G$84,节奏总纲!S97)</f>
        <v>1.34775256935817</v>
      </c>
      <c r="BO98" s="39">
        <f>BI98/求节点(节奏总纲!AQ$4:AQ$83,$G$5:$G$84,节奏总纲!T97)</f>
        <v>1.3622854720578708</v>
      </c>
    </row>
    <row r="99" spans="9:67" x14ac:dyDescent="0.15">
      <c r="I99" s="54"/>
      <c r="J99" s="35">
        <v>95</v>
      </c>
      <c r="K99" s="55">
        <v>60</v>
      </c>
      <c r="L99" s="55">
        <f t="shared" si="30"/>
        <v>90</v>
      </c>
      <c r="M99" s="55"/>
      <c r="T99" s="35">
        <v>95</v>
      </c>
      <c r="U99" s="50">
        <f>INDEX($Q$5:$Q$21,MATCH(节奏总纲!BQ98,$N$5:$N$21,1))*(U$2+$K$2)*节奏总纲!W98*4*$C$5+U98</f>
        <v>8987247123.7557755</v>
      </c>
      <c r="V99" s="50">
        <f>INDEX($Q$5:$Q$21,MATCH(节奏总纲!BR98,$N$5:$N$21,1))*(V$2+$K$2)*节奏总纲!X98*4*$C$5+V98</f>
        <v>27686214540.76387</v>
      </c>
      <c r="W99" s="50">
        <f>INDEX($Q$5:$Q$21,MATCH(节奏总纲!BS98,$N$5:$N$21,1))*(W$2+$K$2)*节奏总纲!Y98*4*$C$5+W98</f>
        <v>56475218476.790283</v>
      </c>
      <c r="X99" s="50">
        <f>INDEX($Q$5:$Q$21,MATCH(节奏总纲!BT98,$N$5:$N$21,1))*(X$2+$K$2)*节奏总纲!Z98*4*$C$5+X98</f>
        <v>81760158761.227036</v>
      </c>
      <c r="Y99" s="50">
        <f>INDEX($Q$5:$Q$21,MATCH(节奏总纲!BU98,$N$5:$N$21,1))*(Y$2+$K$2)*节奏总纲!AA98*4*$C$5+Y98</f>
        <v>45174253388.508102</v>
      </c>
      <c r="Z99" s="51">
        <f>SUMIFS($K$5:$K$1004,$J$5:$J$1004,"&lt;="&amp;U$2)*节奏总纲!W98*4+Z98</f>
        <v>289230.93757400982</v>
      </c>
      <c r="AA99" s="51">
        <f>SUMIFS($K$5:$K$1004,$J$5:$J$1004,"&lt;="&amp;V$2)*节奏总纲!X98*4+AA98</f>
        <v>2225371.7567881886</v>
      </c>
      <c r="AB99" s="51">
        <f>SUMIFS($K$5:$K$1004,$J$5:$J$1004,"&lt;="&amp;W$2)*节奏总纲!Y98*4+AB98</f>
        <v>5356354.5022143591</v>
      </c>
      <c r="AC99" s="51">
        <f>SUMIFS($K$5:$K$1004,$J$5:$J$1004,"&lt;="&amp;X$2)*节奏总纲!Z98*4+AC98</f>
        <v>8102949.3316046707</v>
      </c>
      <c r="AD99" s="51">
        <f>SUMIFS($K$5:$K$1004,$J$5:$J$1004,"&lt;="&amp;Y$2)*节奏总纲!AA98*4+AD98</f>
        <v>4396859.7899063397</v>
      </c>
      <c r="AH99" s="35">
        <v>95</v>
      </c>
      <c r="AI99" s="47">
        <f>'[1]资源-木石铜粮'!AE100-U99</f>
        <v>-1281954924.4136581</v>
      </c>
      <c r="AJ99" s="47">
        <f>'[1]资源-木石铜粮'!AF100-V99</f>
        <v>-8768360793.1101532</v>
      </c>
      <c r="AK99" s="47">
        <f>'[1]资源-木石铜粮'!AG100-W99</f>
        <v>-27140196156.649902</v>
      </c>
      <c r="AL99" s="47">
        <f>'[1]资源-木石铜粮'!AH100-X99</f>
        <v>-47658479571.500916</v>
      </c>
      <c r="AM99" s="47">
        <f>'[1]资源-木石铜粮'!AI100-Y99</f>
        <v>-8779152619.0653687</v>
      </c>
      <c r="AN99" s="47">
        <f>(AI99-AI98)*IF($AH99&lt;=10,'[1]功能-付费相关'!S110,'[1]功能-付费相关'!S100)</f>
        <v>-11689.504387137964</v>
      </c>
      <c r="AO99" s="47">
        <f>(AJ99-AJ98)*IF($AH99&lt;=10,'[1]功能-付费相关'!T110,'[1]功能-付费相关'!T100)</f>
        <v>-19070.59309752148</v>
      </c>
      <c r="AP99" s="47">
        <f>(AK99-AK98)*IF($AH99&lt;=10,'[1]功能-付费相关'!U110,'[1]功能-付费相关'!U100)</f>
        <v>-33545.974972501572</v>
      </c>
      <c r="AQ99" s="47">
        <f>(AL99-AL98)*IF($AH99&lt;=10,'[1]功能-付费相关'!V110,'[1]功能-付费相关'!V100)</f>
        <v>-50778.03531602252</v>
      </c>
      <c r="AR99" s="47">
        <f>(AM99-AM98)*IF($AH99&lt;=10,'[1]功能-付费相关'!W110,'[1]功能-付费相关'!W100)</f>
        <v>-16386.370239962856</v>
      </c>
      <c r="AS99" s="48">
        <f>SUM(AN$5:AN99)/'[1]资源-钻石'!L98</f>
        <v>-2.7605980737658364E-2</v>
      </c>
      <c r="AT99" s="48">
        <f>SUM(AO$5:AO99)/'[1]资源-钻石'!M98</f>
        <v>-7.6674976908696083E-2</v>
      </c>
      <c r="AU99" s="48">
        <f>SUM(AP$5:AP99)/'[1]资源-钻石'!N98</f>
        <v>-0.13672634502080186</v>
      </c>
      <c r="AV99" s="48">
        <f>SUM(AQ$5:AQ99)/'[1]资源-钻石'!O98</f>
        <v>-0.10827839626029138</v>
      </c>
      <c r="AW99" s="48">
        <f>SUM(AR$5:AR99)/'[1]资源-钻石'!P98</f>
        <v>-1.7760961839261784E-2</v>
      </c>
      <c r="AX99" s="35">
        <f>('[1]资源-木石铜粮'!C100+U99)/'[1]资源-木石铜粮'!U100</f>
        <v>1.0227780552092216</v>
      </c>
      <c r="AY99" s="35">
        <f>('[1]资源-木石铜粮'!D100+V99)/'[1]资源-木石铜粮'!V100</f>
        <v>1.1402957130721938</v>
      </c>
      <c r="AZ99" s="35">
        <f>('[1]资源-木石铜粮'!E100+W99)/'[1]资源-木石铜粮'!W100</f>
        <v>1.4070484245480104</v>
      </c>
      <c r="BA99" s="35">
        <f>('[1]资源-木石铜粮'!F100+X99)/'[1]资源-木石铜粮'!X100</f>
        <v>1.756668786279586</v>
      </c>
      <c r="BB99" s="35">
        <f>('[1]资源-木石铜粮'!G100+Y99)/'[1]资源-木石铜粮'!Y100</f>
        <v>1.1614818878022457</v>
      </c>
      <c r="BE99" s="39">
        <f t="shared" si="31"/>
        <v>3.2182372821316175E-5</v>
      </c>
      <c r="BF99" s="39">
        <f t="shared" si="32"/>
        <v>8.0378332455368961E-5</v>
      </c>
      <c r="BG99" s="39">
        <f t="shared" si="33"/>
        <v>9.4844334323658603E-5</v>
      </c>
      <c r="BH99" s="39">
        <f t="shared" si="34"/>
        <v>9.9106330691805315E-5</v>
      </c>
      <c r="BI99" s="39">
        <f t="shared" si="35"/>
        <v>9.7331100352504308E-5</v>
      </c>
      <c r="BK99" s="39">
        <f>BE99/求节点(节奏总纲!AM$4:AM$83,$G$5:$G$84,节奏总纲!P98)</f>
        <v>0.40602045225473049</v>
      </c>
      <c r="BL99" s="39">
        <f>BF99/求节点(节奏总纲!AN$4:AN$83,$G$5:$G$84,节奏总纲!Q98)</f>
        <v>1.0397648322533914</v>
      </c>
      <c r="BM99" s="39">
        <f>BG99/求节点(节奏总纲!AO$4:AO$83,$G$5:$G$84,节奏总纲!R98)</f>
        <v>1.2570977227281552</v>
      </c>
      <c r="BN99" s="39">
        <f>BH99/求节点(节奏总纲!AP$4:AP$83,$G$5:$G$84,节奏总纲!S98)</f>
        <v>1.3491287928944184</v>
      </c>
      <c r="BO99" s="39">
        <f>BI99/求节点(节奏总纲!AQ$4:AQ$83,$G$5:$G$84,节奏总纲!T98)</f>
        <v>1.3647180455808616</v>
      </c>
    </row>
    <row r="100" spans="9:67" x14ac:dyDescent="0.15">
      <c r="I100" s="54"/>
      <c r="J100" s="35">
        <v>96</v>
      </c>
      <c r="K100" s="55">
        <v>60</v>
      </c>
      <c r="L100" s="55">
        <f t="shared" si="30"/>
        <v>90</v>
      </c>
      <c r="M100" s="55"/>
      <c r="T100" s="35">
        <v>96</v>
      </c>
      <c r="U100" s="50">
        <f>INDEX($Q$5:$Q$21,MATCH(节奏总纲!BQ99,$N$5:$N$21,1))*(U$2+$K$2)*节奏总纲!W99*4*$C$5+U99</f>
        <v>9939162759.5610371</v>
      </c>
      <c r="V100" s="50">
        <f>INDEX($Q$5:$Q$21,MATCH(节奏总纲!BR99,$N$5:$N$21,1))*(V$2+$K$2)*节奏总纲!X99*4*$C$5+V99</f>
        <v>30435114259.334221</v>
      </c>
      <c r="W100" s="50">
        <f>INDEX($Q$5:$Q$21,MATCH(节奏总纲!BS99,$N$5:$N$21,1))*(W$2+$K$2)*节奏总纲!Y99*4*$C$5+W99</f>
        <v>61771624060.564217</v>
      </c>
      <c r="X100" s="50">
        <f>INDEX($Q$5:$Q$21,MATCH(节奏总纲!BT99,$N$5:$N$21,1))*(X$2+$K$2)*节奏总纲!Z99*4*$C$5+X99</f>
        <v>89564220387.78244</v>
      </c>
      <c r="Y100" s="50">
        <f>INDEX($Q$5:$Q$21,MATCH(节奏总纲!BU99,$N$5:$N$21,1))*(Y$2+$K$2)*节奏总纲!AA99*4*$C$5+Y99</f>
        <v>49495625514.728996</v>
      </c>
      <c r="Z100" s="51">
        <f>SUMIFS($K$5:$K$1004,$J$5:$J$1004,"&lt;="&amp;U$2)*节奏总纲!W99*4+Z99</f>
        <v>310018.75282132952</v>
      </c>
      <c r="AA100" s="51">
        <f>SUMIFS($K$5:$K$1004,$J$5:$J$1004,"&lt;="&amp;V$2)*节奏总纲!X99*4+AA99</f>
        <v>2379734.9485318065</v>
      </c>
      <c r="AB100" s="51">
        <f>SUMIFS($K$5:$K$1004,$J$5:$J$1004,"&lt;="&amp;W$2)*节奏总纲!Y99*4+AB99</f>
        <v>5723752.2258390766</v>
      </c>
      <c r="AC100" s="51">
        <f>SUMIFS($K$5:$K$1004,$J$5:$J$1004,"&lt;="&amp;X$2)*节奏总纲!Z99*4+AC99</f>
        <v>8680029.0489927102</v>
      </c>
      <c r="AD100" s="51">
        <f>SUMIFS($K$5:$K$1004,$J$5:$J$1004,"&lt;="&amp;Y$2)*节奏总纲!AA99*4+AD99</f>
        <v>4716408.2922967318</v>
      </c>
      <c r="AH100" s="35">
        <v>96</v>
      </c>
      <c r="AI100" s="47">
        <f>'[1]资源-木石铜粮'!AE101-U100</f>
        <v>-2424552586.8711185</v>
      </c>
      <c r="AJ100" s="47">
        <f>'[1]资源-木石铜粮'!AF101-V100</f>
        <v>-10426197969.206894</v>
      </c>
      <c r="AK100" s="47">
        <f>'[1]资源-木石铜粮'!AG101-W100</f>
        <v>-30270015638.801857</v>
      </c>
      <c r="AL100" s="47">
        <f>'[1]资源-木石铜粮'!AH101-X100</f>
        <v>-52834955823.821655</v>
      </c>
      <c r="AM100" s="47">
        <f>'[1]资源-木石铜粮'!AI101-Y100</f>
        <v>-10378454098.724388</v>
      </c>
      <c r="AN100" s="47">
        <f>(AI100-AI99)*IF($AH100&lt;=10,'[1]功能-付费相关'!S111,'[1]功能-付费相关'!S101)</f>
        <v>-13034.118438365565</v>
      </c>
      <c r="AO100" s="47">
        <f>(AJ100-AJ99)*IF($AH100&lt;=10,'[1]功能-付费相关'!T111,'[1]功能-付费相关'!T101)</f>
        <v>-18356.557006166033</v>
      </c>
      <c r="AP100" s="47">
        <f>(AK100-AK99)*IF($AH100&lt;=10,'[1]功能-付费相关'!U111,'[1]功能-付费相关'!U101)</f>
        <v>-33219.033060801892</v>
      </c>
      <c r="AQ100" s="47">
        <f>(AL100-AL99)*IF($AH100&lt;=10,'[1]功能-付费相关'!V111,'[1]功能-付费相关'!V101)</f>
        <v>-53665.04164796172</v>
      </c>
      <c r="AR100" s="47">
        <f>(AM100-AM99)*IF($AH100&lt;=10,'[1]功能-付费相关'!W111,'[1]功能-付费相关'!W101)</f>
        <v>-16345.25504276171</v>
      </c>
      <c r="AS100" s="48">
        <f>SUM(AN$5:AN100)/'[1]资源-钻石'!L99</f>
        <v>-3.0304664775163054E-2</v>
      </c>
      <c r="AT100" s="48">
        <f>SUM(AO$5:AO100)/'[1]资源-钻石'!M99</f>
        <v>-7.6687220975696427E-2</v>
      </c>
      <c r="AU100" s="48">
        <f>SUM(AP$5:AP100)/'[1]资源-钻石'!N99</f>
        <v>-0.13409082059990107</v>
      </c>
      <c r="AV100" s="48">
        <f>SUM(AQ$5:AQ100)/'[1]资源-钻石'!O99</f>
        <v>-0.10563030093030426</v>
      </c>
      <c r="AW100" s="48">
        <f>SUM(AR$5:AR100)/'[1]资源-钻石'!P99</f>
        <v>-1.756107264828442E-2</v>
      </c>
      <c r="AX100" s="35">
        <f>('[1]资源-木石铜粮'!C101+U100)/'[1]资源-木石铜粮'!U101</f>
        <v>1.0392201413690685</v>
      </c>
      <c r="AY100" s="35">
        <f>('[1]资源-木石铜粮'!D101+V100)/'[1]资源-木石铜粮'!V101</f>
        <v>1.1520447795882001</v>
      </c>
      <c r="AZ100" s="35">
        <f>('[1]资源-木石铜粮'!E101+W100)/'[1]资源-木石铜粮'!W101</f>
        <v>1.4142025034677224</v>
      </c>
      <c r="BA100" s="35">
        <f>('[1]资源-木石铜粮'!F101+X100)/'[1]资源-木石铜粮'!X101</f>
        <v>1.7657559863608581</v>
      </c>
      <c r="BB100" s="35">
        <f>('[1]资源-木石铜粮'!G101+Y100)/'[1]资源-木石铜粮'!Y101</f>
        <v>1.1751196719253143</v>
      </c>
      <c r="BE100" s="39">
        <f t="shared" si="31"/>
        <v>3.1191636591633953E-5</v>
      </c>
      <c r="BF100" s="39">
        <f t="shared" si="32"/>
        <v>7.8190439117604415E-5</v>
      </c>
      <c r="BG100" s="39">
        <f t="shared" si="33"/>
        <v>9.2659895427505724E-5</v>
      </c>
      <c r="BH100" s="39">
        <f t="shared" si="34"/>
        <v>9.691402450008668E-5</v>
      </c>
      <c r="BI100" s="39">
        <f t="shared" si="35"/>
        <v>9.5289396653714677E-5</v>
      </c>
      <c r="BK100" s="39">
        <f>BE100/求节点(节奏总纲!AM$4:AM$83,$G$5:$G$84,节奏总纲!P99)</f>
        <v>0.40397579900442315</v>
      </c>
      <c r="BL100" s="39">
        <f>BF100/求节点(节奏总纲!AN$4:AN$83,$G$5:$G$84,节奏总纲!Q99)</f>
        <v>1.0362287625686217</v>
      </c>
      <c r="BM100" s="39">
        <f>BG100/求节点(节奏总纲!AO$4:AO$83,$G$5:$G$84,节奏总纲!R99)</f>
        <v>1.2585201453168307</v>
      </c>
      <c r="BN100" s="39">
        <f>BH100/求节点(节奏总纲!AP$4:AP$83,$G$5:$G$84,节奏总纲!S99)</f>
        <v>1.3526864948205037</v>
      </c>
      <c r="BO100" s="39">
        <f>BI100/求节点(节奏总纲!AQ$4:AQ$83,$G$5:$G$84,节奏总纲!T99)</f>
        <v>1.3713297122494617</v>
      </c>
    </row>
    <row r="101" spans="9:67" x14ac:dyDescent="0.15">
      <c r="I101" s="54"/>
      <c r="J101" s="35">
        <v>97</v>
      </c>
      <c r="K101" s="55">
        <v>60</v>
      </c>
      <c r="L101" s="55">
        <f t="shared" si="30"/>
        <v>90</v>
      </c>
      <c r="M101" s="55"/>
      <c r="T101" s="35">
        <v>97</v>
      </c>
      <c r="U101" s="50">
        <f>INDEX($Q$5:$Q$21,MATCH(节奏总纲!BQ100,$N$5:$N$21,1))*(U$2+$K$2)*节奏总纲!W100*4*$C$5+U100</f>
        <v>10959400676.590467</v>
      </c>
      <c r="V101" s="50">
        <f>INDEX($Q$5:$Q$21,MATCH(节奏总纲!BR100,$N$5:$N$21,1))*(V$2+$K$2)*节奏总纲!X100*4*$C$5+V100</f>
        <v>33427419319.092842</v>
      </c>
      <c r="W101" s="50">
        <f>INDEX($Q$5:$Q$21,MATCH(节奏总纲!BS100,$N$5:$N$21,1))*(W$2+$K$2)*节奏总纲!Y100*4*$C$5+W100</f>
        <v>67895564767.953735</v>
      </c>
      <c r="X101" s="50">
        <f>INDEX($Q$5:$Q$21,MATCH(节奏总纲!BT100,$N$5:$N$21,1))*(X$2+$K$2)*节奏总纲!Z100*4*$C$5+X100</f>
        <v>98537999011.114853</v>
      </c>
      <c r="Y101" s="50">
        <f>INDEX($Q$5:$Q$21,MATCH(节奏总纲!BU100,$N$5:$N$21,1))*(Y$2+$K$2)*节奏总纲!AA100*4*$C$5+Y100</f>
        <v>54566045554.725815</v>
      </c>
      <c r="Z101" s="51">
        <f>SUMIFS($K$5:$K$1004,$J$5:$J$1004,"&lt;="&amp;U$2)*节奏总纲!W100*4+Z100</f>
        <v>332298.58154751378</v>
      </c>
      <c r="AA101" s="51">
        <f>SUMIFS($K$5:$K$1004,$J$5:$J$1004,"&lt;="&amp;V$2)*节奏总纲!X100*4+AA100</f>
        <v>2547766.4545829417</v>
      </c>
      <c r="AB101" s="51">
        <f>SUMIFS($K$5:$K$1004,$J$5:$J$1004,"&lt;="&amp;W$2)*节奏总纲!Y100*4+AB100</f>
        <v>6148553.8842318011</v>
      </c>
      <c r="AC101" s="51">
        <f>SUMIFS($K$5:$K$1004,$J$5:$J$1004,"&lt;="&amp;X$2)*节奏总纲!Z100*4+AC100</f>
        <v>9343604.7458111458</v>
      </c>
      <c r="AD101" s="51">
        <f>SUMIFS($K$5:$K$1004,$J$5:$J$1004,"&lt;="&amp;Y$2)*节奏总纲!AA100*4+AD100</f>
        <v>5091345.947038386</v>
      </c>
      <c r="AH101" s="35">
        <v>97</v>
      </c>
      <c r="AI101" s="47">
        <f>'[1]资源-木石铜粮'!AE102-U101</f>
        <v>-3876754097.0467205</v>
      </c>
      <c r="AJ101" s="47">
        <f>'[1]资源-木石铜粮'!AF102-V101</f>
        <v>-12396678058.91317</v>
      </c>
      <c r="AK101" s="47">
        <f>'[1]资源-木石铜粮'!AG102-W101</f>
        <v>-34209415515.988205</v>
      </c>
      <c r="AL101" s="47">
        <f>'[1]资源-木石铜粮'!AH102-X101</f>
        <v>-59060336313.816826</v>
      </c>
      <c r="AM101" s="47">
        <f>'[1]资源-木石铜粮'!AI102-Y101</f>
        <v>-12100379558.427063</v>
      </c>
      <c r="AN101" s="47">
        <f>(AI101-AI100)*IF($AH101&lt;=10,'[1]功能-付费相关'!S112,'[1]功能-付费相关'!S102)</f>
        <v>-15153.813953986426</v>
      </c>
      <c r="AO101" s="47">
        <f>(AJ101-AJ100)*IF($AH101&lt;=10,'[1]功能-付费相关'!T112,'[1]功能-付费相关'!T102)</f>
        <v>-19944.384485354971</v>
      </c>
      <c r="AP101" s="47">
        <f>(AK101-AK100)*IF($AH101&lt;=10,'[1]功能-付费相关'!U112,'[1]功能-付费相关'!U102)</f>
        <v>-38173.57322014933</v>
      </c>
      <c r="AQ101" s="47">
        <f>(AL101-AL100)*IF($AH101&lt;=10,'[1]功能-付费相关'!V112,'[1]功能-付费相关'!V102)</f>
        <v>-59160.874386999385</v>
      </c>
      <c r="AR101" s="47">
        <f>(AM101-AM100)*IF($AH101&lt;=10,'[1]功能-付费相关'!W112,'[1]功能-付费相关'!W102)</f>
        <v>-16131.960461895025</v>
      </c>
      <c r="AS101" s="48">
        <f>SUM(AN$5:AN101)/'[1]资源-钻石'!L100</f>
        <v>-3.3248148355506865E-2</v>
      </c>
      <c r="AT101" s="48">
        <f>SUM(AO$5:AO101)/'[1]资源-钻石'!M100</f>
        <v>-7.669038098443412E-2</v>
      </c>
      <c r="AU101" s="48">
        <f>SUM(AP$5:AP101)/'[1]资源-钻石'!N100</f>
        <v>-0.13137207766295003</v>
      </c>
      <c r="AV101" s="48">
        <f>SUM(AQ$5:AQ101)/'[1]资源-钻石'!O100</f>
        <v>-0.10280496110084333</v>
      </c>
      <c r="AW101" s="48">
        <f>SUM(AR$5:AR101)/'[1]资源-钻石'!P100</f>
        <v>-1.7189846789459E-2</v>
      </c>
      <c r="AX101" s="35">
        <f>('[1]资源-木石铜粮'!C102+U101)/'[1]资源-木石铜粮'!U102</f>
        <v>1.0571307000394246</v>
      </c>
      <c r="AY101" s="35">
        <f>('[1]资源-木石铜粮'!D102+V101)/'[1]资源-木石铜粮'!V102</f>
        <v>1.1646454625426279</v>
      </c>
      <c r="AZ101" s="35">
        <f>('[1]资源-木石铜粮'!E102+W101)/'[1]资源-木石铜粮'!W102</f>
        <v>1.425394130591608</v>
      </c>
      <c r="BA101" s="35">
        <f>('[1]资源-木石铜粮'!F102+X101)/'[1]资源-木石铜粮'!X102</f>
        <v>1.7789010260780043</v>
      </c>
      <c r="BB101" s="35">
        <f>('[1]资源-木石铜粮'!G102+Y101)/'[1]资源-木石铜粮'!Y102</f>
        <v>1.1853299381986571</v>
      </c>
      <c r="BE101" s="39">
        <f t="shared" si="31"/>
        <v>3.0320871674790685E-5</v>
      </c>
      <c r="BF101" s="39">
        <f t="shared" si="32"/>
        <v>7.6217862655276116E-5</v>
      </c>
      <c r="BG101" s="39">
        <f t="shared" si="33"/>
        <v>9.0558991669716229E-5</v>
      </c>
      <c r="BH101" s="39">
        <f t="shared" si="34"/>
        <v>9.4822351169899537E-5</v>
      </c>
      <c r="BI101" s="39">
        <f t="shared" si="35"/>
        <v>9.3306119131028709E-5</v>
      </c>
      <c r="BK101" s="39">
        <f>BE101/求节点(节奏总纲!AM$4:AM$83,$G$5:$G$84,节奏总纲!P100)</f>
        <v>0.4025937114288245</v>
      </c>
      <c r="BL101" s="39">
        <f>BF101/求节点(节奏总纲!AN$4:AN$83,$G$5:$G$84,节奏总纲!Q100)</f>
        <v>1.0358102771742155</v>
      </c>
      <c r="BM101" s="39">
        <f>BG101/求节点(节奏总纲!AO$4:AO$83,$G$5:$G$84,节奏总纲!R100)</f>
        <v>1.262645833459815</v>
      </c>
      <c r="BN101" s="39">
        <f>BH101/求节点(节奏总纲!AP$4:AP$83,$G$5:$G$84,节奏总纲!S100)</f>
        <v>1.359602741526571</v>
      </c>
      <c r="BO101" s="39">
        <f>BI101/求节点(节奏总纲!AQ$4:AQ$83,$G$5:$G$84,节奏总纲!T100)</f>
        <v>1.3792613066589434</v>
      </c>
    </row>
    <row r="102" spans="9:67" x14ac:dyDescent="0.15">
      <c r="I102" s="54"/>
      <c r="J102" s="35">
        <v>98</v>
      </c>
      <c r="K102" s="55">
        <v>60</v>
      </c>
      <c r="L102" s="55">
        <f t="shared" si="30"/>
        <v>90</v>
      </c>
      <c r="M102" s="55"/>
      <c r="T102" s="35">
        <v>98</v>
      </c>
      <c r="U102" s="50">
        <f>INDEX($Q$5:$Q$21,MATCH(节奏总纲!BQ101,$N$5:$N$21,1))*(U$2+$K$2)*节奏总纲!W101*4*$C$5+U101</f>
        <v>12052864601.535942</v>
      </c>
      <c r="V102" s="50">
        <f>INDEX($Q$5:$Q$21,MATCH(节奏总纲!BR101,$N$5:$N$21,1))*(V$2+$K$2)*节奏总纲!X101*4*$C$5+V101</f>
        <v>36801916594.904701</v>
      </c>
      <c r="W102" s="50">
        <f>INDEX($Q$5:$Q$21,MATCH(节奏总纲!BS101,$N$5:$N$21,1))*(W$2+$K$2)*节奏总纲!Y101*4*$C$5+W101</f>
        <v>74694817427.007675</v>
      </c>
      <c r="X102" s="50">
        <f>INDEX($Q$5:$Q$21,MATCH(节奏总纲!BT101,$N$5:$N$21,1))*(X$2+$K$2)*节奏总纲!Z101*4*$C$5+X101</f>
        <v>108441654941.91487</v>
      </c>
      <c r="Y102" s="50">
        <f>INDEX($Q$5:$Q$21,MATCH(节奏总纲!BU101,$N$5:$N$21,1))*(Y$2+$K$2)*节奏总纲!AA101*4*$C$5+Y101</f>
        <v>59953035959.035919</v>
      </c>
      <c r="Z102" s="51">
        <f>SUMIFS($K$5:$K$1004,$J$5:$J$1004,"&lt;="&amp;U$2)*节奏总纲!W101*4+Z101</f>
        <v>356177.51072609244</v>
      </c>
      <c r="AA102" s="51">
        <f>SUMIFS($K$5:$K$1004,$J$5:$J$1004,"&lt;="&amp;V$2)*节奏总纲!X101*4+AA101</f>
        <v>2737259.787681092</v>
      </c>
      <c r="AB102" s="51">
        <f>SUMIFS($K$5:$K$1004,$J$5:$J$1004,"&lt;="&amp;W$2)*节奏总纲!Y101*4+AB101</f>
        <v>6620200.156363734</v>
      </c>
      <c r="AC102" s="51">
        <f>SUMIFS($K$5:$K$1004,$J$5:$J$1004,"&lt;="&amp;X$2)*节奏总纲!Z101*4+AC101</f>
        <v>10075941.218681501</v>
      </c>
      <c r="AD102" s="51">
        <f>SUMIFS($K$5:$K$1004,$J$5:$J$1004,"&lt;="&amp;Y$2)*节奏总纲!AA101*4+AD101</f>
        <v>5489692.7373191165</v>
      </c>
      <c r="AH102" s="35">
        <v>98</v>
      </c>
      <c r="AI102" s="47">
        <f>'[1]资源-木石铜粮'!AE103-U102</f>
        <v>-5634165175.2401962</v>
      </c>
      <c r="AJ102" s="47">
        <f>'[1]资源-木石铜粮'!AF103-V102</f>
        <v>-14944671501.714203</v>
      </c>
      <c r="AK102" s="47">
        <f>'[1]资源-木石铜粮'!AG103-W102</f>
        <v>-38817906707.781776</v>
      </c>
      <c r="AL102" s="47">
        <f>'[1]资源-木石铜粮'!AH103-X102</f>
        <v>-65766159119.18457</v>
      </c>
      <c r="AM102" s="47">
        <f>'[1]资源-木石铜粮'!AI103-Y102</f>
        <v>-13736851209.684769</v>
      </c>
      <c r="AN102" s="47">
        <f>(AI102-AI101)*IF($AH102&lt;=10,'[1]功能-付费相关'!S113,'[1]功能-付费相关'!S103)</f>
        <v>-16899.802288669183</v>
      </c>
      <c r="AO102" s="47">
        <f>(AJ102-AJ101)*IF($AH102&lt;=10,'[1]功能-付费相关'!T113,'[1]功能-付费相关'!T103)</f>
        <v>-23751.346920013242</v>
      </c>
      <c r="AP102" s="47">
        <f>(AK102-AK101)*IF($AH102&lt;=10,'[1]功能-付费相关'!U113,'[1]功能-付费相关'!U103)</f>
        <v>-41093.385563851458</v>
      </c>
      <c r="AQ102" s="47">
        <f>(AL102-AL101)*IF($AH102&lt;=10,'[1]功能-付费相关'!V113,'[1]功能-付费相关'!V103)</f>
        <v>-58824.555079236678</v>
      </c>
      <c r="AR102" s="47">
        <f>(AM102-AM101)*IF($AH102&lt;=10,'[1]功能-付费相关'!W113,'[1]功能-付费相关'!W103)</f>
        <v>-14152.044374607218</v>
      </c>
      <c r="AS102" s="48">
        <f>SUM(AN$5:AN102)/'[1]资源-钻石'!L101</f>
        <v>-3.6250122658908021E-2</v>
      </c>
      <c r="AT102" s="48">
        <f>SUM(AO$5:AO102)/'[1]资源-钻石'!M101</f>
        <v>-7.7163798250952376E-2</v>
      </c>
      <c r="AU102" s="48">
        <f>SUM(AP$5:AP102)/'[1]资源-钻石'!N101</f>
        <v>-0.12854954547466857</v>
      </c>
      <c r="AV102" s="48">
        <f>SUM(AQ$5:AQ102)/'[1]资源-钻石'!O101</f>
        <v>-9.965767846449354E-2</v>
      </c>
      <c r="AW102" s="48">
        <f>SUM(AR$5:AR102)/'[1]资源-钻石'!P101</f>
        <v>-1.6696747052246358E-2</v>
      </c>
      <c r="AX102" s="35">
        <f>('[1]资源-木石铜粮'!C103+U102)/'[1]资源-木石铜粮'!U103</f>
        <v>1.0756673771374068</v>
      </c>
      <c r="AY102" s="35">
        <f>('[1]资源-木石铜粮'!D103+V102)/'[1]资源-木石铜粮'!V103</f>
        <v>1.1803616494532074</v>
      </c>
      <c r="AZ102" s="35">
        <f>('[1]资源-木石铜粮'!E103+W102)/'[1]资源-木石铜粮'!W103</f>
        <v>1.4380451061091126</v>
      </c>
      <c r="BA102" s="35">
        <f>('[1]资源-木石铜粮'!F103+X102)/'[1]资源-木石铜粮'!X103</f>
        <v>1.7853358672681081</v>
      </c>
      <c r="BB102" s="35">
        <f>('[1]资源-木石铜粮'!G103+Y102)/'[1]资源-木石铜粮'!Y103</f>
        <v>1.1907109637303579</v>
      </c>
      <c r="BE102" s="39">
        <f t="shared" si="31"/>
        <v>2.9551274531093912E-5</v>
      </c>
      <c r="BF102" s="39">
        <f t="shared" si="32"/>
        <v>7.4378185729057146E-5</v>
      </c>
      <c r="BG102" s="39">
        <f t="shared" si="33"/>
        <v>8.8629979755061892E-5</v>
      </c>
      <c r="BH102" s="39">
        <f t="shared" si="34"/>
        <v>9.2915782446132219E-5</v>
      </c>
      <c r="BI102" s="39">
        <f t="shared" si="35"/>
        <v>9.1566551209684461E-5</v>
      </c>
      <c r="BK102" s="39">
        <f>BE102/求节点(节奏总纲!AM$4:AM$83,$G$5:$G$84,节奏总纲!P101)</f>
        <v>0.40262527220898953</v>
      </c>
      <c r="BL102" s="39">
        <f>BF102/求节点(节奏总纲!AN$4:AN$83,$G$5:$G$84,节奏总纲!Q101)</f>
        <v>1.0376403983562512</v>
      </c>
      <c r="BM102" s="39">
        <f>BG102/求节点(节奏总纲!AO$4:AO$83,$G$5:$G$84,节奏总纲!R101)</f>
        <v>1.2694418823575244</v>
      </c>
      <c r="BN102" s="39">
        <f>BH102/求节点(节奏总纲!AP$4:AP$83,$G$5:$G$84,节奏总纲!S101)</f>
        <v>1.3686140559538718</v>
      </c>
      <c r="BO102" s="39">
        <f>BI102/求节点(节奏总纲!AQ$4:AQ$83,$G$5:$G$84,节奏总纲!T101)</f>
        <v>1.3905292066903558</v>
      </c>
    </row>
    <row r="103" spans="9:67" x14ac:dyDescent="0.15">
      <c r="I103" s="54"/>
      <c r="J103" s="35">
        <v>99</v>
      </c>
      <c r="K103" s="55">
        <v>60</v>
      </c>
      <c r="L103" s="55">
        <f t="shared" si="30"/>
        <v>90</v>
      </c>
      <c r="M103" s="55"/>
      <c r="T103" s="35">
        <v>99</v>
      </c>
      <c r="U103" s="50">
        <f>INDEX($Q$5:$Q$21,MATCH(节奏总纲!BQ102,$N$5:$N$21,1))*(U$2+$K$2)*节奏总纲!W102*4*$C$5+U102</f>
        <v>13224810218.533264</v>
      </c>
      <c r="V103" s="50">
        <f>INDEX($Q$5:$Q$21,MATCH(节奏总纲!BR102,$N$5:$N$21,1))*(V$2+$K$2)*节奏总纲!X102*4*$C$5+V102</f>
        <v>40402351209.797485</v>
      </c>
      <c r="W103" s="50">
        <f>INDEX($Q$5:$Q$21,MATCH(节奏总纲!BS102,$N$5:$N$21,1))*(W$2+$K$2)*节奏总纲!Y102*4*$C$5+W102</f>
        <v>81804955288.724823</v>
      </c>
      <c r="X103" s="50">
        <f>INDEX($Q$5:$Q$21,MATCH(节奏总纲!BT102,$N$5:$N$21,1))*(X$2+$K$2)*节奏总纲!Z102*4*$C$5+X102</f>
        <v>118762243265.63181</v>
      </c>
      <c r="Y103" s="50">
        <f>INDEX($Q$5:$Q$21,MATCH(节奏总纲!BU102,$N$5:$N$21,1))*(Y$2+$K$2)*节奏总纲!AA102*4*$C$5+Y102</f>
        <v>66437090387.35701</v>
      </c>
      <c r="Z103" s="51">
        <f>SUMIFS($K$5:$K$1004,$J$5:$J$1004,"&lt;="&amp;U$2)*节奏总纲!W102*4+Z102</f>
        <v>381770.31333347631</v>
      </c>
      <c r="AA103" s="51">
        <f>SUMIFS($K$5:$K$1004,$J$5:$J$1004,"&lt;="&amp;V$2)*节奏总纲!X102*4+AA102</f>
        <v>2939440.5275111003</v>
      </c>
      <c r="AB103" s="51">
        <f>SUMIFS($K$5:$K$1004,$J$5:$J$1004,"&lt;="&amp;W$2)*节奏总纲!Y102*4+AB102</f>
        <v>7113411.7172486633</v>
      </c>
      <c r="AC103" s="51">
        <f>SUMIFS($K$5:$K$1004,$J$5:$J$1004,"&lt;="&amp;X$2)*节奏总纲!Z102*4+AC102</f>
        <v>10839108.20507006</v>
      </c>
      <c r="AD103" s="51">
        <f>SUMIFS($K$5:$K$1004,$J$5:$J$1004,"&lt;="&amp;Y$2)*节奏总纲!AA102*4+AD102</f>
        <v>5873269.0314161982</v>
      </c>
      <c r="AH103" s="35">
        <v>99</v>
      </c>
      <c r="AI103" s="47">
        <f>'[1]资源-木石铜粮'!AE104-U103</f>
        <v>-7794507332.4818115</v>
      </c>
      <c r="AJ103" s="47">
        <f>'[1]资源-木石铜粮'!AF104-V103</f>
        <v>-17840517821.343239</v>
      </c>
      <c r="AK103" s="47">
        <f>'[1]资源-木石铜粮'!AG104-W103</f>
        <v>-43422465914.850227</v>
      </c>
      <c r="AL103" s="47">
        <f>'[1]资源-木石铜粮'!AH104-X103</f>
        <v>-72445288505.947174</v>
      </c>
      <c r="AM103" s="47">
        <f>'[1]资源-木石铜粮'!AI104-Y103</f>
        <v>-16436456347.929573</v>
      </c>
      <c r="AN103" s="47">
        <f>(AI103-AI102)*IF($AH103&lt;=10,'[1]功能-付费相关'!S114,'[1]功能-付费相关'!S104)</f>
        <v>-19256.207225089471</v>
      </c>
      <c r="AO103" s="47">
        <f>(AJ103-AJ102)*IF($AH103&lt;=10,'[1]功能-付费相关'!T114,'[1]功能-付费相关'!T104)</f>
        <v>-25004.605858622588</v>
      </c>
      <c r="AP103" s="47">
        <f>(AK103-AK102)*IF($AH103&lt;=10,'[1]功能-付费相关'!U114,'[1]功能-付费相关'!U104)</f>
        <v>-38007.863316772506</v>
      </c>
      <c r="AQ103" s="47">
        <f>(AL103-AL102)*IF($AH103&lt;=10,'[1]功能-付费相关'!V114,'[1]功能-付费相关'!V104)</f>
        <v>-54405.367827921444</v>
      </c>
      <c r="AR103" s="47">
        <f>(AM103-AM102)*IF($AH103&lt;=10,'[1]功能-付费相关'!W114,'[1]功能-付费相关'!W104)</f>
        <v>-21678.35170838195</v>
      </c>
      <c r="AS103" s="48">
        <f>SUM(AN$5:AN103)/'[1]资源-钻石'!L102</f>
        <v>-3.9425225305625797E-2</v>
      </c>
      <c r="AT103" s="48">
        <f>SUM(AO$5:AO103)/'[1]资源-钻石'!M102</f>
        <v>-7.7602253833571846E-2</v>
      </c>
      <c r="AU103" s="48">
        <f>SUM(AP$5:AP103)/'[1]资源-钻石'!N102</f>
        <v>-0.1253048918140427</v>
      </c>
      <c r="AV103" s="48">
        <f>SUM(AQ$5:AQ103)/'[1]资源-钻石'!O102</f>
        <v>-9.6372390347533698E-2</v>
      </c>
      <c r="AW103" s="48">
        <f>SUM(AR$5:AR103)/'[1]资源-钻石'!P102</f>
        <v>-1.6669601558828729E-2</v>
      </c>
      <c r="AX103" s="35">
        <f>('[1]资源-木石铜粮'!C104+U103)/'[1]资源-木石铜粮'!U104</f>
        <v>1.0953536513693181</v>
      </c>
      <c r="AY103" s="35">
        <f>('[1]资源-木石铜粮'!D104+V103)/'[1]资源-木石铜粮'!V104</f>
        <v>1.1956247374921103</v>
      </c>
      <c r="AZ103" s="35">
        <f>('[1]资源-木石铜粮'!E104+W103)/'[1]资源-木石铜粮'!W104</f>
        <v>1.4440078609712437</v>
      </c>
      <c r="BA103" s="35">
        <f>('[1]资源-木石铜粮'!F104+X103)/'[1]资源-木石铜粮'!X104</f>
        <v>1.7823448358155363</v>
      </c>
      <c r="BB103" s="35">
        <f>('[1]资源-木石铜粮'!G104+Y103)/'[1]资源-木石铜粮'!Y104</f>
        <v>1.2083745606383154</v>
      </c>
      <c r="BE103" s="39">
        <f t="shared" si="31"/>
        <v>2.8867734736825407E-5</v>
      </c>
      <c r="BF103" s="39">
        <f t="shared" si="32"/>
        <v>7.2754194731080207E-5</v>
      </c>
      <c r="BG103" s="39">
        <f t="shared" si="33"/>
        <v>8.6955755823621907E-5</v>
      </c>
      <c r="BH103" s="39">
        <f t="shared" si="34"/>
        <v>9.1267290908496598E-5</v>
      </c>
      <c r="BI103" s="39">
        <f t="shared" si="35"/>
        <v>8.8403465551734669E-5</v>
      </c>
      <c r="BK103" s="39">
        <f>BE103/求节点(节奏总纲!AM$4:AM$83,$G$5:$G$84,节奏总纲!P102)</f>
        <v>0.40331691203745756</v>
      </c>
      <c r="BL103" s="39">
        <f>BF103/求节点(节奏总纲!AN$4:AN$83,$G$5:$G$84,节奏总纲!Q102)</f>
        <v>1.0416650377540693</v>
      </c>
      <c r="BM103" s="39">
        <f>BG103/求节点(节奏总纲!AO$4:AO$83,$G$5:$G$84,节奏总纲!R102)</f>
        <v>1.2780840979424062</v>
      </c>
      <c r="BN103" s="39">
        <f>BH103/求节点(节奏总纲!AP$4:AP$83,$G$5:$G$84,节奏总纲!S102)</f>
        <v>1.3793488649938597</v>
      </c>
      <c r="BO103" s="39">
        <f>BI103/求节点(节奏总纲!AQ$4:AQ$83,$G$5:$G$84,节奏总纲!T102)</f>
        <v>1.3738265580608873</v>
      </c>
    </row>
    <row r="104" spans="9:67" x14ac:dyDescent="0.15">
      <c r="I104" s="54"/>
      <c r="J104" s="35">
        <v>100</v>
      </c>
      <c r="K104" s="55">
        <v>60</v>
      </c>
      <c r="L104" s="55">
        <f t="shared" si="30"/>
        <v>90</v>
      </c>
      <c r="M104" s="55"/>
      <c r="T104" s="35">
        <v>100</v>
      </c>
      <c r="U104" s="50">
        <f>INDEX($Q$5:$Q$21,MATCH(节奏总纲!BQ103,$N$5:$N$21,1))*(U$2+$K$2)*节奏总纲!W103*4*$C$5+U103</f>
        <v>14480870430.366716</v>
      </c>
      <c r="V104" s="50">
        <f>INDEX($Q$5:$Q$21,MATCH(节奏总纲!BR103,$N$5:$N$21,1))*(V$2+$K$2)*节奏总纲!X103*4*$C$5+V103</f>
        <v>44176426159.559799</v>
      </c>
      <c r="W104" s="50">
        <f>INDEX($Q$5:$Q$21,MATCH(节奏总纲!BS103,$N$5:$N$21,1))*(W$2+$K$2)*节奏总纲!Y103*4*$C$5+W103</f>
        <v>89284307696.388062</v>
      </c>
      <c r="X104" s="50">
        <f>INDEX($Q$5:$Q$21,MATCH(节奏总纲!BT103,$N$5:$N$21,1))*(X$2+$K$2)*节奏总纲!Z103*4*$C$5+X103</f>
        <v>131414262432.01067</v>
      </c>
      <c r="Y104" s="50">
        <f>INDEX($Q$5:$Q$21,MATCH(节奏总纲!BU103,$N$5:$N$21,1))*(Y$2+$K$2)*节奏总纲!AA103*4*$C$5+Y103</f>
        <v>73057874767.406769</v>
      </c>
      <c r="Z104" s="51">
        <f>SUMIFS($K$5:$K$1004,$J$5:$J$1004,"&lt;="&amp;U$2)*节奏总纲!W103*4+Z103</f>
        <v>409200</v>
      </c>
      <c r="AA104" s="51">
        <f>SUMIFS($K$5:$K$1004,$J$5:$J$1004,"&lt;="&amp;V$2)*节奏总纲!X103*4+AA103</f>
        <v>3151371.9599999995</v>
      </c>
      <c r="AB104" s="51">
        <f>SUMIFS($K$5:$K$1004,$J$5:$J$1004,"&lt;="&amp;W$2)*节奏总纲!Y103*4+AB103</f>
        <v>7632234.7199999979</v>
      </c>
      <c r="AC104" s="51">
        <f>SUMIFS($K$5:$K$1004,$J$5:$J$1004,"&lt;="&amp;X$2)*节奏总纲!Z103*4+AC103</f>
        <v>11587561.92</v>
      </c>
      <c r="AD104" s="51">
        <f>SUMIFS($K$5:$K$1004,$J$5:$J$1004,"&lt;="&amp;Y$2)*节奏总纲!AA103*4+AD103</f>
        <v>6264933.8399999999</v>
      </c>
      <c r="AH104" s="35">
        <v>100</v>
      </c>
      <c r="AI104" s="47">
        <f>'[1]资源-木石铜粮'!AE105-U104</f>
        <v>-10362081694.460649</v>
      </c>
      <c r="AJ104" s="47">
        <f>'[1]资源-木石铜粮'!AF105-V104</f>
        <v>-20770606242.786072</v>
      </c>
      <c r="AK104" s="47">
        <f>'[1]资源-木石铜粮'!AG105-W104</f>
        <v>-48054790812.909859</v>
      </c>
      <c r="AL104" s="47">
        <f>'[1]资源-木石铜粮'!AH105-X104</f>
        <v>-81377647459.55188</v>
      </c>
      <c r="AM104" s="47">
        <f>'[1]资源-木石铜粮'!AI105-Y104</f>
        <v>-19139869911.650208</v>
      </c>
      <c r="AN104" s="47">
        <f>(AI104-AI103)*IF($AH104&lt;=10,'[1]功能-付费相关'!S115,'[1]功能-付费相关'!S105)</f>
        <v>-21319.574370043661</v>
      </c>
      <c r="AO104" s="47">
        <f>(AJ104-AJ103)*IF($AH104&lt;=10,'[1]功能-付费相关'!T115,'[1]功能-付费相关'!T105)</f>
        <v>-23553.360080770766</v>
      </c>
      <c r="AP104" s="47">
        <f>(AK104-AK103)*IF($AH104&lt;=10,'[1]功能-付费相关'!U115,'[1]功能-付费相关'!U105)</f>
        <v>-35601.090537857184</v>
      </c>
      <c r="AQ104" s="47">
        <f>(AL104-AL103)*IF($AH104&lt;=10,'[1]功能-付费相关'!V115,'[1]功能-付费相关'!V105)</f>
        <v>-67908.609522976432</v>
      </c>
      <c r="AR104" s="47">
        <f>(AM104-AM103)*IF($AH104&lt;=10,'[1]功能-付费相关'!W115,'[1]功能-付费相关'!W105)</f>
        <v>-20261.671828522649</v>
      </c>
      <c r="AS104" s="48">
        <f>SUM(AN$5:AN104)/'[1]资源-钻石'!L103</f>
        <v>-4.2625457341381963E-2</v>
      </c>
      <c r="AT104" s="48">
        <f>SUM(AO$5:AO104)/'[1]资源-钻石'!M103</f>
        <v>-7.7501258099836698E-2</v>
      </c>
      <c r="AU104" s="48">
        <f>SUM(AP$5:AP104)/'[1]资源-钻石'!N103</f>
        <v>-0.12176597056087193</v>
      </c>
      <c r="AV104" s="48">
        <f>SUM(AQ$5:AQ104)/'[1]资源-钻石'!O103</f>
        <v>-9.4432881888214013E-2</v>
      </c>
      <c r="AW104" s="48">
        <f>SUM(AR$5:AR104)/'[1]资源-钻石'!P103</f>
        <v>-1.6560931672972089E-2</v>
      </c>
      <c r="AX104" s="35">
        <f>('[1]资源-木石铜粮'!C105+U104)/'[1]资源-木石铜粮'!U105</f>
        <v>1.1155294833339136</v>
      </c>
      <c r="AY104" s="35">
        <f>('[1]资源-木石铜粮'!D105+V104)/'[1]资源-木石铜粮'!V105</f>
        <v>1.2068548657187894</v>
      </c>
      <c r="AZ104" s="35">
        <f>('[1]资源-木石铜粮'!E105+W104)/'[1]资源-木石铜粮'!W105</f>
        <v>1.44500006186337</v>
      </c>
      <c r="BA104" s="35">
        <f>('[1]资源-木石铜粮'!F105+X104)/'[1]资源-木石铜粮'!X105</f>
        <v>1.8004195009710693</v>
      </c>
      <c r="BB104" s="35">
        <f>('[1]资源-木石铜粮'!G105+Y104)/'[1]资源-木石铜粮'!Y105</f>
        <v>1.2223770486352961</v>
      </c>
      <c r="BE104" s="39">
        <f t="shared" si="31"/>
        <v>2.8257969848407609E-5</v>
      </c>
      <c r="BF104" s="39">
        <f t="shared" si="32"/>
        <v>7.1336054859160247E-5</v>
      </c>
      <c r="BG104" s="39">
        <f t="shared" si="33"/>
        <v>8.5482375536286481E-5</v>
      </c>
      <c r="BH104" s="39">
        <f t="shared" si="34"/>
        <v>8.8175831949709538E-5</v>
      </c>
      <c r="BI104" s="39">
        <f t="shared" si="35"/>
        <v>8.5753026076183751E-5</v>
      </c>
      <c r="BK104" s="39">
        <f>BE104/求节点(节奏总纲!AM$4:AM$83,$G$5:$G$84,节奏总纲!P103)</f>
        <v>0.40494413402499746</v>
      </c>
      <c r="BL104" s="39">
        <f>BF104/求节点(节奏总纲!AN$4:AN$83,$G$5:$G$84,节奏总纲!Q103)</f>
        <v>1.047387406401135</v>
      </c>
      <c r="BM104" s="39">
        <f>BG104/求节点(节奏总纲!AO$4:AO$83,$G$5:$G$84,节奏总纲!R103)</f>
        <v>1.2876372758609134</v>
      </c>
      <c r="BN104" s="39">
        <f>BH104/求节点(节奏总纲!AP$4:AP$83,$G$5:$G$84,节奏总纲!S103)</f>
        <v>1.3641037891363248</v>
      </c>
      <c r="BO104" s="39">
        <f>BI104/求节点(节奏总纲!AQ$4:AQ$83,$G$5:$G$84,节奏总纲!T103)</f>
        <v>1.3630918446480984</v>
      </c>
    </row>
    <row r="105" spans="9:67" x14ac:dyDescent="0.15">
      <c r="I105" s="54"/>
      <c r="J105" s="39">
        <v>101</v>
      </c>
      <c r="K105" s="55">
        <v>60</v>
      </c>
      <c r="L105" s="55">
        <f t="shared" si="30"/>
        <v>90</v>
      </c>
      <c r="M105" s="55"/>
      <c r="T105" s="35">
        <v>101</v>
      </c>
      <c r="U105" s="50">
        <f>INDEX($Q$5:$Q$21,MATCH(节奏总纲!BQ104,$N$5:$N$21,1))*(U$2+$K$2)*节奏总纲!W104*4*$C$5+U104</f>
        <v>15827082432.757507</v>
      </c>
      <c r="V105" s="50">
        <f>INDEX($Q$5:$Q$21,MATCH(节奏总纲!BR104,$N$5:$N$21,1))*(V$2+$K$2)*节奏总纲!X104*4*$C$5+V104</f>
        <v>48264499831.646797</v>
      </c>
      <c r="W105" s="50">
        <f>INDEX($Q$5:$Q$21,MATCH(节奏总纲!BS104,$N$5:$N$21,1))*(W$2+$K$2)*节奏总纲!Y104*4*$C$5+W104</f>
        <v>98930432003.357941</v>
      </c>
      <c r="X105" s="50">
        <f>INDEX($Q$5:$Q$21,MATCH(节奏总纲!BT104,$N$5:$N$21,1))*(X$2+$K$2)*节奏总纲!Z104*4*$C$5+X104</f>
        <v>144430371818.46039</v>
      </c>
      <c r="Y105" s="50">
        <f>INDEX($Q$5:$Q$21,MATCH(节奏总纲!BU104,$N$5:$N$21,1))*(Y$2+$K$2)*节奏总纲!AA104*4*$C$5+Y104</f>
        <v>80243777431.868713</v>
      </c>
      <c r="Z105" s="51">
        <f>SUMIFS($K$5:$K$1004,$J$5:$J$1004,"&lt;="&amp;U$2)*节奏总纲!W104*4+Z104</f>
        <v>438598.4102548653</v>
      </c>
      <c r="AA105" s="51">
        <f>SUMIFS($K$5:$K$1004,$J$5:$J$1004,"&lt;="&amp;V$2)*节奏总纲!X104*4+AA104</f>
        <v>3380935.8454496288</v>
      </c>
      <c r="AB105" s="51">
        <f>SUMIFS($K$5:$K$1004,$J$5:$J$1004,"&lt;="&amp;W$2)*节奏总纲!Y104*4+AB104</f>
        <v>8167535.7359250747</v>
      </c>
      <c r="AC105" s="51">
        <f>SUMIFS($K$5:$K$1004,$J$5:$J$1004,"&lt;="&amp;X$2)*节奏总纲!Z104*4+AC104</f>
        <v>12357554.068771856</v>
      </c>
      <c r="AD105" s="51">
        <f>SUMIFS($K$5:$K$1004,$J$5:$J$1004,"&lt;="&amp;Y$2)*节奏总纲!AA104*4+AD104</f>
        <v>6690029.2712995112</v>
      </c>
      <c r="AH105" s="35">
        <v>101</v>
      </c>
      <c r="AI105" s="47">
        <f>'[1]资源-木石铜粮'!AE106-U105</f>
        <v>-13040763893.503418</v>
      </c>
      <c r="AJ105" s="47">
        <f>'[1]资源-木石铜粮'!AF106-V105</f>
        <v>-24250225757.627968</v>
      </c>
      <c r="AK105" s="47">
        <f>'[1]资源-木石铜粮'!AG106-W105</f>
        <v>-56463848296.008041</v>
      </c>
      <c r="AL105" s="47">
        <f>'[1]资源-木石铜粮'!AH106-X105</f>
        <v>-91984415463.386169</v>
      </c>
      <c r="AM105" s="47">
        <f>'[1]资源-木石铜粮'!AI106-Y105</f>
        <v>-23315336450.069878</v>
      </c>
      <c r="AN105" s="47">
        <f>(AI105-AI104)*IF($AH105&lt;=10,'[1]功能-付费相关'!S116,'[1]功能-付费相关'!S106)</f>
        <v>-22196.756285704716</v>
      </c>
      <c r="AO105" s="47">
        <f>(AJ105-AJ104)*IF($AH105&lt;=10,'[1]功能-付费相关'!T116,'[1]功能-付费相关'!T106)</f>
        <v>-27893.453269813646</v>
      </c>
      <c r="AP105" s="47">
        <f>(AK105-AK104)*IF($AH105&lt;=10,'[1]功能-付费相关'!U116,'[1]功能-付费相关'!U106)</f>
        <v>-64626.645017758441</v>
      </c>
      <c r="AQ105" s="47">
        <f>(AL105-AL104)*IF($AH105&lt;=10,'[1]功能-付费相关'!V116,'[1]功能-付费相关'!V106)</f>
        <v>-80638.370044735537</v>
      </c>
      <c r="AR105" s="47">
        <f>(AM105-AM104)*IF($AH105&lt;=10,'[1]功能-付费相关'!W116,'[1]功能-付费相关'!W106)</f>
        <v>-31294.484080342289</v>
      </c>
      <c r="AS105" s="48">
        <f>SUM(AN$5:AN105)/'[1]资源-钻石'!L104</f>
        <v>-4.5513829647924706E-2</v>
      </c>
      <c r="AT105" s="48">
        <f>SUM(AO$5:AO105)/'[1]资源-钻石'!M104</f>
        <v>-7.7831682852665438E-2</v>
      </c>
      <c r="AU105" s="48">
        <f>SUM(AP$5:AP105)/'[1]资源-钻石'!N104</f>
        <v>-0.1220303204513328</v>
      </c>
      <c r="AV105" s="48">
        <f>SUM(AQ$5:AQ105)/'[1]资源-钻石'!O104</f>
        <v>-9.3284532459550512E-2</v>
      </c>
      <c r="AW105" s="48">
        <f>SUM(AR$5:AR105)/'[1]资源-钻石'!P104</f>
        <v>-1.6849621529838349E-2</v>
      </c>
      <c r="AX105" s="35">
        <f>('[1]资源-木石铜粮'!C106+U105)/'[1]资源-木石铜粮'!U106</f>
        <v>1.1332535834662432</v>
      </c>
      <c r="AY105" s="35">
        <f>('[1]资源-木石铜粮'!D106+V105)/'[1]资源-木石铜粮'!V106</f>
        <v>1.2209564586216002</v>
      </c>
      <c r="AZ105" s="35">
        <f>('[1]资源-木石铜粮'!E106+W105)/'[1]资源-木石铜粮'!W106</f>
        <v>1.4841262400931019</v>
      </c>
      <c r="BA105" s="35">
        <f>('[1]资源-木石铜粮'!F106+X105)/'[1]资源-木石铜粮'!X106</f>
        <v>1.8402154499485037</v>
      </c>
      <c r="BB105" s="35">
        <f>('[1]资源-木石铜粮'!G106+Y105)/'[1]资源-木石铜粮'!Y106</f>
        <v>1.2518722815590406</v>
      </c>
      <c r="BE105" s="39">
        <f t="shared" si="31"/>
        <v>2.7711892707849475E-5</v>
      </c>
      <c r="BF105" s="39">
        <f t="shared" si="32"/>
        <v>7.0050158133675827E-5</v>
      </c>
      <c r="BG105" s="39">
        <f t="shared" si="33"/>
        <v>8.25583753202235E-5</v>
      </c>
      <c r="BH105" s="39">
        <f t="shared" si="34"/>
        <v>8.5560633218506845E-5</v>
      </c>
      <c r="BI105" s="39">
        <f t="shared" si="35"/>
        <v>8.3371315326969829E-5</v>
      </c>
      <c r="BK105" s="39">
        <f>BE105/求节点(节奏总纲!AM$4:AM$83,$G$5:$G$84,节奏总纲!P104)</f>
        <v>0.40715767420249716</v>
      </c>
      <c r="BL105" s="39">
        <f>BF105/求节点(节奏总纲!AN$4:AN$83,$G$5:$G$84,节奏总纲!Q104)</f>
        <v>1.0539108951454192</v>
      </c>
      <c r="BM105" s="39">
        <f>BG105/求节点(节奏总纲!AO$4:AO$83,$G$5:$G$84,节奏总纲!R104)</f>
        <v>1.2738542033663951</v>
      </c>
      <c r="BN105" s="39">
        <f>BH105/求节点(节奏总纲!AP$4:AP$83,$G$5:$G$84,节奏总纲!S104)</f>
        <v>1.3532309380389078</v>
      </c>
      <c r="BO105" s="39">
        <f>BI105/求节点(节奏总纲!AQ$4:AQ$83,$G$5:$G$84,节奏总纲!T104)</f>
        <v>1.3560662408944308</v>
      </c>
    </row>
    <row r="106" spans="9:67" x14ac:dyDescent="0.15">
      <c r="I106" s="54"/>
      <c r="J106" s="39">
        <v>102</v>
      </c>
      <c r="K106" s="55">
        <v>60</v>
      </c>
      <c r="L106" s="55">
        <f t="shared" si="30"/>
        <v>90</v>
      </c>
      <c r="M106" s="55"/>
      <c r="T106" s="35">
        <v>102</v>
      </c>
      <c r="U106" s="50">
        <f>INDEX($Q$5:$Q$21,MATCH(节奏总纲!BQ105,$N$5:$N$21,1))*(U$2+$K$2)*节奏总纲!W105*4*$C$5+U105</f>
        <v>17269916731.867821</v>
      </c>
      <c r="V106" s="50">
        <f>INDEX($Q$5:$Q$21,MATCH(节奏总纲!BR105,$N$5:$N$21,1))*(V$2+$K$2)*节奏总纲!X105*4*$C$5+V105</f>
        <v>53482708070.706085</v>
      </c>
      <c r="W106" s="50">
        <f>INDEX($Q$5:$Q$21,MATCH(节奏总纲!BS105,$N$5:$N$21,1))*(W$2+$K$2)*节奏总纲!Y105*4*$C$5+W105</f>
        <v>108657326520.05426</v>
      </c>
      <c r="X106" s="50">
        <f>INDEX($Q$5:$Q$21,MATCH(节奏总纲!BT105,$N$5:$N$21,1))*(X$2+$K$2)*节奏总纲!Z105*4*$C$5+X105</f>
        <v>158304724191.78204</v>
      </c>
      <c r="Y106" s="50">
        <f>INDEX($Q$5:$Q$21,MATCH(节奏总纲!BU105,$N$5:$N$21,1))*(Y$2+$K$2)*节奏总纲!AA105*4*$C$5+Y105</f>
        <v>88005643261.108826</v>
      </c>
      <c r="Z106" s="51">
        <f>SUMIFS($K$5:$K$1004,$J$5:$J$1004,"&lt;="&amp;U$2)*节奏总纲!W105*4+Z105</f>
        <v>470106.84620678512</v>
      </c>
      <c r="AA106" s="51">
        <f>SUMIFS($K$5:$K$1004,$J$5:$J$1004,"&lt;="&amp;V$2)*节奏总纲!X105*4+AA105</f>
        <v>3615356.7007532804</v>
      </c>
      <c r="AB106" s="51">
        <f>SUMIFS($K$5:$K$1004,$J$5:$J$1004,"&lt;="&amp;W$2)*节奏总纲!Y105*4+AB105</f>
        <v>8707319.0054420736</v>
      </c>
      <c r="AC106" s="51">
        <f>SUMIFS($K$5:$K$1004,$J$5:$J$1004,"&lt;="&amp;X$2)*节奏总纲!Z105*4+AC105</f>
        <v>13178317.176976325</v>
      </c>
      <c r="AD106" s="51">
        <f>SUMIFS($K$5:$K$1004,$J$5:$J$1004,"&lt;="&amp;Y$2)*节奏总纲!AA105*4+AD105</f>
        <v>7149196.874374304</v>
      </c>
      <c r="AH106" s="35">
        <v>102</v>
      </c>
      <c r="AI106" s="47">
        <f>'[1]资源-木石铜粮'!AE107-U106</f>
        <v>-15012290081.408836</v>
      </c>
      <c r="AJ106" s="47">
        <f>'[1]资源-木石铜粮'!AF107-V106</f>
        <v>-27653863023.216354</v>
      </c>
      <c r="AK106" s="47">
        <f>'[1]资源-木石铜粮'!AG107-W106</f>
        <v>-62619279959.069519</v>
      </c>
      <c r="AL106" s="47">
        <f>'[1]资源-木石铜粮'!AH107-X106</f>
        <v>-101483988347.24051</v>
      </c>
      <c r="AM106" s="47">
        <f>'[1]资源-木石铜粮'!AI107-Y106</f>
        <v>-26758822449.42411</v>
      </c>
      <c r="AN106" s="47">
        <f>(AI106-AI105)*IF($AH106&lt;=10,'[1]功能-付费相关'!S117,'[1]功能-付费相关'!S107)</f>
        <v>-16301.295634241114</v>
      </c>
      <c r="AO106" s="47">
        <f>(AJ106-AJ105)*IF($AH106&lt;=10,'[1]功能-付费相关'!T117,'[1]功能-付费相关'!T107)</f>
        <v>-27207.450964452557</v>
      </c>
      <c r="AP106" s="47">
        <f>(AK106-AK105)*IF($AH106&lt;=10,'[1]功能-付费相关'!U117,'[1]功能-付费相关'!U107)</f>
        <v>-47306.716337629288</v>
      </c>
      <c r="AQ106" s="47">
        <f>(AL106-AL105)*IF($AH106&lt;=10,'[1]功能-付费相关'!V117,'[1]功能-付费相关'!V107)</f>
        <v>-72220.875689773355</v>
      </c>
      <c r="AR106" s="47">
        <f>(AM106-AM105)*IF($AH106&lt;=10,'[1]功能-付费相关'!W117,'[1]功能-付费相关'!W107)</f>
        <v>-25808.40171897495</v>
      </c>
      <c r="AS106" s="48">
        <f>SUM(AN$5:AN106)/'[1]资源-钻石'!L105</f>
        <v>-4.6558153623063536E-2</v>
      </c>
      <c r="AT106" s="48">
        <f>SUM(AO$5:AO106)/'[1]资源-钻石'!M105</f>
        <v>-7.7914654398528349E-2</v>
      </c>
      <c r="AU106" s="48">
        <f>SUM(AP$5:AP106)/'[1]资源-钻石'!N105</f>
        <v>-0.12033171099059903</v>
      </c>
      <c r="AV106" s="48">
        <f>SUM(AQ$5:AQ106)/'[1]资源-钻石'!O105</f>
        <v>-9.1474585967030717E-2</v>
      </c>
      <c r="AW106" s="48">
        <f>SUM(AR$5:AR106)/'[1]资源-钻石'!P105</f>
        <v>-1.6807563934837979E-2</v>
      </c>
      <c r="AX106" s="35">
        <f>('[1]资源-木石铜粮'!C107+U106)/'[1]资源-木石铜粮'!U107</f>
        <v>1.1395482893612183</v>
      </c>
      <c r="AY106" s="35">
        <f>('[1]资源-木石铜粮'!D107+V106)/'[1]资源-木石铜粮'!V107</f>
        <v>1.2294465475052914</v>
      </c>
      <c r="AZ106" s="35">
        <f>('[1]资源-木石铜粮'!E107+W106)/'[1]资源-木石铜粮'!W107</f>
        <v>1.4903555501959771</v>
      </c>
      <c r="BA106" s="35">
        <f>('[1]资源-木石铜粮'!F107+X106)/'[1]资源-木石铜粮'!X107</f>
        <v>1.848426753722781</v>
      </c>
      <c r="BB106" s="35">
        <f>('[1]资源-木石铜粮'!G107+Y106)/'[1]资源-木石铜粮'!Y107</f>
        <v>1.2658096589432082</v>
      </c>
      <c r="BE106" s="39">
        <f t="shared" si="31"/>
        <v>2.7221141451093777E-5</v>
      </c>
      <c r="BF106" s="39">
        <f t="shared" si="32"/>
        <v>6.7598609553832755E-5</v>
      </c>
      <c r="BG106" s="39">
        <f t="shared" si="33"/>
        <v>8.0135590339920737E-5</v>
      </c>
      <c r="BH106" s="39">
        <f t="shared" si="34"/>
        <v>8.3246518663657428E-5</v>
      </c>
      <c r="BI106" s="39">
        <f t="shared" si="35"/>
        <v>8.1235664094437161E-5</v>
      </c>
      <c r="BK106" s="39">
        <f>BE106/求节点(节奏总纲!AM$4:AM$83,$G$5:$G$84,节奏总纲!P105)</f>
        <v>0.40971349532441598</v>
      </c>
      <c r="BL106" s="39">
        <f>BF106/求节点(节奏总纲!AN$4:AN$83,$G$5:$G$84,节奏总纲!Q105)</f>
        <v>1.0416595774309469</v>
      </c>
      <c r="BM106" s="39">
        <f>BG106/求节点(节奏总纲!AO$4:AO$83,$G$5:$G$84,节奏总纲!R105)</f>
        <v>1.2636570690430846</v>
      </c>
      <c r="BN106" s="39">
        <f>BH106/求节点(节奏总纲!AP$4:AP$83,$G$5:$G$84,节奏总纲!S105)</f>
        <v>1.347340150541755</v>
      </c>
      <c r="BO106" s="39">
        <f>BI106/求节点(节奏总纲!AQ$4:AQ$83,$G$5:$G$84,节奏总纲!T105)</f>
        <v>1.3519140349638556</v>
      </c>
    </row>
    <row r="107" spans="9:67" x14ac:dyDescent="0.15">
      <c r="I107" s="54"/>
      <c r="J107" s="39">
        <v>103</v>
      </c>
      <c r="K107" s="55">
        <v>60</v>
      </c>
      <c r="L107" s="55">
        <f t="shared" si="30"/>
        <v>90</v>
      </c>
      <c r="M107" s="55"/>
      <c r="T107" s="35">
        <v>103</v>
      </c>
      <c r="U107" s="50">
        <f>INDEX($Q$5:$Q$21,MATCH(节奏总纲!BQ106,$N$5:$N$21,1))*(U$2+$K$2)*节奏总纲!W106*4*$C$5+U106</f>
        <v>19202906122.647331</v>
      </c>
      <c r="V107" s="50">
        <f>INDEX($Q$5:$Q$21,MATCH(节奏总纲!BR106,$N$5:$N$21,1))*(V$2+$K$2)*节奏总纲!X106*4*$C$5+V106</f>
        <v>59021524086.931587</v>
      </c>
      <c r="W107" s="50">
        <f>INDEX($Q$5:$Q$21,MATCH(节奏总纲!BS106,$N$5:$N$21,1))*(W$2+$K$2)*节奏总纲!Y106*4*$C$5+W106</f>
        <v>119413759648.66188</v>
      </c>
      <c r="X107" s="50">
        <f>INDEX($Q$5:$Q$21,MATCH(节奏总纲!BT106,$N$5:$N$21,1))*(X$2+$K$2)*节奏总纲!Z106*4*$C$5+X106</f>
        <v>174113032433.13342</v>
      </c>
      <c r="Y107" s="50">
        <f>INDEX($Q$5:$Q$21,MATCH(节奏总纲!BU106,$N$5:$N$21,1))*(Y$2+$K$2)*节奏总纲!AA106*4*$C$5+Y106</f>
        <v>96589855265.950607</v>
      </c>
      <c r="Z107" s="51">
        <f>SUMIFS($K$5:$K$1004,$J$5:$J$1004,"&lt;="&amp;U$2)*节奏总纲!W106*4+Z106</f>
        <v>503876.75170607772</v>
      </c>
      <c r="AA107" s="51">
        <f>SUMIFS($K$5:$K$1004,$J$5:$J$1004,"&lt;="&amp;V$2)*节奏总纲!X106*4+AA106</f>
        <v>3864180.4211587384</v>
      </c>
      <c r="AB107" s="51">
        <f>SUMIFS($K$5:$K$1004,$J$5:$J$1004,"&lt;="&amp;W$2)*节奏总纲!Y106*4+AB106</f>
        <v>9304235.3832782358</v>
      </c>
      <c r="AC107" s="51">
        <f>SUMIFS($K$5:$K$1004,$J$5:$J$1004,"&lt;="&amp;X$2)*节奏总纲!Z106*4+AC106</f>
        <v>14113487.039936896</v>
      </c>
      <c r="AD107" s="51">
        <f>SUMIFS($K$5:$K$1004,$J$5:$J$1004,"&lt;="&amp;Y$2)*节奏总纲!AA106*4+AD106</f>
        <v>7657011.8942758981</v>
      </c>
      <c r="AH107" s="35">
        <v>103</v>
      </c>
      <c r="AI107" s="47">
        <f>'[1]资源-木石铜粮'!AE108-U107</f>
        <v>-17385261761.861015</v>
      </c>
      <c r="AJ107" s="47">
        <f>'[1]资源-木石铜粮'!AF108-V107</f>
        <v>-31132566754.689369</v>
      </c>
      <c r="AK107" s="47">
        <f>'[1]资源-木石铜粮'!AG108-W107</f>
        <v>-69304775360.946915</v>
      </c>
      <c r="AL107" s="47">
        <f>'[1]资源-木石铜粮'!AH108-X107</f>
        <v>-112504172131.83775</v>
      </c>
      <c r="AM107" s="47">
        <f>'[1]资源-木石铜粮'!AI108-Y107</f>
        <v>-30403335997.276253</v>
      </c>
      <c r="AN107" s="47">
        <f>(AI107-AI106)*IF($AH107&lt;=10,'[1]功能-付费相关'!S118,'[1]功能-付费相关'!S108)</f>
        <v>-19574.811162137485</v>
      </c>
      <c r="AO107" s="47">
        <f>(AJ107-AJ106)*IF($AH107&lt;=10,'[1]功能-付费相关'!T118,'[1]功能-付费相关'!T108)</f>
        <v>-27724.552175498105</v>
      </c>
      <c r="AP107" s="47">
        <f>(AK107-AK106)*IF($AH107&lt;=10,'[1]功能-付费相关'!U118,'[1]功能-付费相关'!U108)</f>
        <v>-51380.447686724663</v>
      </c>
      <c r="AQ107" s="47">
        <f>(AL107-AL106)*IF($AH107&lt;=10,'[1]功能-付费相关'!V118,'[1]功能-付费相关'!V108)</f>
        <v>-83781.379743773476</v>
      </c>
      <c r="AR107" s="47">
        <f>(AM107-AM106)*IF($AH107&lt;=10,'[1]功能-付费相关'!W118,'[1]功能-付费相关'!W108)</f>
        <v>-27315.072496549688</v>
      </c>
      <c r="AS107" s="48">
        <f>SUM(AN$5:AN107)/'[1]资源-钻石'!L106</f>
        <v>-4.7999714452957996E-2</v>
      </c>
      <c r="AT107" s="48">
        <f>SUM(AO$5:AO107)/'[1]资源-钻石'!M106</f>
        <v>-7.7808981707446087E-2</v>
      </c>
      <c r="AU107" s="48">
        <f>SUM(AP$5:AP107)/'[1]资源-钻石'!N106</f>
        <v>-0.11856810959003247</v>
      </c>
      <c r="AV107" s="48">
        <f>SUM(AQ$5:AQ107)/'[1]资源-钻石'!O106</f>
        <v>-8.973634918697504E-2</v>
      </c>
      <c r="AW107" s="48">
        <f>SUM(AR$5:AR107)/'[1]资源-钻石'!P106</f>
        <v>-1.6721456435575023E-2</v>
      </c>
      <c r="AX107" s="35">
        <f>('[1]资源-木石铜粮'!C108+U107)/'[1]资源-木石铜粮'!U108</f>
        <v>1.1471244777912433</v>
      </c>
      <c r="AY107" s="35">
        <f>('[1]资源-木石铜粮'!D108+V107)/'[1]资源-木石铜粮'!V108</f>
        <v>1.2355630429204998</v>
      </c>
      <c r="AZ107" s="35">
        <f>('[1]资源-木石铜粮'!E108+W107)/'[1]资源-木石铜粮'!W108</f>
        <v>1.4948012488441034</v>
      </c>
      <c r="BA107" s="35">
        <f>('[1]资源-木石铜粮'!F108+X107)/'[1]资源-木石铜粮'!X108</f>
        <v>1.858896366787981</v>
      </c>
      <c r="BB107" s="35">
        <f>('[1]资源-木石铜粮'!G108+Y107)/'[1]资源-木石铜粮'!Y108</f>
        <v>1.2769005275923322</v>
      </c>
      <c r="BE107" s="39">
        <f t="shared" si="31"/>
        <v>2.623960917622883E-5</v>
      </c>
      <c r="BF107" s="39">
        <f t="shared" si="32"/>
        <v>6.5470698714375225E-5</v>
      </c>
      <c r="BG107" s="39">
        <f t="shared" si="33"/>
        <v>7.7915940429755122E-5</v>
      </c>
      <c r="BH107" s="39">
        <f t="shared" si="34"/>
        <v>8.1059337389675616E-5</v>
      </c>
      <c r="BI107" s="39">
        <f t="shared" si="35"/>
        <v>7.9273458617295505E-5</v>
      </c>
      <c r="BK107" s="39">
        <f>BE107/求节点(节奏总纲!AM$4:AM$83,$G$5:$G$84,节奏总纲!P106)</f>
        <v>0.40479397805041517</v>
      </c>
      <c r="BL107" s="39">
        <f>BF107/求节点(节奏总纲!AN$4:AN$83,$G$5:$G$84,节奏总纲!Q106)</f>
        <v>1.0318638480304734</v>
      </c>
      <c r="BM107" s="39">
        <f>BG107/求节点(节奏总纲!AO$4:AO$83,$G$5:$G$84,节奏总纲!R106)</f>
        <v>1.2584900812969204</v>
      </c>
      <c r="BN107" s="39">
        <f>BH107/求节点(节奏总纲!AP$4:AP$83,$G$5:$G$84,节奏总纲!S106)</f>
        <v>1.3427216415162804</v>
      </c>
      <c r="BO107" s="39">
        <f>BI107/求节点(节奏总纲!AQ$4:AQ$83,$G$5:$G$84,节奏总纲!T106)</f>
        <v>1.3666883478320611</v>
      </c>
    </row>
    <row r="108" spans="9:67" x14ac:dyDescent="0.15">
      <c r="I108" s="54"/>
      <c r="J108" s="39">
        <v>104</v>
      </c>
      <c r="K108" s="55">
        <v>60</v>
      </c>
      <c r="L108" s="55">
        <f t="shared" si="30"/>
        <v>90</v>
      </c>
      <c r="M108" s="55"/>
      <c r="T108" s="35">
        <v>104</v>
      </c>
      <c r="U108" s="50">
        <f>INDEX($Q$5:$Q$21,MATCH(节奏总纲!BQ107,$N$5:$N$21,1))*(U$2+$K$2)*节奏总纲!W107*4*$C$5+U107</f>
        <v>21274632855.048977</v>
      </c>
      <c r="V108" s="50">
        <f>INDEX($Q$5:$Q$21,MATCH(节奏总纲!BR107,$N$5:$N$21,1))*(V$2+$K$2)*节奏总纲!X107*4*$C$5+V107</f>
        <v>65221777849.709671</v>
      </c>
      <c r="W108" s="50">
        <f>INDEX($Q$5:$Q$21,MATCH(节奏总纲!BS107,$N$5:$N$21,1))*(W$2+$K$2)*节奏总纲!Y107*4*$C$5+W107</f>
        <v>131851166711.12325</v>
      </c>
      <c r="X108" s="50">
        <f>INDEX($Q$5:$Q$21,MATCH(节奏总纲!BT107,$N$5:$N$21,1))*(X$2+$K$2)*节奏总纲!Z107*4*$C$5+X107</f>
        <v>191874604157.28775</v>
      </c>
      <c r="Y108" s="50">
        <f>INDEX($Q$5:$Q$21,MATCH(节奏总纲!BU107,$N$5:$N$21,1))*(Y$2+$K$2)*节奏总纲!AA107*4*$C$5+Y107</f>
        <v>106095433226.86537</v>
      </c>
      <c r="Z108" s="51">
        <f>SUMIFS($K$5:$K$1004,$J$5:$J$1004,"&lt;="&amp;U$2)*节奏总纲!W107*4+Z107</f>
        <v>540070.44025257742</v>
      </c>
      <c r="AA108" s="51">
        <f>SUMIFS($K$5:$K$1004,$J$5:$J$1004,"&lt;="&amp;V$2)*节奏总纲!X107*4+AA107</f>
        <v>4142718.3260454452</v>
      </c>
      <c r="AB108" s="51">
        <f>SUMIFS($K$5:$K$1004,$J$5:$J$1004,"&lt;="&amp;W$2)*节奏总纲!Y107*4+AB107</f>
        <v>9994435.5532261468</v>
      </c>
      <c r="AC108" s="51">
        <f>SUMIFS($K$5:$K$1004,$J$5:$J$1004,"&lt;="&amp;X$2)*节奏总纲!Z107*4+AC107</f>
        <v>15164205.835499922</v>
      </c>
      <c r="AD108" s="51">
        <f>SUMIFS($K$5:$K$1004,$J$5:$J$1004,"&lt;="&amp;Y$2)*节奏总纲!AA107*4+AD107</f>
        <v>8219332.0302039767</v>
      </c>
      <c r="AH108" s="35">
        <v>104</v>
      </c>
      <c r="AI108" s="47">
        <f>'[1]资源-木石铜粮'!AE109-U108</f>
        <v>-19835400109.343609</v>
      </c>
      <c r="AJ108" s="47">
        <f>'[1]资源-木石铜粮'!AF109-V108</f>
        <v>-34972642930.973206</v>
      </c>
      <c r="AK108" s="47">
        <f>'[1]资源-木石铜粮'!AG109-W108</f>
        <v>-77249058736.592056</v>
      </c>
      <c r="AL108" s="47">
        <f>'[1]资源-木石铜粮'!AH109-X108</f>
        <v>-124755931353.76791</v>
      </c>
      <c r="AM108" s="47">
        <f>'[1]资源-木石铜粮'!AI109-Y108</f>
        <v>-33944915944.332962</v>
      </c>
      <c r="AN108" s="47">
        <f>(AI108-AI107)*IF($AH108&lt;=10,'[1]功能-付费相关'!S119,'[1]功能-付费相关'!S109)</f>
        <v>-20160.945381141551</v>
      </c>
      <c r="AO108" s="47">
        <f>(AJ108-AJ107)*IF($AH108&lt;=10,'[1]功能-付费相关'!T119,'[1]功能-付费相关'!T109)</f>
        <v>-30502.756475953829</v>
      </c>
      <c r="AP108" s="47">
        <f>(AK108-AK107)*IF($AH108&lt;=10,'[1]功能-付费相关'!U119,'[1]功能-付费相关'!U109)</f>
        <v>-61054.688075356069</v>
      </c>
      <c r="AQ108" s="47">
        <f>(AL108-AL107)*IF($AH108&lt;=10,'[1]功能-付费相关'!V119,'[1]功能-付费相关'!V109)</f>
        <v>-93144.480343103816</v>
      </c>
      <c r="AR108" s="47">
        <f>(AM108-AM107)*IF($AH108&lt;=10,'[1]功能-付费相关'!W119,'[1]功能-付费相关'!W109)</f>
        <v>-26543.600877322158</v>
      </c>
      <c r="AS108" s="48">
        <f>SUM(AN$5:AN108)/'[1]资源-钻石'!L107</f>
        <v>-4.9202588566753525E-2</v>
      </c>
      <c r="AT108" s="48">
        <f>SUM(AO$5:AO108)/'[1]资源-钻石'!M107</f>
        <v>-7.7624715545892745E-2</v>
      </c>
      <c r="AU108" s="48">
        <f>SUM(AP$5:AP108)/'[1]资源-钻石'!N107</f>
        <v>-0.11693527777900993</v>
      </c>
      <c r="AV108" s="48">
        <f>SUM(AQ$5:AQ108)/'[1]资源-钻石'!O107</f>
        <v>-8.7986985028561129E-2</v>
      </c>
      <c r="AW108" s="48">
        <f>SUM(AR$5:AR108)/'[1]资源-钻石'!P107</f>
        <v>-1.6510828507283245E-2</v>
      </c>
      <c r="AX108" s="35">
        <f>('[1]资源-木石铜粮'!C109+U108)/'[1]资源-木石铜粮'!U109</f>
        <v>1.1529478352654547</v>
      </c>
      <c r="AY108" s="35">
        <f>('[1]资源-木石铜粮'!D109+V108)/'[1]资源-木石铜粮'!V109</f>
        <v>1.2407270338471512</v>
      </c>
      <c r="AZ108" s="35">
        <f>('[1]资源-木石铜粮'!E109+W108)/'[1]资源-木石铜粮'!W109</f>
        <v>1.5009795086826991</v>
      </c>
      <c r="BA108" s="35">
        <f>('[1]资源-木石铜粮'!F109+X108)/'[1]资源-木石铜粮'!X109</f>
        <v>1.8669982487672458</v>
      </c>
      <c r="BB108" s="35">
        <f>('[1]资源-木石铜粮'!G109+Y108)/'[1]资源-木石铜粮'!Y109</f>
        <v>1.2819048691962593</v>
      </c>
      <c r="BE108" s="39">
        <f t="shared" si="31"/>
        <v>2.5385652665888702E-5</v>
      </c>
      <c r="BF108" s="39">
        <f t="shared" si="32"/>
        <v>6.3517408795440961E-5</v>
      </c>
      <c r="BG108" s="39">
        <f t="shared" si="33"/>
        <v>7.5800888247908046E-5</v>
      </c>
      <c r="BH108" s="39">
        <f t="shared" si="34"/>
        <v>7.9031854695419619E-5</v>
      </c>
      <c r="BI108" s="39">
        <f t="shared" si="35"/>
        <v>7.7471119917371583E-5</v>
      </c>
      <c r="BK108" s="39">
        <f>BE108/求节点(节奏总纲!AM$4:AM$83,$G$5:$G$84,节奏总纲!P107)</f>
        <v>0.40098911194125286</v>
      </c>
      <c r="BL108" s="39">
        <f>BF108/求节点(节奏总纲!AN$4:AN$83,$G$5:$G$84,节奏总纲!Q107)</f>
        <v>1.0265231344916208</v>
      </c>
      <c r="BM108" s="39">
        <f>BG108/求节点(节奏总纲!AO$4:AO$83,$G$5:$G$84,节奏总纲!R107)</f>
        <v>1.2541306200219227</v>
      </c>
      <c r="BN108" s="39">
        <f>BH108/求节点(节奏总纲!AP$4:AP$83,$G$5:$G$84,节奏总纲!S107)</f>
        <v>1.3505638438957037</v>
      </c>
      <c r="BO108" s="39">
        <f>BI108/求节点(节奏总纲!AQ$4:AQ$83,$G$5:$G$84,节奏总纲!T107)</f>
        <v>1.4307180509914312</v>
      </c>
    </row>
    <row r="109" spans="9:67" x14ac:dyDescent="0.15">
      <c r="I109" s="54"/>
      <c r="J109" s="39">
        <v>105</v>
      </c>
      <c r="K109" s="55">
        <v>60</v>
      </c>
      <c r="L109" s="55">
        <f t="shared" si="30"/>
        <v>90</v>
      </c>
      <c r="M109" s="55"/>
      <c r="T109" s="35">
        <v>105</v>
      </c>
      <c r="U109" s="50">
        <f>INDEX($Q$5:$Q$21,MATCH(节奏总纲!BQ108,$N$5:$N$21,1))*(U$2+$K$2)*节奏总纲!W108*4*$C$5+U108</f>
        <v>23495054588.464096</v>
      </c>
      <c r="V109" s="50">
        <f>INDEX($Q$5:$Q$21,MATCH(节奏总纲!BR108,$N$5:$N$21,1))*(V$2+$K$2)*节奏总纲!X108*4*$C$5+V108</f>
        <v>71961376089.640793</v>
      </c>
      <c r="W109" s="50">
        <f>INDEX($Q$5:$Q$21,MATCH(节奏总纲!BS108,$N$5:$N$21,1))*(W$2+$K$2)*节奏总纲!Y108*4*$C$5+W108</f>
        <v>145040597198.88745</v>
      </c>
      <c r="X109" s="50">
        <f>INDEX($Q$5:$Q$21,MATCH(节奏总纲!BT108,$N$5:$N$21,1))*(X$2+$K$2)*节奏总纲!Z108*4*$C$5+X108</f>
        <v>210565441498.52927</v>
      </c>
      <c r="Y109" s="50">
        <f>INDEX($Q$5:$Q$21,MATCH(节奏总纲!BU108,$N$5:$N$21,1))*(Y$2+$K$2)*节奏总纲!AA108*4*$C$5+Y108</f>
        <v>116075118707.69962</v>
      </c>
      <c r="Z109" s="51">
        <f>SUMIFS($K$5:$K$1004,$J$5:$J$1004,"&lt;="&amp;U$2)*节奏总纲!W108*4+Z108</f>
        <v>578861.87514801975</v>
      </c>
      <c r="AA109" s="51">
        <f>SUMIFS($K$5:$K$1004,$J$5:$J$1004,"&lt;="&amp;V$2)*节奏总纲!X108*4+AA108</f>
        <v>4445485.5425742464</v>
      </c>
      <c r="AB109" s="51">
        <f>SUMIFS($K$5:$K$1004,$J$5:$J$1004,"&lt;="&amp;W$2)*节奏总纲!Y108*4+AB108</f>
        <v>10726368.43268032</v>
      </c>
      <c r="AC109" s="51">
        <f>SUMIFS($K$5:$K$1004,$J$5:$J$1004,"&lt;="&amp;X$2)*节奏总纲!Z108*4+AC108</f>
        <v>16269897.066222847</v>
      </c>
      <c r="AD109" s="51">
        <f>SUMIFS($K$5:$K$1004,$J$5:$J$1004,"&lt;="&amp;Y$2)*节奏总纲!AA108*4+AD108</f>
        <v>8809698.8778777122</v>
      </c>
      <c r="AH109" s="35">
        <v>105</v>
      </c>
      <c r="AI109" s="47">
        <f>'[1]资源-木石铜粮'!AE110-U109</f>
        <v>-22606196468.712936</v>
      </c>
      <c r="AJ109" s="47">
        <f>'[1]资源-木石铜粮'!AF110-V109</f>
        <v>-39406141645.67366</v>
      </c>
      <c r="AK109" s="47">
        <f>'[1]资源-木石铜粮'!AG110-W109</f>
        <v>-85488792221.586166</v>
      </c>
      <c r="AL109" s="47">
        <f>'[1]资源-木石铜粮'!AH110-X109</f>
        <v>-136998201845.92273</v>
      </c>
      <c r="AM109" s="47">
        <f>'[1]资源-木石铜粮'!AI110-Y109</f>
        <v>-37565235724.162811</v>
      </c>
      <c r="AN109" s="47">
        <f>(AI109-AI108)*IF($AH109&lt;=10,'[1]功能-付费相关'!S120,'[1]功能-付费相关'!S110)</f>
        <v>-21617.460548025472</v>
      </c>
      <c r="AO109" s="47">
        <f>(AJ109-AJ108)*IF($AH109&lt;=10,'[1]功能-付费相关'!T120,'[1]功能-付费相关'!T110)</f>
        <v>-33410.61514009448</v>
      </c>
      <c r="AP109" s="47">
        <f>(AK109-AK108)*IF($AH109&lt;=10,'[1]功能-付费相关'!U120,'[1]功能-付费相关'!U110)</f>
        <v>-60235.932809864033</v>
      </c>
      <c r="AQ109" s="47">
        <f>(AL109-AL108)*IF($AH109&lt;=10,'[1]功能-付费相关'!V120,'[1]功能-付费相关'!V110)</f>
        <v>-88396.950669748549</v>
      </c>
      <c r="AR109" s="47">
        <f>(AM109-AM108)*IF($AH109&lt;=10,'[1]功能-付费相关'!W120,'[1]功能-付费相关'!W110)</f>
        <v>-25719.80519913221</v>
      </c>
      <c r="AS109" s="48">
        <f>SUM(AN$5:AN109)/'[1]资源-钻石'!L108</f>
        <v>-5.0357285844148052E-2</v>
      </c>
      <c r="AT109" s="48">
        <f>SUM(AO$5:AO109)/'[1]资源-钻石'!M108</f>
        <v>-7.7484010221490568E-2</v>
      </c>
      <c r="AU109" s="48">
        <f>SUM(AP$5:AP109)/'[1]资源-钻石'!N108</f>
        <v>-0.11500383308838262</v>
      </c>
      <c r="AV109" s="48">
        <f>SUM(AQ$5:AQ109)/'[1]资源-钻石'!O108</f>
        <v>-8.5968360709358094E-2</v>
      </c>
      <c r="AW109" s="48">
        <f>SUM(AR$5:AR109)/'[1]资源-钻石'!P108</f>
        <v>-1.6255909263685305E-2</v>
      </c>
      <c r="AX109" s="35">
        <f>('[1]资源-木石铜粮'!C110+U109)/'[1]资源-木石铜粮'!U110</f>
        <v>1.1588181408552591</v>
      </c>
      <c r="AY109" s="35">
        <f>('[1]资源-木石铜粮'!D110+V109)/'[1]资源-木石铜粮'!V110</f>
        <v>1.2466984814917992</v>
      </c>
      <c r="AZ109" s="35">
        <f>('[1]资源-木石铜粮'!E110+W109)/'[1]资源-木石铜粮'!W110</f>
        <v>1.5038209133951776</v>
      </c>
      <c r="BA109" s="35">
        <f>('[1]资源-木石铜粮'!F110+X109)/'[1]资源-木石铜粮'!X110</f>
        <v>1.864772217319032</v>
      </c>
      <c r="BB109" s="35">
        <f>('[1]资源-木石铜粮'!G110+Y109)/'[1]资源-木石铜粮'!Y110</f>
        <v>1.2849596539854655</v>
      </c>
      <c r="BE109" s="39">
        <f t="shared" si="31"/>
        <v>2.4637605031666401E-5</v>
      </c>
      <c r="BF109" s="39">
        <f t="shared" si="32"/>
        <v>6.1775994069882667E-5</v>
      </c>
      <c r="BG109" s="39">
        <f t="shared" si="33"/>
        <v>7.395424894708444E-5</v>
      </c>
      <c r="BH109" s="39">
        <f t="shared" si="34"/>
        <v>7.7267651094286929E-5</v>
      </c>
      <c r="BI109" s="39">
        <f t="shared" si="35"/>
        <v>7.5896531280422792E-5</v>
      </c>
      <c r="BK109" s="39">
        <f>BE109/求节点(节奏总纲!AM$4:AM$83,$G$5:$G$84,节奏总纲!P108)</f>
        <v>0.39895121845629261</v>
      </c>
      <c r="BL109" s="39">
        <f>BF109/求节点(节奏总纲!AN$4:AN$83,$G$5:$G$84,节奏总纲!Q108)</f>
        <v>1.0223729356073159</v>
      </c>
      <c r="BM109" s="39">
        <f>BG109/求节点(节奏总纲!AO$4:AO$83,$G$5:$G$84,节奏总纲!R108)</f>
        <v>1.2587906733676266</v>
      </c>
      <c r="BN109" s="39">
        <f>BH109/求节点(节奏总纲!AP$4:AP$83,$G$5:$G$84,节奏总纲!S108)</f>
        <v>1.4118742473700079</v>
      </c>
      <c r="BO109" s="39">
        <f>BI109/求节点(节奏总纲!AQ$4:AQ$83,$G$5:$G$84,节奏总纲!T108)</f>
        <v>1.4988438763660512</v>
      </c>
    </row>
    <row r="110" spans="9:67" x14ac:dyDescent="0.15">
      <c r="I110" s="54"/>
      <c r="J110" s="39">
        <v>106</v>
      </c>
      <c r="K110" s="55">
        <v>60</v>
      </c>
      <c r="L110" s="55">
        <f t="shared" si="30"/>
        <v>90</v>
      </c>
      <c r="M110" s="55"/>
      <c r="T110" s="35">
        <v>106</v>
      </c>
      <c r="U110" s="50">
        <f>INDEX($Q$5:$Q$21,MATCH(节奏总纲!BQ109,$N$5:$N$21,1))*(U$2+$K$2)*节奏总纲!W109*4*$C$5+U109</f>
        <v>25874843677.977219</v>
      </c>
      <c r="V110" s="50">
        <f>INDEX($Q$5:$Q$21,MATCH(节奏总纲!BR109,$N$5:$N$21,1))*(V$2+$K$2)*节奏总纲!X109*4*$C$5+V109</f>
        <v>79143314264.854477</v>
      </c>
      <c r="W110" s="50">
        <f>INDEX($Q$5:$Q$21,MATCH(节奏总纲!BS109,$N$5:$N$21,1))*(W$2+$K$2)*节奏总纲!Y109*4*$C$5+W109</f>
        <v>158953402608.41626</v>
      </c>
      <c r="X110" s="50">
        <f>INDEX($Q$5:$Q$21,MATCH(节奏总纲!BT109,$N$5:$N$21,1))*(X$2+$K$2)*节奏总纲!Z109*4*$C$5+X109</f>
        <v>230139575592.92841</v>
      </c>
      <c r="Y110" s="50">
        <f>INDEX($Q$5:$Q$21,MATCH(节奏总纲!BU109,$N$5:$N$21,1))*(Y$2+$K$2)*节奏总纲!AA109*4*$C$5+Y109</f>
        <v>126173264416.32941</v>
      </c>
      <c r="Z110" s="51">
        <f>SUMIFS($K$5:$K$1004,$J$5:$J$1004,"&lt;="&amp;U$2)*节奏总纲!W109*4+Z109</f>
        <v>620437.50564265857</v>
      </c>
      <c r="AA110" s="51">
        <f>SUMIFS($K$5:$K$1004,$J$5:$J$1004,"&lt;="&amp;V$2)*节奏总纲!X109*4+AA109</f>
        <v>4768124.2746143946</v>
      </c>
      <c r="AB110" s="51">
        <f>SUMIFS($K$5:$K$1004,$J$5:$J$1004,"&lt;="&amp;W$2)*节奏总纲!Y109*4+AB109</f>
        <v>11498444.204574261</v>
      </c>
      <c r="AC110" s="51">
        <f>SUMIFS($K$5:$K$1004,$J$5:$J$1004,"&lt;="&amp;X$2)*节奏总纲!Z109*4+AC109</f>
        <v>17427841.358500022</v>
      </c>
      <c r="AD110" s="51">
        <f>SUMIFS($K$5:$K$1004,$J$5:$J$1004,"&lt;="&amp;Y$2)*节奏总纲!AA109*4+AD109</f>
        <v>9407073.460553987</v>
      </c>
      <c r="AH110" s="35">
        <v>106</v>
      </c>
      <c r="AI110" s="47">
        <f>'[1]资源-木石铜粮'!AE111-U110</f>
        <v>-25463965061.534927</v>
      </c>
      <c r="AJ110" s="47">
        <f>'[1]资源-木石铜粮'!AF111-V110</f>
        <v>-43722757132.757584</v>
      </c>
      <c r="AK110" s="47">
        <f>'[1]资源-木石铜粮'!AG111-W110</f>
        <v>-93289173292.723343</v>
      </c>
      <c r="AL110" s="47">
        <f>'[1]资源-木石铜粮'!AH111-X110</f>
        <v>-149368384123.60278</v>
      </c>
      <c r="AM110" s="47">
        <f>'[1]资源-木石铜粮'!AI111-Y110</f>
        <v>-41014049813.499481</v>
      </c>
      <c r="AN110" s="47">
        <f>(AI110-AI109)*IF($AH110&lt;=10,'[1]功能-付费相关'!S121,'[1]功能-付费相关'!S111)</f>
        <v>-22250.020087887195</v>
      </c>
      <c r="AO110" s="47">
        <f>(AJ110-AJ109)*IF($AH110&lt;=10,'[1]功能-付费相关'!T121,'[1]功能-付费相关'!T111)</f>
        <v>-32451.96923533122</v>
      </c>
      <c r="AP110" s="47">
        <f>(AK110-AK109)*IF($AH110&lt;=10,'[1]功能-付费相关'!U121,'[1]功能-付费相关'!U111)</f>
        <v>-57024.081051656736</v>
      </c>
      <c r="AQ110" s="47">
        <f>(AL110-AL109)*IF($AH110&lt;=10,'[1]功能-付费相关'!V121,'[1]功能-付费相关'!V111)</f>
        <v>-89320.554816740711</v>
      </c>
      <c r="AR110" s="47">
        <f>(AM110-AM109)*IF($AH110&lt;=10,'[1]功能-付费相关'!W121,'[1]功能-付费相关'!W111)</f>
        <v>-24501.378867126106</v>
      </c>
      <c r="AS110" s="48">
        <f>SUM(AN$5:AN110)/'[1]资源-钻石'!L109</f>
        <v>-5.1454504658751968E-2</v>
      </c>
      <c r="AT110" s="48">
        <f>SUM(AO$5:AO110)/'[1]资源-钻石'!M109</f>
        <v>-7.6937698227225085E-2</v>
      </c>
      <c r="AU110" s="48">
        <f>SUM(AP$5:AP110)/'[1]资源-钻石'!N109</f>
        <v>-0.112655629301859</v>
      </c>
      <c r="AV110" s="48">
        <f>SUM(AQ$5:AQ110)/'[1]资源-钻石'!O109</f>
        <v>-8.4045575475477002E-2</v>
      </c>
      <c r="AW110" s="48">
        <f>SUM(AR$5:AR110)/'[1]资源-钻石'!P109</f>
        <v>-1.5983874318902819E-2</v>
      </c>
      <c r="AX110" s="35">
        <f>('[1]资源-木石铜粮'!C111+U110)/'[1]资源-木石铜粮'!U111</f>
        <v>1.1631141384048913</v>
      </c>
      <c r="AY110" s="35">
        <f>('[1]资源-木石铜粮'!D111+V110)/'[1]资源-木石铜粮'!V111</f>
        <v>1.2490197395716811</v>
      </c>
      <c r="AZ110" s="35">
        <f>('[1]资源-木石铜粮'!E111+W110)/'[1]资源-木石铜粮'!W111</f>
        <v>1.4989506306412301</v>
      </c>
      <c r="BA110" s="35">
        <f>('[1]资源-木石铜粮'!F111+X110)/'[1]资源-木石铜粮'!X111</f>
        <v>1.8580476467229923</v>
      </c>
      <c r="BB110" s="35">
        <f>('[1]资源-木石铜粮'!G111+Y110)/'[1]资源-木石铜粮'!Y111</f>
        <v>1.2855851041759723</v>
      </c>
      <c r="BE110" s="39">
        <f t="shared" si="31"/>
        <v>2.3978405951519999E-5</v>
      </c>
      <c r="BF110" s="39">
        <f t="shared" si="32"/>
        <v>6.0246709641926086E-5</v>
      </c>
      <c r="BG110" s="39">
        <f t="shared" si="33"/>
        <v>7.2338459044508945E-5</v>
      </c>
      <c r="BH110" s="39">
        <f t="shared" si="34"/>
        <v>7.5727268174537876E-5</v>
      </c>
      <c r="BI110" s="39">
        <f t="shared" si="35"/>
        <v>7.455678906359911E-5</v>
      </c>
      <c r="BK110" s="39">
        <f>BE110/求节点(节奏总纲!AM$4:AM$83,$G$5:$G$84,节奏总纲!P109)</f>
        <v>0.39751852966349338</v>
      </c>
      <c r="BL110" s="39">
        <f>BF110/求节点(节奏总纲!AN$4:AN$83,$G$5:$G$84,节奏总纲!Q109)</f>
        <v>1.0256327775424174</v>
      </c>
      <c r="BM110" s="39">
        <f>BG110/求节点(节奏总纲!AO$4:AO$83,$G$5:$G$84,节奏总纲!R109)</f>
        <v>1.314648743131992</v>
      </c>
      <c r="BN110" s="39">
        <f>BH110/求节点(节奏总纲!AP$4:AP$83,$G$5:$G$84,节奏总纲!S109)</f>
        <v>1.4902843168362141</v>
      </c>
      <c r="BO110" s="39">
        <f>BI110/求节点(节奏总纲!AQ$4:AQ$83,$G$5:$G$84,节奏总纲!T109)</f>
        <v>1.5052506277256861</v>
      </c>
    </row>
    <row r="111" spans="9:67" x14ac:dyDescent="0.15">
      <c r="I111" s="54"/>
      <c r="J111" s="39">
        <v>107</v>
      </c>
      <c r="K111" s="55">
        <v>60</v>
      </c>
      <c r="L111" s="55">
        <f t="shared" si="30"/>
        <v>90</v>
      </c>
      <c r="M111" s="55"/>
      <c r="T111" s="35">
        <v>107</v>
      </c>
      <c r="U111" s="50">
        <f>INDEX($Q$5:$Q$21,MATCH(节奏总纲!BQ110,$N$5:$N$21,1))*(U$2+$K$2)*节奏总纲!W110*4*$C$5+U110</f>
        <v>28425438470.550819</v>
      </c>
      <c r="V111" s="50">
        <f>INDEX($Q$5:$Q$21,MATCH(节奏总纲!BR110,$N$5:$N$21,1))*(V$2+$K$2)*节奏总纲!X110*4*$C$5+V110</f>
        <v>86712859179.017807</v>
      </c>
      <c r="W111" s="50">
        <f>INDEX($Q$5:$Q$21,MATCH(节奏总纲!BS110,$N$5:$N$21,1))*(W$2+$K$2)*节奏总纲!Y110*4*$C$5+W110</f>
        <v>173931657182.12732</v>
      </c>
      <c r="X111" s="50">
        <f>INDEX($Q$5:$Q$21,MATCH(节奏总纲!BT110,$N$5:$N$21,1))*(X$2+$K$2)*节奏总纲!Z110*4*$C$5+X110</f>
        <v>250080522078.492</v>
      </c>
      <c r="Y111" s="50">
        <f>INDEX($Q$5:$Q$21,MATCH(节奏总纲!BU110,$N$5:$N$21,1))*(Y$2+$K$2)*节奏总纲!AA110*4*$C$5+Y110</f>
        <v>136825076059.3755</v>
      </c>
      <c r="Z111" s="51">
        <f>SUMIFS($K$5:$K$1004,$J$5:$J$1004,"&lt;="&amp;U$2)*节奏总纲!W110*4+Z110</f>
        <v>664997.16309502756</v>
      </c>
      <c r="AA111" s="51">
        <f>SUMIFS($K$5:$K$1004,$J$5:$J$1004,"&lt;="&amp;V$2)*节奏总纲!X110*4+AA110</f>
        <v>5108175.7083144542</v>
      </c>
      <c r="AB111" s="51">
        <f>SUMIFS($K$5:$K$1004,$J$5:$J$1004,"&lt;="&amp;W$2)*节奏总纲!Y110*4+AB110</f>
        <v>12329645.901228594</v>
      </c>
      <c r="AC111" s="51">
        <f>SUMIFS($K$5:$K$1004,$J$5:$J$1004,"&lt;="&amp;X$2)*节奏总纲!Z110*4+AC110</f>
        <v>18607485.119710896</v>
      </c>
      <c r="AD111" s="51">
        <f>SUMIFS($K$5:$K$1004,$J$5:$J$1004,"&lt;="&amp;Y$2)*节奏总纲!AA110*4+AD110</f>
        <v>10037201.180891106</v>
      </c>
      <c r="AH111" s="35">
        <v>107</v>
      </c>
      <c r="AI111" s="47">
        <f>'[1]资源-木石铜粮'!AE112-U111</f>
        <v>-28216717619.619392</v>
      </c>
      <c r="AJ111" s="47">
        <f>'[1]资源-木石铜粮'!AF112-V111</f>
        <v>-47502527252.719559</v>
      </c>
      <c r="AK111" s="47">
        <f>'[1]资源-木石铜粮'!AG112-W111</f>
        <v>-101323840653.4808</v>
      </c>
      <c r="AL111" s="47">
        <f>'[1]资源-木石铜粮'!AH112-X111</f>
        <v>-161673144614.30618</v>
      </c>
      <c r="AM111" s="47">
        <f>'[1]资源-木石铜粮'!AI112-Y111</f>
        <v>-44367370193.285568</v>
      </c>
      <c r="AN111" s="47">
        <f>(AI111-AI110)*IF($AH111&lt;=10,'[1]功能-付费相关'!S122,'[1]功能-付费相关'!S112)</f>
        <v>-21385.110350848852</v>
      </c>
      <c r="AO111" s="47">
        <f>(AJ111-AJ110)*IF($AH111&lt;=10,'[1]功能-付费相关'!T122,'[1]功能-付费相关'!T112)</f>
        <v>-28344.541475552847</v>
      </c>
      <c r="AP111" s="47">
        <f>(AK111-AK110)*IF($AH111&lt;=10,'[1]功能-付费相关'!U122,'[1]功能-付费相关'!U112)</f>
        <v>-58736.812807549199</v>
      </c>
      <c r="AQ111" s="47">
        <f>(AL111-AL110)*IF($AH111&lt;=10,'[1]功能-付费相关'!V122,'[1]功能-付费相关'!V112)</f>
        <v>-88848.168058107331</v>
      </c>
      <c r="AR111" s="47">
        <f>(AM111-AM110)*IF($AH111&lt;=10,'[1]功能-付费相关'!W122,'[1]功能-付费相关'!W112)</f>
        <v>-23822.963766596247</v>
      </c>
      <c r="AS111" s="48">
        <f>SUM(AN$5:AN111)/'[1]资源-钻石'!L110</f>
        <v>-5.2085765525006232E-2</v>
      </c>
      <c r="AT111" s="48">
        <f>SUM(AO$5:AO111)/'[1]资源-钻石'!M110</f>
        <v>-7.570775621507933E-2</v>
      </c>
      <c r="AU111" s="48">
        <f>SUM(AP$5:AP111)/'[1]资源-钻石'!N110</f>
        <v>-0.11022383631156119</v>
      </c>
      <c r="AV111" s="48">
        <f>SUM(AQ$5:AQ111)/'[1]资源-钻石'!O110</f>
        <v>-8.2251592019770073E-2</v>
      </c>
      <c r="AW111" s="48">
        <f>SUM(AR$5:AR111)/'[1]资源-钻石'!P110</f>
        <v>-1.5674072210379218E-2</v>
      </c>
      <c r="AX111" s="35">
        <f>('[1]资源-木石铜粮'!C112+U111)/'[1]资源-木石铜粮'!U112</f>
        <v>1.1647882286810829</v>
      </c>
      <c r="AY111" s="35">
        <f>('[1]资源-木石铜粮'!D112+V111)/'[1]资源-木石铜粮'!V112</f>
        <v>1.2459157261596137</v>
      </c>
      <c r="AZ111" s="35">
        <f>('[1]资源-木石铜粮'!E112+W111)/'[1]资源-木石铜粮'!W112</f>
        <v>1.4919722047642781</v>
      </c>
      <c r="BA111" s="35">
        <f>('[1]资源-木石铜粮'!F112+X111)/'[1]资源-木石铜粮'!X112</f>
        <v>1.84919164601139</v>
      </c>
      <c r="BB111" s="35">
        <f>('[1]资源-木石铜粮'!G112+Y111)/'[1]资源-木石铜粮'!Y112</f>
        <v>1.2838080232956333</v>
      </c>
      <c r="BE111" s="39">
        <f t="shared" si="31"/>
        <v>2.3394438181981771E-5</v>
      </c>
      <c r="BF111" s="39">
        <f t="shared" si="32"/>
        <v>5.8909090954649277E-5</v>
      </c>
      <c r="BG111" s="39">
        <f t="shared" si="33"/>
        <v>7.0887876887862765E-5</v>
      </c>
      <c r="BH111" s="39">
        <f t="shared" si="34"/>
        <v>7.4405975183747505E-5</v>
      </c>
      <c r="BI111" s="39">
        <f t="shared" si="35"/>
        <v>7.3357906825028503E-5</v>
      </c>
      <c r="BK111" s="39">
        <f>BE111/求节点(节奏总纲!AM$4:AM$83,$G$5:$G$84,节奏总纲!P110)</f>
        <v>0.3997309712018105</v>
      </c>
      <c r="BL111" s="39">
        <f>BF111/求节点(节奏总纲!AN$4:AN$83,$G$5:$G$84,节奏总纲!Q110)</f>
        <v>1.0701152848417019</v>
      </c>
      <c r="BM111" s="39">
        <f>BG111/求节点(节奏总纲!AO$4:AO$83,$G$5:$G$84,节奏总纲!R110)</f>
        <v>1.3895675268269778</v>
      </c>
      <c r="BN111" s="39">
        <f>BH111/求节点(节奏总纲!AP$4:AP$83,$G$5:$G$84,节奏总纲!S110)</f>
        <v>1.4964282048219073</v>
      </c>
      <c r="BO111" s="39">
        <f>BI111/求节点(节奏总纲!AQ$4:AQ$83,$G$5:$G$84,节奏总纲!T110)</f>
        <v>1.5167573079286747</v>
      </c>
    </row>
    <row r="112" spans="9:67" x14ac:dyDescent="0.15">
      <c r="I112" s="54"/>
      <c r="J112" s="39">
        <v>108</v>
      </c>
      <c r="K112" s="55">
        <v>60</v>
      </c>
      <c r="L112" s="55">
        <f t="shared" si="30"/>
        <v>90</v>
      </c>
      <c r="M112" s="55"/>
      <c r="T112" s="35">
        <v>108</v>
      </c>
      <c r="U112" s="50">
        <f>INDEX($Q$5:$Q$21,MATCH(节奏总纲!BQ111,$N$5:$N$21,1))*(U$2+$K$2)*节奏总纲!W111*4*$C$5+U111</f>
        <v>31159098282.914509</v>
      </c>
      <c r="V112" s="50">
        <f>INDEX($Q$5:$Q$21,MATCH(节奏总纲!BR111,$N$5:$N$21,1))*(V$2+$K$2)*节奏总纲!X111*4*$C$5+V111</f>
        <v>94878984453.501236</v>
      </c>
      <c r="W112" s="50">
        <f>INDEX($Q$5:$Q$21,MATCH(节奏总纲!BS111,$N$5:$N$21,1))*(W$2+$K$2)*节奏总纲!Y111*4*$C$5+W111</f>
        <v>188812862956.67783</v>
      </c>
      <c r="X112" s="50">
        <f>INDEX($Q$5:$Q$21,MATCH(节奏总纲!BT111,$N$5:$N$21,1))*(X$2+$K$2)*节奏总纲!Z111*4*$C$5+X111</f>
        <v>271502568822.23343</v>
      </c>
      <c r="Y112" s="50">
        <f>INDEX($Q$5:$Q$21,MATCH(节奏总纲!BU111,$N$5:$N$21,1))*(Y$2+$K$2)*节奏总纲!AA111*4*$C$5+Y111</f>
        <v>148735566361.64493</v>
      </c>
      <c r="Z112" s="51">
        <f>SUMIFS($K$5:$K$1004,$J$5:$J$1004,"&lt;="&amp;U$2)*节奏总纲!W111*4+Z111</f>
        <v>712755.021452185</v>
      </c>
      <c r="AA112" s="51">
        <f>SUMIFS($K$5:$K$1004,$J$5:$J$1004,"&lt;="&amp;V$2)*节奏总纲!X111*4+AA111</f>
        <v>5475027.6972849583</v>
      </c>
      <c r="AB112" s="51">
        <f>SUMIFS($K$5:$K$1004,$J$5:$J$1004,"&lt;="&amp;W$2)*节奏总纲!Y111*4+AB111</f>
        <v>13155461.981947267</v>
      </c>
      <c r="AC112" s="51">
        <f>SUMIFS($K$5:$K$1004,$J$5:$J$1004,"&lt;="&amp;X$2)*节奏总纲!Z111*4+AC111</f>
        <v>19874746.120181307</v>
      </c>
      <c r="AD112" s="51">
        <f>SUMIFS($K$5:$K$1004,$J$5:$J$1004,"&lt;="&amp;Y$2)*节奏总纲!AA111*4+AD111</f>
        <v>10741788.377301589</v>
      </c>
      <c r="AH112" s="35">
        <v>108</v>
      </c>
      <c r="AI112" s="47">
        <f>'[1]资源-木石铜粮'!AE113-U112</f>
        <v>-30522909695.62212</v>
      </c>
      <c r="AJ112" s="47">
        <f>'[1]资源-木石铜粮'!AF113-V112</f>
        <v>-51203225402.991745</v>
      </c>
      <c r="AK112" s="47">
        <f>'[1]资源-木石铜粮'!AG113-W112</f>
        <v>-108638273715.92343</v>
      </c>
      <c r="AL112" s="47">
        <f>'[1]资源-木石铜粮'!AH113-X112</f>
        <v>-174457489914.35776</v>
      </c>
      <c r="AM112" s="47">
        <f>'[1]资源-木石铜粮'!AI113-Y112</f>
        <v>-48457169296.709122</v>
      </c>
      <c r="AN112" s="47">
        <f>(AI112-AI111)*IF($AH112&lt;=10,'[1]功能-付费相关'!S123,'[1]功能-付费相关'!S113)</f>
        <v>-17882.551626282522</v>
      </c>
      <c r="AO112" s="47">
        <f>(AJ112-AJ111)*IF($AH112&lt;=10,'[1]功能-付费相关'!T123,'[1]功能-付费相关'!T113)</f>
        <v>-27686.349016384818</v>
      </c>
      <c r="AP112" s="47">
        <f>(AK112-AK111)*IF($AH112&lt;=10,'[1]功能-付费相关'!U123,'[1]功能-付费相关'!U113)</f>
        <v>-53471.595809977465</v>
      </c>
      <c r="AQ112" s="47">
        <f>(AL112-AL111)*IF($AH112&lt;=10,'[1]功能-付费相关'!V123,'[1]功能-付费相关'!V113)</f>
        <v>-92311.074286251736</v>
      </c>
      <c r="AR112" s="47">
        <f>(AM112-AM111)*IF($AH112&lt;=10,'[1]功能-付费相关'!W123,'[1]功能-付费相关'!W113)</f>
        <v>-29055.122928556084</v>
      </c>
      <c r="AS112" s="48">
        <f>SUM(AN$5:AN112)/'[1]资源-钻石'!L111</f>
        <v>-5.1888819046713615E-2</v>
      </c>
      <c r="AT112" s="48">
        <f>SUM(AO$5:AO112)/'[1]资源-钻石'!M111</f>
        <v>-7.4349987656654667E-2</v>
      </c>
      <c r="AU112" s="48">
        <f>SUM(AP$5:AP112)/'[1]资源-钻石'!N111</f>
        <v>-0.1077254721056476</v>
      </c>
      <c r="AV112" s="48">
        <f>SUM(AQ$5:AQ112)/'[1]资源-钻石'!O111</f>
        <v>-8.0443227625603186E-2</v>
      </c>
      <c r="AW112" s="48">
        <f>SUM(AR$5:AR112)/'[1]资源-钻石'!P111</f>
        <v>-1.5434046649906682E-2</v>
      </c>
      <c r="AX112" s="35">
        <f>('[1]资源-木石铜粮'!C113+U112)/'[1]资源-木石铜粮'!U113</f>
        <v>1.162180834228254</v>
      </c>
      <c r="AY112" s="35">
        <f>('[1]资源-木石铜粮'!D113+V112)/'[1]资源-木石铜粮'!V113</f>
        <v>1.2408944164905897</v>
      </c>
      <c r="AZ112" s="35">
        <f>('[1]资源-木石铜粮'!E113+W112)/'[1]资源-木石铜粮'!W113</f>
        <v>1.4816525896875323</v>
      </c>
      <c r="BA112" s="35">
        <f>('[1]资源-木石铜粮'!F113+X112)/'[1]资源-木石铜粮'!X113</f>
        <v>1.8374233059786367</v>
      </c>
      <c r="BB112" s="35">
        <f>('[1]资源-木石铜粮'!G113+Y112)/'[1]资源-木石铜粮'!Y113</f>
        <v>1.284667486032314</v>
      </c>
      <c r="BE112" s="39">
        <f t="shared" si="31"/>
        <v>2.2874699870342861E-5</v>
      </c>
      <c r="BF112" s="39">
        <f t="shared" si="32"/>
        <v>5.7705378370361746E-5</v>
      </c>
      <c r="BG112" s="39">
        <f t="shared" si="33"/>
        <v>6.9674606782302339E-5</v>
      </c>
      <c r="BH112" s="39">
        <f t="shared" si="34"/>
        <v>7.3202792173927158E-5</v>
      </c>
      <c r="BI112" s="39">
        <f t="shared" si="35"/>
        <v>7.2220711159181223E-5</v>
      </c>
      <c r="BK112" s="39">
        <f>BE112/求节点(节奏总纲!AM$4:AM$83,$G$5:$G$84,节奏总纲!P111)</f>
        <v>0.41747921773839652</v>
      </c>
      <c r="BL112" s="39">
        <f>BF112/求节点(节奏总纲!AN$4:AN$83,$G$5:$G$84,节奏总纲!Q111)</f>
        <v>1.1300019738204079</v>
      </c>
      <c r="BM112" s="39">
        <f>BG112/求节点(节奏总纲!AO$4:AO$83,$G$5:$G$84,节奏总纲!R111)</f>
        <v>1.3988672438027638</v>
      </c>
      <c r="BN112" s="39">
        <f>BH112/求节点(节奏总纲!AP$4:AP$83,$G$5:$G$84,节奏总纲!S111)</f>
        <v>1.5077904053882725</v>
      </c>
      <c r="BO112" s="39">
        <f>BI112/求节点(节奏总纲!AQ$4:AQ$83,$G$5:$G$84,节奏总纲!T111)</f>
        <v>1.5220645021582291</v>
      </c>
    </row>
    <row r="113" spans="9:67" x14ac:dyDescent="0.15">
      <c r="I113" s="54"/>
      <c r="J113" s="39">
        <v>109</v>
      </c>
      <c r="K113" s="55">
        <v>60</v>
      </c>
      <c r="L113" s="55">
        <f t="shared" si="30"/>
        <v>90</v>
      </c>
      <c r="M113" s="55"/>
      <c r="T113" s="35">
        <v>109</v>
      </c>
      <c r="U113" s="50">
        <f>INDEX($Q$5:$Q$21,MATCH(节奏总纲!BQ112,$N$5:$N$21,1))*(U$2+$K$2)*节奏总纲!W112*4*$C$5+U112</f>
        <v>34088962325.407814</v>
      </c>
      <c r="V113" s="50">
        <f>INDEX($Q$5:$Q$21,MATCH(节奏总纲!BR112,$N$5:$N$21,1))*(V$2+$K$2)*节奏总纲!X112*4*$C$5+V112</f>
        <v>103202686792.02928</v>
      </c>
      <c r="W113" s="50">
        <f>INDEX($Q$5:$Q$21,MATCH(节奏总纲!BS112,$N$5:$N$21,1))*(W$2+$K$2)*节奏总纲!Y112*4*$C$5+W112</f>
        <v>205056586849.74249</v>
      </c>
      <c r="X113" s="50">
        <f>INDEX($Q$5:$Q$21,MATCH(节奏总纲!BT112,$N$5:$N$21,1))*(X$2+$K$2)*节奏总纲!Z112*4*$C$5+X112</f>
        <v>294672695006.78253</v>
      </c>
      <c r="Y113" s="50">
        <f>INDEX($Q$5:$Q$21,MATCH(节奏总纲!BU112,$N$5:$N$21,1))*(Y$2+$K$2)*节奏总纲!AA112*4*$C$5+Y112</f>
        <v>161628392447.42087</v>
      </c>
      <c r="Z113" s="51">
        <f>SUMIFS($K$5:$K$1004,$J$5:$J$1004,"&lt;="&amp;U$2)*节奏总纲!W112*4+Z112</f>
        <v>763940.62666695274</v>
      </c>
      <c r="AA113" s="51">
        <f>SUMIFS($K$5:$K$1004,$J$5:$J$1004,"&lt;="&amp;V$2)*节奏总纲!X112*4+AA112</f>
        <v>5848958.6199501902</v>
      </c>
      <c r="AB113" s="51">
        <f>SUMIFS($K$5:$K$1004,$J$5:$J$1004,"&lt;="&amp;W$2)*节奏总纲!Y112*4+AB112</f>
        <v>14056889.500985261</v>
      </c>
      <c r="AC113" s="51">
        <f>SUMIFS($K$5:$K$1004,$J$5:$J$1004,"&lt;="&amp;X$2)*节奏总纲!Z112*4+AC112</f>
        <v>21245418.009795956</v>
      </c>
      <c r="AD113" s="51">
        <f>SUMIFS($K$5:$K$1004,$J$5:$J$1004,"&lt;="&amp;Y$2)*节奏总纲!AA112*4+AD112</f>
        <v>11504487.473228306</v>
      </c>
      <c r="AH113" s="35">
        <v>109</v>
      </c>
      <c r="AI113" s="47">
        <f>'[1]资源-木石铜粮'!AE114-U113</f>
        <v>-32672380374.08799</v>
      </c>
      <c r="AJ113" s="47">
        <f>'[1]资源-木石铜粮'!AF114-V113</f>
        <v>-54504095937.639725</v>
      </c>
      <c r="AK113" s="47">
        <f>'[1]资源-木石铜粮'!AG114-W113</f>
        <v>-116242484816.38611</v>
      </c>
      <c r="AL113" s="47">
        <f>'[1]资源-木石铜粮'!AH114-X113</f>
        <v>-188211469294.14609</v>
      </c>
      <c r="AM113" s="47">
        <f>'[1]资源-木石铜粮'!AI114-Y113</f>
        <v>-52740092267.140228</v>
      </c>
      <c r="AN113" s="47">
        <f>(AI113-AI112)*IF($AH113&lt;=10,'[1]功能-付费相关'!S124,'[1]功能-付费相关'!S114)</f>
        <v>-16639.526266117424</v>
      </c>
      <c r="AO113" s="47">
        <f>(AJ113-AJ112)*IF($AH113&lt;=10,'[1]功能-付费相关'!T124,'[1]功能-付费相关'!T114)</f>
        <v>-24642.594402853778</v>
      </c>
      <c r="AP113" s="47">
        <f>(AK113-AK112)*IF($AH113&lt;=10,'[1]功能-付费相关'!U124,'[1]功能-付费相关'!U114)</f>
        <v>-55589.995690233111</v>
      </c>
      <c r="AQ113" s="47">
        <f>(AL113-AL112)*IF($AH113&lt;=10,'[1]功能-付费相关'!V124,'[1]功能-付费相关'!V114)</f>
        <v>-99312.44678240137</v>
      </c>
      <c r="AR113" s="47">
        <f>(AM113-AM112)*IF($AH113&lt;=10,'[1]功能-付费相关'!W124,'[1]功能-付费相关'!W114)</f>
        <v>-30427.131077231508</v>
      </c>
      <c r="AS113" s="48">
        <f>SUM(AN$5:AN113)/'[1]资源-钻石'!L112</f>
        <v>-5.1325151236205527E-2</v>
      </c>
      <c r="AT113" s="48">
        <f>SUM(AO$5:AO113)/'[1]资源-钻石'!M112</f>
        <v>-7.2769530893608478E-2</v>
      </c>
      <c r="AU113" s="48">
        <f>SUM(AP$5:AP113)/'[1]资源-钻石'!N112</f>
        <v>-0.1051190242772797</v>
      </c>
      <c r="AV113" s="48">
        <f>SUM(AQ$5:AQ113)/'[1]资源-钻石'!O112</f>
        <v>-7.8706003879133471E-2</v>
      </c>
      <c r="AW113" s="48">
        <f>SUM(AR$5:AR113)/'[1]资源-钻石'!P112</f>
        <v>-1.518144038102901E-2</v>
      </c>
      <c r="AX113" s="35">
        <f>('[1]资源-木石铜粮'!C114+U113)/'[1]资源-木石铜粮'!U114</f>
        <v>1.1580264682491506</v>
      </c>
      <c r="AY113" s="35">
        <f>('[1]资源-木石铜粮'!D114+V113)/'[1]资源-木石铜粮'!V114</f>
        <v>1.2340133720768478</v>
      </c>
      <c r="AZ113" s="35">
        <f>('[1]资源-木石铜粮'!E114+W113)/'[1]资源-木石铜粮'!W114</f>
        <v>1.4699890904595811</v>
      </c>
      <c r="BA113" s="35">
        <f>('[1]资源-木石铜粮'!F114+X113)/'[1]资源-木石铜粮'!X114</f>
        <v>1.8260194910510286</v>
      </c>
      <c r="BB113" s="35">
        <f>('[1]资源-木石铜粮'!G114+Y113)/'[1]资源-木石铜粮'!Y114</f>
        <v>1.2844597615710001</v>
      </c>
      <c r="BE113" s="39">
        <f t="shared" si="31"/>
        <v>2.2410204786361551E-5</v>
      </c>
      <c r="BF113" s="39">
        <f t="shared" si="32"/>
        <v>5.6674480110550051E-5</v>
      </c>
      <c r="BG113" s="39">
        <f t="shared" si="33"/>
        <v>6.8551270246615411E-5</v>
      </c>
      <c r="BH113" s="39">
        <f t="shared" si="34"/>
        <v>7.209835987452772E-5</v>
      </c>
      <c r="BI113" s="39">
        <f t="shared" si="35"/>
        <v>7.1178629565166385E-5</v>
      </c>
      <c r="BK113" s="39">
        <f>BE113/求节点(节奏总纲!AM$4:AM$83,$G$5:$G$84,节奏总纲!P112)</f>
        <v>0.44094418977758976</v>
      </c>
      <c r="BL113" s="39">
        <f>BF113/求节点(节奏总纲!AN$4:AN$83,$G$5:$G$84,节奏总纲!Q112)</f>
        <v>1.138001505914185</v>
      </c>
      <c r="BM113" s="39">
        <f>BG113/求节点(节奏总纲!AO$4:AO$83,$G$5:$G$84,节奏总纲!R112)</f>
        <v>1.4095368123439564</v>
      </c>
      <c r="BN113" s="39">
        <f>BH113/求节点(节奏总纲!AP$4:AP$83,$G$5:$G$84,节奏总纲!S112)</f>
        <v>1.5146751166498114</v>
      </c>
      <c r="BO113" s="39">
        <f>BI113/求节点(节奏总纲!AQ$4:AQ$83,$G$5:$G$84,节奏总纲!T112)</f>
        <v>1.531252749729525</v>
      </c>
    </row>
    <row r="114" spans="9:67" x14ac:dyDescent="0.15">
      <c r="I114" s="54"/>
      <c r="J114" s="39">
        <v>110</v>
      </c>
      <c r="K114" s="55">
        <v>60</v>
      </c>
      <c r="L114" s="55">
        <f t="shared" si="30"/>
        <v>90</v>
      </c>
      <c r="M114" s="55"/>
      <c r="T114" s="35">
        <v>110</v>
      </c>
      <c r="U114" s="50">
        <f>INDEX($Q$5:$Q$21,MATCH(节奏总纲!BQ113,$N$5:$N$21,1))*(U$2+$K$2)*节奏总纲!W113*4*$C$5+U113</f>
        <v>37229112854.99144</v>
      </c>
      <c r="V114" s="50">
        <f>INDEX($Q$5:$Q$21,MATCH(节奏总纲!BR113,$N$5:$N$21,1))*(V$2+$K$2)*节奏总纲!X113*4*$C$5+V113</f>
        <v>112552327986.33804</v>
      </c>
      <c r="W114" s="50">
        <f>INDEX($Q$5:$Q$21,MATCH(节奏总纲!BS113,$N$5:$N$21,1))*(W$2+$K$2)*节奏总纲!Y113*4*$C$5+W113</f>
        <v>223684910677.18802</v>
      </c>
      <c r="X114" s="50">
        <f>INDEX($Q$5:$Q$21,MATCH(节奏总纲!BT113,$N$5:$N$21,1))*(X$2+$K$2)*节奏总纲!Z113*4*$C$5+X113</f>
        <v>321488329488.01068</v>
      </c>
      <c r="Y114" s="50">
        <f>INDEX($Q$5:$Q$21,MATCH(节奏总纲!BU113,$N$5:$N$21,1))*(Y$2+$K$2)*节奏总纲!AA113*4*$C$5+Y113</f>
        <v>180880084080.46872</v>
      </c>
      <c r="Z114" s="51">
        <f>SUMIFS($K$5:$K$1004,$J$5:$J$1004,"&lt;="&amp;U$2)*节奏总纲!W113*4+Z113</f>
        <v>818800</v>
      </c>
      <c r="AA114" s="51">
        <f>SUMIFS($K$5:$K$1004,$J$5:$J$1004,"&lt;="&amp;V$2)*节奏总纲!X113*4+AA113</f>
        <v>6268978.4399999995</v>
      </c>
      <c r="AB114" s="51">
        <f>SUMIFS($K$5:$K$1004,$J$5:$J$1004,"&lt;="&amp;W$2)*节奏总纲!Y113*4+AB113</f>
        <v>15090647.759999996</v>
      </c>
      <c r="AC114" s="51">
        <f>SUMIFS($K$5:$K$1004,$J$5:$J$1004,"&lt;="&amp;X$2)*节奏总纲!Z113*4+AC113</f>
        <v>22831746.720000003</v>
      </c>
      <c r="AD114" s="51">
        <f>SUMIFS($K$5:$K$1004,$J$5:$J$1004,"&lt;="&amp;Y$2)*节奏总纲!AA113*4+AD113</f>
        <v>12358639.679999996</v>
      </c>
      <c r="AH114" s="35">
        <v>110</v>
      </c>
      <c r="AI114" s="47">
        <f>'[1]资源-木石铜粮'!AE115-U114</f>
        <v>-34824008352.676865</v>
      </c>
      <c r="AJ114" s="47">
        <f>'[1]资源-木石铜粮'!AF115-V114</f>
        <v>-57974449556.303314</v>
      </c>
      <c r="AK114" s="47">
        <f>'[1]资源-木石铜粮'!AG115-W114</f>
        <v>-125047463042.88235</v>
      </c>
      <c r="AL114" s="47">
        <f>'[1]资源-木石铜粮'!AH115-X114</f>
        <v>-204206240553.08069</v>
      </c>
      <c r="AM114" s="47">
        <f>'[1]资源-木石铜粮'!AI115-Y114</f>
        <v>-61533751642.651352</v>
      </c>
      <c r="AN114" s="47">
        <f>(AI114-AI113)*IF($AH114&lt;=10,'[1]功能-付费相关'!S125,'[1]功能-付费相关'!S115)</f>
        <v>-16626.520423727405</v>
      </c>
      <c r="AO114" s="47">
        <f>(AJ114-AJ113)*IF($AH114&lt;=10,'[1]功能-付费相关'!T125,'[1]功能-付费相关'!T115)</f>
        <v>-25846.159543402238</v>
      </c>
      <c r="AP114" s="47">
        <f>(AK114-AK113)*IF($AH114&lt;=10,'[1]功能-付费相关'!U125,'[1]功能-付费相关'!U115)</f>
        <v>-64368.110668803114</v>
      </c>
      <c r="AQ114" s="47">
        <f>(AL114-AL113)*IF($AH114&lt;=10,'[1]功能-付费相关'!V125,'[1]功能-付费相关'!V115)</f>
        <v>-115492.38410113654</v>
      </c>
      <c r="AR114" s="47">
        <f>(AM114-AM113)*IF($AH114&lt;=10,'[1]功能-付费相关'!W125,'[1]功能-付费相关'!W115)</f>
        <v>-62472.71508604096</v>
      </c>
      <c r="AS114" s="48">
        <f>SUM(AN$5:AN114)/'[1]资源-钻石'!L113</f>
        <v>-5.0620819129113405E-2</v>
      </c>
      <c r="AT114" s="48">
        <f>SUM(AO$5:AO114)/'[1]资源-钻石'!M113</f>
        <v>-7.1009529522239517E-2</v>
      </c>
      <c r="AU114" s="48">
        <f>SUM(AP$5:AP114)/'[1]资源-钻石'!N113</f>
        <v>-0.10253672943245984</v>
      </c>
      <c r="AV114" s="48">
        <f>SUM(AQ$5:AQ114)/'[1]资源-钻石'!O113</f>
        <v>-7.6966693000445702E-2</v>
      </c>
      <c r="AW114" s="48">
        <f>SUM(AR$5:AR114)/'[1]资源-钻石'!P113</f>
        <v>-1.5590873747069833E-2</v>
      </c>
      <c r="AX114" s="35">
        <f>('[1]资源-木石铜粮'!C115+U114)/'[1]资源-木石铜粮'!U115</f>
        <v>1.1534475697923658</v>
      </c>
      <c r="AY114" s="35">
        <f>('[1]资源-木石铜粮'!D115+V114)/'[1]资源-木石铜粮'!V115</f>
        <v>1.2264126325585567</v>
      </c>
      <c r="AZ114" s="35">
        <f>('[1]资源-木石铜粮'!E115+W114)/'[1]资源-木石铜粮'!W115</f>
        <v>1.4592478923125036</v>
      </c>
      <c r="BA114" s="35">
        <f>('[1]资源-木石铜粮'!F115+X114)/'[1]资源-木石铜粮'!X115</f>
        <v>1.8155736192973422</v>
      </c>
      <c r="BB114" s="35">
        <f>('[1]资源-木石铜粮'!G115+Y114)/'[1]资源-木石铜粮'!Y115</f>
        <v>1.302753207237735</v>
      </c>
      <c r="BE114" s="39">
        <f t="shared" si="31"/>
        <v>2.1993540463595028E-5</v>
      </c>
      <c r="BF114" s="39">
        <f t="shared" si="32"/>
        <v>5.5698345402157723E-5</v>
      </c>
      <c r="BG114" s="39">
        <f t="shared" si="33"/>
        <v>6.746386117111913E-5</v>
      </c>
      <c r="BH114" s="39">
        <f t="shared" si="34"/>
        <v>7.1018897502005498E-5</v>
      </c>
      <c r="BI114" s="39">
        <f t="shared" si="35"/>
        <v>6.8325043869959539E-5</v>
      </c>
      <c r="BK114" s="39">
        <f>BE114/求节点(节奏总纲!AM$4:AM$83,$G$5:$G$84,节奏总纲!P113)</f>
        <v>0.44283075968036439</v>
      </c>
      <c r="BL114" s="39">
        <f>BF114/求节点(节奏总纲!AN$4:AN$83,$G$5:$G$84,节奏总纲!Q113)</f>
        <v>1.146741250809683</v>
      </c>
      <c r="BM114" s="39">
        <f>BG114/求节点(节奏总纲!AO$4:AO$83,$G$5:$G$84,节奏总纲!R113)</f>
        <v>1.4171846948533438</v>
      </c>
      <c r="BN114" s="39">
        <f>BH114/求节点(节奏总纲!AP$4:AP$83,$G$5:$G$84,节奏总纲!S113)</f>
        <v>1.5241392763830952</v>
      </c>
      <c r="BO114" s="39">
        <f>BI114/求节点(节奏总纲!AQ$4:AQ$83,$G$5:$G$84,节奏总纲!T113)</f>
        <v>1.4880049304243652</v>
      </c>
    </row>
    <row r="115" spans="9:67" x14ac:dyDescent="0.15">
      <c r="I115" s="54"/>
      <c r="J115" s="39">
        <v>111</v>
      </c>
      <c r="K115" s="55">
        <v>60</v>
      </c>
      <c r="L115" s="55">
        <f t="shared" si="30"/>
        <v>90</v>
      </c>
      <c r="M115" s="55"/>
      <c r="T115" s="35">
        <v>111</v>
      </c>
      <c r="U115" s="50">
        <f>INDEX($Q$5:$Q$21,MATCH(节奏总纲!BQ114,$N$5:$N$21,1))*(U$2+$K$2)*节奏总纲!W114*4*$C$5+U114</f>
        <v>40594642860.968422</v>
      </c>
      <c r="V115" s="50">
        <f>INDEX($Q$5:$Q$21,MATCH(节奏总纲!BR114,$N$5:$N$21,1))*(V$2+$K$2)*节奏总纲!X114*4*$C$5+V114</f>
        <v>122784006599.0593</v>
      </c>
      <c r="W115" s="50">
        <f>INDEX($Q$5:$Q$21,MATCH(节奏总纲!BS114,$N$5:$N$21,1))*(W$2+$K$2)*节奏总纲!Y114*4*$C$5+W114</f>
        <v>243767134069.03308</v>
      </c>
      <c r="X115" s="50">
        <f>INDEX($Q$5:$Q$21,MATCH(节奏总纲!BT114,$N$5:$N$21,1))*(X$2+$K$2)*节奏总纲!Z114*4*$C$5+X114</f>
        <v>360132449918.06036</v>
      </c>
      <c r="Y115" s="50">
        <f>INDEX($Q$5:$Q$21,MATCH(节奏总纲!BU114,$N$5:$N$21,1))*(Y$2+$K$2)*节奏总纲!AA114*4*$C$5+Y114</f>
        <v>202009867357.45917</v>
      </c>
      <c r="Z115" s="51">
        <f>SUMIFS($K$5:$K$1004,$J$5:$J$1004,"&lt;="&amp;U$2)*节奏总纲!W114*4+Z114</f>
        <v>877596.82050973061</v>
      </c>
      <c r="AA115" s="51">
        <f>SUMIFS($K$5:$K$1004,$J$5:$J$1004,"&lt;="&amp;V$2)*节奏总纲!X114*4+AA114</f>
        <v>6728622.5825301548</v>
      </c>
      <c r="AB115" s="51">
        <f>SUMIFS($K$5:$K$1004,$J$5:$J$1004,"&lt;="&amp;W$2)*节奏总纲!Y114*4+AB114</f>
        <v>16205088.569758324</v>
      </c>
      <c r="AC115" s="51">
        <f>SUMIFS($K$5:$K$1004,$J$5:$J$1004,"&lt;="&amp;X$2)*节奏总纲!Z114*4+AC114</f>
        <v>24546295.309975117</v>
      </c>
      <c r="AD115" s="51">
        <f>SUMIFS($K$5:$K$1004,$J$5:$J$1004,"&lt;="&amp;Y$2)*节奏总纲!AA114*4+AD114</f>
        <v>13296118.388814723</v>
      </c>
      <c r="AH115" s="35">
        <v>111</v>
      </c>
      <c r="AI115" s="47">
        <f>'[1]资源-木石铜粮'!AE116-U115</f>
        <v>-36592219075.184669</v>
      </c>
      <c r="AJ115" s="47">
        <f>'[1]资源-木石铜粮'!AF116-V115</f>
        <v>-61435833096.609955</v>
      </c>
      <c r="AK115" s="47">
        <f>'[1]资源-木石铜粮'!AG116-W115</f>
        <v>-133554097653.60947</v>
      </c>
      <c r="AL115" s="47">
        <f>'[1]资源-木石铜粮'!AH116-X115</f>
        <v>-229749639253.65344</v>
      </c>
      <c r="AM115" s="47">
        <f>'[1]资源-木石铜粮'!AI116-Y115</f>
        <v>-70640953701.123703</v>
      </c>
      <c r="AN115" s="47">
        <f>(AI115-AI114)*IF($AH115&lt;=10,'[1]功能-付费相关'!S126,'[1]功能-付费相关'!S116)</f>
        <v>-13637.628422116486</v>
      </c>
      <c r="AO115" s="47">
        <f>(AJ115-AJ114)*IF($AH115&lt;=10,'[1]功能-付费相关'!T126,'[1]功能-付费相关'!T116)</f>
        <v>-25712.333233347006</v>
      </c>
      <c r="AP115" s="47">
        <f>(AK115-AK114)*IF($AH115&lt;=10,'[1]功能-付费相关'!U126,'[1]功能-付费相关'!U116)</f>
        <v>-62187.092796507903</v>
      </c>
      <c r="AQ115" s="47">
        <f>(AL115-AL114)*IF($AH115&lt;=10,'[1]功能-付费相关'!V126,'[1]功能-付费相关'!V116)</f>
        <v>-184439.525030852</v>
      </c>
      <c r="AR115" s="47">
        <f>(AM115-AM114)*IF($AH115&lt;=10,'[1]功能-付费相关'!W126,'[1]功能-付费相关'!W116)</f>
        <v>-64700.213544134363</v>
      </c>
      <c r="AS115" s="48">
        <f>SUM(AN$5:AN115)/'[1]资源-钻石'!L114</f>
        <v>-4.9401473916005682E-2</v>
      </c>
      <c r="AT115" s="48">
        <f>SUM(AO$5:AO115)/'[1]资源-钻石'!M114</f>
        <v>-6.9065269619558278E-2</v>
      </c>
      <c r="AU115" s="48">
        <f>SUM(AP$5:AP115)/'[1]资源-钻石'!N114</f>
        <v>-9.9743745097783013E-2</v>
      </c>
      <c r="AV115" s="48">
        <f>SUM(AQ$5:AQ115)/'[1]资源-钻石'!O114</f>
        <v>-7.7062529138986841E-2</v>
      </c>
      <c r="AW115" s="48">
        <f>SUM(AR$5:AR115)/'[1]资源-钻石'!P114</f>
        <v>-1.5897438834201309E-2</v>
      </c>
      <c r="AX115" s="35">
        <f>('[1]资源-木石铜粮'!C116+U115)/'[1]资源-木石铜粮'!U116</f>
        <v>1.1469265885452737</v>
      </c>
      <c r="AY115" s="35">
        <f>('[1]资源-木石铜粮'!D116+V115)/'[1]资源-木石铜粮'!V116</f>
        <v>1.2181620450324699</v>
      </c>
      <c r="AZ115" s="35">
        <f>('[1]资源-木石铜粮'!E116+W115)/'[1]资源-木石铜粮'!W116</f>
        <v>1.4456292706465494</v>
      </c>
      <c r="BA115" s="35">
        <f>('[1]资源-木石铜粮'!F116+X115)/'[1]资源-木石铜粮'!X116</f>
        <v>1.8330596528903305</v>
      </c>
      <c r="BB115" s="35">
        <f>('[1]资源-木石铜粮'!G116+Y115)/'[1]资源-木石铜粮'!Y116</f>
        <v>1.3165535801686858</v>
      </c>
      <c r="BE115" s="39">
        <f t="shared" si="31"/>
        <v>2.1618537783800441E-5</v>
      </c>
      <c r="BF115" s="39">
        <f t="shared" si="32"/>
        <v>5.480048068884002E-5</v>
      </c>
      <c r="BG115" s="39">
        <f t="shared" si="33"/>
        <v>6.6477741684279552E-5</v>
      </c>
      <c r="BH115" s="39">
        <f t="shared" si="34"/>
        <v>6.8159076793996342E-5</v>
      </c>
      <c r="BI115" s="39">
        <f t="shared" si="35"/>
        <v>6.5819153107442334E-5</v>
      </c>
      <c r="BK115" s="39">
        <f>BE115/求节点(节奏总纲!AM$4:AM$83,$G$5:$G$84,节奏总纲!P114)</f>
        <v>0.44643074644265901</v>
      </c>
      <c r="BL115" s="39">
        <f>BF115/求节点(节奏总纲!AN$4:AN$83,$G$5:$G$84,节奏总纲!Q114)</f>
        <v>1.1522213661668845</v>
      </c>
      <c r="BM115" s="39">
        <f>BG115/求节点(节奏总纲!AO$4:AO$83,$G$5:$G$84,节奏总纲!R114)</f>
        <v>1.4262051850792561</v>
      </c>
      <c r="BN115" s="39">
        <f>BH115/求节点(节奏总纲!AP$4:AP$83,$G$5:$G$84,节奏总纲!S114)</f>
        <v>1.4829603750227733</v>
      </c>
      <c r="BO115" s="39">
        <f>BI115/求节点(节奏总纲!AQ$4:AQ$83,$G$5:$G$84,节奏总纲!T114)</f>
        <v>1.4487507834750153</v>
      </c>
    </row>
    <row r="116" spans="9:67" x14ac:dyDescent="0.15">
      <c r="I116" s="54"/>
      <c r="J116" s="39">
        <v>112</v>
      </c>
      <c r="K116" s="55">
        <v>60</v>
      </c>
      <c r="L116" s="55">
        <f t="shared" si="30"/>
        <v>90</v>
      </c>
      <c r="M116" s="55"/>
      <c r="T116" s="35">
        <v>112</v>
      </c>
      <c r="U116" s="50">
        <f>INDEX($Q$5:$Q$21,MATCH(节奏总纲!BQ115,$N$5:$N$21,1))*(U$2+$K$2)*节奏总纲!W115*4*$C$5+U115</f>
        <v>44201728608.744202</v>
      </c>
      <c r="V116" s="50">
        <f>INDEX($Q$5:$Q$21,MATCH(节奏总纲!BR115,$N$5:$N$21,1))*(V$2+$K$2)*节奏总纲!X115*4*$C$5+V115</f>
        <v>133652139347.19785</v>
      </c>
      <c r="W116" s="50">
        <f>INDEX($Q$5:$Q$21,MATCH(节奏总纲!BS115,$N$5:$N$21,1))*(W$2+$K$2)*节奏总纲!Y115*4*$C$5+W115</f>
        <v>272030272212.54813</v>
      </c>
      <c r="X116" s="50">
        <f>INDEX($Q$5:$Q$21,MATCH(节奏总纲!BT115,$N$5:$N$21,1))*(X$2+$K$2)*节奏总纲!Z115*4*$C$5+X115</f>
        <v>400584103856.20886</v>
      </c>
      <c r="Y116" s="50">
        <f>INDEX($Q$5:$Q$21,MATCH(节奏总纲!BU115,$N$5:$N$21,1))*(Y$2+$K$2)*节奏总纲!AA115*4*$C$5+Y115</f>
        <v>222562038860.82272</v>
      </c>
      <c r="Z116" s="51">
        <f>SUMIFS($K$5:$K$1004,$J$5:$J$1004,"&lt;="&amp;U$2)*节奏总纲!W115*4+Z115</f>
        <v>940613.69241357024</v>
      </c>
      <c r="AA116" s="51">
        <f>SUMIFS($K$5:$K$1004,$J$5:$J$1004,"&lt;="&amp;V$2)*节奏总纲!X115*4+AA115</f>
        <v>7216858.5550431181</v>
      </c>
      <c r="AB116" s="51">
        <f>SUMIFS($K$5:$K$1004,$J$5:$J$1004,"&lt;="&amp;W$2)*节奏总纲!Y115*4+AB115</f>
        <v>17381412.29937188</v>
      </c>
      <c r="AC116" s="51">
        <f>SUMIFS($K$5:$K$1004,$J$5:$J$1004,"&lt;="&amp;X$2)*节奏总纲!Z115*4+AC115</f>
        <v>26341039.903718863</v>
      </c>
      <c r="AD116" s="51">
        <f>SUMIFS($K$5:$K$1004,$J$5:$J$1004,"&lt;="&amp;Y$2)*节奏总纲!AA115*4+AD115</f>
        <v>14207969.823906979</v>
      </c>
      <c r="AH116" s="35">
        <v>112</v>
      </c>
      <c r="AI116" s="47">
        <f>'[1]资源-木石铜粮'!AE117-U116</f>
        <v>-38236350505.579651</v>
      </c>
      <c r="AJ116" s="47">
        <f>'[1]资源-木石铜粮'!AF117-V116</f>
        <v>-64413617730.184021</v>
      </c>
      <c r="AK116" s="47">
        <f>'[1]资源-木石铜粮'!AG117-W116</f>
        <v>-148240147430.25082</v>
      </c>
      <c r="AL116" s="47">
        <f>'[1]资源-木石铜粮'!AH117-X116</f>
        <v>-255388379344.61862</v>
      </c>
      <c r="AM116" s="47">
        <f>'[1]资源-木石铜粮'!AI117-Y116</f>
        <v>-78889185871.985321</v>
      </c>
      <c r="AN116" s="47">
        <f>(AI116-AI115)*IF($AH116&lt;=10,'[1]功能-付费相关'!S127,'[1]功能-付费相关'!S117)</f>
        <v>-12660.824902544531</v>
      </c>
      <c r="AO116" s="47">
        <f>(AJ116-AJ115)*IF($AH116&lt;=10,'[1]功能-付费相关'!T127,'[1]功能-付费相关'!T117)</f>
        <v>-22074.22084525189</v>
      </c>
      <c r="AP116" s="47">
        <f>(AK116-AK115)*IF($AH116&lt;=10,'[1]功能-付费相关'!U127,'[1]功能-付费相关'!U117)</f>
        <v>-107361.22827263021</v>
      </c>
      <c r="AQ116" s="47">
        <f>(AL116-AL115)*IF($AH116&lt;=10,'[1]功能-付费相关'!V127,'[1]功能-付费相关'!V117)</f>
        <v>-185127.95028568569</v>
      </c>
      <c r="AR116" s="47">
        <f>(AM116-AM115)*IF($AH116&lt;=10,'[1]功能-付费相关'!W127,'[1]功能-付费相关'!W117)</f>
        <v>-58597.841509389167</v>
      </c>
      <c r="AS116" s="48">
        <f>SUM(AN$5:AN116)/'[1]资源-钻石'!L115</f>
        <v>-4.8003943901617024E-2</v>
      </c>
      <c r="AT116" s="48">
        <f>SUM(AO$5:AO116)/'[1]资源-钻石'!M115</f>
        <v>-6.6775698342771986E-2</v>
      </c>
      <c r="AU116" s="48">
        <f>SUM(AP$5:AP116)/'[1]资源-钻石'!N115</f>
        <v>-9.9655568979528583E-2</v>
      </c>
      <c r="AV116" s="48">
        <f>SUM(AQ$5:AQ116)/'[1]资源-钻石'!O115</f>
        <v>-7.6934904967892764E-2</v>
      </c>
      <c r="AW116" s="48">
        <f>SUM(AR$5:AR116)/'[1]资源-钻石'!P115</f>
        <v>-1.6070084236696671E-2</v>
      </c>
      <c r="AX116" s="35">
        <f>('[1]资源-木石铜粮'!C117+U116)/'[1]资源-木石铜粮'!U117</f>
        <v>1.1399763326225467</v>
      </c>
      <c r="AY116" s="35">
        <f>('[1]资源-木石铜粮'!D117+V116)/'[1]资源-木石铜粮'!V117</f>
        <v>1.2081111016952877</v>
      </c>
      <c r="AZ116" s="35">
        <f>('[1]资源-木石铜粮'!E117+W116)/'[1]资源-木石铜粮'!W117</f>
        <v>1.449131237546853</v>
      </c>
      <c r="BA116" s="35">
        <f>('[1]资源-木石铜粮'!F117+X116)/'[1]资源-木石铜粮'!X117</f>
        <v>1.8414608424210974</v>
      </c>
      <c r="BB116" s="35">
        <f>('[1]资源-木石铜粮'!G117+Y116)/'[1]资源-木石铜粮'!Y117</f>
        <v>1.3244281353522331</v>
      </c>
      <c r="BE116" s="39">
        <f t="shared" si="31"/>
        <v>2.128002053357464E-5</v>
      </c>
      <c r="BF116" s="39">
        <f t="shared" si="32"/>
        <v>5.3997329113418543E-5</v>
      </c>
      <c r="BG116" s="39">
        <f t="shared" si="33"/>
        <v>6.3895139897485697E-5</v>
      </c>
      <c r="BH116" s="39">
        <f t="shared" si="34"/>
        <v>6.5756578082224842E-5</v>
      </c>
      <c r="BI116" s="39">
        <f t="shared" si="35"/>
        <v>6.383824436831212E-5</v>
      </c>
      <c r="BK116" s="39">
        <f>BE116/求节点(节奏总纲!AM$4:AM$83,$G$5:$G$84,节奏总纲!P115)</f>
        <v>0.4482555859188645</v>
      </c>
      <c r="BL116" s="39">
        <f>BF116/求节点(节奏总纲!AN$4:AN$83,$G$5:$G$84,节奏总纲!Q115)</f>
        <v>1.1591793843113716</v>
      </c>
      <c r="BM116" s="39">
        <f>BG116/求节点(节奏总纲!AO$4:AO$83,$G$5:$G$84,节奏总纲!R115)</f>
        <v>1.389534169457795</v>
      </c>
      <c r="BN116" s="39">
        <f>BH116/求节点(节奏总纲!AP$4:AP$83,$G$5:$G$84,节奏总纲!S115)</f>
        <v>1.4453039523788993</v>
      </c>
      <c r="BO116" s="39">
        <f>BI116/求节点(节奏总纲!AQ$4:AQ$83,$G$5:$G$84,节奏总纲!T115)</f>
        <v>1.4182393624021876</v>
      </c>
    </row>
    <row r="117" spans="9:67" x14ac:dyDescent="0.15">
      <c r="I117" s="54"/>
      <c r="J117" s="39">
        <v>113</v>
      </c>
      <c r="K117" s="55">
        <v>60</v>
      </c>
      <c r="L117" s="55">
        <f t="shared" si="30"/>
        <v>90</v>
      </c>
      <c r="M117" s="55"/>
      <c r="T117" s="35">
        <v>113</v>
      </c>
      <c r="U117" s="50">
        <f>INDEX($Q$5:$Q$21,MATCH(节奏总纲!BQ116,$N$5:$N$21,1))*(U$2+$K$2)*节奏总纲!W116*4*$C$5+U116</f>
        <v>48067707390.303223</v>
      </c>
      <c r="V117" s="50">
        <f>INDEX($Q$5:$Q$21,MATCH(节奏总纲!BR116,$N$5:$N$21,1))*(V$2+$K$2)*节奏总纲!X116*4*$C$5+V116</f>
        <v>149140010785.36603</v>
      </c>
      <c r="W117" s="50">
        <f>INDEX($Q$5:$Q$21,MATCH(节奏总纲!BS116,$N$5:$N$21,1))*(W$2+$K$2)*节奏总纲!Y116*4*$C$5+W116</f>
        <v>302474672036.18347</v>
      </c>
      <c r="X117" s="50">
        <f>INDEX($Q$5:$Q$21,MATCH(节奏总纲!BT116,$N$5:$N$21,1))*(X$2+$K$2)*节奏总纲!Z116*4*$C$5+X116</f>
        <v>441918885090.27728</v>
      </c>
      <c r="Y117" s="50">
        <f>INDEX($Q$5:$Q$21,MATCH(节奏总纲!BU116,$N$5:$N$21,1))*(Y$2+$K$2)*节奏总纲!AA116*4*$C$5+Y116</f>
        <v>244390346075.12653</v>
      </c>
      <c r="Z117" s="51">
        <f>SUMIFS($K$5:$K$1004,$J$5:$J$1004,"&lt;="&amp;U$2)*节奏总纲!W116*4+Z116</f>
        <v>1008153.5034121554</v>
      </c>
      <c r="AA117" s="51">
        <f>SUMIFS($K$5:$K$1004,$J$5:$J$1004,"&lt;="&amp;V$2)*节奏总纲!X116*4+AA116</f>
        <v>7738687.1075420463</v>
      </c>
      <c r="AB117" s="51">
        <f>SUMIFS($K$5:$K$1004,$J$5:$J$1004,"&lt;="&amp;W$2)*节奏总纲!Y116*4+AB116</f>
        <v>18648521.060067024</v>
      </c>
      <c r="AC117" s="51">
        <f>SUMIFS($K$5:$K$1004,$J$5:$J$1004,"&lt;="&amp;X$2)*节奏总纲!Z116*4+AC116</f>
        <v>28174966.775209848</v>
      </c>
      <c r="AD117" s="51">
        <f>SUMIFS($K$5:$K$1004,$J$5:$J$1004,"&lt;="&amp;Y$2)*节奏总纲!AA116*4+AD116</f>
        <v>15176440.394315563</v>
      </c>
      <c r="AH117" s="35">
        <v>113</v>
      </c>
      <c r="AI117" s="47">
        <f>'[1]资源-木石铜粮'!AE118-U117</f>
        <v>-39486715406.916138</v>
      </c>
      <c r="AJ117" s="47">
        <f>'[1]资源-木石铜粮'!AF118-V117</f>
        <v>-70369282035.669525</v>
      </c>
      <c r="AK117" s="47">
        <f>'[1]资源-木石铜粮'!AG118-W117</f>
        <v>-163081841786.74896</v>
      </c>
      <c r="AL117" s="47">
        <f>'[1]资源-木石铜粮'!AH118-X117</f>
        <v>-280925347755.8515</v>
      </c>
      <c r="AM117" s="47">
        <f>'[1]资源-木石铜粮'!AI118-Y117</f>
        <v>-87479002049.222229</v>
      </c>
      <c r="AN117" s="47">
        <f>(AI117-AI116)*IF($AH117&lt;=10,'[1]功能-付费相关'!S128,'[1]功能-付费相关'!S118)</f>
        <v>-9612.6718330290114</v>
      </c>
      <c r="AO117" s="47">
        <f>(AJ117-AJ116)*IF($AH117&lt;=10,'[1]功能-付费相关'!T128,'[1]功能-付费相关'!T118)</f>
        <v>-44051.93745728334</v>
      </c>
      <c r="AP117" s="47">
        <f>(AK117-AK116)*IF($AH117&lt;=10,'[1]功能-付费相关'!U128,'[1]功能-付费相关'!U118)</f>
        <v>-108499.05590644223</v>
      </c>
      <c r="AQ117" s="47">
        <f>(AL117-AL116)*IF($AH117&lt;=10,'[1]功能-付费相关'!V128,'[1]功能-付费相关'!V118)</f>
        <v>-184393.09426705429</v>
      </c>
      <c r="AR117" s="47">
        <f>(AM117-AM116)*IF($AH117&lt;=10,'[1]功能-付费相关'!W128,'[1]功能-付费相关'!W118)</f>
        <v>-61024.553688810098</v>
      </c>
      <c r="AS117" s="48">
        <f>SUM(AN$5:AN117)/'[1]资源-钻石'!L116</f>
        <v>-4.622044817581096E-2</v>
      </c>
      <c r="AT117" s="48">
        <f>SUM(AO$5:AO117)/'[1]资源-钻石'!M116</f>
        <v>-6.6355910265109619E-2</v>
      </c>
      <c r="AU117" s="48">
        <f>SUM(AP$5:AP117)/'[1]资源-钻石'!N116</f>
        <v>-9.9182284373436042E-2</v>
      </c>
      <c r="AV117" s="48">
        <f>SUM(AQ$5:AQ117)/'[1]资源-钻石'!O116</f>
        <v>-7.6699919140911871E-2</v>
      </c>
      <c r="AW117" s="48">
        <f>SUM(AR$5:AR117)/'[1]资源-钻石'!P116</f>
        <v>-1.6208155015788629E-2</v>
      </c>
      <c r="AX117" s="35">
        <f>('[1]资源-木石铜粮'!C118+U117)/'[1]资源-木石铜粮'!U118</f>
        <v>1.1318059563464702</v>
      </c>
      <c r="AY117" s="35">
        <f>('[1]资源-木石铜粮'!D118+V117)/'[1]资源-木石铜粮'!V118</f>
        <v>1.2066080316908556</v>
      </c>
      <c r="AZ117" s="35">
        <f>('[1]资源-木石铜粮'!E118+W117)/'[1]资源-木石铜粮'!W118</f>
        <v>1.4482867107550823</v>
      </c>
      <c r="BA117" s="35">
        <f>('[1]资源-木石铜粮'!F118+X117)/'[1]资源-木石铜粮'!X118</f>
        <v>1.8447738972852801</v>
      </c>
      <c r="BB117" s="35">
        <f>('[1]资源-木石铜粮'!G118+Y117)/'[1]资源-木石铜粮'!Y118</f>
        <v>1.3306227249294127</v>
      </c>
      <c r="BE117" s="39">
        <f t="shared" si="31"/>
        <v>2.0973613224905581E-5</v>
      </c>
      <c r="BF117" s="39">
        <f t="shared" si="32"/>
        <v>5.1888739090136805E-5</v>
      </c>
      <c r="BG117" s="39">
        <f t="shared" si="33"/>
        <v>6.1653165650300132E-5</v>
      </c>
      <c r="BH117" s="39">
        <f t="shared" si="34"/>
        <v>6.3755969083453256E-5</v>
      </c>
      <c r="BI117" s="39">
        <f t="shared" si="35"/>
        <v>6.2099181240368094E-5</v>
      </c>
      <c r="BK117" s="39">
        <f>BE117/求节点(节奏总纲!AM$4:AM$83,$G$5:$G$84,节奏总纲!P116)</f>
        <v>0.45105979013275693</v>
      </c>
      <c r="BL117" s="39">
        <f>BF117/求节点(节奏总纲!AN$4:AN$83,$G$5:$G$84,节奏总纲!Q116)</f>
        <v>1.1287037998120153</v>
      </c>
      <c r="BM117" s="39">
        <f>BG117/求节点(节奏总纲!AO$4:AO$83,$G$5:$G$84,节奏总纲!R116)</f>
        <v>1.3543803804551313</v>
      </c>
      <c r="BN117" s="39">
        <f>BH117/求节点(节奏总纲!AP$4:AP$83,$G$5:$G$84,节奏总纲!S116)</f>
        <v>1.4147389847038156</v>
      </c>
      <c r="BO117" s="39">
        <f>BI117/求节点(节奏总纲!AQ$4:AQ$83,$G$5:$G$84,节奏总纲!T116)</f>
        <v>1.3928398639912123</v>
      </c>
    </row>
    <row r="118" spans="9:67" x14ac:dyDescent="0.15">
      <c r="I118" s="54"/>
      <c r="J118" s="39">
        <v>114</v>
      </c>
      <c r="K118" s="55">
        <v>60</v>
      </c>
      <c r="L118" s="55">
        <f t="shared" si="30"/>
        <v>90</v>
      </c>
      <c r="M118" s="55"/>
      <c r="T118" s="35">
        <v>114</v>
      </c>
      <c r="U118" s="50">
        <f>INDEX($Q$5:$Q$21,MATCH(节奏总纲!BQ117,$N$5:$N$21,1))*(U$2+$K$2)*节奏总纲!W117*4*$C$5+U117</f>
        <v>53592312010.040955</v>
      </c>
      <c r="V118" s="50">
        <f>INDEX($Q$5:$Q$21,MATCH(节奏总纲!BR117,$N$5:$N$21,1))*(V$2+$K$2)*节奏总纲!X117*4*$C$5+V117</f>
        <v>165689511081.97626</v>
      </c>
      <c r="W118" s="50">
        <f>INDEX($Q$5:$Q$21,MATCH(节奏总纲!BS117,$N$5:$N$21,1))*(W$2+$K$2)*节奏总纲!Y117*4*$C$5+W117</f>
        <v>333524828780.53107</v>
      </c>
      <c r="X118" s="50">
        <f>INDEX($Q$5:$Q$21,MATCH(节奏总纲!BT117,$N$5:$N$21,1))*(X$2+$K$2)*节奏总纲!Z117*4*$C$5+X117</f>
        <v>484877999070.07214</v>
      </c>
      <c r="Y118" s="50">
        <f>INDEX($Q$5:$Q$21,MATCH(节奏总纲!BU117,$N$5:$N$21,1))*(Y$2+$K$2)*节奏总纲!AA117*4*$C$5+Y117</f>
        <v>267701615524.34857</v>
      </c>
      <c r="Z118" s="51">
        <f>SUMIFS($K$5:$K$1004,$J$5:$J$1004,"&lt;="&amp;U$2)*节奏总纲!W117*4+Z117</f>
        <v>1080540.8805051551</v>
      </c>
      <c r="AA118" s="51">
        <f>SUMIFS($K$5:$K$1004,$J$5:$J$1004,"&lt;="&amp;V$2)*节奏总纲!X117*4+AA117</f>
        <v>8296284.8264305312</v>
      </c>
      <c r="AB118" s="51">
        <f>SUMIFS($K$5:$K$1004,$J$5:$J$1004,"&lt;="&amp;W$2)*节奏总纲!Y117*4+AB117</f>
        <v>19940841.679282378</v>
      </c>
      <c r="AC118" s="51">
        <f>SUMIFS($K$5:$K$1004,$J$5:$J$1004,"&lt;="&amp;X$2)*节奏总纲!Z117*4+AC117</f>
        <v>30080961.464206912</v>
      </c>
      <c r="AD118" s="51">
        <f>SUMIFS($K$5:$K$1004,$J$5:$J$1004,"&lt;="&amp;Y$2)*节奏总纲!AA117*4+AD117</f>
        <v>16210706.505690537</v>
      </c>
      <c r="AH118" s="35">
        <v>114</v>
      </c>
      <c r="AI118" s="47">
        <f>'[1]资源-木石铜粮'!AE119-U118</f>
        <v>-41148169776.649475</v>
      </c>
      <c r="AJ118" s="47">
        <f>'[1]资源-木石铜粮'!AF119-V118</f>
        <v>-75718613911.555969</v>
      </c>
      <c r="AK118" s="47">
        <f>'[1]资源-木石铜粮'!AG119-W118</f>
        <v>-177231576943.49872</v>
      </c>
      <c r="AL118" s="47">
        <f>'[1]资源-木石铜粮'!AH119-X118</f>
        <v>-306768833122.10901</v>
      </c>
      <c r="AM118" s="47">
        <f>'[1]资源-木石铜粮'!AI119-Y118</f>
        <v>-96411121697.553284</v>
      </c>
      <c r="AN118" s="47">
        <f>(AI118-AI117)*IF($AH118&lt;=10,'[1]功能-付费相关'!S129,'[1]功能-付费相关'!S119)</f>
        <v>-12750.505555794367</v>
      </c>
      <c r="AO118" s="47">
        <f>(AJ118-AJ117)*IF($AH118&lt;=10,'[1]功能-付费相关'!T129,'[1]功能-付费相关'!T119)</f>
        <v>-39474.238330521926</v>
      </c>
      <c r="AP118" s="47">
        <f>(AK118-AK117)*IF($AH118&lt;=10,'[1]功能-付费相关'!U129,'[1]功能-付费相关'!U119)</f>
        <v>-103440.54182475277</v>
      </c>
      <c r="AQ118" s="47">
        <f>(AL118-AL117)*IF($AH118&lt;=10,'[1]功能-付费相关'!V129,'[1]功能-付费相关'!V119)</f>
        <v>-186606.34091685808</v>
      </c>
      <c r="AR118" s="47">
        <f>(AM118-AM117)*IF($AH118&lt;=10,'[1]功能-付费相关'!W129,'[1]功能-付费相关'!W119)</f>
        <v>-63456.37715495209</v>
      </c>
      <c r="AS118" s="48">
        <f>SUM(AN$5:AN118)/'[1]资源-钻石'!L117</f>
        <v>-4.4801531731988302E-2</v>
      </c>
      <c r="AT118" s="48">
        <f>SUM(AO$5:AO118)/'[1]资源-钻石'!M117</f>
        <v>-6.5358026593108576E-2</v>
      </c>
      <c r="AU118" s="48">
        <f>SUM(AP$5:AP118)/'[1]资源-钻石'!N117</f>
        <v>-9.8388646652000145E-2</v>
      </c>
      <c r="AV118" s="48">
        <f>SUM(AQ$5:AQ118)/'[1]资源-钻石'!O117</f>
        <v>-7.6365890817089291E-2</v>
      </c>
      <c r="AW118" s="48">
        <f>SUM(AR$5:AR118)/'[1]资源-钻石'!P117</f>
        <v>-1.6307309553117991E-2</v>
      </c>
      <c r="AX118" s="35">
        <f>('[1]资源-木石铜粮'!C119+U118)/'[1]资源-木石铜粮'!U119</f>
        <v>1.1250178096085053</v>
      </c>
      <c r="AY118" s="35">
        <f>('[1]资源-木石铜粮'!D119+V118)/'[1]资源-木石铜粮'!V119</f>
        <v>1.2019586479390516</v>
      </c>
      <c r="AZ118" s="35">
        <f>('[1]资源-木石铜粮'!E119+W118)/'[1]资源-木石铜粮'!W119</f>
        <v>1.4439137343947452</v>
      </c>
      <c r="BA118" s="35">
        <f>('[1]资源-木石铜粮'!F119+X118)/'[1]资源-木石铜粮'!X119</f>
        <v>1.8440446298627415</v>
      </c>
      <c r="BB118" s="35">
        <f>('[1]资源-木石铜粮'!G119+Y118)/'[1]资源-木石铜粮'!Y119</f>
        <v>1.33506818343695</v>
      </c>
      <c r="BE118" s="39">
        <f t="shared" si="31"/>
        <v>2.0162236708554522E-5</v>
      </c>
      <c r="BF118" s="39">
        <f t="shared" si="32"/>
        <v>5.0071273505815803E-5</v>
      </c>
      <c r="BG118" s="39">
        <f t="shared" si="33"/>
        <v>5.9788177546457948E-5</v>
      </c>
      <c r="BH118" s="39">
        <f t="shared" si="34"/>
        <v>6.2038206563090029E-5</v>
      </c>
      <c r="BI118" s="39">
        <f t="shared" si="35"/>
        <v>6.0555131406056479E-5</v>
      </c>
      <c r="BK118" s="39">
        <f>BE118/求节点(节奏总纲!AM$4:AM$83,$G$5:$G$84,节奏总纲!P117)</f>
        <v>0.43889934680461334</v>
      </c>
      <c r="BL118" s="39">
        <f>BF118/求节点(节奏总纲!AN$4:AN$83,$G$5:$G$84,节奏总纲!Q117)</f>
        <v>1.1001120514550382</v>
      </c>
      <c r="BM118" s="39">
        <f>BG118/求节点(节奏总纲!AO$4:AO$83,$G$5:$G$84,节奏总纲!R117)</f>
        <v>1.3259788125257679</v>
      </c>
      <c r="BN118" s="39">
        <f>BH118/求节点(节奏总纲!AP$4:AP$83,$G$5:$G$84,节奏总纲!S117)</f>
        <v>1.3896006657536033</v>
      </c>
      <c r="BO118" s="39">
        <f>BI118/求节点(节奏总纲!AQ$4:AQ$83,$G$5:$G$84,节奏总纲!T117)</f>
        <v>1.3711367674170107</v>
      </c>
    </row>
    <row r="119" spans="9:67" x14ac:dyDescent="0.15">
      <c r="I119" s="54"/>
      <c r="J119" s="39">
        <v>115</v>
      </c>
      <c r="K119" s="55">
        <v>60</v>
      </c>
      <c r="L119" s="55">
        <f t="shared" si="30"/>
        <v>90</v>
      </c>
      <c r="M119" s="55"/>
      <c r="T119" s="35">
        <v>115</v>
      </c>
      <c r="U119" s="50">
        <f>INDEX($Q$5:$Q$21,MATCH(节奏总纲!BQ118,$N$5:$N$21,1))*(U$2+$K$2)*节奏总纲!W118*4*$C$5+U118</f>
        <v>59513436632.481255</v>
      </c>
      <c r="V119" s="50">
        <f>INDEX($Q$5:$Q$21,MATCH(节奏总纲!BR118,$N$5:$N$21,1))*(V$2+$K$2)*节奏总纲!X118*4*$C$5+V118</f>
        <v>182626641797.05984</v>
      </c>
      <c r="W119" s="50">
        <f>INDEX($Q$5:$Q$21,MATCH(节奏总纲!BS118,$N$5:$N$21,1))*(W$2+$K$2)*节奏总纲!Y118*4*$C$5+W118</f>
        <v>365596058633.9483</v>
      </c>
      <c r="X119" s="50">
        <f>INDEX($Q$5:$Q$21,MATCH(节奏总纲!BT118,$N$5:$N$21,1))*(X$2+$K$2)*节奏总纲!Z118*4*$C$5+X118</f>
        <v>529987057654.25</v>
      </c>
      <c r="Y119" s="50">
        <f>INDEX($Q$5:$Q$21,MATCH(节奏总纲!BU118,$N$5:$N$21,1))*(Y$2+$K$2)*节奏总纲!AA118*4*$C$5+Y118</f>
        <v>292298704315.96277</v>
      </c>
      <c r="Z119" s="51">
        <f>SUMIFS($K$5:$K$1004,$J$5:$J$1004,"&lt;="&amp;U$2)*节奏总纲!W118*4+Z118</f>
        <v>1158123.7502960395</v>
      </c>
      <c r="AA119" s="51">
        <f>SUMIFS($K$5:$K$1004,$J$5:$J$1004,"&lt;="&amp;V$2)*节奏总纲!X118*4+AA118</f>
        <v>8866942.869391568</v>
      </c>
      <c r="AB119" s="51">
        <f>SUMIFS($K$5:$K$1004,$J$5:$J$1004,"&lt;="&amp;W$2)*节奏总纲!Y118*4+AB118</f>
        <v>21275659.79193848</v>
      </c>
      <c r="AC119" s="51">
        <f>SUMIFS($K$5:$K$1004,$J$5:$J$1004,"&lt;="&amp;X$2)*节奏总纲!Z118*4+AC118</f>
        <v>32082344.130700886</v>
      </c>
      <c r="AD119" s="51">
        <f>SUMIFS($K$5:$K$1004,$J$5:$J$1004,"&lt;="&amp;Y$2)*节奏总纲!AA118*4+AD118</f>
        <v>17302021.392297741</v>
      </c>
      <c r="AH119" s="35">
        <v>115</v>
      </c>
      <c r="AI119" s="47">
        <f>'[1]资源-木石铜粮'!AE120-U119</f>
        <v>-42151489641.094414</v>
      </c>
      <c r="AJ119" s="47">
        <f>'[1]资源-木石铜粮'!AF120-V119</f>
        <v>-80289242041.551239</v>
      </c>
      <c r="AK119" s="47">
        <f>'[1]资源-木石铜粮'!AG120-W119</f>
        <v>-190885371861.70703</v>
      </c>
      <c r="AL119" s="47">
        <f>'[1]资源-木石铜粮'!AH120-X119</f>
        <v>-333154526635.48492</v>
      </c>
      <c r="AM119" s="47">
        <f>'[1]资源-木石铜粮'!AI120-Y119</f>
        <v>-105556033477.27911</v>
      </c>
      <c r="AN119" s="47">
        <f>(AI119-AI118)*IF($AH119&lt;=10,'[1]功能-付费相关'!S130,'[1]功能-付费相关'!S120)</f>
        <v>-7686.8415889318621</v>
      </c>
      <c r="AO119" s="47">
        <f>(AJ119-AJ118)*IF($AH119&lt;=10,'[1]功能-付费相关'!T130,'[1]功能-付费相关'!T120)</f>
        <v>-33692.534332878291</v>
      </c>
      <c r="AP119" s="47">
        <f>(AK119-AK118)*IF($AH119&lt;=10,'[1]功能-付费相关'!U130,'[1]功能-付费相关'!U120)</f>
        <v>-99815.009161482216</v>
      </c>
      <c r="AQ119" s="47">
        <f>(AL119-AL118)*IF($AH119&lt;=10,'[1]功能-付费相关'!V130,'[1]功能-付费相关'!V120)</f>
        <v>-190521.42732703633</v>
      </c>
      <c r="AR119" s="47">
        <f>(AM119-AM118)*IF($AH119&lt;=10,'[1]功能-付费相关'!W130,'[1]功能-付费相关'!W120)</f>
        <v>-64968.114377137194</v>
      </c>
      <c r="AS119" s="48">
        <f>SUM(AN$5:AN119)/'[1]资源-钻石'!L118</f>
        <v>-4.2856514343696896E-2</v>
      </c>
      <c r="AT119" s="48">
        <f>SUM(AO$5:AO119)/'[1]资源-钻石'!M118</f>
        <v>-6.3957045506989108E-2</v>
      </c>
      <c r="AU119" s="48">
        <f>SUM(AP$5:AP119)/'[1]资源-钻石'!N118</f>
        <v>-9.732671396146321E-2</v>
      </c>
      <c r="AV119" s="48">
        <f>SUM(AQ$5:AQ119)/'[1]资源-钻石'!O118</f>
        <v>-7.5936115537489329E-2</v>
      </c>
      <c r="AW119" s="48">
        <f>SUM(AR$5:AR119)/'[1]资源-钻石'!P118</f>
        <v>-1.6370435203546335E-2</v>
      </c>
      <c r="AX119" s="35">
        <f>('[1]资源-木石铜粮'!C120+U119)/'[1]资源-木石铜粮'!U120</f>
        <v>1.1165404592409074</v>
      </c>
      <c r="AY119" s="35">
        <f>('[1]资源-木石铜粮'!D120+V119)/'[1]资源-木石铜粮'!V120</f>
        <v>1.1953177481153818</v>
      </c>
      <c r="AZ119" s="35">
        <f>('[1]资源-木石铜粮'!E120+W119)/'[1]资源-木石铜粮'!W120</f>
        <v>1.4369165651097608</v>
      </c>
      <c r="BA119" s="35">
        <f>('[1]资源-木石铜粮'!F120+X119)/'[1]资源-木石铜粮'!X120</f>
        <v>1.8398108938709923</v>
      </c>
      <c r="BB119" s="35">
        <f>('[1]资源-木石铜粮'!G120+Y119)/'[1]资源-木石铜粮'!Y120</f>
        <v>1.3378193687592055</v>
      </c>
      <c r="BE119" s="39">
        <f t="shared" si="31"/>
        <v>1.945987017096503E-5</v>
      </c>
      <c r="BF119" s="39">
        <f t="shared" si="32"/>
        <v>4.8552296544141563E-5</v>
      </c>
      <c r="BG119" s="39">
        <f t="shared" si="33"/>
        <v>5.8194445179291867E-5</v>
      </c>
      <c r="BH119" s="39">
        <f t="shared" si="34"/>
        <v>6.0534202991105092E-5</v>
      </c>
      <c r="BI119" s="39">
        <f t="shared" si="35"/>
        <v>5.9192945903704639E-5</v>
      </c>
      <c r="BK119" s="39">
        <f>BE119/求节点(节奏总纲!AM$4:AM$83,$G$5:$G$84,节奏总纲!P118)</f>
        <v>0.42787667402859875</v>
      </c>
      <c r="BL119" s="39">
        <f>BF119/求节点(节奏总纲!AN$4:AN$83,$G$5:$G$84,节奏总纲!Q118)</f>
        <v>1.0768626733403965</v>
      </c>
      <c r="BM119" s="39">
        <f>BG119/求节点(节奏总纲!AO$4:AO$83,$G$5:$G$84,节奏总纲!R118)</f>
        <v>1.3026182541556299</v>
      </c>
      <c r="BN119" s="39">
        <f>BH119/求节点(节奏总纲!AP$4:AP$83,$G$5:$G$84,节奏总纲!S118)</f>
        <v>1.3686816146310605</v>
      </c>
      <c r="BO119" s="39">
        <f>BI119/求节点(节奏总纲!AQ$4:AQ$83,$G$5:$G$84,节奏总纲!T118)</f>
        <v>1.352899757844932</v>
      </c>
    </row>
    <row r="120" spans="9:67" x14ac:dyDescent="0.15">
      <c r="I120" s="54"/>
      <c r="J120" s="39">
        <v>116</v>
      </c>
      <c r="K120" s="55">
        <v>60</v>
      </c>
      <c r="L120" s="55">
        <f t="shared" si="30"/>
        <v>90</v>
      </c>
      <c r="M120" s="55"/>
      <c r="T120" s="35">
        <v>116</v>
      </c>
      <c r="U120" s="50">
        <f>INDEX($Q$5:$Q$21,MATCH(节奏总纲!BQ119,$N$5:$N$21,1))*(U$2+$K$2)*节奏总纲!W119*4*$C$5+U119</f>
        <v>65859540871.182922</v>
      </c>
      <c r="V120" s="50">
        <f>INDEX($Q$5:$Q$21,MATCH(节奏总纲!BR119,$N$5:$N$21,1))*(V$2+$K$2)*节奏总纲!X119*4*$C$5+V119</f>
        <v>201190280481.56757</v>
      </c>
      <c r="W120" s="50">
        <f>INDEX($Q$5:$Q$21,MATCH(节奏总纲!BS119,$N$5:$N$21,1))*(W$2+$K$2)*节奏总纲!Y119*4*$C$5+W119</f>
        <v>401653925947.79865</v>
      </c>
      <c r="X120" s="50">
        <f>INDEX($Q$5:$Q$21,MATCH(节奏总纲!BT119,$N$5:$N$21,1))*(X$2+$K$2)*节奏总纲!Z119*4*$C$5+X119</f>
        <v>582382943680.81787</v>
      </c>
      <c r="Y120" s="50">
        <f>INDEX($Q$5:$Q$21,MATCH(节奏总纲!BU119,$N$5:$N$21,1))*(Y$2+$K$2)*节奏总纲!AA119*4*$C$5+Y119</f>
        <v>320297821985.51849</v>
      </c>
      <c r="Z120" s="51">
        <f>SUMIFS($K$5:$K$1004,$J$5:$J$1004,"&lt;="&amp;U$2)*节奏总纲!W119*4+Z119</f>
        <v>1241275.0112853171</v>
      </c>
      <c r="AA120" s="51">
        <f>SUMIFS($K$5:$K$1004,$J$5:$J$1004,"&lt;="&amp;V$2)*节奏总纲!X119*4+AA119</f>
        <v>9492402.3938022051</v>
      </c>
      <c r="AB120" s="51">
        <f>SUMIFS($K$5:$K$1004,$J$5:$J$1004,"&lt;="&amp;W$2)*节奏总纲!Y119*4+AB119</f>
        <v>22776403.437076535</v>
      </c>
      <c r="AC120" s="51">
        <f>SUMIFS($K$5:$K$1004,$J$5:$J$1004,"&lt;="&amp;X$2)*节奏总纲!Z119*4+AC119</f>
        <v>34407026.165318832</v>
      </c>
      <c r="AD120" s="51">
        <f>SUMIFS($K$5:$K$1004,$J$5:$J$1004,"&lt;="&amp;Y$2)*节奏总纲!AA119*4+AD119</f>
        <v>18544276.286099251</v>
      </c>
      <c r="AH120" s="35">
        <v>116</v>
      </c>
      <c r="AI120" s="47">
        <f>'[1]资源-木石铜粮'!AE121-U120</f>
        <v>-42821056316.776428</v>
      </c>
      <c r="AJ120" s="47">
        <f>'[1]资源-木石铜粮'!AF121-V120</f>
        <v>-84804547226.783203</v>
      </c>
      <c r="AK120" s="47">
        <f>'[1]资源-木石铜粮'!AG121-W120</f>
        <v>-205908050999.68567</v>
      </c>
      <c r="AL120" s="47">
        <f>'[1]资源-木石铜粮'!AH121-X120</f>
        <v>-364267192543.20752</v>
      </c>
      <c r="AM120" s="47">
        <f>'[1]资源-木石铜粮'!AI121-Y120</f>
        <v>-115661539148.32358</v>
      </c>
      <c r="AN120" s="47">
        <f>(AI120-AI119)*IF($AH120&lt;=10,'[1]功能-付费相关'!S131,'[1]功能-付费相关'!S121)</f>
        <v>-5121.7950307624606</v>
      </c>
      <c r="AO120" s="47">
        <f>(AJ120-AJ119)*IF($AH120&lt;=10,'[1]功能-付费相关'!T131,'[1]功能-付费相关'!T121)</f>
        <v>-33284.719441178597</v>
      </c>
      <c r="AP120" s="47">
        <f>(AK120-AK119)*IF($AH120&lt;=10,'[1]功能-付费相关'!U131,'[1]功能-付费相关'!U121)</f>
        <v>-109822.13111958125</v>
      </c>
      <c r="AQ120" s="47">
        <f>(AL120-AL119)*IF($AH120&lt;=10,'[1]功能-付费相关'!V131,'[1]功能-付费相关'!V121)</f>
        <v>-224653.16341537848</v>
      </c>
      <c r="AR120" s="47">
        <f>(AM120-AM119)*IF($AH120&lt;=10,'[1]功能-付费相关'!W131,'[1]功能-付费相关'!W121)</f>
        <v>-71792.452905970917</v>
      </c>
      <c r="AS120" s="48">
        <f>SUM(AN$5:AN120)/'[1]资源-钻石'!L119</f>
        <v>-4.0825018400872826E-2</v>
      </c>
      <c r="AT120" s="48">
        <f>SUM(AO$5:AO120)/'[1]资源-钻石'!M119</f>
        <v>-6.2347243192708846E-2</v>
      </c>
      <c r="AU120" s="48">
        <f>SUM(AP$5:AP120)/'[1]资源-钻石'!N119</f>
        <v>-9.6166221440492597E-2</v>
      </c>
      <c r="AV120" s="48">
        <f>SUM(AQ$5:AQ120)/'[1]资源-钻石'!O119</f>
        <v>-7.5595928244374139E-2</v>
      </c>
      <c r="AW120" s="48">
        <f>SUM(AR$5:AR120)/'[1]资源-钻石'!P119</f>
        <v>-1.6400945834757472E-2</v>
      </c>
      <c r="AX120" s="35">
        <f>('[1]资源-木石铜粮'!C121+U120)/'[1]资源-木石铜粮'!U121</f>
        <v>1.1078160976896672</v>
      </c>
      <c r="AY120" s="35">
        <f>('[1]资源-木石铜粮'!D121+V120)/'[1]资源-木石铜粮'!V121</f>
        <v>1.1879241070286324</v>
      </c>
      <c r="AZ120" s="35">
        <f>('[1]资源-木石铜粮'!E121+W120)/'[1]资源-木石铜粮'!W121</f>
        <v>1.4293289721735045</v>
      </c>
      <c r="BA120" s="35">
        <f>('[1]资源-木石铜粮'!F121+X120)/'[1]资源-木石铜粮'!X121</f>
        <v>1.8375643496388889</v>
      </c>
      <c r="BB120" s="35">
        <f>('[1]资源-木石铜粮'!G121+Y120)/'[1]资源-木石铜粮'!Y121</f>
        <v>1.3392570267930495</v>
      </c>
      <c r="BE120" s="39">
        <f t="shared" si="31"/>
        <v>1.8847307388813599E-5</v>
      </c>
      <c r="BF120" s="39">
        <f t="shared" si="32"/>
        <v>4.718121755723617E-5</v>
      </c>
      <c r="BG120" s="39">
        <f t="shared" si="33"/>
        <v>5.6706537557998856E-5</v>
      </c>
      <c r="BH120" s="39">
        <f t="shared" si="34"/>
        <v>5.9079728447844147E-5</v>
      </c>
      <c r="BI120" s="39">
        <f t="shared" si="35"/>
        <v>5.7896979040143731E-5</v>
      </c>
      <c r="BK120" s="39">
        <f>BE120/求节点(节奏总纲!AM$4:AM$83,$G$5:$G$84,节奏总纲!P119)</f>
        <v>0.41847858057230303</v>
      </c>
      <c r="BL120" s="39">
        <f>BF120/求节点(节奏总纲!AN$4:AN$83,$G$5:$G$84,节奏总纲!Q119)</f>
        <v>1.0567039644225416</v>
      </c>
      <c r="BM120" s="39">
        <f>BG120/求节点(节奏总纲!AO$4:AO$83,$G$5:$G$84,节奏总纲!R119)</f>
        <v>1.2819921588623351</v>
      </c>
      <c r="BN120" s="39">
        <f>BH120/求节点(节奏总纲!AP$4:AP$83,$G$5:$G$84,节奏总纲!S119)</f>
        <v>1.3491666036655205</v>
      </c>
      <c r="BO120" s="39">
        <f>BI120/求节点(节奏总纲!AQ$4:AQ$83,$G$5:$G$84,节奏总纲!T119)</f>
        <v>1.3368288305662144</v>
      </c>
    </row>
    <row r="121" spans="9:67" x14ac:dyDescent="0.15">
      <c r="I121" s="54"/>
      <c r="J121" s="39">
        <v>117</v>
      </c>
      <c r="K121" s="55">
        <v>60</v>
      </c>
      <c r="L121" s="55">
        <f t="shared" si="30"/>
        <v>90</v>
      </c>
      <c r="M121" s="55"/>
      <c r="T121" s="35">
        <v>117</v>
      </c>
      <c r="U121" s="50">
        <f>INDEX($Q$5:$Q$21,MATCH(节奏总纲!BQ120,$N$5:$N$21,1))*(U$2+$K$2)*节奏总纲!W120*4*$C$5+U120</f>
        <v>72661126984.712448</v>
      </c>
      <c r="V121" s="50">
        <f>INDEX($Q$5:$Q$21,MATCH(节奏总纲!BR120,$N$5:$N$21,1))*(V$2+$K$2)*节奏总纲!X120*4*$C$5+V120</f>
        <v>221488932490.38107</v>
      </c>
      <c r="W121" s="50">
        <f>INDEX($Q$5:$Q$21,MATCH(节奏总纲!BS120,$N$5:$N$21,1))*(W$2+$K$2)*节奏总纲!Y120*4*$C$5+W120</f>
        <v>441548105676.31348</v>
      </c>
      <c r="X121" s="50">
        <f>INDEX($Q$5:$Q$21,MATCH(节奏总纲!BT120,$N$5:$N$21,1))*(X$2+$K$2)*节奏总纲!Z120*4*$C$5+X120</f>
        <v>638402904525.22473</v>
      </c>
      <c r="Y121" s="50">
        <f>INDEX($Q$5:$Q$21,MATCH(节奏总纲!BU120,$N$5:$N$21,1))*(Y$2+$K$2)*节奏总纲!AA120*4*$C$5+Y120</f>
        <v>350990206957.67651</v>
      </c>
      <c r="Z121" s="51">
        <f>SUMIFS($K$5:$K$1004,$J$5:$J$1004,"&lt;="&amp;U$2)*节奏总纲!W120*4+Z120</f>
        <v>1330394.326190054</v>
      </c>
      <c r="AA121" s="51">
        <f>SUMIFS($K$5:$K$1004,$J$5:$J$1004,"&lt;="&amp;V$2)*节奏总纲!X120*4+AA120</f>
        <v>10176319.240460342</v>
      </c>
      <c r="AB121" s="51">
        <f>SUMIFS($K$5:$K$1004,$J$5:$J$1004,"&lt;="&amp;W$2)*节奏总纲!Y120*4+AB120</f>
        <v>24436816.022891525</v>
      </c>
      <c r="AC121" s="51">
        <f>SUMIFS($K$5:$K$1004,$J$5:$J$1004,"&lt;="&amp;X$2)*节奏总纲!Z120*4+AC120</f>
        <v>36892499.862413287</v>
      </c>
      <c r="AD121" s="51">
        <f>SUMIFS($K$5:$K$1004,$J$5:$J$1004,"&lt;="&amp;Y$2)*节奏总纲!AA120*4+AD120</f>
        <v>19906025.105618685</v>
      </c>
      <c r="AH121" s="35">
        <v>117</v>
      </c>
      <c r="AI121" s="47">
        <f>'[1]资源-木石铜粮'!AE122-U121</f>
        <v>-42939118526.153976</v>
      </c>
      <c r="AJ121" s="47">
        <f>'[1]资源-木石铜粮'!AF122-V121</f>
        <v>-89177863382.968903</v>
      </c>
      <c r="AK121" s="47">
        <f>'[1]资源-木石铜粮'!AG122-W121</f>
        <v>-222217908388.22626</v>
      </c>
      <c r="AL121" s="47">
        <f>'[1]资源-木石铜粮'!AH122-X121</f>
        <v>-396232933081.47473</v>
      </c>
      <c r="AM121" s="47">
        <f>'[1]资源-木石铜粮'!AI122-Y121</f>
        <v>-125312191240.57367</v>
      </c>
      <c r="AN121" s="47">
        <f>(AI121-AI120)*IF($AH121&lt;=10,'[1]功能-付费相关'!S132,'[1]功能-付费相关'!S122)</f>
        <v>-901.59496312978615</v>
      </c>
      <c r="AO121" s="47">
        <f>(AJ121-AJ120)*IF($AH121&lt;=10,'[1]功能-付费相关'!T132,'[1]功能-付费相关'!T122)</f>
        <v>-32238.042682542738</v>
      </c>
      <c r="AP121" s="47">
        <f>(AK121-AK120)*IF($AH121&lt;=10,'[1]功能-付费相关'!U132,'[1]功能-付费相关'!U122)</f>
        <v>-119231.94792450227</v>
      </c>
      <c r="AQ121" s="47">
        <f>(AL121-AL120)*IF($AH121&lt;=10,'[1]功能-付费相关'!V132,'[1]功能-付费相关'!V122)</f>
        <v>-230812.90282664134</v>
      </c>
      <c r="AR121" s="47">
        <f>(AM121-AM120)*IF($AH121&lt;=10,'[1]功能-付费相关'!W132,'[1]功能-付费相关'!W122)</f>
        <v>-68561.040723572703</v>
      </c>
      <c r="AS121" s="48">
        <f>SUM(AN$5:AN121)/'[1]资源-钻石'!L120</f>
        <v>-3.848086669629288E-2</v>
      </c>
      <c r="AT121" s="48">
        <f>SUM(AO$5:AO121)/'[1]资源-钻石'!M120</f>
        <v>-6.0526862242697634E-2</v>
      </c>
      <c r="AU121" s="48">
        <f>SUM(AP$5:AP121)/'[1]资源-钻石'!N120</f>
        <v>-9.4945211092491599E-2</v>
      </c>
      <c r="AV121" s="48">
        <f>SUM(AQ$5:AQ121)/'[1]资源-钻石'!O120</f>
        <v>-7.5109138476026696E-2</v>
      </c>
      <c r="AW121" s="48">
        <f>SUM(AR$5:AR121)/'[1]资源-钻石'!P120</f>
        <v>-1.6283752120175785E-2</v>
      </c>
      <c r="AX121" s="35">
        <f>('[1]资源-木石铜粮'!C122+U121)/'[1]资源-木石铜粮'!U122</f>
        <v>1.098500976790344</v>
      </c>
      <c r="AY121" s="35">
        <f>('[1]资源-木石铜粮'!D122+V121)/'[1]资源-木石铜粮'!V122</f>
        <v>1.1798332113103709</v>
      </c>
      <c r="AZ121" s="35">
        <f>('[1]资源-木石铜粮'!E122+W121)/'[1]资源-木石铜粮'!W122</f>
        <v>1.4214479705995937</v>
      </c>
      <c r="BA121" s="35">
        <f>('[1]资源-木石铜粮'!F122+X121)/'[1]资源-木石铜粮'!X122</f>
        <v>1.8304857460939457</v>
      </c>
      <c r="BB121" s="35">
        <f>('[1]资源-木石铜粮'!G122+Y121)/'[1]资源-木石铜粮'!Y122</f>
        <v>1.335426174033749</v>
      </c>
      <c r="BE121" s="39">
        <f t="shared" si="31"/>
        <v>1.83095746157359E-5</v>
      </c>
      <c r="BF121" s="39">
        <f t="shared" si="32"/>
        <v>4.5945046219870529E-5</v>
      </c>
      <c r="BG121" s="39">
        <f t="shared" si="33"/>
        <v>5.5343496458810465E-5</v>
      </c>
      <c r="BH121" s="39">
        <f t="shared" si="34"/>
        <v>5.7788740622741923E-5</v>
      </c>
      <c r="BI121" s="39">
        <f t="shared" si="35"/>
        <v>5.6713904579163985E-5</v>
      </c>
      <c r="BK121" s="39">
        <f>BE121/求节点(节奏总纲!AM$4:AM$83,$G$5:$G$84,节奏总纲!P120)</f>
        <v>0.41063010356334506</v>
      </c>
      <c r="BL121" s="39">
        <f>BF121/求节点(节奏总纲!AN$4:AN$83,$G$5:$G$84,节奏总纲!Q120)</f>
        <v>1.0394521870959885</v>
      </c>
      <c r="BM121" s="39">
        <f>BG121/求节点(节奏总纲!AO$4:AO$83,$G$5:$G$84,节奏总纲!R120)</f>
        <v>1.2637658834458916</v>
      </c>
      <c r="BN121" s="39">
        <f>BH121/求节点(节奏总纲!AP$4:AP$83,$G$5:$G$84,节奏总纲!S120)</f>
        <v>1.3333675609679869</v>
      </c>
      <c r="BO121" s="39">
        <f>BI121/求节点(节奏总纲!AQ$4:AQ$83,$G$5:$G$84,节奏总纲!T120)</f>
        <v>1.3227703949378549</v>
      </c>
    </row>
    <row r="122" spans="9:67" x14ac:dyDescent="0.15">
      <c r="I122" s="54"/>
      <c r="J122" s="39">
        <v>118</v>
      </c>
      <c r="K122" s="55">
        <v>60</v>
      </c>
      <c r="L122" s="55">
        <f t="shared" si="30"/>
        <v>90</v>
      </c>
      <c r="M122" s="55"/>
      <c r="T122" s="35">
        <v>118</v>
      </c>
      <c r="U122" s="50">
        <f>INDEX($Q$5:$Q$21,MATCH(节奏总纲!BQ121,$N$5:$N$21,1))*(U$2+$K$2)*节奏总纲!W121*4*$C$5+U121</f>
        <v>79950886484.349136</v>
      </c>
      <c r="V122" s="50">
        <f>INDEX($Q$5:$Q$21,MATCH(节奏总纲!BR121,$N$5:$N$21,1))*(V$2+$K$2)*节奏总纲!X121*4*$C$5+V121</f>
        <v>243249593404.10742</v>
      </c>
      <c r="W122" s="50">
        <f>INDEX($Q$5:$Q$21,MATCH(节奏总纲!BS121,$N$5:$N$21,1))*(W$2+$K$2)*节奏总纲!Y121*4*$C$5+W121</f>
        <v>483979009379.84753</v>
      </c>
      <c r="X122" s="50">
        <f>INDEX($Q$5:$Q$21,MATCH(节奏总纲!BT121,$N$5:$N$21,1))*(X$2+$K$2)*节奏总纲!Z121*4*$C$5+X121</f>
        <v>699750488102.82935</v>
      </c>
      <c r="Y122" s="50">
        <f>INDEX($Q$5:$Q$21,MATCH(节奏总纲!BU121,$N$5:$N$21,1))*(Y$2+$K$2)*节奏总纲!AA121*4*$C$5+Y121</f>
        <v>383385021261.72815</v>
      </c>
      <c r="Z122" s="51">
        <f>SUMIFS($K$5:$K$1004,$J$5:$J$1004,"&lt;="&amp;U$2)*节奏总纲!W121*4+Z121</f>
        <v>1425910.0429043712</v>
      </c>
      <c r="AA122" s="51">
        <f>SUMIFS($K$5:$K$1004,$J$5:$J$1004,"&lt;="&amp;V$2)*节奏总纲!X121*4+AA121</f>
        <v>10909495.147257052</v>
      </c>
      <c r="AB122" s="51">
        <f>SUMIFS($K$5:$K$1004,$J$5:$J$1004,"&lt;="&amp;W$2)*节奏总纲!Y121*4+AB121</f>
        <v>26202808.130419303</v>
      </c>
      <c r="AC122" s="51">
        <f>SUMIFS($K$5:$K$1004,$J$5:$J$1004,"&lt;="&amp;X$2)*节奏总纲!Z121*4+AC121</f>
        <v>39614347.629960656</v>
      </c>
      <c r="AD122" s="51">
        <f>SUMIFS($K$5:$K$1004,$J$5:$J$1004,"&lt;="&amp;Y$2)*节奏总纲!AA121*4+AD121</f>
        <v>21343306.70420121</v>
      </c>
      <c r="AH122" s="35">
        <v>118</v>
      </c>
      <c r="AI122" s="47">
        <f>'[1]资源-木石铜粮'!AE123-U122</f>
        <v>-42499151406.708633</v>
      </c>
      <c r="AJ122" s="47">
        <f>'[1]资源-木石铜粮'!AF123-V122</f>
        <v>-93083837815.291992</v>
      </c>
      <c r="AK122" s="47">
        <f>'[1]资源-木石铜粮'!AG123-W122</f>
        <v>-237950200468.43262</v>
      </c>
      <c r="AL122" s="47">
        <f>'[1]资源-木石铜粮'!AH123-X122</f>
        <v>-429557927116.81232</v>
      </c>
      <c r="AM122" s="47">
        <f>'[1]资源-木石铜粮'!AI123-Y122</f>
        <v>-135040307735.00394</v>
      </c>
      <c r="AN122" s="47">
        <f>(AI122-AI121)*IF($AH122&lt;=10,'[1]功能-付费相关'!S133,'[1]功能-付费相关'!S123)</f>
        <v>3353.8382541863421</v>
      </c>
      <c r="AO122" s="47">
        <f>(AJ122-AJ121)*IF($AH122&lt;=10,'[1]功能-付费相关'!T133,'[1]功能-付费相关'!T123)</f>
        <v>-28793.017922577459</v>
      </c>
      <c r="AP122" s="47">
        <f>(AK122-AK121)*IF($AH122&lt;=10,'[1]功能-付费相关'!U133,'[1]功能-付费相关'!U123)</f>
        <v>-115009.70151695916</v>
      </c>
      <c r="AQ122" s="47">
        <f>(AL122-AL121)*IF($AH122&lt;=10,'[1]功能-付费相关'!V133,'[1]功能-付费相关'!V123)</f>
        <v>-240627.5744110677</v>
      </c>
      <c r="AR122" s="47">
        <f>(AM122-AM121)*IF($AH122&lt;=10,'[1]功能-付费相关'!W133,'[1]功能-付费相关'!W123)</f>
        <v>-69111.370378163323</v>
      </c>
      <c r="AS122" s="48">
        <f>SUM(AN$5:AN122)/'[1]资源-钻石'!L121</f>
        <v>-3.589014238587783E-2</v>
      </c>
      <c r="AT122" s="48">
        <f>SUM(AO$5:AO122)/'[1]资源-钻石'!M121</f>
        <v>-5.854381138547074E-2</v>
      </c>
      <c r="AU122" s="48">
        <f>SUM(AP$5:AP122)/'[1]资源-钻石'!N121</f>
        <v>-9.3343632054475878E-2</v>
      </c>
      <c r="AV122" s="48">
        <f>SUM(AQ$5:AQ122)/'[1]资源-钻石'!O121</f>
        <v>-7.4424367870476432E-2</v>
      </c>
      <c r="AW122" s="48">
        <f>SUM(AR$5:AR122)/'[1]资源-钻石'!P121</f>
        <v>-1.6132248316791033E-2</v>
      </c>
      <c r="AX122" s="35">
        <f>('[1]资源-木石铜粮'!C123+U122)/'[1]资源-木石铜粮'!U123</f>
        <v>1.0888676517562641</v>
      </c>
      <c r="AY122" s="35">
        <f>('[1]资源-木石铜粮'!D123+V122)/'[1]资源-木石铜粮'!V123</f>
        <v>1.1709097012341054</v>
      </c>
      <c r="AZ122" s="35">
        <f>('[1]资源-木石铜粮'!E123+W122)/'[1]资源-木石铜粮'!W123</f>
        <v>1.4105050548335818</v>
      </c>
      <c r="BA122" s="35">
        <f>('[1]资源-木石铜粮'!F123+X122)/'[1]资源-木石铜粮'!X123</f>
        <v>1.8180742201523052</v>
      </c>
      <c r="BB122" s="35">
        <f>('[1]资源-木石铜粮'!G123+Y122)/'[1]资源-木石铜粮'!Y123</f>
        <v>1.3305421909925199</v>
      </c>
      <c r="BE122" s="39">
        <f t="shared" si="31"/>
        <v>1.7834824673063527E-5</v>
      </c>
      <c r="BF122" s="39">
        <f t="shared" si="32"/>
        <v>4.4848975879409788E-5</v>
      </c>
      <c r="BG122" s="39">
        <f t="shared" si="33"/>
        <v>5.4140381344212826E-5</v>
      </c>
      <c r="BH122" s="39">
        <f t="shared" si="34"/>
        <v>5.6612104319303127E-5</v>
      </c>
      <c r="BI122" s="39">
        <f t="shared" si="35"/>
        <v>5.5670684874333224E-5</v>
      </c>
      <c r="BK122" s="39">
        <f>BE122/求节点(节奏总纲!AM$4:AM$83,$G$5:$G$84,节奏总纲!P121)</f>
        <v>0.40398416437444434</v>
      </c>
      <c r="BL122" s="39">
        <f>BF122/求节点(节奏总纲!AN$4:AN$83,$G$5:$G$84,节奏总纲!Q121)</f>
        <v>1.024804331779863</v>
      </c>
      <c r="BM122" s="39">
        <f>BG122/求节点(节奏总纲!AO$4:AO$83,$G$5:$G$84,节奏总纲!R121)</f>
        <v>1.249121976299373</v>
      </c>
      <c r="BN122" s="39">
        <f>BH122/求节点(节奏总纲!AP$4:AP$83,$G$5:$G$84,节奏总纲!S121)</f>
        <v>1.3194263097927772</v>
      </c>
      <c r="BO122" s="39">
        <f>BI122/求节点(节奏总纲!AQ$4:AQ$83,$G$5:$G$84,节奏总纲!T121)</f>
        <v>1.3119504148452574</v>
      </c>
    </row>
    <row r="123" spans="9:67" x14ac:dyDescent="0.15">
      <c r="I123" s="54"/>
      <c r="J123" s="39">
        <v>119</v>
      </c>
      <c r="K123" s="55">
        <v>60</v>
      </c>
      <c r="L123" s="55">
        <f t="shared" si="30"/>
        <v>90</v>
      </c>
      <c r="M123" s="55"/>
      <c r="T123" s="35">
        <v>119</v>
      </c>
      <c r="U123" s="50">
        <f>INDEX($Q$5:$Q$21,MATCH(节奏总纲!BQ122,$N$5:$N$21,1))*(U$2+$K$2)*节奏总纲!W122*4*$C$5+U122</f>
        <v>87763857264.331192</v>
      </c>
      <c r="V123" s="50">
        <f>INDEX($Q$5:$Q$21,MATCH(节奏总纲!BR122,$N$5:$N$21,1))*(V$2+$K$2)*节奏总纲!X122*4*$C$5+V122</f>
        <v>266740856707.36139</v>
      </c>
      <c r="W123" s="50">
        <f>INDEX($Q$5:$Q$21,MATCH(节奏总纲!BS122,$N$5:$N$21,1))*(W$2+$K$2)*节奏总纲!Y122*4*$C$5+W122</f>
        <v>530268395915.25067</v>
      </c>
      <c r="X123" s="50">
        <f>INDEX($Q$5:$Q$21,MATCH(节奏总纲!BT122,$N$5:$N$21,1))*(X$2+$K$2)*节奏总纲!Z122*4*$C$5+X122</f>
        <v>764441551779.44568</v>
      </c>
      <c r="Y123" s="50">
        <f>INDEX($Q$5:$Q$21,MATCH(节奏总纲!BU122,$N$5:$N$21,1))*(Y$2+$K$2)*节奏总纲!AA122*4*$C$5+Y122</f>
        <v>416351006936.49353</v>
      </c>
      <c r="Z123" s="51">
        <f>SUMIFS($K$5:$K$1004,$J$5:$J$1004,"&lt;="&amp;U$2)*节奏总纲!W122*4+Z122</f>
        <v>1528281.2533339055</v>
      </c>
      <c r="AA123" s="51">
        <f>SUMIFS($K$5:$K$1004,$J$5:$J$1004,"&lt;="&amp;V$2)*节奏总纲!X122*4+AA122</f>
        <v>11700979.75990038</v>
      </c>
      <c r="AB123" s="51">
        <f>SUMIFS($K$5:$K$1004,$J$5:$J$1004,"&lt;="&amp;W$2)*节奏总纲!Y122*4+AB122</f>
        <v>28129391.920738522</v>
      </c>
      <c r="AC123" s="51">
        <f>SUMIFS($K$5:$K$1004,$J$5:$J$1004,"&lt;="&amp;X$2)*节奏总纲!Z122*4+AC122</f>
        <v>42484537.733303897</v>
      </c>
      <c r="AD123" s="51">
        <f>SUMIFS($K$5:$K$1004,$J$5:$J$1004,"&lt;="&amp;Y$2)*节奏总纲!AA122*4+AD122</f>
        <v>22805929.831000537</v>
      </c>
      <c r="AH123" s="35">
        <v>119</v>
      </c>
      <c r="AI123" s="47">
        <f>'[1]资源-木石铜粮'!AE124-U123</f>
        <v>-41340167208.908401</v>
      </c>
      <c r="AJ123" s="47">
        <f>'[1]资源-木石铜粮'!AF124-V123</f>
        <v>-95899995475.687317</v>
      </c>
      <c r="AK123" s="47">
        <f>'[1]资源-木石铜粮'!AG124-W123</f>
        <v>-253265649750.4118</v>
      </c>
      <c r="AL123" s="47">
        <f>'[1]资源-木石铜粮'!AH124-X123</f>
        <v>-463657097836.73572</v>
      </c>
      <c r="AM123" s="47">
        <f>'[1]资源-木石铜粮'!AI124-Y123</f>
        <v>-144570027853.80872</v>
      </c>
      <c r="AN123" s="47">
        <f>(AI123-AI122)*IF($AH123&lt;=10,'[1]功能-付费相关'!S134,'[1]功能-付费相关'!S124)</f>
        <v>8821.917454737355</v>
      </c>
      <c r="AO123" s="47">
        <f>(AJ123-AJ122)*IF($AH123&lt;=10,'[1]功能-付费相关'!T134,'[1]功能-付费相关'!T124)</f>
        <v>-20759.398043560785</v>
      </c>
      <c r="AP123" s="47">
        <f>(AK123-AK122)*IF($AH123&lt;=10,'[1]功能-付费相关'!U134,'[1]功能-付费相关'!U124)</f>
        <v>-111962.40455862731</v>
      </c>
      <c r="AQ123" s="47">
        <f>(AL123-AL122)*IF($AH123&lt;=10,'[1]功能-付费相关'!V134,'[1]功能-付费相关'!V124)</f>
        <v>-246217.62065623575</v>
      </c>
      <c r="AR123" s="47">
        <f>(AM123-AM122)*IF($AH123&lt;=10,'[1]功能-付费相关'!W134,'[1]功能-付费相关'!W124)</f>
        <v>-67701.904794009519</v>
      </c>
      <c r="AS123" s="48">
        <f>SUM(AN$5:AN123)/'[1]资源-钻石'!L122</f>
        <v>-3.3017450474251982E-2</v>
      </c>
      <c r="AT123" s="48">
        <f>SUM(AO$5:AO123)/'[1]资源-钻石'!M122</f>
        <v>-5.6095088333094442E-2</v>
      </c>
      <c r="AU123" s="48">
        <f>SUM(AP$5:AP123)/'[1]资源-钻石'!N122</f>
        <v>-9.1319190647675574E-2</v>
      </c>
      <c r="AV123" s="48">
        <f>SUM(AQ$5:AQ123)/'[1]资源-钻石'!O122</f>
        <v>-7.3667931126386185E-2</v>
      </c>
      <c r="AW123" s="48">
        <f>SUM(AR$5:AR123)/'[1]资源-钻石'!P122</f>
        <v>-1.5964279232458734E-2</v>
      </c>
      <c r="AX123" s="35">
        <f>('[1]资源-木石铜粮'!C124+U123)/'[1]资源-木石铜粮'!U124</f>
        <v>1.0788283517824999</v>
      </c>
      <c r="AY123" s="35">
        <f>('[1]资源-木石铜粮'!D124+V123)/'[1]资源-木石铜粮'!V124</f>
        <v>1.1601689479711295</v>
      </c>
      <c r="AZ123" s="35">
        <f>('[1]资源-木石铜粮'!E124+W123)/'[1]资源-木石铜粮'!W124</f>
        <v>1.3964902001707944</v>
      </c>
      <c r="BA123" s="35">
        <f>('[1]资源-木石铜粮'!F124+X123)/'[1]资源-木石铜粮'!X124</f>
        <v>1.8039211232659176</v>
      </c>
      <c r="BB123" s="35">
        <f>('[1]资源-木石铜粮'!G124+Y123)/'[1]资源-木石铜粮'!Y124</f>
        <v>1.325224487566161</v>
      </c>
      <c r="BE123" s="39">
        <f t="shared" si="31"/>
        <v>1.7413560672600775E-5</v>
      </c>
      <c r="BF123" s="39">
        <f t="shared" si="32"/>
        <v>4.3866469892677153E-5</v>
      </c>
      <c r="BG123" s="39">
        <f t="shared" si="33"/>
        <v>5.3047460752751066E-5</v>
      </c>
      <c r="BH123" s="39">
        <f t="shared" si="34"/>
        <v>5.5575913729976578E-5</v>
      </c>
      <c r="BI123" s="39">
        <f t="shared" si="35"/>
        <v>5.4775728774637381E-5</v>
      </c>
      <c r="BK123" s="39">
        <f>BE123/求节点(节奏总纲!AM$4:AM$83,$G$5:$G$84,节奏总纲!P122)</f>
        <v>0.39841354787262639</v>
      </c>
      <c r="BL123" s="39">
        <f>BF123/求节点(节奏总纲!AN$4:AN$83,$G$5:$G$84,节奏总纲!Q122)</f>
        <v>1.0127352549970454</v>
      </c>
      <c r="BM123" s="39">
        <f>BG123/求节点(节奏总纲!AO$4:AO$83,$G$5:$G$84,节奏总纲!R122)</f>
        <v>1.236233134162517</v>
      </c>
      <c r="BN123" s="39">
        <f>BH123/求节点(节奏总纲!AP$4:AP$83,$G$5:$G$84,节奏总纲!S122)</f>
        <v>1.3088631068281082</v>
      </c>
      <c r="BO123" s="39">
        <f>BI123/求节点(节奏总纲!AQ$4:AQ$83,$G$5:$G$84,节奏总纲!T122)</f>
        <v>1.3031669744202241</v>
      </c>
    </row>
    <row r="124" spans="9:67" x14ac:dyDescent="0.15">
      <c r="I124" s="54"/>
      <c r="J124" s="39">
        <v>120</v>
      </c>
      <c r="K124" s="55">
        <v>60</v>
      </c>
      <c r="L124" s="55">
        <f t="shared" si="30"/>
        <v>90</v>
      </c>
      <c r="M124" s="55"/>
      <c r="T124" s="35">
        <v>120</v>
      </c>
      <c r="U124" s="50">
        <f>INDEX($Q$5:$Q$21,MATCH(节奏总纲!BQ123,$N$5:$N$21,1))*(U$2+$K$2)*节奏总纲!W123*4*$C$5+U123</f>
        <v>96137592009.887527</v>
      </c>
      <c r="V124" s="50">
        <f>INDEX($Q$5:$Q$21,MATCH(节奏总纲!BR123,$N$5:$N$21,1))*(V$2+$K$2)*节奏总纲!X123*4*$C$5+V123</f>
        <v>291935758761.51807</v>
      </c>
      <c r="W124" s="50">
        <f>INDEX($Q$5:$Q$21,MATCH(节奏总纲!BS123,$N$5:$N$21,1))*(W$2+$K$2)*节奏总纲!Y123*4*$C$5+W123</f>
        <v>578895843547.63965</v>
      </c>
      <c r="X124" s="50">
        <f>INDEX($Q$5:$Q$21,MATCH(节奏总纲!BT123,$N$5:$N$21,1))*(X$2+$K$2)*节奏总纲!Z123*4*$C$5+X123</f>
        <v>828767524252.81067</v>
      </c>
      <c r="Y124" s="50">
        <f>INDEX($Q$5:$Q$21,MATCH(节奏总纲!BU123,$N$5:$N$21,1))*(Y$2+$K$2)*节奏总纲!AA123*4*$C$5+Y123</f>
        <v>458109085183.50385</v>
      </c>
      <c r="Z124" s="51">
        <f>SUMIFS($K$5:$K$1004,$J$5:$J$1004,"&lt;="&amp;U$2)*节奏总纲!W123*4+Z123</f>
        <v>1638000</v>
      </c>
      <c r="AA124" s="51">
        <f>SUMIFS($K$5:$K$1004,$J$5:$J$1004,"&lt;="&amp;V$2)*节奏总纲!X123*4+AA123</f>
        <v>12549864.6</v>
      </c>
      <c r="AB124" s="51">
        <f>SUMIFS($K$5:$K$1004,$J$5:$J$1004,"&lt;="&amp;W$2)*节奏总纲!Y123*4+AB123</f>
        <v>30153286.799999993</v>
      </c>
      <c r="AC124" s="51">
        <f>SUMIFS($K$5:$K$1004,$J$5:$J$1004,"&lt;="&amp;X$2)*节奏总纲!Z123*4+AC123</f>
        <v>45338529.599999994</v>
      </c>
      <c r="AD124" s="51">
        <f>SUMIFS($K$5:$K$1004,$J$5:$J$1004,"&lt;="&amp;Y$2)*节奏总纲!AA123*4+AD123</f>
        <v>24349852.800000001</v>
      </c>
      <c r="AH124" s="35">
        <v>120</v>
      </c>
      <c r="AI124" s="47">
        <f>'[1]资源-木石铜粮'!AE125-U124</f>
        <v>-38709967003.113052</v>
      </c>
      <c r="AJ124" s="47">
        <f>'[1]资源-木石铜粮'!AF125-V124</f>
        <v>-96975222392.886841</v>
      </c>
      <c r="AK124" s="47">
        <f>'[1]资源-木石铜粮'!AG125-W124</f>
        <v>-267807089987.44287</v>
      </c>
      <c r="AL124" s="47">
        <f>'[1]资源-木石铜粮'!AH125-X124</f>
        <v>-496217526826.06165</v>
      </c>
      <c r="AM124" s="47">
        <f>'[1]资源-木石铜粮'!AI125-Y124</f>
        <v>-160659193356.17938</v>
      </c>
      <c r="AN124" s="47">
        <f>(AI124-AI123)*IF($AH124&lt;=10,'[1]功能-付费相关'!S135,'[1]功能-付费相关'!S125)</f>
        <v>19989.711723510827</v>
      </c>
      <c r="AO124" s="47">
        <f>(AJ124-AJ123)*IF($AH124&lt;=10,'[1]功能-付费相关'!T135,'[1]功能-付费相关'!T125)</f>
        <v>-7926.0702890342855</v>
      </c>
      <c r="AP124" s="47">
        <f>(AK124-AK123)*IF($AH124&lt;=10,'[1]功能-付费相关'!U135,'[1]功能-付费相关'!U125)</f>
        <v>-106304.07144498591</v>
      </c>
      <c r="AQ124" s="47">
        <f>(AL124-AL123)*IF($AH124&lt;=10,'[1]功能-付费相关'!V135,'[1]功能-付费相关'!V125)</f>
        <v>-235106.93028713521</v>
      </c>
      <c r="AR124" s="47">
        <f>(AM124-AM123)*IF($AH124&lt;=10,'[1]功能-付费相关'!W135,'[1]功能-付费相关'!W125)</f>
        <v>-114302.11354341198</v>
      </c>
      <c r="AS124" s="48">
        <f>SUM(AN$5:AN124)/'[1]资源-钻石'!L123</f>
        <v>-2.9505418416544176E-2</v>
      </c>
      <c r="AT124" s="48">
        <f>SUM(AO$5:AO124)/'[1]资源-钻石'!M123</f>
        <v>-5.3010687667265043E-2</v>
      </c>
      <c r="AU124" s="48">
        <f>SUM(AP$5:AP124)/'[1]资源-钻石'!N123</f>
        <v>-8.9071201543724832E-2</v>
      </c>
      <c r="AV124" s="48">
        <f>SUM(AQ$5:AQ124)/'[1]资源-钻石'!O123</f>
        <v>-7.2854399446664761E-2</v>
      </c>
      <c r="AW124" s="48">
        <f>SUM(AR$5:AR124)/'[1]资源-钻石'!P123</f>
        <v>-1.6315349771191315E-2</v>
      </c>
      <c r="AX124" s="35">
        <f>('[1]资源-木石铜粮'!C125+U124)/'[1]资源-木石铜粮'!U125</f>
        <v>1.0672593809343807</v>
      </c>
      <c r="AY124" s="35">
        <f>('[1]资源-木石铜粮'!D125+V124)/'[1]资源-木石铜粮'!V125</f>
        <v>1.147180261641616</v>
      </c>
      <c r="AZ124" s="35">
        <f>('[1]资源-木石铜粮'!E125+W124)/'[1]资源-木石铜粮'!W125</f>
        <v>1.3812360430122617</v>
      </c>
      <c r="BA124" s="35">
        <f>('[1]资源-木石铜粮'!F125+X124)/'[1]资源-木石铜粮'!X125</f>
        <v>1.7881906300160966</v>
      </c>
      <c r="BB124" s="35">
        <f>('[1]资源-木石铜粮'!G125+Y124)/'[1]资源-木石铜粮'!Y125</f>
        <v>1.3323198736374255</v>
      </c>
      <c r="BE124" s="39">
        <f t="shared" si="31"/>
        <v>1.7038080169841735E-5</v>
      </c>
      <c r="BF124" s="39">
        <f t="shared" si="32"/>
        <v>4.2988445996613822E-5</v>
      </c>
      <c r="BG124" s="39">
        <f t="shared" si="33"/>
        <v>5.2087585592620616E-5</v>
      </c>
      <c r="BH124" s="39">
        <f t="shared" si="34"/>
        <v>5.4705967926139127E-5</v>
      </c>
      <c r="BI124" s="39">
        <f t="shared" si="35"/>
        <v>5.3152957641619854E-5</v>
      </c>
      <c r="BK124" s="39">
        <f>BE124/求节点(节奏总纲!AM$4:AM$83,$G$5:$G$84,节奏总纲!P123)</f>
        <v>0.39377929638806303</v>
      </c>
      <c r="BL124" s="39">
        <f>BF124/求节点(节奏总纲!AN$4:AN$83,$G$5:$G$84,节奏总纲!Q123)</f>
        <v>1.0023799049077617</v>
      </c>
      <c r="BM124" s="39">
        <f>BG124/求节点(节奏总纲!AO$4:AO$83,$G$5:$G$84,节奏总纲!R123)</f>
        <v>1.2265254960871168</v>
      </c>
      <c r="BN124" s="39">
        <f>BH124/求节点(节奏总纲!AP$4:AP$83,$G$5:$G$84,节奏总纲!S123)</f>
        <v>1.3003488667736827</v>
      </c>
      <c r="BO124" s="39">
        <f>BI124/求节点(节奏总纲!AQ$4:AQ$83,$G$5:$G$84,节奏总纲!T123)</f>
        <v>1.2773118584734422</v>
      </c>
    </row>
    <row r="125" spans="9:67" x14ac:dyDescent="0.15">
      <c r="I125" s="54"/>
      <c r="J125" s="39">
        <v>121</v>
      </c>
      <c r="K125" s="55">
        <v>60</v>
      </c>
      <c r="L125" s="55">
        <f t="shared" si="30"/>
        <v>90</v>
      </c>
      <c r="M125" s="55"/>
      <c r="T125" s="35">
        <v>121</v>
      </c>
      <c r="U125" s="50">
        <f>INDEX($Q$5:$Q$21,MATCH(节奏总纲!BQ124,$N$5:$N$21,1))*(U$2+$K$2)*节奏总纲!W124*4*$C$5+U124</f>
        <v>105112338692.49295</v>
      </c>
      <c r="V125" s="50">
        <f>INDEX($Q$5:$Q$21,MATCH(节奏总纲!BR124,$N$5:$N$21,1))*(V$2+$K$2)*节奏总纲!X124*4*$C$5+V124</f>
        <v>318160615648.94702</v>
      </c>
      <c r="W125" s="50">
        <f>INDEX($Q$5:$Q$21,MATCH(节奏总纲!BS124,$N$5:$N$21,1))*(W$2+$K$2)*节奏总纲!Y124*4*$C$5+W124</f>
        <v>627376638006.2561</v>
      </c>
      <c r="X125" s="50">
        <f>INDEX($Q$5:$Q$21,MATCH(节奏总纲!BT124,$N$5:$N$21,1))*(X$2+$K$2)*节奏总纲!Z124*4*$C$5+X124</f>
        <v>897393059750.97925</v>
      </c>
      <c r="Y125" s="50">
        <f>INDEX($Q$5:$Q$21,MATCH(节奏总纲!BU124,$N$5:$N$21,1))*(Y$2+$K$2)*节奏总纲!AA124*4*$C$5+Y124</f>
        <v>504577526012.44189</v>
      </c>
      <c r="Z125" s="51">
        <f>SUMIFS($K$5:$K$1004,$J$5:$J$1004,"&lt;="&amp;U$2)*节奏总纲!W124*4+Z124</f>
        <v>1755593.6410194631</v>
      </c>
      <c r="AA125" s="51">
        <f>SUMIFS($K$5:$K$1004,$J$5:$J$1004,"&lt;="&amp;V$2)*节奏总纲!X124*4+AA124</f>
        <v>13433451.422352728</v>
      </c>
      <c r="AB125" s="51">
        <f>SUMIFS($K$5:$K$1004,$J$5:$J$1004,"&lt;="&amp;W$2)*节奏总纲!Y124*4+AB124</f>
        <v>32171077.912317548</v>
      </c>
      <c r="AC125" s="51">
        <f>SUMIFS($K$5:$K$1004,$J$5:$J$1004,"&lt;="&amp;X$2)*节奏总纲!Z124*4+AC124</f>
        <v>48383282.94967588</v>
      </c>
      <c r="AD125" s="51">
        <f>SUMIFS($K$5:$K$1004,$J$5:$J$1004,"&lt;="&amp;Y$2)*节奏总纲!AA124*4+AD124</f>
        <v>26067932.178677499</v>
      </c>
      <c r="AH125" s="35">
        <v>121</v>
      </c>
      <c r="AI125" s="47">
        <f>'[1]资源-木石铜粮'!AE126-U125</f>
        <v>-34237132033.890778</v>
      </c>
      <c r="AJ125" s="47">
        <f>'[1]资源-木石铜粮'!AF126-V125</f>
        <v>-96340535725.159729</v>
      </c>
      <c r="AK125" s="47">
        <f>'[1]资源-木石铜粮'!AG126-W125</f>
        <v>-280469148456.58771</v>
      </c>
      <c r="AL125" s="47">
        <f>'[1]资源-木石铜粮'!AH126-X125</f>
        <v>-529690663806.85474</v>
      </c>
      <c r="AM125" s="47">
        <f>'[1]资源-木石铜粮'!AI126-Y125</f>
        <v>-179521444605.18311</v>
      </c>
      <c r="AN125" s="47">
        <f>(AI125-AI124)*IF($AH125&lt;=10,'[1]功能-付费相关'!S136,'[1]功能-付费相关'!S126)</f>
        <v>33937.985359855535</v>
      </c>
      <c r="AO125" s="47">
        <f>(AJ125-AJ124)*IF($AH125&lt;=10,'[1]功能-付费相关'!T136,'[1]功能-付费相关'!T126)</f>
        <v>4678.6134716757106</v>
      </c>
      <c r="AP125" s="47">
        <f>(AK125-AK124)*IF($AH125&lt;=10,'[1]功能-付费相关'!U136,'[1]功能-付费相关'!U126)</f>
        <v>-92564.996740610397</v>
      </c>
      <c r="AQ125" s="47">
        <f>(AL125-AL124)*IF($AH125&lt;=10,'[1]功能-付费相关'!V136,'[1]功能-付费相关'!V126)</f>
        <v>-241697.26035289469</v>
      </c>
      <c r="AR125" s="47">
        <f>(AM125-AM124)*IF($AH125&lt;=10,'[1]功能-付费相关'!W136,'[1]功能-付费相关'!W126)</f>
        <v>-134002.92163259254</v>
      </c>
      <c r="AS125" s="48">
        <f>SUM(AN$5:AN125)/'[1]资源-钻石'!L124</f>
        <v>-2.5299765890522088E-2</v>
      </c>
      <c r="AT125" s="48">
        <f>SUM(AO$5:AO125)/'[1]资源-钻石'!M124</f>
        <v>-4.9528639775366007E-2</v>
      </c>
      <c r="AU125" s="48">
        <f>SUM(AP$5:AP125)/'[1]资源-钻石'!N124</f>
        <v>-8.6714906044527279E-2</v>
      </c>
      <c r="AV125" s="48">
        <f>SUM(AQ$5:AQ125)/'[1]资源-钻石'!O124</f>
        <v>-7.1954361671244083E-2</v>
      </c>
      <c r="AW125" s="48">
        <f>SUM(AR$5:AR125)/'[1]资源-钻石'!P124</f>
        <v>-1.6732913930055764E-2</v>
      </c>
      <c r="AX125" s="35">
        <f>('[1]资源-木石铜粮'!C126+U125)/'[1]资源-木石铜粮'!U126</f>
        <v>1.0541560518225845</v>
      </c>
      <c r="AY125" s="35">
        <f>('[1]资源-木石铜粮'!D126+V125)/'[1]资源-木石铜粮'!V126</f>
        <v>1.1331915636443621</v>
      </c>
      <c r="AZ125" s="35">
        <f>('[1]资源-木石铜粮'!E126+W125)/'[1]资源-木石铜粮'!W126</f>
        <v>1.3652067975236779</v>
      </c>
      <c r="BA125" s="35">
        <f>('[1]资源-木石铜粮'!F126+X125)/'[1]资源-木石铜粮'!X126</f>
        <v>1.7708060233899068</v>
      </c>
      <c r="BB125" s="35">
        <f>('[1]资源-木石铜粮'!G126+Y125)/'[1]资源-木石铜粮'!Y126</f>
        <v>1.3413843843953581</v>
      </c>
      <c r="BE125" s="39">
        <f t="shared" si="31"/>
        <v>1.6702070022012044E-5</v>
      </c>
      <c r="BF125" s="39">
        <f t="shared" si="32"/>
        <v>4.2222232299094392E-5</v>
      </c>
      <c r="BG125" s="39">
        <f t="shared" si="33"/>
        <v>5.1278731089755276E-5</v>
      </c>
      <c r="BH125" s="39">
        <f t="shared" si="34"/>
        <v>5.391537456630423E-5</v>
      </c>
      <c r="BI125" s="39">
        <f t="shared" si="35"/>
        <v>5.1662887930594666E-5</v>
      </c>
      <c r="BK125" s="39">
        <f>BE125/求节点(节奏总纲!AM$4:AM$83,$G$5:$G$84,节奏总纲!P124)</f>
        <v>0.38986411397523135</v>
      </c>
      <c r="BL125" s="39">
        <f>BF125/求节点(节奏总纲!AN$4:AN$83,$G$5:$G$84,节奏总纲!Q124)</f>
        <v>0.9945474162879685</v>
      </c>
      <c r="BM125" s="39">
        <f>BG125/求节点(节奏总纲!AO$4:AO$83,$G$5:$G$84,节奏总纲!R124)</f>
        <v>1.2186432536722598</v>
      </c>
      <c r="BN125" s="39">
        <f>BH125/求节点(节奏总纲!AP$4:AP$83,$G$5:$G$84,节奏总纲!S124)</f>
        <v>1.294390378063035</v>
      </c>
      <c r="BO125" s="39">
        <f>BI125/求节点(节奏总纲!AQ$4:AQ$83,$G$5:$G$84,节奏总纲!T124)</f>
        <v>1.2532378910067417</v>
      </c>
    </row>
    <row r="126" spans="9:67" x14ac:dyDescent="0.15">
      <c r="I126" s="54"/>
      <c r="J126" s="39">
        <v>122</v>
      </c>
      <c r="K126" s="55">
        <v>60</v>
      </c>
      <c r="L126" s="55">
        <f t="shared" si="30"/>
        <v>90</v>
      </c>
      <c r="M126" s="55"/>
      <c r="T126" s="35">
        <v>122</v>
      </c>
      <c r="U126" s="50">
        <f>INDEX($Q$5:$Q$21,MATCH(节奏总纲!BQ125,$N$5:$N$21,1))*(U$2+$K$2)*节奏总纲!W125*4*$C$5+U125</f>
        <v>114731234019.89493</v>
      </c>
      <c r="V126" s="50">
        <f>INDEX($Q$5:$Q$21,MATCH(节奏总纲!BR125,$N$5:$N$21,1))*(V$2+$K$2)*节奏总纲!X125*4*$C$5+V125</f>
        <v>345728059829.92352</v>
      </c>
      <c r="W126" s="50">
        <f>INDEX($Q$5:$Q$21,MATCH(节奏总纲!BS125,$N$5:$N$21,1))*(W$2+$K$2)*节奏总纲!Y125*4*$C$5+W125</f>
        <v>680548330502.81006</v>
      </c>
      <c r="X126" s="50">
        <f>INDEX($Q$5:$Q$21,MATCH(节奏总纲!BT125,$N$5:$N$21,1))*(X$2+$K$2)*节奏总纲!Z125*4*$C$5+X125</f>
        <v>989307338704.6947</v>
      </c>
      <c r="Y126" s="50">
        <f>INDEX($Q$5:$Q$21,MATCH(节奏总纲!BU125,$N$5:$N$21,1))*(Y$2+$K$2)*节奏总纲!AA125*4*$C$5+Y125</f>
        <v>554322863954.58313</v>
      </c>
      <c r="Z126" s="51">
        <f>SUMIFS($K$5:$K$1004,$J$5:$J$1004,"&lt;="&amp;U$2)*节奏总纲!W125*4+Z125</f>
        <v>1881627.384827141</v>
      </c>
      <c r="AA126" s="51">
        <f>SUMIFS($K$5:$K$1004,$J$5:$J$1004,"&lt;="&amp;V$2)*节奏总纲!X125*4+AA125</f>
        <v>14362273.665647084</v>
      </c>
      <c r="AB126" s="51">
        <f>SUMIFS($K$5:$K$1004,$J$5:$J$1004,"&lt;="&amp;W$2)*节奏总纲!Y125*4+AB125</f>
        <v>34384106.179377228</v>
      </c>
      <c r="AC126" s="51">
        <f>SUMIFS($K$5:$K$1004,$J$5:$J$1004,"&lt;="&amp;X$2)*节奏总纲!Z125*4+AC125</f>
        <v>51781632.979488976</v>
      </c>
      <c r="AD126" s="51">
        <f>SUMIFS($K$5:$K$1004,$J$5:$J$1004,"&lt;="&amp;Y$2)*节奏总纲!AA125*4+AD125</f>
        <v>27907168.395325258</v>
      </c>
      <c r="AH126" s="35">
        <v>122</v>
      </c>
      <c r="AI126" s="47">
        <f>'[1]资源-木石铜粮'!AE127-U126</f>
        <v>-28534871436.576447</v>
      </c>
      <c r="AJ126" s="47">
        <f>'[1]资源-木石铜粮'!AF127-V126</f>
        <v>-94604841605.324463</v>
      </c>
      <c r="AK126" s="47">
        <f>'[1]资源-木石铜粮'!AG127-W126</f>
        <v>-293172175280.94885</v>
      </c>
      <c r="AL126" s="47">
        <f>'[1]资源-木石铜粮'!AH127-X126</f>
        <v>-582612603437.57043</v>
      </c>
      <c r="AM126" s="47">
        <f>'[1]资源-木石铜粮'!AI127-Y126</f>
        <v>-198792062173.08765</v>
      </c>
      <c r="AN126" s="47">
        <f>(AI126-AI125)*IF($AH126&lt;=10,'[1]功能-付费相关'!S137,'[1]功能-付费相关'!S127)</f>
        <v>43202.069114980783</v>
      </c>
      <c r="AO126" s="47">
        <f>(AJ126-AJ125)*IF($AH126&lt;=10,'[1]功能-付费相关'!T137,'[1]功能-付费相关'!T127)</f>
        <v>12794.725814630034</v>
      </c>
      <c r="AP126" s="47">
        <f>(AK126-AK125)*IF($AH126&lt;=10,'[1]功能-付费相关'!U137,'[1]功能-付费相关'!U127)</f>
        <v>-92864.492725114556</v>
      </c>
      <c r="AQ126" s="47">
        <f>(AL126-AL125)*IF($AH126&lt;=10,'[1]功能-付费相关'!V137,'[1]功能-付费相关'!V127)</f>
        <v>-382129.93985728925</v>
      </c>
      <c r="AR126" s="47">
        <f>(AM126-AM125)*IF($AH126&lt;=10,'[1]功能-付费相关'!W137,'[1]功能-付费相关'!W127)</f>
        <v>-136904.07479329742</v>
      </c>
      <c r="AS126" s="48">
        <f>SUM(AN$5:AN126)/'[1]资源-钻石'!L125</f>
        <v>-2.0873926759792941E-2</v>
      </c>
      <c r="AT126" s="48">
        <f>SUM(AO$5:AO126)/'[1]资源-钻石'!M125</f>
        <v>-4.5924090224707059E-2</v>
      </c>
      <c r="AU126" s="48">
        <f>SUM(AP$5:AP126)/'[1]资源-钻石'!N125</f>
        <v>-8.4215230757560933E-2</v>
      </c>
      <c r="AV126" s="48">
        <f>SUM(AQ$5:AQ126)/'[1]资源-钻石'!O125</f>
        <v>-7.264084959950734E-2</v>
      </c>
      <c r="AW126" s="48">
        <f>SUM(AR$5:AR126)/'[1]资源-钻石'!P125</f>
        <v>-1.7055809640743602E-2</v>
      </c>
      <c r="AX126" s="35">
        <f>('[1]资源-木石铜粮'!C127+U126)/'[1]资源-木石铜粮'!U127</f>
        <v>1.0411153060133418</v>
      </c>
      <c r="AY126" s="35">
        <f>('[1]资源-木石铜粮'!D127+V126)/'[1]资源-木石铜粮'!V127</f>
        <v>1.1194003285959411</v>
      </c>
      <c r="AZ126" s="35">
        <f>('[1]资源-木石铜粮'!E127+W126)/'[1]资源-木石铜粮'!W127</f>
        <v>1.3485872865576962</v>
      </c>
      <c r="BA126" s="35">
        <f>('[1]资源-木石铜粮'!F127+X126)/'[1]资源-木石铜粮'!X127</f>
        <v>1.7753524882443832</v>
      </c>
      <c r="BB126" s="35">
        <f>('[1]资源-木石铜粮'!G127+Y126)/'[1]资源-木石铜粮'!Y127</f>
        <v>1.3474138644449609</v>
      </c>
      <c r="BE126" s="39">
        <f t="shared" si="31"/>
        <v>1.6400306341173476E-5</v>
      </c>
      <c r="BF126" s="39">
        <f t="shared" si="32"/>
        <v>4.1542111660570509E-5</v>
      </c>
      <c r="BG126" s="39">
        <f t="shared" si="33"/>
        <v>5.052412097458705E-5</v>
      </c>
      <c r="BH126" s="39">
        <f t="shared" si="34"/>
        <v>5.2341300780490459E-5</v>
      </c>
      <c r="BI126" s="39">
        <f t="shared" si="35"/>
        <v>5.0344609991789465E-5</v>
      </c>
      <c r="BK126" s="39">
        <f>BE126/求节点(节奏总纲!AM$4:AM$83,$G$5:$G$84,节奏总纲!P125)</f>
        <v>0.38676188133641876</v>
      </c>
      <c r="BL126" s="39">
        <f>BF126/求节点(节奏总纲!AN$4:AN$83,$G$5:$G$84,节奏总纲!Q125)</f>
        <v>0.9879037139537703</v>
      </c>
      <c r="BM126" s="39">
        <f>BG126/求节点(节奏总纲!AO$4:AO$83,$G$5:$G$84,节奏总纲!R125)</f>
        <v>1.2130103424313898</v>
      </c>
      <c r="BN126" s="39">
        <f>BH126/求节点(节奏总纲!AP$4:AP$83,$G$5:$G$84,节奏总纲!S125)</f>
        <v>1.268458941509838</v>
      </c>
      <c r="BO126" s="39">
        <f>BI126/求节点(节奏总纲!AQ$4:AQ$83,$G$5:$G$84,节奏总纲!T125)</f>
        <v>1.2337417296814608</v>
      </c>
    </row>
    <row r="127" spans="9:67" x14ac:dyDescent="0.15">
      <c r="I127" s="54"/>
      <c r="J127" s="39">
        <v>123</v>
      </c>
      <c r="K127" s="55">
        <v>60</v>
      </c>
      <c r="L127" s="55">
        <f t="shared" si="30"/>
        <v>90</v>
      </c>
      <c r="M127" s="55"/>
      <c r="T127" s="35">
        <v>123</v>
      </c>
      <c r="U127" s="50">
        <f>INDEX($Q$5:$Q$21,MATCH(节奏总纲!BQ126,$N$5:$N$21,1))*(U$2+$K$2)*节奏总纲!W126*4*$C$5+U126</f>
        <v>125040510770.71898</v>
      </c>
      <c r="V127" s="50">
        <f>INDEX($Q$5:$Q$21,MATCH(节奏总纲!BR126,$N$5:$N$21,1))*(V$2+$K$2)*节奏总纲!X126*4*$C$5+V126</f>
        <v>382449909801.8938</v>
      </c>
      <c r="W127" s="50">
        <f>INDEX($Q$5:$Q$21,MATCH(节奏总纲!BS126,$N$5:$N$21,1))*(W$2+$K$2)*节奏总纲!Y126*4*$C$5+W126</f>
        <v>754071879958.41956</v>
      </c>
      <c r="X127" s="50">
        <f>INDEX($Q$5:$Q$21,MATCH(节奏总纲!BT126,$N$5:$N$21,1))*(X$2+$K$2)*节奏总纲!Z126*4*$C$5+X126</f>
        <v>1095134622578.358</v>
      </c>
      <c r="Y127" s="50">
        <f>INDEX($Q$5:$Q$21,MATCH(节奏总纲!BU126,$N$5:$N$21,1))*(Y$2+$K$2)*节奏总纲!AA126*4*$C$5+Y126</f>
        <v>611307011059.85632</v>
      </c>
      <c r="Z127" s="51">
        <f>SUMIFS($K$5:$K$1004,$J$5:$J$1004,"&lt;="&amp;U$2)*节奏总纲!W126*4+Z126</f>
        <v>2016707.0068243113</v>
      </c>
      <c r="AA127" s="51">
        <f>SUMIFS($K$5:$K$1004,$J$5:$J$1004,"&lt;="&amp;V$2)*节奏总纲!X126*4+AA126</f>
        <v>15393322.912389286</v>
      </c>
      <c r="AB127" s="51">
        <f>SUMIFS($K$5:$K$1004,$J$5:$J$1004,"&lt;="&amp;W$2)*节奏总纲!Y126*4+AB126</f>
        <v>36934173.793681107</v>
      </c>
      <c r="AC127" s="51">
        <f>SUMIFS($K$5:$K$1004,$J$5:$J$1004,"&lt;="&amp;X$2)*节奏总纲!Z126*4+AC126</f>
        <v>55694389.053963572</v>
      </c>
      <c r="AD127" s="51">
        <f>SUMIFS($K$5:$K$1004,$J$5:$J$1004,"&lt;="&amp;Y$2)*节奏总纲!AA126*4+AD126</f>
        <v>30014045.37046418</v>
      </c>
      <c r="AH127" s="35">
        <v>123</v>
      </c>
      <c r="AI127" s="47">
        <f>'[1]资源-木石铜粮'!AE128-U127</f>
        <v>-21671076594.333603</v>
      </c>
      <c r="AJ127" s="47">
        <f>'[1]资源-木石铜粮'!AF128-V127</f>
        <v>-97800270468.069702</v>
      </c>
      <c r="AK127" s="47">
        <f>'[1]资源-木石铜粮'!AG128-W127</f>
        <v>-320543908669.60168</v>
      </c>
      <c r="AL127" s="47">
        <f>'[1]资源-木石铜粮'!AH128-X127</f>
        <v>-643411013231.9812</v>
      </c>
      <c r="AM127" s="47">
        <f>'[1]资源-木石铜粮'!AI128-Y127</f>
        <v>-218980874688.20642</v>
      </c>
      <c r="AN127" s="47">
        <f>(AI127-AI126)*IF($AH127&lt;=10,'[1]功能-付费相关'!S138,'[1]功能-付费相关'!S128)</f>
        <v>51936.729386863124</v>
      </c>
      <c r="AO127" s="47">
        <f>(AJ127-AJ126)*IF($AH127&lt;=10,'[1]功能-付费相关'!T138,'[1]功能-付费相关'!T128)</f>
        <v>-23555.208081744691</v>
      </c>
      <c r="AP127" s="47">
        <f>(AK127-AK126)*IF($AH127&lt;=10,'[1]功能-付费相关'!U138,'[1]功能-付费相关'!U128)</f>
        <v>-200098.93478849364</v>
      </c>
      <c r="AQ127" s="47">
        <f>(AL127-AL126)*IF($AH127&lt;=10,'[1]功能-付费相关'!V138,'[1]功能-付费相关'!V128)</f>
        <v>-439003.04562292964</v>
      </c>
      <c r="AR127" s="47">
        <f>(AM127-AM126)*IF($AH127&lt;=10,'[1]功能-付费相关'!W138,'[1]功能-付费相关'!W128)</f>
        <v>-143427.19888547013</v>
      </c>
      <c r="AS127" s="48">
        <f>SUM(AN$5:AN127)/'[1]资源-钻石'!L126</f>
        <v>-1.634576392836757E-2</v>
      </c>
      <c r="AT127" s="48">
        <f>SUM(AO$5:AO127)/'[1]资源-钻石'!M126</f>
        <v>-4.409002831863585E-2</v>
      </c>
      <c r="AU127" s="48">
        <f>SUM(AP$5:AP127)/'[1]资源-钻石'!N126</f>
        <v>-8.4334915865154167E-2</v>
      </c>
      <c r="AV127" s="48">
        <f>SUM(AQ$5:AQ127)/'[1]资源-钻石'!O126</f>
        <v>-7.3316452510281557E-2</v>
      </c>
      <c r="AW127" s="48">
        <f>SUM(AR$5:AR127)/'[1]资源-钻石'!P126</f>
        <v>-1.7248644770957045E-2</v>
      </c>
      <c r="AX127" s="35">
        <f>('[1]资源-木石铜粮'!C128+U127)/'[1]资源-木石铜粮'!U128</f>
        <v>1.0284646708177057</v>
      </c>
      <c r="AY127" s="35">
        <f>('[1]资源-木石铜粮'!D128+V127)/'[1]资源-木石铜粮'!V128</f>
        <v>1.1124163580638451</v>
      </c>
      <c r="AZ127" s="35">
        <f>('[1]资源-木石铜粮'!E128+W127)/'[1]资源-木石铜粮'!W128</f>
        <v>1.3465519539825572</v>
      </c>
      <c r="BA127" s="35">
        <f>('[1]资源-木石铜粮'!F128+X127)/'[1]资源-木石铜粮'!X128</f>
        <v>1.7793965469497155</v>
      </c>
      <c r="BB127" s="35">
        <f>('[1]资源-木石铜粮'!G128+Y127)/'[1]资源-木石铜粮'!Y128</f>
        <v>1.3491126651277996</v>
      </c>
      <c r="BE127" s="39">
        <f t="shared" si="31"/>
        <v>1.6128429053862824E-5</v>
      </c>
      <c r="BF127" s="39">
        <f t="shared" si="32"/>
        <v>4.0249252301727335E-5</v>
      </c>
      <c r="BG127" s="39">
        <f t="shared" si="33"/>
        <v>4.8979646072623345E-5</v>
      </c>
      <c r="BH127" s="39">
        <f t="shared" si="34"/>
        <v>5.0856203343145221E-5</v>
      </c>
      <c r="BI127" s="39">
        <f t="shared" si="35"/>
        <v>4.9098153345938551E-5</v>
      </c>
      <c r="BK127" s="39">
        <f>BE127/求节点(节奏总纲!AM$4:AM$83,$G$5:$G$84,节奏总纲!P126)</f>
        <v>0.38417286334715534</v>
      </c>
      <c r="BL127" s="39">
        <f>BF127/求节点(节奏总纲!AN$4:AN$83,$G$5:$G$84,节奏总纲!Q126)</f>
        <v>0.96734534607272282</v>
      </c>
      <c r="BM127" s="39">
        <f>BG127/求节点(节奏总纲!AO$4:AO$83,$G$5:$G$84,节奏总纲!R126)</f>
        <v>1.1876433526466286</v>
      </c>
      <c r="BN127" s="39">
        <f>BH127/求节点(节奏总纲!AP$4:AP$83,$G$5:$G$84,节奏总纲!S126)</f>
        <v>1.2458635691445592</v>
      </c>
      <c r="BO127" s="39">
        <f>BI127/求节点(节奏总纲!AQ$4:AQ$83,$G$5:$G$84,节奏总纲!T126)</f>
        <v>1.2154984749129809</v>
      </c>
    </row>
    <row r="128" spans="9:67" x14ac:dyDescent="0.15">
      <c r="I128" s="54"/>
      <c r="J128" s="39">
        <v>124</v>
      </c>
      <c r="K128" s="55">
        <v>60</v>
      </c>
      <c r="L128" s="55">
        <f t="shared" si="30"/>
        <v>90</v>
      </c>
      <c r="M128" s="55"/>
      <c r="T128" s="35">
        <v>124</v>
      </c>
      <c r="U128" s="50">
        <f>INDEX($Q$5:$Q$21,MATCH(节奏总纲!BQ127,$N$5:$N$21,1))*(U$2+$K$2)*节奏总纲!W127*4*$C$5+U127</f>
        <v>138299561858.08936</v>
      </c>
      <c r="V128" s="50">
        <f>INDEX($Q$5:$Q$21,MATCH(节奏总纲!BR127,$N$5:$N$21,1))*(V$2+$K$2)*节奏总纲!X127*4*$C$5+V127</f>
        <v>422915974112.45166</v>
      </c>
      <c r="W128" s="50">
        <f>INDEX($Q$5:$Q$21,MATCH(节奏总纲!BS127,$N$5:$N$21,1))*(W$2+$K$2)*节奏总纲!Y127*4*$C$5+W127</f>
        <v>832368501266.57129</v>
      </c>
      <c r="X128" s="50">
        <f>INDEX($Q$5:$Q$21,MATCH(节奏总纲!BT127,$N$5:$N$21,1))*(X$2+$K$2)*节奏总纲!Z127*4*$C$5+X127</f>
        <v>1206937634963.5459</v>
      </c>
      <c r="Y128" s="50">
        <f>INDEX($Q$5:$Q$21,MATCH(节奏总纲!BU127,$N$5:$N$21,1))*(Y$2+$K$2)*节奏总纲!AA127*4*$C$5+Y127</f>
        <v>672582022170.72729</v>
      </c>
      <c r="Z128" s="51">
        <f>SUMIFS($K$5:$K$1004,$J$5:$J$1004,"&lt;="&amp;U$2)*节奏总纲!W127*4+Z127</f>
        <v>2161481.7610103083</v>
      </c>
      <c r="AA128" s="51">
        <f>SUMIFS($K$5:$K$1004,$J$5:$J$1004,"&lt;="&amp;V$2)*节奏总纲!X127*4+AA127</f>
        <v>16529499.470974131</v>
      </c>
      <c r="AB128" s="51">
        <f>SUMIFS($K$5:$K$1004,$J$5:$J$1004,"&lt;="&amp;W$2)*节奏总纲!Y127*4+AB127</f>
        <v>39649789.127620891</v>
      </c>
      <c r="AC128" s="51">
        <f>SUMIFS($K$5:$K$1004,$J$5:$J$1004,"&lt;="&amp;X$2)*节奏总纲!Z127*4+AC127</f>
        <v>59828085.959356509</v>
      </c>
      <c r="AD128" s="51">
        <f>SUMIFS($K$5:$K$1004,$J$5:$J$1004,"&lt;="&amp;Y$2)*节奏总纲!AA127*4+AD127</f>
        <v>32279568.618927948</v>
      </c>
      <c r="AH128" s="35">
        <v>124</v>
      </c>
      <c r="AI128" s="47">
        <f>'[1]资源-木石铜粮'!AE129-U128</f>
        <v>-15607434490.101074</v>
      </c>
      <c r="AJ128" s="47">
        <f>'[1]资源-木石铜粮'!AF129-V128</f>
        <v>-101131878409.20435</v>
      </c>
      <c r="AK128" s="47">
        <f>'[1]资源-木石铜粮'!AG129-W128</f>
        <v>-347689286590.38519</v>
      </c>
      <c r="AL128" s="47">
        <f>'[1]资源-木石铜粮'!AH129-X128</f>
        <v>-703610168079.23828</v>
      </c>
      <c r="AM128" s="47">
        <f>'[1]资源-木石铜粮'!AI129-Y128</f>
        <v>-238722446209.13501</v>
      </c>
      <c r="AN128" s="47">
        <f>(AI128-AI127)*IF($AH128&lt;=10,'[1]功能-付费相关'!S139,'[1]功能-付费相关'!S129)</f>
        <v>45820.325632011802</v>
      </c>
      <c r="AO128" s="47">
        <f>(AJ128-AJ127)*IF($AH128&lt;=10,'[1]功能-付费相关'!T139,'[1]功能-付费相关'!T129)</f>
        <v>-24559.056599619955</v>
      </c>
      <c r="AP128" s="47">
        <f>(AK128-AK127)*IF($AH128&lt;=10,'[1]功能-付费相关'!U139,'[1]功能-付费相关'!U129)</f>
        <v>-198444.18069012955</v>
      </c>
      <c r="AQ128" s="47">
        <f>(AL128-AL127)*IF($AH128&lt;=10,'[1]功能-付费相关'!V139,'[1]功能-付费相关'!V129)</f>
        <v>-434676.04516692</v>
      </c>
      <c r="AR128" s="47">
        <f>(AM128-AM127)*IF($AH128&lt;=10,'[1]功能-付费相关'!W139,'[1]功能-付费相关'!W129)</f>
        <v>-140249.86871929947</v>
      </c>
      <c r="AS128" s="48">
        <f>SUM(AN$5:AN128)/'[1]资源-钻石'!L127</f>
        <v>-1.2650981324078926E-2</v>
      </c>
      <c r="AT128" s="48">
        <f>SUM(AO$5:AO128)/'[1]资源-钻石'!M127</f>
        <v>-4.2260303252172782E-2</v>
      </c>
      <c r="AU128" s="48">
        <f>SUM(AP$5:AP128)/'[1]资源-钻石'!N127</f>
        <v>-8.4057437861943848E-2</v>
      </c>
      <c r="AV128" s="48">
        <f>SUM(AQ$5:AQ128)/'[1]资源-钻石'!O127</f>
        <v>-7.3583111526490844E-2</v>
      </c>
      <c r="AW128" s="48">
        <f>SUM(AR$5:AR128)/'[1]资源-钻石'!P127</f>
        <v>-1.7303085446999607E-2</v>
      </c>
      <c r="AX128" s="35">
        <f>('[1]资源-木石铜粮'!C129+U128)/'[1]资源-木石铜粮'!U129</f>
        <v>1.0186824675981418</v>
      </c>
      <c r="AY128" s="35">
        <f>('[1]资源-木石铜粮'!D129+V128)/'[1]资源-木石铜粮'!V129</f>
        <v>1.1056953650451546</v>
      </c>
      <c r="AZ128" s="35">
        <f>('[1]资源-木石铜粮'!E129+W128)/'[1]资源-木石铜粮'!W129</f>
        <v>1.3418767021293743</v>
      </c>
      <c r="BA128" s="35">
        <f>('[1]资源-木石铜粮'!F129+X128)/'[1]资源-木石铜粮'!X129</f>
        <v>1.7744880149465192</v>
      </c>
      <c r="BB128" s="35">
        <f>('[1]资源-木石铜粮'!G129+Y128)/'[1]资源-木石铜粮'!Y129</f>
        <v>1.3466241706116919</v>
      </c>
      <c r="BE128" s="39">
        <f t="shared" si="31"/>
        <v>1.562898487869562E-5</v>
      </c>
      <c r="BF128" s="39">
        <f t="shared" si="32"/>
        <v>3.9084594772433453E-5</v>
      </c>
      <c r="BG128" s="39">
        <f t="shared" si="33"/>
        <v>4.7634898566305542E-5</v>
      </c>
      <c r="BH128" s="39">
        <f t="shared" si="34"/>
        <v>4.957015526420596E-5</v>
      </c>
      <c r="BI128" s="39">
        <f t="shared" si="35"/>
        <v>4.7993504962780804E-5</v>
      </c>
      <c r="BK128" s="39">
        <f>BE128/求节点(节奏总纲!AM$4:AM$83,$G$5:$G$84,节奏总纲!P127)</f>
        <v>0.37617473912262356</v>
      </c>
      <c r="BL128" s="39">
        <f>BF128/求节点(节奏总纲!AN$4:AN$83,$G$5:$G$84,节奏总纲!Q127)</f>
        <v>0.9486553234015741</v>
      </c>
      <c r="BM128" s="39">
        <f>BG128/求节点(节奏总纲!AO$4:AO$83,$G$5:$G$84,节奏总纲!R127)</f>
        <v>1.1673022671743638</v>
      </c>
      <c r="BN128" s="39">
        <f>BH128/求节点(节奏总纲!AP$4:AP$83,$G$5:$G$84,节奏总纲!S127)</f>
        <v>1.226597884153058</v>
      </c>
      <c r="BO128" s="39">
        <f>BI128/求节点(节奏总纲!AQ$4:AQ$83,$G$5:$G$84,节奏总纲!T127)</f>
        <v>1.2011449059456887</v>
      </c>
    </row>
    <row r="129" spans="9:67" x14ac:dyDescent="0.15">
      <c r="I129" s="54"/>
      <c r="J129" s="39">
        <v>125</v>
      </c>
      <c r="K129" s="55">
        <v>60</v>
      </c>
      <c r="L129" s="55">
        <f t="shared" si="30"/>
        <v>90</v>
      </c>
      <c r="M129" s="55"/>
      <c r="T129" s="35">
        <v>125</v>
      </c>
      <c r="U129" s="50">
        <f>INDEX($Q$5:$Q$21,MATCH(节奏总纲!BQ128,$N$5:$N$21,1))*(U$2+$K$2)*节奏总纲!W128*4*$C$5+U128</f>
        <v>152510260951.94629</v>
      </c>
      <c r="V129" s="50">
        <f>INDEX($Q$5:$Q$21,MATCH(节奏总纲!BR128,$N$5:$N$21,1))*(V$2+$K$2)*节奏总纲!X128*4*$C$5+V128</f>
        <v>464880847700.0556</v>
      </c>
      <c r="W129" s="50">
        <f>INDEX($Q$5:$Q$21,MATCH(节奏总纲!BS128,$N$5:$N$21,1))*(W$2+$K$2)*节奏总纲!Y128*4*$C$5+W128</f>
        <v>916056951475.59631</v>
      </c>
      <c r="X129" s="50">
        <f>INDEX($Q$5:$Q$21,MATCH(节奏总纲!BT128,$N$5:$N$21,1))*(X$2+$K$2)*节奏总纲!Z128*4*$C$5+X128</f>
        <v>1325599723313.1377</v>
      </c>
      <c r="Y129" s="50">
        <f>INDEX($Q$5:$Q$21,MATCH(节奏总纲!BU128,$N$5:$N$21,1))*(Y$2+$K$2)*节奏总纲!AA128*4*$C$5+Y128</f>
        <v>730613002406.27551</v>
      </c>
      <c r="Z129" s="51">
        <f>SUMIFS($K$5:$K$1004,$J$5:$J$1004,"&lt;="&amp;U$2)*节奏总纲!W128*4+Z128</f>
        <v>2316647.5005920795</v>
      </c>
      <c r="AA129" s="51">
        <f>SUMIFS($K$5:$K$1004,$J$5:$J$1004,"&lt;="&amp;V$2)*节奏总纲!X128*4+AA128</f>
        <v>17707758.500275679</v>
      </c>
      <c r="AB129" s="51">
        <f>SUMIFS($K$5:$K$1004,$J$5:$J$1004,"&lt;="&amp;W$2)*节奏总纲!Y128*4+AB128</f>
        <v>42552412.95562537</v>
      </c>
      <c r="AC129" s="51">
        <f>SUMIFS($K$5:$K$1004,$J$5:$J$1004,"&lt;="&amp;X$2)*节奏总纲!Z128*4+AC128</f>
        <v>64215383.733661897</v>
      </c>
      <c r="AD129" s="51">
        <f>SUMIFS($K$5:$K$1004,$J$5:$J$1004,"&lt;="&amp;Y$2)*节奏总纲!AA128*4+AD128</f>
        <v>34425150.194048241</v>
      </c>
      <c r="AH129" s="35">
        <v>125</v>
      </c>
      <c r="AI129" s="47">
        <f>'[1]资源-木石铜粮'!AE130-U129</f>
        <v>-8240406882.9532471</v>
      </c>
      <c r="AJ129" s="47">
        <f>'[1]资源-木石铜粮'!AF130-V129</f>
        <v>-101842407834.2525</v>
      </c>
      <c r="AK129" s="47">
        <f>'[1]资源-木石铜粮'!AG130-W129</f>
        <v>-372457160034.56848</v>
      </c>
      <c r="AL129" s="47">
        <f>'[1]资源-木石铜粮'!AH130-X129</f>
        <v>-764651633969.42603</v>
      </c>
      <c r="AM129" s="47">
        <f>'[1]资源-木石铜粮'!AI130-Y129</f>
        <v>-255248097098.36926</v>
      </c>
      <c r="AN129" s="47">
        <f>(AI129-AI128)*IF($AH129&lt;=10,'[1]功能-付费相关'!S140,'[1]功能-付费相关'!S130)</f>
        <v>55589.152807290528</v>
      </c>
      <c r="AO129" s="47">
        <f>(AJ129-AJ128)*IF($AH129&lt;=10,'[1]功能-付费相关'!T140,'[1]功能-付费相关'!T130)</f>
        <v>-5237.6908309055698</v>
      </c>
      <c r="AP129" s="47">
        <f>(AK129-AK128)*IF($AH129&lt;=10,'[1]功能-付费相关'!U140,'[1]功能-付费相关'!U130)</f>
        <v>-181063.61854349548</v>
      </c>
      <c r="AQ129" s="47">
        <f>(AL129-AL128)*IF($AH129&lt;=10,'[1]功能-付费相关'!V140,'[1]功能-付费相关'!V130)</f>
        <v>-440758.06465490966</v>
      </c>
      <c r="AR129" s="47">
        <f>(AM129-AM128)*IF($AH129&lt;=10,'[1]功能-付费相关'!W140,'[1]功能-付费相关'!W130)</f>
        <v>-117403.03274534141</v>
      </c>
      <c r="AS129" s="48">
        <f>SUM(AN$5:AN129)/'[1]资源-钻石'!L128</f>
        <v>-8.8151366836305371E-3</v>
      </c>
      <c r="AT129" s="48">
        <f>SUM(AO$5:AO129)/'[1]资源-钻石'!M128</f>
        <v>-3.9804493031697509E-2</v>
      </c>
      <c r="AU129" s="48">
        <f>SUM(AP$5:AP129)/'[1]资源-钻石'!N128</f>
        <v>-8.3028655942645607E-2</v>
      </c>
      <c r="AV129" s="48">
        <f>SUM(AQ$5:AQ129)/'[1]资源-钻石'!O128</f>
        <v>-7.359669087346811E-2</v>
      </c>
      <c r="AW129" s="48">
        <f>SUM(AR$5:AR129)/'[1]资源-钻石'!P128</f>
        <v>-1.722143523504609E-2</v>
      </c>
      <c r="AX129" s="35">
        <f>('[1]资源-木石铜粮'!C130+U129)/'[1]资源-木石铜粮'!U130</f>
        <v>1.0089953985148312</v>
      </c>
      <c r="AY129" s="35">
        <f>('[1]资源-木石铜粮'!D130+V129)/'[1]资源-木石铜粮'!V130</f>
        <v>1.0970250870278728</v>
      </c>
      <c r="AZ129" s="35">
        <f>('[1]资源-木石铜粮'!E130+W129)/'[1]资源-木石铜粮'!W130</f>
        <v>1.3325825429441167</v>
      </c>
      <c r="BA129" s="35">
        <f>('[1]资源-木石铜粮'!F130+X129)/'[1]资源-木石铜粮'!X130</f>
        <v>1.7650817280758682</v>
      </c>
      <c r="BB129" s="35">
        <f>('[1]资源-木石铜粮'!G130+Y129)/'[1]资源-木石铜粮'!Y130</f>
        <v>1.3407069473302939</v>
      </c>
      <c r="BE129" s="39">
        <f t="shared" si="31"/>
        <v>1.5190109085984847E-5</v>
      </c>
      <c r="BF129" s="39">
        <f t="shared" si="32"/>
        <v>3.8090961561188789E-5</v>
      </c>
      <c r="BG129" s="39">
        <f t="shared" si="33"/>
        <v>4.6451711203196914E-5</v>
      </c>
      <c r="BH129" s="39">
        <f t="shared" si="34"/>
        <v>4.8442514436533812E-5</v>
      </c>
      <c r="BI129" s="39">
        <f t="shared" si="35"/>
        <v>4.7118173479898299E-5</v>
      </c>
      <c r="BK129" s="39">
        <f>BE129/求节点(节奏总纲!AM$4:AM$83,$G$5:$G$84,节奏总纲!P128)</f>
        <v>0.36917577883157743</v>
      </c>
      <c r="BL129" s="39">
        <f>BF129/求节点(节奏总纲!AN$4:AN$83,$G$5:$G$84,节奏总纲!Q128)</f>
        <v>0.93413007757459821</v>
      </c>
      <c r="BM129" s="39">
        <f>BG129/求节点(节奏总纲!AO$4:AO$83,$G$5:$G$84,节奏总纲!R128)</f>
        <v>1.1495989255884342</v>
      </c>
      <c r="BN129" s="39">
        <f>BH129/求节点(节奏总纲!AP$4:AP$83,$G$5:$G$84,节奏总纲!S128)</f>
        <v>1.211377322896825</v>
      </c>
      <c r="BO129" s="39">
        <f>BI129/求节点(节奏总纲!AQ$4:AQ$83,$G$5:$G$84,节奏总纲!T128)</f>
        <v>1.1900861554390614</v>
      </c>
    </row>
    <row r="130" spans="9:67" x14ac:dyDescent="0.15">
      <c r="I130" s="54"/>
      <c r="J130" s="39">
        <v>126</v>
      </c>
      <c r="K130" s="55">
        <v>60</v>
      </c>
      <c r="L130" s="55">
        <f t="shared" si="30"/>
        <v>90</v>
      </c>
      <c r="M130" s="55"/>
      <c r="T130" s="35">
        <v>126</v>
      </c>
      <c r="U130" s="50">
        <f>INDEX($Q$5:$Q$21,MATCH(节奏总纲!BQ129,$N$5:$N$21,1))*(U$2+$K$2)*节奏总纲!W129*4*$C$5+U129</f>
        <v>167740911124.83029</v>
      </c>
      <c r="V130" s="50">
        <f>INDEX($Q$5:$Q$21,MATCH(节奏总纲!BR129,$N$5:$N$21,1))*(V$2+$K$2)*节奏总纲!X129*4*$C$5+V129</f>
        <v>511109790549.90381</v>
      </c>
      <c r="W130" s="50">
        <f>INDEX($Q$5:$Q$21,MATCH(节奏总纲!BS129,$N$5:$N$21,1))*(W$2+$K$2)*节奏总纲!Y129*4*$C$5+W129</f>
        <v>1005095391235.9917</v>
      </c>
      <c r="X130" s="50">
        <f>INDEX($Q$5:$Q$21,MATCH(节奏总纲!BT129,$N$5:$N$21,1))*(X$2+$K$2)*节奏总纲!Z129*4*$C$5+X129</f>
        <v>1443005625300.0417</v>
      </c>
      <c r="Y130" s="50">
        <f>INDEX($Q$5:$Q$21,MATCH(节奏总纲!BU129,$N$5:$N$21,1))*(Y$2+$K$2)*节奏总纲!AA129*4*$C$5+Y129</f>
        <v>792475712094.79309</v>
      </c>
      <c r="Z130" s="51">
        <f>SUMIFS($K$5:$K$1004,$J$5:$J$1004,"&lt;="&amp;U$2)*节奏总纲!W129*4+Z129</f>
        <v>2482950.0225706347</v>
      </c>
      <c r="AA130" s="51">
        <f>SUMIFS($K$5:$K$1004,$J$5:$J$1004,"&lt;="&amp;V$2)*节奏总纲!X129*4+AA129</f>
        <v>19005740.947766926</v>
      </c>
      <c r="AB130" s="51">
        <f>SUMIFS($K$5:$K$1004,$J$5:$J$1004,"&lt;="&amp;W$2)*节奏总纲!Y129*4+AB129</f>
        <v>45640594.134884365</v>
      </c>
      <c r="AC130" s="51">
        <f>SUMIFS($K$5:$K$1004,$J$5:$J$1004,"&lt;="&amp;X$2)*节奏总纲!Z129*4+AC129</f>
        <v>68556236.483193263</v>
      </c>
      <c r="AD130" s="51">
        <f>SUMIFS($K$5:$K$1004,$J$5:$J$1004,"&lt;="&amp;Y$2)*节奏总纲!AA129*4+AD129</f>
        <v>36712402.443724893</v>
      </c>
      <c r="AH130" s="35">
        <v>126</v>
      </c>
      <c r="AI130" s="47">
        <f>'[1]资源-木石铜粮'!AE131-U130</f>
        <v>1492466210.792511</v>
      </c>
      <c r="AJ130" s="47">
        <f>'[1]资源-木石铜粮'!AF131-V130</f>
        <v>-99262956467.558838</v>
      </c>
      <c r="AK130" s="47">
        <f>'[1]资源-木石铜粮'!AG131-W130</f>
        <v>-395581489483.44775</v>
      </c>
      <c r="AL130" s="47">
        <f>'[1]资源-木石铜粮'!AH131-X130</f>
        <v>-822528593972.65442</v>
      </c>
      <c r="AM130" s="47">
        <f>'[1]资源-木石铜粮'!AI131-Y130</f>
        <v>-271833247484.30695</v>
      </c>
      <c r="AN130" s="47">
        <f>(AI130-AI129)*IF($AH130&lt;=10,'[1]功能-付费相关'!S141,'[1]功能-付费相关'!S131)</f>
        <v>73352.534868171686</v>
      </c>
      <c r="AO130" s="47">
        <f>(AJ130-AJ129)*IF($AH130&lt;=10,'[1]功能-付费相关'!T141,'[1]功能-付费相关'!T131)</f>
        <v>19014.509879281311</v>
      </c>
      <c r="AP130" s="47">
        <f>(AK130-AK129)*IF($AH130&lt;=10,'[1]功能-付费相关'!U141,'[1]功能-付费相关'!U131)</f>
        <v>-169048.61759091806</v>
      </c>
      <c r="AQ130" s="47">
        <f>(AL130-AL129)*IF($AH130&lt;=10,'[1]功能-付费相关'!V141,'[1]功能-付费相关'!V131)</f>
        <v>-417908.32685807406</v>
      </c>
      <c r="AR130" s="47">
        <f>(AM130-AM129)*IF($AH130&lt;=10,'[1]功能-付费相关'!W141,'[1]功能-付费相关'!W131)</f>
        <v>-117825.73448378578</v>
      </c>
      <c r="AS130" s="48">
        <f>SUM(AN$5:AN130)/'[1]资源-钻石'!L129</f>
        <v>-4.5022912701211852E-3</v>
      </c>
      <c r="AT130" s="48">
        <f>SUM(AO$5:AO130)/'[1]资源-钻石'!M129</f>
        <v>-3.6525460560659799E-2</v>
      </c>
      <c r="AU130" s="48">
        <f>SUM(AP$5:AP130)/'[1]资源-钻石'!N129</f>
        <v>-8.1525952666209975E-2</v>
      </c>
      <c r="AV130" s="48">
        <f>SUM(AQ$5:AQ130)/'[1]资源-钻石'!O129</f>
        <v>-7.3434489187574767E-2</v>
      </c>
      <c r="AW130" s="48">
        <f>SUM(AR$5:AR130)/'[1]资源-钻石'!P129</f>
        <v>-1.708802819065959E-2</v>
      </c>
      <c r="AX130" s="35">
        <f>('[1]资源-木石铜粮'!C131+U130)/'[1]资源-木石铜粮'!U131</f>
        <v>0.99851424666848021</v>
      </c>
      <c r="AY130" s="35">
        <f>('[1]资源-木石铜粮'!D131+V130)/'[1]资源-木石铜粮'!V131</f>
        <v>1.0858930616742135</v>
      </c>
      <c r="AZ130" s="35">
        <f>('[1]资源-木石铜粮'!E131+W130)/'[1]资源-木石铜粮'!W131</f>
        <v>1.3209165014022695</v>
      </c>
      <c r="BA130" s="35">
        <f>('[1]资源-木石铜粮'!F131+X130)/'[1]资源-木石铜粮'!X131</f>
        <v>1.7531626966040104</v>
      </c>
      <c r="BB130" s="35">
        <f>('[1]资源-木石铜粮'!G131+Y130)/'[1]资源-木石铜粮'!Y131</f>
        <v>1.3336691052782457</v>
      </c>
      <c r="BE130" s="39">
        <f t="shared" si="31"/>
        <v>1.48022924516182E-5</v>
      </c>
      <c r="BF130" s="39">
        <f t="shared" si="32"/>
        <v>3.7185241408345202E-5</v>
      </c>
      <c r="BG130" s="39">
        <f t="shared" si="33"/>
        <v>4.5409216411547711E-5</v>
      </c>
      <c r="BH130" s="39">
        <f t="shared" si="34"/>
        <v>4.7509334184985229E-5</v>
      </c>
      <c r="BI130" s="39">
        <f t="shared" si="35"/>
        <v>4.6326217805061879E-5</v>
      </c>
      <c r="BK130" s="39">
        <f>BE130/求节点(节奏总纲!AM$4:AM$83,$G$5:$G$84,节奏总纲!P129)</f>
        <v>0.36348778748619137</v>
      </c>
      <c r="BL130" s="39">
        <f>BF130/求节点(节奏总纲!AN$4:AN$83,$G$5:$G$84,节奏总纲!Q129)</f>
        <v>0.92092111421229139</v>
      </c>
      <c r="BM130" s="39">
        <f>BG130/求节点(节奏总纲!AO$4:AO$83,$G$5:$G$84,节奏总纲!R129)</f>
        <v>1.1355786558662717</v>
      </c>
      <c r="BN130" s="39">
        <f>BH130/求节点(节奏总纲!AP$4:AP$83,$G$5:$G$84,节奏总纲!S129)</f>
        <v>1.1992234160787585</v>
      </c>
      <c r="BO130" s="39">
        <f>BI130/求节点(节奏总纲!AQ$4:AQ$83,$G$5:$G$84,节奏总纲!T129)</f>
        <v>1.1814622981403222</v>
      </c>
    </row>
    <row r="131" spans="9:67" x14ac:dyDescent="0.15">
      <c r="I131" s="54"/>
      <c r="J131" s="39">
        <v>127</v>
      </c>
      <c r="K131" s="55">
        <v>60</v>
      </c>
      <c r="L131" s="55">
        <f t="shared" si="30"/>
        <v>90</v>
      </c>
      <c r="M131" s="55"/>
      <c r="T131" s="35">
        <v>127</v>
      </c>
      <c r="U131" s="50">
        <f>INDEX($Q$5:$Q$21,MATCH(节奏总纲!BQ130,$N$5:$N$21,1))*(U$2+$K$2)*节奏总纲!W130*4*$C$5+U130</f>
        <v>184064717797.30115</v>
      </c>
      <c r="V131" s="50">
        <f>INDEX($Q$5:$Q$21,MATCH(节奏总纲!BR130,$N$5:$N$21,1))*(V$2+$K$2)*节奏总纲!X130*4*$C$5+V130</f>
        <v>559701682062.1814</v>
      </c>
      <c r="W131" s="50">
        <f>INDEX($Q$5:$Q$21,MATCH(节奏总纲!BS130,$N$5:$N$21,1))*(W$2+$K$2)*节奏总纲!Y130*4*$C$5+W130</f>
        <v>1093135913042.6782</v>
      </c>
      <c r="X131" s="50">
        <f>INDEX($Q$5:$Q$21,MATCH(节奏总纲!BT130,$N$5:$N$21,1))*(X$2+$K$2)*节奏总纲!Z130*4*$C$5+X130</f>
        <v>1564213322807.6567</v>
      </c>
      <c r="Y131" s="50">
        <f>INDEX($Q$5:$Q$21,MATCH(节奏总纲!BU130,$N$5:$N$21,1))*(Y$2+$K$2)*节奏总纲!AA130*4*$C$5+Y130</f>
        <v>860062309315.59058</v>
      </c>
      <c r="Z131" s="51">
        <f>SUMIFS($K$5:$K$1004,$J$5:$J$1004,"&lt;="&amp;U$2)*节奏总纲!W130*4+Z130</f>
        <v>2661188.6523801084</v>
      </c>
      <c r="AA131" s="51">
        <f>SUMIFS($K$5:$K$1004,$J$5:$J$1004,"&lt;="&amp;V$2)*节奏总纲!X130*4+AA130</f>
        <v>20370068.539643545</v>
      </c>
      <c r="AB131" s="51">
        <f>SUMIFS($K$5:$K$1004,$J$5:$J$1004,"&lt;="&amp;W$2)*节奏总纲!Y130*4+AB130</f>
        <v>48694163.842385978</v>
      </c>
      <c r="AC131" s="51">
        <f>SUMIFS($K$5:$K$1004,$J$5:$J$1004,"&lt;="&amp;X$2)*节奏总纲!Z130*4+AC130</f>
        <v>73037653.158898249</v>
      </c>
      <c r="AD131" s="51">
        <f>SUMIFS($K$5:$K$1004,$J$5:$J$1004,"&lt;="&amp;Y$2)*节奏总纲!AA130*4+AD130</f>
        <v>39211284.19849471</v>
      </c>
      <c r="AH131" s="35">
        <v>127</v>
      </c>
      <c r="AI131" s="47">
        <f>'[1]资源-木石铜粮'!AE132-U131</f>
        <v>15489713613.804199</v>
      </c>
      <c r="AJ131" s="47">
        <f>'[1]资源-木石铜粮'!AF132-V131</f>
        <v>-93020236044.581177</v>
      </c>
      <c r="AK131" s="47">
        <f>'[1]资源-木石铜粮'!AG132-W131</f>
        <v>-414656281221.9989</v>
      </c>
      <c r="AL131" s="47">
        <f>'[1]资源-木石铜粮'!AH132-X131</f>
        <v>-879211553115.76929</v>
      </c>
      <c r="AM131" s="47">
        <f>'[1]资源-木石铜粮'!AI132-Y131</f>
        <v>-290097439543.56799</v>
      </c>
      <c r="AN131" s="47">
        <f>(AI131-AI130)*IF($AH131&lt;=10,'[1]功能-付费相关'!S142,'[1]功能-付费相关'!S132)</f>
        <v>105356.02256308821</v>
      </c>
      <c r="AO131" s="47">
        <f>(AJ131-AJ130)*IF($AH131&lt;=10,'[1]功能-付费相关'!T142,'[1]功能-付费相关'!T132)</f>
        <v>46018.417206466765</v>
      </c>
      <c r="AP131" s="47">
        <f>(AK131-AK130)*IF($AH131&lt;=10,'[1]功能-付费相关'!U142,'[1]功能-付费相关'!U132)</f>
        <v>-139444.78612299895</v>
      </c>
      <c r="AQ131" s="47">
        <f>(AL131-AL130)*IF($AH131&lt;=10,'[1]功能-付费相关'!V142,'[1]功能-付费相关'!V132)</f>
        <v>-409286.88403023186</v>
      </c>
      <c r="AR131" s="47">
        <f>(AM131-AM130)*IF($AH131&lt;=10,'[1]功能-付费相关'!W142,'[1]功能-付费相关'!W132)</f>
        <v>-129754.13511836495</v>
      </c>
      <c r="AS131" s="48">
        <f>SUM(AN$5:AN131)/'[1]资源-钻石'!L130</f>
        <v>8.6872556902692593E-4</v>
      </c>
      <c r="AT131" s="48">
        <f>SUM(AO$5:AO131)/'[1]资源-钻石'!M130</f>
        <v>-3.261483044278201E-2</v>
      </c>
      <c r="AU131" s="48">
        <f>SUM(AP$5:AP131)/'[1]资源-钻石'!N130</f>
        <v>-7.9618012436649149E-2</v>
      </c>
      <c r="AV131" s="48">
        <f>SUM(AQ$5:AQ131)/'[1]资源-钻石'!O130</f>
        <v>-7.3075568298352989E-2</v>
      </c>
      <c r="AW131" s="48">
        <f>SUM(AR$5:AR131)/'[1]资源-钻石'!P130</f>
        <v>-1.6967469210198129E-2</v>
      </c>
      <c r="AX131" s="35">
        <f>('[1]资源-木石铜粮'!C132+U131)/'[1]资源-木石铜粮'!U132</f>
        <v>0.98596169363415842</v>
      </c>
      <c r="AY131" s="35">
        <f>('[1]资源-木石铜粮'!D132+V131)/'[1]资源-木石铜粮'!V132</f>
        <v>1.0732064728042978</v>
      </c>
      <c r="AZ131" s="35">
        <f>('[1]资源-木石铜粮'!E132+W131)/'[1]资源-木石铜粮'!W132</f>
        <v>1.307564917659515</v>
      </c>
      <c r="BA131" s="35">
        <f>('[1]资源-木石铜粮'!F132+X131)/'[1]资源-木石铜粮'!X132</f>
        <v>1.7382809655644584</v>
      </c>
      <c r="BB131" s="35">
        <f>('[1]资源-木石铜粮'!G132+Y131)/'[1]资源-木石铜粮'!Y132</f>
        <v>1.3273620242714808</v>
      </c>
      <c r="BE131" s="39">
        <f t="shared" si="31"/>
        <v>1.4457896571523867E-5</v>
      </c>
      <c r="BF131" s="39">
        <f t="shared" si="32"/>
        <v>3.6394510133668819E-5</v>
      </c>
      <c r="BG131" s="39">
        <f t="shared" si="33"/>
        <v>4.45453884200444E-5</v>
      </c>
      <c r="BH131" s="39">
        <f t="shared" si="34"/>
        <v>4.6692898017132742E-5</v>
      </c>
      <c r="BI131" s="39">
        <f t="shared" si="35"/>
        <v>4.5591213303717223E-5</v>
      </c>
      <c r="BK131" s="39">
        <f>BE131/求节点(节奏总纲!AM$4:AM$83,$G$5:$G$84,节奏总纲!P130)</f>
        <v>0.35848067991141702</v>
      </c>
      <c r="BL131" s="39">
        <f>BF131/求节点(节奏总纲!AN$4:AN$83,$G$5:$G$84,节奏总纲!Q130)</f>
        <v>0.91073556974429315</v>
      </c>
      <c r="BM131" s="39">
        <f>BG131/求节点(节奏总纲!AO$4:AO$83,$G$5:$G$84,节奏总纲!R130)</f>
        <v>1.1243518547893554</v>
      </c>
      <c r="BN131" s="39">
        <f>BH131/求节点(节奏总纲!AP$4:AP$83,$G$5:$G$84,节奏总纲!S130)</f>
        <v>1.1898344968153804</v>
      </c>
      <c r="BO131" s="39">
        <f>BI131/求节点(节奏总纲!AQ$4:AQ$83,$G$5:$G$84,节奏总纲!T130)</f>
        <v>1.1735933922230095</v>
      </c>
    </row>
    <row r="132" spans="9:67" x14ac:dyDescent="0.15">
      <c r="I132" s="54"/>
      <c r="J132" s="39">
        <v>128</v>
      </c>
      <c r="K132" s="55">
        <v>60</v>
      </c>
      <c r="L132" s="55">
        <f t="shared" si="30"/>
        <v>90</v>
      </c>
      <c r="M132" s="55"/>
      <c r="T132" s="35">
        <v>128</v>
      </c>
      <c r="U132" s="50">
        <f>INDEX($Q$5:$Q$21,MATCH(节奏总纲!BQ131,$N$5:$N$21,1))*(U$2+$K$2)*节奏总纲!W131*4*$C$5+U131</f>
        <v>201560140596.42874</v>
      </c>
      <c r="V132" s="50">
        <f>INDEX($Q$5:$Q$21,MATCH(节奏总纲!BR131,$N$5:$N$21,1))*(V$2+$K$2)*节奏总纲!X131*4*$C$5+V131</f>
        <v>608124133738.74243</v>
      </c>
      <c r="W132" s="50">
        <f>INDEX($Q$5:$Q$21,MATCH(节奏总纲!BS131,$N$5:$N$21,1))*(W$2+$K$2)*节奏总纲!Y131*4*$C$5+W131</f>
        <v>1185702123875.4607</v>
      </c>
      <c r="X132" s="50">
        <f>INDEX($Q$5:$Q$21,MATCH(节奏总纲!BT131,$N$5:$N$21,1))*(X$2+$K$2)*节奏总纲!Z131*4*$C$5+X131</f>
        <v>1697223768397.5491</v>
      </c>
      <c r="Y132" s="50">
        <f>INDEX($Q$5:$Q$21,MATCH(节奏总纲!BU131,$N$5:$N$21,1))*(Y$2+$K$2)*节奏总纲!AA131*4*$C$5+Y131</f>
        <v>933553884658.27344</v>
      </c>
      <c r="Z132" s="51">
        <f>SUMIFS($K$5:$K$1004,$J$5:$J$1004,"&lt;="&amp;U$2)*节奏总纲!W131*4+Z131</f>
        <v>2852220.0858087377</v>
      </c>
      <c r="AA132" s="51">
        <f>SUMIFS($K$5:$K$1004,$J$5:$J$1004,"&lt;="&amp;V$2)*节奏总纲!X131*4+AA131</f>
        <v>21729638.723733872</v>
      </c>
      <c r="AB132" s="51">
        <f>SUMIFS($K$5:$K$1004,$J$5:$J$1004,"&lt;="&amp;W$2)*节奏总纲!Y131*4+AB131</f>
        <v>51904701.121547408</v>
      </c>
      <c r="AC132" s="51">
        <f>SUMIFS($K$5:$K$1004,$J$5:$J$1004,"&lt;="&amp;X$2)*节奏总纲!Z131*4+AC131</f>
        <v>77955453.275281504</v>
      </c>
      <c r="AD132" s="51">
        <f>SUMIFS($K$5:$K$1004,$J$5:$J$1004,"&lt;="&amp;Y$2)*节奏总纲!AA131*4+AD131</f>
        <v>41928490.927414194</v>
      </c>
      <c r="AH132" s="35">
        <v>128</v>
      </c>
      <c r="AI132" s="47">
        <f>'[1]资源-木石铜粮'!AE133-U132</f>
        <v>32898005849.892181</v>
      </c>
      <c r="AJ132" s="47">
        <f>'[1]资源-木石铜粮'!AF133-V132</f>
        <v>-83152800037.202881</v>
      </c>
      <c r="AK132" s="47">
        <f>'[1]资源-木石铜粮'!AG133-W132</f>
        <v>-431564576339.85681</v>
      </c>
      <c r="AL132" s="47">
        <f>'[1]资源-木石铜粮'!AH133-X132</f>
        <v>-940336018670.11963</v>
      </c>
      <c r="AM132" s="47">
        <f>'[1]资源-木石铜粮'!AI133-Y132</f>
        <v>-309621713035.94946</v>
      </c>
      <c r="AN132" s="47">
        <f>(AI132-AI131)*IF($AH132&lt;=10,'[1]功能-付费相关'!S143,'[1]功能-付费相关'!S133)</f>
        <v>130850.7900837746</v>
      </c>
      <c r="AO132" s="47">
        <f>(AJ132-AJ131)*IF($AH132&lt;=10,'[1]功能-付费相关'!T143,'[1]功能-付费相关'!T133)</f>
        <v>72738.126358229187</v>
      </c>
      <c r="AP132" s="47">
        <f>(AK132-AK131)*IF($AH132&lt;=10,'[1]功能-付费相关'!U143,'[1]功能-付费相关'!U133)</f>
        <v>-123606.78054738916</v>
      </c>
      <c r="AQ132" s="47">
        <f>(AL132-AL131)*IF($AH132&lt;=10,'[1]功能-付费相关'!V143,'[1]功能-付费相关'!V133)</f>
        <v>-441357.37482562417</v>
      </c>
      <c r="AR132" s="47">
        <f>(AM132-AM131)*IF($AH132&lt;=10,'[1]功能-付费相关'!W143,'[1]功能-付费相关'!W133)</f>
        <v>-138706.12029256517</v>
      </c>
      <c r="AS132" s="48">
        <f>SUM(AN$5:AN132)/'[1]资源-钻石'!L131</f>
        <v>6.7569138888180389E-3</v>
      </c>
      <c r="AT132" s="48">
        <f>SUM(AO$5:AO132)/'[1]资源-钻石'!M131</f>
        <v>-2.8346952926326458E-2</v>
      </c>
      <c r="AU132" s="48">
        <f>SUM(AP$5:AP132)/'[1]资源-钻石'!N131</f>
        <v>-7.7375705385403865E-2</v>
      </c>
      <c r="AV132" s="48">
        <f>SUM(AQ$5:AQ132)/'[1]资源-钻石'!O131</f>
        <v>-7.2655817385309157E-2</v>
      </c>
      <c r="AW132" s="48">
        <f>SUM(AR$5:AR132)/'[1]资源-钻石'!P131</f>
        <v>-1.6836065269313312E-2</v>
      </c>
      <c r="AX132" s="35">
        <f>('[1]资源-木石铜粮'!C133+U132)/'[1]资源-木石铜粮'!U133</f>
        <v>0.97285440401218515</v>
      </c>
      <c r="AY132" s="35">
        <f>('[1]资源-木石铜粮'!D133+V132)/'[1]资源-木石铜粮'!V133</f>
        <v>1.0598534255251493</v>
      </c>
      <c r="AZ132" s="35">
        <f>('[1]资源-木石铜粮'!E133+W132)/'[1]资源-木石铜粮'!W133</f>
        <v>1.2930061609021735</v>
      </c>
      <c r="BA132" s="35">
        <f>('[1]资源-木石铜粮'!F133+X132)/'[1]资源-木石铜粮'!X133</f>
        <v>1.7230440338102349</v>
      </c>
      <c r="BB132" s="35">
        <f>('[1]资源-木石铜粮'!G133+Y132)/'[1]资源-木石铜粮'!Y133</f>
        <v>1.3210865306389452</v>
      </c>
      <c r="BE132" s="39">
        <f t="shared" si="31"/>
        <v>1.4150714905084133E-5</v>
      </c>
      <c r="BF132" s="39">
        <f t="shared" si="32"/>
        <v>3.5732242017991005E-5</v>
      </c>
      <c r="BG132" s="39">
        <f t="shared" si="33"/>
        <v>4.3775498142735198E-5</v>
      </c>
      <c r="BH132" s="39">
        <f t="shared" si="34"/>
        <v>4.5931158122351731E-5</v>
      </c>
      <c r="BI132" s="39">
        <f t="shared" si="35"/>
        <v>4.4912770024798386E-5</v>
      </c>
      <c r="BK132" s="39">
        <f>BE132/求节点(节奏总纲!AM$4:AM$83,$G$5:$G$84,节奏总纲!P131)</f>
        <v>0.35455678981127403</v>
      </c>
      <c r="BL132" s="39">
        <f>BF132/求节点(节奏总纲!AN$4:AN$83,$G$5:$G$84,节奏总纲!Q131)</f>
        <v>0.90243068260997383</v>
      </c>
      <c r="BM132" s="39">
        <f>BG132/求节点(节奏总纲!AO$4:AO$83,$G$5:$G$84,节奏总纲!R131)</f>
        <v>1.1155247039433713</v>
      </c>
      <c r="BN132" s="39">
        <f>BH132/求节点(节奏总纲!AP$4:AP$83,$G$5:$G$84,节奏总纲!S131)</f>
        <v>1.1814020577646038</v>
      </c>
      <c r="BO132" s="39">
        <f>BI132/求节点(节奏总纲!AQ$4:AQ$83,$G$5:$G$84,节奏总纲!T131)</f>
        <v>1.1669552333887085</v>
      </c>
    </row>
    <row r="133" spans="9:67" x14ac:dyDescent="0.15">
      <c r="I133" s="54"/>
      <c r="J133" s="39">
        <v>129</v>
      </c>
      <c r="K133" s="55">
        <v>60</v>
      </c>
      <c r="L133" s="55">
        <f t="shared" si="30"/>
        <v>90</v>
      </c>
      <c r="M133" s="55"/>
      <c r="T133" s="35">
        <v>129</v>
      </c>
      <c r="U133" s="50">
        <f>INDEX($Q$5:$Q$21,MATCH(节奏总纲!BQ132,$N$5:$N$21,1))*(U$2+$K$2)*节奏总纲!W132*4*$C$5+U132</f>
        <v>220311270468.38614</v>
      </c>
      <c r="V133" s="50">
        <f>INDEX($Q$5:$Q$21,MATCH(节奏总纲!BR132,$N$5:$N$21,1))*(V$2+$K$2)*节奏总纲!X132*4*$C$5+V132</f>
        <v>663679043766.88416</v>
      </c>
      <c r="W133" s="50">
        <f>INDEX($Q$5:$Q$21,MATCH(节奏总纲!BS132,$N$5:$N$21,1))*(W$2+$K$2)*节奏总纲!Y132*4*$C$5+W132</f>
        <v>1295745055698.7744</v>
      </c>
      <c r="X133" s="50">
        <f>INDEX($Q$5:$Q$21,MATCH(节奏总纲!BT132,$N$5:$N$21,1))*(X$2+$K$2)*节奏总纲!Z132*4*$C$5+X132</f>
        <v>1856115570226.6165</v>
      </c>
      <c r="Y133" s="50">
        <f>INDEX($Q$5:$Q$21,MATCH(节奏总纲!BU132,$N$5:$N$21,1))*(Y$2+$K$2)*节奏总纲!AA132*4*$C$5+Y132</f>
        <v>1017786162717.761</v>
      </c>
      <c r="Z133" s="51">
        <f>SUMIFS($K$5:$K$1004,$J$5:$J$1004,"&lt;="&amp;U$2)*节奏总纲!W132*4+Z132</f>
        <v>3056962.5066678114</v>
      </c>
      <c r="AA133" s="51">
        <f>SUMIFS($K$5:$K$1004,$J$5:$J$1004,"&lt;="&amp;V$2)*节奏总纲!X132*4+AA132</f>
        <v>23289468.857048724</v>
      </c>
      <c r="AB133" s="51">
        <f>SUMIFS($K$5:$K$1004,$J$5:$J$1004,"&lt;="&amp;W$2)*节奏总纲!Y132*4+AB132</f>
        <v>55721395.482788861</v>
      </c>
      <c r="AC133" s="51">
        <f>SUMIFS($K$5:$K$1004,$J$5:$J$1004,"&lt;="&amp;X$2)*节奏总纲!Z132*4+AC132</f>
        <v>83830165.731599376</v>
      </c>
      <c r="AD133" s="51">
        <f>SUMIFS($K$5:$K$1004,$J$5:$J$1004,"&lt;="&amp;Y$2)*节奏总纲!AA132*4+AD132</f>
        <v>45042814.054496869</v>
      </c>
      <c r="AH133" s="35">
        <v>129</v>
      </c>
      <c r="AI133" s="47">
        <f>'[1]资源-木石铜粮'!AE134-U133</f>
        <v>53030129408.317841</v>
      </c>
      <c r="AJ133" s="47">
        <f>'[1]资源-木石铜粮'!AF134-V133</f>
        <v>-70595288039.401245</v>
      </c>
      <c r="AK133" s="47">
        <f>'[1]资源-木石铜粮'!AG134-W133</f>
        <v>-451768456532.02368</v>
      </c>
      <c r="AL133" s="47">
        <f>'[1]资源-木石铜粮'!AH134-X133</f>
        <v>-1014356425018.1768</v>
      </c>
      <c r="AM133" s="47">
        <f>'[1]资源-木石铜粮'!AI134-Y133</f>
        <v>-330646160534.85718</v>
      </c>
      <c r="AN133" s="47">
        <f>(AI133-AI132)*IF($AH133&lt;=10,'[1]功能-付费相关'!S144,'[1]功能-付费相关'!S134)</f>
        <v>151126.32863666664</v>
      </c>
      <c r="AO133" s="47">
        <f>(AJ133-AJ132)*IF($AH133&lt;=10,'[1]功能-付费相关'!T144,'[1]功能-付费相关'!T134)</f>
        <v>92568.109259394187</v>
      </c>
      <c r="AP133" s="47">
        <f>(AK133-AK132)*IF($AH133&lt;=10,'[1]功能-付费相关'!U144,'[1]功能-付费相关'!U134)</f>
        <v>-147698.89972415488</v>
      </c>
      <c r="AQ133" s="47">
        <f>(AL133-AL132)*IF($AH133&lt;=10,'[1]功能-付费相关'!V144,'[1]功能-付费相关'!V134)</f>
        <v>-534474.23929221276</v>
      </c>
      <c r="AR133" s="47">
        <f>(AM133-AM132)*IF($AH133&lt;=10,'[1]功能-付费相关'!W144,'[1]功能-付费相关'!W134)</f>
        <v>-149363.79297320062</v>
      </c>
      <c r="AS133" s="48">
        <f>SUM(AN$5:AN133)/'[1]资源-钻石'!L132</f>
        <v>1.2778872213770723E-2</v>
      </c>
      <c r="AT133" s="48">
        <f>SUM(AO$5:AO133)/'[1]资源-钻石'!M132</f>
        <v>-2.3763831424613614E-2</v>
      </c>
      <c r="AU133" s="48">
        <f>SUM(AP$5:AP133)/'[1]资源-钻石'!N132</f>
        <v>-7.5050932203402962E-2</v>
      </c>
      <c r="AV133" s="48">
        <f>SUM(AQ$5:AQ133)/'[1]资源-钻石'!O132</f>
        <v>-7.2280847426516207E-2</v>
      </c>
      <c r="AW133" s="48">
        <f>SUM(AR$5:AR133)/'[1]资源-钻石'!P132</f>
        <v>-1.6642935303075566E-2</v>
      </c>
      <c r="AX133" s="35">
        <f>('[1]资源-木石铜粮'!C134+U133)/'[1]资源-木石铜粮'!U134</f>
        <v>0.9601376409690332</v>
      </c>
      <c r="AY133" s="35">
        <f>('[1]资源-木石铜粮'!D134+V133)/'[1]资源-木石铜粮'!V134</f>
        <v>1.0462405267621513</v>
      </c>
      <c r="AZ133" s="35">
        <f>('[1]资源-木石铜粮'!E134+W133)/'[1]资源-木石铜粮'!W134</f>
        <v>1.2786484885416409</v>
      </c>
      <c r="BA133" s="35">
        <f>('[1]资源-木石铜粮'!F134+X133)/'[1]资源-木石铜粮'!X134</f>
        <v>1.7090267297182435</v>
      </c>
      <c r="BB133" s="35">
        <f>('[1]资源-木石铜粮'!G134+Y133)/'[1]资源-木石铜粮'!Y134</f>
        <v>1.3133245750281488</v>
      </c>
      <c r="BE133" s="39">
        <f t="shared" si="31"/>
        <v>1.3875651936320136E-5</v>
      </c>
      <c r="BF133" s="39">
        <f t="shared" si="32"/>
        <v>3.509146337492178E-5</v>
      </c>
      <c r="BG133" s="39">
        <f t="shared" si="33"/>
        <v>4.3003363383655138E-5</v>
      </c>
      <c r="BH133" s="39">
        <f t="shared" si="34"/>
        <v>4.5164302846381704E-5</v>
      </c>
      <c r="BI133" s="39">
        <f t="shared" si="35"/>
        <v>4.4255675410461977E-5</v>
      </c>
      <c r="BK133" s="39">
        <f>BE133/求节点(节奏总纲!AM$4:AM$83,$G$5:$G$84,节奏总纲!P132)</f>
        <v>0.35109111603776105</v>
      </c>
      <c r="BL133" s="39">
        <f>BF133/求节点(节奏总纲!AN$4:AN$83,$G$5:$G$84,节奏总纲!Q132)</f>
        <v>0.89556029842504548</v>
      </c>
      <c r="BM133" s="39">
        <f>BG133/求节点(节奏总纲!AO$4:AO$83,$G$5:$G$84,节奏总纲!R132)</f>
        <v>1.1069781039197337</v>
      </c>
      <c r="BN133" s="39">
        <f>BH133/求节点(节奏总纲!AP$4:AP$83,$G$5:$G$84,节奏总纲!S132)</f>
        <v>1.1734365152600472</v>
      </c>
      <c r="BO133" s="39">
        <f>BI133/求节点(节奏总纲!AQ$4:AQ$83,$G$5:$G$84,节奏总纲!T132)</f>
        <v>1.1612721063682421</v>
      </c>
    </row>
    <row r="134" spans="9:67" x14ac:dyDescent="0.15">
      <c r="I134" s="54"/>
      <c r="J134" s="39">
        <v>130</v>
      </c>
      <c r="K134" s="55">
        <v>60</v>
      </c>
      <c r="L134" s="55">
        <f t="shared" ref="L134:L197" si="36">K134*1.5</f>
        <v>90</v>
      </c>
      <c r="M134" s="55"/>
      <c r="T134" s="35">
        <v>130</v>
      </c>
      <c r="U134" s="50">
        <f>INDEX($Q$5:$Q$21,MATCH(节奏总纲!BQ133,$N$5:$N$21,1))*(U$2+$K$2)*节奏总纲!W133*4*$C$5+U133</f>
        <v>240408233857.72131</v>
      </c>
      <c r="V134" s="50">
        <f>INDEX($Q$5:$Q$21,MATCH(节奏总纲!BR133,$N$5:$N$21,1))*(V$2+$K$2)*节奏总纲!X133*4*$C$5+V133</f>
        <v>724271552410.23694</v>
      </c>
      <c r="W134" s="50">
        <f>INDEX($Q$5:$Q$21,MATCH(节奏总纲!BS133,$N$5:$N$21,1))*(W$2+$K$2)*节奏总纲!Y133*4*$C$5+W133</f>
        <v>1414894304738.3657</v>
      </c>
      <c r="X134" s="50">
        <f>INDEX($Q$5:$Q$21,MATCH(节奏总纲!BT133,$N$5:$N$21,1))*(X$2+$K$2)*节奏总纲!Z133*4*$C$5+X133</f>
        <v>2025437603493.0171</v>
      </c>
      <c r="Y134" s="50">
        <f>INDEX($Q$5:$Q$21,MATCH(节奏总纲!BU133,$N$5:$N$21,1))*(Y$2+$K$2)*节奏总纲!AA133*4*$C$5+Y133</f>
        <v>1109782421296.144</v>
      </c>
      <c r="Z134" s="51">
        <f>SUMIFS($K$5:$K$1004,$J$5:$J$1004,"&lt;="&amp;U$2)*节奏总纲!W133*4+Z133</f>
        <v>3276400</v>
      </c>
      <c r="AA134" s="51">
        <f>SUMIFS($K$5:$K$1004,$J$5:$J$1004,"&lt;="&amp;V$2)*节奏总纲!X133*4+AA133</f>
        <v>24990741.000000004</v>
      </c>
      <c r="AB134" s="51">
        <f>SUMIFS($K$5:$K$1004,$J$5:$J$1004,"&lt;="&amp;W$2)*节奏总纲!Y133*4+AB133</f>
        <v>59853930.479999989</v>
      </c>
      <c r="AC134" s="51">
        <f>SUMIFS($K$5:$K$1004,$J$5:$J$1004,"&lt;="&amp;X$2)*节奏总纲!Z133*4+AC133</f>
        <v>90090515.519999981</v>
      </c>
      <c r="AD134" s="51">
        <f>SUMIFS($K$5:$K$1004,$J$5:$J$1004,"&lt;="&amp;Y$2)*节奏总纲!AA133*4+AD133</f>
        <v>48444195.120000012</v>
      </c>
      <c r="AH134" s="35">
        <v>130</v>
      </c>
      <c r="AI134" s="47">
        <f>'[1]资源-木石铜粮'!AE135-U134</f>
        <v>77438925679.758911</v>
      </c>
      <c r="AJ134" s="47">
        <f>'[1]资源-木石铜粮'!AF135-V134</f>
        <v>-54840567518.964966</v>
      </c>
      <c r="AK134" s="47">
        <f>'[1]资源-木石铜粮'!AG135-W134</f>
        <v>-470708647483.3678</v>
      </c>
      <c r="AL134" s="47">
        <f>'[1]资源-木石铜粮'!AH135-X134</f>
        <v>-1088491673308.0363</v>
      </c>
      <c r="AM134" s="47">
        <f>'[1]资源-木石铜粮'!AI135-Y134</f>
        <v>-350330444255.25098</v>
      </c>
      <c r="AN134" s="47">
        <f>(AI134-AI133)*IF($AH134&lt;=10,'[1]功能-付费相关'!S145,'[1]功能-付费相关'!S135)</f>
        <v>183013.48522609012</v>
      </c>
      <c r="AO134" s="47">
        <f>(AJ134-AJ133)*IF($AH134&lt;=10,'[1]功能-付费相关'!T145,'[1]功能-付费相关'!T135)</f>
        <v>116136.43616205786</v>
      </c>
      <c r="AP134" s="47">
        <f>(AK134-AK133)*IF($AH134&lt;=10,'[1]功能-付费相关'!U145,'[1]功能-付费相关'!U135)</f>
        <v>-138460.79750381323</v>
      </c>
      <c r="AQ134" s="47">
        <f>(AL134-AL133)*IF($AH134&lt;=10,'[1]功能-付费相关'!V145,'[1]功能-付费相关'!V135)</f>
        <v>-535303.47088539053</v>
      </c>
      <c r="AR134" s="47">
        <f>(AM134-AM133)*IF($AH134&lt;=10,'[1]功能-付费相关'!W145,'[1]功能-付费相关'!W135)</f>
        <v>-139842.87951402247</v>
      </c>
      <c r="AS134" s="48">
        <f>SUM(AN$5:AN134)/'[1]资源-钻石'!L133</f>
        <v>1.9300143672719802E-2</v>
      </c>
      <c r="AT134" s="48">
        <f>SUM(AO$5:AO134)/'[1]资源-钻石'!M133</f>
        <v>-1.8949892881517581E-2</v>
      </c>
      <c r="AU134" s="48">
        <f>SUM(AP$5:AP134)/'[1]资源-钻石'!N133</f>
        <v>-7.247658133983069E-2</v>
      </c>
      <c r="AV134" s="48">
        <f>SUM(AQ$5:AQ134)/'[1]资源-钻石'!O133</f>
        <v>-7.1657237764291296E-2</v>
      </c>
      <c r="AW134" s="48">
        <f>SUM(AR$5:AR134)/'[1]资源-钻石'!P133</f>
        <v>-1.6320755902465803E-2</v>
      </c>
      <c r="AX134" s="35">
        <f>('[1]资源-木石铜粮'!C135+U134)/'[1]资源-木石铜粮'!U135</f>
        <v>0.94696848651801069</v>
      </c>
      <c r="AY134" s="35">
        <f>('[1]资源-木石铜粮'!D135+V134)/'[1]资源-木石铜粮'!V135</f>
        <v>1.0326615943620143</v>
      </c>
      <c r="AZ134" s="35">
        <f>('[1]资源-木石铜粮'!E135+W134)/'[1]资源-木石铜粮'!W135</f>
        <v>1.2636845802473315</v>
      </c>
      <c r="BA134" s="35">
        <f>('[1]资源-木石铜粮'!F135+X134)/'[1]资源-木石铜粮'!X135</f>
        <v>1.6914442461533985</v>
      </c>
      <c r="BB134" s="35">
        <f>('[1]资源-木石铜粮'!G135+Y134)/'[1]资源-木石铜粮'!Y135</f>
        <v>1.3025197860025401</v>
      </c>
      <c r="BE134" s="39">
        <f t="shared" si="31"/>
        <v>1.3628484962536862E-5</v>
      </c>
      <c r="BF134" s="39">
        <f t="shared" si="32"/>
        <v>3.4504656322391244E-5</v>
      </c>
      <c r="BG134" s="39">
        <f t="shared" si="33"/>
        <v>4.2302757371737275E-5</v>
      </c>
      <c r="BH134" s="39">
        <f t="shared" si="34"/>
        <v>4.4479531418115383E-5</v>
      </c>
      <c r="BI134" s="39">
        <f t="shared" si="35"/>
        <v>4.3651975549784583E-5</v>
      </c>
      <c r="BK134" s="39">
        <f>BE134/求节点(节奏总纲!AM$4:AM$83,$G$5:$G$84,节奏总纲!P133)</f>
        <v>0.34851487470617604</v>
      </c>
      <c r="BL134" s="39">
        <f>BF134/求节点(节奏总纲!AN$4:AN$83,$G$5:$G$84,节奏总纲!Q133)</f>
        <v>0.88929216823508428</v>
      </c>
      <c r="BM134" s="39">
        <f>BG134/求节点(节奏总纲!AO$4:AO$83,$G$5:$G$84,节奏总纲!R133)</f>
        <v>1.0998637854385069</v>
      </c>
      <c r="BN134" s="39">
        <f>BH134/求节点(节奏总纲!AP$4:AP$83,$G$5:$G$84,节奏总纲!S133)</f>
        <v>1.1671542183310661</v>
      </c>
      <c r="BO134" s="39">
        <f>BI134/求节点(节奏总纲!AQ$4:AQ$83,$G$5:$G$84,节奏总纲!T133)</f>
        <v>1.1566232127048974</v>
      </c>
    </row>
    <row r="135" spans="9:67" x14ac:dyDescent="0.15">
      <c r="I135" s="54"/>
      <c r="J135" s="39">
        <v>131</v>
      </c>
      <c r="K135" s="55">
        <v>60</v>
      </c>
      <c r="L135" s="55">
        <f t="shared" si="36"/>
        <v>90</v>
      </c>
      <c r="M135" s="55"/>
      <c r="T135" s="35">
        <v>131</v>
      </c>
      <c r="U135" s="50">
        <f>INDEX($Q$5:$Q$21,MATCH(节奏总纲!BQ134,$N$5:$N$21,1))*(U$2+$K$2)*节奏总纲!W134*4*$C$5+U134</f>
        <v>261947625895.9743</v>
      </c>
      <c r="V135" s="50">
        <f>INDEX($Q$5:$Q$21,MATCH(节奏总纲!BR134,$N$5:$N$21,1))*(V$2+$K$2)*节奏总纲!X134*4*$C$5+V134</f>
        <v>788613021337.19849</v>
      </c>
      <c r="W135" s="50">
        <f>INDEX($Q$5:$Q$21,MATCH(节奏总纲!BS134,$N$5:$N$21,1))*(W$2+$K$2)*节奏总纲!Y134*4*$C$5+W134</f>
        <v>1540409688858.7178</v>
      </c>
      <c r="X135" s="50">
        <f>INDEX($Q$5:$Q$21,MATCH(节奏总纲!BT134,$N$5:$N$21,1))*(X$2+$K$2)*节奏总纲!Z134*4*$C$5+X134</f>
        <v>2206301139065.5815</v>
      </c>
      <c r="Y135" s="50">
        <f>INDEX($Q$5:$Q$21,MATCH(节奏总纲!BU134,$N$5:$N$21,1))*(Y$2+$K$2)*节奏总纲!AA134*4*$C$5+Y134</f>
        <v>1210500412864.478</v>
      </c>
      <c r="Z135" s="51">
        <f>SUMIFS($K$5:$K$1004,$J$5:$J$1004,"&lt;="&amp;U$2)*节奏总纲!W134*4+Z134</f>
        <v>3511587.2820389261</v>
      </c>
      <c r="AA135" s="51">
        <f>SUMIFS($K$5:$K$1004,$J$5:$J$1004,"&lt;="&amp;V$2)*节奏总纲!X134*4+AA134</f>
        <v>26797273.707967252</v>
      </c>
      <c r="AB135" s="51">
        <f>SUMIFS($K$5:$K$1004,$J$5:$J$1004,"&lt;="&amp;W$2)*节奏总纲!Y134*4+AB134</f>
        <v>64207266.499712527</v>
      </c>
      <c r="AC135" s="51">
        <f>SUMIFS($K$5:$K$1004,$J$5:$J$1004,"&lt;="&amp;X$2)*节奏总纲!Z134*4+AC134</f>
        <v>96777589.699351758</v>
      </c>
      <c r="AD135" s="51">
        <f>SUMIFS($K$5:$K$1004,$J$5:$J$1004,"&lt;="&amp;Y$2)*节奏总纲!AA134*4+AD134</f>
        <v>51881595.139755912</v>
      </c>
      <c r="AH135" s="35">
        <v>131</v>
      </c>
      <c r="AI135" s="47">
        <f>'[1]资源-木石铜粮'!AE136-U135</f>
        <v>103710177094.0274</v>
      </c>
      <c r="AJ135" s="47">
        <f>'[1]资源-木石铜粮'!AF136-V135</f>
        <v>-35719836750.111816</v>
      </c>
      <c r="AK135" s="47">
        <f>'[1]资源-木石铜粮'!AG136-W135</f>
        <v>-485971736447.02441</v>
      </c>
      <c r="AL135" s="47">
        <f>'[1]资源-木石铜粮'!AH136-X135</f>
        <v>-1163814987528.0825</v>
      </c>
      <c r="AM135" s="47">
        <f>'[1]资源-木石铜粮'!AI136-Y135</f>
        <v>-375761438240.51953</v>
      </c>
      <c r="AN135" s="47">
        <f>(AI135-AI134)*IF($AH135&lt;=10,'[1]功能-付费相关'!S146,'[1]功能-付费相关'!S136)</f>
        <v>187744.87690307223</v>
      </c>
      <c r="AO135" s="47">
        <f>(AJ135-AJ134)*IF($AH135&lt;=10,'[1]功能-付费相关'!T146,'[1]功能-付费相关'!T136)</f>
        <v>134518.9882536286</v>
      </c>
      <c r="AP135" s="47">
        <f>(AK135-AK134)*IF($AH135&lt;=10,'[1]功能-付费相关'!U146,'[1]功能-付费相关'!U136)</f>
        <v>-106389.30860008307</v>
      </c>
      <c r="AQ135" s="47">
        <f>(AL135-AL134)*IF($AH135&lt;=10,'[1]功能-付费相关'!V146,'[1]功能-付费相关'!V136)</f>
        <v>-517867.52896235976</v>
      </c>
      <c r="AR135" s="47">
        <f>(AM135-AM134)*IF($AH135&lt;=10,'[1]功能-付费相关'!W146,'[1]功能-付费相关'!W136)</f>
        <v>-171720.81424267229</v>
      </c>
      <c r="AS135" s="48">
        <f>SUM(AN$5:AN135)/'[1]资源-钻石'!L134</f>
        <v>2.5132485456695851E-2</v>
      </c>
      <c r="AT135" s="48">
        <f>SUM(AO$5:AO135)/'[1]资源-钻石'!M134</f>
        <v>-1.4174107455131871E-2</v>
      </c>
      <c r="AU135" s="48">
        <f>SUM(AP$5:AP135)/'[1]资源-钻石'!N134</f>
        <v>-6.9484561163822303E-2</v>
      </c>
      <c r="AV135" s="48">
        <f>SUM(AQ$5:AQ135)/'[1]资源-钻石'!O134</f>
        <v>-7.0672638617987074E-2</v>
      </c>
      <c r="AW135" s="48">
        <f>SUM(AR$5:AR135)/'[1]资源-钻石'!P134</f>
        <v>-1.6207738713190069E-2</v>
      </c>
      <c r="AX135" s="35">
        <f>('[1]资源-木石铜粮'!C136+U135)/'[1]资源-木石铜粮'!U136</f>
        <v>0.93529030711171324</v>
      </c>
      <c r="AY135" s="35">
        <f>('[1]资源-木石铜粮'!D136+V135)/'[1]资源-木石铜粮'!V136</f>
        <v>1.0193543488538221</v>
      </c>
      <c r="AZ135" s="35">
        <f>('[1]资源-木石铜粮'!E136+W135)/'[1]资源-木石铜粮'!W136</f>
        <v>1.2473766508871771</v>
      </c>
      <c r="BA135" s="35">
        <f>('[1]资源-木石铜粮'!F136+X135)/'[1]资源-木石铜粮'!X136</f>
        <v>1.6715066079156724</v>
      </c>
      <c r="BB135" s="35">
        <f>('[1]资源-木石铜粮'!G136+Y135)/'[1]资源-木石铜粮'!Y136</f>
        <v>1.2970045422949852</v>
      </c>
      <c r="BE135" s="39">
        <f t="shared" si="31"/>
        <v>1.3405684705206917E-5</v>
      </c>
      <c r="BF135" s="39">
        <f t="shared" si="32"/>
        <v>3.398025772200528E-5</v>
      </c>
      <c r="BG135" s="39">
        <f t="shared" si="33"/>
        <v>4.1681941475766348E-5</v>
      </c>
      <c r="BH135" s="39">
        <f t="shared" si="34"/>
        <v>4.3864179728583767E-5</v>
      </c>
      <c r="BI135" s="39">
        <f t="shared" si="35"/>
        <v>4.2859626141708995E-5</v>
      </c>
      <c r="BK135" s="39">
        <f>BE135/求节点(节奏总纲!AM$4:AM$83,$G$5:$G$84,节奏总纲!P134)</f>
        <v>0.34605434296506143</v>
      </c>
      <c r="BL135" s="39">
        <f>BF135/求节点(节奏总纲!AN$4:AN$83,$G$5:$G$84,节奏总纲!Q134)</f>
        <v>0.88442455913894236</v>
      </c>
      <c r="BM135" s="39">
        <f>BG135/求节点(节奏总纲!AO$4:AO$83,$G$5:$G$84,节奏总纲!R134)</f>
        <v>1.0941731794981391</v>
      </c>
      <c r="BN135" s="39">
        <f>BH135/求节点(节奏总纲!AP$4:AP$83,$G$5:$G$84,节奏总纲!S134)</f>
        <v>1.1620609330636451</v>
      </c>
      <c r="BO135" s="39">
        <f>BI135/求节点(节奏总纲!AQ$4:AQ$83,$G$5:$G$84,节奏总纲!T134)</f>
        <v>1.1459726836588016</v>
      </c>
    </row>
    <row r="136" spans="9:67" x14ac:dyDescent="0.15">
      <c r="I136" s="54"/>
      <c r="J136" s="39">
        <v>132</v>
      </c>
      <c r="K136" s="55">
        <v>60</v>
      </c>
      <c r="L136" s="55">
        <f t="shared" si="36"/>
        <v>90</v>
      </c>
      <c r="M136" s="55"/>
      <c r="T136" s="35">
        <v>132</v>
      </c>
      <c r="U136" s="50">
        <f>INDEX($Q$5:$Q$21,MATCH(节奏总纲!BQ135,$N$5:$N$21,1))*(U$2+$K$2)*节奏总纲!W135*4*$C$5+U135</f>
        <v>285032974681.73901</v>
      </c>
      <c r="V136" s="50">
        <f>INDEX($Q$5:$Q$21,MATCH(节奏总纲!BR135,$N$5:$N$21,1))*(V$2+$K$2)*节奏总纲!X135*4*$C$5+V135</f>
        <v>857846106833.96362</v>
      </c>
      <c r="W136" s="50">
        <f>INDEX($Q$5:$Q$21,MATCH(节奏总纲!BS135,$N$5:$N$21,1))*(W$2+$K$2)*节奏总纲!Y135*4*$C$5+W135</f>
        <v>1677688378159.2427</v>
      </c>
      <c r="X136" s="50">
        <f>INDEX($Q$5:$Q$21,MATCH(节奏总纲!BT135,$N$5:$N$21,1))*(X$2+$K$2)*节奏总纲!Z135*4*$C$5+X135</f>
        <v>2406705438891.6924</v>
      </c>
      <c r="Y136" s="50">
        <f>INDEX($Q$5:$Q$21,MATCH(节奏总纲!BU135,$N$5:$N$21,1))*(Y$2+$K$2)*节奏总纲!AA135*4*$C$5+Y135</f>
        <v>1314591587247.134</v>
      </c>
      <c r="Z136" s="51">
        <f>SUMIFS($K$5:$K$1004,$J$5:$J$1004,"&lt;="&amp;U$2)*节奏总纲!W135*4+Z135</f>
        <v>3763654.7696542819</v>
      </c>
      <c r="AA136" s="51">
        <f>SUMIFS($K$5:$K$1004,$J$5:$J$1004,"&lt;="&amp;V$2)*节奏总纲!X135*4+AA135</f>
        <v>28741149.648464926</v>
      </c>
      <c r="AB136" s="51">
        <f>SUMIFS($K$5:$K$1004,$J$5:$J$1004,"&lt;="&amp;W$2)*节奏总纲!Y135*4+AB135</f>
        <v>68968597.288437724</v>
      </c>
      <c r="AC136" s="51">
        <f>SUMIFS($K$5:$K$1004,$J$5:$J$1004,"&lt;="&amp;X$2)*节奏总纲!Z135*4+AC135</f>
        <v>103617179.46335201</v>
      </c>
      <c r="AD136" s="51">
        <f>SUMIFS($K$5:$K$1004,$J$5:$J$1004,"&lt;="&amp;Y$2)*节奏总纲!AA135*4+AD135</f>
        <v>55434118.371284001</v>
      </c>
      <c r="AH136" s="35">
        <v>132</v>
      </c>
      <c r="AI136" s="47">
        <f>'[1]资源-木石铜粮'!AE137-U136</f>
        <v>135045238114</v>
      </c>
      <c r="AJ136" s="47">
        <f>'[1]资源-木石铜粮'!AF137-V136</f>
        <v>-10093981611.459473</v>
      </c>
      <c r="AK136" s="47">
        <f>'[1]资源-木石铜粮'!AG137-W136</f>
        <v>-497783553581.25684</v>
      </c>
      <c r="AL136" s="47">
        <f>'[1]资源-木石铜粮'!AH137-X136</f>
        <v>-1251981932799.5591</v>
      </c>
      <c r="AM136" s="47">
        <f>'[1]资源-木石铜粮'!AI137-Y136</f>
        <v>-400634068988.54102</v>
      </c>
      <c r="AN136" s="47">
        <f>(AI136-AI135)*IF($AH136&lt;=10,'[1]功能-付费相关'!S147,'[1]功能-付费相关'!S137)</f>
        <v>223643.36677508536</v>
      </c>
      <c r="AO136" s="47">
        <f>(AJ136-AJ135)*IF($AH136&lt;=10,'[1]功能-付费相关'!T147,'[1]功能-付费相关'!T137)</f>
        <v>180284.11926602959</v>
      </c>
      <c r="AP136" s="47">
        <f>(AK136-AK135)*IF($AH136&lt;=10,'[1]功能-付费相关'!U147,'[1]功能-付费相关'!U137)</f>
        <v>-82332.682539808957</v>
      </c>
      <c r="AQ136" s="47">
        <f>(AL136-AL135)*IF($AH136&lt;=10,'[1]功能-付费相关'!V147,'[1]功能-付费相关'!V137)</f>
        <v>-606170.85900540103</v>
      </c>
      <c r="AR136" s="47">
        <f>(AM136-AM135)*IF($AH136&lt;=10,'[1]功能-付费相关'!W147,'[1]功能-付费相关'!W137)</f>
        <v>-167950.50979453381</v>
      </c>
      <c r="AS136" s="48">
        <f>SUM(AN$5:AN136)/'[1]资源-钻石'!L135</f>
        <v>3.141446292904114E-2</v>
      </c>
      <c r="AT136" s="48">
        <f>SUM(AO$5:AO136)/'[1]资源-钻石'!M135</f>
        <v>-8.7899116443802567E-3</v>
      </c>
      <c r="AU136" s="48">
        <f>SUM(AP$5:AP136)/'[1]资源-钻石'!N135</f>
        <v>-6.6135046695101354E-2</v>
      </c>
      <c r="AV136" s="48">
        <f>SUM(AQ$5:AQ136)/'[1]资源-钻石'!O135</f>
        <v>-7.0334449621306486E-2</v>
      </c>
      <c r="AW136" s="48">
        <f>SUM(AR$5:AR136)/'[1]资源-钻石'!P135</f>
        <v>-1.6055707059662746E-2</v>
      </c>
      <c r="AX136" s="35">
        <f>('[1]资源-木石铜粮'!C137+U136)/'[1]资源-木石铜粮'!U137</f>
        <v>0.92321836067934904</v>
      </c>
      <c r="AY136" s="35">
        <f>('[1]资源-木石铜粮'!D137+V136)/'[1]资源-木石铜粮'!V137</f>
        <v>1.0049719356199671</v>
      </c>
      <c r="AZ136" s="35">
        <f>('[1]资源-木石铜粮'!E137+W136)/'[1]资源-木石铜粮'!W137</f>
        <v>1.2298338548573589</v>
      </c>
      <c r="BA136" s="35">
        <f>('[1]资源-木石铜粮'!F137+X136)/'[1]资源-木石铜粮'!X137</f>
        <v>1.6588978782676602</v>
      </c>
      <c r="BB136" s="35">
        <f>('[1]资源-木石铜粮'!G137+Y136)/'[1]资源-木石铜粮'!Y137</f>
        <v>1.2908650357403786</v>
      </c>
      <c r="BE136" s="39">
        <f t="shared" si="31"/>
        <v>1.3204278465874655E-5</v>
      </c>
      <c r="BF136" s="39">
        <f t="shared" si="32"/>
        <v>3.3503852753426067E-5</v>
      </c>
      <c r="BG136" s="39">
        <f t="shared" si="33"/>
        <v>4.1109301456871254E-5</v>
      </c>
      <c r="BH136" s="39">
        <f t="shared" si="34"/>
        <v>4.3053536086688105E-5</v>
      </c>
      <c r="BI136" s="39">
        <f t="shared" si="35"/>
        <v>4.2168319734471856E-5</v>
      </c>
      <c r="BK136" s="39">
        <f>BE136/求节点(节奏总纲!AM$4:AM$83,$G$5:$G$84,节奏总纲!P135)</f>
        <v>0.3442421196813405</v>
      </c>
      <c r="BL136" s="39">
        <f>BF136/求节点(节奏总纲!AN$4:AN$83,$G$5:$G$84,节奏总纲!Q135)</f>
        <v>0.88030556182307573</v>
      </c>
      <c r="BM136" s="39">
        <f>BG136/求节点(节奏总纲!AO$4:AO$83,$G$5:$G$84,节奏总纲!R135)</f>
        <v>1.0895307105489402</v>
      </c>
      <c r="BN136" s="39">
        <f>BH136/求节点(节奏总纲!AP$4:AP$83,$G$5:$G$84,节奏总纲!S135)</f>
        <v>1.1509632759400823</v>
      </c>
      <c r="BO136" s="39">
        <f>BI136/求节点(节奏总纲!AQ$4:AQ$83,$G$5:$G$84,节奏总纲!T135)</f>
        <v>1.1368194251878625</v>
      </c>
    </row>
    <row r="137" spans="9:67" x14ac:dyDescent="0.15">
      <c r="I137" s="54"/>
      <c r="J137" s="39">
        <v>133</v>
      </c>
      <c r="K137" s="55">
        <v>60</v>
      </c>
      <c r="L137" s="55">
        <f t="shared" si="36"/>
        <v>90</v>
      </c>
      <c r="M137" s="55"/>
      <c r="T137" s="35">
        <v>133</v>
      </c>
      <c r="U137" s="50">
        <f>INDEX($Q$5:$Q$21,MATCH(节奏总纲!BQ136,$N$5:$N$21,1))*(U$2+$K$2)*节奏总纲!W136*4*$C$5+U136</f>
        <v>309775238883.71674</v>
      </c>
      <c r="V137" s="50">
        <f>INDEX($Q$5:$Q$21,MATCH(节奏总纲!BR136,$N$5:$N$21,1))*(V$2+$K$2)*节奏总纲!X136*4*$C$5+V136</f>
        <v>932100254875.30139</v>
      </c>
      <c r="W137" s="50">
        <f>INDEX($Q$5:$Q$21,MATCH(节奏总纲!BS136,$N$5:$N$21,1))*(W$2+$K$2)*节奏总纲!Y136*4*$C$5+W136</f>
        <v>1826536840672.0513</v>
      </c>
      <c r="X137" s="50">
        <f>INDEX($Q$5:$Q$21,MATCH(节奏总纲!BT136,$N$5:$N$21,1))*(X$2+$K$2)*节奏总纲!Z136*4*$C$5+X136</f>
        <v>2609141191506.9395</v>
      </c>
      <c r="Y137" s="50">
        <f>INDEX($Q$5:$Q$21,MATCH(节奏总纲!BU136,$N$5:$N$21,1))*(Y$2+$K$2)*节奏总纲!AA136*4*$C$5+Y136</f>
        <v>1424445341532.2412</v>
      </c>
      <c r="Z137" s="51">
        <f>SUMIFS($K$5:$K$1004,$J$5:$J$1004,"&lt;="&amp;U$2)*节奏总纲!W136*4+Z136</f>
        <v>4033814.0136486227</v>
      </c>
      <c r="AA137" s="51">
        <f>SUMIFS($K$5:$K$1004,$J$5:$J$1004,"&lt;="&amp;V$2)*节奏总纲!X136*4+AA136</f>
        <v>30826003.310901407</v>
      </c>
      <c r="AB137" s="51">
        <f>SUMIFS($K$5:$K$1004,$J$5:$J$1004,"&lt;="&amp;W$2)*节奏总纲!Y136*4+AB136</f>
        <v>73734086.355483159</v>
      </c>
      <c r="AC137" s="51">
        <f>SUMIFS($K$5:$K$1004,$J$5:$J$1004,"&lt;="&amp;X$2)*节奏总纲!Z136*4+AC136</f>
        <v>110526100.59257087</v>
      </c>
      <c r="AD137" s="51">
        <f>SUMIFS($K$5:$K$1004,$J$5:$J$1004,"&lt;="&amp;Y$2)*节奏总纲!AA136*4+AD136</f>
        <v>59183312.445449881</v>
      </c>
      <c r="AH137" s="35">
        <v>133</v>
      </c>
      <c r="AI137" s="47">
        <f>'[1]资源-木石铜粮'!AE138-U137</f>
        <v>173623666378.49786</v>
      </c>
      <c r="AJ137" s="47">
        <f>'[1]资源-木石铜粮'!AF138-V137</f>
        <v>22872597333.236938</v>
      </c>
      <c r="AK137" s="47">
        <f>'[1]资源-木石铜粮'!AG138-W137</f>
        <v>-514364168133.3811</v>
      </c>
      <c r="AL137" s="47">
        <f>'[1]资源-木石铜粮'!AH138-X137</f>
        <v>-1336128084856.8286</v>
      </c>
      <c r="AM137" s="47">
        <f>'[1]资源-木石铜粮'!AI138-Y137</f>
        <v>-424716527574.65942</v>
      </c>
      <c r="AN137" s="47">
        <f>(AI137-AI136)*IF($AH137&lt;=10,'[1]功能-付费相关'!S148,'[1]功能-付费相关'!S138)</f>
        <v>275049.66102725553</v>
      </c>
      <c r="AO137" s="47">
        <f>(AJ137-AJ136)*IF($AH137&lt;=10,'[1]功能-付费相关'!T148,'[1]功能-付费相关'!T138)</f>
        <v>231927.89540490575</v>
      </c>
      <c r="AP137" s="47">
        <f>(AK137-AK136)*IF($AH137&lt;=10,'[1]功能-付费相关'!U148,'[1]功能-付费相关'!U138)</f>
        <v>-115572.94349559835</v>
      </c>
      <c r="AQ137" s="47">
        <f>(AL137-AL136)*IF($AH137&lt;=10,'[1]功能-付费相关'!V148,'[1]功能-付费相关'!V138)</f>
        <v>-578526.85172995029</v>
      </c>
      <c r="AR137" s="47">
        <f>(AM137-AM136)*IF($AH137&lt;=10,'[1]功能-付费相关'!W148,'[1]功能-付费相关'!W138)</f>
        <v>-162614.93356371523</v>
      </c>
      <c r="AS137" s="48">
        <f>SUM(AN$5:AN137)/'[1]资源-钻石'!L136</f>
        <v>3.8492578348012479E-2</v>
      </c>
      <c r="AT137" s="48">
        <f>SUM(AO$5:AO137)/'[1]资源-钻石'!M136</f>
        <v>-2.8387064381383996E-3</v>
      </c>
      <c r="AU137" s="48">
        <f>SUM(AP$5:AP137)/'[1]资源-钻石'!N136</f>
        <v>-6.3684840245550406E-2</v>
      </c>
      <c r="AV137" s="48">
        <f>SUM(AQ$5:AQ137)/'[1]资源-钻石'!O136</f>
        <v>-6.9811489156930653E-2</v>
      </c>
      <c r="AW137" s="48">
        <f>SUM(AR$5:AR137)/'[1]资源-钻石'!P136</f>
        <v>-1.5843125455509248E-2</v>
      </c>
      <c r="AX137" s="35">
        <f>('[1]资源-木石铜粮'!C138+U137)/'[1]资源-木石铜粮'!U138</f>
        <v>0.91012521651993672</v>
      </c>
      <c r="AY137" s="35">
        <f>('[1]资源-木石铜粮'!D138+V137)/'[1]资源-木石铜粮'!V138</f>
        <v>0.98976144070891303</v>
      </c>
      <c r="AZ137" s="35">
        <f>('[1]资源-木石铜粮'!E138+W137)/'[1]资源-木石铜粮'!W138</f>
        <v>1.2166405560492388</v>
      </c>
      <c r="BA137" s="35">
        <f>('[1]资源-木石铜粮'!F138+X137)/'[1]资源-木石铜粮'!X138</f>
        <v>1.6442548587577392</v>
      </c>
      <c r="BB137" s="35">
        <f>('[1]资源-木石铜粮'!G138+Y137)/'[1]资源-木石铜粮'!Y138</f>
        <v>1.2835179543605608</v>
      </c>
      <c r="BE137" s="39">
        <f t="shared" si="31"/>
        <v>1.3021744501544339E-5</v>
      </c>
      <c r="BF137" s="39">
        <f t="shared" si="32"/>
        <v>3.3071553354553458E-5</v>
      </c>
      <c r="BG137" s="39">
        <f t="shared" si="33"/>
        <v>4.0368244819170264E-5</v>
      </c>
      <c r="BH137" s="39">
        <f t="shared" si="34"/>
        <v>4.2361103704294077E-5</v>
      </c>
      <c r="BI137" s="39">
        <f t="shared" si="35"/>
        <v>4.1548321104260717E-5</v>
      </c>
      <c r="BK137" s="39">
        <f>BE137/求节点(节奏总纲!AM$4:AM$83,$G$5:$G$84,节奏总纲!P136)</f>
        <v>0.34261032676072156</v>
      </c>
      <c r="BL137" s="39">
        <f>BF137/求节点(节奏总纲!AN$4:AN$83,$G$5:$G$84,节奏总纲!Q136)</f>
        <v>0.87719574236868891</v>
      </c>
      <c r="BM137" s="39">
        <f>BG137/求节点(节奏总纲!AO$4:AO$83,$G$5:$G$84,节奏总纲!R136)</f>
        <v>1.0793719479375996</v>
      </c>
      <c r="BN137" s="39">
        <f>BH137/求节点(节奏总纲!AP$4:AP$83,$G$5:$G$84,节奏总纲!S136)</f>
        <v>1.1415617836311724</v>
      </c>
      <c r="BO137" s="39">
        <f>BI137/求节点(节奏总纲!AQ$4:AQ$83,$G$5:$G$84,节奏总纲!T136)</f>
        <v>1.1293439038276427</v>
      </c>
    </row>
    <row r="138" spans="9:67" x14ac:dyDescent="0.15">
      <c r="I138" s="54"/>
      <c r="J138" s="39">
        <v>134</v>
      </c>
      <c r="K138" s="55">
        <v>60</v>
      </c>
      <c r="L138" s="55">
        <f t="shared" si="36"/>
        <v>90</v>
      </c>
      <c r="M138" s="55"/>
      <c r="T138" s="35">
        <v>134</v>
      </c>
      <c r="U138" s="50">
        <f>INDEX($Q$5:$Q$21,MATCH(节奏总纲!BQ137,$N$5:$N$21,1))*(U$2+$K$2)*节奏总纲!W137*4*$C$5+U137</f>
        <v>336293341058.45752</v>
      </c>
      <c r="V138" s="50">
        <f>INDEX($Q$5:$Q$21,MATCH(节奏总纲!BR137,$N$5:$N$21,1))*(V$2+$K$2)*节奏总纲!X137*4*$C$5+V137</f>
        <v>1013872241903.2852</v>
      </c>
      <c r="W138" s="50">
        <f>INDEX($Q$5:$Q$21,MATCH(节奏总纲!BS137,$N$5:$N$21,1))*(W$2+$K$2)*节奏总纲!Y137*4*$C$5+W137</f>
        <v>1980549045442.7683</v>
      </c>
      <c r="X138" s="50">
        <f>INDEX($Q$5:$Q$21,MATCH(节奏总纲!BT137,$N$5:$N$21,1))*(X$2+$K$2)*节奏总纲!Z137*4*$C$5+X137</f>
        <v>2827882340537.7319</v>
      </c>
      <c r="Y138" s="50">
        <f>INDEX($Q$5:$Q$21,MATCH(节奏总纲!BU137,$N$5:$N$21,1))*(Y$2+$K$2)*节奏总纲!AA137*4*$C$5+Y137</f>
        <v>1544588287152.3918</v>
      </c>
      <c r="Z138" s="51">
        <f>SUMIFS($K$5:$K$1004,$J$5:$J$1004,"&lt;="&amp;U$2)*节奏总纲!W137*4+Z137</f>
        <v>4323363.5220206175</v>
      </c>
      <c r="AA138" s="51">
        <f>SUMIFS($K$5:$K$1004,$J$5:$J$1004,"&lt;="&amp;V$2)*节奏总纲!X137*4+AA137</f>
        <v>32945327.046853714</v>
      </c>
      <c r="AB138" s="51">
        <f>SUMIFS($K$5:$K$1004,$J$5:$J$1004,"&lt;="&amp;W$2)*节奏总纲!Y137*4+AB137</f>
        <v>78664896.292221725</v>
      </c>
      <c r="AC138" s="51">
        <f>SUMIFS($K$5:$K$1004,$J$5:$J$1004,"&lt;="&amp;X$2)*节奏总纲!Z137*4+AC137</f>
        <v>117991507.89757787</v>
      </c>
      <c r="AD138" s="51">
        <f>SUMIFS($K$5:$K$1004,$J$5:$J$1004,"&lt;="&amp;Y$2)*节奏总纲!AA137*4+AD137</f>
        <v>63283665.889929004</v>
      </c>
      <c r="AH138" s="35">
        <v>134</v>
      </c>
      <c r="AI138" s="47">
        <f>'[1]资源-木石铜粮'!AE139-U138</f>
        <v>219290415644.10156</v>
      </c>
      <c r="AJ138" s="47">
        <f>'[1]资源-木石铜粮'!AF139-V138</f>
        <v>56154285605.043457</v>
      </c>
      <c r="AK138" s="47">
        <f>'[1]资源-木石铜粮'!AG139-W138</f>
        <v>-526469595618.07129</v>
      </c>
      <c r="AL138" s="47">
        <f>'[1]资源-木石铜粮'!AH139-X138</f>
        <v>-1423952941573.4939</v>
      </c>
      <c r="AM138" s="47">
        <f>'[1]资源-木石铜粮'!AI139-Y138</f>
        <v>-451080005745.68921</v>
      </c>
      <c r="AN138" s="47">
        <f>(AI138-AI137)*IF($AH138&lt;=10,'[1]功能-付费相关'!S149,'[1]功能-付费相关'!S139)</f>
        <v>325227.9158111398</v>
      </c>
      <c r="AO138" s="47">
        <f>(AJ138-AJ137)*IF($AH138&lt;=10,'[1]功能-付费相关'!T149,'[1]功能-付费相关'!T139)</f>
        <v>234144.76610846599</v>
      </c>
      <c r="AP138" s="47">
        <f>(AK138-AK137)*IF($AH138&lt;=10,'[1]功能-付费相关'!U149,'[1]功能-付费相关'!U139)</f>
        <v>-84379.253994473795</v>
      </c>
      <c r="AQ138" s="47">
        <f>(AL138-AL137)*IF($AH138&lt;=10,'[1]功能-付费相关'!V149,'[1]功能-付费相关'!V139)</f>
        <v>-603818.91052303754</v>
      </c>
      <c r="AR138" s="47">
        <f>(AM138-AM137)*IF($AH138&lt;=10,'[1]功能-付费相关'!W149,'[1]功能-付费相关'!W139)</f>
        <v>-178017.34137566958</v>
      </c>
      <c r="AS138" s="48">
        <f>SUM(AN$5:AN138)/'[1]资源-钻石'!L137</f>
        <v>4.6091325220738048E-2</v>
      </c>
      <c r="AT138" s="48">
        <f>SUM(AO$5:AO138)/'[1]资源-钻石'!M137</f>
        <v>2.4379657871499523E-3</v>
      </c>
      <c r="AU138" s="48">
        <f>SUM(AP$5:AP138)/'[1]资源-钻石'!N137</f>
        <v>-6.0970727467386084E-2</v>
      </c>
      <c r="AV138" s="48">
        <f>SUM(AQ$5:AQ138)/'[1]资源-钻石'!O137</f>
        <v>-6.9182498454927813E-2</v>
      </c>
      <c r="AW138" s="48">
        <f>SUM(AR$5:AR138)/'[1]资源-钻石'!P137</f>
        <v>-1.5640081140490206E-2</v>
      </c>
      <c r="AX138" s="35">
        <f>('[1]资源-木石铜粮'!C139+U138)/'[1]资源-木石铜粮'!U139</f>
        <v>0.89665638182733243</v>
      </c>
      <c r="AY138" s="35">
        <f>('[1]资源-木石铜粮'!D139+V138)/'[1]资源-木石铜粮'!V139</f>
        <v>0.97705694310912761</v>
      </c>
      <c r="AZ138" s="35">
        <f>('[1]资源-木石铜粮'!E139+W138)/'[1]资源-木石铜粮'!W139</f>
        <v>1.2028585223379837</v>
      </c>
      <c r="BA138" s="35">
        <f>('[1]资源-木石铜粮'!F139+X138)/'[1]资源-木石铜粮'!X139</f>
        <v>1.6287091858939231</v>
      </c>
      <c r="BB138" s="35">
        <f>('[1]资源-木石铜粮'!G139+Y138)/'[1]资源-木石铜粮'!Y139</f>
        <v>1.2767156873734331</v>
      </c>
      <c r="BE138" s="39">
        <f t="shared" si="31"/>
        <v>1.2855929613156069E-5</v>
      </c>
      <c r="BF138" s="39">
        <f t="shared" si="32"/>
        <v>3.2494554723194026E-5</v>
      </c>
      <c r="BG138" s="39">
        <f t="shared" si="33"/>
        <v>3.9718731769470284E-5</v>
      </c>
      <c r="BH138" s="39">
        <f t="shared" si="34"/>
        <v>4.1724334215100814E-5</v>
      </c>
      <c r="BI138" s="39">
        <f t="shared" si="35"/>
        <v>4.0971219590560916E-5</v>
      </c>
      <c r="BK138" s="39">
        <f>BE138/求节点(节奏总纲!AM$4:AM$83,$G$5:$G$84,节奏总纲!P137)</f>
        <v>0.34146282462534316</v>
      </c>
      <c r="BL138" s="39">
        <f>BF138/求节点(节奏总纲!AN$4:AN$83,$G$5:$G$84,节奏总纲!Q137)</f>
        <v>0.86939946043531036</v>
      </c>
      <c r="BM138" s="39">
        <f>BG138/求节点(节奏总纲!AO$4:AO$83,$G$5:$G$84,节奏总纲!R137)</f>
        <v>1.0705878866667917</v>
      </c>
      <c r="BN138" s="39">
        <f>BH138/求节点(节奏总纲!AP$4:AP$83,$G$5:$G$84,节奏总纲!S137)</f>
        <v>1.1337718282066018</v>
      </c>
      <c r="BO138" s="39">
        <f>BI138/求节点(节奏总纲!AQ$4:AQ$83,$G$5:$G$84,节奏总纲!T137)</f>
        <v>1.1213630060865438</v>
      </c>
    </row>
    <row r="139" spans="9:67" x14ac:dyDescent="0.15">
      <c r="I139" s="54"/>
      <c r="J139" s="39">
        <v>135</v>
      </c>
      <c r="K139" s="55">
        <v>60</v>
      </c>
      <c r="L139" s="55">
        <f t="shared" si="36"/>
        <v>90</v>
      </c>
      <c r="M139" s="55"/>
      <c r="T139" s="35">
        <v>135</v>
      </c>
      <c r="U139" s="50">
        <f>INDEX($Q$5:$Q$21,MATCH(节奏总纲!BQ138,$N$5:$N$21,1))*(U$2+$K$2)*节奏总纲!W138*4*$C$5+U138</f>
        <v>367083189095.14746</v>
      </c>
      <c r="V139" s="50">
        <f>INDEX($Q$5:$Q$21,MATCH(节奏总纲!BR138,$N$5:$N$21,1))*(V$2+$K$2)*节奏总纲!X138*4*$C$5+V138</f>
        <v>1103507338676.2827</v>
      </c>
      <c r="W139" s="50">
        <f>INDEX($Q$5:$Q$21,MATCH(节奏总纲!BS138,$N$5:$N$21,1))*(W$2+$K$2)*节奏总纲!Y138*4*$C$5+W138</f>
        <v>2153400927847.3667</v>
      </c>
      <c r="X139" s="50">
        <f>INDEX($Q$5:$Q$21,MATCH(节奏总纲!BT138,$N$5:$N$21,1))*(X$2+$K$2)*节奏总纲!Z138*4*$C$5+X138</f>
        <v>3077590137910.7446</v>
      </c>
      <c r="Y139" s="50">
        <f>INDEX($Q$5:$Q$21,MATCH(节奏总纲!BU138,$N$5:$N$21,1))*(Y$2+$K$2)*节奏总纲!AA138*4*$C$5+Y138</f>
        <v>1680782202579.1941</v>
      </c>
      <c r="Z139" s="51">
        <f>SUMIFS($K$5:$K$1004,$J$5:$J$1004,"&lt;="&amp;U$2)*节奏总纲!W138*4+Z138</f>
        <v>4633695.001184159</v>
      </c>
      <c r="AA139" s="51">
        <f>SUMIFS($K$5:$K$1004,$J$5:$J$1004,"&lt;="&amp;V$2)*节奏总纲!X138*4+AA138</f>
        <v>35268442.762512989</v>
      </c>
      <c r="AB139" s="51">
        <f>SUMIFS($K$5:$K$1004,$J$5:$J$1004,"&lt;="&amp;W$2)*节奏总纲!Y138*4+AB138</f>
        <v>84198871.866517335</v>
      </c>
      <c r="AC139" s="51">
        <f>SUMIFS($K$5:$K$1004,$J$5:$J$1004,"&lt;="&amp;X$2)*节奏总纲!Z138*4+AC138</f>
        <v>126513774.61733107</v>
      </c>
      <c r="AD139" s="51">
        <f>SUMIFS($K$5:$K$1004,$J$5:$J$1004,"&lt;="&amp;Y$2)*节奏总纲!AA138*4+AD138</f>
        <v>67931822.195360258</v>
      </c>
      <c r="AH139" s="35">
        <v>135</v>
      </c>
      <c r="AI139" s="47">
        <f>'[1]资源-木石铜粮'!AE140-U139</f>
        <v>268952976037.67334</v>
      </c>
      <c r="AJ139" s="47">
        <f>'[1]资源-木石铜粮'!AF140-V139</f>
        <v>95772865326.864502</v>
      </c>
      <c r="AK139" s="47">
        <f>'[1]资源-木石铜粮'!AG140-W139</f>
        <v>-536710636185.79102</v>
      </c>
      <c r="AL139" s="47">
        <f>'[1]资源-木石铜粮'!AH140-X139</f>
        <v>-1524383291235.3242</v>
      </c>
      <c r="AM139" s="47">
        <f>'[1]资源-木石铜粮'!AI140-Y139</f>
        <v>-481008177714.38159</v>
      </c>
      <c r="AN139" s="47">
        <f>(AI139-AI138)*IF($AH139&lt;=10,'[1]功能-付费相关'!S150,'[1]功能-付费相关'!S140)</f>
        <v>353267.8977178986</v>
      </c>
      <c r="AO139" s="47">
        <f>(AJ139-AJ138)*IF($AH139&lt;=10,'[1]功能-付费相关'!T150,'[1]功能-付费相关'!T140)</f>
        <v>278726.3376411607</v>
      </c>
      <c r="AP139" s="47">
        <f>(AK139-AK138)*IF($AH139&lt;=10,'[1]功能-付费相关'!U150,'[1]功能-付费相关'!U140)</f>
        <v>-71383.795766337513</v>
      </c>
      <c r="AQ139" s="47">
        <f>(AL139-AL138)*IF($AH139&lt;=10,'[1]功能-付费相关'!V150,'[1]功能-付费相关'!V140)</f>
        <v>-690484.97866489505</v>
      </c>
      <c r="AR139" s="47">
        <f>(AM139-AM138)*IF($AH139&lt;=10,'[1]功能-付费相关'!W150,'[1]功能-付费相关'!W140)</f>
        <v>-202087.65973660408</v>
      </c>
      <c r="AS139" s="48">
        <f>SUM(AN$5:AN139)/'[1]资源-钻石'!L138</f>
        <v>5.3381066252463354E-2</v>
      </c>
      <c r="AT139" s="48">
        <f>SUM(AO$5:AO139)/'[1]资源-钻石'!M138</f>
        <v>7.9743037630116333E-3</v>
      </c>
      <c r="AU139" s="48">
        <f>SUM(AP$5:AP139)/'[1]资源-钻石'!N138</f>
        <v>-5.7993543512550413E-2</v>
      </c>
      <c r="AV139" s="48">
        <f>SUM(AQ$5:AQ139)/'[1]资源-钻石'!O138</f>
        <v>-6.8561166060491396E-2</v>
      </c>
      <c r="AW139" s="48">
        <f>SUM(AR$5:AR139)/'[1]资源-钻石'!P138</f>
        <v>-1.5441967810360172E-2</v>
      </c>
      <c r="AX139" s="35">
        <f>('[1]资源-木石铜粮'!C140+U139)/'[1]资源-木石铜粮'!U140</f>
        <v>0.88454665254914133</v>
      </c>
      <c r="AY139" s="35">
        <f>('[1]资源-木石铜粮'!D140+V139)/'[1]资源-木石铜粮'!V140</f>
        <v>0.96433214224054542</v>
      </c>
      <c r="AZ139" s="35">
        <f>('[1]资源-木石铜粮'!E140+W139)/'[1]资源-木石铜粮'!W140</f>
        <v>1.1885281681964959</v>
      </c>
      <c r="BA139" s="35">
        <f>('[1]资源-木石铜粮'!F140+X139)/'[1]资源-木石铜粮'!X140</f>
        <v>1.6139060287004712</v>
      </c>
      <c r="BB139" s="35">
        <f>('[1]资源-木石铜粮'!G140+Y139)/'[1]资源-木石铜粮'!Y140</f>
        <v>1.2702511110667949</v>
      </c>
      <c r="BE139" s="39">
        <f t="shared" si="31"/>
        <v>1.2623010638558857E-5</v>
      </c>
      <c r="BF139" s="39">
        <f t="shared" si="32"/>
        <v>3.1960315556051862E-5</v>
      </c>
      <c r="BG139" s="39">
        <f t="shared" si="33"/>
        <v>3.9100415894538597E-5</v>
      </c>
      <c r="BH139" s="39">
        <f t="shared" si="34"/>
        <v>4.1108064735097023E-5</v>
      </c>
      <c r="BI139" s="39">
        <f t="shared" si="35"/>
        <v>4.0416790522363641E-5</v>
      </c>
      <c r="BK139" s="39">
        <f>BE139/求节点(节奏总纲!AM$4:AM$83,$G$5:$G$84,节奏总纲!P138)</f>
        <v>0.33824827994099327</v>
      </c>
      <c r="BL139" s="39">
        <f>BF139/求节点(节奏总纲!AN$4:AN$83,$G$5:$G$84,节奏总纲!Q138)</f>
        <v>0.86243981191708219</v>
      </c>
      <c r="BM139" s="39">
        <f>BG139/求节点(节奏总纲!AO$4:AO$83,$G$5:$G$84,节奏总纲!R138)</f>
        <v>1.0629269496115943</v>
      </c>
      <c r="BN139" s="39">
        <f>BH139/求节点(节奏总纲!AP$4:AP$83,$G$5:$G$84,节奏总纲!S138)</f>
        <v>1.1250575547003676</v>
      </c>
      <c r="BO139" s="39">
        <f>BI139/求节点(节奏总纲!AQ$4:AQ$83,$G$5:$G$84,节奏总纲!T138)</f>
        <v>1.114809285301416</v>
      </c>
    </row>
    <row r="140" spans="9:67" x14ac:dyDescent="0.15">
      <c r="I140" s="54"/>
      <c r="J140" s="39">
        <v>136</v>
      </c>
      <c r="K140" s="55">
        <v>60</v>
      </c>
      <c r="L140" s="55">
        <f t="shared" si="36"/>
        <v>90</v>
      </c>
      <c r="M140" s="55"/>
      <c r="T140" s="35">
        <v>136</v>
      </c>
      <c r="U140" s="50">
        <f>INDEX($Q$5:$Q$21,MATCH(节奏总纲!BQ139,$N$5:$N$21,1))*(U$2+$K$2)*节奏总纲!W139*4*$C$5+U139</f>
        <v>400082931136.39612</v>
      </c>
      <c r="V140" s="50">
        <f>INDEX($Q$5:$Q$21,MATCH(节奏总纲!BR139,$N$5:$N$21,1))*(V$2+$K$2)*节奏总纲!X139*4*$C$5+V139</f>
        <v>1202219671624.3621</v>
      </c>
      <c r="W140" s="50">
        <f>INDEX($Q$5:$Q$21,MATCH(节奏总纲!BS139,$N$5:$N$21,1))*(W$2+$K$2)*节奏总纲!Y139*4*$C$5+W139</f>
        <v>2351808949308.5288</v>
      </c>
      <c r="X140" s="50">
        <f>INDEX($Q$5:$Q$21,MATCH(节奏总纲!BT139,$N$5:$N$21,1))*(X$2+$K$2)*节奏总纲!Z139*4*$C$5+X139</f>
        <v>3356943592333.8467</v>
      </c>
      <c r="Y140" s="50">
        <f>INDEX($Q$5:$Q$21,MATCH(节奏总纲!BU139,$N$5:$N$21,1))*(Y$2+$K$2)*节奏总纲!AA139*4*$C$5+Y139</f>
        <v>1831120642581.1545</v>
      </c>
      <c r="Z140" s="51">
        <f>SUMIFS($K$5:$K$1004,$J$5:$J$1004,"&lt;="&amp;U$2)*节奏总纲!W139*4+Z139</f>
        <v>4966300.0451412695</v>
      </c>
      <c r="AA140" s="51">
        <f>SUMIFS($K$5:$K$1004,$J$5:$J$1004,"&lt;="&amp;V$2)*节奏总纲!X139*4+AA139</f>
        <v>37826817.553827509</v>
      </c>
      <c r="AB140" s="51">
        <f>SUMIFS($K$5:$K$1004,$J$5:$J$1004,"&lt;="&amp;W$2)*节奏总纲!Y139*4+AB139</f>
        <v>90551045.353065267</v>
      </c>
      <c r="AC140" s="51">
        <f>SUMIFS($K$5:$K$1004,$J$5:$J$1004,"&lt;="&amp;X$2)*节奏总纲!Z139*4+AC139</f>
        <v>136047816.69660893</v>
      </c>
      <c r="AD140" s="51">
        <f>SUMIFS($K$5:$K$1004,$J$5:$J$1004,"&lt;="&amp;Y$2)*节奏总纲!AA139*4+AD139</f>
        <v>73062716.374104828</v>
      </c>
      <c r="AH140" s="35">
        <v>136</v>
      </c>
      <c r="AI140" s="47">
        <f>'[1]资源-木石铜粮'!AE141-U140</f>
        <v>326180254118.68225</v>
      </c>
      <c r="AJ140" s="47">
        <f>'[1]资源-木石铜粮'!AF141-V140</f>
        <v>143397374783.53955</v>
      </c>
      <c r="AK140" s="47">
        <f>'[1]资源-木石铜粮'!AG141-W140</f>
        <v>-547487869601.28564</v>
      </c>
      <c r="AL140" s="47">
        <f>'[1]资源-木石铜粮'!AH141-X140</f>
        <v>-1633597238604.0171</v>
      </c>
      <c r="AM140" s="47">
        <f>'[1]资源-木石铜粮'!AI141-Y140</f>
        <v>-508077177361.31006</v>
      </c>
      <c r="AN140" s="47">
        <f>(AI140-AI139)*IF($AH140&lt;=10,'[1]功能-付费相关'!S151,'[1]功能-付费相关'!S141)</f>
        <v>406615.73257708171</v>
      </c>
      <c r="AO140" s="47">
        <f>(AJ140-AJ139)*IF($AH140&lt;=10,'[1]功能-付费相关'!T151,'[1]功能-付费相关'!T141)</f>
        <v>335049.99916755524</v>
      </c>
      <c r="AP140" s="47">
        <f>(AK140-AK139)*IF($AH140&lt;=10,'[1]功能-付费相关'!U151,'[1]功能-付费相关'!U141)</f>
        <v>-75121.25588905011</v>
      </c>
      <c r="AQ140" s="47">
        <f>(AL140-AL139)*IF($AH140&lt;=10,'[1]功能-付费相关'!V151,'[1]功能-付费相关'!V141)</f>
        <v>-750874.51525065745</v>
      </c>
      <c r="AR140" s="47">
        <f>(AM140-AM139)*IF($AH140&lt;=10,'[1]功能-付费相关'!W151,'[1]功能-付费相关'!W141)</f>
        <v>-182781.32041546621</v>
      </c>
      <c r="AS140" s="48">
        <f>SUM(AN$5:AN140)/'[1]资源-钻石'!L139</f>
        <v>6.1092657646173894E-2</v>
      </c>
      <c r="AT140" s="48">
        <f>SUM(AO$5:AO140)/'[1]资源-钻石'!M139</f>
        <v>1.3851457763402198E-2</v>
      </c>
      <c r="AU140" s="48">
        <f>SUM(AP$5:AP140)/'[1]资源-钻石'!N139</f>
        <v>-5.4931337058822388E-2</v>
      </c>
      <c r="AV140" s="48">
        <f>SUM(AQ$5:AQ140)/'[1]资源-钻石'!O139</f>
        <v>-6.7851973874428803E-2</v>
      </c>
      <c r="AW140" s="48">
        <f>SUM(AR$5:AR140)/'[1]资源-钻石'!P139</f>
        <v>-1.5093415312492704E-2</v>
      </c>
      <c r="AX140" s="35">
        <f>('[1]资源-木石铜粮'!C141+U140)/'[1]资源-木石铜粮'!U141</f>
        <v>0.87241268298758823</v>
      </c>
      <c r="AY140" s="35">
        <f>('[1]资源-木石铜粮'!D141+V140)/'[1]资源-木石铜粮'!V141</f>
        <v>0.95141087452415074</v>
      </c>
      <c r="AZ140" s="35">
        <f>('[1]资源-木石铜粮'!E141+W140)/'[1]资源-木石铜粮'!W141</f>
        <v>1.1745180658535159</v>
      </c>
      <c r="BA140" s="35">
        <f>('[1]资源-木石铜粮'!F141+X140)/'[1]资源-木石铜粮'!X141</f>
        <v>1.5982908108852067</v>
      </c>
      <c r="BB140" s="35">
        <f>('[1]资源-木石铜粮'!G141+Y140)/'[1]资源-木石铜粮'!Y141</f>
        <v>1.2603709110884198</v>
      </c>
      <c r="BE140" s="39">
        <f t="shared" si="31"/>
        <v>1.2413176515766328E-5</v>
      </c>
      <c r="BF140" s="39">
        <f t="shared" si="32"/>
        <v>3.1464147897961397E-5</v>
      </c>
      <c r="BG140" s="39">
        <f t="shared" si="33"/>
        <v>3.8502721651641302E-5</v>
      </c>
      <c r="BH140" s="39">
        <f t="shared" si="34"/>
        <v>4.0527287085579078E-5</v>
      </c>
      <c r="BI140" s="39">
        <f t="shared" si="35"/>
        <v>3.9900547607346805E-5</v>
      </c>
      <c r="BK140" s="39">
        <f>BE140/求节点(节奏总纲!AM$4:AM$83,$G$5:$G$84,节奏总纲!P139)</f>
        <v>0.33557167768062796</v>
      </c>
      <c r="BL140" s="39">
        <f>BF140/求节点(节奏总纲!AN$4:AN$83,$G$5:$G$84,节奏总纲!Q139)</f>
        <v>0.85625898842426551</v>
      </c>
      <c r="BM140" s="39">
        <f>BG140/求节点(节奏总纲!AO$4:AO$83,$G$5:$G$84,节奏总纲!R139)</f>
        <v>1.0545798265006141</v>
      </c>
      <c r="BN140" s="39">
        <f>BH140/求节点(节奏总纲!AP$4:AP$83,$G$5:$G$84,节奏总纲!S139)</f>
        <v>1.1180039356516838</v>
      </c>
      <c r="BO140" s="39">
        <f>BI140/求节点(节奏总纲!AQ$4:AQ$83,$G$5:$G$84,节奏总纲!T139)</f>
        <v>1.1086834914597177</v>
      </c>
    </row>
    <row r="141" spans="9:67" x14ac:dyDescent="0.15">
      <c r="I141" s="54"/>
      <c r="J141" s="39">
        <v>137</v>
      </c>
      <c r="K141" s="55">
        <v>60</v>
      </c>
      <c r="L141" s="55">
        <f t="shared" si="36"/>
        <v>90</v>
      </c>
      <c r="M141" s="55"/>
      <c r="T141" s="35">
        <v>137</v>
      </c>
      <c r="U141" s="50">
        <f>INDEX($Q$5:$Q$21,MATCH(节奏总纲!BQ140,$N$5:$N$21,1))*(U$2+$K$2)*节奏总纲!W140*4*$C$5+U140</f>
        <v>435451178926.74969</v>
      </c>
      <c r="V141" s="50">
        <f>INDEX($Q$5:$Q$21,MATCH(节奏总纲!BR140,$N$5:$N$21,1))*(V$2+$K$2)*节奏总纲!X140*4*$C$5+V140</f>
        <v>1308830556347.5205</v>
      </c>
      <c r="W141" s="50">
        <f>INDEX($Q$5:$Q$21,MATCH(节奏总纲!BS140,$N$5:$N$21,1))*(W$2+$K$2)*节奏总纲!Y140*4*$C$5+W140</f>
        <v>2557966682842.3086</v>
      </c>
      <c r="X141" s="50">
        <f>INDEX($Q$5:$Q$21,MATCH(节奏总纲!BT140,$N$5:$N$21,1))*(X$2+$K$2)*节奏总纲!Z140*4*$C$5+X140</f>
        <v>3651077039579.583</v>
      </c>
      <c r="Y141" s="50">
        <f>INDEX($Q$5:$Q$21,MATCH(节奏总纲!BU140,$N$5:$N$21,1))*(Y$2+$K$2)*节奏总纲!AA140*4*$C$5+Y140</f>
        <v>1987451407884.1062</v>
      </c>
      <c r="Z141" s="51">
        <f>SUMIFS($K$5:$K$1004,$J$5:$J$1004,"&lt;="&amp;U$2)*节奏总纲!W140*4+Z140</f>
        <v>5322777.3047602177</v>
      </c>
      <c r="AA141" s="51">
        <f>SUMIFS($K$5:$K$1004,$J$5:$J$1004,"&lt;="&amp;V$2)*节奏总纲!X140*4+AA140</f>
        <v>40589902.892909989</v>
      </c>
      <c r="AB141" s="51">
        <f>SUMIFS($K$5:$K$1004,$J$5:$J$1004,"&lt;="&amp;W$2)*节奏总纲!Y140*4+AB140</f>
        <v>97151331.36648348</v>
      </c>
      <c r="AC141" s="51">
        <f>SUMIFS($K$5:$K$1004,$J$5:$J$1004,"&lt;="&amp;X$2)*节奏总纲!Z140*4+AC140</f>
        <v>146086284.51779652</v>
      </c>
      <c r="AD141" s="51">
        <f>SUMIFS($K$5:$K$1004,$J$5:$J$1004,"&lt;="&amp;Y$2)*节奏总纲!AA140*4+AD140</f>
        <v>78398122.366352305</v>
      </c>
      <c r="AH141" s="35">
        <v>137</v>
      </c>
      <c r="AI141" s="47">
        <f>'[1]资源-木石铜粮'!AE142-U141</f>
        <v>391505634652.3924</v>
      </c>
      <c r="AJ141" s="47">
        <f>'[1]资源-木石铜粮'!AF142-V141</f>
        <v>199340007728.74341</v>
      </c>
      <c r="AK141" s="47">
        <f>'[1]资源-木石铜粮'!AG142-W141</f>
        <v>-549518644761.79907</v>
      </c>
      <c r="AL141" s="47">
        <f>'[1]资源-木石铜粮'!AH142-X141</f>
        <v>-1738029404715.2227</v>
      </c>
      <c r="AM141" s="47">
        <f>'[1]资源-木石铜粮'!AI142-Y141</f>
        <v>-531461137022.37622</v>
      </c>
      <c r="AN141" s="47">
        <f>(AI141-AI140)*IF($AH141&lt;=10,'[1]功能-付费相关'!S152,'[1]功能-付费相关'!S142)</f>
        <v>463666.13999820314</v>
      </c>
      <c r="AO141" s="47">
        <f>(AJ141-AJ140)*IF($AH141&lt;=10,'[1]功能-付费相关'!T152,'[1]功能-付费相关'!T142)</f>
        <v>393570.01962976233</v>
      </c>
      <c r="AP141" s="47">
        <f>(AK141-AK140)*IF($AH141&lt;=10,'[1]功能-付费相关'!U152,'[1]功能-付费相关'!U142)</f>
        <v>-14155.245099055361</v>
      </c>
      <c r="AQ141" s="47">
        <f>(AL141-AL140)*IF($AH141&lt;=10,'[1]功能-付费相关'!V152,'[1]功能-付费相关'!V142)</f>
        <v>-717998.51570794964</v>
      </c>
      <c r="AR141" s="47">
        <f>(AM141-AM140)*IF($AH141&lt;=10,'[1]功能-付费相关'!W152,'[1]功能-付费相关'!W142)</f>
        <v>-157898.37375378076</v>
      </c>
      <c r="AS141" s="48">
        <f>SUM(AN$5:AN141)/'[1]资源-钻石'!L140</f>
        <v>6.9071105454502527E-2</v>
      </c>
      <c r="AT141" s="48">
        <f>SUM(AO$5:AO141)/'[1]资源-钻石'!M140</f>
        <v>1.9962583580553701E-2</v>
      </c>
      <c r="AU141" s="48">
        <f>SUM(AP$5:AP141)/'[1]资源-钻石'!N140</f>
        <v>-5.1450811255348117E-2</v>
      </c>
      <c r="AV141" s="48">
        <f>SUM(AQ$5:AQ141)/'[1]资源-钻石'!O140</f>
        <v>-6.6850555150363797E-2</v>
      </c>
      <c r="AW141" s="48">
        <f>SUM(AR$5:AR141)/'[1]资源-钻石'!P140</f>
        <v>-1.4659618156571543E-2</v>
      </c>
      <c r="AX141" s="35">
        <f>('[1]资源-木石铜粮'!C142+U141)/'[1]资源-木石铜粮'!U142</f>
        <v>0.86040292944062557</v>
      </c>
      <c r="AY141" s="35">
        <f>('[1]资源-木石铜粮'!D142+V141)/'[1]资源-木石铜粮'!V142</f>
        <v>0.9385438084437302</v>
      </c>
      <c r="AZ141" s="35">
        <f>('[1]资源-木石铜粮'!E142+W141)/'[1]资源-木石铜粮'!W142</f>
        <v>1.1593667456228081</v>
      </c>
      <c r="BA141" s="35">
        <f>('[1]资源-木石铜粮'!F142+X141)/'[1]资源-木石铜粮'!X142</f>
        <v>1.5789652158254988</v>
      </c>
      <c r="BB141" s="35">
        <f>('[1]资源-木石铜粮'!G142+Y141)/'[1]资源-木石铜粮'!Y142</f>
        <v>1.2489855544926391</v>
      </c>
      <c r="BE141" s="39">
        <f t="shared" si="31"/>
        <v>1.2223591443429298E-5</v>
      </c>
      <c r="BF141" s="39">
        <f t="shared" si="32"/>
        <v>3.1012343573473668E-5</v>
      </c>
      <c r="BG141" s="39">
        <f t="shared" si="33"/>
        <v>3.7979904905771826E-5</v>
      </c>
      <c r="BH141" s="39">
        <f t="shared" si="34"/>
        <v>4.0011832928789194E-5</v>
      </c>
      <c r="BI141" s="39">
        <f t="shared" si="35"/>
        <v>3.9446560582739999E-5</v>
      </c>
      <c r="BK141" s="39">
        <f>BE141/求节点(节奏总纲!AM$4:AM$83,$G$5:$G$84,节奏总纲!P140)</f>
        <v>0.33309030447166232</v>
      </c>
      <c r="BL141" s="39">
        <f>BF141/求节点(节奏总纲!AN$4:AN$83,$G$5:$G$84,节奏总纲!Q140)</f>
        <v>0.85020452027747151</v>
      </c>
      <c r="BM141" s="39">
        <f>BG141/求节点(节奏总纲!AO$4:AO$83,$G$5:$G$84,节奏总纲!R140)</f>
        <v>1.0482418721313695</v>
      </c>
      <c r="BN141" s="39">
        <f>BH141/求节点(节奏总纲!AP$4:AP$83,$G$5:$G$84,节奏总纲!S140)</f>
        <v>1.1117444171323558</v>
      </c>
      <c r="BO141" s="39">
        <f>BI141/求节点(节奏总纲!AQ$4:AQ$83,$G$5:$G$84,节奏总纲!T140)</f>
        <v>1.1044749988462583</v>
      </c>
    </row>
    <row r="142" spans="9:67" x14ac:dyDescent="0.15">
      <c r="I142" s="54"/>
      <c r="J142" s="39">
        <v>138</v>
      </c>
      <c r="K142" s="55">
        <v>60</v>
      </c>
      <c r="L142" s="55">
        <f t="shared" si="36"/>
        <v>90</v>
      </c>
      <c r="M142" s="55"/>
      <c r="T142" s="35">
        <v>138</v>
      </c>
      <c r="U142" s="50">
        <f>INDEX($Q$5:$Q$21,MATCH(节奏总纲!BQ141,$N$5:$N$21,1))*(U$2+$K$2)*节奏总纲!W141*4*$C$5+U141</f>
        <v>473357928324.8595</v>
      </c>
      <c r="V142" s="50">
        <f>INDEX($Q$5:$Q$21,MATCH(节奏总纲!BR141,$N$5:$N$21,1))*(V$2+$K$2)*节奏总纲!X141*4*$C$5+V141</f>
        <v>1421244917025.0852</v>
      </c>
      <c r="W142" s="50">
        <f>INDEX($Q$5:$Q$21,MATCH(节奏总纲!BS141,$N$5:$N$21,1))*(W$2+$K$2)*节奏总纲!Y141*4*$C$5+W141</f>
        <v>2778184413429.333</v>
      </c>
      <c r="X142" s="50">
        <f>INDEX($Q$5:$Q$21,MATCH(节奏总纲!BT141,$N$5:$N$21,1))*(X$2+$K$2)*节奏总纲!Z141*4*$C$5+X141</f>
        <v>3961179077822.0713</v>
      </c>
      <c r="Y142" s="50">
        <f>INDEX($Q$5:$Q$21,MATCH(节奏总纲!BU141,$N$5:$N$21,1))*(Y$2+$K$2)*节奏总纲!AA141*4*$C$5+Y141</f>
        <v>2142807800354.5129</v>
      </c>
      <c r="Z142" s="51">
        <f>SUMIFS($K$5:$K$1004,$J$5:$J$1004,"&lt;="&amp;U$2)*节奏总纲!W141*4+Z141</f>
        <v>5704840.1716174763</v>
      </c>
      <c r="AA142" s="51">
        <f>SUMIFS($K$5:$K$1004,$J$5:$J$1004,"&lt;="&amp;V$2)*节奏总纲!X141*4+AA141</f>
        <v>43503399.696703389</v>
      </c>
      <c r="AB142" s="51">
        <f>SUMIFS($K$5:$K$1004,$J$5:$J$1004,"&lt;="&amp;W$2)*节奏总纲!Y141*4+AB141</f>
        <v>104201758.154679</v>
      </c>
      <c r="AC142" s="51">
        <f>SUMIFS($K$5:$K$1004,$J$5:$J$1004,"&lt;="&amp;X$2)*节奏总纲!Z141*4+AC141</f>
        <v>156669743.69706205</v>
      </c>
      <c r="AD142" s="51">
        <f>SUMIFS($K$5:$K$1004,$J$5:$J$1004,"&lt;="&amp;Y$2)*节奏总纲!AA141*4+AD141</f>
        <v>83700274.029937297</v>
      </c>
      <c r="AH142" s="35">
        <v>138</v>
      </c>
      <c r="AI142" s="47">
        <f>'[1]资源-木石铜粮'!AE143-U142</f>
        <v>466118823112.55042</v>
      </c>
      <c r="AJ142" s="47">
        <f>'[1]资源-木石铜粮'!AF143-V142</f>
        <v>267018206893.55933</v>
      </c>
      <c r="AK142" s="47">
        <f>'[1]资源-木石铜粮'!AG143-W142</f>
        <v>-541668475777.2373</v>
      </c>
      <c r="AL142" s="47">
        <f>'[1]资源-木石铜粮'!AH143-X142</f>
        <v>-1841986138636.3398</v>
      </c>
      <c r="AM142" s="47">
        <f>'[1]资源-木石铜粮'!AI143-Y142</f>
        <v>-550784510439.10498</v>
      </c>
      <c r="AN142" s="47">
        <f>(AI142-AI141)*IF($AH142&lt;=10,'[1]功能-付费相关'!S153,'[1]功能-付费相关'!S143)</f>
        <v>528991.95317550935</v>
      </c>
      <c r="AO142" s="47">
        <f>(AJ142-AJ141)*IF($AH142&lt;=10,'[1]功能-付费相关'!T153,'[1]功能-付费相关'!T143)</f>
        <v>476132.5803147984</v>
      </c>
      <c r="AP142" s="47">
        <f>(AK142-AK141)*IF($AH142&lt;=10,'[1]功能-付费相关'!U153,'[1]功能-付费相关'!U143)</f>
        <v>54718.54698940691</v>
      </c>
      <c r="AQ142" s="47">
        <f>(AL142-AL141)*IF($AH142&lt;=10,'[1]功能-付费相关'!V153,'[1]功能-付费相关'!V143)</f>
        <v>-714729.79478110676</v>
      </c>
      <c r="AR142" s="47">
        <f>(AM142-AM141)*IF($AH142&lt;=10,'[1]功能-付费相关'!W153,'[1]功能-付费相关'!W143)</f>
        <v>-130479.58011228441</v>
      </c>
      <c r="AS142" s="48">
        <f>SUM(AN$5:AN142)/'[1]资源-钻石'!L141</f>
        <v>7.7351568586123881E-2</v>
      </c>
      <c r="AT142" s="48">
        <f>SUM(AO$5:AO142)/'[1]资源-钻石'!M141</f>
        <v>2.6636001353793966E-2</v>
      </c>
      <c r="AU142" s="48">
        <f>SUM(AP$5:AP142)/'[1]资源-钻石'!N141</f>
        <v>-4.7481518304157942E-2</v>
      </c>
      <c r="AV142" s="48">
        <f>SUM(AQ$5:AQ142)/'[1]资源-钻石'!O141</f>
        <v>-6.5734279928257339E-2</v>
      </c>
      <c r="AW142" s="48">
        <f>SUM(AR$5:AR142)/'[1]资源-钻石'!P141</f>
        <v>-1.4191006996241014E-2</v>
      </c>
      <c r="AX142" s="35">
        <f>('[1]资源-木石铜粮'!C143+U142)/'[1]资源-木石铜粮'!U143</f>
        <v>0.84844787252604315</v>
      </c>
      <c r="AY142" s="35">
        <f>('[1]资源-木石铜粮'!D143+V142)/'[1]资源-木石铜粮'!V143</f>
        <v>0.92501591122759386</v>
      </c>
      <c r="AZ142" s="35">
        <f>('[1]资源-木石铜粮'!E143+W142)/'[1]资源-木石铜粮'!W143</f>
        <v>1.1428831886927855</v>
      </c>
      <c r="BA142" s="35">
        <f>('[1]资源-木石铜粮'!F143+X142)/'[1]资源-木石铜粮'!X143</f>
        <v>1.5591309391132624</v>
      </c>
      <c r="BB142" s="35">
        <f>('[1]资源-木石铜粮'!G143+Y142)/'[1]资源-木石铜粮'!Y143</f>
        <v>1.2373386649275815</v>
      </c>
      <c r="BE142" s="39">
        <f t="shared" si="31"/>
        <v>1.2051853006468115E-5</v>
      </c>
      <c r="BF142" s="39">
        <f t="shared" si="32"/>
        <v>3.0609361676918874E-5</v>
      </c>
      <c r="BG142" s="39">
        <f t="shared" si="33"/>
        <v>3.7507142308834176E-5</v>
      </c>
      <c r="BH142" s="39">
        <f t="shared" si="34"/>
        <v>3.9551290315105351E-5</v>
      </c>
      <c r="BI142" s="39">
        <f t="shared" si="35"/>
        <v>3.9061027319430915E-5</v>
      </c>
      <c r="BK142" s="39">
        <f>BE142/求节点(节奏总纲!AM$4:AM$83,$G$5:$G$84,节奏总纲!P141)</f>
        <v>0.33083134986844359</v>
      </c>
      <c r="BL142" s="39">
        <f>BF142/求节点(节奏总纲!AN$4:AN$83,$G$5:$G$84,节奏总纲!Q141)</f>
        <v>0.84543651552601351</v>
      </c>
      <c r="BM142" s="39">
        <f>BG142/求节点(节奏总纲!AO$4:AO$83,$G$5:$G$84,节奏总纲!R141)</f>
        <v>1.0425760618010922</v>
      </c>
      <c r="BN142" s="39">
        <f>BH142/求节点(节奏总纲!AP$4:AP$83,$G$5:$G$84,节奏总纲!S141)</f>
        <v>1.1073206300282932</v>
      </c>
      <c r="BO142" s="39">
        <f>BI142/求节点(节奏总纲!AQ$4:AQ$83,$G$5:$G$84,节奏总纲!T141)</f>
        <v>1.1009082250759841</v>
      </c>
    </row>
    <row r="143" spans="9:67" x14ac:dyDescent="0.15">
      <c r="I143" s="54"/>
      <c r="J143" s="39">
        <v>139</v>
      </c>
      <c r="K143" s="55">
        <v>60</v>
      </c>
      <c r="L143" s="55">
        <f t="shared" si="36"/>
        <v>90</v>
      </c>
      <c r="M143" s="55"/>
      <c r="T143" s="35">
        <v>139</v>
      </c>
      <c r="U143" s="50">
        <f>INDEX($Q$5:$Q$21,MATCH(节奏总纲!BQ142,$N$5:$N$21,1))*(U$2+$K$2)*节奏总纲!W142*4*$C$5+U142</f>
        <v>513985376380.76721</v>
      </c>
      <c r="V143" s="50">
        <f>INDEX($Q$5:$Q$21,MATCH(节奏总纲!BR142,$N$5:$N$21,1))*(V$2+$K$2)*节奏总纲!X142*4*$C$5+V142</f>
        <v>1542576940026.0144</v>
      </c>
      <c r="W143" s="50">
        <f>INDEX($Q$5:$Q$21,MATCH(节奏总纲!BS142,$N$5:$N$21,1))*(W$2+$K$2)*节奏总纲!Y142*4*$C$5+W142</f>
        <v>3012318039652.7607</v>
      </c>
      <c r="X143" s="50">
        <f>INDEX($Q$5:$Q$21,MATCH(节奏总纲!BT142,$N$5:$N$21,1))*(X$2+$K$2)*节奏总纲!Z142*4*$C$5+X142</f>
        <v>4271277536581.0024</v>
      </c>
      <c r="Y143" s="50">
        <f>INDEX($Q$5:$Q$21,MATCH(节奏总纲!BU142,$N$5:$N$21,1))*(Y$2+$K$2)*节奏总纲!AA142*4*$C$5+Y142</f>
        <v>2309651891147.5303</v>
      </c>
      <c r="Z143" s="51">
        <f>SUMIFS($K$5:$K$1004,$J$5:$J$1004,"&lt;="&amp;U$2)*节奏总纲!W142*4+Z142</f>
        <v>6114325.0133356228</v>
      </c>
      <c r="AA143" s="51">
        <f>SUMIFS($K$5:$K$1004,$J$5:$J$1004,"&lt;="&amp;V$2)*节奏总纲!X142*4+AA142</f>
        <v>46648019.824241467</v>
      </c>
      <c r="AB143" s="51">
        <f>SUMIFS($K$5:$K$1004,$J$5:$J$1004,"&lt;="&amp;W$2)*节奏总纲!Y142*4+AB142</f>
        <v>111697712.20861782</v>
      </c>
      <c r="AC143" s="51">
        <f>SUMIFS($K$5:$K$1004,$J$5:$J$1004,"&lt;="&amp;X$2)*节奏总纲!Z142*4+AC142</f>
        <v>167253080.71228659</v>
      </c>
      <c r="AD143" s="51">
        <f>SUMIFS($K$5:$K$1004,$J$5:$J$1004,"&lt;="&amp;Y$2)*节奏总纲!AA142*4+AD142</f>
        <v>89394488.857473493</v>
      </c>
      <c r="AH143" s="35">
        <v>139</v>
      </c>
      <c r="AI143" s="47">
        <f>'[1]资源-木石铜粮'!AE144-U143</f>
        <v>553021758190.38318</v>
      </c>
      <c r="AJ143" s="47">
        <f>'[1]资源-木石铜粮'!AF144-V143</f>
        <v>348729002166.57642</v>
      </c>
      <c r="AK143" s="47">
        <f>'[1]资源-木石铜粮'!AG144-W143</f>
        <v>-525207995017.77441</v>
      </c>
      <c r="AL143" s="47">
        <f>'[1]资源-木石铜粮'!AH144-X143</f>
        <v>-1938914677878.0493</v>
      </c>
      <c r="AM143" s="47">
        <f>'[1]资源-木石铜粮'!AI144-Y143</f>
        <v>-569259923885.57568</v>
      </c>
      <c r="AN143" s="47">
        <f>(AI143-AI142)*IF($AH143&lt;=10,'[1]功能-付费相关'!S154,'[1]功能-付费相关'!S144)</f>
        <v>615380.01841867797</v>
      </c>
      <c r="AO143" s="47">
        <f>(AJ143-AJ142)*IF($AH143&lt;=10,'[1]功能-付费相关'!T154,'[1]功能-付费相关'!T144)</f>
        <v>574855.3045593095</v>
      </c>
      <c r="AP143" s="47">
        <f>(AK143-AK142)*IF($AH143&lt;=10,'[1]功能-付费相关'!U154,'[1]功能-付费相关'!U144)</f>
        <v>114735.56705291478</v>
      </c>
      <c r="AQ143" s="47">
        <f>(AL143-AL142)*IF($AH143&lt;=10,'[1]功能-付费相关'!V154,'[1]功能-付费相关'!V144)</f>
        <v>-666409.11413422902</v>
      </c>
      <c r="AR143" s="47">
        <f>(AM143-AM142)*IF($AH143&lt;=10,'[1]功能-付费相关'!W154,'[1]功能-付费相关'!W144)</f>
        <v>-124753.79618805971</v>
      </c>
      <c r="AS143" s="48">
        <f>SUM(AN$5:AN143)/'[1]资源-钻石'!L142</f>
        <v>8.6229393498288148E-2</v>
      </c>
      <c r="AT143" s="48">
        <f>SUM(AO$5:AO143)/'[1]资源-钻石'!M142</f>
        <v>3.3907446269832761E-2</v>
      </c>
      <c r="AU143" s="48">
        <f>SUM(AP$5:AP143)/'[1]资源-钻石'!N142</f>
        <v>-4.3248810468017852E-2</v>
      </c>
      <c r="AV143" s="48">
        <f>SUM(AQ$5:AQ143)/'[1]资源-钻石'!O142</f>
        <v>-6.4545670501170022E-2</v>
      </c>
      <c r="AW143" s="48">
        <f>SUM(AR$5:AR143)/'[1]资源-钻石'!P142</f>
        <v>-1.3699176397537486E-2</v>
      </c>
      <c r="AX143" s="35">
        <f>('[1]资源-木石铜粮'!C144+U143)/'[1]资源-木石铜粮'!U144</f>
        <v>0.83608816574364064</v>
      </c>
      <c r="AY143" s="35">
        <f>('[1]资源-木石铜粮'!D144+V143)/'[1]资源-木石铜粮'!V144</f>
        <v>0.91087755830351147</v>
      </c>
      <c r="AZ143" s="35">
        <f>('[1]资源-木石铜粮'!E144+W143)/'[1]资源-木石铜粮'!W144</f>
        <v>1.1261385332387355</v>
      </c>
      <c r="BA143" s="35">
        <f>('[1]资源-木石铜粮'!F144+X143)/'[1]资源-木石铜粮'!X144</f>
        <v>1.5394442646316993</v>
      </c>
      <c r="BB143" s="35">
        <f>('[1]资源-木石铜粮'!G144+Y143)/'[1]资源-木石铜粮'!Y144</f>
        <v>1.2256410411382279</v>
      </c>
      <c r="BE143" s="39">
        <f t="shared" si="31"/>
        <v>1.1895912402001978E-5</v>
      </c>
      <c r="BF143" s="39">
        <f t="shared" si="32"/>
        <v>3.0240319697411517E-5</v>
      </c>
      <c r="BG143" s="39">
        <f t="shared" si="33"/>
        <v>3.7080318458502994E-5</v>
      </c>
      <c r="BH143" s="39">
        <f t="shared" si="34"/>
        <v>3.9157624218951225E-5</v>
      </c>
      <c r="BI143" s="39">
        <f t="shared" si="35"/>
        <v>3.8704745593959884E-5</v>
      </c>
      <c r="BK143" s="39">
        <f>BE143/求节点(节奏总纲!AM$4:AM$83,$G$5:$G$84,节奏总纲!P142)</f>
        <v>0.3289540429985055</v>
      </c>
      <c r="BL143" s="39">
        <f>BF143/求节点(节奏总纲!AN$4:AN$83,$G$5:$G$84,节奏总纲!Q142)</f>
        <v>0.84122564138183775</v>
      </c>
      <c r="BM143" s="39">
        <f>BG143/求节点(节奏总纲!AO$4:AO$83,$G$5:$G$84,节奏总纲!R142)</f>
        <v>1.0384842277758419</v>
      </c>
      <c r="BN143" s="39">
        <f>BH143/求节点(节奏总纲!AP$4:AP$83,$G$5:$G$84,节奏总纲!S142)</f>
        <v>1.1035293236583907</v>
      </c>
      <c r="BO143" s="39">
        <f>BI143/求节点(节奏总纲!AQ$4:AQ$83,$G$5:$G$84,节奏总纲!T142)</f>
        <v>1.098664379702587</v>
      </c>
    </row>
    <row r="144" spans="9:67" x14ac:dyDescent="0.15">
      <c r="I144" s="54"/>
      <c r="J144" s="39">
        <v>140</v>
      </c>
      <c r="K144" s="55">
        <v>60</v>
      </c>
      <c r="L144" s="55">
        <f t="shared" si="36"/>
        <v>90</v>
      </c>
      <c r="M144" s="55"/>
      <c r="T144" s="35">
        <v>140</v>
      </c>
      <c r="U144" s="50">
        <f>INDEX($Q$5:$Q$21,MATCH(节奏总纲!BQ143,$N$5:$N$21,1))*(U$2+$K$2)*节奏总纲!W143*4*$C$5+U143</f>
        <v>557528797057.66003</v>
      </c>
      <c r="V144" s="50">
        <f>INDEX($Q$5:$Q$21,MATCH(节奏总纲!BR143,$N$5:$N$21,1))*(V$2+$K$2)*节奏总纲!X143*4*$C$5+V143</f>
        <v>1670857836795.6418</v>
      </c>
      <c r="W144" s="50">
        <f>INDEX($Q$5:$Q$21,MATCH(节奏总纲!BS143,$N$5:$N$21,1))*(W$2+$K$2)*节奏总纲!Y143*4*$C$5+W143</f>
        <v>3246713612829.5586</v>
      </c>
      <c r="X144" s="50">
        <f>INDEX($Q$5:$Q$21,MATCH(节奏总纲!BT143,$N$5:$N$21,1))*(X$2+$K$2)*节奏总纲!Z143*4*$C$5+X143</f>
        <v>4600051133564.9033</v>
      </c>
      <c r="Y144" s="50">
        <f>INDEX($Q$5:$Q$21,MATCH(节奏总纲!BU143,$N$5:$N$21,1))*(Y$2+$K$2)*节奏总纲!AA143*4*$C$5+Y143</f>
        <v>2491094654634.064</v>
      </c>
      <c r="Z144" s="51">
        <f>SUMIFS($K$5:$K$1004,$J$5:$J$1004,"&lt;="&amp;U$2)*节奏总纲!W143*4+Z143</f>
        <v>6553200</v>
      </c>
      <c r="AA144" s="51">
        <f>SUMIFS($K$5:$K$1004,$J$5:$J$1004,"&lt;="&amp;V$2)*节奏总纲!X143*4+AA143</f>
        <v>49972737.240000002</v>
      </c>
      <c r="AB144" s="51">
        <f>SUMIFS($K$5:$K$1004,$J$5:$J$1004,"&lt;="&amp;W$2)*节奏总纲!Y143*4+AB143</f>
        <v>119202052.67999998</v>
      </c>
      <c r="AC144" s="51">
        <f>SUMIFS($K$5:$K$1004,$J$5:$J$1004,"&lt;="&amp;X$2)*节奏总纲!Z143*4+AC143</f>
        <v>178473780.71999997</v>
      </c>
      <c r="AD144" s="51">
        <f>SUMIFS($K$5:$K$1004,$J$5:$J$1004,"&lt;="&amp;Y$2)*节奏总纲!AA143*4+AD143</f>
        <v>95586941.160000011</v>
      </c>
      <c r="AH144" s="35">
        <v>140</v>
      </c>
      <c r="AI144" s="47">
        <f>'[1]资源-木石铜粮'!AE145-U144</f>
        <v>653856222993.69006</v>
      </c>
      <c r="AJ144" s="47">
        <f>'[1]资源-木石铜粮'!AF145-V144</f>
        <v>443638235170.67358</v>
      </c>
      <c r="AK144" s="47">
        <f>'[1]资源-木石铜粮'!AG145-W144</f>
        <v>-498980090760.83789</v>
      </c>
      <c r="AL144" s="47">
        <f>'[1]资源-木石铜粮'!AH145-X144</f>
        <v>-2034321499082.6641</v>
      </c>
      <c r="AM144" s="47">
        <f>'[1]资源-木石铜粮'!AI145-Y144</f>
        <v>-587230775840.39355</v>
      </c>
      <c r="AN144" s="47">
        <f>(AI144-AI143)*IF($AH144&lt;=10,'[1]功能-付费相关'!S155,'[1]功能-付费相关'!S145)</f>
        <v>713322.57796892349</v>
      </c>
      <c r="AO144" s="47">
        <f>(AJ144-AJ143)*IF($AH144&lt;=10,'[1]功能-付费相关'!T155,'[1]功能-付费相关'!T145)</f>
        <v>667709.52187853074</v>
      </c>
      <c r="AP144" s="47">
        <f>(AK144-AK143)*IF($AH144&lt;=10,'[1]功能-付费相关'!U155,'[1]功能-付费相关'!U145)</f>
        <v>182818.07873680614</v>
      </c>
      <c r="AQ144" s="47">
        <f>(AL144-AL143)*IF($AH144&lt;=10,'[1]功能-付费相关'!V155,'[1]功能-付费相关'!V145)</f>
        <v>-655946.90375743213</v>
      </c>
      <c r="AR144" s="47">
        <f>(AM144-AM143)*IF($AH144&lt;=10,'[1]功能-付费相关'!W155,'[1]功能-付费相关'!W145)</f>
        <v>-121346.78385372815</v>
      </c>
      <c r="AS144" s="48">
        <f>SUM(AN$5:AN144)/'[1]资源-钻石'!L143</f>
        <v>9.5708679707839125E-2</v>
      </c>
      <c r="AT144" s="48">
        <f>SUM(AO$5:AO144)/'[1]资源-钻石'!M143</f>
        <v>4.1521300972477013E-2</v>
      </c>
      <c r="AU144" s="48">
        <f>SUM(AP$5:AP144)/'[1]资源-钻石'!N143</f>
        <v>-3.8913427523984162E-2</v>
      </c>
      <c r="AV144" s="48">
        <f>SUM(AQ$5:AQ144)/'[1]资源-钻石'!O143</f>
        <v>-6.3229582585982796E-2</v>
      </c>
      <c r="AW144" s="48">
        <f>SUM(AR$5:AR144)/'[1]资源-钻石'!P143</f>
        <v>-1.3186777209812005E-2</v>
      </c>
      <c r="AX144" s="35">
        <f>('[1]资源-木石铜粮'!C145+U144)/'[1]资源-木石铜粮'!U145</f>
        <v>0.82338409081570663</v>
      </c>
      <c r="AY144" s="35">
        <f>('[1]资源-木石铜粮'!D145+V144)/'[1]资源-木石铜粮'!V145</f>
        <v>0.89667933642481856</v>
      </c>
      <c r="AZ144" s="35">
        <f>('[1]资源-木石铜粮'!E145+W144)/'[1]资源-木石铜粮'!W145</f>
        <v>1.1097305911302313</v>
      </c>
      <c r="BA144" s="35">
        <f>('[1]资源-木石铜粮'!F145+X144)/'[1]资源-木石铜粮'!X145</f>
        <v>1.5190016580281132</v>
      </c>
      <c r="BB144" s="35">
        <f>('[1]资源-木石铜粮'!G145+Y144)/'[1]资源-木石铜粮'!Y145</f>
        <v>1.2139156665247857</v>
      </c>
      <c r="BE144" s="39">
        <f t="shared" si="31"/>
        <v>1.1754011693358797E-5</v>
      </c>
      <c r="BF144" s="39">
        <f t="shared" si="32"/>
        <v>2.990843154905227E-5</v>
      </c>
      <c r="BG144" s="39">
        <f t="shared" si="33"/>
        <v>3.6714680410667216E-5</v>
      </c>
      <c r="BH144" s="39">
        <f t="shared" si="34"/>
        <v>3.8798216701927849E-5</v>
      </c>
      <c r="BI144" s="39">
        <f t="shared" si="35"/>
        <v>3.8371460908634768E-5</v>
      </c>
      <c r="BK144" s="39">
        <f>BE144/求节点(节奏总纲!AM$4:AM$83,$G$5:$G$84,节奏总纲!P143)</f>
        <v>0.32737218474794022</v>
      </c>
      <c r="BL144" s="39">
        <f>BF144/求节点(节奏总纲!AN$4:AN$83,$G$5:$G$84,节奏总纲!Q143)</f>
        <v>0.83816716490378507</v>
      </c>
      <c r="BM144" s="39">
        <f>BG144/求节点(节奏总纲!AO$4:AO$83,$G$5:$G$84,节奏总纲!R143)</f>
        <v>1.0350136834219905</v>
      </c>
      <c r="BN144" s="39">
        <f>BH144/求节点(节奏总纲!AP$4:AP$83,$G$5:$G$84,节奏总纲!S143)</f>
        <v>1.1010997886214902</v>
      </c>
      <c r="BO144" s="39">
        <f>BI144/求节点(节奏总纲!AQ$4:AQ$83,$G$5:$G$84,节奏总纲!T143)</f>
        <v>1.0966753876952295</v>
      </c>
    </row>
    <row r="145" spans="9:67" x14ac:dyDescent="0.15">
      <c r="I145" s="54"/>
      <c r="J145" s="39">
        <v>141</v>
      </c>
      <c r="K145" s="55">
        <v>60</v>
      </c>
      <c r="L145" s="55">
        <f t="shared" si="36"/>
        <v>90</v>
      </c>
      <c r="M145" s="55"/>
      <c r="T145" s="35">
        <v>141</v>
      </c>
      <c r="U145" s="50">
        <f>INDEX($Q$5:$Q$21,MATCH(节奏总纲!BQ144,$N$5:$N$21,1))*(U$2+$K$2)*节奏总纲!W144*4*$C$5+U144</f>
        <v>604197479807.20703</v>
      </c>
      <c r="V145" s="50">
        <f>INDEX($Q$5:$Q$21,MATCH(节奏总纲!BR144,$N$5:$N$21,1))*(V$2+$K$2)*节奏总纲!X144*4*$C$5+V144</f>
        <v>1803890396424.1492</v>
      </c>
      <c r="W145" s="50">
        <f>INDEX($Q$5:$Q$21,MATCH(节奏总纲!BS144,$N$5:$N$21,1))*(W$2+$K$2)*节奏总纲!Y144*4*$C$5+W144</f>
        <v>3500336054619.9888</v>
      </c>
      <c r="X145" s="50">
        <f>INDEX($Q$5:$Q$21,MATCH(节奏总纲!BT144,$N$5:$N$21,1))*(X$2+$K$2)*节奏总纲!Z144*4*$C$5+X144</f>
        <v>4969540630932.6758</v>
      </c>
      <c r="Y145" s="50">
        <f>INDEX($Q$5:$Q$21,MATCH(节奏总纲!BU144,$N$5:$N$21,1))*(Y$2+$K$2)*节奏总纲!AA144*4*$C$5+Y144</f>
        <v>2689780940934.5195</v>
      </c>
      <c r="Z145" s="51">
        <f>SUMIFS($K$5:$K$1004,$J$5:$J$1004,"&lt;="&amp;U$2)*节奏总纲!W144*4+Z144</f>
        <v>7023574.5640778402</v>
      </c>
      <c r="AA145" s="51">
        <f>SUMIFS($K$5:$K$1004,$J$5:$J$1004,"&lt;="&amp;V$2)*节奏总纲!X144*4+AA144</f>
        <v>53420605.776919641</v>
      </c>
      <c r="AB145" s="51">
        <f>SUMIFS($K$5:$K$1004,$J$5:$J$1004,"&lt;="&amp;W$2)*节奏总纲!Y144*4+AB144</f>
        <v>127321954.98269026</v>
      </c>
      <c r="AC145" s="51">
        <f>SUMIFS($K$5:$K$1004,$J$5:$J$1004,"&lt;="&amp;X$2)*节奏总纲!Z144*4+AC144</f>
        <v>191084071.94775808</v>
      </c>
      <c r="AD145" s="51">
        <f>SUMIFS($K$5:$K$1004,$J$5:$J$1004,"&lt;="&amp;Y$2)*节奏总纲!AA144*4+AD144</f>
        <v>102367896.91397811</v>
      </c>
      <c r="AH145" s="35">
        <v>141</v>
      </c>
      <c r="AI145" s="47">
        <f>'[1]资源-木石铜粮'!AE146-U145</f>
        <v>767962281960.44434</v>
      </c>
      <c r="AJ145" s="47">
        <f>'[1]资源-木石铜粮'!AF146-V145</f>
        <v>550191289248.98462</v>
      </c>
      <c r="AK145" s="47">
        <f>'[1]资源-木石铜粮'!AG146-W145</f>
        <v>-462172833011.23682</v>
      </c>
      <c r="AL145" s="47">
        <f>'[1]资源-木石铜粮'!AH146-X145</f>
        <v>-2137676307566.8892</v>
      </c>
      <c r="AM145" s="47">
        <f>'[1]资源-木石铜粮'!AI146-Y145</f>
        <v>-603741838865.56982</v>
      </c>
      <c r="AN145" s="47">
        <f>(AI145-AI144)*IF($AH145&lt;=10,'[1]功能-付费相关'!S156,'[1]功能-付费相关'!S146)</f>
        <v>806517.23895076546</v>
      </c>
      <c r="AO145" s="47">
        <f>(AJ145-AJ144)*IF($AH145&lt;=10,'[1]功能-付费相关'!T156,'[1]功能-付费相关'!T146)</f>
        <v>749626.6331670275</v>
      </c>
      <c r="AP145" s="47">
        <f>(AK145-AK144)*IF($AH145&lt;=10,'[1]功能-付费相关'!U156,'[1]功能-付费相关'!U146)</f>
        <v>256560.03924037708</v>
      </c>
      <c r="AQ145" s="47">
        <f>(AL145-AL144)*IF($AH145&lt;=10,'[1]功能-付费相关'!V156,'[1]功能-付费相关'!V146)</f>
        <v>-710591.39962615829</v>
      </c>
      <c r="AR145" s="47">
        <f>(AM145-AM144)*IF($AH145&lt;=10,'[1]功能-付费相关'!W156,'[1]功能-付费相关'!W146)</f>
        <v>-111489.67233989175</v>
      </c>
      <c r="AS145" s="48">
        <f>SUM(AN$5:AN145)/'[1]资源-钻石'!L144</f>
        <v>0.10544717978110418</v>
      </c>
      <c r="AT145" s="48">
        <f>SUM(AO$5:AO145)/'[1]资源-钻石'!M144</f>
        <v>4.9242936415969836E-2</v>
      </c>
      <c r="AU145" s="48">
        <f>SUM(AP$5:AP145)/'[1]资源-钻石'!N144</f>
        <v>-3.4291942132385872E-2</v>
      </c>
      <c r="AV145" s="48">
        <f>SUM(AQ$5:AQ145)/'[1]资源-钻石'!O144</f>
        <v>-6.183089702323262E-2</v>
      </c>
      <c r="AW145" s="48">
        <f>SUM(AR$5:AR145)/'[1]资源-钻石'!P144</f>
        <v>-1.2635500966861737E-2</v>
      </c>
      <c r="AX145" s="35">
        <f>('[1]资源-木石铜粮'!C146+U145)/'[1]资源-木石铜粮'!U146</f>
        <v>0.8108787202590001</v>
      </c>
      <c r="AY145" s="35">
        <f>('[1]资源-木石铜粮'!D146+V145)/'[1]资源-木石铜粮'!V146</f>
        <v>0.88288137248434906</v>
      </c>
      <c r="AZ145" s="35">
        <f>('[1]资源-木石铜粮'!E146+W145)/'[1]资源-木石铜粮'!W146</f>
        <v>1.0929754619897363</v>
      </c>
      <c r="BA145" s="35">
        <f>('[1]资源-木石铜粮'!F146+X145)/'[1]资源-木石铜粮'!X146</f>
        <v>1.4983174819318497</v>
      </c>
      <c r="BB145" s="35">
        <f>('[1]资源-木石铜粮'!G146+Y145)/'[1]资源-木石铜粮'!Y146</f>
        <v>1.2017965494525691</v>
      </c>
      <c r="BE145" s="39">
        <f t="shared" si="31"/>
        <v>1.1624633996022274E-5</v>
      </c>
      <c r="BF145" s="39">
        <f t="shared" si="32"/>
        <v>2.9614108419677422E-5</v>
      </c>
      <c r="BG145" s="39">
        <f t="shared" si="33"/>
        <v>3.6374208931922931E-5</v>
      </c>
      <c r="BH145" s="39">
        <f t="shared" si="34"/>
        <v>3.8451053354582534E-5</v>
      </c>
      <c r="BI145" s="39">
        <f t="shared" si="35"/>
        <v>3.8058079509780487E-5</v>
      </c>
      <c r="BK145" s="39">
        <f>BE145/求节点(节奏总纲!AM$4:AM$83,$G$5:$G$84,节奏总纲!P144)</f>
        <v>0.32615599777560011</v>
      </c>
      <c r="BL145" s="39">
        <f>BF145/求节点(节奏总纲!AN$4:AN$83,$G$5:$G$84,节奏总纲!Q144)</f>
        <v>0.83557225916392963</v>
      </c>
      <c r="BM145" s="39">
        <f>BG145/求节点(节奏总纲!AO$4:AO$83,$G$5:$G$84,节奏总纲!R144)</f>
        <v>1.0327727424298689</v>
      </c>
      <c r="BN145" s="39">
        <f>BH145/求节点(节奏总纲!AP$4:AP$83,$G$5:$G$84,节奏总纲!S144)</f>
        <v>1.0988970143498848</v>
      </c>
      <c r="BO145" s="39">
        <f>BI145/求节点(节奏总纲!AQ$4:AQ$83,$G$5:$G$84,节奏总纲!T144)</f>
        <v>1.0957238373581955</v>
      </c>
    </row>
    <row r="146" spans="9:67" x14ac:dyDescent="0.15">
      <c r="I146" s="54"/>
      <c r="J146" s="39">
        <v>142</v>
      </c>
      <c r="K146" s="55">
        <v>60</v>
      </c>
      <c r="L146" s="55">
        <f t="shared" si="36"/>
        <v>90</v>
      </c>
      <c r="M146" s="55"/>
      <c r="T146" s="35">
        <v>142</v>
      </c>
      <c r="U146" s="50">
        <f>INDEX($Q$5:$Q$21,MATCH(节奏总纲!BQ145,$N$5:$N$21,1))*(U$2+$K$2)*节奏总纲!W145*4*$C$5+U145</f>
        <v>654215735509.69861</v>
      </c>
      <c r="V146" s="50">
        <f>INDEX($Q$5:$Q$21,MATCH(节奏总纲!BR145,$N$5:$N$21,1))*(V$2+$K$2)*节奏总纲!X145*4*$C$5+V145</f>
        <v>1951836894053.7637</v>
      </c>
      <c r="W146" s="50">
        <f>INDEX($Q$5:$Q$21,MATCH(节奏总纲!BS145,$N$5:$N$21,1))*(W$2+$K$2)*节奏总纲!Y145*4*$C$5+W145</f>
        <v>3796577498457.0103</v>
      </c>
      <c r="X146" s="50">
        <f>INDEX($Q$5:$Q$21,MATCH(节奏总纲!BT145,$N$5:$N$21,1))*(X$2+$K$2)*节奏总纲!Z145*4*$C$5+X145</f>
        <v>5385244335856.1865</v>
      </c>
      <c r="Y146" s="50">
        <f>INDEX($Q$5:$Q$21,MATCH(节奏总纲!BU145,$N$5:$N$21,1))*(Y$2+$K$2)*节奏总纲!AA145*4*$C$5+Y145</f>
        <v>2929758304813.731</v>
      </c>
      <c r="Z146" s="51">
        <f>SUMIFS($K$5:$K$1004,$J$5:$J$1004,"&lt;="&amp;U$2)*节奏总纲!W145*4+Z145</f>
        <v>7527709.5393085647</v>
      </c>
      <c r="AA146" s="51">
        <f>SUMIFS($K$5:$K$1004,$J$5:$J$1004,"&lt;="&amp;V$2)*节奏总纲!X145*4+AA145</f>
        <v>57255005.985027008</v>
      </c>
      <c r="AB146" s="51">
        <f>SUMIFS($K$5:$K$1004,$J$5:$J$1004,"&lt;="&amp;W$2)*节奏总纲!Y145*4+AB145</f>
        <v>136806334.85453206</v>
      </c>
      <c r="AC146" s="51">
        <f>SUMIFS($K$5:$K$1004,$J$5:$J$1004,"&lt;="&amp;X$2)*节奏总纲!Z145*4+AC145</f>
        <v>205271605.88549736</v>
      </c>
      <c r="AD146" s="51">
        <f>SUMIFS($K$5:$K$1004,$J$5:$J$1004,"&lt;="&amp;Y$2)*节奏总纲!AA145*4+AD145</f>
        <v>109973061.43071274</v>
      </c>
      <c r="AH146" s="35">
        <v>142</v>
      </c>
      <c r="AI146" s="47">
        <f>'[1]资源-木石铜粮'!AE147-U146</f>
        <v>896156007326.90979</v>
      </c>
      <c r="AJ146" s="47">
        <f>'[1]资源-木石铜粮'!AF147-V146</f>
        <v>676137875244.43506</v>
      </c>
      <c r="AK146" s="47">
        <f>'[1]资源-木石铜粮'!AG147-W146</f>
        <v>-414844696790.39893</v>
      </c>
      <c r="AL146" s="47">
        <f>'[1]资源-木石铜粮'!AH147-X146</f>
        <v>-2247191579176.6514</v>
      </c>
      <c r="AM146" s="47">
        <f>'[1]资源-木石铜粮'!AI147-Y146</f>
        <v>-631964313688.70996</v>
      </c>
      <c r="AN146" s="47">
        <f>(AI146-AI145)*IF($AH146&lt;=10,'[1]功能-付费相关'!S157,'[1]功能-付费相关'!S147)</f>
        <v>906090.79280792677</v>
      </c>
      <c r="AO146" s="47">
        <f>(AJ146-AJ145)*IF($AH146&lt;=10,'[1]功能-付费相关'!T157,'[1]功能-付费相关'!T147)</f>
        <v>886064.84380318515</v>
      </c>
      <c r="AP146" s="47">
        <f>(AK146-AK145)*IF($AH146&lt;=10,'[1]功能-付费相关'!U157,'[1]功能-付费相关'!U147)</f>
        <v>329894.40747249592</v>
      </c>
      <c r="AQ146" s="47">
        <f>(AL146-AL145)*IF($AH146&lt;=10,'[1]功能-付费相关'!V157,'[1]功能-付费相关'!V147)</f>
        <v>-752946.19839092891</v>
      </c>
      <c r="AR146" s="47">
        <f>(AM146-AM145)*IF($AH146&lt;=10,'[1]功能-付费相关'!W157,'[1]功能-付费相关'!W147)</f>
        <v>-190570.07206955086</v>
      </c>
      <c r="AS146" s="48">
        <f>SUM(AN$5:AN146)/'[1]资源-钻石'!L145</f>
        <v>0.11536683935406476</v>
      </c>
      <c r="AT146" s="48">
        <f>SUM(AO$5:AO146)/'[1]资源-钻石'!M145</f>
        <v>5.7453703316227275E-2</v>
      </c>
      <c r="AU146" s="48">
        <f>SUM(AP$5:AP146)/'[1]资源-钻石'!N145</f>
        <v>-2.9345515398977059E-2</v>
      </c>
      <c r="AV146" s="48">
        <f>SUM(AQ$5:AQ146)/'[1]资源-钻石'!O145</f>
        <v>-6.0294132921504047E-2</v>
      </c>
      <c r="AW146" s="48">
        <f>SUM(AR$5:AR146)/'[1]资源-钻石'!P145</f>
        <v>-1.2271423432923681E-2</v>
      </c>
      <c r="AX146" s="35">
        <f>('[1]资源-木石铜粮'!C147+U146)/'[1]资源-木石铜粮'!U147</f>
        <v>0.79869882748501086</v>
      </c>
      <c r="AY146" s="35">
        <f>('[1]资源-木石铜粮'!D147+V146)/'[1]资源-木石铜粮'!V147</f>
        <v>0.86883050913292204</v>
      </c>
      <c r="AZ146" s="35">
        <f>('[1]资源-木石铜粮'!E147+W146)/'[1]资源-木石铜粮'!W147</f>
        <v>1.0758267476098777</v>
      </c>
      <c r="BA146" s="35">
        <f>('[1]资源-木石铜粮'!F147+X146)/'[1]资源-木石铜粮'!X147</f>
        <v>1.4767896662636169</v>
      </c>
      <c r="BB146" s="35">
        <f>('[1]资源-木石铜粮'!G147+Y146)/'[1]资源-木石铜粮'!Y147</f>
        <v>1.192893048608602</v>
      </c>
      <c r="BE146" s="39">
        <f t="shared" si="31"/>
        <v>1.15064635879535E-5</v>
      </c>
      <c r="BF146" s="39">
        <f t="shared" si="32"/>
        <v>2.9333909077881131E-5</v>
      </c>
      <c r="BG146" s="39">
        <f t="shared" si="33"/>
        <v>3.6034121497620512E-5</v>
      </c>
      <c r="BH146" s="39">
        <f t="shared" si="34"/>
        <v>3.8117417350732283E-5</v>
      </c>
      <c r="BI146" s="39">
        <f t="shared" si="35"/>
        <v>3.7536564449709664E-5</v>
      </c>
      <c r="BK146" s="39">
        <f>BE146/求节点(节奏总纲!AM$4:AM$83,$G$5:$G$84,节奏总纲!P145)</f>
        <v>0.32515920703845957</v>
      </c>
      <c r="BL146" s="39">
        <f>BF146/求节点(节奏总纲!AN$4:AN$83,$G$5:$G$84,节奏总纲!Q145)</f>
        <v>0.83394529849500298</v>
      </c>
      <c r="BM146" s="39">
        <f>BG146/求节点(节奏总纲!AO$4:AO$83,$G$5:$G$84,节奏总纲!R145)</f>
        <v>1.0306327785520182</v>
      </c>
      <c r="BN146" s="39">
        <f>BH146/求节点(节奏总纲!AP$4:AP$83,$G$5:$G$84,节奏总纲!S145)</f>
        <v>1.0977514084728504</v>
      </c>
      <c r="BO146" s="39">
        <f>BI146/求节点(节奏总纲!AQ$4:AQ$83,$G$5:$G$84,节奏总纲!T145)</f>
        <v>1.0887443107296169</v>
      </c>
    </row>
    <row r="147" spans="9:67" x14ac:dyDescent="0.15">
      <c r="I147" s="54"/>
      <c r="J147" s="39">
        <v>143</v>
      </c>
      <c r="K147" s="55">
        <v>60</v>
      </c>
      <c r="L147" s="55">
        <f t="shared" si="36"/>
        <v>90</v>
      </c>
      <c r="M147" s="55"/>
      <c r="T147" s="35">
        <v>143</v>
      </c>
      <c r="U147" s="50">
        <f>INDEX($Q$5:$Q$21,MATCH(节奏总纲!BQ146,$N$5:$N$21,1))*(U$2+$K$2)*节奏总纲!W146*4*$C$5+U146</f>
        <v>707823974613.98364</v>
      </c>
      <c r="V147" s="50">
        <f>INDEX($Q$5:$Q$21,MATCH(节奏总纲!BR146,$N$5:$N$21,1))*(V$2+$K$2)*节奏总纲!X146*4*$C$5+V146</f>
        <v>2113203695229.02</v>
      </c>
      <c r="W147" s="50">
        <f>INDEX($Q$5:$Q$21,MATCH(节奏总纲!BS146,$N$5:$N$21,1))*(W$2+$K$2)*节奏总纲!Y146*4*$C$5+W146</f>
        <v>4109412649892.2969</v>
      </c>
      <c r="X147" s="50">
        <f>INDEX($Q$5:$Q$21,MATCH(节奏总纲!BT146,$N$5:$N$21,1))*(X$2+$K$2)*节奏总纲!Z146*4*$C$5+X146</f>
        <v>5864674796183.5225</v>
      </c>
      <c r="Y147" s="50">
        <f>INDEX($Q$5:$Q$21,MATCH(节奏总纲!BU146,$N$5:$N$21,1))*(Y$2+$K$2)*节奏总纲!AA146*4*$C$5+Y146</f>
        <v>3190445042654.8945</v>
      </c>
      <c r="Z147" s="51">
        <f>SUMIFS($K$5:$K$1004,$J$5:$J$1004,"&lt;="&amp;U$2)*节奏总纲!W146*4+Z146</f>
        <v>8068028.0272972463</v>
      </c>
      <c r="AA147" s="51">
        <f>SUMIFS($K$5:$K$1004,$J$5:$J$1004,"&lt;="&amp;V$2)*节奏总纲!X146*4+AA146</f>
        <v>61437226.625065789</v>
      </c>
      <c r="AB147" s="51">
        <f>SUMIFS($K$5:$K$1004,$J$5:$J$1004,"&lt;="&amp;W$2)*节奏总纲!Y146*4+AB146</f>
        <v>146821974.04075527</v>
      </c>
      <c r="AC147" s="51">
        <f>SUMIFS($K$5:$K$1004,$J$5:$J$1004,"&lt;="&amp;X$2)*节奏总纲!Z146*4+AC146</f>
        <v>220465320.26831904</v>
      </c>
      <c r="AD147" s="51">
        <f>SUMIFS($K$5:$K$1004,$J$5:$J$1004,"&lt;="&amp;Y$2)*节奏总纲!AA146*4+AD146</f>
        <v>118234530.33163297</v>
      </c>
      <c r="AH147" s="35">
        <v>143</v>
      </c>
      <c r="AI147" s="47">
        <f>'[1]资源-木石铜粮'!AE148-U147</f>
        <v>1042169859872.071</v>
      </c>
      <c r="AJ147" s="47">
        <f>'[1]资源-木石铜粮'!AF148-V147</f>
        <v>822662763949.14746</v>
      </c>
      <c r="AK147" s="47">
        <f>'[1]资源-木石铜粮'!AG148-W147</f>
        <v>-349044719068.76611</v>
      </c>
      <c r="AL147" s="47">
        <f>'[1]资源-木石铜粮'!AH148-X147</f>
        <v>-2382358049801.6123</v>
      </c>
      <c r="AM147" s="47">
        <f>'[1]资源-木石铜粮'!AI148-Y147</f>
        <v>-654420478349.30762</v>
      </c>
      <c r="AN147" s="47">
        <f>(AI147-AI146)*IF($AH147&lt;=10,'[1]功能-付费相关'!S158,'[1]功能-付费相关'!S148)</f>
        <v>1032045.8901976341</v>
      </c>
      <c r="AO147" s="47">
        <f>(AJ147-AJ146)*IF($AH147&lt;=10,'[1]功能-付费相关'!T158,'[1]功能-付费相关'!T148)</f>
        <v>1030838.2049205363</v>
      </c>
      <c r="AP147" s="47">
        <f>(AK147-AK146)*IF($AH147&lt;=10,'[1]功能-付费相关'!U158,'[1]功能-付费相关'!U148)</f>
        <v>458649.89402697404</v>
      </c>
      <c r="AQ147" s="47">
        <f>(AL147-AL146)*IF($AH147&lt;=10,'[1]功能-付费相关'!V158,'[1]功能-付费相关'!V148)</f>
        <v>-929304.91529650218</v>
      </c>
      <c r="AR147" s="47">
        <f>(AM147-AM146)*IF($AH147&lt;=10,'[1]功能-付费相关'!W158,'[1]功能-付费相关'!W148)</f>
        <v>-151633.50998073976</v>
      </c>
      <c r="AS147" s="48">
        <f>SUM(AN$5:AN147)/'[1]资源-钻石'!L146</f>
        <v>0.12573393432285104</v>
      </c>
      <c r="AT147" s="48">
        <f>SUM(AO$5:AO147)/'[1]资源-钻石'!M146</f>
        <v>6.605624567656318E-2</v>
      </c>
      <c r="AU147" s="48">
        <f>SUM(AP$5:AP147)/'[1]资源-钻石'!N146</f>
        <v>-2.3976863967933915E-2</v>
      </c>
      <c r="AV147" s="48">
        <f>SUM(AQ$5:AQ147)/'[1]资源-钻石'!O146</f>
        <v>-5.9276415108715619E-2</v>
      </c>
      <c r="AW147" s="48">
        <f>SUM(AR$5:AR147)/'[1]资源-钻石'!P146</f>
        <v>-1.1792124356408761E-2</v>
      </c>
      <c r="AX147" s="35">
        <f>('[1]资源-木石铜粮'!C148+U147)/'[1]资源-木石铜粮'!U148</f>
        <v>0.78644742268172307</v>
      </c>
      <c r="AY147" s="35">
        <f>('[1]资源-木石铜粮'!D148+V147)/'[1]资源-木石铜粮'!V148</f>
        <v>0.85474287870383547</v>
      </c>
      <c r="AZ147" s="35">
        <f>('[1]资源-木石铜粮'!E148+W147)/'[1]资源-木石铜粮'!W148</f>
        <v>1.0580285273121077</v>
      </c>
      <c r="BA147" s="35">
        <f>('[1]资源-木石铜粮'!F148+X147)/'[1]资源-木石铜粮'!X148</f>
        <v>1.459599211722391</v>
      </c>
      <c r="BB147" s="35">
        <f>('[1]资源-木石铜粮'!G148+Y147)/'[1]资源-木石铜粮'!Y148</f>
        <v>1.1821098416967166</v>
      </c>
      <c r="BE147" s="39">
        <f t="shared" si="31"/>
        <v>1.1398353710323526E-5</v>
      </c>
      <c r="BF147" s="39">
        <f t="shared" si="32"/>
        <v>2.907302630776797E-5</v>
      </c>
      <c r="BG147" s="39">
        <f t="shared" si="33"/>
        <v>3.5728213871294556E-5</v>
      </c>
      <c r="BH147" s="39">
        <f t="shared" si="34"/>
        <v>3.7592079344585036E-5</v>
      </c>
      <c r="BI147" s="39">
        <f t="shared" si="35"/>
        <v>3.7058945931018258E-5</v>
      </c>
      <c r="BK147" s="39">
        <f>BE147/求节点(节奏总纲!AM$4:AM$83,$G$5:$G$84,节奏总纲!P146)</f>
        <v>0.32450797559354555</v>
      </c>
      <c r="BL147" s="39">
        <f>BF147/求节点(节奏总纲!AN$4:AN$83,$G$5:$G$84,节奏总纲!Q146)</f>
        <v>0.83243600558650177</v>
      </c>
      <c r="BM147" s="39">
        <f>BG147/求节点(节奏总纲!AO$4:AO$83,$G$5:$G$84,节奏总纲!R146)</f>
        <v>1.0297081635142868</v>
      </c>
      <c r="BN147" s="39">
        <f>BH147/求节点(节奏总纲!AP$4:AP$83,$G$5:$G$84,节奏总纲!S146)</f>
        <v>1.0906177666419004</v>
      </c>
      <c r="BO147" s="39">
        <f>BI147/求节点(节奏总纲!AQ$4:AQ$83,$G$5:$G$84,节奏总纲!T146)</f>
        <v>1.083211872656511</v>
      </c>
    </row>
    <row r="148" spans="9:67" x14ac:dyDescent="0.15">
      <c r="I148" s="54"/>
      <c r="J148" s="39">
        <v>144</v>
      </c>
      <c r="K148" s="55">
        <v>60</v>
      </c>
      <c r="L148" s="55">
        <f t="shared" si="36"/>
        <v>90</v>
      </c>
      <c r="M148" s="55"/>
      <c r="T148" s="35">
        <v>144</v>
      </c>
      <c r="U148" s="50">
        <f>INDEX($Q$5:$Q$21,MATCH(节奏总纲!BQ147,$N$5:$N$21,1))*(U$2+$K$2)*节奏总纲!W147*4*$C$5+U147</f>
        <v>765279862659.25525</v>
      </c>
      <c r="V148" s="50">
        <f>INDEX($Q$5:$Q$21,MATCH(节奏总纲!BR147,$N$5:$N$21,1))*(V$2+$K$2)*节奏总纲!X147*4*$C$5+V147</f>
        <v>2283350689291.8853</v>
      </c>
      <c r="W148" s="50">
        <f>INDEX($Q$5:$Q$21,MATCH(节奏总纲!BS147,$N$5:$N$21,1))*(W$2+$K$2)*节奏总纲!Y147*4*$C$5+W147</f>
        <v>4469395173367.7295</v>
      </c>
      <c r="X148" s="50">
        <f>INDEX($Q$5:$Q$21,MATCH(节奏总纲!BT147,$N$5:$N$21,1))*(X$2+$K$2)*节奏总纲!Z147*4*$C$5+X147</f>
        <v>6376446706079.46</v>
      </c>
      <c r="Y148" s="50">
        <f>INDEX($Q$5:$Q$21,MATCH(节奏总纲!BU147,$N$5:$N$21,1))*(Y$2+$K$2)*节奏总纲!AA147*4*$C$5+Y147</f>
        <v>3450456839875.2334</v>
      </c>
      <c r="Z148" s="51">
        <f>SUMIFS($K$5:$K$1004,$J$5:$J$1004,"&lt;="&amp;U$2)*节奏总纲!W147*4+Z147</f>
        <v>8647127.044041235</v>
      </c>
      <c r="AA148" s="51">
        <f>SUMIFS($K$5:$K$1004,$J$5:$J$1004,"&lt;="&amp;V$2)*节奏总纲!X147*4+AA147</f>
        <v>65847007.727669597</v>
      </c>
      <c r="AB148" s="51">
        <f>SUMIFS($K$5:$K$1004,$J$5:$J$1004,"&lt;="&amp;W$2)*节奏总纲!Y147*4+AB147</f>
        <v>157523848.64859477</v>
      </c>
      <c r="AC148" s="51">
        <f>SUMIFS($K$5:$K$1004,$J$5:$J$1004,"&lt;="&amp;X$2)*节奏总纲!Z147*4+AC147</f>
        <v>236683973.17327023</v>
      </c>
      <c r="AD148" s="51">
        <f>SUMIFS($K$5:$K$1004,$J$5:$J$1004,"&lt;="&amp;Y$2)*节奏总纲!AA147*4+AD147</f>
        <v>126474609.57155591</v>
      </c>
      <c r="AH148" s="35">
        <v>144</v>
      </c>
      <c r="AI148" s="47">
        <f>'[1]资源-木石铜粮'!AE149-U148</f>
        <v>1208665733708.9565</v>
      </c>
      <c r="AJ148" s="47">
        <f>'[1]资源-木石铜粮'!AF149-V148</f>
        <v>994066318143.58984</v>
      </c>
      <c r="AK148" s="47">
        <f>'[1]资源-木石铜粮'!AG149-W148</f>
        <v>-283760630097.6748</v>
      </c>
      <c r="AL148" s="47">
        <f>'[1]资源-木石铜粮'!AH149-X148</f>
        <v>-2511221515870.4297</v>
      </c>
      <c r="AM148" s="47">
        <f>'[1]资源-木石铜粮'!AI149-Y148</f>
        <v>-666811139217.51172</v>
      </c>
      <c r="AN148" s="47">
        <f>(AI148-AI147)*IF($AH148&lt;=10,'[1]功能-付费相关'!S159,'[1]功能-付费相关'!S149)</f>
        <v>1176815.6194294991</v>
      </c>
      <c r="AO148" s="47">
        <f>(AJ148-AJ147)*IF($AH148&lt;=10,'[1]功能-付费相关'!T159,'[1]功能-付费相关'!T149)</f>
        <v>1205865.6634019085</v>
      </c>
      <c r="AP148" s="47">
        <f>(AK148-AK147)*IF($AH148&lt;=10,'[1]功能-付费相关'!U159,'[1]功能-付费相关'!U149)</f>
        <v>455053.96088294534</v>
      </c>
      <c r="AQ148" s="47">
        <f>(AL148-AL147)*IF($AH148&lt;=10,'[1]功能-付费相关'!V159,'[1]功能-付费相关'!V149)</f>
        <v>-885970.10683344258</v>
      </c>
      <c r="AR148" s="47">
        <f>(AM148-AM147)*IF($AH148&lt;=10,'[1]功能-付费相关'!W159,'[1]功能-付费相关'!W149)</f>
        <v>-83666.976388156938</v>
      </c>
      <c r="AS148" s="48">
        <f>SUM(AN$5:AN148)/'[1]资源-钻石'!L147</f>
        <v>0.13660725918379157</v>
      </c>
      <c r="AT148" s="48">
        <f>SUM(AO$5:AO148)/'[1]资源-钻石'!M147</f>
        <v>7.531876930266207E-2</v>
      </c>
      <c r="AU148" s="48">
        <f>SUM(AP$5:AP148)/'[1]资源-钻石'!N147</f>
        <v>-1.9220802116092388E-2</v>
      </c>
      <c r="AV148" s="48">
        <f>SUM(AQ$5:AQ148)/'[1]资源-钻石'!O147</f>
        <v>-5.800317472223155E-2</v>
      </c>
      <c r="AW148" s="48">
        <f>SUM(AR$5:AR148)/'[1]资源-钻石'!P147</f>
        <v>-1.1220274589461501E-2</v>
      </c>
      <c r="AX148" s="35">
        <f>('[1]资源-木石铜粮'!C149+U148)/'[1]资源-木石铜粮'!U149</f>
        <v>0.77410134244684825</v>
      </c>
      <c r="AY148" s="35">
        <f>('[1]资源-木石铜粮'!D149+V148)/'[1]资源-木石铜粮'!V149</f>
        <v>0.84010470760099232</v>
      </c>
      <c r="AZ148" s="35">
        <f>('[1]资源-木石铜粮'!E149+W148)/'[1]资源-木石铜粮'!W149</f>
        <v>1.0428765686682271</v>
      </c>
      <c r="BA148" s="35">
        <f>('[1]资源-木石铜粮'!F149+X148)/'[1]资源-木石铜粮'!X149</f>
        <v>1.4404615055220842</v>
      </c>
      <c r="BB148" s="35">
        <f>('[1]资源-木石铜粮'!G149+Y148)/'[1]资源-木石铜粮'!Y149</f>
        <v>1.1700913217970259</v>
      </c>
      <c r="BE148" s="39">
        <f t="shared" si="31"/>
        <v>1.1299300381423224E-5</v>
      </c>
      <c r="BF148" s="39">
        <f t="shared" si="32"/>
        <v>2.8837886373069626E-5</v>
      </c>
      <c r="BG148" s="39">
        <f t="shared" si="33"/>
        <v>3.5245003526931167E-5</v>
      </c>
      <c r="BH148" s="39">
        <f t="shared" si="34"/>
        <v>3.7118474298171416E-5</v>
      </c>
      <c r="BI148" s="39">
        <f t="shared" si="35"/>
        <v>3.6654453436411965E-5</v>
      </c>
      <c r="BK148" s="39">
        <f>BE148/求节点(节奏总纲!AM$4:AM$83,$G$5:$G$84,节奏总纲!P147)</f>
        <v>0.32398339341588756</v>
      </c>
      <c r="BL148" s="39">
        <f>BF148/求节点(节奏总纲!AN$4:AN$83,$G$5:$G$84,节奏总纲!Q147)</f>
        <v>0.83197325171082837</v>
      </c>
      <c r="BM148" s="39">
        <f>BG148/求节点(节奏总纲!AO$4:AO$83,$G$5:$G$84,节奏总纲!R147)</f>
        <v>1.023112160541007</v>
      </c>
      <c r="BN148" s="39">
        <f>BH148/求节点(节奏总纲!AP$4:AP$83,$G$5:$G$84,节奏总纲!S147)</f>
        <v>1.0850611053938617</v>
      </c>
      <c r="BO148" s="39">
        <f>BI148/求节点(节奏总纲!AQ$4:AQ$83,$G$5:$G$84,节奏总纲!T147)</f>
        <v>1.0789186936379256</v>
      </c>
    </row>
    <row r="149" spans="9:67" x14ac:dyDescent="0.15">
      <c r="I149" s="54"/>
      <c r="J149" s="39">
        <v>145</v>
      </c>
      <c r="K149" s="55">
        <v>60</v>
      </c>
      <c r="L149" s="55">
        <f t="shared" si="36"/>
        <v>90</v>
      </c>
      <c r="M149" s="55"/>
      <c r="T149" s="35">
        <v>145</v>
      </c>
      <c r="U149" s="50">
        <f>INDEX($Q$5:$Q$21,MATCH(节奏总纲!BQ148,$N$5:$N$21,1))*(U$2+$K$2)*节奏总纲!W148*4*$C$5+U148</f>
        <v>831596458430.58752</v>
      </c>
      <c r="V149" s="50">
        <f>INDEX($Q$5:$Q$21,MATCH(节奏总纲!BR148,$N$5:$N$21,1))*(V$2+$K$2)*节奏总纲!X148*4*$C$5+V148</f>
        <v>2483896368449.2471</v>
      </c>
      <c r="W149" s="50">
        <f>INDEX($Q$5:$Q$21,MATCH(节奏总纲!BS148,$N$5:$N$21,1))*(W$2+$K$2)*节奏总纲!Y148*4*$C$5+W148</f>
        <v>4856451199104.5088</v>
      </c>
      <c r="X149" s="50">
        <f>INDEX($Q$5:$Q$21,MATCH(节奏总纲!BT148,$N$5:$N$21,1))*(X$2+$K$2)*节奏总纲!Z148*4*$C$5+X148</f>
        <v>6897505856667.7324</v>
      </c>
      <c r="Y149" s="50">
        <f>INDEX($Q$5:$Q$21,MATCH(节奏总纲!BU148,$N$5:$N$21,1))*(Y$2+$K$2)*节奏总纲!AA148*4*$C$5+Y148</f>
        <v>3723571657210.6558</v>
      </c>
      <c r="Z149" s="51">
        <f>SUMIFS($K$5:$K$1004,$J$5:$J$1004,"&lt;="&amp;U$2)*节奏总纲!W148*4+Z148</f>
        <v>9267790.0023683198</v>
      </c>
      <c r="AA149" s="51">
        <f>SUMIFS($K$5:$K$1004,$J$5:$J$1004,"&lt;="&amp;V$2)*节奏总纲!X148*4+AA148</f>
        <v>70673386.221060097</v>
      </c>
      <c r="AB149" s="51">
        <f>SUMIFS($K$5:$K$1004,$J$5:$J$1004,"&lt;="&amp;W$2)*节奏总纲!Y148*4+AB148</f>
        <v>169030587.95819458</v>
      </c>
      <c r="AC149" s="51">
        <f>SUMIFS($K$5:$K$1004,$J$5:$J$1004,"&lt;="&amp;X$2)*节奏总纲!Z148*4+AC148</f>
        <v>253196949.64370266</v>
      </c>
      <c r="AD149" s="51">
        <f>SUMIFS($K$5:$K$1004,$J$5:$J$1004,"&lt;="&amp;Y$2)*节奏总纲!AA148*4+AD148</f>
        <v>135129938.90853155</v>
      </c>
      <c r="AH149" s="35">
        <v>145</v>
      </c>
      <c r="AI149" s="47">
        <f>'[1]资源-木石铜粮'!AE150-U149</f>
        <v>1395962167391.2822</v>
      </c>
      <c r="AJ149" s="47">
        <f>'[1]资源-木石铜粮'!AF150-V149</f>
        <v>1185332626268.8096</v>
      </c>
      <c r="AK149" s="47">
        <f>'[1]资源-木石铜粮'!AG150-W149</f>
        <v>-195323320993.80273</v>
      </c>
      <c r="AL149" s="47">
        <f>'[1]资源-木石铜粮'!AH150-X149</f>
        <v>-2627116215658.2061</v>
      </c>
      <c r="AM149" s="47">
        <f>'[1]资源-木石铜粮'!AI150-Y149</f>
        <v>-673102030553.84814</v>
      </c>
      <c r="AN149" s="47">
        <f>(AI149-AI148)*IF($AH149&lt;=10,'[1]功能-付费相关'!S160,'[1]功能-付费相关'!S150)</f>
        <v>1323836.8227475665</v>
      </c>
      <c r="AO149" s="47">
        <f>(AJ149-AJ148)*IF($AH149&lt;=10,'[1]功能-付费相关'!T160,'[1]功能-付费相关'!T150)</f>
        <v>1345604.9649484474</v>
      </c>
      <c r="AP149" s="47">
        <f>(AK149-AK148)*IF($AH149&lt;=10,'[1]功能-付费相关'!U160,'[1]功能-付费相关'!U150)</f>
        <v>616440.36750465853</v>
      </c>
      <c r="AQ149" s="47">
        <f>(AL149-AL148)*IF($AH149&lt;=10,'[1]功能-付费相关'!V160,'[1]功能-付费相关'!V150)</f>
        <v>-796806.4392864604</v>
      </c>
      <c r="AR149" s="47">
        <f>(AM149-AM148)*IF($AH149&lt;=10,'[1]功能-付费相关'!W160,'[1]功能-付费相关'!W150)</f>
        <v>-42478.755773904762</v>
      </c>
      <c r="AS149" s="48">
        <f>SUM(AN$5:AN149)/'[1]资源-钻石'!L148</f>
        <v>0.14777346811814018</v>
      </c>
      <c r="AT149" s="48">
        <f>SUM(AO$5:AO149)/'[1]资源-钻石'!M148</f>
        <v>8.444444216985629E-2</v>
      </c>
      <c r="AU149" s="48">
        <f>SUM(AP$5:AP149)/'[1]资源-钻石'!N148</f>
        <v>-1.393869020619808E-2</v>
      </c>
      <c r="AV149" s="48">
        <f>SUM(AQ$5:AQ149)/'[1]资源-钻石'!O148</f>
        <v>-5.6566899913125794E-2</v>
      </c>
      <c r="AW149" s="48">
        <f>SUM(AR$5:AR149)/'[1]资源-钻石'!P148</f>
        <v>-1.0596924742497368E-2</v>
      </c>
      <c r="AX149" s="35">
        <f>('[1]资源-木石铜粮'!C150+U149)/'[1]资源-木石铜粮'!U150</f>
        <v>0.76212948337425201</v>
      </c>
      <c r="AY149" s="35">
        <f>('[1]资源-木石铜粮'!D150+V149)/'[1]资源-木石铜粮'!V150</f>
        <v>0.82676268144049403</v>
      </c>
      <c r="AZ149" s="35">
        <f>('[1]资源-木石铜粮'!E150+W149)/'[1]资源-木石铜粮'!W150</f>
        <v>1.0268115367596622</v>
      </c>
      <c r="BA149" s="35">
        <f>('[1]资源-木石铜粮'!F150+X149)/'[1]资源-木石铜粮'!X150</f>
        <v>1.4207136158332472</v>
      </c>
      <c r="BB149" s="35">
        <f>('[1]资源-木石铜粮'!G150+Y149)/'[1]资源-木石铜粮'!Y150</f>
        <v>1.1576192476482379</v>
      </c>
      <c r="BE149" s="39">
        <f t="shared" si="31"/>
        <v>1.1144576084244943E-5</v>
      </c>
      <c r="BF149" s="39">
        <f t="shared" si="32"/>
        <v>2.8452630761396498E-5</v>
      </c>
      <c r="BG149" s="39">
        <f t="shared" si="33"/>
        <v>3.4805371459176301E-5</v>
      </c>
      <c r="BH149" s="39">
        <f t="shared" si="34"/>
        <v>3.6708479109001457E-5</v>
      </c>
      <c r="BI149" s="39">
        <f t="shared" si="35"/>
        <v>3.6290409141678233E-5</v>
      </c>
      <c r="BK149" s="39">
        <f>BE149/求节点(节奏总纲!AM$4:AM$83,$G$5:$G$84,节奏总纲!P148)</f>
        <v>0.32195401723780426</v>
      </c>
      <c r="BL149" s="39">
        <f>BF149/求节点(节奏总纲!AN$4:AN$83,$G$5:$G$84,节奏总纲!Q148)</f>
        <v>0.82674663542257187</v>
      </c>
      <c r="BM149" s="39">
        <f>BG149/求节点(节奏总纲!AO$4:AO$83,$G$5:$G$84,节奏总纲!R148)</f>
        <v>1.0180212288817774</v>
      </c>
      <c r="BN149" s="39">
        <f>BH149/求节点(节奏总纲!AP$4:AP$83,$G$5:$G$84,节奏总纲!S148)</f>
        <v>1.0806169537359687</v>
      </c>
      <c r="BO149" s="39">
        <f>BI149/求节点(节奏总纲!AQ$4:AQ$83,$G$5:$G$84,节奏总纲!T148)</f>
        <v>1.0757171262826457</v>
      </c>
    </row>
    <row r="150" spans="9:67" x14ac:dyDescent="0.15">
      <c r="I150" s="54"/>
      <c r="J150" s="39">
        <v>146</v>
      </c>
      <c r="K150" s="55">
        <v>60</v>
      </c>
      <c r="L150" s="55">
        <f t="shared" si="36"/>
        <v>90</v>
      </c>
      <c r="M150" s="55"/>
      <c r="T150" s="35">
        <v>146</v>
      </c>
      <c r="U150" s="50">
        <f>INDEX($Q$5:$Q$21,MATCH(节奏总纲!BQ149,$N$5:$N$21,1))*(U$2+$K$2)*节奏总纲!W149*4*$C$5+U149</f>
        <v>902672825904.04614</v>
      </c>
      <c r="V150" s="50">
        <f>INDEX($Q$5:$Q$21,MATCH(节奏总纲!BR149,$N$5:$N$21,1))*(V$2+$K$2)*节奏总纲!X149*4*$C$5+V149</f>
        <v>2693933965174.6099</v>
      </c>
      <c r="W150" s="50">
        <f>INDEX($Q$5:$Q$21,MATCH(节奏总纲!BS149,$N$5:$N$21,1))*(W$2+$K$2)*节奏总纲!Y149*4*$C$5+W149</f>
        <v>5244707225724.0508</v>
      </c>
      <c r="X150" s="50">
        <f>INDEX($Q$5:$Q$21,MATCH(节奏总纲!BT149,$N$5:$N$21,1))*(X$2+$K$2)*节奏总纲!Z149*4*$C$5+X149</f>
        <v>7431661127785.1748</v>
      </c>
      <c r="Y150" s="50">
        <f>INDEX($Q$5:$Q$21,MATCH(节奏总纲!BU149,$N$5:$N$21,1))*(Y$2+$K$2)*节奏总纲!AA149*4*$C$5+Y149</f>
        <v>4009971995570.0977</v>
      </c>
      <c r="Z150" s="51">
        <f>SUMIFS($K$5:$K$1004,$J$5:$J$1004,"&lt;="&amp;U$2)*节奏总纲!W149*4+Z149</f>
        <v>9933000.0902825408</v>
      </c>
      <c r="AA150" s="51">
        <f>SUMIFS($K$5:$K$1004,$J$5:$J$1004,"&lt;="&amp;V$2)*节奏总纲!X149*4+AA149</f>
        <v>75728199.388305053</v>
      </c>
      <c r="AB150" s="51">
        <f>SUMIFS($K$5:$K$1004,$J$5:$J$1004,"&lt;="&amp;W$2)*节奏总纲!Y149*4+AB149</f>
        <v>180573001.94125533</v>
      </c>
      <c r="AC150" s="51">
        <f>SUMIFS($K$5:$K$1004,$J$5:$J$1004,"&lt;="&amp;X$2)*节奏总纲!Z149*4+AC149</f>
        <v>270124957.55520654</v>
      </c>
      <c r="AD150" s="51">
        <f>SUMIFS($K$5:$K$1004,$J$5:$J$1004,"&lt;="&amp;Y$2)*节奏总纲!AA149*4+AD149</f>
        <v>144206302.01071289</v>
      </c>
      <c r="AH150" s="35">
        <v>146</v>
      </c>
      <c r="AI150" s="47">
        <f>'[1]资源-木石铜粮'!AE151-U150</f>
        <v>1614308735906.4846</v>
      </c>
      <c r="AJ150" s="47">
        <f>'[1]资源-木石铜粮'!AF151-V150</f>
        <v>1406445801735.3945</v>
      </c>
      <c r="AK150" s="47">
        <f>'[1]资源-木石铜粮'!AG151-W150</f>
        <v>-85144446489.615234</v>
      </c>
      <c r="AL150" s="47">
        <f>'[1]资源-木石铜粮'!AH151-X150</f>
        <v>-2729360263894.7432</v>
      </c>
      <c r="AM150" s="47">
        <f>'[1]资源-木石铜粮'!AI151-Y150</f>
        <v>-671863477331.7666</v>
      </c>
      <c r="AN150" s="47">
        <f>(AI150-AI149)*IF($AH150&lt;=10,'[1]功能-付费相关'!S161,'[1]功能-付费相关'!S151)</f>
        <v>1543303.4246197515</v>
      </c>
      <c r="AO150" s="47">
        <f>(AJ150-AJ149)*IF($AH150&lt;=10,'[1]功能-付费相关'!T161,'[1]功能-付费相关'!T151)</f>
        <v>1555584.9309778281</v>
      </c>
      <c r="AP150" s="47">
        <f>(AK150-AK149)*IF($AH150&lt;=10,'[1]功能-付费相关'!U161,'[1]功能-付费相关'!U151)</f>
        <v>767987.0246938268</v>
      </c>
      <c r="AQ150" s="47">
        <f>(AL150-AL149)*IF($AH150&lt;=10,'[1]功能-付费相关'!V161,'[1]功能-付费相关'!V151)</f>
        <v>-702954.63177152898</v>
      </c>
      <c r="AR150" s="47">
        <f>(AM150-AM149)*IF($AH150&lt;=10,'[1]功能-付费相关'!W161,'[1]功能-付费相关'!W151)</f>
        <v>8363.2345594486178</v>
      </c>
      <c r="AS150" s="48">
        <f>SUM(AN$5:AN150)/'[1]资源-钻石'!L149</f>
        <v>0.16021141262615785</v>
      </c>
      <c r="AT150" s="48">
        <f>SUM(AO$5:AO150)/'[1]资源-钻石'!M149</f>
        <v>9.4226363944378666E-2</v>
      </c>
      <c r="AU150" s="48">
        <f>SUM(AP$5:AP150)/'[1]资源-钻石'!N149</f>
        <v>-8.3920355322032007E-3</v>
      </c>
      <c r="AV150" s="48">
        <f>SUM(AQ$5:AQ150)/'[1]资源-钻石'!O149</f>
        <v>-5.496995676249098E-2</v>
      </c>
      <c r="AW150" s="48">
        <f>SUM(AR$5:AR150)/'[1]资源-钻石'!P149</f>
        <v>-9.9168307876914639E-3</v>
      </c>
      <c r="AX150" s="35">
        <f>('[1]资源-木石铜粮'!C151+U150)/'[1]资源-木石铜粮'!U151</f>
        <v>0.74945030735537188</v>
      </c>
      <c r="AY150" s="35">
        <f>('[1]资源-木石铜粮'!D151+V150)/'[1]资源-木石铜粮'!V151</f>
        <v>0.81292549687915872</v>
      </c>
      <c r="AZ150" s="35">
        <f>('[1]资源-木石铜粮'!E151+W150)/'[1]资源-木石铜粮'!W151</f>
        <v>1.0106746148550001</v>
      </c>
      <c r="BA150" s="35">
        <f>('[1]资源-木石铜粮'!F151+X150)/'[1]资源-木石铜粮'!X151</f>
        <v>1.4003200592359515</v>
      </c>
      <c r="BB150" s="35">
        <f>('[1]资源-木石铜粮'!G151+Y150)/'[1]资源-木石铜粮'!Y151</f>
        <v>1.1446230562386956</v>
      </c>
      <c r="BE150" s="39">
        <f t="shared" si="31"/>
        <v>1.1003987054040791E-5</v>
      </c>
      <c r="BF150" s="39">
        <f t="shared" si="32"/>
        <v>2.8110636848292848E-5</v>
      </c>
      <c r="BG150" s="39">
        <f t="shared" si="33"/>
        <v>3.4429567594466929E-5</v>
      </c>
      <c r="BH150" s="39">
        <f t="shared" si="34"/>
        <v>3.6347857216642317E-5</v>
      </c>
      <c r="BI150" s="39">
        <f t="shared" si="35"/>
        <v>3.5961922469787992E-5</v>
      </c>
      <c r="BK150" s="39">
        <f>BE150/求节点(节奏总纲!AM$4:AM$83,$G$5:$G$84,节奏总纲!P149)</f>
        <v>0.32014089222560127</v>
      </c>
      <c r="BL150" s="39">
        <f>BF150/求节点(节奏总纲!AN$4:AN$83,$G$5:$G$84,节奏总纲!Q149)</f>
        <v>0.82294445600777555</v>
      </c>
      <c r="BM150" s="39">
        <f>BG150/求节点(节奏总纲!AO$4:AO$83,$G$5:$G$84,节奏总纲!R149)</f>
        <v>1.0139165875553988</v>
      </c>
      <c r="BN150" s="39">
        <f>BH150/求节点(节奏总纲!AP$4:AP$83,$G$5:$G$84,节奏总纲!S149)</f>
        <v>1.0773609302593206</v>
      </c>
      <c r="BO150" s="39">
        <f>BI150/求节点(节奏总纲!AQ$4:AQ$83,$G$5:$G$84,节奏总纲!T149)</f>
        <v>1.0733676719803116</v>
      </c>
    </row>
    <row r="151" spans="9:67" x14ac:dyDescent="0.15">
      <c r="I151" s="54"/>
      <c r="J151" s="39">
        <v>147</v>
      </c>
      <c r="K151" s="55">
        <v>60</v>
      </c>
      <c r="L151" s="55">
        <f t="shared" si="36"/>
        <v>90</v>
      </c>
      <c r="M151" s="55"/>
      <c r="T151" s="35">
        <v>147</v>
      </c>
      <c r="U151" s="50">
        <f>INDEX($Q$5:$Q$21,MATCH(节奏总纲!BQ150,$N$5:$N$21,1))*(U$2+$K$2)*节奏总纲!W150*4*$C$5+U150</f>
        <v>978850590375.57678</v>
      </c>
      <c r="V151" s="50">
        <f>INDEX($Q$5:$Q$21,MATCH(节奏总纲!BR150,$N$5:$N$21,1))*(V$2+$K$2)*节奏总纲!X150*4*$C$5+V150</f>
        <v>2908642120378.4707</v>
      </c>
      <c r="W151" s="50">
        <f>INDEX($Q$5:$Q$21,MATCH(节奏总纲!BS150,$N$5:$N$21,1))*(W$2+$K$2)*节奏总纲!Y150*4*$C$5+W150</f>
        <v>5650703283136.4336</v>
      </c>
      <c r="X151" s="50">
        <f>INDEX($Q$5:$Q$21,MATCH(节奏总纲!BT150,$N$5:$N$21,1))*(X$2+$K$2)*节奏总纲!Z150*4*$C$5+X150</f>
        <v>7995588972358.7227</v>
      </c>
      <c r="Y151" s="50">
        <f>INDEX($Q$5:$Q$21,MATCH(节奏总纲!BU150,$N$5:$N$21,1))*(Y$2+$K$2)*节奏总纲!AA150*4*$C$5+Y150</f>
        <v>4319347242638.0737</v>
      </c>
      <c r="Z151" s="51">
        <f>SUMIFS($K$5:$K$1004,$J$5:$J$1004,"&lt;="&amp;U$2)*节奏总纲!W150*4+Z150</f>
        <v>10645954.609520435</v>
      </c>
      <c r="AA151" s="51">
        <f>SUMIFS($K$5:$K$1004,$J$5:$J$1004,"&lt;="&amp;V$2)*节奏总纲!X150*4+AA150</f>
        <v>80895415.291362926</v>
      </c>
      <c r="AB151" s="51">
        <f>SUMIFS($K$5:$K$1004,$J$5:$J$1004,"&lt;="&amp;W$2)*节奏总纲!Y150*4+AB150</f>
        <v>192642807.04111606</v>
      </c>
      <c r="AC151" s="51">
        <f>SUMIFS($K$5:$K$1004,$J$5:$J$1004,"&lt;="&amp;X$2)*节奏总纲!Z150*4+AC150</f>
        <v>287996493.28766865</v>
      </c>
      <c r="AD151" s="51">
        <f>SUMIFS($K$5:$K$1004,$J$5:$J$1004,"&lt;="&amp;Y$2)*节奏总纲!AA150*4+AD150</f>
        <v>154010766.95408833</v>
      </c>
      <c r="AH151" s="35">
        <v>147</v>
      </c>
      <c r="AI151" s="47">
        <f>'[1]资源-木石铜粮'!AE152-U151</f>
        <v>1863406529774.4375</v>
      </c>
      <c r="AJ151" s="47">
        <f>'[1]资源-木石铜粮'!AF152-V151</f>
        <v>1651736924166.2119</v>
      </c>
      <c r="AK151" s="47">
        <f>'[1]资源-木石铜粮'!AG152-W151</f>
        <v>50294348267.648438</v>
      </c>
      <c r="AL151" s="47">
        <f>'[1]资源-木石铜粮'!AH152-X151</f>
        <v>-2822172061501.708</v>
      </c>
      <c r="AM151" s="47">
        <f>'[1]资源-木石铜粮'!AI152-Y151</f>
        <v>-666332185430.34375</v>
      </c>
      <c r="AN151" s="47">
        <f>(AI151-AI150)*IF($AH151&lt;=10,'[1]功能-付费相关'!S162,'[1]功能-付费相关'!S152)</f>
        <v>1760657.2933838912</v>
      </c>
      <c r="AO151" s="47">
        <f>(AJ151-AJ150)*IF($AH151&lt;=10,'[1]功能-付费相关'!T162,'[1]功能-付费相关'!T152)</f>
        <v>1725682.6643226461</v>
      </c>
      <c r="AP151" s="47">
        <f>(AK151-AK150)*IF($AH151&lt;=10,'[1]功能-付费相关'!U162,'[1]功能-付费相关'!U152)</f>
        <v>944057.90113417385</v>
      </c>
      <c r="AQ151" s="47">
        <f>(AL151-AL150)*IF($AH151&lt;=10,'[1]功能-付费相关'!V162,'[1]功能-付费相关'!V152)</f>
        <v>-638105.43631764292</v>
      </c>
      <c r="AR151" s="47">
        <f>(AM151-AM150)*IF($AH151&lt;=10,'[1]功能-付费相关'!W162,'[1]功能-付费相关'!W152)</f>
        <v>37349.619510603676</v>
      </c>
      <c r="AS151" s="48">
        <f>SUM(AN$5:AN151)/'[1]资源-钻石'!L150</f>
        <v>0.17331815235853623</v>
      </c>
      <c r="AT151" s="48">
        <f>SUM(AO$5:AO151)/'[1]资源-钻石'!M150</f>
        <v>0.1042436253050143</v>
      </c>
      <c r="AU151" s="48">
        <f>SUM(AP$5:AP151)/'[1]资源-钻石'!N150</f>
        <v>-2.4839582274729746E-3</v>
      </c>
      <c r="AV151" s="48">
        <f>SUM(AQ$5:AQ151)/'[1]资源-钻石'!O150</f>
        <v>-5.3225997235352943E-2</v>
      </c>
      <c r="AW151" s="48">
        <f>SUM(AR$5:AR151)/'[1]资源-钻石'!P150</f>
        <v>-9.2180608929558674E-3</v>
      </c>
      <c r="AX151" s="35">
        <f>('[1]资源-木石铜粮'!C152+U151)/'[1]资源-木石铜粮'!U152</f>
        <v>0.7365908214653506</v>
      </c>
      <c r="AY151" s="35">
        <f>('[1]资源-木石铜粮'!D152+V151)/'[1]资源-木石铜粮'!V152</f>
        <v>0.79929374668941611</v>
      </c>
      <c r="AZ151" s="35">
        <f>('[1]资源-木石铜粮'!E152+W151)/'[1]资源-木石铜粮'!W152</f>
        <v>0.99423223669212568</v>
      </c>
      <c r="BA151" s="35">
        <f>('[1]资源-木石铜粮'!F152+X151)/'[1]资源-木石铜粮'!X152</f>
        <v>1.379369709188867</v>
      </c>
      <c r="BB151" s="35">
        <f>('[1]资源-木石铜粮'!G152+Y151)/'[1]资源-木石铜粮'!Y152</f>
        <v>1.1318060069567233</v>
      </c>
      <c r="BE151" s="39">
        <f t="shared" si="31"/>
        <v>1.0875975061153789E-5</v>
      </c>
      <c r="BF151" s="39">
        <f t="shared" si="32"/>
        <v>2.7812089608616707E-5</v>
      </c>
      <c r="BG151" s="39">
        <f t="shared" si="33"/>
        <v>3.4091828466029329E-5</v>
      </c>
      <c r="BH151" s="39">
        <f t="shared" si="34"/>
        <v>3.6019421994213494E-5</v>
      </c>
      <c r="BI151" s="39">
        <f t="shared" si="35"/>
        <v>3.5656028168743643E-5</v>
      </c>
      <c r="BK151" s="39">
        <f>BE151/求节点(节奏总纲!AM$4:AM$83,$G$5:$G$84,节奏总纲!P150)</f>
        <v>0.318817828573836</v>
      </c>
      <c r="BL151" s="39">
        <f>BF151/求节点(节奏总纲!AN$4:AN$83,$G$5:$G$84,节奏总纲!Q150)</f>
        <v>0.81970988870008887</v>
      </c>
      <c r="BM151" s="39">
        <f>BG151/求节点(节奏总纲!AO$4:AO$83,$G$5:$G$84,节奏总纲!R150)</f>
        <v>1.0109031561077697</v>
      </c>
      <c r="BN151" s="39">
        <f>BH151/求节点(节奏总纲!AP$4:AP$83,$G$5:$G$84,节奏总纲!S150)</f>
        <v>1.07492719659665</v>
      </c>
      <c r="BO151" s="39">
        <f>BI151/求节点(节奏总纲!AQ$4:AQ$83,$G$5:$G$84,节奏总纲!T150)</f>
        <v>1.07159825993646</v>
      </c>
    </row>
    <row r="152" spans="9:67" x14ac:dyDescent="0.15">
      <c r="I152" s="54"/>
      <c r="J152" s="39">
        <v>148</v>
      </c>
      <c r="K152" s="55">
        <v>60</v>
      </c>
      <c r="L152" s="55">
        <f t="shared" si="36"/>
        <v>90</v>
      </c>
      <c r="M152" s="55"/>
      <c r="T152" s="35">
        <v>148</v>
      </c>
      <c r="U152" s="50">
        <f>INDEX($Q$5:$Q$21,MATCH(节奏总纲!BQ151,$N$5:$N$21,1))*(U$2+$K$2)*节奏总纲!W151*4*$C$5+U151</f>
        <v>1060495896771.5055</v>
      </c>
      <c r="V152" s="50">
        <f>INDEX($Q$5:$Q$21,MATCH(节奏总纲!BR151,$N$5:$N$21,1))*(V$2+$K$2)*节奏总纲!X151*4*$C$5+V151</f>
        <v>3149908083043.7603</v>
      </c>
      <c r="W152" s="50">
        <f>INDEX($Q$5:$Q$21,MATCH(节奏总纲!BS151,$N$5:$N$21,1))*(W$2+$K$2)*节奏总纲!Y151*4*$C$5+W151</f>
        <v>6119957190581.4688</v>
      </c>
      <c r="X152" s="50">
        <f>INDEX($Q$5:$Q$21,MATCH(节奏总纲!BT151,$N$5:$N$21,1))*(X$2+$K$2)*节奏总纲!Z151*4*$C$5+X151</f>
        <v>8668383751472.4229</v>
      </c>
      <c r="Y152" s="50">
        <f>INDEX($Q$5:$Q$21,MATCH(节奏总纲!BU151,$N$5:$N$21,1))*(Y$2+$K$2)*节奏总纲!AA151*4*$C$5+Y151</f>
        <v>4670212711331.998</v>
      </c>
      <c r="Z152" s="51">
        <f>SUMIFS($K$5:$K$1004,$J$5:$J$1004,"&lt;="&amp;U$2)*节奏总纲!W151*4+Z151</f>
        <v>11410080.343234953</v>
      </c>
      <c r="AA152" s="51">
        <f>SUMIFS($K$5:$K$1004,$J$5:$J$1004,"&lt;="&amp;V$2)*节奏总纲!X151*4+AA151</f>
        <v>86701777.504139438</v>
      </c>
      <c r="AB152" s="51">
        <f>SUMIFS($K$5:$K$1004,$J$5:$J$1004,"&lt;="&amp;W$2)*节奏总纲!Y151*4+AB151</f>
        <v>206593196.71068066</v>
      </c>
      <c r="AC152" s="51">
        <f>SUMIFS($K$5:$K$1004,$J$5:$J$1004,"&lt;="&amp;X$2)*节奏总纲!Z151*4+AC151</f>
        <v>309318150.04082489</v>
      </c>
      <c r="AD152" s="51">
        <f>SUMIFS($K$5:$K$1004,$J$5:$J$1004,"&lt;="&amp;Y$2)*节奏总纲!AA151*4+AD151</f>
        <v>165130105.75139919</v>
      </c>
      <c r="AH152" s="35">
        <v>148</v>
      </c>
      <c r="AI152" s="47">
        <f>'[1]资源-木石铜粮'!AE153-U152</f>
        <v>2143075423051.1938</v>
      </c>
      <c r="AJ152" s="47">
        <f>'[1]资源-木石铜粮'!AF153-V152</f>
        <v>1941813993489.3276</v>
      </c>
      <c r="AK152" s="47">
        <f>'[1]资源-木石铜粮'!AG153-W152</f>
        <v>217204270376.74023</v>
      </c>
      <c r="AL152" s="47">
        <f>'[1]资源-木石铜粮'!AH153-X152</f>
        <v>-2932116580028.1865</v>
      </c>
      <c r="AM152" s="47">
        <f>'[1]资源-木石铜粮'!AI153-Y152</f>
        <v>-649788340058.10791</v>
      </c>
      <c r="AN152" s="47">
        <f>(AI152-AI151)*IF($AH152&lt;=10,'[1]功能-付费相关'!S163,'[1]功能-付费相关'!S153)</f>
        <v>1976738.0073279361</v>
      </c>
      <c r="AO152" s="47">
        <f>(AJ152-AJ151)*IF($AH152&lt;=10,'[1]功能-付费相关'!T163,'[1]功能-付费相关'!T153)</f>
        <v>2040762.6859370116</v>
      </c>
      <c r="AP152" s="47">
        <f>(AK152-AK151)*IF($AH152&lt;=10,'[1]功能-付费相关'!U163,'[1]功能-付费相关'!U153)</f>
        <v>1163423.1611938272</v>
      </c>
      <c r="AQ152" s="47">
        <f>(AL152-AL151)*IF($AH152&lt;=10,'[1]功能-付费相关'!V163,'[1]功能-付费相关'!V153)</f>
        <v>-755897.38345728419</v>
      </c>
      <c r="AR152" s="47">
        <f>(AM152-AM151)*IF($AH152&lt;=10,'[1]功能-付费相关'!W163,'[1]功能-付费相关'!W153)</f>
        <v>111711.03259553557</v>
      </c>
      <c r="AS152" s="48">
        <f>SUM(AN$5:AN152)/'[1]资源-钻石'!L151</f>
        <v>0.18674956782889884</v>
      </c>
      <c r="AT152" s="48">
        <f>SUM(AO$5:AO152)/'[1]资源-钻石'!M151</f>
        <v>0.11505365838074361</v>
      </c>
      <c r="AU152" s="48">
        <f>SUM(AP$5:AP152)/'[1]资源-钻石'!N151</f>
        <v>3.8854365375093668E-3</v>
      </c>
      <c r="AV152" s="48">
        <f>SUM(AQ$5:AQ152)/'[1]资源-钻石'!O151</f>
        <v>-5.1393778101014712E-2</v>
      </c>
      <c r="AW152" s="48">
        <f>SUM(AR$5:AR152)/'[1]资源-钻石'!P151</f>
        <v>-8.4027778125253839E-3</v>
      </c>
      <c r="AX152" s="35">
        <f>('[1]资源-木石铜粮'!C153+U152)/'[1]资源-木石铜粮'!U153</f>
        <v>0.72401994355154498</v>
      </c>
      <c r="AY152" s="35">
        <f>('[1]资源-木石铜粮'!D153+V152)/'[1]资源-木石铜粮'!V153</f>
        <v>0.78529352869608027</v>
      </c>
      <c r="AZ152" s="35">
        <f>('[1]资源-木石铜粮'!E153+W152)/'[1]资源-木石铜粮'!W153</f>
        <v>0.97735245732600207</v>
      </c>
      <c r="BA152" s="35">
        <f>('[1]资源-木石铜粮'!F153+X152)/'[1]资源-木石铜粮'!X153</f>
        <v>1.3583785083646478</v>
      </c>
      <c r="BB152" s="35">
        <f>('[1]资源-木石铜粮'!G153+Y152)/'[1]资源-木石铜粮'!Y153</f>
        <v>1.1174876145775499</v>
      </c>
      <c r="BE152" s="39">
        <f t="shared" si="31"/>
        <v>1.0759193296240889E-5</v>
      </c>
      <c r="BF152" s="39">
        <f t="shared" si="32"/>
        <v>2.7525176995120252E-5</v>
      </c>
      <c r="BG152" s="39">
        <f t="shared" si="33"/>
        <v>3.3757294418435604E-5</v>
      </c>
      <c r="BH152" s="39">
        <f t="shared" si="34"/>
        <v>3.5683485977219652E-5</v>
      </c>
      <c r="BI152" s="39">
        <f t="shared" si="35"/>
        <v>3.5358155175827567E-5</v>
      </c>
      <c r="BK152" s="39">
        <f>BE152/求节点(节奏总纲!AM$4:AM$83,$G$5:$G$84,节奏总纲!P151)</f>
        <v>0.31761820496463666</v>
      </c>
      <c r="BL152" s="39">
        <f>BF152/求节点(节奏总纲!AN$4:AN$83,$G$5:$G$84,节奏总纲!Q151)</f>
        <v>0.81732560565589263</v>
      </c>
      <c r="BM152" s="39">
        <f>BG152/求节点(节奏总纲!AO$4:AO$83,$G$5:$G$84,节奏总纲!R151)</f>
        <v>1.0083948580347035</v>
      </c>
      <c r="BN152" s="39">
        <f>BH152/求节点(节奏总纲!AP$4:AP$83,$G$5:$G$84,节奏总纲!S151)</f>
        <v>1.0729141572880891</v>
      </c>
      <c r="BO152" s="39">
        <f>BI152/求节点(节奏总纲!AQ$4:AQ$83,$G$5:$G$84,节奏总纲!T151)</f>
        <v>1.0706748723851474</v>
      </c>
    </row>
    <row r="153" spans="9:67" x14ac:dyDescent="0.15">
      <c r="I153" s="54"/>
      <c r="J153" s="39">
        <v>149</v>
      </c>
      <c r="K153" s="55">
        <v>60</v>
      </c>
      <c r="L153" s="55">
        <f t="shared" si="36"/>
        <v>90</v>
      </c>
      <c r="M153" s="55"/>
      <c r="T153" s="35">
        <v>149</v>
      </c>
      <c r="U153" s="50">
        <f>INDEX($Q$5:$Q$21,MATCH(节奏总纲!BQ152,$N$5:$N$21,1))*(U$2+$K$2)*节奏总纲!W152*4*$C$5+U152</f>
        <v>1148001169507.3069</v>
      </c>
      <c r="V153" s="50">
        <f>INDEX($Q$5:$Q$21,MATCH(节奏总纲!BR152,$N$5:$N$21,1))*(V$2+$K$2)*节奏总纲!X152*4*$C$5+V152</f>
        <v>3409405193917.7646</v>
      </c>
      <c r="W153" s="50">
        <f>INDEX($Q$5:$Q$21,MATCH(节奏总纲!BS152,$N$5:$N$21,1))*(W$2+$K$2)*节奏总纲!Y152*4*$C$5+W152</f>
        <v>6625409908342.7832</v>
      </c>
      <c r="X153" s="50">
        <f>INDEX($Q$5:$Q$21,MATCH(节奏总纲!BT152,$N$5:$N$21,1))*(X$2+$K$2)*节奏总纲!Z152*4*$C$5+X152</f>
        <v>9375543711473.5098</v>
      </c>
      <c r="Y153" s="50">
        <f>INDEX($Q$5:$Q$21,MATCH(节奏总纲!BU152,$N$5:$N$21,1))*(Y$2+$K$2)*节奏总纲!AA152*4*$C$5+Y152</f>
        <v>5048607842025.6748</v>
      </c>
      <c r="Z153" s="51">
        <f>SUMIFS($K$5:$K$1004,$J$5:$J$1004,"&lt;="&amp;U$2)*节奏总纲!W152*4+Z152</f>
        <v>12229050.026671248</v>
      </c>
      <c r="AA153" s="51">
        <f>SUMIFS($K$5:$K$1004,$J$5:$J$1004,"&lt;="&amp;V$2)*节奏总纲!X152*4+AA152</f>
        <v>92946894.727714822</v>
      </c>
      <c r="AB153" s="51">
        <f>SUMIFS($K$5:$K$1004,$J$5:$J$1004,"&lt;="&amp;W$2)*节奏总纲!Y152*4+AB152</f>
        <v>221619736.20334697</v>
      </c>
      <c r="AC153" s="51">
        <f>SUMIFS($K$5:$K$1004,$J$5:$J$1004,"&lt;="&amp;X$2)*节奏总纲!Z152*4+AC152</f>
        <v>331728879.73849213</v>
      </c>
      <c r="AD153" s="51">
        <f>SUMIFS($K$5:$K$1004,$J$5:$J$1004,"&lt;="&amp;Y$2)*节奏总纲!AA152*4+AD152</f>
        <v>177121891.87129834</v>
      </c>
      <c r="AH153" s="35">
        <v>149</v>
      </c>
      <c r="AI153" s="47">
        <f>'[1]资源-木石铜粮'!AE154-U153</f>
        <v>2460664377705.2607</v>
      </c>
      <c r="AJ153" s="47">
        <f>'[1]资源-木石铜粮'!AF154-V153</f>
        <v>2271868337868.0693</v>
      </c>
      <c r="AK153" s="47">
        <f>'[1]资源-木石铜粮'!AG154-W153</f>
        <v>417336877216.38477</v>
      </c>
      <c r="AL153" s="47">
        <f>'[1]资源-木石铜粮'!AH154-X153</f>
        <v>-3017168553785.8613</v>
      </c>
      <c r="AM153" s="47">
        <f>'[1]资源-木石铜粮'!AI154-Y153</f>
        <v>-595402120181.0625</v>
      </c>
      <c r="AN153" s="47">
        <f>(AI153-AI152)*IF($AH153&lt;=10,'[1]功能-付费相关'!S164,'[1]功能-付费相关'!S154)</f>
        <v>2244762.1900909455</v>
      </c>
      <c r="AO153" s="47">
        <f>(AJ153-AJ152)*IF($AH153&lt;=10,'[1]功能-付费相关'!T164,'[1]功能-付费相关'!T154)</f>
        <v>2322012.5324324123</v>
      </c>
      <c r="AP153" s="47">
        <f>(AK153-AK152)*IF($AH153&lt;=10,'[1]功能-付费相关'!U164,'[1]功能-付费相关'!U154)</f>
        <v>1394997.4163618493</v>
      </c>
      <c r="AQ153" s="47">
        <f>(AL153-AL152)*IF($AH153&lt;=10,'[1]功能-付费相关'!V164,'[1]功能-付费相关'!V154)</f>
        <v>-584754.61335364846</v>
      </c>
      <c r="AR153" s="47">
        <f>(AM153-AM152)*IF($AH153&lt;=10,'[1]功能-付费相关'!W164,'[1]功能-付费相关'!W154)</f>
        <v>367238.73106482602</v>
      </c>
      <c r="AS153" s="48">
        <f>SUM(AN$5:AN153)/'[1]资源-钻石'!L152</f>
        <v>0.2008312320150267</v>
      </c>
      <c r="AT153" s="48">
        <f>SUM(AO$5:AO153)/'[1]资源-钻石'!M152</f>
        <v>0.12628370521183599</v>
      </c>
      <c r="AU153" s="48">
        <f>SUM(AP$5:AP153)/'[1]资源-钻石'!N152</f>
        <v>1.0570072408782912E-2</v>
      </c>
      <c r="AV153" s="48">
        <f>SUM(AQ$5:AQ153)/'[1]资源-钻石'!O152</f>
        <v>-4.925267287124805E-2</v>
      </c>
      <c r="AW153" s="48">
        <f>SUM(AR$5:AR153)/'[1]资源-钻石'!P152</f>
        <v>-7.2305063689045825E-3</v>
      </c>
      <c r="AX153" s="35">
        <f>('[1]资源-木石铜粮'!C154+U153)/'[1]资源-木石铜粮'!U154</f>
        <v>0.71133190607656716</v>
      </c>
      <c r="AY153" s="35">
        <f>('[1]资源-木石铜粮'!D154+V153)/'[1]资源-木石铜粮'!V154</f>
        <v>0.77143277781203912</v>
      </c>
      <c r="AZ153" s="35">
        <f>('[1]资源-木石铜粮'!E154+W153)/'[1]资源-木石铜粮'!W154</f>
        <v>0.96044090311007002</v>
      </c>
      <c r="BA153" s="35">
        <f>('[1]资源-木石铜粮'!F154+X153)/'[1]资源-木石铜粮'!X154</f>
        <v>1.3354958269957644</v>
      </c>
      <c r="BB153" s="35">
        <f>('[1]资源-木石铜粮'!G154+Y153)/'[1]资源-木石铜粮'!Y154</f>
        <v>1.0979230743719435</v>
      </c>
      <c r="BE153" s="39">
        <f t="shared" ref="BE153:BE164" si="37">Z153/U153</f>
        <v>1.0652471749588589E-5</v>
      </c>
      <c r="BF153" s="39">
        <f t="shared" ref="BF153:BF164" si="38">AA153/V153</f>
        <v>2.7261909172171195E-5</v>
      </c>
      <c r="BG153" s="39">
        <f t="shared" ref="BG153:BG164" si="39">AB153/W153</f>
        <v>3.344996600501369E-5</v>
      </c>
      <c r="BH153" s="39">
        <f t="shared" ref="BH153:BH164" si="40">AC153/X153</f>
        <v>3.5382361807191223E-5</v>
      </c>
      <c r="BI153" s="39">
        <f t="shared" ref="BI153:BI164" si="41">AD153/Y153</f>
        <v>3.5083313541784417E-5</v>
      </c>
      <c r="BK153" s="39">
        <f>BE153/求节点(节奏总纲!AM$4:AM$83,$G$5:$G$84,节奏总纲!P152)</f>
        <v>0.31686212269746189</v>
      </c>
      <c r="BL153" s="39">
        <f>BF153/求节点(节奏总纲!AN$4:AN$83,$G$5:$G$84,节奏总纲!Q152)</f>
        <v>0.8153861157940161</v>
      </c>
      <c r="BM153" s="39">
        <f>BG153/求节点(节奏总纲!AO$4:AO$83,$G$5:$G$84,节奏总纲!R152)</f>
        <v>1.0066781917015837</v>
      </c>
      <c r="BN153" s="39">
        <f>BH153/求节点(节奏总纲!AP$4:AP$83,$G$5:$G$84,节奏总纲!S152)</f>
        <v>1.0718817647876739</v>
      </c>
      <c r="BO153" s="39">
        <f>BI153/求节点(节奏总纲!AQ$4:AQ$83,$G$5:$G$84,节奏总纲!T152)</f>
        <v>1.0700781917310824</v>
      </c>
    </row>
    <row r="154" spans="9:67" x14ac:dyDescent="0.15">
      <c r="I154" s="54"/>
      <c r="J154" s="39">
        <v>150</v>
      </c>
      <c r="K154" s="55">
        <v>60</v>
      </c>
      <c r="L154" s="55">
        <f t="shared" si="36"/>
        <v>90</v>
      </c>
      <c r="M154" s="55"/>
      <c r="T154" s="35">
        <v>150</v>
      </c>
      <c r="U154" s="50">
        <f>INDEX($Q$5:$Q$21,MATCH(节奏总纲!BQ153,$N$5:$N$21,1))*(U$2+$K$2)*节奏总纲!W153*4*$C$5+U153</f>
        <v>1241786998657.5374</v>
      </c>
      <c r="V154" s="50">
        <f>INDEX($Q$5:$Q$21,MATCH(节奏总纲!BR153,$N$5:$N$21,1))*(V$2+$K$2)*节奏总纲!X153*4*$C$5+V153</f>
        <v>3686612658428.5586</v>
      </c>
      <c r="W154" s="50">
        <f>INDEX($Q$5:$Q$21,MATCH(节奏总纲!BS153,$N$5:$N$21,1))*(W$2+$K$2)*节奏总纲!Y153*4*$C$5+W153</f>
        <v>7161667190872.1182</v>
      </c>
      <c r="X154" s="50">
        <f>INDEX($Q$5:$Q$21,MATCH(节奏总纲!BT153,$N$5:$N$21,1))*(X$2+$K$2)*节奏总纲!Z153*4*$C$5+X153</f>
        <v>10133932624299.176</v>
      </c>
      <c r="Y154" s="50">
        <f>INDEX($Q$5:$Q$21,MATCH(节奏总纲!BU153,$N$5:$N$21,1))*(Y$2+$K$2)*节奏总纲!AA153*4*$C$5+Y153</f>
        <v>5470979254142.374</v>
      </c>
      <c r="Z154" s="51">
        <f>SUMIFS($K$5:$K$1004,$J$5:$J$1004,"&lt;="&amp;U$2)*节奏总纲!W153*4+Z153</f>
        <v>13106800</v>
      </c>
      <c r="AA154" s="51">
        <f>SUMIFS($K$5:$K$1004,$J$5:$J$1004,"&lt;="&amp;V$2)*节奏总纲!X153*4+AA153</f>
        <v>99618233.400000006</v>
      </c>
      <c r="AB154" s="51">
        <f>SUMIFS($K$5:$K$1004,$J$5:$J$1004,"&lt;="&amp;W$2)*节奏总纲!Y153*4+AB153</f>
        <v>237562060.67999992</v>
      </c>
      <c r="AC154" s="51">
        <f>SUMIFS($K$5:$K$1004,$J$5:$J$1004,"&lt;="&amp;X$2)*节奏总纲!Z153*4+AC153</f>
        <v>355763115.11999989</v>
      </c>
      <c r="AD154" s="51">
        <f>SUMIFS($K$5:$K$1004,$J$5:$J$1004,"&lt;="&amp;Y$2)*节奏总纲!AA153*4+AD153</f>
        <v>190507338.00000003</v>
      </c>
      <c r="AH154" s="35">
        <v>150</v>
      </c>
      <c r="AI154" s="47">
        <f>'[1]资源-木石铜粮'!AE155-U154</f>
        <v>2811327557274.0273</v>
      </c>
      <c r="AJ154" s="47">
        <f>'[1]资源-木石铜粮'!AF155-V154</f>
        <v>2644329182029.2588</v>
      </c>
      <c r="AK154" s="47">
        <f>'[1]资源-木石铜粮'!AG155-W154</f>
        <v>665668234078.47852</v>
      </c>
      <c r="AL154" s="47">
        <f>'[1]资源-木石铜粮'!AH155-X154</f>
        <v>-3070484340746.6289</v>
      </c>
      <c r="AM154" s="47">
        <f>'[1]资源-木石铜粮'!AI155-Y154</f>
        <v>-530327569242.9248</v>
      </c>
      <c r="AN154" s="47">
        <f>(AI154-AI153)*IF($AH154&lt;=10,'[1]功能-付费相关'!S165,'[1]功能-付费相关'!S155)</f>
        <v>2423799.4094955353</v>
      </c>
      <c r="AO154" s="47">
        <f>(AJ154-AJ153)*IF($AH154&lt;=10,'[1]功能-付费相关'!T165,'[1]功能-付费相关'!T155)</f>
        <v>2561915.2357893465</v>
      </c>
      <c r="AP154" s="47">
        <f>(AK154-AK153)*IF($AH154&lt;=10,'[1]功能-付费相关'!U165,'[1]功能-付费相关'!U155)</f>
        <v>1691616.0922478095</v>
      </c>
      <c r="AQ154" s="47">
        <f>(AL154-AL153)*IF($AH154&lt;=10,'[1]功能-付费相关'!V165,'[1]功能-付费相关'!V155)</f>
        <v>-357998.26735000307</v>
      </c>
      <c r="AR154" s="47">
        <f>(AM154-AM153)*IF($AH154&lt;=10,'[1]功能-付费相关'!W165,'[1]功能-付费相关'!W155)</f>
        <v>428792.03319751384</v>
      </c>
      <c r="AS154" s="48">
        <f>SUM(AN$5:AN154)/'[1]资源-钻石'!L153</f>
        <v>0.21425169514585141</v>
      </c>
      <c r="AT154" s="48">
        <f>SUM(AO$5:AO154)/'[1]资源-钻石'!M153</f>
        <v>0.13739065338146511</v>
      </c>
      <c r="AU154" s="48">
        <f>SUM(AP$5:AP154)/'[1]资源-钻石'!N153</f>
        <v>1.7735687688772813E-2</v>
      </c>
      <c r="AV154" s="48">
        <f>SUM(AQ$5:AQ154)/'[1]资源-钻石'!O153</f>
        <v>-4.6694812117889312E-2</v>
      </c>
      <c r="AW154" s="48">
        <f>SUM(AR$5:AR154)/'[1]资源-钻石'!P153</f>
        <v>-6.0665793753764512E-3</v>
      </c>
      <c r="AX154" s="35">
        <f>('[1]资源-木石铜粮'!C155+U154)/'[1]资源-木石铜粮'!U155</f>
        <v>0.69957752924488248</v>
      </c>
      <c r="AY154" s="35">
        <f>('[1]资源-木石铜粮'!D155+V154)/'[1]资源-木石铜粮'!V155</f>
        <v>0.75792764710453187</v>
      </c>
      <c r="AZ154" s="35">
        <f>('[1]资源-木石铜粮'!E155+W154)/'[1]资源-木石铜粮'!W155</f>
        <v>0.9426637642698128</v>
      </c>
      <c r="BA154" s="35">
        <f>('[1]资源-木石铜粮'!F155+X154)/'[1]资源-木石铜粮'!X155</f>
        <v>1.3099449154896545</v>
      </c>
      <c r="BB154" s="35">
        <f>('[1]资源-木石铜粮'!G155+Y154)/'[1]资源-木石铜粮'!Y155</f>
        <v>1.0791371803907246</v>
      </c>
      <c r="BE154" s="39">
        <f t="shared" si="37"/>
        <v>1.0554789198283932E-5</v>
      </c>
      <c r="BF154" s="39">
        <f t="shared" si="38"/>
        <v>2.7021616489122265E-5</v>
      </c>
      <c r="BG154" s="39">
        <f t="shared" si="39"/>
        <v>3.3171334878948849E-5</v>
      </c>
      <c r="BH154" s="39">
        <f t="shared" si="40"/>
        <v>3.510612595419768E-5</v>
      </c>
      <c r="BI154" s="39">
        <f t="shared" si="41"/>
        <v>3.482143308362148E-5</v>
      </c>
      <c r="BK154" s="39">
        <f>BE154/求节点(节奏总纲!AM$4:AM$83,$G$5:$G$84,节奏总纲!P153)</f>
        <v>0.31618674149037335</v>
      </c>
      <c r="BL154" s="39">
        <f>BF154/求节点(节奏总纲!AN$4:AN$83,$G$5:$G$84,节奏总纲!Q153)</f>
        <v>0.81423724116003038</v>
      </c>
      <c r="BM154" s="39">
        <f>BG154/求节点(节奏总纲!AO$4:AO$83,$G$5:$G$84,节奏总纲!R153)</f>
        <v>1.0056932378960319</v>
      </c>
      <c r="BN154" s="39">
        <f>BH154/求节点(节奏总纲!AP$4:AP$83,$G$5:$G$84,节奏总纲!S153)</f>
        <v>1.0712675192555883</v>
      </c>
      <c r="BO154" s="39">
        <f>BI154/求节点(节奏总纲!AQ$4:AQ$83,$G$5:$G$84,节奏总纲!T153)</f>
        <v>1.0704706929045855</v>
      </c>
    </row>
    <row r="155" spans="9:67" x14ac:dyDescent="0.15">
      <c r="I155" s="54"/>
      <c r="J155" s="51">
        <v>151</v>
      </c>
      <c r="K155" s="55">
        <v>60</v>
      </c>
      <c r="L155" s="55">
        <f t="shared" si="36"/>
        <v>90</v>
      </c>
      <c r="M155" s="55"/>
      <c r="T155" s="35">
        <v>151</v>
      </c>
      <c r="U155" s="50">
        <f>INDEX($Q$5:$Q$21,MATCH(节奏总纲!BQ154,$N$5:$N$21,1))*(U$2+$K$2)*节奏总纲!W154*4*$C$5+U154</f>
        <v>1342304161502.7158</v>
      </c>
      <c r="V155" s="50">
        <f>INDEX($Q$5:$Q$21,MATCH(节奏总纲!BR154,$N$5:$N$21,1))*(V$2+$K$2)*节奏总纲!X154*4*$C$5+V154</f>
        <v>3985817596049.1382</v>
      </c>
      <c r="W155" s="50">
        <f>INDEX($Q$5:$Q$21,MATCH(节奏总纲!BS154,$N$5:$N$21,1))*(W$2+$K$2)*节奏总纲!Y154*4*$C$5+W154</f>
        <v>7741602196174.1406</v>
      </c>
      <c r="X155" s="50">
        <f>INDEX($Q$5:$Q$21,MATCH(节奏总纲!BT154,$N$5:$N$21,1))*(X$2+$K$2)*节奏总纲!Z154*4*$C$5+X154</f>
        <v>10997793430995.496</v>
      </c>
      <c r="Y155" s="50">
        <f>INDEX($Q$5:$Q$21,MATCH(节奏总纲!BU154,$N$5:$N$21,1))*(Y$2+$K$2)*节奏总纲!AA154*4*$C$5+Y154</f>
        <v>6003513312624.4775</v>
      </c>
      <c r="Z155" s="51">
        <f>SUMIFS($K$5:$K$1004,$J$5:$J$1004,"&lt;="&amp;U$2)*节奏总纲!W154*4+Z154</f>
        <v>14047549.128155684</v>
      </c>
      <c r="AA155" s="51">
        <f>SUMIFS($K$5:$K$1004,$J$5:$J$1004,"&lt;="&amp;V$2)*节奏总纲!X154*4+AA154</f>
        <v>106818968.32540864</v>
      </c>
      <c r="AB155" s="51">
        <f>SUMIFS($K$5:$K$1004,$J$5:$J$1004,"&lt;="&amp;W$2)*节奏总纲!Y154*4+AB154</f>
        <v>254802874.61596459</v>
      </c>
      <c r="AC155" s="51">
        <f>SUMIFS($K$5:$K$1004,$J$5:$J$1004,"&lt;="&amp;X$2)*节奏总纲!Z154*4+AC154</f>
        <v>383139878.69588208</v>
      </c>
      <c r="AD155" s="51">
        <f>SUMIFS($K$5:$K$1004,$J$5:$J$1004,"&lt;="&amp;Y$2)*节奏总纲!AA154*4+AD154</f>
        <v>207383967.77896237</v>
      </c>
      <c r="AH155" s="35">
        <v>151</v>
      </c>
      <c r="AI155" s="47">
        <f>'[1]资源-木石铜粮'!AE156-U155</f>
        <v>3206767307109.4648</v>
      </c>
      <c r="AJ155" s="47">
        <f>'[1]资源-木石铜粮'!AF156-V155</f>
        <v>3082464019198.6841</v>
      </c>
      <c r="AK155" s="47">
        <f>'[1]资源-木石铜粮'!AG156-W155</f>
        <v>972430786929.04492</v>
      </c>
      <c r="AL155" s="47">
        <f>'[1]资源-木石铜粮'!AH156-X155</f>
        <v>-3120271996474.3359</v>
      </c>
      <c r="AM155" s="47">
        <f>'[1]资源-木石铜粮'!AI156-Y155</f>
        <v>-465649696457.4873</v>
      </c>
      <c r="AN155" s="47">
        <f>(AI155-AI154)*IF($AH155&lt;=10,'[1]功能-付费相关'!S166,'[1]功能-付费相关'!S156)</f>
        <v>2733297.0439636251</v>
      </c>
      <c r="AO155" s="47">
        <f>(AJ155-AJ154)*IF($AH155&lt;=10,'[1]功能-付费相关'!T166,'[1]功能-付费相关'!T156)</f>
        <v>3013643.8024842893</v>
      </c>
      <c r="AP155" s="47">
        <f>(AK155-AK154)*IF($AH155&lt;=10,'[1]功能-付费相关'!U166,'[1]功能-付费相关'!U156)</f>
        <v>2089645.373255108</v>
      </c>
      <c r="AQ155" s="47">
        <f>(AL155-AL154)*IF($AH155&lt;=10,'[1]功能-付费相关'!V166,'[1]功能-付费相关'!V156)</f>
        <v>-334308.00710216066</v>
      </c>
      <c r="AR155" s="47">
        <f>(AM155-AM154)*IF($AH155&lt;=10,'[1]功能-付费相关'!W166,'[1]功能-付费相关'!W156)</f>
        <v>426178.22443250148</v>
      </c>
      <c r="AS155" s="48">
        <f>SUM(AN$5:AN155)/'[1]资源-钻石'!L154</f>
        <v>0.22822607623130042</v>
      </c>
      <c r="AT155" s="48">
        <f>SUM(AO$5:AO155)/'[1]资源-钻石'!M154</f>
        <v>0.14961906636000513</v>
      </c>
      <c r="AU155" s="48">
        <f>SUM(AP$5:AP155)/'[1]资源-钻石'!N154</f>
        <v>2.5624037633406677E-2</v>
      </c>
      <c r="AV155" s="48">
        <f>SUM(AQ$5:AQ155)/'[1]资源-钻石'!O154</f>
        <v>-4.4027541733279711E-2</v>
      </c>
      <c r="AW155" s="48">
        <f>SUM(AR$5:AR155)/'[1]资源-钻石'!P154</f>
        <v>-4.9737857284631731E-3</v>
      </c>
      <c r="AX155" s="35">
        <f>('[1]资源-木石铜粮'!C156+U155)/'[1]资源-木石铜粮'!U156</f>
        <v>0.68780053650528195</v>
      </c>
      <c r="AY155" s="35">
        <f>('[1]资源-木石铜粮'!D156+V155)/'[1]资源-木石铜粮'!V156</f>
        <v>0.74363048877925897</v>
      </c>
      <c r="AZ155" s="35">
        <f>('[1]资源-木石铜粮'!E156+W155)/'[1]资源-木石铜粮'!W156</f>
        <v>0.92400327916640101</v>
      </c>
      <c r="BA155" s="35">
        <f>('[1]资源-木石铜粮'!F156+X155)/'[1]资源-木石铜粮'!X156</f>
        <v>1.2847320149998116</v>
      </c>
      <c r="BB155" s="35">
        <f>('[1]资源-木石铜粮'!G156+Y155)/'[1]资源-木石铜粮'!Y156</f>
        <v>1.0623523811048401</v>
      </c>
      <c r="BE155" s="39">
        <f t="shared" si="37"/>
        <v>1.0465250373975886E-5</v>
      </c>
      <c r="BF155" s="39">
        <f t="shared" si="38"/>
        <v>2.6799763348752036E-5</v>
      </c>
      <c r="BG155" s="39">
        <f t="shared" si="39"/>
        <v>3.2913454884298606E-5</v>
      </c>
      <c r="BH155" s="39">
        <f t="shared" si="40"/>
        <v>3.4837886445117666E-5</v>
      </c>
      <c r="BI155" s="39">
        <f t="shared" si="41"/>
        <v>3.4543767454111469E-5</v>
      </c>
      <c r="BK155" s="39">
        <f>BE155/求节点(节奏总纲!AM$4:AM$83,$G$5:$G$84,节奏总纲!P154)</f>
        <v>0.31588656757555289</v>
      </c>
      <c r="BL155" s="39">
        <f>BF155/求节点(节奏总纲!AN$4:AN$83,$G$5:$G$84,节奏总纲!Q154)</f>
        <v>0.81347854691081589</v>
      </c>
      <c r="BM155" s="39">
        <f>BG155/求节点(节奏总纲!AO$4:AO$83,$G$5:$G$84,节奏总纲!R154)</f>
        <v>1.0052264949564014</v>
      </c>
      <c r="BN155" s="39">
        <f>BH155/求节点(节奏总纲!AP$4:AP$83,$G$5:$G$84,节奏总纲!S154)</f>
        <v>1.071568690540619</v>
      </c>
      <c r="BO155" s="39">
        <f>BI155/求节点(节奏总纲!AQ$4:AQ$83,$G$5:$G$84,节奏总纲!T154)</f>
        <v>1.0713381809652369</v>
      </c>
    </row>
    <row r="156" spans="9:67" x14ac:dyDescent="0.15">
      <c r="I156" s="54"/>
      <c r="J156" s="51">
        <v>152</v>
      </c>
      <c r="K156" s="55">
        <v>60</v>
      </c>
      <c r="L156" s="55">
        <f t="shared" si="36"/>
        <v>90</v>
      </c>
      <c r="M156" s="55"/>
      <c r="T156" s="35">
        <v>152</v>
      </c>
      <c r="U156" s="50">
        <f>INDEX($Q$5:$Q$21,MATCH(节奏总纲!BQ155,$N$5:$N$21,1))*(U$2+$K$2)*节奏总纲!W155*4*$C$5+U155</f>
        <v>1450035789169.6204</v>
      </c>
      <c r="V156" s="50">
        <f>INDEX($Q$5:$Q$21,MATCH(节奏总纲!BR155,$N$5:$N$21,1))*(V$2+$K$2)*节奏总纲!X155*4*$C$5+V155</f>
        <v>4303270099894.4868</v>
      </c>
      <c r="W156" s="50">
        <f>INDEX($Q$5:$Q$21,MATCH(节奏总纲!BS155,$N$5:$N$21,1))*(W$2+$K$2)*节奏总纲!Y155*4*$C$5+W155</f>
        <v>8407375226375.3516</v>
      </c>
      <c r="X156" s="50">
        <f>INDEX($Q$5:$Q$21,MATCH(节奏总纲!BT155,$N$5:$N$21,1))*(X$2+$K$2)*节奏总纲!Z155*4*$C$5+X155</f>
        <v>12041561617114.293</v>
      </c>
      <c r="Y156" s="50">
        <f>INDEX($Q$5:$Q$21,MATCH(节奏总纲!BU155,$N$5:$N$21,1))*(Y$2+$K$2)*节奏总纲!AA155*4*$C$5+Y155</f>
        <v>9872351746646</v>
      </c>
      <c r="Z156" s="51">
        <f>SUMIFS($K$5:$K$1004,$J$5:$J$1004,"&lt;="&amp;U$2)*节奏总纲!W155*4+Z155</f>
        <v>15055819.078617129</v>
      </c>
      <c r="AA156" s="51">
        <f>SUMIFS($K$5:$K$1004,$J$5:$J$1004,"&lt;="&amp;V$2)*节奏总纲!X155*4+AA155</f>
        <v>114458853.38137101</v>
      </c>
      <c r="AB156" s="51">
        <f>SUMIFS($K$5:$K$1004,$J$5:$J$1004,"&lt;="&amp;W$2)*节奏总纲!Y155*4+AB155</f>
        <v>274595556.26535845</v>
      </c>
      <c r="AC156" s="51">
        <f>SUMIFS($K$5:$K$1004,$J$5:$J$1004,"&lt;="&amp;X$2)*节奏总纲!Z155*4+AC155</f>
        <v>416218118.42837048</v>
      </c>
      <c r="AD156" s="51">
        <f>SUMIFS($K$5:$K$1004,$J$5:$J$1004,"&lt;="&amp;Y$2)*节奏总纲!AA155*4+AD155</f>
        <v>321818132.80544114</v>
      </c>
      <c r="AH156" s="35">
        <v>152</v>
      </c>
      <c r="AI156" s="47">
        <f>'[1]资源-木石铜粮'!AE157-U156</f>
        <v>3669239182758.8154</v>
      </c>
      <c r="AJ156" s="47">
        <f>'[1]资源-木石铜粮'!AF157-V156</f>
        <v>3584371912552.0942</v>
      </c>
      <c r="AK156" s="47">
        <f>'[1]资源-木石铜粮'!AG157-W156</f>
        <v>1339717070472.7266</v>
      </c>
      <c r="AL156" s="47">
        <f>'[1]资源-木石铜粮'!AH157-X156</f>
        <v>-3177227063202.3125</v>
      </c>
      <c r="AM156" s="47">
        <f>'[1]资源-木石铜粮'!AI157-Y156</f>
        <v>-1510256114687.4277</v>
      </c>
      <c r="AN156" s="47">
        <f>(AI156-AI155)*IF($AH156&lt;=10,'[1]功能-付费相关'!S167,'[1]功能-付费相关'!S157)</f>
        <v>3196626.0628951136</v>
      </c>
      <c r="AO156" s="47">
        <f>(AJ156-AJ155)*IF($AH156&lt;=10,'[1]功能-付费相关'!T167,'[1]功能-付费相关'!T157)</f>
        <v>3452297.0645165648</v>
      </c>
      <c r="AP156" s="47">
        <f>(AK156-AK155)*IF($AH156&lt;=10,'[1]功能-付费相关'!U167,'[1]功能-付费相关'!U157)</f>
        <v>2501928.8564891759</v>
      </c>
      <c r="AQ156" s="47">
        <f>(AL156-AL155)*IF($AH156&lt;=10,'[1]功能-付费相关'!V167,'[1]功能-付费相关'!V157)</f>
        <v>-382434.854059704</v>
      </c>
      <c r="AR156" s="47">
        <f>(AM156-AM155)*IF($AH156&lt;=10,'[1]功能-付费相关'!W167,'[1]功能-付费相关'!W157)</f>
        <v>-6883165.5924878707</v>
      </c>
      <c r="AS156" s="48">
        <f>SUM(AN$5:AN156)/'[1]资源-钻石'!L155</f>
        <v>0.24387578297434254</v>
      </c>
      <c r="AT156" s="48">
        <f>SUM(AO$5:AO156)/'[1]资源-钻石'!M155</f>
        <v>0.16263768158167649</v>
      </c>
      <c r="AU156" s="48">
        <f>SUM(AP$5:AP156)/'[1]资源-钻石'!N155</f>
        <v>3.3904879602703136E-2</v>
      </c>
      <c r="AV156" s="48">
        <f>SUM(AQ$5:AQ156)/'[1]资源-钻石'!O155</f>
        <v>-4.1231572276372329E-2</v>
      </c>
      <c r="AW156" s="48">
        <f>SUM(AR$5:AR156)/'[1]资源-钻石'!P155</f>
        <v>-9.477028572519362E-3</v>
      </c>
      <c r="AX156" s="35">
        <f>('[1]资源-木石铜粮'!C157+U156)/'[1]资源-木石铜粮'!U157</f>
        <v>0.67505381940485998</v>
      </c>
      <c r="AY156" s="35">
        <f>('[1]资源-木石铜粮'!D157+V156)/'[1]资源-木石铜粮'!V157</f>
        <v>0.72904122501323776</v>
      </c>
      <c r="AZ156" s="35">
        <f>('[1]资源-木石铜粮'!E157+W156)/'[1]资源-木石铜粮'!W157</f>
        <v>0.9054756841994035</v>
      </c>
      <c r="BA156" s="35">
        <f>('[1]资源-木石铜粮'!F157+X156)/'[1]资源-木石铜粮'!X157</f>
        <v>1.2596883328526818</v>
      </c>
      <c r="BB156" s="35">
        <f>('[1]资源-木石铜粮'!G157+Y156)/'[1]资源-木石铜粮'!Y157</f>
        <v>1.1353602663811602</v>
      </c>
      <c r="BE156" s="39">
        <f t="shared" si="37"/>
        <v>1.0383067225698627E-5</v>
      </c>
      <c r="BF156" s="39">
        <f t="shared" si="38"/>
        <v>2.659811044260909E-5</v>
      </c>
      <c r="BG156" s="39">
        <f t="shared" si="39"/>
        <v>3.2661270476415277E-5</v>
      </c>
      <c r="BH156" s="39">
        <f t="shared" si="40"/>
        <v>3.4565127984464469E-5</v>
      </c>
      <c r="BI156" s="39">
        <f t="shared" si="41"/>
        <v>3.2597920036102296E-5</v>
      </c>
      <c r="BK156" s="39">
        <f>BE156/求节点(节奏总纲!AM$4:AM$83,$G$5:$G$84,节奏总纲!P155)</f>
        <v>0.31564449532147132</v>
      </c>
      <c r="BL156" s="39">
        <f>BF156/求节点(节奏总纲!AN$4:AN$83,$G$5:$G$84,节奏总纲!Q155)</f>
        <v>0.81329498205251016</v>
      </c>
      <c r="BM156" s="39">
        <f>BG156/求节点(节奏总纲!AO$4:AO$83,$G$5:$G$84,节奏总纲!R155)</f>
        <v>1.005489410950773</v>
      </c>
      <c r="BN156" s="39">
        <f>BH156/求节点(节奏总纲!AP$4:AP$83,$G$5:$G$84,节奏总纲!S155)</f>
        <v>1.0724086499809338</v>
      </c>
      <c r="BO156" s="39">
        <f>BI156/求节点(节奏总纲!AQ$4:AQ$83,$G$5:$G$84,节奏总纲!T155)</f>
        <v>1.0159336850584626</v>
      </c>
    </row>
    <row r="157" spans="9:67" x14ac:dyDescent="0.15">
      <c r="I157" s="54"/>
      <c r="J157" s="51">
        <v>153</v>
      </c>
      <c r="K157" s="55">
        <v>60</v>
      </c>
      <c r="L157" s="55">
        <f t="shared" si="36"/>
        <v>90</v>
      </c>
      <c r="M157" s="55"/>
      <c r="T157" s="35">
        <v>153</v>
      </c>
      <c r="U157" s="50">
        <f>INDEX($Q$5:$Q$21,MATCH(节奏总纲!BQ156,$N$5:$N$21,1))*(U$2+$K$2)*节奏总纲!W156*4*$C$5+U156</f>
        <v>1565499688778.8496</v>
      </c>
      <c r="V157" s="50">
        <f>INDEX($Q$5:$Q$21,MATCH(节奏总纲!BR156,$N$5:$N$21,1))*(V$2+$K$2)*节奏总纲!X156*4*$C$5+V156</f>
        <v>4682650810540.4873</v>
      </c>
      <c r="W157" s="50">
        <f>INDEX($Q$5:$Q$21,MATCH(节奏总纲!BS156,$N$5:$N$21,1))*(W$2+$K$2)*节奏总纲!Y156*4*$C$5+W156</f>
        <v>9180254510559.8789</v>
      </c>
      <c r="X157" s="50">
        <f>INDEX($Q$5:$Q$21,MATCH(节奏总纲!BT156,$N$5:$N$21,1))*(X$2+$K$2)*节奏总纲!Z156*4*$C$5+X156</f>
        <v>16627629259766.637</v>
      </c>
      <c r="Y157" s="50">
        <f>INDEX($Q$5:$Q$21,MATCH(节奏总纲!BU156,$N$5:$N$21,1))*(Y$2+$K$2)*节奏总纲!AA156*4*$C$5+Y156</f>
        <v>17649933850600.711</v>
      </c>
      <c r="Z157" s="51">
        <f>SUMIFS($K$5:$K$1004,$J$5:$J$1004,"&lt;="&amp;U$2)*节奏总纲!W156*4+Z156</f>
        <v>16136456.054594493</v>
      </c>
      <c r="AA157" s="51">
        <f>SUMIFS($K$5:$K$1004,$J$5:$J$1004,"&lt;="&amp;V$2)*节奏总纲!X156*4+AA156</f>
        <v>123589116.9221392</v>
      </c>
      <c r="AB157" s="51">
        <f>SUMIFS($K$5:$K$1004,$J$5:$J$1004,"&lt;="&amp;W$2)*节奏总纲!Y156*4+AB156</f>
        <v>297572386.102777</v>
      </c>
      <c r="AC157" s="51">
        <f>SUMIFS($K$5:$K$1004,$J$5:$J$1004,"&lt;="&amp;X$2)*节奏总纲!Z156*4+AC156</f>
        <v>551866797.06713152</v>
      </c>
      <c r="AD157" s="51">
        <f>SUMIFS($K$5:$K$1004,$J$5:$J$1004,"&lt;="&amp;Y$2)*节奏总纲!AA156*4+AD156</f>
        <v>551866797.06713164</v>
      </c>
      <c r="AH157" s="35">
        <v>153</v>
      </c>
      <c r="AI157" s="47">
        <f>'[1]资源-木石铜粮'!AE158-U157</f>
        <v>4191397285571.5117</v>
      </c>
      <c r="AJ157" s="47">
        <f>'[1]资源-木石铜粮'!AF158-V157</f>
        <v>4190491804922.2549</v>
      </c>
      <c r="AK157" s="47">
        <f>'[1]资源-木石铜粮'!AG158-W157</f>
        <v>1785434562718.1133</v>
      </c>
      <c r="AL157" s="47">
        <f>'[1]资源-木石铜粮'!AH158-X157</f>
        <v>-4163826994339.4258</v>
      </c>
      <c r="AM157" s="47">
        <f>'[1]资源-木石铜粮'!AI158-Y157</f>
        <v>-3633637874076.957</v>
      </c>
      <c r="AN157" s="47">
        <f>(AI157-AI156)*IF($AH157&lt;=10,'[1]功能-付费相关'!S168,'[1]功能-付费相关'!S158)</f>
        <v>3609179.9053927511</v>
      </c>
      <c r="AO157" s="47">
        <f>(AJ157-AJ156)*IF($AH157&lt;=10,'[1]功能-付费相关'!T168,'[1]功能-付费相关'!T158)</f>
        <v>4169103.4408602105</v>
      </c>
      <c r="AP157" s="47">
        <f>(AK157-AK156)*IF($AH157&lt;=10,'[1]功能-付费相关'!U168,'[1]功能-付费相关'!U158)</f>
        <v>3036196.8460444766</v>
      </c>
      <c r="AQ157" s="47">
        <f>(AL157-AL156)*IF($AH157&lt;=10,'[1]功能-付费相关'!V168,'[1]功能-付费相关'!V158)</f>
        <v>-6624699.4754972272</v>
      </c>
      <c r="AR157" s="47">
        <f>(AM157-AM156)*IF($AH157&lt;=10,'[1]功能-付费相关'!W168,'[1]功能-付费相关'!W158)</f>
        <v>-13991478.523281636</v>
      </c>
      <c r="AS157" s="48">
        <f>SUM(AN$5:AN157)/'[1]资源-钻石'!L156</f>
        <v>0.26018277908233922</v>
      </c>
      <c r="AT157" s="48">
        <f>SUM(AO$5:AO157)/'[1]资源-钻石'!M156</f>
        <v>0.17640807774212891</v>
      </c>
      <c r="AU157" s="48">
        <f>SUM(AP$5:AP157)/'[1]资源-钻石'!N156</f>
        <v>4.265325251145357E-2</v>
      </c>
      <c r="AV157" s="48">
        <f>SUM(AQ$5:AQ157)/'[1]资源-钻石'!O156</f>
        <v>-4.0049333480961909E-2</v>
      </c>
      <c r="AW157" s="48">
        <f>SUM(AR$5:AR157)/'[1]资源-钻石'!P156</f>
        <v>-1.2975671730252681E-2</v>
      </c>
      <c r="AX157" s="35">
        <f>('[1]资源-木石铜粮'!C158+U157)/'[1]资源-木石铜粮'!U158</f>
        <v>0.66232871447745634</v>
      </c>
      <c r="AY157" s="35">
        <f>('[1]资源-木石铜粮'!D158+V157)/'[1]资源-木石铜粮'!V158</f>
        <v>0.71448919772049013</v>
      </c>
      <c r="AZ157" s="35">
        <f>('[1]资源-木石铜粮'!E158+W157)/'[1]资源-木石铜粮'!W158</f>
        <v>0.8869564827388331</v>
      </c>
      <c r="BA157" s="35">
        <f>('[1]资源-木石铜粮'!F158+X157)/'[1]资源-木石铜粮'!X158</f>
        <v>1.2492281767368714</v>
      </c>
      <c r="BB157" s="35">
        <f>('[1]资源-木石铜粮'!G158+Y157)/'[1]资源-木石铜粮'!Y158</f>
        <v>1.1965522148571066</v>
      </c>
      <c r="BE157" s="39">
        <f t="shared" si="37"/>
        <v>1.0307543444599183E-5</v>
      </c>
      <c r="BF157" s="39">
        <f t="shared" si="38"/>
        <v>2.6392981651321151E-5</v>
      </c>
      <c r="BG157" s="39">
        <f t="shared" si="39"/>
        <v>3.2414393932160043E-5</v>
      </c>
      <c r="BH157" s="39">
        <f t="shared" si="40"/>
        <v>3.318974632195262E-5</v>
      </c>
      <c r="BI157" s="39">
        <f t="shared" si="41"/>
        <v>3.1267357812128516E-5</v>
      </c>
      <c r="BK157" s="39">
        <f>BE157/求节点(节奏总纲!AM$4:AM$83,$G$5:$G$84,节奏总纲!P156)</f>
        <v>0.31569931728617734</v>
      </c>
      <c r="BL157" s="39">
        <f>BF157/求节点(节奏总纲!AN$4:AN$83,$G$5:$G$84,节奏总纲!Q156)</f>
        <v>0.8135554222562813</v>
      </c>
      <c r="BM157" s="39">
        <f>BG157/求节点(节奏总纲!AO$4:AO$83,$G$5:$G$84,节奏总纲!R156)</f>
        <v>1.0063639217629634</v>
      </c>
      <c r="BN157" s="39">
        <f>BH157/求节点(节奏总纲!AP$4:AP$83,$G$5:$G$84,节奏总纲!S156)</f>
        <v>1.0343783054156046</v>
      </c>
      <c r="BO157" s="39">
        <f>BI157/求节点(节奏总纲!AQ$4:AQ$83,$G$5:$G$84,节奏总纲!T156)</f>
        <v>0.97446591711792574</v>
      </c>
    </row>
    <row r="158" spans="9:67" x14ac:dyDescent="0.15">
      <c r="I158" s="54"/>
      <c r="J158" s="51">
        <v>154</v>
      </c>
      <c r="K158" s="55">
        <v>60</v>
      </c>
      <c r="L158" s="55">
        <f t="shared" si="36"/>
        <v>90</v>
      </c>
      <c r="M158" s="55"/>
      <c r="T158" s="35">
        <v>154</v>
      </c>
      <c r="U158" s="50">
        <f>INDEX($Q$5:$Q$21,MATCH(节奏总纲!BQ157,$N$5:$N$21,1))*(U$2+$K$2)*节奏总纲!W157*4*$C$5+U157</f>
        <v>1689250832260.9734</v>
      </c>
      <c r="V158" s="50">
        <f>INDEX($Q$5:$Q$21,MATCH(节奏总纲!BR157,$N$5:$N$21,1))*(V$2+$K$2)*节奏总纲!X157*4*$C$5+V157</f>
        <v>5077114180202.042</v>
      </c>
      <c r="W158" s="50">
        <f>INDEX($Q$5:$Q$21,MATCH(节奏总纲!BS157,$N$5:$N$21,1))*(W$2+$K$2)*节奏总纲!Y157*4*$C$5+W157</f>
        <v>11666575085440.359</v>
      </c>
      <c r="X158" s="50">
        <f>INDEX($Q$5:$Q$21,MATCH(节奏总纲!BT157,$N$5:$N$21,1))*(X$2+$K$2)*节奏总纲!Z157*4*$C$5+X157</f>
        <v>24299147999602.824</v>
      </c>
      <c r="Y158" s="50">
        <f>INDEX($Q$5:$Q$21,MATCH(节奏总纲!BU157,$N$5:$N$21,1))*(Y$2+$K$2)*节奏总纲!AA157*4*$C$5+Y157</f>
        <v>25321452590436.898</v>
      </c>
      <c r="Z158" s="51">
        <f>SUMIFS($K$5:$K$1004,$J$5:$J$1004,"&lt;="&amp;U$2)*节奏总纲!W157*4+Z157</f>
        <v>17294654.088082474</v>
      </c>
      <c r="AA158" s="51">
        <f>SUMIFS($K$5:$K$1004,$J$5:$J$1004,"&lt;="&amp;V$2)*节奏总纲!X157*4+AA157</f>
        <v>133082363.20779464</v>
      </c>
      <c r="AB158" s="51">
        <f>SUMIFS($K$5:$K$1004,$J$5:$J$1004,"&lt;="&amp;W$2)*节奏总纲!Y157*4+AB157</f>
        <v>366560193.39690799</v>
      </c>
      <c r="AC158" s="51">
        <f>SUMIFS($K$5:$K$1004,$J$5:$J$1004,"&lt;="&amp;X$2)*节奏总纲!Z157*4+AC157</f>
        <v>778778273.58635378</v>
      </c>
      <c r="AD158" s="51">
        <f>SUMIFS($K$5:$K$1004,$J$5:$J$1004,"&lt;="&amp;Y$2)*节奏总纲!AA157*4+AD157</f>
        <v>778778273.58635378</v>
      </c>
      <c r="AH158" s="35">
        <v>154</v>
      </c>
      <c r="AI158" s="47">
        <f>'[1]资源-木石铜粮'!AE159-U158</f>
        <v>4769647966674.5811</v>
      </c>
      <c r="AJ158" s="47">
        <f>'[1]资源-木石铜粮'!AF159-V158</f>
        <v>4854713044742.4658</v>
      </c>
      <c r="AK158" s="47">
        <f>'[1]资源-木石铜粮'!AG159-W158</f>
        <v>2807922947057.5781</v>
      </c>
      <c r="AL158" s="47">
        <f>'[1]资源-木石铜粮'!AH159-X158</f>
        <v>-5731471786986.0469</v>
      </c>
      <c r="AM158" s="47">
        <f>'[1]资源-木石铜粮'!AI159-Y158</f>
        <v>-5695365526715.0547</v>
      </c>
      <c r="AN158" s="47">
        <f>(AI158-AI157)*IF($AH158&lt;=10,'[1]功能-付费相关'!S169,'[1]功能-付费相关'!S159)</f>
        <v>3996894.2879078579</v>
      </c>
      <c r="AO158" s="47">
        <f>(AJ158-AJ157)*IF($AH158&lt;=10,'[1]功能-付费相关'!T169,'[1]功能-付费相关'!T159)</f>
        <v>4568744.7174819121</v>
      </c>
      <c r="AP158" s="47">
        <f>(AK158-AK157)*IF($AH158&lt;=10,'[1]功能-付费相关'!U169,'[1]功能-付费相关'!U159)</f>
        <v>6965120.4219273673</v>
      </c>
      <c r="AQ158" s="47">
        <f>(AL158-AL157)*IF($AH158&lt;=10,'[1]功能-付费相关'!V169,'[1]功能-付费相关'!V159)</f>
        <v>-10526227.81317501</v>
      </c>
      <c r="AR158" s="47">
        <f>(AM158-AM157)*IF($AH158&lt;=10,'[1]功能-付费相关'!W169,'[1]功能-付费相关'!W159)</f>
        <v>-13585224.628205899</v>
      </c>
      <c r="AS158" s="48">
        <f>SUM(AN$5:AN158)/'[1]资源-钻石'!L157</f>
        <v>0.27654380457804378</v>
      </c>
      <c r="AT158" s="48">
        <f>SUM(AO$5:AO158)/'[1]资源-钻石'!M157</f>
        <v>0.19010278723400162</v>
      </c>
      <c r="AU158" s="48">
        <f>SUM(AP$5:AP158)/'[1]资源-钻石'!N157</f>
        <v>5.5898661854420724E-2</v>
      </c>
      <c r="AV158" s="48">
        <f>SUM(AQ$5:AQ158)/'[1]资源-钻石'!O157</f>
        <v>-3.8482588626748922E-2</v>
      </c>
      <c r="AW158" s="48">
        <f>SUM(AR$5:AR158)/'[1]资源-钻石'!P157</f>
        <v>-1.4327906195199592E-2</v>
      </c>
      <c r="AX158" s="35">
        <f>('[1]资源-木石铜粮'!C159+U158)/'[1]资源-木石铜粮'!U159</f>
        <v>0.65019283892071822</v>
      </c>
      <c r="AY158" s="35">
        <f>('[1]资源-木石铜粮'!D159+V158)/'[1]资源-木石铜粮'!V159</f>
        <v>0.70066813176339759</v>
      </c>
      <c r="AZ158" s="35">
        <f>('[1]资源-木石铜粮'!E159+W158)/'[1]资源-木石铜粮'!W159</f>
        <v>0.86089245788391255</v>
      </c>
      <c r="BA158" s="35">
        <f>('[1]资源-木石铜粮'!F159+X158)/'[1]资源-木石铜粮'!X159</f>
        <v>1.2370216581437616</v>
      </c>
      <c r="BB158" s="35">
        <f>('[1]资源-木石铜粮'!G159+Y158)/'[1]资源-木石铜粮'!Y159</f>
        <v>1.2212060172598422</v>
      </c>
      <c r="BE158" s="39">
        <f t="shared" si="37"/>
        <v>1.0238061605649463E-5</v>
      </c>
      <c r="BF158" s="39">
        <f t="shared" si="38"/>
        <v>2.6212206084854815E-5</v>
      </c>
      <c r="BG158" s="39">
        <f t="shared" si="39"/>
        <v>3.141969178721246E-5</v>
      </c>
      <c r="BH158" s="39">
        <f t="shared" si="40"/>
        <v>3.204961234027971E-5</v>
      </c>
      <c r="BI158" s="39">
        <f t="shared" si="41"/>
        <v>3.0755671334608719E-5</v>
      </c>
      <c r="BK158" s="39">
        <f>BE158/求节点(节奏总纲!AM$4:AM$83,$G$5:$G$84,节奏总纲!P157)</f>
        <v>0.31582819882034957</v>
      </c>
      <c r="BL158" s="39">
        <f>BF158/求节点(节奏总纲!AN$4:AN$83,$G$5:$G$84,节奏总纲!Q157)</f>
        <v>0.81436644796088253</v>
      </c>
      <c r="BM158" s="39">
        <f>BG158/求节点(节奏总纲!AO$4:AO$83,$G$5:$G$84,节奏总纲!R157)</f>
        <v>0.97921349661058166</v>
      </c>
      <c r="BN158" s="39">
        <f>BH158/求节点(节奏总纲!AP$4:AP$83,$G$5:$G$84,节奏总纲!S157)</f>
        <v>0.99884534760177746</v>
      </c>
      <c r="BO158" s="39">
        <f>BI158/求节点(节奏总纲!AQ$4:AQ$83,$G$5:$G$84,节奏总纲!T157)</f>
        <v>0.95851890184438848</v>
      </c>
    </row>
    <row r="159" spans="9:67" x14ac:dyDescent="0.15">
      <c r="I159" s="54"/>
      <c r="J159" s="51">
        <v>155</v>
      </c>
      <c r="K159" s="55">
        <v>60</v>
      </c>
      <c r="L159" s="55">
        <f t="shared" si="36"/>
        <v>90</v>
      </c>
      <c r="M159" s="55"/>
      <c r="T159" s="35">
        <v>155</v>
      </c>
      <c r="U159" s="50">
        <f>INDEX($Q$5:$Q$21,MATCH(节奏总纲!BQ158,$N$5:$N$21,1))*(U$2+$K$2)*节奏总纲!W158*4*$C$5+U158</f>
        <v>1821884023803.6379</v>
      </c>
      <c r="V159" s="50">
        <f>INDEX($Q$5:$Q$21,MATCH(节奏总纲!BR158,$N$5:$N$21,1))*(V$2+$K$2)*节奏总纲!X158*4*$C$5+V158</f>
        <v>6216846410835.9668</v>
      </c>
      <c r="W159" s="50">
        <f>INDEX($Q$5:$Q$21,MATCH(节奏总纲!BS158,$N$5:$N$21,1))*(W$2+$K$2)*节奏总纲!Y158*4*$C$5+W158</f>
        <v>15738790896943.145</v>
      </c>
      <c r="X159" s="50">
        <f>INDEX($Q$5:$Q$21,MATCH(节奏总纲!BT158,$N$5:$N$21,1))*(X$2+$K$2)*节奏总纲!Z158*4*$C$5+X158</f>
        <v>32197091343755.086</v>
      </c>
      <c r="Y159" s="50">
        <f>INDEX($Q$5:$Q$21,MATCH(节奏总纲!BU158,$N$5:$N$21,1))*(Y$2+$K$2)*节奏总纲!AA158*4*$C$5+Y158</f>
        <v>33326556883631.746</v>
      </c>
      <c r="Z159" s="51">
        <f>SUMIFS($K$5:$K$1004,$J$5:$J$1004,"&lt;="&amp;U$2)*节奏总纲!W158*4+Z158</f>
        <v>18535980.004736643</v>
      </c>
      <c r="AA159" s="51">
        <f>SUMIFS($K$5:$K$1004,$J$5:$J$1004,"&lt;="&amp;V$2)*节奏总纲!X158*4+AA158</f>
        <v>158682817.62454945</v>
      </c>
      <c r="AB159" s="51">
        <f>SUMIFS($K$5:$K$1004,$J$5:$J$1004,"&lt;="&amp;W$2)*节奏总纲!Y158*4+AB158</f>
        <v>479551753.09454352</v>
      </c>
      <c r="AC159" s="51">
        <f>SUMIFS($K$5:$K$1004,$J$5:$J$1004,"&lt;="&amp;X$2)*节奏总纲!Z158*4+AC158</f>
        <v>1012387034.310703</v>
      </c>
      <c r="AD159" s="51">
        <f>SUMIFS($K$5:$K$1004,$J$5:$J$1004,"&lt;="&amp;Y$2)*节奏总纲!AA158*4+AD158</f>
        <v>1015556686.891513</v>
      </c>
      <c r="AH159" s="35">
        <v>155</v>
      </c>
      <c r="AI159" s="47">
        <f>'[1]资源-木石铜粮'!AE160-U159</f>
        <v>5413829784384.4121</v>
      </c>
      <c r="AJ159" s="47">
        <f>'[1]资源-木石铜粮'!AF160-V159</f>
        <v>6541554702183.373</v>
      </c>
      <c r="AK159" s="47">
        <f>'[1]资源-木石铜粮'!AG160-W159</f>
        <v>4583925727906.3281</v>
      </c>
      <c r="AL159" s="47">
        <f>'[1]资源-木石铜粮'!AH160-X159</f>
        <v>-7316380124315.6328</v>
      </c>
      <c r="AM159" s="47">
        <f>'[1]资源-木石铜粮'!AI160-Y159</f>
        <v>-7840579615132.2617</v>
      </c>
      <c r="AN159" s="47">
        <f>(AI159-AI158)*IF($AH159&lt;=10,'[1]功能-付费相关'!S170,'[1]功能-付费相关'!S160)</f>
        <v>4452613.2207349651</v>
      </c>
      <c r="AO159" s="47">
        <f>(AJ159-AJ158)*IF($AH159&lt;=10,'[1]功能-付费相关'!T170,'[1]功能-付费相关'!T160)</f>
        <v>11602683.638583453</v>
      </c>
      <c r="AP159" s="47">
        <f>(AK159-AK158)*IF($AH159&lt;=10,'[1]功能-付费相关'!U170,'[1]功能-付费相关'!U160)</f>
        <v>12098008.571784982</v>
      </c>
      <c r="AQ159" s="47">
        <f>(AL159-AL158)*IF($AH159&lt;=10,'[1]功能-付费相关'!V170,'[1]功能-付费相关'!V160)</f>
        <v>-10642146.932766521</v>
      </c>
      <c r="AR159" s="47">
        <f>(AM159-AM158)*IF($AH159&lt;=10,'[1]功能-付费相关'!W170,'[1]功能-付费相关'!W160)</f>
        <v>-14135337.045826256</v>
      </c>
      <c r="AS159" s="48">
        <f>SUM(AN$5:AN159)/'[1]资源-钻石'!L158</f>
        <v>0.29322357515238817</v>
      </c>
      <c r="AT159" s="48">
        <f>SUM(AO$5:AO159)/'[1]资源-钻石'!M158</f>
        <v>0.21560963480147519</v>
      </c>
      <c r="AU159" s="48">
        <f>SUM(AP$5:AP159)/'[1]资源-钻石'!N158</f>
        <v>7.1064300339589465E-2</v>
      </c>
      <c r="AV159" s="48">
        <f>SUM(AQ$5:AQ159)/'[1]资源-钻石'!O158</f>
        <v>-3.7457251100215895E-2</v>
      </c>
      <c r="AW159" s="48">
        <f>SUM(AR$5:AR159)/'[1]资源-钻石'!P158</f>
        <v>-1.5084075075326718E-2</v>
      </c>
      <c r="AX159" s="35">
        <f>('[1]资源-木石铜粮'!C160+U159)/'[1]资源-木石铜粮'!U160</f>
        <v>0.63837599774192977</v>
      </c>
      <c r="AY159" s="35">
        <f>('[1]资源-木石铜粮'!D160+V159)/'[1]资源-木石铜粮'!V160</f>
        <v>0.67269593476645173</v>
      </c>
      <c r="AZ159" s="35">
        <f>('[1]资源-木石铜粮'!E160+W159)/'[1]资源-木石铜粮'!W160</f>
        <v>0.83255593671004424</v>
      </c>
      <c r="BA159" s="35">
        <f>('[1]资源-木石铜粮'!F160+X159)/'[1]资源-木石铜粮'!X160</f>
        <v>1.2293126156706449</v>
      </c>
      <c r="BB159" s="35">
        <f>('[1]资源-木石铜粮'!G160+Y159)/'[1]资源-木石铜粮'!Y160</f>
        <v>1.2352455316956104</v>
      </c>
      <c r="BE159" s="39">
        <f t="shared" si="37"/>
        <v>1.0174072423138195E-5</v>
      </c>
      <c r="BF159" s="39">
        <f t="shared" si="38"/>
        <v>2.552464821198819E-5</v>
      </c>
      <c r="BG159" s="39">
        <f t="shared" si="39"/>
        <v>3.0469415105304191E-5</v>
      </c>
      <c r="BH159" s="39">
        <f t="shared" si="40"/>
        <v>3.1443431442358053E-5</v>
      </c>
      <c r="BI159" s="39">
        <f t="shared" si="41"/>
        <v>3.0472895548063684E-5</v>
      </c>
      <c r="BK159" s="39">
        <f>BE159/求节点(节奏总纲!AM$4:AM$83,$G$5:$G$84,节奏总纲!P158)</f>
        <v>0.31618938856489498</v>
      </c>
      <c r="BL159" s="39">
        <f>BF159/求节点(节奏总纲!AN$4:AN$83,$G$5:$G$84,节奏总纲!Q158)</f>
        <v>0.79549093589735209</v>
      </c>
      <c r="BM159" s="39">
        <f>BG159/求节点(节奏总纲!AO$4:AO$83,$G$5:$G$84,节奏总纲!R158)</f>
        <v>0.94959755515766098</v>
      </c>
      <c r="BN159" s="39">
        <f>BH159/求节点(节奏总纲!AP$4:AP$83,$G$5:$G$84,节奏总纲!S158)</f>
        <v>0.97995335716939547</v>
      </c>
      <c r="BO159" s="39">
        <f>BI159/求节点(节奏总纲!AQ$4:AQ$83,$G$5:$G$84,节奏总纲!T158)</f>
        <v>0.94970602523901493</v>
      </c>
    </row>
    <row r="160" spans="9:67" x14ac:dyDescent="0.15">
      <c r="I160" s="54"/>
      <c r="J160" s="51">
        <v>156</v>
      </c>
      <c r="K160" s="55">
        <v>60</v>
      </c>
      <c r="L160" s="55">
        <f t="shared" si="36"/>
        <v>90</v>
      </c>
      <c r="M160" s="55"/>
      <c r="T160" s="35">
        <v>156</v>
      </c>
      <c r="U160" s="50">
        <f>INDEX($Q$5:$Q$21,MATCH(节奏总纲!BQ159,$N$5:$N$21,1))*(U$2+$K$2)*节奏总纲!W159*4*$C$5+U159</f>
        <v>1974190525532.4778</v>
      </c>
      <c r="V160" s="50">
        <f>INDEX($Q$5:$Q$21,MATCH(节奏总纲!BR159,$N$5:$N$21,1))*(V$2+$K$2)*节奏总纲!X159*4*$C$5+V159</f>
        <v>7112356594539.8428</v>
      </c>
      <c r="W160" s="50">
        <f>INDEX($Q$5:$Q$21,MATCH(节奏总纲!BS159,$N$5:$N$21,1))*(W$2+$K$2)*节奏总纲!Y159*4*$C$5+W159</f>
        <v>17980658369997.105</v>
      </c>
      <c r="X160" s="50">
        <f>INDEX($Q$5:$Q$21,MATCH(节奏总纲!BT159,$N$5:$N$21,1))*(X$2+$K$2)*节奏总纲!Z159*4*$C$5+X159</f>
        <v>36636868104116.852</v>
      </c>
      <c r="Y160" s="50">
        <f>INDEX($Q$5:$Q$21,MATCH(节奏总纲!BU159,$N$5:$N$21,1))*(Y$2+$K$2)*节奏总纲!AA159*4*$C$5+Y159</f>
        <v>37774025122330.82</v>
      </c>
      <c r="Z160" s="51">
        <f>SUMIFS($K$5:$K$1004,$J$5:$J$1004,"&lt;="&amp;U$2)*节奏总纲!W159*4+Z159</f>
        <v>19866400.180565085</v>
      </c>
      <c r="AA160" s="51">
        <f>SUMIFS($K$5:$K$1004,$J$5:$J$1004,"&lt;="&amp;V$2)*节奏总纲!X159*4+AA159</f>
        <v>178797601.62508574</v>
      </c>
      <c r="AB160" s="51">
        <f>SUMIFS($K$5:$K$1004,$J$5:$J$1004,"&lt;="&amp;W$2)*节奏总纲!Y159*4+AB159</f>
        <v>541756732.92400968</v>
      </c>
      <c r="AC160" s="51">
        <f>SUMIFS($K$5:$K$1004,$J$5:$J$1004,"&lt;="&amp;X$2)*节奏总纲!Z159*4+AC159</f>
        <v>1143708658.3951316</v>
      </c>
      <c r="AD160" s="51">
        <f>SUMIFS($K$5:$K$1004,$J$5:$J$1004,"&lt;="&amp;Y$2)*节奏总纲!AA159*4+AD159</f>
        <v>1147105812.8260083</v>
      </c>
      <c r="AH160" s="35">
        <v>156</v>
      </c>
      <c r="AI160" s="47">
        <f>'[1]资源-木石铜粮'!AE161-U160</f>
        <v>6129303875131.0938</v>
      </c>
      <c r="AJ160" s="47">
        <f>'[1]资源-木石铜粮'!AF161-V160</f>
        <v>7940418027143.7354</v>
      </c>
      <c r="AK160" s="47">
        <f>'[1]资源-木石铜粮'!AG161-W160</f>
        <v>5604486001624.1523</v>
      </c>
      <c r="AL160" s="47">
        <f>'[1]资源-木石铜粮'!AH161-X160</f>
        <v>-8178948024827.0469</v>
      </c>
      <c r="AM160" s="47">
        <f>'[1]资源-木石铜粮'!AI161-Y160</f>
        <v>-9002727922169.6875</v>
      </c>
      <c r="AN160" s="47">
        <f>(AI160-AI159)*IF($AH160&lt;=10,'[1]功能-付费相关'!S171,'[1]功能-付费相关'!S161)</f>
        <v>4945388.5657278839</v>
      </c>
      <c r="AO160" s="47">
        <f>(AJ160-AJ159)*IF($AH160&lt;=10,'[1]功能-付费相关'!T171,'[1]功能-付费相关'!T161)</f>
        <v>9621868.502912892</v>
      </c>
      <c r="AP160" s="47">
        <f>(AK160-AK159)*IF($AH160&lt;=10,'[1]功能-付费相关'!U171,'[1]功能-付费相关'!U161)</f>
        <v>6951986.2652247464</v>
      </c>
      <c r="AQ160" s="47">
        <f>(AL160-AL159)*IF($AH160&lt;=10,'[1]功能-付费相关'!V171,'[1]功能-付费相关'!V161)</f>
        <v>-5791864.5012601037</v>
      </c>
      <c r="AR160" s="47">
        <f>(AM160-AM159)*IF($AH160&lt;=10,'[1]功能-付费相关'!W171,'[1]功能-付费相关'!W161)</f>
        <v>-7657677.6676545646</v>
      </c>
      <c r="AS160" s="48">
        <f>SUM(AN$5:AN160)/'[1]资源-钻石'!L159</f>
        <v>0.31046973255886839</v>
      </c>
      <c r="AT160" s="48">
        <f>SUM(AO$5:AO160)/'[1]资源-钻石'!M159</f>
        <v>0.23297818790263483</v>
      </c>
      <c r="AU160" s="48">
        <f>SUM(AP$5:AP160)/'[1]资源-钻石'!N159</f>
        <v>7.7384248403803313E-2</v>
      </c>
      <c r="AV160" s="48">
        <f>SUM(AQ$5:AQ160)/'[1]资源-钻石'!O159</f>
        <v>-3.6946850565550068E-2</v>
      </c>
      <c r="AW160" s="48">
        <f>SUM(AR$5:AR160)/'[1]资源-钻石'!P159</f>
        <v>-1.5320624463996398E-2</v>
      </c>
      <c r="AX160" s="35">
        <f>('[1]资源-木石铜粮'!C161+U160)/'[1]资源-木石铜粮'!U161</f>
        <v>0.62422470743531344</v>
      </c>
      <c r="AY160" s="35">
        <f>('[1]资源-木石铜粮'!D161+V160)/'[1]资源-木石铜粮'!V161</f>
        <v>0.65434556154948187</v>
      </c>
      <c r="AZ160" s="35">
        <f>('[1]资源-木石铜粮'!E161+W160)/'[1]资源-木石铜粮'!W161</f>
        <v>0.82140192445941163</v>
      </c>
      <c r="BA160" s="35">
        <f>('[1]资源-木石铜粮'!F161+X160)/'[1]资源-木石铜粮'!X161</f>
        <v>1.2254439956720986</v>
      </c>
      <c r="BB160" s="35">
        <f>('[1]资源-木石铜粮'!G161+Y160)/'[1]资源-木石铜粮'!Y161</f>
        <v>1.2395947762108441</v>
      </c>
      <c r="BE160" s="39">
        <f t="shared" si="37"/>
        <v>1.0063061251500398E-5</v>
      </c>
      <c r="BF160" s="39">
        <f t="shared" si="38"/>
        <v>2.5139009728835685E-5</v>
      </c>
      <c r="BG160" s="39">
        <f t="shared" si="39"/>
        <v>3.0129971983005698E-5</v>
      </c>
      <c r="BH160" s="39">
        <f t="shared" si="40"/>
        <v>3.1217424348196782E-5</v>
      </c>
      <c r="BI160" s="39">
        <f t="shared" si="41"/>
        <v>3.0367582197319908E-5</v>
      </c>
      <c r="BK160" s="39">
        <f>BE160/求节点(节奏总纲!AM$4:AM$83,$G$5:$G$84,节奏总纲!P159)</f>
        <v>0.31362132580494012</v>
      </c>
      <c r="BL160" s="39">
        <f>BF160/求节点(节奏总纲!AN$4:AN$83,$G$5:$G$84,节奏总纲!Q159)</f>
        <v>0.78347228179747153</v>
      </c>
      <c r="BM160" s="39">
        <f>BG160/求节点(节奏总纲!AO$4:AO$83,$G$5:$G$84,节奏总纲!R159)</f>
        <v>0.939018607122862</v>
      </c>
      <c r="BN160" s="39">
        <f>BH160/求节点(节奏总纲!AP$4:AP$83,$G$5:$G$84,节奏总纲!S159)</f>
        <v>0.97290971083348443</v>
      </c>
      <c r="BO160" s="39">
        <f>BI160/求节点(节奏总纲!AQ$4:AQ$83,$G$5:$G$84,节奏总纲!T159)</f>
        <v>0.94642387164183805</v>
      </c>
    </row>
    <row r="161" spans="9:67" x14ac:dyDescent="0.15">
      <c r="I161" s="54"/>
      <c r="J161" s="51">
        <v>157</v>
      </c>
      <c r="K161" s="55">
        <v>60</v>
      </c>
      <c r="L161" s="55">
        <f t="shared" si="36"/>
        <v>90</v>
      </c>
      <c r="M161" s="55"/>
      <c r="T161" s="35">
        <v>157</v>
      </c>
      <c r="U161" s="50">
        <f>INDEX($Q$5:$Q$21,MATCH(节奏总纲!BQ160,$N$5:$N$21,1))*(U$2+$K$2)*节奏总纲!W160*4*$C$5+U160</f>
        <v>2137428592257.1863</v>
      </c>
      <c r="V161" s="50">
        <f>INDEX($Q$5:$Q$21,MATCH(节奏总纲!BR160,$N$5:$N$21,1))*(V$2+$K$2)*节奏总纲!X160*4*$C$5+V160</f>
        <v>7683689828076.3223</v>
      </c>
      <c r="W161" s="50">
        <f>INDEX($Q$5:$Q$21,MATCH(节奏总纲!BS160,$N$5:$N$21,1))*(W$2+$K$2)*节奏总纲!Y160*4*$C$5+W160</f>
        <v>19382057172828.73</v>
      </c>
      <c r="X161" s="50">
        <f>INDEX($Q$5:$Q$21,MATCH(节奏总纲!BT160,$N$5:$N$21,1))*(X$2+$K$2)*节奏总纲!Z160*4*$C$5+X160</f>
        <v>39412187301881.438</v>
      </c>
      <c r="Y161" s="50">
        <f>INDEX($Q$5:$Q$21,MATCH(节奏总纲!BU160,$N$5:$N$21,1))*(Y$2+$K$2)*节奏总纲!AA160*4*$C$5+Y160</f>
        <v>40434491892715.516</v>
      </c>
      <c r="Z161" s="51">
        <f>SUMIFS($K$5:$K$1004,$J$5:$J$1004,"&lt;="&amp;U$2)*节奏总纲!W160*4+Z160</f>
        <v>21292309.219040874</v>
      </c>
      <c r="AA161" s="51">
        <f>SUMIFS($K$5:$K$1004,$J$5:$J$1004,"&lt;="&amp;V$2)*节奏总纲!X160*4+AA160</f>
        <v>191630782.97136787</v>
      </c>
      <c r="AB161" s="51">
        <f>SUMIFS($K$5:$K$1004,$J$5:$J$1004,"&lt;="&amp;W$2)*节奏总纲!Y160*4+AB160</f>
        <v>580641272.4032445</v>
      </c>
      <c r="AC161" s="51">
        <f>SUMIFS($K$5:$K$1004,$J$5:$J$1004,"&lt;="&amp;X$2)*节奏总纲!Z160*4+AC160</f>
        <v>1225798241.7401829</v>
      </c>
      <c r="AD161" s="51">
        <f>SUMIFS($K$5:$K$1004,$J$5:$J$1004,"&lt;="&amp;Y$2)*节奏总纲!AA160*4+AD160</f>
        <v>1225798241.7401831</v>
      </c>
      <c r="AH161" s="35">
        <v>157</v>
      </c>
      <c r="AI161" s="47">
        <f>'[1]资源-木石铜粮'!AE162-U161</f>
        <v>6927373654120.0049</v>
      </c>
      <c r="AJ161" s="47">
        <f>'[1]资源-木石铜粮'!AF162-V161</f>
        <v>8857410386576.9277</v>
      </c>
      <c r="AK161" s="47">
        <f>'[1]资源-木石铜粮'!AG162-W161</f>
        <v>6263554041056.5039</v>
      </c>
      <c r="AL161" s="47">
        <f>'[1]资源-木石铜粮'!AH162-X161</f>
        <v>-8697032450792.8203</v>
      </c>
      <c r="AM161" s="47">
        <f>'[1]资源-木石铜粮'!AI162-Y161</f>
        <v>-9672530161570.6328</v>
      </c>
      <c r="AN161" s="47">
        <f>(AI161-AI160)*IF($AH161&lt;=10,'[1]功能-付费相关'!S172,'[1]功能-付费相关'!S162)</f>
        <v>5516293.6166505003</v>
      </c>
      <c r="AO161" s="47">
        <f>(AJ161-AJ160)*IF($AH161&lt;=10,'[1]功能-付费相关'!T172,'[1]功能-付费相关'!T162)</f>
        <v>6307392.3972465442</v>
      </c>
      <c r="AP161" s="47">
        <f>(AK161-AK160)*IF($AH161&lt;=10,'[1]功能-付费相关'!U172,'[1]功能-付费相关'!U162)</f>
        <v>4489526.0730569502</v>
      </c>
      <c r="AQ161" s="47">
        <f>(AL161-AL160)*IF($AH161&lt;=10,'[1]功能-付费相关'!V172,'[1]功能-付费相关'!V162)</f>
        <v>-3478769.3741301871</v>
      </c>
      <c r="AR161" s="47">
        <f>(AM161-AM160)*IF($AH161&lt;=10,'[1]功能-付费相关'!W172,'[1]功能-付费相关'!W162)</f>
        <v>-4413489.758016278</v>
      </c>
      <c r="AS161" s="48">
        <f>SUM(AN$5:AN161)/'[1]资源-钻石'!L160</f>
        <v>0.32813643018447869</v>
      </c>
      <c r="AT161" s="48">
        <f>SUM(AO$5:AO161)/'[1]资源-钻石'!M160</f>
        <v>0.24294211651420453</v>
      </c>
      <c r="AU161" s="48">
        <f>SUM(AP$5:AP161)/'[1]资源-钻石'!N160</f>
        <v>8.0943979972410929E-2</v>
      </c>
      <c r="AV161" s="48">
        <f>SUM(AQ$5:AQ161)/'[1]资源-钻石'!O160</f>
        <v>-3.6598589505124512E-2</v>
      </c>
      <c r="AW161" s="48">
        <f>SUM(AR$5:AR161)/'[1]资源-钻石'!P160</f>
        <v>-1.5398029808109368E-2</v>
      </c>
      <c r="AX161" s="35">
        <f>('[1]资源-木石铜粮'!C162+U161)/'[1]资源-木石铜粮'!U162</f>
        <v>0.60873335462552147</v>
      </c>
      <c r="AY161" s="35">
        <f>('[1]资源-木石铜粮'!D162+V161)/'[1]资源-木石铜粮'!V162</f>
        <v>0.64431634177941444</v>
      </c>
      <c r="AZ161" s="35">
        <f>('[1]资源-木石铜粮'!E162+W161)/'[1]资源-木石铜粮'!W162</f>
        <v>0.81526485639873836</v>
      </c>
      <c r="BA161" s="35">
        <f>('[1]资源-木石铜粮'!F162+X161)/'[1]资源-木石铜粮'!X162</f>
        <v>1.222800251690688</v>
      </c>
      <c r="BB161" s="35">
        <f>('[1]资源-木石铜粮'!G162+Y161)/'[1]资源-木石铜粮'!Y162</f>
        <v>1.2409663376799793</v>
      </c>
      <c r="BE161" s="39">
        <f t="shared" si="37"/>
        <v>9.9616470445712446E-6</v>
      </c>
      <c r="BF161" s="39">
        <f t="shared" si="38"/>
        <v>2.4939942561338956E-5</v>
      </c>
      <c r="BG161" s="39">
        <f t="shared" si="39"/>
        <v>2.995766998444481E-5</v>
      </c>
      <c r="BH161" s="39">
        <f t="shared" si="40"/>
        <v>3.1102009953191979E-5</v>
      </c>
      <c r="BI161" s="39">
        <f t="shared" si="41"/>
        <v>3.0315658349128831E-5</v>
      </c>
      <c r="BK161" s="39">
        <f>BE161/求节点(节奏总纲!AM$4:AM$83,$G$5:$G$84,节奏总纲!P160)</f>
        <v>0.31046069135805793</v>
      </c>
      <c r="BL161" s="39">
        <f>BF161/求节点(节奏总纲!AN$4:AN$83,$G$5:$G$84,节奏总纲!Q160)</f>
        <v>0.77726823439735759</v>
      </c>
      <c r="BM161" s="39">
        <f>BG161/求节点(节奏总纲!AO$4:AO$83,$G$5:$G$84,节奏总纲!R160)</f>
        <v>0.93364871222935242</v>
      </c>
      <c r="BN161" s="39">
        <f>BH161/求节点(节奏总纲!AP$4:AP$83,$G$5:$G$84,节奏总纲!S160)</f>
        <v>0.96931275214728096</v>
      </c>
      <c r="BO161" s="39">
        <f>BI161/求节点(节奏总纲!AQ$4:AQ$83,$G$5:$G$84,节奏总纲!T160)</f>
        <v>0.94480563384087546</v>
      </c>
    </row>
    <row r="162" spans="9:67" x14ac:dyDescent="0.15">
      <c r="I162" s="54"/>
      <c r="J162" s="51">
        <v>158</v>
      </c>
      <c r="K162" s="55">
        <v>60</v>
      </c>
      <c r="L162" s="55">
        <f t="shared" si="36"/>
        <v>90</v>
      </c>
      <c r="M162" s="55"/>
      <c r="T162" s="35">
        <v>158</v>
      </c>
      <c r="U162" s="50">
        <f>INDEX($Q$5:$Q$21,MATCH(节奏总纲!BQ161,$N$5:$N$21,1))*(U$2+$K$2)*节奏总纲!W161*4*$C$5+U161</f>
        <v>2312382820248.4619</v>
      </c>
      <c r="V162" s="50">
        <f>INDEX($Q$5:$Q$21,MATCH(节奏总纲!BR161,$N$5:$N$21,1))*(V$2+$K$2)*节奏总纲!X161*4*$C$5+V161</f>
        <v>8296029626045.7881</v>
      </c>
      <c r="W162" s="50">
        <f>INDEX($Q$5:$Q$21,MATCH(节奏总纲!BS161,$N$5:$N$21,1))*(W$2+$K$2)*节奏总纲!Y161*4*$C$5+W161</f>
        <v>20884039220133.832</v>
      </c>
      <c r="X162" s="50">
        <f>INDEX($Q$5:$Q$21,MATCH(节奏总纲!BT161,$N$5:$N$21,1))*(X$2+$K$2)*节奏总纲!Z161*4*$C$5+X161</f>
        <v>42386700768113.109</v>
      </c>
      <c r="Y162" s="50">
        <f>INDEX($Q$5:$Q$21,MATCH(节奏总纲!BU161,$N$5:$N$21,1))*(Y$2+$K$2)*节奏总纲!AA161*4*$C$5+Y161</f>
        <v>43409005358947.188</v>
      </c>
      <c r="Z162" s="51">
        <f>SUMIFS($K$5:$K$1004,$J$5:$J$1004,"&lt;="&amp;U$2)*节奏总纲!W161*4+Z161</f>
        <v>22820560.686469909</v>
      </c>
      <c r="AA162" s="51">
        <f>SUMIFS($K$5:$K$1004,$J$5:$J$1004,"&lt;="&amp;V$2)*节奏总纲!X161*4+AA161</f>
        <v>205385046.17822918</v>
      </c>
      <c r="AB162" s="51">
        <f>SUMIFS($K$5:$K$1004,$J$5:$J$1004,"&lt;="&amp;W$2)*节奏总纲!Y161*4+AB161</f>
        <v>622316689.92003429</v>
      </c>
      <c r="AC162" s="51">
        <f>SUMIFS($K$5:$K$1004,$J$5:$J$1004,"&lt;="&amp;X$2)*节奏总纲!Z161*4+AC161</f>
        <v>1313779678.7200723</v>
      </c>
      <c r="AD162" s="51">
        <f>SUMIFS($K$5:$K$1004,$J$5:$J$1004,"&lt;="&amp;Y$2)*节奏总纲!AA161*4+AD161</f>
        <v>1313779678.7200725</v>
      </c>
      <c r="AH162" s="35">
        <v>158</v>
      </c>
      <c r="AI162" s="47">
        <f>'[1]资源-木石铜粮'!AE163-U162</f>
        <v>7792318012104.9189</v>
      </c>
      <c r="AJ162" s="47">
        <f>'[1]资源-木石铜粮'!AF163-V162</f>
        <v>9840017769469.8164</v>
      </c>
      <c r="AK162" s="47">
        <f>'[1]资源-木石铜粮'!AG163-W162</f>
        <v>6969713881805.3555</v>
      </c>
      <c r="AL162" s="47">
        <f>'[1]资源-木石铜粮'!AH163-X162</f>
        <v>-9252519099916.3867</v>
      </c>
      <c r="AM162" s="47">
        <f>'[1]资源-木石铜粮'!AI163-Y162</f>
        <v>-10427219971648.695</v>
      </c>
      <c r="AN162" s="47">
        <f>(AI162-AI161)*IF($AH162&lt;=10,'[1]功能-付费相关'!S173,'[1]功能-付费相关'!S163)</f>
        <v>5978533.6650071815</v>
      </c>
      <c r="AO162" s="47">
        <f>(AJ162-AJ161)*IF($AH162&lt;=10,'[1]功能-付费相关'!T173,'[1]功能-付费相关'!T163)</f>
        <v>6758715.350875793</v>
      </c>
      <c r="AP162" s="47">
        <f>(AK162-AK161)*IF($AH162&lt;=10,'[1]功能-付费相关'!U173,'[1]功能-付费相关'!U163)</f>
        <v>4810312.1788734877</v>
      </c>
      <c r="AQ162" s="47">
        <f>(AL162-AL161)*IF($AH162&lt;=10,'[1]功能-付费相关'!V173,'[1]功能-付费相关'!V163)</f>
        <v>-3729913.2069199202</v>
      </c>
      <c r="AR162" s="47">
        <f>(AM162-AM161)*IF($AH162&lt;=10,'[1]功能-付费相关'!W173,'[1]功能-付费相关'!W163)</f>
        <v>-4972834.5940404413</v>
      </c>
      <c r="AS162" s="48">
        <f>SUM(AN$5:AN162)/'[1]资源-钻石'!L161</f>
        <v>0.34514386663085234</v>
      </c>
      <c r="AT162" s="48">
        <f>SUM(AO$5:AO162)/'[1]资源-钻石'!M161</f>
        <v>0.2522704781365907</v>
      </c>
      <c r="AU162" s="48">
        <f>SUM(AP$5:AP162)/'[1]资源-钻石'!N161</f>
        <v>8.4269734338965174E-2</v>
      </c>
      <c r="AV162" s="48">
        <f>SUM(AQ$5:AQ162)/'[1]资源-钻石'!O161</f>
        <v>-3.6274240933259101E-2</v>
      </c>
      <c r="AW162" s="48">
        <f>SUM(AR$5:AR162)/'[1]资源-钻石'!P161</f>
        <v>-1.5482204970146213E-2</v>
      </c>
      <c r="AX162" s="35">
        <f>('[1]资源-木石铜粮'!C163+U162)/'[1]资源-木石铜粮'!U163</f>
        <v>0.59434182810634628</v>
      </c>
      <c r="AY162" s="35">
        <f>('[1]资源-木石铜粮'!D163+V162)/'[1]资源-木石铜粮'!V163</f>
        <v>0.63517317321409705</v>
      </c>
      <c r="AZ162" s="35">
        <f>('[1]资源-木石铜粮'!E163+W162)/'[1]资源-木石铜粮'!W163</f>
        <v>0.80963473395054053</v>
      </c>
      <c r="BA162" s="35">
        <f>('[1]资源-木石铜粮'!F163+X162)/'[1]资源-木石铜粮'!X163</f>
        <v>1.2203554424331233</v>
      </c>
      <c r="BB162" s="35">
        <f>('[1]资源-木石铜粮'!G163+Y162)/'[1]资源-木石铜粮'!Y163</f>
        <v>1.2424711156674</v>
      </c>
      <c r="BE162" s="39">
        <f t="shared" si="37"/>
        <v>9.8688506447292646E-6</v>
      </c>
      <c r="BF162" s="39">
        <f t="shared" si="38"/>
        <v>2.4757029017038806E-5</v>
      </c>
      <c r="BG162" s="39">
        <f t="shared" si="39"/>
        <v>2.9798674641449285E-5</v>
      </c>
      <c r="BH162" s="39">
        <f t="shared" si="40"/>
        <v>3.0995091736613982E-5</v>
      </c>
      <c r="BI162" s="39">
        <f t="shared" si="41"/>
        <v>3.0265141250219514E-5</v>
      </c>
      <c r="BK162" s="39">
        <f>BE162/求节点(节奏总纲!AM$4:AM$83,$G$5:$G$84,节奏总纲!P161)</f>
        <v>0.30756863602608547</v>
      </c>
      <c r="BL162" s="39">
        <f>BF162/求节点(节奏总纲!AN$4:AN$83,$G$5:$G$84,节奏总纲!Q161)</f>
        <v>0.77156762433075976</v>
      </c>
      <c r="BM162" s="39">
        <f>BG162/求节点(节奏总纲!AO$4:AO$83,$G$5:$G$84,节奏总纲!R161)</f>
        <v>0.92869352721945952</v>
      </c>
      <c r="BN162" s="39">
        <f>BH162/求节点(节奏总纲!AP$4:AP$83,$G$5:$G$84,节奏总纲!S161)</f>
        <v>0.96598058194600234</v>
      </c>
      <c r="BO162" s="39">
        <f>BI162/求节点(节奏总纲!AQ$4:AQ$83,$G$5:$G$84,节奏总纲!T161)</f>
        <v>0.94323123822310084</v>
      </c>
    </row>
    <row r="163" spans="9:67" x14ac:dyDescent="0.15">
      <c r="I163" s="54"/>
      <c r="J163" s="51">
        <v>159</v>
      </c>
      <c r="K163" s="55">
        <v>60</v>
      </c>
      <c r="L163" s="55">
        <f t="shared" si="36"/>
        <v>90</v>
      </c>
      <c r="M163" s="55"/>
      <c r="T163" s="35">
        <v>159</v>
      </c>
      <c r="U163" s="50">
        <f>INDEX($Q$5:$Q$21,MATCH(节奏总纲!BQ162,$N$5:$N$21,1))*(U$2+$K$2)*节奏总纲!W162*4*$C$5+U162</f>
        <v>2499894118968.0356</v>
      </c>
      <c r="V163" s="50">
        <f>INDEX($Q$5:$Q$21,MATCH(节奏总纲!BR162,$N$5:$N$21,1))*(V$2+$K$2)*节奏总纲!X162*4*$C$5+V162</f>
        <v>8952319171564.2969</v>
      </c>
      <c r="W163" s="50">
        <f>INDEX($Q$5:$Q$21,MATCH(节奏总纲!BS162,$N$5:$N$21,1))*(W$2+$K$2)*节奏总纲!Y162*4*$C$5+W162</f>
        <v>22493823719641.375</v>
      </c>
      <c r="X163" s="50">
        <f>INDEX($Q$5:$Q$21,MATCH(节奏总纲!BT162,$N$5:$N$21,1))*(X$2+$K$2)*节奏总纲!Z162*4*$C$5+X162</f>
        <v>45574705365177.063</v>
      </c>
      <c r="Y163" s="50">
        <f>INDEX($Q$5:$Q$21,MATCH(节奏总纲!BU162,$N$5:$N$21,1))*(Y$2+$K$2)*节奏总纲!AA162*4*$C$5+Y162</f>
        <v>46597009956011.141</v>
      </c>
      <c r="Z163" s="51">
        <f>SUMIFS($K$5:$K$1004,$J$5:$J$1004,"&lt;="&amp;U$2)*节奏总纲!W162*4+Z162</f>
        <v>24458500.053342499</v>
      </c>
      <c r="AA163" s="51">
        <f>SUMIFS($K$5:$K$1004,$J$5:$J$1004,"&lt;="&amp;V$2)*节奏总纲!X162*4+AA162</f>
        <v>220126500.48008248</v>
      </c>
      <c r="AB163" s="51">
        <f>SUMIFS($K$5:$K$1004,$J$5:$J$1004,"&lt;="&amp;W$2)*节奏总纲!Y162*4+AB162</f>
        <v>666983296.45464981</v>
      </c>
      <c r="AC163" s="51">
        <f>SUMIFS($K$5:$K$1004,$J$5:$J$1004,"&lt;="&amp;X$2)*节奏总纲!Z162*4+AC162</f>
        <v>1408075848.0709271</v>
      </c>
      <c r="AD163" s="51">
        <f>SUMIFS($K$5:$K$1004,$J$5:$J$1004,"&lt;="&amp;Y$2)*节奏总纲!AA162*4+AD162</f>
        <v>1408075848.0709274</v>
      </c>
      <c r="AH163" s="35">
        <v>159</v>
      </c>
      <c r="AI163" s="47">
        <f>'[1]资源-木石铜粮'!AE164-U163</f>
        <v>8719134521926.8516</v>
      </c>
      <c r="AJ163" s="47">
        <f>'[1]资源-木石铜粮'!AF164-V163</f>
        <v>10892936529456.078</v>
      </c>
      <c r="AK163" s="47">
        <f>'[1]资源-木石铜粮'!AG164-W163</f>
        <v>7726331602090.6016</v>
      </c>
      <c r="AL163" s="47">
        <f>'[1]资源-木石铜粮'!AH164-X163</f>
        <v>-9848106736884.6719</v>
      </c>
      <c r="AM163" s="47">
        <f>'[1]资源-木石铜粮'!AI164-Y163</f>
        <v>-11236320985899.844</v>
      </c>
      <c r="AN163" s="47">
        <f>(AI163-AI162)*IF($AH163&lt;=10,'[1]功能-付费相关'!S174,'[1]功能-付费相关'!S164)</f>
        <v>6406196.7155481772</v>
      </c>
      <c r="AO163" s="47">
        <f>(AJ163-AJ162)*IF($AH163&lt;=10,'[1]功能-付费相关'!T174,'[1]功能-付费相关'!T164)</f>
        <v>7242341.4582872</v>
      </c>
      <c r="AP163" s="47">
        <f>(AK163-AK162)*IF($AH163&lt;=10,'[1]功能-付费相关'!U174,'[1]功能-付费相关'!U164)</f>
        <v>5154027.7775921263</v>
      </c>
      <c r="AQ163" s="47">
        <f>(AL163-AL162)*IF($AH163&lt;=10,'[1]功能-付费相关'!V174,'[1]功能-付费相关'!V164)</f>
        <v>-3999178.3718137024</v>
      </c>
      <c r="AR163" s="47">
        <f>(AM163-AM162)*IF($AH163&lt;=10,'[1]功能-付费相关'!W174,'[1]功能-付费相关'!W164)</f>
        <v>-5331363.2435624637</v>
      </c>
      <c r="AS163" s="48">
        <f>SUM(AN$5:AN163)/'[1]资源-钻石'!L162</f>
        <v>0.36109524193775444</v>
      </c>
      <c r="AT163" s="48">
        <f>SUM(AO$5:AO163)/'[1]资源-钻石'!M162</f>
        <v>0.26100125720952311</v>
      </c>
      <c r="AU163" s="48">
        <f>SUM(AP$5:AP163)/'[1]资源-钻石'!N162</f>
        <v>8.737629990550784E-2</v>
      </c>
      <c r="AV163" s="48">
        <f>SUM(AQ$5:AQ163)/'[1]资源-钻石'!O162</f>
        <v>-3.5972230085511328E-2</v>
      </c>
      <c r="AW163" s="48">
        <f>SUM(AR$5:AR163)/'[1]资源-钻石'!P162</f>
        <v>-1.5561103018154072E-2</v>
      </c>
      <c r="AX163" s="35">
        <f>('[1]资源-木石铜粮'!C164+U163)/'[1]资源-木石铜粮'!U164</f>
        <v>0.58124315145501404</v>
      </c>
      <c r="AY163" s="35">
        <f>('[1]资源-木石铜粮'!D164+V163)/'[1]资源-木石铜粮'!V164</f>
        <v>0.62682498966915134</v>
      </c>
      <c r="AZ163" s="35">
        <f>('[1]资源-木石铜粮'!E164+W163)/'[1]资源-木石铜粮'!W164</f>
        <v>0.80446441378725875</v>
      </c>
      <c r="BA163" s="35">
        <f>('[1]资源-木石铜粮'!F164+X163)/'[1]资源-木石铜粮'!X164</f>
        <v>1.2180936585471471</v>
      </c>
      <c r="BB163" s="35">
        <f>('[1]资源-木石铜粮'!G164+Y163)/'[1]资源-木石铜粮'!Y164</f>
        <v>1.243879608767632</v>
      </c>
      <c r="BE163" s="39">
        <f t="shared" si="37"/>
        <v>9.7838143894826417E-6</v>
      </c>
      <c r="BF163" s="39">
        <f t="shared" si="38"/>
        <v>2.4588768146167241E-5</v>
      </c>
      <c r="BG163" s="39">
        <f t="shared" si="39"/>
        <v>2.965184153516091E-5</v>
      </c>
      <c r="BH163" s="39">
        <f t="shared" si="40"/>
        <v>3.089599453882189E-5</v>
      </c>
      <c r="BI163" s="39">
        <f t="shared" si="41"/>
        <v>3.0218158834658914E-5</v>
      </c>
      <c r="BK163" s="39">
        <f>BE163/求节点(节奏总纲!AM$4:AM$83,$G$5:$G$84,节奏总纲!P162)</f>
        <v>0.30491843024422594</v>
      </c>
      <c r="BL163" s="39">
        <f>BF163/求节点(节奏总纲!AN$4:AN$83,$G$5:$G$84,节奏总纲!Q162)</f>
        <v>0.76632367359996534</v>
      </c>
      <c r="BM163" s="39">
        <f>BG163/求节点(节奏总纲!AO$4:AO$83,$G$5:$G$84,节奏总纲!R162)</f>
        <v>0.9241173855946283</v>
      </c>
      <c r="BN163" s="39">
        <f>BH163/求节点(节奏总纲!AP$4:AP$83,$G$5:$G$84,节奏总纲!S162)</f>
        <v>0.96289215847541321</v>
      </c>
      <c r="BO163" s="39">
        <f>BI163/求节点(节奏总纲!AQ$4:AQ$83,$G$5:$G$84,节奏总纲!T162)</f>
        <v>0.94176700312710193</v>
      </c>
    </row>
    <row r="164" spans="9:67" x14ac:dyDescent="0.15">
      <c r="I164" s="54"/>
      <c r="J164" s="51">
        <v>160</v>
      </c>
      <c r="K164" s="55">
        <v>60</v>
      </c>
      <c r="L164" s="55">
        <f t="shared" si="36"/>
        <v>90</v>
      </c>
      <c r="M164" s="55"/>
      <c r="T164" s="35">
        <v>160</v>
      </c>
      <c r="U164" s="50">
        <f>INDEX($Q$5:$Q$21,MATCH(节奏总纲!BQ163,$N$5:$N$21,1))*(U$2+$K$2)*节奏总纲!W163*4*$C$5+U163</f>
        <v>2700863752861.3867</v>
      </c>
      <c r="V164" s="50">
        <f>INDEX($Q$5:$Q$21,MATCH(节奏总纲!BR163,$N$5:$N$21,1))*(V$2+$K$2)*节奏总纲!X163*4*$C$5+V163</f>
        <v>9655712890191.0254</v>
      </c>
      <c r="W164" s="50">
        <f>INDEX($Q$5:$Q$21,MATCH(节奏总纲!BS163,$N$5:$N$21,1))*(W$2+$K$2)*节奏总纲!Y163*4*$C$5+W163</f>
        <v>24219148026615.797</v>
      </c>
      <c r="X164" s="50">
        <f>INDEX($Q$5:$Q$21,MATCH(节奏总纲!BT163,$N$5:$N$21,1))*(X$2+$K$2)*节奏总纲!Z163*4*$C$5+X163</f>
        <v>48991524090753.859</v>
      </c>
      <c r="Y164" s="50">
        <f>INDEX($Q$5:$Q$21,MATCH(节奏总纲!BU163,$N$5:$N$21,1))*(Y$2+$K$2)*节奏总纲!AA163*4*$C$5+Y163</f>
        <v>50013828681587.938</v>
      </c>
      <c r="Z164" s="51">
        <f>SUMIFS($K$5:$K$1004,$J$5:$J$1004,"&lt;="&amp;U$2)*节奏总纲!W163*4+Z163</f>
        <v>26214000.000000004</v>
      </c>
      <c r="AA164" s="51">
        <f>SUMIFS($K$5:$K$1004,$J$5:$J$1004,"&lt;="&amp;V$2)*节奏总纲!X163*4+AA163</f>
        <v>235926000.00000003</v>
      </c>
      <c r="AB164" s="51">
        <f>SUMIFS($K$5:$K$1004,$J$5:$J$1004,"&lt;="&amp;W$2)*节奏总纲!Y163*4+AB163</f>
        <v>714855780</v>
      </c>
      <c r="AC164" s="51">
        <f>SUMIFS($K$5:$K$1004,$J$5:$J$1004,"&lt;="&amp;X$2)*节奏总纲!Z163*4+AC163</f>
        <v>1509139979.9999998</v>
      </c>
      <c r="AD164" s="51">
        <f>SUMIFS($K$5:$K$1004,$J$5:$J$1004,"&lt;="&amp;Y$2)*节奏总纲!AA163*4+AD163</f>
        <v>1509139980</v>
      </c>
      <c r="AH164" s="35">
        <v>160</v>
      </c>
      <c r="AI164" s="47">
        <f>'[1]资源-木石铜粮'!AE165-U164</f>
        <v>9712250382777.0996</v>
      </c>
      <c r="AJ164" s="47">
        <f>'[1]资源-木石铜粮'!AF165-V164</f>
        <v>12021199156097.225</v>
      </c>
      <c r="AK164" s="47">
        <f>'[1]资源-木石铜粮'!AG165-W164</f>
        <v>8537013880195.6953</v>
      </c>
      <c r="AL164" s="47">
        <f>'[1]资源-木石铜粮'!AH165-X164</f>
        <v>-10486688850825.344</v>
      </c>
      <c r="AM164" s="47">
        <f>'[1]资源-木石铜粮'!AI165-Y164</f>
        <v>-12103754703136.859</v>
      </c>
      <c r="AN164" s="47">
        <f>(AI164-AI163)*IF($AH164&lt;=10,'[1]功能-付费相关'!S175,'[1]功能-付费相关'!S165)</f>
        <v>6864460.7627457958</v>
      </c>
      <c r="AO164" s="47">
        <f>(AJ164-AJ163)*IF($AH164&lt;=10,'[1]功能-付费相关'!T175,'[1]功能-付费相关'!T165)</f>
        <v>7760582.7793074977</v>
      </c>
      <c r="AP164" s="47">
        <f>(AK164-AK163)*IF($AH164&lt;=10,'[1]功能-付费相关'!U175,'[1]功能-付费相关'!U165)</f>
        <v>5522311.8202678366</v>
      </c>
      <c r="AQ164" s="47">
        <f>(AL164-AL163)*IF($AH164&lt;=10,'[1]功能-付费相关'!V175,'[1]功能-付费相关'!V165)</f>
        <v>-4287872.3804580877</v>
      </c>
      <c r="AR164" s="47">
        <f>(AM164-AM163)*IF($AH164&lt;=10,'[1]功能-付费相关'!W175,'[1]功能-付费相关'!W165)</f>
        <v>-5715731.6019241624</v>
      </c>
      <c r="AS164" s="48">
        <f>SUM(AN$5:AN164)/'[1]资源-钻石'!L163</f>
        <v>0.37605009413073887</v>
      </c>
      <c r="AT164" s="48">
        <f>SUM(AO$5:AO164)/'[1]资源-钻石'!M163</f>
        <v>0.26917045616153012</v>
      </c>
      <c r="AU164" s="48">
        <f>SUM(AP$5:AP164)/'[1]资源-钻石'!N163</f>
        <v>9.0277586404208923E-2</v>
      </c>
      <c r="AV164" s="48">
        <f>SUM(AQ$5:AQ164)/'[1]资源-钻石'!O163</f>
        <v>-3.5691083935360773E-2</v>
      </c>
      <c r="AW164" s="48">
        <f>SUM(AR$5:AR164)/'[1]资源-钻石'!P163</f>
        <v>-1.5635072758105738E-2</v>
      </c>
      <c r="AX164" s="35">
        <f>('[1]资源-木石铜粮'!C165+U164)/'[1]资源-木石铜粮'!U165</f>
        <v>0.56930140571571652</v>
      </c>
      <c r="AY164" s="35">
        <f>('[1]资源-木石铜粮'!D165+V164)/'[1]资源-木石铜粮'!V165</f>
        <v>0.61919212741526319</v>
      </c>
      <c r="AZ164" s="35">
        <f>('[1]资源-木石铜粮'!E165+W164)/'[1]资源-木石铜粮'!W165</f>
        <v>0.79971197556396567</v>
      </c>
      <c r="BA164" s="35">
        <f>('[1]资源-木石铜粮'!F165+X164)/'[1]资源-木石铜粮'!X165</f>
        <v>1.2160004226378149</v>
      </c>
      <c r="BB164" s="35">
        <f>('[1]资源-木石铜粮'!G165+Y164)/'[1]资源-木石铜粮'!Y165</f>
        <v>1.2451980579205826</v>
      </c>
      <c r="BE164" s="39">
        <f t="shared" si="37"/>
        <v>9.7057839264302036E-6</v>
      </c>
      <c r="BF164" s="39">
        <f t="shared" si="38"/>
        <v>2.4433825102615759E-5</v>
      </c>
      <c r="BG164" s="39">
        <f t="shared" si="39"/>
        <v>2.9516140667475355E-5</v>
      </c>
      <c r="BH164" s="39">
        <f t="shared" si="40"/>
        <v>3.0804103526242793E-5</v>
      </c>
      <c r="BI164" s="39">
        <f t="shared" si="41"/>
        <v>3.017445414163171E-5</v>
      </c>
      <c r="BK164" s="39">
        <f>BE164/求节点(节奏总纲!AM$4:AM$83,$G$5:$G$84,节奏总纲!P163)</f>
        <v>0.3024865641684798</v>
      </c>
      <c r="BL164" s="39">
        <f>BF164/求节点(节奏总纲!AN$4:AN$83,$G$5:$G$84,节奏总纲!Q163)</f>
        <v>0.76149478092720901</v>
      </c>
      <c r="BM164" s="39">
        <f>BG164/求节点(节奏总纲!AO$4:AO$83,$G$5:$G$84,节奏总纲!R163)</f>
        <v>0.91988818684756923</v>
      </c>
      <c r="BN164" s="39">
        <f>BH164/求节点(节奏总纲!AP$4:AP$83,$G$5:$G$84,节奏总纲!S163)</f>
        <v>0.96002832007928718</v>
      </c>
      <c r="BO164" s="39">
        <f>BI164/求节点(节奏总纲!AQ$4:AQ$83,$G$5:$G$84,节奏总纲!T163)</f>
        <v>0.94040492021529953</v>
      </c>
    </row>
    <row r="165" spans="9:67" x14ac:dyDescent="0.15">
      <c r="I165" s="54"/>
      <c r="J165" s="51">
        <v>161</v>
      </c>
      <c r="K165" s="55">
        <v>60</v>
      </c>
      <c r="L165" s="55">
        <f t="shared" si="36"/>
        <v>90</v>
      </c>
      <c r="M165" s="55"/>
    </row>
    <row r="166" spans="9:67" x14ac:dyDescent="0.15">
      <c r="I166" s="54"/>
      <c r="J166" s="51">
        <v>162</v>
      </c>
      <c r="K166" s="55">
        <v>60</v>
      </c>
      <c r="L166" s="55">
        <f t="shared" si="36"/>
        <v>90</v>
      </c>
      <c r="M166" s="55"/>
    </row>
    <row r="167" spans="9:67" x14ac:dyDescent="0.15">
      <c r="I167" s="54"/>
      <c r="J167" s="51">
        <v>163</v>
      </c>
      <c r="K167" s="55">
        <v>60</v>
      </c>
      <c r="L167" s="55">
        <f t="shared" si="36"/>
        <v>90</v>
      </c>
      <c r="M167" s="55"/>
    </row>
    <row r="168" spans="9:67" x14ac:dyDescent="0.15">
      <c r="I168" s="54"/>
      <c r="J168" s="51">
        <v>164</v>
      </c>
      <c r="K168" s="55">
        <v>60</v>
      </c>
      <c r="L168" s="55">
        <f t="shared" si="36"/>
        <v>90</v>
      </c>
      <c r="M168" s="55"/>
    </row>
    <row r="169" spans="9:67" x14ac:dyDescent="0.15">
      <c r="I169" s="54"/>
      <c r="J169" s="51">
        <v>165</v>
      </c>
      <c r="K169" s="55">
        <v>60</v>
      </c>
      <c r="L169" s="55">
        <f t="shared" si="36"/>
        <v>90</v>
      </c>
      <c r="M169" s="55"/>
    </row>
    <row r="170" spans="9:67" x14ac:dyDescent="0.15">
      <c r="I170" s="54"/>
      <c r="J170" s="51">
        <v>166</v>
      </c>
      <c r="K170" s="55">
        <v>60</v>
      </c>
      <c r="L170" s="55">
        <f t="shared" si="36"/>
        <v>90</v>
      </c>
      <c r="M170" s="55"/>
    </row>
    <row r="171" spans="9:67" x14ac:dyDescent="0.15">
      <c r="I171" s="54"/>
      <c r="J171" s="51">
        <v>167</v>
      </c>
      <c r="K171" s="55">
        <v>60</v>
      </c>
      <c r="L171" s="55">
        <f t="shared" si="36"/>
        <v>90</v>
      </c>
      <c r="M171" s="55"/>
    </row>
    <row r="172" spans="9:67" x14ac:dyDescent="0.15">
      <c r="I172" s="54"/>
      <c r="J172" s="51">
        <v>168</v>
      </c>
      <c r="K172" s="55">
        <v>60</v>
      </c>
      <c r="L172" s="55">
        <f t="shared" si="36"/>
        <v>90</v>
      </c>
      <c r="M172" s="55"/>
    </row>
    <row r="173" spans="9:67" x14ac:dyDescent="0.15">
      <c r="I173" s="54"/>
      <c r="J173" s="51">
        <v>169</v>
      </c>
      <c r="K173" s="55">
        <v>60</v>
      </c>
      <c r="L173" s="55">
        <f t="shared" si="36"/>
        <v>90</v>
      </c>
      <c r="M173" s="55"/>
    </row>
    <row r="174" spans="9:67" x14ac:dyDescent="0.15">
      <c r="I174" s="54"/>
      <c r="J174" s="51">
        <v>170</v>
      </c>
      <c r="K174" s="55">
        <v>60</v>
      </c>
      <c r="L174" s="55">
        <f t="shared" si="36"/>
        <v>90</v>
      </c>
      <c r="M174" s="55"/>
    </row>
    <row r="175" spans="9:67" x14ac:dyDescent="0.15">
      <c r="I175" s="54"/>
      <c r="J175" s="51">
        <v>171</v>
      </c>
      <c r="K175" s="55">
        <v>60</v>
      </c>
      <c r="L175" s="55">
        <f t="shared" si="36"/>
        <v>90</v>
      </c>
      <c r="M175" s="55"/>
    </row>
    <row r="176" spans="9:67" x14ac:dyDescent="0.15">
      <c r="I176" s="54"/>
      <c r="J176" s="51">
        <v>172</v>
      </c>
      <c r="K176" s="55">
        <v>60</v>
      </c>
      <c r="L176" s="55">
        <f t="shared" si="36"/>
        <v>90</v>
      </c>
      <c r="M176" s="55"/>
    </row>
    <row r="177" spans="9:13" x14ac:dyDescent="0.15">
      <c r="I177" s="54"/>
      <c r="J177" s="51">
        <v>173</v>
      </c>
      <c r="K177" s="55">
        <v>60</v>
      </c>
      <c r="L177" s="55">
        <f t="shared" si="36"/>
        <v>90</v>
      </c>
      <c r="M177" s="55"/>
    </row>
    <row r="178" spans="9:13" x14ac:dyDescent="0.15">
      <c r="I178" s="54"/>
      <c r="J178" s="51">
        <v>174</v>
      </c>
      <c r="K178" s="55">
        <v>60</v>
      </c>
      <c r="L178" s="55">
        <f t="shared" si="36"/>
        <v>90</v>
      </c>
      <c r="M178" s="55"/>
    </row>
    <row r="179" spans="9:13" x14ac:dyDescent="0.15">
      <c r="I179" s="54"/>
      <c r="J179" s="51">
        <v>175</v>
      </c>
      <c r="K179" s="55">
        <v>60</v>
      </c>
      <c r="L179" s="55">
        <f t="shared" si="36"/>
        <v>90</v>
      </c>
      <c r="M179" s="55"/>
    </row>
    <row r="180" spans="9:13" x14ac:dyDescent="0.15">
      <c r="I180" s="54"/>
      <c r="J180" s="51">
        <v>176</v>
      </c>
      <c r="K180" s="55">
        <v>60</v>
      </c>
      <c r="L180" s="55">
        <f t="shared" si="36"/>
        <v>90</v>
      </c>
      <c r="M180" s="55"/>
    </row>
    <row r="181" spans="9:13" x14ac:dyDescent="0.15">
      <c r="I181" s="54"/>
      <c r="J181" s="51">
        <v>177</v>
      </c>
      <c r="K181" s="55">
        <v>60</v>
      </c>
      <c r="L181" s="55">
        <f t="shared" si="36"/>
        <v>90</v>
      </c>
      <c r="M181" s="55"/>
    </row>
    <row r="182" spans="9:13" x14ac:dyDescent="0.15">
      <c r="I182" s="54"/>
      <c r="J182" s="51">
        <v>178</v>
      </c>
      <c r="K182" s="55">
        <v>60</v>
      </c>
      <c r="L182" s="55">
        <f t="shared" si="36"/>
        <v>90</v>
      </c>
      <c r="M182" s="55"/>
    </row>
    <row r="183" spans="9:13" x14ac:dyDescent="0.15">
      <c r="I183" s="54"/>
      <c r="J183" s="51">
        <v>179</v>
      </c>
      <c r="K183" s="55">
        <v>60</v>
      </c>
      <c r="L183" s="55">
        <f t="shared" si="36"/>
        <v>90</v>
      </c>
      <c r="M183" s="55"/>
    </row>
    <row r="184" spans="9:13" x14ac:dyDescent="0.15">
      <c r="I184" s="54"/>
      <c r="J184" s="51">
        <v>180</v>
      </c>
      <c r="K184" s="55">
        <v>60</v>
      </c>
      <c r="L184" s="55">
        <f t="shared" si="36"/>
        <v>90</v>
      </c>
      <c r="M184" s="55"/>
    </row>
    <row r="185" spans="9:13" x14ac:dyDescent="0.15">
      <c r="I185" s="54"/>
      <c r="J185" s="51">
        <v>181</v>
      </c>
      <c r="K185" s="55">
        <v>60</v>
      </c>
      <c r="L185" s="55">
        <f t="shared" si="36"/>
        <v>90</v>
      </c>
      <c r="M185" s="55"/>
    </row>
    <row r="186" spans="9:13" x14ac:dyDescent="0.15">
      <c r="I186" s="54"/>
      <c r="J186" s="51">
        <v>182</v>
      </c>
      <c r="K186" s="55">
        <v>60</v>
      </c>
      <c r="L186" s="55">
        <f t="shared" si="36"/>
        <v>90</v>
      </c>
      <c r="M186" s="55"/>
    </row>
    <row r="187" spans="9:13" x14ac:dyDescent="0.15">
      <c r="I187" s="54"/>
      <c r="J187" s="51">
        <v>183</v>
      </c>
      <c r="K187" s="55">
        <v>60</v>
      </c>
      <c r="L187" s="55">
        <f t="shared" si="36"/>
        <v>90</v>
      </c>
      <c r="M187" s="55"/>
    </row>
    <row r="188" spans="9:13" x14ac:dyDescent="0.15">
      <c r="I188" s="54"/>
      <c r="J188" s="51">
        <v>184</v>
      </c>
      <c r="K188" s="55">
        <v>60</v>
      </c>
      <c r="L188" s="55">
        <f t="shared" si="36"/>
        <v>90</v>
      </c>
      <c r="M188" s="55"/>
    </row>
    <row r="189" spans="9:13" x14ac:dyDescent="0.15">
      <c r="I189" s="54"/>
      <c r="J189" s="51">
        <v>185</v>
      </c>
      <c r="K189" s="55">
        <v>60</v>
      </c>
      <c r="L189" s="55">
        <f t="shared" si="36"/>
        <v>90</v>
      </c>
      <c r="M189" s="55"/>
    </row>
    <row r="190" spans="9:13" x14ac:dyDescent="0.15">
      <c r="I190" s="54"/>
      <c r="J190" s="51">
        <v>186</v>
      </c>
      <c r="K190" s="55">
        <v>60</v>
      </c>
      <c r="L190" s="55">
        <f t="shared" si="36"/>
        <v>90</v>
      </c>
      <c r="M190" s="55"/>
    </row>
    <row r="191" spans="9:13" x14ac:dyDescent="0.15">
      <c r="I191" s="54"/>
      <c r="J191" s="51">
        <v>187</v>
      </c>
      <c r="K191" s="55">
        <v>60</v>
      </c>
      <c r="L191" s="55">
        <f t="shared" si="36"/>
        <v>90</v>
      </c>
      <c r="M191" s="55"/>
    </row>
    <row r="192" spans="9:13" x14ac:dyDescent="0.15">
      <c r="I192" s="54"/>
      <c r="J192" s="51">
        <v>188</v>
      </c>
      <c r="K192" s="55">
        <v>60</v>
      </c>
      <c r="L192" s="55">
        <f t="shared" si="36"/>
        <v>90</v>
      </c>
      <c r="M192" s="55"/>
    </row>
    <row r="193" spans="9:13" x14ac:dyDescent="0.15">
      <c r="I193" s="54"/>
      <c r="J193" s="51">
        <v>189</v>
      </c>
      <c r="K193" s="55">
        <v>60</v>
      </c>
      <c r="L193" s="55">
        <f t="shared" si="36"/>
        <v>90</v>
      </c>
      <c r="M193" s="55"/>
    </row>
    <row r="194" spans="9:13" x14ac:dyDescent="0.15">
      <c r="I194" s="54"/>
      <c r="J194" s="51">
        <v>190</v>
      </c>
      <c r="K194" s="55">
        <v>60</v>
      </c>
      <c r="L194" s="55">
        <f t="shared" si="36"/>
        <v>90</v>
      </c>
      <c r="M194" s="55"/>
    </row>
    <row r="195" spans="9:13" x14ac:dyDescent="0.15">
      <c r="I195" s="54"/>
      <c r="J195" s="51">
        <v>191</v>
      </c>
      <c r="K195" s="55">
        <v>60</v>
      </c>
      <c r="L195" s="55">
        <f t="shared" si="36"/>
        <v>90</v>
      </c>
      <c r="M195" s="55"/>
    </row>
    <row r="196" spans="9:13" x14ac:dyDescent="0.15">
      <c r="I196" s="54"/>
      <c r="J196" s="51">
        <v>192</v>
      </c>
      <c r="K196" s="55">
        <v>60</v>
      </c>
      <c r="L196" s="55">
        <f t="shared" si="36"/>
        <v>90</v>
      </c>
      <c r="M196" s="55"/>
    </row>
    <row r="197" spans="9:13" x14ac:dyDescent="0.15">
      <c r="I197" s="54"/>
      <c r="J197" s="51">
        <v>193</v>
      </c>
      <c r="K197" s="55">
        <v>60</v>
      </c>
      <c r="L197" s="55">
        <f t="shared" si="36"/>
        <v>90</v>
      </c>
      <c r="M197" s="55"/>
    </row>
    <row r="198" spans="9:13" x14ac:dyDescent="0.15">
      <c r="I198" s="54"/>
      <c r="J198" s="51">
        <v>194</v>
      </c>
      <c r="K198" s="55">
        <v>60</v>
      </c>
      <c r="L198" s="55">
        <f t="shared" ref="L198:L261" si="42">K198*1.5</f>
        <v>90</v>
      </c>
      <c r="M198" s="55"/>
    </row>
    <row r="199" spans="9:13" x14ac:dyDescent="0.15">
      <c r="I199" s="54"/>
      <c r="J199" s="51">
        <v>195</v>
      </c>
      <c r="K199" s="55">
        <v>60</v>
      </c>
      <c r="L199" s="55">
        <f t="shared" si="42"/>
        <v>90</v>
      </c>
      <c r="M199" s="55"/>
    </row>
    <row r="200" spans="9:13" x14ac:dyDescent="0.15">
      <c r="I200" s="54"/>
      <c r="J200" s="51">
        <v>196</v>
      </c>
      <c r="K200" s="55">
        <v>60</v>
      </c>
      <c r="L200" s="55">
        <f t="shared" si="42"/>
        <v>90</v>
      </c>
      <c r="M200" s="55"/>
    </row>
    <row r="201" spans="9:13" x14ac:dyDescent="0.15">
      <c r="I201" s="54"/>
      <c r="J201" s="51">
        <v>197</v>
      </c>
      <c r="K201" s="55">
        <v>60</v>
      </c>
      <c r="L201" s="55">
        <f t="shared" si="42"/>
        <v>90</v>
      </c>
      <c r="M201" s="55"/>
    </row>
    <row r="202" spans="9:13" x14ac:dyDescent="0.15">
      <c r="I202" s="54"/>
      <c r="J202" s="51">
        <v>198</v>
      </c>
      <c r="K202" s="55">
        <v>60</v>
      </c>
      <c r="L202" s="55">
        <f t="shared" si="42"/>
        <v>90</v>
      </c>
      <c r="M202" s="55"/>
    </row>
    <row r="203" spans="9:13" x14ac:dyDescent="0.15">
      <c r="I203" s="54"/>
      <c r="J203" s="51">
        <v>199</v>
      </c>
      <c r="K203" s="55">
        <v>60</v>
      </c>
      <c r="L203" s="55">
        <f t="shared" si="42"/>
        <v>90</v>
      </c>
      <c r="M203" s="55"/>
    </row>
    <row r="204" spans="9:13" x14ac:dyDescent="0.15">
      <c r="I204" s="54"/>
      <c r="J204" s="51">
        <v>200</v>
      </c>
      <c r="K204" s="55">
        <v>60</v>
      </c>
      <c r="L204" s="55">
        <f t="shared" si="42"/>
        <v>90</v>
      </c>
      <c r="M204" s="55"/>
    </row>
    <row r="205" spans="9:13" x14ac:dyDescent="0.15">
      <c r="I205" s="54"/>
      <c r="J205" s="51">
        <v>201</v>
      </c>
      <c r="K205" s="55">
        <v>60</v>
      </c>
      <c r="L205" s="55">
        <f t="shared" si="42"/>
        <v>90</v>
      </c>
      <c r="M205" s="55"/>
    </row>
    <row r="206" spans="9:13" x14ac:dyDescent="0.15">
      <c r="I206" s="54"/>
      <c r="J206" s="51">
        <v>202</v>
      </c>
      <c r="K206" s="55">
        <v>60</v>
      </c>
      <c r="L206" s="55">
        <f t="shared" si="42"/>
        <v>90</v>
      </c>
      <c r="M206" s="55"/>
    </row>
    <row r="207" spans="9:13" x14ac:dyDescent="0.15">
      <c r="I207" s="54"/>
      <c r="J207" s="51">
        <v>203</v>
      </c>
      <c r="K207" s="55">
        <v>60</v>
      </c>
      <c r="L207" s="55">
        <f t="shared" si="42"/>
        <v>90</v>
      </c>
      <c r="M207" s="55"/>
    </row>
    <row r="208" spans="9:13" x14ac:dyDescent="0.15">
      <c r="I208" s="54"/>
      <c r="J208" s="51">
        <v>204</v>
      </c>
      <c r="K208" s="55">
        <v>60</v>
      </c>
      <c r="L208" s="55">
        <f t="shared" si="42"/>
        <v>90</v>
      </c>
      <c r="M208" s="55"/>
    </row>
    <row r="209" spans="9:13" x14ac:dyDescent="0.15">
      <c r="I209" s="54"/>
      <c r="J209" s="51">
        <v>205</v>
      </c>
      <c r="K209" s="55">
        <v>60</v>
      </c>
      <c r="L209" s="55">
        <f t="shared" si="42"/>
        <v>90</v>
      </c>
      <c r="M209" s="55"/>
    </row>
    <row r="210" spans="9:13" x14ac:dyDescent="0.15">
      <c r="I210" s="54"/>
      <c r="J210" s="51">
        <v>206</v>
      </c>
      <c r="K210" s="55">
        <v>60</v>
      </c>
      <c r="L210" s="55">
        <f t="shared" si="42"/>
        <v>90</v>
      </c>
      <c r="M210" s="55"/>
    </row>
    <row r="211" spans="9:13" x14ac:dyDescent="0.15">
      <c r="I211" s="54"/>
      <c r="J211" s="51">
        <v>207</v>
      </c>
      <c r="K211" s="55">
        <v>60</v>
      </c>
      <c r="L211" s="55">
        <f t="shared" si="42"/>
        <v>90</v>
      </c>
      <c r="M211" s="55"/>
    </row>
    <row r="212" spans="9:13" x14ac:dyDescent="0.15">
      <c r="I212" s="54"/>
      <c r="J212" s="51">
        <v>208</v>
      </c>
      <c r="K212" s="55">
        <v>60</v>
      </c>
      <c r="L212" s="55">
        <f t="shared" si="42"/>
        <v>90</v>
      </c>
      <c r="M212" s="55"/>
    </row>
    <row r="213" spans="9:13" x14ac:dyDescent="0.15">
      <c r="I213" s="54"/>
      <c r="J213" s="51">
        <v>209</v>
      </c>
      <c r="K213" s="55">
        <v>60</v>
      </c>
      <c r="L213" s="55">
        <f t="shared" si="42"/>
        <v>90</v>
      </c>
      <c r="M213" s="55"/>
    </row>
    <row r="214" spans="9:13" x14ac:dyDescent="0.15">
      <c r="I214" s="54"/>
      <c r="J214" s="51">
        <v>210</v>
      </c>
      <c r="K214" s="55">
        <v>60</v>
      </c>
      <c r="L214" s="55">
        <f t="shared" si="42"/>
        <v>90</v>
      </c>
      <c r="M214" s="55"/>
    </row>
    <row r="215" spans="9:13" x14ac:dyDescent="0.15">
      <c r="I215" s="54"/>
      <c r="J215" s="51">
        <v>211</v>
      </c>
      <c r="K215" s="55">
        <v>60</v>
      </c>
      <c r="L215" s="55">
        <f t="shared" si="42"/>
        <v>90</v>
      </c>
      <c r="M215" s="55"/>
    </row>
    <row r="216" spans="9:13" x14ac:dyDescent="0.15">
      <c r="I216" s="54"/>
      <c r="J216" s="51">
        <v>212</v>
      </c>
      <c r="K216" s="55">
        <v>60</v>
      </c>
      <c r="L216" s="55">
        <f t="shared" si="42"/>
        <v>90</v>
      </c>
      <c r="M216" s="55"/>
    </row>
    <row r="217" spans="9:13" x14ac:dyDescent="0.15">
      <c r="I217" s="54"/>
      <c r="J217" s="51">
        <v>213</v>
      </c>
      <c r="K217" s="55">
        <v>60</v>
      </c>
      <c r="L217" s="55">
        <f t="shared" si="42"/>
        <v>90</v>
      </c>
      <c r="M217" s="55"/>
    </row>
    <row r="218" spans="9:13" x14ac:dyDescent="0.15">
      <c r="I218" s="54"/>
      <c r="J218" s="51">
        <v>214</v>
      </c>
      <c r="K218" s="55">
        <v>60</v>
      </c>
      <c r="L218" s="55">
        <f t="shared" si="42"/>
        <v>90</v>
      </c>
      <c r="M218" s="55"/>
    </row>
    <row r="219" spans="9:13" x14ac:dyDescent="0.15">
      <c r="I219" s="54"/>
      <c r="J219" s="51">
        <v>215</v>
      </c>
      <c r="K219" s="55">
        <v>60</v>
      </c>
      <c r="L219" s="55">
        <f t="shared" si="42"/>
        <v>90</v>
      </c>
      <c r="M219" s="55"/>
    </row>
    <row r="220" spans="9:13" x14ac:dyDescent="0.15">
      <c r="I220" s="54"/>
      <c r="J220" s="51">
        <v>216</v>
      </c>
      <c r="K220" s="55">
        <v>60</v>
      </c>
      <c r="L220" s="55">
        <f t="shared" si="42"/>
        <v>90</v>
      </c>
      <c r="M220" s="55"/>
    </row>
    <row r="221" spans="9:13" x14ac:dyDescent="0.15">
      <c r="I221" s="54"/>
      <c r="J221" s="51">
        <v>217</v>
      </c>
      <c r="K221" s="55">
        <v>60</v>
      </c>
      <c r="L221" s="55">
        <f t="shared" si="42"/>
        <v>90</v>
      </c>
      <c r="M221" s="55"/>
    </row>
    <row r="222" spans="9:13" x14ac:dyDescent="0.15">
      <c r="I222" s="54"/>
      <c r="J222" s="51">
        <v>218</v>
      </c>
      <c r="K222" s="55">
        <v>60</v>
      </c>
      <c r="L222" s="55">
        <f t="shared" si="42"/>
        <v>90</v>
      </c>
      <c r="M222" s="55"/>
    </row>
    <row r="223" spans="9:13" x14ac:dyDescent="0.15">
      <c r="I223" s="54"/>
      <c r="J223" s="51">
        <v>219</v>
      </c>
      <c r="K223" s="55">
        <v>60</v>
      </c>
      <c r="L223" s="55">
        <f t="shared" si="42"/>
        <v>90</v>
      </c>
      <c r="M223" s="55"/>
    </row>
    <row r="224" spans="9:13" x14ac:dyDescent="0.15">
      <c r="I224" s="54"/>
      <c r="J224" s="51">
        <v>220</v>
      </c>
      <c r="K224" s="55">
        <v>60</v>
      </c>
      <c r="L224" s="55">
        <f t="shared" si="42"/>
        <v>90</v>
      </c>
      <c r="M224" s="55"/>
    </row>
    <row r="225" spans="9:13" x14ac:dyDescent="0.15">
      <c r="I225" s="54"/>
      <c r="J225" s="51">
        <v>221</v>
      </c>
      <c r="K225" s="55">
        <v>60</v>
      </c>
      <c r="L225" s="55">
        <f t="shared" si="42"/>
        <v>90</v>
      </c>
      <c r="M225" s="55"/>
    </row>
    <row r="226" spans="9:13" x14ac:dyDescent="0.15">
      <c r="I226" s="54"/>
      <c r="J226" s="51">
        <v>222</v>
      </c>
      <c r="K226" s="55">
        <v>60</v>
      </c>
      <c r="L226" s="55">
        <f t="shared" si="42"/>
        <v>90</v>
      </c>
      <c r="M226" s="55"/>
    </row>
    <row r="227" spans="9:13" x14ac:dyDescent="0.15">
      <c r="I227" s="54"/>
      <c r="J227" s="51">
        <v>223</v>
      </c>
      <c r="K227" s="55">
        <v>60</v>
      </c>
      <c r="L227" s="55">
        <f t="shared" si="42"/>
        <v>90</v>
      </c>
      <c r="M227" s="55"/>
    </row>
    <row r="228" spans="9:13" x14ac:dyDescent="0.15">
      <c r="I228" s="54"/>
      <c r="J228" s="51">
        <v>224</v>
      </c>
      <c r="K228" s="55">
        <v>60</v>
      </c>
      <c r="L228" s="55">
        <f t="shared" si="42"/>
        <v>90</v>
      </c>
      <c r="M228" s="55"/>
    </row>
    <row r="229" spans="9:13" x14ac:dyDescent="0.15">
      <c r="I229" s="54"/>
      <c r="J229" s="51">
        <v>225</v>
      </c>
      <c r="K229" s="55">
        <v>60</v>
      </c>
      <c r="L229" s="55">
        <f t="shared" si="42"/>
        <v>90</v>
      </c>
      <c r="M229" s="55"/>
    </row>
    <row r="230" spans="9:13" x14ac:dyDescent="0.15">
      <c r="I230" s="54"/>
      <c r="J230" s="51">
        <v>226</v>
      </c>
      <c r="K230" s="55">
        <v>60</v>
      </c>
      <c r="L230" s="55">
        <f t="shared" si="42"/>
        <v>90</v>
      </c>
      <c r="M230" s="55"/>
    </row>
    <row r="231" spans="9:13" x14ac:dyDescent="0.15">
      <c r="I231" s="54"/>
      <c r="J231" s="51">
        <v>227</v>
      </c>
      <c r="K231" s="55">
        <v>60</v>
      </c>
      <c r="L231" s="55">
        <f t="shared" si="42"/>
        <v>90</v>
      </c>
      <c r="M231" s="55"/>
    </row>
    <row r="232" spans="9:13" x14ac:dyDescent="0.15">
      <c r="I232" s="54"/>
      <c r="J232" s="51">
        <v>228</v>
      </c>
      <c r="K232" s="55">
        <v>60</v>
      </c>
      <c r="L232" s="55">
        <f t="shared" si="42"/>
        <v>90</v>
      </c>
      <c r="M232" s="55"/>
    </row>
    <row r="233" spans="9:13" x14ac:dyDescent="0.15">
      <c r="I233" s="54"/>
      <c r="J233" s="51">
        <v>229</v>
      </c>
      <c r="K233" s="55">
        <v>60</v>
      </c>
      <c r="L233" s="55">
        <f t="shared" si="42"/>
        <v>90</v>
      </c>
      <c r="M233" s="55"/>
    </row>
    <row r="234" spans="9:13" x14ac:dyDescent="0.15">
      <c r="I234" s="54"/>
      <c r="J234" s="51">
        <v>230</v>
      </c>
      <c r="K234" s="55">
        <v>60</v>
      </c>
      <c r="L234" s="55">
        <f t="shared" si="42"/>
        <v>90</v>
      </c>
      <c r="M234" s="55"/>
    </row>
    <row r="235" spans="9:13" x14ac:dyDescent="0.15">
      <c r="I235" s="54"/>
      <c r="J235" s="51">
        <v>231</v>
      </c>
      <c r="K235" s="55">
        <v>60</v>
      </c>
      <c r="L235" s="55">
        <f t="shared" si="42"/>
        <v>90</v>
      </c>
      <c r="M235" s="55"/>
    </row>
    <row r="236" spans="9:13" x14ac:dyDescent="0.15">
      <c r="I236" s="54"/>
      <c r="J236" s="51">
        <v>232</v>
      </c>
      <c r="K236" s="55">
        <v>60</v>
      </c>
      <c r="L236" s="55">
        <f t="shared" si="42"/>
        <v>90</v>
      </c>
      <c r="M236" s="55"/>
    </row>
    <row r="237" spans="9:13" x14ac:dyDescent="0.15">
      <c r="I237" s="54"/>
      <c r="J237" s="51">
        <v>233</v>
      </c>
      <c r="K237" s="55">
        <v>60</v>
      </c>
      <c r="L237" s="55">
        <f t="shared" si="42"/>
        <v>90</v>
      </c>
      <c r="M237" s="55"/>
    </row>
    <row r="238" spans="9:13" x14ac:dyDescent="0.15">
      <c r="I238" s="54"/>
      <c r="J238" s="51">
        <v>234</v>
      </c>
      <c r="K238" s="55">
        <v>60</v>
      </c>
      <c r="L238" s="55">
        <f t="shared" si="42"/>
        <v>90</v>
      </c>
      <c r="M238" s="55"/>
    </row>
    <row r="239" spans="9:13" x14ac:dyDescent="0.15">
      <c r="I239" s="54"/>
      <c r="J239" s="51">
        <v>235</v>
      </c>
      <c r="K239" s="55">
        <v>60</v>
      </c>
      <c r="L239" s="55">
        <f t="shared" si="42"/>
        <v>90</v>
      </c>
      <c r="M239" s="55"/>
    </row>
    <row r="240" spans="9:13" x14ac:dyDescent="0.15">
      <c r="I240" s="54"/>
      <c r="J240" s="51">
        <v>236</v>
      </c>
      <c r="K240" s="55">
        <v>60</v>
      </c>
      <c r="L240" s="55">
        <f t="shared" si="42"/>
        <v>90</v>
      </c>
      <c r="M240" s="55"/>
    </row>
    <row r="241" spans="9:13" x14ac:dyDescent="0.15">
      <c r="I241" s="54"/>
      <c r="J241" s="51">
        <v>237</v>
      </c>
      <c r="K241" s="55">
        <v>60</v>
      </c>
      <c r="L241" s="55">
        <f t="shared" si="42"/>
        <v>90</v>
      </c>
      <c r="M241" s="55"/>
    </row>
    <row r="242" spans="9:13" x14ac:dyDescent="0.15">
      <c r="I242" s="54"/>
      <c r="J242" s="51">
        <v>238</v>
      </c>
      <c r="K242" s="55">
        <v>60</v>
      </c>
      <c r="L242" s="55">
        <f t="shared" si="42"/>
        <v>90</v>
      </c>
      <c r="M242" s="55"/>
    </row>
    <row r="243" spans="9:13" x14ac:dyDescent="0.15">
      <c r="I243" s="54"/>
      <c r="J243" s="51">
        <v>239</v>
      </c>
      <c r="K243" s="55">
        <v>60</v>
      </c>
      <c r="L243" s="55">
        <f t="shared" si="42"/>
        <v>90</v>
      </c>
      <c r="M243" s="55"/>
    </row>
    <row r="244" spans="9:13" x14ac:dyDescent="0.15">
      <c r="I244" s="54"/>
      <c r="J244" s="51">
        <v>240</v>
      </c>
      <c r="K244" s="55">
        <v>60</v>
      </c>
      <c r="L244" s="55">
        <f t="shared" si="42"/>
        <v>90</v>
      </c>
      <c r="M244" s="55"/>
    </row>
    <row r="245" spans="9:13" x14ac:dyDescent="0.15">
      <c r="I245" s="54"/>
      <c r="J245" s="51">
        <v>241</v>
      </c>
      <c r="K245" s="55">
        <v>60</v>
      </c>
      <c r="L245" s="55">
        <f t="shared" si="42"/>
        <v>90</v>
      </c>
      <c r="M245" s="55"/>
    </row>
    <row r="246" spans="9:13" x14ac:dyDescent="0.15">
      <c r="I246" s="54"/>
      <c r="J246" s="51">
        <v>242</v>
      </c>
      <c r="K246" s="55">
        <v>60</v>
      </c>
      <c r="L246" s="55">
        <f t="shared" si="42"/>
        <v>90</v>
      </c>
      <c r="M246" s="55"/>
    </row>
    <row r="247" spans="9:13" x14ac:dyDescent="0.15">
      <c r="I247" s="54"/>
      <c r="J247" s="51">
        <v>243</v>
      </c>
      <c r="K247" s="55">
        <v>60</v>
      </c>
      <c r="L247" s="55">
        <f t="shared" si="42"/>
        <v>90</v>
      </c>
      <c r="M247" s="55"/>
    </row>
    <row r="248" spans="9:13" x14ac:dyDescent="0.15">
      <c r="I248" s="54"/>
      <c r="J248" s="51">
        <v>244</v>
      </c>
      <c r="K248" s="55">
        <v>60</v>
      </c>
      <c r="L248" s="55">
        <f t="shared" si="42"/>
        <v>90</v>
      </c>
      <c r="M248" s="55"/>
    </row>
    <row r="249" spans="9:13" x14ac:dyDescent="0.15">
      <c r="I249" s="54"/>
      <c r="J249" s="51">
        <v>245</v>
      </c>
      <c r="K249" s="55">
        <v>60</v>
      </c>
      <c r="L249" s="55">
        <f t="shared" si="42"/>
        <v>90</v>
      </c>
      <c r="M249" s="55"/>
    </row>
    <row r="250" spans="9:13" x14ac:dyDescent="0.15">
      <c r="I250" s="54"/>
      <c r="J250" s="51">
        <v>246</v>
      </c>
      <c r="K250" s="55">
        <v>60</v>
      </c>
      <c r="L250" s="55">
        <f t="shared" si="42"/>
        <v>90</v>
      </c>
      <c r="M250" s="55"/>
    </row>
    <row r="251" spans="9:13" x14ac:dyDescent="0.15">
      <c r="I251" s="54"/>
      <c r="J251" s="51">
        <v>247</v>
      </c>
      <c r="K251" s="55">
        <v>60</v>
      </c>
      <c r="L251" s="55">
        <f t="shared" si="42"/>
        <v>90</v>
      </c>
      <c r="M251" s="55"/>
    </row>
    <row r="252" spans="9:13" x14ac:dyDescent="0.15">
      <c r="I252" s="54"/>
      <c r="J252" s="51">
        <v>248</v>
      </c>
      <c r="K252" s="55">
        <v>60</v>
      </c>
      <c r="L252" s="55">
        <f t="shared" si="42"/>
        <v>90</v>
      </c>
      <c r="M252" s="55"/>
    </row>
    <row r="253" spans="9:13" x14ac:dyDescent="0.15">
      <c r="I253" s="54"/>
      <c r="J253" s="51">
        <v>249</v>
      </c>
      <c r="K253" s="55">
        <v>60</v>
      </c>
      <c r="L253" s="55">
        <f t="shared" si="42"/>
        <v>90</v>
      </c>
      <c r="M253" s="55"/>
    </row>
    <row r="254" spans="9:13" x14ac:dyDescent="0.15">
      <c r="I254" s="54"/>
      <c r="J254" s="51">
        <v>250</v>
      </c>
      <c r="K254" s="55">
        <v>60</v>
      </c>
      <c r="L254" s="55">
        <f t="shared" si="42"/>
        <v>90</v>
      </c>
      <c r="M254" s="55"/>
    </row>
    <row r="255" spans="9:13" x14ac:dyDescent="0.15">
      <c r="I255" s="54"/>
      <c r="J255" s="51">
        <v>251</v>
      </c>
      <c r="K255" s="55">
        <v>60</v>
      </c>
      <c r="L255" s="55">
        <f t="shared" si="42"/>
        <v>90</v>
      </c>
      <c r="M255" s="55"/>
    </row>
    <row r="256" spans="9:13" x14ac:dyDescent="0.15">
      <c r="I256" s="54"/>
      <c r="J256" s="51">
        <v>252</v>
      </c>
      <c r="K256" s="55">
        <v>60</v>
      </c>
      <c r="L256" s="55">
        <f t="shared" si="42"/>
        <v>90</v>
      </c>
      <c r="M256" s="55"/>
    </row>
    <row r="257" spans="9:13" x14ac:dyDescent="0.15">
      <c r="I257" s="54"/>
      <c r="J257" s="51">
        <v>253</v>
      </c>
      <c r="K257" s="55">
        <v>60</v>
      </c>
      <c r="L257" s="55">
        <f t="shared" si="42"/>
        <v>90</v>
      </c>
      <c r="M257" s="55"/>
    </row>
    <row r="258" spans="9:13" x14ac:dyDescent="0.15">
      <c r="I258" s="54"/>
      <c r="J258" s="51">
        <v>254</v>
      </c>
      <c r="K258" s="55">
        <v>60</v>
      </c>
      <c r="L258" s="55">
        <f t="shared" si="42"/>
        <v>90</v>
      </c>
      <c r="M258" s="55"/>
    </row>
    <row r="259" spans="9:13" x14ac:dyDescent="0.15">
      <c r="I259" s="54"/>
      <c r="J259" s="51">
        <v>255</v>
      </c>
      <c r="K259" s="55">
        <v>60</v>
      </c>
      <c r="L259" s="55">
        <f t="shared" si="42"/>
        <v>90</v>
      </c>
      <c r="M259" s="55"/>
    </row>
    <row r="260" spans="9:13" x14ac:dyDescent="0.15">
      <c r="I260" s="54"/>
      <c r="J260" s="51">
        <v>256</v>
      </c>
      <c r="K260" s="55">
        <v>60</v>
      </c>
      <c r="L260" s="55">
        <f t="shared" si="42"/>
        <v>90</v>
      </c>
      <c r="M260" s="55"/>
    </row>
    <row r="261" spans="9:13" x14ac:dyDescent="0.15">
      <c r="I261" s="54"/>
      <c r="J261" s="51">
        <v>257</v>
      </c>
      <c r="K261" s="55">
        <v>60</v>
      </c>
      <c r="L261" s="55">
        <f t="shared" si="42"/>
        <v>90</v>
      </c>
      <c r="M261" s="55"/>
    </row>
    <row r="262" spans="9:13" x14ac:dyDescent="0.15">
      <c r="I262" s="54"/>
      <c r="J262" s="51">
        <v>258</v>
      </c>
      <c r="K262" s="55">
        <v>60</v>
      </c>
      <c r="L262" s="55">
        <f t="shared" ref="L262:L325" si="43">K262*1.5</f>
        <v>90</v>
      </c>
      <c r="M262" s="55"/>
    </row>
    <row r="263" spans="9:13" x14ac:dyDescent="0.15">
      <c r="I263" s="54"/>
      <c r="J263" s="51">
        <v>259</v>
      </c>
      <c r="K263" s="55">
        <v>60</v>
      </c>
      <c r="L263" s="55">
        <f t="shared" si="43"/>
        <v>90</v>
      </c>
      <c r="M263" s="55"/>
    </row>
    <row r="264" spans="9:13" x14ac:dyDescent="0.15">
      <c r="I264" s="54"/>
      <c r="J264" s="51">
        <v>260</v>
      </c>
      <c r="K264" s="55">
        <v>60</v>
      </c>
      <c r="L264" s="55">
        <f t="shared" si="43"/>
        <v>90</v>
      </c>
      <c r="M264" s="55"/>
    </row>
    <row r="265" spans="9:13" x14ac:dyDescent="0.15">
      <c r="I265" s="54"/>
      <c r="J265" s="51">
        <v>261</v>
      </c>
      <c r="K265" s="55">
        <v>60</v>
      </c>
      <c r="L265" s="55">
        <f t="shared" si="43"/>
        <v>90</v>
      </c>
      <c r="M265" s="55"/>
    </row>
    <row r="266" spans="9:13" x14ac:dyDescent="0.15">
      <c r="I266" s="54"/>
      <c r="J266" s="51">
        <v>262</v>
      </c>
      <c r="K266" s="55">
        <v>60</v>
      </c>
      <c r="L266" s="55">
        <f t="shared" si="43"/>
        <v>90</v>
      </c>
      <c r="M266" s="55"/>
    </row>
    <row r="267" spans="9:13" x14ac:dyDescent="0.15">
      <c r="I267" s="54"/>
      <c r="J267" s="51">
        <v>263</v>
      </c>
      <c r="K267" s="55">
        <v>60</v>
      </c>
      <c r="L267" s="55">
        <f t="shared" si="43"/>
        <v>90</v>
      </c>
      <c r="M267" s="55"/>
    </row>
    <row r="268" spans="9:13" x14ac:dyDescent="0.15">
      <c r="I268" s="54"/>
      <c r="J268" s="51">
        <v>264</v>
      </c>
      <c r="K268" s="55">
        <v>60</v>
      </c>
      <c r="L268" s="55">
        <f t="shared" si="43"/>
        <v>90</v>
      </c>
      <c r="M268" s="55"/>
    </row>
    <row r="269" spans="9:13" x14ac:dyDescent="0.15">
      <c r="I269" s="54"/>
      <c r="J269" s="51">
        <v>265</v>
      </c>
      <c r="K269" s="55">
        <v>60</v>
      </c>
      <c r="L269" s="55">
        <f t="shared" si="43"/>
        <v>90</v>
      </c>
      <c r="M269" s="55"/>
    </row>
    <row r="270" spans="9:13" x14ac:dyDescent="0.15">
      <c r="I270" s="54"/>
      <c r="J270" s="51">
        <v>266</v>
      </c>
      <c r="K270" s="55">
        <v>60</v>
      </c>
      <c r="L270" s="55">
        <f t="shared" si="43"/>
        <v>90</v>
      </c>
      <c r="M270" s="55"/>
    </row>
    <row r="271" spans="9:13" x14ac:dyDescent="0.15">
      <c r="I271" s="54"/>
      <c r="J271" s="51">
        <v>267</v>
      </c>
      <c r="K271" s="55">
        <v>60</v>
      </c>
      <c r="L271" s="55">
        <f t="shared" si="43"/>
        <v>90</v>
      </c>
      <c r="M271" s="55"/>
    </row>
    <row r="272" spans="9:13" x14ac:dyDescent="0.15">
      <c r="I272" s="54"/>
      <c r="J272" s="51">
        <v>268</v>
      </c>
      <c r="K272" s="55">
        <v>60</v>
      </c>
      <c r="L272" s="55">
        <f t="shared" si="43"/>
        <v>90</v>
      </c>
      <c r="M272" s="55"/>
    </row>
    <row r="273" spans="9:13" x14ac:dyDescent="0.15">
      <c r="I273" s="54"/>
      <c r="J273" s="51">
        <v>269</v>
      </c>
      <c r="K273" s="55">
        <v>60</v>
      </c>
      <c r="L273" s="55">
        <f t="shared" si="43"/>
        <v>90</v>
      </c>
      <c r="M273" s="55"/>
    </row>
    <row r="274" spans="9:13" x14ac:dyDescent="0.15">
      <c r="I274" s="54"/>
      <c r="J274" s="51">
        <v>270</v>
      </c>
      <c r="K274" s="55">
        <v>60</v>
      </c>
      <c r="L274" s="55">
        <f t="shared" si="43"/>
        <v>90</v>
      </c>
      <c r="M274" s="55"/>
    </row>
    <row r="275" spans="9:13" x14ac:dyDescent="0.15">
      <c r="I275" s="54"/>
      <c r="J275" s="51">
        <v>271</v>
      </c>
      <c r="K275" s="55">
        <v>60</v>
      </c>
      <c r="L275" s="55">
        <f t="shared" si="43"/>
        <v>90</v>
      </c>
      <c r="M275" s="55"/>
    </row>
    <row r="276" spans="9:13" x14ac:dyDescent="0.15">
      <c r="I276" s="54"/>
      <c r="J276" s="51">
        <v>272</v>
      </c>
      <c r="K276" s="55">
        <v>60</v>
      </c>
      <c r="L276" s="55">
        <f t="shared" si="43"/>
        <v>90</v>
      </c>
      <c r="M276" s="55"/>
    </row>
    <row r="277" spans="9:13" x14ac:dyDescent="0.15">
      <c r="I277" s="54"/>
      <c r="J277" s="51">
        <v>273</v>
      </c>
      <c r="K277" s="55">
        <v>60</v>
      </c>
      <c r="L277" s="55">
        <f t="shared" si="43"/>
        <v>90</v>
      </c>
      <c r="M277" s="55"/>
    </row>
    <row r="278" spans="9:13" x14ac:dyDescent="0.15">
      <c r="I278" s="54"/>
      <c r="J278" s="51">
        <v>274</v>
      </c>
      <c r="K278" s="55">
        <v>60</v>
      </c>
      <c r="L278" s="55">
        <f t="shared" si="43"/>
        <v>90</v>
      </c>
      <c r="M278" s="55"/>
    </row>
    <row r="279" spans="9:13" x14ac:dyDescent="0.15">
      <c r="I279" s="54"/>
      <c r="J279" s="51">
        <v>275</v>
      </c>
      <c r="K279" s="55">
        <v>60</v>
      </c>
      <c r="L279" s="55">
        <f t="shared" si="43"/>
        <v>90</v>
      </c>
      <c r="M279" s="55"/>
    </row>
    <row r="280" spans="9:13" x14ac:dyDescent="0.15">
      <c r="I280" s="54"/>
      <c r="J280" s="51">
        <v>276</v>
      </c>
      <c r="K280" s="55">
        <v>60</v>
      </c>
      <c r="L280" s="55">
        <f t="shared" si="43"/>
        <v>90</v>
      </c>
      <c r="M280" s="55"/>
    </row>
    <row r="281" spans="9:13" x14ac:dyDescent="0.15">
      <c r="I281" s="54"/>
      <c r="J281" s="51">
        <v>277</v>
      </c>
      <c r="K281" s="55">
        <v>60</v>
      </c>
      <c r="L281" s="55">
        <f t="shared" si="43"/>
        <v>90</v>
      </c>
      <c r="M281" s="55"/>
    </row>
    <row r="282" spans="9:13" x14ac:dyDescent="0.15">
      <c r="I282" s="54"/>
      <c r="J282" s="51">
        <v>278</v>
      </c>
      <c r="K282" s="55">
        <v>60</v>
      </c>
      <c r="L282" s="55">
        <f t="shared" si="43"/>
        <v>90</v>
      </c>
      <c r="M282" s="55"/>
    </row>
    <row r="283" spans="9:13" x14ac:dyDescent="0.15">
      <c r="I283" s="54"/>
      <c r="J283" s="51">
        <v>279</v>
      </c>
      <c r="K283" s="55">
        <v>60</v>
      </c>
      <c r="L283" s="55">
        <f t="shared" si="43"/>
        <v>90</v>
      </c>
      <c r="M283" s="55"/>
    </row>
    <row r="284" spans="9:13" x14ac:dyDescent="0.15">
      <c r="I284" s="54"/>
      <c r="J284" s="51">
        <v>280</v>
      </c>
      <c r="K284" s="55">
        <v>60</v>
      </c>
      <c r="L284" s="55">
        <f t="shared" si="43"/>
        <v>90</v>
      </c>
      <c r="M284" s="55"/>
    </row>
    <row r="285" spans="9:13" x14ac:dyDescent="0.15">
      <c r="I285" s="54"/>
      <c r="J285" s="51">
        <v>281</v>
      </c>
      <c r="K285" s="55">
        <v>60</v>
      </c>
      <c r="L285" s="55">
        <f t="shared" si="43"/>
        <v>90</v>
      </c>
      <c r="M285" s="55"/>
    </row>
    <row r="286" spans="9:13" x14ac:dyDescent="0.15">
      <c r="I286" s="54"/>
      <c r="J286" s="51">
        <v>282</v>
      </c>
      <c r="K286" s="55">
        <v>60</v>
      </c>
      <c r="L286" s="55">
        <f t="shared" si="43"/>
        <v>90</v>
      </c>
      <c r="M286" s="55"/>
    </row>
    <row r="287" spans="9:13" x14ac:dyDescent="0.15">
      <c r="I287" s="54"/>
      <c r="J287" s="51">
        <v>283</v>
      </c>
      <c r="K287" s="55">
        <v>60</v>
      </c>
      <c r="L287" s="55">
        <f t="shared" si="43"/>
        <v>90</v>
      </c>
      <c r="M287" s="55"/>
    </row>
    <row r="288" spans="9:13" x14ac:dyDescent="0.15">
      <c r="I288" s="54"/>
      <c r="J288" s="51">
        <v>284</v>
      </c>
      <c r="K288" s="55">
        <v>60</v>
      </c>
      <c r="L288" s="55">
        <f t="shared" si="43"/>
        <v>90</v>
      </c>
      <c r="M288" s="55"/>
    </row>
    <row r="289" spans="9:13" x14ac:dyDescent="0.15">
      <c r="I289" s="54"/>
      <c r="J289" s="51">
        <v>285</v>
      </c>
      <c r="K289" s="55">
        <v>60</v>
      </c>
      <c r="L289" s="55">
        <f t="shared" si="43"/>
        <v>90</v>
      </c>
      <c r="M289" s="55"/>
    </row>
    <row r="290" spans="9:13" x14ac:dyDescent="0.15">
      <c r="I290" s="54"/>
      <c r="J290" s="51">
        <v>286</v>
      </c>
      <c r="K290" s="55">
        <v>60</v>
      </c>
      <c r="L290" s="55">
        <f t="shared" si="43"/>
        <v>90</v>
      </c>
      <c r="M290" s="55"/>
    </row>
    <row r="291" spans="9:13" x14ac:dyDescent="0.15">
      <c r="I291" s="54"/>
      <c r="J291" s="51">
        <v>287</v>
      </c>
      <c r="K291" s="55">
        <v>60</v>
      </c>
      <c r="L291" s="55">
        <f t="shared" si="43"/>
        <v>90</v>
      </c>
      <c r="M291" s="55"/>
    </row>
    <row r="292" spans="9:13" x14ac:dyDescent="0.15">
      <c r="I292" s="54"/>
      <c r="J292" s="51">
        <v>288</v>
      </c>
      <c r="K292" s="55">
        <v>60</v>
      </c>
      <c r="L292" s="55">
        <f t="shared" si="43"/>
        <v>90</v>
      </c>
      <c r="M292" s="55"/>
    </row>
    <row r="293" spans="9:13" x14ac:dyDescent="0.15">
      <c r="I293" s="54"/>
      <c r="J293" s="51">
        <v>289</v>
      </c>
      <c r="K293" s="55">
        <v>60</v>
      </c>
      <c r="L293" s="55">
        <f t="shared" si="43"/>
        <v>90</v>
      </c>
      <c r="M293" s="55"/>
    </row>
    <row r="294" spans="9:13" x14ac:dyDescent="0.15">
      <c r="I294" s="54"/>
      <c r="J294" s="51">
        <v>290</v>
      </c>
      <c r="K294" s="55">
        <v>60</v>
      </c>
      <c r="L294" s="55">
        <f t="shared" si="43"/>
        <v>90</v>
      </c>
      <c r="M294" s="55"/>
    </row>
    <row r="295" spans="9:13" x14ac:dyDescent="0.15">
      <c r="I295" s="54"/>
      <c r="J295" s="51">
        <v>291</v>
      </c>
      <c r="K295" s="55">
        <v>60</v>
      </c>
      <c r="L295" s="55">
        <f t="shared" si="43"/>
        <v>90</v>
      </c>
      <c r="M295" s="55"/>
    </row>
    <row r="296" spans="9:13" x14ac:dyDescent="0.15">
      <c r="I296" s="54"/>
      <c r="J296" s="51">
        <v>292</v>
      </c>
      <c r="K296" s="55">
        <v>60</v>
      </c>
      <c r="L296" s="55">
        <f t="shared" si="43"/>
        <v>90</v>
      </c>
      <c r="M296" s="55"/>
    </row>
    <row r="297" spans="9:13" x14ac:dyDescent="0.15">
      <c r="I297" s="54"/>
      <c r="J297" s="51">
        <v>293</v>
      </c>
      <c r="K297" s="55">
        <v>60</v>
      </c>
      <c r="L297" s="55">
        <f t="shared" si="43"/>
        <v>90</v>
      </c>
      <c r="M297" s="55"/>
    </row>
    <row r="298" spans="9:13" x14ac:dyDescent="0.15">
      <c r="I298" s="54"/>
      <c r="J298" s="51">
        <v>294</v>
      </c>
      <c r="K298" s="55">
        <v>60</v>
      </c>
      <c r="L298" s="55">
        <f t="shared" si="43"/>
        <v>90</v>
      </c>
      <c r="M298" s="55"/>
    </row>
    <row r="299" spans="9:13" x14ac:dyDescent="0.15">
      <c r="I299" s="54"/>
      <c r="J299" s="51">
        <v>295</v>
      </c>
      <c r="K299" s="55">
        <v>60</v>
      </c>
      <c r="L299" s="55">
        <f t="shared" si="43"/>
        <v>90</v>
      </c>
      <c r="M299" s="55"/>
    </row>
    <row r="300" spans="9:13" x14ac:dyDescent="0.15">
      <c r="I300" s="54"/>
      <c r="J300" s="51">
        <v>296</v>
      </c>
      <c r="K300" s="55">
        <v>60</v>
      </c>
      <c r="L300" s="55">
        <f t="shared" si="43"/>
        <v>90</v>
      </c>
      <c r="M300" s="55"/>
    </row>
    <row r="301" spans="9:13" x14ac:dyDescent="0.15">
      <c r="I301" s="54"/>
      <c r="J301" s="51">
        <v>297</v>
      </c>
      <c r="K301" s="55">
        <v>60</v>
      </c>
      <c r="L301" s="55">
        <f t="shared" si="43"/>
        <v>90</v>
      </c>
      <c r="M301" s="55"/>
    </row>
    <row r="302" spans="9:13" x14ac:dyDescent="0.15">
      <c r="I302" s="54"/>
      <c r="J302" s="51">
        <v>298</v>
      </c>
      <c r="K302" s="55">
        <v>60</v>
      </c>
      <c r="L302" s="55">
        <f t="shared" si="43"/>
        <v>90</v>
      </c>
      <c r="M302" s="55"/>
    </row>
    <row r="303" spans="9:13" x14ac:dyDescent="0.15">
      <c r="I303" s="54"/>
      <c r="J303" s="51">
        <v>299</v>
      </c>
      <c r="K303" s="55">
        <v>60</v>
      </c>
      <c r="L303" s="55">
        <f t="shared" si="43"/>
        <v>90</v>
      </c>
      <c r="M303" s="55"/>
    </row>
    <row r="304" spans="9:13" x14ac:dyDescent="0.15">
      <c r="I304" s="54"/>
      <c r="J304" s="51">
        <v>300</v>
      </c>
      <c r="K304" s="55">
        <v>60</v>
      </c>
      <c r="L304" s="55">
        <f t="shared" si="43"/>
        <v>90</v>
      </c>
      <c r="M304" s="55"/>
    </row>
    <row r="305" spans="9:13" x14ac:dyDescent="0.15">
      <c r="I305" s="54"/>
      <c r="J305" s="51">
        <v>301</v>
      </c>
      <c r="K305" s="55">
        <v>60</v>
      </c>
      <c r="L305" s="55">
        <f t="shared" si="43"/>
        <v>90</v>
      </c>
      <c r="M305" s="55"/>
    </row>
    <row r="306" spans="9:13" x14ac:dyDescent="0.15">
      <c r="I306" s="54"/>
      <c r="J306" s="51">
        <v>302</v>
      </c>
      <c r="K306" s="55">
        <v>60</v>
      </c>
      <c r="L306" s="55">
        <f t="shared" si="43"/>
        <v>90</v>
      </c>
      <c r="M306" s="55"/>
    </row>
    <row r="307" spans="9:13" x14ac:dyDescent="0.15">
      <c r="I307" s="54"/>
      <c r="J307" s="51">
        <v>303</v>
      </c>
      <c r="K307" s="55">
        <v>60</v>
      </c>
      <c r="L307" s="55">
        <f t="shared" si="43"/>
        <v>90</v>
      </c>
      <c r="M307" s="55"/>
    </row>
    <row r="308" spans="9:13" x14ac:dyDescent="0.15">
      <c r="I308" s="54"/>
      <c r="J308" s="51">
        <v>304</v>
      </c>
      <c r="K308" s="55">
        <v>60</v>
      </c>
      <c r="L308" s="55">
        <f t="shared" si="43"/>
        <v>90</v>
      </c>
      <c r="M308" s="55"/>
    </row>
    <row r="309" spans="9:13" x14ac:dyDescent="0.15">
      <c r="I309" s="54"/>
      <c r="J309" s="51">
        <v>305</v>
      </c>
      <c r="K309" s="55">
        <v>60</v>
      </c>
      <c r="L309" s="55">
        <f t="shared" si="43"/>
        <v>90</v>
      </c>
      <c r="M309" s="55"/>
    </row>
    <row r="310" spans="9:13" x14ac:dyDescent="0.15">
      <c r="I310" s="54"/>
      <c r="J310" s="51">
        <v>306</v>
      </c>
      <c r="K310" s="55">
        <v>60</v>
      </c>
      <c r="L310" s="55">
        <f t="shared" si="43"/>
        <v>90</v>
      </c>
      <c r="M310" s="55"/>
    </row>
    <row r="311" spans="9:13" x14ac:dyDescent="0.15">
      <c r="I311" s="54"/>
      <c r="J311" s="51">
        <v>307</v>
      </c>
      <c r="K311" s="55">
        <v>60</v>
      </c>
      <c r="L311" s="55">
        <f t="shared" si="43"/>
        <v>90</v>
      </c>
      <c r="M311" s="55"/>
    </row>
    <row r="312" spans="9:13" x14ac:dyDescent="0.15">
      <c r="I312" s="54"/>
      <c r="J312" s="51">
        <v>308</v>
      </c>
      <c r="K312" s="55">
        <v>60</v>
      </c>
      <c r="L312" s="55">
        <f t="shared" si="43"/>
        <v>90</v>
      </c>
      <c r="M312" s="55"/>
    </row>
    <row r="313" spans="9:13" x14ac:dyDescent="0.15">
      <c r="I313" s="54"/>
      <c r="J313" s="51">
        <v>309</v>
      </c>
      <c r="K313" s="55">
        <v>60</v>
      </c>
      <c r="L313" s="55">
        <f t="shared" si="43"/>
        <v>90</v>
      </c>
      <c r="M313" s="55"/>
    </row>
    <row r="314" spans="9:13" x14ac:dyDescent="0.15">
      <c r="I314" s="54"/>
      <c r="J314" s="51">
        <v>310</v>
      </c>
      <c r="K314" s="55">
        <v>60</v>
      </c>
      <c r="L314" s="55">
        <f t="shared" si="43"/>
        <v>90</v>
      </c>
      <c r="M314" s="55"/>
    </row>
    <row r="315" spans="9:13" x14ac:dyDescent="0.15">
      <c r="I315" s="54"/>
      <c r="J315" s="51">
        <v>311</v>
      </c>
      <c r="K315" s="55">
        <v>60</v>
      </c>
      <c r="L315" s="55">
        <f t="shared" si="43"/>
        <v>90</v>
      </c>
      <c r="M315" s="55"/>
    </row>
    <row r="316" spans="9:13" x14ac:dyDescent="0.15">
      <c r="I316" s="54"/>
      <c r="J316" s="51">
        <v>312</v>
      </c>
      <c r="K316" s="55">
        <v>60</v>
      </c>
      <c r="L316" s="55">
        <f t="shared" si="43"/>
        <v>90</v>
      </c>
      <c r="M316" s="55"/>
    </row>
    <row r="317" spans="9:13" x14ac:dyDescent="0.15">
      <c r="I317" s="54"/>
      <c r="J317" s="51">
        <v>313</v>
      </c>
      <c r="K317" s="55">
        <v>60</v>
      </c>
      <c r="L317" s="55">
        <f t="shared" si="43"/>
        <v>90</v>
      </c>
      <c r="M317" s="55"/>
    </row>
    <row r="318" spans="9:13" x14ac:dyDescent="0.15">
      <c r="I318" s="54"/>
      <c r="J318" s="51">
        <v>314</v>
      </c>
      <c r="K318" s="55">
        <v>60</v>
      </c>
      <c r="L318" s="55">
        <f t="shared" si="43"/>
        <v>90</v>
      </c>
      <c r="M318" s="55"/>
    </row>
    <row r="319" spans="9:13" x14ac:dyDescent="0.15">
      <c r="I319" s="54"/>
      <c r="J319" s="51">
        <v>315</v>
      </c>
      <c r="K319" s="55">
        <v>60</v>
      </c>
      <c r="L319" s="55">
        <f t="shared" si="43"/>
        <v>90</v>
      </c>
      <c r="M319" s="55"/>
    </row>
    <row r="320" spans="9:13" x14ac:dyDescent="0.15">
      <c r="I320" s="54"/>
      <c r="J320" s="51">
        <v>316</v>
      </c>
      <c r="K320" s="55">
        <v>60</v>
      </c>
      <c r="L320" s="55">
        <f t="shared" si="43"/>
        <v>90</v>
      </c>
      <c r="M320" s="55"/>
    </row>
    <row r="321" spans="9:13" x14ac:dyDescent="0.15">
      <c r="I321" s="54"/>
      <c r="J321" s="51">
        <v>317</v>
      </c>
      <c r="K321" s="55">
        <v>60</v>
      </c>
      <c r="L321" s="55">
        <f t="shared" si="43"/>
        <v>90</v>
      </c>
      <c r="M321" s="55"/>
    </row>
    <row r="322" spans="9:13" x14ac:dyDescent="0.15">
      <c r="I322" s="54"/>
      <c r="J322" s="51">
        <v>318</v>
      </c>
      <c r="K322" s="55">
        <v>60</v>
      </c>
      <c r="L322" s="55">
        <f t="shared" si="43"/>
        <v>90</v>
      </c>
      <c r="M322" s="55"/>
    </row>
    <row r="323" spans="9:13" x14ac:dyDescent="0.15">
      <c r="I323" s="54"/>
      <c r="J323" s="51">
        <v>319</v>
      </c>
      <c r="K323" s="55">
        <v>60</v>
      </c>
      <c r="L323" s="55">
        <f t="shared" si="43"/>
        <v>90</v>
      </c>
      <c r="M323" s="55"/>
    </row>
    <row r="324" spans="9:13" x14ac:dyDescent="0.15">
      <c r="I324" s="54"/>
      <c r="J324" s="51">
        <v>320</v>
      </c>
      <c r="K324" s="55">
        <v>60</v>
      </c>
      <c r="L324" s="55">
        <f t="shared" si="43"/>
        <v>90</v>
      </c>
      <c r="M324" s="55"/>
    </row>
    <row r="325" spans="9:13" x14ac:dyDescent="0.15">
      <c r="I325" s="54"/>
      <c r="J325" s="51">
        <v>321</v>
      </c>
      <c r="K325" s="55">
        <v>60</v>
      </c>
      <c r="L325" s="55">
        <f t="shared" si="43"/>
        <v>90</v>
      </c>
      <c r="M325" s="55"/>
    </row>
    <row r="326" spans="9:13" x14ac:dyDescent="0.15">
      <c r="I326" s="54"/>
      <c r="J326" s="51">
        <v>322</v>
      </c>
      <c r="K326" s="55">
        <v>60</v>
      </c>
      <c r="L326" s="55">
        <f t="shared" ref="L326:L389" si="44">K326*1.5</f>
        <v>90</v>
      </c>
      <c r="M326" s="55"/>
    </row>
    <row r="327" spans="9:13" x14ac:dyDescent="0.15">
      <c r="I327" s="54"/>
      <c r="J327" s="51">
        <v>323</v>
      </c>
      <c r="K327" s="55">
        <v>60</v>
      </c>
      <c r="L327" s="55">
        <f t="shared" si="44"/>
        <v>90</v>
      </c>
      <c r="M327" s="55"/>
    </row>
    <row r="328" spans="9:13" x14ac:dyDescent="0.15">
      <c r="I328" s="54"/>
      <c r="J328" s="51">
        <v>324</v>
      </c>
      <c r="K328" s="55">
        <v>60</v>
      </c>
      <c r="L328" s="55">
        <f t="shared" si="44"/>
        <v>90</v>
      </c>
      <c r="M328" s="55"/>
    </row>
    <row r="329" spans="9:13" x14ac:dyDescent="0.15">
      <c r="I329" s="54"/>
      <c r="J329" s="51">
        <v>325</v>
      </c>
      <c r="K329" s="55">
        <v>60</v>
      </c>
      <c r="L329" s="55">
        <f t="shared" si="44"/>
        <v>90</v>
      </c>
      <c r="M329" s="55"/>
    </row>
    <row r="330" spans="9:13" x14ac:dyDescent="0.15">
      <c r="I330" s="54"/>
      <c r="J330" s="51">
        <v>326</v>
      </c>
      <c r="K330" s="55">
        <v>60</v>
      </c>
      <c r="L330" s="55">
        <f t="shared" si="44"/>
        <v>90</v>
      </c>
      <c r="M330" s="55"/>
    </row>
    <row r="331" spans="9:13" x14ac:dyDescent="0.15">
      <c r="I331" s="54"/>
      <c r="J331" s="51">
        <v>327</v>
      </c>
      <c r="K331" s="55">
        <v>60</v>
      </c>
      <c r="L331" s="55">
        <f t="shared" si="44"/>
        <v>90</v>
      </c>
      <c r="M331" s="55"/>
    </row>
    <row r="332" spans="9:13" x14ac:dyDescent="0.15">
      <c r="I332" s="54"/>
      <c r="J332" s="51">
        <v>328</v>
      </c>
      <c r="K332" s="55">
        <v>60</v>
      </c>
      <c r="L332" s="55">
        <f t="shared" si="44"/>
        <v>90</v>
      </c>
      <c r="M332" s="55"/>
    </row>
    <row r="333" spans="9:13" x14ac:dyDescent="0.15">
      <c r="I333" s="54"/>
      <c r="J333" s="51">
        <v>329</v>
      </c>
      <c r="K333" s="55">
        <v>60</v>
      </c>
      <c r="L333" s="55">
        <f t="shared" si="44"/>
        <v>90</v>
      </c>
      <c r="M333" s="55"/>
    </row>
    <row r="334" spans="9:13" x14ac:dyDescent="0.15">
      <c r="I334" s="54"/>
      <c r="J334" s="51">
        <v>330</v>
      </c>
      <c r="K334" s="55">
        <v>60</v>
      </c>
      <c r="L334" s="55">
        <f t="shared" si="44"/>
        <v>90</v>
      </c>
      <c r="M334" s="55"/>
    </row>
    <row r="335" spans="9:13" x14ac:dyDescent="0.15">
      <c r="I335" s="54"/>
      <c r="J335" s="51">
        <v>331</v>
      </c>
      <c r="K335" s="55">
        <v>60</v>
      </c>
      <c r="L335" s="55">
        <f t="shared" si="44"/>
        <v>90</v>
      </c>
      <c r="M335" s="55"/>
    </row>
    <row r="336" spans="9:13" x14ac:dyDescent="0.15">
      <c r="I336" s="54"/>
      <c r="J336" s="51">
        <v>332</v>
      </c>
      <c r="K336" s="55">
        <v>60</v>
      </c>
      <c r="L336" s="55">
        <f t="shared" si="44"/>
        <v>90</v>
      </c>
      <c r="M336" s="55"/>
    </row>
    <row r="337" spans="9:13" x14ac:dyDescent="0.15">
      <c r="I337" s="54"/>
      <c r="J337" s="51">
        <v>333</v>
      </c>
      <c r="K337" s="55">
        <v>60</v>
      </c>
      <c r="L337" s="55">
        <f t="shared" si="44"/>
        <v>90</v>
      </c>
      <c r="M337" s="55"/>
    </row>
    <row r="338" spans="9:13" x14ac:dyDescent="0.15">
      <c r="I338" s="54"/>
      <c r="J338" s="51">
        <v>334</v>
      </c>
      <c r="K338" s="55">
        <v>60</v>
      </c>
      <c r="L338" s="55">
        <f t="shared" si="44"/>
        <v>90</v>
      </c>
      <c r="M338" s="55"/>
    </row>
    <row r="339" spans="9:13" x14ac:dyDescent="0.15">
      <c r="I339" s="54"/>
      <c r="J339" s="51">
        <v>335</v>
      </c>
      <c r="K339" s="55">
        <v>60</v>
      </c>
      <c r="L339" s="55">
        <f t="shared" si="44"/>
        <v>90</v>
      </c>
      <c r="M339" s="55"/>
    </row>
    <row r="340" spans="9:13" x14ac:dyDescent="0.15">
      <c r="I340" s="54"/>
      <c r="J340" s="51">
        <v>336</v>
      </c>
      <c r="K340" s="55">
        <v>60</v>
      </c>
      <c r="L340" s="55">
        <f t="shared" si="44"/>
        <v>90</v>
      </c>
      <c r="M340" s="55"/>
    </row>
    <row r="341" spans="9:13" x14ac:dyDescent="0.15">
      <c r="I341" s="54"/>
      <c r="J341" s="51">
        <v>337</v>
      </c>
      <c r="K341" s="55">
        <v>60</v>
      </c>
      <c r="L341" s="55">
        <f t="shared" si="44"/>
        <v>90</v>
      </c>
      <c r="M341" s="55"/>
    </row>
    <row r="342" spans="9:13" x14ac:dyDescent="0.15">
      <c r="I342" s="54"/>
      <c r="J342" s="51">
        <v>338</v>
      </c>
      <c r="K342" s="55">
        <v>60</v>
      </c>
      <c r="L342" s="55">
        <f t="shared" si="44"/>
        <v>90</v>
      </c>
      <c r="M342" s="55"/>
    </row>
    <row r="343" spans="9:13" x14ac:dyDescent="0.15">
      <c r="I343" s="54"/>
      <c r="J343" s="51">
        <v>339</v>
      </c>
      <c r="K343" s="55">
        <v>60</v>
      </c>
      <c r="L343" s="55">
        <f t="shared" si="44"/>
        <v>90</v>
      </c>
      <c r="M343" s="55"/>
    </row>
    <row r="344" spans="9:13" x14ac:dyDescent="0.15">
      <c r="I344" s="54"/>
      <c r="J344" s="51">
        <v>340</v>
      </c>
      <c r="K344" s="55">
        <v>60</v>
      </c>
      <c r="L344" s="55">
        <f t="shared" si="44"/>
        <v>90</v>
      </c>
      <c r="M344" s="55"/>
    </row>
    <row r="345" spans="9:13" x14ac:dyDescent="0.15">
      <c r="I345" s="54"/>
      <c r="J345" s="51">
        <v>341</v>
      </c>
      <c r="K345" s="55">
        <v>60</v>
      </c>
      <c r="L345" s="55">
        <f t="shared" si="44"/>
        <v>90</v>
      </c>
      <c r="M345" s="55"/>
    </row>
    <row r="346" spans="9:13" x14ac:dyDescent="0.15">
      <c r="I346" s="54"/>
      <c r="J346" s="51">
        <v>342</v>
      </c>
      <c r="K346" s="55">
        <v>60</v>
      </c>
      <c r="L346" s="55">
        <f t="shared" si="44"/>
        <v>90</v>
      </c>
      <c r="M346" s="55"/>
    </row>
    <row r="347" spans="9:13" x14ac:dyDescent="0.15">
      <c r="I347" s="54"/>
      <c r="J347" s="51">
        <v>343</v>
      </c>
      <c r="K347" s="55">
        <v>60</v>
      </c>
      <c r="L347" s="55">
        <f t="shared" si="44"/>
        <v>90</v>
      </c>
      <c r="M347" s="55"/>
    </row>
    <row r="348" spans="9:13" x14ac:dyDescent="0.15">
      <c r="I348" s="54"/>
      <c r="J348" s="51">
        <v>344</v>
      </c>
      <c r="K348" s="55">
        <v>60</v>
      </c>
      <c r="L348" s="55">
        <f t="shared" si="44"/>
        <v>90</v>
      </c>
      <c r="M348" s="55"/>
    </row>
    <row r="349" spans="9:13" x14ac:dyDescent="0.15">
      <c r="I349" s="54"/>
      <c r="J349" s="51">
        <v>345</v>
      </c>
      <c r="K349" s="55">
        <v>60</v>
      </c>
      <c r="L349" s="55">
        <f t="shared" si="44"/>
        <v>90</v>
      </c>
      <c r="M349" s="55"/>
    </row>
    <row r="350" spans="9:13" x14ac:dyDescent="0.15">
      <c r="I350" s="54"/>
      <c r="J350" s="51">
        <v>346</v>
      </c>
      <c r="K350" s="55">
        <v>60</v>
      </c>
      <c r="L350" s="55">
        <f t="shared" si="44"/>
        <v>90</v>
      </c>
      <c r="M350" s="55"/>
    </row>
    <row r="351" spans="9:13" x14ac:dyDescent="0.15">
      <c r="I351" s="54"/>
      <c r="J351" s="51">
        <v>347</v>
      </c>
      <c r="K351" s="55">
        <v>60</v>
      </c>
      <c r="L351" s="55">
        <f t="shared" si="44"/>
        <v>90</v>
      </c>
      <c r="M351" s="55"/>
    </row>
    <row r="352" spans="9:13" x14ac:dyDescent="0.15">
      <c r="I352" s="54"/>
      <c r="J352" s="51">
        <v>348</v>
      </c>
      <c r="K352" s="55">
        <v>60</v>
      </c>
      <c r="L352" s="55">
        <f t="shared" si="44"/>
        <v>90</v>
      </c>
      <c r="M352" s="55"/>
    </row>
    <row r="353" spans="9:13" x14ac:dyDescent="0.15">
      <c r="I353" s="54"/>
      <c r="J353" s="51">
        <v>349</v>
      </c>
      <c r="K353" s="55">
        <v>60</v>
      </c>
      <c r="L353" s="55">
        <f t="shared" si="44"/>
        <v>90</v>
      </c>
      <c r="M353" s="55"/>
    </row>
    <row r="354" spans="9:13" x14ac:dyDescent="0.15">
      <c r="I354" s="54"/>
      <c r="J354" s="51">
        <v>350</v>
      </c>
      <c r="K354" s="55">
        <v>60</v>
      </c>
      <c r="L354" s="55">
        <f t="shared" si="44"/>
        <v>90</v>
      </c>
      <c r="M354" s="55"/>
    </row>
    <row r="355" spans="9:13" x14ac:dyDescent="0.15">
      <c r="I355" s="54"/>
      <c r="J355" s="51">
        <v>351</v>
      </c>
      <c r="K355" s="55">
        <v>60</v>
      </c>
      <c r="L355" s="55">
        <f t="shared" si="44"/>
        <v>90</v>
      </c>
      <c r="M355" s="55"/>
    </row>
    <row r="356" spans="9:13" x14ac:dyDescent="0.15">
      <c r="I356" s="54"/>
      <c r="J356" s="51">
        <v>352</v>
      </c>
      <c r="K356" s="55">
        <v>60</v>
      </c>
      <c r="L356" s="55">
        <f t="shared" si="44"/>
        <v>90</v>
      </c>
      <c r="M356" s="55"/>
    </row>
    <row r="357" spans="9:13" x14ac:dyDescent="0.15">
      <c r="I357" s="54"/>
      <c r="J357" s="51">
        <v>353</v>
      </c>
      <c r="K357" s="55">
        <v>60</v>
      </c>
      <c r="L357" s="55">
        <f t="shared" si="44"/>
        <v>90</v>
      </c>
      <c r="M357" s="55"/>
    </row>
    <row r="358" spans="9:13" x14ac:dyDescent="0.15">
      <c r="I358" s="54"/>
      <c r="J358" s="51">
        <v>354</v>
      </c>
      <c r="K358" s="55">
        <v>60</v>
      </c>
      <c r="L358" s="55">
        <f t="shared" si="44"/>
        <v>90</v>
      </c>
      <c r="M358" s="55"/>
    </row>
    <row r="359" spans="9:13" x14ac:dyDescent="0.15">
      <c r="I359" s="54"/>
      <c r="J359" s="51">
        <v>355</v>
      </c>
      <c r="K359" s="55">
        <v>60</v>
      </c>
      <c r="L359" s="55">
        <f t="shared" si="44"/>
        <v>90</v>
      </c>
      <c r="M359" s="55"/>
    </row>
    <row r="360" spans="9:13" x14ac:dyDescent="0.15">
      <c r="I360" s="54"/>
      <c r="J360" s="51">
        <v>356</v>
      </c>
      <c r="K360" s="55">
        <v>60</v>
      </c>
      <c r="L360" s="55">
        <f t="shared" si="44"/>
        <v>90</v>
      </c>
      <c r="M360" s="55"/>
    </row>
    <row r="361" spans="9:13" x14ac:dyDescent="0.15">
      <c r="I361" s="54"/>
      <c r="J361" s="51">
        <v>357</v>
      </c>
      <c r="K361" s="55">
        <v>60</v>
      </c>
      <c r="L361" s="55">
        <f t="shared" si="44"/>
        <v>90</v>
      </c>
      <c r="M361" s="55"/>
    </row>
    <row r="362" spans="9:13" x14ac:dyDescent="0.15">
      <c r="I362" s="54"/>
      <c r="J362" s="51">
        <v>358</v>
      </c>
      <c r="K362" s="55">
        <v>60</v>
      </c>
      <c r="L362" s="55">
        <f t="shared" si="44"/>
        <v>90</v>
      </c>
      <c r="M362" s="55"/>
    </row>
    <row r="363" spans="9:13" x14ac:dyDescent="0.15">
      <c r="I363" s="54"/>
      <c r="J363" s="51">
        <v>359</v>
      </c>
      <c r="K363" s="55">
        <v>60</v>
      </c>
      <c r="L363" s="55">
        <f t="shared" si="44"/>
        <v>90</v>
      </c>
      <c r="M363" s="55"/>
    </row>
    <row r="364" spans="9:13" x14ac:dyDescent="0.15">
      <c r="I364" s="54"/>
      <c r="J364" s="51">
        <v>360</v>
      </c>
      <c r="K364" s="55">
        <v>60</v>
      </c>
      <c r="L364" s="55">
        <f t="shared" si="44"/>
        <v>90</v>
      </c>
      <c r="M364" s="55"/>
    </row>
    <row r="365" spans="9:13" x14ac:dyDescent="0.15">
      <c r="I365" s="54"/>
      <c r="J365" s="51">
        <v>361</v>
      </c>
      <c r="K365" s="55">
        <v>60</v>
      </c>
      <c r="L365" s="55">
        <f t="shared" si="44"/>
        <v>90</v>
      </c>
      <c r="M365" s="55"/>
    </row>
    <row r="366" spans="9:13" x14ac:dyDescent="0.15">
      <c r="I366" s="54"/>
      <c r="J366" s="51">
        <v>362</v>
      </c>
      <c r="K366" s="55">
        <v>60</v>
      </c>
      <c r="L366" s="55">
        <f t="shared" si="44"/>
        <v>90</v>
      </c>
      <c r="M366" s="55"/>
    </row>
    <row r="367" spans="9:13" x14ac:dyDescent="0.15">
      <c r="I367" s="54"/>
      <c r="J367" s="51">
        <v>363</v>
      </c>
      <c r="K367" s="55">
        <v>60</v>
      </c>
      <c r="L367" s="55">
        <f t="shared" si="44"/>
        <v>90</v>
      </c>
      <c r="M367" s="55"/>
    </row>
    <row r="368" spans="9:13" x14ac:dyDescent="0.15">
      <c r="I368" s="54"/>
      <c r="J368" s="51">
        <v>364</v>
      </c>
      <c r="K368" s="55">
        <v>60</v>
      </c>
      <c r="L368" s="55">
        <f t="shared" si="44"/>
        <v>90</v>
      </c>
      <c r="M368" s="55"/>
    </row>
    <row r="369" spans="9:13" x14ac:dyDescent="0.15">
      <c r="I369" s="54"/>
      <c r="J369" s="51">
        <v>365</v>
      </c>
      <c r="K369" s="55">
        <v>60</v>
      </c>
      <c r="L369" s="55">
        <f t="shared" si="44"/>
        <v>90</v>
      </c>
      <c r="M369" s="55"/>
    </row>
    <row r="370" spans="9:13" x14ac:dyDescent="0.15">
      <c r="I370" s="54"/>
      <c r="J370" s="51">
        <v>366</v>
      </c>
      <c r="K370" s="55">
        <v>60</v>
      </c>
      <c r="L370" s="55">
        <f t="shared" si="44"/>
        <v>90</v>
      </c>
      <c r="M370" s="55"/>
    </row>
    <row r="371" spans="9:13" x14ac:dyDescent="0.15">
      <c r="I371" s="54"/>
      <c r="J371" s="51">
        <v>367</v>
      </c>
      <c r="K371" s="55">
        <v>60</v>
      </c>
      <c r="L371" s="55">
        <f t="shared" si="44"/>
        <v>90</v>
      </c>
      <c r="M371" s="55"/>
    </row>
    <row r="372" spans="9:13" x14ac:dyDescent="0.15">
      <c r="I372" s="54"/>
      <c r="J372" s="51">
        <v>368</v>
      </c>
      <c r="K372" s="55">
        <v>60</v>
      </c>
      <c r="L372" s="55">
        <f t="shared" si="44"/>
        <v>90</v>
      </c>
      <c r="M372" s="55"/>
    </row>
    <row r="373" spans="9:13" x14ac:dyDescent="0.15">
      <c r="I373" s="54"/>
      <c r="J373" s="51">
        <v>369</v>
      </c>
      <c r="K373" s="55">
        <v>60</v>
      </c>
      <c r="L373" s="55">
        <f t="shared" si="44"/>
        <v>90</v>
      </c>
      <c r="M373" s="55"/>
    </row>
    <row r="374" spans="9:13" x14ac:dyDescent="0.15">
      <c r="I374" s="54"/>
      <c r="J374" s="51">
        <v>370</v>
      </c>
      <c r="K374" s="55">
        <v>60</v>
      </c>
      <c r="L374" s="55">
        <f t="shared" si="44"/>
        <v>90</v>
      </c>
      <c r="M374" s="55"/>
    </row>
    <row r="375" spans="9:13" x14ac:dyDescent="0.15">
      <c r="I375" s="54"/>
      <c r="J375" s="51">
        <v>371</v>
      </c>
      <c r="K375" s="55">
        <v>60</v>
      </c>
      <c r="L375" s="55">
        <f t="shared" si="44"/>
        <v>90</v>
      </c>
      <c r="M375" s="55"/>
    </row>
    <row r="376" spans="9:13" x14ac:dyDescent="0.15">
      <c r="I376" s="54"/>
      <c r="J376" s="51">
        <v>372</v>
      </c>
      <c r="K376" s="55">
        <v>60</v>
      </c>
      <c r="L376" s="55">
        <f t="shared" si="44"/>
        <v>90</v>
      </c>
      <c r="M376" s="55"/>
    </row>
    <row r="377" spans="9:13" x14ac:dyDescent="0.15">
      <c r="I377" s="54"/>
      <c r="J377" s="51">
        <v>373</v>
      </c>
      <c r="K377" s="55">
        <v>60</v>
      </c>
      <c r="L377" s="55">
        <f t="shared" si="44"/>
        <v>90</v>
      </c>
      <c r="M377" s="55"/>
    </row>
    <row r="378" spans="9:13" x14ac:dyDescent="0.15">
      <c r="I378" s="54"/>
      <c r="J378" s="51">
        <v>374</v>
      </c>
      <c r="K378" s="55">
        <v>60</v>
      </c>
      <c r="L378" s="55">
        <f t="shared" si="44"/>
        <v>90</v>
      </c>
      <c r="M378" s="55"/>
    </row>
    <row r="379" spans="9:13" x14ac:dyDescent="0.15">
      <c r="I379" s="54"/>
      <c r="J379" s="51">
        <v>375</v>
      </c>
      <c r="K379" s="55">
        <v>60</v>
      </c>
      <c r="L379" s="55">
        <f t="shared" si="44"/>
        <v>90</v>
      </c>
      <c r="M379" s="55"/>
    </row>
    <row r="380" spans="9:13" x14ac:dyDescent="0.15">
      <c r="I380" s="54"/>
      <c r="J380" s="51">
        <v>376</v>
      </c>
      <c r="K380" s="55">
        <v>60</v>
      </c>
      <c r="L380" s="55">
        <f t="shared" si="44"/>
        <v>90</v>
      </c>
      <c r="M380" s="55"/>
    </row>
    <row r="381" spans="9:13" x14ac:dyDescent="0.15">
      <c r="I381" s="54"/>
      <c r="J381" s="51">
        <v>377</v>
      </c>
      <c r="K381" s="55">
        <v>60</v>
      </c>
      <c r="L381" s="55">
        <f t="shared" si="44"/>
        <v>90</v>
      </c>
      <c r="M381" s="55"/>
    </row>
    <row r="382" spans="9:13" x14ac:dyDescent="0.15">
      <c r="I382" s="54"/>
      <c r="J382" s="51">
        <v>378</v>
      </c>
      <c r="K382" s="55">
        <v>60</v>
      </c>
      <c r="L382" s="55">
        <f t="shared" si="44"/>
        <v>90</v>
      </c>
      <c r="M382" s="55"/>
    </row>
    <row r="383" spans="9:13" x14ac:dyDescent="0.15">
      <c r="I383" s="54"/>
      <c r="J383" s="51">
        <v>379</v>
      </c>
      <c r="K383" s="55">
        <v>60</v>
      </c>
      <c r="L383" s="55">
        <f t="shared" si="44"/>
        <v>90</v>
      </c>
      <c r="M383" s="55"/>
    </row>
    <row r="384" spans="9:13" x14ac:dyDescent="0.15">
      <c r="I384" s="54"/>
      <c r="J384" s="51">
        <v>380</v>
      </c>
      <c r="K384" s="55">
        <v>60</v>
      </c>
      <c r="L384" s="55">
        <f t="shared" si="44"/>
        <v>90</v>
      </c>
      <c r="M384" s="55"/>
    </row>
    <row r="385" spans="9:13" x14ac:dyDescent="0.15">
      <c r="I385" s="54"/>
      <c r="J385" s="51">
        <v>381</v>
      </c>
      <c r="K385" s="55">
        <v>60</v>
      </c>
      <c r="L385" s="55">
        <f t="shared" si="44"/>
        <v>90</v>
      </c>
      <c r="M385" s="55"/>
    </row>
    <row r="386" spans="9:13" x14ac:dyDescent="0.15">
      <c r="I386" s="54"/>
      <c r="J386" s="51">
        <v>382</v>
      </c>
      <c r="K386" s="55">
        <v>60</v>
      </c>
      <c r="L386" s="55">
        <f t="shared" si="44"/>
        <v>90</v>
      </c>
      <c r="M386" s="55"/>
    </row>
    <row r="387" spans="9:13" x14ac:dyDescent="0.15">
      <c r="I387" s="54"/>
      <c r="J387" s="51">
        <v>383</v>
      </c>
      <c r="K387" s="55">
        <v>60</v>
      </c>
      <c r="L387" s="55">
        <f t="shared" si="44"/>
        <v>90</v>
      </c>
      <c r="M387" s="55"/>
    </row>
    <row r="388" spans="9:13" x14ac:dyDescent="0.15">
      <c r="I388" s="54"/>
      <c r="J388" s="51">
        <v>384</v>
      </c>
      <c r="K388" s="55">
        <v>60</v>
      </c>
      <c r="L388" s="55">
        <f t="shared" si="44"/>
        <v>90</v>
      </c>
      <c r="M388" s="55"/>
    </row>
    <row r="389" spans="9:13" x14ac:dyDescent="0.15">
      <c r="I389" s="54"/>
      <c r="J389" s="51">
        <v>385</v>
      </c>
      <c r="K389" s="55">
        <v>60</v>
      </c>
      <c r="L389" s="55">
        <f t="shared" si="44"/>
        <v>90</v>
      </c>
      <c r="M389" s="55"/>
    </row>
    <row r="390" spans="9:13" x14ac:dyDescent="0.15">
      <c r="I390" s="54"/>
      <c r="J390" s="51">
        <v>386</v>
      </c>
      <c r="K390" s="55">
        <v>60</v>
      </c>
      <c r="L390" s="55">
        <f t="shared" ref="L390:L453" si="45">K390*1.5</f>
        <v>90</v>
      </c>
      <c r="M390" s="55"/>
    </row>
    <row r="391" spans="9:13" x14ac:dyDescent="0.15">
      <c r="I391" s="54"/>
      <c r="J391" s="51">
        <v>387</v>
      </c>
      <c r="K391" s="55">
        <v>60</v>
      </c>
      <c r="L391" s="55">
        <f t="shared" si="45"/>
        <v>90</v>
      </c>
      <c r="M391" s="55"/>
    </row>
    <row r="392" spans="9:13" x14ac:dyDescent="0.15">
      <c r="I392" s="54"/>
      <c r="J392" s="51">
        <v>388</v>
      </c>
      <c r="K392" s="55">
        <v>60</v>
      </c>
      <c r="L392" s="55">
        <f t="shared" si="45"/>
        <v>90</v>
      </c>
      <c r="M392" s="55"/>
    </row>
    <row r="393" spans="9:13" x14ac:dyDescent="0.15">
      <c r="I393" s="54"/>
      <c r="J393" s="51">
        <v>389</v>
      </c>
      <c r="K393" s="55">
        <v>60</v>
      </c>
      <c r="L393" s="55">
        <f t="shared" si="45"/>
        <v>90</v>
      </c>
      <c r="M393" s="55"/>
    </row>
    <row r="394" spans="9:13" x14ac:dyDescent="0.15">
      <c r="I394" s="54"/>
      <c r="J394" s="51">
        <v>390</v>
      </c>
      <c r="K394" s="55">
        <v>60</v>
      </c>
      <c r="L394" s="55">
        <f t="shared" si="45"/>
        <v>90</v>
      </c>
      <c r="M394" s="55"/>
    </row>
    <row r="395" spans="9:13" x14ac:dyDescent="0.15">
      <c r="I395" s="54"/>
      <c r="J395" s="51">
        <v>391</v>
      </c>
      <c r="K395" s="55">
        <v>60</v>
      </c>
      <c r="L395" s="55">
        <f t="shared" si="45"/>
        <v>90</v>
      </c>
      <c r="M395" s="55"/>
    </row>
    <row r="396" spans="9:13" x14ac:dyDescent="0.15">
      <c r="I396" s="54"/>
      <c r="J396" s="51">
        <v>392</v>
      </c>
      <c r="K396" s="55">
        <v>60</v>
      </c>
      <c r="L396" s="55">
        <f t="shared" si="45"/>
        <v>90</v>
      </c>
      <c r="M396" s="55"/>
    </row>
    <row r="397" spans="9:13" x14ac:dyDescent="0.15">
      <c r="I397" s="54"/>
      <c r="J397" s="51">
        <v>393</v>
      </c>
      <c r="K397" s="55">
        <v>60</v>
      </c>
      <c r="L397" s="55">
        <f t="shared" si="45"/>
        <v>90</v>
      </c>
      <c r="M397" s="55"/>
    </row>
    <row r="398" spans="9:13" x14ac:dyDescent="0.15">
      <c r="I398" s="54"/>
      <c r="J398" s="51">
        <v>394</v>
      </c>
      <c r="K398" s="55">
        <v>60</v>
      </c>
      <c r="L398" s="55">
        <f t="shared" si="45"/>
        <v>90</v>
      </c>
      <c r="M398" s="55"/>
    </row>
    <row r="399" spans="9:13" x14ac:dyDescent="0.15">
      <c r="I399" s="54"/>
      <c r="J399" s="51">
        <v>395</v>
      </c>
      <c r="K399" s="55">
        <v>60</v>
      </c>
      <c r="L399" s="55">
        <f t="shared" si="45"/>
        <v>90</v>
      </c>
      <c r="M399" s="55"/>
    </row>
    <row r="400" spans="9:13" x14ac:dyDescent="0.15">
      <c r="I400" s="54"/>
      <c r="J400" s="51">
        <v>396</v>
      </c>
      <c r="K400" s="55">
        <v>60</v>
      </c>
      <c r="L400" s="55">
        <f t="shared" si="45"/>
        <v>90</v>
      </c>
      <c r="M400" s="55"/>
    </row>
    <row r="401" spans="9:13" x14ac:dyDescent="0.15">
      <c r="I401" s="54"/>
      <c r="J401" s="51">
        <v>397</v>
      </c>
      <c r="K401" s="55">
        <v>60</v>
      </c>
      <c r="L401" s="55">
        <f t="shared" si="45"/>
        <v>90</v>
      </c>
      <c r="M401" s="55"/>
    </row>
    <row r="402" spans="9:13" x14ac:dyDescent="0.15">
      <c r="I402" s="54"/>
      <c r="J402" s="51">
        <v>398</v>
      </c>
      <c r="K402" s="55">
        <v>60</v>
      </c>
      <c r="L402" s="55">
        <f t="shared" si="45"/>
        <v>90</v>
      </c>
      <c r="M402" s="55"/>
    </row>
    <row r="403" spans="9:13" x14ac:dyDescent="0.15">
      <c r="I403" s="54"/>
      <c r="J403" s="51">
        <v>399</v>
      </c>
      <c r="K403" s="55">
        <v>60</v>
      </c>
      <c r="L403" s="55">
        <f t="shared" si="45"/>
        <v>90</v>
      </c>
      <c r="M403" s="55"/>
    </row>
    <row r="404" spans="9:13" x14ac:dyDescent="0.15">
      <c r="I404" s="54"/>
      <c r="J404" s="51">
        <v>400</v>
      </c>
      <c r="K404" s="55">
        <v>60</v>
      </c>
      <c r="L404" s="55">
        <f t="shared" si="45"/>
        <v>90</v>
      </c>
      <c r="M404" s="55"/>
    </row>
    <row r="405" spans="9:13" x14ac:dyDescent="0.15">
      <c r="I405" s="54"/>
      <c r="J405" s="51">
        <v>401</v>
      </c>
      <c r="K405" s="55">
        <v>60</v>
      </c>
      <c r="L405" s="55">
        <f t="shared" si="45"/>
        <v>90</v>
      </c>
      <c r="M405" s="55"/>
    </row>
    <row r="406" spans="9:13" x14ac:dyDescent="0.15">
      <c r="I406" s="54"/>
      <c r="J406" s="51">
        <v>402</v>
      </c>
      <c r="K406" s="55">
        <v>60</v>
      </c>
      <c r="L406" s="55">
        <f t="shared" si="45"/>
        <v>90</v>
      </c>
      <c r="M406" s="55"/>
    </row>
    <row r="407" spans="9:13" x14ac:dyDescent="0.15">
      <c r="I407" s="54"/>
      <c r="J407" s="51">
        <v>403</v>
      </c>
      <c r="K407" s="55">
        <v>60</v>
      </c>
      <c r="L407" s="55">
        <f t="shared" si="45"/>
        <v>90</v>
      </c>
      <c r="M407" s="55"/>
    </row>
    <row r="408" spans="9:13" x14ac:dyDescent="0.15">
      <c r="I408" s="54"/>
      <c r="J408" s="51">
        <v>404</v>
      </c>
      <c r="K408" s="55">
        <v>60</v>
      </c>
      <c r="L408" s="55">
        <f t="shared" si="45"/>
        <v>90</v>
      </c>
      <c r="M408" s="55"/>
    </row>
    <row r="409" spans="9:13" x14ac:dyDescent="0.15">
      <c r="I409" s="54"/>
      <c r="J409" s="51">
        <v>405</v>
      </c>
      <c r="K409" s="55">
        <v>60</v>
      </c>
      <c r="L409" s="55">
        <f t="shared" si="45"/>
        <v>90</v>
      </c>
      <c r="M409" s="55"/>
    </row>
    <row r="410" spans="9:13" x14ac:dyDescent="0.15">
      <c r="I410" s="54"/>
      <c r="J410" s="51">
        <v>406</v>
      </c>
      <c r="K410" s="55">
        <v>60</v>
      </c>
      <c r="L410" s="55">
        <f t="shared" si="45"/>
        <v>90</v>
      </c>
      <c r="M410" s="55"/>
    </row>
    <row r="411" spans="9:13" x14ac:dyDescent="0.15">
      <c r="I411" s="54"/>
      <c r="J411" s="51">
        <v>407</v>
      </c>
      <c r="K411" s="55">
        <v>60</v>
      </c>
      <c r="L411" s="55">
        <f t="shared" si="45"/>
        <v>90</v>
      </c>
      <c r="M411" s="55"/>
    </row>
    <row r="412" spans="9:13" x14ac:dyDescent="0.15">
      <c r="I412" s="54"/>
      <c r="J412" s="51">
        <v>408</v>
      </c>
      <c r="K412" s="55">
        <v>60</v>
      </c>
      <c r="L412" s="55">
        <f t="shared" si="45"/>
        <v>90</v>
      </c>
      <c r="M412" s="55"/>
    </row>
    <row r="413" spans="9:13" x14ac:dyDescent="0.15">
      <c r="I413" s="54"/>
      <c r="J413" s="51">
        <v>409</v>
      </c>
      <c r="K413" s="55">
        <v>60</v>
      </c>
      <c r="L413" s="55">
        <f t="shared" si="45"/>
        <v>90</v>
      </c>
      <c r="M413" s="55"/>
    </row>
    <row r="414" spans="9:13" x14ac:dyDescent="0.15">
      <c r="I414" s="54"/>
      <c r="J414" s="51">
        <v>410</v>
      </c>
      <c r="K414" s="55">
        <v>60</v>
      </c>
      <c r="L414" s="55">
        <f t="shared" si="45"/>
        <v>90</v>
      </c>
      <c r="M414" s="55"/>
    </row>
    <row r="415" spans="9:13" x14ac:dyDescent="0.15">
      <c r="I415" s="54"/>
      <c r="J415" s="51">
        <v>411</v>
      </c>
      <c r="K415" s="55">
        <v>60</v>
      </c>
      <c r="L415" s="55">
        <f t="shared" si="45"/>
        <v>90</v>
      </c>
      <c r="M415" s="55"/>
    </row>
    <row r="416" spans="9:13" x14ac:dyDescent="0.15">
      <c r="I416" s="54"/>
      <c r="J416" s="51">
        <v>412</v>
      </c>
      <c r="K416" s="55">
        <v>60</v>
      </c>
      <c r="L416" s="55">
        <f t="shared" si="45"/>
        <v>90</v>
      </c>
      <c r="M416" s="55"/>
    </row>
    <row r="417" spans="9:13" x14ac:dyDescent="0.15">
      <c r="I417" s="54"/>
      <c r="J417" s="51">
        <v>413</v>
      </c>
      <c r="K417" s="55">
        <v>60</v>
      </c>
      <c r="L417" s="55">
        <f t="shared" si="45"/>
        <v>90</v>
      </c>
      <c r="M417" s="55"/>
    </row>
    <row r="418" spans="9:13" x14ac:dyDescent="0.15">
      <c r="I418" s="54"/>
      <c r="J418" s="51">
        <v>414</v>
      </c>
      <c r="K418" s="55">
        <v>60</v>
      </c>
      <c r="L418" s="55">
        <f t="shared" si="45"/>
        <v>90</v>
      </c>
      <c r="M418" s="55"/>
    </row>
    <row r="419" spans="9:13" x14ac:dyDescent="0.15">
      <c r="I419" s="54"/>
      <c r="J419" s="51">
        <v>415</v>
      </c>
      <c r="K419" s="55">
        <v>60</v>
      </c>
      <c r="L419" s="55">
        <f t="shared" si="45"/>
        <v>90</v>
      </c>
      <c r="M419" s="55"/>
    </row>
    <row r="420" spans="9:13" x14ac:dyDescent="0.15">
      <c r="I420" s="54"/>
      <c r="J420" s="51">
        <v>416</v>
      </c>
      <c r="K420" s="55">
        <v>60</v>
      </c>
      <c r="L420" s="55">
        <f t="shared" si="45"/>
        <v>90</v>
      </c>
      <c r="M420" s="55"/>
    </row>
    <row r="421" spans="9:13" x14ac:dyDescent="0.15">
      <c r="I421" s="54"/>
      <c r="J421" s="51">
        <v>417</v>
      </c>
      <c r="K421" s="55">
        <v>60</v>
      </c>
      <c r="L421" s="55">
        <f t="shared" si="45"/>
        <v>90</v>
      </c>
      <c r="M421" s="55"/>
    </row>
    <row r="422" spans="9:13" x14ac:dyDescent="0.15">
      <c r="I422" s="54"/>
      <c r="J422" s="51">
        <v>418</v>
      </c>
      <c r="K422" s="55">
        <v>60</v>
      </c>
      <c r="L422" s="55">
        <f t="shared" si="45"/>
        <v>90</v>
      </c>
      <c r="M422" s="55"/>
    </row>
    <row r="423" spans="9:13" x14ac:dyDescent="0.15">
      <c r="I423" s="54"/>
      <c r="J423" s="51">
        <v>419</v>
      </c>
      <c r="K423" s="55">
        <v>60</v>
      </c>
      <c r="L423" s="55">
        <f t="shared" si="45"/>
        <v>90</v>
      </c>
      <c r="M423" s="55"/>
    </row>
    <row r="424" spans="9:13" x14ac:dyDescent="0.15">
      <c r="I424" s="54"/>
      <c r="J424" s="51">
        <v>420</v>
      </c>
      <c r="K424" s="55">
        <v>60</v>
      </c>
      <c r="L424" s="55">
        <f t="shared" si="45"/>
        <v>90</v>
      </c>
      <c r="M424" s="55"/>
    </row>
    <row r="425" spans="9:13" x14ac:dyDescent="0.15">
      <c r="I425" s="54"/>
      <c r="J425" s="51">
        <v>421</v>
      </c>
      <c r="K425" s="55">
        <v>60</v>
      </c>
      <c r="L425" s="55">
        <f t="shared" si="45"/>
        <v>90</v>
      </c>
      <c r="M425" s="55"/>
    </row>
    <row r="426" spans="9:13" x14ac:dyDescent="0.15">
      <c r="I426" s="54"/>
      <c r="J426" s="51">
        <v>422</v>
      </c>
      <c r="K426" s="55">
        <v>60</v>
      </c>
      <c r="L426" s="55">
        <f t="shared" si="45"/>
        <v>90</v>
      </c>
      <c r="M426" s="55"/>
    </row>
    <row r="427" spans="9:13" x14ac:dyDescent="0.15">
      <c r="I427" s="54"/>
      <c r="J427" s="51">
        <v>423</v>
      </c>
      <c r="K427" s="55">
        <v>60</v>
      </c>
      <c r="L427" s="55">
        <f t="shared" si="45"/>
        <v>90</v>
      </c>
      <c r="M427" s="55"/>
    </row>
    <row r="428" spans="9:13" x14ac:dyDescent="0.15">
      <c r="I428" s="54"/>
      <c r="J428" s="51">
        <v>424</v>
      </c>
      <c r="K428" s="55">
        <v>60</v>
      </c>
      <c r="L428" s="55">
        <f t="shared" si="45"/>
        <v>90</v>
      </c>
      <c r="M428" s="55"/>
    </row>
    <row r="429" spans="9:13" x14ac:dyDescent="0.15">
      <c r="I429" s="54"/>
      <c r="J429" s="51">
        <v>425</v>
      </c>
      <c r="K429" s="55">
        <v>60</v>
      </c>
      <c r="L429" s="55">
        <f t="shared" si="45"/>
        <v>90</v>
      </c>
      <c r="M429" s="55"/>
    </row>
    <row r="430" spans="9:13" x14ac:dyDescent="0.15">
      <c r="I430" s="54"/>
      <c r="J430" s="51">
        <v>426</v>
      </c>
      <c r="K430" s="55">
        <v>60</v>
      </c>
      <c r="L430" s="55">
        <f t="shared" si="45"/>
        <v>90</v>
      </c>
      <c r="M430" s="55"/>
    </row>
    <row r="431" spans="9:13" x14ac:dyDescent="0.15">
      <c r="I431" s="54"/>
      <c r="J431" s="51">
        <v>427</v>
      </c>
      <c r="K431" s="55">
        <v>60</v>
      </c>
      <c r="L431" s="55">
        <f t="shared" si="45"/>
        <v>90</v>
      </c>
      <c r="M431" s="55"/>
    </row>
    <row r="432" spans="9:13" x14ac:dyDescent="0.15">
      <c r="I432" s="54"/>
      <c r="J432" s="51">
        <v>428</v>
      </c>
      <c r="K432" s="55">
        <v>60</v>
      </c>
      <c r="L432" s="55">
        <f t="shared" si="45"/>
        <v>90</v>
      </c>
      <c r="M432" s="55"/>
    </row>
    <row r="433" spans="9:13" x14ac:dyDescent="0.15">
      <c r="I433" s="54"/>
      <c r="J433" s="51">
        <v>429</v>
      </c>
      <c r="K433" s="55">
        <v>60</v>
      </c>
      <c r="L433" s="55">
        <f t="shared" si="45"/>
        <v>90</v>
      </c>
      <c r="M433" s="55"/>
    </row>
    <row r="434" spans="9:13" x14ac:dyDescent="0.15">
      <c r="I434" s="54"/>
      <c r="J434" s="51">
        <v>430</v>
      </c>
      <c r="K434" s="55">
        <v>60</v>
      </c>
      <c r="L434" s="55">
        <f t="shared" si="45"/>
        <v>90</v>
      </c>
      <c r="M434" s="55"/>
    </row>
    <row r="435" spans="9:13" x14ac:dyDescent="0.15">
      <c r="I435" s="54"/>
      <c r="J435" s="51">
        <v>431</v>
      </c>
      <c r="K435" s="55">
        <v>60</v>
      </c>
      <c r="L435" s="55">
        <f t="shared" si="45"/>
        <v>90</v>
      </c>
      <c r="M435" s="55"/>
    </row>
    <row r="436" spans="9:13" x14ac:dyDescent="0.15">
      <c r="I436" s="54"/>
      <c r="J436" s="51">
        <v>432</v>
      </c>
      <c r="K436" s="55">
        <v>60</v>
      </c>
      <c r="L436" s="55">
        <f t="shared" si="45"/>
        <v>90</v>
      </c>
      <c r="M436" s="55"/>
    </row>
    <row r="437" spans="9:13" x14ac:dyDescent="0.15">
      <c r="I437" s="54"/>
      <c r="J437" s="51">
        <v>433</v>
      </c>
      <c r="K437" s="55">
        <v>60</v>
      </c>
      <c r="L437" s="55">
        <f t="shared" si="45"/>
        <v>90</v>
      </c>
      <c r="M437" s="55"/>
    </row>
    <row r="438" spans="9:13" x14ac:dyDescent="0.15">
      <c r="I438" s="54"/>
      <c r="J438" s="51">
        <v>434</v>
      </c>
      <c r="K438" s="55">
        <v>60</v>
      </c>
      <c r="L438" s="55">
        <f t="shared" si="45"/>
        <v>90</v>
      </c>
      <c r="M438" s="55"/>
    </row>
    <row r="439" spans="9:13" x14ac:dyDescent="0.15">
      <c r="I439" s="54"/>
      <c r="J439" s="51">
        <v>435</v>
      </c>
      <c r="K439" s="55">
        <v>60</v>
      </c>
      <c r="L439" s="55">
        <f t="shared" si="45"/>
        <v>90</v>
      </c>
      <c r="M439" s="55"/>
    </row>
    <row r="440" spans="9:13" x14ac:dyDescent="0.15">
      <c r="I440" s="54"/>
      <c r="J440" s="51">
        <v>436</v>
      </c>
      <c r="K440" s="55">
        <v>60</v>
      </c>
      <c r="L440" s="55">
        <f t="shared" si="45"/>
        <v>90</v>
      </c>
      <c r="M440" s="55"/>
    </row>
    <row r="441" spans="9:13" x14ac:dyDescent="0.15">
      <c r="I441" s="54"/>
      <c r="J441" s="51">
        <v>437</v>
      </c>
      <c r="K441" s="55">
        <v>60</v>
      </c>
      <c r="L441" s="55">
        <f t="shared" si="45"/>
        <v>90</v>
      </c>
      <c r="M441" s="55"/>
    </row>
    <row r="442" spans="9:13" x14ac:dyDescent="0.15">
      <c r="I442" s="54"/>
      <c r="J442" s="51">
        <v>438</v>
      </c>
      <c r="K442" s="55">
        <v>60</v>
      </c>
      <c r="L442" s="55">
        <f t="shared" si="45"/>
        <v>90</v>
      </c>
      <c r="M442" s="55"/>
    </row>
    <row r="443" spans="9:13" x14ac:dyDescent="0.15">
      <c r="I443" s="54"/>
      <c r="J443" s="51">
        <v>439</v>
      </c>
      <c r="K443" s="55">
        <v>60</v>
      </c>
      <c r="L443" s="55">
        <f t="shared" si="45"/>
        <v>90</v>
      </c>
      <c r="M443" s="55"/>
    </row>
    <row r="444" spans="9:13" x14ac:dyDescent="0.15">
      <c r="I444" s="54"/>
      <c r="J444" s="51">
        <v>440</v>
      </c>
      <c r="K444" s="55">
        <v>60</v>
      </c>
      <c r="L444" s="55">
        <f t="shared" si="45"/>
        <v>90</v>
      </c>
      <c r="M444" s="55"/>
    </row>
    <row r="445" spans="9:13" x14ac:dyDescent="0.15">
      <c r="I445" s="54"/>
      <c r="J445" s="51">
        <v>441</v>
      </c>
      <c r="K445" s="55">
        <v>60</v>
      </c>
      <c r="L445" s="55">
        <f t="shared" si="45"/>
        <v>90</v>
      </c>
      <c r="M445" s="55"/>
    </row>
    <row r="446" spans="9:13" x14ac:dyDescent="0.15">
      <c r="I446" s="54"/>
      <c r="J446" s="51">
        <v>442</v>
      </c>
      <c r="K446" s="55">
        <v>60</v>
      </c>
      <c r="L446" s="55">
        <f t="shared" si="45"/>
        <v>90</v>
      </c>
      <c r="M446" s="55"/>
    </row>
    <row r="447" spans="9:13" x14ac:dyDescent="0.15">
      <c r="I447" s="54"/>
      <c r="J447" s="51">
        <v>443</v>
      </c>
      <c r="K447" s="55">
        <v>60</v>
      </c>
      <c r="L447" s="55">
        <f t="shared" si="45"/>
        <v>90</v>
      </c>
      <c r="M447" s="55"/>
    </row>
    <row r="448" spans="9:13" x14ac:dyDescent="0.15">
      <c r="I448" s="54"/>
      <c r="J448" s="51">
        <v>444</v>
      </c>
      <c r="K448" s="55">
        <v>60</v>
      </c>
      <c r="L448" s="55">
        <f t="shared" si="45"/>
        <v>90</v>
      </c>
      <c r="M448" s="55"/>
    </row>
    <row r="449" spans="9:13" x14ac:dyDescent="0.15">
      <c r="I449" s="54"/>
      <c r="J449" s="51">
        <v>445</v>
      </c>
      <c r="K449" s="55">
        <v>60</v>
      </c>
      <c r="L449" s="55">
        <f t="shared" si="45"/>
        <v>90</v>
      </c>
      <c r="M449" s="55"/>
    </row>
    <row r="450" spans="9:13" x14ac:dyDescent="0.15">
      <c r="I450" s="54"/>
      <c r="J450" s="51">
        <v>446</v>
      </c>
      <c r="K450" s="55">
        <v>60</v>
      </c>
      <c r="L450" s="55">
        <f t="shared" si="45"/>
        <v>90</v>
      </c>
      <c r="M450" s="55"/>
    </row>
    <row r="451" spans="9:13" x14ac:dyDescent="0.15">
      <c r="I451" s="54"/>
      <c r="J451" s="51">
        <v>447</v>
      </c>
      <c r="K451" s="55">
        <v>60</v>
      </c>
      <c r="L451" s="55">
        <f t="shared" si="45"/>
        <v>90</v>
      </c>
      <c r="M451" s="55"/>
    </row>
    <row r="452" spans="9:13" x14ac:dyDescent="0.15">
      <c r="I452" s="54"/>
      <c r="J452" s="51">
        <v>448</v>
      </c>
      <c r="K452" s="55">
        <v>60</v>
      </c>
      <c r="L452" s="55">
        <f t="shared" si="45"/>
        <v>90</v>
      </c>
      <c r="M452" s="55"/>
    </row>
    <row r="453" spans="9:13" x14ac:dyDescent="0.15">
      <c r="I453" s="54"/>
      <c r="J453" s="51">
        <v>449</v>
      </c>
      <c r="K453" s="55">
        <v>60</v>
      </c>
      <c r="L453" s="55">
        <f t="shared" si="45"/>
        <v>90</v>
      </c>
      <c r="M453" s="55"/>
    </row>
    <row r="454" spans="9:13" x14ac:dyDescent="0.15">
      <c r="I454" s="54"/>
      <c r="J454" s="51">
        <v>450</v>
      </c>
      <c r="K454" s="55">
        <v>60</v>
      </c>
      <c r="L454" s="55">
        <f t="shared" ref="L454:L517" si="46">K454*1.5</f>
        <v>90</v>
      </c>
      <c r="M454" s="55"/>
    </row>
    <row r="455" spans="9:13" x14ac:dyDescent="0.15">
      <c r="I455" s="54"/>
      <c r="J455" s="51">
        <v>451</v>
      </c>
      <c r="K455" s="55">
        <v>60</v>
      </c>
      <c r="L455" s="55">
        <f t="shared" si="46"/>
        <v>90</v>
      </c>
      <c r="M455" s="55"/>
    </row>
    <row r="456" spans="9:13" x14ac:dyDescent="0.15">
      <c r="I456" s="54"/>
      <c r="J456" s="51">
        <v>452</v>
      </c>
      <c r="K456" s="55">
        <v>60</v>
      </c>
      <c r="L456" s="55">
        <f t="shared" si="46"/>
        <v>90</v>
      </c>
      <c r="M456" s="55"/>
    </row>
    <row r="457" spans="9:13" x14ac:dyDescent="0.15">
      <c r="I457" s="54"/>
      <c r="J457" s="51">
        <v>453</v>
      </c>
      <c r="K457" s="55">
        <v>60</v>
      </c>
      <c r="L457" s="55">
        <f t="shared" si="46"/>
        <v>90</v>
      </c>
      <c r="M457" s="55"/>
    </row>
    <row r="458" spans="9:13" x14ac:dyDescent="0.15">
      <c r="I458" s="54"/>
      <c r="J458" s="51">
        <v>454</v>
      </c>
      <c r="K458" s="55">
        <v>60</v>
      </c>
      <c r="L458" s="55">
        <f t="shared" si="46"/>
        <v>90</v>
      </c>
      <c r="M458" s="55"/>
    </row>
    <row r="459" spans="9:13" x14ac:dyDescent="0.15">
      <c r="I459" s="54"/>
      <c r="J459" s="51">
        <v>455</v>
      </c>
      <c r="K459" s="55">
        <v>60</v>
      </c>
      <c r="L459" s="55">
        <f t="shared" si="46"/>
        <v>90</v>
      </c>
      <c r="M459" s="55"/>
    </row>
    <row r="460" spans="9:13" x14ac:dyDescent="0.15">
      <c r="I460" s="54"/>
      <c r="J460" s="51">
        <v>456</v>
      </c>
      <c r="K460" s="55">
        <v>60</v>
      </c>
      <c r="L460" s="55">
        <f t="shared" si="46"/>
        <v>90</v>
      </c>
      <c r="M460" s="55"/>
    </row>
    <row r="461" spans="9:13" x14ac:dyDescent="0.15">
      <c r="I461" s="54"/>
      <c r="J461" s="51">
        <v>457</v>
      </c>
      <c r="K461" s="55">
        <v>60</v>
      </c>
      <c r="L461" s="55">
        <f t="shared" si="46"/>
        <v>90</v>
      </c>
      <c r="M461" s="55"/>
    </row>
    <row r="462" spans="9:13" x14ac:dyDescent="0.15">
      <c r="I462" s="54"/>
      <c r="J462" s="51">
        <v>458</v>
      </c>
      <c r="K462" s="55">
        <v>60</v>
      </c>
      <c r="L462" s="55">
        <f t="shared" si="46"/>
        <v>90</v>
      </c>
      <c r="M462" s="55"/>
    </row>
    <row r="463" spans="9:13" x14ac:dyDescent="0.15">
      <c r="I463" s="54"/>
      <c r="J463" s="51">
        <v>459</v>
      </c>
      <c r="K463" s="55">
        <v>60</v>
      </c>
      <c r="L463" s="55">
        <f t="shared" si="46"/>
        <v>90</v>
      </c>
      <c r="M463" s="55"/>
    </row>
    <row r="464" spans="9:13" x14ac:dyDescent="0.15">
      <c r="I464" s="54"/>
      <c r="J464" s="51">
        <v>460</v>
      </c>
      <c r="K464" s="55">
        <v>60</v>
      </c>
      <c r="L464" s="55">
        <f t="shared" si="46"/>
        <v>90</v>
      </c>
      <c r="M464" s="55"/>
    </row>
    <row r="465" spans="9:13" x14ac:dyDescent="0.15">
      <c r="I465" s="54"/>
      <c r="J465" s="51">
        <v>461</v>
      </c>
      <c r="K465" s="55">
        <v>60</v>
      </c>
      <c r="L465" s="55">
        <f t="shared" si="46"/>
        <v>90</v>
      </c>
      <c r="M465" s="55"/>
    </row>
    <row r="466" spans="9:13" x14ac:dyDescent="0.15">
      <c r="I466" s="54"/>
      <c r="J466" s="51">
        <v>462</v>
      </c>
      <c r="K466" s="55">
        <v>60</v>
      </c>
      <c r="L466" s="55">
        <f t="shared" si="46"/>
        <v>90</v>
      </c>
      <c r="M466" s="55"/>
    </row>
    <row r="467" spans="9:13" x14ac:dyDescent="0.15">
      <c r="I467" s="54"/>
      <c r="J467" s="51">
        <v>463</v>
      </c>
      <c r="K467" s="55">
        <v>60</v>
      </c>
      <c r="L467" s="55">
        <f t="shared" si="46"/>
        <v>90</v>
      </c>
      <c r="M467" s="55"/>
    </row>
    <row r="468" spans="9:13" x14ac:dyDescent="0.15">
      <c r="I468" s="54"/>
      <c r="J468" s="51">
        <v>464</v>
      </c>
      <c r="K468" s="55">
        <v>60</v>
      </c>
      <c r="L468" s="55">
        <f t="shared" si="46"/>
        <v>90</v>
      </c>
      <c r="M468" s="55"/>
    </row>
    <row r="469" spans="9:13" x14ac:dyDescent="0.15">
      <c r="I469" s="54"/>
      <c r="J469" s="51">
        <v>465</v>
      </c>
      <c r="K469" s="55">
        <v>60</v>
      </c>
      <c r="L469" s="55">
        <f t="shared" si="46"/>
        <v>90</v>
      </c>
      <c r="M469" s="55"/>
    </row>
    <row r="470" spans="9:13" x14ac:dyDescent="0.15">
      <c r="I470" s="54"/>
      <c r="J470" s="51">
        <v>466</v>
      </c>
      <c r="K470" s="55">
        <v>60</v>
      </c>
      <c r="L470" s="55">
        <f t="shared" si="46"/>
        <v>90</v>
      </c>
      <c r="M470" s="55"/>
    </row>
    <row r="471" spans="9:13" x14ac:dyDescent="0.15">
      <c r="I471" s="54"/>
      <c r="J471" s="51">
        <v>467</v>
      </c>
      <c r="K471" s="55">
        <v>60</v>
      </c>
      <c r="L471" s="55">
        <f t="shared" si="46"/>
        <v>90</v>
      </c>
      <c r="M471" s="55"/>
    </row>
    <row r="472" spans="9:13" x14ac:dyDescent="0.15">
      <c r="I472" s="54"/>
      <c r="J472" s="51">
        <v>468</v>
      </c>
      <c r="K472" s="55">
        <v>60</v>
      </c>
      <c r="L472" s="55">
        <f t="shared" si="46"/>
        <v>90</v>
      </c>
      <c r="M472" s="55"/>
    </row>
    <row r="473" spans="9:13" x14ac:dyDescent="0.15">
      <c r="I473" s="54"/>
      <c r="J473" s="51">
        <v>469</v>
      </c>
      <c r="K473" s="55">
        <v>60</v>
      </c>
      <c r="L473" s="55">
        <f t="shared" si="46"/>
        <v>90</v>
      </c>
      <c r="M473" s="55"/>
    </row>
    <row r="474" spans="9:13" x14ac:dyDescent="0.15">
      <c r="I474" s="54"/>
      <c r="J474" s="51">
        <v>470</v>
      </c>
      <c r="K474" s="55">
        <v>60</v>
      </c>
      <c r="L474" s="55">
        <f t="shared" si="46"/>
        <v>90</v>
      </c>
      <c r="M474" s="55"/>
    </row>
    <row r="475" spans="9:13" x14ac:dyDescent="0.15">
      <c r="I475" s="54"/>
      <c r="J475" s="51">
        <v>471</v>
      </c>
      <c r="K475" s="55">
        <v>60</v>
      </c>
      <c r="L475" s="55">
        <f t="shared" si="46"/>
        <v>90</v>
      </c>
      <c r="M475" s="55"/>
    </row>
    <row r="476" spans="9:13" x14ac:dyDescent="0.15">
      <c r="I476" s="54"/>
      <c r="J476" s="51">
        <v>472</v>
      </c>
      <c r="K476" s="55">
        <v>60</v>
      </c>
      <c r="L476" s="55">
        <f t="shared" si="46"/>
        <v>90</v>
      </c>
      <c r="M476" s="55"/>
    </row>
    <row r="477" spans="9:13" x14ac:dyDescent="0.15">
      <c r="I477" s="54"/>
      <c r="J477" s="51">
        <v>473</v>
      </c>
      <c r="K477" s="55">
        <v>60</v>
      </c>
      <c r="L477" s="55">
        <f t="shared" si="46"/>
        <v>90</v>
      </c>
      <c r="M477" s="55"/>
    </row>
    <row r="478" spans="9:13" x14ac:dyDescent="0.15">
      <c r="I478" s="54"/>
      <c r="J478" s="51">
        <v>474</v>
      </c>
      <c r="K478" s="55">
        <v>60</v>
      </c>
      <c r="L478" s="55">
        <f t="shared" si="46"/>
        <v>90</v>
      </c>
      <c r="M478" s="55"/>
    </row>
    <row r="479" spans="9:13" x14ac:dyDescent="0.15">
      <c r="I479" s="54"/>
      <c r="J479" s="51">
        <v>475</v>
      </c>
      <c r="K479" s="55">
        <v>60</v>
      </c>
      <c r="L479" s="55">
        <f t="shared" si="46"/>
        <v>90</v>
      </c>
      <c r="M479" s="55"/>
    </row>
    <row r="480" spans="9:13" x14ac:dyDescent="0.15">
      <c r="I480" s="54"/>
      <c r="J480" s="51">
        <v>476</v>
      </c>
      <c r="K480" s="55">
        <v>60</v>
      </c>
      <c r="L480" s="55">
        <f t="shared" si="46"/>
        <v>90</v>
      </c>
      <c r="M480" s="55"/>
    </row>
    <row r="481" spans="9:13" x14ac:dyDescent="0.15">
      <c r="I481" s="54"/>
      <c r="J481" s="51">
        <v>477</v>
      </c>
      <c r="K481" s="55">
        <v>60</v>
      </c>
      <c r="L481" s="55">
        <f t="shared" si="46"/>
        <v>90</v>
      </c>
      <c r="M481" s="55"/>
    </row>
    <row r="482" spans="9:13" x14ac:dyDescent="0.15">
      <c r="I482" s="54"/>
      <c r="J482" s="51">
        <v>478</v>
      </c>
      <c r="K482" s="55">
        <v>60</v>
      </c>
      <c r="L482" s="55">
        <f t="shared" si="46"/>
        <v>90</v>
      </c>
      <c r="M482" s="55"/>
    </row>
    <row r="483" spans="9:13" x14ac:dyDescent="0.15">
      <c r="I483" s="54"/>
      <c r="J483" s="51">
        <v>479</v>
      </c>
      <c r="K483" s="55">
        <v>60</v>
      </c>
      <c r="L483" s="55">
        <f t="shared" si="46"/>
        <v>90</v>
      </c>
      <c r="M483" s="55"/>
    </row>
    <row r="484" spans="9:13" x14ac:dyDescent="0.15">
      <c r="I484" s="54"/>
      <c r="J484" s="51">
        <v>480</v>
      </c>
      <c r="K484" s="55">
        <v>60</v>
      </c>
      <c r="L484" s="55">
        <f t="shared" si="46"/>
        <v>90</v>
      </c>
      <c r="M484" s="55"/>
    </row>
    <row r="485" spans="9:13" x14ac:dyDescent="0.15">
      <c r="I485" s="54"/>
      <c r="J485" s="51">
        <v>481</v>
      </c>
      <c r="K485" s="55">
        <v>60</v>
      </c>
      <c r="L485" s="55">
        <f t="shared" si="46"/>
        <v>90</v>
      </c>
      <c r="M485" s="55"/>
    </row>
    <row r="486" spans="9:13" x14ac:dyDescent="0.15">
      <c r="I486" s="54"/>
      <c r="J486" s="51">
        <v>482</v>
      </c>
      <c r="K486" s="55">
        <v>60</v>
      </c>
      <c r="L486" s="55">
        <f t="shared" si="46"/>
        <v>90</v>
      </c>
      <c r="M486" s="55"/>
    </row>
    <row r="487" spans="9:13" x14ac:dyDescent="0.15">
      <c r="I487" s="54"/>
      <c r="J487" s="51">
        <v>483</v>
      </c>
      <c r="K487" s="55">
        <v>60</v>
      </c>
      <c r="L487" s="55">
        <f t="shared" si="46"/>
        <v>90</v>
      </c>
      <c r="M487" s="55"/>
    </row>
    <row r="488" spans="9:13" x14ac:dyDescent="0.15">
      <c r="I488" s="54"/>
      <c r="J488" s="51">
        <v>484</v>
      </c>
      <c r="K488" s="55">
        <v>60</v>
      </c>
      <c r="L488" s="55">
        <f t="shared" si="46"/>
        <v>90</v>
      </c>
      <c r="M488" s="55"/>
    </row>
    <row r="489" spans="9:13" x14ac:dyDescent="0.15">
      <c r="I489" s="54"/>
      <c r="J489" s="51">
        <v>485</v>
      </c>
      <c r="K489" s="55">
        <v>60</v>
      </c>
      <c r="L489" s="55">
        <f t="shared" si="46"/>
        <v>90</v>
      </c>
      <c r="M489" s="55"/>
    </row>
    <row r="490" spans="9:13" x14ac:dyDescent="0.15">
      <c r="I490" s="54"/>
      <c r="J490" s="51">
        <v>486</v>
      </c>
      <c r="K490" s="55">
        <v>60</v>
      </c>
      <c r="L490" s="55">
        <f t="shared" si="46"/>
        <v>90</v>
      </c>
      <c r="M490" s="55"/>
    </row>
    <row r="491" spans="9:13" x14ac:dyDescent="0.15">
      <c r="I491" s="54"/>
      <c r="J491" s="51">
        <v>487</v>
      </c>
      <c r="K491" s="55">
        <v>60</v>
      </c>
      <c r="L491" s="55">
        <f t="shared" si="46"/>
        <v>90</v>
      </c>
      <c r="M491" s="55"/>
    </row>
    <row r="492" spans="9:13" x14ac:dyDescent="0.15">
      <c r="I492" s="54"/>
      <c r="J492" s="51">
        <v>488</v>
      </c>
      <c r="K492" s="55">
        <v>60</v>
      </c>
      <c r="L492" s="55">
        <f t="shared" si="46"/>
        <v>90</v>
      </c>
      <c r="M492" s="55"/>
    </row>
    <row r="493" spans="9:13" x14ac:dyDescent="0.15">
      <c r="I493" s="54"/>
      <c r="J493" s="51">
        <v>489</v>
      </c>
      <c r="K493" s="55">
        <v>60</v>
      </c>
      <c r="L493" s="55">
        <f t="shared" si="46"/>
        <v>90</v>
      </c>
      <c r="M493" s="55"/>
    </row>
    <row r="494" spans="9:13" x14ac:dyDescent="0.15">
      <c r="I494" s="54"/>
      <c r="J494" s="51">
        <v>490</v>
      </c>
      <c r="K494" s="55">
        <v>60</v>
      </c>
      <c r="L494" s="55">
        <f t="shared" si="46"/>
        <v>90</v>
      </c>
      <c r="M494" s="55"/>
    </row>
    <row r="495" spans="9:13" x14ac:dyDescent="0.15">
      <c r="I495" s="54"/>
      <c r="J495" s="51">
        <v>491</v>
      </c>
      <c r="K495" s="55">
        <v>60</v>
      </c>
      <c r="L495" s="55">
        <f t="shared" si="46"/>
        <v>90</v>
      </c>
      <c r="M495" s="55"/>
    </row>
    <row r="496" spans="9:13" x14ac:dyDescent="0.15">
      <c r="I496" s="54"/>
      <c r="J496" s="51">
        <v>492</v>
      </c>
      <c r="K496" s="55">
        <v>60</v>
      </c>
      <c r="L496" s="55">
        <f t="shared" si="46"/>
        <v>90</v>
      </c>
      <c r="M496" s="55"/>
    </row>
    <row r="497" spans="9:13" x14ac:dyDescent="0.15">
      <c r="I497" s="54"/>
      <c r="J497" s="51">
        <v>493</v>
      </c>
      <c r="K497" s="55">
        <v>60</v>
      </c>
      <c r="L497" s="55">
        <f t="shared" si="46"/>
        <v>90</v>
      </c>
      <c r="M497" s="55"/>
    </row>
    <row r="498" spans="9:13" x14ac:dyDescent="0.15">
      <c r="I498" s="54"/>
      <c r="J498" s="51">
        <v>494</v>
      </c>
      <c r="K498" s="55">
        <v>60</v>
      </c>
      <c r="L498" s="55">
        <f t="shared" si="46"/>
        <v>90</v>
      </c>
      <c r="M498" s="55"/>
    </row>
    <row r="499" spans="9:13" x14ac:dyDescent="0.15">
      <c r="I499" s="54"/>
      <c r="J499" s="51">
        <v>495</v>
      </c>
      <c r="K499" s="55">
        <v>60</v>
      </c>
      <c r="L499" s="55">
        <f t="shared" si="46"/>
        <v>90</v>
      </c>
      <c r="M499" s="55"/>
    </row>
    <row r="500" spans="9:13" x14ac:dyDescent="0.15">
      <c r="I500" s="54"/>
      <c r="J500" s="51">
        <v>496</v>
      </c>
      <c r="K500" s="55">
        <v>60</v>
      </c>
      <c r="L500" s="55">
        <f t="shared" si="46"/>
        <v>90</v>
      </c>
      <c r="M500" s="55"/>
    </row>
    <row r="501" spans="9:13" x14ac:dyDescent="0.15">
      <c r="I501" s="54"/>
      <c r="J501" s="51">
        <v>497</v>
      </c>
      <c r="K501" s="55">
        <v>60</v>
      </c>
      <c r="L501" s="55">
        <f t="shared" si="46"/>
        <v>90</v>
      </c>
      <c r="M501" s="55"/>
    </row>
    <row r="502" spans="9:13" x14ac:dyDescent="0.15">
      <c r="I502" s="54"/>
      <c r="J502" s="51">
        <v>498</v>
      </c>
      <c r="K502" s="55">
        <v>60</v>
      </c>
      <c r="L502" s="55">
        <f t="shared" si="46"/>
        <v>90</v>
      </c>
      <c r="M502" s="55"/>
    </row>
    <row r="503" spans="9:13" x14ac:dyDescent="0.15">
      <c r="I503" s="54"/>
      <c r="J503" s="51">
        <v>499</v>
      </c>
      <c r="K503" s="55">
        <v>60</v>
      </c>
      <c r="L503" s="55">
        <f t="shared" si="46"/>
        <v>90</v>
      </c>
      <c r="M503" s="55"/>
    </row>
    <row r="504" spans="9:13" x14ac:dyDescent="0.15">
      <c r="I504" s="54"/>
      <c r="J504" s="51">
        <v>500</v>
      </c>
      <c r="K504" s="55">
        <v>60</v>
      </c>
      <c r="L504" s="55">
        <f t="shared" si="46"/>
        <v>90</v>
      </c>
      <c r="M504" s="55"/>
    </row>
    <row r="505" spans="9:13" x14ac:dyDescent="0.15">
      <c r="I505" s="54"/>
      <c r="J505" s="51">
        <v>501</v>
      </c>
      <c r="K505" s="55">
        <v>60</v>
      </c>
      <c r="L505" s="55">
        <f t="shared" si="46"/>
        <v>90</v>
      </c>
      <c r="M505" s="55"/>
    </row>
    <row r="506" spans="9:13" x14ac:dyDescent="0.15">
      <c r="I506" s="54"/>
      <c r="J506" s="51">
        <v>502</v>
      </c>
      <c r="K506" s="55">
        <v>60</v>
      </c>
      <c r="L506" s="55">
        <f t="shared" si="46"/>
        <v>90</v>
      </c>
      <c r="M506" s="55"/>
    </row>
    <row r="507" spans="9:13" x14ac:dyDescent="0.15">
      <c r="I507" s="54"/>
      <c r="J507" s="51">
        <v>503</v>
      </c>
      <c r="K507" s="55">
        <v>60</v>
      </c>
      <c r="L507" s="55">
        <f t="shared" si="46"/>
        <v>90</v>
      </c>
      <c r="M507" s="55"/>
    </row>
    <row r="508" spans="9:13" x14ac:dyDescent="0.15">
      <c r="I508" s="54"/>
      <c r="J508" s="51">
        <v>504</v>
      </c>
      <c r="K508" s="55">
        <v>60</v>
      </c>
      <c r="L508" s="55">
        <f t="shared" si="46"/>
        <v>90</v>
      </c>
      <c r="M508" s="55"/>
    </row>
    <row r="509" spans="9:13" x14ac:dyDescent="0.15">
      <c r="I509" s="54"/>
      <c r="J509" s="51">
        <v>505</v>
      </c>
      <c r="K509" s="55">
        <v>60</v>
      </c>
      <c r="L509" s="55">
        <f t="shared" si="46"/>
        <v>90</v>
      </c>
      <c r="M509" s="55"/>
    </row>
    <row r="510" spans="9:13" x14ac:dyDescent="0.15">
      <c r="I510" s="54"/>
      <c r="J510" s="51">
        <v>506</v>
      </c>
      <c r="K510" s="55">
        <v>60</v>
      </c>
      <c r="L510" s="55">
        <f t="shared" si="46"/>
        <v>90</v>
      </c>
      <c r="M510" s="55"/>
    </row>
    <row r="511" spans="9:13" x14ac:dyDescent="0.15">
      <c r="I511" s="54"/>
      <c r="J511" s="51">
        <v>507</v>
      </c>
      <c r="K511" s="55">
        <v>60</v>
      </c>
      <c r="L511" s="55">
        <f t="shared" si="46"/>
        <v>90</v>
      </c>
      <c r="M511" s="55"/>
    </row>
    <row r="512" spans="9:13" x14ac:dyDescent="0.15">
      <c r="I512" s="54"/>
      <c r="J512" s="51">
        <v>508</v>
      </c>
      <c r="K512" s="55">
        <v>60</v>
      </c>
      <c r="L512" s="55">
        <f t="shared" si="46"/>
        <v>90</v>
      </c>
      <c r="M512" s="55"/>
    </row>
    <row r="513" spans="9:13" x14ac:dyDescent="0.15">
      <c r="I513" s="54"/>
      <c r="J513" s="51">
        <v>509</v>
      </c>
      <c r="K513" s="55">
        <v>60</v>
      </c>
      <c r="L513" s="55">
        <f t="shared" si="46"/>
        <v>90</v>
      </c>
      <c r="M513" s="55"/>
    </row>
    <row r="514" spans="9:13" x14ac:dyDescent="0.15">
      <c r="I514" s="54"/>
      <c r="J514" s="51">
        <v>510</v>
      </c>
      <c r="K514" s="55">
        <v>60</v>
      </c>
      <c r="L514" s="55">
        <f t="shared" si="46"/>
        <v>90</v>
      </c>
      <c r="M514" s="55"/>
    </row>
    <row r="515" spans="9:13" x14ac:dyDescent="0.15">
      <c r="I515" s="54"/>
      <c r="J515" s="51">
        <v>511</v>
      </c>
      <c r="K515" s="55">
        <v>60</v>
      </c>
      <c r="L515" s="55">
        <f t="shared" si="46"/>
        <v>90</v>
      </c>
      <c r="M515" s="55"/>
    </row>
    <row r="516" spans="9:13" x14ac:dyDescent="0.15">
      <c r="I516" s="54"/>
      <c r="J516" s="51">
        <v>512</v>
      </c>
      <c r="K516" s="55">
        <v>60</v>
      </c>
      <c r="L516" s="55">
        <f t="shared" si="46"/>
        <v>90</v>
      </c>
      <c r="M516" s="55"/>
    </row>
    <row r="517" spans="9:13" x14ac:dyDescent="0.15">
      <c r="I517" s="54"/>
      <c r="J517" s="51">
        <v>513</v>
      </c>
      <c r="K517" s="55">
        <v>60</v>
      </c>
      <c r="L517" s="55">
        <f t="shared" si="46"/>
        <v>90</v>
      </c>
      <c r="M517" s="55"/>
    </row>
    <row r="518" spans="9:13" x14ac:dyDescent="0.15">
      <c r="I518" s="54"/>
      <c r="J518" s="51">
        <v>514</v>
      </c>
      <c r="K518" s="55">
        <v>60</v>
      </c>
      <c r="L518" s="55">
        <f t="shared" ref="L518:L581" si="47">K518*1.5</f>
        <v>90</v>
      </c>
      <c r="M518" s="55"/>
    </row>
    <row r="519" spans="9:13" x14ac:dyDescent="0.15">
      <c r="I519" s="54"/>
      <c r="J519" s="51">
        <v>515</v>
      </c>
      <c r="K519" s="55">
        <v>60</v>
      </c>
      <c r="L519" s="55">
        <f t="shared" si="47"/>
        <v>90</v>
      </c>
      <c r="M519" s="55"/>
    </row>
    <row r="520" spans="9:13" x14ac:dyDescent="0.15">
      <c r="I520" s="54"/>
      <c r="J520" s="51">
        <v>516</v>
      </c>
      <c r="K520" s="55">
        <v>60</v>
      </c>
      <c r="L520" s="55">
        <f t="shared" si="47"/>
        <v>90</v>
      </c>
      <c r="M520" s="55"/>
    </row>
    <row r="521" spans="9:13" x14ac:dyDescent="0.15">
      <c r="I521" s="54"/>
      <c r="J521" s="51">
        <v>517</v>
      </c>
      <c r="K521" s="55">
        <v>60</v>
      </c>
      <c r="L521" s="55">
        <f t="shared" si="47"/>
        <v>90</v>
      </c>
      <c r="M521" s="55"/>
    </row>
    <row r="522" spans="9:13" x14ac:dyDescent="0.15">
      <c r="I522" s="54"/>
      <c r="J522" s="51">
        <v>518</v>
      </c>
      <c r="K522" s="55">
        <v>60</v>
      </c>
      <c r="L522" s="55">
        <f t="shared" si="47"/>
        <v>90</v>
      </c>
      <c r="M522" s="55"/>
    </row>
    <row r="523" spans="9:13" x14ac:dyDescent="0.15">
      <c r="I523" s="54"/>
      <c r="J523" s="51">
        <v>519</v>
      </c>
      <c r="K523" s="55">
        <v>60</v>
      </c>
      <c r="L523" s="55">
        <f t="shared" si="47"/>
        <v>90</v>
      </c>
      <c r="M523" s="55"/>
    </row>
    <row r="524" spans="9:13" x14ac:dyDescent="0.15">
      <c r="I524" s="54"/>
      <c r="J524" s="51">
        <v>520</v>
      </c>
      <c r="K524" s="55">
        <v>60</v>
      </c>
      <c r="L524" s="55">
        <f t="shared" si="47"/>
        <v>90</v>
      </c>
      <c r="M524" s="55"/>
    </row>
    <row r="525" spans="9:13" x14ac:dyDescent="0.15">
      <c r="I525" s="54"/>
      <c r="J525" s="51">
        <v>521</v>
      </c>
      <c r="K525" s="55">
        <v>60</v>
      </c>
      <c r="L525" s="55">
        <f t="shared" si="47"/>
        <v>90</v>
      </c>
      <c r="M525" s="55"/>
    </row>
    <row r="526" spans="9:13" x14ac:dyDescent="0.15">
      <c r="I526" s="54"/>
      <c r="J526" s="51">
        <v>522</v>
      </c>
      <c r="K526" s="55">
        <v>60</v>
      </c>
      <c r="L526" s="55">
        <f t="shared" si="47"/>
        <v>90</v>
      </c>
      <c r="M526" s="55"/>
    </row>
    <row r="527" spans="9:13" x14ac:dyDescent="0.15">
      <c r="I527" s="54"/>
      <c r="J527" s="51">
        <v>523</v>
      </c>
      <c r="K527" s="55">
        <v>60</v>
      </c>
      <c r="L527" s="55">
        <f t="shared" si="47"/>
        <v>90</v>
      </c>
      <c r="M527" s="55"/>
    </row>
    <row r="528" spans="9:13" x14ac:dyDescent="0.15">
      <c r="I528" s="54"/>
      <c r="J528" s="51">
        <v>524</v>
      </c>
      <c r="K528" s="55">
        <v>60</v>
      </c>
      <c r="L528" s="55">
        <f t="shared" si="47"/>
        <v>90</v>
      </c>
      <c r="M528" s="55"/>
    </row>
    <row r="529" spans="9:13" x14ac:dyDescent="0.15">
      <c r="I529" s="54"/>
      <c r="J529" s="51">
        <v>525</v>
      </c>
      <c r="K529" s="55">
        <v>60</v>
      </c>
      <c r="L529" s="55">
        <f t="shared" si="47"/>
        <v>90</v>
      </c>
      <c r="M529" s="55"/>
    </row>
    <row r="530" spans="9:13" x14ac:dyDescent="0.15">
      <c r="I530" s="54"/>
      <c r="J530" s="51">
        <v>526</v>
      </c>
      <c r="K530" s="55">
        <v>60</v>
      </c>
      <c r="L530" s="55">
        <f t="shared" si="47"/>
        <v>90</v>
      </c>
      <c r="M530" s="55"/>
    </row>
    <row r="531" spans="9:13" x14ac:dyDescent="0.15">
      <c r="I531" s="54"/>
      <c r="J531" s="51">
        <v>527</v>
      </c>
      <c r="K531" s="55">
        <v>60</v>
      </c>
      <c r="L531" s="55">
        <f t="shared" si="47"/>
        <v>90</v>
      </c>
      <c r="M531" s="55"/>
    </row>
    <row r="532" spans="9:13" x14ac:dyDescent="0.15">
      <c r="I532" s="54"/>
      <c r="J532" s="51">
        <v>528</v>
      </c>
      <c r="K532" s="55">
        <v>60</v>
      </c>
      <c r="L532" s="55">
        <f t="shared" si="47"/>
        <v>90</v>
      </c>
      <c r="M532" s="55"/>
    </row>
    <row r="533" spans="9:13" x14ac:dyDescent="0.15">
      <c r="I533" s="54"/>
      <c r="J533" s="51">
        <v>529</v>
      </c>
      <c r="K533" s="55">
        <v>60</v>
      </c>
      <c r="L533" s="55">
        <f t="shared" si="47"/>
        <v>90</v>
      </c>
      <c r="M533" s="55"/>
    </row>
    <row r="534" spans="9:13" x14ac:dyDescent="0.15">
      <c r="I534" s="54"/>
      <c r="J534" s="51">
        <v>530</v>
      </c>
      <c r="K534" s="55">
        <v>60</v>
      </c>
      <c r="L534" s="55">
        <f t="shared" si="47"/>
        <v>90</v>
      </c>
      <c r="M534" s="55"/>
    </row>
    <row r="535" spans="9:13" x14ac:dyDescent="0.15">
      <c r="I535" s="54"/>
      <c r="J535" s="51">
        <v>531</v>
      </c>
      <c r="K535" s="55">
        <v>60</v>
      </c>
      <c r="L535" s="55">
        <f t="shared" si="47"/>
        <v>90</v>
      </c>
      <c r="M535" s="55"/>
    </row>
    <row r="536" spans="9:13" x14ac:dyDescent="0.15">
      <c r="I536" s="54"/>
      <c r="J536" s="51">
        <v>532</v>
      </c>
      <c r="K536" s="55">
        <v>60</v>
      </c>
      <c r="L536" s="55">
        <f t="shared" si="47"/>
        <v>90</v>
      </c>
      <c r="M536" s="55"/>
    </row>
    <row r="537" spans="9:13" x14ac:dyDescent="0.15">
      <c r="I537" s="54"/>
      <c r="J537" s="51">
        <v>533</v>
      </c>
      <c r="K537" s="55">
        <v>60</v>
      </c>
      <c r="L537" s="55">
        <f t="shared" si="47"/>
        <v>90</v>
      </c>
      <c r="M537" s="55"/>
    </row>
    <row r="538" spans="9:13" x14ac:dyDescent="0.15">
      <c r="I538" s="54"/>
      <c r="J538" s="51">
        <v>534</v>
      </c>
      <c r="K538" s="55">
        <v>60</v>
      </c>
      <c r="L538" s="55">
        <f t="shared" si="47"/>
        <v>90</v>
      </c>
      <c r="M538" s="55"/>
    </row>
    <row r="539" spans="9:13" x14ac:dyDescent="0.15">
      <c r="I539" s="54"/>
      <c r="J539" s="51">
        <v>535</v>
      </c>
      <c r="K539" s="55">
        <v>60</v>
      </c>
      <c r="L539" s="55">
        <f t="shared" si="47"/>
        <v>90</v>
      </c>
      <c r="M539" s="55"/>
    </row>
    <row r="540" spans="9:13" x14ac:dyDescent="0.15">
      <c r="I540" s="54"/>
      <c r="J540" s="51">
        <v>536</v>
      </c>
      <c r="K540" s="55">
        <v>60</v>
      </c>
      <c r="L540" s="55">
        <f t="shared" si="47"/>
        <v>90</v>
      </c>
      <c r="M540" s="55"/>
    </row>
    <row r="541" spans="9:13" x14ac:dyDescent="0.15">
      <c r="I541" s="54"/>
      <c r="J541" s="51">
        <v>537</v>
      </c>
      <c r="K541" s="55">
        <v>60</v>
      </c>
      <c r="L541" s="55">
        <f t="shared" si="47"/>
        <v>90</v>
      </c>
      <c r="M541" s="55"/>
    </row>
    <row r="542" spans="9:13" x14ac:dyDescent="0.15">
      <c r="I542" s="54"/>
      <c r="J542" s="51">
        <v>538</v>
      </c>
      <c r="K542" s="55">
        <v>60</v>
      </c>
      <c r="L542" s="55">
        <f t="shared" si="47"/>
        <v>90</v>
      </c>
      <c r="M542" s="55"/>
    </row>
    <row r="543" spans="9:13" x14ac:dyDescent="0.15">
      <c r="I543" s="54"/>
      <c r="J543" s="51">
        <v>539</v>
      </c>
      <c r="K543" s="55">
        <v>60</v>
      </c>
      <c r="L543" s="55">
        <f t="shared" si="47"/>
        <v>90</v>
      </c>
      <c r="M543" s="55"/>
    </row>
    <row r="544" spans="9:13" x14ac:dyDescent="0.15">
      <c r="I544" s="54"/>
      <c r="J544" s="51">
        <v>540</v>
      </c>
      <c r="K544" s="55">
        <v>60</v>
      </c>
      <c r="L544" s="55">
        <f t="shared" si="47"/>
        <v>90</v>
      </c>
      <c r="M544" s="55"/>
    </row>
    <row r="545" spans="9:13" x14ac:dyDescent="0.15">
      <c r="I545" s="54"/>
      <c r="J545" s="51">
        <v>541</v>
      </c>
      <c r="K545" s="55">
        <v>60</v>
      </c>
      <c r="L545" s="55">
        <f t="shared" si="47"/>
        <v>90</v>
      </c>
      <c r="M545" s="55"/>
    </row>
    <row r="546" spans="9:13" x14ac:dyDescent="0.15">
      <c r="I546" s="54"/>
      <c r="J546" s="51">
        <v>542</v>
      </c>
      <c r="K546" s="55">
        <v>60</v>
      </c>
      <c r="L546" s="55">
        <f t="shared" si="47"/>
        <v>90</v>
      </c>
      <c r="M546" s="55"/>
    </row>
    <row r="547" spans="9:13" x14ac:dyDescent="0.15">
      <c r="I547" s="54"/>
      <c r="J547" s="51">
        <v>543</v>
      </c>
      <c r="K547" s="55">
        <v>60</v>
      </c>
      <c r="L547" s="55">
        <f t="shared" si="47"/>
        <v>90</v>
      </c>
      <c r="M547" s="55"/>
    </row>
    <row r="548" spans="9:13" x14ac:dyDescent="0.15">
      <c r="I548" s="54"/>
      <c r="J548" s="51">
        <v>544</v>
      </c>
      <c r="K548" s="55">
        <v>60</v>
      </c>
      <c r="L548" s="55">
        <f t="shared" si="47"/>
        <v>90</v>
      </c>
      <c r="M548" s="55"/>
    </row>
    <row r="549" spans="9:13" x14ac:dyDescent="0.15">
      <c r="I549" s="54"/>
      <c r="J549" s="51">
        <v>545</v>
      </c>
      <c r="K549" s="55">
        <v>60</v>
      </c>
      <c r="L549" s="55">
        <f t="shared" si="47"/>
        <v>90</v>
      </c>
      <c r="M549" s="55"/>
    </row>
    <row r="550" spans="9:13" x14ac:dyDescent="0.15">
      <c r="I550" s="54"/>
      <c r="J550" s="51">
        <v>546</v>
      </c>
      <c r="K550" s="55">
        <v>60</v>
      </c>
      <c r="L550" s="55">
        <f t="shared" si="47"/>
        <v>90</v>
      </c>
      <c r="M550" s="55"/>
    </row>
    <row r="551" spans="9:13" x14ac:dyDescent="0.15">
      <c r="I551" s="54"/>
      <c r="J551" s="51">
        <v>547</v>
      </c>
      <c r="K551" s="55">
        <v>60</v>
      </c>
      <c r="L551" s="55">
        <f t="shared" si="47"/>
        <v>90</v>
      </c>
      <c r="M551" s="55"/>
    </row>
    <row r="552" spans="9:13" x14ac:dyDescent="0.15">
      <c r="I552" s="54"/>
      <c r="J552" s="51">
        <v>548</v>
      </c>
      <c r="K552" s="55">
        <v>60</v>
      </c>
      <c r="L552" s="55">
        <f t="shared" si="47"/>
        <v>90</v>
      </c>
      <c r="M552" s="55"/>
    </row>
    <row r="553" spans="9:13" x14ac:dyDescent="0.15">
      <c r="I553" s="54"/>
      <c r="J553" s="51">
        <v>549</v>
      </c>
      <c r="K553" s="55">
        <v>60</v>
      </c>
      <c r="L553" s="55">
        <f t="shared" si="47"/>
        <v>90</v>
      </c>
      <c r="M553" s="55"/>
    </row>
    <row r="554" spans="9:13" x14ac:dyDescent="0.15">
      <c r="I554" s="54"/>
      <c r="J554" s="51">
        <v>550</v>
      </c>
      <c r="K554" s="55">
        <v>60</v>
      </c>
      <c r="L554" s="55">
        <f t="shared" si="47"/>
        <v>90</v>
      </c>
      <c r="M554" s="55"/>
    </row>
    <row r="555" spans="9:13" x14ac:dyDescent="0.15">
      <c r="I555" s="54"/>
      <c r="J555" s="51">
        <v>551</v>
      </c>
      <c r="K555" s="55">
        <v>60</v>
      </c>
      <c r="L555" s="55">
        <f t="shared" si="47"/>
        <v>90</v>
      </c>
      <c r="M555" s="55"/>
    </row>
    <row r="556" spans="9:13" x14ac:dyDescent="0.15">
      <c r="I556" s="54"/>
      <c r="J556" s="51">
        <v>552</v>
      </c>
      <c r="K556" s="55">
        <v>60</v>
      </c>
      <c r="L556" s="55">
        <f t="shared" si="47"/>
        <v>90</v>
      </c>
      <c r="M556" s="55"/>
    </row>
    <row r="557" spans="9:13" x14ac:dyDescent="0.15">
      <c r="I557" s="54"/>
      <c r="J557" s="51">
        <v>553</v>
      </c>
      <c r="K557" s="55">
        <v>60</v>
      </c>
      <c r="L557" s="55">
        <f t="shared" si="47"/>
        <v>90</v>
      </c>
      <c r="M557" s="55"/>
    </row>
    <row r="558" spans="9:13" x14ac:dyDescent="0.15">
      <c r="I558" s="54"/>
      <c r="J558" s="51">
        <v>554</v>
      </c>
      <c r="K558" s="55">
        <v>60</v>
      </c>
      <c r="L558" s="55">
        <f t="shared" si="47"/>
        <v>90</v>
      </c>
      <c r="M558" s="55"/>
    </row>
    <row r="559" spans="9:13" x14ac:dyDescent="0.15">
      <c r="I559" s="54"/>
      <c r="J559" s="51">
        <v>555</v>
      </c>
      <c r="K559" s="55">
        <v>60</v>
      </c>
      <c r="L559" s="55">
        <f t="shared" si="47"/>
        <v>90</v>
      </c>
      <c r="M559" s="55"/>
    </row>
    <row r="560" spans="9:13" x14ac:dyDescent="0.15">
      <c r="I560" s="54"/>
      <c r="J560" s="51">
        <v>556</v>
      </c>
      <c r="K560" s="55">
        <v>60</v>
      </c>
      <c r="L560" s="55">
        <f t="shared" si="47"/>
        <v>90</v>
      </c>
      <c r="M560" s="55"/>
    </row>
    <row r="561" spans="9:13" x14ac:dyDescent="0.15">
      <c r="I561" s="54"/>
      <c r="J561" s="51">
        <v>557</v>
      </c>
      <c r="K561" s="55">
        <v>60</v>
      </c>
      <c r="L561" s="55">
        <f t="shared" si="47"/>
        <v>90</v>
      </c>
      <c r="M561" s="55"/>
    </row>
    <row r="562" spans="9:13" x14ac:dyDescent="0.15">
      <c r="I562" s="54"/>
      <c r="J562" s="51">
        <v>558</v>
      </c>
      <c r="K562" s="55">
        <v>60</v>
      </c>
      <c r="L562" s="55">
        <f t="shared" si="47"/>
        <v>90</v>
      </c>
      <c r="M562" s="55"/>
    </row>
    <row r="563" spans="9:13" x14ac:dyDescent="0.15">
      <c r="I563" s="54"/>
      <c r="J563" s="51">
        <v>559</v>
      </c>
      <c r="K563" s="55">
        <v>60</v>
      </c>
      <c r="L563" s="55">
        <f t="shared" si="47"/>
        <v>90</v>
      </c>
      <c r="M563" s="55"/>
    </row>
    <row r="564" spans="9:13" x14ac:dyDescent="0.15">
      <c r="I564" s="54"/>
      <c r="J564" s="51">
        <v>560</v>
      </c>
      <c r="K564" s="55">
        <v>60</v>
      </c>
      <c r="L564" s="55">
        <f t="shared" si="47"/>
        <v>90</v>
      </c>
      <c r="M564" s="55"/>
    </row>
    <row r="565" spans="9:13" x14ac:dyDescent="0.15">
      <c r="I565" s="54"/>
      <c r="J565" s="51">
        <v>561</v>
      </c>
      <c r="K565" s="55">
        <v>60</v>
      </c>
      <c r="L565" s="55">
        <f t="shared" si="47"/>
        <v>90</v>
      </c>
      <c r="M565" s="55"/>
    </row>
    <row r="566" spans="9:13" x14ac:dyDescent="0.15">
      <c r="I566" s="54"/>
      <c r="J566" s="51">
        <v>562</v>
      </c>
      <c r="K566" s="55">
        <v>60</v>
      </c>
      <c r="L566" s="55">
        <f t="shared" si="47"/>
        <v>90</v>
      </c>
      <c r="M566" s="55"/>
    </row>
    <row r="567" spans="9:13" x14ac:dyDescent="0.15">
      <c r="I567" s="54"/>
      <c r="J567" s="51">
        <v>563</v>
      </c>
      <c r="K567" s="55">
        <v>60</v>
      </c>
      <c r="L567" s="55">
        <f t="shared" si="47"/>
        <v>90</v>
      </c>
      <c r="M567" s="55"/>
    </row>
    <row r="568" spans="9:13" x14ac:dyDescent="0.15">
      <c r="I568" s="54"/>
      <c r="J568" s="51">
        <v>564</v>
      </c>
      <c r="K568" s="55">
        <v>60</v>
      </c>
      <c r="L568" s="55">
        <f t="shared" si="47"/>
        <v>90</v>
      </c>
      <c r="M568" s="55"/>
    </row>
    <row r="569" spans="9:13" x14ac:dyDescent="0.15">
      <c r="I569" s="54"/>
      <c r="J569" s="51">
        <v>565</v>
      </c>
      <c r="K569" s="55">
        <v>60</v>
      </c>
      <c r="L569" s="55">
        <f t="shared" si="47"/>
        <v>90</v>
      </c>
      <c r="M569" s="55"/>
    </row>
    <row r="570" spans="9:13" x14ac:dyDescent="0.15">
      <c r="I570" s="54"/>
      <c r="J570" s="51">
        <v>566</v>
      </c>
      <c r="K570" s="55">
        <v>60</v>
      </c>
      <c r="L570" s="55">
        <f t="shared" si="47"/>
        <v>90</v>
      </c>
      <c r="M570" s="55"/>
    </row>
    <row r="571" spans="9:13" x14ac:dyDescent="0.15">
      <c r="I571" s="54"/>
      <c r="J571" s="51">
        <v>567</v>
      </c>
      <c r="K571" s="55">
        <v>60</v>
      </c>
      <c r="L571" s="55">
        <f t="shared" si="47"/>
        <v>90</v>
      </c>
      <c r="M571" s="55"/>
    </row>
    <row r="572" spans="9:13" x14ac:dyDescent="0.15">
      <c r="I572" s="54"/>
      <c r="J572" s="51">
        <v>568</v>
      </c>
      <c r="K572" s="55">
        <v>60</v>
      </c>
      <c r="L572" s="55">
        <f t="shared" si="47"/>
        <v>90</v>
      </c>
      <c r="M572" s="55"/>
    </row>
    <row r="573" spans="9:13" x14ac:dyDescent="0.15">
      <c r="I573" s="54"/>
      <c r="J573" s="51">
        <v>569</v>
      </c>
      <c r="K573" s="55">
        <v>60</v>
      </c>
      <c r="L573" s="55">
        <f t="shared" si="47"/>
        <v>90</v>
      </c>
      <c r="M573" s="55"/>
    </row>
    <row r="574" spans="9:13" x14ac:dyDescent="0.15">
      <c r="I574" s="54"/>
      <c r="J574" s="51">
        <v>570</v>
      </c>
      <c r="K574" s="55">
        <v>60</v>
      </c>
      <c r="L574" s="55">
        <f t="shared" si="47"/>
        <v>90</v>
      </c>
      <c r="M574" s="55"/>
    </row>
    <row r="575" spans="9:13" x14ac:dyDescent="0.15">
      <c r="I575" s="54"/>
      <c r="J575" s="51">
        <v>571</v>
      </c>
      <c r="K575" s="55">
        <v>60</v>
      </c>
      <c r="L575" s="55">
        <f t="shared" si="47"/>
        <v>90</v>
      </c>
      <c r="M575" s="55"/>
    </row>
    <row r="576" spans="9:13" x14ac:dyDescent="0.15">
      <c r="I576" s="54"/>
      <c r="J576" s="51">
        <v>572</v>
      </c>
      <c r="K576" s="55">
        <v>60</v>
      </c>
      <c r="L576" s="55">
        <f t="shared" si="47"/>
        <v>90</v>
      </c>
      <c r="M576" s="55"/>
    </row>
    <row r="577" spans="9:13" x14ac:dyDescent="0.15">
      <c r="I577" s="54"/>
      <c r="J577" s="51">
        <v>573</v>
      </c>
      <c r="K577" s="55">
        <v>60</v>
      </c>
      <c r="L577" s="55">
        <f t="shared" si="47"/>
        <v>90</v>
      </c>
      <c r="M577" s="55"/>
    </row>
    <row r="578" spans="9:13" x14ac:dyDescent="0.15">
      <c r="I578" s="54"/>
      <c r="J578" s="51">
        <v>574</v>
      </c>
      <c r="K578" s="55">
        <v>60</v>
      </c>
      <c r="L578" s="55">
        <f t="shared" si="47"/>
        <v>90</v>
      </c>
      <c r="M578" s="55"/>
    </row>
    <row r="579" spans="9:13" x14ac:dyDescent="0.15">
      <c r="I579" s="54"/>
      <c r="J579" s="51">
        <v>575</v>
      </c>
      <c r="K579" s="55">
        <v>60</v>
      </c>
      <c r="L579" s="55">
        <f t="shared" si="47"/>
        <v>90</v>
      </c>
      <c r="M579" s="55"/>
    </row>
    <row r="580" spans="9:13" x14ac:dyDescent="0.15">
      <c r="I580" s="54"/>
      <c r="J580" s="51">
        <v>576</v>
      </c>
      <c r="K580" s="55">
        <v>60</v>
      </c>
      <c r="L580" s="55">
        <f t="shared" si="47"/>
        <v>90</v>
      </c>
      <c r="M580" s="55"/>
    </row>
    <row r="581" spans="9:13" x14ac:dyDescent="0.15">
      <c r="I581" s="54"/>
      <c r="J581" s="51">
        <v>577</v>
      </c>
      <c r="K581" s="55">
        <v>60</v>
      </c>
      <c r="L581" s="55">
        <f t="shared" si="47"/>
        <v>90</v>
      </c>
      <c r="M581" s="55"/>
    </row>
    <row r="582" spans="9:13" x14ac:dyDescent="0.15">
      <c r="I582" s="54"/>
      <c r="J582" s="51">
        <v>578</v>
      </c>
      <c r="K582" s="55">
        <v>60</v>
      </c>
      <c r="L582" s="55">
        <f t="shared" ref="L582:L645" si="48">K582*1.5</f>
        <v>90</v>
      </c>
      <c r="M582" s="55"/>
    </row>
    <row r="583" spans="9:13" x14ac:dyDescent="0.15">
      <c r="I583" s="54"/>
      <c r="J583" s="51">
        <v>579</v>
      </c>
      <c r="K583" s="55">
        <v>60</v>
      </c>
      <c r="L583" s="55">
        <f t="shared" si="48"/>
        <v>90</v>
      </c>
      <c r="M583" s="55"/>
    </row>
    <row r="584" spans="9:13" x14ac:dyDescent="0.15">
      <c r="I584" s="54"/>
      <c r="J584" s="51">
        <v>580</v>
      </c>
      <c r="K584" s="55">
        <v>60</v>
      </c>
      <c r="L584" s="55">
        <f t="shared" si="48"/>
        <v>90</v>
      </c>
      <c r="M584" s="55"/>
    </row>
    <row r="585" spans="9:13" x14ac:dyDescent="0.15">
      <c r="I585" s="54"/>
      <c r="J585" s="51">
        <v>581</v>
      </c>
      <c r="K585" s="55">
        <v>60</v>
      </c>
      <c r="L585" s="55">
        <f t="shared" si="48"/>
        <v>90</v>
      </c>
      <c r="M585" s="55"/>
    </row>
    <row r="586" spans="9:13" x14ac:dyDescent="0.15">
      <c r="I586" s="54"/>
      <c r="J586" s="51">
        <v>582</v>
      </c>
      <c r="K586" s="55">
        <v>60</v>
      </c>
      <c r="L586" s="55">
        <f t="shared" si="48"/>
        <v>90</v>
      </c>
      <c r="M586" s="55"/>
    </row>
    <row r="587" spans="9:13" x14ac:dyDescent="0.15">
      <c r="I587" s="54"/>
      <c r="J587" s="51">
        <v>583</v>
      </c>
      <c r="K587" s="55">
        <v>60</v>
      </c>
      <c r="L587" s="55">
        <f t="shared" si="48"/>
        <v>90</v>
      </c>
      <c r="M587" s="55"/>
    </row>
    <row r="588" spans="9:13" x14ac:dyDescent="0.15">
      <c r="I588" s="54"/>
      <c r="J588" s="51">
        <v>584</v>
      </c>
      <c r="K588" s="55">
        <v>60</v>
      </c>
      <c r="L588" s="55">
        <f t="shared" si="48"/>
        <v>90</v>
      </c>
      <c r="M588" s="55"/>
    </row>
    <row r="589" spans="9:13" x14ac:dyDescent="0.15">
      <c r="I589" s="54"/>
      <c r="J589" s="51">
        <v>585</v>
      </c>
      <c r="K589" s="55">
        <v>60</v>
      </c>
      <c r="L589" s="55">
        <f t="shared" si="48"/>
        <v>90</v>
      </c>
      <c r="M589" s="55"/>
    </row>
    <row r="590" spans="9:13" x14ac:dyDescent="0.15">
      <c r="I590" s="54"/>
      <c r="J590" s="51">
        <v>586</v>
      </c>
      <c r="K590" s="55">
        <v>60</v>
      </c>
      <c r="L590" s="55">
        <f t="shared" si="48"/>
        <v>90</v>
      </c>
      <c r="M590" s="55"/>
    </row>
    <row r="591" spans="9:13" x14ac:dyDescent="0.15">
      <c r="I591" s="54"/>
      <c r="J591" s="51">
        <v>587</v>
      </c>
      <c r="K591" s="55">
        <v>60</v>
      </c>
      <c r="L591" s="55">
        <f t="shared" si="48"/>
        <v>90</v>
      </c>
      <c r="M591" s="55"/>
    </row>
    <row r="592" spans="9:13" x14ac:dyDescent="0.15">
      <c r="I592" s="54"/>
      <c r="J592" s="51">
        <v>588</v>
      </c>
      <c r="K592" s="55">
        <v>60</v>
      </c>
      <c r="L592" s="55">
        <f t="shared" si="48"/>
        <v>90</v>
      </c>
      <c r="M592" s="55"/>
    </row>
    <row r="593" spans="9:13" x14ac:dyDescent="0.15">
      <c r="I593" s="54"/>
      <c r="J593" s="51">
        <v>589</v>
      </c>
      <c r="K593" s="55">
        <v>60</v>
      </c>
      <c r="L593" s="55">
        <f t="shared" si="48"/>
        <v>90</v>
      </c>
      <c r="M593" s="55"/>
    </row>
    <row r="594" spans="9:13" x14ac:dyDescent="0.15">
      <c r="I594" s="54"/>
      <c r="J594" s="51">
        <v>590</v>
      </c>
      <c r="K594" s="55">
        <v>60</v>
      </c>
      <c r="L594" s="55">
        <f t="shared" si="48"/>
        <v>90</v>
      </c>
      <c r="M594" s="55"/>
    </row>
    <row r="595" spans="9:13" x14ac:dyDescent="0.15">
      <c r="I595" s="54"/>
      <c r="J595" s="51">
        <v>591</v>
      </c>
      <c r="K595" s="55">
        <v>60</v>
      </c>
      <c r="L595" s="55">
        <f t="shared" si="48"/>
        <v>90</v>
      </c>
      <c r="M595" s="55"/>
    </row>
    <row r="596" spans="9:13" x14ac:dyDescent="0.15">
      <c r="I596" s="54"/>
      <c r="J596" s="51">
        <v>592</v>
      </c>
      <c r="K596" s="55">
        <v>60</v>
      </c>
      <c r="L596" s="55">
        <f t="shared" si="48"/>
        <v>90</v>
      </c>
      <c r="M596" s="55"/>
    </row>
    <row r="597" spans="9:13" x14ac:dyDescent="0.15">
      <c r="I597" s="54"/>
      <c r="J597" s="51">
        <v>593</v>
      </c>
      <c r="K597" s="55">
        <v>60</v>
      </c>
      <c r="L597" s="55">
        <f t="shared" si="48"/>
        <v>90</v>
      </c>
      <c r="M597" s="55"/>
    </row>
    <row r="598" spans="9:13" x14ac:dyDescent="0.15">
      <c r="I598" s="54"/>
      <c r="J598" s="51">
        <v>594</v>
      </c>
      <c r="K598" s="55">
        <v>60</v>
      </c>
      <c r="L598" s="55">
        <f t="shared" si="48"/>
        <v>90</v>
      </c>
      <c r="M598" s="55"/>
    </row>
    <row r="599" spans="9:13" x14ac:dyDescent="0.15">
      <c r="I599" s="54"/>
      <c r="J599" s="51">
        <v>595</v>
      </c>
      <c r="K599" s="55">
        <v>60</v>
      </c>
      <c r="L599" s="55">
        <f t="shared" si="48"/>
        <v>90</v>
      </c>
      <c r="M599" s="55"/>
    </row>
    <row r="600" spans="9:13" x14ac:dyDescent="0.15">
      <c r="I600" s="54"/>
      <c r="J600" s="51">
        <v>596</v>
      </c>
      <c r="K600" s="55">
        <v>60</v>
      </c>
      <c r="L600" s="55">
        <f t="shared" si="48"/>
        <v>90</v>
      </c>
      <c r="M600" s="55"/>
    </row>
    <row r="601" spans="9:13" x14ac:dyDescent="0.15">
      <c r="I601" s="54"/>
      <c r="J601" s="51">
        <v>597</v>
      </c>
      <c r="K601" s="55">
        <v>60</v>
      </c>
      <c r="L601" s="55">
        <f t="shared" si="48"/>
        <v>90</v>
      </c>
      <c r="M601" s="55"/>
    </row>
    <row r="602" spans="9:13" x14ac:dyDescent="0.15">
      <c r="I602" s="54"/>
      <c r="J602" s="51">
        <v>598</v>
      </c>
      <c r="K602" s="55">
        <v>60</v>
      </c>
      <c r="L602" s="55">
        <f t="shared" si="48"/>
        <v>90</v>
      </c>
      <c r="M602" s="55"/>
    </row>
    <row r="603" spans="9:13" x14ac:dyDescent="0.15">
      <c r="I603" s="54"/>
      <c r="J603" s="51">
        <v>599</v>
      </c>
      <c r="K603" s="55">
        <v>60</v>
      </c>
      <c r="L603" s="55">
        <f t="shared" si="48"/>
        <v>90</v>
      </c>
      <c r="M603" s="55"/>
    </row>
    <row r="604" spans="9:13" x14ac:dyDescent="0.15">
      <c r="I604" s="54"/>
      <c r="J604" s="51">
        <v>600</v>
      </c>
      <c r="K604" s="55">
        <v>60</v>
      </c>
      <c r="L604" s="55">
        <f t="shared" si="48"/>
        <v>90</v>
      </c>
      <c r="M604" s="55"/>
    </row>
    <row r="605" spans="9:13" x14ac:dyDescent="0.15">
      <c r="I605" s="54"/>
      <c r="J605" s="51">
        <v>601</v>
      </c>
      <c r="K605" s="55">
        <v>60</v>
      </c>
      <c r="L605" s="55">
        <f t="shared" si="48"/>
        <v>90</v>
      </c>
      <c r="M605" s="55"/>
    </row>
    <row r="606" spans="9:13" x14ac:dyDescent="0.15">
      <c r="I606" s="54"/>
      <c r="J606" s="51">
        <v>602</v>
      </c>
      <c r="K606" s="55">
        <v>60</v>
      </c>
      <c r="L606" s="55">
        <f t="shared" si="48"/>
        <v>90</v>
      </c>
      <c r="M606" s="55"/>
    </row>
    <row r="607" spans="9:13" x14ac:dyDescent="0.15">
      <c r="I607" s="54"/>
      <c r="J607" s="51">
        <v>603</v>
      </c>
      <c r="K607" s="55">
        <v>60</v>
      </c>
      <c r="L607" s="55">
        <f t="shared" si="48"/>
        <v>90</v>
      </c>
      <c r="M607" s="55"/>
    </row>
    <row r="608" spans="9:13" x14ac:dyDescent="0.15">
      <c r="I608" s="54"/>
      <c r="J608" s="51">
        <v>604</v>
      </c>
      <c r="K608" s="55">
        <v>60</v>
      </c>
      <c r="L608" s="55">
        <f t="shared" si="48"/>
        <v>90</v>
      </c>
      <c r="M608" s="55"/>
    </row>
    <row r="609" spans="9:13" x14ac:dyDescent="0.15">
      <c r="I609" s="54"/>
      <c r="J609" s="51">
        <v>605</v>
      </c>
      <c r="K609" s="55">
        <v>60</v>
      </c>
      <c r="L609" s="55">
        <f t="shared" si="48"/>
        <v>90</v>
      </c>
      <c r="M609" s="55"/>
    </row>
    <row r="610" spans="9:13" x14ac:dyDescent="0.15">
      <c r="I610" s="54"/>
      <c r="J610" s="51">
        <v>606</v>
      </c>
      <c r="K610" s="55">
        <v>60</v>
      </c>
      <c r="L610" s="55">
        <f t="shared" si="48"/>
        <v>90</v>
      </c>
      <c r="M610" s="55"/>
    </row>
    <row r="611" spans="9:13" x14ac:dyDescent="0.15">
      <c r="I611" s="54"/>
      <c r="J611" s="51">
        <v>607</v>
      </c>
      <c r="K611" s="55">
        <v>60</v>
      </c>
      <c r="L611" s="55">
        <f t="shared" si="48"/>
        <v>90</v>
      </c>
      <c r="M611" s="55"/>
    </row>
    <row r="612" spans="9:13" x14ac:dyDescent="0.15">
      <c r="I612" s="54"/>
      <c r="J612" s="51">
        <v>608</v>
      </c>
      <c r="K612" s="55">
        <v>60</v>
      </c>
      <c r="L612" s="55">
        <f t="shared" si="48"/>
        <v>90</v>
      </c>
      <c r="M612" s="55"/>
    </row>
    <row r="613" spans="9:13" x14ac:dyDescent="0.15">
      <c r="I613" s="54"/>
      <c r="J613" s="51">
        <v>609</v>
      </c>
      <c r="K613" s="55">
        <v>60</v>
      </c>
      <c r="L613" s="55">
        <f t="shared" si="48"/>
        <v>90</v>
      </c>
      <c r="M613" s="55"/>
    </row>
    <row r="614" spans="9:13" x14ac:dyDescent="0.15">
      <c r="I614" s="54"/>
      <c r="J614" s="51">
        <v>610</v>
      </c>
      <c r="K614" s="55">
        <v>60</v>
      </c>
      <c r="L614" s="55">
        <f t="shared" si="48"/>
        <v>90</v>
      </c>
      <c r="M614" s="55"/>
    </row>
    <row r="615" spans="9:13" x14ac:dyDescent="0.15">
      <c r="I615" s="54"/>
      <c r="J615" s="51">
        <v>611</v>
      </c>
      <c r="K615" s="55">
        <v>60</v>
      </c>
      <c r="L615" s="55">
        <f t="shared" si="48"/>
        <v>90</v>
      </c>
      <c r="M615" s="55"/>
    </row>
    <row r="616" spans="9:13" x14ac:dyDescent="0.15">
      <c r="I616" s="54"/>
      <c r="J616" s="51">
        <v>612</v>
      </c>
      <c r="K616" s="55">
        <v>60</v>
      </c>
      <c r="L616" s="55">
        <f t="shared" si="48"/>
        <v>90</v>
      </c>
      <c r="M616" s="55"/>
    </row>
    <row r="617" spans="9:13" x14ac:dyDescent="0.15">
      <c r="I617" s="54"/>
      <c r="J617" s="51">
        <v>613</v>
      </c>
      <c r="K617" s="55">
        <v>60</v>
      </c>
      <c r="L617" s="55">
        <f t="shared" si="48"/>
        <v>90</v>
      </c>
      <c r="M617" s="55"/>
    </row>
    <row r="618" spans="9:13" x14ac:dyDescent="0.15">
      <c r="I618" s="54"/>
      <c r="J618" s="51">
        <v>614</v>
      </c>
      <c r="K618" s="55">
        <v>60</v>
      </c>
      <c r="L618" s="55">
        <f t="shared" si="48"/>
        <v>90</v>
      </c>
      <c r="M618" s="55"/>
    </row>
    <row r="619" spans="9:13" x14ac:dyDescent="0.15">
      <c r="I619" s="54"/>
      <c r="J619" s="51">
        <v>615</v>
      </c>
      <c r="K619" s="55">
        <v>60</v>
      </c>
      <c r="L619" s="55">
        <f t="shared" si="48"/>
        <v>90</v>
      </c>
      <c r="M619" s="55"/>
    </row>
    <row r="620" spans="9:13" x14ac:dyDescent="0.15">
      <c r="I620" s="54"/>
      <c r="J620" s="51">
        <v>616</v>
      </c>
      <c r="K620" s="55">
        <v>60</v>
      </c>
      <c r="L620" s="55">
        <f t="shared" si="48"/>
        <v>90</v>
      </c>
      <c r="M620" s="55"/>
    </row>
    <row r="621" spans="9:13" x14ac:dyDescent="0.15">
      <c r="I621" s="54"/>
      <c r="J621" s="51">
        <v>617</v>
      </c>
      <c r="K621" s="55">
        <v>60</v>
      </c>
      <c r="L621" s="55">
        <f t="shared" si="48"/>
        <v>90</v>
      </c>
      <c r="M621" s="55"/>
    </row>
    <row r="622" spans="9:13" x14ac:dyDescent="0.15">
      <c r="I622" s="54"/>
      <c r="J622" s="51">
        <v>618</v>
      </c>
      <c r="K622" s="55">
        <v>60</v>
      </c>
      <c r="L622" s="55">
        <f t="shared" si="48"/>
        <v>90</v>
      </c>
      <c r="M622" s="55"/>
    </row>
    <row r="623" spans="9:13" x14ac:dyDescent="0.15">
      <c r="I623" s="54"/>
      <c r="J623" s="51">
        <v>619</v>
      </c>
      <c r="K623" s="55">
        <v>60</v>
      </c>
      <c r="L623" s="55">
        <f t="shared" si="48"/>
        <v>90</v>
      </c>
      <c r="M623" s="55"/>
    </row>
    <row r="624" spans="9:13" x14ac:dyDescent="0.15">
      <c r="I624" s="54"/>
      <c r="J624" s="51">
        <v>620</v>
      </c>
      <c r="K624" s="55">
        <v>60</v>
      </c>
      <c r="L624" s="55">
        <f t="shared" si="48"/>
        <v>90</v>
      </c>
      <c r="M624" s="55"/>
    </row>
    <row r="625" spans="9:13" x14ac:dyDescent="0.15">
      <c r="I625" s="54"/>
      <c r="J625" s="51">
        <v>621</v>
      </c>
      <c r="K625" s="55">
        <v>60</v>
      </c>
      <c r="L625" s="55">
        <f t="shared" si="48"/>
        <v>90</v>
      </c>
      <c r="M625" s="55"/>
    </row>
    <row r="626" spans="9:13" x14ac:dyDescent="0.15">
      <c r="I626" s="54"/>
      <c r="J626" s="51">
        <v>622</v>
      </c>
      <c r="K626" s="55">
        <v>60</v>
      </c>
      <c r="L626" s="55">
        <f t="shared" si="48"/>
        <v>90</v>
      </c>
      <c r="M626" s="55"/>
    </row>
    <row r="627" spans="9:13" x14ac:dyDescent="0.15">
      <c r="I627" s="54"/>
      <c r="J627" s="51">
        <v>623</v>
      </c>
      <c r="K627" s="55">
        <v>60</v>
      </c>
      <c r="L627" s="55">
        <f t="shared" si="48"/>
        <v>90</v>
      </c>
      <c r="M627" s="55"/>
    </row>
    <row r="628" spans="9:13" x14ac:dyDescent="0.15">
      <c r="I628" s="54"/>
      <c r="J628" s="51">
        <v>624</v>
      </c>
      <c r="K628" s="55">
        <v>60</v>
      </c>
      <c r="L628" s="55">
        <f t="shared" si="48"/>
        <v>90</v>
      </c>
      <c r="M628" s="55"/>
    </row>
    <row r="629" spans="9:13" x14ac:dyDescent="0.15">
      <c r="I629" s="54"/>
      <c r="J629" s="51">
        <v>625</v>
      </c>
      <c r="K629" s="55">
        <v>60</v>
      </c>
      <c r="L629" s="55">
        <f t="shared" si="48"/>
        <v>90</v>
      </c>
      <c r="M629" s="55"/>
    </row>
    <row r="630" spans="9:13" x14ac:dyDescent="0.15">
      <c r="I630" s="54"/>
      <c r="J630" s="51">
        <v>626</v>
      </c>
      <c r="K630" s="55">
        <v>60</v>
      </c>
      <c r="L630" s="55">
        <f t="shared" si="48"/>
        <v>90</v>
      </c>
      <c r="M630" s="55"/>
    </row>
    <row r="631" spans="9:13" x14ac:dyDescent="0.15">
      <c r="I631" s="54"/>
      <c r="J631" s="51">
        <v>627</v>
      </c>
      <c r="K631" s="55">
        <v>60</v>
      </c>
      <c r="L631" s="55">
        <f t="shared" si="48"/>
        <v>90</v>
      </c>
      <c r="M631" s="55"/>
    </row>
    <row r="632" spans="9:13" x14ac:dyDescent="0.15">
      <c r="I632" s="54"/>
      <c r="J632" s="51">
        <v>628</v>
      </c>
      <c r="K632" s="55">
        <v>60</v>
      </c>
      <c r="L632" s="55">
        <f t="shared" si="48"/>
        <v>90</v>
      </c>
      <c r="M632" s="55"/>
    </row>
    <row r="633" spans="9:13" x14ac:dyDescent="0.15">
      <c r="I633" s="54"/>
      <c r="J633" s="51">
        <v>629</v>
      </c>
      <c r="K633" s="55">
        <v>60</v>
      </c>
      <c r="L633" s="55">
        <f t="shared" si="48"/>
        <v>90</v>
      </c>
      <c r="M633" s="55"/>
    </row>
    <row r="634" spans="9:13" x14ac:dyDescent="0.15">
      <c r="I634" s="54"/>
      <c r="J634" s="51">
        <v>630</v>
      </c>
      <c r="K634" s="55">
        <v>60</v>
      </c>
      <c r="L634" s="55">
        <f t="shared" si="48"/>
        <v>90</v>
      </c>
      <c r="M634" s="55"/>
    </row>
    <row r="635" spans="9:13" x14ac:dyDescent="0.15">
      <c r="I635" s="54"/>
      <c r="J635" s="51">
        <v>631</v>
      </c>
      <c r="K635" s="55">
        <v>60</v>
      </c>
      <c r="L635" s="55">
        <f t="shared" si="48"/>
        <v>90</v>
      </c>
      <c r="M635" s="55"/>
    </row>
    <row r="636" spans="9:13" x14ac:dyDescent="0.15">
      <c r="I636" s="54"/>
      <c r="J636" s="51">
        <v>632</v>
      </c>
      <c r="K636" s="55">
        <v>60</v>
      </c>
      <c r="L636" s="55">
        <f t="shared" si="48"/>
        <v>90</v>
      </c>
      <c r="M636" s="55"/>
    </row>
    <row r="637" spans="9:13" x14ac:dyDescent="0.15">
      <c r="I637" s="54"/>
      <c r="J637" s="51">
        <v>633</v>
      </c>
      <c r="K637" s="55">
        <v>60</v>
      </c>
      <c r="L637" s="55">
        <f t="shared" si="48"/>
        <v>90</v>
      </c>
      <c r="M637" s="55"/>
    </row>
    <row r="638" spans="9:13" x14ac:dyDescent="0.15">
      <c r="I638" s="54"/>
      <c r="J638" s="51">
        <v>634</v>
      </c>
      <c r="K638" s="55">
        <v>60</v>
      </c>
      <c r="L638" s="55">
        <f t="shared" si="48"/>
        <v>90</v>
      </c>
      <c r="M638" s="55"/>
    </row>
    <row r="639" spans="9:13" x14ac:dyDescent="0.15">
      <c r="I639" s="54"/>
      <c r="J639" s="51">
        <v>635</v>
      </c>
      <c r="K639" s="55">
        <v>60</v>
      </c>
      <c r="L639" s="55">
        <f t="shared" si="48"/>
        <v>90</v>
      </c>
      <c r="M639" s="55"/>
    </row>
    <row r="640" spans="9:13" x14ac:dyDescent="0.15">
      <c r="I640" s="54"/>
      <c r="J640" s="51">
        <v>636</v>
      </c>
      <c r="K640" s="55">
        <v>60</v>
      </c>
      <c r="L640" s="55">
        <f t="shared" si="48"/>
        <v>90</v>
      </c>
      <c r="M640" s="55"/>
    </row>
    <row r="641" spans="9:13" x14ac:dyDescent="0.15">
      <c r="I641" s="54"/>
      <c r="J641" s="51">
        <v>637</v>
      </c>
      <c r="K641" s="55">
        <v>60</v>
      </c>
      <c r="L641" s="55">
        <f t="shared" si="48"/>
        <v>90</v>
      </c>
      <c r="M641" s="55"/>
    </row>
    <row r="642" spans="9:13" x14ac:dyDescent="0.15">
      <c r="I642" s="54"/>
      <c r="J642" s="51">
        <v>638</v>
      </c>
      <c r="K642" s="55">
        <v>60</v>
      </c>
      <c r="L642" s="55">
        <f t="shared" si="48"/>
        <v>90</v>
      </c>
      <c r="M642" s="55"/>
    </row>
    <row r="643" spans="9:13" x14ac:dyDescent="0.15">
      <c r="I643" s="54"/>
      <c r="J643" s="51">
        <v>639</v>
      </c>
      <c r="K643" s="55">
        <v>60</v>
      </c>
      <c r="L643" s="55">
        <f t="shared" si="48"/>
        <v>90</v>
      </c>
      <c r="M643" s="55"/>
    </row>
    <row r="644" spans="9:13" x14ac:dyDescent="0.15">
      <c r="I644" s="54"/>
      <c r="J644" s="51">
        <v>640</v>
      </c>
      <c r="K644" s="55">
        <v>60</v>
      </c>
      <c r="L644" s="55">
        <f t="shared" si="48"/>
        <v>90</v>
      </c>
      <c r="M644" s="55"/>
    </row>
    <row r="645" spans="9:13" x14ac:dyDescent="0.15">
      <c r="I645" s="54"/>
      <c r="J645" s="51">
        <v>641</v>
      </c>
      <c r="K645" s="55">
        <v>60</v>
      </c>
      <c r="L645" s="55">
        <f t="shared" si="48"/>
        <v>90</v>
      </c>
      <c r="M645" s="55"/>
    </row>
    <row r="646" spans="9:13" x14ac:dyDescent="0.15">
      <c r="I646" s="54"/>
      <c r="J646" s="51">
        <v>642</v>
      </c>
      <c r="K646" s="55">
        <v>60</v>
      </c>
      <c r="L646" s="55">
        <f t="shared" ref="L646:L709" si="49">K646*1.5</f>
        <v>90</v>
      </c>
      <c r="M646" s="55"/>
    </row>
    <row r="647" spans="9:13" x14ac:dyDescent="0.15">
      <c r="I647" s="54"/>
      <c r="J647" s="51">
        <v>643</v>
      </c>
      <c r="K647" s="55">
        <v>60</v>
      </c>
      <c r="L647" s="55">
        <f t="shared" si="49"/>
        <v>90</v>
      </c>
      <c r="M647" s="55"/>
    </row>
    <row r="648" spans="9:13" x14ac:dyDescent="0.15">
      <c r="I648" s="54"/>
      <c r="J648" s="51">
        <v>644</v>
      </c>
      <c r="K648" s="55">
        <v>60</v>
      </c>
      <c r="L648" s="55">
        <f t="shared" si="49"/>
        <v>90</v>
      </c>
      <c r="M648" s="55"/>
    </row>
    <row r="649" spans="9:13" x14ac:dyDescent="0.15">
      <c r="I649" s="54"/>
      <c r="J649" s="51">
        <v>645</v>
      </c>
      <c r="K649" s="55">
        <v>60</v>
      </c>
      <c r="L649" s="55">
        <f t="shared" si="49"/>
        <v>90</v>
      </c>
      <c r="M649" s="55"/>
    </row>
    <row r="650" spans="9:13" x14ac:dyDescent="0.15">
      <c r="I650" s="54"/>
      <c r="J650" s="51">
        <v>646</v>
      </c>
      <c r="K650" s="55">
        <v>60</v>
      </c>
      <c r="L650" s="55">
        <f t="shared" si="49"/>
        <v>90</v>
      </c>
      <c r="M650" s="55"/>
    </row>
    <row r="651" spans="9:13" x14ac:dyDescent="0.15">
      <c r="I651" s="54"/>
      <c r="J651" s="51">
        <v>647</v>
      </c>
      <c r="K651" s="55">
        <v>60</v>
      </c>
      <c r="L651" s="55">
        <f t="shared" si="49"/>
        <v>90</v>
      </c>
      <c r="M651" s="55"/>
    </row>
    <row r="652" spans="9:13" x14ac:dyDescent="0.15">
      <c r="I652" s="54"/>
      <c r="J652" s="51">
        <v>648</v>
      </c>
      <c r="K652" s="55">
        <v>60</v>
      </c>
      <c r="L652" s="55">
        <f t="shared" si="49"/>
        <v>90</v>
      </c>
      <c r="M652" s="55"/>
    </row>
    <row r="653" spans="9:13" x14ac:dyDescent="0.15">
      <c r="I653" s="54"/>
      <c r="J653" s="51">
        <v>649</v>
      </c>
      <c r="K653" s="55">
        <v>60</v>
      </c>
      <c r="L653" s="55">
        <f t="shared" si="49"/>
        <v>90</v>
      </c>
      <c r="M653" s="55"/>
    </row>
    <row r="654" spans="9:13" x14ac:dyDescent="0.15">
      <c r="I654" s="54"/>
      <c r="J654" s="51">
        <v>650</v>
      </c>
      <c r="K654" s="55">
        <v>60</v>
      </c>
      <c r="L654" s="55">
        <f t="shared" si="49"/>
        <v>90</v>
      </c>
      <c r="M654" s="55"/>
    </row>
    <row r="655" spans="9:13" x14ac:dyDescent="0.15">
      <c r="I655" s="54"/>
      <c r="J655" s="51">
        <v>651</v>
      </c>
      <c r="K655" s="55">
        <v>60</v>
      </c>
      <c r="L655" s="55">
        <f t="shared" si="49"/>
        <v>90</v>
      </c>
      <c r="M655" s="55"/>
    </row>
    <row r="656" spans="9:13" x14ac:dyDescent="0.15">
      <c r="I656" s="54"/>
      <c r="J656" s="51">
        <v>652</v>
      </c>
      <c r="K656" s="55">
        <v>60</v>
      </c>
      <c r="L656" s="55">
        <f t="shared" si="49"/>
        <v>90</v>
      </c>
      <c r="M656" s="55"/>
    </row>
    <row r="657" spans="9:13" x14ac:dyDescent="0.15">
      <c r="I657" s="54"/>
      <c r="J657" s="51">
        <v>653</v>
      </c>
      <c r="K657" s="55">
        <v>60</v>
      </c>
      <c r="L657" s="55">
        <f t="shared" si="49"/>
        <v>90</v>
      </c>
      <c r="M657" s="55"/>
    </row>
    <row r="658" spans="9:13" x14ac:dyDescent="0.15">
      <c r="I658" s="54"/>
      <c r="J658" s="51">
        <v>654</v>
      </c>
      <c r="K658" s="55">
        <v>60</v>
      </c>
      <c r="L658" s="55">
        <f t="shared" si="49"/>
        <v>90</v>
      </c>
      <c r="M658" s="55"/>
    </row>
    <row r="659" spans="9:13" x14ac:dyDescent="0.15">
      <c r="I659" s="54"/>
      <c r="J659" s="51">
        <v>655</v>
      </c>
      <c r="K659" s="55">
        <v>60</v>
      </c>
      <c r="L659" s="55">
        <f t="shared" si="49"/>
        <v>90</v>
      </c>
      <c r="M659" s="55"/>
    </row>
    <row r="660" spans="9:13" x14ac:dyDescent="0.15">
      <c r="I660" s="54"/>
      <c r="J660" s="51">
        <v>656</v>
      </c>
      <c r="K660" s="55">
        <v>60</v>
      </c>
      <c r="L660" s="55">
        <f t="shared" si="49"/>
        <v>90</v>
      </c>
      <c r="M660" s="55"/>
    </row>
    <row r="661" spans="9:13" x14ac:dyDescent="0.15">
      <c r="I661" s="54"/>
      <c r="J661" s="51">
        <v>657</v>
      </c>
      <c r="K661" s="55">
        <v>60</v>
      </c>
      <c r="L661" s="55">
        <f t="shared" si="49"/>
        <v>90</v>
      </c>
      <c r="M661" s="55"/>
    </row>
    <row r="662" spans="9:13" x14ac:dyDescent="0.15">
      <c r="I662" s="54"/>
      <c r="J662" s="51">
        <v>658</v>
      </c>
      <c r="K662" s="55">
        <v>60</v>
      </c>
      <c r="L662" s="55">
        <f t="shared" si="49"/>
        <v>90</v>
      </c>
      <c r="M662" s="55"/>
    </row>
    <row r="663" spans="9:13" x14ac:dyDescent="0.15">
      <c r="I663" s="54"/>
      <c r="J663" s="51">
        <v>659</v>
      </c>
      <c r="K663" s="55">
        <v>60</v>
      </c>
      <c r="L663" s="55">
        <f t="shared" si="49"/>
        <v>90</v>
      </c>
      <c r="M663" s="55"/>
    </row>
    <row r="664" spans="9:13" x14ac:dyDescent="0.15">
      <c r="I664" s="54"/>
      <c r="J664" s="51">
        <v>660</v>
      </c>
      <c r="K664" s="55">
        <v>60</v>
      </c>
      <c r="L664" s="55">
        <f t="shared" si="49"/>
        <v>90</v>
      </c>
      <c r="M664" s="55"/>
    </row>
    <row r="665" spans="9:13" x14ac:dyDescent="0.15">
      <c r="I665" s="54"/>
      <c r="J665" s="51">
        <v>661</v>
      </c>
      <c r="K665" s="55">
        <v>60</v>
      </c>
      <c r="L665" s="55">
        <f t="shared" si="49"/>
        <v>90</v>
      </c>
      <c r="M665" s="55"/>
    </row>
    <row r="666" spans="9:13" x14ac:dyDescent="0.15">
      <c r="I666" s="54"/>
      <c r="J666" s="51">
        <v>662</v>
      </c>
      <c r="K666" s="55">
        <v>60</v>
      </c>
      <c r="L666" s="55">
        <f t="shared" si="49"/>
        <v>90</v>
      </c>
      <c r="M666" s="55"/>
    </row>
    <row r="667" spans="9:13" x14ac:dyDescent="0.15">
      <c r="I667" s="54"/>
      <c r="J667" s="51">
        <v>663</v>
      </c>
      <c r="K667" s="55">
        <v>60</v>
      </c>
      <c r="L667" s="55">
        <f t="shared" si="49"/>
        <v>90</v>
      </c>
      <c r="M667" s="55"/>
    </row>
    <row r="668" spans="9:13" x14ac:dyDescent="0.15">
      <c r="I668" s="54"/>
      <c r="J668" s="51">
        <v>664</v>
      </c>
      <c r="K668" s="55">
        <v>60</v>
      </c>
      <c r="L668" s="55">
        <f t="shared" si="49"/>
        <v>90</v>
      </c>
      <c r="M668" s="55"/>
    </row>
    <row r="669" spans="9:13" x14ac:dyDescent="0.15">
      <c r="I669" s="54"/>
      <c r="J669" s="51">
        <v>665</v>
      </c>
      <c r="K669" s="55">
        <v>60</v>
      </c>
      <c r="L669" s="55">
        <f t="shared" si="49"/>
        <v>90</v>
      </c>
      <c r="M669" s="55"/>
    </row>
    <row r="670" spans="9:13" x14ac:dyDescent="0.15">
      <c r="I670" s="54"/>
      <c r="J670" s="51">
        <v>666</v>
      </c>
      <c r="K670" s="55">
        <v>60</v>
      </c>
      <c r="L670" s="55">
        <f t="shared" si="49"/>
        <v>90</v>
      </c>
      <c r="M670" s="55"/>
    </row>
    <row r="671" spans="9:13" x14ac:dyDescent="0.15">
      <c r="I671" s="54"/>
      <c r="J671" s="51">
        <v>667</v>
      </c>
      <c r="K671" s="55">
        <v>60</v>
      </c>
      <c r="L671" s="55">
        <f t="shared" si="49"/>
        <v>90</v>
      </c>
      <c r="M671" s="55"/>
    </row>
    <row r="672" spans="9:13" x14ac:dyDescent="0.15">
      <c r="I672" s="54"/>
      <c r="J672" s="51">
        <v>668</v>
      </c>
      <c r="K672" s="55">
        <v>60</v>
      </c>
      <c r="L672" s="55">
        <f t="shared" si="49"/>
        <v>90</v>
      </c>
      <c r="M672" s="55"/>
    </row>
    <row r="673" spans="9:13" x14ac:dyDescent="0.15">
      <c r="I673" s="54"/>
      <c r="J673" s="51">
        <v>669</v>
      </c>
      <c r="K673" s="55">
        <v>60</v>
      </c>
      <c r="L673" s="55">
        <f t="shared" si="49"/>
        <v>90</v>
      </c>
      <c r="M673" s="55"/>
    </row>
    <row r="674" spans="9:13" x14ac:dyDescent="0.15">
      <c r="I674" s="54"/>
      <c r="J674" s="51">
        <v>670</v>
      </c>
      <c r="K674" s="55">
        <v>60</v>
      </c>
      <c r="L674" s="55">
        <f t="shared" si="49"/>
        <v>90</v>
      </c>
      <c r="M674" s="55"/>
    </row>
    <row r="675" spans="9:13" x14ac:dyDescent="0.15">
      <c r="I675" s="54"/>
      <c r="J675" s="51">
        <v>671</v>
      </c>
      <c r="K675" s="55">
        <v>60</v>
      </c>
      <c r="L675" s="55">
        <f t="shared" si="49"/>
        <v>90</v>
      </c>
      <c r="M675" s="55"/>
    </row>
    <row r="676" spans="9:13" x14ac:dyDescent="0.15">
      <c r="I676" s="54"/>
      <c r="J676" s="51">
        <v>672</v>
      </c>
      <c r="K676" s="55">
        <v>60</v>
      </c>
      <c r="L676" s="55">
        <f t="shared" si="49"/>
        <v>90</v>
      </c>
      <c r="M676" s="55"/>
    </row>
    <row r="677" spans="9:13" x14ac:dyDescent="0.15">
      <c r="I677" s="54"/>
      <c r="J677" s="51">
        <v>673</v>
      </c>
      <c r="K677" s="55">
        <v>60</v>
      </c>
      <c r="L677" s="55">
        <f t="shared" si="49"/>
        <v>90</v>
      </c>
      <c r="M677" s="55"/>
    </row>
    <row r="678" spans="9:13" x14ac:dyDescent="0.15">
      <c r="I678" s="54"/>
      <c r="J678" s="51">
        <v>674</v>
      </c>
      <c r="K678" s="55">
        <v>60</v>
      </c>
      <c r="L678" s="55">
        <f t="shared" si="49"/>
        <v>90</v>
      </c>
      <c r="M678" s="55"/>
    </row>
    <row r="679" spans="9:13" x14ac:dyDescent="0.15">
      <c r="I679" s="54"/>
      <c r="J679" s="51">
        <v>675</v>
      </c>
      <c r="K679" s="55">
        <v>60</v>
      </c>
      <c r="L679" s="55">
        <f t="shared" si="49"/>
        <v>90</v>
      </c>
      <c r="M679" s="55"/>
    </row>
    <row r="680" spans="9:13" x14ac:dyDescent="0.15">
      <c r="I680" s="54"/>
      <c r="J680" s="51">
        <v>676</v>
      </c>
      <c r="K680" s="55">
        <v>60</v>
      </c>
      <c r="L680" s="55">
        <f t="shared" si="49"/>
        <v>90</v>
      </c>
      <c r="M680" s="55"/>
    </row>
    <row r="681" spans="9:13" x14ac:dyDescent="0.15">
      <c r="I681" s="54"/>
      <c r="J681" s="51">
        <v>677</v>
      </c>
      <c r="K681" s="55">
        <v>60</v>
      </c>
      <c r="L681" s="55">
        <f t="shared" si="49"/>
        <v>90</v>
      </c>
      <c r="M681" s="55"/>
    </row>
    <row r="682" spans="9:13" x14ac:dyDescent="0.15">
      <c r="I682" s="54"/>
      <c r="J682" s="51">
        <v>678</v>
      </c>
      <c r="K682" s="55">
        <v>60</v>
      </c>
      <c r="L682" s="55">
        <f t="shared" si="49"/>
        <v>90</v>
      </c>
      <c r="M682" s="55"/>
    </row>
    <row r="683" spans="9:13" x14ac:dyDescent="0.15">
      <c r="I683" s="54"/>
      <c r="J683" s="51">
        <v>679</v>
      </c>
      <c r="K683" s="55">
        <v>60</v>
      </c>
      <c r="L683" s="55">
        <f t="shared" si="49"/>
        <v>90</v>
      </c>
      <c r="M683" s="55"/>
    </row>
    <row r="684" spans="9:13" x14ac:dyDescent="0.15">
      <c r="I684" s="54"/>
      <c r="J684" s="51">
        <v>680</v>
      </c>
      <c r="K684" s="55">
        <v>60</v>
      </c>
      <c r="L684" s="55">
        <f t="shared" si="49"/>
        <v>90</v>
      </c>
      <c r="M684" s="55"/>
    </row>
    <row r="685" spans="9:13" x14ac:dyDescent="0.15">
      <c r="I685" s="54"/>
      <c r="J685" s="51">
        <v>681</v>
      </c>
      <c r="K685" s="55">
        <v>60</v>
      </c>
      <c r="L685" s="55">
        <f t="shared" si="49"/>
        <v>90</v>
      </c>
      <c r="M685" s="55"/>
    </row>
    <row r="686" spans="9:13" x14ac:dyDescent="0.15">
      <c r="I686" s="54"/>
      <c r="J686" s="51">
        <v>682</v>
      </c>
      <c r="K686" s="55">
        <v>60</v>
      </c>
      <c r="L686" s="55">
        <f t="shared" si="49"/>
        <v>90</v>
      </c>
      <c r="M686" s="55"/>
    </row>
    <row r="687" spans="9:13" x14ac:dyDescent="0.15">
      <c r="I687" s="54"/>
      <c r="J687" s="51">
        <v>683</v>
      </c>
      <c r="K687" s="55">
        <v>60</v>
      </c>
      <c r="L687" s="55">
        <f t="shared" si="49"/>
        <v>90</v>
      </c>
      <c r="M687" s="55"/>
    </row>
    <row r="688" spans="9:13" x14ac:dyDescent="0.15">
      <c r="I688" s="54"/>
      <c r="J688" s="51">
        <v>684</v>
      </c>
      <c r="K688" s="55">
        <v>60</v>
      </c>
      <c r="L688" s="55">
        <f t="shared" si="49"/>
        <v>90</v>
      </c>
      <c r="M688" s="55"/>
    </row>
    <row r="689" spans="9:13" x14ac:dyDescent="0.15">
      <c r="I689" s="54"/>
      <c r="J689" s="51">
        <v>685</v>
      </c>
      <c r="K689" s="55">
        <v>60</v>
      </c>
      <c r="L689" s="55">
        <f t="shared" si="49"/>
        <v>90</v>
      </c>
      <c r="M689" s="55"/>
    </row>
    <row r="690" spans="9:13" x14ac:dyDescent="0.15">
      <c r="I690" s="54"/>
      <c r="J690" s="51">
        <v>686</v>
      </c>
      <c r="K690" s="55">
        <v>60</v>
      </c>
      <c r="L690" s="55">
        <f t="shared" si="49"/>
        <v>90</v>
      </c>
      <c r="M690" s="55"/>
    </row>
    <row r="691" spans="9:13" x14ac:dyDescent="0.15">
      <c r="I691" s="54"/>
      <c r="J691" s="51">
        <v>687</v>
      </c>
      <c r="K691" s="55">
        <v>60</v>
      </c>
      <c r="L691" s="55">
        <f t="shared" si="49"/>
        <v>90</v>
      </c>
      <c r="M691" s="55"/>
    </row>
    <row r="692" spans="9:13" x14ac:dyDescent="0.15">
      <c r="I692" s="54"/>
      <c r="J692" s="51">
        <v>688</v>
      </c>
      <c r="K692" s="55">
        <v>60</v>
      </c>
      <c r="L692" s="55">
        <f t="shared" si="49"/>
        <v>90</v>
      </c>
      <c r="M692" s="55"/>
    </row>
    <row r="693" spans="9:13" x14ac:dyDescent="0.15">
      <c r="I693" s="54"/>
      <c r="J693" s="51">
        <v>689</v>
      </c>
      <c r="K693" s="55">
        <v>60</v>
      </c>
      <c r="L693" s="55">
        <f t="shared" si="49"/>
        <v>90</v>
      </c>
      <c r="M693" s="55"/>
    </row>
    <row r="694" spans="9:13" x14ac:dyDescent="0.15">
      <c r="I694" s="54"/>
      <c r="J694" s="51">
        <v>690</v>
      </c>
      <c r="K694" s="55">
        <v>60</v>
      </c>
      <c r="L694" s="55">
        <f t="shared" si="49"/>
        <v>90</v>
      </c>
      <c r="M694" s="55"/>
    </row>
    <row r="695" spans="9:13" x14ac:dyDescent="0.15">
      <c r="I695" s="54"/>
      <c r="J695" s="51">
        <v>691</v>
      </c>
      <c r="K695" s="55">
        <v>60</v>
      </c>
      <c r="L695" s="55">
        <f t="shared" si="49"/>
        <v>90</v>
      </c>
      <c r="M695" s="55"/>
    </row>
    <row r="696" spans="9:13" x14ac:dyDescent="0.15">
      <c r="I696" s="54"/>
      <c r="J696" s="51">
        <v>692</v>
      </c>
      <c r="K696" s="55">
        <v>60</v>
      </c>
      <c r="L696" s="55">
        <f t="shared" si="49"/>
        <v>90</v>
      </c>
      <c r="M696" s="55"/>
    </row>
    <row r="697" spans="9:13" x14ac:dyDescent="0.15">
      <c r="I697" s="54"/>
      <c r="J697" s="51">
        <v>693</v>
      </c>
      <c r="K697" s="55">
        <v>60</v>
      </c>
      <c r="L697" s="55">
        <f t="shared" si="49"/>
        <v>90</v>
      </c>
      <c r="M697" s="55"/>
    </row>
    <row r="698" spans="9:13" x14ac:dyDescent="0.15">
      <c r="I698" s="54"/>
      <c r="J698" s="51">
        <v>694</v>
      </c>
      <c r="K698" s="55">
        <v>60</v>
      </c>
      <c r="L698" s="55">
        <f t="shared" si="49"/>
        <v>90</v>
      </c>
      <c r="M698" s="55"/>
    </row>
    <row r="699" spans="9:13" x14ac:dyDescent="0.15">
      <c r="I699" s="54"/>
      <c r="J699" s="51">
        <v>695</v>
      </c>
      <c r="K699" s="55">
        <v>60</v>
      </c>
      <c r="L699" s="55">
        <f t="shared" si="49"/>
        <v>90</v>
      </c>
      <c r="M699" s="55"/>
    </row>
    <row r="700" spans="9:13" x14ac:dyDescent="0.15">
      <c r="I700" s="54"/>
      <c r="J700" s="51">
        <v>696</v>
      </c>
      <c r="K700" s="55">
        <v>60</v>
      </c>
      <c r="L700" s="55">
        <f t="shared" si="49"/>
        <v>90</v>
      </c>
      <c r="M700" s="55"/>
    </row>
    <row r="701" spans="9:13" x14ac:dyDescent="0.15">
      <c r="I701" s="54"/>
      <c r="J701" s="51">
        <v>697</v>
      </c>
      <c r="K701" s="55">
        <v>60</v>
      </c>
      <c r="L701" s="55">
        <f t="shared" si="49"/>
        <v>90</v>
      </c>
      <c r="M701" s="55"/>
    </row>
    <row r="702" spans="9:13" x14ac:dyDescent="0.15">
      <c r="I702" s="54"/>
      <c r="J702" s="51">
        <v>698</v>
      </c>
      <c r="K702" s="55">
        <v>60</v>
      </c>
      <c r="L702" s="55">
        <f t="shared" si="49"/>
        <v>90</v>
      </c>
      <c r="M702" s="55"/>
    </row>
    <row r="703" spans="9:13" x14ac:dyDescent="0.15">
      <c r="I703" s="54"/>
      <c r="J703" s="51">
        <v>699</v>
      </c>
      <c r="K703" s="55">
        <v>60</v>
      </c>
      <c r="L703" s="55">
        <f t="shared" si="49"/>
        <v>90</v>
      </c>
      <c r="M703" s="55"/>
    </row>
    <row r="704" spans="9:13" x14ac:dyDescent="0.15">
      <c r="I704" s="54"/>
      <c r="J704" s="51">
        <v>700</v>
      </c>
      <c r="K704" s="55">
        <v>60</v>
      </c>
      <c r="L704" s="55">
        <f t="shared" si="49"/>
        <v>90</v>
      </c>
      <c r="M704" s="55"/>
    </row>
    <row r="705" spans="9:13" x14ac:dyDescent="0.15">
      <c r="I705" s="54"/>
      <c r="J705" s="51">
        <v>701</v>
      </c>
      <c r="K705" s="55">
        <v>60</v>
      </c>
      <c r="L705" s="55">
        <f t="shared" si="49"/>
        <v>90</v>
      </c>
      <c r="M705" s="55"/>
    </row>
    <row r="706" spans="9:13" x14ac:dyDescent="0.15">
      <c r="I706" s="54"/>
      <c r="J706" s="51">
        <v>702</v>
      </c>
      <c r="K706" s="55">
        <v>60</v>
      </c>
      <c r="L706" s="55">
        <f t="shared" si="49"/>
        <v>90</v>
      </c>
      <c r="M706" s="55"/>
    </row>
    <row r="707" spans="9:13" x14ac:dyDescent="0.15">
      <c r="I707" s="54"/>
      <c r="J707" s="51">
        <v>703</v>
      </c>
      <c r="K707" s="55">
        <v>60</v>
      </c>
      <c r="L707" s="55">
        <f t="shared" si="49"/>
        <v>90</v>
      </c>
      <c r="M707" s="55"/>
    </row>
    <row r="708" spans="9:13" x14ac:dyDescent="0.15">
      <c r="I708" s="54"/>
      <c r="J708" s="51">
        <v>704</v>
      </c>
      <c r="K708" s="55">
        <v>60</v>
      </c>
      <c r="L708" s="55">
        <f t="shared" si="49"/>
        <v>90</v>
      </c>
      <c r="M708" s="55"/>
    </row>
    <row r="709" spans="9:13" x14ac:dyDescent="0.15">
      <c r="I709" s="54"/>
      <c r="J709" s="51">
        <v>705</v>
      </c>
      <c r="K709" s="55">
        <v>60</v>
      </c>
      <c r="L709" s="55">
        <f t="shared" si="49"/>
        <v>90</v>
      </c>
      <c r="M709" s="55"/>
    </row>
    <row r="710" spans="9:13" x14ac:dyDescent="0.15">
      <c r="I710" s="54"/>
      <c r="J710" s="51">
        <v>706</v>
      </c>
      <c r="K710" s="55">
        <v>60</v>
      </c>
      <c r="L710" s="55">
        <f t="shared" ref="L710:L773" si="50">K710*1.5</f>
        <v>90</v>
      </c>
      <c r="M710" s="55"/>
    </row>
    <row r="711" spans="9:13" x14ac:dyDescent="0.15">
      <c r="I711" s="54"/>
      <c r="J711" s="51">
        <v>707</v>
      </c>
      <c r="K711" s="55">
        <v>60</v>
      </c>
      <c r="L711" s="55">
        <f t="shared" si="50"/>
        <v>90</v>
      </c>
      <c r="M711" s="55"/>
    </row>
    <row r="712" spans="9:13" x14ac:dyDescent="0.15">
      <c r="I712" s="54"/>
      <c r="J712" s="51">
        <v>708</v>
      </c>
      <c r="K712" s="55">
        <v>60</v>
      </c>
      <c r="L712" s="55">
        <f t="shared" si="50"/>
        <v>90</v>
      </c>
      <c r="M712" s="55"/>
    </row>
    <row r="713" spans="9:13" x14ac:dyDescent="0.15">
      <c r="I713" s="54"/>
      <c r="J713" s="51">
        <v>709</v>
      </c>
      <c r="K713" s="55">
        <v>60</v>
      </c>
      <c r="L713" s="55">
        <f t="shared" si="50"/>
        <v>90</v>
      </c>
      <c r="M713" s="55"/>
    </row>
    <row r="714" spans="9:13" x14ac:dyDescent="0.15">
      <c r="I714" s="54"/>
      <c r="J714" s="51">
        <v>710</v>
      </c>
      <c r="K714" s="55">
        <v>60</v>
      </c>
      <c r="L714" s="55">
        <f t="shared" si="50"/>
        <v>90</v>
      </c>
      <c r="M714" s="55"/>
    </row>
    <row r="715" spans="9:13" x14ac:dyDescent="0.15">
      <c r="I715" s="54"/>
      <c r="J715" s="51">
        <v>711</v>
      </c>
      <c r="K715" s="55">
        <v>60</v>
      </c>
      <c r="L715" s="55">
        <f t="shared" si="50"/>
        <v>90</v>
      </c>
      <c r="M715" s="55"/>
    </row>
    <row r="716" spans="9:13" x14ac:dyDescent="0.15">
      <c r="I716" s="54"/>
      <c r="J716" s="51">
        <v>712</v>
      </c>
      <c r="K716" s="55">
        <v>60</v>
      </c>
      <c r="L716" s="55">
        <f t="shared" si="50"/>
        <v>90</v>
      </c>
      <c r="M716" s="55"/>
    </row>
    <row r="717" spans="9:13" x14ac:dyDescent="0.15">
      <c r="I717" s="54"/>
      <c r="J717" s="51">
        <v>713</v>
      </c>
      <c r="K717" s="55">
        <v>60</v>
      </c>
      <c r="L717" s="55">
        <f t="shared" si="50"/>
        <v>90</v>
      </c>
      <c r="M717" s="55"/>
    </row>
    <row r="718" spans="9:13" x14ac:dyDescent="0.15">
      <c r="I718" s="54"/>
      <c r="J718" s="51">
        <v>714</v>
      </c>
      <c r="K718" s="55">
        <v>60</v>
      </c>
      <c r="L718" s="55">
        <f t="shared" si="50"/>
        <v>90</v>
      </c>
      <c r="M718" s="55"/>
    </row>
    <row r="719" spans="9:13" x14ac:dyDescent="0.15">
      <c r="I719" s="54"/>
      <c r="J719" s="51">
        <v>715</v>
      </c>
      <c r="K719" s="55">
        <v>60</v>
      </c>
      <c r="L719" s="55">
        <f t="shared" si="50"/>
        <v>90</v>
      </c>
      <c r="M719" s="55"/>
    </row>
    <row r="720" spans="9:13" x14ac:dyDescent="0.15">
      <c r="I720" s="54"/>
      <c r="J720" s="51">
        <v>716</v>
      </c>
      <c r="K720" s="55">
        <v>60</v>
      </c>
      <c r="L720" s="55">
        <f t="shared" si="50"/>
        <v>90</v>
      </c>
      <c r="M720" s="55"/>
    </row>
    <row r="721" spans="9:13" x14ac:dyDescent="0.15">
      <c r="I721" s="54"/>
      <c r="J721" s="51">
        <v>717</v>
      </c>
      <c r="K721" s="55">
        <v>60</v>
      </c>
      <c r="L721" s="55">
        <f t="shared" si="50"/>
        <v>90</v>
      </c>
      <c r="M721" s="55"/>
    </row>
    <row r="722" spans="9:13" x14ac:dyDescent="0.15">
      <c r="I722" s="54"/>
      <c r="J722" s="51">
        <v>718</v>
      </c>
      <c r="K722" s="55">
        <v>60</v>
      </c>
      <c r="L722" s="55">
        <f t="shared" si="50"/>
        <v>90</v>
      </c>
      <c r="M722" s="55"/>
    </row>
    <row r="723" spans="9:13" x14ac:dyDescent="0.15">
      <c r="I723" s="54"/>
      <c r="J723" s="51">
        <v>719</v>
      </c>
      <c r="K723" s="55">
        <v>60</v>
      </c>
      <c r="L723" s="55">
        <f t="shared" si="50"/>
        <v>90</v>
      </c>
      <c r="M723" s="55"/>
    </row>
    <row r="724" spans="9:13" x14ac:dyDescent="0.15">
      <c r="I724" s="54"/>
      <c r="J724" s="51">
        <v>720</v>
      </c>
      <c r="K724" s="55">
        <v>60</v>
      </c>
      <c r="L724" s="55">
        <f t="shared" si="50"/>
        <v>90</v>
      </c>
      <c r="M724" s="55"/>
    </row>
    <row r="725" spans="9:13" x14ac:dyDescent="0.15">
      <c r="I725" s="54"/>
      <c r="J725" s="51">
        <v>721</v>
      </c>
      <c r="K725" s="55">
        <v>60</v>
      </c>
      <c r="L725" s="55">
        <f t="shared" si="50"/>
        <v>90</v>
      </c>
      <c r="M725" s="55"/>
    </row>
    <row r="726" spans="9:13" x14ac:dyDescent="0.15">
      <c r="I726" s="54"/>
      <c r="J726" s="51">
        <v>722</v>
      </c>
      <c r="K726" s="55">
        <v>60</v>
      </c>
      <c r="L726" s="55">
        <f t="shared" si="50"/>
        <v>90</v>
      </c>
      <c r="M726" s="55"/>
    </row>
    <row r="727" spans="9:13" x14ac:dyDescent="0.15">
      <c r="I727" s="54"/>
      <c r="J727" s="51">
        <v>723</v>
      </c>
      <c r="K727" s="55">
        <v>60</v>
      </c>
      <c r="L727" s="55">
        <f t="shared" si="50"/>
        <v>90</v>
      </c>
      <c r="M727" s="55"/>
    </row>
    <row r="728" spans="9:13" x14ac:dyDescent="0.15">
      <c r="I728" s="54"/>
      <c r="J728" s="51">
        <v>724</v>
      </c>
      <c r="K728" s="55">
        <v>60</v>
      </c>
      <c r="L728" s="55">
        <f t="shared" si="50"/>
        <v>90</v>
      </c>
      <c r="M728" s="55"/>
    </row>
    <row r="729" spans="9:13" x14ac:dyDescent="0.15">
      <c r="I729" s="54"/>
      <c r="J729" s="51">
        <v>725</v>
      </c>
      <c r="K729" s="55">
        <v>60</v>
      </c>
      <c r="L729" s="55">
        <f t="shared" si="50"/>
        <v>90</v>
      </c>
      <c r="M729" s="55"/>
    </row>
    <row r="730" spans="9:13" x14ac:dyDescent="0.15">
      <c r="I730" s="54"/>
      <c r="J730" s="51">
        <v>726</v>
      </c>
      <c r="K730" s="55">
        <v>60</v>
      </c>
      <c r="L730" s="55">
        <f t="shared" si="50"/>
        <v>90</v>
      </c>
      <c r="M730" s="55"/>
    </row>
    <row r="731" spans="9:13" x14ac:dyDescent="0.15">
      <c r="I731" s="54"/>
      <c r="J731" s="51">
        <v>727</v>
      </c>
      <c r="K731" s="55">
        <v>60</v>
      </c>
      <c r="L731" s="55">
        <f t="shared" si="50"/>
        <v>90</v>
      </c>
      <c r="M731" s="55"/>
    </row>
    <row r="732" spans="9:13" x14ac:dyDescent="0.15">
      <c r="I732" s="54"/>
      <c r="J732" s="51">
        <v>728</v>
      </c>
      <c r="K732" s="55">
        <v>60</v>
      </c>
      <c r="L732" s="55">
        <f t="shared" si="50"/>
        <v>90</v>
      </c>
      <c r="M732" s="55"/>
    </row>
    <row r="733" spans="9:13" x14ac:dyDescent="0.15">
      <c r="I733" s="54"/>
      <c r="J733" s="51">
        <v>729</v>
      </c>
      <c r="K733" s="55">
        <v>60</v>
      </c>
      <c r="L733" s="55">
        <f t="shared" si="50"/>
        <v>90</v>
      </c>
      <c r="M733" s="55"/>
    </row>
    <row r="734" spans="9:13" x14ac:dyDescent="0.15">
      <c r="I734" s="54"/>
      <c r="J734" s="51">
        <v>730</v>
      </c>
      <c r="K734" s="55">
        <v>60</v>
      </c>
      <c r="L734" s="55">
        <f t="shared" si="50"/>
        <v>90</v>
      </c>
      <c r="M734" s="55"/>
    </row>
    <row r="735" spans="9:13" x14ac:dyDescent="0.15">
      <c r="I735" s="54"/>
      <c r="J735" s="51">
        <v>731</v>
      </c>
      <c r="K735" s="55">
        <v>60</v>
      </c>
      <c r="L735" s="55">
        <f t="shared" si="50"/>
        <v>90</v>
      </c>
      <c r="M735" s="55"/>
    </row>
    <row r="736" spans="9:13" x14ac:dyDescent="0.15">
      <c r="I736" s="54"/>
      <c r="J736" s="51">
        <v>732</v>
      </c>
      <c r="K736" s="55">
        <v>60</v>
      </c>
      <c r="L736" s="55">
        <f t="shared" si="50"/>
        <v>90</v>
      </c>
      <c r="M736" s="55"/>
    </row>
    <row r="737" spans="9:13" x14ac:dyDescent="0.15">
      <c r="I737" s="54"/>
      <c r="J737" s="51">
        <v>733</v>
      </c>
      <c r="K737" s="55">
        <v>60</v>
      </c>
      <c r="L737" s="55">
        <f t="shared" si="50"/>
        <v>90</v>
      </c>
      <c r="M737" s="55"/>
    </row>
    <row r="738" spans="9:13" x14ac:dyDescent="0.15">
      <c r="I738" s="54"/>
      <c r="J738" s="51">
        <v>734</v>
      </c>
      <c r="K738" s="55">
        <v>60</v>
      </c>
      <c r="L738" s="55">
        <f t="shared" si="50"/>
        <v>90</v>
      </c>
      <c r="M738" s="55"/>
    </row>
    <row r="739" spans="9:13" x14ac:dyDescent="0.15">
      <c r="I739" s="54"/>
      <c r="J739" s="51">
        <v>735</v>
      </c>
      <c r="K739" s="55">
        <v>60</v>
      </c>
      <c r="L739" s="55">
        <f t="shared" si="50"/>
        <v>90</v>
      </c>
      <c r="M739" s="55"/>
    </row>
    <row r="740" spans="9:13" x14ac:dyDescent="0.15">
      <c r="I740" s="54"/>
      <c r="J740" s="51">
        <v>736</v>
      </c>
      <c r="K740" s="55">
        <v>60</v>
      </c>
      <c r="L740" s="55">
        <f t="shared" si="50"/>
        <v>90</v>
      </c>
      <c r="M740" s="55"/>
    </row>
    <row r="741" spans="9:13" x14ac:dyDescent="0.15">
      <c r="I741" s="54"/>
      <c r="J741" s="51">
        <v>737</v>
      </c>
      <c r="K741" s="55">
        <v>60</v>
      </c>
      <c r="L741" s="55">
        <f t="shared" si="50"/>
        <v>90</v>
      </c>
      <c r="M741" s="55"/>
    </row>
    <row r="742" spans="9:13" x14ac:dyDescent="0.15">
      <c r="I742" s="54"/>
      <c r="J742" s="51">
        <v>738</v>
      </c>
      <c r="K742" s="55">
        <v>60</v>
      </c>
      <c r="L742" s="55">
        <f t="shared" si="50"/>
        <v>90</v>
      </c>
      <c r="M742" s="55"/>
    </row>
    <row r="743" spans="9:13" x14ac:dyDescent="0.15">
      <c r="I743" s="54"/>
      <c r="J743" s="51">
        <v>739</v>
      </c>
      <c r="K743" s="55">
        <v>60</v>
      </c>
      <c r="L743" s="55">
        <f t="shared" si="50"/>
        <v>90</v>
      </c>
      <c r="M743" s="55"/>
    </row>
    <row r="744" spans="9:13" x14ac:dyDescent="0.15">
      <c r="I744" s="54"/>
      <c r="J744" s="51">
        <v>740</v>
      </c>
      <c r="K744" s="55">
        <v>60</v>
      </c>
      <c r="L744" s="55">
        <f t="shared" si="50"/>
        <v>90</v>
      </c>
      <c r="M744" s="55"/>
    </row>
    <row r="745" spans="9:13" x14ac:dyDescent="0.15">
      <c r="I745" s="54"/>
      <c r="J745" s="51">
        <v>741</v>
      </c>
      <c r="K745" s="55">
        <v>60</v>
      </c>
      <c r="L745" s="55">
        <f t="shared" si="50"/>
        <v>90</v>
      </c>
      <c r="M745" s="55"/>
    </row>
    <row r="746" spans="9:13" x14ac:dyDescent="0.15">
      <c r="I746" s="54"/>
      <c r="J746" s="51">
        <v>742</v>
      </c>
      <c r="K746" s="55">
        <v>60</v>
      </c>
      <c r="L746" s="55">
        <f t="shared" si="50"/>
        <v>90</v>
      </c>
      <c r="M746" s="55"/>
    </row>
    <row r="747" spans="9:13" x14ac:dyDescent="0.15">
      <c r="I747" s="54"/>
      <c r="J747" s="51">
        <v>743</v>
      </c>
      <c r="K747" s="55">
        <v>60</v>
      </c>
      <c r="L747" s="55">
        <f t="shared" si="50"/>
        <v>90</v>
      </c>
      <c r="M747" s="55"/>
    </row>
    <row r="748" spans="9:13" x14ac:dyDescent="0.15">
      <c r="I748" s="54"/>
      <c r="J748" s="51">
        <v>744</v>
      </c>
      <c r="K748" s="55">
        <v>60</v>
      </c>
      <c r="L748" s="55">
        <f t="shared" si="50"/>
        <v>90</v>
      </c>
      <c r="M748" s="55"/>
    </row>
    <row r="749" spans="9:13" x14ac:dyDescent="0.15">
      <c r="I749" s="54"/>
      <c r="J749" s="51">
        <v>745</v>
      </c>
      <c r="K749" s="55">
        <v>60</v>
      </c>
      <c r="L749" s="55">
        <f t="shared" si="50"/>
        <v>90</v>
      </c>
      <c r="M749" s="55"/>
    </row>
    <row r="750" spans="9:13" x14ac:dyDescent="0.15">
      <c r="I750" s="54"/>
      <c r="J750" s="51">
        <v>746</v>
      </c>
      <c r="K750" s="55">
        <v>60</v>
      </c>
      <c r="L750" s="55">
        <f t="shared" si="50"/>
        <v>90</v>
      </c>
      <c r="M750" s="55"/>
    </row>
    <row r="751" spans="9:13" x14ac:dyDescent="0.15">
      <c r="I751" s="54"/>
      <c r="J751" s="51">
        <v>747</v>
      </c>
      <c r="K751" s="55">
        <v>60</v>
      </c>
      <c r="L751" s="55">
        <f t="shared" si="50"/>
        <v>90</v>
      </c>
      <c r="M751" s="55"/>
    </row>
    <row r="752" spans="9:13" x14ac:dyDescent="0.15">
      <c r="I752" s="54"/>
      <c r="J752" s="51">
        <v>748</v>
      </c>
      <c r="K752" s="55">
        <v>60</v>
      </c>
      <c r="L752" s="55">
        <f t="shared" si="50"/>
        <v>90</v>
      </c>
      <c r="M752" s="55"/>
    </row>
    <row r="753" spans="9:13" x14ac:dyDescent="0.15">
      <c r="I753" s="54"/>
      <c r="J753" s="51">
        <v>749</v>
      </c>
      <c r="K753" s="55">
        <v>60</v>
      </c>
      <c r="L753" s="55">
        <f t="shared" si="50"/>
        <v>90</v>
      </c>
      <c r="M753" s="55"/>
    </row>
    <row r="754" spans="9:13" x14ac:dyDescent="0.15">
      <c r="I754" s="54"/>
      <c r="J754" s="51">
        <v>750</v>
      </c>
      <c r="K754" s="55">
        <v>60</v>
      </c>
      <c r="L754" s="55">
        <f t="shared" si="50"/>
        <v>90</v>
      </c>
      <c r="M754" s="55"/>
    </row>
    <row r="755" spans="9:13" x14ac:dyDescent="0.15">
      <c r="I755" s="54"/>
      <c r="J755" s="51">
        <v>751</v>
      </c>
      <c r="K755" s="55">
        <v>60</v>
      </c>
      <c r="L755" s="55">
        <f t="shared" si="50"/>
        <v>90</v>
      </c>
      <c r="M755" s="55"/>
    </row>
    <row r="756" spans="9:13" x14ac:dyDescent="0.15">
      <c r="I756" s="54"/>
      <c r="J756" s="51">
        <v>752</v>
      </c>
      <c r="K756" s="55">
        <v>60</v>
      </c>
      <c r="L756" s="55">
        <f t="shared" si="50"/>
        <v>90</v>
      </c>
      <c r="M756" s="55"/>
    </row>
    <row r="757" spans="9:13" x14ac:dyDescent="0.15">
      <c r="I757" s="54"/>
      <c r="J757" s="51">
        <v>753</v>
      </c>
      <c r="K757" s="55">
        <v>60</v>
      </c>
      <c r="L757" s="55">
        <f t="shared" si="50"/>
        <v>90</v>
      </c>
      <c r="M757" s="55"/>
    </row>
    <row r="758" spans="9:13" x14ac:dyDescent="0.15">
      <c r="I758" s="54"/>
      <c r="J758" s="51">
        <v>754</v>
      </c>
      <c r="K758" s="55">
        <v>60</v>
      </c>
      <c r="L758" s="55">
        <f t="shared" si="50"/>
        <v>90</v>
      </c>
      <c r="M758" s="55"/>
    </row>
    <row r="759" spans="9:13" x14ac:dyDescent="0.15">
      <c r="I759" s="54"/>
      <c r="J759" s="51">
        <v>755</v>
      </c>
      <c r="K759" s="55">
        <v>60</v>
      </c>
      <c r="L759" s="55">
        <f t="shared" si="50"/>
        <v>90</v>
      </c>
      <c r="M759" s="55"/>
    </row>
    <row r="760" spans="9:13" x14ac:dyDescent="0.15">
      <c r="I760" s="54"/>
      <c r="J760" s="51">
        <v>756</v>
      </c>
      <c r="K760" s="55">
        <v>60</v>
      </c>
      <c r="L760" s="55">
        <f t="shared" si="50"/>
        <v>90</v>
      </c>
      <c r="M760" s="55"/>
    </row>
    <row r="761" spans="9:13" x14ac:dyDescent="0.15">
      <c r="I761" s="54"/>
      <c r="J761" s="51">
        <v>757</v>
      </c>
      <c r="K761" s="55">
        <v>60</v>
      </c>
      <c r="L761" s="55">
        <f t="shared" si="50"/>
        <v>90</v>
      </c>
      <c r="M761" s="55"/>
    </row>
    <row r="762" spans="9:13" x14ac:dyDescent="0.15">
      <c r="I762" s="54"/>
      <c r="J762" s="51">
        <v>758</v>
      </c>
      <c r="K762" s="55">
        <v>60</v>
      </c>
      <c r="L762" s="55">
        <f t="shared" si="50"/>
        <v>90</v>
      </c>
      <c r="M762" s="55"/>
    </row>
    <row r="763" spans="9:13" x14ac:dyDescent="0.15">
      <c r="I763" s="54"/>
      <c r="J763" s="51">
        <v>759</v>
      </c>
      <c r="K763" s="55">
        <v>60</v>
      </c>
      <c r="L763" s="55">
        <f t="shared" si="50"/>
        <v>90</v>
      </c>
      <c r="M763" s="55"/>
    </row>
    <row r="764" spans="9:13" x14ac:dyDescent="0.15">
      <c r="I764" s="54"/>
      <c r="J764" s="51">
        <v>760</v>
      </c>
      <c r="K764" s="55">
        <v>60</v>
      </c>
      <c r="L764" s="55">
        <f t="shared" si="50"/>
        <v>90</v>
      </c>
      <c r="M764" s="55"/>
    </row>
    <row r="765" spans="9:13" x14ac:dyDescent="0.15">
      <c r="I765" s="54"/>
      <c r="J765" s="51">
        <v>761</v>
      </c>
      <c r="K765" s="55">
        <v>60</v>
      </c>
      <c r="L765" s="55">
        <f t="shared" si="50"/>
        <v>90</v>
      </c>
      <c r="M765" s="55"/>
    </row>
    <row r="766" spans="9:13" x14ac:dyDescent="0.15">
      <c r="I766" s="54"/>
      <c r="J766" s="51">
        <v>762</v>
      </c>
      <c r="K766" s="55">
        <v>60</v>
      </c>
      <c r="L766" s="55">
        <f t="shared" si="50"/>
        <v>90</v>
      </c>
      <c r="M766" s="55"/>
    </row>
    <row r="767" spans="9:13" x14ac:dyDescent="0.15">
      <c r="I767" s="54"/>
      <c r="J767" s="51">
        <v>763</v>
      </c>
      <c r="K767" s="55">
        <v>60</v>
      </c>
      <c r="L767" s="55">
        <f t="shared" si="50"/>
        <v>90</v>
      </c>
      <c r="M767" s="55"/>
    </row>
    <row r="768" spans="9:13" x14ac:dyDescent="0.15">
      <c r="I768" s="54"/>
      <c r="J768" s="51">
        <v>764</v>
      </c>
      <c r="K768" s="55">
        <v>60</v>
      </c>
      <c r="L768" s="55">
        <f t="shared" si="50"/>
        <v>90</v>
      </c>
      <c r="M768" s="55"/>
    </row>
    <row r="769" spans="9:13" x14ac:dyDescent="0.15">
      <c r="I769" s="54"/>
      <c r="J769" s="51">
        <v>765</v>
      </c>
      <c r="K769" s="55">
        <v>60</v>
      </c>
      <c r="L769" s="55">
        <f t="shared" si="50"/>
        <v>90</v>
      </c>
      <c r="M769" s="55"/>
    </row>
    <row r="770" spans="9:13" x14ac:dyDescent="0.15">
      <c r="I770" s="54"/>
      <c r="J770" s="51">
        <v>766</v>
      </c>
      <c r="K770" s="55">
        <v>60</v>
      </c>
      <c r="L770" s="55">
        <f t="shared" si="50"/>
        <v>90</v>
      </c>
      <c r="M770" s="55"/>
    </row>
    <row r="771" spans="9:13" x14ac:dyDescent="0.15">
      <c r="I771" s="54"/>
      <c r="J771" s="51">
        <v>767</v>
      </c>
      <c r="K771" s="55">
        <v>60</v>
      </c>
      <c r="L771" s="55">
        <f t="shared" si="50"/>
        <v>90</v>
      </c>
      <c r="M771" s="55"/>
    </row>
    <row r="772" spans="9:13" x14ac:dyDescent="0.15">
      <c r="I772" s="54"/>
      <c r="J772" s="51">
        <v>768</v>
      </c>
      <c r="K772" s="55">
        <v>60</v>
      </c>
      <c r="L772" s="55">
        <f t="shared" si="50"/>
        <v>90</v>
      </c>
      <c r="M772" s="55"/>
    </row>
    <row r="773" spans="9:13" x14ac:dyDescent="0.15">
      <c r="I773" s="54"/>
      <c r="J773" s="51">
        <v>769</v>
      </c>
      <c r="K773" s="55">
        <v>60</v>
      </c>
      <c r="L773" s="55">
        <f t="shared" si="50"/>
        <v>90</v>
      </c>
      <c r="M773" s="55"/>
    </row>
    <row r="774" spans="9:13" x14ac:dyDescent="0.15">
      <c r="I774" s="54"/>
      <c r="J774" s="51">
        <v>770</v>
      </c>
      <c r="K774" s="55">
        <v>60</v>
      </c>
      <c r="L774" s="55">
        <f t="shared" ref="L774:L837" si="51">K774*1.5</f>
        <v>90</v>
      </c>
      <c r="M774" s="55"/>
    </row>
    <row r="775" spans="9:13" x14ac:dyDescent="0.15">
      <c r="I775" s="54"/>
      <c r="J775" s="51">
        <v>771</v>
      </c>
      <c r="K775" s="55">
        <v>60</v>
      </c>
      <c r="L775" s="55">
        <f t="shared" si="51"/>
        <v>90</v>
      </c>
      <c r="M775" s="55"/>
    </row>
    <row r="776" spans="9:13" x14ac:dyDescent="0.15">
      <c r="I776" s="54"/>
      <c r="J776" s="51">
        <v>772</v>
      </c>
      <c r="K776" s="55">
        <v>60</v>
      </c>
      <c r="L776" s="55">
        <f t="shared" si="51"/>
        <v>90</v>
      </c>
      <c r="M776" s="55"/>
    </row>
    <row r="777" spans="9:13" x14ac:dyDescent="0.15">
      <c r="I777" s="54"/>
      <c r="J777" s="51">
        <v>773</v>
      </c>
      <c r="K777" s="55">
        <v>60</v>
      </c>
      <c r="L777" s="55">
        <f t="shared" si="51"/>
        <v>90</v>
      </c>
      <c r="M777" s="55"/>
    </row>
    <row r="778" spans="9:13" x14ac:dyDescent="0.15">
      <c r="I778" s="54"/>
      <c r="J778" s="51">
        <v>774</v>
      </c>
      <c r="K778" s="55">
        <v>60</v>
      </c>
      <c r="L778" s="55">
        <f t="shared" si="51"/>
        <v>90</v>
      </c>
      <c r="M778" s="55"/>
    </row>
    <row r="779" spans="9:13" x14ac:dyDescent="0.15">
      <c r="I779" s="54"/>
      <c r="J779" s="51">
        <v>775</v>
      </c>
      <c r="K779" s="55">
        <v>60</v>
      </c>
      <c r="L779" s="55">
        <f t="shared" si="51"/>
        <v>90</v>
      </c>
      <c r="M779" s="55"/>
    </row>
    <row r="780" spans="9:13" x14ac:dyDescent="0.15">
      <c r="I780" s="54"/>
      <c r="J780" s="51">
        <v>776</v>
      </c>
      <c r="K780" s="55">
        <v>60</v>
      </c>
      <c r="L780" s="55">
        <f t="shared" si="51"/>
        <v>90</v>
      </c>
      <c r="M780" s="55"/>
    </row>
    <row r="781" spans="9:13" x14ac:dyDescent="0.15">
      <c r="I781" s="54"/>
      <c r="J781" s="51">
        <v>777</v>
      </c>
      <c r="K781" s="55">
        <v>60</v>
      </c>
      <c r="L781" s="55">
        <f t="shared" si="51"/>
        <v>90</v>
      </c>
      <c r="M781" s="55"/>
    </row>
    <row r="782" spans="9:13" x14ac:dyDescent="0.15">
      <c r="I782" s="54"/>
      <c r="J782" s="51">
        <v>778</v>
      </c>
      <c r="K782" s="55">
        <v>60</v>
      </c>
      <c r="L782" s="55">
        <f t="shared" si="51"/>
        <v>90</v>
      </c>
      <c r="M782" s="55"/>
    </row>
    <row r="783" spans="9:13" x14ac:dyDescent="0.15">
      <c r="I783" s="54"/>
      <c r="J783" s="51">
        <v>779</v>
      </c>
      <c r="K783" s="55">
        <v>60</v>
      </c>
      <c r="L783" s="55">
        <f t="shared" si="51"/>
        <v>90</v>
      </c>
      <c r="M783" s="55"/>
    </row>
    <row r="784" spans="9:13" x14ac:dyDescent="0.15">
      <c r="I784" s="54"/>
      <c r="J784" s="51">
        <v>780</v>
      </c>
      <c r="K784" s="55">
        <v>60</v>
      </c>
      <c r="L784" s="55">
        <f t="shared" si="51"/>
        <v>90</v>
      </c>
      <c r="M784" s="55"/>
    </row>
    <row r="785" spans="9:13" x14ac:dyDescent="0.15">
      <c r="I785" s="54"/>
      <c r="J785" s="51">
        <v>781</v>
      </c>
      <c r="K785" s="55">
        <v>60</v>
      </c>
      <c r="L785" s="55">
        <f t="shared" si="51"/>
        <v>90</v>
      </c>
      <c r="M785" s="55"/>
    </row>
    <row r="786" spans="9:13" x14ac:dyDescent="0.15">
      <c r="I786" s="54"/>
      <c r="J786" s="51">
        <v>782</v>
      </c>
      <c r="K786" s="55">
        <v>60</v>
      </c>
      <c r="L786" s="55">
        <f t="shared" si="51"/>
        <v>90</v>
      </c>
      <c r="M786" s="55"/>
    </row>
    <row r="787" spans="9:13" x14ac:dyDescent="0.15">
      <c r="I787" s="54"/>
      <c r="J787" s="51">
        <v>783</v>
      </c>
      <c r="K787" s="55">
        <v>60</v>
      </c>
      <c r="L787" s="55">
        <f t="shared" si="51"/>
        <v>90</v>
      </c>
      <c r="M787" s="55"/>
    </row>
    <row r="788" spans="9:13" x14ac:dyDescent="0.15">
      <c r="I788" s="54"/>
      <c r="J788" s="51">
        <v>784</v>
      </c>
      <c r="K788" s="55">
        <v>60</v>
      </c>
      <c r="L788" s="55">
        <f t="shared" si="51"/>
        <v>90</v>
      </c>
      <c r="M788" s="55"/>
    </row>
    <row r="789" spans="9:13" x14ac:dyDescent="0.15">
      <c r="I789" s="54"/>
      <c r="J789" s="51">
        <v>785</v>
      </c>
      <c r="K789" s="55">
        <v>60</v>
      </c>
      <c r="L789" s="55">
        <f t="shared" si="51"/>
        <v>90</v>
      </c>
      <c r="M789" s="55"/>
    </row>
    <row r="790" spans="9:13" x14ac:dyDescent="0.15">
      <c r="I790" s="54"/>
      <c r="J790" s="51">
        <v>786</v>
      </c>
      <c r="K790" s="55">
        <v>60</v>
      </c>
      <c r="L790" s="55">
        <f t="shared" si="51"/>
        <v>90</v>
      </c>
      <c r="M790" s="55"/>
    </row>
    <row r="791" spans="9:13" x14ac:dyDescent="0.15">
      <c r="I791" s="54"/>
      <c r="J791" s="51">
        <v>787</v>
      </c>
      <c r="K791" s="55">
        <v>60</v>
      </c>
      <c r="L791" s="55">
        <f t="shared" si="51"/>
        <v>90</v>
      </c>
      <c r="M791" s="55"/>
    </row>
    <row r="792" spans="9:13" x14ac:dyDescent="0.15">
      <c r="I792" s="54"/>
      <c r="J792" s="51">
        <v>788</v>
      </c>
      <c r="K792" s="55">
        <v>60</v>
      </c>
      <c r="L792" s="55">
        <f t="shared" si="51"/>
        <v>90</v>
      </c>
      <c r="M792" s="55"/>
    </row>
    <row r="793" spans="9:13" x14ac:dyDescent="0.15">
      <c r="I793" s="54"/>
      <c r="J793" s="51">
        <v>789</v>
      </c>
      <c r="K793" s="55">
        <v>60</v>
      </c>
      <c r="L793" s="55">
        <f t="shared" si="51"/>
        <v>90</v>
      </c>
      <c r="M793" s="55"/>
    </row>
    <row r="794" spans="9:13" x14ac:dyDescent="0.15">
      <c r="I794" s="54"/>
      <c r="J794" s="51">
        <v>790</v>
      </c>
      <c r="K794" s="55">
        <v>60</v>
      </c>
      <c r="L794" s="55">
        <f t="shared" si="51"/>
        <v>90</v>
      </c>
      <c r="M794" s="55"/>
    </row>
    <row r="795" spans="9:13" x14ac:dyDescent="0.15">
      <c r="I795" s="54"/>
      <c r="J795" s="51">
        <v>791</v>
      </c>
      <c r="K795" s="55">
        <v>60</v>
      </c>
      <c r="L795" s="55">
        <f t="shared" si="51"/>
        <v>90</v>
      </c>
      <c r="M795" s="55"/>
    </row>
    <row r="796" spans="9:13" x14ac:dyDescent="0.15">
      <c r="I796" s="54"/>
      <c r="J796" s="51">
        <v>792</v>
      </c>
      <c r="K796" s="55">
        <v>60</v>
      </c>
      <c r="L796" s="55">
        <f t="shared" si="51"/>
        <v>90</v>
      </c>
      <c r="M796" s="55"/>
    </row>
    <row r="797" spans="9:13" x14ac:dyDescent="0.15">
      <c r="I797" s="54"/>
      <c r="J797" s="51">
        <v>793</v>
      </c>
      <c r="K797" s="55">
        <v>60</v>
      </c>
      <c r="L797" s="55">
        <f t="shared" si="51"/>
        <v>90</v>
      </c>
      <c r="M797" s="55"/>
    </row>
    <row r="798" spans="9:13" x14ac:dyDescent="0.15">
      <c r="I798" s="54"/>
      <c r="J798" s="51">
        <v>794</v>
      </c>
      <c r="K798" s="55">
        <v>60</v>
      </c>
      <c r="L798" s="55">
        <f t="shared" si="51"/>
        <v>90</v>
      </c>
      <c r="M798" s="55"/>
    </row>
    <row r="799" spans="9:13" x14ac:dyDescent="0.15">
      <c r="I799" s="54"/>
      <c r="J799" s="51">
        <v>795</v>
      </c>
      <c r="K799" s="55">
        <v>60</v>
      </c>
      <c r="L799" s="55">
        <f t="shared" si="51"/>
        <v>90</v>
      </c>
      <c r="M799" s="55"/>
    </row>
    <row r="800" spans="9:13" x14ac:dyDescent="0.15">
      <c r="I800" s="54"/>
      <c r="J800" s="51">
        <v>796</v>
      </c>
      <c r="K800" s="55">
        <v>60</v>
      </c>
      <c r="L800" s="55">
        <f t="shared" si="51"/>
        <v>90</v>
      </c>
      <c r="M800" s="55"/>
    </row>
    <row r="801" spans="9:13" x14ac:dyDescent="0.15">
      <c r="I801" s="54"/>
      <c r="J801" s="51">
        <v>797</v>
      </c>
      <c r="K801" s="55">
        <v>60</v>
      </c>
      <c r="L801" s="55">
        <f t="shared" si="51"/>
        <v>90</v>
      </c>
      <c r="M801" s="55"/>
    </row>
    <row r="802" spans="9:13" x14ac:dyDescent="0.15">
      <c r="I802" s="54"/>
      <c r="J802" s="51">
        <v>798</v>
      </c>
      <c r="K802" s="55">
        <v>60</v>
      </c>
      <c r="L802" s="55">
        <f t="shared" si="51"/>
        <v>90</v>
      </c>
      <c r="M802" s="55"/>
    </row>
    <row r="803" spans="9:13" x14ac:dyDescent="0.15">
      <c r="I803" s="54"/>
      <c r="J803" s="51">
        <v>799</v>
      </c>
      <c r="K803" s="55">
        <v>60</v>
      </c>
      <c r="L803" s="55">
        <f t="shared" si="51"/>
        <v>90</v>
      </c>
      <c r="M803" s="55"/>
    </row>
    <row r="804" spans="9:13" x14ac:dyDescent="0.15">
      <c r="I804" s="54"/>
      <c r="J804" s="51">
        <v>800</v>
      </c>
      <c r="K804" s="55">
        <v>60</v>
      </c>
      <c r="L804" s="55">
        <f t="shared" si="51"/>
        <v>90</v>
      </c>
      <c r="M804" s="55"/>
    </row>
    <row r="805" spans="9:13" x14ac:dyDescent="0.15">
      <c r="I805" s="54"/>
      <c r="J805" s="51">
        <v>801</v>
      </c>
      <c r="K805" s="55">
        <v>60</v>
      </c>
      <c r="L805" s="55">
        <f t="shared" si="51"/>
        <v>90</v>
      </c>
      <c r="M805" s="55"/>
    </row>
    <row r="806" spans="9:13" x14ac:dyDescent="0.15">
      <c r="I806" s="54"/>
      <c r="J806" s="51">
        <v>802</v>
      </c>
      <c r="K806" s="55">
        <v>60</v>
      </c>
      <c r="L806" s="55">
        <f t="shared" si="51"/>
        <v>90</v>
      </c>
      <c r="M806" s="55"/>
    </row>
    <row r="807" spans="9:13" x14ac:dyDescent="0.15">
      <c r="I807" s="54"/>
      <c r="J807" s="51">
        <v>803</v>
      </c>
      <c r="K807" s="55">
        <v>60</v>
      </c>
      <c r="L807" s="55">
        <f t="shared" si="51"/>
        <v>90</v>
      </c>
      <c r="M807" s="55"/>
    </row>
    <row r="808" spans="9:13" x14ac:dyDescent="0.15">
      <c r="I808" s="54"/>
      <c r="J808" s="51">
        <v>804</v>
      </c>
      <c r="K808" s="55">
        <v>60</v>
      </c>
      <c r="L808" s="55">
        <f t="shared" si="51"/>
        <v>90</v>
      </c>
      <c r="M808" s="55"/>
    </row>
    <row r="809" spans="9:13" x14ac:dyDescent="0.15">
      <c r="I809" s="54"/>
      <c r="J809" s="51">
        <v>805</v>
      </c>
      <c r="K809" s="55">
        <v>60</v>
      </c>
      <c r="L809" s="55">
        <f t="shared" si="51"/>
        <v>90</v>
      </c>
      <c r="M809" s="55"/>
    </row>
    <row r="810" spans="9:13" x14ac:dyDescent="0.15">
      <c r="I810" s="54"/>
      <c r="J810" s="51">
        <v>806</v>
      </c>
      <c r="K810" s="55">
        <v>60</v>
      </c>
      <c r="L810" s="55">
        <f t="shared" si="51"/>
        <v>90</v>
      </c>
      <c r="M810" s="55"/>
    </row>
    <row r="811" spans="9:13" x14ac:dyDescent="0.15">
      <c r="I811" s="54"/>
      <c r="J811" s="51">
        <v>807</v>
      </c>
      <c r="K811" s="55">
        <v>60</v>
      </c>
      <c r="L811" s="55">
        <f t="shared" si="51"/>
        <v>90</v>
      </c>
      <c r="M811" s="55"/>
    </row>
    <row r="812" spans="9:13" x14ac:dyDescent="0.15">
      <c r="I812" s="54"/>
      <c r="J812" s="51">
        <v>808</v>
      </c>
      <c r="K812" s="55">
        <v>60</v>
      </c>
      <c r="L812" s="55">
        <f t="shared" si="51"/>
        <v>90</v>
      </c>
      <c r="M812" s="55"/>
    </row>
    <row r="813" spans="9:13" x14ac:dyDescent="0.15">
      <c r="I813" s="54"/>
      <c r="J813" s="51">
        <v>809</v>
      </c>
      <c r="K813" s="55">
        <v>60</v>
      </c>
      <c r="L813" s="55">
        <f t="shared" si="51"/>
        <v>90</v>
      </c>
      <c r="M813" s="55"/>
    </row>
    <row r="814" spans="9:13" x14ac:dyDescent="0.15">
      <c r="I814" s="54"/>
      <c r="J814" s="51">
        <v>810</v>
      </c>
      <c r="K814" s="55">
        <v>60</v>
      </c>
      <c r="L814" s="55">
        <f t="shared" si="51"/>
        <v>90</v>
      </c>
      <c r="M814" s="55"/>
    </row>
    <row r="815" spans="9:13" x14ac:dyDescent="0.15">
      <c r="I815" s="54"/>
      <c r="J815" s="51">
        <v>811</v>
      </c>
      <c r="K815" s="55">
        <v>60</v>
      </c>
      <c r="L815" s="55">
        <f t="shared" si="51"/>
        <v>90</v>
      </c>
      <c r="M815" s="55"/>
    </row>
    <row r="816" spans="9:13" x14ac:dyDescent="0.15">
      <c r="I816" s="54"/>
      <c r="J816" s="51">
        <v>812</v>
      </c>
      <c r="K816" s="55">
        <v>60</v>
      </c>
      <c r="L816" s="55">
        <f t="shared" si="51"/>
        <v>90</v>
      </c>
      <c r="M816" s="55"/>
    </row>
    <row r="817" spans="9:13" x14ac:dyDescent="0.15">
      <c r="I817" s="54"/>
      <c r="J817" s="51">
        <v>813</v>
      </c>
      <c r="K817" s="55">
        <v>60</v>
      </c>
      <c r="L817" s="55">
        <f t="shared" si="51"/>
        <v>90</v>
      </c>
      <c r="M817" s="55"/>
    </row>
    <row r="818" spans="9:13" x14ac:dyDescent="0.15">
      <c r="I818" s="54"/>
      <c r="J818" s="51">
        <v>814</v>
      </c>
      <c r="K818" s="55">
        <v>60</v>
      </c>
      <c r="L818" s="55">
        <f t="shared" si="51"/>
        <v>90</v>
      </c>
      <c r="M818" s="55"/>
    </row>
    <row r="819" spans="9:13" x14ac:dyDescent="0.15">
      <c r="I819" s="54"/>
      <c r="J819" s="51">
        <v>815</v>
      </c>
      <c r="K819" s="55">
        <v>60</v>
      </c>
      <c r="L819" s="55">
        <f t="shared" si="51"/>
        <v>90</v>
      </c>
      <c r="M819" s="55"/>
    </row>
    <row r="820" spans="9:13" x14ac:dyDescent="0.15">
      <c r="I820" s="54"/>
      <c r="J820" s="51">
        <v>816</v>
      </c>
      <c r="K820" s="55">
        <v>60</v>
      </c>
      <c r="L820" s="55">
        <f t="shared" si="51"/>
        <v>90</v>
      </c>
      <c r="M820" s="55"/>
    </row>
    <row r="821" spans="9:13" x14ac:dyDescent="0.15">
      <c r="I821" s="54"/>
      <c r="J821" s="51">
        <v>817</v>
      </c>
      <c r="K821" s="55">
        <v>60</v>
      </c>
      <c r="L821" s="55">
        <f t="shared" si="51"/>
        <v>90</v>
      </c>
      <c r="M821" s="55"/>
    </row>
    <row r="822" spans="9:13" x14ac:dyDescent="0.15">
      <c r="I822" s="54"/>
      <c r="J822" s="51">
        <v>818</v>
      </c>
      <c r="K822" s="55">
        <v>60</v>
      </c>
      <c r="L822" s="55">
        <f t="shared" si="51"/>
        <v>90</v>
      </c>
      <c r="M822" s="55"/>
    </row>
    <row r="823" spans="9:13" x14ac:dyDescent="0.15">
      <c r="I823" s="54"/>
      <c r="J823" s="51">
        <v>819</v>
      </c>
      <c r="K823" s="55">
        <v>60</v>
      </c>
      <c r="L823" s="55">
        <f t="shared" si="51"/>
        <v>90</v>
      </c>
      <c r="M823" s="55"/>
    </row>
    <row r="824" spans="9:13" x14ac:dyDescent="0.15">
      <c r="I824" s="54"/>
      <c r="J824" s="51">
        <v>820</v>
      </c>
      <c r="K824" s="55">
        <v>60</v>
      </c>
      <c r="L824" s="55">
        <f t="shared" si="51"/>
        <v>90</v>
      </c>
      <c r="M824" s="55"/>
    </row>
    <row r="825" spans="9:13" x14ac:dyDescent="0.15">
      <c r="I825" s="54"/>
      <c r="J825" s="51">
        <v>821</v>
      </c>
      <c r="K825" s="55">
        <v>60</v>
      </c>
      <c r="L825" s="55">
        <f t="shared" si="51"/>
        <v>90</v>
      </c>
      <c r="M825" s="55"/>
    </row>
    <row r="826" spans="9:13" x14ac:dyDescent="0.15">
      <c r="I826" s="54"/>
      <c r="J826" s="51">
        <v>822</v>
      </c>
      <c r="K826" s="55">
        <v>60</v>
      </c>
      <c r="L826" s="55">
        <f t="shared" si="51"/>
        <v>90</v>
      </c>
      <c r="M826" s="55"/>
    </row>
    <row r="827" spans="9:13" x14ac:dyDescent="0.15">
      <c r="I827" s="54"/>
      <c r="J827" s="51">
        <v>823</v>
      </c>
      <c r="K827" s="55">
        <v>60</v>
      </c>
      <c r="L827" s="55">
        <f t="shared" si="51"/>
        <v>90</v>
      </c>
      <c r="M827" s="55"/>
    </row>
    <row r="828" spans="9:13" x14ac:dyDescent="0.15">
      <c r="I828" s="54"/>
      <c r="J828" s="51">
        <v>824</v>
      </c>
      <c r="K828" s="55">
        <v>60</v>
      </c>
      <c r="L828" s="55">
        <f t="shared" si="51"/>
        <v>90</v>
      </c>
      <c r="M828" s="55"/>
    </row>
    <row r="829" spans="9:13" x14ac:dyDescent="0.15">
      <c r="I829" s="54"/>
      <c r="J829" s="51">
        <v>825</v>
      </c>
      <c r="K829" s="55">
        <v>60</v>
      </c>
      <c r="L829" s="55">
        <f t="shared" si="51"/>
        <v>90</v>
      </c>
      <c r="M829" s="55"/>
    </row>
    <row r="830" spans="9:13" x14ac:dyDescent="0.15">
      <c r="I830" s="54"/>
      <c r="J830" s="51">
        <v>826</v>
      </c>
      <c r="K830" s="55">
        <v>60</v>
      </c>
      <c r="L830" s="55">
        <f t="shared" si="51"/>
        <v>90</v>
      </c>
      <c r="M830" s="55"/>
    </row>
    <row r="831" spans="9:13" x14ac:dyDescent="0.15">
      <c r="I831" s="54"/>
      <c r="J831" s="51">
        <v>827</v>
      </c>
      <c r="K831" s="55">
        <v>60</v>
      </c>
      <c r="L831" s="55">
        <f t="shared" si="51"/>
        <v>90</v>
      </c>
      <c r="M831" s="55"/>
    </row>
    <row r="832" spans="9:13" x14ac:dyDescent="0.15">
      <c r="I832" s="54"/>
      <c r="J832" s="51">
        <v>828</v>
      </c>
      <c r="K832" s="55">
        <v>60</v>
      </c>
      <c r="L832" s="55">
        <f t="shared" si="51"/>
        <v>90</v>
      </c>
      <c r="M832" s="55"/>
    </row>
    <row r="833" spans="9:13" x14ac:dyDescent="0.15">
      <c r="I833" s="54"/>
      <c r="J833" s="51">
        <v>829</v>
      </c>
      <c r="K833" s="55">
        <v>60</v>
      </c>
      <c r="L833" s="55">
        <f t="shared" si="51"/>
        <v>90</v>
      </c>
      <c r="M833" s="55"/>
    </row>
    <row r="834" spans="9:13" x14ac:dyDescent="0.15">
      <c r="I834" s="54"/>
      <c r="J834" s="51">
        <v>830</v>
      </c>
      <c r="K834" s="55">
        <v>60</v>
      </c>
      <c r="L834" s="55">
        <f t="shared" si="51"/>
        <v>90</v>
      </c>
      <c r="M834" s="55"/>
    </row>
    <row r="835" spans="9:13" x14ac:dyDescent="0.15">
      <c r="I835" s="54"/>
      <c r="J835" s="51">
        <v>831</v>
      </c>
      <c r="K835" s="55">
        <v>60</v>
      </c>
      <c r="L835" s="55">
        <f t="shared" si="51"/>
        <v>90</v>
      </c>
      <c r="M835" s="55"/>
    </row>
    <row r="836" spans="9:13" x14ac:dyDescent="0.15">
      <c r="I836" s="54"/>
      <c r="J836" s="51">
        <v>832</v>
      </c>
      <c r="K836" s="55">
        <v>60</v>
      </c>
      <c r="L836" s="55">
        <f t="shared" si="51"/>
        <v>90</v>
      </c>
      <c r="M836" s="55"/>
    </row>
    <row r="837" spans="9:13" x14ac:dyDescent="0.15">
      <c r="I837" s="54"/>
      <c r="J837" s="51">
        <v>833</v>
      </c>
      <c r="K837" s="55">
        <v>60</v>
      </c>
      <c r="L837" s="55">
        <f t="shared" si="51"/>
        <v>90</v>
      </c>
      <c r="M837" s="55"/>
    </row>
    <row r="838" spans="9:13" x14ac:dyDescent="0.15">
      <c r="I838" s="54"/>
      <c r="J838" s="51">
        <v>834</v>
      </c>
      <c r="K838" s="55">
        <v>60</v>
      </c>
      <c r="L838" s="55">
        <f t="shared" ref="L838:L901" si="52">K838*1.5</f>
        <v>90</v>
      </c>
      <c r="M838" s="55"/>
    </row>
    <row r="839" spans="9:13" x14ac:dyDescent="0.15">
      <c r="I839" s="54"/>
      <c r="J839" s="51">
        <v>835</v>
      </c>
      <c r="K839" s="55">
        <v>60</v>
      </c>
      <c r="L839" s="55">
        <f t="shared" si="52"/>
        <v>90</v>
      </c>
      <c r="M839" s="55"/>
    </row>
    <row r="840" spans="9:13" x14ac:dyDescent="0.15">
      <c r="I840" s="54"/>
      <c r="J840" s="51">
        <v>836</v>
      </c>
      <c r="K840" s="55">
        <v>60</v>
      </c>
      <c r="L840" s="55">
        <f t="shared" si="52"/>
        <v>90</v>
      </c>
      <c r="M840" s="55"/>
    </row>
    <row r="841" spans="9:13" x14ac:dyDescent="0.15">
      <c r="I841" s="54"/>
      <c r="J841" s="51">
        <v>837</v>
      </c>
      <c r="K841" s="55">
        <v>60</v>
      </c>
      <c r="L841" s="55">
        <f t="shared" si="52"/>
        <v>90</v>
      </c>
      <c r="M841" s="55"/>
    </row>
    <row r="842" spans="9:13" x14ac:dyDescent="0.15">
      <c r="I842" s="54"/>
      <c r="J842" s="51">
        <v>838</v>
      </c>
      <c r="K842" s="55">
        <v>60</v>
      </c>
      <c r="L842" s="55">
        <f t="shared" si="52"/>
        <v>90</v>
      </c>
      <c r="M842" s="55"/>
    </row>
    <row r="843" spans="9:13" x14ac:dyDescent="0.15">
      <c r="I843" s="54"/>
      <c r="J843" s="51">
        <v>839</v>
      </c>
      <c r="K843" s="55">
        <v>60</v>
      </c>
      <c r="L843" s="55">
        <f t="shared" si="52"/>
        <v>90</v>
      </c>
      <c r="M843" s="55"/>
    </row>
    <row r="844" spans="9:13" x14ac:dyDescent="0.15">
      <c r="I844" s="54"/>
      <c r="J844" s="51">
        <v>840</v>
      </c>
      <c r="K844" s="55">
        <v>60</v>
      </c>
      <c r="L844" s="55">
        <f t="shared" si="52"/>
        <v>90</v>
      </c>
      <c r="M844" s="55"/>
    </row>
    <row r="845" spans="9:13" x14ac:dyDescent="0.15">
      <c r="I845" s="54"/>
      <c r="J845" s="51">
        <v>841</v>
      </c>
      <c r="K845" s="55">
        <v>60</v>
      </c>
      <c r="L845" s="55">
        <f t="shared" si="52"/>
        <v>90</v>
      </c>
      <c r="M845" s="55"/>
    </row>
    <row r="846" spans="9:13" x14ac:dyDescent="0.15">
      <c r="I846" s="54"/>
      <c r="J846" s="51">
        <v>842</v>
      </c>
      <c r="K846" s="55">
        <v>60</v>
      </c>
      <c r="L846" s="55">
        <f t="shared" si="52"/>
        <v>90</v>
      </c>
      <c r="M846" s="55"/>
    </row>
    <row r="847" spans="9:13" x14ac:dyDescent="0.15">
      <c r="I847" s="54"/>
      <c r="J847" s="51">
        <v>843</v>
      </c>
      <c r="K847" s="55">
        <v>60</v>
      </c>
      <c r="L847" s="55">
        <f t="shared" si="52"/>
        <v>90</v>
      </c>
      <c r="M847" s="55"/>
    </row>
    <row r="848" spans="9:13" x14ac:dyDescent="0.15">
      <c r="I848" s="54"/>
      <c r="J848" s="51">
        <v>844</v>
      </c>
      <c r="K848" s="55">
        <v>60</v>
      </c>
      <c r="L848" s="55">
        <f t="shared" si="52"/>
        <v>90</v>
      </c>
      <c r="M848" s="55"/>
    </row>
    <row r="849" spans="9:13" x14ac:dyDescent="0.15">
      <c r="I849" s="54"/>
      <c r="J849" s="51">
        <v>845</v>
      </c>
      <c r="K849" s="55">
        <v>60</v>
      </c>
      <c r="L849" s="55">
        <f t="shared" si="52"/>
        <v>90</v>
      </c>
      <c r="M849" s="55"/>
    </row>
    <row r="850" spans="9:13" x14ac:dyDescent="0.15">
      <c r="I850" s="54"/>
      <c r="J850" s="51">
        <v>846</v>
      </c>
      <c r="K850" s="55">
        <v>60</v>
      </c>
      <c r="L850" s="55">
        <f t="shared" si="52"/>
        <v>90</v>
      </c>
      <c r="M850" s="55"/>
    </row>
    <row r="851" spans="9:13" x14ac:dyDescent="0.15">
      <c r="I851" s="54"/>
      <c r="J851" s="51">
        <v>847</v>
      </c>
      <c r="K851" s="55">
        <v>60</v>
      </c>
      <c r="L851" s="55">
        <f t="shared" si="52"/>
        <v>90</v>
      </c>
      <c r="M851" s="55"/>
    </row>
    <row r="852" spans="9:13" x14ac:dyDescent="0.15">
      <c r="I852" s="54"/>
      <c r="J852" s="51">
        <v>848</v>
      </c>
      <c r="K852" s="55">
        <v>60</v>
      </c>
      <c r="L852" s="55">
        <f t="shared" si="52"/>
        <v>90</v>
      </c>
      <c r="M852" s="55"/>
    </row>
    <row r="853" spans="9:13" x14ac:dyDescent="0.15">
      <c r="I853" s="54"/>
      <c r="J853" s="51">
        <v>849</v>
      </c>
      <c r="K853" s="55">
        <v>60</v>
      </c>
      <c r="L853" s="55">
        <f t="shared" si="52"/>
        <v>90</v>
      </c>
      <c r="M853" s="55"/>
    </row>
    <row r="854" spans="9:13" x14ac:dyDescent="0.15">
      <c r="I854" s="54"/>
      <c r="J854" s="51">
        <v>850</v>
      </c>
      <c r="K854" s="55">
        <v>60</v>
      </c>
      <c r="L854" s="55">
        <f t="shared" si="52"/>
        <v>90</v>
      </c>
      <c r="M854" s="55"/>
    </row>
    <row r="855" spans="9:13" x14ac:dyDescent="0.15">
      <c r="I855" s="54"/>
      <c r="J855" s="51">
        <v>851</v>
      </c>
      <c r="K855" s="55">
        <v>60</v>
      </c>
      <c r="L855" s="55">
        <f t="shared" si="52"/>
        <v>90</v>
      </c>
      <c r="M855" s="55"/>
    </row>
    <row r="856" spans="9:13" x14ac:dyDescent="0.15">
      <c r="I856" s="54"/>
      <c r="J856" s="51">
        <v>852</v>
      </c>
      <c r="K856" s="55">
        <v>60</v>
      </c>
      <c r="L856" s="55">
        <f t="shared" si="52"/>
        <v>90</v>
      </c>
      <c r="M856" s="55"/>
    </row>
    <row r="857" spans="9:13" x14ac:dyDescent="0.15">
      <c r="I857" s="54"/>
      <c r="J857" s="51">
        <v>853</v>
      </c>
      <c r="K857" s="55">
        <v>60</v>
      </c>
      <c r="L857" s="55">
        <f t="shared" si="52"/>
        <v>90</v>
      </c>
      <c r="M857" s="55"/>
    </row>
    <row r="858" spans="9:13" x14ac:dyDescent="0.15">
      <c r="I858" s="54"/>
      <c r="J858" s="51">
        <v>854</v>
      </c>
      <c r="K858" s="55">
        <v>60</v>
      </c>
      <c r="L858" s="55">
        <f t="shared" si="52"/>
        <v>90</v>
      </c>
      <c r="M858" s="55"/>
    </row>
    <row r="859" spans="9:13" x14ac:dyDescent="0.15">
      <c r="I859" s="54"/>
      <c r="J859" s="51">
        <v>855</v>
      </c>
      <c r="K859" s="55">
        <v>60</v>
      </c>
      <c r="L859" s="55">
        <f t="shared" si="52"/>
        <v>90</v>
      </c>
      <c r="M859" s="55"/>
    </row>
    <row r="860" spans="9:13" x14ac:dyDescent="0.15">
      <c r="I860" s="54"/>
      <c r="J860" s="51">
        <v>856</v>
      </c>
      <c r="K860" s="55">
        <v>60</v>
      </c>
      <c r="L860" s="55">
        <f t="shared" si="52"/>
        <v>90</v>
      </c>
      <c r="M860" s="55"/>
    </row>
    <row r="861" spans="9:13" x14ac:dyDescent="0.15">
      <c r="I861" s="54"/>
      <c r="J861" s="51">
        <v>857</v>
      </c>
      <c r="K861" s="55">
        <v>60</v>
      </c>
      <c r="L861" s="55">
        <f t="shared" si="52"/>
        <v>90</v>
      </c>
      <c r="M861" s="55"/>
    </row>
    <row r="862" spans="9:13" x14ac:dyDescent="0.15">
      <c r="I862" s="54"/>
      <c r="J862" s="51">
        <v>858</v>
      </c>
      <c r="K862" s="55">
        <v>60</v>
      </c>
      <c r="L862" s="55">
        <f t="shared" si="52"/>
        <v>90</v>
      </c>
      <c r="M862" s="55"/>
    </row>
    <row r="863" spans="9:13" x14ac:dyDescent="0.15">
      <c r="I863" s="54"/>
      <c r="J863" s="51">
        <v>859</v>
      </c>
      <c r="K863" s="55">
        <v>60</v>
      </c>
      <c r="L863" s="55">
        <f t="shared" si="52"/>
        <v>90</v>
      </c>
      <c r="M863" s="55"/>
    </row>
    <row r="864" spans="9:13" x14ac:dyDescent="0.15">
      <c r="I864" s="54"/>
      <c r="J864" s="51">
        <v>860</v>
      </c>
      <c r="K864" s="55">
        <v>60</v>
      </c>
      <c r="L864" s="55">
        <f t="shared" si="52"/>
        <v>90</v>
      </c>
      <c r="M864" s="55"/>
    </row>
    <row r="865" spans="9:13" x14ac:dyDescent="0.15">
      <c r="I865" s="54"/>
      <c r="J865" s="51">
        <v>861</v>
      </c>
      <c r="K865" s="55">
        <v>60</v>
      </c>
      <c r="L865" s="55">
        <f t="shared" si="52"/>
        <v>90</v>
      </c>
      <c r="M865" s="55"/>
    </row>
    <row r="866" spans="9:13" x14ac:dyDescent="0.15">
      <c r="I866" s="54"/>
      <c r="J866" s="51">
        <v>862</v>
      </c>
      <c r="K866" s="55">
        <v>60</v>
      </c>
      <c r="L866" s="55">
        <f t="shared" si="52"/>
        <v>90</v>
      </c>
      <c r="M866" s="55"/>
    </row>
    <row r="867" spans="9:13" x14ac:dyDescent="0.15">
      <c r="I867" s="54"/>
      <c r="J867" s="51">
        <v>863</v>
      </c>
      <c r="K867" s="55">
        <v>60</v>
      </c>
      <c r="L867" s="55">
        <f t="shared" si="52"/>
        <v>90</v>
      </c>
      <c r="M867" s="55"/>
    </row>
    <row r="868" spans="9:13" x14ac:dyDescent="0.15">
      <c r="I868" s="54"/>
      <c r="J868" s="51">
        <v>864</v>
      </c>
      <c r="K868" s="55">
        <v>60</v>
      </c>
      <c r="L868" s="55">
        <f t="shared" si="52"/>
        <v>90</v>
      </c>
      <c r="M868" s="55"/>
    </row>
    <row r="869" spans="9:13" x14ac:dyDescent="0.15">
      <c r="I869" s="54"/>
      <c r="J869" s="51">
        <v>865</v>
      </c>
      <c r="K869" s="55">
        <v>60</v>
      </c>
      <c r="L869" s="55">
        <f t="shared" si="52"/>
        <v>90</v>
      </c>
      <c r="M869" s="55"/>
    </row>
    <row r="870" spans="9:13" x14ac:dyDescent="0.15">
      <c r="I870" s="54"/>
      <c r="J870" s="51">
        <v>866</v>
      </c>
      <c r="K870" s="55">
        <v>60</v>
      </c>
      <c r="L870" s="55">
        <f t="shared" si="52"/>
        <v>90</v>
      </c>
      <c r="M870" s="55"/>
    </row>
    <row r="871" spans="9:13" x14ac:dyDescent="0.15">
      <c r="I871" s="54"/>
      <c r="J871" s="51">
        <v>867</v>
      </c>
      <c r="K871" s="55">
        <v>60</v>
      </c>
      <c r="L871" s="55">
        <f t="shared" si="52"/>
        <v>90</v>
      </c>
      <c r="M871" s="55"/>
    </row>
    <row r="872" spans="9:13" x14ac:dyDescent="0.15">
      <c r="I872" s="54"/>
      <c r="J872" s="51">
        <v>868</v>
      </c>
      <c r="K872" s="55">
        <v>60</v>
      </c>
      <c r="L872" s="55">
        <f t="shared" si="52"/>
        <v>90</v>
      </c>
      <c r="M872" s="55"/>
    </row>
    <row r="873" spans="9:13" x14ac:dyDescent="0.15">
      <c r="I873" s="54"/>
      <c r="J873" s="51">
        <v>869</v>
      </c>
      <c r="K873" s="55">
        <v>60</v>
      </c>
      <c r="L873" s="55">
        <f t="shared" si="52"/>
        <v>90</v>
      </c>
      <c r="M873" s="55"/>
    </row>
    <row r="874" spans="9:13" x14ac:dyDescent="0.15">
      <c r="I874" s="54"/>
      <c r="J874" s="51">
        <v>870</v>
      </c>
      <c r="K874" s="55">
        <v>60</v>
      </c>
      <c r="L874" s="55">
        <f t="shared" si="52"/>
        <v>90</v>
      </c>
      <c r="M874" s="55"/>
    </row>
    <row r="875" spans="9:13" x14ac:dyDescent="0.15">
      <c r="I875" s="54"/>
      <c r="J875" s="51">
        <v>871</v>
      </c>
      <c r="K875" s="55">
        <v>60</v>
      </c>
      <c r="L875" s="55">
        <f t="shared" si="52"/>
        <v>90</v>
      </c>
      <c r="M875" s="55"/>
    </row>
    <row r="876" spans="9:13" x14ac:dyDescent="0.15">
      <c r="I876" s="54"/>
      <c r="J876" s="51">
        <v>872</v>
      </c>
      <c r="K876" s="55">
        <v>60</v>
      </c>
      <c r="L876" s="55">
        <f t="shared" si="52"/>
        <v>90</v>
      </c>
      <c r="M876" s="55"/>
    </row>
    <row r="877" spans="9:13" x14ac:dyDescent="0.15">
      <c r="I877" s="54"/>
      <c r="J877" s="51">
        <v>873</v>
      </c>
      <c r="K877" s="55">
        <v>60</v>
      </c>
      <c r="L877" s="55">
        <f t="shared" si="52"/>
        <v>90</v>
      </c>
      <c r="M877" s="55"/>
    </row>
    <row r="878" spans="9:13" x14ac:dyDescent="0.15">
      <c r="I878" s="54"/>
      <c r="J878" s="51">
        <v>874</v>
      </c>
      <c r="K878" s="55">
        <v>60</v>
      </c>
      <c r="L878" s="55">
        <f t="shared" si="52"/>
        <v>90</v>
      </c>
      <c r="M878" s="55"/>
    </row>
    <row r="879" spans="9:13" x14ac:dyDescent="0.15">
      <c r="I879" s="54"/>
      <c r="J879" s="51">
        <v>875</v>
      </c>
      <c r="K879" s="55">
        <v>60</v>
      </c>
      <c r="L879" s="55">
        <f t="shared" si="52"/>
        <v>90</v>
      </c>
      <c r="M879" s="55"/>
    </row>
    <row r="880" spans="9:13" x14ac:dyDescent="0.15">
      <c r="I880" s="54"/>
      <c r="J880" s="51">
        <v>876</v>
      </c>
      <c r="K880" s="55">
        <v>60</v>
      </c>
      <c r="L880" s="55">
        <f t="shared" si="52"/>
        <v>90</v>
      </c>
      <c r="M880" s="55"/>
    </row>
    <row r="881" spans="9:13" x14ac:dyDescent="0.15">
      <c r="I881" s="54"/>
      <c r="J881" s="51">
        <v>877</v>
      </c>
      <c r="K881" s="55">
        <v>60</v>
      </c>
      <c r="L881" s="55">
        <f t="shared" si="52"/>
        <v>90</v>
      </c>
      <c r="M881" s="55"/>
    </row>
    <row r="882" spans="9:13" x14ac:dyDescent="0.15">
      <c r="I882" s="54"/>
      <c r="J882" s="51">
        <v>878</v>
      </c>
      <c r="K882" s="55">
        <v>60</v>
      </c>
      <c r="L882" s="55">
        <f t="shared" si="52"/>
        <v>90</v>
      </c>
      <c r="M882" s="55"/>
    </row>
    <row r="883" spans="9:13" x14ac:dyDescent="0.15">
      <c r="I883" s="54"/>
      <c r="J883" s="51">
        <v>879</v>
      </c>
      <c r="K883" s="55">
        <v>60</v>
      </c>
      <c r="L883" s="55">
        <f t="shared" si="52"/>
        <v>90</v>
      </c>
      <c r="M883" s="55"/>
    </row>
    <row r="884" spans="9:13" x14ac:dyDescent="0.15">
      <c r="I884" s="54"/>
      <c r="J884" s="51">
        <v>880</v>
      </c>
      <c r="K884" s="55">
        <v>60</v>
      </c>
      <c r="L884" s="55">
        <f t="shared" si="52"/>
        <v>90</v>
      </c>
      <c r="M884" s="55"/>
    </row>
    <row r="885" spans="9:13" x14ac:dyDescent="0.15">
      <c r="I885" s="54"/>
      <c r="J885" s="51">
        <v>881</v>
      </c>
      <c r="K885" s="55">
        <v>60</v>
      </c>
      <c r="L885" s="55">
        <f t="shared" si="52"/>
        <v>90</v>
      </c>
      <c r="M885" s="55"/>
    </row>
    <row r="886" spans="9:13" x14ac:dyDescent="0.15">
      <c r="I886" s="54"/>
      <c r="J886" s="51">
        <v>882</v>
      </c>
      <c r="K886" s="55">
        <v>60</v>
      </c>
      <c r="L886" s="55">
        <f t="shared" si="52"/>
        <v>90</v>
      </c>
      <c r="M886" s="55"/>
    </row>
    <row r="887" spans="9:13" x14ac:dyDescent="0.15">
      <c r="I887" s="54"/>
      <c r="J887" s="51">
        <v>883</v>
      </c>
      <c r="K887" s="55">
        <v>60</v>
      </c>
      <c r="L887" s="55">
        <f t="shared" si="52"/>
        <v>90</v>
      </c>
      <c r="M887" s="55"/>
    </row>
    <row r="888" spans="9:13" x14ac:dyDescent="0.15">
      <c r="I888" s="54"/>
      <c r="J888" s="51">
        <v>884</v>
      </c>
      <c r="K888" s="55">
        <v>60</v>
      </c>
      <c r="L888" s="55">
        <f t="shared" si="52"/>
        <v>90</v>
      </c>
      <c r="M888" s="55"/>
    </row>
    <row r="889" spans="9:13" x14ac:dyDescent="0.15">
      <c r="I889" s="54"/>
      <c r="J889" s="51">
        <v>885</v>
      </c>
      <c r="K889" s="55">
        <v>60</v>
      </c>
      <c r="L889" s="55">
        <f t="shared" si="52"/>
        <v>90</v>
      </c>
      <c r="M889" s="55"/>
    </row>
    <row r="890" spans="9:13" x14ac:dyDescent="0.15">
      <c r="I890" s="54"/>
      <c r="J890" s="51">
        <v>886</v>
      </c>
      <c r="K890" s="55">
        <v>60</v>
      </c>
      <c r="L890" s="55">
        <f t="shared" si="52"/>
        <v>90</v>
      </c>
      <c r="M890" s="55"/>
    </row>
    <row r="891" spans="9:13" x14ac:dyDescent="0.15">
      <c r="I891" s="54"/>
      <c r="J891" s="51">
        <v>887</v>
      </c>
      <c r="K891" s="55">
        <v>60</v>
      </c>
      <c r="L891" s="55">
        <f t="shared" si="52"/>
        <v>90</v>
      </c>
      <c r="M891" s="55"/>
    </row>
    <row r="892" spans="9:13" x14ac:dyDescent="0.15">
      <c r="I892" s="54"/>
      <c r="J892" s="51">
        <v>888</v>
      </c>
      <c r="K892" s="55">
        <v>60</v>
      </c>
      <c r="L892" s="55">
        <f t="shared" si="52"/>
        <v>90</v>
      </c>
      <c r="M892" s="55"/>
    </row>
    <row r="893" spans="9:13" x14ac:dyDescent="0.15">
      <c r="I893" s="54"/>
      <c r="J893" s="51">
        <v>889</v>
      </c>
      <c r="K893" s="55">
        <v>60</v>
      </c>
      <c r="L893" s="55">
        <f t="shared" si="52"/>
        <v>90</v>
      </c>
      <c r="M893" s="55"/>
    </row>
    <row r="894" spans="9:13" x14ac:dyDescent="0.15">
      <c r="I894" s="54"/>
      <c r="J894" s="51">
        <v>890</v>
      </c>
      <c r="K894" s="55">
        <v>60</v>
      </c>
      <c r="L894" s="55">
        <f t="shared" si="52"/>
        <v>90</v>
      </c>
      <c r="M894" s="55"/>
    </row>
    <row r="895" spans="9:13" x14ac:dyDescent="0.15">
      <c r="I895" s="54"/>
      <c r="J895" s="51">
        <v>891</v>
      </c>
      <c r="K895" s="55">
        <v>60</v>
      </c>
      <c r="L895" s="55">
        <f t="shared" si="52"/>
        <v>90</v>
      </c>
      <c r="M895" s="55"/>
    </row>
    <row r="896" spans="9:13" x14ac:dyDescent="0.15">
      <c r="I896" s="54"/>
      <c r="J896" s="51">
        <v>892</v>
      </c>
      <c r="K896" s="55">
        <v>60</v>
      </c>
      <c r="L896" s="55">
        <f t="shared" si="52"/>
        <v>90</v>
      </c>
      <c r="M896" s="55"/>
    </row>
    <row r="897" spans="9:13" x14ac:dyDescent="0.15">
      <c r="I897" s="54"/>
      <c r="J897" s="51">
        <v>893</v>
      </c>
      <c r="K897" s="55">
        <v>60</v>
      </c>
      <c r="L897" s="55">
        <f t="shared" si="52"/>
        <v>90</v>
      </c>
      <c r="M897" s="55"/>
    </row>
    <row r="898" spans="9:13" x14ac:dyDescent="0.15">
      <c r="I898" s="54"/>
      <c r="J898" s="51">
        <v>894</v>
      </c>
      <c r="K898" s="55">
        <v>60</v>
      </c>
      <c r="L898" s="55">
        <f t="shared" si="52"/>
        <v>90</v>
      </c>
      <c r="M898" s="55"/>
    </row>
    <row r="899" spans="9:13" x14ac:dyDescent="0.15">
      <c r="I899" s="54"/>
      <c r="J899" s="51">
        <v>895</v>
      </c>
      <c r="K899" s="55">
        <v>60</v>
      </c>
      <c r="L899" s="55">
        <f t="shared" si="52"/>
        <v>90</v>
      </c>
      <c r="M899" s="55"/>
    </row>
    <row r="900" spans="9:13" x14ac:dyDescent="0.15">
      <c r="I900" s="54"/>
      <c r="J900" s="51">
        <v>896</v>
      </c>
      <c r="K900" s="55">
        <v>60</v>
      </c>
      <c r="L900" s="55">
        <f t="shared" si="52"/>
        <v>90</v>
      </c>
      <c r="M900" s="55"/>
    </row>
    <row r="901" spans="9:13" x14ac:dyDescent="0.15">
      <c r="I901" s="54"/>
      <c r="J901" s="51">
        <v>897</v>
      </c>
      <c r="K901" s="55">
        <v>60</v>
      </c>
      <c r="L901" s="55">
        <f t="shared" si="52"/>
        <v>90</v>
      </c>
      <c r="M901" s="55"/>
    </row>
    <row r="902" spans="9:13" x14ac:dyDescent="0.15">
      <c r="I902" s="54"/>
      <c r="J902" s="51">
        <v>898</v>
      </c>
      <c r="K902" s="55">
        <v>60</v>
      </c>
      <c r="L902" s="55">
        <f t="shared" ref="L902:L965" si="53">K902*1.5</f>
        <v>90</v>
      </c>
      <c r="M902" s="55"/>
    </row>
    <row r="903" spans="9:13" x14ac:dyDescent="0.15">
      <c r="I903" s="54"/>
      <c r="J903" s="51">
        <v>899</v>
      </c>
      <c r="K903" s="55">
        <v>60</v>
      </c>
      <c r="L903" s="55">
        <f t="shared" si="53"/>
        <v>90</v>
      </c>
      <c r="M903" s="55"/>
    </row>
    <row r="904" spans="9:13" x14ac:dyDescent="0.15">
      <c r="I904" s="54"/>
      <c r="J904" s="51">
        <v>900</v>
      </c>
      <c r="K904" s="55">
        <v>60</v>
      </c>
      <c r="L904" s="55">
        <f t="shared" si="53"/>
        <v>90</v>
      </c>
      <c r="M904" s="55"/>
    </row>
    <row r="905" spans="9:13" x14ac:dyDescent="0.15">
      <c r="I905" s="54"/>
      <c r="J905" s="51">
        <v>901</v>
      </c>
      <c r="K905" s="55">
        <v>60</v>
      </c>
      <c r="L905" s="55">
        <f t="shared" si="53"/>
        <v>90</v>
      </c>
      <c r="M905" s="55"/>
    </row>
    <row r="906" spans="9:13" x14ac:dyDescent="0.15">
      <c r="I906" s="54"/>
      <c r="J906" s="51">
        <v>902</v>
      </c>
      <c r="K906" s="55">
        <v>60</v>
      </c>
      <c r="L906" s="55">
        <f t="shared" si="53"/>
        <v>90</v>
      </c>
      <c r="M906" s="55"/>
    </row>
    <row r="907" spans="9:13" x14ac:dyDescent="0.15">
      <c r="I907" s="54"/>
      <c r="J907" s="51">
        <v>903</v>
      </c>
      <c r="K907" s="55">
        <v>60</v>
      </c>
      <c r="L907" s="55">
        <f t="shared" si="53"/>
        <v>90</v>
      </c>
      <c r="M907" s="55"/>
    </row>
    <row r="908" spans="9:13" x14ac:dyDescent="0.15">
      <c r="I908" s="54"/>
      <c r="J908" s="51">
        <v>904</v>
      </c>
      <c r="K908" s="55">
        <v>60</v>
      </c>
      <c r="L908" s="55">
        <f t="shared" si="53"/>
        <v>90</v>
      </c>
      <c r="M908" s="55"/>
    </row>
    <row r="909" spans="9:13" x14ac:dyDescent="0.15">
      <c r="I909" s="54"/>
      <c r="J909" s="51">
        <v>905</v>
      </c>
      <c r="K909" s="55">
        <v>60</v>
      </c>
      <c r="L909" s="55">
        <f t="shared" si="53"/>
        <v>90</v>
      </c>
      <c r="M909" s="55"/>
    </row>
    <row r="910" spans="9:13" x14ac:dyDescent="0.15">
      <c r="I910" s="54"/>
      <c r="J910" s="51">
        <v>906</v>
      </c>
      <c r="K910" s="55">
        <v>60</v>
      </c>
      <c r="L910" s="55">
        <f t="shared" si="53"/>
        <v>90</v>
      </c>
      <c r="M910" s="55"/>
    </row>
    <row r="911" spans="9:13" x14ac:dyDescent="0.15">
      <c r="I911" s="54"/>
      <c r="J911" s="51">
        <v>907</v>
      </c>
      <c r="K911" s="55">
        <v>60</v>
      </c>
      <c r="L911" s="55">
        <f t="shared" si="53"/>
        <v>90</v>
      </c>
      <c r="M911" s="55"/>
    </row>
    <row r="912" spans="9:13" x14ac:dyDescent="0.15">
      <c r="I912" s="54"/>
      <c r="J912" s="51">
        <v>908</v>
      </c>
      <c r="K912" s="55">
        <v>60</v>
      </c>
      <c r="L912" s="55">
        <f t="shared" si="53"/>
        <v>90</v>
      </c>
      <c r="M912" s="55"/>
    </row>
    <row r="913" spans="9:13" x14ac:dyDescent="0.15">
      <c r="I913" s="54"/>
      <c r="J913" s="51">
        <v>909</v>
      </c>
      <c r="K913" s="55">
        <v>60</v>
      </c>
      <c r="L913" s="55">
        <f t="shared" si="53"/>
        <v>90</v>
      </c>
      <c r="M913" s="55"/>
    </row>
    <row r="914" spans="9:13" x14ac:dyDescent="0.15">
      <c r="I914" s="54"/>
      <c r="J914" s="51">
        <v>910</v>
      </c>
      <c r="K914" s="55">
        <v>60</v>
      </c>
      <c r="L914" s="55">
        <f t="shared" si="53"/>
        <v>90</v>
      </c>
      <c r="M914" s="55"/>
    </row>
    <row r="915" spans="9:13" x14ac:dyDescent="0.15">
      <c r="I915" s="54"/>
      <c r="J915" s="51">
        <v>911</v>
      </c>
      <c r="K915" s="55">
        <v>60</v>
      </c>
      <c r="L915" s="55">
        <f t="shared" si="53"/>
        <v>90</v>
      </c>
      <c r="M915" s="55"/>
    </row>
    <row r="916" spans="9:13" x14ac:dyDescent="0.15">
      <c r="I916" s="54"/>
      <c r="J916" s="51">
        <v>912</v>
      </c>
      <c r="K916" s="55">
        <v>60</v>
      </c>
      <c r="L916" s="55">
        <f t="shared" si="53"/>
        <v>90</v>
      </c>
      <c r="M916" s="55"/>
    </row>
    <row r="917" spans="9:13" x14ac:dyDescent="0.15">
      <c r="I917" s="54"/>
      <c r="J917" s="51">
        <v>913</v>
      </c>
      <c r="K917" s="55">
        <v>60</v>
      </c>
      <c r="L917" s="55">
        <f t="shared" si="53"/>
        <v>90</v>
      </c>
      <c r="M917" s="55"/>
    </row>
    <row r="918" spans="9:13" x14ac:dyDescent="0.15">
      <c r="I918" s="54"/>
      <c r="J918" s="51">
        <v>914</v>
      </c>
      <c r="K918" s="55">
        <v>60</v>
      </c>
      <c r="L918" s="55">
        <f t="shared" si="53"/>
        <v>90</v>
      </c>
      <c r="M918" s="55"/>
    </row>
    <row r="919" spans="9:13" x14ac:dyDescent="0.15">
      <c r="I919" s="54"/>
      <c r="J919" s="51">
        <v>915</v>
      </c>
      <c r="K919" s="55">
        <v>60</v>
      </c>
      <c r="L919" s="55">
        <f t="shared" si="53"/>
        <v>90</v>
      </c>
      <c r="M919" s="55"/>
    </row>
    <row r="920" spans="9:13" x14ac:dyDescent="0.15">
      <c r="I920" s="54"/>
      <c r="J920" s="51">
        <v>916</v>
      </c>
      <c r="K920" s="55">
        <v>60</v>
      </c>
      <c r="L920" s="55">
        <f t="shared" si="53"/>
        <v>90</v>
      </c>
      <c r="M920" s="55"/>
    </row>
    <row r="921" spans="9:13" x14ac:dyDescent="0.15">
      <c r="I921" s="54"/>
      <c r="J921" s="51">
        <v>917</v>
      </c>
      <c r="K921" s="55">
        <v>60</v>
      </c>
      <c r="L921" s="55">
        <f t="shared" si="53"/>
        <v>90</v>
      </c>
      <c r="M921" s="55"/>
    </row>
    <row r="922" spans="9:13" x14ac:dyDescent="0.15">
      <c r="I922" s="54"/>
      <c r="J922" s="51">
        <v>918</v>
      </c>
      <c r="K922" s="55">
        <v>60</v>
      </c>
      <c r="L922" s="55">
        <f t="shared" si="53"/>
        <v>90</v>
      </c>
      <c r="M922" s="55"/>
    </row>
    <row r="923" spans="9:13" x14ac:dyDescent="0.15">
      <c r="I923" s="54"/>
      <c r="J923" s="51">
        <v>919</v>
      </c>
      <c r="K923" s="55">
        <v>60</v>
      </c>
      <c r="L923" s="55">
        <f t="shared" si="53"/>
        <v>90</v>
      </c>
      <c r="M923" s="55"/>
    </row>
    <row r="924" spans="9:13" x14ac:dyDescent="0.15">
      <c r="I924" s="54"/>
      <c r="J924" s="51">
        <v>920</v>
      </c>
      <c r="K924" s="55">
        <v>60</v>
      </c>
      <c r="L924" s="55">
        <f t="shared" si="53"/>
        <v>90</v>
      </c>
      <c r="M924" s="55"/>
    </row>
    <row r="925" spans="9:13" x14ac:dyDescent="0.15">
      <c r="I925" s="54"/>
      <c r="J925" s="51">
        <v>921</v>
      </c>
      <c r="K925" s="55">
        <v>60</v>
      </c>
      <c r="L925" s="55">
        <f t="shared" si="53"/>
        <v>90</v>
      </c>
      <c r="M925" s="55"/>
    </row>
    <row r="926" spans="9:13" x14ac:dyDescent="0.15">
      <c r="I926" s="54"/>
      <c r="J926" s="51">
        <v>922</v>
      </c>
      <c r="K926" s="55">
        <v>60</v>
      </c>
      <c r="L926" s="55">
        <f t="shared" si="53"/>
        <v>90</v>
      </c>
      <c r="M926" s="55"/>
    </row>
    <row r="927" spans="9:13" x14ac:dyDescent="0.15">
      <c r="I927" s="54"/>
      <c r="J927" s="51">
        <v>923</v>
      </c>
      <c r="K927" s="55">
        <v>60</v>
      </c>
      <c r="L927" s="55">
        <f t="shared" si="53"/>
        <v>90</v>
      </c>
      <c r="M927" s="55"/>
    </row>
    <row r="928" spans="9:13" x14ac:dyDescent="0.15">
      <c r="I928" s="54"/>
      <c r="J928" s="51">
        <v>924</v>
      </c>
      <c r="K928" s="55">
        <v>60</v>
      </c>
      <c r="L928" s="55">
        <f t="shared" si="53"/>
        <v>90</v>
      </c>
      <c r="M928" s="55"/>
    </row>
    <row r="929" spans="9:13" x14ac:dyDescent="0.15">
      <c r="I929" s="54"/>
      <c r="J929" s="51">
        <v>925</v>
      </c>
      <c r="K929" s="55">
        <v>60</v>
      </c>
      <c r="L929" s="55">
        <f t="shared" si="53"/>
        <v>90</v>
      </c>
      <c r="M929" s="55"/>
    </row>
    <row r="930" spans="9:13" x14ac:dyDescent="0.15">
      <c r="I930" s="54"/>
      <c r="J930" s="51">
        <v>926</v>
      </c>
      <c r="K930" s="55">
        <v>60</v>
      </c>
      <c r="L930" s="55">
        <f t="shared" si="53"/>
        <v>90</v>
      </c>
      <c r="M930" s="55"/>
    </row>
    <row r="931" spans="9:13" x14ac:dyDescent="0.15">
      <c r="I931" s="54"/>
      <c r="J931" s="51">
        <v>927</v>
      </c>
      <c r="K931" s="55">
        <v>60</v>
      </c>
      <c r="L931" s="55">
        <f t="shared" si="53"/>
        <v>90</v>
      </c>
      <c r="M931" s="55"/>
    </row>
    <row r="932" spans="9:13" x14ac:dyDescent="0.15">
      <c r="I932" s="54"/>
      <c r="J932" s="51">
        <v>928</v>
      </c>
      <c r="K932" s="55">
        <v>60</v>
      </c>
      <c r="L932" s="55">
        <f t="shared" si="53"/>
        <v>90</v>
      </c>
      <c r="M932" s="55"/>
    </row>
    <row r="933" spans="9:13" x14ac:dyDescent="0.15">
      <c r="I933" s="54"/>
      <c r="J933" s="51">
        <v>929</v>
      </c>
      <c r="K933" s="55">
        <v>60</v>
      </c>
      <c r="L933" s="55">
        <f t="shared" si="53"/>
        <v>90</v>
      </c>
      <c r="M933" s="55"/>
    </row>
    <row r="934" spans="9:13" x14ac:dyDescent="0.15">
      <c r="I934" s="54"/>
      <c r="J934" s="51">
        <v>930</v>
      </c>
      <c r="K934" s="55">
        <v>60</v>
      </c>
      <c r="L934" s="55">
        <f t="shared" si="53"/>
        <v>90</v>
      </c>
      <c r="M934" s="55"/>
    </row>
    <row r="935" spans="9:13" x14ac:dyDescent="0.15">
      <c r="I935" s="54"/>
      <c r="J935" s="51">
        <v>931</v>
      </c>
      <c r="K935" s="55">
        <v>60</v>
      </c>
      <c r="L935" s="55">
        <f t="shared" si="53"/>
        <v>90</v>
      </c>
      <c r="M935" s="55"/>
    </row>
    <row r="936" spans="9:13" x14ac:dyDescent="0.15">
      <c r="I936" s="54"/>
      <c r="J936" s="51">
        <v>932</v>
      </c>
      <c r="K936" s="55">
        <v>60</v>
      </c>
      <c r="L936" s="55">
        <f t="shared" si="53"/>
        <v>90</v>
      </c>
      <c r="M936" s="55"/>
    </row>
    <row r="937" spans="9:13" x14ac:dyDescent="0.15">
      <c r="I937" s="54"/>
      <c r="J937" s="51">
        <v>933</v>
      </c>
      <c r="K937" s="55">
        <v>60</v>
      </c>
      <c r="L937" s="55">
        <f t="shared" si="53"/>
        <v>90</v>
      </c>
      <c r="M937" s="55"/>
    </row>
    <row r="938" spans="9:13" x14ac:dyDescent="0.15">
      <c r="I938" s="54"/>
      <c r="J938" s="51">
        <v>934</v>
      </c>
      <c r="K938" s="55">
        <v>60</v>
      </c>
      <c r="L938" s="55">
        <f t="shared" si="53"/>
        <v>90</v>
      </c>
      <c r="M938" s="55"/>
    </row>
    <row r="939" spans="9:13" x14ac:dyDescent="0.15">
      <c r="I939" s="54"/>
      <c r="J939" s="51">
        <v>935</v>
      </c>
      <c r="K939" s="55">
        <v>60</v>
      </c>
      <c r="L939" s="55">
        <f t="shared" si="53"/>
        <v>90</v>
      </c>
      <c r="M939" s="55"/>
    </row>
    <row r="940" spans="9:13" x14ac:dyDescent="0.15">
      <c r="I940" s="54"/>
      <c r="J940" s="51">
        <v>936</v>
      </c>
      <c r="K940" s="55">
        <v>60</v>
      </c>
      <c r="L940" s="55">
        <f t="shared" si="53"/>
        <v>90</v>
      </c>
      <c r="M940" s="55"/>
    </row>
    <row r="941" spans="9:13" x14ac:dyDescent="0.15">
      <c r="I941" s="54"/>
      <c r="J941" s="51">
        <v>937</v>
      </c>
      <c r="K941" s="55">
        <v>60</v>
      </c>
      <c r="L941" s="55">
        <f t="shared" si="53"/>
        <v>90</v>
      </c>
      <c r="M941" s="55"/>
    </row>
    <row r="942" spans="9:13" x14ac:dyDescent="0.15">
      <c r="I942" s="54"/>
      <c r="J942" s="51">
        <v>938</v>
      </c>
      <c r="K942" s="55">
        <v>60</v>
      </c>
      <c r="L942" s="55">
        <f t="shared" si="53"/>
        <v>90</v>
      </c>
      <c r="M942" s="55"/>
    </row>
    <row r="943" spans="9:13" x14ac:dyDescent="0.15">
      <c r="I943" s="54"/>
      <c r="J943" s="51">
        <v>939</v>
      </c>
      <c r="K943" s="55">
        <v>60</v>
      </c>
      <c r="L943" s="55">
        <f t="shared" si="53"/>
        <v>90</v>
      </c>
      <c r="M943" s="55"/>
    </row>
    <row r="944" spans="9:13" x14ac:dyDescent="0.15">
      <c r="I944" s="54"/>
      <c r="J944" s="51">
        <v>940</v>
      </c>
      <c r="K944" s="55">
        <v>60</v>
      </c>
      <c r="L944" s="55">
        <f t="shared" si="53"/>
        <v>90</v>
      </c>
      <c r="M944" s="55"/>
    </row>
    <row r="945" spans="9:13" x14ac:dyDescent="0.15">
      <c r="I945" s="54"/>
      <c r="J945" s="51">
        <v>941</v>
      </c>
      <c r="K945" s="55">
        <v>60</v>
      </c>
      <c r="L945" s="55">
        <f t="shared" si="53"/>
        <v>90</v>
      </c>
      <c r="M945" s="55"/>
    </row>
    <row r="946" spans="9:13" x14ac:dyDescent="0.15">
      <c r="I946" s="54"/>
      <c r="J946" s="51">
        <v>942</v>
      </c>
      <c r="K946" s="55">
        <v>60</v>
      </c>
      <c r="L946" s="55">
        <f t="shared" si="53"/>
        <v>90</v>
      </c>
      <c r="M946" s="55"/>
    </row>
    <row r="947" spans="9:13" x14ac:dyDescent="0.15">
      <c r="I947" s="54"/>
      <c r="J947" s="51">
        <v>943</v>
      </c>
      <c r="K947" s="55">
        <v>60</v>
      </c>
      <c r="L947" s="55">
        <f t="shared" si="53"/>
        <v>90</v>
      </c>
      <c r="M947" s="55"/>
    </row>
    <row r="948" spans="9:13" x14ac:dyDescent="0.15">
      <c r="I948" s="54"/>
      <c r="J948" s="51">
        <v>944</v>
      </c>
      <c r="K948" s="55">
        <v>60</v>
      </c>
      <c r="L948" s="55">
        <f t="shared" si="53"/>
        <v>90</v>
      </c>
      <c r="M948" s="55"/>
    </row>
    <row r="949" spans="9:13" x14ac:dyDescent="0.15">
      <c r="I949" s="54"/>
      <c r="J949" s="51">
        <v>945</v>
      </c>
      <c r="K949" s="55">
        <v>60</v>
      </c>
      <c r="L949" s="55">
        <f t="shared" si="53"/>
        <v>90</v>
      </c>
      <c r="M949" s="55"/>
    </row>
    <row r="950" spans="9:13" x14ac:dyDescent="0.15">
      <c r="I950" s="54"/>
      <c r="J950" s="51">
        <v>946</v>
      </c>
      <c r="K950" s="55">
        <v>60</v>
      </c>
      <c r="L950" s="55">
        <f t="shared" si="53"/>
        <v>90</v>
      </c>
      <c r="M950" s="55"/>
    </row>
    <row r="951" spans="9:13" x14ac:dyDescent="0.15">
      <c r="I951" s="54"/>
      <c r="J951" s="51">
        <v>947</v>
      </c>
      <c r="K951" s="55">
        <v>60</v>
      </c>
      <c r="L951" s="55">
        <f t="shared" si="53"/>
        <v>90</v>
      </c>
      <c r="M951" s="55"/>
    </row>
    <row r="952" spans="9:13" x14ac:dyDescent="0.15">
      <c r="I952" s="54"/>
      <c r="J952" s="51">
        <v>948</v>
      </c>
      <c r="K952" s="55">
        <v>60</v>
      </c>
      <c r="L952" s="55">
        <f t="shared" si="53"/>
        <v>90</v>
      </c>
      <c r="M952" s="55"/>
    </row>
    <row r="953" spans="9:13" x14ac:dyDescent="0.15">
      <c r="I953" s="54"/>
      <c r="J953" s="51">
        <v>949</v>
      </c>
      <c r="K953" s="55">
        <v>60</v>
      </c>
      <c r="L953" s="55">
        <f t="shared" si="53"/>
        <v>90</v>
      </c>
      <c r="M953" s="55"/>
    </row>
    <row r="954" spans="9:13" x14ac:dyDescent="0.15">
      <c r="I954" s="54"/>
      <c r="J954" s="51">
        <v>950</v>
      </c>
      <c r="K954" s="55">
        <v>60</v>
      </c>
      <c r="L954" s="55">
        <f t="shared" si="53"/>
        <v>90</v>
      </c>
      <c r="M954" s="55"/>
    </row>
    <row r="955" spans="9:13" x14ac:dyDescent="0.15">
      <c r="I955" s="54"/>
      <c r="J955" s="51">
        <v>951</v>
      </c>
      <c r="K955" s="55">
        <v>60</v>
      </c>
      <c r="L955" s="55">
        <f t="shared" si="53"/>
        <v>90</v>
      </c>
      <c r="M955" s="55"/>
    </row>
    <row r="956" spans="9:13" x14ac:dyDescent="0.15">
      <c r="I956" s="54"/>
      <c r="J956" s="51">
        <v>952</v>
      </c>
      <c r="K956" s="55">
        <v>60</v>
      </c>
      <c r="L956" s="55">
        <f t="shared" si="53"/>
        <v>90</v>
      </c>
      <c r="M956" s="55"/>
    </row>
    <row r="957" spans="9:13" x14ac:dyDescent="0.15">
      <c r="I957" s="54"/>
      <c r="J957" s="51">
        <v>953</v>
      </c>
      <c r="K957" s="55">
        <v>60</v>
      </c>
      <c r="L957" s="55">
        <f t="shared" si="53"/>
        <v>90</v>
      </c>
      <c r="M957" s="55"/>
    </row>
    <row r="958" spans="9:13" x14ac:dyDescent="0.15">
      <c r="I958" s="54"/>
      <c r="J958" s="51">
        <v>954</v>
      </c>
      <c r="K958" s="55">
        <v>60</v>
      </c>
      <c r="L958" s="55">
        <f t="shared" si="53"/>
        <v>90</v>
      </c>
      <c r="M958" s="55"/>
    </row>
    <row r="959" spans="9:13" x14ac:dyDescent="0.15">
      <c r="I959" s="54"/>
      <c r="J959" s="51">
        <v>955</v>
      </c>
      <c r="K959" s="55">
        <v>60</v>
      </c>
      <c r="L959" s="55">
        <f t="shared" si="53"/>
        <v>90</v>
      </c>
      <c r="M959" s="55"/>
    </row>
    <row r="960" spans="9:13" x14ac:dyDescent="0.15">
      <c r="I960" s="54"/>
      <c r="J960" s="51">
        <v>956</v>
      </c>
      <c r="K960" s="55">
        <v>60</v>
      </c>
      <c r="L960" s="55">
        <f t="shared" si="53"/>
        <v>90</v>
      </c>
      <c r="M960" s="55"/>
    </row>
    <row r="961" spans="9:13" x14ac:dyDescent="0.15">
      <c r="I961" s="54"/>
      <c r="J961" s="51">
        <v>957</v>
      </c>
      <c r="K961" s="55">
        <v>60</v>
      </c>
      <c r="L961" s="55">
        <f t="shared" si="53"/>
        <v>90</v>
      </c>
      <c r="M961" s="55"/>
    </row>
    <row r="962" spans="9:13" x14ac:dyDescent="0.15">
      <c r="I962" s="54"/>
      <c r="J962" s="51">
        <v>958</v>
      </c>
      <c r="K962" s="55">
        <v>60</v>
      </c>
      <c r="L962" s="55">
        <f t="shared" si="53"/>
        <v>90</v>
      </c>
      <c r="M962" s="55"/>
    </row>
    <row r="963" spans="9:13" x14ac:dyDescent="0.15">
      <c r="I963" s="54"/>
      <c r="J963" s="51">
        <v>959</v>
      </c>
      <c r="K963" s="55">
        <v>60</v>
      </c>
      <c r="L963" s="55">
        <f t="shared" si="53"/>
        <v>90</v>
      </c>
      <c r="M963" s="55"/>
    </row>
    <row r="964" spans="9:13" x14ac:dyDescent="0.15">
      <c r="I964" s="54"/>
      <c r="J964" s="51">
        <v>960</v>
      </c>
      <c r="K964" s="55">
        <v>60</v>
      </c>
      <c r="L964" s="55">
        <f t="shared" si="53"/>
        <v>90</v>
      </c>
      <c r="M964" s="55"/>
    </row>
    <row r="965" spans="9:13" x14ac:dyDescent="0.15">
      <c r="I965" s="54"/>
      <c r="J965" s="51">
        <v>961</v>
      </c>
      <c r="K965" s="55">
        <v>60</v>
      </c>
      <c r="L965" s="55">
        <f t="shared" si="53"/>
        <v>90</v>
      </c>
      <c r="M965" s="55"/>
    </row>
    <row r="966" spans="9:13" x14ac:dyDescent="0.15">
      <c r="I966" s="54"/>
      <c r="J966" s="51">
        <v>962</v>
      </c>
      <c r="K966" s="55">
        <v>60</v>
      </c>
      <c r="L966" s="55">
        <f t="shared" ref="L966:L1004" si="54">K966*1.5</f>
        <v>90</v>
      </c>
      <c r="M966" s="55"/>
    </row>
    <row r="967" spans="9:13" x14ac:dyDescent="0.15">
      <c r="I967" s="54"/>
      <c r="J967" s="51">
        <v>963</v>
      </c>
      <c r="K967" s="55">
        <v>60</v>
      </c>
      <c r="L967" s="55">
        <f t="shared" si="54"/>
        <v>90</v>
      </c>
      <c r="M967" s="55"/>
    </row>
    <row r="968" spans="9:13" x14ac:dyDescent="0.15">
      <c r="I968" s="54"/>
      <c r="J968" s="51">
        <v>964</v>
      </c>
      <c r="K968" s="55">
        <v>60</v>
      </c>
      <c r="L968" s="55">
        <f t="shared" si="54"/>
        <v>90</v>
      </c>
      <c r="M968" s="55"/>
    </row>
    <row r="969" spans="9:13" x14ac:dyDescent="0.15">
      <c r="I969" s="54"/>
      <c r="J969" s="51">
        <v>965</v>
      </c>
      <c r="K969" s="55">
        <v>60</v>
      </c>
      <c r="L969" s="55">
        <f t="shared" si="54"/>
        <v>90</v>
      </c>
      <c r="M969" s="55"/>
    </row>
    <row r="970" spans="9:13" x14ac:dyDescent="0.15">
      <c r="I970" s="54"/>
      <c r="J970" s="51">
        <v>966</v>
      </c>
      <c r="K970" s="55">
        <v>60</v>
      </c>
      <c r="L970" s="55">
        <f t="shared" si="54"/>
        <v>90</v>
      </c>
      <c r="M970" s="55"/>
    </row>
    <row r="971" spans="9:13" x14ac:dyDescent="0.15">
      <c r="I971" s="54"/>
      <c r="J971" s="51">
        <v>967</v>
      </c>
      <c r="K971" s="55">
        <v>60</v>
      </c>
      <c r="L971" s="55">
        <f t="shared" si="54"/>
        <v>90</v>
      </c>
      <c r="M971" s="55"/>
    </row>
    <row r="972" spans="9:13" x14ac:dyDescent="0.15">
      <c r="I972" s="54"/>
      <c r="J972" s="51">
        <v>968</v>
      </c>
      <c r="K972" s="55">
        <v>60</v>
      </c>
      <c r="L972" s="55">
        <f t="shared" si="54"/>
        <v>90</v>
      </c>
      <c r="M972" s="55"/>
    </row>
    <row r="973" spans="9:13" x14ac:dyDescent="0.15">
      <c r="I973" s="54"/>
      <c r="J973" s="51">
        <v>969</v>
      </c>
      <c r="K973" s="55">
        <v>60</v>
      </c>
      <c r="L973" s="55">
        <f t="shared" si="54"/>
        <v>90</v>
      </c>
      <c r="M973" s="55"/>
    </row>
    <row r="974" spans="9:13" x14ac:dyDescent="0.15">
      <c r="I974" s="54"/>
      <c r="J974" s="51">
        <v>970</v>
      </c>
      <c r="K974" s="55">
        <v>60</v>
      </c>
      <c r="L974" s="55">
        <f t="shared" si="54"/>
        <v>90</v>
      </c>
      <c r="M974" s="55"/>
    </row>
    <row r="975" spans="9:13" x14ac:dyDescent="0.15">
      <c r="I975" s="54"/>
      <c r="J975" s="51">
        <v>971</v>
      </c>
      <c r="K975" s="55">
        <v>60</v>
      </c>
      <c r="L975" s="55">
        <f t="shared" si="54"/>
        <v>90</v>
      </c>
      <c r="M975" s="55"/>
    </row>
    <row r="976" spans="9:13" x14ac:dyDescent="0.15">
      <c r="I976" s="54"/>
      <c r="J976" s="51">
        <v>972</v>
      </c>
      <c r="K976" s="55">
        <v>60</v>
      </c>
      <c r="L976" s="55">
        <f t="shared" si="54"/>
        <v>90</v>
      </c>
      <c r="M976" s="55"/>
    </row>
    <row r="977" spans="9:13" x14ac:dyDescent="0.15">
      <c r="I977" s="54"/>
      <c r="J977" s="51">
        <v>973</v>
      </c>
      <c r="K977" s="55">
        <v>60</v>
      </c>
      <c r="L977" s="55">
        <f t="shared" si="54"/>
        <v>90</v>
      </c>
      <c r="M977" s="55"/>
    </row>
    <row r="978" spans="9:13" x14ac:dyDescent="0.15">
      <c r="I978" s="54"/>
      <c r="J978" s="51">
        <v>974</v>
      </c>
      <c r="K978" s="55">
        <v>60</v>
      </c>
      <c r="L978" s="55">
        <f t="shared" si="54"/>
        <v>90</v>
      </c>
      <c r="M978" s="55"/>
    </row>
    <row r="979" spans="9:13" x14ac:dyDescent="0.15">
      <c r="I979" s="54"/>
      <c r="J979" s="51">
        <v>975</v>
      </c>
      <c r="K979" s="55">
        <v>60</v>
      </c>
      <c r="L979" s="55">
        <f t="shared" si="54"/>
        <v>90</v>
      </c>
      <c r="M979" s="55"/>
    </row>
    <row r="980" spans="9:13" x14ac:dyDescent="0.15">
      <c r="I980" s="54"/>
      <c r="J980" s="51">
        <v>976</v>
      </c>
      <c r="K980" s="55">
        <v>60</v>
      </c>
      <c r="L980" s="55">
        <f t="shared" si="54"/>
        <v>90</v>
      </c>
      <c r="M980" s="55"/>
    </row>
    <row r="981" spans="9:13" x14ac:dyDescent="0.15">
      <c r="I981" s="54"/>
      <c r="J981" s="51">
        <v>977</v>
      </c>
      <c r="K981" s="55">
        <v>60</v>
      </c>
      <c r="L981" s="55">
        <f t="shared" si="54"/>
        <v>90</v>
      </c>
      <c r="M981" s="55"/>
    </row>
    <row r="982" spans="9:13" x14ac:dyDescent="0.15">
      <c r="I982" s="54"/>
      <c r="J982" s="51">
        <v>978</v>
      </c>
      <c r="K982" s="55">
        <v>60</v>
      </c>
      <c r="L982" s="55">
        <f t="shared" si="54"/>
        <v>90</v>
      </c>
      <c r="M982" s="55"/>
    </row>
    <row r="983" spans="9:13" x14ac:dyDescent="0.15">
      <c r="I983" s="54"/>
      <c r="J983" s="51">
        <v>979</v>
      </c>
      <c r="K983" s="55">
        <v>60</v>
      </c>
      <c r="L983" s="55">
        <f t="shared" si="54"/>
        <v>90</v>
      </c>
      <c r="M983" s="55"/>
    </row>
    <row r="984" spans="9:13" x14ac:dyDescent="0.15">
      <c r="I984" s="54"/>
      <c r="J984" s="51">
        <v>980</v>
      </c>
      <c r="K984" s="55">
        <v>60</v>
      </c>
      <c r="L984" s="55">
        <f t="shared" si="54"/>
        <v>90</v>
      </c>
      <c r="M984" s="55"/>
    </row>
    <row r="985" spans="9:13" x14ac:dyDescent="0.15">
      <c r="I985" s="54"/>
      <c r="J985" s="51">
        <v>981</v>
      </c>
      <c r="K985" s="55">
        <v>60</v>
      </c>
      <c r="L985" s="55">
        <f t="shared" si="54"/>
        <v>90</v>
      </c>
      <c r="M985" s="55"/>
    </row>
    <row r="986" spans="9:13" x14ac:dyDescent="0.15">
      <c r="I986" s="54"/>
      <c r="J986" s="51">
        <v>982</v>
      </c>
      <c r="K986" s="55">
        <v>60</v>
      </c>
      <c r="L986" s="55">
        <f t="shared" si="54"/>
        <v>90</v>
      </c>
      <c r="M986" s="55"/>
    </row>
    <row r="987" spans="9:13" x14ac:dyDescent="0.15">
      <c r="I987" s="54"/>
      <c r="J987" s="51">
        <v>983</v>
      </c>
      <c r="K987" s="55">
        <v>60</v>
      </c>
      <c r="L987" s="55">
        <f t="shared" si="54"/>
        <v>90</v>
      </c>
      <c r="M987" s="55"/>
    </row>
    <row r="988" spans="9:13" x14ac:dyDescent="0.15">
      <c r="I988" s="54"/>
      <c r="J988" s="51">
        <v>984</v>
      </c>
      <c r="K988" s="55">
        <v>60</v>
      </c>
      <c r="L988" s="55">
        <f t="shared" si="54"/>
        <v>90</v>
      </c>
      <c r="M988" s="55"/>
    </row>
    <row r="989" spans="9:13" x14ac:dyDescent="0.15">
      <c r="I989" s="54"/>
      <c r="J989" s="51">
        <v>985</v>
      </c>
      <c r="K989" s="55">
        <v>60</v>
      </c>
      <c r="L989" s="55">
        <f t="shared" si="54"/>
        <v>90</v>
      </c>
      <c r="M989" s="55"/>
    </row>
    <row r="990" spans="9:13" x14ac:dyDescent="0.15">
      <c r="I990" s="54"/>
      <c r="J990" s="51">
        <v>986</v>
      </c>
      <c r="K990" s="55">
        <v>60</v>
      </c>
      <c r="L990" s="55">
        <f t="shared" si="54"/>
        <v>90</v>
      </c>
      <c r="M990" s="55"/>
    </row>
    <row r="991" spans="9:13" x14ac:dyDescent="0.15">
      <c r="I991" s="54"/>
      <c r="J991" s="51">
        <v>987</v>
      </c>
      <c r="K991" s="55">
        <v>60</v>
      </c>
      <c r="L991" s="55">
        <f t="shared" si="54"/>
        <v>90</v>
      </c>
      <c r="M991" s="55"/>
    </row>
    <row r="992" spans="9:13" x14ac:dyDescent="0.15">
      <c r="I992" s="54"/>
      <c r="J992" s="51">
        <v>988</v>
      </c>
      <c r="K992" s="55">
        <v>60</v>
      </c>
      <c r="L992" s="55">
        <f t="shared" si="54"/>
        <v>90</v>
      </c>
      <c r="M992" s="55"/>
    </row>
    <row r="993" spans="9:13" x14ac:dyDescent="0.15">
      <c r="I993" s="54"/>
      <c r="J993" s="51">
        <v>989</v>
      </c>
      <c r="K993" s="55">
        <v>60</v>
      </c>
      <c r="L993" s="55">
        <f t="shared" si="54"/>
        <v>90</v>
      </c>
      <c r="M993" s="55"/>
    </row>
    <row r="994" spans="9:13" x14ac:dyDescent="0.15">
      <c r="I994" s="54"/>
      <c r="J994" s="51">
        <v>990</v>
      </c>
      <c r="K994" s="55">
        <v>60</v>
      </c>
      <c r="L994" s="55">
        <f t="shared" si="54"/>
        <v>90</v>
      </c>
      <c r="M994" s="55"/>
    </row>
    <row r="995" spans="9:13" x14ac:dyDescent="0.15">
      <c r="I995" s="54"/>
      <c r="J995" s="51">
        <v>991</v>
      </c>
      <c r="K995" s="55">
        <v>60</v>
      </c>
      <c r="L995" s="55">
        <f t="shared" si="54"/>
        <v>90</v>
      </c>
      <c r="M995" s="55"/>
    </row>
    <row r="996" spans="9:13" x14ac:dyDescent="0.15">
      <c r="I996" s="54"/>
      <c r="J996" s="51">
        <v>992</v>
      </c>
      <c r="K996" s="55">
        <v>60</v>
      </c>
      <c r="L996" s="55">
        <f t="shared" si="54"/>
        <v>90</v>
      </c>
      <c r="M996" s="55"/>
    </row>
    <row r="997" spans="9:13" x14ac:dyDescent="0.15">
      <c r="I997" s="54"/>
      <c r="J997" s="51">
        <v>993</v>
      </c>
      <c r="K997" s="55">
        <v>60</v>
      </c>
      <c r="L997" s="55">
        <f t="shared" si="54"/>
        <v>90</v>
      </c>
      <c r="M997" s="55"/>
    </row>
    <row r="998" spans="9:13" x14ac:dyDescent="0.15">
      <c r="I998" s="54"/>
      <c r="J998" s="51">
        <v>994</v>
      </c>
      <c r="K998" s="55">
        <v>60</v>
      </c>
      <c r="L998" s="55">
        <f t="shared" si="54"/>
        <v>90</v>
      </c>
      <c r="M998" s="55"/>
    </row>
    <row r="999" spans="9:13" x14ac:dyDescent="0.15">
      <c r="I999" s="54"/>
      <c r="J999" s="51">
        <v>995</v>
      </c>
      <c r="K999" s="55">
        <v>60</v>
      </c>
      <c r="L999" s="55">
        <f t="shared" si="54"/>
        <v>90</v>
      </c>
      <c r="M999" s="55"/>
    </row>
    <row r="1000" spans="9:13" x14ac:dyDescent="0.15">
      <c r="I1000" s="54"/>
      <c r="J1000" s="51">
        <v>996</v>
      </c>
      <c r="K1000" s="55">
        <v>60</v>
      </c>
      <c r="L1000" s="55">
        <f t="shared" si="54"/>
        <v>90</v>
      </c>
      <c r="M1000" s="55"/>
    </row>
    <row r="1001" spans="9:13" x14ac:dyDescent="0.15">
      <c r="I1001" s="54"/>
      <c r="J1001" s="51">
        <v>997</v>
      </c>
      <c r="K1001" s="55">
        <v>60</v>
      </c>
      <c r="L1001" s="55">
        <f t="shared" si="54"/>
        <v>90</v>
      </c>
      <c r="M1001" s="55"/>
    </row>
    <row r="1002" spans="9:13" x14ac:dyDescent="0.15">
      <c r="I1002" s="54"/>
      <c r="J1002" s="51">
        <v>998</v>
      </c>
      <c r="K1002" s="55">
        <v>60</v>
      </c>
      <c r="L1002" s="55">
        <f t="shared" si="54"/>
        <v>90</v>
      </c>
      <c r="M1002" s="55"/>
    </row>
    <row r="1003" spans="9:13" x14ac:dyDescent="0.15">
      <c r="I1003" s="54"/>
      <c r="J1003" s="51">
        <v>999</v>
      </c>
      <c r="K1003" s="55">
        <v>60</v>
      </c>
      <c r="L1003" s="55">
        <f t="shared" si="54"/>
        <v>90</v>
      </c>
      <c r="M1003" s="55"/>
    </row>
    <row r="1004" spans="9:13" x14ac:dyDescent="0.15">
      <c r="I1004" s="54"/>
      <c r="J1004" s="51">
        <v>1000</v>
      </c>
      <c r="K1004" s="55">
        <v>60</v>
      </c>
      <c r="L1004" s="55">
        <f t="shared" si="54"/>
        <v>90</v>
      </c>
      <c r="M1004" s="55"/>
    </row>
    <row r="1005" spans="9:13" x14ac:dyDescent="0.15">
      <c r="J1005" s="51"/>
      <c r="K1005" s="51"/>
      <c r="L1005" s="51"/>
    </row>
    <row r="1006" spans="9:13" x14ac:dyDescent="0.15">
      <c r="J1006" s="51"/>
      <c r="K1006" s="51"/>
      <c r="L1006" s="51"/>
    </row>
    <row r="1007" spans="9:13" x14ac:dyDescent="0.15">
      <c r="J1007" s="51"/>
      <c r="K1007" s="51"/>
      <c r="L1007" s="51"/>
    </row>
    <row r="1008" spans="9:13" x14ac:dyDescent="0.15">
      <c r="J1008" s="51"/>
      <c r="K1008" s="51"/>
      <c r="L1008" s="51"/>
    </row>
    <row r="1009" spans="10:12" x14ac:dyDescent="0.15">
      <c r="J1009" s="51"/>
      <c r="K1009" s="51"/>
      <c r="L1009" s="51"/>
    </row>
    <row r="1010" spans="10:12" x14ac:dyDescent="0.15">
      <c r="J1010" s="51"/>
      <c r="K1010" s="51"/>
      <c r="L1010" s="51"/>
    </row>
    <row r="1011" spans="10:12" x14ac:dyDescent="0.15">
      <c r="J1011" s="51"/>
      <c r="K1011" s="51"/>
      <c r="L1011" s="51"/>
    </row>
    <row r="1012" spans="10:12" x14ac:dyDescent="0.15">
      <c r="J1012" s="51"/>
      <c r="K1012" s="51"/>
      <c r="L1012" s="51"/>
    </row>
    <row r="1013" spans="10:12" x14ac:dyDescent="0.15">
      <c r="J1013" s="51"/>
      <c r="K1013" s="51"/>
      <c r="L1013" s="51"/>
    </row>
    <row r="1014" spans="10:12" x14ac:dyDescent="0.15">
      <c r="J1014" s="51"/>
      <c r="K1014" s="51"/>
      <c r="L1014" s="51"/>
    </row>
    <row r="1015" spans="10:12" x14ac:dyDescent="0.15">
      <c r="J1015" s="51"/>
      <c r="K1015" s="51"/>
      <c r="L1015" s="51"/>
    </row>
    <row r="1016" spans="10:12" x14ac:dyDescent="0.15">
      <c r="J1016" s="51"/>
      <c r="K1016" s="51"/>
      <c r="L1016" s="51"/>
    </row>
    <row r="1017" spans="10:12" x14ac:dyDescent="0.15">
      <c r="J1017" s="51"/>
      <c r="K1017" s="51"/>
      <c r="L1017" s="51"/>
    </row>
    <row r="1018" spans="10:12" x14ac:dyDescent="0.15">
      <c r="J1018" s="51"/>
      <c r="K1018" s="51"/>
      <c r="L1018" s="51"/>
    </row>
    <row r="1019" spans="10:12" x14ac:dyDescent="0.15">
      <c r="J1019" s="51"/>
      <c r="K1019" s="51"/>
      <c r="L1019" s="51"/>
    </row>
    <row r="1020" spans="10:12" x14ac:dyDescent="0.15">
      <c r="J1020" s="51"/>
      <c r="K1020" s="51"/>
      <c r="L1020" s="51"/>
    </row>
  </sheetData>
  <mergeCells count="9">
    <mergeCell ref="BQ6:BQ10"/>
    <mergeCell ref="BQ5:BR5"/>
    <mergeCell ref="BQ11:BQ15"/>
    <mergeCell ref="U3:Y3"/>
    <mergeCell ref="Z3:AD3"/>
    <mergeCell ref="AS3:AW3"/>
    <mergeCell ref="AX3:BB3"/>
    <mergeCell ref="AI3:AM3"/>
    <mergeCell ref="AN3:AR3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29C4B-E2E1-4E24-A93D-7FF2DFF8CC8E}">
  <sheetPr>
    <tabColor rgb="FFFF0000"/>
  </sheetPr>
  <dimension ref="B1:Q291"/>
  <sheetViews>
    <sheetView topLeftCell="A49" workbookViewId="0">
      <selection activeCell="L77" sqref="L77"/>
    </sheetView>
  </sheetViews>
  <sheetFormatPr defaultColWidth="6.625" defaultRowHeight="11.25" x14ac:dyDescent="0.15"/>
  <cols>
    <col min="1" max="3" width="6.625" style="28"/>
    <col min="4" max="4" width="15.5" style="28" bestFit="1" customWidth="1"/>
    <col min="5" max="5" width="15.5" style="28" customWidth="1"/>
    <col min="6" max="6" width="7.5" style="28" bestFit="1" customWidth="1"/>
    <col min="7" max="7" width="9" style="28" bestFit="1" customWidth="1"/>
    <col min="8" max="8" width="7.5" style="28" customWidth="1"/>
    <col min="9" max="9" width="7.375" style="28" customWidth="1"/>
    <col min="10" max="10" width="8.125" style="28" customWidth="1"/>
    <col min="11" max="11" width="8.875" style="28" customWidth="1"/>
    <col min="12" max="12" width="62.125" style="28" bestFit="1" customWidth="1"/>
    <col min="13" max="16384" width="6.625" style="28"/>
  </cols>
  <sheetData>
    <row r="1" spans="2:12" x14ac:dyDescent="0.15">
      <c r="B1" s="27" t="s">
        <v>166</v>
      </c>
    </row>
    <row r="2" spans="2:12" x14ac:dyDescent="0.15">
      <c r="F2" s="28" t="s">
        <v>167</v>
      </c>
      <c r="G2" s="28" t="s">
        <v>168</v>
      </c>
      <c r="H2" s="28" t="s">
        <v>169</v>
      </c>
      <c r="I2" s="28" t="s">
        <v>167</v>
      </c>
      <c r="J2" s="28" t="s">
        <v>168</v>
      </c>
      <c r="K2" s="28" t="s">
        <v>169</v>
      </c>
    </row>
    <row r="3" spans="2:12" x14ac:dyDescent="0.15">
      <c r="C3" s="28" t="s">
        <v>170</v>
      </c>
      <c r="D3" s="28" t="s">
        <v>171</v>
      </c>
      <c r="E3" s="28" t="s">
        <v>172</v>
      </c>
      <c r="F3" s="28" t="s">
        <v>173</v>
      </c>
      <c r="G3" s="28" t="s">
        <v>173</v>
      </c>
      <c r="H3" s="28" t="s">
        <v>173</v>
      </c>
      <c r="I3" s="28" t="s">
        <v>174</v>
      </c>
      <c r="J3" s="28" t="s">
        <v>174</v>
      </c>
      <c r="K3" s="28" t="s">
        <v>174</v>
      </c>
      <c r="L3" s="28" t="s">
        <v>128</v>
      </c>
    </row>
    <row r="4" spans="2:12" x14ac:dyDescent="0.15">
      <c r="D4" s="28" t="s">
        <v>175</v>
      </c>
      <c r="E4" s="28">
        <f>[2]武将数量星级阶位验证!$D$8</f>
        <v>4800</v>
      </c>
      <c r="F4" s="28">
        <v>1</v>
      </c>
      <c r="G4" s="28">
        <v>1</v>
      </c>
      <c r="H4" s="28">
        <v>1</v>
      </c>
      <c r="I4" s="29">
        <f>IF($E4="","",$E4*F4)</f>
        <v>4800</v>
      </c>
      <c r="J4" s="29">
        <f t="shared" ref="J4:K19" si="0">IF($E4="","",$E4*G4)</f>
        <v>4800</v>
      </c>
      <c r="K4" s="29">
        <f t="shared" si="0"/>
        <v>4800</v>
      </c>
    </row>
    <row r="5" spans="2:12" x14ac:dyDescent="0.15">
      <c r="D5" s="28" t="s">
        <v>176</v>
      </c>
      <c r="E5" s="28">
        <f>[2]武将数量星级阶位验证!$C$8</f>
        <v>540</v>
      </c>
      <c r="F5" s="28">
        <v>1</v>
      </c>
      <c r="G5" s="28">
        <v>1</v>
      </c>
      <c r="H5" s="28">
        <v>1</v>
      </c>
      <c r="I5" s="29">
        <f t="shared" ref="I5:I69" si="1">IF(E5="","",E5*F5)</f>
        <v>540</v>
      </c>
      <c r="J5" s="29">
        <f t="shared" si="0"/>
        <v>540</v>
      </c>
      <c r="K5" s="29">
        <f t="shared" si="0"/>
        <v>540</v>
      </c>
    </row>
    <row r="6" spans="2:12" x14ac:dyDescent="0.15">
      <c r="D6" s="28" t="s">
        <v>177</v>
      </c>
      <c r="E6" s="28">
        <f>E7*0.75</f>
        <v>10800</v>
      </c>
      <c r="F6" s="28">
        <v>1</v>
      </c>
      <c r="G6" s="28">
        <v>1</v>
      </c>
      <c r="H6" s="28">
        <v>1</v>
      </c>
      <c r="I6" s="29">
        <f t="shared" si="1"/>
        <v>10800</v>
      </c>
      <c r="J6" s="29">
        <f t="shared" si="0"/>
        <v>10800</v>
      </c>
      <c r="K6" s="29">
        <f t="shared" si="0"/>
        <v>10800</v>
      </c>
    </row>
    <row r="7" spans="2:12" x14ac:dyDescent="0.15">
      <c r="D7" s="28" t="s">
        <v>178</v>
      </c>
      <c r="E7" s="28">
        <f>$E$232</f>
        <v>14400</v>
      </c>
      <c r="F7" s="28">
        <v>1</v>
      </c>
      <c r="G7" s="28">
        <v>1</v>
      </c>
      <c r="H7" s="28">
        <v>1</v>
      </c>
      <c r="I7" s="29">
        <f t="shared" si="1"/>
        <v>14400</v>
      </c>
      <c r="J7" s="29">
        <f t="shared" si="0"/>
        <v>14400</v>
      </c>
      <c r="K7" s="29">
        <f t="shared" si="0"/>
        <v>14400</v>
      </c>
    </row>
    <row r="8" spans="2:12" x14ac:dyDescent="0.15">
      <c r="D8" s="28" t="s">
        <v>179</v>
      </c>
      <c r="E8" s="28">
        <v>1</v>
      </c>
      <c r="F8" s="28">
        <v>1</v>
      </c>
      <c r="G8" s="28">
        <v>1</v>
      </c>
      <c r="H8" s="28">
        <v>1</v>
      </c>
      <c r="I8" s="29">
        <f t="shared" si="1"/>
        <v>1</v>
      </c>
      <c r="J8" s="29">
        <f t="shared" si="0"/>
        <v>1</v>
      </c>
      <c r="K8" s="29">
        <f t="shared" si="0"/>
        <v>1</v>
      </c>
    </row>
    <row r="9" spans="2:12" x14ac:dyDescent="0.15">
      <c r="D9" s="28" t="s">
        <v>180</v>
      </c>
      <c r="E9" s="28">
        <f>'[1]功能-付费相关'!$U$45</f>
        <v>1.5532347911031258E-4</v>
      </c>
      <c r="F9" s="28">
        <v>1</v>
      </c>
      <c r="G9" s="28">
        <v>1</v>
      </c>
      <c r="H9" s="28">
        <v>1</v>
      </c>
      <c r="I9" s="29">
        <f t="shared" si="1"/>
        <v>1.5532347911031258E-4</v>
      </c>
      <c r="J9" s="29">
        <f t="shared" si="0"/>
        <v>1.5532347911031258E-4</v>
      </c>
      <c r="K9" s="29">
        <f t="shared" si="0"/>
        <v>1.5532347911031258E-4</v>
      </c>
    </row>
    <row r="10" spans="2:12" x14ac:dyDescent="0.15">
      <c r="D10" s="28" t="s">
        <v>181</v>
      </c>
      <c r="E10" s="28">
        <f>E9</f>
        <v>1.5532347911031258E-4</v>
      </c>
      <c r="F10" s="28">
        <v>1</v>
      </c>
      <c r="G10" s="28">
        <v>1</v>
      </c>
      <c r="H10" s="28">
        <v>1</v>
      </c>
      <c r="I10" s="29">
        <f t="shared" si="1"/>
        <v>1.5532347911031258E-4</v>
      </c>
      <c r="J10" s="29">
        <f t="shared" si="0"/>
        <v>1.5532347911031258E-4</v>
      </c>
      <c r="K10" s="29">
        <f t="shared" si="0"/>
        <v>1.5532347911031258E-4</v>
      </c>
    </row>
    <row r="11" spans="2:12" x14ac:dyDescent="0.15">
      <c r="D11" s="28" t="s">
        <v>182</v>
      </c>
      <c r="E11" s="28">
        <f t="shared" ref="E11:E12" si="2">E10</f>
        <v>1.5532347911031258E-4</v>
      </c>
      <c r="F11" s="28">
        <v>1</v>
      </c>
      <c r="G11" s="28">
        <v>1</v>
      </c>
      <c r="H11" s="28">
        <v>1</v>
      </c>
      <c r="I11" s="29">
        <f t="shared" si="1"/>
        <v>1.5532347911031258E-4</v>
      </c>
      <c r="J11" s="29">
        <f t="shared" si="0"/>
        <v>1.5532347911031258E-4</v>
      </c>
      <c r="K11" s="29">
        <f t="shared" si="0"/>
        <v>1.5532347911031258E-4</v>
      </c>
    </row>
    <row r="12" spans="2:12" x14ac:dyDescent="0.15">
      <c r="D12" s="28" t="s">
        <v>183</v>
      </c>
      <c r="E12" s="28">
        <f t="shared" si="2"/>
        <v>1.5532347911031258E-4</v>
      </c>
      <c r="F12" s="28">
        <v>1</v>
      </c>
      <c r="G12" s="28">
        <v>1</v>
      </c>
      <c r="H12" s="28">
        <v>1</v>
      </c>
      <c r="I12" s="29">
        <f t="shared" si="1"/>
        <v>1.5532347911031258E-4</v>
      </c>
      <c r="J12" s="29">
        <f t="shared" si="0"/>
        <v>1.5532347911031258E-4</v>
      </c>
      <c r="K12" s="29">
        <f t="shared" si="0"/>
        <v>1.5532347911031258E-4</v>
      </c>
    </row>
    <row r="13" spans="2:12" x14ac:dyDescent="0.15">
      <c r="D13" s="28" t="s">
        <v>184</v>
      </c>
      <c r="E13" s="28">
        <f>'[1]功能-付费相关'!$Z$45</f>
        <v>3.5830057803451569E-4</v>
      </c>
      <c r="F13" s="28">
        <v>1</v>
      </c>
      <c r="G13" s="28">
        <v>1</v>
      </c>
      <c r="H13" s="28">
        <v>1</v>
      </c>
      <c r="I13" s="29">
        <f t="shared" si="1"/>
        <v>3.5830057803451569E-4</v>
      </c>
      <c r="J13" s="29">
        <f t="shared" si="0"/>
        <v>3.5830057803451569E-4</v>
      </c>
      <c r="K13" s="29">
        <f t="shared" si="0"/>
        <v>3.5830057803451569E-4</v>
      </c>
    </row>
    <row r="14" spans="2:12" x14ac:dyDescent="0.15">
      <c r="D14" s="28" t="s">
        <v>164</v>
      </c>
      <c r="E14" s="28">
        <f>'[1]功能-付费相关'!$AS$45</f>
        <v>1.5625000000000001E-3</v>
      </c>
      <c r="F14" s="28">
        <v>1</v>
      </c>
      <c r="G14" s="28">
        <v>1</v>
      </c>
      <c r="H14" s="28">
        <v>1</v>
      </c>
      <c r="I14" s="29">
        <f t="shared" si="1"/>
        <v>1.5625000000000001E-3</v>
      </c>
      <c r="J14" s="29">
        <f t="shared" si="0"/>
        <v>1.5625000000000001E-3</v>
      </c>
      <c r="K14" s="29">
        <f t="shared" si="0"/>
        <v>1.5625000000000001E-3</v>
      </c>
    </row>
    <row r="15" spans="2:12" x14ac:dyDescent="0.15">
      <c r="D15" s="28" t="s">
        <v>185</v>
      </c>
      <c r="E15" s="28">
        <v>1</v>
      </c>
      <c r="F15" s="28">
        <v>1</v>
      </c>
      <c r="G15" s="28">
        <v>1</v>
      </c>
      <c r="H15" s="28">
        <v>1</v>
      </c>
      <c r="I15" s="29">
        <f t="shared" si="1"/>
        <v>1</v>
      </c>
      <c r="J15" s="29">
        <f t="shared" si="0"/>
        <v>1</v>
      </c>
      <c r="K15" s="29">
        <f t="shared" si="0"/>
        <v>1</v>
      </c>
    </row>
    <row r="16" spans="2:12" x14ac:dyDescent="0.15">
      <c r="D16" s="28" t="s">
        <v>224</v>
      </c>
      <c r="E16" s="28">
        <f>$E$100</f>
        <v>75</v>
      </c>
      <c r="F16" s="28">
        <v>1</v>
      </c>
      <c r="G16" s="28">
        <v>1</v>
      </c>
      <c r="H16" s="28">
        <v>1</v>
      </c>
      <c r="I16" s="29">
        <f t="shared" si="1"/>
        <v>75</v>
      </c>
      <c r="J16" s="29">
        <f t="shared" si="0"/>
        <v>75</v>
      </c>
      <c r="K16" s="29">
        <f t="shared" si="0"/>
        <v>75</v>
      </c>
    </row>
    <row r="17" spans="4:12" x14ac:dyDescent="0.15">
      <c r="D17" s="28" t="s">
        <v>186</v>
      </c>
      <c r="E17" s="28">
        <v>600</v>
      </c>
      <c r="F17" s="28">
        <v>1</v>
      </c>
      <c r="G17" s="28">
        <v>1</v>
      </c>
      <c r="H17" s="28">
        <v>1</v>
      </c>
      <c r="I17" s="29">
        <f t="shared" si="1"/>
        <v>600</v>
      </c>
      <c r="J17" s="29">
        <f t="shared" si="0"/>
        <v>600</v>
      </c>
      <c r="K17" s="29">
        <f t="shared" si="0"/>
        <v>600</v>
      </c>
    </row>
    <row r="18" spans="4:12" x14ac:dyDescent="0.15">
      <c r="D18" s="28" t="s">
        <v>187</v>
      </c>
      <c r="E18" s="28">
        <v>1000</v>
      </c>
      <c r="F18" s="28">
        <v>1</v>
      </c>
      <c r="G18" s="28">
        <v>1</v>
      </c>
      <c r="H18" s="28">
        <v>1</v>
      </c>
      <c r="I18" s="29">
        <f t="shared" si="1"/>
        <v>1000</v>
      </c>
      <c r="J18" s="29">
        <f t="shared" si="0"/>
        <v>1000</v>
      </c>
      <c r="K18" s="29">
        <f t="shared" si="0"/>
        <v>1000</v>
      </c>
    </row>
    <row r="19" spans="4:12" x14ac:dyDescent="0.15">
      <c r="D19" s="28" t="s">
        <v>188</v>
      </c>
      <c r="E19" s="28">
        <v>3000</v>
      </c>
      <c r="F19" s="28">
        <v>1</v>
      </c>
      <c r="G19" s="28">
        <v>1</v>
      </c>
      <c r="H19" s="28">
        <v>1</v>
      </c>
      <c r="I19" s="29">
        <f t="shared" si="1"/>
        <v>3000</v>
      </c>
      <c r="J19" s="29">
        <f t="shared" si="0"/>
        <v>3000</v>
      </c>
      <c r="K19" s="29">
        <f t="shared" si="0"/>
        <v>3000</v>
      </c>
    </row>
    <row r="20" spans="4:12" x14ac:dyDescent="0.15">
      <c r="D20" s="28" t="s">
        <v>189</v>
      </c>
      <c r="E20" s="28">
        <v>8000</v>
      </c>
      <c r="F20" s="28">
        <v>1</v>
      </c>
      <c r="G20" s="28">
        <v>1</v>
      </c>
      <c r="H20" s="28">
        <v>1</v>
      </c>
      <c r="I20" s="29">
        <f t="shared" si="1"/>
        <v>8000</v>
      </c>
      <c r="J20" s="29">
        <f t="shared" ref="J20:K118" si="3">IF($E20="","",$E20*G20)</f>
        <v>8000</v>
      </c>
      <c r="K20" s="29">
        <f t="shared" si="3"/>
        <v>8000</v>
      </c>
    </row>
    <row r="21" spans="4:12" x14ac:dyDescent="0.15">
      <c r="D21" s="28" t="s">
        <v>190</v>
      </c>
      <c r="E21" s="28">
        <v>20000</v>
      </c>
      <c r="F21" s="28">
        <v>1</v>
      </c>
      <c r="G21" s="28">
        <v>1</v>
      </c>
      <c r="H21" s="28">
        <v>1</v>
      </c>
      <c r="I21" s="29">
        <f t="shared" si="1"/>
        <v>20000</v>
      </c>
      <c r="J21" s="29">
        <f t="shared" si="3"/>
        <v>20000</v>
      </c>
      <c r="K21" s="29">
        <f t="shared" si="3"/>
        <v>20000</v>
      </c>
    </row>
    <row r="22" spans="4:12" x14ac:dyDescent="0.15">
      <c r="I22" s="29" t="str">
        <f t="shared" si="1"/>
        <v/>
      </c>
      <c r="J22" s="29" t="str">
        <f t="shared" si="3"/>
        <v/>
      </c>
      <c r="K22" s="29" t="str">
        <f t="shared" si="3"/>
        <v/>
      </c>
    </row>
    <row r="23" spans="4:12" x14ac:dyDescent="0.15">
      <c r="D23" s="28" t="s">
        <v>191</v>
      </c>
      <c r="E23" s="28">
        <v>20</v>
      </c>
      <c r="F23" s="28">
        <v>1</v>
      </c>
      <c r="G23" s="28">
        <v>1</v>
      </c>
      <c r="H23" s="28">
        <v>1</v>
      </c>
      <c r="I23" s="29">
        <f t="shared" si="1"/>
        <v>20</v>
      </c>
      <c r="J23" s="29">
        <f t="shared" si="3"/>
        <v>20</v>
      </c>
      <c r="K23" s="29">
        <f t="shared" si="3"/>
        <v>20</v>
      </c>
    </row>
    <row r="24" spans="4:12" x14ac:dyDescent="0.15">
      <c r="D24" s="28" t="s">
        <v>192</v>
      </c>
      <c r="E24" s="28">
        <v>100</v>
      </c>
      <c r="F24" s="28">
        <v>1</v>
      </c>
      <c r="G24" s="28">
        <v>1</v>
      </c>
      <c r="H24" s="28">
        <v>1</v>
      </c>
      <c r="I24" s="29">
        <f t="shared" si="1"/>
        <v>100</v>
      </c>
      <c r="J24" s="29">
        <f t="shared" si="3"/>
        <v>100</v>
      </c>
      <c r="K24" s="29">
        <f t="shared" si="3"/>
        <v>100</v>
      </c>
    </row>
    <row r="25" spans="4:12" x14ac:dyDescent="0.15">
      <c r="D25" s="28" t="s">
        <v>193</v>
      </c>
      <c r="E25" s="28">
        <v>500</v>
      </c>
      <c r="F25" s="28">
        <v>1</v>
      </c>
      <c r="G25" s="28">
        <v>1</v>
      </c>
      <c r="H25" s="28">
        <v>1</v>
      </c>
      <c r="I25" s="29">
        <f t="shared" si="1"/>
        <v>500</v>
      </c>
      <c r="J25" s="29">
        <f t="shared" si="3"/>
        <v>500</v>
      </c>
      <c r="K25" s="29">
        <f t="shared" si="3"/>
        <v>500</v>
      </c>
    </row>
    <row r="26" spans="4:12" x14ac:dyDescent="0.15">
      <c r="D26" s="28" t="s">
        <v>194</v>
      </c>
      <c r="E26" s="28">
        <v>2000</v>
      </c>
      <c r="F26" s="28">
        <v>1</v>
      </c>
      <c r="G26" s="28">
        <v>1</v>
      </c>
      <c r="H26" s="28">
        <v>1</v>
      </c>
      <c r="I26" s="29">
        <f t="shared" si="1"/>
        <v>2000</v>
      </c>
      <c r="J26" s="29">
        <f t="shared" si="3"/>
        <v>2000</v>
      </c>
      <c r="K26" s="29">
        <f t="shared" si="3"/>
        <v>2000</v>
      </c>
    </row>
    <row r="27" spans="4:12" x14ac:dyDescent="0.15">
      <c r="I27" s="29" t="str">
        <f t="shared" si="1"/>
        <v/>
      </c>
      <c r="J27" s="29" t="str">
        <f t="shared" si="3"/>
        <v/>
      </c>
      <c r="K27" s="29" t="str">
        <f t="shared" si="3"/>
        <v/>
      </c>
    </row>
    <row r="28" spans="4:12" x14ac:dyDescent="0.15">
      <c r="D28" s="28" t="s">
        <v>195</v>
      </c>
      <c r="E28" s="28">
        <f>1/3</f>
        <v>0.33333333333333331</v>
      </c>
      <c r="F28" s="28">
        <v>1</v>
      </c>
      <c r="G28" s="28">
        <v>1</v>
      </c>
      <c r="H28" s="28">
        <v>1</v>
      </c>
      <c r="I28" s="29">
        <f t="shared" ref="I28:I60" si="4">IF($E28="","",$E28*F28)</f>
        <v>0.33333333333333331</v>
      </c>
      <c r="J28" s="29">
        <f t="shared" si="3"/>
        <v>0.33333333333333331</v>
      </c>
      <c r="K28" s="29">
        <f t="shared" si="3"/>
        <v>0.33333333333333331</v>
      </c>
      <c r="L28" s="28" t="s">
        <v>196</v>
      </c>
    </row>
    <row r="29" spans="4:12" x14ac:dyDescent="0.15">
      <c r="D29" s="28" t="s">
        <v>197</v>
      </c>
      <c r="E29" s="31">
        <f>[3]宝物鉴赏!$C$11</f>
        <v>500</v>
      </c>
      <c r="F29" s="28">
        <v>1</v>
      </c>
      <c r="G29" s="28">
        <v>1</v>
      </c>
      <c r="H29" s="28">
        <v>1</v>
      </c>
      <c r="I29" s="29">
        <f t="shared" si="4"/>
        <v>500</v>
      </c>
      <c r="J29" s="29">
        <f t="shared" si="3"/>
        <v>500</v>
      </c>
      <c r="K29" s="29">
        <f t="shared" si="3"/>
        <v>500</v>
      </c>
      <c r="L29" s="28" t="s">
        <v>198</v>
      </c>
    </row>
    <row r="30" spans="4:12" x14ac:dyDescent="0.15">
      <c r="D30" s="28" t="s">
        <v>199</v>
      </c>
      <c r="E30" s="31">
        <f>[3]投放验证!$E$25</f>
        <v>330</v>
      </c>
      <c r="F30" s="28">
        <v>1</v>
      </c>
      <c r="G30" s="28">
        <v>1</v>
      </c>
      <c r="H30" s="28">
        <v>1</v>
      </c>
      <c r="I30" s="29">
        <f t="shared" si="4"/>
        <v>330</v>
      </c>
      <c r="J30" s="29">
        <f t="shared" si="3"/>
        <v>330</v>
      </c>
      <c r="K30" s="29">
        <f t="shared" si="3"/>
        <v>330</v>
      </c>
      <c r="L30" s="28" t="s">
        <v>200</v>
      </c>
    </row>
    <row r="31" spans="4:12" x14ac:dyDescent="0.15">
      <c r="D31" s="28" t="s">
        <v>201</v>
      </c>
      <c r="E31" s="31">
        <f>[3]宝物升星货币产销情况!$D$2</f>
        <v>100</v>
      </c>
      <c r="F31" s="28">
        <v>1</v>
      </c>
      <c r="G31" s="28">
        <v>1</v>
      </c>
      <c r="H31" s="28">
        <v>1</v>
      </c>
      <c r="I31" s="29">
        <f t="shared" si="4"/>
        <v>100</v>
      </c>
      <c r="J31" s="29">
        <f t="shared" si="3"/>
        <v>100</v>
      </c>
      <c r="K31" s="29">
        <f t="shared" si="3"/>
        <v>100</v>
      </c>
      <c r="L31" s="28" t="s">
        <v>202</v>
      </c>
    </row>
    <row r="32" spans="4:12" x14ac:dyDescent="0.15">
      <c r="D32" s="28" t="s">
        <v>203</v>
      </c>
      <c r="E32" s="31">
        <f>[3]投放验证!$E$12</f>
        <v>100</v>
      </c>
      <c r="F32" s="28">
        <v>1</v>
      </c>
      <c r="G32" s="28">
        <v>1</v>
      </c>
      <c r="H32" s="28">
        <v>1</v>
      </c>
      <c r="I32" s="29">
        <f t="shared" si="4"/>
        <v>100</v>
      </c>
      <c r="J32" s="29">
        <f t="shared" si="3"/>
        <v>100</v>
      </c>
      <c r="K32" s="29">
        <f t="shared" si="3"/>
        <v>100</v>
      </c>
    </row>
    <row r="33" spans="4:11" x14ac:dyDescent="0.15">
      <c r="D33" s="28" t="s">
        <v>204</v>
      </c>
      <c r="E33" s="31">
        <f>[3]投放验证!$F$12</f>
        <v>500</v>
      </c>
      <c r="F33" s="28">
        <v>1</v>
      </c>
      <c r="G33" s="28">
        <v>1</v>
      </c>
      <c r="H33" s="28">
        <v>1</v>
      </c>
      <c r="I33" s="29">
        <f t="shared" si="4"/>
        <v>500</v>
      </c>
      <c r="J33" s="29">
        <f t="shared" si="3"/>
        <v>500</v>
      </c>
      <c r="K33" s="29">
        <f t="shared" si="3"/>
        <v>500</v>
      </c>
    </row>
    <row r="34" spans="4:11" x14ac:dyDescent="0.15">
      <c r="D34" s="28" t="s">
        <v>205</v>
      </c>
      <c r="E34" s="31">
        <f>[3]投放验证!$G$12</f>
        <v>4000</v>
      </c>
      <c r="F34" s="28">
        <v>1</v>
      </c>
      <c r="G34" s="28">
        <v>1</v>
      </c>
      <c r="H34" s="28">
        <v>1</v>
      </c>
      <c r="I34" s="29">
        <f t="shared" si="4"/>
        <v>4000</v>
      </c>
      <c r="J34" s="29">
        <f t="shared" si="3"/>
        <v>4000</v>
      </c>
      <c r="K34" s="29">
        <f t="shared" si="3"/>
        <v>4000</v>
      </c>
    </row>
    <row r="35" spans="4:11" x14ac:dyDescent="0.15">
      <c r="D35" s="28" t="s">
        <v>206</v>
      </c>
      <c r="E35" s="31">
        <f>[3]投放验证!$H$12</f>
        <v>20000</v>
      </c>
      <c r="F35" s="28">
        <v>1</v>
      </c>
      <c r="G35" s="28">
        <v>1</v>
      </c>
      <c r="H35" s="28">
        <v>1</v>
      </c>
      <c r="I35" s="29">
        <f t="shared" si="4"/>
        <v>20000</v>
      </c>
      <c r="J35" s="29">
        <f t="shared" si="3"/>
        <v>20000</v>
      </c>
      <c r="K35" s="29">
        <f t="shared" si="3"/>
        <v>20000</v>
      </c>
    </row>
    <row r="36" spans="4:11" x14ac:dyDescent="0.15">
      <c r="D36" s="28" t="s">
        <v>207</v>
      </c>
      <c r="E36" s="29">
        <f>E34/30</f>
        <v>133.33333333333334</v>
      </c>
      <c r="F36" s="28">
        <v>1</v>
      </c>
      <c r="G36" s="28">
        <v>1</v>
      </c>
      <c r="H36" s="28">
        <v>1</v>
      </c>
      <c r="I36" s="29">
        <f t="shared" si="4"/>
        <v>133.33333333333334</v>
      </c>
      <c r="J36" s="29">
        <f t="shared" si="3"/>
        <v>133.33333333333334</v>
      </c>
      <c r="K36" s="29">
        <f t="shared" si="3"/>
        <v>133.33333333333334</v>
      </c>
    </row>
    <row r="37" spans="4:11" x14ac:dyDescent="0.15">
      <c r="D37" s="28" t="s">
        <v>208</v>
      </c>
      <c r="E37" s="29">
        <f>E35/30</f>
        <v>666.66666666666663</v>
      </c>
      <c r="F37" s="28">
        <v>1</v>
      </c>
      <c r="G37" s="28">
        <v>1</v>
      </c>
      <c r="H37" s="28">
        <v>1</v>
      </c>
      <c r="I37" s="29">
        <f t="shared" si="4"/>
        <v>666.66666666666663</v>
      </c>
      <c r="J37" s="29">
        <f t="shared" si="3"/>
        <v>666.66666666666663</v>
      </c>
      <c r="K37" s="29">
        <f t="shared" si="3"/>
        <v>666.66666666666663</v>
      </c>
    </row>
    <row r="38" spans="4:11" x14ac:dyDescent="0.15">
      <c r="I38" s="29" t="str">
        <f t="shared" si="4"/>
        <v/>
      </c>
      <c r="J38" s="29" t="str">
        <f t="shared" si="3"/>
        <v/>
      </c>
      <c r="K38" s="29" t="str">
        <f t="shared" si="3"/>
        <v/>
      </c>
    </row>
    <row r="39" spans="4:11" x14ac:dyDescent="0.15">
      <c r="D39" s="28" t="s">
        <v>209</v>
      </c>
      <c r="E39" s="31">
        <f>[3]投放验证!$E$10</f>
        <v>100</v>
      </c>
      <c r="F39" s="28">
        <v>1</v>
      </c>
      <c r="G39" s="28">
        <v>1</v>
      </c>
      <c r="H39" s="28">
        <v>1</v>
      </c>
      <c r="I39" s="29">
        <f t="shared" si="4"/>
        <v>100</v>
      </c>
      <c r="J39" s="29">
        <f t="shared" si="3"/>
        <v>100</v>
      </c>
      <c r="K39" s="29">
        <f t="shared" si="3"/>
        <v>100</v>
      </c>
    </row>
    <row r="40" spans="4:11" x14ac:dyDescent="0.15">
      <c r="D40" s="28" t="s">
        <v>210</v>
      </c>
      <c r="E40" s="31">
        <f>[3]投放验证!$F$10</f>
        <v>500</v>
      </c>
      <c r="F40" s="28">
        <v>1</v>
      </c>
      <c r="G40" s="28">
        <v>1</v>
      </c>
      <c r="H40" s="28">
        <v>1</v>
      </c>
      <c r="I40" s="29">
        <f t="shared" si="4"/>
        <v>500</v>
      </c>
      <c r="J40" s="29">
        <f t="shared" si="3"/>
        <v>500</v>
      </c>
      <c r="K40" s="29">
        <f t="shared" si="3"/>
        <v>500</v>
      </c>
    </row>
    <row r="41" spans="4:11" x14ac:dyDescent="0.15">
      <c r="D41" s="28" t="s">
        <v>211</v>
      </c>
      <c r="E41" s="31">
        <f>[3]投放验证!$G$10</f>
        <v>2500</v>
      </c>
      <c r="F41" s="28">
        <v>1</v>
      </c>
      <c r="G41" s="28">
        <v>1</v>
      </c>
      <c r="H41" s="28">
        <v>1</v>
      </c>
      <c r="I41" s="29">
        <f t="shared" si="4"/>
        <v>2500</v>
      </c>
      <c r="J41" s="29">
        <f t="shared" si="3"/>
        <v>2500</v>
      </c>
      <c r="K41" s="29">
        <f t="shared" si="3"/>
        <v>2500</v>
      </c>
    </row>
    <row r="42" spans="4:11" x14ac:dyDescent="0.15">
      <c r="D42" s="28" t="s">
        <v>212</v>
      </c>
      <c r="E42" s="31">
        <f>[3]投放验证!$H$10</f>
        <v>10000</v>
      </c>
      <c r="F42" s="28">
        <v>1</v>
      </c>
      <c r="G42" s="28">
        <v>1</v>
      </c>
      <c r="H42" s="28">
        <v>1</v>
      </c>
      <c r="I42" s="29">
        <f t="shared" si="4"/>
        <v>10000</v>
      </c>
      <c r="J42" s="29">
        <f t="shared" si="3"/>
        <v>10000</v>
      </c>
      <c r="K42" s="29">
        <f t="shared" si="3"/>
        <v>10000</v>
      </c>
    </row>
    <row r="43" spans="4:11" x14ac:dyDescent="0.15">
      <c r="D43" s="28" t="s">
        <v>213</v>
      </c>
      <c r="E43" s="29">
        <f>E40/10</f>
        <v>50</v>
      </c>
      <c r="F43" s="28">
        <v>1</v>
      </c>
      <c r="G43" s="28">
        <v>1</v>
      </c>
      <c r="H43" s="28">
        <v>1</v>
      </c>
      <c r="I43" s="29">
        <f t="shared" si="4"/>
        <v>50</v>
      </c>
      <c r="J43" s="29">
        <f t="shared" si="3"/>
        <v>50</v>
      </c>
      <c r="K43" s="29">
        <f t="shared" si="3"/>
        <v>50</v>
      </c>
    </row>
    <row r="44" spans="4:11" x14ac:dyDescent="0.15">
      <c r="D44" s="28" t="s">
        <v>214</v>
      </c>
      <c r="E44" s="30">
        <f>E41/30</f>
        <v>83.333333333333329</v>
      </c>
      <c r="F44" s="28">
        <v>1</v>
      </c>
      <c r="G44" s="28">
        <v>1</v>
      </c>
      <c r="H44" s="28">
        <v>1</v>
      </c>
      <c r="I44" s="29">
        <f t="shared" si="4"/>
        <v>83.333333333333329</v>
      </c>
      <c r="J44" s="29">
        <f t="shared" si="3"/>
        <v>83.333333333333329</v>
      </c>
      <c r="K44" s="29">
        <f t="shared" si="3"/>
        <v>83.333333333333329</v>
      </c>
    </row>
    <row r="45" spans="4:11" x14ac:dyDescent="0.15">
      <c r="D45" s="28" t="s">
        <v>215</v>
      </c>
      <c r="E45" s="30">
        <f>E42/30</f>
        <v>333.33333333333331</v>
      </c>
      <c r="F45" s="28">
        <v>1</v>
      </c>
      <c r="G45" s="28">
        <v>1</v>
      </c>
      <c r="H45" s="28">
        <v>1</v>
      </c>
      <c r="I45" s="29">
        <f t="shared" si="4"/>
        <v>333.33333333333331</v>
      </c>
      <c r="J45" s="29">
        <f t="shared" si="3"/>
        <v>333.33333333333331</v>
      </c>
      <c r="K45" s="29">
        <f t="shared" si="3"/>
        <v>333.33333333333331</v>
      </c>
    </row>
    <row r="46" spans="4:11" x14ac:dyDescent="0.15">
      <c r="I46" s="29" t="str">
        <f t="shared" si="4"/>
        <v/>
      </c>
      <c r="J46" s="29" t="str">
        <f t="shared" si="3"/>
        <v/>
      </c>
      <c r="K46" s="29" t="str">
        <f t="shared" si="3"/>
        <v/>
      </c>
    </row>
    <row r="47" spans="4:11" x14ac:dyDescent="0.15">
      <c r="D47" s="28" t="s">
        <v>165</v>
      </c>
      <c r="E47" s="29">
        <f>0.75*100*1+0.25*500*0.5</f>
        <v>137.5</v>
      </c>
      <c r="F47" s="28">
        <v>1</v>
      </c>
      <c r="G47" s="28">
        <v>1</v>
      </c>
      <c r="H47" s="28">
        <v>1</v>
      </c>
      <c r="I47" s="29">
        <f t="shared" si="4"/>
        <v>137.5</v>
      </c>
      <c r="J47" s="29">
        <f t="shared" si="3"/>
        <v>137.5</v>
      </c>
      <c r="K47" s="29">
        <f t="shared" si="3"/>
        <v>137.5</v>
      </c>
    </row>
    <row r="48" spans="4:11" x14ac:dyDescent="0.15">
      <c r="D48" s="28" t="s">
        <v>225</v>
      </c>
      <c r="E48" s="29">
        <f>E47/10</f>
        <v>13.75</v>
      </c>
      <c r="F48" s="28">
        <v>1</v>
      </c>
      <c r="G48" s="28">
        <v>1</v>
      </c>
      <c r="H48" s="28">
        <v>1</v>
      </c>
      <c r="I48" s="29">
        <f t="shared" si="4"/>
        <v>13.75</v>
      </c>
      <c r="J48" s="29">
        <f t="shared" si="3"/>
        <v>13.75</v>
      </c>
      <c r="K48" s="29">
        <f t="shared" si="3"/>
        <v>13.75</v>
      </c>
    </row>
    <row r="49" spans="3:17" x14ac:dyDescent="0.15">
      <c r="I49" s="29" t="str">
        <f t="shared" si="4"/>
        <v/>
      </c>
      <c r="J49" s="29" t="str">
        <f t="shared" si="3"/>
        <v/>
      </c>
      <c r="K49" s="29" t="str">
        <f t="shared" si="3"/>
        <v/>
      </c>
    </row>
    <row r="50" spans="3:17" x14ac:dyDescent="0.15">
      <c r="D50" s="28" t="s">
        <v>216</v>
      </c>
      <c r="E50" s="28">
        <f>[4]皮肤效用!$W$3</f>
        <v>6000</v>
      </c>
      <c r="F50" s="28">
        <v>1</v>
      </c>
      <c r="G50" s="28">
        <v>1</v>
      </c>
      <c r="H50" s="28">
        <v>1</v>
      </c>
      <c r="I50" s="29">
        <f t="shared" si="4"/>
        <v>6000</v>
      </c>
      <c r="J50" s="29">
        <f t="shared" si="3"/>
        <v>6000</v>
      </c>
      <c r="K50" s="29">
        <f t="shared" si="3"/>
        <v>6000</v>
      </c>
    </row>
    <row r="51" spans="3:17" x14ac:dyDescent="0.15">
      <c r="D51" s="28" t="s">
        <v>217</v>
      </c>
      <c r="E51" s="28">
        <f>[4]皮肤效用!$X$3</f>
        <v>16000</v>
      </c>
      <c r="F51" s="28">
        <v>1</v>
      </c>
      <c r="G51" s="28">
        <v>1</v>
      </c>
      <c r="H51" s="28">
        <v>1</v>
      </c>
      <c r="I51" s="29">
        <f t="shared" si="4"/>
        <v>16000</v>
      </c>
      <c r="J51" s="29">
        <f t="shared" si="3"/>
        <v>16000</v>
      </c>
      <c r="K51" s="29">
        <f t="shared" si="3"/>
        <v>16000</v>
      </c>
    </row>
    <row r="52" spans="3:17" x14ac:dyDescent="0.15">
      <c r="D52" s="28" t="s">
        <v>218</v>
      </c>
      <c r="E52" s="28">
        <f>[4]皮肤效用!$Y$3</f>
        <v>150000</v>
      </c>
      <c r="F52" s="28">
        <v>1</v>
      </c>
      <c r="G52" s="28">
        <v>1</v>
      </c>
      <c r="H52" s="28">
        <v>1</v>
      </c>
      <c r="I52" s="29">
        <f t="shared" si="4"/>
        <v>150000</v>
      </c>
      <c r="J52" s="29">
        <f t="shared" si="3"/>
        <v>150000</v>
      </c>
      <c r="K52" s="29">
        <f t="shared" si="3"/>
        <v>150000</v>
      </c>
    </row>
    <row r="53" spans="3:17" x14ac:dyDescent="0.15">
      <c r="I53" s="29" t="str">
        <f t="shared" si="4"/>
        <v/>
      </c>
      <c r="J53" s="29" t="str">
        <f t="shared" si="3"/>
        <v/>
      </c>
      <c r="K53" s="29" t="str">
        <f t="shared" si="3"/>
        <v/>
      </c>
    </row>
    <row r="54" spans="3:17" x14ac:dyDescent="0.15">
      <c r="D54" s="28" t="s">
        <v>219</v>
      </c>
      <c r="E54" s="31">
        <f>[2]第4特性!$D97</f>
        <v>1000</v>
      </c>
      <c r="F54" s="28">
        <v>1</v>
      </c>
      <c r="G54" s="28">
        <v>1</v>
      </c>
      <c r="H54" s="28">
        <v>1</v>
      </c>
      <c r="I54" s="29">
        <f t="shared" si="4"/>
        <v>1000</v>
      </c>
      <c r="J54" s="29">
        <f t="shared" si="3"/>
        <v>1000</v>
      </c>
      <c r="K54" s="29">
        <f t="shared" si="3"/>
        <v>1000</v>
      </c>
    </row>
    <row r="55" spans="3:17" x14ac:dyDescent="0.15">
      <c r="D55" s="28" t="s">
        <v>220</v>
      </c>
      <c r="E55" s="31">
        <f>[2]第4特性!$D98</f>
        <v>2000</v>
      </c>
      <c r="F55" s="28">
        <v>1</v>
      </c>
      <c r="G55" s="28">
        <v>1</v>
      </c>
      <c r="H55" s="28">
        <v>1</v>
      </c>
      <c r="I55" s="29">
        <f t="shared" si="4"/>
        <v>2000</v>
      </c>
      <c r="J55" s="29">
        <f t="shared" si="3"/>
        <v>2000</v>
      </c>
      <c r="K55" s="29">
        <f t="shared" si="3"/>
        <v>2000</v>
      </c>
    </row>
    <row r="56" spans="3:17" x14ac:dyDescent="0.15">
      <c r="D56" s="28" t="s">
        <v>221</v>
      </c>
      <c r="E56" s="31">
        <f>[2]第4特性!$D99</f>
        <v>8000</v>
      </c>
      <c r="F56" s="28">
        <v>1</v>
      </c>
      <c r="G56" s="28">
        <v>1</v>
      </c>
      <c r="H56" s="28">
        <v>1</v>
      </c>
      <c r="I56" s="29">
        <f t="shared" si="4"/>
        <v>8000</v>
      </c>
      <c r="J56" s="29">
        <f t="shared" si="3"/>
        <v>8000</v>
      </c>
      <c r="K56" s="29">
        <f t="shared" si="3"/>
        <v>8000</v>
      </c>
    </row>
    <row r="57" spans="3:17" x14ac:dyDescent="0.15">
      <c r="I57" s="29" t="str">
        <f t="shared" si="4"/>
        <v/>
      </c>
      <c r="J57" s="29" t="str">
        <f t="shared" si="3"/>
        <v/>
      </c>
      <c r="K57" s="29" t="str">
        <f t="shared" si="3"/>
        <v/>
      </c>
    </row>
    <row r="58" spans="3:17" x14ac:dyDescent="0.15">
      <c r="D58" s="28" t="s">
        <v>222</v>
      </c>
      <c r="E58" s="28">
        <v>400</v>
      </c>
      <c r="F58" s="28">
        <v>1</v>
      </c>
      <c r="G58" s="28">
        <v>1</v>
      </c>
      <c r="H58" s="28">
        <v>1</v>
      </c>
      <c r="I58" s="29">
        <f t="shared" si="4"/>
        <v>400</v>
      </c>
      <c r="J58" s="29">
        <f t="shared" si="3"/>
        <v>400</v>
      </c>
      <c r="K58" s="29">
        <f t="shared" si="3"/>
        <v>400</v>
      </c>
    </row>
    <row r="59" spans="3:17" x14ac:dyDescent="0.15">
      <c r="D59" s="28" t="s">
        <v>223</v>
      </c>
      <c r="E59" s="28">
        <v>1500</v>
      </c>
      <c r="F59" s="28">
        <v>1</v>
      </c>
      <c r="G59" s="28">
        <v>1</v>
      </c>
      <c r="H59" s="28">
        <v>1</v>
      </c>
      <c r="I59" s="29">
        <f t="shared" si="4"/>
        <v>1500</v>
      </c>
      <c r="J59" s="29">
        <f t="shared" si="3"/>
        <v>1500</v>
      </c>
      <c r="K59" s="29">
        <f t="shared" si="3"/>
        <v>1500</v>
      </c>
    </row>
    <row r="60" spans="3:17" x14ac:dyDescent="0.15">
      <c r="I60" s="29" t="str">
        <f t="shared" si="4"/>
        <v/>
      </c>
      <c r="J60" s="29" t="str">
        <f t="shared" si="3"/>
        <v/>
      </c>
      <c r="K60" s="29" t="str">
        <f t="shared" si="3"/>
        <v/>
      </c>
    </row>
    <row r="61" spans="3:17" x14ac:dyDescent="0.15">
      <c r="C61" s="31">
        <f>IF([5]商品具体设计!B4="","",[5]商品具体设计!B4)</f>
        <v>21001</v>
      </c>
      <c r="D61" s="31" t="str">
        <f>IF([5]商品具体设计!C4="","",[5]商品具体设计!C4)</f>
        <v>一担粮食</v>
      </c>
      <c r="E61" s="31">
        <f>IF([5]商品具体设计!D4="","",[5]商品具体设计!D4)</f>
        <v>6</v>
      </c>
      <c r="F61" s="28">
        <v>1</v>
      </c>
      <c r="G61" s="28">
        <v>1</v>
      </c>
      <c r="H61" s="28">
        <v>1</v>
      </c>
      <c r="I61" s="29">
        <f t="shared" si="1"/>
        <v>6</v>
      </c>
      <c r="J61" s="29">
        <f t="shared" si="3"/>
        <v>6</v>
      </c>
      <c r="K61" s="29">
        <f t="shared" si="3"/>
        <v>6</v>
      </c>
      <c r="L61" s="31" t="str">
        <f>IF([5]商品具体设计!E4="","",[5]商品具体设计!E4)</f>
        <v>使用后获得10000安全粮食</v>
      </c>
      <c r="N61" s="28">
        <v>10000</v>
      </c>
      <c r="O61" s="28">
        <f>I61/$N61</f>
        <v>5.9999999999999995E-4</v>
      </c>
      <c r="P61" s="28">
        <f t="shared" ref="P61:Q61" si="5">J61/$N61</f>
        <v>5.9999999999999995E-4</v>
      </c>
      <c r="Q61" s="28">
        <f t="shared" si="5"/>
        <v>5.9999999999999995E-4</v>
      </c>
    </row>
    <row r="62" spans="3:17" x14ac:dyDescent="0.15">
      <c r="C62" s="31">
        <f>IF([5]商品具体设计!B5="","",[5]商品具体设计!B5)</f>
        <v>21002</v>
      </c>
      <c r="D62" s="31" t="str">
        <f>IF([5]商品具体设计!C5="","",[5]商品具体设计!C5)</f>
        <v>一堆粮食</v>
      </c>
      <c r="E62" s="31">
        <f>IF([5]商品具体设计!D5="","",[5]商品具体设计!D5)</f>
        <v>20</v>
      </c>
      <c r="F62" s="28">
        <v>1</v>
      </c>
      <c r="G62" s="28">
        <v>1</v>
      </c>
      <c r="H62" s="28">
        <v>1</v>
      </c>
      <c r="I62" s="29">
        <f t="shared" si="1"/>
        <v>20</v>
      </c>
      <c r="J62" s="29">
        <f t="shared" si="3"/>
        <v>20</v>
      </c>
      <c r="K62" s="29">
        <f t="shared" si="3"/>
        <v>20</v>
      </c>
      <c r="L62" s="31" t="str">
        <f>IF([5]商品具体设计!E5="","",[5]商品具体设计!E5)</f>
        <v>使用后获得50000安全粮食</v>
      </c>
      <c r="N62" s="28">
        <v>50000</v>
      </c>
      <c r="O62" s="28">
        <f t="shared" ref="O62:O64" si="6">I62/$N62</f>
        <v>4.0000000000000002E-4</v>
      </c>
      <c r="P62" s="28">
        <f t="shared" ref="P62:P64" si="7">J62/$N62</f>
        <v>4.0000000000000002E-4</v>
      </c>
      <c r="Q62" s="28">
        <f t="shared" ref="Q62:Q64" si="8">K62/$N62</f>
        <v>4.0000000000000002E-4</v>
      </c>
    </row>
    <row r="63" spans="3:17" x14ac:dyDescent="0.15">
      <c r="C63" s="31">
        <f>IF([5]商品具体设计!B6="","",[5]商品具体设计!B6)</f>
        <v>21003</v>
      </c>
      <c r="D63" s="31" t="str">
        <f>IF([5]商品具体设计!C6="","",[5]商品具体设计!C6)</f>
        <v>一箱粮食</v>
      </c>
      <c r="E63" s="31">
        <f>IF([5]商品具体设计!D6="","",[5]商品具体设计!D6)</f>
        <v>45</v>
      </c>
      <c r="F63" s="28">
        <v>1.333</v>
      </c>
      <c r="G63" s="28">
        <v>1</v>
      </c>
      <c r="H63" s="28">
        <v>1</v>
      </c>
      <c r="I63" s="29">
        <f t="shared" si="1"/>
        <v>59.984999999999999</v>
      </c>
      <c r="J63" s="29">
        <f t="shared" si="3"/>
        <v>45</v>
      </c>
      <c r="K63" s="29">
        <f t="shared" si="3"/>
        <v>45</v>
      </c>
      <c r="L63" s="31" t="str">
        <f>IF([5]商品具体设计!E6="","",[5]商品具体设计!E6)</f>
        <v>使用后获得150000安全粮食</v>
      </c>
      <c r="N63" s="28">
        <v>150000</v>
      </c>
      <c r="O63" s="28">
        <f t="shared" si="6"/>
        <v>3.9990000000000002E-4</v>
      </c>
      <c r="P63" s="28">
        <f t="shared" si="7"/>
        <v>2.9999999999999997E-4</v>
      </c>
      <c r="Q63" s="28">
        <f t="shared" si="8"/>
        <v>2.9999999999999997E-4</v>
      </c>
    </row>
    <row r="64" spans="3:17" x14ac:dyDescent="0.15">
      <c r="C64" s="31">
        <f>IF([5]商品具体设计!B7="","",[5]商品具体设计!B7)</f>
        <v>21004</v>
      </c>
      <c r="D64" s="31" t="str">
        <f>IF([5]商品具体设计!C7="","",[5]商品具体设计!C7)</f>
        <v>一车粮食</v>
      </c>
      <c r="E64" s="31">
        <f>IF([5]商品具体设计!D7="","",[5]商品具体设计!D7)</f>
        <v>100</v>
      </c>
      <c r="F64" s="28">
        <v>2</v>
      </c>
      <c r="G64" s="28">
        <v>1.5</v>
      </c>
      <c r="H64" s="28">
        <v>1</v>
      </c>
      <c r="I64" s="29">
        <f t="shared" si="1"/>
        <v>200</v>
      </c>
      <c r="J64" s="29">
        <f t="shared" si="3"/>
        <v>150</v>
      </c>
      <c r="K64" s="29">
        <f t="shared" si="3"/>
        <v>100</v>
      </c>
      <c r="L64" s="31" t="str">
        <f>IF([5]商品具体设计!E7="","",[5]商品具体设计!E7)</f>
        <v>使用后获得500000安全粮食</v>
      </c>
      <c r="N64" s="28">
        <v>500000</v>
      </c>
      <c r="O64" s="28">
        <f t="shared" si="6"/>
        <v>4.0000000000000002E-4</v>
      </c>
      <c r="P64" s="28">
        <f t="shared" si="7"/>
        <v>2.9999999999999997E-4</v>
      </c>
      <c r="Q64" s="28">
        <f t="shared" si="8"/>
        <v>2.0000000000000001E-4</v>
      </c>
    </row>
    <row r="65" spans="3:17" x14ac:dyDescent="0.15">
      <c r="C65" s="31">
        <f>IF([5]商品具体设计!B8="","",[5]商品具体设计!B8)</f>
        <v>21005</v>
      </c>
      <c r="D65" s="31" t="str">
        <f>IF([5]商品具体设计!C8="","",[5]商品具体设计!C8)</f>
        <v>一担木材</v>
      </c>
      <c r="E65" s="31">
        <f>IF([5]商品具体设计!D8="","",[5]商品具体设计!D8)</f>
        <v>6</v>
      </c>
      <c r="F65" s="28">
        <v>1</v>
      </c>
      <c r="G65" s="28">
        <v>1</v>
      </c>
      <c r="H65" s="28">
        <v>1</v>
      </c>
      <c r="I65" s="29">
        <f t="shared" si="1"/>
        <v>6</v>
      </c>
      <c r="J65" s="29">
        <f t="shared" si="3"/>
        <v>6</v>
      </c>
      <c r="K65" s="29">
        <f t="shared" si="3"/>
        <v>6</v>
      </c>
      <c r="L65" s="31" t="str">
        <f>IF([5]商品具体设计!E8="","",[5]商品具体设计!E8)</f>
        <v>使用后获得10000安全木材</v>
      </c>
    </row>
    <row r="66" spans="3:17" x14ac:dyDescent="0.15">
      <c r="C66" s="31">
        <f>IF([5]商品具体设计!B9="","",[5]商品具体设计!B9)</f>
        <v>21006</v>
      </c>
      <c r="D66" s="31" t="str">
        <f>IF([5]商品具体设计!C9="","",[5]商品具体设计!C9)</f>
        <v>一堆木材</v>
      </c>
      <c r="E66" s="31">
        <f>IF([5]商品具体设计!D9="","",[5]商品具体设计!D9)</f>
        <v>20</v>
      </c>
      <c r="F66" s="28">
        <v>1</v>
      </c>
      <c r="G66" s="28">
        <v>1</v>
      </c>
      <c r="H66" s="28">
        <v>1</v>
      </c>
      <c r="I66" s="29">
        <f t="shared" si="1"/>
        <v>20</v>
      </c>
      <c r="J66" s="29">
        <f t="shared" si="3"/>
        <v>20</v>
      </c>
      <c r="K66" s="29">
        <f t="shared" si="3"/>
        <v>20</v>
      </c>
      <c r="L66" s="31" t="str">
        <f>IF([5]商品具体设计!E9="","",[5]商品具体设计!E9)</f>
        <v>使用后获得50000安全木材</v>
      </c>
    </row>
    <row r="67" spans="3:17" x14ac:dyDescent="0.15">
      <c r="C67" s="31">
        <f>IF([5]商品具体设计!B10="","",[5]商品具体设计!B10)</f>
        <v>21007</v>
      </c>
      <c r="D67" s="31" t="str">
        <f>IF([5]商品具体设计!C10="","",[5]商品具体设计!C10)</f>
        <v>一箱木材</v>
      </c>
      <c r="E67" s="31">
        <f>IF([5]商品具体设计!D10="","",[5]商品具体设计!D10)</f>
        <v>45</v>
      </c>
      <c r="F67" s="28">
        <v>1.333</v>
      </c>
      <c r="G67" s="28">
        <v>1</v>
      </c>
      <c r="H67" s="28">
        <v>1</v>
      </c>
      <c r="I67" s="29">
        <f t="shared" si="1"/>
        <v>59.984999999999999</v>
      </c>
      <c r="J67" s="29">
        <f t="shared" si="3"/>
        <v>45</v>
      </c>
      <c r="K67" s="29">
        <f t="shared" si="3"/>
        <v>45</v>
      </c>
      <c r="L67" s="31" t="str">
        <f>IF([5]商品具体设计!E10="","",[5]商品具体设计!E10)</f>
        <v>使用后获得150000安全木材</v>
      </c>
    </row>
    <row r="68" spans="3:17" x14ac:dyDescent="0.15">
      <c r="C68" s="31">
        <f>IF([5]商品具体设计!B11="","",[5]商品具体设计!B11)</f>
        <v>21008</v>
      </c>
      <c r="D68" s="31" t="str">
        <f>IF([5]商品具体设计!C11="","",[5]商品具体设计!C11)</f>
        <v>一车木材</v>
      </c>
      <c r="E68" s="31">
        <f>IF([5]商品具体设计!D11="","",[5]商品具体设计!D11)</f>
        <v>100</v>
      </c>
      <c r="F68" s="28">
        <v>2</v>
      </c>
      <c r="G68" s="28">
        <v>1.5</v>
      </c>
      <c r="H68" s="28">
        <v>1</v>
      </c>
      <c r="I68" s="29">
        <f t="shared" si="1"/>
        <v>200</v>
      </c>
      <c r="J68" s="29">
        <f t="shared" si="3"/>
        <v>150</v>
      </c>
      <c r="K68" s="29">
        <f t="shared" si="3"/>
        <v>100</v>
      </c>
      <c r="L68" s="31" t="str">
        <f>IF([5]商品具体设计!E11="","",[5]商品具体设计!E11)</f>
        <v>使用后获得500000安全木材</v>
      </c>
    </row>
    <row r="69" spans="3:17" x14ac:dyDescent="0.15">
      <c r="C69" s="31">
        <f>IF([5]商品具体设计!B12="","",[5]商品具体设计!B12)</f>
        <v>21009</v>
      </c>
      <c r="D69" s="31" t="str">
        <f>IF([5]商品具体设计!C12="","",[5]商品具体设计!C12)</f>
        <v>一担石料</v>
      </c>
      <c r="E69" s="31">
        <f>IF([5]商品具体设计!D12="","",[5]商品具体设计!D12)</f>
        <v>6</v>
      </c>
      <c r="F69" s="28">
        <v>1</v>
      </c>
      <c r="G69" s="28">
        <v>1</v>
      </c>
      <c r="H69" s="28">
        <v>1</v>
      </c>
      <c r="I69" s="29">
        <f t="shared" si="1"/>
        <v>6</v>
      </c>
      <c r="J69" s="29">
        <f t="shared" si="3"/>
        <v>6</v>
      </c>
      <c r="K69" s="29">
        <f t="shared" si="3"/>
        <v>6</v>
      </c>
      <c r="L69" s="31" t="str">
        <f>IF([5]商品具体设计!E12="","",[5]商品具体设计!E12)</f>
        <v>使用后获得10000安全石料</v>
      </c>
    </row>
    <row r="70" spans="3:17" x14ac:dyDescent="0.15">
      <c r="C70" s="31">
        <f>IF([5]商品具体设计!B13="","",[5]商品具体设计!B13)</f>
        <v>21010</v>
      </c>
      <c r="D70" s="31" t="str">
        <f>IF([5]商品具体设计!C13="","",[5]商品具体设计!C13)</f>
        <v>一堆石料</v>
      </c>
      <c r="E70" s="31">
        <f>IF([5]商品具体设计!D13="","",[5]商品具体设计!D13)</f>
        <v>20</v>
      </c>
      <c r="F70" s="28">
        <v>1</v>
      </c>
      <c r="G70" s="28">
        <v>1</v>
      </c>
      <c r="H70" s="28">
        <v>1</v>
      </c>
      <c r="I70" s="29">
        <f t="shared" ref="I70:I133" si="9">IF(E70="","",E70*F70)</f>
        <v>20</v>
      </c>
      <c r="J70" s="29">
        <f t="shared" si="3"/>
        <v>20</v>
      </c>
      <c r="K70" s="29">
        <f t="shared" si="3"/>
        <v>20</v>
      </c>
      <c r="L70" s="31" t="str">
        <f>IF([5]商品具体设计!E13="","",[5]商品具体设计!E13)</f>
        <v>使用后获得50000安全石料</v>
      </c>
    </row>
    <row r="71" spans="3:17" x14ac:dyDescent="0.15">
      <c r="C71" s="31">
        <f>IF([5]商品具体设计!B14="","",[5]商品具体设计!B14)</f>
        <v>21011</v>
      </c>
      <c r="D71" s="31" t="str">
        <f>IF([5]商品具体设计!C14="","",[5]商品具体设计!C14)</f>
        <v>一箱石料</v>
      </c>
      <c r="E71" s="31">
        <f>IF([5]商品具体设计!D14="","",[5]商品具体设计!D14)</f>
        <v>45</v>
      </c>
      <c r="F71" s="28">
        <v>1.333</v>
      </c>
      <c r="G71" s="28">
        <v>1</v>
      </c>
      <c r="H71" s="28">
        <v>1</v>
      </c>
      <c r="I71" s="29">
        <f t="shared" si="9"/>
        <v>59.984999999999999</v>
      </c>
      <c r="J71" s="29">
        <f t="shared" si="3"/>
        <v>45</v>
      </c>
      <c r="K71" s="29">
        <f t="shared" si="3"/>
        <v>45</v>
      </c>
      <c r="L71" s="31" t="str">
        <f>IF([5]商品具体设计!E14="","",[5]商品具体设计!E14)</f>
        <v>使用后获得150000安全石料</v>
      </c>
    </row>
    <row r="72" spans="3:17" x14ac:dyDescent="0.15">
      <c r="C72" s="31">
        <f>IF([5]商品具体设计!B15="","",[5]商品具体设计!B15)</f>
        <v>21012</v>
      </c>
      <c r="D72" s="31" t="str">
        <f>IF([5]商品具体设计!C15="","",[5]商品具体设计!C15)</f>
        <v>一车石料</v>
      </c>
      <c r="E72" s="31">
        <f>IF([5]商品具体设计!D15="","",[5]商品具体设计!D15)</f>
        <v>100</v>
      </c>
      <c r="F72" s="28">
        <v>2</v>
      </c>
      <c r="G72" s="28">
        <v>1.5</v>
      </c>
      <c r="H72" s="28">
        <v>1</v>
      </c>
      <c r="I72" s="29">
        <f t="shared" si="9"/>
        <v>200</v>
      </c>
      <c r="J72" s="29">
        <f t="shared" si="3"/>
        <v>150</v>
      </c>
      <c r="K72" s="29">
        <f t="shared" si="3"/>
        <v>100</v>
      </c>
      <c r="L72" s="31" t="str">
        <f>IF([5]商品具体设计!E15="","",[5]商品具体设计!E15)</f>
        <v>使用后获得500000安全石料</v>
      </c>
    </row>
    <row r="73" spans="3:17" x14ac:dyDescent="0.15">
      <c r="C73" s="31">
        <f>IF([5]商品具体设计!B16="","",[5]商品具体设计!B16)</f>
        <v>21013</v>
      </c>
      <c r="D73" s="31" t="str">
        <f>IF([5]商品具体设计!C16="","",[5]商品具体设计!C16)</f>
        <v>一担铁矿</v>
      </c>
      <c r="E73" s="31">
        <f>IF([5]商品具体设计!D16="","",[5]商品具体设计!D16)</f>
        <v>12</v>
      </c>
      <c r="F73" s="28">
        <v>1</v>
      </c>
      <c r="G73" s="28">
        <v>1</v>
      </c>
      <c r="H73" s="28">
        <v>1</v>
      </c>
      <c r="I73" s="29">
        <f t="shared" si="9"/>
        <v>12</v>
      </c>
      <c r="J73" s="29">
        <f t="shared" si="3"/>
        <v>12</v>
      </c>
      <c r="K73" s="29">
        <f t="shared" si="3"/>
        <v>12</v>
      </c>
      <c r="L73" s="31" t="str">
        <f>IF([5]商品具体设计!E16="","",[5]商品具体设计!E16)</f>
        <v>使用后获得10000安全铁矿</v>
      </c>
      <c r="N73" s="28">
        <v>10000</v>
      </c>
      <c r="O73" s="28">
        <f>I73/$N73</f>
        <v>1.1999999999999999E-3</v>
      </c>
      <c r="P73" s="28">
        <f t="shared" ref="P73:P76" si="10">J73/$N73</f>
        <v>1.1999999999999999E-3</v>
      </c>
      <c r="Q73" s="28">
        <f t="shared" ref="Q73:Q76" si="11">K73/$N73</f>
        <v>1.1999999999999999E-3</v>
      </c>
    </row>
    <row r="74" spans="3:17" x14ac:dyDescent="0.15">
      <c r="C74" s="31">
        <f>IF([5]商品具体设计!B17="","",[5]商品具体设计!B17)</f>
        <v>21014</v>
      </c>
      <c r="D74" s="31" t="str">
        <f>IF([5]商品具体设计!C17="","",[5]商品具体设计!C17)</f>
        <v>一堆铁矿</v>
      </c>
      <c r="E74" s="31">
        <f>IF([5]商品具体设计!D17="","",[5]商品具体设计!D17)</f>
        <v>40</v>
      </c>
      <c r="F74" s="28">
        <v>1</v>
      </c>
      <c r="G74" s="28">
        <v>1</v>
      </c>
      <c r="H74" s="28">
        <v>1</v>
      </c>
      <c r="I74" s="29">
        <f t="shared" si="9"/>
        <v>40</v>
      </c>
      <c r="J74" s="29">
        <f t="shared" si="3"/>
        <v>40</v>
      </c>
      <c r="K74" s="29">
        <f t="shared" si="3"/>
        <v>40</v>
      </c>
      <c r="L74" s="31" t="str">
        <f>IF([5]商品具体设计!E17="","",[5]商品具体设计!E17)</f>
        <v>使用后获得50000安全铁矿</v>
      </c>
      <c r="N74" s="28">
        <v>50000</v>
      </c>
      <c r="O74" s="28">
        <f t="shared" ref="O74:O76" si="12">I74/$N74</f>
        <v>8.0000000000000004E-4</v>
      </c>
      <c r="P74" s="28">
        <f t="shared" si="10"/>
        <v>8.0000000000000004E-4</v>
      </c>
      <c r="Q74" s="28">
        <f t="shared" si="11"/>
        <v>8.0000000000000004E-4</v>
      </c>
    </row>
    <row r="75" spans="3:17" x14ac:dyDescent="0.15">
      <c r="C75" s="31">
        <f>IF([5]商品具体设计!B18="","",[5]商品具体设计!B18)</f>
        <v>21015</v>
      </c>
      <c r="D75" s="31" t="str">
        <f>IF([5]商品具体设计!C18="","",[5]商品具体设计!C18)</f>
        <v>一箱铁矿</v>
      </c>
      <c r="E75" s="31">
        <f>IF([5]商品具体设计!D18="","",[5]商品具体设计!D18)</f>
        <v>90</v>
      </c>
      <c r="F75" s="28">
        <v>1.333</v>
      </c>
      <c r="G75" s="28">
        <v>1</v>
      </c>
      <c r="H75" s="28">
        <v>1</v>
      </c>
      <c r="I75" s="29">
        <f t="shared" si="9"/>
        <v>119.97</v>
      </c>
      <c r="J75" s="29">
        <f t="shared" si="3"/>
        <v>90</v>
      </c>
      <c r="K75" s="29">
        <f t="shared" si="3"/>
        <v>90</v>
      </c>
      <c r="L75" s="31" t="str">
        <f>IF([5]商品具体设计!E18="","",[5]商品具体设计!E18)</f>
        <v>使用后获得150000安全铁矿</v>
      </c>
      <c r="N75" s="28">
        <v>150000</v>
      </c>
      <c r="O75" s="28">
        <f t="shared" si="12"/>
        <v>7.9980000000000003E-4</v>
      </c>
      <c r="P75" s="28">
        <f t="shared" si="10"/>
        <v>5.9999999999999995E-4</v>
      </c>
      <c r="Q75" s="28">
        <f t="shared" si="11"/>
        <v>5.9999999999999995E-4</v>
      </c>
    </row>
    <row r="76" spans="3:17" x14ac:dyDescent="0.15">
      <c r="C76" s="31">
        <f>IF([5]商品具体设计!B19="","",[5]商品具体设计!B19)</f>
        <v>21016</v>
      </c>
      <c r="D76" s="31" t="str">
        <f>IF([5]商品具体设计!C19="","",[5]商品具体设计!C19)</f>
        <v>一车铁矿</v>
      </c>
      <c r="E76" s="31">
        <f>IF([5]商品具体设计!D19="","",[5]商品具体设计!D19)</f>
        <v>200</v>
      </c>
      <c r="F76" s="28">
        <v>2</v>
      </c>
      <c r="G76" s="28">
        <v>1.5</v>
      </c>
      <c r="H76" s="28">
        <v>1</v>
      </c>
      <c r="I76" s="29">
        <f t="shared" si="9"/>
        <v>400</v>
      </c>
      <c r="J76" s="29">
        <f t="shared" si="3"/>
        <v>300</v>
      </c>
      <c r="K76" s="29">
        <f t="shared" si="3"/>
        <v>200</v>
      </c>
      <c r="L76" s="31" t="str">
        <f>IF([5]商品具体设计!E19="","",[5]商品具体设计!E19)</f>
        <v>使用后获得500000安全铁矿</v>
      </c>
      <c r="N76" s="28">
        <v>500000</v>
      </c>
      <c r="O76" s="28">
        <f t="shared" si="12"/>
        <v>8.0000000000000004E-4</v>
      </c>
      <c r="P76" s="28">
        <f t="shared" si="10"/>
        <v>5.9999999999999995E-4</v>
      </c>
      <c r="Q76" s="28">
        <f t="shared" si="11"/>
        <v>4.0000000000000002E-4</v>
      </c>
    </row>
    <row r="77" spans="3:17" x14ac:dyDescent="0.15">
      <c r="C77" s="31">
        <f>IF([5]商品具体设计!B20="","",[5]商品具体设计!B20)</f>
        <v>21017</v>
      </c>
      <c r="D77" s="31" t="str">
        <f>IF([5]商品具体设计!C20="","",[5]商品具体设计!C20)</f>
        <v>一担铜矿</v>
      </c>
      <c r="E77" s="31">
        <f>IF([5]商品具体设计!D20="","",[5]商品具体设计!D20)</f>
        <v>6</v>
      </c>
      <c r="F77" s="28">
        <v>1</v>
      </c>
      <c r="G77" s="28">
        <v>1</v>
      </c>
      <c r="H77" s="28">
        <v>1</v>
      </c>
      <c r="I77" s="29">
        <f t="shared" si="9"/>
        <v>6</v>
      </c>
      <c r="J77" s="29">
        <f t="shared" si="3"/>
        <v>6</v>
      </c>
      <c r="K77" s="29">
        <f t="shared" si="3"/>
        <v>6</v>
      </c>
      <c r="L77" s="31" t="str">
        <f>IF([5]商品具体设计!E20="","",[5]商品具体设计!E20)</f>
        <v>使用后获得10000安全铜矿</v>
      </c>
    </row>
    <row r="78" spans="3:17" x14ac:dyDescent="0.15">
      <c r="C78" s="31">
        <f>IF([5]商品具体设计!B21="","",[5]商品具体设计!B21)</f>
        <v>21018</v>
      </c>
      <c r="D78" s="31" t="str">
        <f>IF([5]商品具体设计!C21="","",[5]商品具体设计!C21)</f>
        <v>一堆铜矿</v>
      </c>
      <c r="E78" s="31">
        <f>IF([5]商品具体设计!D21="","",[5]商品具体设计!D21)</f>
        <v>20</v>
      </c>
      <c r="F78" s="28">
        <v>1</v>
      </c>
      <c r="G78" s="28">
        <v>1</v>
      </c>
      <c r="H78" s="28">
        <v>1</v>
      </c>
      <c r="I78" s="29">
        <f t="shared" si="9"/>
        <v>20</v>
      </c>
      <c r="J78" s="29">
        <f t="shared" si="3"/>
        <v>20</v>
      </c>
      <c r="K78" s="29">
        <f t="shared" si="3"/>
        <v>20</v>
      </c>
      <c r="L78" s="31" t="str">
        <f>IF([5]商品具体设计!E21="","",[5]商品具体设计!E21)</f>
        <v>使用后获得50000安全铜矿</v>
      </c>
    </row>
    <row r="79" spans="3:17" x14ac:dyDescent="0.15">
      <c r="C79" s="31">
        <f>IF([5]商品具体设计!B22="","",[5]商品具体设计!B22)</f>
        <v>21019</v>
      </c>
      <c r="D79" s="31" t="str">
        <f>IF([5]商品具体设计!C22="","",[5]商品具体设计!C22)</f>
        <v>一箱铜矿</v>
      </c>
      <c r="E79" s="31">
        <f>IF([5]商品具体设计!D22="","",[5]商品具体设计!D22)</f>
        <v>45</v>
      </c>
      <c r="F79" s="28">
        <v>1.333</v>
      </c>
      <c r="G79" s="28">
        <v>1</v>
      </c>
      <c r="H79" s="28">
        <v>1</v>
      </c>
      <c r="I79" s="29">
        <f t="shared" si="9"/>
        <v>59.984999999999999</v>
      </c>
      <c r="J79" s="29">
        <f t="shared" si="3"/>
        <v>45</v>
      </c>
      <c r="K79" s="29">
        <f t="shared" si="3"/>
        <v>45</v>
      </c>
      <c r="L79" s="31" t="str">
        <f>IF([5]商品具体设计!E22="","",[5]商品具体设计!E22)</f>
        <v>使用后获得150000安全铜矿</v>
      </c>
    </row>
    <row r="80" spans="3:17" x14ac:dyDescent="0.15">
      <c r="C80" s="31">
        <f>IF([5]商品具体设计!B23="","",[5]商品具体设计!B23)</f>
        <v>21020</v>
      </c>
      <c r="D80" s="31" t="str">
        <f>IF([5]商品具体设计!C23="","",[5]商品具体设计!C23)</f>
        <v>一车铜矿</v>
      </c>
      <c r="E80" s="31">
        <f>IF([5]商品具体设计!D23="","",[5]商品具体设计!D23)</f>
        <v>100</v>
      </c>
      <c r="F80" s="28">
        <v>2</v>
      </c>
      <c r="G80" s="28">
        <v>1.5</v>
      </c>
      <c r="H80" s="28">
        <v>1</v>
      </c>
      <c r="I80" s="29">
        <f t="shared" si="9"/>
        <v>200</v>
      </c>
      <c r="J80" s="29">
        <f t="shared" si="3"/>
        <v>150</v>
      </c>
      <c r="K80" s="29">
        <f t="shared" si="3"/>
        <v>100</v>
      </c>
      <c r="L80" s="31" t="str">
        <f>IF([5]商品具体设计!E23="","",[5]商品具体设计!E23)</f>
        <v>使用后获得500000安全铜矿</v>
      </c>
    </row>
    <row r="81" spans="3:12" x14ac:dyDescent="0.15">
      <c r="C81" s="31">
        <f>IF([5]商品具体设计!B24="","",[5]商品具体设计!B24)</f>
        <v>21021</v>
      </c>
      <c r="D81" s="31" t="str">
        <f>IF([5]商品具体设计!C24="","",[5]商品具体设计!C24)</f>
        <v>一吊刀币</v>
      </c>
      <c r="E81" s="31">
        <f>IF([5]商品具体设计!D24="","",[5]商品具体设计!D24)</f>
        <v>50</v>
      </c>
      <c r="F81" s="28">
        <v>1</v>
      </c>
      <c r="G81" s="28">
        <v>1</v>
      </c>
      <c r="H81" s="28">
        <v>1</v>
      </c>
      <c r="I81" s="29">
        <f t="shared" si="9"/>
        <v>50</v>
      </c>
      <c r="J81" s="29">
        <f t="shared" si="3"/>
        <v>50</v>
      </c>
      <c r="K81" s="29">
        <f t="shared" si="3"/>
        <v>50</v>
      </c>
      <c r="L81" s="31" t="str">
        <f>IF([5]商品具体设计!E24="","",[5]商品具体设计!E24)</f>
        <v>使用后获得10000刀币</v>
      </c>
    </row>
    <row r="82" spans="3:12" x14ac:dyDescent="0.15">
      <c r="C82" s="31">
        <f>IF([5]商品具体设计!B25="","",[5]商品具体设计!B25)</f>
        <v>21022</v>
      </c>
      <c r="D82" s="31" t="str">
        <f>IF([5]商品具体设计!C25="","",[5]商品具体设计!C25)</f>
        <v>一贯刀币</v>
      </c>
      <c r="E82" s="31">
        <f>IF([5]商品具体设计!D25="","",[5]商品具体设计!D25)</f>
        <v>150</v>
      </c>
      <c r="F82" s="28">
        <v>1</v>
      </c>
      <c r="G82" s="28">
        <v>1</v>
      </c>
      <c r="H82" s="28">
        <v>1</v>
      </c>
      <c r="I82" s="29">
        <f t="shared" si="9"/>
        <v>150</v>
      </c>
      <c r="J82" s="29">
        <f t="shared" si="3"/>
        <v>150</v>
      </c>
      <c r="K82" s="29">
        <f t="shared" si="3"/>
        <v>150</v>
      </c>
      <c r="L82" s="31" t="str">
        <f>IF([5]商品具体设计!E25="","",[5]商品具体设计!E25)</f>
        <v>使用后获得50000刀币</v>
      </c>
    </row>
    <row r="83" spans="3:12" x14ac:dyDescent="0.15">
      <c r="C83" s="31">
        <f>IF([5]商品具体设计!B26="","",[5]商品具体设计!B26)</f>
        <v>21023</v>
      </c>
      <c r="D83" s="31" t="str">
        <f>IF([5]商品具体设计!C26="","",[5]商品具体设计!C26)</f>
        <v>一袋刀币</v>
      </c>
      <c r="E83" s="31">
        <f>IF([5]商品具体设计!D26="","",[5]商品具体设计!D26)</f>
        <v>300</v>
      </c>
      <c r="F83" s="28">
        <v>1.5</v>
      </c>
      <c r="G83" s="28">
        <v>1</v>
      </c>
      <c r="H83" s="28">
        <v>1</v>
      </c>
      <c r="I83" s="29">
        <f t="shared" si="9"/>
        <v>450</v>
      </c>
      <c r="J83" s="29">
        <f t="shared" si="3"/>
        <v>300</v>
      </c>
      <c r="K83" s="29">
        <f t="shared" si="3"/>
        <v>300</v>
      </c>
      <c r="L83" s="31" t="str">
        <f>IF([5]商品具体设计!E26="","",[5]商品具体设计!E26)</f>
        <v>使用后获得150000刀币</v>
      </c>
    </row>
    <row r="84" spans="3:12" x14ac:dyDescent="0.15">
      <c r="C84" s="31" t="str">
        <f>IF([5]商品具体设计!B27="","",[5]商品具体设计!B27)</f>
        <v/>
      </c>
      <c r="D84" s="31" t="str">
        <f>IF([5]商品具体设计!C27="","",[5]商品具体设计!C27)</f>
        <v/>
      </c>
      <c r="E84" s="31">
        <f>IF([5]商品具体设计!D27="","",[5]商品具体设计!D27)</f>
        <v>800</v>
      </c>
      <c r="F84" s="28">
        <v>1.875</v>
      </c>
      <c r="G84" s="28">
        <v>1.25</v>
      </c>
      <c r="H84" s="28">
        <v>1</v>
      </c>
      <c r="I84" s="29">
        <f t="shared" si="9"/>
        <v>1500</v>
      </c>
      <c r="J84" s="29">
        <f t="shared" si="3"/>
        <v>1000</v>
      </c>
      <c r="K84" s="29">
        <f t="shared" si="3"/>
        <v>800</v>
      </c>
      <c r="L84" s="31" t="str">
        <f>IF([5]商品具体设计!E27="","",[5]商品具体设计!E27)</f>
        <v>使用后获得500000刀币</v>
      </c>
    </row>
    <row r="85" spans="3:12" x14ac:dyDescent="0.15">
      <c r="C85" s="31">
        <f>IF([5]商品具体设计!B28="","",[5]商品具体设计!B28)</f>
        <v>21024</v>
      </c>
      <c r="D85" s="31" t="str">
        <f>IF([5]商品具体设计!C28="","",[5]商品具体设计!C28)</f>
        <v>普通资源自选宝箱</v>
      </c>
      <c r="E85" s="31">
        <f>IF([5]商品具体设计!D28="","",[5]商品具体设计!D28)</f>
        <v>6</v>
      </c>
      <c r="F85" s="28">
        <v>1</v>
      </c>
      <c r="G85" s="28">
        <v>1</v>
      </c>
      <c r="H85" s="28">
        <v>1</v>
      </c>
      <c r="I85" s="29">
        <f t="shared" si="9"/>
        <v>6</v>
      </c>
      <c r="J85" s="29">
        <f t="shared" si="3"/>
        <v>6</v>
      </c>
      <c r="K85" s="29">
        <f t="shared" si="3"/>
        <v>6</v>
      </c>
      <c r="L85" s="31" t="str">
        <f>IF([5]商品具体设计!E28="","",[5]商品具体设计!E28)</f>
        <v>使用后可选择获得10000资源(可选择资源类型：粮食、木材、石料和铜矿)</v>
      </c>
    </row>
    <row r="86" spans="3:12" x14ac:dyDescent="0.15">
      <c r="C86" s="31">
        <f>IF([5]商品具体设计!B29="","",[5]商品具体设计!B29)</f>
        <v>21025</v>
      </c>
      <c r="D86" s="31" t="str">
        <f>IF([5]商品具体设计!C29="","",[5]商品具体设计!C29)</f>
        <v>初级资源自选宝箱</v>
      </c>
      <c r="E86" s="31">
        <f>IF([5]商品具体设计!D29="","",[5]商品具体设计!D29)</f>
        <v>20</v>
      </c>
      <c r="F86" s="28">
        <v>1</v>
      </c>
      <c r="G86" s="28">
        <v>1</v>
      </c>
      <c r="H86" s="28">
        <v>1</v>
      </c>
      <c r="I86" s="29">
        <f t="shared" si="9"/>
        <v>20</v>
      </c>
      <c r="J86" s="29">
        <f t="shared" si="3"/>
        <v>20</v>
      </c>
      <c r="K86" s="29">
        <f t="shared" si="3"/>
        <v>20</v>
      </c>
      <c r="L86" s="31" t="str">
        <f>IF([5]商品具体设计!E29="","",[5]商品具体设计!E29)</f>
        <v>使用后可选择获得50000资源(可选择资源类型：粮食、木材、石料和铜矿)</v>
      </c>
    </row>
    <row r="87" spans="3:12" x14ac:dyDescent="0.15">
      <c r="C87" s="31">
        <f>IF([5]商品具体设计!B30="","",[5]商品具体设计!B30)</f>
        <v>21026</v>
      </c>
      <c r="D87" s="31" t="str">
        <f>IF([5]商品具体设计!C30="","",[5]商品具体设计!C30)</f>
        <v>中级资源自选宝箱</v>
      </c>
      <c r="E87" s="31">
        <f>IF([5]商品具体设计!D30="","",[5]商品具体设计!D30)</f>
        <v>45</v>
      </c>
      <c r="F87" s="28">
        <v>1.333</v>
      </c>
      <c r="G87" s="28">
        <v>1</v>
      </c>
      <c r="H87" s="28">
        <v>1</v>
      </c>
      <c r="I87" s="29">
        <f t="shared" si="9"/>
        <v>59.984999999999999</v>
      </c>
      <c r="J87" s="29">
        <f t="shared" si="3"/>
        <v>45</v>
      </c>
      <c r="K87" s="29">
        <f t="shared" si="3"/>
        <v>45</v>
      </c>
      <c r="L87" s="31" t="str">
        <f>IF([5]商品具体设计!E30="","",[5]商品具体设计!E30)</f>
        <v>使用后可选择获得150000资源(可选择资源类型：粮食、木材、石料和铜矿)</v>
      </c>
    </row>
    <row r="88" spans="3:12" x14ac:dyDescent="0.15">
      <c r="C88" s="31">
        <f>IF([5]商品具体设计!B31="","",[5]商品具体设计!B31)</f>
        <v>21027</v>
      </c>
      <c r="D88" s="31" t="str">
        <f>IF([5]商品具体设计!C31="","",[5]商品具体设计!C31)</f>
        <v>高级资源自选宝箱</v>
      </c>
      <c r="E88" s="31">
        <f>IF([5]商品具体设计!D31="","",[5]商品具体设计!D31)</f>
        <v>100</v>
      </c>
      <c r="F88" s="28">
        <v>2</v>
      </c>
      <c r="G88" s="28">
        <v>1.5</v>
      </c>
      <c r="H88" s="28">
        <v>1</v>
      </c>
      <c r="I88" s="29">
        <f t="shared" si="9"/>
        <v>200</v>
      </c>
      <c r="J88" s="29">
        <f t="shared" si="3"/>
        <v>150</v>
      </c>
      <c r="K88" s="29">
        <f t="shared" si="3"/>
        <v>100</v>
      </c>
      <c r="L88" s="31" t="str">
        <f>IF([5]商品具体设计!E31="","",[5]商品具体设计!E31)</f>
        <v>使用后可选择获得500000资源(可选择资源类型：粮食、木材、石料和铜矿)</v>
      </c>
    </row>
    <row r="89" spans="3:12" x14ac:dyDescent="0.15">
      <c r="C89" s="31">
        <f>IF([5]商品具体设计!B32="","",[5]商品具体设计!B32)</f>
        <v>21031</v>
      </c>
      <c r="D89" s="31" t="str">
        <f>IF([5]商品具体设计!C32="","",[5]商品具体设计!C32)</f>
        <v>普通资源宝箱</v>
      </c>
      <c r="E89" s="31">
        <f>IF([5]商品具体设计!D32="","",[5]商品具体设计!D32)</f>
        <v>30</v>
      </c>
      <c r="F89" s="28">
        <v>1</v>
      </c>
      <c r="G89" s="28">
        <v>1</v>
      </c>
      <c r="H89" s="28">
        <v>1</v>
      </c>
      <c r="I89" s="29">
        <f t="shared" si="9"/>
        <v>30</v>
      </c>
      <c r="J89" s="29">
        <f t="shared" si="3"/>
        <v>30</v>
      </c>
      <c r="K89" s="29">
        <f t="shared" si="3"/>
        <v>30</v>
      </c>
      <c r="L89" s="31" t="str">
        <f>IF([5]商品具体设计!E32="","",[5]商品具体设计!E32)</f>
        <v>使用后直接获得10000粮食、木材、石料和铜矿</v>
      </c>
    </row>
    <row r="90" spans="3:12" x14ac:dyDescent="0.15">
      <c r="C90" s="31">
        <f>IF([5]商品具体设计!B33="","",[5]商品具体设计!B33)</f>
        <v>21032</v>
      </c>
      <c r="D90" s="31" t="str">
        <f>IF([5]商品具体设计!C33="","",[5]商品具体设计!C33)</f>
        <v>初级资源宝箱</v>
      </c>
      <c r="E90" s="31">
        <f>IF([5]商品具体设计!D33="","",[5]商品具体设计!D33)</f>
        <v>80</v>
      </c>
      <c r="F90" s="28">
        <v>1</v>
      </c>
      <c r="G90" s="28">
        <v>1</v>
      </c>
      <c r="H90" s="28">
        <v>1</v>
      </c>
      <c r="I90" s="29">
        <f t="shared" si="9"/>
        <v>80</v>
      </c>
      <c r="J90" s="29">
        <f t="shared" si="3"/>
        <v>80</v>
      </c>
      <c r="K90" s="29">
        <f t="shared" si="3"/>
        <v>80</v>
      </c>
      <c r="L90" s="31" t="str">
        <f>IF([5]商品具体设计!E33="","",[5]商品具体设计!E33)</f>
        <v>使用后直接获得50000粮食、木材、石料和铜矿</v>
      </c>
    </row>
    <row r="91" spans="3:12" x14ac:dyDescent="0.15">
      <c r="C91" s="31">
        <f>IF([5]商品具体设计!B34="","",[5]商品具体设计!B34)</f>
        <v>21033</v>
      </c>
      <c r="D91" s="31" t="str">
        <f>IF([5]商品具体设计!C34="","",[5]商品具体设计!C34)</f>
        <v>中级资源宝箱</v>
      </c>
      <c r="E91" s="31">
        <f>IF([5]商品具体设计!D34="","",[5]商品具体设计!D34)</f>
        <v>180</v>
      </c>
      <c r="F91" s="28">
        <v>1.333</v>
      </c>
      <c r="G91" s="28">
        <v>1</v>
      </c>
      <c r="H91" s="28">
        <v>1</v>
      </c>
      <c r="I91" s="29">
        <f t="shared" si="9"/>
        <v>239.94</v>
      </c>
      <c r="J91" s="29">
        <f t="shared" si="3"/>
        <v>180</v>
      </c>
      <c r="K91" s="29">
        <f t="shared" si="3"/>
        <v>180</v>
      </c>
      <c r="L91" s="31" t="str">
        <f>IF([5]商品具体设计!E34="","",[5]商品具体设计!E34)</f>
        <v>使用后直接获得150000粮食、木材、石料和铜矿</v>
      </c>
    </row>
    <row r="92" spans="3:12" x14ac:dyDescent="0.15">
      <c r="C92" s="31">
        <f>IF([5]商品具体设计!B35="","",[5]商品具体设计!B35)</f>
        <v>21034</v>
      </c>
      <c r="D92" s="31" t="str">
        <f>IF([5]商品具体设计!C35="","",[5]商品具体设计!C35)</f>
        <v>高级资源宝箱</v>
      </c>
      <c r="E92" s="31">
        <f>IF([5]商品具体设计!D35="","",[5]商品具体设计!D35)</f>
        <v>400</v>
      </c>
      <c r="F92" s="28">
        <v>2</v>
      </c>
      <c r="G92" s="28">
        <v>1.5</v>
      </c>
      <c r="H92" s="28">
        <v>1</v>
      </c>
      <c r="I92" s="29">
        <f t="shared" si="9"/>
        <v>800</v>
      </c>
      <c r="J92" s="29">
        <f t="shared" si="3"/>
        <v>600</v>
      </c>
      <c r="K92" s="29">
        <f t="shared" si="3"/>
        <v>400</v>
      </c>
      <c r="L92" s="31" t="str">
        <f>IF([5]商品具体设计!E35="","",[5]商品具体设计!E35)</f>
        <v>使用后直接获得500000粮食、木材、石料和铜矿</v>
      </c>
    </row>
    <row r="93" spans="3:12" x14ac:dyDescent="0.15">
      <c r="C93" s="31" t="str">
        <f>IF([5]商品具体设计!B36="","",[5]商品具体设计!B36)</f>
        <v/>
      </c>
      <c r="D93" s="31" t="str">
        <f>IF([5]商品具体设计!C36="","",[5]商品具体设计!C36)</f>
        <v/>
      </c>
      <c r="E93" s="31" t="str">
        <f>IF([5]商品具体设计!D36="","",[5]商品具体设计!D36)</f>
        <v/>
      </c>
      <c r="I93" s="29" t="str">
        <f t="shared" si="9"/>
        <v/>
      </c>
      <c r="J93" s="29" t="str">
        <f t="shared" si="3"/>
        <v/>
      </c>
      <c r="K93" s="29" t="str">
        <f t="shared" si="3"/>
        <v/>
      </c>
      <c r="L93" s="31" t="str">
        <f>IF([5]商品具体设计!E36="","",[5]商品具体设计!E36)</f>
        <v/>
      </c>
    </row>
    <row r="94" spans="3:12" x14ac:dyDescent="0.15">
      <c r="C94" s="31">
        <f>IF([5]商品具体设计!B37="","",[5]商品具体设计!B37)</f>
        <v>21061</v>
      </c>
      <c r="D94" s="31" t="str">
        <f>IF([5]商品具体设计!C37="","",[5]商品具体设计!C37)</f>
        <v>初级经验书</v>
      </c>
      <c r="E94" s="31">
        <f>IF([5]商品具体设计!D37="","",[5]商品具体设计!D37)</f>
        <v>2</v>
      </c>
      <c r="F94" s="28">
        <v>1</v>
      </c>
      <c r="G94" s="28">
        <v>1</v>
      </c>
      <c r="H94" s="28">
        <v>1</v>
      </c>
      <c r="I94" s="29">
        <f t="shared" si="9"/>
        <v>2</v>
      </c>
      <c r="J94" s="29">
        <f t="shared" si="3"/>
        <v>2</v>
      </c>
      <c r="K94" s="29">
        <f t="shared" si="3"/>
        <v>2</v>
      </c>
      <c r="L94" s="31" t="str">
        <f>IF([5]商品具体设计!E37="","",[5]商品具体设计!E37)</f>
        <v>武将使用后获得200经验</v>
      </c>
    </row>
    <row r="95" spans="3:12" x14ac:dyDescent="0.15">
      <c r="C95" s="31">
        <f>IF([5]商品具体设计!B38="","",[5]商品具体设计!B38)</f>
        <v>21062</v>
      </c>
      <c r="D95" s="31" t="str">
        <f>IF([5]商品具体设计!C38="","",[5]商品具体设计!C38)</f>
        <v>中级经验书</v>
      </c>
      <c r="E95" s="31">
        <f>IF([5]商品具体设计!D38="","",[5]商品具体设计!D38)</f>
        <v>5</v>
      </c>
      <c r="F95" s="28">
        <v>1</v>
      </c>
      <c r="G95" s="28">
        <v>1</v>
      </c>
      <c r="H95" s="28">
        <v>1</v>
      </c>
      <c r="I95" s="29">
        <f t="shared" si="9"/>
        <v>5</v>
      </c>
      <c r="J95" s="29">
        <f t="shared" si="3"/>
        <v>5</v>
      </c>
      <c r="K95" s="29">
        <f t="shared" si="3"/>
        <v>5</v>
      </c>
      <c r="L95" s="31" t="str">
        <f>IF([5]商品具体设计!E38="","",[5]商品具体设计!E38)</f>
        <v>武将使用后获得1000经验</v>
      </c>
    </row>
    <row r="96" spans="3:12" x14ac:dyDescent="0.15">
      <c r="C96" s="31">
        <f>IF([5]商品具体设计!B39="","",[5]商品具体设计!B39)</f>
        <v>21063</v>
      </c>
      <c r="D96" s="31" t="str">
        <f>IF([5]商品具体设计!C39="","",[5]商品具体设计!C39)</f>
        <v>高级经验书</v>
      </c>
      <c r="E96" s="31">
        <f>IF([5]商品具体设计!D39="","",[5]商品具体设计!D39)</f>
        <v>10</v>
      </c>
      <c r="F96" s="28">
        <v>1</v>
      </c>
      <c r="G96" s="28">
        <v>1</v>
      </c>
      <c r="H96" s="28">
        <v>1</v>
      </c>
      <c r="I96" s="29">
        <f t="shared" si="9"/>
        <v>10</v>
      </c>
      <c r="J96" s="29">
        <f t="shared" si="3"/>
        <v>10</v>
      </c>
      <c r="K96" s="29">
        <f t="shared" si="3"/>
        <v>10</v>
      </c>
      <c r="L96" s="31" t="str">
        <f>IF([5]商品具体设计!E39="","",[5]商品具体设计!E39)</f>
        <v>武将使用后获得5000经验</v>
      </c>
    </row>
    <row r="97" spans="3:12" x14ac:dyDescent="0.15">
      <c r="C97" s="31">
        <f>IF([5]商品具体设计!B40="","",[5]商品具体设计!B40)</f>
        <v>21064</v>
      </c>
      <c r="D97" s="31" t="str">
        <f>IF([5]商品具体设计!C40="","",[5]商品具体设计!C40)</f>
        <v>特级经验书</v>
      </c>
      <c r="E97" s="31">
        <f>IF([5]商品具体设计!D40="","",[5]商品具体设计!D40)</f>
        <v>20</v>
      </c>
      <c r="F97" s="28">
        <v>2</v>
      </c>
      <c r="G97" s="28">
        <v>1</v>
      </c>
      <c r="H97" s="28">
        <v>1</v>
      </c>
      <c r="I97" s="29">
        <f t="shared" si="9"/>
        <v>40</v>
      </c>
      <c r="J97" s="29">
        <f t="shared" si="3"/>
        <v>20</v>
      </c>
      <c r="K97" s="29">
        <f t="shared" si="3"/>
        <v>20</v>
      </c>
      <c r="L97" s="31" t="str">
        <f>IF([5]商品具体设计!E40="","",[5]商品具体设计!E40)</f>
        <v>武将使用后获得20000经验</v>
      </c>
    </row>
    <row r="98" spans="3:12" x14ac:dyDescent="0.15">
      <c r="C98" s="31">
        <f>IF([5]商品具体设计!B41="","",[5]商品具体设计!B41)</f>
        <v>21065</v>
      </c>
      <c r="D98" s="31" t="str">
        <f>IF([5]商品具体设计!C41="","",[5]商品具体设计!C41)</f>
        <v>超级经验书</v>
      </c>
      <c r="E98" s="31">
        <f>IF([5]商品具体设计!D41="","",[5]商品具体设计!D41)</f>
        <v>40</v>
      </c>
      <c r="F98" s="28">
        <v>5</v>
      </c>
      <c r="G98" s="28">
        <v>2.5</v>
      </c>
      <c r="H98" s="28">
        <v>1</v>
      </c>
      <c r="I98" s="29">
        <f t="shared" si="9"/>
        <v>200</v>
      </c>
      <c r="J98" s="29">
        <f t="shared" si="3"/>
        <v>100</v>
      </c>
      <c r="K98" s="29">
        <f t="shared" si="3"/>
        <v>40</v>
      </c>
      <c r="L98" s="31" t="str">
        <f>IF([5]商品具体设计!E41="","",[5]商品具体设计!E41)</f>
        <v>武将使用后获得100000经验</v>
      </c>
    </row>
    <row r="99" spans="3:12" x14ac:dyDescent="0.15">
      <c r="C99" s="31" t="str">
        <f>IF([5]商品具体设计!B42="","",[5]商品具体设计!B42)</f>
        <v/>
      </c>
      <c r="D99" s="31" t="str">
        <f>IF([5]商品具体设计!C42="","",[5]商品具体设计!C42)</f>
        <v/>
      </c>
      <c r="E99" s="31" t="str">
        <f>IF([5]商品具体设计!D42="","",[5]商品具体设计!D42)</f>
        <v/>
      </c>
      <c r="I99" s="29" t="str">
        <f t="shared" si="9"/>
        <v/>
      </c>
      <c r="J99" s="29" t="str">
        <f t="shared" si="3"/>
        <v/>
      </c>
      <c r="K99" s="29" t="str">
        <f t="shared" si="3"/>
        <v/>
      </c>
      <c r="L99" s="31" t="str">
        <f>IF([5]商品具体设计!E42="","",[5]商品具体设计!E42)</f>
        <v/>
      </c>
    </row>
    <row r="100" spans="3:12" x14ac:dyDescent="0.15">
      <c r="C100" s="31">
        <f>IF([5]商品具体设计!B43="","",[5]商品具体设计!B43)</f>
        <v>21073</v>
      </c>
      <c r="D100" s="31" t="str">
        <f>IF([5]商品具体设计!C43="","",[5]商品具体设计!C43)</f>
        <v>1个行军令</v>
      </c>
      <c r="E100" s="31">
        <f>IF([5]商品具体设计!D43="","",[5]商品具体设计!D43)</f>
        <v>75</v>
      </c>
      <c r="F100" s="28">
        <v>1</v>
      </c>
      <c r="G100" s="28">
        <v>1</v>
      </c>
      <c r="H100" s="28">
        <v>1</v>
      </c>
      <c r="I100" s="29">
        <f t="shared" si="9"/>
        <v>75</v>
      </c>
      <c r="J100" s="29">
        <f t="shared" si="3"/>
        <v>75</v>
      </c>
      <c r="K100" s="29">
        <f t="shared" si="3"/>
        <v>75</v>
      </c>
      <c r="L100" s="31" t="str">
        <f>IF([5]商品具体设计!E43="","",[5]商品具体设计!E43)</f>
        <v>使用后获得1个行军令</v>
      </c>
    </row>
    <row r="101" spans="3:12" x14ac:dyDescent="0.15">
      <c r="C101" s="31">
        <f>IF([5]商品具体设计!B44="","",[5]商品具体设计!B44)</f>
        <v>21074</v>
      </c>
      <c r="D101" s="31" t="str">
        <f>IF([5]商品具体设计!C44="","",[5]商品具体设计!C44)</f>
        <v>大捆行军令</v>
      </c>
      <c r="E101" s="31">
        <f>IF([5]商品具体设计!D44="","",[5]商品具体设计!D44)</f>
        <v>225</v>
      </c>
      <c r="F101" s="28">
        <v>1</v>
      </c>
      <c r="G101" s="28">
        <v>1</v>
      </c>
      <c r="H101" s="28">
        <v>1</v>
      </c>
      <c r="I101" s="29">
        <f t="shared" si="9"/>
        <v>225</v>
      </c>
      <c r="J101" s="29">
        <f t="shared" si="3"/>
        <v>225</v>
      </c>
      <c r="K101" s="29">
        <f t="shared" si="3"/>
        <v>225</v>
      </c>
      <c r="L101" s="31" t="str">
        <f>IF([5]商品具体设计!E44="","",[5]商品具体设计!E44)</f>
        <v>使用后获得3个行军令</v>
      </c>
    </row>
    <row r="102" spans="3:12" x14ac:dyDescent="0.15">
      <c r="C102" s="31" t="str">
        <f>IF([5]商品具体设计!B45="","",[5]商品具体设计!B45)</f>
        <v/>
      </c>
      <c r="D102" s="31" t="str">
        <f>IF([5]商品具体设计!C45="","",[5]商品具体设计!C45)</f>
        <v/>
      </c>
      <c r="E102" s="31" t="str">
        <f>IF([5]商品具体设计!D45="","",[5]商品具体设计!D45)</f>
        <v/>
      </c>
      <c r="I102" s="29" t="str">
        <f t="shared" si="9"/>
        <v/>
      </c>
      <c r="J102" s="29" t="str">
        <f t="shared" si="3"/>
        <v/>
      </c>
      <c r="K102" s="29" t="str">
        <f t="shared" si="3"/>
        <v/>
      </c>
      <c r="L102" s="31" t="str">
        <f>IF([5]商品具体设计!E45="","",[5]商品具体设计!E45)</f>
        <v/>
      </c>
    </row>
    <row r="103" spans="3:12" x14ac:dyDescent="0.15">
      <c r="C103" s="31">
        <f>IF([5]商品具体设计!B46="","",[5]商品具体设计!B46)</f>
        <v>21081</v>
      </c>
      <c r="D103" s="31" t="str">
        <f>IF([5]商品具体设计!C46="","",[5]商品具体设计!C46)</f>
        <v>木材增产令</v>
      </c>
      <c r="E103" s="31">
        <f>IF([5]商品具体设计!D46="","",[5]商品具体设计!D46)</f>
        <v>35</v>
      </c>
      <c r="F103" s="28">
        <v>1</v>
      </c>
      <c r="G103" s="28">
        <v>1</v>
      </c>
      <c r="H103" s="28">
        <v>1</v>
      </c>
      <c r="I103" s="29">
        <f t="shared" si="9"/>
        <v>35</v>
      </c>
      <c r="J103" s="29">
        <f t="shared" si="3"/>
        <v>35</v>
      </c>
      <c r="K103" s="29">
        <f t="shared" si="3"/>
        <v>35</v>
      </c>
      <c r="L103" s="31" t="str">
        <f>IF([5]商品具体设计!E46="","",[5]商品具体设计!E46)</f>
        <v>使用后伐木场产量提高50%，持续12小时</v>
      </c>
    </row>
    <row r="104" spans="3:12" x14ac:dyDescent="0.15">
      <c r="C104" s="31">
        <f>IF([5]商品具体设计!B47="","",[5]商品具体设计!B47)</f>
        <v>21082</v>
      </c>
      <c r="D104" s="31" t="str">
        <f>IF([5]商品具体设计!C47="","",[5]商品具体设计!C47)</f>
        <v>铁矿增产令</v>
      </c>
      <c r="E104" s="31">
        <f>IF([5]商品具体设计!D47="","",[5]商品具体设计!D47)</f>
        <v>50</v>
      </c>
      <c r="F104" s="28">
        <v>1</v>
      </c>
      <c r="G104" s="28">
        <v>1</v>
      </c>
      <c r="H104" s="28">
        <v>1</v>
      </c>
      <c r="I104" s="29">
        <f t="shared" si="9"/>
        <v>50</v>
      </c>
      <c r="J104" s="29">
        <f t="shared" si="3"/>
        <v>50</v>
      </c>
      <c r="K104" s="29">
        <f t="shared" si="3"/>
        <v>50</v>
      </c>
      <c r="L104" s="31" t="str">
        <f>IF([5]商品具体设计!E47="","",[5]商品具体设计!E47)</f>
        <v>使用后冶炼厂产量提高50%，持续12小时</v>
      </c>
    </row>
    <row r="105" spans="3:12" x14ac:dyDescent="0.15">
      <c r="C105" s="31">
        <f>IF([5]商品具体设计!B48="","",[5]商品具体设计!B48)</f>
        <v>21083</v>
      </c>
      <c r="D105" s="31" t="str">
        <f>IF([5]商品具体设计!C48="","",[5]商品具体设计!C48)</f>
        <v>石料增产令</v>
      </c>
      <c r="E105" s="31">
        <f>IF([5]商品具体设计!D48="","",[5]商品具体设计!D48)</f>
        <v>35</v>
      </c>
      <c r="F105" s="28">
        <v>1</v>
      </c>
      <c r="G105" s="28">
        <v>1</v>
      </c>
      <c r="H105" s="28">
        <v>1</v>
      </c>
      <c r="I105" s="29">
        <f t="shared" si="9"/>
        <v>35</v>
      </c>
      <c r="J105" s="29">
        <f t="shared" si="3"/>
        <v>35</v>
      </c>
      <c r="K105" s="29">
        <f t="shared" si="3"/>
        <v>35</v>
      </c>
      <c r="L105" s="31" t="str">
        <f>IF([5]商品具体设计!E48="","",[5]商品具体设计!E48)</f>
        <v>使用后采石场产量提高50%，持续12小时</v>
      </c>
    </row>
    <row r="106" spans="3:12" x14ac:dyDescent="0.15">
      <c r="C106" s="31">
        <f>IF([5]商品具体设计!B49="","",[5]商品具体设计!B49)</f>
        <v>21084</v>
      </c>
      <c r="D106" s="31" t="str">
        <f>IF([5]商品具体设计!C49="","",[5]商品具体设计!C49)</f>
        <v>粮食增产令</v>
      </c>
      <c r="E106" s="31">
        <f>IF([5]商品具体设计!D49="","",[5]商品具体设计!D49)</f>
        <v>35</v>
      </c>
      <c r="F106" s="28">
        <v>1</v>
      </c>
      <c r="G106" s="28">
        <v>1</v>
      </c>
      <c r="H106" s="28">
        <v>1</v>
      </c>
      <c r="I106" s="29">
        <f t="shared" si="9"/>
        <v>35</v>
      </c>
      <c r="J106" s="29">
        <f t="shared" si="3"/>
        <v>35</v>
      </c>
      <c r="K106" s="29">
        <f t="shared" si="3"/>
        <v>35</v>
      </c>
      <c r="L106" s="31" t="str">
        <f>IF([5]商品具体设计!E49="","",[5]商品具体设计!E49)</f>
        <v>使用后农田产量提高50%，持续12小时</v>
      </c>
    </row>
    <row r="107" spans="3:12" x14ac:dyDescent="0.15">
      <c r="C107" s="31">
        <f>IF([5]商品具体设计!B50="","",[5]商品具体设计!B50)</f>
        <v>21085</v>
      </c>
      <c r="D107" s="31" t="str">
        <f>IF([5]商品具体设计!C50="","",[5]商品具体设计!C50)</f>
        <v>赋税增收令</v>
      </c>
      <c r="E107" s="31">
        <f>IF([5]商品具体设计!D50="","",[5]商品具体设计!D50)</f>
        <v>85</v>
      </c>
      <c r="F107" s="28">
        <v>1</v>
      </c>
      <c r="G107" s="28">
        <v>1</v>
      </c>
      <c r="H107" s="28">
        <v>1</v>
      </c>
      <c r="I107" s="29">
        <f t="shared" si="9"/>
        <v>85</v>
      </c>
      <c r="J107" s="29">
        <f t="shared" si="3"/>
        <v>85</v>
      </c>
      <c r="K107" s="29">
        <f t="shared" si="3"/>
        <v>85</v>
      </c>
      <c r="L107" s="31" t="str">
        <f>IF([5]商品具体设计!E50="","",[5]商品具体设计!E50)</f>
        <v>使用后民居税收提高25%，持续12小时</v>
      </c>
    </row>
    <row r="108" spans="3:12" x14ac:dyDescent="0.15">
      <c r="C108" s="31">
        <f>IF([5]商品具体设计!B51="","",[5]商品具体设计!B51)</f>
        <v>21086</v>
      </c>
      <c r="D108" s="31" t="str">
        <f>IF([5]商品具体设计!C51="","",[5]商品具体设计!C51)</f>
        <v>铜矿增产令</v>
      </c>
      <c r="E108" s="31">
        <f>IF([5]商品具体设计!D51="","",[5]商品具体设计!D51)</f>
        <v>35</v>
      </c>
      <c r="F108" s="28">
        <v>1</v>
      </c>
      <c r="G108" s="28">
        <v>1</v>
      </c>
      <c r="H108" s="28">
        <v>1</v>
      </c>
      <c r="I108" s="29">
        <f t="shared" si="9"/>
        <v>35</v>
      </c>
      <c r="J108" s="29">
        <f t="shared" si="3"/>
        <v>35</v>
      </c>
      <c r="K108" s="29">
        <f t="shared" si="3"/>
        <v>35</v>
      </c>
      <c r="L108" s="31" t="str">
        <f>IF([5]商品具体设计!E51="","",[5]商品具体设计!E51)</f>
        <v>使用后铜矿产量提高50%，持续12小时</v>
      </c>
    </row>
    <row r="109" spans="3:12" x14ac:dyDescent="0.15">
      <c r="C109" s="31" t="str">
        <f>IF([5]商品具体设计!B52="","",[5]商品具体设计!B52)</f>
        <v/>
      </c>
      <c r="D109" s="31" t="str">
        <f>IF([5]商品具体设计!C52="","",[5]商品具体设计!C52)</f>
        <v/>
      </c>
      <c r="E109" s="31" t="str">
        <f>IF([5]商品具体设计!D52="","",[5]商品具体设计!D52)</f>
        <v/>
      </c>
      <c r="I109" s="29" t="str">
        <f t="shared" si="9"/>
        <v/>
      </c>
      <c r="J109" s="29" t="str">
        <f t="shared" si="3"/>
        <v/>
      </c>
      <c r="K109" s="29" t="str">
        <f t="shared" si="3"/>
        <v/>
      </c>
      <c r="L109" s="31" t="str">
        <f>IF([5]商品具体设计!E52="","",[5]商品具体设计!E52)</f>
        <v/>
      </c>
    </row>
    <row r="110" spans="3:12" x14ac:dyDescent="0.15">
      <c r="C110" s="31">
        <f>IF([5]商品具体设计!B53="","",[5]商品具体设计!B53)</f>
        <v>21100</v>
      </c>
      <c r="D110" s="31" t="str">
        <f>IF([5]商品具体设计!C53="","",[5]商品具体设计!C53)</f>
        <v>免战牌</v>
      </c>
      <c r="E110" s="31">
        <f>IF([5]商品具体设计!D53="","",[5]商品具体设计!D53)</f>
        <v>100</v>
      </c>
      <c r="F110" s="28">
        <v>1</v>
      </c>
      <c r="G110" s="28">
        <v>1</v>
      </c>
      <c r="H110" s="28">
        <v>1</v>
      </c>
      <c r="I110" s="29">
        <f t="shared" si="9"/>
        <v>100</v>
      </c>
      <c r="J110" s="29">
        <f t="shared" si="3"/>
        <v>100</v>
      </c>
      <c r="K110" s="29">
        <f t="shared" si="3"/>
        <v>100</v>
      </c>
      <c r="L110" s="31" t="str">
        <f>IF([5]商品具体设计!E53="","",[5]商品具体设计!E53)</f>
        <v>使用后城池不会遭受来自玩家的攻击，主动进攻玩家后失效，持续8小时</v>
      </c>
    </row>
    <row r="111" spans="3:12" x14ac:dyDescent="0.15">
      <c r="C111" s="31">
        <f>IF([5]商品具体设计!B54="","",[5]商品具体设计!B54)</f>
        <v>21101</v>
      </c>
      <c r="D111" s="31" t="str">
        <f>IF([5]商品具体设计!C54="","",[5]商品具体设计!C54)</f>
        <v>普通点将牌</v>
      </c>
      <c r="E111" s="31">
        <f>IF([5]商品具体设计!D54="","",[5]商品具体设计!D54)</f>
        <v>65</v>
      </c>
      <c r="F111" s="28">
        <v>1</v>
      </c>
      <c r="G111" s="28">
        <v>1</v>
      </c>
      <c r="H111" s="28">
        <v>1</v>
      </c>
      <c r="I111" s="29">
        <f t="shared" si="9"/>
        <v>65</v>
      </c>
      <c r="J111" s="29">
        <f t="shared" si="3"/>
        <v>65</v>
      </c>
      <c r="K111" s="29">
        <f t="shared" si="3"/>
        <v>65</v>
      </c>
      <c r="L111" s="31" t="str">
        <f>IF([5]商品具体设计!E54="","",[5]商品具体设计!E54)</f>
        <v>点将台普通招募时消耗的令牌</v>
      </c>
    </row>
    <row r="112" spans="3:12" x14ac:dyDescent="0.15">
      <c r="C112" s="31">
        <f>IF([5]商品具体设计!B55="","",[5]商品具体设计!B55)</f>
        <v>21102</v>
      </c>
      <c r="D112" s="31" t="str">
        <f>IF([5]商品具体设计!C55="","",[5]商品具体设计!C55)</f>
        <v>高级点将牌</v>
      </c>
      <c r="E112" s="31">
        <f>IF([5]商品具体设计!D55="","",[5]商品具体设计!D55)</f>
        <v>240</v>
      </c>
      <c r="F112" s="28">
        <v>1</v>
      </c>
      <c r="G112" s="28">
        <v>1</v>
      </c>
      <c r="H112" s="28">
        <v>1</v>
      </c>
      <c r="I112" s="29">
        <f t="shared" si="9"/>
        <v>240</v>
      </c>
      <c r="J112" s="29">
        <f t="shared" si="3"/>
        <v>240</v>
      </c>
      <c r="K112" s="29">
        <f t="shared" si="3"/>
        <v>240</v>
      </c>
      <c r="L112" s="31" t="str">
        <f>IF([5]商品具体设计!E55="","",[5]商品具体设计!E55)</f>
        <v>点将台高级招募时消耗的令牌</v>
      </c>
    </row>
    <row r="113" spans="3:12" x14ac:dyDescent="0.15">
      <c r="C113" s="31" t="str">
        <f>IF([5]商品具体设计!B56="","",[5]商品具体设计!B56)</f>
        <v/>
      </c>
      <c r="D113" s="31" t="str">
        <f>IF([5]商品具体设计!C56="","",[5]商品具体设计!C56)</f>
        <v>行军丸（旧版)</v>
      </c>
      <c r="E113" s="31" t="str">
        <f>IF([5]商品具体设计!D56="","",[5]商品具体设计!D56)</f>
        <v/>
      </c>
      <c r="I113" s="29" t="str">
        <f t="shared" si="9"/>
        <v/>
      </c>
      <c r="J113" s="29" t="str">
        <f t="shared" si="3"/>
        <v/>
      </c>
      <c r="K113" s="29" t="str">
        <f t="shared" si="3"/>
        <v/>
      </c>
      <c r="L113" s="31" t="str">
        <f>IF([5]商品具体设计!E56="","",[5]商品具体设计!E56)</f>
        <v>使用后每次可增加部队100%的行军速度</v>
      </c>
    </row>
    <row r="114" spans="3:12" x14ac:dyDescent="0.15">
      <c r="C114" s="31">
        <f>IF([5]商品具体设计!B57="","",[5]商品具体设计!B57)</f>
        <v>21104</v>
      </c>
      <c r="D114" s="31" t="str">
        <f>IF([5]商品具体设计!C57="","",[5]商品具体设计!C57)</f>
        <v>撤军令</v>
      </c>
      <c r="E114" s="31">
        <f>IF([5]商品具体设计!D57="","",[5]商品具体设计!D57)</f>
        <v>60</v>
      </c>
      <c r="F114" s="28">
        <v>1</v>
      </c>
      <c r="G114" s="28">
        <v>1</v>
      </c>
      <c r="H114" s="28">
        <v>1</v>
      </c>
      <c r="I114" s="29">
        <f t="shared" si="9"/>
        <v>60</v>
      </c>
      <c r="J114" s="29">
        <f t="shared" si="3"/>
        <v>60</v>
      </c>
      <c r="K114" s="29">
        <f t="shared" si="3"/>
        <v>60</v>
      </c>
      <c r="L114" s="31" t="str">
        <f>IF([5]商品具体设计!E57="","",[5]商品具体设计!E57)</f>
        <v>使用后使一支出征队伍立即撤军回城</v>
      </c>
    </row>
    <row r="115" spans="3:12" x14ac:dyDescent="0.15">
      <c r="C115" s="31" t="str">
        <f>IF([5]商品具体设计!B58="","",[5]商品具体设计!B58)</f>
        <v/>
      </c>
      <c r="D115" s="31" t="str">
        <f>IF([5]商品具体设计!C58="","",[5]商品具体设计!C58)</f>
        <v/>
      </c>
      <c r="E115" s="31" t="str">
        <f>IF([5]商品具体设计!D58="","",[5]商品具体设计!D58)</f>
        <v/>
      </c>
      <c r="I115" s="29" t="str">
        <f t="shared" si="9"/>
        <v/>
      </c>
      <c r="J115" s="29" t="str">
        <f t="shared" si="3"/>
        <v/>
      </c>
      <c r="K115" s="29" t="str">
        <f t="shared" si="3"/>
        <v/>
      </c>
      <c r="L115" s="31" t="str">
        <f>IF([5]商品具体设计!E58="","",[5]商品具体设计!E58)</f>
        <v/>
      </c>
    </row>
    <row r="116" spans="3:12" x14ac:dyDescent="0.15">
      <c r="C116" s="31">
        <f>IF([5]商品具体设计!B59="","",[5]商品具体设计!B59)</f>
        <v>21110</v>
      </c>
      <c r="D116" s="31" t="str">
        <f>IF([5]商品具体设计!C59="","",[5]商品具体设计!C59)</f>
        <v>城建1分钟加速令</v>
      </c>
      <c r="E116" s="31">
        <f>IF([5]商品具体设计!D59="","",[5]商品具体设计!D59)</f>
        <v>2</v>
      </c>
      <c r="F116" s="28">
        <v>1</v>
      </c>
      <c r="G116" s="28">
        <v>1</v>
      </c>
      <c r="H116" s="28">
        <v>1</v>
      </c>
      <c r="I116" s="29">
        <f t="shared" si="9"/>
        <v>2</v>
      </c>
      <c r="J116" s="29">
        <f t="shared" si="3"/>
        <v>2</v>
      </c>
      <c r="K116" s="29">
        <f t="shared" si="3"/>
        <v>2</v>
      </c>
      <c r="L116" s="31" t="str">
        <f>IF([5]商品具体设计!E59="","",[5]商品具体设计!E59)</f>
        <v>使用后城池建设加速1分钟</v>
      </c>
    </row>
    <row r="117" spans="3:12" x14ac:dyDescent="0.15">
      <c r="C117" s="31">
        <f>IF([5]商品具体设计!B60="","",[5]商品具体设计!B60)</f>
        <v>21111</v>
      </c>
      <c r="D117" s="31" t="str">
        <f>IF([5]商品具体设计!C60="","",[5]商品具体设计!C60)</f>
        <v>城建5分钟加速令</v>
      </c>
      <c r="E117" s="31">
        <f>IF([5]商品具体设计!D60="","",[5]商品具体设计!D60)</f>
        <v>8</v>
      </c>
      <c r="F117" s="28">
        <v>1</v>
      </c>
      <c r="G117" s="28">
        <v>1</v>
      </c>
      <c r="H117" s="28">
        <v>1</v>
      </c>
      <c r="I117" s="29">
        <f t="shared" si="9"/>
        <v>8</v>
      </c>
      <c r="J117" s="29">
        <f t="shared" si="3"/>
        <v>8</v>
      </c>
      <c r="K117" s="29">
        <f t="shared" si="3"/>
        <v>8</v>
      </c>
      <c r="L117" s="31" t="str">
        <f>IF([5]商品具体设计!E60="","",[5]商品具体设计!E60)</f>
        <v>使用后城池建设加速5分钟</v>
      </c>
    </row>
    <row r="118" spans="3:12" x14ac:dyDescent="0.15">
      <c r="C118" s="31">
        <f>IF([5]商品具体设计!B61="","",[5]商品具体设计!B61)</f>
        <v>21112</v>
      </c>
      <c r="D118" s="31" t="str">
        <f>IF([5]商品具体设计!C61="","",[5]商品具体设计!C61)</f>
        <v>城建20分钟加速令</v>
      </c>
      <c r="E118" s="31">
        <f>IF([5]商品具体设计!D61="","",[5]商品具体设计!D61)</f>
        <v>20</v>
      </c>
      <c r="F118" s="28">
        <v>1</v>
      </c>
      <c r="G118" s="28">
        <v>1</v>
      </c>
      <c r="H118" s="28">
        <v>1</v>
      </c>
      <c r="I118" s="29">
        <f t="shared" si="9"/>
        <v>20</v>
      </c>
      <c r="J118" s="29">
        <f t="shared" si="3"/>
        <v>20</v>
      </c>
      <c r="K118" s="29">
        <f t="shared" si="3"/>
        <v>20</v>
      </c>
      <c r="L118" s="31" t="str">
        <f>IF([5]商品具体设计!E61="","",[5]商品具体设计!E61)</f>
        <v>使用后城池建设加速20分钟</v>
      </c>
    </row>
    <row r="119" spans="3:12" x14ac:dyDescent="0.15">
      <c r="C119" s="31">
        <f>IF([5]商品具体设计!B62="","",[5]商品具体设计!B62)</f>
        <v>21113</v>
      </c>
      <c r="D119" s="31" t="str">
        <f>IF([5]商品具体设计!C62="","",[5]商品具体设计!C62)</f>
        <v>城建1小时加速令</v>
      </c>
      <c r="E119" s="31">
        <f>IF([5]商品具体设计!D62="","",[5]商品具体设计!D62)</f>
        <v>50</v>
      </c>
      <c r="F119" s="28">
        <v>1.2</v>
      </c>
      <c r="G119" s="28">
        <v>1</v>
      </c>
      <c r="H119" s="28">
        <v>1</v>
      </c>
      <c r="I119" s="29">
        <f t="shared" si="9"/>
        <v>60</v>
      </c>
      <c r="J119" s="29">
        <f t="shared" ref="J119:K182" si="13">IF($E119="","",$E119*G119)</f>
        <v>50</v>
      </c>
      <c r="K119" s="29">
        <f t="shared" si="13"/>
        <v>50</v>
      </c>
      <c r="L119" s="31" t="str">
        <f>IF([5]商品具体设计!E62="","",[5]商品具体设计!E62)</f>
        <v>使用后城池建设加速1小时</v>
      </c>
    </row>
    <row r="120" spans="3:12" x14ac:dyDescent="0.15">
      <c r="C120" s="31">
        <f>IF([5]商品具体设计!B63="","",[5]商品具体设计!B63)</f>
        <v>21114</v>
      </c>
      <c r="D120" s="31" t="str">
        <f>IF([5]商品具体设计!C63="","",[5]商品具体设计!C63)</f>
        <v>城建3小时加速令</v>
      </c>
      <c r="E120" s="31">
        <f>IF([5]商品具体设计!D63="","",[5]商品具体设计!D63)</f>
        <v>100</v>
      </c>
      <c r="F120" s="28">
        <v>1.8</v>
      </c>
      <c r="G120" s="28">
        <v>1.5</v>
      </c>
      <c r="H120" s="28">
        <v>1</v>
      </c>
      <c r="I120" s="29">
        <f t="shared" si="9"/>
        <v>180</v>
      </c>
      <c r="J120" s="29">
        <f t="shared" si="13"/>
        <v>150</v>
      </c>
      <c r="K120" s="29">
        <f t="shared" si="13"/>
        <v>100</v>
      </c>
      <c r="L120" s="31" t="str">
        <f>IF([5]商品具体设计!E63="","",[5]商品具体设计!E63)</f>
        <v>使用后城池建设加速3小时</v>
      </c>
    </row>
    <row r="121" spans="3:12" x14ac:dyDescent="0.15">
      <c r="C121" s="31">
        <f>IF([5]商品具体设计!B64="","",[5]商品具体设计!B64)</f>
        <v>21135</v>
      </c>
      <c r="D121" s="31" t="str">
        <f>IF([5]商品具体设计!C64="","",[5]商品具体设计!C64)</f>
        <v>城建8小时加速令</v>
      </c>
      <c r="E121" s="31">
        <f>IF([5]商品具体设计!D64="","",[5]商品具体设计!D64)</f>
        <v>160</v>
      </c>
      <c r="F121" s="28">
        <v>3</v>
      </c>
      <c r="G121" s="28">
        <v>2.5</v>
      </c>
      <c r="H121" s="28">
        <v>1</v>
      </c>
      <c r="I121" s="29">
        <f t="shared" si="9"/>
        <v>480</v>
      </c>
      <c r="J121" s="29">
        <f t="shared" si="13"/>
        <v>400</v>
      </c>
      <c r="K121" s="29">
        <f t="shared" si="13"/>
        <v>160</v>
      </c>
      <c r="L121" s="31" t="str">
        <f>IF([5]商品具体设计!E64="","",[5]商品具体设计!E64)</f>
        <v>使用后城池建设加速8小时</v>
      </c>
    </row>
    <row r="122" spans="3:12" x14ac:dyDescent="0.15">
      <c r="C122" s="31" t="str">
        <f>IF([5]商品具体设计!B65="","",[5]商品具体设计!B65)</f>
        <v/>
      </c>
      <c r="D122" s="31" t="str">
        <f>IF([5]商品具体设计!C65="","",[5]商品具体设计!C65)</f>
        <v/>
      </c>
      <c r="E122" s="31" t="str">
        <f>IF([5]商品具体设计!D65="","",[5]商品具体设计!D65)</f>
        <v/>
      </c>
      <c r="I122" s="29" t="str">
        <f t="shared" si="9"/>
        <v/>
      </c>
      <c r="J122" s="29" t="str">
        <f t="shared" si="13"/>
        <v/>
      </c>
      <c r="K122" s="29" t="str">
        <f t="shared" si="13"/>
        <v/>
      </c>
      <c r="L122" s="31" t="str">
        <f>IF([5]商品具体设计!E65="","",[5]商品具体设计!E65)</f>
        <v/>
      </c>
    </row>
    <row r="123" spans="3:12" x14ac:dyDescent="0.15">
      <c r="C123" s="31">
        <f>IF([5]商品具体设计!B66="","",[5]商品具体设计!B66)</f>
        <v>21115</v>
      </c>
      <c r="D123" s="31" t="str">
        <f>IF([5]商品具体设计!C66="","",[5]商品具体设计!C66)</f>
        <v>招募1分钟加速令</v>
      </c>
      <c r="E123" s="31">
        <f>IF([5]商品具体设计!D66="","",[5]商品具体设计!D66)</f>
        <v>2</v>
      </c>
      <c r="F123" s="28">
        <v>1</v>
      </c>
      <c r="G123" s="28">
        <v>1</v>
      </c>
      <c r="H123" s="28">
        <v>1</v>
      </c>
      <c r="I123" s="29">
        <f t="shared" si="9"/>
        <v>2</v>
      </c>
      <c r="J123" s="29">
        <f t="shared" si="13"/>
        <v>2</v>
      </c>
      <c r="K123" s="29">
        <f t="shared" si="13"/>
        <v>2</v>
      </c>
      <c r="L123" s="31" t="str">
        <f>IF([5]商品具体设计!E66="","",[5]商品具体设计!E66)</f>
        <v>使用后士兵招募加速1分钟</v>
      </c>
    </row>
    <row r="124" spans="3:12" x14ac:dyDescent="0.15">
      <c r="C124" s="31">
        <f>IF([5]商品具体设计!B67="","",[5]商品具体设计!B67)</f>
        <v>21116</v>
      </c>
      <c r="D124" s="31" t="str">
        <f>IF([5]商品具体设计!C67="","",[5]商品具体设计!C67)</f>
        <v>招募5分钟加速令</v>
      </c>
      <c r="E124" s="31">
        <f>IF([5]商品具体设计!D67="","",[5]商品具体设计!D67)</f>
        <v>8</v>
      </c>
      <c r="F124" s="28">
        <v>1</v>
      </c>
      <c r="G124" s="28">
        <v>1</v>
      </c>
      <c r="H124" s="28">
        <v>1</v>
      </c>
      <c r="I124" s="29">
        <f t="shared" si="9"/>
        <v>8</v>
      </c>
      <c r="J124" s="29">
        <f t="shared" si="13"/>
        <v>8</v>
      </c>
      <c r="K124" s="29">
        <f t="shared" si="13"/>
        <v>8</v>
      </c>
      <c r="L124" s="31" t="str">
        <f>IF([5]商品具体设计!E67="","",[5]商品具体设计!E67)</f>
        <v>使用后士兵招募加速5分钟</v>
      </c>
    </row>
    <row r="125" spans="3:12" x14ac:dyDescent="0.15">
      <c r="C125" s="31">
        <f>IF([5]商品具体设计!B68="","",[5]商品具体设计!B68)</f>
        <v>21117</v>
      </c>
      <c r="D125" s="31" t="str">
        <f>IF([5]商品具体设计!C68="","",[5]商品具体设计!C68)</f>
        <v>招募20分钟加速令</v>
      </c>
      <c r="E125" s="31">
        <f>IF([5]商品具体设计!D68="","",[5]商品具体设计!D68)</f>
        <v>20</v>
      </c>
      <c r="F125" s="28">
        <v>1</v>
      </c>
      <c r="G125" s="28">
        <v>1</v>
      </c>
      <c r="H125" s="28">
        <v>1</v>
      </c>
      <c r="I125" s="29">
        <f t="shared" si="9"/>
        <v>20</v>
      </c>
      <c r="J125" s="29">
        <f t="shared" si="13"/>
        <v>20</v>
      </c>
      <c r="K125" s="29">
        <f t="shared" si="13"/>
        <v>20</v>
      </c>
      <c r="L125" s="31" t="str">
        <f>IF([5]商品具体设计!E68="","",[5]商品具体设计!E68)</f>
        <v>使用后士兵招募加速20分钟</v>
      </c>
    </row>
    <row r="126" spans="3:12" x14ac:dyDescent="0.15">
      <c r="C126" s="31">
        <f>IF([5]商品具体设计!B69="","",[5]商品具体设计!B69)</f>
        <v>21118</v>
      </c>
      <c r="D126" s="31" t="str">
        <f>IF([5]商品具体设计!C69="","",[5]商品具体设计!C69)</f>
        <v>招募1小时加速令</v>
      </c>
      <c r="E126" s="31">
        <f>IF([5]商品具体设计!D69="","",[5]商品具体设计!D69)</f>
        <v>50</v>
      </c>
      <c r="F126" s="28">
        <v>1.2</v>
      </c>
      <c r="G126" s="28">
        <v>1</v>
      </c>
      <c r="H126" s="28">
        <v>1</v>
      </c>
      <c r="I126" s="29">
        <f t="shared" si="9"/>
        <v>60</v>
      </c>
      <c r="J126" s="29">
        <f t="shared" si="13"/>
        <v>50</v>
      </c>
      <c r="K126" s="29">
        <f t="shared" si="13"/>
        <v>50</v>
      </c>
      <c r="L126" s="31" t="str">
        <f>IF([5]商品具体设计!E69="","",[5]商品具体设计!E69)</f>
        <v>使用后士兵招募加速1小时</v>
      </c>
    </row>
    <row r="127" spans="3:12" x14ac:dyDescent="0.15">
      <c r="C127" s="31">
        <f>IF([5]商品具体设计!B70="","",[5]商品具体设计!B70)</f>
        <v>21119</v>
      </c>
      <c r="D127" s="31" t="str">
        <f>IF([5]商品具体设计!C70="","",[5]商品具体设计!C70)</f>
        <v>招募3小时加速令</v>
      </c>
      <c r="E127" s="31">
        <f>IF([5]商品具体设计!D70="","",[5]商品具体设计!D70)</f>
        <v>100</v>
      </c>
      <c r="F127" s="28">
        <v>1.8</v>
      </c>
      <c r="G127" s="28">
        <v>1.5</v>
      </c>
      <c r="H127" s="28">
        <v>1</v>
      </c>
      <c r="I127" s="29">
        <f t="shared" si="9"/>
        <v>180</v>
      </c>
      <c r="J127" s="29">
        <f t="shared" si="13"/>
        <v>150</v>
      </c>
      <c r="K127" s="29">
        <f t="shared" si="13"/>
        <v>100</v>
      </c>
      <c r="L127" s="31" t="str">
        <f>IF([5]商品具体设计!E70="","",[5]商品具体设计!E70)</f>
        <v>使用后士兵招募加速3小时</v>
      </c>
    </row>
    <row r="128" spans="3:12" x14ac:dyDescent="0.15">
      <c r="C128" s="31">
        <f>IF([5]商品具体设计!B71="","",[5]商品具体设计!B71)</f>
        <v>21136</v>
      </c>
      <c r="D128" s="31" t="str">
        <f>IF([5]商品具体设计!C71="","",[5]商品具体设计!C71)</f>
        <v>招募8小时加速令</v>
      </c>
      <c r="E128" s="31">
        <f>IF([5]商品具体设计!D71="","",[5]商品具体设计!D71)</f>
        <v>160</v>
      </c>
      <c r="F128" s="28">
        <v>3</v>
      </c>
      <c r="G128" s="28">
        <v>2.5</v>
      </c>
      <c r="H128" s="28">
        <v>1</v>
      </c>
      <c r="I128" s="29">
        <f t="shared" si="9"/>
        <v>480</v>
      </c>
      <c r="J128" s="29">
        <f t="shared" si="13"/>
        <v>400</v>
      </c>
      <c r="K128" s="29">
        <f t="shared" si="13"/>
        <v>160</v>
      </c>
      <c r="L128" s="31" t="str">
        <f>IF([5]商品具体设计!E71="","",[5]商品具体设计!E71)</f>
        <v>使用后士兵招募加速8小时</v>
      </c>
    </row>
    <row r="129" spans="3:12" x14ac:dyDescent="0.15">
      <c r="C129" s="31" t="str">
        <f>IF([5]商品具体设计!B72="","",[5]商品具体设计!B72)</f>
        <v/>
      </c>
      <c r="D129" s="31" t="str">
        <f>IF([5]商品具体设计!C72="","",[5]商品具体设计!C72)</f>
        <v/>
      </c>
      <c r="E129" s="31" t="str">
        <f>IF([5]商品具体设计!D72="","",[5]商品具体设计!D72)</f>
        <v/>
      </c>
      <c r="I129" s="29" t="str">
        <f t="shared" si="9"/>
        <v/>
      </c>
      <c r="J129" s="29" t="str">
        <f t="shared" si="13"/>
        <v/>
      </c>
      <c r="K129" s="29" t="str">
        <f t="shared" si="13"/>
        <v/>
      </c>
      <c r="L129" s="31" t="str">
        <f>IF([5]商品具体设计!E72="","",[5]商品具体设计!E72)</f>
        <v/>
      </c>
    </row>
    <row r="130" spans="3:12" x14ac:dyDescent="0.15">
      <c r="C130" s="31">
        <f>IF([5]商品具体设计!B73="","",[5]商品具体设计!B73)</f>
        <v>21120</v>
      </c>
      <c r="D130" s="31" t="str">
        <f>IF([5]商品具体设计!C73="","",[5]商品具体设计!C73)</f>
        <v>治疗1分钟加速令</v>
      </c>
      <c r="E130" s="31">
        <f>IF([5]商品具体设计!D73="","",[5]商品具体设计!D73)</f>
        <v>2</v>
      </c>
      <c r="F130" s="28">
        <v>1</v>
      </c>
      <c r="G130" s="28">
        <v>1</v>
      </c>
      <c r="H130" s="28">
        <v>1</v>
      </c>
      <c r="I130" s="29">
        <f t="shared" si="9"/>
        <v>2</v>
      </c>
      <c r="J130" s="29">
        <f t="shared" si="13"/>
        <v>2</v>
      </c>
      <c r="K130" s="29">
        <f t="shared" si="13"/>
        <v>2</v>
      </c>
      <c r="L130" s="31" t="str">
        <f>IF([5]商品具体设计!E73="","",[5]商品具体设计!E73)</f>
        <v>使用后士兵治疗加速1分钟</v>
      </c>
    </row>
    <row r="131" spans="3:12" x14ac:dyDescent="0.15">
      <c r="C131" s="31">
        <f>IF([5]商品具体设计!B74="","",[5]商品具体设计!B74)</f>
        <v>21121</v>
      </c>
      <c r="D131" s="31" t="str">
        <f>IF([5]商品具体设计!C74="","",[5]商品具体设计!C74)</f>
        <v>治疗5分钟加速令</v>
      </c>
      <c r="E131" s="31">
        <f>IF([5]商品具体设计!D74="","",[5]商品具体设计!D74)</f>
        <v>8</v>
      </c>
      <c r="F131" s="28">
        <v>1</v>
      </c>
      <c r="G131" s="28">
        <v>1</v>
      </c>
      <c r="H131" s="28">
        <v>1</v>
      </c>
      <c r="I131" s="29">
        <f t="shared" si="9"/>
        <v>8</v>
      </c>
      <c r="J131" s="29">
        <f t="shared" si="13"/>
        <v>8</v>
      </c>
      <c r="K131" s="29">
        <f t="shared" si="13"/>
        <v>8</v>
      </c>
      <c r="L131" s="31" t="str">
        <f>IF([5]商品具体设计!E74="","",[5]商品具体设计!E74)</f>
        <v>使用后士兵治疗加速5分钟</v>
      </c>
    </row>
    <row r="132" spans="3:12" x14ac:dyDescent="0.15">
      <c r="C132" s="31">
        <f>IF([5]商品具体设计!B75="","",[5]商品具体设计!B75)</f>
        <v>21122</v>
      </c>
      <c r="D132" s="31" t="str">
        <f>IF([5]商品具体设计!C75="","",[5]商品具体设计!C75)</f>
        <v>治疗20分钟加速令</v>
      </c>
      <c r="E132" s="31">
        <f>IF([5]商品具体设计!D75="","",[5]商品具体设计!D75)</f>
        <v>20</v>
      </c>
      <c r="F132" s="28">
        <v>1</v>
      </c>
      <c r="G132" s="28">
        <v>1</v>
      </c>
      <c r="H132" s="28">
        <v>1</v>
      </c>
      <c r="I132" s="29">
        <f t="shared" si="9"/>
        <v>20</v>
      </c>
      <c r="J132" s="29">
        <f t="shared" si="13"/>
        <v>20</v>
      </c>
      <c r="K132" s="29">
        <f t="shared" si="13"/>
        <v>20</v>
      </c>
      <c r="L132" s="31" t="str">
        <f>IF([5]商品具体设计!E75="","",[5]商品具体设计!E75)</f>
        <v>使用后士兵治疗加速20分钟</v>
      </c>
    </row>
    <row r="133" spans="3:12" x14ac:dyDescent="0.15">
      <c r="C133" s="31">
        <f>IF([5]商品具体设计!B76="","",[5]商品具体设计!B76)</f>
        <v>21123</v>
      </c>
      <c r="D133" s="31" t="str">
        <f>IF([5]商品具体设计!C76="","",[5]商品具体设计!C76)</f>
        <v>治疗1小时加速令</v>
      </c>
      <c r="E133" s="31">
        <f>IF([5]商品具体设计!D76="","",[5]商品具体设计!D76)</f>
        <v>50</v>
      </c>
      <c r="F133" s="28">
        <v>1.2</v>
      </c>
      <c r="G133" s="28">
        <v>1</v>
      </c>
      <c r="H133" s="28">
        <v>1</v>
      </c>
      <c r="I133" s="29">
        <f t="shared" si="9"/>
        <v>60</v>
      </c>
      <c r="J133" s="29">
        <f t="shared" si="13"/>
        <v>50</v>
      </c>
      <c r="K133" s="29">
        <f t="shared" si="13"/>
        <v>50</v>
      </c>
      <c r="L133" s="31" t="str">
        <f>IF([5]商品具体设计!E76="","",[5]商品具体设计!E76)</f>
        <v>使用后士兵治疗加速1小时</v>
      </c>
    </row>
    <row r="134" spans="3:12" x14ac:dyDescent="0.15">
      <c r="C134" s="31">
        <f>IF([5]商品具体设计!B77="","",[5]商品具体设计!B77)</f>
        <v>21124</v>
      </c>
      <c r="D134" s="31" t="str">
        <f>IF([5]商品具体设计!C77="","",[5]商品具体设计!C77)</f>
        <v>治疗3小时加速令</v>
      </c>
      <c r="E134" s="31">
        <f>IF([5]商品具体设计!D77="","",[5]商品具体设计!D77)</f>
        <v>100</v>
      </c>
      <c r="F134" s="28">
        <v>1.8</v>
      </c>
      <c r="G134" s="28">
        <v>1.5</v>
      </c>
      <c r="H134" s="28">
        <v>1</v>
      </c>
      <c r="I134" s="29">
        <f t="shared" ref="I134:I197" si="14">IF(E134="","",E134*F134)</f>
        <v>180</v>
      </c>
      <c r="J134" s="29">
        <f t="shared" si="13"/>
        <v>150</v>
      </c>
      <c r="K134" s="29">
        <f t="shared" si="13"/>
        <v>100</v>
      </c>
      <c r="L134" s="31" t="str">
        <f>IF([5]商品具体设计!E77="","",[5]商品具体设计!E77)</f>
        <v>使用后士兵治疗加速3小时</v>
      </c>
    </row>
    <row r="135" spans="3:12" x14ac:dyDescent="0.15">
      <c r="C135" s="31">
        <f>IF([5]商品具体设计!B78="","",[5]商品具体设计!B78)</f>
        <v>21137</v>
      </c>
      <c r="D135" s="31" t="str">
        <f>IF([5]商品具体设计!C78="","",[5]商品具体设计!C78)</f>
        <v>治疗8小时加速令</v>
      </c>
      <c r="E135" s="31">
        <f>IF([5]商品具体设计!D78="","",[5]商品具体设计!D78)</f>
        <v>160</v>
      </c>
      <c r="F135" s="28">
        <v>3</v>
      </c>
      <c r="G135" s="28">
        <v>2.5</v>
      </c>
      <c r="H135" s="28">
        <v>1</v>
      </c>
      <c r="I135" s="29">
        <f t="shared" si="14"/>
        <v>480</v>
      </c>
      <c r="J135" s="29">
        <f t="shared" si="13"/>
        <v>400</v>
      </c>
      <c r="K135" s="29">
        <f t="shared" si="13"/>
        <v>160</v>
      </c>
      <c r="L135" s="31" t="str">
        <f>IF([5]商品具体设计!E78="","",[5]商品具体设计!E78)</f>
        <v>使用后士兵治疗加速8小时</v>
      </c>
    </row>
    <row r="136" spans="3:12" x14ac:dyDescent="0.15">
      <c r="C136" s="31" t="str">
        <f>IF([5]商品具体设计!B79="","",[5]商品具体设计!B79)</f>
        <v/>
      </c>
      <c r="D136" s="31" t="str">
        <f>IF([5]商品具体设计!C79="","",[5]商品具体设计!C79)</f>
        <v/>
      </c>
      <c r="E136" s="31" t="str">
        <f>IF([5]商品具体设计!D79="","",[5]商品具体设计!D79)</f>
        <v/>
      </c>
      <c r="I136" s="29" t="str">
        <f t="shared" si="14"/>
        <v/>
      </c>
      <c r="J136" s="29" t="str">
        <f t="shared" si="13"/>
        <v/>
      </c>
      <c r="K136" s="29" t="str">
        <f t="shared" si="13"/>
        <v/>
      </c>
      <c r="L136" s="31" t="str">
        <f>IF([5]商品具体设计!E79="","",[5]商品具体设计!E79)</f>
        <v/>
      </c>
    </row>
    <row r="137" spans="3:12" x14ac:dyDescent="0.15">
      <c r="C137" s="31">
        <f>IF([5]商品具体设计!B80="","",[5]商品具体设计!B80)</f>
        <v>21130</v>
      </c>
      <c r="D137" s="31" t="str">
        <f>IF([5]商品具体设计!C80="","",[5]商品具体设计!C80)</f>
        <v>训练1分钟加速令</v>
      </c>
      <c r="E137" s="31">
        <f>IF([5]商品具体设计!D80="","",[5]商品具体设计!D80)</f>
        <v>2</v>
      </c>
      <c r="F137" s="28">
        <v>1</v>
      </c>
      <c r="G137" s="28">
        <v>1</v>
      </c>
      <c r="H137" s="28">
        <v>1</v>
      </c>
      <c r="I137" s="29">
        <f t="shared" si="14"/>
        <v>2</v>
      </c>
      <c r="J137" s="29">
        <f t="shared" si="13"/>
        <v>2</v>
      </c>
      <c r="K137" s="29">
        <f t="shared" si="13"/>
        <v>2</v>
      </c>
      <c r="L137" s="31" t="str">
        <f>IF([5]商品具体设计!E80="","",[5]商品具体设计!E80)</f>
        <v>使用后士兵训练加速1分钟</v>
      </c>
    </row>
    <row r="138" spans="3:12" x14ac:dyDescent="0.15">
      <c r="C138" s="31">
        <f>IF([5]商品具体设计!B81="","",[5]商品具体设计!B81)</f>
        <v>21131</v>
      </c>
      <c r="D138" s="31" t="str">
        <f>IF([5]商品具体设计!C81="","",[5]商品具体设计!C81)</f>
        <v>训练5分钟加速令</v>
      </c>
      <c r="E138" s="31">
        <f>IF([5]商品具体设计!D81="","",[5]商品具体设计!D81)</f>
        <v>8</v>
      </c>
      <c r="F138" s="28">
        <v>1</v>
      </c>
      <c r="G138" s="28">
        <v>1</v>
      </c>
      <c r="H138" s="28">
        <v>1</v>
      </c>
      <c r="I138" s="29">
        <f t="shared" si="14"/>
        <v>8</v>
      </c>
      <c r="J138" s="29">
        <f t="shared" si="13"/>
        <v>8</v>
      </c>
      <c r="K138" s="29">
        <f t="shared" si="13"/>
        <v>8</v>
      </c>
      <c r="L138" s="31" t="str">
        <f>IF([5]商品具体设计!E81="","",[5]商品具体设计!E81)</f>
        <v>使用后士兵训练加速5分钟</v>
      </c>
    </row>
    <row r="139" spans="3:12" x14ac:dyDescent="0.15">
      <c r="C139" s="31">
        <f>IF([5]商品具体设计!B82="","",[5]商品具体设计!B82)</f>
        <v>21132</v>
      </c>
      <c r="D139" s="31" t="str">
        <f>IF([5]商品具体设计!C82="","",[5]商品具体设计!C82)</f>
        <v>训练20分钟加速令</v>
      </c>
      <c r="E139" s="31">
        <f>IF([5]商品具体设计!D82="","",[5]商品具体设计!D82)</f>
        <v>20</v>
      </c>
      <c r="F139" s="28">
        <v>1</v>
      </c>
      <c r="G139" s="28">
        <v>1</v>
      </c>
      <c r="H139" s="28">
        <v>1</v>
      </c>
      <c r="I139" s="29">
        <f t="shared" si="14"/>
        <v>20</v>
      </c>
      <c r="J139" s="29">
        <f t="shared" si="13"/>
        <v>20</v>
      </c>
      <c r="K139" s="29">
        <f t="shared" si="13"/>
        <v>20</v>
      </c>
      <c r="L139" s="31" t="str">
        <f>IF([5]商品具体设计!E82="","",[5]商品具体设计!E82)</f>
        <v>使用后士兵训练加速20分钟</v>
      </c>
    </row>
    <row r="140" spans="3:12" x14ac:dyDescent="0.15">
      <c r="C140" s="31">
        <f>IF([5]商品具体设计!B83="","",[5]商品具体设计!B83)</f>
        <v>21133</v>
      </c>
      <c r="D140" s="31" t="str">
        <f>IF([5]商品具体设计!C83="","",[5]商品具体设计!C83)</f>
        <v>训练1小时加速令</v>
      </c>
      <c r="E140" s="31">
        <f>IF([5]商品具体设计!D83="","",[5]商品具体设计!D83)</f>
        <v>50</v>
      </c>
      <c r="F140" s="28">
        <v>1.2</v>
      </c>
      <c r="G140" s="28">
        <v>1</v>
      </c>
      <c r="H140" s="28">
        <v>1</v>
      </c>
      <c r="I140" s="29">
        <f t="shared" si="14"/>
        <v>60</v>
      </c>
      <c r="J140" s="29">
        <f t="shared" si="13"/>
        <v>50</v>
      </c>
      <c r="K140" s="29">
        <f t="shared" si="13"/>
        <v>50</v>
      </c>
      <c r="L140" s="31" t="str">
        <f>IF([5]商品具体设计!E83="","",[5]商品具体设计!E83)</f>
        <v>使用后士兵训练加速1小时</v>
      </c>
    </row>
    <row r="141" spans="3:12" x14ac:dyDescent="0.15">
      <c r="C141" s="31">
        <f>IF([5]商品具体设计!B84="","",[5]商品具体设计!B84)</f>
        <v>21134</v>
      </c>
      <c r="D141" s="31" t="str">
        <f>IF([5]商品具体设计!C84="","",[5]商品具体设计!C84)</f>
        <v>训练3小时加速令</v>
      </c>
      <c r="E141" s="31">
        <f>IF([5]商品具体设计!D84="","",[5]商品具体设计!D84)</f>
        <v>100</v>
      </c>
      <c r="F141" s="28">
        <v>1.8</v>
      </c>
      <c r="G141" s="28">
        <v>1.5</v>
      </c>
      <c r="H141" s="28">
        <v>1</v>
      </c>
      <c r="I141" s="29">
        <f t="shared" si="14"/>
        <v>180</v>
      </c>
      <c r="J141" s="29">
        <f t="shared" si="13"/>
        <v>150</v>
      </c>
      <c r="K141" s="29">
        <f t="shared" si="13"/>
        <v>100</v>
      </c>
      <c r="L141" s="31" t="str">
        <f>IF([5]商品具体设计!E84="","",[5]商品具体设计!E84)</f>
        <v>使用后士兵训练加速3小时</v>
      </c>
    </row>
    <row r="142" spans="3:12" x14ac:dyDescent="0.15">
      <c r="C142" s="31">
        <f>IF([5]商品具体设计!B85="","",[5]商品具体设计!B85)</f>
        <v>21139</v>
      </c>
      <c r="D142" s="31" t="str">
        <f>IF([5]商品具体设计!C85="","",[5]商品具体设计!C85)</f>
        <v>训练8小时加速令</v>
      </c>
      <c r="E142" s="31">
        <f>IF([5]商品具体设计!D85="","",[5]商品具体设计!D85)</f>
        <v>160</v>
      </c>
      <c r="F142" s="28">
        <v>3</v>
      </c>
      <c r="G142" s="28">
        <v>2.5</v>
      </c>
      <c r="H142" s="28">
        <v>1</v>
      </c>
      <c r="I142" s="29">
        <f t="shared" si="14"/>
        <v>480</v>
      </c>
      <c r="J142" s="29">
        <f t="shared" si="13"/>
        <v>400</v>
      </c>
      <c r="K142" s="29">
        <f t="shared" si="13"/>
        <v>160</v>
      </c>
      <c r="L142" s="31" t="str">
        <f>IF([5]商品具体设计!E85="","",[5]商品具体设计!E85)</f>
        <v>使用后士兵训练加速8小时</v>
      </c>
    </row>
    <row r="143" spans="3:12" x14ac:dyDescent="0.15">
      <c r="C143" s="31" t="str">
        <f>IF([5]商品具体设计!B86="","",[5]商品具体设计!B86)</f>
        <v/>
      </c>
      <c r="D143" s="31" t="str">
        <f>IF([5]商品具体设计!C86="","",[5]商品具体设计!C86)</f>
        <v/>
      </c>
      <c r="E143" s="31" t="str">
        <f>IF([5]商品具体设计!D86="","",[5]商品具体设计!D86)</f>
        <v/>
      </c>
      <c r="I143" s="29" t="str">
        <f t="shared" si="14"/>
        <v/>
      </c>
      <c r="J143" s="29" t="str">
        <f t="shared" si="13"/>
        <v/>
      </c>
      <c r="K143" s="29" t="str">
        <f t="shared" si="13"/>
        <v/>
      </c>
      <c r="L143" s="31" t="str">
        <f>IF([5]商品具体设计!E86="","",[5]商品具体设计!E86)</f>
        <v/>
      </c>
    </row>
    <row r="144" spans="3:12" x14ac:dyDescent="0.15">
      <c r="C144" s="31">
        <f>IF([5]商品具体设计!B87="","",[5]商品具体设计!B87)</f>
        <v>21140</v>
      </c>
      <c r="D144" s="31" t="str">
        <f>IF([5]商品具体设计!C87="","",[5]商品具体设计!C87)</f>
        <v>圣人1分钟加速令</v>
      </c>
      <c r="E144" s="31">
        <f>IF([5]商品具体设计!D87="","",[5]商品具体设计!D87)</f>
        <v>2</v>
      </c>
      <c r="F144" s="28">
        <v>1</v>
      </c>
      <c r="G144" s="28">
        <v>1</v>
      </c>
      <c r="H144" s="28">
        <v>1</v>
      </c>
      <c r="I144" s="29">
        <f t="shared" si="14"/>
        <v>2</v>
      </c>
      <c r="J144" s="29">
        <f t="shared" si="13"/>
        <v>2</v>
      </c>
      <c r="K144" s="29">
        <f t="shared" si="13"/>
        <v>2</v>
      </c>
      <c r="L144" s="31" t="str">
        <f>IF([5]商品具体设计!E87="","",[5]商品具体设计!E87)</f>
        <v>使用后士兵训练加速1分钟</v>
      </c>
    </row>
    <row r="145" spans="3:12" x14ac:dyDescent="0.15">
      <c r="C145" s="31">
        <f>IF([5]商品具体设计!B88="","",[5]商品具体设计!B88)</f>
        <v>21141</v>
      </c>
      <c r="D145" s="31" t="str">
        <f>IF([5]商品具体设计!C88="","",[5]商品具体设计!C88)</f>
        <v>圣人5分钟加速令</v>
      </c>
      <c r="E145" s="31">
        <f>IF([5]商品具体设计!D88="","",[5]商品具体设计!D88)</f>
        <v>8</v>
      </c>
      <c r="F145" s="28">
        <v>1</v>
      </c>
      <c r="G145" s="28">
        <v>1</v>
      </c>
      <c r="H145" s="28">
        <v>1</v>
      </c>
      <c r="I145" s="29">
        <f t="shared" si="14"/>
        <v>8</v>
      </c>
      <c r="J145" s="29">
        <f t="shared" si="13"/>
        <v>8</v>
      </c>
      <c r="K145" s="29">
        <f t="shared" si="13"/>
        <v>8</v>
      </c>
      <c r="L145" s="31" t="str">
        <f>IF([5]商品具体设计!E88="","",[5]商品具体设计!E88)</f>
        <v>使用后士兵训练加速5分钟</v>
      </c>
    </row>
    <row r="146" spans="3:12" x14ac:dyDescent="0.15">
      <c r="C146" s="31">
        <f>IF([5]商品具体设计!B89="","",[5]商品具体设计!B89)</f>
        <v>21142</v>
      </c>
      <c r="D146" s="31" t="str">
        <f>IF([5]商品具体设计!C89="","",[5]商品具体设计!C89)</f>
        <v>圣人20分钟加速令</v>
      </c>
      <c r="E146" s="31">
        <f>IF([5]商品具体设计!D89="","",[5]商品具体设计!D89)</f>
        <v>20</v>
      </c>
      <c r="F146" s="28">
        <v>1</v>
      </c>
      <c r="G146" s="28">
        <v>1</v>
      </c>
      <c r="H146" s="28">
        <v>1</v>
      </c>
      <c r="I146" s="29">
        <f t="shared" si="14"/>
        <v>20</v>
      </c>
      <c r="J146" s="29">
        <f t="shared" si="13"/>
        <v>20</v>
      </c>
      <c r="K146" s="29">
        <f t="shared" si="13"/>
        <v>20</v>
      </c>
      <c r="L146" s="31" t="str">
        <f>IF([5]商品具体设计!E89="","",[5]商品具体设计!E89)</f>
        <v>使用后士兵训练加速20分钟</v>
      </c>
    </row>
    <row r="147" spans="3:12" x14ac:dyDescent="0.15">
      <c r="C147" s="31">
        <f>IF([5]商品具体设计!B90="","",[5]商品具体设计!B90)</f>
        <v>21143</v>
      </c>
      <c r="D147" s="31" t="str">
        <f>IF([5]商品具体设计!C90="","",[5]商品具体设计!C90)</f>
        <v>圣人1小时加速令</v>
      </c>
      <c r="E147" s="31">
        <f>IF([5]商品具体设计!D90="","",[5]商品具体设计!D90)</f>
        <v>50</v>
      </c>
      <c r="F147" s="28">
        <v>1.2</v>
      </c>
      <c r="G147" s="28">
        <v>1</v>
      </c>
      <c r="H147" s="28">
        <v>1</v>
      </c>
      <c r="I147" s="29">
        <f t="shared" si="14"/>
        <v>60</v>
      </c>
      <c r="J147" s="29">
        <f t="shared" si="13"/>
        <v>50</v>
      </c>
      <c r="K147" s="29">
        <f t="shared" si="13"/>
        <v>50</v>
      </c>
      <c r="L147" s="31" t="str">
        <f>IF([5]商品具体设计!E90="","",[5]商品具体设计!E90)</f>
        <v>使用后士兵训练加速1小时</v>
      </c>
    </row>
    <row r="148" spans="3:12" x14ac:dyDescent="0.15">
      <c r="C148" s="31">
        <f>IF([5]商品具体设计!B91="","",[5]商品具体设计!B91)</f>
        <v>21144</v>
      </c>
      <c r="D148" s="31" t="str">
        <f>IF([5]商品具体设计!C91="","",[5]商品具体设计!C91)</f>
        <v>圣人3小时加速令</v>
      </c>
      <c r="E148" s="31">
        <f>IF([5]商品具体设计!D91="","",[5]商品具体设计!D91)</f>
        <v>100</v>
      </c>
      <c r="F148" s="28">
        <v>1.8</v>
      </c>
      <c r="G148" s="28">
        <v>1.5</v>
      </c>
      <c r="H148" s="28">
        <v>1</v>
      </c>
      <c r="I148" s="29">
        <f t="shared" si="14"/>
        <v>180</v>
      </c>
      <c r="J148" s="29">
        <f t="shared" si="13"/>
        <v>150</v>
      </c>
      <c r="K148" s="29">
        <f t="shared" si="13"/>
        <v>100</v>
      </c>
      <c r="L148" s="31" t="str">
        <f>IF([5]商品具体设计!E91="","",[5]商品具体设计!E91)</f>
        <v>使用后士兵训练加速3小时</v>
      </c>
    </row>
    <row r="149" spans="3:12" x14ac:dyDescent="0.15">
      <c r="C149" s="31">
        <f>IF([5]商品具体设计!B92="","",[5]商品具体设计!B92)</f>
        <v>21145</v>
      </c>
      <c r="D149" s="31" t="str">
        <f>IF([5]商品具体设计!C92="","",[5]商品具体设计!C92)</f>
        <v>圣人8小时加速令</v>
      </c>
      <c r="E149" s="31">
        <f>IF([5]商品具体设计!D92="","",[5]商品具体设计!D92)</f>
        <v>160</v>
      </c>
      <c r="F149" s="28">
        <v>3</v>
      </c>
      <c r="G149" s="28">
        <v>2.5</v>
      </c>
      <c r="H149" s="28">
        <v>1</v>
      </c>
      <c r="I149" s="29">
        <f t="shared" si="14"/>
        <v>480</v>
      </c>
      <c r="J149" s="29">
        <f t="shared" si="13"/>
        <v>400</v>
      </c>
      <c r="K149" s="29">
        <f t="shared" si="13"/>
        <v>160</v>
      </c>
      <c r="L149" s="31" t="str">
        <f>IF([5]商品具体设计!E92="","",[5]商品具体设计!E92)</f>
        <v>使用后士兵训练加速8小时</v>
      </c>
    </row>
    <row r="150" spans="3:12" x14ac:dyDescent="0.15">
      <c r="C150" s="31" t="str">
        <f>IF([5]商品具体设计!B93="","",[5]商品具体设计!B93)</f>
        <v/>
      </c>
      <c r="D150" s="31" t="str">
        <f>IF([5]商品具体设计!C93="","",[5]商品具体设计!C93)</f>
        <v/>
      </c>
      <c r="E150" s="31" t="str">
        <f>IF([5]商品具体设计!D93="","",[5]商品具体设计!D93)</f>
        <v/>
      </c>
      <c r="I150" s="29" t="str">
        <f t="shared" si="14"/>
        <v/>
      </c>
      <c r="J150" s="29" t="str">
        <f t="shared" si="13"/>
        <v/>
      </c>
      <c r="K150" s="29" t="str">
        <f t="shared" si="13"/>
        <v/>
      </c>
      <c r="L150" s="31" t="str">
        <f>IF([5]商品具体设计!E93="","",[5]商品具体设计!E93)</f>
        <v/>
      </c>
    </row>
    <row r="151" spans="3:12" x14ac:dyDescent="0.15">
      <c r="C151" s="31">
        <f>IF([5]商品具体设计!B94="","",[5]商品具体设计!B94)</f>
        <v>21125</v>
      </c>
      <c r="D151" s="31" t="str">
        <f>IF([5]商品具体设计!C94="","",[5]商品具体设计!C94)</f>
        <v>通用1分钟加速令</v>
      </c>
      <c r="E151" s="31">
        <f>IF([5]商品具体设计!D94="","",[5]商品具体设计!D94)</f>
        <v>2</v>
      </c>
      <c r="F151" s="28">
        <v>1</v>
      </c>
      <c r="G151" s="28">
        <v>1</v>
      </c>
      <c r="H151" s="28">
        <v>1</v>
      </c>
      <c r="I151" s="29">
        <f t="shared" si="14"/>
        <v>2</v>
      </c>
      <c r="J151" s="29">
        <f t="shared" si="13"/>
        <v>2</v>
      </c>
      <c r="K151" s="29">
        <f t="shared" si="13"/>
        <v>2</v>
      </c>
      <c r="L151" s="31" t="str">
        <f>IF([5]商品具体设计!E94="","",[5]商品具体设计!E94)</f>
        <v>使用后任意队列加速1分钟</v>
      </c>
    </row>
    <row r="152" spans="3:12" x14ac:dyDescent="0.15">
      <c r="C152" s="31">
        <f>IF([5]商品具体设计!B95="","",[5]商品具体设计!B95)</f>
        <v>21126</v>
      </c>
      <c r="D152" s="31" t="str">
        <f>IF([5]商品具体设计!C95="","",[5]商品具体设计!C95)</f>
        <v>通用5分钟加速令</v>
      </c>
      <c r="E152" s="31">
        <f>IF([5]商品具体设计!D95="","",[5]商品具体设计!D95)</f>
        <v>8</v>
      </c>
      <c r="F152" s="28">
        <v>1</v>
      </c>
      <c r="G152" s="28">
        <v>1</v>
      </c>
      <c r="H152" s="28">
        <v>1</v>
      </c>
      <c r="I152" s="29">
        <f t="shared" si="14"/>
        <v>8</v>
      </c>
      <c r="J152" s="29">
        <f t="shared" si="13"/>
        <v>8</v>
      </c>
      <c r="K152" s="29">
        <f t="shared" si="13"/>
        <v>8</v>
      </c>
      <c r="L152" s="31" t="str">
        <f>IF([5]商品具体设计!E95="","",[5]商品具体设计!E95)</f>
        <v>使用后任意队列加速5分钟</v>
      </c>
    </row>
    <row r="153" spans="3:12" x14ac:dyDescent="0.15">
      <c r="C153" s="31">
        <f>IF([5]商品具体设计!B96="","",[5]商品具体设计!B96)</f>
        <v>21127</v>
      </c>
      <c r="D153" s="31" t="str">
        <f>IF([5]商品具体设计!C96="","",[5]商品具体设计!C96)</f>
        <v>通用20分钟加速令</v>
      </c>
      <c r="E153" s="31">
        <f>IF([5]商品具体设计!D96="","",[5]商品具体设计!D96)</f>
        <v>20</v>
      </c>
      <c r="F153" s="28">
        <v>1</v>
      </c>
      <c r="G153" s="28">
        <v>1</v>
      </c>
      <c r="H153" s="28">
        <v>1</v>
      </c>
      <c r="I153" s="29">
        <f t="shared" si="14"/>
        <v>20</v>
      </c>
      <c r="J153" s="29">
        <f t="shared" si="13"/>
        <v>20</v>
      </c>
      <c r="K153" s="29">
        <f t="shared" si="13"/>
        <v>20</v>
      </c>
      <c r="L153" s="31" t="str">
        <f>IF([5]商品具体设计!E96="","",[5]商品具体设计!E96)</f>
        <v>使用后任意队列加速20分钟</v>
      </c>
    </row>
    <row r="154" spans="3:12" x14ac:dyDescent="0.15">
      <c r="C154" s="31">
        <f>IF([5]商品具体设计!B97="","",[5]商品具体设计!B97)</f>
        <v>21128</v>
      </c>
      <c r="D154" s="31" t="str">
        <f>IF([5]商品具体设计!C97="","",[5]商品具体设计!C97)</f>
        <v>通用1小时加速令</v>
      </c>
      <c r="E154" s="31">
        <f>IF([5]商品具体设计!D97="","",[5]商品具体设计!D97)</f>
        <v>50</v>
      </c>
      <c r="F154" s="28">
        <v>1.2</v>
      </c>
      <c r="G154" s="28">
        <v>1</v>
      </c>
      <c r="H154" s="28">
        <v>1</v>
      </c>
      <c r="I154" s="29">
        <f t="shared" si="14"/>
        <v>60</v>
      </c>
      <c r="J154" s="29">
        <f t="shared" si="13"/>
        <v>50</v>
      </c>
      <c r="K154" s="29">
        <f t="shared" si="13"/>
        <v>50</v>
      </c>
      <c r="L154" s="31" t="str">
        <f>IF([5]商品具体设计!E97="","",[5]商品具体设计!E97)</f>
        <v>使用后任意队列加速1小时</v>
      </c>
    </row>
    <row r="155" spans="3:12" x14ac:dyDescent="0.15">
      <c r="C155" s="31">
        <f>IF([5]商品具体设计!B98="","",[5]商品具体设计!B98)</f>
        <v>21129</v>
      </c>
      <c r="D155" s="31" t="str">
        <f>IF([5]商品具体设计!C98="","",[5]商品具体设计!C98)</f>
        <v>通用3小时加速令</v>
      </c>
      <c r="E155" s="31">
        <f>IF([5]商品具体设计!D98="","",[5]商品具体设计!D98)</f>
        <v>100</v>
      </c>
      <c r="F155" s="28">
        <v>1.8</v>
      </c>
      <c r="G155" s="28">
        <v>1.5</v>
      </c>
      <c r="H155" s="28">
        <v>1</v>
      </c>
      <c r="I155" s="29">
        <f t="shared" si="14"/>
        <v>180</v>
      </c>
      <c r="J155" s="29">
        <f t="shared" si="13"/>
        <v>150</v>
      </c>
      <c r="K155" s="29">
        <f t="shared" si="13"/>
        <v>100</v>
      </c>
      <c r="L155" s="31" t="str">
        <f>IF([5]商品具体设计!E98="","",[5]商品具体设计!E98)</f>
        <v>使用后任意队列加速3小时</v>
      </c>
    </row>
    <row r="156" spans="3:12" x14ac:dyDescent="0.15">
      <c r="C156" s="31">
        <f>IF([5]商品具体设计!B99="","",[5]商品具体设计!B99)</f>
        <v>21138</v>
      </c>
      <c r="D156" s="31" t="str">
        <f>IF([5]商品具体设计!C99="","",[5]商品具体设计!C99)</f>
        <v>通用8小时加速令</v>
      </c>
      <c r="E156" s="31">
        <f>IF([5]商品具体设计!D99="","",[5]商品具体设计!D99)</f>
        <v>160</v>
      </c>
      <c r="F156" s="28">
        <v>3</v>
      </c>
      <c r="G156" s="28">
        <v>2.5</v>
      </c>
      <c r="H156" s="28">
        <v>1</v>
      </c>
      <c r="I156" s="29">
        <f t="shared" si="14"/>
        <v>480</v>
      </c>
      <c r="J156" s="29">
        <f t="shared" si="13"/>
        <v>400</v>
      </c>
      <c r="K156" s="29">
        <f t="shared" si="13"/>
        <v>160</v>
      </c>
      <c r="L156" s="31" t="str">
        <f>IF([5]商品具体设计!E99="","",[5]商品具体设计!E99)</f>
        <v>使用后任意队列加速8小时</v>
      </c>
    </row>
    <row r="157" spans="3:12" x14ac:dyDescent="0.15">
      <c r="C157" s="31" t="str">
        <f>IF([5]商品具体设计!B100="","",[5]商品具体设计!B100)</f>
        <v/>
      </c>
      <c r="D157" s="31" t="str">
        <f>IF([5]商品具体设计!C100="","",[5]商品具体设计!C100)</f>
        <v/>
      </c>
      <c r="E157" s="31" t="str">
        <f>IF([5]商品具体设计!D100="","",[5]商品具体设计!D100)</f>
        <v/>
      </c>
      <c r="I157" s="29" t="str">
        <f t="shared" si="14"/>
        <v/>
      </c>
      <c r="J157" s="29" t="str">
        <f t="shared" si="13"/>
        <v/>
      </c>
      <c r="K157" s="29" t="str">
        <f t="shared" si="13"/>
        <v/>
      </c>
      <c r="L157" s="31" t="str">
        <f>IF([5]商品具体设计!E100="","",[5]商品具体设计!E100)</f>
        <v/>
      </c>
    </row>
    <row r="158" spans="3:12" x14ac:dyDescent="0.15">
      <c r="C158" s="31" t="str">
        <f>IF([5]商品具体设计!B101="","",[5]商品具体设计!B101)</f>
        <v/>
      </c>
      <c r="D158" s="31" t="str">
        <f>IF([5]商品具体设计!C101="","",[5]商品具体设计!C101)</f>
        <v/>
      </c>
      <c r="E158" s="31" t="str">
        <f>IF([5]商品具体设计!D101="","",[5]商品具体设计!D101)</f>
        <v/>
      </c>
      <c r="I158" s="29" t="str">
        <f t="shared" si="14"/>
        <v/>
      </c>
      <c r="J158" s="29" t="str">
        <f t="shared" si="13"/>
        <v/>
      </c>
      <c r="K158" s="29" t="str">
        <f t="shared" si="13"/>
        <v/>
      </c>
      <c r="L158" s="31" t="str">
        <f>IF([5]商品具体设计!E101="","",[5]商品具体设计!E101)</f>
        <v/>
      </c>
    </row>
    <row r="159" spans="3:12" x14ac:dyDescent="0.15">
      <c r="C159" s="31">
        <f>IF([5]商品具体设计!B102="","",[5]商品具体设计!B102)</f>
        <v>21150</v>
      </c>
      <c r="D159" s="31" t="str">
        <f>IF([5]商品具体设计!C102="","",[5]商品具体设计!C102)</f>
        <v>初级装备淬炼</v>
      </c>
      <c r="E159" s="31">
        <f>IF([5]商品具体设计!D102="","",[5]商品具体设计!D102)</f>
        <v>10</v>
      </c>
      <c r="F159" s="28">
        <v>1</v>
      </c>
      <c r="G159" s="28">
        <v>1</v>
      </c>
      <c r="H159" s="28">
        <v>1</v>
      </c>
      <c r="I159" s="29">
        <f t="shared" si="14"/>
        <v>10</v>
      </c>
      <c r="J159" s="29">
        <f t="shared" si="13"/>
        <v>10</v>
      </c>
      <c r="K159" s="29">
        <f t="shared" si="13"/>
        <v>10</v>
      </c>
      <c r="L159" s="31" t="str">
        <f>IF([5]商品具体设计!E102="","",[5]商品具体设计!E102)</f>
        <v>装备使用后获得10经验</v>
      </c>
    </row>
    <row r="160" spans="3:12" x14ac:dyDescent="0.15">
      <c r="C160" s="31">
        <f>IF([5]商品具体设计!B103="","",[5]商品具体设计!B103)</f>
        <v>21151</v>
      </c>
      <c r="D160" s="31" t="str">
        <f>IF([5]商品具体设计!C103="","",[5]商品具体设计!C103)</f>
        <v>中级装备淬炼</v>
      </c>
      <c r="E160" s="31">
        <f>IF([5]商品具体设计!D103="","",[5]商品具体设计!D103)</f>
        <v>20</v>
      </c>
      <c r="F160" s="28">
        <v>1</v>
      </c>
      <c r="G160" s="28">
        <v>1</v>
      </c>
      <c r="H160" s="28">
        <v>1</v>
      </c>
      <c r="I160" s="29">
        <f t="shared" si="14"/>
        <v>20</v>
      </c>
      <c r="J160" s="29">
        <f t="shared" si="13"/>
        <v>20</v>
      </c>
      <c r="K160" s="29">
        <f t="shared" si="13"/>
        <v>20</v>
      </c>
      <c r="L160" s="31" t="str">
        <f>IF([5]商品具体设计!E103="","",[5]商品具体设计!E103)</f>
        <v>装备使用后获得20经验</v>
      </c>
    </row>
    <row r="161" spans="3:12" x14ac:dyDescent="0.15">
      <c r="C161" s="31">
        <f>IF([5]商品具体设计!B104="","",[5]商品具体设计!B104)</f>
        <v>21152</v>
      </c>
      <c r="D161" s="31" t="str">
        <f>IF([5]商品具体设计!C104="","",[5]商品具体设计!C104)</f>
        <v>高级装备淬炼</v>
      </c>
      <c r="E161" s="31">
        <f>IF([5]商品具体设计!D104="","",[5]商品具体设计!D104)</f>
        <v>40</v>
      </c>
      <c r="F161" s="28">
        <v>1</v>
      </c>
      <c r="G161" s="28">
        <v>1</v>
      </c>
      <c r="H161" s="28">
        <v>1</v>
      </c>
      <c r="I161" s="29">
        <f t="shared" si="14"/>
        <v>40</v>
      </c>
      <c r="J161" s="29">
        <f t="shared" si="13"/>
        <v>40</v>
      </c>
      <c r="K161" s="29">
        <f t="shared" si="13"/>
        <v>40</v>
      </c>
      <c r="L161" s="31" t="str">
        <f>IF([5]商品具体设计!E104="","",[5]商品具体设计!E104)</f>
        <v>装备使用后获得40经验</v>
      </c>
    </row>
    <row r="162" spans="3:12" x14ac:dyDescent="0.15">
      <c r="C162" s="31">
        <f>IF([5]商品具体设计!B105="","",[5]商品具体设计!B105)</f>
        <v>21153</v>
      </c>
      <c r="D162" s="31" t="str">
        <f>IF([5]商品具体设计!C105="","",[5]商品具体设计!C105)</f>
        <v>特级装备淬炼</v>
      </c>
      <c r="E162" s="31">
        <f>IF([5]商品具体设计!D105="","",[5]商品具体设计!D105)</f>
        <v>75</v>
      </c>
      <c r="F162" s="28">
        <v>1.25</v>
      </c>
      <c r="G162" s="28">
        <v>1</v>
      </c>
      <c r="H162" s="28">
        <v>1</v>
      </c>
      <c r="I162" s="29">
        <f t="shared" si="14"/>
        <v>93.75</v>
      </c>
      <c r="J162" s="29">
        <f t="shared" si="13"/>
        <v>75</v>
      </c>
      <c r="K162" s="29">
        <f t="shared" si="13"/>
        <v>75</v>
      </c>
      <c r="L162" s="31" t="str">
        <f>IF([5]商品具体设计!E105="","",[5]商品具体设计!E105)</f>
        <v>装备使用后获得75经验</v>
      </c>
    </row>
    <row r="163" spans="3:12" x14ac:dyDescent="0.15">
      <c r="C163" s="31">
        <f>IF([5]商品具体设计!B106="","",[5]商品具体设计!B106)</f>
        <v>21154</v>
      </c>
      <c r="D163" s="31" t="str">
        <f>IF([5]商品具体设计!C106="","",[5]商品具体设计!C106)</f>
        <v>超级装备淬炼</v>
      </c>
      <c r="E163" s="31">
        <f>IF([5]商品具体设计!D106="","",[5]商品具体设计!D106)</f>
        <v>150</v>
      </c>
      <c r="F163" s="28">
        <v>1.5</v>
      </c>
      <c r="G163" s="28">
        <v>1</v>
      </c>
      <c r="H163" s="28">
        <v>1</v>
      </c>
      <c r="I163" s="29">
        <f t="shared" si="14"/>
        <v>225</v>
      </c>
      <c r="J163" s="29">
        <f t="shared" si="13"/>
        <v>150</v>
      </c>
      <c r="K163" s="29">
        <f t="shared" si="13"/>
        <v>150</v>
      </c>
      <c r="L163" s="31" t="str">
        <f>IF([5]商品具体设计!E106="","",[5]商品具体设计!E106)</f>
        <v>装备使用后获得150经验</v>
      </c>
    </row>
    <row r="164" spans="3:12" x14ac:dyDescent="0.15">
      <c r="C164" s="31" t="str">
        <f>IF([5]商品具体设计!B107="","",[5]商品具体设计!B107)</f>
        <v/>
      </c>
      <c r="D164" s="31" t="str">
        <f>IF([5]商品具体设计!C107="","",[5]商品具体设计!C107)</f>
        <v/>
      </c>
      <c r="E164" s="31" t="str">
        <f>IF([5]商品具体设计!D107="","",[5]商品具体设计!D107)</f>
        <v/>
      </c>
      <c r="I164" s="29" t="str">
        <f t="shared" si="14"/>
        <v/>
      </c>
      <c r="J164" s="29" t="str">
        <f t="shared" si="13"/>
        <v/>
      </c>
      <c r="K164" s="29" t="str">
        <f t="shared" si="13"/>
        <v/>
      </c>
      <c r="L164" s="31" t="str">
        <f>IF([5]商品具体设计!E107="","",[5]商品具体设计!E107)</f>
        <v/>
      </c>
    </row>
    <row r="165" spans="3:12" x14ac:dyDescent="0.15">
      <c r="C165" s="31">
        <f>IF([5]商品具体设计!B108="","",[5]商品具体设计!B108)</f>
        <v>21500</v>
      </c>
      <c r="D165" s="31" t="str">
        <f>IF([5]商品具体设计!C108="","",[5]商品具体设计!C108)</f>
        <v>随机迁城令</v>
      </c>
      <c r="E165" s="31">
        <f>IF([5]商品具体设计!D108="","",[5]商品具体设计!D108)</f>
        <v>100</v>
      </c>
      <c r="F165" s="28">
        <v>1</v>
      </c>
      <c r="G165" s="28">
        <v>1</v>
      </c>
      <c r="H165" s="28">
        <v>1</v>
      </c>
      <c r="I165" s="29">
        <f t="shared" si="14"/>
        <v>100</v>
      </c>
      <c r="J165" s="29">
        <f t="shared" si="13"/>
        <v>100</v>
      </c>
      <c r="K165" s="29">
        <f t="shared" si="13"/>
        <v>100</v>
      </c>
      <c r="L165" s="31" t="str">
        <f>IF([5]商品具体设计!E108="","",[5]商品具体设计!E108)</f>
        <v>使用后城池迁移到随机位置</v>
      </c>
    </row>
    <row r="166" spans="3:12" x14ac:dyDescent="0.15">
      <c r="C166" s="31">
        <f>IF([5]商品具体设计!B109="","",[5]商品具体设计!B109)</f>
        <v>21501</v>
      </c>
      <c r="D166" s="31" t="str">
        <f>IF([5]商品具体设计!C109="","",[5]商品具体设计!C109)</f>
        <v>九州迁城令</v>
      </c>
      <c r="E166" s="31">
        <f>IF([5]商品具体设计!D109="","",[5]商品具体设计!D109)</f>
        <v>300</v>
      </c>
      <c r="F166" s="28">
        <v>1</v>
      </c>
      <c r="G166" s="28">
        <v>1</v>
      </c>
      <c r="H166" s="28">
        <v>1</v>
      </c>
      <c r="I166" s="29">
        <f t="shared" si="14"/>
        <v>300</v>
      </c>
      <c r="J166" s="29">
        <f t="shared" si="13"/>
        <v>300</v>
      </c>
      <c r="K166" s="29">
        <f t="shared" si="13"/>
        <v>300</v>
      </c>
      <c r="L166" s="31" t="str">
        <f>IF([5]商品具体设计!E109="","",[5]商品具体设计!E109)</f>
        <v>使用后城池迁移到指定位置</v>
      </c>
    </row>
    <row r="167" spans="3:12" x14ac:dyDescent="0.15">
      <c r="C167" s="31">
        <f>IF([5]商品具体设计!B110="","",[5]商品具体设计!B110)</f>
        <v>21504</v>
      </c>
      <c r="D167" s="31" t="str">
        <f>IF([5]商品具体设计!C110="","",[5]商品具体设计!C110)</f>
        <v>国内迁城令</v>
      </c>
      <c r="E167" s="31">
        <f>IF([5]商品具体设计!D110="","",[5]商品具体设计!D110)</f>
        <v>100</v>
      </c>
      <c r="F167" s="28">
        <v>1</v>
      </c>
      <c r="G167" s="28">
        <v>1</v>
      </c>
      <c r="H167" s="28">
        <v>1</v>
      </c>
      <c r="I167" s="29">
        <f t="shared" si="14"/>
        <v>100</v>
      </c>
      <c r="J167" s="29">
        <f t="shared" si="13"/>
        <v>100</v>
      </c>
      <c r="K167" s="29">
        <f t="shared" si="13"/>
        <v>100</v>
      </c>
      <c r="L167" s="31" t="str">
        <f>IF([5]商品具体设计!E110="","",[5]商品具体设计!E110)</f>
        <v>使用后城池迁移到国内指定位置</v>
      </c>
    </row>
    <row r="168" spans="3:12" x14ac:dyDescent="0.15">
      <c r="C168" s="31">
        <f>IF([5]商品具体设计!B111="","",[5]商品具体设计!B111)</f>
        <v>21502</v>
      </c>
      <c r="D168" s="31" t="str">
        <f>IF([5]商品具体设计!C111="","",[5]商品具体设计!C111)</f>
        <v>校武牌</v>
      </c>
      <c r="E168" s="31">
        <f>IF([5]商品具体设计!D111="","",[5]商品具体设计!D111)</f>
        <v>20</v>
      </c>
      <c r="F168" s="28">
        <v>1</v>
      </c>
      <c r="G168" s="28">
        <v>1</v>
      </c>
      <c r="H168" s="28">
        <v>1</v>
      </c>
      <c r="I168" s="29">
        <f t="shared" si="14"/>
        <v>20</v>
      </c>
      <c r="J168" s="29">
        <f t="shared" si="13"/>
        <v>20</v>
      </c>
      <c r="K168" s="29">
        <f t="shared" si="13"/>
        <v>20</v>
      </c>
      <c r="L168" s="31" t="str">
        <f>IF([5]商品具体设计!E111="","",[5]商品具体设计!E111)</f>
        <v>使用后增加1次校场挑战机会</v>
      </c>
    </row>
    <row r="169" spans="3:12" x14ac:dyDescent="0.15">
      <c r="C169" s="31">
        <f>IF([5]商品具体设计!B112="","",[5]商品具体设计!B112)</f>
        <v>21503</v>
      </c>
      <c r="D169" s="31" t="str">
        <f>IF([5]商品具体设计!C112="","",[5]商品具体设计!C112)</f>
        <v>复仇令</v>
      </c>
      <c r="E169" s="31">
        <f>IF([5]商品具体设计!D112="","",[5]商品具体设计!D112)</f>
        <v>50</v>
      </c>
      <c r="F169" s="28">
        <v>1</v>
      </c>
      <c r="G169" s="28">
        <v>1</v>
      </c>
      <c r="H169" s="28">
        <v>1</v>
      </c>
      <c r="I169" s="29">
        <f t="shared" si="14"/>
        <v>50</v>
      </c>
      <c r="J169" s="29">
        <f t="shared" si="13"/>
        <v>50</v>
      </c>
      <c r="K169" s="29">
        <f t="shared" si="13"/>
        <v>50</v>
      </c>
      <c r="L169" s="31" t="str">
        <f>IF([5]商品具体设计!E112="","",[5]商品具体设计!E112)</f>
        <v>被其他玩家攻击后，可以通过复仇令追查到该玩家城池所在坐标</v>
      </c>
    </row>
    <row r="170" spans="3:12" x14ac:dyDescent="0.15">
      <c r="C170" s="31" t="str">
        <f>IF([5]商品具体设计!B113="","",[5]商品具体设计!B113)</f>
        <v/>
      </c>
      <c r="D170" s="31" t="str">
        <f>IF([5]商品具体设计!C113="","",[5]商品具体设计!C113)</f>
        <v/>
      </c>
      <c r="E170" s="31" t="str">
        <f>IF([5]商品具体设计!D113="","",[5]商品具体设计!D113)</f>
        <v/>
      </c>
      <c r="I170" s="29" t="str">
        <f t="shared" si="14"/>
        <v/>
      </c>
      <c r="J170" s="29" t="str">
        <f t="shared" si="13"/>
        <v/>
      </c>
      <c r="K170" s="29" t="str">
        <f t="shared" si="13"/>
        <v/>
      </c>
      <c r="L170" s="31" t="str">
        <f>IF([5]商品具体设计!E113="","",[5]商品具体设计!E113)</f>
        <v/>
      </c>
    </row>
    <row r="171" spans="3:12" x14ac:dyDescent="0.15">
      <c r="C171" s="31">
        <f>IF([5]商品具体设计!B114="","",[5]商品具体设计!B114)</f>
        <v>26400</v>
      </c>
      <c r="D171" s="31" t="str">
        <f>IF([5]商品具体设计!C114="","",[5]商品具体设计!C114)</f>
        <v>步兵虎符</v>
      </c>
      <c r="E171" s="31">
        <f>IF([5]商品具体设计!D114="","",[5]商品具体设计!D114)</f>
        <v>200</v>
      </c>
      <c r="F171" s="28">
        <v>1</v>
      </c>
      <c r="G171" s="28">
        <v>1</v>
      </c>
      <c r="H171" s="28">
        <v>1</v>
      </c>
      <c r="I171" s="29">
        <f t="shared" si="14"/>
        <v>200</v>
      </c>
      <c r="J171" s="29">
        <f t="shared" si="13"/>
        <v>200</v>
      </c>
      <c r="K171" s="29">
        <f t="shared" si="13"/>
        <v>200</v>
      </c>
      <c r="L171" s="31" t="str">
        <f>IF([5]商品具体设计!E114="","",[5]商品具体设计!E114)</f>
        <v>使用后立即获得10000步兵新兵</v>
      </c>
    </row>
    <row r="172" spans="3:12" x14ac:dyDescent="0.15">
      <c r="C172" s="31">
        <f>IF([5]商品具体设计!B115="","",[5]商品具体设计!B115)</f>
        <v>26401</v>
      </c>
      <c r="D172" s="31" t="str">
        <f>IF([5]商品具体设计!C115="","",[5]商品具体设计!C115)</f>
        <v>骑兵虎符</v>
      </c>
      <c r="E172" s="31">
        <f>IF([5]商品具体设计!D115="","",[5]商品具体设计!D115)</f>
        <v>200</v>
      </c>
      <c r="F172" s="28">
        <v>1</v>
      </c>
      <c r="G172" s="28">
        <v>1</v>
      </c>
      <c r="H172" s="28">
        <v>1</v>
      </c>
      <c r="I172" s="29">
        <f t="shared" si="14"/>
        <v>200</v>
      </c>
      <c r="J172" s="29">
        <f t="shared" si="13"/>
        <v>200</v>
      </c>
      <c r="K172" s="29">
        <f t="shared" si="13"/>
        <v>200</v>
      </c>
      <c r="L172" s="31" t="str">
        <f>IF([5]商品具体设计!E115="","",[5]商品具体设计!E115)</f>
        <v>使用后立即获得10000骑兵新兵</v>
      </c>
    </row>
    <row r="173" spans="3:12" x14ac:dyDescent="0.15">
      <c r="C173" s="31">
        <f>IF([5]商品具体设计!B116="","",[5]商品具体设计!B116)</f>
        <v>26402</v>
      </c>
      <c r="D173" s="31" t="str">
        <f>IF([5]商品具体设计!C116="","",[5]商品具体设计!C116)</f>
        <v>弓箭虎符</v>
      </c>
      <c r="E173" s="31">
        <f>IF([5]商品具体设计!D116="","",[5]商品具体设计!D116)</f>
        <v>200</v>
      </c>
      <c r="F173" s="28">
        <v>1</v>
      </c>
      <c r="G173" s="28">
        <v>1</v>
      </c>
      <c r="H173" s="28">
        <v>1</v>
      </c>
      <c r="I173" s="29">
        <f t="shared" si="14"/>
        <v>200</v>
      </c>
      <c r="J173" s="29">
        <f t="shared" si="13"/>
        <v>200</v>
      </c>
      <c r="K173" s="29">
        <f t="shared" si="13"/>
        <v>200</v>
      </c>
      <c r="L173" s="31" t="str">
        <f>IF([5]商品具体设计!E116="","",[5]商品具体设计!E116)</f>
        <v>使用后立即获得10000弓箭新兵</v>
      </c>
    </row>
    <row r="174" spans="3:12" x14ac:dyDescent="0.15">
      <c r="C174" s="31">
        <f>IF([5]商品具体设计!B117="","",[5]商品具体设计!B117)</f>
        <v>26403</v>
      </c>
      <c r="D174" s="31" t="str">
        <f>IF([5]商品具体设计!C117="","",[5]商品具体设计!C117)</f>
        <v>器械虎符</v>
      </c>
      <c r="E174" s="31">
        <f>IF([5]商品具体设计!D117="","",[5]商品具体设计!D117)</f>
        <v>200</v>
      </c>
      <c r="F174" s="28">
        <v>1</v>
      </c>
      <c r="G174" s="28">
        <v>1</v>
      </c>
      <c r="H174" s="28">
        <v>1</v>
      </c>
      <c r="I174" s="29">
        <f t="shared" si="14"/>
        <v>200</v>
      </c>
      <c r="J174" s="29">
        <f t="shared" si="13"/>
        <v>200</v>
      </c>
      <c r="K174" s="29">
        <f t="shared" si="13"/>
        <v>200</v>
      </c>
      <c r="L174" s="31" t="str">
        <f>IF([5]商品具体设计!E117="","",[5]商品具体设计!E117)</f>
        <v>使用后立即获得10000器械兵新兵</v>
      </c>
    </row>
    <row r="175" spans="3:12" x14ac:dyDescent="0.15">
      <c r="C175" s="31" t="str">
        <f>IF([5]商品具体设计!B118="","",[5]商品具体设计!B118)</f>
        <v/>
      </c>
      <c r="D175" s="31" t="str">
        <f>IF([5]商品具体设计!C118="","",[5]商品具体设计!C118)</f>
        <v/>
      </c>
      <c r="E175" s="31" t="str">
        <f>IF([5]商品具体设计!D118="","",[5]商品具体设计!D118)</f>
        <v/>
      </c>
      <c r="I175" s="29" t="str">
        <f t="shared" si="14"/>
        <v/>
      </c>
      <c r="J175" s="29" t="str">
        <f t="shared" si="13"/>
        <v/>
      </c>
      <c r="K175" s="29" t="str">
        <f t="shared" si="13"/>
        <v/>
      </c>
      <c r="L175" s="31" t="str">
        <f>IF([5]商品具体设计!E118="","",[5]商品具体设计!E118)</f>
        <v/>
      </c>
    </row>
    <row r="176" spans="3:12" x14ac:dyDescent="0.15">
      <c r="C176" s="31">
        <f>IF([5]商品具体设计!B119="","",[5]商品具体设计!B119)</f>
        <v>26500</v>
      </c>
      <c r="D176" s="31" t="str">
        <f>IF([5]商品具体设计!C119="","",[5]商品具体设计!C119)</f>
        <v>兵法宝箱</v>
      </c>
      <c r="E176" s="31">
        <f>IF([5]商品具体设计!D119="","",[5]商品具体设计!D119)</f>
        <v>250</v>
      </c>
      <c r="F176" s="28">
        <v>1</v>
      </c>
      <c r="G176" s="28">
        <v>1</v>
      </c>
      <c r="H176" s="28">
        <v>1</v>
      </c>
      <c r="I176" s="29">
        <f t="shared" si="14"/>
        <v>250</v>
      </c>
      <c r="J176" s="29">
        <f t="shared" si="13"/>
        <v>250</v>
      </c>
      <c r="K176" s="29">
        <f t="shared" si="13"/>
        <v>250</v>
      </c>
      <c r="L176" s="31" t="str">
        <f>IF([5]商品具体设计!E119="","",[5]商品具体设计!E119)</f>
        <v>使用后随机获得1个兵法</v>
      </c>
    </row>
    <row r="177" spans="3:12" x14ac:dyDescent="0.15">
      <c r="C177" s="31">
        <f>IF([5]商品具体设计!B120="","",[5]商品具体设计!B120)</f>
        <v>26501</v>
      </c>
      <c r="D177" s="31" t="str">
        <f>IF([5]商品具体设计!C120="","",[5]商品具体设计!C120)</f>
        <v>蓝色兵法宝箱</v>
      </c>
      <c r="E177" s="31">
        <f>IF([5]商品具体设计!D120="","",[5]商品具体设计!D120)</f>
        <v>50</v>
      </c>
      <c r="F177" s="28">
        <v>1</v>
      </c>
      <c r="G177" s="28">
        <v>1</v>
      </c>
      <c r="H177" s="28">
        <v>1</v>
      </c>
      <c r="I177" s="29">
        <f t="shared" si="14"/>
        <v>50</v>
      </c>
      <c r="J177" s="29">
        <f t="shared" si="13"/>
        <v>50</v>
      </c>
      <c r="K177" s="29">
        <f t="shared" si="13"/>
        <v>50</v>
      </c>
      <c r="L177" s="31" t="str">
        <f>IF([5]商品具体设计!E120="","",[5]商品具体设计!E120)</f>
        <v>使用后随机获得1个蓝色品质兵法</v>
      </c>
    </row>
    <row r="178" spans="3:12" x14ac:dyDescent="0.15">
      <c r="C178" s="31">
        <f>IF([5]商品具体设计!B121="","",[5]商品具体设计!B121)</f>
        <v>26502</v>
      </c>
      <c r="D178" s="31" t="str">
        <f>IF([5]商品具体设计!C121="","",[5]商品具体设计!C121)</f>
        <v>紫色兵法宝箱</v>
      </c>
      <c r="E178" s="31">
        <f>IF([5]商品具体设计!D121="","",[5]商品具体设计!D121)</f>
        <v>500</v>
      </c>
      <c r="F178" s="28">
        <v>1</v>
      </c>
      <c r="G178" s="28">
        <v>1</v>
      </c>
      <c r="H178" s="28">
        <v>1</v>
      </c>
      <c r="I178" s="29">
        <f t="shared" si="14"/>
        <v>500</v>
      </c>
      <c r="J178" s="29">
        <f t="shared" si="13"/>
        <v>500</v>
      </c>
      <c r="K178" s="29">
        <f t="shared" si="13"/>
        <v>500</v>
      </c>
      <c r="L178" s="31" t="str">
        <f>IF([5]商品具体设计!E121="","",[5]商品具体设计!E121)</f>
        <v>使用后随机获得1个紫色品质兵法</v>
      </c>
    </row>
    <row r="179" spans="3:12" x14ac:dyDescent="0.15">
      <c r="C179" s="31">
        <f>IF([5]商品具体设计!B122="","",[5]商品具体设计!B122)</f>
        <v>26503</v>
      </c>
      <c r="D179" s="31" t="str">
        <f>IF([5]商品具体设计!C122="","",[5]商品具体设计!C122)</f>
        <v>橙色兵法宝箱</v>
      </c>
      <c r="E179" s="31">
        <f>IF([5]商品具体设计!D122="","",[5]商品具体设计!D122)</f>
        <v>1680</v>
      </c>
      <c r="F179" s="28">
        <v>1</v>
      </c>
      <c r="G179" s="28">
        <v>1</v>
      </c>
      <c r="H179" s="28">
        <v>1</v>
      </c>
      <c r="I179" s="29">
        <f t="shared" si="14"/>
        <v>1680</v>
      </c>
      <c r="J179" s="29">
        <f t="shared" si="13"/>
        <v>1680</v>
      </c>
      <c r="K179" s="29">
        <f t="shared" si="13"/>
        <v>1680</v>
      </c>
      <c r="L179" s="31" t="str">
        <f>IF([5]商品具体设计!E122="","",[5]商品具体设计!E122)</f>
        <v>使用后随机获得1个橙色品质兵法</v>
      </c>
    </row>
    <row r="180" spans="3:12" x14ac:dyDescent="0.15">
      <c r="C180" s="31">
        <f>IF([5]商品具体设计!B123="","",[5]商品具体设计!B123)</f>
        <v>26504</v>
      </c>
      <c r="D180" s="31" t="str">
        <f>IF([5]商品具体设计!C123="","",[5]商品具体设计!C123)</f>
        <v>红色兵法宝箱</v>
      </c>
      <c r="E180" s="31">
        <f>IF([5]商品具体设计!D123="","",[5]商品具体设计!D123)</f>
        <v>14100</v>
      </c>
      <c r="F180" s="28">
        <v>1</v>
      </c>
      <c r="G180" s="28">
        <v>1</v>
      </c>
      <c r="H180" s="28">
        <v>1</v>
      </c>
      <c r="I180" s="29">
        <f t="shared" si="14"/>
        <v>14100</v>
      </c>
      <c r="J180" s="29">
        <f t="shared" si="13"/>
        <v>14100</v>
      </c>
      <c r="K180" s="29">
        <f t="shared" si="13"/>
        <v>14100</v>
      </c>
      <c r="L180" s="31" t="str">
        <f>IF([5]商品具体设计!E123="","",[5]商品具体设计!E123)</f>
        <v>使用后随机获得1个红色品质兵法</v>
      </c>
    </row>
    <row r="181" spans="3:12" x14ac:dyDescent="0.15">
      <c r="C181" s="31" t="str">
        <f>IF([5]商品具体设计!B124="","",[5]商品具体设计!B124)</f>
        <v/>
      </c>
      <c r="D181" s="31" t="str">
        <f>IF([5]商品具体设计!C124="","",[5]商品具体设计!C124)</f>
        <v>指定or任选蓝色兵法</v>
      </c>
      <c r="E181" s="31">
        <f>IF([5]商品具体设计!D124="","",[5]商品具体设计!D124)</f>
        <v>35</v>
      </c>
      <c r="F181" s="28">
        <v>1</v>
      </c>
      <c r="G181" s="28">
        <v>1</v>
      </c>
      <c r="H181" s="28">
        <v>1</v>
      </c>
      <c r="I181" s="29">
        <f t="shared" si="14"/>
        <v>35</v>
      </c>
      <c r="J181" s="29">
        <f t="shared" si="13"/>
        <v>35</v>
      </c>
      <c r="K181" s="29">
        <f t="shared" si="13"/>
        <v>35</v>
      </c>
      <c r="L181" s="31" t="str">
        <f>IF([5]商品具体设计!E124="","",[5]商品具体设计!E124)</f>
        <v/>
      </c>
    </row>
    <row r="182" spans="3:12" x14ac:dyDescent="0.15">
      <c r="C182" s="31" t="str">
        <f>IF([5]商品具体设计!B125="","",[5]商品具体设计!B125)</f>
        <v/>
      </c>
      <c r="D182" s="31" t="str">
        <f>IF([5]商品具体设计!C125="","",[5]商品具体设计!C125)</f>
        <v>指定or任选紫色兵法</v>
      </c>
      <c r="E182" s="31">
        <f>IF([5]商品具体设计!D125="","",[5]商品具体设计!D125)</f>
        <v>750</v>
      </c>
      <c r="F182" s="28">
        <v>1</v>
      </c>
      <c r="G182" s="28">
        <v>1</v>
      </c>
      <c r="H182" s="28">
        <v>1</v>
      </c>
      <c r="I182" s="29">
        <f t="shared" si="14"/>
        <v>750</v>
      </c>
      <c r="J182" s="29">
        <f t="shared" si="13"/>
        <v>750</v>
      </c>
      <c r="K182" s="29">
        <f t="shared" si="13"/>
        <v>750</v>
      </c>
      <c r="L182" s="31" t="str">
        <f>IF([5]商品具体设计!E125="","",[5]商品具体设计!E125)</f>
        <v/>
      </c>
    </row>
    <row r="183" spans="3:12" x14ac:dyDescent="0.15">
      <c r="C183" s="31" t="str">
        <f>IF([5]商品具体设计!B126="","",[5]商品具体设计!B126)</f>
        <v/>
      </c>
      <c r="D183" s="31" t="str">
        <f>IF([5]商品具体设计!C126="","",[5]商品具体设计!C126)</f>
        <v>指定or任选橙色兵法</v>
      </c>
      <c r="E183" s="31">
        <f>IF([5]商品具体设计!D126="","",[5]商品具体设计!D126)</f>
        <v>3350</v>
      </c>
      <c r="F183" s="28">
        <v>1</v>
      </c>
      <c r="G183" s="28">
        <v>1</v>
      </c>
      <c r="H183" s="28">
        <v>1</v>
      </c>
      <c r="I183" s="29">
        <f t="shared" si="14"/>
        <v>3350</v>
      </c>
      <c r="J183" s="29">
        <f t="shared" ref="J183:K246" si="15">IF($E183="","",$E183*G183)</f>
        <v>3350</v>
      </c>
      <c r="K183" s="29">
        <f t="shared" si="15"/>
        <v>3350</v>
      </c>
      <c r="L183" s="31" t="str">
        <f>IF([5]商品具体设计!E126="","",[5]商品具体设计!E126)</f>
        <v/>
      </c>
    </row>
    <row r="184" spans="3:12" x14ac:dyDescent="0.15">
      <c r="C184" s="31" t="str">
        <f>IF([5]商品具体设计!B127="","",[5]商品具体设计!B127)</f>
        <v/>
      </c>
      <c r="D184" s="31" t="str">
        <f>IF([5]商品具体设计!C127="","",[5]商品具体设计!C127)</f>
        <v>指定or任选红色兵法</v>
      </c>
      <c r="E184" s="31">
        <f>IF([5]商品具体设计!D127="","",[5]商品具体设计!D127)</f>
        <v>9165</v>
      </c>
      <c r="F184" s="28">
        <v>1</v>
      </c>
      <c r="G184" s="28">
        <v>1</v>
      </c>
      <c r="H184" s="28">
        <v>1</v>
      </c>
      <c r="I184" s="29">
        <f t="shared" si="14"/>
        <v>9165</v>
      </c>
      <c r="J184" s="29">
        <f t="shared" si="15"/>
        <v>9165</v>
      </c>
      <c r="K184" s="29">
        <f t="shared" si="15"/>
        <v>9165</v>
      </c>
      <c r="L184" s="31" t="str">
        <f>IF([5]商品具体设计!E127="","",[5]商品具体设计!E127)</f>
        <v/>
      </c>
    </row>
    <row r="185" spans="3:12" x14ac:dyDescent="0.15">
      <c r="C185" s="31">
        <f>IF([5]商品具体设计!B128="","",[5]商品具体设计!B128)</f>
        <v>26505</v>
      </c>
      <c r="D185" s="31" t="str">
        <f>IF([5]商品具体设计!C128="","",[5]商品具体设计!C128)</f>
        <v>兵家信物</v>
      </c>
      <c r="E185" s="31">
        <f>IF([5]商品具体设计!D128="","",[5]商品具体设计!D128)</f>
        <v>300</v>
      </c>
      <c r="F185" s="28">
        <v>1</v>
      </c>
      <c r="G185" s="28">
        <v>1</v>
      </c>
      <c r="H185" s="28">
        <v>1</v>
      </c>
      <c r="I185" s="29">
        <f t="shared" si="14"/>
        <v>300</v>
      </c>
      <c r="J185" s="29">
        <f t="shared" si="15"/>
        <v>300</v>
      </c>
      <c r="K185" s="29">
        <f t="shared" si="15"/>
        <v>300</v>
      </c>
      <c r="L185" s="31" t="str">
        <f>IF([5]商品具体设计!E128="","",[5]商品具体设计!E128)</f>
        <v>抽取兵法时消耗的道具（赠送10个5分钟通用加速）</v>
      </c>
    </row>
    <row r="186" spans="3:12" x14ac:dyDescent="0.15">
      <c r="C186" s="31" t="str">
        <f>IF([5]商品具体设计!B129="","",[5]商品具体设计!B129)</f>
        <v/>
      </c>
      <c r="D186" s="31" t="str">
        <f>IF([5]商品具体设计!C129="","",[5]商品具体设计!C129)</f>
        <v/>
      </c>
      <c r="E186" s="31" t="str">
        <f>IF([5]商品具体设计!D129="","",[5]商品具体设计!D129)</f>
        <v/>
      </c>
      <c r="I186" s="29" t="str">
        <f t="shared" si="14"/>
        <v/>
      </c>
      <c r="J186" s="29" t="str">
        <f t="shared" si="15"/>
        <v/>
      </c>
      <c r="K186" s="29" t="str">
        <f t="shared" si="15"/>
        <v/>
      </c>
      <c r="L186" s="31" t="str">
        <f>IF([5]商品具体设计!E129="","",[5]商品具体设计!E129)</f>
        <v/>
      </c>
    </row>
    <row r="187" spans="3:12" x14ac:dyDescent="0.15">
      <c r="C187" s="31" t="str">
        <f>IF([5]商品具体设计!B130="","",[5]商品具体设计!B130)</f>
        <v/>
      </c>
      <c r="D187" s="31" t="str">
        <f>IF([5]商品具体设计!C130="","",[5]商品具体设计!C130)</f>
        <v/>
      </c>
      <c r="E187" s="31" t="str">
        <f>IF([5]商品具体设计!D130="","",[5]商品具体设计!D130)</f>
        <v/>
      </c>
      <c r="I187" s="29" t="str">
        <f t="shared" si="14"/>
        <v/>
      </c>
      <c r="J187" s="29" t="str">
        <f t="shared" si="15"/>
        <v/>
      </c>
      <c r="K187" s="29" t="str">
        <f t="shared" si="15"/>
        <v/>
      </c>
      <c r="L187" s="31" t="str">
        <f>IF([5]商品具体设计!E130="","",[5]商品具体设计!E130)</f>
        <v/>
      </c>
    </row>
    <row r="188" spans="3:12" x14ac:dyDescent="0.15">
      <c r="C188" s="31">
        <f>IF([5]商品具体设计!B131="","",[5]商品具体设计!B131)</f>
        <v>26520</v>
      </c>
      <c r="D188" s="31" t="str">
        <f>IF([5]商品具体设计!C131="","",[5]商品具体设计!C131)</f>
        <v>紫色兵法自选宝箱</v>
      </c>
      <c r="E188" s="31">
        <f>IF([5]商品具体设计!D131="","",[5]商品具体设计!D131)</f>
        <v>750</v>
      </c>
      <c r="F188" s="28">
        <v>1</v>
      </c>
      <c r="G188" s="28">
        <v>1</v>
      </c>
      <c r="H188" s="28">
        <v>1</v>
      </c>
      <c r="I188" s="29">
        <f t="shared" si="14"/>
        <v>750</v>
      </c>
      <c r="J188" s="29">
        <f t="shared" si="15"/>
        <v>750</v>
      </c>
      <c r="K188" s="29">
        <f t="shared" si="15"/>
        <v>750</v>
      </c>
      <c r="L188" s="31" t="str">
        <f>IF([5]商品具体设计!E131="","",[5]商品具体设计!E131)</f>
        <v>使用后可选择一个紫色兵法。紫色兵法：攻其不备、出奇制胜、破军夺志</v>
      </c>
    </row>
    <row r="189" spans="3:12" x14ac:dyDescent="0.15">
      <c r="C189" s="31">
        <f>IF([5]商品具体设计!B132="","",[5]商品具体设计!B132)</f>
        <v>26521</v>
      </c>
      <c r="D189" s="31" t="str">
        <f>IF([5]商品具体设计!C132="","",[5]商品具体设计!C132)</f>
        <v>橙色兵法自选宝箱</v>
      </c>
      <c r="E189" s="31">
        <f>IF([5]商品具体设计!D132="","",[5]商品具体设计!D132)</f>
        <v>3350</v>
      </c>
      <c r="F189" s="28">
        <v>1</v>
      </c>
      <c r="G189" s="28">
        <v>1</v>
      </c>
      <c r="H189" s="28">
        <v>1</v>
      </c>
      <c r="I189" s="29">
        <f t="shared" si="14"/>
        <v>3350</v>
      </c>
      <c r="J189" s="29">
        <f t="shared" si="15"/>
        <v>3350</v>
      </c>
      <c r="K189" s="29">
        <f t="shared" si="15"/>
        <v>3350</v>
      </c>
      <c r="L189" s="31" t="str">
        <f>IF([5]商品具体设计!E132="","",[5]商品具体设计!E132)</f>
        <v>使用后可选择一个橙色兵法。橙色兵法：援军秘策、养精蓄锐、退敌千里、奇佐鬼谋</v>
      </c>
    </row>
    <row r="190" spans="3:12" x14ac:dyDescent="0.15">
      <c r="C190" s="31" t="str">
        <f>IF([5]商品具体设计!B133="","",[5]商品具体设计!B133)</f>
        <v/>
      </c>
      <c r="D190" s="31" t="str">
        <f>IF([5]商品具体设计!C133="","",[5]商品具体设计!C133)</f>
        <v/>
      </c>
      <c r="E190" s="31" t="str">
        <f>IF([5]商品具体设计!D133="","",[5]商品具体设计!D133)</f>
        <v/>
      </c>
      <c r="I190" s="29" t="str">
        <f t="shared" si="14"/>
        <v/>
      </c>
      <c r="J190" s="29" t="str">
        <f t="shared" si="15"/>
        <v/>
      </c>
      <c r="K190" s="29" t="str">
        <f t="shared" si="15"/>
        <v/>
      </c>
      <c r="L190" s="31" t="str">
        <f>IF([5]商品具体设计!E133="","",[5]商品具体设计!E133)</f>
        <v/>
      </c>
    </row>
    <row r="191" spans="3:12" x14ac:dyDescent="0.15">
      <c r="C191" s="31">
        <f>IF([5]商品具体设计!B134="","",[5]商品具体设计!B134)</f>
        <v>26551</v>
      </c>
      <c r="D191" s="31" t="str">
        <f>IF([5]商品具体设计!C134="","",[5]商品具体设计!C134)</f>
        <v>虎符宝箱</v>
      </c>
      <c r="E191" s="31">
        <f>IF([5]商品具体设计!D134="","",[5]商品具体设计!D134)</f>
        <v>160</v>
      </c>
      <c r="F191" s="28">
        <v>1</v>
      </c>
      <c r="G191" s="28">
        <v>1</v>
      </c>
      <c r="H191" s="28">
        <v>1</v>
      </c>
      <c r="I191" s="29">
        <f t="shared" si="14"/>
        <v>160</v>
      </c>
      <c r="J191" s="29">
        <f t="shared" si="15"/>
        <v>160</v>
      </c>
      <c r="K191" s="29">
        <f t="shared" si="15"/>
        <v>160</v>
      </c>
      <c r="L191" s="31" t="str">
        <f>IF([5]商品具体设计!E134="","",[5]商品具体设计!E134)</f>
        <v>使用后随机获得1个虎符</v>
      </c>
    </row>
    <row r="192" spans="3:12" x14ac:dyDescent="0.15">
      <c r="C192" s="31">
        <f>IF([5]商品具体设计!B135="","",[5]商品具体设计!B135)</f>
        <v>26552</v>
      </c>
      <c r="D192" s="31" t="str">
        <f>IF([5]商品具体设计!C135="","",[5]商品具体设计!C135)</f>
        <v>1级贡品宝箱</v>
      </c>
      <c r="E192" s="31">
        <f>IF([5]商品具体设计!D135="","",[5]商品具体设计!D135)</f>
        <v>40</v>
      </c>
      <c r="F192" s="28">
        <v>1</v>
      </c>
      <c r="G192" s="28">
        <v>1</v>
      </c>
      <c r="H192" s="28">
        <v>1</v>
      </c>
      <c r="I192" s="29">
        <f t="shared" si="14"/>
        <v>40</v>
      </c>
      <c r="J192" s="29">
        <f t="shared" si="15"/>
        <v>40</v>
      </c>
      <c r="K192" s="29">
        <f t="shared" si="15"/>
        <v>40</v>
      </c>
      <c r="L192" s="31" t="str">
        <f>IF([5]商品具体设计!E135="","",[5]商品具体设计!E135)</f>
        <v>使用后随机获得铜镜、陶罐中的1个贡品</v>
      </c>
    </row>
    <row r="193" spans="3:12" x14ac:dyDescent="0.15">
      <c r="C193" s="31">
        <f>IF([5]商品具体设计!B136="","",[5]商品具体设计!B136)</f>
        <v>26553</v>
      </c>
      <c r="D193" s="31" t="str">
        <f>IF([5]商品具体设计!C136="","",[5]商品具体设计!C136)</f>
        <v>2级贡品宝箱</v>
      </c>
      <c r="E193" s="31">
        <f>IF([5]商品具体设计!D136="","",[5]商品具体设计!D136)</f>
        <v>60</v>
      </c>
      <c r="F193" s="28">
        <v>1</v>
      </c>
      <c r="G193" s="28">
        <v>1</v>
      </c>
      <c r="H193" s="28">
        <v>1</v>
      </c>
      <c r="I193" s="29">
        <f t="shared" si="14"/>
        <v>60</v>
      </c>
      <c r="J193" s="29">
        <f t="shared" si="15"/>
        <v>60</v>
      </c>
      <c r="K193" s="29">
        <f t="shared" si="15"/>
        <v>60</v>
      </c>
      <c r="L193" s="31" t="str">
        <f>IF([5]商品具体设计!E136="","",[5]商品具体设计!E136)</f>
        <v>使用后随机获得水晶杯、香鼎、铜壶中的1个贡品</v>
      </c>
    </row>
    <row r="194" spans="3:12" x14ac:dyDescent="0.15">
      <c r="C194" s="31">
        <f>IF([5]商品具体设计!B137="","",[5]商品具体设计!B137)</f>
        <v>26554</v>
      </c>
      <c r="D194" s="31" t="str">
        <f>IF([5]商品具体设计!C137="","",[5]商品具体设计!C137)</f>
        <v>3级贡品宝箱</v>
      </c>
      <c r="E194" s="31">
        <f>IF([5]商品具体设计!D137="","",[5]商品具体设计!D137)</f>
        <v>80</v>
      </c>
      <c r="F194" s="28">
        <v>1</v>
      </c>
      <c r="G194" s="28">
        <v>1</v>
      </c>
      <c r="H194" s="28">
        <v>1</v>
      </c>
      <c r="I194" s="29">
        <f t="shared" si="14"/>
        <v>80</v>
      </c>
      <c r="J194" s="29">
        <f t="shared" si="15"/>
        <v>80</v>
      </c>
      <c r="K194" s="29">
        <f t="shared" si="15"/>
        <v>80</v>
      </c>
      <c r="L194" s="31" t="str">
        <f>IF([5]商品具体设计!E137="","",[5]商品具体设计!E137)</f>
        <v>使用后随机获得长颈壶、方陶皿、兽头觥、象形尊中的1个贡品</v>
      </c>
    </row>
    <row r="195" spans="3:12" x14ac:dyDescent="0.15">
      <c r="C195" s="31">
        <f>IF([5]商品具体设计!B138="","",[5]商品具体设计!B138)</f>
        <v>26555</v>
      </c>
      <c r="D195" s="31" t="str">
        <f>IF([5]商品具体设计!C138="","",[5]商品具体设计!C138)</f>
        <v>4级贡品宝箱</v>
      </c>
      <c r="E195" s="31">
        <f>IF([5]商品具体设计!D138="","",[5]商品具体设计!D138)</f>
        <v>100</v>
      </c>
      <c r="F195" s="28">
        <v>1</v>
      </c>
      <c r="G195" s="28">
        <v>1</v>
      </c>
      <c r="H195" s="28">
        <v>1</v>
      </c>
      <c r="I195" s="29">
        <f t="shared" si="14"/>
        <v>100</v>
      </c>
      <c r="J195" s="29">
        <f t="shared" si="15"/>
        <v>100</v>
      </c>
      <c r="K195" s="29">
        <f t="shared" si="15"/>
        <v>100</v>
      </c>
      <c r="L195" s="31" t="str">
        <f>IF([5]商品具体设计!E138="","",[5]商品具体设计!E138)</f>
        <v>使用后随机获得冰鉴、螭首盉、三足爵、鎏金缶中的1个贡品</v>
      </c>
    </row>
    <row r="196" spans="3:12" x14ac:dyDescent="0.15">
      <c r="C196" s="31">
        <f>IF([5]商品具体设计!B139="","",[5]商品具体设计!B139)</f>
        <v>26556</v>
      </c>
      <c r="D196" s="31" t="str">
        <f>IF([5]商品具体设计!C139="","",[5]商品具体设计!C139)</f>
        <v>5级贡品宝箱</v>
      </c>
      <c r="E196" s="31">
        <f>IF([5]商品具体设计!D139="","",[5]商品具体设计!D139)</f>
        <v>120</v>
      </c>
      <c r="F196" s="28">
        <v>1</v>
      </c>
      <c r="G196" s="28">
        <v>1</v>
      </c>
      <c r="H196" s="28">
        <v>1</v>
      </c>
      <c r="I196" s="29">
        <f t="shared" si="14"/>
        <v>120</v>
      </c>
      <c r="J196" s="29">
        <f t="shared" si="15"/>
        <v>120</v>
      </c>
      <c r="K196" s="29">
        <f t="shared" si="15"/>
        <v>120</v>
      </c>
      <c r="L196" s="31" t="str">
        <f>IF([5]商品具体设计!E139="","",[5]商品具体设计!E139)</f>
        <v>使用后随机获得锦瑟、编钟、石磬、瑶琴中的1个贡品</v>
      </c>
    </row>
    <row r="197" spans="3:12" x14ac:dyDescent="0.15">
      <c r="C197" s="31">
        <f>IF([5]商品具体设计!B140="","",[5]商品具体设计!B140)</f>
        <v>26557</v>
      </c>
      <c r="D197" s="31" t="str">
        <f>IF([5]商品具体设计!C140="","",[5]商品具体设计!C140)</f>
        <v>6级贡品宝箱</v>
      </c>
      <c r="E197" s="31">
        <f>IF([5]商品具体设计!D140="","",[5]商品具体设计!D140)</f>
        <v>140</v>
      </c>
      <c r="F197" s="28">
        <v>1</v>
      </c>
      <c r="G197" s="28">
        <v>1</v>
      </c>
      <c r="H197" s="28">
        <v>1</v>
      </c>
      <c r="I197" s="29">
        <f t="shared" si="14"/>
        <v>140</v>
      </c>
      <c r="J197" s="29">
        <f t="shared" si="15"/>
        <v>140</v>
      </c>
      <c r="K197" s="29">
        <f t="shared" si="15"/>
        <v>140</v>
      </c>
      <c r="L197" s="31" t="str">
        <f>IF([5]商品具体设计!E140="","",[5]商品具体设计!E140)</f>
        <v>使用后随机获得青圭、赤璋、白琥、玄璜中的1个贡品</v>
      </c>
    </row>
    <row r="198" spans="3:12" x14ac:dyDescent="0.15">
      <c r="C198" s="31" t="str">
        <f>IF([5]商品具体设计!B141="","",[5]商品具体设计!B141)</f>
        <v/>
      </c>
      <c r="D198" s="31" t="str">
        <f>IF([5]商品具体设计!C141="","",[5]商品具体设计!C141)</f>
        <v/>
      </c>
      <c r="E198" s="31" t="str">
        <f>IF([5]商品具体设计!D141="","",[5]商品具体设计!D141)</f>
        <v/>
      </c>
      <c r="I198" s="29" t="str">
        <f t="shared" ref="I198:I261" si="16">IF(E198="","",E198*F198)</f>
        <v/>
      </c>
      <c r="J198" s="29" t="str">
        <f t="shared" si="15"/>
        <v/>
      </c>
      <c r="K198" s="29" t="str">
        <f t="shared" si="15"/>
        <v/>
      </c>
      <c r="L198" s="31" t="str">
        <f>IF([5]商品具体设计!E141="","",[5]商品具体设计!E141)</f>
        <v/>
      </c>
    </row>
    <row r="199" spans="3:12" x14ac:dyDescent="0.15">
      <c r="C199" s="31">
        <f>IF([5]商品具体设计!B142="","",[5]商品具体设计!B142)</f>
        <v>21251</v>
      </c>
      <c r="D199" s="31" t="str">
        <f>IF([5]商品具体设计!C142="","",[5]商品具体设计!C142)</f>
        <v>绿色装备宝箱</v>
      </c>
      <c r="E199" s="31">
        <f>IF([5]商品具体设计!D142="","",[5]商品具体设计!D142)</f>
        <v>35</v>
      </c>
      <c r="F199" s="28">
        <v>1</v>
      </c>
      <c r="G199" s="28">
        <v>1</v>
      </c>
      <c r="H199" s="28">
        <v>1</v>
      </c>
      <c r="I199" s="29">
        <f t="shared" si="16"/>
        <v>35</v>
      </c>
      <c r="J199" s="29">
        <f t="shared" si="15"/>
        <v>35</v>
      </c>
      <c r="K199" s="29">
        <f t="shared" si="15"/>
        <v>35</v>
      </c>
      <c r="L199" s="31" t="str">
        <f>IF([5]商品具体设计!E142="","",[5]商品具体设计!E142)</f>
        <v>使用后随机获得1件品质为绿色的装备</v>
      </c>
    </row>
    <row r="200" spans="3:12" x14ac:dyDescent="0.15">
      <c r="C200" s="31">
        <f>IF([5]商品具体设计!B143="","",[5]商品具体设计!B143)</f>
        <v>21252</v>
      </c>
      <c r="D200" s="31" t="str">
        <f>IF([5]商品具体设计!C143="","",[5]商品具体设计!C143)</f>
        <v>蓝色装备宝箱</v>
      </c>
      <c r="E200" s="31">
        <f>IF([5]商品具体设计!D143="","",[5]商品具体设计!D143)</f>
        <v>75</v>
      </c>
      <c r="F200" s="28">
        <v>1</v>
      </c>
      <c r="G200" s="28">
        <v>1</v>
      </c>
      <c r="H200" s="28">
        <v>1</v>
      </c>
      <c r="I200" s="29">
        <f t="shared" si="16"/>
        <v>75</v>
      </c>
      <c r="J200" s="29">
        <f t="shared" si="15"/>
        <v>75</v>
      </c>
      <c r="K200" s="29">
        <f t="shared" si="15"/>
        <v>75</v>
      </c>
      <c r="L200" s="31" t="str">
        <f>IF([5]商品具体设计!E143="","",[5]商品具体设计!E143)</f>
        <v>使用后随机获得1件品质为蓝色的装备</v>
      </c>
    </row>
    <row r="201" spans="3:12" x14ac:dyDescent="0.15">
      <c r="C201" s="31">
        <f>IF([5]商品具体设计!B144="","",[5]商品具体设计!B144)</f>
        <v>21253</v>
      </c>
      <c r="D201" s="31" t="str">
        <f>IF([5]商品具体设计!C144="","",[5]商品具体设计!C144)</f>
        <v>紫色装备宝箱</v>
      </c>
      <c r="E201" s="31">
        <f>IF([5]商品具体设计!D144="","",[5]商品具体设计!D144)</f>
        <v>150</v>
      </c>
      <c r="F201" s="28">
        <v>1</v>
      </c>
      <c r="G201" s="28">
        <v>1</v>
      </c>
      <c r="H201" s="28">
        <v>1</v>
      </c>
      <c r="I201" s="29">
        <f t="shared" si="16"/>
        <v>150</v>
      </c>
      <c r="J201" s="29">
        <f t="shared" si="15"/>
        <v>150</v>
      </c>
      <c r="K201" s="29">
        <f t="shared" si="15"/>
        <v>150</v>
      </c>
      <c r="L201" s="31" t="str">
        <f>IF([5]商品具体设计!E144="","",[5]商品具体设计!E144)</f>
        <v>使用后随机获得1件品质为紫色的装备</v>
      </c>
    </row>
    <row r="202" spans="3:12" x14ac:dyDescent="0.15">
      <c r="C202" s="31">
        <f>IF([5]商品具体设计!B145="","",[5]商品具体设计!B145)</f>
        <v>21254</v>
      </c>
      <c r="D202" s="31" t="str">
        <f>IF([5]商品具体设计!C145="","",[5]商品具体设计!C145)</f>
        <v>橙色装备宝箱</v>
      </c>
      <c r="E202" s="31">
        <f>IF([5]商品具体设计!D145="","",[5]商品具体设计!D145)</f>
        <v>320</v>
      </c>
      <c r="F202" s="28">
        <v>1</v>
      </c>
      <c r="G202" s="28">
        <v>1</v>
      </c>
      <c r="H202" s="28">
        <v>1</v>
      </c>
      <c r="I202" s="29">
        <f t="shared" si="16"/>
        <v>320</v>
      </c>
      <c r="J202" s="29">
        <f t="shared" si="15"/>
        <v>320</v>
      </c>
      <c r="K202" s="29">
        <f t="shared" si="15"/>
        <v>320</v>
      </c>
      <c r="L202" s="31" t="str">
        <f>IF([5]商品具体设计!E145="","",[5]商品具体设计!E145)</f>
        <v>使用后随机获得1件品质为橙色的装备</v>
      </c>
    </row>
    <row r="203" spans="3:12" x14ac:dyDescent="0.15">
      <c r="C203" s="31">
        <f>IF([5]商品具体设计!B146="","",[5]商品具体设计!B146)</f>
        <v>21255</v>
      </c>
      <c r="D203" s="31" t="str">
        <f>IF([5]商品具体设计!C146="","",[5]商品具体设计!C146)</f>
        <v>红色装备宝箱</v>
      </c>
      <c r="E203" s="31">
        <f>IF([5]商品具体设计!D146="","",[5]商品具体设计!D146)</f>
        <v>2400</v>
      </c>
      <c r="F203" s="28">
        <v>1</v>
      </c>
      <c r="G203" s="28">
        <v>1</v>
      </c>
      <c r="H203" s="28">
        <v>1</v>
      </c>
      <c r="I203" s="29">
        <f t="shared" si="16"/>
        <v>2400</v>
      </c>
      <c r="J203" s="29">
        <f t="shared" si="15"/>
        <v>2400</v>
      </c>
      <c r="K203" s="29">
        <f t="shared" si="15"/>
        <v>2400</v>
      </c>
      <c r="L203" s="31" t="str">
        <f>IF([5]商品具体设计!E146="","",[5]商品具体设计!E146)</f>
        <v>使用后随机获得1件品质为红色的装备</v>
      </c>
    </row>
    <row r="204" spans="3:12" x14ac:dyDescent="0.15">
      <c r="C204" s="31" t="str">
        <f>IF([5]商品具体设计!B147="","",[5]商品具体设计!B147)</f>
        <v/>
      </c>
      <c r="D204" s="31" t="str">
        <f>IF([5]商品具体设计!C147="","",[5]商品具体设计!C147)</f>
        <v/>
      </c>
      <c r="E204" s="31" t="str">
        <f>IF([5]商品具体设计!D147="","",[5]商品具体设计!D147)</f>
        <v/>
      </c>
      <c r="I204" s="29" t="str">
        <f t="shared" si="16"/>
        <v/>
      </c>
      <c r="J204" s="29" t="str">
        <f t="shared" si="15"/>
        <v/>
      </c>
      <c r="K204" s="29" t="str">
        <f t="shared" si="15"/>
        <v/>
      </c>
      <c r="L204" s="31" t="str">
        <f>IF([5]商品具体设计!E147="","",[5]商品具体设计!E147)</f>
        <v/>
      </c>
    </row>
    <row r="205" spans="3:12" x14ac:dyDescent="0.15">
      <c r="C205" s="31">
        <f>IF([5]商品具体设计!B148="","",[5]商品具体设计!B148)</f>
        <v>20052</v>
      </c>
      <c r="D205" s="31" t="str">
        <f>IF([5]商品具体设计!C148="","",[5]商品具体设计!C148)</f>
        <v>练军心得·觉</v>
      </c>
      <c r="E205" s="31">
        <f>IF([5]商品具体设计!D148="","",[5]商品具体设计!D148)</f>
        <v>40</v>
      </c>
      <c r="F205" s="28">
        <v>1</v>
      </c>
      <c r="G205" s="28">
        <v>1</v>
      </c>
      <c r="H205" s="28">
        <v>1</v>
      </c>
      <c r="I205" s="29">
        <f t="shared" si="16"/>
        <v>40</v>
      </c>
      <c r="J205" s="29">
        <f t="shared" si="15"/>
        <v>40</v>
      </c>
      <c r="K205" s="29">
        <f t="shared" si="15"/>
        <v>40</v>
      </c>
      <c r="L205" s="31" t="str">
        <f>IF([5]商品具体设计!E148="","",[5]商品具体设计!E148)</f>
        <v>掌军之策，厉兵秣马，可用于武将觉醒</v>
      </c>
    </row>
    <row r="206" spans="3:12" x14ac:dyDescent="0.15">
      <c r="C206" s="31">
        <f>IF([5]商品具体设计!B149="","",[5]商品具体设计!B149)</f>
        <v>20053</v>
      </c>
      <c r="D206" s="31" t="str">
        <f>IF([5]商品具体设计!C149="","",[5]商品具体设计!C149)</f>
        <v>策论心得·觉</v>
      </c>
      <c r="E206" s="31">
        <f>IF([5]商品具体设计!D149="","",[5]商品具体设计!D149)</f>
        <v>40</v>
      </c>
      <c r="F206" s="28">
        <v>1</v>
      </c>
      <c r="G206" s="28">
        <v>1</v>
      </c>
      <c r="H206" s="28">
        <v>1</v>
      </c>
      <c r="I206" s="29">
        <f t="shared" si="16"/>
        <v>40</v>
      </c>
      <c r="J206" s="29">
        <f t="shared" si="15"/>
        <v>40</v>
      </c>
      <c r="K206" s="29">
        <f t="shared" si="15"/>
        <v>40</v>
      </c>
      <c r="L206" s="31" t="str">
        <f>IF([5]商品具体设计!E149="","",[5]商品具体设计!E149)</f>
        <v>书山万卷，算无遗策，可用于武将觉醒</v>
      </c>
    </row>
    <row r="207" spans="3:12" x14ac:dyDescent="0.15">
      <c r="C207" s="31">
        <f>IF([5]商品具体设计!B150="","",[5]商品具体设计!B150)</f>
        <v>20054</v>
      </c>
      <c r="D207" s="31" t="str">
        <f>IF([5]商品具体设计!C150="","",[5]商品具体设计!C150)</f>
        <v>兵书心得·觉</v>
      </c>
      <c r="E207" s="31">
        <f>IF([5]商品具体设计!D150="","",[5]商品具体设计!D150)</f>
        <v>40</v>
      </c>
      <c r="F207" s="28">
        <v>1</v>
      </c>
      <c r="G207" s="28">
        <v>1</v>
      </c>
      <c r="H207" s="28">
        <v>1</v>
      </c>
      <c r="I207" s="29">
        <f t="shared" si="16"/>
        <v>40</v>
      </c>
      <c r="J207" s="29">
        <f t="shared" si="15"/>
        <v>40</v>
      </c>
      <c r="K207" s="29">
        <f t="shared" si="15"/>
        <v>40</v>
      </c>
      <c r="L207" s="31" t="str">
        <f>IF([5]商品具体设计!E150="","",[5]商品具体设计!E150)</f>
        <v>千军万马，文韬武略，可用于武将觉醒</v>
      </c>
    </row>
    <row r="208" spans="3:12" x14ac:dyDescent="0.15">
      <c r="C208" s="31" t="str">
        <f>IF([5]商品具体设计!B151="","",[5]商品具体设计!B151)</f>
        <v/>
      </c>
      <c r="D208" s="31" t="str">
        <f>IF([5]商品具体设计!C151="","",[5]商品具体设计!C151)</f>
        <v/>
      </c>
      <c r="E208" s="31" t="str">
        <f>IF([5]商品具体设计!D151="","",[5]商品具体设计!D151)</f>
        <v/>
      </c>
      <c r="I208" s="29" t="str">
        <f t="shared" si="16"/>
        <v/>
      </c>
      <c r="J208" s="29" t="str">
        <f t="shared" si="15"/>
        <v/>
      </c>
      <c r="K208" s="29" t="str">
        <f t="shared" si="15"/>
        <v/>
      </c>
      <c r="L208" s="31" t="str">
        <f>IF([5]商品具体设计!E151="","",[5]商品具体设计!E151)</f>
        <v/>
      </c>
    </row>
    <row r="209" spans="3:12" x14ac:dyDescent="0.15">
      <c r="C209" s="31">
        <f>IF([5]商品具体设计!B152="","",[5]商品具体设计!B152)</f>
        <v>20055</v>
      </c>
      <c r="D209" s="31" t="str">
        <f>IF([5]商品具体设计!C152="","",[5]商品具体设计!C152)</f>
        <v>虎咬佩剑·觉</v>
      </c>
      <c r="E209" s="31">
        <f>IF([5]商品具体设计!D152="","",[5]商品具体设计!D152)</f>
        <v>60</v>
      </c>
      <c r="F209" s="28">
        <v>1</v>
      </c>
      <c r="G209" s="28">
        <v>1</v>
      </c>
      <c r="H209" s="28">
        <v>1</v>
      </c>
      <c r="I209" s="29">
        <f t="shared" si="16"/>
        <v>60</v>
      </c>
      <c r="J209" s="29">
        <f t="shared" si="15"/>
        <v>60</v>
      </c>
      <c r="K209" s="29">
        <f t="shared" si="15"/>
        <v>60</v>
      </c>
      <c r="L209" s="31" t="str">
        <f>IF([5]商品具体设计!E152="","",[5]商品具体设计!E152)</f>
        <v>卧虎藏龙，剑及履及，可用于武将觉醒</v>
      </c>
    </row>
    <row r="210" spans="3:12" x14ac:dyDescent="0.15">
      <c r="C210" s="31">
        <f>IF([5]商品具体设计!B153="","",[5]商品具体设计!B153)</f>
        <v>20056</v>
      </c>
      <c r="D210" s="31" t="str">
        <f>IF([5]商品具体设计!C153="","",[5]商品具体设计!C153)</f>
        <v>灵蛇佩剑·觉</v>
      </c>
      <c r="E210" s="31">
        <f>IF([5]商品具体设计!D153="","",[5]商品具体设计!D153)</f>
        <v>60</v>
      </c>
      <c r="F210" s="28">
        <v>1</v>
      </c>
      <c r="G210" s="28">
        <v>1</v>
      </c>
      <c r="H210" s="28">
        <v>1</v>
      </c>
      <c r="I210" s="29">
        <f t="shared" si="16"/>
        <v>60</v>
      </c>
      <c r="J210" s="29">
        <f t="shared" si="15"/>
        <v>60</v>
      </c>
      <c r="K210" s="29">
        <f t="shared" si="15"/>
        <v>60</v>
      </c>
      <c r="L210" s="31" t="str">
        <f>IF([5]商品具体设计!E153="","",[5]商品具体设计!E153)</f>
        <v>灵蛇之珠，剑态箫心，可用于武将觉醒</v>
      </c>
    </row>
    <row r="211" spans="3:12" x14ac:dyDescent="0.15">
      <c r="C211" s="31">
        <f>IF([5]商品具体设计!B154="","",[5]商品具体设计!B154)</f>
        <v>20057</v>
      </c>
      <c r="D211" s="31" t="str">
        <f>IF([5]商品具体设计!C154="","",[5]商品具体设计!C154)</f>
        <v>狼头佩剑·觉</v>
      </c>
      <c r="E211" s="31">
        <f>IF([5]商品具体设计!D154="","",[5]商品具体设计!D154)</f>
        <v>60</v>
      </c>
      <c r="F211" s="28">
        <v>1</v>
      </c>
      <c r="G211" s="28">
        <v>1</v>
      </c>
      <c r="H211" s="28">
        <v>1</v>
      </c>
      <c r="I211" s="29">
        <f t="shared" si="16"/>
        <v>60</v>
      </c>
      <c r="J211" s="29">
        <f t="shared" si="15"/>
        <v>60</v>
      </c>
      <c r="K211" s="29">
        <f t="shared" si="15"/>
        <v>60</v>
      </c>
      <c r="L211" s="31" t="str">
        <f>IF([5]商品具体设计!E154="","",[5]商品具体设计!E154)</f>
        <v>封狼居胥，剑气纵横，可用于武将觉醒</v>
      </c>
    </row>
    <row r="212" spans="3:12" x14ac:dyDescent="0.15">
      <c r="C212" s="31" t="str">
        <f>IF([5]商品具体设计!B155="","",[5]商品具体设计!B155)</f>
        <v/>
      </c>
      <c r="D212" s="31" t="str">
        <f>IF([5]商品具体设计!C155="","",[5]商品具体设计!C155)</f>
        <v/>
      </c>
      <c r="E212" s="31" t="str">
        <f>IF([5]商品具体设计!D155="","",[5]商品具体设计!D155)</f>
        <v/>
      </c>
      <c r="I212" s="29" t="str">
        <f t="shared" si="16"/>
        <v/>
      </c>
      <c r="J212" s="29" t="str">
        <f t="shared" si="15"/>
        <v/>
      </c>
      <c r="K212" s="29" t="str">
        <f t="shared" si="15"/>
        <v/>
      </c>
      <c r="L212" s="31" t="str">
        <f>IF([5]商品具体设计!E155="","",[5]商品具体设计!E155)</f>
        <v/>
      </c>
    </row>
    <row r="213" spans="3:12" x14ac:dyDescent="0.15">
      <c r="C213" s="31">
        <f>IF([5]商品具体设计!B156="","",[5]商品具体设计!B156)</f>
        <v>20059</v>
      </c>
      <c r="D213" s="31" t="str">
        <f>IF([5]商品具体设计!C156="","",[5]商品具体设计!C156)</f>
        <v>勇之授印·觉</v>
      </c>
      <c r="E213" s="31">
        <f>IF([5]商品具体设计!D156="","",[5]商品具体设计!D156)</f>
        <v>80</v>
      </c>
      <c r="F213" s="28">
        <v>1</v>
      </c>
      <c r="G213" s="28">
        <v>1</v>
      </c>
      <c r="H213" s="28">
        <v>1</v>
      </c>
      <c r="I213" s="29">
        <f t="shared" si="16"/>
        <v>80</v>
      </c>
      <c r="J213" s="29">
        <f t="shared" si="15"/>
        <v>80</v>
      </c>
      <c r="K213" s="29">
        <f t="shared" si="15"/>
        <v>80</v>
      </c>
      <c r="L213" s="31" t="str">
        <f>IF([5]商品具体设计!E156="","",[5]商品具体设计!E156)</f>
        <v>拔山盖世，气吞山河，可用于武将觉醒</v>
      </c>
    </row>
    <row r="214" spans="3:12" x14ac:dyDescent="0.15">
      <c r="C214" s="31">
        <f>IF([5]商品具体设计!B157="","",[5]商品具体设计!B157)</f>
        <v>20060</v>
      </c>
      <c r="D214" s="31" t="str">
        <f>IF([5]商品具体设计!C157="","",[5]商品具体设计!C157)</f>
        <v>谋之授印·觉</v>
      </c>
      <c r="E214" s="31">
        <f>IF([5]商品具体设计!D157="","",[5]商品具体设计!D157)</f>
        <v>80</v>
      </c>
      <c r="F214" s="28">
        <v>1</v>
      </c>
      <c r="G214" s="28">
        <v>1</v>
      </c>
      <c r="H214" s="28">
        <v>1</v>
      </c>
      <c r="I214" s="29">
        <f t="shared" si="16"/>
        <v>80</v>
      </c>
      <c r="J214" s="29">
        <f t="shared" si="15"/>
        <v>80</v>
      </c>
      <c r="K214" s="29">
        <f t="shared" si="15"/>
        <v>80</v>
      </c>
      <c r="L214" s="31" t="str">
        <f>IF([5]商品具体设计!E157="","",[5]商品具体设计!E157)</f>
        <v>渊谋远略，运筹帷幄，可用于武将觉醒</v>
      </c>
    </row>
    <row r="215" spans="3:12" x14ac:dyDescent="0.15">
      <c r="C215" s="31">
        <f>IF([5]商品具体设计!B158="","",[5]商品具体设计!B158)</f>
        <v>20061</v>
      </c>
      <c r="D215" s="31" t="str">
        <f>IF([5]商品具体设计!C158="","",[5]商品具体设计!C158)</f>
        <v>御之授印·觉</v>
      </c>
      <c r="E215" s="31">
        <f>IF([5]商品具体设计!D158="","",[5]商品具体设计!D158)</f>
        <v>80</v>
      </c>
      <c r="F215" s="28">
        <v>1</v>
      </c>
      <c r="G215" s="28">
        <v>1</v>
      </c>
      <c r="H215" s="28">
        <v>1</v>
      </c>
      <c r="I215" s="29">
        <f t="shared" si="16"/>
        <v>80</v>
      </c>
      <c r="J215" s="29">
        <f t="shared" si="15"/>
        <v>80</v>
      </c>
      <c r="K215" s="29">
        <f t="shared" si="15"/>
        <v>80</v>
      </c>
      <c r="L215" s="31" t="str">
        <f>IF([5]商品具体设计!E158="","",[5]商品具体设计!E158)</f>
        <v>御下有方，论功行赏，可用于武将觉醒</v>
      </c>
    </row>
    <row r="216" spans="3:12" x14ac:dyDescent="0.15">
      <c r="C216" s="31" t="str">
        <f>IF([5]商品具体设计!B159="","",[5]商品具体设计!B159)</f>
        <v/>
      </c>
      <c r="D216" s="31" t="str">
        <f>IF([5]商品具体设计!C159="","",[5]商品具体设计!C159)</f>
        <v/>
      </c>
      <c r="E216" s="31" t="str">
        <f>IF([5]商品具体设计!D159="","",[5]商品具体设计!D159)</f>
        <v/>
      </c>
      <c r="I216" s="29" t="str">
        <f t="shared" si="16"/>
        <v/>
      </c>
      <c r="J216" s="29" t="str">
        <f t="shared" si="15"/>
        <v/>
      </c>
      <c r="K216" s="29" t="str">
        <f t="shared" si="15"/>
        <v/>
      </c>
      <c r="L216" s="31" t="str">
        <f>IF([5]商品具体设计!E159="","",[5]商品具体设计!E159)</f>
        <v/>
      </c>
    </row>
    <row r="217" spans="3:12" x14ac:dyDescent="0.15">
      <c r="C217" s="31">
        <f>IF([5]商品具体设计!B160="","",[5]商品具体设计!B160)</f>
        <v>20064</v>
      </c>
      <c r="D217" s="31" t="str">
        <f>IF([5]商品具体设计!C160="","",[5]商品具体设计!C160)</f>
        <v>战阵精研·极</v>
      </c>
      <c r="E217" s="31">
        <f>IF([5]商品具体设计!D160="","",[5]商品具体设计!D160)</f>
        <v>100</v>
      </c>
      <c r="F217" s="28">
        <v>1</v>
      </c>
      <c r="G217" s="28">
        <v>1</v>
      </c>
      <c r="H217" s="28">
        <v>1</v>
      </c>
      <c r="I217" s="29">
        <f t="shared" si="16"/>
        <v>100</v>
      </c>
      <c r="J217" s="29">
        <f t="shared" si="15"/>
        <v>100</v>
      </c>
      <c r="K217" s="29">
        <f t="shared" si="15"/>
        <v>100</v>
      </c>
      <c r="L217" s="31" t="str">
        <f>IF([5]商品具体设计!E160="","",[5]商品具体设计!E160)</f>
        <v>行兵布阵，勇往直前，可用于武将觉醒</v>
      </c>
    </row>
    <row r="218" spans="3:12" x14ac:dyDescent="0.15">
      <c r="C218" s="31">
        <f>IF([5]商品具体设计!B161="","",[5]商品具体设计!B161)</f>
        <v>20065</v>
      </c>
      <c r="D218" s="31" t="str">
        <f>IF([5]商品具体设计!C161="","",[5]商品具体设计!C161)</f>
        <v>谋略精研·极</v>
      </c>
      <c r="E218" s="31">
        <f>IF([5]商品具体设计!D161="","",[5]商品具体设计!D161)</f>
        <v>100</v>
      </c>
      <c r="F218" s="28">
        <v>1</v>
      </c>
      <c r="G218" s="28">
        <v>1</v>
      </c>
      <c r="H218" s="28">
        <v>1</v>
      </c>
      <c r="I218" s="29">
        <f t="shared" si="16"/>
        <v>100</v>
      </c>
      <c r="J218" s="29">
        <f t="shared" si="15"/>
        <v>100</v>
      </c>
      <c r="K218" s="29">
        <f t="shared" si="15"/>
        <v>100</v>
      </c>
      <c r="L218" s="31" t="str">
        <f>IF([5]商品具体设计!E161="","",[5]商品具体设计!E161)</f>
        <v>目达耳通，上兵伐谋，可用于武将觉醒</v>
      </c>
    </row>
    <row r="219" spans="3:12" x14ac:dyDescent="0.15">
      <c r="C219" s="31">
        <f>IF([5]商品具体设计!B162="","",[5]商品具体设计!B162)</f>
        <v>20066</v>
      </c>
      <c r="D219" s="31" t="str">
        <f>IF([5]商品具体设计!C162="","",[5]商品具体设计!C162)</f>
        <v>御军精研·极</v>
      </c>
      <c r="E219" s="31">
        <f>IF([5]商品具体设计!D162="","",[5]商品具体设计!D162)</f>
        <v>100</v>
      </c>
      <c r="F219" s="28">
        <v>1</v>
      </c>
      <c r="G219" s="28">
        <v>1</v>
      </c>
      <c r="H219" s="28">
        <v>1</v>
      </c>
      <c r="I219" s="29">
        <f t="shared" si="16"/>
        <v>100</v>
      </c>
      <c r="J219" s="29">
        <f t="shared" si="15"/>
        <v>100</v>
      </c>
      <c r="K219" s="29">
        <f t="shared" si="15"/>
        <v>100</v>
      </c>
      <c r="L219" s="31" t="str">
        <f>IF([5]商品具体设计!E162="","",[5]商品具体设计!E162)</f>
        <v>持筹握算，精兵简政，可用于武将觉醒</v>
      </c>
    </row>
    <row r="220" spans="3:12" x14ac:dyDescent="0.15">
      <c r="C220" s="31" t="str">
        <f>IF([5]商品具体设计!B163="","",[5]商品具体设计!B163)</f>
        <v/>
      </c>
      <c r="D220" s="31" t="str">
        <f>IF([5]商品具体设计!C163="","",[5]商品具体设计!C163)</f>
        <v/>
      </c>
      <c r="E220" s="31" t="str">
        <f>IF([5]商品具体设计!D163="","",[5]商品具体设计!D163)</f>
        <v/>
      </c>
      <c r="I220" s="29" t="str">
        <f t="shared" si="16"/>
        <v/>
      </c>
      <c r="J220" s="29" t="str">
        <f t="shared" si="15"/>
        <v/>
      </c>
      <c r="K220" s="29" t="str">
        <f t="shared" si="15"/>
        <v/>
      </c>
      <c r="L220" s="31" t="str">
        <f>IF([5]商品具体设计!E163="","",[5]商品具体设计!E163)</f>
        <v/>
      </c>
    </row>
    <row r="221" spans="3:12" x14ac:dyDescent="0.15">
      <c r="C221" s="31">
        <f>IF([5]商品具体设计!B164="","",[5]商品具体设计!B164)</f>
        <v>20070</v>
      </c>
      <c r="D221" s="31" t="str">
        <f>IF([5]商品具体设计!C164="","",[5]商品具体设计!C164)</f>
        <v>白虎白琥·极</v>
      </c>
      <c r="E221" s="31">
        <f>IF([5]商品具体设计!D164="","",[5]商品具体设计!D164)</f>
        <v>120</v>
      </c>
      <c r="F221" s="28">
        <v>1</v>
      </c>
      <c r="G221" s="28">
        <v>1</v>
      </c>
      <c r="H221" s="28">
        <v>1</v>
      </c>
      <c r="I221" s="29">
        <f t="shared" si="16"/>
        <v>120</v>
      </c>
      <c r="J221" s="29">
        <f t="shared" si="15"/>
        <v>120</v>
      </c>
      <c r="K221" s="29">
        <f t="shared" si="15"/>
        <v>120</v>
      </c>
      <c r="L221" s="31" t="str">
        <f>IF([5]商品具体设计!E164="","",[5]商品具体设计!E164)</f>
        <v>形神兼备，虎啸龙吟，可用于武将觉醒</v>
      </c>
    </row>
    <row r="222" spans="3:12" x14ac:dyDescent="0.15">
      <c r="C222" s="31">
        <f>IF([5]商品具体设计!B165="","",[5]商品具体设计!B165)</f>
        <v>20071</v>
      </c>
      <c r="D222" s="31" t="str">
        <f>IF([5]商品具体设计!C165="","",[5]商品具体设计!C165)</f>
        <v>朱雀赤璋·极</v>
      </c>
      <c r="E222" s="31">
        <f>IF([5]商品具体设计!D165="","",[5]商品具体设计!D165)</f>
        <v>120</v>
      </c>
      <c r="F222" s="28">
        <v>1</v>
      </c>
      <c r="G222" s="28">
        <v>1</v>
      </c>
      <c r="H222" s="28">
        <v>1</v>
      </c>
      <c r="I222" s="29">
        <f t="shared" si="16"/>
        <v>120</v>
      </c>
      <c r="J222" s="29">
        <f t="shared" si="15"/>
        <v>120</v>
      </c>
      <c r="K222" s="29">
        <f t="shared" si="15"/>
        <v>120</v>
      </c>
      <c r="L222" s="31" t="str">
        <f>IF([5]商品具体设计!E165="","",[5]商品具体设计!E165)</f>
        <v>烈火真金，朱雀玄武，可用于武将觉醒</v>
      </c>
    </row>
    <row r="223" spans="3:12" x14ac:dyDescent="0.15">
      <c r="C223" s="31">
        <f>IF([5]商品具体设计!B166="","",[5]商品具体设计!B166)</f>
        <v>20072</v>
      </c>
      <c r="D223" s="31" t="str">
        <f>IF([5]商品具体设计!C166="","",[5]商品具体设计!C166)</f>
        <v>青龙青圭·极</v>
      </c>
      <c r="E223" s="31">
        <f>IF([5]商品具体设计!D166="","",[5]商品具体设计!D166)</f>
        <v>120</v>
      </c>
      <c r="F223" s="28">
        <v>1</v>
      </c>
      <c r="G223" s="28">
        <v>1</v>
      </c>
      <c r="H223" s="28">
        <v>1</v>
      </c>
      <c r="I223" s="29">
        <f t="shared" si="16"/>
        <v>120</v>
      </c>
      <c r="J223" s="29">
        <f t="shared" si="15"/>
        <v>120</v>
      </c>
      <c r="K223" s="29">
        <f t="shared" si="15"/>
        <v>120</v>
      </c>
      <c r="L223" s="31" t="str">
        <f>IF([5]商品具体设计!E166="","",[5]商品具体设计!E166)</f>
        <v>青云直上，龙飞凤舞，可用于武将觉醒</v>
      </c>
    </row>
    <row r="224" spans="3:12" x14ac:dyDescent="0.15">
      <c r="C224" s="31" t="str">
        <f>IF([5]商品具体设计!B167="","",[5]商品具体设计!B167)</f>
        <v/>
      </c>
      <c r="D224" s="31" t="str">
        <f>IF([5]商品具体设计!C167="","",[5]商品具体设计!C167)</f>
        <v/>
      </c>
      <c r="E224" s="31" t="str">
        <f>IF([5]商品具体设计!D167="","",[5]商品具体设计!D167)</f>
        <v/>
      </c>
      <c r="I224" s="29" t="str">
        <f t="shared" si="16"/>
        <v/>
      </c>
      <c r="J224" s="29" t="str">
        <f t="shared" si="15"/>
        <v/>
      </c>
      <c r="K224" s="29" t="str">
        <f t="shared" si="15"/>
        <v/>
      </c>
      <c r="L224" s="31" t="str">
        <f>IF([5]商品具体设计!E167="","",[5]商品具体设计!E167)</f>
        <v/>
      </c>
    </row>
    <row r="225" spans="3:12" x14ac:dyDescent="0.15">
      <c r="C225" s="31">
        <f>IF([5]商品具体设计!B168="","",[5]商品具体设计!B168)</f>
        <v>20077</v>
      </c>
      <c r="D225" s="31" t="str">
        <f>IF([5]商品具体设计!C168="","",[5]商品具体设计!C168)</f>
        <v>战将护符·极</v>
      </c>
      <c r="E225" s="31">
        <f>IF([5]商品具体设计!D168="","",[5]商品具体设计!D168)</f>
        <v>140</v>
      </c>
      <c r="F225" s="28">
        <v>1</v>
      </c>
      <c r="G225" s="28">
        <v>1</v>
      </c>
      <c r="H225" s="28">
        <v>1</v>
      </c>
      <c r="I225" s="29">
        <f t="shared" si="16"/>
        <v>140</v>
      </c>
      <c r="J225" s="29">
        <f t="shared" si="15"/>
        <v>140</v>
      </c>
      <c r="K225" s="29">
        <f t="shared" si="15"/>
        <v>140</v>
      </c>
      <c r="L225" s="31" t="str">
        <f>IF([5]商品具体设计!E168="","",[5]商品具体设计!E168)</f>
        <v>王侯将相，功成名就，可用于武将觉醒</v>
      </c>
    </row>
    <row r="226" spans="3:12" x14ac:dyDescent="0.15">
      <c r="C226" s="31">
        <f>IF([5]商品具体设计!B169="","",[5]商品具体设计!B169)</f>
        <v>20078</v>
      </c>
      <c r="D226" s="31" t="str">
        <f>IF([5]商品具体设计!C169="","",[5]商品具体设计!C169)</f>
        <v>军师护符·极</v>
      </c>
      <c r="E226" s="31">
        <f>IF([5]商品具体设计!D169="","",[5]商品具体设计!D169)</f>
        <v>140</v>
      </c>
      <c r="F226" s="28">
        <v>1</v>
      </c>
      <c r="G226" s="28">
        <v>1</v>
      </c>
      <c r="H226" s="28">
        <v>1</v>
      </c>
      <c r="I226" s="29">
        <f t="shared" si="16"/>
        <v>140</v>
      </c>
      <c r="J226" s="29">
        <f t="shared" si="15"/>
        <v>140</v>
      </c>
      <c r="K226" s="29">
        <f t="shared" si="15"/>
        <v>140</v>
      </c>
      <c r="L226" s="31" t="str">
        <f>IF([5]商品具体设计!E169="","",[5]商品具体设计!E169)</f>
        <v>神机妙算，才华横溢，可用于武将觉醒</v>
      </c>
    </row>
    <row r="227" spans="3:12" x14ac:dyDescent="0.15">
      <c r="C227" s="31">
        <f>IF([5]商品具体设计!B170="","",[5]商品具体设计!B170)</f>
        <v>20079</v>
      </c>
      <c r="D227" s="31" t="str">
        <f>IF([5]商品具体设计!C170="","",[5]商品具体设计!C170)</f>
        <v>统帅护符·极</v>
      </c>
      <c r="E227" s="31">
        <f>IF([5]商品具体设计!D170="","",[5]商品具体设计!D170)</f>
        <v>140</v>
      </c>
      <c r="F227" s="28">
        <v>1</v>
      </c>
      <c r="G227" s="28">
        <v>1</v>
      </c>
      <c r="H227" s="28">
        <v>1</v>
      </c>
      <c r="I227" s="29">
        <f t="shared" si="16"/>
        <v>140</v>
      </c>
      <c r="J227" s="29">
        <f t="shared" si="15"/>
        <v>140</v>
      </c>
      <c r="K227" s="29">
        <f t="shared" si="15"/>
        <v>140</v>
      </c>
      <c r="L227" s="31" t="str">
        <f>IF([5]商品具体设计!E170="","",[5]商品具体设计!E170)</f>
        <v>号令如山，统帅三军，可用于武将觉醒</v>
      </c>
    </row>
    <row r="228" spans="3:12" x14ac:dyDescent="0.15">
      <c r="C228" s="31" t="str">
        <f>IF([5]商品具体设计!B171="","",[5]商品具体设计!B171)</f>
        <v/>
      </c>
      <c r="D228" s="31" t="str">
        <f>IF([5]商品具体设计!C171="","",[5]商品具体设计!C171)</f>
        <v/>
      </c>
      <c r="E228" s="31" t="str">
        <f>IF([5]商品具体设计!D171="","",[5]商品具体设计!D171)</f>
        <v/>
      </c>
      <c r="I228" s="29" t="str">
        <f t="shared" si="16"/>
        <v/>
      </c>
      <c r="J228" s="29" t="str">
        <f t="shared" si="15"/>
        <v/>
      </c>
      <c r="K228" s="29" t="str">
        <f t="shared" si="15"/>
        <v/>
      </c>
      <c r="L228" s="31" t="str">
        <f>IF([5]商品具体设计!E171="","",[5]商品具体设计!E171)</f>
        <v/>
      </c>
    </row>
    <row r="229" spans="3:12" x14ac:dyDescent="0.15">
      <c r="C229" s="31" t="str">
        <f>IF([5]商品具体设计!B172="","",[5]商品具体设计!B172)</f>
        <v/>
      </c>
      <c r="D229" s="31" t="str">
        <f>IF([5]商品具体设计!C172="","",[5]商品具体设计!C172)</f>
        <v/>
      </c>
      <c r="E229" s="31" t="str">
        <f>IF([5]商品具体设计!D172="","",[5]商品具体设计!D172)</f>
        <v/>
      </c>
      <c r="I229" s="29" t="str">
        <f t="shared" si="16"/>
        <v/>
      </c>
      <c r="J229" s="29" t="str">
        <f t="shared" si="15"/>
        <v/>
      </c>
      <c r="K229" s="29" t="str">
        <f t="shared" si="15"/>
        <v/>
      </c>
      <c r="L229" s="31" t="str">
        <f>IF([5]商品具体设计!E172="","",[5]商品具体设计!E172)</f>
        <v/>
      </c>
    </row>
    <row r="230" spans="3:12" x14ac:dyDescent="0.15">
      <c r="C230" s="31">
        <f>IF([5]商品具体设计!B173="","",[5]商品具体设计!B173)</f>
        <v>23001</v>
      </c>
      <c r="D230" s="31" t="str">
        <f>IF([5]商品具体设计!C173="","",[5]商品具体设计!C173)</f>
        <v>紫色步将自选宝箱</v>
      </c>
      <c r="E230" s="31">
        <f>IF([5]商品具体设计!D173="","",[5]商品具体设计!D173)</f>
        <v>600</v>
      </c>
      <c r="F230" s="28">
        <v>1</v>
      </c>
      <c r="G230" s="28">
        <v>1</v>
      </c>
      <c r="H230" s="28">
        <v>1</v>
      </c>
      <c r="I230" s="29">
        <f t="shared" si="16"/>
        <v>600</v>
      </c>
      <c r="J230" s="29">
        <f t="shared" si="15"/>
        <v>600</v>
      </c>
      <c r="K230" s="29">
        <f t="shared" si="15"/>
        <v>600</v>
      </c>
      <c r="L230" s="31" t="str">
        <f>IF([5]商品具体设计!E173="","",[5]商品具体设计!E173)</f>
        <v>使用后选择获得一个紫色步将</v>
      </c>
    </row>
    <row r="231" spans="3:12" x14ac:dyDescent="0.15">
      <c r="C231" s="31">
        <f>IF([5]商品具体设计!B174="","",[5]商品具体设计!B174)</f>
        <v>23002</v>
      </c>
      <c r="D231" s="31" t="str">
        <f>IF([5]商品具体设计!C174="","",[5]商品具体设计!C174)</f>
        <v>橙色步将自选宝箱</v>
      </c>
      <c r="E231" s="31">
        <f>IF([5]商品具体设计!D174="","",[5]商品具体设计!D174)</f>
        <v>4800</v>
      </c>
      <c r="F231" s="28">
        <v>1</v>
      </c>
      <c r="G231" s="28">
        <v>1</v>
      </c>
      <c r="H231" s="28">
        <v>1</v>
      </c>
      <c r="I231" s="29">
        <f t="shared" si="16"/>
        <v>4800</v>
      </c>
      <c r="J231" s="29">
        <f t="shared" si="15"/>
        <v>4800</v>
      </c>
      <c r="K231" s="29">
        <f t="shared" si="15"/>
        <v>4800</v>
      </c>
      <c r="L231" s="31" t="str">
        <f>IF([5]商品具体设计!E174="","",[5]商品具体设计!E174)</f>
        <v>使用后选择获得一个橙色武将</v>
      </c>
    </row>
    <row r="232" spans="3:12" x14ac:dyDescent="0.15">
      <c r="C232" s="31">
        <f>IF([5]商品具体设计!B175="","",[5]商品具体设计!B175)</f>
        <v>23003</v>
      </c>
      <c r="D232" s="31" t="str">
        <f>IF([5]商品具体设计!C175="","",[5]商品具体设计!C175)</f>
        <v>红色步将自选宝箱</v>
      </c>
      <c r="E232" s="31">
        <f>IF([5]商品具体设计!D175="","",[5]商品具体设计!D175)</f>
        <v>14400</v>
      </c>
      <c r="F232" s="28">
        <v>1</v>
      </c>
      <c r="G232" s="28">
        <v>1</v>
      </c>
      <c r="H232" s="28">
        <v>1</v>
      </c>
      <c r="I232" s="29">
        <f t="shared" si="16"/>
        <v>14400</v>
      </c>
      <c r="J232" s="29">
        <f t="shared" si="15"/>
        <v>14400</v>
      </c>
      <c r="K232" s="29">
        <f t="shared" si="15"/>
        <v>14400</v>
      </c>
      <c r="L232" s="31" t="str">
        <f>IF([5]商品具体设计!E175="","",[5]商品具体设计!E175)</f>
        <v>使用后选择获得一个红色步将</v>
      </c>
    </row>
    <row r="233" spans="3:12" x14ac:dyDescent="0.15">
      <c r="C233" s="31">
        <f>IF([5]商品具体设计!B176="","",[5]商品具体设计!B176)</f>
        <v>23004</v>
      </c>
      <c r="D233" s="31" t="str">
        <f>IF([5]商品具体设计!C176="","",[5]商品具体设计!C176)</f>
        <v>紫色骑将自选宝箱</v>
      </c>
      <c r="E233" s="31">
        <f>IF([5]商品具体设计!D176="","",[5]商品具体设计!D176)</f>
        <v>600</v>
      </c>
      <c r="F233" s="28">
        <v>1</v>
      </c>
      <c r="G233" s="28">
        <v>1</v>
      </c>
      <c r="H233" s="28">
        <v>1</v>
      </c>
      <c r="I233" s="29">
        <f t="shared" si="16"/>
        <v>600</v>
      </c>
      <c r="J233" s="29">
        <f t="shared" si="15"/>
        <v>600</v>
      </c>
      <c r="K233" s="29">
        <f t="shared" si="15"/>
        <v>600</v>
      </c>
      <c r="L233" s="31" t="str">
        <f>IF([5]商品具体设计!E176="","",[5]商品具体设计!E176)</f>
        <v>使用后选择获得一个紫色骑将</v>
      </c>
    </row>
    <row r="234" spans="3:12" x14ac:dyDescent="0.15">
      <c r="C234" s="31">
        <f>IF([5]商品具体设计!B177="","",[5]商品具体设计!B177)</f>
        <v>23005</v>
      </c>
      <c r="D234" s="31" t="str">
        <f>IF([5]商品具体设计!C177="","",[5]商品具体设计!C177)</f>
        <v>橙色骑将自选宝箱</v>
      </c>
      <c r="E234" s="31">
        <f>IF([5]商品具体设计!D177="","",[5]商品具体设计!D177)</f>
        <v>4800</v>
      </c>
      <c r="F234" s="28">
        <v>1</v>
      </c>
      <c r="G234" s="28">
        <v>1</v>
      </c>
      <c r="H234" s="28">
        <v>1</v>
      </c>
      <c r="I234" s="29">
        <f t="shared" si="16"/>
        <v>4800</v>
      </c>
      <c r="J234" s="29">
        <f t="shared" si="15"/>
        <v>4800</v>
      </c>
      <c r="K234" s="29">
        <f t="shared" si="15"/>
        <v>4800</v>
      </c>
      <c r="L234" s="31" t="str">
        <f>IF([5]商品具体设计!E177="","",[5]商品具体设计!E177)</f>
        <v>使用后选择获得一个橙色骑将</v>
      </c>
    </row>
    <row r="235" spans="3:12" x14ac:dyDescent="0.15">
      <c r="C235" s="31">
        <f>IF([5]商品具体设计!B178="","",[5]商品具体设计!B178)</f>
        <v>23006</v>
      </c>
      <c r="D235" s="31" t="str">
        <f>IF([5]商品具体设计!C178="","",[5]商品具体设计!C178)</f>
        <v>红色骑将自选宝箱</v>
      </c>
      <c r="E235" s="31">
        <f>IF([5]商品具体设计!D178="","",[5]商品具体设计!D178)</f>
        <v>14400</v>
      </c>
      <c r="F235" s="28">
        <v>1</v>
      </c>
      <c r="G235" s="28">
        <v>1</v>
      </c>
      <c r="H235" s="28">
        <v>1</v>
      </c>
      <c r="I235" s="29">
        <f t="shared" si="16"/>
        <v>14400</v>
      </c>
      <c r="J235" s="29">
        <f t="shared" si="15"/>
        <v>14400</v>
      </c>
      <c r="K235" s="29">
        <f t="shared" si="15"/>
        <v>14400</v>
      </c>
      <c r="L235" s="31" t="str">
        <f>IF([5]商品具体设计!E178="","",[5]商品具体设计!E178)</f>
        <v>使用后选择获得一个红色骑将</v>
      </c>
    </row>
    <row r="236" spans="3:12" x14ac:dyDescent="0.15">
      <c r="C236" s="31">
        <f>IF([5]商品具体设计!B179="","",[5]商品具体设计!B179)</f>
        <v>23007</v>
      </c>
      <c r="D236" s="31" t="str">
        <f>IF([5]商品具体设计!C179="","",[5]商品具体设计!C179)</f>
        <v>紫色弓将自选宝箱</v>
      </c>
      <c r="E236" s="31">
        <f>IF([5]商品具体设计!D179="","",[5]商品具体设计!D179)</f>
        <v>600</v>
      </c>
      <c r="F236" s="28">
        <v>1</v>
      </c>
      <c r="G236" s="28">
        <v>1</v>
      </c>
      <c r="H236" s="28">
        <v>1</v>
      </c>
      <c r="I236" s="29">
        <f t="shared" si="16"/>
        <v>600</v>
      </c>
      <c r="J236" s="29">
        <f t="shared" si="15"/>
        <v>600</v>
      </c>
      <c r="K236" s="29">
        <f t="shared" si="15"/>
        <v>600</v>
      </c>
      <c r="L236" s="31" t="str">
        <f>IF([5]商品具体设计!E179="","",[5]商品具体设计!E179)</f>
        <v>使用后选择获得一个紫色弓将</v>
      </c>
    </row>
    <row r="237" spans="3:12" x14ac:dyDescent="0.15">
      <c r="C237" s="31">
        <f>IF([5]商品具体设计!B180="","",[5]商品具体设计!B180)</f>
        <v>23008</v>
      </c>
      <c r="D237" s="31" t="str">
        <f>IF([5]商品具体设计!C180="","",[5]商品具体设计!C180)</f>
        <v>橙色弓将自选宝箱</v>
      </c>
      <c r="E237" s="31">
        <f>IF([5]商品具体设计!D180="","",[5]商品具体设计!D180)</f>
        <v>4800</v>
      </c>
      <c r="F237" s="28">
        <v>1</v>
      </c>
      <c r="G237" s="28">
        <v>1</v>
      </c>
      <c r="H237" s="28">
        <v>1</v>
      </c>
      <c r="I237" s="29">
        <f t="shared" si="16"/>
        <v>4800</v>
      </c>
      <c r="J237" s="29">
        <f t="shared" si="15"/>
        <v>4800</v>
      </c>
      <c r="K237" s="29">
        <f t="shared" si="15"/>
        <v>4800</v>
      </c>
      <c r="L237" s="31" t="str">
        <f>IF([5]商品具体设计!E180="","",[5]商品具体设计!E180)</f>
        <v>使用后选择获得一个橙色弓将</v>
      </c>
    </row>
    <row r="238" spans="3:12" x14ac:dyDescent="0.15">
      <c r="C238" s="31">
        <f>IF([5]商品具体设计!B181="","",[5]商品具体设计!B181)</f>
        <v>23009</v>
      </c>
      <c r="D238" s="31" t="str">
        <f>IF([5]商品具体设计!C181="","",[5]商品具体设计!C181)</f>
        <v>红色弓将自选宝箱</v>
      </c>
      <c r="E238" s="31">
        <f>IF([5]商品具体设计!D181="","",[5]商品具体设计!D181)</f>
        <v>14400</v>
      </c>
      <c r="F238" s="28">
        <v>1</v>
      </c>
      <c r="G238" s="28">
        <v>1</v>
      </c>
      <c r="H238" s="28">
        <v>1</v>
      </c>
      <c r="I238" s="29">
        <f t="shared" si="16"/>
        <v>14400</v>
      </c>
      <c r="J238" s="29">
        <f t="shared" si="15"/>
        <v>14400</v>
      </c>
      <c r="K238" s="29">
        <f t="shared" si="15"/>
        <v>14400</v>
      </c>
      <c r="L238" s="31" t="str">
        <f>IF([5]商品具体设计!E181="","",[5]商品具体设计!E181)</f>
        <v>使用后选择获得一个红色弓将</v>
      </c>
    </row>
    <row r="239" spans="3:12" x14ac:dyDescent="0.15">
      <c r="C239" s="31">
        <f>IF([5]商品具体设计!B182="","",[5]商品具体设计!B182)</f>
        <v>23010</v>
      </c>
      <c r="D239" s="31" t="str">
        <f>IF([5]商品具体设计!C182="","",[5]商品具体设计!C182)</f>
        <v>君主自选宝箱</v>
      </c>
      <c r="E239" s="31">
        <f>IF([5]商品具体设计!D182="","",[5]商品具体设计!D182)</f>
        <v>4800</v>
      </c>
      <c r="F239" s="28">
        <v>1</v>
      </c>
      <c r="G239" s="28">
        <v>1</v>
      </c>
      <c r="H239" s="28">
        <v>1</v>
      </c>
      <c r="I239" s="29">
        <f t="shared" si="16"/>
        <v>4800</v>
      </c>
      <c r="J239" s="29">
        <f t="shared" si="15"/>
        <v>4800</v>
      </c>
      <c r="K239" s="29">
        <f t="shared" si="15"/>
        <v>4800</v>
      </c>
      <c r="L239" s="31" t="str">
        <f>IF([5]商品具体设计!E182="","",[5]商品具体设计!E182)</f>
        <v>使用后选择获得一个君主武将</v>
      </c>
    </row>
    <row r="240" spans="3:12" x14ac:dyDescent="0.15">
      <c r="C240" s="31">
        <f>IF([5]商品具体设计!B183="","",[5]商品具体设计!B183)</f>
        <v>23011</v>
      </c>
      <c r="D240" s="31" t="str">
        <f>IF([5]商品具体设计!C183="","",[5]商品具体设计!C183)</f>
        <v>紫色武将随机宝箱</v>
      </c>
      <c r="E240" s="31">
        <f>IF([5]商品具体设计!D183="","",[5]商品具体设计!D183)</f>
        <v>400</v>
      </c>
      <c r="F240" s="28">
        <v>1</v>
      </c>
      <c r="G240" s="28">
        <v>1</v>
      </c>
      <c r="H240" s="28">
        <v>1</v>
      </c>
      <c r="I240" s="29">
        <f t="shared" si="16"/>
        <v>400</v>
      </c>
      <c r="J240" s="29">
        <f t="shared" si="15"/>
        <v>400</v>
      </c>
      <c r="K240" s="29">
        <f t="shared" si="15"/>
        <v>400</v>
      </c>
      <c r="L240" s="31" t="str">
        <f>IF([5]商品具体设计!E183="","",[5]商品具体设计!E183)</f>
        <v>使用后随机获得一个紫色武将</v>
      </c>
    </row>
    <row r="241" spans="3:12" x14ac:dyDescent="0.15">
      <c r="C241" s="31">
        <f>IF([5]商品具体设计!B184="","",[5]商品具体设计!B184)</f>
        <v>23012</v>
      </c>
      <c r="D241" s="31" t="str">
        <f>IF([5]商品具体设计!C184="","",[5]商品具体设计!C184)</f>
        <v>橙色武将随机宝箱</v>
      </c>
      <c r="E241" s="31">
        <f>IF([5]商品具体设计!D184="","",[5]商品具体设计!D184)</f>
        <v>1800</v>
      </c>
      <c r="F241" s="28">
        <v>1</v>
      </c>
      <c r="G241" s="28">
        <v>1</v>
      </c>
      <c r="H241" s="28">
        <v>1</v>
      </c>
      <c r="I241" s="29">
        <f t="shared" si="16"/>
        <v>1800</v>
      </c>
      <c r="J241" s="29">
        <f t="shared" si="15"/>
        <v>1800</v>
      </c>
      <c r="K241" s="29">
        <f t="shared" si="15"/>
        <v>1800</v>
      </c>
      <c r="L241" s="31" t="str">
        <f>IF([5]商品具体设计!E184="","",[5]商品具体设计!E184)</f>
        <v>使用后随机获得一个橙色武将</v>
      </c>
    </row>
    <row r="242" spans="3:12" x14ac:dyDescent="0.15">
      <c r="C242" s="31">
        <f>IF([5]商品具体设计!B185="","",[5]商品具体设计!B185)</f>
        <v>23013</v>
      </c>
      <c r="D242" s="31" t="str">
        <f>IF([5]商品具体设计!C185="","",[5]商品具体设计!C185)</f>
        <v>红色武将随机宝箱</v>
      </c>
      <c r="E242" s="31">
        <f>IF([5]商品具体设计!D185="","",[5]商品具体设计!D185)</f>
        <v>14400</v>
      </c>
      <c r="F242" s="28">
        <v>1</v>
      </c>
      <c r="G242" s="28">
        <v>1</v>
      </c>
      <c r="H242" s="28">
        <v>1</v>
      </c>
      <c r="I242" s="29">
        <f t="shared" si="16"/>
        <v>14400</v>
      </c>
      <c r="J242" s="29">
        <f t="shared" si="15"/>
        <v>14400</v>
      </c>
      <c r="K242" s="29">
        <f t="shared" si="15"/>
        <v>14400</v>
      </c>
      <c r="L242" s="31" t="str">
        <f>IF([5]商品具体设计!E185="","",[5]商品具体设计!E185)</f>
        <v>使用后随机获得一个红色武将</v>
      </c>
    </row>
    <row r="243" spans="3:12" x14ac:dyDescent="0.15">
      <c r="C243" s="31" t="str">
        <f>IF([5]商品具体设计!B186="","",[5]商品具体设计!B186)</f>
        <v/>
      </c>
      <c r="D243" s="31" t="str">
        <f>IF([5]商品具体设计!C186="","",[5]商品具体设计!C186)</f>
        <v/>
      </c>
      <c r="E243" s="31" t="str">
        <f>IF([5]商品具体设计!D186="","",[5]商品具体设计!D186)</f>
        <v/>
      </c>
      <c r="I243" s="29" t="str">
        <f t="shared" si="16"/>
        <v/>
      </c>
      <c r="J243" s="29" t="str">
        <f t="shared" si="15"/>
        <v/>
      </c>
      <c r="K243" s="29" t="str">
        <f t="shared" si="15"/>
        <v/>
      </c>
      <c r="L243" s="31" t="str">
        <f>IF([5]商品具体设计!E186="","",[5]商品具体设计!E186)</f>
        <v/>
      </c>
    </row>
    <row r="244" spans="3:12" x14ac:dyDescent="0.15">
      <c r="C244" s="31">
        <f>IF([5]商品具体设计!B187="","",[5]商品具体设计!B187)</f>
        <v>23014</v>
      </c>
      <c r="D244" s="31" t="str">
        <f>IF([5]商品具体设计!C187="","",[5]商品具体设计!C187)</f>
        <v>橙色武将自选宝箱碎片</v>
      </c>
      <c r="E244" s="31">
        <f>IF([5]商品具体设计!D187="","",[5]商品具体设计!D187)</f>
        <v>160</v>
      </c>
      <c r="F244" s="28">
        <v>1</v>
      </c>
      <c r="G244" s="28">
        <v>1</v>
      </c>
      <c r="H244" s="28">
        <v>1</v>
      </c>
      <c r="I244" s="29">
        <f t="shared" si="16"/>
        <v>160</v>
      </c>
      <c r="J244" s="29">
        <f t="shared" si="15"/>
        <v>160</v>
      </c>
      <c r="K244" s="29">
        <f t="shared" si="15"/>
        <v>160</v>
      </c>
      <c r="L244" s="31" t="str">
        <f>IF([5]商品具体设计!E187="","",[5]商品具体设计!E187)</f>
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</row>
    <row r="245" spans="3:12" x14ac:dyDescent="0.15">
      <c r="C245" s="31">
        <f>IF([5]商品具体设计!B188="","",[5]商品具体设计!B188)</f>
        <v>23015</v>
      </c>
      <c r="D245" s="31" t="str">
        <f>IF([5]商品具体设计!C188="","",[5]商品具体设计!C188)</f>
        <v>橙色武将随机宝箱碎片</v>
      </c>
      <c r="E245" s="31">
        <f>IF([5]商品具体设计!D188="","",[5]商品具体设计!D188)</f>
        <v>60</v>
      </c>
      <c r="F245" s="28">
        <v>1</v>
      </c>
      <c r="G245" s="28">
        <v>1</v>
      </c>
      <c r="H245" s="28">
        <v>1</v>
      </c>
      <c r="I245" s="29">
        <f t="shared" si="16"/>
        <v>60</v>
      </c>
      <c r="J245" s="29">
        <f t="shared" si="15"/>
        <v>60</v>
      </c>
      <c r="K245" s="29">
        <f t="shared" si="15"/>
        <v>60</v>
      </c>
      <c r="L245" s="31" t="str">
        <f>IF([5]商品具体设计!E188="","",[5]商品具体设计!E188)</f>
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</row>
    <row r="246" spans="3:12" x14ac:dyDescent="0.15">
      <c r="C246" s="31">
        <f>IF([5]商品具体设计!B189="","",[5]商品具体设计!B189)</f>
        <v>23016</v>
      </c>
      <c r="D246" s="31" t="str">
        <f>IF([5]商品具体设计!C189="","",[5]商品具体设计!C189)</f>
        <v>紫色武将随机宝箱碎片</v>
      </c>
      <c r="E246" s="31">
        <f>IF([5]商品具体设计!D189="","",[5]商品具体设计!D189)</f>
        <v>36</v>
      </c>
      <c r="F246" s="28">
        <v>1</v>
      </c>
      <c r="G246" s="28">
        <v>1</v>
      </c>
      <c r="H246" s="28">
        <v>1</v>
      </c>
      <c r="I246" s="29">
        <f t="shared" si="16"/>
        <v>36</v>
      </c>
      <c r="J246" s="29">
        <f t="shared" si="15"/>
        <v>36</v>
      </c>
      <c r="K246" s="29">
        <f t="shared" si="15"/>
        <v>36</v>
      </c>
      <c r="L246" s="31" t="str">
        <f>IF([5]商品具体设计!E189="","",[5]商品具体设计!E189)</f>
        <v>集齐10个碎片可以合成，随机获得下列武将中的一个：\n聂荌、专诸、钟无艳、田忌、春申君、莫邪、孙叔敖、西门豹、暴鸢、秦开</v>
      </c>
    </row>
    <row r="247" spans="3:12" x14ac:dyDescent="0.15">
      <c r="C247" s="31" t="str">
        <f>IF([5]商品具体设计!B190="","",[5]商品具体设计!B190)</f>
        <v/>
      </c>
      <c r="D247" s="31" t="str">
        <f>IF([5]商品具体设计!C190="","",[5]商品具体设计!C190)</f>
        <v/>
      </c>
      <c r="E247" s="31" t="str">
        <f>IF([5]商品具体设计!D190="","",[5]商品具体设计!D190)</f>
        <v/>
      </c>
      <c r="I247" s="29" t="str">
        <f t="shared" si="16"/>
        <v/>
      </c>
      <c r="J247" s="29" t="str">
        <f t="shared" ref="J247:K266" si="17">IF($E247="","",$E247*G247)</f>
        <v/>
      </c>
      <c r="K247" s="29" t="str">
        <f t="shared" si="17"/>
        <v/>
      </c>
      <c r="L247" s="31" t="str">
        <f>IF([5]商品具体设计!E190="","",[5]商品具体设计!E190)</f>
        <v/>
      </c>
    </row>
    <row r="248" spans="3:12" x14ac:dyDescent="0.15">
      <c r="C248" s="31" t="str">
        <f>IF([5]商品具体设计!B191="","",[5]商品具体设计!B191)</f>
        <v/>
      </c>
      <c r="D248" s="31" t="str">
        <f>IF([5]商品具体设计!C191="","",[5]商品具体设计!C191)</f>
        <v>指定绿色装备</v>
      </c>
      <c r="E248" s="31">
        <f>IF([5]商品具体设计!D191="","",[5]商品具体设计!D191)</f>
        <v>35</v>
      </c>
      <c r="F248" s="28">
        <v>1</v>
      </c>
      <c r="G248" s="28">
        <v>1</v>
      </c>
      <c r="H248" s="28">
        <v>1</v>
      </c>
      <c r="I248" s="29">
        <f t="shared" si="16"/>
        <v>35</v>
      </c>
      <c r="J248" s="29">
        <f t="shared" si="17"/>
        <v>35</v>
      </c>
      <c r="K248" s="29">
        <f t="shared" si="17"/>
        <v>35</v>
      </c>
      <c r="L248" s="31">
        <f>IF([5]商品具体设计!E191="","",[5]商品具体设计!E191)</f>
        <v>1</v>
      </c>
    </row>
    <row r="249" spans="3:12" x14ac:dyDescent="0.15">
      <c r="C249" s="31" t="str">
        <f>IF([5]商品具体设计!B192="","",[5]商品具体设计!B192)</f>
        <v/>
      </c>
      <c r="D249" s="31" t="str">
        <f>IF([5]商品具体设计!C192="","",[5]商品具体设计!C192)</f>
        <v>指定蓝色装备</v>
      </c>
      <c r="E249" s="31">
        <f>IF([5]商品具体设计!D192="","",[5]商品具体设计!D192)</f>
        <v>120</v>
      </c>
      <c r="F249" s="28">
        <v>1</v>
      </c>
      <c r="G249" s="28">
        <v>1</v>
      </c>
      <c r="H249" s="28">
        <v>1</v>
      </c>
      <c r="I249" s="29">
        <f t="shared" si="16"/>
        <v>120</v>
      </c>
      <c r="J249" s="29">
        <f t="shared" si="17"/>
        <v>120</v>
      </c>
      <c r="K249" s="29">
        <f t="shared" si="17"/>
        <v>120</v>
      </c>
      <c r="L249" s="31">
        <f>IF([5]商品具体设计!E192="","",[5]商品具体设计!E192)</f>
        <v>1.5</v>
      </c>
    </row>
    <row r="250" spans="3:12" x14ac:dyDescent="0.15">
      <c r="C250" s="31" t="str">
        <f>IF([5]商品具体设计!B193="","",[5]商品具体设计!B193)</f>
        <v/>
      </c>
      <c r="D250" s="31" t="str">
        <f>IF([5]商品具体设计!C193="","",[5]商品具体设计!C193)</f>
        <v>指定紫色装备</v>
      </c>
      <c r="E250" s="31">
        <f>IF([5]商品具体设计!D193="","",[5]商品具体设计!D193)</f>
        <v>300</v>
      </c>
      <c r="F250" s="28">
        <v>1</v>
      </c>
      <c r="G250" s="28">
        <v>1</v>
      </c>
      <c r="H250" s="28">
        <v>1</v>
      </c>
      <c r="I250" s="29">
        <f t="shared" si="16"/>
        <v>300</v>
      </c>
      <c r="J250" s="29">
        <f t="shared" si="17"/>
        <v>300</v>
      </c>
      <c r="K250" s="29">
        <f t="shared" si="17"/>
        <v>300</v>
      </c>
      <c r="L250" s="31">
        <f>IF([5]商品具体设计!E193="","",[5]商品具体设计!E193)</f>
        <v>2</v>
      </c>
    </row>
    <row r="251" spans="3:12" x14ac:dyDescent="0.15">
      <c r="C251" s="31" t="str">
        <f>IF([5]商品具体设计!B194="","",[5]商品具体设计!B194)</f>
        <v/>
      </c>
      <c r="D251" s="31" t="str">
        <f>IF([5]商品具体设计!C194="","",[5]商品具体设计!C194)</f>
        <v>指定橙色装备</v>
      </c>
      <c r="E251" s="31">
        <f>IF([5]商品具体设计!D194="","",[5]商品具体设计!D194)</f>
        <v>800</v>
      </c>
      <c r="F251" s="28">
        <v>1</v>
      </c>
      <c r="G251" s="28">
        <v>1</v>
      </c>
      <c r="H251" s="28">
        <v>1</v>
      </c>
      <c r="I251" s="29">
        <f t="shared" si="16"/>
        <v>800</v>
      </c>
      <c r="J251" s="29">
        <f t="shared" si="17"/>
        <v>800</v>
      </c>
      <c r="K251" s="29">
        <f t="shared" si="17"/>
        <v>800</v>
      </c>
      <c r="L251" s="31">
        <f>IF([5]商品具体设计!E194="","",[5]商品具体设计!E194)</f>
        <v>2.5</v>
      </c>
    </row>
    <row r="252" spans="3:12" x14ac:dyDescent="0.15">
      <c r="C252" s="31" t="str">
        <f>IF([5]商品具体设计!B195="","",[5]商品具体设计!B195)</f>
        <v/>
      </c>
      <c r="D252" s="31" t="str">
        <f>IF([5]商品具体设计!C195="","",[5]商品具体设计!C195)</f>
        <v>指定红色装备</v>
      </c>
      <c r="E252" s="31">
        <f>IF([5]商品具体设计!D195="","",[5]商品具体设计!D195)</f>
        <v>7200</v>
      </c>
      <c r="F252" s="28">
        <v>1</v>
      </c>
      <c r="G252" s="28">
        <v>1</v>
      </c>
      <c r="H252" s="28">
        <v>1</v>
      </c>
      <c r="I252" s="29">
        <f t="shared" si="16"/>
        <v>7200</v>
      </c>
      <c r="J252" s="29">
        <f t="shared" si="17"/>
        <v>7200</v>
      </c>
      <c r="K252" s="29">
        <f t="shared" si="17"/>
        <v>7200</v>
      </c>
      <c r="L252" s="31">
        <f>IF([5]商品具体设计!E195="","",[5]商品具体设计!E195)</f>
        <v>3</v>
      </c>
    </row>
    <row r="253" spans="3:12" x14ac:dyDescent="0.15">
      <c r="C253" s="31" t="str">
        <f>IF([5]商品具体设计!B196="","",[5]商品具体设计!B196)</f>
        <v/>
      </c>
      <c r="D253" s="31" t="str">
        <f>IF([5]商品具体设计!C196="","",[5]商品具体设计!C196)</f>
        <v>指定红+装备</v>
      </c>
      <c r="E253" s="31">
        <f>IF([5]商品具体设计!D196="","",[5]商品具体设计!D196)</f>
        <v>14400</v>
      </c>
      <c r="F253" s="28">
        <v>1</v>
      </c>
      <c r="G253" s="28">
        <v>1</v>
      </c>
      <c r="H253" s="28">
        <v>1</v>
      </c>
      <c r="I253" s="29">
        <f t="shared" si="16"/>
        <v>14400</v>
      </c>
      <c r="J253" s="29">
        <f t="shared" si="17"/>
        <v>14400</v>
      </c>
      <c r="K253" s="29">
        <f t="shared" si="17"/>
        <v>14400</v>
      </c>
      <c r="L253" s="31" t="str">
        <f>IF([5]商品具体设计!E196="","",[5]商品具体设计!E196)</f>
        <v/>
      </c>
    </row>
    <row r="254" spans="3:12" x14ac:dyDescent="0.15">
      <c r="C254" s="31">
        <f>IF([5]商品具体设计!B197="","",[5]商品具体设计!B197)</f>
        <v>23215</v>
      </c>
      <c r="D254" s="31" t="str">
        <f>IF([5]商品具体设计!C197="","",[5]商品具体设计!C197)</f>
        <v>紫色武力装备礼包</v>
      </c>
      <c r="E254" s="31" t="str">
        <f>IF([5]商品具体设计!D197="","",[5]商品具体设计!D197)</f>
        <v/>
      </c>
      <c r="F254" s="28">
        <v>1</v>
      </c>
      <c r="G254" s="28">
        <v>1</v>
      </c>
      <c r="H254" s="28">
        <v>1</v>
      </c>
      <c r="I254" s="29" t="str">
        <f t="shared" si="16"/>
        <v/>
      </c>
      <c r="J254" s="29" t="str">
        <f t="shared" si="17"/>
        <v/>
      </c>
      <c r="K254" s="29" t="str">
        <f t="shared" si="17"/>
        <v/>
      </c>
      <c r="L254" s="31" t="str">
        <f>IF([5]商品具体设计!E197="","",[5]商品具体设计!E197)</f>
        <v/>
      </c>
    </row>
    <row r="255" spans="3:12" x14ac:dyDescent="0.15">
      <c r="C255" s="31">
        <f>IF([5]商品具体设计!B198="","",[5]商品具体设计!B198)</f>
        <v>23216</v>
      </c>
      <c r="D255" s="31" t="str">
        <f>IF([5]商品具体设计!C198="","",[5]商品具体设计!C198)</f>
        <v>紫色智力装备礼包</v>
      </c>
      <c r="E255" s="31" t="str">
        <f>IF([5]商品具体设计!D198="","",[5]商品具体设计!D198)</f>
        <v/>
      </c>
      <c r="F255" s="28">
        <v>1</v>
      </c>
      <c r="G255" s="28">
        <v>1</v>
      </c>
      <c r="H255" s="28">
        <v>1</v>
      </c>
      <c r="I255" s="29" t="str">
        <f t="shared" si="16"/>
        <v/>
      </c>
      <c r="J255" s="29" t="str">
        <f t="shared" si="17"/>
        <v/>
      </c>
      <c r="K255" s="29" t="str">
        <f t="shared" si="17"/>
        <v/>
      </c>
      <c r="L255" s="31" t="str">
        <f>IF([5]商品具体设计!E198="","",[5]商品具体设计!E198)</f>
        <v/>
      </c>
    </row>
    <row r="256" spans="3:12" x14ac:dyDescent="0.15">
      <c r="C256" s="31">
        <f>IF([5]商品具体设计!B199="","",[5]商品具体设计!B199)</f>
        <v>23217</v>
      </c>
      <c r="D256" s="31" t="str">
        <f>IF([5]商品具体设计!C199="","",[5]商品具体设计!C199)</f>
        <v>橙色统率装备礼包</v>
      </c>
      <c r="E256" s="31" t="str">
        <f>IF([5]商品具体设计!D199="","",[5]商品具体设计!D199)</f>
        <v/>
      </c>
      <c r="F256" s="28">
        <v>1</v>
      </c>
      <c r="G256" s="28">
        <v>1</v>
      </c>
      <c r="H256" s="28">
        <v>1</v>
      </c>
      <c r="I256" s="29" t="str">
        <f t="shared" si="16"/>
        <v/>
      </c>
      <c r="J256" s="29" t="str">
        <f t="shared" si="17"/>
        <v/>
      </c>
      <c r="K256" s="29" t="str">
        <f t="shared" si="17"/>
        <v/>
      </c>
      <c r="L256" s="31" t="str">
        <f>IF([5]商品具体设计!E199="","",[5]商品具体设计!E199)</f>
        <v/>
      </c>
    </row>
    <row r="257" spans="3:12" x14ac:dyDescent="0.15">
      <c r="C257" s="31">
        <f>IF([5]商品具体设计!B200="","",[5]商品具体设计!B200)</f>
        <v>23218</v>
      </c>
      <c r="D257" s="31" t="str">
        <f>IF([5]商品具体设计!C200="","",[5]商品具体设计!C200)</f>
        <v>橙色智力装备礼包</v>
      </c>
      <c r="E257" s="31" t="str">
        <f>IF([5]商品具体设计!D200="","",[5]商品具体设计!D200)</f>
        <v/>
      </c>
      <c r="F257" s="28">
        <v>1</v>
      </c>
      <c r="G257" s="28">
        <v>1</v>
      </c>
      <c r="H257" s="28">
        <v>1</v>
      </c>
      <c r="I257" s="29" t="str">
        <f t="shared" si="16"/>
        <v/>
      </c>
      <c r="J257" s="29" t="str">
        <f t="shared" si="17"/>
        <v/>
      </c>
      <c r="K257" s="29" t="str">
        <f t="shared" si="17"/>
        <v/>
      </c>
      <c r="L257" s="31" t="str">
        <f>IF([5]商品具体设计!E200="","",[5]商品具体设计!E200)</f>
        <v/>
      </c>
    </row>
    <row r="258" spans="3:12" x14ac:dyDescent="0.15">
      <c r="C258" s="31">
        <f>IF([5]商品具体设计!B201="","",[5]商品具体设计!B201)</f>
        <v>23219</v>
      </c>
      <c r="D258" s="31" t="str">
        <f>IF([5]商品具体设计!C201="","",[5]商品具体设计!C201)</f>
        <v>橙色武力装备礼包</v>
      </c>
      <c r="E258" s="31" t="str">
        <f>IF([5]商品具体设计!D201="","",[5]商品具体设计!D201)</f>
        <v/>
      </c>
      <c r="F258" s="28">
        <v>1</v>
      </c>
      <c r="G258" s="28">
        <v>1</v>
      </c>
      <c r="H258" s="28">
        <v>1</v>
      </c>
      <c r="I258" s="29" t="str">
        <f t="shared" si="16"/>
        <v/>
      </c>
      <c r="J258" s="29" t="str">
        <f t="shared" si="17"/>
        <v/>
      </c>
      <c r="K258" s="29" t="str">
        <f t="shared" si="17"/>
        <v/>
      </c>
      <c r="L258" s="31" t="str">
        <f>IF([5]商品具体设计!E201="","",[5]商品具体设计!E201)</f>
        <v/>
      </c>
    </row>
    <row r="259" spans="3:12" x14ac:dyDescent="0.15">
      <c r="C259" s="31">
        <f>IF([5]商品具体设计!B202="","",[5]商品具体设计!B202)</f>
        <v>22118</v>
      </c>
      <c r="D259" s="31" t="str">
        <f>IF([5]商品具体设计!C202="","",[5]商品具体设计!C202)</f>
        <v>负荆请罪武魂</v>
      </c>
      <c r="E259" s="31" t="str">
        <f>IF([5]商品具体设计!D202="","",[5]商品具体设计!D202)</f>
        <v/>
      </c>
      <c r="F259" s="28">
        <v>1</v>
      </c>
      <c r="G259" s="28">
        <v>1</v>
      </c>
      <c r="H259" s="28">
        <v>1</v>
      </c>
      <c r="I259" s="29" t="str">
        <f t="shared" si="16"/>
        <v/>
      </c>
      <c r="J259" s="29" t="str">
        <f t="shared" si="17"/>
        <v/>
      </c>
      <c r="K259" s="29" t="str">
        <f t="shared" si="17"/>
        <v/>
      </c>
      <c r="L259" s="31" t="str">
        <f>IF([5]商品具体设计!E202="","",[5]商品具体设计!E202)</f>
        <v/>
      </c>
    </row>
    <row r="260" spans="3:12" x14ac:dyDescent="0.15">
      <c r="C260" s="31" t="str">
        <f>IF([5]商品具体设计!B203="","",[5]商品具体设计!B203)</f>
        <v/>
      </c>
      <c r="D260" s="31" t="str">
        <f>IF([5]商品具体设计!C203="","",[5]商品具体设计!C203)</f>
        <v/>
      </c>
      <c r="E260" s="31" t="str">
        <f>IF([5]商品具体设计!D203="","",[5]商品具体设计!D203)</f>
        <v/>
      </c>
      <c r="F260" s="28">
        <v>1</v>
      </c>
      <c r="G260" s="28">
        <v>1</v>
      </c>
      <c r="H260" s="28">
        <v>1</v>
      </c>
      <c r="I260" s="29" t="str">
        <f t="shared" si="16"/>
        <v/>
      </c>
      <c r="J260" s="29" t="str">
        <f t="shared" si="17"/>
        <v/>
      </c>
      <c r="K260" s="29" t="str">
        <f t="shared" si="17"/>
        <v/>
      </c>
      <c r="L260" s="31" t="str">
        <f>IF([5]商品具体设计!E203="","",[5]商品具体设计!E203)</f>
        <v/>
      </c>
    </row>
    <row r="261" spans="3:12" x14ac:dyDescent="0.15">
      <c r="C261" s="31">
        <f>IF([5]商品具体设计!B204="","",[5]商品具体设计!B204)</f>
        <v>23348</v>
      </c>
      <c r="D261" s="31" t="str">
        <f>IF([5]商品具体设计!C204="","",[5]商品具体设计!C204)</f>
        <v>清剿令</v>
      </c>
      <c r="E261" s="31" t="str">
        <f>IF([5]商品具体设计!D204="","",[5]商品具体设计!D204)</f>
        <v/>
      </c>
      <c r="F261" s="28">
        <v>1</v>
      </c>
      <c r="G261" s="28">
        <v>1</v>
      </c>
      <c r="H261" s="28">
        <v>1</v>
      </c>
      <c r="I261" s="29" t="str">
        <f t="shared" si="16"/>
        <v/>
      </c>
      <c r="J261" s="29" t="str">
        <f t="shared" si="17"/>
        <v/>
      </c>
      <c r="K261" s="29" t="str">
        <f t="shared" si="17"/>
        <v/>
      </c>
      <c r="L261" s="31" t="str">
        <f>IF([5]商品具体设计!E204="","",[5]商品具体设计!E204)</f>
        <v/>
      </c>
    </row>
    <row r="262" spans="3:12" x14ac:dyDescent="0.15">
      <c r="C262" s="31" t="str">
        <f>IF([5]商品具体设计!B205="","",[5]商品具体设计!B205)</f>
        <v/>
      </c>
      <c r="D262" s="31" t="str">
        <f>IF([5]商品具体设计!C205="","",[5]商品具体设计!C205)</f>
        <v/>
      </c>
      <c r="E262" s="31" t="str">
        <f>IF([5]商品具体设计!D205="","",[5]商品具体设计!D205)</f>
        <v/>
      </c>
      <c r="F262" s="28">
        <v>1</v>
      </c>
      <c r="G262" s="28">
        <v>1</v>
      </c>
      <c r="H262" s="28">
        <v>1</v>
      </c>
      <c r="I262" s="29" t="str">
        <f t="shared" ref="I262:I291" si="18">IF(E262="","",E262*F262)</f>
        <v/>
      </c>
      <c r="J262" s="29" t="str">
        <f t="shared" si="17"/>
        <v/>
      </c>
      <c r="K262" s="29" t="str">
        <f t="shared" si="17"/>
        <v/>
      </c>
      <c r="L262" s="31" t="str">
        <f>IF([5]商品具体设计!E205="","",[5]商品具体设计!E205)</f>
        <v/>
      </c>
    </row>
    <row r="263" spans="3:12" x14ac:dyDescent="0.15">
      <c r="C263" s="31" t="str">
        <f>IF([5]商品具体设计!B206="","",[5]商品具体设计!B206)</f>
        <v/>
      </c>
      <c r="D263" s="31" t="str">
        <f>IF([5]商品具体设计!C206="","",[5]商品具体设计!C206)</f>
        <v/>
      </c>
      <c r="E263" s="31" t="str">
        <f>IF([5]商品具体设计!D206="","",[5]商品具体设计!D206)</f>
        <v/>
      </c>
      <c r="F263" s="28">
        <v>1</v>
      </c>
      <c r="G263" s="28">
        <v>1</v>
      </c>
      <c r="H263" s="28">
        <v>1</v>
      </c>
      <c r="I263" s="29" t="str">
        <f t="shared" si="18"/>
        <v/>
      </c>
      <c r="J263" s="29" t="str">
        <f t="shared" si="17"/>
        <v/>
      </c>
      <c r="K263" s="29" t="str">
        <f t="shared" si="17"/>
        <v/>
      </c>
      <c r="L263" s="31" t="str">
        <f>IF([5]商品具体设计!E206="","",[5]商品具体设计!E206)</f>
        <v/>
      </c>
    </row>
    <row r="264" spans="3:12" x14ac:dyDescent="0.15">
      <c r="C264" s="31" t="str">
        <f>IF([5]商品具体设计!B207="","",[5]商品具体设计!B207)</f>
        <v/>
      </c>
      <c r="D264" s="31" t="str">
        <f>IF([5]商品具体设计!C207="","",[5]商品具体设计!C207)</f>
        <v/>
      </c>
      <c r="E264" s="31" t="str">
        <f>IF([5]商品具体设计!D207="","",[5]商品具体设计!D207)</f>
        <v/>
      </c>
      <c r="F264" s="28">
        <v>1</v>
      </c>
      <c r="G264" s="28">
        <v>1</v>
      </c>
      <c r="H264" s="28">
        <v>1</v>
      </c>
      <c r="I264" s="29" t="str">
        <f t="shared" si="18"/>
        <v/>
      </c>
      <c r="J264" s="29" t="str">
        <f t="shared" si="17"/>
        <v/>
      </c>
      <c r="K264" s="29" t="str">
        <f t="shared" si="17"/>
        <v/>
      </c>
      <c r="L264" s="31" t="str">
        <f>IF([5]商品具体设计!E207="","",[5]商品具体设计!E207)</f>
        <v/>
      </c>
    </row>
    <row r="265" spans="3:12" x14ac:dyDescent="0.15">
      <c r="C265" s="31">
        <f>IF([5]商品具体设计!B208="","",[5]商品具体设计!B208)</f>
        <v>22116</v>
      </c>
      <c r="D265" s="31" t="str">
        <f>IF([5]商品具体设计!C208="","",[5]商品具体设计!C208)</f>
        <v>倾国倾城武魂</v>
      </c>
      <c r="E265" s="31" t="str">
        <f>IF([5]商品具体设计!D208="","",[5]商品具体设计!D208)</f>
        <v/>
      </c>
      <c r="F265" s="28">
        <v>1</v>
      </c>
      <c r="G265" s="28">
        <v>1</v>
      </c>
      <c r="H265" s="28">
        <v>1</v>
      </c>
      <c r="I265" s="29" t="str">
        <f t="shared" si="18"/>
        <v/>
      </c>
      <c r="J265" s="29" t="str">
        <f t="shared" si="17"/>
        <v/>
      </c>
      <c r="K265" s="29" t="str">
        <f t="shared" si="17"/>
        <v/>
      </c>
      <c r="L265" s="31" t="str">
        <f>IF([5]商品具体设计!E208="","",[5]商品具体设计!E208)</f>
        <v/>
      </c>
    </row>
    <row r="266" spans="3:12" x14ac:dyDescent="0.15">
      <c r="C266" s="31">
        <f>IF([5]商品具体设计!B209="","",[5]商品具体设计!B209)</f>
        <v>22117</v>
      </c>
      <c r="D266" s="31" t="str">
        <f>IF([5]商品具体设计!C209="","",[5]商品具体设计!C209)</f>
        <v>墨行天下武魂</v>
      </c>
      <c r="E266" s="31" t="str">
        <f>IF([5]商品具体设计!D209="","",[5]商品具体设计!D209)</f>
        <v/>
      </c>
      <c r="F266" s="28">
        <v>1</v>
      </c>
      <c r="G266" s="28">
        <v>1</v>
      </c>
      <c r="H266" s="28">
        <v>1</v>
      </c>
      <c r="I266" s="29" t="str">
        <f t="shared" si="18"/>
        <v/>
      </c>
      <c r="J266" s="29" t="str">
        <f t="shared" si="17"/>
        <v/>
      </c>
      <c r="K266" s="29" t="str">
        <f t="shared" si="17"/>
        <v/>
      </c>
      <c r="L266" s="31" t="str">
        <f>IF([5]商品具体设计!E209="","",[5]商品具体设计!E209)</f>
        <v/>
      </c>
    </row>
    <row r="267" spans="3:12" x14ac:dyDescent="0.15">
      <c r="C267" s="31">
        <f>IF([5]商品具体设计!B210="","",[5]商品具体设计!B210)</f>
        <v>23220</v>
      </c>
      <c r="D267" s="31" t="str">
        <f>IF([5]商品具体设计!C210="","",[5]商品具体设计!C210)</f>
        <v>红色统智装备礼包</v>
      </c>
      <c r="E267" s="31" t="str">
        <f>IF([5]商品具体设计!D210="","",[5]商品具体设计!D210)</f>
        <v/>
      </c>
      <c r="F267" s="28">
        <v>1</v>
      </c>
      <c r="G267" s="28">
        <v>1</v>
      </c>
      <c r="H267" s="28">
        <v>1</v>
      </c>
      <c r="I267" s="29" t="str">
        <f t="shared" si="18"/>
        <v/>
      </c>
      <c r="J267" s="29" t="str">
        <f t="shared" ref="J267:K291" si="19">IF($E267="","",$E267*G267)</f>
        <v/>
      </c>
      <c r="K267" s="29" t="str">
        <f t="shared" si="19"/>
        <v/>
      </c>
      <c r="L267" s="31" t="str">
        <f>IF([5]商品具体设计!E210="","",[5]商品具体设计!E210)</f>
        <v/>
      </c>
    </row>
    <row r="268" spans="3:12" x14ac:dyDescent="0.15">
      <c r="C268" s="31">
        <f>IF([5]商品具体设计!B211="","",[5]商品具体设计!B211)</f>
        <v>23221</v>
      </c>
      <c r="D268" s="31" t="str">
        <f>IF([5]商品具体设计!C211="","",[5]商品具体设计!C211)</f>
        <v>紫色兵法自选宝箱</v>
      </c>
      <c r="E268" s="31" t="str">
        <f>IF([5]商品具体设计!D211="","",[5]商品具体设计!D211)</f>
        <v/>
      </c>
      <c r="F268" s="28">
        <v>1</v>
      </c>
      <c r="G268" s="28">
        <v>1</v>
      </c>
      <c r="H268" s="28">
        <v>1</v>
      </c>
      <c r="I268" s="29" t="str">
        <f t="shared" si="18"/>
        <v/>
      </c>
      <c r="J268" s="29" t="str">
        <f t="shared" si="19"/>
        <v/>
      </c>
      <c r="K268" s="29" t="str">
        <f t="shared" si="19"/>
        <v/>
      </c>
      <c r="L268" s="31" t="str">
        <f>IF([5]商品具体设计!E211="","",[5]商品具体设计!E211)</f>
        <v/>
      </c>
    </row>
    <row r="269" spans="3:12" x14ac:dyDescent="0.15">
      <c r="C269" s="31">
        <f>IF([5]商品具体设计!B212="","",[5]商品具体设计!B212)</f>
        <v>23222</v>
      </c>
      <c r="D269" s="31" t="str">
        <f>IF([5]商品具体设计!C212="","",[5]商品具体设计!C212)</f>
        <v>橙色兵法自选宝箱</v>
      </c>
      <c r="E269" s="31" t="str">
        <f>IF([5]商品具体设计!D212="","",[5]商品具体设计!D212)</f>
        <v/>
      </c>
      <c r="F269" s="28">
        <v>1</v>
      </c>
      <c r="G269" s="28">
        <v>1</v>
      </c>
      <c r="H269" s="28">
        <v>1</v>
      </c>
      <c r="I269" s="29" t="str">
        <f t="shared" si="18"/>
        <v/>
      </c>
      <c r="J269" s="29" t="str">
        <f t="shared" si="19"/>
        <v/>
      </c>
      <c r="K269" s="29" t="str">
        <f t="shared" si="19"/>
        <v/>
      </c>
      <c r="L269" s="31" t="str">
        <f>IF([5]商品具体设计!E212="","",[5]商品具体设计!E212)</f>
        <v/>
      </c>
    </row>
    <row r="270" spans="3:12" x14ac:dyDescent="0.15">
      <c r="C270" s="31">
        <f>IF([5]商品具体设计!B213="","",[5]商品具体设计!B213)</f>
        <v>23364</v>
      </c>
      <c r="D270" s="31" t="str">
        <f>IF([5]商品具体设计!C213="","",[5]商品具体设计!C213)</f>
        <v>自选橙色兵法碎片</v>
      </c>
      <c r="E270" s="31" t="str">
        <f>IF([5]商品具体设计!D213="","",[5]商品具体设计!D213)</f>
        <v/>
      </c>
      <c r="F270" s="28">
        <v>1</v>
      </c>
      <c r="G270" s="28">
        <v>1</v>
      </c>
      <c r="H270" s="28">
        <v>1</v>
      </c>
      <c r="I270" s="29" t="str">
        <f t="shared" si="18"/>
        <v/>
      </c>
      <c r="J270" s="29" t="str">
        <f t="shared" si="19"/>
        <v/>
      </c>
      <c r="K270" s="29" t="str">
        <f t="shared" si="19"/>
        <v/>
      </c>
      <c r="L270" s="31" t="str">
        <f>IF([5]商品具体设计!E213="","",[5]商品具体设计!E213)</f>
        <v/>
      </c>
    </row>
    <row r="271" spans="3:12" x14ac:dyDescent="0.15">
      <c r="C271" s="31">
        <f>IF([5]商品具体设计!B214="","",[5]商品具体设计!B214)</f>
        <v>23365</v>
      </c>
      <c r="D271" s="31" t="str">
        <f>IF([5]商品具体设计!C214="","",[5]商品具体设计!C214)</f>
        <v>自选紫色兵法碎片</v>
      </c>
      <c r="E271" s="31" t="str">
        <f>IF([5]商品具体设计!D214="","",[5]商品具体设计!D214)</f>
        <v/>
      </c>
      <c r="F271" s="28">
        <v>1</v>
      </c>
      <c r="G271" s="28">
        <v>1</v>
      </c>
      <c r="H271" s="28">
        <v>1</v>
      </c>
      <c r="I271" s="29" t="str">
        <f t="shared" si="18"/>
        <v/>
      </c>
      <c r="J271" s="29" t="str">
        <f t="shared" si="19"/>
        <v/>
      </c>
      <c r="K271" s="29" t="str">
        <f t="shared" si="19"/>
        <v/>
      </c>
      <c r="L271" s="31" t="str">
        <f>IF([5]商品具体设计!E214="","",[5]商品具体设计!E214)</f>
        <v/>
      </c>
    </row>
    <row r="272" spans="3:12" x14ac:dyDescent="0.15">
      <c r="C272" s="31" t="str">
        <f>IF([5]商品具体设计!B215="","",[5]商品具体设计!B215)</f>
        <v/>
      </c>
      <c r="D272" s="31" t="str">
        <f>IF([5]商品具体设计!C215="","",[5]商品具体设计!C215)</f>
        <v/>
      </c>
      <c r="E272" s="31" t="str">
        <f>IF([5]商品具体设计!D215="","",[5]商品具体设计!D215)</f>
        <v/>
      </c>
      <c r="F272" s="28">
        <v>1</v>
      </c>
      <c r="G272" s="28">
        <v>1</v>
      </c>
      <c r="H272" s="28">
        <v>1</v>
      </c>
      <c r="I272" s="29" t="str">
        <f t="shared" si="18"/>
        <v/>
      </c>
      <c r="J272" s="29" t="str">
        <f t="shared" si="19"/>
        <v/>
      </c>
      <c r="K272" s="29" t="str">
        <f t="shared" si="19"/>
        <v/>
      </c>
      <c r="L272" s="31" t="str">
        <f>IF([5]商品具体设计!E215="","",[5]商品具体设计!E215)</f>
        <v/>
      </c>
    </row>
    <row r="273" spans="3:12" x14ac:dyDescent="0.15">
      <c r="C273" s="31">
        <f>IF([5]商品具体设计!B216="","",[5]商品具体设计!B216)</f>
        <v>21075</v>
      </c>
      <c r="D273" s="31" t="str">
        <f>IF([5]商品具体设计!C216="","",[5]商品具体设计!C216)</f>
        <v>中级免战牌</v>
      </c>
      <c r="E273" s="31">
        <f>IF([5]商品具体设计!D216="","",[5]商品具体设计!D216)</f>
        <v>200</v>
      </c>
      <c r="F273" s="28">
        <v>1</v>
      </c>
      <c r="G273" s="28">
        <v>1</v>
      </c>
      <c r="H273" s="28">
        <v>1</v>
      </c>
      <c r="I273" s="29">
        <f t="shared" si="18"/>
        <v>200</v>
      </c>
      <c r="J273" s="29">
        <f t="shared" si="19"/>
        <v>200</v>
      </c>
      <c r="K273" s="29">
        <f t="shared" si="19"/>
        <v>200</v>
      </c>
      <c r="L273" s="31" t="str">
        <f>IF([5]商品具体设计!E216="","",[5]商品具体设计!E216)</f>
        <v>使用后城池不会遭受来自其他玩家的攻击，主动进攻其他玩家后失效，持续12小时</v>
      </c>
    </row>
    <row r="274" spans="3:12" x14ac:dyDescent="0.15">
      <c r="C274" s="31">
        <f>IF([5]商品具体设计!B217="","",[5]商品具体设计!B217)</f>
        <v>21071</v>
      </c>
      <c r="D274" s="31" t="str">
        <f>IF([5]商品具体设计!C217="","",[5]商品具体设计!C217)</f>
        <v>高级免战牌</v>
      </c>
      <c r="E274" s="31">
        <f>IF([5]商品具体设计!D217="","",[5]商品具体设计!D217)</f>
        <v>500</v>
      </c>
      <c r="F274" s="28">
        <v>1</v>
      </c>
      <c r="G274" s="28">
        <v>1</v>
      </c>
      <c r="H274" s="28">
        <v>1</v>
      </c>
      <c r="I274" s="29">
        <f t="shared" si="18"/>
        <v>500</v>
      </c>
      <c r="J274" s="29">
        <f t="shared" si="19"/>
        <v>500</v>
      </c>
      <c r="K274" s="29">
        <f t="shared" si="19"/>
        <v>500</v>
      </c>
      <c r="L274" s="31" t="str">
        <f>IF([5]商品具体设计!E217="","",[5]商品具体设计!E217)</f>
        <v>使用后城池不会遭受来自其他玩家的攻击，主动进攻其他玩家后失效，持续24小时</v>
      </c>
    </row>
    <row r="275" spans="3:12" x14ac:dyDescent="0.15">
      <c r="C275" s="31">
        <f>IF([5]商品具体设计!B218="","",[5]商品具体设计!B218)</f>
        <v>21072</v>
      </c>
      <c r="D275" s="31" t="str">
        <f>IF([5]商品具体设计!C218="","",[5]商品具体设计!C218)</f>
        <v>特级免战牌</v>
      </c>
      <c r="E275" s="31">
        <f>IF([5]商品具体设计!D218="","",[5]商品具体设计!D218)</f>
        <v>1800</v>
      </c>
      <c r="F275" s="28">
        <v>1</v>
      </c>
      <c r="G275" s="28">
        <v>1</v>
      </c>
      <c r="H275" s="28">
        <v>1</v>
      </c>
      <c r="I275" s="29">
        <f t="shared" si="18"/>
        <v>1800</v>
      </c>
      <c r="J275" s="29">
        <f t="shared" si="19"/>
        <v>1800</v>
      </c>
      <c r="K275" s="29">
        <f t="shared" si="19"/>
        <v>1800</v>
      </c>
      <c r="L275" s="31" t="str">
        <f>IF([5]商品具体设计!E218="","",[5]商品具体设计!E218)</f>
        <v>使用后城池不会遭受来自其他玩家的攻击，主动进攻其他玩家后失效，持续72小时</v>
      </c>
    </row>
    <row r="276" spans="3:12" x14ac:dyDescent="0.15">
      <c r="C276" s="31" t="str">
        <f>IF([5]商品具体设计!B219="","",[5]商品具体设计!B219)</f>
        <v/>
      </c>
      <c r="D276" s="31" t="str">
        <f>IF([5]商品具体设计!C219="","",[5]商品具体设计!C219)</f>
        <v/>
      </c>
      <c r="E276" s="31" t="str">
        <f>IF([5]商品具体设计!D219="","",[5]商品具体设计!D219)</f>
        <v/>
      </c>
      <c r="F276" s="28">
        <v>1</v>
      </c>
      <c r="G276" s="28">
        <v>1</v>
      </c>
      <c r="H276" s="28">
        <v>1</v>
      </c>
      <c r="I276" s="29" t="str">
        <f t="shared" si="18"/>
        <v/>
      </c>
      <c r="J276" s="29" t="str">
        <f t="shared" si="19"/>
        <v/>
      </c>
      <c r="K276" s="29" t="str">
        <f t="shared" si="19"/>
        <v/>
      </c>
      <c r="L276" s="31" t="str">
        <f>IF([5]商品具体设计!E219="","",[5]商品具体设计!E219)</f>
        <v>消灭野怪获得，用于宝物温养。</v>
      </c>
    </row>
    <row r="277" spans="3:12" x14ac:dyDescent="0.15">
      <c r="C277" s="31">
        <f>IF([5]商品具体设计!B220="","",[5]商品具体设计!B220)</f>
        <v>23359</v>
      </c>
      <c r="D277" s="31" t="str">
        <f>IF([5]商品具体设计!C220="","",[5]商品具体设计!C220)</f>
        <v>宝鉴</v>
      </c>
      <c r="E277" s="31" t="str">
        <f>IF([5]商品具体设计!D220="","",[5]商品具体设计!D220)</f>
        <v/>
      </c>
      <c r="F277" s="28">
        <v>1</v>
      </c>
      <c r="G277" s="28">
        <v>1</v>
      </c>
      <c r="H277" s="28">
        <v>1</v>
      </c>
      <c r="I277" s="29" t="str">
        <f t="shared" si="18"/>
        <v/>
      </c>
      <c r="J277" s="29" t="str">
        <f t="shared" si="19"/>
        <v/>
      </c>
      <c r="K277" s="29" t="str">
        <f t="shared" si="19"/>
        <v/>
      </c>
      <c r="L277" s="31" t="str">
        <f>IF([5]商品具体设计!E220="","",[5]商品具体设计!E220)</f>
        <v>持有宝鉴名册，可鉴天下珍宝</v>
      </c>
    </row>
    <row r="278" spans="3:12" x14ac:dyDescent="0.15">
      <c r="C278" s="31">
        <f>IF([5]商品具体设计!B221="","",[5]商品具体设计!B221)</f>
        <v>23526</v>
      </c>
      <c r="D278" s="31" t="str">
        <f>IF([5]商品具体设计!C221="","",[5]商品具体设计!C221)</f>
        <v>极品装备宝箱碎片</v>
      </c>
      <c r="E278" s="31" t="str">
        <f>IF([5]商品具体设计!D221="","",[5]商品具体设计!D221)</f>
        <v/>
      </c>
      <c r="F278" s="28">
        <v>1</v>
      </c>
      <c r="G278" s="28">
        <v>1</v>
      </c>
      <c r="H278" s="28">
        <v>1</v>
      </c>
      <c r="I278" s="29" t="str">
        <f t="shared" si="18"/>
        <v/>
      </c>
      <c r="J278" s="29" t="str">
        <f t="shared" si="19"/>
        <v/>
      </c>
      <c r="K278" s="29" t="str">
        <f t="shared" si="19"/>
        <v/>
      </c>
      <c r="L278" s="31" t="str">
        <f>IF([5]商品具体设计!E221="","",[5]商品具体设计!E221)</f>
        <v>使用后可以获得一个极品红色装备宝箱</v>
      </c>
    </row>
    <row r="279" spans="3:12" x14ac:dyDescent="0.15">
      <c r="C279" s="31">
        <f>IF([5]商品具体设计!B222="","",[5]商品具体设计!B222)</f>
        <v>23527</v>
      </c>
      <c r="D279" s="31" t="str">
        <f>IF([5]商品具体设计!C222="","",[5]商品具体设计!C222)</f>
        <v>极品装备宝箱</v>
      </c>
      <c r="E279" s="31" t="str">
        <f>IF([5]商品具体设计!D222="","",[5]商品具体设计!D222)</f>
        <v/>
      </c>
      <c r="F279" s="28">
        <v>1</v>
      </c>
      <c r="G279" s="28">
        <v>1</v>
      </c>
      <c r="H279" s="28">
        <v>1</v>
      </c>
      <c r="I279" s="29" t="str">
        <f t="shared" si="18"/>
        <v/>
      </c>
      <c r="J279" s="29" t="str">
        <f t="shared" si="19"/>
        <v/>
      </c>
      <c r="K279" s="29" t="str">
        <f t="shared" si="19"/>
        <v/>
      </c>
      <c r="L279" s="31" t="str">
        <f>IF([5]商品具体设计!E222="","",[5]商品具体设计!E222)</f>
        <v>使用后可以选择获得一件极品红色装备</v>
      </c>
    </row>
    <row r="280" spans="3:12" x14ac:dyDescent="0.15">
      <c r="C280" s="31">
        <f>IF([5]商品具体设计!B223="","",[5]商品具体设计!B223)</f>
        <v>23528</v>
      </c>
      <c r="D280" s="31" t="str">
        <f>IF([5]商品具体设计!C223="","",[5]商品具体设计!C223)</f>
        <v>极品统武装备宝箱</v>
      </c>
      <c r="E280" s="31" t="str">
        <f>IF([5]商品具体设计!D223="","",[5]商品具体设计!D223)</f>
        <v/>
      </c>
      <c r="F280" s="28">
        <v>1</v>
      </c>
      <c r="G280" s="28">
        <v>1</v>
      </c>
      <c r="H280" s="28">
        <v>1</v>
      </c>
      <c r="I280" s="29" t="str">
        <f t="shared" si="18"/>
        <v/>
      </c>
      <c r="J280" s="29" t="str">
        <f t="shared" si="19"/>
        <v/>
      </c>
      <c r="K280" s="29" t="str">
        <f t="shared" si="19"/>
        <v/>
      </c>
      <c r="L280" s="31" t="str">
        <f>IF([5]商品具体设计!E223="","",[5]商品具体设计!E223)</f>
        <v>使用后获得十方古璃套装3件套装备</v>
      </c>
    </row>
    <row r="281" spans="3:12" x14ac:dyDescent="0.15">
      <c r="C281" s="31">
        <f>IF([5]商品具体设计!B224="","",[5]商品具体设计!B224)</f>
        <v>23529</v>
      </c>
      <c r="D281" s="31" t="str">
        <f>IF([5]商品具体设计!C224="","",[5]商品具体设计!C224)</f>
        <v>极品统智装备宝箱</v>
      </c>
      <c r="E281" s="31" t="str">
        <f>IF([5]商品具体设计!D224="","",[5]商品具体设计!D224)</f>
        <v/>
      </c>
      <c r="F281" s="28">
        <v>1</v>
      </c>
      <c r="G281" s="28">
        <v>1</v>
      </c>
      <c r="H281" s="28">
        <v>1</v>
      </c>
      <c r="I281" s="29" t="str">
        <f t="shared" si="18"/>
        <v/>
      </c>
      <c r="J281" s="29" t="str">
        <f t="shared" si="19"/>
        <v/>
      </c>
      <c r="K281" s="29" t="str">
        <f t="shared" si="19"/>
        <v/>
      </c>
      <c r="L281" s="31" t="str">
        <f>IF([5]商品具体设计!E224="","",[5]商品具体设计!E224)</f>
        <v>使用后获得墨霜广焱3件套装备</v>
      </c>
    </row>
    <row r="282" spans="3:12" x14ac:dyDescent="0.15">
      <c r="C282" s="31">
        <f>IF([5]商品具体设计!B225="","",[5]商品具体设计!B225)</f>
        <v>23530</v>
      </c>
      <c r="D282" s="31" t="str">
        <f>IF([5]商品具体设计!C225="","",[5]商品具体设计!C225)</f>
        <v>红色装备宝箱碎片</v>
      </c>
      <c r="E282" s="31" t="str">
        <f>IF([5]商品具体设计!D225="","",[5]商品具体设计!D225)</f>
        <v/>
      </c>
      <c r="F282" s="28">
        <v>1</v>
      </c>
      <c r="G282" s="28">
        <v>1</v>
      </c>
      <c r="H282" s="28">
        <v>1</v>
      </c>
      <c r="I282" s="29" t="str">
        <f t="shared" si="18"/>
        <v/>
      </c>
      <c r="J282" s="29" t="str">
        <f t="shared" si="19"/>
        <v/>
      </c>
      <c r="K282" s="29" t="str">
        <f t="shared" si="19"/>
        <v/>
      </c>
      <c r="L282" s="31" t="str">
        <f>IF([5]商品具体设计!E225="","",[5]商品具体设计!E225)</f>
        <v>使用后可以获得一个红色装备宝箱</v>
      </c>
    </row>
    <row r="283" spans="3:12" x14ac:dyDescent="0.15">
      <c r="C283" s="31">
        <f>IF([5]商品具体设计!B226="","",[5]商品具体设计!B226)</f>
        <v>23531</v>
      </c>
      <c r="D283" s="31" t="str">
        <f>IF([5]商品具体设计!C226="","",[5]商品具体设计!C226)</f>
        <v>红色装备宝箱</v>
      </c>
      <c r="E283" s="31" t="str">
        <f>IF([5]商品具体设计!D226="","",[5]商品具体设计!D226)</f>
        <v/>
      </c>
      <c r="F283" s="28">
        <v>1</v>
      </c>
      <c r="G283" s="28">
        <v>1</v>
      </c>
      <c r="H283" s="28">
        <v>1</v>
      </c>
      <c r="I283" s="29" t="str">
        <f t="shared" si="18"/>
        <v/>
      </c>
      <c r="J283" s="29" t="str">
        <f t="shared" si="19"/>
        <v/>
      </c>
      <c r="K283" s="29" t="str">
        <f t="shared" si="19"/>
        <v/>
      </c>
      <c r="L283" s="31" t="str">
        <f>IF([5]商品具体设计!E226="","",[5]商品具体设计!E226)</f>
        <v>使用后可以选择获得一件红色装备</v>
      </c>
    </row>
    <row r="284" spans="3:12" x14ac:dyDescent="0.15">
      <c r="C284" s="31">
        <f>IF([5]商品具体设计!B227="","",[5]商品具体设计!B227)</f>
        <v>23532</v>
      </c>
      <c r="D284" s="31" t="str">
        <f>IF([5]商品具体设计!C227="","",[5]商品具体设计!C227)</f>
        <v>抛砖引玉·极-残片</v>
      </c>
      <c r="E284" s="31" t="str">
        <f>IF([5]商品具体设计!D227="","",[5]商品具体设计!D227)</f>
        <v/>
      </c>
      <c r="F284" s="28">
        <v>1</v>
      </c>
      <c r="G284" s="28">
        <v>1</v>
      </c>
      <c r="H284" s="28">
        <v>1</v>
      </c>
      <c r="I284" s="29" t="str">
        <f t="shared" si="18"/>
        <v/>
      </c>
      <c r="J284" s="29" t="str">
        <f t="shared" si="19"/>
        <v/>
      </c>
      <c r="K284" s="29" t="str">
        <f t="shared" si="19"/>
        <v/>
      </c>
      <c r="L284" s="31" t="str">
        <f>IF([5]商品具体设计!E227="","",[5]商品具体设计!E227)</f>
        <v/>
      </c>
    </row>
    <row r="285" spans="3:12" x14ac:dyDescent="0.15">
      <c r="C285" s="31">
        <f>IF([5]商品具体设计!B228="","",[5]商品具体设计!B228)</f>
        <v>23389</v>
      </c>
      <c r="D285" s="31" t="str">
        <f>IF([5]商品具体设计!C228="","",[5]商品具体设计!C228)</f>
        <v>秦阳陵虎符碎片</v>
      </c>
      <c r="E285" s="31" t="str">
        <f>IF([5]商品具体设计!D228="","",[5]商品具体设计!D228)</f>
        <v/>
      </c>
      <c r="F285" s="28">
        <v>1</v>
      </c>
      <c r="G285" s="28">
        <v>1</v>
      </c>
      <c r="H285" s="28">
        <v>1</v>
      </c>
      <c r="I285" s="29" t="str">
        <f t="shared" si="18"/>
        <v/>
      </c>
      <c r="J285" s="29" t="str">
        <f t="shared" si="19"/>
        <v/>
      </c>
      <c r="K285" s="29" t="str">
        <f t="shared" si="19"/>
        <v/>
      </c>
      <c r="L285" s="31" t="str">
        <f>IF([5]商品具体设计!E228="","",[5]商品具体设计!E228)</f>
        <v/>
      </c>
    </row>
    <row r="286" spans="3:12" x14ac:dyDescent="0.15">
      <c r="C286" s="31">
        <f>IF([5]商品具体设计!B229="","",[5]商品具体设计!B229)</f>
        <v>180024</v>
      </c>
      <c r="D286" s="31" t="str">
        <f>IF([5]商品具体设计!C229="","",[5]商品具体设计!C229)</f>
        <v>高级盗贼</v>
      </c>
      <c r="E286" s="31" t="str">
        <f>IF([5]商品具体设计!D229="","",[5]商品具体设计!D229)</f>
        <v/>
      </c>
      <c r="F286" s="28">
        <v>1</v>
      </c>
      <c r="G286" s="28">
        <v>1</v>
      </c>
      <c r="H286" s="28">
        <v>1</v>
      </c>
      <c r="I286" s="29" t="str">
        <f t="shared" si="18"/>
        <v/>
      </c>
      <c r="J286" s="29" t="str">
        <f t="shared" si="19"/>
        <v/>
      </c>
      <c r="K286" s="29" t="str">
        <f t="shared" si="19"/>
        <v/>
      </c>
      <c r="L286" s="31" t="str">
        <f>IF([5]商品具体设计!E229="","",[5]商品具体设计!E229)</f>
        <v/>
      </c>
    </row>
    <row r="287" spans="3:12" x14ac:dyDescent="0.15">
      <c r="C287" s="31">
        <f>IF([5]商品具体设计!B230="","",[5]商品具体设计!B230)</f>
        <v>180023</v>
      </c>
      <c r="D287" s="31" t="str">
        <f>IF([5]商品具体设计!C230="","",[5]商品具体设计!C230)</f>
        <v>高级间谍</v>
      </c>
      <c r="E287" s="31" t="str">
        <f>IF([5]商品具体设计!D230="","",[5]商品具体设计!D230)</f>
        <v/>
      </c>
      <c r="F287" s="28">
        <v>1</v>
      </c>
      <c r="G287" s="28">
        <v>1</v>
      </c>
      <c r="H287" s="28">
        <v>1</v>
      </c>
      <c r="I287" s="29" t="str">
        <f t="shared" si="18"/>
        <v/>
      </c>
      <c r="J287" s="29" t="str">
        <f t="shared" si="19"/>
        <v/>
      </c>
      <c r="K287" s="29" t="str">
        <f t="shared" si="19"/>
        <v/>
      </c>
      <c r="L287" s="31" t="str">
        <f>IF([5]商品具体设计!E230="","",[5]商品具体设计!E230)</f>
        <v/>
      </c>
    </row>
    <row r="288" spans="3:12" x14ac:dyDescent="0.15">
      <c r="C288" s="31">
        <f>IF([5]商品具体设计!B231="","",[5]商品具体设计!B231)</f>
        <v>180022</v>
      </c>
      <c r="D288" s="31" t="str">
        <f>IF([5]商品具体设计!C231="","",[5]商品具体设计!C231)</f>
        <v>高级刺客</v>
      </c>
      <c r="E288" s="31" t="str">
        <f>IF([5]商品具体设计!D231="","",[5]商品具体设计!D231)</f>
        <v/>
      </c>
      <c r="F288" s="28">
        <v>1</v>
      </c>
      <c r="G288" s="28">
        <v>1</v>
      </c>
      <c r="H288" s="28">
        <v>1</v>
      </c>
      <c r="I288" s="29" t="str">
        <f t="shared" si="18"/>
        <v/>
      </c>
      <c r="J288" s="29" t="str">
        <f t="shared" si="19"/>
        <v/>
      </c>
      <c r="K288" s="29" t="str">
        <f t="shared" si="19"/>
        <v/>
      </c>
      <c r="L288" s="31" t="str">
        <f>IF([5]商品具体设计!E231="","",[5]商品具体设计!E231)</f>
        <v/>
      </c>
    </row>
    <row r="289" spans="3:12" x14ac:dyDescent="0.15">
      <c r="C289" s="31" t="str">
        <f>IF([5]商品具体设计!B232="","",[5]商品具体设计!B232)</f>
        <v/>
      </c>
      <c r="D289" s="31" t="str">
        <f>IF([5]商品具体设计!C232="","",[5]商品具体设计!C232)</f>
        <v/>
      </c>
      <c r="E289" s="31" t="str">
        <f>IF([5]商品具体设计!D232="","",[5]商品具体设计!D232)</f>
        <v/>
      </c>
      <c r="F289" s="28">
        <v>1</v>
      </c>
      <c r="G289" s="28">
        <v>1</v>
      </c>
      <c r="H289" s="28">
        <v>1</v>
      </c>
      <c r="I289" s="29" t="str">
        <f t="shared" si="18"/>
        <v/>
      </c>
      <c r="J289" s="29" t="str">
        <f t="shared" si="19"/>
        <v/>
      </c>
      <c r="K289" s="29" t="str">
        <f t="shared" si="19"/>
        <v/>
      </c>
      <c r="L289" s="31" t="str">
        <f>IF([5]商品具体设计!E232="","",[5]商品具体设计!E232)</f>
        <v/>
      </c>
    </row>
    <row r="290" spans="3:12" x14ac:dyDescent="0.15">
      <c r="C290" s="31">
        <f>IF([5]商品具体设计!B233="","",[5]商品具体设计!B233)</f>
        <v>23542</v>
      </c>
      <c r="D290" s="31" t="str">
        <f>IF([5]商品具体设计!C233="","",[5]商品具体设计!C233)</f>
        <v>十方装备宝箱碎片</v>
      </c>
      <c r="E290" s="31" t="str">
        <f>IF([5]商品具体设计!D233="","",[5]商品具体设计!D233)</f>
        <v/>
      </c>
      <c r="F290" s="28">
        <v>1</v>
      </c>
      <c r="G290" s="28">
        <v>1</v>
      </c>
      <c r="H290" s="28">
        <v>1</v>
      </c>
      <c r="I290" s="29" t="str">
        <f t="shared" si="18"/>
        <v/>
      </c>
      <c r="J290" s="29" t="str">
        <f t="shared" si="19"/>
        <v/>
      </c>
      <c r="K290" s="29" t="str">
        <f t="shared" si="19"/>
        <v/>
      </c>
      <c r="L290" s="31" t="str">
        <f>IF([5]商品具体设计!E233="","",[5]商品具体设计!E233)</f>
        <v/>
      </c>
    </row>
    <row r="291" spans="3:12" x14ac:dyDescent="0.15">
      <c r="C291" s="31">
        <f>IF([5]商品具体设计!B234="","",[5]商品具体设计!B234)</f>
        <v>23543</v>
      </c>
      <c r="D291" s="31" t="str">
        <f>IF([5]商品具体设计!C234="","",[5]商品具体设计!C234)</f>
        <v>墨霜装备宝箱碎片</v>
      </c>
      <c r="E291" s="31" t="str">
        <f>IF([5]商品具体设计!D234="","",[5]商品具体设计!D234)</f>
        <v/>
      </c>
      <c r="F291" s="28">
        <v>1</v>
      </c>
      <c r="G291" s="28">
        <v>1</v>
      </c>
      <c r="H291" s="28">
        <v>1</v>
      </c>
      <c r="I291" s="29" t="str">
        <f t="shared" si="18"/>
        <v/>
      </c>
      <c r="J291" s="29" t="str">
        <f t="shared" si="19"/>
        <v/>
      </c>
      <c r="K291" s="29" t="str">
        <f t="shared" si="19"/>
        <v/>
      </c>
      <c r="L291" s="31" t="str">
        <f>IF([5]商品具体设计!E234="","",[5]商品具体设计!E234)</f>
        <v/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B4:AN106"/>
  <sheetViews>
    <sheetView workbookViewId="0">
      <selection activeCell="C6" sqref="C6:C12"/>
    </sheetView>
  </sheetViews>
  <sheetFormatPr defaultRowHeight="12" x14ac:dyDescent="0.15"/>
  <cols>
    <col min="1" max="1" width="9" style="5"/>
    <col min="2" max="6" width="9" style="3"/>
    <col min="7" max="39" width="9" style="5"/>
    <col min="40" max="40" width="9" style="16"/>
    <col min="41" max="16384" width="9" style="5"/>
  </cols>
  <sheetData>
    <row r="4" spans="2:38" x14ac:dyDescent="0.15">
      <c r="B4" s="14"/>
      <c r="C4" s="14" t="s">
        <v>137</v>
      </c>
      <c r="D4" s="14"/>
      <c r="G4" s="3"/>
    </row>
    <row r="5" spans="2:38" x14ac:dyDescent="0.15">
      <c r="B5" s="14" t="s">
        <v>1</v>
      </c>
      <c r="C5" s="14" t="s">
        <v>2</v>
      </c>
      <c r="D5" s="14" t="s">
        <v>3</v>
      </c>
      <c r="G5" s="3"/>
      <c r="J5" s="61" t="s">
        <v>86</v>
      </c>
      <c r="K5" s="61"/>
      <c r="L5" s="61"/>
      <c r="M5" s="61"/>
      <c r="N5" s="61"/>
      <c r="P5" s="61" t="s">
        <v>87</v>
      </c>
      <c r="Q5" s="61"/>
      <c r="R5" s="61"/>
      <c r="S5" s="61"/>
      <c r="T5" s="61"/>
      <c r="Z5" s="61" t="s">
        <v>98</v>
      </c>
      <c r="AA5" s="61"/>
      <c r="AB5" s="61"/>
      <c r="AC5" s="61"/>
      <c r="AD5" s="61"/>
      <c r="AE5" s="15"/>
      <c r="AF5" s="7"/>
      <c r="AG5" s="13"/>
      <c r="AH5" s="61" t="s">
        <v>157</v>
      </c>
      <c r="AI5" s="61"/>
      <c r="AJ5" s="61"/>
      <c r="AK5" s="61"/>
      <c r="AL5" s="61"/>
    </row>
    <row r="6" spans="2:38" x14ac:dyDescent="0.15">
      <c r="B6" s="14">
        <v>1</v>
      </c>
      <c r="C6" s="14">
        <v>1</v>
      </c>
      <c r="D6" s="14">
        <f>SUM($C$6:C6)</f>
        <v>1</v>
      </c>
      <c r="G6" s="3"/>
      <c r="I6" s="5" t="s">
        <v>93</v>
      </c>
      <c r="J6" s="13" t="s">
        <v>82</v>
      </c>
      <c r="K6" s="13" t="s">
        <v>83</v>
      </c>
      <c r="L6" s="13" t="s">
        <v>84</v>
      </c>
      <c r="M6" s="13" t="s">
        <v>0</v>
      </c>
      <c r="N6" s="13" t="s">
        <v>85</v>
      </c>
      <c r="P6" s="13" t="s">
        <v>82</v>
      </c>
      <c r="Q6" s="13" t="s">
        <v>83</v>
      </c>
      <c r="R6" s="13" t="s">
        <v>84</v>
      </c>
      <c r="S6" s="13" t="s">
        <v>0</v>
      </c>
      <c r="T6" s="13" t="s">
        <v>85</v>
      </c>
      <c r="V6" s="13" t="s">
        <v>99</v>
      </c>
      <c r="W6" s="13" t="s">
        <v>88</v>
      </c>
      <c r="X6" s="13" t="s">
        <v>92</v>
      </c>
      <c r="Z6" s="13" t="s">
        <v>82</v>
      </c>
      <c r="AA6" s="13" t="s">
        <v>83</v>
      </c>
      <c r="AB6" s="13" t="s">
        <v>84</v>
      </c>
      <c r="AC6" s="13" t="s">
        <v>0</v>
      </c>
      <c r="AD6" s="13" t="s">
        <v>85</v>
      </c>
      <c r="AE6" s="13" t="s">
        <v>91</v>
      </c>
      <c r="AG6" s="13" t="s">
        <v>97</v>
      </c>
      <c r="AH6" s="13" t="s">
        <v>100</v>
      </c>
      <c r="AI6" s="13" t="s">
        <v>101</v>
      </c>
      <c r="AJ6" s="13" t="s">
        <v>102</v>
      </c>
      <c r="AK6" s="13" t="s">
        <v>103</v>
      </c>
      <c r="AL6" s="13" t="s">
        <v>104</v>
      </c>
    </row>
    <row r="7" spans="2:38" x14ac:dyDescent="0.15">
      <c r="B7" s="14">
        <v>2</v>
      </c>
      <c r="C7" s="14">
        <v>1</v>
      </c>
      <c r="D7" s="14">
        <f>SUM($C$6:C7)</f>
        <v>2</v>
      </c>
      <c r="G7" s="3"/>
      <c r="J7" s="13"/>
      <c r="K7" s="13">
        <v>5</v>
      </c>
      <c r="L7" s="13">
        <v>1</v>
      </c>
      <c r="M7" s="13"/>
      <c r="N7" s="13"/>
      <c r="P7" s="13"/>
      <c r="Q7" s="13">
        <v>0</v>
      </c>
      <c r="R7" s="13">
        <v>0</v>
      </c>
      <c r="S7" s="13"/>
      <c r="T7" s="13"/>
      <c r="V7" s="13">
        <v>6</v>
      </c>
      <c r="W7" s="13">
        <f>INDEX(节奏总纲!P:P,MATCH(V7,节奏总纲!O:O,0))</f>
        <v>0.51571656651039799</v>
      </c>
      <c r="X7" s="13">
        <f>W7</f>
        <v>0.51571656651039799</v>
      </c>
      <c r="Z7" s="13">
        <f t="shared" ref="Z7:Z20" si="0">J7*INDEX($D$19:$D$26,P7+1,1)</f>
        <v>0</v>
      </c>
      <c r="AA7" s="13">
        <f t="shared" ref="AA7:AA20" si="1">K7*INDEX($D$19:$D$26,Q7+1,1)</f>
        <v>5</v>
      </c>
      <c r="AB7" s="13">
        <f t="shared" ref="AB7:AB20" si="2">L7*INDEX($D$19:$D$26,R7+1,1)</f>
        <v>1</v>
      </c>
      <c r="AC7" s="13">
        <f t="shared" ref="AC7:AC20" si="3">M7*INDEX($D$19:$D$26,S7+1,1)</f>
        <v>0</v>
      </c>
      <c r="AD7" s="13">
        <f t="shared" ref="AD7:AD20" si="4">N7*INDEX($D$19:$D$26,T7+1,1)</f>
        <v>0</v>
      </c>
      <c r="AE7" s="13">
        <f t="shared" ref="AE7:AE20" si="5">SUMPRODUCT(Z7:AD7,$C$35:$G$35)</f>
        <v>1000</v>
      </c>
      <c r="AG7" s="13">
        <v>1</v>
      </c>
      <c r="AH7" s="13">
        <f>求节点($V$7:$V$20,$AE$7:$AE$20,AG7)</f>
        <v>166.66666666666674</v>
      </c>
      <c r="AI7" s="13">
        <f>求节点($V$27:$V$39,$AE$27:$AE$39,AG7)</f>
        <v>333.33333333333348</v>
      </c>
      <c r="AJ7" s="13">
        <f>求节点($V$43:$V$54,$AE$43:$AE$54,AG7)</f>
        <v>450</v>
      </c>
      <c r="AK7" s="13">
        <f>求节点($V$58:$V$68,$AE$58:$AE$68,AG7)</f>
        <v>500</v>
      </c>
      <c r="AL7" s="13">
        <f>求节点($V$72:$V$80,$AE$72:$AE$80,AG7)</f>
        <v>1500</v>
      </c>
    </row>
    <row r="8" spans="2:38" x14ac:dyDescent="0.15">
      <c r="B8" s="14">
        <v>3</v>
      </c>
      <c r="C8" s="14">
        <v>1</v>
      </c>
      <c r="D8" s="14">
        <f>SUM($C$6:C8)</f>
        <v>3</v>
      </c>
      <c r="J8" s="13"/>
      <c r="K8" s="13"/>
      <c r="L8" s="13">
        <v>5</v>
      </c>
      <c r="M8" s="13">
        <v>1</v>
      </c>
      <c r="N8" s="13"/>
      <c r="P8" s="13"/>
      <c r="Q8" s="13"/>
      <c r="R8" s="13">
        <v>0</v>
      </c>
      <c r="S8" s="13">
        <v>0</v>
      </c>
      <c r="T8" s="13"/>
      <c r="V8" s="13">
        <v>20</v>
      </c>
      <c r="W8" s="13">
        <f>INDEX(节奏总纲!P:P,MATCH(V8,节奏总纲!O:O,0))</f>
        <v>3</v>
      </c>
      <c r="X8" s="13">
        <f t="shared" ref="X8:X14" si="6">W8-W7</f>
        <v>2.484283433489602</v>
      </c>
      <c r="Z8" s="13">
        <f t="shared" si="0"/>
        <v>0</v>
      </c>
      <c r="AA8" s="13">
        <f t="shared" si="1"/>
        <v>0</v>
      </c>
      <c r="AB8" s="13">
        <f t="shared" si="2"/>
        <v>5</v>
      </c>
      <c r="AC8" s="13">
        <f t="shared" si="3"/>
        <v>1</v>
      </c>
      <c r="AD8" s="13">
        <f t="shared" si="4"/>
        <v>0</v>
      </c>
      <c r="AE8" s="13">
        <f t="shared" si="5"/>
        <v>5000</v>
      </c>
      <c r="AG8" s="13">
        <v>2</v>
      </c>
      <c r="AH8" s="13">
        <f t="shared" ref="AH8:AH71" si="7">求节点($V$7:$V$20,$AE$7:$AE$20,AG8)</f>
        <v>333.33333333333337</v>
      </c>
      <c r="AI8" s="13">
        <f t="shared" ref="AI8:AI71" si="8">求节点($V$27:$V$39,$AE$27:$AE$39,AG8)</f>
        <v>666.66666666666674</v>
      </c>
      <c r="AJ8" s="13">
        <f t="shared" ref="AJ8:AJ71" si="9">求节点($V$43:$V$54,$AE$43:$AE$54,AG8)</f>
        <v>900</v>
      </c>
      <c r="AK8" s="13">
        <f t="shared" ref="AK8:AK71" si="10">求节点($V$58:$V$68,$AE$58:$AE$68,AG8)</f>
        <v>1000</v>
      </c>
      <c r="AL8" s="13">
        <f t="shared" ref="AL8:AL71" si="11">求节点($V$72:$V$80,$AE$72:$AE$80,AG8)</f>
        <v>3000</v>
      </c>
    </row>
    <row r="9" spans="2:38" x14ac:dyDescent="0.15">
      <c r="B9" s="14">
        <v>4</v>
      </c>
      <c r="C9" s="14">
        <v>2</v>
      </c>
      <c r="D9" s="14">
        <f>SUM($C$6:C9)</f>
        <v>5</v>
      </c>
      <c r="J9" s="13"/>
      <c r="K9" s="13"/>
      <c r="L9" s="13">
        <v>3</v>
      </c>
      <c r="M9" s="13">
        <v>3</v>
      </c>
      <c r="N9" s="13"/>
      <c r="P9" s="13"/>
      <c r="Q9" s="13"/>
      <c r="R9" s="13">
        <v>1</v>
      </c>
      <c r="S9" s="13">
        <v>0</v>
      </c>
      <c r="T9" s="13"/>
      <c r="V9" s="13">
        <v>30</v>
      </c>
      <c r="W9" s="13">
        <f>INDEX(节奏总纲!P:P,MATCH(V9,节奏总纲!O:O,0))</f>
        <v>7</v>
      </c>
      <c r="X9" s="13">
        <f t="shared" si="6"/>
        <v>4</v>
      </c>
      <c r="Z9" s="13">
        <f t="shared" si="0"/>
        <v>0</v>
      </c>
      <c r="AA9" s="13">
        <f t="shared" si="1"/>
        <v>0</v>
      </c>
      <c r="AB9" s="13">
        <f t="shared" si="2"/>
        <v>6</v>
      </c>
      <c r="AC9" s="13">
        <f t="shared" si="3"/>
        <v>3</v>
      </c>
      <c r="AD9" s="13">
        <f t="shared" si="4"/>
        <v>0</v>
      </c>
      <c r="AE9" s="13">
        <f t="shared" si="5"/>
        <v>10500</v>
      </c>
      <c r="AG9" s="13">
        <v>3</v>
      </c>
      <c r="AH9" s="13">
        <f t="shared" si="7"/>
        <v>500</v>
      </c>
      <c r="AI9" s="13">
        <f t="shared" si="8"/>
        <v>1000</v>
      </c>
      <c r="AJ9" s="13">
        <f t="shared" si="9"/>
        <v>1350</v>
      </c>
      <c r="AK9" s="13">
        <f t="shared" si="10"/>
        <v>1500</v>
      </c>
      <c r="AL9" s="13">
        <f t="shared" si="11"/>
        <v>4500</v>
      </c>
    </row>
    <row r="10" spans="2:38" x14ac:dyDescent="0.15">
      <c r="B10" s="14">
        <v>5</v>
      </c>
      <c r="C10" s="14">
        <v>2</v>
      </c>
      <c r="D10" s="14">
        <f>SUM($C$6:C10)</f>
        <v>7</v>
      </c>
      <c r="J10" s="13"/>
      <c r="K10" s="13"/>
      <c r="L10" s="13">
        <v>1</v>
      </c>
      <c r="M10" s="13">
        <v>5</v>
      </c>
      <c r="N10" s="13"/>
      <c r="P10" s="13"/>
      <c r="Q10" s="13"/>
      <c r="R10" s="13">
        <v>3</v>
      </c>
      <c r="S10" s="13">
        <v>0</v>
      </c>
      <c r="T10" s="13"/>
      <c r="V10" s="13">
        <v>35</v>
      </c>
      <c r="W10" s="13">
        <f>INDEX(节奏总纲!P:P,MATCH(V10,节奏总纲!O:O,0))</f>
        <v>10.313708498984759</v>
      </c>
      <c r="X10" s="13">
        <f t="shared" si="6"/>
        <v>3.3137084989847594</v>
      </c>
      <c r="Z10" s="13">
        <f t="shared" si="0"/>
        <v>0</v>
      </c>
      <c r="AA10" s="13">
        <f t="shared" si="1"/>
        <v>0</v>
      </c>
      <c r="AB10" s="13">
        <f t="shared" si="2"/>
        <v>4</v>
      </c>
      <c r="AC10" s="13">
        <f t="shared" si="3"/>
        <v>5</v>
      </c>
      <c r="AD10" s="13">
        <f t="shared" si="4"/>
        <v>0</v>
      </c>
      <c r="AE10" s="13">
        <f t="shared" si="5"/>
        <v>14500</v>
      </c>
      <c r="AG10" s="13">
        <v>4</v>
      </c>
      <c r="AH10" s="13">
        <f t="shared" si="7"/>
        <v>666.66666666666674</v>
      </c>
      <c r="AI10" s="13">
        <f t="shared" si="8"/>
        <v>1333.3333333333335</v>
      </c>
      <c r="AJ10" s="13">
        <f t="shared" si="9"/>
        <v>1800</v>
      </c>
      <c r="AK10" s="13">
        <f t="shared" si="10"/>
        <v>2000</v>
      </c>
      <c r="AL10" s="13">
        <f t="shared" si="11"/>
        <v>6000</v>
      </c>
    </row>
    <row r="11" spans="2:38" x14ac:dyDescent="0.15">
      <c r="B11" s="14">
        <v>6</v>
      </c>
      <c r="C11" s="14">
        <v>2</v>
      </c>
      <c r="D11" s="14">
        <f>SUM($C$6:C11)</f>
        <v>9</v>
      </c>
      <c r="J11" s="13"/>
      <c r="K11" s="13"/>
      <c r="L11" s="13"/>
      <c r="M11" s="13">
        <v>6</v>
      </c>
      <c r="N11" s="13"/>
      <c r="P11" s="13"/>
      <c r="Q11" s="13"/>
      <c r="R11" s="13"/>
      <c r="S11" s="13">
        <v>0</v>
      </c>
      <c r="T11" s="13"/>
      <c r="V11" s="13">
        <v>38</v>
      </c>
      <c r="W11" s="13">
        <f>INDEX(节奏总纲!P:P,MATCH(V11,节奏总纲!O:O,0))</f>
        <v>12.928809012737984</v>
      </c>
      <c r="X11" s="13">
        <f t="shared" si="6"/>
        <v>2.6151005137532248</v>
      </c>
      <c r="Z11" s="13">
        <f t="shared" si="0"/>
        <v>0</v>
      </c>
      <c r="AA11" s="13">
        <f t="shared" si="1"/>
        <v>0</v>
      </c>
      <c r="AB11" s="13">
        <f t="shared" si="2"/>
        <v>0</v>
      </c>
      <c r="AC11" s="13">
        <f t="shared" si="3"/>
        <v>6</v>
      </c>
      <c r="AD11" s="13">
        <f t="shared" si="4"/>
        <v>0</v>
      </c>
      <c r="AE11" s="13">
        <f t="shared" si="5"/>
        <v>15000</v>
      </c>
      <c r="AG11" s="13">
        <v>5</v>
      </c>
      <c r="AH11" s="13">
        <f t="shared" si="7"/>
        <v>833.33333333333337</v>
      </c>
      <c r="AI11" s="13">
        <f t="shared" si="8"/>
        <v>1666.6666666666667</v>
      </c>
      <c r="AJ11" s="13">
        <f t="shared" si="9"/>
        <v>2250</v>
      </c>
      <c r="AK11" s="13">
        <f t="shared" si="10"/>
        <v>2500</v>
      </c>
      <c r="AL11" s="13">
        <f t="shared" si="11"/>
        <v>7500</v>
      </c>
    </row>
    <row r="12" spans="2:38" x14ac:dyDescent="0.15">
      <c r="B12" s="14">
        <v>7</v>
      </c>
      <c r="C12" s="14">
        <v>3</v>
      </c>
      <c r="D12" s="14">
        <f>SUM($C$6:C12)</f>
        <v>12</v>
      </c>
      <c r="J12" s="13"/>
      <c r="K12" s="13"/>
      <c r="L12" s="13"/>
      <c r="M12" s="13">
        <v>6</v>
      </c>
      <c r="N12" s="13"/>
      <c r="P12" s="13"/>
      <c r="Q12" s="13"/>
      <c r="R12" s="13"/>
      <c r="S12" s="13">
        <v>1</v>
      </c>
      <c r="T12" s="13"/>
      <c r="V12" s="13">
        <v>46</v>
      </c>
      <c r="W12" s="13">
        <f>INDEX(节奏总纲!P:P,MATCH(V12,节奏总纲!O:O,0))</f>
        <v>23.251465064166357</v>
      </c>
      <c r="X12" s="13">
        <f t="shared" si="6"/>
        <v>10.322656051428373</v>
      </c>
      <c r="Z12" s="13">
        <f t="shared" si="0"/>
        <v>0</v>
      </c>
      <c r="AA12" s="13">
        <f t="shared" si="1"/>
        <v>0</v>
      </c>
      <c r="AB12" s="13">
        <f t="shared" si="2"/>
        <v>0</v>
      </c>
      <c r="AC12" s="13">
        <f t="shared" si="3"/>
        <v>12</v>
      </c>
      <c r="AD12" s="13">
        <f t="shared" si="4"/>
        <v>0</v>
      </c>
      <c r="AE12" s="13">
        <f t="shared" si="5"/>
        <v>30000</v>
      </c>
      <c r="AG12" s="13">
        <v>6</v>
      </c>
      <c r="AH12" s="13">
        <f t="shared" si="7"/>
        <v>1000</v>
      </c>
      <c r="AI12" s="13">
        <f t="shared" si="8"/>
        <v>2000</v>
      </c>
      <c r="AJ12" s="13">
        <f t="shared" si="9"/>
        <v>2700</v>
      </c>
      <c r="AK12" s="13">
        <f t="shared" si="10"/>
        <v>3000</v>
      </c>
      <c r="AL12" s="13">
        <f t="shared" si="11"/>
        <v>9000</v>
      </c>
    </row>
    <row r="13" spans="2:38" x14ac:dyDescent="0.15">
      <c r="B13" s="14">
        <v>8</v>
      </c>
      <c r="C13" s="14">
        <v>3</v>
      </c>
      <c r="D13" s="14">
        <f>SUM($C$6:C13)</f>
        <v>15</v>
      </c>
      <c r="J13" s="13"/>
      <c r="K13" s="13"/>
      <c r="L13" s="13"/>
      <c r="M13" s="13">
        <v>6</v>
      </c>
      <c r="N13" s="13"/>
      <c r="P13" s="13"/>
      <c r="Q13" s="13"/>
      <c r="R13" s="13"/>
      <c r="S13" s="13">
        <v>3</v>
      </c>
      <c r="T13" s="13"/>
      <c r="V13" s="13">
        <v>58</v>
      </c>
      <c r="W13" s="13">
        <f>INDEX(节奏总纲!P:P,MATCH(V13,节奏总纲!O:O,0))</f>
        <v>54.715236050951923</v>
      </c>
      <c r="X13" s="13">
        <f t="shared" si="6"/>
        <v>31.463770986785565</v>
      </c>
      <c r="Z13" s="13">
        <f t="shared" si="0"/>
        <v>0</v>
      </c>
      <c r="AA13" s="13">
        <f t="shared" si="1"/>
        <v>0</v>
      </c>
      <c r="AB13" s="13">
        <f t="shared" si="2"/>
        <v>0</v>
      </c>
      <c r="AC13" s="13">
        <f t="shared" si="3"/>
        <v>24</v>
      </c>
      <c r="AD13" s="13">
        <f t="shared" si="4"/>
        <v>0</v>
      </c>
      <c r="AE13" s="13">
        <f t="shared" si="5"/>
        <v>60000</v>
      </c>
      <c r="AG13" s="13">
        <v>7</v>
      </c>
      <c r="AH13" s="13">
        <f t="shared" si="7"/>
        <v>1285.7142857142858</v>
      </c>
      <c r="AI13" s="13">
        <f t="shared" si="8"/>
        <v>2807.6923076923076</v>
      </c>
      <c r="AJ13" s="13">
        <f t="shared" si="9"/>
        <v>3150</v>
      </c>
      <c r="AK13" s="13">
        <f t="shared" si="10"/>
        <v>3500</v>
      </c>
      <c r="AL13" s="13">
        <f t="shared" si="11"/>
        <v>10500</v>
      </c>
    </row>
    <row r="14" spans="2:38" x14ac:dyDescent="0.15">
      <c r="J14" s="13"/>
      <c r="K14" s="13"/>
      <c r="L14" s="13"/>
      <c r="M14" s="13">
        <v>6</v>
      </c>
      <c r="N14" s="13"/>
      <c r="P14" s="13"/>
      <c r="Q14" s="13"/>
      <c r="R14" s="13"/>
      <c r="S14" s="13">
        <v>6</v>
      </c>
      <c r="T14" s="13"/>
      <c r="V14" s="13">
        <v>67</v>
      </c>
      <c r="W14" s="13">
        <f>INDEX(节奏总纲!P:P,MATCH(V14,节奏总纲!O:O,0))</f>
        <v>102.96830673359811</v>
      </c>
      <c r="X14" s="13">
        <f t="shared" si="6"/>
        <v>48.253070682646189</v>
      </c>
      <c r="Z14" s="13">
        <f t="shared" si="0"/>
        <v>0</v>
      </c>
      <c r="AA14" s="13">
        <f t="shared" si="1"/>
        <v>0</v>
      </c>
      <c r="AB14" s="13">
        <f t="shared" si="2"/>
        <v>0</v>
      </c>
      <c r="AC14" s="13">
        <f t="shared" si="3"/>
        <v>42</v>
      </c>
      <c r="AD14" s="13">
        <f t="shared" si="4"/>
        <v>0</v>
      </c>
      <c r="AE14" s="13">
        <f t="shared" si="5"/>
        <v>105000</v>
      </c>
      <c r="AG14" s="13">
        <v>8</v>
      </c>
      <c r="AH14" s="13">
        <f t="shared" si="7"/>
        <v>1571.4285714285716</v>
      </c>
      <c r="AI14" s="13">
        <f t="shared" si="8"/>
        <v>3615.3846153846152</v>
      </c>
      <c r="AJ14" s="13">
        <f t="shared" si="9"/>
        <v>3600</v>
      </c>
      <c r="AK14" s="13">
        <f t="shared" si="10"/>
        <v>4000</v>
      </c>
      <c r="AL14" s="13">
        <f t="shared" si="11"/>
        <v>12000</v>
      </c>
    </row>
    <row r="15" spans="2:38" x14ac:dyDescent="0.15">
      <c r="J15" s="13"/>
      <c r="K15" s="13"/>
      <c r="L15" s="13"/>
      <c r="M15" s="13"/>
      <c r="N15" s="13">
        <v>1</v>
      </c>
      <c r="P15" s="13"/>
      <c r="Q15" s="13"/>
      <c r="R15" s="13"/>
      <c r="S15" s="13"/>
      <c r="T15" s="13">
        <v>0</v>
      </c>
      <c r="V15" s="13">
        <v>68</v>
      </c>
      <c r="W15" s="13">
        <f>INDEX(节奏总纲!P:P,MATCH(V15,节奏总纲!O:O,0))</f>
        <v>110.43047210190386</v>
      </c>
      <c r="X15" s="13">
        <f t="shared" ref="X15:X20" si="12">W15-W14</f>
        <v>7.4621653683057474</v>
      </c>
      <c r="Z15" s="13">
        <f t="shared" si="0"/>
        <v>0</v>
      </c>
      <c r="AA15" s="13">
        <f t="shared" si="1"/>
        <v>0</v>
      </c>
      <c r="AB15" s="13">
        <f t="shared" si="2"/>
        <v>0</v>
      </c>
      <c r="AC15" s="13">
        <f t="shared" si="3"/>
        <v>0</v>
      </c>
      <c r="AD15" s="13">
        <f t="shared" si="4"/>
        <v>1</v>
      </c>
      <c r="AE15" s="13">
        <f t="shared" si="5"/>
        <v>25000</v>
      </c>
      <c r="AG15" s="13">
        <v>9</v>
      </c>
      <c r="AH15" s="13">
        <f t="shared" si="7"/>
        <v>1857.1428571428571</v>
      </c>
      <c r="AI15" s="13">
        <f t="shared" si="8"/>
        <v>4423.0769230769238</v>
      </c>
      <c r="AJ15" s="13">
        <f t="shared" si="9"/>
        <v>4240</v>
      </c>
      <c r="AK15" s="13">
        <f t="shared" si="10"/>
        <v>4500</v>
      </c>
      <c r="AL15" s="13">
        <f t="shared" si="11"/>
        <v>13500</v>
      </c>
    </row>
    <row r="16" spans="2:38" x14ac:dyDescent="0.15">
      <c r="J16" s="13"/>
      <c r="K16" s="13"/>
      <c r="L16" s="13"/>
      <c r="M16" s="13"/>
      <c r="N16" s="13">
        <v>2</v>
      </c>
      <c r="P16" s="13"/>
      <c r="Q16" s="13"/>
      <c r="R16" s="13"/>
      <c r="S16" s="13"/>
      <c r="T16" s="13">
        <v>0</v>
      </c>
      <c r="V16" s="13">
        <v>75</v>
      </c>
      <c r="W16" s="13">
        <f>INDEX(节奏总纲!P:P,MATCH(V16,节奏总纲!O:O,0))</f>
        <v>180.01933598375612</v>
      </c>
      <c r="X16" s="13">
        <f t="shared" si="12"/>
        <v>69.588863881852262</v>
      </c>
      <c r="Z16" s="13">
        <f t="shared" si="0"/>
        <v>0</v>
      </c>
      <c r="AA16" s="13">
        <f t="shared" si="1"/>
        <v>0</v>
      </c>
      <c r="AB16" s="13">
        <f t="shared" si="2"/>
        <v>0</v>
      </c>
      <c r="AC16" s="13">
        <f t="shared" si="3"/>
        <v>0</v>
      </c>
      <c r="AD16" s="13">
        <f t="shared" si="4"/>
        <v>2</v>
      </c>
      <c r="AE16" s="13">
        <f t="shared" si="5"/>
        <v>50000</v>
      </c>
      <c r="AG16" s="13">
        <v>10</v>
      </c>
      <c r="AH16" s="13">
        <f t="shared" si="7"/>
        <v>2142.8571428571431</v>
      </c>
      <c r="AI16" s="13">
        <f t="shared" si="8"/>
        <v>5230.7692307692305</v>
      </c>
      <c r="AJ16" s="13">
        <f t="shared" si="9"/>
        <v>4880</v>
      </c>
      <c r="AK16" s="13">
        <f t="shared" si="10"/>
        <v>5000</v>
      </c>
      <c r="AL16" s="13">
        <f t="shared" si="11"/>
        <v>15000</v>
      </c>
    </row>
    <row r="17" spans="2:38" x14ac:dyDescent="0.15">
      <c r="B17" s="14"/>
      <c r="C17" s="14" t="s">
        <v>138</v>
      </c>
      <c r="D17" s="14"/>
      <c r="J17" s="13"/>
      <c r="K17" s="13"/>
      <c r="L17" s="13"/>
      <c r="M17" s="13"/>
      <c r="N17" s="13">
        <v>3</v>
      </c>
      <c r="P17" s="13"/>
      <c r="Q17" s="13"/>
      <c r="R17" s="13"/>
      <c r="S17" s="13"/>
      <c r="T17" s="13">
        <v>0</v>
      </c>
      <c r="V17" s="13">
        <v>80</v>
      </c>
      <c r="W17" s="13">
        <f>INDEX(节奏总纲!P:P,MATCH(V17,节奏总纲!O:O,0))</f>
        <v>255</v>
      </c>
      <c r="X17" s="13">
        <f t="shared" si="12"/>
        <v>74.980664016243878</v>
      </c>
      <c r="Z17" s="13">
        <f t="shared" si="0"/>
        <v>0</v>
      </c>
      <c r="AA17" s="13">
        <f t="shared" si="1"/>
        <v>0</v>
      </c>
      <c r="AB17" s="13">
        <f t="shared" si="2"/>
        <v>0</v>
      </c>
      <c r="AC17" s="13">
        <f t="shared" si="3"/>
        <v>0</v>
      </c>
      <c r="AD17" s="13">
        <f t="shared" si="4"/>
        <v>3</v>
      </c>
      <c r="AE17" s="13">
        <f t="shared" si="5"/>
        <v>75000</v>
      </c>
      <c r="AG17" s="13">
        <v>11</v>
      </c>
      <c r="AH17" s="13">
        <f t="shared" si="7"/>
        <v>2428.5714285714284</v>
      </c>
      <c r="AI17" s="13">
        <f t="shared" si="8"/>
        <v>6038.461538461539</v>
      </c>
      <c r="AJ17" s="13">
        <f t="shared" si="9"/>
        <v>5520</v>
      </c>
      <c r="AK17" s="13">
        <f t="shared" si="10"/>
        <v>5307.6923076923076</v>
      </c>
      <c r="AL17" s="13">
        <f t="shared" si="11"/>
        <v>16500</v>
      </c>
    </row>
    <row r="18" spans="2:38" x14ac:dyDescent="0.15">
      <c r="B18" s="14" t="s">
        <v>4</v>
      </c>
      <c r="C18" s="14" t="s">
        <v>2</v>
      </c>
      <c r="D18" s="14" t="s">
        <v>3</v>
      </c>
      <c r="J18" s="13"/>
      <c r="K18" s="13"/>
      <c r="L18" s="13"/>
      <c r="M18" s="13"/>
      <c r="N18" s="13">
        <v>4</v>
      </c>
      <c r="P18" s="13"/>
      <c r="Q18" s="13"/>
      <c r="R18" s="13"/>
      <c r="S18" s="13"/>
      <c r="T18" s="13">
        <v>0</v>
      </c>
      <c r="V18" s="13">
        <v>84</v>
      </c>
      <c r="W18" s="13">
        <f>INDEX(节奏总纲!P:P,MATCH(V18,节奏总纲!O:O,0))</f>
        <v>336.79402515786086</v>
      </c>
      <c r="X18" s="13">
        <f t="shared" si="12"/>
        <v>81.794025157860858</v>
      </c>
      <c r="Z18" s="13">
        <f t="shared" si="0"/>
        <v>0</v>
      </c>
      <c r="AA18" s="13">
        <f t="shared" si="1"/>
        <v>0</v>
      </c>
      <c r="AB18" s="13">
        <f t="shared" si="2"/>
        <v>0</v>
      </c>
      <c r="AC18" s="13">
        <f t="shared" si="3"/>
        <v>0</v>
      </c>
      <c r="AD18" s="13">
        <f t="shared" si="4"/>
        <v>4</v>
      </c>
      <c r="AE18" s="13">
        <f t="shared" si="5"/>
        <v>100000</v>
      </c>
      <c r="AG18" s="13">
        <v>12</v>
      </c>
      <c r="AH18" s="13">
        <f t="shared" si="7"/>
        <v>2714.2857142857142</v>
      </c>
      <c r="AI18" s="13">
        <f t="shared" si="8"/>
        <v>6846.1538461538466</v>
      </c>
      <c r="AJ18" s="13">
        <f t="shared" si="9"/>
        <v>6160</v>
      </c>
      <c r="AK18" s="13">
        <f t="shared" si="10"/>
        <v>5615.3846153846152</v>
      </c>
      <c r="AL18" s="13">
        <f t="shared" si="11"/>
        <v>18000</v>
      </c>
    </row>
    <row r="19" spans="2:38" x14ac:dyDescent="0.15">
      <c r="B19" s="14">
        <v>0</v>
      </c>
      <c r="C19" s="14">
        <v>1</v>
      </c>
      <c r="D19" s="14">
        <f>SUM($C19:C$19)</f>
        <v>1</v>
      </c>
      <c r="J19" s="13"/>
      <c r="K19" s="13"/>
      <c r="L19" s="13"/>
      <c r="M19" s="13"/>
      <c r="N19" s="13">
        <v>5</v>
      </c>
      <c r="P19" s="13"/>
      <c r="Q19" s="13"/>
      <c r="R19" s="13"/>
      <c r="S19" s="13"/>
      <c r="T19" s="13">
        <v>0</v>
      </c>
      <c r="V19" s="13">
        <v>88</v>
      </c>
      <c r="W19" s="13">
        <f>INDEX(节奏总纲!P:P,MATCH(V19,节奏总纲!O:O,0))</f>
        <v>444.72188840761549</v>
      </c>
      <c r="X19" s="13">
        <f t="shared" si="12"/>
        <v>107.92786324975464</v>
      </c>
      <c r="Z19" s="13">
        <f t="shared" si="0"/>
        <v>0</v>
      </c>
      <c r="AA19" s="13">
        <f t="shared" si="1"/>
        <v>0</v>
      </c>
      <c r="AB19" s="13">
        <f t="shared" si="2"/>
        <v>0</v>
      </c>
      <c r="AC19" s="13">
        <f t="shared" si="3"/>
        <v>0</v>
      </c>
      <c r="AD19" s="13">
        <f t="shared" si="4"/>
        <v>5</v>
      </c>
      <c r="AE19" s="13">
        <f t="shared" si="5"/>
        <v>125000</v>
      </c>
      <c r="AG19" s="13">
        <v>13</v>
      </c>
      <c r="AH19" s="13">
        <f t="shared" si="7"/>
        <v>3000</v>
      </c>
      <c r="AI19" s="13">
        <f t="shared" si="8"/>
        <v>7653.8461538461543</v>
      </c>
      <c r="AJ19" s="13">
        <f t="shared" si="9"/>
        <v>6800</v>
      </c>
      <c r="AK19" s="13">
        <f t="shared" si="10"/>
        <v>5923.0769230769229</v>
      </c>
      <c r="AL19" s="13">
        <f t="shared" si="11"/>
        <v>19500</v>
      </c>
    </row>
    <row r="20" spans="2:38" x14ac:dyDescent="0.15">
      <c r="B20" s="14">
        <v>1</v>
      </c>
      <c r="C20" s="14">
        <v>1</v>
      </c>
      <c r="D20" s="14">
        <f>SUM($C$19:C20)</f>
        <v>2</v>
      </c>
      <c r="J20" s="13"/>
      <c r="K20" s="13"/>
      <c r="L20" s="13"/>
      <c r="M20" s="13"/>
      <c r="N20" s="13">
        <v>6</v>
      </c>
      <c r="P20" s="13"/>
      <c r="Q20" s="13"/>
      <c r="R20" s="13"/>
      <c r="S20" s="13"/>
      <c r="T20" s="13">
        <v>0</v>
      </c>
      <c r="V20" s="13">
        <v>91</v>
      </c>
      <c r="W20" s="13">
        <f>INDEX(节奏总纲!P:P,MATCH(V20,节奏总纲!O:O,0))</f>
        <v>547.74801281858208</v>
      </c>
      <c r="X20" s="13">
        <f t="shared" si="12"/>
        <v>103.02612441096659</v>
      </c>
      <c r="Z20" s="13">
        <f t="shared" si="0"/>
        <v>0</v>
      </c>
      <c r="AA20" s="13">
        <f t="shared" si="1"/>
        <v>0</v>
      </c>
      <c r="AB20" s="13">
        <f t="shared" si="2"/>
        <v>0</v>
      </c>
      <c r="AC20" s="13">
        <f t="shared" si="3"/>
        <v>0</v>
      </c>
      <c r="AD20" s="13">
        <f t="shared" si="4"/>
        <v>6</v>
      </c>
      <c r="AE20" s="13">
        <f t="shared" si="5"/>
        <v>150000</v>
      </c>
      <c r="AG20" s="13">
        <v>14</v>
      </c>
      <c r="AH20" s="13">
        <f t="shared" si="7"/>
        <v>3285.7142857142858</v>
      </c>
      <c r="AI20" s="13">
        <f t="shared" si="8"/>
        <v>8461.538461538461</v>
      </c>
      <c r="AJ20" s="13">
        <f t="shared" si="9"/>
        <v>7440</v>
      </c>
      <c r="AK20" s="13">
        <f t="shared" si="10"/>
        <v>6230.7692307692305</v>
      </c>
      <c r="AL20" s="13">
        <f t="shared" si="11"/>
        <v>21000</v>
      </c>
    </row>
    <row r="21" spans="2:38" x14ac:dyDescent="0.15">
      <c r="B21" s="14">
        <v>2</v>
      </c>
      <c r="C21" s="14">
        <v>1</v>
      </c>
      <c r="D21" s="14">
        <f>SUM($C$19:C21)</f>
        <v>3</v>
      </c>
      <c r="AG21" s="13">
        <v>15</v>
      </c>
      <c r="AH21" s="13">
        <f t="shared" si="7"/>
        <v>3571.4285714285716</v>
      </c>
      <c r="AI21" s="13">
        <f t="shared" si="8"/>
        <v>9269.2307692307695</v>
      </c>
      <c r="AJ21" s="13">
        <f t="shared" si="9"/>
        <v>8080</v>
      </c>
      <c r="AK21" s="13">
        <f t="shared" si="10"/>
        <v>6538.4615384615381</v>
      </c>
      <c r="AL21" s="13">
        <f t="shared" si="11"/>
        <v>22500</v>
      </c>
    </row>
    <row r="22" spans="2:38" x14ac:dyDescent="0.15">
      <c r="B22" s="14">
        <v>3</v>
      </c>
      <c r="C22" s="14">
        <v>1</v>
      </c>
      <c r="D22" s="14">
        <f>SUM($C$19:C22)</f>
        <v>4</v>
      </c>
      <c r="AG22" s="13">
        <v>16</v>
      </c>
      <c r="AH22" s="13">
        <f t="shared" si="7"/>
        <v>3857.1428571428573</v>
      </c>
      <c r="AI22" s="13">
        <f t="shared" si="8"/>
        <v>10076.923076923078</v>
      </c>
      <c r="AJ22" s="13">
        <f t="shared" si="9"/>
        <v>8720</v>
      </c>
      <c r="AK22" s="13">
        <f t="shared" si="10"/>
        <v>6846.1538461538457</v>
      </c>
      <c r="AL22" s="13">
        <f t="shared" si="11"/>
        <v>24000</v>
      </c>
    </row>
    <row r="23" spans="2:38" x14ac:dyDescent="0.15">
      <c r="B23" s="14">
        <v>4</v>
      </c>
      <c r="C23" s="14">
        <v>1</v>
      </c>
      <c r="D23" s="14">
        <f>SUM($C$19:C23)</f>
        <v>5</v>
      </c>
      <c r="AG23" s="13">
        <v>17</v>
      </c>
      <c r="AH23" s="13">
        <f t="shared" si="7"/>
        <v>4142.8571428571431</v>
      </c>
      <c r="AI23" s="13">
        <f t="shared" si="8"/>
        <v>10884.615384615385</v>
      </c>
      <c r="AJ23" s="13">
        <f t="shared" si="9"/>
        <v>9360</v>
      </c>
      <c r="AK23" s="13">
        <f t="shared" si="10"/>
        <v>7153.8461538461543</v>
      </c>
      <c r="AL23" s="13">
        <f t="shared" si="11"/>
        <v>25500</v>
      </c>
    </row>
    <row r="24" spans="2:38" x14ac:dyDescent="0.15">
      <c r="B24" s="14">
        <v>5</v>
      </c>
      <c r="C24" s="14">
        <v>1</v>
      </c>
      <c r="D24" s="14">
        <f>SUM($C$19:C24)</f>
        <v>6</v>
      </c>
      <c r="AG24" s="13">
        <v>18</v>
      </c>
      <c r="AH24" s="13">
        <f t="shared" si="7"/>
        <v>4428.5714285714284</v>
      </c>
      <c r="AI24" s="13">
        <f t="shared" si="8"/>
        <v>11692.307692307693</v>
      </c>
      <c r="AJ24" s="13">
        <f t="shared" si="9"/>
        <v>10000</v>
      </c>
      <c r="AK24" s="13">
        <f t="shared" si="10"/>
        <v>7461.538461538461</v>
      </c>
      <c r="AL24" s="13">
        <f t="shared" si="11"/>
        <v>27000</v>
      </c>
    </row>
    <row r="25" spans="2:38" x14ac:dyDescent="0.15">
      <c r="B25" s="14">
        <v>6</v>
      </c>
      <c r="C25" s="14">
        <v>1</v>
      </c>
      <c r="D25" s="14">
        <f>SUM($C$19:C25)</f>
        <v>7</v>
      </c>
      <c r="J25" s="61" t="s">
        <v>86</v>
      </c>
      <c r="K25" s="61"/>
      <c r="L25" s="61"/>
      <c r="M25" s="61"/>
      <c r="N25" s="61"/>
      <c r="P25" s="61" t="s">
        <v>87</v>
      </c>
      <c r="Q25" s="61"/>
      <c r="R25" s="61"/>
      <c r="S25" s="61"/>
      <c r="T25" s="61"/>
      <c r="Z25" s="61" t="s">
        <v>98</v>
      </c>
      <c r="AA25" s="61"/>
      <c r="AB25" s="61"/>
      <c r="AC25" s="61"/>
      <c r="AD25" s="61"/>
      <c r="AE25" s="15"/>
      <c r="AG25" s="13">
        <v>19</v>
      </c>
      <c r="AH25" s="13">
        <f t="shared" si="7"/>
        <v>4714.2857142857138</v>
      </c>
      <c r="AI25" s="13">
        <f t="shared" si="8"/>
        <v>12500</v>
      </c>
      <c r="AJ25" s="13">
        <f t="shared" si="9"/>
        <v>11136.363636363636</v>
      </c>
      <c r="AK25" s="13">
        <f t="shared" si="10"/>
        <v>7769.2307692307695</v>
      </c>
      <c r="AL25" s="13">
        <f t="shared" si="11"/>
        <v>28500</v>
      </c>
    </row>
    <row r="26" spans="2:38" x14ac:dyDescent="0.15">
      <c r="B26" s="14">
        <v>7</v>
      </c>
      <c r="C26" s="14">
        <v>1</v>
      </c>
      <c r="D26" s="14">
        <f>SUM($C$19:C26)</f>
        <v>8</v>
      </c>
      <c r="I26" s="5" t="s">
        <v>94</v>
      </c>
      <c r="J26" s="13" t="s">
        <v>82</v>
      </c>
      <c r="K26" s="13" t="s">
        <v>83</v>
      </c>
      <c r="L26" s="13" t="s">
        <v>84</v>
      </c>
      <c r="M26" s="13" t="s">
        <v>0</v>
      </c>
      <c r="N26" s="13" t="s">
        <v>85</v>
      </c>
      <c r="P26" s="13" t="s">
        <v>82</v>
      </c>
      <c r="Q26" s="13" t="s">
        <v>83</v>
      </c>
      <c r="R26" s="13" t="s">
        <v>84</v>
      </c>
      <c r="S26" s="13" t="s">
        <v>0</v>
      </c>
      <c r="T26" s="13" t="s">
        <v>85</v>
      </c>
      <c r="V26" s="13" t="s">
        <v>99</v>
      </c>
      <c r="W26" s="13" t="s">
        <v>88</v>
      </c>
      <c r="X26" s="13" t="s">
        <v>10</v>
      </c>
      <c r="Z26" s="13" t="s">
        <v>82</v>
      </c>
      <c r="AA26" s="13" t="s">
        <v>83</v>
      </c>
      <c r="AB26" s="13" t="s">
        <v>84</v>
      </c>
      <c r="AC26" s="13" t="s">
        <v>0</v>
      </c>
      <c r="AD26" s="13" t="s">
        <v>85</v>
      </c>
      <c r="AE26" s="13" t="s">
        <v>91</v>
      </c>
      <c r="AG26" s="13">
        <v>20</v>
      </c>
      <c r="AH26" s="13">
        <f t="shared" si="7"/>
        <v>5000</v>
      </c>
      <c r="AI26" s="13">
        <f t="shared" si="8"/>
        <v>13909.090909090908</v>
      </c>
      <c r="AJ26" s="13">
        <f t="shared" si="9"/>
        <v>12272.727272727272</v>
      </c>
      <c r="AK26" s="13">
        <f t="shared" si="10"/>
        <v>8076.9230769230762</v>
      </c>
      <c r="AL26" s="13">
        <f t="shared" si="11"/>
        <v>30000</v>
      </c>
    </row>
    <row r="27" spans="2:38" x14ac:dyDescent="0.15">
      <c r="J27" s="13"/>
      <c r="K27" s="13">
        <v>5</v>
      </c>
      <c r="L27" s="13">
        <v>1</v>
      </c>
      <c r="M27" s="13"/>
      <c r="N27" s="13"/>
      <c r="P27" s="13"/>
      <c r="Q27" s="13">
        <v>0</v>
      </c>
      <c r="R27" s="13">
        <v>0</v>
      </c>
      <c r="S27" s="13"/>
      <c r="T27" s="13"/>
      <c r="V27" s="13">
        <v>6</v>
      </c>
      <c r="W27" s="13">
        <f>INDEX(节奏总纲!Q:Q,MATCH(V27,节奏总纲!O:O,0))</f>
        <v>0.43939051466685908</v>
      </c>
      <c r="X27" s="13">
        <f>W27</f>
        <v>0.43939051466685908</v>
      </c>
      <c r="Z27" s="13">
        <f t="shared" ref="Z27:AD34" si="13">J27*INDEX($D$20:$D$26,P27+1,1)</f>
        <v>0</v>
      </c>
      <c r="AA27" s="13">
        <f t="shared" si="13"/>
        <v>10</v>
      </c>
      <c r="AB27" s="13">
        <f t="shared" si="13"/>
        <v>2</v>
      </c>
      <c r="AC27" s="13">
        <f t="shared" si="13"/>
        <v>0</v>
      </c>
      <c r="AD27" s="13">
        <f t="shared" si="13"/>
        <v>0</v>
      </c>
      <c r="AE27" s="13">
        <f t="shared" ref="AE27:AE39" si="14">SUMPRODUCT(Z27:AD27,$C$35:$G$35)</f>
        <v>2000</v>
      </c>
      <c r="AG27" s="13">
        <v>21</v>
      </c>
      <c r="AH27" s="13">
        <f t="shared" si="7"/>
        <v>5550</v>
      </c>
      <c r="AI27" s="13">
        <f t="shared" si="8"/>
        <v>15318.181818181818</v>
      </c>
      <c r="AJ27" s="13">
        <f t="shared" si="9"/>
        <v>13409.090909090908</v>
      </c>
      <c r="AK27" s="13">
        <f t="shared" si="10"/>
        <v>8384.6153846153848</v>
      </c>
      <c r="AL27" s="13">
        <f t="shared" si="11"/>
        <v>33000</v>
      </c>
    </row>
    <row r="28" spans="2:38" x14ac:dyDescent="0.15">
      <c r="B28" s="14"/>
      <c r="C28" s="14" t="s">
        <v>139</v>
      </c>
      <c r="D28" s="14"/>
      <c r="J28" s="13"/>
      <c r="K28" s="13"/>
      <c r="L28" s="13">
        <v>5</v>
      </c>
      <c r="M28" s="13">
        <v>1</v>
      </c>
      <c r="N28" s="13"/>
      <c r="P28" s="13"/>
      <c r="Q28" s="13"/>
      <c r="R28" s="13">
        <v>1</v>
      </c>
      <c r="S28" s="13">
        <v>0</v>
      </c>
      <c r="T28" s="13"/>
      <c r="V28" s="13">
        <v>19</v>
      </c>
      <c r="W28" s="13">
        <f>INDEX(节奏总纲!Q:Q,MATCH(V28,节奏总纲!O:O,0))</f>
        <v>2.3734030389920986</v>
      </c>
      <c r="X28" s="13">
        <f t="shared" ref="X28:X39" si="15">W28</f>
        <v>2.3734030389920986</v>
      </c>
      <c r="Z28" s="13">
        <f t="shared" si="13"/>
        <v>0</v>
      </c>
      <c r="AA28" s="13">
        <f t="shared" si="13"/>
        <v>0</v>
      </c>
      <c r="AB28" s="13">
        <f t="shared" si="13"/>
        <v>15</v>
      </c>
      <c r="AC28" s="13">
        <f t="shared" si="13"/>
        <v>2</v>
      </c>
      <c r="AD28" s="13">
        <f t="shared" si="13"/>
        <v>0</v>
      </c>
      <c r="AE28" s="13">
        <f t="shared" si="14"/>
        <v>12500</v>
      </c>
      <c r="AG28" s="13">
        <v>22</v>
      </c>
      <c r="AH28" s="13">
        <f t="shared" si="7"/>
        <v>6100</v>
      </c>
      <c r="AI28" s="13">
        <f t="shared" si="8"/>
        <v>16727.272727272728</v>
      </c>
      <c r="AJ28" s="13">
        <f t="shared" si="9"/>
        <v>14545.454545454544</v>
      </c>
      <c r="AK28" s="13">
        <f t="shared" si="10"/>
        <v>8692.3076923076915</v>
      </c>
      <c r="AL28" s="13">
        <f t="shared" si="11"/>
        <v>36000</v>
      </c>
    </row>
    <row r="29" spans="2:38" x14ac:dyDescent="0.15">
      <c r="B29" s="14" t="s">
        <v>11</v>
      </c>
      <c r="C29" s="14" t="s">
        <v>12</v>
      </c>
      <c r="D29" s="14" t="s">
        <v>13</v>
      </c>
      <c r="J29" s="13"/>
      <c r="K29" s="13"/>
      <c r="L29" s="13">
        <v>1</v>
      </c>
      <c r="M29" s="13">
        <v>5</v>
      </c>
      <c r="N29" s="13"/>
      <c r="P29" s="13"/>
      <c r="Q29" s="13"/>
      <c r="R29" s="13">
        <v>4</v>
      </c>
      <c r="S29" s="13">
        <v>0</v>
      </c>
      <c r="T29" s="13"/>
      <c r="V29" s="13">
        <v>30</v>
      </c>
      <c r="W29" s="13">
        <f>INDEX(节奏总纲!Q:Q,MATCH(V29,节奏总纲!O:O,0))</f>
        <v>6.1025999999999998</v>
      </c>
      <c r="X29" s="13">
        <f t="shared" si="15"/>
        <v>6.1025999999999998</v>
      </c>
      <c r="Z29" s="13">
        <f t="shared" si="13"/>
        <v>0</v>
      </c>
      <c r="AA29" s="13">
        <f t="shared" si="13"/>
        <v>0</v>
      </c>
      <c r="AB29" s="13">
        <f t="shared" si="13"/>
        <v>6</v>
      </c>
      <c r="AC29" s="13">
        <f t="shared" si="13"/>
        <v>10</v>
      </c>
      <c r="AD29" s="13">
        <f t="shared" si="13"/>
        <v>0</v>
      </c>
      <c r="AE29" s="13">
        <f t="shared" si="14"/>
        <v>28000</v>
      </c>
      <c r="AG29" s="13">
        <v>23</v>
      </c>
      <c r="AH29" s="13">
        <f t="shared" si="7"/>
        <v>6650</v>
      </c>
      <c r="AI29" s="13">
        <f t="shared" si="8"/>
        <v>18136.363636363636</v>
      </c>
      <c r="AJ29" s="13">
        <f t="shared" si="9"/>
        <v>15681.81818181818</v>
      </c>
      <c r="AK29" s="13">
        <f t="shared" si="10"/>
        <v>9000</v>
      </c>
      <c r="AL29" s="13">
        <f t="shared" si="11"/>
        <v>39000</v>
      </c>
    </row>
    <row r="30" spans="2:38" x14ac:dyDescent="0.15">
      <c r="B30" s="14">
        <v>1</v>
      </c>
      <c r="C30" s="14">
        <v>0</v>
      </c>
      <c r="D30" s="14">
        <v>0</v>
      </c>
      <c r="J30" s="13"/>
      <c r="K30" s="13"/>
      <c r="L30" s="13"/>
      <c r="M30" s="13">
        <v>6</v>
      </c>
      <c r="N30" s="13"/>
      <c r="P30" s="13"/>
      <c r="Q30" s="13"/>
      <c r="R30" s="13"/>
      <c r="S30" s="13">
        <v>0</v>
      </c>
      <c r="T30" s="13"/>
      <c r="V30" s="13">
        <v>38</v>
      </c>
      <c r="W30" s="13">
        <f>INDEX(节奏总纲!Q:Q,MATCH(V30,节奏总纲!O:O,0))</f>
        <v>11.292021791725356</v>
      </c>
      <c r="X30" s="13">
        <f t="shared" si="15"/>
        <v>11.292021791725356</v>
      </c>
      <c r="Z30" s="13">
        <f t="shared" si="13"/>
        <v>0</v>
      </c>
      <c r="AA30" s="13">
        <f t="shared" si="13"/>
        <v>0</v>
      </c>
      <c r="AB30" s="13">
        <f t="shared" si="13"/>
        <v>0</v>
      </c>
      <c r="AC30" s="13">
        <f t="shared" si="13"/>
        <v>12</v>
      </c>
      <c r="AD30" s="13">
        <f t="shared" si="13"/>
        <v>0</v>
      </c>
      <c r="AE30" s="13">
        <f t="shared" si="14"/>
        <v>30000</v>
      </c>
      <c r="AG30" s="13">
        <v>24</v>
      </c>
      <c r="AH30" s="13">
        <f t="shared" si="7"/>
        <v>7200</v>
      </c>
      <c r="AI30" s="13">
        <f t="shared" si="8"/>
        <v>19545.454545454544</v>
      </c>
      <c r="AJ30" s="13">
        <f t="shared" si="9"/>
        <v>16818.181818181816</v>
      </c>
      <c r="AK30" s="13">
        <f t="shared" si="10"/>
        <v>9666.6666666666661</v>
      </c>
      <c r="AL30" s="13">
        <f t="shared" si="11"/>
        <v>42000</v>
      </c>
    </row>
    <row r="31" spans="2:38" x14ac:dyDescent="0.15">
      <c r="B31" s="14">
        <v>2</v>
      </c>
      <c r="C31" s="14">
        <v>3</v>
      </c>
      <c r="D31" s="14">
        <v>3</v>
      </c>
      <c r="J31" s="13"/>
      <c r="K31" s="13"/>
      <c r="L31" s="13"/>
      <c r="M31" s="13">
        <v>6</v>
      </c>
      <c r="N31" s="13"/>
      <c r="P31" s="13"/>
      <c r="Q31" s="13"/>
      <c r="R31" s="13"/>
      <c r="S31" s="13">
        <v>1</v>
      </c>
      <c r="T31" s="13"/>
      <c r="V31" s="13">
        <v>46</v>
      </c>
      <c r="W31" s="13">
        <f>INDEX(节奏总纲!Q:Q,MATCH(V31,节奏总纲!O:O,0))</f>
        <v>20.310154733549314</v>
      </c>
      <c r="X31" s="13">
        <f t="shared" si="15"/>
        <v>20.310154733549314</v>
      </c>
      <c r="Z31" s="13">
        <f t="shared" si="13"/>
        <v>0</v>
      </c>
      <c r="AA31" s="13">
        <f t="shared" si="13"/>
        <v>0</v>
      </c>
      <c r="AB31" s="13">
        <f t="shared" si="13"/>
        <v>0</v>
      </c>
      <c r="AC31" s="13">
        <f t="shared" si="13"/>
        <v>18</v>
      </c>
      <c r="AD31" s="13">
        <f t="shared" si="13"/>
        <v>0</v>
      </c>
      <c r="AE31" s="13">
        <f t="shared" si="14"/>
        <v>45000</v>
      </c>
      <c r="AG31" s="13">
        <v>25</v>
      </c>
      <c r="AH31" s="13">
        <f t="shared" si="7"/>
        <v>7750</v>
      </c>
      <c r="AI31" s="13">
        <f t="shared" si="8"/>
        <v>20954.545454545456</v>
      </c>
      <c r="AJ31" s="13">
        <f t="shared" si="9"/>
        <v>17954.545454545456</v>
      </c>
      <c r="AK31" s="13">
        <f t="shared" si="10"/>
        <v>10333.333333333334</v>
      </c>
      <c r="AL31" s="13">
        <f t="shared" si="11"/>
        <v>45000</v>
      </c>
    </row>
    <row r="32" spans="2:38" x14ac:dyDescent="0.15">
      <c r="J32" s="13"/>
      <c r="K32" s="13"/>
      <c r="L32" s="13"/>
      <c r="M32" s="13">
        <v>6</v>
      </c>
      <c r="N32" s="13"/>
      <c r="P32" s="13"/>
      <c r="Q32" s="13"/>
      <c r="R32" s="13"/>
      <c r="S32" s="13">
        <v>3</v>
      </c>
      <c r="T32" s="13"/>
      <c r="V32" s="13">
        <v>58</v>
      </c>
      <c r="W32" s="13">
        <f>INDEX(节奏总纲!Q:Q,MATCH(V32,节奏总纲!O:O,0))</f>
        <v>47.459995750595695</v>
      </c>
      <c r="X32" s="13">
        <f t="shared" si="15"/>
        <v>47.459995750595695</v>
      </c>
      <c r="Z32" s="13">
        <f t="shared" si="13"/>
        <v>0</v>
      </c>
      <c r="AA32" s="13">
        <f t="shared" si="13"/>
        <v>0</v>
      </c>
      <c r="AB32" s="13">
        <f t="shared" si="13"/>
        <v>0</v>
      </c>
      <c r="AC32" s="13">
        <f t="shared" si="13"/>
        <v>30</v>
      </c>
      <c r="AD32" s="13">
        <f t="shared" si="13"/>
        <v>0</v>
      </c>
      <c r="AE32" s="13">
        <f t="shared" si="14"/>
        <v>75000</v>
      </c>
      <c r="AG32" s="13">
        <v>26</v>
      </c>
      <c r="AH32" s="13">
        <f t="shared" si="7"/>
        <v>8300</v>
      </c>
      <c r="AI32" s="13">
        <f t="shared" si="8"/>
        <v>22363.636363636364</v>
      </c>
      <c r="AJ32" s="13">
        <f t="shared" si="9"/>
        <v>19090.909090909088</v>
      </c>
      <c r="AK32" s="13">
        <f t="shared" si="10"/>
        <v>11000</v>
      </c>
      <c r="AL32" s="13">
        <f t="shared" si="11"/>
        <v>48000</v>
      </c>
    </row>
    <row r="33" spans="2:38" x14ac:dyDescent="0.15">
      <c r="J33" s="13"/>
      <c r="K33" s="13"/>
      <c r="L33" s="13"/>
      <c r="M33" s="13">
        <v>4</v>
      </c>
      <c r="N33" s="13"/>
      <c r="P33" s="13"/>
      <c r="Q33" s="13"/>
      <c r="R33" s="13"/>
      <c r="S33" s="13">
        <v>6</v>
      </c>
      <c r="T33" s="13"/>
      <c r="V33" s="13">
        <v>67</v>
      </c>
      <c r="W33" s="13">
        <f>INDEX(节奏总纲!Q:Q,MATCH(V33,节奏总纲!O:O,0))</f>
        <v>89.469161720823394</v>
      </c>
      <c r="X33" s="13">
        <f t="shared" si="15"/>
        <v>89.469161720823394</v>
      </c>
      <c r="Z33" s="13">
        <f t="shared" si="13"/>
        <v>0</v>
      </c>
      <c r="AA33" s="13">
        <f t="shared" si="13"/>
        <v>0</v>
      </c>
      <c r="AB33" s="13">
        <f t="shared" si="13"/>
        <v>0</v>
      </c>
      <c r="AC33" s="13">
        <f t="shared" si="13"/>
        <v>32</v>
      </c>
      <c r="AD33" s="13">
        <f t="shared" si="13"/>
        <v>0</v>
      </c>
      <c r="AE33" s="13">
        <f t="shared" si="14"/>
        <v>80000</v>
      </c>
      <c r="AG33" s="13">
        <v>27</v>
      </c>
      <c r="AH33" s="13">
        <f t="shared" si="7"/>
        <v>8850</v>
      </c>
      <c r="AI33" s="13">
        <f t="shared" si="8"/>
        <v>23772.727272727272</v>
      </c>
      <c r="AJ33" s="13">
        <f t="shared" si="9"/>
        <v>20227.272727272728</v>
      </c>
      <c r="AK33" s="13">
        <f t="shared" si="10"/>
        <v>11666.666666666666</v>
      </c>
      <c r="AL33" s="13">
        <f t="shared" si="11"/>
        <v>51000</v>
      </c>
    </row>
    <row r="34" spans="2:38" x14ac:dyDescent="0.15">
      <c r="B34" s="14" t="s">
        <v>89</v>
      </c>
      <c r="C34" s="14" t="s">
        <v>80</v>
      </c>
      <c r="D34" s="14" t="s">
        <v>77</v>
      </c>
      <c r="E34" s="14" t="s">
        <v>78</v>
      </c>
      <c r="F34" s="14" t="s">
        <v>79</v>
      </c>
      <c r="G34" s="14" t="s">
        <v>81</v>
      </c>
      <c r="J34" s="13"/>
      <c r="K34" s="13"/>
      <c r="L34" s="13"/>
      <c r="M34" s="13">
        <v>5</v>
      </c>
      <c r="N34" s="13">
        <v>1</v>
      </c>
      <c r="P34" s="13"/>
      <c r="Q34" s="13"/>
      <c r="R34" s="13"/>
      <c r="S34" s="13">
        <v>6</v>
      </c>
      <c r="T34" s="13">
        <v>0</v>
      </c>
      <c r="V34" s="13">
        <v>68</v>
      </c>
      <c r="W34" s="13">
        <f>INDEX(节奏总纲!Q:Q,MATCH(V34,节奏总纲!O:O,0))</f>
        <v>95.831563690032169</v>
      </c>
      <c r="X34" s="13">
        <f t="shared" si="15"/>
        <v>95.831563690032169</v>
      </c>
      <c r="Z34" s="13">
        <f t="shared" si="13"/>
        <v>0</v>
      </c>
      <c r="AA34" s="13">
        <f t="shared" si="13"/>
        <v>0</v>
      </c>
      <c r="AB34" s="13">
        <f t="shared" si="13"/>
        <v>0</v>
      </c>
      <c r="AC34" s="13">
        <f t="shared" si="13"/>
        <v>40</v>
      </c>
      <c r="AD34" s="13">
        <f t="shared" si="13"/>
        <v>2</v>
      </c>
      <c r="AE34" s="13">
        <f t="shared" si="14"/>
        <v>150000</v>
      </c>
      <c r="AG34" s="13">
        <v>28</v>
      </c>
      <c r="AH34" s="13">
        <f t="shared" si="7"/>
        <v>9400</v>
      </c>
      <c r="AI34" s="13">
        <f t="shared" si="8"/>
        <v>25181.81818181818</v>
      </c>
      <c r="AJ34" s="13">
        <f t="shared" si="9"/>
        <v>21363.63636363636</v>
      </c>
      <c r="AK34" s="13">
        <f t="shared" si="10"/>
        <v>12333.333333333332</v>
      </c>
      <c r="AL34" s="13">
        <f t="shared" si="11"/>
        <v>54000</v>
      </c>
    </row>
    <row r="35" spans="2:38" x14ac:dyDescent="0.15">
      <c r="B35" s="14" t="s">
        <v>90</v>
      </c>
      <c r="C35" s="14">
        <v>50</v>
      </c>
      <c r="D35" s="14">
        <v>100</v>
      </c>
      <c r="E35" s="14">
        <v>500</v>
      </c>
      <c r="F35" s="14">
        <v>2500</v>
      </c>
      <c r="G35" s="14">
        <v>25000</v>
      </c>
      <c r="I35" s="6"/>
      <c r="J35" s="13"/>
      <c r="K35" s="13"/>
      <c r="L35" s="13"/>
      <c r="M35" s="13"/>
      <c r="N35" s="13">
        <v>2</v>
      </c>
      <c r="O35" s="6"/>
      <c r="P35" s="13"/>
      <c r="Q35" s="13"/>
      <c r="R35" s="13"/>
      <c r="S35" s="13"/>
      <c r="T35" s="13">
        <v>0</v>
      </c>
      <c r="U35" s="6"/>
      <c r="V35" s="13">
        <v>75</v>
      </c>
      <c r="W35" s="13">
        <f>INDEX(节奏总纲!Q:Q,MATCH(V35,节奏总纲!O:O,0))</f>
        <v>155.75272949314578</v>
      </c>
      <c r="X35" s="13">
        <f t="shared" si="15"/>
        <v>155.75272949314578</v>
      </c>
      <c r="Y35" s="6"/>
      <c r="Z35" s="13">
        <f t="shared" ref="Z35:AD39" si="16">J35*INDEX($D$19:$D$26,P35+1,1)</f>
        <v>0</v>
      </c>
      <c r="AA35" s="13">
        <f t="shared" si="16"/>
        <v>0</v>
      </c>
      <c r="AB35" s="13">
        <f t="shared" si="16"/>
        <v>0</v>
      </c>
      <c r="AC35" s="13">
        <f t="shared" si="16"/>
        <v>0</v>
      </c>
      <c r="AD35" s="13">
        <f t="shared" si="16"/>
        <v>2</v>
      </c>
      <c r="AE35" s="13">
        <f t="shared" si="14"/>
        <v>50000</v>
      </c>
      <c r="AG35" s="13">
        <v>29</v>
      </c>
      <c r="AH35" s="13">
        <f t="shared" si="7"/>
        <v>9950</v>
      </c>
      <c r="AI35" s="13">
        <f t="shared" si="8"/>
        <v>26590.909090909088</v>
      </c>
      <c r="AJ35" s="13">
        <f t="shared" si="9"/>
        <v>22500</v>
      </c>
      <c r="AK35" s="13">
        <f t="shared" si="10"/>
        <v>13000</v>
      </c>
      <c r="AL35" s="13">
        <f t="shared" si="11"/>
        <v>57000</v>
      </c>
    </row>
    <row r="36" spans="2:38" x14ac:dyDescent="0.15">
      <c r="I36" s="6"/>
      <c r="J36" s="13"/>
      <c r="K36" s="13"/>
      <c r="L36" s="13"/>
      <c r="M36" s="13"/>
      <c r="N36" s="13">
        <v>3</v>
      </c>
      <c r="O36" s="6"/>
      <c r="P36" s="13"/>
      <c r="Q36" s="13"/>
      <c r="R36" s="13"/>
      <c r="S36" s="13"/>
      <c r="T36" s="13">
        <v>0</v>
      </c>
      <c r="U36" s="6"/>
      <c r="V36" s="13">
        <v>80</v>
      </c>
      <c r="W36" s="13">
        <f>INDEX(节奏总纲!Q:Q,MATCH(V36,节奏总纲!O:O,0))</f>
        <v>221.08500000000001</v>
      </c>
      <c r="X36" s="13">
        <f t="shared" si="15"/>
        <v>221.08500000000001</v>
      </c>
      <c r="Y36" s="6"/>
      <c r="Z36" s="13">
        <f t="shared" si="16"/>
        <v>0</v>
      </c>
      <c r="AA36" s="13">
        <f t="shared" si="16"/>
        <v>0</v>
      </c>
      <c r="AB36" s="13">
        <f t="shared" si="16"/>
        <v>0</v>
      </c>
      <c r="AC36" s="13">
        <f t="shared" si="16"/>
        <v>0</v>
      </c>
      <c r="AD36" s="13">
        <f t="shared" si="16"/>
        <v>3</v>
      </c>
      <c r="AE36" s="13">
        <f t="shared" si="14"/>
        <v>75000</v>
      </c>
      <c r="AG36" s="13">
        <v>30</v>
      </c>
      <c r="AH36" s="13">
        <f t="shared" si="7"/>
        <v>10500</v>
      </c>
      <c r="AI36" s="13">
        <f t="shared" si="8"/>
        <v>28000</v>
      </c>
      <c r="AJ36" s="13">
        <f t="shared" si="9"/>
        <v>23111.111111111109</v>
      </c>
      <c r="AK36" s="13">
        <f t="shared" si="10"/>
        <v>13666.666666666666</v>
      </c>
      <c r="AL36" s="13">
        <f t="shared" si="11"/>
        <v>60000</v>
      </c>
    </row>
    <row r="37" spans="2:38" x14ac:dyDescent="0.15">
      <c r="I37" s="6"/>
      <c r="J37" s="13"/>
      <c r="K37" s="13"/>
      <c r="L37" s="13"/>
      <c r="M37" s="13"/>
      <c r="N37" s="13">
        <v>4</v>
      </c>
      <c r="O37" s="6"/>
      <c r="P37" s="13"/>
      <c r="Q37" s="13"/>
      <c r="R37" s="13"/>
      <c r="S37" s="13"/>
      <c r="T37" s="13">
        <v>0</v>
      </c>
      <c r="U37" s="6"/>
      <c r="V37" s="13">
        <v>84</v>
      </c>
      <c r="W37" s="13">
        <f>INDEX(节奏总纲!Q:Q,MATCH(V37,节奏总纲!O:O,0))</f>
        <v>291.2594729565181</v>
      </c>
      <c r="X37" s="13">
        <f t="shared" si="15"/>
        <v>291.2594729565181</v>
      </c>
      <c r="Y37" s="6"/>
      <c r="Z37" s="13">
        <f t="shared" si="16"/>
        <v>0</v>
      </c>
      <c r="AA37" s="13">
        <f t="shared" si="16"/>
        <v>0</v>
      </c>
      <c r="AB37" s="13">
        <f t="shared" si="16"/>
        <v>0</v>
      </c>
      <c r="AC37" s="13">
        <f t="shared" si="16"/>
        <v>0</v>
      </c>
      <c r="AD37" s="13">
        <f t="shared" si="16"/>
        <v>4</v>
      </c>
      <c r="AE37" s="13">
        <f t="shared" si="14"/>
        <v>100000</v>
      </c>
      <c r="AG37" s="13">
        <v>31</v>
      </c>
      <c r="AH37" s="13">
        <f t="shared" si="7"/>
        <v>11300</v>
      </c>
      <c r="AI37" s="13">
        <f t="shared" si="8"/>
        <v>28250</v>
      </c>
      <c r="AJ37" s="13">
        <f t="shared" si="9"/>
        <v>23722.222222222223</v>
      </c>
      <c r="AK37" s="13">
        <f t="shared" si="10"/>
        <v>14333.333333333332</v>
      </c>
      <c r="AL37" s="13">
        <f t="shared" si="11"/>
        <v>62750</v>
      </c>
    </row>
    <row r="38" spans="2:38" x14ac:dyDescent="0.15">
      <c r="I38" s="6"/>
      <c r="J38" s="13"/>
      <c r="K38" s="13"/>
      <c r="L38" s="13"/>
      <c r="M38" s="13"/>
      <c r="N38" s="13">
        <v>5</v>
      </c>
      <c r="O38" s="6"/>
      <c r="P38" s="13"/>
      <c r="Q38" s="13"/>
      <c r="R38" s="13"/>
      <c r="S38" s="13"/>
      <c r="T38" s="13">
        <v>0</v>
      </c>
      <c r="U38" s="6"/>
      <c r="V38" s="13">
        <v>88</v>
      </c>
      <c r="W38" s="13">
        <f>INDEX(节奏总纲!Q:Q,MATCH(V38,节奏总纲!O:O,0))</f>
        <v>384.7733778502689</v>
      </c>
      <c r="X38" s="13">
        <f t="shared" si="15"/>
        <v>384.7733778502689</v>
      </c>
      <c r="Y38" s="6"/>
      <c r="Z38" s="13">
        <f t="shared" si="16"/>
        <v>0</v>
      </c>
      <c r="AA38" s="13">
        <f t="shared" si="16"/>
        <v>0</v>
      </c>
      <c r="AB38" s="13">
        <f t="shared" si="16"/>
        <v>0</v>
      </c>
      <c r="AC38" s="13">
        <f t="shared" si="16"/>
        <v>0</v>
      </c>
      <c r="AD38" s="13">
        <f t="shared" si="16"/>
        <v>5</v>
      </c>
      <c r="AE38" s="13">
        <f t="shared" si="14"/>
        <v>125000</v>
      </c>
      <c r="AG38" s="13">
        <v>32</v>
      </c>
      <c r="AH38" s="13">
        <f t="shared" si="7"/>
        <v>12100</v>
      </c>
      <c r="AI38" s="13">
        <f t="shared" si="8"/>
        <v>28500</v>
      </c>
      <c r="AJ38" s="13">
        <f t="shared" si="9"/>
        <v>24333.333333333332</v>
      </c>
      <c r="AK38" s="13">
        <f t="shared" si="10"/>
        <v>15000</v>
      </c>
      <c r="AL38" s="13">
        <f t="shared" si="11"/>
        <v>65500</v>
      </c>
    </row>
    <row r="39" spans="2:38" x14ac:dyDescent="0.15">
      <c r="G39" s="3"/>
      <c r="I39" s="6"/>
      <c r="J39" s="13"/>
      <c r="K39" s="13"/>
      <c r="L39" s="13"/>
      <c r="M39" s="13"/>
      <c r="N39" s="13">
        <v>6</v>
      </c>
      <c r="O39" s="6"/>
      <c r="P39" s="13"/>
      <c r="Q39" s="13"/>
      <c r="R39" s="13"/>
      <c r="S39" s="13"/>
      <c r="T39" s="13">
        <v>0</v>
      </c>
      <c r="U39" s="6"/>
      <c r="V39" s="13">
        <v>91</v>
      </c>
      <c r="W39" s="13">
        <f>INDEX(节奏总纲!Q:Q,MATCH(V39,节奏总纲!O:O,0))</f>
        <v>469.6391461906523</v>
      </c>
      <c r="X39" s="13">
        <f t="shared" si="15"/>
        <v>469.6391461906523</v>
      </c>
      <c r="Y39" s="6"/>
      <c r="Z39" s="13">
        <f t="shared" si="16"/>
        <v>0</v>
      </c>
      <c r="AA39" s="13">
        <f t="shared" si="16"/>
        <v>0</v>
      </c>
      <c r="AB39" s="13">
        <f t="shared" si="16"/>
        <v>0</v>
      </c>
      <c r="AC39" s="13">
        <f t="shared" si="16"/>
        <v>0</v>
      </c>
      <c r="AD39" s="13">
        <f t="shared" si="16"/>
        <v>6</v>
      </c>
      <c r="AE39" s="13">
        <f t="shared" si="14"/>
        <v>150000</v>
      </c>
      <c r="AG39" s="13">
        <v>33</v>
      </c>
      <c r="AH39" s="13">
        <f t="shared" si="7"/>
        <v>12900</v>
      </c>
      <c r="AI39" s="13">
        <f t="shared" si="8"/>
        <v>28750</v>
      </c>
      <c r="AJ39" s="13">
        <f t="shared" si="9"/>
        <v>24944.444444444445</v>
      </c>
      <c r="AK39" s="13">
        <f t="shared" si="10"/>
        <v>17142.857142857141</v>
      </c>
      <c r="AL39" s="13">
        <f t="shared" si="11"/>
        <v>68250</v>
      </c>
    </row>
    <row r="40" spans="2:38" x14ac:dyDescent="0.15">
      <c r="G40" s="3"/>
      <c r="AG40" s="13">
        <v>34</v>
      </c>
      <c r="AH40" s="13">
        <f t="shared" si="7"/>
        <v>13700</v>
      </c>
      <c r="AI40" s="13">
        <f t="shared" si="8"/>
        <v>29000</v>
      </c>
      <c r="AJ40" s="13">
        <f t="shared" si="9"/>
        <v>25555.555555555555</v>
      </c>
      <c r="AK40" s="13">
        <f t="shared" si="10"/>
        <v>19285.714285714286</v>
      </c>
      <c r="AL40" s="13">
        <f t="shared" si="11"/>
        <v>71000</v>
      </c>
    </row>
    <row r="41" spans="2:38" x14ac:dyDescent="0.15">
      <c r="G41" s="3"/>
      <c r="J41" s="61" t="s">
        <v>86</v>
      </c>
      <c r="K41" s="61"/>
      <c r="L41" s="61"/>
      <c r="M41" s="61"/>
      <c r="N41" s="61"/>
      <c r="P41" s="61" t="s">
        <v>87</v>
      </c>
      <c r="Q41" s="61"/>
      <c r="R41" s="61"/>
      <c r="S41" s="61"/>
      <c r="T41" s="61"/>
      <c r="Z41" s="61" t="s">
        <v>98</v>
      </c>
      <c r="AA41" s="61"/>
      <c r="AB41" s="61"/>
      <c r="AC41" s="61"/>
      <c r="AD41" s="61"/>
      <c r="AE41" s="15"/>
      <c r="AG41" s="13">
        <v>35</v>
      </c>
      <c r="AH41" s="13">
        <f t="shared" si="7"/>
        <v>14500</v>
      </c>
      <c r="AI41" s="13">
        <f t="shared" si="8"/>
        <v>29250</v>
      </c>
      <c r="AJ41" s="13">
        <f t="shared" si="9"/>
        <v>26166.666666666668</v>
      </c>
      <c r="AK41" s="13">
        <f t="shared" si="10"/>
        <v>21428.571428571428</v>
      </c>
      <c r="AL41" s="13">
        <f t="shared" si="11"/>
        <v>73750</v>
      </c>
    </row>
    <row r="42" spans="2:38" x14ac:dyDescent="0.15">
      <c r="G42" s="3"/>
      <c r="I42" s="5" t="s">
        <v>95</v>
      </c>
      <c r="J42" s="13" t="s">
        <v>82</v>
      </c>
      <c r="K42" s="13" t="s">
        <v>83</v>
      </c>
      <c r="L42" s="13" t="s">
        <v>84</v>
      </c>
      <c r="M42" s="13" t="s">
        <v>0</v>
      </c>
      <c r="N42" s="13" t="s">
        <v>85</v>
      </c>
      <c r="P42" s="13" t="s">
        <v>82</v>
      </c>
      <c r="Q42" s="13" t="s">
        <v>83</v>
      </c>
      <c r="R42" s="13" t="s">
        <v>84</v>
      </c>
      <c r="S42" s="13" t="s">
        <v>0</v>
      </c>
      <c r="T42" s="13" t="s">
        <v>85</v>
      </c>
      <c r="V42" s="13" t="s">
        <v>99</v>
      </c>
      <c r="W42" s="13" t="s">
        <v>88</v>
      </c>
      <c r="X42" s="13" t="s">
        <v>10</v>
      </c>
      <c r="Z42" s="13" t="s">
        <v>82</v>
      </c>
      <c r="AA42" s="13" t="s">
        <v>83</v>
      </c>
      <c r="AB42" s="13" t="s">
        <v>84</v>
      </c>
      <c r="AC42" s="13" t="s">
        <v>0</v>
      </c>
      <c r="AD42" s="13" t="s">
        <v>85</v>
      </c>
      <c r="AE42" s="13" t="s">
        <v>91</v>
      </c>
      <c r="AG42" s="13">
        <v>36</v>
      </c>
      <c r="AH42" s="13">
        <f t="shared" si="7"/>
        <v>14666.666666666666</v>
      </c>
      <c r="AI42" s="13">
        <f t="shared" si="8"/>
        <v>29500</v>
      </c>
      <c r="AJ42" s="13">
        <f t="shared" si="9"/>
        <v>26777.777777777777</v>
      </c>
      <c r="AK42" s="13">
        <f t="shared" si="10"/>
        <v>23571.428571428572</v>
      </c>
      <c r="AL42" s="13">
        <f t="shared" si="11"/>
        <v>76500</v>
      </c>
    </row>
    <row r="43" spans="2:38" x14ac:dyDescent="0.15">
      <c r="G43" s="3"/>
      <c r="J43" s="13"/>
      <c r="K43" s="13">
        <v>3</v>
      </c>
      <c r="L43" s="13">
        <v>3</v>
      </c>
      <c r="M43" s="13"/>
      <c r="N43" s="13"/>
      <c r="P43" s="13"/>
      <c r="Q43" s="13">
        <v>0</v>
      </c>
      <c r="R43" s="13">
        <v>0</v>
      </c>
      <c r="S43" s="13"/>
      <c r="T43" s="13"/>
      <c r="V43" s="13">
        <v>8</v>
      </c>
      <c r="W43" s="13">
        <f>INDEX(节奏总纲!R:R,MATCH(V43,节奏总纲!O:O,0))</f>
        <v>0.50550507844857251</v>
      </c>
      <c r="X43" s="13">
        <f>W43</f>
        <v>0.50550507844857251</v>
      </c>
      <c r="Z43" s="13">
        <f t="shared" ref="Z43:Z54" si="17">J43*INDEX($D$20:$D$26,P43+1,1)</f>
        <v>0</v>
      </c>
      <c r="AA43" s="13">
        <f t="shared" ref="AA43:AA54" si="18">K43*INDEX($D$20:$D$26,Q43+1,1)</f>
        <v>6</v>
      </c>
      <c r="AB43" s="13">
        <f t="shared" ref="AB43:AB54" si="19">L43*INDEX($D$20:$D$26,R43+1,1)</f>
        <v>6</v>
      </c>
      <c r="AC43" s="13">
        <f t="shared" ref="AC43:AC54" si="20">M43*INDEX($D$20:$D$26,S43+1,1)</f>
        <v>0</v>
      </c>
      <c r="AD43" s="13">
        <f t="shared" ref="AD43:AD54" si="21">N43*INDEX($D$20:$D$26,T43+1,1)</f>
        <v>0</v>
      </c>
      <c r="AE43" s="13">
        <f t="shared" ref="AE43:AE54" si="22">SUMPRODUCT(Z43:AD43,$C$35:$G$35)</f>
        <v>3600</v>
      </c>
      <c r="AG43" s="13">
        <v>37</v>
      </c>
      <c r="AH43" s="13">
        <f t="shared" si="7"/>
        <v>14833.333333333334</v>
      </c>
      <c r="AI43" s="13">
        <f t="shared" si="8"/>
        <v>29750</v>
      </c>
      <c r="AJ43" s="13">
        <f t="shared" si="9"/>
        <v>27388.888888888891</v>
      </c>
      <c r="AK43" s="13">
        <f t="shared" si="10"/>
        <v>25714.285714285714</v>
      </c>
      <c r="AL43" s="13">
        <f t="shared" si="11"/>
        <v>79250</v>
      </c>
    </row>
    <row r="44" spans="2:38" x14ac:dyDescent="0.15">
      <c r="G44" s="3"/>
      <c r="J44" s="13"/>
      <c r="K44" s="13"/>
      <c r="L44" s="13">
        <v>5</v>
      </c>
      <c r="M44" s="13">
        <v>1</v>
      </c>
      <c r="N44" s="13"/>
      <c r="P44" s="13"/>
      <c r="Q44" s="13"/>
      <c r="R44" s="13">
        <v>0</v>
      </c>
      <c r="S44" s="13">
        <v>0</v>
      </c>
      <c r="T44" s="13"/>
      <c r="V44" s="13">
        <v>18</v>
      </c>
      <c r="W44" s="13">
        <f>INDEX(节奏总纲!R:R,MATCH(V44,节奏总纲!O:O,0))</f>
        <v>1.7690655458445907</v>
      </c>
      <c r="X44" s="13">
        <f>W44-W43</f>
        <v>1.2635604673960183</v>
      </c>
      <c r="Z44" s="13">
        <f t="shared" si="17"/>
        <v>0</v>
      </c>
      <c r="AA44" s="13">
        <f t="shared" si="18"/>
        <v>0</v>
      </c>
      <c r="AB44" s="13">
        <f t="shared" si="19"/>
        <v>10</v>
      </c>
      <c r="AC44" s="13">
        <f t="shared" si="20"/>
        <v>2</v>
      </c>
      <c r="AD44" s="13">
        <f t="shared" si="21"/>
        <v>0</v>
      </c>
      <c r="AE44" s="13">
        <f t="shared" si="22"/>
        <v>10000</v>
      </c>
      <c r="AG44" s="13">
        <v>38</v>
      </c>
      <c r="AH44" s="13">
        <f t="shared" si="7"/>
        <v>15000</v>
      </c>
      <c r="AI44" s="13">
        <f t="shared" si="8"/>
        <v>30000</v>
      </c>
      <c r="AJ44" s="13">
        <f t="shared" si="9"/>
        <v>28000</v>
      </c>
      <c r="AK44" s="13">
        <f t="shared" si="10"/>
        <v>27857.142857142855</v>
      </c>
      <c r="AL44" s="13">
        <f t="shared" si="11"/>
        <v>82000</v>
      </c>
    </row>
    <row r="45" spans="2:38" x14ac:dyDescent="0.15">
      <c r="G45" s="3"/>
      <c r="J45" s="13"/>
      <c r="K45" s="13"/>
      <c r="L45" s="13">
        <v>3</v>
      </c>
      <c r="M45" s="13">
        <v>3</v>
      </c>
      <c r="N45" s="13"/>
      <c r="P45" s="13"/>
      <c r="Q45" s="13"/>
      <c r="R45" s="13">
        <v>3</v>
      </c>
      <c r="S45" s="13">
        <v>0</v>
      </c>
      <c r="T45" s="13"/>
      <c r="V45" s="13">
        <v>29</v>
      </c>
      <c r="W45" s="13">
        <f>INDEX(节奏总纲!R:R,MATCH(V45,节奏总纲!O:O,0))</f>
        <v>4.6510378992858623</v>
      </c>
      <c r="X45" s="13">
        <f t="shared" ref="X45:X54" si="23">W45-W44</f>
        <v>2.8819723534412716</v>
      </c>
      <c r="Z45" s="13">
        <f t="shared" si="17"/>
        <v>0</v>
      </c>
      <c r="AA45" s="13">
        <f t="shared" si="18"/>
        <v>0</v>
      </c>
      <c r="AB45" s="13">
        <f t="shared" si="19"/>
        <v>15</v>
      </c>
      <c r="AC45" s="13">
        <f t="shared" si="20"/>
        <v>6</v>
      </c>
      <c r="AD45" s="13">
        <f t="shared" si="21"/>
        <v>0</v>
      </c>
      <c r="AE45" s="13">
        <f t="shared" si="22"/>
        <v>22500</v>
      </c>
      <c r="AG45" s="13">
        <v>39</v>
      </c>
      <c r="AH45" s="13">
        <f t="shared" si="7"/>
        <v>16875</v>
      </c>
      <c r="AI45" s="13">
        <f t="shared" si="8"/>
        <v>31875</v>
      </c>
      <c r="AJ45" s="13">
        <f t="shared" si="9"/>
        <v>28285.714285714286</v>
      </c>
      <c r="AK45" s="13">
        <f t="shared" si="10"/>
        <v>30000</v>
      </c>
      <c r="AL45" s="13">
        <f t="shared" si="11"/>
        <v>84750</v>
      </c>
    </row>
    <row r="46" spans="2:38" x14ac:dyDescent="0.15">
      <c r="J46" s="13"/>
      <c r="K46" s="13"/>
      <c r="L46" s="13">
        <v>1</v>
      </c>
      <c r="M46" s="13">
        <v>5</v>
      </c>
      <c r="N46" s="13"/>
      <c r="P46" s="13"/>
      <c r="Q46" s="13"/>
      <c r="R46" s="13">
        <v>4</v>
      </c>
      <c r="S46" s="13">
        <v>0</v>
      </c>
      <c r="T46" s="13"/>
      <c r="V46" s="13">
        <v>38</v>
      </c>
      <c r="W46" s="13">
        <f>INDEX(节奏总纲!R:R,MATCH(V46,节奏总纲!O:O,0))</f>
        <v>9.3190855363815395</v>
      </c>
      <c r="X46" s="13">
        <f t="shared" si="23"/>
        <v>4.6680476370956772</v>
      </c>
      <c r="Z46" s="13">
        <f t="shared" si="17"/>
        <v>0</v>
      </c>
      <c r="AA46" s="13">
        <f t="shared" si="18"/>
        <v>0</v>
      </c>
      <c r="AB46" s="13">
        <f t="shared" si="19"/>
        <v>6</v>
      </c>
      <c r="AC46" s="13">
        <f t="shared" si="20"/>
        <v>10</v>
      </c>
      <c r="AD46" s="13">
        <f t="shared" si="21"/>
        <v>0</v>
      </c>
      <c r="AE46" s="13">
        <f t="shared" si="22"/>
        <v>28000</v>
      </c>
      <c r="AG46" s="13">
        <v>40</v>
      </c>
      <c r="AH46" s="13">
        <f t="shared" si="7"/>
        <v>18750</v>
      </c>
      <c r="AI46" s="13">
        <f t="shared" si="8"/>
        <v>33750</v>
      </c>
      <c r="AJ46" s="13">
        <f t="shared" si="9"/>
        <v>28571.428571428572</v>
      </c>
      <c r="AK46" s="13">
        <f t="shared" si="10"/>
        <v>34285.714285714283</v>
      </c>
      <c r="AL46" s="13">
        <f t="shared" si="11"/>
        <v>87500</v>
      </c>
    </row>
    <row r="47" spans="2:38" x14ac:dyDescent="0.15">
      <c r="G47" s="18"/>
      <c r="J47" s="13"/>
      <c r="K47" s="13"/>
      <c r="L47" s="13"/>
      <c r="M47" s="13">
        <v>6</v>
      </c>
      <c r="N47" s="13"/>
      <c r="P47" s="13"/>
      <c r="Q47" s="13"/>
      <c r="R47" s="13"/>
      <c r="S47" s="13">
        <v>0</v>
      </c>
      <c r="T47" s="13"/>
      <c r="V47" s="13">
        <v>45</v>
      </c>
      <c r="W47" s="13">
        <f>INDEX(节奏总纲!R:R,MATCH(V47,节奏总纲!O:O,0))</f>
        <v>15.604181364035009</v>
      </c>
      <c r="X47" s="13">
        <f t="shared" si="23"/>
        <v>6.2850958276534694</v>
      </c>
      <c r="Z47" s="13">
        <f t="shared" si="17"/>
        <v>0</v>
      </c>
      <c r="AA47" s="13">
        <f t="shared" si="18"/>
        <v>0</v>
      </c>
      <c r="AB47" s="13">
        <f t="shared" si="19"/>
        <v>0</v>
      </c>
      <c r="AC47" s="13">
        <f t="shared" si="20"/>
        <v>12</v>
      </c>
      <c r="AD47" s="13">
        <f t="shared" si="21"/>
        <v>0</v>
      </c>
      <c r="AE47" s="13">
        <f t="shared" si="22"/>
        <v>30000</v>
      </c>
      <c r="AG47" s="13">
        <v>41</v>
      </c>
      <c r="AH47" s="13">
        <f t="shared" si="7"/>
        <v>20625</v>
      </c>
      <c r="AI47" s="13">
        <f t="shared" si="8"/>
        <v>35625</v>
      </c>
      <c r="AJ47" s="13">
        <f t="shared" si="9"/>
        <v>28857.142857142859</v>
      </c>
      <c r="AK47" s="13">
        <f t="shared" si="10"/>
        <v>38571.428571428572</v>
      </c>
      <c r="AL47" s="13">
        <f t="shared" si="11"/>
        <v>91500</v>
      </c>
    </row>
    <row r="48" spans="2:38" x14ac:dyDescent="0.15">
      <c r="G48" s="3"/>
      <c r="I48" s="8"/>
      <c r="J48" s="13"/>
      <c r="K48" s="13"/>
      <c r="L48" s="13"/>
      <c r="M48" s="13">
        <v>6</v>
      </c>
      <c r="N48" s="13"/>
      <c r="O48" s="8"/>
      <c r="P48" s="13"/>
      <c r="Q48" s="13"/>
      <c r="R48" s="13"/>
      <c r="S48" s="13">
        <v>1</v>
      </c>
      <c r="T48" s="13"/>
      <c r="U48" s="8"/>
      <c r="V48" s="13">
        <v>52</v>
      </c>
      <c r="W48" s="13">
        <f>INDEX(节奏总纲!R:R,MATCH(V48,节奏总纲!O:O,0))</f>
        <v>25.606552544428059</v>
      </c>
      <c r="X48" s="13">
        <f t="shared" si="23"/>
        <v>10.00237118039305</v>
      </c>
      <c r="Y48" s="8"/>
      <c r="Z48" s="13">
        <f t="shared" si="17"/>
        <v>0</v>
      </c>
      <c r="AA48" s="13">
        <f t="shared" si="18"/>
        <v>0</v>
      </c>
      <c r="AB48" s="13">
        <f t="shared" si="19"/>
        <v>0</v>
      </c>
      <c r="AC48" s="13">
        <f t="shared" si="20"/>
        <v>18</v>
      </c>
      <c r="AD48" s="13">
        <f t="shared" si="21"/>
        <v>0</v>
      </c>
      <c r="AE48" s="13">
        <f t="shared" si="22"/>
        <v>45000</v>
      </c>
      <c r="AG48" s="13">
        <v>42</v>
      </c>
      <c r="AH48" s="13">
        <f t="shared" si="7"/>
        <v>22500</v>
      </c>
      <c r="AI48" s="13">
        <f t="shared" si="8"/>
        <v>37500</v>
      </c>
      <c r="AJ48" s="13">
        <f t="shared" si="9"/>
        <v>29142.857142857141</v>
      </c>
      <c r="AK48" s="13">
        <f t="shared" si="10"/>
        <v>42857.142857142855</v>
      </c>
      <c r="AL48" s="13">
        <f t="shared" si="11"/>
        <v>95500</v>
      </c>
    </row>
    <row r="49" spans="7:38" x14ac:dyDescent="0.15">
      <c r="G49" s="3"/>
      <c r="I49" s="8"/>
      <c r="J49" s="13"/>
      <c r="K49" s="13"/>
      <c r="L49" s="13"/>
      <c r="M49" s="13">
        <v>6</v>
      </c>
      <c r="N49" s="13"/>
      <c r="O49" s="8"/>
      <c r="P49" s="13"/>
      <c r="Q49" s="13"/>
      <c r="R49" s="13"/>
      <c r="S49" s="13">
        <v>3</v>
      </c>
      <c r="T49" s="13"/>
      <c r="U49" s="8"/>
      <c r="V49" s="13">
        <v>58</v>
      </c>
      <c r="W49" s="13">
        <f>INDEX(节奏总纲!R:R,MATCH(V49,节奏总纲!O:O,0))</f>
        <v>38.913475879437009</v>
      </c>
      <c r="X49" s="13">
        <f t="shared" si="23"/>
        <v>13.30692333500895</v>
      </c>
      <c r="Y49" s="8"/>
      <c r="Z49" s="13">
        <f t="shared" si="17"/>
        <v>0</v>
      </c>
      <c r="AA49" s="13">
        <f t="shared" si="18"/>
        <v>0</v>
      </c>
      <c r="AB49" s="13">
        <f t="shared" si="19"/>
        <v>0</v>
      </c>
      <c r="AC49" s="13">
        <f t="shared" si="20"/>
        <v>30</v>
      </c>
      <c r="AD49" s="13">
        <f t="shared" si="21"/>
        <v>0</v>
      </c>
      <c r="AE49" s="13">
        <f t="shared" si="22"/>
        <v>75000</v>
      </c>
      <c r="AG49" s="13">
        <v>43</v>
      </c>
      <c r="AH49" s="13">
        <f t="shared" si="7"/>
        <v>24375</v>
      </c>
      <c r="AI49" s="13">
        <f t="shared" si="8"/>
        <v>39375</v>
      </c>
      <c r="AJ49" s="13">
        <f t="shared" si="9"/>
        <v>29428.571428571428</v>
      </c>
      <c r="AK49" s="13">
        <f t="shared" si="10"/>
        <v>47142.857142857145</v>
      </c>
      <c r="AL49" s="13">
        <f t="shared" si="11"/>
        <v>99500</v>
      </c>
    </row>
    <row r="50" spans="7:38" x14ac:dyDescent="0.15">
      <c r="G50" s="3"/>
      <c r="J50" s="13"/>
      <c r="K50" s="13"/>
      <c r="L50" s="13"/>
      <c r="M50" s="13">
        <v>5</v>
      </c>
      <c r="N50" s="13">
        <v>1</v>
      </c>
      <c r="P50" s="13"/>
      <c r="Q50" s="13"/>
      <c r="R50" s="13"/>
      <c r="S50" s="13">
        <v>3</v>
      </c>
      <c r="T50" s="13">
        <v>0</v>
      </c>
      <c r="V50" s="13">
        <v>63</v>
      </c>
      <c r="W50" s="13">
        <f>INDEX(节奏总纲!R:R,MATCH(V50,节奏总纲!O:O,0))</f>
        <v>55.27987808786542</v>
      </c>
      <c r="X50" s="13">
        <f t="shared" si="23"/>
        <v>16.366402208428411</v>
      </c>
      <c r="Z50" s="13">
        <f t="shared" si="17"/>
        <v>0</v>
      </c>
      <c r="AA50" s="13">
        <f t="shared" si="18"/>
        <v>0</v>
      </c>
      <c r="AB50" s="13">
        <f t="shared" si="19"/>
        <v>0</v>
      </c>
      <c r="AC50" s="13">
        <f t="shared" si="20"/>
        <v>25</v>
      </c>
      <c r="AD50" s="13">
        <f t="shared" si="21"/>
        <v>2</v>
      </c>
      <c r="AE50" s="13">
        <f t="shared" si="22"/>
        <v>112500</v>
      </c>
      <c r="AG50" s="13">
        <v>44</v>
      </c>
      <c r="AH50" s="13">
        <f t="shared" si="7"/>
        <v>26250</v>
      </c>
      <c r="AI50" s="13">
        <f t="shared" si="8"/>
        <v>41250</v>
      </c>
      <c r="AJ50" s="13">
        <f t="shared" si="9"/>
        <v>29714.285714285714</v>
      </c>
      <c r="AK50" s="13">
        <f t="shared" si="10"/>
        <v>51428.571428571428</v>
      </c>
      <c r="AL50" s="13">
        <f t="shared" si="11"/>
        <v>103500</v>
      </c>
    </row>
    <row r="51" spans="7:38" x14ac:dyDescent="0.15">
      <c r="G51" s="3"/>
      <c r="J51" s="13"/>
      <c r="K51" s="13"/>
      <c r="L51" s="13"/>
      <c r="M51" s="13">
        <v>5</v>
      </c>
      <c r="N51" s="13">
        <v>3</v>
      </c>
      <c r="P51" s="13"/>
      <c r="Q51" s="13"/>
      <c r="R51" s="13"/>
      <c r="S51" s="13">
        <v>5</v>
      </c>
      <c r="T51" s="13">
        <v>0</v>
      </c>
      <c r="V51" s="13">
        <v>69</v>
      </c>
      <c r="W51" s="13">
        <f>INDEX(节奏总纲!R:R,MATCH(V51,节奏总纲!O:O,0))</f>
        <v>83.894553114198303</v>
      </c>
      <c r="X51" s="13">
        <f t="shared" si="23"/>
        <v>28.614675026332883</v>
      </c>
      <c r="Z51" s="13">
        <f t="shared" si="17"/>
        <v>0</v>
      </c>
      <c r="AA51" s="13">
        <f t="shared" si="18"/>
        <v>0</v>
      </c>
      <c r="AB51" s="13">
        <f t="shared" si="19"/>
        <v>0</v>
      </c>
      <c r="AC51" s="13">
        <f t="shared" si="20"/>
        <v>35</v>
      </c>
      <c r="AD51" s="13">
        <f t="shared" si="21"/>
        <v>6</v>
      </c>
      <c r="AE51" s="13">
        <f t="shared" si="22"/>
        <v>237500</v>
      </c>
      <c r="AG51" s="13">
        <v>45</v>
      </c>
      <c r="AH51" s="13">
        <f t="shared" si="7"/>
        <v>28125</v>
      </c>
      <c r="AI51" s="13">
        <f t="shared" si="8"/>
        <v>43125</v>
      </c>
      <c r="AJ51" s="13">
        <f t="shared" si="9"/>
        <v>30000</v>
      </c>
      <c r="AK51" s="13">
        <f t="shared" si="10"/>
        <v>55714.28571428571</v>
      </c>
      <c r="AL51" s="13">
        <f t="shared" si="11"/>
        <v>107500</v>
      </c>
    </row>
    <row r="52" spans="7:38" x14ac:dyDescent="0.15">
      <c r="G52" s="3"/>
      <c r="J52" s="13"/>
      <c r="K52" s="13"/>
      <c r="L52" s="13"/>
      <c r="M52" s="13">
        <v>0</v>
      </c>
      <c r="N52" s="13">
        <v>6</v>
      </c>
      <c r="O52" s="6"/>
      <c r="P52" s="13"/>
      <c r="Q52" s="13"/>
      <c r="R52" s="13"/>
      <c r="S52" s="13"/>
      <c r="T52" s="13">
        <v>0</v>
      </c>
      <c r="U52" s="6"/>
      <c r="V52" s="13">
        <v>75</v>
      </c>
      <c r="W52" s="13">
        <f>INDEX(节奏总纲!R:R,MATCH(V52,节奏总纲!O:O,0))</f>
        <v>127.38168214210583</v>
      </c>
      <c r="X52" s="13">
        <f t="shared" si="23"/>
        <v>43.487129027907528</v>
      </c>
      <c r="Y52" s="6"/>
      <c r="Z52" s="13">
        <f t="shared" si="17"/>
        <v>0</v>
      </c>
      <c r="AA52" s="13">
        <f t="shared" si="18"/>
        <v>0</v>
      </c>
      <c r="AB52" s="13">
        <f t="shared" si="19"/>
        <v>0</v>
      </c>
      <c r="AC52" s="13">
        <f t="shared" si="20"/>
        <v>0</v>
      </c>
      <c r="AD52" s="13">
        <f t="shared" si="21"/>
        <v>12</v>
      </c>
      <c r="AE52" s="13">
        <f t="shared" si="22"/>
        <v>300000</v>
      </c>
      <c r="AG52" s="13">
        <v>46</v>
      </c>
      <c r="AH52" s="13">
        <f t="shared" si="7"/>
        <v>30000</v>
      </c>
      <c r="AI52" s="13">
        <f t="shared" si="8"/>
        <v>45000</v>
      </c>
      <c r="AJ52" s="13">
        <f t="shared" si="9"/>
        <v>32142.857142857141</v>
      </c>
      <c r="AK52" s="13">
        <f t="shared" si="10"/>
        <v>60000</v>
      </c>
      <c r="AL52" s="13">
        <f t="shared" si="11"/>
        <v>111500</v>
      </c>
    </row>
    <row r="53" spans="7:38" x14ac:dyDescent="0.15">
      <c r="G53" s="3"/>
      <c r="J53" s="13"/>
      <c r="K53" s="13"/>
      <c r="L53" s="13"/>
      <c r="M53" s="13"/>
      <c r="N53" s="13">
        <v>6</v>
      </c>
      <c r="O53" s="6"/>
      <c r="P53" s="13"/>
      <c r="Q53" s="13"/>
      <c r="R53" s="13"/>
      <c r="S53" s="13"/>
      <c r="T53" s="13">
        <v>1</v>
      </c>
      <c r="U53" s="6"/>
      <c r="V53" s="13">
        <v>84</v>
      </c>
      <c r="W53" s="13">
        <f>INDEX(节奏总纲!R:R,MATCH(V53,节奏总纲!O:O,0))</f>
        <v>237.27139072371298</v>
      </c>
      <c r="X53" s="13">
        <f t="shared" si="23"/>
        <v>109.88970858160715</v>
      </c>
      <c r="Y53" s="6"/>
      <c r="Z53" s="13">
        <f t="shared" si="17"/>
        <v>0</v>
      </c>
      <c r="AA53" s="13">
        <f t="shared" si="18"/>
        <v>0</v>
      </c>
      <c r="AB53" s="13">
        <f t="shared" si="19"/>
        <v>0</v>
      </c>
      <c r="AC53" s="13">
        <f t="shared" si="20"/>
        <v>0</v>
      </c>
      <c r="AD53" s="13">
        <f t="shared" si="21"/>
        <v>18</v>
      </c>
      <c r="AE53" s="13">
        <f t="shared" si="22"/>
        <v>450000</v>
      </c>
      <c r="AF53" s="6"/>
      <c r="AG53" s="13">
        <v>47</v>
      </c>
      <c r="AH53" s="13">
        <f t="shared" si="7"/>
        <v>32500</v>
      </c>
      <c r="AI53" s="13">
        <f t="shared" si="8"/>
        <v>47500</v>
      </c>
      <c r="AJ53" s="13">
        <f t="shared" si="9"/>
        <v>34285.714285714283</v>
      </c>
      <c r="AK53" s="13">
        <f t="shared" si="10"/>
        <v>65500</v>
      </c>
      <c r="AL53" s="13">
        <f t="shared" si="11"/>
        <v>115500</v>
      </c>
    </row>
    <row r="54" spans="7:38" x14ac:dyDescent="0.15">
      <c r="G54" s="3"/>
      <c r="I54" s="6"/>
      <c r="J54" s="13"/>
      <c r="K54" s="13"/>
      <c r="L54" s="13"/>
      <c r="M54" s="13"/>
      <c r="N54" s="13">
        <v>6</v>
      </c>
      <c r="O54" s="6"/>
      <c r="P54" s="13"/>
      <c r="Q54" s="13"/>
      <c r="R54" s="13"/>
      <c r="S54" s="13"/>
      <c r="T54" s="13">
        <v>3</v>
      </c>
      <c r="U54" s="6"/>
      <c r="V54" s="13">
        <v>91</v>
      </c>
      <c r="W54" s="13">
        <f>INDEX(节奏总纲!R:R,MATCH(V54,节奏总纲!O:O,0))</f>
        <v>378.43910205635837</v>
      </c>
      <c r="X54" s="13">
        <f t="shared" si="23"/>
        <v>141.16771133264538</v>
      </c>
      <c r="Y54" s="6"/>
      <c r="Z54" s="13">
        <f t="shared" si="17"/>
        <v>0</v>
      </c>
      <c r="AA54" s="13">
        <f t="shared" si="18"/>
        <v>0</v>
      </c>
      <c r="AB54" s="13">
        <f t="shared" si="19"/>
        <v>0</v>
      </c>
      <c r="AC54" s="13">
        <f t="shared" si="20"/>
        <v>0</v>
      </c>
      <c r="AD54" s="13">
        <f t="shared" si="21"/>
        <v>30</v>
      </c>
      <c r="AE54" s="13">
        <f t="shared" si="22"/>
        <v>750000</v>
      </c>
      <c r="AG54" s="13">
        <v>48</v>
      </c>
      <c r="AH54" s="13">
        <f t="shared" si="7"/>
        <v>35000</v>
      </c>
      <c r="AI54" s="13">
        <f t="shared" si="8"/>
        <v>50000</v>
      </c>
      <c r="AJ54" s="13">
        <f t="shared" si="9"/>
        <v>36428.571428571428</v>
      </c>
      <c r="AK54" s="13">
        <f t="shared" si="10"/>
        <v>71000</v>
      </c>
      <c r="AL54" s="13">
        <f t="shared" si="11"/>
        <v>119500</v>
      </c>
    </row>
    <row r="55" spans="7:38" x14ac:dyDescent="0.15">
      <c r="AG55" s="13">
        <v>49</v>
      </c>
      <c r="AH55" s="13">
        <f t="shared" si="7"/>
        <v>37500</v>
      </c>
      <c r="AI55" s="13">
        <f t="shared" si="8"/>
        <v>52500</v>
      </c>
      <c r="AJ55" s="13">
        <f t="shared" si="9"/>
        <v>38571.428571428572</v>
      </c>
      <c r="AK55" s="13">
        <f t="shared" si="10"/>
        <v>76500</v>
      </c>
      <c r="AL55" s="13">
        <f t="shared" si="11"/>
        <v>123500</v>
      </c>
    </row>
    <row r="56" spans="7:38" x14ac:dyDescent="0.15">
      <c r="J56" s="61" t="s">
        <v>86</v>
      </c>
      <c r="K56" s="61"/>
      <c r="L56" s="61"/>
      <c r="M56" s="61"/>
      <c r="N56" s="61"/>
      <c r="P56" s="61" t="s">
        <v>87</v>
      </c>
      <c r="Q56" s="61"/>
      <c r="R56" s="61"/>
      <c r="S56" s="61"/>
      <c r="T56" s="61"/>
      <c r="Z56" s="61" t="s">
        <v>98</v>
      </c>
      <c r="AA56" s="61"/>
      <c r="AB56" s="61"/>
      <c r="AC56" s="61"/>
      <c r="AD56" s="61"/>
      <c r="AE56" s="15"/>
      <c r="AG56" s="13">
        <v>50</v>
      </c>
      <c r="AH56" s="13">
        <f t="shared" si="7"/>
        <v>40000</v>
      </c>
      <c r="AI56" s="13">
        <f t="shared" si="8"/>
        <v>55000</v>
      </c>
      <c r="AJ56" s="13">
        <f t="shared" si="9"/>
        <v>40714.28571428571</v>
      </c>
      <c r="AK56" s="13">
        <f t="shared" si="10"/>
        <v>82000</v>
      </c>
      <c r="AL56" s="13">
        <f t="shared" si="11"/>
        <v>127500</v>
      </c>
    </row>
    <row r="57" spans="7:38" x14ac:dyDescent="0.15">
      <c r="I57" s="5" t="s">
        <v>96</v>
      </c>
      <c r="J57" s="13" t="s">
        <v>82</v>
      </c>
      <c r="K57" s="13" t="s">
        <v>83</v>
      </c>
      <c r="L57" s="13" t="s">
        <v>84</v>
      </c>
      <c r="M57" s="13" t="s">
        <v>0</v>
      </c>
      <c r="N57" s="13" t="s">
        <v>85</v>
      </c>
      <c r="P57" s="13" t="s">
        <v>82</v>
      </c>
      <c r="Q57" s="13" t="s">
        <v>83</v>
      </c>
      <c r="R57" s="13" t="s">
        <v>84</v>
      </c>
      <c r="S57" s="13" t="s">
        <v>0</v>
      </c>
      <c r="T57" s="13" t="s">
        <v>85</v>
      </c>
      <c r="V57" s="13" t="s">
        <v>99</v>
      </c>
      <c r="W57" s="13" t="s">
        <v>88</v>
      </c>
      <c r="X57" s="13" t="s">
        <v>10</v>
      </c>
      <c r="Z57" s="13" t="s">
        <v>82</v>
      </c>
      <c r="AA57" s="13" t="s">
        <v>83</v>
      </c>
      <c r="AB57" s="13" t="s">
        <v>84</v>
      </c>
      <c r="AC57" s="13" t="s">
        <v>0</v>
      </c>
      <c r="AD57" s="13" t="s">
        <v>85</v>
      </c>
      <c r="AE57" s="13" t="s">
        <v>91</v>
      </c>
      <c r="AG57" s="13">
        <v>51</v>
      </c>
      <c r="AH57" s="13">
        <f t="shared" si="7"/>
        <v>42500</v>
      </c>
      <c r="AI57" s="13">
        <f t="shared" si="8"/>
        <v>57500</v>
      </c>
      <c r="AJ57" s="13">
        <f t="shared" si="9"/>
        <v>42857.142857142855</v>
      </c>
      <c r="AK57" s="13">
        <f t="shared" si="10"/>
        <v>87500</v>
      </c>
      <c r="AL57" s="13">
        <f t="shared" si="11"/>
        <v>130312.5</v>
      </c>
    </row>
    <row r="58" spans="7:38" x14ac:dyDescent="0.15">
      <c r="J58" s="13"/>
      <c r="K58" s="13"/>
      <c r="L58" s="13">
        <v>5</v>
      </c>
      <c r="M58" s="13">
        <v>1</v>
      </c>
      <c r="N58" s="13"/>
      <c r="P58" s="13"/>
      <c r="Q58" s="13"/>
      <c r="R58" s="13">
        <v>0</v>
      </c>
      <c r="S58" s="13">
        <v>0</v>
      </c>
      <c r="T58" s="13"/>
      <c r="V58" s="13">
        <v>10</v>
      </c>
      <c r="W58" s="13">
        <f>INDEX(节奏总纲!S:S,MATCH(V58,节奏总纲!O:O,0))</f>
        <v>0.49980000000000002</v>
      </c>
      <c r="X58" s="13">
        <f>W58</f>
        <v>0.49980000000000002</v>
      </c>
      <c r="Z58" s="13">
        <f t="shared" ref="Z58:Z68" si="24">J58*INDEX($D$19:$D$26,P58+1,1)</f>
        <v>0</v>
      </c>
      <c r="AA58" s="13">
        <f t="shared" ref="AA58:AA68" si="25">K58*INDEX($D$19:$D$26,Q58+1,1)</f>
        <v>0</v>
      </c>
      <c r="AB58" s="13">
        <f t="shared" ref="AB58:AB68" si="26">L58*INDEX($D$19:$D$26,R58+1,1)</f>
        <v>5</v>
      </c>
      <c r="AC58" s="13">
        <f t="shared" ref="AC58:AC68" si="27">M58*INDEX($D$19:$D$26,S58+1,1)</f>
        <v>1</v>
      </c>
      <c r="AD58" s="13">
        <f t="shared" ref="AD58:AD68" si="28">N58*INDEX($D$19:$D$26,T58+1,1)</f>
        <v>0</v>
      </c>
      <c r="AE58" s="13">
        <f t="shared" ref="AE58:AE68" si="29">SUMPRODUCT(Z58:AD58,$C$35:$G$35)</f>
        <v>5000</v>
      </c>
      <c r="AG58" s="13">
        <v>52</v>
      </c>
      <c r="AH58" s="13">
        <f t="shared" si="7"/>
        <v>45000</v>
      </c>
      <c r="AI58" s="13">
        <f t="shared" si="8"/>
        <v>60000</v>
      </c>
      <c r="AJ58" s="13">
        <f t="shared" si="9"/>
        <v>45000</v>
      </c>
      <c r="AK58" s="13">
        <f t="shared" si="10"/>
        <v>93214.28571428571</v>
      </c>
      <c r="AL58" s="13">
        <f t="shared" si="11"/>
        <v>133125</v>
      </c>
    </row>
    <row r="59" spans="7:38" x14ac:dyDescent="0.15">
      <c r="J59" s="13"/>
      <c r="K59" s="13"/>
      <c r="L59" s="13">
        <v>3</v>
      </c>
      <c r="M59" s="13">
        <v>3</v>
      </c>
      <c r="N59" s="13"/>
      <c r="P59" s="13"/>
      <c r="Q59" s="13"/>
      <c r="R59" s="13">
        <v>0</v>
      </c>
      <c r="S59" s="13">
        <v>0</v>
      </c>
      <c r="T59" s="13"/>
      <c r="V59" s="13">
        <v>23</v>
      </c>
      <c r="W59" s="13">
        <f>INDEX(节奏总纲!T:T,MATCH(V59,节奏总纲!O:O,0))</f>
        <v>1.1608900698697047</v>
      </c>
      <c r="X59" s="13">
        <f>W59-W58</f>
        <v>0.66109006986970464</v>
      </c>
      <c r="Z59" s="13">
        <f t="shared" si="24"/>
        <v>0</v>
      </c>
      <c r="AA59" s="13">
        <f t="shared" si="25"/>
        <v>0</v>
      </c>
      <c r="AB59" s="13">
        <f t="shared" si="26"/>
        <v>3</v>
      </c>
      <c r="AC59" s="13">
        <f t="shared" si="27"/>
        <v>3</v>
      </c>
      <c r="AD59" s="13">
        <f t="shared" si="28"/>
        <v>0</v>
      </c>
      <c r="AE59" s="13">
        <f t="shared" si="29"/>
        <v>9000</v>
      </c>
      <c r="AG59" s="13">
        <v>53</v>
      </c>
      <c r="AH59" s="13">
        <f t="shared" si="7"/>
        <v>47500</v>
      </c>
      <c r="AI59" s="13">
        <f t="shared" si="8"/>
        <v>62500</v>
      </c>
      <c r="AJ59" s="13">
        <f t="shared" si="9"/>
        <v>50000</v>
      </c>
      <c r="AK59" s="13">
        <f t="shared" si="10"/>
        <v>98928.571428571435</v>
      </c>
      <c r="AL59" s="13">
        <f t="shared" si="11"/>
        <v>135937.5</v>
      </c>
    </row>
    <row r="60" spans="7:38" x14ac:dyDescent="0.15">
      <c r="J60" s="13"/>
      <c r="K60" s="13"/>
      <c r="L60" s="13"/>
      <c r="M60" s="13">
        <v>6</v>
      </c>
      <c r="N60" s="13"/>
      <c r="P60" s="13"/>
      <c r="Q60" s="13"/>
      <c r="R60" s="13"/>
      <c r="S60" s="13">
        <v>0</v>
      </c>
      <c r="T60" s="13"/>
      <c r="V60" s="13">
        <v>32</v>
      </c>
      <c r="W60" s="13">
        <f>INDEX(节奏总纲!T:T,MATCH(V60,节奏总纲!O:O,0))</f>
        <v>2.46506563883286</v>
      </c>
      <c r="X60" s="13">
        <f t="shared" ref="X60:X68" si="30">W60-W59</f>
        <v>1.3041755689631553</v>
      </c>
      <c r="Z60" s="13">
        <f t="shared" si="24"/>
        <v>0</v>
      </c>
      <c r="AA60" s="13">
        <f t="shared" si="25"/>
        <v>0</v>
      </c>
      <c r="AB60" s="13">
        <f t="shared" si="26"/>
        <v>0</v>
      </c>
      <c r="AC60" s="13">
        <f t="shared" si="27"/>
        <v>6</v>
      </c>
      <c r="AD60" s="13">
        <f t="shared" si="28"/>
        <v>0</v>
      </c>
      <c r="AE60" s="13">
        <f t="shared" si="29"/>
        <v>15000</v>
      </c>
      <c r="AG60" s="13">
        <v>54</v>
      </c>
      <c r="AH60" s="13">
        <f t="shared" si="7"/>
        <v>50000</v>
      </c>
      <c r="AI60" s="13">
        <f t="shared" si="8"/>
        <v>65000</v>
      </c>
      <c r="AJ60" s="13">
        <f t="shared" si="9"/>
        <v>55000</v>
      </c>
      <c r="AK60" s="13">
        <f t="shared" si="10"/>
        <v>104642.85714285714</v>
      </c>
      <c r="AL60" s="13">
        <f t="shared" si="11"/>
        <v>138750</v>
      </c>
    </row>
    <row r="61" spans="7:38" x14ac:dyDescent="0.15">
      <c r="J61" s="13"/>
      <c r="K61" s="13"/>
      <c r="L61" s="13"/>
      <c r="M61" s="13">
        <v>6</v>
      </c>
      <c r="N61" s="13"/>
      <c r="P61" s="13"/>
      <c r="Q61" s="13"/>
      <c r="R61" s="13"/>
      <c r="S61" s="13">
        <v>1</v>
      </c>
      <c r="T61" s="13"/>
      <c r="V61" s="13">
        <v>39</v>
      </c>
      <c r="W61" s="13">
        <f>INDEX(节奏总纲!T:T,MATCH(V61,节奏总纲!O:O,0))</f>
        <v>4.1702012426579218</v>
      </c>
      <c r="X61" s="13">
        <f t="shared" si="30"/>
        <v>1.7051356038250618</v>
      </c>
      <c r="Z61" s="13">
        <f t="shared" si="24"/>
        <v>0</v>
      </c>
      <c r="AA61" s="13">
        <f t="shared" si="25"/>
        <v>0</v>
      </c>
      <c r="AB61" s="13">
        <f t="shared" si="26"/>
        <v>0</v>
      </c>
      <c r="AC61" s="13">
        <f t="shared" si="27"/>
        <v>12</v>
      </c>
      <c r="AD61" s="13">
        <f t="shared" si="28"/>
        <v>0</v>
      </c>
      <c r="AE61" s="13">
        <f t="shared" si="29"/>
        <v>30000</v>
      </c>
      <c r="AG61" s="13">
        <v>55</v>
      </c>
      <c r="AH61" s="13">
        <f t="shared" si="7"/>
        <v>52500</v>
      </c>
      <c r="AI61" s="13">
        <f t="shared" si="8"/>
        <v>67500</v>
      </c>
      <c r="AJ61" s="13">
        <f t="shared" si="9"/>
        <v>60000</v>
      </c>
      <c r="AK61" s="13">
        <f t="shared" si="10"/>
        <v>110357.14285714286</v>
      </c>
      <c r="AL61" s="13">
        <f t="shared" si="11"/>
        <v>141562.5</v>
      </c>
    </row>
    <row r="62" spans="7:38" x14ac:dyDescent="0.15">
      <c r="J62" s="13"/>
      <c r="K62" s="13"/>
      <c r="L62" s="13"/>
      <c r="M62" s="13">
        <v>6</v>
      </c>
      <c r="N62" s="13"/>
      <c r="P62" s="13"/>
      <c r="Q62" s="13"/>
      <c r="R62" s="13"/>
      <c r="S62" s="13">
        <v>3</v>
      </c>
      <c r="T62" s="13"/>
      <c r="V62" s="13">
        <v>46</v>
      </c>
      <c r="W62" s="13">
        <f>INDEX(节奏总纲!T:T,MATCH(V62,节奏总纲!O:O,0))</f>
        <v>6.9545132006921566</v>
      </c>
      <c r="X62" s="13">
        <f t="shared" si="30"/>
        <v>2.7843119580342348</v>
      </c>
      <c r="Z62" s="13">
        <f t="shared" si="24"/>
        <v>0</v>
      </c>
      <c r="AA62" s="13">
        <f t="shared" si="25"/>
        <v>0</v>
      </c>
      <c r="AB62" s="13">
        <f t="shared" si="26"/>
        <v>0</v>
      </c>
      <c r="AC62" s="13">
        <f t="shared" si="27"/>
        <v>24</v>
      </c>
      <c r="AD62" s="13">
        <f t="shared" si="28"/>
        <v>0</v>
      </c>
      <c r="AE62" s="13">
        <f t="shared" si="29"/>
        <v>60000</v>
      </c>
      <c r="AG62" s="13">
        <v>56</v>
      </c>
      <c r="AH62" s="13">
        <f t="shared" si="7"/>
        <v>55000</v>
      </c>
      <c r="AI62" s="13">
        <f t="shared" si="8"/>
        <v>70000</v>
      </c>
      <c r="AJ62" s="13">
        <f t="shared" si="9"/>
        <v>65000</v>
      </c>
      <c r="AK62" s="13">
        <f t="shared" si="10"/>
        <v>116071.42857142858</v>
      </c>
      <c r="AL62" s="13">
        <f t="shared" si="11"/>
        <v>144375</v>
      </c>
    </row>
    <row r="63" spans="7:38" x14ac:dyDescent="0.15">
      <c r="J63" s="13"/>
      <c r="K63" s="13"/>
      <c r="L63" s="13"/>
      <c r="M63" s="13">
        <v>5</v>
      </c>
      <c r="N63" s="13">
        <v>1</v>
      </c>
      <c r="P63" s="13"/>
      <c r="Q63" s="13"/>
      <c r="R63" s="13"/>
      <c r="S63" s="13">
        <v>4</v>
      </c>
      <c r="T63" s="13">
        <v>0</v>
      </c>
      <c r="V63" s="13">
        <v>51</v>
      </c>
      <c r="W63" s="13">
        <f>INDEX(节奏总纲!T:T,MATCH(V63,节奏总纲!O:O,0))</f>
        <v>9.8458492119034169</v>
      </c>
      <c r="X63" s="13">
        <f t="shared" si="30"/>
        <v>2.8913360112112603</v>
      </c>
      <c r="Z63" s="13">
        <f t="shared" si="24"/>
        <v>0</v>
      </c>
      <c r="AA63" s="13">
        <f t="shared" si="25"/>
        <v>0</v>
      </c>
      <c r="AB63" s="13">
        <f t="shared" si="26"/>
        <v>0</v>
      </c>
      <c r="AC63" s="13">
        <f t="shared" si="27"/>
        <v>25</v>
      </c>
      <c r="AD63" s="13">
        <f t="shared" si="28"/>
        <v>1</v>
      </c>
      <c r="AE63" s="13">
        <f t="shared" si="29"/>
        <v>87500</v>
      </c>
      <c r="AG63" s="13">
        <v>57</v>
      </c>
      <c r="AH63" s="13">
        <f t="shared" si="7"/>
        <v>57500</v>
      </c>
      <c r="AI63" s="13">
        <f t="shared" si="8"/>
        <v>72500</v>
      </c>
      <c r="AJ63" s="13">
        <f t="shared" si="9"/>
        <v>70000</v>
      </c>
      <c r="AK63" s="13">
        <f t="shared" si="10"/>
        <v>121785.71428571429</v>
      </c>
      <c r="AL63" s="13">
        <f t="shared" si="11"/>
        <v>147187.5</v>
      </c>
    </row>
    <row r="64" spans="7:38" x14ac:dyDescent="0.15">
      <c r="J64" s="13"/>
      <c r="K64" s="13"/>
      <c r="L64" s="13"/>
      <c r="M64" s="13">
        <v>3</v>
      </c>
      <c r="N64" s="13">
        <v>3</v>
      </c>
      <c r="P64" s="13"/>
      <c r="Q64" s="13"/>
      <c r="R64" s="13"/>
      <c r="S64" s="13">
        <v>6</v>
      </c>
      <c r="T64" s="13">
        <v>0</v>
      </c>
      <c r="V64" s="13">
        <v>58</v>
      </c>
      <c r="W64" s="13">
        <f>INDEX(节奏总纲!T:T,MATCH(V64,节奏总纲!O:O,0))</f>
        <v>15.856475407565867</v>
      </c>
      <c r="X64" s="13">
        <f t="shared" si="30"/>
        <v>6.01062619566245</v>
      </c>
      <c r="Z64" s="13">
        <f t="shared" si="24"/>
        <v>0</v>
      </c>
      <c r="AA64" s="13">
        <f t="shared" si="25"/>
        <v>0</v>
      </c>
      <c r="AB64" s="13">
        <f t="shared" si="26"/>
        <v>0</v>
      </c>
      <c r="AC64" s="13">
        <f t="shared" si="27"/>
        <v>21</v>
      </c>
      <c r="AD64" s="13">
        <f t="shared" si="28"/>
        <v>3</v>
      </c>
      <c r="AE64" s="13">
        <f t="shared" si="29"/>
        <v>127500</v>
      </c>
      <c r="AG64" s="13">
        <v>58</v>
      </c>
      <c r="AH64" s="13">
        <f t="shared" si="7"/>
        <v>60000</v>
      </c>
      <c r="AI64" s="13">
        <f t="shared" si="8"/>
        <v>75000</v>
      </c>
      <c r="AJ64" s="13">
        <f t="shared" si="9"/>
        <v>75000</v>
      </c>
      <c r="AK64" s="13">
        <f t="shared" si="10"/>
        <v>127500</v>
      </c>
      <c r="AL64" s="13">
        <f t="shared" si="11"/>
        <v>150000</v>
      </c>
    </row>
    <row r="65" spans="9:38" x14ac:dyDescent="0.15">
      <c r="I65" s="6"/>
      <c r="J65" s="13"/>
      <c r="K65" s="13"/>
      <c r="L65" s="13"/>
      <c r="M65" s="13">
        <v>0</v>
      </c>
      <c r="N65" s="13">
        <v>6</v>
      </c>
      <c r="P65" s="13"/>
      <c r="Q65" s="13"/>
      <c r="R65" s="13"/>
      <c r="S65" s="13"/>
      <c r="T65" s="13">
        <v>0</v>
      </c>
      <c r="V65" s="13">
        <v>64</v>
      </c>
      <c r="W65" s="13">
        <f>INDEX(节奏总纲!T:T,MATCH(V65,节奏总纲!O:O,0))</f>
        <v>24.341929284637001</v>
      </c>
      <c r="X65" s="13">
        <f t="shared" si="30"/>
        <v>8.4854538770711336</v>
      </c>
      <c r="Z65" s="13">
        <f t="shared" si="24"/>
        <v>0</v>
      </c>
      <c r="AA65" s="13">
        <f t="shared" si="25"/>
        <v>0</v>
      </c>
      <c r="AB65" s="13">
        <f t="shared" si="26"/>
        <v>0</v>
      </c>
      <c r="AC65" s="13">
        <f t="shared" si="27"/>
        <v>0</v>
      </c>
      <c r="AD65" s="13">
        <f t="shared" si="28"/>
        <v>6</v>
      </c>
      <c r="AE65" s="13">
        <f t="shared" si="29"/>
        <v>150000</v>
      </c>
      <c r="AG65" s="13">
        <v>59</v>
      </c>
      <c r="AH65" s="13">
        <f t="shared" si="7"/>
        <v>65000</v>
      </c>
      <c r="AI65" s="13">
        <f t="shared" si="8"/>
        <v>75555.555555555562</v>
      </c>
      <c r="AJ65" s="13">
        <f t="shared" si="9"/>
        <v>82500</v>
      </c>
      <c r="AK65" s="13">
        <f t="shared" si="10"/>
        <v>131250</v>
      </c>
      <c r="AL65" s="13">
        <f t="shared" si="11"/>
        <v>168750</v>
      </c>
    </row>
    <row r="66" spans="9:38" x14ac:dyDescent="0.15">
      <c r="I66" s="6"/>
      <c r="J66" s="13"/>
      <c r="K66" s="13"/>
      <c r="L66" s="13"/>
      <c r="M66" s="13"/>
      <c r="N66" s="13">
        <v>6</v>
      </c>
      <c r="P66" s="13"/>
      <c r="Q66" s="13"/>
      <c r="R66" s="13"/>
      <c r="S66" s="13"/>
      <c r="T66" s="13">
        <v>1</v>
      </c>
      <c r="V66" s="13">
        <v>70</v>
      </c>
      <c r="W66" s="13">
        <f>INDEX(节奏总纲!T:T,MATCH(V66,节奏总纲!O:O,0))</f>
        <v>36.4998</v>
      </c>
      <c r="X66" s="13">
        <f t="shared" si="30"/>
        <v>12.157870715363</v>
      </c>
      <c r="Z66" s="13">
        <f t="shared" si="24"/>
        <v>0</v>
      </c>
      <c r="AA66" s="13">
        <f t="shared" si="25"/>
        <v>0</v>
      </c>
      <c r="AB66" s="13">
        <f t="shared" si="26"/>
        <v>0</v>
      </c>
      <c r="AC66" s="13">
        <f t="shared" si="27"/>
        <v>0</v>
      </c>
      <c r="AD66" s="13">
        <f t="shared" si="28"/>
        <v>12</v>
      </c>
      <c r="AE66" s="13">
        <f t="shared" si="29"/>
        <v>300000</v>
      </c>
      <c r="AG66" s="13">
        <v>60</v>
      </c>
      <c r="AH66" s="13">
        <f t="shared" si="7"/>
        <v>70000</v>
      </c>
      <c r="AI66" s="13">
        <f t="shared" si="8"/>
        <v>76111.111111111109</v>
      </c>
      <c r="AJ66" s="13">
        <f t="shared" si="9"/>
        <v>90000</v>
      </c>
      <c r="AK66" s="13">
        <f t="shared" si="10"/>
        <v>135000</v>
      </c>
      <c r="AL66" s="13">
        <f t="shared" si="11"/>
        <v>187500</v>
      </c>
    </row>
    <row r="67" spans="9:38" x14ac:dyDescent="0.15">
      <c r="J67" s="13"/>
      <c r="K67" s="13"/>
      <c r="L67" s="13"/>
      <c r="M67" s="13"/>
      <c r="N67" s="13">
        <v>6</v>
      </c>
      <c r="O67" s="6"/>
      <c r="P67" s="13"/>
      <c r="Q67" s="13"/>
      <c r="R67" s="13"/>
      <c r="S67" s="13"/>
      <c r="T67" s="13">
        <v>3</v>
      </c>
      <c r="U67" s="6"/>
      <c r="V67" s="13">
        <v>75</v>
      </c>
      <c r="W67" s="13">
        <f>INDEX(节奏总纲!T:T,MATCH(V67,节奏总纲!O:O,0))</f>
        <v>51.755559095329879</v>
      </c>
      <c r="X67" s="13">
        <f t="shared" si="30"/>
        <v>15.255759095329879</v>
      </c>
      <c r="Y67" s="6"/>
      <c r="Z67" s="13">
        <f t="shared" si="24"/>
        <v>0</v>
      </c>
      <c r="AA67" s="13">
        <f t="shared" si="25"/>
        <v>0</v>
      </c>
      <c r="AB67" s="13">
        <f t="shared" si="26"/>
        <v>0</v>
      </c>
      <c r="AC67" s="13">
        <f t="shared" si="27"/>
        <v>0</v>
      </c>
      <c r="AD67" s="13">
        <f t="shared" si="28"/>
        <v>24</v>
      </c>
      <c r="AE67" s="13">
        <f t="shared" si="29"/>
        <v>600000</v>
      </c>
      <c r="AG67" s="13">
        <v>61</v>
      </c>
      <c r="AH67" s="13">
        <f t="shared" si="7"/>
        <v>75000</v>
      </c>
      <c r="AI67" s="13">
        <f t="shared" si="8"/>
        <v>76666.666666666672</v>
      </c>
      <c r="AJ67" s="13">
        <f t="shared" si="9"/>
        <v>97500</v>
      </c>
      <c r="AK67" s="13">
        <f t="shared" si="10"/>
        <v>138750</v>
      </c>
      <c r="AL67" s="13">
        <f t="shared" si="11"/>
        <v>206250</v>
      </c>
    </row>
    <row r="68" spans="9:38" x14ac:dyDescent="0.15">
      <c r="J68" s="13"/>
      <c r="K68" s="13"/>
      <c r="L68" s="13"/>
      <c r="M68" s="13"/>
      <c r="N68" s="13">
        <v>6</v>
      </c>
      <c r="O68" s="6"/>
      <c r="P68" s="13"/>
      <c r="Q68" s="13"/>
      <c r="R68" s="13"/>
      <c r="S68" s="13"/>
      <c r="T68" s="13">
        <v>7</v>
      </c>
      <c r="U68" s="6"/>
      <c r="V68" s="13">
        <v>82</v>
      </c>
      <c r="W68" s="13">
        <f>INDEX(节奏总纲!T:T,MATCH(V68,节奏总纲!O:O,0))</f>
        <v>83.230965201704336</v>
      </c>
      <c r="X68" s="13">
        <f t="shared" si="30"/>
        <v>31.475406106374457</v>
      </c>
      <c r="Y68" s="6"/>
      <c r="Z68" s="13">
        <f t="shared" si="24"/>
        <v>0</v>
      </c>
      <c r="AA68" s="13">
        <f t="shared" si="25"/>
        <v>0</v>
      </c>
      <c r="AB68" s="13">
        <f t="shared" si="26"/>
        <v>0</v>
      </c>
      <c r="AC68" s="13">
        <f t="shared" si="27"/>
        <v>0</v>
      </c>
      <c r="AD68" s="13">
        <f t="shared" si="28"/>
        <v>48</v>
      </c>
      <c r="AE68" s="13">
        <f t="shared" si="29"/>
        <v>1200000</v>
      </c>
      <c r="AG68" s="13">
        <v>62</v>
      </c>
      <c r="AH68" s="13">
        <f t="shared" si="7"/>
        <v>80000</v>
      </c>
      <c r="AI68" s="13">
        <f t="shared" si="8"/>
        <v>77222.222222222219</v>
      </c>
      <c r="AJ68" s="13">
        <f t="shared" si="9"/>
        <v>105000</v>
      </c>
      <c r="AK68" s="13">
        <f t="shared" si="10"/>
        <v>142500</v>
      </c>
      <c r="AL68" s="13">
        <f t="shared" si="11"/>
        <v>225000</v>
      </c>
    </row>
    <row r="69" spans="9:38" x14ac:dyDescent="0.15">
      <c r="AG69" s="13">
        <v>63</v>
      </c>
      <c r="AH69" s="13">
        <f t="shared" si="7"/>
        <v>85000</v>
      </c>
      <c r="AI69" s="13">
        <f t="shared" si="8"/>
        <v>77777.777777777781</v>
      </c>
      <c r="AJ69" s="13">
        <f t="shared" si="9"/>
        <v>112500</v>
      </c>
      <c r="AK69" s="13">
        <f t="shared" si="10"/>
        <v>146250</v>
      </c>
      <c r="AL69" s="13">
        <f t="shared" si="11"/>
        <v>243750</v>
      </c>
    </row>
    <row r="70" spans="9:38" x14ac:dyDescent="0.15">
      <c r="J70" s="61" t="s">
        <v>86</v>
      </c>
      <c r="K70" s="61"/>
      <c r="L70" s="61"/>
      <c r="M70" s="61"/>
      <c r="N70" s="61"/>
      <c r="P70" s="61" t="s">
        <v>87</v>
      </c>
      <c r="Q70" s="61"/>
      <c r="R70" s="61"/>
      <c r="S70" s="61"/>
      <c r="T70" s="61"/>
      <c r="Z70" s="61" t="s">
        <v>98</v>
      </c>
      <c r="AA70" s="61"/>
      <c r="AB70" s="61"/>
      <c r="AC70" s="61"/>
      <c r="AD70" s="61"/>
      <c r="AE70" s="15"/>
      <c r="AG70" s="13">
        <v>64</v>
      </c>
      <c r="AH70" s="13">
        <f t="shared" si="7"/>
        <v>90000</v>
      </c>
      <c r="AI70" s="13">
        <f t="shared" si="8"/>
        <v>78333.333333333328</v>
      </c>
      <c r="AJ70" s="13">
        <f t="shared" si="9"/>
        <v>133333.33333333334</v>
      </c>
      <c r="AK70" s="13">
        <f t="shared" si="10"/>
        <v>150000</v>
      </c>
      <c r="AL70" s="13">
        <f t="shared" si="11"/>
        <v>262500</v>
      </c>
    </row>
    <row r="71" spans="9:38" x14ac:dyDescent="0.15">
      <c r="I71" s="5" t="s">
        <v>105</v>
      </c>
      <c r="J71" s="13" t="s">
        <v>82</v>
      </c>
      <c r="K71" s="13" t="s">
        <v>83</v>
      </c>
      <c r="L71" s="13" t="s">
        <v>84</v>
      </c>
      <c r="M71" s="13" t="s">
        <v>0</v>
      </c>
      <c r="N71" s="13" t="s">
        <v>85</v>
      </c>
      <c r="P71" s="13" t="s">
        <v>82</v>
      </c>
      <c r="Q71" s="13" t="s">
        <v>83</v>
      </c>
      <c r="R71" s="13" t="s">
        <v>84</v>
      </c>
      <c r="S71" s="13" t="s">
        <v>0</v>
      </c>
      <c r="T71" s="13" t="s">
        <v>85</v>
      </c>
      <c r="V71" s="13" t="s">
        <v>99</v>
      </c>
      <c r="W71" s="13" t="s">
        <v>88</v>
      </c>
      <c r="X71" s="13" t="s">
        <v>92</v>
      </c>
      <c r="Z71" s="13" t="s">
        <v>82</v>
      </c>
      <c r="AA71" s="13" t="s">
        <v>83</v>
      </c>
      <c r="AB71" s="13" t="s">
        <v>84</v>
      </c>
      <c r="AC71" s="13" t="s">
        <v>0</v>
      </c>
      <c r="AD71" s="13" t="s">
        <v>85</v>
      </c>
      <c r="AE71" s="13" t="s">
        <v>91</v>
      </c>
      <c r="AG71" s="13">
        <v>65</v>
      </c>
      <c r="AH71" s="13">
        <f t="shared" si="7"/>
        <v>95000</v>
      </c>
      <c r="AI71" s="13">
        <f t="shared" si="8"/>
        <v>78888.888888888891</v>
      </c>
      <c r="AJ71" s="13">
        <f t="shared" si="9"/>
        <v>154166.66666666666</v>
      </c>
      <c r="AK71" s="13">
        <f t="shared" si="10"/>
        <v>175000</v>
      </c>
      <c r="AL71" s="13">
        <f t="shared" si="11"/>
        <v>281250</v>
      </c>
    </row>
    <row r="72" spans="9:38" x14ac:dyDescent="0.15">
      <c r="J72" s="13"/>
      <c r="K72" s="13"/>
      <c r="L72" s="13">
        <v>0</v>
      </c>
      <c r="M72" s="13">
        <v>6</v>
      </c>
      <c r="N72" s="13"/>
      <c r="P72" s="13"/>
      <c r="Q72" s="13"/>
      <c r="R72" s="13"/>
      <c r="S72" s="13">
        <v>0</v>
      </c>
      <c r="T72" s="13"/>
      <c r="V72" s="13">
        <v>10</v>
      </c>
      <c r="W72" s="13">
        <f>INDEX(节奏总纲!T:T,MATCH(V72,节奏总纲!O:O,0))</f>
        <v>0.2732</v>
      </c>
      <c r="X72" s="13">
        <f>W72</f>
        <v>0.2732</v>
      </c>
      <c r="Z72" s="13">
        <f t="shared" ref="Z72:Z80" si="31">J72*INDEX($D$19:$D$26,P72+1,1)</f>
        <v>0</v>
      </c>
      <c r="AA72" s="13">
        <f t="shared" ref="AA72:AA80" si="32">K72*INDEX($D$19:$D$26,Q72+1,1)</f>
        <v>0</v>
      </c>
      <c r="AB72" s="13">
        <f t="shared" ref="AB72:AB80" si="33">L72*INDEX($D$19:$D$26,R72+1,1)</f>
        <v>0</v>
      </c>
      <c r="AC72" s="13">
        <f t="shared" ref="AC72:AC80" si="34">M72*INDEX($D$19:$D$26,S72+1,1)</f>
        <v>6</v>
      </c>
      <c r="AD72" s="13">
        <f t="shared" ref="AD72:AD80" si="35">N72*INDEX($D$19:$D$26,T72+1,1)</f>
        <v>0</v>
      </c>
      <c r="AE72" s="13">
        <f t="shared" ref="AE72:AE80" si="36">SUMPRODUCT(Z72:AD72,$C$35:$G$35)</f>
        <v>15000</v>
      </c>
      <c r="AG72" s="13">
        <v>66</v>
      </c>
      <c r="AH72" s="13">
        <f t="shared" ref="AH72:AH106" si="37">求节点($V$7:$V$20,$AE$7:$AE$20,AG72)</f>
        <v>100000</v>
      </c>
      <c r="AI72" s="13">
        <f t="shared" ref="AI72:AI106" si="38">求节点($V$27:$V$39,$AE$27:$AE$39,AG72)</f>
        <v>79444.444444444438</v>
      </c>
      <c r="AJ72" s="13">
        <f t="shared" ref="AJ72:AJ106" si="39">求节点($V$43:$V$54,$AE$43:$AE$54,AG72)</f>
        <v>175000</v>
      </c>
      <c r="AK72" s="13">
        <f t="shared" ref="AK72:AK106" si="40">求节点($V$58:$V$68,$AE$58:$AE$68,AG72)</f>
        <v>200000</v>
      </c>
      <c r="AL72" s="13">
        <f t="shared" ref="AL72:AL106" si="41">求节点($V$72:$V$80,$AE$72:$AE$80,AG72)</f>
        <v>300000</v>
      </c>
    </row>
    <row r="73" spans="9:38" x14ac:dyDescent="0.15">
      <c r="J73" s="13"/>
      <c r="K73" s="13"/>
      <c r="L73" s="13"/>
      <c r="M73" s="13">
        <v>6</v>
      </c>
      <c r="N73" s="13"/>
      <c r="P73" s="13"/>
      <c r="Q73" s="13"/>
      <c r="R73" s="13"/>
      <c r="S73" s="13">
        <v>1</v>
      </c>
      <c r="T73" s="13"/>
      <c r="V73" s="13">
        <v>20</v>
      </c>
      <c r="W73" s="13">
        <f>INDEX(节奏总纲!T:T,MATCH(V73,节奏总纲!O:O,0))</f>
        <v>0.87990000000000002</v>
      </c>
      <c r="X73" s="13">
        <f>W73-W72</f>
        <v>0.60670000000000002</v>
      </c>
      <c r="Z73" s="13">
        <f t="shared" si="31"/>
        <v>0</v>
      </c>
      <c r="AA73" s="13">
        <f t="shared" si="32"/>
        <v>0</v>
      </c>
      <c r="AB73" s="13">
        <f t="shared" si="33"/>
        <v>0</v>
      </c>
      <c r="AC73" s="13">
        <f t="shared" si="34"/>
        <v>12</v>
      </c>
      <c r="AD73" s="13">
        <f t="shared" si="35"/>
        <v>0</v>
      </c>
      <c r="AE73" s="13">
        <f t="shared" si="36"/>
        <v>30000</v>
      </c>
      <c r="AG73" s="13">
        <v>67</v>
      </c>
      <c r="AH73" s="13">
        <f t="shared" si="37"/>
        <v>105000</v>
      </c>
      <c r="AI73" s="13">
        <f t="shared" si="38"/>
        <v>80000</v>
      </c>
      <c r="AJ73" s="13">
        <f t="shared" si="39"/>
        <v>195833.33333333331</v>
      </c>
      <c r="AK73" s="13">
        <f t="shared" si="40"/>
        <v>225000</v>
      </c>
      <c r="AL73" s="13">
        <f t="shared" si="41"/>
        <v>350000</v>
      </c>
    </row>
    <row r="74" spans="9:38" x14ac:dyDescent="0.15">
      <c r="J74" s="13"/>
      <c r="K74" s="13"/>
      <c r="L74" s="13"/>
      <c r="M74" s="13">
        <v>6</v>
      </c>
      <c r="N74" s="13"/>
      <c r="P74" s="13"/>
      <c r="Q74" s="13"/>
      <c r="R74" s="13"/>
      <c r="S74" s="13">
        <v>3</v>
      </c>
      <c r="T74" s="13"/>
      <c r="V74" s="13">
        <v>30</v>
      </c>
      <c r="W74" s="13">
        <f>INDEX(节奏总纲!T:T,MATCH(V74,节奏总纲!O:O,0))</f>
        <v>2.1006999999999998</v>
      </c>
      <c r="X74" s="13">
        <f t="shared" ref="X74:X80" si="42">W74-W73</f>
        <v>1.2207999999999997</v>
      </c>
      <c r="Z74" s="13">
        <f t="shared" si="31"/>
        <v>0</v>
      </c>
      <c r="AA74" s="13">
        <f t="shared" si="32"/>
        <v>0</v>
      </c>
      <c r="AB74" s="13">
        <f t="shared" si="33"/>
        <v>0</v>
      </c>
      <c r="AC74" s="13">
        <f t="shared" si="34"/>
        <v>24</v>
      </c>
      <c r="AD74" s="13">
        <f t="shared" si="35"/>
        <v>0</v>
      </c>
      <c r="AE74" s="13">
        <f t="shared" si="36"/>
        <v>60000</v>
      </c>
      <c r="AG74" s="13">
        <v>68</v>
      </c>
      <c r="AH74" s="13">
        <f t="shared" si="37"/>
        <v>25000</v>
      </c>
      <c r="AI74" s="13">
        <f t="shared" si="38"/>
        <v>150000</v>
      </c>
      <c r="AJ74" s="13">
        <f t="shared" si="39"/>
        <v>216666.66666666666</v>
      </c>
      <c r="AK74" s="13">
        <f t="shared" si="40"/>
        <v>250000</v>
      </c>
      <c r="AL74" s="13">
        <f t="shared" si="41"/>
        <v>400000</v>
      </c>
    </row>
    <row r="75" spans="9:38" x14ac:dyDescent="0.15">
      <c r="J75" s="13"/>
      <c r="K75" s="13"/>
      <c r="L75" s="13"/>
      <c r="M75" s="13">
        <v>5</v>
      </c>
      <c r="N75" s="13">
        <v>1</v>
      </c>
      <c r="P75" s="13"/>
      <c r="Q75" s="13"/>
      <c r="R75" s="13"/>
      <c r="S75" s="13">
        <v>4</v>
      </c>
      <c r="T75" s="13">
        <v>0</v>
      </c>
      <c r="V75" s="13">
        <v>40</v>
      </c>
      <c r="W75" s="13">
        <f>INDEX(节奏总纲!T:T,MATCH(V75,节奏总纲!O:O,0))</f>
        <v>4.5</v>
      </c>
      <c r="X75" s="13">
        <f t="shared" si="42"/>
        <v>2.3993000000000002</v>
      </c>
      <c r="Z75" s="13">
        <f t="shared" si="31"/>
        <v>0</v>
      </c>
      <c r="AA75" s="13">
        <f t="shared" si="32"/>
        <v>0</v>
      </c>
      <c r="AB75" s="13">
        <f t="shared" si="33"/>
        <v>0</v>
      </c>
      <c r="AC75" s="13">
        <f t="shared" si="34"/>
        <v>25</v>
      </c>
      <c r="AD75" s="13">
        <f t="shared" si="35"/>
        <v>1</v>
      </c>
      <c r="AE75" s="13">
        <f t="shared" si="36"/>
        <v>87500</v>
      </c>
      <c r="AG75" s="13">
        <v>69</v>
      </c>
      <c r="AH75" s="13">
        <f t="shared" si="37"/>
        <v>28571.428571428572</v>
      </c>
      <c r="AI75" s="13">
        <f t="shared" si="38"/>
        <v>135714.28571428571</v>
      </c>
      <c r="AJ75" s="13">
        <f t="shared" si="39"/>
        <v>237500</v>
      </c>
      <c r="AK75" s="13">
        <f t="shared" si="40"/>
        <v>275000</v>
      </c>
      <c r="AL75" s="13">
        <f t="shared" si="41"/>
        <v>450000</v>
      </c>
    </row>
    <row r="76" spans="9:38" x14ac:dyDescent="0.15">
      <c r="J76" s="13"/>
      <c r="K76" s="13"/>
      <c r="L76" s="13"/>
      <c r="M76" s="13">
        <v>3</v>
      </c>
      <c r="N76" s="13">
        <v>3</v>
      </c>
      <c r="P76" s="13"/>
      <c r="Q76" s="13"/>
      <c r="R76" s="13"/>
      <c r="S76" s="13">
        <v>6</v>
      </c>
      <c r="T76" s="13">
        <v>0</v>
      </c>
      <c r="V76" s="13">
        <v>50</v>
      </c>
      <c r="W76" s="13">
        <f>INDEX(节奏总纲!T:T,MATCH(V76,节奏总纲!O:O,0))</f>
        <v>9.1883999999999997</v>
      </c>
      <c r="X76" s="13">
        <f t="shared" si="42"/>
        <v>4.6883999999999997</v>
      </c>
      <c r="Z76" s="13">
        <f t="shared" si="31"/>
        <v>0</v>
      </c>
      <c r="AA76" s="13">
        <f t="shared" si="32"/>
        <v>0</v>
      </c>
      <c r="AB76" s="13">
        <f t="shared" si="33"/>
        <v>0</v>
      </c>
      <c r="AC76" s="13">
        <f t="shared" si="34"/>
        <v>21</v>
      </c>
      <c r="AD76" s="13">
        <f t="shared" si="35"/>
        <v>3</v>
      </c>
      <c r="AE76" s="13">
        <f t="shared" si="36"/>
        <v>127500</v>
      </c>
      <c r="AG76" s="13">
        <v>70</v>
      </c>
      <c r="AH76" s="13">
        <f t="shared" si="37"/>
        <v>32142.857142857145</v>
      </c>
      <c r="AI76" s="13">
        <f t="shared" si="38"/>
        <v>121428.57142857142</v>
      </c>
      <c r="AJ76" s="13">
        <f t="shared" si="39"/>
        <v>247916.66666666666</v>
      </c>
      <c r="AK76" s="13">
        <f t="shared" si="40"/>
        <v>300000</v>
      </c>
      <c r="AL76" s="13">
        <f t="shared" si="41"/>
        <v>500000</v>
      </c>
    </row>
    <row r="77" spans="9:38" x14ac:dyDescent="0.15">
      <c r="J77" s="13"/>
      <c r="K77" s="13"/>
      <c r="L77" s="13"/>
      <c r="M77" s="13"/>
      <c r="N77" s="13">
        <v>6</v>
      </c>
      <c r="P77" s="13"/>
      <c r="Q77" s="13"/>
      <c r="R77" s="13"/>
      <c r="S77" s="13"/>
      <c r="T77" s="13">
        <v>0</v>
      </c>
      <c r="V77" s="13">
        <v>58</v>
      </c>
      <c r="W77" s="13">
        <f>INDEX(节奏总纲!T:T,MATCH(V77,节奏总纲!O:O,0))</f>
        <v>15.856475407565867</v>
      </c>
      <c r="X77" s="13">
        <f t="shared" si="42"/>
        <v>6.6680754075658673</v>
      </c>
      <c r="Z77" s="13">
        <f t="shared" si="31"/>
        <v>0</v>
      </c>
      <c r="AA77" s="13">
        <f t="shared" si="32"/>
        <v>0</v>
      </c>
      <c r="AB77" s="13">
        <f t="shared" si="33"/>
        <v>0</v>
      </c>
      <c r="AC77" s="13">
        <f t="shared" si="34"/>
        <v>0</v>
      </c>
      <c r="AD77" s="13">
        <f t="shared" si="35"/>
        <v>6</v>
      </c>
      <c r="AE77" s="13">
        <f t="shared" si="36"/>
        <v>150000</v>
      </c>
      <c r="AG77" s="13">
        <v>71</v>
      </c>
      <c r="AH77" s="13">
        <f t="shared" si="37"/>
        <v>35714.28571428571</v>
      </c>
      <c r="AI77" s="13">
        <f t="shared" si="38"/>
        <v>107142.85714285714</v>
      </c>
      <c r="AJ77" s="13">
        <f t="shared" si="39"/>
        <v>258333.33333333334</v>
      </c>
      <c r="AK77" s="13">
        <f t="shared" si="40"/>
        <v>360000</v>
      </c>
      <c r="AL77" s="13">
        <f t="shared" si="41"/>
        <v>550000</v>
      </c>
    </row>
    <row r="78" spans="9:38" x14ac:dyDescent="0.15">
      <c r="J78" s="13"/>
      <c r="K78" s="13"/>
      <c r="L78" s="13"/>
      <c r="M78" s="13"/>
      <c r="N78" s="13">
        <v>6</v>
      </c>
      <c r="P78" s="13"/>
      <c r="Q78" s="13"/>
      <c r="R78" s="13"/>
      <c r="S78" s="13"/>
      <c r="T78" s="13">
        <v>1</v>
      </c>
      <c r="V78" s="13">
        <v>66</v>
      </c>
      <c r="W78" s="13">
        <f>INDEX(节奏总纲!T:T,MATCH(V78,节奏总纲!O:O,0))</f>
        <v>27.851300060458648</v>
      </c>
      <c r="X78" s="13">
        <f t="shared" si="42"/>
        <v>11.994824652892781</v>
      </c>
      <c r="Z78" s="13">
        <f t="shared" si="31"/>
        <v>0</v>
      </c>
      <c r="AA78" s="13">
        <f t="shared" si="32"/>
        <v>0</v>
      </c>
      <c r="AB78" s="13">
        <f t="shared" si="33"/>
        <v>0</v>
      </c>
      <c r="AC78" s="13">
        <f t="shared" si="34"/>
        <v>0</v>
      </c>
      <c r="AD78" s="13">
        <f t="shared" si="35"/>
        <v>12</v>
      </c>
      <c r="AE78" s="13">
        <f t="shared" si="36"/>
        <v>300000</v>
      </c>
      <c r="AG78" s="13">
        <v>72</v>
      </c>
      <c r="AH78" s="13">
        <f t="shared" si="37"/>
        <v>39285.71428571429</v>
      </c>
      <c r="AI78" s="13">
        <f t="shared" si="38"/>
        <v>92857.142857142855</v>
      </c>
      <c r="AJ78" s="13">
        <f t="shared" si="39"/>
        <v>268750</v>
      </c>
      <c r="AK78" s="13">
        <f t="shared" si="40"/>
        <v>420000</v>
      </c>
      <c r="AL78" s="13">
        <f t="shared" si="41"/>
        <v>600000</v>
      </c>
    </row>
    <row r="79" spans="9:38" x14ac:dyDescent="0.15">
      <c r="J79" s="13"/>
      <c r="K79" s="13"/>
      <c r="L79" s="13"/>
      <c r="M79" s="13"/>
      <c r="N79" s="13">
        <v>6</v>
      </c>
      <c r="P79" s="13"/>
      <c r="Q79" s="13"/>
      <c r="R79" s="13"/>
      <c r="S79" s="13"/>
      <c r="T79" s="13">
        <v>3</v>
      </c>
      <c r="V79" s="13">
        <v>72</v>
      </c>
      <c r="W79" s="13">
        <f>INDEX(节奏总纲!T:T,MATCH(V79,节奏总纲!O:O,0))</f>
        <v>41.896979430227098</v>
      </c>
      <c r="X79" s="13">
        <f t="shared" si="42"/>
        <v>14.04567936976845</v>
      </c>
      <c r="Z79" s="13">
        <f t="shared" si="31"/>
        <v>0</v>
      </c>
      <c r="AA79" s="13">
        <f t="shared" si="32"/>
        <v>0</v>
      </c>
      <c r="AB79" s="13">
        <f t="shared" si="33"/>
        <v>0</v>
      </c>
      <c r="AC79" s="13">
        <f t="shared" si="34"/>
        <v>0</v>
      </c>
      <c r="AD79" s="13">
        <f t="shared" si="35"/>
        <v>24</v>
      </c>
      <c r="AE79" s="13">
        <f t="shared" si="36"/>
        <v>600000</v>
      </c>
      <c r="AG79" s="13">
        <v>73</v>
      </c>
      <c r="AH79" s="13">
        <f t="shared" si="37"/>
        <v>42857.142857142855</v>
      </c>
      <c r="AI79" s="13">
        <f t="shared" si="38"/>
        <v>78571.428571428565</v>
      </c>
      <c r="AJ79" s="13">
        <f t="shared" si="39"/>
        <v>279166.66666666669</v>
      </c>
      <c r="AK79" s="13">
        <f t="shared" si="40"/>
        <v>480000</v>
      </c>
      <c r="AL79" s="13">
        <f t="shared" si="41"/>
        <v>720000</v>
      </c>
    </row>
    <row r="80" spans="9:38" x14ac:dyDescent="0.15">
      <c r="J80" s="13"/>
      <c r="K80" s="13"/>
      <c r="L80" s="13"/>
      <c r="M80" s="13"/>
      <c r="N80" s="13">
        <v>6</v>
      </c>
      <c r="P80" s="13"/>
      <c r="Q80" s="13"/>
      <c r="R80" s="13"/>
      <c r="S80" s="13"/>
      <c r="T80" s="13">
        <v>7</v>
      </c>
      <c r="V80" s="13">
        <v>77</v>
      </c>
      <c r="W80" s="13">
        <f>INDEX(节奏总纲!T:T,MATCH(V80,节奏总纲!O:O,0))</f>
        <v>59.535663694512365</v>
      </c>
      <c r="X80" s="13">
        <f t="shared" si="42"/>
        <v>17.638684264285267</v>
      </c>
      <c r="Z80" s="13">
        <f t="shared" si="31"/>
        <v>0</v>
      </c>
      <c r="AA80" s="13">
        <f t="shared" si="32"/>
        <v>0</v>
      </c>
      <c r="AB80" s="13">
        <f t="shared" si="33"/>
        <v>0</v>
      </c>
      <c r="AC80" s="13">
        <f t="shared" si="34"/>
        <v>0</v>
      </c>
      <c r="AD80" s="13">
        <f t="shared" si="35"/>
        <v>48</v>
      </c>
      <c r="AE80" s="13">
        <f t="shared" si="36"/>
        <v>1200000</v>
      </c>
      <c r="AG80" s="13">
        <v>74</v>
      </c>
      <c r="AH80" s="13">
        <f t="shared" si="37"/>
        <v>46428.571428571428</v>
      </c>
      <c r="AI80" s="13">
        <f t="shared" si="38"/>
        <v>64285.71428571429</v>
      </c>
      <c r="AJ80" s="13">
        <f t="shared" si="39"/>
        <v>289583.33333333331</v>
      </c>
      <c r="AK80" s="13">
        <f t="shared" si="40"/>
        <v>540000</v>
      </c>
      <c r="AL80" s="13">
        <f t="shared" si="41"/>
        <v>840000</v>
      </c>
    </row>
    <row r="81" spans="9:38" x14ac:dyDescent="0.15">
      <c r="AG81" s="13">
        <v>75</v>
      </c>
      <c r="AH81" s="13">
        <f t="shared" si="37"/>
        <v>50000</v>
      </c>
      <c r="AI81" s="13">
        <f t="shared" si="38"/>
        <v>50000</v>
      </c>
      <c r="AJ81" s="13">
        <f t="shared" si="39"/>
        <v>300000</v>
      </c>
      <c r="AK81" s="13">
        <f t="shared" si="40"/>
        <v>600000</v>
      </c>
      <c r="AL81" s="13">
        <f t="shared" si="41"/>
        <v>960000</v>
      </c>
    </row>
    <row r="82" spans="9:38" x14ac:dyDescent="0.15">
      <c r="AG82" s="13">
        <v>76</v>
      </c>
      <c r="AH82" s="13">
        <f t="shared" si="37"/>
        <v>55000</v>
      </c>
      <c r="AI82" s="13">
        <f t="shared" si="38"/>
        <v>55000</v>
      </c>
      <c r="AJ82" s="13">
        <f t="shared" si="39"/>
        <v>316666.66666666669</v>
      </c>
      <c r="AK82" s="13">
        <f t="shared" si="40"/>
        <v>685714.28571428568</v>
      </c>
      <c r="AL82" s="13">
        <f t="shared" si="41"/>
        <v>1080000</v>
      </c>
    </row>
    <row r="83" spans="9:38" x14ac:dyDescent="0.15">
      <c r="AG83" s="13">
        <v>77</v>
      </c>
      <c r="AH83" s="13">
        <f t="shared" si="37"/>
        <v>60000</v>
      </c>
      <c r="AI83" s="13">
        <f t="shared" si="38"/>
        <v>60000</v>
      </c>
      <c r="AJ83" s="13">
        <f t="shared" si="39"/>
        <v>333333.33333333331</v>
      </c>
      <c r="AK83" s="13">
        <f t="shared" si="40"/>
        <v>771428.57142857136</v>
      </c>
      <c r="AL83" s="13">
        <f t="shared" si="41"/>
        <v>1200000</v>
      </c>
    </row>
    <row r="84" spans="9:38" x14ac:dyDescent="0.15">
      <c r="AG84" s="13">
        <v>78</v>
      </c>
      <c r="AH84" s="13">
        <f t="shared" si="37"/>
        <v>65000</v>
      </c>
      <c r="AI84" s="13">
        <f t="shared" si="38"/>
        <v>65000</v>
      </c>
      <c r="AJ84" s="13">
        <f t="shared" si="39"/>
        <v>350000</v>
      </c>
      <c r="AK84" s="13">
        <f t="shared" si="40"/>
        <v>857142.85714285716</v>
      </c>
      <c r="AL84" s="13">
        <f t="shared" si="41"/>
        <v>1200000</v>
      </c>
    </row>
    <row r="85" spans="9:38" x14ac:dyDescent="0.15">
      <c r="AG85" s="13">
        <v>79</v>
      </c>
      <c r="AH85" s="13">
        <f t="shared" si="37"/>
        <v>70000</v>
      </c>
      <c r="AI85" s="13">
        <f t="shared" si="38"/>
        <v>70000</v>
      </c>
      <c r="AJ85" s="13">
        <f t="shared" si="39"/>
        <v>366666.66666666669</v>
      </c>
      <c r="AK85" s="13">
        <f t="shared" si="40"/>
        <v>942857.14285714284</v>
      </c>
      <c r="AL85" s="13">
        <f t="shared" si="41"/>
        <v>1200000</v>
      </c>
    </row>
    <row r="86" spans="9:38" x14ac:dyDescent="0.15">
      <c r="AG86" s="13">
        <v>80</v>
      </c>
      <c r="AH86" s="13">
        <f t="shared" si="37"/>
        <v>75000</v>
      </c>
      <c r="AI86" s="13">
        <f t="shared" si="38"/>
        <v>75000</v>
      </c>
      <c r="AJ86" s="13">
        <f t="shared" si="39"/>
        <v>383333.33333333337</v>
      </c>
      <c r="AK86" s="13">
        <f t="shared" si="40"/>
        <v>1028571.4285714285</v>
      </c>
      <c r="AL86" s="13">
        <f t="shared" si="41"/>
        <v>1200000</v>
      </c>
    </row>
    <row r="87" spans="9:38" x14ac:dyDescent="0.15">
      <c r="AG87" s="13">
        <v>81</v>
      </c>
      <c r="AH87" s="13">
        <f t="shared" si="37"/>
        <v>81250</v>
      </c>
      <c r="AI87" s="13">
        <f t="shared" si="38"/>
        <v>81250</v>
      </c>
      <c r="AJ87" s="13">
        <f t="shared" si="39"/>
        <v>400000</v>
      </c>
      <c r="AK87" s="13">
        <f t="shared" si="40"/>
        <v>1114285.7142857143</v>
      </c>
      <c r="AL87" s="13">
        <f t="shared" si="41"/>
        <v>1200000</v>
      </c>
    </row>
    <row r="88" spans="9:38" x14ac:dyDescent="0.15">
      <c r="AG88" s="13">
        <v>82</v>
      </c>
      <c r="AH88" s="13">
        <f t="shared" si="37"/>
        <v>87500</v>
      </c>
      <c r="AI88" s="13">
        <f t="shared" si="38"/>
        <v>87500</v>
      </c>
      <c r="AJ88" s="13">
        <f t="shared" si="39"/>
        <v>416666.66666666669</v>
      </c>
      <c r="AK88" s="13">
        <f t="shared" si="40"/>
        <v>1200000</v>
      </c>
      <c r="AL88" s="13">
        <f t="shared" si="41"/>
        <v>1200000</v>
      </c>
    </row>
    <row r="89" spans="9:38" x14ac:dyDescent="0.15">
      <c r="AG89" s="13">
        <v>83</v>
      </c>
      <c r="AH89" s="13">
        <f t="shared" si="37"/>
        <v>93750</v>
      </c>
      <c r="AI89" s="13">
        <f t="shared" si="38"/>
        <v>93750</v>
      </c>
      <c r="AJ89" s="13">
        <f t="shared" si="39"/>
        <v>433333.33333333337</v>
      </c>
      <c r="AK89" s="13">
        <f t="shared" si="40"/>
        <v>1200000</v>
      </c>
      <c r="AL89" s="13">
        <f t="shared" si="41"/>
        <v>1200000</v>
      </c>
    </row>
    <row r="90" spans="9:38" x14ac:dyDescent="0.15">
      <c r="AG90" s="13">
        <v>84</v>
      </c>
      <c r="AH90" s="13">
        <f t="shared" si="37"/>
        <v>100000</v>
      </c>
      <c r="AI90" s="13">
        <f t="shared" si="38"/>
        <v>100000</v>
      </c>
      <c r="AJ90" s="13">
        <f t="shared" si="39"/>
        <v>450000</v>
      </c>
      <c r="AK90" s="13">
        <f t="shared" si="40"/>
        <v>1200000</v>
      </c>
      <c r="AL90" s="13">
        <f t="shared" si="41"/>
        <v>1200000</v>
      </c>
    </row>
    <row r="91" spans="9:38" x14ac:dyDescent="0.15">
      <c r="I91" s="5">
        <v>6</v>
      </c>
      <c r="AG91" s="13">
        <v>85</v>
      </c>
      <c r="AH91" s="13">
        <f t="shared" si="37"/>
        <v>106250</v>
      </c>
      <c r="AI91" s="13">
        <f t="shared" si="38"/>
        <v>106250</v>
      </c>
      <c r="AJ91" s="13">
        <f t="shared" si="39"/>
        <v>492857.14285714284</v>
      </c>
      <c r="AK91" s="13">
        <f t="shared" si="40"/>
        <v>1200000</v>
      </c>
      <c r="AL91" s="13">
        <f t="shared" si="41"/>
        <v>1200000</v>
      </c>
    </row>
    <row r="92" spans="9:38" x14ac:dyDescent="0.15">
      <c r="AG92" s="13">
        <v>86</v>
      </c>
      <c r="AH92" s="13">
        <f t="shared" si="37"/>
        <v>112500</v>
      </c>
      <c r="AI92" s="13">
        <f t="shared" si="38"/>
        <v>112500</v>
      </c>
      <c r="AJ92" s="13">
        <f t="shared" si="39"/>
        <v>535714.28571428568</v>
      </c>
      <c r="AK92" s="13">
        <f t="shared" si="40"/>
        <v>1200000</v>
      </c>
      <c r="AL92" s="13">
        <f t="shared" si="41"/>
        <v>1200000</v>
      </c>
    </row>
    <row r="93" spans="9:38" x14ac:dyDescent="0.15">
      <c r="AG93" s="13">
        <v>87</v>
      </c>
      <c r="AH93" s="13">
        <f t="shared" si="37"/>
        <v>118750</v>
      </c>
      <c r="AI93" s="13">
        <f t="shared" si="38"/>
        <v>118750</v>
      </c>
      <c r="AJ93" s="13">
        <f t="shared" si="39"/>
        <v>578571.42857142852</v>
      </c>
      <c r="AK93" s="13">
        <f t="shared" si="40"/>
        <v>1200000</v>
      </c>
      <c r="AL93" s="13">
        <f t="shared" si="41"/>
        <v>1200000</v>
      </c>
    </row>
    <row r="94" spans="9:38" x14ac:dyDescent="0.15">
      <c r="AG94" s="13">
        <v>88</v>
      </c>
      <c r="AH94" s="13">
        <f t="shared" si="37"/>
        <v>125000</v>
      </c>
      <c r="AI94" s="13">
        <f t="shared" si="38"/>
        <v>125000</v>
      </c>
      <c r="AJ94" s="13">
        <f t="shared" si="39"/>
        <v>621428.57142857136</v>
      </c>
      <c r="AK94" s="13">
        <f t="shared" si="40"/>
        <v>1200000</v>
      </c>
      <c r="AL94" s="13">
        <f t="shared" si="41"/>
        <v>1200000</v>
      </c>
    </row>
    <row r="95" spans="9:38" x14ac:dyDescent="0.15">
      <c r="AG95" s="13">
        <v>89</v>
      </c>
      <c r="AH95" s="13">
        <f t="shared" si="37"/>
        <v>133333.33333333334</v>
      </c>
      <c r="AI95" s="13">
        <f t="shared" si="38"/>
        <v>133333.33333333334</v>
      </c>
      <c r="AJ95" s="13">
        <f t="shared" si="39"/>
        <v>664285.71428571432</v>
      </c>
      <c r="AK95" s="13">
        <f t="shared" si="40"/>
        <v>1200000</v>
      </c>
      <c r="AL95" s="13">
        <f t="shared" si="41"/>
        <v>1200000</v>
      </c>
    </row>
    <row r="96" spans="9:38" x14ac:dyDescent="0.15">
      <c r="AG96" s="13">
        <v>90</v>
      </c>
      <c r="AH96" s="13">
        <f t="shared" si="37"/>
        <v>141666.66666666666</v>
      </c>
      <c r="AI96" s="13">
        <f t="shared" si="38"/>
        <v>141666.66666666666</v>
      </c>
      <c r="AJ96" s="13">
        <f t="shared" si="39"/>
        <v>707142.85714285716</v>
      </c>
      <c r="AK96" s="13">
        <f t="shared" si="40"/>
        <v>1200000</v>
      </c>
      <c r="AL96" s="13">
        <f t="shared" si="41"/>
        <v>1200000</v>
      </c>
    </row>
    <row r="97" spans="33:38" x14ac:dyDescent="0.15">
      <c r="AG97" s="13">
        <v>91</v>
      </c>
      <c r="AH97" s="13">
        <f t="shared" si="37"/>
        <v>150000</v>
      </c>
      <c r="AI97" s="13">
        <f t="shared" si="38"/>
        <v>150000</v>
      </c>
      <c r="AJ97" s="13">
        <f t="shared" si="39"/>
        <v>750000</v>
      </c>
      <c r="AK97" s="13">
        <f t="shared" si="40"/>
        <v>1200000</v>
      </c>
      <c r="AL97" s="13">
        <f t="shared" si="41"/>
        <v>1200000</v>
      </c>
    </row>
    <row r="98" spans="33:38" x14ac:dyDescent="0.15">
      <c r="AG98" s="13">
        <v>92</v>
      </c>
      <c r="AH98" s="13">
        <f t="shared" si="37"/>
        <v>150000</v>
      </c>
      <c r="AI98" s="13">
        <f t="shared" si="38"/>
        <v>150000</v>
      </c>
      <c r="AJ98" s="13">
        <f t="shared" si="39"/>
        <v>750000</v>
      </c>
      <c r="AK98" s="13">
        <f t="shared" si="40"/>
        <v>1200000</v>
      </c>
      <c r="AL98" s="13">
        <f t="shared" si="41"/>
        <v>1200000</v>
      </c>
    </row>
    <row r="99" spans="33:38" x14ac:dyDescent="0.15">
      <c r="AG99" s="13">
        <v>93</v>
      </c>
      <c r="AH99" s="13">
        <f t="shared" si="37"/>
        <v>150000</v>
      </c>
      <c r="AI99" s="13">
        <f t="shared" si="38"/>
        <v>150000</v>
      </c>
      <c r="AJ99" s="13">
        <f t="shared" si="39"/>
        <v>750000</v>
      </c>
      <c r="AK99" s="13">
        <f t="shared" si="40"/>
        <v>1200000</v>
      </c>
      <c r="AL99" s="13">
        <f t="shared" si="41"/>
        <v>1200000</v>
      </c>
    </row>
    <row r="100" spans="33:38" x14ac:dyDescent="0.15">
      <c r="AG100" s="13">
        <v>94</v>
      </c>
      <c r="AH100" s="13">
        <f t="shared" si="37"/>
        <v>150000</v>
      </c>
      <c r="AI100" s="13">
        <f t="shared" si="38"/>
        <v>150000</v>
      </c>
      <c r="AJ100" s="13">
        <f t="shared" si="39"/>
        <v>750000</v>
      </c>
      <c r="AK100" s="13">
        <f t="shared" si="40"/>
        <v>1200000</v>
      </c>
      <c r="AL100" s="13">
        <f t="shared" si="41"/>
        <v>1200000</v>
      </c>
    </row>
    <row r="101" spans="33:38" x14ac:dyDescent="0.15">
      <c r="AG101" s="13">
        <v>95</v>
      </c>
      <c r="AH101" s="13">
        <f t="shared" si="37"/>
        <v>150000</v>
      </c>
      <c r="AI101" s="13">
        <f t="shared" si="38"/>
        <v>150000</v>
      </c>
      <c r="AJ101" s="13">
        <f t="shared" si="39"/>
        <v>750000</v>
      </c>
      <c r="AK101" s="13">
        <f t="shared" si="40"/>
        <v>1200000</v>
      </c>
      <c r="AL101" s="13">
        <f t="shared" si="41"/>
        <v>1200000</v>
      </c>
    </row>
    <row r="102" spans="33:38" x14ac:dyDescent="0.15">
      <c r="AG102" s="13">
        <v>96</v>
      </c>
      <c r="AH102" s="13">
        <f t="shared" si="37"/>
        <v>150000</v>
      </c>
      <c r="AI102" s="13">
        <f t="shared" si="38"/>
        <v>150000</v>
      </c>
      <c r="AJ102" s="13">
        <f t="shared" si="39"/>
        <v>750000</v>
      </c>
      <c r="AK102" s="13">
        <f t="shared" si="40"/>
        <v>1200000</v>
      </c>
      <c r="AL102" s="13">
        <f t="shared" si="41"/>
        <v>1200000</v>
      </c>
    </row>
    <row r="103" spans="33:38" x14ac:dyDescent="0.15">
      <c r="AG103" s="13">
        <v>97</v>
      </c>
      <c r="AH103" s="13">
        <f t="shared" si="37"/>
        <v>150000</v>
      </c>
      <c r="AI103" s="13">
        <f t="shared" si="38"/>
        <v>150000</v>
      </c>
      <c r="AJ103" s="13">
        <f t="shared" si="39"/>
        <v>750000</v>
      </c>
      <c r="AK103" s="13">
        <f t="shared" si="40"/>
        <v>1200000</v>
      </c>
      <c r="AL103" s="13">
        <f t="shared" si="41"/>
        <v>1200000</v>
      </c>
    </row>
    <row r="104" spans="33:38" x14ac:dyDescent="0.15">
      <c r="AG104" s="13">
        <v>98</v>
      </c>
      <c r="AH104" s="13">
        <f t="shared" si="37"/>
        <v>150000</v>
      </c>
      <c r="AI104" s="13">
        <f t="shared" si="38"/>
        <v>150000</v>
      </c>
      <c r="AJ104" s="13">
        <f t="shared" si="39"/>
        <v>750000</v>
      </c>
      <c r="AK104" s="13">
        <f t="shared" si="40"/>
        <v>1200000</v>
      </c>
      <c r="AL104" s="13">
        <f t="shared" si="41"/>
        <v>1200000</v>
      </c>
    </row>
    <row r="105" spans="33:38" x14ac:dyDescent="0.15">
      <c r="AG105" s="13">
        <v>99</v>
      </c>
      <c r="AH105" s="13">
        <f t="shared" si="37"/>
        <v>150000</v>
      </c>
      <c r="AI105" s="13">
        <f t="shared" si="38"/>
        <v>150000</v>
      </c>
      <c r="AJ105" s="13">
        <f t="shared" si="39"/>
        <v>750000</v>
      </c>
      <c r="AK105" s="13">
        <f t="shared" si="40"/>
        <v>1200000</v>
      </c>
      <c r="AL105" s="13">
        <f t="shared" si="41"/>
        <v>1200000</v>
      </c>
    </row>
    <row r="106" spans="33:38" x14ac:dyDescent="0.15">
      <c r="AG106" s="13">
        <v>100</v>
      </c>
      <c r="AH106" s="13">
        <f t="shared" si="37"/>
        <v>150000</v>
      </c>
      <c r="AI106" s="13">
        <f t="shared" si="38"/>
        <v>150000</v>
      </c>
      <c r="AJ106" s="13">
        <f t="shared" si="39"/>
        <v>750000</v>
      </c>
      <c r="AK106" s="13">
        <f t="shared" si="40"/>
        <v>1200000</v>
      </c>
      <c r="AL106" s="13">
        <f t="shared" si="41"/>
        <v>1200000</v>
      </c>
    </row>
  </sheetData>
  <mergeCells count="16">
    <mergeCell ref="AH5:AL5"/>
    <mergeCell ref="J5:N5"/>
    <mergeCell ref="P5:T5"/>
    <mergeCell ref="Z5:AD5"/>
    <mergeCell ref="J25:N25"/>
    <mergeCell ref="P25:T25"/>
    <mergeCell ref="Z25:AD25"/>
    <mergeCell ref="J70:N70"/>
    <mergeCell ref="P70:T70"/>
    <mergeCell ref="Z70:AD70"/>
    <mergeCell ref="J41:N41"/>
    <mergeCell ref="P41:T41"/>
    <mergeCell ref="Z41:AD41"/>
    <mergeCell ref="J56:N56"/>
    <mergeCell ref="P56:T56"/>
    <mergeCell ref="Z56:AD56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K20:U39"/>
  <sheetViews>
    <sheetView topLeftCell="A10" workbookViewId="0">
      <selection activeCell="J19" sqref="J19"/>
    </sheetView>
  </sheetViews>
  <sheetFormatPr defaultRowHeight="13.5" x14ac:dyDescent="0.15"/>
  <sheetData>
    <row r="20" spans="11:21" x14ac:dyDescent="0.15">
      <c r="K20" s="2" t="s">
        <v>5</v>
      </c>
      <c r="L20" s="2">
        <v>8</v>
      </c>
      <c r="M20" s="4" t="s">
        <v>31</v>
      </c>
      <c r="N20" s="4">
        <v>1</v>
      </c>
      <c r="O20" s="4" t="s">
        <v>30</v>
      </c>
      <c r="P20" s="4">
        <v>5</v>
      </c>
      <c r="Q20" s="4"/>
      <c r="R20" s="4"/>
      <c r="S20" s="4"/>
      <c r="T20" s="2" t="s">
        <v>5</v>
      </c>
      <c r="U20" s="2">
        <v>8</v>
      </c>
    </row>
    <row r="21" spans="11:21" x14ac:dyDescent="0.15">
      <c r="K21" s="2" t="s">
        <v>6</v>
      </c>
      <c r="L21" s="2">
        <v>12</v>
      </c>
      <c r="M21" s="4" t="s">
        <v>31</v>
      </c>
      <c r="N21" s="4">
        <v>3</v>
      </c>
      <c r="O21" s="4" t="s">
        <v>30</v>
      </c>
      <c r="P21" s="4">
        <v>3</v>
      </c>
      <c r="Q21" s="4"/>
      <c r="R21" s="4"/>
      <c r="S21" s="4"/>
      <c r="T21" s="4" t="s">
        <v>53</v>
      </c>
      <c r="U21" s="4">
        <v>10</v>
      </c>
    </row>
    <row r="22" spans="11:21" x14ac:dyDescent="0.15">
      <c r="K22" s="2" t="s">
        <v>7</v>
      </c>
      <c r="L22" s="2">
        <v>16</v>
      </c>
      <c r="M22" s="4" t="s">
        <v>31</v>
      </c>
      <c r="N22" s="4">
        <v>5</v>
      </c>
      <c r="O22" s="4" t="s">
        <v>30</v>
      </c>
      <c r="P22" s="4">
        <v>1</v>
      </c>
      <c r="Q22" s="4"/>
      <c r="R22" s="4"/>
      <c r="S22" s="4"/>
      <c r="T22" s="2" t="s">
        <v>6</v>
      </c>
      <c r="U22" s="2">
        <v>12</v>
      </c>
    </row>
    <row r="23" spans="11:21" x14ac:dyDescent="0.15">
      <c r="K23" s="2" t="s">
        <v>8</v>
      </c>
      <c r="L23" s="2">
        <v>20</v>
      </c>
      <c r="M23" s="4" t="s">
        <v>26</v>
      </c>
      <c r="N23" s="4">
        <v>1</v>
      </c>
      <c r="O23" s="4" t="s">
        <v>31</v>
      </c>
      <c r="P23" s="4">
        <v>5</v>
      </c>
      <c r="Q23" s="4"/>
      <c r="R23" s="4"/>
      <c r="S23" s="4"/>
      <c r="T23" s="2" t="s">
        <v>7</v>
      </c>
      <c r="U23" s="2">
        <v>16</v>
      </c>
    </row>
    <row r="24" spans="11:21" x14ac:dyDescent="0.15">
      <c r="K24" s="2" t="s">
        <v>18</v>
      </c>
      <c r="L24" s="2">
        <v>30</v>
      </c>
      <c r="M24" s="4" t="s">
        <v>26</v>
      </c>
      <c r="N24" s="4">
        <v>4</v>
      </c>
      <c r="O24" s="4" t="s">
        <v>31</v>
      </c>
      <c r="P24" s="4">
        <v>2</v>
      </c>
      <c r="Q24" s="4"/>
      <c r="R24" s="4"/>
      <c r="S24" s="4"/>
      <c r="T24" s="4" t="s">
        <v>54</v>
      </c>
      <c r="U24" s="4">
        <v>20</v>
      </c>
    </row>
    <row r="25" spans="11:21" x14ac:dyDescent="0.15">
      <c r="K25" s="2" t="s">
        <v>19</v>
      </c>
      <c r="L25" s="2">
        <v>32</v>
      </c>
      <c r="M25" s="4" t="s">
        <v>26</v>
      </c>
      <c r="N25" s="4">
        <v>4</v>
      </c>
      <c r="O25" s="4" t="s">
        <v>31</v>
      </c>
      <c r="P25" s="4">
        <v>1</v>
      </c>
      <c r="Q25" s="4" t="s">
        <v>45</v>
      </c>
      <c r="R25" s="4">
        <v>1</v>
      </c>
      <c r="S25" s="4"/>
      <c r="T25" s="4" t="s">
        <v>55</v>
      </c>
      <c r="U25" s="4">
        <v>30</v>
      </c>
    </row>
    <row r="26" spans="11:21" x14ac:dyDescent="0.15">
      <c r="K26" s="2" t="s">
        <v>9</v>
      </c>
      <c r="L26" s="2">
        <v>35</v>
      </c>
      <c r="M26" s="4" t="s">
        <v>26</v>
      </c>
      <c r="N26" s="4">
        <v>6</v>
      </c>
      <c r="O26" s="4"/>
      <c r="P26" s="4"/>
      <c r="Q26" s="4"/>
      <c r="R26" s="4"/>
      <c r="S26" s="4"/>
      <c r="T26" s="2" t="s">
        <v>19</v>
      </c>
      <c r="U26" s="2">
        <v>32</v>
      </c>
    </row>
    <row r="27" spans="11:21" x14ac:dyDescent="0.15">
      <c r="K27" s="2" t="s">
        <v>20</v>
      </c>
      <c r="L27" s="2">
        <v>36</v>
      </c>
      <c r="M27" s="4" t="s">
        <v>46</v>
      </c>
      <c r="N27" s="4">
        <v>1</v>
      </c>
      <c r="O27" s="4" t="s">
        <v>26</v>
      </c>
      <c r="P27" s="4">
        <v>5</v>
      </c>
      <c r="Q27" s="4"/>
      <c r="R27" s="4"/>
      <c r="S27" s="4"/>
      <c r="T27" s="2" t="s">
        <v>9</v>
      </c>
      <c r="U27" s="2">
        <v>35</v>
      </c>
    </row>
    <row r="28" spans="11:21" x14ac:dyDescent="0.15">
      <c r="K28" s="2" t="s">
        <v>14</v>
      </c>
      <c r="L28" s="2">
        <v>44</v>
      </c>
      <c r="M28" s="4" t="s">
        <v>47</v>
      </c>
      <c r="N28" s="4">
        <v>1</v>
      </c>
      <c r="O28" s="4" t="s">
        <v>26</v>
      </c>
      <c r="P28" s="4">
        <v>5</v>
      </c>
      <c r="Q28" s="4"/>
      <c r="R28" s="4"/>
      <c r="S28" s="4"/>
      <c r="T28" s="2" t="s">
        <v>20</v>
      </c>
      <c r="U28" s="2">
        <v>36</v>
      </c>
    </row>
    <row r="29" spans="11:21" x14ac:dyDescent="0.15">
      <c r="K29" s="2" t="s">
        <v>21</v>
      </c>
      <c r="L29" s="2">
        <v>46</v>
      </c>
      <c r="M29" s="4" t="s">
        <v>48</v>
      </c>
      <c r="N29" s="4">
        <v>1</v>
      </c>
      <c r="O29" s="4" t="s">
        <v>46</v>
      </c>
      <c r="P29" s="4">
        <v>5</v>
      </c>
      <c r="Q29" s="4"/>
      <c r="R29" s="4"/>
      <c r="S29" s="4"/>
      <c r="T29" s="4" t="s">
        <v>56</v>
      </c>
      <c r="U29" s="4">
        <v>40</v>
      </c>
    </row>
    <row r="30" spans="11:21" x14ac:dyDescent="0.15">
      <c r="K30" s="2" t="s">
        <v>15</v>
      </c>
      <c r="L30" s="2">
        <v>48</v>
      </c>
      <c r="M30" s="4" t="s">
        <v>49</v>
      </c>
      <c r="N30" s="4">
        <v>6</v>
      </c>
      <c r="O30" s="4"/>
      <c r="P30" s="4"/>
      <c r="Q30" s="4"/>
      <c r="R30" s="4"/>
      <c r="S30" s="4"/>
      <c r="T30" s="2" t="s">
        <v>14</v>
      </c>
      <c r="U30" s="2">
        <v>44</v>
      </c>
    </row>
    <row r="31" spans="11:21" x14ac:dyDescent="0.15">
      <c r="K31" s="2" t="s">
        <v>16</v>
      </c>
      <c r="L31" s="2">
        <v>58</v>
      </c>
      <c r="M31" s="4" t="s">
        <v>50</v>
      </c>
      <c r="N31" s="4">
        <v>6</v>
      </c>
      <c r="O31" s="4"/>
      <c r="P31" s="4"/>
      <c r="Q31" s="4"/>
      <c r="R31" s="4"/>
      <c r="S31" s="4"/>
      <c r="T31" s="2" t="s">
        <v>21</v>
      </c>
      <c r="U31" s="2">
        <v>46</v>
      </c>
    </row>
    <row r="32" spans="11:21" x14ac:dyDescent="0.15">
      <c r="K32" s="2" t="s">
        <v>17</v>
      </c>
      <c r="L32" s="2">
        <v>66</v>
      </c>
      <c r="M32" s="4" t="s">
        <v>51</v>
      </c>
      <c r="N32" s="4">
        <v>6</v>
      </c>
      <c r="O32" s="4"/>
      <c r="P32" s="4"/>
      <c r="Q32" s="4"/>
      <c r="R32" s="4"/>
      <c r="S32" s="4"/>
      <c r="T32" s="2" t="s">
        <v>15</v>
      </c>
      <c r="U32" s="2">
        <v>48</v>
      </c>
    </row>
    <row r="33" spans="11:21" x14ac:dyDescent="0.15">
      <c r="K33" s="4"/>
      <c r="L33" s="4"/>
      <c r="M33" s="4"/>
      <c r="N33" s="4"/>
      <c r="O33" s="4"/>
      <c r="P33" s="4"/>
      <c r="Q33" s="4"/>
      <c r="R33" s="4"/>
      <c r="S33" s="4"/>
      <c r="T33" s="4" t="s">
        <v>57</v>
      </c>
      <c r="U33" s="4">
        <v>50</v>
      </c>
    </row>
    <row r="34" spans="11:21" x14ac:dyDescent="0.15">
      <c r="K34" s="2"/>
      <c r="L34" s="2"/>
      <c r="M34" s="4"/>
      <c r="N34" s="4"/>
      <c r="O34" s="4"/>
      <c r="P34" s="4"/>
      <c r="Q34" s="4"/>
      <c r="R34" s="4"/>
      <c r="S34" s="4"/>
      <c r="T34" s="4" t="s">
        <v>58</v>
      </c>
      <c r="U34" s="4">
        <v>60</v>
      </c>
    </row>
    <row r="35" spans="11:21" x14ac:dyDescent="0.15">
      <c r="K35" s="4"/>
      <c r="L35" s="4"/>
      <c r="M35" s="4"/>
      <c r="N35" s="4"/>
      <c r="O35" s="4"/>
      <c r="P35" s="4"/>
      <c r="Q35" s="4"/>
      <c r="R35" s="4"/>
      <c r="S35" s="4"/>
      <c r="T35" s="2" t="s">
        <v>16</v>
      </c>
      <c r="U35" s="2">
        <v>58</v>
      </c>
    </row>
    <row r="36" spans="11:21" x14ac:dyDescent="0.15">
      <c r="K36" s="4"/>
      <c r="L36" s="4"/>
      <c r="M36" s="4"/>
      <c r="N36" s="4"/>
      <c r="O36" s="4"/>
      <c r="P36" s="4"/>
      <c r="Q36" s="4"/>
      <c r="R36" s="4"/>
      <c r="S36" s="4"/>
      <c r="T36" s="4" t="s">
        <v>59</v>
      </c>
      <c r="U36" s="4">
        <v>70</v>
      </c>
    </row>
    <row r="37" spans="11:21" x14ac:dyDescent="0.15">
      <c r="K37" s="4"/>
      <c r="L37" s="4"/>
      <c r="M37" s="4"/>
      <c r="N37" s="4"/>
      <c r="O37" s="4"/>
      <c r="P37" s="4"/>
      <c r="Q37" s="4"/>
      <c r="R37" s="4"/>
      <c r="S37" s="4"/>
      <c r="T37" s="4" t="s">
        <v>59</v>
      </c>
      <c r="U37" s="4">
        <v>80</v>
      </c>
    </row>
    <row r="38" spans="11:21" x14ac:dyDescent="0.15">
      <c r="K38" s="4"/>
      <c r="L38" s="4"/>
      <c r="M38" s="4"/>
      <c r="N38" s="4"/>
      <c r="O38" s="4"/>
      <c r="P38" s="4"/>
      <c r="Q38" s="4"/>
      <c r="R38" s="4"/>
      <c r="S38" s="4"/>
      <c r="T38" s="4" t="s">
        <v>59</v>
      </c>
      <c r="U38" s="4">
        <v>90</v>
      </c>
    </row>
    <row r="39" spans="11:21" x14ac:dyDescent="0.15">
      <c r="K39" s="4"/>
      <c r="L39" s="4"/>
      <c r="M39" s="4"/>
      <c r="N39" s="4"/>
      <c r="O39" s="4"/>
      <c r="P39" s="4"/>
      <c r="Q39" s="4"/>
      <c r="R39" s="4"/>
      <c r="S39" s="4"/>
      <c r="T39" s="4" t="s">
        <v>59</v>
      </c>
      <c r="U39" s="4">
        <v>100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3:AF104"/>
  <sheetViews>
    <sheetView topLeftCell="G1" workbookViewId="0">
      <selection activeCell="S38" sqref="S38"/>
    </sheetView>
  </sheetViews>
  <sheetFormatPr defaultRowHeight="11.25" x14ac:dyDescent="0.15"/>
  <cols>
    <col min="1" max="25" width="9" style="9"/>
    <col min="26" max="26" width="9" style="10"/>
    <col min="27" max="16384" width="9" style="9"/>
  </cols>
  <sheetData>
    <row r="3" spans="2:32" x14ac:dyDescent="0.15">
      <c r="AB3" s="57" t="s">
        <v>134</v>
      </c>
      <c r="AC3" s="57"/>
      <c r="AD3" s="57"/>
      <c r="AE3" s="57"/>
      <c r="AF3" s="57"/>
    </row>
    <row r="4" spans="2:32" x14ac:dyDescent="0.15">
      <c r="AA4" s="9" t="s">
        <v>117</v>
      </c>
      <c r="AB4" s="9" t="s">
        <v>113</v>
      </c>
      <c r="AC4" s="9" t="s">
        <v>114</v>
      </c>
      <c r="AD4" s="9" t="s">
        <v>108</v>
      </c>
      <c r="AE4" s="9" t="s">
        <v>116</v>
      </c>
      <c r="AF4" s="9" t="s">
        <v>109</v>
      </c>
    </row>
    <row r="5" spans="2:32" x14ac:dyDescent="0.15">
      <c r="AA5" s="9">
        <v>1</v>
      </c>
      <c r="AB5" s="9">
        <f>求节点($Q$8:$Q$14,S$8:S$14,$AA5)</f>
        <v>0.12000000000000011</v>
      </c>
      <c r="AC5" s="19">
        <f>求节点($Q$8:$Q$14,T$8:T$14,$AA5)</f>
        <v>4.0000000000000036E-2</v>
      </c>
      <c r="AD5" s="19">
        <f>求节点($Q$8:$Q$14,U$8:U$14,$AA5)</f>
        <v>0</v>
      </c>
      <c r="AE5" s="19">
        <f>求节点($Q$8:$Q$14,V$8:V$14,$AA5)</f>
        <v>0</v>
      </c>
      <c r="AF5" s="19">
        <f>求节点($Q$8:$Q$14,W$8:W$14,$AA5)</f>
        <v>0</v>
      </c>
    </row>
    <row r="6" spans="2:32" x14ac:dyDescent="0.15">
      <c r="C6" s="9" t="s">
        <v>106</v>
      </c>
      <c r="J6" s="13"/>
      <c r="K6" s="13"/>
      <c r="L6" s="61" t="s">
        <v>143</v>
      </c>
      <c r="M6" s="61"/>
      <c r="N6" s="13"/>
      <c r="O6" s="61" t="s">
        <v>144</v>
      </c>
      <c r="P6" s="61"/>
      <c r="Q6" s="13" t="s">
        <v>147</v>
      </c>
      <c r="R6" s="13"/>
      <c r="S6" s="61" t="s">
        <v>145</v>
      </c>
      <c r="T6" s="61"/>
      <c r="U6" s="61"/>
      <c r="V6" s="61"/>
      <c r="W6" s="61"/>
      <c r="X6" s="61" t="s">
        <v>146</v>
      </c>
      <c r="Y6" s="61"/>
      <c r="AA6" s="9">
        <v>2</v>
      </c>
      <c r="AB6" s="19">
        <f t="shared" ref="AB6:AB69" si="0">求节点($Q$8:$Q$14,S$8:S$14,$AA6)</f>
        <v>0.24000000000000021</v>
      </c>
      <c r="AC6" s="19">
        <f t="shared" ref="AC6:AC69" si="1">求节点($Q$8:$Q$14,T$8:T$14,$AA6)</f>
        <v>7.999999999999996E-2</v>
      </c>
      <c r="AD6" s="19">
        <f t="shared" ref="AD6:AD69" si="2">求节点($Q$8:$Q$14,U$8:U$14,$AA6)</f>
        <v>0</v>
      </c>
      <c r="AE6" s="19">
        <f t="shared" ref="AE6:AE69" si="3">求节点($Q$8:$Q$14,V$8:V$14,$AA6)</f>
        <v>0</v>
      </c>
      <c r="AF6" s="19">
        <f t="shared" ref="AF6:AF69" si="4">求节点($Q$8:$Q$14,W$8:W$14,$AA6)</f>
        <v>0</v>
      </c>
    </row>
    <row r="7" spans="2:32" x14ac:dyDescent="0.15">
      <c r="J7" s="13" t="s">
        <v>128</v>
      </c>
      <c r="K7" s="13" t="s">
        <v>127</v>
      </c>
      <c r="L7" s="13" t="s">
        <v>125</v>
      </c>
      <c r="M7" s="13" t="s">
        <v>126</v>
      </c>
      <c r="N7" s="13" t="s">
        <v>127</v>
      </c>
      <c r="O7" s="13" t="s">
        <v>125</v>
      </c>
      <c r="P7" s="13" t="s">
        <v>126</v>
      </c>
      <c r="Q7" s="13" t="s">
        <v>120</v>
      </c>
      <c r="R7" s="13" t="s">
        <v>119</v>
      </c>
      <c r="S7" s="13" t="s">
        <v>113</v>
      </c>
      <c r="T7" s="13" t="s">
        <v>114</v>
      </c>
      <c r="U7" s="13" t="s">
        <v>108</v>
      </c>
      <c r="V7" s="13" t="s">
        <v>116</v>
      </c>
      <c r="W7" s="13" t="s">
        <v>109</v>
      </c>
      <c r="X7" s="13" t="s">
        <v>132</v>
      </c>
      <c r="Y7" s="13" t="s">
        <v>133</v>
      </c>
      <c r="AA7" s="9">
        <v>3</v>
      </c>
      <c r="AB7" s="19">
        <f t="shared" si="0"/>
        <v>0.36000000000000032</v>
      </c>
      <c r="AC7" s="19">
        <f t="shared" si="1"/>
        <v>0.12</v>
      </c>
      <c r="AD7" s="19">
        <f t="shared" si="2"/>
        <v>0</v>
      </c>
      <c r="AE7" s="19">
        <f t="shared" si="3"/>
        <v>0</v>
      </c>
      <c r="AF7" s="19">
        <f t="shared" si="4"/>
        <v>0</v>
      </c>
    </row>
    <row r="8" spans="2:32" x14ac:dyDescent="0.15">
      <c r="J8" s="13" t="s">
        <v>122</v>
      </c>
      <c r="K8" s="13" t="s">
        <v>108</v>
      </c>
      <c r="L8" s="13">
        <v>1</v>
      </c>
      <c r="M8" s="13">
        <v>0</v>
      </c>
      <c r="N8" s="13" t="s">
        <v>109</v>
      </c>
      <c r="O8" s="13">
        <v>0</v>
      </c>
      <c r="P8" s="13">
        <v>0</v>
      </c>
      <c r="Q8" s="13">
        <v>25</v>
      </c>
      <c r="R8" s="13">
        <f>INDEX(节奏总纲!$P:$P,MATCH(Q8,节奏总纲!$O:$O,0))</f>
        <v>4.6568542494923806</v>
      </c>
      <c r="S8" s="13">
        <f t="shared" ref="S8:S14" si="5">L8*C$32</f>
        <v>3</v>
      </c>
      <c r="T8" s="13">
        <f t="shared" ref="T8:T14" si="6">L8*D$32+M8*D$33</f>
        <v>1</v>
      </c>
      <c r="U8" s="13">
        <f t="shared" ref="U8:U14" si="7">M8*E$33+O8*E$34</f>
        <v>0</v>
      </c>
      <c r="V8" s="13">
        <f t="shared" ref="V8:V14" si="8">O8*$F$34+P8*$F$35</f>
        <v>0</v>
      </c>
      <c r="W8" s="13">
        <f t="shared" ref="W8:W14" si="9">P8*$G$35</f>
        <v>0</v>
      </c>
      <c r="X8" s="13">
        <f t="shared" ref="X8:X14" si="10">M8*$H$33</f>
        <v>0</v>
      </c>
      <c r="Y8" s="13">
        <f t="shared" ref="Y8:Y14" si="11">P8*$I$35</f>
        <v>0</v>
      </c>
      <c r="AA8" s="9">
        <v>4</v>
      </c>
      <c r="AB8" s="19">
        <f t="shared" si="0"/>
        <v>0.48</v>
      </c>
      <c r="AC8" s="19">
        <f t="shared" si="1"/>
        <v>0.16000000000000003</v>
      </c>
      <c r="AD8" s="19">
        <f t="shared" si="2"/>
        <v>0</v>
      </c>
      <c r="AE8" s="19">
        <f t="shared" si="3"/>
        <v>0</v>
      </c>
      <c r="AF8" s="19">
        <f t="shared" si="4"/>
        <v>0</v>
      </c>
    </row>
    <row r="9" spans="2:32" x14ac:dyDescent="0.15">
      <c r="D9" s="9" t="s">
        <v>107</v>
      </c>
      <c r="E9" s="9" t="s">
        <v>110</v>
      </c>
      <c r="J9" s="13" t="s">
        <v>121</v>
      </c>
      <c r="K9" s="13" t="s">
        <v>108</v>
      </c>
      <c r="L9" s="13">
        <v>3</v>
      </c>
      <c r="M9" s="13">
        <v>0</v>
      </c>
      <c r="N9" s="13" t="s">
        <v>109</v>
      </c>
      <c r="O9" s="13">
        <v>0</v>
      </c>
      <c r="P9" s="13">
        <v>0</v>
      </c>
      <c r="Q9" s="13">
        <v>34</v>
      </c>
      <c r="R9" s="13">
        <f>INDEX(节奏总纲!$P:$P,MATCH(Q9,节奏总纲!$O:$O,0))</f>
        <v>9.5560632861831518</v>
      </c>
      <c r="S9" s="13">
        <f t="shared" si="5"/>
        <v>9</v>
      </c>
      <c r="T9" s="13">
        <f t="shared" si="6"/>
        <v>3</v>
      </c>
      <c r="U9" s="13">
        <f t="shared" si="7"/>
        <v>0</v>
      </c>
      <c r="V9" s="13">
        <f t="shared" si="8"/>
        <v>0</v>
      </c>
      <c r="W9" s="13">
        <f t="shared" si="9"/>
        <v>0</v>
      </c>
      <c r="X9" s="13">
        <f t="shared" si="10"/>
        <v>0</v>
      </c>
      <c r="Y9" s="13">
        <f t="shared" si="11"/>
        <v>0</v>
      </c>
      <c r="AA9" s="9">
        <v>5</v>
      </c>
      <c r="AB9" s="19">
        <f t="shared" si="0"/>
        <v>0.60000000000000009</v>
      </c>
      <c r="AC9" s="19">
        <f t="shared" si="1"/>
        <v>0.19999999999999996</v>
      </c>
      <c r="AD9" s="19">
        <f t="shared" si="2"/>
        <v>0</v>
      </c>
      <c r="AE9" s="19">
        <f t="shared" si="3"/>
        <v>0</v>
      </c>
      <c r="AF9" s="19">
        <f t="shared" si="4"/>
        <v>0</v>
      </c>
    </row>
    <row r="10" spans="2:32" x14ac:dyDescent="0.15">
      <c r="J10" s="13" t="s">
        <v>123</v>
      </c>
      <c r="K10" s="13" t="s">
        <v>108</v>
      </c>
      <c r="L10" s="13">
        <v>5</v>
      </c>
      <c r="M10" s="13">
        <v>1</v>
      </c>
      <c r="N10" s="13" t="s">
        <v>109</v>
      </c>
      <c r="O10" s="13">
        <v>0</v>
      </c>
      <c r="P10" s="13">
        <v>0</v>
      </c>
      <c r="Q10" s="13">
        <v>40</v>
      </c>
      <c r="R10" s="13">
        <f>INDEX(节奏总纲!$P:$P,MATCH(Q10,节奏总纲!$O:$O,0))</f>
        <v>15</v>
      </c>
      <c r="S10" s="13">
        <f t="shared" si="5"/>
        <v>15</v>
      </c>
      <c r="T10" s="13">
        <f t="shared" si="6"/>
        <v>10</v>
      </c>
      <c r="U10" s="13">
        <f t="shared" si="7"/>
        <v>3</v>
      </c>
      <c r="V10" s="13">
        <f t="shared" si="8"/>
        <v>0</v>
      </c>
      <c r="W10" s="13">
        <f t="shared" si="9"/>
        <v>0</v>
      </c>
      <c r="X10" s="13">
        <f t="shared" si="10"/>
        <v>4</v>
      </c>
      <c r="Y10" s="13">
        <f t="shared" si="11"/>
        <v>0</v>
      </c>
      <c r="AA10" s="9">
        <v>6</v>
      </c>
      <c r="AB10" s="19">
        <f t="shared" si="0"/>
        <v>0.7200000000000002</v>
      </c>
      <c r="AC10" s="19">
        <f t="shared" si="1"/>
        <v>0.24</v>
      </c>
      <c r="AD10" s="19">
        <f t="shared" si="2"/>
        <v>0</v>
      </c>
      <c r="AE10" s="19">
        <f t="shared" si="3"/>
        <v>0</v>
      </c>
      <c r="AF10" s="19">
        <f t="shared" si="4"/>
        <v>0</v>
      </c>
    </row>
    <row r="11" spans="2:32" x14ac:dyDescent="0.15">
      <c r="J11" s="13" t="s">
        <v>124</v>
      </c>
      <c r="K11" s="13" t="s">
        <v>108</v>
      </c>
      <c r="L11" s="13">
        <v>6</v>
      </c>
      <c r="M11" s="13">
        <v>3</v>
      </c>
      <c r="N11" s="13" t="s">
        <v>109</v>
      </c>
      <c r="O11" s="13">
        <v>0</v>
      </c>
      <c r="P11" s="13">
        <v>0</v>
      </c>
      <c r="Q11" s="13">
        <v>48</v>
      </c>
      <c r="R11" s="13">
        <f>INDEX(节奏总纲!$P:$P,MATCH(Q11,节奏总纲!$O:$O,0))</f>
        <v>26.857618025475972</v>
      </c>
      <c r="S11" s="13">
        <f t="shared" si="5"/>
        <v>18</v>
      </c>
      <c r="T11" s="13">
        <f t="shared" si="6"/>
        <v>21</v>
      </c>
      <c r="U11" s="13">
        <f t="shared" si="7"/>
        <v>9</v>
      </c>
      <c r="V11" s="13">
        <f t="shared" si="8"/>
        <v>0</v>
      </c>
      <c r="W11" s="13">
        <f t="shared" si="9"/>
        <v>0</v>
      </c>
      <c r="X11" s="13">
        <f t="shared" si="10"/>
        <v>12</v>
      </c>
      <c r="Y11" s="13">
        <f t="shared" si="11"/>
        <v>0</v>
      </c>
      <c r="AA11" s="9">
        <v>7</v>
      </c>
      <c r="AB11" s="19">
        <f t="shared" si="0"/>
        <v>0.83999999999999986</v>
      </c>
      <c r="AC11" s="19">
        <f t="shared" si="1"/>
        <v>0.28000000000000003</v>
      </c>
      <c r="AD11" s="19">
        <f t="shared" si="2"/>
        <v>0</v>
      </c>
      <c r="AE11" s="19">
        <f t="shared" si="3"/>
        <v>0</v>
      </c>
      <c r="AF11" s="19">
        <f t="shared" si="4"/>
        <v>0</v>
      </c>
    </row>
    <row r="12" spans="2:32" x14ac:dyDescent="0.15">
      <c r="B12" s="9" t="s">
        <v>111</v>
      </c>
      <c r="C12" s="9" t="s">
        <v>108</v>
      </c>
      <c r="J12" s="13" t="s">
        <v>131</v>
      </c>
      <c r="K12" s="13" t="s">
        <v>108</v>
      </c>
      <c r="L12" s="13">
        <v>5</v>
      </c>
      <c r="M12" s="13">
        <v>5</v>
      </c>
      <c r="N12" s="13" t="s">
        <v>109</v>
      </c>
      <c r="O12" s="13">
        <v>0</v>
      </c>
      <c r="P12" s="13">
        <v>0</v>
      </c>
      <c r="Q12" s="13">
        <v>53</v>
      </c>
      <c r="R12" s="13">
        <f>INDEX(节奏总纲!$P:$P,MATCH(Q12,节奏总纲!$O:$O,0))</f>
        <v>38.396621227037308</v>
      </c>
      <c r="S12" s="13">
        <f t="shared" si="5"/>
        <v>15</v>
      </c>
      <c r="T12" s="13">
        <f t="shared" si="6"/>
        <v>30</v>
      </c>
      <c r="U12" s="13">
        <f t="shared" si="7"/>
        <v>15</v>
      </c>
      <c r="V12" s="13">
        <f t="shared" si="8"/>
        <v>0</v>
      </c>
      <c r="W12" s="13">
        <f t="shared" si="9"/>
        <v>0</v>
      </c>
      <c r="X12" s="13">
        <f t="shared" si="10"/>
        <v>20</v>
      </c>
      <c r="Y12" s="13">
        <f t="shared" si="11"/>
        <v>0</v>
      </c>
      <c r="AA12" s="9">
        <v>8</v>
      </c>
      <c r="AB12" s="19">
        <f t="shared" si="0"/>
        <v>0.96</v>
      </c>
      <c r="AC12" s="19">
        <f t="shared" si="1"/>
        <v>0.31999999999999995</v>
      </c>
      <c r="AD12" s="19">
        <f t="shared" si="2"/>
        <v>0</v>
      </c>
      <c r="AE12" s="19">
        <f t="shared" si="3"/>
        <v>0</v>
      </c>
      <c r="AF12" s="19">
        <f t="shared" si="4"/>
        <v>0</v>
      </c>
    </row>
    <row r="13" spans="2:32" x14ac:dyDescent="0.15">
      <c r="C13" s="9" t="s">
        <v>109</v>
      </c>
      <c r="J13" s="13" t="s">
        <v>135</v>
      </c>
      <c r="K13" s="13" t="s">
        <v>108</v>
      </c>
      <c r="L13" s="13">
        <v>6</v>
      </c>
      <c r="M13" s="13">
        <v>6</v>
      </c>
      <c r="N13" s="13" t="s">
        <v>109</v>
      </c>
      <c r="O13" s="13">
        <v>1</v>
      </c>
      <c r="P13" s="13">
        <v>0</v>
      </c>
      <c r="Q13" s="13">
        <v>68</v>
      </c>
      <c r="R13" s="13">
        <f>INDEX(节奏总纲!$P:$P,MATCH(Q13,节奏总纲!$O:$O,0))</f>
        <v>110.43047210190386</v>
      </c>
      <c r="S13" s="13">
        <f t="shared" si="5"/>
        <v>18</v>
      </c>
      <c r="T13" s="13">
        <f t="shared" si="6"/>
        <v>36</v>
      </c>
      <c r="U13" s="13">
        <f t="shared" si="7"/>
        <v>28</v>
      </c>
      <c r="V13" s="13">
        <f t="shared" si="8"/>
        <v>5</v>
      </c>
      <c r="W13" s="13">
        <f t="shared" si="9"/>
        <v>0</v>
      </c>
      <c r="X13" s="13">
        <f t="shared" si="10"/>
        <v>24</v>
      </c>
      <c r="Y13" s="13">
        <f t="shared" si="11"/>
        <v>0</v>
      </c>
      <c r="AA13" s="9">
        <v>9</v>
      </c>
      <c r="AB13" s="19">
        <f t="shared" si="0"/>
        <v>1.08</v>
      </c>
      <c r="AC13" s="19">
        <f t="shared" si="1"/>
        <v>0.36</v>
      </c>
      <c r="AD13" s="19">
        <f t="shared" si="2"/>
        <v>0</v>
      </c>
      <c r="AE13" s="19">
        <f t="shared" si="3"/>
        <v>0</v>
      </c>
      <c r="AF13" s="19">
        <f t="shared" si="4"/>
        <v>0</v>
      </c>
    </row>
    <row r="14" spans="2:32" x14ac:dyDescent="0.15">
      <c r="J14" s="13" t="s">
        <v>136</v>
      </c>
      <c r="K14" s="13" t="s">
        <v>108</v>
      </c>
      <c r="L14" s="13">
        <v>11</v>
      </c>
      <c r="M14" s="13">
        <v>11</v>
      </c>
      <c r="N14" s="13" t="s">
        <v>109</v>
      </c>
      <c r="O14" s="13">
        <v>1</v>
      </c>
      <c r="P14" s="13">
        <v>1</v>
      </c>
      <c r="Q14" s="13">
        <v>84</v>
      </c>
      <c r="R14" s="13">
        <f>INDEX(节奏总纲!$P:$P,MATCH(Q14,节奏总纲!$O:$O,0))</f>
        <v>336.79402515786086</v>
      </c>
      <c r="S14" s="13">
        <f t="shared" si="5"/>
        <v>33</v>
      </c>
      <c r="T14" s="13">
        <f t="shared" si="6"/>
        <v>66</v>
      </c>
      <c r="U14" s="13">
        <f t="shared" si="7"/>
        <v>43</v>
      </c>
      <c r="V14" s="13">
        <f t="shared" si="8"/>
        <v>25</v>
      </c>
      <c r="W14" s="13">
        <f t="shared" si="9"/>
        <v>7</v>
      </c>
      <c r="X14" s="13">
        <f t="shared" si="10"/>
        <v>44</v>
      </c>
      <c r="Y14" s="13">
        <f t="shared" si="11"/>
        <v>4</v>
      </c>
      <c r="AA14" s="9">
        <v>10</v>
      </c>
      <c r="AB14" s="19">
        <f t="shared" si="0"/>
        <v>1.2000000000000002</v>
      </c>
      <c r="AC14" s="19">
        <f t="shared" si="1"/>
        <v>0.4</v>
      </c>
      <c r="AD14" s="19">
        <f t="shared" si="2"/>
        <v>0</v>
      </c>
      <c r="AE14" s="19">
        <f t="shared" si="3"/>
        <v>0</v>
      </c>
      <c r="AF14" s="19">
        <f t="shared" si="4"/>
        <v>0</v>
      </c>
    </row>
    <row r="15" spans="2:32" x14ac:dyDescent="0.15">
      <c r="B15" s="9" t="s">
        <v>118</v>
      </c>
      <c r="C15" s="9">
        <v>6</v>
      </c>
      <c r="AA15" s="9">
        <v>11</v>
      </c>
      <c r="AB15" s="19">
        <f t="shared" si="0"/>
        <v>1.32</v>
      </c>
      <c r="AC15" s="19">
        <f t="shared" si="1"/>
        <v>0.43999999999999995</v>
      </c>
      <c r="AD15" s="19">
        <f t="shared" si="2"/>
        <v>0</v>
      </c>
      <c r="AE15" s="19">
        <f t="shared" si="3"/>
        <v>0</v>
      </c>
      <c r="AF15" s="19">
        <f t="shared" si="4"/>
        <v>0</v>
      </c>
    </row>
    <row r="16" spans="2:32" x14ac:dyDescent="0.15">
      <c r="AA16" s="9">
        <v>12</v>
      </c>
      <c r="AB16" s="19">
        <f t="shared" si="0"/>
        <v>1.44</v>
      </c>
      <c r="AC16" s="19">
        <f t="shared" si="1"/>
        <v>0.48</v>
      </c>
      <c r="AD16" s="19">
        <f t="shared" si="2"/>
        <v>0</v>
      </c>
      <c r="AE16" s="19">
        <f t="shared" si="3"/>
        <v>0</v>
      </c>
      <c r="AF16" s="19">
        <f t="shared" si="4"/>
        <v>0</v>
      </c>
    </row>
    <row r="17" spans="1:32" x14ac:dyDescent="0.15">
      <c r="AA17" s="9">
        <v>13</v>
      </c>
      <c r="AB17" s="19">
        <f t="shared" si="0"/>
        <v>1.56</v>
      </c>
      <c r="AC17" s="19">
        <f t="shared" si="1"/>
        <v>0.52</v>
      </c>
      <c r="AD17" s="19">
        <f t="shared" si="2"/>
        <v>0</v>
      </c>
      <c r="AE17" s="19">
        <f t="shared" si="3"/>
        <v>0</v>
      </c>
      <c r="AF17" s="19">
        <f t="shared" si="4"/>
        <v>0</v>
      </c>
    </row>
    <row r="18" spans="1:32" x14ac:dyDescent="0.15">
      <c r="AA18" s="9">
        <v>14</v>
      </c>
      <c r="AB18" s="19">
        <f t="shared" si="0"/>
        <v>1.6800000000000002</v>
      </c>
      <c r="AC18" s="19">
        <f t="shared" si="1"/>
        <v>0.56000000000000005</v>
      </c>
      <c r="AD18" s="19">
        <f t="shared" si="2"/>
        <v>0</v>
      </c>
      <c r="AE18" s="19">
        <f t="shared" si="3"/>
        <v>0</v>
      </c>
      <c r="AF18" s="19">
        <f t="shared" si="4"/>
        <v>0</v>
      </c>
    </row>
    <row r="19" spans="1:32" x14ac:dyDescent="0.15">
      <c r="AA19" s="9">
        <v>15</v>
      </c>
      <c r="AB19" s="19">
        <f t="shared" si="0"/>
        <v>1.8</v>
      </c>
      <c r="AC19" s="19">
        <f t="shared" si="1"/>
        <v>0.6</v>
      </c>
      <c r="AD19" s="19">
        <f t="shared" si="2"/>
        <v>0</v>
      </c>
      <c r="AE19" s="19">
        <f t="shared" si="3"/>
        <v>0</v>
      </c>
      <c r="AF19" s="19">
        <f t="shared" si="4"/>
        <v>0</v>
      </c>
    </row>
    <row r="20" spans="1:32" x14ac:dyDescent="0.15">
      <c r="AA20" s="9">
        <v>16</v>
      </c>
      <c r="AB20" s="19">
        <f t="shared" si="0"/>
        <v>1.92</v>
      </c>
      <c r="AC20" s="19">
        <f t="shared" si="1"/>
        <v>0.64</v>
      </c>
      <c r="AD20" s="19">
        <f t="shared" si="2"/>
        <v>0</v>
      </c>
      <c r="AE20" s="19">
        <f t="shared" si="3"/>
        <v>0</v>
      </c>
      <c r="AF20" s="19">
        <f t="shared" si="4"/>
        <v>0</v>
      </c>
    </row>
    <row r="21" spans="1:32" x14ac:dyDescent="0.15">
      <c r="AA21" s="9">
        <v>17</v>
      </c>
      <c r="AB21" s="19">
        <f t="shared" si="0"/>
        <v>2.04</v>
      </c>
      <c r="AC21" s="19">
        <f t="shared" si="1"/>
        <v>0.67999999999999994</v>
      </c>
      <c r="AD21" s="19">
        <f t="shared" si="2"/>
        <v>0</v>
      </c>
      <c r="AE21" s="19">
        <f t="shared" si="3"/>
        <v>0</v>
      </c>
      <c r="AF21" s="19">
        <f t="shared" si="4"/>
        <v>0</v>
      </c>
    </row>
    <row r="22" spans="1:32" x14ac:dyDescent="0.15">
      <c r="AA22" s="9">
        <v>18</v>
      </c>
      <c r="AB22" s="19">
        <f t="shared" si="0"/>
        <v>2.16</v>
      </c>
      <c r="AC22" s="19">
        <f t="shared" si="1"/>
        <v>0.72</v>
      </c>
      <c r="AD22" s="19">
        <f t="shared" si="2"/>
        <v>0</v>
      </c>
      <c r="AE22" s="19">
        <f t="shared" si="3"/>
        <v>0</v>
      </c>
      <c r="AF22" s="19">
        <f t="shared" si="4"/>
        <v>0</v>
      </c>
    </row>
    <row r="23" spans="1:32" x14ac:dyDescent="0.15">
      <c r="AA23" s="9">
        <v>19</v>
      </c>
      <c r="AB23" s="19">
        <f t="shared" si="0"/>
        <v>2.2800000000000002</v>
      </c>
      <c r="AC23" s="19">
        <f t="shared" si="1"/>
        <v>0.76</v>
      </c>
      <c r="AD23" s="19">
        <f t="shared" si="2"/>
        <v>0</v>
      </c>
      <c r="AE23" s="19">
        <f t="shared" si="3"/>
        <v>0</v>
      </c>
      <c r="AF23" s="19">
        <f t="shared" si="4"/>
        <v>0</v>
      </c>
    </row>
    <row r="24" spans="1:32" x14ac:dyDescent="0.15">
      <c r="AA24" s="9">
        <v>20</v>
      </c>
      <c r="AB24" s="19">
        <f t="shared" si="0"/>
        <v>2.4</v>
      </c>
      <c r="AC24" s="19">
        <f t="shared" si="1"/>
        <v>0.8</v>
      </c>
      <c r="AD24" s="19">
        <f t="shared" si="2"/>
        <v>0</v>
      </c>
      <c r="AE24" s="19">
        <f t="shared" si="3"/>
        <v>0</v>
      </c>
      <c r="AF24" s="19">
        <f t="shared" si="4"/>
        <v>0</v>
      </c>
    </row>
    <row r="25" spans="1:32" x14ac:dyDescent="0.15">
      <c r="B25" s="13" t="s">
        <v>141</v>
      </c>
      <c r="C25" s="61" t="s">
        <v>142</v>
      </c>
      <c r="D25" s="61"/>
      <c r="E25" s="13" t="s">
        <v>117</v>
      </c>
      <c r="F25" s="61" t="s">
        <v>140</v>
      </c>
      <c r="G25" s="61"/>
      <c r="AA25" s="9">
        <v>21</v>
      </c>
      <c r="AB25" s="19">
        <f t="shared" si="0"/>
        <v>2.52</v>
      </c>
      <c r="AC25" s="19">
        <f t="shared" si="1"/>
        <v>0.84</v>
      </c>
      <c r="AD25" s="19">
        <f t="shared" si="2"/>
        <v>0</v>
      </c>
      <c r="AE25" s="19">
        <f t="shared" si="3"/>
        <v>0</v>
      </c>
      <c r="AF25" s="19">
        <f t="shared" si="4"/>
        <v>0</v>
      </c>
    </row>
    <row r="26" spans="1:32" x14ac:dyDescent="0.15">
      <c r="B26" s="13" t="s">
        <v>112</v>
      </c>
      <c r="C26" s="13" t="s">
        <v>113</v>
      </c>
      <c r="D26" s="13" t="s">
        <v>114</v>
      </c>
      <c r="E26" s="13">
        <v>25</v>
      </c>
      <c r="F26" s="13">
        <v>3</v>
      </c>
      <c r="G26" s="13">
        <v>1</v>
      </c>
      <c r="AA26" s="9">
        <v>22</v>
      </c>
      <c r="AB26" s="19">
        <f t="shared" si="0"/>
        <v>2.64</v>
      </c>
      <c r="AC26" s="19">
        <f t="shared" si="1"/>
        <v>0.88</v>
      </c>
      <c r="AD26" s="19">
        <f t="shared" si="2"/>
        <v>0</v>
      </c>
      <c r="AE26" s="19">
        <f t="shared" si="3"/>
        <v>0</v>
      </c>
      <c r="AF26" s="19">
        <f t="shared" si="4"/>
        <v>0</v>
      </c>
    </row>
    <row r="27" spans="1:32" x14ac:dyDescent="0.15">
      <c r="B27" s="13"/>
      <c r="C27" s="13" t="s">
        <v>114</v>
      </c>
      <c r="D27" s="13" t="s">
        <v>108</v>
      </c>
      <c r="E27" s="13">
        <v>40</v>
      </c>
      <c r="F27" s="13">
        <v>5</v>
      </c>
      <c r="G27" s="13">
        <v>3</v>
      </c>
      <c r="AA27" s="9">
        <v>23</v>
      </c>
      <c r="AB27" s="19">
        <f t="shared" si="0"/>
        <v>2.76</v>
      </c>
      <c r="AC27" s="19">
        <f t="shared" si="1"/>
        <v>0.92</v>
      </c>
      <c r="AD27" s="19">
        <f t="shared" si="2"/>
        <v>0</v>
      </c>
      <c r="AE27" s="19">
        <f t="shared" si="3"/>
        <v>0</v>
      </c>
      <c r="AF27" s="19">
        <f t="shared" si="4"/>
        <v>0</v>
      </c>
    </row>
    <row r="28" spans="1:32" x14ac:dyDescent="0.15">
      <c r="B28" s="13" t="s">
        <v>115</v>
      </c>
      <c r="C28" s="13" t="s">
        <v>108</v>
      </c>
      <c r="D28" s="13" t="s">
        <v>116</v>
      </c>
      <c r="E28" s="13">
        <v>60</v>
      </c>
      <c r="F28" s="13">
        <v>10</v>
      </c>
      <c r="G28" s="13">
        <v>5</v>
      </c>
      <c r="AA28" s="9">
        <v>24</v>
      </c>
      <c r="AB28" s="19">
        <f t="shared" si="0"/>
        <v>2.88</v>
      </c>
      <c r="AC28" s="19">
        <f t="shared" si="1"/>
        <v>0.96</v>
      </c>
      <c r="AD28" s="19">
        <f t="shared" si="2"/>
        <v>0</v>
      </c>
      <c r="AE28" s="19">
        <f t="shared" si="3"/>
        <v>0</v>
      </c>
      <c r="AF28" s="19">
        <f t="shared" si="4"/>
        <v>0</v>
      </c>
    </row>
    <row r="29" spans="1:32" x14ac:dyDescent="0.15">
      <c r="B29" s="13"/>
      <c r="C29" s="13" t="s">
        <v>116</v>
      </c>
      <c r="D29" s="13" t="s">
        <v>109</v>
      </c>
      <c r="E29" s="13">
        <v>75</v>
      </c>
      <c r="F29" s="13">
        <v>20</v>
      </c>
      <c r="G29" s="13">
        <v>7</v>
      </c>
      <c r="AA29" s="9">
        <v>25</v>
      </c>
      <c r="AB29" s="19">
        <f t="shared" si="0"/>
        <v>3</v>
      </c>
      <c r="AC29" s="19">
        <f t="shared" si="1"/>
        <v>1</v>
      </c>
      <c r="AD29" s="19">
        <f t="shared" si="2"/>
        <v>0</v>
      </c>
      <c r="AE29" s="19">
        <f t="shared" si="3"/>
        <v>0</v>
      </c>
      <c r="AF29" s="19">
        <f t="shared" si="4"/>
        <v>0</v>
      </c>
    </row>
    <row r="30" spans="1:32" x14ac:dyDescent="0.15">
      <c r="AA30" s="9">
        <v>26</v>
      </c>
      <c r="AB30" s="19">
        <f t="shared" si="0"/>
        <v>3.6666666666666665</v>
      </c>
      <c r="AC30" s="19">
        <f t="shared" si="1"/>
        <v>1.2222222222222223</v>
      </c>
      <c r="AD30" s="19">
        <f t="shared" si="2"/>
        <v>0</v>
      </c>
      <c r="AE30" s="19">
        <f t="shared" si="3"/>
        <v>0</v>
      </c>
      <c r="AF30" s="19">
        <f t="shared" si="4"/>
        <v>0</v>
      </c>
    </row>
    <row r="31" spans="1:32" x14ac:dyDescent="0.15">
      <c r="A31" s="13" t="s">
        <v>130</v>
      </c>
      <c r="B31" s="13" t="s">
        <v>129</v>
      </c>
      <c r="C31" s="13" t="s">
        <v>113</v>
      </c>
      <c r="D31" s="13" t="s">
        <v>114</v>
      </c>
      <c r="E31" s="13" t="s">
        <v>108</v>
      </c>
      <c r="F31" s="13" t="s">
        <v>116</v>
      </c>
      <c r="G31" s="13" t="s">
        <v>109</v>
      </c>
      <c r="H31" s="13" t="s">
        <v>132</v>
      </c>
      <c r="I31" s="13" t="s">
        <v>133</v>
      </c>
      <c r="AA31" s="9">
        <v>27</v>
      </c>
      <c r="AB31" s="19">
        <f t="shared" si="0"/>
        <v>4.333333333333333</v>
      </c>
      <c r="AC31" s="19">
        <f t="shared" si="1"/>
        <v>1.4444444444444444</v>
      </c>
      <c r="AD31" s="19">
        <f t="shared" si="2"/>
        <v>0</v>
      </c>
      <c r="AE31" s="19">
        <f t="shared" si="3"/>
        <v>0</v>
      </c>
      <c r="AF31" s="19">
        <f t="shared" si="4"/>
        <v>0</v>
      </c>
    </row>
    <row r="32" spans="1:32" x14ac:dyDescent="0.15">
      <c r="A32" s="13" t="s">
        <v>108</v>
      </c>
      <c r="B32" s="13" t="s">
        <v>125</v>
      </c>
      <c r="C32" s="13">
        <v>3</v>
      </c>
      <c r="D32" s="13">
        <v>1</v>
      </c>
      <c r="E32" s="13"/>
      <c r="F32" s="13"/>
      <c r="G32" s="13"/>
      <c r="H32" s="13"/>
      <c r="I32" s="13"/>
      <c r="AA32" s="9">
        <v>28</v>
      </c>
      <c r="AB32" s="19">
        <f t="shared" si="0"/>
        <v>5</v>
      </c>
      <c r="AC32" s="19">
        <f t="shared" si="1"/>
        <v>1.6666666666666665</v>
      </c>
      <c r="AD32" s="19">
        <f t="shared" si="2"/>
        <v>0</v>
      </c>
      <c r="AE32" s="19">
        <f t="shared" si="3"/>
        <v>0</v>
      </c>
      <c r="AF32" s="19">
        <f t="shared" si="4"/>
        <v>0</v>
      </c>
    </row>
    <row r="33" spans="1:32" x14ac:dyDescent="0.15">
      <c r="A33" s="13" t="s">
        <v>108</v>
      </c>
      <c r="B33" s="13" t="s">
        <v>126</v>
      </c>
      <c r="C33" s="13"/>
      <c r="D33" s="13">
        <v>5</v>
      </c>
      <c r="E33" s="13">
        <v>3</v>
      </c>
      <c r="F33" s="13"/>
      <c r="G33" s="13"/>
      <c r="H33" s="13">
        <v>4</v>
      </c>
      <c r="I33" s="13"/>
      <c r="AA33" s="9">
        <v>29</v>
      </c>
      <c r="AB33" s="19">
        <f t="shared" si="0"/>
        <v>5.6666666666666661</v>
      </c>
      <c r="AC33" s="19">
        <f t="shared" si="1"/>
        <v>1.8888888888888888</v>
      </c>
      <c r="AD33" s="19">
        <f t="shared" si="2"/>
        <v>0</v>
      </c>
      <c r="AE33" s="19">
        <f t="shared" si="3"/>
        <v>0</v>
      </c>
      <c r="AF33" s="19">
        <f t="shared" si="4"/>
        <v>0</v>
      </c>
    </row>
    <row r="34" spans="1:32" x14ac:dyDescent="0.15">
      <c r="A34" s="13" t="s">
        <v>109</v>
      </c>
      <c r="B34" s="13" t="s">
        <v>125</v>
      </c>
      <c r="C34" s="13"/>
      <c r="D34" s="13"/>
      <c r="E34" s="13">
        <v>10</v>
      </c>
      <c r="F34" s="13">
        <v>5</v>
      </c>
      <c r="G34" s="13"/>
      <c r="H34" s="13"/>
      <c r="I34" s="13"/>
      <c r="AA34" s="9">
        <v>30</v>
      </c>
      <c r="AB34" s="19">
        <f t="shared" si="0"/>
        <v>6.333333333333333</v>
      </c>
      <c r="AC34" s="19">
        <f t="shared" si="1"/>
        <v>2.1111111111111112</v>
      </c>
      <c r="AD34" s="19">
        <f t="shared" si="2"/>
        <v>0</v>
      </c>
      <c r="AE34" s="19">
        <f t="shared" si="3"/>
        <v>0</v>
      </c>
      <c r="AF34" s="19">
        <f t="shared" si="4"/>
        <v>0</v>
      </c>
    </row>
    <row r="35" spans="1:32" x14ac:dyDescent="0.15">
      <c r="A35" s="13" t="s">
        <v>109</v>
      </c>
      <c r="B35" s="13" t="s">
        <v>126</v>
      </c>
      <c r="C35" s="13"/>
      <c r="D35" s="13"/>
      <c r="E35" s="13"/>
      <c r="F35" s="13">
        <v>20</v>
      </c>
      <c r="G35" s="13">
        <v>7</v>
      </c>
      <c r="H35" s="13"/>
      <c r="I35" s="13">
        <v>4</v>
      </c>
      <c r="AA35" s="9">
        <v>31</v>
      </c>
      <c r="AB35" s="19">
        <f t="shared" si="0"/>
        <v>7</v>
      </c>
      <c r="AC35" s="19">
        <f t="shared" si="1"/>
        <v>2.333333333333333</v>
      </c>
      <c r="AD35" s="19">
        <f t="shared" si="2"/>
        <v>0</v>
      </c>
      <c r="AE35" s="19">
        <f t="shared" si="3"/>
        <v>0</v>
      </c>
      <c r="AF35" s="19">
        <f t="shared" si="4"/>
        <v>0</v>
      </c>
    </row>
    <row r="36" spans="1:32" x14ac:dyDescent="0.15">
      <c r="AA36" s="9">
        <v>32</v>
      </c>
      <c r="AB36" s="19">
        <f t="shared" si="0"/>
        <v>7.6666666666666661</v>
      </c>
      <c r="AC36" s="19">
        <f t="shared" si="1"/>
        <v>2.5555555555555554</v>
      </c>
      <c r="AD36" s="19">
        <f t="shared" si="2"/>
        <v>0</v>
      </c>
      <c r="AE36" s="19">
        <f t="shared" si="3"/>
        <v>0</v>
      </c>
      <c r="AF36" s="19">
        <f t="shared" si="4"/>
        <v>0</v>
      </c>
    </row>
    <row r="37" spans="1:32" x14ac:dyDescent="0.15">
      <c r="AA37" s="9">
        <v>33</v>
      </c>
      <c r="AB37" s="19">
        <f t="shared" si="0"/>
        <v>8.3333333333333321</v>
      </c>
      <c r="AC37" s="19">
        <f t="shared" si="1"/>
        <v>2.7777777777777777</v>
      </c>
      <c r="AD37" s="19">
        <f t="shared" si="2"/>
        <v>0</v>
      </c>
      <c r="AE37" s="19">
        <f t="shared" si="3"/>
        <v>0</v>
      </c>
      <c r="AF37" s="19">
        <f t="shared" si="4"/>
        <v>0</v>
      </c>
    </row>
    <row r="38" spans="1:32" x14ac:dyDescent="0.15">
      <c r="AA38" s="9">
        <v>34</v>
      </c>
      <c r="AB38" s="19">
        <f t="shared" si="0"/>
        <v>9</v>
      </c>
      <c r="AC38" s="19">
        <f t="shared" si="1"/>
        <v>3</v>
      </c>
      <c r="AD38" s="19">
        <f t="shared" si="2"/>
        <v>0</v>
      </c>
      <c r="AE38" s="19">
        <f t="shared" si="3"/>
        <v>0</v>
      </c>
      <c r="AF38" s="19">
        <f t="shared" si="4"/>
        <v>0</v>
      </c>
    </row>
    <row r="39" spans="1:32" x14ac:dyDescent="0.15">
      <c r="AA39" s="9">
        <v>35</v>
      </c>
      <c r="AB39" s="19">
        <f t="shared" si="0"/>
        <v>10</v>
      </c>
      <c r="AC39" s="19">
        <f t="shared" si="1"/>
        <v>4.166666666666667</v>
      </c>
      <c r="AD39" s="19">
        <f t="shared" si="2"/>
        <v>0.5</v>
      </c>
      <c r="AE39" s="19">
        <f t="shared" si="3"/>
        <v>0</v>
      </c>
      <c r="AF39" s="19">
        <f t="shared" si="4"/>
        <v>0</v>
      </c>
    </row>
    <row r="40" spans="1:32" x14ac:dyDescent="0.15">
      <c r="AA40" s="9">
        <v>36</v>
      </c>
      <c r="AB40" s="19">
        <f t="shared" si="0"/>
        <v>11</v>
      </c>
      <c r="AC40" s="19">
        <f t="shared" si="1"/>
        <v>5.3333333333333339</v>
      </c>
      <c r="AD40" s="19">
        <f t="shared" si="2"/>
        <v>1</v>
      </c>
      <c r="AE40" s="19">
        <f t="shared" si="3"/>
        <v>0</v>
      </c>
      <c r="AF40" s="19">
        <f t="shared" si="4"/>
        <v>0</v>
      </c>
    </row>
    <row r="41" spans="1:32" x14ac:dyDescent="0.15">
      <c r="AA41" s="9">
        <v>37</v>
      </c>
      <c r="AB41" s="19">
        <f t="shared" si="0"/>
        <v>12</v>
      </c>
      <c r="AC41" s="19">
        <f t="shared" si="1"/>
        <v>6.5</v>
      </c>
      <c r="AD41" s="19">
        <f t="shared" si="2"/>
        <v>1.5</v>
      </c>
      <c r="AE41" s="19">
        <f t="shared" si="3"/>
        <v>0</v>
      </c>
      <c r="AF41" s="19">
        <f t="shared" si="4"/>
        <v>0</v>
      </c>
    </row>
    <row r="42" spans="1:32" x14ac:dyDescent="0.15">
      <c r="AA42" s="9">
        <v>38</v>
      </c>
      <c r="AB42" s="19">
        <f t="shared" si="0"/>
        <v>13</v>
      </c>
      <c r="AC42" s="19">
        <f t="shared" si="1"/>
        <v>7.666666666666667</v>
      </c>
      <c r="AD42" s="19">
        <f t="shared" si="2"/>
        <v>2</v>
      </c>
      <c r="AE42" s="19">
        <f t="shared" si="3"/>
        <v>0</v>
      </c>
      <c r="AF42" s="19">
        <f t="shared" si="4"/>
        <v>0</v>
      </c>
    </row>
    <row r="43" spans="1:32" x14ac:dyDescent="0.15">
      <c r="AA43" s="9">
        <v>39</v>
      </c>
      <c r="AB43" s="19">
        <f t="shared" si="0"/>
        <v>14</v>
      </c>
      <c r="AC43" s="19">
        <f t="shared" si="1"/>
        <v>8.8333333333333339</v>
      </c>
      <c r="AD43" s="19">
        <f t="shared" si="2"/>
        <v>2.5</v>
      </c>
      <c r="AE43" s="19">
        <f t="shared" si="3"/>
        <v>0</v>
      </c>
      <c r="AF43" s="19">
        <f t="shared" si="4"/>
        <v>0</v>
      </c>
    </row>
    <row r="44" spans="1:32" x14ac:dyDescent="0.15">
      <c r="AA44" s="9">
        <v>40</v>
      </c>
      <c r="AB44" s="19">
        <f t="shared" si="0"/>
        <v>15</v>
      </c>
      <c r="AC44" s="19">
        <f t="shared" si="1"/>
        <v>10</v>
      </c>
      <c r="AD44" s="19">
        <f t="shared" si="2"/>
        <v>3</v>
      </c>
      <c r="AE44" s="19">
        <f t="shared" si="3"/>
        <v>0</v>
      </c>
      <c r="AF44" s="19">
        <f t="shared" si="4"/>
        <v>0</v>
      </c>
    </row>
    <row r="45" spans="1:32" x14ac:dyDescent="0.15">
      <c r="AA45" s="9">
        <v>41</v>
      </c>
      <c r="AB45" s="19">
        <f t="shared" si="0"/>
        <v>15.375</v>
      </c>
      <c r="AC45" s="19">
        <f t="shared" si="1"/>
        <v>11.375</v>
      </c>
      <c r="AD45" s="19">
        <f t="shared" si="2"/>
        <v>3.75</v>
      </c>
      <c r="AE45" s="19">
        <f t="shared" si="3"/>
        <v>0</v>
      </c>
      <c r="AF45" s="19">
        <f t="shared" si="4"/>
        <v>0</v>
      </c>
    </row>
    <row r="46" spans="1:32" x14ac:dyDescent="0.15">
      <c r="AA46" s="9">
        <v>42</v>
      </c>
      <c r="AB46" s="19">
        <f t="shared" si="0"/>
        <v>15.75</v>
      </c>
      <c r="AC46" s="19">
        <f t="shared" si="1"/>
        <v>12.75</v>
      </c>
      <c r="AD46" s="19">
        <f t="shared" si="2"/>
        <v>4.5</v>
      </c>
      <c r="AE46" s="19">
        <f t="shared" si="3"/>
        <v>0</v>
      </c>
      <c r="AF46" s="19">
        <f t="shared" si="4"/>
        <v>0</v>
      </c>
    </row>
    <row r="47" spans="1:32" x14ac:dyDescent="0.15">
      <c r="AA47" s="9">
        <v>43</v>
      </c>
      <c r="AB47" s="19">
        <f t="shared" si="0"/>
        <v>16.125</v>
      </c>
      <c r="AC47" s="19">
        <f t="shared" si="1"/>
        <v>14.125</v>
      </c>
      <c r="AD47" s="19">
        <f t="shared" si="2"/>
        <v>5.25</v>
      </c>
      <c r="AE47" s="19">
        <f t="shared" si="3"/>
        <v>0</v>
      </c>
      <c r="AF47" s="19">
        <f t="shared" si="4"/>
        <v>0</v>
      </c>
    </row>
    <row r="48" spans="1:32" x14ac:dyDescent="0.15">
      <c r="AA48" s="9">
        <v>44</v>
      </c>
      <c r="AB48" s="19">
        <f t="shared" si="0"/>
        <v>16.5</v>
      </c>
      <c r="AC48" s="19">
        <f t="shared" si="1"/>
        <v>15.5</v>
      </c>
      <c r="AD48" s="19">
        <f t="shared" si="2"/>
        <v>6</v>
      </c>
      <c r="AE48" s="19">
        <f t="shared" si="3"/>
        <v>0</v>
      </c>
      <c r="AF48" s="19">
        <f t="shared" si="4"/>
        <v>0</v>
      </c>
    </row>
    <row r="49" spans="26:32" x14ac:dyDescent="0.15">
      <c r="Z49" s="9"/>
      <c r="AA49" s="9">
        <v>45</v>
      </c>
      <c r="AB49" s="19">
        <f t="shared" si="0"/>
        <v>16.875</v>
      </c>
      <c r="AC49" s="19">
        <f t="shared" si="1"/>
        <v>16.875</v>
      </c>
      <c r="AD49" s="19">
        <f t="shared" si="2"/>
        <v>6.75</v>
      </c>
      <c r="AE49" s="19">
        <f t="shared" si="3"/>
        <v>0</v>
      </c>
      <c r="AF49" s="19">
        <f t="shared" si="4"/>
        <v>0</v>
      </c>
    </row>
    <row r="50" spans="26:32" x14ac:dyDescent="0.15">
      <c r="Z50" s="9"/>
      <c r="AA50" s="9">
        <v>46</v>
      </c>
      <c r="AB50" s="19">
        <f t="shared" si="0"/>
        <v>17.25</v>
      </c>
      <c r="AC50" s="19">
        <f t="shared" si="1"/>
        <v>18.25</v>
      </c>
      <c r="AD50" s="19">
        <f t="shared" si="2"/>
        <v>7.5</v>
      </c>
      <c r="AE50" s="19">
        <f t="shared" si="3"/>
        <v>0</v>
      </c>
      <c r="AF50" s="19">
        <f t="shared" si="4"/>
        <v>0</v>
      </c>
    </row>
    <row r="51" spans="26:32" x14ac:dyDescent="0.15">
      <c r="Z51" s="9"/>
      <c r="AA51" s="9">
        <v>47</v>
      </c>
      <c r="AB51" s="19">
        <f t="shared" si="0"/>
        <v>17.625</v>
      </c>
      <c r="AC51" s="19">
        <f t="shared" si="1"/>
        <v>19.625</v>
      </c>
      <c r="AD51" s="19">
        <f t="shared" si="2"/>
        <v>8.25</v>
      </c>
      <c r="AE51" s="19">
        <f t="shared" si="3"/>
        <v>0</v>
      </c>
      <c r="AF51" s="19">
        <f t="shared" si="4"/>
        <v>0</v>
      </c>
    </row>
    <row r="52" spans="26:32" x14ac:dyDescent="0.15">
      <c r="Z52" s="9"/>
      <c r="AA52" s="9">
        <v>48</v>
      </c>
      <c r="AB52" s="19">
        <f t="shared" si="0"/>
        <v>18</v>
      </c>
      <c r="AC52" s="19">
        <f t="shared" si="1"/>
        <v>21</v>
      </c>
      <c r="AD52" s="19">
        <f t="shared" si="2"/>
        <v>9</v>
      </c>
      <c r="AE52" s="19">
        <f t="shared" si="3"/>
        <v>0</v>
      </c>
      <c r="AF52" s="19">
        <f t="shared" si="4"/>
        <v>0</v>
      </c>
    </row>
    <row r="53" spans="26:32" x14ac:dyDescent="0.15">
      <c r="Z53" s="9"/>
      <c r="AA53" s="9">
        <v>49</v>
      </c>
      <c r="AB53" s="19">
        <f t="shared" si="0"/>
        <v>17.399999999999999</v>
      </c>
      <c r="AC53" s="19">
        <f t="shared" si="1"/>
        <v>22.8</v>
      </c>
      <c r="AD53" s="19">
        <f t="shared" si="2"/>
        <v>10.199999999999999</v>
      </c>
      <c r="AE53" s="19">
        <f t="shared" si="3"/>
        <v>0</v>
      </c>
      <c r="AF53" s="19">
        <f t="shared" si="4"/>
        <v>0</v>
      </c>
    </row>
    <row r="54" spans="26:32" x14ac:dyDescent="0.15">
      <c r="Z54" s="9"/>
      <c r="AA54" s="9">
        <v>50</v>
      </c>
      <c r="AB54" s="19">
        <f t="shared" si="0"/>
        <v>16.8</v>
      </c>
      <c r="AC54" s="19">
        <f t="shared" si="1"/>
        <v>24.6</v>
      </c>
      <c r="AD54" s="19">
        <f t="shared" si="2"/>
        <v>11.4</v>
      </c>
      <c r="AE54" s="19">
        <f t="shared" si="3"/>
        <v>0</v>
      </c>
      <c r="AF54" s="19">
        <f t="shared" si="4"/>
        <v>0</v>
      </c>
    </row>
    <row r="55" spans="26:32" x14ac:dyDescent="0.15">
      <c r="Z55" s="9"/>
      <c r="AA55" s="9">
        <v>51</v>
      </c>
      <c r="AB55" s="19">
        <f t="shared" si="0"/>
        <v>16.2</v>
      </c>
      <c r="AC55" s="19">
        <f t="shared" si="1"/>
        <v>26.4</v>
      </c>
      <c r="AD55" s="19">
        <f t="shared" si="2"/>
        <v>12.6</v>
      </c>
      <c r="AE55" s="19">
        <f t="shared" si="3"/>
        <v>0</v>
      </c>
      <c r="AF55" s="19">
        <f t="shared" si="4"/>
        <v>0</v>
      </c>
    </row>
    <row r="56" spans="26:32" x14ac:dyDescent="0.15">
      <c r="Z56" s="9"/>
      <c r="AA56" s="9">
        <v>52</v>
      </c>
      <c r="AB56" s="19">
        <f t="shared" si="0"/>
        <v>15.6</v>
      </c>
      <c r="AC56" s="19">
        <f t="shared" si="1"/>
        <v>28.2</v>
      </c>
      <c r="AD56" s="19">
        <f t="shared" si="2"/>
        <v>13.8</v>
      </c>
      <c r="AE56" s="19">
        <f t="shared" si="3"/>
        <v>0</v>
      </c>
      <c r="AF56" s="19">
        <f t="shared" si="4"/>
        <v>0</v>
      </c>
    </row>
    <row r="57" spans="26:32" x14ac:dyDescent="0.15">
      <c r="Z57" s="9"/>
      <c r="AA57" s="9">
        <v>53</v>
      </c>
      <c r="AB57" s="19">
        <f t="shared" si="0"/>
        <v>15</v>
      </c>
      <c r="AC57" s="19">
        <f t="shared" si="1"/>
        <v>30</v>
      </c>
      <c r="AD57" s="19">
        <f t="shared" si="2"/>
        <v>15</v>
      </c>
      <c r="AE57" s="19">
        <f t="shared" si="3"/>
        <v>0</v>
      </c>
      <c r="AF57" s="19">
        <f t="shared" si="4"/>
        <v>0</v>
      </c>
    </row>
    <row r="58" spans="26:32" x14ac:dyDescent="0.15">
      <c r="Z58" s="9"/>
      <c r="AA58" s="9">
        <v>54</v>
      </c>
      <c r="AB58" s="19">
        <f t="shared" si="0"/>
        <v>15.2</v>
      </c>
      <c r="AC58" s="19">
        <f t="shared" si="1"/>
        <v>30.4</v>
      </c>
      <c r="AD58" s="19">
        <f t="shared" si="2"/>
        <v>15.866666666666667</v>
      </c>
      <c r="AE58" s="19">
        <f t="shared" si="3"/>
        <v>0.33333333333333331</v>
      </c>
      <c r="AF58" s="19">
        <f t="shared" si="4"/>
        <v>0</v>
      </c>
    </row>
    <row r="59" spans="26:32" x14ac:dyDescent="0.15">
      <c r="Z59" s="9"/>
      <c r="AA59" s="9">
        <v>55</v>
      </c>
      <c r="AB59" s="19">
        <f t="shared" si="0"/>
        <v>15.4</v>
      </c>
      <c r="AC59" s="19">
        <f t="shared" si="1"/>
        <v>30.8</v>
      </c>
      <c r="AD59" s="19">
        <f t="shared" si="2"/>
        <v>16.733333333333334</v>
      </c>
      <c r="AE59" s="19">
        <f t="shared" si="3"/>
        <v>0.66666666666666663</v>
      </c>
      <c r="AF59" s="19">
        <f t="shared" si="4"/>
        <v>0</v>
      </c>
    </row>
    <row r="60" spans="26:32" x14ac:dyDescent="0.15">
      <c r="Z60" s="9"/>
      <c r="AA60" s="9">
        <v>56</v>
      </c>
      <c r="AB60" s="19">
        <f t="shared" si="0"/>
        <v>15.6</v>
      </c>
      <c r="AC60" s="19">
        <f t="shared" si="1"/>
        <v>31.2</v>
      </c>
      <c r="AD60" s="19">
        <f t="shared" si="2"/>
        <v>17.600000000000001</v>
      </c>
      <c r="AE60" s="19">
        <f t="shared" si="3"/>
        <v>1</v>
      </c>
      <c r="AF60" s="19">
        <f t="shared" si="4"/>
        <v>0</v>
      </c>
    </row>
    <row r="61" spans="26:32" x14ac:dyDescent="0.15">
      <c r="Z61" s="9"/>
      <c r="AA61" s="9">
        <v>57</v>
      </c>
      <c r="AB61" s="19">
        <f t="shared" si="0"/>
        <v>15.8</v>
      </c>
      <c r="AC61" s="19">
        <f t="shared" si="1"/>
        <v>31.6</v>
      </c>
      <c r="AD61" s="19">
        <f t="shared" si="2"/>
        <v>18.466666666666669</v>
      </c>
      <c r="AE61" s="19">
        <f t="shared" si="3"/>
        <v>1.3333333333333333</v>
      </c>
      <c r="AF61" s="19">
        <f t="shared" si="4"/>
        <v>0</v>
      </c>
    </row>
    <row r="62" spans="26:32" x14ac:dyDescent="0.15">
      <c r="Z62" s="9"/>
      <c r="AA62" s="9">
        <v>58</v>
      </c>
      <c r="AB62" s="19">
        <f t="shared" si="0"/>
        <v>16</v>
      </c>
      <c r="AC62" s="19">
        <f t="shared" si="1"/>
        <v>32</v>
      </c>
      <c r="AD62" s="19">
        <f t="shared" si="2"/>
        <v>19.333333333333336</v>
      </c>
      <c r="AE62" s="19">
        <f t="shared" si="3"/>
        <v>1.6666666666666665</v>
      </c>
      <c r="AF62" s="19">
        <f t="shared" si="4"/>
        <v>0</v>
      </c>
    </row>
    <row r="63" spans="26:32" x14ac:dyDescent="0.15">
      <c r="Z63" s="9"/>
      <c r="AA63" s="9">
        <v>59</v>
      </c>
      <c r="AB63" s="19">
        <f t="shared" si="0"/>
        <v>16.2</v>
      </c>
      <c r="AC63" s="19">
        <f t="shared" si="1"/>
        <v>32.4</v>
      </c>
      <c r="AD63" s="19">
        <f t="shared" si="2"/>
        <v>20.2</v>
      </c>
      <c r="AE63" s="19">
        <f t="shared" si="3"/>
        <v>2</v>
      </c>
      <c r="AF63" s="19">
        <f t="shared" si="4"/>
        <v>0</v>
      </c>
    </row>
    <row r="64" spans="26:32" x14ac:dyDescent="0.15">
      <c r="Z64" s="9"/>
      <c r="AA64" s="9">
        <v>60</v>
      </c>
      <c r="AB64" s="19">
        <f t="shared" si="0"/>
        <v>16.399999999999999</v>
      </c>
      <c r="AC64" s="19">
        <f t="shared" si="1"/>
        <v>32.799999999999997</v>
      </c>
      <c r="AD64" s="19">
        <f t="shared" si="2"/>
        <v>21.066666666666666</v>
      </c>
      <c r="AE64" s="19">
        <f t="shared" si="3"/>
        <v>2.333333333333333</v>
      </c>
      <c r="AF64" s="19">
        <f t="shared" si="4"/>
        <v>0</v>
      </c>
    </row>
    <row r="65" spans="26:32" x14ac:dyDescent="0.15">
      <c r="Z65" s="9"/>
      <c r="AA65" s="9">
        <v>61</v>
      </c>
      <c r="AB65" s="19">
        <f t="shared" si="0"/>
        <v>16.600000000000001</v>
      </c>
      <c r="AC65" s="19">
        <f t="shared" si="1"/>
        <v>33.200000000000003</v>
      </c>
      <c r="AD65" s="19">
        <f t="shared" si="2"/>
        <v>21.933333333333334</v>
      </c>
      <c r="AE65" s="19">
        <f t="shared" si="3"/>
        <v>2.6666666666666665</v>
      </c>
      <c r="AF65" s="19">
        <f t="shared" si="4"/>
        <v>0</v>
      </c>
    </row>
    <row r="66" spans="26:32" x14ac:dyDescent="0.15">
      <c r="Z66" s="9"/>
      <c r="AA66" s="9">
        <v>62</v>
      </c>
      <c r="AB66" s="19">
        <f t="shared" si="0"/>
        <v>16.8</v>
      </c>
      <c r="AC66" s="19">
        <f t="shared" si="1"/>
        <v>33.6</v>
      </c>
      <c r="AD66" s="19">
        <f t="shared" si="2"/>
        <v>22.8</v>
      </c>
      <c r="AE66" s="19">
        <f t="shared" si="3"/>
        <v>3</v>
      </c>
      <c r="AF66" s="19">
        <f t="shared" si="4"/>
        <v>0</v>
      </c>
    </row>
    <row r="67" spans="26:32" x14ac:dyDescent="0.15">
      <c r="Z67" s="9"/>
      <c r="AA67" s="9">
        <v>63</v>
      </c>
      <c r="AB67" s="19">
        <f t="shared" si="0"/>
        <v>17</v>
      </c>
      <c r="AC67" s="19">
        <f t="shared" si="1"/>
        <v>34</v>
      </c>
      <c r="AD67" s="19">
        <f t="shared" si="2"/>
        <v>23.666666666666668</v>
      </c>
      <c r="AE67" s="19">
        <f t="shared" si="3"/>
        <v>3.333333333333333</v>
      </c>
      <c r="AF67" s="19">
        <f t="shared" si="4"/>
        <v>0</v>
      </c>
    </row>
    <row r="68" spans="26:32" x14ac:dyDescent="0.15">
      <c r="Z68" s="9"/>
      <c r="AA68" s="9">
        <v>64</v>
      </c>
      <c r="AB68" s="19">
        <f t="shared" si="0"/>
        <v>17.2</v>
      </c>
      <c r="AC68" s="19">
        <f t="shared" si="1"/>
        <v>34.4</v>
      </c>
      <c r="AD68" s="19">
        <f t="shared" si="2"/>
        <v>24.533333333333331</v>
      </c>
      <c r="AE68" s="19">
        <f t="shared" si="3"/>
        <v>3.6666666666666665</v>
      </c>
      <c r="AF68" s="19">
        <f t="shared" si="4"/>
        <v>0</v>
      </c>
    </row>
    <row r="69" spans="26:32" x14ac:dyDescent="0.15">
      <c r="Z69" s="9"/>
      <c r="AA69" s="9">
        <v>65</v>
      </c>
      <c r="AB69" s="19">
        <f t="shared" si="0"/>
        <v>17.399999999999999</v>
      </c>
      <c r="AC69" s="19">
        <f t="shared" si="1"/>
        <v>34.799999999999997</v>
      </c>
      <c r="AD69" s="19">
        <f t="shared" si="2"/>
        <v>25.4</v>
      </c>
      <c r="AE69" s="19">
        <f t="shared" si="3"/>
        <v>4</v>
      </c>
      <c r="AF69" s="19">
        <f t="shared" si="4"/>
        <v>0</v>
      </c>
    </row>
    <row r="70" spans="26:32" x14ac:dyDescent="0.15">
      <c r="Z70" s="9"/>
      <c r="AA70" s="9">
        <v>66</v>
      </c>
      <c r="AB70" s="19">
        <f t="shared" ref="AB70:AB104" si="12">求节点($Q$8:$Q$14,S$8:S$14,$AA70)</f>
        <v>17.600000000000001</v>
      </c>
      <c r="AC70" s="19">
        <f t="shared" ref="AC70:AC104" si="13">求节点($Q$8:$Q$14,T$8:T$14,$AA70)</f>
        <v>35.200000000000003</v>
      </c>
      <c r="AD70" s="19">
        <f t="shared" ref="AD70:AD104" si="14">求节点($Q$8:$Q$14,U$8:U$14,$AA70)</f>
        <v>26.266666666666666</v>
      </c>
      <c r="AE70" s="19">
        <f t="shared" ref="AE70:AE104" si="15">求节点($Q$8:$Q$14,V$8:V$14,$AA70)</f>
        <v>4.333333333333333</v>
      </c>
      <c r="AF70" s="19">
        <f t="shared" ref="AF70:AF104" si="16">求节点($Q$8:$Q$14,W$8:W$14,$AA70)</f>
        <v>0</v>
      </c>
    </row>
    <row r="71" spans="26:32" x14ac:dyDescent="0.15">
      <c r="Z71" s="9"/>
      <c r="AA71" s="9">
        <v>67</v>
      </c>
      <c r="AB71" s="19">
        <f t="shared" si="12"/>
        <v>17.8</v>
      </c>
      <c r="AC71" s="19">
        <f t="shared" si="13"/>
        <v>35.6</v>
      </c>
      <c r="AD71" s="19">
        <f t="shared" si="14"/>
        <v>27.133333333333333</v>
      </c>
      <c r="AE71" s="19">
        <f t="shared" si="15"/>
        <v>4.6666666666666661</v>
      </c>
      <c r="AF71" s="19">
        <f t="shared" si="16"/>
        <v>0</v>
      </c>
    </row>
    <row r="72" spans="26:32" x14ac:dyDescent="0.15">
      <c r="Z72" s="9"/>
      <c r="AA72" s="9">
        <v>68</v>
      </c>
      <c r="AB72" s="19">
        <f t="shared" si="12"/>
        <v>18</v>
      </c>
      <c r="AC72" s="19">
        <f t="shared" si="13"/>
        <v>36</v>
      </c>
      <c r="AD72" s="19">
        <f t="shared" si="14"/>
        <v>28</v>
      </c>
      <c r="AE72" s="19">
        <f t="shared" si="15"/>
        <v>5</v>
      </c>
      <c r="AF72" s="19">
        <f t="shared" si="16"/>
        <v>0</v>
      </c>
    </row>
    <row r="73" spans="26:32" x14ac:dyDescent="0.15">
      <c r="Z73" s="9"/>
      <c r="AA73" s="9">
        <v>69</v>
      </c>
      <c r="AB73" s="19">
        <f t="shared" si="12"/>
        <v>18.9375</v>
      </c>
      <c r="AC73" s="19">
        <f t="shared" si="13"/>
        <v>37.875</v>
      </c>
      <c r="AD73" s="19">
        <f t="shared" si="14"/>
        <v>28.9375</v>
      </c>
      <c r="AE73" s="19">
        <f t="shared" si="15"/>
        <v>6.25</v>
      </c>
      <c r="AF73" s="19">
        <f t="shared" si="16"/>
        <v>0.4375</v>
      </c>
    </row>
    <row r="74" spans="26:32" x14ac:dyDescent="0.15">
      <c r="Z74" s="9"/>
      <c r="AA74" s="9">
        <v>70</v>
      </c>
      <c r="AB74" s="19">
        <f t="shared" si="12"/>
        <v>19.875</v>
      </c>
      <c r="AC74" s="19">
        <f t="shared" si="13"/>
        <v>39.75</v>
      </c>
      <c r="AD74" s="19">
        <f t="shared" si="14"/>
        <v>29.875</v>
      </c>
      <c r="AE74" s="19">
        <f t="shared" si="15"/>
        <v>7.5</v>
      </c>
      <c r="AF74" s="19">
        <f t="shared" si="16"/>
        <v>0.875</v>
      </c>
    </row>
    <row r="75" spans="26:32" x14ac:dyDescent="0.15">
      <c r="Z75" s="9"/>
      <c r="AA75" s="9">
        <v>71</v>
      </c>
      <c r="AB75" s="19">
        <f t="shared" si="12"/>
        <v>20.8125</v>
      </c>
      <c r="AC75" s="19">
        <f t="shared" si="13"/>
        <v>41.625</v>
      </c>
      <c r="AD75" s="19">
        <f t="shared" si="14"/>
        <v>30.8125</v>
      </c>
      <c r="AE75" s="19">
        <f t="shared" si="15"/>
        <v>8.75</v>
      </c>
      <c r="AF75" s="19">
        <f t="shared" si="16"/>
        <v>1.3125</v>
      </c>
    </row>
    <row r="76" spans="26:32" x14ac:dyDescent="0.15">
      <c r="Z76" s="9"/>
      <c r="AA76" s="9">
        <v>72</v>
      </c>
      <c r="AB76" s="19">
        <f t="shared" si="12"/>
        <v>21.75</v>
      </c>
      <c r="AC76" s="19">
        <f t="shared" si="13"/>
        <v>43.5</v>
      </c>
      <c r="AD76" s="19">
        <f t="shared" si="14"/>
        <v>31.75</v>
      </c>
      <c r="AE76" s="19">
        <f t="shared" si="15"/>
        <v>10</v>
      </c>
      <c r="AF76" s="19">
        <f t="shared" si="16"/>
        <v>1.75</v>
      </c>
    </row>
    <row r="77" spans="26:32" x14ac:dyDescent="0.15">
      <c r="Z77" s="9"/>
      <c r="AA77" s="9">
        <v>73</v>
      </c>
      <c r="AB77" s="19">
        <f t="shared" si="12"/>
        <v>22.6875</v>
      </c>
      <c r="AC77" s="19">
        <f t="shared" si="13"/>
        <v>45.375</v>
      </c>
      <c r="AD77" s="19">
        <f t="shared" si="14"/>
        <v>32.6875</v>
      </c>
      <c r="AE77" s="19">
        <f t="shared" si="15"/>
        <v>11.25</v>
      </c>
      <c r="AF77" s="19">
        <f t="shared" si="16"/>
        <v>2.1875</v>
      </c>
    </row>
    <row r="78" spans="26:32" x14ac:dyDescent="0.15">
      <c r="Z78" s="9"/>
      <c r="AA78" s="9">
        <v>74</v>
      </c>
      <c r="AB78" s="19">
        <f t="shared" si="12"/>
        <v>23.625</v>
      </c>
      <c r="AC78" s="19">
        <f t="shared" si="13"/>
        <v>47.25</v>
      </c>
      <c r="AD78" s="19">
        <f t="shared" si="14"/>
        <v>33.625</v>
      </c>
      <c r="AE78" s="19">
        <f t="shared" si="15"/>
        <v>12.5</v>
      </c>
      <c r="AF78" s="19">
        <f t="shared" si="16"/>
        <v>2.625</v>
      </c>
    </row>
    <row r="79" spans="26:32" x14ac:dyDescent="0.15">
      <c r="Z79" s="9"/>
      <c r="AA79" s="9">
        <v>75</v>
      </c>
      <c r="AB79" s="19">
        <f t="shared" si="12"/>
        <v>24.5625</v>
      </c>
      <c r="AC79" s="19">
        <f t="shared" si="13"/>
        <v>49.125</v>
      </c>
      <c r="AD79" s="19">
        <f t="shared" si="14"/>
        <v>34.5625</v>
      </c>
      <c r="AE79" s="19">
        <f t="shared" si="15"/>
        <v>13.75</v>
      </c>
      <c r="AF79" s="19">
        <f t="shared" si="16"/>
        <v>3.0625</v>
      </c>
    </row>
    <row r="80" spans="26:32" x14ac:dyDescent="0.15">
      <c r="Z80" s="9"/>
      <c r="AA80" s="9">
        <v>76</v>
      </c>
      <c r="AB80" s="19">
        <f t="shared" si="12"/>
        <v>25.5</v>
      </c>
      <c r="AC80" s="19">
        <f t="shared" si="13"/>
        <v>51</v>
      </c>
      <c r="AD80" s="19">
        <f t="shared" si="14"/>
        <v>35.5</v>
      </c>
      <c r="AE80" s="19">
        <f t="shared" si="15"/>
        <v>15</v>
      </c>
      <c r="AF80" s="19">
        <f t="shared" si="16"/>
        <v>3.5</v>
      </c>
    </row>
    <row r="81" spans="26:32" x14ac:dyDescent="0.15">
      <c r="Z81" s="9"/>
      <c r="AA81" s="9">
        <v>77</v>
      </c>
      <c r="AB81" s="19">
        <f t="shared" si="12"/>
        <v>26.4375</v>
      </c>
      <c r="AC81" s="19">
        <f t="shared" si="13"/>
        <v>52.875</v>
      </c>
      <c r="AD81" s="19">
        <f t="shared" si="14"/>
        <v>36.4375</v>
      </c>
      <c r="AE81" s="19">
        <f t="shared" si="15"/>
        <v>16.25</v>
      </c>
      <c r="AF81" s="19">
        <f t="shared" si="16"/>
        <v>3.9375</v>
      </c>
    </row>
    <row r="82" spans="26:32" x14ac:dyDescent="0.15">
      <c r="Z82" s="9"/>
      <c r="AA82" s="9">
        <v>78</v>
      </c>
      <c r="AB82" s="19">
        <f t="shared" si="12"/>
        <v>27.375</v>
      </c>
      <c r="AC82" s="19">
        <f t="shared" si="13"/>
        <v>54.75</v>
      </c>
      <c r="AD82" s="19">
        <f t="shared" si="14"/>
        <v>37.375</v>
      </c>
      <c r="AE82" s="19">
        <f t="shared" si="15"/>
        <v>17.5</v>
      </c>
      <c r="AF82" s="19">
        <f t="shared" si="16"/>
        <v>4.375</v>
      </c>
    </row>
    <row r="83" spans="26:32" x14ac:dyDescent="0.15">
      <c r="Z83" s="9"/>
      <c r="AA83" s="9">
        <v>79</v>
      </c>
      <c r="AB83" s="19">
        <f t="shared" si="12"/>
        <v>28.3125</v>
      </c>
      <c r="AC83" s="19">
        <f t="shared" si="13"/>
        <v>56.625</v>
      </c>
      <c r="AD83" s="19">
        <f t="shared" si="14"/>
        <v>38.3125</v>
      </c>
      <c r="AE83" s="19">
        <f t="shared" si="15"/>
        <v>18.75</v>
      </c>
      <c r="AF83" s="19">
        <f t="shared" si="16"/>
        <v>4.8125</v>
      </c>
    </row>
    <row r="84" spans="26:32" x14ac:dyDescent="0.15">
      <c r="Z84" s="9"/>
      <c r="AA84" s="9">
        <v>80</v>
      </c>
      <c r="AB84" s="19">
        <f t="shared" si="12"/>
        <v>29.25</v>
      </c>
      <c r="AC84" s="19">
        <f t="shared" si="13"/>
        <v>58.5</v>
      </c>
      <c r="AD84" s="19">
        <f t="shared" si="14"/>
        <v>39.25</v>
      </c>
      <c r="AE84" s="19">
        <f t="shared" si="15"/>
        <v>20</v>
      </c>
      <c r="AF84" s="19">
        <f t="shared" si="16"/>
        <v>5.25</v>
      </c>
    </row>
    <row r="85" spans="26:32" x14ac:dyDescent="0.15">
      <c r="Z85" s="9"/>
      <c r="AA85" s="9">
        <v>81</v>
      </c>
      <c r="AB85" s="19">
        <f t="shared" si="12"/>
        <v>30.1875</v>
      </c>
      <c r="AC85" s="19">
        <f t="shared" si="13"/>
        <v>60.375</v>
      </c>
      <c r="AD85" s="19">
        <f t="shared" si="14"/>
        <v>40.1875</v>
      </c>
      <c r="AE85" s="19">
        <f t="shared" si="15"/>
        <v>21.25</v>
      </c>
      <c r="AF85" s="19">
        <f t="shared" si="16"/>
        <v>5.6875</v>
      </c>
    </row>
    <row r="86" spans="26:32" x14ac:dyDescent="0.15">
      <c r="Z86" s="9"/>
      <c r="AA86" s="9">
        <v>82</v>
      </c>
      <c r="AB86" s="19">
        <f t="shared" si="12"/>
        <v>31.125</v>
      </c>
      <c r="AC86" s="19">
        <f t="shared" si="13"/>
        <v>62.25</v>
      </c>
      <c r="AD86" s="19">
        <f t="shared" si="14"/>
        <v>41.125</v>
      </c>
      <c r="AE86" s="19">
        <f t="shared" si="15"/>
        <v>22.5</v>
      </c>
      <c r="AF86" s="19">
        <f t="shared" si="16"/>
        <v>6.125</v>
      </c>
    </row>
    <row r="87" spans="26:32" x14ac:dyDescent="0.15">
      <c r="Z87" s="9"/>
      <c r="AA87" s="9">
        <v>83</v>
      </c>
      <c r="AB87" s="19">
        <f t="shared" si="12"/>
        <v>32.0625</v>
      </c>
      <c r="AC87" s="19">
        <f t="shared" si="13"/>
        <v>64.125</v>
      </c>
      <c r="AD87" s="19">
        <f t="shared" si="14"/>
        <v>42.0625</v>
      </c>
      <c r="AE87" s="19">
        <f t="shared" si="15"/>
        <v>23.75</v>
      </c>
      <c r="AF87" s="19">
        <f t="shared" si="16"/>
        <v>6.5625</v>
      </c>
    </row>
    <row r="88" spans="26:32" x14ac:dyDescent="0.15">
      <c r="Z88" s="9"/>
      <c r="AA88" s="9">
        <v>84</v>
      </c>
      <c r="AB88" s="19">
        <f t="shared" si="12"/>
        <v>33</v>
      </c>
      <c r="AC88" s="19">
        <f t="shared" si="13"/>
        <v>66</v>
      </c>
      <c r="AD88" s="19">
        <f t="shared" si="14"/>
        <v>43</v>
      </c>
      <c r="AE88" s="19">
        <f t="shared" si="15"/>
        <v>25</v>
      </c>
      <c r="AF88" s="19">
        <f t="shared" si="16"/>
        <v>7</v>
      </c>
    </row>
    <row r="89" spans="26:32" x14ac:dyDescent="0.15">
      <c r="Z89" s="9"/>
      <c r="AA89" s="9">
        <v>85</v>
      </c>
      <c r="AB89" s="19">
        <f t="shared" si="12"/>
        <v>33</v>
      </c>
      <c r="AC89" s="19">
        <f t="shared" si="13"/>
        <v>66</v>
      </c>
      <c r="AD89" s="19">
        <f t="shared" si="14"/>
        <v>43</v>
      </c>
      <c r="AE89" s="19">
        <f t="shared" si="15"/>
        <v>25</v>
      </c>
      <c r="AF89" s="19">
        <f t="shared" si="16"/>
        <v>7</v>
      </c>
    </row>
    <row r="90" spans="26:32" x14ac:dyDescent="0.15">
      <c r="Z90" s="9"/>
      <c r="AA90" s="9">
        <v>86</v>
      </c>
      <c r="AB90" s="19">
        <f t="shared" si="12"/>
        <v>33</v>
      </c>
      <c r="AC90" s="19">
        <f t="shared" si="13"/>
        <v>66</v>
      </c>
      <c r="AD90" s="19">
        <f t="shared" si="14"/>
        <v>43</v>
      </c>
      <c r="AE90" s="19">
        <f t="shared" si="15"/>
        <v>25</v>
      </c>
      <c r="AF90" s="19">
        <f t="shared" si="16"/>
        <v>7</v>
      </c>
    </row>
    <row r="91" spans="26:32" x14ac:dyDescent="0.15">
      <c r="Z91" s="9"/>
      <c r="AA91" s="9">
        <v>87</v>
      </c>
      <c r="AB91" s="19">
        <f t="shared" si="12"/>
        <v>33</v>
      </c>
      <c r="AC91" s="19">
        <f t="shared" si="13"/>
        <v>66</v>
      </c>
      <c r="AD91" s="19">
        <f t="shared" si="14"/>
        <v>43</v>
      </c>
      <c r="AE91" s="19">
        <f t="shared" si="15"/>
        <v>25</v>
      </c>
      <c r="AF91" s="19">
        <f t="shared" si="16"/>
        <v>7</v>
      </c>
    </row>
    <row r="92" spans="26:32" x14ac:dyDescent="0.15">
      <c r="Z92" s="9"/>
      <c r="AA92" s="9">
        <v>88</v>
      </c>
      <c r="AB92" s="19">
        <f t="shared" si="12"/>
        <v>33</v>
      </c>
      <c r="AC92" s="19">
        <f t="shared" si="13"/>
        <v>66</v>
      </c>
      <c r="AD92" s="19">
        <f t="shared" si="14"/>
        <v>43</v>
      </c>
      <c r="AE92" s="19">
        <f t="shared" si="15"/>
        <v>25</v>
      </c>
      <c r="AF92" s="19">
        <f t="shared" si="16"/>
        <v>7</v>
      </c>
    </row>
    <row r="93" spans="26:32" x14ac:dyDescent="0.15">
      <c r="Z93" s="9"/>
      <c r="AA93" s="9">
        <v>89</v>
      </c>
      <c r="AB93" s="19">
        <f t="shared" si="12"/>
        <v>33</v>
      </c>
      <c r="AC93" s="19">
        <f t="shared" si="13"/>
        <v>66</v>
      </c>
      <c r="AD93" s="19">
        <f t="shared" si="14"/>
        <v>43</v>
      </c>
      <c r="AE93" s="19">
        <f t="shared" si="15"/>
        <v>25</v>
      </c>
      <c r="AF93" s="19">
        <f t="shared" si="16"/>
        <v>7</v>
      </c>
    </row>
    <row r="94" spans="26:32" x14ac:dyDescent="0.15">
      <c r="Z94" s="9"/>
      <c r="AA94" s="9">
        <v>90</v>
      </c>
      <c r="AB94" s="19">
        <f t="shared" si="12"/>
        <v>33</v>
      </c>
      <c r="AC94" s="19">
        <f t="shared" si="13"/>
        <v>66</v>
      </c>
      <c r="AD94" s="19">
        <f t="shared" si="14"/>
        <v>43</v>
      </c>
      <c r="AE94" s="19">
        <f t="shared" si="15"/>
        <v>25</v>
      </c>
      <c r="AF94" s="19">
        <f t="shared" si="16"/>
        <v>7</v>
      </c>
    </row>
    <row r="95" spans="26:32" x14ac:dyDescent="0.15">
      <c r="Z95" s="9"/>
      <c r="AA95" s="9">
        <v>91</v>
      </c>
      <c r="AB95" s="19">
        <f t="shared" si="12"/>
        <v>33</v>
      </c>
      <c r="AC95" s="19">
        <f t="shared" si="13"/>
        <v>66</v>
      </c>
      <c r="AD95" s="19">
        <f t="shared" si="14"/>
        <v>43</v>
      </c>
      <c r="AE95" s="19">
        <f t="shared" si="15"/>
        <v>25</v>
      </c>
      <c r="AF95" s="19">
        <f t="shared" si="16"/>
        <v>7</v>
      </c>
    </row>
    <row r="96" spans="26:32" x14ac:dyDescent="0.15">
      <c r="Z96" s="9"/>
      <c r="AA96" s="9">
        <v>92</v>
      </c>
      <c r="AB96" s="19">
        <f t="shared" si="12"/>
        <v>33</v>
      </c>
      <c r="AC96" s="19">
        <f t="shared" si="13"/>
        <v>66</v>
      </c>
      <c r="AD96" s="19">
        <f t="shared" si="14"/>
        <v>43</v>
      </c>
      <c r="AE96" s="19">
        <f t="shared" si="15"/>
        <v>25</v>
      </c>
      <c r="AF96" s="19">
        <f t="shared" si="16"/>
        <v>7</v>
      </c>
    </row>
    <row r="97" spans="26:32" x14ac:dyDescent="0.15">
      <c r="Z97" s="9"/>
      <c r="AA97" s="9">
        <v>93</v>
      </c>
      <c r="AB97" s="19">
        <f t="shared" si="12"/>
        <v>33</v>
      </c>
      <c r="AC97" s="19">
        <f t="shared" si="13"/>
        <v>66</v>
      </c>
      <c r="AD97" s="19">
        <f t="shared" si="14"/>
        <v>43</v>
      </c>
      <c r="AE97" s="19">
        <f t="shared" si="15"/>
        <v>25</v>
      </c>
      <c r="AF97" s="19">
        <f t="shared" si="16"/>
        <v>7</v>
      </c>
    </row>
    <row r="98" spans="26:32" x14ac:dyDescent="0.15">
      <c r="Z98" s="9"/>
      <c r="AA98" s="9">
        <v>94</v>
      </c>
      <c r="AB98" s="19">
        <f t="shared" si="12"/>
        <v>33</v>
      </c>
      <c r="AC98" s="19">
        <f t="shared" si="13"/>
        <v>66</v>
      </c>
      <c r="AD98" s="19">
        <f t="shared" si="14"/>
        <v>43</v>
      </c>
      <c r="AE98" s="19">
        <f t="shared" si="15"/>
        <v>25</v>
      </c>
      <c r="AF98" s="19">
        <f t="shared" si="16"/>
        <v>7</v>
      </c>
    </row>
    <row r="99" spans="26:32" x14ac:dyDescent="0.15">
      <c r="Z99" s="9"/>
      <c r="AA99" s="9">
        <v>95</v>
      </c>
      <c r="AB99" s="19">
        <f t="shared" si="12"/>
        <v>33</v>
      </c>
      <c r="AC99" s="19">
        <f t="shared" si="13"/>
        <v>66</v>
      </c>
      <c r="AD99" s="19">
        <f t="shared" si="14"/>
        <v>43</v>
      </c>
      <c r="AE99" s="19">
        <f t="shared" si="15"/>
        <v>25</v>
      </c>
      <c r="AF99" s="19">
        <f t="shared" si="16"/>
        <v>7</v>
      </c>
    </row>
    <row r="100" spans="26:32" x14ac:dyDescent="0.15">
      <c r="Z100" s="9"/>
      <c r="AA100" s="9">
        <v>96</v>
      </c>
      <c r="AB100" s="19">
        <f t="shared" si="12"/>
        <v>33</v>
      </c>
      <c r="AC100" s="19">
        <f t="shared" si="13"/>
        <v>66</v>
      </c>
      <c r="AD100" s="19">
        <f t="shared" si="14"/>
        <v>43</v>
      </c>
      <c r="AE100" s="19">
        <f t="shared" si="15"/>
        <v>25</v>
      </c>
      <c r="AF100" s="19">
        <f t="shared" si="16"/>
        <v>7</v>
      </c>
    </row>
    <row r="101" spans="26:32" x14ac:dyDescent="0.15">
      <c r="Z101" s="9"/>
      <c r="AA101" s="9">
        <v>97</v>
      </c>
      <c r="AB101" s="19">
        <f t="shared" si="12"/>
        <v>33</v>
      </c>
      <c r="AC101" s="19">
        <f t="shared" si="13"/>
        <v>66</v>
      </c>
      <c r="AD101" s="19">
        <f t="shared" si="14"/>
        <v>43</v>
      </c>
      <c r="AE101" s="19">
        <f t="shared" si="15"/>
        <v>25</v>
      </c>
      <c r="AF101" s="19">
        <f t="shared" si="16"/>
        <v>7</v>
      </c>
    </row>
    <row r="102" spans="26:32" x14ac:dyDescent="0.15">
      <c r="Z102" s="9"/>
      <c r="AA102" s="9">
        <v>98</v>
      </c>
      <c r="AB102" s="19">
        <f t="shared" si="12"/>
        <v>33</v>
      </c>
      <c r="AC102" s="19">
        <f t="shared" si="13"/>
        <v>66</v>
      </c>
      <c r="AD102" s="19">
        <f t="shared" si="14"/>
        <v>43</v>
      </c>
      <c r="AE102" s="19">
        <f t="shared" si="15"/>
        <v>25</v>
      </c>
      <c r="AF102" s="19">
        <f t="shared" si="16"/>
        <v>7</v>
      </c>
    </row>
    <row r="103" spans="26:32" x14ac:dyDescent="0.15">
      <c r="Z103" s="9"/>
      <c r="AA103" s="9">
        <v>99</v>
      </c>
      <c r="AB103" s="19">
        <f t="shared" si="12"/>
        <v>33</v>
      </c>
      <c r="AC103" s="19">
        <f t="shared" si="13"/>
        <v>66</v>
      </c>
      <c r="AD103" s="19">
        <f t="shared" si="14"/>
        <v>43</v>
      </c>
      <c r="AE103" s="19">
        <f t="shared" si="15"/>
        <v>25</v>
      </c>
      <c r="AF103" s="19">
        <f t="shared" si="16"/>
        <v>7</v>
      </c>
    </row>
    <row r="104" spans="26:32" x14ac:dyDescent="0.15">
      <c r="Z104" s="9"/>
      <c r="AA104" s="9">
        <v>100</v>
      </c>
      <c r="AB104" s="19">
        <f t="shared" si="12"/>
        <v>33</v>
      </c>
      <c r="AC104" s="19">
        <f t="shared" si="13"/>
        <v>66</v>
      </c>
      <c r="AD104" s="19">
        <f t="shared" si="14"/>
        <v>43</v>
      </c>
      <c r="AE104" s="19">
        <f t="shared" si="15"/>
        <v>25</v>
      </c>
      <c r="AF104" s="19">
        <f t="shared" si="16"/>
        <v>7</v>
      </c>
    </row>
  </sheetData>
  <mergeCells count="7">
    <mergeCell ref="S6:W6"/>
    <mergeCell ref="F25:G25"/>
    <mergeCell ref="AB3:AF3"/>
    <mergeCell ref="C25:D25"/>
    <mergeCell ref="L6:M6"/>
    <mergeCell ref="O6:P6"/>
    <mergeCell ref="X6:Y6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B2:AM185"/>
  <sheetViews>
    <sheetView workbookViewId="0">
      <selection activeCell="E10" sqref="E10"/>
    </sheetView>
  </sheetViews>
  <sheetFormatPr defaultRowHeight="11.25" x14ac:dyDescent="0.15"/>
  <cols>
    <col min="1" max="23" width="9" style="1"/>
    <col min="24" max="25" width="9" style="12"/>
    <col min="26" max="16384" width="9" style="1"/>
  </cols>
  <sheetData>
    <row r="2" spans="2:39" x14ac:dyDescent="0.15">
      <c r="J2" s="1" t="s">
        <v>39</v>
      </c>
      <c r="X2" s="1"/>
      <c r="Y2" s="1"/>
    </row>
    <row r="3" spans="2:39" x14ac:dyDescent="0.15">
      <c r="P3" s="1" t="s">
        <v>41</v>
      </c>
      <c r="Q3" s="1" t="s">
        <v>29</v>
      </c>
      <c r="R3" s="1" t="s">
        <v>30</v>
      </c>
      <c r="S3" s="1" t="s">
        <v>31</v>
      </c>
      <c r="T3" s="1" t="s">
        <v>40</v>
      </c>
      <c r="U3" s="1" t="s">
        <v>32</v>
      </c>
      <c r="X3" s="1"/>
      <c r="Y3" s="1"/>
      <c r="AB3" s="1" t="s">
        <v>42</v>
      </c>
      <c r="AC3" s="1" t="s">
        <v>43</v>
      </c>
      <c r="AD3" s="62" t="s">
        <v>44</v>
      </c>
      <c r="AE3" s="62"/>
      <c r="AF3" s="62"/>
      <c r="AG3" s="62"/>
      <c r="AH3" s="1" t="s">
        <v>52</v>
      </c>
      <c r="AJ3" s="1" t="s">
        <v>22</v>
      </c>
      <c r="AK3" s="1" t="s">
        <v>60</v>
      </c>
      <c r="AL3" s="1" t="s">
        <v>70</v>
      </c>
      <c r="AM3" s="1" t="s">
        <v>71</v>
      </c>
    </row>
    <row r="4" spans="2:39" x14ac:dyDescent="0.15">
      <c r="I4" s="1" t="s">
        <v>22</v>
      </c>
      <c r="J4" s="1" t="s">
        <v>23</v>
      </c>
      <c r="K4" s="1" t="s">
        <v>24</v>
      </c>
      <c r="L4" s="1" t="s">
        <v>25</v>
      </c>
      <c r="M4" s="1" t="s">
        <v>26</v>
      </c>
      <c r="N4" s="1" t="s">
        <v>27</v>
      </c>
      <c r="P4" s="1">
        <v>1</v>
      </c>
      <c r="Q4" s="1">
        <f t="shared" ref="Q4:U7" si="0">$P4*C$12</f>
        <v>0</v>
      </c>
      <c r="R4" s="1">
        <f t="shared" si="0"/>
        <v>0</v>
      </c>
      <c r="S4" s="1">
        <f t="shared" si="0"/>
        <v>0</v>
      </c>
      <c r="T4" s="1">
        <f t="shared" si="0"/>
        <v>0</v>
      </c>
      <c r="U4" s="1">
        <f t="shared" si="0"/>
        <v>0</v>
      </c>
      <c r="X4" s="1"/>
      <c r="Y4" s="1"/>
      <c r="AB4" s="1">
        <v>0</v>
      </c>
      <c r="AC4" s="1">
        <v>0</v>
      </c>
      <c r="AH4" s="1">
        <v>0</v>
      </c>
      <c r="AJ4" s="1">
        <v>1</v>
      </c>
      <c r="AK4" s="1">
        <f>求节点($AC$4:$AC$17,$AH$4:$AH$17,AJ4)</f>
        <v>81.25</v>
      </c>
      <c r="AL4" s="1">
        <f>IF(AJ4&lt;=$AC$26,求节点($AC$21:$AC$26,$AH$21:$AH$26,AJ4),$AH$26)</f>
        <v>0.3125</v>
      </c>
      <c r="AM4" s="1">
        <f>AK4+AL4</f>
        <v>81.5625</v>
      </c>
    </row>
    <row r="5" spans="2:39" x14ac:dyDescent="0.15">
      <c r="C5" s="11"/>
      <c r="D5" s="11"/>
      <c r="E5" s="11"/>
      <c r="F5" s="11"/>
      <c r="I5" s="1">
        <v>1</v>
      </c>
      <c r="J5" s="1">
        <f t="shared" ref="J5:J24" si="1">C$7+C$8*$I5</f>
        <v>15</v>
      </c>
      <c r="K5" s="1">
        <f t="shared" ref="K5:K24" si="2">D$7+D$8*$I5</f>
        <v>30</v>
      </c>
      <c r="L5" s="1">
        <f t="shared" ref="L5:L24" si="3">E$7+E$8*$I5</f>
        <v>45</v>
      </c>
      <c r="M5" s="1">
        <f t="shared" ref="M5:M24" si="4">F$7+F$8*$I5</f>
        <v>60</v>
      </c>
      <c r="N5" s="1">
        <f t="shared" ref="N5:N24" si="5">G$7+G$8*$I5</f>
        <v>75</v>
      </c>
      <c r="P5" s="1">
        <v>2</v>
      </c>
      <c r="Q5" s="1">
        <f t="shared" si="0"/>
        <v>0</v>
      </c>
      <c r="R5" s="1">
        <f t="shared" si="0"/>
        <v>0</v>
      </c>
      <c r="S5" s="1">
        <f t="shared" si="0"/>
        <v>0</v>
      </c>
      <c r="T5" s="1">
        <f t="shared" si="0"/>
        <v>0</v>
      </c>
      <c r="U5" s="1">
        <f t="shared" si="0"/>
        <v>0</v>
      </c>
      <c r="X5" s="1"/>
      <c r="Y5" s="1"/>
      <c r="AB5" s="1" t="s">
        <v>5</v>
      </c>
      <c r="AC5" s="1">
        <v>8</v>
      </c>
      <c r="AD5" s="1" t="s">
        <v>31</v>
      </c>
      <c r="AE5" s="1">
        <v>1</v>
      </c>
      <c r="AF5" s="1" t="s">
        <v>30</v>
      </c>
      <c r="AG5" s="1">
        <v>5</v>
      </c>
      <c r="AH5" s="1">
        <f>IFERROR(INDEX($J:$N,MATCH(AC5,$I:$I,0),MATCH(AD5,$J$4:$N$4,0))*AE5+INDEX($J:$N,MATCH(AC5,$I:$I,0),MATCH(AF5,$J$4:$N$4,0))*AG5,INDEX($J:$N,MATCH(AC5,$I:$I,0),MATCH(AD5,$J$4:$N$4,0))*AE5)</f>
        <v>650</v>
      </c>
      <c r="AJ5" s="1">
        <v>2</v>
      </c>
      <c r="AK5" s="1">
        <f t="shared" ref="AK5:AK68" si="6">求节点($AC$4:$AC$17,$AH$4:$AH$17,AJ5)</f>
        <v>162.5</v>
      </c>
      <c r="AL5" s="1">
        <f t="shared" ref="AL5:AL68" si="7">IF(AJ5&lt;=$AC$26,求节点($AC$21:$AC$26,$AH$21:$AH$26,AJ5),$AH$26)</f>
        <v>0.625</v>
      </c>
      <c r="AM5" s="1">
        <f t="shared" ref="AM5:AM68" si="8">AK5+AL5</f>
        <v>163.125</v>
      </c>
    </row>
    <row r="6" spans="2:39" x14ac:dyDescent="0.15">
      <c r="B6" s="1" t="s">
        <v>28</v>
      </c>
      <c r="C6" s="1" t="s">
        <v>29</v>
      </c>
      <c r="D6" s="1" t="s">
        <v>30</v>
      </c>
      <c r="E6" s="1" t="s">
        <v>31</v>
      </c>
      <c r="F6" s="1" t="s">
        <v>26</v>
      </c>
      <c r="G6" s="1" t="s">
        <v>32</v>
      </c>
      <c r="I6" s="1">
        <v>2</v>
      </c>
      <c r="J6" s="1">
        <f t="shared" si="1"/>
        <v>20</v>
      </c>
      <c r="K6" s="1">
        <f t="shared" si="2"/>
        <v>40</v>
      </c>
      <c r="L6" s="1">
        <f t="shared" si="3"/>
        <v>60</v>
      </c>
      <c r="M6" s="1">
        <f t="shared" si="4"/>
        <v>80</v>
      </c>
      <c r="N6" s="1">
        <f t="shared" si="5"/>
        <v>100</v>
      </c>
      <c r="P6" s="1">
        <v>3</v>
      </c>
      <c r="Q6" s="1">
        <f t="shared" si="0"/>
        <v>0</v>
      </c>
      <c r="R6" s="1">
        <f t="shared" si="0"/>
        <v>0</v>
      </c>
      <c r="S6" s="1">
        <f t="shared" si="0"/>
        <v>0</v>
      </c>
      <c r="T6" s="1">
        <f t="shared" si="0"/>
        <v>0</v>
      </c>
      <c r="U6" s="1">
        <f t="shared" si="0"/>
        <v>0</v>
      </c>
      <c r="X6" s="1"/>
      <c r="Y6" s="1"/>
      <c r="AB6" s="1" t="s">
        <v>6</v>
      </c>
      <c r="AC6" s="1">
        <v>12</v>
      </c>
      <c r="AD6" s="1" t="s">
        <v>31</v>
      </c>
      <c r="AE6" s="1">
        <v>3</v>
      </c>
      <c r="AF6" s="1" t="s">
        <v>30</v>
      </c>
      <c r="AG6" s="1">
        <v>3</v>
      </c>
      <c r="AH6" s="1">
        <f t="shared" ref="AH6:AH17" si="9">IFERROR(INDEX($J:$N,MATCH(AC6,$I:$I,0),MATCH(AD6,$J$4:$N$4,0))*AE6+INDEX($J:$N,MATCH(AC6,$I:$I,0),MATCH(AF6,$J$4:$N$4,0))*AG6,INDEX($J:$N,MATCH(AC6,$I:$I,0),MATCH(AD6,$J$4:$N$4,0))*AE6)</f>
        <v>1050</v>
      </c>
      <c r="AJ6" s="1">
        <v>3</v>
      </c>
      <c r="AK6" s="1">
        <f t="shared" si="6"/>
        <v>243.75</v>
      </c>
      <c r="AL6" s="1">
        <f t="shared" si="7"/>
        <v>0.9375</v>
      </c>
      <c r="AM6" s="1">
        <f t="shared" si="8"/>
        <v>244.6875</v>
      </c>
    </row>
    <row r="7" spans="2:39" x14ac:dyDescent="0.15">
      <c r="B7" s="1" t="s">
        <v>33</v>
      </c>
      <c r="C7" s="1">
        <v>10</v>
      </c>
      <c r="D7" s="1">
        <v>20</v>
      </c>
      <c r="E7" s="1">
        <v>30</v>
      </c>
      <c r="F7" s="1">
        <v>40</v>
      </c>
      <c r="G7" s="1">
        <v>50</v>
      </c>
      <c r="I7" s="1">
        <v>3</v>
      </c>
      <c r="J7" s="1">
        <f t="shared" si="1"/>
        <v>25</v>
      </c>
      <c r="K7" s="1">
        <f t="shared" si="2"/>
        <v>50</v>
      </c>
      <c r="L7" s="1">
        <f t="shared" si="3"/>
        <v>75</v>
      </c>
      <c r="M7" s="1">
        <f t="shared" si="4"/>
        <v>100</v>
      </c>
      <c r="N7" s="1">
        <f t="shared" si="5"/>
        <v>125</v>
      </c>
      <c r="P7" s="1">
        <v>4</v>
      </c>
      <c r="Q7" s="1">
        <f t="shared" si="0"/>
        <v>0</v>
      </c>
      <c r="R7" s="1">
        <f t="shared" si="0"/>
        <v>0</v>
      </c>
      <c r="S7" s="1">
        <f t="shared" si="0"/>
        <v>0</v>
      </c>
      <c r="T7" s="1">
        <f t="shared" si="0"/>
        <v>0</v>
      </c>
      <c r="U7" s="1">
        <f t="shared" si="0"/>
        <v>0</v>
      </c>
      <c r="X7" s="1"/>
      <c r="Y7" s="1"/>
      <c r="AB7" s="1" t="s">
        <v>7</v>
      </c>
      <c r="AC7" s="1">
        <v>16</v>
      </c>
      <c r="AD7" s="1" t="s">
        <v>31</v>
      </c>
      <c r="AE7" s="1">
        <v>5</v>
      </c>
      <c r="AF7" s="1" t="s">
        <v>30</v>
      </c>
      <c r="AG7" s="1">
        <v>1</v>
      </c>
      <c r="AH7" s="1">
        <f t="shared" si="9"/>
        <v>1530</v>
      </c>
      <c r="AJ7" s="1">
        <v>4</v>
      </c>
      <c r="AK7" s="1">
        <f t="shared" si="6"/>
        <v>325</v>
      </c>
      <c r="AL7" s="1">
        <f t="shared" si="7"/>
        <v>1.25</v>
      </c>
      <c r="AM7" s="1">
        <f t="shared" si="8"/>
        <v>326.25</v>
      </c>
    </row>
    <row r="8" spans="2:39" x14ac:dyDescent="0.15">
      <c r="B8" s="1" t="s">
        <v>34</v>
      </c>
      <c r="C8" s="1">
        <v>5</v>
      </c>
      <c r="D8" s="1">
        <v>10</v>
      </c>
      <c r="E8" s="1">
        <v>15</v>
      </c>
      <c r="F8" s="1">
        <v>20</v>
      </c>
      <c r="G8" s="1">
        <v>25</v>
      </c>
      <c r="I8" s="1">
        <v>4</v>
      </c>
      <c r="J8" s="1">
        <f t="shared" si="1"/>
        <v>30</v>
      </c>
      <c r="K8" s="1">
        <f t="shared" si="2"/>
        <v>60</v>
      </c>
      <c r="L8" s="1">
        <f t="shared" si="3"/>
        <v>90</v>
      </c>
      <c r="M8" s="1">
        <f t="shared" si="4"/>
        <v>120</v>
      </c>
      <c r="N8" s="1">
        <f t="shared" si="5"/>
        <v>150</v>
      </c>
      <c r="P8" s="1">
        <v>5</v>
      </c>
      <c r="Q8" s="1">
        <f t="shared" ref="Q8:R10" si="10">$P8*C$12</f>
        <v>0</v>
      </c>
      <c r="R8" s="1">
        <f t="shared" si="10"/>
        <v>0</v>
      </c>
      <c r="S8" s="1">
        <v>40</v>
      </c>
      <c r="T8" s="1">
        <f t="shared" ref="T8:U10" si="11">$P8*F$12</f>
        <v>0</v>
      </c>
      <c r="U8" s="1">
        <f t="shared" si="11"/>
        <v>0</v>
      </c>
      <c r="X8" s="1"/>
      <c r="Y8" s="1"/>
      <c r="AB8" s="1" t="s">
        <v>8</v>
      </c>
      <c r="AC8" s="1">
        <v>20</v>
      </c>
      <c r="AD8" s="1" t="s">
        <v>26</v>
      </c>
      <c r="AE8" s="1">
        <v>1</v>
      </c>
      <c r="AF8" s="1" t="s">
        <v>31</v>
      </c>
      <c r="AG8" s="1">
        <v>5</v>
      </c>
      <c r="AH8" s="1">
        <f t="shared" si="9"/>
        <v>2090</v>
      </c>
      <c r="AJ8" s="1">
        <v>5</v>
      </c>
      <c r="AK8" s="1">
        <f t="shared" si="6"/>
        <v>406.25</v>
      </c>
      <c r="AL8" s="1">
        <f t="shared" si="7"/>
        <v>1.5625</v>
      </c>
      <c r="AM8" s="1">
        <f t="shared" si="8"/>
        <v>407.8125</v>
      </c>
    </row>
    <row r="9" spans="2:39" x14ac:dyDescent="0.15">
      <c r="B9" s="1" t="s">
        <v>35</v>
      </c>
      <c r="C9" s="1">
        <v>0</v>
      </c>
      <c r="D9" s="1">
        <v>8</v>
      </c>
      <c r="E9" s="1">
        <v>8</v>
      </c>
      <c r="F9" s="1">
        <v>8</v>
      </c>
      <c r="G9" s="1">
        <v>8</v>
      </c>
      <c r="I9" s="1">
        <v>5</v>
      </c>
      <c r="J9" s="1">
        <f t="shared" si="1"/>
        <v>35</v>
      </c>
      <c r="K9" s="1">
        <f t="shared" si="2"/>
        <v>70</v>
      </c>
      <c r="L9" s="1">
        <f t="shared" si="3"/>
        <v>105</v>
      </c>
      <c r="M9" s="1">
        <f t="shared" si="4"/>
        <v>140</v>
      </c>
      <c r="N9" s="1">
        <f t="shared" si="5"/>
        <v>175</v>
      </c>
      <c r="P9" s="1">
        <v>6</v>
      </c>
      <c r="Q9" s="1">
        <f t="shared" si="10"/>
        <v>0</v>
      </c>
      <c r="R9" s="1">
        <f t="shared" si="10"/>
        <v>0</v>
      </c>
      <c r="S9" s="1">
        <v>40</v>
      </c>
      <c r="T9" s="1">
        <f t="shared" si="11"/>
        <v>0</v>
      </c>
      <c r="U9" s="1">
        <f t="shared" si="11"/>
        <v>0</v>
      </c>
      <c r="X9" s="1"/>
      <c r="Y9" s="1"/>
      <c r="AB9" s="1" t="s">
        <v>18</v>
      </c>
      <c r="AC9" s="1">
        <v>30</v>
      </c>
      <c r="AD9" s="1" t="s">
        <v>26</v>
      </c>
      <c r="AE9" s="1">
        <v>4</v>
      </c>
      <c r="AF9" s="1" t="s">
        <v>31</v>
      </c>
      <c r="AG9" s="1">
        <v>2</v>
      </c>
      <c r="AH9" s="1">
        <f t="shared" si="9"/>
        <v>3520</v>
      </c>
      <c r="AJ9" s="1">
        <v>6</v>
      </c>
      <c r="AK9" s="1">
        <f t="shared" si="6"/>
        <v>487.5</v>
      </c>
      <c r="AL9" s="1">
        <f t="shared" si="7"/>
        <v>1.875</v>
      </c>
      <c r="AM9" s="1">
        <f t="shared" si="8"/>
        <v>489.375</v>
      </c>
    </row>
    <row r="10" spans="2:39" x14ac:dyDescent="0.15">
      <c r="B10" s="1" t="s">
        <v>36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I10" s="1">
        <v>6</v>
      </c>
      <c r="J10" s="1">
        <f t="shared" si="1"/>
        <v>40</v>
      </c>
      <c r="K10" s="1">
        <f t="shared" si="2"/>
        <v>80</v>
      </c>
      <c r="L10" s="1">
        <f t="shared" si="3"/>
        <v>120</v>
      </c>
      <c r="M10" s="1">
        <f t="shared" si="4"/>
        <v>160</v>
      </c>
      <c r="N10" s="1">
        <f t="shared" si="5"/>
        <v>200</v>
      </c>
      <c r="P10" s="1">
        <v>7</v>
      </c>
      <c r="Q10" s="1">
        <f t="shared" si="10"/>
        <v>0</v>
      </c>
      <c r="R10" s="1">
        <f t="shared" si="10"/>
        <v>0</v>
      </c>
      <c r="S10" s="1">
        <v>40</v>
      </c>
      <c r="T10" s="1">
        <f t="shared" si="11"/>
        <v>0</v>
      </c>
      <c r="U10" s="1">
        <f t="shared" si="11"/>
        <v>0</v>
      </c>
      <c r="X10" s="1"/>
      <c r="Y10" s="1"/>
      <c r="AB10" s="1" t="s">
        <v>9</v>
      </c>
      <c r="AC10" s="1">
        <v>35</v>
      </c>
      <c r="AD10" s="1" t="s">
        <v>26</v>
      </c>
      <c r="AE10" s="1">
        <v>6</v>
      </c>
      <c r="AH10" s="1">
        <f t="shared" si="9"/>
        <v>4440</v>
      </c>
      <c r="AJ10" s="1">
        <v>7</v>
      </c>
      <c r="AK10" s="1">
        <f t="shared" si="6"/>
        <v>568.75</v>
      </c>
      <c r="AL10" s="1">
        <f t="shared" si="7"/>
        <v>2.1875</v>
      </c>
      <c r="AM10" s="1">
        <f t="shared" si="8"/>
        <v>570.9375</v>
      </c>
    </row>
    <row r="11" spans="2:39" x14ac:dyDescent="0.15">
      <c r="B11" s="1" t="s">
        <v>37</v>
      </c>
      <c r="C11" s="1">
        <v>2</v>
      </c>
      <c r="D11" s="1">
        <v>3</v>
      </c>
      <c r="E11" s="1">
        <v>4</v>
      </c>
      <c r="F11" s="1">
        <v>5</v>
      </c>
      <c r="G11" s="1">
        <v>7</v>
      </c>
      <c r="I11" s="1">
        <v>7</v>
      </c>
      <c r="J11" s="1">
        <f t="shared" si="1"/>
        <v>45</v>
      </c>
      <c r="K11" s="1">
        <f t="shared" si="2"/>
        <v>90</v>
      </c>
      <c r="L11" s="1">
        <f t="shared" si="3"/>
        <v>135</v>
      </c>
      <c r="M11" s="1">
        <f t="shared" si="4"/>
        <v>180</v>
      </c>
      <c r="N11" s="1">
        <f t="shared" si="5"/>
        <v>225</v>
      </c>
      <c r="X11" s="1"/>
      <c r="Y11" s="1"/>
      <c r="AB11" s="1" t="s">
        <v>56</v>
      </c>
      <c r="AC11" s="1">
        <v>40</v>
      </c>
      <c r="AD11" s="1" t="s">
        <v>26</v>
      </c>
      <c r="AE11" s="1">
        <v>6</v>
      </c>
      <c r="AH11" s="1">
        <f t="shared" si="9"/>
        <v>5040</v>
      </c>
      <c r="AJ11" s="1">
        <v>8</v>
      </c>
      <c r="AK11" s="1">
        <f t="shared" si="6"/>
        <v>650</v>
      </c>
      <c r="AL11" s="1">
        <f t="shared" si="7"/>
        <v>2.5</v>
      </c>
      <c r="AM11" s="1">
        <f t="shared" si="8"/>
        <v>652.5</v>
      </c>
    </row>
    <row r="12" spans="2:39" x14ac:dyDescent="0.15">
      <c r="B12" s="1" t="s">
        <v>38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I12" s="1">
        <v>8</v>
      </c>
      <c r="J12" s="1">
        <f t="shared" si="1"/>
        <v>50</v>
      </c>
      <c r="K12" s="1">
        <f t="shared" si="2"/>
        <v>100</v>
      </c>
      <c r="L12" s="1">
        <f t="shared" si="3"/>
        <v>150</v>
      </c>
      <c r="M12" s="1">
        <f t="shared" si="4"/>
        <v>200</v>
      </c>
      <c r="N12" s="1">
        <f t="shared" si="5"/>
        <v>250</v>
      </c>
      <c r="X12" s="1"/>
      <c r="Y12" s="1"/>
      <c r="AB12" s="1" t="s">
        <v>56</v>
      </c>
      <c r="AC12" s="1">
        <v>50</v>
      </c>
      <c r="AD12" s="1" t="s">
        <v>26</v>
      </c>
      <c r="AE12" s="1">
        <v>6</v>
      </c>
      <c r="AH12" s="1">
        <f t="shared" si="9"/>
        <v>6240</v>
      </c>
      <c r="AJ12" s="1">
        <v>9</v>
      </c>
      <c r="AK12" s="1">
        <f t="shared" si="6"/>
        <v>750</v>
      </c>
      <c r="AL12" s="1">
        <f t="shared" si="7"/>
        <v>2.8125</v>
      </c>
      <c r="AM12" s="1">
        <f t="shared" si="8"/>
        <v>752.8125</v>
      </c>
    </row>
    <row r="13" spans="2:39" x14ac:dyDescent="0.15">
      <c r="I13" s="1">
        <v>9</v>
      </c>
      <c r="J13" s="1">
        <f t="shared" si="1"/>
        <v>55</v>
      </c>
      <c r="K13" s="1">
        <f t="shared" si="2"/>
        <v>110</v>
      </c>
      <c r="L13" s="1">
        <f t="shared" si="3"/>
        <v>165</v>
      </c>
      <c r="M13" s="1">
        <f t="shared" si="4"/>
        <v>220</v>
      </c>
      <c r="N13" s="1">
        <f t="shared" si="5"/>
        <v>275</v>
      </c>
      <c r="X13" s="1"/>
      <c r="Y13" s="1"/>
      <c r="AB13" s="1" t="s">
        <v>56</v>
      </c>
      <c r="AC13" s="1">
        <v>60</v>
      </c>
      <c r="AD13" s="1" t="s">
        <v>26</v>
      </c>
      <c r="AE13" s="1">
        <v>6</v>
      </c>
      <c r="AH13" s="1">
        <f t="shared" si="9"/>
        <v>7440</v>
      </c>
      <c r="AJ13" s="1">
        <v>10</v>
      </c>
      <c r="AK13" s="1">
        <f t="shared" si="6"/>
        <v>850</v>
      </c>
      <c r="AL13" s="1">
        <f t="shared" si="7"/>
        <v>3.125</v>
      </c>
      <c r="AM13" s="1">
        <f t="shared" si="8"/>
        <v>853.125</v>
      </c>
    </row>
    <row r="14" spans="2:39" x14ac:dyDescent="0.15">
      <c r="I14" s="1">
        <v>10</v>
      </c>
      <c r="J14" s="1">
        <f t="shared" si="1"/>
        <v>60</v>
      </c>
      <c r="K14" s="1">
        <f t="shared" si="2"/>
        <v>120</v>
      </c>
      <c r="L14" s="1">
        <f t="shared" si="3"/>
        <v>180</v>
      </c>
      <c r="M14" s="1">
        <f t="shared" si="4"/>
        <v>240</v>
      </c>
      <c r="N14" s="1">
        <f t="shared" si="5"/>
        <v>300</v>
      </c>
      <c r="X14" s="1"/>
      <c r="Y14" s="1"/>
      <c r="AB14" s="1" t="s">
        <v>56</v>
      </c>
      <c r="AC14" s="1">
        <v>70</v>
      </c>
      <c r="AD14" s="1" t="s">
        <v>26</v>
      </c>
      <c r="AE14" s="1">
        <v>6</v>
      </c>
      <c r="AH14" s="1">
        <f t="shared" si="9"/>
        <v>8640</v>
      </c>
      <c r="AJ14" s="1">
        <v>11</v>
      </c>
      <c r="AK14" s="1">
        <f t="shared" si="6"/>
        <v>950</v>
      </c>
      <c r="AL14" s="1">
        <f t="shared" si="7"/>
        <v>3.4375</v>
      </c>
      <c r="AM14" s="1">
        <f t="shared" si="8"/>
        <v>953.4375</v>
      </c>
    </row>
    <row r="15" spans="2:39" x14ac:dyDescent="0.15">
      <c r="I15" s="1">
        <v>11</v>
      </c>
      <c r="J15" s="1">
        <f t="shared" si="1"/>
        <v>65</v>
      </c>
      <c r="K15" s="1">
        <f t="shared" si="2"/>
        <v>130</v>
      </c>
      <c r="L15" s="1">
        <f t="shared" si="3"/>
        <v>195</v>
      </c>
      <c r="M15" s="1">
        <f t="shared" si="4"/>
        <v>260</v>
      </c>
      <c r="N15" s="1">
        <f t="shared" si="5"/>
        <v>325</v>
      </c>
      <c r="X15" s="1"/>
      <c r="Y15" s="1"/>
      <c r="AB15" s="1" t="s">
        <v>56</v>
      </c>
      <c r="AC15" s="1">
        <v>80</v>
      </c>
      <c r="AD15" s="1" t="s">
        <v>26</v>
      </c>
      <c r="AE15" s="1">
        <v>6</v>
      </c>
      <c r="AH15" s="1">
        <f t="shared" si="9"/>
        <v>9840</v>
      </c>
      <c r="AJ15" s="1">
        <v>12</v>
      </c>
      <c r="AK15" s="1">
        <f t="shared" si="6"/>
        <v>1050</v>
      </c>
      <c r="AL15" s="1">
        <f t="shared" si="7"/>
        <v>3.75</v>
      </c>
      <c r="AM15" s="1">
        <f t="shared" si="8"/>
        <v>1053.75</v>
      </c>
    </row>
    <row r="16" spans="2:39" x14ac:dyDescent="0.15">
      <c r="I16" s="1">
        <v>12</v>
      </c>
      <c r="J16" s="1">
        <f t="shared" si="1"/>
        <v>70</v>
      </c>
      <c r="K16" s="1">
        <f t="shared" si="2"/>
        <v>140</v>
      </c>
      <c r="L16" s="1">
        <f t="shared" si="3"/>
        <v>210</v>
      </c>
      <c r="M16" s="1">
        <f t="shared" si="4"/>
        <v>280</v>
      </c>
      <c r="N16" s="1">
        <f t="shared" si="5"/>
        <v>350</v>
      </c>
      <c r="X16" s="1"/>
      <c r="Y16" s="1"/>
      <c r="AB16" s="1" t="s">
        <v>56</v>
      </c>
      <c r="AC16" s="1">
        <v>90</v>
      </c>
      <c r="AD16" s="1" t="s">
        <v>26</v>
      </c>
      <c r="AE16" s="1">
        <v>6</v>
      </c>
      <c r="AH16" s="1">
        <f t="shared" si="9"/>
        <v>11040</v>
      </c>
      <c r="AJ16" s="1">
        <v>13</v>
      </c>
      <c r="AK16" s="1">
        <f t="shared" si="6"/>
        <v>1170</v>
      </c>
      <c r="AL16" s="1">
        <f t="shared" si="7"/>
        <v>4.0625</v>
      </c>
      <c r="AM16" s="1">
        <f t="shared" si="8"/>
        <v>1174.0625</v>
      </c>
    </row>
    <row r="17" spans="9:39" x14ac:dyDescent="0.15">
      <c r="I17" s="1">
        <v>13</v>
      </c>
      <c r="J17" s="1">
        <f t="shared" si="1"/>
        <v>75</v>
      </c>
      <c r="K17" s="1">
        <f t="shared" si="2"/>
        <v>150</v>
      </c>
      <c r="L17" s="1">
        <f t="shared" si="3"/>
        <v>225</v>
      </c>
      <c r="M17" s="1">
        <f t="shared" si="4"/>
        <v>300</v>
      </c>
      <c r="N17" s="1">
        <f t="shared" si="5"/>
        <v>375</v>
      </c>
      <c r="X17" s="1"/>
      <c r="Y17" s="1"/>
      <c r="AB17" s="1" t="s">
        <v>56</v>
      </c>
      <c r="AC17" s="1">
        <v>100</v>
      </c>
      <c r="AD17" s="1" t="s">
        <v>26</v>
      </c>
      <c r="AE17" s="1">
        <v>6</v>
      </c>
      <c r="AH17" s="1">
        <f t="shared" si="9"/>
        <v>12240</v>
      </c>
      <c r="AJ17" s="1">
        <v>14</v>
      </c>
      <c r="AK17" s="1">
        <f t="shared" si="6"/>
        <v>1290</v>
      </c>
      <c r="AL17" s="1">
        <f t="shared" si="7"/>
        <v>4.375</v>
      </c>
      <c r="AM17" s="1">
        <f t="shared" si="8"/>
        <v>1294.375</v>
      </c>
    </row>
    <row r="18" spans="9:39" x14ac:dyDescent="0.15">
      <c r="I18" s="1">
        <v>14</v>
      </c>
      <c r="J18" s="1">
        <f t="shared" si="1"/>
        <v>80</v>
      </c>
      <c r="K18" s="1">
        <f t="shared" si="2"/>
        <v>160</v>
      </c>
      <c r="L18" s="1">
        <f t="shared" si="3"/>
        <v>240</v>
      </c>
      <c r="M18" s="1">
        <f t="shared" si="4"/>
        <v>320</v>
      </c>
      <c r="N18" s="1">
        <f t="shared" si="5"/>
        <v>400</v>
      </c>
      <c r="X18" s="1"/>
      <c r="Y18" s="1"/>
      <c r="AJ18" s="1">
        <v>15</v>
      </c>
      <c r="AK18" s="1">
        <f t="shared" si="6"/>
        <v>1410</v>
      </c>
      <c r="AL18" s="1">
        <f t="shared" si="7"/>
        <v>4.6875</v>
      </c>
      <c r="AM18" s="1">
        <f t="shared" si="8"/>
        <v>1414.6875</v>
      </c>
    </row>
    <row r="19" spans="9:39" x14ac:dyDescent="0.15">
      <c r="I19" s="1">
        <v>15</v>
      </c>
      <c r="J19" s="1">
        <f t="shared" si="1"/>
        <v>85</v>
      </c>
      <c r="K19" s="1">
        <f t="shared" si="2"/>
        <v>170</v>
      </c>
      <c r="L19" s="1">
        <f t="shared" si="3"/>
        <v>255</v>
      </c>
      <c r="M19" s="1">
        <f t="shared" si="4"/>
        <v>340</v>
      </c>
      <c r="N19" s="1">
        <f t="shared" si="5"/>
        <v>425</v>
      </c>
      <c r="X19" s="1"/>
      <c r="Y19" s="1"/>
      <c r="AJ19" s="1">
        <v>16</v>
      </c>
      <c r="AK19" s="1">
        <f t="shared" si="6"/>
        <v>1530</v>
      </c>
      <c r="AL19" s="1">
        <f t="shared" si="7"/>
        <v>5</v>
      </c>
      <c r="AM19" s="1">
        <f t="shared" si="8"/>
        <v>1535</v>
      </c>
    </row>
    <row r="20" spans="9:39" x14ac:dyDescent="0.15">
      <c r="I20" s="1">
        <v>16</v>
      </c>
      <c r="J20" s="1">
        <f t="shared" si="1"/>
        <v>90</v>
      </c>
      <c r="K20" s="1">
        <f t="shared" si="2"/>
        <v>180</v>
      </c>
      <c r="L20" s="1">
        <f t="shared" si="3"/>
        <v>270</v>
      </c>
      <c r="M20" s="1">
        <f t="shared" si="4"/>
        <v>360</v>
      </c>
      <c r="N20" s="1">
        <f t="shared" si="5"/>
        <v>450</v>
      </c>
      <c r="X20" s="1"/>
      <c r="Y20" s="1"/>
      <c r="AB20" s="1" t="s">
        <v>69</v>
      </c>
      <c r="AC20" s="1" t="s">
        <v>43</v>
      </c>
      <c r="AD20" s="62" t="s">
        <v>44</v>
      </c>
      <c r="AE20" s="62"/>
      <c r="AF20" s="62"/>
      <c r="AG20" s="62"/>
      <c r="AH20" s="1" t="s">
        <v>52</v>
      </c>
      <c r="AJ20" s="1">
        <v>17</v>
      </c>
      <c r="AK20" s="1">
        <f t="shared" si="6"/>
        <v>1670</v>
      </c>
      <c r="AL20" s="1">
        <f t="shared" si="7"/>
        <v>5.3125</v>
      </c>
      <c r="AM20" s="1">
        <f t="shared" si="8"/>
        <v>1675.3125</v>
      </c>
    </row>
    <row r="21" spans="9:39" x14ac:dyDescent="0.15">
      <c r="I21" s="1">
        <v>17</v>
      </c>
      <c r="J21" s="1">
        <f t="shared" si="1"/>
        <v>95</v>
      </c>
      <c r="K21" s="1">
        <f t="shared" si="2"/>
        <v>190</v>
      </c>
      <c r="L21" s="1">
        <f t="shared" si="3"/>
        <v>285</v>
      </c>
      <c r="M21" s="1">
        <f t="shared" si="4"/>
        <v>380</v>
      </c>
      <c r="N21" s="1">
        <f t="shared" si="5"/>
        <v>475</v>
      </c>
      <c r="X21" s="1"/>
      <c r="Y21" s="1"/>
      <c r="AB21" s="1">
        <v>0</v>
      </c>
      <c r="AC21" s="1">
        <v>0</v>
      </c>
      <c r="AD21" s="1">
        <v>0</v>
      </c>
      <c r="AE21" s="1">
        <v>0</v>
      </c>
      <c r="AH21" s="1">
        <v>0</v>
      </c>
      <c r="AJ21" s="1">
        <v>18</v>
      </c>
      <c r="AK21" s="1">
        <f t="shared" si="6"/>
        <v>1810</v>
      </c>
      <c r="AL21" s="1">
        <f t="shared" si="7"/>
        <v>5.625</v>
      </c>
      <c r="AM21" s="1">
        <f t="shared" si="8"/>
        <v>1815.625</v>
      </c>
    </row>
    <row r="22" spans="9:39" x14ac:dyDescent="0.15">
      <c r="I22" s="1">
        <v>18</v>
      </c>
      <c r="J22" s="1">
        <f t="shared" si="1"/>
        <v>100</v>
      </c>
      <c r="K22" s="1">
        <f t="shared" si="2"/>
        <v>200</v>
      </c>
      <c r="L22" s="1">
        <f t="shared" si="3"/>
        <v>300</v>
      </c>
      <c r="M22" s="1">
        <f t="shared" si="4"/>
        <v>400</v>
      </c>
      <c r="N22" s="1">
        <f t="shared" si="5"/>
        <v>500</v>
      </c>
      <c r="X22" s="1"/>
      <c r="Y22" s="1"/>
      <c r="AB22" s="1" t="s">
        <v>61</v>
      </c>
      <c r="AC22" s="1">
        <v>32</v>
      </c>
      <c r="AD22" s="1" t="s">
        <v>45</v>
      </c>
      <c r="AE22" s="1">
        <v>1</v>
      </c>
      <c r="AH22" s="1">
        <v>10</v>
      </c>
      <c r="AJ22" s="1">
        <v>19</v>
      </c>
      <c r="AK22" s="1">
        <f t="shared" si="6"/>
        <v>1950</v>
      </c>
      <c r="AL22" s="1">
        <f t="shared" si="7"/>
        <v>5.9375</v>
      </c>
      <c r="AM22" s="1">
        <f t="shared" si="8"/>
        <v>1955.9375</v>
      </c>
    </row>
    <row r="23" spans="9:39" x14ac:dyDescent="0.15">
      <c r="I23" s="1">
        <v>19</v>
      </c>
      <c r="J23" s="1">
        <f t="shared" si="1"/>
        <v>105</v>
      </c>
      <c r="K23" s="1">
        <f t="shared" si="2"/>
        <v>210</v>
      </c>
      <c r="L23" s="1">
        <f t="shared" si="3"/>
        <v>315</v>
      </c>
      <c r="M23" s="1">
        <f t="shared" si="4"/>
        <v>420</v>
      </c>
      <c r="N23" s="1">
        <f t="shared" si="5"/>
        <v>525</v>
      </c>
      <c r="X23" s="1"/>
      <c r="Y23" s="1"/>
      <c r="AB23" s="1" t="s">
        <v>62</v>
      </c>
      <c r="AC23" s="1">
        <v>44</v>
      </c>
      <c r="AD23" s="1" t="s">
        <v>66</v>
      </c>
      <c r="AE23" s="1">
        <v>1</v>
      </c>
      <c r="AH23" s="1">
        <v>20</v>
      </c>
      <c r="AJ23" s="1">
        <v>20</v>
      </c>
      <c r="AK23" s="1">
        <f t="shared" si="6"/>
        <v>2090</v>
      </c>
      <c r="AL23" s="1">
        <f t="shared" si="7"/>
        <v>6.25</v>
      </c>
      <c r="AM23" s="1">
        <f t="shared" si="8"/>
        <v>2096.25</v>
      </c>
    </row>
    <row r="24" spans="9:39" x14ac:dyDescent="0.15">
      <c r="I24" s="1">
        <v>20</v>
      </c>
      <c r="J24" s="1">
        <f t="shared" si="1"/>
        <v>110</v>
      </c>
      <c r="K24" s="1">
        <f t="shared" si="2"/>
        <v>220</v>
      </c>
      <c r="L24" s="1">
        <f t="shared" si="3"/>
        <v>330</v>
      </c>
      <c r="M24" s="1">
        <f t="shared" si="4"/>
        <v>440</v>
      </c>
      <c r="N24" s="1">
        <f t="shared" si="5"/>
        <v>550</v>
      </c>
      <c r="X24" s="1"/>
      <c r="Y24" s="1"/>
      <c r="AB24" s="1" t="s">
        <v>63</v>
      </c>
      <c r="AC24" s="1">
        <v>48</v>
      </c>
      <c r="AD24" s="1" t="s">
        <v>66</v>
      </c>
      <c r="AE24" s="1">
        <v>6</v>
      </c>
      <c r="AH24" s="1">
        <v>120</v>
      </c>
      <c r="AJ24" s="1">
        <v>21</v>
      </c>
      <c r="AK24" s="1">
        <f t="shared" si="6"/>
        <v>2233</v>
      </c>
      <c r="AL24" s="1">
        <f t="shared" si="7"/>
        <v>6.5625</v>
      </c>
      <c r="AM24" s="1">
        <f t="shared" si="8"/>
        <v>2239.5625</v>
      </c>
    </row>
    <row r="25" spans="9:39" x14ac:dyDescent="0.15">
      <c r="I25" s="1">
        <v>21</v>
      </c>
      <c r="K25" s="1">
        <f t="shared" ref="K25:K56" si="12">D$7+D$8*$I25</f>
        <v>230</v>
      </c>
      <c r="L25" s="1">
        <f t="shared" ref="L25:L56" si="13">E$7+E$8*$I25</f>
        <v>345</v>
      </c>
      <c r="M25" s="1">
        <f t="shared" ref="M25:M56" si="14">F$7+F$8*$I25</f>
        <v>460</v>
      </c>
      <c r="N25" s="1">
        <f t="shared" ref="N25:N56" si="15">G$7+G$8*$I25</f>
        <v>575</v>
      </c>
      <c r="X25" s="1"/>
      <c r="Y25" s="1"/>
      <c r="AB25" s="1" t="s">
        <v>64</v>
      </c>
      <c r="AC25" s="1">
        <v>58</v>
      </c>
      <c r="AD25" s="1" t="s">
        <v>67</v>
      </c>
      <c r="AE25" s="1">
        <v>6</v>
      </c>
      <c r="AH25" s="1">
        <v>360</v>
      </c>
      <c r="AJ25" s="1">
        <v>22</v>
      </c>
      <c r="AK25" s="1">
        <f t="shared" si="6"/>
        <v>2376</v>
      </c>
      <c r="AL25" s="1">
        <f t="shared" si="7"/>
        <v>6.875</v>
      </c>
      <c r="AM25" s="1">
        <f t="shared" si="8"/>
        <v>2382.875</v>
      </c>
    </row>
    <row r="26" spans="9:39" x14ac:dyDescent="0.15">
      <c r="I26" s="1">
        <v>22</v>
      </c>
      <c r="K26" s="1">
        <f t="shared" si="12"/>
        <v>240</v>
      </c>
      <c r="L26" s="1">
        <f t="shared" si="13"/>
        <v>360</v>
      </c>
      <c r="M26" s="1">
        <f t="shared" si="14"/>
        <v>480</v>
      </c>
      <c r="N26" s="1">
        <f t="shared" si="15"/>
        <v>600</v>
      </c>
      <c r="X26" s="1"/>
      <c r="Y26" s="1"/>
      <c r="AB26" s="1" t="s">
        <v>65</v>
      </c>
      <c r="AC26" s="1">
        <v>66</v>
      </c>
      <c r="AD26" s="1" t="s">
        <v>68</v>
      </c>
      <c r="AE26" s="1">
        <v>6</v>
      </c>
      <c r="AH26" s="1">
        <v>840</v>
      </c>
      <c r="AJ26" s="1">
        <v>23</v>
      </c>
      <c r="AK26" s="1">
        <f t="shared" si="6"/>
        <v>2519</v>
      </c>
      <c r="AL26" s="1">
        <f t="shared" si="7"/>
        <v>7.1875</v>
      </c>
      <c r="AM26" s="1">
        <f t="shared" si="8"/>
        <v>2526.1875</v>
      </c>
    </row>
    <row r="27" spans="9:39" x14ac:dyDescent="0.15">
      <c r="I27" s="1">
        <v>23</v>
      </c>
      <c r="K27" s="1">
        <f t="shared" si="12"/>
        <v>250</v>
      </c>
      <c r="L27" s="1">
        <f t="shared" si="13"/>
        <v>375</v>
      </c>
      <c r="M27" s="1">
        <f t="shared" si="14"/>
        <v>500</v>
      </c>
      <c r="N27" s="1">
        <f t="shared" si="15"/>
        <v>625</v>
      </c>
      <c r="X27" s="1"/>
      <c r="Y27" s="1"/>
      <c r="AJ27" s="1">
        <v>24</v>
      </c>
      <c r="AK27" s="1">
        <f t="shared" si="6"/>
        <v>2662</v>
      </c>
      <c r="AL27" s="1">
        <f t="shared" si="7"/>
        <v>7.5</v>
      </c>
      <c r="AM27" s="1">
        <f t="shared" si="8"/>
        <v>2669.5</v>
      </c>
    </row>
    <row r="28" spans="9:39" x14ac:dyDescent="0.15">
      <c r="I28" s="1">
        <v>24</v>
      </c>
      <c r="K28" s="1">
        <f t="shared" si="12"/>
        <v>260</v>
      </c>
      <c r="L28" s="1">
        <f t="shared" si="13"/>
        <v>390</v>
      </c>
      <c r="M28" s="1">
        <f t="shared" si="14"/>
        <v>520</v>
      </c>
      <c r="N28" s="1">
        <f t="shared" si="15"/>
        <v>650</v>
      </c>
      <c r="X28" s="1"/>
      <c r="Y28" s="1"/>
      <c r="AJ28" s="1">
        <v>25</v>
      </c>
      <c r="AK28" s="1">
        <f t="shared" si="6"/>
        <v>2805</v>
      </c>
      <c r="AL28" s="1">
        <f t="shared" si="7"/>
        <v>7.8125</v>
      </c>
      <c r="AM28" s="1">
        <f t="shared" si="8"/>
        <v>2812.8125</v>
      </c>
    </row>
    <row r="29" spans="9:39" x14ac:dyDescent="0.15">
      <c r="I29" s="1">
        <v>25</v>
      </c>
      <c r="K29" s="1">
        <f t="shared" si="12"/>
        <v>270</v>
      </c>
      <c r="L29" s="1">
        <f t="shared" si="13"/>
        <v>405</v>
      </c>
      <c r="M29" s="1">
        <f t="shared" si="14"/>
        <v>540</v>
      </c>
      <c r="N29" s="1">
        <f t="shared" si="15"/>
        <v>675</v>
      </c>
      <c r="X29" s="1"/>
      <c r="Y29" s="1"/>
      <c r="AJ29" s="1">
        <v>26</v>
      </c>
      <c r="AK29" s="1">
        <f t="shared" si="6"/>
        <v>2948</v>
      </c>
      <c r="AL29" s="1">
        <f t="shared" si="7"/>
        <v>8.125</v>
      </c>
      <c r="AM29" s="1">
        <f t="shared" si="8"/>
        <v>2956.125</v>
      </c>
    </row>
    <row r="30" spans="9:39" x14ac:dyDescent="0.15">
      <c r="I30" s="1">
        <v>26</v>
      </c>
      <c r="K30" s="1">
        <f t="shared" si="12"/>
        <v>280</v>
      </c>
      <c r="L30" s="1">
        <f t="shared" si="13"/>
        <v>420</v>
      </c>
      <c r="M30" s="1">
        <f t="shared" si="14"/>
        <v>560</v>
      </c>
      <c r="N30" s="1">
        <f t="shared" si="15"/>
        <v>700</v>
      </c>
      <c r="X30" s="1"/>
      <c r="Y30" s="1"/>
      <c r="AJ30" s="1">
        <v>27</v>
      </c>
      <c r="AK30" s="1">
        <f t="shared" si="6"/>
        <v>3091</v>
      </c>
      <c r="AL30" s="1">
        <f t="shared" si="7"/>
        <v>8.4375</v>
      </c>
      <c r="AM30" s="1">
        <f t="shared" si="8"/>
        <v>3099.4375</v>
      </c>
    </row>
    <row r="31" spans="9:39" x14ac:dyDescent="0.15">
      <c r="I31" s="1">
        <v>27</v>
      </c>
      <c r="K31" s="1">
        <f t="shared" si="12"/>
        <v>290</v>
      </c>
      <c r="L31" s="1">
        <f t="shared" si="13"/>
        <v>435</v>
      </c>
      <c r="M31" s="1">
        <f t="shared" si="14"/>
        <v>580</v>
      </c>
      <c r="N31" s="1">
        <f t="shared" si="15"/>
        <v>725</v>
      </c>
      <c r="X31" s="1"/>
      <c r="Y31" s="1"/>
      <c r="AJ31" s="1">
        <v>28</v>
      </c>
      <c r="AK31" s="1">
        <f t="shared" si="6"/>
        <v>3234</v>
      </c>
      <c r="AL31" s="1">
        <f t="shared" si="7"/>
        <v>8.75</v>
      </c>
      <c r="AM31" s="1">
        <f t="shared" si="8"/>
        <v>3242.75</v>
      </c>
    </row>
    <row r="32" spans="9:39" x14ac:dyDescent="0.15">
      <c r="I32" s="1">
        <v>28</v>
      </c>
      <c r="K32" s="1">
        <f t="shared" si="12"/>
        <v>300</v>
      </c>
      <c r="L32" s="1">
        <f t="shared" si="13"/>
        <v>450</v>
      </c>
      <c r="M32" s="1">
        <f t="shared" si="14"/>
        <v>600</v>
      </c>
      <c r="N32" s="1">
        <f t="shared" si="15"/>
        <v>750</v>
      </c>
      <c r="X32" s="1"/>
      <c r="Y32" s="1"/>
      <c r="AJ32" s="1">
        <v>29</v>
      </c>
      <c r="AK32" s="1">
        <f t="shared" si="6"/>
        <v>3377</v>
      </c>
      <c r="AL32" s="1">
        <f t="shared" si="7"/>
        <v>9.0625</v>
      </c>
      <c r="AM32" s="1">
        <f t="shared" si="8"/>
        <v>3386.0625</v>
      </c>
    </row>
    <row r="33" spans="9:39" x14ac:dyDescent="0.15">
      <c r="I33" s="1">
        <v>29</v>
      </c>
      <c r="K33" s="1">
        <f t="shared" si="12"/>
        <v>310</v>
      </c>
      <c r="L33" s="1">
        <f t="shared" si="13"/>
        <v>465</v>
      </c>
      <c r="M33" s="1">
        <f t="shared" si="14"/>
        <v>620</v>
      </c>
      <c r="N33" s="1">
        <f t="shared" si="15"/>
        <v>775</v>
      </c>
      <c r="X33" s="1"/>
      <c r="Y33" s="1"/>
      <c r="AJ33" s="1">
        <v>30</v>
      </c>
      <c r="AK33" s="1">
        <f t="shared" si="6"/>
        <v>3520</v>
      </c>
      <c r="AL33" s="1">
        <f t="shared" si="7"/>
        <v>9.375</v>
      </c>
      <c r="AM33" s="1">
        <f t="shared" si="8"/>
        <v>3529.375</v>
      </c>
    </row>
    <row r="34" spans="9:39" x14ac:dyDescent="0.15">
      <c r="I34" s="1">
        <v>30</v>
      </c>
      <c r="K34" s="1">
        <f t="shared" si="12"/>
        <v>320</v>
      </c>
      <c r="L34" s="1">
        <f t="shared" si="13"/>
        <v>480</v>
      </c>
      <c r="M34" s="1">
        <f t="shared" si="14"/>
        <v>640</v>
      </c>
      <c r="N34" s="1">
        <f t="shared" si="15"/>
        <v>800</v>
      </c>
      <c r="X34" s="1"/>
      <c r="Y34" s="1"/>
      <c r="AJ34" s="1">
        <v>31</v>
      </c>
      <c r="AK34" s="1">
        <f t="shared" si="6"/>
        <v>3704</v>
      </c>
      <c r="AL34" s="1">
        <f t="shared" si="7"/>
        <v>9.6875</v>
      </c>
      <c r="AM34" s="1">
        <f t="shared" si="8"/>
        <v>3713.6875</v>
      </c>
    </row>
    <row r="35" spans="9:39" x14ac:dyDescent="0.15">
      <c r="I35" s="1">
        <v>31</v>
      </c>
      <c r="K35" s="1">
        <f t="shared" si="12"/>
        <v>330</v>
      </c>
      <c r="L35" s="1">
        <f t="shared" si="13"/>
        <v>495</v>
      </c>
      <c r="M35" s="1">
        <f t="shared" si="14"/>
        <v>660</v>
      </c>
      <c r="N35" s="1">
        <f t="shared" si="15"/>
        <v>825</v>
      </c>
      <c r="X35" s="1"/>
      <c r="Y35" s="1"/>
      <c r="AJ35" s="1">
        <v>32</v>
      </c>
      <c r="AK35" s="1">
        <f t="shared" si="6"/>
        <v>3888</v>
      </c>
      <c r="AL35" s="1">
        <f t="shared" si="7"/>
        <v>10</v>
      </c>
      <c r="AM35" s="1">
        <f t="shared" si="8"/>
        <v>3898</v>
      </c>
    </row>
    <row r="36" spans="9:39" x14ac:dyDescent="0.15">
      <c r="I36" s="1">
        <v>32</v>
      </c>
      <c r="K36" s="1">
        <f t="shared" si="12"/>
        <v>340</v>
      </c>
      <c r="L36" s="1">
        <f t="shared" si="13"/>
        <v>510</v>
      </c>
      <c r="M36" s="1">
        <f t="shared" si="14"/>
        <v>680</v>
      </c>
      <c r="N36" s="1">
        <f t="shared" si="15"/>
        <v>850</v>
      </c>
      <c r="X36" s="1"/>
      <c r="Y36" s="1"/>
      <c r="AJ36" s="1">
        <v>33</v>
      </c>
      <c r="AK36" s="1">
        <f t="shared" si="6"/>
        <v>4072</v>
      </c>
      <c r="AL36" s="1">
        <f t="shared" si="7"/>
        <v>10.833333333333334</v>
      </c>
      <c r="AM36" s="1">
        <f t="shared" si="8"/>
        <v>4082.8333333333335</v>
      </c>
    </row>
    <row r="37" spans="9:39" x14ac:dyDescent="0.15">
      <c r="I37" s="1">
        <v>33</v>
      </c>
      <c r="K37" s="1">
        <f t="shared" si="12"/>
        <v>350</v>
      </c>
      <c r="L37" s="1">
        <f t="shared" si="13"/>
        <v>525</v>
      </c>
      <c r="M37" s="1">
        <f t="shared" si="14"/>
        <v>700</v>
      </c>
      <c r="N37" s="1">
        <f t="shared" si="15"/>
        <v>875</v>
      </c>
      <c r="X37" s="1"/>
      <c r="Y37" s="1"/>
      <c r="AJ37" s="1">
        <v>34</v>
      </c>
      <c r="AK37" s="1">
        <f t="shared" si="6"/>
        <v>4256</v>
      </c>
      <c r="AL37" s="1">
        <f t="shared" si="7"/>
        <v>11.666666666666666</v>
      </c>
      <c r="AM37" s="1">
        <f t="shared" si="8"/>
        <v>4267.666666666667</v>
      </c>
    </row>
    <row r="38" spans="9:39" x14ac:dyDescent="0.15">
      <c r="I38" s="1">
        <v>34</v>
      </c>
      <c r="K38" s="1">
        <f t="shared" si="12"/>
        <v>360</v>
      </c>
      <c r="L38" s="1">
        <f t="shared" si="13"/>
        <v>540</v>
      </c>
      <c r="M38" s="1">
        <f t="shared" si="14"/>
        <v>720</v>
      </c>
      <c r="N38" s="1">
        <f t="shared" si="15"/>
        <v>900</v>
      </c>
      <c r="X38" s="1"/>
      <c r="Y38" s="1"/>
      <c r="AJ38" s="1">
        <v>35</v>
      </c>
      <c r="AK38" s="1">
        <f t="shared" si="6"/>
        <v>4440</v>
      </c>
      <c r="AL38" s="1">
        <f t="shared" si="7"/>
        <v>12.5</v>
      </c>
      <c r="AM38" s="1">
        <f t="shared" si="8"/>
        <v>4452.5</v>
      </c>
    </row>
    <row r="39" spans="9:39" x14ac:dyDescent="0.15">
      <c r="I39" s="1">
        <v>35</v>
      </c>
      <c r="K39" s="1">
        <f t="shared" si="12"/>
        <v>370</v>
      </c>
      <c r="L39" s="1">
        <f t="shared" si="13"/>
        <v>555</v>
      </c>
      <c r="M39" s="1">
        <f t="shared" si="14"/>
        <v>740</v>
      </c>
      <c r="N39" s="1">
        <f t="shared" si="15"/>
        <v>925</v>
      </c>
      <c r="X39" s="1"/>
      <c r="Y39" s="1"/>
      <c r="AJ39" s="1">
        <v>36</v>
      </c>
      <c r="AK39" s="1">
        <f t="shared" si="6"/>
        <v>4560</v>
      </c>
      <c r="AL39" s="1">
        <f t="shared" si="7"/>
        <v>13.333333333333334</v>
      </c>
      <c r="AM39" s="1">
        <f t="shared" si="8"/>
        <v>4573.333333333333</v>
      </c>
    </row>
    <row r="40" spans="9:39" x14ac:dyDescent="0.15">
      <c r="I40" s="1">
        <v>36</v>
      </c>
      <c r="K40" s="1">
        <f t="shared" si="12"/>
        <v>380</v>
      </c>
      <c r="L40" s="1">
        <f t="shared" si="13"/>
        <v>570</v>
      </c>
      <c r="M40" s="1">
        <f t="shared" si="14"/>
        <v>760</v>
      </c>
      <c r="N40" s="1">
        <f t="shared" si="15"/>
        <v>950</v>
      </c>
      <c r="X40" s="1"/>
      <c r="Y40" s="1"/>
      <c r="AJ40" s="1">
        <v>37</v>
      </c>
      <c r="AK40" s="1">
        <f t="shared" si="6"/>
        <v>4680</v>
      </c>
      <c r="AL40" s="1">
        <f t="shared" si="7"/>
        <v>14.166666666666668</v>
      </c>
      <c r="AM40" s="1">
        <f t="shared" si="8"/>
        <v>4694.166666666667</v>
      </c>
    </row>
    <row r="41" spans="9:39" x14ac:dyDescent="0.15">
      <c r="I41" s="1">
        <v>37</v>
      </c>
      <c r="K41" s="1">
        <f t="shared" si="12"/>
        <v>390</v>
      </c>
      <c r="L41" s="1">
        <f t="shared" si="13"/>
        <v>585</v>
      </c>
      <c r="M41" s="1">
        <f t="shared" si="14"/>
        <v>780</v>
      </c>
      <c r="N41" s="1">
        <f t="shared" si="15"/>
        <v>975</v>
      </c>
      <c r="X41" s="1"/>
      <c r="Y41" s="1"/>
      <c r="AJ41" s="1">
        <v>38</v>
      </c>
      <c r="AK41" s="1">
        <f t="shared" si="6"/>
        <v>4800</v>
      </c>
      <c r="AL41" s="1">
        <f t="shared" si="7"/>
        <v>15</v>
      </c>
      <c r="AM41" s="1">
        <f t="shared" si="8"/>
        <v>4815</v>
      </c>
    </row>
    <row r="42" spans="9:39" x14ac:dyDescent="0.15">
      <c r="I42" s="1">
        <v>38</v>
      </c>
      <c r="K42" s="1">
        <f t="shared" si="12"/>
        <v>400</v>
      </c>
      <c r="L42" s="1">
        <f t="shared" si="13"/>
        <v>600</v>
      </c>
      <c r="M42" s="1">
        <f t="shared" si="14"/>
        <v>800</v>
      </c>
      <c r="N42" s="1">
        <f t="shared" si="15"/>
        <v>1000</v>
      </c>
      <c r="X42" s="1"/>
      <c r="Y42" s="1"/>
      <c r="AJ42" s="1">
        <v>39</v>
      </c>
      <c r="AK42" s="1">
        <f t="shared" si="6"/>
        <v>4920</v>
      </c>
      <c r="AL42" s="1">
        <f t="shared" si="7"/>
        <v>15.833333333333334</v>
      </c>
      <c r="AM42" s="1">
        <f t="shared" si="8"/>
        <v>4935.833333333333</v>
      </c>
    </row>
    <row r="43" spans="9:39" x14ac:dyDescent="0.15">
      <c r="I43" s="1">
        <v>39</v>
      </c>
      <c r="K43" s="1">
        <f t="shared" si="12"/>
        <v>410</v>
      </c>
      <c r="L43" s="1">
        <f t="shared" si="13"/>
        <v>615</v>
      </c>
      <c r="M43" s="1">
        <f t="shared" si="14"/>
        <v>820</v>
      </c>
      <c r="N43" s="1">
        <f t="shared" si="15"/>
        <v>1025</v>
      </c>
      <c r="X43" s="1"/>
      <c r="Y43" s="1"/>
      <c r="AJ43" s="1">
        <v>40</v>
      </c>
      <c r="AK43" s="1">
        <f t="shared" si="6"/>
        <v>5040</v>
      </c>
      <c r="AL43" s="1">
        <f t="shared" si="7"/>
        <v>16.666666666666668</v>
      </c>
      <c r="AM43" s="1">
        <f t="shared" si="8"/>
        <v>5056.666666666667</v>
      </c>
    </row>
    <row r="44" spans="9:39" x14ac:dyDescent="0.15">
      <c r="I44" s="1">
        <v>40</v>
      </c>
      <c r="K44" s="1">
        <f t="shared" si="12"/>
        <v>420</v>
      </c>
      <c r="L44" s="1">
        <f t="shared" si="13"/>
        <v>630</v>
      </c>
      <c r="M44" s="1">
        <f t="shared" si="14"/>
        <v>840</v>
      </c>
      <c r="N44" s="1">
        <f t="shared" si="15"/>
        <v>1050</v>
      </c>
      <c r="X44" s="1"/>
      <c r="Y44" s="1"/>
      <c r="AJ44" s="1">
        <v>41</v>
      </c>
      <c r="AK44" s="1">
        <f t="shared" si="6"/>
        <v>5160</v>
      </c>
      <c r="AL44" s="1">
        <f t="shared" si="7"/>
        <v>17.5</v>
      </c>
      <c r="AM44" s="1">
        <f t="shared" si="8"/>
        <v>5177.5</v>
      </c>
    </row>
    <row r="45" spans="9:39" x14ac:dyDescent="0.15">
      <c r="I45" s="1">
        <v>41</v>
      </c>
      <c r="K45" s="1">
        <f t="shared" si="12"/>
        <v>430</v>
      </c>
      <c r="L45" s="1">
        <f t="shared" si="13"/>
        <v>645</v>
      </c>
      <c r="M45" s="1">
        <f t="shared" si="14"/>
        <v>860</v>
      </c>
      <c r="N45" s="1">
        <f t="shared" si="15"/>
        <v>1075</v>
      </c>
      <c r="X45" s="1"/>
      <c r="Y45" s="1"/>
      <c r="AJ45" s="1">
        <v>42</v>
      </c>
      <c r="AK45" s="1">
        <f t="shared" si="6"/>
        <v>5280</v>
      </c>
      <c r="AL45" s="1">
        <f t="shared" si="7"/>
        <v>18.333333333333336</v>
      </c>
      <c r="AM45" s="1">
        <f t="shared" si="8"/>
        <v>5298.333333333333</v>
      </c>
    </row>
    <row r="46" spans="9:39" x14ac:dyDescent="0.15">
      <c r="I46" s="1">
        <v>42</v>
      </c>
      <c r="K46" s="1">
        <f t="shared" si="12"/>
        <v>440</v>
      </c>
      <c r="L46" s="1">
        <f t="shared" si="13"/>
        <v>660</v>
      </c>
      <c r="M46" s="1">
        <f t="shared" si="14"/>
        <v>880</v>
      </c>
      <c r="N46" s="1">
        <f t="shared" si="15"/>
        <v>1100</v>
      </c>
      <c r="X46" s="1"/>
      <c r="Y46" s="1"/>
      <c r="AJ46" s="1">
        <v>43</v>
      </c>
      <c r="AK46" s="1">
        <f t="shared" si="6"/>
        <v>5400</v>
      </c>
      <c r="AL46" s="1">
        <f t="shared" si="7"/>
        <v>19.166666666666668</v>
      </c>
      <c r="AM46" s="1">
        <f t="shared" si="8"/>
        <v>5419.166666666667</v>
      </c>
    </row>
    <row r="47" spans="9:39" x14ac:dyDescent="0.15">
      <c r="I47" s="1">
        <v>43</v>
      </c>
      <c r="K47" s="1">
        <f t="shared" si="12"/>
        <v>450</v>
      </c>
      <c r="L47" s="1">
        <f t="shared" si="13"/>
        <v>675</v>
      </c>
      <c r="M47" s="1">
        <f t="shared" si="14"/>
        <v>900</v>
      </c>
      <c r="N47" s="1">
        <f t="shared" si="15"/>
        <v>1125</v>
      </c>
      <c r="X47" s="1"/>
      <c r="Y47" s="1"/>
      <c r="AJ47" s="1">
        <v>44</v>
      </c>
      <c r="AK47" s="1">
        <f t="shared" si="6"/>
        <v>5520</v>
      </c>
      <c r="AL47" s="1">
        <f t="shared" si="7"/>
        <v>20</v>
      </c>
      <c r="AM47" s="1">
        <f t="shared" si="8"/>
        <v>5540</v>
      </c>
    </row>
    <row r="48" spans="9:39" x14ac:dyDescent="0.15">
      <c r="I48" s="1">
        <v>44</v>
      </c>
      <c r="K48" s="1">
        <f t="shared" si="12"/>
        <v>460</v>
      </c>
      <c r="L48" s="1">
        <f t="shared" si="13"/>
        <v>690</v>
      </c>
      <c r="M48" s="1">
        <f t="shared" si="14"/>
        <v>920</v>
      </c>
      <c r="N48" s="1">
        <f t="shared" si="15"/>
        <v>1150</v>
      </c>
      <c r="X48" s="1"/>
      <c r="Y48" s="1"/>
      <c r="AJ48" s="1">
        <v>45</v>
      </c>
      <c r="AK48" s="1">
        <f t="shared" si="6"/>
        <v>5640</v>
      </c>
      <c r="AL48" s="1">
        <f t="shared" si="7"/>
        <v>45</v>
      </c>
      <c r="AM48" s="1">
        <f t="shared" si="8"/>
        <v>5685</v>
      </c>
    </row>
    <row r="49" spans="9:39" x14ac:dyDescent="0.15">
      <c r="I49" s="1">
        <v>45</v>
      </c>
      <c r="K49" s="1">
        <f t="shared" si="12"/>
        <v>470</v>
      </c>
      <c r="L49" s="1">
        <f t="shared" si="13"/>
        <v>705</v>
      </c>
      <c r="M49" s="1">
        <f t="shared" si="14"/>
        <v>940</v>
      </c>
      <c r="N49" s="1">
        <f t="shared" si="15"/>
        <v>1175</v>
      </c>
      <c r="X49" s="1"/>
      <c r="Y49" s="1"/>
      <c r="AJ49" s="1">
        <v>46</v>
      </c>
      <c r="AK49" s="1">
        <f t="shared" si="6"/>
        <v>5760</v>
      </c>
      <c r="AL49" s="1">
        <f t="shared" si="7"/>
        <v>70</v>
      </c>
      <c r="AM49" s="1">
        <f t="shared" si="8"/>
        <v>5830</v>
      </c>
    </row>
    <row r="50" spans="9:39" x14ac:dyDescent="0.15">
      <c r="I50" s="1">
        <v>46</v>
      </c>
      <c r="K50" s="1">
        <f t="shared" si="12"/>
        <v>480</v>
      </c>
      <c r="L50" s="1">
        <f t="shared" si="13"/>
        <v>720</v>
      </c>
      <c r="M50" s="1">
        <f t="shared" si="14"/>
        <v>960</v>
      </c>
      <c r="N50" s="1">
        <f t="shared" si="15"/>
        <v>1200</v>
      </c>
      <c r="X50" s="1"/>
      <c r="Y50" s="1"/>
      <c r="AJ50" s="1">
        <v>47</v>
      </c>
      <c r="AK50" s="1">
        <f t="shared" si="6"/>
        <v>5880</v>
      </c>
      <c r="AL50" s="1">
        <f t="shared" si="7"/>
        <v>95</v>
      </c>
      <c r="AM50" s="1">
        <f t="shared" si="8"/>
        <v>5975</v>
      </c>
    </row>
    <row r="51" spans="9:39" x14ac:dyDescent="0.15">
      <c r="I51" s="1">
        <v>47</v>
      </c>
      <c r="K51" s="1">
        <f t="shared" si="12"/>
        <v>490</v>
      </c>
      <c r="L51" s="1">
        <f t="shared" si="13"/>
        <v>735</v>
      </c>
      <c r="M51" s="1">
        <f t="shared" si="14"/>
        <v>980</v>
      </c>
      <c r="N51" s="1">
        <f t="shared" si="15"/>
        <v>1225</v>
      </c>
      <c r="X51" s="1"/>
      <c r="Y51" s="1"/>
      <c r="AJ51" s="1">
        <v>48</v>
      </c>
      <c r="AK51" s="1">
        <f t="shared" si="6"/>
        <v>6000</v>
      </c>
      <c r="AL51" s="1">
        <f t="shared" si="7"/>
        <v>120</v>
      </c>
      <c r="AM51" s="1">
        <f t="shared" si="8"/>
        <v>6120</v>
      </c>
    </row>
    <row r="52" spans="9:39" x14ac:dyDescent="0.15">
      <c r="I52" s="1">
        <v>48</v>
      </c>
      <c r="K52" s="1">
        <f t="shared" si="12"/>
        <v>500</v>
      </c>
      <c r="L52" s="1">
        <f t="shared" si="13"/>
        <v>750</v>
      </c>
      <c r="M52" s="1">
        <f t="shared" si="14"/>
        <v>1000</v>
      </c>
      <c r="N52" s="1">
        <f t="shared" si="15"/>
        <v>1250</v>
      </c>
      <c r="X52" s="1"/>
      <c r="Y52" s="1"/>
      <c r="AJ52" s="1">
        <v>49</v>
      </c>
      <c r="AK52" s="1">
        <f t="shared" si="6"/>
        <v>6120</v>
      </c>
      <c r="AL52" s="1">
        <f t="shared" si="7"/>
        <v>144</v>
      </c>
      <c r="AM52" s="1">
        <f t="shared" si="8"/>
        <v>6264</v>
      </c>
    </row>
    <row r="53" spans="9:39" x14ac:dyDescent="0.15">
      <c r="I53" s="1">
        <v>49</v>
      </c>
      <c r="K53" s="1">
        <f t="shared" si="12"/>
        <v>510</v>
      </c>
      <c r="L53" s="1">
        <f t="shared" si="13"/>
        <v>765</v>
      </c>
      <c r="M53" s="1">
        <f t="shared" si="14"/>
        <v>1020</v>
      </c>
      <c r="N53" s="1">
        <f t="shared" si="15"/>
        <v>1275</v>
      </c>
      <c r="X53" s="1"/>
      <c r="Y53" s="1"/>
      <c r="AJ53" s="1">
        <v>50</v>
      </c>
      <c r="AK53" s="1">
        <f t="shared" si="6"/>
        <v>6240</v>
      </c>
      <c r="AL53" s="1">
        <f t="shared" si="7"/>
        <v>168</v>
      </c>
      <c r="AM53" s="1">
        <f t="shared" si="8"/>
        <v>6408</v>
      </c>
    </row>
    <row r="54" spans="9:39" x14ac:dyDescent="0.15">
      <c r="I54" s="1">
        <v>50</v>
      </c>
      <c r="K54" s="1">
        <f t="shared" si="12"/>
        <v>520</v>
      </c>
      <c r="L54" s="1">
        <f t="shared" si="13"/>
        <v>780</v>
      </c>
      <c r="M54" s="1">
        <f t="shared" si="14"/>
        <v>1040</v>
      </c>
      <c r="N54" s="1">
        <f t="shared" si="15"/>
        <v>1300</v>
      </c>
      <c r="X54" s="1"/>
      <c r="Y54" s="1"/>
      <c r="AJ54" s="1">
        <v>51</v>
      </c>
      <c r="AK54" s="1">
        <f t="shared" si="6"/>
        <v>6360</v>
      </c>
      <c r="AL54" s="1">
        <f t="shared" si="7"/>
        <v>192</v>
      </c>
      <c r="AM54" s="1">
        <f t="shared" si="8"/>
        <v>6552</v>
      </c>
    </row>
    <row r="55" spans="9:39" x14ac:dyDescent="0.15">
      <c r="I55" s="1">
        <v>51</v>
      </c>
      <c r="K55" s="1">
        <f t="shared" si="12"/>
        <v>530</v>
      </c>
      <c r="L55" s="1">
        <f t="shared" si="13"/>
        <v>795</v>
      </c>
      <c r="M55" s="1">
        <f t="shared" si="14"/>
        <v>1060</v>
      </c>
      <c r="N55" s="1">
        <f t="shared" si="15"/>
        <v>1325</v>
      </c>
      <c r="X55" s="1"/>
      <c r="Y55" s="1"/>
      <c r="AJ55" s="1">
        <v>52</v>
      </c>
      <c r="AK55" s="1">
        <f t="shared" si="6"/>
        <v>6480</v>
      </c>
      <c r="AL55" s="1">
        <f t="shared" si="7"/>
        <v>216</v>
      </c>
      <c r="AM55" s="1">
        <f t="shared" si="8"/>
        <v>6696</v>
      </c>
    </row>
    <row r="56" spans="9:39" x14ac:dyDescent="0.15">
      <c r="I56" s="1">
        <v>52</v>
      </c>
      <c r="K56" s="1">
        <f t="shared" si="12"/>
        <v>540</v>
      </c>
      <c r="L56" s="1">
        <f t="shared" si="13"/>
        <v>810</v>
      </c>
      <c r="M56" s="1">
        <f t="shared" si="14"/>
        <v>1080</v>
      </c>
      <c r="N56" s="1">
        <f t="shared" si="15"/>
        <v>1350</v>
      </c>
      <c r="X56" s="1"/>
      <c r="Y56" s="1"/>
      <c r="AJ56" s="1">
        <v>53</v>
      </c>
      <c r="AK56" s="1">
        <f t="shared" si="6"/>
        <v>6600</v>
      </c>
      <c r="AL56" s="1">
        <f t="shared" si="7"/>
        <v>240</v>
      </c>
      <c r="AM56" s="1">
        <f t="shared" si="8"/>
        <v>6840</v>
      </c>
    </row>
    <row r="57" spans="9:39" x14ac:dyDescent="0.15">
      <c r="I57" s="1">
        <v>53</v>
      </c>
      <c r="K57" s="1">
        <f t="shared" ref="K57:K88" si="16">D$7+D$8*$I57</f>
        <v>550</v>
      </c>
      <c r="L57" s="1">
        <f t="shared" ref="L57:L88" si="17">E$7+E$8*$I57</f>
        <v>825</v>
      </c>
      <c r="M57" s="1">
        <f t="shared" ref="M57:M88" si="18">F$7+F$8*$I57</f>
        <v>1100</v>
      </c>
      <c r="N57" s="1">
        <f t="shared" ref="N57:N88" si="19">G$7+G$8*$I57</f>
        <v>1375</v>
      </c>
      <c r="X57" s="1"/>
      <c r="Y57" s="1"/>
      <c r="AJ57" s="1">
        <v>54</v>
      </c>
      <c r="AK57" s="1">
        <f t="shared" si="6"/>
        <v>6720</v>
      </c>
      <c r="AL57" s="1">
        <f t="shared" si="7"/>
        <v>264</v>
      </c>
      <c r="AM57" s="1">
        <f t="shared" si="8"/>
        <v>6984</v>
      </c>
    </row>
    <row r="58" spans="9:39" x14ac:dyDescent="0.15">
      <c r="I58" s="1">
        <v>54</v>
      </c>
      <c r="K58" s="1">
        <f t="shared" si="16"/>
        <v>560</v>
      </c>
      <c r="L58" s="1">
        <f t="shared" si="17"/>
        <v>840</v>
      </c>
      <c r="M58" s="1">
        <f t="shared" si="18"/>
        <v>1120</v>
      </c>
      <c r="N58" s="1">
        <f t="shared" si="19"/>
        <v>1400</v>
      </c>
      <c r="X58" s="1"/>
      <c r="Y58" s="1"/>
      <c r="AJ58" s="1">
        <v>55</v>
      </c>
      <c r="AK58" s="1">
        <f t="shared" si="6"/>
        <v>6840</v>
      </c>
      <c r="AL58" s="1">
        <f t="shared" si="7"/>
        <v>288</v>
      </c>
      <c r="AM58" s="1">
        <f t="shared" si="8"/>
        <v>7128</v>
      </c>
    </row>
    <row r="59" spans="9:39" x14ac:dyDescent="0.15">
      <c r="I59" s="1">
        <v>55</v>
      </c>
      <c r="K59" s="1">
        <f t="shared" si="16"/>
        <v>570</v>
      </c>
      <c r="L59" s="1">
        <f t="shared" si="17"/>
        <v>855</v>
      </c>
      <c r="M59" s="1">
        <f t="shared" si="18"/>
        <v>1140</v>
      </c>
      <c r="N59" s="1">
        <f t="shared" si="19"/>
        <v>1425</v>
      </c>
      <c r="X59" s="1"/>
      <c r="Y59" s="1"/>
      <c r="AJ59" s="1">
        <v>56</v>
      </c>
      <c r="AK59" s="1">
        <f t="shared" si="6"/>
        <v>6960</v>
      </c>
      <c r="AL59" s="1">
        <f t="shared" si="7"/>
        <v>312</v>
      </c>
      <c r="AM59" s="1">
        <f t="shared" si="8"/>
        <v>7272</v>
      </c>
    </row>
    <row r="60" spans="9:39" x14ac:dyDescent="0.15">
      <c r="I60" s="1">
        <v>56</v>
      </c>
      <c r="K60" s="1">
        <f t="shared" si="16"/>
        <v>580</v>
      </c>
      <c r="L60" s="1">
        <f t="shared" si="17"/>
        <v>870</v>
      </c>
      <c r="M60" s="1">
        <f t="shared" si="18"/>
        <v>1160</v>
      </c>
      <c r="N60" s="1">
        <f t="shared" si="19"/>
        <v>1450</v>
      </c>
      <c r="X60" s="1"/>
      <c r="Y60" s="1"/>
      <c r="AJ60" s="1">
        <v>57</v>
      </c>
      <c r="AK60" s="1">
        <f t="shared" si="6"/>
        <v>7080</v>
      </c>
      <c r="AL60" s="1">
        <f t="shared" si="7"/>
        <v>336</v>
      </c>
      <c r="AM60" s="1">
        <f t="shared" si="8"/>
        <v>7416</v>
      </c>
    </row>
    <row r="61" spans="9:39" x14ac:dyDescent="0.15">
      <c r="I61" s="1">
        <v>57</v>
      </c>
      <c r="K61" s="1">
        <f t="shared" si="16"/>
        <v>590</v>
      </c>
      <c r="L61" s="1">
        <f t="shared" si="17"/>
        <v>885</v>
      </c>
      <c r="M61" s="1">
        <f t="shared" si="18"/>
        <v>1180</v>
      </c>
      <c r="N61" s="1">
        <f t="shared" si="19"/>
        <v>1475</v>
      </c>
      <c r="X61" s="1"/>
      <c r="Y61" s="1"/>
      <c r="AJ61" s="1">
        <v>58</v>
      </c>
      <c r="AK61" s="1">
        <f t="shared" si="6"/>
        <v>7200</v>
      </c>
      <c r="AL61" s="1">
        <f t="shared" si="7"/>
        <v>360</v>
      </c>
      <c r="AM61" s="1">
        <f t="shared" si="8"/>
        <v>7560</v>
      </c>
    </row>
    <row r="62" spans="9:39" x14ac:dyDescent="0.15">
      <c r="I62" s="1">
        <v>58</v>
      </c>
      <c r="K62" s="1">
        <f t="shared" si="16"/>
        <v>600</v>
      </c>
      <c r="L62" s="1">
        <f t="shared" si="17"/>
        <v>900</v>
      </c>
      <c r="M62" s="1">
        <f t="shared" si="18"/>
        <v>1200</v>
      </c>
      <c r="N62" s="1">
        <f t="shared" si="19"/>
        <v>1500</v>
      </c>
      <c r="X62" s="1"/>
      <c r="Y62" s="1"/>
      <c r="AJ62" s="1">
        <v>59</v>
      </c>
      <c r="AK62" s="1">
        <f t="shared" si="6"/>
        <v>7320</v>
      </c>
      <c r="AL62" s="1">
        <f t="shared" si="7"/>
        <v>420</v>
      </c>
      <c r="AM62" s="1">
        <f t="shared" si="8"/>
        <v>7740</v>
      </c>
    </row>
    <row r="63" spans="9:39" x14ac:dyDescent="0.15">
      <c r="I63" s="1">
        <v>59</v>
      </c>
      <c r="K63" s="1">
        <f t="shared" si="16"/>
        <v>610</v>
      </c>
      <c r="L63" s="1">
        <f t="shared" si="17"/>
        <v>915</v>
      </c>
      <c r="M63" s="1">
        <f t="shared" si="18"/>
        <v>1220</v>
      </c>
      <c r="N63" s="1">
        <f t="shared" si="19"/>
        <v>1525</v>
      </c>
      <c r="X63" s="1"/>
      <c r="Y63" s="1"/>
      <c r="AJ63" s="1">
        <v>60</v>
      </c>
      <c r="AK63" s="1">
        <f t="shared" si="6"/>
        <v>7440</v>
      </c>
      <c r="AL63" s="1">
        <f t="shared" si="7"/>
        <v>480</v>
      </c>
      <c r="AM63" s="1">
        <f t="shared" si="8"/>
        <v>7920</v>
      </c>
    </row>
    <row r="64" spans="9:39" x14ac:dyDescent="0.15">
      <c r="I64" s="1">
        <v>60</v>
      </c>
      <c r="K64" s="1">
        <f t="shared" si="16"/>
        <v>620</v>
      </c>
      <c r="L64" s="1">
        <f t="shared" si="17"/>
        <v>930</v>
      </c>
      <c r="M64" s="1">
        <f t="shared" si="18"/>
        <v>1240</v>
      </c>
      <c r="N64" s="1">
        <f t="shared" si="19"/>
        <v>1550</v>
      </c>
      <c r="X64" s="1"/>
      <c r="Y64" s="1"/>
      <c r="AJ64" s="1">
        <v>61</v>
      </c>
      <c r="AK64" s="1">
        <f t="shared" si="6"/>
        <v>7560</v>
      </c>
      <c r="AL64" s="1">
        <f t="shared" si="7"/>
        <v>540</v>
      </c>
      <c r="AM64" s="1">
        <f t="shared" si="8"/>
        <v>8100</v>
      </c>
    </row>
    <row r="65" spans="9:39" x14ac:dyDescent="0.15">
      <c r="I65" s="1">
        <v>61</v>
      </c>
      <c r="K65" s="1">
        <f t="shared" si="16"/>
        <v>630</v>
      </c>
      <c r="L65" s="1">
        <f t="shared" si="17"/>
        <v>945</v>
      </c>
      <c r="M65" s="1">
        <f t="shared" si="18"/>
        <v>1260</v>
      </c>
      <c r="N65" s="1">
        <f t="shared" si="19"/>
        <v>1575</v>
      </c>
      <c r="X65" s="1"/>
      <c r="Y65" s="1"/>
      <c r="AJ65" s="1">
        <v>62</v>
      </c>
      <c r="AK65" s="1">
        <f t="shared" si="6"/>
        <v>7680</v>
      </c>
      <c r="AL65" s="1">
        <f t="shared" si="7"/>
        <v>600</v>
      </c>
      <c r="AM65" s="1">
        <f t="shared" si="8"/>
        <v>8280</v>
      </c>
    </row>
    <row r="66" spans="9:39" x14ac:dyDescent="0.15">
      <c r="I66" s="1">
        <v>62</v>
      </c>
      <c r="K66" s="1">
        <f t="shared" si="16"/>
        <v>640</v>
      </c>
      <c r="L66" s="1">
        <f t="shared" si="17"/>
        <v>960</v>
      </c>
      <c r="M66" s="1">
        <f t="shared" si="18"/>
        <v>1280</v>
      </c>
      <c r="N66" s="1">
        <f t="shared" si="19"/>
        <v>1600</v>
      </c>
      <c r="X66" s="1"/>
      <c r="Y66" s="1"/>
      <c r="AJ66" s="1">
        <v>63</v>
      </c>
      <c r="AK66" s="1">
        <f t="shared" si="6"/>
        <v>7800</v>
      </c>
      <c r="AL66" s="1">
        <f t="shared" si="7"/>
        <v>660</v>
      </c>
      <c r="AM66" s="1">
        <f t="shared" si="8"/>
        <v>8460</v>
      </c>
    </row>
    <row r="67" spans="9:39" x14ac:dyDescent="0.15">
      <c r="I67" s="1">
        <v>63</v>
      </c>
      <c r="K67" s="1">
        <f t="shared" si="16"/>
        <v>650</v>
      </c>
      <c r="L67" s="1">
        <f t="shared" si="17"/>
        <v>975</v>
      </c>
      <c r="M67" s="1">
        <f t="shared" si="18"/>
        <v>1300</v>
      </c>
      <c r="N67" s="1">
        <f t="shared" si="19"/>
        <v>1625</v>
      </c>
      <c r="X67" s="1"/>
      <c r="Y67" s="1"/>
      <c r="AJ67" s="1">
        <v>64</v>
      </c>
      <c r="AK67" s="1">
        <f t="shared" si="6"/>
        <v>7920</v>
      </c>
      <c r="AL67" s="1">
        <f t="shared" si="7"/>
        <v>720</v>
      </c>
      <c r="AM67" s="1">
        <f t="shared" si="8"/>
        <v>8640</v>
      </c>
    </row>
    <row r="68" spans="9:39" x14ac:dyDescent="0.15">
      <c r="I68" s="1">
        <v>64</v>
      </c>
      <c r="K68" s="1">
        <f t="shared" si="16"/>
        <v>660</v>
      </c>
      <c r="L68" s="1">
        <f t="shared" si="17"/>
        <v>990</v>
      </c>
      <c r="M68" s="1">
        <f t="shared" si="18"/>
        <v>1320</v>
      </c>
      <c r="N68" s="1">
        <f t="shared" si="19"/>
        <v>1650</v>
      </c>
      <c r="X68" s="1"/>
      <c r="Y68" s="1"/>
      <c r="AJ68" s="1">
        <v>65</v>
      </c>
      <c r="AK68" s="1">
        <f t="shared" si="6"/>
        <v>8040</v>
      </c>
      <c r="AL68" s="1">
        <f t="shared" si="7"/>
        <v>780</v>
      </c>
      <c r="AM68" s="1">
        <f t="shared" si="8"/>
        <v>8820</v>
      </c>
    </row>
    <row r="69" spans="9:39" x14ac:dyDescent="0.15">
      <c r="I69" s="1">
        <v>65</v>
      </c>
      <c r="K69" s="1">
        <f t="shared" si="16"/>
        <v>670</v>
      </c>
      <c r="L69" s="1">
        <f t="shared" si="17"/>
        <v>1005</v>
      </c>
      <c r="M69" s="1">
        <f t="shared" si="18"/>
        <v>1340</v>
      </c>
      <c r="N69" s="1">
        <f t="shared" si="19"/>
        <v>1675</v>
      </c>
      <c r="X69" s="1"/>
      <c r="Y69" s="1"/>
      <c r="AJ69" s="1">
        <v>66</v>
      </c>
      <c r="AK69" s="1">
        <f t="shared" ref="AK69:AK103" si="20">求节点($AC$4:$AC$17,$AH$4:$AH$17,AJ69)</f>
        <v>8160</v>
      </c>
      <c r="AL69" s="1">
        <f t="shared" ref="AL69:AL103" si="21">IF(AJ69&lt;=$AC$26,求节点($AC$21:$AC$26,$AH$21:$AH$26,AJ69),$AH$26)</f>
        <v>840</v>
      </c>
      <c r="AM69" s="1">
        <f t="shared" ref="AM69:AM103" si="22">AK69+AL69</f>
        <v>9000</v>
      </c>
    </row>
    <row r="70" spans="9:39" x14ac:dyDescent="0.15">
      <c r="I70" s="1">
        <v>66</v>
      </c>
      <c r="K70" s="1">
        <f t="shared" si="16"/>
        <v>680</v>
      </c>
      <c r="L70" s="1">
        <f t="shared" si="17"/>
        <v>1020</v>
      </c>
      <c r="M70" s="1">
        <f t="shared" si="18"/>
        <v>1360</v>
      </c>
      <c r="N70" s="1">
        <f t="shared" si="19"/>
        <v>1700</v>
      </c>
      <c r="X70" s="1"/>
      <c r="Y70" s="1"/>
      <c r="AJ70" s="1">
        <v>67</v>
      </c>
      <c r="AK70" s="1">
        <f t="shared" si="20"/>
        <v>8280</v>
      </c>
      <c r="AL70" s="1">
        <f t="shared" si="21"/>
        <v>840</v>
      </c>
      <c r="AM70" s="1">
        <f t="shared" si="22"/>
        <v>9120</v>
      </c>
    </row>
    <row r="71" spans="9:39" x14ac:dyDescent="0.15">
      <c r="I71" s="1">
        <v>67</v>
      </c>
      <c r="K71" s="1">
        <f t="shared" si="16"/>
        <v>690</v>
      </c>
      <c r="L71" s="1">
        <f t="shared" si="17"/>
        <v>1035</v>
      </c>
      <c r="M71" s="1">
        <f t="shared" si="18"/>
        <v>1380</v>
      </c>
      <c r="N71" s="1">
        <f t="shared" si="19"/>
        <v>1725</v>
      </c>
      <c r="X71" s="1"/>
      <c r="Y71" s="1"/>
      <c r="AJ71" s="1">
        <v>68</v>
      </c>
      <c r="AK71" s="1">
        <f t="shared" si="20"/>
        <v>8400</v>
      </c>
      <c r="AL71" s="1">
        <f t="shared" si="21"/>
        <v>840</v>
      </c>
      <c r="AM71" s="1">
        <f t="shared" si="22"/>
        <v>9240</v>
      </c>
    </row>
    <row r="72" spans="9:39" x14ac:dyDescent="0.15">
      <c r="I72" s="1">
        <v>68</v>
      </c>
      <c r="K72" s="1">
        <f t="shared" si="16"/>
        <v>700</v>
      </c>
      <c r="L72" s="1">
        <f t="shared" si="17"/>
        <v>1050</v>
      </c>
      <c r="M72" s="1">
        <f t="shared" si="18"/>
        <v>1400</v>
      </c>
      <c r="N72" s="1">
        <f t="shared" si="19"/>
        <v>1750</v>
      </c>
      <c r="X72" s="1"/>
      <c r="Y72" s="1"/>
      <c r="AJ72" s="1">
        <v>69</v>
      </c>
      <c r="AK72" s="1">
        <f t="shared" si="20"/>
        <v>8520</v>
      </c>
      <c r="AL72" s="1">
        <f t="shared" si="21"/>
        <v>840</v>
      </c>
      <c r="AM72" s="1">
        <f t="shared" si="22"/>
        <v>9360</v>
      </c>
    </row>
    <row r="73" spans="9:39" x14ac:dyDescent="0.15">
      <c r="I73" s="1">
        <v>69</v>
      </c>
      <c r="K73" s="1">
        <f t="shared" si="16"/>
        <v>710</v>
      </c>
      <c r="L73" s="1">
        <f t="shared" si="17"/>
        <v>1065</v>
      </c>
      <c r="M73" s="1">
        <f t="shared" si="18"/>
        <v>1420</v>
      </c>
      <c r="N73" s="1">
        <f t="shared" si="19"/>
        <v>1775</v>
      </c>
      <c r="X73" s="1"/>
      <c r="Y73" s="1"/>
      <c r="AJ73" s="1">
        <v>70</v>
      </c>
      <c r="AK73" s="1">
        <f t="shared" si="20"/>
        <v>8640</v>
      </c>
      <c r="AL73" s="1">
        <f t="shared" si="21"/>
        <v>840</v>
      </c>
      <c r="AM73" s="1">
        <f t="shared" si="22"/>
        <v>9480</v>
      </c>
    </row>
    <row r="74" spans="9:39" x14ac:dyDescent="0.15">
      <c r="I74" s="1">
        <v>70</v>
      </c>
      <c r="K74" s="1">
        <f t="shared" si="16"/>
        <v>720</v>
      </c>
      <c r="L74" s="1">
        <f t="shared" si="17"/>
        <v>1080</v>
      </c>
      <c r="M74" s="1">
        <f t="shared" si="18"/>
        <v>1440</v>
      </c>
      <c r="N74" s="1">
        <f t="shared" si="19"/>
        <v>1800</v>
      </c>
      <c r="X74" s="1"/>
      <c r="Y74" s="1"/>
      <c r="AJ74" s="1">
        <v>71</v>
      </c>
      <c r="AK74" s="1">
        <f t="shared" si="20"/>
        <v>8760</v>
      </c>
      <c r="AL74" s="1">
        <f t="shared" si="21"/>
        <v>840</v>
      </c>
      <c r="AM74" s="1">
        <f t="shared" si="22"/>
        <v>9600</v>
      </c>
    </row>
    <row r="75" spans="9:39" x14ac:dyDescent="0.15">
      <c r="I75" s="1">
        <v>71</v>
      </c>
      <c r="K75" s="1">
        <f t="shared" si="16"/>
        <v>730</v>
      </c>
      <c r="L75" s="1">
        <f t="shared" si="17"/>
        <v>1095</v>
      </c>
      <c r="M75" s="1">
        <f t="shared" si="18"/>
        <v>1460</v>
      </c>
      <c r="N75" s="1">
        <f t="shared" si="19"/>
        <v>1825</v>
      </c>
      <c r="X75" s="1"/>
      <c r="Y75" s="1"/>
      <c r="AJ75" s="1">
        <v>72</v>
      </c>
      <c r="AK75" s="1">
        <f t="shared" si="20"/>
        <v>8880</v>
      </c>
      <c r="AL75" s="1">
        <f t="shared" si="21"/>
        <v>840</v>
      </c>
      <c r="AM75" s="1">
        <f t="shared" si="22"/>
        <v>9720</v>
      </c>
    </row>
    <row r="76" spans="9:39" x14ac:dyDescent="0.15">
      <c r="I76" s="1">
        <v>72</v>
      </c>
      <c r="K76" s="1">
        <f t="shared" si="16"/>
        <v>740</v>
      </c>
      <c r="L76" s="1">
        <f t="shared" si="17"/>
        <v>1110</v>
      </c>
      <c r="M76" s="1">
        <f t="shared" si="18"/>
        <v>1480</v>
      </c>
      <c r="N76" s="1">
        <f t="shared" si="19"/>
        <v>1850</v>
      </c>
      <c r="X76" s="1"/>
      <c r="Y76" s="1"/>
      <c r="AJ76" s="1">
        <v>73</v>
      </c>
      <c r="AK76" s="1">
        <f t="shared" si="20"/>
        <v>9000</v>
      </c>
      <c r="AL76" s="1">
        <f t="shared" si="21"/>
        <v>840</v>
      </c>
      <c r="AM76" s="1">
        <f t="shared" si="22"/>
        <v>9840</v>
      </c>
    </row>
    <row r="77" spans="9:39" x14ac:dyDescent="0.15">
      <c r="I77" s="1">
        <v>73</v>
      </c>
      <c r="K77" s="1">
        <f t="shared" si="16"/>
        <v>750</v>
      </c>
      <c r="L77" s="1">
        <f t="shared" si="17"/>
        <v>1125</v>
      </c>
      <c r="M77" s="1">
        <f t="shared" si="18"/>
        <v>1500</v>
      </c>
      <c r="N77" s="1">
        <f t="shared" si="19"/>
        <v>1875</v>
      </c>
      <c r="X77" s="1"/>
      <c r="Y77" s="1"/>
      <c r="AJ77" s="1">
        <v>74</v>
      </c>
      <c r="AK77" s="1">
        <f t="shared" si="20"/>
        <v>9120</v>
      </c>
      <c r="AL77" s="1">
        <f t="shared" si="21"/>
        <v>840</v>
      </c>
      <c r="AM77" s="1">
        <f t="shared" si="22"/>
        <v>9960</v>
      </c>
    </row>
    <row r="78" spans="9:39" x14ac:dyDescent="0.15">
      <c r="I78" s="1">
        <v>74</v>
      </c>
      <c r="K78" s="1">
        <f t="shared" si="16"/>
        <v>760</v>
      </c>
      <c r="L78" s="1">
        <f t="shared" si="17"/>
        <v>1140</v>
      </c>
      <c r="M78" s="1">
        <f t="shared" si="18"/>
        <v>1520</v>
      </c>
      <c r="N78" s="1">
        <f t="shared" si="19"/>
        <v>1900</v>
      </c>
      <c r="X78" s="1"/>
      <c r="Y78" s="1"/>
      <c r="AJ78" s="1">
        <v>75</v>
      </c>
      <c r="AK78" s="1">
        <f t="shared" si="20"/>
        <v>9240</v>
      </c>
      <c r="AL78" s="1">
        <f t="shared" si="21"/>
        <v>840</v>
      </c>
      <c r="AM78" s="1">
        <f t="shared" si="22"/>
        <v>10080</v>
      </c>
    </row>
    <row r="79" spans="9:39" x14ac:dyDescent="0.15">
      <c r="I79" s="1">
        <v>75</v>
      </c>
      <c r="K79" s="1">
        <f t="shared" si="16"/>
        <v>770</v>
      </c>
      <c r="L79" s="1">
        <f t="shared" si="17"/>
        <v>1155</v>
      </c>
      <c r="M79" s="1">
        <f t="shared" si="18"/>
        <v>1540</v>
      </c>
      <c r="N79" s="1">
        <f t="shared" si="19"/>
        <v>1925</v>
      </c>
      <c r="X79" s="1"/>
      <c r="Y79" s="1"/>
      <c r="AJ79" s="1">
        <v>76</v>
      </c>
      <c r="AK79" s="1">
        <f t="shared" si="20"/>
        <v>9360</v>
      </c>
      <c r="AL79" s="1">
        <f t="shared" si="21"/>
        <v>840</v>
      </c>
      <c r="AM79" s="1">
        <f t="shared" si="22"/>
        <v>10200</v>
      </c>
    </row>
    <row r="80" spans="9:39" x14ac:dyDescent="0.15">
      <c r="I80" s="1">
        <v>76</v>
      </c>
      <c r="K80" s="1">
        <f t="shared" si="16"/>
        <v>780</v>
      </c>
      <c r="L80" s="1">
        <f t="shared" si="17"/>
        <v>1170</v>
      </c>
      <c r="M80" s="1">
        <f t="shared" si="18"/>
        <v>1560</v>
      </c>
      <c r="N80" s="1">
        <f t="shared" si="19"/>
        <v>1950</v>
      </c>
      <c r="X80" s="1"/>
      <c r="Y80" s="1"/>
      <c r="AJ80" s="1">
        <v>77</v>
      </c>
      <c r="AK80" s="1">
        <f t="shared" si="20"/>
        <v>9480</v>
      </c>
      <c r="AL80" s="1">
        <f t="shared" si="21"/>
        <v>840</v>
      </c>
      <c r="AM80" s="1">
        <f t="shared" si="22"/>
        <v>10320</v>
      </c>
    </row>
    <row r="81" spans="9:39" x14ac:dyDescent="0.15">
      <c r="I81" s="1">
        <v>77</v>
      </c>
      <c r="K81" s="1">
        <f t="shared" si="16"/>
        <v>790</v>
      </c>
      <c r="L81" s="1">
        <f t="shared" si="17"/>
        <v>1185</v>
      </c>
      <c r="M81" s="1">
        <f t="shared" si="18"/>
        <v>1580</v>
      </c>
      <c r="N81" s="1">
        <f t="shared" si="19"/>
        <v>1975</v>
      </c>
      <c r="X81" s="1"/>
      <c r="Y81" s="1"/>
      <c r="AJ81" s="1">
        <v>78</v>
      </c>
      <c r="AK81" s="1">
        <f t="shared" si="20"/>
        <v>9600</v>
      </c>
      <c r="AL81" s="1">
        <f t="shared" si="21"/>
        <v>840</v>
      </c>
      <c r="AM81" s="1">
        <f t="shared" si="22"/>
        <v>10440</v>
      </c>
    </row>
    <row r="82" spans="9:39" x14ac:dyDescent="0.15">
      <c r="I82" s="1">
        <v>78</v>
      </c>
      <c r="K82" s="1">
        <f t="shared" si="16"/>
        <v>800</v>
      </c>
      <c r="L82" s="1">
        <f t="shared" si="17"/>
        <v>1200</v>
      </c>
      <c r="M82" s="1">
        <f t="shared" si="18"/>
        <v>1600</v>
      </c>
      <c r="N82" s="1">
        <f t="shared" si="19"/>
        <v>2000</v>
      </c>
      <c r="X82" s="1"/>
      <c r="Y82" s="1"/>
      <c r="AJ82" s="1">
        <v>79</v>
      </c>
      <c r="AK82" s="1">
        <f t="shared" si="20"/>
        <v>9720</v>
      </c>
      <c r="AL82" s="1">
        <f t="shared" si="21"/>
        <v>840</v>
      </c>
      <c r="AM82" s="1">
        <f t="shared" si="22"/>
        <v>10560</v>
      </c>
    </row>
    <row r="83" spans="9:39" x14ac:dyDescent="0.15">
      <c r="I83" s="1">
        <v>79</v>
      </c>
      <c r="K83" s="1">
        <f t="shared" si="16"/>
        <v>810</v>
      </c>
      <c r="L83" s="1">
        <f t="shared" si="17"/>
        <v>1215</v>
      </c>
      <c r="M83" s="1">
        <f t="shared" si="18"/>
        <v>1620</v>
      </c>
      <c r="N83" s="1">
        <f t="shared" si="19"/>
        <v>2025</v>
      </c>
      <c r="X83" s="1"/>
      <c r="Y83" s="1"/>
      <c r="AJ83" s="1">
        <v>80</v>
      </c>
      <c r="AK83" s="1">
        <f t="shared" si="20"/>
        <v>9840</v>
      </c>
      <c r="AL83" s="1">
        <f t="shared" si="21"/>
        <v>840</v>
      </c>
      <c r="AM83" s="1">
        <f t="shared" si="22"/>
        <v>10680</v>
      </c>
    </row>
    <row r="84" spans="9:39" x14ac:dyDescent="0.15">
      <c r="I84" s="1">
        <v>80</v>
      </c>
      <c r="K84" s="1">
        <f t="shared" si="16"/>
        <v>820</v>
      </c>
      <c r="L84" s="1">
        <f t="shared" si="17"/>
        <v>1230</v>
      </c>
      <c r="M84" s="1">
        <f t="shared" si="18"/>
        <v>1640</v>
      </c>
      <c r="N84" s="1">
        <f t="shared" si="19"/>
        <v>2050</v>
      </c>
      <c r="X84" s="1"/>
      <c r="Y84" s="1"/>
      <c r="AJ84" s="1">
        <v>81</v>
      </c>
      <c r="AK84" s="1">
        <f t="shared" si="20"/>
        <v>9960</v>
      </c>
      <c r="AL84" s="1">
        <f t="shared" si="21"/>
        <v>840</v>
      </c>
      <c r="AM84" s="1">
        <f t="shared" si="22"/>
        <v>10800</v>
      </c>
    </row>
    <row r="85" spans="9:39" x14ac:dyDescent="0.15">
      <c r="I85" s="1">
        <v>81</v>
      </c>
      <c r="K85" s="1">
        <f t="shared" si="16"/>
        <v>830</v>
      </c>
      <c r="L85" s="1">
        <f t="shared" si="17"/>
        <v>1245</v>
      </c>
      <c r="M85" s="1">
        <f t="shared" si="18"/>
        <v>1660</v>
      </c>
      <c r="N85" s="1">
        <f t="shared" si="19"/>
        <v>2075</v>
      </c>
      <c r="X85" s="1"/>
      <c r="Y85" s="1"/>
      <c r="AJ85" s="1">
        <v>82</v>
      </c>
      <c r="AK85" s="1">
        <f t="shared" si="20"/>
        <v>10080</v>
      </c>
      <c r="AL85" s="1">
        <f t="shared" si="21"/>
        <v>840</v>
      </c>
      <c r="AM85" s="1">
        <f t="shared" si="22"/>
        <v>10920</v>
      </c>
    </row>
    <row r="86" spans="9:39" x14ac:dyDescent="0.15">
      <c r="I86" s="1">
        <v>82</v>
      </c>
      <c r="K86" s="1">
        <f t="shared" si="16"/>
        <v>840</v>
      </c>
      <c r="L86" s="1">
        <f t="shared" si="17"/>
        <v>1260</v>
      </c>
      <c r="M86" s="1">
        <f t="shared" si="18"/>
        <v>1680</v>
      </c>
      <c r="N86" s="1">
        <f t="shared" si="19"/>
        <v>2100</v>
      </c>
      <c r="X86" s="1"/>
      <c r="Y86" s="1"/>
      <c r="AJ86" s="1">
        <v>83</v>
      </c>
      <c r="AK86" s="1">
        <f t="shared" si="20"/>
        <v>10200</v>
      </c>
      <c r="AL86" s="1">
        <f t="shared" si="21"/>
        <v>840</v>
      </c>
      <c r="AM86" s="1">
        <f t="shared" si="22"/>
        <v>11040</v>
      </c>
    </row>
    <row r="87" spans="9:39" x14ac:dyDescent="0.15">
      <c r="I87" s="1">
        <v>83</v>
      </c>
      <c r="K87" s="1">
        <f t="shared" si="16"/>
        <v>850</v>
      </c>
      <c r="L87" s="1">
        <f t="shared" si="17"/>
        <v>1275</v>
      </c>
      <c r="M87" s="1">
        <f t="shared" si="18"/>
        <v>1700</v>
      </c>
      <c r="N87" s="1">
        <f t="shared" si="19"/>
        <v>2125</v>
      </c>
      <c r="X87" s="1"/>
      <c r="Y87" s="1"/>
      <c r="AJ87" s="1">
        <v>84</v>
      </c>
      <c r="AK87" s="1">
        <f t="shared" si="20"/>
        <v>10320</v>
      </c>
      <c r="AL87" s="1">
        <f t="shared" si="21"/>
        <v>840</v>
      </c>
      <c r="AM87" s="1">
        <f t="shared" si="22"/>
        <v>11160</v>
      </c>
    </row>
    <row r="88" spans="9:39" x14ac:dyDescent="0.15">
      <c r="I88" s="1">
        <v>84</v>
      </c>
      <c r="K88" s="1">
        <f t="shared" si="16"/>
        <v>860</v>
      </c>
      <c r="L88" s="1">
        <f t="shared" si="17"/>
        <v>1290</v>
      </c>
      <c r="M88" s="1">
        <f t="shared" si="18"/>
        <v>1720</v>
      </c>
      <c r="N88" s="1">
        <f t="shared" si="19"/>
        <v>2150</v>
      </c>
      <c r="X88" s="1"/>
      <c r="Y88" s="1"/>
      <c r="AJ88" s="1">
        <v>85</v>
      </c>
      <c r="AK88" s="1">
        <f t="shared" si="20"/>
        <v>10440</v>
      </c>
      <c r="AL88" s="1">
        <f t="shared" si="21"/>
        <v>840</v>
      </c>
      <c r="AM88" s="1">
        <f t="shared" si="22"/>
        <v>11280</v>
      </c>
    </row>
    <row r="89" spans="9:39" x14ac:dyDescent="0.15">
      <c r="I89" s="1">
        <v>85</v>
      </c>
      <c r="K89" s="1">
        <f t="shared" ref="K89:K104" si="23">D$7+D$8*$I89</f>
        <v>870</v>
      </c>
      <c r="L89" s="1">
        <f t="shared" ref="L89:L104" si="24">E$7+E$8*$I89</f>
        <v>1305</v>
      </c>
      <c r="M89" s="1">
        <f t="shared" ref="M89:M104" si="25">F$7+F$8*$I89</f>
        <v>1740</v>
      </c>
      <c r="N89" s="1">
        <f t="shared" ref="N89:N104" si="26">G$7+G$8*$I89</f>
        <v>2175</v>
      </c>
      <c r="X89" s="1"/>
      <c r="Y89" s="1"/>
      <c r="AJ89" s="1">
        <v>86</v>
      </c>
      <c r="AK89" s="1">
        <f t="shared" si="20"/>
        <v>10560</v>
      </c>
      <c r="AL89" s="1">
        <f t="shared" si="21"/>
        <v>840</v>
      </c>
      <c r="AM89" s="1">
        <f t="shared" si="22"/>
        <v>11400</v>
      </c>
    </row>
    <row r="90" spans="9:39" x14ac:dyDescent="0.15">
      <c r="I90" s="1">
        <v>86</v>
      </c>
      <c r="K90" s="1">
        <f t="shared" si="23"/>
        <v>880</v>
      </c>
      <c r="L90" s="1">
        <f t="shared" si="24"/>
        <v>1320</v>
      </c>
      <c r="M90" s="1">
        <f t="shared" si="25"/>
        <v>1760</v>
      </c>
      <c r="N90" s="1">
        <f t="shared" si="26"/>
        <v>2200</v>
      </c>
      <c r="X90" s="1"/>
      <c r="Y90" s="1"/>
      <c r="AJ90" s="1">
        <v>87</v>
      </c>
      <c r="AK90" s="1">
        <f t="shared" si="20"/>
        <v>10680</v>
      </c>
      <c r="AL90" s="1">
        <f t="shared" si="21"/>
        <v>840</v>
      </c>
      <c r="AM90" s="1">
        <f t="shared" si="22"/>
        <v>11520</v>
      </c>
    </row>
    <row r="91" spans="9:39" x14ac:dyDescent="0.15">
      <c r="I91" s="1">
        <v>87</v>
      </c>
      <c r="K91" s="1">
        <f t="shared" si="23"/>
        <v>890</v>
      </c>
      <c r="L91" s="1">
        <f t="shared" si="24"/>
        <v>1335</v>
      </c>
      <c r="M91" s="1">
        <f t="shared" si="25"/>
        <v>1780</v>
      </c>
      <c r="N91" s="1">
        <f t="shared" si="26"/>
        <v>2225</v>
      </c>
      <c r="X91" s="1"/>
      <c r="Y91" s="1"/>
      <c r="AJ91" s="1">
        <v>88</v>
      </c>
      <c r="AK91" s="1">
        <f t="shared" si="20"/>
        <v>10800</v>
      </c>
      <c r="AL91" s="1">
        <f t="shared" si="21"/>
        <v>840</v>
      </c>
      <c r="AM91" s="1">
        <f t="shared" si="22"/>
        <v>11640</v>
      </c>
    </row>
    <row r="92" spans="9:39" x14ac:dyDescent="0.15">
      <c r="I92" s="1">
        <v>88</v>
      </c>
      <c r="K92" s="1">
        <f t="shared" si="23"/>
        <v>900</v>
      </c>
      <c r="L92" s="1">
        <f t="shared" si="24"/>
        <v>1350</v>
      </c>
      <c r="M92" s="1">
        <f t="shared" si="25"/>
        <v>1800</v>
      </c>
      <c r="N92" s="1">
        <f t="shared" si="26"/>
        <v>2250</v>
      </c>
      <c r="X92" s="1"/>
      <c r="Y92" s="1"/>
      <c r="AJ92" s="1">
        <v>89</v>
      </c>
      <c r="AK92" s="1">
        <f t="shared" si="20"/>
        <v>10920</v>
      </c>
      <c r="AL92" s="1">
        <f t="shared" si="21"/>
        <v>840</v>
      </c>
      <c r="AM92" s="1">
        <f t="shared" si="22"/>
        <v>11760</v>
      </c>
    </row>
    <row r="93" spans="9:39" x14ac:dyDescent="0.15">
      <c r="I93" s="1">
        <v>89</v>
      </c>
      <c r="K93" s="1">
        <f t="shared" si="23"/>
        <v>910</v>
      </c>
      <c r="L93" s="1">
        <f t="shared" si="24"/>
        <v>1365</v>
      </c>
      <c r="M93" s="1">
        <f t="shared" si="25"/>
        <v>1820</v>
      </c>
      <c r="N93" s="1">
        <f t="shared" si="26"/>
        <v>2275</v>
      </c>
      <c r="X93" s="1"/>
      <c r="Y93" s="1"/>
      <c r="AJ93" s="1">
        <v>90</v>
      </c>
      <c r="AK93" s="1">
        <f t="shared" si="20"/>
        <v>11040</v>
      </c>
      <c r="AL93" s="1">
        <f t="shared" si="21"/>
        <v>840</v>
      </c>
      <c r="AM93" s="1">
        <f t="shared" si="22"/>
        <v>11880</v>
      </c>
    </row>
    <row r="94" spans="9:39" x14ac:dyDescent="0.15">
      <c r="I94" s="1">
        <v>90</v>
      </c>
      <c r="K94" s="1">
        <f t="shared" si="23"/>
        <v>920</v>
      </c>
      <c r="L94" s="1">
        <f t="shared" si="24"/>
        <v>1380</v>
      </c>
      <c r="M94" s="1">
        <f t="shared" si="25"/>
        <v>1840</v>
      </c>
      <c r="N94" s="1">
        <f t="shared" si="26"/>
        <v>2300</v>
      </c>
      <c r="X94" s="1"/>
      <c r="Y94" s="1"/>
      <c r="AJ94" s="1">
        <v>91</v>
      </c>
      <c r="AK94" s="1">
        <f t="shared" si="20"/>
        <v>11160</v>
      </c>
      <c r="AL94" s="1">
        <f t="shared" si="21"/>
        <v>840</v>
      </c>
      <c r="AM94" s="1">
        <f t="shared" si="22"/>
        <v>12000</v>
      </c>
    </row>
    <row r="95" spans="9:39" x14ac:dyDescent="0.15">
      <c r="I95" s="1">
        <v>91</v>
      </c>
      <c r="K95" s="1">
        <f t="shared" si="23"/>
        <v>930</v>
      </c>
      <c r="L95" s="1">
        <f t="shared" si="24"/>
        <v>1395</v>
      </c>
      <c r="M95" s="1">
        <f t="shared" si="25"/>
        <v>1860</v>
      </c>
      <c r="N95" s="1">
        <f t="shared" si="26"/>
        <v>2325</v>
      </c>
      <c r="X95" s="1"/>
      <c r="Y95" s="1"/>
      <c r="AJ95" s="1">
        <v>92</v>
      </c>
      <c r="AK95" s="1">
        <f t="shared" si="20"/>
        <v>11280</v>
      </c>
      <c r="AL95" s="1">
        <f t="shared" si="21"/>
        <v>840</v>
      </c>
      <c r="AM95" s="1">
        <f t="shared" si="22"/>
        <v>12120</v>
      </c>
    </row>
    <row r="96" spans="9:39" x14ac:dyDescent="0.15">
      <c r="I96" s="1">
        <v>92</v>
      </c>
      <c r="K96" s="1">
        <f t="shared" si="23"/>
        <v>940</v>
      </c>
      <c r="L96" s="1">
        <f t="shared" si="24"/>
        <v>1410</v>
      </c>
      <c r="M96" s="1">
        <f t="shared" si="25"/>
        <v>1880</v>
      </c>
      <c r="N96" s="1">
        <f t="shared" si="26"/>
        <v>2350</v>
      </c>
      <c r="X96" s="1"/>
      <c r="Y96" s="1"/>
      <c r="AJ96" s="1">
        <v>93</v>
      </c>
      <c r="AK96" s="1">
        <f t="shared" si="20"/>
        <v>11400</v>
      </c>
      <c r="AL96" s="1">
        <f t="shared" si="21"/>
        <v>840</v>
      </c>
      <c r="AM96" s="1">
        <f t="shared" si="22"/>
        <v>12240</v>
      </c>
    </row>
    <row r="97" spans="9:39" x14ac:dyDescent="0.15">
      <c r="I97" s="1">
        <v>93</v>
      </c>
      <c r="K97" s="1">
        <f t="shared" si="23"/>
        <v>950</v>
      </c>
      <c r="L97" s="1">
        <f t="shared" si="24"/>
        <v>1425</v>
      </c>
      <c r="M97" s="1">
        <f t="shared" si="25"/>
        <v>1900</v>
      </c>
      <c r="N97" s="1">
        <f t="shared" si="26"/>
        <v>2375</v>
      </c>
      <c r="X97" s="1"/>
      <c r="Y97" s="1"/>
      <c r="AJ97" s="1">
        <v>94</v>
      </c>
      <c r="AK97" s="1">
        <f t="shared" si="20"/>
        <v>11520</v>
      </c>
      <c r="AL97" s="1">
        <f t="shared" si="21"/>
        <v>840</v>
      </c>
      <c r="AM97" s="1">
        <f t="shared" si="22"/>
        <v>12360</v>
      </c>
    </row>
    <row r="98" spans="9:39" x14ac:dyDescent="0.15">
      <c r="I98" s="1">
        <v>94</v>
      </c>
      <c r="K98" s="1">
        <f t="shared" si="23"/>
        <v>960</v>
      </c>
      <c r="L98" s="1">
        <f t="shared" si="24"/>
        <v>1440</v>
      </c>
      <c r="M98" s="1">
        <f t="shared" si="25"/>
        <v>1920</v>
      </c>
      <c r="N98" s="1">
        <f t="shared" si="26"/>
        <v>2400</v>
      </c>
      <c r="X98" s="1"/>
      <c r="Y98" s="1"/>
      <c r="AJ98" s="1">
        <v>95</v>
      </c>
      <c r="AK98" s="1">
        <f t="shared" si="20"/>
        <v>11640</v>
      </c>
      <c r="AL98" s="1">
        <f t="shared" si="21"/>
        <v>840</v>
      </c>
      <c r="AM98" s="1">
        <f t="shared" si="22"/>
        <v>12480</v>
      </c>
    </row>
    <row r="99" spans="9:39" x14ac:dyDescent="0.15">
      <c r="I99" s="1">
        <v>95</v>
      </c>
      <c r="K99" s="1">
        <f t="shared" si="23"/>
        <v>970</v>
      </c>
      <c r="L99" s="1">
        <f t="shared" si="24"/>
        <v>1455</v>
      </c>
      <c r="M99" s="1">
        <f t="shared" si="25"/>
        <v>1940</v>
      </c>
      <c r="N99" s="1">
        <f t="shared" si="26"/>
        <v>2425</v>
      </c>
      <c r="X99" s="1"/>
      <c r="Y99" s="1"/>
      <c r="AJ99" s="1">
        <v>96</v>
      </c>
      <c r="AK99" s="1">
        <f t="shared" si="20"/>
        <v>11760</v>
      </c>
      <c r="AL99" s="1">
        <f t="shared" si="21"/>
        <v>840</v>
      </c>
      <c r="AM99" s="1">
        <f t="shared" si="22"/>
        <v>12600</v>
      </c>
    </row>
    <row r="100" spans="9:39" x14ac:dyDescent="0.15">
      <c r="I100" s="1">
        <v>96</v>
      </c>
      <c r="K100" s="1">
        <f t="shared" si="23"/>
        <v>980</v>
      </c>
      <c r="L100" s="1">
        <f t="shared" si="24"/>
        <v>1470</v>
      </c>
      <c r="M100" s="1">
        <f t="shared" si="25"/>
        <v>1960</v>
      </c>
      <c r="N100" s="1">
        <f t="shared" si="26"/>
        <v>2450</v>
      </c>
      <c r="X100" s="1"/>
      <c r="Y100" s="1"/>
      <c r="AJ100" s="1">
        <v>97</v>
      </c>
      <c r="AK100" s="1">
        <f t="shared" si="20"/>
        <v>11880</v>
      </c>
      <c r="AL100" s="1">
        <f t="shared" si="21"/>
        <v>840</v>
      </c>
      <c r="AM100" s="1">
        <f t="shared" si="22"/>
        <v>12720</v>
      </c>
    </row>
    <row r="101" spans="9:39" x14ac:dyDescent="0.15">
      <c r="I101" s="1">
        <v>97</v>
      </c>
      <c r="K101" s="1">
        <f t="shared" si="23"/>
        <v>990</v>
      </c>
      <c r="L101" s="1">
        <f t="shared" si="24"/>
        <v>1485</v>
      </c>
      <c r="M101" s="1">
        <f t="shared" si="25"/>
        <v>1980</v>
      </c>
      <c r="N101" s="1">
        <f t="shared" si="26"/>
        <v>2475</v>
      </c>
      <c r="X101" s="1"/>
      <c r="Y101" s="1"/>
      <c r="AJ101" s="1">
        <v>98</v>
      </c>
      <c r="AK101" s="1">
        <f t="shared" si="20"/>
        <v>12000</v>
      </c>
      <c r="AL101" s="1">
        <f t="shared" si="21"/>
        <v>840</v>
      </c>
      <c r="AM101" s="1">
        <f t="shared" si="22"/>
        <v>12840</v>
      </c>
    </row>
    <row r="102" spans="9:39" x14ac:dyDescent="0.15">
      <c r="I102" s="1">
        <v>98</v>
      </c>
      <c r="K102" s="1">
        <f t="shared" si="23"/>
        <v>1000</v>
      </c>
      <c r="L102" s="1">
        <f t="shared" si="24"/>
        <v>1500</v>
      </c>
      <c r="M102" s="1">
        <f t="shared" si="25"/>
        <v>2000</v>
      </c>
      <c r="N102" s="1">
        <f t="shared" si="26"/>
        <v>2500</v>
      </c>
      <c r="X102" s="1"/>
      <c r="Y102" s="1"/>
      <c r="AJ102" s="1">
        <v>99</v>
      </c>
      <c r="AK102" s="1">
        <f t="shared" si="20"/>
        <v>12120</v>
      </c>
      <c r="AL102" s="1">
        <f t="shared" si="21"/>
        <v>840</v>
      </c>
      <c r="AM102" s="1">
        <f t="shared" si="22"/>
        <v>12960</v>
      </c>
    </row>
    <row r="103" spans="9:39" x14ac:dyDescent="0.15">
      <c r="I103" s="1">
        <v>99</v>
      </c>
      <c r="K103" s="1">
        <f t="shared" si="23"/>
        <v>1010</v>
      </c>
      <c r="L103" s="1">
        <f t="shared" si="24"/>
        <v>1515</v>
      </c>
      <c r="M103" s="1">
        <f t="shared" si="25"/>
        <v>2020</v>
      </c>
      <c r="N103" s="1">
        <f t="shared" si="26"/>
        <v>2525</v>
      </c>
      <c r="X103" s="1"/>
      <c r="Y103" s="1"/>
      <c r="AJ103" s="1">
        <v>100</v>
      </c>
      <c r="AK103" s="1">
        <f t="shared" si="20"/>
        <v>12240</v>
      </c>
      <c r="AL103" s="1">
        <f t="shared" si="21"/>
        <v>840</v>
      </c>
      <c r="AM103" s="1">
        <f t="shared" si="22"/>
        <v>13080</v>
      </c>
    </row>
    <row r="104" spans="9:39" x14ac:dyDescent="0.15">
      <c r="I104" s="1">
        <v>100</v>
      </c>
      <c r="K104" s="1">
        <f t="shared" si="23"/>
        <v>1020</v>
      </c>
      <c r="L104" s="1">
        <f t="shared" si="24"/>
        <v>1530</v>
      </c>
      <c r="M104" s="1">
        <f t="shared" si="25"/>
        <v>2040</v>
      </c>
      <c r="N104" s="1">
        <f t="shared" si="26"/>
        <v>2550</v>
      </c>
      <c r="X104" s="1"/>
      <c r="Y104" s="1"/>
    </row>
    <row r="105" spans="9:39" x14ac:dyDescent="0.15">
      <c r="X105" s="1"/>
      <c r="Y105" s="1"/>
    </row>
    <row r="106" spans="9:39" x14ac:dyDescent="0.15">
      <c r="X106" s="1"/>
      <c r="Y106" s="1"/>
    </row>
    <row r="107" spans="9:39" x14ac:dyDescent="0.15">
      <c r="X107" s="1"/>
      <c r="Y107" s="1"/>
    </row>
    <row r="108" spans="9:39" x14ac:dyDescent="0.15">
      <c r="X108" s="1"/>
      <c r="Y108" s="1"/>
    </row>
    <row r="109" spans="9:39" x14ac:dyDescent="0.15">
      <c r="X109" s="1"/>
      <c r="Y109" s="1"/>
    </row>
    <row r="110" spans="9:39" x14ac:dyDescent="0.15">
      <c r="X110" s="1"/>
      <c r="Y110" s="1"/>
    </row>
    <row r="111" spans="9:39" x14ac:dyDescent="0.15">
      <c r="X111" s="1"/>
      <c r="Y111" s="1"/>
    </row>
    <row r="112" spans="9:39" x14ac:dyDescent="0.15">
      <c r="X112" s="1"/>
      <c r="Y112" s="1"/>
    </row>
    <row r="113" s="1" customFormat="1" x14ac:dyDescent="0.15"/>
    <row r="114" s="1" customFormat="1" x14ac:dyDescent="0.15"/>
    <row r="115" s="1" customFormat="1" x14ac:dyDescent="0.15"/>
    <row r="116" s="1" customFormat="1" x14ac:dyDescent="0.15"/>
    <row r="117" s="1" customFormat="1" x14ac:dyDescent="0.15"/>
    <row r="118" s="1" customFormat="1" x14ac:dyDescent="0.15"/>
    <row r="119" s="1" customFormat="1" x14ac:dyDescent="0.15"/>
    <row r="120" s="1" customFormat="1" x14ac:dyDescent="0.15"/>
    <row r="121" s="1" customFormat="1" x14ac:dyDescent="0.15"/>
    <row r="122" s="1" customFormat="1" x14ac:dyDescent="0.15"/>
    <row r="123" s="1" customFormat="1" x14ac:dyDescent="0.15"/>
    <row r="124" s="1" customFormat="1" x14ac:dyDescent="0.15"/>
    <row r="125" s="1" customFormat="1" x14ac:dyDescent="0.15"/>
    <row r="126" s="1" customFormat="1" x14ac:dyDescent="0.15"/>
    <row r="127" s="1" customFormat="1" x14ac:dyDescent="0.15"/>
    <row r="128" s="1" customFormat="1" x14ac:dyDescent="0.15"/>
    <row r="129" s="1" customFormat="1" x14ac:dyDescent="0.15"/>
    <row r="130" s="1" customFormat="1" x14ac:dyDescent="0.15"/>
    <row r="131" s="1" customFormat="1" x14ac:dyDescent="0.15"/>
    <row r="132" s="1" customFormat="1" x14ac:dyDescent="0.15"/>
    <row r="133" s="1" customFormat="1" x14ac:dyDescent="0.15"/>
    <row r="134" s="1" customFormat="1" x14ac:dyDescent="0.15"/>
    <row r="135" s="1" customFormat="1" x14ac:dyDescent="0.15"/>
    <row r="136" s="1" customFormat="1" x14ac:dyDescent="0.15"/>
    <row r="137" s="1" customFormat="1" x14ac:dyDescent="0.15"/>
    <row r="138" s="1" customFormat="1" x14ac:dyDescent="0.15"/>
    <row r="139" s="1" customFormat="1" x14ac:dyDescent="0.15"/>
    <row r="140" s="1" customFormat="1" x14ac:dyDescent="0.15"/>
    <row r="141" s="1" customFormat="1" x14ac:dyDescent="0.15"/>
    <row r="142" s="1" customFormat="1" x14ac:dyDescent="0.15"/>
    <row r="143" s="1" customFormat="1" x14ac:dyDescent="0.15"/>
    <row r="144" s="1" customFormat="1" x14ac:dyDescent="0.15"/>
    <row r="145" s="1" customFormat="1" x14ac:dyDescent="0.15"/>
    <row r="146" s="1" customFormat="1" x14ac:dyDescent="0.15"/>
    <row r="147" s="1" customFormat="1" x14ac:dyDescent="0.15"/>
    <row r="148" s="1" customFormat="1" x14ac:dyDescent="0.15"/>
    <row r="149" s="1" customFormat="1" x14ac:dyDescent="0.15"/>
    <row r="150" s="1" customFormat="1" x14ac:dyDescent="0.15"/>
    <row r="151" s="1" customFormat="1" x14ac:dyDescent="0.15"/>
    <row r="152" s="1" customFormat="1" x14ac:dyDescent="0.15"/>
    <row r="153" s="1" customFormat="1" x14ac:dyDescent="0.15"/>
    <row r="154" s="1" customFormat="1" x14ac:dyDescent="0.15"/>
    <row r="155" s="1" customFormat="1" x14ac:dyDescent="0.15"/>
    <row r="156" s="1" customFormat="1" x14ac:dyDescent="0.15"/>
    <row r="157" s="1" customFormat="1" x14ac:dyDescent="0.15"/>
    <row r="158" s="1" customFormat="1" x14ac:dyDescent="0.15"/>
    <row r="159" s="1" customFormat="1" x14ac:dyDescent="0.15"/>
    <row r="160" s="1" customFormat="1" x14ac:dyDescent="0.15"/>
    <row r="161" s="1" customFormat="1" x14ac:dyDescent="0.15"/>
    <row r="162" s="1" customFormat="1" x14ac:dyDescent="0.15"/>
    <row r="163" s="1" customFormat="1" x14ac:dyDescent="0.15"/>
    <row r="164" s="1" customFormat="1" x14ac:dyDescent="0.15"/>
    <row r="165" s="1" customFormat="1" x14ac:dyDescent="0.15"/>
    <row r="166" s="1" customFormat="1" x14ac:dyDescent="0.15"/>
    <row r="167" s="1" customFormat="1" x14ac:dyDescent="0.15"/>
    <row r="168" s="1" customFormat="1" x14ac:dyDescent="0.15"/>
    <row r="169" s="1" customFormat="1" x14ac:dyDescent="0.15"/>
    <row r="170" s="1" customFormat="1" x14ac:dyDescent="0.15"/>
    <row r="171" s="1" customFormat="1" x14ac:dyDescent="0.15"/>
    <row r="172" s="1" customFormat="1" x14ac:dyDescent="0.15"/>
    <row r="173" s="1" customFormat="1" x14ac:dyDescent="0.15"/>
    <row r="174" s="1" customFormat="1" x14ac:dyDescent="0.15"/>
    <row r="175" s="1" customFormat="1" x14ac:dyDescent="0.15"/>
    <row r="176" s="1" customFormat="1" x14ac:dyDescent="0.15"/>
    <row r="177" s="1" customFormat="1" x14ac:dyDescent="0.15"/>
    <row r="178" s="1" customFormat="1" x14ac:dyDescent="0.15"/>
    <row r="179" s="1" customFormat="1" x14ac:dyDescent="0.15"/>
    <row r="180" s="1" customFormat="1" x14ac:dyDescent="0.15"/>
    <row r="181" s="1" customFormat="1" x14ac:dyDescent="0.15"/>
    <row r="182" s="1" customFormat="1" x14ac:dyDescent="0.15"/>
    <row r="183" s="1" customFormat="1" x14ac:dyDescent="0.15"/>
    <row r="184" s="1" customFormat="1" x14ac:dyDescent="0.15"/>
    <row r="185" s="1" customFormat="1" x14ac:dyDescent="0.15"/>
  </sheetData>
  <mergeCells count="2">
    <mergeCell ref="AD3:AG3"/>
    <mergeCell ref="AD20:AG2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节奏总纲</vt:lpstr>
      <vt:lpstr>数据索引</vt:lpstr>
      <vt:lpstr>设计思路</vt:lpstr>
      <vt:lpstr>通商集市</vt:lpstr>
      <vt:lpstr>道具信息</vt:lpstr>
      <vt:lpstr>武将升星（废弃）</vt:lpstr>
      <vt:lpstr>Sheet2</vt:lpstr>
      <vt:lpstr>武将觉醒(废弃）</vt:lpstr>
      <vt:lpstr>属性分配（废弃）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2023-03-08T06:51:55Z</dcterms:modified>
</cp:coreProperties>
</file>