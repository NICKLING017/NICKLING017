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filterPrivacy="1" codeName="ThisWorkbook" defaultThemeVersion="124226"/>
  <xr:revisionPtr revIDLastSave="0" documentId="13_ncr:1_{2B530C70-C53A-4A96-B39C-E80F8833646C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节奏总纲" sheetId="1" r:id="rId1"/>
    <sheet name="产出汇总" sheetId="12" r:id="rId2"/>
    <sheet name="王者铸币" sheetId="11" r:id="rId3"/>
    <sheet name="积分赛" sheetId="8" r:id="rId4"/>
    <sheet name="晋级赛" sheetId="9" r:id="rId5"/>
    <sheet name="竞猜" sheetId="10" r:id="rId6"/>
    <sheet name="商店" sheetId="13" r:id="rId7"/>
    <sheet name="道具投放节奏" sheetId="14" r:id="rId8"/>
  </sheets>
  <functionGroups builtInGroupCount="19"/>
  <externalReferences>
    <externalReference r:id="rId9"/>
    <externalReference r:id="rId10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0" i="13" l="1"/>
  <c r="I34" i="13" l="1"/>
  <c r="I33" i="13"/>
  <c r="I32" i="13"/>
  <c r="J32" i="13"/>
  <c r="J33" i="13"/>
  <c r="J34" i="13"/>
  <c r="J35" i="13"/>
  <c r="J31" i="13"/>
  <c r="I35" i="13"/>
  <c r="H31" i="13"/>
  <c r="H32" i="13"/>
  <c r="H33" i="13"/>
  <c r="H34" i="13"/>
  <c r="H35" i="13"/>
  <c r="N35" i="13" s="1"/>
  <c r="G32" i="13"/>
  <c r="G33" i="13"/>
  <c r="G34" i="13"/>
  <c r="G35" i="13"/>
  <c r="G31" i="13"/>
  <c r="D1" i="13"/>
  <c r="I24" i="13"/>
  <c r="M31" i="13" l="1"/>
  <c r="L35" i="13"/>
  <c r="U11" i="13"/>
  <c r="U15" i="13"/>
  <c r="U12" i="13"/>
  <c r="U14" i="13"/>
  <c r="U16" i="13"/>
  <c r="U13" i="13"/>
  <c r="U10" i="13"/>
  <c r="M35" i="13"/>
  <c r="L31" i="13"/>
  <c r="Q31" i="13"/>
  <c r="O31" i="13"/>
  <c r="Q35" i="13"/>
  <c r="N31" i="13"/>
  <c r="O33" i="13"/>
  <c r="Q32" i="13"/>
  <c r="O35" i="13"/>
  <c r="Q34" i="13"/>
  <c r="O34" i="13"/>
  <c r="N34" i="13"/>
  <c r="M34" i="13"/>
  <c r="L34" i="13"/>
  <c r="N33" i="13"/>
  <c r="M33" i="13"/>
  <c r="L33" i="13"/>
  <c r="Q33" i="13"/>
  <c r="O32" i="13"/>
  <c r="N32" i="13"/>
  <c r="M32" i="13"/>
  <c r="L32" i="13"/>
  <c r="H10" i="13"/>
  <c r="H11" i="13"/>
  <c r="H9" i="13"/>
  <c r="S12" i="13" l="1"/>
  <c r="S13" i="13"/>
  <c r="S14" i="13"/>
  <c r="F471" i="14"/>
  <c r="G471" i="14"/>
  <c r="H471" i="14"/>
  <c r="M471" i="14"/>
  <c r="N471" i="14"/>
  <c r="O471" i="14"/>
  <c r="P471" i="14"/>
  <c r="Q471" i="14"/>
  <c r="F472" i="14"/>
  <c r="G472" i="14"/>
  <c r="H472" i="14"/>
  <c r="M472" i="14"/>
  <c r="N472" i="14"/>
  <c r="O472" i="14"/>
  <c r="P472" i="14"/>
  <c r="Q472" i="14"/>
  <c r="F473" i="14"/>
  <c r="G473" i="14"/>
  <c r="H473" i="14"/>
  <c r="M473" i="14"/>
  <c r="N473" i="14"/>
  <c r="O473" i="14"/>
  <c r="P473" i="14"/>
  <c r="Q473" i="14"/>
  <c r="F474" i="14"/>
  <c r="G474" i="14"/>
  <c r="H474" i="14"/>
  <c r="M474" i="14"/>
  <c r="N474" i="14"/>
  <c r="O474" i="14"/>
  <c r="P474" i="14"/>
  <c r="Q474" i="14"/>
  <c r="F475" i="14"/>
  <c r="G475" i="14"/>
  <c r="H475" i="14"/>
  <c r="M475" i="14"/>
  <c r="N475" i="14"/>
  <c r="O475" i="14"/>
  <c r="P475" i="14"/>
  <c r="Q475" i="14"/>
  <c r="F476" i="14"/>
  <c r="G476" i="14"/>
  <c r="H476" i="14"/>
  <c r="M476" i="14"/>
  <c r="N476" i="14"/>
  <c r="O476" i="14"/>
  <c r="P476" i="14"/>
  <c r="Q476" i="14"/>
  <c r="F477" i="14"/>
  <c r="G477" i="14"/>
  <c r="H477" i="14"/>
  <c r="M477" i="14"/>
  <c r="N477" i="14"/>
  <c r="O477" i="14"/>
  <c r="P477" i="14"/>
  <c r="Q477" i="14"/>
  <c r="F478" i="14"/>
  <c r="G478" i="14"/>
  <c r="H478" i="14"/>
  <c r="M478" i="14"/>
  <c r="N478" i="14"/>
  <c r="O478" i="14"/>
  <c r="P478" i="14"/>
  <c r="Q478" i="14"/>
  <c r="F479" i="14"/>
  <c r="G479" i="14"/>
  <c r="H479" i="14"/>
  <c r="M479" i="14"/>
  <c r="N479" i="14"/>
  <c r="O479" i="14"/>
  <c r="P479" i="14"/>
  <c r="Q479" i="14"/>
  <c r="F480" i="14"/>
  <c r="G480" i="14"/>
  <c r="H480" i="14"/>
  <c r="M480" i="14"/>
  <c r="N480" i="14"/>
  <c r="O480" i="14"/>
  <c r="P480" i="14"/>
  <c r="Q480" i="14"/>
  <c r="F481" i="14"/>
  <c r="G481" i="14"/>
  <c r="H481" i="14"/>
  <c r="M481" i="14"/>
  <c r="N481" i="14"/>
  <c r="O481" i="14"/>
  <c r="P481" i="14"/>
  <c r="Q481" i="14"/>
  <c r="F482" i="14"/>
  <c r="G482" i="14"/>
  <c r="H482" i="14"/>
  <c r="M482" i="14"/>
  <c r="N482" i="14"/>
  <c r="O482" i="14"/>
  <c r="P482" i="14"/>
  <c r="Q482" i="14"/>
  <c r="F483" i="14"/>
  <c r="G483" i="14"/>
  <c r="H483" i="14"/>
  <c r="M483" i="14"/>
  <c r="N483" i="14"/>
  <c r="O483" i="14"/>
  <c r="P483" i="14"/>
  <c r="Q483" i="14"/>
  <c r="F484" i="14"/>
  <c r="G484" i="14"/>
  <c r="H484" i="14"/>
  <c r="M484" i="14"/>
  <c r="N484" i="14"/>
  <c r="O484" i="14"/>
  <c r="P484" i="14"/>
  <c r="Q484" i="14"/>
  <c r="F485" i="14"/>
  <c r="G485" i="14"/>
  <c r="H485" i="14"/>
  <c r="M485" i="14"/>
  <c r="N485" i="14"/>
  <c r="O485" i="14"/>
  <c r="P485" i="14"/>
  <c r="Q485" i="14"/>
  <c r="F486" i="14"/>
  <c r="G486" i="14"/>
  <c r="H486" i="14"/>
  <c r="M486" i="14"/>
  <c r="N486" i="14"/>
  <c r="O486" i="14"/>
  <c r="P486" i="14"/>
  <c r="Q486" i="14"/>
  <c r="F487" i="14"/>
  <c r="G487" i="14"/>
  <c r="H487" i="14"/>
  <c r="M487" i="14"/>
  <c r="N487" i="14"/>
  <c r="O487" i="14"/>
  <c r="P487" i="14"/>
  <c r="Q487" i="14"/>
  <c r="F488" i="14"/>
  <c r="G488" i="14"/>
  <c r="H488" i="14"/>
  <c r="M488" i="14"/>
  <c r="N488" i="14"/>
  <c r="O488" i="14"/>
  <c r="P488" i="14"/>
  <c r="Q488" i="14"/>
  <c r="F489" i="14"/>
  <c r="G489" i="14"/>
  <c r="H489" i="14"/>
  <c r="M489" i="14"/>
  <c r="N489" i="14"/>
  <c r="O489" i="14"/>
  <c r="P489" i="14"/>
  <c r="Q489" i="14"/>
  <c r="F490" i="14"/>
  <c r="G490" i="14"/>
  <c r="H490" i="14"/>
  <c r="M490" i="14"/>
  <c r="N490" i="14"/>
  <c r="O490" i="14"/>
  <c r="P490" i="14"/>
  <c r="Q490" i="14"/>
  <c r="F491" i="14"/>
  <c r="G491" i="14"/>
  <c r="H491" i="14"/>
  <c r="M491" i="14"/>
  <c r="N491" i="14"/>
  <c r="O491" i="14"/>
  <c r="P491" i="14"/>
  <c r="Q491" i="14"/>
  <c r="F492" i="14"/>
  <c r="G492" i="14"/>
  <c r="H492" i="14"/>
  <c r="M492" i="14"/>
  <c r="N492" i="14"/>
  <c r="O492" i="14"/>
  <c r="P492" i="14"/>
  <c r="Q492" i="14"/>
  <c r="F493" i="14"/>
  <c r="G493" i="14"/>
  <c r="H493" i="14"/>
  <c r="M493" i="14"/>
  <c r="N493" i="14"/>
  <c r="O493" i="14"/>
  <c r="P493" i="14"/>
  <c r="Q493" i="14"/>
  <c r="F494" i="14"/>
  <c r="G494" i="14"/>
  <c r="H494" i="14"/>
  <c r="M494" i="14"/>
  <c r="N494" i="14"/>
  <c r="O494" i="14"/>
  <c r="P494" i="14"/>
  <c r="Q494" i="14"/>
  <c r="F495" i="14"/>
  <c r="G495" i="14"/>
  <c r="H495" i="14"/>
  <c r="M495" i="14"/>
  <c r="N495" i="14"/>
  <c r="O495" i="14"/>
  <c r="P495" i="14"/>
  <c r="Q495" i="14"/>
  <c r="F496" i="14"/>
  <c r="G496" i="14"/>
  <c r="H496" i="14"/>
  <c r="M496" i="14"/>
  <c r="N496" i="14"/>
  <c r="O496" i="14"/>
  <c r="P496" i="14"/>
  <c r="Q496" i="14"/>
  <c r="F497" i="14"/>
  <c r="G497" i="14"/>
  <c r="H497" i="14"/>
  <c r="M497" i="14"/>
  <c r="N497" i="14"/>
  <c r="O497" i="14"/>
  <c r="P497" i="14"/>
  <c r="Q497" i="14"/>
  <c r="F498" i="14"/>
  <c r="G498" i="14"/>
  <c r="H498" i="14"/>
  <c r="M498" i="14"/>
  <c r="N498" i="14"/>
  <c r="O498" i="14"/>
  <c r="P498" i="14"/>
  <c r="Q498" i="14"/>
  <c r="F499" i="14"/>
  <c r="G499" i="14"/>
  <c r="H499" i="14"/>
  <c r="M499" i="14"/>
  <c r="N499" i="14"/>
  <c r="O499" i="14"/>
  <c r="P499" i="14"/>
  <c r="Q499" i="14"/>
  <c r="F500" i="14"/>
  <c r="G500" i="14"/>
  <c r="H500" i="14"/>
  <c r="M500" i="14"/>
  <c r="N500" i="14"/>
  <c r="O500" i="14"/>
  <c r="P500" i="14"/>
  <c r="Q500" i="14"/>
  <c r="F501" i="14"/>
  <c r="G501" i="14"/>
  <c r="H501" i="14"/>
  <c r="M501" i="14"/>
  <c r="N501" i="14"/>
  <c r="O501" i="14"/>
  <c r="P501" i="14"/>
  <c r="Q501" i="14"/>
  <c r="F502" i="14"/>
  <c r="G502" i="14"/>
  <c r="H502" i="14"/>
  <c r="M502" i="14"/>
  <c r="N502" i="14"/>
  <c r="O502" i="14"/>
  <c r="P502" i="14"/>
  <c r="Q502" i="14"/>
  <c r="F503" i="14"/>
  <c r="G503" i="14"/>
  <c r="H503" i="14"/>
  <c r="M503" i="14"/>
  <c r="N503" i="14"/>
  <c r="O503" i="14"/>
  <c r="P503" i="14"/>
  <c r="Q503" i="14"/>
  <c r="C504" i="14"/>
  <c r="D504" i="14"/>
  <c r="E504" i="14"/>
  <c r="F504" i="14"/>
  <c r="G504" i="14"/>
  <c r="H504" i="14"/>
  <c r="I504" i="14"/>
  <c r="J504" i="14"/>
  <c r="K504" i="14"/>
  <c r="L504" i="14"/>
  <c r="M504" i="14"/>
  <c r="N504" i="14"/>
  <c r="O504" i="14"/>
  <c r="P504" i="14"/>
  <c r="Q504" i="14"/>
  <c r="C505" i="14"/>
  <c r="D505" i="14"/>
  <c r="E505" i="14"/>
  <c r="F505" i="14"/>
  <c r="G505" i="14"/>
  <c r="H505" i="14"/>
  <c r="I505" i="14"/>
  <c r="J505" i="14"/>
  <c r="K505" i="14"/>
  <c r="L505" i="14"/>
  <c r="M505" i="14"/>
  <c r="N505" i="14"/>
  <c r="O505" i="14"/>
  <c r="P505" i="14"/>
  <c r="Q505" i="14"/>
  <c r="F451" i="14"/>
  <c r="G451" i="14"/>
  <c r="H451" i="14"/>
  <c r="M451" i="14"/>
  <c r="N451" i="14"/>
  <c r="O451" i="14"/>
  <c r="P451" i="14"/>
  <c r="Q451" i="14"/>
  <c r="F452" i="14"/>
  <c r="G452" i="14"/>
  <c r="H452" i="14"/>
  <c r="M452" i="14"/>
  <c r="N452" i="14"/>
  <c r="O452" i="14"/>
  <c r="P452" i="14"/>
  <c r="Q452" i="14"/>
  <c r="F453" i="14"/>
  <c r="G453" i="14"/>
  <c r="H453" i="14"/>
  <c r="M453" i="14"/>
  <c r="N453" i="14"/>
  <c r="O453" i="14"/>
  <c r="P453" i="14"/>
  <c r="Q453" i="14"/>
  <c r="F454" i="14"/>
  <c r="G454" i="14"/>
  <c r="H454" i="14"/>
  <c r="M454" i="14"/>
  <c r="N454" i="14"/>
  <c r="O454" i="14"/>
  <c r="P454" i="14"/>
  <c r="Q454" i="14"/>
  <c r="F455" i="14"/>
  <c r="G455" i="14"/>
  <c r="H455" i="14"/>
  <c r="M455" i="14"/>
  <c r="N455" i="14"/>
  <c r="O455" i="14"/>
  <c r="P455" i="14"/>
  <c r="Q455" i="14"/>
  <c r="F456" i="14"/>
  <c r="G456" i="14"/>
  <c r="H456" i="14"/>
  <c r="M456" i="14"/>
  <c r="N456" i="14"/>
  <c r="O456" i="14"/>
  <c r="P456" i="14"/>
  <c r="Q456" i="14"/>
  <c r="F457" i="14"/>
  <c r="G457" i="14"/>
  <c r="H457" i="14"/>
  <c r="M457" i="14"/>
  <c r="N457" i="14"/>
  <c r="O457" i="14"/>
  <c r="P457" i="14"/>
  <c r="Q457" i="14"/>
  <c r="F458" i="14"/>
  <c r="G458" i="14"/>
  <c r="H458" i="14"/>
  <c r="M458" i="14"/>
  <c r="N458" i="14"/>
  <c r="O458" i="14"/>
  <c r="P458" i="14"/>
  <c r="Q458" i="14"/>
  <c r="F459" i="14"/>
  <c r="G459" i="14"/>
  <c r="H459" i="14"/>
  <c r="M459" i="14"/>
  <c r="N459" i="14"/>
  <c r="O459" i="14"/>
  <c r="P459" i="14"/>
  <c r="Q459" i="14"/>
  <c r="F460" i="14"/>
  <c r="G460" i="14"/>
  <c r="H460" i="14"/>
  <c r="M460" i="14"/>
  <c r="N460" i="14"/>
  <c r="O460" i="14"/>
  <c r="P460" i="14"/>
  <c r="Q460" i="14"/>
  <c r="F461" i="14"/>
  <c r="G461" i="14"/>
  <c r="H461" i="14"/>
  <c r="M461" i="14"/>
  <c r="N461" i="14"/>
  <c r="O461" i="14"/>
  <c r="P461" i="14"/>
  <c r="Q461" i="14"/>
  <c r="F462" i="14"/>
  <c r="G462" i="14"/>
  <c r="H462" i="14"/>
  <c r="M462" i="14"/>
  <c r="N462" i="14"/>
  <c r="O462" i="14"/>
  <c r="P462" i="14"/>
  <c r="Q462" i="14"/>
  <c r="F463" i="14"/>
  <c r="G463" i="14"/>
  <c r="H463" i="14"/>
  <c r="M463" i="14"/>
  <c r="N463" i="14"/>
  <c r="O463" i="14"/>
  <c r="P463" i="14"/>
  <c r="Q463" i="14"/>
  <c r="F464" i="14"/>
  <c r="G464" i="14"/>
  <c r="H464" i="14"/>
  <c r="M464" i="14"/>
  <c r="N464" i="14"/>
  <c r="O464" i="14"/>
  <c r="P464" i="14"/>
  <c r="Q464" i="14"/>
  <c r="F465" i="14"/>
  <c r="G465" i="14"/>
  <c r="H465" i="14"/>
  <c r="M465" i="14"/>
  <c r="N465" i="14"/>
  <c r="O465" i="14"/>
  <c r="P465" i="14"/>
  <c r="Q465" i="14"/>
  <c r="F466" i="14"/>
  <c r="G466" i="14"/>
  <c r="H466" i="14"/>
  <c r="M466" i="14"/>
  <c r="N466" i="14"/>
  <c r="O466" i="14"/>
  <c r="P466" i="14"/>
  <c r="Q466" i="14"/>
  <c r="F467" i="14"/>
  <c r="G467" i="14"/>
  <c r="H467" i="14"/>
  <c r="M467" i="14"/>
  <c r="N467" i="14"/>
  <c r="O467" i="14"/>
  <c r="P467" i="14"/>
  <c r="Q467" i="14"/>
  <c r="F468" i="14"/>
  <c r="G468" i="14"/>
  <c r="H468" i="14"/>
  <c r="M468" i="14"/>
  <c r="N468" i="14"/>
  <c r="O468" i="14"/>
  <c r="P468" i="14"/>
  <c r="Q468" i="14"/>
  <c r="F469" i="14"/>
  <c r="G469" i="14"/>
  <c r="H469" i="14"/>
  <c r="M469" i="14"/>
  <c r="N469" i="14"/>
  <c r="O469" i="14"/>
  <c r="P469" i="14"/>
  <c r="Q469" i="14"/>
  <c r="F470" i="14"/>
  <c r="G470" i="14"/>
  <c r="H470" i="14"/>
  <c r="M470" i="14"/>
  <c r="N470" i="14"/>
  <c r="O470" i="14"/>
  <c r="P470" i="14"/>
  <c r="Q470" i="14"/>
  <c r="C4" i="14"/>
  <c r="D4" i="14"/>
  <c r="F4" i="14"/>
  <c r="G4" i="14"/>
  <c r="H4" i="14"/>
  <c r="L4" i="14"/>
  <c r="M4" i="14"/>
  <c r="N4" i="14"/>
  <c r="O4" i="14"/>
  <c r="P4" i="14"/>
  <c r="C5" i="14"/>
  <c r="D5" i="14"/>
  <c r="F5" i="14"/>
  <c r="G5" i="14"/>
  <c r="H5" i="14"/>
  <c r="L5" i="14"/>
  <c r="M5" i="14"/>
  <c r="N5" i="14"/>
  <c r="O5" i="14"/>
  <c r="P5" i="14"/>
  <c r="C6" i="14"/>
  <c r="D6" i="14"/>
  <c r="F6" i="14"/>
  <c r="G6" i="14"/>
  <c r="H6" i="14"/>
  <c r="L6" i="14"/>
  <c r="M6" i="14"/>
  <c r="N6" i="14"/>
  <c r="O6" i="14"/>
  <c r="P6" i="14"/>
  <c r="C7" i="14"/>
  <c r="D7" i="14"/>
  <c r="F7" i="14"/>
  <c r="G7" i="14"/>
  <c r="H7" i="14"/>
  <c r="L7" i="14"/>
  <c r="M7" i="14"/>
  <c r="N7" i="14"/>
  <c r="O7" i="14"/>
  <c r="P7" i="14"/>
  <c r="C8" i="14"/>
  <c r="D8" i="14"/>
  <c r="F8" i="14"/>
  <c r="G8" i="14"/>
  <c r="H8" i="14"/>
  <c r="L8" i="14"/>
  <c r="M8" i="14"/>
  <c r="N8" i="14"/>
  <c r="O8" i="14"/>
  <c r="P8" i="14"/>
  <c r="Q8" i="14"/>
  <c r="C9" i="14"/>
  <c r="D9" i="14"/>
  <c r="F9" i="14"/>
  <c r="G9" i="14"/>
  <c r="H9" i="14"/>
  <c r="L9" i="14"/>
  <c r="M9" i="14"/>
  <c r="N9" i="14"/>
  <c r="O9" i="14"/>
  <c r="P9" i="14"/>
  <c r="Q9" i="14"/>
  <c r="C10" i="14"/>
  <c r="D10" i="14"/>
  <c r="F10" i="14"/>
  <c r="G10" i="14"/>
  <c r="H10" i="14"/>
  <c r="L10" i="14"/>
  <c r="M10" i="14"/>
  <c r="N10" i="14"/>
  <c r="O10" i="14"/>
  <c r="P10" i="14"/>
  <c r="C11" i="14"/>
  <c r="D11" i="14"/>
  <c r="F11" i="14"/>
  <c r="G11" i="14"/>
  <c r="H11" i="14"/>
  <c r="L11" i="14"/>
  <c r="M11" i="14"/>
  <c r="N11" i="14"/>
  <c r="O11" i="14"/>
  <c r="P11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C13" i="14"/>
  <c r="D13" i="14"/>
  <c r="F13" i="14"/>
  <c r="G13" i="14"/>
  <c r="H13" i="14"/>
  <c r="L13" i="14"/>
  <c r="M13" i="14"/>
  <c r="N13" i="14"/>
  <c r="O13" i="14"/>
  <c r="P13" i="14"/>
  <c r="C14" i="14"/>
  <c r="D14" i="14"/>
  <c r="F14" i="14"/>
  <c r="G14" i="14"/>
  <c r="H14" i="14"/>
  <c r="L14" i="14"/>
  <c r="M14" i="14"/>
  <c r="N14" i="14"/>
  <c r="O14" i="14"/>
  <c r="P14" i="14"/>
  <c r="C15" i="14"/>
  <c r="D15" i="14"/>
  <c r="F15" i="14"/>
  <c r="G15" i="14"/>
  <c r="H15" i="14"/>
  <c r="L15" i="14"/>
  <c r="M15" i="14"/>
  <c r="N15" i="14"/>
  <c r="O15" i="14"/>
  <c r="P15" i="14"/>
  <c r="C16" i="14"/>
  <c r="D16" i="14"/>
  <c r="F16" i="14"/>
  <c r="G16" i="14"/>
  <c r="H16" i="14"/>
  <c r="L16" i="14"/>
  <c r="M16" i="14"/>
  <c r="N16" i="14"/>
  <c r="O16" i="14"/>
  <c r="P16" i="14"/>
  <c r="C17" i="14"/>
  <c r="D17" i="14"/>
  <c r="F17" i="14"/>
  <c r="G17" i="14"/>
  <c r="H17" i="14"/>
  <c r="L17" i="14"/>
  <c r="M17" i="14"/>
  <c r="N17" i="14"/>
  <c r="O17" i="14"/>
  <c r="P17" i="14"/>
  <c r="C18" i="14"/>
  <c r="D18" i="14"/>
  <c r="F18" i="14"/>
  <c r="G18" i="14"/>
  <c r="H18" i="14"/>
  <c r="L18" i="14"/>
  <c r="M18" i="14"/>
  <c r="N18" i="14"/>
  <c r="O18" i="14"/>
  <c r="P18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C20" i="14"/>
  <c r="D20" i="14"/>
  <c r="F20" i="14"/>
  <c r="G20" i="14"/>
  <c r="H20" i="14"/>
  <c r="L20" i="14"/>
  <c r="M20" i="14"/>
  <c r="N20" i="14"/>
  <c r="O20" i="14"/>
  <c r="P20" i="14"/>
  <c r="C21" i="14"/>
  <c r="D21" i="14"/>
  <c r="F21" i="14"/>
  <c r="G21" i="14"/>
  <c r="H21" i="14"/>
  <c r="L21" i="14"/>
  <c r="M21" i="14"/>
  <c r="N21" i="14"/>
  <c r="O21" i="14"/>
  <c r="P21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C33" i="14"/>
  <c r="D33" i="14"/>
  <c r="E33" i="14"/>
  <c r="F33" i="14"/>
  <c r="G33" i="14"/>
  <c r="H33" i="14"/>
  <c r="I33" i="14"/>
  <c r="J33" i="14"/>
  <c r="K33" i="14"/>
  <c r="L33" i="14"/>
  <c r="M33" i="14"/>
  <c r="N33" i="14"/>
  <c r="O33" i="14"/>
  <c r="P33" i="14"/>
  <c r="Q33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C35" i="14"/>
  <c r="D35" i="14"/>
  <c r="F35" i="14"/>
  <c r="G35" i="14"/>
  <c r="H35" i="14"/>
  <c r="L35" i="14"/>
  <c r="M35" i="14"/>
  <c r="N35" i="14"/>
  <c r="O35" i="14"/>
  <c r="P35" i="14"/>
  <c r="Q35" i="14"/>
  <c r="C36" i="14"/>
  <c r="D36" i="14"/>
  <c r="F36" i="14"/>
  <c r="G36" i="14"/>
  <c r="H36" i="14"/>
  <c r="L36" i="14"/>
  <c r="M36" i="14"/>
  <c r="N36" i="14"/>
  <c r="O36" i="14"/>
  <c r="P36" i="14"/>
  <c r="Q36" i="14"/>
  <c r="C37" i="14"/>
  <c r="D37" i="14"/>
  <c r="F37" i="14"/>
  <c r="G37" i="14"/>
  <c r="H37" i="14"/>
  <c r="L37" i="14"/>
  <c r="M37" i="14"/>
  <c r="N37" i="14"/>
  <c r="O37" i="14"/>
  <c r="P37" i="14"/>
  <c r="Q37" i="14"/>
  <c r="C38" i="14"/>
  <c r="D38" i="14"/>
  <c r="F38" i="14"/>
  <c r="G38" i="14"/>
  <c r="H38" i="14"/>
  <c r="L38" i="14"/>
  <c r="M38" i="14"/>
  <c r="N38" i="14"/>
  <c r="O38" i="14"/>
  <c r="P38" i="14"/>
  <c r="Q38" i="14"/>
  <c r="C39" i="14"/>
  <c r="D39" i="14"/>
  <c r="F39" i="14"/>
  <c r="G39" i="14"/>
  <c r="H39" i="14"/>
  <c r="L39" i="14"/>
  <c r="M39" i="14"/>
  <c r="N39" i="14"/>
  <c r="O39" i="14"/>
  <c r="P39" i="14"/>
  <c r="Q39" i="14"/>
  <c r="C40" i="14"/>
  <c r="D40" i="14"/>
  <c r="F40" i="14"/>
  <c r="G40" i="14"/>
  <c r="H40" i="14"/>
  <c r="L40" i="14"/>
  <c r="M40" i="14"/>
  <c r="N40" i="14"/>
  <c r="O40" i="14"/>
  <c r="P40" i="14"/>
  <c r="Q40" i="14"/>
  <c r="C41" i="14"/>
  <c r="D41" i="14"/>
  <c r="F41" i="14"/>
  <c r="G41" i="14"/>
  <c r="H41" i="14"/>
  <c r="L41" i="14"/>
  <c r="M41" i="14"/>
  <c r="N41" i="14"/>
  <c r="O41" i="14"/>
  <c r="P41" i="14"/>
  <c r="Q41" i="14"/>
  <c r="C42" i="14"/>
  <c r="D42" i="14"/>
  <c r="F42" i="14"/>
  <c r="G42" i="14"/>
  <c r="H42" i="14"/>
  <c r="L42" i="14"/>
  <c r="M42" i="14"/>
  <c r="N42" i="14"/>
  <c r="O42" i="14"/>
  <c r="P42" i="14"/>
  <c r="Q42" i="14"/>
  <c r="C43" i="14"/>
  <c r="D43" i="14"/>
  <c r="F43" i="14"/>
  <c r="G43" i="14"/>
  <c r="H43" i="14"/>
  <c r="L43" i="14"/>
  <c r="M43" i="14"/>
  <c r="N43" i="14"/>
  <c r="O43" i="14"/>
  <c r="P43" i="14"/>
  <c r="Q43" i="14"/>
  <c r="C44" i="14"/>
  <c r="D44" i="14"/>
  <c r="F44" i="14"/>
  <c r="G44" i="14"/>
  <c r="H44" i="14"/>
  <c r="L44" i="14"/>
  <c r="M44" i="14"/>
  <c r="N44" i="14"/>
  <c r="O44" i="14"/>
  <c r="P44" i="14"/>
  <c r="Q44" i="14"/>
  <c r="C45" i="14"/>
  <c r="D45" i="14"/>
  <c r="F45" i="14"/>
  <c r="G45" i="14"/>
  <c r="H45" i="14"/>
  <c r="L45" i="14"/>
  <c r="M45" i="14"/>
  <c r="N45" i="14"/>
  <c r="O45" i="14"/>
  <c r="P45" i="14"/>
  <c r="Q45" i="14"/>
  <c r="C46" i="14"/>
  <c r="D46" i="14"/>
  <c r="F46" i="14"/>
  <c r="G46" i="14"/>
  <c r="H46" i="14"/>
  <c r="L46" i="14"/>
  <c r="M46" i="14"/>
  <c r="N46" i="14"/>
  <c r="O46" i="14"/>
  <c r="P46" i="14"/>
  <c r="Q46" i="14"/>
  <c r="C47" i="14"/>
  <c r="D47" i="14"/>
  <c r="F47" i="14"/>
  <c r="G47" i="14"/>
  <c r="H47" i="14"/>
  <c r="L47" i="14"/>
  <c r="M47" i="14"/>
  <c r="N47" i="14"/>
  <c r="O47" i="14"/>
  <c r="P47" i="14"/>
  <c r="Q47" i="14"/>
  <c r="C48" i="14"/>
  <c r="D48" i="14"/>
  <c r="F48" i="14"/>
  <c r="G48" i="14"/>
  <c r="H48" i="14"/>
  <c r="L48" i="14"/>
  <c r="M48" i="14"/>
  <c r="N48" i="14"/>
  <c r="O48" i="14"/>
  <c r="P48" i="14"/>
  <c r="Q48" i="14"/>
  <c r="C49" i="14"/>
  <c r="D49" i="14"/>
  <c r="F49" i="14"/>
  <c r="G49" i="14"/>
  <c r="H49" i="14"/>
  <c r="L49" i="14"/>
  <c r="M49" i="14"/>
  <c r="N49" i="14"/>
  <c r="O49" i="14"/>
  <c r="P49" i="14"/>
  <c r="Q49" i="14"/>
  <c r="C50" i="14"/>
  <c r="D50" i="14"/>
  <c r="F50" i="14"/>
  <c r="G50" i="14"/>
  <c r="H50" i="14"/>
  <c r="L50" i="14"/>
  <c r="M50" i="14"/>
  <c r="N50" i="14"/>
  <c r="O50" i="14"/>
  <c r="P50" i="14"/>
  <c r="Q50" i="14"/>
  <c r="C51" i="14"/>
  <c r="D51" i="14"/>
  <c r="F51" i="14"/>
  <c r="G51" i="14"/>
  <c r="H51" i="14"/>
  <c r="L51" i="14"/>
  <c r="M51" i="14"/>
  <c r="N51" i="14"/>
  <c r="O51" i="14"/>
  <c r="P51" i="14"/>
  <c r="Q51" i="14"/>
  <c r="C52" i="14"/>
  <c r="D52" i="14"/>
  <c r="F52" i="14"/>
  <c r="G52" i="14"/>
  <c r="H52" i="14"/>
  <c r="L52" i="14"/>
  <c r="M52" i="14"/>
  <c r="N52" i="14"/>
  <c r="O52" i="14"/>
  <c r="P52" i="14"/>
  <c r="Q52" i="14"/>
  <c r="C53" i="14"/>
  <c r="D53" i="14"/>
  <c r="F53" i="14"/>
  <c r="G53" i="14"/>
  <c r="H53" i="14"/>
  <c r="L53" i="14"/>
  <c r="M53" i="14"/>
  <c r="N53" i="14"/>
  <c r="O53" i="14"/>
  <c r="P53" i="14"/>
  <c r="Q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C65" i="14"/>
  <c r="D65" i="14"/>
  <c r="E65" i="14"/>
  <c r="F65" i="14"/>
  <c r="G65" i="14"/>
  <c r="H65" i="14"/>
  <c r="I65" i="14"/>
  <c r="J65" i="14"/>
  <c r="K65" i="14"/>
  <c r="L65" i="14"/>
  <c r="M65" i="14"/>
  <c r="N65" i="14"/>
  <c r="O65" i="14"/>
  <c r="P65" i="14"/>
  <c r="Q65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C75" i="14"/>
  <c r="D75" i="14"/>
  <c r="F75" i="14"/>
  <c r="G75" i="14"/>
  <c r="H75" i="14"/>
  <c r="L75" i="14"/>
  <c r="M75" i="14"/>
  <c r="N75" i="14"/>
  <c r="O75" i="14"/>
  <c r="P75" i="14"/>
  <c r="Q75" i="14"/>
  <c r="C76" i="14"/>
  <c r="D76" i="14"/>
  <c r="F76" i="14"/>
  <c r="G76" i="14"/>
  <c r="H76" i="14"/>
  <c r="L76" i="14"/>
  <c r="M76" i="14"/>
  <c r="N76" i="14"/>
  <c r="O76" i="14"/>
  <c r="P76" i="14"/>
  <c r="Q76" i="14"/>
  <c r="C77" i="14"/>
  <c r="D77" i="14"/>
  <c r="F77" i="14"/>
  <c r="G77" i="14"/>
  <c r="H77" i="14"/>
  <c r="L77" i="14"/>
  <c r="M77" i="14"/>
  <c r="N77" i="14"/>
  <c r="O77" i="14"/>
  <c r="P77" i="14"/>
  <c r="Q77" i="14"/>
  <c r="C78" i="14"/>
  <c r="D78" i="14"/>
  <c r="F78" i="14"/>
  <c r="G78" i="14"/>
  <c r="H78" i="14"/>
  <c r="L78" i="14"/>
  <c r="M78" i="14"/>
  <c r="N78" i="14"/>
  <c r="O78" i="14"/>
  <c r="P78" i="14"/>
  <c r="Q78" i="14"/>
  <c r="C79" i="14"/>
  <c r="D79" i="14"/>
  <c r="F79" i="14"/>
  <c r="G79" i="14"/>
  <c r="H79" i="14"/>
  <c r="L79" i="14"/>
  <c r="M79" i="14"/>
  <c r="N79" i="14"/>
  <c r="O79" i="14"/>
  <c r="P79" i="14"/>
  <c r="Q79" i="14"/>
  <c r="C80" i="14"/>
  <c r="D80" i="14"/>
  <c r="F80" i="14"/>
  <c r="G80" i="14"/>
  <c r="H80" i="14"/>
  <c r="L80" i="14"/>
  <c r="M80" i="14"/>
  <c r="N80" i="14"/>
  <c r="O80" i="14"/>
  <c r="P80" i="14"/>
  <c r="Q80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C85" i="14"/>
  <c r="D85" i="14"/>
  <c r="F85" i="14"/>
  <c r="G85" i="14"/>
  <c r="H85" i="14"/>
  <c r="L85" i="14"/>
  <c r="M85" i="14"/>
  <c r="N85" i="14"/>
  <c r="O85" i="14"/>
  <c r="P85" i="14"/>
  <c r="Q85" i="14"/>
  <c r="C86" i="14"/>
  <c r="D86" i="14"/>
  <c r="F86" i="14"/>
  <c r="G86" i="14"/>
  <c r="H86" i="14"/>
  <c r="L86" i="14"/>
  <c r="M86" i="14"/>
  <c r="N86" i="14"/>
  <c r="O86" i="14"/>
  <c r="P86" i="14"/>
  <c r="Q86" i="14"/>
  <c r="C87" i="14"/>
  <c r="D87" i="14"/>
  <c r="F87" i="14"/>
  <c r="G87" i="14"/>
  <c r="H87" i="14"/>
  <c r="L87" i="14"/>
  <c r="M87" i="14"/>
  <c r="N87" i="14"/>
  <c r="O87" i="14"/>
  <c r="P87" i="14"/>
  <c r="Q87" i="14"/>
  <c r="C88" i="14"/>
  <c r="D88" i="14"/>
  <c r="F88" i="14"/>
  <c r="G88" i="14"/>
  <c r="H88" i="14"/>
  <c r="L88" i="14"/>
  <c r="M88" i="14"/>
  <c r="N88" i="14"/>
  <c r="O88" i="14"/>
  <c r="P88" i="14"/>
  <c r="Q88" i="14"/>
  <c r="C89" i="14"/>
  <c r="D89" i="14"/>
  <c r="F89" i="14"/>
  <c r="G89" i="14"/>
  <c r="H89" i="14"/>
  <c r="L89" i="14"/>
  <c r="M89" i="14"/>
  <c r="N89" i="14"/>
  <c r="O89" i="14"/>
  <c r="P89" i="14"/>
  <c r="Q89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C91" i="14"/>
  <c r="D91" i="14"/>
  <c r="F91" i="14"/>
  <c r="G91" i="14"/>
  <c r="H91" i="14"/>
  <c r="L91" i="14"/>
  <c r="M91" i="14"/>
  <c r="N91" i="14"/>
  <c r="O91" i="14"/>
  <c r="P91" i="14"/>
  <c r="Q91" i="14"/>
  <c r="C92" i="14"/>
  <c r="D92" i="14"/>
  <c r="F92" i="14"/>
  <c r="G92" i="14"/>
  <c r="H92" i="14"/>
  <c r="L92" i="14"/>
  <c r="M92" i="14"/>
  <c r="N92" i="14"/>
  <c r="O92" i="14"/>
  <c r="P92" i="14"/>
  <c r="Q92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C94" i="14"/>
  <c r="D94" i="14"/>
  <c r="F94" i="14"/>
  <c r="G94" i="14"/>
  <c r="H94" i="14"/>
  <c r="L94" i="14"/>
  <c r="M94" i="14"/>
  <c r="N94" i="14"/>
  <c r="O94" i="14"/>
  <c r="P94" i="14"/>
  <c r="Q94" i="14"/>
  <c r="C95" i="14"/>
  <c r="D95" i="14"/>
  <c r="F95" i="14"/>
  <c r="G95" i="14"/>
  <c r="H95" i="14"/>
  <c r="L95" i="14"/>
  <c r="M95" i="14"/>
  <c r="N95" i="14"/>
  <c r="O95" i="14"/>
  <c r="P95" i="14"/>
  <c r="Q95" i="14"/>
  <c r="C96" i="14"/>
  <c r="D96" i="14"/>
  <c r="F96" i="14"/>
  <c r="G96" i="14"/>
  <c r="H96" i="14"/>
  <c r="L96" i="14"/>
  <c r="M96" i="14"/>
  <c r="N96" i="14"/>
  <c r="O96" i="14"/>
  <c r="P96" i="14"/>
  <c r="Q96" i="14"/>
  <c r="C97" i="14"/>
  <c r="D97" i="14"/>
  <c r="F97" i="14"/>
  <c r="G97" i="14"/>
  <c r="H97" i="14"/>
  <c r="L97" i="14"/>
  <c r="M97" i="14"/>
  <c r="N97" i="14"/>
  <c r="O97" i="14"/>
  <c r="P97" i="14"/>
  <c r="Q97" i="14"/>
  <c r="C98" i="14"/>
  <c r="D98" i="14"/>
  <c r="E98" i="14"/>
  <c r="F98" i="14"/>
  <c r="G98" i="14"/>
  <c r="H98" i="14"/>
  <c r="I98" i="14"/>
  <c r="J98" i="14"/>
  <c r="K98" i="14"/>
  <c r="L98" i="14"/>
  <c r="M98" i="14"/>
  <c r="N98" i="14"/>
  <c r="O98" i="14"/>
  <c r="P98" i="14"/>
  <c r="Q98" i="14"/>
  <c r="C99" i="14"/>
  <c r="D99" i="14"/>
  <c r="F99" i="14"/>
  <c r="G99" i="14"/>
  <c r="H99" i="14"/>
  <c r="L99" i="14"/>
  <c r="M99" i="14"/>
  <c r="N99" i="14"/>
  <c r="O99" i="14"/>
  <c r="P99" i="14"/>
  <c r="Q99" i="14"/>
  <c r="C100" i="14"/>
  <c r="D100" i="14"/>
  <c r="F100" i="14"/>
  <c r="G100" i="14"/>
  <c r="H100" i="14"/>
  <c r="L100" i="14"/>
  <c r="M100" i="14"/>
  <c r="N100" i="14"/>
  <c r="O100" i="14"/>
  <c r="P100" i="14"/>
  <c r="Q100" i="14"/>
  <c r="C101" i="14"/>
  <c r="D101" i="14"/>
  <c r="F101" i="14"/>
  <c r="G101" i="14"/>
  <c r="H101" i="14"/>
  <c r="L101" i="14"/>
  <c r="M101" i="14"/>
  <c r="N101" i="14"/>
  <c r="O101" i="14"/>
  <c r="P101" i="14"/>
  <c r="Q101" i="14"/>
  <c r="C102" i="14"/>
  <c r="D102" i="14"/>
  <c r="E102" i="14"/>
  <c r="F102" i="14"/>
  <c r="G102" i="14"/>
  <c r="H102" i="14"/>
  <c r="I102" i="14"/>
  <c r="J102" i="14"/>
  <c r="K102" i="14"/>
  <c r="L102" i="14"/>
  <c r="M102" i="14"/>
  <c r="N102" i="14"/>
  <c r="O102" i="14"/>
  <c r="P102" i="14"/>
  <c r="Q102" i="14"/>
  <c r="C103" i="14"/>
  <c r="D103" i="14"/>
  <c r="F103" i="14"/>
  <c r="G103" i="14"/>
  <c r="H103" i="14"/>
  <c r="L103" i="14"/>
  <c r="M103" i="14"/>
  <c r="N103" i="14"/>
  <c r="O103" i="14"/>
  <c r="P103" i="14"/>
  <c r="Q103" i="14"/>
  <c r="C104" i="14"/>
  <c r="D104" i="14"/>
  <c r="F104" i="14"/>
  <c r="G104" i="14"/>
  <c r="H104" i="14"/>
  <c r="L104" i="14"/>
  <c r="M104" i="14"/>
  <c r="N104" i="14"/>
  <c r="O104" i="14"/>
  <c r="P104" i="14"/>
  <c r="Q104" i="14"/>
  <c r="C105" i="14"/>
  <c r="D105" i="14"/>
  <c r="F105" i="14"/>
  <c r="G105" i="14"/>
  <c r="H105" i="14"/>
  <c r="L105" i="14"/>
  <c r="M105" i="14"/>
  <c r="N105" i="14"/>
  <c r="O105" i="14"/>
  <c r="P105" i="14"/>
  <c r="Q105" i="14"/>
  <c r="C106" i="14"/>
  <c r="D106" i="14"/>
  <c r="F106" i="14"/>
  <c r="G106" i="14"/>
  <c r="H106" i="14"/>
  <c r="L106" i="14"/>
  <c r="M106" i="14"/>
  <c r="N106" i="14"/>
  <c r="O106" i="14"/>
  <c r="P106" i="14"/>
  <c r="Q106" i="14"/>
  <c r="C107" i="14"/>
  <c r="D107" i="14"/>
  <c r="E107" i="14"/>
  <c r="F107" i="14"/>
  <c r="G107" i="14"/>
  <c r="H107" i="14"/>
  <c r="I107" i="14"/>
  <c r="J107" i="14"/>
  <c r="K107" i="14"/>
  <c r="L107" i="14"/>
  <c r="M107" i="14"/>
  <c r="N107" i="14"/>
  <c r="O107" i="14"/>
  <c r="P107" i="14"/>
  <c r="Q107" i="14"/>
  <c r="C108" i="14"/>
  <c r="D108" i="14"/>
  <c r="F108" i="14"/>
  <c r="G108" i="14"/>
  <c r="H108" i="14"/>
  <c r="L108" i="14"/>
  <c r="M108" i="14"/>
  <c r="N108" i="14"/>
  <c r="O108" i="14"/>
  <c r="P108" i="14"/>
  <c r="Q108" i="14"/>
  <c r="C109" i="14"/>
  <c r="D109" i="14"/>
  <c r="F109" i="14"/>
  <c r="G109" i="14"/>
  <c r="H109" i="14"/>
  <c r="L109" i="14"/>
  <c r="M109" i="14"/>
  <c r="N109" i="14"/>
  <c r="O109" i="14"/>
  <c r="P109" i="14"/>
  <c r="Q109" i="14"/>
  <c r="C110" i="14"/>
  <c r="D110" i="14"/>
  <c r="F110" i="14"/>
  <c r="G110" i="14"/>
  <c r="H110" i="14"/>
  <c r="L110" i="14"/>
  <c r="M110" i="14"/>
  <c r="N110" i="14"/>
  <c r="O110" i="14"/>
  <c r="P110" i="14"/>
  <c r="Q110" i="14"/>
  <c r="C111" i="14"/>
  <c r="D111" i="14"/>
  <c r="E111" i="14"/>
  <c r="F111" i="14"/>
  <c r="G111" i="14"/>
  <c r="H111" i="14"/>
  <c r="I111" i="14"/>
  <c r="J111" i="14"/>
  <c r="K111" i="14"/>
  <c r="L111" i="14"/>
  <c r="M111" i="14"/>
  <c r="N111" i="14"/>
  <c r="O111" i="14"/>
  <c r="P111" i="14"/>
  <c r="Q111" i="14"/>
  <c r="C112" i="14"/>
  <c r="D112" i="14"/>
  <c r="F112" i="14"/>
  <c r="G112" i="14"/>
  <c r="H112" i="14"/>
  <c r="L112" i="14"/>
  <c r="M112" i="14"/>
  <c r="N112" i="14"/>
  <c r="O112" i="14"/>
  <c r="P112" i="14"/>
  <c r="Q112" i="14"/>
  <c r="C113" i="14"/>
  <c r="D113" i="14"/>
  <c r="F113" i="14"/>
  <c r="G113" i="14"/>
  <c r="H113" i="14"/>
  <c r="L113" i="14"/>
  <c r="M113" i="14"/>
  <c r="N113" i="14"/>
  <c r="O113" i="14"/>
  <c r="P113" i="14"/>
  <c r="Q113" i="14"/>
  <c r="C114" i="14"/>
  <c r="D114" i="14"/>
  <c r="F114" i="14"/>
  <c r="G114" i="14"/>
  <c r="H114" i="14"/>
  <c r="L114" i="14"/>
  <c r="M114" i="14"/>
  <c r="N114" i="14"/>
  <c r="O114" i="14"/>
  <c r="P114" i="14"/>
  <c r="Q114" i="14"/>
  <c r="C115" i="14"/>
  <c r="D115" i="14"/>
  <c r="F115" i="14"/>
  <c r="G115" i="14"/>
  <c r="H115" i="14"/>
  <c r="L115" i="14"/>
  <c r="M115" i="14"/>
  <c r="N115" i="14"/>
  <c r="O115" i="14"/>
  <c r="P115" i="14"/>
  <c r="Q115" i="14"/>
  <c r="C116" i="14"/>
  <c r="D116" i="14"/>
  <c r="F116" i="14"/>
  <c r="G116" i="14"/>
  <c r="H116" i="14"/>
  <c r="L116" i="14"/>
  <c r="M116" i="14"/>
  <c r="N116" i="14"/>
  <c r="O116" i="14"/>
  <c r="P116" i="14"/>
  <c r="Q116" i="14"/>
  <c r="C117" i="14"/>
  <c r="D117" i="14"/>
  <c r="F117" i="14"/>
  <c r="G117" i="14"/>
  <c r="H117" i="14"/>
  <c r="L117" i="14"/>
  <c r="M117" i="14"/>
  <c r="N117" i="14"/>
  <c r="O117" i="14"/>
  <c r="P117" i="14"/>
  <c r="Q117" i="14"/>
  <c r="C118" i="14"/>
  <c r="D118" i="14"/>
  <c r="F118" i="14"/>
  <c r="G118" i="14"/>
  <c r="H118" i="14"/>
  <c r="L118" i="14"/>
  <c r="M118" i="14"/>
  <c r="N118" i="14"/>
  <c r="O118" i="14"/>
  <c r="P118" i="14"/>
  <c r="Q118" i="14"/>
  <c r="C119" i="14"/>
  <c r="D119" i="14"/>
  <c r="F119" i="14"/>
  <c r="G119" i="14"/>
  <c r="H119" i="14"/>
  <c r="L119" i="14"/>
  <c r="M119" i="14"/>
  <c r="N119" i="14"/>
  <c r="O119" i="14"/>
  <c r="P119" i="14"/>
  <c r="Q119" i="14"/>
  <c r="C120" i="14"/>
  <c r="D120" i="14"/>
  <c r="F120" i="14"/>
  <c r="G120" i="14"/>
  <c r="H120" i="14"/>
  <c r="L120" i="14"/>
  <c r="M120" i="14"/>
  <c r="N120" i="14"/>
  <c r="O120" i="14"/>
  <c r="P120" i="14"/>
  <c r="Q120" i="14"/>
  <c r="C121" i="14"/>
  <c r="D121" i="14"/>
  <c r="F121" i="14"/>
  <c r="G121" i="14"/>
  <c r="H121" i="14"/>
  <c r="L121" i="14"/>
  <c r="M121" i="14"/>
  <c r="N121" i="14"/>
  <c r="O121" i="14"/>
  <c r="P121" i="14"/>
  <c r="Q121" i="14"/>
  <c r="C122" i="14"/>
  <c r="D122" i="14"/>
  <c r="F122" i="14"/>
  <c r="G122" i="14"/>
  <c r="H122" i="14"/>
  <c r="L122" i="14"/>
  <c r="M122" i="14"/>
  <c r="N122" i="14"/>
  <c r="O122" i="14"/>
  <c r="P122" i="14"/>
  <c r="Q122" i="14"/>
  <c r="C123" i="14"/>
  <c r="D123" i="14"/>
  <c r="E123" i="14"/>
  <c r="F123" i="14"/>
  <c r="G123" i="14"/>
  <c r="H123" i="14"/>
  <c r="I123" i="14"/>
  <c r="J123" i="14"/>
  <c r="K123" i="14"/>
  <c r="L123" i="14"/>
  <c r="M123" i="14"/>
  <c r="N123" i="14"/>
  <c r="O123" i="14"/>
  <c r="P123" i="14"/>
  <c r="Q123" i="14"/>
  <c r="C124" i="14"/>
  <c r="D124" i="14"/>
  <c r="E124" i="14"/>
  <c r="F124" i="14"/>
  <c r="G124" i="14"/>
  <c r="H124" i="14"/>
  <c r="I124" i="14"/>
  <c r="J124" i="14"/>
  <c r="K124" i="14"/>
  <c r="L124" i="14"/>
  <c r="M124" i="14"/>
  <c r="N124" i="14"/>
  <c r="O124" i="14"/>
  <c r="P124" i="14"/>
  <c r="Q124" i="14"/>
  <c r="C125" i="14"/>
  <c r="D125" i="14"/>
  <c r="E125" i="14"/>
  <c r="F125" i="14"/>
  <c r="G125" i="14"/>
  <c r="H125" i="14"/>
  <c r="I125" i="14"/>
  <c r="J125" i="14"/>
  <c r="K125" i="14"/>
  <c r="L125" i="14"/>
  <c r="M125" i="14"/>
  <c r="N125" i="14"/>
  <c r="O125" i="14"/>
  <c r="P125" i="14"/>
  <c r="Q125" i="14"/>
  <c r="C126" i="14"/>
  <c r="D126" i="14"/>
  <c r="E126" i="14"/>
  <c r="F126" i="14"/>
  <c r="G126" i="14"/>
  <c r="H126" i="14"/>
  <c r="I126" i="14"/>
  <c r="J126" i="14"/>
  <c r="K126" i="14"/>
  <c r="L126" i="14"/>
  <c r="M126" i="14"/>
  <c r="N126" i="14"/>
  <c r="O126" i="14"/>
  <c r="P126" i="14"/>
  <c r="Q126" i="14"/>
  <c r="C127" i="14"/>
  <c r="D127" i="14"/>
  <c r="E127" i="14"/>
  <c r="F127" i="14"/>
  <c r="G127" i="14"/>
  <c r="H127" i="14"/>
  <c r="I127" i="14"/>
  <c r="J127" i="14"/>
  <c r="K127" i="14"/>
  <c r="L127" i="14"/>
  <c r="M127" i="14"/>
  <c r="N127" i="14"/>
  <c r="O127" i="14"/>
  <c r="P127" i="14"/>
  <c r="Q127" i="14"/>
  <c r="C128" i="14"/>
  <c r="D128" i="14"/>
  <c r="E128" i="14"/>
  <c r="F128" i="14"/>
  <c r="G128" i="14"/>
  <c r="H128" i="14"/>
  <c r="I128" i="14"/>
  <c r="J128" i="14"/>
  <c r="K128" i="14"/>
  <c r="L128" i="14"/>
  <c r="M128" i="14"/>
  <c r="N128" i="14"/>
  <c r="O128" i="14"/>
  <c r="P128" i="14"/>
  <c r="Q128" i="14"/>
  <c r="C129" i="14"/>
  <c r="D129" i="14"/>
  <c r="E129" i="14"/>
  <c r="F129" i="14"/>
  <c r="G129" i="14"/>
  <c r="H129" i="14"/>
  <c r="I129" i="14"/>
  <c r="J129" i="14"/>
  <c r="K129" i="14"/>
  <c r="L129" i="14"/>
  <c r="M129" i="14"/>
  <c r="N129" i="14"/>
  <c r="O129" i="14"/>
  <c r="P129" i="14"/>
  <c r="Q129" i="14"/>
  <c r="C130" i="14"/>
  <c r="D130" i="14"/>
  <c r="E130" i="14"/>
  <c r="F130" i="14"/>
  <c r="G130" i="14"/>
  <c r="H130" i="14"/>
  <c r="I130" i="14"/>
  <c r="J130" i="14"/>
  <c r="K130" i="14"/>
  <c r="L130" i="14"/>
  <c r="M130" i="14"/>
  <c r="N130" i="14"/>
  <c r="O130" i="14"/>
  <c r="P130" i="14"/>
  <c r="Q130" i="14"/>
  <c r="C131" i="14"/>
  <c r="D131" i="14"/>
  <c r="E131" i="14"/>
  <c r="F131" i="14"/>
  <c r="G131" i="14"/>
  <c r="H131" i="14"/>
  <c r="I131" i="14"/>
  <c r="J131" i="14"/>
  <c r="K131" i="14"/>
  <c r="L131" i="14"/>
  <c r="M131" i="14"/>
  <c r="N131" i="14"/>
  <c r="O131" i="14"/>
  <c r="P131" i="14"/>
  <c r="Q131" i="14"/>
  <c r="C132" i="14"/>
  <c r="D132" i="14"/>
  <c r="E132" i="14"/>
  <c r="F132" i="14"/>
  <c r="G132" i="14"/>
  <c r="H132" i="14"/>
  <c r="I132" i="14"/>
  <c r="J132" i="14"/>
  <c r="K132" i="14"/>
  <c r="L132" i="14"/>
  <c r="M132" i="14"/>
  <c r="N132" i="14"/>
  <c r="O132" i="14"/>
  <c r="P132" i="14"/>
  <c r="Q132" i="14"/>
  <c r="C133" i="14"/>
  <c r="D133" i="14"/>
  <c r="E133" i="14"/>
  <c r="F133" i="14"/>
  <c r="G133" i="14"/>
  <c r="H133" i="14"/>
  <c r="I133" i="14"/>
  <c r="J133" i="14"/>
  <c r="K133" i="14"/>
  <c r="L133" i="14"/>
  <c r="M133" i="14"/>
  <c r="N133" i="14"/>
  <c r="O133" i="14"/>
  <c r="P133" i="14"/>
  <c r="Q133" i="14"/>
  <c r="C134" i="14"/>
  <c r="D134" i="14"/>
  <c r="E134" i="14"/>
  <c r="F134" i="14"/>
  <c r="G134" i="14"/>
  <c r="H134" i="14"/>
  <c r="I134" i="14"/>
  <c r="J134" i="14"/>
  <c r="K134" i="14"/>
  <c r="L134" i="14"/>
  <c r="M134" i="14"/>
  <c r="N134" i="14"/>
  <c r="O134" i="14"/>
  <c r="P134" i="14"/>
  <c r="Q134" i="14"/>
  <c r="C135" i="14"/>
  <c r="D135" i="14"/>
  <c r="E135" i="14"/>
  <c r="F135" i="14"/>
  <c r="G135" i="14"/>
  <c r="H135" i="14"/>
  <c r="I135" i="14"/>
  <c r="J135" i="14"/>
  <c r="K135" i="14"/>
  <c r="L135" i="14"/>
  <c r="M135" i="14"/>
  <c r="N135" i="14"/>
  <c r="O135" i="14"/>
  <c r="P135" i="14"/>
  <c r="Q135" i="14"/>
  <c r="C136" i="14"/>
  <c r="D136" i="14"/>
  <c r="E136" i="14"/>
  <c r="F136" i="14"/>
  <c r="G136" i="14"/>
  <c r="H136" i="14"/>
  <c r="I136" i="14"/>
  <c r="J136" i="14"/>
  <c r="K136" i="14"/>
  <c r="L136" i="14"/>
  <c r="M136" i="14"/>
  <c r="N136" i="14"/>
  <c r="O136" i="14"/>
  <c r="P136" i="14"/>
  <c r="Q136" i="14"/>
  <c r="C137" i="14"/>
  <c r="D137" i="14"/>
  <c r="E137" i="14"/>
  <c r="F137" i="14"/>
  <c r="G137" i="14"/>
  <c r="H137" i="14"/>
  <c r="I137" i="14"/>
  <c r="J137" i="14"/>
  <c r="K137" i="14"/>
  <c r="L137" i="14"/>
  <c r="M137" i="14"/>
  <c r="N137" i="14"/>
  <c r="O137" i="14"/>
  <c r="P137" i="14"/>
  <c r="Q137" i="14"/>
  <c r="C138" i="14"/>
  <c r="D138" i="14"/>
  <c r="E138" i="14"/>
  <c r="F138" i="14"/>
  <c r="G138" i="14"/>
  <c r="H138" i="14"/>
  <c r="I138" i="14"/>
  <c r="J138" i="14"/>
  <c r="K138" i="14"/>
  <c r="L138" i="14"/>
  <c r="M138" i="14"/>
  <c r="N138" i="14"/>
  <c r="O138" i="14"/>
  <c r="P138" i="14"/>
  <c r="Q138" i="14"/>
  <c r="C139" i="14"/>
  <c r="D139" i="14"/>
  <c r="E139" i="14"/>
  <c r="F139" i="14"/>
  <c r="G139" i="14"/>
  <c r="H139" i="14"/>
  <c r="I139" i="14"/>
  <c r="J139" i="14"/>
  <c r="K139" i="14"/>
  <c r="L139" i="14"/>
  <c r="M139" i="14"/>
  <c r="N139" i="14"/>
  <c r="O139" i="14"/>
  <c r="P139" i="14"/>
  <c r="Q139" i="14"/>
  <c r="C140" i="14"/>
  <c r="D140" i="14"/>
  <c r="E140" i="14"/>
  <c r="F140" i="14"/>
  <c r="G140" i="14"/>
  <c r="H140" i="14"/>
  <c r="I140" i="14"/>
  <c r="J140" i="14"/>
  <c r="K140" i="14"/>
  <c r="L140" i="14"/>
  <c r="M140" i="14"/>
  <c r="N140" i="14"/>
  <c r="O140" i="14"/>
  <c r="P140" i="14"/>
  <c r="Q140" i="14"/>
  <c r="C141" i="14"/>
  <c r="D141" i="14"/>
  <c r="E141" i="14"/>
  <c r="F141" i="14"/>
  <c r="G141" i="14"/>
  <c r="H141" i="14"/>
  <c r="I141" i="14"/>
  <c r="J141" i="14"/>
  <c r="K141" i="14"/>
  <c r="L141" i="14"/>
  <c r="M141" i="14"/>
  <c r="N141" i="14"/>
  <c r="O141" i="14"/>
  <c r="P141" i="14"/>
  <c r="Q141" i="14"/>
  <c r="C142" i="14"/>
  <c r="D142" i="14"/>
  <c r="E142" i="14"/>
  <c r="F142" i="14"/>
  <c r="G142" i="14"/>
  <c r="H142" i="14"/>
  <c r="I142" i="14"/>
  <c r="J142" i="14"/>
  <c r="K142" i="14"/>
  <c r="L142" i="14"/>
  <c r="M142" i="14"/>
  <c r="N142" i="14"/>
  <c r="O142" i="14"/>
  <c r="P142" i="14"/>
  <c r="Q142" i="14"/>
  <c r="C143" i="14"/>
  <c r="D143" i="14"/>
  <c r="E143" i="14"/>
  <c r="F143" i="14"/>
  <c r="G143" i="14"/>
  <c r="H143" i="14"/>
  <c r="I143" i="14"/>
  <c r="J143" i="14"/>
  <c r="K143" i="14"/>
  <c r="L143" i="14"/>
  <c r="M143" i="14"/>
  <c r="N143" i="14"/>
  <c r="O143" i="14"/>
  <c r="P143" i="14"/>
  <c r="Q143" i="14"/>
  <c r="C144" i="14"/>
  <c r="D144" i="14"/>
  <c r="E144" i="14"/>
  <c r="F144" i="14"/>
  <c r="G144" i="14"/>
  <c r="H144" i="14"/>
  <c r="I144" i="14"/>
  <c r="J144" i="14"/>
  <c r="K144" i="14"/>
  <c r="L144" i="14"/>
  <c r="M144" i="14"/>
  <c r="N144" i="14"/>
  <c r="O144" i="14"/>
  <c r="P144" i="14"/>
  <c r="Q144" i="14"/>
  <c r="C145" i="14"/>
  <c r="D145" i="14"/>
  <c r="E145" i="14"/>
  <c r="F145" i="14"/>
  <c r="G145" i="14"/>
  <c r="H145" i="14"/>
  <c r="I145" i="14"/>
  <c r="J145" i="14"/>
  <c r="K145" i="14"/>
  <c r="L145" i="14"/>
  <c r="M145" i="14"/>
  <c r="N145" i="14"/>
  <c r="O145" i="14"/>
  <c r="P145" i="14"/>
  <c r="Q145" i="14"/>
  <c r="C146" i="14"/>
  <c r="D146" i="14"/>
  <c r="E146" i="14"/>
  <c r="F146" i="14"/>
  <c r="G146" i="14"/>
  <c r="H146" i="14"/>
  <c r="I146" i="14"/>
  <c r="J146" i="14"/>
  <c r="K146" i="14"/>
  <c r="L146" i="14"/>
  <c r="M146" i="14"/>
  <c r="N146" i="14"/>
  <c r="O146" i="14"/>
  <c r="P146" i="14"/>
  <c r="Q146" i="14"/>
  <c r="C147" i="14"/>
  <c r="D147" i="14"/>
  <c r="E147" i="14"/>
  <c r="F147" i="14"/>
  <c r="G147" i="14"/>
  <c r="H147" i="14"/>
  <c r="I147" i="14"/>
  <c r="J147" i="14"/>
  <c r="K147" i="14"/>
  <c r="L147" i="14"/>
  <c r="M147" i="14"/>
  <c r="N147" i="14"/>
  <c r="O147" i="14"/>
  <c r="P147" i="14"/>
  <c r="Q147" i="14"/>
  <c r="C148" i="14"/>
  <c r="D148" i="14"/>
  <c r="E148" i="14"/>
  <c r="F148" i="14"/>
  <c r="G148" i="14"/>
  <c r="H148" i="14"/>
  <c r="I148" i="14"/>
  <c r="J148" i="14"/>
  <c r="K148" i="14"/>
  <c r="L148" i="14"/>
  <c r="M148" i="14"/>
  <c r="N148" i="14"/>
  <c r="O148" i="14"/>
  <c r="P148" i="14"/>
  <c r="Q148" i="14"/>
  <c r="C149" i="14"/>
  <c r="D149" i="14"/>
  <c r="E149" i="14"/>
  <c r="F149" i="14"/>
  <c r="G149" i="14"/>
  <c r="H149" i="14"/>
  <c r="I149" i="14"/>
  <c r="J149" i="14"/>
  <c r="K149" i="14"/>
  <c r="L149" i="14"/>
  <c r="M149" i="14"/>
  <c r="N149" i="14"/>
  <c r="O149" i="14"/>
  <c r="P149" i="14"/>
  <c r="Q149" i="14"/>
  <c r="C150" i="14"/>
  <c r="D150" i="14"/>
  <c r="E150" i="14"/>
  <c r="F150" i="14"/>
  <c r="G150" i="14"/>
  <c r="H150" i="14"/>
  <c r="I150" i="14"/>
  <c r="J150" i="14"/>
  <c r="K150" i="14"/>
  <c r="L150" i="14"/>
  <c r="M150" i="14"/>
  <c r="N150" i="14"/>
  <c r="O150" i="14"/>
  <c r="P150" i="14"/>
  <c r="Q150" i="14"/>
  <c r="C151" i="14"/>
  <c r="D151" i="14"/>
  <c r="E151" i="14"/>
  <c r="F151" i="14"/>
  <c r="G151" i="14"/>
  <c r="H151" i="14"/>
  <c r="I151" i="14"/>
  <c r="J151" i="14"/>
  <c r="K151" i="14"/>
  <c r="L151" i="14"/>
  <c r="M151" i="14"/>
  <c r="N151" i="14"/>
  <c r="O151" i="14"/>
  <c r="P151" i="14"/>
  <c r="Q151" i="14"/>
  <c r="C152" i="14"/>
  <c r="D152" i="14"/>
  <c r="E152" i="14"/>
  <c r="F152" i="14"/>
  <c r="G152" i="14"/>
  <c r="H152" i="14"/>
  <c r="I152" i="14"/>
  <c r="J152" i="14"/>
  <c r="K152" i="14"/>
  <c r="L152" i="14"/>
  <c r="M152" i="14"/>
  <c r="N152" i="14"/>
  <c r="O152" i="14"/>
  <c r="P152" i="14"/>
  <c r="Q152" i="14"/>
  <c r="C153" i="14"/>
  <c r="D153" i="14"/>
  <c r="E153" i="14"/>
  <c r="F153" i="14"/>
  <c r="G153" i="14"/>
  <c r="H153" i="14"/>
  <c r="I153" i="14"/>
  <c r="J153" i="14"/>
  <c r="K153" i="14"/>
  <c r="L153" i="14"/>
  <c r="M153" i="14"/>
  <c r="N153" i="14"/>
  <c r="O153" i="14"/>
  <c r="P153" i="14"/>
  <c r="Q153" i="14"/>
  <c r="C154" i="14"/>
  <c r="D154" i="14"/>
  <c r="E154" i="14"/>
  <c r="F154" i="14"/>
  <c r="G154" i="14"/>
  <c r="H154" i="14"/>
  <c r="I154" i="14"/>
  <c r="J154" i="14"/>
  <c r="K154" i="14"/>
  <c r="L154" i="14"/>
  <c r="M154" i="14"/>
  <c r="N154" i="14"/>
  <c r="O154" i="14"/>
  <c r="P154" i="14"/>
  <c r="Q154" i="14"/>
  <c r="C155" i="14"/>
  <c r="D155" i="14"/>
  <c r="E155" i="14"/>
  <c r="F155" i="14"/>
  <c r="G155" i="14"/>
  <c r="H155" i="14"/>
  <c r="I155" i="14"/>
  <c r="J155" i="14"/>
  <c r="K155" i="14"/>
  <c r="L155" i="14"/>
  <c r="M155" i="14"/>
  <c r="N155" i="14"/>
  <c r="O155" i="14"/>
  <c r="P155" i="14"/>
  <c r="Q155" i="14"/>
  <c r="C156" i="14"/>
  <c r="D156" i="14"/>
  <c r="E156" i="14"/>
  <c r="F156" i="14"/>
  <c r="G156" i="14"/>
  <c r="H156" i="14"/>
  <c r="I156" i="14"/>
  <c r="J156" i="14"/>
  <c r="K156" i="14"/>
  <c r="L156" i="14"/>
  <c r="M156" i="14"/>
  <c r="N156" i="14"/>
  <c r="O156" i="14"/>
  <c r="P156" i="14"/>
  <c r="Q156" i="14"/>
  <c r="C157" i="14"/>
  <c r="D157" i="14"/>
  <c r="E157" i="14"/>
  <c r="F157" i="14"/>
  <c r="G157" i="14"/>
  <c r="H157" i="14"/>
  <c r="I157" i="14"/>
  <c r="J157" i="14"/>
  <c r="K157" i="14"/>
  <c r="L157" i="14"/>
  <c r="M157" i="14"/>
  <c r="N157" i="14"/>
  <c r="O157" i="14"/>
  <c r="P157" i="14"/>
  <c r="Q157" i="14"/>
  <c r="C158" i="14"/>
  <c r="D158" i="14"/>
  <c r="E158" i="14"/>
  <c r="F158" i="14"/>
  <c r="G158" i="14"/>
  <c r="H158" i="14"/>
  <c r="I158" i="14"/>
  <c r="J158" i="14"/>
  <c r="K158" i="14"/>
  <c r="L158" i="14"/>
  <c r="M158" i="14"/>
  <c r="N158" i="14"/>
  <c r="O158" i="14"/>
  <c r="P158" i="14"/>
  <c r="Q158" i="14"/>
  <c r="C159" i="14"/>
  <c r="D159" i="14"/>
  <c r="E159" i="14"/>
  <c r="F159" i="14"/>
  <c r="G159" i="14"/>
  <c r="H159" i="14"/>
  <c r="I159" i="14"/>
  <c r="J159" i="14"/>
  <c r="K159" i="14"/>
  <c r="L159" i="14"/>
  <c r="M159" i="14"/>
  <c r="N159" i="14"/>
  <c r="O159" i="14"/>
  <c r="P159" i="14"/>
  <c r="Q159" i="14"/>
  <c r="C160" i="14"/>
  <c r="D160" i="14"/>
  <c r="E160" i="14"/>
  <c r="F160" i="14"/>
  <c r="G160" i="14"/>
  <c r="H160" i="14"/>
  <c r="I160" i="14"/>
  <c r="J160" i="14"/>
  <c r="K160" i="14"/>
  <c r="L160" i="14"/>
  <c r="M160" i="14"/>
  <c r="N160" i="14"/>
  <c r="O160" i="14"/>
  <c r="P160" i="14"/>
  <c r="Q160" i="14"/>
  <c r="C161" i="14"/>
  <c r="D161" i="14"/>
  <c r="E161" i="14"/>
  <c r="F161" i="14"/>
  <c r="G161" i="14"/>
  <c r="H161" i="14"/>
  <c r="I161" i="14"/>
  <c r="J161" i="14"/>
  <c r="K161" i="14"/>
  <c r="L161" i="14"/>
  <c r="M161" i="14"/>
  <c r="N161" i="14"/>
  <c r="O161" i="14"/>
  <c r="P161" i="14"/>
  <c r="Q161" i="14"/>
  <c r="C162" i="14"/>
  <c r="D162" i="14"/>
  <c r="E162" i="14"/>
  <c r="F162" i="14"/>
  <c r="G162" i="14"/>
  <c r="H162" i="14"/>
  <c r="I162" i="14"/>
  <c r="J162" i="14"/>
  <c r="K162" i="14"/>
  <c r="L162" i="14"/>
  <c r="M162" i="14"/>
  <c r="N162" i="14"/>
  <c r="O162" i="14"/>
  <c r="P162" i="14"/>
  <c r="Q162" i="14"/>
  <c r="C163" i="14"/>
  <c r="D163" i="14"/>
  <c r="E163" i="14"/>
  <c r="F163" i="14"/>
  <c r="G163" i="14"/>
  <c r="H163" i="14"/>
  <c r="I163" i="14"/>
  <c r="J163" i="14"/>
  <c r="K163" i="14"/>
  <c r="L163" i="14"/>
  <c r="M163" i="14"/>
  <c r="N163" i="14"/>
  <c r="O163" i="14"/>
  <c r="P163" i="14"/>
  <c r="Q163" i="14"/>
  <c r="C164" i="14"/>
  <c r="D164" i="14"/>
  <c r="E164" i="14"/>
  <c r="F164" i="14"/>
  <c r="G164" i="14"/>
  <c r="H164" i="14"/>
  <c r="I164" i="14"/>
  <c r="J164" i="14"/>
  <c r="K164" i="14"/>
  <c r="L164" i="14"/>
  <c r="M164" i="14"/>
  <c r="N164" i="14"/>
  <c r="O164" i="14"/>
  <c r="P164" i="14"/>
  <c r="Q164" i="14"/>
  <c r="C165" i="14"/>
  <c r="D165" i="14"/>
  <c r="E165" i="14"/>
  <c r="F165" i="14"/>
  <c r="G165" i="14"/>
  <c r="H165" i="14"/>
  <c r="I165" i="14"/>
  <c r="J165" i="14"/>
  <c r="K165" i="14"/>
  <c r="L165" i="14"/>
  <c r="M165" i="14"/>
  <c r="N165" i="14"/>
  <c r="O165" i="14"/>
  <c r="P165" i="14"/>
  <c r="Q165" i="14"/>
  <c r="C166" i="14"/>
  <c r="D166" i="14"/>
  <c r="E166" i="14"/>
  <c r="F166" i="14"/>
  <c r="G166" i="14"/>
  <c r="H166" i="14"/>
  <c r="I166" i="14"/>
  <c r="J166" i="14"/>
  <c r="K166" i="14"/>
  <c r="L166" i="14"/>
  <c r="M166" i="14"/>
  <c r="N166" i="14"/>
  <c r="O166" i="14"/>
  <c r="P166" i="14"/>
  <c r="Q166" i="14"/>
  <c r="C167" i="14"/>
  <c r="D167" i="14"/>
  <c r="E167" i="14"/>
  <c r="F167" i="14"/>
  <c r="G167" i="14"/>
  <c r="H167" i="14"/>
  <c r="I167" i="14"/>
  <c r="J167" i="14"/>
  <c r="K167" i="14"/>
  <c r="L167" i="14"/>
  <c r="M167" i="14"/>
  <c r="N167" i="14"/>
  <c r="O167" i="14"/>
  <c r="P167" i="14"/>
  <c r="Q167" i="14"/>
  <c r="C168" i="14"/>
  <c r="D168" i="14"/>
  <c r="E168" i="14"/>
  <c r="F168" i="14"/>
  <c r="G168" i="14"/>
  <c r="H168" i="14"/>
  <c r="I168" i="14"/>
  <c r="J168" i="14"/>
  <c r="K168" i="14"/>
  <c r="L168" i="14"/>
  <c r="M168" i="14"/>
  <c r="N168" i="14"/>
  <c r="O168" i="14"/>
  <c r="P168" i="14"/>
  <c r="Q168" i="14"/>
  <c r="C169" i="14"/>
  <c r="D169" i="14"/>
  <c r="E169" i="14"/>
  <c r="F169" i="14"/>
  <c r="G169" i="14"/>
  <c r="H169" i="14"/>
  <c r="I169" i="14"/>
  <c r="J169" i="14"/>
  <c r="K169" i="14"/>
  <c r="L169" i="14"/>
  <c r="M169" i="14"/>
  <c r="N169" i="14"/>
  <c r="O169" i="14"/>
  <c r="P169" i="14"/>
  <c r="Q169" i="14"/>
  <c r="C170" i="14"/>
  <c r="D170" i="14"/>
  <c r="E170" i="14"/>
  <c r="F170" i="14"/>
  <c r="G170" i="14"/>
  <c r="H170" i="14"/>
  <c r="I170" i="14"/>
  <c r="J170" i="14"/>
  <c r="K170" i="14"/>
  <c r="L170" i="14"/>
  <c r="M170" i="14"/>
  <c r="N170" i="14"/>
  <c r="O170" i="14"/>
  <c r="P170" i="14"/>
  <c r="Q170" i="14"/>
  <c r="C171" i="14"/>
  <c r="D171" i="14"/>
  <c r="E171" i="14"/>
  <c r="F171" i="14"/>
  <c r="G171" i="14"/>
  <c r="H171" i="14"/>
  <c r="I171" i="14"/>
  <c r="J171" i="14"/>
  <c r="K171" i="14"/>
  <c r="L171" i="14"/>
  <c r="M171" i="14"/>
  <c r="N171" i="14"/>
  <c r="O171" i="14"/>
  <c r="P171" i="14"/>
  <c r="Q171" i="14"/>
  <c r="C172" i="14"/>
  <c r="D172" i="14"/>
  <c r="E172" i="14"/>
  <c r="F172" i="14"/>
  <c r="G172" i="14"/>
  <c r="H172" i="14"/>
  <c r="I172" i="14"/>
  <c r="J172" i="14"/>
  <c r="K172" i="14"/>
  <c r="L172" i="14"/>
  <c r="M172" i="14"/>
  <c r="N172" i="14"/>
  <c r="O172" i="14"/>
  <c r="P172" i="14"/>
  <c r="Q172" i="14"/>
  <c r="C173" i="14"/>
  <c r="D173" i="14"/>
  <c r="E173" i="14"/>
  <c r="F173" i="14"/>
  <c r="G173" i="14"/>
  <c r="H173" i="14"/>
  <c r="I173" i="14"/>
  <c r="J173" i="14"/>
  <c r="K173" i="14"/>
  <c r="L173" i="14"/>
  <c r="M173" i="14"/>
  <c r="N173" i="14"/>
  <c r="O173" i="14"/>
  <c r="P173" i="14"/>
  <c r="Q173" i="14"/>
  <c r="C174" i="14"/>
  <c r="D174" i="14"/>
  <c r="E174" i="14"/>
  <c r="F174" i="14"/>
  <c r="G174" i="14"/>
  <c r="H174" i="14"/>
  <c r="I174" i="14"/>
  <c r="J174" i="14"/>
  <c r="K174" i="14"/>
  <c r="L174" i="14"/>
  <c r="M174" i="14"/>
  <c r="N174" i="14"/>
  <c r="O174" i="14"/>
  <c r="P174" i="14"/>
  <c r="Q174" i="14"/>
  <c r="C175" i="14"/>
  <c r="D175" i="14"/>
  <c r="E175" i="14"/>
  <c r="F175" i="14"/>
  <c r="G175" i="14"/>
  <c r="H175" i="14"/>
  <c r="I175" i="14"/>
  <c r="J175" i="14"/>
  <c r="K175" i="14"/>
  <c r="L175" i="14"/>
  <c r="M175" i="14"/>
  <c r="N175" i="14"/>
  <c r="O175" i="14"/>
  <c r="P175" i="14"/>
  <c r="Q175" i="14"/>
  <c r="C176" i="14"/>
  <c r="D176" i="14"/>
  <c r="E176" i="14"/>
  <c r="F176" i="14"/>
  <c r="G176" i="14"/>
  <c r="H176" i="14"/>
  <c r="I176" i="14"/>
  <c r="J176" i="14"/>
  <c r="K176" i="14"/>
  <c r="L176" i="14"/>
  <c r="M176" i="14"/>
  <c r="N176" i="14"/>
  <c r="O176" i="14"/>
  <c r="P176" i="14"/>
  <c r="Q176" i="14"/>
  <c r="C177" i="14"/>
  <c r="D177" i="14"/>
  <c r="E177" i="14"/>
  <c r="F177" i="14"/>
  <c r="G177" i="14"/>
  <c r="H177" i="14"/>
  <c r="I177" i="14"/>
  <c r="J177" i="14"/>
  <c r="K177" i="14"/>
  <c r="L177" i="14"/>
  <c r="M177" i="14"/>
  <c r="N177" i="14"/>
  <c r="O177" i="14"/>
  <c r="P177" i="14"/>
  <c r="Q177" i="14"/>
  <c r="C178" i="14"/>
  <c r="D178" i="14"/>
  <c r="F178" i="14"/>
  <c r="G178" i="14"/>
  <c r="H178" i="14"/>
  <c r="L178" i="14"/>
  <c r="M178" i="14"/>
  <c r="N178" i="14"/>
  <c r="O178" i="14"/>
  <c r="P178" i="14"/>
  <c r="Q178" i="14"/>
  <c r="C179" i="14"/>
  <c r="D179" i="14"/>
  <c r="F179" i="14"/>
  <c r="G179" i="14"/>
  <c r="H179" i="14"/>
  <c r="L179" i="14"/>
  <c r="M179" i="14"/>
  <c r="N179" i="14"/>
  <c r="O179" i="14"/>
  <c r="P179" i="14"/>
  <c r="Q179" i="14"/>
  <c r="C180" i="14"/>
  <c r="D180" i="14"/>
  <c r="F180" i="14"/>
  <c r="G180" i="14"/>
  <c r="H180" i="14"/>
  <c r="L180" i="14"/>
  <c r="M180" i="14"/>
  <c r="N180" i="14"/>
  <c r="O180" i="14"/>
  <c r="P180" i="14"/>
  <c r="Q180" i="14"/>
  <c r="C181" i="14"/>
  <c r="D181" i="14"/>
  <c r="F181" i="14"/>
  <c r="G181" i="14"/>
  <c r="H181" i="14"/>
  <c r="L181" i="14"/>
  <c r="M181" i="14"/>
  <c r="N181" i="14"/>
  <c r="O181" i="14"/>
  <c r="P181" i="14"/>
  <c r="Q181" i="14"/>
  <c r="C182" i="14"/>
  <c r="D182" i="14"/>
  <c r="F182" i="14"/>
  <c r="G182" i="14"/>
  <c r="H182" i="14"/>
  <c r="L182" i="14"/>
  <c r="M182" i="14"/>
  <c r="N182" i="14"/>
  <c r="O182" i="14"/>
  <c r="P182" i="14"/>
  <c r="Q182" i="14"/>
  <c r="C183" i="14"/>
  <c r="D183" i="14"/>
  <c r="F183" i="14"/>
  <c r="G183" i="14"/>
  <c r="H183" i="14"/>
  <c r="L183" i="14"/>
  <c r="M183" i="14"/>
  <c r="N183" i="14"/>
  <c r="O183" i="14"/>
  <c r="P183" i="14"/>
  <c r="Q183" i="14"/>
  <c r="C184" i="14"/>
  <c r="D184" i="14"/>
  <c r="F184" i="14"/>
  <c r="G184" i="14"/>
  <c r="H184" i="14"/>
  <c r="L184" i="14"/>
  <c r="M184" i="14"/>
  <c r="N184" i="14"/>
  <c r="O184" i="14"/>
  <c r="P184" i="14"/>
  <c r="Q184" i="14"/>
  <c r="C185" i="14"/>
  <c r="D185" i="14"/>
  <c r="F185" i="14"/>
  <c r="G185" i="14"/>
  <c r="H185" i="14"/>
  <c r="L185" i="14"/>
  <c r="M185" i="14"/>
  <c r="N185" i="14"/>
  <c r="O185" i="14"/>
  <c r="P185" i="14"/>
  <c r="Q185" i="14"/>
  <c r="C186" i="14"/>
  <c r="D186" i="14"/>
  <c r="F186" i="14"/>
  <c r="G186" i="14"/>
  <c r="H186" i="14"/>
  <c r="L186" i="14"/>
  <c r="M186" i="14"/>
  <c r="N186" i="14"/>
  <c r="O186" i="14"/>
  <c r="P186" i="14"/>
  <c r="Q186" i="14"/>
  <c r="C187" i="14"/>
  <c r="D187" i="14"/>
  <c r="F187" i="14"/>
  <c r="G187" i="14"/>
  <c r="H187" i="14"/>
  <c r="L187" i="14"/>
  <c r="M187" i="14"/>
  <c r="N187" i="14"/>
  <c r="O187" i="14"/>
  <c r="P187" i="14"/>
  <c r="Q187" i="14"/>
  <c r="C188" i="14"/>
  <c r="D188" i="14"/>
  <c r="E188" i="14"/>
  <c r="F188" i="14"/>
  <c r="G188" i="14"/>
  <c r="H188" i="14"/>
  <c r="I188" i="14"/>
  <c r="J188" i="14"/>
  <c r="K188" i="14"/>
  <c r="L188" i="14"/>
  <c r="M188" i="14"/>
  <c r="N188" i="14"/>
  <c r="O188" i="14"/>
  <c r="P188" i="14"/>
  <c r="Q188" i="14"/>
  <c r="C189" i="14"/>
  <c r="D189" i="14"/>
  <c r="F189" i="14"/>
  <c r="G189" i="14"/>
  <c r="H189" i="14"/>
  <c r="L189" i="14"/>
  <c r="M189" i="14"/>
  <c r="N189" i="14"/>
  <c r="O189" i="14"/>
  <c r="P189" i="14"/>
  <c r="Q189" i="14"/>
  <c r="C190" i="14"/>
  <c r="D190" i="14"/>
  <c r="E190" i="14"/>
  <c r="F190" i="14"/>
  <c r="G190" i="14"/>
  <c r="H190" i="14"/>
  <c r="I190" i="14"/>
  <c r="J190" i="14"/>
  <c r="K190" i="14"/>
  <c r="L190" i="14"/>
  <c r="M190" i="14"/>
  <c r="N190" i="14"/>
  <c r="O190" i="14"/>
  <c r="P190" i="14"/>
  <c r="Q190" i="14"/>
  <c r="C191" i="14"/>
  <c r="D191" i="14"/>
  <c r="F191" i="14"/>
  <c r="G191" i="14"/>
  <c r="H191" i="14"/>
  <c r="L191" i="14"/>
  <c r="M191" i="14"/>
  <c r="N191" i="14"/>
  <c r="O191" i="14"/>
  <c r="P191" i="14"/>
  <c r="Q191" i="14"/>
  <c r="C192" i="14"/>
  <c r="D192" i="14"/>
  <c r="E192" i="14"/>
  <c r="F192" i="14"/>
  <c r="G192" i="14"/>
  <c r="H192" i="14"/>
  <c r="L192" i="14"/>
  <c r="M192" i="14"/>
  <c r="N192" i="14"/>
  <c r="O192" i="14"/>
  <c r="P192" i="14"/>
  <c r="Q192" i="14"/>
  <c r="C193" i="14"/>
  <c r="D193" i="14"/>
  <c r="F193" i="14"/>
  <c r="G193" i="14"/>
  <c r="H193" i="14"/>
  <c r="L193" i="14"/>
  <c r="M193" i="14"/>
  <c r="N193" i="14"/>
  <c r="O193" i="14"/>
  <c r="P193" i="14"/>
  <c r="Q193" i="14"/>
  <c r="C194" i="14"/>
  <c r="D194" i="14"/>
  <c r="F194" i="14"/>
  <c r="G194" i="14"/>
  <c r="H194" i="14"/>
  <c r="L194" i="14"/>
  <c r="M194" i="14"/>
  <c r="N194" i="14"/>
  <c r="O194" i="14"/>
  <c r="P194" i="14"/>
  <c r="Q194" i="14"/>
  <c r="C195" i="14"/>
  <c r="D195" i="14"/>
  <c r="F195" i="14"/>
  <c r="G195" i="14"/>
  <c r="H195" i="14"/>
  <c r="L195" i="14"/>
  <c r="M195" i="14"/>
  <c r="N195" i="14"/>
  <c r="O195" i="14"/>
  <c r="P195" i="14"/>
  <c r="Q195" i="14"/>
  <c r="C196" i="14"/>
  <c r="D196" i="14"/>
  <c r="F196" i="14"/>
  <c r="G196" i="14"/>
  <c r="H196" i="14"/>
  <c r="I196" i="14"/>
  <c r="L196" i="14"/>
  <c r="M196" i="14"/>
  <c r="N196" i="14"/>
  <c r="O196" i="14"/>
  <c r="P196" i="14"/>
  <c r="Q196" i="14"/>
  <c r="C197" i="14"/>
  <c r="D197" i="14"/>
  <c r="F197" i="14"/>
  <c r="G197" i="14"/>
  <c r="H197" i="14"/>
  <c r="L197" i="14"/>
  <c r="M197" i="14"/>
  <c r="N197" i="14"/>
  <c r="O197" i="14"/>
  <c r="P197" i="14"/>
  <c r="Q197" i="14"/>
  <c r="C198" i="14"/>
  <c r="D198" i="14"/>
  <c r="F198" i="14"/>
  <c r="G198" i="14"/>
  <c r="H198" i="14"/>
  <c r="L198" i="14"/>
  <c r="M198" i="14"/>
  <c r="N198" i="14"/>
  <c r="O198" i="14"/>
  <c r="P198" i="14"/>
  <c r="Q198" i="14"/>
  <c r="C199" i="14"/>
  <c r="D199" i="14"/>
  <c r="F199" i="14"/>
  <c r="G199" i="14"/>
  <c r="H199" i="14"/>
  <c r="L199" i="14"/>
  <c r="M199" i="14"/>
  <c r="N199" i="14"/>
  <c r="O199" i="14"/>
  <c r="P199" i="14"/>
  <c r="Q199" i="14"/>
  <c r="C200" i="14"/>
  <c r="D200" i="14"/>
  <c r="F200" i="14"/>
  <c r="G200" i="14"/>
  <c r="H200" i="14"/>
  <c r="L200" i="14"/>
  <c r="M200" i="14"/>
  <c r="N200" i="14"/>
  <c r="O200" i="14"/>
  <c r="P200" i="14"/>
  <c r="Q200" i="14"/>
  <c r="C201" i="14"/>
  <c r="D201" i="14"/>
  <c r="E201" i="14"/>
  <c r="F201" i="14"/>
  <c r="G201" i="14"/>
  <c r="H201" i="14"/>
  <c r="L201" i="14"/>
  <c r="M201" i="14"/>
  <c r="N201" i="14"/>
  <c r="O201" i="14"/>
  <c r="P201" i="14"/>
  <c r="Q201" i="14"/>
  <c r="C202" i="14"/>
  <c r="D202" i="14"/>
  <c r="F202" i="14"/>
  <c r="G202" i="14"/>
  <c r="H202" i="14"/>
  <c r="L202" i="14"/>
  <c r="M202" i="14"/>
  <c r="N202" i="14"/>
  <c r="O202" i="14"/>
  <c r="P202" i="14"/>
  <c r="Q202" i="14"/>
  <c r="C203" i="14"/>
  <c r="D203" i="14"/>
  <c r="F203" i="14"/>
  <c r="G203" i="14"/>
  <c r="H203" i="14"/>
  <c r="L203" i="14"/>
  <c r="M203" i="14"/>
  <c r="N203" i="14"/>
  <c r="O203" i="14"/>
  <c r="P203" i="14"/>
  <c r="Q203" i="14"/>
  <c r="C204" i="14"/>
  <c r="D204" i="14"/>
  <c r="F204" i="14"/>
  <c r="G204" i="14"/>
  <c r="H204" i="14"/>
  <c r="I204" i="14"/>
  <c r="L204" i="14"/>
  <c r="M204" i="14"/>
  <c r="N204" i="14"/>
  <c r="O204" i="14"/>
  <c r="P204" i="14"/>
  <c r="Q204" i="14"/>
  <c r="C205" i="14"/>
  <c r="D205" i="14"/>
  <c r="F205" i="14"/>
  <c r="G205" i="14"/>
  <c r="H205" i="14"/>
  <c r="J205" i="14"/>
  <c r="L205" i="14"/>
  <c r="M205" i="14"/>
  <c r="N205" i="14"/>
  <c r="O205" i="14"/>
  <c r="P205" i="14"/>
  <c r="Q205" i="14"/>
  <c r="C206" i="14"/>
  <c r="D206" i="14"/>
  <c r="E206" i="14"/>
  <c r="F206" i="14"/>
  <c r="G206" i="14"/>
  <c r="H206" i="14"/>
  <c r="I206" i="14"/>
  <c r="J206" i="14"/>
  <c r="K206" i="14"/>
  <c r="L206" i="14"/>
  <c r="M206" i="14"/>
  <c r="N206" i="14"/>
  <c r="O206" i="14"/>
  <c r="P206" i="14"/>
  <c r="Q206" i="14"/>
  <c r="C207" i="14"/>
  <c r="D207" i="14"/>
  <c r="F207" i="14"/>
  <c r="G207" i="14"/>
  <c r="H207" i="14"/>
  <c r="L207" i="14"/>
  <c r="M207" i="14"/>
  <c r="N207" i="14"/>
  <c r="O207" i="14"/>
  <c r="P207" i="14"/>
  <c r="Q207" i="14"/>
  <c r="C208" i="14"/>
  <c r="D208" i="14"/>
  <c r="E208" i="14"/>
  <c r="F208" i="14"/>
  <c r="G208" i="14"/>
  <c r="H208" i="14"/>
  <c r="L208" i="14"/>
  <c r="M208" i="14"/>
  <c r="N208" i="14"/>
  <c r="O208" i="14"/>
  <c r="P208" i="14"/>
  <c r="Q208" i="14"/>
  <c r="C209" i="14"/>
  <c r="D209" i="14"/>
  <c r="E209" i="14"/>
  <c r="F209" i="14"/>
  <c r="G209" i="14"/>
  <c r="H209" i="14"/>
  <c r="I209" i="14"/>
  <c r="J209" i="14"/>
  <c r="K209" i="14"/>
  <c r="L209" i="14"/>
  <c r="M209" i="14"/>
  <c r="N209" i="14"/>
  <c r="O209" i="14"/>
  <c r="P209" i="14"/>
  <c r="Q209" i="14"/>
  <c r="C210" i="14"/>
  <c r="D210" i="14"/>
  <c r="F210" i="14"/>
  <c r="G210" i="14"/>
  <c r="H210" i="14"/>
  <c r="L210" i="14"/>
  <c r="M210" i="14"/>
  <c r="N210" i="14"/>
  <c r="O210" i="14"/>
  <c r="P210" i="14"/>
  <c r="Q210" i="14"/>
  <c r="C211" i="14"/>
  <c r="D211" i="14"/>
  <c r="F211" i="14"/>
  <c r="G211" i="14"/>
  <c r="H211" i="14"/>
  <c r="L211" i="14"/>
  <c r="M211" i="14"/>
  <c r="N211" i="14"/>
  <c r="O211" i="14"/>
  <c r="P211" i="14"/>
  <c r="Q211" i="14"/>
  <c r="C212" i="14"/>
  <c r="D212" i="14"/>
  <c r="F212" i="14"/>
  <c r="G212" i="14"/>
  <c r="H212" i="14"/>
  <c r="I212" i="14"/>
  <c r="L212" i="14"/>
  <c r="M212" i="14"/>
  <c r="N212" i="14"/>
  <c r="O212" i="14"/>
  <c r="P212" i="14"/>
  <c r="Q212" i="14"/>
  <c r="C213" i="14"/>
  <c r="D213" i="14"/>
  <c r="E213" i="14"/>
  <c r="F213" i="14"/>
  <c r="G213" i="14"/>
  <c r="H213" i="14"/>
  <c r="L213" i="14"/>
  <c r="M213" i="14"/>
  <c r="N213" i="14"/>
  <c r="O213" i="14"/>
  <c r="P213" i="14"/>
  <c r="Q213" i="14"/>
  <c r="C214" i="14"/>
  <c r="D214" i="14"/>
  <c r="F214" i="14"/>
  <c r="G214" i="14"/>
  <c r="H214" i="14"/>
  <c r="L214" i="14"/>
  <c r="M214" i="14"/>
  <c r="N214" i="14"/>
  <c r="O214" i="14"/>
  <c r="P214" i="14"/>
  <c r="Q214" i="14"/>
  <c r="C215" i="14"/>
  <c r="D215" i="14"/>
  <c r="F215" i="14"/>
  <c r="G215" i="14"/>
  <c r="H215" i="14"/>
  <c r="L215" i="14"/>
  <c r="M215" i="14"/>
  <c r="N215" i="14"/>
  <c r="O215" i="14"/>
  <c r="P215" i="14"/>
  <c r="Q215" i="14"/>
  <c r="C216" i="14"/>
  <c r="D216" i="14"/>
  <c r="F216" i="14"/>
  <c r="G216" i="14"/>
  <c r="H216" i="14"/>
  <c r="L216" i="14"/>
  <c r="M216" i="14"/>
  <c r="N216" i="14"/>
  <c r="O216" i="14"/>
  <c r="P216" i="14"/>
  <c r="Q216" i="14"/>
  <c r="C217" i="14"/>
  <c r="D217" i="14"/>
  <c r="F217" i="14"/>
  <c r="G217" i="14"/>
  <c r="H217" i="14"/>
  <c r="L217" i="14"/>
  <c r="M217" i="14"/>
  <c r="N217" i="14"/>
  <c r="O217" i="14"/>
  <c r="P217" i="14"/>
  <c r="Q217" i="14"/>
  <c r="C218" i="14"/>
  <c r="D218" i="14"/>
  <c r="F218" i="14"/>
  <c r="G218" i="14"/>
  <c r="H218" i="14"/>
  <c r="L218" i="14"/>
  <c r="M218" i="14"/>
  <c r="N218" i="14"/>
  <c r="O218" i="14"/>
  <c r="P218" i="14"/>
  <c r="Q218" i="14"/>
  <c r="C219" i="14"/>
  <c r="D219" i="14"/>
  <c r="F219" i="14"/>
  <c r="G219" i="14"/>
  <c r="H219" i="14"/>
  <c r="L219" i="14"/>
  <c r="M219" i="14"/>
  <c r="N219" i="14"/>
  <c r="O219" i="14"/>
  <c r="P219" i="14"/>
  <c r="Q219" i="14"/>
  <c r="C220" i="14"/>
  <c r="D220" i="14"/>
  <c r="E220" i="14"/>
  <c r="F220" i="14"/>
  <c r="G220" i="14"/>
  <c r="H220" i="14"/>
  <c r="L220" i="14"/>
  <c r="M220" i="14"/>
  <c r="N220" i="14"/>
  <c r="O220" i="14"/>
  <c r="P220" i="14"/>
  <c r="Q220" i="14"/>
  <c r="F221" i="14"/>
  <c r="G221" i="14"/>
  <c r="H221" i="14"/>
  <c r="M221" i="14"/>
  <c r="N221" i="14"/>
  <c r="O221" i="14"/>
  <c r="P221" i="14"/>
  <c r="Q221" i="14"/>
  <c r="F222" i="14"/>
  <c r="G222" i="14"/>
  <c r="H222" i="14"/>
  <c r="M222" i="14"/>
  <c r="N222" i="14"/>
  <c r="O222" i="14"/>
  <c r="P222" i="14"/>
  <c r="Q222" i="14"/>
  <c r="F223" i="14"/>
  <c r="G223" i="14"/>
  <c r="H223" i="14"/>
  <c r="M223" i="14"/>
  <c r="N223" i="14"/>
  <c r="O223" i="14"/>
  <c r="P223" i="14"/>
  <c r="Q223" i="14"/>
  <c r="F224" i="14"/>
  <c r="G224" i="14"/>
  <c r="H224" i="14"/>
  <c r="M224" i="14"/>
  <c r="N224" i="14"/>
  <c r="O224" i="14"/>
  <c r="P224" i="14"/>
  <c r="Q224" i="14"/>
  <c r="F225" i="14"/>
  <c r="G225" i="14"/>
  <c r="H225" i="14"/>
  <c r="M225" i="14"/>
  <c r="N225" i="14"/>
  <c r="O225" i="14"/>
  <c r="P225" i="14"/>
  <c r="Q225" i="14"/>
  <c r="F226" i="14"/>
  <c r="G226" i="14"/>
  <c r="H226" i="14"/>
  <c r="M226" i="14"/>
  <c r="N226" i="14"/>
  <c r="O226" i="14"/>
  <c r="P226" i="14"/>
  <c r="Q226" i="14"/>
  <c r="F227" i="14"/>
  <c r="G227" i="14"/>
  <c r="H227" i="14"/>
  <c r="M227" i="14"/>
  <c r="N227" i="14"/>
  <c r="O227" i="14"/>
  <c r="P227" i="14"/>
  <c r="Q227" i="14"/>
  <c r="F228" i="14"/>
  <c r="G228" i="14"/>
  <c r="H228" i="14"/>
  <c r="M228" i="14"/>
  <c r="N228" i="14"/>
  <c r="O228" i="14"/>
  <c r="P228" i="14"/>
  <c r="Q228" i="14"/>
  <c r="F229" i="14"/>
  <c r="G229" i="14"/>
  <c r="H229" i="14"/>
  <c r="M229" i="14"/>
  <c r="N229" i="14"/>
  <c r="O229" i="14"/>
  <c r="P229" i="14"/>
  <c r="Q229" i="14"/>
  <c r="F230" i="14"/>
  <c r="G230" i="14"/>
  <c r="H230" i="14"/>
  <c r="M230" i="14"/>
  <c r="N230" i="14"/>
  <c r="O230" i="14"/>
  <c r="P230" i="14"/>
  <c r="Q230" i="14"/>
  <c r="F231" i="14"/>
  <c r="G231" i="14"/>
  <c r="H231" i="14"/>
  <c r="M231" i="14"/>
  <c r="N231" i="14"/>
  <c r="O231" i="14"/>
  <c r="P231" i="14"/>
  <c r="Q231" i="14"/>
  <c r="F232" i="14"/>
  <c r="G232" i="14"/>
  <c r="H232" i="14"/>
  <c r="M232" i="14"/>
  <c r="N232" i="14"/>
  <c r="O232" i="14"/>
  <c r="P232" i="14"/>
  <c r="Q232" i="14"/>
  <c r="F233" i="14"/>
  <c r="G233" i="14"/>
  <c r="H233" i="14"/>
  <c r="M233" i="14"/>
  <c r="N233" i="14"/>
  <c r="O233" i="14"/>
  <c r="P233" i="14"/>
  <c r="Q233" i="14"/>
  <c r="F234" i="14"/>
  <c r="G234" i="14"/>
  <c r="H234" i="14"/>
  <c r="M234" i="14"/>
  <c r="N234" i="14"/>
  <c r="O234" i="14"/>
  <c r="P234" i="14"/>
  <c r="Q234" i="14"/>
  <c r="F235" i="14"/>
  <c r="G235" i="14"/>
  <c r="H235" i="14"/>
  <c r="M235" i="14"/>
  <c r="N235" i="14"/>
  <c r="O235" i="14"/>
  <c r="P235" i="14"/>
  <c r="Q235" i="14"/>
  <c r="F236" i="14"/>
  <c r="G236" i="14"/>
  <c r="H236" i="14"/>
  <c r="M236" i="14"/>
  <c r="N236" i="14"/>
  <c r="O236" i="14"/>
  <c r="P236" i="14"/>
  <c r="Q236" i="14"/>
  <c r="F237" i="14"/>
  <c r="G237" i="14"/>
  <c r="H237" i="14"/>
  <c r="M237" i="14"/>
  <c r="N237" i="14"/>
  <c r="O237" i="14"/>
  <c r="P237" i="14"/>
  <c r="Q237" i="14"/>
  <c r="F238" i="14"/>
  <c r="G238" i="14"/>
  <c r="H238" i="14"/>
  <c r="M238" i="14"/>
  <c r="N238" i="14"/>
  <c r="O238" i="14"/>
  <c r="P238" i="14"/>
  <c r="Q238" i="14"/>
  <c r="F239" i="14"/>
  <c r="G239" i="14"/>
  <c r="H239" i="14"/>
  <c r="M239" i="14"/>
  <c r="N239" i="14"/>
  <c r="O239" i="14"/>
  <c r="P239" i="14"/>
  <c r="Q239" i="14"/>
  <c r="F240" i="14"/>
  <c r="G240" i="14"/>
  <c r="H240" i="14"/>
  <c r="M240" i="14"/>
  <c r="N240" i="14"/>
  <c r="O240" i="14"/>
  <c r="P240" i="14"/>
  <c r="Q240" i="14"/>
  <c r="F241" i="14"/>
  <c r="G241" i="14"/>
  <c r="H241" i="14"/>
  <c r="M241" i="14"/>
  <c r="N241" i="14"/>
  <c r="O241" i="14"/>
  <c r="P241" i="14"/>
  <c r="Q241" i="14"/>
  <c r="F242" i="14"/>
  <c r="G242" i="14"/>
  <c r="H242" i="14"/>
  <c r="M242" i="14"/>
  <c r="N242" i="14"/>
  <c r="O242" i="14"/>
  <c r="P242" i="14"/>
  <c r="Q242" i="14"/>
  <c r="F243" i="14"/>
  <c r="G243" i="14"/>
  <c r="H243" i="14"/>
  <c r="M243" i="14"/>
  <c r="N243" i="14"/>
  <c r="O243" i="14"/>
  <c r="P243" i="14"/>
  <c r="Q243" i="14"/>
  <c r="D244" i="14"/>
  <c r="F244" i="14"/>
  <c r="G244" i="14"/>
  <c r="H244" i="14"/>
  <c r="M244" i="14"/>
  <c r="N244" i="14"/>
  <c r="O244" i="14"/>
  <c r="P244" i="14"/>
  <c r="Q244" i="14"/>
  <c r="F245" i="14"/>
  <c r="G245" i="14"/>
  <c r="H245" i="14"/>
  <c r="M245" i="14"/>
  <c r="N245" i="14"/>
  <c r="O245" i="14"/>
  <c r="P245" i="14"/>
  <c r="Q245" i="14"/>
  <c r="F246" i="14"/>
  <c r="G246" i="14"/>
  <c r="H246" i="14"/>
  <c r="M246" i="14"/>
  <c r="N246" i="14"/>
  <c r="O246" i="14"/>
  <c r="P246" i="14"/>
  <c r="Q246" i="14"/>
  <c r="F247" i="14"/>
  <c r="G247" i="14"/>
  <c r="H247" i="14"/>
  <c r="M247" i="14"/>
  <c r="N247" i="14"/>
  <c r="O247" i="14"/>
  <c r="P247" i="14"/>
  <c r="Q247" i="14"/>
  <c r="F248" i="14"/>
  <c r="G248" i="14"/>
  <c r="H248" i="14"/>
  <c r="M248" i="14"/>
  <c r="N248" i="14"/>
  <c r="O248" i="14"/>
  <c r="P248" i="14"/>
  <c r="Q248" i="14"/>
  <c r="F249" i="14"/>
  <c r="G249" i="14"/>
  <c r="H249" i="14"/>
  <c r="M249" i="14"/>
  <c r="N249" i="14"/>
  <c r="O249" i="14"/>
  <c r="P249" i="14"/>
  <c r="Q249" i="14"/>
  <c r="F250" i="14"/>
  <c r="G250" i="14"/>
  <c r="H250" i="14"/>
  <c r="M250" i="14"/>
  <c r="N250" i="14"/>
  <c r="O250" i="14"/>
  <c r="P250" i="14"/>
  <c r="Q250" i="14"/>
  <c r="F251" i="14"/>
  <c r="G251" i="14"/>
  <c r="H251" i="14"/>
  <c r="M251" i="14"/>
  <c r="N251" i="14"/>
  <c r="O251" i="14"/>
  <c r="P251" i="14"/>
  <c r="Q251" i="14"/>
  <c r="F252" i="14"/>
  <c r="G252" i="14"/>
  <c r="H252" i="14"/>
  <c r="M252" i="14"/>
  <c r="N252" i="14"/>
  <c r="O252" i="14"/>
  <c r="P252" i="14"/>
  <c r="Q252" i="14"/>
  <c r="F253" i="14"/>
  <c r="G253" i="14"/>
  <c r="H253" i="14"/>
  <c r="M253" i="14"/>
  <c r="N253" i="14"/>
  <c r="O253" i="14"/>
  <c r="P253" i="14"/>
  <c r="Q253" i="14"/>
  <c r="F254" i="14"/>
  <c r="G254" i="14"/>
  <c r="H254" i="14"/>
  <c r="M254" i="14"/>
  <c r="N254" i="14"/>
  <c r="O254" i="14"/>
  <c r="P254" i="14"/>
  <c r="Q254" i="14"/>
  <c r="F255" i="14"/>
  <c r="G255" i="14"/>
  <c r="H255" i="14"/>
  <c r="M255" i="14"/>
  <c r="N255" i="14"/>
  <c r="O255" i="14"/>
  <c r="P255" i="14"/>
  <c r="Q255" i="14"/>
  <c r="F256" i="14"/>
  <c r="G256" i="14"/>
  <c r="H256" i="14"/>
  <c r="M256" i="14"/>
  <c r="N256" i="14"/>
  <c r="O256" i="14"/>
  <c r="P256" i="14"/>
  <c r="Q256" i="14"/>
  <c r="F257" i="14"/>
  <c r="G257" i="14"/>
  <c r="H257" i="14"/>
  <c r="M257" i="14"/>
  <c r="N257" i="14"/>
  <c r="O257" i="14"/>
  <c r="P257" i="14"/>
  <c r="Q257" i="14"/>
  <c r="F258" i="14"/>
  <c r="G258" i="14"/>
  <c r="H258" i="14"/>
  <c r="M258" i="14"/>
  <c r="N258" i="14"/>
  <c r="O258" i="14"/>
  <c r="P258" i="14"/>
  <c r="Q258" i="14"/>
  <c r="F259" i="14"/>
  <c r="G259" i="14"/>
  <c r="H259" i="14"/>
  <c r="M259" i="14"/>
  <c r="N259" i="14"/>
  <c r="O259" i="14"/>
  <c r="P259" i="14"/>
  <c r="Q259" i="14"/>
  <c r="F260" i="14"/>
  <c r="G260" i="14"/>
  <c r="H260" i="14"/>
  <c r="M260" i="14"/>
  <c r="N260" i="14"/>
  <c r="O260" i="14"/>
  <c r="P260" i="14"/>
  <c r="Q260" i="14"/>
  <c r="F261" i="14"/>
  <c r="G261" i="14"/>
  <c r="H261" i="14"/>
  <c r="M261" i="14"/>
  <c r="N261" i="14"/>
  <c r="O261" i="14"/>
  <c r="P261" i="14"/>
  <c r="Q261" i="14"/>
  <c r="F262" i="14"/>
  <c r="G262" i="14"/>
  <c r="H262" i="14"/>
  <c r="M262" i="14"/>
  <c r="N262" i="14"/>
  <c r="O262" i="14"/>
  <c r="P262" i="14"/>
  <c r="Q262" i="14"/>
  <c r="F263" i="14"/>
  <c r="G263" i="14"/>
  <c r="H263" i="14"/>
  <c r="M263" i="14"/>
  <c r="N263" i="14"/>
  <c r="O263" i="14"/>
  <c r="P263" i="14"/>
  <c r="Q263" i="14"/>
  <c r="F264" i="14"/>
  <c r="G264" i="14"/>
  <c r="H264" i="14"/>
  <c r="M264" i="14"/>
  <c r="N264" i="14"/>
  <c r="O264" i="14"/>
  <c r="P264" i="14"/>
  <c r="Q264" i="14"/>
  <c r="F265" i="14"/>
  <c r="G265" i="14"/>
  <c r="H265" i="14"/>
  <c r="M265" i="14"/>
  <c r="N265" i="14"/>
  <c r="O265" i="14"/>
  <c r="P265" i="14"/>
  <c r="Q265" i="14"/>
  <c r="F266" i="14"/>
  <c r="G266" i="14"/>
  <c r="H266" i="14"/>
  <c r="M266" i="14"/>
  <c r="N266" i="14"/>
  <c r="O266" i="14"/>
  <c r="P266" i="14"/>
  <c r="Q266" i="14"/>
  <c r="F267" i="14"/>
  <c r="G267" i="14"/>
  <c r="H267" i="14"/>
  <c r="M267" i="14"/>
  <c r="N267" i="14"/>
  <c r="O267" i="14"/>
  <c r="P267" i="14"/>
  <c r="Q267" i="14"/>
  <c r="F268" i="14"/>
  <c r="G268" i="14"/>
  <c r="H268" i="14"/>
  <c r="M268" i="14"/>
  <c r="N268" i="14"/>
  <c r="O268" i="14"/>
  <c r="P268" i="14"/>
  <c r="Q268" i="14"/>
  <c r="F269" i="14"/>
  <c r="G269" i="14"/>
  <c r="H269" i="14"/>
  <c r="M269" i="14"/>
  <c r="N269" i="14"/>
  <c r="O269" i="14"/>
  <c r="P269" i="14"/>
  <c r="Q269" i="14"/>
  <c r="F270" i="14"/>
  <c r="G270" i="14"/>
  <c r="H270" i="14"/>
  <c r="M270" i="14"/>
  <c r="N270" i="14"/>
  <c r="O270" i="14"/>
  <c r="P270" i="14"/>
  <c r="Q270" i="14"/>
  <c r="F271" i="14"/>
  <c r="G271" i="14"/>
  <c r="H271" i="14"/>
  <c r="M271" i="14"/>
  <c r="N271" i="14"/>
  <c r="O271" i="14"/>
  <c r="P271" i="14"/>
  <c r="Q271" i="14"/>
  <c r="F272" i="14"/>
  <c r="G272" i="14"/>
  <c r="H272" i="14"/>
  <c r="M272" i="14"/>
  <c r="N272" i="14"/>
  <c r="O272" i="14"/>
  <c r="P272" i="14"/>
  <c r="Q272" i="14"/>
  <c r="F273" i="14"/>
  <c r="G273" i="14"/>
  <c r="H273" i="14"/>
  <c r="M273" i="14"/>
  <c r="N273" i="14"/>
  <c r="O273" i="14"/>
  <c r="P273" i="14"/>
  <c r="Q273" i="14"/>
  <c r="F274" i="14"/>
  <c r="G274" i="14"/>
  <c r="H274" i="14"/>
  <c r="M274" i="14"/>
  <c r="N274" i="14"/>
  <c r="O274" i="14"/>
  <c r="P274" i="14"/>
  <c r="Q274" i="14"/>
  <c r="F275" i="14"/>
  <c r="G275" i="14"/>
  <c r="H275" i="14"/>
  <c r="M275" i="14"/>
  <c r="N275" i="14"/>
  <c r="O275" i="14"/>
  <c r="P275" i="14"/>
  <c r="Q275" i="14"/>
  <c r="F276" i="14"/>
  <c r="G276" i="14"/>
  <c r="H276" i="14"/>
  <c r="M276" i="14"/>
  <c r="N276" i="14"/>
  <c r="O276" i="14"/>
  <c r="P276" i="14"/>
  <c r="Q276" i="14"/>
  <c r="F277" i="14"/>
  <c r="G277" i="14"/>
  <c r="H277" i="14"/>
  <c r="M277" i="14"/>
  <c r="N277" i="14"/>
  <c r="O277" i="14"/>
  <c r="P277" i="14"/>
  <c r="Q277" i="14"/>
  <c r="F278" i="14"/>
  <c r="G278" i="14"/>
  <c r="H278" i="14"/>
  <c r="M278" i="14"/>
  <c r="N278" i="14"/>
  <c r="O278" i="14"/>
  <c r="P278" i="14"/>
  <c r="Q278" i="14"/>
  <c r="F279" i="14"/>
  <c r="G279" i="14"/>
  <c r="H279" i="14"/>
  <c r="M279" i="14"/>
  <c r="N279" i="14"/>
  <c r="O279" i="14"/>
  <c r="P279" i="14"/>
  <c r="Q279" i="14"/>
  <c r="F280" i="14"/>
  <c r="G280" i="14"/>
  <c r="H280" i="14"/>
  <c r="M280" i="14"/>
  <c r="N280" i="14"/>
  <c r="O280" i="14"/>
  <c r="P280" i="14"/>
  <c r="Q280" i="14"/>
  <c r="F281" i="14"/>
  <c r="G281" i="14"/>
  <c r="H281" i="14"/>
  <c r="M281" i="14"/>
  <c r="N281" i="14"/>
  <c r="O281" i="14"/>
  <c r="P281" i="14"/>
  <c r="Q281" i="14"/>
  <c r="F282" i="14"/>
  <c r="G282" i="14"/>
  <c r="H282" i="14"/>
  <c r="M282" i="14"/>
  <c r="N282" i="14"/>
  <c r="O282" i="14"/>
  <c r="P282" i="14"/>
  <c r="Q282" i="14"/>
  <c r="F283" i="14"/>
  <c r="G283" i="14"/>
  <c r="H283" i="14"/>
  <c r="M283" i="14"/>
  <c r="N283" i="14"/>
  <c r="O283" i="14"/>
  <c r="P283" i="14"/>
  <c r="Q283" i="14"/>
  <c r="F284" i="14"/>
  <c r="G284" i="14"/>
  <c r="H284" i="14"/>
  <c r="M284" i="14"/>
  <c r="N284" i="14"/>
  <c r="O284" i="14"/>
  <c r="P284" i="14"/>
  <c r="Q284" i="14"/>
  <c r="F285" i="14"/>
  <c r="G285" i="14"/>
  <c r="H285" i="14"/>
  <c r="M285" i="14"/>
  <c r="N285" i="14"/>
  <c r="O285" i="14"/>
  <c r="P285" i="14"/>
  <c r="Q285" i="14"/>
  <c r="F286" i="14"/>
  <c r="G286" i="14"/>
  <c r="H286" i="14"/>
  <c r="M286" i="14"/>
  <c r="N286" i="14"/>
  <c r="O286" i="14"/>
  <c r="P286" i="14"/>
  <c r="Q286" i="14"/>
  <c r="F287" i="14"/>
  <c r="G287" i="14"/>
  <c r="H287" i="14"/>
  <c r="M287" i="14"/>
  <c r="N287" i="14"/>
  <c r="O287" i="14"/>
  <c r="P287" i="14"/>
  <c r="Q287" i="14"/>
  <c r="F288" i="14"/>
  <c r="G288" i="14"/>
  <c r="H288" i="14"/>
  <c r="M288" i="14"/>
  <c r="N288" i="14"/>
  <c r="O288" i="14"/>
  <c r="P288" i="14"/>
  <c r="Q288" i="14"/>
  <c r="F289" i="14"/>
  <c r="G289" i="14"/>
  <c r="H289" i="14"/>
  <c r="M289" i="14"/>
  <c r="N289" i="14"/>
  <c r="O289" i="14"/>
  <c r="P289" i="14"/>
  <c r="Q289" i="14"/>
  <c r="F290" i="14"/>
  <c r="G290" i="14"/>
  <c r="H290" i="14"/>
  <c r="M290" i="14"/>
  <c r="N290" i="14"/>
  <c r="O290" i="14"/>
  <c r="P290" i="14"/>
  <c r="Q290" i="14"/>
  <c r="F291" i="14"/>
  <c r="G291" i="14"/>
  <c r="H291" i="14"/>
  <c r="M291" i="14"/>
  <c r="N291" i="14"/>
  <c r="O291" i="14"/>
  <c r="P291" i="14"/>
  <c r="Q291" i="14"/>
  <c r="F292" i="14"/>
  <c r="G292" i="14"/>
  <c r="H292" i="14"/>
  <c r="M292" i="14"/>
  <c r="N292" i="14"/>
  <c r="O292" i="14"/>
  <c r="P292" i="14"/>
  <c r="Q292" i="14"/>
  <c r="F293" i="14"/>
  <c r="G293" i="14"/>
  <c r="H293" i="14"/>
  <c r="M293" i="14"/>
  <c r="N293" i="14"/>
  <c r="O293" i="14"/>
  <c r="P293" i="14"/>
  <c r="Q293" i="14"/>
  <c r="F294" i="14"/>
  <c r="G294" i="14"/>
  <c r="H294" i="14"/>
  <c r="M294" i="14"/>
  <c r="N294" i="14"/>
  <c r="O294" i="14"/>
  <c r="P294" i="14"/>
  <c r="Q294" i="14"/>
  <c r="F295" i="14"/>
  <c r="G295" i="14"/>
  <c r="H295" i="14"/>
  <c r="M295" i="14"/>
  <c r="N295" i="14"/>
  <c r="O295" i="14"/>
  <c r="P295" i="14"/>
  <c r="Q295" i="14"/>
  <c r="F296" i="14"/>
  <c r="G296" i="14"/>
  <c r="H296" i="14"/>
  <c r="M296" i="14"/>
  <c r="N296" i="14"/>
  <c r="O296" i="14"/>
  <c r="P296" i="14"/>
  <c r="Q296" i="14"/>
  <c r="F297" i="14"/>
  <c r="G297" i="14"/>
  <c r="H297" i="14"/>
  <c r="M297" i="14"/>
  <c r="N297" i="14"/>
  <c r="O297" i="14"/>
  <c r="P297" i="14"/>
  <c r="Q297" i="14"/>
  <c r="F298" i="14"/>
  <c r="G298" i="14"/>
  <c r="H298" i="14"/>
  <c r="M298" i="14"/>
  <c r="N298" i="14"/>
  <c r="O298" i="14"/>
  <c r="P298" i="14"/>
  <c r="Q298" i="14"/>
  <c r="F299" i="14"/>
  <c r="G299" i="14"/>
  <c r="H299" i="14"/>
  <c r="M299" i="14"/>
  <c r="N299" i="14"/>
  <c r="O299" i="14"/>
  <c r="P299" i="14"/>
  <c r="Q299" i="14"/>
  <c r="F300" i="14"/>
  <c r="G300" i="14"/>
  <c r="H300" i="14"/>
  <c r="M300" i="14"/>
  <c r="N300" i="14"/>
  <c r="O300" i="14"/>
  <c r="P300" i="14"/>
  <c r="Q300" i="14"/>
  <c r="F301" i="14"/>
  <c r="G301" i="14"/>
  <c r="H301" i="14"/>
  <c r="M301" i="14"/>
  <c r="N301" i="14"/>
  <c r="O301" i="14"/>
  <c r="P301" i="14"/>
  <c r="Q301" i="14"/>
  <c r="F302" i="14"/>
  <c r="G302" i="14"/>
  <c r="H302" i="14"/>
  <c r="M302" i="14"/>
  <c r="N302" i="14"/>
  <c r="O302" i="14"/>
  <c r="P302" i="14"/>
  <c r="Q302" i="14"/>
  <c r="F303" i="14"/>
  <c r="G303" i="14"/>
  <c r="H303" i="14"/>
  <c r="M303" i="14"/>
  <c r="N303" i="14"/>
  <c r="O303" i="14"/>
  <c r="P303" i="14"/>
  <c r="Q303" i="14"/>
  <c r="F304" i="14"/>
  <c r="G304" i="14"/>
  <c r="H304" i="14"/>
  <c r="M304" i="14"/>
  <c r="N304" i="14"/>
  <c r="O304" i="14"/>
  <c r="P304" i="14"/>
  <c r="Q304" i="14"/>
  <c r="F305" i="14"/>
  <c r="G305" i="14"/>
  <c r="H305" i="14"/>
  <c r="M305" i="14"/>
  <c r="N305" i="14"/>
  <c r="O305" i="14"/>
  <c r="P305" i="14"/>
  <c r="Q305" i="14"/>
  <c r="F306" i="14"/>
  <c r="G306" i="14"/>
  <c r="H306" i="14"/>
  <c r="M306" i="14"/>
  <c r="N306" i="14"/>
  <c r="O306" i="14"/>
  <c r="P306" i="14"/>
  <c r="Q306" i="14"/>
  <c r="F307" i="14"/>
  <c r="G307" i="14"/>
  <c r="H307" i="14"/>
  <c r="M307" i="14"/>
  <c r="N307" i="14"/>
  <c r="O307" i="14"/>
  <c r="P307" i="14"/>
  <c r="Q307" i="14"/>
  <c r="F308" i="14"/>
  <c r="G308" i="14"/>
  <c r="H308" i="14"/>
  <c r="M308" i="14"/>
  <c r="N308" i="14"/>
  <c r="O308" i="14"/>
  <c r="P308" i="14"/>
  <c r="Q308" i="14"/>
  <c r="F309" i="14"/>
  <c r="G309" i="14"/>
  <c r="H309" i="14"/>
  <c r="M309" i="14"/>
  <c r="N309" i="14"/>
  <c r="O309" i="14"/>
  <c r="P309" i="14"/>
  <c r="Q309" i="14"/>
  <c r="F310" i="14"/>
  <c r="G310" i="14"/>
  <c r="H310" i="14"/>
  <c r="M310" i="14"/>
  <c r="N310" i="14"/>
  <c r="O310" i="14"/>
  <c r="P310" i="14"/>
  <c r="Q310" i="14"/>
  <c r="F311" i="14"/>
  <c r="G311" i="14"/>
  <c r="H311" i="14"/>
  <c r="M311" i="14"/>
  <c r="N311" i="14"/>
  <c r="O311" i="14"/>
  <c r="P311" i="14"/>
  <c r="Q311" i="14"/>
  <c r="F312" i="14"/>
  <c r="G312" i="14"/>
  <c r="H312" i="14"/>
  <c r="M312" i="14"/>
  <c r="N312" i="14"/>
  <c r="O312" i="14"/>
  <c r="P312" i="14"/>
  <c r="Q312" i="14"/>
  <c r="F313" i="14"/>
  <c r="G313" i="14"/>
  <c r="H313" i="14"/>
  <c r="M313" i="14"/>
  <c r="N313" i="14"/>
  <c r="O313" i="14"/>
  <c r="P313" i="14"/>
  <c r="Q313" i="14"/>
  <c r="F314" i="14"/>
  <c r="G314" i="14"/>
  <c r="H314" i="14"/>
  <c r="M314" i="14"/>
  <c r="N314" i="14"/>
  <c r="O314" i="14"/>
  <c r="P314" i="14"/>
  <c r="Q314" i="14"/>
  <c r="F315" i="14"/>
  <c r="G315" i="14"/>
  <c r="H315" i="14"/>
  <c r="M315" i="14"/>
  <c r="N315" i="14"/>
  <c r="O315" i="14"/>
  <c r="P315" i="14"/>
  <c r="Q315" i="14"/>
  <c r="F316" i="14"/>
  <c r="G316" i="14"/>
  <c r="H316" i="14"/>
  <c r="M316" i="14"/>
  <c r="N316" i="14"/>
  <c r="O316" i="14"/>
  <c r="P316" i="14"/>
  <c r="Q316" i="14"/>
  <c r="F317" i="14"/>
  <c r="G317" i="14"/>
  <c r="H317" i="14"/>
  <c r="M317" i="14"/>
  <c r="N317" i="14"/>
  <c r="O317" i="14"/>
  <c r="P317" i="14"/>
  <c r="Q317" i="14"/>
  <c r="F318" i="14"/>
  <c r="G318" i="14"/>
  <c r="H318" i="14"/>
  <c r="M318" i="14"/>
  <c r="N318" i="14"/>
  <c r="O318" i="14"/>
  <c r="P318" i="14"/>
  <c r="Q318" i="14"/>
  <c r="F319" i="14"/>
  <c r="G319" i="14"/>
  <c r="H319" i="14"/>
  <c r="M319" i="14"/>
  <c r="N319" i="14"/>
  <c r="O319" i="14"/>
  <c r="P319" i="14"/>
  <c r="Q319" i="14"/>
  <c r="F320" i="14"/>
  <c r="G320" i="14"/>
  <c r="H320" i="14"/>
  <c r="M320" i="14"/>
  <c r="N320" i="14"/>
  <c r="O320" i="14"/>
  <c r="P320" i="14"/>
  <c r="Q320" i="14"/>
  <c r="F321" i="14"/>
  <c r="G321" i="14"/>
  <c r="H321" i="14"/>
  <c r="M321" i="14"/>
  <c r="N321" i="14"/>
  <c r="O321" i="14"/>
  <c r="P321" i="14"/>
  <c r="Q321" i="14"/>
  <c r="F322" i="14"/>
  <c r="G322" i="14"/>
  <c r="H322" i="14"/>
  <c r="M322" i="14"/>
  <c r="N322" i="14"/>
  <c r="O322" i="14"/>
  <c r="P322" i="14"/>
  <c r="Q322" i="14"/>
  <c r="F323" i="14"/>
  <c r="G323" i="14"/>
  <c r="H323" i="14"/>
  <c r="M323" i="14"/>
  <c r="N323" i="14"/>
  <c r="O323" i="14"/>
  <c r="P323" i="14"/>
  <c r="Q323" i="14"/>
  <c r="F324" i="14"/>
  <c r="G324" i="14"/>
  <c r="H324" i="14"/>
  <c r="M324" i="14"/>
  <c r="N324" i="14"/>
  <c r="O324" i="14"/>
  <c r="P324" i="14"/>
  <c r="Q324" i="14"/>
  <c r="F325" i="14"/>
  <c r="G325" i="14"/>
  <c r="H325" i="14"/>
  <c r="M325" i="14"/>
  <c r="N325" i="14"/>
  <c r="O325" i="14"/>
  <c r="P325" i="14"/>
  <c r="Q325" i="14"/>
  <c r="F326" i="14"/>
  <c r="G326" i="14"/>
  <c r="H326" i="14"/>
  <c r="M326" i="14"/>
  <c r="N326" i="14"/>
  <c r="O326" i="14"/>
  <c r="P326" i="14"/>
  <c r="Q326" i="14"/>
  <c r="F327" i="14"/>
  <c r="G327" i="14"/>
  <c r="H327" i="14"/>
  <c r="M327" i="14"/>
  <c r="N327" i="14"/>
  <c r="O327" i="14"/>
  <c r="P327" i="14"/>
  <c r="Q327" i="14"/>
  <c r="F328" i="14"/>
  <c r="G328" i="14"/>
  <c r="H328" i="14"/>
  <c r="M328" i="14"/>
  <c r="N328" i="14"/>
  <c r="O328" i="14"/>
  <c r="P328" i="14"/>
  <c r="Q328" i="14"/>
  <c r="F329" i="14"/>
  <c r="G329" i="14"/>
  <c r="H329" i="14"/>
  <c r="M329" i="14"/>
  <c r="N329" i="14"/>
  <c r="O329" i="14"/>
  <c r="P329" i="14"/>
  <c r="Q329" i="14"/>
  <c r="F330" i="14"/>
  <c r="G330" i="14"/>
  <c r="H330" i="14"/>
  <c r="M330" i="14"/>
  <c r="N330" i="14"/>
  <c r="O330" i="14"/>
  <c r="P330" i="14"/>
  <c r="Q330" i="14"/>
  <c r="F331" i="14"/>
  <c r="G331" i="14"/>
  <c r="H331" i="14"/>
  <c r="M331" i="14"/>
  <c r="N331" i="14"/>
  <c r="O331" i="14"/>
  <c r="P331" i="14"/>
  <c r="Q331" i="14"/>
  <c r="F332" i="14"/>
  <c r="G332" i="14"/>
  <c r="H332" i="14"/>
  <c r="M332" i="14"/>
  <c r="N332" i="14"/>
  <c r="O332" i="14"/>
  <c r="P332" i="14"/>
  <c r="Q332" i="14"/>
  <c r="F333" i="14"/>
  <c r="G333" i="14"/>
  <c r="H333" i="14"/>
  <c r="M333" i="14"/>
  <c r="N333" i="14"/>
  <c r="O333" i="14"/>
  <c r="P333" i="14"/>
  <c r="Q333" i="14"/>
  <c r="F334" i="14"/>
  <c r="G334" i="14"/>
  <c r="H334" i="14"/>
  <c r="M334" i="14"/>
  <c r="N334" i="14"/>
  <c r="O334" i="14"/>
  <c r="P334" i="14"/>
  <c r="Q334" i="14"/>
  <c r="F335" i="14"/>
  <c r="G335" i="14"/>
  <c r="H335" i="14"/>
  <c r="M335" i="14"/>
  <c r="N335" i="14"/>
  <c r="O335" i="14"/>
  <c r="P335" i="14"/>
  <c r="Q335" i="14"/>
  <c r="F336" i="14"/>
  <c r="G336" i="14"/>
  <c r="H336" i="14"/>
  <c r="M336" i="14"/>
  <c r="N336" i="14"/>
  <c r="O336" i="14"/>
  <c r="P336" i="14"/>
  <c r="Q336" i="14"/>
  <c r="F337" i="14"/>
  <c r="G337" i="14"/>
  <c r="H337" i="14"/>
  <c r="M337" i="14"/>
  <c r="N337" i="14"/>
  <c r="O337" i="14"/>
  <c r="P337" i="14"/>
  <c r="Q337" i="14"/>
  <c r="F338" i="14"/>
  <c r="G338" i="14"/>
  <c r="H338" i="14"/>
  <c r="M338" i="14"/>
  <c r="N338" i="14"/>
  <c r="O338" i="14"/>
  <c r="P338" i="14"/>
  <c r="Q338" i="14"/>
  <c r="F339" i="14"/>
  <c r="G339" i="14"/>
  <c r="H339" i="14"/>
  <c r="M339" i="14"/>
  <c r="N339" i="14"/>
  <c r="O339" i="14"/>
  <c r="P339" i="14"/>
  <c r="Q339" i="14"/>
  <c r="F340" i="14"/>
  <c r="G340" i="14"/>
  <c r="H340" i="14"/>
  <c r="M340" i="14"/>
  <c r="N340" i="14"/>
  <c r="O340" i="14"/>
  <c r="P340" i="14"/>
  <c r="Q340" i="14"/>
  <c r="F341" i="14"/>
  <c r="G341" i="14"/>
  <c r="H341" i="14"/>
  <c r="M341" i="14"/>
  <c r="N341" i="14"/>
  <c r="O341" i="14"/>
  <c r="P341" i="14"/>
  <c r="Q341" i="14"/>
  <c r="F342" i="14"/>
  <c r="G342" i="14"/>
  <c r="H342" i="14"/>
  <c r="M342" i="14"/>
  <c r="N342" i="14"/>
  <c r="O342" i="14"/>
  <c r="P342" i="14"/>
  <c r="Q342" i="14"/>
  <c r="F343" i="14"/>
  <c r="G343" i="14"/>
  <c r="H343" i="14"/>
  <c r="M343" i="14"/>
  <c r="N343" i="14"/>
  <c r="O343" i="14"/>
  <c r="P343" i="14"/>
  <c r="Q343" i="14"/>
  <c r="F344" i="14"/>
  <c r="G344" i="14"/>
  <c r="H344" i="14"/>
  <c r="M344" i="14"/>
  <c r="N344" i="14"/>
  <c r="O344" i="14"/>
  <c r="P344" i="14"/>
  <c r="Q344" i="14"/>
  <c r="F345" i="14"/>
  <c r="G345" i="14"/>
  <c r="H345" i="14"/>
  <c r="M345" i="14"/>
  <c r="N345" i="14"/>
  <c r="O345" i="14"/>
  <c r="P345" i="14"/>
  <c r="Q345" i="14"/>
  <c r="F346" i="14"/>
  <c r="G346" i="14"/>
  <c r="H346" i="14"/>
  <c r="M346" i="14"/>
  <c r="N346" i="14"/>
  <c r="O346" i="14"/>
  <c r="P346" i="14"/>
  <c r="Q346" i="14"/>
  <c r="F347" i="14"/>
  <c r="G347" i="14"/>
  <c r="H347" i="14"/>
  <c r="M347" i="14"/>
  <c r="N347" i="14"/>
  <c r="O347" i="14"/>
  <c r="P347" i="14"/>
  <c r="Q347" i="14"/>
  <c r="F348" i="14"/>
  <c r="G348" i="14"/>
  <c r="H348" i="14"/>
  <c r="M348" i="14"/>
  <c r="N348" i="14"/>
  <c r="O348" i="14"/>
  <c r="P348" i="14"/>
  <c r="Q348" i="14"/>
  <c r="F349" i="14"/>
  <c r="G349" i="14"/>
  <c r="H349" i="14"/>
  <c r="M349" i="14"/>
  <c r="N349" i="14"/>
  <c r="O349" i="14"/>
  <c r="P349" i="14"/>
  <c r="Q349" i="14"/>
  <c r="F350" i="14"/>
  <c r="G350" i="14"/>
  <c r="H350" i="14"/>
  <c r="M350" i="14"/>
  <c r="N350" i="14"/>
  <c r="O350" i="14"/>
  <c r="P350" i="14"/>
  <c r="Q350" i="14"/>
  <c r="F351" i="14"/>
  <c r="G351" i="14"/>
  <c r="H351" i="14"/>
  <c r="M351" i="14"/>
  <c r="N351" i="14"/>
  <c r="O351" i="14"/>
  <c r="P351" i="14"/>
  <c r="Q351" i="14"/>
  <c r="F352" i="14"/>
  <c r="G352" i="14"/>
  <c r="H352" i="14"/>
  <c r="M352" i="14"/>
  <c r="N352" i="14"/>
  <c r="O352" i="14"/>
  <c r="P352" i="14"/>
  <c r="Q352" i="14"/>
  <c r="F353" i="14"/>
  <c r="G353" i="14"/>
  <c r="H353" i="14"/>
  <c r="M353" i="14"/>
  <c r="N353" i="14"/>
  <c r="O353" i="14"/>
  <c r="P353" i="14"/>
  <c r="Q353" i="14"/>
  <c r="F354" i="14"/>
  <c r="G354" i="14"/>
  <c r="H354" i="14"/>
  <c r="M354" i="14"/>
  <c r="N354" i="14"/>
  <c r="O354" i="14"/>
  <c r="P354" i="14"/>
  <c r="Q354" i="14"/>
  <c r="F355" i="14"/>
  <c r="G355" i="14"/>
  <c r="H355" i="14"/>
  <c r="M355" i="14"/>
  <c r="N355" i="14"/>
  <c r="O355" i="14"/>
  <c r="P355" i="14"/>
  <c r="Q355" i="14"/>
  <c r="F356" i="14"/>
  <c r="G356" i="14"/>
  <c r="H356" i="14"/>
  <c r="M356" i="14"/>
  <c r="N356" i="14"/>
  <c r="O356" i="14"/>
  <c r="P356" i="14"/>
  <c r="Q356" i="14"/>
  <c r="F357" i="14"/>
  <c r="G357" i="14"/>
  <c r="H357" i="14"/>
  <c r="M357" i="14"/>
  <c r="N357" i="14"/>
  <c r="O357" i="14"/>
  <c r="P357" i="14"/>
  <c r="Q357" i="14"/>
  <c r="F358" i="14"/>
  <c r="G358" i="14"/>
  <c r="H358" i="14"/>
  <c r="M358" i="14"/>
  <c r="N358" i="14"/>
  <c r="O358" i="14"/>
  <c r="P358" i="14"/>
  <c r="Q358" i="14"/>
  <c r="F359" i="14"/>
  <c r="G359" i="14"/>
  <c r="H359" i="14"/>
  <c r="M359" i="14"/>
  <c r="N359" i="14"/>
  <c r="O359" i="14"/>
  <c r="P359" i="14"/>
  <c r="Q359" i="14"/>
  <c r="F360" i="14"/>
  <c r="G360" i="14"/>
  <c r="H360" i="14"/>
  <c r="M360" i="14"/>
  <c r="N360" i="14"/>
  <c r="O360" i="14"/>
  <c r="P360" i="14"/>
  <c r="Q360" i="14"/>
  <c r="F361" i="14"/>
  <c r="G361" i="14"/>
  <c r="H361" i="14"/>
  <c r="M361" i="14"/>
  <c r="N361" i="14"/>
  <c r="O361" i="14"/>
  <c r="P361" i="14"/>
  <c r="Q361" i="14"/>
  <c r="F362" i="14"/>
  <c r="G362" i="14"/>
  <c r="H362" i="14"/>
  <c r="M362" i="14"/>
  <c r="N362" i="14"/>
  <c r="O362" i="14"/>
  <c r="P362" i="14"/>
  <c r="Q362" i="14"/>
  <c r="F363" i="14"/>
  <c r="G363" i="14"/>
  <c r="H363" i="14"/>
  <c r="M363" i="14"/>
  <c r="N363" i="14"/>
  <c r="O363" i="14"/>
  <c r="P363" i="14"/>
  <c r="Q363" i="14"/>
  <c r="F364" i="14"/>
  <c r="G364" i="14"/>
  <c r="H364" i="14"/>
  <c r="M364" i="14"/>
  <c r="N364" i="14"/>
  <c r="O364" i="14"/>
  <c r="P364" i="14"/>
  <c r="Q364" i="14"/>
  <c r="F365" i="14"/>
  <c r="G365" i="14"/>
  <c r="H365" i="14"/>
  <c r="M365" i="14"/>
  <c r="N365" i="14"/>
  <c r="O365" i="14"/>
  <c r="P365" i="14"/>
  <c r="Q365" i="14"/>
  <c r="F366" i="14"/>
  <c r="G366" i="14"/>
  <c r="H366" i="14"/>
  <c r="M366" i="14"/>
  <c r="N366" i="14"/>
  <c r="O366" i="14"/>
  <c r="P366" i="14"/>
  <c r="Q366" i="14"/>
  <c r="F367" i="14"/>
  <c r="G367" i="14"/>
  <c r="H367" i="14"/>
  <c r="M367" i="14"/>
  <c r="N367" i="14"/>
  <c r="O367" i="14"/>
  <c r="P367" i="14"/>
  <c r="Q367" i="14"/>
  <c r="F368" i="14"/>
  <c r="G368" i="14"/>
  <c r="H368" i="14"/>
  <c r="M368" i="14"/>
  <c r="N368" i="14"/>
  <c r="O368" i="14"/>
  <c r="P368" i="14"/>
  <c r="Q368" i="14"/>
  <c r="F369" i="14"/>
  <c r="G369" i="14"/>
  <c r="H369" i="14"/>
  <c r="M369" i="14"/>
  <c r="N369" i="14"/>
  <c r="O369" i="14"/>
  <c r="P369" i="14"/>
  <c r="Q369" i="14"/>
  <c r="F370" i="14"/>
  <c r="G370" i="14"/>
  <c r="H370" i="14"/>
  <c r="M370" i="14"/>
  <c r="N370" i="14"/>
  <c r="O370" i="14"/>
  <c r="P370" i="14"/>
  <c r="Q370" i="14"/>
  <c r="F371" i="14"/>
  <c r="G371" i="14"/>
  <c r="H371" i="14"/>
  <c r="M371" i="14"/>
  <c r="N371" i="14"/>
  <c r="O371" i="14"/>
  <c r="P371" i="14"/>
  <c r="Q371" i="14"/>
  <c r="F372" i="14"/>
  <c r="G372" i="14"/>
  <c r="H372" i="14"/>
  <c r="M372" i="14"/>
  <c r="N372" i="14"/>
  <c r="O372" i="14"/>
  <c r="P372" i="14"/>
  <c r="Q372" i="14"/>
  <c r="F373" i="14"/>
  <c r="G373" i="14"/>
  <c r="H373" i="14"/>
  <c r="M373" i="14"/>
  <c r="N373" i="14"/>
  <c r="O373" i="14"/>
  <c r="P373" i="14"/>
  <c r="Q373" i="14"/>
  <c r="F374" i="14"/>
  <c r="G374" i="14"/>
  <c r="H374" i="14"/>
  <c r="M374" i="14"/>
  <c r="N374" i="14"/>
  <c r="O374" i="14"/>
  <c r="P374" i="14"/>
  <c r="Q374" i="14"/>
  <c r="F375" i="14"/>
  <c r="G375" i="14"/>
  <c r="H375" i="14"/>
  <c r="M375" i="14"/>
  <c r="N375" i="14"/>
  <c r="O375" i="14"/>
  <c r="P375" i="14"/>
  <c r="Q375" i="14"/>
  <c r="F376" i="14"/>
  <c r="G376" i="14"/>
  <c r="H376" i="14"/>
  <c r="M376" i="14"/>
  <c r="N376" i="14"/>
  <c r="O376" i="14"/>
  <c r="P376" i="14"/>
  <c r="Q376" i="14"/>
  <c r="F377" i="14"/>
  <c r="G377" i="14"/>
  <c r="H377" i="14"/>
  <c r="M377" i="14"/>
  <c r="N377" i="14"/>
  <c r="O377" i="14"/>
  <c r="P377" i="14"/>
  <c r="Q377" i="14"/>
  <c r="F378" i="14"/>
  <c r="G378" i="14"/>
  <c r="H378" i="14"/>
  <c r="M378" i="14"/>
  <c r="N378" i="14"/>
  <c r="O378" i="14"/>
  <c r="P378" i="14"/>
  <c r="Q378" i="14"/>
  <c r="F379" i="14"/>
  <c r="G379" i="14"/>
  <c r="H379" i="14"/>
  <c r="M379" i="14"/>
  <c r="N379" i="14"/>
  <c r="O379" i="14"/>
  <c r="P379" i="14"/>
  <c r="Q379" i="14"/>
  <c r="F380" i="14"/>
  <c r="G380" i="14"/>
  <c r="H380" i="14"/>
  <c r="M380" i="14"/>
  <c r="N380" i="14"/>
  <c r="O380" i="14"/>
  <c r="P380" i="14"/>
  <c r="Q380" i="14"/>
  <c r="F381" i="14"/>
  <c r="G381" i="14"/>
  <c r="H381" i="14"/>
  <c r="M381" i="14"/>
  <c r="N381" i="14"/>
  <c r="O381" i="14"/>
  <c r="P381" i="14"/>
  <c r="Q381" i="14"/>
  <c r="F382" i="14"/>
  <c r="G382" i="14"/>
  <c r="H382" i="14"/>
  <c r="M382" i="14"/>
  <c r="N382" i="14"/>
  <c r="O382" i="14"/>
  <c r="P382" i="14"/>
  <c r="Q382" i="14"/>
  <c r="F383" i="14"/>
  <c r="G383" i="14"/>
  <c r="H383" i="14"/>
  <c r="M383" i="14"/>
  <c r="N383" i="14"/>
  <c r="O383" i="14"/>
  <c r="P383" i="14"/>
  <c r="Q383" i="14"/>
  <c r="F384" i="14"/>
  <c r="G384" i="14"/>
  <c r="H384" i="14"/>
  <c r="M384" i="14"/>
  <c r="N384" i="14"/>
  <c r="O384" i="14"/>
  <c r="P384" i="14"/>
  <c r="Q384" i="14"/>
  <c r="F385" i="14"/>
  <c r="G385" i="14"/>
  <c r="H385" i="14"/>
  <c r="M385" i="14"/>
  <c r="N385" i="14"/>
  <c r="O385" i="14"/>
  <c r="P385" i="14"/>
  <c r="Q385" i="14"/>
  <c r="F386" i="14"/>
  <c r="G386" i="14"/>
  <c r="H386" i="14"/>
  <c r="M386" i="14"/>
  <c r="N386" i="14"/>
  <c r="O386" i="14"/>
  <c r="P386" i="14"/>
  <c r="Q386" i="14"/>
  <c r="F387" i="14"/>
  <c r="G387" i="14"/>
  <c r="H387" i="14"/>
  <c r="M387" i="14"/>
  <c r="N387" i="14"/>
  <c r="O387" i="14"/>
  <c r="P387" i="14"/>
  <c r="Q387" i="14"/>
  <c r="F388" i="14"/>
  <c r="G388" i="14"/>
  <c r="H388" i="14"/>
  <c r="M388" i="14"/>
  <c r="N388" i="14"/>
  <c r="O388" i="14"/>
  <c r="P388" i="14"/>
  <c r="Q388" i="14"/>
  <c r="F389" i="14"/>
  <c r="G389" i="14"/>
  <c r="H389" i="14"/>
  <c r="M389" i="14"/>
  <c r="N389" i="14"/>
  <c r="O389" i="14"/>
  <c r="P389" i="14"/>
  <c r="Q389" i="14"/>
  <c r="F390" i="14"/>
  <c r="G390" i="14"/>
  <c r="H390" i="14"/>
  <c r="M390" i="14"/>
  <c r="N390" i="14"/>
  <c r="O390" i="14"/>
  <c r="P390" i="14"/>
  <c r="Q390" i="14"/>
  <c r="F391" i="14"/>
  <c r="G391" i="14"/>
  <c r="H391" i="14"/>
  <c r="M391" i="14"/>
  <c r="N391" i="14"/>
  <c r="O391" i="14"/>
  <c r="P391" i="14"/>
  <c r="Q391" i="14"/>
  <c r="F392" i="14"/>
  <c r="G392" i="14"/>
  <c r="H392" i="14"/>
  <c r="M392" i="14"/>
  <c r="N392" i="14"/>
  <c r="O392" i="14"/>
  <c r="P392" i="14"/>
  <c r="Q392" i="14"/>
  <c r="F393" i="14"/>
  <c r="G393" i="14"/>
  <c r="H393" i="14"/>
  <c r="M393" i="14"/>
  <c r="N393" i="14"/>
  <c r="O393" i="14"/>
  <c r="P393" i="14"/>
  <c r="Q393" i="14"/>
  <c r="F394" i="14"/>
  <c r="G394" i="14"/>
  <c r="H394" i="14"/>
  <c r="M394" i="14"/>
  <c r="N394" i="14"/>
  <c r="O394" i="14"/>
  <c r="P394" i="14"/>
  <c r="Q394" i="14"/>
  <c r="F395" i="14"/>
  <c r="G395" i="14"/>
  <c r="H395" i="14"/>
  <c r="M395" i="14"/>
  <c r="N395" i="14"/>
  <c r="O395" i="14"/>
  <c r="P395" i="14"/>
  <c r="Q395" i="14"/>
  <c r="F396" i="14"/>
  <c r="G396" i="14"/>
  <c r="H396" i="14"/>
  <c r="M396" i="14"/>
  <c r="N396" i="14"/>
  <c r="O396" i="14"/>
  <c r="P396" i="14"/>
  <c r="Q396" i="14"/>
  <c r="F397" i="14"/>
  <c r="G397" i="14"/>
  <c r="H397" i="14"/>
  <c r="M397" i="14"/>
  <c r="N397" i="14"/>
  <c r="O397" i="14"/>
  <c r="P397" i="14"/>
  <c r="Q397" i="14"/>
  <c r="F398" i="14"/>
  <c r="G398" i="14"/>
  <c r="H398" i="14"/>
  <c r="M398" i="14"/>
  <c r="N398" i="14"/>
  <c r="O398" i="14"/>
  <c r="P398" i="14"/>
  <c r="Q398" i="14"/>
  <c r="F399" i="14"/>
  <c r="G399" i="14"/>
  <c r="H399" i="14"/>
  <c r="M399" i="14"/>
  <c r="N399" i="14"/>
  <c r="O399" i="14"/>
  <c r="P399" i="14"/>
  <c r="Q399" i="14"/>
  <c r="F400" i="14"/>
  <c r="G400" i="14"/>
  <c r="H400" i="14"/>
  <c r="M400" i="14"/>
  <c r="N400" i="14"/>
  <c r="O400" i="14"/>
  <c r="P400" i="14"/>
  <c r="Q400" i="14"/>
  <c r="F401" i="14"/>
  <c r="G401" i="14"/>
  <c r="H401" i="14"/>
  <c r="M401" i="14"/>
  <c r="N401" i="14"/>
  <c r="O401" i="14"/>
  <c r="P401" i="14"/>
  <c r="Q401" i="14"/>
  <c r="F402" i="14"/>
  <c r="G402" i="14"/>
  <c r="H402" i="14"/>
  <c r="M402" i="14"/>
  <c r="N402" i="14"/>
  <c r="O402" i="14"/>
  <c r="P402" i="14"/>
  <c r="Q402" i="14"/>
  <c r="F403" i="14"/>
  <c r="G403" i="14"/>
  <c r="H403" i="14"/>
  <c r="M403" i="14"/>
  <c r="N403" i="14"/>
  <c r="O403" i="14"/>
  <c r="P403" i="14"/>
  <c r="Q403" i="14"/>
  <c r="F404" i="14"/>
  <c r="G404" i="14"/>
  <c r="H404" i="14"/>
  <c r="M404" i="14"/>
  <c r="N404" i="14"/>
  <c r="O404" i="14"/>
  <c r="P404" i="14"/>
  <c r="Q404" i="14"/>
  <c r="F405" i="14"/>
  <c r="G405" i="14"/>
  <c r="H405" i="14"/>
  <c r="M405" i="14"/>
  <c r="N405" i="14"/>
  <c r="O405" i="14"/>
  <c r="P405" i="14"/>
  <c r="Q405" i="14"/>
  <c r="F406" i="14"/>
  <c r="G406" i="14"/>
  <c r="H406" i="14"/>
  <c r="M406" i="14"/>
  <c r="N406" i="14"/>
  <c r="O406" i="14"/>
  <c r="P406" i="14"/>
  <c r="Q406" i="14"/>
  <c r="F407" i="14"/>
  <c r="G407" i="14"/>
  <c r="H407" i="14"/>
  <c r="M407" i="14"/>
  <c r="N407" i="14"/>
  <c r="O407" i="14"/>
  <c r="P407" i="14"/>
  <c r="Q407" i="14"/>
  <c r="F408" i="14"/>
  <c r="G408" i="14"/>
  <c r="H408" i="14"/>
  <c r="M408" i="14"/>
  <c r="N408" i="14"/>
  <c r="O408" i="14"/>
  <c r="P408" i="14"/>
  <c r="Q408" i="14"/>
  <c r="F409" i="14"/>
  <c r="G409" i="14"/>
  <c r="H409" i="14"/>
  <c r="M409" i="14"/>
  <c r="N409" i="14"/>
  <c r="O409" i="14"/>
  <c r="P409" i="14"/>
  <c r="Q409" i="14"/>
  <c r="F410" i="14"/>
  <c r="G410" i="14"/>
  <c r="H410" i="14"/>
  <c r="M410" i="14"/>
  <c r="N410" i="14"/>
  <c r="O410" i="14"/>
  <c r="P410" i="14"/>
  <c r="Q410" i="14"/>
  <c r="F411" i="14"/>
  <c r="G411" i="14"/>
  <c r="H411" i="14"/>
  <c r="M411" i="14"/>
  <c r="N411" i="14"/>
  <c r="O411" i="14"/>
  <c r="P411" i="14"/>
  <c r="Q411" i="14"/>
  <c r="F412" i="14"/>
  <c r="G412" i="14"/>
  <c r="H412" i="14"/>
  <c r="M412" i="14"/>
  <c r="N412" i="14"/>
  <c r="O412" i="14"/>
  <c r="P412" i="14"/>
  <c r="Q412" i="14"/>
  <c r="F413" i="14"/>
  <c r="G413" i="14"/>
  <c r="H413" i="14"/>
  <c r="M413" i="14"/>
  <c r="N413" i="14"/>
  <c r="O413" i="14"/>
  <c r="P413" i="14"/>
  <c r="Q413" i="14"/>
  <c r="F414" i="14"/>
  <c r="G414" i="14"/>
  <c r="H414" i="14"/>
  <c r="M414" i="14"/>
  <c r="N414" i="14"/>
  <c r="O414" i="14"/>
  <c r="P414" i="14"/>
  <c r="Q414" i="14"/>
  <c r="F415" i="14"/>
  <c r="G415" i="14"/>
  <c r="H415" i="14"/>
  <c r="M415" i="14"/>
  <c r="N415" i="14"/>
  <c r="O415" i="14"/>
  <c r="P415" i="14"/>
  <c r="Q415" i="14"/>
  <c r="F416" i="14"/>
  <c r="G416" i="14"/>
  <c r="H416" i="14"/>
  <c r="M416" i="14"/>
  <c r="N416" i="14"/>
  <c r="O416" i="14"/>
  <c r="P416" i="14"/>
  <c r="Q416" i="14"/>
  <c r="F417" i="14"/>
  <c r="G417" i="14"/>
  <c r="H417" i="14"/>
  <c r="M417" i="14"/>
  <c r="N417" i="14"/>
  <c r="O417" i="14"/>
  <c r="P417" i="14"/>
  <c r="Q417" i="14"/>
  <c r="F418" i="14"/>
  <c r="G418" i="14"/>
  <c r="H418" i="14"/>
  <c r="M418" i="14"/>
  <c r="N418" i="14"/>
  <c r="O418" i="14"/>
  <c r="P418" i="14"/>
  <c r="Q418" i="14"/>
  <c r="F419" i="14"/>
  <c r="G419" i="14"/>
  <c r="H419" i="14"/>
  <c r="M419" i="14"/>
  <c r="N419" i="14"/>
  <c r="O419" i="14"/>
  <c r="P419" i="14"/>
  <c r="Q419" i="14"/>
  <c r="F420" i="14"/>
  <c r="G420" i="14"/>
  <c r="H420" i="14"/>
  <c r="M420" i="14"/>
  <c r="N420" i="14"/>
  <c r="O420" i="14"/>
  <c r="P420" i="14"/>
  <c r="Q420" i="14"/>
  <c r="F421" i="14"/>
  <c r="G421" i="14"/>
  <c r="H421" i="14"/>
  <c r="M421" i="14"/>
  <c r="N421" i="14"/>
  <c r="O421" i="14"/>
  <c r="P421" i="14"/>
  <c r="Q421" i="14"/>
  <c r="F422" i="14"/>
  <c r="G422" i="14"/>
  <c r="H422" i="14"/>
  <c r="M422" i="14"/>
  <c r="N422" i="14"/>
  <c r="O422" i="14"/>
  <c r="P422" i="14"/>
  <c r="Q422" i="14"/>
  <c r="F423" i="14"/>
  <c r="G423" i="14"/>
  <c r="H423" i="14"/>
  <c r="M423" i="14"/>
  <c r="N423" i="14"/>
  <c r="O423" i="14"/>
  <c r="P423" i="14"/>
  <c r="Q423" i="14"/>
  <c r="F424" i="14"/>
  <c r="G424" i="14"/>
  <c r="H424" i="14"/>
  <c r="M424" i="14"/>
  <c r="N424" i="14"/>
  <c r="O424" i="14"/>
  <c r="P424" i="14"/>
  <c r="Q424" i="14"/>
  <c r="F425" i="14"/>
  <c r="G425" i="14"/>
  <c r="H425" i="14"/>
  <c r="M425" i="14"/>
  <c r="N425" i="14"/>
  <c r="O425" i="14"/>
  <c r="P425" i="14"/>
  <c r="Q425" i="14"/>
  <c r="F426" i="14"/>
  <c r="G426" i="14"/>
  <c r="H426" i="14"/>
  <c r="M426" i="14"/>
  <c r="N426" i="14"/>
  <c r="O426" i="14"/>
  <c r="P426" i="14"/>
  <c r="Q426" i="14"/>
  <c r="F427" i="14"/>
  <c r="G427" i="14"/>
  <c r="H427" i="14"/>
  <c r="M427" i="14"/>
  <c r="N427" i="14"/>
  <c r="O427" i="14"/>
  <c r="P427" i="14"/>
  <c r="Q427" i="14"/>
  <c r="F428" i="14"/>
  <c r="G428" i="14"/>
  <c r="H428" i="14"/>
  <c r="M428" i="14"/>
  <c r="N428" i="14"/>
  <c r="O428" i="14"/>
  <c r="P428" i="14"/>
  <c r="Q428" i="14"/>
  <c r="F429" i="14"/>
  <c r="G429" i="14"/>
  <c r="H429" i="14"/>
  <c r="M429" i="14"/>
  <c r="N429" i="14"/>
  <c r="O429" i="14"/>
  <c r="P429" i="14"/>
  <c r="Q429" i="14"/>
  <c r="F430" i="14"/>
  <c r="G430" i="14"/>
  <c r="H430" i="14"/>
  <c r="M430" i="14"/>
  <c r="N430" i="14"/>
  <c r="O430" i="14"/>
  <c r="P430" i="14"/>
  <c r="Q430" i="14"/>
  <c r="F431" i="14"/>
  <c r="G431" i="14"/>
  <c r="H431" i="14"/>
  <c r="M431" i="14"/>
  <c r="N431" i="14"/>
  <c r="O431" i="14"/>
  <c r="P431" i="14"/>
  <c r="Q431" i="14"/>
  <c r="F432" i="14"/>
  <c r="G432" i="14"/>
  <c r="H432" i="14"/>
  <c r="M432" i="14"/>
  <c r="N432" i="14"/>
  <c r="O432" i="14"/>
  <c r="P432" i="14"/>
  <c r="Q432" i="14"/>
  <c r="F433" i="14"/>
  <c r="G433" i="14"/>
  <c r="H433" i="14"/>
  <c r="M433" i="14"/>
  <c r="N433" i="14"/>
  <c r="O433" i="14"/>
  <c r="P433" i="14"/>
  <c r="Q433" i="14"/>
  <c r="F434" i="14"/>
  <c r="G434" i="14"/>
  <c r="H434" i="14"/>
  <c r="M434" i="14"/>
  <c r="N434" i="14"/>
  <c r="O434" i="14"/>
  <c r="P434" i="14"/>
  <c r="Q434" i="14"/>
  <c r="F435" i="14"/>
  <c r="G435" i="14"/>
  <c r="H435" i="14"/>
  <c r="M435" i="14"/>
  <c r="N435" i="14"/>
  <c r="O435" i="14"/>
  <c r="P435" i="14"/>
  <c r="Q435" i="14"/>
  <c r="F436" i="14"/>
  <c r="G436" i="14"/>
  <c r="H436" i="14"/>
  <c r="M436" i="14"/>
  <c r="N436" i="14"/>
  <c r="O436" i="14"/>
  <c r="P436" i="14"/>
  <c r="Q436" i="14"/>
  <c r="F437" i="14"/>
  <c r="G437" i="14"/>
  <c r="H437" i="14"/>
  <c r="M437" i="14"/>
  <c r="N437" i="14"/>
  <c r="O437" i="14"/>
  <c r="P437" i="14"/>
  <c r="Q437" i="14"/>
  <c r="F438" i="14"/>
  <c r="G438" i="14"/>
  <c r="H438" i="14"/>
  <c r="M438" i="14"/>
  <c r="N438" i="14"/>
  <c r="O438" i="14"/>
  <c r="P438" i="14"/>
  <c r="Q438" i="14"/>
  <c r="F439" i="14"/>
  <c r="G439" i="14"/>
  <c r="H439" i="14"/>
  <c r="M439" i="14"/>
  <c r="N439" i="14"/>
  <c r="O439" i="14"/>
  <c r="P439" i="14"/>
  <c r="Q439" i="14"/>
  <c r="F440" i="14"/>
  <c r="G440" i="14"/>
  <c r="H440" i="14"/>
  <c r="M440" i="14"/>
  <c r="N440" i="14"/>
  <c r="O440" i="14"/>
  <c r="P440" i="14"/>
  <c r="Q440" i="14"/>
  <c r="F441" i="14"/>
  <c r="G441" i="14"/>
  <c r="H441" i="14"/>
  <c r="M441" i="14"/>
  <c r="N441" i="14"/>
  <c r="O441" i="14"/>
  <c r="P441" i="14"/>
  <c r="Q441" i="14"/>
  <c r="F442" i="14"/>
  <c r="G442" i="14"/>
  <c r="H442" i="14"/>
  <c r="M442" i="14"/>
  <c r="N442" i="14"/>
  <c r="O442" i="14"/>
  <c r="P442" i="14"/>
  <c r="Q442" i="14"/>
  <c r="F443" i="14"/>
  <c r="G443" i="14"/>
  <c r="H443" i="14"/>
  <c r="M443" i="14"/>
  <c r="N443" i="14"/>
  <c r="O443" i="14"/>
  <c r="P443" i="14"/>
  <c r="Q443" i="14"/>
  <c r="F444" i="14"/>
  <c r="G444" i="14"/>
  <c r="H444" i="14"/>
  <c r="M444" i="14"/>
  <c r="N444" i="14"/>
  <c r="O444" i="14"/>
  <c r="P444" i="14"/>
  <c r="Q444" i="14"/>
  <c r="F445" i="14"/>
  <c r="G445" i="14"/>
  <c r="H445" i="14"/>
  <c r="M445" i="14"/>
  <c r="N445" i="14"/>
  <c r="O445" i="14"/>
  <c r="P445" i="14"/>
  <c r="Q445" i="14"/>
  <c r="F446" i="14"/>
  <c r="G446" i="14"/>
  <c r="H446" i="14"/>
  <c r="M446" i="14"/>
  <c r="N446" i="14"/>
  <c r="O446" i="14"/>
  <c r="P446" i="14"/>
  <c r="Q446" i="14"/>
  <c r="F447" i="14"/>
  <c r="G447" i="14"/>
  <c r="H447" i="14"/>
  <c r="M447" i="14"/>
  <c r="N447" i="14"/>
  <c r="O447" i="14"/>
  <c r="P447" i="14"/>
  <c r="Q447" i="14"/>
  <c r="F448" i="14"/>
  <c r="G448" i="14"/>
  <c r="H448" i="14"/>
  <c r="M448" i="14"/>
  <c r="N448" i="14"/>
  <c r="O448" i="14"/>
  <c r="P448" i="14"/>
  <c r="Q448" i="14"/>
  <c r="F449" i="14"/>
  <c r="G449" i="14"/>
  <c r="H449" i="14"/>
  <c r="M449" i="14"/>
  <c r="N449" i="14"/>
  <c r="O449" i="14"/>
  <c r="P449" i="14"/>
  <c r="Q449" i="14"/>
  <c r="F450" i="14"/>
  <c r="G450" i="14"/>
  <c r="H450" i="14"/>
  <c r="M450" i="14"/>
  <c r="N450" i="14"/>
  <c r="O450" i="14"/>
  <c r="P450" i="14"/>
  <c r="Q450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C3" i="14"/>
  <c r="I213" i="14"/>
  <c r="J213" i="14"/>
  <c r="K213" i="14"/>
  <c r="I220" i="14"/>
  <c r="J220" i="14"/>
  <c r="K220" i="14"/>
  <c r="I211" i="14"/>
  <c r="I210" i="14"/>
  <c r="I208" i="14"/>
  <c r="I207" i="14"/>
  <c r="I201" i="14"/>
  <c r="K202" i="14"/>
  <c r="I203" i="14"/>
  <c r="I191" i="14"/>
  <c r="I192" i="14"/>
  <c r="I193" i="14"/>
  <c r="K194" i="14"/>
  <c r="I195" i="14"/>
  <c r="E210" i="14" l="1"/>
  <c r="E202" i="14"/>
  <c r="E194" i="14"/>
  <c r="K212" i="14"/>
  <c r="I202" i="14"/>
  <c r="E211" i="14"/>
  <c r="E203" i="14"/>
  <c r="E195" i="14"/>
  <c r="E193" i="14"/>
  <c r="K211" i="14"/>
  <c r="E212" i="14"/>
  <c r="E204" i="14"/>
  <c r="E196" i="14"/>
  <c r="E205" i="14"/>
  <c r="E207" i="14"/>
  <c r="E191" i="14"/>
  <c r="J211" i="14"/>
  <c r="K210" i="14"/>
  <c r="J210" i="14"/>
  <c r="K204" i="14"/>
  <c r="J212" i="14"/>
  <c r="J191" i="14"/>
  <c r="K196" i="14"/>
  <c r="I194" i="14"/>
  <c r="I205" i="14"/>
  <c r="J202" i="14"/>
  <c r="J194" i="14"/>
  <c r="K191" i="14"/>
  <c r="J204" i="14"/>
  <c r="K201" i="14"/>
  <c r="J196" i="14"/>
  <c r="K193" i="14"/>
  <c r="J201" i="14"/>
  <c r="J193" i="14"/>
  <c r="K203" i="14"/>
  <c r="K195" i="14"/>
  <c r="J203" i="14"/>
  <c r="J195" i="14"/>
  <c r="K192" i="14"/>
  <c r="K205" i="14"/>
  <c r="J192" i="14"/>
  <c r="K208" i="14"/>
  <c r="J208" i="14"/>
  <c r="K207" i="14"/>
  <c r="J207" i="14"/>
  <c r="E197" i="14" l="1"/>
  <c r="E198" i="14"/>
  <c r="E199" i="14"/>
  <c r="E200" i="14"/>
  <c r="I200" i="14" l="1"/>
  <c r="J200" i="14"/>
  <c r="K200" i="14"/>
  <c r="J199" i="14"/>
  <c r="I199" i="14"/>
  <c r="K199" i="14"/>
  <c r="I198" i="14"/>
  <c r="J198" i="14"/>
  <c r="K198" i="14"/>
  <c r="J197" i="14"/>
  <c r="K197" i="14"/>
  <c r="I197" i="14"/>
  <c r="L481" i="14"/>
  <c r="L482" i="14"/>
  <c r="L483" i="14"/>
  <c r="L484" i="14"/>
  <c r="L485" i="14"/>
  <c r="L486" i="14"/>
  <c r="L487" i="14"/>
  <c r="L488" i="14"/>
  <c r="L489" i="14"/>
  <c r="L490" i="14"/>
  <c r="L491" i="14"/>
  <c r="L492" i="14"/>
  <c r="L493" i="14"/>
  <c r="L494" i="14"/>
  <c r="L495" i="14"/>
  <c r="L496" i="14"/>
  <c r="L497" i="14"/>
  <c r="L498" i="14"/>
  <c r="L499" i="14"/>
  <c r="L500" i="14"/>
  <c r="L501" i="14"/>
  <c r="L502" i="14"/>
  <c r="L503" i="14"/>
  <c r="C473" i="14"/>
  <c r="D473" i="14"/>
  <c r="E473" i="14"/>
  <c r="C474" i="14"/>
  <c r="D474" i="14"/>
  <c r="E474" i="14"/>
  <c r="C475" i="14"/>
  <c r="D475" i="14"/>
  <c r="E475" i="14"/>
  <c r="C476" i="14"/>
  <c r="D476" i="14"/>
  <c r="E476" i="14"/>
  <c r="C477" i="14"/>
  <c r="D477" i="14"/>
  <c r="E477" i="14"/>
  <c r="C478" i="14"/>
  <c r="D478" i="14"/>
  <c r="E478" i="14"/>
  <c r="C479" i="14"/>
  <c r="D479" i="14"/>
  <c r="E479" i="14"/>
  <c r="C480" i="14"/>
  <c r="D480" i="14"/>
  <c r="E480" i="14"/>
  <c r="C481" i="14"/>
  <c r="D481" i="14"/>
  <c r="E481" i="14"/>
  <c r="C482" i="14"/>
  <c r="D482" i="14"/>
  <c r="E482" i="14"/>
  <c r="C483" i="14"/>
  <c r="D483" i="14"/>
  <c r="E483" i="14"/>
  <c r="C484" i="14"/>
  <c r="D484" i="14"/>
  <c r="E484" i="14"/>
  <c r="C485" i="14"/>
  <c r="D485" i="14"/>
  <c r="E485" i="14"/>
  <c r="C486" i="14"/>
  <c r="D486" i="14"/>
  <c r="E486" i="14"/>
  <c r="C487" i="14"/>
  <c r="D487" i="14"/>
  <c r="E487" i="14"/>
  <c r="C488" i="14"/>
  <c r="D488" i="14"/>
  <c r="E488" i="14"/>
  <c r="C489" i="14"/>
  <c r="D489" i="14"/>
  <c r="E489" i="14"/>
  <c r="C490" i="14"/>
  <c r="D490" i="14"/>
  <c r="E490" i="14"/>
  <c r="C491" i="14"/>
  <c r="D491" i="14"/>
  <c r="E491" i="14"/>
  <c r="C492" i="14"/>
  <c r="D492" i="14"/>
  <c r="E492" i="14"/>
  <c r="C493" i="14"/>
  <c r="D493" i="14"/>
  <c r="E493" i="14"/>
  <c r="C494" i="14"/>
  <c r="D494" i="14"/>
  <c r="E494" i="14"/>
  <c r="C495" i="14"/>
  <c r="D495" i="14"/>
  <c r="E495" i="14"/>
  <c r="C496" i="14"/>
  <c r="D496" i="14"/>
  <c r="E496" i="14"/>
  <c r="C497" i="14"/>
  <c r="D497" i="14"/>
  <c r="E497" i="14"/>
  <c r="C498" i="14"/>
  <c r="D498" i="14"/>
  <c r="E498" i="14"/>
  <c r="C499" i="14"/>
  <c r="D499" i="14"/>
  <c r="E499" i="14"/>
  <c r="C500" i="14"/>
  <c r="D500" i="14"/>
  <c r="E500" i="14"/>
  <c r="C501" i="14"/>
  <c r="D501" i="14"/>
  <c r="E501" i="14"/>
  <c r="C502" i="14"/>
  <c r="D502" i="14"/>
  <c r="E502" i="14"/>
  <c r="C503" i="14"/>
  <c r="D503" i="14"/>
  <c r="E503" i="14"/>
  <c r="I503" i="14" l="1"/>
  <c r="J503" i="14"/>
  <c r="K503" i="14"/>
  <c r="I495" i="14"/>
  <c r="J495" i="14"/>
  <c r="K495" i="14"/>
  <c r="I487" i="14"/>
  <c r="J487" i="14"/>
  <c r="K487" i="14"/>
  <c r="I479" i="14"/>
  <c r="J479" i="14"/>
  <c r="K479" i="14"/>
  <c r="I473" i="14"/>
  <c r="J473" i="14"/>
  <c r="K473" i="14"/>
  <c r="I492" i="14"/>
  <c r="J492" i="14"/>
  <c r="K492" i="14"/>
  <c r="I476" i="14"/>
  <c r="J476" i="14"/>
  <c r="K476" i="14"/>
  <c r="I489" i="14"/>
  <c r="J489" i="14"/>
  <c r="K489" i="14"/>
  <c r="I481" i="14"/>
  <c r="J481" i="14"/>
  <c r="K481" i="14"/>
  <c r="J502" i="14"/>
  <c r="K502" i="14"/>
  <c r="I502" i="14"/>
  <c r="J494" i="14"/>
  <c r="K494" i="14"/>
  <c r="I494" i="14"/>
  <c r="J486" i="14"/>
  <c r="K486" i="14"/>
  <c r="I486" i="14"/>
  <c r="J478" i="14"/>
  <c r="K478" i="14"/>
  <c r="I478" i="14"/>
  <c r="I498" i="14"/>
  <c r="J498" i="14"/>
  <c r="K498" i="14"/>
  <c r="I500" i="14"/>
  <c r="J500" i="14"/>
  <c r="K500" i="14"/>
  <c r="I484" i="14"/>
  <c r="J484" i="14"/>
  <c r="K484" i="14"/>
  <c r="I497" i="14"/>
  <c r="J497" i="14"/>
  <c r="K497" i="14"/>
  <c r="K491" i="14"/>
  <c r="J491" i="14"/>
  <c r="I491" i="14"/>
  <c r="K483" i="14"/>
  <c r="I483" i="14"/>
  <c r="J483" i="14"/>
  <c r="K475" i="14"/>
  <c r="I475" i="14"/>
  <c r="J475" i="14"/>
  <c r="J496" i="14"/>
  <c r="I496" i="14"/>
  <c r="K496" i="14"/>
  <c r="I488" i="14"/>
  <c r="J488" i="14"/>
  <c r="K488" i="14"/>
  <c r="J480" i="14"/>
  <c r="I480" i="14"/>
  <c r="K480" i="14"/>
  <c r="K499" i="14"/>
  <c r="J499" i="14"/>
  <c r="I499" i="14"/>
  <c r="I501" i="14"/>
  <c r="K501" i="14"/>
  <c r="J501" i="14"/>
  <c r="K493" i="14"/>
  <c r="I493" i="14"/>
  <c r="J493" i="14"/>
  <c r="I485" i="14"/>
  <c r="J485" i="14"/>
  <c r="K485" i="14"/>
  <c r="K477" i="14"/>
  <c r="I477" i="14"/>
  <c r="J477" i="14"/>
  <c r="I490" i="14"/>
  <c r="J490" i="14"/>
  <c r="K490" i="14"/>
  <c r="I482" i="14"/>
  <c r="J482" i="14"/>
  <c r="K482" i="14"/>
  <c r="I474" i="14"/>
  <c r="J474" i="14"/>
  <c r="K474" i="14"/>
  <c r="E184" i="14"/>
  <c r="E183" i="14"/>
  <c r="E182" i="14"/>
  <c r="E181" i="14"/>
  <c r="E180" i="14"/>
  <c r="E179" i="14"/>
  <c r="E178" i="14"/>
  <c r="E186" i="14" l="1"/>
  <c r="E187" i="14"/>
  <c r="E185" i="14"/>
  <c r="I184" i="14"/>
  <c r="J183" i="14"/>
  <c r="I182" i="14"/>
  <c r="J181" i="14"/>
  <c r="I180" i="14"/>
  <c r="I183" i="14"/>
  <c r="K184" i="14"/>
  <c r="I179" i="14"/>
  <c r="K185" i="14" l="1"/>
  <c r="I187" i="14"/>
  <c r="I186" i="14"/>
  <c r="K187" i="14"/>
  <c r="J187" i="14"/>
  <c r="K186" i="14"/>
  <c r="I185" i="14"/>
  <c r="J186" i="14"/>
  <c r="J185" i="14"/>
  <c r="K179" i="14"/>
  <c r="J179" i="14"/>
  <c r="J184" i="14"/>
  <c r="I181" i="14"/>
  <c r="K181" i="14"/>
  <c r="K182" i="14"/>
  <c r="J182" i="14"/>
  <c r="K183" i="14"/>
  <c r="K180" i="14"/>
  <c r="J180" i="14"/>
  <c r="I178" i="14" l="1"/>
  <c r="J178" i="14"/>
  <c r="K178" i="14"/>
  <c r="E119" i="14" l="1"/>
  <c r="E120" i="14"/>
  <c r="E121" i="14"/>
  <c r="E122" i="14"/>
  <c r="I122" i="14" l="1"/>
  <c r="I121" i="14"/>
  <c r="J120" i="14"/>
  <c r="J119" i="14"/>
  <c r="K122" i="14"/>
  <c r="I119" i="14"/>
  <c r="J122" i="14"/>
  <c r="K121" i="14"/>
  <c r="K120" i="14"/>
  <c r="K119" i="14"/>
  <c r="I120" i="14"/>
  <c r="J121" i="14"/>
  <c r="E106" i="14" l="1"/>
  <c r="E105" i="14"/>
  <c r="E104" i="14"/>
  <c r="E103" i="14"/>
  <c r="K105" i="14" l="1"/>
  <c r="K104" i="14"/>
  <c r="E110" i="14"/>
  <c r="I105" i="14"/>
  <c r="I110" i="14"/>
  <c r="J110" i="14"/>
  <c r="K110" i="14"/>
  <c r="J104" i="14"/>
  <c r="I104" i="14"/>
  <c r="J106" i="14"/>
  <c r="K106" i="14"/>
  <c r="E109" i="14"/>
  <c r="I106" i="14"/>
  <c r="E108" i="14"/>
  <c r="I103" i="14"/>
  <c r="J103" i="14"/>
  <c r="K103" i="14"/>
  <c r="J105" i="14"/>
  <c r="E115" i="14"/>
  <c r="E116" i="14"/>
  <c r="E117" i="14"/>
  <c r="E118" i="14"/>
  <c r="E114" i="14"/>
  <c r="I109" i="14" l="1"/>
  <c r="J109" i="14"/>
  <c r="K109" i="14"/>
  <c r="I108" i="14"/>
  <c r="J108" i="14"/>
  <c r="K108" i="14"/>
  <c r="I115" i="14"/>
  <c r="K115" i="14"/>
  <c r="J115" i="14"/>
  <c r="I114" i="14"/>
  <c r="J114" i="14"/>
  <c r="K114" i="14"/>
  <c r="E113" i="14"/>
  <c r="E112" i="14"/>
  <c r="I116" i="14"/>
  <c r="J116" i="14"/>
  <c r="K116" i="14"/>
  <c r="I117" i="14"/>
  <c r="J117" i="14"/>
  <c r="K117" i="14"/>
  <c r="I118" i="14"/>
  <c r="J118" i="14"/>
  <c r="K118" i="14"/>
  <c r="E97" i="14"/>
  <c r="E96" i="14"/>
  <c r="E95" i="14"/>
  <c r="E94" i="14"/>
  <c r="I112" i="14" l="1"/>
  <c r="J112" i="14"/>
  <c r="K112" i="14"/>
  <c r="J113" i="14"/>
  <c r="I113" i="14"/>
  <c r="K113" i="14"/>
  <c r="E100" i="14"/>
  <c r="E99" i="14"/>
  <c r="E101" i="14"/>
  <c r="I101" i="14" l="1"/>
  <c r="K99" i="14"/>
  <c r="I100" i="14"/>
  <c r="J99" i="14"/>
  <c r="K100" i="14"/>
  <c r="J100" i="14"/>
  <c r="I99" i="14"/>
  <c r="J101" i="14"/>
  <c r="K101" i="14"/>
  <c r="I94" i="14" l="1"/>
  <c r="J94" i="14"/>
  <c r="K94" i="14"/>
  <c r="I95" i="14"/>
  <c r="J95" i="14"/>
  <c r="K95" i="14"/>
  <c r="I96" i="14"/>
  <c r="J96" i="14"/>
  <c r="K96" i="14"/>
  <c r="I97" i="14"/>
  <c r="J97" i="14"/>
  <c r="K97" i="14"/>
  <c r="E10" i="14" l="1"/>
  <c r="E189" i="14" l="1"/>
  <c r="J10" i="14"/>
  <c r="K10" i="14"/>
  <c r="I10" i="14"/>
  <c r="E11" i="14"/>
  <c r="E43" i="14"/>
  <c r="I11" i="14" l="1"/>
  <c r="K11" i="14"/>
  <c r="J11" i="14"/>
  <c r="I189" i="14"/>
  <c r="K189" i="14"/>
  <c r="J189" i="14"/>
  <c r="I43" i="14"/>
  <c r="E46" i="14"/>
  <c r="K43" i="14"/>
  <c r="J43" i="14"/>
  <c r="E21" i="14" l="1"/>
  <c r="E37" i="14"/>
  <c r="C470" i="14"/>
  <c r="D470" i="14"/>
  <c r="E470" i="14"/>
  <c r="L470" i="14"/>
  <c r="C471" i="14"/>
  <c r="D471" i="14"/>
  <c r="E471" i="14"/>
  <c r="L471" i="14"/>
  <c r="C472" i="14"/>
  <c r="D472" i="14"/>
  <c r="E472" i="14"/>
  <c r="L472" i="14"/>
  <c r="L473" i="14"/>
  <c r="L474" i="14"/>
  <c r="L475" i="14"/>
  <c r="L476" i="14"/>
  <c r="L477" i="14"/>
  <c r="L478" i="14"/>
  <c r="L479" i="14"/>
  <c r="L480" i="14"/>
  <c r="C452" i="14"/>
  <c r="D452" i="14"/>
  <c r="E452" i="14"/>
  <c r="L452" i="14"/>
  <c r="C453" i="14"/>
  <c r="D453" i="14"/>
  <c r="E453" i="14"/>
  <c r="L453" i="14"/>
  <c r="C454" i="14"/>
  <c r="D454" i="14"/>
  <c r="E454" i="14"/>
  <c r="L454" i="14"/>
  <c r="C455" i="14"/>
  <c r="D455" i="14"/>
  <c r="E455" i="14"/>
  <c r="L455" i="14"/>
  <c r="C456" i="14"/>
  <c r="D456" i="14"/>
  <c r="E456" i="14"/>
  <c r="L456" i="14"/>
  <c r="C457" i="14"/>
  <c r="D457" i="14"/>
  <c r="E457" i="14"/>
  <c r="L457" i="14"/>
  <c r="C458" i="14"/>
  <c r="D458" i="14"/>
  <c r="E458" i="14"/>
  <c r="L458" i="14"/>
  <c r="C459" i="14"/>
  <c r="D459" i="14"/>
  <c r="E459" i="14"/>
  <c r="L459" i="14"/>
  <c r="C460" i="14"/>
  <c r="D460" i="14"/>
  <c r="E460" i="14"/>
  <c r="L460" i="14"/>
  <c r="C461" i="14"/>
  <c r="D461" i="14"/>
  <c r="E461" i="14"/>
  <c r="L461" i="14"/>
  <c r="C462" i="14"/>
  <c r="D462" i="14"/>
  <c r="E462" i="14"/>
  <c r="L462" i="14"/>
  <c r="C463" i="14"/>
  <c r="D463" i="14"/>
  <c r="E463" i="14"/>
  <c r="L463" i="14"/>
  <c r="C464" i="14"/>
  <c r="D464" i="14"/>
  <c r="E464" i="14"/>
  <c r="L464" i="14"/>
  <c r="C465" i="14"/>
  <c r="D465" i="14"/>
  <c r="E465" i="14"/>
  <c r="L465" i="14"/>
  <c r="C466" i="14"/>
  <c r="D466" i="14"/>
  <c r="E466" i="14"/>
  <c r="L466" i="14"/>
  <c r="C467" i="14"/>
  <c r="D467" i="14"/>
  <c r="E467" i="14"/>
  <c r="L467" i="14"/>
  <c r="C468" i="14"/>
  <c r="D468" i="14"/>
  <c r="E468" i="14"/>
  <c r="L468" i="14"/>
  <c r="C469" i="14"/>
  <c r="D469" i="14"/>
  <c r="E469" i="14"/>
  <c r="L469" i="14"/>
  <c r="I46" i="14"/>
  <c r="J46" i="14"/>
  <c r="K46" i="14"/>
  <c r="E36" i="14"/>
  <c r="E39" i="14"/>
  <c r="E40" i="14"/>
  <c r="E41" i="14"/>
  <c r="E42" i="14"/>
  <c r="E47" i="14"/>
  <c r="E48" i="14"/>
  <c r="E49" i="14"/>
  <c r="E50" i="14"/>
  <c r="L451" i="14"/>
  <c r="E451" i="14"/>
  <c r="D451" i="14"/>
  <c r="C451" i="14"/>
  <c r="L450" i="14"/>
  <c r="E450" i="14"/>
  <c r="D450" i="14"/>
  <c r="C450" i="14"/>
  <c r="L449" i="14"/>
  <c r="E449" i="14"/>
  <c r="D449" i="14"/>
  <c r="C449" i="14"/>
  <c r="L448" i="14"/>
  <c r="E448" i="14"/>
  <c r="D448" i="14"/>
  <c r="C448" i="14"/>
  <c r="L447" i="14"/>
  <c r="E447" i="14"/>
  <c r="D447" i="14"/>
  <c r="C447" i="14"/>
  <c r="L446" i="14"/>
  <c r="E446" i="14"/>
  <c r="D446" i="14"/>
  <c r="C446" i="14"/>
  <c r="L445" i="14"/>
  <c r="E445" i="14"/>
  <c r="D445" i="14"/>
  <c r="C445" i="14"/>
  <c r="L444" i="14"/>
  <c r="E444" i="14"/>
  <c r="D444" i="14"/>
  <c r="C444" i="14"/>
  <c r="L443" i="14"/>
  <c r="E443" i="14"/>
  <c r="D443" i="14"/>
  <c r="C443" i="14"/>
  <c r="L442" i="14"/>
  <c r="E442" i="14"/>
  <c r="D442" i="14"/>
  <c r="C442" i="14"/>
  <c r="L441" i="14"/>
  <c r="E441" i="14"/>
  <c r="D441" i="14"/>
  <c r="C441" i="14"/>
  <c r="L440" i="14"/>
  <c r="E440" i="14"/>
  <c r="D440" i="14"/>
  <c r="C440" i="14"/>
  <c r="L439" i="14"/>
  <c r="E439" i="14"/>
  <c r="D439" i="14"/>
  <c r="C439" i="14"/>
  <c r="L438" i="14"/>
  <c r="E438" i="14"/>
  <c r="D438" i="14"/>
  <c r="C438" i="14"/>
  <c r="L437" i="14"/>
  <c r="E437" i="14"/>
  <c r="D437" i="14"/>
  <c r="C437" i="14"/>
  <c r="L436" i="14"/>
  <c r="E436" i="14"/>
  <c r="D436" i="14"/>
  <c r="C436" i="14"/>
  <c r="L435" i="14"/>
  <c r="E435" i="14"/>
  <c r="D435" i="14"/>
  <c r="C435" i="14"/>
  <c r="L434" i="14"/>
  <c r="E434" i="14"/>
  <c r="D434" i="14"/>
  <c r="C434" i="14"/>
  <c r="L433" i="14"/>
  <c r="E433" i="14"/>
  <c r="D433" i="14"/>
  <c r="C433" i="14"/>
  <c r="L432" i="14"/>
  <c r="E432" i="14"/>
  <c r="D432" i="14"/>
  <c r="C432" i="14"/>
  <c r="L431" i="14"/>
  <c r="E431" i="14"/>
  <c r="D431" i="14"/>
  <c r="C431" i="14"/>
  <c r="L430" i="14"/>
  <c r="E430" i="14"/>
  <c r="D430" i="14"/>
  <c r="C430" i="14"/>
  <c r="L429" i="14"/>
  <c r="E429" i="14"/>
  <c r="D429" i="14"/>
  <c r="C429" i="14"/>
  <c r="L428" i="14"/>
  <c r="E428" i="14"/>
  <c r="D428" i="14"/>
  <c r="C428" i="14"/>
  <c r="L427" i="14"/>
  <c r="E427" i="14"/>
  <c r="D427" i="14"/>
  <c r="C427" i="14"/>
  <c r="L426" i="14"/>
  <c r="E426" i="14"/>
  <c r="D426" i="14"/>
  <c r="C426" i="14"/>
  <c r="L425" i="14"/>
  <c r="E425" i="14"/>
  <c r="D425" i="14"/>
  <c r="C425" i="14"/>
  <c r="L424" i="14"/>
  <c r="E424" i="14"/>
  <c r="D424" i="14"/>
  <c r="C424" i="14"/>
  <c r="L423" i="14"/>
  <c r="E423" i="14"/>
  <c r="D423" i="14"/>
  <c r="C423" i="14"/>
  <c r="L422" i="14"/>
  <c r="E422" i="14"/>
  <c r="D422" i="14"/>
  <c r="C422" i="14"/>
  <c r="L421" i="14"/>
  <c r="E421" i="14"/>
  <c r="D421" i="14"/>
  <c r="C421" i="14"/>
  <c r="L420" i="14"/>
  <c r="E420" i="14"/>
  <c r="D420" i="14"/>
  <c r="C420" i="14"/>
  <c r="L419" i="14"/>
  <c r="E419" i="14"/>
  <c r="D419" i="14"/>
  <c r="C419" i="14"/>
  <c r="L418" i="14"/>
  <c r="E418" i="14"/>
  <c r="D418" i="14"/>
  <c r="C418" i="14"/>
  <c r="L417" i="14"/>
  <c r="E417" i="14"/>
  <c r="D417" i="14"/>
  <c r="C417" i="14"/>
  <c r="L416" i="14"/>
  <c r="E416" i="14"/>
  <c r="D416" i="14"/>
  <c r="C416" i="14"/>
  <c r="L415" i="14"/>
  <c r="E415" i="14"/>
  <c r="D415" i="14"/>
  <c r="C415" i="14"/>
  <c r="L414" i="14"/>
  <c r="E414" i="14"/>
  <c r="D414" i="14"/>
  <c r="C414" i="14"/>
  <c r="L413" i="14"/>
  <c r="E413" i="14"/>
  <c r="D413" i="14"/>
  <c r="C413" i="14"/>
  <c r="L412" i="14"/>
  <c r="E412" i="14"/>
  <c r="D412" i="14"/>
  <c r="C412" i="14"/>
  <c r="L411" i="14"/>
  <c r="E411" i="14"/>
  <c r="D411" i="14"/>
  <c r="C411" i="14"/>
  <c r="L410" i="14"/>
  <c r="E410" i="14"/>
  <c r="D410" i="14"/>
  <c r="C410" i="14"/>
  <c r="L409" i="14"/>
  <c r="E409" i="14"/>
  <c r="D409" i="14"/>
  <c r="C409" i="14"/>
  <c r="L408" i="14"/>
  <c r="E408" i="14"/>
  <c r="D408" i="14"/>
  <c r="C408" i="14"/>
  <c r="L407" i="14"/>
  <c r="E407" i="14"/>
  <c r="D407" i="14"/>
  <c r="C407" i="14"/>
  <c r="L406" i="14"/>
  <c r="E406" i="14"/>
  <c r="D406" i="14"/>
  <c r="C406" i="14"/>
  <c r="L405" i="14"/>
  <c r="E405" i="14"/>
  <c r="D405" i="14"/>
  <c r="C405" i="14"/>
  <c r="L404" i="14"/>
  <c r="E404" i="14"/>
  <c r="D404" i="14"/>
  <c r="C404" i="14"/>
  <c r="L403" i="14"/>
  <c r="E403" i="14"/>
  <c r="D403" i="14"/>
  <c r="C403" i="14"/>
  <c r="L402" i="14"/>
  <c r="E402" i="14"/>
  <c r="D402" i="14"/>
  <c r="C402" i="14"/>
  <c r="L401" i="14"/>
  <c r="E401" i="14"/>
  <c r="D401" i="14"/>
  <c r="C401" i="14"/>
  <c r="L400" i="14"/>
  <c r="E400" i="14"/>
  <c r="D400" i="14"/>
  <c r="C400" i="14"/>
  <c r="L399" i="14"/>
  <c r="E399" i="14"/>
  <c r="D399" i="14"/>
  <c r="C399" i="14"/>
  <c r="L398" i="14"/>
  <c r="E398" i="14"/>
  <c r="D398" i="14"/>
  <c r="C398" i="14"/>
  <c r="L397" i="14"/>
  <c r="E397" i="14"/>
  <c r="D397" i="14"/>
  <c r="C397" i="14"/>
  <c r="L396" i="14"/>
  <c r="E396" i="14"/>
  <c r="D396" i="14"/>
  <c r="C396" i="14"/>
  <c r="L395" i="14"/>
  <c r="E395" i="14"/>
  <c r="D395" i="14"/>
  <c r="C395" i="14"/>
  <c r="L394" i="14"/>
  <c r="E394" i="14"/>
  <c r="D394" i="14"/>
  <c r="C394" i="14"/>
  <c r="L393" i="14"/>
  <c r="E393" i="14"/>
  <c r="D393" i="14"/>
  <c r="C393" i="14"/>
  <c r="L392" i="14"/>
  <c r="E392" i="14"/>
  <c r="D392" i="14"/>
  <c r="C392" i="14"/>
  <c r="L391" i="14"/>
  <c r="E391" i="14"/>
  <c r="D391" i="14"/>
  <c r="C391" i="14"/>
  <c r="L390" i="14"/>
  <c r="E390" i="14"/>
  <c r="D390" i="14"/>
  <c r="C390" i="14"/>
  <c r="L389" i="14"/>
  <c r="E389" i="14"/>
  <c r="D389" i="14"/>
  <c r="C389" i="14"/>
  <c r="L388" i="14"/>
  <c r="E388" i="14"/>
  <c r="D388" i="14"/>
  <c r="C388" i="14"/>
  <c r="L387" i="14"/>
  <c r="E387" i="14"/>
  <c r="D387" i="14"/>
  <c r="C387" i="14"/>
  <c r="L386" i="14"/>
  <c r="E386" i="14"/>
  <c r="D386" i="14"/>
  <c r="C386" i="14"/>
  <c r="L385" i="14"/>
  <c r="E385" i="14"/>
  <c r="D385" i="14"/>
  <c r="C385" i="14"/>
  <c r="L384" i="14"/>
  <c r="E384" i="14"/>
  <c r="D384" i="14"/>
  <c r="C384" i="14"/>
  <c r="L383" i="14"/>
  <c r="E383" i="14"/>
  <c r="D383" i="14"/>
  <c r="C383" i="14"/>
  <c r="L382" i="14"/>
  <c r="E382" i="14"/>
  <c r="D382" i="14"/>
  <c r="C382" i="14"/>
  <c r="L381" i="14"/>
  <c r="E381" i="14"/>
  <c r="D381" i="14"/>
  <c r="C381" i="14"/>
  <c r="L380" i="14"/>
  <c r="E380" i="14"/>
  <c r="D380" i="14"/>
  <c r="C380" i="14"/>
  <c r="L379" i="14"/>
  <c r="E379" i="14"/>
  <c r="D379" i="14"/>
  <c r="C379" i="14"/>
  <c r="L378" i="14"/>
  <c r="E378" i="14"/>
  <c r="D378" i="14"/>
  <c r="C378" i="14"/>
  <c r="L377" i="14"/>
  <c r="E377" i="14"/>
  <c r="D377" i="14"/>
  <c r="C377" i="14"/>
  <c r="L376" i="14"/>
  <c r="E376" i="14"/>
  <c r="D376" i="14"/>
  <c r="C376" i="14"/>
  <c r="L375" i="14"/>
  <c r="E375" i="14"/>
  <c r="D375" i="14"/>
  <c r="C375" i="14"/>
  <c r="L374" i="14"/>
  <c r="E374" i="14"/>
  <c r="D374" i="14"/>
  <c r="C374" i="14"/>
  <c r="L373" i="14"/>
  <c r="E373" i="14"/>
  <c r="D373" i="14"/>
  <c r="C373" i="14"/>
  <c r="L372" i="14"/>
  <c r="E372" i="14"/>
  <c r="D372" i="14"/>
  <c r="C372" i="14"/>
  <c r="L371" i="14"/>
  <c r="E371" i="14"/>
  <c r="D371" i="14"/>
  <c r="C371" i="14"/>
  <c r="L370" i="14"/>
  <c r="E370" i="14"/>
  <c r="D370" i="14"/>
  <c r="C370" i="14"/>
  <c r="L369" i="14"/>
  <c r="E369" i="14"/>
  <c r="D369" i="14"/>
  <c r="C369" i="14"/>
  <c r="L368" i="14"/>
  <c r="E368" i="14"/>
  <c r="D368" i="14"/>
  <c r="C368" i="14"/>
  <c r="L367" i="14"/>
  <c r="E367" i="14"/>
  <c r="D367" i="14"/>
  <c r="C367" i="14"/>
  <c r="L366" i="14"/>
  <c r="E366" i="14"/>
  <c r="D366" i="14"/>
  <c r="C366" i="14"/>
  <c r="L365" i="14"/>
  <c r="E365" i="14"/>
  <c r="D365" i="14"/>
  <c r="C365" i="14"/>
  <c r="L364" i="14"/>
  <c r="E364" i="14"/>
  <c r="D364" i="14"/>
  <c r="C364" i="14"/>
  <c r="L363" i="14"/>
  <c r="E363" i="14"/>
  <c r="D363" i="14"/>
  <c r="C363" i="14"/>
  <c r="L362" i="14"/>
  <c r="E362" i="14"/>
  <c r="D362" i="14"/>
  <c r="C362" i="14"/>
  <c r="L361" i="14"/>
  <c r="E361" i="14"/>
  <c r="D361" i="14"/>
  <c r="C361" i="14"/>
  <c r="L360" i="14"/>
  <c r="E360" i="14"/>
  <c r="D360" i="14"/>
  <c r="C360" i="14"/>
  <c r="L359" i="14"/>
  <c r="E359" i="14"/>
  <c r="D359" i="14"/>
  <c r="C359" i="14"/>
  <c r="L358" i="14"/>
  <c r="E358" i="14"/>
  <c r="D358" i="14"/>
  <c r="C358" i="14"/>
  <c r="L357" i="14"/>
  <c r="E357" i="14"/>
  <c r="D357" i="14"/>
  <c r="C357" i="14"/>
  <c r="L356" i="14"/>
  <c r="E356" i="14"/>
  <c r="D356" i="14"/>
  <c r="C356" i="14"/>
  <c r="L355" i="14"/>
  <c r="E355" i="14"/>
  <c r="D355" i="14"/>
  <c r="C355" i="14"/>
  <c r="L354" i="14"/>
  <c r="E354" i="14"/>
  <c r="D354" i="14"/>
  <c r="C354" i="14"/>
  <c r="L353" i="14"/>
  <c r="E353" i="14"/>
  <c r="D353" i="14"/>
  <c r="C353" i="14"/>
  <c r="L352" i="14"/>
  <c r="E352" i="14"/>
  <c r="D352" i="14"/>
  <c r="C352" i="14"/>
  <c r="L351" i="14"/>
  <c r="E351" i="14"/>
  <c r="D351" i="14"/>
  <c r="C351" i="14"/>
  <c r="L350" i="14"/>
  <c r="E350" i="14"/>
  <c r="D350" i="14"/>
  <c r="C350" i="14"/>
  <c r="L349" i="14"/>
  <c r="E349" i="14"/>
  <c r="D349" i="14"/>
  <c r="C349" i="14"/>
  <c r="L348" i="14"/>
  <c r="E348" i="14"/>
  <c r="D348" i="14"/>
  <c r="C348" i="14"/>
  <c r="L347" i="14"/>
  <c r="E347" i="14"/>
  <c r="D347" i="14"/>
  <c r="C347" i="14"/>
  <c r="L346" i="14"/>
  <c r="E346" i="14"/>
  <c r="D346" i="14"/>
  <c r="C346" i="14"/>
  <c r="L345" i="14"/>
  <c r="E345" i="14"/>
  <c r="D345" i="14"/>
  <c r="C345" i="14"/>
  <c r="L344" i="14"/>
  <c r="E344" i="14"/>
  <c r="D344" i="14"/>
  <c r="C344" i="14"/>
  <c r="L343" i="14"/>
  <c r="E343" i="14"/>
  <c r="D343" i="14"/>
  <c r="C343" i="14"/>
  <c r="L342" i="14"/>
  <c r="E342" i="14"/>
  <c r="D342" i="14"/>
  <c r="C342" i="14"/>
  <c r="L341" i="14"/>
  <c r="E341" i="14"/>
  <c r="D341" i="14"/>
  <c r="C341" i="14"/>
  <c r="L340" i="14"/>
  <c r="E340" i="14"/>
  <c r="D340" i="14"/>
  <c r="C340" i="14"/>
  <c r="L339" i="14"/>
  <c r="E339" i="14"/>
  <c r="D339" i="14"/>
  <c r="C339" i="14"/>
  <c r="L338" i="14"/>
  <c r="E338" i="14"/>
  <c r="D338" i="14"/>
  <c r="C338" i="14"/>
  <c r="L337" i="14"/>
  <c r="E337" i="14"/>
  <c r="D337" i="14"/>
  <c r="C337" i="14"/>
  <c r="L336" i="14"/>
  <c r="E336" i="14"/>
  <c r="D336" i="14"/>
  <c r="C336" i="14"/>
  <c r="L335" i="14"/>
  <c r="E335" i="14"/>
  <c r="D335" i="14"/>
  <c r="C335" i="14"/>
  <c r="L334" i="14"/>
  <c r="E334" i="14"/>
  <c r="D334" i="14"/>
  <c r="C334" i="14"/>
  <c r="L333" i="14"/>
  <c r="E333" i="14"/>
  <c r="D333" i="14"/>
  <c r="C333" i="14"/>
  <c r="L332" i="14"/>
  <c r="E332" i="14"/>
  <c r="D332" i="14"/>
  <c r="C332" i="14"/>
  <c r="L331" i="14"/>
  <c r="E331" i="14"/>
  <c r="D331" i="14"/>
  <c r="C331" i="14"/>
  <c r="L330" i="14"/>
  <c r="E330" i="14"/>
  <c r="D330" i="14"/>
  <c r="C330" i="14"/>
  <c r="L329" i="14"/>
  <c r="E329" i="14"/>
  <c r="D329" i="14"/>
  <c r="C329" i="14"/>
  <c r="L328" i="14"/>
  <c r="E328" i="14"/>
  <c r="D328" i="14"/>
  <c r="C328" i="14"/>
  <c r="L327" i="14"/>
  <c r="E327" i="14"/>
  <c r="D327" i="14"/>
  <c r="C327" i="14"/>
  <c r="L326" i="14"/>
  <c r="E326" i="14"/>
  <c r="D326" i="14"/>
  <c r="C326" i="14"/>
  <c r="L325" i="14"/>
  <c r="E325" i="14"/>
  <c r="D325" i="14"/>
  <c r="C325" i="14"/>
  <c r="L324" i="14"/>
  <c r="E324" i="14"/>
  <c r="D324" i="14"/>
  <c r="C324" i="14"/>
  <c r="L323" i="14"/>
  <c r="E323" i="14"/>
  <c r="D323" i="14"/>
  <c r="C323" i="14"/>
  <c r="L322" i="14"/>
  <c r="E322" i="14"/>
  <c r="D322" i="14"/>
  <c r="C322" i="14"/>
  <c r="L321" i="14"/>
  <c r="E321" i="14"/>
  <c r="D321" i="14"/>
  <c r="C321" i="14"/>
  <c r="L320" i="14"/>
  <c r="E320" i="14"/>
  <c r="D320" i="14"/>
  <c r="C320" i="14"/>
  <c r="L319" i="14"/>
  <c r="E319" i="14"/>
  <c r="D319" i="14"/>
  <c r="C319" i="14"/>
  <c r="L318" i="14"/>
  <c r="E318" i="14"/>
  <c r="D318" i="14"/>
  <c r="C318" i="14"/>
  <c r="L317" i="14"/>
  <c r="E317" i="14"/>
  <c r="D317" i="14"/>
  <c r="C317" i="14"/>
  <c r="L316" i="14"/>
  <c r="E316" i="14"/>
  <c r="D316" i="14"/>
  <c r="C316" i="14"/>
  <c r="L315" i="14"/>
  <c r="E315" i="14"/>
  <c r="D315" i="14"/>
  <c r="C315" i="14"/>
  <c r="L314" i="14"/>
  <c r="E314" i="14"/>
  <c r="D314" i="14"/>
  <c r="C314" i="14"/>
  <c r="L313" i="14"/>
  <c r="E313" i="14"/>
  <c r="D313" i="14"/>
  <c r="C313" i="14"/>
  <c r="L312" i="14"/>
  <c r="E312" i="14"/>
  <c r="D312" i="14"/>
  <c r="C312" i="14"/>
  <c r="L311" i="14"/>
  <c r="E311" i="14"/>
  <c r="D311" i="14"/>
  <c r="C311" i="14"/>
  <c r="L310" i="14"/>
  <c r="E310" i="14"/>
  <c r="D310" i="14"/>
  <c r="C310" i="14"/>
  <c r="L309" i="14"/>
  <c r="E309" i="14"/>
  <c r="D309" i="14"/>
  <c r="C309" i="14"/>
  <c r="L308" i="14"/>
  <c r="E308" i="14"/>
  <c r="D308" i="14"/>
  <c r="C308" i="14"/>
  <c r="L307" i="14"/>
  <c r="E307" i="14"/>
  <c r="D307" i="14"/>
  <c r="C307" i="14"/>
  <c r="L306" i="14"/>
  <c r="E306" i="14"/>
  <c r="D306" i="14"/>
  <c r="C306" i="14"/>
  <c r="L305" i="14"/>
  <c r="E305" i="14"/>
  <c r="D305" i="14"/>
  <c r="C305" i="14"/>
  <c r="L304" i="14"/>
  <c r="E304" i="14"/>
  <c r="D304" i="14"/>
  <c r="C304" i="14"/>
  <c r="L303" i="14"/>
  <c r="E303" i="14"/>
  <c r="D303" i="14"/>
  <c r="C303" i="14"/>
  <c r="L302" i="14"/>
  <c r="E302" i="14"/>
  <c r="D302" i="14"/>
  <c r="C302" i="14"/>
  <c r="L301" i="14"/>
  <c r="E301" i="14"/>
  <c r="D301" i="14"/>
  <c r="C301" i="14"/>
  <c r="L300" i="14"/>
  <c r="E300" i="14"/>
  <c r="D300" i="14"/>
  <c r="C300" i="14"/>
  <c r="L299" i="14"/>
  <c r="E299" i="14"/>
  <c r="D299" i="14"/>
  <c r="C299" i="14"/>
  <c r="L298" i="14"/>
  <c r="E298" i="14"/>
  <c r="D298" i="14"/>
  <c r="C298" i="14"/>
  <c r="L297" i="14"/>
  <c r="E297" i="14"/>
  <c r="D297" i="14"/>
  <c r="C297" i="14"/>
  <c r="L296" i="14"/>
  <c r="E296" i="14"/>
  <c r="D296" i="14"/>
  <c r="C296" i="14"/>
  <c r="L295" i="14"/>
  <c r="E295" i="14"/>
  <c r="D295" i="14"/>
  <c r="C295" i="14"/>
  <c r="L294" i="14"/>
  <c r="E294" i="14"/>
  <c r="D294" i="14"/>
  <c r="C294" i="14"/>
  <c r="L293" i="14"/>
  <c r="E293" i="14"/>
  <c r="D293" i="14"/>
  <c r="C293" i="14"/>
  <c r="L292" i="14"/>
  <c r="E292" i="14"/>
  <c r="D292" i="14"/>
  <c r="C292" i="14"/>
  <c r="L291" i="14"/>
  <c r="E291" i="14"/>
  <c r="D291" i="14"/>
  <c r="C291" i="14"/>
  <c r="L290" i="14"/>
  <c r="E290" i="14"/>
  <c r="D290" i="14"/>
  <c r="C290" i="14"/>
  <c r="L289" i="14"/>
  <c r="E289" i="14"/>
  <c r="D289" i="14"/>
  <c r="C289" i="14"/>
  <c r="L288" i="14"/>
  <c r="E288" i="14"/>
  <c r="D288" i="14"/>
  <c r="C288" i="14"/>
  <c r="L287" i="14"/>
  <c r="E287" i="14"/>
  <c r="D287" i="14"/>
  <c r="C287" i="14"/>
  <c r="L286" i="14"/>
  <c r="E286" i="14"/>
  <c r="D286" i="14"/>
  <c r="C286" i="14"/>
  <c r="L285" i="14"/>
  <c r="E285" i="14"/>
  <c r="D285" i="14"/>
  <c r="C285" i="14"/>
  <c r="L284" i="14"/>
  <c r="E284" i="14"/>
  <c r="D284" i="14"/>
  <c r="C284" i="14"/>
  <c r="L283" i="14"/>
  <c r="E283" i="14"/>
  <c r="D283" i="14"/>
  <c r="C283" i="14"/>
  <c r="L282" i="14"/>
  <c r="E282" i="14"/>
  <c r="D282" i="14"/>
  <c r="C282" i="14"/>
  <c r="L281" i="14"/>
  <c r="D281" i="14"/>
  <c r="C281" i="14"/>
  <c r="L280" i="14"/>
  <c r="D280" i="14"/>
  <c r="C280" i="14"/>
  <c r="L279" i="14"/>
  <c r="D279" i="14"/>
  <c r="C279" i="14"/>
  <c r="L278" i="14"/>
  <c r="D278" i="14"/>
  <c r="C278" i="14"/>
  <c r="L277" i="14"/>
  <c r="D277" i="14"/>
  <c r="C277" i="14"/>
  <c r="L276" i="14"/>
  <c r="D276" i="14"/>
  <c r="C276" i="14"/>
  <c r="L275" i="14"/>
  <c r="E275" i="14"/>
  <c r="D275" i="14"/>
  <c r="C275" i="14"/>
  <c r="L274" i="14"/>
  <c r="E274" i="14"/>
  <c r="D274" i="14"/>
  <c r="C274" i="14"/>
  <c r="L273" i="14"/>
  <c r="E273" i="14"/>
  <c r="D273" i="14"/>
  <c r="C273" i="14"/>
  <c r="L272" i="14"/>
  <c r="E272" i="14"/>
  <c r="D272" i="14"/>
  <c r="C272" i="14"/>
  <c r="L271" i="14"/>
  <c r="E271" i="14"/>
  <c r="D271" i="14"/>
  <c r="C271" i="14"/>
  <c r="L270" i="14"/>
  <c r="E270" i="14"/>
  <c r="D270" i="14"/>
  <c r="C270" i="14"/>
  <c r="L269" i="14"/>
  <c r="E269" i="14"/>
  <c r="D269" i="14"/>
  <c r="C269" i="14"/>
  <c r="L268" i="14"/>
  <c r="E268" i="14"/>
  <c r="D268" i="14"/>
  <c r="C268" i="14"/>
  <c r="L267" i="14"/>
  <c r="E267" i="14"/>
  <c r="D267" i="14"/>
  <c r="C267" i="14"/>
  <c r="L266" i="14"/>
  <c r="E266" i="14"/>
  <c r="D266" i="14"/>
  <c r="C266" i="14"/>
  <c r="L265" i="14"/>
  <c r="E265" i="14"/>
  <c r="D265" i="14"/>
  <c r="C265" i="14"/>
  <c r="L264" i="14"/>
  <c r="E264" i="14"/>
  <c r="D264" i="14"/>
  <c r="C264" i="14"/>
  <c r="L263" i="14"/>
  <c r="E263" i="14"/>
  <c r="D263" i="14"/>
  <c r="C263" i="14"/>
  <c r="L262" i="14"/>
  <c r="E262" i="14"/>
  <c r="D262" i="14"/>
  <c r="C262" i="14"/>
  <c r="L261" i="14"/>
  <c r="E261" i="14"/>
  <c r="D261" i="14"/>
  <c r="C261" i="14"/>
  <c r="L260" i="14"/>
  <c r="E260" i="14"/>
  <c r="D260" i="14"/>
  <c r="C260" i="14"/>
  <c r="L259" i="14"/>
  <c r="E259" i="14"/>
  <c r="D259" i="14"/>
  <c r="C259" i="14"/>
  <c r="L258" i="14"/>
  <c r="E258" i="14"/>
  <c r="D258" i="14"/>
  <c r="C258" i="14"/>
  <c r="L257" i="14"/>
  <c r="E257" i="14"/>
  <c r="D257" i="14"/>
  <c r="C257" i="14"/>
  <c r="L256" i="14"/>
  <c r="E256" i="14"/>
  <c r="D256" i="14"/>
  <c r="C256" i="14"/>
  <c r="L255" i="14"/>
  <c r="E255" i="14"/>
  <c r="D255" i="14"/>
  <c r="C255" i="14"/>
  <c r="L254" i="14"/>
  <c r="E254" i="14"/>
  <c r="D254" i="14"/>
  <c r="C254" i="14"/>
  <c r="L253" i="14"/>
  <c r="E253" i="14"/>
  <c r="D253" i="14"/>
  <c r="C253" i="14"/>
  <c r="L252" i="14"/>
  <c r="E252" i="14"/>
  <c r="D252" i="14"/>
  <c r="C252" i="14"/>
  <c r="L251" i="14"/>
  <c r="E251" i="14"/>
  <c r="D251" i="14"/>
  <c r="C251" i="14"/>
  <c r="L250" i="14"/>
  <c r="E250" i="14"/>
  <c r="D250" i="14"/>
  <c r="C250" i="14"/>
  <c r="L249" i="14"/>
  <c r="E249" i="14"/>
  <c r="D249" i="14"/>
  <c r="C249" i="14"/>
  <c r="L248" i="14"/>
  <c r="E248" i="14"/>
  <c r="D248" i="14"/>
  <c r="C248" i="14"/>
  <c r="L247" i="14"/>
  <c r="E247" i="14"/>
  <c r="D247" i="14"/>
  <c r="C247" i="14"/>
  <c r="L246" i="14"/>
  <c r="E246" i="14"/>
  <c r="D246" i="14"/>
  <c r="C246" i="14"/>
  <c r="L245" i="14"/>
  <c r="E245" i="14"/>
  <c r="D245" i="14"/>
  <c r="C245" i="14"/>
  <c r="L244" i="14"/>
  <c r="E244" i="14"/>
  <c r="C244" i="14"/>
  <c r="L243" i="14"/>
  <c r="E243" i="14"/>
  <c r="D243" i="14"/>
  <c r="C243" i="14"/>
  <c r="L242" i="14"/>
  <c r="E242" i="14"/>
  <c r="D242" i="14"/>
  <c r="C242" i="14"/>
  <c r="L241" i="14"/>
  <c r="E241" i="14"/>
  <c r="D241" i="14"/>
  <c r="C241" i="14"/>
  <c r="L240" i="14"/>
  <c r="E240" i="14"/>
  <c r="D240" i="14"/>
  <c r="C240" i="14"/>
  <c r="L239" i="14"/>
  <c r="E239" i="14"/>
  <c r="D239" i="14"/>
  <c r="C239" i="14"/>
  <c r="L238" i="14"/>
  <c r="E238" i="14"/>
  <c r="D238" i="14"/>
  <c r="C238" i="14"/>
  <c r="L237" i="14"/>
  <c r="E237" i="14"/>
  <c r="D237" i="14"/>
  <c r="C237" i="14"/>
  <c r="L236" i="14"/>
  <c r="E236" i="14"/>
  <c r="D236" i="14"/>
  <c r="C236" i="14"/>
  <c r="L235" i="14"/>
  <c r="E235" i="14"/>
  <c r="D235" i="14"/>
  <c r="C235" i="14"/>
  <c r="L234" i="14"/>
  <c r="E234" i="14"/>
  <c r="D234" i="14"/>
  <c r="C234" i="14"/>
  <c r="L233" i="14"/>
  <c r="E233" i="14"/>
  <c r="D233" i="14"/>
  <c r="C233" i="14"/>
  <c r="L232" i="14"/>
  <c r="E232" i="14"/>
  <c r="D232" i="14"/>
  <c r="C232" i="14"/>
  <c r="L231" i="14"/>
  <c r="E231" i="14"/>
  <c r="D231" i="14"/>
  <c r="C231" i="14"/>
  <c r="L230" i="14"/>
  <c r="E230" i="14"/>
  <c r="D230" i="14"/>
  <c r="C230" i="14"/>
  <c r="L229" i="14"/>
  <c r="E229" i="14"/>
  <c r="D229" i="14"/>
  <c r="C229" i="14"/>
  <c r="L228" i="14"/>
  <c r="E228" i="14"/>
  <c r="D228" i="14"/>
  <c r="C228" i="14"/>
  <c r="L227" i="14"/>
  <c r="E227" i="14"/>
  <c r="D227" i="14"/>
  <c r="C227" i="14"/>
  <c r="L226" i="14"/>
  <c r="E226" i="14"/>
  <c r="D226" i="14"/>
  <c r="C226" i="14"/>
  <c r="L225" i="14"/>
  <c r="E225" i="14"/>
  <c r="D225" i="14"/>
  <c r="C225" i="14"/>
  <c r="L224" i="14"/>
  <c r="E224" i="14"/>
  <c r="D224" i="14"/>
  <c r="C224" i="14"/>
  <c r="L223" i="14"/>
  <c r="E223" i="14"/>
  <c r="D223" i="14"/>
  <c r="C223" i="14"/>
  <c r="L222" i="14"/>
  <c r="E222" i="14"/>
  <c r="D222" i="14"/>
  <c r="C222" i="14"/>
  <c r="L221" i="14"/>
  <c r="E221" i="14"/>
  <c r="D221" i="14"/>
  <c r="C221" i="14"/>
  <c r="H13" i="13" l="1"/>
  <c r="H14" i="13"/>
  <c r="E215" i="14"/>
  <c r="E277" i="14"/>
  <c r="E217" i="14"/>
  <c r="E279" i="14"/>
  <c r="E219" i="14"/>
  <c r="E281" i="14"/>
  <c r="E214" i="14"/>
  <c r="E276" i="14"/>
  <c r="E216" i="14"/>
  <c r="E278" i="14"/>
  <c r="E218" i="14"/>
  <c r="E280" i="14"/>
  <c r="K21" i="14"/>
  <c r="E75" i="14"/>
  <c r="E18" i="14"/>
  <c r="I21" i="14"/>
  <c r="E76" i="14"/>
  <c r="E5" i="14"/>
  <c r="J21" i="14"/>
  <c r="E77" i="14"/>
  <c r="E4" i="14"/>
  <c r="I215" i="14"/>
  <c r="J215" i="14"/>
  <c r="K215" i="14"/>
  <c r="J217" i="14"/>
  <c r="I217" i="14"/>
  <c r="K217" i="14"/>
  <c r="K219" i="14"/>
  <c r="K221" i="14"/>
  <c r="I221" i="14"/>
  <c r="J221" i="14"/>
  <c r="J227" i="14"/>
  <c r="I227" i="14"/>
  <c r="K227" i="14"/>
  <c r="J235" i="14"/>
  <c r="I235" i="14"/>
  <c r="K235" i="14"/>
  <c r="I223" i="14"/>
  <c r="J223" i="14"/>
  <c r="K223" i="14"/>
  <c r="I231" i="14"/>
  <c r="J231" i="14"/>
  <c r="K231" i="14"/>
  <c r="J225" i="14"/>
  <c r="K225" i="14"/>
  <c r="I225" i="14"/>
  <c r="J233" i="14"/>
  <c r="K233" i="14"/>
  <c r="I233" i="14"/>
  <c r="I229" i="14"/>
  <c r="K229" i="14"/>
  <c r="J229" i="14"/>
  <c r="I214" i="14"/>
  <c r="I216" i="14"/>
  <c r="K216" i="14"/>
  <c r="J216" i="14"/>
  <c r="I218" i="14"/>
  <c r="J218" i="14"/>
  <c r="K218" i="14"/>
  <c r="I222" i="14"/>
  <c r="K222" i="14"/>
  <c r="J222" i="14"/>
  <c r="K224" i="14"/>
  <c r="I224" i="14"/>
  <c r="J224" i="14"/>
  <c r="I226" i="14"/>
  <c r="J226" i="14"/>
  <c r="K226" i="14"/>
  <c r="I228" i="14"/>
  <c r="J228" i="14"/>
  <c r="K228" i="14"/>
  <c r="I230" i="14"/>
  <c r="K230" i="14"/>
  <c r="J230" i="14"/>
  <c r="K232" i="14"/>
  <c r="I232" i="14"/>
  <c r="J232" i="14"/>
  <c r="J234" i="14"/>
  <c r="I234" i="14"/>
  <c r="K234" i="14"/>
  <c r="I236" i="14"/>
  <c r="J236" i="14"/>
  <c r="K236" i="14"/>
  <c r="K467" i="14"/>
  <c r="J467" i="14"/>
  <c r="I467" i="14"/>
  <c r="K459" i="14"/>
  <c r="I459" i="14"/>
  <c r="J459" i="14"/>
  <c r="I453" i="14"/>
  <c r="J453" i="14"/>
  <c r="K453" i="14"/>
  <c r="K255" i="14"/>
  <c r="J255" i="14"/>
  <c r="I255" i="14"/>
  <c r="K263" i="14"/>
  <c r="J263" i="14"/>
  <c r="I263" i="14"/>
  <c r="I273" i="14"/>
  <c r="K273" i="14"/>
  <c r="J273" i="14"/>
  <c r="I285" i="14"/>
  <c r="J285" i="14"/>
  <c r="K285" i="14"/>
  <c r="I297" i="14"/>
  <c r="J297" i="14"/>
  <c r="K297" i="14"/>
  <c r="I309" i="14"/>
  <c r="J309" i="14"/>
  <c r="K309" i="14"/>
  <c r="I321" i="14"/>
  <c r="J321" i="14"/>
  <c r="K321" i="14"/>
  <c r="K335" i="14"/>
  <c r="J335" i="14"/>
  <c r="I335" i="14"/>
  <c r="I347" i="14"/>
  <c r="J347" i="14"/>
  <c r="K347" i="14"/>
  <c r="K359" i="14"/>
  <c r="J359" i="14"/>
  <c r="I359" i="14"/>
  <c r="I369" i="14"/>
  <c r="K369" i="14"/>
  <c r="J369" i="14"/>
  <c r="I381" i="14"/>
  <c r="J381" i="14"/>
  <c r="K381" i="14"/>
  <c r="K391" i="14"/>
  <c r="J391" i="14"/>
  <c r="I391" i="14"/>
  <c r="I403" i="14"/>
  <c r="J403" i="14"/>
  <c r="K403" i="14"/>
  <c r="K415" i="14"/>
  <c r="J415" i="14"/>
  <c r="I415" i="14"/>
  <c r="I425" i="14"/>
  <c r="J425" i="14"/>
  <c r="K425" i="14"/>
  <c r="J441" i="14"/>
  <c r="I441" i="14"/>
  <c r="K441" i="14"/>
  <c r="I240" i="14"/>
  <c r="J240" i="14"/>
  <c r="K240" i="14"/>
  <c r="J242" i="14"/>
  <c r="K242" i="14"/>
  <c r="I242" i="14"/>
  <c r="I461" i="14"/>
  <c r="J461" i="14"/>
  <c r="K461" i="14"/>
  <c r="J472" i="14"/>
  <c r="I472" i="14"/>
  <c r="K472" i="14"/>
  <c r="I251" i="14"/>
  <c r="J251" i="14"/>
  <c r="K251" i="14"/>
  <c r="I261" i="14"/>
  <c r="J261" i="14"/>
  <c r="K261" i="14"/>
  <c r="K271" i="14"/>
  <c r="J271" i="14"/>
  <c r="I271" i="14"/>
  <c r="I283" i="14"/>
  <c r="J283" i="14"/>
  <c r="K283" i="14"/>
  <c r="I291" i="14"/>
  <c r="J291" i="14"/>
  <c r="K291" i="14"/>
  <c r="I299" i="14"/>
  <c r="J299" i="14"/>
  <c r="K299" i="14"/>
  <c r="I307" i="14"/>
  <c r="J307" i="14"/>
  <c r="K307" i="14"/>
  <c r="I323" i="14"/>
  <c r="J323" i="14"/>
  <c r="K323" i="14"/>
  <c r="I339" i="14"/>
  <c r="J339" i="14"/>
  <c r="K339" i="14"/>
  <c r="I353" i="14"/>
  <c r="J353" i="14"/>
  <c r="K353" i="14"/>
  <c r="K367" i="14"/>
  <c r="J367" i="14"/>
  <c r="I367" i="14"/>
  <c r="I379" i="14"/>
  <c r="J379" i="14"/>
  <c r="K379" i="14"/>
  <c r="I389" i="14"/>
  <c r="J389" i="14"/>
  <c r="K389" i="14"/>
  <c r="I397" i="14"/>
  <c r="J397" i="14"/>
  <c r="K397" i="14"/>
  <c r="I409" i="14"/>
  <c r="K409" i="14"/>
  <c r="J409" i="14"/>
  <c r="K423" i="14"/>
  <c r="J423" i="14"/>
  <c r="I423" i="14"/>
  <c r="K439" i="14"/>
  <c r="J439" i="14"/>
  <c r="I439" i="14"/>
  <c r="I451" i="14"/>
  <c r="J451" i="14"/>
  <c r="K451" i="14"/>
  <c r="I237" i="14"/>
  <c r="J237" i="14"/>
  <c r="K237" i="14"/>
  <c r="K239" i="14"/>
  <c r="J239" i="14"/>
  <c r="I239" i="14"/>
  <c r="I243" i="14"/>
  <c r="J243" i="14"/>
  <c r="K243" i="14"/>
  <c r="I469" i="14"/>
  <c r="K469" i="14"/>
  <c r="J469" i="14"/>
  <c r="I249" i="14"/>
  <c r="K249" i="14"/>
  <c r="J249" i="14"/>
  <c r="I265" i="14"/>
  <c r="J265" i="14"/>
  <c r="K265" i="14"/>
  <c r="K279" i="14"/>
  <c r="J279" i="14"/>
  <c r="I279" i="14"/>
  <c r="K295" i="14"/>
  <c r="J295" i="14"/>
  <c r="I295" i="14"/>
  <c r="K311" i="14"/>
  <c r="J311" i="14"/>
  <c r="I311" i="14"/>
  <c r="I329" i="14"/>
  <c r="J329" i="14"/>
  <c r="K329" i="14"/>
  <c r="K343" i="14"/>
  <c r="J343" i="14"/>
  <c r="I343" i="14"/>
  <c r="I357" i="14"/>
  <c r="J357" i="14"/>
  <c r="K357" i="14"/>
  <c r="I371" i="14"/>
  <c r="J371" i="14"/>
  <c r="K371" i="14"/>
  <c r="K383" i="14"/>
  <c r="J383" i="14"/>
  <c r="I383" i="14"/>
  <c r="I395" i="14"/>
  <c r="J395" i="14"/>
  <c r="K395" i="14"/>
  <c r="K407" i="14"/>
  <c r="J407" i="14"/>
  <c r="I407" i="14"/>
  <c r="I413" i="14"/>
  <c r="J413" i="14"/>
  <c r="K413" i="14"/>
  <c r="I427" i="14"/>
  <c r="J427" i="14"/>
  <c r="K427" i="14"/>
  <c r="I433" i="14"/>
  <c r="J433" i="14"/>
  <c r="K433" i="14"/>
  <c r="K447" i="14"/>
  <c r="J447" i="14"/>
  <c r="I447" i="14"/>
  <c r="I241" i="14"/>
  <c r="K241" i="14"/>
  <c r="J241" i="14"/>
  <c r="I463" i="14"/>
  <c r="J463" i="14"/>
  <c r="K463" i="14"/>
  <c r="I455" i="14"/>
  <c r="J455" i="14"/>
  <c r="K455" i="14"/>
  <c r="K247" i="14"/>
  <c r="J247" i="14"/>
  <c r="I247" i="14"/>
  <c r="I259" i="14"/>
  <c r="J259" i="14"/>
  <c r="K259" i="14"/>
  <c r="I275" i="14"/>
  <c r="J275" i="14"/>
  <c r="K275" i="14"/>
  <c r="I289" i="14"/>
  <c r="J289" i="14"/>
  <c r="K289" i="14"/>
  <c r="I301" i="14"/>
  <c r="J301" i="14"/>
  <c r="K301" i="14"/>
  <c r="I313" i="14"/>
  <c r="J313" i="14"/>
  <c r="K313" i="14"/>
  <c r="I325" i="14"/>
  <c r="J325" i="14"/>
  <c r="K325" i="14"/>
  <c r="I333" i="14"/>
  <c r="J333" i="14"/>
  <c r="K333" i="14"/>
  <c r="I345" i="14"/>
  <c r="K345" i="14"/>
  <c r="J345" i="14"/>
  <c r="K351" i="14"/>
  <c r="J351" i="14"/>
  <c r="I351" i="14"/>
  <c r="I361" i="14"/>
  <c r="J361" i="14"/>
  <c r="K361" i="14"/>
  <c r="I373" i="14"/>
  <c r="J373" i="14"/>
  <c r="K373" i="14"/>
  <c r="I385" i="14"/>
  <c r="J385" i="14"/>
  <c r="K385" i="14"/>
  <c r="I401" i="14"/>
  <c r="K401" i="14"/>
  <c r="J401" i="14"/>
  <c r="I417" i="14"/>
  <c r="J417" i="14"/>
  <c r="K417" i="14"/>
  <c r="I429" i="14"/>
  <c r="J429" i="14"/>
  <c r="K429" i="14"/>
  <c r="I443" i="14"/>
  <c r="J443" i="14"/>
  <c r="K443" i="14"/>
  <c r="I468" i="14"/>
  <c r="J468" i="14"/>
  <c r="K468" i="14"/>
  <c r="I466" i="14"/>
  <c r="J466" i="14"/>
  <c r="K466" i="14"/>
  <c r="J464" i="14"/>
  <c r="I464" i="14"/>
  <c r="K464" i="14"/>
  <c r="J462" i="14"/>
  <c r="K462" i="14"/>
  <c r="I462" i="14"/>
  <c r="I460" i="14"/>
  <c r="J460" i="14"/>
  <c r="K460" i="14"/>
  <c r="I458" i="14"/>
  <c r="J458" i="14"/>
  <c r="K458" i="14"/>
  <c r="I456" i="14"/>
  <c r="J456" i="14"/>
  <c r="K456" i="14"/>
  <c r="I454" i="14"/>
  <c r="J454" i="14"/>
  <c r="K454" i="14"/>
  <c r="K452" i="14"/>
  <c r="I452" i="14"/>
  <c r="J452" i="14"/>
  <c r="I471" i="14"/>
  <c r="J471" i="14"/>
  <c r="K471" i="14"/>
  <c r="I457" i="14"/>
  <c r="J457" i="14"/>
  <c r="K457" i="14"/>
  <c r="I253" i="14"/>
  <c r="J253" i="14"/>
  <c r="K253" i="14"/>
  <c r="I269" i="14"/>
  <c r="J269" i="14"/>
  <c r="K269" i="14"/>
  <c r="I281" i="14"/>
  <c r="K281" i="14"/>
  <c r="J281" i="14"/>
  <c r="I293" i="14"/>
  <c r="J293" i="14"/>
  <c r="K293" i="14"/>
  <c r="I305" i="14"/>
  <c r="K305" i="14"/>
  <c r="J305" i="14"/>
  <c r="I315" i="14"/>
  <c r="J315" i="14"/>
  <c r="K315" i="14"/>
  <c r="S16" i="13" s="1"/>
  <c r="K319" i="14"/>
  <c r="J319" i="14"/>
  <c r="I319" i="14"/>
  <c r="I331" i="14"/>
  <c r="J331" i="14"/>
  <c r="K331" i="14"/>
  <c r="I341" i="14"/>
  <c r="J341" i="14"/>
  <c r="K341" i="14"/>
  <c r="I349" i="14"/>
  <c r="J349" i="14"/>
  <c r="K349" i="14"/>
  <c r="I363" i="14"/>
  <c r="J363" i="14"/>
  <c r="K363" i="14"/>
  <c r="I377" i="14"/>
  <c r="J377" i="14"/>
  <c r="K377" i="14"/>
  <c r="I393" i="14"/>
  <c r="J393" i="14"/>
  <c r="K393" i="14"/>
  <c r="I405" i="14"/>
  <c r="J405" i="14"/>
  <c r="K405" i="14"/>
  <c r="I419" i="14"/>
  <c r="J419" i="14"/>
  <c r="K419" i="14"/>
  <c r="I437" i="14"/>
  <c r="J437" i="14"/>
  <c r="K437" i="14"/>
  <c r="I449" i="14"/>
  <c r="J449" i="14"/>
  <c r="K449" i="14"/>
  <c r="K244" i="14"/>
  <c r="I244" i="14"/>
  <c r="J244" i="14"/>
  <c r="I246" i="14"/>
  <c r="J246" i="14"/>
  <c r="K246" i="14"/>
  <c r="I248" i="14"/>
  <c r="J248" i="14"/>
  <c r="K248" i="14"/>
  <c r="S15" i="13" s="1"/>
  <c r="J250" i="14"/>
  <c r="K250" i="14"/>
  <c r="I250" i="14"/>
  <c r="K252" i="14"/>
  <c r="J252" i="14"/>
  <c r="I252" i="14"/>
  <c r="I254" i="14"/>
  <c r="J254" i="14"/>
  <c r="K254" i="14"/>
  <c r="I256" i="14"/>
  <c r="J256" i="14"/>
  <c r="K256" i="14"/>
  <c r="J258" i="14"/>
  <c r="K258" i="14"/>
  <c r="I258" i="14"/>
  <c r="K260" i="14"/>
  <c r="J260" i="14"/>
  <c r="I260" i="14"/>
  <c r="I262" i="14"/>
  <c r="J262" i="14"/>
  <c r="K262" i="14"/>
  <c r="I264" i="14"/>
  <c r="J264" i="14"/>
  <c r="K264" i="14"/>
  <c r="J266" i="14"/>
  <c r="K266" i="14"/>
  <c r="I266" i="14"/>
  <c r="K268" i="14"/>
  <c r="I268" i="14"/>
  <c r="J268" i="14"/>
  <c r="I270" i="14"/>
  <c r="J270" i="14"/>
  <c r="K270" i="14"/>
  <c r="I272" i="14"/>
  <c r="J272" i="14"/>
  <c r="K272" i="14"/>
  <c r="J274" i="14"/>
  <c r="K274" i="14"/>
  <c r="I274" i="14"/>
  <c r="K276" i="14"/>
  <c r="I276" i="14"/>
  <c r="J276" i="14"/>
  <c r="I278" i="14"/>
  <c r="J278" i="14"/>
  <c r="K278" i="14"/>
  <c r="I280" i="14"/>
  <c r="J280" i="14"/>
  <c r="K280" i="14"/>
  <c r="J282" i="14"/>
  <c r="K282" i="14"/>
  <c r="I282" i="14"/>
  <c r="K284" i="14"/>
  <c r="J284" i="14"/>
  <c r="I284" i="14"/>
  <c r="I286" i="14"/>
  <c r="J286" i="14"/>
  <c r="K286" i="14"/>
  <c r="I288" i="14"/>
  <c r="J288" i="14"/>
  <c r="K288" i="14"/>
  <c r="J290" i="14"/>
  <c r="K290" i="14"/>
  <c r="I290" i="14"/>
  <c r="K292" i="14"/>
  <c r="I292" i="14"/>
  <c r="J292" i="14"/>
  <c r="I294" i="14"/>
  <c r="J294" i="14"/>
  <c r="K294" i="14"/>
  <c r="I296" i="14"/>
  <c r="J296" i="14"/>
  <c r="K296" i="14"/>
  <c r="J298" i="14"/>
  <c r="K298" i="14"/>
  <c r="I298" i="14"/>
  <c r="K300" i="14"/>
  <c r="I300" i="14"/>
  <c r="J300" i="14"/>
  <c r="I302" i="14"/>
  <c r="J302" i="14"/>
  <c r="K302" i="14"/>
  <c r="I304" i="14"/>
  <c r="J304" i="14"/>
  <c r="K304" i="14"/>
  <c r="J306" i="14"/>
  <c r="K306" i="14"/>
  <c r="I306" i="14"/>
  <c r="K308" i="14"/>
  <c r="I308" i="14"/>
  <c r="J308" i="14"/>
  <c r="I310" i="14"/>
  <c r="J310" i="14"/>
  <c r="K310" i="14"/>
  <c r="I312" i="14"/>
  <c r="J312" i="14"/>
  <c r="K312" i="14"/>
  <c r="J314" i="14"/>
  <c r="K314" i="14"/>
  <c r="I314" i="14"/>
  <c r="K316" i="14"/>
  <c r="J316" i="14"/>
  <c r="I316" i="14"/>
  <c r="I318" i="14"/>
  <c r="J318" i="14"/>
  <c r="K318" i="14"/>
  <c r="I320" i="14"/>
  <c r="J320" i="14"/>
  <c r="K320" i="14"/>
  <c r="J322" i="14"/>
  <c r="K322" i="14"/>
  <c r="I322" i="14"/>
  <c r="K324" i="14"/>
  <c r="I324" i="14"/>
  <c r="J324" i="14"/>
  <c r="I326" i="14"/>
  <c r="J326" i="14"/>
  <c r="K326" i="14"/>
  <c r="I328" i="14"/>
  <c r="J328" i="14"/>
  <c r="K328" i="14"/>
  <c r="J330" i="14"/>
  <c r="K330" i="14"/>
  <c r="I330" i="14"/>
  <c r="K332" i="14"/>
  <c r="I332" i="14"/>
  <c r="J332" i="14"/>
  <c r="I334" i="14"/>
  <c r="J334" i="14"/>
  <c r="K334" i="14"/>
  <c r="I336" i="14"/>
  <c r="J336" i="14"/>
  <c r="K336" i="14"/>
  <c r="J338" i="14"/>
  <c r="K338" i="14"/>
  <c r="I338" i="14"/>
  <c r="K340" i="14"/>
  <c r="I340" i="14"/>
  <c r="J340" i="14"/>
  <c r="I342" i="14"/>
  <c r="J342" i="14"/>
  <c r="K342" i="14"/>
  <c r="I344" i="14"/>
  <c r="J344" i="14"/>
  <c r="K344" i="14"/>
  <c r="J346" i="14"/>
  <c r="K346" i="14"/>
  <c r="I346" i="14"/>
  <c r="K348" i="14"/>
  <c r="J348" i="14"/>
  <c r="I348" i="14"/>
  <c r="I350" i="14"/>
  <c r="J350" i="14"/>
  <c r="K350" i="14"/>
  <c r="I352" i="14"/>
  <c r="J352" i="14"/>
  <c r="K352" i="14"/>
  <c r="J354" i="14"/>
  <c r="K354" i="14"/>
  <c r="I354" i="14"/>
  <c r="K356" i="14"/>
  <c r="J356" i="14"/>
  <c r="I356" i="14"/>
  <c r="I358" i="14"/>
  <c r="J358" i="14"/>
  <c r="K358" i="14"/>
  <c r="I360" i="14"/>
  <c r="J360" i="14"/>
  <c r="K360" i="14"/>
  <c r="J362" i="14"/>
  <c r="K362" i="14"/>
  <c r="I362" i="14"/>
  <c r="K364" i="14"/>
  <c r="I364" i="14"/>
  <c r="J364" i="14"/>
  <c r="I366" i="14"/>
  <c r="J366" i="14"/>
  <c r="K366" i="14"/>
  <c r="I368" i="14"/>
  <c r="J368" i="14"/>
  <c r="K368" i="14"/>
  <c r="J370" i="14"/>
  <c r="K370" i="14"/>
  <c r="I370" i="14"/>
  <c r="K372" i="14"/>
  <c r="I372" i="14"/>
  <c r="J372" i="14"/>
  <c r="I374" i="14"/>
  <c r="J374" i="14"/>
  <c r="K374" i="14"/>
  <c r="I376" i="14"/>
  <c r="J376" i="14"/>
  <c r="K376" i="14"/>
  <c r="J378" i="14"/>
  <c r="K378" i="14"/>
  <c r="I378" i="14"/>
  <c r="K380" i="14"/>
  <c r="J380" i="14"/>
  <c r="I380" i="14"/>
  <c r="I382" i="14"/>
  <c r="J382" i="14"/>
  <c r="K382" i="14"/>
  <c r="I384" i="14"/>
  <c r="J384" i="14"/>
  <c r="K384" i="14"/>
  <c r="J386" i="14"/>
  <c r="K386" i="14"/>
  <c r="I386" i="14"/>
  <c r="K388" i="14"/>
  <c r="I388" i="14"/>
  <c r="J388" i="14"/>
  <c r="I390" i="14"/>
  <c r="J390" i="14"/>
  <c r="K390" i="14"/>
  <c r="I392" i="14"/>
  <c r="J392" i="14"/>
  <c r="K392" i="14"/>
  <c r="J394" i="14"/>
  <c r="K394" i="14"/>
  <c r="I394" i="14"/>
  <c r="K396" i="14"/>
  <c r="I396" i="14"/>
  <c r="J396" i="14"/>
  <c r="I398" i="14"/>
  <c r="J398" i="14"/>
  <c r="K398" i="14"/>
  <c r="I400" i="14"/>
  <c r="J400" i="14"/>
  <c r="K400" i="14"/>
  <c r="J402" i="14"/>
  <c r="K402" i="14"/>
  <c r="I402" i="14"/>
  <c r="K404" i="14"/>
  <c r="I404" i="14"/>
  <c r="J404" i="14"/>
  <c r="I406" i="14"/>
  <c r="J406" i="14"/>
  <c r="K406" i="14"/>
  <c r="I408" i="14"/>
  <c r="J408" i="14"/>
  <c r="K408" i="14"/>
  <c r="J410" i="14"/>
  <c r="K410" i="14"/>
  <c r="I410" i="14"/>
  <c r="K412" i="14"/>
  <c r="J412" i="14"/>
  <c r="I412" i="14"/>
  <c r="I414" i="14"/>
  <c r="J414" i="14"/>
  <c r="K414" i="14"/>
  <c r="I416" i="14"/>
  <c r="J416" i="14"/>
  <c r="K416" i="14"/>
  <c r="J418" i="14"/>
  <c r="K418" i="14"/>
  <c r="I418" i="14"/>
  <c r="K420" i="14"/>
  <c r="J420" i="14"/>
  <c r="I420" i="14"/>
  <c r="I422" i="14"/>
  <c r="J422" i="14"/>
  <c r="K422" i="14"/>
  <c r="I424" i="14"/>
  <c r="J424" i="14"/>
  <c r="K424" i="14"/>
  <c r="J426" i="14"/>
  <c r="K426" i="14"/>
  <c r="I426" i="14"/>
  <c r="K428" i="14"/>
  <c r="I428" i="14"/>
  <c r="J428" i="14"/>
  <c r="J430" i="14"/>
  <c r="I430" i="14"/>
  <c r="K430" i="14"/>
  <c r="I432" i="14"/>
  <c r="J432" i="14"/>
  <c r="K432" i="14"/>
  <c r="J434" i="14"/>
  <c r="K434" i="14"/>
  <c r="I434" i="14"/>
  <c r="K436" i="14"/>
  <c r="I436" i="14"/>
  <c r="J436" i="14"/>
  <c r="I438" i="14"/>
  <c r="J438" i="14"/>
  <c r="K438" i="14"/>
  <c r="I440" i="14"/>
  <c r="J440" i="14"/>
  <c r="K440" i="14"/>
  <c r="J442" i="14"/>
  <c r="K442" i="14"/>
  <c r="I442" i="14"/>
  <c r="K444" i="14"/>
  <c r="I444" i="14"/>
  <c r="J444" i="14"/>
  <c r="I446" i="14"/>
  <c r="J446" i="14"/>
  <c r="K446" i="14"/>
  <c r="I448" i="14"/>
  <c r="J448" i="14"/>
  <c r="K448" i="14"/>
  <c r="J450" i="14"/>
  <c r="K450" i="14"/>
  <c r="I450" i="14"/>
  <c r="I465" i="14"/>
  <c r="J465" i="14"/>
  <c r="K465" i="14"/>
  <c r="J470" i="14"/>
  <c r="K470" i="14"/>
  <c r="I470" i="14"/>
  <c r="I245" i="14"/>
  <c r="J245" i="14"/>
  <c r="K245" i="14"/>
  <c r="I257" i="14"/>
  <c r="J257" i="14"/>
  <c r="K257" i="14"/>
  <c r="I267" i="14"/>
  <c r="J267" i="14"/>
  <c r="K267" i="14"/>
  <c r="I277" i="14"/>
  <c r="J277" i="14"/>
  <c r="K277" i="14"/>
  <c r="K287" i="14"/>
  <c r="J287" i="14"/>
  <c r="I287" i="14"/>
  <c r="K303" i="14"/>
  <c r="J303" i="14"/>
  <c r="I303" i="14"/>
  <c r="I317" i="14"/>
  <c r="J317" i="14"/>
  <c r="K317" i="14"/>
  <c r="K327" i="14"/>
  <c r="J327" i="14"/>
  <c r="I327" i="14"/>
  <c r="I337" i="14"/>
  <c r="K337" i="14"/>
  <c r="J337" i="14"/>
  <c r="I355" i="14"/>
  <c r="J355" i="14"/>
  <c r="K355" i="14"/>
  <c r="I365" i="14"/>
  <c r="J365" i="14"/>
  <c r="K365" i="14"/>
  <c r="K375" i="14"/>
  <c r="J375" i="14"/>
  <c r="I375" i="14"/>
  <c r="I387" i="14"/>
  <c r="J387" i="14"/>
  <c r="K387" i="14"/>
  <c r="K399" i="14"/>
  <c r="J399" i="14"/>
  <c r="I399" i="14"/>
  <c r="I411" i="14"/>
  <c r="J411" i="14"/>
  <c r="K411" i="14"/>
  <c r="I421" i="14"/>
  <c r="J421" i="14"/>
  <c r="K421" i="14"/>
  <c r="K431" i="14"/>
  <c r="J431" i="14"/>
  <c r="I431" i="14"/>
  <c r="I435" i="14"/>
  <c r="J435" i="14"/>
  <c r="K435" i="14"/>
  <c r="I445" i="14"/>
  <c r="J445" i="14"/>
  <c r="K445" i="14"/>
  <c r="I238" i="14"/>
  <c r="J238" i="14"/>
  <c r="K238" i="14"/>
  <c r="E89" i="14"/>
  <c r="E88" i="14"/>
  <c r="E51" i="14"/>
  <c r="E86" i="14"/>
  <c r="E92" i="14"/>
  <c r="E85" i="14"/>
  <c r="E91" i="14"/>
  <c r="I42" i="14"/>
  <c r="I47" i="14"/>
  <c r="I41" i="14"/>
  <c r="J40" i="14"/>
  <c r="I50" i="14"/>
  <c r="I37" i="14"/>
  <c r="J49" i="14"/>
  <c r="I48" i="14"/>
  <c r="I49" i="14"/>
  <c r="E87" i="14"/>
  <c r="T20" i="9" s="1"/>
  <c r="E35" i="14"/>
  <c r="E38" i="14"/>
  <c r="K42" i="14"/>
  <c r="I40" i="14"/>
  <c r="J36" i="14"/>
  <c r="K48" i="14"/>
  <c r="J42" i="14"/>
  <c r="K39" i="14"/>
  <c r="I36" i="14"/>
  <c r="J48" i="14"/>
  <c r="J39" i="14"/>
  <c r="K50" i="14"/>
  <c r="K41" i="14"/>
  <c r="I39" i="14"/>
  <c r="J50" i="14"/>
  <c r="K47" i="14"/>
  <c r="J41" i="14"/>
  <c r="K37" i="14"/>
  <c r="J47" i="14"/>
  <c r="J37" i="14"/>
  <c r="K49" i="14"/>
  <c r="K40" i="14"/>
  <c r="K36" i="14"/>
  <c r="E20" i="14"/>
  <c r="E44" i="14"/>
  <c r="E45" i="14"/>
  <c r="E53" i="14"/>
  <c r="E52" i="14"/>
  <c r="E7" i="14"/>
  <c r="J214" i="14" l="1"/>
  <c r="I219" i="14"/>
  <c r="K214" i="14"/>
  <c r="J219" i="14"/>
  <c r="K4" i="14"/>
  <c r="J77" i="14"/>
  <c r="I18" i="14"/>
  <c r="J76" i="14"/>
  <c r="J4" i="14"/>
  <c r="I5" i="14"/>
  <c r="J75" i="14"/>
  <c r="K75" i="14"/>
  <c r="K76" i="14"/>
  <c r="I75" i="14"/>
  <c r="J18" i="14"/>
  <c r="I76" i="14"/>
  <c r="I4" i="14"/>
  <c r="I77" i="14"/>
  <c r="E79" i="14"/>
  <c r="H20" i="13" s="1"/>
  <c r="J5" i="14"/>
  <c r="E80" i="14"/>
  <c r="K5" i="14"/>
  <c r="K77" i="14"/>
  <c r="K18" i="14"/>
  <c r="E78" i="14"/>
  <c r="H19" i="13" s="1"/>
  <c r="I91" i="14"/>
  <c r="J91" i="14"/>
  <c r="K91" i="14"/>
  <c r="I88" i="14"/>
  <c r="J88" i="14"/>
  <c r="K88" i="14"/>
  <c r="I89" i="14"/>
  <c r="K89" i="14"/>
  <c r="J89" i="14"/>
  <c r="I85" i="14"/>
  <c r="J85" i="14"/>
  <c r="K85" i="14"/>
  <c r="I87" i="14"/>
  <c r="K87" i="14"/>
  <c r="J87" i="14"/>
  <c r="J86" i="14"/>
  <c r="K86" i="14"/>
  <c r="I86" i="14"/>
  <c r="I92" i="14"/>
  <c r="K92" i="14"/>
  <c r="J92" i="14"/>
  <c r="E9" i="14"/>
  <c r="I35" i="14"/>
  <c r="K38" i="14"/>
  <c r="J35" i="14"/>
  <c r="K35" i="14"/>
  <c r="I38" i="14"/>
  <c r="J38" i="14"/>
  <c r="I20" i="14"/>
  <c r="J20" i="14"/>
  <c r="K20" i="14"/>
  <c r="I52" i="14"/>
  <c r="J52" i="14"/>
  <c r="K52" i="14"/>
  <c r="I53" i="14"/>
  <c r="J53" i="14"/>
  <c r="K53" i="14"/>
  <c r="I51" i="14"/>
  <c r="J51" i="14"/>
  <c r="K51" i="14"/>
  <c r="I44" i="14"/>
  <c r="J44" i="14"/>
  <c r="K44" i="14"/>
  <c r="I45" i="14"/>
  <c r="J45" i="14"/>
  <c r="K45" i="14"/>
  <c r="E6" i="14"/>
  <c r="J7" i="14"/>
  <c r="K7" i="14"/>
  <c r="I7" i="14"/>
  <c r="J78" i="14" l="1"/>
  <c r="K79" i="14"/>
  <c r="S11" i="13" s="1"/>
  <c r="I78" i="14"/>
  <c r="I79" i="14"/>
  <c r="J80" i="14"/>
  <c r="J79" i="14"/>
  <c r="I80" i="14"/>
  <c r="K78" i="14"/>
  <c r="K80" i="14"/>
  <c r="K9" i="14"/>
  <c r="J9" i="14"/>
  <c r="E8" i="14"/>
  <c r="I9" i="14"/>
  <c r="J6" i="14"/>
  <c r="I6" i="14"/>
  <c r="K6" i="14"/>
  <c r="K8" i="14" l="1"/>
  <c r="J8" i="14"/>
  <c r="I8" i="14"/>
  <c r="Q5" i="14" l="1"/>
  <c r="Q16" i="14"/>
  <c r="Q4" i="14"/>
  <c r="Q17" i="14"/>
  <c r="Q13" i="14"/>
  <c r="Q21" i="14"/>
  <c r="Q14" i="14"/>
  <c r="Q6" i="14"/>
  <c r="Q10" i="14"/>
  <c r="Q11" i="14"/>
  <c r="Q15" i="14"/>
  <c r="Q12" i="14"/>
  <c r="Q7" i="14"/>
  <c r="Q18" i="14" l="1"/>
  <c r="Q19" i="14" l="1"/>
  <c r="Q20" i="14" l="1"/>
  <c r="E17" i="14" l="1"/>
  <c r="I17" i="14" l="1"/>
  <c r="K17" i="14"/>
  <c r="J17" i="14"/>
  <c r="E13" i="14"/>
  <c r="E14" i="14" l="1"/>
  <c r="I13" i="14"/>
  <c r="J13" i="14"/>
  <c r="K13" i="14"/>
  <c r="K14" i="14" l="1"/>
  <c r="E15" i="14"/>
  <c r="I14" i="14"/>
  <c r="J14" i="14"/>
  <c r="E16" i="14" l="1"/>
  <c r="K15" i="14"/>
  <c r="J15" i="14"/>
  <c r="I15" i="14"/>
  <c r="K16" i="14" l="1"/>
  <c r="I16" i="14"/>
  <c r="J16" i="14"/>
  <c r="B150" i="1"/>
  <c r="D150" i="1"/>
  <c r="E150" i="1"/>
  <c r="F150" i="1"/>
  <c r="G150" i="1"/>
  <c r="H150" i="1"/>
  <c r="K150" i="1"/>
  <c r="L150" i="1"/>
  <c r="M150" i="1"/>
  <c r="N150" i="1"/>
  <c r="O150" i="1"/>
  <c r="B151" i="1"/>
  <c r="D151" i="1"/>
  <c r="CF158" i="8" s="1"/>
  <c r="E151" i="1"/>
  <c r="F151" i="1"/>
  <c r="G151" i="1"/>
  <c r="H151" i="1"/>
  <c r="BU158" i="9" s="1"/>
  <c r="K151" i="1"/>
  <c r="L151" i="1"/>
  <c r="M151" i="1"/>
  <c r="N151" i="1"/>
  <c r="O151" i="1"/>
  <c r="B152" i="1"/>
  <c r="D152" i="1"/>
  <c r="E152" i="1"/>
  <c r="F152" i="1"/>
  <c r="G152" i="1"/>
  <c r="CI159" i="8" s="1"/>
  <c r="H152" i="1"/>
  <c r="K152" i="1"/>
  <c r="L152" i="1"/>
  <c r="M152" i="1"/>
  <c r="N152" i="1"/>
  <c r="O152" i="1"/>
  <c r="B153" i="1"/>
  <c r="D153" i="1"/>
  <c r="E153" i="1"/>
  <c r="CG160" i="8" s="1"/>
  <c r="F153" i="1"/>
  <c r="G153" i="1"/>
  <c r="H153" i="1"/>
  <c r="K153" i="1"/>
  <c r="L153" i="1"/>
  <c r="M153" i="1"/>
  <c r="N153" i="1"/>
  <c r="O153" i="1"/>
  <c r="B154" i="1"/>
  <c r="D154" i="1"/>
  <c r="E154" i="1"/>
  <c r="BR161" i="9" s="1"/>
  <c r="F154" i="1"/>
  <c r="G154" i="1"/>
  <c r="H154" i="1"/>
  <c r="CJ161" i="8" s="1"/>
  <c r="K154" i="1"/>
  <c r="L154" i="1"/>
  <c r="M154" i="1"/>
  <c r="N154" i="1"/>
  <c r="O154" i="1"/>
  <c r="B155" i="1"/>
  <c r="D155" i="1"/>
  <c r="CF162" i="8" s="1"/>
  <c r="E155" i="1"/>
  <c r="F155" i="1"/>
  <c r="G155" i="1"/>
  <c r="H155" i="1"/>
  <c r="K155" i="1"/>
  <c r="L155" i="1"/>
  <c r="M155" i="1"/>
  <c r="N155" i="1"/>
  <c r="O155" i="1"/>
  <c r="B156" i="1"/>
  <c r="D156" i="1"/>
  <c r="BQ163" i="9" s="1"/>
  <c r="E156" i="1"/>
  <c r="F156" i="1"/>
  <c r="G156" i="1"/>
  <c r="H156" i="1"/>
  <c r="K156" i="1"/>
  <c r="L156" i="1"/>
  <c r="M156" i="1"/>
  <c r="N156" i="1"/>
  <c r="O156" i="1"/>
  <c r="B157" i="1"/>
  <c r="D157" i="1"/>
  <c r="E157" i="1"/>
  <c r="F157" i="1"/>
  <c r="CH164" i="8" s="1"/>
  <c r="G157" i="1"/>
  <c r="H157" i="1"/>
  <c r="K157" i="1"/>
  <c r="L157" i="1"/>
  <c r="M157" i="1"/>
  <c r="N157" i="1"/>
  <c r="O157" i="1"/>
  <c r="B158" i="1"/>
  <c r="D158" i="1"/>
  <c r="E158" i="1"/>
  <c r="BR165" i="9" s="1"/>
  <c r="F158" i="1"/>
  <c r="G158" i="1"/>
  <c r="H158" i="1"/>
  <c r="K158" i="1"/>
  <c r="L158" i="1"/>
  <c r="M158" i="1"/>
  <c r="N158" i="1"/>
  <c r="O158" i="1"/>
  <c r="B159" i="1"/>
  <c r="D159" i="1"/>
  <c r="E159" i="1"/>
  <c r="F159" i="1"/>
  <c r="G159" i="1"/>
  <c r="H159" i="1"/>
  <c r="CJ166" i="8" s="1"/>
  <c r="K159" i="1"/>
  <c r="L159" i="1"/>
  <c r="M159" i="1"/>
  <c r="N159" i="1"/>
  <c r="O159" i="1"/>
  <c r="B160" i="1"/>
  <c r="D160" i="1"/>
  <c r="E160" i="1"/>
  <c r="F160" i="1"/>
  <c r="G160" i="1"/>
  <c r="BT167" i="9" s="1"/>
  <c r="H160" i="1"/>
  <c r="K160" i="1"/>
  <c r="L160" i="1"/>
  <c r="M160" i="1"/>
  <c r="N160" i="1"/>
  <c r="O160" i="1"/>
  <c r="B161" i="1"/>
  <c r="D161" i="1"/>
  <c r="E161" i="1"/>
  <c r="F161" i="1"/>
  <c r="G161" i="1"/>
  <c r="H161" i="1"/>
  <c r="K161" i="1"/>
  <c r="L161" i="1"/>
  <c r="M161" i="1"/>
  <c r="N161" i="1"/>
  <c r="O161" i="1"/>
  <c r="B162" i="1"/>
  <c r="D162" i="1"/>
  <c r="CF169" i="8" s="1"/>
  <c r="E162" i="1"/>
  <c r="F162" i="1"/>
  <c r="G162" i="1"/>
  <c r="H162" i="1"/>
  <c r="K162" i="1"/>
  <c r="L162" i="1"/>
  <c r="M162" i="1"/>
  <c r="N162" i="1"/>
  <c r="O162" i="1"/>
  <c r="B163" i="1"/>
  <c r="D163" i="1"/>
  <c r="CF170" i="8" s="1"/>
  <c r="E163" i="1"/>
  <c r="CG170" i="8" s="1"/>
  <c r="F163" i="1"/>
  <c r="G163" i="1"/>
  <c r="H163" i="1"/>
  <c r="K163" i="1"/>
  <c r="L163" i="1"/>
  <c r="M163" i="1"/>
  <c r="N163" i="1"/>
  <c r="O163" i="1"/>
  <c r="B127" i="1"/>
  <c r="D127" i="1"/>
  <c r="CF134" i="8" s="1"/>
  <c r="E127" i="1"/>
  <c r="F127" i="1"/>
  <c r="G127" i="1"/>
  <c r="CI134" i="8" s="1"/>
  <c r="H127" i="1"/>
  <c r="K127" i="1"/>
  <c r="L127" i="1"/>
  <c r="M127" i="1"/>
  <c r="N127" i="1"/>
  <c r="O127" i="1"/>
  <c r="B128" i="1"/>
  <c r="D128" i="1"/>
  <c r="E128" i="1"/>
  <c r="F128" i="1"/>
  <c r="G128" i="1"/>
  <c r="BT135" i="9" s="1"/>
  <c r="H128" i="1"/>
  <c r="K128" i="1"/>
  <c r="L128" i="1"/>
  <c r="M128" i="1"/>
  <c r="N128" i="1"/>
  <c r="O128" i="1"/>
  <c r="B129" i="1"/>
  <c r="D129" i="1"/>
  <c r="E129" i="1"/>
  <c r="F129" i="1"/>
  <c r="G129" i="1"/>
  <c r="H129" i="1"/>
  <c r="K129" i="1"/>
  <c r="L129" i="1"/>
  <c r="M129" i="1"/>
  <c r="N129" i="1"/>
  <c r="O129" i="1"/>
  <c r="B130" i="1"/>
  <c r="D130" i="1"/>
  <c r="E130" i="1"/>
  <c r="F130" i="1"/>
  <c r="G130" i="1"/>
  <c r="H130" i="1"/>
  <c r="CJ137" i="8" s="1"/>
  <c r="K130" i="1"/>
  <c r="L130" i="1"/>
  <c r="M130" i="1"/>
  <c r="N130" i="1"/>
  <c r="O130" i="1"/>
  <c r="B131" i="1"/>
  <c r="D131" i="1"/>
  <c r="CF138" i="8" s="1"/>
  <c r="E131" i="1"/>
  <c r="F131" i="1"/>
  <c r="G131" i="1"/>
  <c r="H131" i="1"/>
  <c r="CJ138" i="8" s="1"/>
  <c r="K131" i="1"/>
  <c r="L131" i="1"/>
  <c r="M131" i="1"/>
  <c r="N131" i="1"/>
  <c r="O131" i="1"/>
  <c r="B132" i="1"/>
  <c r="D132" i="1"/>
  <c r="E132" i="1"/>
  <c r="F132" i="1"/>
  <c r="G132" i="1"/>
  <c r="H132" i="1"/>
  <c r="K132" i="1"/>
  <c r="L132" i="1"/>
  <c r="M132" i="1"/>
  <c r="N132" i="1"/>
  <c r="O132" i="1"/>
  <c r="B133" i="1"/>
  <c r="D133" i="1"/>
  <c r="E133" i="1"/>
  <c r="F133" i="1"/>
  <c r="G133" i="1"/>
  <c r="H133" i="1"/>
  <c r="K133" i="1"/>
  <c r="L133" i="1"/>
  <c r="M133" i="1"/>
  <c r="N133" i="1"/>
  <c r="O133" i="1"/>
  <c r="B134" i="1"/>
  <c r="D134" i="1"/>
  <c r="CF141" i="8" s="1"/>
  <c r="E134" i="1"/>
  <c r="CG141" i="8" s="1"/>
  <c r="F134" i="1"/>
  <c r="G134" i="1"/>
  <c r="H134" i="1"/>
  <c r="K134" i="1"/>
  <c r="L134" i="1"/>
  <c r="M134" i="1"/>
  <c r="N134" i="1"/>
  <c r="O134" i="1"/>
  <c r="B135" i="1"/>
  <c r="D135" i="1"/>
  <c r="BQ142" i="9" s="1"/>
  <c r="E135" i="1"/>
  <c r="F135" i="1"/>
  <c r="G135" i="1"/>
  <c r="H135" i="1"/>
  <c r="K135" i="1"/>
  <c r="L135" i="1"/>
  <c r="M135" i="1"/>
  <c r="N135" i="1"/>
  <c r="O135" i="1"/>
  <c r="B136" i="1"/>
  <c r="D136" i="1"/>
  <c r="E136" i="1"/>
  <c r="F136" i="1"/>
  <c r="G136" i="1"/>
  <c r="H136" i="1"/>
  <c r="BU143" i="9" s="1"/>
  <c r="K136" i="1"/>
  <c r="L136" i="1"/>
  <c r="M136" i="1"/>
  <c r="N136" i="1"/>
  <c r="O136" i="1"/>
  <c r="B137" i="1"/>
  <c r="D137" i="1"/>
  <c r="E137" i="1"/>
  <c r="F137" i="1"/>
  <c r="CH144" i="8" s="1"/>
  <c r="G137" i="1"/>
  <c r="H137" i="1"/>
  <c r="K137" i="1"/>
  <c r="L137" i="1"/>
  <c r="M137" i="1"/>
  <c r="N137" i="1"/>
  <c r="O137" i="1"/>
  <c r="B138" i="1"/>
  <c r="D138" i="1"/>
  <c r="E138" i="1"/>
  <c r="CG145" i="8" s="1"/>
  <c r="F138" i="1"/>
  <c r="G138" i="1"/>
  <c r="H138" i="1"/>
  <c r="CJ145" i="8" s="1"/>
  <c r="K138" i="1"/>
  <c r="L138" i="1"/>
  <c r="M138" i="1"/>
  <c r="N138" i="1"/>
  <c r="O138" i="1"/>
  <c r="B139" i="1"/>
  <c r="D139" i="1"/>
  <c r="CF146" i="8" s="1"/>
  <c r="E139" i="1"/>
  <c r="F139" i="1"/>
  <c r="G139" i="1"/>
  <c r="H139" i="1"/>
  <c r="CJ146" i="8" s="1"/>
  <c r="K139" i="1"/>
  <c r="L139" i="1"/>
  <c r="M139" i="1"/>
  <c r="N139" i="1"/>
  <c r="O139" i="1"/>
  <c r="B140" i="1"/>
  <c r="D140" i="1"/>
  <c r="E140" i="1"/>
  <c r="F140" i="1"/>
  <c r="CH147" i="8" s="1"/>
  <c r="G140" i="1"/>
  <c r="H140" i="1"/>
  <c r="K140" i="1"/>
  <c r="L140" i="1"/>
  <c r="M140" i="1"/>
  <c r="N140" i="1"/>
  <c r="O140" i="1"/>
  <c r="B141" i="1"/>
  <c r="D141" i="1"/>
  <c r="E141" i="1"/>
  <c r="F141" i="1"/>
  <c r="BS148" i="9" s="1"/>
  <c r="G141" i="1"/>
  <c r="H141" i="1"/>
  <c r="K141" i="1"/>
  <c r="L141" i="1"/>
  <c r="M141" i="1"/>
  <c r="N141" i="1"/>
  <c r="O141" i="1"/>
  <c r="B142" i="1"/>
  <c r="D142" i="1"/>
  <c r="CF149" i="8" s="1"/>
  <c r="E142" i="1"/>
  <c r="CG149" i="8" s="1"/>
  <c r="F142" i="1"/>
  <c r="G142" i="1"/>
  <c r="H142" i="1"/>
  <c r="K142" i="1"/>
  <c r="L142" i="1"/>
  <c r="M142" i="1"/>
  <c r="N142" i="1"/>
  <c r="O142" i="1"/>
  <c r="B143" i="1"/>
  <c r="D143" i="1"/>
  <c r="CF150" i="8" s="1"/>
  <c r="E143" i="1"/>
  <c r="BR150" i="9" s="1"/>
  <c r="F143" i="1"/>
  <c r="G143" i="1"/>
  <c r="H143" i="1"/>
  <c r="CJ150" i="8" s="1"/>
  <c r="K143" i="1"/>
  <c r="L143" i="1"/>
  <c r="M143" i="1"/>
  <c r="N143" i="1"/>
  <c r="O143" i="1"/>
  <c r="B144" i="1"/>
  <c r="D144" i="1"/>
  <c r="E144" i="1"/>
  <c r="F144" i="1"/>
  <c r="G144" i="1"/>
  <c r="CI151" i="8" s="1"/>
  <c r="H144" i="1"/>
  <c r="K144" i="1"/>
  <c r="L144" i="1"/>
  <c r="M144" i="1"/>
  <c r="N144" i="1"/>
  <c r="O144" i="1"/>
  <c r="B145" i="1"/>
  <c r="D145" i="1"/>
  <c r="E145" i="1"/>
  <c r="F145" i="1"/>
  <c r="BS152" i="9" s="1"/>
  <c r="G145" i="1"/>
  <c r="H145" i="1"/>
  <c r="K145" i="1"/>
  <c r="L145" i="1"/>
  <c r="M145" i="1"/>
  <c r="N145" i="1"/>
  <c r="O145" i="1"/>
  <c r="B146" i="1"/>
  <c r="D146" i="1"/>
  <c r="E146" i="1"/>
  <c r="F146" i="1"/>
  <c r="G146" i="1"/>
  <c r="H146" i="1"/>
  <c r="CJ153" i="8" s="1"/>
  <c r="K146" i="1"/>
  <c r="L146" i="1"/>
  <c r="M146" i="1"/>
  <c r="N146" i="1"/>
  <c r="O146" i="1"/>
  <c r="B147" i="1"/>
  <c r="D147" i="1"/>
  <c r="E147" i="1"/>
  <c r="F147" i="1"/>
  <c r="G147" i="1"/>
  <c r="H147" i="1"/>
  <c r="CJ154" i="8" s="1"/>
  <c r="K147" i="1"/>
  <c r="L147" i="1"/>
  <c r="M147" i="1"/>
  <c r="N147" i="1"/>
  <c r="O147" i="1"/>
  <c r="B148" i="1"/>
  <c r="D148" i="1"/>
  <c r="E148" i="1"/>
  <c r="F148" i="1"/>
  <c r="CH155" i="8" s="1"/>
  <c r="G148" i="1"/>
  <c r="CI155" i="8" s="1"/>
  <c r="H148" i="1"/>
  <c r="K148" i="1"/>
  <c r="L148" i="1"/>
  <c r="M148" i="1"/>
  <c r="N148" i="1"/>
  <c r="O148" i="1"/>
  <c r="B149" i="1"/>
  <c r="D149" i="1"/>
  <c r="E149" i="1"/>
  <c r="F149" i="1"/>
  <c r="G149" i="1"/>
  <c r="BT156" i="9" s="1"/>
  <c r="H149" i="1"/>
  <c r="K149" i="1"/>
  <c r="L149" i="1"/>
  <c r="M149" i="1"/>
  <c r="N149" i="1"/>
  <c r="O149" i="1"/>
  <c r="B114" i="1"/>
  <c r="D114" i="1"/>
  <c r="E114" i="1"/>
  <c r="CG121" i="8" s="1"/>
  <c r="F114" i="1"/>
  <c r="BS121" i="9" s="1"/>
  <c r="G114" i="1"/>
  <c r="H114" i="1"/>
  <c r="CJ121" i="8" s="1"/>
  <c r="K114" i="1"/>
  <c r="L114" i="1"/>
  <c r="M114" i="1"/>
  <c r="N114" i="1"/>
  <c r="O114" i="1"/>
  <c r="B115" i="1"/>
  <c r="D115" i="1"/>
  <c r="E115" i="1"/>
  <c r="F115" i="1"/>
  <c r="G115" i="1"/>
  <c r="H115" i="1"/>
  <c r="K115" i="1"/>
  <c r="L115" i="1"/>
  <c r="M115" i="1"/>
  <c r="N115" i="1"/>
  <c r="O115" i="1"/>
  <c r="B116" i="1"/>
  <c r="D116" i="1"/>
  <c r="E116" i="1"/>
  <c r="F116" i="1"/>
  <c r="CH123" i="8" s="1"/>
  <c r="G116" i="1"/>
  <c r="CI123" i="8" s="1"/>
  <c r="H116" i="1"/>
  <c r="BU123" i="9" s="1"/>
  <c r="K116" i="1"/>
  <c r="L116" i="1"/>
  <c r="M116" i="1"/>
  <c r="N116" i="1"/>
  <c r="O116" i="1"/>
  <c r="B117" i="1"/>
  <c r="D117" i="1"/>
  <c r="E117" i="1"/>
  <c r="F117" i="1"/>
  <c r="CH124" i="8" s="1"/>
  <c r="G117" i="1"/>
  <c r="H117" i="1"/>
  <c r="K117" i="1"/>
  <c r="L117" i="1"/>
  <c r="M117" i="1"/>
  <c r="N117" i="1"/>
  <c r="O117" i="1"/>
  <c r="B118" i="1"/>
  <c r="D118" i="1"/>
  <c r="CF125" i="8" s="1"/>
  <c r="E118" i="1"/>
  <c r="CG125" i="8" s="1"/>
  <c r="F118" i="1"/>
  <c r="G118" i="1"/>
  <c r="H118" i="1"/>
  <c r="K118" i="1"/>
  <c r="L118" i="1"/>
  <c r="M118" i="1"/>
  <c r="N118" i="1"/>
  <c r="O118" i="1"/>
  <c r="B119" i="1"/>
  <c r="D119" i="1"/>
  <c r="E119" i="1"/>
  <c r="F119" i="1"/>
  <c r="G119" i="1"/>
  <c r="H119" i="1"/>
  <c r="K119" i="1"/>
  <c r="L119" i="1"/>
  <c r="M119" i="1"/>
  <c r="N119" i="1"/>
  <c r="O119" i="1"/>
  <c r="B120" i="1"/>
  <c r="D120" i="1"/>
  <c r="E120" i="1"/>
  <c r="F120" i="1"/>
  <c r="G120" i="1"/>
  <c r="H120" i="1"/>
  <c r="K120" i="1"/>
  <c r="L120" i="1"/>
  <c r="M120" i="1"/>
  <c r="N120" i="1"/>
  <c r="O120" i="1"/>
  <c r="B121" i="1"/>
  <c r="D121" i="1"/>
  <c r="E121" i="1"/>
  <c r="CG128" i="8" s="1"/>
  <c r="F121" i="1"/>
  <c r="G121" i="1"/>
  <c r="H121" i="1"/>
  <c r="K121" i="1"/>
  <c r="L121" i="1"/>
  <c r="M121" i="1"/>
  <c r="N121" i="1"/>
  <c r="O121" i="1"/>
  <c r="B122" i="1"/>
  <c r="D122" i="1"/>
  <c r="E122" i="1"/>
  <c r="CG129" i="8" s="1"/>
  <c r="F122" i="1"/>
  <c r="G122" i="1"/>
  <c r="H122" i="1"/>
  <c r="CJ129" i="8" s="1"/>
  <c r="K122" i="1"/>
  <c r="L122" i="1"/>
  <c r="M122" i="1"/>
  <c r="N122" i="1"/>
  <c r="O122" i="1"/>
  <c r="B123" i="1"/>
  <c r="D123" i="1"/>
  <c r="CF130" i="8" s="1"/>
  <c r="E123" i="1"/>
  <c r="BR130" i="9" s="1"/>
  <c r="F123" i="1"/>
  <c r="G123" i="1"/>
  <c r="H123" i="1"/>
  <c r="K123" i="1"/>
  <c r="L123" i="1"/>
  <c r="M123" i="1"/>
  <c r="N123" i="1"/>
  <c r="O123" i="1"/>
  <c r="B124" i="1"/>
  <c r="D124" i="1"/>
  <c r="E124" i="1"/>
  <c r="F124" i="1"/>
  <c r="G124" i="1"/>
  <c r="CI131" i="8" s="1"/>
  <c r="H124" i="1"/>
  <c r="K124" i="1"/>
  <c r="L124" i="1"/>
  <c r="M124" i="1"/>
  <c r="N124" i="1"/>
  <c r="O124" i="1"/>
  <c r="B125" i="1"/>
  <c r="D125" i="1"/>
  <c r="E125" i="1"/>
  <c r="F125" i="1"/>
  <c r="CH132" i="8" s="1"/>
  <c r="G125" i="1"/>
  <c r="H125" i="1"/>
  <c r="K125" i="1"/>
  <c r="L125" i="1"/>
  <c r="M125" i="1"/>
  <c r="N125" i="1"/>
  <c r="O125" i="1"/>
  <c r="B126" i="1"/>
  <c r="D126" i="1"/>
  <c r="E126" i="1"/>
  <c r="BR133" i="9" s="1"/>
  <c r="F126" i="1"/>
  <c r="G126" i="1"/>
  <c r="H126" i="1"/>
  <c r="K126" i="1"/>
  <c r="L126" i="1"/>
  <c r="M126" i="1"/>
  <c r="N126" i="1"/>
  <c r="O126" i="1"/>
  <c r="AQ130" i="9" l="1"/>
  <c r="BU130" i="9"/>
  <c r="BS128" i="9"/>
  <c r="AM126" i="9"/>
  <c r="BQ126" i="9"/>
  <c r="AN123" i="9"/>
  <c r="BR123" i="9"/>
  <c r="CG123" i="8"/>
  <c r="AP145" i="9"/>
  <c r="BT145" i="9"/>
  <c r="CI145" i="8"/>
  <c r="AQ142" i="9"/>
  <c r="BU142" i="9"/>
  <c r="AQ134" i="9"/>
  <c r="BU134" i="9"/>
  <c r="AO169" i="9"/>
  <c r="CH169" i="8"/>
  <c r="AM167" i="9"/>
  <c r="BQ167" i="9"/>
  <c r="AM159" i="9"/>
  <c r="BQ159" i="9"/>
  <c r="CF159" i="8"/>
  <c r="AO133" i="9"/>
  <c r="BS133" i="9"/>
  <c r="CH133" i="8"/>
  <c r="AM131" i="9"/>
  <c r="BQ131" i="9"/>
  <c r="CF131" i="8"/>
  <c r="AP130" i="9"/>
  <c r="BT130" i="9"/>
  <c r="CI130" i="8"/>
  <c r="AN128" i="9"/>
  <c r="BR128" i="9"/>
  <c r="AQ127" i="9"/>
  <c r="CJ127" i="8"/>
  <c r="AO125" i="9"/>
  <c r="CH125" i="8"/>
  <c r="BS125" i="9"/>
  <c r="AM123" i="9"/>
  <c r="BQ123" i="9"/>
  <c r="CF123" i="8"/>
  <c r="AP122" i="9"/>
  <c r="BT122" i="9"/>
  <c r="CI122" i="8"/>
  <c r="AN156" i="9"/>
  <c r="BR156" i="9"/>
  <c r="CG156" i="8"/>
  <c r="AQ155" i="9"/>
  <c r="BU155" i="9"/>
  <c r="CJ155" i="8"/>
  <c r="AO153" i="9"/>
  <c r="BS153" i="9"/>
  <c r="CH153" i="8"/>
  <c r="AM151" i="9"/>
  <c r="BQ151" i="9"/>
  <c r="CF151" i="8"/>
  <c r="AP150" i="9"/>
  <c r="BT150" i="9"/>
  <c r="AN148" i="9"/>
  <c r="BR148" i="9"/>
  <c r="CG148" i="8"/>
  <c r="AQ147" i="9"/>
  <c r="BU147" i="9"/>
  <c r="CJ147" i="8"/>
  <c r="AO145" i="9"/>
  <c r="BS145" i="9"/>
  <c r="CH145" i="8"/>
  <c r="AM143" i="9"/>
  <c r="BQ143" i="9"/>
  <c r="CF143" i="8"/>
  <c r="AP142" i="9"/>
  <c r="BT142" i="9"/>
  <c r="AN140" i="9"/>
  <c r="BR140" i="9"/>
  <c r="CG140" i="8"/>
  <c r="AQ139" i="9"/>
  <c r="BU139" i="9"/>
  <c r="CJ139" i="8"/>
  <c r="AO137" i="9"/>
  <c r="CH137" i="8"/>
  <c r="AM135" i="9"/>
  <c r="BQ135" i="9"/>
  <c r="CF135" i="8"/>
  <c r="AP134" i="9"/>
  <c r="BT134" i="9"/>
  <c r="AN169" i="9"/>
  <c r="BR169" i="9"/>
  <c r="AQ168" i="9"/>
  <c r="BU168" i="9"/>
  <c r="AO166" i="9"/>
  <c r="BS166" i="9"/>
  <c r="CH166" i="8"/>
  <c r="AM164" i="9"/>
  <c r="BQ164" i="9"/>
  <c r="CF164" i="8"/>
  <c r="AP163" i="9"/>
  <c r="BT163" i="9"/>
  <c r="AN161" i="9"/>
  <c r="AQ160" i="9"/>
  <c r="BU160" i="9"/>
  <c r="CJ160" i="8"/>
  <c r="AO158" i="9"/>
  <c r="BS158" i="9"/>
  <c r="CH158" i="8"/>
  <c r="CI167" i="8"/>
  <c r="CI163" i="8"/>
  <c r="CI142" i="8"/>
  <c r="BU127" i="9"/>
  <c r="AP133" i="9"/>
  <c r="BT133" i="9"/>
  <c r="CI133" i="8"/>
  <c r="AN131" i="9"/>
  <c r="BR131" i="9"/>
  <c r="CG131" i="8"/>
  <c r="AP125" i="9"/>
  <c r="CI125" i="8"/>
  <c r="AP153" i="9"/>
  <c r="BT153" i="9"/>
  <c r="CI153" i="8"/>
  <c r="AN151" i="9"/>
  <c r="BR151" i="9"/>
  <c r="CG151" i="8"/>
  <c r="AN143" i="9"/>
  <c r="BR143" i="9"/>
  <c r="CG143" i="8"/>
  <c r="AP137" i="9"/>
  <c r="BT137" i="9"/>
  <c r="CI137" i="8"/>
  <c r="AN135" i="9"/>
  <c r="BR135" i="9"/>
  <c r="CG135" i="8"/>
  <c r="AQ163" i="9"/>
  <c r="BU163" i="9"/>
  <c r="CJ163" i="8"/>
  <c r="AO161" i="9"/>
  <c r="BS161" i="9"/>
  <c r="CH161" i="8"/>
  <c r="CG168" i="8"/>
  <c r="CJ142" i="8"/>
  <c r="AN133" i="9"/>
  <c r="AQ132" i="9"/>
  <c r="BU132" i="9"/>
  <c r="CJ132" i="8"/>
  <c r="AO130" i="9"/>
  <c r="BS130" i="9"/>
  <c r="CH130" i="8"/>
  <c r="AM128" i="9"/>
  <c r="BQ128" i="9"/>
  <c r="CF128" i="8"/>
  <c r="AP127" i="9"/>
  <c r="BT127" i="9"/>
  <c r="AN125" i="9"/>
  <c r="BR125" i="9"/>
  <c r="AQ124" i="9"/>
  <c r="BU124" i="9"/>
  <c r="CJ124" i="8"/>
  <c r="AO122" i="9"/>
  <c r="BS122" i="9"/>
  <c r="CH122" i="8"/>
  <c r="AM156" i="9"/>
  <c r="BQ156" i="9"/>
  <c r="CF156" i="8"/>
  <c r="AP155" i="9"/>
  <c r="BT155" i="9"/>
  <c r="AN153" i="9"/>
  <c r="BR153" i="9"/>
  <c r="AQ152" i="9"/>
  <c r="BU152" i="9"/>
  <c r="CJ152" i="8"/>
  <c r="AO150" i="9"/>
  <c r="BS150" i="9"/>
  <c r="CH150" i="8"/>
  <c r="AM148" i="9"/>
  <c r="BQ148" i="9"/>
  <c r="CF148" i="8"/>
  <c r="AP147" i="9"/>
  <c r="BT147" i="9"/>
  <c r="AN145" i="9"/>
  <c r="BR145" i="9"/>
  <c r="AQ144" i="9"/>
  <c r="BU144" i="9"/>
  <c r="CJ144" i="8"/>
  <c r="AO142" i="9"/>
  <c r="BS142" i="9"/>
  <c r="CH142" i="8"/>
  <c r="AM140" i="9"/>
  <c r="BQ140" i="9"/>
  <c r="CF140" i="8"/>
  <c r="AP139" i="9"/>
  <c r="AN137" i="9"/>
  <c r="BR137" i="9"/>
  <c r="AQ136" i="9"/>
  <c r="BU136" i="9"/>
  <c r="CJ136" i="8"/>
  <c r="AO134" i="9"/>
  <c r="BS134" i="9"/>
  <c r="CH134" i="8"/>
  <c r="AM169" i="9"/>
  <c r="BQ169" i="9"/>
  <c r="AP168" i="9"/>
  <c r="BT168" i="9"/>
  <c r="AN166" i="9"/>
  <c r="BR166" i="9"/>
  <c r="CG166" i="8"/>
  <c r="AQ165" i="9"/>
  <c r="BU165" i="9"/>
  <c r="CJ165" i="8"/>
  <c r="AO163" i="9"/>
  <c r="BS163" i="9"/>
  <c r="AM161" i="9"/>
  <c r="BQ161" i="9"/>
  <c r="CF161" i="8"/>
  <c r="AP160" i="9"/>
  <c r="BT160" i="9"/>
  <c r="CI160" i="8"/>
  <c r="AN158" i="9"/>
  <c r="BR158" i="9"/>
  <c r="CG158" i="8"/>
  <c r="AQ157" i="9"/>
  <c r="BU157" i="9"/>
  <c r="CJ157" i="8"/>
  <c r="CJ169" i="8"/>
  <c r="CF167" i="8"/>
  <c r="CH163" i="8"/>
  <c r="CJ158" i="8"/>
  <c r="CI150" i="8"/>
  <c r="CF142" i="8"/>
  <c r="CG133" i="8"/>
  <c r="BT125" i="9"/>
  <c r="AQ133" i="9"/>
  <c r="BU133" i="9"/>
  <c r="CJ133" i="8"/>
  <c r="AO131" i="9"/>
  <c r="BS131" i="9"/>
  <c r="AQ122" i="9"/>
  <c r="BU122" i="9"/>
  <c r="AO156" i="9"/>
  <c r="BS156" i="9"/>
  <c r="BQ154" i="9"/>
  <c r="AQ150" i="9"/>
  <c r="BU150" i="9"/>
  <c r="AO148" i="9"/>
  <c r="AM146" i="9"/>
  <c r="AO140" i="9"/>
  <c r="BS140" i="9"/>
  <c r="AM138" i="9"/>
  <c r="BQ138" i="9"/>
  <c r="AP166" i="9"/>
  <c r="BT166" i="9"/>
  <c r="AN164" i="9"/>
  <c r="BR164" i="9"/>
  <c r="CG164" i="8"/>
  <c r="AP158" i="9"/>
  <c r="BT158" i="9"/>
  <c r="CF126" i="8"/>
  <c r="BS169" i="9"/>
  <c r="AM133" i="9"/>
  <c r="BQ133" i="9"/>
  <c r="AP132" i="9"/>
  <c r="BT132" i="9"/>
  <c r="CI132" i="8"/>
  <c r="AN130" i="9"/>
  <c r="CG130" i="8"/>
  <c r="AQ129" i="9"/>
  <c r="BU129" i="9"/>
  <c r="AO127" i="9"/>
  <c r="BS127" i="9"/>
  <c r="CH127" i="8"/>
  <c r="AM125" i="9"/>
  <c r="BQ125" i="9"/>
  <c r="AP124" i="9"/>
  <c r="CI124" i="8"/>
  <c r="BT124" i="9"/>
  <c r="AN122" i="9"/>
  <c r="BR122" i="9"/>
  <c r="CG122" i="8"/>
  <c r="AQ121" i="9"/>
  <c r="BU121" i="9"/>
  <c r="AO155" i="9"/>
  <c r="BS155" i="9"/>
  <c r="AM153" i="9"/>
  <c r="BQ153" i="9"/>
  <c r="CF153" i="8"/>
  <c r="AP152" i="9"/>
  <c r="BT152" i="9"/>
  <c r="CI152" i="8"/>
  <c r="AN150" i="9"/>
  <c r="CG150" i="8"/>
  <c r="AQ149" i="9"/>
  <c r="BU149" i="9"/>
  <c r="CJ149" i="8"/>
  <c r="AO147" i="9"/>
  <c r="BS147" i="9"/>
  <c r="AM145" i="9"/>
  <c r="BQ145" i="9"/>
  <c r="CF145" i="8"/>
  <c r="AP144" i="9"/>
  <c r="BT144" i="9"/>
  <c r="CI144" i="8"/>
  <c r="AN142" i="9"/>
  <c r="BR142" i="9"/>
  <c r="CG142" i="8"/>
  <c r="AQ141" i="9"/>
  <c r="BU141" i="9"/>
  <c r="CJ141" i="8"/>
  <c r="AO139" i="9"/>
  <c r="BS139" i="9"/>
  <c r="AM137" i="9"/>
  <c r="BQ137" i="9"/>
  <c r="CF137" i="8"/>
  <c r="AP136" i="9"/>
  <c r="BT136" i="9"/>
  <c r="CI136" i="8"/>
  <c r="AN134" i="9"/>
  <c r="CG134" i="8"/>
  <c r="BR134" i="9"/>
  <c r="AQ170" i="9"/>
  <c r="BU170" i="9"/>
  <c r="AO168" i="9"/>
  <c r="BS168" i="9"/>
  <c r="AM166" i="9"/>
  <c r="BQ166" i="9"/>
  <c r="AP165" i="9"/>
  <c r="BT165" i="9"/>
  <c r="CI165" i="8"/>
  <c r="AN163" i="9"/>
  <c r="BR163" i="9"/>
  <c r="CG163" i="8"/>
  <c r="AQ162" i="9"/>
  <c r="BU162" i="9"/>
  <c r="AO160" i="9"/>
  <c r="BS160" i="9"/>
  <c r="AM158" i="9"/>
  <c r="BQ158" i="9"/>
  <c r="AP157" i="9"/>
  <c r="BT157" i="9"/>
  <c r="CI157" i="8"/>
  <c r="CG169" i="8"/>
  <c r="CJ162" i="8"/>
  <c r="CI158" i="8"/>
  <c r="CF154" i="8"/>
  <c r="CG137" i="8"/>
  <c r="CF133" i="8"/>
  <c r="CH128" i="8"/>
  <c r="BQ146" i="9"/>
  <c r="AM130" i="9"/>
  <c r="BQ130" i="9"/>
  <c r="AQ126" i="9"/>
  <c r="BU126" i="9"/>
  <c r="AN155" i="9"/>
  <c r="BR155" i="9"/>
  <c r="CG155" i="8"/>
  <c r="AQ159" i="9"/>
  <c r="CJ159" i="8"/>
  <c r="BU159" i="9"/>
  <c r="CI166" i="8"/>
  <c r="AN132" i="9"/>
  <c r="BR132" i="9"/>
  <c r="CG132" i="8"/>
  <c r="AQ131" i="9"/>
  <c r="CJ131" i="8"/>
  <c r="BU131" i="9"/>
  <c r="AO129" i="9"/>
  <c r="CH129" i="8"/>
  <c r="BS129" i="9"/>
  <c r="AM127" i="9"/>
  <c r="CF127" i="8"/>
  <c r="BQ127" i="9"/>
  <c r="AP126" i="9"/>
  <c r="BT126" i="9"/>
  <c r="AN124" i="9"/>
  <c r="BR124" i="9"/>
  <c r="CG124" i="8"/>
  <c r="AQ123" i="9"/>
  <c r="CJ123" i="8"/>
  <c r="AO121" i="9"/>
  <c r="CH121" i="8"/>
  <c r="AM155" i="9"/>
  <c r="BQ155" i="9"/>
  <c r="CF155" i="8"/>
  <c r="AP154" i="9"/>
  <c r="BT154" i="9"/>
  <c r="CI154" i="8"/>
  <c r="AN152" i="9"/>
  <c r="BR152" i="9"/>
  <c r="AQ151" i="9"/>
  <c r="CJ151" i="8"/>
  <c r="BU151" i="9"/>
  <c r="AO149" i="9"/>
  <c r="BS149" i="9"/>
  <c r="CH149" i="8"/>
  <c r="AM147" i="9"/>
  <c r="CF147" i="8"/>
  <c r="BQ147" i="9"/>
  <c r="AP146" i="9"/>
  <c r="BT146" i="9"/>
  <c r="CI146" i="8"/>
  <c r="AN144" i="9"/>
  <c r="BR144" i="9"/>
  <c r="AQ143" i="9"/>
  <c r="CJ143" i="8"/>
  <c r="AO141" i="9"/>
  <c r="BS141" i="9"/>
  <c r="CH141" i="8"/>
  <c r="AM139" i="9"/>
  <c r="CF139" i="8"/>
  <c r="BQ139" i="9"/>
  <c r="AP138" i="9"/>
  <c r="BT138" i="9"/>
  <c r="CI138" i="8"/>
  <c r="AN136" i="9"/>
  <c r="BR136" i="9"/>
  <c r="AQ135" i="9"/>
  <c r="BU135" i="9"/>
  <c r="CJ135" i="8"/>
  <c r="AO170" i="9"/>
  <c r="BS170" i="9"/>
  <c r="AM168" i="9"/>
  <c r="BQ168" i="9"/>
  <c r="CF168" i="8"/>
  <c r="AP167" i="9"/>
  <c r="AN165" i="9"/>
  <c r="AQ164" i="9"/>
  <c r="BU164" i="9"/>
  <c r="CJ164" i="8"/>
  <c r="AO162" i="9"/>
  <c r="BS162" i="9"/>
  <c r="CH162" i="8"/>
  <c r="AM160" i="9"/>
  <c r="BQ160" i="9"/>
  <c r="CF160" i="8"/>
  <c r="AP159" i="9"/>
  <c r="BT159" i="9"/>
  <c r="AN157" i="9"/>
  <c r="BR157" i="9"/>
  <c r="CJ170" i="8"/>
  <c r="CJ168" i="8"/>
  <c r="CF166" i="8"/>
  <c r="CG157" i="8"/>
  <c r="CG153" i="8"/>
  <c r="CH140" i="8"/>
  <c r="CG136" i="8"/>
  <c r="CI127" i="8"/>
  <c r="AO132" i="9"/>
  <c r="BS132" i="9"/>
  <c r="AP129" i="9"/>
  <c r="BT129" i="9"/>
  <c r="CI129" i="8"/>
  <c r="AN127" i="9"/>
  <c r="CG127" i="8"/>
  <c r="BR127" i="9"/>
  <c r="AO124" i="9"/>
  <c r="BS124" i="9"/>
  <c r="BQ122" i="9"/>
  <c r="AM122" i="9"/>
  <c r="AP121" i="9"/>
  <c r="BT121" i="9"/>
  <c r="CI121" i="8"/>
  <c r="AQ154" i="9"/>
  <c r="AO152" i="9"/>
  <c r="AM150" i="9"/>
  <c r="BQ150" i="9"/>
  <c r="AP149" i="9"/>
  <c r="BT149" i="9"/>
  <c r="CI149" i="8"/>
  <c r="AN147" i="9"/>
  <c r="BR147" i="9"/>
  <c r="CG147" i="8"/>
  <c r="AQ146" i="9"/>
  <c r="BU146" i="9"/>
  <c r="AO144" i="9"/>
  <c r="BS144" i="9"/>
  <c r="AM142" i="9"/>
  <c r="AP141" i="9"/>
  <c r="BT141" i="9"/>
  <c r="CI141" i="8"/>
  <c r="AN139" i="9"/>
  <c r="BR139" i="9"/>
  <c r="CG139" i="8"/>
  <c r="AQ138" i="9"/>
  <c r="BU138" i="9"/>
  <c r="AO136" i="9"/>
  <c r="BS136" i="9"/>
  <c r="AM134" i="9"/>
  <c r="BQ134" i="9"/>
  <c r="AP170" i="9"/>
  <c r="BT170" i="9"/>
  <c r="AN168" i="9"/>
  <c r="BR168" i="9"/>
  <c r="AQ167" i="9"/>
  <c r="BU167" i="9"/>
  <c r="CJ167" i="8"/>
  <c r="AO165" i="9"/>
  <c r="BS165" i="9"/>
  <c r="CH165" i="8"/>
  <c r="AM163" i="9"/>
  <c r="CF163" i="8"/>
  <c r="AP162" i="9"/>
  <c r="BT162" i="9"/>
  <c r="CI162" i="8"/>
  <c r="AN160" i="9"/>
  <c r="BR160" i="9"/>
  <c r="AO157" i="9"/>
  <c r="BS157" i="9"/>
  <c r="CH157" i="8"/>
  <c r="CH136" i="8"/>
  <c r="AM132" i="9"/>
  <c r="BQ132" i="9"/>
  <c r="CF132" i="8"/>
  <c r="AP131" i="9"/>
  <c r="BT131" i="9"/>
  <c r="AN129" i="9"/>
  <c r="BR129" i="9"/>
  <c r="AQ128" i="9"/>
  <c r="CJ128" i="8"/>
  <c r="BU128" i="9"/>
  <c r="AO126" i="9"/>
  <c r="BS126" i="9"/>
  <c r="CH126" i="8"/>
  <c r="AM124" i="9"/>
  <c r="CF124" i="8"/>
  <c r="BQ124" i="9"/>
  <c r="AP123" i="9"/>
  <c r="BT123" i="9"/>
  <c r="AN121" i="9"/>
  <c r="BR121" i="9"/>
  <c r="AQ156" i="9"/>
  <c r="BU156" i="9"/>
  <c r="CJ156" i="8"/>
  <c r="AO154" i="9"/>
  <c r="BS154" i="9"/>
  <c r="CH154" i="8"/>
  <c r="AM152" i="9"/>
  <c r="BQ152" i="9"/>
  <c r="CF152" i="8"/>
  <c r="AP151" i="9"/>
  <c r="BT151" i="9"/>
  <c r="AN149" i="9"/>
  <c r="BR149" i="9"/>
  <c r="AQ148" i="9"/>
  <c r="BU148" i="9"/>
  <c r="CJ148" i="8"/>
  <c r="AO146" i="9"/>
  <c r="BS146" i="9"/>
  <c r="CH146" i="8"/>
  <c r="AM144" i="9"/>
  <c r="BQ144" i="9"/>
  <c r="CF144" i="8"/>
  <c r="AP143" i="9"/>
  <c r="BT143" i="9"/>
  <c r="BR141" i="9"/>
  <c r="AN141" i="9"/>
  <c r="AQ140" i="9"/>
  <c r="BU140" i="9"/>
  <c r="CJ140" i="8"/>
  <c r="AO138" i="9"/>
  <c r="BS138" i="9"/>
  <c r="CH138" i="8"/>
  <c r="AM136" i="9"/>
  <c r="BQ136" i="9"/>
  <c r="CF136" i="8"/>
  <c r="AP135" i="9"/>
  <c r="AN170" i="9"/>
  <c r="BR170" i="9"/>
  <c r="AQ169" i="9"/>
  <c r="BU169" i="9"/>
  <c r="AO167" i="9"/>
  <c r="BS167" i="9"/>
  <c r="CH167" i="8"/>
  <c r="AM165" i="9"/>
  <c r="BQ165" i="9"/>
  <c r="AP164" i="9"/>
  <c r="CI164" i="8"/>
  <c r="BT164" i="9"/>
  <c r="AN162" i="9"/>
  <c r="BR162" i="9"/>
  <c r="CG162" i="8"/>
  <c r="AQ161" i="9"/>
  <c r="BU161" i="9"/>
  <c r="AO159" i="9"/>
  <c r="BS159" i="9"/>
  <c r="CH159" i="8"/>
  <c r="AM157" i="9"/>
  <c r="BQ157" i="9"/>
  <c r="CI170" i="8"/>
  <c r="CI168" i="8"/>
  <c r="CG165" i="8"/>
  <c r="CG161" i="8"/>
  <c r="CF157" i="8"/>
  <c r="CH152" i="8"/>
  <c r="CH148" i="8"/>
  <c r="CG144" i="8"/>
  <c r="CI139" i="8"/>
  <c r="CI135" i="8"/>
  <c r="CH131" i="8"/>
  <c r="CJ126" i="8"/>
  <c r="CJ122" i="8"/>
  <c r="BT139" i="9"/>
  <c r="AM154" i="9"/>
  <c r="AM129" i="9"/>
  <c r="BQ129" i="9"/>
  <c r="CF129" i="8"/>
  <c r="AP128" i="9"/>
  <c r="CI128" i="8"/>
  <c r="BT128" i="9"/>
  <c r="AN126" i="9"/>
  <c r="BR126" i="9"/>
  <c r="CG126" i="8"/>
  <c r="AQ125" i="9"/>
  <c r="BU125" i="9"/>
  <c r="CJ125" i="8"/>
  <c r="AO123" i="9"/>
  <c r="BS123" i="9"/>
  <c r="AM121" i="9"/>
  <c r="BQ121" i="9"/>
  <c r="CF121" i="8"/>
  <c r="AP156" i="9"/>
  <c r="CI156" i="8"/>
  <c r="AN154" i="9"/>
  <c r="BR154" i="9"/>
  <c r="CG154" i="8"/>
  <c r="AQ153" i="9"/>
  <c r="BU153" i="9"/>
  <c r="AO151" i="9"/>
  <c r="BS151" i="9"/>
  <c r="CH151" i="8"/>
  <c r="AM149" i="9"/>
  <c r="BQ149" i="9"/>
  <c r="AP148" i="9"/>
  <c r="BT148" i="9"/>
  <c r="CI148" i="8"/>
  <c r="AN146" i="9"/>
  <c r="BR146" i="9"/>
  <c r="CG146" i="8"/>
  <c r="AQ145" i="9"/>
  <c r="BU145" i="9"/>
  <c r="AO143" i="9"/>
  <c r="BS143" i="9"/>
  <c r="CH143" i="8"/>
  <c r="AM141" i="9"/>
  <c r="BQ141" i="9"/>
  <c r="AP140" i="9"/>
  <c r="BT140" i="9"/>
  <c r="CI140" i="8"/>
  <c r="AN138" i="9"/>
  <c r="BR138" i="9"/>
  <c r="CG138" i="8"/>
  <c r="AQ137" i="9"/>
  <c r="BU137" i="9"/>
  <c r="AO135" i="9"/>
  <c r="BS135" i="9"/>
  <c r="CH135" i="8"/>
  <c r="AM170" i="9"/>
  <c r="BQ170" i="9"/>
  <c r="AP169" i="9"/>
  <c r="BT169" i="9"/>
  <c r="CI169" i="8"/>
  <c r="AN167" i="9"/>
  <c r="BR167" i="9"/>
  <c r="CG167" i="8"/>
  <c r="AQ166" i="9"/>
  <c r="BU166" i="9"/>
  <c r="AO164" i="9"/>
  <c r="BS164" i="9"/>
  <c r="AM162" i="9"/>
  <c r="BQ162" i="9"/>
  <c r="AP161" i="9"/>
  <c r="BT161" i="9"/>
  <c r="CI161" i="8"/>
  <c r="AN159" i="9"/>
  <c r="BR159" i="9"/>
  <c r="CG159" i="8"/>
  <c r="AQ158" i="9"/>
  <c r="CH170" i="8"/>
  <c r="CH168" i="8"/>
  <c r="CF165" i="8"/>
  <c r="CH160" i="8"/>
  <c r="CH156" i="8"/>
  <c r="CG152" i="8"/>
  <c r="CI147" i="8"/>
  <c r="CI143" i="8"/>
  <c r="CH139" i="8"/>
  <c r="CJ134" i="8"/>
  <c r="CJ130" i="8"/>
  <c r="CI126" i="8"/>
  <c r="CF122" i="8"/>
  <c r="BU154" i="9"/>
  <c r="BS137" i="9"/>
  <c r="AO128" i="9"/>
  <c r="S10" i="13" l="1"/>
  <c r="AH6" i="10"/>
  <c r="AV22" i="8"/>
  <c r="AV9" i="8"/>
  <c r="AW17" i="8"/>
  <c r="AT122" i="9" l="1"/>
  <c r="AV124" i="9"/>
  <c r="AS127" i="9"/>
  <c r="AU129" i="9"/>
  <c r="AR132" i="9"/>
  <c r="AT134" i="9"/>
  <c r="AV136" i="9"/>
  <c r="AS139" i="9"/>
  <c r="AU141" i="9"/>
  <c r="AR144" i="9"/>
  <c r="AT146" i="9"/>
  <c r="AV148" i="9"/>
  <c r="AS151" i="9"/>
  <c r="AU153" i="9"/>
  <c r="AR156" i="9"/>
  <c r="AT158" i="9"/>
  <c r="AV160" i="9"/>
  <c r="AS163" i="9"/>
  <c r="AU165" i="9"/>
  <c r="AR168" i="9"/>
  <c r="AT170" i="9"/>
  <c r="AT129" i="9"/>
  <c r="AT153" i="9"/>
  <c r="AU122" i="9"/>
  <c r="AR125" i="9"/>
  <c r="AT127" i="9"/>
  <c r="AV129" i="9"/>
  <c r="AS132" i="9"/>
  <c r="AU134" i="9"/>
  <c r="AR137" i="9"/>
  <c r="AT139" i="9"/>
  <c r="AV141" i="9"/>
  <c r="AS144" i="9"/>
  <c r="AU146" i="9"/>
  <c r="AR149" i="9"/>
  <c r="AT151" i="9"/>
  <c r="AV153" i="9"/>
  <c r="AS156" i="9"/>
  <c r="AU158" i="9"/>
  <c r="AR161" i="9"/>
  <c r="AT163" i="9"/>
  <c r="AV165" i="9"/>
  <c r="AS168" i="9"/>
  <c r="AU170" i="9"/>
  <c r="AS146" i="9"/>
  <c r="AV122" i="9"/>
  <c r="AS125" i="9"/>
  <c r="AU127" i="9"/>
  <c r="AR130" i="9"/>
  <c r="AT132" i="9"/>
  <c r="AV134" i="9"/>
  <c r="AS137" i="9"/>
  <c r="AU139" i="9"/>
  <c r="AR142" i="9"/>
  <c r="AT144" i="9"/>
  <c r="AV146" i="9"/>
  <c r="AS149" i="9"/>
  <c r="AU151" i="9"/>
  <c r="AR154" i="9"/>
  <c r="AT156" i="9"/>
  <c r="AV158" i="9"/>
  <c r="AS161" i="9"/>
  <c r="AU163" i="9"/>
  <c r="AR166" i="9"/>
  <c r="AT168" i="9"/>
  <c r="AV170" i="9"/>
  <c r="AU136" i="9"/>
  <c r="AR123" i="9"/>
  <c r="AT125" i="9"/>
  <c r="AV127" i="9"/>
  <c r="AS130" i="9"/>
  <c r="AU132" i="9"/>
  <c r="AR135" i="9"/>
  <c r="AT137" i="9"/>
  <c r="AV139" i="9"/>
  <c r="AS142" i="9"/>
  <c r="AU144" i="9"/>
  <c r="AR147" i="9"/>
  <c r="AT149" i="9"/>
  <c r="AV151" i="9"/>
  <c r="AS154" i="9"/>
  <c r="AU156" i="9"/>
  <c r="AR159" i="9"/>
  <c r="AT161" i="9"/>
  <c r="AV163" i="9"/>
  <c r="AS166" i="9"/>
  <c r="AU168" i="9"/>
  <c r="AS122" i="9"/>
  <c r="AV143" i="9"/>
  <c r="AR163" i="9"/>
  <c r="AS123" i="9"/>
  <c r="AU125" i="9"/>
  <c r="AR128" i="9"/>
  <c r="AT130" i="9"/>
  <c r="AV132" i="9"/>
  <c r="AS135" i="9"/>
  <c r="AU137" i="9"/>
  <c r="AR140" i="9"/>
  <c r="AT142" i="9"/>
  <c r="AV144" i="9"/>
  <c r="AS147" i="9"/>
  <c r="AU149" i="9"/>
  <c r="AR152" i="9"/>
  <c r="AT154" i="9"/>
  <c r="AV156" i="9"/>
  <c r="AS159" i="9"/>
  <c r="AU161" i="9"/>
  <c r="AR164" i="9"/>
  <c r="AT166" i="9"/>
  <c r="AV168" i="9"/>
  <c r="AR139" i="9"/>
  <c r="AU160" i="9"/>
  <c r="AR121" i="9"/>
  <c r="AT123" i="9"/>
  <c r="AV125" i="9"/>
  <c r="AS128" i="9"/>
  <c r="AU130" i="9"/>
  <c r="AR133" i="9"/>
  <c r="AT135" i="9"/>
  <c r="AV137" i="9"/>
  <c r="AS140" i="9"/>
  <c r="AU142" i="9"/>
  <c r="AR145" i="9"/>
  <c r="AT147" i="9"/>
  <c r="AV149" i="9"/>
  <c r="AS152" i="9"/>
  <c r="AU154" i="9"/>
  <c r="AR157" i="9"/>
  <c r="AT159" i="9"/>
  <c r="AV161" i="9"/>
  <c r="AS164" i="9"/>
  <c r="AU166" i="9"/>
  <c r="AR169" i="9"/>
  <c r="AV155" i="9"/>
  <c r="AS121" i="9"/>
  <c r="AU123" i="9"/>
  <c r="AR126" i="9"/>
  <c r="AT128" i="9"/>
  <c r="AV130" i="9"/>
  <c r="AS133" i="9"/>
  <c r="AU135" i="9"/>
  <c r="AR138" i="9"/>
  <c r="AT140" i="9"/>
  <c r="AV142" i="9"/>
  <c r="AS145" i="9"/>
  <c r="AU147" i="9"/>
  <c r="AR150" i="9"/>
  <c r="AT152" i="9"/>
  <c r="AV154" i="9"/>
  <c r="AS157" i="9"/>
  <c r="AU159" i="9"/>
  <c r="AR162" i="9"/>
  <c r="AT164" i="9"/>
  <c r="AV166" i="9"/>
  <c r="AS169" i="9"/>
  <c r="AR127" i="9"/>
  <c r="AR151" i="9"/>
  <c r="AT121" i="9"/>
  <c r="AV123" i="9"/>
  <c r="AS126" i="9"/>
  <c r="AU128" i="9"/>
  <c r="AR131" i="9"/>
  <c r="AT133" i="9"/>
  <c r="AV135" i="9"/>
  <c r="AS138" i="9"/>
  <c r="AU140" i="9"/>
  <c r="AR143" i="9"/>
  <c r="AT145" i="9"/>
  <c r="AV147" i="9"/>
  <c r="AS150" i="9"/>
  <c r="AU152" i="9"/>
  <c r="AR155" i="9"/>
  <c r="AT157" i="9"/>
  <c r="AV159" i="9"/>
  <c r="AS162" i="9"/>
  <c r="AU164" i="9"/>
  <c r="AR167" i="9"/>
  <c r="AT169" i="9"/>
  <c r="AU124" i="9"/>
  <c r="AU148" i="9"/>
  <c r="AV167" i="9"/>
  <c r="AU121" i="9"/>
  <c r="AR124" i="9"/>
  <c r="AT126" i="9"/>
  <c r="AV128" i="9"/>
  <c r="AS131" i="9"/>
  <c r="AU133" i="9"/>
  <c r="AR136" i="9"/>
  <c r="AT138" i="9"/>
  <c r="AV140" i="9"/>
  <c r="AS143" i="9"/>
  <c r="AU145" i="9"/>
  <c r="AR148" i="9"/>
  <c r="AT150" i="9"/>
  <c r="AV152" i="9"/>
  <c r="AS155" i="9"/>
  <c r="AU157" i="9"/>
  <c r="AR160" i="9"/>
  <c r="AT162" i="9"/>
  <c r="AV164" i="9"/>
  <c r="AS167" i="9"/>
  <c r="AU169" i="9"/>
  <c r="AT141" i="9"/>
  <c r="AS170" i="9"/>
  <c r="AV121" i="9"/>
  <c r="AS124" i="9"/>
  <c r="AU126" i="9"/>
  <c r="AR129" i="9"/>
  <c r="AT131" i="9"/>
  <c r="AV133" i="9"/>
  <c r="AS136" i="9"/>
  <c r="AU138" i="9"/>
  <c r="AR141" i="9"/>
  <c r="AT143" i="9"/>
  <c r="AV145" i="9"/>
  <c r="AS148" i="9"/>
  <c r="AU150" i="9"/>
  <c r="AR153" i="9"/>
  <c r="AT155" i="9"/>
  <c r="AV157" i="9"/>
  <c r="AS160" i="9"/>
  <c r="AU162" i="9"/>
  <c r="AR165" i="9"/>
  <c r="AT167" i="9"/>
  <c r="AV169" i="9"/>
  <c r="AV131" i="9"/>
  <c r="AT165" i="9"/>
  <c r="AR122" i="9"/>
  <c r="AT124" i="9"/>
  <c r="AV126" i="9"/>
  <c r="AS129" i="9"/>
  <c r="AU131" i="9"/>
  <c r="AR134" i="9"/>
  <c r="AT136" i="9"/>
  <c r="AV138" i="9"/>
  <c r="AS141" i="9"/>
  <c r="AU143" i="9"/>
  <c r="AR146" i="9"/>
  <c r="AT148" i="9"/>
  <c r="AV150" i="9"/>
  <c r="AS153" i="9"/>
  <c r="AU155" i="9"/>
  <c r="AR158" i="9"/>
  <c r="AT160" i="9"/>
  <c r="AV162" i="9"/>
  <c r="AS165" i="9"/>
  <c r="AU167" i="9"/>
  <c r="AR170" i="9"/>
  <c r="AS134" i="9"/>
  <c r="AS158" i="9"/>
  <c r="AW15" i="8"/>
  <c r="AW16" i="8"/>
  <c r="AW14" i="8"/>
  <c r="AW22" i="8" l="1"/>
  <c r="D2" i="13"/>
  <c r="J20" i="13" l="1"/>
  <c r="J10" i="13"/>
  <c r="J11" i="13"/>
  <c r="J9" i="13"/>
  <c r="J19" i="13"/>
  <c r="L20" i="13"/>
  <c r="L19" i="13"/>
  <c r="H18" i="13"/>
  <c r="L18" i="13" s="1"/>
  <c r="H17" i="13"/>
  <c r="L17" i="13" s="1"/>
  <c r="L14" i="13"/>
  <c r="H16" i="13"/>
  <c r="L16" i="13" s="1"/>
  <c r="H15" i="13"/>
  <c r="L15" i="13" s="1"/>
  <c r="H12" i="13"/>
  <c r="J12" i="13" s="1"/>
  <c r="L13" i="13"/>
  <c r="J16" i="13" l="1"/>
  <c r="J15" i="13"/>
  <c r="J18" i="13"/>
  <c r="J13" i="13"/>
  <c r="J14" i="13"/>
  <c r="J17" i="13"/>
  <c r="T10" i="13"/>
  <c r="H21" i="13" s="1"/>
  <c r="J21" i="13" s="1"/>
  <c r="I23" i="13"/>
  <c r="L12" i="13"/>
  <c r="N18" i="10" l="1"/>
  <c r="W8" i="10" l="1"/>
  <c r="W11" i="10"/>
  <c r="W16" i="10"/>
  <c r="W19" i="10"/>
  <c r="W24" i="10"/>
  <c r="W27" i="10"/>
  <c r="W32" i="10"/>
  <c r="W35" i="10"/>
  <c r="W40" i="10"/>
  <c r="W43" i="10"/>
  <c r="W48" i="10"/>
  <c r="W51" i="10"/>
  <c r="W56" i="10"/>
  <c r="W59" i="10"/>
  <c r="W64" i="10"/>
  <c r="W67" i="10"/>
  <c r="W72" i="10"/>
  <c r="W75" i="10"/>
  <c r="W80" i="10"/>
  <c r="W83" i="10"/>
  <c r="W88" i="10"/>
  <c r="W91" i="10"/>
  <c r="W96" i="10"/>
  <c r="W99" i="10"/>
  <c r="W104" i="10"/>
  <c r="N5" i="10"/>
  <c r="N6" i="10"/>
  <c r="U6" i="10"/>
  <c r="W6" i="10" s="1"/>
  <c r="U7" i="10"/>
  <c r="W7" i="10" s="1"/>
  <c r="U8" i="10"/>
  <c r="U9" i="10"/>
  <c r="W9" i="10" s="1"/>
  <c r="U10" i="10"/>
  <c r="W10" i="10" s="1"/>
  <c r="U11" i="10"/>
  <c r="U12" i="10"/>
  <c r="W12" i="10" s="1"/>
  <c r="U13" i="10"/>
  <c r="W13" i="10" s="1"/>
  <c r="U14" i="10"/>
  <c r="W14" i="10" s="1"/>
  <c r="U15" i="10"/>
  <c r="W15" i="10" s="1"/>
  <c r="U16" i="10"/>
  <c r="U17" i="10"/>
  <c r="W17" i="10" s="1"/>
  <c r="U18" i="10"/>
  <c r="W18" i="10" s="1"/>
  <c r="U19" i="10"/>
  <c r="U20" i="10"/>
  <c r="W20" i="10" s="1"/>
  <c r="U21" i="10"/>
  <c r="W21" i="10" s="1"/>
  <c r="U22" i="10"/>
  <c r="W22" i="10" s="1"/>
  <c r="U23" i="10"/>
  <c r="W23" i="10" s="1"/>
  <c r="U24" i="10"/>
  <c r="U25" i="10"/>
  <c r="W25" i="10" s="1"/>
  <c r="U26" i="10"/>
  <c r="W26" i="10" s="1"/>
  <c r="U27" i="10"/>
  <c r="U28" i="10"/>
  <c r="W28" i="10" s="1"/>
  <c r="U29" i="10"/>
  <c r="W29" i="10" s="1"/>
  <c r="U30" i="10"/>
  <c r="W30" i="10" s="1"/>
  <c r="U31" i="10"/>
  <c r="W31" i="10" s="1"/>
  <c r="U32" i="10"/>
  <c r="U33" i="10"/>
  <c r="W33" i="10" s="1"/>
  <c r="U34" i="10"/>
  <c r="W34" i="10" s="1"/>
  <c r="U35" i="10"/>
  <c r="U36" i="10"/>
  <c r="W36" i="10" s="1"/>
  <c r="U37" i="10"/>
  <c r="W37" i="10" s="1"/>
  <c r="U38" i="10"/>
  <c r="W38" i="10" s="1"/>
  <c r="U39" i="10"/>
  <c r="W39" i="10" s="1"/>
  <c r="U40" i="10"/>
  <c r="U41" i="10"/>
  <c r="W41" i="10" s="1"/>
  <c r="U42" i="10"/>
  <c r="W42" i="10" s="1"/>
  <c r="U43" i="10"/>
  <c r="U44" i="10"/>
  <c r="W44" i="10" s="1"/>
  <c r="U45" i="10"/>
  <c r="W45" i="10" s="1"/>
  <c r="U46" i="10"/>
  <c r="W46" i="10" s="1"/>
  <c r="U47" i="10"/>
  <c r="W47" i="10" s="1"/>
  <c r="U48" i="10"/>
  <c r="U49" i="10"/>
  <c r="W49" i="10" s="1"/>
  <c r="U50" i="10"/>
  <c r="W50" i="10" s="1"/>
  <c r="U51" i="10"/>
  <c r="U52" i="10"/>
  <c r="W52" i="10" s="1"/>
  <c r="U53" i="10"/>
  <c r="W53" i="10" s="1"/>
  <c r="U54" i="10"/>
  <c r="W54" i="10" s="1"/>
  <c r="U55" i="10"/>
  <c r="W55" i="10" s="1"/>
  <c r="U56" i="10"/>
  <c r="U57" i="10"/>
  <c r="W57" i="10" s="1"/>
  <c r="U58" i="10"/>
  <c r="W58" i="10" s="1"/>
  <c r="U59" i="10"/>
  <c r="U60" i="10"/>
  <c r="W60" i="10" s="1"/>
  <c r="U61" i="10"/>
  <c r="W61" i="10" s="1"/>
  <c r="U62" i="10"/>
  <c r="W62" i="10" s="1"/>
  <c r="U63" i="10"/>
  <c r="W63" i="10" s="1"/>
  <c r="U64" i="10"/>
  <c r="U65" i="10"/>
  <c r="W65" i="10" s="1"/>
  <c r="U66" i="10"/>
  <c r="W66" i="10" s="1"/>
  <c r="U67" i="10"/>
  <c r="U68" i="10"/>
  <c r="W68" i="10" s="1"/>
  <c r="U69" i="10"/>
  <c r="W69" i="10" s="1"/>
  <c r="U70" i="10"/>
  <c r="W70" i="10" s="1"/>
  <c r="U71" i="10"/>
  <c r="W71" i="10" s="1"/>
  <c r="U72" i="10"/>
  <c r="U73" i="10"/>
  <c r="W73" i="10" s="1"/>
  <c r="U74" i="10"/>
  <c r="W74" i="10" s="1"/>
  <c r="U75" i="10"/>
  <c r="U76" i="10"/>
  <c r="W76" i="10" s="1"/>
  <c r="U77" i="10"/>
  <c r="W77" i="10" s="1"/>
  <c r="U78" i="10"/>
  <c r="W78" i="10" s="1"/>
  <c r="U79" i="10"/>
  <c r="W79" i="10" s="1"/>
  <c r="U80" i="10"/>
  <c r="U81" i="10"/>
  <c r="W81" i="10" s="1"/>
  <c r="U82" i="10"/>
  <c r="W82" i="10" s="1"/>
  <c r="U83" i="10"/>
  <c r="U84" i="10"/>
  <c r="W84" i="10" s="1"/>
  <c r="U85" i="10"/>
  <c r="W85" i="10" s="1"/>
  <c r="U86" i="10"/>
  <c r="W86" i="10" s="1"/>
  <c r="U87" i="10"/>
  <c r="W87" i="10" s="1"/>
  <c r="U88" i="10"/>
  <c r="U89" i="10"/>
  <c r="W89" i="10" s="1"/>
  <c r="U90" i="10"/>
  <c r="W90" i="10" s="1"/>
  <c r="U91" i="10"/>
  <c r="U92" i="10"/>
  <c r="W92" i="10" s="1"/>
  <c r="U93" i="10"/>
  <c r="W93" i="10" s="1"/>
  <c r="U94" i="10"/>
  <c r="W94" i="10" s="1"/>
  <c r="U95" i="10"/>
  <c r="W95" i="10" s="1"/>
  <c r="U96" i="10"/>
  <c r="U97" i="10"/>
  <c r="W97" i="10" s="1"/>
  <c r="U98" i="10"/>
  <c r="W98" i="10" s="1"/>
  <c r="U99" i="10"/>
  <c r="U100" i="10"/>
  <c r="W100" i="10" s="1"/>
  <c r="U101" i="10"/>
  <c r="W101" i="10" s="1"/>
  <c r="U102" i="10"/>
  <c r="W102" i="10" s="1"/>
  <c r="U103" i="10"/>
  <c r="W103" i="10" s="1"/>
  <c r="U104" i="10"/>
  <c r="U105" i="10"/>
  <c r="W105" i="10" s="1"/>
  <c r="U5" i="10"/>
  <c r="W5" i="10" s="1"/>
  <c r="Y46" i="10" l="1"/>
  <c r="Y68" i="10"/>
  <c r="T22" i="10"/>
  <c r="T68" i="10"/>
  <c r="T5" i="10"/>
  <c r="S6" i="10"/>
  <c r="S7" i="10"/>
  <c r="S8" i="10"/>
  <c r="S9" i="10"/>
  <c r="S10" i="10"/>
  <c r="V10" i="10" s="1"/>
  <c r="X10" i="10" s="1"/>
  <c r="Y10" i="10" s="1"/>
  <c r="S11" i="10"/>
  <c r="S12" i="10"/>
  <c r="S13" i="10"/>
  <c r="S14" i="10"/>
  <c r="S15" i="10"/>
  <c r="S16" i="10"/>
  <c r="S17" i="10"/>
  <c r="S18" i="10"/>
  <c r="V18" i="10" s="1"/>
  <c r="X18" i="10" s="1"/>
  <c r="Y18" i="10" s="1"/>
  <c r="S19" i="10"/>
  <c r="S20" i="10"/>
  <c r="S21" i="10"/>
  <c r="S22" i="10"/>
  <c r="V22" i="10" s="1"/>
  <c r="X22" i="10" s="1"/>
  <c r="Y22" i="10" s="1"/>
  <c r="S23" i="10"/>
  <c r="S24" i="10"/>
  <c r="S25" i="10"/>
  <c r="S26" i="10"/>
  <c r="S27" i="10"/>
  <c r="S28" i="10"/>
  <c r="S29" i="10"/>
  <c r="S30" i="10"/>
  <c r="S31" i="10"/>
  <c r="S32" i="10"/>
  <c r="V32" i="10" s="1"/>
  <c r="X32" i="10" s="1"/>
  <c r="Y32" i="10" s="1"/>
  <c r="S33" i="10"/>
  <c r="S34" i="10"/>
  <c r="V34" i="10" s="1"/>
  <c r="X34" i="10" s="1"/>
  <c r="Y34" i="10" s="1"/>
  <c r="S35" i="10"/>
  <c r="S36" i="10"/>
  <c r="S37" i="10"/>
  <c r="S38" i="10"/>
  <c r="S39" i="10"/>
  <c r="S40" i="10"/>
  <c r="S41" i="10"/>
  <c r="S42" i="10"/>
  <c r="S43" i="10"/>
  <c r="V43" i="10" s="1"/>
  <c r="X43" i="10" s="1"/>
  <c r="Y43" i="10" s="1"/>
  <c r="S44" i="10"/>
  <c r="V44" i="10" s="1"/>
  <c r="X44" i="10" s="1"/>
  <c r="Y44" i="10" s="1"/>
  <c r="S45" i="10"/>
  <c r="S46" i="10"/>
  <c r="V46" i="10" s="1"/>
  <c r="X46" i="10" s="1"/>
  <c r="S47" i="10"/>
  <c r="S48" i="10"/>
  <c r="S49" i="10"/>
  <c r="S50" i="10"/>
  <c r="S51" i="10"/>
  <c r="S52" i="10"/>
  <c r="S53" i="10"/>
  <c r="S54" i="10"/>
  <c r="S55" i="10"/>
  <c r="V55" i="10" s="1"/>
  <c r="X55" i="10" s="1"/>
  <c r="Y55" i="10" s="1"/>
  <c r="S56" i="10"/>
  <c r="S57" i="10"/>
  <c r="S58" i="10"/>
  <c r="V58" i="10" s="1"/>
  <c r="X58" i="10" s="1"/>
  <c r="Y58" i="10" s="1"/>
  <c r="S59" i="10"/>
  <c r="S60" i="10"/>
  <c r="S61" i="10"/>
  <c r="S62" i="10"/>
  <c r="S63" i="10"/>
  <c r="S64" i="10"/>
  <c r="S65" i="10"/>
  <c r="S66" i="10"/>
  <c r="S67" i="10"/>
  <c r="S68" i="10"/>
  <c r="V68" i="10" s="1"/>
  <c r="X68" i="10" s="1"/>
  <c r="S69" i="10"/>
  <c r="V69" i="10" s="1"/>
  <c r="X69" i="10" s="1"/>
  <c r="Y69" i="10" s="1"/>
  <c r="S70" i="10"/>
  <c r="V70" i="10" s="1"/>
  <c r="X70" i="10" s="1"/>
  <c r="Y70" i="10" s="1"/>
  <c r="S71" i="10"/>
  <c r="S72" i="10"/>
  <c r="S73" i="10"/>
  <c r="S74" i="10"/>
  <c r="S75" i="10"/>
  <c r="S76" i="10"/>
  <c r="S77" i="10"/>
  <c r="S78" i="10"/>
  <c r="S79" i="10"/>
  <c r="S80" i="10"/>
  <c r="S81" i="10"/>
  <c r="S82" i="10"/>
  <c r="V82" i="10" s="1"/>
  <c r="X82" i="10" s="1"/>
  <c r="Y82" i="10" s="1"/>
  <c r="S83" i="10"/>
  <c r="S84" i="10"/>
  <c r="S85" i="10"/>
  <c r="S86" i="10"/>
  <c r="S87" i="10"/>
  <c r="S88" i="10"/>
  <c r="S89" i="10"/>
  <c r="S90" i="10"/>
  <c r="S91" i="10"/>
  <c r="V91" i="10" s="1"/>
  <c r="X91" i="10" s="1"/>
  <c r="Y91" i="10" s="1"/>
  <c r="S92" i="10"/>
  <c r="S93" i="10"/>
  <c r="S94" i="10"/>
  <c r="V94" i="10" s="1"/>
  <c r="X94" i="10" s="1"/>
  <c r="Y94" i="10" s="1"/>
  <c r="S95" i="10"/>
  <c r="S96" i="10"/>
  <c r="S97" i="10"/>
  <c r="S98" i="10"/>
  <c r="S99" i="10"/>
  <c r="S100" i="10"/>
  <c r="S101" i="10"/>
  <c r="S102" i="10"/>
  <c r="V102" i="10" s="1"/>
  <c r="X102" i="10" s="1"/>
  <c r="Y102" i="10" s="1"/>
  <c r="S103" i="10"/>
  <c r="V103" i="10" s="1"/>
  <c r="X103" i="10" s="1"/>
  <c r="Y103" i="10" s="1"/>
  <c r="S104" i="10"/>
  <c r="S105" i="10"/>
  <c r="S5" i="10"/>
  <c r="V5" i="10" s="1"/>
  <c r="X5" i="10" s="1"/>
  <c r="Y5" i="10" s="1"/>
  <c r="T61" i="10" l="1"/>
  <c r="V61" i="10"/>
  <c r="X61" i="10" s="1"/>
  <c r="Y61" i="10" s="1"/>
  <c r="T100" i="10"/>
  <c r="V100" i="10"/>
  <c r="X100" i="10" s="1"/>
  <c r="Y100" i="10" s="1"/>
  <c r="T92" i="10"/>
  <c r="V92" i="10"/>
  <c r="X92" i="10" s="1"/>
  <c r="Y92" i="10" s="1"/>
  <c r="T84" i="10"/>
  <c r="V84" i="10"/>
  <c r="X84" i="10" s="1"/>
  <c r="Y84" i="10" s="1"/>
  <c r="T76" i="10"/>
  <c r="V76" i="10"/>
  <c r="X76" i="10" s="1"/>
  <c r="Y76" i="10" s="1"/>
  <c r="T60" i="10"/>
  <c r="V60" i="10"/>
  <c r="X60" i="10" s="1"/>
  <c r="Y60" i="10" s="1"/>
  <c r="T52" i="10"/>
  <c r="V52" i="10"/>
  <c r="X52" i="10" s="1"/>
  <c r="Y52" i="10" s="1"/>
  <c r="T36" i="10"/>
  <c r="V36" i="10"/>
  <c r="X36" i="10" s="1"/>
  <c r="Y36" i="10" s="1"/>
  <c r="T28" i="10"/>
  <c r="V28" i="10"/>
  <c r="X28" i="10" s="1"/>
  <c r="Y28" i="10" s="1"/>
  <c r="T20" i="10"/>
  <c r="V20" i="10"/>
  <c r="X20" i="10" s="1"/>
  <c r="Y20" i="10" s="1"/>
  <c r="T12" i="10"/>
  <c r="V12" i="10"/>
  <c r="X12" i="10" s="1"/>
  <c r="Y12" i="10" s="1"/>
  <c r="T103" i="10"/>
  <c r="T58" i="10"/>
  <c r="T18" i="10"/>
  <c r="T21" i="10"/>
  <c r="V21" i="10"/>
  <c r="X21" i="10" s="1"/>
  <c r="Y21" i="10" s="1"/>
  <c r="T99" i="10"/>
  <c r="V99" i="10"/>
  <c r="X99" i="10" s="1"/>
  <c r="Y99" i="10" s="1"/>
  <c r="T83" i="10"/>
  <c r="V83" i="10"/>
  <c r="X83" i="10" s="1"/>
  <c r="Y83" i="10" s="1"/>
  <c r="T75" i="10"/>
  <c r="V75" i="10"/>
  <c r="X75" i="10" s="1"/>
  <c r="Y75" i="10" s="1"/>
  <c r="T67" i="10"/>
  <c r="V67" i="10"/>
  <c r="X67" i="10" s="1"/>
  <c r="Y67" i="10" s="1"/>
  <c r="T59" i="10"/>
  <c r="V59" i="10"/>
  <c r="X59" i="10" s="1"/>
  <c r="Y59" i="10" s="1"/>
  <c r="T51" i="10"/>
  <c r="V51" i="10"/>
  <c r="X51" i="10" s="1"/>
  <c r="Y51" i="10" s="1"/>
  <c r="T35" i="10"/>
  <c r="V35" i="10"/>
  <c r="X35" i="10" s="1"/>
  <c r="Y35" i="10" s="1"/>
  <c r="T27" i="10"/>
  <c r="V27" i="10"/>
  <c r="X27" i="10" s="1"/>
  <c r="Y27" i="10" s="1"/>
  <c r="T19" i="10"/>
  <c r="V19" i="10"/>
  <c r="X19" i="10" s="1"/>
  <c r="Y19" i="10" s="1"/>
  <c r="T11" i="10"/>
  <c r="V11" i="10"/>
  <c r="X11" i="10" s="1"/>
  <c r="Y11" i="10" s="1"/>
  <c r="T102" i="10"/>
  <c r="T55" i="10"/>
  <c r="T10" i="10"/>
  <c r="T77" i="10"/>
  <c r="V77" i="10"/>
  <c r="X77" i="10" s="1"/>
  <c r="Y77" i="10" s="1"/>
  <c r="T45" i="10"/>
  <c r="V45" i="10"/>
  <c r="X45" i="10" s="1"/>
  <c r="Y45" i="10" s="1"/>
  <c r="T98" i="10"/>
  <c r="V98" i="10"/>
  <c r="X98" i="10" s="1"/>
  <c r="Y98" i="10" s="1"/>
  <c r="T66" i="10"/>
  <c r="V66" i="10"/>
  <c r="X66" i="10" s="1"/>
  <c r="Y66" i="10" s="1"/>
  <c r="T26" i="10"/>
  <c r="V26" i="10"/>
  <c r="X26" i="10" s="1"/>
  <c r="Y26" i="10" s="1"/>
  <c r="T94" i="10"/>
  <c r="T46" i="10"/>
  <c r="T85" i="10"/>
  <c r="V85" i="10"/>
  <c r="X85" i="10" s="1"/>
  <c r="Y85" i="10" s="1"/>
  <c r="T29" i="10"/>
  <c r="V29" i="10"/>
  <c r="X29" i="10" s="1"/>
  <c r="Y29" i="10" s="1"/>
  <c r="T42" i="10"/>
  <c r="V42" i="10"/>
  <c r="X42" i="10" s="1"/>
  <c r="Y42" i="10" s="1"/>
  <c r="T105" i="10"/>
  <c r="V105" i="10"/>
  <c r="X105" i="10" s="1"/>
  <c r="Y105" i="10" s="1"/>
  <c r="T97" i="10"/>
  <c r="V97" i="10"/>
  <c r="X97" i="10" s="1"/>
  <c r="Y97" i="10" s="1"/>
  <c r="T89" i="10"/>
  <c r="V89" i="10"/>
  <c r="X89" i="10" s="1"/>
  <c r="Y89" i="10" s="1"/>
  <c r="T81" i="10"/>
  <c r="V81" i="10"/>
  <c r="X81" i="10" s="1"/>
  <c r="Y81" i="10" s="1"/>
  <c r="T73" i="10"/>
  <c r="V73" i="10"/>
  <c r="X73" i="10" s="1"/>
  <c r="Y73" i="10" s="1"/>
  <c r="T65" i="10"/>
  <c r="V65" i="10"/>
  <c r="X65" i="10" s="1"/>
  <c r="Y65" i="10" s="1"/>
  <c r="T57" i="10"/>
  <c r="V57" i="10"/>
  <c r="X57" i="10" s="1"/>
  <c r="Y57" i="10" s="1"/>
  <c r="T49" i="10"/>
  <c r="V49" i="10"/>
  <c r="X49" i="10" s="1"/>
  <c r="Y49" i="10" s="1"/>
  <c r="T41" i="10"/>
  <c r="V41" i="10"/>
  <c r="X41" i="10" s="1"/>
  <c r="Y41" i="10" s="1"/>
  <c r="T33" i="10"/>
  <c r="V33" i="10"/>
  <c r="X33" i="10" s="1"/>
  <c r="Y33" i="10" s="1"/>
  <c r="T25" i="10"/>
  <c r="V25" i="10"/>
  <c r="X25" i="10" s="1"/>
  <c r="Y25" i="10" s="1"/>
  <c r="T17" i="10"/>
  <c r="V17" i="10"/>
  <c r="X17" i="10" s="1"/>
  <c r="Y17" i="10" s="1"/>
  <c r="T9" i="10"/>
  <c r="V9" i="10"/>
  <c r="X9" i="10" s="1"/>
  <c r="Y9" i="10" s="1"/>
  <c r="T91" i="10"/>
  <c r="T44" i="10"/>
  <c r="T101" i="10"/>
  <c r="V101" i="10"/>
  <c r="X101" i="10" s="1"/>
  <c r="Y101" i="10" s="1"/>
  <c r="T37" i="10"/>
  <c r="V37" i="10"/>
  <c r="X37" i="10" s="1"/>
  <c r="Y37" i="10" s="1"/>
  <c r="T90" i="10"/>
  <c r="V90" i="10"/>
  <c r="X90" i="10" s="1"/>
  <c r="Y90" i="10" s="1"/>
  <c r="T74" i="10"/>
  <c r="V74" i="10"/>
  <c r="X74" i="10" s="1"/>
  <c r="Y74" i="10" s="1"/>
  <c r="T50" i="10"/>
  <c r="V50" i="10"/>
  <c r="X50" i="10" s="1"/>
  <c r="Y50" i="10" s="1"/>
  <c r="T104" i="10"/>
  <c r="V104" i="10"/>
  <c r="X104" i="10" s="1"/>
  <c r="Y104" i="10" s="1"/>
  <c r="T96" i="10"/>
  <c r="V96" i="10"/>
  <c r="X96" i="10" s="1"/>
  <c r="Y96" i="10" s="1"/>
  <c r="T88" i="10"/>
  <c r="V88" i="10"/>
  <c r="X88" i="10" s="1"/>
  <c r="Y88" i="10" s="1"/>
  <c r="T80" i="10"/>
  <c r="V80" i="10"/>
  <c r="X80" i="10" s="1"/>
  <c r="Y80" i="10" s="1"/>
  <c r="T72" i="10"/>
  <c r="V72" i="10"/>
  <c r="X72" i="10" s="1"/>
  <c r="Y72" i="10" s="1"/>
  <c r="T64" i="10"/>
  <c r="V64" i="10"/>
  <c r="X64" i="10" s="1"/>
  <c r="Y64" i="10" s="1"/>
  <c r="T56" i="10"/>
  <c r="V56" i="10"/>
  <c r="X56" i="10" s="1"/>
  <c r="Y56" i="10" s="1"/>
  <c r="T48" i="10"/>
  <c r="V48" i="10"/>
  <c r="X48" i="10" s="1"/>
  <c r="Y48" i="10" s="1"/>
  <c r="T40" i="10"/>
  <c r="V40" i="10"/>
  <c r="X40" i="10" s="1"/>
  <c r="Y40" i="10" s="1"/>
  <c r="T24" i="10"/>
  <c r="V24" i="10"/>
  <c r="X24" i="10" s="1"/>
  <c r="Y24" i="10" s="1"/>
  <c r="T16" i="10"/>
  <c r="V16" i="10"/>
  <c r="X16" i="10" s="1"/>
  <c r="Y16" i="10" s="1"/>
  <c r="T8" i="10"/>
  <c r="V8" i="10"/>
  <c r="X8" i="10" s="1"/>
  <c r="Y8" i="10" s="1"/>
  <c r="T82" i="10"/>
  <c r="T43" i="10"/>
  <c r="T53" i="10"/>
  <c r="V53" i="10"/>
  <c r="X53" i="10" s="1"/>
  <c r="Y53" i="10" s="1"/>
  <c r="T95" i="10"/>
  <c r="V95" i="10"/>
  <c r="X95" i="10" s="1"/>
  <c r="Y95" i="10" s="1"/>
  <c r="T87" i="10"/>
  <c r="V87" i="10"/>
  <c r="X87" i="10" s="1"/>
  <c r="Y87" i="10" s="1"/>
  <c r="T79" i="10"/>
  <c r="V79" i="10"/>
  <c r="X79" i="10" s="1"/>
  <c r="Y79" i="10" s="1"/>
  <c r="T71" i="10"/>
  <c r="V71" i="10"/>
  <c r="X71" i="10" s="1"/>
  <c r="Y71" i="10" s="1"/>
  <c r="T63" i="10"/>
  <c r="V63" i="10"/>
  <c r="X63" i="10" s="1"/>
  <c r="Y63" i="10" s="1"/>
  <c r="T47" i="10"/>
  <c r="V47" i="10"/>
  <c r="X47" i="10" s="1"/>
  <c r="Y47" i="10" s="1"/>
  <c r="T39" i="10"/>
  <c r="V39" i="10"/>
  <c r="X39" i="10" s="1"/>
  <c r="Y39" i="10" s="1"/>
  <c r="T31" i="10"/>
  <c r="V31" i="10"/>
  <c r="X31" i="10" s="1"/>
  <c r="Y31" i="10" s="1"/>
  <c r="T23" i="10"/>
  <c r="V23" i="10"/>
  <c r="X23" i="10" s="1"/>
  <c r="Y23" i="10" s="1"/>
  <c r="T15" i="10"/>
  <c r="V15" i="10"/>
  <c r="X15" i="10" s="1"/>
  <c r="Y15" i="10" s="1"/>
  <c r="T7" i="10"/>
  <c r="V7" i="10"/>
  <c r="X7" i="10" s="1"/>
  <c r="Y7" i="10" s="1"/>
  <c r="T70" i="10"/>
  <c r="T34" i="10"/>
  <c r="T93" i="10"/>
  <c r="V93" i="10"/>
  <c r="X93" i="10" s="1"/>
  <c r="Y93" i="10" s="1"/>
  <c r="T13" i="10"/>
  <c r="V13" i="10"/>
  <c r="X13" i="10" s="1"/>
  <c r="Y13" i="10" s="1"/>
  <c r="T86" i="10"/>
  <c r="V86" i="10"/>
  <c r="X86" i="10" s="1"/>
  <c r="Y86" i="10" s="1"/>
  <c r="T78" i="10"/>
  <c r="V78" i="10"/>
  <c r="X78" i="10" s="1"/>
  <c r="Y78" i="10" s="1"/>
  <c r="T62" i="10"/>
  <c r="V62" i="10"/>
  <c r="X62" i="10" s="1"/>
  <c r="Y62" i="10" s="1"/>
  <c r="T54" i="10"/>
  <c r="V54" i="10"/>
  <c r="X54" i="10" s="1"/>
  <c r="Y54" i="10" s="1"/>
  <c r="T38" i="10"/>
  <c r="V38" i="10"/>
  <c r="X38" i="10" s="1"/>
  <c r="Y38" i="10" s="1"/>
  <c r="T30" i="10"/>
  <c r="V30" i="10"/>
  <c r="X30" i="10" s="1"/>
  <c r="Y30" i="10" s="1"/>
  <c r="T14" i="10"/>
  <c r="V14" i="10"/>
  <c r="X14" i="10" s="1"/>
  <c r="Y14" i="10" s="1"/>
  <c r="T6" i="10"/>
  <c r="V6" i="10"/>
  <c r="X6" i="10" s="1"/>
  <c r="Y6" i="10" s="1"/>
  <c r="AH5" i="10" s="1"/>
  <c r="AH7" i="10" s="1"/>
  <c r="T69" i="10"/>
  <c r="T32" i="10"/>
  <c r="BJ12" i="9"/>
  <c r="BK12" i="9"/>
  <c r="BL12" i="9"/>
  <c r="BM12" i="9"/>
  <c r="BN12" i="9"/>
  <c r="BJ13" i="9"/>
  <c r="BK13" i="9"/>
  <c r="BL13" i="9"/>
  <c r="BM13" i="9"/>
  <c r="BN13" i="9"/>
  <c r="BJ14" i="9"/>
  <c r="BK14" i="9"/>
  <c r="BL14" i="9"/>
  <c r="BM14" i="9"/>
  <c r="BN14" i="9"/>
  <c r="BJ15" i="9"/>
  <c r="BK15" i="9"/>
  <c r="BL15" i="9"/>
  <c r="BM15" i="9"/>
  <c r="BN15" i="9"/>
  <c r="BJ16" i="9"/>
  <c r="BK16" i="9"/>
  <c r="BL16" i="9"/>
  <c r="BM16" i="9"/>
  <c r="BN16" i="9"/>
  <c r="BJ17" i="9"/>
  <c r="BK17" i="9"/>
  <c r="BL17" i="9"/>
  <c r="BM17" i="9"/>
  <c r="BN17" i="9"/>
  <c r="BJ18" i="9"/>
  <c r="BK18" i="9"/>
  <c r="BL18" i="9"/>
  <c r="BM18" i="9"/>
  <c r="BN18" i="9"/>
  <c r="BJ19" i="9"/>
  <c r="BK19" i="9"/>
  <c r="BL19" i="9"/>
  <c r="BM19" i="9"/>
  <c r="BN19" i="9"/>
  <c r="BJ20" i="9"/>
  <c r="BK20" i="9"/>
  <c r="BL20" i="9"/>
  <c r="BM20" i="9"/>
  <c r="BN20" i="9"/>
  <c r="BJ21" i="9"/>
  <c r="BK21" i="9"/>
  <c r="BL21" i="9"/>
  <c r="BM21" i="9"/>
  <c r="BN21" i="9"/>
  <c r="BJ22" i="9"/>
  <c r="BK22" i="9"/>
  <c r="BL22" i="9"/>
  <c r="BM22" i="9"/>
  <c r="BN22" i="9"/>
  <c r="BJ23" i="9"/>
  <c r="BK23" i="9"/>
  <c r="BL23" i="9"/>
  <c r="BM23" i="9"/>
  <c r="BN23" i="9"/>
  <c r="BJ24" i="9"/>
  <c r="BK24" i="9"/>
  <c r="BL24" i="9"/>
  <c r="BM24" i="9"/>
  <c r="BN24" i="9"/>
  <c r="BJ25" i="9"/>
  <c r="BK25" i="9"/>
  <c r="BL25" i="9"/>
  <c r="BM25" i="9"/>
  <c r="BN25" i="9"/>
  <c r="BJ26" i="9"/>
  <c r="BK26" i="9"/>
  <c r="BL26" i="9"/>
  <c r="BM26" i="9"/>
  <c r="BN26" i="9"/>
  <c r="BJ27" i="9"/>
  <c r="BK27" i="9"/>
  <c r="BL27" i="9"/>
  <c r="BM27" i="9"/>
  <c r="BN27" i="9"/>
  <c r="BJ28" i="9"/>
  <c r="BK28" i="9"/>
  <c r="BL28" i="9"/>
  <c r="BM28" i="9"/>
  <c r="BN28" i="9"/>
  <c r="BJ29" i="9"/>
  <c r="BK29" i="9"/>
  <c r="BL29" i="9"/>
  <c r="BM29" i="9"/>
  <c r="BN29" i="9"/>
  <c r="BJ30" i="9"/>
  <c r="BK30" i="9"/>
  <c r="BL30" i="9"/>
  <c r="BM30" i="9"/>
  <c r="BN30" i="9"/>
  <c r="BJ31" i="9"/>
  <c r="BK31" i="9"/>
  <c r="BL31" i="9"/>
  <c r="BM31" i="9"/>
  <c r="BN31" i="9"/>
  <c r="BJ32" i="9"/>
  <c r="BK32" i="9"/>
  <c r="BL32" i="9"/>
  <c r="BM32" i="9"/>
  <c r="BN32" i="9"/>
  <c r="BJ33" i="9"/>
  <c r="BK33" i="9"/>
  <c r="BL33" i="9"/>
  <c r="BM33" i="9"/>
  <c r="BN33" i="9"/>
  <c r="BJ34" i="9"/>
  <c r="BK34" i="9"/>
  <c r="BL34" i="9"/>
  <c r="BM34" i="9"/>
  <c r="BN34" i="9"/>
  <c r="BJ35" i="9"/>
  <c r="BK35" i="9"/>
  <c r="BL35" i="9"/>
  <c r="BM35" i="9"/>
  <c r="BN35" i="9"/>
  <c r="BJ36" i="9"/>
  <c r="BK36" i="9"/>
  <c r="BL36" i="9"/>
  <c r="BM36" i="9"/>
  <c r="BN36" i="9"/>
  <c r="BJ37" i="9"/>
  <c r="BK37" i="9"/>
  <c r="BL37" i="9"/>
  <c r="BM37" i="9"/>
  <c r="BN37" i="9"/>
  <c r="BJ38" i="9"/>
  <c r="BK38" i="9"/>
  <c r="BL38" i="9"/>
  <c r="BM38" i="9"/>
  <c r="BN38" i="9"/>
  <c r="BJ39" i="9"/>
  <c r="BK39" i="9"/>
  <c r="BL39" i="9"/>
  <c r="BM39" i="9"/>
  <c r="BN39" i="9"/>
  <c r="BJ40" i="9"/>
  <c r="BK40" i="9"/>
  <c r="BL40" i="9"/>
  <c r="BM40" i="9"/>
  <c r="BN40" i="9"/>
  <c r="BJ41" i="9"/>
  <c r="BK41" i="9"/>
  <c r="BL41" i="9"/>
  <c r="BM41" i="9"/>
  <c r="BN41" i="9"/>
  <c r="BJ42" i="9"/>
  <c r="BK42" i="9"/>
  <c r="BL42" i="9"/>
  <c r="BM42" i="9"/>
  <c r="BN42" i="9"/>
  <c r="BJ43" i="9"/>
  <c r="BK43" i="9"/>
  <c r="BL43" i="9"/>
  <c r="BM43" i="9"/>
  <c r="BN43" i="9"/>
  <c r="BJ44" i="9"/>
  <c r="BK44" i="9"/>
  <c r="BL44" i="9"/>
  <c r="BM44" i="9"/>
  <c r="BN44" i="9"/>
  <c r="BJ45" i="9"/>
  <c r="BK45" i="9"/>
  <c r="BL45" i="9"/>
  <c r="BM45" i="9"/>
  <c r="BN45" i="9"/>
  <c r="BJ46" i="9"/>
  <c r="BK46" i="9"/>
  <c r="BL46" i="9"/>
  <c r="BM46" i="9"/>
  <c r="BN46" i="9"/>
  <c r="BJ47" i="9"/>
  <c r="BK47" i="9"/>
  <c r="BL47" i="9"/>
  <c r="BM47" i="9"/>
  <c r="BN47" i="9"/>
  <c r="BJ48" i="9"/>
  <c r="BK48" i="9"/>
  <c r="BL48" i="9"/>
  <c r="BM48" i="9"/>
  <c r="BN48" i="9"/>
  <c r="BJ49" i="9"/>
  <c r="BK49" i="9"/>
  <c r="BL49" i="9"/>
  <c r="BM49" i="9"/>
  <c r="BN49" i="9"/>
  <c r="BJ50" i="9"/>
  <c r="BK50" i="9"/>
  <c r="BL50" i="9"/>
  <c r="BM50" i="9"/>
  <c r="BN50" i="9"/>
  <c r="BJ51" i="9"/>
  <c r="BK51" i="9"/>
  <c r="BL51" i="9"/>
  <c r="BM51" i="9"/>
  <c r="BN51" i="9"/>
  <c r="BJ52" i="9"/>
  <c r="BK52" i="9"/>
  <c r="BL52" i="9"/>
  <c r="BM52" i="9"/>
  <c r="BN52" i="9"/>
  <c r="BJ53" i="9"/>
  <c r="BK53" i="9"/>
  <c r="BL53" i="9"/>
  <c r="BM53" i="9"/>
  <c r="BN53" i="9"/>
  <c r="BJ54" i="9"/>
  <c r="BK54" i="9"/>
  <c r="BL54" i="9"/>
  <c r="BM54" i="9"/>
  <c r="BN54" i="9"/>
  <c r="BJ55" i="9"/>
  <c r="BK55" i="9"/>
  <c r="BL55" i="9"/>
  <c r="BM55" i="9"/>
  <c r="BN55" i="9"/>
  <c r="BJ56" i="9"/>
  <c r="BK56" i="9"/>
  <c r="BL56" i="9"/>
  <c r="BM56" i="9"/>
  <c r="BN56" i="9"/>
  <c r="BJ57" i="9"/>
  <c r="BK57" i="9"/>
  <c r="BL57" i="9"/>
  <c r="BM57" i="9"/>
  <c r="BN57" i="9"/>
  <c r="BJ58" i="9"/>
  <c r="BK58" i="9"/>
  <c r="BL58" i="9"/>
  <c r="BM58" i="9"/>
  <c r="BN58" i="9"/>
  <c r="BJ59" i="9"/>
  <c r="BK59" i="9"/>
  <c r="BL59" i="9"/>
  <c r="BM59" i="9"/>
  <c r="BN59" i="9"/>
  <c r="BJ60" i="9"/>
  <c r="BK60" i="9"/>
  <c r="BL60" i="9"/>
  <c r="BM60" i="9"/>
  <c r="BN60" i="9"/>
  <c r="BJ61" i="9"/>
  <c r="BK61" i="9"/>
  <c r="BL61" i="9"/>
  <c r="BM61" i="9"/>
  <c r="BN61" i="9"/>
  <c r="BJ62" i="9"/>
  <c r="BK62" i="9"/>
  <c r="BL62" i="9"/>
  <c r="BM62" i="9"/>
  <c r="BN62" i="9"/>
  <c r="BJ63" i="9"/>
  <c r="BK63" i="9"/>
  <c r="BL63" i="9"/>
  <c r="BM63" i="9"/>
  <c r="BN63" i="9"/>
  <c r="BJ64" i="9"/>
  <c r="BK64" i="9"/>
  <c r="BL64" i="9"/>
  <c r="BM64" i="9"/>
  <c r="BN64" i="9"/>
  <c r="BJ65" i="9"/>
  <c r="BK65" i="9"/>
  <c r="BL65" i="9"/>
  <c r="BM65" i="9"/>
  <c r="BN65" i="9"/>
  <c r="BJ66" i="9"/>
  <c r="BK66" i="9"/>
  <c r="BL66" i="9"/>
  <c r="BM66" i="9"/>
  <c r="BN66" i="9"/>
  <c r="BJ67" i="9"/>
  <c r="BK67" i="9"/>
  <c r="BL67" i="9"/>
  <c r="BM67" i="9"/>
  <c r="BN67" i="9"/>
  <c r="BJ68" i="9"/>
  <c r="BK68" i="9"/>
  <c r="BL68" i="9"/>
  <c r="BM68" i="9"/>
  <c r="BN68" i="9"/>
  <c r="BJ69" i="9"/>
  <c r="BK69" i="9"/>
  <c r="BL69" i="9"/>
  <c r="BM69" i="9"/>
  <c r="BN69" i="9"/>
  <c r="BJ70" i="9"/>
  <c r="BK70" i="9"/>
  <c r="BL70" i="9"/>
  <c r="BM70" i="9"/>
  <c r="BN70" i="9"/>
  <c r="BJ71" i="9"/>
  <c r="BK71" i="9"/>
  <c r="BL71" i="9"/>
  <c r="BM71" i="9"/>
  <c r="BN71" i="9"/>
  <c r="BJ72" i="9"/>
  <c r="BK72" i="9"/>
  <c r="BL72" i="9"/>
  <c r="BM72" i="9"/>
  <c r="BN72" i="9"/>
  <c r="BJ73" i="9"/>
  <c r="BK73" i="9"/>
  <c r="BL73" i="9"/>
  <c r="BM73" i="9"/>
  <c r="BN73" i="9"/>
  <c r="BJ74" i="9"/>
  <c r="BK74" i="9"/>
  <c r="BL74" i="9"/>
  <c r="BM74" i="9"/>
  <c r="BN74" i="9"/>
  <c r="BJ75" i="9"/>
  <c r="BK75" i="9"/>
  <c r="BL75" i="9"/>
  <c r="BM75" i="9"/>
  <c r="BN75" i="9"/>
  <c r="BJ76" i="9"/>
  <c r="BK76" i="9"/>
  <c r="BL76" i="9"/>
  <c r="BM76" i="9"/>
  <c r="BN76" i="9"/>
  <c r="BJ77" i="9"/>
  <c r="BK77" i="9"/>
  <c r="BL77" i="9"/>
  <c r="BM77" i="9"/>
  <c r="BN77" i="9"/>
  <c r="BJ78" i="9"/>
  <c r="BK78" i="9"/>
  <c r="BL78" i="9"/>
  <c r="BM78" i="9"/>
  <c r="BN78" i="9"/>
  <c r="BJ79" i="9"/>
  <c r="BK79" i="9"/>
  <c r="BL79" i="9"/>
  <c r="BM79" i="9"/>
  <c r="BN79" i="9"/>
  <c r="BJ80" i="9"/>
  <c r="BK80" i="9"/>
  <c r="BL80" i="9"/>
  <c r="BM80" i="9"/>
  <c r="BN80" i="9"/>
  <c r="BJ81" i="9"/>
  <c r="BK81" i="9"/>
  <c r="BL81" i="9"/>
  <c r="BM81" i="9"/>
  <c r="BN81" i="9"/>
  <c r="BJ82" i="9"/>
  <c r="BK82" i="9"/>
  <c r="BL82" i="9"/>
  <c r="BM82" i="9"/>
  <c r="BN82" i="9"/>
  <c r="BJ83" i="9"/>
  <c r="BK83" i="9"/>
  <c r="BL83" i="9"/>
  <c r="BM83" i="9"/>
  <c r="BN83" i="9"/>
  <c r="BJ84" i="9"/>
  <c r="BK84" i="9"/>
  <c r="BL84" i="9"/>
  <c r="BM84" i="9"/>
  <c r="BN84" i="9"/>
  <c r="BJ85" i="9"/>
  <c r="BK85" i="9"/>
  <c r="BL85" i="9"/>
  <c r="BM85" i="9"/>
  <c r="BN85" i="9"/>
  <c r="BJ86" i="9"/>
  <c r="BK86" i="9"/>
  <c r="BL86" i="9"/>
  <c r="BM86" i="9"/>
  <c r="BN86" i="9"/>
  <c r="BJ87" i="9"/>
  <c r="BK87" i="9"/>
  <c r="BL87" i="9"/>
  <c r="BM87" i="9"/>
  <c r="BN87" i="9"/>
  <c r="BJ88" i="9"/>
  <c r="BK88" i="9"/>
  <c r="BL88" i="9"/>
  <c r="BM88" i="9"/>
  <c r="BN88" i="9"/>
  <c r="BJ89" i="9"/>
  <c r="BK89" i="9"/>
  <c r="BL89" i="9"/>
  <c r="BM89" i="9"/>
  <c r="BN89" i="9"/>
  <c r="BJ90" i="9"/>
  <c r="BK90" i="9"/>
  <c r="BL90" i="9"/>
  <c r="BM90" i="9"/>
  <c r="BN90" i="9"/>
  <c r="BJ91" i="9"/>
  <c r="BK91" i="9"/>
  <c r="BL91" i="9"/>
  <c r="BM91" i="9"/>
  <c r="BN91" i="9"/>
  <c r="BJ92" i="9"/>
  <c r="BK92" i="9"/>
  <c r="BL92" i="9"/>
  <c r="BM92" i="9"/>
  <c r="BN92" i="9"/>
  <c r="BJ93" i="9"/>
  <c r="BK93" i="9"/>
  <c r="BL93" i="9"/>
  <c r="BM93" i="9"/>
  <c r="BN93" i="9"/>
  <c r="BJ94" i="9"/>
  <c r="BK94" i="9"/>
  <c r="BL94" i="9"/>
  <c r="BM94" i="9"/>
  <c r="BN94" i="9"/>
  <c r="BJ95" i="9"/>
  <c r="BK95" i="9"/>
  <c r="BL95" i="9"/>
  <c r="BM95" i="9"/>
  <c r="BN95" i="9"/>
  <c r="BJ96" i="9"/>
  <c r="BK96" i="9"/>
  <c r="BL96" i="9"/>
  <c r="BM96" i="9"/>
  <c r="BN96" i="9"/>
  <c r="BJ97" i="9"/>
  <c r="BK97" i="9"/>
  <c r="BL97" i="9"/>
  <c r="BM97" i="9"/>
  <c r="BN97" i="9"/>
  <c r="BJ98" i="9"/>
  <c r="BK98" i="9"/>
  <c r="BL98" i="9"/>
  <c r="BM98" i="9"/>
  <c r="BN98" i="9"/>
  <c r="BJ99" i="9"/>
  <c r="BK99" i="9"/>
  <c r="BL99" i="9"/>
  <c r="BM99" i="9"/>
  <c r="BN99" i="9"/>
  <c r="BJ100" i="9"/>
  <c r="BK100" i="9"/>
  <c r="BL100" i="9"/>
  <c r="BM100" i="9"/>
  <c r="BN100" i="9"/>
  <c r="BJ101" i="9"/>
  <c r="BK101" i="9"/>
  <c r="BL101" i="9"/>
  <c r="BM101" i="9"/>
  <c r="BN101" i="9"/>
  <c r="BJ102" i="9"/>
  <c r="BK102" i="9"/>
  <c r="BL102" i="9"/>
  <c r="BM102" i="9"/>
  <c r="BN102" i="9"/>
  <c r="BJ103" i="9"/>
  <c r="BK103" i="9"/>
  <c r="BL103" i="9"/>
  <c r="BM103" i="9"/>
  <c r="BN103" i="9"/>
  <c r="BJ104" i="9"/>
  <c r="BK104" i="9"/>
  <c r="BL104" i="9"/>
  <c r="BM104" i="9"/>
  <c r="BN104" i="9"/>
  <c r="BJ105" i="9"/>
  <c r="BK105" i="9"/>
  <c r="BL105" i="9"/>
  <c r="BM105" i="9"/>
  <c r="BN105" i="9"/>
  <c r="BJ106" i="9"/>
  <c r="BK106" i="9"/>
  <c r="BL106" i="9"/>
  <c r="BM106" i="9"/>
  <c r="BN106" i="9"/>
  <c r="BJ107" i="9"/>
  <c r="BK107" i="9"/>
  <c r="BL107" i="9"/>
  <c r="BM107" i="9"/>
  <c r="BN107" i="9"/>
  <c r="BJ108" i="9"/>
  <c r="BK108" i="9"/>
  <c r="BL108" i="9"/>
  <c r="BM108" i="9"/>
  <c r="BN108" i="9"/>
  <c r="BJ109" i="9"/>
  <c r="BK109" i="9"/>
  <c r="BL109" i="9"/>
  <c r="BM109" i="9"/>
  <c r="BN109" i="9"/>
  <c r="BJ110" i="9"/>
  <c r="BK110" i="9"/>
  <c r="BL110" i="9"/>
  <c r="BM110" i="9"/>
  <c r="BN110" i="9"/>
  <c r="BJ111" i="9"/>
  <c r="BK111" i="9"/>
  <c r="BL111" i="9"/>
  <c r="BM111" i="9"/>
  <c r="BN111" i="9"/>
  <c r="BJ112" i="9"/>
  <c r="BK112" i="9"/>
  <c r="BL112" i="9"/>
  <c r="BM112" i="9"/>
  <c r="BN112" i="9"/>
  <c r="BJ113" i="9"/>
  <c r="BK113" i="9"/>
  <c r="BL113" i="9"/>
  <c r="BM113" i="9"/>
  <c r="BN113" i="9"/>
  <c r="BJ114" i="9"/>
  <c r="BK114" i="9"/>
  <c r="BL114" i="9"/>
  <c r="BM114" i="9"/>
  <c r="BN114" i="9"/>
  <c r="BJ115" i="9"/>
  <c r="BK115" i="9"/>
  <c r="BL115" i="9"/>
  <c r="BM115" i="9"/>
  <c r="BN115" i="9"/>
  <c r="BJ116" i="9"/>
  <c r="BK116" i="9"/>
  <c r="BL116" i="9"/>
  <c r="BM116" i="9"/>
  <c r="BN116" i="9"/>
  <c r="BJ117" i="9"/>
  <c r="BK117" i="9"/>
  <c r="BL117" i="9"/>
  <c r="BM117" i="9"/>
  <c r="BN117" i="9"/>
  <c r="BJ118" i="9"/>
  <c r="BK118" i="9"/>
  <c r="BL118" i="9"/>
  <c r="BM118" i="9"/>
  <c r="BN118" i="9"/>
  <c r="BJ119" i="9"/>
  <c r="BK119" i="9"/>
  <c r="BL119" i="9"/>
  <c r="BM119" i="9"/>
  <c r="BN119" i="9"/>
  <c r="BJ120" i="9"/>
  <c r="BK120" i="9"/>
  <c r="BL120" i="9"/>
  <c r="BM120" i="9"/>
  <c r="BN120" i="9"/>
  <c r="BJ121" i="9"/>
  <c r="BK121" i="9"/>
  <c r="BL121" i="9"/>
  <c r="BM121" i="9"/>
  <c r="BN121" i="9"/>
  <c r="BJ122" i="9"/>
  <c r="BK122" i="9"/>
  <c r="BL122" i="9"/>
  <c r="BM122" i="9"/>
  <c r="BN122" i="9"/>
  <c r="BJ123" i="9"/>
  <c r="BK123" i="9"/>
  <c r="BL123" i="9"/>
  <c r="BM123" i="9"/>
  <c r="BN123" i="9"/>
  <c r="BJ124" i="9"/>
  <c r="BK124" i="9"/>
  <c r="BL124" i="9"/>
  <c r="BM124" i="9"/>
  <c r="BN124" i="9"/>
  <c r="BJ125" i="9"/>
  <c r="BK125" i="9"/>
  <c r="BL125" i="9"/>
  <c r="BM125" i="9"/>
  <c r="BN125" i="9"/>
  <c r="BJ126" i="9"/>
  <c r="BK126" i="9"/>
  <c r="BL126" i="9"/>
  <c r="BM126" i="9"/>
  <c r="BN126" i="9"/>
  <c r="BJ127" i="9"/>
  <c r="BK127" i="9"/>
  <c r="BL127" i="9"/>
  <c r="BM127" i="9"/>
  <c r="BN127" i="9"/>
  <c r="BJ128" i="9"/>
  <c r="BK128" i="9"/>
  <c r="BL128" i="9"/>
  <c r="BM128" i="9"/>
  <c r="BN128" i="9"/>
  <c r="BJ129" i="9"/>
  <c r="BK129" i="9"/>
  <c r="BL129" i="9"/>
  <c r="BM129" i="9"/>
  <c r="BN129" i="9"/>
  <c r="BJ130" i="9"/>
  <c r="BK130" i="9"/>
  <c r="BL130" i="9"/>
  <c r="BM130" i="9"/>
  <c r="BN130" i="9"/>
  <c r="BJ131" i="9"/>
  <c r="BK131" i="9"/>
  <c r="BL131" i="9"/>
  <c r="BM131" i="9"/>
  <c r="BN131" i="9"/>
  <c r="BJ132" i="9"/>
  <c r="BK132" i="9"/>
  <c r="BL132" i="9"/>
  <c r="BM132" i="9"/>
  <c r="BN132" i="9"/>
  <c r="BJ133" i="9"/>
  <c r="BK133" i="9"/>
  <c r="BL133" i="9"/>
  <c r="BM133" i="9"/>
  <c r="BN133" i="9"/>
  <c r="BJ134" i="9"/>
  <c r="BK134" i="9"/>
  <c r="BL134" i="9"/>
  <c r="BM134" i="9"/>
  <c r="BN134" i="9"/>
  <c r="BJ135" i="9"/>
  <c r="BK135" i="9"/>
  <c r="BL135" i="9"/>
  <c r="BM135" i="9"/>
  <c r="BN135" i="9"/>
  <c r="BJ136" i="9"/>
  <c r="BK136" i="9"/>
  <c r="BL136" i="9"/>
  <c r="BM136" i="9"/>
  <c r="BN136" i="9"/>
  <c r="BJ137" i="9"/>
  <c r="BK137" i="9"/>
  <c r="BL137" i="9"/>
  <c r="BM137" i="9"/>
  <c r="BN137" i="9"/>
  <c r="BJ138" i="9"/>
  <c r="BK138" i="9"/>
  <c r="BL138" i="9"/>
  <c r="BM138" i="9"/>
  <c r="BN138" i="9"/>
  <c r="BJ139" i="9"/>
  <c r="BK139" i="9"/>
  <c r="BL139" i="9"/>
  <c r="BM139" i="9"/>
  <c r="BN139" i="9"/>
  <c r="BJ140" i="9"/>
  <c r="BK140" i="9"/>
  <c r="BL140" i="9"/>
  <c r="BM140" i="9"/>
  <c r="BN140" i="9"/>
  <c r="BJ141" i="9"/>
  <c r="BK141" i="9"/>
  <c r="BL141" i="9"/>
  <c r="BM141" i="9"/>
  <c r="BN141" i="9"/>
  <c r="BJ142" i="9"/>
  <c r="BK142" i="9"/>
  <c r="BL142" i="9"/>
  <c r="BM142" i="9"/>
  <c r="BN142" i="9"/>
  <c r="BJ143" i="9"/>
  <c r="BK143" i="9"/>
  <c r="BL143" i="9"/>
  <c r="BM143" i="9"/>
  <c r="BN143" i="9"/>
  <c r="BJ144" i="9"/>
  <c r="BK144" i="9"/>
  <c r="BL144" i="9"/>
  <c r="BM144" i="9"/>
  <c r="BN144" i="9"/>
  <c r="BJ145" i="9"/>
  <c r="BK145" i="9"/>
  <c r="BL145" i="9"/>
  <c r="BM145" i="9"/>
  <c r="BN145" i="9"/>
  <c r="BJ146" i="9"/>
  <c r="BK146" i="9"/>
  <c r="BL146" i="9"/>
  <c r="BM146" i="9"/>
  <c r="BN146" i="9"/>
  <c r="BJ147" i="9"/>
  <c r="BK147" i="9"/>
  <c r="BL147" i="9"/>
  <c r="BM147" i="9"/>
  <c r="BN147" i="9"/>
  <c r="BJ148" i="9"/>
  <c r="BK148" i="9"/>
  <c r="BL148" i="9"/>
  <c r="BM148" i="9"/>
  <c r="BN148" i="9"/>
  <c r="BJ149" i="9"/>
  <c r="BK149" i="9"/>
  <c r="BL149" i="9"/>
  <c r="BM149" i="9"/>
  <c r="BN149" i="9"/>
  <c r="BJ150" i="9"/>
  <c r="BK150" i="9"/>
  <c r="BL150" i="9"/>
  <c r="BM150" i="9"/>
  <c r="BN150" i="9"/>
  <c r="BJ151" i="9"/>
  <c r="BK151" i="9"/>
  <c r="BL151" i="9"/>
  <c r="BM151" i="9"/>
  <c r="BN151" i="9"/>
  <c r="BJ152" i="9"/>
  <c r="BK152" i="9"/>
  <c r="BL152" i="9"/>
  <c r="BM152" i="9"/>
  <c r="BN152" i="9"/>
  <c r="BJ153" i="9"/>
  <c r="BK153" i="9"/>
  <c r="BL153" i="9"/>
  <c r="BM153" i="9"/>
  <c r="BN153" i="9"/>
  <c r="BJ154" i="9"/>
  <c r="BK154" i="9"/>
  <c r="BL154" i="9"/>
  <c r="BM154" i="9"/>
  <c r="BN154" i="9"/>
  <c r="BJ155" i="9"/>
  <c r="BK155" i="9"/>
  <c r="BL155" i="9"/>
  <c r="BM155" i="9"/>
  <c r="BN155" i="9"/>
  <c r="BJ156" i="9"/>
  <c r="BK156" i="9"/>
  <c r="BL156" i="9"/>
  <c r="BM156" i="9"/>
  <c r="BN156" i="9"/>
  <c r="BJ157" i="9"/>
  <c r="BK157" i="9"/>
  <c r="BL157" i="9"/>
  <c r="BM157" i="9"/>
  <c r="BN157" i="9"/>
  <c r="BJ158" i="9"/>
  <c r="BK158" i="9"/>
  <c r="BL158" i="9"/>
  <c r="BM158" i="9"/>
  <c r="BN158" i="9"/>
  <c r="BJ159" i="9"/>
  <c r="BK159" i="9"/>
  <c r="BL159" i="9"/>
  <c r="BM159" i="9"/>
  <c r="BN159" i="9"/>
  <c r="BJ160" i="9"/>
  <c r="BK160" i="9"/>
  <c r="BL160" i="9"/>
  <c r="BM160" i="9"/>
  <c r="BN160" i="9"/>
  <c r="BJ161" i="9"/>
  <c r="BK161" i="9"/>
  <c r="BL161" i="9"/>
  <c r="BM161" i="9"/>
  <c r="BN161" i="9"/>
  <c r="BJ162" i="9"/>
  <c r="BK162" i="9"/>
  <c r="BL162" i="9"/>
  <c r="BM162" i="9"/>
  <c r="BN162" i="9"/>
  <c r="BJ163" i="9"/>
  <c r="BK163" i="9"/>
  <c r="BL163" i="9"/>
  <c r="BM163" i="9"/>
  <c r="BN163" i="9"/>
  <c r="BJ164" i="9"/>
  <c r="BK164" i="9"/>
  <c r="BL164" i="9"/>
  <c r="BM164" i="9"/>
  <c r="BN164" i="9"/>
  <c r="BJ165" i="9"/>
  <c r="BK165" i="9"/>
  <c r="BL165" i="9"/>
  <c r="BM165" i="9"/>
  <c r="BN165" i="9"/>
  <c r="BJ166" i="9"/>
  <c r="BK166" i="9"/>
  <c r="BL166" i="9"/>
  <c r="BM166" i="9"/>
  <c r="BN166" i="9"/>
  <c r="BJ167" i="9"/>
  <c r="BK167" i="9"/>
  <c r="BL167" i="9"/>
  <c r="BM167" i="9"/>
  <c r="BN167" i="9"/>
  <c r="BJ168" i="9"/>
  <c r="BK168" i="9"/>
  <c r="BL168" i="9"/>
  <c r="BM168" i="9"/>
  <c r="BN168" i="9"/>
  <c r="BJ169" i="9"/>
  <c r="BK169" i="9"/>
  <c r="BL169" i="9"/>
  <c r="BM169" i="9"/>
  <c r="BN169" i="9"/>
  <c r="BJ170" i="9"/>
  <c r="BK170" i="9"/>
  <c r="BL170" i="9"/>
  <c r="BM170" i="9"/>
  <c r="BN170" i="9"/>
  <c r="BJ171" i="9"/>
  <c r="BK171" i="9"/>
  <c r="BL171" i="9"/>
  <c r="BM171" i="9"/>
  <c r="BN171" i="9"/>
  <c r="BJ172" i="9"/>
  <c r="BK172" i="9"/>
  <c r="BL172" i="9"/>
  <c r="BM172" i="9"/>
  <c r="BN172" i="9"/>
  <c r="BJ173" i="9"/>
  <c r="BK173" i="9"/>
  <c r="BL173" i="9"/>
  <c r="BM173" i="9"/>
  <c r="BN173" i="9"/>
  <c r="BJ174" i="9"/>
  <c r="BK174" i="9"/>
  <c r="BL174" i="9"/>
  <c r="BM174" i="9"/>
  <c r="BN174" i="9"/>
  <c r="BJ175" i="9"/>
  <c r="BK175" i="9"/>
  <c r="BL175" i="9"/>
  <c r="BM175" i="9"/>
  <c r="BN175" i="9"/>
  <c r="BJ176" i="9"/>
  <c r="BK176" i="9"/>
  <c r="BL176" i="9"/>
  <c r="BM176" i="9"/>
  <c r="BN176" i="9"/>
  <c r="BJ177" i="9"/>
  <c r="BK177" i="9"/>
  <c r="BL177" i="9"/>
  <c r="BM177" i="9"/>
  <c r="BN177" i="9"/>
  <c r="BJ178" i="9"/>
  <c r="BK178" i="9"/>
  <c r="BL178" i="9"/>
  <c r="BM178" i="9"/>
  <c r="BN178" i="9"/>
  <c r="BJ179" i="9"/>
  <c r="BK179" i="9"/>
  <c r="BL179" i="9"/>
  <c r="BM179" i="9"/>
  <c r="BN179" i="9"/>
  <c r="BJ180" i="9"/>
  <c r="BK180" i="9"/>
  <c r="BL180" i="9"/>
  <c r="BM180" i="9"/>
  <c r="BN180" i="9"/>
  <c r="BJ181" i="9"/>
  <c r="BK181" i="9"/>
  <c r="BL181" i="9"/>
  <c r="BM181" i="9"/>
  <c r="BN181" i="9"/>
  <c r="BJ182" i="9"/>
  <c r="BK182" i="9"/>
  <c r="BL182" i="9"/>
  <c r="BM182" i="9"/>
  <c r="BN182" i="9"/>
  <c r="BJ183" i="9"/>
  <c r="BK183" i="9"/>
  <c r="BL183" i="9"/>
  <c r="BM183" i="9"/>
  <c r="BN183" i="9"/>
  <c r="BJ184" i="9"/>
  <c r="BK184" i="9"/>
  <c r="BL184" i="9"/>
  <c r="BM184" i="9"/>
  <c r="BN184" i="9"/>
  <c r="BJ185" i="9"/>
  <c r="BK185" i="9"/>
  <c r="BL185" i="9"/>
  <c r="BM185" i="9"/>
  <c r="BN185" i="9"/>
  <c r="BJ186" i="9"/>
  <c r="BK186" i="9"/>
  <c r="BL186" i="9"/>
  <c r="BM186" i="9"/>
  <c r="BN186" i="9"/>
  <c r="BJ187" i="9"/>
  <c r="BK187" i="9"/>
  <c r="BL187" i="9"/>
  <c r="BM187" i="9"/>
  <c r="BN187" i="9"/>
  <c r="BJ188" i="9"/>
  <c r="BK188" i="9"/>
  <c r="BL188" i="9"/>
  <c r="BM188" i="9"/>
  <c r="BN188" i="9"/>
  <c r="BJ189" i="9"/>
  <c r="BK189" i="9"/>
  <c r="BL189" i="9"/>
  <c r="BM189" i="9"/>
  <c r="BN189" i="9"/>
  <c r="BJ190" i="9"/>
  <c r="BK190" i="9"/>
  <c r="BL190" i="9"/>
  <c r="BM190" i="9"/>
  <c r="BN190" i="9"/>
  <c r="BJ191" i="9"/>
  <c r="BK191" i="9"/>
  <c r="BL191" i="9"/>
  <c r="BM191" i="9"/>
  <c r="BN191" i="9"/>
  <c r="BJ192" i="9"/>
  <c r="BK192" i="9"/>
  <c r="BL192" i="9"/>
  <c r="BM192" i="9"/>
  <c r="BN192" i="9"/>
  <c r="BJ193" i="9"/>
  <c r="BK193" i="9"/>
  <c r="BL193" i="9"/>
  <c r="BM193" i="9"/>
  <c r="BN193" i="9"/>
  <c r="BJ194" i="9"/>
  <c r="BK194" i="9"/>
  <c r="BL194" i="9"/>
  <c r="BM194" i="9"/>
  <c r="BN194" i="9"/>
  <c r="BJ195" i="9"/>
  <c r="BK195" i="9"/>
  <c r="BL195" i="9"/>
  <c r="BM195" i="9"/>
  <c r="BN195" i="9"/>
  <c r="BJ196" i="9"/>
  <c r="BK196" i="9"/>
  <c r="BL196" i="9"/>
  <c r="BM196" i="9"/>
  <c r="BN196" i="9"/>
  <c r="BJ197" i="9"/>
  <c r="BK197" i="9"/>
  <c r="BL197" i="9"/>
  <c r="BM197" i="9"/>
  <c r="BN197" i="9"/>
  <c r="BJ198" i="9"/>
  <c r="BK198" i="9"/>
  <c r="BL198" i="9"/>
  <c r="BM198" i="9"/>
  <c r="BN198" i="9"/>
  <c r="BJ199" i="9"/>
  <c r="BK199" i="9"/>
  <c r="BL199" i="9"/>
  <c r="BM199" i="9"/>
  <c r="BN199" i="9"/>
  <c r="BJ200" i="9"/>
  <c r="BK200" i="9"/>
  <c r="BL200" i="9"/>
  <c r="BM200" i="9"/>
  <c r="BN200" i="9"/>
  <c r="BJ201" i="9"/>
  <c r="BK201" i="9"/>
  <c r="BL201" i="9"/>
  <c r="BM201" i="9"/>
  <c r="BN201" i="9"/>
  <c r="BJ202" i="9"/>
  <c r="BK202" i="9"/>
  <c r="BL202" i="9"/>
  <c r="BM202" i="9"/>
  <c r="BN202" i="9"/>
  <c r="BJ203" i="9"/>
  <c r="BK203" i="9"/>
  <c r="BL203" i="9"/>
  <c r="BM203" i="9"/>
  <c r="BN203" i="9"/>
  <c r="BJ204" i="9"/>
  <c r="BK204" i="9"/>
  <c r="BL204" i="9"/>
  <c r="BM204" i="9"/>
  <c r="BN204" i="9"/>
  <c r="BJ205" i="9"/>
  <c r="BK205" i="9"/>
  <c r="BL205" i="9"/>
  <c r="BM205" i="9"/>
  <c r="BN205" i="9"/>
  <c r="BJ206" i="9"/>
  <c r="BK206" i="9"/>
  <c r="BL206" i="9"/>
  <c r="BM206" i="9"/>
  <c r="BN206" i="9"/>
  <c r="BJ207" i="9"/>
  <c r="BK207" i="9"/>
  <c r="BL207" i="9"/>
  <c r="BM207" i="9"/>
  <c r="BN207" i="9"/>
  <c r="BJ208" i="9"/>
  <c r="BK208" i="9"/>
  <c r="BL208" i="9"/>
  <c r="BM208" i="9"/>
  <c r="BN208" i="9"/>
  <c r="BJ209" i="9"/>
  <c r="BK209" i="9"/>
  <c r="BL209" i="9"/>
  <c r="BM209" i="9"/>
  <c r="BN209" i="9"/>
  <c r="BJ210" i="9"/>
  <c r="BK210" i="9"/>
  <c r="BL210" i="9"/>
  <c r="BM210" i="9"/>
  <c r="BN210" i="9"/>
  <c r="BJ211" i="9"/>
  <c r="BK211" i="9"/>
  <c r="BL211" i="9"/>
  <c r="BM211" i="9"/>
  <c r="BN211" i="9"/>
  <c r="BJ212" i="9"/>
  <c r="BK212" i="9"/>
  <c r="BL212" i="9"/>
  <c r="BM212" i="9"/>
  <c r="BN212" i="9"/>
  <c r="BJ213" i="9"/>
  <c r="BK213" i="9"/>
  <c r="BL213" i="9"/>
  <c r="BM213" i="9"/>
  <c r="BN213" i="9"/>
  <c r="BJ214" i="9"/>
  <c r="BK214" i="9"/>
  <c r="BL214" i="9"/>
  <c r="BM214" i="9"/>
  <c r="BN214" i="9"/>
  <c r="BJ215" i="9"/>
  <c r="BK215" i="9"/>
  <c r="BL215" i="9"/>
  <c r="BM215" i="9"/>
  <c r="BN215" i="9"/>
  <c r="BJ216" i="9"/>
  <c r="BK216" i="9"/>
  <c r="BL216" i="9"/>
  <c r="BM216" i="9"/>
  <c r="BN216" i="9"/>
  <c r="BJ217" i="9"/>
  <c r="BK217" i="9"/>
  <c r="BL217" i="9"/>
  <c r="BM217" i="9"/>
  <c r="BN217" i="9"/>
  <c r="BJ218" i="9"/>
  <c r="BK218" i="9"/>
  <c r="BL218" i="9"/>
  <c r="BM218" i="9"/>
  <c r="BN218" i="9"/>
  <c r="BJ219" i="9"/>
  <c r="BK219" i="9"/>
  <c r="BL219" i="9"/>
  <c r="BM219" i="9"/>
  <c r="BN219" i="9"/>
  <c r="BJ220" i="9"/>
  <c r="BK220" i="9"/>
  <c r="BL220" i="9"/>
  <c r="BM220" i="9"/>
  <c r="BN220" i="9"/>
  <c r="BJ221" i="9"/>
  <c r="BK221" i="9"/>
  <c r="BL221" i="9"/>
  <c r="BM221" i="9"/>
  <c r="BN221" i="9"/>
  <c r="BJ222" i="9"/>
  <c r="BK222" i="9"/>
  <c r="BL222" i="9"/>
  <c r="BM222" i="9"/>
  <c r="BN222" i="9"/>
  <c r="BJ223" i="9"/>
  <c r="BK223" i="9"/>
  <c r="BL223" i="9"/>
  <c r="BM223" i="9"/>
  <c r="BN223" i="9"/>
  <c r="BJ224" i="9"/>
  <c r="BK224" i="9"/>
  <c r="BL224" i="9"/>
  <c r="BM224" i="9"/>
  <c r="BN224" i="9"/>
  <c r="BJ225" i="9"/>
  <c r="BK225" i="9"/>
  <c r="BL225" i="9"/>
  <c r="BM225" i="9"/>
  <c r="BN225" i="9"/>
  <c r="BJ226" i="9"/>
  <c r="BK226" i="9"/>
  <c r="BL226" i="9"/>
  <c r="BM226" i="9"/>
  <c r="BN226" i="9"/>
  <c r="BJ227" i="9"/>
  <c r="BK227" i="9"/>
  <c r="BL227" i="9"/>
  <c r="BM227" i="9"/>
  <c r="BN227" i="9"/>
  <c r="BJ228" i="9"/>
  <c r="BK228" i="9"/>
  <c r="BL228" i="9"/>
  <c r="BM228" i="9"/>
  <c r="BN228" i="9"/>
  <c r="BJ229" i="9"/>
  <c r="BK229" i="9"/>
  <c r="BL229" i="9"/>
  <c r="BM229" i="9"/>
  <c r="BN229" i="9"/>
  <c r="BJ230" i="9"/>
  <c r="BK230" i="9"/>
  <c r="BL230" i="9"/>
  <c r="BM230" i="9"/>
  <c r="BN230" i="9"/>
  <c r="BJ231" i="9"/>
  <c r="BK231" i="9"/>
  <c r="BL231" i="9"/>
  <c r="BM231" i="9"/>
  <c r="BN231" i="9"/>
  <c r="BJ232" i="9"/>
  <c r="BK232" i="9"/>
  <c r="BL232" i="9"/>
  <c r="BM232" i="9"/>
  <c r="BN232" i="9"/>
  <c r="BJ233" i="9"/>
  <c r="BK233" i="9"/>
  <c r="BL233" i="9"/>
  <c r="BM233" i="9"/>
  <c r="BN233" i="9"/>
  <c r="BJ234" i="9"/>
  <c r="BK234" i="9"/>
  <c r="BL234" i="9"/>
  <c r="BM234" i="9"/>
  <c r="BN234" i="9"/>
  <c r="BJ235" i="9"/>
  <c r="BK235" i="9"/>
  <c r="BL235" i="9"/>
  <c r="BM235" i="9"/>
  <c r="BN235" i="9"/>
  <c r="BJ236" i="9"/>
  <c r="BK236" i="9"/>
  <c r="BL236" i="9"/>
  <c r="BM236" i="9"/>
  <c r="BN236" i="9"/>
  <c r="BJ237" i="9"/>
  <c r="BK237" i="9"/>
  <c r="BL237" i="9"/>
  <c r="BM237" i="9"/>
  <c r="BN237" i="9"/>
  <c r="BJ238" i="9"/>
  <c r="BK238" i="9"/>
  <c r="BL238" i="9"/>
  <c r="BM238" i="9"/>
  <c r="BN238" i="9"/>
  <c r="BJ239" i="9"/>
  <c r="BK239" i="9"/>
  <c r="BL239" i="9"/>
  <c r="BM239" i="9"/>
  <c r="BN239" i="9"/>
  <c r="BJ240" i="9"/>
  <c r="BK240" i="9"/>
  <c r="BL240" i="9"/>
  <c r="BM240" i="9"/>
  <c r="BN240" i="9"/>
  <c r="BJ241" i="9"/>
  <c r="BK241" i="9"/>
  <c r="BL241" i="9"/>
  <c r="BM241" i="9"/>
  <c r="BN241" i="9"/>
  <c r="BJ242" i="9"/>
  <c r="BK242" i="9"/>
  <c r="BL242" i="9"/>
  <c r="BM242" i="9"/>
  <c r="BN242" i="9"/>
  <c r="BJ243" i="9"/>
  <c r="BK243" i="9"/>
  <c r="BL243" i="9"/>
  <c r="BM243" i="9"/>
  <c r="BN243" i="9"/>
  <c r="BJ244" i="9"/>
  <c r="BK244" i="9"/>
  <c r="BL244" i="9"/>
  <c r="BM244" i="9"/>
  <c r="BN244" i="9"/>
  <c r="BJ245" i="9"/>
  <c r="BK245" i="9"/>
  <c r="BL245" i="9"/>
  <c r="BM245" i="9"/>
  <c r="BN245" i="9"/>
  <c r="BJ246" i="9"/>
  <c r="BK246" i="9"/>
  <c r="BL246" i="9"/>
  <c r="BM246" i="9"/>
  <c r="BN246" i="9"/>
  <c r="BJ247" i="9"/>
  <c r="BK247" i="9"/>
  <c r="BL247" i="9"/>
  <c r="BM247" i="9"/>
  <c r="BN247" i="9"/>
  <c r="BJ248" i="9"/>
  <c r="BK248" i="9"/>
  <c r="BL248" i="9"/>
  <c r="BM248" i="9"/>
  <c r="BN248" i="9"/>
  <c r="BJ249" i="9"/>
  <c r="BK249" i="9"/>
  <c r="BL249" i="9"/>
  <c r="BM249" i="9"/>
  <c r="BN249" i="9"/>
  <c r="BJ250" i="9"/>
  <c r="BK250" i="9"/>
  <c r="BL250" i="9"/>
  <c r="BM250" i="9"/>
  <c r="BN250" i="9"/>
  <c r="BJ251" i="9"/>
  <c r="BK251" i="9"/>
  <c r="BL251" i="9"/>
  <c r="BM251" i="9"/>
  <c r="BN251" i="9"/>
  <c r="BJ252" i="9"/>
  <c r="BK252" i="9"/>
  <c r="BL252" i="9"/>
  <c r="BM252" i="9"/>
  <c r="BN252" i="9"/>
  <c r="BJ253" i="9"/>
  <c r="BK253" i="9"/>
  <c r="BL253" i="9"/>
  <c r="BM253" i="9"/>
  <c r="BN253" i="9"/>
  <c r="BJ254" i="9"/>
  <c r="BK254" i="9"/>
  <c r="BL254" i="9"/>
  <c r="BM254" i="9"/>
  <c r="BN254" i="9"/>
  <c r="BJ255" i="9"/>
  <c r="BK255" i="9"/>
  <c r="BL255" i="9"/>
  <c r="BM255" i="9"/>
  <c r="BN255" i="9"/>
  <c r="BJ256" i="9"/>
  <c r="BK256" i="9"/>
  <c r="BL256" i="9"/>
  <c r="BM256" i="9"/>
  <c r="BN256" i="9"/>
  <c r="BJ257" i="9"/>
  <c r="BK257" i="9"/>
  <c r="BL257" i="9"/>
  <c r="BM257" i="9"/>
  <c r="BN257" i="9"/>
  <c r="BJ258" i="9"/>
  <c r="BK258" i="9"/>
  <c r="BL258" i="9"/>
  <c r="BM258" i="9"/>
  <c r="BN258" i="9"/>
  <c r="BJ259" i="9"/>
  <c r="BK259" i="9"/>
  <c r="BL259" i="9"/>
  <c r="BM259" i="9"/>
  <c r="BN259" i="9"/>
  <c r="BJ260" i="9"/>
  <c r="BK260" i="9"/>
  <c r="BL260" i="9"/>
  <c r="BM260" i="9"/>
  <c r="BN260" i="9"/>
  <c r="BJ261" i="9"/>
  <c r="BK261" i="9"/>
  <c r="BL261" i="9"/>
  <c r="BM261" i="9"/>
  <c r="BN261" i="9"/>
  <c r="BJ262" i="9"/>
  <c r="BK262" i="9"/>
  <c r="BL262" i="9"/>
  <c r="BM262" i="9"/>
  <c r="BN262" i="9"/>
  <c r="BJ263" i="9"/>
  <c r="BK263" i="9"/>
  <c r="BL263" i="9"/>
  <c r="BM263" i="9"/>
  <c r="BN263" i="9"/>
  <c r="BJ264" i="9"/>
  <c r="BK264" i="9"/>
  <c r="BL264" i="9"/>
  <c r="BM264" i="9"/>
  <c r="BN264" i="9"/>
  <c r="BJ265" i="9"/>
  <c r="BK265" i="9"/>
  <c r="BL265" i="9"/>
  <c r="BM265" i="9"/>
  <c r="BN265" i="9"/>
  <c r="BJ266" i="9"/>
  <c r="BK266" i="9"/>
  <c r="BL266" i="9"/>
  <c r="BM266" i="9"/>
  <c r="BN266" i="9"/>
  <c r="BJ267" i="9"/>
  <c r="BK267" i="9"/>
  <c r="BL267" i="9"/>
  <c r="BM267" i="9"/>
  <c r="BN267" i="9"/>
  <c r="BJ268" i="9"/>
  <c r="BK268" i="9"/>
  <c r="BL268" i="9"/>
  <c r="BM268" i="9"/>
  <c r="BN268" i="9"/>
  <c r="BJ269" i="9"/>
  <c r="BK269" i="9"/>
  <c r="BL269" i="9"/>
  <c r="BM269" i="9"/>
  <c r="BN269" i="9"/>
  <c r="BJ270" i="9"/>
  <c r="BK270" i="9"/>
  <c r="BL270" i="9"/>
  <c r="BM270" i="9"/>
  <c r="BN270" i="9"/>
  <c r="BJ271" i="9"/>
  <c r="BK271" i="9"/>
  <c r="BL271" i="9"/>
  <c r="BM271" i="9"/>
  <c r="BN271" i="9"/>
  <c r="BJ272" i="9"/>
  <c r="BK272" i="9"/>
  <c r="BL272" i="9"/>
  <c r="BM272" i="9"/>
  <c r="BN272" i="9"/>
  <c r="BJ273" i="9"/>
  <c r="BK273" i="9"/>
  <c r="BL273" i="9"/>
  <c r="BM273" i="9"/>
  <c r="BN273" i="9"/>
  <c r="BJ274" i="9"/>
  <c r="BK274" i="9"/>
  <c r="BL274" i="9"/>
  <c r="BM274" i="9"/>
  <c r="BN274" i="9"/>
  <c r="BJ275" i="9"/>
  <c r="BK275" i="9"/>
  <c r="BL275" i="9"/>
  <c r="BM275" i="9"/>
  <c r="BN275" i="9"/>
  <c r="BJ276" i="9"/>
  <c r="BK276" i="9"/>
  <c r="BL276" i="9"/>
  <c r="BM276" i="9"/>
  <c r="BN276" i="9"/>
  <c r="BJ277" i="9"/>
  <c r="BK277" i="9"/>
  <c r="BL277" i="9"/>
  <c r="BM277" i="9"/>
  <c r="BN277" i="9"/>
  <c r="BJ278" i="9"/>
  <c r="BK278" i="9"/>
  <c r="BL278" i="9"/>
  <c r="BM278" i="9"/>
  <c r="BN278" i="9"/>
  <c r="BJ279" i="9"/>
  <c r="BK279" i="9"/>
  <c r="BL279" i="9"/>
  <c r="BM279" i="9"/>
  <c r="BN279" i="9"/>
  <c r="BJ280" i="9"/>
  <c r="BK280" i="9"/>
  <c r="BL280" i="9"/>
  <c r="BM280" i="9"/>
  <c r="BN280" i="9"/>
  <c r="BJ281" i="9"/>
  <c r="BK281" i="9"/>
  <c r="BL281" i="9"/>
  <c r="BM281" i="9"/>
  <c r="BN281" i="9"/>
  <c r="BJ282" i="9"/>
  <c r="BK282" i="9"/>
  <c r="BL282" i="9"/>
  <c r="BM282" i="9"/>
  <c r="BN282" i="9"/>
  <c r="BJ283" i="9"/>
  <c r="BK283" i="9"/>
  <c r="BL283" i="9"/>
  <c r="BM283" i="9"/>
  <c r="BN283" i="9"/>
  <c r="BJ284" i="9"/>
  <c r="BK284" i="9"/>
  <c r="BL284" i="9"/>
  <c r="BM284" i="9"/>
  <c r="BN284" i="9"/>
  <c r="BJ285" i="9"/>
  <c r="BK285" i="9"/>
  <c r="BL285" i="9"/>
  <c r="BM285" i="9"/>
  <c r="BN285" i="9"/>
  <c r="BJ286" i="9"/>
  <c r="BK286" i="9"/>
  <c r="BL286" i="9"/>
  <c r="BM286" i="9"/>
  <c r="BN286" i="9"/>
  <c r="BJ287" i="9"/>
  <c r="BK287" i="9"/>
  <c r="BL287" i="9"/>
  <c r="BM287" i="9"/>
  <c r="BN287" i="9"/>
  <c r="BJ288" i="9"/>
  <c r="BK288" i="9"/>
  <c r="BL288" i="9"/>
  <c r="BM288" i="9"/>
  <c r="BN288" i="9"/>
  <c r="BJ289" i="9"/>
  <c r="BK289" i="9"/>
  <c r="BL289" i="9"/>
  <c r="BM289" i="9"/>
  <c r="BN289" i="9"/>
  <c r="BJ290" i="9"/>
  <c r="BK290" i="9"/>
  <c r="BL290" i="9"/>
  <c r="BM290" i="9"/>
  <c r="BN290" i="9"/>
  <c r="BJ291" i="9"/>
  <c r="BK291" i="9"/>
  <c r="BL291" i="9"/>
  <c r="BM291" i="9"/>
  <c r="BN291" i="9"/>
  <c r="BJ292" i="9"/>
  <c r="BK292" i="9"/>
  <c r="BL292" i="9"/>
  <c r="BM292" i="9"/>
  <c r="BN292" i="9"/>
  <c r="BJ293" i="9"/>
  <c r="BK293" i="9"/>
  <c r="BL293" i="9"/>
  <c r="BM293" i="9"/>
  <c r="BN293" i="9"/>
  <c r="BJ294" i="9"/>
  <c r="BK294" i="9"/>
  <c r="BL294" i="9"/>
  <c r="BM294" i="9"/>
  <c r="BN294" i="9"/>
  <c r="BJ295" i="9"/>
  <c r="BK295" i="9"/>
  <c r="BL295" i="9"/>
  <c r="BM295" i="9"/>
  <c r="BN295" i="9"/>
  <c r="BJ296" i="9"/>
  <c r="BK296" i="9"/>
  <c r="BL296" i="9"/>
  <c r="BM296" i="9"/>
  <c r="BN296" i="9"/>
  <c r="BJ297" i="9"/>
  <c r="BK297" i="9"/>
  <c r="BL297" i="9"/>
  <c r="BM297" i="9"/>
  <c r="BN297" i="9"/>
  <c r="BJ298" i="9"/>
  <c r="BK298" i="9"/>
  <c r="BL298" i="9"/>
  <c r="BM298" i="9"/>
  <c r="BN298" i="9"/>
  <c r="BJ299" i="9"/>
  <c r="BK299" i="9"/>
  <c r="BL299" i="9"/>
  <c r="BM299" i="9"/>
  <c r="BN299" i="9"/>
  <c r="BJ300" i="9"/>
  <c r="BK300" i="9"/>
  <c r="BL300" i="9"/>
  <c r="BM300" i="9"/>
  <c r="BN300" i="9"/>
  <c r="BJ301" i="9"/>
  <c r="BK301" i="9"/>
  <c r="BL301" i="9"/>
  <c r="BM301" i="9"/>
  <c r="BN301" i="9"/>
  <c r="BJ302" i="9"/>
  <c r="BK302" i="9"/>
  <c r="BL302" i="9"/>
  <c r="BM302" i="9"/>
  <c r="BN302" i="9"/>
  <c r="BJ303" i="9"/>
  <c r="BK303" i="9"/>
  <c r="BL303" i="9"/>
  <c r="BM303" i="9"/>
  <c r="BN303" i="9"/>
  <c r="BJ304" i="9"/>
  <c r="BK304" i="9"/>
  <c r="BL304" i="9"/>
  <c r="BM304" i="9"/>
  <c r="BN304" i="9"/>
  <c r="BJ305" i="9"/>
  <c r="BK305" i="9"/>
  <c r="BL305" i="9"/>
  <c r="BM305" i="9"/>
  <c r="BN305" i="9"/>
  <c r="BJ306" i="9"/>
  <c r="BK306" i="9"/>
  <c r="BL306" i="9"/>
  <c r="BM306" i="9"/>
  <c r="BN306" i="9"/>
  <c r="BJ307" i="9"/>
  <c r="BK307" i="9"/>
  <c r="BL307" i="9"/>
  <c r="BM307" i="9"/>
  <c r="BN307" i="9"/>
  <c r="BJ308" i="9"/>
  <c r="BK308" i="9"/>
  <c r="BL308" i="9"/>
  <c r="BM308" i="9"/>
  <c r="BN308" i="9"/>
  <c r="BJ309" i="9"/>
  <c r="BK309" i="9"/>
  <c r="BL309" i="9"/>
  <c r="BM309" i="9"/>
  <c r="BN309" i="9"/>
  <c r="BJ310" i="9"/>
  <c r="BK310" i="9"/>
  <c r="BL310" i="9"/>
  <c r="BM310" i="9"/>
  <c r="BN310" i="9"/>
  <c r="BJ311" i="9"/>
  <c r="BK311" i="9"/>
  <c r="BL311" i="9"/>
  <c r="BM311" i="9"/>
  <c r="BN311" i="9"/>
  <c r="BJ312" i="9"/>
  <c r="BK312" i="9"/>
  <c r="BL312" i="9"/>
  <c r="BM312" i="9"/>
  <c r="BN312" i="9"/>
  <c r="BJ313" i="9"/>
  <c r="BK313" i="9"/>
  <c r="BL313" i="9"/>
  <c r="BM313" i="9"/>
  <c r="BN313" i="9"/>
  <c r="BJ314" i="9"/>
  <c r="BK314" i="9"/>
  <c r="BL314" i="9"/>
  <c r="BM314" i="9"/>
  <c r="BN314" i="9"/>
  <c r="BJ315" i="9"/>
  <c r="BK315" i="9"/>
  <c r="BL315" i="9"/>
  <c r="BM315" i="9"/>
  <c r="BN315" i="9"/>
  <c r="BJ316" i="9"/>
  <c r="BK316" i="9"/>
  <c r="BL316" i="9"/>
  <c r="BM316" i="9"/>
  <c r="BN316" i="9"/>
  <c r="BJ317" i="9"/>
  <c r="BK317" i="9"/>
  <c r="BL317" i="9"/>
  <c r="BM317" i="9"/>
  <c r="BN317" i="9"/>
  <c r="BJ318" i="9"/>
  <c r="BK318" i="9"/>
  <c r="BL318" i="9"/>
  <c r="BM318" i="9"/>
  <c r="BN318" i="9"/>
  <c r="BJ319" i="9"/>
  <c r="BK319" i="9"/>
  <c r="BL319" i="9"/>
  <c r="BM319" i="9"/>
  <c r="BN319" i="9"/>
  <c r="BJ320" i="9"/>
  <c r="BK320" i="9"/>
  <c r="BL320" i="9"/>
  <c r="BM320" i="9"/>
  <c r="BN320" i="9"/>
  <c r="BJ321" i="9"/>
  <c r="BK321" i="9"/>
  <c r="BL321" i="9"/>
  <c r="BM321" i="9"/>
  <c r="BN321" i="9"/>
  <c r="BJ322" i="9"/>
  <c r="BK322" i="9"/>
  <c r="BL322" i="9"/>
  <c r="BM322" i="9"/>
  <c r="BN322" i="9"/>
  <c r="BJ323" i="9"/>
  <c r="BK323" i="9"/>
  <c r="BL323" i="9"/>
  <c r="BM323" i="9"/>
  <c r="BN323" i="9"/>
  <c r="BJ324" i="9"/>
  <c r="BK324" i="9"/>
  <c r="BL324" i="9"/>
  <c r="BM324" i="9"/>
  <c r="BN324" i="9"/>
  <c r="BJ325" i="9"/>
  <c r="BK325" i="9"/>
  <c r="BL325" i="9"/>
  <c r="BM325" i="9"/>
  <c r="BN325" i="9"/>
  <c r="BJ326" i="9"/>
  <c r="BK326" i="9"/>
  <c r="BL326" i="9"/>
  <c r="BM326" i="9"/>
  <c r="BN326" i="9"/>
  <c r="BJ327" i="9"/>
  <c r="BK327" i="9"/>
  <c r="BL327" i="9"/>
  <c r="BM327" i="9"/>
  <c r="BN327" i="9"/>
  <c r="BJ328" i="9"/>
  <c r="BK328" i="9"/>
  <c r="BL328" i="9"/>
  <c r="BM328" i="9"/>
  <c r="BN328" i="9"/>
  <c r="BJ329" i="9"/>
  <c r="BK329" i="9"/>
  <c r="BL329" i="9"/>
  <c r="BM329" i="9"/>
  <c r="BN329" i="9"/>
  <c r="BJ330" i="9"/>
  <c r="BK330" i="9"/>
  <c r="BL330" i="9"/>
  <c r="BM330" i="9"/>
  <c r="BN330" i="9"/>
  <c r="BJ331" i="9"/>
  <c r="BK331" i="9"/>
  <c r="BL331" i="9"/>
  <c r="BM331" i="9"/>
  <c r="BN331" i="9"/>
  <c r="BJ332" i="9"/>
  <c r="BK332" i="9"/>
  <c r="BL332" i="9"/>
  <c r="BM332" i="9"/>
  <c r="BN332" i="9"/>
  <c r="BJ333" i="9"/>
  <c r="BK333" i="9"/>
  <c r="BL333" i="9"/>
  <c r="BM333" i="9"/>
  <c r="BN333" i="9"/>
  <c r="BJ334" i="9"/>
  <c r="BK334" i="9"/>
  <c r="BL334" i="9"/>
  <c r="BM334" i="9"/>
  <c r="BN334" i="9"/>
  <c r="BJ335" i="9"/>
  <c r="BK335" i="9"/>
  <c r="BL335" i="9"/>
  <c r="BM335" i="9"/>
  <c r="BN335" i="9"/>
  <c r="BJ336" i="9"/>
  <c r="BK336" i="9"/>
  <c r="BL336" i="9"/>
  <c r="BM336" i="9"/>
  <c r="BN336" i="9"/>
  <c r="BJ337" i="9"/>
  <c r="BK337" i="9"/>
  <c r="BL337" i="9"/>
  <c r="BM337" i="9"/>
  <c r="BN337" i="9"/>
  <c r="BJ338" i="9"/>
  <c r="BK338" i="9"/>
  <c r="BL338" i="9"/>
  <c r="BM338" i="9"/>
  <c r="BN338" i="9"/>
  <c r="BJ339" i="9"/>
  <c r="BK339" i="9"/>
  <c r="BL339" i="9"/>
  <c r="BM339" i="9"/>
  <c r="BN339" i="9"/>
  <c r="BJ340" i="9"/>
  <c r="BK340" i="9"/>
  <c r="BL340" i="9"/>
  <c r="BM340" i="9"/>
  <c r="BN340" i="9"/>
  <c r="BJ341" i="9"/>
  <c r="BK341" i="9"/>
  <c r="BL341" i="9"/>
  <c r="BM341" i="9"/>
  <c r="BN341" i="9"/>
  <c r="BJ342" i="9"/>
  <c r="BK342" i="9"/>
  <c r="BL342" i="9"/>
  <c r="BM342" i="9"/>
  <c r="BN342" i="9"/>
  <c r="BJ343" i="9"/>
  <c r="BK343" i="9"/>
  <c r="BL343" i="9"/>
  <c r="BM343" i="9"/>
  <c r="BN343" i="9"/>
  <c r="BJ344" i="9"/>
  <c r="BK344" i="9"/>
  <c r="BL344" i="9"/>
  <c r="BM344" i="9"/>
  <c r="BN344" i="9"/>
  <c r="BJ345" i="9"/>
  <c r="BK345" i="9"/>
  <c r="BL345" i="9"/>
  <c r="BM345" i="9"/>
  <c r="BN345" i="9"/>
  <c r="BJ346" i="9"/>
  <c r="BK346" i="9"/>
  <c r="BL346" i="9"/>
  <c r="BM346" i="9"/>
  <c r="BN346" i="9"/>
  <c r="BJ347" i="9"/>
  <c r="BK347" i="9"/>
  <c r="BL347" i="9"/>
  <c r="BM347" i="9"/>
  <c r="BN347" i="9"/>
  <c r="BJ348" i="9"/>
  <c r="BK348" i="9"/>
  <c r="BL348" i="9"/>
  <c r="BM348" i="9"/>
  <c r="BN348" i="9"/>
  <c r="BJ349" i="9"/>
  <c r="BK349" i="9"/>
  <c r="BL349" i="9"/>
  <c r="BM349" i="9"/>
  <c r="BN349" i="9"/>
  <c r="BJ350" i="9"/>
  <c r="BK350" i="9"/>
  <c r="BL350" i="9"/>
  <c r="BM350" i="9"/>
  <c r="BN350" i="9"/>
  <c r="BJ351" i="9"/>
  <c r="BK351" i="9"/>
  <c r="BL351" i="9"/>
  <c r="BM351" i="9"/>
  <c r="BN351" i="9"/>
  <c r="BJ352" i="9"/>
  <c r="BK352" i="9"/>
  <c r="BL352" i="9"/>
  <c r="BM352" i="9"/>
  <c r="BN352" i="9"/>
  <c r="BJ353" i="9"/>
  <c r="BK353" i="9"/>
  <c r="BL353" i="9"/>
  <c r="BM353" i="9"/>
  <c r="BN353" i="9"/>
  <c r="BJ354" i="9"/>
  <c r="BK354" i="9"/>
  <c r="BL354" i="9"/>
  <c r="BM354" i="9"/>
  <c r="BN354" i="9"/>
  <c r="BJ355" i="9"/>
  <c r="BK355" i="9"/>
  <c r="BL355" i="9"/>
  <c r="BM355" i="9"/>
  <c r="BN355" i="9"/>
  <c r="BJ356" i="9"/>
  <c r="BK356" i="9"/>
  <c r="BL356" i="9"/>
  <c r="BM356" i="9"/>
  <c r="BN356" i="9"/>
  <c r="BJ357" i="9"/>
  <c r="BK357" i="9"/>
  <c r="BL357" i="9"/>
  <c r="BM357" i="9"/>
  <c r="BN357" i="9"/>
  <c r="BJ358" i="9"/>
  <c r="BK358" i="9"/>
  <c r="BL358" i="9"/>
  <c r="BM358" i="9"/>
  <c r="BN358" i="9"/>
  <c r="BJ359" i="9"/>
  <c r="BK359" i="9"/>
  <c r="BL359" i="9"/>
  <c r="BM359" i="9"/>
  <c r="BN359" i="9"/>
  <c r="BJ360" i="9"/>
  <c r="BK360" i="9"/>
  <c r="BL360" i="9"/>
  <c r="BM360" i="9"/>
  <c r="BN360" i="9"/>
  <c r="BJ361" i="9"/>
  <c r="BK361" i="9"/>
  <c r="BL361" i="9"/>
  <c r="BM361" i="9"/>
  <c r="BN361" i="9"/>
  <c r="BJ362" i="9"/>
  <c r="BK362" i="9"/>
  <c r="BL362" i="9"/>
  <c r="BM362" i="9"/>
  <c r="BN362" i="9"/>
  <c r="BJ363" i="9"/>
  <c r="BK363" i="9"/>
  <c r="BL363" i="9"/>
  <c r="BM363" i="9"/>
  <c r="BN363" i="9"/>
  <c r="BJ364" i="9"/>
  <c r="BK364" i="9"/>
  <c r="BL364" i="9"/>
  <c r="BM364" i="9"/>
  <c r="BN364" i="9"/>
  <c r="BJ365" i="9"/>
  <c r="BK365" i="9"/>
  <c r="BL365" i="9"/>
  <c r="BM365" i="9"/>
  <c r="BN365" i="9"/>
  <c r="BJ366" i="9"/>
  <c r="BK366" i="9"/>
  <c r="BL366" i="9"/>
  <c r="BM366" i="9"/>
  <c r="BN366" i="9"/>
  <c r="BJ367" i="9"/>
  <c r="BK367" i="9"/>
  <c r="BL367" i="9"/>
  <c r="BM367" i="9"/>
  <c r="BN367" i="9"/>
  <c r="BJ368" i="9"/>
  <c r="BK368" i="9"/>
  <c r="BL368" i="9"/>
  <c r="BM368" i="9"/>
  <c r="BN368" i="9"/>
  <c r="BJ369" i="9"/>
  <c r="BK369" i="9"/>
  <c r="BL369" i="9"/>
  <c r="BM369" i="9"/>
  <c r="BN369" i="9"/>
  <c r="BJ370" i="9"/>
  <c r="BK370" i="9"/>
  <c r="BL370" i="9"/>
  <c r="BM370" i="9"/>
  <c r="BN370" i="9"/>
  <c r="BK11" i="9"/>
  <c r="BL11" i="9"/>
  <c r="BM11" i="9"/>
  <c r="BN11" i="9"/>
  <c r="BJ11" i="9"/>
  <c r="AL12" i="10" l="1"/>
  <c r="AM31" i="10"/>
  <c r="AN50" i="10"/>
  <c r="AO69" i="10"/>
  <c r="AO26" i="10"/>
  <c r="AP45" i="10"/>
  <c r="AL65" i="10"/>
  <c r="AM84" i="10"/>
  <c r="AN103" i="10"/>
  <c r="AO122" i="10"/>
  <c r="AP141" i="10"/>
  <c r="AL161" i="10"/>
  <c r="AM180" i="10"/>
  <c r="AN199" i="10"/>
  <c r="AL15" i="10"/>
  <c r="AM34" i="10"/>
  <c r="AL20" i="10"/>
  <c r="AM39" i="10"/>
  <c r="AN58" i="10"/>
  <c r="AO77" i="10"/>
  <c r="AP96" i="10"/>
  <c r="AL116" i="10"/>
  <c r="AM135" i="10"/>
  <c r="AN154" i="10"/>
  <c r="AO173" i="10"/>
  <c r="AP192" i="10"/>
  <c r="AL212" i="10"/>
  <c r="AN27" i="10"/>
  <c r="AM13" i="10"/>
  <c r="AN32" i="10"/>
  <c r="AO51" i="10"/>
  <c r="AP70" i="10"/>
  <c r="AL90" i="10"/>
  <c r="AM109" i="10"/>
  <c r="AN128" i="10"/>
  <c r="AO147" i="10"/>
  <c r="AN25" i="10"/>
  <c r="AO44" i="10"/>
  <c r="AP63" i="10"/>
  <c r="AL83" i="10"/>
  <c r="AM102" i="10"/>
  <c r="AN121" i="10"/>
  <c r="AO140" i="10"/>
  <c r="AP159" i="10"/>
  <c r="AL179" i="10"/>
  <c r="AL28" i="10"/>
  <c r="AM47" i="10"/>
  <c r="AN66" i="10"/>
  <c r="AO85" i="10"/>
  <c r="AP104" i="10"/>
  <c r="AL124" i="10"/>
  <c r="AM143" i="10"/>
  <c r="AN162" i="10"/>
  <c r="AO181" i="10"/>
  <c r="AP200" i="10"/>
  <c r="AN16" i="10"/>
  <c r="AO35" i="10"/>
  <c r="AP54" i="10"/>
  <c r="AL74" i="10"/>
  <c r="AM93" i="10"/>
  <c r="AN112" i="10"/>
  <c r="AO131" i="10"/>
  <c r="AP150" i="10"/>
  <c r="AL170" i="10"/>
  <c r="AM189" i="10"/>
  <c r="AN208" i="10"/>
  <c r="AO48" i="10"/>
  <c r="AM91" i="10"/>
  <c r="AO129" i="10"/>
  <c r="AL166" i="10"/>
  <c r="AP196" i="10"/>
  <c r="AN222" i="10"/>
  <c r="AO241" i="10"/>
  <c r="AP260" i="10"/>
  <c r="AL280" i="10"/>
  <c r="AM299" i="10"/>
  <c r="AN318" i="10"/>
  <c r="AO66" i="10"/>
  <c r="AL106" i="10"/>
  <c r="AN144" i="10"/>
  <c r="AO178" i="10"/>
  <c r="AP207" i="10"/>
  <c r="AP229" i="10"/>
  <c r="AL249" i="10"/>
  <c r="AM268" i="10"/>
  <c r="AN287" i="10"/>
  <c r="AO306" i="10"/>
  <c r="AN33" i="10"/>
  <c r="AM82" i="10"/>
  <c r="AO120" i="10"/>
  <c r="AP25" i="10"/>
  <c r="AO78" i="10"/>
  <c r="AL117" i="10"/>
  <c r="AP154" i="10"/>
  <c r="AM187" i="10"/>
  <c r="AL216" i="10"/>
  <c r="AM235" i="10"/>
  <c r="AN254" i="10"/>
  <c r="AO273" i="10"/>
  <c r="AO16" i="10"/>
  <c r="AL69" i="10"/>
  <c r="AL108" i="10"/>
  <c r="AN146" i="10"/>
  <c r="AN180" i="10"/>
  <c r="AN209" i="10"/>
  <c r="AP230" i="10"/>
  <c r="AP37" i="10"/>
  <c r="AN84" i="10"/>
  <c r="AP122" i="10"/>
  <c r="AM160" i="10"/>
  <c r="AP191" i="10"/>
  <c r="AL219" i="10"/>
  <c r="AM238" i="10"/>
  <c r="AN257" i="10"/>
  <c r="AO276" i="10"/>
  <c r="AP295" i="10"/>
  <c r="AO52" i="10"/>
  <c r="AM94" i="10"/>
  <c r="AO132" i="10"/>
  <c r="AO168" i="10"/>
  <c r="AM199" i="10"/>
  <c r="AL224" i="10"/>
  <c r="AM243" i="10"/>
  <c r="AN262" i="10"/>
  <c r="AO281" i="10"/>
  <c r="AM29" i="10"/>
  <c r="AM80" i="10"/>
  <c r="AO118" i="10"/>
  <c r="AM40" i="10"/>
  <c r="AP85" i="10"/>
  <c r="AM124" i="10"/>
  <c r="AM161" i="10"/>
  <c r="AO192" i="10"/>
  <c r="AO219" i="10"/>
  <c r="AP238" i="10"/>
  <c r="AL258" i="10"/>
  <c r="AM277" i="10"/>
  <c r="AP160" i="10"/>
  <c r="AL227" i="10"/>
  <c r="AP77" i="10"/>
  <c r="AM190" i="10"/>
  <c r="AO244" i="10"/>
  <c r="AM282" i="10"/>
  <c r="AL310" i="10"/>
  <c r="AP330" i="10"/>
  <c r="AL350" i="10"/>
  <c r="AM369" i="10"/>
  <c r="AM152" i="10"/>
  <c r="AM222" i="10"/>
  <c r="AM264" i="10"/>
  <c r="AL298" i="10"/>
  <c r="AO163" i="10"/>
  <c r="AL229" i="10"/>
  <c r="AP269" i="10"/>
  <c r="AL302" i="10"/>
  <c r="AM324" i="10"/>
  <c r="AN343" i="10"/>
  <c r="AO362" i="10"/>
  <c r="AM122" i="10"/>
  <c r="AM210" i="10"/>
  <c r="AP255" i="10"/>
  <c r="AM86" i="10"/>
  <c r="AP193" i="10"/>
  <c r="AP246" i="10"/>
  <c r="AM284" i="10"/>
  <c r="AL311" i="10"/>
  <c r="AP331" i="10"/>
  <c r="AL351" i="10"/>
  <c r="AM370" i="10"/>
  <c r="AO106" i="10"/>
  <c r="AP211" i="10"/>
  <c r="AM68" i="10"/>
  <c r="AO186" i="10"/>
  <c r="AM242" i="10"/>
  <c r="AO280" i="10"/>
  <c r="AO308" i="10"/>
  <c r="AP329" i="10"/>
  <c r="AL349" i="10"/>
  <c r="AM368" i="10"/>
  <c r="AN158" i="10"/>
  <c r="AN225" i="10"/>
  <c r="AL73" i="10"/>
  <c r="AO187" i="10"/>
  <c r="AN243" i="10"/>
  <c r="AM281" i="10"/>
  <c r="AN309" i="10"/>
  <c r="AM330" i="10"/>
  <c r="AN349" i="10"/>
  <c r="AO368" i="10"/>
  <c r="AN159" i="10"/>
  <c r="AL31" i="10"/>
  <c r="AL307" i="10"/>
  <c r="AL342" i="10"/>
  <c r="AN81" i="10"/>
  <c r="AN338" i="10"/>
  <c r="AN297" i="10"/>
  <c r="AO367" i="10"/>
  <c r="AN253" i="10"/>
  <c r="AM317" i="10"/>
  <c r="AN350" i="10"/>
  <c r="AM289" i="10"/>
  <c r="AM367" i="10"/>
  <c r="AP334" i="10"/>
  <c r="AM228" i="10"/>
  <c r="AM313" i="10"/>
  <c r="AN347" i="10"/>
  <c r="AO259" i="10"/>
  <c r="AL319" i="10"/>
  <c r="AL360" i="10"/>
  <c r="AP291" i="10"/>
  <c r="AO331" i="10"/>
  <c r="AO364" i="10"/>
  <c r="AP237" i="10"/>
  <c r="AP314" i="10"/>
  <c r="AN348" i="10"/>
  <c r="AP243" i="10"/>
  <c r="AN357" i="10"/>
  <c r="AP275" i="10"/>
  <c r="AL324" i="10"/>
  <c r="AL357" i="10"/>
  <c r="AO328" i="10"/>
  <c r="AM266" i="10"/>
  <c r="AP320" i="10"/>
  <c r="AO353" i="10"/>
  <c r="AL278" i="10"/>
  <c r="AL263" i="10"/>
  <c r="AM285" i="10"/>
  <c r="AM365" i="10"/>
  <c r="AN277" i="10"/>
  <c r="AO357" i="10"/>
  <c r="AL287" i="10"/>
  <c r="AP361" i="10"/>
  <c r="AN340" i="10"/>
  <c r="AM320" i="10"/>
  <c r="AM297" i="10"/>
  <c r="AP278" i="10"/>
  <c r="AO11" i="10"/>
  <c r="AM296" i="10"/>
  <c r="AL352" i="10"/>
  <c r="AN335" i="10"/>
  <c r="AO292" i="10"/>
  <c r="AN370" i="10"/>
  <c r="AP300" i="10"/>
  <c r="AP31" i="10"/>
  <c r="AM271" i="10"/>
  <c r="AP240" i="10"/>
  <c r="AN236" i="10"/>
  <c r="AN328" i="10"/>
  <c r="AL223" i="10"/>
  <c r="AN201" i="10"/>
  <c r="AN329" i="10"/>
  <c r="AO236" i="10"/>
  <c r="AP219" i="10"/>
  <c r="AL347" i="10"/>
  <c r="AP370" i="10"/>
  <c r="AN346" i="10"/>
  <c r="AN308" i="10"/>
  <c r="AN360" i="10"/>
  <c r="AL320" i="10"/>
  <c r="AM362" i="10"/>
  <c r="AN14" i="10"/>
  <c r="AO33" i="10"/>
  <c r="AP52" i="10"/>
  <c r="AL72" i="10"/>
  <c r="AL29" i="10"/>
  <c r="AM48" i="10"/>
  <c r="AN67" i="10"/>
  <c r="AO86" i="10"/>
  <c r="AP105" i="10"/>
  <c r="AL125" i="10"/>
  <c r="AM144" i="10"/>
  <c r="AN163" i="10"/>
  <c r="AO182" i="10"/>
  <c r="AP201" i="10"/>
  <c r="AN17" i="10"/>
  <c r="AO36" i="10"/>
  <c r="AN22" i="10"/>
  <c r="AO41" i="10"/>
  <c r="AP60" i="10"/>
  <c r="AL80" i="10"/>
  <c r="AM99" i="10"/>
  <c r="AN118" i="10"/>
  <c r="AO137" i="10"/>
  <c r="AP156" i="10"/>
  <c r="AL176" i="10"/>
  <c r="AM195" i="10"/>
  <c r="AN214" i="10"/>
  <c r="AP29" i="10"/>
  <c r="AO15" i="10"/>
  <c r="AP34" i="10"/>
  <c r="AL54" i="10"/>
  <c r="AM73" i="10"/>
  <c r="AN92" i="10"/>
  <c r="AO111" i="10"/>
  <c r="AP130" i="10"/>
  <c r="AL150" i="10"/>
  <c r="AP27" i="10"/>
  <c r="AL47" i="10"/>
  <c r="AM66" i="10"/>
  <c r="AN85" i="10"/>
  <c r="AO104" i="10"/>
  <c r="AP123" i="10"/>
  <c r="AL143" i="10"/>
  <c r="AM162" i="10"/>
  <c r="AN181" i="10"/>
  <c r="AN30" i="10"/>
  <c r="AO49" i="10"/>
  <c r="AP68" i="10"/>
  <c r="AL88" i="10"/>
  <c r="AM107" i="10"/>
  <c r="AN126" i="10"/>
  <c r="AO145" i="10"/>
  <c r="AP164" i="10"/>
  <c r="AL184" i="10"/>
  <c r="AM203" i="10"/>
  <c r="AP18" i="10"/>
  <c r="AL38" i="10"/>
  <c r="AM57" i="10"/>
  <c r="AN76" i="10"/>
  <c r="AO95" i="10"/>
  <c r="AP114" i="10"/>
  <c r="AL134" i="10"/>
  <c r="AM153" i="10"/>
  <c r="AN172" i="10"/>
  <c r="AO191" i="10"/>
  <c r="AP210" i="10"/>
  <c r="AO54" i="10"/>
  <c r="AL96" i="10"/>
  <c r="AN134" i="10"/>
  <c r="AM170" i="10"/>
  <c r="AN200" i="10"/>
  <c r="AP224" i="10"/>
  <c r="AL244" i="10"/>
  <c r="AM263" i="10"/>
  <c r="AN282" i="10"/>
  <c r="AO301" i="10"/>
  <c r="AP13" i="10"/>
  <c r="AN72" i="10"/>
  <c r="AP110" i="10"/>
  <c r="AM149" i="10"/>
  <c r="AP182" i="10"/>
  <c r="AO211" i="10"/>
  <c r="AM232" i="10"/>
  <c r="AN251" i="10"/>
  <c r="AO270" i="10"/>
  <c r="AP289" i="10"/>
  <c r="AL309" i="10"/>
  <c r="AL43" i="10"/>
  <c r="AL87" i="10"/>
  <c r="AN125" i="10"/>
  <c r="AN35" i="10"/>
  <c r="AN83" i="10"/>
  <c r="AP121" i="10"/>
  <c r="AL159" i="10"/>
  <c r="AP190" i="10"/>
  <c r="AN218" i="10"/>
  <c r="AO237" i="10"/>
  <c r="AP256" i="10"/>
  <c r="AL276" i="10"/>
  <c r="AM17" i="10"/>
  <c r="AN74" i="10"/>
  <c r="AP112" i="10"/>
  <c r="AM151" i="10"/>
  <c r="AM184" i="10"/>
  <c r="AL213" i="10"/>
  <c r="AM233" i="10"/>
  <c r="AM46" i="10"/>
  <c r="AM89" i="10"/>
  <c r="AO127" i="10"/>
  <c r="AM164" i="10"/>
  <c r="AN195" i="10"/>
  <c r="AN221" i="10"/>
  <c r="AO240" i="10"/>
  <c r="AP259" i="10"/>
  <c r="AL279" i="10"/>
  <c r="AM298" i="10"/>
  <c r="AM58" i="10"/>
  <c r="AL99" i="10"/>
  <c r="AN137" i="10"/>
  <c r="AP172" i="10"/>
  <c r="AP202" i="10"/>
  <c r="AN226" i="10"/>
  <c r="AO245" i="10"/>
  <c r="AP264" i="10"/>
  <c r="AL284" i="10"/>
  <c r="AP38" i="10"/>
  <c r="AL85" i="10"/>
  <c r="AN123" i="10"/>
  <c r="AP47" i="10"/>
  <c r="AO90" i="10"/>
  <c r="AL129" i="10"/>
  <c r="AN165" i="10"/>
  <c r="AM196" i="10"/>
  <c r="AL222" i="10"/>
  <c r="AM241" i="10"/>
  <c r="AN260" i="10"/>
  <c r="AN21" i="10"/>
  <c r="AP170" i="10"/>
  <c r="AO232" i="10"/>
  <c r="AL97" i="10"/>
  <c r="AM198" i="10"/>
  <c r="AN249" i="10"/>
  <c r="AO286" i="10"/>
  <c r="AP312" i="10"/>
  <c r="AM333" i="10"/>
  <c r="AN352" i="10"/>
  <c r="AP11" i="10"/>
  <c r="AO162" i="10"/>
  <c r="AP227" i="10"/>
  <c r="AL269" i="10"/>
  <c r="AL34" i="10"/>
  <c r="AP173" i="10"/>
  <c r="AP234" i="10"/>
  <c r="AO274" i="10"/>
  <c r="AL305" i="10"/>
  <c r="AO326" i="10"/>
  <c r="AP345" i="10"/>
  <c r="AL365" i="10"/>
  <c r="AN141" i="10"/>
  <c r="AL218" i="10"/>
  <c r="AO260" i="10"/>
  <c r="AN105" i="10"/>
  <c r="AL202" i="10"/>
  <c r="AO251" i="10"/>
  <c r="AM288" i="10"/>
  <c r="AM314" i="10"/>
  <c r="AM334" i="10"/>
  <c r="AN353" i="10"/>
  <c r="AO156" i="10"/>
  <c r="AP125" i="10"/>
  <c r="AO218" i="10"/>
  <c r="AO88" i="10"/>
  <c r="AP194" i="10"/>
  <c r="AN247" i="10"/>
  <c r="AO284" i="10"/>
  <c r="AP311" i="10"/>
  <c r="AM332" i="10"/>
  <c r="AN351" i="10"/>
  <c r="AO370" i="10"/>
  <c r="AP167" i="10"/>
  <c r="AN231" i="10"/>
  <c r="AM92" i="10"/>
  <c r="AO196" i="10"/>
  <c r="AM248" i="10"/>
  <c r="AN285" i="10"/>
  <c r="AM312" i="10"/>
  <c r="AO332" i="10"/>
  <c r="AP351" i="10"/>
  <c r="AM11" i="10"/>
  <c r="AP169" i="10"/>
  <c r="AO208" i="10"/>
  <c r="AL312" i="10"/>
  <c r="AL346" i="10"/>
  <c r="AP254" i="10"/>
  <c r="AP346" i="10"/>
  <c r="AL308" i="10"/>
  <c r="AL11" i="10"/>
  <c r="AN268" i="10"/>
  <c r="AO321" i="10"/>
  <c r="AO354" i="10"/>
  <c r="AO302" i="10"/>
  <c r="AO100" i="10"/>
  <c r="AM347" i="10"/>
  <c r="AP258" i="10"/>
  <c r="AM318" i="10"/>
  <c r="AO351" i="10"/>
  <c r="AO272" i="10"/>
  <c r="AM323" i="10"/>
  <c r="AM325" i="10"/>
  <c r="AP298" i="10"/>
  <c r="AP335" i="10"/>
  <c r="AP368" i="10"/>
  <c r="AO319" i="10"/>
  <c r="AO352" i="10"/>
  <c r="AP285" i="10"/>
  <c r="AO365" i="10"/>
  <c r="AM328" i="10"/>
  <c r="AP340" i="10"/>
  <c r="AP324" i="10"/>
  <c r="AP297" i="10"/>
  <c r="AN339" i="10"/>
  <c r="AP339" i="10"/>
  <c r="AN358" i="10"/>
  <c r="AL334" i="10"/>
  <c r="AL331" i="10"/>
  <c r="AN314" i="10"/>
  <c r="AP364" i="10"/>
  <c r="AN276" i="10"/>
  <c r="AN316" i="10"/>
  <c r="AM75" i="10"/>
  <c r="AP73" i="10"/>
  <c r="AM274" i="10"/>
  <c r="AP113" i="10"/>
  <c r="AL221" i="10"/>
  <c r="AO136" i="10"/>
  <c r="AO298" i="10"/>
  <c r="AN65" i="10"/>
  <c r="AP367" i="10"/>
  <c r="AN327" i="10"/>
  <c r="AN237" i="10"/>
  <c r="AO220" i="10"/>
  <c r="AL217" i="10"/>
  <c r="AM343" i="10"/>
  <c r="AL163" i="10"/>
  <c r="AP352" i="10"/>
  <c r="AP16" i="10"/>
  <c r="AL36" i="10"/>
  <c r="AM55" i="10"/>
  <c r="AM12" i="10"/>
  <c r="AN31" i="10"/>
  <c r="AO50" i="10"/>
  <c r="AP69" i="10"/>
  <c r="AL89" i="10"/>
  <c r="AM108" i="10"/>
  <c r="AN127" i="10"/>
  <c r="AO146" i="10"/>
  <c r="AP165" i="10"/>
  <c r="AL185" i="10"/>
  <c r="AM204" i="10"/>
  <c r="AP19" i="10"/>
  <c r="AL39" i="10"/>
  <c r="AP24" i="10"/>
  <c r="AL44" i="10"/>
  <c r="AM63" i="10"/>
  <c r="AN82" i="10"/>
  <c r="AO101" i="10"/>
  <c r="AP120" i="10"/>
  <c r="AL140" i="10"/>
  <c r="AM159" i="10"/>
  <c r="AN178" i="10"/>
  <c r="AO197" i="10"/>
  <c r="AL13" i="10"/>
  <c r="AM32" i="10"/>
  <c r="AL18" i="10"/>
  <c r="AM37" i="10"/>
  <c r="AN56" i="10"/>
  <c r="AO75" i="10"/>
  <c r="AP94" i="10"/>
  <c r="AL114" i="10"/>
  <c r="AM133" i="10"/>
  <c r="AN152" i="10"/>
  <c r="AM30" i="10"/>
  <c r="AN49" i="10"/>
  <c r="AO68" i="10"/>
  <c r="AP87" i="10"/>
  <c r="AL107" i="10"/>
  <c r="AM126" i="10"/>
  <c r="AN145" i="10"/>
  <c r="AO164" i="10"/>
  <c r="AO13" i="10"/>
  <c r="AP32" i="10"/>
  <c r="AL52" i="10"/>
  <c r="AM71" i="10"/>
  <c r="AN90" i="10"/>
  <c r="AO109" i="10"/>
  <c r="AP128" i="10"/>
  <c r="AL148" i="10"/>
  <c r="AM167" i="10"/>
  <c r="AN186" i="10"/>
  <c r="AO205" i="10"/>
  <c r="AM21" i="10"/>
  <c r="AN40" i="10"/>
  <c r="AO59" i="10"/>
  <c r="AP78" i="10"/>
  <c r="AL98" i="10"/>
  <c r="AM117" i="10"/>
  <c r="AN136" i="10"/>
  <c r="AO155" i="10"/>
  <c r="AP174" i="10"/>
  <c r="AL194" i="10"/>
  <c r="AM213" i="10"/>
  <c r="AN60" i="10"/>
  <c r="AP100" i="10"/>
  <c r="AM139" i="10"/>
  <c r="AL174" i="10"/>
  <c r="AL204" i="10"/>
  <c r="AM227" i="10"/>
  <c r="AN246" i="10"/>
  <c r="AO265" i="10"/>
  <c r="AP284" i="10"/>
  <c r="AL304" i="10"/>
  <c r="AN23" i="10"/>
  <c r="AM77" i="10"/>
  <c r="AO115" i="10"/>
  <c r="AL154" i="10"/>
  <c r="AM186" i="10"/>
  <c r="AL215" i="10"/>
  <c r="AO234" i="10"/>
  <c r="AP253" i="10"/>
  <c r="AL273" i="10"/>
  <c r="AM292" i="10"/>
  <c r="AN311" i="10"/>
  <c r="AP49" i="10"/>
  <c r="AP91" i="10"/>
  <c r="AM130" i="10"/>
  <c r="AL45" i="10"/>
  <c r="AM88" i="10"/>
  <c r="AO126" i="10"/>
  <c r="AM163" i="10"/>
  <c r="AN194" i="10"/>
  <c r="AP220" i="10"/>
  <c r="AL240" i="10"/>
  <c r="AM259" i="10"/>
  <c r="AN278" i="10"/>
  <c r="AP26" i="10"/>
  <c r="AM79" i="10"/>
  <c r="AO117" i="10"/>
  <c r="AP155" i="10"/>
  <c r="AP187" i="10"/>
  <c r="AN216" i="10"/>
  <c r="AO235" i="10"/>
  <c r="AM52" i="10"/>
  <c r="AL94" i="10"/>
  <c r="AN132" i="10"/>
  <c r="AN168" i="10"/>
  <c r="AL199" i="10"/>
  <c r="AP223" i="10"/>
  <c r="AL243" i="10"/>
  <c r="AM262" i="10"/>
  <c r="AN281" i="10"/>
  <c r="AO300" i="10"/>
  <c r="AM64" i="10"/>
  <c r="AP103" i="10"/>
  <c r="AM142" i="10"/>
  <c r="AL177" i="10"/>
  <c r="AN206" i="10"/>
  <c r="AP228" i="10"/>
  <c r="AL248" i="10"/>
  <c r="AM267" i="10"/>
  <c r="AN286" i="10"/>
  <c r="AN47" i="10"/>
  <c r="AP89" i="10"/>
  <c r="AM128" i="10"/>
  <c r="AN53" i="10"/>
  <c r="AN95" i="10"/>
  <c r="AP133" i="10"/>
  <c r="AM169" i="10"/>
  <c r="AP199" i="10"/>
  <c r="AN224" i="10"/>
  <c r="AO243" i="10"/>
  <c r="AP262" i="10"/>
  <c r="AP53" i="10"/>
  <c r="AL180" i="10"/>
  <c r="AO238" i="10"/>
  <c r="AM116" i="10"/>
  <c r="AN207" i="10"/>
  <c r="AM254" i="10"/>
  <c r="AO290" i="10"/>
  <c r="AO315" i="10"/>
  <c r="AO335" i="10"/>
  <c r="AP354" i="10"/>
  <c r="AM26" i="10"/>
  <c r="AO171" i="10"/>
  <c r="AP233" i="10"/>
  <c r="AP273" i="10"/>
  <c r="AP61" i="10"/>
  <c r="AN183" i="10"/>
  <c r="AM240" i="10"/>
  <c r="AN279" i="10"/>
  <c r="AP307" i="10"/>
  <c r="AL329" i="10"/>
  <c r="AM348" i="10"/>
  <c r="AN367" i="10"/>
  <c r="AO154" i="10"/>
  <c r="AN223" i="10"/>
  <c r="AN265" i="10"/>
  <c r="AO124" i="10"/>
  <c r="AL211" i="10"/>
  <c r="AN256" i="10"/>
  <c r="AN292" i="10"/>
  <c r="AL317" i="10"/>
  <c r="AO336" i="10"/>
  <c r="AP355" i="10"/>
  <c r="AO224" i="10"/>
  <c r="AL145" i="10"/>
  <c r="AM230" i="10"/>
  <c r="AP107" i="10"/>
  <c r="AP203" i="10"/>
  <c r="AM252" i="10"/>
  <c r="AL289" i="10"/>
  <c r="AO314" i="10"/>
  <c r="AO334" i="10"/>
  <c r="AP353" i="10"/>
  <c r="AN48" i="10"/>
  <c r="AL178" i="10"/>
  <c r="AM237" i="10"/>
  <c r="AN111" i="10"/>
  <c r="AL205" i="10"/>
  <c r="AL253" i="10"/>
  <c r="AN289" i="10"/>
  <c r="AL315" i="10"/>
  <c r="AL335" i="10"/>
  <c r="AM354" i="10"/>
  <c r="AL51" i="10"/>
  <c r="AN179" i="10"/>
  <c r="AL250" i="10"/>
  <c r="AP316" i="10"/>
  <c r="AM350" i="10"/>
  <c r="AL281" i="10"/>
  <c r="AL355" i="10"/>
  <c r="AL318" i="10"/>
  <c r="AL356" i="10"/>
  <c r="AN280" i="10"/>
  <c r="AP325" i="10"/>
  <c r="AP358" i="10"/>
  <c r="AO312" i="10"/>
  <c r="AL271" i="10"/>
  <c r="AM355" i="10"/>
  <c r="AO271" i="10"/>
  <c r="AP322" i="10"/>
  <c r="AO355" i="10"/>
  <c r="AL283" i="10"/>
  <c r="AM327" i="10"/>
  <c r="AL354" i="10"/>
  <c r="AO304" i="10"/>
  <c r="AL340" i="10"/>
  <c r="AN324" i="10"/>
  <c r="AL274" i="10"/>
  <c r="AP323" i="10"/>
  <c r="AP356" i="10"/>
  <c r="AN300" i="10"/>
  <c r="AP306" i="10"/>
  <c r="AL293" i="10"/>
  <c r="AN332" i="10"/>
  <c r="AL183" i="10"/>
  <c r="AM353" i="10"/>
  <c r="AL286" i="10"/>
  <c r="AP328" i="10"/>
  <c r="AL295" i="10"/>
  <c r="AO359" i="10"/>
  <c r="AP261" i="10"/>
  <c r="AN220" i="10"/>
  <c r="AN197" i="10"/>
  <c r="AP338" i="10"/>
  <c r="AL367" i="10"/>
  <c r="AM290" i="10"/>
  <c r="AM234" i="10"/>
  <c r="AL332" i="10"/>
  <c r="AO340" i="10"/>
  <c r="AL370" i="10"/>
  <c r="AL197" i="10"/>
  <c r="AO183" i="10"/>
  <c r="AO46" i="10"/>
  <c r="AL81" i="10"/>
  <c r="AP55" i="10"/>
  <c r="AM216" i="10"/>
  <c r="AP321" i="10"/>
  <c r="AM185" i="10"/>
  <c r="AL203" i="10"/>
  <c r="AO346" i="10"/>
  <c r="AL277" i="10"/>
  <c r="AN301" i="10"/>
  <c r="AN312" i="10"/>
  <c r="AN232" i="10"/>
  <c r="AP309" i="10"/>
  <c r="AM245" i="10"/>
  <c r="AM19" i="10"/>
  <c r="AN38" i="10"/>
  <c r="AO57" i="10"/>
  <c r="AO14" i="10"/>
  <c r="AP33" i="10"/>
  <c r="AL53" i="10"/>
  <c r="AM72" i="10"/>
  <c r="AN91" i="10"/>
  <c r="AO110" i="10"/>
  <c r="AP129" i="10"/>
  <c r="AL149" i="10"/>
  <c r="AM168" i="10"/>
  <c r="AN187" i="10"/>
  <c r="AO206" i="10"/>
  <c r="AM22" i="10"/>
  <c r="AN41" i="10"/>
  <c r="AM27" i="10"/>
  <c r="AN46" i="10"/>
  <c r="AO65" i="10"/>
  <c r="AP84" i="10"/>
  <c r="AL104" i="10"/>
  <c r="AM123" i="10"/>
  <c r="AN142" i="10"/>
  <c r="AO161" i="10"/>
  <c r="AP180" i="10"/>
  <c r="AL200" i="10"/>
  <c r="AN15" i="10"/>
  <c r="AO34" i="10"/>
  <c r="AN20" i="10"/>
  <c r="AO39" i="10"/>
  <c r="AP58" i="10"/>
  <c r="AL78" i="10"/>
  <c r="AM97" i="10"/>
  <c r="AN116" i="10"/>
  <c r="AO135" i="10"/>
  <c r="AN13" i="10"/>
  <c r="AO32" i="10"/>
  <c r="AP51" i="10"/>
  <c r="AL71" i="10"/>
  <c r="AM90" i="10"/>
  <c r="AN109" i="10"/>
  <c r="AO128" i="10"/>
  <c r="AP147" i="10"/>
  <c r="AL167" i="10"/>
  <c r="AL16" i="10"/>
  <c r="AM35" i="10"/>
  <c r="AN54" i="10"/>
  <c r="AO73" i="10"/>
  <c r="AP92" i="10"/>
  <c r="AL112" i="10"/>
  <c r="AM131" i="10"/>
  <c r="AN150" i="10"/>
  <c r="AO169" i="10"/>
  <c r="AP188" i="10"/>
  <c r="AL208" i="10"/>
  <c r="AO23" i="10"/>
  <c r="AP42" i="10"/>
  <c r="AL62" i="10"/>
  <c r="AM81" i="10"/>
  <c r="AN100" i="10"/>
  <c r="AO119" i="10"/>
  <c r="AP138" i="10"/>
  <c r="AL158" i="10"/>
  <c r="AM177" i="10"/>
  <c r="AN196" i="10"/>
  <c r="AO215" i="10"/>
  <c r="AP65" i="10"/>
  <c r="AO105" i="10"/>
  <c r="AL144" i="10"/>
  <c r="AM178" i="10"/>
  <c r="AO207" i="10"/>
  <c r="AO229" i="10"/>
  <c r="AP248" i="10"/>
  <c r="AL268" i="10"/>
  <c r="AM287" i="10"/>
  <c r="AN306" i="10"/>
  <c r="AL33" i="10"/>
  <c r="AL82" i="10"/>
  <c r="AN120" i="10"/>
  <c r="AM158" i="10"/>
  <c r="AL190" i="10"/>
  <c r="AP217" i="10"/>
  <c r="AL237" i="10"/>
  <c r="AM256" i="10"/>
  <c r="AN275" i="10"/>
  <c r="AO294" i="10"/>
  <c r="AP313" i="10"/>
  <c r="AO55" i="10"/>
  <c r="AO96" i="10"/>
  <c r="AL135" i="10"/>
  <c r="AP50" i="10"/>
  <c r="AL93" i="10"/>
  <c r="AN131" i="10"/>
  <c r="AN167" i="10"/>
  <c r="AL198" i="10"/>
  <c r="AM223" i="10"/>
  <c r="AN242" i="10"/>
  <c r="AO261" i="10"/>
  <c r="AP280" i="10"/>
  <c r="AN36" i="10"/>
  <c r="AL84" i="10"/>
  <c r="AN122" i="10"/>
  <c r="AO159" i="10"/>
  <c r="AN191" i="10"/>
  <c r="AP218" i="10"/>
  <c r="AL238" i="10"/>
  <c r="AL58" i="10"/>
  <c r="AP98" i="10"/>
  <c r="AM137" i="10"/>
  <c r="AO172" i="10"/>
  <c r="AO202" i="10"/>
  <c r="AM226" i="10"/>
  <c r="AN245" i="10"/>
  <c r="AO264" i="10"/>
  <c r="AP283" i="10"/>
  <c r="AL303" i="10"/>
  <c r="AL70" i="10"/>
  <c r="AO108" i="10"/>
  <c r="AL147" i="10"/>
  <c r="AL181" i="10"/>
  <c r="AL210" i="10"/>
  <c r="AM231" i="10"/>
  <c r="AN250" i="10"/>
  <c r="AO269" i="10"/>
  <c r="AP288" i="10"/>
  <c r="AM53" i="10"/>
  <c r="AO94" i="10"/>
  <c r="AL133" i="10"/>
  <c r="AN59" i="10"/>
  <c r="AM100" i="10"/>
  <c r="AO138" i="10"/>
  <c r="AN173" i="10"/>
  <c r="AN203" i="10"/>
  <c r="AP226" i="10"/>
  <c r="AL246" i="10"/>
  <c r="AM265" i="10"/>
  <c r="AO76" i="10"/>
  <c r="AN189" i="10"/>
  <c r="AN244" i="10"/>
  <c r="AN135" i="10"/>
  <c r="AP215" i="10"/>
  <c r="AL259" i="10"/>
  <c r="AM294" i="10"/>
  <c r="AP318" i="10"/>
  <c r="AL338" i="10"/>
  <c r="AM357" i="10"/>
  <c r="AL57" i="10"/>
  <c r="AM182" i="10"/>
  <c r="AO239" i="10"/>
  <c r="AO278" i="10"/>
  <c r="AO82" i="10"/>
  <c r="AN192" i="10"/>
  <c r="AP245" i="10"/>
  <c r="AN283" i="10"/>
  <c r="AO310" i="10"/>
  <c r="AN331" i="10"/>
  <c r="AO350" i="10"/>
  <c r="AP369" i="10"/>
  <c r="AL165" i="10"/>
  <c r="AN229" i="10"/>
  <c r="AM270" i="10"/>
  <c r="AP143" i="10"/>
  <c r="AM218" i="10"/>
  <c r="AM261" i="10"/>
  <c r="AO295" i="10"/>
  <c r="AP319" i="10"/>
  <c r="AL339" i="10"/>
  <c r="AM358" i="10"/>
  <c r="AL247" i="10"/>
  <c r="AO166" i="10"/>
  <c r="AM236" i="10"/>
  <c r="AL127" i="10"/>
  <c r="AM212" i="10"/>
  <c r="AL257" i="10"/>
  <c r="AP292" i="10"/>
  <c r="AN317" i="10"/>
  <c r="AL337" i="10"/>
  <c r="AM356" i="10"/>
  <c r="AN71" i="10"/>
  <c r="AL187" i="10"/>
  <c r="AO242" i="10"/>
  <c r="AO130" i="10"/>
  <c r="AL214" i="10"/>
  <c r="AP257" i="10"/>
  <c r="AM293" i="10"/>
  <c r="AP317" i="10"/>
  <c r="AN337" i="10"/>
  <c r="AO356" i="10"/>
  <c r="AM74" i="10"/>
  <c r="AO188" i="10"/>
  <c r="AP267" i="10"/>
  <c r="AN321" i="10"/>
  <c r="AN354" i="10"/>
  <c r="AO296" i="10"/>
  <c r="AM363" i="10"/>
  <c r="AO330" i="10"/>
  <c r="AN368" i="10"/>
  <c r="AN288" i="10"/>
  <c r="AL330" i="10"/>
  <c r="AP362" i="10"/>
  <c r="AL322" i="10"/>
  <c r="AL290" i="10"/>
  <c r="AO363" i="10"/>
  <c r="AL282" i="10"/>
  <c r="AP326" i="10"/>
  <c r="AP359" i="10"/>
  <c r="AN291" i="10"/>
  <c r="AM331" i="10"/>
  <c r="AN153" i="10"/>
  <c r="AO309" i="10"/>
  <c r="AL344" i="10"/>
  <c r="AL345" i="10"/>
  <c r="AN284" i="10"/>
  <c r="AL328" i="10"/>
  <c r="AP360" i="10"/>
  <c r="AN310" i="10"/>
  <c r="AO341" i="10"/>
  <c r="AL300" i="10"/>
  <c r="AN336" i="10"/>
  <c r="AN264" i="10"/>
  <c r="AO369" i="10"/>
  <c r="AL294" i="10"/>
  <c r="AL333" i="10"/>
  <c r="AL366" i="10"/>
  <c r="AM301" i="10"/>
  <c r="AL79" i="10"/>
  <c r="AL91" i="10"/>
  <c r="AL359" i="10"/>
  <c r="AO307" i="10"/>
  <c r="AN334" i="10"/>
  <c r="AL364" i="10"/>
  <c r="AL348" i="10"/>
  <c r="AN320" i="10"/>
  <c r="AO311" i="10"/>
  <c r="AO17" i="10"/>
  <c r="AP232" i="10"/>
  <c r="AP127" i="10"/>
  <c r="AL157" i="10"/>
  <c r="AM181" i="10"/>
  <c r="AN259" i="10"/>
  <c r="AL341" i="10"/>
  <c r="AN241" i="10"/>
  <c r="AN177" i="10"/>
  <c r="AN147" i="10"/>
  <c r="AM306" i="10"/>
  <c r="AP337" i="10"/>
  <c r="AM269" i="10"/>
  <c r="AL314" i="10"/>
  <c r="AN344" i="10"/>
  <c r="AP315" i="10"/>
  <c r="AO21" i="10"/>
  <c r="AP40" i="10"/>
  <c r="AL60" i="10"/>
  <c r="AL17" i="10"/>
  <c r="AM36" i="10"/>
  <c r="AN55" i="10"/>
  <c r="AO74" i="10"/>
  <c r="AP93" i="10"/>
  <c r="AL113" i="10"/>
  <c r="AM132" i="10"/>
  <c r="AN151" i="10"/>
  <c r="AO170" i="10"/>
  <c r="AP189" i="10"/>
  <c r="AL209" i="10"/>
  <c r="AO24" i="10"/>
  <c r="AP43" i="10"/>
  <c r="AO29" i="10"/>
  <c r="AP48" i="10"/>
  <c r="AL68" i="10"/>
  <c r="AM87" i="10"/>
  <c r="AN106" i="10"/>
  <c r="AO125" i="10"/>
  <c r="AP144" i="10"/>
  <c r="AL164" i="10"/>
  <c r="AM183" i="10"/>
  <c r="AN202" i="10"/>
  <c r="AP17" i="10"/>
  <c r="AL37" i="10"/>
  <c r="AP22" i="10"/>
  <c r="AL42" i="10"/>
  <c r="AM61" i="10"/>
  <c r="AN80" i="10"/>
  <c r="AO99" i="10"/>
  <c r="AP118" i="10"/>
  <c r="AL138" i="10"/>
  <c r="AP15" i="10"/>
  <c r="AL35" i="10"/>
  <c r="AM54" i="10"/>
  <c r="AN73" i="10"/>
  <c r="AO92" i="10"/>
  <c r="AP111" i="10"/>
  <c r="AL131" i="10"/>
  <c r="AM150" i="10"/>
  <c r="AN169" i="10"/>
  <c r="AN18" i="10"/>
  <c r="AO37" i="10"/>
  <c r="AP56" i="10"/>
  <c r="AL76" i="10"/>
  <c r="AM95" i="10"/>
  <c r="AN114" i="10"/>
  <c r="AO133" i="10"/>
  <c r="AP152" i="10"/>
  <c r="AL172" i="10"/>
  <c r="AM191" i="10"/>
  <c r="AN210" i="10"/>
  <c r="AL26" i="10"/>
  <c r="AM45" i="10"/>
  <c r="AN64" i="10"/>
  <c r="AO83" i="10"/>
  <c r="AP102" i="10"/>
  <c r="AL122" i="10"/>
  <c r="AM141" i="10"/>
  <c r="AN160" i="10"/>
  <c r="AO179" i="10"/>
  <c r="AP198" i="10"/>
  <c r="AN12" i="10"/>
  <c r="AP71" i="10"/>
  <c r="AN110" i="10"/>
  <c r="AP148" i="10"/>
  <c r="AN182" i="10"/>
  <c r="AM211" i="10"/>
  <c r="AL232" i="10"/>
  <c r="AM251" i="10"/>
  <c r="AN270" i="10"/>
  <c r="AO289" i="10"/>
  <c r="AP308" i="10"/>
  <c r="AO42" i="10"/>
  <c r="AP86" i="10"/>
  <c r="AM125" i="10"/>
  <c r="AL162" i="10"/>
  <c r="AN193" i="10"/>
  <c r="AM220" i="10"/>
  <c r="AN239" i="10"/>
  <c r="AO258" i="10"/>
  <c r="AP277" i="10"/>
  <c r="AL297" i="10"/>
  <c r="AM316" i="10"/>
  <c r="AL61" i="10"/>
  <c r="AN101" i="10"/>
  <c r="AP139" i="10"/>
  <c r="AM56" i="10"/>
  <c r="AP97" i="10"/>
  <c r="AM136" i="10"/>
  <c r="AN171" i="10"/>
  <c r="AO201" i="10"/>
  <c r="AO225" i="10"/>
  <c r="AP244" i="10"/>
  <c r="AL264" i="10"/>
  <c r="AM283" i="10"/>
  <c r="AL46" i="10"/>
  <c r="AP88" i="10"/>
  <c r="AM127" i="10"/>
  <c r="AP163" i="10"/>
  <c r="AL195" i="10"/>
  <c r="AM221" i="10"/>
  <c r="AN240" i="10"/>
  <c r="AN63" i="10"/>
  <c r="AO103" i="10"/>
  <c r="AL142" i="10"/>
  <c r="AN176" i="10"/>
  <c r="AM206" i="10"/>
  <c r="AO228" i="10"/>
  <c r="AP247" i="10"/>
  <c r="AL267" i="10"/>
  <c r="AM286" i="10"/>
  <c r="AL19" i="10"/>
  <c r="AL75" i="10"/>
  <c r="AN113" i="10"/>
  <c r="AP151" i="10"/>
  <c r="AP184" i="10"/>
  <c r="AO213" i="10"/>
  <c r="AO233" i="10"/>
  <c r="AP252" i="10"/>
  <c r="AL272" i="10"/>
  <c r="AM291" i="10"/>
  <c r="AO58" i="10"/>
  <c r="AN99" i="10"/>
  <c r="AP137" i="10"/>
  <c r="AM65" i="10"/>
  <c r="AL105" i="10"/>
  <c r="AN143" i="10"/>
  <c r="AO177" i="10"/>
  <c r="AL207" i="10"/>
  <c r="AM229" i="10"/>
  <c r="AN248" i="10"/>
  <c r="AO267" i="10"/>
  <c r="AP95" i="10"/>
  <c r="AP197" i="10"/>
  <c r="AM249" i="10"/>
  <c r="AL151" i="10"/>
  <c r="AP221" i="10"/>
  <c r="AP263" i="10"/>
  <c r="AM321" i="10"/>
  <c r="AO190" i="10"/>
  <c r="AL245" i="10"/>
  <c r="AP282" i="10"/>
  <c r="AP101" i="10"/>
  <c r="AL201" i="10"/>
  <c r="AO250" i="10"/>
  <c r="AO287" i="10"/>
  <c r="AN313" i="10"/>
  <c r="AP333" i="10"/>
  <c r="AL353" i="10"/>
  <c r="AP35" i="10"/>
  <c r="AL175" i="10"/>
  <c r="AL235" i="10"/>
  <c r="AL275" i="10"/>
  <c r="AN155" i="10"/>
  <c r="AM224" i="10"/>
  <c r="AL266" i="10"/>
  <c r="AL299" i="10"/>
  <c r="AM322" i="10"/>
  <c r="AN341" i="10"/>
  <c r="AO360" i="10"/>
  <c r="AO256" i="10"/>
  <c r="AP175" i="10"/>
  <c r="AL242" i="10"/>
  <c r="AM146" i="10"/>
  <c r="AN219" i="10"/>
  <c r="AN296" i="10"/>
  <c r="AO358" i="10"/>
  <c r="AP195" i="10"/>
  <c r="AO247" i="10"/>
  <c r="AO148" i="10"/>
  <c r="AO262" i="10"/>
  <c r="AO320" i="10"/>
  <c r="AN93" i="10"/>
  <c r="AO325" i="10"/>
  <c r="AO337" i="10"/>
  <c r="AM303" i="10"/>
  <c r="AN298" i="10"/>
  <c r="AO361" i="10"/>
  <c r="AM305" i="10"/>
  <c r="AM337" i="10"/>
  <c r="AL56" i="10"/>
  <c r="AM16" i="10"/>
  <c r="AP235" i="10"/>
  <c r="AO19" i="10"/>
  <c r="AO255" i="10"/>
  <c r="AM307" i="10"/>
  <c r="AL265" i="10"/>
  <c r="AL251" i="10"/>
  <c r="AO348" i="10"/>
  <c r="AM276" i="10"/>
  <c r="AM50" i="10"/>
  <c r="AM366" i="10"/>
  <c r="AP281" i="10"/>
  <c r="AN326" i="10"/>
  <c r="AO283" i="10"/>
  <c r="AM349" i="10"/>
  <c r="AO349" i="10"/>
  <c r="AL24" i="10"/>
  <c r="AM43" i="10"/>
  <c r="AN62" i="10"/>
  <c r="AN19" i="10"/>
  <c r="AO38" i="10"/>
  <c r="AP57" i="10"/>
  <c r="AL77" i="10"/>
  <c r="AM96" i="10"/>
  <c r="AN115" i="10"/>
  <c r="AO134" i="10"/>
  <c r="AP153" i="10"/>
  <c r="AL173" i="10"/>
  <c r="AM192" i="10"/>
  <c r="AN211" i="10"/>
  <c r="AL27" i="10"/>
  <c r="AP12" i="10"/>
  <c r="AL32" i="10"/>
  <c r="AM51" i="10"/>
  <c r="AN70" i="10"/>
  <c r="AO89" i="10"/>
  <c r="AP108" i="10"/>
  <c r="AL128" i="10"/>
  <c r="AM147" i="10"/>
  <c r="AN166" i="10"/>
  <c r="AO185" i="10"/>
  <c r="AP204" i="10"/>
  <c r="AM20" i="10"/>
  <c r="AN39" i="10"/>
  <c r="AM25" i="10"/>
  <c r="AN44" i="10"/>
  <c r="AO63" i="10"/>
  <c r="AP82" i="10"/>
  <c r="AL102" i="10"/>
  <c r="AM121" i="10"/>
  <c r="AN140" i="10"/>
  <c r="AM18" i="10"/>
  <c r="AN37" i="10"/>
  <c r="AO56" i="10"/>
  <c r="AP75" i="10"/>
  <c r="AL95" i="10"/>
  <c r="AM114" i="10"/>
  <c r="AN133" i="10"/>
  <c r="AO152" i="10"/>
  <c r="AP171" i="10"/>
  <c r="AP20" i="10"/>
  <c r="AL40" i="10"/>
  <c r="AM59" i="10"/>
  <c r="AN78" i="10"/>
  <c r="AO97" i="10"/>
  <c r="AP116" i="10"/>
  <c r="AL136" i="10"/>
  <c r="AM155" i="10"/>
  <c r="AN174" i="10"/>
  <c r="AO193" i="10"/>
  <c r="AP212" i="10"/>
  <c r="AN28" i="10"/>
  <c r="AO47" i="10"/>
  <c r="AP66" i="10"/>
  <c r="AL86" i="10"/>
  <c r="AM105" i="10"/>
  <c r="AN124" i="10"/>
  <c r="AO143" i="10"/>
  <c r="AP162" i="10"/>
  <c r="AL182" i="10"/>
  <c r="AM201" i="10"/>
  <c r="AL22" i="10"/>
  <c r="AP76" i="10"/>
  <c r="AM115" i="10"/>
  <c r="AO153" i="10"/>
  <c r="AL186" i="10"/>
  <c r="AP214" i="10"/>
  <c r="AN234" i="10"/>
  <c r="AO253" i="10"/>
  <c r="AP272" i="10"/>
  <c r="AL292" i="10"/>
  <c r="AM311" i="10"/>
  <c r="AL49" i="10"/>
  <c r="AO91" i="10"/>
  <c r="AL130" i="10"/>
  <c r="AM166" i="10"/>
  <c r="AM197" i="10"/>
  <c r="AO222" i="10"/>
  <c r="AP241" i="10"/>
  <c r="AL261" i="10"/>
  <c r="AM280" i="10"/>
  <c r="AN299" i="10"/>
  <c r="AO318" i="10"/>
  <c r="AL67" i="10"/>
  <c r="AM106" i="10"/>
  <c r="AO144" i="10"/>
  <c r="AM62" i="10"/>
  <c r="AO102" i="10"/>
  <c r="AL141" i="10"/>
  <c r="AO175" i="10"/>
  <c r="AM205" i="10"/>
  <c r="AL228" i="10"/>
  <c r="AM247" i="10"/>
  <c r="AN266" i="10"/>
  <c r="AO285" i="10"/>
  <c r="AN51" i="10"/>
  <c r="AO93" i="10"/>
  <c r="AL132" i="10"/>
  <c r="AL168" i="10"/>
  <c r="AO198" i="10"/>
  <c r="AO223" i="10"/>
  <c r="AP242" i="10"/>
  <c r="AN69" i="10"/>
  <c r="AN108" i="10"/>
  <c r="AP146" i="10"/>
  <c r="AO180" i="10"/>
  <c r="AP209" i="10"/>
  <c r="AL231" i="10"/>
  <c r="AM250" i="10"/>
  <c r="AN269" i="10"/>
  <c r="AO288" i="10"/>
  <c r="AO28" i="10"/>
  <c r="AP79" i="10"/>
  <c r="AM118" i="10"/>
  <c r="AN156" i="10"/>
  <c r="AN188" i="10"/>
  <c r="AP216" i="10"/>
  <c r="AL236" i="10"/>
  <c r="AM255" i="10"/>
  <c r="AN274" i="10"/>
  <c r="AO293" i="10"/>
  <c r="AO64" i="10"/>
  <c r="AM104" i="10"/>
  <c r="AO142" i="10"/>
  <c r="AO70" i="10"/>
  <c r="AP109" i="10"/>
  <c r="AM148" i="10"/>
  <c r="AP181" i="10"/>
  <c r="AO210" i="10"/>
  <c r="AO231" i="10"/>
  <c r="AP250" i="10"/>
  <c r="AL270" i="10"/>
  <c r="AL115" i="10"/>
  <c r="AP206" i="10"/>
  <c r="AL254" i="10"/>
  <c r="AN161" i="10"/>
  <c r="AO227" i="10"/>
  <c r="AO268" i="10"/>
  <c r="AL301" i="10"/>
  <c r="AO323" i="10"/>
  <c r="AP342" i="10"/>
  <c r="AL362" i="10"/>
  <c r="AM98" i="10"/>
  <c r="AO199" i="10"/>
  <c r="AP249" i="10"/>
  <c r="AP286" i="10"/>
  <c r="AL121" i="10"/>
  <c r="AM209" i="10"/>
  <c r="AN255" i="10"/>
  <c r="AO291" i="10"/>
  <c r="AO316" i="10"/>
  <c r="AM336" i="10"/>
  <c r="AN355" i="10"/>
  <c r="AP62" i="10"/>
  <c r="AP183" i="10"/>
  <c r="AL241" i="10"/>
  <c r="AO279" i="10"/>
  <c r="AO165" i="10"/>
  <c r="AL230" i="10"/>
  <c r="AP270" i="10"/>
  <c r="AN302" i="10"/>
  <c r="AO324" i="10"/>
  <c r="AP343" i="10"/>
  <c r="AL363" i="10"/>
  <c r="AO43" i="10"/>
  <c r="AP185" i="10"/>
  <c r="AP251" i="10"/>
  <c r="AM157" i="10"/>
  <c r="AM225" i="10"/>
  <c r="AO266" i="10"/>
  <c r="AP299" i="10"/>
  <c r="AO322" i="10"/>
  <c r="AP341" i="10"/>
  <c r="AL361" i="10"/>
  <c r="AM110" i="10"/>
  <c r="AO204" i="10"/>
  <c r="AN252" i="10"/>
  <c r="AP158" i="10"/>
  <c r="AP225" i="10"/>
  <c r="AN267" i="10"/>
  <c r="AM300" i="10"/>
  <c r="AL323" i="10"/>
  <c r="AM342" i="10"/>
  <c r="AN361" i="10"/>
  <c r="AO112" i="10"/>
  <c r="AN205" i="10"/>
  <c r="AP287" i="10"/>
  <c r="AO329" i="10"/>
  <c r="AN362" i="10"/>
  <c r="AO317" i="10"/>
  <c r="AO226" i="10"/>
  <c r="AL343" i="10"/>
  <c r="AN366" i="10"/>
  <c r="AM302" i="10"/>
  <c r="AM338" i="10"/>
  <c r="AN11" i="10"/>
  <c r="AO342" i="10"/>
  <c r="AL313" i="10"/>
  <c r="AM364" i="10"/>
  <c r="AO297" i="10"/>
  <c r="AM335" i="10"/>
  <c r="AL368" i="10"/>
  <c r="AP303" i="10"/>
  <c r="AO339" i="10"/>
  <c r="AL262" i="10"/>
  <c r="AM319" i="10"/>
  <c r="AM352" i="10"/>
  <c r="AL321" i="10"/>
  <c r="AO299" i="10"/>
  <c r="AL336" i="10"/>
  <c r="AL369" i="10"/>
  <c r="AP332" i="10"/>
  <c r="AM173" i="10"/>
  <c r="AM310" i="10"/>
  <c r="AP344" i="10"/>
  <c r="AP293" i="10"/>
  <c r="AP349" i="10"/>
  <c r="AL306" i="10"/>
  <c r="AM341" i="10"/>
  <c r="AM200" i="10"/>
  <c r="AM329" i="10"/>
  <c r="AP28" i="10"/>
  <c r="AM67" i="10"/>
  <c r="AN43" i="10"/>
  <c r="AP81" i="10"/>
  <c r="AM120" i="10"/>
  <c r="AO158" i="10"/>
  <c r="AO12" i="10"/>
  <c r="AN94" i="10"/>
  <c r="AL152" i="10"/>
  <c r="AN190" i="10"/>
  <c r="AM44" i="10"/>
  <c r="AM49" i="10"/>
  <c r="AO87" i="10"/>
  <c r="AL126" i="10"/>
  <c r="AL23" i="10"/>
  <c r="AN61" i="10"/>
  <c r="AP99" i="10"/>
  <c r="AM138" i="10"/>
  <c r="AO176" i="10"/>
  <c r="AP44" i="10"/>
  <c r="AM83" i="10"/>
  <c r="AO121" i="10"/>
  <c r="AL160" i="10"/>
  <c r="AN198" i="10"/>
  <c r="AM33" i="10"/>
  <c r="AO71" i="10"/>
  <c r="AL110" i="10"/>
  <c r="AN148" i="10"/>
  <c r="AP186" i="10"/>
  <c r="AM41" i="10"/>
  <c r="AP124" i="10"/>
  <c r="AM193" i="10"/>
  <c r="AM239" i="10"/>
  <c r="AO277" i="10"/>
  <c r="AL316" i="10"/>
  <c r="AM101" i="10"/>
  <c r="AO174" i="10"/>
  <c r="AN227" i="10"/>
  <c r="AP265" i="10"/>
  <c r="AM304" i="10"/>
  <c r="AN77" i="10"/>
  <c r="AM112" i="10"/>
  <c r="AN212" i="10"/>
  <c r="AN290" i="10"/>
  <c r="AM103" i="10"/>
  <c r="AM176" i="10"/>
  <c r="AN228" i="10"/>
  <c r="AO79" i="10"/>
  <c r="AL156" i="10"/>
  <c r="AM188" i="10"/>
  <c r="AL255" i="10"/>
  <c r="AN89" i="10"/>
  <c r="AO195" i="10"/>
  <c r="AM279" i="10"/>
  <c r="AO30" i="10"/>
  <c r="AL189" i="10"/>
  <c r="AP274" i="10"/>
  <c r="AL239" i="10"/>
  <c r="AO347" i="10"/>
  <c r="AP294" i="10"/>
  <c r="AM360" i="10"/>
  <c r="AP279" i="10"/>
  <c r="AN87" i="10"/>
  <c r="AP305" i="10"/>
  <c r="AP178" i="10"/>
  <c r="AN149" i="10"/>
  <c r="AN359" i="10"/>
  <c r="AP119" i="10"/>
  <c r="AO327" i="10"/>
  <c r="AO263" i="10"/>
  <c r="AP266" i="10"/>
  <c r="AN26" i="10"/>
  <c r="AO45" i="10"/>
  <c r="AP64" i="10"/>
  <c r="AP21" i="10"/>
  <c r="AL41" i="10"/>
  <c r="AM60" i="10"/>
  <c r="AN79" i="10"/>
  <c r="AO98" i="10"/>
  <c r="AP117" i="10"/>
  <c r="AL137" i="10"/>
  <c r="AM156" i="10"/>
  <c r="AN175" i="10"/>
  <c r="AO194" i="10"/>
  <c r="AP213" i="10"/>
  <c r="AN29" i="10"/>
  <c r="AM15" i="10"/>
  <c r="AN34" i="10"/>
  <c r="AO53" i="10"/>
  <c r="AP72" i="10"/>
  <c r="AL92" i="10"/>
  <c r="AM111" i="10"/>
  <c r="AN130" i="10"/>
  <c r="AO149" i="10"/>
  <c r="AP168" i="10"/>
  <c r="AL188" i="10"/>
  <c r="AM207" i="10"/>
  <c r="AO22" i="10"/>
  <c r="AP41" i="10"/>
  <c r="AO27" i="10"/>
  <c r="AP46" i="10"/>
  <c r="AL66" i="10"/>
  <c r="AM85" i="10"/>
  <c r="AN104" i="10"/>
  <c r="AO123" i="10"/>
  <c r="AP142" i="10"/>
  <c r="AO20" i="10"/>
  <c r="AP39" i="10"/>
  <c r="AL59" i="10"/>
  <c r="AM78" i="10"/>
  <c r="AN97" i="10"/>
  <c r="AO116" i="10"/>
  <c r="AP135" i="10"/>
  <c r="AL155" i="10"/>
  <c r="AM174" i="10"/>
  <c r="AM23" i="10"/>
  <c r="AN42" i="10"/>
  <c r="AO61" i="10"/>
  <c r="AP80" i="10"/>
  <c r="AL100" i="10"/>
  <c r="AM119" i="10"/>
  <c r="AN138" i="10"/>
  <c r="AO157" i="10"/>
  <c r="AP176" i="10"/>
  <c r="AL196" i="10"/>
  <c r="AM215" i="10"/>
  <c r="AP30" i="10"/>
  <c r="AL50" i="10"/>
  <c r="AM69" i="10"/>
  <c r="AN88" i="10"/>
  <c r="AO107" i="10"/>
  <c r="AP126" i="10"/>
  <c r="AL146" i="10"/>
  <c r="AM165" i="10"/>
  <c r="AN184" i="10"/>
  <c r="AO203" i="10"/>
  <c r="AO31" i="10"/>
  <c r="AO81" i="10"/>
  <c r="AL120" i="10"/>
  <c r="AP157" i="10"/>
  <c r="AO189" i="10"/>
  <c r="AO217" i="10"/>
  <c r="AP236" i="10"/>
  <c r="AL256" i="10"/>
  <c r="AM275" i="10"/>
  <c r="AN294" i="10"/>
  <c r="AO313" i="10"/>
  <c r="AL55" i="10"/>
  <c r="AN96" i="10"/>
  <c r="AP134" i="10"/>
  <c r="AN170" i="10"/>
  <c r="AO200" i="10"/>
  <c r="AL225" i="10"/>
  <c r="AM244" i="10"/>
  <c r="AN263" i="10"/>
  <c r="AO282" i="10"/>
  <c r="AP301" i="10"/>
  <c r="AM14" i="10"/>
  <c r="AO72" i="10"/>
  <c r="AL111" i="10"/>
  <c r="AP14" i="10"/>
  <c r="AP67" i="10"/>
  <c r="AN107" i="10"/>
  <c r="AP145" i="10"/>
  <c r="AP179" i="10"/>
  <c r="AP208" i="10"/>
  <c r="AN230" i="10"/>
  <c r="AO249" i="10"/>
  <c r="AP268" i="10"/>
  <c r="AL288" i="10"/>
  <c r="AN57" i="10"/>
  <c r="AN98" i="10"/>
  <c r="AP136" i="10"/>
  <c r="AM172" i="10"/>
  <c r="AM202" i="10"/>
  <c r="AL226" i="10"/>
  <c r="AO18" i="10"/>
  <c r="AP74" i="10"/>
  <c r="AM113" i="10"/>
  <c r="AO151" i="10"/>
  <c r="AO184" i="10"/>
  <c r="AN213" i="10"/>
  <c r="AN233" i="10"/>
  <c r="AO252" i="10"/>
  <c r="AP271" i="10"/>
  <c r="AL291" i="10"/>
  <c r="AM38" i="10"/>
  <c r="AO84" i="10"/>
  <c r="AL123" i="10"/>
  <c r="AO160" i="10"/>
  <c r="AL192" i="10"/>
  <c r="AM219" i="10"/>
  <c r="AN238" i="10"/>
  <c r="AO257" i="10"/>
  <c r="AP276" i="10"/>
  <c r="AL296" i="10"/>
  <c r="AM70" i="10"/>
  <c r="AL109" i="10"/>
  <c r="AL21" i="10"/>
  <c r="AM76" i="10"/>
  <c r="AO114" i="10"/>
  <c r="AL153" i="10"/>
  <c r="AN185" i="10"/>
  <c r="AM214" i="10"/>
  <c r="AL234" i="10"/>
  <c r="AM253" i="10"/>
  <c r="AN272" i="10"/>
  <c r="AM134" i="10"/>
  <c r="AN215" i="10"/>
  <c r="AN24" i="10"/>
  <c r="AL171" i="10"/>
  <c r="AL233" i="10"/>
  <c r="AN273" i="10"/>
  <c r="AN304" i="10"/>
  <c r="AL326" i="10"/>
  <c r="AM345" i="10"/>
  <c r="AN364" i="10"/>
  <c r="AN117" i="10"/>
  <c r="AM208" i="10"/>
  <c r="AO254" i="10"/>
  <c r="AP290" i="10"/>
  <c r="AM140" i="10"/>
  <c r="AN217" i="10"/>
  <c r="AM260" i="10"/>
  <c r="AM295" i="10"/>
  <c r="AN319" i="10"/>
  <c r="AO338" i="10"/>
  <c r="AP357" i="10"/>
  <c r="AP83" i="10"/>
  <c r="AL193" i="10"/>
  <c r="AM246" i="10"/>
  <c r="AO40" i="10"/>
  <c r="AM175" i="10"/>
  <c r="AN235" i="10"/>
  <c r="AO275" i="10"/>
  <c r="AN305" i="10"/>
  <c r="AL327" i="10"/>
  <c r="AM346" i="10"/>
  <c r="AN365" i="10"/>
  <c r="AO67" i="10"/>
  <c r="AM194" i="10"/>
  <c r="AN261" i="10"/>
  <c r="AP166" i="10"/>
  <c r="AO230" i="10"/>
  <c r="AN271" i="10"/>
  <c r="AP302" i="10"/>
  <c r="AL325" i="10"/>
  <c r="AM344" i="10"/>
  <c r="AN363" i="10"/>
  <c r="AN129" i="10"/>
  <c r="AO212" i="10"/>
  <c r="AM257" i="10"/>
  <c r="AL169" i="10"/>
  <c r="AP231" i="10"/>
  <c r="AM272" i="10"/>
  <c r="AN303" i="10"/>
  <c r="AN325" i="10"/>
  <c r="AO344" i="10"/>
  <c r="AP363" i="10"/>
  <c r="AP131" i="10"/>
  <c r="AO214" i="10"/>
  <c r="AN295" i="10"/>
  <c r="AO333" i="10"/>
  <c r="AO366" i="10"/>
  <c r="AM326" i="10"/>
  <c r="AM258" i="10"/>
  <c r="AM351" i="10"/>
  <c r="AP59" i="10"/>
  <c r="AN307" i="10"/>
  <c r="AN342" i="10"/>
  <c r="AP222" i="10"/>
  <c r="AP350" i="10"/>
  <c r="AN322" i="10"/>
  <c r="AN333" i="10"/>
  <c r="AO303" i="10"/>
  <c r="AM339" i="10"/>
  <c r="AL139" i="10"/>
  <c r="AM309" i="10"/>
  <c r="AO343" i="10"/>
  <c r="AM273" i="10"/>
  <c r="AN323" i="10"/>
  <c r="AN356" i="10"/>
  <c r="AL358" i="10"/>
  <c r="AP304" i="10"/>
  <c r="AM340" i="10"/>
  <c r="AM361" i="10"/>
  <c r="AP336" i="10"/>
  <c r="AP239" i="10"/>
  <c r="AM315" i="10"/>
  <c r="AP348" i="10"/>
  <c r="AO305" i="10"/>
  <c r="AL191" i="10"/>
  <c r="AP310" i="10"/>
  <c r="AN345" i="10"/>
  <c r="AO248" i="10"/>
  <c r="AO345" i="10"/>
  <c r="AL48" i="10"/>
  <c r="AM24" i="10"/>
  <c r="AO62" i="10"/>
  <c r="AL101" i="10"/>
  <c r="AN139" i="10"/>
  <c r="AP177" i="10"/>
  <c r="AP36" i="10"/>
  <c r="AO113" i="10"/>
  <c r="AP132" i="10"/>
  <c r="AM171" i="10"/>
  <c r="AO209" i="10"/>
  <c r="AL25" i="10"/>
  <c r="AL30" i="10"/>
  <c r="AN68" i="10"/>
  <c r="AP106" i="10"/>
  <c r="AM145" i="10"/>
  <c r="AM42" i="10"/>
  <c r="AO80" i="10"/>
  <c r="AL119" i="10"/>
  <c r="AN157" i="10"/>
  <c r="AO25" i="10"/>
  <c r="AL64" i="10"/>
  <c r="AN102" i="10"/>
  <c r="AP140" i="10"/>
  <c r="AM179" i="10"/>
  <c r="AL14" i="10"/>
  <c r="AN52" i="10"/>
  <c r="AP90" i="10"/>
  <c r="AM129" i="10"/>
  <c r="AO167" i="10"/>
  <c r="AL206" i="10"/>
  <c r="AN86" i="10"/>
  <c r="AP161" i="10"/>
  <c r="AL220" i="10"/>
  <c r="AN258" i="10"/>
  <c r="AP296" i="10"/>
  <c r="AO60" i="10"/>
  <c r="AO139" i="10"/>
  <c r="AN204" i="10"/>
  <c r="AO246" i="10"/>
  <c r="AL285" i="10"/>
  <c r="AP23" i="10"/>
  <c r="AP115" i="10"/>
  <c r="AO150" i="10"/>
  <c r="AL252" i="10"/>
  <c r="AL63" i="10"/>
  <c r="AO141" i="10"/>
  <c r="AP205" i="10"/>
  <c r="AM28" i="10"/>
  <c r="AL118" i="10"/>
  <c r="AO216" i="10"/>
  <c r="AN293" i="10"/>
  <c r="AN164" i="10"/>
  <c r="AO221" i="10"/>
  <c r="AL260" i="10"/>
  <c r="AN75" i="10"/>
  <c r="AN119" i="10"/>
  <c r="AM217" i="10"/>
  <c r="AP149" i="10"/>
  <c r="AM278" i="10"/>
  <c r="AP366" i="10"/>
  <c r="AM154" i="10"/>
  <c r="AL103" i="10"/>
  <c r="AM308" i="10"/>
  <c r="AN45" i="10"/>
  <c r="AP365" i="10"/>
  <c r="AP327" i="10"/>
  <c r="AN330" i="10"/>
  <c r="AM359" i="10"/>
  <c r="AP347" i="10"/>
  <c r="AN369" i="10"/>
  <c r="AN315" i="10"/>
  <c r="AG363" i="9"/>
  <c r="AF277" i="9"/>
  <c r="AG248" i="9"/>
  <c r="AH267" i="9"/>
  <c r="AI238" i="9"/>
  <c r="AF356" i="9"/>
  <c r="AI353" i="9"/>
  <c r="AG327" i="9"/>
  <c r="AJ324" i="9"/>
  <c r="AH298" i="9"/>
  <c r="AF296" i="9"/>
  <c r="AI269" i="9"/>
  <c r="AG267" i="9"/>
  <c r="AJ240" i="9"/>
  <c r="AH238" i="9"/>
  <c r="AG205" i="9"/>
  <c r="AF186" i="9"/>
  <c r="AF351" i="9"/>
  <c r="AI348" i="9"/>
  <c r="AG322" i="9"/>
  <c r="AJ319" i="9"/>
  <c r="AH293" i="9"/>
  <c r="AF291" i="9"/>
  <c r="AI264" i="9"/>
  <c r="AG262" i="9"/>
  <c r="AJ235" i="9"/>
  <c r="AH233" i="9"/>
  <c r="AJ154" i="9"/>
  <c r="AF370" i="9"/>
  <c r="AI343" i="9"/>
  <c r="AG341" i="9"/>
  <c r="AJ314" i="9"/>
  <c r="AH312" i="9"/>
  <c r="AF286" i="9"/>
  <c r="AI283" i="9"/>
  <c r="AG257" i="9"/>
  <c r="AJ254" i="9"/>
  <c r="AH228" i="9"/>
  <c r="AF226" i="9"/>
  <c r="AG19" i="9"/>
  <c r="AI21" i="9"/>
  <c r="AH26" i="9"/>
  <c r="AJ28" i="9"/>
  <c r="AG31" i="9"/>
  <c r="AG43" i="9"/>
  <c r="AF48" i="9"/>
  <c r="AH50" i="9"/>
  <c r="AG55" i="9"/>
  <c r="AI57" i="9"/>
  <c r="AF60" i="9"/>
  <c r="AF72" i="9"/>
  <c r="AJ76" i="9"/>
  <c r="AG79" i="9"/>
  <c r="AF84" i="9"/>
  <c r="AH86" i="9"/>
  <c r="AJ88" i="9"/>
  <c r="AJ100" i="9"/>
  <c r="AI105" i="9"/>
  <c r="AF108" i="9"/>
  <c r="AJ112" i="9"/>
  <c r="AG115" i="9"/>
  <c r="AI117" i="9"/>
  <c r="AI129" i="9"/>
  <c r="AH134" i="9"/>
  <c r="AJ136" i="9"/>
  <c r="AI141" i="9"/>
  <c r="AF144" i="9"/>
  <c r="AH146" i="9"/>
  <c r="AH158" i="9"/>
  <c r="AG163" i="9"/>
  <c r="AI165" i="9"/>
  <c r="AH170" i="9"/>
  <c r="AJ172" i="9"/>
  <c r="AG175" i="9"/>
  <c r="AG187" i="9"/>
  <c r="AF192" i="9"/>
  <c r="AH194" i="9"/>
  <c r="AG199" i="9"/>
  <c r="AG12" i="9"/>
  <c r="AI14" i="9"/>
  <c r="AI26" i="9"/>
  <c r="AH31" i="9"/>
  <c r="AJ33" i="9"/>
  <c r="AI38" i="9"/>
  <c r="AF41" i="9"/>
  <c r="AH43" i="9"/>
  <c r="AH55" i="9"/>
  <c r="AG60" i="9"/>
  <c r="AI62" i="9"/>
  <c r="AH67" i="9"/>
  <c r="AJ69" i="9"/>
  <c r="AG72" i="9"/>
  <c r="AG84" i="9"/>
  <c r="AF89" i="9"/>
  <c r="AH91" i="9"/>
  <c r="AG96" i="9"/>
  <c r="AI98" i="9"/>
  <c r="AF101" i="9"/>
  <c r="AF113" i="9"/>
  <c r="AJ117" i="9"/>
  <c r="AG120" i="9"/>
  <c r="AF125" i="9"/>
  <c r="AH127" i="9"/>
  <c r="AJ129" i="9"/>
  <c r="AJ141" i="9"/>
  <c r="AI146" i="9"/>
  <c r="AF149" i="9"/>
  <c r="AJ153" i="9"/>
  <c r="AG156" i="9"/>
  <c r="AI158" i="9"/>
  <c r="AI170" i="9"/>
  <c r="AH175" i="9"/>
  <c r="AJ177" i="9"/>
  <c r="AI182" i="9"/>
  <c r="AF185" i="9"/>
  <c r="AH187" i="9"/>
  <c r="AH199" i="9"/>
  <c r="AG204" i="9"/>
  <c r="AI206" i="9"/>
  <c r="AH211" i="9"/>
  <c r="AJ213" i="9"/>
  <c r="AH12" i="9"/>
  <c r="AH24" i="9"/>
  <c r="AG29" i="9"/>
  <c r="AI31" i="9"/>
  <c r="AH36" i="9"/>
  <c r="AJ38" i="9"/>
  <c r="AG41" i="9"/>
  <c r="AG53" i="9"/>
  <c r="AF58" i="9"/>
  <c r="AH60" i="9"/>
  <c r="AG65" i="9"/>
  <c r="AI67" i="9"/>
  <c r="AF70" i="9"/>
  <c r="AF82" i="9"/>
  <c r="AJ86" i="9"/>
  <c r="AG89" i="9"/>
  <c r="AF94" i="9"/>
  <c r="AH96" i="9"/>
  <c r="AJ98" i="9"/>
  <c r="AJ110" i="9"/>
  <c r="AI115" i="9"/>
  <c r="AF118" i="9"/>
  <c r="AJ122" i="9"/>
  <c r="AG125" i="9"/>
  <c r="AI127" i="9"/>
  <c r="AI139" i="9"/>
  <c r="AH144" i="9"/>
  <c r="AJ146" i="9"/>
  <c r="AI151" i="9"/>
  <c r="AF154" i="9"/>
  <c r="AH156" i="9"/>
  <c r="AH168" i="9"/>
  <c r="AG173" i="9"/>
  <c r="AI175" i="9"/>
  <c r="AH180" i="9"/>
  <c r="AJ182" i="9"/>
  <c r="AG185" i="9"/>
  <c r="AG197" i="9"/>
  <c r="AF202" i="9"/>
  <c r="AH204" i="9"/>
  <c r="AG209" i="9"/>
  <c r="AI211" i="9"/>
  <c r="AF214" i="9"/>
  <c r="AG22" i="9"/>
  <c r="AF27" i="9"/>
  <c r="AH29" i="9"/>
  <c r="AG34" i="9"/>
  <c r="AI36" i="9"/>
  <c r="AF39" i="9"/>
  <c r="AF51" i="9"/>
  <c r="AJ55" i="9"/>
  <c r="AG58" i="9"/>
  <c r="AF63" i="9"/>
  <c r="AH65" i="9"/>
  <c r="AJ67" i="9"/>
  <c r="AJ79" i="9"/>
  <c r="AI84" i="9"/>
  <c r="AF87" i="9"/>
  <c r="AJ91" i="9"/>
  <c r="AG94" i="9"/>
  <c r="AI96" i="9"/>
  <c r="AI108" i="9"/>
  <c r="AH113" i="9"/>
  <c r="AJ115" i="9"/>
  <c r="AI120" i="9"/>
  <c r="AF123" i="9"/>
  <c r="AH125" i="9"/>
  <c r="AH137" i="9"/>
  <c r="AG142" i="9"/>
  <c r="AI144" i="9"/>
  <c r="AH149" i="9"/>
  <c r="AJ151" i="9"/>
  <c r="AG154" i="9"/>
  <c r="AG166" i="9"/>
  <c r="AF171" i="9"/>
  <c r="AH173" i="9"/>
  <c r="AG178" i="9"/>
  <c r="AI180" i="9"/>
  <c r="AF183" i="9"/>
  <c r="AF195" i="9"/>
  <c r="AJ199" i="9"/>
  <c r="AG202" i="9"/>
  <c r="AF207" i="9"/>
  <c r="AH209" i="9"/>
  <c r="AJ211" i="9"/>
  <c r="AF20" i="9"/>
  <c r="AJ24" i="9"/>
  <c r="AG27" i="9"/>
  <c r="AF32" i="9"/>
  <c r="AH34" i="9"/>
  <c r="AJ36" i="9"/>
  <c r="AJ48" i="9"/>
  <c r="AI53" i="9"/>
  <c r="AF56" i="9"/>
  <c r="AJ60" i="9"/>
  <c r="AG63" i="9"/>
  <c r="AI65" i="9"/>
  <c r="AI77" i="9"/>
  <c r="AH82" i="9"/>
  <c r="AJ84" i="9"/>
  <c r="AI89" i="9"/>
  <c r="AF92" i="9"/>
  <c r="AH94" i="9"/>
  <c r="AH106" i="9"/>
  <c r="AG111" i="9"/>
  <c r="AI113" i="9"/>
  <c r="AH118" i="9"/>
  <c r="AJ120" i="9"/>
  <c r="AG123" i="9"/>
  <c r="AG135" i="9"/>
  <c r="AF140" i="9"/>
  <c r="AH142" i="9"/>
  <c r="AG147" i="9"/>
  <c r="AI149" i="9"/>
  <c r="AF152" i="9"/>
  <c r="AF164" i="9"/>
  <c r="AJ168" i="9"/>
  <c r="AG171" i="9"/>
  <c r="AF176" i="9"/>
  <c r="AH178" i="9"/>
  <c r="AJ180" i="9"/>
  <c r="AJ192" i="9"/>
  <c r="AI197" i="9"/>
  <c r="AF200" i="9"/>
  <c r="AJ204" i="9"/>
  <c r="AG207" i="9"/>
  <c r="AI209" i="9"/>
  <c r="AG20" i="9"/>
  <c r="AF25" i="9"/>
  <c r="AH27" i="9"/>
  <c r="AG32" i="9"/>
  <c r="AI34" i="9"/>
  <c r="AF37" i="9"/>
  <c r="AF49" i="9"/>
  <c r="AJ53" i="9"/>
  <c r="AG56" i="9"/>
  <c r="AF61" i="9"/>
  <c r="AH63" i="9"/>
  <c r="AJ65" i="9"/>
  <c r="AJ77" i="9"/>
  <c r="AI82" i="9"/>
  <c r="AF85" i="9"/>
  <c r="AJ89" i="9"/>
  <c r="AG92" i="9"/>
  <c r="AI94" i="9"/>
  <c r="AF97" i="9"/>
  <c r="AI106" i="9"/>
  <c r="AH111" i="9"/>
  <c r="AJ113" i="9"/>
  <c r="AI118" i="9"/>
  <c r="AF121" i="9"/>
  <c r="AH123" i="9"/>
  <c r="AJ125" i="9"/>
  <c r="AH135" i="9"/>
  <c r="AG140" i="9"/>
  <c r="AI142" i="9"/>
  <c r="AH147" i="9"/>
  <c r="AJ149" i="9"/>
  <c r="AG152" i="9"/>
  <c r="AI154" i="9"/>
  <c r="AG164" i="9"/>
  <c r="AF169" i="9"/>
  <c r="AH171" i="9"/>
  <c r="AG176" i="9"/>
  <c r="AI178" i="9"/>
  <c r="AF181" i="9"/>
  <c r="AH183" i="9"/>
  <c r="AF193" i="9"/>
  <c r="AJ197" i="9"/>
  <c r="AG200" i="9"/>
  <c r="AF205" i="9"/>
  <c r="AH207" i="9"/>
  <c r="AJ209" i="9"/>
  <c r="AG212" i="9"/>
  <c r="AG13" i="9"/>
  <c r="AF18" i="9"/>
  <c r="AJ22" i="9"/>
  <c r="AG25" i="9"/>
  <c r="AF30" i="9"/>
  <c r="AH32" i="9"/>
  <c r="AJ34" i="9"/>
  <c r="AG37" i="9"/>
  <c r="AF42" i="9"/>
  <c r="AJ46" i="9"/>
  <c r="AI51" i="9"/>
  <c r="AF54" i="9"/>
  <c r="AJ58" i="9"/>
  <c r="AG61" i="9"/>
  <c r="AI63" i="9"/>
  <c r="AF66" i="9"/>
  <c r="AJ70" i="9"/>
  <c r="AI75" i="9"/>
  <c r="AH80" i="9"/>
  <c r="AJ82" i="9"/>
  <c r="AI87" i="9"/>
  <c r="AF90" i="9"/>
  <c r="AH92" i="9"/>
  <c r="AJ94" i="9"/>
  <c r="AI99" i="9"/>
  <c r="AH104" i="9"/>
  <c r="AG109" i="9"/>
  <c r="AI111" i="9"/>
  <c r="AH116" i="9"/>
  <c r="AJ118" i="9"/>
  <c r="AG121" i="9"/>
  <c r="AI123" i="9"/>
  <c r="AH128" i="9"/>
  <c r="AH13" i="9"/>
  <c r="AG18" i="9"/>
  <c r="AI20" i="9"/>
  <c r="AH25" i="9"/>
  <c r="AJ27" i="9"/>
  <c r="AG30" i="9"/>
  <c r="AI32" i="9"/>
  <c r="AH37" i="9"/>
  <c r="AG42" i="9"/>
  <c r="AF47" i="9"/>
  <c r="AH49" i="9"/>
  <c r="AG54" i="9"/>
  <c r="AI56" i="9"/>
  <c r="AF59" i="9"/>
  <c r="AH61" i="9"/>
  <c r="AG66" i="9"/>
  <c r="AF71" i="9"/>
  <c r="AJ75" i="9"/>
  <c r="AG78" i="9"/>
  <c r="AF83" i="9"/>
  <c r="AH85" i="9"/>
  <c r="AJ87" i="9"/>
  <c r="AG90" i="9"/>
  <c r="AF95" i="9"/>
  <c r="AJ99" i="9"/>
  <c r="AI104" i="9"/>
  <c r="AF107" i="9"/>
  <c r="AJ111" i="9"/>
  <c r="AG114" i="9"/>
  <c r="AI116" i="9"/>
  <c r="AF119" i="9"/>
  <c r="AJ123" i="9"/>
  <c r="AI128" i="9"/>
  <c r="AH133" i="9"/>
  <c r="AJ135" i="9"/>
  <c r="AI140" i="9"/>
  <c r="AF143" i="9"/>
  <c r="AH145" i="9"/>
  <c r="AJ147" i="9"/>
  <c r="AI152" i="9"/>
  <c r="AH157" i="9"/>
  <c r="AG162" i="9"/>
  <c r="AI164" i="9"/>
  <c r="AH169" i="9"/>
  <c r="AJ171" i="9"/>
  <c r="AG174" i="9"/>
  <c r="AI176" i="9"/>
  <c r="AH181" i="9"/>
  <c r="AG186" i="9"/>
  <c r="AF191" i="9"/>
  <c r="AH193" i="9"/>
  <c r="AG198" i="9"/>
  <c r="AI200" i="9"/>
  <c r="AF203" i="9"/>
  <c r="AH205" i="9"/>
  <c r="AG210" i="9"/>
  <c r="AF215" i="9"/>
  <c r="AF16" i="9"/>
  <c r="AH18" i="9"/>
  <c r="AG23" i="9"/>
  <c r="AI25" i="9"/>
  <c r="AF28" i="9"/>
  <c r="AH30" i="9"/>
  <c r="AG35" i="9"/>
  <c r="AF40" i="9"/>
  <c r="AJ44" i="9"/>
  <c r="AG47" i="9"/>
  <c r="AF52" i="9"/>
  <c r="AH54" i="9"/>
  <c r="AJ56" i="9"/>
  <c r="AG59" i="9"/>
  <c r="AF64" i="9"/>
  <c r="AJ68" i="9"/>
  <c r="AI73" i="9"/>
  <c r="AF76" i="9"/>
  <c r="AJ80" i="9"/>
  <c r="AG83" i="9"/>
  <c r="AI85" i="9"/>
  <c r="AF88" i="9"/>
  <c r="AJ92" i="9"/>
  <c r="AI97" i="9"/>
  <c r="AH102" i="9"/>
  <c r="AJ104" i="9"/>
  <c r="AI109" i="9"/>
  <c r="AF112" i="9"/>
  <c r="AH114" i="9"/>
  <c r="AJ116" i="9"/>
  <c r="AI121" i="9"/>
  <c r="AH126" i="9"/>
  <c r="AG131" i="9"/>
  <c r="AI133" i="9"/>
  <c r="AH138" i="9"/>
  <c r="AJ140" i="9"/>
  <c r="AG143" i="9"/>
  <c r="AI145" i="9"/>
  <c r="AH150" i="9"/>
  <c r="AG155" i="9"/>
  <c r="AF160" i="9"/>
  <c r="AH162" i="9"/>
  <c r="AG167" i="9"/>
  <c r="AI169" i="9"/>
  <c r="AF172" i="9"/>
  <c r="AH174" i="9"/>
  <c r="AG179" i="9"/>
  <c r="AF184" i="9"/>
  <c r="AJ188" i="9"/>
  <c r="AG191" i="9"/>
  <c r="AF196" i="9"/>
  <c r="AH198" i="9"/>
  <c r="AJ200" i="9"/>
  <c r="AG203" i="9"/>
  <c r="AF208" i="9"/>
  <c r="AG16" i="9"/>
  <c r="AF21" i="9"/>
  <c r="AH23" i="9"/>
  <c r="AG28" i="9"/>
  <c r="AI30" i="9"/>
  <c r="AF33" i="9"/>
  <c r="AH35" i="9"/>
  <c r="AG40" i="9"/>
  <c r="AF45" i="9"/>
  <c r="AJ49" i="9"/>
  <c r="AG52" i="9"/>
  <c r="AF57" i="9"/>
  <c r="AH59" i="9"/>
  <c r="AJ61" i="9"/>
  <c r="AG64" i="9"/>
  <c r="AF69" i="9"/>
  <c r="AJ73" i="9"/>
  <c r="AI78" i="9"/>
  <c r="AF81" i="9"/>
  <c r="AJ85" i="9"/>
  <c r="AG88" i="9"/>
  <c r="AI90" i="9"/>
  <c r="AF93" i="9"/>
  <c r="AH95" i="9"/>
  <c r="AJ97" i="9"/>
  <c r="AI102" i="9"/>
  <c r="AF105" i="9"/>
  <c r="AH107" i="9"/>
  <c r="AJ109" i="9"/>
  <c r="AI114" i="9"/>
  <c r="AF117" i="9"/>
  <c r="AH119" i="9"/>
  <c r="AJ121" i="9"/>
  <c r="AG124" i="9"/>
  <c r="AI126" i="9"/>
  <c r="AH131" i="9"/>
  <c r="AJ133" i="9"/>
  <c r="AG136" i="9"/>
  <c r="AI138" i="9"/>
  <c r="AF141" i="9"/>
  <c r="AH143" i="9"/>
  <c r="AJ145" i="9"/>
  <c r="AG148" i="9"/>
  <c r="AI150" i="9"/>
  <c r="AF153" i="9"/>
  <c r="AH155" i="9"/>
  <c r="AJ157" i="9"/>
  <c r="AG160" i="9"/>
  <c r="AI162" i="9"/>
  <c r="AF165" i="9"/>
  <c r="AH167" i="9"/>
  <c r="AJ169" i="9"/>
  <c r="AG172" i="9"/>
  <c r="AI174" i="9"/>
  <c r="AF177" i="9"/>
  <c r="AH179" i="9"/>
  <c r="AJ181" i="9"/>
  <c r="AG184" i="9"/>
  <c r="AI186" i="9"/>
  <c r="AF189" i="9"/>
  <c r="AH191" i="9"/>
  <c r="AJ193" i="9"/>
  <c r="AG196" i="9"/>
  <c r="AI198" i="9"/>
  <c r="AF201" i="9"/>
  <c r="AH203" i="9"/>
  <c r="AJ205" i="9"/>
  <c r="AG208" i="9"/>
  <c r="AI210" i="9"/>
  <c r="AF213" i="9"/>
  <c r="AF14" i="9"/>
  <c r="AH16" i="9"/>
  <c r="AJ18" i="9"/>
  <c r="AG21" i="9"/>
  <c r="AI23" i="9"/>
  <c r="AF26" i="9"/>
  <c r="AH28" i="9"/>
  <c r="AJ30" i="9"/>
  <c r="AG33" i="9"/>
  <c r="AI35" i="9"/>
  <c r="AF38" i="9"/>
  <c r="AH40" i="9"/>
  <c r="AJ42" i="9"/>
  <c r="AG45" i="9"/>
  <c r="AI47" i="9"/>
  <c r="AF50" i="9"/>
  <c r="AH52" i="9"/>
  <c r="AJ54" i="9"/>
  <c r="AG57" i="9"/>
  <c r="AI59" i="9"/>
  <c r="AF62" i="9"/>
  <c r="AH64" i="9"/>
  <c r="AJ66" i="9"/>
  <c r="AG69" i="9"/>
  <c r="AI71" i="9"/>
  <c r="AF74" i="9"/>
  <c r="AH76" i="9"/>
  <c r="AJ78" i="9"/>
  <c r="AG81" i="9"/>
  <c r="AI83" i="9"/>
  <c r="AF86" i="9"/>
  <c r="AH88" i="9"/>
  <c r="AJ90" i="9"/>
  <c r="AG93" i="9"/>
  <c r="AI95" i="9"/>
  <c r="AF98" i="9"/>
  <c r="AH100" i="9"/>
  <c r="AJ102" i="9"/>
  <c r="AG105" i="9"/>
  <c r="AI107" i="9"/>
  <c r="AF110" i="9"/>
  <c r="AH112" i="9"/>
  <c r="AJ114" i="9"/>
  <c r="AG117" i="9"/>
  <c r="AI119" i="9"/>
  <c r="AF122" i="9"/>
  <c r="AH124" i="9"/>
  <c r="AJ126" i="9"/>
  <c r="AG129" i="9"/>
  <c r="AI131" i="9"/>
  <c r="AF134" i="9"/>
  <c r="AH136" i="9"/>
  <c r="AJ138" i="9"/>
  <c r="AG141" i="9"/>
  <c r="AI143" i="9"/>
  <c r="AF146" i="9"/>
  <c r="AH148" i="9"/>
  <c r="AJ150" i="9"/>
  <c r="AG153" i="9"/>
  <c r="AI155" i="9"/>
  <c r="AF158" i="9"/>
  <c r="AH160" i="9"/>
  <c r="AJ162" i="9"/>
  <c r="AG165" i="9"/>
  <c r="AI167" i="9"/>
  <c r="AF170" i="9"/>
  <c r="AH172" i="9"/>
  <c r="AJ174" i="9"/>
  <c r="AG177" i="9"/>
  <c r="AI179" i="9"/>
  <c r="AF182" i="9"/>
  <c r="AH184" i="9"/>
  <c r="AJ186" i="9"/>
  <c r="AG189" i="9"/>
  <c r="AI191" i="9"/>
  <c r="AF194" i="9"/>
  <c r="AH196" i="9"/>
  <c r="AJ198" i="9"/>
  <c r="AG14" i="9"/>
  <c r="AI16" i="9"/>
  <c r="AF19" i="9"/>
  <c r="AH21" i="9"/>
  <c r="AJ23" i="9"/>
  <c r="AG26" i="9"/>
  <c r="AI28" i="9"/>
  <c r="AF31" i="9"/>
  <c r="AH33" i="9"/>
  <c r="AJ35" i="9"/>
  <c r="AG38" i="9"/>
  <c r="AI40" i="9"/>
  <c r="AF43" i="9"/>
  <c r="AH45" i="9"/>
  <c r="AJ47" i="9"/>
  <c r="AG50" i="9"/>
  <c r="AI52" i="9"/>
  <c r="AF55" i="9"/>
  <c r="AH57" i="9"/>
  <c r="AJ59" i="9"/>
  <c r="AG62" i="9"/>
  <c r="AI64" i="9"/>
  <c r="AF67" i="9"/>
  <c r="AH69" i="9"/>
  <c r="AJ71" i="9"/>
  <c r="AG74" i="9"/>
  <c r="AI76" i="9"/>
  <c r="AF79" i="9"/>
  <c r="AH81" i="9"/>
  <c r="AJ83" i="9"/>
  <c r="AG86" i="9"/>
  <c r="AI88" i="9"/>
  <c r="AF91" i="9"/>
  <c r="AH93" i="9"/>
  <c r="AJ95" i="9"/>
  <c r="AG98" i="9"/>
  <c r="AI100" i="9"/>
  <c r="AF103" i="9"/>
  <c r="AH105" i="9"/>
  <c r="AJ107" i="9"/>
  <c r="AG110" i="9"/>
  <c r="AI112" i="9"/>
  <c r="AF115" i="9"/>
  <c r="AH117" i="9"/>
  <c r="AJ119" i="9"/>
  <c r="AG122" i="9"/>
  <c r="AI124" i="9"/>
  <c r="AF127" i="9"/>
  <c r="AH129" i="9"/>
  <c r="AJ131" i="9"/>
  <c r="AG134" i="9"/>
  <c r="AI136" i="9"/>
  <c r="AF139" i="9"/>
  <c r="AH141" i="9"/>
  <c r="AJ143" i="9"/>
  <c r="AG146" i="9"/>
  <c r="AI148" i="9"/>
  <c r="AF151" i="9"/>
  <c r="AH153" i="9"/>
  <c r="AJ155" i="9"/>
  <c r="AG158" i="9"/>
  <c r="AI160" i="9"/>
  <c r="AF163" i="9"/>
  <c r="AH165" i="9"/>
  <c r="AJ167" i="9"/>
  <c r="AG170" i="9"/>
  <c r="AI172" i="9"/>
  <c r="AF175" i="9"/>
  <c r="AH177" i="9"/>
  <c r="AJ179" i="9"/>
  <c r="AG182" i="9"/>
  <c r="AI184" i="9"/>
  <c r="AF187" i="9"/>
  <c r="AH189" i="9"/>
  <c r="AJ191" i="9"/>
  <c r="AG194" i="9"/>
  <c r="AI196" i="9"/>
  <c r="AF199" i="9"/>
  <c r="AH201" i="9"/>
  <c r="AJ203" i="9"/>
  <c r="AG206" i="9"/>
  <c r="AI208" i="9"/>
  <c r="AF211" i="9"/>
  <c r="AH213" i="9"/>
  <c r="AJ369" i="9"/>
  <c r="AH367" i="9"/>
  <c r="AF365" i="9"/>
  <c r="AI362" i="9"/>
  <c r="AG360" i="9"/>
  <c r="AJ357" i="9"/>
  <c r="AH355" i="9"/>
  <c r="AF353" i="9"/>
  <c r="AI350" i="9"/>
  <c r="AG348" i="9"/>
  <c r="AJ345" i="9"/>
  <c r="AH343" i="9"/>
  <c r="AF341" i="9"/>
  <c r="AI338" i="9"/>
  <c r="AG336" i="9"/>
  <c r="AJ333" i="9"/>
  <c r="AH331" i="9"/>
  <c r="AF329" i="9"/>
  <c r="AI326" i="9"/>
  <c r="AG324" i="9"/>
  <c r="AJ321" i="9"/>
  <c r="AH319" i="9"/>
  <c r="AF317" i="9"/>
  <c r="AI314" i="9"/>
  <c r="AG312" i="9"/>
  <c r="AJ309" i="9"/>
  <c r="AH307" i="9"/>
  <c r="AF305" i="9"/>
  <c r="AI302" i="9"/>
  <c r="AG300" i="9"/>
  <c r="AJ297" i="9"/>
  <c r="AH295" i="9"/>
  <c r="AF293" i="9"/>
  <c r="AI290" i="9"/>
  <c r="AG288" i="9"/>
  <c r="AJ285" i="9"/>
  <c r="AH283" i="9"/>
  <c r="AF281" i="9"/>
  <c r="AI278" i="9"/>
  <c r="AG276" i="9"/>
  <c r="AJ273" i="9"/>
  <c r="AH271" i="9"/>
  <c r="AF269" i="9"/>
  <c r="AI266" i="9"/>
  <c r="AG264" i="9"/>
  <c r="AJ261" i="9"/>
  <c r="AH259" i="9"/>
  <c r="AF257" i="9"/>
  <c r="AI254" i="9"/>
  <c r="AG252" i="9"/>
  <c r="AJ249" i="9"/>
  <c r="AH247" i="9"/>
  <c r="AF245" i="9"/>
  <c r="AI242" i="9"/>
  <c r="AG240" i="9"/>
  <c r="AJ237" i="9"/>
  <c r="AH235" i="9"/>
  <c r="AF233" i="9"/>
  <c r="AI230" i="9"/>
  <c r="AG228" i="9"/>
  <c r="AJ225" i="9"/>
  <c r="AH223" i="9"/>
  <c r="AF221" i="9"/>
  <c r="AI218" i="9"/>
  <c r="AG216" i="9"/>
  <c r="AG211" i="9"/>
  <c r="AJ202" i="9"/>
  <c r="AJ178" i="9"/>
  <c r="AF150" i="9"/>
  <c r="AF360" i="9"/>
  <c r="AI357" i="9"/>
  <c r="AG355" i="9"/>
  <c r="AJ352" i="9"/>
  <c r="AH350" i="9"/>
  <c r="AF348" i="9"/>
  <c r="AI345" i="9"/>
  <c r="AG343" i="9"/>
  <c r="AJ340" i="9"/>
  <c r="AH338" i="9"/>
  <c r="AF336" i="9"/>
  <c r="AI333" i="9"/>
  <c r="AG331" i="9"/>
  <c r="AJ328" i="9"/>
  <c r="AH326" i="9"/>
  <c r="AF324" i="9"/>
  <c r="AI321" i="9"/>
  <c r="AG319" i="9"/>
  <c r="AJ316" i="9"/>
  <c r="AH314" i="9"/>
  <c r="AF312" i="9"/>
  <c r="AI309" i="9"/>
  <c r="AG307" i="9"/>
  <c r="AJ304" i="9"/>
  <c r="AH302" i="9"/>
  <c r="AF300" i="9"/>
  <c r="AI297" i="9"/>
  <c r="AG295" i="9"/>
  <c r="AJ292" i="9"/>
  <c r="AH290" i="9"/>
  <c r="AF288" i="9"/>
  <c r="AI285" i="9"/>
  <c r="AG283" i="9"/>
  <c r="AJ280" i="9"/>
  <c r="AH278" i="9"/>
  <c r="AF276" i="9"/>
  <c r="AI273" i="9"/>
  <c r="AG271" i="9"/>
  <c r="AJ268" i="9"/>
  <c r="AH266" i="9"/>
  <c r="AF264" i="9"/>
  <c r="AI261" i="9"/>
  <c r="AG259" i="9"/>
  <c r="AJ256" i="9"/>
  <c r="AH254" i="9"/>
  <c r="AF252" i="9"/>
  <c r="AI249" i="9"/>
  <c r="AG247" i="9"/>
  <c r="AJ244" i="9"/>
  <c r="AH242" i="9"/>
  <c r="AF240" i="9"/>
  <c r="AI237" i="9"/>
  <c r="AG235" i="9"/>
  <c r="AJ232" i="9"/>
  <c r="AH230" i="9"/>
  <c r="AF228" i="9"/>
  <c r="AI225" i="9"/>
  <c r="AG223" i="9"/>
  <c r="AJ220" i="9"/>
  <c r="AH218" i="9"/>
  <c r="AF216" i="9"/>
  <c r="AJ210" i="9"/>
  <c r="AI201" i="9"/>
  <c r="AH176" i="9"/>
  <c r="AI147" i="9"/>
  <c r="AH369" i="9"/>
  <c r="AF367" i="9"/>
  <c r="AI364" i="9"/>
  <c r="AG362" i="9"/>
  <c r="AJ359" i="9"/>
  <c r="AH357" i="9"/>
  <c r="AF355" i="9"/>
  <c r="AI352" i="9"/>
  <c r="AG350" i="9"/>
  <c r="AJ347" i="9"/>
  <c r="AH345" i="9"/>
  <c r="AF343" i="9"/>
  <c r="AI340" i="9"/>
  <c r="AG338" i="9"/>
  <c r="AJ335" i="9"/>
  <c r="AH333" i="9"/>
  <c r="AF331" i="9"/>
  <c r="AI328" i="9"/>
  <c r="AG326" i="9"/>
  <c r="AJ323" i="9"/>
  <c r="AH321" i="9"/>
  <c r="AF319" i="9"/>
  <c r="AI316" i="9"/>
  <c r="AG314" i="9"/>
  <c r="AJ311" i="9"/>
  <c r="AH309" i="9"/>
  <c r="AF307" i="9"/>
  <c r="AI304" i="9"/>
  <c r="AG302" i="9"/>
  <c r="AJ299" i="9"/>
  <c r="AH297" i="9"/>
  <c r="AF295" i="9"/>
  <c r="AI292" i="9"/>
  <c r="AG290" i="9"/>
  <c r="AJ287" i="9"/>
  <c r="AH285" i="9"/>
  <c r="AF283" i="9"/>
  <c r="AI280" i="9"/>
  <c r="AG278" i="9"/>
  <c r="AJ275" i="9"/>
  <c r="AH273" i="9"/>
  <c r="AF271" i="9"/>
  <c r="AI268" i="9"/>
  <c r="AG266" i="9"/>
  <c r="AJ263" i="9"/>
  <c r="AH261" i="9"/>
  <c r="AF259" i="9"/>
  <c r="AI256" i="9"/>
  <c r="AG254" i="9"/>
  <c r="AJ251" i="9"/>
  <c r="AH249" i="9"/>
  <c r="AF247" i="9"/>
  <c r="AI244" i="9"/>
  <c r="AG242" i="9"/>
  <c r="AJ239" i="9"/>
  <c r="AH237" i="9"/>
  <c r="AF235" i="9"/>
  <c r="AI232" i="9"/>
  <c r="AG230" i="9"/>
  <c r="AJ227" i="9"/>
  <c r="AH225" i="9"/>
  <c r="AF223" i="9"/>
  <c r="AI220" i="9"/>
  <c r="AG218" i="9"/>
  <c r="AJ215" i="9"/>
  <c r="AH210" i="9"/>
  <c r="AG201" i="9"/>
  <c r="AF174" i="9"/>
  <c r="AG145" i="9"/>
  <c r="AH364" i="9"/>
  <c r="AF362" i="9"/>
  <c r="AI359" i="9"/>
  <c r="AG357" i="9"/>
  <c r="AJ354" i="9"/>
  <c r="AH352" i="9"/>
  <c r="AF350" i="9"/>
  <c r="AI347" i="9"/>
  <c r="AG345" i="9"/>
  <c r="AJ342" i="9"/>
  <c r="AH340" i="9"/>
  <c r="AF338" i="9"/>
  <c r="AI335" i="9"/>
  <c r="AG333" i="9"/>
  <c r="AJ330" i="9"/>
  <c r="AH328" i="9"/>
  <c r="AF326" i="9"/>
  <c r="AI323" i="9"/>
  <c r="AG321" i="9"/>
  <c r="AJ318" i="9"/>
  <c r="AH316" i="9"/>
  <c r="AF314" i="9"/>
  <c r="AI311" i="9"/>
  <c r="AG309" i="9"/>
  <c r="AJ306" i="9"/>
  <c r="AH304" i="9"/>
  <c r="AF302" i="9"/>
  <c r="AI299" i="9"/>
  <c r="AG297" i="9"/>
  <c r="AJ294" i="9"/>
  <c r="AH292" i="9"/>
  <c r="AF290" i="9"/>
  <c r="AI287" i="9"/>
  <c r="AG285" i="9"/>
  <c r="AJ282" i="9"/>
  <c r="AH280" i="9"/>
  <c r="AF278" i="9"/>
  <c r="AI275" i="9"/>
  <c r="AG273" i="9"/>
  <c r="AJ270" i="9"/>
  <c r="AH268" i="9"/>
  <c r="AF266" i="9"/>
  <c r="AI263" i="9"/>
  <c r="AG261" i="9"/>
  <c r="AJ258" i="9"/>
  <c r="AH256" i="9"/>
  <c r="AF254" i="9"/>
  <c r="AI251" i="9"/>
  <c r="AG249" i="9"/>
  <c r="AJ246" i="9"/>
  <c r="AH244" i="9"/>
  <c r="AF242" i="9"/>
  <c r="AI239" i="9"/>
  <c r="AG237" i="9"/>
  <c r="AJ234" i="9"/>
  <c r="AH232" i="9"/>
  <c r="AF230" i="9"/>
  <c r="AI227" i="9"/>
  <c r="AG225" i="9"/>
  <c r="AJ222" i="9"/>
  <c r="AH220" i="9"/>
  <c r="AF218" i="9"/>
  <c r="AI215" i="9"/>
  <c r="AF210" i="9"/>
  <c r="AH200" i="9"/>
  <c r="AI171" i="9"/>
  <c r="AJ142" i="9"/>
  <c r="AI11" i="9"/>
  <c r="AF369" i="9"/>
  <c r="AI366" i="9"/>
  <c r="AG364" i="9"/>
  <c r="AJ361" i="9"/>
  <c r="AH359" i="9"/>
  <c r="AF357" i="9"/>
  <c r="AI354" i="9"/>
  <c r="AG352" i="9"/>
  <c r="AJ349" i="9"/>
  <c r="AH347" i="9"/>
  <c r="AF345" i="9"/>
  <c r="AI342" i="9"/>
  <c r="AG340" i="9"/>
  <c r="AJ337" i="9"/>
  <c r="AH335" i="9"/>
  <c r="AF333" i="9"/>
  <c r="AI330" i="9"/>
  <c r="AG328" i="9"/>
  <c r="AJ325" i="9"/>
  <c r="AH323" i="9"/>
  <c r="AF321" i="9"/>
  <c r="AI318" i="9"/>
  <c r="AG316" i="9"/>
  <c r="AJ313" i="9"/>
  <c r="AH311" i="9"/>
  <c r="AF309" i="9"/>
  <c r="AI306" i="9"/>
  <c r="AG304" i="9"/>
  <c r="AJ301" i="9"/>
  <c r="AH299" i="9"/>
  <c r="AF297" i="9"/>
  <c r="AI294" i="9"/>
  <c r="AG292" i="9"/>
  <c r="AJ289" i="9"/>
  <c r="AH287" i="9"/>
  <c r="AF285" i="9"/>
  <c r="AI282" i="9"/>
  <c r="AG280" i="9"/>
  <c r="AJ277" i="9"/>
  <c r="AH275" i="9"/>
  <c r="AF273" i="9"/>
  <c r="AI270" i="9"/>
  <c r="AG268" i="9"/>
  <c r="AJ265" i="9"/>
  <c r="AH263" i="9"/>
  <c r="AF261" i="9"/>
  <c r="AI258" i="9"/>
  <c r="AG256" i="9"/>
  <c r="AJ253" i="9"/>
  <c r="AH251" i="9"/>
  <c r="AF249" i="9"/>
  <c r="AI246" i="9"/>
  <c r="AG244" i="9"/>
  <c r="AJ241" i="9"/>
  <c r="AH239" i="9"/>
  <c r="AF237" i="9"/>
  <c r="AI234" i="9"/>
  <c r="AG232" i="9"/>
  <c r="AJ229" i="9"/>
  <c r="AH227" i="9"/>
  <c r="AF225" i="9"/>
  <c r="AI222" i="9"/>
  <c r="AG220" i="9"/>
  <c r="AJ217" i="9"/>
  <c r="AH215" i="9"/>
  <c r="AJ208" i="9"/>
  <c r="AF198" i="9"/>
  <c r="AG169" i="9"/>
  <c r="AH140" i="9"/>
  <c r="AJ364" i="9"/>
  <c r="AH11" i="9"/>
  <c r="AJ368" i="9"/>
  <c r="AH366" i="9"/>
  <c r="AF364" i="9"/>
  <c r="AI361" i="9"/>
  <c r="AG359" i="9"/>
  <c r="AJ356" i="9"/>
  <c r="AH354" i="9"/>
  <c r="AF352" i="9"/>
  <c r="AI349" i="9"/>
  <c r="AG347" i="9"/>
  <c r="AJ344" i="9"/>
  <c r="AH342" i="9"/>
  <c r="AF340" i="9"/>
  <c r="AI337" i="9"/>
  <c r="AG335" i="9"/>
  <c r="AJ332" i="9"/>
  <c r="AH330" i="9"/>
  <c r="AF328" i="9"/>
  <c r="AI325" i="9"/>
  <c r="AG323" i="9"/>
  <c r="AJ320" i="9"/>
  <c r="AH318" i="9"/>
  <c r="AF316" i="9"/>
  <c r="AI313" i="9"/>
  <c r="AG311" i="9"/>
  <c r="AJ308" i="9"/>
  <c r="AH306" i="9"/>
  <c r="AF304" i="9"/>
  <c r="AI301" i="9"/>
  <c r="AG299" i="9"/>
  <c r="AJ296" i="9"/>
  <c r="AH294" i="9"/>
  <c r="AF292" i="9"/>
  <c r="AI289" i="9"/>
  <c r="AG287" i="9"/>
  <c r="AJ284" i="9"/>
  <c r="AH282" i="9"/>
  <c r="AF280" i="9"/>
  <c r="AI277" i="9"/>
  <c r="AG275" i="9"/>
  <c r="AJ272" i="9"/>
  <c r="AH270" i="9"/>
  <c r="AF268" i="9"/>
  <c r="AI265" i="9"/>
  <c r="AG263" i="9"/>
  <c r="AJ260" i="9"/>
  <c r="AH258" i="9"/>
  <c r="AF256" i="9"/>
  <c r="AI253" i="9"/>
  <c r="AG251" i="9"/>
  <c r="AJ248" i="9"/>
  <c r="AH246" i="9"/>
  <c r="AF244" i="9"/>
  <c r="AI241" i="9"/>
  <c r="AG239" i="9"/>
  <c r="AJ236" i="9"/>
  <c r="AH234" i="9"/>
  <c r="AF232" i="9"/>
  <c r="AI229" i="9"/>
  <c r="AG227" i="9"/>
  <c r="AJ224" i="9"/>
  <c r="AH222" i="9"/>
  <c r="AF220" i="9"/>
  <c r="AI217" i="9"/>
  <c r="AG215" i="9"/>
  <c r="AH208" i="9"/>
  <c r="AI195" i="9"/>
  <c r="AJ166" i="9"/>
  <c r="AF138" i="9"/>
  <c r="AG11" i="9"/>
  <c r="AI368" i="9"/>
  <c r="AG366" i="9"/>
  <c r="AJ363" i="9"/>
  <c r="AH361" i="9"/>
  <c r="AF359" i="9"/>
  <c r="AI356" i="9"/>
  <c r="AG354" i="9"/>
  <c r="AJ351" i="9"/>
  <c r="AH349" i="9"/>
  <c r="AF347" i="9"/>
  <c r="AI344" i="9"/>
  <c r="AG342" i="9"/>
  <c r="AJ339" i="9"/>
  <c r="AH337" i="9"/>
  <c r="AF335" i="9"/>
  <c r="AI332" i="9"/>
  <c r="AG330" i="9"/>
  <c r="AJ327" i="9"/>
  <c r="AH325" i="9"/>
  <c r="AF323" i="9"/>
  <c r="AI320" i="9"/>
  <c r="AG318" i="9"/>
  <c r="AJ315" i="9"/>
  <c r="AH313" i="9"/>
  <c r="AF311" i="9"/>
  <c r="AI308" i="9"/>
  <c r="AG306" i="9"/>
  <c r="AJ303" i="9"/>
  <c r="AH301" i="9"/>
  <c r="AF299" i="9"/>
  <c r="AI296" i="9"/>
  <c r="AG294" i="9"/>
  <c r="AJ291" i="9"/>
  <c r="AH289" i="9"/>
  <c r="AF287" i="9"/>
  <c r="AI284" i="9"/>
  <c r="AG282" i="9"/>
  <c r="AJ279" i="9"/>
  <c r="AH277" i="9"/>
  <c r="AF275" i="9"/>
  <c r="AI272" i="9"/>
  <c r="AG270" i="9"/>
  <c r="AJ267" i="9"/>
  <c r="AH265" i="9"/>
  <c r="AF263" i="9"/>
  <c r="AI260" i="9"/>
  <c r="AG258" i="9"/>
  <c r="AJ255" i="9"/>
  <c r="AH253" i="9"/>
  <c r="AF251" i="9"/>
  <c r="AI248" i="9"/>
  <c r="AG246" i="9"/>
  <c r="AJ243" i="9"/>
  <c r="AH241" i="9"/>
  <c r="AF239" i="9"/>
  <c r="AI236" i="9"/>
  <c r="AG234" i="9"/>
  <c r="AJ231" i="9"/>
  <c r="AH229" i="9"/>
  <c r="AF227" i="9"/>
  <c r="AI224" i="9"/>
  <c r="AG222" i="9"/>
  <c r="AJ219" i="9"/>
  <c r="AH217" i="9"/>
  <c r="AJ214" i="9"/>
  <c r="AI207" i="9"/>
  <c r="AG193" i="9"/>
  <c r="AH164" i="9"/>
  <c r="AI135" i="9"/>
  <c r="AJ366" i="9"/>
  <c r="AJ370" i="9"/>
  <c r="AH368" i="9"/>
  <c r="AF366" i="9"/>
  <c r="AI363" i="9"/>
  <c r="AG361" i="9"/>
  <c r="AJ358" i="9"/>
  <c r="AH356" i="9"/>
  <c r="AF354" i="9"/>
  <c r="AI351" i="9"/>
  <c r="AG349" i="9"/>
  <c r="AJ346" i="9"/>
  <c r="AH344" i="9"/>
  <c r="AF342" i="9"/>
  <c r="AI339" i="9"/>
  <c r="AG337" i="9"/>
  <c r="AJ334" i="9"/>
  <c r="AH332" i="9"/>
  <c r="AF330" i="9"/>
  <c r="AI327" i="9"/>
  <c r="AG325" i="9"/>
  <c r="AJ322" i="9"/>
  <c r="AH320" i="9"/>
  <c r="AF318" i="9"/>
  <c r="AI315" i="9"/>
  <c r="AG313" i="9"/>
  <c r="AJ310" i="9"/>
  <c r="AH308" i="9"/>
  <c r="AF306" i="9"/>
  <c r="AI303" i="9"/>
  <c r="AG301" i="9"/>
  <c r="AJ298" i="9"/>
  <c r="AH296" i="9"/>
  <c r="AF294" i="9"/>
  <c r="AI291" i="9"/>
  <c r="AG289" i="9"/>
  <c r="AJ286" i="9"/>
  <c r="AH284" i="9"/>
  <c r="AF282" i="9"/>
  <c r="AI279" i="9"/>
  <c r="AG277" i="9"/>
  <c r="AJ274" i="9"/>
  <c r="AH272" i="9"/>
  <c r="AF270" i="9"/>
  <c r="AI267" i="9"/>
  <c r="AG265" i="9"/>
  <c r="AJ262" i="9"/>
  <c r="AH260" i="9"/>
  <c r="AF258" i="9"/>
  <c r="AI255" i="9"/>
  <c r="AG253" i="9"/>
  <c r="AJ250" i="9"/>
  <c r="AH248" i="9"/>
  <c r="AF246" i="9"/>
  <c r="AI243" i="9"/>
  <c r="AG241" i="9"/>
  <c r="AJ238" i="9"/>
  <c r="AH236" i="9"/>
  <c r="AF234" i="9"/>
  <c r="AI231" i="9"/>
  <c r="AG229" i="9"/>
  <c r="AJ226" i="9"/>
  <c r="AH224" i="9"/>
  <c r="AF222" i="9"/>
  <c r="AI219" i="9"/>
  <c r="AG217" i="9"/>
  <c r="AH214" i="9"/>
  <c r="AH206" i="9"/>
  <c r="AJ190" i="9"/>
  <c r="AF162" i="9"/>
  <c r="AG133" i="9"/>
  <c r="AA12" i="9"/>
  <c r="AB12" i="9"/>
  <c r="AA13" i="9"/>
  <c r="AB13" i="9"/>
  <c r="AA14" i="9"/>
  <c r="AB14" i="9"/>
  <c r="AA15" i="9"/>
  <c r="AB15" i="9"/>
  <c r="AA16" i="9"/>
  <c r="AB16" i="9"/>
  <c r="AA17" i="9"/>
  <c r="AB17" i="9"/>
  <c r="AA18" i="9"/>
  <c r="AB18" i="9"/>
  <c r="AA19" i="9"/>
  <c r="AB19" i="9"/>
  <c r="AA20" i="9"/>
  <c r="AB20" i="9"/>
  <c r="AA21" i="9"/>
  <c r="AB21" i="9"/>
  <c r="AA22" i="9"/>
  <c r="AB22" i="9"/>
  <c r="AA23" i="9"/>
  <c r="AB23" i="9"/>
  <c r="AA24" i="9"/>
  <c r="AB24" i="9"/>
  <c r="AA25" i="9"/>
  <c r="AB25" i="9"/>
  <c r="AA26" i="9"/>
  <c r="AB26" i="9"/>
  <c r="AA27" i="9"/>
  <c r="AB27" i="9"/>
  <c r="AA28" i="9"/>
  <c r="AB28" i="9"/>
  <c r="AA29" i="9"/>
  <c r="AB29" i="9"/>
  <c r="AA30" i="9"/>
  <c r="AB30" i="9"/>
  <c r="AA31" i="9"/>
  <c r="AB31" i="9"/>
  <c r="AA32" i="9"/>
  <c r="AB32" i="9"/>
  <c r="AA33" i="9"/>
  <c r="AB33" i="9"/>
  <c r="AA34" i="9"/>
  <c r="AB34" i="9"/>
  <c r="AA35" i="9"/>
  <c r="AB35" i="9"/>
  <c r="AA36" i="9"/>
  <c r="AB36" i="9"/>
  <c r="AA37" i="9"/>
  <c r="AB37" i="9"/>
  <c r="AA38" i="9"/>
  <c r="AB38" i="9"/>
  <c r="AA39" i="9"/>
  <c r="AB39" i="9"/>
  <c r="AA40" i="9"/>
  <c r="AB40" i="9"/>
  <c r="AA41" i="9"/>
  <c r="AB41" i="9"/>
  <c r="AA42" i="9"/>
  <c r="AB42" i="9"/>
  <c r="AA43" i="9"/>
  <c r="AB43" i="9"/>
  <c r="AA44" i="9"/>
  <c r="AB44" i="9"/>
  <c r="AA45" i="9"/>
  <c r="AB45" i="9"/>
  <c r="AA46" i="9"/>
  <c r="AB46" i="9"/>
  <c r="AA47" i="9"/>
  <c r="AB47" i="9"/>
  <c r="AA48" i="9"/>
  <c r="AB48" i="9"/>
  <c r="AA49" i="9"/>
  <c r="AB49" i="9"/>
  <c r="AA50" i="9"/>
  <c r="AB50" i="9"/>
  <c r="AA51" i="9"/>
  <c r="AB51" i="9"/>
  <c r="AA52" i="9"/>
  <c r="AB52" i="9"/>
  <c r="AA53" i="9"/>
  <c r="AB53" i="9"/>
  <c r="AA54" i="9"/>
  <c r="AB54" i="9"/>
  <c r="AA55" i="9"/>
  <c r="AB55" i="9"/>
  <c r="AA56" i="9"/>
  <c r="AB56" i="9"/>
  <c r="AA57" i="9"/>
  <c r="AB57" i="9"/>
  <c r="AA58" i="9"/>
  <c r="AB58" i="9"/>
  <c r="AA59" i="9"/>
  <c r="AB59" i="9"/>
  <c r="AA60" i="9"/>
  <c r="AB60" i="9"/>
  <c r="AA61" i="9"/>
  <c r="AB61" i="9"/>
  <c r="AA62" i="9"/>
  <c r="AB62" i="9"/>
  <c r="AA63" i="9"/>
  <c r="AB63" i="9"/>
  <c r="AA64" i="9"/>
  <c r="AB64" i="9"/>
  <c r="AA65" i="9"/>
  <c r="AB65" i="9"/>
  <c r="AA66" i="9"/>
  <c r="AB66" i="9"/>
  <c r="AA67" i="9"/>
  <c r="AB67" i="9"/>
  <c r="AA68" i="9"/>
  <c r="AB68" i="9"/>
  <c r="AA69" i="9"/>
  <c r="AB69" i="9"/>
  <c r="AA70" i="9"/>
  <c r="AB70" i="9"/>
  <c r="AA71" i="9"/>
  <c r="AB71" i="9"/>
  <c r="AA72" i="9"/>
  <c r="AB72" i="9"/>
  <c r="AA73" i="9"/>
  <c r="AB73" i="9"/>
  <c r="AA74" i="9"/>
  <c r="AB74" i="9"/>
  <c r="AA75" i="9"/>
  <c r="AB75" i="9"/>
  <c r="AA76" i="9"/>
  <c r="AB76" i="9"/>
  <c r="AA77" i="9"/>
  <c r="AB77" i="9"/>
  <c r="AA78" i="9"/>
  <c r="AB78" i="9"/>
  <c r="AA79" i="9"/>
  <c r="AB79" i="9"/>
  <c r="AA80" i="9"/>
  <c r="AB80" i="9"/>
  <c r="AA81" i="9"/>
  <c r="AB81" i="9"/>
  <c r="AA82" i="9"/>
  <c r="AB82" i="9"/>
  <c r="AA83" i="9"/>
  <c r="AB83" i="9"/>
  <c r="AA84" i="9"/>
  <c r="AB84" i="9"/>
  <c r="AA85" i="9"/>
  <c r="AB85" i="9"/>
  <c r="AA86" i="9"/>
  <c r="AB86" i="9"/>
  <c r="AA87" i="9"/>
  <c r="AB87" i="9"/>
  <c r="AA88" i="9"/>
  <c r="AB88" i="9"/>
  <c r="AA89" i="9"/>
  <c r="AB89" i="9"/>
  <c r="AA90" i="9"/>
  <c r="AB90" i="9"/>
  <c r="AA91" i="9"/>
  <c r="AB91" i="9"/>
  <c r="AA92" i="9"/>
  <c r="AB92" i="9"/>
  <c r="AA93" i="9"/>
  <c r="AB93" i="9"/>
  <c r="AA94" i="9"/>
  <c r="AB94" i="9"/>
  <c r="AA95" i="9"/>
  <c r="AB95" i="9"/>
  <c r="AA96" i="9"/>
  <c r="AB96" i="9"/>
  <c r="AA97" i="9"/>
  <c r="AB97" i="9"/>
  <c r="AA98" i="9"/>
  <c r="AB98" i="9"/>
  <c r="AA99" i="9"/>
  <c r="AB99" i="9"/>
  <c r="AA100" i="9"/>
  <c r="AB100" i="9"/>
  <c r="AA101" i="9"/>
  <c r="AB101" i="9"/>
  <c r="AA102" i="9"/>
  <c r="AB102" i="9"/>
  <c r="AA103" i="9"/>
  <c r="AB103" i="9"/>
  <c r="AA104" i="9"/>
  <c r="AB104" i="9"/>
  <c r="AA105" i="9"/>
  <c r="AB105" i="9"/>
  <c r="AA106" i="9"/>
  <c r="AB106" i="9"/>
  <c r="AA107" i="9"/>
  <c r="AB107" i="9"/>
  <c r="AA108" i="9"/>
  <c r="AB108" i="9"/>
  <c r="AA109" i="9"/>
  <c r="AB109" i="9"/>
  <c r="AA110" i="9"/>
  <c r="AB110" i="9"/>
  <c r="AA111" i="9"/>
  <c r="AB111" i="9"/>
  <c r="AA112" i="9"/>
  <c r="AB112" i="9"/>
  <c r="AA113" i="9"/>
  <c r="AB113" i="9"/>
  <c r="AA114" i="9"/>
  <c r="AB114" i="9"/>
  <c r="AA115" i="9"/>
  <c r="AB115" i="9"/>
  <c r="AA116" i="9"/>
  <c r="AB116" i="9"/>
  <c r="AA117" i="9"/>
  <c r="AB117" i="9"/>
  <c r="AA118" i="9"/>
  <c r="AB118" i="9"/>
  <c r="AA119" i="9"/>
  <c r="AB119" i="9"/>
  <c r="AA120" i="9"/>
  <c r="AB120" i="9"/>
  <c r="AC120" i="9"/>
  <c r="AA121" i="9"/>
  <c r="AB121" i="9"/>
  <c r="AA122" i="9"/>
  <c r="AB122" i="9"/>
  <c r="AA123" i="9"/>
  <c r="AB123" i="9"/>
  <c r="AA124" i="9"/>
  <c r="AB124" i="9"/>
  <c r="AA125" i="9"/>
  <c r="AB125" i="9"/>
  <c r="AA126" i="9"/>
  <c r="AB126" i="9"/>
  <c r="AA127" i="9"/>
  <c r="AB127" i="9"/>
  <c r="AA128" i="9"/>
  <c r="AB128" i="9"/>
  <c r="AA129" i="9"/>
  <c r="AB129" i="9"/>
  <c r="AA130" i="9"/>
  <c r="AB130" i="9"/>
  <c r="AA131" i="9"/>
  <c r="AB131" i="9"/>
  <c r="AA132" i="9"/>
  <c r="AB132" i="9"/>
  <c r="AA133" i="9"/>
  <c r="AB133" i="9"/>
  <c r="AA134" i="9"/>
  <c r="AB134" i="9"/>
  <c r="AA135" i="9"/>
  <c r="AB135" i="9"/>
  <c r="AA136" i="9"/>
  <c r="AB136" i="9"/>
  <c r="AA137" i="9"/>
  <c r="AB137" i="9"/>
  <c r="AA138" i="9"/>
  <c r="AB138" i="9"/>
  <c r="AA139" i="9"/>
  <c r="AB139" i="9"/>
  <c r="AA140" i="9"/>
  <c r="AB140" i="9"/>
  <c r="AA141" i="9"/>
  <c r="AB141" i="9"/>
  <c r="AA142" i="9"/>
  <c r="AB142" i="9"/>
  <c r="AA143" i="9"/>
  <c r="AB143" i="9"/>
  <c r="AA144" i="9"/>
  <c r="AB144" i="9"/>
  <c r="AA145" i="9"/>
  <c r="AB145" i="9"/>
  <c r="AA146" i="9"/>
  <c r="AB146" i="9"/>
  <c r="AA147" i="9"/>
  <c r="AB147" i="9"/>
  <c r="AA148" i="9"/>
  <c r="AB148" i="9"/>
  <c r="AA149" i="9"/>
  <c r="AB149" i="9"/>
  <c r="AA150" i="9"/>
  <c r="AB150" i="9"/>
  <c r="AA151" i="9"/>
  <c r="AB151" i="9"/>
  <c r="AA152" i="9"/>
  <c r="AB152" i="9"/>
  <c r="AA153" i="9"/>
  <c r="AB153" i="9"/>
  <c r="AA154" i="9"/>
  <c r="AB154" i="9"/>
  <c r="AA155" i="9"/>
  <c r="AB155" i="9"/>
  <c r="AA156" i="9"/>
  <c r="AB156" i="9"/>
  <c r="AA157" i="9"/>
  <c r="AB157" i="9"/>
  <c r="AA158" i="9"/>
  <c r="AB158" i="9"/>
  <c r="AA159" i="9"/>
  <c r="AB159" i="9"/>
  <c r="AA160" i="9"/>
  <c r="AB160" i="9"/>
  <c r="AA161" i="9"/>
  <c r="AB161" i="9"/>
  <c r="AA162" i="9"/>
  <c r="AB162" i="9"/>
  <c r="AA163" i="9"/>
  <c r="AB163" i="9"/>
  <c r="AA164" i="9"/>
  <c r="AB164" i="9"/>
  <c r="AA165" i="9"/>
  <c r="AB165" i="9"/>
  <c r="AA166" i="9"/>
  <c r="AB166" i="9"/>
  <c r="AA167" i="9"/>
  <c r="AB167" i="9"/>
  <c r="AA168" i="9"/>
  <c r="AB168" i="9"/>
  <c r="AA169" i="9"/>
  <c r="AB169" i="9"/>
  <c r="AA170" i="9"/>
  <c r="AB170" i="9"/>
  <c r="AA171" i="9"/>
  <c r="AB171" i="9"/>
  <c r="AA172" i="9"/>
  <c r="AB172" i="9"/>
  <c r="AA173" i="9"/>
  <c r="AB173" i="9"/>
  <c r="AA174" i="9"/>
  <c r="AB174" i="9"/>
  <c r="AA175" i="9"/>
  <c r="AB175" i="9"/>
  <c r="AA176" i="9"/>
  <c r="AB176" i="9"/>
  <c r="AA177" i="9"/>
  <c r="AB177" i="9"/>
  <c r="AA178" i="9"/>
  <c r="AB178" i="9"/>
  <c r="AA179" i="9"/>
  <c r="AB179" i="9"/>
  <c r="AA180" i="9"/>
  <c r="AB180" i="9"/>
  <c r="AA181" i="9"/>
  <c r="AB181" i="9"/>
  <c r="AA182" i="9"/>
  <c r="AB182" i="9"/>
  <c r="AA183" i="9"/>
  <c r="AB183" i="9"/>
  <c r="AA184" i="9"/>
  <c r="AB184" i="9"/>
  <c r="AA185" i="9"/>
  <c r="AB185" i="9"/>
  <c r="AA186" i="9"/>
  <c r="AB186" i="9"/>
  <c r="AA187" i="9"/>
  <c r="AB187" i="9"/>
  <c r="AA188" i="9"/>
  <c r="AB188" i="9"/>
  <c r="AA189" i="9"/>
  <c r="AB189" i="9"/>
  <c r="AA190" i="9"/>
  <c r="AB190" i="9"/>
  <c r="AA191" i="9"/>
  <c r="AB191" i="9"/>
  <c r="AA192" i="9"/>
  <c r="AB192" i="9"/>
  <c r="AA193" i="9"/>
  <c r="AB193" i="9"/>
  <c r="AA194" i="9"/>
  <c r="AB194" i="9"/>
  <c r="AA195" i="9"/>
  <c r="AB195" i="9"/>
  <c r="AA196" i="9"/>
  <c r="AB196" i="9"/>
  <c r="AA197" i="9"/>
  <c r="AB197" i="9"/>
  <c r="AA198" i="9"/>
  <c r="AB198" i="9"/>
  <c r="AA199" i="9"/>
  <c r="AB199" i="9"/>
  <c r="AA200" i="9"/>
  <c r="AB200" i="9"/>
  <c r="AA201" i="9"/>
  <c r="AB201" i="9"/>
  <c r="AA202" i="9"/>
  <c r="AB202" i="9"/>
  <c r="AA203" i="9"/>
  <c r="AB203" i="9"/>
  <c r="AA204" i="9"/>
  <c r="AB204" i="9"/>
  <c r="AA205" i="9"/>
  <c r="AB205" i="9"/>
  <c r="AA206" i="9"/>
  <c r="AB206" i="9"/>
  <c r="AA207" i="9"/>
  <c r="AB207" i="9"/>
  <c r="AA208" i="9"/>
  <c r="AB208" i="9"/>
  <c r="AA209" i="9"/>
  <c r="AB209" i="9"/>
  <c r="AA210" i="9"/>
  <c r="AB210" i="9"/>
  <c r="AA211" i="9"/>
  <c r="AB211" i="9"/>
  <c r="AA212" i="9"/>
  <c r="AB212" i="9"/>
  <c r="AA213" i="9"/>
  <c r="AB213" i="9"/>
  <c r="AA214" i="9"/>
  <c r="AB214" i="9"/>
  <c r="AA215" i="9"/>
  <c r="AB215" i="9"/>
  <c r="AA216" i="9"/>
  <c r="AB216" i="9"/>
  <c r="AA217" i="9"/>
  <c r="AB217" i="9"/>
  <c r="AA218" i="9"/>
  <c r="AB218" i="9"/>
  <c r="AA219" i="9"/>
  <c r="AB219" i="9"/>
  <c r="AA220" i="9"/>
  <c r="AB220" i="9"/>
  <c r="AA221" i="9"/>
  <c r="AB221" i="9"/>
  <c r="AA222" i="9"/>
  <c r="AB222" i="9"/>
  <c r="AA223" i="9"/>
  <c r="AB223" i="9"/>
  <c r="AA224" i="9"/>
  <c r="AB224" i="9"/>
  <c r="AA225" i="9"/>
  <c r="AB225" i="9"/>
  <c r="AA226" i="9"/>
  <c r="AB226" i="9"/>
  <c r="AA227" i="9"/>
  <c r="AB227" i="9"/>
  <c r="AA228" i="9"/>
  <c r="AB228" i="9"/>
  <c r="AA229" i="9"/>
  <c r="AB229" i="9"/>
  <c r="AA230" i="9"/>
  <c r="AB230" i="9"/>
  <c r="AA231" i="9"/>
  <c r="AB231" i="9"/>
  <c r="AA232" i="9"/>
  <c r="AB232" i="9"/>
  <c r="AA233" i="9"/>
  <c r="AB233" i="9"/>
  <c r="AA234" i="9"/>
  <c r="AB234" i="9"/>
  <c r="AA235" i="9"/>
  <c r="AB235" i="9"/>
  <c r="AA236" i="9"/>
  <c r="AB236" i="9"/>
  <c r="AA237" i="9"/>
  <c r="AB237" i="9"/>
  <c r="AA238" i="9"/>
  <c r="AB238" i="9"/>
  <c r="AA239" i="9"/>
  <c r="AB239" i="9"/>
  <c r="AA240" i="9"/>
  <c r="AB240" i="9"/>
  <c r="AA241" i="9"/>
  <c r="AB241" i="9"/>
  <c r="AA242" i="9"/>
  <c r="AB242" i="9"/>
  <c r="AA243" i="9"/>
  <c r="AB243" i="9"/>
  <c r="AA244" i="9"/>
  <c r="AB244" i="9"/>
  <c r="AA245" i="9"/>
  <c r="AB245" i="9"/>
  <c r="AA246" i="9"/>
  <c r="AB246" i="9"/>
  <c r="AA247" i="9"/>
  <c r="AB247" i="9"/>
  <c r="AA248" i="9"/>
  <c r="AB248" i="9"/>
  <c r="AA249" i="9"/>
  <c r="AB249" i="9"/>
  <c r="AA250" i="9"/>
  <c r="AB250" i="9"/>
  <c r="AA251" i="9"/>
  <c r="AB251" i="9"/>
  <c r="AA252" i="9"/>
  <c r="AB252" i="9"/>
  <c r="AA253" i="9"/>
  <c r="AB253" i="9"/>
  <c r="AA254" i="9"/>
  <c r="AB254" i="9"/>
  <c r="AA255" i="9"/>
  <c r="AB255" i="9"/>
  <c r="AA256" i="9"/>
  <c r="AB256" i="9"/>
  <c r="AA257" i="9"/>
  <c r="AB257" i="9"/>
  <c r="AA258" i="9"/>
  <c r="AB258" i="9"/>
  <c r="AA259" i="9"/>
  <c r="AB259" i="9"/>
  <c r="AA260" i="9"/>
  <c r="AB260" i="9"/>
  <c r="AA261" i="9"/>
  <c r="AB261" i="9"/>
  <c r="AA262" i="9"/>
  <c r="AB262" i="9"/>
  <c r="AA263" i="9"/>
  <c r="AB263" i="9"/>
  <c r="AA264" i="9"/>
  <c r="AB264" i="9"/>
  <c r="AA265" i="9"/>
  <c r="AB265" i="9"/>
  <c r="AA266" i="9"/>
  <c r="AB266" i="9"/>
  <c r="AA267" i="9"/>
  <c r="AB267" i="9"/>
  <c r="AA268" i="9"/>
  <c r="AB268" i="9"/>
  <c r="AA269" i="9"/>
  <c r="AB269" i="9"/>
  <c r="AA270" i="9"/>
  <c r="AB270" i="9"/>
  <c r="AA271" i="9"/>
  <c r="AB271" i="9"/>
  <c r="AA272" i="9"/>
  <c r="AB272" i="9"/>
  <c r="AA273" i="9"/>
  <c r="AB273" i="9"/>
  <c r="AA274" i="9"/>
  <c r="AB274" i="9"/>
  <c r="AA275" i="9"/>
  <c r="AB275" i="9"/>
  <c r="AA276" i="9"/>
  <c r="AB276" i="9"/>
  <c r="AA277" i="9"/>
  <c r="AB277" i="9"/>
  <c r="AA278" i="9"/>
  <c r="AB278" i="9"/>
  <c r="AA279" i="9"/>
  <c r="AB279" i="9"/>
  <c r="AA280" i="9"/>
  <c r="AB280" i="9"/>
  <c r="AA281" i="9"/>
  <c r="AB281" i="9"/>
  <c r="AA282" i="9"/>
  <c r="AB282" i="9"/>
  <c r="AA283" i="9"/>
  <c r="AB283" i="9"/>
  <c r="AA284" i="9"/>
  <c r="AB284" i="9"/>
  <c r="AA285" i="9"/>
  <c r="AB285" i="9"/>
  <c r="AA286" i="9"/>
  <c r="AB286" i="9"/>
  <c r="AA287" i="9"/>
  <c r="AB287" i="9"/>
  <c r="AA288" i="9"/>
  <c r="AB288" i="9"/>
  <c r="AA289" i="9"/>
  <c r="AB289" i="9"/>
  <c r="AA290" i="9"/>
  <c r="AB290" i="9"/>
  <c r="AA291" i="9"/>
  <c r="AB291" i="9"/>
  <c r="AA292" i="9"/>
  <c r="AB292" i="9"/>
  <c r="AA293" i="9"/>
  <c r="AB293" i="9"/>
  <c r="AA294" i="9"/>
  <c r="AB294" i="9"/>
  <c r="AA295" i="9"/>
  <c r="AB295" i="9"/>
  <c r="AA296" i="9"/>
  <c r="AB296" i="9"/>
  <c r="AA297" i="9"/>
  <c r="AB297" i="9"/>
  <c r="AA298" i="9"/>
  <c r="AB298" i="9"/>
  <c r="AA299" i="9"/>
  <c r="AB299" i="9"/>
  <c r="AA300" i="9"/>
  <c r="AB300" i="9"/>
  <c r="AA301" i="9"/>
  <c r="AB301" i="9"/>
  <c r="AA302" i="9"/>
  <c r="AB302" i="9"/>
  <c r="AA303" i="9"/>
  <c r="AB303" i="9"/>
  <c r="AA304" i="9"/>
  <c r="AB304" i="9"/>
  <c r="AA305" i="9"/>
  <c r="AB305" i="9"/>
  <c r="AA306" i="9"/>
  <c r="AB306" i="9"/>
  <c r="AA307" i="9"/>
  <c r="AB307" i="9"/>
  <c r="AA308" i="9"/>
  <c r="AB308" i="9"/>
  <c r="AA309" i="9"/>
  <c r="AB309" i="9"/>
  <c r="AA310" i="9"/>
  <c r="AB310" i="9"/>
  <c r="AA311" i="9"/>
  <c r="AB311" i="9"/>
  <c r="AA312" i="9"/>
  <c r="AB312" i="9"/>
  <c r="AA313" i="9"/>
  <c r="AB313" i="9"/>
  <c r="AA314" i="9"/>
  <c r="AB314" i="9"/>
  <c r="AA315" i="9"/>
  <c r="AB315" i="9"/>
  <c r="AA316" i="9"/>
  <c r="AB316" i="9"/>
  <c r="AC316" i="9"/>
  <c r="AA317" i="9"/>
  <c r="AB317" i="9"/>
  <c r="AA318" i="9"/>
  <c r="AB318" i="9"/>
  <c r="AA319" i="9"/>
  <c r="AB319" i="9"/>
  <c r="AA320" i="9"/>
  <c r="AB320" i="9"/>
  <c r="AA321" i="9"/>
  <c r="AB321" i="9"/>
  <c r="AA322" i="9"/>
  <c r="AB322" i="9"/>
  <c r="AA323" i="9"/>
  <c r="AB323" i="9"/>
  <c r="AA324" i="9"/>
  <c r="AB324" i="9"/>
  <c r="AA325" i="9"/>
  <c r="AB325" i="9"/>
  <c r="AA326" i="9"/>
  <c r="AB326" i="9"/>
  <c r="AA327" i="9"/>
  <c r="AB327" i="9"/>
  <c r="AA328" i="9"/>
  <c r="AB328" i="9"/>
  <c r="AA329" i="9"/>
  <c r="AB329" i="9"/>
  <c r="AA330" i="9"/>
  <c r="AB330" i="9"/>
  <c r="AA331" i="9"/>
  <c r="AB331" i="9"/>
  <c r="AA332" i="9"/>
  <c r="AB332" i="9"/>
  <c r="AA333" i="9"/>
  <c r="AB333" i="9"/>
  <c r="AA334" i="9"/>
  <c r="AB334" i="9"/>
  <c r="AA335" i="9"/>
  <c r="AB335" i="9"/>
  <c r="AA336" i="9"/>
  <c r="AB336" i="9"/>
  <c r="AA337" i="9"/>
  <c r="AB337" i="9"/>
  <c r="AC337" i="9"/>
  <c r="AA338" i="9"/>
  <c r="AB338" i="9"/>
  <c r="AA339" i="9"/>
  <c r="AB339" i="9"/>
  <c r="AA340" i="9"/>
  <c r="AB340" i="9"/>
  <c r="AA341" i="9"/>
  <c r="AB341" i="9"/>
  <c r="AA342" i="9"/>
  <c r="AB342" i="9"/>
  <c r="AA343" i="9"/>
  <c r="AB343" i="9"/>
  <c r="AA344" i="9"/>
  <c r="AB344" i="9"/>
  <c r="AA345" i="9"/>
  <c r="AB345" i="9"/>
  <c r="AA346" i="9"/>
  <c r="AB346" i="9"/>
  <c r="AA347" i="9"/>
  <c r="AB347" i="9"/>
  <c r="AA348" i="9"/>
  <c r="AB348" i="9"/>
  <c r="AA349" i="9"/>
  <c r="AB349" i="9"/>
  <c r="AA350" i="9"/>
  <c r="AB350" i="9"/>
  <c r="AA351" i="9"/>
  <c r="AB351" i="9"/>
  <c r="AA352" i="9"/>
  <c r="AB352" i="9"/>
  <c r="AD352" i="9"/>
  <c r="AA353" i="9"/>
  <c r="AB353" i="9"/>
  <c r="AA354" i="9"/>
  <c r="AB354" i="9"/>
  <c r="AA355" i="9"/>
  <c r="AB355" i="9"/>
  <c r="AA356" i="9"/>
  <c r="AB356" i="9"/>
  <c r="AA357" i="9"/>
  <c r="AB357" i="9"/>
  <c r="AA358" i="9"/>
  <c r="AB358" i="9"/>
  <c r="AD358" i="9"/>
  <c r="AA359" i="9"/>
  <c r="AB359" i="9"/>
  <c r="AA360" i="9"/>
  <c r="AB360" i="9"/>
  <c r="AA361" i="9"/>
  <c r="AB361" i="9"/>
  <c r="AA362" i="9"/>
  <c r="AB362" i="9"/>
  <c r="AC362" i="9"/>
  <c r="AA363" i="9"/>
  <c r="AB363" i="9"/>
  <c r="AA364" i="9"/>
  <c r="AB364" i="9"/>
  <c r="AA365" i="9"/>
  <c r="AB365" i="9"/>
  <c r="AA366" i="9"/>
  <c r="AB366" i="9"/>
  <c r="AA367" i="9"/>
  <c r="AB367" i="9"/>
  <c r="AA368" i="9"/>
  <c r="AB368" i="9"/>
  <c r="AA369" i="9"/>
  <c r="AB369" i="9"/>
  <c r="AA370" i="9"/>
  <c r="AB370" i="9"/>
  <c r="AB11" i="9"/>
  <c r="AA11" i="9"/>
  <c r="AC38" i="9"/>
  <c r="AD34" i="9"/>
  <c r="AE16" i="9"/>
  <c r="AJ233" i="9" l="1"/>
  <c r="AH231" i="9"/>
  <c r="AF337" i="9"/>
  <c r="AH219" i="9"/>
  <c r="AH188" i="9"/>
  <c r="AG351" i="9"/>
  <c r="AH322" i="9"/>
  <c r="AI293" i="9"/>
  <c r="AJ264" i="9"/>
  <c r="AF236" i="9"/>
  <c r="AG157" i="9"/>
  <c r="AG346" i="9"/>
  <c r="AH317" i="9"/>
  <c r="AI288" i="9"/>
  <c r="AJ259" i="9"/>
  <c r="AF231" i="9"/>
  <c r="AI367" i="9"/>
  <c r="AJ338" i="9"/>
  <c r="AF310" i="9"/>
  <c r="AG281" i="9"/>
  <c r="AH252" i="9"/>
  <c r="AI223" i="9"/>
  <c r="AF24" i="9"/>
  <c r="AJ52" i="9"/>
  <c r="AI81" i="9"/>
  <c r="AH110" i="9"/>
  <c r="AG139" i="9"/>
  <c r="AF168" i="9"/>
  <c r="AJ196" i="9"/>
  <c r="AG36" i="9"/>
  <c r="AF65" i="9"/>
  <c r="AJ93" i="9"/>
  <c r="AI122" i="9"/>
  <c r="AH151" i="9"/>
  <c r="AG180" i="9"/>
  <c r="AF209" i="9"/>
  <c r="AF34" i="9"/>
  <c r="AJ62" i="9"/>
  <c r="AI91" i="9"/>
  <c r="AH120" i="9"/>
  <c r="AG149" i="9"/>
  <c r="AF178" i="9"/>
  <c r="AJ206" i="9"/>
  <c r="AJ31" i="9"/>
  <c r="AI60" i="9"/>
  <c r="AH89" i="9"/>
  <c r="AG118" i="9"/>
  <c r="AF147" i="9"/>
  <c r="AJ175" i="9"/>
  <c r="AI204" i="9"/>
  <c r="AI29" i="9"/>
  <c r="AH58" i="9"/>
  <c r="AG87" i="9"/>
  <c r="AF116" i="9"/>
  <c r="AJ144" i="9"/>
  <c r="AI173" i="9"/>
  <c r="AH202" i="9"/>
  <c r="AJ29" i="9"/>
  <c r="AI58" i="9"/>
  <c r="AH87" i="9"/>
  <c r="AG116" i="9"/>
  <c r="AF145" i="9"/>
  <c r="AJ173" i="9"/>
  <c r="AI202" i="9"/>
  <c r="AI27" i="9"/>
  <c r="AH56" i="9"/>
  <c r="AG85" i="9"/>
  <c r="AF114" i="9"/>
  <c r="AF23" i="9"/>
  <c r="AJ51" i="9"/>
  <c r="AI80" i="9"/>
  <c r="AH109" i="9"/>
  <c r="AG138" i="9"/>
  <c r="AF167" i="9"/>
  <c r="AJ195" i="9"/>
  <c r="AJ20" i="9"/>
  <c r="AI49" i="9"/>
  <c r="AH78" i="9"/>
  <c r="AG107" i="9"/>
  <c r="AF136" i="9"/>
  <c r="AJ164" i="9"/>
  <c r="AI193" i="9"/>
  <c r="AJ25" i="9"/>
  <c r="AI54" i="9"/>
  <c r="AH83" i="9"/>
  <c r="AG112" i="9"/>
  <c r="AF229" i="9"/>
  <c r="AG308" i="9"/>
  <c r="AF217" i="9"/>
  <c r="AI298" i="9"/>
  <c r="AJ348" i="9"/>
  <c r="AF320" i="9"/>
  <c r="AG291" i="9"/>
  <c r="AH262" i="9"/>
  <c r="AI233" i="9"/>
  <c r="AJ360" i="9"/>
  <c r="AJ343" i="9"/>
  <c r="AF315" i="9"/>
  <c r="AG286" i="9"/>
  <c r="AH257" i="9"/>
  <c r="AI228" i="9"/>
  <c r="AG365" i="9"/>
  <c r="AH336" i="9"/>
  <c r="AI307" i="9"/>
  <c r="AJ278" i="9"/>
  <c r="AF250" i="9"/>
  <c r="AG221" i="9"/>
  <c r="AI226" i="9"/>
  <c r="AH279" i="9"/>
  <c r="AI213" i="9"/>
  <c r="AG368" i="9"/>
  <c r="AH346" i="9"/>
  <c r="AI317" i="9"/>
  <c r="AJ288" i="9"/>
  <c r="AF260" i="9"/>
  <c r="AG231" i="9"/>
  <c r="AG370" i="9"/>
  <c r="AH341" i="9"/>
  <c r="AI312" i="9"/>
  <c r="AJ283" i="9"/>
  <c r="AF255" i="9"/>
  <c r="AG226" i="9"/>
  <c r="AJ362" i="9"/>
  <c r="AF334" i="9"/>
  <c r="AG305" i="9"/>
  <c r="AH276" i="9"/>
  <c r="AI247" i="9"/>
  <c r="AJ218" i="9"/>
  <c r="AH255" i="9"/>
  <c r="AI250" i="9"/>
  <c r="AF206" i="9"/>
  <c r="AH351" i="9"/>
  <c r="AF344" i="9"/>
  <c r="AG315" i="9"/>
  <c r="AH286" i="9"/>
  <c r="AI257" i="9"/>
  <c r="AJ228" i="9"/>
  <c r="AJ367" i="9"/>
  <c r="AF339" i="9"/>
  <c r="AG310" i="9"/>
  <c r="AH281" i="9"/>
  <c r="AI252" i="9"/>
  <c r="AJ223" i="9"/>
  <c r="AH360" i="9"/>
  <c r="AI331" i="9"/>
  <c r="AJ302" i="9"/>
  <c r="AF274" i="9"/>
  <c r="AG245" i="9"/>
  <c r="AH216" i="9"/>
  <c r="AH363" i="9"/>
  <c r="AJ221" i="9"/>
  <c r="AJ269" i="9"/>
  <c r="AI322" i="9"/>
  <c r="AI341" i="9"/>
  <c r="AJ312" i="9"/>
  <c r="AF284" i="9"/>
  <c r="AG255" i="9"/>
  <c r="AH226" i="9"/>
  <c r="AH365" i="9"/>
  <c r="AI336" i="9"/>
  <c r="AJ307" i="9"/>
  <c r="AF279" i="9"/>
  <c r="AG250" i="9"/>
  <c r="AH221" i="9"/>
  <c r="AF358" i="9"/>
  <c r="AG329" i="9"/>
  <c r="AH300" i="9"/>
  <c r="AI271" i="9"/>
  <c r="AJ242" i="9"/>
  <c r="AH212" i="9"/>
  <c r="AI33" i="9"/>
  <c r="AH62" i="9"/>
  <c r="AG91" i="9"/>
  <c r="AF120" i="9"/>
  <c r="AJ148" i="9"/>
  <c r="AI177" i="9"/>
  <c r="AF17" i="9"/>
  <c r="AJ45" i="9"/>
  <c r="AI74" i="9"/>
  <c r="AH103" i="9"/>
  <c r="AG132" i="9"/>
  <c r="AF161" i="9"/>
  <c r="AJ189" i="9"/>
  <c r="AJ14" i="9"/>
  <c r="AI43" i="9"/>
  <c r="AH72" i="9"/>
  <c r="AG101" i="9"/>
  <c r="AF130" i="9"/>
  <c r="AJ158" i="9"/>
  <c r="AI187" i="9"/>
  <c r="AI12" i="9"/>
  <c r="AH41" i="9"/>
  <c r="AG70" i="9"/>
  <c r="AF99" i="9"/>
  <c r="AJ127" i="9"/>
  <c r="AI156" i="9"/>
  <c r="AH185" i="9"/>
  <c r="AG214" i="9"/>
  <c r="AG39" i="9"/>
  <c r="AF68" i="9"/>
  <c r="AJ96" i="9"/>
  <c r="AI125" i="9"/>
  <c r="AH154" i="9"/>
  <c r="AG183" i="9"/>
  <c r="AF212" i="9"/>
  <c r="AH39" i="9"/>
  <c r="AG68" i="9"/>
  <c r="AH339" i="9"/>
  <c r="AG284" i="9"/>
  <c r="AF241" i="9"/>
  <c r="AJ293" i="9"/>
  <c r="AG339" i="9"/>
  <c r="AH310" i="9"/>
  <c r="AI281" i="9"/>
  <c r="AJ252" i="9"/>
  <c r="AF224" i="9"/>
  <c r="AF363" i="9"/>
  <c r="AG334" i="9"/>
  <c r="AH305" i="9"/>
  <c r="AI276" i="9"/>
  <c r="AJ247" i="9"/>
  <c r="AF219" i="9"/>
  <c r="AI355" i="9"/>
  <c r="AJ326" i="9"/>
  <c r="AF298" i="9"/>
  <c r="AG269" i="9"/>
  <c r="AH240" i="9"/>
  <c r="AI203" i="9"/>
  <c r="AF36" i="9"/>
  <c r="AJ64" i="9"/>
  <c r="AI93" i="9"/>
  <c r="AH122" i="9"/>
  <c r="AG151" i="9"/>
  <c r="AF180" i="9"/>
  <c r="AH19" i="9"/>
  <c r="AG48" i="9"/>
  <c r="AF77" i="9"/>
  <c r="AJ105" i="9"/>
  <c r="AI134" i="9"/>
  <c r="AH163" i="9"/>
  <c r="AG192" i="9"/>
  <c r="AG17" i="9"/>
  <c r="AF46" i="9"/>
  <c r="AJ74" i="9"/>
  <c r="AI103" i="9"/>
  <c r="AH132" i="9"/>
  <c r="AG161" i="9"/>
  <c r="AF190" i="9"/>
  <c r="AF15" i="9"/>
  <c r="AJ43" i="9"/>
  <c r="AI72" i="9"/>
  <c r="AH101" i="9"/>
  <c r="AG130" i="9"/>
  <c r="AF159" i="9"/>
  <c r="AJ187" i="9"/>
  <c r="AJ12" i="9"/>
  <c r="AI41" i="9"/>
  <c r="AH70" i="9"/>
  <c r="AG99" i="9"/>
  <c r="AF128" i="9"/>
  <c r="AJ156" i="9"/>
  <c r="AI185" i="9"/>
  <c r="AF13" i="9"/>
  <c r="AJ41" i="9"/>
  <c r="AI70" i="9"/>
  <c r="AH99" i="9"/>
  <c r="AG128" i="9"/>
  <c r="AF157" i="9"/>
  <c r="AJ185" i="9"/>
  <c r="AI214" i="9"/>
  <c r="AI39" i="9"/>
  <c r="AH68" i="9"/>
  <c r="AG97" i="9"/>
  <c r="AF126" i="9"/>
  <c r="AF35" i="9"/>
  <c r="AJ63" i="9"/>
  <c r="AI92" i="9"/>
  <c r="AH121" i="9"/>
  <c r="AG150" i="9"/>
  <c r="AF179" i="9"/>
  <c r="AJ207" i="9"/>
  <c r="AJ32" i="9"/>
  <c r="AI61" i="9"/>
  <c r="AH90" i="9"/>
  <c r="AG119" i="9"/>
  <c r="AF148" i="9"/>
  <c r="AJ176" i="9"/>
  <c r="AI205" i="9"/>
  <c r="AJ37" i="9"/>
  <c r="AI66" i="9"/>
  <c r="AI310" i="9"/>
  <c r="AF11" i="9"/>
  <c r="AG369" i="9"/>
  <c r="AF265" i="9"/>
  <c r="AJ336" i="9"/>
  <c r="AF308" i="9"/>
  <c r="AG279" i="9"/>
  <c r="AH250" i="9"/>
  <c r="AI221" i="9"/>
  <c r="AI360" i="9"/>
  <c r="AJ331" i="9"/>
  <c r="AF303" i="9"/>
  <c r="AG274" i="9"/>
  <c r="AH245" i="9"/>
  <c r="AI216" i="9"/>
  <c r="AG353" i="9"/>
  <c r="AH324" i="9"/>
  <c r="AI295" i="9"/>
  <c r="AJ266" i="9"/>
  <c r="AF238" i="9"/>
  <c r="AG181" i="9"/>
  <c r="AH38" i="9"/>
  <c r="AG67" i="9"/>
  <c r="AF96" i="9"/>
  <c r="AJ124" i="9"/>
  <c r="AI153" i="9"/>
  <c r="AH182" i="9"/>
  <c r="AJ21" i="9"/>
  <c r="AI50" i="9"/>
  <c r="AH79" i="9"/>
  <c r="AG108" i="9"/>
  <c r="AF137" i="9"/>
  <c r="AJ165" i="9"/>
  <c r="AI194" i="9"/>
  <c r="AI19" i="9"/>
  <c r="AH48" i="9"/>
  <c r="AG77" i="9"/>
  <c r="AF106" i="9"/>
  <c r="AJ134" i="9"/>
  <c r="AI163" i="9"/>
  <c r="AH192" i="9"/>
  <c r="AH17" i="9"/>
  <c r="AG46" i="9"/>
  <c r="AF75" i="9"/>
  <c r="AJ103" i="9"/>
  <c r="AI132" i="9"/>
  <c r="AH161" i="9"/>
  <c r="AG190" i="9"/>
  <c r="AG15" i="9"/>
  <c r="AF44" i="9"/>
  <c r="AJ72" i="9"/>
  <c r="AI101" i="9"/>
  <c r="AH130" i="9"/>
  <c r="AG159" i="9"/>
  <c r="AF188" i="9"/>
  <c r="AH15" i="9"/>
  <c r="AG44" i="9"/>
  <c r="AF73" i="9"/>
  <c r="AJ101" i="9"/>
  <c r="AI130" i="9"/>
  <c r="AH159" i="9"/>
  <c r="AG188" i="9"/>
  <c r="AJ281" i="9"/>
  <c r="AH362" i="9"/>
  <c r="AJ353" i="9"/>
  <c r="AG236" i="9"/>
  <c r="AH334" i="9"/>
  <c r="AI305" i="9"/>
  <c r="AJ276" i="9"/>
  <c r="AF248" i="9"/>
  <c r="AG219" i="9"/>
  <c r="AG358" i="9"/>
  <c r="AH329" i="9"/>
  <c r="AI300" i="9"/>
  <c r="AJ271" i="9"/>
  <c r="AF243" i="9"/>
  <c r="AJ212" i="9"/>
  <c r="AJ350" i="9"/>
  <c r="AF322" i="9"/>
  <c r="AG293" i="9"/>
  <c r="AH264" i="9"/>
  <c r="AI235" i="9"/>
  <c r="AF12" i="9"/>
  <c r="AJ40" i="9"/>
  <c r="AI69" i="9"/>
  <c r="AH98" i="9"/>
  <c r="AG127" i="9"/>
  <c r="AF156" i="9"/>
  <c r="AJ184" i="9"/>
  <c r="AG24" i="9"/>
  <c r="AF53" i="9"/>
  <c r="AJ81" i="9"/>
  <c r="AI110" i="9"/>
  <c r="AH139" i="9"/>
  <c r="AG168" i="9"/>
  <c r="AF197" i="9"/>
  <c r="AF22" i="9"/>
  <c r="AJ50" i="9"/>
  <c r="AI79" i="9"/>
  <c r="AH108" i="9"/>
  <c r="AG137" i="9"/>
  <c r="AF166" i="9"/>
  <c r="AJ194" i="9"/>
  <c r="AJ19" i="9"/>
  <c r="AI48" i="9"/>
  <c r="AH77" i="9"/>
  <c r="AG106" i="9"/>
  <c r="AF135" i="9"/>
  <c r="AJ163" i="9"/>
  <c r="AI192" i="9"/>
  <c r="AI17" i="9"/>
  <c r="AH46" i="9"/>
  <c r="AG75" i="9"/>
  <c r="AF104" i="9"/>
  <c r="AJ132" i="9"/>
  <c r="AI161" i="9"/>
  <c r="AH190" i="9"/>
  <c r="AJ17" i="9"/>
  <c r="AI46" i="9"/>
  <c r="AH75" i="9"/>
  <c r="AG104" i="9"/>
  <c r="AF133" i="9"/>
  <c r="AJ161" i="9"/>
  <c r="AI190" i="9"/>
  <c r="AI15" i="9"/>
  <c r="AH44" i="9"/>
  <c r="AG73" i="9"/>
  <c r="AF102" i="9"/>
  <c r="AJ130" i="9"/>
  <c r="AJ39" i="9"/>
  <c r="AI68" i="9"/>
  <c r="AH97" i="9"/>
  <c r="AG126" i="9"/>
  <c r="AF155" i="9"/>
  <c r="AJ183" i="9"/>
  <c r="AI212" i="9"/>
  <c r="AI37" i="9"/>
  <c r="AH66" i="9"/>
  <c r="AG95" i="9"/>
  <c r="AF124" i="9"/>
  <c r="AJ152" i="9"/>
  <c r="AI181" i="9"/>
  <c r="AJ13" i="9"/>
  <c r="AI42" i="9"/>
  <c r="AH71" i="9"/>
  <c r="AG100" i="9"/>
  <c r="AF129" i="9"/>
  <c r="AF253" i="9"/>
  <c r="AI334" i="9"/>
  <c r="AF325" i="9"/>
  <c r="AI159" i="9"/>
  <c r="AF332" i="9"/>
  <c r="AG303" i="9"/>
  <c r="AH274" i="9"/>
  <c r="AI245" i="9"/>
  <c r="AJ216" i="9"/>
  <c r="AJ355" i="9"/>
  <c r="AF327" i="9"/>
  <c r="AG298" i="9"/>
  <c r="AH269" i="9"/>
  <c r="AI240" i="9"/>
  <c r="AF204" i="9"/>
  <c r="AH348" i="9"/>
  <c r="AI319" i="9"/>
  <c r="AJ290" i="9"/>
  <c r="AF262" i="9"/>
  <c r="AG233" i="9"/>
  <c r="AH14" i="9"/>
  <c r="AH152" i="9"/>
  <c r="AJ305" i="9"/>
  <c r="AG296" i="9"/>
  <c r="AH358" i="9"/>
  <c r="AI329" i="9"/>
  <c r="AJ300" i="9"/>
  <c r="AF272" i="9"/>
  <c r="AG243" i="9"/>
  <c r="AG213" i="9"/>
  <c r="AH353" i="9"/>
  <c r="AI324" i="9"/>
  <c r="AJ295" i="9"/>
  <c r="AF267" i="9"/>
  <c r="AG238" i="9"/>
  <c r="AI183" i="9"/>
  <c r="AF346" i="9"/>
  <c r="AG317" i="9"/>
  <c r="AH288" i="9"/>
  <c r="AI259" i="9"/>
  <c r="AJ230" i="9"/>
  <c r="AJ16" i="9"/>
  <c r="AI45" i="9"/>
  <c r="AH74" i="9"/>
  <c r="AG103" i="9"/>
  <c r="AF132" i="9"/>
  <c r="AJ160" i="9"/>
  <c r="AI189" i="9"/>
  <c r="AF29" i="9"/>
  <c r="AJ57" i="9"/>
  <c r="AI86" i="9"/>
  <c r="AH115" i="9"/>
  <c r="AG144" i="9"/>
  <c r="AF173" i="9"/>
  <c r="AJ201" i="9"/>
  <c r="AJ26" i="9"/>
  <c r="AI55" i="9"/>
  <c r="AH84" i="9"/>
  <c r="AG113" i="9"/>
  <c r="AF142" i="9"/>
  <c r="AJ170" i="9"/>
  <c r="AI199" i="9"/>
  <c r="AI24" i="9"/>
  <c r="AH53" i="9"/>
  <c r="AG82" i="9"/>
  <c r="AF111" i="9"/>
  <c r="AJ139" i="9"/>
  <c r="AI168" i="9"/>
  <c r="AH197" i="9"/>
  <c r="AH22" i="9"/>
  <c r="AG51" i="9"/>
  <c r="AF80" i="9"/>
  <c r="AJ108" i="9"/>
  <c r="AI137" i="9"/>
  <c r="AH166" i="9"/>
  <c r="AG195" i="9"/>
  <c r="AI22" i="9"/>
  <c r="AH51" i="9"/>
  <c r="AG80" i="9"/>
  <c r="AF109" i="9"/>
  <c r="AJ137" i="9"/>
  <c r="AI166" i="9"/>
  <c r="AH195" i="9"/>
  <c r="AH20" i="9"/>
  <c r="AG49" i="9"/>
  <c r="AF78" i="9"/>
  <c r="AJ106" i="9"/>
  <c r="AJ15" i="9"/>
  <c r="AI44" i="9"/>
  <c r="AH73" i="9"/>
  <c r="AG102" i="9"/>
  <c r="AF131" i="9"/>
  <c r="AJ159" i="9"/>
  <c r="AI188" i="9"/>
  <c r="AI13" i="9"/>
  <c r="AH42" i="9"/>
  <c r="AG71" i="9"/>
  <c r="AF100" i="9"/>
  <c r="AJ128" i="9"/>
  <c r="AI157" i="9"/>
  <c r="AH186" i="9"/>
  <c r="AI18" i="9"/>
  <c r="AH47" i="9"/>
  <c r="AG76" i="9"/>
  <c r="AJ11" i="9"/>
  <c r="AG356" i="9"/>
  <c r="AI369" i="9"/>
  <c r="AG272" i="9"/>
  <c r="AJ329" i="9"/>
  <c r="AI358" i="9"/>
  <c r="AJ245" i="9"/>
  <c r="AF361" i="9"/>
  <c r="AH327" i="9"/>
  <c r="AH243" i="9"/>
  <c r="AF301" i="9"/>
  <c r="AH370" i="9"/>
  <c r="AG332" i="9"/>
  <c r="AI274" i="9"/>
  <c r="AH303" i="9"/>
  <c r="AJ341" i="9"/>
  <c r="AI365" i="9"/>
  <c r="AH315" i="9"/>
  <c r="AG260" i="9"/>
  <c r="AG367" i="9"/>
  <c r="AJ257" i="9"/>
  <c r="AG344" i="9"/>
  <c r="AF289" i="9"/>
  <c r="AI370" i="9"/>
  <c r="AF313" i="9"/>
  <c r="AI286" i="9"/>
  <c r="AJ365" i="9"/>
  <c r="AJ317" i="9"/>
  <c r="AI346" i="9"/>
  <c r="AF368" i="9"/>
  <c r="AI262" i="9"/>
  <c r="AH291" i="9"/>
  <c r="AG320" i="9"/>
  <c r="AF349" i="9"/>
  <c r="AG224" i="9"/>
  <c r="AD351" i="9"/>
  <c r="AD336" i="9"/>
  <c r="AD370" i="9"/>
  <c r="AD365" i="9"/>
  <c r="AC351" i="9"/>
  <c r="AC361" i="9"/>
  <c r="AD332" i="9"/>
  <c r="AC11" i="9"/>
  <c r="AC340" i="9"/>
  <c r="AC369" i="9"/>
  <c r="AD359" i="9"/>
  <c r="AC344" i="9"/>
  <c r="AC223" i="9"/>
  <c r="AC341" i="9"/>
  <c r="AC359" i="9"/>
  <c r="AC264" i="9"/>
  <c r="AC333" i="9"/>
  <c r="AD328" i="9"/>
  <c r="AC311" i="9"/>
  <c r="AC79" i="9"/>
  <c r="AC365" i="9"/>
  <c r="AC358" i="9"/>
  <c r="AC354" i="9"/>
  <c r="AE347" i="9"/>
  <c r="AC328" i="9"/>
  <c r="AC324" i="9"/>
  <c r="AC320" i="9"/>
  <c r="AE306" i="9"/>
  <c r="AD347" i="9"/>
  <c r="AD343" i="9"/>
  <c r="AD339" i="9"/>
  <c r="AC331" i="9"/>
  <c r="AC310" i="9"/>
  <c r="AC306" i="9"/>
  <c r="AC217" i="9"/>
  <c r="AC176" i="9"/>
  <c r="AC73" i="9"/>
  <c r="AC32" i="9"/>
  <c r="AD368" i="9"/>
  <c r="AD350" i="9"/>
  <c r="AC347" i="9"/>
  <c r="AC284" i="9"/>
  <c r="AC273" i="9"/>
  <c r="AC129" i="9"/>
  <c r="AC368" i="9"/>
  <c r="AE364" i="9"/>
  <c r="AD353" i="9"/>
  <c r="AC350" i="9"/>
  <c r="AD334" i="9"/>
  <c r="AC327" i="9"/>
  <c r="AE323" i="9"/>
  <c r="AC300" i="9"/>
  <c r="AC170" i="9"/>
  <c r="AC26" i="9"/>
  <c r="AD361" i="9"/>
  <c r="AC364" i="9"/>
  <c r="AC342" i="9"/>
  <c r="AC334" i="9"/>
  <c r="AE330" i="9"/>
  <c r="AD323" i="9"/>
  <c r="AC267" i="9"/>
  <c r="AC226" i="9"/>
  <c r="AC123" i="9"/>
  <c r="AC82" i="9"/>
  <c r="AE11" i="9"/>
  <c r="AC330" i="9"/>
  <c r="AC323" i="9"/>
  <c r="AC313" i="9"/>
  <c r="AD356" i="9"/>
  <c r="AC356" i="9"/>
  <c r="AE352" i="9"/>
  <c r="AD337" i="9"/>
  <c r="AD326" i="9"/>
  <c r="AC308" i="9"/>
  <c r="AE299" i="9"/>
  <c r="AC220" i="9"/>
  <c r="AC179" i="9"/>
  <c r="AC76" i="9"/>
  <c r="AC35" i="9"/>
  <c r="AD345" i="9"/>
  <c r="AC317" i="9"/>
  <c r="AC287" i="9"/>
  <c r="AD329" i="9"/>
  <c r="AC303" i="9"/>
  <c r="AC173" i="9"/>
  <c r="AC29" i="9"/>
  <c r="AE366" i="9"/>
  <c r="AD348" i="9"/>
  <c r="AD362" i="9"/>
  <c r="AC355" i="9"/>
  <c r="AC348" i="9"/>
  <c r="AC325" i="9"/>
  <c r="AC307" i="9"/>
  <c r="AC281" i="9"/>
  <c r="AC270" i="9"/>
  <c r="AC126" i="9"/>
  <c r="AE342" i="9"/>
  <c r="AE311" i="9"/>
  <c r="AE155" i="9"/>
  <c r="AE359" i="9"/>
  <c r="AE143" i="9"/>
  <c r="AE275" i="9"/>
  <c r="AE131" i="9"/>
  <c r="AE215" i="9"/>
  <c r="AE71" i="9"/>
  <c r="AE203" i="9"/>
  <c r="AE59" i="9"/>
  <c r="AE318" i="9"/>
  <c r="AE191" i="9"/>
  <c r="AE47" i="9"/>
  <c r="AE179" i="9"/>
  <c r="AE35" i="9"/>
  <c r="AE354" i="9"/>
  <c r="AE340" i="9"/>
  <c r="AE263" i="9"/>
  <c r="AE119" i="9"/>
  <c r="AE251" i="9"/>
  <c r="AE107" i="9"/>
  <c r="AE239" i="9"/>
  <c r="AE95" i="9"/>
  <c r="AE328" i="9"/>
  <c r="AE287" i="9"/>
  <c r="AE227" i="9"/>
  <c r="AE83" i="9"/>
  <c r="AE335" i="9"/>
  <c r="AE316" i="9"/>
  <c r="AE167" i="9"/>
  <c r="AE23" i="9"/>
  <c r="AD340" i="9"/>
  <c r="AD324" i="9"/>
  <c r="AD321" i="9"/>
  <c r="AD308" i="9"/>
  <c r="AD265" i="9"/>
  <c r="AD250" i="9"/>
  <c r="AD246" i="9"/>
  <c r="AD242" i="9"/>
  <c r="AD223" i="9"/>
  <c r="AD216" i="9"/>
  <c r="AD189" i="9"/>
  <c r="AD185" i="9"/>
  <c r="AD181" i="9"/>
  <c r="AD174" i="9"/>
  <c r="AD167" i="9"/>
  <c r="AD163" i="9"/>
  <c r="AD159" i="9"/>
  <c r="AD121" i="9"/>
  <c r="AD106" i="9"/>
  <c r="AD102" i="9"/>
  <c r="AD98" i="9"/>
  <c r="AD79" i="9"/>
  <c r="AD72" i="9"/>
  <c r="AD45" i="9"/>
  <c r="AD41" i="9"/>
  <c r="AD37" i="9"/>
  <c r="AD30" i="9"/>
  <c r="AD23" i="9"/>
  <c r="AD19" i="9"/>
  <c r="AD15" i="9"/>
  <c r="AD11" i="9"/>
  <c r="AD355" i="9"/>
  <c r="AD349" i="9"/>
  <c r="AD346" i="9"/>
  <c r="AD333" i="9"/>
  <c r="AD330" i="9"/>
  <c r="AD327" i="9"/>
  <c r="AD311" i="9"/>
  <c r="AD305" i="9"/>
  <c r="AD298" i="9"/>
  <c r="AD294" i="9"/>
  <c r="AD290" i="9"/>
  <c r="AD283" i="9"/>
  <c r="AD272" i="9"/>
  <c r="AD238" i="9"/>
  <c r="AD234" i="9"/>
  <c r="AD230" i="9"/>
  <c r="AD212" i="9"/>
  <c r="AD208" i="9"/>
  <c r="AD204" i="9"/>
  <c r="AD170" i="9"/>
  <c r="AD155" i="9"/>
  <c r="AD151" i="9"/>
  <c r="AD147" i="9"/>
  <c r="AD128" i="9"/>
  <c r="AD94" i="9"/>
  <c r="AD90" i="9"/>
  <c r="AD86" i="9"/>
  <c r="AD68" i="9"/>
  <c r="AD64" i="9"/>
  <c r="AD60" i="9"/>
  <c r="AD26" i="9"/>
  <c r="AD317" i="9"/>
  <c r="AD314" i="9"/>
  <c r="AD301" i="9"/>
  <c r="AD279" i="9"/>
  <c r="AD268" i="9"/>
  <c r="AD261" i="9"/>
  <c r="AD257" i="9"/>
  <c r="AD253" i="9"/>
  <c r="AD226" i="9"/>
  <c r="AD219" i="9"/>
  <c r="AD200" i="9"/>
  <c r="AD196" i="9"/>
  <c r="AD192" i="9"/>
  <c r="AD177" i="9"/>
  <c r="AD143" i="9"/>
  <c r="AD139" i="9"/>
  <c r="AD135" i="9"/>
  <c r="AD124" i="9"/>
  <c r="AD117" i="9"/>
  <c r="AD113" i="9"/>
  <c r="AD109" i="9"/>
  <c r="AD82" i="9"/>
  <c r="AD75" i="9"/>
  <c r="AD56" i="9"/>
  <c r="AD52" i="9"/>
  <c r="AD48" i="9"/>
  <c r="AD33" i="9"/>
  <c r="AD367" i="9"/>
  <c r="AD364" i="9"/>
  <c r="AD342" i="9"/>
  <c r="AD320" i="9"/>
  <c r="AD286" i="9"/>
  <c r="AD275" i="9"/>
  <c r="AD264" i="9"/>
  <c r="AD249" i="9"/>
  <c r="AD245" i="9"/>
  <c r="AD241" i="9"/>
  <c r="AD188" i="9"/>
  <c r="AD184" i="9"/>
  <c r="AD180" i="9"/>
  <c r="AD173" i="9"/>
  <c r="AD166" i="9"/>
  <c r="AD162" i="9"/>
  <c r="AD158" i="9"/>
  <c r="AD131" i="9"/>
  <c r="AD120" i="9"/>
  <c r="AD105" i="9"/>
  <c r="AD101" i="9"/>
  <c r="AD97" i="9"/>
  <c r="AD44" i="9"/>
  <c r="AD40" i="9"/>
  <c r="AD36" i="9"/>
  <c r="AD29" i="9"/>
  <c r="AD22" i="9"/>
  <c r="AD18" i="9"/>
  <c r="AD14" i="9"/>
  <c r="AD307" i="9"/>
  <c r="AD304" i="9"/>
  <c r="AD297" i="9"/>
  <c r="AD293" i="9"/>
  <c r="AD289" i="9"/>
  <c r="AD282" i="9"/>
  <c r="AD271" i="9"/>
  <c r="AD237" i="9"/>
  <c r="AD233" i="9"/>
  <c r="AD229" i="9"/>
  <c r="AD222" i="9"/>
  <c r="AD215" i="9"/>
  <c r="AD211" i="9"/>
  <c r="AD207" i="9"/>
  <c r="AD154" i="9"/>
  <c r="AD150" i="9"/>
  <c r="AD146" i="9"/>
  <c r="AD127" i="9"/>
  <c r="AD93" i="9"/>
  <c r="AD89" i="9"/>
  <c r="AD85" i="9"/>
  <c r="AD78" i="9"/>
  <c r="AD71" i="9"/>
  <c r="AD67" i="9"/>
  <c r="AD63" i="9"/>
  <c r="AD313" i="9"/>
  <c r="AD310" i="9"/>
  <c r="AD300" i="9"/>
  <c r="AD278" i="9"/>
  <c r="AD267" i="9"/>
  <c r="AD260" i="9"/>
  <c r="AD256" i="9"/>
  <c r="AD252" i="9"/>
  <c r="AD218" i="9"/>
  <c r="AD203" i="9"/>
  <c r="AD199" i="9"/>
  <c r="AD195" i="9"/>
  <c r="AD176" i="9"/>
  <c r="AD169" i="9"/>
  <c r="AD142" i="9"/>
  <c r="AD138" i="9"/>
  <c r="AD134" i="9"/>
  <c r="AD123" i="9"/>
  <c r="AD116" i="9"/>
  <c r="AD112" i="9"/>
  <c r="AD108" i="9"/>
  <c r="AD74" i="9"/>
  <c r="AD59" i="9"/>
  <c r="AD55" i="9"/>
  <c r="AD51" i="9"/>
  <c r="AD32" i="9"/>
  <c r="AD25" i="9"/>
  <c r="AD360" i="9"/>
  <c r="AD357" i="9"/>
  <c r="AD354" i="9"/>
  <c r="AD335" i="9"/>
  <c r="AD285" i="9"/>
  <c r="AD274" i="9"/>
  <c r="AD248" i="9"/>
  <c r="AD244" i="9"/>
  <c r="AD240" i="9"/>
  <c r="AD225" i="9"/>
  <c r="AD191" i="9"/>
  <c r="AD187" i="9"/>
  <c r="AD183" i="9"/>
  <c r="AD165" i="9"/>
  <c r="AD161" i="9"/>
  <c r="AD157" i="9"/>
  <c r="AD130" i="9"/>
  <c r="AD104" i="9"/>
  <c r="AD100" i="9"/>
  <c r="AD96" i="9"/>
  <c r="AD81" i="9"/>
  <c r="AD47" i="9"/>
  <c r="AD43" i="9"/>
  <c r="AD39" i="9"/>
  <c r="AD21" i="9"/>
  <c r="AD17" i="9"/>
  <c r="AD13" i="9"/>
  <c r="AD369" i="9"/>
  <c r="AD366" i="9"/>
  <c r="AD363" i="9"/>
  <c r="AD344" i="9"/>
  <c r="AD341" i="9"/>
  <c r="AD338" i="9"/>
  <c r="AD319" i="9"/>
  <c r="AD316" i="9"/>
  <c r="AD303" i="9"/>
  <c r="AD296" i="9"/>
  <c r="AD292" i="9"/>
  <c r="AD288" i="9"/>
  <c r="AD281" i="9"/>
  <c r="AD270" i="9"/>
  <c r="AD236" i="9"/>
  <c r="AD232" i="9"/>
  <c r="AD228" i="9"/>
  <c r="AD221" i="9"/>
  <c r="AD214" i="9"/>
  <c r="AD210" i="9"/>
  <c r="AD206" i="9"/>
  <c r="AD179" i="9"/>
  <c r="AD172" i="9"/>
  <c r="AD153" i="9"/>
  <c r="AD149" i="9"/>
  <c r="AD145" i="9"/>
  <c r="AD126" i="9"/>
  <c r="AD92" i="9"/>
  <c r="AD88" i="9"/>
  <c r="AD84" i="9"/>
  <c r="AD77" i="9"/>
  <c r="AD70" i="9"/>
  <c r="AD66" i="9"/>
  <c r="AD62" i="9"/>
  <c r="AD35" i="9"/>
  <c r="AD28" i="9"/>
  <c r="AD331" i="9"/>
  <c r="AD325" i="9"/>
  <c r="AD277" i="9"/>
  <c r="AD263" i="9"/>
  <c r="AD259" i="9"/>
  <c r="AD255" i="9"/>
  <c r="AD217" i="9"/>
  <c r="AD202" i="9"/>
  <c r="AD198" i="9"/>
  <c r="AD194" i="9"/>
  <c r="AD168" i="9"/>
  <c r="AD141" i="9"/>
  <c r="AD137" i="9"/>
  <c r="AD133" i="9"/>
  <c r="AD119" i="9"/>
  <c r="AD115" i="9"/>
  <c r="AD111" i="9"/>
  <c r="AD73" i="9"/>
  <c r="AD58" i="9"/>
  <c r="AD54" i="9"/>
  <c r="AD50" i="9"/>
  <c r="AD24" i="9"/>
  <c r="AD322" i="9"/>
  <c r="AD312" i="9"/>
  <c r="AD309" i="9"/>
  <c r="AD306" i="9"/>
  <c r="AD284" i="9"/>
  <c r="AD273" i="9"/>
  <c r="AD266" i="9"/>
  <c r="AD251" i="9"/>
  <c r="AD247" i="9"/>
  <c r="AD243" i="9"/>
  <c r="AD224" i="9"/>
  <c r="AD190" i="9"/>
  <c r="AD186" i="9"/>
  <c r="AD182" i="9"/>
  <c r="AD175" i="9"/>
  <c r="AD164" i="9"/>
  <c r="AD160" i="9"/>
  <c r="AD156" i="9"/>
  <c r="AD129" i="9"/>
  <c r="AD122" i="9"/>
  <c r="AD107" i="9"/>
  <c r="AD103" i="9"/>
  <c r="AD99" i="9"/>
  <c r="AD80" i="9"/>
  <c r="AD46" i="9"/>
  <c r="AD42" i="9"/>
  <c r="AD38" i="9"/>
  <c r="AD31" i="9"/>
  <c r="AD20" i="9"/>
  <c r="AD16" i="9"/>
  <c r="AD12" i="9"/>
  <c r="AD299" i="9"/>
  <c r="AD295" i="9"/>
  <c r="AD291" i="9"/>
  <c r="AD239" i="9"/>
  <c r="AD235" i="9"/>
  <c r="AD231" i="9"/>
  <c r="AD220" i="9"/>
  <c r="AD213" i="9"/>
  <c r="AD209" i="9"/>
  <c r="AD205" i="9"/>
  <c r="AD171" i="9"/>
  <c r="AD152" i="9"/>
  <c r="AD148" i="9"/>
  <c r="AD144" i="9"/>
  <c r="AD95" i="9"/>
  <c r="AD91" i="9"/>
  <c r="AD87" i="9"/>
  <c r="AD76" i="9"/>
  <c r="AD69" i="9"/>
  <c r="AD65" i="9"/>
  <c r="AD61" i="9"/>
  <c r="AD27" i="9"/>
  <c r="AD318" i="9"/>
  <c r="AD315" i="9"/>
  <c r="AD302" i="9"/>
  <c r="AD287" i="9"/>
  <c r="AD280" i="9"/>
  <c r="AD276" i="9"/>
  <c r="AD269" i="9"/>
  <c r="AD262" i="9"/>
  <c r="AD258" i="9"/>
  <c r="AD254" i="9"/>
  <c r="AD227" i="9"/>
  <c r="AD201" i="9"/>
  <c r="AD197" i="9"/>
  <c r="AD193" i="9"/>
  <c r="AD178" i="9"/>
  <c r="AD140" i="9"/>
  <c r="AD136" i="9"/>
  <c r="AD132" i="9"/>
  <c r="AD125" i="9"/>
  <c r="AD118" i="9"/>
  <c r="AD114" i="9"/>
  <c r="AD110" i="9"/>
  <c r="AD83" i="9"/>
  <c r="AD57" i="9"/>
  <c r="AD53" i="9"/>
  <c r="AD49" i="9"/>
  <c r="AC370" i="9"/>
  <c r="AC367" i="9"/>
  <c r="AC353" i="9"/>
  <c r="AC339" i="9"/>
  <c r="AC336" i="9"/>
  <c r="AC322" i="9"/>
  <c r="AC319" i="9"/>
  <c r="AC305" i="9"/>
  <c r="AC302" i="9"/>
  <c r="AC261" i="9"/>
  <c r="AC258" i="9"/>
  <c r="AC255" i="9"/>
  <c r="AC252" i="9"/>
  <c r="AC214" i="9"/>
  <c r="AC211" i="9"/>
  <c r="AC208" i="9"/>
  <c r="AC205" i="9"/>
  <c r="AC167" i="9"/>
  <c r="AC164" i="9"/>
  <c r="AC161" i="9"/>
  <c r="AC158" i="9"/>
  <c r="AC117" i="9"/>
  <c r="AC114" i="9"/>
  <c r="AC111" i="9"/>
  <c r="AC108" i="9"/>
  <c r="AC70" i="9"/>
  <c r="AC67" i="9"/>
  <c r="AC64" i="9"/>
  <c r="AC61" i="9"/>
  <c r="AC23" i="9"/>
  <c r="AC20" i="9"/>
  <c r="AC17" i="9"/>
  <c r="AC14" i="9"/>
  <c r="AC299" i="9"/>
  <c r="AC296" i="9"/>
  <c r="AC293" i="9"/>
  <c r="AC290" i="9"/>
  <c r="AC249" i="9"/>
  <c r="AC246" i="9"/>
  <c r="AC243" i="9"/>
  <c r="AC240" i="9"/>
  <c r="AC202" i="9"/>
  <c r="AC199" i="9"/>
  <c r="AC196" i="9"/>
  <c r="AC193" i="9"/>
  <c r="AC155" i="9"/>
  <c r="AC152" i="9"/>
  <c r="AC149" i="9"/>
  <c r="AC146" i="9"/>
  <c r="AC105" i="9"/>
  <c r="AC102" i="9"/>
  <c r="AC99" i="9"/>
  <c r="AC96" i="9"/>
  <c r="AC58" i="9"/>
  <c r="AC55" i="9"/>
  <c r="AC52" i="9"/>
  <c r="AC49" i="9"/>
  <c r="AC278" i="9"/>
  <c r="AC237" i="9"/>
  <c r="AC234" i="9"/>
  <c r="AC231" i="9"/>
  <c r="AC228" i="9"/>
  <c r="AC190" i="9"/>
  <c r="AC187" i="9"/>
  <c r="AC184" i="9"/>
  <c r="AC181" i="9"/>
  <c r="AC143" i="9"/>
  <c r="AC140" i="9"/>
  <c r="AC137" i="9"/>
  <c r="AC134" i="9"/>
  <c r="AC93" i="9"/>
  <c r="AC90" i="9"/>
  <c r="AC87" i="9"/>
  <c r="AC84" i="9"/>
  <c r="AC46" i="9"/>
  <c r="AC43" i="9"/>
  <c r="AC40" i="9"/>
  <c r="AC37" i="9"/>
  <c r="AC275" i="9"/>
  <c r="AC272" i="9"/>
  <c r="AC269" i="9"/>
  <c r="AC266" i="9"/>
  <c r="AC225" i="9"/>
  <c r="AC222" i="9"/>
  <c r="AC219" i="9"/>
  <c r="AC216" i="9"/>
  <c r="AC178" i="9"/>
  <c r="AC175" i="9"/>
  <c r="AC172" i="9"/>
  <c r="AC169" i="9"/>
  <c r="AC131" i="9"/>
  <c r="AC128" i="9"/>
  <c r="AC125" i="9"/>
  <c r="AC122" i="9"/>
  <c r="AC81" i="9"/>
  <c r="AC78" i="9"/>
  <c r="AC75" i="9"/>
  <c r="AC72" i="9"/>
  <c r="AC34" i="9"/>
  <c r="AC31" i="9"/>
  <c r="AC28" i="9"/>
  <c r="AC25" i="9"/>
  <c r="AC338" i="9"/>
  <c r="AC321" i="9"/>
  <c r="AC304" i="9"/>
  <c r="AC301" i="9"/>
  <c r="AC263" i="9"/>
  <c r="AC260" i="9"/>
  <c r="AC257" i="9"/>
  <c r="AC254" i="9"/>
  <c r="AC213" i="9"/>
  <c r="AC210" i="9"/>
  <c r="AC207" i="9"/>
  <c r="AC204" i="9"/>
  <c r="AC166" i="9"/>
  <c r="AC163" i="9"/>
  <c r="AC160" i="9"/>
  <c r="AC157" i="9"/>
  <c r="AC119" i="9"/>
  <c r="AC116" i="9"/>
  <c r="AC113" i="9"/>
  <c r="AC110" i="9"/>
  <c r="AC69" i="9"/>
  <c r="AC66" i="9"/>
  <c r="AC63" i="9"/>
  <c r="AC60" i="9"/>
  <c r="AC22" i="9"/>
  <c r="AC19" i="9"/>
  <c r="AC16" i="9"/>
  <c r="AC13" i="9"/>
  <c r="AC366" i="9"/>
  <c r="AC352" i="9"/>
  <c r="AC349" i="9"/>
  <c r="AC335" i="9"/>
  <c r="AC332" i="9"/>
  <c r="AC318" i="9"/>
  <c r="AC298" i="9"/>
  <c r="AC295" i="9"/>
  <c r="AC292" i="9"/>
  <c r="AC289" i="9"/>
  <c r="AC251" i="9"/>
  <c r="AC248" i="9"/>
  <c r="AC245" i="9"/>
  <c r="AC242" i="9"/>
  <c r="AC201" i="9"/>
  <c r="AC198" i="9"/>
  <c r="AC195" i="9"/>
  <c r="AC192" i="9"/>
  <c r="AC154" i="9"/>
  <c r="AC151" i="9"/>
  <c r="AC148" i="9"/>
  <c r="AC145" i="9"/>
  <c r="AC107" i="9"/>
  <c r="AC104" i="9"/>
  <c r="AC101" i="9"/>
  <c r="AC98" i="9"/>
  <c r="AC57" i="9"/>
  <c r="AC54" i="9"/>
  <c r="AC51" i="9"/>
  <c r="AC48" i="9"/>
  <c r="AC363" i="9"/>
  <c r="AC360" i="9"/>
  <c r="AC346" i="9"/>
  <c r="AC343" i="9"/>
  <c r="AC329" i="9"/>
  <c r="AC315" i="9"/>
  <c r="AC312" i="9"/>
  <c r="AC286" i="9"/>
  <c r="AC283" i="9"/>
  <c r="AC280" i="9"/>
  <c r="AC277" i="9"/>
  <c r="AC239" i="9"/>
  <c r="AC236" i="9"/>
  <c r="AC233" i="9"/>
  <c r="AC230" i="9"/>
  <c r="AC189" i="9"/>
  <c r="AC186" i="9"/>
  <c r="AC183" i="9"/>
  <c r="AC180" i="9"/>
  <c r="AC142" i="9"/>
  <c r="AC139" i="9"/>
  <c r="AC136" i="9"/>
  <c r="AC133" i="9"/>
  <c r="AC95" i="9"/>
  <c r="AC92" i="9"/>
  <c r="AC89" i="9"/>
  <c r="AC86" i="9"/>
  <c r="AC45" i="9"/>
  <c r="AC42" i="9"/>
  <c r="AC39" i="9"/>
  <c r="AC36" i="9"/>
  <c r="AC357" i="9"/>
  <c r="AC326" i="9"/>
  <c r="AC309" i="9"/>
  <c r="AC274" i="9"/>
  <c r="AC271" i="9"/>
  <c r="AC268" i="9"/>
  <c r="AC265" i="9"/>
  <c r="AC227" i="9"/>
  <c r="AC224" i="9"/>
  <c r="AC221" i="9"/>
  <c r="AC218" i="9"/>
  <c r="AC177" i="9"/>
  <c r="AC174" i="9"/>
  <c r="AC171" i="9"/>
  <c r="AC168" i="9"/>
  <c r="AC130" i="9"/>
  <c r="AC127" i="9"/>
  <c r="AC124" i="9"/>
  <c r="AC121" i="9"/>
  <c r="AC83" i="9"/>
  <c r="AC80" i="9"/>
  <c r="AC77" i="9"/>
  <c r="AC74" i="9"/>
  <c r="AC33" i="9"/>
  <c r="AC30" i="9"/>
  <c r="AC27" i="9"/>
  <c r="AC24" i="9"/>
  <c r="AC262" i="9"/>
  <c r="AC259" i="9"/>
  <c r="AC256" i="9"/>
  <c r="AC253" i="9"/>
  <c r="AC215" i="9"/>
  <c r="AC212" i="9"/>
  <c r="AC209" i="9"/>
  <c r="AC206" i="9"/>
  <c r="AC165" i="9"/>
  <c r="AC162" i="9"/>
  <c r="AC159" i="9"/>
  <c r="AC156" i="9"/>
  <c r="AC118" i="9"/>
  <c r="AC115" i="9"/>
  <c r="AC112" i="9"/>
  <c r="AC109" i="9"/>
  <c r="AC71" i="9"/>
  <c r="AC68" i="9"/>
  <c r="AC65" i="9"/>
  <c r="AC62" i="9"/>
  <c r="AC21" i="9"/>
  <c r="AC18" i="9"/>
  <c r="AC15" i="9"/>
  <c r="AC12" i="9"/>
  <c r="AC297" i="9"/>
  <c r="AC294" i="9"/>
  <c r="AC291" i="9"/>
  <c r="AC288" i="9"/>
  <c r="AC250" i="9"/>
  <c r="AC247" i="9"/>
  <c r="AC244" i="9"/>
  <c r="AC241" i="9"/>
  <c r="AC203" i="9"/>
  <c r="AC200" i="9"/>
  <c r="AC197" i="9"/>
  <c r="AC194" i="9"/>
  <c r="AC153" i="9"/>
  <c r="AC150" i="9"/>
  <c r="AC147" i="9"/>
  <c r="AC144" i="9"/>
  <c r="AC106" i="9"/>
  <c r="AC103" i="9"/>
  <c r="AC100" i="9"/>
  <c r="AC97" i="9"/>
  <c r="AC59" i="9"/>
  <c r="AC56" i="9"/>
  <c r="AC53" i="9"/>
  <c r="AC50" i="9"/>
  <c r="AC345" i="9"/>
  <c r="AC314" i="9"/>
  <c r="AC285" i="9"/>
  <c r="AC282" i="9"/>
  <c r="AC279" i="9"/>
  <c r="AC276" i="9"/>
  <c r="AC238" i="9"/>
  <c r="AC235" i="9"/>
  <c r="AC232" i="9"/>
  <c r="AC229" i="9"/>
  <c r="AC191" i="9"/>
  <c r="AC188" i="9"/>
  <c r="AC185" i="9"/>
  <c r="AC182" i="9"/>
  <c r="AC141" i="9"/>
  <c r="AC138" i="9"/>
  <c r="AC135" i="9"/>
  <c r="AC132" i="9"/>
  <c r="AC94" i="9"/>
  <c r="AC91" i="9"/>
  <c r="AC88" i="9"/>
  <c r="AC85" i="9"/>
  <c r="AC47" i="9"/>
  <c r="AC44" i="9"/>
  <c r="AC41" i="9"/>
  <c r="AE294" i="9"/>
  <c r="AE282" i="9"/>
  <c r="AE246" i="9"/>
  <c r="AE174" i="9"/>
  <c r="AE162" i="9"/>
  <c r="AE150" i="9"/>
  <c r="AE138" i="9"/>
  <c r="AE126" i="9"/>
  <c r="AE114" i="9"/>
  <c r="AE102" i="9"/>
  <c r="AE90" i="9"/>
  <c r="AE78" i="9"/>
  <c r="AE66" i="9"/>
  <c r="AE54" i="9"/>
  <c r="AE42" i="9"/>
  <c r="AE30" i="9"/>
  <c r="AE18" i="9"/>
  <c r="AE258" i="9"/>
  <c r="AE234" i="9"/>
  <c r="AE222" i="9"/>
  <c r="AE210" i="9"/>
  <c r="AE198" i="9"/>
  <c r="AE186" i="9"/>
  <c r="AE361" i="9"/>
  <c r="AE349" i="9"/>
  <c r="AE337" i="9"/>
  <c r="AE325" i="9"/>
  <c r="AE313" i="9"/>
  <c r="AE301" i="9"/>
  <c r="AE289" i="9"/>
  <c r="AE277" i="9"/>
  <c r="AE265" i="9"/>
  <c r="AE253" i="9"/>
  <c r="AE241" i="9"/>
  <c r="AE229" i="9"/>
  <c r="AE217" i="9"/>
  <c r="AE205" i="9"/>
  <c r="AE193" i="9"/>
  <c r="AE181" i="9"/>
  <c r="AE169" i="9"/>
  <c r="AE157" i="9"/>
  <c r="AE145" i="9"/>
  <c r="AE133" i="9"/>
  <c r="AE121" i="9"/>
  <c r="AE109" i="9"/>
  <c r="AE97" i="9"/>
  <c r="AE85" i="9"/>
  <c r="AE73" i="9"/>
  <c r="AE61" i="9"/>
  <c r="AE49" i="9"/>
  <c r="AE37" i="9"/>
  <c r="AE25" i="9"/>
  <c r="AE13" i="9"/>
  <c r="AE270" i="9"/>
  <c r="AE356" i="9"/>
  <c r="AE332" i="9"/>
  <c r="AE320" i="9"/>
  <c r="AE308" i="9"/>
  <c r="AE296" i="9"/>
  <c r="AE284" i="9"/>
  <c r="AE272" i="9"/>
  <c r="AE260" i="9"/>
  <c r="AE248" i="9"/>
  <c r="AE236" i="9"/>
  <c r="AE224" i="9"/>
  <c r="AE212" i="9"/>
  <c r="AE200" i="9"/>
  <c r="AE188" i="9"/>
  <c r="AE176" i="9"/>
  <c r="AE164" i="9"/>
  <c r="AE152" i="9"/>
  <c r="AE140" i="9"/>
  <c r="AE128" i="9"/>
  <c r="AE116" i="9"/>
  <c r="AE104" i="9"/>
  <c r="AE92" i="9"/>
  <c r="AE80" i="9"/>
  <c r="AE68" i="9"/>
  <c r="AE56" i="9"/>
  <c r="AE44" i="9"/>
  <c r="AE32" i="9"/>
  <c r="AE20" i="9"/>
  <c r="AE368" i="9"/>
  <c r="AE344" i="9"/>
  <c r="AE339" i="9"/>
  <c r="AE327" i="9"/>
  <c r="AE315" i="9"/>
  <c r="AE303" i="9"/>
  <c r="AE291" i="9"/>
  <c r="AE279" i="9"/>
  <c r="AE267" i="9"/>
  <c r="AE255" i="9"/>
  <c r="AE243" i="9"/>
  <c r="AE231" i="9"/>
  <c r="AE219" i="9"/>
  <c r="AE207" i="9"/>
  <c r="AE195" i="9"/>
  <c r="AE183" i="9"/>
  <c r="AE171" i="9"/>
  <c r="AE159" i="9"/>
  <c r="AE147" i="9"/>
  <c r="AE135" i="9"/>
  <c r="AE123" i="9"/>
  <c r="AE111" i="9"/>
  <c r="AE99" i="9"/>
  <c r="AE87" i="9"/>
  <c r="AE75" i="9"/>
  <c r="AE63" i="9"/>
  <c r="AE51" i="9"/>
  <c r="AE39" i="9"/>
  <c r="AE27" i="9"/>
  <c r="AE15" i="9"/>
  <c r="AE363" i="9"/>
  <c r="AE351" i="9"/>
  <c r="AE370" i="9"/>
  <c r="AE358" i="9"/>
  <c r="AE346" i="9"/>
  <c r="AE334" i="9"/>
  <c r="AE322" i="9"/>
  <c r="AE310" i="9"/>
  <c r="AE298" i="9"/>
  <c r="AE286" i="9"/>
  <c r="AE274" i="9"/>
  <c r="AE262" i="9"/>
  <c r="AE250" i="9"/>
  <c r="AE238" i="9"/>
  <c r="AE226" i="9"/>
  <c r="AE214" i="9"/>
  <c r="AE202" i="9"/>
  <c r="AE190" i="9"/>
  <c r="AE178" i="9"/>
  <c r="AE166" i="9"/>
  <c r="AE154" i="9"/>
  <c r="AE142" i="9"/>
  <c r="AE130" i="9"/>
  <c r="AE118" i="9"/>
  <c r="AE106" i="9"/>
  <c r="AE94" i="9"/>
  <c r="AE82" i="9"/>
  <c r="AE70" i="9"/>
  <c r="AE58" i="9"/>
  <c r="AE46" i="9"/>
  <c r="AE34" i="9"/>
  <c r="AE22" i="9"/>
  <c r="AE365" i="9"/>
  <c r="AE353" i="9"/>
  <c r="AE341" i="9"/>
  <c r="AE329" i="9"/>
  <c r="AE317" i="9"/>
  <c r="AE305" i="9"/>
  <c r="AE293" i="9"/>
  <c r="AE281" i="9"/>
  <c r="AE269" i="9"/>
  <c r="AE257" i="9"/>
  <c r="AE245" i="9"/>
  <c r="AE233" i="9"/>
  <c r="AE221" i="9"/>
  <c r="AE209" i="9"/>
  <c r="AE197" i="9"/>
  <c r="AE185" i="9"/>
  <c r="AE173" i="9"/>
  <c r="AE161" i="9"/>
  <c r="AE149" i="9"/>
  <c r="AE137" i="9"/>
  <c r="AE125" i="9"/>
  <c r="AE113" i="9"/>
  <c r="AE101" i="9"/>
  <c r="AE89" i="9"/>
  <c r="AE77" i="9"/>
  <c r="AE65" i="9"/>
  <c r="AE53" i="9"/>
  <c r="AE41" i="9"/>
  <c r="AE29" i="9"/>
  <c r="AE17" i="9"/>
  <c r="AE324" i="9"/>
  <c r="AE252" i="9"/>
  <c r="AE240" i="9"/>
  <c r="AE228" i="9"/>
  <c r="AE216" i="9"/>
  <c r="AE204" i="9"/>
  <c r="AE192" i="9"/>
  <c r="AE180" i="9"/>
  <c r="AE168" i="9"/>
  <c r="AE156" i="9"/>
  <c r="AE144" i="9"/>
  <c r="AE132" i="9"/>
  <c r="AE120" i="9"/>
  <c r="AE108" i="9"/>
  <c r="AE96" i="9"/>
  <c r="AE84" i="9"/>
  <c r="AE72" i="9"/>
  <c r="AE60" i="9"/>
  <c r="AE48" i="9"/>
  <c r="AE36" i="9"/>
  <c r="AE24" i="9"/>
  <c r="AE12" i="9"/>
  <c r="AE336" i="9"/>
  <c r="AE312" i="9"/>
  <c r="AE300" i="9"/>
  <c r="AE288" i="9"/>
  <c r="AE276" i="9"/>
  <c r="AE264" i="9"/>
  <c r="AE367" i="9"/>
  <c r="AE355" i="9"/>
  <c r="AE343" i="9"/>
  <c r="AE331" i="9"/>
  <c r="AE319" i="9"/>
  <c r="AE307" i="9"/>
  <c r="AE295" i="9"/>
  <c r="AE283" i="9"/>
  <c r="AE271" i="9"/>
  <c r="AE259" i="9"/>
  <c r="AE247" i="9"/>
  <c r="AE235" i="9"/>
  <c r="AE223" i="9"/>
  <c r="AE211" i="9"/>
  <c r="AE199" i="9"/>
  <c r="AE187" i="9"/>
  <c r="AE175" i="9"/>
  <c r="AE163" i="9"/>
  <c r="AE151" i="9"/>
  <c r="AE139" i="9"/>
  <c r="AE127" i="9"/>
  <c r="AE115" i="9"/>
  <c r="AE103" i="9"/>
  <c r="AE91" i="9"/>
  <c r="AE79" i="9"/>
  <c r="AE67" i="9"/>
  <c r="AE55" i="9"/>
  <c r="AE43" i="9"/>
  <c r="AE31" i="9"/>
  <c r="AE19" i="9"/>
  <c r="AE348" i="9"/>
  <c r="AE362" i="9"/>
  <c r="AE326" i="9"/>
  <c r="AE314" i="9"/>
  <c r="AE302" i="9"/>
  <c r="AE290" i="9"/>
  <c r="AE278" i="9"/>
  <c r="AE266" i="9"/>
  <c r="AE254" i="9"/>
  <c r="AE242" i="9"/>
  <c r="AE230" i="9"/>
  <c r="AE218" i="9"/>
  <c r="AE206" i="9"/>
  <c r="AE194" i="9"/>
  <c r="AE182" i="9"/>
  <c r="AE170" i="9"/>
  <c r="AE158" i="9"/>
  <c r="AE146" i="9"/>
  <c r="AE134" i="9"/>
  <c r="AE122" i="9"/>
  <c r="AE110" i="9"/>
  <c r="AE98" i="9"/>
  <c r="AE86" i="9"/>
  <c r="AE74" i="9"/>
  <c r="AE62" i="9"/>
  <c r="AE50" i="9"/>
  <c r="AE38" i="9"/>
  <c r="AE26" i="9"/>
  <c r="AE14" i="9"/>
  <c r="AE360" i="9"/>
  <c r="AE350" i="9"/>
  <c r="AE338" i="9"/>
  <c r="AE369" i="9"/>
  <c r="AE357" i="9"/>
  <c r="AE345" i="9"/>
  <c r="AE333" i="9"/>
  <c r="AE321" i="9"/>
  <c r="AE309" i="9"/>
  <c r="AE297" i="9"/>
  <c r="AE285" i="9"/>
  <c r="AE273" i="9"/>
  <c r="AE261" i="9"/>
  <c r="AE249" i="9"/>
  <c r="AE237" i="9"/>
  <c r="AE225" i="9"/>
  <c r="AE213" i="9"/>
  <c r="AE201" i="9"/>
  <c r="AE189" i="9"/>
  <c r="AE177" i="9"/>
  <c r="AE165" i="9"/>
  <c r="AE153" i="9"/>
  <c r="AE141" i="9"/>
  <c r="AE129" i="9"/>
  <c r="AE117" i="9"/>
  <c r="AE105" i="9"/>
  <c r="AE93" i="9"/>
  <c r="AE81" i="9"/>
  <c r="AE69" i="9"/>
  <c r="AE57" i="9"/>
  <c r="AE45" i="9"/>
  <c r="AE33" i="9"/>
  <c r="AE21" i="9"/>
  <c r="AE304" i="9"/>
  <c r="AE292" i="9"/>
  <c r="AE280" i="9"/>
  <c r="AE268" i="9"/>
  <c r="AE256" i="9"/>
  <c r="AE244" i="9"/>
  <c r="AE232" i="9"/>
  <c r="AE220" i="9"/>
  <c r="AE208" i="9"/>
  <c r="AE196" i="9"/>
  <c r="AE184" i="9"/>
  <c r="AE172" i="9"/>
  <c r="AE160" i="9"/>
  <c r="AE148" i="9"/>
  <c r="AE136" i="9"/>
  <c r="AE124" i="9"/>
  <c r="AE112" i="9"/>
  <c r="AE100" i="9"/>
  <c r="AE88" i="9"/>
  <c r="AE76" i="9"/>
  <c r="AE64" i="9"/>
  <c r="AE52" i="9"/>
  <c r="AE40" i="9"/>
  <c r="AE28" i="9"/>
  <c r="CA12" i="8"/>
  <c r="CB12" i="8"/>
  <c r="CC12" i="8"/>
  <c r="CA13" i="8"/>
  <c r="CB13" i="8"/>
  <c r="CC13" i="8"/>
  <c r="CA14" i="8"/>
  <c r="CB14" i="8"/>
  <c r="CC14" i="8"/>
  <c r="CA15" i="8"/>
  <c r="CB15" i="8"/>
  <c r="CC15" i="8"/>
  <c r="CA16" i="8"/>
  <c r="CB16" i="8"/>
  <c r="CC16" i="8"/>
  <c r="CA17" i="8"/>
  <c r="CB17" i="8"/>
  <c r="CC17" i="8"/>
  <c r="CA18" i="8"/>
  <c r="CB18" i="8"/>
  <c r="CC18" i="8"/>
  <c r="CA19" i="8"/>
  <c r="CB19" i="8"/>
  <c r="CC19" i="8"/>
  <c r="CA20" i="8"/>
  <c r="CB20" i="8"/>
  <c r="CC20" i="8"/>
  <c r="CA21" i="8"/>
  <c r="CB21" i="8"/>
  <c r="CC21" i="8"/>
  <c r="CA22" i="8"/>
  <c r="CB22" i="8"/>
  <c r="CC22" i="8"/>
  <c r="CA23" i="8"/>
  <c r="CB23" i="8"/>
  <c r="CC23" i="8"/>
  <c r="CA24" i="8"/>
  <c r="CB24" i="8"/>
  <c r="CC24" i="8"/>
  <c r="CA25" i="8"/>
  <c r="CB25" i="8"/>
  <c r="CC25" i="8"/>
  <c r="CA26" i="8"/>
  <c r="CB26" i="8"/>
  <c r="CC26" i="8"/>
  <c r="CA27" i="8"/>
  <c r="CB27" i="8"/>
  <c r="CC27" i="8"/>
  <c r="CA28" i="8"/>
  <c r="CB28" i="8"/>
  <c r="CC28" i="8"/>
  <c r="CA29" i="8"/>
  <c r="CB29" i="8"/>
  <c r="CC29" i="8"/>
  <c r="CA30" i="8"/>
  <c r="CB30" i="8"/>
  <c r="CC30" i="8"/>
  <c r="CA31" i="8"/>
  <c r="CB31" i="8"/>
  <c r="CC31" i="8"/>
  <c r="CA32" i="8"/>
  <c r="CB32" i="8"/>
  <c r="CC32" i="8"/>
  <c r="CA33" i="8"/>
  <c r="CB33" i="8"/>
  <c r="CC33" i="8"/>
  <c r="CA34" i="8"/>
  <c r="CB34" i="8"/>
  <c r="CC34" i="8"/>
  <c r="CA35" i="8"/>
  <c r="CB35" i="8"/>
  <c r="CC35" i="8"/>
  <c r="CA36" i="8"/>
  <c r="CB36" i="8"/>
  <c r="CC36" i="8"/>
  <c r="CA37" i="8"/>
  <c r="CB37" i="8"/>
  <c r="CC37" i="8"/>
  <c r="CA38" i="8"/>
  <c r="CB38" i="8"/>
  <c r="CC38" i="8"/>
  <c r="CA39" i="8"/>
  <c r="CB39" i="8"/>
  <c r="CC39" i="8"/>
  <c r="CA40" i="8"/>
  <c r="CB40" i="8"/>
  <c r="CC40" i="8"/>
  <c r="CA41" i="8"/>
  <c r="CB41" i="8"/>
  <c r="CC41" i="8"/>
  <c r="CA42" i="8"/>
  <c r="CB42" i="8"/>
  <c r="CC42" i="8"/>
  <c r="CA43" i="8"/>
  <c r="CB43" i="8"/>
  <c r="CC43" i="8"/>
  <c r="CA44" i="8"/>
  <c r="CB44" i="8"/>
  <c r="CC44" i="8"/>
  <c r="CA45" i="8"/>
  <c r="CB45" i="8"/>
  <c r="CC45" i="8"/>
  <c r="CA46" i="8"/>
  <c r="CB46" i="8"/>
  <c r="CC46" i="8"/>
  <c r="CA47" i="8"/>
  <c r="CB47" i="8"/>
  <c r="CC47" i="8"/>
  <c r="CA48" i="8"/>
  <c r="CB48" i="8"/>
  <c r="CC48" i="8"/>
  <c r="CA49" i="8"/>
  <c r="CB49" i="8"/>
  <c r="CC49" i="8"/>
  <c r="CA50" i="8"/>
  <c r="CB50" i="8"/>
  <c r="CC50" i="8"/>
  <c r="CA51" i="8"/>
  <c r="CB51" i="8"/>
  <c r="CC51" i="8"/>
  <c r="CA52" i="8"/>
  <c r="CB52" i="8"/>
  <c r="CC52" i="8"/>
  <c r="CA53" i="8"/>
  <c r="CB53" i="8"/>
  <c r="CC53" i="8"/>
  <c r="CA54" i="8"/>
  <c r="CB54" i="8"/>
  <c r="CC54" i="8"/>
  <c r="CA55" i="8"/>
  <c r="CB55" i="8"/>
  <c r="CC55" i="8"/>
  <c r="CA56" i="8"/>
  <c r="CB56" i="8"/>
  <c r="CC56" i="8"/>
  <c r="CA57" i="8"/>
  <c r="CB57" i="8"/>
  <c r="CC57" i="8"/>
  <c r="CA58" i="8"/>
  <c r="CB58" i="8"/>
  <c r="CC58" i="8"/>
  <c r="CA59" i="8"/>
  <c r="CB59" i="8"/>
  <c r="CC59" i="8"/>
  <c r="CA60" i="8"/>
  <c r="CB60" i="8"/>
  <c r="CC60" i="8"/>
  <c r="CA61" i="8"/>
  <c r="CB61" i="8"/>
  <c r="CC61" i="8"/>
  <c r="CA62" i="8"/>
  <c r="CB62" i="8"/>
  <c r="CC62" i="8"/>
  <c r="CA63" i="8"/>
  <c r="CB63" i="8"/>
  <c r="CC63" i="8"/>
  <c r="CA64" i="8"/>
  <c r="CB64" i="8"/>
  <c r="CC64" i="8"/>
  <c r="CA65" i="8"/>
  <c r="CB65" i="8"/>
  <c r="CC65" i="8"/>
  <c r="CA66" i="8"/>
  <c r="CB66" i="8"/>
  <c r="CC66" i="8"/>
  <c r="CA67" i="8"/>
  <c r="CB67" i="8"/>
  <c r="CC67" i="8"/>
  <c r="CA68" i="8"/>
  <c r="CB68" i="8"/>
  <c r="CC68" i="8"/>
  <c r="CA69" i="8"/>
  <c r="CB69" i="8"/>
  <c r="CC69" i="8"/>
  <c r="CA70" i="8"/>
  <c r="CB70" i="8"/>
  <c r="CC70" i="8"/>
  <c r="CA71" i="8"/>
  <c r="CB71" i="8"/>
  <c r="CC71" i="8"/>
  <c r="CA72" i="8"/>
  <c r="CB72" i="8"/>
  <c r="CC72" i="8"/>
  <c r="CA73" i="8"/>
  <c r="CB73" i="8"/>
  <c r="CC73" i="8"/>
  <c r="CA74" i="8"/>
  <c r="CB74" i="8"/>
  <c r="CC74" i="8"/>
  <c r="CA75" i="8"/>
  <c r="CB75" i="8"/>
  <c r="CC75" i="8"/>
  <c r="CA76" i="8"/>
  <c r="CB76" i="8"/>
  <c r="CC76" i="8"/>
  <c r="CA77" i="8"/>
  <c r="CB77" i="8"/>
  <c r="CC77" i="8"/>
  <c r="CA78" i="8"/>
  <c r="CB78" i="8"/>
  <c r="CC78" i="8"/>
  <c r="CA79" i="8"/>
  <c r="CB79" i="8"/>
  <c r="CC79" i="8"/>
  <c r="CA80" i="8"/>
  <c r="CB80" i="8"/>
  <c r="CC80" i="8"/>
  <c r="CA81" i="8"/>
  <c r="CB81" i="8"/>
  <c r="CC81" i="8"/>
  <c r="CA82" i="8"/>
  <c r="CB82" i="8"/>
  <c r="CC82" i="8"/>
  <c r="CA83" i="8"/>
  <c r="CB83" i="8"/>
  <c r="CC83" i="8"/>
  <c r="CA84" i="8"/>
  <c r="CB84" i="8"/>
  <c r="CC84" i="8"/>
  <c r="CA85" i="8"/>
  <c r="CB85" i="8"/>
  <c r="CC85" i="8"/>
  <c r="CA86" i="8"/>
  <c r="CB86" i="8"/>
  <c r="CC86" i="8"/>
  <c r="CA87" i="8"/>
  <c r="CB87" i="8"/>
  <c r="CC87" i="8"/>
  <c r="CA88" i="8"/>
  <c r="CB88" i="8"/>
  <c r="CC88" i="8"/>
  <c r="CA89" i="8"/>
  <c r="CB89" i="8"/>
  <c r="CC89" i="8"/>
  <c r="CA90" i="8"/>
  <c r="CB90" i="8"/>
  <c r="CC90" i="8"/>
  <c r="CA91" i="8"/>
  <c r="CB91" i="8"/>
  <c r="CC91" i="8"/>
  <c r="CA92" i="8"/>
  <c r="CB92" i="8"/>
  <c r="CC92" i="8"/>
  <c r="CA93" i="8"/>
  <c r="CB93" i="8"/>
  <c r="CC93" i="8"/>
  <c r="CA94" i="8"/>
  <c r="CB94" i="8"/>
  <c r="CC94" i="8"/>
  <c r="CA95" i="8"/>
  <c r="CB95" i="8"/>
  <c r="CC95" i="8"/>
  <c r="CA96" i="8"/>
  <c r="CB96" i="8"/>
  <c r="CC96" i="8"/>
  <c r="CA97" i="8"/>
  <c r="CB97" i="8"/>
  <c r="CC97" i="8"/>
  <c r="CA98" i="8"/>
  <c r="CB98" i="8"/>
  <c r="CC98" i="8"/>
  <c r="CA99" i="8"/>
  <c r="CB99" i="8"/>
  <c r="CC99" i="8"/>
  <c r="CA100" i="8"/>
  <c r="CB100" i="8"/>
  <c r="CC100" i="8"/>
  <c r="CA101" i="8"/>
  <c r="CB101" i="8"/>
  <c r="CC101" i="8"/>
  <c r="CA102" i="8"/>
  <c r="CB102" i="8"/>
  <c r="CC102" i="8"/>
  <c r="CA103" i="8"/>
  <c r="CB103" i="8"/>
  <c r="CC103" i="8"/>
  <c r="CA104" i="8"/>
  <c r="CB104" i="8"/>
  <c r="CC104" i="8"/>
  <c r="CA105" i="8"/>
  <c r="CB105" i="8"/>
  <c r="CC105" i="8"/>
  <c r="CA106" i="8"/>
  <c r="CB106" i="8"/>
  <c r="CC106" i="8"/>
  <c r="CA107" i="8"/>
  <c r="CB107" i="8"/>
  <c r="CC107" i="8"/>
  <c r="CA108" i="8"/>
  <c r="CB108" i="8"/>
  <c r="CC108" i="8"/>
  <c r="CA109" i="8"/>
  <c r="CB109" i="8"/>
  <c r="CC109" i="8"/>
  <c r="CA110" i="8"/>
  <c r="CB110" i="8"/>
  <c r="CC110" i="8"/>
  <c r="CA111" i="8"/>
  <c r="CB111" i="8"/>
  <c r="CC111" i="8"/>
  <c r="CA112" i="8"/>
  <c r="CB112" i="8"/>
  <c r="CC112" i="8"/>
  <c r="CA113" i="8"/>
  <c r="CB113" i="8"/>
  <c r="CC113" i="8"/>
  <c r="CA114" i="8"/>
  <c r="CB114" i="8"/>
  <c r="CC114" i="8"/>
  <c r="CA115" i="8"/>
  <c r="CB115" i="8"/>
  <c r="CC115" i="8"/>
  <c r="CA116" i="8"/>
  <c r="CB116" i="8"/>
  <c r="CC116" i="8"/>
  <c r="CA117" i="8"/>
  <c r="CB117" i="8"/>
  <c r="CC117" i="8"/>
  <c r="CA118" i="8"/>
  <c r="CB118" i="8"/>
  <c r="CC118" i="8"/>
  <c r="CA119" i="8"/>
  <c r="CB119" i="8"/>
  <c r="CC119" i="8"/>
  <c r="CA120" i="8"/>
  <c r="CB120" i="8"/>
  <c r="CC120" i="8"/>
  <c r="CA121" i="8"/>
  <c r="CB121" i="8"/>
  <c r="CC121" i="8"/>
  <c r="CA122" i="8"/>
  <c r="CB122" i="8"/>
  <c r="CC122" i="8"/>
  <c r="CA123" i="8"/>
  <c r="CB123" i="8"/>
  <c r="CC123" i="8"/>
  <c r="CA124" i="8"/>
  <c r="CB124" i="8"/>
  <c r="CC124" i="8"/>
  <c r="CA125" i="8"/>
  <c r="CB125" i="8"/>
  <c r="CC125" i="8"/>
  <c r="CA126" i="8"/>
  <c r="CB126" i="8"/>
  <c r="CC126" i="8"/>
  <c r="CA127" i="8"/>
  <c r="CB127" i="8"/>
  <c r="CC127" i="8"/>
  <c r="CA128" i="8"/>
  <c r="CB128" i="8"/>
  <c r="CC128" i="8"/>
  <c r="CA129" i="8"/>
  <c r="CB129" i="8"/>
  <c r="CC129" i="8"/>
  <c r="CA130" i="8"/>
  <c r="CB130" i="8"/>
  <c r="CC130" i="8"/>
  <c r="CA131" i="8"/>
  <c r="CB131" i="8"/>
  <c r="CC131" i="8"/>
  <c r="CA132" i="8"/>
  <c r="CB132" i="8"/>
  <c r="CC132" i="8"/>
  <c r="CA133" i="8"/>
  <c r="CB133" i="8"/>
  <c r="CC133" i="8"/>
  <c r="CA134" i="8"/>
  <c r="CB134" i="8"/>
  <c r="CC134" i="8"/>
  <c r="CA135" i="8"/>
  <c r="CB135" i="8"/>
  <c r="CC135" i="8"/>
  <c r="CA136" i="8"/>
  <c r="CB136" i="8"/>
  <c r="CC136" i="8"/>
  <c r="CA137" i="8"/>
  <c r="CB137" i="8"/>
  <c r="CC137" i="8"/>
  <c r="CA138" i="8"/>
  <c r="CB138" i="8"/>
  <c r="CC138" i="8"/>
  <c r="CA139" i="8"/>
  <c r="CB139" i="8"/>
  <c r="CC139" i="8"/>
  <c r="CA140" i="8"/>
  <c r="CB140" i="8"/>
  <c r="CC140" i="8"/>
  <c r="CA141" i="8"/>
  <c r="CB141" i="8"/>
  <c r="CC141" i="8"/>
  <c r="CA142" i="8"/>
  <c r="CB142" i="8"/>
  <c r="CC142" i="8"/>
  <c r="CA143" i="8"/>
  <c r="CB143" i="8"/>
  <c r="CC143" i="8"/>
  <c r="CA144" i="8"/>
  <c r="CB144" i="8"/>
  <c r="CC144" i="8"/>
  <c r="CA145" i="8"/>
  <c r="CB145" i="8"/>
  <c r="CC145" i="8"/>
  <c r="CA146" i="8"/>
  <c r="CB146" i="8"/>
  <c r="CC146" i="8"/>
  <c r="CA147" i="8"/>
  <c r="CB147" i="8"/>
  <c r="CC147" i="8"/>
  <c r="CA148" i="8"/>
  <c r="CB148" i="8"/>
  <c r="CC148" i="8"/>
  <c r="CA149" i="8"/>
  <c r="CB149" i="8"/>
  <c r="CC149" i="8"/>
  <c r="CA150" i="8"/>
  <c r="CB150" i="8"/>
  <c r="CC150" i="8"/>
  <c r="CA151" i="8"/>
  <c r="CB151" i="8"/>
  <c r="CC151" i="8"/>
  <c r="CA152" i="8"/>
  <c r="CB152" i="8"/>
  <c r="CC152" i="8"/>
  <c r="CA153" i="8"/>
  <c r="CB153" i="8"/>
  <c r="CC153" i="8"/>
  <c r="CA154" i="8"/>
  <c r="CB154" i="8"/>
  <c r="CC154" i="8"/>
  <c r="CA155" i="8"/>
  <c r="CB155" i="8"/>
  <c r="CC155" i="8"/>
  <c r="CA156" i="8"/>
  <c r="CB156" i="8"/>
  <c r="CC156" i="8"/>
  <c r="CA157" i="8"/>
  <c r="CB157" i="8"/>
  <c r="CC157" i="8"/>
  <c r="CA158" i="8"/>
  <c r="CB158" i="8"/>
  <c r="CC158" i="8"/>
  <c r="CA159" i="8"/>
  <c r="CB159" i="8"/>
  <c r="CC159" i="8"/>
  <c r="CA160" i="8"/>
  <c r="CB160" i="8"/>
  <c r="CC160" i="8"/>
  <c r="CA161" i="8"/>
  <c r="CB161" i="8"/>
  <c r="CC161" i="8"/>
  <c r="CA162" i="8"/>
  <c r="CB162" i="8"/>
  <c r="CC162" i="8"/>
  <c r="CA163" i="8"/>
  <c r="CB163" i="8"/>
  <c r="CC163" i="8"/>
  <c r="CA164" i="8"/>
  <c r="CB164" i="8"/>
  <c r="CC164" i="8"/>
  <c r="CA165" i="8"/>
  <c r="CB165" i="8"/>
  <c r="CC165" i="8"/>
  <c r="CA166" i="8"/>
  <c r="CB166" i="8"/>
  <c r="CC166" i="8"/>
  <c r="CA167" i="8"/>
  <c r="CB167" i="8"/>
  <c r="CC167" i="8"/>
  <c r="CA168" i="8"/>
  <c r="CB168" i="8"/>
  <c r="CC168" i="8"/>
  <c r="CA169" i="8"/>
  <c r="CB169" i="8"/>
  <c r="CC169" i="8"/>
  <c r="CA170" i="8"/>
  <c r="CB170" i="8"/>
  <c r="CC170" i="8"/>
  <c r="CA171" i="8"/>
  <c r="CB171" i="8"/>
  <c r="CC171" i="8"/>
  <c r="CA172" i="8"/>
  <c r="CB172" i="8"/>
  <c r="CC172" i="8"/>
  <c r="CA173" i="8"/>
  <c r="CB173" i="8"/>
  <c r="CC173" i="8"/>
  <c r="CA174" i="8"/>
  <c r="CB174" i="8"/>
  <c r="CC174" i="8"/>
  <c r="CA175" i="8"/>
  <c r="CB175" i="8"/>
  <c r="CC175" i="8"/>
  <c r="CA176" i="8"/>
  <c r="CB176" i="8"/>
  <c r="CC176" i="8"/>
  <c r="CA177" i="8"/>
  <c r="CB177" i="8"/>
  <c r="CC177" i="8"/>
  <c r="CA178" i="8"/>
  <c r="CB178" i="8"/>
  <c r="CC178" i="8"/>
  <c r="CA179" i="8"/>
  <c r="CB179" i="8"/>
  <c r="CC179" i="8"/>
  <c r="CA180" i="8"/>
  <c r="CB180" i="8"/>
  <c r="CC180" i="8"/>
  <c r="CA181" i="8"/>
  <c r="CB181" i="8"/>
  <c r="CC181" i="8"/>
  <c r="CA182" i="8"/>
  <c r="CB182" i="8"/>
  <c r="CC182" i="8"/>
  <c r="CA183" i="8"/>
  <c r="CB183" i="8"/>
  <c r="CC183" i="8"/>
  <c r="CA184" i="8"/>
  <c r="CB184" i="8"/>
  <c r="CC184" i="8"/>
  <c r="CA185" i="8"/>
  <c r="CB185" i="8"/>
  <c r="CC185" i="8"/>
  <c r="CA186" i="8"/>
  <c r="CB186" i="8"/>
  <c r="CC186" i="8"/>
  <c r="CA187" i="8"/>
  <c r="CB187" i="8"/>
  <c r="CC187" i="8"/>
  <c r="CA188" i="8"/>
  <c r="CB188" i="8"/>
  <c r="CC188" i="8"/>
  <c r="CA189" i="8"/>
  <c r="CB189" i="8"/>
  <c r="CC189" i="8"/>
  <c r="CA190" i="8"/>
  <c r="CB190" i="8"/>
  <c r="CC190" i="8"/>
  <c r="CA191" i="8"/>
  <c r="CB191" i="8"/>
  <c r="CC191" i="8"/>
  <c r="CA192" i="8"/>
  <c r="CB192" i="8"/>
  <c r="CC192" i="8"/>
  <c r="CA193" i="8"/>
  <c r="CB193" i="8"/>
  <c r="CC193" i="8"/>
  <c r="CA194" i="8"/>
  <c r="CB194" i="8"/>
  <c r="CC194" i="8"/>
  <c r="CA195" i="8"/>
  <c r="CB195" i="8"/>
  <c r="CC195" i="8"/>
  <c r="CA196" i="8"/>
  <c r="CB196" i="8"/>
  <c r="CC196" i="8"/>
  <c r="CA197" i="8"/>
  <c r="CB197" i="8"/>
  <c r="CC197" i="8"/>
  <c r="CA198" i="8"/>
  <c r="CB198" i="8"/>
  <c r="CC198" i="8"/>
  <c r="CA199" i="8"/>
  <c r="CB199" i="8"/>
  <c r="CC199" i="8"/>
  <c r="CA200" i="8"/>
  <c r="CB200" i="8"/>
  <c r="CC200" i="8"/>
  <c r="CA201" i="8"/>
  <c r="CB201" i="8"/>
  <c r="CC201" i="8"/>
  <c r="CA202" i="8"/>
  <c r="CB202" i="8"/>
  <c r="CC202" i="8"/>
  <c r="CA203" i="8"/>
  <c r="CB203" i="8"/>
  <c r="CC203" i="8"/>
  <c r="CA204" i="8"/>
  <c r="CB204" i="8"/>
  <c r="CC204" i="8"/>
  <c r="CA205" i="8"/>
  <c r="CB205" i="8"/>
  <c r="CC205" i="8"/>
  <c r="CA206" i="8"/>
  <c r="CB206" i="8"/>
  <c r="CC206" i="8"/>
  <c r="CA207" i="8"/>
  <c r="CB207" i="8"/>
  <c r="CC207" i="8"/>
  <c r="CA208" i="8"/>
  <c r="CB208" i="8"/>
  <c r="CC208" i="8"/>
  <c r="CA209" i="8"/>
  <c r="CB209" i="8"/>
  <c r="CC209" i="8"/>
  <c r="CA210" i="8"/>
  <c r="CB210" i="8"/>
  <c r="CC210" i="8"/>
  <c r="CA211" i="8"/>
  <c r="CB211" i="8"/>
  <c r="CC211" i="8"/>
  <c r="CA212" i="8"/>
  <c r="CB212" i="8"/>
  <c r="CC212" i="8"/>
  <c r="CA213" i="8"/>
  <c r="CB213" i="8"/>
  <c r="CC213" i="8"/>
  <c r="CA214" i="8"/>
  <c r="CB214" i="8"/>
  <c r="CC214" i="8"/>
  <c r="CA215" i="8"/>
  <c r="CB215" i="8"/>
  <c r="CC215" i="8"/>
  <c r="CA216" i="8"/>
  <c r="CB216" i="8"/>
  <c r="CC216" i="8"/>
  <c r="CA217" i="8"/>
  <c r="CB217" i="8"/>
  <c r="CC217" i="8"/>
  <c r="CA218" i="8"/>
  <c r="CB218" i="8"/>
  <c r="CC218" i="8"/>
  <c r="CA219" i="8"/>
  <c r="CB219" i="8"/>
  <c r="CC219" i="8"/>
  <c r="CA220" i="8"/>
  <c r="CB220" i="8"/>
  <c r="CC220" i="8"/>
  <c r="CA221" i="8"/>
  <c r="CB221" i="8"/>
  <c r="CC221" i="8"/>
  <c r="CA222" i="8"/>
  <c r="CB222" i="8"/>
  <c r="CC222" i="8"/>
  <c r="CA223" i="8"/>
  <c r="CB223" i="8"/>
  <c r="CC223" i="8"/>
  <c r="CA224" i="8"/>
  <c r="CB224" i="8"/>
  <c r="CC224" i="8"/>
  <c r="CA225" i="8"/>
  <c r="CB225" i="8"/>
  <c r="CC225" i="8"/>
  <c r="CA226" i="8"/>
  <c r="CB226" i="8"/>
  <c r="CC226" i="8"/>
  <c r="CA227" i="8"/>
  <c r="CB227" i="8"/>
  <c r="CC227" i="8"/>
  <c r="CA228" i="8"/>
  <c r="CB228" i="8"/>
  <c r="CC228" i="8"/>
  <c r="CA229" i="8"/>
  <c r="CB229" i="8"/>
  <c r="CC229" i="8"/>
  <c r="CA230" i="8"/>
  <c r="CB230" i="8"/>
  <c r="CC230" i="8"/>
  <c r="CA231" i="8"/>
  <c r="CB231" i="8"/>
  <c r="CC231" i="8"/>
  <c r="CA232" i="8"/>
  <c r="CB232" i="8"/>
  <c r="CC232" i="8"/>
  <c r="CA233" i="8"/>
  <c r="CB233" i="8"/>
  <c r="CC233" i="8"/>
  <c r="CA234" i="8"/>
  <c r="CB234" i="8"/>
  <c r="CC234" i="8"/>
  <c r="CA235" i="8"/>
  <c r="CB235" i="8"/>
  <c r="CC235" i="8"/>
  <c r="CA236" i="8"/>
  <c r="CB236" i="8"/>
  <c r="CC236" i="8"/>
  <c r="CA237" i="8"/>
  <c r="CB237" i="8"/>
  <c r="CC237" i="8"/>
  <c r="CA238" i="8"/>
  <c r="CB238" i="8"/>
  <c r="CC238" i="8"/>
  <c r="CA239" i="8"/>
  <c r="CB239" i="8"/>
  <c r="CC239" i="8"/>
  <c r="CA240" i="8"/>
  <c r="CB240" i="8"/>
  <c r="CC240" i="8"/>
  <c r="CA241" i="8"/>
  <c r="CB241" i="8"/>
  <c r="CC241" i="8"/>
  <c r="CA242" i="8"/>
  <c r="CB242" i="8"/>
  <c r="CC242" i="8"/>
  <c r="CA243" i="8"/>
  <c r="CB243" i="8"/>
  <c r="CC243" i="8"/>
  <c r="CA244" i="8"/>
  <c r="CB244" i="8"/>
  <c r="CC244" i="8"/>
  <c r="CA245" i="8"/>
  <c r="CB245" i="8"/>
  <c r="CC245" i="8"/>
  <c r="CA246" i="8"/>
  <c r="CB246" i="8"/>
  <c r="CC246" i="8"/>
  <c r="CA247" i="8"/>
  <c r="CB247" i="8"/>
  <c r="CC247" i="8"/>
  <c r="CA248" i="8"/>
  <c r="CB248" i="8"/>
  <c r="CC248" i="8"/>
  <c r="CA249" i="8"/>
  <c r="CB249" i="8"/>
  <c r="CC249" i="8"/>
  <c r="CA250" i="8"/>
  <c r="CB250" i="8"/>
  <c r="CC250" i="8"/>
  <c r="CA251" i="8"/>
  <c r="CB251" i="8"/>
  <c r="CC251" i="8"/>
  <c r="CA252" i="8"/>
  <c r="CB252" i="8"/>
  <c r="CC252" i="8"/>
  <c r="CA253" i="8"/>
  <c r="CB253" i="8"/>
  <c r="CC253" i="8"/>
  <c r="CA254" i="8"/>
  <c r="CB254" i="8"/>
  <c r="CC254" i="8"/>
  <c r="CA255" i="8"/>
  <c r="CB255" i="8"/>
  <c r="CC255" i="8"/>
  <c r="CA256" i="8"/>
  <c r="CB256" i="8"/>
  <c r="CC256" i="8"/>
  <c r="CA257" i="8"/>
  <c r="CB257" i="8"/>
  <c r="CC257" i="8"/>
  <c r="CA258" i="8"/>
  <c r="CB258" i="8"/>
  <c r="CC258" i="8"/>
  <c r="CA259" i="8"/>
  <c r="CB259" i="8"/>
  <c r="CC259" i="8"/>
  <c r="CA260" i="8"/>
  <c r="CB260" i="8"/>
  <c r="CC260" i="8"/>
  <c r="CA261" i="8"/>
  <c r="CB261" i="8"/>
  <c r="CC261" i="8"/>
  <c r="CA262" i="8"/>
  <c r="CB262" i="8"/>
  <c r="CC262" i="8"/>
  <c r="CA263" i="8"/>
  <c r="CB263" i="8"/>
  <c r="CC263" i="8"/>
  <c r="CA264" i="8"/>
  <c r="CB264" i="8"/>
  <c r="CC264" i="8"/>
  <c r="CA265" i="8"/>
  <c r="CB265" i="8"/>
  <c r="CC265" i="8"/>
  <c r="CA266" i="8"/>
  <c r="CB266" i="8"/>
  <c r="CC266" i="8"/>
  <c r="CA267" i="8"/>
  <c r="CB267" i="8"/>
  <c r="CC267" i="8"/>
  <c r="CA268" i="8"/>
  <c r="CB268" i="8"/>
  <c r="CC268" i="8"/>
  <c r="CA269" i="8"/>
  <c r="CB269" i="8"/>
  <c r="CC269" i="8"/>
  <c r="CA270" i="8"/>
  <c r="CB270" i="8"/>
  <c r="CC270" i="8"/>
  <c r="CA271" i="8"/>
  <c r="CB271" i="8"/>
  <c r="CC271" i="8"/>
  <c r="CA272" i="8"/>
  <c r="CB272" i="8"/>
  <c r="CC272" i="8"/>
  <c r="CA273" i="8"/>
  <c r="CB273" i="8"/>
  <c r="CC273" i="8"/>
  <c r="CA274" i="8"/>
  <c r="CB274" i="8"/>
  <c r="CC274" i="8"/>
  <c r="CA275" i="8"/>
  <c r="CB275" i="8"/>
  <c r="CC275" i="8"/>
  <c r="CA276" i="8"/>
  <c r="CB276" i="8"/>
  <c r="CC276" i="8"/>
  <c r="CA277" i="8"/>
  <c r="CB277" i="8"/>
  <c r="CC277" i="8"/>
  <c r="CA278" i="8"/>
  <c r="CB278" i="8"/>
  <c r="CC278" i="8"/>
  <c r="CA279" i="8"/>
  <c r="CB279" i="8"/>
  <c r="CC279" i="8"/>
  <c r="CA280" i="8"/>
  <c r="CB280" i="8"/>
  <c r="CC280" i="8"/>
  <c r="CA281" i="8"/>
  <c r="CB281" i="8"/>
  <c r="CC281" i="8"/>
  <c r="CA282" i="8"/>
  <c r="CB282" i="8"/>
  <c r="CC282" i="8"/>
  <c r="CA283" i="8"/>
  <c r="CB283" i="8"/>
  <c r="CC283" i="8"/>
  <c r="CA284" i="8"/>
  <c r="CB284" i="8"/>
  <c r="CC284" i="8"/>
  <c r="CA285" i="8"/>
  <c r="CB285" i="8"/>
  <c r="CC285" i="8"/>
  <c r="CA286" i="8"/>
  <c r="CB286" i="8"/>
  <c r="CC286" i="8"/>
  <c r="CA287" i="8"/>
  <c r="CB287" i="8"/>
  <c r="CC287" i="8"/>
  <c r="CA288" i="8"/>
  <c r="CB288" i="8"/>
  <c r="CC288" i="8"/>
  <c r="CA289" i="8"/>
  <c r="CB289" i="8"/>
  <c r="CC289" i="8"/>
  <c r="CA290" i="8"/>
  <c r="CB290" i="8"/>
  <c r="CC290" i="8"/>
  <c r="CA291" i="8"/>
  <c r="CB291" i="8"/>
  <c r="CC291" i="8"/>
  <c r="CA292" i="8"/>
  <c r="CB292" i="8"/>
  <c r="CC292" i="8"/>
  <c r="CA293" i="8"/>
  <c r="CB293" i="8"/>
  <c r="CC293" i="8"/>
  <c r="CA294" i="8"/>
  <c r="CB294" i="8"/>
  <c r="CC294" i="8"/>
  <c r="CA295" i="8"/>
  <c r="CB295" i="8"/>
  <c r="CC295" i="8"/>
  <c r="CA296" i="8"/>
  <c r="CB296" i="8"/>
  <c r="CC296" i="8"/>
  <c r="CA297" i="8"/>
  <c r="CB297" i="8"/>
  <c r="CC297" i="8"/>
  <c r="CA298" i="8"/>
  <c r="CB298" i="8"/>
  <c r="CC298" i="8"/>
  <c r="CA299" i="8"/>
  <c r="CB299" i="8"/>
  <c r="CC299" i="8"/>
  <c r="CA300" i="8"/>
  <c r="CB300" i="8"/>
  <c r="CC300" i="8"/>
  <c r="CA301" i="8"/>
  <c r="CB301" i="8"/>
  <c r="CC301" i="8"/>
  <c r="CA302" i="8"/>
  <c r="CB302" i="8"/>
  <c r="CC302" i="8"/>
  <c r="CA303" i="8"/>
  <c r="CB303" i="8"/>
  <c r="CC303" i="8"/>
  <c r="CA304" i="8"/>
  <c r="CB304" i="8"/>
  <c r="CC304" i="8"/>
  <c r="CA305" i="8"/>
  <c r="CB305" i="8"/>
  <c r="CC305" i="8"/>
  <c r="CA306" i="8"/>
  <c r="CB306" i="8"/>
  <c r="CC306" i="8"/>
  <c r="CA307" i="8"/>
  <c r="CB307" i="8"/>
  <c r="CC307" i="8"/>
  <c r="CA308" i="8"/>
  <c r="CB308" i="8"/>
  <c r="CC308" i="8"/>
  <c r="CA309" i="8"/>
  <c r="CB309" i="8"/>
  <c r="CC309" i="8"/>
  <c r="CA310" i="8"/>
  <c r="CB310" i="8"/>
  <c r="CC310" i="8"/>
  <c r="CA311" i="8"/>
  <c r="CB311" i="8"/>
  <c r="CC311" i="8"/>
  <c r="CA312" i="8"/>
  <c r="CB312" i="8"/>
  <c r="CC312" i="8"/>
  <c r="CA313" i="8"/>
  <c r="CB313" i="8"/>
  <c r="CC313" i="8"/>
  <c r="CA314" i="8"/>
  <c r="CB314" i="8"/>
  <c r="CC314" i="8"/>
  <c r="CA315" i="8"/>
  <c r="CB315" i="8"/>
  <c r="CC315" i="8"/>
  <c r="CA316" i="8"/>
  <c r="CB316" i="8"/>
  <c r="CC316" i="8"/>
  <c r="CA317" i="8"/>
  <c r="CB317" i="8"/>
  <c r="CC317" i="8"/>
  <c r="CA318" i="8"/>
  <c r="CB318" i="8"/>
  <c r="CC318" i="8"/>
  <c r="CA319" i="8"/>
  <c r="CB319" i="8"/>
  <c r="CC319" i="8"/>
  <c r="CA320" i="8"/>
  <c r="CB320" i="8"/>
  <c r="CC320" i="8"/>
  <c r="CA321" i="8"/>
  <c r="CB321" i="8"/>
  <c r="CC321" i="8"/>
  <c r="CA322" i="8"/>
  <c r="CB322" i="8"/>
  <c r="CC322" i="8"/>
  <c r="CA323" i="8"/>
  <c r="CB323" i="8"/>
  <c r="CC323" i="8"/>
  <c r="CA324" i="8"/>
  <c r="CB324" i="8"/>
  <c r="CC324" i="8"/>
  <c r="CA325" i="8"/>
  <c r="CB325" i="8"/>
  <c r="CC325" i="8"/>
  <c r="CA326" i="8"/>
  <c r="CB326" i="8"/>
  <c r="CC326" i="8"/>
  <c r="CA327" i="8"/>
  <c r="CB327" i="8"/>
  <c r="CC327" i="8"/>
  <c r="CA328" i="8"/>
  <c r="CB328" i="8"/>
  <c r="CC328" i="8"/>
  <c r="CA329" i="8"/>
  <c r="CB329" i="8"/>
  <c r="CC329" i="8"/>
  <c r="CA330" i="8"/>
  <c r="CB330" i="8"/>
  <c r="CC330" i="8"/>
  <c r="CA331" i="8"/>
  <c r="CB331" i="8"/>
  <c r="CC331" i="8"/>
  <c r="CA332" i="8"/>
  <c r="CB332" i="8"/>
  <c r="CC332" i="8"/>
  <c r="CA333" i="8"/>
  <c r="CB333" i="8"/>
  <c r="CC333" i="8"/>
  <c r="CA334" i="8"/>
  <c r="CB334" i="8"/>
  <c r="CC334" i="8"/>
  <c r="CA335" i="8"/>
  <c r="CB335" i="8"/>
  <c r="CC335" i="8"/>
  <c r="CA336" i="8"/>
  <c r="CB336" i="8"/>
  <c r="CC336" i="8"/>
  <c r="CA337" i="8"/>
  <c r="CB337" i="8"/>
  <c r="CC337" i="8"/>
  <c r="CA338" i="8"/>
  <c r="CB338" i="8"/>
  <c r="CC338" i="8"/>
  <c r="CA339" i="8"/>
  <c r="CB339" i="8"/>
  <c r="CC339" i="8"/>
  <c r="CA340" i="8"/>
  <c r="CB340" i="8"/>
  <c r="CC340" i="8"/>
  <c r="CA341" i="8"/>
  <c r="CB341" i="8"/>
  <c r="CC341" i="8"/>
  <c r="CA342" i="8"/>
  <c r="CB342" i="8"/>
  <c r="CC342" i="8"/>
  <c r="CA343" i="8"/>
  <c r="CB343" i="8"/>
  <c r="CC343" i="8"/>
  <c r="CA344" i="8"/>
  <c r="CB344" i="8"/>
  <c r="CC344" i="8"/>
  <c r="CA345" i="8"/>
  <c r="CB345" i="8"/>
  <c r="CC345" i="8"/>
  <c r="CA346" i="8"/>
  <c r="CB346" i="8"/>
  <c r="CC346" i="8"/>
  <c r="CA347" i="8"/>
  <c r="CB347" i="8"/>
  <c r="CC347" i="8"/>
  <c r="CA348" i="8"/>
  <c r="CB348" i="8"/>
  <c r="CC348" i="8"/>
  <c r="CA349" i="8"/>
  <c r="CB349" i="8"/>
  <c r="CC349" i="8"/>
  <c r="CA350" i="8"/>
  <c r="CB350" i="8"/>
  <c r="CC350" i="8"/>
  <c r="CA351" i="8"/>
  <c r="CB351" i="8"/>
  <c r="CC351" i="8"/>
  <c r="CA352" i="8"/>
  <c r="CB352" i="8"/>
  <c r="CC352" i="8"/>
  <c r="CA353" i="8"/>
  <c r="CB353" i="8"/>
  <c r="CC353" i="8"/>
  <c r="CA354" i="8"/>
  <c r="CB354" i="8"/>
  <c r="CC354" i="8"/>
  <c r="CA355" i="8"/>
  <c r="CB355" i="8"/>
  <c r="CC355" i="8"/>
  <c r="CA356" i="8"/>
  <c r="CB356" i="8"/>
  <c r="CC356" i="8"/>
  <c r="CA357" i="8"/>
  <c r="CB357" i="8"/>
  <c r="CC357" i="8"/>
  <c r="CA358" i="8"/>
  <c r="CB358" i="8"/>
  <c r="CC358" i="8"/>
  <c r="CA359" i="8"/>
  <c r="CB359" i="8"/>
  <c r="CC359" i="8"/>
  <c r="CA360" i="8"/>
  <c r="CB360" i="8"/>
  <c r="CC360" i="8"/>
  <c r="CA361" i="8"/>
  <c r="CB361" i="8"/>
  <c r="CC361" i="8"/>
  <c r="CA362" i="8"/>
  <c r="CB362" i="8"/>
  <c r="CC362" i="8"/>
  <c r="CA363" i="8"/>
  <c r="CB363" i="8"/>
  <c r="CC363" i="8"/>
  <c r="CA364" i="8"/>
  <c r="CB364" i="8"/>
  <c r="CC364" i="8"/>
  <c r="CA365" i="8"/>
  <c r="CB365" i="8"/>
  <c r="CC365" i="8"/>
  <c r="CA366" i="8"/>
  <c r="CB366" i="8"/>
  <c r="CC366" i="8"/>
  <c r="CA367" i="8"/>
  <c r="CB367" i="8"/>
  <c r="CC367" i="8"/>
  <c r="CA368" i="8"/>
  <c r="CB368" i="8"/>
  <c r="CC368" i="8"/>
  <c r="CA369" i="8"/>
  <c r="CB369" i="8"/>
  <c r="CC369" i="8"/>
  <c r="CA370" i="8"/>
  <c r="CB370" i="8"/>
  <c r="CC370" i="8"/>
  <c r="CA11" i="8"/>
  <c r="CB11" i="8"/>
  <c r="CC11" i="8"/>
  <c r="BY12" i="8" l="1"/>
  <c r="BY15" i="8"/>
  <c r="BY18" i="8"/>
  <c r="BY21" i="8"/>
  <c r="BY24" i="8"/>
  <c r="BY27" i="8"/>
  <c r="BY30" i="8"/>
  <c r="BY33" i="8"/>
  <c r="BY36" i="8"/>
  <c r="BY39" i="8"/>
  <c r="BY42" i="8"/>
  <c r="BY45" i="8"/>
  <c r="BY48" i="8"/>
  <c r="BY51" i="8"/>
  <c r="BY54" i="8"/>
  <c r="BY57" i="8"/>
  <c r="BY60" i="8"/>
  <c r="BY63" i="8"/>
  <c r="BY66" i="8"/>
  <c r="BY69" i="8"/>
  <c r="BY72" i="8"/>
  <c r="BY75" i="8"/>
  <c r="BY78" i="8"/>
  <c r="BY81" i="8"/>
  <c r="BY84" i="8"/>
  <c r="BY87" i="8"/>
  <c r="BY90" i="8"/>
  <c r="BY93" i="8"/>
  <c r="BY96" i="8"/>
  <c r="BY99" i="8"/>
  <c r="BY102" i="8"/>
  <c r="BY105" i="8"/>
  <c r="BY108" i="8"/>
  <c r="BY111" i="8"/>
  <c r="BY114" i="8"/>
  <c r="BY117" i="8"/>
  <c r="BY120" i="8"/>
  <c r="BY123" i="8"/>
  <c r="BY126" i="8"/>
  <c r="BY129" i="8"/>
  <c r="BY132" i="8"/>
  <c r="BY135" i="8"/>
  <c r="BY138" i="8"/>
  <c r="BY141" i="8"/>
  <c r="BY144" i="8"/>
  <c r="BY147" i="8"/>
  <c r="BY150" i="8"/>
  <c r="BY153" i="8"/>
  <c r="BY156" i="8"/>
  <c r="BY159" i="8"/>
  <c r="BY162" i="8"/>
  <c r="BY165" i="8"/>
  <c r="BY168" i="8"/>
  <c r="BY171" i="8"/>
  <c r="BY174" i="8"/>
  <c r="BY177" i="8"/>
  <c r="BY180" i="8"/>
  <c r="BY183" i="8"/>
  <c r="BY186" i="8"/>
  <c r="BY189" i="8"/>
  <c r="BY192" i="8"/>
  <c r="BY195" i="8"/>
  <c r="BY198" i="8"/>
  <c r="BY201" i="8"/>
  <c r="BY204" i="8"/>
  <c r="BY207" i="8"/>
  <c r="BY210" i="8"/>
  <c r="BY213" i="8"/>
  <c r="BY216" i="8"/>
  <c r="BY219" i="8"/>
  <c r="BY222" i="8"/>
  <c r="BY225" i="8"/>
  <c r="BY228" i="8"/>
  <c r="BY231" i="8"/>
  <c r="BY234" i="8"/>
  <c r="BY237" i="8"/>
  <c r="BY240" i="8"/>
  <c r="BY243" i="8"/>
  <c r="BY246" i="8"/>
  <c r="BY249" i="8"/>
  <c r="BY252" i="8"/>
  <c r="BY255" i="8"/>
  <c r="BY258" i="8"/>
  <c r="BY261" i="8"/>
  <c r="BY264" i="8"/>
  <c r="BY259" i="8"/>
  <c r="BY277" i="8"/>
  <c r="BY286" i="8"/>
  <c r="BY295" i="8"/>
  <c r="BY304" i="8"/>
  <c r="BY313" i="8"/>
  <c r="BY322" i="8"/>
  <c r="BY232" i="8"/>
  <c r="BY241" i="8"/>
  <c r="BY247" i="8"/>
  <c r="BY253" i="8"/>
  <c r="BY262" i="8"/>
  <c r="BY268" i="8"/>
  <c r="BY274" i="8"/>
  <c r="BY283" i="8"/>
  <c r="BY292" i="8"/>
  <c r="BY301" i="8"/>
  <c r="BY310" i="8"/>
  <c r="BY319" i="8"/>
  <c r="BY13" i="8"/>
  <c r="BY16" i="8"/>
  <c r="BY19" i="8"/>
  <c r="BY22" i="8"/>
  <c r="BY25" i="8"/>
  <c r="BY28" i="8"/>
  <c r="BY31" i="8"/>
  <c r="BY34" i="8"/>
  <c r="BY37" i="8"/>
  <c r="BY40" i="8"/>
  <c r="BY43" i="8"/>
  <c r="BY46" i="8"/>
  <c r="BY49" i="8"/>
  <c r="BY52" i="8"/>
  <c r="BY55" i="8"/>
  <c r="BY58" i="8"/>
  <c r="BY61" i="8"/>
  <c r="BY64" i="8"/>
  <c r="BY67" i="8"/>
  <c r="BY70" i="8"/>
  <c r="BY73" i="8"/>
  <c r="BY76" i="8"/>
  <c r="BY79" i="8"/>
  <c r="BY82" i="8"/>
  <c r="BY85" i="8"/>
  <c r="BY88" i="8"/>
  <c r="BY91" i="8"/>
  <c r="BY94" i="8"/>
  <c r="BY97" i="8"/>
  <c r="BY100" i="8"/>
  <c r="BY103" i="8"/>
  <c r="BY106" i="8"/>
  <c r="BY109" i="8"/>
  <c r="BY112" i="8"/>
  <c r="BY115" i="8"/>
  <c r="BY118" i="8"/>
  <c r="BY121" i="8"/>
  <c r="BY124" i="8"/>
  <c r="BY127" i="8"/>
  <c r="BY130" i="8"/>
  <c r="BY133" i="8"/>
  <c r="BY136" i="8"/>
  <c r="BY139" i="8"/>
  <c r="BY142" i="8"/>
  <c r="BY145" i="8"/>
  <c r="BY148" i="8"/>
  <c r="BY151" i="8"/>
  <c r="BY154" i="8"/>
  <c r="BY157" i="8"/>
  <c r="BY160" i="8"/>
  <c r="BY163" i="8"/>
  <c r="BY166" i="8"/>
  <c r="BY169" i="8"/>
  <c r="BY172" i="8"/>
  <c r="BY175" i="8"/>
  <c r="BY178" i="8"/>
  <c r="BY181" i="8"/>
  <c r="BY184" i="8"/>
  <c r="BY187" i="8"/>
  <c r="BY190" i="8"/>
  <c r="BY193" i="8"/>
  <c r="BY196" i="8"/>
  <c r="BY199" i="8"/>
  <c r="BY202" i="8"/>
  <c r="BY205" i="8"/>
  <c r="BY208" i="8"/>
  <c r="BY211" i="8"/>
  <c r="BY214" i="8"/>
  <c r="BY217" i="8"/>
  <c r="BY220" i="8"/>
  <c r="BY223" i="8"/>
  <c r="BY226" i="8"/>
  <c r="BY229" i="8"/>
  <c r="BY235" i="8"/>
  <c r="BY238" i="8"/>
  <c r="BY244" i="8"/>
  <c r="BY250" i="8"/>
  <c r="BY256" i="8"/>
  <c r="BY265" i="8"/>
  <c r="BY271" i="8"/>
  <c r="BY280" i="8"/>
  <c r="BY289" i="8"/>
  <c r="BY298" i="8"/>
  <c r="BY307" i="8"/>
  <c r="BY316" i="8"/>
  <c r="BY218" i="8"/>
  <c r="BY230" i="8"/>
  <c r="BY239" i="8"/>
  <c r="BY248" i="8"/>
  <c r="BY257" i="8"/>
  <c r="BY263" i="8"/>
  <c r="BY269" i="8"/>
  <c r="BY278" i="8"/>
  <c r="BY287" i="8"/>
  <c r="BY290" i="8"/>
  <c r="BY299" i="8"/>
  <c r="BY308" i="8"/>
  <c r="BY314" i="8"/>
  <c r="BY320" i="8"/>
  <c r="BY329" i="8"/>
  <c r="BY338" i="8"/>
  <c r="BY347" i="8"/>
  <c r="BY350" i="8"/>
  <c r="BY359" i="8"/>
  <c r="BY368" i="8"/>
  <c r="BY221" i="8"/>
  <c r="BY233" i="8"/>
  <c r="BY242" i="8"/>
  <c r="BY254" i="8"/>
  <c r="BY266" i="8"/>
  <c r="BY275" i="8"/>
  <c r="BY284" i="8"/>
  <c r="BY296" i="8"/>
  <c r="BY305" i="8"/>
  <c r="BY317" i="8"/>
  <c r="BY326" i="8"/>
  <c r="BY335" i="8"/>
  <c r="BY341" i="8"/>
  <c r="BY353" i="8"/>
  <c r="BY362" i="8"/>
  <c r="BY14" i="8"/>
  <c r="BY17" i="8"/>
  <c r="BY20" i="8"/>
  <c r="BY23" i="8"/>
  <c r="BY26" i="8"/>
  <c r="BY29" i="8"/>
  <c r="BY32" i="8"/>
  <c r="BY35" i="8"/>
  <c r="BY38" i="8"/>
  <c r="BY41" i="8"/>
  <c r="BY44" i="8"/>
  <c r="BY47" i="8"/>
  <c r="BY50" i="8"/>
  <c r="BY53" i="8"/>
  <c r="BY56" i="8"/>
  <c r="BY59" i="8"/>
  <c r="BY62" i="8"/>
  <c r="BY65" i="8"/>
  <c r="BY68" i="8"/>
  <c r="BY71" i="8"/>
  <c r="BY74" i="8"/>
  <c r="BY77" i="8"/>
  <c r="BY80" i="8"/>
  <c r="BY83" i="8"/>
  <c r="BY86" i="8"/>
  <c r="BY89" i="8"/>
  <c r="BY92" i="8"/>
  <c r="BY95" i="8"/>
  <c r="BY98" i="8"/>
  <c r="BY101" i="8"/>
  <c r="BY104" i="8"/>
  <c r="BY107" i="8"/>
  <c r="BY110" i="8"/>
  <c r="BY113" i="8"/>
  <c r="BY116" i="8"/>
  <c r="BY119" i="8"/>
  <c r="BY122" i="8"/>
  <c r="BY125" i="8"/>
  <c r="BY128" i="8"/>
  <c r="BY131" i="8"/>
  <c r="BY134" i="8"/>
  <c r="BY137" i="8"/>
  <c r="BY140" i="8"/>
  <c r="BY143" i="8"/>
  <c r="BY146" i="8"/>
  <c r="BY149" i="8"/>
  <c r="BY152" i="8"/>
  <c r="BY155" i="8"/>
  <c r="BY158" i="8"/>
  <c r="BY161" i="8"/>
  <c r="BY164" i="8"/>
  <c r="BY167" i="8"/>
  <c r="BY170" i="8"/>
  <c r="BY173" i="8"/>
  <c r="BY176" i="8"/>
  <c r="BY179" i="8"/>
  <c r="BY182" i="8"/>
  <c r="BY185" i="8"/>
  <c r="BY188" i="8"/>
  <c r="BY191" i="8"/>
  <c r="BY194" i="8"/>
  <c r="BY197" i="8"/>
  <c r="BY200" i="8"/>
  <c r="BY203" i="8"/>
  <c r="BY206" i="8"/>
  <c r="BY209" i="8"/>
  <c r="BY212" i="8"/>
  <c r="BY215" i="8"/>
  <c r="BY224" i="8"/>
  <c r="BY227" i="8"/>
  <c r="BY236" i="8"/>
  <c r="BY245" i="8"/>
  <c r="BY251" i="8"/>
  <c r="BY260" i="8"/>
  <c r="BY272" i="8"/>
  <c r="BY281" i="8"/>
  <c r="BY293" i="8"/>
  <c r="BY302" i="8"/>
  <c r="BY311" i="8"/>
  <c r="BY323" i="8"/>
  <c r="BY332" i="8"/>
  <c r="BY344" i="8"/>
  <c r="BY356" i="8"/>
  <c r="BY365" i="8"/>
  <c r="BY345" i="8"/>
  <c r="BY358" i="8"/>
  <c r="BY328" i="8"/>
  <c r="BY325" i="8"/>
  <c r="BY279" i="8"/>
  <c r="BY297" i="8"/>
  <c r="BY315" i="8"/>
  <c r="BY342" i="8"/>
  <c r="BY355" i="8"/>
  <c r="BY352" i="8"/>
  <c r="BY333" i="8"/>
  <c r="BY339" i="8"/>
  <c r="BY346" i="8"/>
  <c r="BY343" i="8"/>
  <c r="BY303" i="8"/>
  <c r="BY364" i="8"/>
  <c r="BY361" i="8"/>
  <c r="BY276" i="8"/>
  <c r="BY294" i="8"/>
  <c r="BY312" i="8"/>
  <c r="BY336" i="8"/>
  <c r="BY349" i="8"/>
  <c r="BY11" i="8"/>
  <c r="BY369" i="8"/>
  <c r="BY354" i="8"/>
  <c r="BY282" i="8"/>
  <c r="BY366" i="8"/>
  <c r="BY321" i="8"/>
  <c r="BY351" i="8"/>
  <c r="BY300" i="8"/>
  <c r="BY273" i="8"/>
  <c r="BY291" i="8"/>
  <c r="BY309" i="8"/>
  <c r="BY330" i="8"/>
  <c r="BY331" i="8"/>
  <c r="BY318" i="8"/>
  <c r="BY327" i="8"/>
  <c r="BY340" i="8"/>
  <c r="BY363" i="8"/>
  <c r="BY360" i="8"/>
  <c r="BY370" i="8"/>
  <c r="BY367" i="8"/>
  <c r="BY270" i="8"/>
  <c r="BY288" i="8"/>
  <c r="BY306" i="8"/>
  <c r="BY324" i="8"/>
  <c r="BY337" i="8"/>
  <c r="BY357" i="8"/>
  <c r="BY267" i="8"/>
  <c r="BY334" i="8"/>
  <c r="BY285" i="8"/>
  <c r="BY348" i="8"/>
  <c r="BZ19" i="8"/>
  <c r="BZ31" i="8"/>
  <c r="BZ43" i="8"/>
  <c r="BZ55" i="8"/>
  <c r="BZ67" i="8"/>
  <c r="BZ79" i="8"/>
  <c r="BZ91" i="8"/>
  <c r="BZ103" i="8"/>
  <c r="BZ115" i="8"/>
  <c r="BZ127" i="8"/>
  <c r="BZ139" i="8"/>
  <c r="BZ151" i="8"/>
  <c r="BZ163" i="8"/>
  <c r="BZ175" i="8"/>
  <c r="BZ187" i="8"/>
  <c r="BZ199" i="8"/>
  <c r="BZ211" i="8"/>
  <c r="BZ223" i="8"/>
  <c r="BZ235" i="8"/>
  <c r="BZ247" i="8"/>
  <c r="BZ259" i="8"/>
  <c r="BZ271" i="8"/>
  <c r="BZ283" i="8"/>
  <c r="BZ295" i="8"/>
  <c r="BZ307" i="8"/>
  <c r="BZ319" i="8"/>
  <c r="BZ331" i="8"/>
  <c r="BZ343" i="8"/>
  <c r="BZ355" i="8"/>
  <c r="BZ367" i="8"/>
  <c r="BZ360" i="8"/>
  <c r="BZ170" i="8"/>
  <c r="BZ302" i="8"/>
  <c r="BZ12" i="8"/>
  <c r="BZ24" i="8"/>
  <c r="BZ36" i="8"/>
  <c r="BZ48" i="8"/>
  <c r="BZ60" i="8"/>
  <c r="BZ72" i="8"/>
  <c r="BZ84" i="8"/>
  <c r="BZ96" i="8"/>
  <c r="BZ108" i="8"/>
  <c r="BZ120" i="8"/>
  <c r="BZ132" i="8"/>
  <c r="BZ144" i="8"/>
  <c r="BZ156" i="8"/>
  <c r="BZ168" i="8"/>
  <c r="BZ180" i="8"/>
  <c r="BZ192" i="8"/>
  <c r="BZ204" i="8"/>
  <c r="BZ216" i="8"/>
  <c r="BZ228" i="8"/>
  <c r="BZ240" i="8"/>
  <c r="BZ252" i="8"/>
  <c r="BZ264" i="8"/>
  <c r="BZ276" i="8"/>
  <c r="BZ288" i="8"/>
  <c r="BZ300" i="8"/>
  <c r="BZ312" i="8"/>
  <c r="BZ324" i="8"/>
  <c r="BZ336" i="8"/>
  <c r="BZ348" i="8"/>
  <c r="BZ365" i="8"/>
  <c r="BZ134" i="8"/>
  <c r="BZ218" i="8"/>
  <c r="BZ266" i="8"/>
  <c r="BZ338" i="8"/>
  <c r="BZ17" i="8"/>
  <c r="BZ29" i="8"/>
  <c r="BZ41" i="8"/>
  <c r="BZ53" i="8"/>
  <c r="BZ65" i="8"/>
  <c r="BZ77" i="8"/>
  <c r="BZ89" i="8"/>
  <c r="BZ101" i="8"/>
  <c r="BZ113" i="8"/>
  <c r="BZ125" i="8"/>
  <c r="BZ137" i="8"/>
  <c r="BZ149" i="8"/>
  <c r="BZ161" i="8"/>
  <c r="BZ173" i="8"/>
  <c r="BZ185" i="8"/>
  <c r="BZ197" i="8"/>
  <c r="BZ209" i="8"/>
  <c r="BZ221" i="8"/>
  <c r="BZ233" i="8"/>
  <c r="BZ245" i="8"/>
  <c r="BZ257" i="8"/>
  <c r="BZ269" i="8"/>
  <c r="BZ281" i="8"/>
  <c r="BZ293" i="8"/>
  <c r="BZ305" i="8"/>
  <c r="BZ317" i="8"/>
  <c r="BZ329" i="8"/>
  <c r="BZ341" i="8"/>
  <c r="BZ353" i="8"/>
  <c r="BZ122" i="8"/>
  <c r="BZ242" i="8"/>
  <c r="BZ326" i="8"/>
  <c r="BZ22" i="8"/>
  <c r="BZ34" i="8"/>
  <c r="BZ46" i="8"/>
  <c r="BZ58" i="8"/>
  <c r="BZ70" i="8"/>
  <c r="BZ82" i="8"/>
  <c r="BZ94" i="8"/>
  <c r="BZ106" i="8"/>
  <c r="BZ118" i="8"/>
  <c r="BZ130" i="8"/>
  <c r="BZ142" i="8"/>
  <c r="BZ154" i="8"/>
  <c r="BZ166" i="8"/>
  <c r="BZ178" i="8"/>
  <c r="BZ190" i="8"/>
  <c r="BZ202" i="8"/>
  <c r="BZ214" i="8"/>
  <c r="BZ226" i="8"/>
  <c r="BZ238" i="8"/>
  <c r="BZ250" i="8"/>
  <c r="BZ262" i="8"/>
  <c r="BZ274" i="8"/>
  <c r="BZ286" i="8"/>
  <c r="BZ298" i="8"/>
  <c r="BZ310" i="8"/>
  <c r="BZ322" i="8"/>
  <c r="BZ334" i="8"/>
  <c r="BZ346" i="8"/>
  <c r="BZ358" i="8"/>
  <c r="BZ370" i="8"/>
  <c r="BZ339" i="8"/>
  <c r="BZ304" i="8"/>
  <c r="BZ50" i="8"/>
  <c r="BZ254" i="8"/>
  <c r="BZ15" i="8"/>
  <c r="BZ27" i="8"/>
  <c r="BZ39" i="8"/>
  <c r="BZ51" i="8"/>
  <c r="BZ63" i="8"/>
  <c r="BZ75" i="8"/>
  <c r="BZ87" i="8"/>
  <c r="BZ99" i="8"/>
  <c r="BZ111" i="8"/>
  <c r="BZ123" i="8"/>
  <c r="BZ135" i="8"/>
  <c r="BZ147" i="8"/>
  <c r="BZ159" i="8"/>
  <c r="BZ171" i="8"/>
  <c r="BZ183" i="8"/>
  <c r="BZ195" i="8"/>
  <c r="BZ207" i="8"/>
  <c r="BZ219" i="8"/>
  <c r="BZ231" i="8"/>
  <c r="BZ243" i="8"/>
  <c r="BZ255" i="8"/>
  <c r="BZ267" i="8"/>
  <c r="BZ279" i="8"/>
  <c r="BZ291" i="8"/>
  <c r="BZ303" i="8"/>
  <c r="BZ315" i="8"/>
  <c r="BZ327" i="8"/>
  <c r="BZ351" i="8"/>
  <c r="BZ363" i="8"/>
  <c r="BZ86" i="8"/>
  <c r="BZ20" i="8"/>
  <c r="BZ32" i="8"/>
  <c r="BZ44" i="8"/>
  <c r="BZ56" i="8"/>
  <c r="BZ68" i="8"/>
  <c r="BZ80" i="8"/>
  <c r="BZ92" i="8"/>
  <c r="BZ104" i="8"/>
  <c r="BZ116" i="8"/>
  <c r="BZ128" i="8"/>
  <c r="BZ140" i="8"/>
  <c r="BZ152" i="8"/>
  <c r="BZ164" i="8"/>
  <c r="BZ176" i="8"/>
  <c r="BZ188" i="8"/>
  <c r="BZ200" i="8"/>
  <c r="BZ212" i="8"/>
  <c r="BZ224" i="8"/>
  <c r="BZ236" i="8"/>
  <c r="BZ248" i="8"/>
  <c r="BZ260" i="8"/>
  <c r="BZ272" i="8"/>
  <c r="BZ284" i="8"/>
  <c r="BZ296" i="8"/>
  <c r="BZ308" i="8"/>
  <c r="BZ320" i="8"/>
  <c r="BZ332" i="8"/>
  <c r="BZ344" i="8"/>
  <c r="BZ356" i="8"/>
  <c r="BZ368" i="8"/>
  <c r="BZ337" i="8"/>
  <c r="BZ328" i="8"/>
  <c r="BZ364" i="8"/>
  <c r="BZ110" i="8"/>
  <c r="BZ182" i="8"/>
  <c r="BZ314" i="8"/>
  <c r="BZ350" i="8"/>
  <c r="BZ13" i="8"/>
  <c r="BZ25" i="8"/>
  <c r="BZ37" i="8"/>
  <c r="BZ49" i="8"/>
  <c r="BZ61" i="8"/>
  <c r="BZ73" i="8"/>
  <c r="BZ85" i="8"/>
  <c r="BZ97" i="8"/>
  <c r="BZ109" i="8"/>
  <c r="BZ121" i="8"/>
  <c r="BZ133" i="8"/>
  <c r="BZ145" i="8"/>
  <c r="BZ157" i="8"/>
  <c r="BZ169" i="8"/>
  <c r="BZ181" i="8"/>
  <c r="BZ193" i="8"/>
  <c r="BZ205" i="8"/>
  <c r="BZ217" i="8"/>
  <c r="BZ229" i="8"/>
  <c r="BZ241" i="8"/>
  <c r="BZ253" i="8"/>
  <c r="BZ265" i="8"/>
  <c r="BZ277" i="8"/>
  <c r="BZ289" i="8"/>
  <c r="BZ301" i="8"/>
  <c r="BZ313" i="8"/>
  <c r="BZ325" i="8"/>
  <c r="BZ349" i="8"/>
  <c r="BZ361" i="8"/>
  <c r="BZ316" i="8"/>
  <c r="BZ352" i="8"/>
  <c r="BZ206" i="8"/>
  <c r="BZ18" i="8"/>
  <c r="BZ30" i="8"/>
  <c r="BZ42" i="8"/>
  <c r="BZ54" i="8"/>
  <c r="BZ66" i="8"/>
  <c r="BZ78" i="8"/>
  <c r="BZ90" i="8"/>
  <c r="BZ102" i="8"/>
  <c r="BZ114" i="8"/>
  <c r="BZ126" i="8"/>
  <c r="BZ138" i="8"/>
  <c r="BZ150" i="8"/>
  <c r="BZ162" i="8"/>
  <c r="BZ174" i="8"/>
  <c r="BZ186" i="8"/>
  <c r="BZ198" i="8"/>
  <c r="BZ210" i="8"/>
  <c r="BZ222" i="8"/>
  <c r="BZ234" i="8"/>
  <c r="BZ246" i="8"/>
  <c r="BZ258" i="8"/>
  <c r="BZ270" i="8"/>
  <c r="BZ282" i="8"/>
  <c r="BZ294" i="8"/>
  <c r="BZ306" i="8"/>
  <c r="BZ318" i="8"/>
  <c r="BZ330" i="8"/>
  <c r="BZ342" i="8"/>
  <c r="BZ354" i="8"/>
  <c r="BZ366" i="8"/>
  <c r="BZ11" i="8"/>
  <c r="BZ335" i="8"/>
  <c r="BZ194" i="8"/>
  <c r="BZ362" i="8"/>
  <c r="BZ23" i="8"/>
  <c r="BZ35" i="8"/>
  <c r="BZ47" i="8"/>
  <c r="BZ59" i="8"/>
  <c r="BZ71" i="8"/>
  <c r="BZ83" i="8"/>
  <c r="BZ95" i="8"/>
  <c r="BZ107" i="8"/>
  <c r="BZ119" i="8"/>
  <c r="BZ131" i="8"/>
  <c r="BZ143" i="8"/>
  <c r="BZ155" i="8"/>
  <c r="BZ167" i="8"/>
  <c r="BZ179" i="8"/>
  <c r="BZ191" i="8"/>
  <c r="BZ203" i="8"/>
  <c r="BZ215" i="8"/>
  <c r="BZ227" i="8"/>
  <c r="BZ239" i="8"/>
  <c r="BZ251" i="8"/>
  <c r="BZ263" i="8"/>
  <c r="BZ275" i="8"/>
  <c r="BZ287" i="8"/>
  <c r="BZ299" i="8"/>
  <c r="BZ311" i="8"/>
  <c r="BZ323" i="8"/>
  <c r="BZ347" i="8"/>
  <c r="BZ359" i="8"/>
  <c r="BZ340" i="8"/>
  <c r="BZ62" i="8"/>
  <c r="BZ98" i="8"/>
  <c r="BZ230" i="8"/>
  <c r="BZ278" i="8"/>
  <c r="BZ16" i="8"/>
  <c r="BZ28" i="8"/>
  <c r="BZ40" i="8"/>
  <c r="BZ52" i="8"/>
  <c r="BZ64" i="8"/>
  <c r="BZ76" i="8"/>
  <c r="BZ88" i="8"/>
  <c r="BZ100" i="8"/>
  <c r="BZ112" i="8"/>
  <c r="BZ124" i="8"/>
  <c r="BZ136" i="8"/>
  <c r="BZ148" i="8"/>
  <c r="BZ160" i="8"/>
  <c r="BZ172" i="8"/>
  <c r="BZ184" i="8"/>
  <c r="BZ196" i="8"/>
  <c r="BZ208" i="8"/>
  <c r="BZ220" i="8"/>
  <c r="BZ232" i="8"/>
  <c r="BZ244" i="8"/>
  <c r="BZ256" i="8"/>
  <c r="BZ268" i="8"/>
  <c r="BZ280" i="8"/>
  <c r="BZ292" i="8"/>
  <c r="BZ158" i="8"/>
  <c r="BZ21" i="8"/>
  <c r="BZ33" i="8"/>
  <c r="BZ45" i="8"/>
  <c r="BZ57" i="8"/>
  <c r="BZ69" i="8"/>
  <c r="BZ81" i="8"/>
  <c r="BZ93" i="8"/>
  <c r="BZ105" i="8"/>
  <c r="BZ117" i="8"/>
  <c r="BZ129" i="8"/>
  <c r="BZ141" i="8"/>
  <c r="BZ153" i="8"/>
  <c r="BZ165" i="8"/>
  <c r="BZ177" i="8"/>
  <c r="BZ189" i="8"/>
  <c r="BZ201" i="8"/>
  <c r="BZ213" i="8"/>
  <c r="BZ225" i="8"/>
  <c r="BZ237" i="8"/>
  <c r="BZ249" i="8"/>
  <c r="BZ261" i="8"/>
  <c r="BZ273" i="8"/>
  <c r="BZ285" i="8"/>
  <c r="BZ297" i="8"/>
  <c r="BZ309" i="8"/>
  <c r="BZ321" i="8"/>
  <c r="BZ333" i="8"/>
  <c r="BZ345" i="8"/>
  <c r="BZ357" i="8"/>
  <c r="BZ369" i="8"/>
  <c r="BZ14" i="8"/>
  <c r="BZ26" i="8"/>
  <c r="BZ38" i="8"/>
  <c r="BZ74" i="8"/>
  <c r="BZ146" i="8"/>
  <c r="BZ290" i="8"/>
  <c r="P11" i="8"/>
  <c r="J11" i="8"/>
  <c r="J12" i="8" s="1"/>
  <c r="J13" i="8" s="1"/>
  <c r="J14" i="8" s="1"/>
  <c r="J15" i="8" s="1"/>
  <c r="J16" i="8" s="1"/>
  <c r="J17" i="8" s="1"/>
  <c r="J18" i="8" s="1"/>
  <c r="J19" i="8" s="1"/>
  <c r="J20" i="8" s="1"/>
  <c r="J21" i="8" s="1"/>
  <c r="J22" i="8" s="1"/>
  <c r="J23" i="8" s="1"/>
  <c r="J24" i="8" s="1"/>
  <c r="J25" i="8" s="1"/>
  <c r="J26" i="8" s="1"/>
  <c r="J27" i="8" s="1"/>
  <c r="J28" i="8" s="1"/>
  <c r="J29" i="8" s="1"/>
  <c r="J30" i="8" s="1"/>
  <c r="J31" i="8" s="1"/>
  <c r="J32" i="8" s="1"/>
  <c r="K11" i="8" l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K26" i="8" s="1"/>
  <c r="K27" i="8" s="1"/>
  <c r="K28" i="8" s="1"/>
  <c r="K29" i="8" s="1"/>
  <c r="K30" i="8" s="1"/>
  <c r="K31" i="8" s="1"/>
  <c r="AD370" i="8"/>
  <c r="AD364" i="8"/>
  <c r="AD365" i="8"/>
  <c r="AD366" i="8"/>
  <c r="AD367" i="8"/>
  <c r="AD368" i="8"/>
  <c r="AD369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12" i="8"/>
  <c r="AD13" i="8"/>
  <c r="AD14" i="8"/>
  <c r="AD15" i="8"/>
  <c r="AD16" i="8"/>
  <c r="AD11" i="8"/>
  <c r="D22" i="8"/>
  <c r="E22" i="8"/>
  <c r="F22" i="8"/>
  <c r="G22" i="8"/>
  <c r="C22" i="8"/>
  <c r="BH169" i="8" l="1"/>
  <c r="BH128" i="8"/>
  <c r="K122" i="11" s="1"/>
  <c r="BH160" i="8"/>
  <c r="BH143" i="8"/>
  <c r="BH148" i="8"/>
  <c r="K142" i="11" s="1"/>
  <c r="BH137" i="8"/>
  <c r="BH127" i="8"/>
  <c r="BH152" i="8"/>
  <c r="K146" i="11" s="1"/>
  <c r="BH123" i="8"/>
  <c r="BH166" i="8"/>
  <c r="BH165" i="8"/>
  <c r="BH157" i="8"/>
  <c r="K151" i="11" s="1"/>
  <c r="BH121" i="8"/>
  <c r="BH147" i="8"/>
  <c r="BH140" i="8"/>
  <c r="K134" i="11" s="1"/>
  <c r="BH161" i="8"/>
  <c r="BH125" i="8"/>
  <c r="BH158" i="8"/>
  <c r="BH130" i="8"/>
  <c r="K124" i="11" s="1"/>
  <c r="BH122" i="8"/>
  <c r="K116" i="11" s="1"/>
  <c r="BH144" i="8"/>
  <c r="K138" i="11" s="1"/>
  <c r="BH149" i="8"/>
  <c r="BH159" i="8"/>
  <c r="K153" i="11" s="1"/>
  <c r="BH139" i="8"/>
  <c r="BH167" i="8"/>
  <c r="BH138" i="8"/>
  <c r="BH133" i="8"/>
  <c r="BH153" i="8"/>
  <c r="BH168" i="8"/>
  <c r="K162" i="11" s="1"/>
  <c r="BH132" i="8"/>
  <c r="K126" i="11" s="1"/>
  <c r="BH151" i="8"/>
  <c r="BH163" i="8"/>
  <c r="K157" i="11" s="1"/>
  <c r="BH136" i="8"/>
  <c r="K130" i="11" s="1"/>
  <c r="BH141" i="8"/>
  <c r="BH126" i="8"/>
  <c r="BH129" i="8"/>
  <c r="BH164" i="8"/>
  <c r="K158" i="11" s="1"/>
  <c r="BH145" i="8"/>
  <c r="BH150" i="8"/>
  <c r="K144" i="11" s="1"/>
  <c r="BH142" i="8"/>
  <c r="BH134" i="8"/>
  <c r="K128" i="11" s="1"/>
  <c r="BH124" i="8"/>
  <c r="K118" i="11" s="1"/>
  <c r="BH135" i="8"/>
  <c r="BH154" i="8"/>
  <c r="K148" i="11" s="1"/>
  <c r="BH146" i="8"/>
  <c r="K140" i="11" s="1"/>
  <c r="BH170" i="8"/>
  <c r="BH131" i="8"/>
  <c r="BH156" i="8"/>
  <c r="K150" i="11" s="1"/>
  <c r="BH155" i="8"/>
  <c r="BH162" i="8"/>
  <c r="K156" i="11" s="1"/>
  <c r="BA13" i="8"/>
  <c r="BA21" i="8"/>
  <c r="BA29" i="8"/>
  <c r="BA37" i="8"/>
  <c r="BA45" i="8"/>
  <c r="BA53" i="8"/>
  <c r="BA61" i="8"/>
  <c r="BA69" i="8"/>
  <c r="BA77" i="8"/>
  <c r="BA85" i="8"/>
  <c r="BA93" i="8"/>
  <c r="BA101" i="8"/>
  <c r="BA109" i="8"/>
  <c r="BA117" i="8"/>
  <c r="BA125" i="8"/>
  <c r="BA133" i="8"/>
  <c r="BA141" i="8"/>
  <c r="BA149" i="8"/>
  <c r="BA157" i="8"/>
  <c r="BA165" i="8"/>
  <c r="BA173" i="8"/>
  <c r="BA181" i="8"/>
  <c r="BA189" i="8"/>
  <c r="BA197" i="8"/>
  <c r="BA205" i="8"/>
  <c r="BA213" i="8"/>
  <c r="BA221" i="8"/>
  <c r="BA229" i="8"/>
  <c r="BA237" i="8"/>
  <c r="BA245" i="8"/>
  <c r="BA253" i="8"/>
  <c r="BA261" i="8"/>
  <c r="BA269" i="8"/>
  <c r="BA277" i="8"/>
  <c r="BA18" i="8"/>
  <c r="BA26" i="8"/>
  <c r="BA34" i="8"/>
  <c r="BA42" i="8"/>
  <c r="BA50" i="8"/>
  <c r="BA58" i="8"/>
  <c r="BA66" i="8"/>
  <c r="BA74" i="8"/>
  <c r="BA82" i="8"/>
  <c r="BA90" i="8"/>
  <c r="BA98" i="8"/>
  <c r="BA106" i="8"/>
  <c r="BA114" i="8"/>
  <c r="BA122" i="8"/>
  <c r="BA130" i="8"/>
  <c r="BA138" i="8"/>
  <c r="BA146" i="8"/>
  <c r="BA154" i="8"/>
  <c r="BA162" i="8"/>
  <c r="BA170" i="8"/>
  <c r="BA178" i="8"/>
  <c r="BA186" i="8"/>
  <c r="BA194" i="8"/>
  <c r="BA202" i="8"/>
  <c r="BA210" i="8"/>
  <c r="BA218" i="8"/>
  <c r="BA226" i="8"/>
  <c r="BA234" i="8"/>
  <c r="BA242" i="8"/>
  <c r="BA250" i="8"/>
  <c r="BA258" i="8"/>
  <c r="BA266" i="8"/>
  <c r="BA274" i="8"/>
  <c r="BA282" i="8"/>
  <c r="BA15" i="8"/>
  <c r="BA23" i="8"/>
  <c r="BA31" i="8"/>
  <c r="BA39" i="8"/>
  <c r="BA47" i="8"/>
  <c r="BA55" i="8"/>
  <c r="BA63" i="8"/>
  <c r="BA71" i="8"/>
  <c r="BA79" i="8"/>
  <c r="BA87" i="8"/>
  <c r="BA95" i="8"/>
  <c r="BA103" i="8"/>
  <c r="BA111" i="8"/>
  <c r="BA119" i="8"/>
  <c r="BA127" i="8"/>
  <c r="BA135" i="8"/>
  <c r="BA143" i="8"/>
  <c r="BA151" i="8"/>
  <c r="BA159" i="8"/>
  <c r="BA12" i="8"/>
  <c r="BA20" i="8"/>
  <c r="BA28" i="8"/>
  <c r="BA36" i="8"/>
  <c r="BA44" i="8"/>
  <c r="BA52" i="8"/>
  <c r="BA60" i="8"/>
  <c r="BA68" i="8"/>
  <c r="BA76" i="8"/>
  <c r="BA84" i="8"/>
  <c r="BA92" i="8"/>
  <c r="BA100" i="8"/>
  <c r="BA108" i="8"/>
  <c r="BA116" i="8"/>
  <c r="BA124" i="8"/>
  <c r="BA132" i="8"/>
  <c r="BA140" i="8"/>
  <c r="BA148" i="8"/>
  <c r="BA156" i="8"/>
  <c r="BA164" i="8"/>
  <c r="BA172" i="8"/>
  <c r="BA180" i="8"/>
  <c r="BA188" i="8"/>
  <c r="BA196" i="8"/>
  <c r="BA204" i="8"/>
  <c r="BA212" i="8"/>
  <c r="BA220" i="8"/>
  <c r="BA228" i="8"/>
  <c r="BA236" i="8"/>
  <c r="BA244" i="8"/>
  <c r="BA252" i="8"/>
  <c r="BA260" i="8"/>
  <c r="BA268" i="8"/>
  <c r="BA276" i="8"/>
  <c r="BA17" i="8"/>
  <c r="BA25" i="8"/>
  <c r="BA33" i="8"/>
  <c r="BA41" i="8"/>
  <c r="BA49" i="8"/>
  <c r="BA57" i="8"/>
  <c r="BA65" i="8"/>
  <c r="BA73" i="8"/>
  <c r="BA81" i="8"/>
  <c r="BA89" i="8"/>
  <c r="BA97" i="8"/>
  <c r="BA105" i="8"/>
  <c r="BA113" i="8"/>
  <c r="BA121" i="8"/>
  <c r="BA129" i="8"/>
  <c r="BA137" i="8"/>
  <c r="BA145" i="8"/>
  <c r="BA153" i="8"/>
  <c r="BA161" i="8"/>
  <c r="BA169" i="8"/>
  <c r="BA177" i="8"/>
  <c r="BA185" i="8"/>
  <c r="BA193" i="8"/>
  <c r="BA201" i="8"/>
  <c r="BA209" i="8"/>
  <c r="BA217" i="8"/>
  <c r="BA225" i="8"/>
  <c r="BA233" i="8"/>
  <c r="BA241" i="8"/>
  <c r="BA249" i="8"/>
  <c r="BA257" i="8"/>
  <c r="BA265" i="8"/>
  <c r="BA273" i="8"/>
  <c r="BA281" i="8"/>
  <c r="BA19" i="8"/>
  <c r="BA27" i="8"/>
  <c r="BA35" i="8"/>
  <c r="BA43" i="8"/>
  <c r="BA51" i="8"/>
  <c r="BA59" i="8"/>
  <c r="BA67" i="8"/>
  <c r="BA75" i="8"/>
  <c r="BA83" i="8"/>
  <c r="BA91" i="8"/>
  <c r="BA99" i="8"/>
  <c r="BA107" i="8"/>
  <c r="BA115" i="8"/>
  <c r="BA123" i="8"/>
  <c r="BA131" i="8"/>
  <c r="BA139" i="8"/>
  <c r="BA147" i="8"/>
  <c r="BA155" i="8"/>
  <c r="BA163" i="8"/>
  <c r="BA171" i="8"/>
  <c r="BA179" i="8"/>
  <c r="BA187" i="8"/>
  <c r="BA195" i="8"/>
  <c r="BA203" i="8"/>
  <c r="BA211" i="8"/>
  <c r="BA219" i="8"/>
  <c r="BA227" i="8"/>
  <c r="BA235" i="8"/>
  <c r="BA243" i="8"/>
  <c r="BA251" i="8"/>
  <c r="BA259" i="8"/>
  <c r="BA267" i="8"/>
  <c r="BA275" i="8"/>
  <c r="BA283" i="8"/>
  <c r="BA30" i="8"/>
  <c r="BA62" i="8"/>
  <c r="BA94" i="8"/>
  <c r="BA126" i="8"/>
  <c r="BA158" i="8"/>
  <c r="BA176" i="8"/>
  <c r="BA206" i="8"/>
  <c r="BA223" i="8"/>
  <c r="BA240" i="8"/>
  <c r="BA270" i="8"/>
  <c r="BA286" i="8"/>
  <c r="BA294" i="8"/>
  <c r="BA302" i="8"/>
  <c r="BA310" i="8"/>
  <c r="BA318" i="8"/>
  <c r="BA326" i="8"/>
  <c r="BA334" i="8"/>
  <c r="BA342" i="8"/>
  <c r="BA350" i="8"/>
  <c r="BA358" i="8"/>
  <c r="BA366" i="8"/>
  <c r="BA102" i="8"/>
  <c r="BA288" i="8"/>
  <c r="BA296" i="8"/>
  <c r="BA312" i="8"/>
  <c r="BA320" i="8"/>
  <c r="BA352" i="8"/>
  <c r="BA360" i="8"/>
  <c r="BA368" i="8"/>
  <c r="BA343" i="8"/>
  <c r="BA24" i="8"/>
  <c r="BA56" i="8"/>
  <c r="BA88" i="8"/>
  <c r="BA120" i="8"/>
  <c r="BA152" i="8"/>
  <c r="BA168" i="8"/>
  <c r="BA198" i="8"/>
  <c r="BA215" i="8"/>
  <c r="BA232" i="8"/>
  <c r="BA262" i="8"/>
  <c r="BA279" i="8"/>
  <c r="BA291" i="8"/>
  <c r="BA299" i="8"/>
  <c r="BA307" i="8"/>
  <c r="BA315" i="8"/>
  <c r="BA323" i="8"/>
  <c r="BA331" i="8"/>
  <c r="BA339" i="8"/>
  <c r="BA347" i="8"/>
  <c r="BA355" i="8"/>
  <c r="BA363" i="8"/>
  <c r="BA254" i="8"/>
  <c r="BA271" i="8"/>
  <c r="BA304" i="8"/>
  <c r="BA336" i="8"/>
  <c r="BA344" i="8"/>
  <c r="BA359" i="8"/>
  <c r="BA329" i="8"/>
  <c r="BA353" i="8"/>
  <c r="BA38" i="8"/>
  <c r="BA70" i="8"/>
  <c r="BA134" i="8"/>
  <c r="BA190" i="8"/>
  <c r="BA207" i="8"/>
  <c r="BA224" i="8"/>
  <c r="BA328" i="8"/>
  <c r="BA11" i="8"/>
  <c r="BA337" i="8"/>
  <c r="BA32" i="8"/>
  <c r="BA64" i="8"/>
  <c r="BA96" i="8"/>
  <c r="BA128" i="8"/>
  <c r="BA160" i="8"/>
  <c r="BA182" i="8"/>
  <c r="BA199" i="8"/>
  <c r="BA216" i="8"/>
  <c r="BA246" i="8"/>
  <c r="BA263" i="8"/>
  <c r="BA280" i="8"/>
  <c r="BA285" i="8"/>
  <c r="BA293" i="8"/>
  <c r="BA301" i="8"/>
  <c r="BA309" i="8"/>
  <c r="BA317" i="8"/>
  <c r="BA325" i="8"/>
  <c r="BA333" i="8"/>
  <c r="BA341" i="8"/>
  <c r="BA349" i="8"/>
  <c r="BA357" i="8"/>
  <c r="BA365" i="8"/>
  <c r="BA183" i="8"/>
  <c r="BA200" i="8"/>
  <c r="BA230" i="8"/>
  <c r="BA264" i="8"/>
  <c r="BA295" i="8"/>
  <c r="BA319" i="8"/>
  <c r="BA327" i="8"/>
  <c r="BA278" i="8"/>
  <c r="BA361" i="8"/>
  <c r="BA14" i="8"/>
  <c r="BA46" i="8"/>
  <c r="BA78" i="8"/>
  <c r="BA110" i="8"/>
  <c r="BA142" i="8"/>
  <c r="BA174" i="8"/>
  <c r="BA191" i="8"/>
  <c r="BA208" i="8"/>
  <c r="BA238" i="8"/>
  <c r="BA255" i="8"/>
  <c r="BA272" i="8"/>
  <c r="BA290" i="8"/>
  <c r="BA298" i="8"/>
  <c r="BA306" i="8"/>
  <c r="BA314" i="8"/>
  <c r="BA322" i="8"/>
  <c r="BA330" i="8"/>
  <c r="BA338" i="8"/>
  <c r="BA346" i="8"/>
  <c r="BA354" i="8"/>
  <c r="BA362" i="8"/>
  <c r="BA370" i="8"/>
  <c r="BA40" i="8"/>
  <c r="BA72" i="8"/>
  <c r="BA104" i="8"/>
  <c r="BA136" i="8"/>
  <c r="BA166" i="8"/>
  <c r="BA247" i="8"/>
  <c r="BA287" i="8"/>
  <c r="BA303" i="8"/>
  <c r="BA311" i="8"/>
  <c r="BA335" i="8"/>
  <c r="BA351" i="8"/>
  <c r="BA367" i="8"/>
  <c r="BA22" i="8"/>
  <c r="BA54" i="8"/>
  <c r="BA86" i="8"/>
  <c r="BA118" i="8"/>
  <c r="BA150" i="8"/>
  <c r="BA175" i="8"/>
  <c r="BA192" i="8"/>
  <c r="BA222" i="8"/>
  <c r="BA239" i="8"/>
  <c r="BA256" i="8"/>
  <c r="BA284" i="8"/>
  <c r="BA292" i="8"/>
  <c r="BA300" i="8"/>
  <c r="BA308" i="8"/>
  <c r="BA316" i="8"/>
  <c r="BA324" i="8"/>
  <c r="BA332" i="8"/>
  <c r="BA340" i="8"/>
  <c r="BA348" i="8"/>
  <c r="BA356" i="8"/>
  <c r="BA364" i="8"/>
  <c r="BA16" i="8"/>
  <c r="BA48" i="8"/>
  <c r="BA80" i="8"/>
  <c r="BA112" i="8"/>
  <c r="BA144" i="8"/>
  <c r="BA167" i="8"/>
  <c r="BA184" i="8"/>
  <c r="BA214" i="8"/>
  <c r="BA231" i="8"/>
  <c r="BA248" i="8"/>
  <c r="BA289" i="8"/>
  <c r="BA297" i="8"/>
  <c r="BA305" i="8"/>
  <c r="BA313" i="8"/>
  <c r="BA321" i="8"/>
  <c r="BA345" i="8"/>
  <c r="BA369" i="8"/>
  <c r="BL139" i="8"/>
  <c r="BL168" i="8"/>
  <c r="BL152" i="8"/>
  <c r="BL123" i="8"/>
  <c r="O117" i="11" s="1"/>
  <c r="BL131" i="8"/>
  <c r="BL156" i="8"/>
  <c r="O150" i="11" s="1"/>
  <c r="BL166" i="8"/>
  <c r="BL137" i="8"/>
  <c r="BL140" i="8"/>
  <c r="BL142" i="8"/>
  <c r="BL127" i="8"/>
  <c r="O121" i="11" s="1"/>
  <c r="BL150" i="8"/>
  <c r="BL141" i="8"/>
  <c r="BL154" i="8"/>
  <c r="BL155" i="8"/>
  <c r="BL146" i="8"/>
  <c r="BL169" i="8"/>
  <c r="BL130" i="8"/>
  <c r="BL144" i="8"/>
  <c r="BL143" i="8"/>
  <c r="BL151" i="8"/>
  <c r="BL161" i="8"/>
  <c r="BL125" i="8"/>
  <c r="O119" i="11" s="1"/>
  <c r="BL158" i="8"/>
  <c r="O152" i="11" s="1"/>
  <c r="BL134" i="8"/>
  <c r="BL163" i="8"/>
  <c r="BL136" i="8"/>
  <c r="BL165" i="8"/>
  <c r="O159" i="11" s="1"/>
  <c r="BL133" i="8"/>
  <c r="O127" i="11" s="1"/>
  <c r="BL122" i="8"/>
  <c r="BL129" i="8"/>
  <c r="BL170" i="8"/>
  <c r="O164" i="11" s="1"/>
  <c r="BL164" i="8"/>
  <c r="BL148" i="8"/>
  <c r="BL153" i="8"/>
  <c r="BL138" i="8"/>
  <c r="BL162" i="8"/>
  <c r="O156" i="11" s="1"/>
  <c r="BL126" i="8"/>
  <c r="BL159" i="8"/>
  <c r="BL167" i="8"/>
  <c r="O161" i="11" s="1"/>
  <c r="BL147" i="8"/>
  <c r="BL124" i="8"/>
  <c r="BL157" i="8"/>
  <c r="BL121" i="8"/>
  <c r="BL135" i="8"/>
  <c r="BL128" i="8"/>
  <c r="BL145" i="8"/>
  <c r="BL160" i="8"/>
  <c r="O154" i="11" s="1"/>
  <c r="BL132" i="8"/>
  <c r="BL149" i="8"/>
  <c r="BE17" i="8"/>
  <c r="BE25" i="8"/>
  <c r="BE33" i="8"/>
  <c r="BE41" i="8"/>
  <c r="BE49" i="8"/>
  <c r="BE57" i="8"/>
  <c r="BE65" i="8"/>
  <c r="BE73" i="8"/>
  <c r="BE81" i="8"/>
  <c r="BE89" i="8"/>
  <c r="BE97" i="8"/>
  <c r="BE105" i="8"/>
  <c r="BE113" i="8"/>
  <c r="BE121" i="8"/>
  <c r="BE129" i="8"/>
  <c r="BE137" i="8"/>
  <c r="BE145" i="8"/>
  <c r="BE153" i="8"/>
  <c r="BE161" i="8"/>
  <c r="BE169" i="8"/>
  <c r="BE177" i="8"/>
  <c r="BE185" i="8"/>
  <c r="BE193" i="8"/>
  <c r="BE201" i="8"/>
  <c r="BE209" i="8"/>
  <c r="BE217" i="8"/>
  <c r="BE225" i="8"/>
  <c r="BE233" i="8"/>
  <c r="BE241" i="8"/>
  <c r="BE249" i="8"/>
  <c r="BE257" i="8"/>
  <c r="BE265" i="8"/>
  <c r="BE273" i="8"/>
  <c r="BE281" i="8"/>
  <c r="BE14" i="8"/>
  <c r="BE22" i="8"/>
  <c r="BE30" i="8"/>
  <c r="BE38" i="8"/>
  <c r="BE46" i="8"/>
  <c r="BE54" i="8"/>
  <c r="BE62" i="8"/>
  <c r="BE70" i="8"/>
  <c r="BE78" i="8"/>
  <c r="BE86" i="8"/>
  <c r="BE94" i="8"/>
  <c r="BE102" i="8"/>
  <c r="BE110" i="8"/>
  <c r="BE118" i="8"/>
  <c r="BE126" i="8"/>
  <c r="BE134" i="8"/>
  <c r="BE142" i="8"/>
  <c r="BE150" i="8"/>
  <c r="BE158" i="8"/>
  <c r="BE166" i="8"/>
  <c r="BE174" i="8"/>
  <c r="BE182" i="8"/>
  <c r="BE190" i="8"/>
  <c r="BE198" i="8"/>
  <c r="BE206" i="8"/>
  <c r="BE214" i="8"/>
  <c r="BE222" i="8"/>
  <c r="BE230" i="8"/>
  <c r="BE238" i="8"/>
  <c r="BE246" i="8"/>
  <c r="BE254" i="8"/>
  <c r="BE262" i="8"/>
  <c r="BE270" i="8"/>
  <c r="BE278" i="8"/>
  <c r="BE19" i="8"/>
  <c r="BE27" i="8"/>
  <c r="BE35" i="8"/>
  <c r="BE43" i="8"/>
  <c r="BE51" i="8"/>
  <c r="BE59" i="8"/>
  <c r="BE67" i="8"/>
  <c r="BE75" i="8"/>
  <c r="BE83" i="8"/>
  <c r="BE91" i="8"/>
  <c r="BE99" i="8"/>
  <c r="BE107" i="8"/>
  <c r="BE115" i="8"/>
  <c r="BE123" i="8"/>
  <c r="BE131" i="8"/>
  <c r="BE139" i="8"/>
  <c r="BE147" i="8"/>
  <c r="BE155" i="8"/>
  <c r="BE16" i="8"/>
  <c r="BE24" i="8"/>
  <c r="BE32" i="8"/>
  <c r="BE40" i="8"/>
  <c r="BE48" i="8"/>
  <c r="BE56" i="8"/>
  <c r="BE64" i="8"/>
  <c r="BE72" i="8"/>
  <c r="BE80" i="8"/>
  <c r="BE88" i="8"/>
  <c r="BE96" i="8"/>
  <c r="BE104" i="8"/>
  <c r="BE112" i="8"/>
  <c r="BE120" i="8"/>
  <c r="BE128" i="8"/>
  <c r="BE136" i="8"/>
  <c r="BE144" i="8"/>
  <c r="BE152" i="8"/>
  <c r="BE160" i="8"/>
  <c r="BE168" i="8"/>
  <c r="BE176" i="8"/>
  <c r="BE184" i="8"/>
  <c r="BE192" i="8"/>
  <c r="BE200" i="8"/>
  <c r="BE208" i="8"/>
  <c r="BE216" i="8"/>
  <c r="BE224" i="8"/>
  <c r="BE232" i="8"/>
  <c r="BE240" i="8"/>
  <c r="BE248" i="8"/>
  <c r="BE256" i="8"/>
  <c r="BE264" i="8"/>
  <c r="BE272" i="8"/>
  <c r="BE280" i="8"/>
  <c r="BE13" i="8"/>
  <c r="BE21" i="8"/>
  <c r="BE29" i="8"/>
  <c r="BE37" i="8"/>
  <c r="BE45" i="8"/>
  <c r="BE53" i="8"/>
  <c r="BE61" i="8"/>
  <c r="BE69" i="8"/>
  <c r="BE77" i="8"/>
  <c r="BE85" i="8"/>
  <c r="BE93" i="8"/>
  <c r="BE101" i="8"/>
  <c r="BE109" i="8"/>
  <c r="BE117" i="8"/>
  <c r="BE125" i="8"/>
  <c r="BE133" i="8"/>
  <c r="BE141" i="8"/>
  <c r="BE149" i="8"/>
  <c r="BE157" i="8"/>
  <c r="BE165" i="8"/>
  <c r="BE173" i="8"/>
  <c r="BE181" i="8"/>
  <c r="BE189" i="8"/>
  <c r="BE197" i="8"/>
  <c r="BE205" i="8"/>
  <c r="BE213" i="8"/>
  <c r="BE221" i="8"/>
  <c r="BE229" i="8"/>
  <c r="BE237" i="8"/>
  <c r="BE245" i="8"/>
  <c r="BE253" i="8"/>
  <c r="BE261" i="8"/>
  <c r="BE269" i="8"/>
  <c r="BE277" i="8"/>
  <c r="BE15" i="8"/>
  <c r="BE23" i="8"/>
  <c r="BE31" i="8"/>
  <c r="BE39" i="8"/>
  <c r="BE47" i="8"/>
  <c r="BE55" i="8"/>
  <c r="BE63" i="8"/>
  <c r="BE71" i="8"/>
  <c r="BE79" i="8"/>
  <c r="BE87" i="8"/>
  <c r="BE95" i="8"/>
  <c r="BE103" i="8"/>
  <c r="BE111" i="8"/>
  <c r="BE119" i="8"/>
  <c r="BE127" i="8"/>
  <c r="BE135" i="8"/>
  <c r="BE143" i="8"/>
  <c r="BE151" i="8"/>
  <c r="BE159" i="8"/>
  <c r="BE167" i="8"/>
  <c r="BE175" i="8"/>
  <c r="BE183" i="8"/>
  <c r="BE191" i="8"/>
  <c r="BE199" i="8"/>
  <c r="BE207" i="8"/>
  <c r="BE215" i="8"/>
  <c r="BE223" i="8"/>
  <c r="BE231" i="8"/>
  <c r="BE239" i="8"/>
  <c r="BE247" i="8"/>
  <c r="BE255" i="8"/>
  <c r="BE263" i="8"/>
  <c r="BE271" i="8"/>
  <c r="BE279" i="8"/>
  <c r="BE42" i="8"/>
  <c r="BE74" i="8"/>
  <c r="BE106" i="8"/>
  <c r="BE138" i="8"/>
  <c r="BE171" i="8"/>
  <c r="BE188" i="8"/>
  <c r="BE218" i="8"/>
  <c r="BE235" i="8"/>
  <c r="BE252" i="8"/>
  <c r="BE290" i="8"/>
  <c r="BE298" i="8"/>
  <c r="BE306" i="8"/>
  <c r="BE314" i="8"/>
  <c r="BE322" i="8"/>
  <c r="BE330" i="8"/>
  <c r="BE338" i="8"/>
  <c r="BE346" i="8"/>
  <c r="BE354" i="8"/>
  <c r="BE362" i="8"/>
  <c r="BE370" i="8"/>
  <c r="BE219" i="8"/>
  <c r="BE266" i="8"/>
  <c r="BE316" i="8"/>
  <c r="BE324" i="8"/>
  <c r="BE332" i="8"/>
  <c r="BE340" i="8"/>
  <c r="BE323" i="8"/>
  <c r="BE285" i="8"/>
  <c r="BE365" i="8"/>
  <c r="BE36" i="8"/>
  <c r="BE68" i="8"/>
  <c r="BE100" i="8"/>
  <c r="BE132" i="8"/>
  <c r="BE163" i="8"/>
  <c r="BE180" i="8"/>
  <c r="BE210" i="8"/>
  <c r="BE227" i="8"/>
  <c r="BE244" i="8"/>
  <c r="BE274" i="8"/>
  <c r="BE282" i="8"/>
  <c r="BE287" i="8"/>
  <c r="BE295" i="8"/>
  <c r="BE303" i="8"/>
  <c r="BE311" i="8"/>
  <c r="BE319" i="8"/>
  <c r="BE327" i="8"/>
  <c r="BE335" i="8"/>
  <c r="BE343" i="8"/>
  <c r="BE351" i="8"/>
  <c r="BE359" i="8"/>
  <c r="BE367" i="8"/>
  <c r="BE236" i="8"/>
  <c r="BE284" i="8"/>
  <c r="BE292" i="8"/>
  <c r="BE308" i="8"/>
  <c r="BE356" i="8"/>
  <c r="BE364" i="8"/>
  <c r="BE347" i="8"/>
  <c r="BE341" i="8"/>
  <c r="BE18" i="8"/>
  <c r="BE50" i="8"/>
  <c r="BE82" i="8"/>
  <c r="BE114" i="8"/>
  <c r="BE146" i="8"/>
  <c r="BE172" i="8"/>
  <c r="BE202" i="8"/>
  <c r="BE300" i="8"/>
  <c r="BE348" i="8"/>
  <c r="BE355" i="8"/>
  <c r="BE363" i="8"/>
  <c r="BE357" i="8"/>
  <c r="BE12" i="8"/>
  <c r="BE44" i="8"/>
  <c r="BE76" i="8"/>
  <c r="BE108" i="8"/>
  <c r="BE140" i="8"/>
  <c r="BE164" i="8"/>
  <c r="BE194" i="8"/>
  <c r="BE211" i="8"/>
  <c r="BE228" i="8"/>
  <c r="BE258" i="8"/>
  <c r="BE275" i="8"/>
  <c r="BE289" i="8"/>
  <c r="BE297" i="8"/>
  <c r="BE305" i="8"/>
  <c r="BE313" i="8"/>
  <c r="BE321" i="8"/>
  <c r="BE329" i="8"/>
  <c r="BE337" i="8"/>
  <c r="BE345" i="8"/>
  <c r="BE353" i="8"/>
  <c r="BE361" i="8"/>
  <c r="BE369" i="8"/>
  <c r="BE116" i="8"/>
  <c r="BE242" i="8"/>
  <c r="BE276" i="8"/>
  <c r="BE291" i="8"/>
  <c r="BE307" i="8"/>
  <c r="BE315" i="8"/>
  <c r="BE301" i="8"/>
  <c r="BE317" i="8"/>
  <c r="BE333" i="8"/>
  <c r="BE26" i="8"/>
  <c r="BE58" i="8"/>
  <c r="BE90" i="8"/>
  <c r="BE122" i="8"/>
  <c r="BE154" i="8"/>
  <c r="BE186" i="8"/>
  <c r="BE203" i="8"/>
  <c r="BE220" i="8"/>
  <c r="BE250" i="8"/>
  <c r="BE267" i="8"/>
  <c r="BE286" i="8"/>
  <c r="BE294" i="8"/>
  <c r="BE302" i="8"/>
  <c r="BE310" i="8"/>
  <c r="BE318" i="8"/>
  <c r="BE326" i="8"/>
  <c r="BE334" i="8"/>
  <c r="BE342" i="8"/>
  <c r="BE350" i="8"/>
  <c r="BE358" i="8"/>
  <c r="BE366" i="8"/>
  <c r="BE11" i="8"/>
  <c r="BE20" i="8"/>
  <c r="BE52" i="8"/>
  <c r="BE84" i="8"/>
  <c r="BE148" i="8"/>
  <c r="BE178" i="8"/>
  <c r="BE195" i="8"/>
  <c r="BE212" i="8"/>
  <c r="BE259" i="8"/>
  <c r="BE283" i="8"/>
  <c r="BE299" i="8"/>
  <c r="BE331" i="8"/>
  <c r="BE339" i="8"/>
  <c r="BE349" i="8"/>
  <c r="BE34" i="8"/>
  <c r="BE66" i="8"/>
  <c r="BE98" i="8"/>
  <c r="BE130" i="8"/>
  <c r="BE170" i="8"/>
  <c r="BE187" i="8"/>
  <c r="BE204" i="8"/>
  <c r="BE234" i="8"/>
  <c r="BE251" i="8"/>
  <c r="BE268" i="8"/>
  <c r="BE288" i="8"/>
  <c r="BE296" i="8"/>
  <c r="BE304" i="8"/>
  <c r="BE312" i="8"/>
  <c r="BE320" i="8"/>
  <c r="BE328" i="8"/>
  <c r="BE336" i="8"/>
  <c r="BE344" i="8"/>
  <c r="BE352" i="8"/>
  <c r="BE360" i="8"/>
  <c r="BE368" i="8"/>
  <c r="BE28" i="8"/>
  <c r="BE60" i="8"/>
  <c r="BE92" i="8"/>
  <c r="BE124" i="8"/>
  <c r="BE156" i="8"/>
  <c r="BE162" i="8"/>
  <c r="BE179" i="8"/>
  <c r="BE196" i="8"/>
  <c r="BE226" i="8"/>
  <c r="BE243" i="8"/>
  <c r="BE260" i="8"/>
  <c r="BE293" i="8"/>
  <c r="BE309" i="8"/>
  <c r="BE325" i="8"/>
  <c r="BK136" i="8"/>
  <c r="N130" i="11" s="1"/>
  <c r="AH130" i="11" s="1"/>
  <c r="BK163" i="8"/>
  <c r="N157" i="11" s="1"/>
  <c r="AH157" i="11" s="1"/>
  <c r="BK160" i="8"/>
  <c r="N154" i="11" s="1"/>
  <c r="AH154" i="11" s="1"/>
  <c r="BK153" i="8"/>
  <c r="N147" i="11" s="1"/>
  <c r="AH147" i="11" s="1"/>
  <c r="BK149" i="8"/>
  <c r="N143" i="11" s="1"/>
  <c r="AH143" i="11" s="1"/>
  <c r="BK123" i="8"/>
  <c r="N117" i="11" s="1"/>
  <c r="AH117" i="11" s="1"/>
  <c r="BK164" i="8"/>
  <c r="N158" i="11" s="1"/>
  <c r="AH158" i="11" s="1"/>
  <c r="BK166" i="8"/>
  <c r="N160" i="11" s="1"/>
  <c r="AH160" i="11" s="1"/>
  <c r="BK134" i="8"/>
  <c r="N128" i="11" s="1"/>
  <c r="AH128" i="11" s="1"/>
  <c r="BK127" i="8"/>
  <c r="N121" i="11" s="1"/>
  <c r="AH121" i="11" s="1"/>
  <c r="BK152" i="8"/>
  <c r="N146" i="11" s="1"/>
  <c r="AH146" i="11" s="1"/>
  <c r="BK129" i="8"/>
  <c r="N123" i="11" s="1"/>
  <c r="AH123" i="11" s="1"/>
  <c r="BK140" i="8"/>
  <c r="N134" i="11" s="1"/>
  <c r="AH134" i="11" s="1"/>
  <c r="BK148" i="8"/>
  <c r="N142" i="11" s="1"/>
  <c r="AH142" i="11" s="1"/>
  <c r="BK130" i="8"/>
  <c r="N124" i="11" s="1"/>
  <c r="AH124" i="11" s="1"/>
  <c r="BK137" i="8"/>
  <c r="N131" i="11" s="1"/>
  <c r="AH131" i="11" s="1"/>
  <c r="BK155" i="8"/>
  <c r="N149" i="11" s="1"/>
  <c r="AH149" i="11" s="1"/>
  <c r="BK126" i="8"/>
  <c r="N120" i="11" s="1"/>
  <c r="AH120" i="11" s="1"/>
  <c r="BK154" i="8"/>
  <c r="N148" i="11" s="1"/>
  <c r="AH148" i="11" s="1"/>
  <c r="BK132" i="8"/>
  <c r="N126" i="11" s="1"/>
  <c r="AH126" i="11" s="1"/>
  <c r="BK128" i="8"/>
  <c r="N122" i="11" s="1"/>
  <c r="AH122" i="11" s="1"/>
  <c r="BK169" i="8"/>
  <c r="N163" i="11" s="1"/>
  <c r="AH163" i="11" s="1"/>
  <c r="BK133" i="8"/>
  <c r="N127" i="11" s="1"/>
  <c r="AH127" i="11" s="1"/>
  <c r="BK125" i="8"/>
  <c r="N119" i="11" s="1"/>
  <c r="AH119" i="11" s="1"/>
  <c r="BK147" i="8"/>
  <c r="N141" i="11" s="1"/>
  <c r="AH141" i="11" s="1"/>
  <c r="BK144" i="8"/>
  <c r="N138" i="11" s="1"/>
  <c r="AH138" i="11" s="1"/>
  <c r="BK146" i="8"/>
  <c r="N140" i="11" s="1"/>
  <c r="AH140" i="11" s="1"/>
  <c r="BK151" i="8"/>
  <c r="N145" i="11" s="1"/>
  <c r="AH145" i="11" s="1"/>
  <c r="BK131" i="8"/>
  <c r="N125" i="11" s="1"/>
  <c r="AH125" i="11" s="1"/>
  <c r="BK122" i="8"/>
  <c r="N116" i="11" s="1"/>
  <c r="AH116" i="11" s="1"/>
  <c r="BK165" i="8"/>
  <c r="N159" i="11" s="1"/>
  <c r="AH159" i="11" s="1"/>
  <c r="BK138" i="8"/>
  <c r="N132" i="11" s="1"/>
  <c r="AH132" i="11" s="1"/>
  <c r="BK156" i="8"/>
  <c r="N150" i="11" s="1"/>
  <c r="AH150" i="11" s="1"/>
  <c r="BK161" i="8"/>
  <c r="N155" i="11" s="1"/>
  <c r="AH155" i="11" s="1"/>
  <c r="BK121" i="8"/>
  <c r="N115" i="11" s="1"/>
  <c r="AH115" i="11" s="1"/>
  <c r="BK139" i="8"/>
  <c r="N133" i="11" s="1"/>
  <c r="AH133" i="11" s="1"/>
  <c r="BK168" i="8"/>
  <c r="N162" i="11" s="1"/>
  <c r="AH162" i="11" s="1"/>
  <c r="BK124" i="8"/>
  <c r="N118" i="11" s="1"/>
  <c r="AH118" i="11" s="1"/>
  <c r="BK157" i="8"/>
  <c r="N151" i="11" s="1"/>
  <c r="AH151" i="11" s="1"/>
  <c r="BK159" i="8"/>
  <c r="N153" i="11" s="1"/>
  <c r="AH153" i="11" s="1"/>
  <c r="BK143" i="8"/>
  <c r="N137" i="11" s="1"/>
  <c r="AH137" i="11" s="1"/>
  <c r="BK170" i="8"/>
  <c r="N164" i="11" s="1"/>
  <c r="AH164" i="11" s="1"/>
  <c r="BK145" i="8"/>
  <c r="N139" i="11" s="1"/>
  <c r="AH139" i="11" s="1"/>
  <c r="BK150" i="8"/>
  <c r="N144" i="11" s="1"/>
  <c r="AH144" i="11" s="1"/>
  <c r="BK158" i="8"/>
  <c r="N152" i="11" s="1"/>
  <c r="AH152" i="11" s="1"/>
  <c r="BK167" i="8"/>
  <c r="N161" i="11" s="1"/>
  <c r="AH161" i="11" s="1"/>
  <c r="BK135" i="8"/>
  <c r="N129" i="11" s="1"/>
  <c r="AH129" i="11" s="1"/>
  <c r="BK142" i="8"/>
  <c r="N136" i="11" s="1"/>
  <c r="AH136" i="11" s="1"/>
  <c r="BK141" i="8"/>
  <c r="N135" i="11" s="1"/>
  <c r="AH135" i="11" s="1"/>
  <c r="BK162" i="8"/>
  <c r="N156" i="11" s="1"/>
  <c r="AH156" i="11" s="1"/>
  <c r="BD14" i="8"/>
  <c r="BD22" i="8"/>
  <c r="BD30" i="8"/>
  <c r="BD38" i="8"/>
  <c r="BD46" i="8"/>
  <c r="BD54" i="8"/>
  <c r="BD62" i="8"/>
  <c r="BD70" i="8"/>
  <c r="BD78" i="8"/>
  <c r="BD86" i="8"/>
  <c r="BD94" i="8"/>
  <c r="BD102" i="8"/>
  <c r="BD110" i="8"/>
  <c r="BD118" i="8"/>
  <c r="BD126" i="8"/>
  <c r="BD134" i="8"/>
  <c r="BD142" i="8"/>
  <c r="BD150" i="8"/>
  <c r="BD158" i="8"/>
  <c r="BD166" i="8"/>
  <c r="BD174" i="8"/>
  <c r="BD182" i="8"/>
  <c r="BD190" i="8"/>
  <c r="BD198" i="8"/>
  <c r="BD206" i="8"/>
  <c r="BD214" i="8"/>
  <c r="BD222" i="8"/>
  <c r="BD230" i="8"/>
  <c r="BD238" i="8"/>
  <c r="BD246" i="8"/>
  <c r="BD254" i="8"/>
  <c r="BD262" i="8"/>
  <c r="BD270" i="8"/>
  <c r="BD278" i="8"/>
  <c r="BD19" i="8"/>
  <c r="BD27" i="8"/>
  <c r="BD35" i="8"/>
  <c r="BD43" i="8"/>
  <c r="BD51" i="8"/>
  <c r="BD59" i="8"/>
  <c r="BD67" i="8"/>
  <c r="BD75" i="8"/>
  <c r="BD83" i="8"/>
  <c r="BD91" i="8"/>
  <c r="BD99" i="8"/>
  <c r="BD107" i="8"/>
  <c r="BD115" i="8"/>
  <c r="BD123" i="8"/>
  <c r="BD131" i="8"/>
  <c r="BD139" i="8"/>
  <c r="BD147" i="8"/>
  <c r="BD155" i="8"/>
  <c r="BD163" i="8"/>
  <c r="BD171" i="8"/>
  <c r="BD179" i="8"/>
  <c r="BD187" i="8"/>
  <c r="BD195" i="8"/>
  <c r="BD203" i="8"/>
  <c r="BD211" i="8"/>
  <c r="BD219" i="8"/>
  <c r="BD227" i="8"/>
  <c r="BD235" i="8"/>
  <c r="BD243" i="8"/>
  <c r="BD251" i="8"/>
  <c r="BD259" i="8"/>
  <c r="BD267" i="8"/>
  <c r="BD275" i="8"/>
  <c r="BD16" i="8"/>
  <c r="BD24" i="8"/>
  <c r="BD32" i="8"/>
  <c r="BD40" i="8"/>
  <c r="BD48" i="8"/>
  <c r="BD56" i="8"/>
  <c r="BD64" i="8"/>
  <c r="BD72" i="8"/>
  <c r="BD80" i="8"/>
  <c r="BD88" i="8"/>
  <c r="BD96" i="8"/>
  <c r="BD104" i="8"/>
  <c r="BD112" i="8"/>
  <c r="BD120" i="8"/>
  <c r="BD128" i="8"/>
  <c r="BD136" i="8"/>
  <c r="BD144" i="8"/>
  <c r="BD152" i="8"/>
  <c r="BD160" i="8"/>
  <c r="BD13" i="8"/>
  <c r="BD21" i="8"/>
  <c r="BD29" i="8"/>
  <c r="BD37" i="8"/>
  <c r="BD45" i="8"/>
  <c r="BD53" i="8"/>
  <c r="BD61" i="8"/>
  <c r="BD69" i="8"/>
  <c r="BD77" i="8"/>
  <c r="BD85" i="8"/>
  <c r="BD93" i="8"/>
  <c r="BD101" i="8"/>
  <c r="BD109" i="8"/>
  <c r="BD117" i="8"/>
  <c r="BD125" i="8"/>
  <c r="BD133" i="8"/>
  <c r="BD141" i="8"/>
  <c r="BD149" i="8"/>
  <c r="BD157" i="8"/>
  <c r="BD165" i="8"/>
  <c r="BD173" i="8"/>
  <c r="BD181" i="8"/>
  <c r="BD189" i="8"/>
  <c r="BD197" i="8"/>
  <c r="BD205" i="8"/>
  <c r="BD213" i="8"/>
  <c r="BD221" i="8"/>
  <c r="BD229" i="8"/>
  <c r="BD237" i="8"/>
  <c r="BD245" i="8"/>
  <c r="BD253" i="8"/>
  <c r="BD261" i="8"/>
  <c r="BD269" i="8"/>
  <c r="BD277" i="8"/>
  <c r="BD18" i="8"/>
  <c r="BD26" i="8"/>
  <c r="BD34" i="8"/>
  <c r="BD42" i="8"/>
  <c r="BD50" i="8"/>
  <c r="BD58" i="8"/>
  <c r="BD66" i="8"/>
  <c r="BD74" i="8"/>
  <c r="BD82" i="8"/>
  <c r="BD90" i="8"/>
  <c r="BD98" i="8"/>
  <c r="BD106" i="8"/>
  <c r="BD114" i="8"/>
  <c r="BD122" i="8"/>
  <c r="BD130" i="8"/>
  <c r="BD138" i="8"/>
  <c r="BD146" i="8"/>
  <c r="BD154" i="8"/>
  <c r="BD162" i="8"/>
  <c r="BD170" i="8"/>
  <c r="BD178" i="8"/>
  <c r="BD186" i="8"/>
  <c r="BD194" i="8"/>
  <c r="BD202" i="8"/>
  <c r="BD210" i="8"/>
  <c r="BD218" i="8"/>
  <c r="BD226" i="8"/>
  <c r="BD234" i="8"/>
  <c r="BD242" i="8"/>
  <c r="BD250" i="8"/>
  <c r="BD258" i="8"/>
  <c r="BD266" i="8"/>
  <c r="BD274" i="8"/>
  <c r="BD282" i="8"/>
  <c r="BD12" i="8"/>
  <c r="BD20" i="8"/>
  <c r="BD28" i="8"/>
  <c r="BD36" i="8"/>
  <c r="BD44" i="8"/>
  <c r="BD52" i="8"/>
  <c r="BD60" i="8"/>
  <c r="BD68" i="8"/>
  <c r="BD76" i="8"/>
  <c r="BD84" i="8"/>
  <c r="BD92" i="8"/>
  <c r="BD100" i="8"/>
  <c r="BD108" i="8"/>
  <c r="BD116" i="8"/>
  <c r="BD124" i="8"/>
  <c r="BD132" i="8"/>
  <c r="BD140" i="8"/>
  <c r="BD148" i="8"/>
  <c r="BD156" i="8"/>
  <c r="BD164" i="8"/>
  <c r="BD172" i="8"/>
  <c r="BD180" i="8"/>
  <c r="BD188" i="8"/>
  <c r="BD196" i="8"/>
  <c r="BD204" i="8"/>
  <c r="BD212" i="8"/>
  <c r="BD220" i="8"/>
  <c r="BD228" i="8"/>
  <c r="BD236" i="8"/>
  <c r="BD244" i="8"/>
  <c r="BD252" i="8"/>
  <c r="BD260" i="8"/>
  <c r="BD268" i="8"/>
  <c r="BD276" i="8"/>
  <c r="BD23" i="8"/>
  <c r="BD55" i="8"/>
  <c r="BD87" i="8"/>
  <c r="BD119" i="8"/>
  <c r="BD151" i="8"/>
  <c r="BD167" i="8"/>
  <c r="BD184" i="8"/>
  <c r="BD201" i="8"/>
  <c r="BD231" i="8"/>
  <c r="BD248" i="8"/>
  <c r="BD265" i="8"/>
  <c r="BD287" i="8"/>
  <c r="BD295" i="8"/>
  <c r="BD303" i="8"/>
  <c r="BD311" i="8"/>
  <c r="BD319" i="8"/>
  <c r="BD327" i="8"/>
  <c r="BD335" i="8"/>
  <c r="BD343" i="8"/>
  <c r="BD351" i="8"/>
  <c r="BD359" i="8"/>
  <c r="BD367" i="8"/>
  <c r="BD249" i="8"/>
  <c r="BD289" i="8"/>
  <c r="BD305" i="8"/>
  <c r="BD329" i="8"/>
  <c r="BD337" i="8"/>
  <c r="BD345" i="8"/>
  <c r="BD353" i="8"/>
  <c r="BD352" i="8"/>
  <c r="BD330" i="8"/>
  <c r="BD17" i="8"/>
  <c r="BD49" i="8"/>
  <c r="BD81" i="8"/>
  <c r="BD113" i="8"/>
  <c r="BD145" i="8"/>
  <c r="BD176" i="8"/>
  <c r="BD193" i="8"/>
  <c r="BD223" i="8"/>
  <c r="BD240" i="8"/>
  <c r="BD257" i="8"/>
  <c r="BD284" i="8"/>
  <c r="BD292" i="8"/>
  <c r="BD300" i="8"/>
  <c r="BD308" i="8"/>
  <c r="BD316" i="8"/>
  <c r="BD324" i="8"/>
  <c r="BD332" i="8"/>
  <c r="BD340" i="8"/>
  <c r="BD348" i="8"/>
  <c r="BD356" i="8"/>
  <c r="BD364" i="8"/>
  <c r="BD297" i="8"/>
  <c r="BD313" i="8"/>
  <c r="BD369" i="8"/>
  <c r="BD328" i="8"/>
  <c r="BD368" i="8"/>
  <c r="BD314" i="8"/>
  <c r="BD31" i="8"/>
  <c r="BD63" i="8"/>
  <c r="BD95" i="8"/>
  <c r="BD127" i="8"/>
  <c r="BD159" i="8"/>
  <c r="BD168" i="8"/>
  <c r="BD185" i="8"/>
  <c r="BD215" i="8"/>
  <c r="BD232" i="8"/>
  <c r="BD279" i="8"/>
  <c r="BD321" i="8"/>
  <c r="BD361" i="8"/>
  <c r="BD344" i="8"/>
  <c r="BD25" i="8"/>
  <c r="BD57" i="8"/>
  <c r="BD89" i="8"/>
  <c r="BD121" i="8"/>
  <c r="BD153" i="8"/>
  <c r="BD177" i="8"/>
  <c r="BD207" i="8"/>
  <c r="BD224" i="8"/>
  <c r="BD241" i="8"/>
  <c r="BD271" i="8"/>
  <c r="BD286" i="8"/>
  <c r="BD294" i="8"/>
  <c r="BD302" i="8"/>
  <c r="BD310" i="8"/>
  <c r="BD318" i="8"/>
  <c r="BD326" i="8"/>
  <c r="BD334" i="8"/>
  <c r="BD342" i="8"/>
  <c r="BD350" i="8"/>
  <c r="BD358" i="8"/>
  <c r="BD366" i="8"/>
  <c r="BD11" i="8"/>
  <c r="BD191" i="8"/>
  <c r="BD208" i="8"/>
  <c r="BD255" i="8"/>
  <c r="BD288" i="8"/>
  <c r="BD304" i="8"/>
  <c r="BD312" i="8"/>
  <c r="BD336" i="8"/>
  <c r="BD346" i="8"/>
  <c r="BD354" i="8"/>
  <c r="BD370" i="8"/>
  <c r="BD39" i="8"/>
  <c r="BD71" i="8"/>
  <c r="BD103" i="8"/>
  <c r="BD135" i="8"/>
  <c r="BD169" i="8"/>
  <c r="BD199" i="8"/>
  <c r="BD216" i="8"/>
  <c r="BD233" i="8"/>
  <c r="BD263" i="8"/>
  <c r="BD280" i="8"/>
  <c r="BD283" i="8"/>
  <c r="BD291" i="8"/>
  <c r="BD299" i="8"/>
  <c r="BD307" i="8"/>
  <c r="BD315" i="8"/>
  <c r="BD323" i="8"/>
  <c r="BD331" i="8"/>
  <c r="BD339" i="8"/>
  <c r="BD347" i="8"/>
  <c r="BD355" i="8"/>
  <c r="BD363" i="8"/>
  <c r="BD33" i="8"/>
  <c r="BD65" i="8"/>
  <c r="BD97" i="8"/>
  <c r="BD129" i="8"/>
  <c r="BD161" i="8"/>
  <c r="BD225" i="8"/>
  <c r="BD272" i="8"/>
  <c r="BD296" i="8"/>
  <c r="BD320" i="8"/>
  <c r="BD360" i="8"/>
  <c r="BD362" i="8"/>
  <c r="BD15" i="8"/>
  <c r="BD47" i="8"/>
  <c r="BD79" i="8"/>
  <c r="BD111" i="8"/>
  <c r="BD143" i="8"/>
  <c r="BD183" i="8"/>
  <c r="BD200" i="8"/>
  <c r="BD217" i="8"/>
  <c r="BD247" i="8"/>
  <c r="BD264" i="8"/>
  <c r="BD281" i="8"/>
  <c r="BD285" i="8"/>
  <c r="BD293" i="8"/>
  <c r="BD301" i="8"/>
  <c r="BD309" i="8"/>
  <c r="BD317" i="8"/>
  <c r="BD325" i="8"/>
  <c r="BD333" i="8"/>
  <c r="BD341" i="8"/>
  <c r="BD349" i="8"/>
  <c r="BD357" i="8"/>
  <c r="BD365" i="8"/>
  <c r="BD41" i="8"/>
  <c r="BD73" i="8"/>
  <c r="BD105" i="8"/>
  <c r="BD137" i="8"/>
  <c r="BD175" i="8"/>
  <c r="BD192" i="8"/>
  <c r="BD209" i="8"/>
  <c r="BD239" i="8"/>
  <c r="BD256" i="8"/>
  <c r="BD273" i="8"/>
  <c r="BD290" i="8"/>
  <c r="BD298" i="8"/>
  <c r="BD306" i="8"/>
  <c r="BD322" i="8"/>
  <c r="BD338" i="8"/>
  <c r="BI162" i="8"/>
  <c r="L156" i="11" s="1"/>
  <c r="AF156" i="11" s="1"/>
  <c r="BI131" i="8"/>
  <c r="L125" i="11" s="1"/>
  <c r="AF125" i="11" s="1"/>
  <c r="BI137" i="8"/>
  <c r="L131" i="11" s="1"/>
  <c r="AF131" i="11" s="1"/>
  <c r="BI136" i="8"/>
  <c r="L130" i="11" s="1"/>
  <c r="AF130" i="11" s="1"/>
  <c r="BI157" i="8"/>
  <c r="L151" i="11" s="1"/>
  <c r="AF151" i="11" s="1"/>
  <c r="BI154" i="8"/>
  <c r="L148" i="11" s="1"/>
  <c r="AF148" i="11" s="1"/>
  <c r="BI168" i="8"/>
  <c r="L162" i="11" s="1"/>
  <c r="AF162" i="11" s="1"/>
  <c r="BI145" i="8"/>
  <c r="L139" i="11" s="1"/>
  <c r="AF139" i="11" s="1"/>
  <c r="BI148" i="8"/>
  <c r="L142" i="11" s="1"/>
  <c r="AF142" i="11" s="1"/>
  <c r="BI151" i="8"/>
  <c r="L145" i="11" s="1"/>
  <c r="AF145" i="11" s="1"/>
  <c r="BI166" i="8"/>
  <c r="L160" i="11" s="1"/>
  <c r="AF160" i="11" s="1"/>
  <c r="BI163" i="8"/>
  <c r="L157" i="11" s="1"/>
  <c r="AF157" i="11" s="1"/>
  <c r="BI155" i="8"/>
  <c r="L149" i="11" s="1"/>
  <c r="AF149" i="11" s="1"/>
  <c r="BI170" i="8"/>
  <c r="L164" i="11" s="1"/>
  <c r="AF164" i="11" s="1"/>
  <c r="BI147" i="8"/>
  <c r="L141" i="11" s="1"/>
  <c r="AF141" i="11" s="1"/>
  <c r="BI156" i="8"/>
  <c r="L150" i="11" s="1"/>
  <c r="AF150" i="11" s="1"/>
  <c r="BI158" i="8"/>
  <c r="L152" i="11" s="1"/>
  <c r="AF152" i="11" s="1"/>
  <c r="BI140" i="8"/>
  <c r="L134" i="11" s="1"/>
  <c r="AF134" i="11" s="1"/>
  <c r="BI125" i="8"/>
  <c r="L119" i="11" s="1"/>
  <c r="AF119" i="11" s="1"/>
  <c r="BI164" i="8"/>
  <c r="L158" i="11" s="1"/>
  <c r="AF158" i="11" s="1"/>
  <c r="BI132" i="8"/>
  <c r="L126" i="11" s="1"/>
  <c r="AF126" i="11" s="1"/>
  <c r="BI130" i="8"/>
  <c r="L124" i="11" s="1"/>
  <c r="AF124" i="11" s="1"/>
  <c r="BI123" i="8"/>
  <c r="L117" i="11" s="1"/>
  <c r="AF117" i="11" s="1"/>
  <c r="BI133" i="8"/>
  <c r="L127" i="11" s="1"/>
  <c r="AF127" i="11" s="1"/>
  <c r="BI122" i="8"/>
  <c r="L116" i="11" s="1"/>
  <c r="AF116" i="11" s="1"/>
  <c r="BI150" i="8"/>
  <c r="L144" i="11" s="1"/>
  <c r="AF144" i="11" s="1"/>
  <c r="BI160" i="8"/>
  <c r="L154" i="11" s="1"/>
  <c r="AF154" i="11" s="1"/>
  <c r="BI129" i="8"/>
  <c r="L123" i="11" s="1"/>
  <c r="AF123" i="11" s="1"/>
  <c r="BI146" i="8"/>
  <c r="L140" i="11" s="1"/>
  <c r="AF140" i="11" s="1"/>
  <c r="BI126" i="8"/>
  <c r="L120" i="11" s="1"/>
  <c r="AF120" i="11" s="1"/>
  <c r="BI169" i="8"/>
  <c r="L163" i="11" s="1"/>
  <c r="AF163" i="11" s="1"/>
  <c r="BI161" i="8"/>
  <c r="L155" i="11" s="1"/>
  <c r="AF155" i="11" s="1"/>
  <c r="BI127" i="8"/>
  <c r="L121" i="11" s="1"/>
  <c r="AF121" i="11" s="1"/>
  <c r="BI139" i="8"/>
  <c r="L133" i="11" s="1"/>
  <c r="AF133" i="11" s="1"/>
  <c r="BI134" i="8"/>
  <c r="L128" i="11" s="1"/>
  <c r="AF128" i="11" s="1"/>
  <c r="BI141" i="8"/>
  <c r="L135" i="11" s="1"/>
  <c r="AF135" i="11" s="1"/>
  <c r="BI128" i="8"/>
  <c r="L122" i="11" s="1"/>
  <c r="AF122" i="11" s="1"/>
  <c r="BI143" i="8"/>
  <c r="L137" i="11" s="1"/>
  <c r="AF137" i="11" s="1"/>
  <c r="BI135" i="8"/>
  <c r="L129" i="11" s="1"/>
  <c r="AF129" i="11" s="1"/>
  <c r="BI153" i="8"/>
  <c r="L147" i="11" s="1"/>
  <c r="AF147" i="11" s="1"/>
  <c r="BI142" i="8"/>
  <c r="L136" i="11" s="1"/>
  <c r="AF136" i="11" s="1"/>
  <c r="BI121" i="8"/>
  <c r="L115" i="11" s="1"/>
  <c r="AF115" i="11" s="1"/>
  <c r="BI149" i="8"/>
  <c r="L143" i="11" s="1"/>
  <c r="AF143" i="11" s="1"/>
  <c r="BI138" i="8"/>
  <c r="L132" i="11" s="1"/>
  <c r="AF132" i="11" s="1"/>
  <c r="BI167" i="8"/>
  <c r="L161" i="11" s="1"/>
  <c r="AF161" i="11" s="1"/>
  <c r="BI165" i="8"/>
  <c r="L159" i="11" s="1"/>
  <c r="AF159" i="11" s="1"/>
  <c r="BI124" i="8"/>
  <c r="L118" i="11" s="1"/>
  <c r="AF118" i="11" s="1"/>
  <c r="BI152" i="8"/>
  <c r="L146" i="11" s="1"/>
  <c r="AF146" i="11" s="1"/>
  <c r="BI159" i="8"/>
  <c r="L153" i="11" s="1"/>
  <c r="AF153" i="11" s="1"/>
  <c r="BI144" i="8"/>
  <c r="L138" i="11" s="1"/>
  <c r="AF138" i="11" s="1"/>
  <c r="BB16" i="8"/>
  <c r="BB24" i="8"/>
  <c r="BB32" i="8"/>
  <c r="BB40" i="8"/>
  <c r="BB48" i="8"/>
  <c r="BB56" i="8"/>
  <c r="BB64" i="8"/>
  <c r="BB72" i="8"/>
  <c r="BB80" i="8"/>
  <c r="BB88" i="8"/>
  <c r="BB96" i="8"/>
  <c r="BB104" i="8"/>
  <c r="BB112" i="8"/>
  <c r="BB120" i="8"/>
  <c r="BB128" i="8"/>
  <c r="BB136" i="8"/>
  <c r="BB144" i="8"/>
  <c r="BB152" i="8"/>
  <c r="BB160" i="8"/>
  <c r="BB168" i="8"/>
  <c r="BB176" i="8"/>
  <c r="BB184" i="8"/>
  <c r="BB192" i="8"/>
  <c r="BB200" i="8"/>
  <c r="BB208" i="8"/>
  <c r="BB216" i="8"/>
  <c r="BB224" i="8"/>
  <c r="BB232" i="8"/>
  <c r="BB240" i="8"/>
  <c r="BB248" i="8"/>
  <c r="BB256" i="8"/>
  <c r="BB264" i="8"/>
  <c r="BB272" i="8"/>
  <c r="BB280" i="8"/>
  <c r="BB13" i="8"/>
  <c r="BB21" i="8"/>
  <c r="BB29" i="8"/>
  <c r="BB37" i="8"/>
  <c r="BB45" i="8"/>
  <c r="BB53" i="8"/>
  <c r="BB61" i="8"/>
  <c r="BB69" i="8"/>
  <c r="BB77" i="8"/>
  <c r="BB85" i="8"/>
  <c r="BB93" i="8"/>
  <c r="BB101" i="8"/>
  <c r="BB109" i="8"/>
  <c r="BB117" i="8"/>
  <c r="BB125" i="8"/>
  <c r="BB133" i="8"/>
  <c r="BB141" i="8"/>
  <c r="BB149" i="8"/>
  <c r="BB157" i="8"/>
  <c r="BB165" i="8"/>
  <c r="BB173" i="8"/>
  <c r="BB181" i="8"/>
  <c r="BB189" i="8"/>
  <c r="BB197" i="8"/>
  <c r="BB205" i="8"/>
  <c r="BB213" i="8"/>
  <c r="BB221" i="8"/>
  <c r="BB229" i="8"/>
  <c r="BB237" i="8"/>
  <c r="BB245" i="8"/>
  <c r="BB253" i="8"/>
  <c r="BB261" i="8"/>
  <c r="BB269" i="8"/>
  <c r="BB277" i="8"/>
  <c r="BB18" i="8"/>
  <c r="BB26" i="8"/>
  <c r="BB34" i="8"/>
  <c r="BB42" i="8"/>
  <c r="BB50" i="8"/>
  <c r="BB58" i="8"/>
  <c r="BB66" i="8"/>
  <c r="BB74" i="8"/>
  <c r="BB82" i="8"/>
  <c r="BB90" i="8"/>
  <c r="BB98" i="8"/>
  <c r="BB106" i="8"/>
  <c r="BB114" i="8"/>
  <c r="BB122" i="8"/>
  <c r="BB130" i="8"/>
  <c r="BB138" i="8"/>
  <c r="BB146" i="8"/>
  <c r="BB154" i="8"/>
  <c r="BB15" i="8"/>
  <c r="BB23" i="8"/>
  <c r="BB31" i="8"/>
  <c r="BB39" i="8"/>
  <c r="BB47" i="8"/>
  <c r="BB55" i="8"/>
  <c r="BB63" i="8"/>
  <c r="BB71" i="8"/>
  <c r="BB79" i="8"/>
  <c r="BB87" i="8"/>
  <c r="BB95" i="8"/>
  <c r="BB103" i="8"/>
  <c r="BB111" i="8"/>
  <c r="BB119" i="8"/>
  <c r="BB127" i="8"/>
  <c r="BB135" i="8"/>
  <c r="BB143" i="8"/>
  <c r="BB151" i="8"/>
  <c r="BB159" i="8"/>
  <c r="BB167" i="8"/>
  <c r="BB175" i="8"/>
  <c r="BB183" i="8"/>
  <c r="BB191" i="8"/>
  <c r="BB199" i="8"/>
  <c r="BB207" i="8"/>
  <c r="BB215" i="8"/>
  <c r="BB223" i="8"/>
  <c r="BB231" i="8"/>
  <c r="BB239" i="8"/>
  <c r="BB247" i="8"/>
  <c r="BB255" i="8"/>
  <c r="BB263" i="8"/>
  <c r="BB271" i="8"/>
  <c r="BB279" i="8"/>
  <c r="BB12" i="8"/>
  <c r="BB20" i="8"/>
  <c r="BB28" i="8"/>
  <c r="BB36" i="8"/>
  <c r="BB44" i="8"/>
  <c r="BB52" i="8"/>
  <c r="BB60" i="8"/>
  <c r="BB68" i="8"/>
  <c r="BB76" i="8"/>
  <c r="BB84" i="8"/>
  <c r="BB92" i="8"/>
  <c r="BB100" i="8"/>
  <c r="BB108" i="8"/>
  <c r="BB116" i="8"/>
  <c r="BB124" i="8"/>
  <c r="BB132" i="8"/>
  <c r="BB140" i="8"/>
  <c r="BB148" i="8"/>
  <c r="BB156" i="8"/>
  <c r="BB164" i="8"/>
  <c r="BB172" i="8"/>
  <c r="BB180" i="8"/>
  <c r="BB188" i="8"/>
  <c r="BB196" i="8"/>
  <c r="BB204" i="8"/>
  <c r="BB212" i="8"/>
  <c r="BB220" i="8"/>
  <c r="BB228" i="8"/>
  <c r="BB236" i="8"/>
  <c r="BB244" i="8"/>
  <c r="BB252" i="8"/>
  <c r="BB260" i="8"/>
  <c r="BB268" i="8"/>
  <c r="BB276" i="8"/>
  <c r="BB14" i="8"/>
  <c r="BB22" i="8"/>
  <c r="BB30" i="8"/>
  <c r="BB38" i="8"/>
  <c r="BB46" i="8"/>
  <c r="BB54" i="8"/>
  <c r="BB62" i="8"/>
  <c r="BB70" i="8"/>
  <c r="BB78" i="8"/>
  <c r="BB86" i="8"/>
  <c r="BB94" i="8"/>
  <c r="BB102" i="8"/>
  <c r="BB110" i="8"/>
  <c r="BB118" i="8"/>
  <c r="BB126" i="8"/>
  <c r="BB134" i="8"/>
  <c r="BB142" i="8"/>
  <c r="BB150" i="8"/>
  <c r="BB158" i="8"/>
  <c r="BB166" i="8"/>
  <c r="BB174" i="8"/>
  <c r="BB182" i="8"/>
  <c r="BB190" i="8"/>
  <c r="BB198" i="8"/>
  <c r="BB206" i="8"/>
  <c r="BB214" i="8"/>
  <c r="BB222" i="8"/>
  <c r="BB230" i="8"/>
  <c r="BB238" i="8"/>
  <c r="BB246" i="8"/>
  <c r="BB254" i="8"/>
  <c r="BB262" i="8"/>
  <c r="BB270" i="8"/>
  <c r="BB278" i="8"/>
  <c r="BB17" i="8"/>
  <c r="BB49" i="8"/>
  <c r="BB81" i="8"/>
  <c r="BB113" i="8"/>
  <c r="BB145" i="8"/>
  <c r="BB163" i="8"/>
  <c r="BB193" i="8"/>
  <c r="BB210" i="8"/>
  <c r="BB227" i="8"/>
  <c r="BB257" i="8"/>
  <c r="BB274" i="8"/>
  <c r="BB289" i="8"/>
  <c r="BB297" i="8"/>
  <c r="BB305" i="8"/>
  <c r="BB313" i="8"/>
  <c r="BB321" i="8"/>
  <c r="BB329" i="8"/>
  <c r="BB337" i="8"/>
  <c r="BB345" i="8"/>
  <c r="BB353" i="8"/>
  <c r="BB361" i="8"/>
  <c r="BB369" i="8"/>
  <c r="BB241" i="8"/>
  <c r="BB275" i="8"/>
  <c r="BB283" i="8"/>
  <c r="BB299" i="8"/>
  <c r="BB347" i="8"/>
  <c r="BB363" i="8"/>
  <c r="BB362" i="8"/>
  <c r="BB370" i="8"/>
  <c r="BB316" i="8"/>
  <c r="BB43" i="8"/>
  <c r="BB75" i="8"/>
  <c r="BB107" i="8"/>
  <c r="BB139" i="8"/>
  <c r="BB185" i="8"/>
  <c r="BB202" i="8"/>
  <c r="BB219" i="8"/>
  <c r="BB249" i="8"/>
  <c r="BB266" i="8"/>
  <c r="BB286" i="8"/>
  <c r="BB294" i="8"/>
  <c r="BB302" i="8"/>
  <c r="BB310" i="8"/>
  <c r="BB318" i="8"/>
  <c r="BB326" i="8"/>
  <c r="BB334" i="8"/>
  <c r="BB342" i="8"/>
  <c r="BB350" i="8"/>
  <c r="BB358" i="8"/>
  <c r="BB366" i="8"/>
  <c r="BB11" i="8"/>
  <c r="BB89" i="8"/>
  <c r="BB211" i="8"/>
  <c r="BB323" i="8"/>
  <c r="BB331" i="8"/>
  <c r="BB339" i="8"/>
  <c r="BB282" i="8"/>
  <c r="BB364" i="8"/>
  <c r="BB25" i="8"/>
  <c r="BB57" i="8"/>
  <c r="BB121" i="8"/>
  <c r="BB153" i="8"/>
  <c r="BB177" i="8"/>
  <c r="BB194" i="8"/>
  <c r="BB258" i="8"/>
  <c r="BB291" i="8"/>
  <c r="BB307" i="8"/>
  <c r="BB315" i="8"/>
  <c r="BB355" i="8"/>
  <c r="BB330" i="8"/>
  <c r="BB284" i="8"/>
  <c r="BB348" i="8"/>
  <c r="BB19" i="8"/>
  <c r="BB51" i="8"/>
  <c r="BB83" i="8"/>
  <c r="BB115" i="8"/>
  <c r="BB147" i="8"/>
  <c r="BB169" i="8"/>
  <c r="BB186" i="8"/>
  <c r="BB203" i="8"/>
  <c r="BB233" i="8"/>
  <c r="BB250" i="8"/>
  <c r="BB267" i="8"/>
  <c r="BB288" i="8"/>
  <c r="BB296" i="8"/>
  <c r="BB304" i="8"/>
  <c r="BB312" i="8"/>
  <c r="BB320" i="8"/>
  <c r="BB328" i="8"/>
  <c r="BB336" i="8"/>
  <c r="BB344" i="8"/>
  <c r="BB352" i="8"/>
  <c r="BB360" i="8"/>
  <c r="BB368" i="8"/>
  <c r="BB155" i="8"/>
  <c r="BB217" i="8"/>
  <c r="BB298" i="8"/>
  <c r="BB322" i="8"/>
  <c r="BB338" i="8"/>
  <c r="BB308" i="8"/>
  <c r="BB324" i="8"/>
  <c r="BB340" i="8"/>
  <c r="BB33" i="8"/>
  <c r="BB65" i="8"/>
  <c r="BB97" i="8"/>
  <c r="BB129" i="8"/>
  <c r="BB161" i="8"/>
  <c r="BB178" i="8"/>
  <c r="BB195" i="8"/>
  <c r="BB225" i="8"/>
  <c r="BB242" i="8"/>
  <c r="BB259" i="8"/>
  <c r="BB285" i="8"/>
  <c r="BB293" i="8"/>
  <c r="BB301" i="8"/>
  <c r="BB309" i="8"/>
  <c r="BB317" i="8"/>
  <c r="BB325" i="8"/>
  <c r="BB333" i="8"/>
  <c r="BB341" i="8"/>
  <c r="BB349" i="8"/>
  <c r="BB357" i="8"/>
  <c r="BB365" i="8"/>
  <c r="BB27" i="8"/>
  <c r="BB59" i="8"/>
  <c r="BB91" i="8"/>
  <c r="BB123" i="8"/>
  <c r="BB170" i="8"/>
  <c r="BB187" i="8"/>
  <c r="BB234" i="8"/>
  <c r="BB251" i="8"/>
  <c r="BB281" i="8"/>
  <c r="BB290" i="8"/>
  <c r="BB306" i="8"/>
  <c r="BB314" i="8"/>
  <c r="BB346" i="8"/>
  <c r="BB354" i="8"/>
  <c r="BB41" i="8"/>
  <c r="BB73" i="8"/>
  <c r="BB105" i="8"/>
  <c r="BB137" i="8"/>
  <c r="BB162" i="8"/>
  <c r="BB179" i="8"/>
  <c r="BB209" i="8"/>
  <c r="BB226" i="8"/>
  <c r="BB243" i="8"/>
  <c r="BB273" i="8"/>
  <c r="BB287" i="8"/>
  <c r="BB295" i="8"/>
  <c r="BB303" i="8"/>
  <c r="BB311" i="8"/>
  <c r="BB319" i="8"/>
  <c r="BB327" i="8"/>
  <c r="BB335" i="8"/>
  <c r="BB343" i="8"/>
  <c r="BB351" i="8"/>
  <c r="BB359" i="8"/>
  <c r="BB367" i="8"/>
  <c r="BB35" i="8"/>
  <c r="BB67" i="8"/>
  <c r="BB99" i="8"/>
  <c r="BB131" i="8"/>
  <c r="BB171" i="8"/>
  <c r="BB201" i="8"/>
  <c r="BB218" i="8"/>
  <c r="BB235" i="8"/>
  <c r="BB265" i="8"/>
  <c r="BB292" i="8"/>
  <c r="BB300" i="8"/>
  <c r="BB332" i="8"/>
  <c r="BB356" i="8"/>
  <c r="BJ145" i="8"/>
  <c r="M139" i="11" s="1"/>
  <c r="AG139" i="11" s="1"/>
  <c r="BJ153" i="8"/>
  <c r="M147" i="11" s="1"/>
  <c r="AG147" i="11" s="1"/>
  <c r="BJ155" i="8"/>
  <c r="M149" i="11" s="1"/>
  <c r="AG149" i="11" s="1"/>
  <c r="BJ170" i="8"/>
  <c r="M164" i="11" s="1"/>
  <c r="AG164" i="11" s="1"/>
  <c r="BJ157" i="8"/>
  <c r="M151" i="11" s="1"/>
  <c r="AG151" i="11" s="1"/>
  <c r="BJ166" i="8"/>
  <c r="M160" i="11" s="1"/>
  <c r="AG160" i="11" s="1"/>
  <c r="BJ143" i="8"/>
  <c r="M137" i="11" s="1"/>
  <c r="AG137" i="11" s="1"/>
  <c r="BJ131" i="8"/>
  <c r="M125" i="11" s="1"/>
  <c r="AG125" i="11" s="1"/>
  <c r="BJ130" i="8"/>
  <c r="M124" i="11" s="1"/>
  <c r="AG124" i="11" s="1"/>
  <c r="BJ140" i="8"/>
  <c r="M134" i="11" s="1"/>
  <c r="AG134" i="11" s="1"/>
  <c r="BJ124" i="8"/>
  <c r="M118" i="11" s="1"/>
  <c r="AG118" i="11" s="1"/>
  <c r="BJ136" i="8"/>
  <c r="M130" i="11" s="1"/>
  <c r="AG130" i="11" s="1"/>
  <c r="BJ149" i="8"/>
  <c r="M143" i="11" s="1"/>
  <c r="AG143" i="11" s="1"/>
  <c r="BJ169" i="8"/>
  <c r="M163" i="11" s="1"/>
  <c r="AG163" i="11" s="1"/>
  <c r="BJ137" i="8"/>
  <c r="M131" i="11" s="1"/>
  <c r="AG131" i="11" s="1"/>
  <c r="BJ122" i="8"/>
  <c r="M116" i="11" s="1"/>
  <c r="AG116" i="11" s="1"/>
  <c r="BJ147" i="8"/>
  <c r="M141" i="11" s="1"/>
  <c r="AG141" i="11" s="1"/>
  <c r="BJ129" i="8"/>
  <c r="M123" i="11" s="1"/>
  <c r="AG123" i="11" s="1"/>
  <c r="BJ152" i="8"/>
  <c r="M146" i="11" s="1"/>
  <c r="AG146" i="11" s="1"/>
  <c r="BJ144" i="8"/>
  <c r="M138" i="11" s="1"/>
  <c r="AG138" i="11" s="1"/>
  <c r="BJ165" i="8"/>
  <c r="M159" i="11" s="1"/>
  <c r="AG159" i="11" s="1"/>
  <c r="BJ126" i="8"/>
  <c r="M120" i="11" s="1"/>
  <c r="AG120" i="11" s="1"/>
  <c r="BJ135" i="8"/>
  <c r="M129" i="11" s="1"/>
  <c r="AG129" i="11" s="1"/>
  <c r="BJ161" i="8"/>
  <c r="M155" i="11" s="1"/>
  <c r="AG155" i="11" s="1"/>
  <c r="BJ128" i="8"/>
  <c r="M122" i="11" s="1"/>
  <c r="AG122" i="11" s="1"/>
  <c r="BJ133" i="8"/>
  <c r="M127" i="11" s="1"/>
  <c r="AG127" i="11" s="1"/>
  <c r="BJ158" i="8"/>
  <c r="M152" i="11" s="1"/>
  <c r="AG152" i="11" s="1"/>
  <c r="BJ121" i="8"/>
  <c r="M115" i="11" s="1"/>
  <c r="AG115" i="11" s="1"/>
  <c r="BJ134" i="8"/>
  <c r="M128" i="11" s="1"/>
  <c r="AG128" i="11" s="1"/>
  <c r="BJ154" i="8"/>
  <c r="M148" i="11" s="1"/>
  <c r="AG148" i="11" s="1"/>
  <c r="BJ125" i="8"/>
  <c r="M119" i="11" s="1"/>
  <c r="AG119" i="11" s="1"/>
  <c r="BJ164" i="8"/>
  <c r="M158" i="11" s="1"/>
  <c r="AG158" i="11" s="1"/>
  <c r="BJ150" i="8"/>
  <c r="M144" i="11" s="1"/>
  <c r="AG144" i="11" s="1"/>
  <c r="BJ156" i="8"/>
  <c r="M150" i="11" s="1"/>
  <c r="AG150" i="11" s="1"/>
  <c r="BJ148" i="8"/>
  <c r="M142" i="11" s="1"/>
  <c r="AG142" i="11" s="1"/>
  <c r="BJ139" i="8"/>
  <c r="M133" i="11" s="1"/>
  <c r="AG133" i="11" s="1"/>
  <c r="BJ132" i="8"/>
  <c r="M126" i="11" s="1"/>
  <c r="AG126" i="11" s="1"/>
  <c r="BJ146" i="8"/>
  <c r="M140" i="11" s="1"/>
  <c r="AG140" i="11" s="1"/>
  <c r="BJ167" i="8"/>
  <c r="M161" i="11" s="1"/>
  <c r="AG161" i="11" s="1"/>
  <c r="BJ159" i="8"/>
  <c r="M153" i="11" s="1"/>
  <c r="AG153" i="11" s="1"/>
  <c r="BJ123" i="8"/>
  <c r="M117" i="11" s="1"/>
  <c r="AG117" i="11" s="1"/>
  <c r="BJ142" i="8"/>
  <c r="M136" i="11" s="1"/>
  <c r="AG136" i="11" s="1"/>
  <c r="BJ163" i="8"/>
  <c r="M157" i="11" s="1"/>
  <c r="AG157" i="11" s="1"/>
  <c r="BJ127" i="8"/>
  <c r="M121" i="11" s="1"/>
  <c r="AG121" i="11" s="1"/>
  <c r="BJ168" i="8"/>
  <c r="M162" i="11" s="1"/>
  <c r="AG162" i="11" s="1"/>
  <c r="BJ160" i="8"/>
  <c r="M154" i="11" s="1"/>
  <c r="AG154" i="11" s="1"/>
  <c r="BJ141" i="8"/>
  <c r="M135" i="11" s="1"/>
  <c r="AG135" i="11" s="1"/>
  <c r="BJ162" i="8"/>
  <c r="M156" i="11" s="1"/>
  <c r="AG156" i="11" s="1"/>
  <c r="BJ138" i="8"/>
  <c r="M132" i="11" s="1"/>
  <c r="AG132" i="11" s="1"/>
  <c r="BJ151" i="8"/>
  <c r="M145" i="11" s="1"/>
  <c r="AG145" i="11" s="1"/>
  <c r="BC19" i="8"/>
  <c r="BC27" i="8"/>
  <c r="BC35" i="8"/>
  <c r="BC43" i="8"/>
  <c r="BC51" i="8"/>
  <c r="BC59" i="8"/>
  <c r="BC67" i="8"/>
  <c r="BC75" i="8"/>
  <c r="BC83" i="8"/>
  <c r="BC91" i="8"/>
  <c r="BC99" i="8"/>
  <c r="BC107" i="8"/>
  <c r="BC115" i="8"/>
  <c r="BC123" i="8"/>
  <c r="BC131" i="8"/>
  <c r="BC139" i="8"/>
  <c r="BC147" i="8"/>
  <c r="BC155" i="8"/>
  <c r="BC163" i="8"/>
  <c r="BC171" i="8"/>
  <c r="BC179" i="8"/>
  <c r="BC187" i="8"/>
  <c r="BC195" i="8"/>
  <c r="BC203" i="8"/>
  <c r="BC211" i="8"/>
  <c r="BC219" i="8"/>
  <c r="BC227" i="8"/>
  <c r="BC235" i="8"/>
  <c r="BC243" i="8"/>
  <c r="BC251" i="8"/>
  <c r="BC259" i="8"/>
  <c r="BC267" i="8"/>
  <c r="BC275" i="8"/>
  <c r="BC16" i="8"/>
  <c r="BC24" i="8"/>
  <c r="BC32" i="8"/>
  <c r="BC40" i="8"/>
  <c r="BC48" i="8"/>
  <c r="BC56" i="8"/>
  <c r="BC64" i="8"/>
  <c r="BC72" i="8"/>
  <c r="BC80" i="8"/>
  <c r="BC88" i="8"/>
  <c r="BC96" i="8"/>
  <c r="BC104" i="8"/>
  <c r="BC112" i="8"/>
  <c r="BC120" i="8"/>
  <c r="BC128" i="8"/>
  <c r="BC136" i="8"/>
  <c r="BC144" i="8"/>
  <c r="BC152" i="8"/>
  <c r="BC160" i="8"/>
  <c r="BC168" i="8"/>
  <c r="BC176" i="8"/>
  <c r="BC184" i="8"/>
  <c r="BC192" i="8"/>
  <c r="BC200" i="8"/>
  <c r="BC208" i="8"/>
  <c r="BC216" i="8"/>
  <c r="BC224" i="8"/>
  <c r="BC232" i="8"/>
  <c r="BC240" i="8"/>
  <c r="BC248" i="8"/>
  <c r="BC256" i="8"/>
  <c r="BC264" i="8"/>
  <c r="BC272" i="8"/>
  <c r="BC280" i="8"/>
  <c r="BC13" i="8"/>
  <c r="BC21" i="8"/>
  <c r="BC29" i="8"/>
  <c r="BC37" i="8"/>
  <c r="BC45" i="8"/>
  <c r="BC53" i="8"/>
  <c r="BC61" i="8"/>
  <c r="BC69" i="8"/>
  <c r="BC77" i="8"/>
  <c r="BC85" i="8"/>
  <c r="BC93" i="8"/>
  <c r="BC101" i="8"/>
  <c r="BC109" i="8"/>
  <c r="BC117" i="8"/>
  <c r="BC125" i="8"/>
  <c r="BC133" i="8"/>
  <c r="BC141" i="8"/>
  <c r="BC149" i="8"/>
  <c r="BC157" i="8"/>
  <c r="BC18" i="8"/>
  <c r="BC26" i="8"/>
  <c r="BC34" i="8"/>
  <c r="BC42" i="8"/>
  <c r="BC50" i="8"/>
  <c r="BC58" i="8"/>
  <c r="BC66" i="8"/>
  <c r="BC74" i="8"/>
  <c r="BC82" i="8"/>
  <c r="BC90" i="8"/>
  <c r="BC98" i="8"/>
  <c r="BC106" i="8"/>
  <c r="BC114" i="8"/>
  <c r="BC122" i="8"/>
  <c r="BC130" i="8"/>
  <c r="BC138" i="8"/>
  <c r="BC146" i="8"/>
  <c r="BC154" i="8"/>
  <c r="BC162" i="8"/>
  <c r="BC170" i="8"/>
  <c r="BC178" i="8"/>
  <c r="BC186" i="8"/>
  <c r="BC194" i="8"/>
  <c r="BC202" i="8"/>
  <c r="BC210" i="8"/>
  <c r="BC218" i="8"/>
  <c r="BC226" i="8"/>
  <c r="BC234" i="8"/>
  <c r="BC242" i="8"/>
  <c r="BC250" i="8"/>
  <c r="BC258" i="8"/>
  <c r="BC266" i="8"/>
  <c r="BC274" i="8"/>
  <c r="BC15" i="8"/>
  <c r="BC23" i="8"/>
  <c r="BC31" i="8"/>
  <c r="BC39" i="8"/>
  <c r="BC47" i="8"/>
  <c r="BC55" i="8"/>
  <c r="BC63" i="8"/>
  <c r="BC71" i="8"/>
  <c r="BC79" i="8"/>
  <c r="BC87" i="8"/>
  <c r="BC95" i="8"/>
  <c r="BC103" i="8"/>
  <c r="BC111" i="8"/>
  <c r="BC119" i="8"/>
  <c r="BC127" i="8"/>
  <c r="BC135" i="8"/>
  <c r="BC143" i="8"/>
  <c r="BC151" i="8"/>
  <c r="BC159" i="8"/>
  <c r="BC167" i="8"/>
  <c r="BC175" i="8"/>
  <c r="BC183" i="8"/>
  <c r="BC191" i="8"/>
  <c r="BC199" i="8"/>
  <c r="BC207" i="8"/>
  <c r="BC215" i="8"/>
  <c r="BC223" i="8"/>
  <c r="BC231" i="8"/>
  <c r="BC239" i="8"/>
  <c r="BC247" i="8"/>
  <c r="BC255" i="8"/>
  <c r="BC263" i="8"/>
  <c r="BC271" i="8"/>
  <c r="BC279" i="8"/>
  <c r="BC17" i="8"/>
  <c r="BC25" i="8"/>
  <c r="BC33" i="8"/>
  <c r="BC41" i="8"/>
  <c r="BC49" i="8"/>
  <c r="BC57" i="8"/>
  <c r="BC65" i="8"/>
  <c r="BC73" i="8"/>
  <c r="BC81" i="8"/>
  <c r="BC89" i="8"/>
  <c r="BC97" i="8"/>
  <c r="BC105" i="8"/>
  <c r="BC113" i="8"/>
  <c r="BC121" i="8"/>
  <c r="BC129" i="8"/>
  <c r="BC137" i="8"/>
  <c r="BC145" i="8"/>
  <c r="BC153" i="8"/>
  <c r="BC161" i="8"/>
  <c r="BC169" i="8"/>
  <c r="BC177" i="8"/>
  <c r="BC185" i="8"/>
  <c r="BC193" i="8"/>
  <c r="BC201" i="8"/>
  <c r="BC209" i="8"/>
  <c r="BC217" i="8"/>
  <c r="BC225" i="8"/>
  <c r="BC233" i="8"/>
  <c r="BC241" i="8"/>
  <c r="BC249" i="8"/>
  <c r="BC257" i="8"/>
  <c r="BC265" i="8"/>
  <c r="BC273" i="8"/>
  <c r="BC281" i="8"/>
  <c r="BC36" i="8"/>
  <c r="BC68" i="8"/>
  <c r="BC100" i="8"/>
  <c r="BC132" i="8"/>
  <c r="BC180" i="8"/>
  <c r="BC197" i="8"/>
  <c r="BC214" i="8"/>
  <c r="BC244" i="8"/>
  <c r="BC261" i="8"/>
  <c r="BC278" i="8"/>
  <c r="BC282" i="8"/>
  <c r="BC284" i="8"/>
  <c r="BC292" i="8"/>
  <c r="BC300" i="8"/>
  <c r="BC308" i="8"/>
  <c r="BC316" i="8"/>
  <c r="BC324" i="8"/>
  <c r="BC332" i="8"/>
  <c r="BC340" i="8"/>
  <c r="BC348" i="8"/>
  <c r="BC356" i="8"/>
  <c r="BC364" i="8"/>
  <c r="BC262" i="8"/>
  <c r="BC286" i="8"/>
  <c r="BC294" i="8"/>
  <c r="BC302" i="8"/>
  <c r="BC310" i="8"/>
  <c r="BC358" i="8"/>
  <c r="BC366" i="8"/>
  <c r="BC343" i="8"/>
  <c r="BC351" i="8"/>
  <c r="BC359" i="8"/>
  <c r="BC30" i="8"/>
  <c r="BC62" i="8"/>
  <c r="BC94" i="8"/>
  <c r="BC126" i="8"/>
  <c r="BC158" i="8"/>
  <c r="BC172" i="8"/>
  <c r="BC189" i="8"/>
  <c r="BC206" i="8"/>
  <c r="BC236" i="8"/>
  <c r="BC253" i="8"/>
  <c r="BC270" i="8"/>
  <c r="BC289" i="8"/>
  <c r="BC297" i="8"/>
  <c r="BC305" i="8"/>
  <c r="BC313" i="8"/>
  <c r="BC321" i="8"/>
  <c r="BC329" i="8"/>
  <c r="BC337" i="8"/>
  <c r="BC345" i="8"/>
  <c r="BC353" i="8"/>
  <c r="BC361" i="8"/>
  <c r="BC369" i="8"/>
  <c r="BC318" i="8"/>
  <c r="BC326" i="8"/>
  <c r="BC350" i="8"/>
  <c r="BC12" i="8"/>
  <c r="BC44" i="8"/>
  <c r="BC76" i="8"/>
  <c r="BC108" i="8"/>
  <c r="BC140" i="8"/>
  <c r="BC164" i="8"/>
  <c r="BC181" i="8"/>
  <c r="BC198" i="8"/>
  <c r="BC228" i="8"/>
  <c r="BC245" i="8"/>
  <c r="BC334" i="8"/>
  <c r="BC342" i="8"/>
  <c r="BC11" i="8"/>
  <c r="BC311" i="8"/>
  <c r="BC327" i="8"/>
  <c r="BC367" i="8"/>
  <c r="BC38" i="8"/>
  <c r="BC70" i="8"/>
  <c r="BC102" i="8"/>
  <c r="BC134" i="8"/>
  <c r="BC173" i="8"/>
  <c r="BC190" i="8"/>
  <c r="BC220" i="8"/>
  <c r="BC237" i="8"/>
  <c r="BC254" i="8"/>
  <c r="BC283" i="8"/>
  <c r="BC291" i="8"/>
  <c r="BC299" i="8"/>
  <c r="BC307" i="8"/>
  <c r="BC315" i="8"/>
  <c r="BC323" i="8"/>
  <c r="BC331" i="8"/>
  <c r="BC339" i="8"/>
  <c r="BC347" i="8"/>
  <c r="BC355" i="8"/>
  <c r="BC363" i="8"/>
  <c r="BC174" i="8"/>
  <c r="BC285" i="8"/>
  <c r="BC301" i="8"/>
  <c r="BC333" i="8"/>
  <c r="BC341" i="8"/>
  <c r="BC349" i="8"/>
  <c r="BC357" i="8"/>
  <c r="BC365" i="8"/>
  <c r="BC20" i="8"/>
  <c r="BC52" i="8"/>
  <c r="BC84" i="8"/>
  <c r="BC116" i="8"/>
  <c r="BC148" i="8"/>
  <c r="BC165" i="8"/>
  <c r="BC182" i="8"/>
  <c r="BC212" i="8"/>
  <c r="BC229" i="8"/>
  <c r="BC246" i="8"/>
  <c r="BC276" i="8"/>
  <c r="BC288" i="8"/>
  <c r="BC296" i="8"/>
  <c r="BC304" i="8"/>
  <c r="BC312" i="8"/>
  <c r="BC320" i="8"/>
  <c r="BC328" i="8"/>
  <c r="BC336" i="8"/>
  <c r="BC344" i="8"/>
  <c r="BC352" i="8"/>
  <c r="BC360" i="8"/>
  <c r="BC368" i="8"/>
  <c r="BC14" i="8"/>
  <c r="BC46" i="8"/>
  <c r="BC78" i="8"/>
  <c r="BC110" i="8"/>
  <c r="BC142" i="8"/>
  <c r="BC204" i="8"/>
  <c r="BC221" i="8"/>
  <c r="BC238" i="8"/>
  <c r="BC268" i="8"/>
  <c r="BC293" i="8"/>
  <c r="BC309" i="8"/>
  <c r="BC325" i="8"/>
  <c r="BC269" i="8"/>
  <c r="BC319" i="8"/>
  <c r="BC335" i="8"/>
  <c r="BC317" i="8"/>
  <c r="BC28" i="8"/>
  <c r="BC60" i="8"/>
  <c r="BC92" i="8"/>
  <c r="BC124" i="8"/>
  <c r="BC156" i="8"/>
  <c r="BC166" i="8"/>
  <c r="BC196" i="8"/>
  <c r="BC213" i="8"/>
  <c r="BC230" i="8"/>
  <c r="BC260" i="8"/>
  <c r="BC277" i="8"/>
  <c r="BC290" i="8"/>
  <c r="BC298" i="8"/>
  <c r="BC306" i="8"/>
  <c r="BC314" i="8"/>
  <c r="BC322" i="8"/>
  <c r="BC330" i="8"/>
  <c r="BC338" i="8"/>
  <c r="BC346" i="8"/>
  <c r="BC354" i="8"/>
  <c r="BC362" i="8"/>
  <c r="BC370" i="8"/>
  <c r="BC22" i="8"/>
  <c r="BC54" i="8"/>
  <c r="BC86" i="8"/>
  <c r="BC118" i="8"/>
  <c r="BC150" i="8"/>
  <c r="BC188" i="8"/>
  <c r="BC205" i="8"/>
  <c r="BC222" i="8"/>
  <c r="BC252" i="8"/>
  <c r="BC287" i="8"/>
  <c r="BC295" i="8"/>
  <c r="BC303" i="8"/>
  <c r="D31" i="8"/>
  <c r="D32" i="8"/>
  <c r="O122" i="11" l="1"/>
  <c r="V122" i="11" s="1"/>
  <c r="O120" i="11"/>
  <c r="V120" i="11" s="1"/>
  <c r="O116" i="11"/>
  <c r="V116" i="11"/>
  <c r="O155" i="11"/>
  <c r="V155" i="11" s="1"/>
  <c r="O148" i="11"/>
  <c r="V148" i="11" s="1"/>
  <c r="V150" i="11"/>
  <c r="W150" i="11"/>
  <c r="X150" i="11"/>
  <c r="AI150" i="11"/>
  <c r="Y150" i="11"/>
  <c r="Q150" i="11"/>
  <c r="T150" i="11"/>
  <c r="S150" i="11"/>
  <c r="R150" i="11"/>
  <c r="AE150" i="11"/>
  <c r="K136" i="11"/>
  <c r="Q136" i="11" s="1"/>
  <c r="Q157" i="11"/>
  <c r="AE157" i="11"/>
  <c r="S157" i="11"/>
  <c r="T157" i="11"/>
  <c r="R157" i="11"/>
  <c r="K133" i="11"/>
  <c r="Q133" i="11" s="1"/>
  <c r="K155" i="11"/>
  <c r="Q155" i="11" s="1"/>
  <c r="Q146" i="11"/>
  <c r="R146" i="11"/>
  <c r="S146" i="11"/>
  <c r="T146" i="11"/>
  <c r="AE146" i="11"/>
  <c r="O129" i="11"/>
  <c r="V129" i="11" s="1"/>
  <c r="V156" i="11"/>
  <c r="W156" i="11"/>
  <c r="AI156" i="11"/>
  <c r="X156" i="11"/>
  <c r="Y156" i="11"/>
  <c r="V127" i="11"/>
  <c r="Y127" i="11"/>
  <c r="X127" i="11"/>
  <c r="W127" i="11"/>
  <c r="AI127" i="11"/>
  <c r="O145" i="11"/>
  <c r="V145" i="11" s="1"/>
  <c r="O135" i="11"/>
  <c r="V135" i="11" s="1"/>
  <c r="O125" i="11"/>
  <c r="V125" i="11" s="1"/>
  <c r="K125" i="11"/>
  <c r="Q125" i="11" s="1"/>
  <c r="Q144" i="11"/>
  <c r="R144" i="11"/>
  <c r="AE144" i="11"/>
  <c r="S144" i="11"/>
  <c r="T144" i="11"/>
  <c r="K145" i="11"/>
  <c r="Q145" i="11" s="1"/>
  <c r="Q153" i="11"/>
  <c r="T153" i="11"/>
  <c r="R153" i="11"/>
  <c r="AE153" i="11"/>
  <c r="S153" i="11"/>
  <c r="Q134" i="11"/>
  <c r="R134" i="11"/>
  <c r="AE134" i="11"/>
  <c r="S134" i="11"/>
  <c r="T134" i="11"/>
  <c r="K121" i="11"/>
  <c r="Q121" i="11" s="1"/>
  <c r="O115" i="11"/>
  <c r="V115" i="11" s="1"/>
  <c r="O132" i="11"/>
  <c r="V132" i="11" s="1"/>
  <c r="V159" i="11"/>
  <c r="X159" i="11"/>
  <c r="W159" i="11"/>
  <c r="Y159" i="11"/>
  <c r="AI159" i="11"/>
  <c r="O137" i="11"/>
  <c r="V137" i="11" s="1"/>
  <c r="O144" i="11"/>
  <c r="V144" i="11" s="1"/>
  <c r="V117" i="11"/>
  <c r="AI117" i="11"/>
  <c r="X117" i="11"/>
  <c r="W117" i="11"/>
  <c r="Y117" i="11"/>
  <c r="K164" i="11"/>
  <c r="Q164" i="11" s="1"/>
  <c r="K139" i="11"/>
  <c r="Q126" i="11"/>
  <c r="T126" i="11"/>
  <c r="R126" i="11"/>
  <c r="S126" i="11"/>
  <c r="AE126" i="11"/>
  <c r="K143" i="11"/>
  <c r="Q143" i="11" s="1"/>
  <c r="K141" i="11"/>
  <c r="Q141" i="11" s="1"/>
  <c r="K131" i="11"/>
  <c r="Q131" i="11" s="1"/>
  <c r="O151" i="11"/>
  <c r="V151" i="11" s="1"/>
  <c r="O147" i="11"/>
  <c r="V147" i="11" s="1"/>
  <c r="O130" i="11"/>
  <c r="V130" i="11" s="1"/>
  <c r="O138" i="11"/>
  <c r="V138" i="11" s="1"/>
  <c r="V121" i="11"/>
  <c r="AI121" i="11"/>
  <c r="Y121" i="11"/>
  <c r="W121" i="11"/>
  <c r="X121" i="11"/>
  <c r="O146" i="11"/>
  <c r="V146" i="11" s="1"/>
  <c r="Q140" i="11"/>
  <c r="AE140" i="11"/>
  <c r="S140" i="11"/>
  <c r="T140" i="11"/>
  <c r="R140" i="11"/>
  <c r="Q158" i="11"/>
  <c r="R158" i="11"/>
  <c r="S158" i="11"/>
  <c r="AE158" i="11"/>
  <c r="T158" i="11"/>
  <c r="Q162" i="11"/>
  <c r="R162" i="11"/>
  <c r="S162" i="11"/>
  <c r="T162" i="11"/>
  <c r="AE162" i="11"/>
  <c r="Q138" i="11"/>
  <c r="R138" i="11"/>
  <c r="S138" i="11"/>
  <c r="T138" i="11"/>
  <c r="AE138" i="11"/>
  <c r="K115" i="11"/>
  <c r="Q142" i="11"/>
  <c r="R142" i="11"/>
  <c r="AE142" i="11"/>
  <c r="S142" i="11"/>
  <c r="T142" i="11"/>
  <c r="O143" i="11"/>
  <c r="V143" i="11" s="1"/>
  <c r="O118" i="11"/>
  <c r="V118" i="11" s="1"/>
  <c r="O142" i="11"/>
  <c r="V142" i="11" s="1"/>
  <c r="O157" i="11"/>
  <c r="V157" i="11" s="1"/>
  <c r="O124" i="11"/>
  <c r="V124" i="11" s="1"/>
  <c r="O136" i="11"/>
  <c r="V136" i="11" s="1"/>
  <c r="O162" i="11"/>
  <c r="V162" i="11" s="1"/>
  <c r="Q148" i="11"/>
  <c r="R148" i="11"/>
  <c r="T148" i="11"/>
  <c r="S148" i="11"/>
  <c r="AE148" i="11"/>
  <c r="K123" i="11"/>
  <c r="Q123" i="11" s="1"/>
  <c r="K147" i="11"/>
  <c r="Q147" i="11" s="1"/>
  <c r="Q116" i="11"/>
  <c r="R116" i="11"/>
  <c r="AE116" i="11"/>
  <c r="S116" i="11"/>
  <c r="T116" i="11"/>
  <c r="Q151" i="11"/>
  <c r="S151" i="11"/>
  <c r="T151" i="11"/>
  <c r="R151" i="11"/>
  <c r="AE151" i="11"/>
  <c r="K137" i="11"/>
  <c r="O126" i="11"/>
  <c r="V126" i="11" s="1"/>
  <c r="O141" i="11"/>
  <c r="V141" i="11" s="1"/>
  <c r="O158" i="11"/>
  <c r="V158" i="11" s="1"/>
  <c r="O128" i="11"/>
  <c r="O163" i="11"/>
  <c r="V163" i="11" s="1"/>
  <c r="O134" i="11"/>
  <c r="V134" i="11" s="1"/>
  <c r="O133" i="11"/>
  <c r="V133" i="11" s="1"/>
  <c r="K129" i="11"/>
  <c r="K120" i="11"/>
  <c r="Q120" i="11" s="1"/>
  <c r="K127" i="11"/>
  <c r="Q127" i="11" s="1"/>
  <c r="Q124" i="11"/>
  <c r="S124" i="11"/>
  <c r="R124" i="11"/>
  <c r="T124" i="11"/>
  <c r="AE124" i="11"/>
  <c r="K159" i="11"/>
  <c r="Q159" i="11" s="1"/>
  <c r="K154" i="11"/>
  <c r="Q154" i="11" s="1"/>
  <c r="V154" i="11"/>
  <c r="W154" i="11"/>
  <c r="X154" i="11"/>
  <c r="AI154" i="11"/>
  <c r="Y154" i="11"/>
  <c r="V161" i="11"/>
  <c r="Y161" i="11"/>
  <c r="W161" i="11"/>
  <c r="AI161" i="11"/>
  <c r="X161" i="11"/>
  <c r="V164" i="11"/>
  <c r="Y164" i="11"/>
  <c r="AI164" i="11"/>
  <c r="W164" i="11"/>
  <c r="X164" i="11"/>
  <c r="V152" i="11"/>
  <c r="X152" i="11"/>
  <c r="AI152" i="11"/>
  <c r="W152" i="11"/>
  <c r="Y152" i="11"/>
  <c r="O140" i="11"/>
  <c r="V140" i="11" s="1"/>
  <c r="O131" i="11"/>
  <c r="V131" i="11" s="1"/>
  <c r="Q156" i="11"/>
  <c r="S156" i="11"/>
  <c r="T156" i="11"/>
  <c r="AE156" i="11"/>
  <c r="R156" i="11"/>
  <c r="Q118" i="11"/>
  <c r="R118" i="11"/>
  <c r="S118" i="11"/>
  <c r="AE118" i="11"/>
  <c r="T118" i="11"/>
  <c r="K135" i="11"/>
  <c r="Q135" i="11" s="1"/>
  <c r="K132" i="11"/>
  <c r="Q132" i="11" s="1"/>
  <c r="K152" i="11"/>
  <c r="Q152" i="11" s="1"/>
  <c r="K160" i="11"/>
  <c r="Q160" i="11" s="1"/>
  <c r="Q122" i="11"/>
  <c r="T122" i="11"/>
  <c r="S122" i="11"/>
  <c r="AE122" i="11"/>
  <c r="R122" i="11"/>
  <c r="O139" i="11"/>
  <c r="V139" i="11" s="1"/>
  <c r="O153" i="11"/>
  <c r="O123" i="11"/>
  <c r="V123" i="11" s="1"/>
  <c r="V119" i="11"/>
  <c r="W119" i="11"/>
  <c r="AI119" i="11"/>
  <c r="X119" i="11"/>
  <c r="Y119" i="11"/>
  <c r="O149" i="11"/>
  <c r="V149" i="11" s="1"/>
  <c r="O160" i="11"/>
  <c r="V160" i="11" s="1"/>
  <c r="K149" i="11"/>
  <c r="Q149" i="11" s="1"/>
  <c r="Q128" i="11"/>
  <c r="R128" i="11"/>
  <c r="S128" i="11"/>
  <c r="AE128" i="11"/>
  <c r="T128" i="11"/>
  <c r="Q130" i="11"/>
  <c r="S130" i="11"/>
  <c r="AE130" i="11"/>
  <c r="T130" i="11"/>
  <c r="R130" i="11"/>
  <c r="K161" i="11"/>
  <c r="Q161" i="11" s="1"/>
  <c r="K119" i="11"/>
  <c r="Q119" i="11" s="1"/>
  <c r="K117" i="11"/>
  <c r="Q117" i="11" s="1"/>
  <c r="K163" i="11"/>
  <c r="Q163" i="11" s="1"/>
  <c r="D33" i="8"/>
  <c r="AF365" i="8"/>
  <c r="AF24" i="8"/>
  <c r="AF36" i="8"/>
  <c r="AF48" i="8"/>
  <c r="AF60" i="8"/>
  <c r="AF72" i="8"/>
  <c r="AF84" i="8"/>
  <c r="AF96" i="8"/>
  <c r="AF108" i="8"/>
  <c r="AF120" i="8"/>
  <c r="AF132" i="8"/>
  <c r="AF144" i="8"/>
  <c r="AF156" i="8"/>
  <c r="AF168" i="8"/>
  <c r="AF180" i="8"/>
  <c r="AF17" i="8"/>
  <c r="AF29" i="8"/>
  <c r="AF41" i="8"/>
  <c r="AF53" i="8"/>
  <c r="AF65" i="8"/>
  <c r="AF77" i="8"/>
  <c r="AF89" i="8"/>
  <c r="AF101" i="8"/>
  <c r="AF113" i="8"/>
  <c r="AF125" i="8"/>
  <c r="AF137" i="8"/>
  <c r="AF149" i="8"/>
  <c r="AF161" i="8"/>
  <c r="AF173" i="8"/>
  <c r="AF185" i="8"/>
  <c r="AF197" i="8"/>
  <c r="AF209" i="8"/>
  <c r="AF221" i="8"/>
  <c r="AF233" i="8"/>
  <c r="AF245" i="8"/>
  <c r="AF257" i="8"/>
  <c r="AF370" i="8"/>
  <c r="AF22" i="8"/>
  <c r="AF34" i="8"/>
  <c r="AF46" i="8"/>
  <c r="AF58" i="8"/>
  <c r="AF70" i="8"/>
  <c r="AF82" i="8"/>
  <c r="AF94" i="8"/>
  <c r="AF106" i="8"/>
  <c r="AF368" i="8"/>
  <c r="AF27" i="8"/>
  <c r="AF39" i="8"/>
  <c r="AF51" i="8"/>
  <c r="AF63" i="8"/>
  <c r="AF75" i="8"/>
  <c r="AF87" i="8"/>
  <c r="AF20" i="8"/>
  <c r="AF32" i="8"/>
  <c r="AF44" i="8"/>
  <c r="AF56" i="8"/>
  <c r="AF68" i="8"/>
  <c r="AF80" i="8"/>
  <c r="AF92" i="8"/>
  <c r="AF366" i="8"/>
  <c r="AF25" i="8"/>
  <c r="AF37" i="8"/>
  <c r="AF49" i="8"/>
  <c r="AF61" i="8"/>
  <c r="AF73" i="8"/>
  <c r="AF85" i="8"/>
  <c r="AF97" i="8"/>
  <c r="AF109" i="8"/>
  <c r="AF121" i="8"/>
  <c r="AF133" i="8"/>
  <c r="AF145" i="8"/>
  <c r="AF157" i="8"/>
  <c r="AF169" i="8"/>
  <c r="AF181" i="8"/>
  <c r="AF193" i="8"/>
  <c r="AF205" i="8"/>
  <c r="AF217" i="8"/>
  <c r="AF229" i="8"/>
  <c r="AF241" i="8"/>
  <c r="AF253" i="8"/>
  <c r="AF18" i="8"/>
  <c r="AF30" i="8"/>
  <c r="AF42" i="8"/>
  <c r="AF54" i="8"/>
  <c r="AF66" i="8"/>
  <c r="AF78" i="8"/>
  <c r="AF90" i="8"/>
  <c r="AF102" i="8"/>
  <c r="AF114" i="8"/>
  <c r="AF126" i="8"/>
  <c r="AF138" i="8"/>
  <c r="AF150" i="8"/>
  <c r="AF162" i="8"/>
  <c r="AF174" i="8"/>
  <c r="AF186" i="8"/>
  <c r="AF364" i="8"/>
  <c r="AF23" i="8"/>
  <c r="AF35" i="8"/>
  <c r="AF47" i="8"/>
  <c r="AF59" i="8"/>
  <c r="AF71" i="8"/>
  <c r="AF83" i="8"/>
  <c r="AF95" i="8"/>
  <c r="AF369" i="8"/>
  <c r="AF28" i="8"/>
  <c r="AF40" i="8"/>
  <c r="AF52" i="8"/>
  <c r="AF64" i="8"/>
  <c r="AF76" i="8"/>
  <c r="AF88" i="8"/>
  <c r="AF100" i="8"/>
  <c r="AF112" i="8"/>
  <c r="AF124" i="8"/>
  <c r="AF136" i="8"/>
  <c r="AF148" i="8"/>
  <c r="AF160" i="8"/>
  <c r="AF172" i="8"/>
  <c r="AF184" i="8"/>
  <c r="AF196" i="8"/>
  <c r="AF208" i="8"/>
  <c r="AF220" i="8"/>
  <c r="AF232" i="8"/>
  <c r="AF244" i="8"/>
  <c r="AF256" i="8"/>
  <c r="AF21" i="8"/>
  <c r="AF33" i="8"/>
  <c r="AF45" i="8"/>
  <c r="AF57" i="8"/>
  <c r="AF69" i="8"/>
  <c r="AF81" i="8"/>
  <c r="AF93" i="8"/>
  <c r="AF367" i="8"/>
  <c r="AF26" i="8"/>
  <c r="AF38" i="8"/>
  <c r="AF50" i="8"/>
  <c r="AF62" i="8"/>
  <c r="AF74" i="8"/>
  <c r="AF86" i="8"/>
  <c r="AF19" i="8"/>
  <c r="AF31" i="8"/>
  <c r="AF43" i="8"/>
  <c r="AF55" i="8"/>
  <c r="AF67" i="8"/>
  <c r="AF79" i="8"/>
  <c r="AF91" i="8"/>
  <c r="AF103" i="8"/>
  <c r="AF115" i="8"/>
  <c r="AF127" i="8"/>
  <c r="AF139" i="8"/>
  <c r="AF151" i="8"/>
  <c r="AF163" i="8"/>
  <c r="AF175" i="8"/>
  <c r="AF187" i="8"/>
  <c r="AF199" i="8"/>
  <c r="AF211" i="8"/>
  <c r="AF223" i="8"/>
  <c r="AF235" i="8"/>
  <c r="AF247" i="8"/>
  <c r="AF259" i="8"/>
  <c r="AF194" i="8"/>
  <c r="AF204" i="8"/>
  <c r="AF207" i="8"/>
  <c r="AF214" i="8"/>
  <c r="AF230" i="8"/>
  <c r="AF240" i="8"/>
  <c r="AF243" i="8"/>
  <c r="AF250" i="8"/>
  <c r="AF272" i="8"/>
  <c r="AF284" i="8"/>
  <c r="AF296" i="8"/>
  <c r="AF308" i="8"/>
  <c r="AF320" i="8"/>
  <c r="AF332" i="8"/>
  <c r="AF344" i="8"/>
  <c r="AF356" i="8"/>
  <c r="AF16" i="8"/>
  <c r="AF98" i="8"/>
  <c r="AF191" i="8"/>
  <c r="AF201" i="8"/>
  <c r="AF227" i="8"/>
  <c r="AF237" i="8"/>
  <c r="AF265" i="8"/>
  <c r="AF277" i="8"/>
  <c r="AF289" i="8"/>
  <c r="AF116" i="8"/>
  <c r="AF128" i="8"/>
  <c r="AF140" i="8"/>
  <c r="AF152" i="8"/>
  <c r="AF164" i="8"/>
  <c r="AF176" i="8"/>
  <c r="AF188" i="8"/>
  <c r="AF224" i="8"/>
  <c r="AF260" i="8"/>
  <c r="AF270" i="8"/>
  <c r="AF282" i="8"/>
  <c r="AF99" i="8"/>
  <c r="AF104" i="8"/>
  <c r="AF198" i="8"/>
  <c r="AF234" i="8"/>
  <c r="AF263" i="8"/>
  <c r="AF275" i="8"/>
  <c r="AF287" i="8"/>
  <c r="AF117" i="8"/>
  <c r="AF129" i="8"/>
  <c r="AF141" i="8"/>
  <c r="AF153" i="8"/>
  <c r="AF165" i="8"/>
  <c r="AF177" i="8"/>
  <c r="AF192" i="8"/>
  <c r="AF195" i="8"/>
  <c r="AF202" i="8"/>
  <c r="AF218" i="8"/>
  <c r="AF228" i="8"/>
  <c r="AF231" i="8"/>
  <c r="AF238" i="8"/>
  <c r="AF254" i="8"/>
  <c r="AF268" i="8"/>
  <c r="AF105" i="8"/>
  <c r="AF189" i="8"/>
  <c r="AF215" i="8"/>
  <c r="AF225" i="8"/>
  <c r="AF251" i="8"/>
  <c r="AF273" i="8"/>
  <c r="AF285" i="8"/>
  <c r="AF297" i="8"/>
  <c r="AF212" i="8"/>
  <c r="AF248" i="8"/>
  <c r="AF261" i="8"/>
  <c r="AF266" i="8"/>
  <c r="AF278" i="8"/>
  <c r="AF290" i="8"/>
  <c r="AF302" i="8"/>
  <c r="AF314" i="8"/>
  <c r="AF326" i="8"/>
  <c r="AF338" i="8"/>
  <c r="AF350" i="8"/>
  <c r="AF362" i="8"/>
  <c r="AF281" i="8"/>
  <c r="AF118" i="8"/>
  <c r="AF130" i="8"/>
  <c r="AF142" i="8"/>
  <c r="AF154" i="8"/>
  <c r="AF166" i="8"/>
  <c r="AF178" i="8"/>
  <c r="AF222" i="8"/>
  <c r="AF258" i="8"/>
  <c r="AF271" i="8"/>
  <c r="AF283" i="8"/>
  <c r="AF295" i="8"/>
  <c r="AF307" i="8"/>
  <c r="AF319" i="8"/>
  <c r="AF331" i="8"/>
  <c r="AF343" i="8"/>
  <c r="AF355" i="8"/>
  <c r="AF15" i="8"/>
  <c r="AF305" i="8"/>
  <c r="AF110" i="8"/>
  <c r="AF122" i="8"/>
  <c r="AF134" i="8"/>
  <c r="AF146" i="8"/>
  <c r="AF158" i="8"/>
  <c r="AF170" i="8"/>
  <c r="AF182" i="8"/>
  <c r="AF190" i="8"/>
  <c r="AF206" i="8"/>
  <c r="AF216" i="8"/>
  <c r="AF219" i="8"/>
  <c r="AF226" i="8"/>
  <c r="AF242" i="8"/>
  <c r="AF252" i="8"/>
  <c r="AF255" i="8"/>
  <c r="AF264" i="8"/>
  <c r="AF276" i="8"/>
  <c r="AF288" i="8"/>
  <c r="AF300" i="8"/>
  <c r="AF312" i="8"/>
  <c r="AF324" i="8"/>
  <c r="AF336" i="8"/>
  <c r="AF348" i="8"/>
  <c r="AF360" i="8"/>
  <c r="AF317" i="8"/>
  <c r="AF329" i="8"/>
  <c r="AF203" i="8"/>
  <c r="AF213" i="8"/>
  <c r="AF239" i="8"/>
  <c r="AF249" i="8"/>
  <c r="AF269" i="8"/>
  <c r="AF293" i="8"/>
  <c r="AF341" i="8"/>
  <c r="AF200" i="8"/>
  <c r="AF236" i="8"/>
  <c r="AF262" i="8"/>
  <c r="AF274" i="8"/>
  <c r="AF286" i="8"/>
  <c r="AF298" i="8"/>
  <c r="AF310" i="8"/>
  <c r="AF322" i="8"/>
  <c r="AF334" i="8"/>
  <c r="AF346" i="8"/>
  <c r="AF358" i="8"/>
  <c r="AF107" i="8"/>
  <c r="AF111" i="8"/>
  <c r="AF119" i="8"/>
  <c r="AF123" i="8"/>
  <c r="AF131" i="8"/>
  <c r="AF135" i="8"/>
  <c r="AF143" i="8"/>
  <c r="AF147" i="8"/>
  <c r="AF155" i="8"/>
  <c r="AF159" i="8"/>
  <c r="AF167" i="8"/>
  <c r="AF171" i="8"/>
  <c r="AF179" i="8"/>
  <c r="AF183" i="8"/>
  <c r="AF210" i="8"/>
  <c r="AF301" i="8"/>
  <c r="AF309" i="8"/>
  <c r="AF321" i="8"/>
  <c r="AF333" i="8"/>
  <c r="AF345" i="8"/>
  <c r="AF349" i="8"/>
  <c r="AF330" i="8"/>
  <c r="AF280" i="8"/>
  <c r="AF353" i="8"/>
  <c r="AF306" i="8"/>
  <c r="AF342" i="8"/>
  <c r="AF292" i="8"/>
  <c r="AF318" i="8"/>
  <c r="AF12" i="8"/>
  <c r="AF246" i="8"/>
  <c r="AF315" i="8"/>
  <c r="AF327" i="8"/>
  <c r="AF339" i="8"/>
  <c r="AF357" i="8"/>
  <c r="AF361" i="8"/>
  <c r="AF303" i="8"/>
  <c r="AF311" i="8"/>
  <c r="AF323" i="8"/>
  <c r="AF335" i="8"/>
  <c r="AF354" i="8"/>
  <c r="AF13" i="8"/>
  <c r="AF267" i="8"/>
  <c r="AF294" i="8"/>
  <c r="AF347" i="8"/>
  <c r="AF351" i="8"/>
  <c r="AF11" i="8"/>
  <c r="AF14" i="8"/>
  <c r="AF299" i="8"/>
  <c r="AF316" i="8"/>
  <c r="AF328" i="8"/>
  <c r="AF340" i="8"/>
  <c r="AF304" i="8"/>
  <c r="AF313" i="8"/>
  <c r="AF325" i="8"/>
  <c r="AF337" i="8"/>
  <c r="AF352" i="8"/>
  <c r="AF359" i="8"/>
  <c r="AF363" i="8"/>
  <c r="AF279" i="8"/>
  <c r="AF291" i="8"/>
  <c r="AE17" i="8"/>
  <c r="AE29" i="8"/>
  <c r="AE41" i="8"/>
  <c r="AE53" i="8"/>
  <c r="AE65" i="8"/>
  <c r="AE77" i="8"/>
  <c r="AE89" i="8"/>
  <c r="AE101" i="8"/>
  <c r="AE113" i="8"/>
  <c r="AE125" i="8"/>
  <c r="AE137" i="8"/>
  <c r="AE149" i="8"/>
  <c r="AE161" i="8"/>
  <c r="AE173" i="8"/>
  <c r="AE185" i="8"/>
  <c r="AE370" i="8"/>
  <c r="AE22" i="8"/>
  <c r="AE34" i="8"/>
  <c r="AE46" i="8"/>
  <c r="AE58" i="8"/>
  <c r="AE70" i="8"/>
  <c r="AE82" i="8"/>
  <c r="AE94" i="8"/>
  <c r="AE106" i="8"/>
  <c r="AE118" i="8"/>
  <c r="AE130" i="8"/>
  <c r="AE142" i="8"/>
  <c r="AE154" i="8"/>
  <c r="AE166" i="8"/>
  <c r="AE178" i="8"/>
  <c r="AE190" i="8"/>
  <c r="AE202" i="8"/>
  <c r="AE214" i="8"/>
  <c r="AE226" i="8"/>
  <c r="AE238" i="8"/>
  <c r="AE250" i="8"/>
  <c r="AE262" i="8"/>
  <c r="AE368" i="8"/>
  <c r="AE27" i="8"/>
  <c r="AE39" i="8"/>
  <c r="AE51" i="8"/>
  <c r="AE63" i="8"/>
  <c r="AE75" i="8"/>
  <c r="AE87" i="8"/>
  <c r="AE99" i="8"/>
  <c r="AE20" i="8"/>
  <c r="AE32" i="8"/>
  <c r="AE44" i="8"/>
  <c r="AE56" i="8"/>
  <c r="AE68" i="8"/>
  <c r="AE80" i="8"/>
  <c r="AE366" i="8"/>
  <c r="AE25" i="8"/>
  <c r="AE37" i="8"/>
  <c r="AE49" i="8"/>
  <c r="AE61" i="8"/>
  <c r="AE73" i="8"/>
  <c r="AE85" i="8"/>
  <c r="AE18" i="8"/>
  <c r="AE30" i="8"/>
  <c r="AE42" i="8"/>
  <c r="AE54" i="8"/>
  <c r="AE66" i="8"/>
  <c r="AE78" i="8"/>
  <c r="AE90" i="8"/>
  <c r="AE102" i="8"/>
  <c r="AE114" i="8"/>
  <c r="AE126" i="8"/>
  <c r="AE138" i="8"/>
  <c r="AE150" i="8"/>
  <c r="AE162" i="8"/>
  <c r="AE174" i="8"/>
  <c r="AE186" i="8"/>
  <c r="AE198" i="8"/>
  <c r="AE210" i="8"/>
  <c r="AE222" i="8"/>
  <c r="AE234" i="8"/>
  <c r="AE246" i="8"/>
  <c r="AE258" i="8"/>
  <c r="AE364" i="8"/>
  <c r="AE23" i="8"/>
  <c r="AE35" i="8"/>
  <c r="AE47" i="8"/>
  <c r="AE59" i="8"/>
  <c r="AE71" i="8"/>
  <c r="AE83" i="8"/>
  <c r="AE95" i="8"/>
  <c r="AE107" i="8"/>
  <c r="AE119" i="8"/>
  <c r="AE131" i="8"/>
  <c r="AE143" i="8"/>
  <c r="AE155" i="8"/>
  <c r="AE167" i="8"/>
  <c r="AE179" i="8"/>
  <c r="AE369" i="8"/>
  <c r="AE28" i="8"/>
  <c r="AE40" i="8"/>
  <c r="AE52" i="8"/>
  <c r="AE64" i="8"/>
  <c r="AE76" i="8"/>
  <c r="AE88" i="8"/>
  <c r="AE100" i="8"/>
  <c r="AE21" i="8"/>
  <c r="AE33" i="8"/>
  <c r="AE45" i="8"/>
  <c r="AE57" i="8"/>
  <c r="AE69" i="8"/>
  <c r="AE81" i="8"/>
  <c r="AE93" i="8"/>
  <c r="AE105" i="8"/>
  <c r="AE117" i="8"/>
  <c r="AE129" i="8"/>
  <c r="AE141" i="8"/>
  <c r="AE153" i="8"/>
  <c r="AE165" i="8"/>
  <c r="AE177" i="8"/>
  <c r="AE189" i="8"/>
  <c r="AE201" i="8"/>
  <c r="AE213" i="8"/>
  <c r="AE225" i="8"/>
  <c r="AE237" i="8"/>
  <c r="AE249" i="8"/>
  <c r="AE261" i="8"/>
  <c r="AE367" i="8"/>
  <c r="AE26" i="8"/>
  <c r="AE38" i="8"/>
  <c r="AE50" i="8"/>
  <c r="AE62" i="8"/>
  <c r="AE74" i="8"/>
  <c r="AE86" i="8"/>
  <c r="AE19" i="8"/>
  <c r="AE31" i="8"/>
  <c r="AE43" i="8"/>
  <c r="AE55" i="8"/>
  <c r="AE67" i="8"/>
  <c r="AE79" i="8"/>
  <c r="AE365" i="8"/>
  <c r="AE24" i="8"/>
  <c r="AE36" i="8"/>
  <c r="AE48" i="8"/>
  <c r="AE60" i="8"/>
  <c r="AE72" i="8"/>
  <c r="AE84" i="8"/>
  <c r="AE96" i="8"/>
  <c r="AE108" i="8"/>
  <c r="AE120" i="8"/>
  <c r="AE132" i="8"/>
  <c r="AE144" i="8"/>
  <c r="AE156" i="8"/>
  <c r="AE168" i="8"/>
  <c r="AE180" i="8"/>
  <c r="AE192" i="8"/>
  <c r="AE204" i="8"/>
  <c r="AE216" i="8"/>
  <c r="AE228" i="8"/>
  <c r="AE240" i="8"/>
  <c r="AE252" i="8"/>
  <c r="AE92" i="8"/>
  <c r="AE98" i="8"/>
  <c r="AE103" i="8"/>
  <c r="AE191" i="8"/>
  <c r="AE227" i="8"/>
  <c r="AE265" i="8"/>
  <c r="AE277" i="8"/>
  <c r="AE289" i="8"/>
  <c r="AE301" i="8"/>
  <c r="AE313" i="8"/>
  <c r="AE325" i="8"/>
  <c r="AE337" i="8"/>
  <c r="AE349" i="8"/>
  <c r="AE361" i="8"/>
  <c r="AE116" i="8"/>
  <c r="AE128" i="8"/>
  <c r="AE140" i="8"/>
  <c r="AE152" i="8"/>
  <c r="AE164" i="8"/>
  <c r="AE176" i="8"/>
  <c r="AE188" i="8"/>
  <c r="AE224" i="8"/>
  <c r="AE260" i="8"/>
  <c r="AE270" i="8"/>
  <c r="AE282" i="8"/>
  <c r="AE294" i="8"/>
  <c r="AE104" i="8"/>
  <c r="AE112" i="8"/>
  <c r="AE124" i="8"/>
  <c r="AE136" i="8"/>
  <c r="AE148" i="8"/>
  <c r="AE160" i="8"/>
  <c r="AE172" i="8"/>
  <c r="AE184" i="8"/>
  <c r="AE211" i="8"/>
  <c r="AE247" i="8"/>
  <c r="AE263" i="8"/>
  <c r="AE275" i="8"/>
  <c r="AE195" i="8"/>
  <c r="AE205" i="8"/>
  <c r="AE208" i="8"/>
  <c r="AE218" i="8"/>
  <c r="AE221" i="8"/>
  <c r="AE231" i="8"/>
  <c r="AE241" i="8"/>
  <c r="AE244" i="8"/>
  <c r="AE254" i="8"/>
  <c r="AE257" i="8"/>
  <c r="AE268" i="8"/>
  <c r="AE280" i="8"/>
  <c r="AE109" i="8"/>
  <c r="AE121" i="8"/>
  <c r="AE133" i="8"/>
  <c r="AE145" i="8"/>
  <c r="AE157" i="8"/>
  <c r="AE169" i="8"/>
  <c r="AE181" i="8"/>
  <c r="AE215" i="8"/>
  <c r="AE251" i="8"/>
  <c r="AE273" i="8"/>
  <c r="AE212" i="8"/>
  <c r="AE248" i="8"/>
  <c r="AE266" i="8"/>
  <c r="AE278" i="8"/>
  <c r="AE290" i="8"/>
  <c r="AE302" i="8"/>
  <c r="AE199" i="8"/>
  <c r="AE235" i="8"/>
  <c r="AE271" i="8"/>
  <c r="AE283" i="8"/>
  <c r="AE295" i="8"/>
  <c r="AE307" i="8"/>
  <c r="AE319" i="8"/>
  <c r="AE331" i="8"/>
  <c r="AE343" i="8"/>
  <c r="AE355" i="8"/>
  <c r="AE15" i="8"/>
  <c r="AE298" i="8"/>
  <c r="AE334" i="8"/>
  <c r="AE110" i="8"/>
  <c r="AE122" i="8"/>
  <c r="AE134" i="8"/>
  <c r="AE146" i="8"/>
  <c r="AE158" i="8"/>
  <c r="AE170" i="8"/>
  <c r="AE182" i="8"/>
  <c r="AE193" i="8"/>
  <c r="AE196" i="8"/>
  <c r="AE206" i="8"/>
  <c r="AE209" i="8"/>
  <c r="AE219" i="8"/>
  <c r="AE229" i="8"/>
  <c r="AE232" i="8"/>
  <c r="AE242" i="8"/>
  <c r="AE245" i="8"/>
  <c r="AE255" i="8"/>
  <c r="AE264" i="8"/>
  <c r="AE276" i="8"/>
  <c r="AE288" i="8"/>
  <c r="AE300" i="8"/>
  <c r="AE312" i="8"/>
  <c r="AE324" i="8"/>
  <c r="AE336" i="8"/>
  <c r="AE348" i="8"/>
  <c r="AE360" i="8"/>
  <c r="AE341" i="8"/>
  <c r="AE286" i="8"/>
  <c r="AE322" i="8"/>
  <c r="AE203" i="8"/>
  <c r="AE239" i="8"/>
  <c r="AE269" i="8"/>
  <c r="AE281" i="8"/>
  <c r="AE293" i="8"/>
  <c r="AE305" i="8"/>
  <c r="AE317" i="8"/>
  <c r="AE329" i="8"/>
  <c r="AE353" i="8"/>
  <c r="AE13" i="8"/>
  <c r="AE200" i="8"/>
  <c r="AE236" i="8"/>
  <c r="AE274" i="8"/>
  <c r="AE310" i="8"/>
  <c r="AE91" i="8"/>
  <c r="AE97" i="8"/>
  <c r="AE111" i="8"/>
  <c r="AE123" i="8"/>
  <c r="AE135" i="8"/>
  <c r="AE147" i="8"/>
  <c r="AE159" i="8"/>
  <c r="AE171" i="8"/>
  <c r="AE183" i="8"/>
  <c r="AE223" i="8"/>
  <c r="AE259" i="8"/>
  <c r="AE267" i="8"/>
  <c r="AE279" i="8"/>
  <c r="AE291" i="8"/>
  <c r="AE303" i="8"/>
  <c r="AE315" i="8"/>
  <c r="AE327" i="8"/>
  <c r="AE339" i="8"/>
  <c r="AE351" i="8"/>
  <c r="AE363" i="8"/>
  <c r="AE115" i="8"/>
  <c r="AE127" i="8"/>
  <c r="AE139" i="8"/>
  <c r="AE151" i="8"/>
  <c r="AE163" i="8"/>
  <c r="AE175" i="8"/>
  <c r="AE187" i="8"/>
  <c r="AE194" i="8"/>
  <c r="AE197" i="8"/>
  <c r="AE207" i="8"/>
  <c r="AE233" i="8"/>
  <c r="AE243" i="8"/>
  <c r="AE253" i="8"/>
  <c r="AE272" i="8"/>
  <c r="AE292" i="8"/>
  <c r="AE306" i="8"/>
  <c r="AE318" i="8"/>
  <c r="AE330" i="8"/>
  <c r="AE342" i="8"/>
  <c r="AE12" i="8"/>
  <c r="AE314" i="8"/>
  <c r="AE338" i="8"/>
  <c r="AE346" i="8"/>
  <c r="AE287" i="8"/>
  <c r="AE297" i="8"/>
  <c r="AE357" i="8"/>
  <c r="AE217" i="8"/>
  <c r="AE256" i="8"/>
  <c r="AE311" i="8"/>
  <c r="AE323" i="8"/>
  <c r="AE335" i="8"/>
  <c r="AE350" i="8"/>
  <c r="AE354" i="8"/>
  <c r="AE347" i="8"/>
  <c r="AE358" i="8"/>
  <c r="AE11" i="8"/>
  <c r="AE299" i="8"/>
  <c r="AE308" i="8"/>
  <c r="AE316" i="8"/>
  <c r="AE320" i="8"/>
  <c r="AE328" i="8"/>
  <c r="AE332" i="8"/>
  <c r="AE340" i="8"/>
  <c r="AE344" i="8"/>
  <c r="AE220" i="8"/>
  <c r="AE230" i="8"/>
  <c r="AE284" i="8"/>
  <c r="AE304" i="8"/>
  <c r="AE362" i="8"/>
  <c r="AE14" i="8"/>
  <c r="AE352" i="8"/>
  <c r="AE359" i="8"/>
  <c r="AE285" i="8"/>
  <c r="AE296" i="8"/>
  <c r="AE309" i="8"/>
  <c r="AE321" i="8"/>
  <c r="AE333" i="8"/>
  <c r="AE345" i="8"/>
  <c r="AE356" i="8"/>
  <c r="AE326" i="8"/>
  <c r="AE16" i="8"/>
  <c r="P12" i="8"/>
  <c r="P13" i="8" s="1"/>
  <c r="P14" i="8" s="1"/>
  <c r="P15" i="8" s="1"/>
  <c r="P16" i="8" s="1"/>
  <c r="P17" i="8" s="1"/>
  <c r="P18" i="8" s="1"/>
  <c r="P19" i="8" s="1"/>
  <c r="P20" i="8" s="1"/>
  <c r="P21" i="8" s="1"/>
  <c r="P22" i="8" s="1"/>
  <c r="P23" i="8" s="1"/>
  <c r="P24" i="8" s="1"/>
  <c r="P25" i="8" s="1"/>
  <c r="P26" i="8" s="1"/>
  <c r="P27" i="8" s="1"/>
  <c r="P28" i="8" s="1"/>
  <c r="P29" i="8" s="1"/>
  <c r="P30" i="8" s="1"/>
  <c r="P31" i="8" s="1"/>
  <c r="P32" i="8" s="1"/>
  <c r="P33" i="8" s="1"/>
  <c r="P34" i="8" s="1"/>
  <c r="P35" i="8" s="1"/>
  <c r="P36" i="8" s="1"/>
  <c r="P37" i="8" s="1"/>
  <c r="P38" i="8" s="1"/>
  <c r="P39" i="8" s="1"/>
  <c r="P40" i="8" s="1"/>
  <c r="P41" i="8" s="1"/>
  <c r="P42" i="8" s="1"/>
  <c r="P43" i="8" s="1"/>
  <c r="P44" i="8" s="1"/>
  <c r="P45" i="8" s="1"/>
  <c r="P46" i="8" s="1"/>
  <c r="W153" i="11" l="1"/>
  <c r="AI153" i="11"/>
  <c r="X153" i="11"/>
  <c r="Y153" i="11"/>
  <c r="T129" i="11"/>
  <c r="R129" i="11"/>
  <c r="S129" i="11"/>
  <c r="AE129" i="11"/>
  <c r="X128" i="11"/>
  <c r="Y128" i="11"/>
  <c r="AI128" i="11"/>
  <c r="W128" i="11"/>
  <c r="T137" i="11"/>
  <c r="R137" i="11"/>
  <c r="AE137" i="11"/>
  <c r="S137" i="11"/>
  <c r="T115" i="11"/>
  <c r="R115" i="11"/>
  <c r="AE115" i="11"/>
  <c r="S115" i="11"/>
  <c r="T139" i="11"/>
  <c r="R139" i="11"/>
  <c r="AE139" i="11"/>
  <c r="S139" i="11"/>
  <c r="R163" i="11"/>
  <c r="AE163" i="11"/>
  <c r="S163" i="11"/>
  <c r="T163" i="11"/>
  <c r="R160" i="11"/>
  <c r="AE160" i="11"/>
  <c r="T160" i="11"/>
  <c r="S160" i="11"/>
  <c r="X124" i="11"/>
  <c r="AI124" i="11"/>
  <c r="Y124" i="11"/>
  <c r="W124" i="11"/>
  <c r="X143" i="11"/>
  <c r="W143" i="11"/>
  <c r="AI143" i="11"/>
  <c r="Y143" i="11"/>
  <c r="X147" i="11"/>
  <c r="Y147" i="11"/>
  <c r="AI147" i="11"/>
  <c r="W147" i="11"/>
  <c r="T143" i="11"/>
  <c r="R143" i="11"/>
  <c r="S143" i="11"/>
  <c r="AE143" i="11"/>
  <c r="X144" i="11"/>
  <c r="Y144" i="11"/>
  <c r="W144" i="11"/>
  <c r="AI144" i="11"/>
  <c r="T125" i="11"/>
  <c r="S125" i="11"/>
  <c r="AE125" i="11"/>
  <c r="R125" i="11"/>
  <c r="Y155" i="11"/>
  <c r="X155" i="11"/>
  <c r="W155" i="11"/>
  <c r="AI155" i="11"/>
  <c r="Y139" i="11"/>
  <c r="W139" i="11"/>
  <c r="AI139" i="11"/>
  <c r="X139" i="11"/>
  <c r="W133" i="11"/>
  <c r="AI133" i="11"/>
  <c r="Y133" i="11"/>
  <c r="X133" i="11"/>
  <c r="AI158" i="11"/>
  <c r="X158" i="11"/>
  <c r="Y158" i="11"/>
  <c r="W158" i="11"/>
  <c r="R164" i="11"/>
  <c r="T164" i="11"/>
  <c r="S164" i="11"/>
  <c r="AE164" i="11"/>
  <c r="X132" i="11"/>
  <c r="Y132" i="11"/>
  <c r="AI132" i="11"/>
  <c r="W132" i="11"/>
  <c r="T145" i="11"/>
  <c r="AE145" i="11"/>
  <c r="R145" i="11"/>
  <c r="S145" i="11"/>
  <c r="R155" i="11"/>
  <c r="T155" i="11"/>
  <c r="AE155" i="11"/>
  <c r="S155" i="11"/>
  <c r="R117" i="11"/>
  <c r="S117" i="11"/>
  <c r="T117" i="11"/>
  <c r="AE117" i="11"/>
  <c r="T149" i="11"/>
  <c r="AE149" i="11"/>
  <c r="R149" i="11"/>
  <c r="S149" i="11"/>
  <c r="AE152" i="11"/>
  <c r="R152" i="11"/>
  <c r="T152" i="11"/>
  <c r="S152" i="11"/>
  <c r="Y131" i="11"/>
  <c r="AI131" i="11"/>
  <c r="W131" i="11"/>
  <c r="X131" i="11"/>
  <c r="R154" i="11"/>
  <c r="T154" i="11"/>
  <c r="S154" i="11"/>
  <c r="AE154" i="11"/>
  <c r="AI157" i="11"/>
  <c r="Y157" i="11"/>
  <c r="W157" i="11"/>
  <c r="X157" i="11"/>
  <c r="Y151" i="11"/>
  <c r="W151" i="11"/>
  <c r="AI151" i="11"/>
  <c r="X151" i="11"/>
  <c r="Y137" i="11"/>
  <c r="W137" i="11"/>
  <c r="X137" i="11"/>
  <c r="AI137" i="11"/>
  <c r="AI125" i="11"/>
  <c r="Y125" i="11"/>
  <c r="X125" i="11"/>
  <c r="W125" i="11"/>
  <c r="Y129" i="11"/>
  <c r="X129" i="11"/>
  <c r="W129" i="11"/>
  <c r="AI129" i="11"/>
  <c r="AE136" i="11"/>
  <c r="T136" i="11"/>
  <c r="S136" i="11"/>
  <c r="R136" i="11"/>
  <c r="X116" i="11"/>
  <c r="Y116" i="11"/>
  <c r="W116" i="11"/>
  <c r="AI116" i="11"/>
  <c r="T127" i="11"/>
  <c r="R127" i="11"/>
  <c r="AE127" i="11"/>
  <c r="S127" i="11"/>
  <c r="W134" i="11"/>
  <c r="Y134" i="11"/>
  <c r="X134" i="11"/>
  <c r="AI134" i="11"/>
  <c r="X141" i="11"/>
  <c r="AI141" i="11"/>
  <c r="Y141" i="11"/>
  <c r="W141" i="11"/>
  <c r="T147" i="11"/>
  <c r="AE147" i="11"/>
  <c r="R147" i="11"/>
  <c r="S147" i="11"/>
  <c r="Y115" i="11"/>
  <c r="AI115" i="11"/>
  <c r="X115" i="11"/>
  <c r="W115" i="11"/>
  <c r="T133" i="11"/>
  <c r="AE133" i="11"/>
  <c r="R133" i="11"/>
  <c r="S133" i="11"/>
  <c r="T119" i="11"/>
  <c r="AE119" i="11"/>
  <c r="S119" i="11"/>
  <c r="R119" i="11"/>
  <c r="W160" i="11"/>
  <c r="X160" i="11"/>
  <c r="Y160" i="11"/>
  <c r="AI160" i="11"/>
  <c r="T132" i="11"/>
  <c r="AE132" i="11"/>
  <c r="R132" i="11"/>
  <c r="S132" i="11"/>
  <c r="X140" i="11"/>
  <c r="W140" i="11"/>
  <c r="Y140" i="11"/>
  <c r="AI140" i="11"/>
  <c r="S159" i="11"/>
  <c r="AE159" i="11"/>
  <c r="T159" i="11"/>
  <c r="R159" i="11"/>
  <c r="X162" i="11"/>
  <c r="AI162" i="11"/>
  <c r="W162" i="11"/>
  <c r="Y162" i="11"/>
  <c r="X142" i="11"/>
  <c r="AI142" i="11"/>
  <c r="Y142" i="11"/>
  <c r="W142" i="11"/>
  <c r="X138" i="11"/>
  <c r="Y138" i="11"/>
  <c r="W138" i="11"/>
  <c r="AI138" i="11"/>
  <c r="T131" i="11"/>
  <c r="S131" i="11"/>
  <c r="AE131" i="11"/>
  <c r="R131" i="11"/>
  <c r="X135" i="11"/>
  <c r="W135" i="11"/>
  <c r="Y135" i="11"/>
  <c r="AI135" i="11"/>
  <c r="X120" i="11"/>
  <c r="AI120" i="11"/>
  <c r="W120" i="11"/>
  <c r="Y120" i="11"/>
  <c r="W123" i="11"/>
  <c r="Y123" i="11"/>
  <c r="X123" i="11"/>
  <c r="AI123" i="11"/>
  <c r="S120" i="11"/>
  <c r="AE120" i="11"/>
  <c r="T120" i="11"/>
  <c r="R120" i="11"/>
  <c r="X163" i="11"/>
  <c r="AI163" i="11"/>
  <c r="Y163" i="11"/>
  <c r="W163" i="11"/>
  <c r="X126" i="11"/>
  <c r="AI126" i="11"/>
  <c r="W126" i="11"/>
  <c r="Y126" i="11"/>
  <c r="T123" i="11"/>
  <c r="R123" i="11"/>
  <c r="AE123" i="11"/>
  <c r="S123" i="11"/>
  <c r="X146" i="11"/>
  <c r="W146" i="11"/>
  <c r="Y146" i="11"/>
  <c r="AI146" i="11"/>
  <c r="T121" i="11"/>
  <c r="R121" i="11"/>
  <c r="S121" i="11"/>
  <c r="AE121" i="11"/>
  <c r="S161" i="11"/>
  <c r="T161" i="11"/>
  <c r="R161" i="11"/>
  <c r="AE161" i="11"/>
  <c r="X149" i="11"/>
  <c r="Y149" i="11"/>
  <c r="AI149" i="11"/>
  <c r="W149" i="11"/>
  <c r="V153" i="11"/>
  <c r="T135" i="11"/>
  <c r="AE135" i="11"/>
  <c r="R135" i="11"/>
  <c r="S135" i="11"/>
  <c r="Q129" i="11"/>
  <c r="V128" i="11"/>
  <c r="Q137" i="11"/>
  <c r="X136" i="11"/>
  <c r="Y136" i="11"/>
  <c r="AI136" i="11"/>
  <c r="W136" i="11"/>
  <c r="X118" i="11"/>
  <c r="Y118" i="11"/>
  <c r="W118" i="11"/>
  <c r="AI118" i="11"/>
  <c r="Q115" i="11"/>
  <c r="X130" i="11"/>
  <c r="AI130" i="11"/>
  <c r="W130" i="11"/>
  <c r="Y130" i="11"/>
  <c r="T141" i="11"/>
  <c r="R141" i="11"/>
  <c r="S141" i="11"/>
  <c r="AE141" i="11"/>
  <c r="Q139" i="11"/>
  <c r="X145" i="11"/>
  <c r="AI145" i="11"/>
  <c r="Y145" i="11"/>
  <c r="W145" i="11"/>
  <c r="X148" i="11"/>
  <c r="AI148" i="11"/>
  <c r="Y148" i="11"/>
  <c r="W148" i="11"/>
  <c r="X122" i="11"/>
  <c r="Y122" i="11"/>
  <c r="W122" i="11"/>
  <c r="AI122" i="11"/>
  <c r="D34" i="8"/>
  <c r="AG19" i="8"/>
  <c r="AG31" i="8"/>
  <c r="AG43" i="8"/>
  <c r="AG55" i="8"/>
  <c r="AG67" i="8"/>
  <c r="AG79" i="8"/>
  <c r="AG91" i="8"/>
  <c r="AG103" i="8"/>
  <c r="AG115" i="8"/>
  <c r="AG127" i="8"/>
  <c r="AG139" i="8"/>
  <c r="AG151" i="8"/>
  <c r="AG163" i="8"/>
  <c r="AG175" i="8"/>
  <c r="AG187" i="8"/>
  <c r="AG365" i="8"/>
  <c r="AG24" i="8"/>
  <c r="AG36" i="8"/>
  <c r="AG48" i="8"/>
  <c r="AG60" i="8"/>
  <c r="AG72" i="8"/>
  <c r="AG84" i="8"/>
  <c r="AG96" i="8"/>
  <c r="AG108" i="8"/>
  <c r="AG120" i="8"/>
  <c r="AG132" i="8"/>
  <c r="AG144" i="8"/>
  <c r="AG156" i="8"/>
  <c r="AG168" i="8"/>
  <c r="AG180" i="8"/>
  <c r="AG192" i="8"/>
  <c r="AG204" i="8"/>
  <c r="AG216" i="8"/>
  <c r="AG228" i="8"/>
  <c r="AG240" i="8"/>
  <c r="AG252" i="8"/>
  <c r="AG17" i="8"/>
  <c r="AG29" i="8"/>
  <c r="AG41" i="8"/>
  <c r="AG53" i="8"/>
  <c r="AG65" i="8"/>
  <c r="AG77" i="8"/>
  <c r="AG89" i="8"/>
  <c r="AG101" i="8"/>
  <c r="AG370" i="8"/>
  <c r="AG22" i="8"/>
  <c r="AG34" i="8"/>
  <c r="AG46" i="8"/>
  <c r="AG58" i="8"/>
  <c r="AG70" i="8"/>
  <c r="AG82" i="8"/>
  <c r="AG368" i="8"/>
  <c r="AG27" i="8"/>
  <c r="AG39" i="8"/>
  <c r="AG51" i="8"/>
  <c r="AG63" i="8"/>
  <c r="AG75" i="8"/>
  <c r="AG87" i="8"/>
  <c r="AG20" i="8"/>
  <c r="AG32" i="8"/>
  <c r="AG44" i="8"/>
  <c r="AG56" i="8"/>
  <c r="AG68" i="8"/>
  <c r="AG80" i="8"/>
  <c r="AG92" i="8"/>
  <c r="AG104" i="8"/>
  <c r="AG116" i="8"/>
  <c r="AG128" i="8"/>
  <c r="AG140" i="8"/>
  <c r="AG152" i="8"/>
  <c r="AG164" i="8"/>
  <c r="AG176" i="8"/>
  <c r="AG188" i="8"/>
  <c r="AG200" i="8"/>
  <c r="AG212" i="8"/>
  <c r="AG224" i="8"/>
  <c r="AG236" i="8"/>
  <c r="AG248" i="8"/>
  <c r="AG366" i="8"/>
  <c r="AG25" i="8"/>
  <c r="AG37" i="8"/>
  <c r="AG49" i="8"/>
  <c r="AG61" i="8"/>
  <c r="AG73" i="8"/>
  <c r="AG85" i="8"/>
  <c r="AG97" i="8"/>
  <c r="AG109" i="8"/>
  <c r="AG121" i="8"/>
  <c r="AG133" i="8"/>
  <c r="AG145" i="8"/>
  <c r="AG157" i="8"/>
  <c r="AG169" i="8"/>
  <c r="AG181" i="8"/>
  <c r="AG18" i="8"/>
  <c r="AG30" i="8"/>
  <c r="AG42" i="8"/>
  <c r="AG54" i="8"/>
  <c r="AG66" i="8"/>
  <c r="AG78" i="8"/>
  <c r="AG90" i="8"/>
  <c r="AG102" i="8"/>
  <c r="AG364" i="8"/>
  <c r="AG23" i="8"/>
  <c r="AG35" i="8"/>
  <c r="AG47" i="8"/>
  <c r="AG59" i="8"/>
  <c r="AG71" i="8"/>
  <c r="AG83" i="8"/>
  <c r="AG95" i="8"/>
  <c r="AG107" i="8"/>
  <c r="AG119" i="8"/>
  <c r="AG131" i="8"/>
  <c r="AG143" i="8"/>
  <c r="AG155" i="8"/>
  <c r="AG167" i="8"/>
  <c r="AG179" i="8"/>
  <c r="AG191" i="8"/>
  <c r="AG203" i="8"/>
  <c r="AG215" i="8"/>
  <c r="AG227" i="8"/>
  <c r="AG239" i="8"/>
  <c r="AG251" i="8"/>
  <c r="AG369" i="8"/>
  <c r="AG28" i="8"/>
  <c r="AG40" i="8"/>
  <c r="AG52" i="8"/>
  <c r="AG64" i="8"/>
  <c r="AG76" i="8"/>
  <c r="AG88" i="8"/>
  <c r="AG21" i="8"/>
  <c r="AG33" i="8"/>
  <c r="AG45" i="8"/>
  <c r="AG57" i="8"/>
  <c r="AG69" i="8"/>
  <c r="AG81" i="8"/>
  <c r="AG367" i="8"/>
  <c r="AG26" i="8"/>
  <c r="AG38" i="8"/>
  <c r="AG50" i="8"/>
  <c r="AG62" i="8"/>
  <c r="AG74" i="8"/>
  <c r="AG86" i="8"/>
  <c r="AG98" i="8"/>
  <c r="AG110" i="8"/>
  <c r="AG122" i="8"/>
  <c r="AG134" i="8"/>
  <c r="AG146" i="8"/>
  <c r="AG158" i="8"/>
  <c r="AG170" i="8"/>
  <c r="AG182" i="8"/>
  <c r="AG194" i="8"/>
  <c r="AG206" i="8"/>
  <c r="AG218" i="8"/>
  <c r="AG230" i="8"/>
  <c r="AG242" i="8"/>
  <c r="AG254" i="8"/>
  <c r="AG111" i="8"/>
  <c r="AG123" i="8"/>
  <c r="AG135" i="8"/>
  <c r="AG147" i="8"/>
  <c r="AG159" i="8"/>
  <c r="AG171" i="8"/>
  <c r="AG183" i="8"/>
  <c r="AG197" i="8"/>
  <c r="AG210" i="8"/>
  <c r="AG217" i="8"/>
  <c r="AG220" i="8"/>
  <c r="AG233" i="8"/>
  <c r="AG246" i="8"/>
  <c r="AG253" i="8"/>
  <c r="AG256" i="8"/>
  <c r="AG267" i="8"/>
  <c r="AG279" i="8"/>
  <c r="AG291" i="8"/>
  <c r="AG303" i="8"/>
  <c r="AG315" i="8"/>
  <c r="AG327" i="8"/>
  <c r="AG339" i="8"/>
  <c r="AG351" i="8"/>
  <c r="AG363" i="8"/>
  <c r="AG207" i="8"/>
  <c r="AG214" i="8"/>
  <c r="AG243" i="8"/>
  <c r="AG250" i="8"/>
  <c r="AG272" i="8"/>
  <c r="AG284" i="8"/>
  <c r="AG93" i="8"/>
  <c r="AG201" i="8"/>
  <c r="AG237" i="8"/>
  <c r="AG265" i="8"/>
  <c r="AG277" i="8"/>
  <c r="AG112" i="8"/>
  <c r="AG124" i="8"/>
  <c r="AG136" i="8"/>
  <c r="AG148" i="8"/>
  <c r="AG160" i="8"/>
  <c r="AG172" i="8"/>
  <c r="AG184" i="8"/>
  <c r="AG211" i="8"/>
  <c r="AG247" i="8"/>
  <c r="AG260" i="8"/>
  <c r="AG270" i="8"/>
  <c r="AG282" i="8"/>
  <c r="AG94" i="8"/>
  <c r="AG99" i="8"/>
  <c r="AG198" i="8"/>
  <c r="AG205" i="8"/>
  <c r="AG208" i="8"/>
  <c r="AG221" i="8"/>
  <c r="AG234" i="8"/>
  <c r="AG241" i="8"/>
  <c r="AG244" i="8"/>
  <c r="AG257" i="8"/>
  <c r="AG263" i="8"/>
  <c r="AG117" i="8"/>
  <c r="AG129" i="8"/>
  <c r="AG141" i="8"/>
  <c r="AG153" i="8"/>
  <c r="AG165" i="8"/>
  <c r="AG177" i="8"/>
  <c r="AG195" i="8"/>
  <c r="AG202" i="8"/>
  <c r="AG231" i="8"/>
  <c r="AG238" i="8"/>
  <c r="AG268" i="8"/>
  <c r="AG280" i="8"/>
  <c r="AG292" i="8"/>
  <c r="AG304" i="8"/>
  <c r="AG100" i="8"/>
  <c r="AG105" i="8"/>
  <c r="AG113" i="8"/>
  <c r="AG125" i="8"/>
  <c r="AG137" i="8"/>
  <c r="AG149" i="8"/>
  <c r="AG161" i="8"/>
  <c r="AG173" i="8"/>
  <c r="AG185" i="8"/>
  <c r="AG189" i="8"/>
  <c r="AG225" i="8"/>
  <c r="AG273" i="8"/>
  <c r="AG285" i="8"/>
  <c r="AG297" i="8"/>
  <c r="AG309" i="8"/>
  <c r="AG321" i="8"/>
  <c r="AG333" i="8"/>
  <c r="AG345" i="8"/>
  <c r="AG357" i="8"/>
  <c r="AG288" i="8"/>
  <c r="AG324" i="8"/>
  <c r="AG199" i="8"/>
  <c r="AG235" i="8"/>
  <c r="AG261" i="8"/>
  <c r="AG266" i="8"/>
  <c r="AG278" i="8"/>
  <c r="AG290" i="8"/>
  <c r="AG302" i="8"/>
  <c r="AG314" i="8"/>
  <c r="AG326" i="8"/>
  <c r="AG338" i="8"/>
  <c r="AG350" i="8"/>
  <c r="AG362" i="8"/>
  <c r="AG15" i="8"/>
  <c r="AG312" i="8"/>
  <c r="AG336" i="8"/>
  <c r="AG106" i="8"/>
  <c r="AG118" i="8"/>
  <c r="AG130" i="8"/>
  <c r="AG142" i="8"/>
  <c r="AG154" i="8"/>
  <c r="AG166" i="8"/>
  <c r="AG178" i="8"/>
  <c r="AG193" i="8"/>
  <c r="AG196" i="8"/>
  <c r="AG209" i="8"/>
  <c r="AG222" i="8"/>
  <c r="AG229" i="8"/>
  <c r="AG232" i="8"/>
  <c r="AG245" i="8"/>
  <c r="AG258" i="8"/>
  <c r="AG271" i="8"/>
  <c r="AG283" i="8"/>
  <c r="AG295" i="8"/>
  <c r="AG307" i="8"/>
  <c r="AG319" i="8"/>
  <c r="AG331" i="8"/>
  <c r="AG343" i="8"/>
  <c r="AG355" i="8"/>
  <c r="AG114" i="8"/>
  <c r="AG126" i="8"/>
  <c r="AG138" i="8"/>
  <c r="AG150" i="8"/>
  <c r="AG162" i="8"/>
  <c r="AG174" i="8"/>
  <c r="AG186" i="8"/>
  <c r="AG190" i="8"/>
  <c r="AG219" i="8"/>
  <c r="AG226" i="8"/>
  <c r="AG255" i="8"/>
  <c r="AG264" i="8"/>
  <c r="AG276" i="8"/>
  <c r="AG300" i="8"/>
  <c r="AG213" i="8"/>
  <c r="AG249" i="8"/>
  <c r="AG269" i="8"/>
  <c r="AG281" i="8"/>
  <c r="AG293" i="8"/>
  <c r="AG305" i="8"/>
  <c r="AG317" i="8"/>
  <c r="AG329" i="8"/>
  <c r="AG341" i="8"/>
  <c r="AG353" i="8"/>
  <c r="AG13" i="8"/>
  <c r="AG223" i="8"/>
  <c r="AG262" i="8"/>
  <c r="AG296" i="8"/>
  <c r="AG356" i="8"/>
  <c r="AG286" i="8"/>
  <c r="AG301" i="8"/>
  <c r="AG349" i="8"/>
  <c r="AG310" i="8"/>
  <c r="AG322" i="8"/>
  <c r="AG334" i="8"/>
  <c r="AG360" i="8"/>
  <c r="AG306" i="8"/>
  <c r="AG318" i="8"/>
  <c r="AG330" i="8"/>
  <c r="AG342" i="8"/>
  <c r="AG346" i="8"/>
  <c r="AG12" i="8"/>
  <c r="AG274" i="8"/>
  <c r="AG287" i="8"/>
  <c r="AG16" i="8"/>
  <c r="AG298" i="8"/>
  <c r="AG361" i="8"/>
  <c r="AG340" i="8"/>
  <c r="AG275" i="8"/>
  <c r="AG311" i="8"/>
  <c r="AG323" i="8"/>
  <c r="AG335" i="8"/>
  <c r="AG354" i="8"/>
  <c r="AG289" i="8"/>
  <c r="AG294" i="8"/>
  <c r="AG347" i="8"/>
  <c r="AG358" i="8"/>
  <c r="AG259" i="8"/>
  <c r="AG308" i="8"/>
  <c r="AG320" i="8"/>
  <c r="AG332" i="8"/>
  <c r="AG344" i="8"/>
  <c r="AG11" i="8"/>
  <c r="AG299" i="8"/>
  <c r="AG316" i="8"/>
  <c r="AG328" i="8"/>
  <c r="AG348" i="8"/>
  <c r="AG14" i="8"/>
  <c r="AG313" i="8"/>
  <c r="AG325" i="8"/>
  <c r="AG337" i="8"/>
  <c r="AG352" i="8"/>
  <c r="AG359" i="8"/>
  <c r="W11" i="8"/>
  <c r="T12" i="8"/>
  <c r="U11" i="8"/>
  <c r="P47" i="8"/>
  <c r="P48" i="8" s="1"/>
  <c r="P49" i="8" s="1"/>
  <c r="P50" i="8" s="1"/>
  <c r="P51" i="8" s="1"/>
  <c r="U12" i="8" s="1"/>
  <c r="S11" i="8"/>
  <c r="S12" i="8"/>
  <c r="V11" i="8"/>
  <c r="T11" i="8"/>
  <c r="S13" i="8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3" i="1"/>
  <c r="S14" i="8" l="1"/>
  <c r="AH367" i="8"/>
  <c r="AH26" i="8"/>
  <c r="AH38" i="8"/>
  <c r="AH50" i="8"/>
  <c r="AH62" i="8"/>
  <c r="AH74" i="8"/>
  <c r="AH86" i="8"/>
  <c r="AH98" i="8"/>
  <c r="AH110" i="8"/>
  <c r="AH122" i="8"/>
  <c r="AH134" i="8"/>
  <c r="AH146" i="8"/>
  <c r="AH158" i="8"/>
  <c r="AH170" i="8"/>
  <c r="AH182" i="8"/>
  <c r="AH19" i="8"/>
  <c r="AH31" i="8"/>
  <c r="AH43" i="8"/>
  <c r="AH55" i="8"/>
  <c r="AH67" i="8"/>
  <c r="AH79" i="8"/>
  <c r="AH91" i="8"/>
  <c r="AH103" i="8"/>
  <c r="AH115" i="8"/>
  <c r="AH127" i="8"/>
  <c r="AH139" i="8"/>
  <c r="AH151" i="8"/>
  <c r="AH163" i="8"/>
  <c r="AH175" i="8"/>
  <c r="AH187" i="8"/>
  <c r="AH199" i="8"/>
  <c r="AH211" i="8"/>
  <c r="AH223" i="8"/>
  <c r="AH235" i="8"/>
  <c r="AH247" i="8"/>
  <c r="AH259" i="8"/>
  <c r="AH365" i="8"/>
  <c r="AH24" i="8"/>
  <c r="AH36" i="8"/>
  <c r="AH48" i="8"/>
  <c r="AH60" i="8"/>
  <c r="AH72" i="8"/>
  <c r="AH84" i="8"/>
  <c r="AH96" i="8"/>
  <c r="AH17" i="8"/>
  <c r="AH29" i="8"/>
  <c r="AH41" i="8"/>
  <c r="AH53" i="8"/>
  <c r="AH65" i="8"/>
  <c r="AH77" i="8"/>
  <c r="AH89" i="8"/>
  <c r="AH370" i="8"/>
  <c r="AH22" i="8"/>
  <c r="AH34" i="8"/>
  <c r="AH46" i="8"/>
  <c r="AH58" i="8"/>
  <c r="AH70" i="8"/>
  <c r="AH82" i="8"/>
  <c r="AH368" i="8"/>
  <c r="AH27" i="8"/>
  <c r="AH39" i="8"/>
  <c r="AH51" i="8"/>
  <c r="AH63" i="8"/>
  <c r="AH75" i="8"/>
  <c r="AH87" i="8"/>
  <c r="AH99" i="8"/>
  <c r="AH111" i="8"/>
  <c r="AH123" i="8"/>
  <c r="AH135" i="8"/>
  <c r="AH147" i="8"/>
  <c r="AH159" i="8"/>
  <c r="AH171" i="8"/>
  <c r="AH183" i="8"/>
  <c r="AH195" i="8"/>
  <c r="AH207" i="8"/>
  <c r="AH219" i="8"/>
  <c r="AH231" i="8"/>
  <c r="AH243" i="8"/>
  <c r="AH255" i="8"/>
  <c r="AH20" i="8"/>
  <c r="AH32" i="8"/>
  <c r="AH44" i="8"/>
  <c r="AH56" i="8"/>
  <c r="AH68" i="8"/>
  <c r="AH80" i="8"/>
  <c r="AH92" i="8"/>
  <c r="AH104" i="8"/>
  <c r="AH116" i="8"/>
  <c r="AH128" i="8"/>
  <c r="AH140" i="8"/>
  <c r="AH152" i="8"/>
  <c r="AH164" i="8"/>
  <c r="AH176" i="8"/>
  <c r="AH366" i="8"/>
  <c r="AH25" i="8"/>
  <c r="AH37" i="8"/>
  <c r="AH49" i="8"/>
  <c r="AH61" i="8"/>
  <c r="AH73" i="8"/>
  <c r="AH85" i="8"/>
  <c r="AH97" i="8"/>
  <c r="AH18" i="8"/>
  <c r="AH30" i="8"/>
  <c r="AH42" i="8"/>
  <c r="AH54" i="8"/>
  <c r="AH66" i="8"/>
  <c r="AH78" i="8"/>
  <c r="AH90" i="8"/>
  <c r="AH102" i="8"/>
  <c r="AH114" i="8"/>
  <c r="AH126" i="8"/>
  <c r="AH138" i="8"/>
  <c r="AH150" i="8"/>
  <c r="AH162" i="8"/>
  <c r="AH174" i="8"/>
  <c r="AH186" i="8"/>
  <c r="AH198" i="8"/>
  <c r="AH210" i="8"/>
  <c r="AH222" i="8"/>
  <c r="AH234" i="8"/>
  <c r="AH246" i="8"/>
  <c r="AH258" i="8"/>
  <c r="AH364" i="8"/>
  <c r="AH23" i="8"/>
  <c r="AH35" i="8"/>
  <c r="AH47" i="8"/>
  <c r="AH59" i="8"/>
  <c r="AH71" i="8"/>
  <c r="AH83" i="8"/>
  <c r="AH369" i="8"/>
  <c r="AH28" i="8"/>
  <c r="AH40" i="8"/>
  <c r="AH52" i="8"/>
  <c r="AH64" i="8"/>
  <c r="AH76" i="8"/>
  <c r="AH88" i="8"/>
  <c r="AH21" i="8"/>
  <c r="AH33" i="8"/>
  <c r="AH45" i="8"/>
  <c r="AH57" i="8"/>
  <c r="AH69" i="8"/>
  <c r="AH81" i="8"/>
  <c r="AH93" i="8"/>
  <c r="AH105" i="8"/>
  <c r="AH117" i="8"/>
  <c r="AH129" i="8"/>
  <c r="AH141" i="8"/>
  <c r="AH153" i="8"/>
  <c r="AH165" i="8"/>
  <c r="AH177" i="8"/>
  <c r="AH189" i="8"/>
  <c r="AH201" i="8"/>
  <c r="AH213" i="8"/>
  <c r="AH225" i="8"/>
  <c r="AH237" i="8"/>
  <c r="AH249" i="8"/>
  <c r="AH107" i="8"/>
  <c r="AH119" i="8"/>
  <c r="AH131" i="8"/>
  <c r="AH143" i="8"/>
  <c r="AH155" i="8"/>
  <c r="AH167" i="8"/>
  <c r="AH179" i="8"/>
  <c r="AH262" i="8"/>
  <c r="AH274" i="8"/>
  <c r="AH286" i="8"/>
  <c r="AH298" i="8"/>
  <c r="AH310" i="8"/>
  <c r="AH322" i="8"/>
  <c r="AH334" i="8"/>
  <c r="AH346" i="8"/>
  <c r="AH358" i="8"/>
  <c r="AH279" i="8"/>
  <c r="AH194" i="8"/>
  <c r="AH197" i="8"/>
  <c r="AH204" i="8"/>
  <c r="AH217" i="8"/>
  <c r="AH220" i="8"/>
  <c r="AH230" i="8"/>
  <c r="AH233" i="8"/>
  <c r="AH240" i="8"/>
  <c r="AH253" i="8"/>
  <c r="AH256" i="8"/>
  <c r="AH267" i="8"/>
  <c r="AH291" i="8"/>
  <c r="AH108" i="8"/>
  <c r="AH120" i="8"/>
  <c r="AH132" i="8"/>
  <c r="AH144" i="8"/>
  <c r="AH156" i="8"/>
  <c r="AH168" i="8"/>
  <c r="AH180" i="8"/>
  <c r="AH191" i="8"/>
  <c r="AH214" i="8"/>
  <c r="AH227" i="8"/>
  <c r="AH250" i="8"/>
  <c r="AH272" i="8"/>
  <c r="AH188" i="8"/>
  <c r="AH224" i="8"/>
  <c r="AH265" i="8"/>
  <c r="AH277" i="8"/>
  <c r="AH112" i="8"/>
  <c r="AH124" i="8"/>
  <c r="AH136" i="8"/>
  <c r="AH148" i="8"/>
  <c r="AH160" i="8"/>
  <c r="AH172" i="8"/>
  <c r="AH184" i="8"/>
  <c r="AH260" i="8"/>
  <c r="AH270" i="8"/>
  <c r="AH94" i="8"/>
  <c r="AH109" i="8"/>
  <c r="AH121" i="8"/>
  <c r="AH133" i="8"/>
  <c r="AH145" i="8"/>
  <c r="AH157" i="8"/>
  <c r="AH169" i="8"/>
  <c r="AH181" i="8"/>
  <c r="AH192" i="8"/>
  <c r="AH205" i="8"/>
  <c r="AH208" i="8"/>
  <c r="AH218" i="8"/>
  <c r="AH221" i="8"/>
  <c r="AH228" i="8"/>
  <c r="AH241" i="8"/>
  <c r="AH244" i="8"/>
  <c r="AH254" i="8"/>
  <c r="AH257" i="8"/>
  <c r="AH263" i="8"/>
  <c r="AH275" i="8"/>
  <c r="AH287" i="8"/>
  <c r="AH299" i="8"/>
  <c r="AH202" i="8"/>
  <c r="AH215" i="8"/>
  <c r="AH238" i="8"/>
  <c r="AH251" i="8"/>
  <c r="AH268" i="8"/>
  <c r="AH280" i="8"/>
  <c r="AH292" i="8"/>
  <c r="AH304" i="8"/>
  <c r="AH316" i="8"/>
  <c r="AH328" i="8"/>
  <c r="AH340" i="8"/>
  <c r="AH352" i="8"/>
  <c r="AH12" i="8"/>
  <c r="AH11" i="8"/>
  <c r="AH343" i="8"/>
  <c r="AH95" i="8"/>
  <c r="AH100" i="8"/>
  <c r="AH113" i="8"/>
  <c r="AH125" i="8"/>
  <c r="AH137" i="8"/>
  <c r="AH149" i="8"/>
  <c r="AH161" i="8"/>
  <c r="AH173" i="8"/>
  <c r="AH185" i="8"/>
  <c r="AH212" i="8"/>
  <c r="AH248" i="8"/>
  <c r="AH273" i="8"/>
  <c r="AH285" i="8"/>
  <c r="AH297" i="8"/>
  <c r="AH309" i="8"/>
  <c r="AH321" i="8"/>
  <c r="AH333" i="8"/>
  <c r="AH345" i="8"/>
  <c r="AH357" i="8"/>
  <c r="AH350" i="8"/>
  <c r="AH362" i="8"/>
  <c r="AH295" i="8"/>
  <c r="AH331" i="8"/>
  <c r="AH261" i="8"/>
  <c r="AH266" i="8"/>
  <c r="AH278" i="8"/>
  <c r="AH290" i="8"/>
  <c r="AH302" i="8"/>
  <c r="AH314" i="8"/>
  <c r="AH326" i="8"/>
  <c r="AH338" i="8"/>
  <c r="AH307" i="8"/>
  <c r="AH101" i="8"/>
  <c r="AH106" i="8"/>
  <c r="AH118" i="8"/>
  <c r="AH130" i="8"/>
  <c r="AH142" i="8"/>
  <c r="AH154" i="8"/>
  <c r="AH166" i="8"/>
  <c r="AH178" i="8"/>
  <c r="AH193" i="8"/>
  <c r="AH196" i="8"/>
  <c r="AH206" i="8"/>
  <c r="AH209" i="8"/>
  <c r="AH216" i="8"/>
  <c r="AH229" i="8"/>
  <c r="AH232" i="8"/>
  <c r="AH242" i="8"/>
  <c r="AH245" i="8"/>
  <c r="AH252" i="8"/>
  <c r="AH271" i="8"/>
  <c r="AH283" i="8"/>
  <c r="AH319" i="8"/>
  <c r="AH190" i="8"/>
  <c r="AH203" i="8"/>
  <c r="AH226" i="8"/>
  <c r="AH239" i="8"/>
  <c r="AH264" i="8"/>
  <c r="AH276" i="8"/>
  <c r="AH288" i="8"/>
  <c r="AH300" i="8"/>
  <c r="AH312" i="8"/>
  <c r="AH324" i="8"/>
  <c r="AH336" i="8"/>
  <c r="AH348" i="8"/>
  <c r="AH360" i="8"/>
  <c r="AH200" i="8"/>
  <c r="AH313" i="8"/>
  <c r="AH325" i="8"/>
  <c r="AH337" i="8"/>
  <c r="AH359" i="8"/>
  <c r="AH296" i="8"/>
  <c r="AH356" i="8"/>
  <c r="AH15" i="8"/>
  <c r="AH349" i="8"/>
  <c r="AH301" i="8"/>
  <c r="AH353" i="8"/>
  <c r="AH281" i="8"/>
  <c r="AH236" i="8"/>
  <c r="AH293" i="8"/>
  <c r="AH306" i="8"/>
  <c r="AH318" i="8"/>
  <c r="AH330" i="8"/>
  <c r="AH342" i="8"/>
  <c r="AH282" i="8"/>
  <c r="AH315" i="8"/>
  <c r="AH327" i="8"/>
  <c r="AH339" i="8"/>
  <c r="AH16" i="8"/>
  <c r="AH303" i="8"/>
  <c r="AH361" i="8"/>
  <c r="AH13" i="8"/>
  <c r="AH344" i="8"/>
  <c r="AH311" i="8"/>
  <c r="AH323" i="8"/>
  <c r="AH335" i="8"/>
  <c r="AH351" i="8"/>
  <c r="AH354" i="8"/>
  <c r="AH320" i="8"/>
  <c r="AH289" i="8"/>
  <c r="AH294" i="8"/>
  <c r="AH347" i="8"/>
  <c r="AH269" i="8"/>
  <c r="AH284" i="8"/>
  <c r="AH308" i="8"/>
  <c r="AH332" i="8"/>
  <c r="AH355" i="8"/>
  <c r="AH305" i="8"/>
  <c r="AH317" i="8"/>
  <c r="AH329" i="8"/>
  <c r="AH341" i="8"/>
  <c r="AH363" i="8"/>
  <c r="AH14" i="8"/>
  <c r="P52" i="8"/>
  <c r="P53" i="8" s="1"/>
  <c r="P54" i="8" s="1"/>
  <c r="P55" i="8" s="1"/>
  <c r="P56" i="8" s="1"/>
  <c r="T13" i="8" s="1"/>
  <c r="AO5" i="1"/>
  <c r="AP5" i="1"/>
  <c r="AQ5" i="1"/>
  <c r="AR5" i="1"/>
  <c r="AS5" i="1"/>
  <c r="AO6" i="1"/>
  <c r="AP6" i="1"/>
  <c r="AQ6" i="1"/>
  <c r="AR6" i="1"/>
  <c r="AS6" i="1"/>
  <c r="AO7" i="1"/>
  <c r="AP7" i="1"/>
  <c r="AQ7" i="1"/>
  <c r="AR7" i="1"/>
  <c r="AS7" i="1"/>
  <c r="AO8" i="1"/>
  <c r="AP8" i="1"/>
  <c r="AQ8" i="1"/>
  <c r="AR8" i="1"/>
  <c r="AS8" i="1"/>
  <c r="AO9" i="1"/>
  <c r="AP9" i="1"/>
  <c r="AQ9" i="1"/>
  <c r="AR9" i="1"/>
  <c r="AS9" i="1"/>
  <c r="AO10" i="1"/>
  <c r="AP10" i="1"/>
  <c r="AQ10" i="1"/>
  <c r="AR10" i="1"/>
  <c r="AS10" i="1"/>
  <c r="AO11" i="1"/>
  <c r="AP11" i="1"/>
  <c r="AQ11" i="1"/>
  <c r="AR11" i="1"/>
  <c r="AS11" i="1"/>
  <c r="AO12" i="1"/>
  <c r="AP12" i="1"/>
  <c r="AQ12" i="1"/>
  <c r="AR12" i="1"/>
  <c r="AS12" i="1"/>
  <c r="AO13" i="1"/>
  <c r="AP13" i="1"/>
  <c r="AQ13" i="1"/>
  <c r="AR13" i="1"/>
  <c r="AS13" i="1"/>
  <c r="AO14" i="1"/>
  <c r="AP14" i="1"/>
  <c r="AQ14" i="1"/>
  <c r="AR14" i="1"/>
  <c r="AS14" i="1"/>
  <c r="AO15" i="1"/>
  <c r="AP15" i="1"/>
  <c r="AQ15" i="1"/>
  <c r="AR15" i="1"/>
  <c r="AS15" i="1"/>
  <c r="AO16" i="1"/>
  <c r="AP16" i="1"/>
  <c r="AQ16" i="1"/>
  <c r="AR16" i="1"/>
  <c r="AS16" i="1"/>
  <c r="AO17" i="1"/>
  <c r="AP17" i="1"/>
  <c r="AQ17" i="1"/>
  <c r="AR17" i="1"/>
  <c r="AS17" i="1"/>
  <c r="AO18" i="1"/>
  <c r="AP18" i="1"/>
  <c r="AQ18" i="1"/>
  <c r="AR18" i="1"/>
  <c r="AS18" i="1"/>
  <c r="AO19" i="1"/>
  <c r="AP19" i="1"/>
  <c r="AQ19" i="1"/>
  <c r="AR19" i="1"/>
  <c r="AS19" i="1"/>
  <c r="AO20" i="1"/>
  <c r="AP20" i="1"/>
  <c r="AQ20" i="1"/>
  <c r="AR20" i="1"/>
  <c r="AS20" i="1"/>
  <c r="AO21" i="1"/>
  <c r="AP21" i="1"/>
  <c r="AQ21" i="1"/>
  <c r="AR21" i="1"/>
  <c r="AS21" i="1"/>
  <c r="AO22" i="1"/>
  <c r="AP22" i="1"/>
  <c r="AQ22" i="1"/>
  <c r="AR22" i="1"/>
  <c r="AS22" i="1"/>
  <c r="AO23" i="1"/>
  <c r="AP23" i="1"/>
  <c r="AQ23" i="1"/>
  <c r="AR23" i="1"/>
  <c r="AS23" i="1"/>
  <c r="AO24" i="1"/>
  <c r="AP24" i="1"/>
  <c r="AQ24" i="1"/>
  <c r="AR24" i="1"/>
  <c r="AS24" i="1"/>
  <c r="AO25" i="1"/>
  <c r="AP25" i="1"/>
  <c r="AQ25" i="1"/>
  <c r="AR25" i="1"/>
  <c r="AS25" i="1"/>
  <c r="AO26" i="1"/>
  <c r="AP26" i="1"/>
  <c r="AQ26" i="1"/>
  <c r="AR26" i="1"/>
  <c r="AS26" i="1"/>
  <c r="AO27" i="1"/>
  <c r="AP27" i="1"/>
  <c r="AQ27" i="1"/>
  <c r="AR27" i="1"/>
  <c r="AS27" i="1"/>
  <c r="AO28" i="1"/>
  <c r="AP28" i="1"/>
  <c r="AQ28" i="1"/>
  <c r="AR28" i="1"/>
  <c r="AS28" i="1"/>
  <c r="AO29" i="1"/>
  <c r="AP29" i="1"/>
  <c r="AQ29" i="1"/>
  <c r="AR29" i="1"/>
  <c r="AS29" i="1"/>
  <c r="AO30" i="1"/>
  <c r="AP30" i="1"/>
  <c r="AQ30" i="1"/>
  <c r="AR30" i="1"/>
  <c r="AS30" i="1"/>
  <c r="AO31" i="1"/>
  <c r="AP31" i="1"/>
  <c r="AQ31" i="1"/>
  <c r="AR31" i="1"/>
  <c r="AS31" i="1"/>
  <c r="AO32" i="1"/>
  <c r="AP32" i="1"/>
  <c r="AQ32" i="1"/>
  <c r="AR32" i="1"/>
  <c r="AS32" i="1"/>
  <c r="AO33" i="1"/>
  <c r="AP33" i="1"/>
  <c r="AQ33" i="1"/>
  <c r="AR33" i="1"/>
  <c r="AS33" i="1"/>
  <c r="AO34" i="1"/>
  <c r="AP34" i="1"/>
  <c r="AQ34" i="1"/>
  <c r="AR34" i="1"/>
  <c r="AS34" i="1"/>
  <c r="AO35" i="1"/>
  <c r="AP35" i="1"/>
  <c r="AQ35" i="1"/>
  <c r="AR35" i="1"/>
  <c r="AS35" i="1"/>
  <c r="AO36" i="1"/>
  <c r="AP36" i="1"/>
  <c r="AQ36" i="1"/>
  <c r="AR36" i="1"/>
  <c r="AS36" i="1"/>
  <c r="AO37" i="1"/>
  <c r="AP37" i="1"/>
  <c r="AQ37" i="1"/>
  <c r="AR37" i="1"/>
  <c r="AS37" i="1"/>
  <c r="AO38" i="1"/>
  <c r="AP38" i="1"/>
  <c r="AQ38" i="1"/>
  <c r="AR38" i="1"/>
  <c r="AS38" i="1"/>
  <c r="AO39" i="1"/>
  <c r="AP39" i="1"/>
  <c r="AQ39" i="1"/>
  <c r="AR39" i="1"/>
  <c r="AS39" i="1"/>
  <c r="AO40" i="1"/>
  <c r="AP40" i="1"/>
  <c r="AQ40" i="1"/>
  <c r="AR40" i="1"/>
  <c r="AS40" i="1"/>
  <c r="AO41" i="1"/>
  <c r="AP41" i="1"/>
  <c r="AQ41" i="1"/>
  <c r="AR41" i="1"/>
  <c r="AS41" i="1"/>
  <c r="AO42" i="1"/>
  <c r="AP42" i="1"/>
  <c r="AQ42" i="1"/>
  <c r="AR42" i="1"/>
  <c r="AS42" i="1"/>
  <c r="AO43" i="1"/>
  <c r="AP43" i="1"/>
  <c r="AQ43" i="1"/>
  <c r="AR43" i="1"/>
  <c r="AS43" i="1"/>
  <c r="AO44" i="1"/>
  <c r="AP44" i="1"/>
  <c r="AQ44" i="1"/>
  <c r="AR44" i="1"/>
  <c r="AS44" i="1"/>
  <c r="AO45" i="1"/>
  <c r="AP45" i="1"/>
  <c r="AQ45" i="1"/>
  <c r="AR45" i="1"/>
  <c r="AS45" i="1"/>
  <c r="AO46" i="1"/>
  <c r="AP46" i="1"/>
  <c r="AQ46" i="1"/>
  <c r="AR46" i="1"/>
  <c r="AS46" i="1"/>
  <c r="AO47" i="1"/>
  <c r="AP47" i="1"/>
  <c r="AQ47" i="1"/>
  <c r="AR47" i="1"/>
  <c r="AS47" i="1"/>
  <c r="AO48" i="1"/>
  <c r="AP48" i="1"/>
  <c r="AQ48" i="1"/>
  <c r="AR48" i="1"/>
  <c r="AS48" i="1"/>
  <c r="AO49" i="1"/>
  <c r="AP49" i="1"/>
  <c r="AQ49" i="1"/>
  <c r="AR49" i="1"/>
  <c r="AS49" i="1"/>
  <c r="AO50" i="1"/>
  <c r="AP50" i="1"/>
  <c r="AQ50" i="1"/>
  <c r="AR50" i="1"/>
  <c r="AS50" i="1"/>
  <c r="AO51" i="1"/>
  <c r="AP51" i="1"/>
  <c r="AQ51" i="1"/>
  <c r="AR51" i="1"/>
  <c r="AS51" i="1"/>
  <c r="AO52" i="1"/>
  <c r="AP52" i="1"/>
  <c r="AQ52" i="1"/>
  <c r="AR52" i="1"/>
  <c r="AS52" i="1"/>
  <c r="AO53" i="1"/>
  <c r="AP53" i="1"/>
  <c r="AQ53" i="1"/>
  <c r="AR53" i="1"/>
  <c r="AS53" i="1"/>
  <c r="AO54" i="1"/>
  <c r="AP54" i="1"/>
  <c r="AQ54" i="1"/>
  <c r="AR54" i="1"/>
  <c r="AS54" i="1"/>
  <c r="AO55" i="1"/>
  <c r="AP55" i="1"/>
  <c r="AQ55" i="1"/>
  <c r="AR55" i="1"/>
  <c r="AS55" i="1"/>
  <c r="AO56" i="1"/>
  <c r="AP56" i="1"/>
  <c r="AQ56" i="1"/>
  <c r="AR56" i="1"/>
  <c r="AS56" i="1"/>
  <c r="AO57" i="1"/>
  <c r="AP57" i="1"/>
  <c r="AQ57" i="1"/>
  <c r="AR57" i="1"/>
  <c r="AS57" i="1"/>
  <c r="AO58" i="1"/>
  <c r="AP58" i="1"/>
  <c r="AQ58" i="1"/>
  <c r="AR58" i="1"/>
  <c r="AS58" i="1"/>
  <c r="AO59" i="1"/>
  <c r="AP59" i="1"/>
  <c r="AQ59" i="1"/>
  <c r="AR59" i="1"/>
  <c r="AS59" i="1"/>
  <c r="AO60" i="1"/>
  <c r="AP60" i="1"/>
  <c r="AQ60" i="1"/>
  <c r="AR60" i="1"/>
  <c r="AS60" i="1"/>
  <c r="AO61" i="1"/>
  <c r="AP61" i="1"/>
  <c r="AQ61" i="1"/>
  <c r="AR61" i="1"/>
  <c r="AS61" i="1"/>
  <c r="AO62" i="1"/>
  <c r="AP62" i="1"/>
  <c r="AQ62" i="1"/>
  <c r="AR62" i="1"/>
  <c r="AS62" i="1"/>
  <c r="AO63" i="1"/>
  <c r="AP63" i="1"/>
  <c r="AQ63" i="1"/>
  <c r="AR63" i="1"/>
  <c r="AS63" i="1"/>
  <c r="AO64" i="1"/>
  <c r="AP64" i="1"/>
  <c r="AQ64" i="1"/>
  <c r="AR64" i="1"/>
  <c r="AS64" i="1"/>
  <c r="AO65" i="1"/>
  <c r="AP65" i="1"/>
  <c r="AQ65" i="1"/>
  <c r="AR65" i="1"/>
  <c r="AS65" i="1"/>
  <c r="AO66" i="1"/>
  <c r="AP66" i="1"/>
  <c r="AQ66" i="1"/>
  <c r="AR66" i="1"/>
  <c r="AS66" i="1"/>
  <c r="AO67" i="1"/>
  <c r="AP67" i="1"/>
  <c r="AQ67" i="1"/>
  <c r="AR67" i="1"/>
  <c r="AS67" i="1"/>
  <c r="AO68" i="1"/>
  <c r="AP68" i="1"/>
  <c r="AQ68" i="1"/>
  <c r="AR68" i="1"/>
  <c r="AS68" i="1"/>
  <c r="AO69" i="1"/>
  <c r="AP69" i="1"/>
  <c r="AQ69" i="1"/>
  <c r="AR69" i="1"/>
  <c r="AS69" i="1"/>
  <c r="AO70" i="1"/>
  <c r="AP70" i="1"/>
  <c r="AQ70" i="1"/>
  <c r="AR70" i="1"/>
  <c r="AS70" i="1"/>
  <c r="AO71" i="1"/>
  <c r="AP71" i="1"/>
  <c r="AQ71" i="1"/>
  <c r="AR71" i="1"/>
  <c r="AS71" i="1"/>
  <c r="AO72" i="1"/>
  <c r="AP72" i="1"/>
  <c r="AQ72" i="1"/>
  <c r="AR72" i="1"/>
  <c r="AS72" i="1"/>
  <c r="AO73" i="1"/>
  <c r="AP73" i="1"/>
  <c r="AQ73" i="1"/>
  <c r="AR73" i="1"/>
  <c r="AS73" i="1"/>
  <c r="AO74" i="1"/>
  <c r="AP74" i="1"/>
  <c r="AQ74" i="1"/>
  <c r="AR74" i="1"/>
  <c r="AS74" i="1"/>
  <c r="AO75" i="1"/>
  <c r="AP75" i="1"/>
  <c r="AQ75" i="1"/>
  <c r="AR75" i="1"/>
  <c r="AS75" i="1"/>
  <c r="AO76" i="1"/>
  <c r="AP76" i="1"/>
  <c r="AQ76" i="1"/>
  <c r="AR76" i="1"/>
  <c r="AS76" i="1"/>
  <c r="AO77" i="1"/>
  <c r="AP77" i="1"/>
  <c r="AQ77" i="1"/>
  <c r="AR77" i="1"/>
  <c r="AS77" i="1"/>
  <c r="AO78" i="1"/>
  <c r="AP78" i="1"/>
  <c r="AQ78" i="1"/>
  <c r="AR78" i="1"/>
  <c r="AS78" i="1"/>
  <c r="AO79" i="1"/>
  <c r="AP79" i="1"/>
  <c r="AQ79" i="1"/>
  <c r="AR79" i="1"/>
  <c r="AS79" i="1"/>
  <c r="AO80" i="1"/>
  <c r="AP80" i="1"/>
  <c r="AQ80" i="1"/>
  <c r="AR80" i="1"/>
  <c r="AS80" i="1"/>
  <c r="AO81" i="1"/>
  <c r="AP81" i="1"/>
  <c r="AQ81" i="1"/>
  <c r="AR81" i="1"/>
  <c r="AS81" i="1"/>
  <c r="AO82" i="1"/>
  <c r="AP82" i="1"/>
  <c r="AQ82" i="1"/>
  <c r="AR82" i="1"/>
  <c r="AS82" i="1"/>
  <c r="AO83" i="1"/>
  <c r="AP83" i="1"/>
  <c r="AQ83" i="1"/>
  <c r="AR83" i="1"/>
  <c r="AS83" i="1"/>
  <c r="AO84" i="1"/>
  <c r="AP84" i="1"/>
  <c r="AQ84" i="1"/>
  <c r="AR84" i="1"/>
  <c r="AS84" i="1"/>
  <c r="AO85" i="1"/>
  <c r="AP85" i="1"/>
  <c r="AQ85" i="1"/>
  <c r="AR85" i="1"/>
  <c r="AS85" i="1"/>
  <c r="AO86" i="1"/>
  <c r="AP86" i="1"/>
  <c r="AQ86" i="1"/>
  <c r="AR86" i="1"/>
  <c r="AS86" i="1"/>
  <c r="AO87" i="1"/>
  <c r="AP87" i="1"/>
  <c r="AQ87" i="1"/>
  <c r="AR87" i="1"/>
  <c r="AS87" i="1"/>
  <c r="AO88" i="1"/>
  <c r="AP88" i="1"/>
  <c r="AQ88" i="1"/>
  <c r="AR88" i="1"/>
  <c r="AS88" i="1"/>
  <c r="AO89" i="1"/>
  <c r="AP89" i="1"/>
  <c r="AQ89" i="1"/>
  <c r="AR89" i="1"/>
  <c r="AS89" i="1"/>
  <c r="AO90" i="1"/>
  <c r="AP90" i="1"/>
  <c r="AQ90" i="1"/>
  <c r="AR90" i="1"/>
  <c r="AS90" i="1"/>
  <c r="AO91" i="1"/>
  <c r="AP91" i="1"/>
  <c r="AQ91" i="1"/>
  <c r="AR91" i="1"/>
  <c r="AS91" i="1"/>
  <c r="AO92" i="1"/>
  <c r="AP92" i="1"/>
  <c r="AQ92" i="1"/>
  <c r="AR92" i="1"/>
  <c r="AS92" i="1"/>
  <c r="AO93" i="1"/>
  <c r="AP93" i="1"/>
  <c r="AQ93" i="1"/>
  <c r="AR93" i="1"/>
  <c r="AS93" i="1"/>
  <c r="AO94" i="1"/>
  <c r="AP94" i="1"/>
  <c r="AQ94" i="1"/>
  <c r="AR94" i="1"/>
  <c r="AS94" i="1"/>
  <c r="AO95" i="1"/>
  <c r="AP95" i="1"/>
  <c r="AQ95" i="1"/>
  <c r="AR95" i="1"/>
  <c r="AS95" i="1"/>
  <c r="AO96" i="1"/>
  <c r="AP96" i="1"/>
  <c r="AQ96" i="1"/>
  <c r="AR96" i="1"/>
  <c r="AS96" i="1"/>
  <c r="AO97" i="1"/>
  <c r="AP97" i="1"/>
  <c r="AQ97" i="1"/>
  <c r="AR97" i="1"/>
  <c r="AS97" i="1"/>
  <c r="AO98" i="1"/>
  <c r="AP98" i="1"/>
  <c r="AQ98" i="1"/>
  <c r="AR98" i="1"/>
  <c r="AS98" i="1"/>
  <c r="AO99" i="1"/>
  <c r="AP99" i="1"/>
  <c r="AQ99" i="1"/>
  <c r="AR99" i="1"/>
  <c r="AS99" i="1"/>
  <c r="AO100" i="1"/>
  <c r="AP100" i="1"/>
  <c r="AQ100" i="1"/>
  <c r="AR100" i="1"/>
  <c r="AS100" i="1"/>
  <c r="AO101" i="1"/>
  <c r="AP101" i="1"/>
  <c r="AQ101" i="1"/>
  <c r="AR101" i="1"/>
  <c r="AS101" i="1"/>
  <c r="AO102" i="1"/>
  <c r="AP102" i="1"/>
  <c r="AQ102" i="1"/>
  <c r="AR102" i="1"/>
  <c r="AS102" i="1"/>
  <c r="AO103" i="1"/>
  <c r="AP103" i="1"/>
  <c r="AQ103" i="1"/>
  <c r="AR103" i="1"/>
  <c r="AS103" i="1"/>
  <c r="AO104" i="1"/>
  <c r="AP104" i="1"/>
  <c r="AQ104" i="1"/>
  <c r="AR104" i="1"/>
  <c r="AS104" i="1"/>
  <c r="AO105" i="1"/>
  <c r="AP105" i="1"/>
  <c r="AQ105" i="1"/>
  <c r="AR105" i="1"/>
  <c r="AS105" i="1"/>
  <c r="AO106" i="1"/>
  <c r="AP106" i="1"/>
  <c r="AQ106" i="1"/>
  <c r="AR106" i="1"/>
  <c r="AS106" i="1"/>
  <c r="AO107" i="1"/>
  <c r="AP107" i="1"/>
  <c r="AQ107" i="1"/>
  <c r="AR107" i="1"/>
  <c r="AS107" i="1"/>
  <c r="AO108" i="1"/>
  <c r="AP108" i="1"/>
  <c r="AQ108" i="1"/>
  <c r="AR108" i="1"/>
  <c r="AS108" i="1"/>
  <c r="AO109" i="1"/>
  <c r="AP109" i="1"/>
  <c r="AQ109" i="1"/>
  <c r="AR109" i="1"/>
  <c r="AS109" i="1"/>
  <c r="AO110" i="1"/>
  <c r="AP110" i="1"/>
  <c r="AQ110" i="1"/>
  <c r="AR110" i="1"/>
  <c r="AS110" i="1"/>
  <c r="AO111" i="1"/>
  <c r="AP111" i="1"/>
  <c r="AQ111" i="1"/>
  <c r="AR111" i="1"/>
  <c r="AS111" i="1"/>
  <c r="AO112" i="1"/>
  <c r="AP112" i="1"/>
  <c r="AQ112" i="1"/>
  <c r="AR112" i="1"/>
  <c r="AS112" i="1"/>
  <c r="AO113" i="1"/>
  <c r="AP113" i="1"/>
  <c r="AQ113" i="1"/>
  <c r="AR113" i="1"/>
  <c r="AS113" i="1"/>
  <c r="AO114" i="1"/>
  <c r="AP114" i="1"/>
  <c r="AQ114" i="1"/>
  <c r="AR114" i="1"/>
  <c r="AS114" i="1"/>
  <c r="AO115" i="1"/>
  <c r="AP115" i="1"/>
  <c r="AQ115" i="1"/>
  <c r="AR115" i="1"/>
  <c r="AS115" i="1"/>
  <c r="AO116" i="1"/>
  <c r="AP116" i="1"/>
  <c r="AQ116" i="1"/>
  <c r="AR116" i="1"/>
  <c r="AS116" i="1"/>
  <c r="AO117" i="1"/>
  <c r="AP117" i="1"/>
  <c r="AQ117" i="1"/>
  <c r="AR117" i="1"/>
  <c r="AS117" i="1"/>
  <c r="AO118" i="1"/>
  <c r="AP118" i="1"/>
  <c r="AQ118" i="1"/>
  <c r="AR118" i="1"/>
  <c r="AS118" i="1"/>
  <c r="AO119" i="1"/>
  <c r="AP119" i="1"/>
  <c r="AQ119" i="1"/>
  <c r="AR119" i="1"/>
  <c r="AS119" i="1"/>
  <c r="AO120" i="1"/>
  <c r="AP120" i="1"/>
  <c r="AQ120" i="1"/>
  <c r="AR120" i="1"/>
  <c r="AS120" i="1"/>
  <c r="AO121" i="1"/>
  <c r="AP121" i="1"/>
  <c r="AQ121" i="1"/>
  <c r="AR121" i="1"/>
  <c r="AS121" i="1"/>
  <c r="AO122" i="1"/>
  <c r="AP122" i="1"/>
  <c r="AQ122" i="1"/>
  <c r="AR122" i="1"/>
  <c r="AS122" i="1"/>
  <c r="AO123" i="1"/>
  <c r="AP123" i="1"/>
  <c r="AQ123" i="1"/>
  <c r="AR123" i="1"/>
  <c r="AS123" i="1"/>
  <c r="AO124" i="1"/>
  <c r="AP124" i="1"/>
  <c r="AQ124" i="1"/>
  <c r="AR124" i="1"/>
  <c r="AS124" i="1"/>
  <c r="AO125" i="1"/>
  <c r="AP125" i="1"/>
  <c r="AQ125" i="1"/>
  <c r="AR125" i="1"/>
  <c r="AS125" i="1"/>
  <c r="AO126" i="1"/>
  <c r="AP126" i="1"/>
  <c r="AQ126" i="1"/>
  <c r="AR126" i="1"/>
  <c r="AS126" i="1"/>
  <c r="AO127" i="1"/>
  <c r="AP127" i="1"/>
  <c r="AQ127" i="1"/>
  <c r="AR127" i="1"/>
  <c r="AS127" i="1"/>
  <c r="AO128" i="1"/>
  <c r="AP128" i="1"/>
  <c r="AQ128" i="1"/>
  <c r="AR128" i="1"/>
  <c r="AS128" i="1"/>
  <c r="AO129" i="1"/>
  <c r="AP129" i="1"/>
  <c r="AQ129" i="1"/>
  <c r="AR129" i="1"/>
  <c r="AS129" i="1"/>
  <c r="AO130" i="1"/>
  <c r="AP130" i="1"/>
  <c r="AQ130" i="1"/>
  <c r="AR130" i="1"/>
  <c r="AS130" i="1"/>
  <c r="AO131" i="1"/>
  <c r="AP131" i="1"/>
  <c r="AQ131" i="1"/>
  <c r="AR131" i="1"/>
  <c r="AS131" i="1"/>
  <c r="AO132" i="1"/>
  <c r="AP132" i="1"/>
  <c r="AQ132" i="1"/>
  <c r="AR132" i="1"/>
  <c r="AS132" i="1"/>
  <c r="AO133" i="1"/>
  <c r="AP133" i="1"/>
  <c r="AQ133" i="1"/>
  <c r="AR133" i="1"/>
  <c r="AS133" i="1"/>
  <c r="AO134" i="1"/>
  <c r="AP134" i="1"/>
  <c r="AQ134" i="1"/>
  <c r="AR134" i="1"/>
  <c r="AS134" i="1"/>
  <c r="AO135" i="1"/>
  <c r="AP135" i="1"/>
  <c r="AQ135" i="1"/>
  <c r="AR135" i="1"/>
  <c r="AS135" i="1"/>
  <c r="AO136" i="1"/>
  <c r="AP136" i="1"/>
  <c r="AQ136" i="1"/>
  <c r="AR136" i="1"/>
  <c r="AS136" i="1"/>
  <c r="AO137" i="1"/>
  <c r="AP137" i="1"/>
  <c r="AQ137" i="1"/>
  <c r="AR137" i="1"/>
  <c r="AS137" i="1"/>
  <c r="AO138" i="1"/>
  <c r="AP138" i="1"/>
  <c r="AQ138" i="1"/>
  <c r="AR138" i="1"/>
  <c r="AS138" i="1"/>
  <c r="AO139" i="1"/>
  <c r="AP139" i="1"/>
  <c r="AQ139" i="1"/>
  <c r="AR139" i="1"/>
  <c r="AS139" i="1"/>
  <c r="AO140" i="1"/>
  <c r="AP140" i="1"/>
  <c r="AQ140" i="1"/>
  <c r="AR140" i="1"/>
  <c r="AS140" i="1"/>
  <c r="AO141" i="1"/>
  <c r="AP141" i="1"/>
  <c r="AQ141" i="1"/>
  <c r="AR141" i="1"/>
  <c r="AS141" i="1"/>
  <c r="AO142" i="1"/>
  <c r="AP142" i="1"/>
  <c r="AQ142" i="1"/>
  <c r="AR142" i="1"/>
  <c r="AS142" i="1"/>
  <c r="AO143" i="1"/>
  <c r="AP143" i="1"/>
  <c r="AQ143" i="1"/>
  <c r="AR143" i="1"/>
  <c r="AS143" i="1"/>
  <c r="AO144" i="1"/>
  <c r="AP144" i="1"/>
  <c r="AQ144" i="1"/>
  <c r="AR144" i="1"/>
  <c r="AS144" i="1"/>
  <c r="AO145" i="1"/>
  <c r="AP145" i="1"/>
  <c r="AQ145" i="1"/>
  <c r="AR145" i="1"/>
  <c r="AS145" i="1"/>
  <c r="AO146" i="1"/>
  <c r="AP146" i="1"/>
  <c r="AQ146" i="1"/>
  <c r="AR146" i="1"/>
  <c r="AS146" i="1"/>
  <c r="AO147" i="1"/>
  <c r="AP147" i="1"/>
  <c r="AQ147" i="1"/>
  <c r="AR147" i="1"/>
  <c r="AS147" i="1"/>
  <c r="AO148" i="1"/>
  <c r="AP148" i="1"/>
  <c r="AQ148" i="1"/>
  <c r="AR148" i="1"/>
  <c r="AS148" i="1"/>
  <c r="AO149" i="1"/>
  <c r="AP149" i="1"/>
  <c r="AQ149" i="1"/>
  <c r="AR149" i="1"/>
  <c r="AS149" i="1"/>
  <c r="AO150" i="1"/>
  <c r="AP150" i="1"/>
  <c r="AQ150" i="1"/>
  <c r="AR150" i="1"/>
  <c r="AS150" i="1"/>
  <c r="AO151" i="1"/>
  <c r="AP151" i="1"/>
  <c r="AQ151" i="1"/>
  <c r="AR151" i="1"/>
  <c r="AS151" i="1"/>
  <c r="AO152" i="1"/>
  <c r="AP152" i="1"/>
  <c r="AQ152" i="1"/>
  <c r="AR152" i="1"/>
  <c r="AS152" i="1"/>
  <c r="AO153" i="1"/>
  <c r="AP153" i="1"/>
  <c r="AQ153" i="1"/>
  <c r="AR153" i="1"/>
  <c r="AS153" i="1"/>
  <c r="AO154" i="1"/>
  <c r="AP154" i="1"/>
  <c r="AQ154" i="1"/>
  <c r="AR154" i="1"/>
  <c r="AS154" i="1"/>
  <c r="AO155" i="1"/>
  <c r="AP155" i="1"/>
  <c r="AQ155" i="1"/>
  <c r="AR155" i="1"/>
  <c r="AS155" i="1"/>
  <c r="AO156" i="1"/>
  <c r="AP156" i="1"/>
  <c r="AQ156" i="1"/>
  <c r="AR156" i="1"/>
  <c r="AS156" i="1"/>
  <c r="AO157" i="1"/>
  <c r="AP157" i="1"/>
  <c r="AQ157" i="1"/>
  <c r="AR157" i="1"/>
  <c r="AS157" i="1"/>
  <c r="AO158" i="1"/>
  <c r="AP158" i="1"/>
  <c r="AQ158" i="1"/>
  <c r="AR158" i="1"/>
  <c r="AS158" i="1"/>
  <c r="AO159" i="1"/>
  <c r="AP159" i="1"/>
  <c r="AQ159" i="1"/>
  <c r="AR159" i="1"/>
  <c r="AS159" i="1"/>
  <c r="AO160" i="1"/>
  <c r="AP160" i="1"/>
  <c r="AQ160" i="1"/>
  <c r="AR160" i="1"/>
  <c r="AS160" i="1"/>
  <c r="AO161" i="1"/>
  <c r="AP161" i="1"/>
  <c r="AQ161" i="1"/>
  <c r="AR161" i="1"/>
  <c r="AS161" i="1"/>
  <c r="AO162" i="1"/>
  <c r="AP162" i="1"/>
  <c r="AQ162" i="1"/>
  <c r="AR162" i="1"/>
  <c r="AS162" i="1"/>
  <c r="AO163" i="1"/>
  <c r="AP163" i="1"/>
  <c r="AQ163" i="1"/>
  <c r="AR163" i="1"/>
  <c r="AS163" i="1"/>
  <c r="AO164" i="1"/>
  <c r="AP164" i="1"/>
  <c r="AQ164" i="1"/>
  <c r="AR164" i="1"/>
  <c r="AS164" i="1"/>
  <c r="AO165" i="1"/>
  <c r="AP165" i="1"/>
  <c r="AQ165" i="1"/>
  <c r="AR165" i="1"/>
  <c r="AS165" i="1"/>
  <c r="AO166" i="1"/>
  <c r="AP166" i="1"/>
  <c r="AQ166" i="1"/>
  <c r="AR166" i="1"/>
  <c r="AS166" i="1"/>
  <c r="AO167" i="1"/>
  <c r="AP167" i="1"/>
  <c r="AQ167" i="1"/>
  <c r="AR167" i="1"/>
  <c r="AS167" i="1"/>
  <c r="AO168" i="1"/>
  <c r="AP168" i="1"/>
  <c r="AQ168" i="1"/>
  <c r="AR168" i="1"/>
  <c r="AS168" i="1"/>
  <c r="AO169" i="1"/>
  <c r="AP169" i="1"/>
  <c r="AQ169" i="1"/>
  <c r="AR169" i="1"/>
  <c r="AS169" i="1"/>
  <c r="AO170" i="1"/>
  <c r="AP170" i="1"/>
  <c r="AQ170" i="1"/>
  <c r="AR170" i="1"/>
  <c r="AS170" i="1"/>
  <c r="AO171" i="1"/>
  <c r="AP171" i="1"/>
  <c r="AQ171" i="1"/>
  <c r="AR171" i="1"/>
  <c r="AS171" i="1"/>
  <c r="AO172" i="1"/>
  <c r="AP172" i="1"/>
  <c r="AQ172" i="1"/>
  <c r="AR172" i="1"/>
  <c r="AS172" i="1"/>
  <c r="AO173" i="1"/>
  <c r="AP173" i="1"/>
  <c r="AQ173" i="1"/>
  <c r="AR173" i="1"/>
  <c r="AS173" i="1"/>
  <c r="AO174" i="1"/>
  <c r="AP174" i="1"/>
  <c r="AQ174" i="1"/>
  <c r="AR174" i="1"/>
  <c r="AS174" i="1"/>
  <c r="AO175" i="1"/>
  <c r="AP175" i="1"/>
  <c r="AQ175" i="1"/>
  <c r="AR175" i="1"/>
  <c r="AS175" i="1"/>
  <c r="AO176" i="1"/>
  <c r="AP176" i="1"/>
  <c r="AQ176" i="1"/>
  <c r="AR176" i="1"/>
  <c r="AS176" i="1"/>
  <c r="AO177" i="1"/>
  <c r="AP177" i="1"/>
  <c r="AQ177" i="1"/>
  <c r="AR177" i="1"/>
  <c r="AS177" i="1"/>
  <c r="AO178" i="1"/>
  <c r="AP178" i="1"/>
  <c r="AQ178" i="1"/>
  <c r="AR178" i="1"/>
  <c r="AS178" i="1"/>
  <c r="AO179" i="1"/>
  <c r="AP179" i="1"/>
  <c r="AQ179" i="1"/>
  <c r="AR179" i="1"/>
  <c r="AS179" i="1"/>
  <c r="AO180" i="1"/>
  <c r="AP180" i="1"/>
  <c r="AQ180" i="1"/>
  <c r="AR180" i="1"/>
  <c r="AS180" i="1"/>
  <c r="AO181" i="1"/>
  <c r="AP181" i="1"/>
  <c r="AQ181" i="1"/>
  <c r="AR181" i="1"/>
  <c r="AS181" i="1"/>
  <c r="AO182" i="1"/>
  <c r="AP182" i="1"/>
  <c r="AQ182" i="1"/>
  <c r="AR182" i="1"/>
  <c r="AS182" i="1"/>
  <c r="AO183" i="1"/>
  <c r="AP183" i="1"/>
  <c r="AQ183" i="1"/>
  <c r="AR183" i="1"/>
  <c r="AS183" i="1"/>
  <c r="AO184" i="1"/>
  <c r="AP184" i="1"/>
  <c r="AQ184" i="1"/>
  <c r="AR184" i="1"/>
  <c r="AS184" i="1"/>
  <c r="AO185" i="1"/>
  <c r="AP185" i="1"/>
  <c r="AQ185" i="1"/>
  <c r="AR185" i="1"/>
  <c r="AS185" i="1"/>
  <c r="AO186" i="1"/>
  <c r="AP186" i="1"/>
  <c r="AQ186" i="1"/>
  <c r="AR186" i="1"/>
  <c r="AS186" i="1"/>
  <c r="AO187" i="1"/>
  <c r="AP187" i="1"/>
  <c r="AQ187" i="1"/>
  <c r="AR187" i="1"/>
  <c r="AS187" i="1"/>
  <c r="AO188" i="1"/>
  <c r="AP188" i="1"/>
  <c r="AQ188" i="1"/>
  <c r="AR188" i="1"/>
  <c r="AS188" i="1"/>
  <c r="AO189" i="1"/>
  <c r="AP189" i="1"/>
  <c r="AQ189" i="1"/>
  <c r="AR189" i="1"/>
  <c r="AS189" i="1"/>
  <c r="AO190" i="1"/>
  <c r="AP190" i="1"/>
  <c r="AQ190" i="1"/>
  <c r="AR190" i="1"/>
  <c r="AS190" i="1"/>
  <c r="AO191" i="1"/>
  <c r="AP191" i="1"/>
  <c r="AQ191" i="1"/>
  <c r="AR191" i="1"/>
  <c r="AS191" i="1"/>
  <c r="AO192" i="1"/>
  <c r="AP192" i="1"/>
  <c r="AQ192" i="1"/>
  <c r="AR192" i="1"/>
  <c r="AS192" i="1"/>
  <c r="AO193" i="1"/>
  <c r="AP193" i="1"/>
  <c r="AQ193" i="1"/>
  <c r="AR193" i="1"/>
  <c r="AS193" i="1"/>
  <c r="AO194" i="1"/>
  <c r="AP194" i="1"/>
  <c r="AQ194" i="1"/>
  <c r="AR194" i="1"/>
  <c r="AS194" i="1"/>
  <c r="AO195" i="1"/>
  <c r="AP195" i="1"/>
  <c r="AQ195" i="1"/>
  <c r="AR195" i="1"/>
  <c r="AS195" i="1"/>
  <c r="AO196" i="1"/>
  <c r="AP196" i="1"/>
  <c r="AQ196" i="1"/>
  <c r="AR196" i="1"/>
  <c r="AS196" i="1"/>
  <c r="AO197" i="1"/>
  <c r="AP197" i="1"/>
  <c r="AQ197" i="1"/>
  <c r="AR197" i="1"/>
  <c r="AS197" i="1"/>
  <c r="AO198" i="1"/>
  <c r="AP198" i="1"/>
  <c r="AQ198" i="1"/>
  <c r="AR198" i="1"/>
  <c r="AS198" i="1"/>
  <c r="AO199" i="1"/>
  <c r="AP199" i="1"/>
  <c r="AQ199" i="1"/>
  <c r="AR199" i="1"/>
  <c r="AS199" i="1"/>
  <c r="AO200" i="1"/>
  <c r="AP200" i="1"/>
  <c r="AQ200" i="1"/>
  <c r="AR200" i="1"/>
  <c r="AS200" i="1"/>
  <c r="AO201" i="1"/>
  <c r="AP201" i="1"/>
  <c r="AQ201" i="1"/>
  <c r="AR201" i="1"/>
  <c r="AS201" i="1"/>
  <c r="AO202" i="1"/>
  <c r="AP202" i="1"/>
  <c r="AQ202" i="1"/>
  <c r="AR202" i="1"/>
  <c r="AS202" i="1"/>
  <c r="AO203" i="1"/>
  <c r="AP203" i="1"/>
  <c r="AQ203" i="1"/>
  <c r="AR203" i="1"/>
  <c r="AS203" i="1"/>
  <c r="AO204" i="1"/>
  <c r="AP204" i="1"/>
  <c r="AQ204" i="1"/>
  <c r="AR204" i="1"/>
  <c r="AS204" i="1"/>
  <c r="AO205" i="1"/>
  <c r="AP205" i="1"/>
  <c r="AQ205" i="1"/>
  <c r="AR205" i="1"/>
  <c r="AS205" i="1"/>
  <c r="AO206" i="1"/>
  <c r="AP206" i="1"/>
  <c r="AQ206" i="1"/>
  <c r="AR206" i="1"/>
  <c r="AS206" i="1"/>
  <c r="AO207" i="1"/>
  <c r="AP207" i="1"/>
  <c r="AQ207" i="1"/>
  <c r="AR207" i="1"/>
  <c r="AS207" i="1"/>
  <c r="AO208" i="1"/>
  <c r="AP208" i="1"/>
  <c r="AQ208" i="1"/>
  <c r="AR208" i="1"/>
  <c r="AS208" i="1"/>
  <c r="AO209" i="1"/>
  <c r="AP209" i="1"/>
  <c r="AQ209" i="1"/>
  <c r="AR209" i="1"/>
  <c r="AS209" i="1"/>
  <c r="AO210" i="1"/>
  <c r="AP210" i="1"/>
  <c r="AQ210" i="1"/>
  <c r="AR210" i="1"/>
  <c r="AS210" i="1"/>
  <c r="AO211" i="1"/>
  <c r="AP211" i="1"/>
  <c r="AQ211" i="1"/>
  <c r="AR211" i="1"/>
  <c r="AS211" i="1"/>
  <c r="AO212" i="1"/>
  <c r="AP212" i="1"/>
  <c r="AQ212" i="1"/>
  <c r="AR212" i="1"/>
  <c r="AS212" i="1"/>
  <c r="AO213" i="1"/>
  <c r="AP213" i="1"/>
  <c r="AQ213" i="1"/>
  <c r="AR213" i="1"/>
  <c r="AS213" i="1"/>
  <c r="AO214" i="1"/>
  <c r="AP214" i="1"/>
  <c r="AQ214" i="1"/>
  <c r="AR214" i="1"/>
  <c r="AS214" i="1"/>
  <c r="AO215" i="1"/>
  <c r="AP215" i="1"/>
  <c r="AQ215" i="1"/>
  <c r="AR215" i="1"/>
  <c r="AS215" i="1"/>
  <c r="AO216" i="1"/>
  <c r="AP216" i="1"/>
  <c r="AQ216" i="1"/>
  <c r="AR216" i="1"/>
  <c r="AS216" i="1"/>
  <c r="AO217" i="1"/>
  <c r="AP217" i="1"/>
  <c r="AQ217" i="1"/>
  <c r="AR217" i="1"/>
  <c r="AS217" i="1"/>
  <c r="AO218" i="1"/>
  <c r="AP218" i="1"/>
  <c r="AQ218" i="1"/>
  <c r="AR218" i="1"/>
  <c r="AS218" i="1"/>
  <c r="AO219" i="1"/>
  <c r="AP219" i="1"/>
  <c r="AQ219" i="1"/>
  <c r="AR219" i="1"/>
  <c r="AS219" i="1"/>
  <c r="AO220" i="1"/>
  <c r="AP220" i="1"/>
  <c r="AQ220" i="1"/>
  <c r="AR220" i="1"/>
  <c r="AS220" i="1"/>
  <c r="AO221" i="1"/>
  <c r="AP221" i="1"/>
  <c r="AQ221" i="1"/>
  <c r="AR221" i="1"/>
  <c r="AS221" i="1"/>
  <c r="AO222" i="1"/>
  <c r="AP222" i="1"/>
  <c r="AQ222" i="1"/>
  <c r="AR222" i="1"/>
  <c r="AS222" i="1"/>
  <c r="AO223" i="1"/>
  <c r="AP223" i="1"/>
  <c r="AQ223" i="1"/>
  <c r="AR223" i="1"/>
  <c r="AS223" i="1"/>
  <c r="AO224" i="1"/>
  <c r="AP224" i="1"/>
  <c r="AQ224" i="1"/>
  <c r="AR224" i="1"/>
  <c r="AS224" i="1"/>
  <c r="AO225" i="1"/>
  <c r="AP225" i="1"/>
  <c r="AQ225" i="1"/>
  <c r="AR225" i="1"/>
  <c r="AS225" i="1"/>
  <c r="AO226" i="1"/>
  <c r="AP226" i="1"/>
  <c r="AQ226" i="1"/>
  <c r="AR226" i="1"/>
  <c r="AS226" i="1"/>
  <c r="AO227" i="1"/>
  <c r="AP227" i="1"/>
  <c r="AQ227" i="1"/>
  <c r="AR227" i="1"/>
  <c r="AS227" i="1"/>
  <c r="AO228" i="1"/>
  <c r="AP228" i="1"/>
  <c r="AQ228" i="1"/>
  <c r="AR228" i="1"/>
  <c r="AS228" i="1"/>
  <c r="AO229" i="1"/>
  <c r="AP229" i="1"/>
  <c r="AQ229" i="1"/>
  <c r="AR229" i="1"/>
  <c r="AS229" i="1"/>
  <c r="AO230" i="1"/>
  <c r="AP230" i="1"/>
  <c r="AQ230" i="1"/>
  <c r="AR230" i="1"/>
  <c r="AS230" i="1"/>
  <c r="AO231" i="1"/>
  <c r="AP231" i="1"/>
  <c r="AQ231" i="1"/>
  <c r="AR231" i="1"/>
  <c r="AS231" i="1"/>
  <c r="AO232" i="1"/>
  <c r="AP232" i="1"/>
  <c r="AQ232" i="1"/>
  <c r="AR232" i="1"/>
  <c r="AS232" i="1"/>
  <c r="AO233" i="1"/>
  <c r="AP233" i="1"/>
  <c r="AQ233" i="1"/>
  <c r="AR233" i="1"/>
  <c r="AS233" i="1"/>
  <c r="AO234" i="1"/>
  <c r="AP234" i="1"/>
  <c r="AQ234" i="1"/>
  <c r="AR234" i="1"/>
  <c r="AS234" i="1"/>
  <c r="AO235" i="1"/>
  <c r="AP235" i="1"/>
  <c r="AQ235" i="1"/>
  <c r="AR235" i="1"/>
  <c r="AS235" i="1"/>
  <c r="AO236" i="1"/>
  <c r="AP236" i="1"/>
  <c r="AQ236" i="1"/>
  <c r="AR236" i="1"/>
  <c r="AS236" i="1"/>
  <c r="AO237" i="1"/>
  <c r="AP237" i="1"/>
  <c r="AQ237" i="1"/>
  <c r="AR237" i="1"/>
  <c r="AS237" i="1"/>
  <c r="AO238" i="1"/>
  <c r="AP238" i="1"/>
  <c r="AQ238" i="1"/>
  <c r="AR238" i="1"/>
  <c r="AS238" i="1"/>
  <c r="AO239" i="1"/>
  <c r="AP239" i="1"/>
  <c r="AQ239" i="1"/>
  <c r="AR239" i="1"/>
  <c r="AS239" i="1"/>
  <c r="AO240" i="1"/>
  <c r="AP240" i="1"/>
  <c r="AQ240" i="1"/>
  <c r="AR240" i="1"/>
  <c r="AS240" i="1"/>
  <c r="AO241" i="1"/>
  <c r="AP241" i="1"/>
  <c r="AQ241" i="1"/>
  <c r="AR241" i="1"/>
  <c r="AS241" i="1"/>
  <c r="AO242" i="1"/>
  <c r="AP242" i="1"/>
  <c r="AQ242" i="1"/>
  <c r="AR242" i="1"/>
  <c r="AS242" i="1"/>
  <c r="AO243" i="1"/>
  <c r="AP243" i="1"/>
  <c r="AQ243" i="1"/>
  <c r="AR243" i="1"/>
  <c r="AS243" i="1"/>
  <c r="AO244" i="1"/>
  <c r="AP244" i="1"/>
  <c r="AQ244" i="1"/>
  <c r="AR244" i="1"/>
  <c r="AS244" i="1"/>
  <c r="AO245" i="1"/>
  <c r="AP245" i="1"/>
  <c r="AQ245" i="1"/>
  <c r="AR245" i="1"/>
  <c r="AS245" i="1"/>
  <c r="AO246" i="1"/>
  <c r="AP246" i="1"/>
  <c r="AQ246" i="1"/>
  <c r="AR246" i="1"/>
  <c r="AS246" i="1"/>
  <c r="AO247" i="1"/>
  <c r="AP247" i="1"/>
  <c r="AQ247" i="1"/>
  <c r="AR247" i="1"/>
  <c r="AS247" i="1"/>
  <c r="AO248" i="1"/>
  <c r="AP248" i="1"/>
  <c r="AQ248" i="1"/>
  <c r="AR248" i="1"/>
  <c r="AS248" i="1"/>
  <c r="AO249" i="1"/>
  <c r="AP249" i="1"/>
  <c r="AQ249" i="1"/>
  <c r="AR249" i="1"/>
  <c r="AS249" i="1"/>
  <c r="AO250" i="1"/>
  <c r="AP250" i="1"/>
  <c r="AQ250" i="1"/>
  <c r="AR250" i="1"/>
  <c r="AS250" i="1"/>
  <c r="AO251" i="1"/>
  <c r="AP251" i="1"/>
  <c r="AQ251" i="1"/>
  <c r="AR251" i="1"/>
  <c r="AS251" i="1"/>
  <c r="AO252" i="1"/>
  <c r="AP252" i="1"/>
  <c r="AQ252" i="1"/>
  <c r="AR252" i="1"/>
  <c r="AS252" i="1"/>
  <c r="AO253" i="1"/>
  <c r="AP253" i="1"/>
  <c r="AQ253" i="1"/>
  <c r="AR253" i="1"/>
  <c r="AS253" i="1"/>
  <c r="AO254" i="1"/>
  <c r="AP254" i="1"/>
  <c r="AQ254" i="1"/>
  <c r="AR254" i="1"/>
  <c r="AS254" i="1"/>
  <c r="AO255" i="1"/>
  <c r="AP255" i="1"/>
  <c r="AQ255" i="1"/>
  <c r="AR255" i="1"/>
  <c r="AS255" i="1"/>
  <c r="AO256" i="1"/>
  <c r="AP256" i="1"/>
  <c r="AQ256" i="1"/>
  <c r="AR256" i="1"/>
  <c r="AS256" i="1"/>
  <c r="AO257" i="1"/>
  <c r="AP257" i="1"/>
  <c r="AQ257" i="1"/>
  <c r="AR257" i="1"/>
  <c r="AS257" i="1"/>
  <c r="AO258" i="1"/>
  <c r="AP258" i="1"/>
  <c r="AQ258" i="1"/>
  <c r="AR258" i="1"/>
  <c r="AS258" i="1"/>
  <c r="AO259" i="1"/>
  <c r="AP259" i="1"/>
  <c r="AQ259" i="1"/>
  <c r="AR259" i="1"/>
  <c r="AS259" i="1"/>
  <c r="AO260" i="1"/>
  <c r="AP260" i="1"/>
  <c r="AQ260" i="1"/>
  <c r="AR260" i="1"/>
  <c r="AS260" i="1"/>
  <c r="AO261" i="1"/>
  <c r="AP261" i="1"/>
  <c r="AQ261" i="1"/>
  <c r="AR261" i="1"/>
  <c r="AS261" i="1"/>
  <c r="AO262" i="1"/>
  <c r="AP262" i="1"/>
  <c r="AQ262" i="1"/>
  <c r="AR262" i="1"/>
  <c r="AS262" i="1"/>
  <c r="AO263" i="1"/>
  <c r="AP263" i="1"/>
  <c r="AQ263" i="1"/>
  <c r="AR263" i="1"/>
  <c r="AS263" i="1"/>
  <c r="AO264" i="1"/>
  <c r="AP264" i="1"/>
  <c r="AQ264" i="1"/>
  <c r="AR264" i="1"/>
  <c r="AS264" i="1"/>
  <c r="AO265" i="1"/>
  <c r="AP265" i="1"/>
  <c r="AQ265" i="1"/>
  <c r="AR265" i="1"/>
  <c r="AS265" i="1"/>
  <c r="AO266" i="1"/>
  <c r="AP266" i="1"/>
  <c r="AQ266" i="1"/>
  <c r="AR266" i="1"/>
  <c r="AS266" i="1"/>
  <c r="AO267" i="1"/>
  <c r="AP267" i="1"/>
  <c r="AQ267" i="1"/>
  <c r="AR267" i="1"/>
  <c r="AS267" i="1"/>
  <c r="AO268" i="1"/>
  <c r="AP268" i="1"/>
  <c r="AQ268" i="1"/>
  <c r="AR268" i="1"/>
  <c r="AS268" i="1"/>
  <c r="AO269" i="1"/>
  <c r="AP269" i="1"/>
  <c r="AQ269" i="1"/>
  <c r="AR269" i="1"/>
  <c r="AS269" i="1"/>
  <c r="AO270" i="1"/>
  <c r="AP270" i="1"/>
  <c r="AQ270" i="1"/>
  <c r="AR270" i="1"/>
  <c r="AS270" i="1"/>
  <c r="AO271" i="1"/>
  <c r="AP271" i="1"/>
  <c r="AQ271" i="1"/>
  <c r="AR271" i="1"/>
  <c r="AS271" i="1"/>
  <c r="AO272" i="1"/>
  <c r="AP272" i="1"/>
  <c r="AQ272" i="1"/>
  <c r="AR272" i="1"/>
  <c r="AS272" i="1"/>
  <c r="AO273" i="1"/>
  <c r="AP273" i="1"/>
  <c r="AQ273" i="1"/>
  <c r="AR273" i="1"/>
  <c r="AS273" i="1"/>
  <c r="AO274" i="1"/>
  <c r="AP274" i="1"/>
  <c r="AQ274" i="1"/>
  <c r="AR274" i="1"/>
  <c r="AS274" i="1"/>
  <c r="AO275" i="1"/>
  <c r="AP275" i="1"/>
  <c r="AQ275" i="1"/>
  <c r="AR275" i="1"/>
  <c r="AS275" i="1"/>
  <c r="AO276" i="1"/>
  <c r="AP276" i="1"/>
  <c r="AQ276" i="1"/>
  <c r="AR276" i="1"/>
  <c r="AS276" i="1"/>
  <c r="AO277" i="1"/>
  <c r="AP277" i="1"/>
  <c r="AQ277" i="1"/>
  <c r="AR277" i="1"/>
  <c r="AS277" i="1"/>
  <c r="AO278" i="1"/>
  <c r="AP278" i="1"/>
  <c r="AQ278" i="1"/>
  <c r="AR278" i="1"/>
  <c r="AS278" i="1"/>
  <c r="AO279" i="1"/>
  <c r="AP279" i="1"/>
  <c r="AQ279" i="1"/>
  <c r="AR279" i="1"/>
  <c r="AS279" i="1"/>
  <c r="AO280" i="1"/>
  <c r="AP280" i="1"/>
  <c r="AQ280" i="1"/>
  <c r="AR280" i="1"/>
  <c r="AS280" i="1"/>
  <c r="AO281" i="1"/>
  <c r="AP281" i="1"/>
  <c r="AQ281" i="1"/>
  <c r="AR281" i="1"/>
  <c r="AS281" i="1"/>
  <c r="AO282" i="1"/>
  <c r="AP282" i="1"/>
  <c r="AQ282" i="1"/>
  <c r="AR282" i="1"/>
  <c r="AS282" i="1"/>
  <c r="AO283" i="1"/>
  <c r="AP283" i="1"/>
  <c r="AQ283" i="1"/>
  <c r="AR283" i="1"/>
  <c r="AS283" i="1"/>
  <c r="AO284" i="1"/>
  <c r="AP284" i="1"/>
  <c r="AQ284" i="1"/>
  <c r="AR284" i="1"/>
  <c r="AS284" i="1"/>
  <c r="AO285" i="1"/>
  <c r="AP285" i="1"/>
  <c r="AQ285" i="1"/>
  <c r="AR285" i="1"/>
  <c r="AS285" i="1"/>
  <c r="AO286" i="1"/>
  <c r="AP286" i="1"/>
  <c r="AQ286" i="1"/>
  <c r="AR286" i="1"/>
  <c r="AS286" i="1"/>
  <c r="AO287" i="1"/>
  <c r="AP287" i="1"/>
  <c r="AQ287" i="1"/>
  <c r="AR287" i="1"/>
  <c r="AS287" i="1"/>
  <c r="AO288" i="1"/>
  <c r="AP288" i="1"/>
  <c r="AQ288" i="1"/>
  <c r="AR288" i="1"/>
  <c r="AS288" i="1"/>
  <c r="AO289" i="1"/>
  <c r="AP289" i="1"/>
  <c r="AQ289" i="1"/>
  <c r="AR289" i="1"/>
  <c r="AS289" i="1"/>
  <c r="AO290" i="1"/>
  <c r="AP290" i="1"/>
  <c r="AQ290" i="1"/>
  <c r="AR290" i="1"/>
  <c r="AS290" i="1"/>
  <c r="AO291" i="1"/>
  <c r="AP291" i="1"/>
  <c r="AQ291" i="1"/>
  <c r="AR291" i="1"/>
  <c r="AS291" i="1"/>
  <c r="AO292" i="1"/>
  <c r="AP292" i="1"/>
  <c r="AQ292" i="1"/>
  <c r="AR292" i="1"/>
  <c r="AS292" i="1"/>
  <c r="AO293" i="1"/>
  <c r="AP293" i="1"/>
  <c r="AQ293" i="1"/>
  <c r="AR293" i="1"/>
  <c r="AS293" i="1"/>
  <c r="AO294" i="1"/>
  <c r="AP294" i="1"/>
  <c r="AQ294" i="1"/>
  <c r="AR294" i="1"/>
  <c r="AS294" i="1"/>
  <c r="AO295" i="1"/>
  <c r="AP295" i="1"/>
  <c r="AQ295" i="1"/>
  <c r="AR295" i="1"/>
  <c r="AS295" i="1"/>
  <c r="AO296" i="1"/>
  <c r="AP296" i="1"/>
  <c r="AQ296" i="1"/>
  <c r="AR296" i="1"/>
  <c r="AS296" i="1"/>
  <c r="AO297" i="1"/>
  <c r="AP297" i="1"/>
  <c r="AQ297" i="1"/>
  <c r="AR297" i="1"/>
  <c r="AS297" i="1"/>
  <c r="AO298" i="1"/>
  <c r="AP298" i="1"/>
  <c r="AQ298" i="1"/>
  <c r="AR298" i="1"/>
  <c r="AS298" i="1"/>
  <c r="AO299" i="1"/>
  <c r="AP299" i="1"/>
  <c r="AQ299" i="1"/>
  <c r="AR299" i="1"/>
  <c r="AS299" i="1"/>
  <c r="AO300" i="1"/>
  <c r="AP300" i="1"/>
  <c r="AQ300" i="1"/>
  <c r="AR300" i="1"/>
  <c r="AS300" i="1"/>
  <c r="AO301" i="1"/>
  <c r="AP301" i="1"/>
  <c r="AQ301" i="1"/>
  <c r="AR301" i="1"/>
  <c r="AS301" i="1"/>
  <c r="AO302" i="1"/>
  <c r="AP302" i="1"/>
  <c r="AQ302" i="1"/>
  <c r="AR302" i="1"/>
  <c r="AS302" i="1"/>
  <c r="AO303" i="1"/>
  <c r="AP303" i="1"/>
  <c r="AQ303" i="1"/>
  <c r="AR303" i="1"/>
  <c r="AS303" i="1"/>
  <c r="AO304" i="1"/>
  <c r="AP304" i="1"/>
  <c r="AQ304" i="1"/>
  <c r="AR304" i="1"/>
  <c r="AS304" i="1"/>
  <c r="AO305" i="1"/>
  <c r="AP305" i="1"/>
  <c r="AQ305" i="1"/>
  <c r="AR305" i="1"/>
  <c r="AS305" i="1"/>
  <c r="AO306" i="1"/>
  <c r="AP306" i="1"/>
  <c r="AQ306" i="1"/>
  <c r="AR306" i="1"/>
  <c r="AS306" i="1"/>
  <c r="AO307" i="1"/>
  <c r="AP307" i="1"/>
  <c r="AQ307" i="1"/>
  <c r="AR307" i="1"/>
  <c r="AS307" i="1"/>
  <c r="AO308" i="1"/>
  <c r="AP308" i="1"/>
  <c r="AQ308" i="1"/>
  <c r="AR308" i="1"/>
  <c r="AS308" i="1"/>
  <c r="AO309" i="1"/>
  <c r="AP309" i="1"/>
  <c r="AQ309" i="1"/>
  <c r="AR309" i="1"/>
  <c r="AS309" i="1"/>
  <c r="AO310" i="1"/>
  <c r="AP310" i="1"/>
  <c r="AQ310" i="1"/>
  <c r="AR310" i="1"/>
  <c r="AS310" i="1"/>
  <c r="AO311" i="1"/>
  <c r="AP311" i="1"/>
  <c r="AQ311" i="1"/>
  <c r="AR311" i="1"/>
  <c r="AS311" i="1"/>
  <c r="AO312" i="1"/>
  <c r="AP312" i="1"/>
  <c r="AQ312" i="1"/>
  <c r="AR312" i="1"/>
  <c r="AS312" i="1"/>
  <c r="AO313" i="1"/>
  <c r="AP313" i="1"/>
  <c r="AQ313" i="1"/>
  <c r="AR313" i="1"/>
  <c r="AS313" i="1"/>
  <c r="AO314" i="1"/>
  <c r="AP314" i="1"/>
  <c r="AQ314" i="1"/>
  <c r="AR314" i="1"/>
  <c r="AS314" i="1"/>
  <c r="AO315" i="1"/>
  <c r="AP315" i="1"/>
  <c r="AQ315" i="1"/>
  <c r="AR315" i="1"/>
  <c r="AS315" i="1"/>
  <c r="AO316" i="1"/>
  <c r="AP316" i="1"/>
  <c r="AQ316" i="1"/>
  <c r="AR316" i="1"/>
  <c r="AS316" i="1"/>
  <c r="AO317" i="1"/>
  <c r="AP317" i="1"/>
  <c r="AQ317" i="1"/>
  <c r="AR317" i="1"/>
  <c r="AS317" i="1"/>
  <c r="AO318" i="1"/>
  <c r="AP318" i="1"/>
  <c r="AQ318" i="1"/>
  <c r="AR318" i="1"/>
  <c r="AS318" i="1"/>
  <c r="AO319" i="1"/>
  <c r="AP319" i="1"/>
  <c r="AQ319" i="1"/>
  <c r="AR319" i="1"/>
  <c r="AS319" i="1"/>
  <c r="AO320" i="1"/>
  <c r="AP320" i="1"/>
  <c r="AQ320" i="1"/>
  <c r="AR320" i="1"/>
  <c r="AS320" i="1"/>
  <c r="AO321" i="1"/>
  <c r="AP321" i="1"/>
  <c r="AQ321" i="1"/>
  <c r="AR321" i="1"/>
  <c r="AS321" i="1"/>
  <c r="AO322" i="1"/>
  <c r="AP322" i="1"/>
  <c r="AQ322" i="1"/>
  <c r="AR322" i="1"/>
  <c r="AS322" i="1"/>
  <c r="AO323" i="1"/>
  <c r="AP323" i="1"/>
  <c r="AQ323" i="1"/>
  <c r="AR323" i="1"/>
  <c r="AS323" i="1"/>
  <c r="AO324" i="1"/>
  <c r="AP324" i="1"/>
  <c r="AQ324" i="1"/>
  <c r="AR324" i="1"/>
  <c r="AS324" i="1"/>
  <c r="AO325" i="1"/>
  <c r="AP325" i="1"/>
  <c r="AQ325" i="1"/>
  <c r="AR325" i="1"/>
  <c r="AS325" i="1"/>
  <c r="AO326" i="1"/>
  <c r="AP326" i="1"/>
  <c r="AQ326" i="1"/>
  <c r="AR326" i="1"/>
  <c r="AS326" i="1"/>
  <c r="AO327" i="1"/>
  <c r="AP327" i="1"/>
  <c r="AQ327" i="1"/>
  <c r="AR327" i="1"/>
  <c r="AS327" i="1"/>
  <c r="AO328" i="1"/>
  <c r="AP328" i="1"/>
  <c r="AQ328" i="1"/>
  <c r="AR328" i="1"/>
  <c r="AS328" i="1"/>
  <c r="AO329" i="1"/>
  <c r="AP329" i="1"/>
  <c r="AQ329" i="1"/>
  <c r="AR329" i="1"/>
  <c r="AS329" i="1"/>
  <c r="AO330" i="1"/>
  <c r="AP330" i="1"/>
  <c r="AQ330" i="1"/>
  <c r="AR330" i="1"/>
  <c r="AS330" i="1"/>
  <c r="AO331" i="1"/>
  <c r="AP331" i="1"/>
  <c r="AQ331" i="1"/>
  <c r="AR331" i="1"/>
  <c r="AS331" i="1"/>
  <c r="AO332" i="1"/>
  <c r="AP332" i="1"/>
  <c r="AQ332" i="1"/>
  <c r="AR332" i="1"/>
  <c r="AS332" i="1"/>
  <c r="AO333" i="1"/>
  <c r="AP333" i="1"/>
  <c r="AQ333" i="1"/>
  <c r="AR333" i="1"/>
  <c r="AS333" i="1"/>
  <c r="AO334" i="1"/>
  <c r="AP334" i="1"/>
  <c r="AQ334" i="1"/>
  <c r="AR334" i="1"/>
  <c r="AS334" i="1"/>
  <c r="AO335" i="1"/>
  <c r="AP335" i="1"/>
  <c r="AQ335" i="1"/>
  <c r="AR335" i="1"/>
  <c r="AS335" i="1"/>
  <c r="AO336" i="1"/>
  <c r="AP336" i="1"/>
  <c r="AQ336" i="1"/>
  <c r="AR336" i="1"/>
  <c r="AS336" i="1"/>
  <c r="AO337" i="1"/>
  <c r="AP337" i="1"/>
  <c r="AQ337" i="1"/>
  <c r="AR337" i="1"/>
  <c r="AS337" i="1"/>
  <c r="AO338" i="1"/>
  <c r="AP338" i="1"/>
  <c r="AQ338" i="1"/>
  <c r="AR338" i="1"/>
  <c r="AS338" i="1"/>
  <c r="AO339" i="1"/>
  <c r="AP339" i="1"/>
  <c r="AQ339" i="1"/>
  <c r="AR339" i="1"/>
  <c r="AS339" i="1"/>
  <c r="AO340" i="1"/>
  <c r="AP340" i="1"/>
  <c r="AQ340" i="1"/>
  <c r="AR340" i="1"/>
  <c r="AS340" i="1"/>
  <c r="AO341" i="1"/>
  <c r="AP341" i="1"/>
  <c r="AQ341" i="1"/>
  <c r="AR341" i="1"/>
  <c r="AS341" i="1"/>
  <c r="AO342" i="1"/>
  <c r="AP342" i="1"/>
  <c r="AQ342" i="1"/>
  <c r="AR342" i="1"/>
  <c r="AS342" i="1"/>
  <c r="AO343" i="1"/>
  <c r="AP343" i="1"/>
  <c r="AQ343" i="1"/>
  <c r="AR343" i="1"/>
  <c r="AS343" i="1"/>
  <c r="AO344" i="1"/>
  <c r="AP344" i="1"/>
  <c r="AQ344" i="1"/>
  <c r="AR344" i="1"/>
  <c r="AS344" i="1"/>
  <c r="AO345" i="1"/>
  <c r="AP345" i="1"/>
  <c r="AQ345" i="1"/>
  <c r="AR345" i="1"/>
  <c r="AS345" i="1"/>
  <c r="AO346" i="1"/>
  <c r="AP346" i="1"/>
  <c r="AQ346" i="1"/>
  <c r="AR346" i="1"/>
  <c r="AS346" i="1"/>
  <c r="AO347" i="1"/>
  <c r="AP347" i="1"/>
  <c r="AQ347" i="1"/>
  <c r="AR347" i="1"/>
  <c r="AS347" i="1"/>
  <c r="AO348" i="1"/>
  <c r="AP348" i="1"/>
  <c r="AQ348" i="1"/>
  <c r="AR348" i="1"/>
  <c r="AS348" i="1"/>
  <c r="AO349" i="1"/>
  <c r="AP349" i="1"/>
  <c r="AQ349" i="1"/>
  <c r="AR349" i="1"/>
  <c r="AS349" i="1"/>
  <c r="AO350" i="1"/>
  <c r="AP350" i="1"/>
  <c r="AQ350" i="1"/>
  <c r="AR350" i="1"/>
  <c r="AS350" i="1"/>
  <c r="AO351" i="1"/>
  <c r="AP351" i="1"/>
  <c r="AQ351" i="1"/>
  <c r="AR351" i="1"/>
  <c r="AS351" i="1"/>
  <c r="AO352" i="1"/>
  <c r="AP352" i="1"/>
  <c r="AQ352" i="1"/>
  <c r="AR352" i="1"/>
  <c r="AS352" i="1"/>
  <c r="AO353" i="1"/>
  <c r="AP353" i="1"/>
  <c r="AQ353" i="1"/>
  <c r="AR353" i="1"/>
  <c r="AS353" i="1"/>
  <c r="AO354" i="1"/>
  <c r="AP354" i="1"/>
  <c r="AQ354" i="1"/>
  <c r="AR354" i="1"/>
  <c r="AS354" i="1"/>
  <c r="AO355" i="1"/>
  <c r="AP355" i="1"/>
  <c r="AQ355" i="1"/>
  <c r="AR355" i="1"/>
  <c r="AS355" i="1"/>
  <c r="AO356" i="1"/>
  <c r="AP356" i="1"/>
  <c r="AQ356" i="1"/>
  <c r="AR356" i="1"/>
  <c r="AS356" i="1"/>
  <c r="AO357" i="1"/>
  <c r="AP357" i="1"/>
  <c r="AQ357" i="1"/>
  <c r="AR357" i="1"/>
  <c r="AS357" i="1"/>
  <c r="AO358" i="1"/>
  <c r="AP358" i="1"/>
  <c r="AQ358" i="1"/>
  <c r="AR358" i="1"/>
  <c r="AS358" i="1"/>
  <c r="AO359" i="1"/>
  <c r="AP359" i="1"/>
  <c r="AQ359" i="1"/>
  <c r="AR359" i="1"/>
  <c r="AS359" i="1"/>
  <c r="AO360" i="1"/>
  <c r="AP360" i="1"/>
  <c r="AQ360" i="1"/>
  <c r="AR360" i="1"/>
  <c r="AS360" i="1"/>
  <c r="AO361" i="1"/>
  <c r="AP361" i="1"/>
  <c r="AQ361" i="1"/>
  <c r="AR361" i="1"/>
  <c r="AS361" i="1"/>
  <c r="AO362" i="1"/>
  <c r="AP362" i="1"/>
  <c r="AQ362" i="1"/>
  <c r="AR362" i="1"/>
  <c r="AS362" i="1"/>
  <c r="AO363" i="1"/>
  <c r="AP363" i="1"/>
  <c r="AQ363" i="1"/>
  <c r="AR363" i="1"/>
  <c r="AS363" i="1"/>
  <c r="AS4" i="1"/>
  <c r="AR4" i="1"/>
  <c r="AQ4" i="1"/>
  <c r="AP4" i="1"/>
  <c r="AO4" i="1"/>
  <c r="AH5" i="1"/>
  <c r="AI5" i="1"/>
  <c r="AJ5" i="1"/>
  <c r="AK5" i="1"/>
  <c r="AL5" i="1"/>
  <c r="AH6" i="1"/>
  <c r="AI6" i="1"/>
  <c r="AJ6" i="1"/>
  <c r="AK6" i="1"/>
  <c r="AL6" i="1"/>
  <c r="AH7" i="1"/>
  <c r="AI7" i="1"/>
  <c r="AJ7" i="1"/>
  <c r="AK7" i="1"/>
  <c r="AL7" i="1"/>
  <c r="AH8" i="1"/>
  <c r="AI8" i="1"/>
  <c r="AJ8" i="1"/>
  <c r="AK8" i="1"/>
  <c r="AL8" i="1"/>
  <c r="AH9" i="1"/>
  <c r="AI9" i="1"/>
  <c r="AJ9" i="1"/>
  <c r="AK9" i="1"/>
  <c r="AL9" i="1"/>
  <c r="AH10" i="1"/>
  <c r="AI10" i="1"/>
  <c r="AJ10" i="1"/>
  <c r="AK10" i="1"/>
  <c r="AL10" i="1"/>
  <c r="AH11" i="1"/>
  <c r="AI11" i="1"/>
  <c r="AJ11" i="1"/>
  <c r="AK11" i="1"/>
  <c r="AL11" i="1"/>
  <c r="AH12" i="1"/>
  <c r="AI12" i="1"/>
  <c r="AJ12" i="1"/>
  <c r="AK12" i="1"/>
  <c r="AL12" i="1"/>
  <c r="AH13" i="1"/>
  <c r="AI13" i="1"/>
  <c r="AJ13" i="1"/>
  <c r="AK13" i="1"/>
  <c r="AL13" i="1"/>
  <c r="AH14" i="1"/>
  <c r="AI14" i="1"/>
  <c r="AJ14" i="1"/>
  <c r="AK14" i="1"/>
  <c r="AL14" i="1"/>
  <c r="AH15" i="1"/>
  <c r="AI15" i="1"/>
  <c r="AJ15" i="1"/>
  <c r="AK15" i="1"/>
  <c r="AL15" i="1"/>
  <c r="AH16" i="1"/>
  <c r="AI16" i="1"/>
  <c r="AJ16" i="1"/>
  <c r="AK16" i="1"/>
  <c r="AL16" i="1"/>
  <c r="AH17" i="1"/>
  <c r="AI17" i="1"/>
  <c r="AJ17" i="1"/>
  <c r="AK17" i="1"/>
  <c r="AL17" i="1"/>
  <c r="AH18" i="1"/>
  <c r="AI18" i="1"/>
  <c r="AJ18" i="1"/>
  <c r="AK18" i="1"/>
  <c r="AL18" i="1"/>
  <c r="AH19" i="1"/>
  <c r="AI19" i="1"/>
  <c r="AJ19" i="1"/>
  <c r="AK19" i="1"/>
  <c r="AL19" i="1"/>
  <c r="AH20" i="1"/>
  <c r="AI20" i="1"/>
  <c r="AJ20" i="1"/>
  <c r="AK20" i="1"/>
  <c r="AL20" i="1"/>
  <c r="AH21" i="1"/>
  <c r="AI21" i="1"/>
  <c r="AJ21" i="1"/>
  <c r="AK21" i="1"/>
  <c r="AL21" i="1"/>
  <c r="AH22" i="1"/>
  <c r="AI22" i="1"/>
  <c r="AJ22" i="1"/>
  <c r="AK22" i="1"/>
  <c r="AL22" i="1"/>
  <c r="AH23" i="1"/>
  <c r="AI23" i="1"/>
  <c r="AJ23" i="1"/>
  <c r="AK23" i="1"/>
  <c r="AL23" i="1"/>
  <c r="AH24" i="1"/>
  <c r="AI24" i="1"/>
  <c r="AJ24" i="1"/>
  <c r="AK24" i="1"/>
  <c r="AL24" i="1"/>
  <c r="AH25" i="1"/>
  <c r="AI25" i="1"/>
  <c r="AJ25" i="1"/>
  <c r="AK25" i="1"/>
  <c r="AL25" i="1"/>
  <c r="AH26" i="1"/>
  <c r="AI26" i="1"/>
  <c r="AJ26" i="1"/>
  <c r="AK26" i="1"/>
  <c r="AL26" i="1"/>
  <c r="AH27" i="1"/>
  <c r="AI27" i="1"/>
  <c r="AJ27" i="1"/>
  <c r="AK27" i="1"/>
  <c r="AL27" i="1"/>
  <c r="AH28" i="1"/>
  <c r="AI28" i="1"/>
  <c r="AJ28" i="1"/>
  <c r="AK28" i="1"/>
  <c r="AL28" i="1"/>
  <c r="AH29" i="1"/>
  <c r="AI29" i="1"/>
  <c r="AJ29" i="1"/>
  <c r="AK29" i="1"/>
  <c r="AL29" i="1"/>
  <c r="AH30" i="1"/>
  <c r="AI30" i="1"/>
  <c r="AJ30" i="1"/>
  <c r="AK30" i="1"/>
  <c r="AL30" i="1"/>
  <c r="AH31" i="1"/>
  <c r="AI31" i="1"/>
  <c r="AJ31" i="1"/>
  <c r="AK31" i="1"/>
  <c r="AL31" i="1"/>
  <c r="AH32" i="1"/>
  <c r="AI32" i="1"/>
  <c r="AJ32" i="1"/>
  <c r="AK32" i="1"/>
  <c r="AL32" i="1"/>
  <c r="AH33" i="1"/>
  <c r="AI33" i="1"/>
  <c r="AJ33" i="1"/>
  <c r="AK33" i="1"/>
  <c r="AL33" i="1"/>
  <c r="AH34" i="1"/>
  <c r="AI34" i="1"/>
  <c r="AJ34" i="1"/>
  <c r="AK34" i="1"/>
  <c r="AL34" i="1"/>
  <c r="AH35" i="1"/>
  <c r="AI35" i="1"/>
  <c r="AJ35" i="1"/>
  <c r="AK35" i="1"/>
  <c r="AL35" i="1"/>
  <c r="AH36" i="1"/>
  <c r="AI36" i="1"/>
  <c r="AJ36" i="1"/>
  <c r="AK36" i="1"/>
  <c r="AL36" i="1"/>
  <c r="AH37" i="1"/>
  <c r="AI37" i="1"/>
  <c r="AJ37" i="1"/>
  <c r="AK37" i="1"/>
  <c r="AL37" i="1"/>
  <c r="AH38" i="1"/>
  <c r="AI38" i="1"/>
  <c r="AJ38" i="1"/>
  <c r="AK38" i="1"/>
  <c r="AL38" i="1"/>
  <c r="AH39" i="1"/>
  <c r="AI39" i="1"/>
  <c r="AJ39" i="1"/>
  <c r="AK39" i="1"/>
  <c r="AL39" i="1"/>
  <c r="AH40" i="1"/>
  <c r="AI40" i="1"/>
  <c r="AJ40" i="1"/>
  <c r="AK40" i="1"/>
  <c r="AL40" i="1"/>
  <c r="AH41" i="1"/>
  <c r="AI41" i="1"/>
  <c r="AJ41" i="1"/>
  <c r="AK41" i="1"/>
  <c r="AL41" i="1"/>
  <c r="AH42" i="1"/>
  <c r="AI42" i="1"/>
  <c r="AJ42" i="1"/>
  <c r="AK42" i="1"/>
  <c r="AL42" i="1"/>
  <c r="AH43" i="1"/>
  <c r="AI43" i="1"/>
  <c r="AJ43" i="1"/>
  <c r="AK43" i="1"/>
  <c r="AL43" i="1"/>
  <c r="AH44" i="1"/>
  <c r="AI44" i="1"/>
  <c r="AJ44" i="1"/>
  <c r="AK44" i="1"/>
  <c r="AL44" i="1"/>
  <c r="AH45" i="1"/>
  <c r="AI45" i="1"/>
  <c r="AJ45" i="1"/>
  <c r="AK45" i="1"/>
  <c r="AL45" i="1"/>
  <c r="AH46" i="1"/>
  <c r="AI46" i="1"/>
  <c r="AJ46" i="1"/>
  <c r="AK46" i="1"/>
  <c r="AL46" i="1"/>
  <c r="AH47" i="1"/>
  <c r="AI47" i="1"/>
  <c r="AJ47" i="1"/>
  <c r="AK47" i="1"/>
  <c r="AL47" i="1"/>
  <c r="AH48" i="1"/>
  <c r="AI48" i="1"/>
  <c r="AJ48" i="1"/>
  <c r="AK48" i="1"/>
  <c r="AL48" i="1"/>
  <c r="AH49" i="1"/>
  <c r="AI49" i="1"/>
  <c r="AJ49" i="1"/>
  <c r="AK49" i="1"/>
  <c r="AL49" i="1"/>
  <c r="AH50" i="1"/>
  <c r="AI50" i="1"/>
  <c r="AJ50" i="1"/>
  <c r="AK50" i="1"/>
  <c r="AL50" i="1"/>
  <c r="AH51" i="1"/>
  <c r="AI51" i="1"/>
  <c r="AJ51" i="1"/>
  <c r="AK51" i="1"/>
  <c r="AL51" i="1"/>
  <c r="AH52" i="1"/>
  <c r="AI52" i="1"/>
  <c r="AJ52" i="1"/>
  <c r="AK52" i="1"/>
  <c r="AL52" i="1"/>
  <c r="AH53" i="1"/>
  <c r="AI53" i="1"/>
  <c r="AJ53" i="1"/>
  <c r="AK53" i="1"/>
  <c r="AL53" i="1"/>
  <c r="AL4" i="1"/>
  <c r="AK4" i="1"/>
  <c r="AJ4" i="1"/>
  <c r="AI4" i="1"/>
  <c r="AH4" i="1"/>
  <c r="AA5" i="1"/>
  <c r="AB5" i="1"/>
  <c r="AC5" i="1"/>
  <c r="AD5" i="1"/>
  <c r="AE5" i="1"/>
  <c r="AA6" i="1"/>
  <c r="AB6" i="1"/>
  <c r="AC6" i="1"/>
  <c r="AD6" i="1"/>
  <c r="AE6" i="1"/>
  <c r="AA7" i="1"/>
  <c r="AB7" i="1"/>
  <c r="AC7" i="1"/>
  <c r="AD7" i="1"/>
  <c r="AE7" i="1"/>
  <c r="AA8" i="1"/>
  <c r="AB8" i="1"/>
  <c r="AC8" i="1"/>
  <c r="AD8" i="1"/>
  <c r="AE8" i="1"/>
  <c r="AA9" i="1"/>
  <c r="AB9" i="1"/>
  <c r="AC9" i="1"/>
  <c r="AD9" i="1"/>
  <c r="AE9" i="1"/>
  <c r="AA10" i="1"/>
  <c r="AB10" i="1"/>
  <c r="AC10" i="1"/>
  <c r="AD10" i="1"/>
  <c r="AE10" i="1"/>
  <c r="AA11" i="1"/>
  <c r="AB11" i="1"/>
  <c r="AC11" i="1"/>
  <c r="AD11" i="1"/>
  <c r="AE11" i="1"/>
  <c r="AA12" i="1"/>
  <c r="AB12" i="1"/>
  <c r="AC12" i="1"/>
  <c r="AD12" i="1"/>
  <c r="AE12" i="1"/>
  <c r="AA13" i="1"/>
  <c r="AB13" i="1"/>
  <c r="AC13" i="1"/>
  <c r="AD13" i="1"/>
  <c r="AE13" i="1"/>
  <c r="AA14" i="1"/>
  <c r="AB14" i="1"/>
  <c r="AC14" i="1"/>
  <c r="AD14" i="1"/>
  <c r="AE14" i="1"/>
  <c r="AA15" i="1"/>
  <c r="AB15" i="1"/>
  <c r="AC15" i="1"/>
  <c r="AD15" i="1"/>
  <c r="AE15" i="1"/>
  <c r="AA16" i="1"/>
  <c r="AB16" i="1"/>
  <c r="AC16" i="1"/>
  <c r="AD16" i="1"/>
  <c r="AE16" i="1"/>
  <c r="AA17" i="1"/>
  <c r="AB17" i="1"/>
  <c r="AC17" i="1"/>
  <c r="AD17" i="1"/>
  <c r="AE17" i="1"/>
  <c r="AA18" i="1"/>
  <c r="AB18" i="1"/>
  <c r="AC18" i="1"/>
  <c r="AD18" i="1"/>
  <c r="AE18" i="1"/>
  <c r="AA19" i="1"/>
  <c r="AB19" i="1"/>
  <c r="AC19" i="1"/>
  <c r="AD19" i="1"/>
  <c r="AE19" i="1"/>
  <c r="AA20" i="1"/>
  <c r="AB20" i="1"/>
  <c r="AC20" i="1"/>
  <c r="AD20" i="1"/>
  <c r="AE20" i="1"/>
  <c r="AA21" i="1"/>
  <c r="AB21" i="1"/>
  <c r="AC21" i="1"/>
  <c r="AD21" i="1"/>
  <c r="AE21" i="1"/>
  <c r="AA22" i="1"/>
  <c r="AB22" i="1"/>
  <c r="AC22" i="1"/>
  <c r="AD22" i="1"/>
  <c r="AE22" i="1"/>
  <c r="AA23" i="1"/>
  <c r="AB23" i="1"/>
  <c r="AC23" i="1"/>
  <c r="AD23" i="1"/>
  <c r="AE23" i="1"/>
  <c r="AA24" i="1"/>
  <c r="AB24" i="1"/>
  <c r="AC24" i="1"/>
  <c r="AD24" i="1"/>
  <c r="AE24" i="1"/>
  <c r="AA25" i="1"/>
  <c r="AB25" i="1"/>
  <c r="AC25" i="1"/>
  <c r="AD25" i="1"/>
  <c r="AE25" i="1"/>
  <c r="AA26" i="1"/>
  <c r="AB26" i="1"/>
  <c r="AC26" i="1"/>
  <c r="AD26" i="1"/>
  <c r="AE26" i="1"/>
  <c r="AA27" i="1"/>
  <c r="AB27" i="1"/>
  <c r="AC27" i="1"/>
  <c r="AD27" i="1"/>
  <c r="AE27" i="1"/>
  <c r="AA28" i="1"/>
  <c r="AB28" i="1"/>
  <c r="AC28" i="1"/>
  <c r="AD28" i="1"/>
  <c r="AE28" i="1"/>
  <c r="AA29" i="1"/>
  <c r="AB29" i="1"/>
  <c r="AC29" i="1"/>
  <c r="AD29" i="1"/>
  <c r="AE29" i="1"/>
  <c r="AA30" i="1"/>
  <c r="AB30" i="1"/>
  <c r="AC30" i="1"/>
  <c r="AD30" i="1"/>
  <c r="AE30" i="1"/>
  <c r="AA31" i="1"/>
  <c r="AB31" i="1"/>
  <c r="AC31" i="1"/>
  <c r="AD31" i="1"/>
  <c r="AE31" i="1"/>
  <c r="AA32" i="1"/>
  <c r="AB32" i="1"/>
  <c r="AC32" i="1"/>
  <c r="AD32" i="1"/>
  <c r="AE32" i="1"/>
  <c r="AA33" i="1"/>
  <c r="AB33" i="1"/>
  <c r="AC33" i="1"/>
  <c r="AD33" i="1"/>
  <c r="AE33" i="1"/>
  <c r="AA34" i="1"/>
  <c r="AB34" i="1"/>
  <c r="AC34" i="1"/>
  <c r="AD34" i="1"/>
  <c r="AE34" i="1"/>
  <c r="AA35" i="1"/>
  <c r="AB35" i="1"/>
  <c r="AC35" i="1"/>
  <c r="AD35" i="1"/>
  <c r="AE35" i="1"/>
  <c r="AA36" i="1"/>
  <c r="AB36" i="1"/>
  <c r="AC36" i="1"/>
  <c r="AD36" i="1"/>
  <c r="AE36" i="1"/>
  <c r="AA37" i="1"/>
  <c r="AB37" i="1"/>
  <c r="AC37" i="1"/>
  <c r="AD37" i="1"/>
  <c r="AE37" i="1"/>
  <c r="AA38" i="1"/>
  <c r="AB38" i="1"/>
  <c r="AC38" i="1"/>
  <c r="AD38" i="1"/>
  <c r="AE38" i="1"/>
  <c r="AA39" i="1"/>
  <c r="AB39" i="1"/>
  <c r="AC39" i="1"/>
  <c r="AD39" i="1"/>
  <c r="AE39" i="1"/>
  <c r="AA40" i="1"/>
  <c r="AB40" i="1"/>
  <c r="AC40" i="1"/>
  <c r="AD40" i="1"/>
  <c r="AE40" i="1"/>
  <c r="AA41" i="1"/>
  <c r="AB41" i="1"/>
  <c r="AC41" i="1"/>
  <c r="AD41" i="1"/>
  <c r="AE41" i="1"/>
  <c r="AA42" i="1"/>
  <c r="AB42" i="1"/>
  <c r="AC42" i="1"/>
  <c r="AD42" i="1"/>
  <c r="AE42" i="1"/>
  <c r="AA43" i="1"/>
  <c r="AB43" i="1"/>
  <c r="AC43" i="1"/>
  <c r="AD43" i="1"/>
  <c r="AE43" i="1"/>
  <c r="AA44" i="1"/>
  <c r="AB44" i="1"/>
  <c r="AC44" i="1"/>
  <c r="AD44" i="1"/>
  <c r="AE44" i="1"/>
  <c r="AA45" i="1"/>
  <c r="AB45" i="1"/>
  <c r="AC45" i="1"/>
  <c r="AD45" i="1"/>
  <c r="AE45" i="1"/>
  <c r="AA46" i="1"/>
  <c r="AB46" i="1"/>
  <c r="AC46" i="1"/>
  <c r="AD46" i="1"/>
  <c r="AE46" i="1"/>
  <c r="AA47" i="1"/>
  <c r="AB47" i="1"/>
  <c r="AC47" i="1"/>
  <c r="AD47" i="1"/>
  <c r="AE47" i="1"/>
  <c r="AA48" i="1"/>
  <c r="AB48" i="1"/>
  <c r="AC48" i="1"/>
  <c r="AD48" i="1"/>
  <c r="AE48" i="1"/>
  <c r="AA49" i="1"/>
  <c r="AB49" i="1"/>
  <c r="AC49" i="1"/>
  <c r="AD49" i="1"/>
  <c r="AE49" i="1"/>
  <c r="AA50" i="1"/>
  <c r="AB50" i="1"/>
  <c r="AC50" i="1"/>
  <c r="AD50" i="1"/>
  <c r="AE50" i="1"/>
  <c r="AA51" i="1"/>
  <c r="AB51" i="1"/>
  <c r="AC51" i="1"/>
  <c r="AD51" i="1"/>
  <c r="AE51" i="1"/>
  <c r="AA52" i="1"/>
  <c r="AB52" i="1"/>
  <c r="AC52" i="1"/>
  <c r="AD52" i="1"/>
  <c r="AE52" i="1"/>
  <c r="AA53" i="1"/>
  <c r="AB53" i="1"/>
  <c r="AC53" i="1"/>
  <c r="AD53" i="1"/>
  <c r="AE53" i="1"/>
  <c r="AE4" i="1"/>
  <c r="AD4" i="1"/>
  <c r="AC4" i="1"/>
  <c r="AB4" i="1"/>
  <c r="AA4" i="1"/>
  <c r="P57" i="8" l="1"/>
  <c r="P58" i="8" s="1"/>
  <c r="P59" i="8" s="1"/>
  <c r="P60" i="8" s="1"/>
  <c r="P61" i="8" s="1"/>
  <c r="E105" i="1"/>
  <c r="G106" i="1"/>
  <c r="D107" i="1"/>
  <c r="F108" i="1"/>
  <c r="D110" i="1"/>
  <c r="H111" i="1"/>
  <c r="G112" i="1"/>
  <c r="AO115" i="9" l="1"/>
  <c r="BJ115" i="8"/>
  <c r="BS115" i="9"/>
  <c r="CH115" i="8"/>
  <c r="AT115" i="9"/>
  <c r="BH114" i="8"/>
  <c r="AM114" i="9"/>
  <c r="BQ114" i="9"/>
  <c r="CF114" i="8"/>
  <c r="AR114" i="9"/>
  <c r="AP113" i="9"/>
  <c r="BT113" i="9"/>
  <c r="BK113" i="8"/>
  <c r="CI113" i="8"/>
  <c r="AU113" i="9"/>
  <c r="AN112" i="9"/>
  <c r="BI112" i="8"/>
  <c r="BR112" i="9"/>
  <c r="CG112" i="8"/>
  <c r="AS112" i="9"/>
  <c r="AP119" i="9"/>
  <c r="BT119" i="9"/>
  <c r="BK119" i="8"/>
  <c r="CI119" i="8"/>
  <c r="AU119" i="9"/>
  <c r="AQ118" i="9"/>
  <c r="BL118" i="8"/>
  <c r="BU118" i="9"/>
  <c r="CJ118" i="8"/>
  <c r="AV118" i="9"/>
  <c r="AM117" i="9"/>
  <c r="BH117" i="8"/>
  <c r="BQ117" i="9"/>
  <c r="CF117" i="8"/>
  <c r="AR117" i="9"/>
  <c r="S15" i="8"/>
  <c r="V12" i="8"/>
  <c r="P62" i="8"/>
  <c r="P63" i="8" s="1"/>
  <c r="P64" i="8" s="1"/>
  <c r="P65" i="8" s="1"/>
  <c r="P66" i="8" s="1"/>
  <c r="P67" i="8" s="1"/>
  <c r="P68" i="8" s="1"/>
  <c r="P69" i="8" s="1"/>
  <c r="P70" i="8" s="1"/>
  <c r="P71" i="8" s="1"/>
  <c r="W12" i="8" s="1"/>
  <c r="F92" i="1"/>
  <c r="D56" i="1"/>
  <c r="E26" i="1"/>
  <c r="D67" i="1"/>
  <c r="H7" i="1"/>
  <c r="F97" i="1"/>
  <c r="D43" i="1"/>
  <c r="E102" i="1"/>
  <c r="G90" i="1"/>
  <c r="D84" i="1"/>
  <c r="D78" i="1"/>
  <c r="G66" i="1"/>
  <c r="D54" i="1"/>
  <c r="E42" i="1"/>
  <c r="F30" i="1"/>
  <c r="E24" i="1"/>
  <c r="G18" i="1"/>
  <c r="G12" i="1"/>
  <c r="D6" i="1"/>
  <c r="E86" i="1"/>
  <c r="F62" i="1"/>
  <c r="D38" i="1"/>
  <c r="F14" i="1"/>
  <c r="H36" i="1"/>
  <c r="E73" i="1"/>
  <c r="H13" i="1"/>
  <c r="F18" i="1"/>
  <c r="F67" i="1"/>
  <c r="D113" i="1"/>
  <c r="H101" i="1"/>
  <c r="E89" i="1"/>
  <c r="F77" i="1"/>
  <c r="F65" i="1"/>
  <c r="E59" i="1"/>
  <c r="G53" i="1"/>
  <c r="D41" i="1"/>
  <c r="H29" i="1"/>
  <c r="H23" i="1"/>
  <c r="F17" i="1"/>
  <c r="G5" i="1"/>
  <c r="E90" i="1"/>
  <c r="E74" i="1"/>
  <c r="G50" i="1"/>
  <c r="D32" i="1"/>
  <c r="E8" i="1"/>
  <c r="D97" i="1"/>
  <c r="H61" i="1"/>
  <c r="E43" i="1"/>
  <c r="E30" i="1"/>
  <c r="E100" i="1"/>
  <c r="D94" i="1"/>
  <c r="E88" i="1"/>
  <c r="H82" i="1"/>
  <c r="F76" i="1"/>
  <c r="D70" i="1"/>
  <c r="H64" i="1"/>
  <c r="E58" i="1"/>
  <c r="F52" i="1"/>
  <c r="F46" i="1"/>
  <c r="E40" i="1"/>
  <c r="G34" i="1"/>
  <c r="G28" i="1"/>
  <c r="D22" i="1"/>
  <c r="D16" i="1"/>
  <c r="E10" i="1"/>
  <c r="H98" i="1"/>
  <c r="G68" i="1"/>
  <c r="F44" i="1"/>
  <c r="H20" i="1"/>
  <c r="E19" i="1"/>
  <c r="D91" i="1"/>
  <c r="F49" i="1"/>
  <c r="D19" i="1"/>
  <c r="F78" i="1"/>
  <c r="F93" i="1"/>
  <c r="G87" i="1"/>
  <c r="D81" i="1"/>
  <c r="E75" i="1"/>
  <c r="G69" i="1"/>
  <c r="D51" i="1"/>
  <c r="H45" i="1"/>
  <c r="H39" i="1"/>
  <c r="F33" i="1"/>
  <c r="F111" i="1"/>
  <c r="F110" i="1"/>
  <c r="F109" i="1"/>
  <c r="E109" i="1"/>
  <c r="H109" i="1"/>
  <c r="H106" i="1"/>
  <c r="E106" i="1"/>
  <c r="G110" i="1"/>
  <c r="D106" i="1"/>
  <c r="H110" i="1"/>
  <c r="G108" i="1"/>
  <c r="G105" i="1"/>
  <c r="F106" i="1"/>
  <c r="L74" i="1"/>
  <c r="L75" i="1"/>
  <c r="L59" i="1"/>
  <c r="L43" i="1"/>
  <c r="M18" i="1"/>
  <c r="M78" i="1"/>
  <c r="K82" i="1"/>
  <c r="L90" i="1"/>
  <c r="E107" i="1"/>
  <c r="E111" i="1"/>
  <c r="H107" i="1"/>
  <c r="D111" i="1"/>
  <c r="M93" i="1"/>
  <c r="L89" i="1"/>
  <c r="M77" i="1"/>
  <c r="N69" i="1"/>
  <c r="G107" i="1"/>
  <c r="G111" i="1"/>
  <c r="K84" i="1"/>
  <c r="M76" i="1"/>
  <c r="E104" i="1"/>
  <c r="H104" i="1"/>
  <c r="H105" i="1"/>
  <c r="D105" i="1"/>
  <c r="E112" i="1"/>
  <c r="H112" i="1"/>
  <c r="F112" i="1"/>
  <c r="D108" i="1"/>
  <c r="E108" i="1"/>
  <c r="H108" i="1"/>
  <c r="G104" i="1"/>
  <c r="D104" i="1"/>
  <c r="F104" i="1"/>
  <c r="D112" i="1"/>
  <c r="F105" i="1"/>
  <c r="G109" i="1"/>
  <c r="D109" i="1"/>
  <c r="N107" i="11" l="1"/>
  <c r="AH107" i="11" s="1"/>
  <c r="K108" i="11"/>
  <c r="AM111" i="9"/>
  <c r="CF111" i="8"/>
  <c r="BH111" i="8"/>
  <c r="BQ111" i="9"/>
  <c r="AR111" i="9"/>
  <c r="BU71" i="9"/>
  <c r="BL71" i="8"/>
  <c r="CJ71" i="8"/>
  <c r="AQ71" i="9"/>
  <c r="AV71" i="9"/>
  <c r="AM119" i="9"/>
  <c r="CF119" i="8"/>
  <c r="BQ119" i="9"/>
  <c r="BH119" i="8"/>
  <c r="AR119" i="9"/>
  <c r="AQ119" i="9"/>
  <c r="BU119" i="9"/>
  <c r="CJ119" i="8"/>
  <c r="BL119" i="8"/>
  <c r="AV119" i="9"/>
  <c r="AP118" i="9"/>
  <c r="BK118" i="8"/>
  <c r="BT118" i="9"/>
  <c r="CI118" i="8"/>
  <c r="AU118" i="9"/>
  <c r="AN118" i="9"/>
  <c r="BR118" i="9"/>
  <c r="BI118" i="8"/>
  <c r="CG118" i="8"/>
  <c r="AS118" i="9"/>
  <c r="AN113" i="9"/>
  <c r="BR113" i="9"/>
  <c r="BI113" i="8"/>
  <c r="CG113" i="8"/>
  <c r="AS113" i="9"/>
  <c r="AQ46" i="9"/>
  <c r="BU46" i="9"/>
  <c r="BL46" i="8"/>
  <c r="CJ46" i="8"/>
  <c r="AV46" i="9"/>
  <c r="AO85" i="9"/>
  <c r="BJ85" i="8"/>
  <c r="CH85" i="8"/>
  <c r="BS85" i="9"/>
  <c r="AT85" i="9"/>
  <c r="AQ105" i="9"/>
  <c r="BL105" i="8"/>
  <c r="BU105" i="9"/>
  <c r="CJ105" i="8"/>
  <c r="AV105" i="9"/>
  <c r="AO59" i="9"/>
  <c r="BS59" i="9"/>
  <c r="BJ59" i="8"/>
  <c r="CH59" i="8"/>
  <c r="AT59" i="9"/>
  <c r="AN107" i="9"/>
  <c r="BR107" i="9"/>
  <c r="BI107" i="8"/>
  <c r="CG107" i="8"/>
  <c r="AS107" i="9"/>
  <c r="BR81" i="9"/>
  <c r="AN81" i="9"/>
  <c r="BI81" i="8"/>
  <c r="CG81" i="8"/>
  <c r="AS81" i="9"/>
  <c r="AN66" i="9"/>
  <c r="BI66" i="8"/>
  <c r="BR66" i="9"/>
  <c r="CG66" i="8"/>
  <c r="AS66" i="9"/>
  <c r="AQ20" i="9"/>
  <c r="BU20" i="9"/>
  <c r="BL20" i="8"/>
  <c r="CJ20" i="8"/>
  <c r="AV20" i="9"/>
  <c r="AP19" i="9"/>
  <c r="BT19" i="9"/>
  <c r="CI19" i="8"/>
  <c r="BK19" i="8"/>
  <c r="AU19" i="9"/>
  <c r="AM91" i="9"/>
  <c r="BH91" i="8"/>
  <c r="CF91" i="8"/>
  <c r="BQ91" i="9"/>
  <c r="AR91" i="9"/>
  <c r="AM63" i="9"/>
  <c r="BH63" i="8"/>
  <c r="BQ63" i="9"/>
  <c r="CF63" i="8"/>
  <c r="AR63" i="9"/>
  <c r="K111" i="11"/>
  <c r="Q111" i="11" s="1"/>
  <c r="T108" i="11"/>
  <c r="AO111" i="9"/>
  <c r="BS111" i="9"/>
  <c r="BJ111" i="8"/>
  <c r="CH111" i="8"/>
  <c r="AT111" i="9"/>
  <c r="AN119" i="9"/>
  <c r="BI119" i="8"/>
  <c r="CG119" i="8"/>
  <c r="BR119" i="9"/>
  <c r="AS119" i="9"/>
  <c r="AP114" i="9"/>
  <c r="BT114" i="9"/>
  <c r="BK114" i="8"/>
  <c r="CI114" i="8"/>
  <c r="AU114" i="9"/>
  <c r="AN114" i="9"/>
  <c r="CG114" i="8"/>
  <c r="BR114" i="9"/>
  <c r="BI114" i="8"/>
  <c r="AS114" i="9"/>
  <c r="AQ113" i="9"/>
  <c r="BL113" i="8"/>
  <c r="BU113" i="9"/>
  <c r="CJ113" i="8"/>
  <c r="AV113" i="9"/>
  <c r="AQ52" i="9"/>
  <c r="BU52" i="9"/>
  <c r="BL52" i="8"/>
  <c r="CJ52" i="8"/>
  <c r="AV52" i="9"/>
  <c r="AM26" i="9"/>
  <c r="BQ26" i="9"/>
  <c r="CF26" i="8"/>
  <c r="BH26" i="8"/>
  <c r="AR26" i="9"/>
  <c r="AN17" i="9"/>
  <c r="BR17" i="9"/>
  <c r="BI17" i="8"/>
  <c r="CG17" i="8"/>
  <c r="AS17" i="9"/>
  <c r="AN65" i="9"/>
  <c r="BR65" i="9"/>
  <c r="BI65" i="8"/>
  <c r="CG65" i="8"/>
  <c r="AS65" i="9"/>
  <c r="AN37" i="9"/>
  <c r="BR37" i="9"/>
  <c r="CG37" i="8"/>
  <c r="BI37" i="8"/>
  <c r="AS37" i="9"/>
  <c r="BR97" i="9"/>
  <c r="BI97" i="8"/>
  <c r="AN97" i="9"/>
  <c r="CG97" i="8"/>
  <c r="AS97" i="9"/>
  <c r="AO72" i="9"/>
  <c r="BS72" i="9"/>
  <c r="CH72" i="8"/>
  <c r="BJ72" i="8"/>
  <c r="AT72" i="9"/>
  <c r="BR80" i="9"/>
  <c r="AN80" i="9"/>
  <c r="BI80" i="8"/>
  <c r="CG80" i="8"/>
  <c r="AS80" i="9"/>
  <c r="AP25" i="9"/>
  <c r="BT25" i="9"/>
  <c r="BK25" i="8"/>
  <c r="CI25" i="8"/>
  <c r="AU25" i="9"/>
  <c r="BT97" i="9"/>
  <c r="AP97" i="9"/>
  <c r="CI97" i="8"/>
  <c r="BK97" i="8"/>
  <c r="AU97" i="9"/>
  <c r="BJ99" i="8"/>
  <c r="BS99" i="9"/>
  <c r="AO99" i="9"/>
  <c r="CH99" i="8"/>
  <c r="AT99" i="9"/>
  <c r="S111" i="11"/>
  <c r="N113" i="11"/>
  <c r="AH113" i="11" s="1"/>
  <c r="S108" i="11"/>
  <c r="Q108" i="11"/>
  <c r="AE108" i="11"/>
  <c r="AO113" i="9"/>
  <c r="BS113" i="9"/>
  <c r="CH113" i="8"/>
  <c r="BJ113" i="8"/>
  <c r="AT113" i="9"/>
  <c r="AM29" i="9"/>
  <c r="BQ29" i="9"/>
  <c r="BH29" i="8"/>
  <c r="CF29" i="8"/>
  <c r="AR29" i="9"/>
  <c r="AO56" i="9"/>
  <c r="BS56" i="9"/>
  <c r="CH56" i="8"/>
  <c r="BJ56" i="8"/>
  <c r="AT56" i="9"/>
  <c r="AN50" i="9"/>
  <c r="BI50" i="8"/>
  <c r="BR50" i="9"/>
  <c r="CG50" i="8"/>
  <c r="AS50" i="9"/>
  <c r="AN31" i="9"/>
  <c r="BI31" i="8"/>
  <c r="BR31" i="9"/>
  <c r="CG31" i="8"/>
  <c r="AS31" i="9"/>
  <c r="AN116" i="9"/>
  <c r="BR116" i="9"/>
  <c r="BI116" i="8"/>
  <c r="CG116" i="8"/>
  <c r="AS116" i="9"/>
  <c r="AP76" i="9"/>
  <c r="BK76" i="8"/>
  <c r="CI76" i="8"/>
  <c r="BT76" i="9"/>
  <c r="AU76" i="9"/>
  <c r="AM77" i="9"/>
  <c r="BQ77" i="9"/>
  <c r="CF77" i="8"/>
  <c r="BH77" i="8"/>
  <c r="AR77" i="9"/>
  <c r="AO24" i="9"/>
  <c r="BS24" i="9"/>
  <c r="CH24" i="8"/>
  <c r="BJ24" i="8"/>
  <c r="AT24" i="9"/>
  <c r="AO21" i="9"/>
  <c r="BJ21" i="8"/>
  <c r="CH21" i="8"/>
  <c r="BS21" i="9"/>
  <c r="AT21" i="9"/>
  <c r="AO37" i="9"/>
  <c r="BJ37" i="8"/>
  <c r="BS37" i="9"/>
  <c r="CH37" i="8"/>
  <c r="AT37" i="9"/>
  <c r="AQ111" i="9"/>
  <c r="BL111" i="8"/>
  <c r="CJ111" i="8"/>
  <c r="BU111" i="9"/>
  <c r="AV111" i="9"/>
  <c r="AO116" i="9"/>
  <c r="BS116" i="9"/>
  <c r="BJ116" i="8"/>
  <c r="CH116" i="8"/>
  <c r="AT116" i="9"/>
  <c r="AN26" i="9"/>
  <c r="BI26" i="8"/>
  <c r="BR26" i="9"/>
  <c r="CG26" i="8"/>
  <c r="AS26" i="9"/>
  <c r="BS83" i="9"/>
  <c r="AO83" i="9"/>
  <c r="BJ83" i="8"/>
  <c r="CH83" i="8"/>
  <c r="AT83" i="9"/>
  <c r="AQ30" i="9"/>
  <c r="BU30" i="9"/>
  <c r="CJ30" i="8"/>
  <c r="BL30" i="8"/>
  <c r="AV30" i="9"/>
  <c r="AQ108" i="9"/>
  <c r="BU108" i="9"/>
  <c r="CJ108" i="8"/>
  <c r="BL108" i="8"/>
  <c r="AV108" i="9"/>
  <c r="AM45" i="9"/>
  <c r="BQ45" i="9"/>
  <c r="BH45" i="8"/>
  <c r="CF45" i="8"/>
  <c r="AR45" i="9"/>
  <c r="AN49" i="9"/>
  <c r="BR49" i="9"/>
  <c r="BI49" i="8"/>
  <c r="CG49" i="8"/>
  <c r="AS49" i="9"/>
  <c r="AO104" i="9"/>
  <c r="BJ104" i="8"/>
  <c r="BS104" i="9"/>
  <c r="CH104" i="8"/>
  <c r="AT104" i="9"/>
  <c r="AM23" i="9"/>
  <c r="BH23" i="8"/>
  <c r="BQ23" i="9"/>
  <c r="CF23" i="8"/>
  <c r="AR23" i="9"/>
  <c r="BS84" i="9"/>
  <c r="AO84" i="9"/>
  <c r="CH84" i="8"/>
  <c r="BJ84" i="8"/>
  <c r="AT84" i="9"/>
  <c r="BI109" i="8"/>
  <c r="BR109" i="9"/>
  <c r="AN109" i="9"/>
  <c r="CG109" i="8"/>
  <c r="AS109" i="9"/>
  <c r="AP111" i="9"/>
  <c r="BT111" i="9"/>
  <c r="BK111" i="8"/>
  <c r="CI111" i="8"/>
  <c r="AU111" i="9"/>
  <c r="AP112" i="9"/>
  <c r="CI112" i="8"/>
  <c r="BK112" i="8"/>
  <c r="BT112" i="9"/>
  <c r="AU112" i="9"/>
  <c r="BH98" i="8"/>
  <c r="BQ98" i="9"/>
  <c r="AM98" i="9"/>
  <c r="CF98" i="8"/>
  <c r="AR98" i="9"/>
  <c r="AQ68" i="9"/>
  <c r="BU68" i="9"/>
  <c r="BL68" i="8"/>
  <c r="CJ68" i="8"/>
  <c r="AV68" i="9"/>
  <c r="BR96" i="9"/>
  <c r="AN96" i="9"/>
  <c r="BI96" i="8"/>
  <c r="CG96" i="8"/>
  <c r="AS96" i="9"/>
  <c r="AM50" i="9"/>
  <c r="BQ50" i="9"/>
  <c r="CF50" i="8"/>
  <c r="BH50" i="8"/>
  <c r="AR50" i="9"/>
  <c r="AQ115" i="9"/>
  <c r="BL115" i="8"/>
  <c r="CJ115" i="8"/>
  <c r="BU115" i="9"/>
  <c r="AV115" i="9"/>
  <c r="BK115" i="8"/>
  <c r="BT115" i="9"/>
  <c r="AP115" i="9"/>
  <c r="CI115" i="8"/>
  <c r="AU115" i="9"/>
  <c r="AN82" i="9"/>
  <c r="BI82" i="8"/>
  <c r="CG82" i="8"/>
  <c r="BR82" i="9"/>
  <c r="AS82" i="9"/>
  <c r="AP35" i="9"/>
  <c r="BT35" i="9"/>
  <c r="CI35" i="8"/>
  <c r="BK35" i="8"/>
  <c r="AU35" i="9"/>
  <c r="AM104" i="9"/>
  <c r="BQ104" i="9"/>
  <c r="BH104" i="8"/>
  <c r="CF104" i="8"/>
  <c r="AR104" i="9"/>
  <c r="AM116" i="9"/>
  <c r="BH116" i="8"/>
  <c r="CF116" i="8"/>
  <c r="BQ116" i="9"/>
  <c r="AR116" i="9"/>
  <c r="AN115" i="9"/>
  <c r="BR115" i="9"/>
  <c r="CG115" i="8"/>
  <c r="BI115" i="8"/>
  <c r="AS115" i="9"/>
  <c r="AN111" i="9"/>
  <c r="BI111" i="8"/>
  <c r="CG111" i="8"/>
  <c r="BR111" i="9"/>
  <c r="AS111" i="9"/>
  <c r="AQ117" i="9"/>
  <c r="BU117" i="9"/>
  <c r="BL117" i="8"/>
  <c r="CJ117" i="8"/>
  <c r="AV117" i="9"/>
  <c r="AO117" i="9"/>
  <c r="CH117" i="8"/>
  <c r="BS117" i="9"/>
  <c r="BJ117" i="8"/>
  <c r="AT117" i="9"/>
  <c r="BQ88" i="9"/>
  <c r="AM88" i="9"/>
  <c r="BH88" i="8"/>
  <c r="CF88" i="8"/>
  <c r="AR88" i="9"/>
  <c r="AQ27" i="9"/>
  <c r="BL27" i="8"/>
  <c r="CJ27" i="8"/>
  <c r="BU27" i="9"/>
  <c r="AV27" i="9"/>
  <c r="AP41" i="9"/>
  <c r="BT41" i="9"/>
  <c r="BK41" i="8"/>
  <c r="CI41" i="8"/>
  <c r="AU41" i="9"/>
  <c r="BU89" i="9"/>
  <c r="AQ89" i="9"/>
  <c r="CJ89" i="8"/>
  <c r="BL89" i="8"/>
  <c r="AV89" i="9"/>
  <c r="AN15" i="9"/>
  <c r="BR15" i="9"/>
  <c r="BI15" i="8"/>
  <c r="CG15" i="8"/>
  <c r="AS15" i="9"/>
  <c r="AQ36" i="9"/>
  <c r="BU36" i="9"/>
  <c r="BL36" i="8"/>
  <c r="CJ36" i="8"/>
  <c r="AV36" i="9"/>
  <c r="AM120" i="9"/>
  <c r="BQ120" i="9"/>
  <c r="BH120" i="8"/>
  <c r="CF120" i="8"/>
  <c r="AR120" i="9"/>
  <c r="AO69" i="9"/>
  <c r="BJ69" i="8"/>
  <c r="BS69" i="9"/>
  <c r="CH69" i="8"/>
  <c r="AT69" i="9"/>
  <c r="AM61" i="9"/>
  <c r="BQ61" i="9"/>
  <c r="BH61" i="8"/>
  <c r="CF61" i="8"/>
  <c r="AR61" i="9"/>
  <c r="AQ14" i="9"/>
  <c r="BU14" i="9"/>
  <c r="BL14" i="8"/>
  <c r="CJ14" i="8"/>
  <c r="AV14" i="9"/>
  <c r="O112" i="11"/>
  <c r="AI112" i="11" s="1"/>
  <c r="AM112" i="9"/>
  <c r="BQ112" i="9"/>
  <c r="BH112" i="8"/>
  <c r="CF112" i="8"/>
  <c r="AR112" i="9"/>
  <c r="AM58" i="9"/>
  <c r="BQ58" i="9"/>
  <c r="CF58" i="8"/>
  <c r="BH58" i="8"/>
  <c r="AR58" i="9"/>
  <c r="AQ43" i="9"/>
  <c r="BL43" i="8"/>
  <c r="BU43" i="9"/>
  <c r="CJ43" i="8"/>
  <c r="AV43" i="9"/>
  <c r="AP116" i="9"/>
  <c r="BK116" i="8"/>
  <c r="CI116" i="8"/>
  <c r="BT116" i="9"/>
  <c r="AU116" i="9"/>
  <c r="AM115" i="9"/>
  <c r="CF115" i="8"/>
  <c r="BH115" i="8"/>
  <c r="BQ115" i="9"/>
  <c r="AR115" i="9"/>
  <c r="AM118" i="9"/>
  <c r="BQ118" i="9"/>
  <c r="BH118" i="8"/>
  <c r="CF118" i="8"/>
  <c r="AR118" i="9"/>
  <c r="AM113" i="9"/>
  <c r="BQ113" i="9"/>
  <c r="BH113" i="8"/>
  <c r="CF113" i="8"/>
  <c r="AR113" i="9"/>
  <c r="AO118" i="9"/>
  <c r="BS118" i="9"/>
  <c r="BJ118" i="8"/>
  <c r="CH118" i="8"/>
  <c r="AT118" i="9"/>
  <c r="BT94" i="9"/>
  <c r="AP94" i="9"/>
  <c r="CI94" i="8"/>
  <c r="BK94" i="8"/>
  <c r="AU94" i="9"/>
  <c r="AO51" i="9"/>
  <c r="BS51" i="9"/>
  <c r="BJ51" i="8"/>
  <c r="CH51" i="8"/>
  <c r="AT51" i="9"/>
  <c r="AN47" i="9"/>
  <c r="BI47" i="8"/>
  <c r="BR47" i="9"/>
  <c r="CG47" i="8"/>
  <c r="AS47" i="9"/>
  <c r="AN95" i="9"/>
  <c r="BI95" i="8"/>
  <c r="CG95" i="8"/>
  <c r="BR95" i="9"/>
  <c r="AS95" i="9"/>
  <c r="AM39" i="9"/>
  <c r="BH39" i="8"/>
  <c r="BQ39" i="9"/>
  <c r="CF39" i="8"/>
  <c r="AR39" i="9"/>
  <c r="AM48" i="9"/>
  <c r="BQ48" i="9"/>
  <c r="BH48" i="8"/>
  <c r="CF48" i="8"/>
  <c r="AR48" i="9"/>
  <c r="AO74" i="9"/>
  <c r="BJ74" i="8"/>
  <c r="BS74" i="9"/>
  <c r="CH74" i="8"/>
  <c r="AT74" i="9"/>
  <c r="BR93" i="9"/>
  <c r="AN93" i="9"/>
  <c r="CG93" i="8"/>
  <c r="BI93" i="8"/>
  <c r="AS93" i="9"/>
  <c r="AP73" i="9"/>
  <c r="BT73" i="9"/>
  <c r="BK73" i="8"/>
  <c r="CI73" i="8"/>
  <c r="AU73" i="9"/>
  <c r="AM74" i="9"/>
  <c r="BQ74" i="9"/>
  <c r="BH74" i="8"/>
  <c r="CF74" i="8"/>
  <c r="AR74" i="9"/>
  <c r="R111" i="11"/>
  <c r="M109" i="11"/>
  <c r="AG109" i="11" s="1"/>
  <c r="AQ116" i="9"/>
  <c r="BU116" i="9"/>
  <c r="BL116" i="8"/>
  <c r="CJ116" i="8"/>
  <c r="AV116" i="9"/>
  <c r="AP12" i="9"/>
  <c r="BK12" i="8"/>
  <c r="BT12" i="9"/>
  <c r="CI12" i="8"/>
  <c r="AU12" i="9"/>
  <c r="AQ112" i="9"/>
  <c r="BL112" i="8"/>
  <c r="CJ112" i="8"/>
  <c r="BU112" i="9"/>
  <c r="AV112" i="9"/>
  <c r="BJ112" i="8"/>
  <c r="AO112" i="9"/>
  <c r="BS112" i="9"/>
  <c r="CH112" i="8"/>
  <c r="AT112" i="9"/>
  <c r="AO119" i="9"/>
  <c r="BS119" i="9"/>
  <c r="BJ119" i="8"/>
  <c r="CH119" i="8"/>
  <c r="AT119" i="9"/>
  <c r="AQ114" i="9"/>
  <c r="BU114" i="9"/>
  <c r="BL114" i="8"/>
  <c r="CJ114" i="8"/>
  <c r="AV114" i="9"/>
  <c r="AP117" i="9"/>
  <c r="BK117" i="8"/>
  <c r="BT117" i="9"/>
  <c r="CI117" i="8"/>
  <c r="AU117" i="9"/>
  <c r="AO40" i="9"/>
  <c r="BS40" i="9"/>
  <c r="BJ40" i="8"/>
  <c r="CH40" i="8"/>
  <c r="AT40" i="9"/>
  <c r="BS100" i="9"/>
  <c r="BJ100" i="8"/>
  <c r="AO100" i="9"/>
  <c r="CH100" i="8"/>
  <c r="AT100" i="9"/>
  <c r="AP75" i="9"/>
  <c r="BT75" i="9"/>
  <c r="BK75" i="8"/>
  <c r="CI75" i="8"/>
  <c r="AU75" i="9"/>
  <c r="AO53" i="9"/>
  <c r="BJ53" i="8"/>
  <c r="BS53" i="9"/>
  <c r="CH53" i="8"/>
  <c r="AT53" i="9"/>
  <c r="BH101" i="8"/>
  <c r="BQ101" i="9"/>
  <c r="AM101" i="9"/>
  <c r="CF101" i="8"/>
  <c r="AR101" i="9"/>
  <c r="AP57" i="9"/>
  <c r="BT57" i="9"/>
  <c r="BK57" i="8"/>
  <c r="CI57" i="8"/>
  <c r="AU57" i="9"/>
  <c r="AP60" i="9"/>
  <c r="BK60" i="8"/>
  <c r="BT60" i="9"/>
  <c r="CI60" i="8"/>
  <c r="AU60" i="9"/>
  <c r="AO25" i="9"/>
  <c r="BJ25" i="8"/>
  <c r="BS25" i="9"/>
  <c r="CH25" i="8"/>
  <c r="AT25" i="9"/>
  <c r="AM13" i="9"/>
  <c r="BQ13" i="9"/>
  <c r="BH13" i="8"/>
  <c r="CF13" i="8"/>
  <c r="AR13" i="9"/>
  <c r="BQ85" i="9"/>
  <c r="AM85" i="9"/>
  <c r="CF85" i="8"/>
  <c r="BH85" i="8"/>
  <c r="AR85" i="9"/>
  <c r="AN33" i="9"/>
  <c r="BR33" i="9"/>
  <c r="BI33" i="8"/>
  <c r="CG33" i="8"/>
  <c r="AS33" i="9"/>
  <c r="L106" i="11"/>
  <c r="AF106" i="11" s="1"/>
  <c r="R108" i="11"/>
  <c r="S16" i="8"/>
  <c r="T14" i="8"/>
  <c r="U13" i="8"/>
  <c r="P72" i="8"/>
  <c r="P73" i="8" s="1"/>
  <c r="P74" i="8" s="1"/>
  <c r="P75" i="8" s="1"/>
  <c r="P76" i="8" s="1"/>
  <c r="P77" i="8" s="1"/>
  <c r="P78" i="8" s="1"/>
  <c r="P79" i="8" s="1"/>
  <c r="P80" i="8" s="1"/>
  <c r="P81" i="8" s="1"/>
  <c r="S17" i="8" s="1"/>
  <c r="G84" i="1"/>
  <c r="H75" i="1"/>
  <c r="G81" i="1"/>
  <c r="D93" i="1"/>
  <c r="E56" i="1"/>
  <c r="D92" i="1"/>
  <c r="D61" i="1"/>
  <c r="D12" i="1"/>
  <c r="G24" i="1"/>
  <c r="H72" i="1"/>
  <c r="E39" i="1"/>
  <c r="E47" i="1"/>
  <c r="H53" i="1"/>
  <c r="F86" i="1"/>
  <c r="D66" i="1"/>
  <c r="F5" i="1"/>
  <c r="F34" i="1"/>
  <c r="G42" i="1"/>
  <c r="G85" i="1"/>
  <c r="E11" i="1"/>
  <c r="F31" i="1"/>
  <c r="H71" i="1"/>
  <c r="H14" i="1"/>
  <c r="E5" i="1"/>
  <c r="E18" i="1"/>
  <c r="E65" i="1"/>
  <c r="G93" i="1"/>
  <c r="G73" i="1"/>
  <c r="D53" i="1"/>
  <c r="H56" i="1"/>
  <c r="G64" i="1"/>
  <c r="E76" i="1"/>
  <c r="F84" i="1"/>
  <c r="F96" i="1"/>
  <c r="G19" i="1"/>
  <c r="E81" i="1"/>
  <c r="F41" i="1"/>
  <c r="E93" i="1"/>
  <c r="F53" i="1"/>
  <c r="E29" i="1"/>
  <c r="H9" i="1"/>
  <c r="D8" i="1"/>
  <c r="F16" i="1"/>
  <c r="G20" i="1"/>
  <c r="E28" i="1"/>
  <c r="H32" i="1"/>
  <c r="D40" i="1"/>
  <c r="F48" i="1"/>
  <c r="F56" i="1"/>
  <c r="D72" i="1"/>
  <c r="D96" i="1"/>
  <c r="F28" i="1"/>
  <c r="H87" i="1"/>
  <c r="D59" i="1"/>
  <c r="E35" i="1"/>
  <c r="G11" i="1"/>
  <c r="E95" i="1"/>
  <c r="H67" i="1"/>
  <c r="F43" i="1"/>
  <c r="D15" i="1"/>
  <c r="F95" i="1"/>
  <c r="E71" i="1"/>
  <c r="G47" i="1"/>
  <c r="H19" i="1"/>
  <c r="H10" i="1"/>
  <c r="E41" i="1"/>
  <c r="F102" i="1"/>
  <c r="E82" i="1"/>
  <c r="G62" i="1"/>
  <c r="F42" i="1"/>
  <c r="E22" i="1"/>
  <c r="H6" i="1"/>
  <c r="F37" i="1"/>
  <c r="F75" i="1"/>
  <c r="F66" i="1"/>
  <c r="H30" i="1"/>
  <c r="G4" i="1"/>
  <c r="F74" i="1"/>
  <c r="E34" i="1"/>
  <c r="G9" i="1"/>
  <c r="H85" i="1"/>
  <c r="H73" i="1"/>
  <c r="E15" i="1"/>
  <c r="H35" i="1"/>
  <c r="G63" i="1"/>
  <c r="D79" i="1"/>
  <c r="G95" i="1"/>
  <c r="G44" i="1"/>
  <c r="D45" i="1"/>
  <c r="G82" i="1"/>
  <c r="F12" i="1"/>
  <c r="D4" i="1"/>
  <c r="H113" i="1"/>
  <c r="D49" i="1"/>
  <c r="F29" i="1"/>
  <c r="F20" i="1"/>
  <c r="G56" i="1"/>
  <c r="H84" i="1"/>
  <c r="D63" i="1"/>
  <c r="G23" i="1"/>
  <c r="D23" i="1"/>
  <c r="G46" i="1"/>
  <c r="D57" i="1"/>
  <c r="H55" i="1"/>
  <c r="F69" i="1"/>
  <c r="G6" i="1"/>
  <c r="E49" i="1"/>
  <c r="F89" i="1"/>
  <c r="D69" i="1"/>
  <c r="G49" i="1"/>
  <c r="H100" i="1"/>
  <c r="D48" i="1"/>
  <c r="F60" i="1"/>
  <c r="H68" i="1"/>
  <c r="D76" i="1"/>
  <c r="D88" i="1"/>
  <c r="H96" i="1"/>
  <c r="E99" i="1"/>
  <c r="E113" i="1"/>
  <c r="F73" i="1"/>
  <c r="E33" i="1"/>
  <c r="D85" i="1"/>
  <c r="H49" i="1"/>
  <c r="H25" i="1"/>
  <c r="D5" i="1"/>
  <c r="F8" i="1"/>
  <c r="G16" i="1"/>
  <c r="E20" i="1"/>
  <c r="H28" i="1"/>
  <c r="D36" i="1"/>
  <c r="F40" i="1"/>
  <c r="E48" i="1"/>
  <c r="H60" i="1"/>
  <c r="G72" i="1"/>
  <c r="G96" i="1"/>
  <c r="H83" i="1"/>
  <c r="D55" i="1"/>
  <c r="E31" i="1"/>
  <c r="G7" i="1"/>
  <c r="E91" i="1"/>
  <c r="H63" i="1"/>
  <c r="F39" i="1"/>
  <c r="D11" i="1"/>
  <c r="F91" i="1"/>
  <c r="E67" i="1"/>
  <c r="G43" i="1"/>
  <c r="H15" i="1"/>
  <c r="L19" i="1"/>
  <c r="F90" i="1"/>
  <c r="D33" i="1"/>
  <c r="E98" i="1"/>
  <c r="H78" i="1"/>
  <c r="F58" i="1"/>
  <c r="E38" i="1"/>
  <c r="H22" i="1"/>
  <c r="D101" i="1"/>
  <c r="H33" i="1"/>
  <c r="G59" i="1"/>
  <c r="D98" i="1"/>
  <c r="H62" i="1"/>
  <c r="G22" i="1"/>
  <c r="E66" i="1"/>
  <c r="D30" i="1"/>
  <c r="D9" i="1"/>
  <c r="G29" i="1"/>
  <c r="E97" i="1"/>
  <c r="F15" i="1"/>
  <c r="D35" i="1"/>
  <c r="F63" i="1"/>
  <c r="H79" i="1"/>
  <c r="H95" i="1"/>
  <c r="D100" i="1"/>
  <c r="H4" i="1"/>
  <c r="H90" i="1"/>
  <c r="H57" i="1"/>
  <c r="H40" i="1"/>
  <c r="H99" i="1"/>
  <c r="E9" i="1"/>
  <c r="E53" i="1"/>
  <c r="G74" i="1"/>
  <c r="F38" i="1"/>
  <c r="D58" i="1"/>
  <c r="E85" i="1"/>
  <c r="G65" i="1"/>
  <c r="F45" i="1"/>
  <c r="G92" i="1"/>
  <c r="G48" i="1"/>
  <c r="G60" i="1"/>
  <c r="D68" i="1"/>
  <c r="F80" i="1"/>
  <c r="G88" i="1"/>
  <c r="E96" i="1"/>
  <c r="E83" i="1"/>
  <c r="H69" i="1"/>
  <c r="E17" i="1"/>
  <c r="F81" i="1"/>
  <c r="G41" i="1"/>
  <c r="D21" i="1"/>
  <c r="G8" i="1"/>
  <c r="E16" i="1"/>
  <c r="H24" i="1"/>
  <c r="D28" i="1"/>
  <c r="F36" i="1"/>
  <c r="G40" i="1"/>
  <c r="H48" i="1"/>
  <c r="D60" i="1"/>
  <c r="D80" i="1"/>
  <c r="D103" i="1"/>
  <c r="E79" i="1"/>
  <c r="H51" i="1"/>
  <c r="F27" i="1"/>
  <c r="E87" i="1"/>
  <c r="H59" i="1"/>
  <c r="F35" i="1"/>
  <c r="D7" i="1"/>
  <c r="F87" i="1"/>
  <c r="E63" i="1"/>
  <c r="G39" i="1"/>
  <c r="H11" i="1"/>
  <c r="H74" i="1"/>
  <c r="D89" i="1"/>
  <c r="F25" i="1"/>
  <c r="F4" i="1"/>
  <c r="H94" i="1"/>
  <c r="D74" i="1"/>
  <c r="E54" i="1"/>
  <c r="H38" i="1"/>
  <c r="D18" i="1"/>
  <c r="H89" i="1"/>
  <c r="G25" i="1"/>
  <c r="D39" i="1"/>
  <c r="F94" i="1"/>
  <c r="G54" i="1"/>
  <c r="E14" i="1"/>
  <c r="G98" i="1"/>
  <c r="D62" i="1"/>
  <c r="F22" i="1"/>
  <c r="F21" i="1"/>
  <c r="H37" i="1"/>
  <c r="H5" i="1"/>
  <c r="G45" i="1"/>
  <c r="H27" i="1"/>
  <c r="D47" i="1"/>
  <c r="D83" i="1"/>
  <c r="G99" i="1"/>
  <c r="E110" i="1"/>
  <c r="E62" i="1"/>
  <c r="G94" i="1"/>
  <c r="D82" i="1"/>
  <c r="H46" i="1"/>
  <c r="G77" i="1"/>
  <c r="F64" i="1"/>
  <c r="H76" i="1"/>
  <c r="G89" i="1"/>
  <c r="E13" i="1"/>
  <c r="D44" i="1"/>
  <c r="D71" i="1"/>
  <c r="E103" i="1"/>
  <c r="G102" i="1"/>
  <c r="E6" i="1"/>
  <c r="G91" i="1"/>
  <c r="F9" i="1"/>
  <c r="G103" i="1"/>
  <c r="G38" i="1"/>
  <c r="D87" i="1"/>
  <c r="H34" i="1"/>
  <c r="G113" i="1"/>
  <c r="E101" i="1"/>
  <c r="H81" i="1"/>
  <c r="F61" i="1"/>
  <c r="E45" i="1"/>
  <c r="E84" i="1"/>
  <c r="H52" i="1"/>
  <c r="E60" i="1"/>
  <c r="F72" i="1"/>
  <c r="H80" i="1"/>
  <c r="H92" i="1"/>
  <c r="G100" i="1"/>
  <c r="G67" i="1"/>
  <c r="F101" i="1"/>
  <c r="G61" i="1"/>
  <c r="F113" i="1"/>
  <c r="D73" i="1"/>
  <c r="D37" i="1"/>
  <c r="G17" i="1"/>
  <c r="E12" i="1"/>
  <c r="H16" i="1"/>
  <c r="D24" i="1"/>
  <c r="F32" i="1"/>
  <c r="G36" i="1"/>
  <c r="E44" i="1"/>
  <c r="E52" i="1"/>
  <c r="F68" i="1"/>
  <c r="G80" i="1"/>
  <c r="D99" i="1"/>
  <c r="G75" i="1"/>
  <c r="H47" i="1"/>
  <c r="F23" i="1"/>
  <c r="F79" i="1"/>
  <c r="E55" i="1"/>
  <c r="G31" i="1"/>
  <c r="G83" i="1"/>
  <c r="F59" i="1"/>
  <c r="D31" i="1"/>
  <c r="E7" i="1"/>
  <c r="H58" i="1"/>
  <c r="H77" i="1"/>
  <c r="H21" i="1"/>
  <c r="D90" i="1"/>
  <c r="E70" i="1"/>
  <c r="H54" i="1"/>
  <c r="D34" i="1"/>
  <c r="G14" i="1"/>
  <c r="E77" i="1"/>
  <c r="E21" i="1"/>
  <c r="E23" i="1"/>
  <c r="H86" i="1"/>
  <c r="E46" i="1"/>
  <c r="D10" i="1"/>
  <c r="E94" i="1"/>
  <c r="F54" i="1"/>
  <c r="H18" i="1"/>
  <c r="G21" i="1"/>
  <c r="E37" i="1"/>
  <c r="F57" i="1"/>
  <c r="D17" i="1"/>
  <c r="E27" i="1"/>
  <c r="F47" i="1"/>
  <c r="F83" i="1"/>
  <c r="F99" i="1"/>
  <c r="E50" i="1"/>
  <c r="D102" i="1"/>
  <c r="H17" i="1"/>
  <c r="D46" i="1"/>
  <c r="G58" i="1"/>
  <c r="F70" i="1"/>
  <c r="H102" i="1"/>
  <c r="G35" i="1"/>
  <c r="G101" i="1"/>
  <c r="H8" i="1"/>
  <c r="E32" i="1"/>
  <c r="F88" i="1"/>
  <c r="H91" i="1"/>
  <c r="G15" i="1"/>
  <c r="F51" i="1"/>
  <c r="H26" i="1"/>
  <c r="F26" i="1"/>
  <c r="F82" i="1"/>
  <c r="D25" i="1"/>
  <c r="D29" i="1"/>
  <c r="G97" i="1"/>
  <c r="H97" i="1"/>
  <c r="D77" i="1"/>
  <c r="E61" i="1"/>
  <c r="H41" i="1"/>
  <c r="D52" i="1"/>
  <c r="D64" i="1"/>
  <c r="E72" i="1"/>
  <c r="E80" i="1"/>
  <c r="E92" i="1"/>
  <c r="F100" i="1"/>
  <c r="G51" i="1"/>
  <c r="H93" i="1"/>
  <c r="E57" i="1"/>
  <c r="E69" i="1"/>
  <c r="G33" i="1"/>
  <c r="F13" i="1"/>
  <c r="H12" i="1"/>
  <c r="D20" i="1"/>
  <c r="F24" i="1"/>
  <c r="G32" i="1"/>
  <c r="E36" i="1"/>
  <c r="H44" i="1"/>
  <c r="G52" i="1"/>
  <c r="E68" i="1"/>
  <c r="H88" i="1"/>
  <c r="E64" i="1"/>
  <c r="D95" i="1"/>
  <c r="G71" i="1"/>
  <c r="H43" i="1"/>
  <c r="F19" i="1"/>
  <c r="H103" i="1"/>
  <c r="D75" i="1"/>
  <c r="E51" i="1"/>
  <c r="G27" i="1"/>
  <c r="G79" i="1"/>
  <c r="F55" i="1"/>
  <c r="D27" i="1"/>
  <c r="H42" i="1"/>
  <c r="D65" i="1"/>
  <c r="G13" i="1"/>
  <c r="G86" i="1"/>
  <c r="H70" i="1"/>
  <c r="D50" i="1"/>
  <c r="G30" i="1"/>
  <c r="F10" i="1"/>
  <c r="H65" i="1"/>
  <c r="D13" i="1"/>
  <c r="F107" i="1"/>
  <c r="F7" i="1"/>
  <c r="G78" i="1"/>
  <c r="D42" i="1"/>
  <c r="D86" i="1"/>
  <c r="H50" i="1"/>
  <c r="G10" i="1"/>
  <c r="E25" i="1"/>
  <c r="G37" i="1"/>
  <c r="G57" i="1"/>
  <c r="F85" i="1"/>
  <c r="F11" i="1"/>
  <c r="H31" i="1"/>
  <c r="G55" i="1"/>
  <c r="F71" i="1"/>
  <c r="F103" i="1"/>
  <c r="F98" i="1"/>
  <c r="E4" i="1"/>
  <c r="D14" i="1"/>
  <c r="F50" i="1"/>
  <c r="G26" i="1"/>
  <c r="D26" i="1"/>
  <c r="G70" i="1"/>
  <c r="G76" i="1"/>
  <c r="E78" i="1"/>
  <c r="F6" i="1"/>
  <c r="H66" i="1"/>
  <c r="O46" i="1"/>
  <c r="K46" i="1"/>
  <c r="K79" i="1"/>
  <c r="O37" i="1"/>
  <c r="O14" i="1"/>
  <c r="N70" i="1"/>
  <c r="N54" i="1"/>
  <c r="N44" i="1"/>
  <c r="M70" i="1"/>
  <c r="K39" i="1"/>
  <c r="O36" i="1"/>
  <c r="N46" i="1"/>
  <c r="O110" i="1"/>
  <c r="M108" i="1"/>
  <c r="O35" i="1"/>
  <c r="L5" i="1"/>
  <c r="L78" i="1"/>
  <c r="K14" i="1"/>
  <c r="M98" i="1"/>
  <c r="N45" i="1"/>
  <c r="N99" i="1"/>
  <c r="M50" i="1"/>
  <c r="K30" i="1"/>
  <c r="O38" i="1"/>
  <c r="M12" i="1"/>
  <c r="M31" i="1"/>
  <c r="K17" i="1"/>
  <c r="L110" i="1"/>
  <c r="M38" i="1"/>
  <c r="M15" i="1"/>
  <c r="N95" i="1"/>
  <c r="M44" i="1"/>
  <c r="K16" i="1"/>
  <c r="N63" i="1"/>
  <c r="M34" i="1"/>
  <c r="L25" i="1"/>
  <c r="N29" i="1"/>
  <c r="K83" i="1"/>
  <c r="O23" i="1"/>
  <c r="K58" i="1"/>
  <c r="L27" i="1"/>
  <c r="O39" i="1"/>
  <c r="O90" i="1"/>
  <c r="N59" i="1"/>
  <c r="O34" i="1"/>
  <c r="M47" i="1"/>
  <c r="M109" i="1"/>
  <c r="M58" i="1"/>
  <c r="L106" i="1"/>
  <c r="N87" i="1"/>
  <c r="K51" i="1"/>
  <c r="L4" i="1"/>
  <c r="O22" i="1"/>
  <c r="K57" i="1"/>
  <c r="M111" i="1"/>
  <c r="L6" i="1"/>
  <c r="M63" i="1"/>
  <c r="M6" i="1"/>
  <c r="K47" i="1"/>
  <c r="O31" i="1"/>
  <c r="M11" i="1"/>
  <c r="M71" i="1"/>
  <c r="M103" i="1"/>
  <c r="O30" i="1"/>
  <c r="N58" i="1"/>
  <c r="O21" i="1"/>
  <c r="O74" i="1"/>
  <c r="N38" i="1"/>
  <c r="N55" i="1"/>
  <c r="K4" i="1"/>
  <c r="O62" i="1"/>
  <c r="N103" i="1"/>
  <c r="M86" i="1"/>
  <c r="K10" i="1"/>
  <c r="L98" i="1"/>
  <c r="L42" i="1"/>
  <c r="N105" i="1"/>
  <c r="L105" i="1"/>
  <c r="M67" i="1"/>
  <c r="O109" i="1"/>
  <c r="N10" i="1"/>
  <c r="M92" i="1"/>
  <c r="M107" i="1"/>
  <c r="N13" i="1"/>
  <c r="L26" i="1"/>
  <c r="L41" i="1"/>
  <c r="N110" i="1"/>
  <c r="O111" i="1"/>
  <c r="K43" i="1"/>
  <c r="O106" i="1"/>
  <c r="M26" i="1"/>
  <c r="N91" i="1"/>
  <c r="K98" i="1"/>
  <c r="L38" i="1"/>
  <c r="K102" i="1"/>
  <c r="L24" i="1"/>
  <c r="L23" i="1"/>
  <c r="N86" i="1"/>
  <c r="K91" i="1"/>
  <c r="K66" i="1"/>
  <c r="N112" i="1"/>
  <c r="K90" i="1"/>
  <c r="L22" i="1"/>
  <c r="L88" i="1"/>
  <c r="N108" i="1"/>
  <c r="K56" i="1"/>
  <c r="O78" i="1"/>
  <c r="O54" i="1"/>
  <c r="N14" i="1"/>
  <c r="K101" i="1"/>
  <c r="O18" i="1"/>
  <c r="M110" i="1"/>
  <c r="K26" i="1"/>
  <c r="K67" i="1"/>
  <c r="K34" i="1"/>
  <c r="N30" i="1"/>
  <c r="L11" i="1"/>
  <c r="K35" i="1"/>
  <c r="O55" i="1"/>
  <c r="O79" i="1"/>
  <c r="M99" i="1"/>
  <c r="O86" i="1"/>
  <c r="K42" i="1"/>
  <c r="K87" i="1"/>
  <c r="K106" i="1"/>
  <c r="M22" i="1"/>
  <c r="O5" i="1"/>
  <c r="O53" i="1"/>
  <c r="M54" i="1"/>
  <c r="M21" i="1"/>
  <c r="K25" i="1"/>
  <c r="N37" i="1"/>
  <c r="L53" i="1"/>
  <c r="K94" i="1"/>
  <c r="K70" i="1"/>
  <c r="K89" i="1"/>
  <c r="L40" i="1"/>
  <c r="M75" i="1"/>
  <c r="M7" i="1"/>
  <c r="M94" i="1"/>
  <c r="M66" i="1"/>
  <c r="L15" i="1"/>
  <c r="O101" i="1"/>
  <c r="L73" i="1"/>
  <c r="M85" i="1"/>
  <c r="L97" i="1"/>
  <c r="L82" i="1"/>
  <c r="L58" i="1"/>
  <c r="M82" i="1"/>
  <c r="K45" i="1"/>
  <c r="N12" i="1"/>
  <c r="K78" i="1"/>
  <c r="K54" i="1"/>
  <c r="O70" i="1"/>
  <c r="L70" i="1"/>
  <c r="L30" i="1"/>
  <c r="N25" i="1"/>
  <c r="K107" i="1"/>
  <c r="O95" i="1"/>
  <c r="O71" i="1"/>
  <c r="L54" i="1"/>
  <c r="K19" i="1"/>
  <c r="K18" i="1"/>
  <c r="O7" i="1"/>
  <c r="O6" i="1"/>
  <c r="O66" i="1"/>
  <c r="O65" i="1"/>
  <c r="N26" i="1"/>
  <c r="N68" i="1"/>
  <c r="N90" i="1"/>
  <c r="K86" i="1"/>
  <c r="K38" i="1"/>
  <c r="L14" i="1"/>
  <c r="K41" i="1"/>
  <c r="K97" i="1"/>
  <c r="K100" i="1"/>
  <c r="O27" i="1"/>
  <c r="K33" i="1"/>
  <c r="L9" i="1"/>
  <c r="L10" i="1"/>
  <c r="M83" i="1"/>
  <c r="M10" i="1"/>
  <c r="N22" i="1"/>
  <c r="N106" i="1"/>
  <c r="L8" i="1"/>
  <c r="N4" i="1"/>
  <c r="N5" i="1"/>
  <c r="M5" i="1"/>
  <c r="M4" i="1"/>
  <c r="N81" i="1"/>
  <c r="O113" i="1"/>
  <c r="L101" i="1"/>
  <c r="M89" i="1"/>
  <c r="N77" i="1"/>
  <c r="M61" i="1"/>
  <c r="N49" i="1"/>
  <c r="K112" i="1"/>
  <c r="L84" i="1"/>
  <c r="N48" i="1"/>
  <c r="O56" i="1"/>
  <c r="K64" i="1"/>
  <c r="K68" i="1"/>
  <c r="L76" i="1"/>
  <c r="L80" i="1"/>
  <c r="N88" i="1"/>
  <c r="M96" i="1"/>
  <c r="M100" i="1"/>
  <c r="L108" i="1"/>
  <c r="L112" i="1"/>
  <c r="L99" i="1"/>
  <c r="N35" i="1"/>
  <c r="M101" i="1"/>
  <c r="M73" i="1"/>
  <c r="K49" i="1"/>
  <c r="N101" i="1"/>
  <c r="K73" i="1"/>
  <c r="O49" i="1"/>
  <c r="M29" i="1"/>
  <c r="N17" i="1"/>
  <c r="K5" i="1"/>
  <c r="K8" i="1"/>
  <c r="O12" i="1"/>
  <c r="L16" i="1"/>
  <c r="N20" i="1"/>
  <c r="M24" i="1"/>
  <c r="K28" i="1"/>
  <c r="O32" i="1"/>
  <c r="L36" i="1"/>
  <c r="N40" i="1"/>
  <c r="M48" i="1"/>
  <c r="N52" i="1"/>
  <c r="K60" i="1"/>
  <c r="K72" i="1"/>
  <c r="O88" i="1"/>
  <c r="K103" i="1"/>
  <c r="O87" i="1"/>
  <c r="N71" i="1"/>
  <c r="O51" i="1"/>
  <c r="L35" i="1"/>
  <c r="M19" i="1"/>
  <c r="N102" i="1"/>
  <c r="K50" i="1"/>
  <c r="O89" i="1"/>
  <c r="K111" i="1"/>
  <c r="L95" i="1"/>
  <c r="K75" i="1"/>
  <c r="O59" i="1"/>
  <c r="M43" i="1"/>
  <c r="N27" i="1"/>
  <c r="K7" i="1"/>
  <c r="L107" i="1"/>
  <c r="M87" i="1"/>
  <c r="L71" i="1"/>
  <c r="M55" i="1"/>
  <c r="N39" i="1"/>
  <c r="O19" i="1"/>
  <c r="L109" i="1"/>
  <c r="M97" i="1"/>
  <c r="L37" i="1"/>
  <c r="K29" i="1"/>
  <c r="M106" i="1"/>
  <c r="M90" i="1"/>
  <c r="N66" i="1"/>
  <c r="M62" i="1"/>
  <c r="O42" i="1"/>
  <c r="O77" i="1"/>
  <c r="K65" i="1"/>
  <c r="L65" i="1"/>
  <c r="K109" i="1"/>
  <c r="O97" i="1"/>
  <c r="L85" i="1"/>
  <c r="N73" i="1"/>
  <c r="L61" i="1"/>
  <c r="M45" i="1"/>
  <c r="M104" i="1"/>
  <c r="O52" i="1"/>
  <c r="M60" i="1"/>
  <c r="M64" i="1"/>
  <c r="M72" i="1"/>
  <c r="K76" i="1"/>
  <c r="N84" i="1"/>
  <c r="O92" i="1"/>
  <c r="O96" i="1"/>
  <c r="K104" i="1"/>
  <c r="K108" i="1"/>
  <c r="L83" i="1"/>
  <c r="N19" i="1"/>
  <c r="O93" i="1"/>
  <c r="O69" i="1"/>
  <c r="M41" i="1"/>
  <c r="L93" i="1"/>
  <c r="L69" i="1"/>
  <c r="N41" i="1"/>
  <c r="L29" i="1"/>
  <c r="M13" i="1"/>
  <c r="M8" i="1"/>
  <c r="K12" i="1"/>
  <c r="O16" i="1"/>
  <c r="L20" i="1"/>
  <c r="N24" i="1"/>
  <c r="M32" i="1"/>
  <c r="K36" i="1"/>
  <c r="O40" i="1"/>
  <c r="L44" i="1"/>
  <c r="L48" i="1"/>
  <c r="N56" i="1"/>
  <c r="M68" i="1"/>
  <c r="N72" i="1"/>
  <c r="M88" i="1"/>
  <c r="O84" i="1"/>
  <c r="L100" i="1"/>
  <c r="K99" i="1"/>
  <c r="O83" i="1"/>
  <c r="K63" i="1"/>
  <c r="O47" i="1"/>
  <c r="L31" i="1"/>
  <c r="N15" i="1"/>
  <c r="K74" i="1"/>
  <c r="O33" i="1"/>
  <c r="N21" i="1"/>
  <c r="N53" i="1"/>
  <c r="O107" i="1"/>
  <c r="L91" i="1"/>
  <c r="K71" i="1"/>
  <c r="L55" i="1"/>
  <c r="M39" i="1"/>
  <c r="N23" i="1"/>
  <c r="L94" i="1"/>
  <c r="M74" i="1"/>
  <c r="N42" i="1"/>
  <c r="L103" i="1"/>
  <c r="N83" i="1"/>
  <c r="L67" i="1"/>
  <c r="M51" i="1"/>
  <c r="K31" i="1"/>
  <c r="O15" i="1"/>
  <c r="N74" i="1"/>
  <c r="N57" i="1"/>
  <c r="K32" i="1"/>
  <c r="N113" i="1"/>
  <c r="L49" i="1"/>
  <c r="N109" i="1"/>
  <c r="K93" i="1"/>
  <c r="O81" i="1"/>
  <c r="K69" i="1"/>
  <c r="O57" i="1"/>
  <c r="L45" i="1"/>
  <c r="O100" i="1"/>
  <c r="K52" i="1"/>
  <c r="N60" i="1"/>
  <c r="N64" i="1"/>
  <c r="L72" i="1"/>
  <c r="M80" i="1"/>
  <c r="M84" i="1"/>
  <c r="L92" i="1"/>
  <c r="L96" i="1"/>
  <c r="N104" i="1"/>
  <c r="M112" i="1"/>
  <c r="N67" i="1"/>
  <c r="L113" i="1"/>
  <c r="N89" i="1"/>
  <c r="N61" i="1"/>
  <c r="L33" i="1"/>
  <c r="M113" i="1"/>
  <c r="K85" i="1"/>
  <c r="K61" i="1"/>
  <c r="K37" i="1"/>
  <c r="O25" i="1"/>
  <c r="L13" i="1"/>
  <c r="N8" i="1"/>
  <c r="M16" i="1"/>
  <c r="K20" i="1"/>
  <c r="O24" i="1"/>
  <c r="L28" i="1"/>
  <c r="N32" i="1"/>
  <c r="M36" i="1"/>
  <c r="K40" i="1"/>
  <c r="O44" i="1"/>
  <c r="O48" i="1"/>
  <c r="M56" i="1"/>
  <c r="L68" i="1"/>
  <c r="K80" i="1"/>
  <c r="K96" i="1"/>
  <c r="O104" i="1"/>
  <c r="M28" i="1"/>
  <c r="N28" i="1"/>
  <c r="N111" i="1"/>
  <c r="K95" i="1"/>
  <c r="L79" i="1"/>
  <c r="K59" i="1"/>
  <c r="O43" i="1"/>
  <c r="M27" i="1"/>
  <c r="N11" i="1"/>
  <c r="O94" i="1"/>
  <c r="M37" i="1"/>
  <c r="O20" i="1"/>
  <c r="M17" i="1"/>
  <c r="M33" i="1"/>
  <c r="M49" i="1"/>
  <c r="M65" i="1"/>
  <c r="O103" i="1"/>
  <c r="L87" i="1"/>
  <c r="O67" i="1"/>
  <c r="L51" i="1"/>
  <c r="M35" i="1"/>
  <c r="K15" i="1"/>
  <c r="K62" i="1"/>
  <c r="M57" i="1"/>
  <c r="M9" i="1"/>
  <c r="M95" i="1"/>
  <c r="N79" i="1"/>
  <c r="L63" i="1"/>
  <c r="N47" i="1"/>
  <c r="K27" i="1"/>
  <c r="O11" i="1"/>
  <c r="L62" i="1"/>
  <c r="M69" i="1"/>
  <c r="K110" i="1"/>
  <c r="O98" i="1"/>
  <c r="O82" i="1"/>
  <c r="N50" i="1"/>
  <c r="M46" i="1"/>
  <c r="M25" i="1"/>
  <c r="M52" i="1"/>
  <c r="N97" i="1"/>
  <c r="M105" i="1"/>
  <c r="N93" i="1"/>
  <c r="K77" i="1"/>
  <c r="N65" i="1"/>
  <c r="K53" i="1"/>
  <c r="O41" i="1"/>
  <c r="N92" i="1"/>
  <c r="K48" i="1"/>
  <c r="L56" i="1"/>
  <c r="L60" i="1"/>
  <c r="O68" i="1"/>
  <c r="O76" i="1"/>
  <c r="O80" i="1"/>
  <c r="K88" i="1"/>
  <c r="K92" i="1"/>
  <c r="N100" i="1"/>
  <c r="O108" i="1"/>
  <c r="O112" i="1"/>
  <c r="N51" i="1"/>
  <c r="K105" i="1"/>
  <c r="L81" i="1"/>
  <c r="L57" i="1"/>
  <c r="L17" i="1"/>
  <c r="O105" i="1"/>
  <c r="M81" i="1"/>
  <c r="M53" i="1"/>
  <c r="N33" i="1"/>
  <c r="K21" i="1"/>
  <c r="O9" i="1"/>
  <c r="O8" i="1"/>
  <c r="L12" i="1"/>
  <c r="N16" i="1"/>
  <c r="M20" i="1"/>
  <c r="K24" i="1"/>
  <c r="O28" i="1"/>
  <c r="L32" i="1"/>
  <c r="N36" i="1"/>
  <c r="M40" i="1"/>
  <c r="K44" i="1"/>
  <c r="L52" i="1"/>
  <c r="O60" i="1"/>
  <c r="O72" i="1"/>
  <c r="N80" i="1"/>
  <c r="N96" i="1"/>
  <c r="L104" i="1"/>
  <c r="L64" i="1"/>
  <c r="N107" i="1"/>
  <c r="O91" i="1"/>
  <c r="N75" i="1"/>
  <c r="K55" i="1"/>
  <c r="L39" i="1"/>
  <c r="M23" i="1"/>
  <c r="N7" i="1"/>
  <c r="M102" i="1"/>
  <c r="N62" i="1"/>
  <c r="M42" i="1"/>
  <c r="L77" i="1"/>
  <c r="L21" i="1"/>
  <c r="K13" i="1"/>
  <c r="K9" i="1"/>
  <c r="O13" i="1"/>
  <c r="O29" i="1"/>
  <c r="O45" i="1"/>
  <c r="O61" i="1"/>
  <c r="K81" i="1"/>
  <c r="O85" i="1"/>
  <c r="K113" i="1"/>
  <c r="O99" i="1"/>
  <c r="M79" i="1"/>
  <c r="O63" i="1"/>
  <c r="L47" i="1"/>
  <c r="N31" i="1"/>
  <c r="K11" i="1"/>
  <c r="N98" i="1"/>
  <c r="N82" i="1"/>
  <c r="L66" i="1"/>
  <c r="L50" i="1"/>
  <c r="O50" i="1"/>
  <c r="L34" i="1"/>
  <c r="L18" i="1"/>
  <c r="O73" i="1"/>
  <c r="N76" i="1"/>
  <c r="L111" i="1"/>
  <c r="M91" i="1"/>
  <c r="O75" i="1"/>
  <c r="M59" i="1"/>
  <c r="N43" i="1"/>
  <c r="K23" i="1"/>
  <c r="L7" i="1"/>
  <c r="N94" i="1"/>
  <c r="N78" i="1"/>
  <c r="L46" i="1"/>
  <c r="N85" i="1"/>
  <c r="O17" i="1"/>
  <c r="N9" i="1"/>
  <c r="L102" i="1"/>
  <c r="L86" i="1"/>
  <c r="O58" i="1"/>
  <c r="N34" i="1"/>
  <c r="M30" i="1"/>
  <c r="O26" i="1"/>
  <c r="K22" i="1"/>
  <c r="N18" i="1"/>
  <c r="M14" i="1"/>
  <c r="O10" i="1"/>
  <c r="K6" i="1"/>
  <c r="L108" i="11" l="1"/>
  <c r="AF108" i="11" s="1"/>
  <c r="M105" i="11"/>
  <c r="AG105" i="11" s="1"/>
  <c r="N111" i="11"/>
  <c r="AH111" i="11" s="1"/>
  <c r="M106" i="11"/>
  <c r="AG106" i="11" s="1"/>
  <c r="K106" i="11"/>
  <c r="R106" i="11" s="1"/>
  <c r="M111" i="11"/>
  <c r="AG111" i="11" s="1"/>
  <c r="W112" i="11"/>
  <c r="V112" i="11"/>
  <c r="AO13" i="9"/>
  <c r="BJ13" i="8"/>
  <c r="BS13" i="9"/>
  <c r="CH13" i="8"/>
  <c r="AT13" i="9"/>
  <c r="AQ95" i="9"/>
  <c r="BL95" i="8"/>
  <c r="CJ95" i="8"/>
  <c r="BU95" i="9"/>
  <c r="AV95" i="9"/>
  <c r="AM41" i="9"/>
  <c r="BQ41" i="9"/>
  <c r="BH41" i="8"/>
  <c r="CF41" i="8"/>
  <c r="AR41" i="9"/>
  <c r="BU101" i="9"/>
  <c r="AQ101" i="9"/>
  <c r="BL101" i="8"/>
  <c r="CJ101" i="8"/>
  <c r="AV101" i="9"/>
  <c r="AN27" i="9"/>
  <c r="BR27" i="9"/>
  <c r="BI27" i="8"/>
  <c r="CG27" i="8"/>
  <c r="AS27" i="9"/>
  <c r="AO55" i="9"/>
  <c r="BS55" i="9"/>
  <c r="BJ55" i="8"/>
  <c r="CH55" i="8"/>
  <c r="AT55" i="9"/>
  <c r="BR85" i="9"/>
  <c r="CG85" i="8"/>
  <c r="BI85" i="8"/>
  <c r="AN85" i="9"/>
  <c r="AS85" i="9"/>
  <c r="AO105" i="9"/>
  <c r="BS105" i="9"/>
  <c r="BJ105" i="8"/>
  <c r="CH105" i="8"/>
  <c r="AT105" i="9"/>
  <c r="AP44" i="9"/>
  <c r="BK44" i="8"/>
  <c r="CI44" i="8"/>
  <c r="BT44" i="9"/>
  <c r="AU44" i="9"/>
  <c r="AO114" i="9"/>
  <c r="BJ114" i="8"/>
  <c r="CH114" i="8"/>
  <c r="BS114" i="9"/>
  <c r="AT114" i="9"/>
  <c r="BT20" i="9"/>
  <c r="BK20" i="8"/>
  <c r="AP20" i="9"/>
  <c r="CI20" i="8"/>
  <c r="AU20" i="9"/>
  <c r="BQ82" i="9"/>
  <c r="BH82" i="8"/>
  <c r="AM82" i="9"/>
  <c r="CF82" i="8"/>
  <c r="AR82" i="9"/>
  <c r="AN75" i="9"/>
  <c r="BR75" i="9"/>
  <c r="BI75" i="8"/>
  <c r="CG75" i="8"/>
  <c r="AS75" i="9"/>
  <c r="AO20" i="9"/>
  <c r="BS20" i="9"/>
  <c r="BJ20" i="8"/>
  <c r="CH20" i="8"/>
  <c r="AT20" i="9"/>
  <c r="AN87" i="9"/>
  <c r="BI87" i="8"/>
  <c r="CG87" i="8"/>
  <c r="BR87" i="9"/>
  <c r="AS87" i="9"/>
  <c r="AP104" i="9"/>
  <c r="CI104" i="8"/>
  <c r="BT104" i="9"/>
  <c r="BK104" i="8"/>
  <c r="AU104" i="9"/>
  <c r="BU98" i="9"/>
  <c r="BL98" i="8"/>
  <c r="AQ98" i="9"/>
  <c r="CJ98" i="8"/>
  <c r="AV98" i="9"/>
  <c r="AP65" i="9"/>
  <c r="BT65" i="9"/>
  <c r="BK65" i="8"/>
  <c r="CI65" i="8"/>
  <c r="AU65" i="9"/>
  <c r="AN34" i="9"/>
  <c r="BI34" i="8"/>
  <c r="BR34" i="9"/>
  <c r="CG34" i="8"/>
  <c r="AS34" i="9"/>
  <c r="AM17" i="9"/>
  <c r="BQ17" i="9"/>
  <c r="BH17" i="8"/>
  <c r="CF17" i="8"/>
  <c r="AR17" i="9"/>
  <c r="AQ61" i="9"/>
  <c r="BU61" i="9"/>
  <c r="BL61" i="8"/>
  <c r="CJ61" i="8"/>
  <c r="AV61" i="9"/>
  <c r="AO66" i="9"/>
  <c r="BS66" i="9"/>
  <c r="BJ66" i="8"/>
  <c r="CH66" i="8"/>
  <c r="AT66" i="9"/>
  <c r="AM106" i="9"/>
  <c r="BH106" i="8"/>
  <c r="BQ106" i="9"/>
  <c r="CF106" i="8"/>
  <c r="AR106" i="9"/>
  <c r="AQ23" i="9"/>
  <c r="BU23" i="9"/>
  <c r="BL23" i="8"/>
  <c r="CJ23" i="8"/>
  <c r="AV23" i="9"/>
  <c r="AP74" i="9"/>
  <c r="BT74" i="9"/>
  <c r="BK74" i="8"/>
  <c r="CI74" i="8"/>
  <c r="AU74" i="9"/>
  <c r="AN52" i="9"/>
  <c r="BR52" i="9"/>
  <c r="BI52" i="8"/>
  <c r="CG52" i="8"/>
  <c r="AS52" i="9"/>
  <c r="AP110" i="9"/>
  <c r="BK110" i="8"/>
  <c r="BT110" i="9"/>
  <c r="CI110" i="8"/>
  <c r="AU110" i="9"/>
  <c r="AN20" i="9"/>
  <c r="BR20" i="9"/>
  <c r="BI20" i="8"/>
  <c r="CG20" i="8"/>
  <c r="AS20" i="9"/>
  <c r="AN69" i="9"/>
  <c r="BR69" i="9"/>
  <c r="BI69" i="8"/>
  <c r="CG69" i="8"/>
  <c r="AS69" i="9"/>
  <c r="AQ44" i="9"/>
  <c r="BU44" i="9"/>
  <c r="BL44" i="8"/>
  <c r="CJ44" i="8"/>
  <c r="AV44" i="9"/>
  <c r="AM46" i="9"/>
  <c r="BQ46" i="9"/>
  <c r="BH46" i="8"/>
  <c r="CF46" i="8"/>
  <c r="AR46" i="9"/>
  <c r="AO11" i="9"/>
  <c r="BS11" i="9"/>
  <c r="BJ11" i="8"/>
  <c r="CH11" i="8"/>
  <c r="AT11" i="9"/>
  <c r="AM14" i="9"/>
  <c r="BQ14" i="9"/>
  <c r="BH14" i="8"/>
  <c r="CF14" i="8"/>
  <c r="AR14" i="9"/>
  <c r="AM87" i="9"/>
  <c r="BH87" i="8"/>
  <c r="CF87" i="8"/>
  <c r="BQ87" i="9"/>
  <c r="AR87" i="9"/>
  <c r="AP15" i="9"/>
  <c r="BT15" i="9"/>
  <c r="BK15" i="8"/>
  <c r="CI15" i="8"/>
  <c r="AU15" i="9"/>
  <c r="BT95" i="9"/>
  <c r="AP95" i="9"/>
  <c r="BK95" i="8"/>
  <c r="CI95" i="8"/>
  <c r="AU95" i="9"/>
  <c r="BR92" i="9"/>
  <c r="AN92" i="9"/>
  <c r="BI92" i="8"/>
  <c r="CG92" i="8"/>
  <c r="AS92" i="9"/>
  <c r="AQ64" i="9"/>
  <c r="BL64" i="8"/>
  <c r="BU64" i="9"/>
  <c r="CJ64" i="8"/>
  <c r="AV64" i="9"/>
  <c r="AO22" i="9"/>
  <c r="BS22" i="9"/>
  <c r="BJ22" i="8"/>
  <c r="CH22" i="8"/>
  <c r="AT22" i="9"/>
  <c r="AM105" i="9"/>
  <c r="BQ105" i="9"/>
  <c r="BH105" i="8"/>
  <c r="CF105" i="8"/>
  <c r="AR105" i="9"/>
  <c r="AN105" i="9"/>
  <c r="BR105" i="9"/>
  <c r="BI105" i="8"/>
  <c r="CG105" i="8"/>
  <c r="AS105" i="9"/>
  <c r="AM18" i="9"/>
  <c r="BQ18" i="9"/>
  <c r="CF18" i="8"/>
  <c r="BH18" i="8"/>
  <c r="AR18" i="9"/>
  <c r="AP103" i="9"/>
  <c r="BT103" i="9"/>
  <c r="BK103" i="8"/>
  <c r="CI103" i="8"/>
  <c r="AU103" i="9"/>
  <c r="AP23" i="9"/>
  <c r="BT23" i="9"/>
  <c r="BK23" i="8"/>
  <c r="CI23" i="8"/>
  <c r="AU23" i="9"/>
  <c r="AN120" i="9"/>
  <c r="BI120" i="8"/>
  <c r="BR120" i="9"/>
  <c r="CG120" i="8"/>
  <c r="AS120" i="9"/>
  <c r="AQ107" i="9"/>
  <c r="CJ107" i="8"/>
  <c r="BL107" i="8"/>
  <c r="BU107" i="9"/>
  <c r="AV107" i="9"/>
  <c r="AM64" i="9"/>
  <c r="BQ64" i="9"/>
  <c r="BH64" i="8"/>
  <c r="CF64" i="8"/>
  <c r="AR64" i="9"/>
  <c r="AO36" i="9"/>
  <c r="BS36" i="9"/>
  <c r="BJ36" i="8"/>
  <c r="CH36" i="8"/>
  <c r="AT36" i="9"/>
  <c r="BK102" i="8"/>
  <c r="BT102" i="9"/>
  <c r="AP102" i="9"/>
  <c r="CI102" i="8"/>
  <c r="AU102" i="9"/>
  <c r="AN41" i="9"/>
  <c r="BR41" i="9"/>
  <c r="BI41" i="8"/>
  <c r="CG41" i="8"/>
  <c r="AS41" i="9"/>
  <c r="AN29" i="9"/>
  <c r="BR29" i="9"/>
  <c r="CG29" i="8"/>
  <c r="BI29" i="8"/>
  <c r="AS29" i="9"/>
  <c r="AP54" i="9"/>
  <c r="BT54" i="9"/>
  <c r="BK54" i="8"/>
  <c r="CI54" i="8"/>
  <c r="AU54" i="9"/>
  <c r="AN42" i="9"/>
  <c r="BI42" i="8"/>
  <c r="BR42" i="9"/>
  <c r="CG42" i="8"/>
  <c r="AS42" i="9"/>
  <c r="AM47" i="9"/>
  <c r="BH47" i="8"/>
  <c r="BQ47" i="9"/>
  <c r="CF47" i="8"/>
  <c r="AR47" i="9"/>
  <c r="AO60" i="9"/>
  <c r="BS60" i="9"/>
  <c r="BJ60" i="8"/>
  <c r="CH60" i="8"/>
  <c r="AT60" i="9"/>
  <c r="AP71" i="9"/>
  <c r="BT71" i="9"/>
  <c r="CI71" i="8"/>
  <c r="BK71" i="8"/>
  <c r="AU71" i="9"/>
  <c r="AQ21" i="9"/>
  <c r="BU21" i="9"/>
  <c r="BL21" i="8"/>
  <c r="CJ21" i="8"/>
  <c r="AV21" i="9"/>
  <c r="AM73" i="9"/>
  <c r="BQ73" i="9"/>
  <c r="BH73" i="8"/>
  <c r="CF73" i="8"/>
  <c r="AR73" i="9"/>
  <c r="AM68" i="9"/>
  <c r="BH68" i="8"/>
  <c r="CF68" i="8"/>
  <c r="BQ68" i="9"/>
  <c r="AR68" i="9"/>
  <c r="M113" i="11"/>
  <c r="AG113" i="11" s="1"/>
  <c r="X112" i="11"/>
  <c r="K112" i="11"/>
  <c r="R112" i="11" s="1"/>
  <c r="K114" i="11"/>
  <c r="R114" i="11" s="1"/>
  <c r="O111" i="11"/>
  <c r="V111" i="11" s="1"/>
  <c r="K110" i="11"/>
  <c r="R110" i="11" s="1"/>
  <c r="Y112" i="11"/>
  <c r="AO14" i="9"/>
  <c r="BS14" i="9"/>
  <c r="BJ14" i="8"/>
  <c r="CH14" i="8"/>
  <c r="AT14" i="9"/>
  <c r="AQ19" i="9"/>
  <c r="BU19" i="9"/>
  <c r="BL19" i="8"/>
  <c r="CJ19" i="8"/>
  <c r="AV19" i="9"/>
  <c r="AO54" i="9"/>
  <c r="BS54" i="9"/>
  <c r="BJ54" i="8"/>
  <c r="CH54" i="8"/>
  <c r="AT54" i="9"/>
  <c r="AO108" i="9"/>
  <c r="BS108" i="9"/>
  <c r="BJ108" i="8"/>
  <c r="CH108" i="8"/>
  <c r="AT108" i="9"/>
  <c r="AQ12" i="9"/>
  <c r="BU12" i="9"/>
  <c r="BL12" i="8"/>
  <c r="CJ12" i="8"/>
  <c r="AV12" i="9"/>
  <c r="AN23" i="9"/>
  <c r="BI23" i="8"/>
  <c r="CG23" i="8"/>
  <c r="BR23" i="9"/>
  <c r="AS23" i="9"/>
  <c r="AM42" i="9"/>
  <c r="BQ42" i="9"/>
  <c r="CF42" i="8"/>
  <c r="BH42" i="8"/>
  <c r="AR42" i="9"/>
  <c r="AM55" i="9"/>
  <c r="BH55" i="8"/>
  <c r="BQ55" i="9"/>
  <c r="CF55" i="8"/>
  <c r="AR55" i="9"/>
  <c r="AP16" i="9"/>
  <c r="BK16" i="8"/>
  <c r="BT16" i="9"/>
  <c r="CI16" i="8"/>
  <c r="AU16" i="9"/>
  <c r="AN12" i="9"/>
  <c r="BR12" i="9"/>
  <c r="BI12" i="8"/>
  <c r="CG12" i="8"/>
  <c r="AS12" i="9"/>
  <c r="BT83" i="9"/>
  <c r="AP83" i="9"/>
  <c r="CI83" i="8"/>
  <c r="BK83" i="8"/>
  <c r="AU83" i="9"/>
  <c r="AO110" i="9"/>
  <c r="BS110" i="9"/>
  <c r="CH110" i="8"/>
  <c r="BJ110" i="8"/>
  <c r="AT110" i="9"/>
  <c r="AN32" i="9"/>
  <c r="BR32" i="9"/>
  <c r="BI32" i="8"/>
  <c r="CG32" i="8"/>
  <c r="AS32" i="9"/>
  <c r="AM20" i="9"/>
  <c r="BQ20" i="9"/>
  <c r="BH20" i="8"/>
  <c r="CF20" i="8"/>
  <c r="AR20" i="9"/>
  <c r="AM72" i="9"/>
  <c r="BQ72" i="9"/>
  <c r="BH72" i="8"/>
  <c r="CF72" i="8"/>
  <c r="AR72" i="9"/>
  <c r="BL110" i="8"/>
  <c r="AQ110" i="9"/>
  <c r="BU110" i="9"/>
  <c r="CJ110" i="8"/>
  <c r="AV110" i="9"/>
  <c r="AP59" i="9"/>
  <c r="BT59" i="9"/>
  <c r="BK59" i="8"/>
  <c r="CI59" i="8"/>
  <c r="AU59" i="9"/>
  <c r="AP40" i="9"/>
  <c r="BK40" i="8"/>
  <c r="CI40" i="8"/>
  <c r="BT40" i="9"/>
  <c r="AU40" i="9"/>
  <c r="AN79" i="9"/>
  <c r="BR79" i="9"/>
  <c r="BI79" i="8"/>
  <c r="CG79" i="8"/>
  <c r="AS79" i="9"/>
  <c r="AM36" i="9"/>
  <c r="BH36" i="8"/>
  <c r="BQ36" i="9"/>
  <c r="CF36" i="8"/>
  <c r="AR36" i="9"/>
  <c r="BS95" i="9"/>
  <c r="AO95" i="9"/>
  <c r="BJ95" i="8"/>
  <c r="CH95" i="8"/>
  <c r="AT95" i="9"/>
  <c r="AM53" i="9"/>
  <c r="BQ53" i="9"/>
  <c r="BH53" i="8"/>
  <c r="CF53" i="8"/>
  <c r="AR53" i="9"/>
  <c r="AM24" i="9"/>
  <c r="BQ24" i="9"/>
  <c r="BH24" i="8"/>
  <c r="CF24" i="8"/>
  <c r="AR24" i="9"/>
  <c r="AN53" i="9"/>
  <c r="BR53" i="9"/>
  <c r="BI53" i="8"/>
  <c r="CG53" i="8"/>
  <c r="AS53" i="9"/>
  <c r="AN77" i="9"/>
  <c r="BR77" i="9"/>
  <c r="CG77" i="8"/>
  <c r="BI77" i="8"/>
  <c r="AS77" i="9"/>
  <c r="BT90" i="9"/>
  <c r="AP90" i="9"/>
  <c r="BK90" i="8"/>
  <c r="CI90" i="8"/>
  <c r="AU90" i="9"/>
  <c r="BT87" i="9"/>
  <c r="AP87" i="9"/>
  <c r="BK87" i="8"/>
  <c r="CI87" i="8"/>
  <c r="AU87" i="9"/>
  <c r="AN19" i="9"/>
  <c r="BR19" i="9"/>
  <c r="BI19" i="8"/>
  <c r="CG19" i="8"/>
  <c r="AS19" i="9"/>
  <c r="AP107" i="9"/>
  <c r="BK107" i="8"/>
  <c r="BT107" i="9"/>
  <c r="CI107" i="8"/>
  <c r="AU107" i="9"/>
  <c r="AO68" i="9"/>
  <c r="BS68" i="9"/>
  <c r="CH68" i="8"/>
  <c r="BJ68" i="8"/>
  <c r="AT68" i="9"/>
  <c r="AO16" i="9"/>
  <c r="BS16" i="9"/>
  <c r="CH16" i="8"/>
  <c r="BJ16" i="8"/>
  <c r="AT16" i="9"/>
  <c r="BT96" i="9"/>
  <c r="BK96" i="8"/>
  <c r="CI96" i="8"/>
  <c r="AP96" i="9"/>
  <c r="AU96" i="9"/>
  <c r="AN117" i="9"/>
  <c r="BI117" i="8"/>
  <c r="BR117" i="9"/>
  <c r="CG117" i="8"/>
  <c r="AS117" i="9"/>
  <c r="AO28" i="9"/>
  <c r="BS28" i="9"/>
  <c r="BJ28" i="8"/>
  <c r="CH28" i="8"/>
  <c r="AT28" i="9"/>
  <c r="AP32" i="9"/>
  <c r="BT32" i="9"/>
  <c r="BK32" i="8"/>
  <c r="CI32" i="8"/>
  <c r="AU32" i="9"/>
  <c r="AO32" i="9"/>
  <c r="BS32" i="9"/>
  <c r="CH32" i="8"/>
  <c r="BJ32" i="8"/>
  <c r="AT32" i="9"/>
  <c r="AO42" i="9"/>
  <c r="BJ42" i="8"/>
  <c r="CH42" i="8"/>
  <c r="BS42" i="9"/>
  <c r="AT42" i="9"/>
  <c r="AM67" i="9"/>
  <c r="BQ67" i="9"/>
  <c r="BH67" i="8"/>
  <c r="CF67" i="8"/>
  <c r="AR67" i="9"/>
  <c r="AM28" i="9"/>
  <c r="BQ28" i="9"/>
  <c r="BH28" i="8"/>
  <c r="CF28" i="8"/>
  <c r="AR28" i="9"/>
  <c r="BS87" i="9"/>
  <c r="AO87" i="9"/>
  <c r="BJ87" i="8"/>
  <c r="CH87" i="8"/>
  <c r="AT87" i="9"/>
  <c r="AM65" i="9"/>
  <c r="BQ65" i="9"/>
  <c r="BH65" i="8"/>
  <c r="CF65" i="8"/>
  <c r="AR65" i="9"/>
  <c r="BL97" i="8"/>
  <c r="BU97" i="9"/>
  <c r="AQ97" i="9"/>
  <c r="CJ97" i="8"/>
  <c r="AV97" i="9"/>
  <c r="AN104" i="9"/>
  <c r="BI104" i="8"/>
  <c r="BR104" i="9"/>
  <c r="CG104" i="8"/>
  <c r="AS104" i="9"/>
  <c r="AP66" i="9"/>
  <c r="BT66" i="9"/>
  <c r="BK66" i="8"/>
  <c r="CI66" i="8"/>
  <c r="AU66" i="9"/>
  <c r="AM40" i="9"/>
  <c r="BQ40" i="9"/>
  <c r="BH40" i="8"/>
  <c r="CF40" i="8"/>
  <c r="AR40" i="9"/>
  <c r="AO46" i="9"/>
  <c r="BS46" i="9"/>
  <c r="BJ46" i="8"/>
  <c r="CH46" i="8"/>
  <c r="AT46" i="9"/>
  <c r="AP79" i="9"/>
  <c r="BT79" i="9"/>
  <c r="BK79" i="8"/>
  <c r="CI79" i="8"/>
  <c r="AU79" i="9"/>
  <c r="AO15" i="9"/>
  <c r="BS15" i="9"/>
  <c r="BJ15" i="8"/>
  <c r="CH15" i="8"/>
  <c r="AT15" i="9"/>
  <c r="AN106" i="9"/>
  <c r="CG106" i="8"/>
  <c r="BR106" i="9"/>
  <c r="BI106" i="8"/>
  <c r="AS106" i="9"/>
  <c r="AP56" i="9"/>
  <c r="BK56" i="8"/>
  <c r="BT56" i="9"/>
  <c r="CI56" i="8"/>
  <c r="AU56" i="9"/>
  <c r="AP53" i="9"/>
  <c r="BT53" i="9"/>
  <c r="BK53" i="8"/>
  <c r="CI53" i="8"/>
  <c r="AU53" i="9"/>
  <c r="AM56" i="9"/>
  <c r="BQ56" i="9"/>
  <c r="BH56" i="8"/>
  <c r="CF56" i="8"/>
  <c r="AR56" i="9"/>
  <c r="BQ86" i="9"/>
  <c r="AM86" i="9"/>
  <c r="CF86" i="8"/>
  <c r="BH86" i="8"/>
  <c r="AR86" i="9"/>
  <c r="AO81" i="9"/>
  <c r="BS81" i="9"/>
  <c r="BJ81" i="8"/>
  <c r="CH81" i="8"/>
  <c r="AT81" i="9"/>
  <c r="AO49" i="9"/>
  <c r="BS49" i="9"/>
  <c r="BJ49" i="8"/>
  <c r="CH49" i="8"/>
  <c r="AT49" i="9"/>
  <c r="AN78" i="9"/>
  <c r="BI78" i="8"/>
  <c r="BR78" i="9"/>
  <c r="CG78" i="8"/>
  <c r="AS78" i="9"/>
  <c r="AM66" i="9"/>
  <c r="BQ66" i="9"/>
  <c r="BH66" i="8"/>
  <c r="CF66" i="8"/>
  <c r="AR66" i="9"/>
  <c r="BL39" i="8"/>
  <c r="AQ39" i="9"/>
  <c r="BU39" i="9"/>
  <c r="CJ39" i="8"/>
  <c r="AV39" i="9"/>
  <c r="BR100" i="9"/>
  <c r="AN100" i="9"/>
  <c r="BI100" i="8"/>
  <c r="CG100" i="8"/>
  <c r="AS100" i="9"/>
  <c r="AQ63" i="9"/>
  <c r="BL63" i="8"/>
  <c r="BU63" i="9"/>
  <c r="CJ63" i="8"/>
  <c r="AV63" i="9"/>
  <c r="AQ78" i="9"/>
  <c r="BU78" i="9"/>
  <c r="BL78" i="8"/>
  <c r="CJ78" i="8"/>
  <c r="AV78" i="9"/>
  <c r="AO93" i="9"/>
  <c r="BJ93" i="8"/>
  <c r="CH93" i="8"/>
  <c r="BS93" i="9"/>
  <c r="AT93" i="9"/>
  <c r="AM99" i="9"/>
  <c r="BH99" i="8"/>
  <c r="CF99" i="8"/>
  <c r="BQ99" i="9"/>
  <c r="AR99" i="9"/>
  <c r="T112" i="11"/>
  <c r="T114" i="11"/>
  <c r="L109" i="11"/>
  <c r="AF109" i="11" s="1"/>
  <c r="S110" i="11"/>
  <c r="O109" i="11"/>
  <c r="V109" i="11" s="1"/>
  <c r="N106" i="11"/>
  <c r="AH106" i="11" s="1"/>
  <c r="L110" i="11"/>
  <c r="AF110" i="11" s="1"/>
  <c r="M107" i="11"/>
  <c r="AG107" i="11" s="1"/>
  <c r="N112" i="11"/>
  <c r="AH112" i="11" s="1"/>
  <c r="K113" i="11"/>
  <c r="AE113" i="11" s="1"/>
  <c r="AP64" i="9"/>
  <c r="BK64" i="8"/>
  <c r="BT64" i="9"/>
  <c r="CI64" i="8"/>
  <c r="AU64" i="9"/>
  <c r="BR99" i="9"/>
  <c r="AN99" i="9"/>
  <c r="BI99" i="8"/>
  <c r="CG99" i="8"/>
  <c r="AS99" i="9"/>
  <c r="BI101" i="8"/>
  <c r="BR101" i="9"/>
  <c r="CG101" i="8"/>
  <c r="AN101" i="9"/>
  <c r="AS101" i="9"/>
  <c r="AM31" i="9"/>
  <c r="BH31" i="8"/>
  <c r="BQ31" i="9"/>
  <c r="CF31" i="8"/>
  <c r="AR31" i="9"/>
  <c r="AP45" i="9"/>
  <c r="BT45" i="9"/>
  <c r="BK45" i="8"/>
  <c r="CI45" i="8"/>
  <c r="AU45" i="9"/>
  <c r="CH101" i="8"/>
  <c r="BS101" i="9"/>
  <c r="AO101" i="9"/>
  <c r="BJ101" i="8"/>
  <c r="AT101" i="9"/>
  <c r="AM110" i="9"/>
  <c r="BQ110" i="9"/>
  <c r="BH110" i="8"/>
  <c r="CF110" i="8"/>
  <c r="AR110" i="9"/>
  <c r="AQ47" i="9"/>
  <c r="BL47" i="8"/>
  <c r="BU47" i="9"/>
  <c r="CJ47" i="8"/>
  <c r="AV47" i="9"/>
  <c r="AO98" i="9"/>
  <c r="BJ98" i="8"/>
  <c r="CH98" i="8"/>
  <c r="BS98" i="9"/>
  <c r="AT98" i="9"/>
  <c r="AQ62" i="9"/>
  <c r="BU62" i="9"/>
  <c r="CJ62" i="8"/>
  <c r="BL62" i="8"/>
  <c r="AV62" i="9"/>
  <c r="AP51" i="9"/>
  <c r="BT51" i="9"/>
  <c r="CI51" i="8"/>
  <c r="BK51" i="8"/>
  <c r="AU51" i="9"/>
  <c r="AQ26" i="9"/>
  <c r="BU26" i="9"/>
  <c r="BL26" i="8"/>
  <c r="CJ26" i="8"/>
  <c r="AV26" i="9"/>
  <c r="BR83" i="9"/>
  <c r="AN83" i="9"/>
  <c r="BI83" i="8"/>
  <c r="CG83" i="8"/>
  <c r="AS83" i="9"/>
  <c r="AM19" i="9"/>
  <c r="BH19" i="8"/>
  <c r="BQ19" i="9"/>
  <c r="CF19" i="8"/>
  <c r="AR19" i="9"/>
  <c r="AP77" i="9"/>
  <c r="BK77" i="8"/>
  <c r="BT77" i="9"/>
  <c r="CI77" i="8"/>
  <c r="AU77" i="9"/>
  <c r="AO78" i="9"/>
  <c r="BS78" i="9"/>
  <c r="BJ78" i="8"/>
  <c r="CH78" i="8"/>
  <c r="AT78" i="9"/>
  <c r="AP17" i="9"/>
  <c r="BT17" i="9"/>
  <c r="BK17" i="8"/>
  <c r="CI17" i="8"/>
  <c r="AU17" i="9"/>
  <c r="AQ72" i="9"/>
  <c r="BL72" i="8"/>
  <c r="BU72" i="9"/>
  <c r="CJ72" i="8"/>
  <c r="AV72" i="9"/>
  <c r="AQ49" i="9"/>
  <c r="BU49" i="9"/>
  <c r="BL49" i="8"/>
  <c r="CJ49" i="8"/>
  <c r="AV49" i="9"/>
  <c r="AO26" i="9"/>
  <c r="BJ26" i="8"/>
  <c r="BS26" i="9"/>
  <c r="CH26" i="8"/>
  <c r="AT26" i="9"/>
  <c r="AQ51" i="9"/>
  <c r="BL51" i="8"/>
  <c r="BU51" i="9"/>
  <c r="CJ51" i="8"/>
  <c r="AV51" i="9"/>
  <c r="AN76" i="9"/>
  <c r="BR76" i="9"/>
  <c r="BI76" i="8"/>
  <c r="CG76" i="8"/>
  <c r="AS76" i="9"/>
  <c r="AM71" i="9"/>
  <c r="BQ71" i="9"/>
  <c r="BH71" i="8"/>
  <c r="CF71" i="8"/>
  <c r="AR71" i="9"/>
  <c r="AM32" i="9"/>
  <c r="BQ32" i="9"/>
  <c r="BH32" i="8"/>
  <c r="CF32" i="8"/>
  <c r="AR32" i="9"/>
  <c r="AN39" i="9"/>
  <c r="BI39" i="8"/>
  <c r="BR39" i="9"/>
  <c r="CG39" i="8"/>
  <c r="AS39" i="9"/>
  <c r="AQ24" i="9"/>
  <c r="BL24" i="8"/>
  <c r="BU24" i="9"/>
  <c r="CJ24" i="8"/>
  <c r="AV24" i="9"/>
  <c r="AO64" i="9"/>
  <c r="BS64" i="9"/>
  <c r="CH64" i="8"/>
  <c r="BJ64" i="8"/>
  <c r="AT64" i="9"/>
  <c r="BU93" i="9"/>
  <c r="AQ93" i="9"/>
  <c r="BL93" i="8"/>
  <c r="CJ93" i="8"/>
  <c r="AV93" i="9"/>
  <c r="BQ97" i="9"/>
  <c r="AM97" i="9"/>
  <c r="BH97" i="8"/>
  <c r="CF97" i="8"/>
  <c r="AR97" i="9"/>
  <c r="AP38" i="9"/>
  <c r="BT38" i="9"/>
  <c r="BK38" i="8"/>
  <c r="CI38" i="8"/>
  <c r="AU38" i="9"/>
  <c r="AO75" i="9"/>
  <c r="BS75" i="9"/>
  <c r="BJ75" i="8"/>
  <c r="CH75" i="8"/>
  <c r="AT75" i="9"/>
  <c r="AP24" i="9"/>
  <c r="BK24" i="8"/>
  <c r="BT24" i="9"/>
  <c r="CI24" i="8"/>
  <c r="AU24" i="9"/>
  <c r="CJ99" i="8"/>
  <c r="AQ99" i="9"/>
  <c r="BL99" i="8"/>
  <c r="BU99" i="9"/>
  <c r="AV99" i="9"/>
  <c r="AQ88" i="9"/>
  <c r="BL88" i="8"/>
  <c r="CJ88" i="8"/>
  <c r="BU88" i="9"/>
  <c r="AV88" i="9"/>
  <c r="BT98" i="9"/>
  <c r="AP98" i="9"/>
  <c r="BK98" i="8"/>
  <c r="CI98" i="8"/>
  <c r="AU98" i="9"/>
  <c r="AQ83" i="9"/>
  <c r="BU83" i="9"/>
  <c r="BL83" i="8"/>
  <c r="CJ83" i="8"/>
  <c r="AV83" i="9"/>
  <c r="AP106" i="9"/>
  <c r="BT106" i="9"/>
  <c r="BK106" i="8"/>
  <c r="CI106" i="8"/>
  <c r="AU106" i="9"/>
  <c r="AO29" i="9"/>
  <c r="BJ29" i="8"/>
  <c r="BS29" i="9"/>
  <c r="CH29" i="8"/>
  <c r="AT29" i="9"/>
  <c r="AQ96" i="9"/>
  <c r="BU96" i="9"/>
  <c r="BL96" i="8"/>
  <c r="CJ96" i="8"/>
  <c r="AV96" i="9"/>
  <c r="BQ96" i="9"/>
  <c r="AM96" i="9"/>
  <c r="BH96" i="8"/>
  <c r="CF96" i="8"/>
  <c r="AR96" i="9"/>
  <c r="AQ66" i="9"/>
  <c r="BU66" i="9"/>
  <c r="BL66" i="8"/>
  <c r="CJ66" i="8"/>
  <c r="AV66" i="9"/>
  <c r="AQ55" i="9"/>
  <c r="BU55" i="9"/>
  <c r="BL55" i="8"/>
  <c r="CJ55" i="8"/>
  <c r="AV55" i="9"/>
  <c r="AP48" i="9"/>
  <c r="BK48" i="8"/>
  <c r="BT48" i="9"/>
  <c r="CI48" i="8"/>
  <c r="AU48" i="9"/>
  <c r="AM75" i="9"/>
  <c r="BQ75" i="9"/>
  <c r="BH75" i="8"/>
  <c r="CF75" i="8"/>
  <c r="AR75" i="9"/>
  <c r="AO45" i="9"/>
  <c r="BS45" i="9"/>
  <c r="BJ45" i="8"/>
  <c r="CH45" i="8"/>
  <c r="AT45" i="9"/>
  <c r="AQ11" i="9"/>
  <c r="BU11" i="9"/>
  <c r="BL11" i="8"/>
  <c r="CJ11" i="8"/>
  <c r="AV11" i="9"/>
  <c r="AP36" i="9"/>
  <c r="BT36" i="9"/>
  <c r="BK36" i="8"/>
  <c r="CI36" i="8"/>
  <c r="AU36" i="9"/>
  <c r="AQ40" i="9"/>
  <c r="BU40" i="9"/>
  <c r="BL40" i="8"/>
  <c r="CJ40" i="8"/>
  <c r="AV40" i="9"/>
  <c r="AO97" i="9"/>
  <c r="BS97" i="9"/>
  <c r="CH97" i="8"/>
  <c r="BJ97" i="8"/>
  <c r="AT97" i="9"/>
  <c r="AQ70" i="9"/>
  <c r="BU70" i="9"/>
  <c r="BL70" i="8"/>
  <c r="CJ70" i="8"/>
  <c r="AV70" i="9"/>
  <c r="AQ67" i="9"/>
  <c r="BL67" i="8"/>
  <c r="BU67" i="9"/>
  <c r="CJ67" i="8"/>
  <c r="AV67" i="9"/>
  <c r="AM12" i="9"/>
  <c r="BH12" i="8"/>
  <c r="BQ12" i="9"/>
  <c r="CF12" i="8"/>
  <c r="AR12" i="9"/>
  <c r="AQ103" i="9"/>
  <c r="BL103" i="8"/>
  <c r="CJ103" i="8"/>
  <c r="BU103" i="9"/>
  <c r="AV103" i="9"/>
  <c r="AM76" i="9"/>
  <c r="BH76" i="8"/>
  <c r="BQ76" i="9"/>
  <c r="CF76" i="8"/>
  <c r="AR76" i="9"/>
  <c r="AM30" i="9"/>
  <c r="BQ30" i="9"/>
  <c r="BH30" i="8"/>
  <c r="CF30" i="8"/>
  <c r="AR30" i="9"/>
  <c r="AQ120" i="9"/>
  <c r="BL120" i="8"/>
  <c r="CJ120" i="8"/>
  <c r="BU120" i="9"/>
  <c r="AV120" i="9"/>
  <c r="AP70" i="9"/>
  <c r="BT70" i="9"/>
  <c r="BK70" i="8"/>
  <c r="CI70" i="8"/>
  <c r="AU70" i="9"/>
  <c r="AP11" i="9"/>
  <c r="BT11" i="9"/>
  <c r="BK11" i="8"/>
  <c r="CI11" i="8"/>
  <c r="AU11" i="9"/>
  <c r="AP69" i="9"/>
  <c r="BK69" i="8"/>
  <c r="CI69" i="8"/>
  <c r="BT69" i="9"/>
  <c r="AU69" i="9"/>
  <c r="BS102" i="9"/>
  <c r="AO102" i="9"/>
  <c r="CH102" i="8"/>
  <c r="BJ102" i="8"/>
  <c r="AT102" i="9"/>
  <c r="BU94" i="9"/>
  <c r="AQ94" i="9"/>
  <c r="CJ94" i="8"/>
  <c r="BL94" i="8"/>
  <c r="AV94" i="9"/>
  <c r="AN35" i="9"/>
  <c r="BR35" i="9"/>
  <c r="BI35" i="8"/>
  <c r="CG35" i="8"/>
  <c r="AS35" i="9"/>
  <c r="AO48" i="9"/>
  <c r="BS48" i="9"/>
  <c r="CH48" i="8"/>
  <c r="BJ48" i="8"/>
  <c r="AT48" i="9"/>
  <c r="AM60" i="9"/>
  <c r="BH60" i="8"/>
  <c r="BQ60" i="9"/>
  <c r="CF60" i="8"/>
  <c r="AR60" i="9"/>
  <c r="AO38" i="9"/>
  <c r="BS38" i="9"/>
  <c r="BJ38" i="8"/>
  <c r="CH38" i="8"/>
  <c r="AT38" i="9"/>
  <c r="AQ60" i="9"/>
  <c r="BU60" i="9"/>
  <c r="BL60" i="8"/>
  <c r="CJ60" i="8"/>
  <c r="AV60" i="9"/>
  <c r="AN63" i="9"/>
  <c r="BI63" i="8"/>
  <c r="BR63" i="9"/>
  <c r="CG63" i="8"/>
  <c r="AS63" i="9"/>
  <c r="Q106" i="11"/>
  <c r="AE106" i="11"/>
  <c r="S114" i="11"/>
  <c r="T113" i="11"/>
  <c r="AN58" i="9"/>
  <c r="BR58" i="9"/>
  <c r="BI58" i="8"/>
  <c r="CG58" i="8"/>
  <c r="AS58" i="9"/>
  <c r="AO77" i="9"/>
  <c r="BJ77" i="8"/>
  <c r="BS77" i="9"/>
  <c r="CH77" i="8"/>
  <c r="AT77" i="9"/>
  <c r="BT82" i="9"/>
  <c r="AP82" i="9"/>
  <c r="BK82" i="8"/>
  <c r="CI82" i="8"/>
  <c r="AU82" i="9"/>
  <c r="AP101" i="9"/>
  <c r="BK101" i="8"/>
  <c r="CI101" i="8"/>
  <c r="BT101" i="9"/>
  <c r="AU101" i="9"/>
  <c r="AN103" i="9"/>
  <c r="BI103" i="8"/>
  <c r="CG103" i="8"/>
  <c r="BR103" i="9"/>
  <c r="AS103" i="9"/>
  <c r="BU90" i="9"/>
  <c r="AQ90" i="9"/>
  <c r="BL90" i="8"/>
  <c r="CJ90" i="8"/>
  <c r="AV90" i="9"/>
  <c r="AP18" i="9"/>
  <c r="BT18" i="9"/>
  <c r="BK18" i="8"/>
  <c r="CI18" i="8"/>
  <c r="AU18" i="9"/>
  <c r="AM33" i="9"/>
  <c r="BQ33" i="9"/>
  <c r="BH33" i="8"/>
  <c r="CF33" i="8"/>
  <c r="AR33" i="9"/>
  <c r="AP62" i="9"/>
  <c r="BT62" i="9"/>
  <c r="BK62" i="8"/>
  <c r="CI62" i="8"/>
  <c r="AU62" i="9"/>
  <c r="AQ57" i="9"/>
  <c r="BU57" i="9"/>
  <c r="BL57" i="8"/>
  <c r="CJ57" i="8"/>
  <c r="AV57" i="9"/>
  <c r="AO17" i="9"/>
  <c r="BS17" i="9"/>
  <c r="BJ17" i="8"/>
  <c r="CH17" i="8"/>
  <c r="AT17" i="9"/>
  <c r="AM34" i="9"/>
  <c r="BQ34" i="9"/>
  <c r="BH34" i="8"/>
  <c r="CF34" i="8"/>
  <c r="AR34" i="9"/>
  <c r="AQ50" i="9"/>
  <c r="BU50" i="9"/>
  <c r="CJ50" i="8"/>
  <c r="BL50" i="8"/>
  <c r="AV50" i="9"/>
  <c r="AN43" i="9"/>
  <c r="BR43" i="9"/>
  <c r="BI43" i="8"/>
  <c r="CG43" i="8"/>
  <c r="AS43" i="9"/>
  <c r="AN64" i="9"/>
  <c r="BR64" i="9"/>
  <c r="BI64" i="8"/>
  <c r="CG64" i="8"/>
  <c r="AS64" i="9"/>
  <c r="AM59" i="9"/>
  <c r="BQ59" i="9"/>
  <c r="BH59" i="8"/>
  <c r="CF59" i="8"/>
  <c r="AR59" i="9"/>
  <c r="AO89" i="9"/>
  <c r="BJ89" i="8"/>
  <c r="CH89" i="8"/>
  <c r="BS89" i="9"/>
  <c r="AT89" i="9"/>
  <c r="AQ15" i="9"/>
  <c r="BU15" i="9"/>
  <c r="BL15" i="8"/>
  <c r="CJ15" i="8"/>
  <c r="AV15" i="9"/>
  <c r="AM109" i="9"/>
  <c r="BH109" i="8"/>
  <c r="BQ109" i="9"/>
  <c r="CF109" i="8"/>
  <c r="AR109" i="9"/>
  <c r="AN44" i="9"/>
  <c r="BR44" i="9"/>
  <c r="BI44" i="8"/>
  <c r="CG44" i="8"/>
  <c r="AS44" i="9"/>
  <c r="AN30" i="9"/>
  <c r="BR30" i="9"/>
  <c r="BI30" i="8"/>
  <c r="CG30" i="8"/>
  <c r="AS30" i="9"/>
  <c r="AQ28" i="9"/>
  <c r="BU28" i="9"/>
  <c r="BL28" i="8"/>
  <c r="CJ28" i="8"/>
  <c r="AV28" i="9"/>
  <c r="AN62" i="9"/>
  <c r="BR62" i="9"/>
  <c r="BI62" i="8"/>
  <c r="CG62" i="8"/>
  <c r="AS62" i="9"/>
  <c r="AN59" i="9"/>
  <c r="BR59" i="9"/>
  <c r="BI59" i="8"/>
  <c r="CG59" i="8"/>
  <c r="AS59" i="9"/>
  <c r="AM44" i="9"/>
  <c r="BH44" i="8"/>
  <c r="BQ44" i="9"/>
  <c r="CF44" i="8"/>
  <c r="AR44" i="9"/>
  <c r="AQ87" i="9"/>
  <c r="BU87" i="9"/>
  <c r="BL87" i="8"/>
  <c r="CJ87" i="8"/>
  <c r="AV87" i="9"/>
  <c r="AN108" i="9"/>
  <c r="BR108" i="9"/>
  <c r="BI108" i="8"/>
  <c r="CG108" i="8"/>
  <c r="AS108" i="9"/>
  <c r="AN13" i="9"/>
  <c r="BR13" i="9"/>
  <c r="CG13" i="8"/>
  <c r="BI13" i="8"/>
  <c r="AS13" i="9"/>
  <c r="AO71" i="9"/>
  <c r="BS71" i="9"/>
  <c r="BJ71" i="8"/>
  <c r="CH71" i="8"/>
  <c r="AT71" i="9"/>
  <c r="BQ90" i="9"/>
  <c r="AM90" i="9"/>
  <c r="CF90" i="8"/>
  <c r="BH90" i="8"/>
  <c r="AR90" i="9"/>
  <c r="AM69" i="9"/>
  <c r="BQ69" i="9"/>
  <c r="BH69" i="8"/>
  <c r="CF69" i="8"/>
  <c r="AR69" i="9"/>
  <c r="AM25" i="9"/>
  <c r="BQ25" i="9"/>
  <c r="BH25" i="8"/>
  <c r="CF25" i="8"/>
  <c r="AR25" i="9"/>
  <c r="BU81" i="9"/>
  <c r="AQ81" i="9"/>
  <c r="CJ81" i="8"/>
  <c r="BL81" i="8"/>
  <c r="AV81" i="9"/>
  <c r="AN94" i="9"/>
  <c r="BR94" i="9"/>
  <c r="BI94" i="8"/>
  <c r="CG94" i="8"/>
  <c r="AS94" i="9"/>
  <c r="AP47" i="9"/>
  <c r="BT47" i="9"/>
  <c r="BK47" i="8"/>
  <c r="CI47" i="8"/>
  <c r="AU47" i="9"/>
  <c r="BS88" i="9"/>
  <c r="CH88" i="8"/>
  <c r="BJ88" i="8"/>
  <c r="AO88" i="9"/>
  <c r="AT88" i="9"/>
  <c r="AP67" i="9"/>
  <c r="BT67" i="9"/>
  <c r="CI67" i="8"/>
  <c r="BK67" i="8"/>
  <c r="AU67" i="9"/>
  <c r="BT81" i="9"/>
  <c r="AP81" i="9"/>
  <c r="BK81" i="8"/>
  <c r="CI81" i="8"/>
  <c r="AU81" i="9"/>
  <c r="AM107" i="9"/>
  <c r="BQ107" i="9"/>
  <c r="CF107" i="8"/>
  <c r="BH107" i="8"/>
  <c r="AR107" i="9"/>
  <c r="AM16" i="9"/>
  <c r="BQ16" i="9"/>
  <c r="BH16" i="8"/>
  <c r="CF16" i="8"/>
  <c r="AR16" i="9"/>
  <c r="AM108" i="9"/>
  <c r="BH108" i="8"/>
  <c r="CF108" i="8"/>
  <c r="BQ108" i="9"/>
  <c r="AR108" i="9"/>
  <c r="CG98" i="8"/>
  <c r="AN98" i="9"/>
  <c r="BR98" i="9"/>
  <c r="BI98" i="8"/>
  <c r="AS98" i="9"/>
  <c r="AN55" i="9"/>
  <c r="BI55" i="8"/>
  <c r="CG55" i="8"/>
  <c r="BR55" i="9"/>
  <c r="AS55" i="9"/>
  <c r="AQ32" i="9"/>
  <c r="BU32" i="9"/>
  <c r="BL32" i="8"/>
  <c r="CJ32" i="8"/>
  <c r="AV32" i="9"/>
  <c r="AM95" i="9"/>
  <c r="BH95" i="8"/>
  <c r="CF95" i="8"/>
  <c r="BQ95" i="9"/>
  <c r="AR95" i="9"/>
  <c r="BS96" i="9"/>
  <c r="AO96" i="9"/>
  <c r="CH96" i="8"/>
  <c r="BJ96" i="8"/>
  <c r="AT96" i="9"/>
  <c r="AP30" i="9"/>
  <c r="BT30" i="9"/>
  <c r="BK30" i="8"/>
  <c r="CI30" i="8"/>
  <c r="AU30" i="9"/>
  <c r="AM11" i="9"/>
  <c r="BQ11" i="9"/>
  <c r="BH11" i="8"/>
  <c r="CF11" i="8"/>
  <c r="AR11" i="9"/>
  <c r="AQ42" i="9"/>
  <c r="BU42" i="9"/>
  <c r="BL42" i="8"/>
  <c r="CJ42" i="8"/>
  <c r="AV42" i="9"/>
  <c r="AQ37" i="9"/>
  <c r="BU37" i="9"/>
  <c r="BL37" i="8"/>
  <c r="CJ37" i="8"/>
  <c r="AV37" i="9"/>
  <c r="BR89" i="9"/>
  <c r="AN89" i="9"/>
  <c r="CG89" i="8"/>
  <c r="BI89" i="8"/>
  <c r="AS89" i="9"/>
  <c r="AM22" i="9"/>
  <c r="BQ22" i="9"/>
  <c r="BH22" i="8"/>
  <c r="CF22" i="8"/>
  <c r="AR22" i="9"/>
  <c r="AO35" i="9"/>
  <c r="BS35" i="9"/>
  <c r="BJ35" i="8"/>
  <c r="CH35" i="8"/>
  <c r="AT35" i="9"/>
  <c r="AP27" i="9"/>
  <c r="BT27" i="9"/>
  <c r="BK27" i="8"/>
  <c r="CI27" i="8"/>
  <c r="AU27" i="9"/>
  <c r="BR88" i="9"/>
  <c r="AN88" i="9"/>
  <c r="CG88" i="8"/>
  <c r="BI88" i="8"/>
  <c r="AS88" i="9"/>
  <c r="AP80" i="9"/>
  <c r="BK80" i="8"/>
  <c r="BT80" i="9"/>
  <c r="CI80" i="8"/>
  <c r="AU80" i="9"/>
  <c r="AN18" i="9"/>
  <c r="BI18" i="8"/>
  <c r="BR18" i="9"/>
  <c r="CG18" i="8"/>
  <c r="AS18" i="9"/>
  <c r="AN54" i="9"/>
  <c r="BR54" i="9"/>
  <c r="BI54" i="8"/>
  <c r="CG54" i="8"/>
  <c r="AS54" i="9"/>
  <c r="AM100" i="9"/>
  <c r="BH100" i="8"/>
  <c r="CF100" i="8"/>
  <c r="BQ100" i="9"/>
  <c r="AR100" i="9"/>
  <c r="O108" i="11"/>
  <c r="AI108" i="11" s="1"/>
  <c r="O106" i="11"/>
  <c r="W106" i="11" s="1"/>
  <c r="K107" i="11"/>
  <c r="Q107" i="11" s="1"/>
  <c r="N110" i="11"/>
  <c r="AH110" i="11" s="1"/>
  <c r="T106" i="11"/>
  <c r="L113" i="11"/>
  <c r="AF113" i="11" s="1"/>
  <c r="L112" i="11"/>
  <c r="AF112" i="11" s="1"/>
  <c r="R113" i="11"/>
  <c r="BI11" i="8"/>
  <c r="BR11" i="9"/>
  <c r="CG11" i="8"/>
  <c r="AN11" i="9"/>
  <c r="AS11" i="9"/>
  <c r="AQ104" i="9"/>
  <c r="BL104" i="8"/>
  <c r="BU104" i="9"/>
  <c r="CJ104" i="8"/>
  <c r="AV104" i="9"/>
  <c r="BR91" i="9"/>
  <c r="AN91" i="9"/>
  <c r="BI91" i="8"/>
  <c r="CG91" i="8"/>
  <c r="AS91" i="9"/>
  <c r="AQ69" i="9"/>
  <c r="BU69" i="9"/>
  <c r="BL69" i="8"/>
  <c r="CJ69" i="8"/>
  <c r="AV69" i="9"/>
  <c r="AP33" i="9"/>
  <c r="BT33" i="9"/>
  <c r="BK33" i="8"/>
  <c r="CI33" i="8"/>
  <c r="AU33" i="9"/>
  <c r="AQ38" i="9"/>
  <c r="BU38" i="9"/>
  <c r="CJ38" i="8"/>
  <c r="BL38" i="8"/>
  <c r="AV38" i="9"/>
  <c r="BQ93" i="9"/>
  <c r="AM93" i="9"/>
  <c r="CF93" i="8"/>
  <c r="BH93" i="8"/>
  <c r="AR93" i="9"/>
  <c r="AP37" i="9"/>
  <c r="BK37" i="8"/>
  <c r="BT37" i="9"/>
  <c r="CI37" i="8"/>
  <c r="AU37" i="9"/>
  <c r="AO62" i="9"/>
  <c r="BS62" i="9"/>
  <c r="BJ62" i="8"/>
  <c r="CH62" i="8"/>
  <c r="AT62" i="9"/>
  <c r="AP78" i="9"/>
  <c r="BT78" i="9"/>
  <c r="BK78" i="8"/>
  <c r="CI78" i="8"/>
  <c r="AU78" i="9"/>
  <c r="AP39" i="9"/>
  <c r="BT39" i="9"/>
  <c r="BK39" i="8"/>
  <c r="CI39" i="8"/>
  <c r="AU39" i="9"/>
  <c r="BU100" i="9"/>
  <c r="AQ100" i="9"/>
  <c r="BL100" i="8"/>
  <c r="CJ100" i="8"/>
  <c r="AV100" i="9"/>
  <c r="AQ48" i="9"/>
  <c r="BL48" i="8"/>
  <c r="BU48" i="9"/>
  <c r="CJ48" i="8"/>
  <c r="AV48" i="9"/>
  <c r="BS33" i="9"/>
  <c r="BJ33" i="8"/>
  <c r="AO33" i="9"/>
  <c r="CH33" i="8"/>
  <c r="AT33" i="9"/>
  <c r="AP108" i="9"/>
  <c r="BK108" i="8"/>
  <c r="CI108" i="8"/>
  <c r="BT108" i="9"/>
  <c r="AU108" i="9"/>
  <c r="AN57" i="9"/>
  <c r="BR57" i="9"/>
  <c r="CG57" i="8"/>
  <c r="BI57" i="8"/>
  <c r="AS57" i="9"/>
  <c r="AP28" i="9"/>
  <c r="BT28" i="9"/>
  <c r="BK28" i="8"/>
  <c r="CI28" i="8"/>
  <c r="AU28" i="9"/>
  <c r="AN28" i="9"/>
  <c r="BR28" i="9"/>
  <c r="BI28" i="8"/>
  <c r="CG28" i="8"/>
  <c r="AS28" i="9"/>
  <c r="BU84" i="9"/>
  <c r="AQ84" i="9"/>
  <c r="BL84" i="8"/>
  <c r="CJ84" i="8"/>
  <c r="AV84" i="9"/>
  <c r="BS86" i="9"/>
  <c r="AO86" i="9"/>
  <c r="BJ86" i="8"/>
  <c r="CH86" i="8"/>
  <c r="AT86" i="9"/>
  <c r="AN51" i="9"/>
  <c r="BR51" i="9"/>
  <c r="BI51" i="8"/>
  <c r="CG51" i="8"/>
  <c r="AS51" i="9"/>
  <c r="BQ80" i="9"/>
  <c r="AM80" i="9"/>
  <c r="BH80" i="8"/>
  <c r="CF80" i="8"/>
  <c r="AR80" i="9"/>
  <c r="AO79" i="9"/>
  <c r="BS79" i="9"/>
  <c r="BJ79" i="8"/>
  <c r="CH79" i="8"/>
  <c r="AT79" i="9"/>
  <c r="AP120" i="9"/>
  <c r="CI120" i="8"/>
  <c r="BK120" i="8"/>
  <c r="BT120" i="9"/>
  <c r="AU120" i="9"/>
  <c r="AP109" i="9"/>
  <c r="BK109" i="8"/>
  <c r="BT109" i="9"/>
  <c r="CI109" i="8"/>
  <c r="AU109" i="9"/>
  <c r="AP84" i="9"/>
  <c r="BT84" i="9"/>
  <c r="BK84" i="8"/>
  <c r="CI84" i="8"/>
  <c r="AU84" i="9"/>
  <c r="AM54" i="9"/>
  <c r="BQ54" i="9"/>
  <c r="BH54" i="8"/>
  <c r="CF54" i="8"/>
  <c r="AR54" i="9"/>
  <c r="AP105" i="9"/>
  <c r="BT105" i="9"/>
  <c r="BK105" i="8"/>
  <c r="CI105" i="8"/>
  <c r="AU105" i="9"/>
  <c r="AQ45" i="9"/>
  <c r="BU45" i="9"/>
  <c r="BL45" i="8"/>
  <c r="CJ45" i="8"/>
  <c r="AV45" i="9"/>
  <c r="AQ18" i="9"/>
  <c r="BU18" i="9"/>
  <c r="CJ18" i="8"/>
  <c r="BL18" i="8"/>
  <c r="AV18" i="9"/>
  <c r="AO34" i="9"/>
  <c r="BJ34" i="8"/>
  <c r="BS34" i="9"/>
  <c r="CH34" i="8"/>
  <c r="AT34" i="9"/>
  <c r="AO43" i="9"/>
  <c r="BS43" i="9"/>
  <c r="BJ43" i="8"/>
  <c r="CH43" i="8"/>
  <c r="AT43" i="9"/>
  <c r="AN24" i="9"/>
  <c r="BR24" i="9"/>
  <c r="BI24" i="8"/>
  <c r="CG24" i="8"/>
  <c r="AS24" i="9"/>
  <c r="AP55" i="9"/>
  <c r="BT55" i="9"/>
  <c r="BK55" i="8"/>
  <c r="CI55" i="8"/>
  <c r="AU55" i="9"/>
  <c r="AN60" i="9"/>
  <c r="BR60" i="9"/>
  <c r="BI60" i="8"/>
  <c r="CG60" i="8"/>
  <c r="AS60" i="9"/>
  <c r="BL102" i="8"/>
  <c r="BU102" i="9"/>
  <c r="AQ102" i="9"/>
  <c r="CJ102" i="8"/>
  <c r="AV102" i="9"/>
  <c r="AM37" i="9"/>
  <c r="BQ37" i="9"/>
  <c r="BH37" i="8"/>
  <c r="CF37" i="8"/>
  <c r="AR37" i="9"/>
  <c r="AQ29" i="9"/>
  <c r="BU29" i="9"/>
  <c r="BL29" i="8"/>
  <c r="CJ29" i="8"/>
  <c r="AV29" i="9"/>
  <c r="AQ22" i="9"/>
  <c r="BU22" i="9"/>
  <c r="CJ22" i="8"/>
  <c r="BL22" i="8"/>
  <c r="AV22" i="9"/>
  <c r="AP14" i="9"/>
  <c r="BT14" i="9"/>
  <c r="BK14" i="8"/>
  <c r="CI14" i="8"/>
  <c r="AU14" i="9"/>
  <c r="AO47" i="9"/>
  <c r="BS47" i="9"/>
  <c r="BJ47" i="8"/>
  <c r="CH47" i="8"/>
  <c r="AT47" i="9"/>
  <c r="AQ56" i="9"/>
  <c r="BL56" i="8"/>
  <c r="BU56" i="9"/>
  <c r="CJ56" i="8"/>
  <c r="AV56" i="9"/>
  <c r="AM83" i="9"/>
  <c r="BH83" i="8"/>
  <c r="CF83" i="8"/>
  <c r="BQ83" i="9"/>
  <c r="AR83" i="9"/>
  <c r="AN56" i="9"/>
  <c r="BR56" i="9"/>
  <c r="BI56" i="8"/>
  <c r="CG56" i="8"/>
  <c r="AS56" i="9"/>
  <c r="AM70" i="9"/>
  <c r="BQ70" i="9"/>
  <c r="BH70" i="8"/>
  <c r="CF70" i="8"/>
  <c r="AR70" i="9"/>
  <c r="AO19" i="9"/>
  <c r="BS19" i="9"/>
  <c r="BJ19" i="8"/>
  <c r="CH19" i="8"/>
  <c r="AT19" i="9"/>
  <c r="AN22" i="9"/>
  <c r="BI22" i="8"/>
  <c r="BR22" i="9"/>
  <c r="CG22" i="8"/>
  <c r="AS22" i="9"/>
  <c r="AO73" i="9"/>
  <c r="BJ73" i="8"/>
  <c r="BS73" i="9"/>
  <c r="CH73" i="8"/>
  <c r="AT73" i="9"/>
  <c r="AO109" i="9"/>
  <c r="BS109" i="9"/>
  <c r="CH109" i="8"/>
  <c r="BJ109" i="8"/>
  <c r="AT109" i="9"/>
  <c r="AO50" i="9"/>
  <c r="BJ50" i="8"/>
  <c r="BS50" i="9"/>
  <c r="CH50" i="8"/>
  <c r="AT50" i="9"/>
  <c r="AM103" i="9"/>
  <c r="BH103" i="8"/>
  <c r="CF103" i="8"/>
  <c r="BQ103" i="9"/>
  <c r="AR103" i="9"/>
  <c r="AO23" i="9"/>
  <c r="BS23" i="9"/>
  <c r="BJ23" i="8"/>
  <c r="CH23" i="8"/>
  <c r="AT23" i="9"/>
  <c r="AP26" i="9"/>
  <c r="BT26" i="9"/>
  <c r="BK26" i="8"/>
  <c r="CI26" i="8"/>
  <c r="AU26" i="9"/>
  <c r="AP100" i="9"/>
  <c r="BT100" i="9"/>
  <c r="CI100" i="8"/>
  <c r="BK100" i="8"/>
  <c r="AU100" i="9"/>
  <c r="AP92" i="9"/>
  <c r="BT92" i="9"/>
  <c r="BK92" i="8"/>
  <c r="CI92" i="8"/>
  <c r="AU92" i="9"/>
  <c r="BR46" i="9"/>
  <c r="BI46" i="8"/>
  <c r="AN46" i="9"/>
  <c r="CG46" i="8"/>
  <c r="AS46" i="9"/>
  <c r="AP88" i="9"/>
  <c r="BK88" i="8"/>
  <c r="CI88" i="8"/>
  <c r="BT88" i="9"/>
  <c r="AU88" i="9"/>
  <c r="O110" i="11"/>
  <c r="AI110" i="11" s="1"/>
  <c r="S106" i="11"/>
  <c r="O105" i="11"/>
  <c r="V105" i="11" s="1"/>
  <c r="O107" i="11"/>
  <c r="W107" i="11" s="1"/>
  <c r="T111" i="11"/>
  <c r="AE111" i="11"/>
  <c r="O113" i="11"/>
  <c r="V113" i="11" s="1"/>
  <c r="S113" i="11"/>
  <c r="K105" i="11"/>
  <c r="Q105" i="11" s="1"/>
  <c r="AP93" i="9"/>
  <c r="BK93" i="8"/>
  <c r="CI93" i="8"/>
  <c r="BT93" i="9"/>
  <c r="AU93" i="9"/>
  <c r="AP22" i="9"/>
  <c r="BT22" i="9"/>
  <c r="BK22" i="8"/>
  <c r="CI22" i="8"/>
  <c r="AU22" i="9"/>
  <c r="AM38" i="9"/>
  <c r="BQ38" i="9"/>
  <c r="CF38" i="8"/>
  <c r="BH38" i="8"/>
  <c r="AR38" i="9"/>
  <c r="AM51" i="9"/>
  <c r="BH51" i="8"/>
  <c r="BQ51" i="9"/>
  <c r="CF51" i="8"/>
  <c r="AR51" i="9"/>
  <c r="BS94" i="9"/>
  <c r="AO94" i="9"/>
  <c r="BJ94" i="8"/>
  <c r="CH94" i="8"/>
  <c r="AT94" i="9"/>
  <c r="AP72" i="9"/>
  <c r="BK72" i="8"/>
  <c r="BT72" i="9"/>
  <c r="CI72" i="8"/>
  <c r="AU72" i="9"/>
  <c r="BU85" i="9"/>
  <c r="AQ85" i="9"/>
  <c r="BL85" i="8"/>
  <c r="CJ85" i="8"/>
  <c r="AV85" i="9"/>
  <c r="BS80" i="9"/>
  <c r="AO80" i="9"/>
  <c r="CH80" i="8"/>
  <c r="BJ80" i="8"/>
  <c r="AT80" i="9"/>
  <c r="AO27" i="9"/>
  <c r="BS27" i="9"/>
  <c r="BJ27" i="8"/>
  <c r="CH27" i="8"/>
  <c r="AT27" i="9"/>
  <c r="AQ13" i="9"/>
  <c r="BU13" i="9"/>
  <c r="BL13" i="8"/>
  <c r="CJ13" i="8"/>
  <c r="AV13" i="9"/>
  <c r="AN36" i="9"/>
  <c r="BR36" i="9"/>
  <c r="BI36" i="8"/>
  <c r="CG36" i="8"/>
  <c r="AS36" i="9"/>
  <c r="AO12" i="9"/>
  <c r="BS12" i="9"/>
  <c r="CH12" i="8"/>
  <c r="BJ12" i="8"/>
  <c r="AT12" i="9"/>
  <c r="AO57" i="9"/>
  <c r="BJ57" i="8"/>
  <c r="BS57" i="9"/>
  <c r="CH57" i="8"/>
  <c r="AT57" i="9"/>
  <c r="AO18" i="9"/>
  <c r="BJ18" i="8"/>
  <c r="BS18" i="9"/>
  <c r="CH18" i="8"/>
  <c r="AT18" i="9"/>
  <c r="AM49" i="9"/>
  <c r="BQ49" i="9"/>
  <c r="BH49" i="8"/>
  <c r="CF49" i="8"/>
  <c r="AR49" i="9"/>
  <c r="AM57" i="9"/>
  <c r="BQ57" i="9"/>
  <c r="BH57" i="8"/>
  <c r="CF57" i="8"/>
  <c r="AR57" i="9"/>
  <c r="BT86" i="9"/>
  <c r="AP86" i="9"/>
  <c r="BK86" i="8"/>
  <c r="CI86" i="8"/>
  <c r="AU86" i="9"/>
  <c r="BQ102" i="9"/>
  <c r="BH102" i="8"/>
  <c r="AM102" i="9"/>
  <c r="CF102" i="8"/>
  <c r="AR102" i="9"/>
  <c r="AO31" i="9"/>
  <c r="BS31" i="9"/>
  <c r="BJ31" i="8"/>
  <c r="CH31" i="8"/>
  <c r="AT31" i="9"/>
  <c r="AP58" i="9"/>
  <c r="BT58" i="9"/>
  <c r="BK58" i="8"/>
  <c r="CI58" i="8"/>
  <c r="AU58" i="9"/>
  <c r="AN68" i="9"/>
  <c r="BR68" i="9"/>
  <c r="BI68" i="8"/>
  <c r="CG68" i="8"/>
  <c r="AS68" i="9"/>
  <c r="AQ33" i="9"/>
  <c r="BU33" i="9"/>
  <c r="BL33" i="8"/>
  <c r="CJ33" i="8"/>
  <c r="AV33" i="9"/>
  <c r="AP42" i="9"/>
  <c r="BT42" i="9"/>
  <c r="BK42" i="8"/>
  <c r="CI42" i="8"/>
  <c r="AU42" i="9"/>
  <c r="AO106" i="9"/>
  <c r="BJ106" i="8"/>
  <c r="CH106" i="8"/>
  <c r="BS106" i="9"/>
  <c r="AT106" i="9"/>
  <c r="AQ25" i="9"/>
  <c r="BU25" i="9"/>
  <c r="BL25" i="8"/>
  <c r="CJ25" i="8"/>
  <c r="AV25" i="9"/>
  <c r="BR84" i="9"/>
  <c r="AN84" i="9"/>
  <c r="BI84" i="8"/>
  <c r="CG84" i="8"/>
  <c r="AS84" i="9"/>
  <c r="AQ65" i="9"/>
  <c r="BU65" i="9"/>
  <c r="BL65" i="8"/>
  <c r="CJ65" i="8"/>
  <c r="AV65" i="9"/>
  <c r="AO30" i="9"/>
  <c r="BS30" i="9"/>
  <c r="BJ30" i="8"/>
  <c r="CH30" i="8"/>
  <c r="AT30" i="9"/>
  <c r="AP43" i="9"/>
  <c r="BT43" i="9"/>
  <c r="CI43" i="8"/>
  <c r="BK43" i="8"/>
  <c r="AU43" i="9"/>
  <c r="AO120" i="9"/>
  <c r="BJ120" i="8"/>
  <c r="BS120" i="9"/>
  <c r="CH120" i="8"/>
  <c r="AT120" i="9"/>
  <c r="AN67" i="9"/>
  <c r="BR67" i="9"/>
  <c r="BI67" i="8"/>
  <c r="CG67" i="8"/>
  <c r="AS67" i="9"/>
  <c r="AQ41" i="9"/>
  <c r="BU41" i="9"/>
  <c r="BL41" i="8"/>
  <c r="CJ41" i="8"/>
  <c r="AV41" i="9"/>
  <c r="AN110" i="9"/>
  <c r="BR110" i="9"/>
  <c r="CG110" i="8"/>
  <c r="BI110" i="8"/>
  <c r="AS110" i="9"/>
  <c r="AQ53" i="9"/>
  <c r="BU53" i="9"/>
  <c r="BL53" i="8"/>
  <c r="CJ53" i="8"/>
  <c r="AV53" i="9"/>
  <c r="AQ34" i="9"/>
  <c r="BU34" i="9"/>
  <c r="BL34" i="8"/>
  <c r="CJ34" i="8"/>
  <c r="AV34" i="9"/>
  <c r="AN21" i="9"/>
  <c r="BR21" i="9"/>
  <c r="BI21" i="8"/>
  <c r="CG21" i="8"/>
  <c r="AS21" i="9"/>
  <c r="AN61" i="9"/>
  <c r="BR61" i="9"/>
  <c r="CG61" i="8"/>
  <c r="BI61" i="8"/>
  <c r="AS61" i="9"/>
  <c r="AP46" i="9"/>
  <c r="BT46" i="9"/>
  <c r="BK46" i="8"/>
  <c r="CI46" i="8"/>
  <c r="AU46" i="9"/>
  <c r="AQ58" i="9"/>
  <c r="BU58" i="9"/>
  <c r="BL58" i="8"/>
  <c r="CJ58" i="8"/>
  <c r="AV58" i="9"/>
  <c r="AM35" i="9"/>
  <c r="BH35" i="8"/>
  <c r="BQ35" i="9"/>
  <c r="CF35" i="8"/>
  <c r="AR35" i="9"/>
  <c r="AQ76" i="9"/>
  <c r="BU76" i="9"/>
  <c r="BL76" i="8"/>
  <c r="CJ76" i="8"/>
  <c r="AV76" i="9"/>
  <c r="BK99" i="8"/>
  <c r="BT99" i="9"/>
  <c r="AP99" i="9"/>
  <c r="CI99" i="8"/>
  <c r="AU99" i="9"/>
  <c r="AN16" i="9"/>
  <c r="BR16" i="9"/>
  <c r="BI16" i="8"/>
  <c r="CG16" i="8"/>
  <c r="AS16" i="9"/>
  <c r="BU86" i="9"/>
  <c r="AQ86" i="9"/>
  <c r="BL86" i="8"/>
  <c r="CJ86" i="8"/>
  <c r="AV86" i="9"/>
  <c r="AN73" i="9"/>
  <c r="BR73" i="9"/>
  <c r="BI73" i="8"/>
  <c r="CG73" i="8"/>
  <c r="AS73" i="9"/>
  <c r="AN45" i="9"/>
  <c r="BR45" i="9"/>
  <c r="CG45" i="8"/>
  <c r="BI45" i="8"/>
  <c r="AS45" i="9"/>
  <c r="AP50" i="9"/>
  <c r="BT50" i="9"/>
  <c r="BK50" i="8"/>
  <c r="CI50" i="8"/>
  <c r="AU50" i="9"/>
  <c r="AN38" i="9"/>
  <c r="BI38" i="8"/>
  <c r="BR38" i="9"/>
  <c r="CG38" i="8"/>
  <c r="AS38" i="9"/>
  <c r="AM43" i="9"/>
  <c r="BQ43" i="9"/>
  <c r="BH43" i="8"/>
  <c r="CF43" i="8"/>
  <c r="AR43" i="9"/>
  <c r="AM92" i="9"/>
  <c r="BQ92" i="9"/>
  <c r="BH92" i="8"/>
  <c r="CF92" i="8"/>
  <c r="AR92" i="9"/>
  <c r="AQ75" i="9"/>
  <c r="BL75" i="8"/>
  <c r="BU75" i="9"/>
  <c r="CJ75" i="8"/>
  <c r="AV75" i="9"/>
  <c r="AP13" i="9"/>
  <c r="BK13" i="8"/>
  <c r="BT13" i="9"/>
  <c r="CI13" i="8"/>
  <c r="AU13" i="9"/>
  <c r="AQ91" i="9"/>
  <c r="BL91" i="8"/>
  <c r="CJ91" i="8"/>
  <c r="BU91" i="9"/>
  <c r="AV91" i="9"/>
  <c r="BT89" i="9"/>
  <c r="AP89" i="9"/>
  <c r="BK89" i="8"/>
  <c r="CI89" i="8"/>
  <c r="AU89" i="9"/>
  <c r="AQ80" i="9"/>
  <c r="BL80" i="8"/>
  <c r="BU80" i="9"/>
  <c r="CJ80" i="8"/>
  <c r="AV80" i="9"/>
  <c r="AO82" i="9"/>
  <c r="BJ82" i="8"/>
  <c r="CH82" i="8"/>
  <c r="BS82" i="9"/>
  <c r="AT82" i="9"/>
  <c r="AN48" i="9"/>
  <c r="BR48" i="9"/>
  <c r="BI48" i="8"/>
  <c r="CG48" i="8"/>
  <c r="AS48" i="9"/>
  <c r="AQ74" i="9"/>
  <c r="BU74" i="9"/>
  <c r="BL74" i="8"/>
  <c r="CJ74" i="8"/>
  <c r="AV74" i="9"/>
  <c r="AM79" i="9"/>
  <c r="BH79" i="8"/>
  <c r="CF79" i="8"/>
  <c r="BQ79" i="9"/>
  <c r="AR79" i="9"/>
  <c r="AM15" i="9"/>
  <c r="BH15" i="8"/>
  <c r="BQ15" i="9"/>
  <c r="CF15" i="8"/>
  <c r="AR15" i="9"/>
  <c r="AO103" i="9"/>
  <c r="BS103" i="9"/>
  <c r="BJ103" i="8"/>
  <c r="CH103" i="8"/>
  <c r="AT103" i="9"/>
  <c r="AN72" i="9"/>
  <c r="BR72" i="9"/>
  <c r="CG72" i="8"/>
  <c r="BI72" i="8"/>
  <c r="AS72" i="9"/>
  <c r="AP49" i="9"/>
  <c r="BT49" i="9"/>
  <c r="BK49" i="8"/>
  <c r="CI49" i="8"/>
  <c r="AU49" i="9"/>
  <c r="AQ79" i="9"/>
  <c r="BU79" i="9"/>
  <c r="BL79" i="8"/>
  <c r="CJ79" i="8"/>
  <c r="AV79" i="9"/>
  <c r="BU82" i="9"/>
  <c r="AQ82" i="9"/>
  <c r="BL82" i="8"/>
  <c r="CJ82" i="8"/>
  <c r="AV82" i="9"/>
  <c r="K109" i="11"/>
  <c r="S109" i="11" s="1"/>
  <c r="N109" i="11"/>
  <c r="AH109" i="11" s="1"/>
  <c r="N108" i="11"/>
  <c r="AH108" i="11" s="1"/>
  <c r="W111" i="11"/>
  <c r="AQ73" i="9"/>
  <c r="BU73" i="9"/>
  <c r="CJ73" i="8"/>
  <c r="BL73" i="8"/>
  <c r="AV73" i="9"/>
  <c r="AM21" i="9"/>
  <c r="BQ21" i="9"/>
  <c r="BH21" i="8"/>
  <c r="CF21" i="8"/>
  <c r="AR21" i="9"/>
  <c r="BS92" i="9"/>
  <c r="AO92" i="9"/>
  <c r="CH92" i="8"/>
  <c r="BJ92" i="8"/>
  <c r="AT92" i="9"/>
  <c r="AP85" i="9"/>
  <c r="BK85" i="8"/>
  <c r="CI85" i="8"/>
  <c r="BT85" i="9"/>
  <c r="AU85" i="9"/>
  <c r="AQ77" i="9"/>
  <c r="BU77" i="9"/>
  <c r="BL77" i="8"/>
  <c r="CJ77" i="8"/>
  <c r="AV77" i="9"/>
  <c r="AP34" i="9"/>
  <c r="BT34" i="9"/>
  <c r="BK34" i="8"/>
  <c r="CI34" i="8"/>
  <c r="AU34" i="9"/>
  <c r="AN71" i="9"/>
  <c r="BR71" i="9"/>
  <c r="BI71" i="8"/>
  <c r="CG71" i="8"/>
  <c r="AS71" i="9"/>
  <c r="AM27" i="9"/>
  <c r="BH27" i="8"/>
  <c r="BQ27" i="9"/>
  <c r="CF27" i="8"/>
  <c r="AR27" i="9"/>
  <c r="AO107" i="9"/>
  <c r="BJ107" i="8"/>
  <c r="BS107" i="9"/>
  <c r="CH107" i="8"/>
  <c r="AT107" i="9"/>
  <c r="AM84" i="9"/>
  <c r="BQ84" i="9"/>
  <c r="BH84" i="8"/>
  <c r="CF84" i="8"/>
  <c r="AR84" i="9"/>
  <c r="AO58" i="9"/>
  <c r="BS58" i="9"/>
  <c r="BJ58" i="8"/>
  <c r="CH58" i="8"/>
  <c r="AT58" i="9"/>
  <c r="AQ109" i="9"/>
  <c r="BU109" i="9"/>
  <c r="BL109" i="8"/>
  <c r="CJ109" i="8"/>
  <c r="AV109" i="9"/>
  <c r="AO90" i="9"/>
  <c r="BJ90" i="8"/>
  <c r="CH90" i="8"/>
  <c r="BS90" i="9"/>
  <c r="AT90" i="9"/>
  <c r="AO61" i="9"/>
  <c r="BJ61" i="8"/>
  <c r="BS61" i="9"/>
  <c r="CH61" i="8"/>
  <c r="AT61" i="9"/>
  <c r="AP21" i="9"/>
  <c r="BK21" i="8"/>
  <c r="BT21" i="9"/>
  <c r="CI21" i="8"/>
  <c r="AU21" i="9"/>
  <c r="AN14" i="9"/>
  <c r="BI14" i="8"/>
  <c r="BR14" i="9"/>
  <c r="CG14" i="8"/>
  <c r="AS14" i="9"/>
  <c r="AQ54" i="9"/>
  <c r="BU54" i="9"/>
  <c r="CJ54" i="8"/>
  <c r="BL54" i="8"/>
  <c r="AV54" i="9"/>
  <c r="AO39" i="9"/>
  <c r="BS39" i="9"/>
  <c r="BJ39" i="8"/>
  <c r="CH39" i="8"/>
  <c r="AT39" i="9"/>
  <c r="AP68" i="9"/>
  <c r="BT68" i="9"/>
  <c r="BK68" i="8"/>
  <c r="CI68" i="8"/>
  <c r="AU68" i="9"/>
  <c r="AQ59" i="9"/>
  <c r="BL59" i="8"/>
  <c r="CJ59" i="8"/>
  <c r="BU59" i="9"/>
  <c r="AV59" i="9"/>
  <c r="BQ94" i="9"/>
  <c r="AM94" i="9"/>
  <c r="CF94" i="8"/>
  <c r="BH94" i="8"/>
  <c r="AR94" i="9"/>
  <c r="AM78" i="9"/>
  <c r="BQ78" i="9"/>
  <c r="BH78" i="8"/>
  <c r="CF78" i="8"/>
  <c r="AR78" i="9"/>
  <c r="BQ89" i="9"/>
  <c r="AM89" i="9"/>
  <c r="BH89" i="8"/>
  <c r="CF89" i="8"/>
  <c r="AR89" i="9"/>
  <c r="AP52" i="9"/>
  <c r="BK52" i="8"/>
  <c r="BT52" i="9"/>
  <c r="CI52" i="8"/>
  <c r="AU52" i="9"/>
  <c r="AP61" i="9"/>
  <c r="BK61" i="8"/>
  <c r="CI61" i="8"/>
  <c r="BT61" i="9"/>
  <c r="AU61" i="9"/>
  <c r="BQ81" i="9"/>
  <c r="AM81" i="9"/>
  <c r="BH81" i="8"/>
  <c r="CF81" i="8"/>
  <c r="AR81" i="9"/>
  <c r="AN70" i="9"/>
  <c r="BI70" i="8"/>
  <c r="CG70" i="8"/>
  <c r="BR70" i="9"/>
  <c r="AS70" i="9"/>
  <c r="AN86" i="9"/>
  <c r="BI86" i="8"/>
  <c r="CG86" i="8"/>
  <c r="BR86" i="9"/>
  <c r="AS86" i="9"/>
  <c r="AQ31" i="9"/>
  <c r="BL31" i="8"/>
  <c r="BU31" i="9"/>
  <c r="CJ31" i="8"/>
  <c r="AV31" i="9"/>
  <c r="AN90" i="9"/>
  <c r="BI90" i="8"/>
  <c r="CG90" i="8"/>
  <c r="BR90" i="9"/>
  <c r="AS90" i="9"/>
  <c r="AO52" i="9"/>
  <c r="BS52" i="9"/>
  <c r="BJ52" i="8"/>
  <c r="CH52" i="8"/>
  <c r="AT52" i="9"/>
  <c r="AQ106" i="9"/>
  <c r="BU106" i="9"/>
  <c r="BL106" i="8"/>
  <c r="CJ106" i="8"/>
  <c r="AV106" i="9"/>
  <c r="AO70" i="9"/>
  <c r="BS70" i="9"/>
  <c r="BJ70" i="8"/>
  <c r="CH70" i="8"/>
  <c r="AT70" i="9"/>
  <c r="AP29" i="9"/>
  <c r="BK29" i="8"/>
  <c r="BT29" i="9"/>
  <c r="CI29" i="8"/>
  <c r="AU29" i="9"/>
  <c r="AO65" i="9"/>
  <c r="BJ65" i="8"/>
  <c r="BS65" i="9"/>
  <c r="CH65" i="8"/>
  <c r="AT65" i="9"/>
  <c r="AN74" i="9"/>
  <c r="BI74" i="8"/>
  <c r="BR74" i="9"/>
  <c r="CG74" i="8"/>
  <c r="AS74" i="9"/>
  <c r="AM62" i="9"/>
  <c r="BQ62" i="9"/>
  <c r="BH62" i="8"/>
  <c r="CF62" i="8"/>
  <c r="AR62" i="9"/>
  <c r="AQ35" i="9"/>
  <c r="BL35" i="8"/>
  <c r="BU35" i="9"/>
  <c r="CJ35" i="8"/>
  <c r="AV35" i="9"/>
  <c r="AN40" i="9"/>
  <c r="BR40" i="9"/>
  <c r="BI40" i="8"/>
  <c r="CG40" i="8"/>
  <c r="AS40" i="9"/>
  <c r="AO67" i="9"/>
  <c r="BS67" i="9"/>
  <c r="CH67" i="8"/>
  <c r="BJ67" i="8"/>
  <c r="AT67" i="9"/>
  <c r="AO76" i="9"/>
  <c r="BS76" i="9"/>
  <c r="BJ76" i="8"/>
  <c r="CH76" i="8"/>
  <c r="AT76" i="9"/>
  <c r="AP63" i="9"/>
  <c r="BT63" i="9"/>
  <c r="CI63" i="8"/>
  <c r="BK63" i="8"/>
  <c r="AU63" i="9"/>
  <c r="AM52" i="9"/>
  <c r="BH52" i="8"/>
  <c r="BQ52" i="9"/>
  <c r="CF52" i="8"/>
  <c r="AR52" i="9"/>
  <c r="BU92" i="9"/>
  <c r="AQ92" i="9"/>
  <c r="BL92" i="8"/>
  <c r="CJ92" i="8"/>
  <c r="AV92" i="9"/>
  <c r="AO44" i="9"/>
  <c r="BS44" i="9"/>
  <c r="CH44" i="8"/>
  <c r="BJ44" i="8"/>
  <c r="AT44" i="9"/>
  <c r="AQ17" i="9"/>
  <c r="BU17" i="9"/>
  <c r="BL17" i="8"/>
  <c r="CJ17" i="8"/>
  <c r="AV17" i="9"/>
  <c r="AN102" i="9"/>
  <c r="CG102" i="8"/>
  <c r="BI102" i="8"/>
  <c r="BR102" i="9"/>
  <c r="AS102" i="9"/>
  <c r="AO63" i="9"/>
  <c r="BS63" i="9"/>
  <c r="BJ63" i="8"/>
  <c r="CH63" i="8"/>
  <c r="AT63" i="9"/>
  <c r="AQ16" i="9"/>
  <c r="BL16" i="8"/>
  <c r="BU16" i="9"/>
  <c r="CJ16" i="8"/>
  <c r="AV16" i="9"/>
  <c r="BS91" i="9"/>
  <c r="AO91" i="9"/>
  <c r="BJ91" i="8"/>
  <c r="CH91" i="8"/>
  <c r="AT91" i="9"/>
  <c r="AN25" i="9"/>
  <c r="BR25" i="9"/>
  <c r="CG25" i="8"/>
  <c r="BI25" i="8"/>
  <c r="AS25" i="9"/>
  <c r="AO41" i="9"/>
  <c r="BS41" i="9"/>
  <c r="BJ41" i="8"/>
  <c r="CH41" i="8"/>
  <c r="AT41" i="9"/>
  <c r="AP31" i="9"/>
  <c r="BT31" i="9"/>
  <c r="CI31" i="8"/>
  <c r="BK31" i="8"/>
  <c r="AU31" i="9"/>
  <c r="BT91" i="9"/>
  <c r="AP91" i="9"/>
  <c r="BK91" i="8"/>
  <c r="CI91" i="8"/>
  <c r="AU91" i="9"/>
  <c r="X110" i="11"/>
  <c r="M112" i="11"/>
  <c r="AG112" i="11" s="1"/>
  <c r="L105" i="11"/>
  <c r="AF105" i="11" s="1"/>
  <c r="T110" i="11"/>
  <c r="N105" i="11"/>
  <c r="AH105" i="11" s="1"/>
  <c r="M110" i="11"/>
  <c r="AG110" i="11" s="1"/>
  <c r="L107" i="11"/>
  <c r="AF107" i="11" s="1"/>
  <c r="P82" i="8"/>
  <c r="P83" i="8" s="1"/>
  <c r="P84" i="8" s="1"/>
  <c r="P85" i="8" s="1"/>
  <c r="P86" i="8" s="1"/>
  <c r="O64" i="1"/>
  <c r="O4" i="1"/>
  <c r="O102" i="1"/>
  <c r="N6" i="1"/>
  <c r="X111" i="11" l="1"/>
  <c r="Y108" i="11"/>
  <c r="X108" i="11"/>
  <c r="W113" i="11"/>
  <c r="V107" i="11"/>
  <c r="Q113" i="11"/>
  <c r="X105" i="11"/>
  <c r="V106" i="11"/>
  <c r="S107" i="11"/>
  <c r="Y110" i="11"/>
  <c r="V110" i="11"/>
  <c r="V108" i="11"/>
  <c r="S105" i="11"/>
  <c r="X107" i="11"/>
  <c r="X109" i="11"/>
  <c r="M114" i="11"/>
  <c r="AG114" i="11" s="1"/>
  <c r="Q109" i="11"/>
  <c r="S112" i="11"/>
  <c r="Y105" i="11"/>
  <c r="AI105" i="11"/>
  <c r="R107" i="11"/>
  <c r="Y109" i="11"/>
  <c r="AI109" i="11"/>
  <c r="L111" i="11"/>
  <c r="AF111" i="11" s="1"/>
  <c r="Y111" i="11"/>
  <c r="AI111" i="11"/>
  <c r="Y113" i="11"/>
  <c r="AI113" i="11"/>
  <c r="T109" i="11"/>
  <c r="W108" i="11"/>
  <c r="Q114" i="11"/>
  <c r="AE114" i="11"/>
  <c r="T105" i="11"/>
  <c r="T107" i="11"/>
  <c r="AE107" i="11"/>
  <c r="Q112" i="11"/>
  <c r="AE112" i="11"/>
  <c r="W110" i="11"/>
  <c r="R109" i="11"/>
  <c r="AE109" i="11"/>
  <c r="N114" i="11"/>
  <c r="AH114" i="11" s="1"/>
  <c r="O114" i="11"/>
  <c r="V114" i="11" s="1"/>
  <c r="Y107" i="11"/>
  <c r="AI107" i="11"/>
  <c r="X106" i="11"/>
  <c r="AI106" i="11"/>
  <c r="W109" i="11"/>
  <c r="M108" i="11"/>
  <c r="AG108" i="11" s="1"/>
  <c r="R105" i="11"/>
  <c r="AE105" i="11"/>
  <c r="W105" i="11"/>
  <c r="Y106" i="11"/>
  <c r="Q110" i="11"/>
  <c r="AE110" i="11"/>
  <c r="L114" i="11"/>
  <c r="AF114" i="11" s="1"/>
  <c r="X113" i="11"/>
  <c r="T15" i="8"/>
  <c r="V13" i="8"/>
  <c r="P87" i="8"/>
  <c r="P88" i="8" s="1"/>
  <c r="P89" i="8" s="1"/>
  <c r="P90" i="8" s="1"/>
  <c r="P91" i="8" s="1"/>
  <c r="U14" i="8" s="1"/>
  <c r="V291" i="1"/>
  <c r="V289" i="1"/>
  <c r="U156" i="1"/>
  <c r="V87" i="1"/>
  <c r="T53" i="1"/>
  <c r="R278" i="1"/>
  <c r="S54" i="1"/>
  <c r="S35" i="1"/>
  <c r="R44" i="1"/>
  <c r="U339" i="1"/>
  <c r="U195" i="1"/>
  <c r="R268" i="1"/>
  <c r="U283" i="1"/>
  <c r="U172" i="1"/>
  <c r="R143" i="1"/>
  <c r="U65" i="1"/>
  <c r="R199" i="1"/>
  <c r="S181" i="1"/>
  <c r="T13" i="1"/>
  <c r="U295" i="1"/>
  <c r="U81" i="1"/>
  <c r="V274" i="1"/>
  <c r="S115" i="1"/>
  <c r="S56" i="1"/>
  <c r="T55" i="1"/>
  <c r="V220" i="1"/>
  <c r="T202" i="1"/>
  <c r="V86" i="1"/>
  <c r="S316" i="1"/>
  <c r="S137" i="1"/>
  <c r="R336" i="1"/>
  <c r="V335" i="1"/>
  <c r="V197" i="1"/>
  <c r="T184" i="1"/>
  <c r="R86" i="1"/>
  <c r="T335" i="1"/>
  <c r="U39" i="1"/>
  <c r="V212" i="1"/>
  <c r="V133" i="1"/>
  <c r="T227" i="1"/>
  <c r="U84" i="1"/>
  <c r="V80" i="1"/>
  <c r="U175" i="1"/>
  <c r="U328" i="1"/>
  <c r="R22" i="1"/>
  <c r="U332" i="1"/>
  <c r="S99" i="1"/>
  <c r="R62" i="1"/>
  <c r="R291" i="1"/>
  <c r="U7" i="1"/>
  <c r="R117" i="1"/>
  <c r="T327" i="1"/>
  <c r="U144" i="1"/>
  <c r="V271" i="1"/>
  <c r="R164" i="1"/>
  <c r="R35" i="1"/>
  <c r="T251" i="1"/>
  <c r="V213" i="1"/>
  <c r="S64" i="1"/>
  <c r="U273" i="1"/>
  <c r="R191" i="1"/>
  <c r="T98" i="1"/>
  <c r="V247" i="1"/>
  <c r="R226" i="1"/>
  <c r="S12" i="1"/>
  <c r="S251" i="1"/>
  <c r="V115" i="1"/>
  <c r="U286" i="1"/>
  <c r="T142" i="1"/>
  <c r="T132" i="1"/>
  <c r="U292" i="1"/>
  <c r="R310" i="1"/>
  <c r="U61" i="1"/>
  <c r="V269" i="1"/>
  <c r="S293" i="1"/>
  <c r="R287" i="1"/>
  <c r="U290" i="1"/>
  <c r="U56" i="1"/>
  <c r="R295" i="1"/>
  <c r="R100" i="1"/>
  <c r="S108" i="1"/>
  <c r="V248" i="1"/>
  <c r="V339" i="1"/>
  <c r="U63" i="1"/>
  <c r="U333" i="1"/>
  <c r="R10" i="1"/>
  <c r="R29" i="1"/>
  <c r="R109" i="1"/>
  <c r="T338" i="1"/>
  <c r="S142" i="1"/>
  <c r="V15" i="1"/>
  <c r="V102" i="1"/>
  <c r="T243" i="1"/>
  <c r="T248" i="1"/>
  <c r="S70" i="1"/>
  <c r="T157" i="1"/>
  <c r="S72" i="1"/>
  <c r="R347" i="1"/>
  <c r="S320" i="1"/>
  <c r="T213" i="1"/>
  <c r="S13" i="1"/>
  <c r="T195" i="1"/>
  <c r="V47" i="1"/>
  <c r="U316" i="1"/>
  <c r="U157" i="1"/>
  <c r="V52" i="1"/>
  <c r="S203" i="1"/>
  <c r="U359" i="1"/>
  <c r="V208" i="1"/>
  <c r="U185" i="1"/>
  <c r="S262" i="1"/>
  <c r="V352" i="1"/>
  <c r="V191" i="1"/>
  <c r="U104" i="1"/>
  <c r="T310" i="1"/>
  <c r="S355" i="1"/>
  <c r="V167" i="1"/>
  <c r="S71" i="1"/>
  <c r="U89" i="1"/>
  <c r="V327" i="1"/>
  <c r="U135" i="1"/>
  <c r="V192" i="1"/>
  <c r="U242" i="1"/>
  <c r="T78" i="1"/>
  <c r="T176" i="1"/>
  <c r="V89" i="1"/>
  <c r="T50" i="1"/>
  <c r="T252" i="1"/>
  <c r="V296" i="1"/>
  <c r="U230" i="1"/>
  <c r="S311" i="1"/>
  <c r="R323" i="1"/>
  <c r="S334" i="1"/>
  <c r="U301" i="1"/>
  <c r="U255" i="1"/>
  <c r="T216" i="1"/>
  <c r="R328" i="1"/>
  <c r="R225" i="1"/>
  <c r="T295" i="1"/>
  <c r="U33" i="1"/>
  <c r="V175" i="1"/>
  <c r="S127" i="1"/>
  <c r="U100" i="1"/>
  <c r="V149" i="1"/>
  <c r="V110" i="1"/>
  <c r="R282" i="1"/>
  <c r="U193" i="1"/>
  <c r="V311" i="1"/>
  <c r="S162" i="1"/>
  <c r="U212" i="1"/>
  <c r="R222" i="1"/>
  <c r="R208" i="1"/>
  <c r="U132" i="1"/>
  <c r="R27" i="1"/>
  <c r="S207" i="1"/>
  <c r="V302" i="1"/>
  <c r="R277" i="1"/>
  <c r="U313" i="1"/>
  <c r="V105" i="1"/>
  <c r="T245" i="1"/>
  <c r="S152" i="1"/>
  <c r="S261" i="1"/>
  <c r="U102" i="1"/>
  <c r="U228" i="1"/>
  <c r="T234" i="1"/>
  <c r="U263" i="1"/>
  <c r="V341" i="1"/>
  <c r="R49" i="1"/>
  <c r="U248" i="1"/>
  <c r="U351" i="1"/>
  <c r="V132" i="1"/>
  <c r="S138" i="1"/>
  <c r="V314" i="1"/>
  <c r="R203" i="1"/>
  <c r="V24" i="1"/>
  <c r="S139" i="1"/>
  <c r="U225" i="1"/>
  <c r="T106" i="1"/>
  <c r="R52" i="1"/>
  <c r="S36" i="1"/>
  <c r="U237" i="1"/>
  <c r="V96" i="1"/>
  <c r="S363" i="1"/>
  <c r="U232" i="1"/>
  <c r="T351" i="1"/>
  <c r="R26" i="1"/>
  <c r="U314" i="1"/>
  <c r="T185" i="1"/>
  <c r="U20" i="1"/>
  <c r="S248" i="1"/>
  <c r="S332" i="1"/>
  <c r="R178" i="1"/>
  <c r="T309" i="1"/>
  <c r="V277" i="1"/>
  <c r="R215" i="1"/>
  <c r="S194" i="1"/>
  <c r="U13" i="1"/>
  <c r="U64" i="1"/>
  <c r="V337" i="1"/>
  <c r="S285" i="1"/>
  <c r="U334" i="1"/>
  <c r="S220" i="1"/>
  <c r="U214" i="1"/>
  <c r="V255" i="1"/>
  <c r="T271" i="1"/>
  <c r="U21" i="1"/>
  <c r="V362" i="1"/>
  <c r="T289" i="1"/>
  <c r="T316" i="1"/>
  <c r="S346" i="1"/>
  <c r="R309" i="1"/>
  <c r="V201" i="1"/>
  <c r="U121" i="1"/>
  <c r="S183" i="1"/>
  <c r="S192" i="1"/>
  <c r="V304" i="1"/>
  <c r="S258" i="1"/>
  <c r="R317" i="1"/>
  <c r="U47" i="1"/>
  <c r="R220" i="1"/>
  <c r="R137" i="1"/>
  <c r="R308" i="1"/>
  <c r="V145" i="1"/>
  <c r="S303" i="1"/>
  <c r="T178" i="1"/>
  <c r="S107" i="1"/>
  <c r="R16" i="1"/>
  <c r="U326" i="1"/>
  <c r="T51" i="1"/>
  <c r="V223" i="1"/>
  <c r="V328" i="1"/>
  <c r="S244" i="1"/>
  <c r="R238" i="1"/>
  <c r="S189" i="1"/>
  <c r="V90" i="1"/>
  <c r="V112" i="1"/>
  <c r="V14" i="1"/>
  <c r="T266" i="1"/>
  <c r="U348" i="1"/>
  <c r="V43" i="1"/>
  <c r="U310" i="1"/>
  <c r="U106" i="1"/>
  <c r="U4" i="1"/>
  <c r="R31" i="1"/>
  <c r="V31" i="1"/>
  <c r="R36" i="1"/>
  <c r="T121" i="1"/>
  <c r="R187" i="1"/>
  <c r="S167" i="1"/>
  <c r="T239" i="1"/>
  <c r="V49" i="1"/>
  <c r="U265" i="1"/>
  <c r="R15" i="1"/>
  <c r="V81" i="1"/>
  <c r="S151" i="1"/>
  <c r="T308" i="1"/>
  <c r="R147" i="1"/>
  <c r="U282" i="1"/>
  <c r="U151" i="1"/>
  <c r="V301" i="1"/>
  <c r="T223" i="1"/>
  <c r="T26" i="1"/>
  <c r="U165" i="1"/>
  <c r="R228" i="1"/>
  <c r="S256" i="1"/>
  <c r="V265" i="1"/>
  <c r="T25" i="1"/>
  <c r="T166" i="1"/>
  <c r="V343" i="1"/>
  <c r="V270" i="1"/>
  <c r="V210" i="1"/>
  <c r="V273" i="1"/>
  <c r="V30" i="1"/>
  <c r="R124" i="1"/>
  <c r="R94" i="1"/>
  <c r="T82" i="1"/>
  <c r="U307" i="1"/>
  <c r="V204" i="1"/>
  <c r="R357" i="1"/>
  <c r="R43" i="1"/>
  <c r="S260" i="1"/>
  <c r="V303" i="1"/>
  <c r="R363" i="1"/>
  <c r="R313" i="1"/>
  <c r="S193" i="1"/>
  <c r="S121" i="1"/>
  <c r="R106" i="1"/>
  <c r="R354" i="1"/>
  <c r="V55" i="1"/>
  <c r="V134" i="1"/>
  <c r="V6" i="1"/>
  <c r="T303" i="1"/>
  <c r="T329" i="1"/>
  <c r="S6" i="1"/>
  <c r="V219" i="1"/>
  <c r="R42" i="1"/>
  <c r="T80" i="1"/>
  <c r="U269" i="1"/>
  <c r="T358" i="1"/>
  <c r="S190" i="1"/>
  <c r="S42" i="1"/>
  <c r="R249" i="1"/>
  <c r="R200" i="1"/>
  <c r="V258" i="1"/>
  <c r="R165" i="1"/>
  <c r="R85" i="1"/>
  <c r="V353" i="1"/>
  <c r="R14" i="1"/>
  <c r="U356" i="1"/>
  <c r="T210" i="1"/>
  <c r="V45" i="1"/>
  <c r="U298" i="1"/>
  <c r="R45" i="1"/>
  <c r="U45" i="1"/>
  <c r="V141" i="1"/>
  <c r="S187" i="1"/>
  <c r="V92" i="1"/>
  <c r="V33" i="1"/>
  <c r="V250" i="1"/>
  <c r="V254" i="1"/>
  <c r="R23" i="1"/>
  <c r="S200" i="1"/>
  <c r="S298" i="1"/>
  <c r="U138" i="1"/>
  <c r="U86" i="1"/>
  <c r="V347" i="1"/>
  <c r="S75" i="1"/>
  <c r="S87" i="1"/>
  <c r="S326" i="1"/>
  <c r="S281" i="1"/>
  <c r="V331" i="1"/>
  <c r="V4" i="1"/>
  <c r="U205" i="1"/>
  <c r="R144" i="1"/>
  <c r="S201" i="1"/>
  <c r="U345" i="1"/>
  <c r="T356" i="1"/>
  <c r="T171" i="1"/>
  <c r="V203" i="1"/>
  <c r="S29" i="1"/>
  <c r="R119" i="1"/>
  <c r="T48" i="1"/>
  <c r="V168" i="1"/>
  <c r="U338" i="1"/>
  <c r="V185" i="1"/>
  <c r="T320" i="1"/>
  <c r="T261" i="1"/>
  <c r="R170" i="1"/>
  <c r="V155" i="1"/>
  <c r="U349" i="1"/>
  <c r="V181" i="1"/>
  <c r="R223" i="1"/>
  <c r="T123" i="1"/>
  <c r="R297" i="1"/>
  <c r="T135" i="1"/>
  <c r="R171" i="1"/>
  <c r="S111" i="1"/>
  <c r="U181" i="1"/>
  <c r="R250" i="1"/>
  <c r="R275" i="1"/>
  <c r="V156" i="1"/>
  <c r="U148" i="1"/>
  <c r="V95" i="1"/>
  <c r="R311" i="1"/>
  <c r="T361" i="1"/>
  <c r="U288" i="1"/>
  <c r="R64" i="1"/>
  <c r="T153" i="1"/>
  <c r="R174" i="1"/>
  <c r="S212" i="1"/>
  <c r="S65" i="1"/>
  <c r="T127" i="1"/>
  <c r="S25" i="1"/>
  <c r="R358" i="1"/>
  <c r="U258" i="1"/>
  <c r="R296" i="1"/>
  <c r="R181" i="1"/>
  <c r="T60" i="1"/>
  <c r="S102" i="1"/>
  <c r="R305" i="1"/>
  <c r="V177" i="1"/>
  <c r="R247" i="1"/>
  <c r="T105" i="1"/>
  <c r="U133" i="1"/>
  <c r="V324" i="1"/>
  <c r="T177" i="1"/>
  <c r="U216" i="1"/>
  <c r="R111" i="1"/>
  <c r="S28" i="1"/>
  <c r="T140" i="1"/>
  <c r="S276" i="1"/>
  <c r="R51" i="1"/>
  <c r="R176" i="1"/>
  <c r="U37" i="1"/>
  <c r="R136" i="1"/>
  <c r="V135" i="1"/>
  <c r="U294" i="1"/>
  <c r="U226" i="1"/>
  <c r="S141" i="1"/>
  <c r="U280" i="1"/>
  <c r="S148" i="1"/>
  <c r="U29" i="1"/>
  <c r="T250" i="1"/>
  <c r="U101" i="1"/>
  <c r="U210" i="1"/>
  <c r="T38" i="1"/>
  <c r="R184" i="1"/>
  <c r="S227" i="1"/>
  <c r="V361" i="1"/>
  <c r="V200" i="1"/>
  <c r="V139" i="1"/>
  <c r="S254" i="1"/>
  <c r="V21" i="1"/>
  <c r="T253" i="1"/>
  <c r="T149" i="1"/>
  <c r="R333" i="1"/>
  <c r="U335" i="1"/>
  <c r="R259" i="1"/>
  <c r="S21" i="1"/>
  <c r="S247" i="1"/>
  <c r="U363" i="1"/>
  <c r="V174" i="1"/>
  <c r="S83" i="1"/>
  <c r="T288" i="1"/>
  <c r="R125" i="1"/>
  <c r="S348" i="1"/>
  <c r="S325" i="1"/>
  <c r="U353" i="1"/>
  <c r="U179" i="1"/>
  <c r="R156" i="1"/>
  <c r="S294" i="1"/>
  <c r="V263" i="1"/>
  <c r="T256" i="1"/>
  <c r="S124" i="1"/>
  <c r="T340" i="1"/>
  <c r="U304" i="1"/>
  <c r="T209" i="1"/>
  <c r="V360" i="1"/>
  <c r="V295" i="1"/>
  <c r="T7" i="1"/>
  <c r="S168" i="1"/>
  <c r="T229" i="1"/>
  <c r="T54" i="1"/>
  <c r="S329" i="1"/>
  <c r="V189" i="1"/>
  <c r="U158" i="1"/>
  <c r="S122" i="1"/>
  <c r="R118" i="1"/>
  <c r="S150" i="1"/>
  <c r="S57" i="1"/>
  <c r="R87" i="1"/>
  <c r="U27" i="1"/>
  <c r="U139" i="1"/>
  <c r="S296" i="1"/>
  <c r="R33" i="1"/>
  <c r="T321" i="1"/>
  <c r="T262" i="1"/>
  <c r="S134" i="1"/>
  <c r="U91" i="1"/>
  <c r="U308" i="1"/>
  <c r="T204" i="1"/>
  <c r="U83" i="1"/>
  <c r="V171" i="1"/>
  <c r="R186" i="1"/>
  <c r="S140" i="1"/>
  <c r="U336" i="1"/>
  <c r="U107" i="1"/>
  <c r="V106" i="1"/>
  <c r="V237" i="1"/>
  <c r="R298" i="1"/>
  <c r="T259" i="1"/>
  <c r="T130" i="1"/>
  <c r="R255" i="1"/>
  <c r="U180" i="1"/>
  <c r="U159" i="1"/>
  <c r="U174" i="1"/>
  <c r="S359" i="1"/>
  <c r="T9" i="1"/>
  <c r="T249" i="1"/>
  <c r="U112" i="1"/>
  <c r="V68" i="1"/>
  <c r="T179" i="1"/>
  <c r="U126" i="1"/>
  <c r="U166" i="1"/>
  <c r="T306" i="1"/>
  <c r="S34" i="1"/>
  <c r="T290" i="1"/>
  <c r="R24" i="1"/>
  <c r="R257" i="1"/>
  <c r="S132" i="1"/>
  <c r="S93" i="1"/>
  <c r="U90" i="1"/>
  <c r="T28" i="1"/>
  <c r="V25" i="1"/>
  <c r="S297" i="1"/>
  <c r="R314" i="1"/>
  <c r="T118" i="1"/>
  <c r="U41" i="1"/>
  <c r="V51" i="1"/>
  <c r="T162" i="1"/>
  <c r="V243" i="1"/>
  <c r="S318" i="1"/>
  <c r="S86" i="1"/>
  <c r="R235" i="1"/>
  <c r="V231" i="1"/>
  <c r="U177" i="1"/>
  <c r="U346" i="1"/>
  <c r="U362" i="1"/>
  <c r="V60" i="1"/>
  <c r="V99" i="1"/>
  <c r="R335" i="1"/>
  <c r="U127" i="1"/>
  <c r="T23" i="1"/>
  <c r="T333" i="1"/>
  <c r="R32" i="1"/>
  <c r="R179" i="1"/>
  <c r="S202" i="1"/>
  <c r="V85" i="1"/>
  <c r="T173" i="1"/>
  <c r="V78" i="1"/>
  <c r="T221" i="1"/>
  <c r="T156" i="1"/>
  <c r="V46" i="1"/>
  <c r="R244" i="1"/>
  <c r="U188" i="1"/>
  <c r="U11" i="1"/>
  <c r="S265" i="1"/>
  <c r="T152" i="1"/>
  <c r="S80" i="1"/>
  <c r="S98" i="1"/>
  <c r="R149" i="1"/>
  <c r="S221" i="1"/>
  <c r="U88" i="1"/>
  <c r="R72" i="1"/>
  <c r="S360" i="1"/>
  <c r="T109" i="1"/>
  <c r="S81" i="1"/>
  <c r="V83" i="1"/>
  <c r="V107" i="1"/>
  <c r="T63" i="1"/>
  <c r="R315" i="1"/>
  <c r="S241" i="1"/>
  <c r="V18" i="1"/>
  <c r="R214" i="1"/>
  <c r="V350" i="1"/>
  <c r="U8" i="1"/>
  <c r="S16" i="1"/>
  <c r="U6" i="1"/>
  <c r="T272" i="1"/>
  <c r="T39" i="1"/>
  <c r="V198" i="1"/>
  <c r="R210" i="1"/>
  <c r="T84" i="1"/>
  <c r="U224" i="1"/>
  <c r="U347" i="1"/>
  <c r="U46" i="1"/>
  <c r="S47" i="1"/>
  <c r="U305" i="1"/>
  <c r="R337" i="1"/>
  <c r="R352" i="1"/>
  <c r="S73" i="1"/>
  <c r="U142" i="1"/>
  <c r="T141" i="1"/>
  <c r="U73" i="1"/>
  <c r="S175" i="1"/>
  <c r="T233" i="1"/>
  <c r="T315" i="1"/>
  <c r="R81" i="1"/>
  <c r="S76" i="1"/>
  <c r="T199" i="1"/>
  <c r="T220" i="1"/>
  <c r="V172" i="1"/>
  <c r="S243" i="1"/>
  <c r="R234" i="1"/>
  <c r="S230" i="1"/>
  <c r="S224" i="1"/>
  <c r="V119" i="1"/>
  <c r="R267" i="1"/>
  <c r="V125" i="1"/>
  <c r="R129" i="1"/>
  <c r="S104" i="1"/>
  <c r="V249" i="1"/>
  <c r="V91" i="1"/>
  <c r="U36" i="1"/>
  <c r="U15" i="1"/>
  <c r="S288" i="1"/>
  <c r="U322" i="1"/>
  <c r="R8" i="1"/>
  <c r="U30" i="1"/>
  <c r="U190" i="1"/>
  <c r="R39" i="1"/>
  <c r="T312" i="1"/>
  <c r="R9" i="1"/>
  <c r="U231" i="1"/>
  <c r="S351" i="1"/>
  <c r="T126" i="1"/>
  <c r="R66" i="1"/>
  <c r="S357" i="1"/>
  <c r="U360" i="1"/>
  <c r="V312" i="1"/>
  <c r="S159" i="1"/>
  <c r="S22" i="1"/>
  <c r="T61" i="1"/>
  <c r="S286" i="1"/>
  <c r="T133" i="1"/>
  <c r="V345" i="1"/>
  <c r="V176" i="1"/>
  <c r="R92" i="1"/>
  <c r="T224" i="1"/>
  <c r="T238" i="1"/>
  <c r="R162" i="1"/>
  <c r="T337" i="1"/>
  <c r="U122" i="1"/>
  <c r="R330" i="1"/>
  <c r="V282" i="1"/>
  <c r="T285" i="1"/>
  <c r="V151" i="1"/>
  <c r="S160" i="1"/>
  <c r="S216" i="1"/>
  <c r="T124" i="1"/>
  <c r="U213" i="1"/>
  <c r="U251" i="1"/>
  <c r="R261" i="1"/>
  <c r="V16" i="1"/>
  <c r="R256" i="1"/>
  <c r="S246" i="1"/>
  <c r="U319" i="1"/>
  <c r="R150" i="1"/>
  <c r="V79" i="1"/>
  <c r="U243" i="1"/>
  <c r="V199" i="1"/>
  <c r="R324" i="1"/>
  <c r="V276" i="1"/>
  <c r="U324" i="1"/>
  <c r="T222" i="1"/>
  <c r="T103" i="1"/>
  <c r="S174" i="1"/>
  <c r="V320" i="1"/>
  <c r="R133" i="1"/>
  <c r="V104" i="1"/>
  <c r="T168" i="1"/>
  <c r="S312" i="1"/>
  <c r="R61" i="1"/>
  <c r="U97" i="1"/>
  <c r="R76" i="1"/>
  <c r="T273" i="1"/>
  <c r="V259" i="1"/>
  <c r="R190" i="1"/>
  <c r="U150" i="1"/>
  <c r="S344" i="1"/>
  <c r="R272" i="1"/>
  <c r="V317" i="1"/>
  <c r="S231" i="1"/>
  <c r="U80" i="1"/>
  <c r="R60" i="1"/>
  <c r="V121" i="1"/>
  <c r="R198" i="1"/>
  <c r="S157" i="1"/>
  <c r="V39" i="1"/>
  <c r="S345" i="1"/>
  <c r="T301" i="1"/>
  <c r="U261" i="1"/>
  <c r="U119" i="1"/>
  <c r="S324" i="1"/>
  <c r="T147" i="1"/>
  <c r="S170" i="1"/>
  <c r="T4" i="1"/>
  <c r="R344" i="1"/>
  <c r="T347" i="1"/>
  <c r="R348" i="1"/>
  <c r="V66" i="1"/>
  <c r="S196" i="1"/>
  <c r="R341" i="1"/>
  <c r="S163" i="1"/>
  <c r="V285" i="1"/>
  <c r="U55" i="1"/>
  <c r="T307" i="1"/>
  <c r="S82" i="1"/>
  <c r="U296" i="1"/>
  <c r="U233" i="1"/>
  <c r="T275" i="1"/>
  <c r="V158" i="1"/>
  <c r="V19" i="1"/>
  <c r="R270" i="1"/>
  <c r="S319" i="1"/>
  <c r="T24" i="1"/>
  <c r="T79" i="1"/>
  <c r="S301" i="1"/>
  <c r="U317" i="1"/>
  <c r="R17" i="1"/>
  <c r="R361" i="1"/>
  <c r="T237" i="1"/>
  <c r="R195" i="1"/>
  <c r="R294" i="1"/>
  <c r="V129" i="1"/>
  <c r="V202" i="1"/>
  <c r="U297" i="1"/>
  <c r="R334" i="1"/>
  <c r="T317" i="1"/>
  <c r="S123" i="1"/>
  <c r="R301" i="1"/>
  <c r="U32" i="1"/>
  <c r="T257" i="1"/>
  <c r="R69" i="1"/>
  <c r="T318" i="1"/>
  <c r="S226" i="1"/>
  <c r="S225" i="1"/>
  <c r="R312" i="1"/>
  <c r="V29" i="1"/>
  <c r="S169" i="1"/>
  <c r="T144" i="1"/>
  <c r="U272" i="1"/>
  <c r="S27" i="1"/>
  <c r="S172" i="1"/>
  <c r="S354" i="1"/>
  <c r="R252" i="1"/>
  <c r="U53" i="1"/>
  <c r="V183" i="1"/>
  <c r="R159" i="1"/>
  <c r="V153" i="1"/>
  <c r="V246" i="1"/>
  <c r="S343" i="1"/>
  <c r="V216" i="1"/>
  <c r="R153" i="1"/>
  <c r="R112" i="1"/>
  <c r="S30" i="1"/>
  <c r="U123" i="1"/>
  <c r="V334" i="1"/>
  <c r="U19" i="1"/>
  <c r="V72" i="1"/>
  <c r="R115" i="1"/>
  <c r="T174" i="1"/>
  <c r="T170" i="1"/>
  <c r="R300" i="1"/>
  <c r="U184" i="1"/>
  <c r="U276" i="1"/>
  <c r="R38" i="1"/>
  <c r="V293" i="1"/>
  <c r="R338" i="1"/>
  <c r="S74" i="1"/>
  <c r="R304" i="1"/>
  <c r="T42" i="1"/>
  <c r="U120" i="1"/>
  <c r="V40" i="1"/>
  <c r="U187" i="1"/>
  <c r="V306" i="1"/>
  <c r="U146" i="1"/>
  <c r="V61" i="1"/>
  <c r="R241" i="1"/>
  <c r="S84" i="1"/>
  <c r="U219" i="1"/>
  <c r="U198" i="1"/>
  <c r="U69" i="1"/>
  <c r="S279" i="1"/>
  <c r="S238" i="1"/>
  <c r="T150" i="1"/>
  <c r="T203" i="1"/>
  <c r="T268" i="1"/>
  <c r="R303" i="1"/>
  <c r="R103" i="1"/>
  <c r="R55" i="1"/>
  <c r="V340" i="1"/>
  <c r="S51" i="1"/>
  <c r="V279" i="1"/>
  <c r="T64" i="1"/>
  <c r="R319" i="1"/>
  <c r="U267" i="1"/>
  <c r="S100" i="1"/>
  <c r="V222" i="1"/>
  <c r="T160" i="1"/>
  <c r="U337" i="1"/>
  <c r="R20" i="1"/>
  <c r="V233" i="1"/>
  <c r="R243" i="1"/>
  <c r="R172" i="1"/>
  <c r="S130" i="1"/>
  <c r="T345" i="1"/>
  <c r="S90" i="1"/>
  <c r="V333" i="1"/>
  <c r="T104" i="1"/>
  <c r="R145" i="1"/>
  <c r="V32" i="1"/>
  <c r="U136" i="1"/>
  <c r="U291" i="1"/>
  <c r="U357" i="1"/>
  <c r="R246" i="1"/>
  <c r="V148" i="1"/>
  <c r="U343" i="1"/>
  <c r="V150" i="1"/>
  <c r="V173" i="1"/>
  <c r="V38" i="1"/>
  <c r="U76" i="1"/>
  <c r="U293" i="1"/>
  <c r="U196" i="1"/>
  <c r="U111" i="1"/>
  <c r="S144" i="1"/>
  <c r="V169" i="1"/>
  <c r="S48" i="1"/>
  <c r="V358" i="1"/>
  <c r="T76" i="1"/>
  <c r="T52" i="1"/>
  <c r="U241" i="1"/>
  <c r="V268" i="1"/>
  <c r="S199" i="1"/>
  <c r="S68" i="1"/>
  <c r="S128" i="1"/>
  <c r="R239" i="1"/>
  <c r="U275" i="1"/>
  <c r="U92" i="1"/>
  <c r="T319" i="1"/>
  <c r="T56" i="1"/>
  <c r="S333" i="1"/>
  <c r="R151" i="1"/>
  <c r="R126" i="1"/>
  <c r="V194" i="1"/>
  <c r="R113" i="1"/>
  <c r="V127" i="1"/>
  <c r="T43" i="1"/>
  <c r="U270" i="1"/>
  <c r="T36" i="1"/>
  <c r="R342" i="1"/>
  <c r="R253" i="1"/>
  <c r="V166" i="1"/>
  <c r="T323" i="1"/>
  <c r="U31" i="1"/>
  <c r="R288" i="1"/>
  <c r="U281" i="1"/>
  <c r="T115" i="1"/>
  <c r="U176" i="1"/>
  <c r="S270" i="1"/>
  <c r="T108" i="1"/>
  <c r="T291" i="1"/>
  <c r="T311" i="1"/>
  <c r="T284" i="1"/>
  <c r="S219" i="1"/>
  <c r="T276" i="1"/>
  <c r="T8" i="1"/>
  <c r="T120" i="1"/>
  <c r="U16" i="1"/>
  <c r="S156" i="1"/>
  <c r="R90" i="1"/>
  <c r="R227" i="1"/>
  <c r="U10" i="1"/>
  <c r="V143" i="1"/>
  <c r="U18" i="1"/>
  <c r="V7" i="1"/>
  <c r="T331" i="1"/>
  <c r="S20" i="1"/>
  <c r="U109" i="1"/>
  <c r="U17" i="1"/>
  <c r="R325" i="1"/>
  <c r="U34" i="1"/>
  <c r="S103" i="1"/>
  <c r="V50" i="1"/>
  <c r="V187" i="1"/>
  <c r="V162" i="1"/>
  <c r="U49" i="1"/>
  <c r="U208" i="1"/>
  <c r="T302" i="1"/>
  <c r="S252" i="1"/>
  <c r="T269" i="1"/>
  <c r="V218" i="1"/>
  <c r="T336" i="1"/>
  <c r="T326" i="1"/>
  <c r="V56" i="1"/>
  <c r="U60" i="1"/>
  <c r="R56" i="1"/>
  <c r="S180" i="1"/>
  <c r="U57" i="1"/>
  <c r="R286" i="1"/>
  <c r="V188" i="1"/>
  <c r="U113" i="1"/>
  <c r="T71" i="1"/>
  <c r="T175" i="1"/>
  <c r="R206" i="1"/>
  <c r="U154" i="1"/>
  <c r="T81" i="1"/>
  <c r="T66" i="1"/>
  <c r="R332" i="1"/>
  <c r="U134" i="1"/>
  <c r="U182" i="1"/>
  <c r="V266" i="1"/>
  <c r="R224" i="1"/>
  <c r="U321" i="1"/>
  <c r="U161" i="1"/>
  <c r="U164" i="1"/>
  <c r="S39" i="1"/>
  <c r="V355" i="1"/>
  <c r="V300" i="1"/>
  <c r="R139" i="1"/>
  <c r="T215" i="1"/>
  <c r="V239" i="1"/>
  <c r="S299" i="1"/>
  <c r="T352" i="1"/>
  <c r="S249" i="1"/>
  <c r="T151" i="1"/>
  <c r="V349" i="1"/>
  <c r="T232" i="1"/>
  <c r="R77" i="1"/>
  <c r="R213" i="1"/>
  <c r="S18" i="1"/>
  <c r="U77" i="1"/>
  <c r="U68" i="1"/>
  <c r="V308" i="1"/>
  <c r="T325" i="1"/>
  <c r="U170" i="1"/>
  <c r="R37" i="1"/>
  <c r="R258" i="1"/>
  <c r="R306" i="1"/>
  <c r="U218" i="1"/>
  <c r="R93" i="1"/>
  <c r="T16" i="1"/>
  <c r="R320" i="1"/>
  <c r="V256" i="1"/>
  <c r="V113" i="1"/>
  <c r="U329" i="1"/>
  <c r="U330" i="1"/>
  <c r="U145" i="1"/>
  <c r="S289" i="1"/>
  <c r="T154" i="1"/>
  <c r="S176" i="1"/>
  <c r="V241" i="1"/>
  <c r="R71" i="1"/>
  <c r="R78" i="1"/>
  <c r="V82" i="1"/>
  <c r="V42" i="1"/>
  <c r="R169" i="1"/>
  <c r="S211" i="1"/>
  <c r="V229" i="1"/>
  <c r="S15" i="1"/>
  <c r="S155" i="1"/>
  <c r="U266" i="1"/>
  <c r="R260" i="1"/>
  <c r="V98" i="1"/>
  <c r="V179" i="1"/>
  <c r="R158" i="1"/>
  <c r="S305" i="1"/>
  <c r="T196" i="1"/>
  <c r="T186" i="1"/>
  <c r="U253" i="1"/>
  <c r="S143" i="1"/>
  <c r="S114" i="1"/>
  <c r="T246" i="1"/>
  <c r="U62" i="1"/>
  <c r="U124" i="1"/>
  <c r="U235" i="1"/>
  <c r="U167" i="1"/>
  <c r="R345" i="1"/>
  <c r="T282" i="1"/>
  <c r="R40" i="1"/>
  <c r="S26" i="1"/>
  <c r="T148" i="1"/>
  <c r="U110" i="1"/>
  <c r="S177" i="1"/>
  <c r="S269" i="1"/>
  <c r="U38" i="1"/>
  <c r="U114" i="1"/>
  <c r="V354" i="1"/>
  <c r="U14" i="1"/>
  <c r="S263" i="1"/>
  <c r="S164" i="1"/>
  <c r="U238" i="1"/>
  <c r="U192" i="1"/>
  <c r="V261" i="1"/>
  <c r="R211" i="1"/>
  <c r="T27" i="1"/>
  <c r="R67" i="1"/>
  <c r="T73" i="1"/>
  <c r="U236" i="1"/>
  <c r="U217" i="1"/>
  <c r="V342" i="1"/>
  <c r="U239" i="1"/>
  <c r="U254" i="1"/>
  <c r="T47" i="1"/>
  <c r="S232" i="1"/>
  <c r="R80" i="1"/>
  <c r="S52" i="1"/>
  <c r="S208" i="1"/>
  <c r="S10" i="1"/>
  <c r="U206" i="1"/>
  <c r="V8" i="1"/>
  <c r="T40" i="1"/>
  <c r="R240" i="1"/>
  <c r="R96" i="1"/>
  <c r="S234" i="1"/>
  <c r="U70" i="1"/>
  <c r="T341" i="1"/>
  <c r="T57" i="1"/>
  <c r="S358" i="1"/>
  <c r="R193" i="1"/>
  <c r="V224" i="1"/>
  <c r="T354" i="1"/>
  <c r="R302" i="1"/>
  <c r="U234" i="1"/>
  <c r="S223" i="1"/>
  <c r="U82" i="1"/>
  <c r="R97" i="1"/>
  <c r="V67" i="1"/>
  <c r="T44" i="1"/>
  <c r="T346" i="1"/>
  <c r="V321" i="1"/>
  <c r="T206" i="1"/>
  <c r="T75" i="1"/>
  <c r="S240" i="1"/>
  <c r="S292" i="1"/>
  <c r="S287" i="1"/>
  <c r="S101" i="1"/>
  <c r="V37" i="1"/>
  <c r="T17" i="1"/>
  <c r="V253" i="1"/>
  <c r="T280" i="1"/>
  <c r="S46" i="1"/>
  <c r="S197" i="1"/>
  <c r="U105" i="1"/>
  <c r="R121" i="1"/>
  <c r="V28" i="1"/>
  <c r="U203" i="1"/>
  <c r="R316" i="1"/>
  <c r="S113" i="1"/>
  <c r="R28" i="1"/>
  <c r="U94" i="1"/>
  <c r="V305" i="1"/>
  <c r="S309" i="1"/>
  <c r="T330" i="1"/>
  <c r="R327" i="1"/>
  <c r="S110" i="1"/>
  <c r="U116" i="1"/>
  <c r="R201" i="1"/>
  <c r="T101" i="1"/>
  <c r="R108" i="1"/>
  <c r="S257" i="1"/>
  <c r="V238" i="1"/>
  <c r="S182" i="1"/>
  <c r="T343" i="1"/>
  <c r="T182" i="1"/>
  <c r="S119" i="1"/>
  <c r="U186" i="1"/>
  <c r="V54" i="1"/>
  <c r="S337" i="1"/>
  <c r="V287" i="1"/>
  <c r="S250" i="1"/>
  <c r="T247" i="1"/>
  <c r="U331" i="1"/>
  <c r="S278" i="1"/>
  <c r="R161" i="1"/>
  <c r="U183" i="1"/>
  <c r="R47" i="1"/>
  <c r="S50" i="1"/>
  <c r="T70" i="1"/>
  <c r="U75" i="1"/>
  <c r="R204" i="1"/>
  <c r="T155" i="1"/>
  <c r="U229" i="1"/>
  <c r="S339" i="1"/>
  <c r="U306" i="1"/>
  <c r="V59" i="1"/>
  <c r="S38" i="1"/>
  <c r="R318" i="1"/>
  <c r="U318" i="1"/>
  <c r="T95" i="1"/>
  <c r="U171" i="1"/>
  <c r="V58" i="1"/>
  <c r="U289" i="1"/>
  <c r="R349" i="1"/>
  <c r="S274" i="1"/>
  <c r="U12" i="1"/>
  <c r="V48" i="1"/>
  <c r="S321" i="1"/>
  <c r="V186" i="1"/>
  <c r="S165" i="1"/>
  <c r="T201" i="1"/>
  <c r="T100" i="1"/>
  <c r="T332" i="1"/>
  <c r="S198" i="1"/>
  <c r="T59" i="1"/>
  <c r="R207" i="1"/>
  <c r="T305" i="1"/>
  <c r="R70" i="1"/>
  <c r="U48" i="1"/>
  <c r="V344" i="1"/>
  <c r="S24" i="1"/>
  <c r="S209" i="1"/>
  <c r="S283" i="1"/>
  <c r="U202" i="1"/>
  <c r="U312" i="1"/>
  <c r="U211" i="1"/>
  <c r="T207" i="1"/>
  <c r="R263" i="1"/>
  <c r="V136" i="1"/>
  <c r="U117" i="1"/>
  <c r="T65" i="1"/>
  <c r="S78" i="1"/>
  <c r="U78" i="1"/>
  <c r="S135" i="1"/>
  <c r="V316" i="1"/>
  <c r="S43" i="1"/>
  <c r="T86" i="1"/>
  <c r="R219" i="1"/>
  <c r="S55" i="1"/>
  <c r="R192" i="1"/>
  <c r="T33" i="1"/>
  <c r="U118" i="1"/>
  <c r="R281" i="1"/>
  <c r="T88" i="1"/>
  <c r="R322" i="1"/>
  <c r="S341" i="1"/>
  <c r="T349" i="1"/>
  <c r="S336" i="1"/>
  <c r="R116" i="1"/>
  <c r="V245" i="1"/>
  <c r="T217" i="1"/>
  <c r="V182" i="1"/>
  <c r="R120" i="1"/>
  <c r="S310" i="1"/>
  <c r="V124" i="1"/>
  <c r="S317" i="1"/>
  <c r="R242" i="1"/>
  <c r="R289" i="1"/>
  <c r="S323" i="1"/>
  <c r="R276" i="1"/>
  <c r="T187" i="1"/>
  <c r="U128" i="1"/>
  <c r="V130" i="1"/>
  <c r="T260" i="1"/>
  <c r="S352" i="1"/>
  <c r="R122" i="1"/>
  <c r="V281" i="1"/>
  <c r="T29" i="1"/>
  <c r="T362" i="1"/>
  <c r="T89" i="1"/>
  <c r="U115" i="1"/>
  <c r="R7" i="1"/>
  <c r="R88" i="1"/>
  <c r="S60" i="1"/>
  <c r="T214" i="1"/>
  <c r="T58" i="1"/>
  <c r="R50" i="1"/>
  <c r="V351" i="1"/>
  <c r="V146" i="1"/>
  <c r="T11" i="1"/>
  <c r="U137" i="1"/>
  <c r="V144" i="1"/>
  <c r="U354" i="1"/>
  <c r="S112" i="1"/>
  <c r="V207" i="1"/>
  <c r="U361" i="1"/>
  <c r="S178" i="1"/>
  <c r="S280" i="1"/>
  <c r="R59" i="1"/>
  <c r="T102" i="1"/>
  <c r="R236" i="1"/>
  <c r="R284" i="1"/>
  <c r="U194" i="1"/>
  <c r="R355" i="1"/>
  <c r="V240" i="1"/>
  <c r="R65" i="1"/>
  <c r="T37" i="1"/>
  <c r="T277" i="1"/>
  <c r="V214" i="1"/>
  <c r="S33" i="1"/>
  <c r="T159" i="1"/>
  <c r="V165" i="1"/>
  <c r="S126" i="1"/>
  <c r="T91" i="1"/>
  <c r="S4" i="1"/>
  <c r="S158" i="1"/>
  <c r="R329" i="1"/>
  <c r="U285" i="1"/>
  <c r="R264" i="1"/>
  <c r="S307" i="1"/>
  <c r="U244" i="1"/>
  <c r="S67" i="1"/>
  <c r="V298" i="1"/>
  <c r="S304" i="1"/>
  <c r="S185" i="1"/>
  <c r="V73" i="1"/>
  <c r="U350" i="1"/>
  <c r="S302" i="1"/>
  <c r="U259" i="1"/>
  <c r="U240" i="1"/>
  <c r="T357" i="1"/>
  <c r="R343" i="1"/>
  <c r="S282" i="1"/>
  <c r="S335" i="1"/>
  <c r="T194" i="1"/>
  <c r="U340" i="1"/>
  <c r="T131" i="1"/>
  <c r="U153" i="1"/>
  <c r="V26" i="1"/>
  <c r="S106" i="1"/>
  <c r="R254" i="1"/>
  <c r="S105" i="1"/>
  <c r="V329" i="1"/>
  <c r="T180" i="1"/>
  <c r="R360" i="1"/>
  <c r="S88" i="1"/>
  <c r="U59" i="1"/>
  <c r="T143" i="1"/>
  <c r="V138" i="1"/>
  <c r="S356" i="1"/>
  <c r="R180" i="1"/>
  <c r="U28" i="1"/>
  <c r="T107" i="1"/>
  <c r="S97" i="1"/>
  <c r="T270" i="1"/>
  <c r="R362" i="1"/>
  <c r="U257" i="1"/>
  <c r="T161" i="1"/>
  <c r="V330" i="1"/>
  <c r="V251" i="1"/>
  <c r="U279" i="1"/>
  <c r="V84" i="1"/>
  <c r="V111" i="1"/>
  <c r="S245" i="1"/>
  <c r="R209" i="1"/>
  <c r="S186" i="1"/>
  <c r="R265" i="1"/>
  <c r="S149" i="1"/>
  <c r="V10" i="1"/>
  <c r="T228" i="1"/>
  <c r="V346" i="1"/>
  <c r="R217" i="1"/>
  <c r="S89" i="1"/>
  <c r="T286" i="1"/>
  <c r="S66" i="1"/>
  <c r="U131" i="1"/>
  <c r="U162" i="1"/>
  <c r="T172" i="1"/>
  <c r="R54" i="1"/>
  <c r="S342" i="1"/>
  <c r="U66" i="1"/>
  <c r="R123" i="1"/>
  <c r="S362" i="1"/>
  <c r="S37" i="1"/>
  <c r="T198" i="1"/>
  <c r="R110" i="1"/>
  <c r="U141" i="1"/>
  <c r="U299" i="1"/>
  <c r="R340" i="1"/>
  <c r="S61" i="1"/>
  <c r="V5" i="1"/>
  <c r="R12" i="1"/>
  <c r="V64" i="1"/>
  <c r="V348" i="1"/>
  <c r="T189" i="1"/>
  <c r="V228" i="1"/>
  <c r="U204" i="1"/>
  <c r="R41" i="1"/>
  <c r="V244" i="1"/>
  <c r="T225" i="1"/>
  <c r="T205" i="1"/>
  <c r="V230" i="1"/>
  <c r="R188" i="1"/>
  <c r="R83" i="1"/>
  <c r="U220" i="1"/>
  <c r="S300" i="1"/>
  <c r="U130" i="1"/>
  <c r="R135" i="1"/>
  <c r="T30" i="1"/>
  <c r="V103" i="1"/>
  <c r="U303" i="1"/>
  <c r="V294" i="1"/>
  <c r="T200" i="1"/>
  <c r="R30" i="1"/>
  <c r="T263" i="1"/>
  <c r="V88" i="1"/>
  <c r="V336" i="1"/>
  <c r="V35" i="1"/>
  <c r="U42" i="1"/>
  <c r="T299" i="1"/>
  <c r="U277" i="1"/>
  <c r="R58" i="1"/>
  <c r="R131" i="1"/>
  <c r="R248" i="1"/>
  <c r="U26" i="1"/>
  <c r="R128" i="1"/>
  <c r="R160" i="1"/>
  <c r="V209" i="1"/>
  <c r="V195" i="1"/>
  <c r="T12" i="1"/>
  <c r="T117" i="1"/>
  <c r="V217" i="1"/>
  <c r="R134" i="1"/>
  <c r="R283" i="1"/>
  <c r="U355" i="1"/>
  <c r="V310" i="1"/>
  <c r="R25" i="1"/>
  <c r="R75" i="1"/>
  <c r="R4" i="1"/>
  <c r="S129" i="1"/>
  <c r="S161" i="1"/>
  <c r="U173" i="1"/>
  <c r="V235" i="1"/>
  <c r="V131" i="1"/>
  <c r="V22" i="1"/>
  <c r="S328" i="1"/>
  <c r="R48" i="1"/>
  <c r="V74" i="1"/>
  <c r="V262" i="1"/>
  <c r="T230" i="1"/>
  <c r="V57" i="1"/>
  <c r="R237" i="1"/>
  <c r="S95" i="1"/>
  <c r="S215" i="1"/>
  <c r="U358" i="1"/>
  <c r="S242" i="1"/>
  <c r="R13" i="1"/>
  <c r="R130" i="1"/>
  <c r="R74" i="1"/>
  <c r="T114" i="1"/>
  <c r="T304" i="1"/>
  <c r="S295" i="1"/>
  <c r="T74" i="1"/>
  <c r="U344" i="1"/>
  <c r="R346" i="1"/>
  <c r="U152" i="1"/>
  <c r="V100" i="1"/>
  <c r="S361" i="1"/>
  <c r="T67" i="1"/>
  <c r="T281" i="1"/>
  <c r="T46" i="1"/>
  <c r="T146" i="1"/>
  <c r="R321" i="1"/>
  <c r="U96" i="1"/>
  <c r="T296" i="1"/>
  <c r="U252" i="1"/>
  <c r="T264" i="1"/>
  <c r="V123" i="1"/>
  <c r="S45" i="1"/>
  <c r="S147" i="1"/>
  <c r="T322" i="1"/>
  <c r="T99" i="1"/>
  <c r="S31" i="1"/>
  <c r="V23" i="1"/>
  <c r="V109" i="1"/>
  <c r="U249" i="1"/>
  <c r="T19" i="1"/>
  <c r="V160" i="1"/>
  <c r="U222" i="1"/>
  <c r="S253" i="1"/>
  <c r="S59" i="1"/>
  <c r="S210" i="1"/>
  <c r="V221" i="1"/>
  <c r="S259" i="1"/>
  <c r="S131" i="1"/>
  <c r="V275" i="1"/>
  <c r="U215" i="1"/>
  <c r="R185" i="1"/>
  <c r="S233" i="1"/>
  <c r="U22" i="1"/>
  <c r="U207" i="1"/>
  <c r="U342" i="1"/>
  <c r="R152" i="1"/>
  <c r="T334" i="1"/>
  <c r="V36" i="1"/>
  <c r="T77" i="1"/>
  <c r="R183" i="1"/>
  <c r="R326" i="1"/>
  <c r="T235" i="1"/>
  <c r="U98" i="1"/>
  <c r="U9" i="1"/>
  <c r="V65" i="1"/>
  <c r="U209" i="1"/>
  <c r="T32" i="1"/>
  <c r="V159" i="1"/>
  <c r="T169" i="1"/>
  <c r="T258" i="1"/>
  <c r="T128" i="1"/>
  <c r="V164" i="1"/>
  <c r="U256" i="1"/>
  <c r="V225" i="1"/>
  <c r="U25" i="1"/>
  <c r="V147" i="1"/>
  <c r="V236" i="1"/>
  <c r="V142" i="1"/>
  <c r="S313" i="1"/>
  <c r="S217" i="1"/>
  <c r="R6" i="1"/>
  <c r="S213" i="1"/>
  <c r="R68" i="1"/>
  <c r="V9" i="1"/>
  <c r="T212" i="1"/>
  <c r="R356" i="1"/>
  <c r="R82" i="1"/>
  <c r="R73" i="1"/>
  <c r="T353" i="1"/>
  <c r="T298" i="1"/>
  <c r="R79" i="1"/>
  <c r="T35" i="1"/>
  <c r="U309" i="1"/>
  <c r="U325" i="1"/>
  <c r="V326" i="1"/>
  <c r="T190" i="1"/>
  <c r="R202" i="1"/>
  <c r="S236" i="1"/>
  <c r="S125" i="1"/>
  <c r="V17" i="1"/>
  <c r="U35" i="1"/>
  <c r="R157" i="1"/>
  <c r="T359" i="1"/>
  <c r="R114" i="1"/>
  <c r="S166" i="1"/>
  <c r="S331" i="1"/>
  <c r="V290" i="1"/>
  <c r="S267" i="1"/>
  <c r="V227" i="1"/>
  <c r="R104" i="1"/>
  <c r="S77" i="1"/>
  <c r="U199" i="1"/>
  <c r="T193" i="1"/>
  <c r="T294" i="1"/>
  <c r="U160" i="1"/>
  <c r="R127" i="1"/>
  <c r="R339" i="1"/>
  <c r="U168" i="1"/>
  <c r="T255" i="1"/>
  <c r="U169" i="1"/>
  <c r="V257" i="1"/>
  <c r="S58" i="1"/>
  <c r="V356" i="1"/>
  <c r="S347" i="1"/>
  <c r="V101" i="1"/>
  <c r="T110" i="1"/>
  <c r="T167" i="1"/>
  <c r="R221" i="1"/>
  <c r="V122" i="1"/>
  <c r="U149" i="1"/>
  <c r="R98" i="1"/>
  <c r="U341" i="1"/>
  <c r="R19" i="1"/>
  <c r="R141" i="1"/>
  <c r="S19" i="1"/>
  <c r="V196" i="1"/>
  <c r="T342" i="1"/>
  <c r="T21" i="1"/>
  <c r="T192" i="1"/>
  <c r="V338" i="1"/>
  <c r="S40" i="1"/>
  <c r="V205" i="1"/>
  <c r="T158" i="1"/>
  <c r="T314" i="1"/>
  <c r="T328" i="1"/>
  <c r="R230" i="1"/>
  <c r="V118" i="1"/>
  <c r="S291" i="1"/>
  <c r="S136" i="1"/>
  <c r="U129" i="1"/>
  <c r="S32" i="1"/>
  <c r="T226" i="1"/>
  <c r="T31" i="1"/>
  <c r="U323" i="1"/>
  <c r="S49" i="1"/>
  <c r="V97" i="1"/>
  <c r="U320" i="1"/>
  <c r="S63" i="1"/>
  <c r="R194" i="1"/>
  <c r="V283" i="1"/>
  <c r="U200" i="1"/>
  <c r="R53" i="1"/>
  <c r="V140" i="1"/>
  <c r="U108" i="1"/>
  <c r="R307" i="1"/>
  <c r="T324" i="1"/>
  <c r="V44" i="1"/>
  <c r="T111" i="1"/>
  <c r="U271" i="1"/>
  <c r="S91" i="1"/>
  <c r="R351" i="1"/>
  <c r="T49" i="1"/>
  <c r="U58" i="1"/>
  <c r="T211" i="1"/>
  <c r="V359" i="1"/>
  <c r="S235" i="1"/>
  <c r="R273" i="1"/>
  <c r="T90" i="1"/>
  <c r="V206" i="1"/>
  <c r="V71" i="1"/>
  <c r="V63" i="1"/>
  <c r="V242" i="1"/>
  <c r="S214" i="1"/>
  <c r="V318" i="1"/>
  <c r="V323" i="1"/>
  <c r="U143" i="1"/>
  <c r="S255" i="1"/>
  <c r="T145" i="1"/>
  <c r="R101" i="1"/>
  <c r="R155" i="1"/>
  <c r="U54" i="1"/>
  <c r="T45" i="1"/>
  <c r="S133" i="1"/>
  <c r="U71" i="1"/>
  <c r="T188" i="1"/>
  <c r="R229" i="1"/>
  <c r="S184" i="1"/>
  <c r="V272" i="1"/>
  <c r="S153" i="1"/>
  <c r="V116" i="1"/>
  <c r="R11" i="1"/>
  <c r="S340" i="1"/>
  <c r="V108" i="1"/>
  <c r="U99" i="1"/>
  <c r="U191" i="1"/>
  <c r="T138" i="1"/>
  <c r="S96" i="1"/>
  <c r="S239" i="1"/>
  <c r="R168" i="1"/>
  <c r="S118" i="1"/>
  <c r="V234" i="1"/>
  <c r="T92" i="1"/>
  <c r="S14" i="1"/>
  <c r="V114" i="1"/>
  <c r="U287" i="1"/>
  <c r="V120" i="1"/>
  <c r="U327" i="1"/>
  <c r="V215" i="1"/>
  <c r="V332" i="1"/>
  <c r="S191" i="1"/>
  <c r="S92" i="1"/>
  <c r="V325" i="1"/>
  <c r="U95" i="1"/>
  <c r="R292" i="1"/>
  <c r="U262" i="1"/>
  <c r="T68" i="1"/>
  <c r="V322" i="1"/>
  <c r="V163" i="1"/>
  <c r="T363" i="1"/>
  <c r="V267" i="1"/>
  <c r="V264" i="1"/>
  <c r="U260" i="1"/>
  <c r="R251" i="1"/>
  <c r="T137" i="1"/>
  <c r="S23" i="1"/>
  <c r="T119" i="1"/>
  <c r="V226" i="1"/>
  <c r="R262" i="1"/>
  <c r="R285" i="1"/>
  <c r="V154" i="1"/>
  <c r="U72" i="1"/>
  <c r="T350" i="1"/>
  <c r="U67" i="1"/>
  <c r="S218" i="1"/>
  <c r="T113" i="1"/>
  <c r="V252" i="1"/>
  <c r="R350" i="1"/>
  <c r="U197" i="1"/>
  <c r="V27" i="1"/>
  <c r="S350" i="1"/>
  <c r="U163" i="1"/>
  <c r="S85" i="1"/>
  <c r="S273" i="1"/>
  <c r="R177" i="1"/>
  <c r="R132" i="1"/>
  <c r="T274" i="1"/>
  <c r="T85" i="1"/>
  <c r="R138" i="1"/>
  <c r="R57" i="1"/>
  <c r="R293" i="1"/>
  <c r="U125" i="1"/>
  <c r="U227" i="1"/>
  <c r="S275" i="1"/>
  <c r="T339" i="1"/>
  <c r="T240" i="1"/>
  <c r="V278" i="1"/>
  <c r="R146" i="1"/>
  <c r="S41" i="1"/>
  <c r="T300" i="1"/>
  <c r="T122" i="1"/>
  <c r="V53" i="1"/>
  <c r="S146" i="1"/>
  <c r="R274" i="1"/>
  <c r="V77" i="1"/>
  <c r="S116" i="1"/>
  <c r="T241" i="1"/>
  <c r="T34" i="1"/>
  <c r="V232" i="1"/>
  <c r="T267" i="1"/>
  <c r="S228" i="1"/>
  <c r="S330" i="1"/>
  <c r="T181" i="1"/>
  <c r="S277" i="1"/>
  <c r="S205" i="1"/>
  <c r="V292" i="1"/>
  <c r="S290" i="1"/>
  <c r="V180" i="1"/>
  <c r="T313" i="1"/>
  <c r="T14" i="1"/>
  <c r="R148" i="1"/>
  <c r="T134" i="1"/>
  <c r="S109" i="1"/>
  <c r="T293" i="1"/>
  <c r="S188" i="1"/>
  <c r="S94" i="1"/>
  <c r="U250" i="1"/>
  <c r="T242" i="1"/>
  <c r="U140" i="1"/>
  <c r="V286" i="1"/>
  <c r="U264" i="1"/>
  <c r="U274" i="1"/>
  <c r="R245" i="1"/>
  <c r="S314" i="1"/>
  <c r="U315" i="1"/>
  <c r="T97" i="1"/>
  <c r="S322" i="1"/>
  <c r="R205" i="1"/>
  <c r="T278" i="1"/>
  <c r="T287" i="1"/>
  <c r="U178" i="1"/>
  <c r="V288" i="1"/>
  <c r="U245" i="1"/>
  <c r="R280" i="1"/>
  <c r="U85" i="1"/>
  <c r="T236" i="1"/>
  <c r="V76" i="1"/>
  <c r="V152" i="1"/>
  <c r="U300" i="1"/>
  <c r="S8" i="1"/>
  <c r="T231" i="1"/>
  <c r="R290" i="1"/>
  <c r="T208" i="1"/>
  <c r="V357" i="1"/>
  <c r="S53" i="1"/>
  <c r="V170" i="1"/>
  <c r="V178" i="1"/>
  <c r="S264" i="1"/>
  <c r="R212" i="1"/>
  <c r="S284" i="1"/>
  <c r="R196" i="1"/>
  <c r="R34" i="1"/>
  <c r="V315" i="1"/>
  <c r="T41" i="1"/>
  <c r="R21" i="1"/>
  <c r="U79" i="1"/>
  <c r="V93" i="1"/>
  <c r="S308" i="1"/>
  <c r="T283" i="1"/>
  <c r="U352" i="1"/>
  <c r="V137" i="1"/>
  <c r="T254" i="1"/>
  <c r="T191" i="1"/>
  <c r="U23" i="1"/>
  <c r="U278" i="1"/>
  <c r="S145" i="1"/>
  <c r="S154" i="1"/>
  <c r="T112" i="1"/>
  <c r="T219" i="1"/>
  <c r="V297" i="1"/>
  <c r="U50" i="1"/>
  <c r="S206" i="1"/>
  <c r="V117" i="1"/>
  <c r="S271" i="1"/>
  <c r="R91" i="1"/>
  <c r="T116" i="1"/>
  <c r="S173" i="1"/>
  <c r="R84" i="1"/>
  <c r="R232" i="1"/>
  <c r="R140" i="1"/>
  <c r="U223" i="1"/>
  <c r="S120" i="1"/>
  <c r="R331" i="1"/>
  <c r="R189" i="1"/>
  <c r="R216" i="1"/>
  <c r="T164" i="1"/>
  <c r="U93" i="1"/>
  <c r="S195" i="1"/>
  <c r="V319" i="1"/>
  <c r="R107" i="1"/>
  <c r="R353" i="1"/>
  <c r="U51" i="1"/>
  <c r="S268" i="1"/>
  <c r="V69" i="1"/>
  <c r="T344" i="1"/>
  <c r="T348" i="1"/>
  <c r="V20" i="1"/>
  <c r="V11" i="1"/>
  <c r="R154" i="1"/>
  <c r="R359" i="1"/>
  <c r="T22" i="1"/>
  <c r="V313" i="1"/>
  <c r="V13" i="1"/>
  <c r="T355" i="1"/>
  <c r="S229" i="1"/>
  <c r="V307" i="1"/>
  <c r="V280" i="1"/>
  <c r="R95" i="1"/>
  <c r="U311" i="1"/>
  <c r="R299" i="1"/>
  <c r="T136" i="1"/>
  <c r="T279" i="1"/>
  <c r="V284" i="1"/>
  <c r="V12" i="1"/>
  <c r="V184" i="1"/>
  <c r="T163" i="1"/>
  <c r="T125" i="1"/>
  <c r="R269" i="1"/>
  <c r="S306" i="1"/>
  <c r="T20" i="1"/>
  <c r="R89" i="1"/>
  <c r="R175" i="1"/>
  <c r="V75" i="1"/>
  <c r="S327" i="1"/>
  <c r="S79" i="1"/>
  <c r="S44" i="1"/>
  <c r="S272" i="1"/>
  <c r="T165" i="1"/>
  <c r="S7" i="1"/>
  <c r="S9" i="1"/>
  <c r="S117" i="1"/>
  <c r="R266" i="1"/>
  <c r="R105" i="1"/>
  <c r="R102" i="1"/>
  <c r="S353" i="1"/>
  <c r="S171" i="1"/>
  <c r="U87" i="1"/>
  <c r="U247" i="1"/>
  <c r="U268" i="1"/>
  <c r="S5" i="1"/>
  <c r="T360" i="1"/>
  <c r="S338" i="1"/>
  <c r="T69" i="1"/>
  <c r="T83" i="1"/>
  <c r="U44" i="1"/>
  <c r="T129" i="1"/>
  <c r="R163" i="1"/>
  <c r="V70" i="1"/>
  <c r="S69" i="1"/>
  <c r="S11" i="1"/>
  <c r="R197" i="1"/>
  <c r="V211" i="1"/>
  <c r="R18" i="1"/>
  <c r="R173" i="1"/>
  <c r="T93" i="1"/>
  <c r="T139" i="1"/>
  <c r="U284" i="1"/>
  <c r="S315" i="1"/>
  <c r="U201" i="1"/>
  <c r="V161" i="1"/>
  <c r="T72" i="1"/>
  <c r="U103" i="1"/>
  <c r="T96" i="1"/>
  <c r="T62" i="1"/>
  <c r="R231" i="1"/>
  <c r="U147" i="1"/>
  <c r="R167" i="1"/>
  <c r="S204" i="1"/>
  <c r="T18" i="1"/>
  <c r="S266" i="1"/>
  <c r="R46" i="1"/>
  <c r="S179" i="1"/>
  <c r="R182" i="1"/>
  <c r="T265" i="1"/>
  <c r="T197" i="1"/>
  <c r="V157" i="1"/>
  <c r="U43" i="1"/>
  <c r="T292" i="1"/>
  <c r="R218" i="1"/>
  <c r="T218" i="1"/>
  <c r="V128" i="1"/>
  <c r="U5" i="1"/>
  <c r="R271" i="1"/>
  <c r="S222" i="1"/>
  <c r="U221" i="1"/>
  <c r="U52" i="1"/>
  <c r="U302" i="1"/>
  <c r="V193" i="1"/>
  <c r="T94" i="1"/>
  <c r="S62" i="1"/>
  <c r="T244" i="1"/>
  <c r="S349" i="1"/>
  <c r="U40" i="1"/>
  <c r="T297" i="1"/>
  <c r="R233" i="1"/>
  <c r="T6" i="1"/>
  <c r="U246" i="1"/>
  <c r="T183" i="1"/>
  <c r="T5" i="1"/>
  <c r="U189" i="1"/>
  <c r="T87" i="1"/>
  <c r="T15" i="1"/>
  <c r="V62" i="1"/>
  <c r="S17" i="1"/>
  <c r="R142" i="1"/>
  <c r="R279" i="1"/>
  <c r="V190" i="1"/>
  <c r="U24" i="1"/>
  <c r="R166" i="1"/>
  <c r="V126" i="1"/>
  <c r="R63" i="1"/>
  <c r="V260" i="1"/>
  <c r="T10" i="1"/>
  <c r="S237" i="1"/>
  <c r="V363" i="1"/>
  <c r="V41" i="1"/>
  <c r="V309" i="1"/>
  <c r="V94" i="1"/>
  <c r="V34" i="1"/>
  <c r="V299" i="1"/>
  <c r="R5" i="1"/>
  <c r="U74" i="1"/>
  <c r="R99" i="1"/>
  <c r="U155" i="1"/>
  <c r="W114" i="11" l="1"/>
  <c r="M67" i="11"/>
  <c r="M7" i="11"/>
  <c r="AG7" i="11" s="1"/>
  <c r="N38" i="11"/>
  <c r="O9" i="11"/>
  <c r="K54" i="11"/>
  <c r="N72" i="11"/>
  <c r="K17" i="11"/>
  <c r="K64" i="11"/>
  <c r="O94" i="11"/>
  <c r="O50" i="11"/>
  <c r="K83" i="11"/>
  <c r="K95" i="11"/>
  <c r="N14" i="11"/>
  <c r="K90" i="11"/>
  <c r="M46" i="11"/>
  <c r="AG46" i="11" s="1"/>
  <c r="O6" i="11"/>
  <c r="K38" i="11"/>
  <c r="K22" i="11"/>
  <c r="AE22" i="11" s="1"/>
  <c r="M66" i="11"/>
  <c r="L7" i="11"/>
  <c r="N29" i="11"/>
  <c r="K93" i="11"/>
  <c r="O100" i="11"/>
  <c r="L92" i="11"/>
  <c r="M38" i="11"/>
  <c r="N21" i="11"/>
  <c r="M41" i="11"/>
  <c r="O13" i="11"/>
  <c r="N95" i="11"/>
  <c r="M75" i="11"/>
  <c r="O101" i="11"/>
  <c r="K24" i="11"/>
  <c r="M56" i="11"/>
  <c r="O12" i="11"/>
  <c r="L88" i="11"/>
  <c r="L85" i="11"/>
  <c r="N24" i="11"/>
  <c r="K86" i="11"/>
  <c r="O98" i="11"/>
  <c r="L25" i="11"/>
  <c r="M42" i="11"/>
  <c r="N90" i="11"/>
  <c r="AH90" i="11" s="1"/>
  <c r="K30" i="11"/>
  <c r="M89" i="11"/>
  <c r="O61" i="11"/>
  <c r="N82" i="11"/>
  <c r="N48" i="11"/>
  <c r="K21" i="11"/>
  <c r="O28" i="11"/>
  <c r="L49" i="11"/>
  <c r="M13" i="11"/>
  <c r="N67" i="11"/>
  <c r="K33" i="11"/>
  <c r="O40" i="11"/>
  <c r="L61" i="11"/>
  <c r="K91" i="11"/>
  <c r="O31" i="11"/>
  <c r="L75" i="11"/>
  <c r="K11" i="11"/>
  <c r="O82" i="11"/>
  <c r="K42" i="11"/>
  <c r="O85" i="11"/>
  <c r="O92" i="11"/>
  <c r="L81" i="11"/>
  <c r="N35" i="11"/>
  <c r="O43" i="11"/>
  <c r="K57" i="11"/>
  <c r="N7" i="11"/>
  <c r="K40" i="11"/>
  <c r="O47" i="11"/>
  <c r="N63" i="11"/>
  <c r="K20" i="11"/>
  <c r="M83" i="11"/>
  <c r="L12" i="11"/>
  <c r="K74" i="11"/>
  <c r="O74" i="11"/>
  <c r="L23" i="11"/>
  <c r="O34" i="11"/>
  <c r="AI34" i="11" s="1"/>
  <c r="N50" i="11"/>
  <c r="K23" i="11"/>
  <c r="M94" i="11"/>
  <c r="O42" i="11"/>
  <c r="N33" i="11"/>
  <c r="M53" i="11"/>
  <c r="O25" i="11"/>
  <c r="N70" i="11"/>
  <c r="K65" i="11"/>
  <c r="M85" i="11"/>
  <c r="L26" i="11"/>
  <c r="N89" i="11"/>
  <c r="AH89" i="11" s="1"/>
  <c r="K37" i="11"/>
  <c r="AE37" i="11" s="1"/>
  <c r="O21" i="11"/>
  <c r="L42" i="11"/>
  <c r="N69" i="11"/>
  <c r="K71" i="11"/>
  <c r="O72" i="11"/>
  <c r="N10" i="11"/>
  <c r="K85" i="11"/>
  <c r="O45" i="11"/>
  <c r="L66" i="11"/>
  <c r="N34" i="11"/>
  <c r="K14" i="11"/>
  <c r="O57" i="11"/>
  <c r="L78" i="11"/>
  <c r="K84" i="11"/>
  <c r="M39" i="11"/>
  <c r="O96" i="11"/>
  <c r="L45" i="11"/>
  <c r="O76" i="11"/>
  <c r="O79" i="11"/>
  <c r="L52" i="11"/>
  <c r="N55" i="11"/>
  <c r="K76" i="11"/>
  <c r="O83" i="11"/>
  <c r="M59" i="11"/>
  <c r="N62" i="11"/>
  <c r="K35" i="11"/>
  <c r="M5" i="11"/>
  <c r="O54" i="11"/>
  <c r="K28" i="11"/>
  <c r="K27" i="11"/>
  <c r="M100" i="11"/>
  <c r="L55" i="11"/>
  <c r="K43" i="11"/>
  <c r="O84" i="11"/>
  <c r="L71" i="11"/>
  <c r="O81" i="11"/>
  <c r="N98" i="11"/>
  <c r="K9" i="11"/>
  <c r="O16" i="11"/>
  <c r="L37" i="11"/>
  <c r="K96" i="11"/>
  <c r="K67" i="11"/>
  <c r="O7" i="11"/>
  <c r="L95" i="11"/>
  <c r="L77" i="11"/>
  <c r="K79" i="11"/>
  <c r="O19" i="11"/>
  <c r="L93" i="11"/>
  <c r="O90" i="11"/>
  <c r="K82" i="11"/>
  <c r="M30" i="11"/>
  <c r="L86" i="11"/>
  <c r="K13" i="11"/>
  <c r="L65" i="11"/>
  <c r="L30" i="11"/>
  <c r="O49" i="11"/>
  <c r="M101" i="11"/>
  <c r="O52" i="11"/>
  <c r="M37" i="11"/>
  <c r="O77" i="11"/>
  <c r="L59" i="11"/>
  <c r="K99" i="11"/>
  <c r="N93" i="11"/>
  <c r="N58" i="11"/>
  <c r="N96" i="11"/>
  <c r="N104" i="11"/>
  <c r="M33" i="11"/>
  <c r="N5" i="11"/>
  <c r="K50" i="11"/>
  <c r="O93" i="11"/>
  <c r="L99" i="11"/>
  <c r="O80" i="11"/>
  <c r="N18" i="11"/>
  <c r="M62" i="11"/>
  <c r="O58" i="11"/>
  <c r="L82" i="11"/>
  <c r="K29" i="11"/>
  <c r="M49" i="11"/>
  <c r="L80" i="11"/>
  <c r="N41" i="11"/>
  <c r="K98" i="11"/>
  <c r="O86" i="11"/>
  <c r="L6" i="11"/>
  <c r="N94" i="11"/>
  <c r="K88" i="11"/>
  <c r="O95" i="11"/>
  <c r="N8" i="11"/>
  <c r="K68" i="11"/>
  <c r="M28" i="11"/>
  <c r="L60" i="11"/>
  <c r="K36" i="11"/>
  <c r="M68" i="11"/>
  <c r="O24" i="11"/>
  <c r="L100" i="11"/>
  <c r="L102" i="11"/>
  <c r="N101" i="11"/>
  <c r="K61" i="11"/>
  <c r="O33" i="11"/>
  <c r="L54" i="11"/>
  <c r="K60" i="11"/>
  <c r="M92" i="11"/>
  <c r="O48" i="11"/>
  <c r="L21" i="11"/>
  <c r="K72" i="11"/>
  <c r="M104" i="11"/>
  <c r="O60" i="11"/>
  <c r="L33" i="11"/>
  <c r="L32" i="11"/>
  <c r="N56" i="11"/>
  <c r="N27" i="11"/>
  <c r="K87" i="11"/>
  <c r="M47" i="11"/>
  <c r="L41" i="11"/>
  <c r="L40" i="11"/>
  <c r="N42" i="11"/>
  <c r="M69" i="11"/>
  <c r="N81" i="11"/>
  <c r="M10" i="11"/>
  <c r="N54" i="11"/>
  <c r="O53" i="11"/>
  <c r="K97" i="11"/>
  <c r="K69" i="11"/>
  <c r="L97" i="11"/>
  <c r="K49" i="11"/>
  <c r="N22" i="11"/>
  <c r="K70" i="11"/>
  <c r="O55" i="11"/>
  <c r="L28" i="11"/>
  <c r="N59" i="11"/>
  <c r="M79" i="11"/>
  <c r="O99" i="11"/>
  <c r="K34" i="11"/>
  <c r="M78" i="11"/>
  <c r="L19" i="11"/>
  <c r="K7" i="11"/>
  <c r="O14" i="11"/>
  <c r="L35" i="11"/>
  <c r="O89" i="11"/>
  <c r="N53" i="11"/>
  <c r="K80" i="11"/>
  <c r="O41" i="11"/>
  <c r="L18" i="11"/>
  <c r="M84" i="11"/>
  <c r="N49" i="11"/>
  <c r="M81" i="11"/>
  <c r="L44" i="11"/>
  <c r="K77" i="11"/>
  <c r="M97" i="11"/>
  <c r="L38" i="11"/>
  <c r="K55" i="11"/>
  <c r="O17" i="11"/>
  <c r="L83" i="11"/>
  <c r="K101" i="11"/>
  <c r="M6" i="11"/>
  <c r="L62" i="11"/>
  <c r="K58" i="11"/>
  <c r="M18" i="11"/>
  <c r="L74" i="11"/>
  <c r="N97" i="11"/>
  <c r="N68" i="11"/>
  <c r="M27" i="11"/>
  <c r="L8" i="11"/>
  <c r="O67" i="11"/>
  <c r="K25" i="11"/>
  <c r="O27" i="11"/>
  <c r="O73" i="11"/>
  <c r="N43" i="11"/>
  <c r="M98" i="11"/>
  <c r="K31" i="11"/>
  <c r="O32" i="11"/>
  <c r="O11" i="11"/>
  <c r="L90" i="11"/>
  <c r="M34" i="11"/>
  <c r="L17" i="11"/>
  <c r="M20" i="11"/>
  <c r="K78" i="11"/>
  <c r="K94" i="11"/>
  <c r="M25" i="11"/>
  <c r="O5" i="11"/>
  <c r="L69" i="11"/>
  <c r="N79" i="11"/>
  <c r="M17" i="11"/>
  <c r="O104" i="11"/>
  <c r="N75" i="11"/>
  <c r="K32" i="11"/>
  <c r="M95" i="11"/>
  <c r="L24" i="11"/>
  <c r="K73" i="11"/>
  <c r="M32" i="11"/>
  <c r="O91" i="11"/>
  <c r="L64" i="11"/>
  <c r="L98" i="11"/>
  <c r="K19" i="11"/>
  <c r="O26" i="11"/>
  <c r="L47" i="11"/>
  <c r="O75" i="11"/>
  <c r="N66" i="11"/>
  <c r="M63" i="11"/>
  <c r="O65" i="11"/>
  <c r="L39" i="11"/>
  <c r="K39" i="11"/>
  <c r="M15" i="11"/>
  <c r="L67" i="11"/>
  <c r="K48" i="11"/>
  <c r="M80" i="11"/>
  <c r="O36" i="11"/>
  <c r="L9" i="11"/>
  <c r="O35" i="11"/>
  <c r="N32" i="11"/>
  <c r="K63" i="11"/>
  <c r="M23" i="11"/>
  <c r="L91" i="11"/>
  <c r="K75" i="11"/>
  <c r="M35" i="11"/>
  <c r="L103" i="11"/>
  <c r="N64" i="11"/>
  <c r="N46" i="11"/>
  <c r="M26" i="11"/>
  <c r="O22" i="11"/>
  <c r="L46" i="11"/>
  <c r="M86" i="11"/>
  <c r="M103" i="11"/>
  <c r="O69" i="11"/>
  <c r="K10" i="11"/>
  <c r="L89" i="11"/>
  <c r="N13" i="11"/>
  <c r="L29" i="11"/>
  <c r="K41" i="11"/>
  <c r="M61" i="11"/>
  <c r="L104" i="11"/>
  <c r="K12" i="11"/>
  <c r="M44" i="11"/>
  <c r="O103" i="11"/>
  <c r="L76" i="11"/>
  <c r="N16" i="11"/>
  <c r="M12" i="11"/>
  <c r="O8" i="11"/>
  <c r="N39" i="11"/>
  <c r="N20" i="11"/>
  <c r="K92" i="11"/>
  <c r="M40" i="11"/>
  <c r="L72" i="11"/>
  <c r="K89" i="11"/>
  <c r="M51" i="11"/>
  <c r="L50" i="11"/>
  <c r="L16" i="11"/>
  <c r="N73" i="11"/>
  <c r="N44" i="11"/>
  <c r="K5" i="11"/>
  <c r="M76" i="11"/>
  <c r="L96" i="11"/>
  <c r="M88" i="11"/>
  <c r="L101" i="11"/>
  <c r="N60" i="11"/>
  <c r="N23" i="11"/>
  <c r="M43" i="11"/>
  <c r="O63" i="11"/>
  <c r="L58" i="11"/>
  <c r="M70" i="11"/>
  <c r="L15" i="11"/>
  <c r="K18" i="11"/>
  <c r="L73" i="11"/>
  <c r="M96" i="11"/>
  <c r="O71" i="11"/>
  <c r="L27" i="11"/>
  <c r="K59" i="11"/>
  <c r="M36" i="11"/>
  <c r="K26" i="11"/>
  <c r="K102" i="11"/>
  <c r="M55" i="11"/>
  <c r="N51" i="11"/>
  <c r="K8" i="11"/>
  <c r="M71" i="11"/>
  <c r="L87" i="11"/>
  <c r="N19" i="11"/>
  <c r="K52" i="11"/>
  <c r="O59" i="11"/>
  <c r="N30" i="11"/>
  <c r="M74" i="11"/>
  <c r="O70" i="11"/>
  <c r="L94" i="11"/>
  <c r="K46" i="11"/>
  <c r="M90" i="11"/>
  <c r="L31" i="11"/>
  <c r="K53" i="11"/>
  <c r="M73" i="11"/>
  <c r="L14" i="11"/>
  <c r="N45" i="11"/>
  <c r="K6" i="11"/>
  <c r="M65" i="11"/>
  <c r="O37" i="11"/>
  <c r="N61" i="11"/>
  <c r="M93" i="11"/>
  <c r="L68" i="11"/>
  <c r="K51" i="11"/>
  <c r="M11" i="11"/>
  <c r="L79" i="11"/>
  <c r="N40" i="11"/>
  <c r="N85" i="11"/>
  <c r="M99" i="11"/>
  <c r="L22" i="11"/>
  <c r="M14" i="11"/>
  <c r="O10" i="11"/>
  <c r="L34" i="11"/>
  <c r="N76" i="11"/>
  <c r="M72" i="11"/>
  <c r="O68" i="11"/>
  <c r="O87" i="11"/>
  <c r="L57" i="11"/>
  <c r="M77" i="11"/>
  <c r="L63" i="11"/>
  <c r="N11" i="11"/>
  <c r="K45" i="11"/>
  <c r="O102" i="11"/>
  <c r="M54" i="11"/>
  <c r="M58" i="11"/>
  <c r="M21" i="11"/>
  <c r="L56" i="11"/>
  <c r="N17" i="11"/>
  <c r="K81" i="11"/>
  <c r="O88" i="11"/>
  <c r="L20" i="11"/>
  <c r="N71" i="11"/>
  <c r="M91" i="11"/>
  <c r="O29" i="11"/>
  <c r="N87" i="11"/>
  <c r="K44" i="11"/>
  <c r="M64" i="11"/>
  <c r="L36" i="11"/>
  <c r="K15" i="11"/>
  <c r="M102" i="11"/>
  <c r="L43" i="11"/>
  <c r="N74" i="11"/>
  <c r="K47" i="11"/>
  <c r="O78" i="11"/>
  <c r="N78" i="11"/>
  <c r="M87" i="11"/>
  <c r="O15" i="11"/>
  <c r="L51" i="11"/>
  <c r="K104" i="11"/>
  <c r="M52" i="11"/>
  <c r="L84" i="11"/>
  <c r="N36" i="11"/>
  <c r="N102" i="11"/>
  <c r="M19" i="11"/>
  <c r="O39" i="11"/>
  <c r="L5" i="11"/>
  <c r="M31" i="11"/>
  <c r="O51" i="11"/>
  <c r="N103" i="11"/>
  <c r="K66" i="11"/>
  <c r="M22" i="11"/>
  <c r="O97" i="11"/>
  <c r="N47" i="11"/>
  <c r="M8" i="11"/>
  <c r="O30" i="11"/>
  <c r="N37" i="11"/>
  <c r="N65" i="11"/>
  <c r="N57" i="11"/>
  <c r="N84" i="11"/>
  <c r="N100" i="11"/>
  <c r="N83" i="11"/>
  <c r="N86" i="11"/>
  <c r="N31" i="11"/>
  <c r="N26" i="11"/>
  <c r="O18" i="11"/>
  <c r="K103" i="11"/>
  <c r="M45" i="11"/>
  <c r="N92" i="11"/>
  <c r="N6" i="11"/>
  <c r="M50" i="11"/>
  <c r="O46" i="11"/>
  <c r="L70" i="11"/>
  <c r="K62" i="11"/>
  <c r="O62" i="11"/>
  <c r="L11" i="11"/>
  <c r="O64" i="11"/>
  <c r="N9" i="11"/>
  <c r="M29" i="11"/>
  <c r="O66" i="11"/>
  <c r="N88" i="11"/>
  <c r="N25" i="11"/>
  <c r="M57" i="11"/>
  <c r="L53" i="11"/>
  <c r="N99" i="11"/>
  <c r="K56" i="11"/>
  <c r="M16" i="11"/>
  <c r="L48" i="11"/>
  <c r="N12" i="11"/>
  <c r="K100" i="11"/>
  <c r="O38" i="11"/>
  <c r="L13" i="11"/>
  <c r="M9" i="11"/>
  <c r="N28" i="11"/>
  <c r="M24" i="11"/>
  <c r="O20" i="11"/>
  <c r="N80" i="11"/>
  <c r="M82" i="11"/>
  <c r="L10" i="11"/>
  <c r="N52" i="11"/>
  <c r="M48" i="11"/>
  <c r="O44" i="11"/>
  <c r="N15" i="11"/>
  <c r="M60" i="11"/>
  <c r="O56" i="11"/>
  <c r="N77" i="11"/>
  <c r="N91" i="11"/>
  <c r="K16" i="11"/>
  <c r="O23" i="11"/>
  <c r="AH14" i="11"/>
  <c r="AG38" i="11"/>
  <c r="AI25" i="11"/>
  <c r="AG56" i="11"/>
  <c r="AH24" i="11"/>
  <c r="AI28" i="11"/>
  <c r="AE54" i="11"/>
  <c r="P92" i="8"/>
  <c r="P93" i="8" s="1"/>
  <c r="P94" i="8" s="1"/>
  <c r="P95" i="8" s="1"/>
  <c r="P96" i="8" s="1"/>
  <c r="P97" i="8" s="1"/>
  <c r="P98" i="8" s="1"/>
  <c r="P99" i="8" s="1"/>
  <c r="P100" i="8" s="1"/>
  <c r="P101" i="8" s="1"/>
  <c r="AK144" i="8"/>
  <c r="AK161" i="8"/>
  <c r="AK154" i="8"/>
  <c r="AK147" i="8"/>
  <c r="AK140" i="8"/>
  <c r="AK133" i="8"/>
  <c r="AK150" i="8"/>
  <c r="AK131" i="8"/>
  <c r="AK141" i="8"/>
  <c r="AK146" i="8"/>
  <c r="AK158" i="8"/>
  <c r="AK139" i="8"/>
  <c r="AK168" i="8"/>
  <c r="AK125" i="8"/>
  <c r="AK118" i="8"/>
  <c r="AK111" i="8"/>
  <c r="AK104" i="8"/>
  <c r="AK97" i="8"/>
  <c r="AK114" i="8"/>
  <c r="AK95" i="8"/>
  <c r="AK148" i="8"/>
  <c r="AK105" i="8"/>
  <c r="AK122" i="8"/>
  <c r="AK103" i="8"/>
  <c r="AK108" i="8"/>
  <c r="AK157" i="8"/>
  <c r="AK155" i="8"/>
  <c r="AK163" i="8"/>
  <c r="AK149" i="8"/>
  <c r="AK142" i="8"/>
  <c r="AK135" i="8"/>
  <c r="AK128" i="8"/>
  <c r="AK121" i="8"/>
  <c r="AK138" i="8"/>
  <c r="AK162" i="8"/>
  <c r="AK119" i="8"/>
  <c r="AK129" i="8"/>
  <c r="AK151" i="8"/>
  <c r="AK116" i="8"/>
  <c r="AK160" i="8"/>
  <c r="AK169" i="8"/>
  <c r="AK112" i="8"/>
  <c r="AK127" i="8"/>
  <c r="AK132" i="8"/>
  <c r="AK113" i="8"/>
  <c r="AK106" i="8"/>
  <c r="AK99" i="8"/>
  <c r="AK92" i="8"/>
  <c r="AK102" i="8"/>
  <c r="AK136" i="8"/>
  <c r="AK93" i="8"/>
  <c r="AK110" i="8"/>
  <c r="AK170" i="8"/>
  <c r="AK137" i="8"/>
  <c r="AK130" i="8"/>
  <c r="AK109" i="8"/>
  <c r="AK120" i="8"/>
  <c r="AK101" i="8"/>
  <c r="AK167" i="8"/>
  <c r="AK98" i="8"/>
  <c r="AK164" i="8"/>
  <c r="AK165" i="8"/>
  <c r="AK91" i="8"/>
  <c r="AK96" i="8"/>
  <c r="AK156" i="8"/>
  <c r="AK166" i="8"/>
  <c r="AK159" i="8"/>
  <c r="AK152" i="8"/>
  <c r="AK145" i="8"/>
  <c r="AK143" i="8"/>
  <c r="AK100" i="8"/>
  <c r="AK153" i="8"/>
  <c r="AK123" i="8"/>
  <c r="AK126" i="8"/>
  <c r="AK107" i="8"/>
  <c r="AK117" i="8"/>
  <c r="AK134" i="8"/>
  <c r="AK115" i="8"/>
  <c r="AK94" i="8"/>
  <c r="AK124" i="8"/>
  <c r="AO82" i="8"/>
  <c r="AL36" i="8"/>
  <c r="AK69" i="8"/>
  <c r="AO43" i="8"/>
  <c r="AN66" i="8"/>
  <c r="AK80" i="8"/>
  <c r="AO50" i="8"/>
  <c r="AM63" i="8"/>
  <c r="AK53" i="8"/>
  <c r="AK37" i="8"/>
  <c r="AL18" i="8"/>
  <c r="AO77" i="8"/>
  <c r="AU73" i="10"/>
  <c r="AW64" i="10"/>
  <c r="AS52" i="10"/>
  <c r="AT15" i="10"/>
  <c r="AW46" i="10"/>
  <c r="AM15" i="8"/>
  <c r="AM88" i="8"/>
  <c r="AO88" i="8"/>
  <c r="AT70" i="10"/>
  <c r="AS18" i="10"/>
  <c r="AT76" i="10"/>
  <c r="AT60" i="10"/>
  <c r="AU35" i="10"/>
  <c r="AO68" i="8"/>
  <c r="AO38" i="8"/>
  <c r="AL77" i="8"/>
  <c r="AU93" i="10"/>
  <c r="AW28" i="10"/>
  <c r="AS48" i="10"/>
  <c r="AW32" i="10"/>
  <c r="AW44" i="10"/>
  <c r="AM34" i="8"/>
  <c r="AM72" i="8"/>
  <c r="AN21" i="8"/>
  <c r="AL26" i="8"/>
  <c r="AU89" i="10"/>
  <c r="AV57" i="10"/>
  <c r="AT36" i="10"/>
  <c r="AV50" i="10"/>
  <c r="AU94" i="10"/>
  <c r="AO74" i="8"/>
  <c r="AL38" i="8"/>
  <c r="AM77" i="8"/>
  <c r="AO48" i="8"/>
  <c r="AT31" i="10"/>
  <c r="AU106" i="10"/>
  <c r="AW18" i="10"/>
  <c r="AW93" i="10"/>
  <c r="AW108" i="10"/>
  <c r="AK21" i="8"/>
  <c r="AO72" i="8"/>
  <c r="AO90" i="8"/>
  <c r="AK75" i="8"/>
  <c r="AS64" i="10"/>
  <c r="AS21" i="10"/>
  <c r="AW34" i="10"/>
  <c r="AS76" i="10"/>
  <c r="AV71" i="10"/>
  <c r="AL87" i="8"/>
  <c r="AN40" i="8"/>
  <c r="AO73" i="8"/>
  <c r="AT12" i="10"/>
  <c r="AV51" i="10"/>
  <c r="AV41" i="10"/>
  <c r="AS107" i="10"/>
  <c r="AT57" i="10"/>
  <c r="AL67" i="8"/>
  <c r="AL47" i="8"/>
  <c r="AK58" i="8"/>
  <c r="AM82" i="8"/>
  <c r="AW102" i="10"/>
  <c r="AV90" i="10"/>
  <c r="AW70" i="10"/>
  <c r="AU102" i="10"/>
  <c r="AT55" i="10"/>
  <c r="AO65" i="8"/>
  <c r="AK65" i="8"/>
  <c r="AO22" i="8"/>
  <c r="AU69" i="10"/>
  <c r="AV108" i="10"/>
  <c r="AV84" i="10"/>
  <c r="AU80" i="10"/>
  <c r="AU104" i="10"/>
  <c r="AK33" i="8"/>
  <c r="AW37" i="10"/>
  <c r="AT39" i="10"/>
  <c r="AU52" i="10"/>
  <c r="AN42" i="8"/>
  <c r="AM78" i="8"/>
  <c r="AL52" i="8"/>
  <c r="AK16" i="8"/>
  <c r="AL98" i="8"/>
  <c r="AL163" i="8"/>
  <c r="AL103" i="8"/>
  <c r="AL166" i="8"/>
  <c r="AL159" i="8"/>
  <c r="AL152" i="8"/>
  <c r="AL150" i="8"/>
  <c r="AL107" i="8"/>
  <c r="AL160" i="8"/>
  <c r="AL167" i="8"/>
  <c r="AL122" i="8"/>
  <c r="AL127" i="8"/>
  <c r="AL94" i="8"/>
  <c r="AL97" i="8"/>
  <c r="AL158" i="8"/>
  <c r="AL144" i="8"/>
  <c r="AL137" i="8"/>
  <c r="AL130" i="8"/>
  <c r="AL123" i="8"/>
  <c r="AL116" i="8"/>
  <c r="AL133" i="8"/>
  <c r="AL114" i="8"/>
  <c r="AL141" i="8"/>
  <c r="AL124" i="8"/>
  <c r="AL108" i="8"/>
  <c r="AL101" i="8"/>
  <c r="AL91" i="8"/>
  <c r="AL151" i="8"/>
  <c r="AL168" i="8"/>
  <c r="AL161" i="8"/>
  <c r="AL154" i="8"/>
  <c r="AL147" i="8"/>
  <c r="AL140" i="8"/>
  <c r="AL138" i="8"/>
  <c r="AL95" i="8"/>
  <c r="AL153" i="8"/>
  <c r="AL148" i="8"/>
  <c r="AL156" i="8"/>
  <c r="AL142" i="8"/>
  <c r="AL128" i="8"/>
  <c r="AL145" i="8"/>
  <c r="AL126" i="8"/>
  <c r="AL136" i="8"/>
  <c r="AL134" i="8"/>
  <c r="AL106" i="8"/>
  <c r="AL117" i="8"/>
  <c r="AL105" i="8"/>
  <c r="AL146" i="8"/>
  <c r="AL132" i="8"/>
  <c r="AL125" i="8"/>
  <c r="AL118" i="8"/>
  <c r="AL111" i="8"/>
  <c r="AL104" i="8"/>
  <c r="AL121" i="8"/>
  <c r="AL102" i="8"/>
  <c r="AL155" i="8"/>
  <c r="AL112" i="8"/>
  <c r="AL129" i="8"/>
  <c r="AL135" i="8"/>
  <c r="AL169" i="8"/>
  <c r="AL113" i="8"/>
  <c r="AL92" i="8"/>
  <c r="AL143" i="8"/>
  <c r="AL165" i="8"/>
  <c r="AL110" i="8"/>
  <c r="AL115" i="8"/>
  <c r="AL96" i="8"/>
  <c r="AL157" i="8"/>
  <c r="AL164" i="8"/>
  <c r="AL162" i="8"/>
  <c r="AL119" i="8"/>
  <c r="AL93" i="8"/>
  <c r="AL170" i="8"/>
  <c r="AL149" i="8"/>
  <c r="AL139" i="8"/>
  <c r="AL120" i="8"/>
  <c r="AL99" i="8"/>
  <c r="AL109" i="8"/>
  <c r="AL100" i="8"/>
  <c r="AL131" i="8"/>
  <c r="AO155" i="8"/>
  <c r="AO141" i="8"/>
  <c r="AO134" i="8"/>
  <c r="AO162" i="8"/>
  <c r="AO127" i="8"/>
  <c r="AO120" i="8"/>
  <c r="AO113" i="8"/>
  <c r="AO130" i="8"/>
  <c r="AO111" i="8"/>
  <c r="AO164" i="8"/>
  <c r="AO121" i="8"/>
  <c r="AO138" i="8"/>
  <c r="AO102" i="8"/>
  <c r="AO165" i="8"/>
  <c r="AO154" i="8"/>
  <c r="AO137" i="8"/>
  <c r="AO135" i="8"/>
  <c r="AO119" i="8"/>
  <c r="AO124" i="8"/>
  <c r="AO105" i="8"/>
  <c r="AO98" i="8"/>
  <c r="AO91" i="8"/>
  <c r="AO94" i="8"/>
  <c r="AO128" i="8"/>
  <c r="AO148" i="8"/>
  <c r="AO158" i="8"/>
  <c r="AO151" i="8"/>
  <c r="AO144" i="8"/>
  <c r="AO143" i="8"/>
  <c r="AO129" i="8"/>
  <c r="AO122" i="8"/>
  <c r="AO115" i="8"/>
  <c r="AO108" i="8"/>
  <c r="AO101" i="8"/>
  <c r="AO118" i="8"/>
  <c r="AO99" i="8"/>
  <c r="AO152" i="8"/>
  <c r="AO109" i="8"/>
  <c r="AO126" i="8"/>
  <c r="AO110" i="8"/>
  <c r="AO114" i="8"/>
  <c r="AO100" i="8"/>
  <c r="AO160" i="8"/>
  <c r="AO163" i="8"/>
  <c r="AO104" i="8"/>
  <c r="AO107" i="8"/>
  <c r="AO112" i="8"/>
  <c r="AO93" i="8"/>
  <c r="AO168" i="8"/>
  <c r="AO161" i="8"/>
  <c r="AO159" i="8"/>
  <c r="AO116" i="8"/>
  <c r="AO169" i="8"/>
  <c r="AO131" i="8"/>
  <c r="AO103" i="8"/>
  <c r="AO106" i="8"/>
  <c r="AO97" i="8"/>
  <c r="AO95" i="8"/>
  <c r="AO170" i="8"/>
  <c r="AO149" i="8"/>
  <c r="AO92" i="8"/>
  <c r="AO167" i="8"/>
  <c r="AO153" i="8"/>
  <c r="AO146" i="8"/>
  <c r="AO139" i="8"/>
  <c r="AO132" i="8"/>
  <c r="AO125" i="8"/>
  <c r="AO142" i="8"/>
  <c r="AO166" i="8"/>
  <c r="AO123" i="8"/>
  <c r="AO133" i="8"/>
  <c r="AO136" i="8"/>
  <c r="AO117" i="8"/>
  <c r="AO96" i="8"/>
  <c r="AO140" i="8"/>
  <c r="AO156" i="8"/>
  <c r="AO150" i="8"/>
  <c r="AO147" i="8"/>
  <c r="AO157" i="8"/>
  <c r="AO145" i="8"/>
  <c r="AN136" i="8"/>
  <c r="AN165" i="8"/>
  <c r="AN122" i="8"/>
  <c r="AN115" i="8"/>
  <c r="AN108" i="8"/>
  <c r="AN101" i="8"/>
  <c r="AN94" i="8"/>
  <c r="AN111" i="8"/>
  <c r="AN92" i="8"/>
  <c r="AN145" i="8"/>
  <c r="AN102" i="8"/>
  <c r="AN119" i="8"/>
  <c r="AN160" i="8"/>
  <c r="AN139" i="8"/>
  <c r="AN132" i="8"/>
  <c r="AN125" i="8"/>
  <c r="AN100" i="8"/>
  <c r="AN105" i="8"/>
  <c r="AN168" i="8"/>
  <c r="AN161" i="8"/>
  <c r="AN154" i="8"/>
  <c r="AN152" i="8"/>
  <c r="AN109" i="8"/>
  <c r="AN162" i="8"/>
  <c r="AN146" i="8"/>
  <c r="AN135" i="8"/>
  <c r="AN126" i="8"/>
  <c r="AN124" i="8"/>
  <c r="AN129" i="8"/>
  <c r="AN110" i="8"/>
  <c r="AN103" i="8"/>
  <c r="AN96" i="8"/>
  <c r="AN99" i="8"/>
  <c r="AN133" i="8"/>
  <c r="AN107" i="8"/>
  <c r="AN167" i="8"/>
  <c r="AN117" i="8"/>
  <c r="AN98" i="8"/>
  <c r="AN166" i="8"/>
  <c r="AN137" i="8"/>
  <c r="AN147" i="8"/>
  <c r="AN128" i="8"/>
  <c r="AN138" i="8"/>
  <c r="AN169" i="8"/>
  <c r="AN93" i="8"/>
  <c r="AN153" i="8"/>
  <c r="AN170" i="8"/>
  <c r="AN163" i="8"/>
  <c r="AN156" i="8"/>
  <c r="AN149" i="8"/>
  <c r="AN142" i="8"/>
  <c r="AN140" i="8"/>
  <c r="AN97" i="8"/>
  <c r="AN150" i="8"/>
  <c r="AN121" i="8"/>
  <c r="AN158" i="8"/>
  <c r="AN144" i="8"/>
  <c r="AN159" i="8"/>
  <c r="AN148" i="8"/>
  <c r="AN134" i="8"/>
  <c r="AN155" i="8"/>
  <c r="AN127" i="8"/>
  <c r="AN120" i="8"/>
  <c r="AN113" i="8"/>
  <c r="AN106" i="8"/>
  <c r="AN123" i="8"/>
  <c r="AN104" i="8"/>
  <c r="AN157" i="8"/>
  <c r="AN114" i="8"/>
  <c r="AN131" i="8"/>
  <c r="AN112" i="8"/>
  <c r="AN91" i="8"/>
  <c r="AN143" i="8"/>
  <c r="AN164" i="8"/>
  <c r="AN95" i="8"/>
  <c r="AN141" i="8"/>
  <c r="AN151" i="8"/>
  <c r="AN130" i="8"/>
  <c r="AN118" i="8"/>
  <c r="AN116" i="8"/>
  <c r="AM117" i="8"/>
  <c r="AM122" i="8"/>
  <c r="AM103" i="8"/>
  <c r="AM96" i="8"/>
  <c r="AM92" i="8"/>
  <c r="AM169" i="8"/>
  <c r="AM126" i="8"/>
  <c r="AM100" i="8"/>
  <c r="AM143" i="8"/>
  <c r="AM160" i="8"/>
  <c r="AM127" i="8"/>
  <c r="AM107" i="8"/>
  <c r="AM170" i="8"/>
  <c r="AM146" i="8"/>
  <c r="AM163" i="8"/>
  <c r="AM156" i="8"/>
  <c r="AM149" i="8"/>
  <c r="AM142" i="8"/>
  <c r="AM135" i="8"/>
  <c r="AM152" i="8"/>
  <c r="AM133" i="8"/>
  <c r="AM141" i="8"/>
  <c r="AM120" i="8"/>
  <c r="AM113" i="8"/>
  <c r="AM106" i="8"/>
  <c r="AM105" i="8"/>
  <c r="AM110" i="8"/>
  <c r="AM91" i="8"/>
  <c r="AM148" i="8"/>
  <c r="AM166" i="8"/>
  <c r="AM159" i="8"/>
  <c r="AM157" i="8"/>
  <c r="AM114" i="8"/>
  <c r="AM167" i="8"/>
  <c r="AM93" i="8"/>
  <c r="AM168" i="8"/>
  <c r="AM154" i="8"/>
  <c r="AM102" i="8"/>
  <c r="AM139" i="8"/>
  <c r="AM132" i="8"/>
  <c r="AM111" i="8"/>
  <c r="AM162" i="8"/>
  <c r="AM99" i="8"/>
  <c r="AM97" i="8"/>
  <c r="AM165" i="8"/>
  <c r="AM151" i="8"/>
  <c r="AM144" i="8"/>
  <c r="AM137" i="8"/>
  <c r="AM130" i="8"/>
  <c r="AM123" i="8"/>
  <c r="AM140" i="8"/>
  <c r="AM164" i="8"/>
  <c r="AM121" i="8"/>
  <c r="AM131" i="8"/>
  <c r="AM98" i="8"/>
  <c r="AM158" i="8"/>
  <c r="AM161" i="8"/>
  <c r="AM145" i="8"/>
  <c r="AM155" i="8"/>
  <c r="AM153" i="8"/>
  <c r="AM118" i="8"/>
  <c r="AM128" i="8"/>
  <c r="AM109" i="8"/>
  <c r="AM119" i="8"/>
  <c r="AM150" i="8"/>
  <c r="AM129" i="8"/>
  <c r="AM134" i="8"/>
  <c r="AM115" i="8"/>
  <c r="AM108" i="8"/>
  <c r="AM101" i="8"/>
  <c r="AM94" i="8"/>
  <c r="AM104" i="8"/>
  <c r="AM138" i="8"/>
  <c r="AM95" i="8"/>
  <c r="AM112" i="8"/>
  <c r="AM147" i="8"/>
  <c r="AM125" i="8"/>
  <c r="AM136" i="8"/>
  <c r="AM116" i="8"/>
  <c r="AM124" i="8"/>
  <c r="AL58" i="8"/>
  <c r="AM29" i="8"/>
  <c r="AO61" i="8"/>
  <c r="AO32" i="8"/>
  <c r="AM22" i="8"/>
  <c r="AO71" i="8"/>
  <c r="AK87" i="8"/>
  <c r="AO78" i="8"/>
  <c r="AO29" i="8"/>
  <c r="AO46" i="8"/>
  <c r="AO57" i="8"/>
  <c r="AM23" i="8"/>
  <c r="AU16" i="10"/>
  <c r="AT42" i="10"/>
  <c r="AT80" i="10"/>
  <c r="AS68" i="10"/>
  <c r="AS81" i="10"/>
  <c r="AL24" i="8"/>
  <c r="AM47" i="8"/>
  <c r="AO70" i="8"/>
  <c r="AS87" i="10"/>
  <c r="AW26" i="10"/>
  <c r="AT38" i="10"/>
  <c r="AV48" i="10"/>
  <c r="AT51" i="10"/>
  <c r="AN51" i="8"/>
  <c r="AK36" i="8"/>
  <c r="AM36" i="8"/>
  <c r="AW88" i="10"/>
  <c r="AU34" i="10"/>
  <c r="AV53" i="10"/>
  <c r="AS42" i="10"/>
  <c r="AW80" i="10"/>
  <c r="AN85" i="8"/>
  <c r="AL11" i="8"/>
  <c r="AN56" i="8"/>
  <c r="AK73" i="8"/>
  <c r="AV35" i="10"/>
  <c r="AW81" i="10"/>
  <c r="AS28" i="10"/>
  <c r="AT22" i="10"/>
  <c r="AS61" i="10"/>
  <c r="AO30" i="8"/>
  <c r="AO25" i="8"/>
  <c r="AK72" i="8"/>
  <c r="AM46" i="8"/>
  <c r="AU18" i="10"/>
  <c r="AT34" i="10"/>
  <c r="AW16" i="10"/>
  <c r="AW56" i="10"/>
  <c r="AS37" i="10"/>
  <c r="AM28" i="8"/>
  <c r="AN87" i="8"/>
  <c r="AM19" i="8"/>
  <c r="AK40" i="8"/>
  <c r="AS35" i="10"/>
  <c r="AV44" i="10"/>
  <c r="AU82" i="10"/>
  <c r="AS22" i="10"/>
  <c r="AT72" i="10"/>
  <c r="AK29" i="8"/>
  <c r="AM69" i="8"/>
  <c r="AM12" i="8"/>
  <c r="AW13" i="10"/>
  <c r="AW29" i="10"/>
  <c r="AU42" i="10"/>
  <c r="AV104" i="10"/>
  <c r="AT43" i="10"/>
  <c r="AK57" i="8"/>
  <c r="AO80" i="8"/>
  <c r="AK82" i="8"/>
  <c r="AK84" i="8"/>
  <c r="AV85" i="10"/>
  <c r="AU33" i="10"/>
  <c r="AS13" i="10"/>
  <c r="AT110" i="10"/>
  <c r="AU54" i="10"/>
  <c r="AN72" i="8"/>
  <c r="AN26" i="8"/>
  <c r="AL27" i="8"/>
  <c r="AO28" i="8"/>
  <c r="AV15" i="10"/>
  <c r="AS56" i="10"/>
  <c r="AU105" i="10"/>
  <c r="AW104" i="10"/>
  <c r="AS84" i="10"/>
  <c r="AK20" i="8"/>
  <c r="AT71" i="10"/>
  <c r="AW105" i="10"/>
  <c r="AO41" i="8"/>
  <c r="AV13" i="10"/>
  <c r="AM85" i="8"/>
  <c r="AT52" i="10"/>
  <c r="AU11" i="10"/>
  <c r="AL54" i="8"/>
  <c r="AV82" i="10"/>
  <c r="AW20" i="10"/>
  <c r="AN69" i="8"/>
  <c r="AW57" i="10"/>
  <c r="AU75" i="10"/>
  <c r="AM55" i="8"/>
  <c r="AO66" i="8"/>
  <c r="AO47" i="8"/>
  <c r="AK44" i="8"/>
  <c r="AK18" i="8"/>
  <c r="AL61" i="8"/>
  <c r="AL48" i="8"/>
  <c r="AM20" i="8"/>
  <c r="AN88" i="8"/>
  <c r="AN77" i="8"/>
  <c r="AL62" i="8"/>
  <c r="AS32" i="10"/>
  <c r="AW84" i="10"/>
  <c r="AS55" i="10"/>
  <c r="AS34" i="10"/>
  <c r="AU20" i="10"/>
  <c r="AV89" i="10"/>
  <c r="AO89" i="8"/>
  <c r="AN25" i="8"/>
  <c r="AM62" i="8"/>
  <c r="AT99" i="10"/>
  <c r="AV27" i="10"/>
  <c r="AS33" i="10"/>
  <c r="AV16" i="10"/>
  <c r="AV99" i="10"/>
  <c r="AN79" i="8"/>
  <c r="AO81" i="8"/>
  <c r="AN58" i="8"/>
  <c r="AU56" i="10"/>
  <c r="AV103" i="10"/>
  <c r="AU38" i="10"/>
  <c r="AU29" i="10"/>
  <c r="AW43" i="10"/>
  <c r="AM16" i="8"/>
  <c r="AL80" i="8"/>
  <c r="AM76" i="8"/>
  <c r="AM43" i="8"/>
  <c r="AW47" i="10"/>
  <c r="AT11" i="10"/>
  <c r="AS51" i="10"/>
  <c r="AU84" i="10"/>
  <c r="AV69" i="10"/>
  <c r="AO13" i="8"/>
  <c r="AO84" i="8"/>
  <c r="AM39" i="8"/>
  <c r="AO42" i="8"/>
  <c r="AT19" i="10"/>
  <c r="AU37" i="10"/>
  <c r="AV58" i="10"/>
  <c r="AW17" i="10"/>
  <c r="AT24" i="10"/>
  <c r="AN50" i="8"/>
  <c r="AO56" i="8"/>
  <c r="AN86" i="8"/>
  <c r="AK74" i="8"/>
  <c r="AV49" i="10"/>
  <c r="AV33" i="10"/>
  <c r="AV81" i="10"/>
  <c r="AW36" i="10"/>
  <c r="AL68" i="8"/>
  <c r="AN20" i="8"/>
  <c r="AK22" i="8"/>
  <c r="AK38" i="8"/>
  <c r="AO69" i="8"/>
  <c r="AK39" i="8"/>
  <c r="AN15" i="8"/>
  <c r="AL51" i="8"/>
  <c r="AK67" i="8"/>
  <c r="AN41" i="8"/>
  <c r="AO12" i="8"/>
  <c r="AT35" i="10"/>
  <c r="AS85" i="10"/>
  <c r="AV93" i="10"/>
  <c r="AS109" i="10"/>
  <c r="AT109" i="10"/>
  <c r="AO15" i="8"/>
  <c r="AL33" i="8"/>
  <c r="AN90" i="8"/>
  <c r="AK63" i="8"/>
  <c r="AU60" i="10"/>
  <c r="AW110" i="10"/>
  <c r="AV65" i="10"/>
  <c r="AU58" i="10"/>
  <c r="AU101" i="10"/>
  <c r="AO44" i="8"/>
  <c r="AK60" i="8"/>
  <c r="AN12" i="8"/>
  <c r="AV107" i="10"/>
  <c r="AS96" i="10"/>
  <c r="AW90" i="10"/>
  <c r="AW94" i="10"/>
  <c r="AW31" i="10"/>
  <c r="AK46" i="8"/>
  <c r="AL82" i="8"/>
  <c r="AL64" i="8"/>
  <c r="AM21" i="8"/>
  <c r="AS69" i="10"/>
  <c r="AV102" i="10"/>
  <c r="AS65" i="10"/>
  <c r="AT67" i="10"/>
  <c r="AU31" i="10"/>
  <c r="AO45" i="8"/>
  <c r="AN32" i="8"/>
  <c r="AM11" i="8"/>
  <c r="AN45" i="8"/>
  <c r="AU46" i="10"/>
  <c r="AU30" i="10"/>
  <c r="AT45" i="10"/>
  <c r="AS102" i="10"/>
  <c r="AW60" i="10"/>
  <c r="AM49" i="8"/>
  <c r="AO11" i="8"/>
  <c r="AN65" i="8"/>
  <c r="AO17" i="8"/>
  <c r="AU68" i="10"/>
  <c r="AW96" i="10"/>
  <c r="AV19" i="10"/>
  <c r="AU108" i="10"/>
  <c r="AN44" i="8"/>
  <c r="AK31" i="8"/>
  <c r="AO63" i="8"/>
  <c r="AN18" i="8"/>
  <c r="AK86" i="8"/>
  <c r="AM60" i="8"/>
  <c r="AL56" i="8"/>
  <c r="AN11" i="8"/>
  <c r="AK48" i="8"/>
  <c r="AL34" i="8"/>
  <c r="AL85" i="8"/>
  <c r="AN29" i="8"/>
  <c r="AS27" i="10"/>
  <c r="AT18" i="10"/>
  <c r="AU96" i="10"/>
  <c r="AT104" i="10"/>
  <c r="AS83" i="10"/>
  <c r="AK35" i="8"/>
  <c r="AN46" i="8"/>
  <c r="AM44" i="8"/>
  <c r="AO51" i="8"/>
  <c r="AS93" i="10"/>
  <c r="AW72" i="10"/>
  <c r="AW91" i="10"/>
  <c r="AT27" i="10"/>
  <c r="AV92" i="10"/>
  <c r="AN84" i="8"/>
  <c r="AO24" i="8"/>
  <c r="AN80" i="8"/>
  <c r="AW76" i="10"/>
  <c r="AT81" i="10"/>
  <c r="AU100" i="10"/>
  <c r="AT30" i="10"/>
  <c r="AW15" i="10"/>
  <c r="AL53" i="8"/>
  <c r="AM73" i="8"/>
  <c r="AN24" i="8"/>
  <c r="AL75" i="8"/>
  <c r="AW68" i="10"/>
  <c r="AW41" i="10"/>
  <c r="AU74" i="10"/>
  <c r="AW100" i="10"/>
  <c r="AV72" i="10"/>
  <c r="AO18" i="8"/>
  <c r="AN31" i="8"/>
  <c r="AO53" i="8"/>
  <c r="AO62" i="8"/>
  <c r="AW69" i="10"/>
  <c r="AT40" i="10"/>
  <c r="AT102" i="10"/>
  <c r="AU95" i="10"/>
  <c r="AS19" i="10"/>
  <c r="AN19" i="8"/>
  <c r="AK88" i="8"/>
  <c r="AL29" i="8"/>
  <c r="AN83" i="8"/>
  <c r="AV63" i="10"/>
  <c r="AU83" i="10"/>
  <c r="AT48" i="10"/>
  <c r="AV61" i="10"/>
  <c r="AU62" i="10"/>
  <c r="AL21" i="8"/>
  <c r="AL89" i="8"/>
  <c r="AK50" i="8"/>
  <c r="AS53" i="10"/>
  <c r="AV100" i="10"/>
  <c r="AT61" i="10"/>
  <c r="AV86" i="10"/>
  <c r="AW49" i="10"/>
  <c r="AM48" i="8"/>
  <c r="AK68" i="8"/>
  <c r="AL69" i="8"/>
  <c r="AO26" i="8"/>
  <c r="AS105" i="10"/>
  <c r="AT103" i="10"/>
  <c r="AW106" i="10"/>
  <c r="AV32" i="10"/>
  <c r="AT13" i="10"/>
  <c r="AM51" i="8"/>
  <c r="AN54" i="8"/>
  <c r="AM24" i="8"/>
  <c r="AM27" i="8"/>
  <c r="AT26" i="10"/>
  <c r="AS66" i="10"/>
  <c r="AV73" i="10"/>
  <c r="AV78" i="10"/>
  <c r="AW86" i="10"/>
  <c r="AM70" i="8"/>
  <c r="AW66" i="10"/>
  <c r="AM35" i="8"/>
  <c r="AW52" i="10"/>
  <c r="AV56" i="10"/>
  <c r="AL16" i="8"/>
  <c r="AW87" i="10"/>
  <c r="AM66" i="8"/>
  <c r="AL71" i="8"/>
  <c r="AL65" i="8"/>
  <c r="AL72" i="8"/>
  <c r="AM68" i="8"/>
  <c r="AK52" i="8"/>
  <c r="AN68" i="8"/>
  <c r="AK59" i="8"/>
  <c r="AN64" i="8"/>
  <c r="AM75" i="8"/>
  <c r="AK30" i="8"/>
  <c r="AO40" i="8"/>
  <c r="AN36" i="8"/>
  <c r="AV23" i="10"/>
  <c r="AW83" i="10"/>
  <c r="AV37" i="10"/>
  <c r="AV36" i="10"/>
  <c r="AT107" i="10"/>
  <c r="AO33" i="8"/>
  <c r="AL13" i="8"/>
  <c r="AO20" i="8"/>
  <c r="AW99" i="10"/>
  <c r="AU85" i="10"/>
  <c r="AT53" i="10"/>
  <c r="AV43" i="10"/>
  <c r="AV80" i="10"/>
  <c r="AW24" i="10"/>
  <c r="AO35" i="8"/>
  <c r="AL23" i="8"/>
  <c r="AN81" i="8"/>
  <c r="AV60" i="10"/>
  <c r="AT37" i="10"/>
  <c r="AW35" i="10"/>
  <c r="AS36" i="10"/>
  <c r="AS110" i="10"/>
  <c r="AL88" i="8"/>
  <c r="AO75" i="8"/>
  <c r="AM87" i="8"/>
  <c r="AW75" i="10"/>
  <c r="AT56" i="10"/>
  <c r="AW30" i="10"/>
  <c r="AU59" i="10"/>
  <c r="AV59" i="10"/>
  <c r="AW22" i="10"/>
  <c r="AO34" i="8"/>
  <c r="AL44" i="8"/>
  <c r="AM32" i="8"/>
  <c r="AK25" i="8"/>
  <c r="AU24" i="10"/>
  <c r="AV40" i="10"/>
  <c r="AS59" i="10"/>
  <c r="AU55" i="10"/>
  <c r="AW78" i="10"/>
  <c r="AK81" i="8"/>
  <c r="AK13" i="8"/>
  <c r="AN13" i="8"/>
  <c r="AV64" i="10"/>
  <c r="AS97" i="10"/>
  <c r="AV11" i="10"/>
  <c r="AW97" i="10"/>
  <c r="AS17" i="10"/>
  <c r="AU49" i="10"/>
  <c r="AK89" i="8"/>
  <c r="AK79" i="8"/>
  <c r="AL90" i="8"/>
  <c r="AT94" i="10"/>
  <c r="AS72" i="10"/>
  <c r="AU64" i="10"/>
  <c r="AT21" i="10"/>
  <c r="AT108" i="10"/>
  <c r="AK49" i="8"/>
  <c r="AO21" i="8"/>
  <c r="AM30" i="8"/>
  <c r="AO87" i="8"/>
  <c r="AU43" i="10"/>
  <c r="AW14" i="10"/>
  <c r="AW39" i="10"/>
  <c r="AW62" i="10"/>
  <c r="AS45" i="10"/>
  <c r="AN38" i="8"/>
  <c r="AK47" i="8"/>
  <c r="AO14" i="8"/>
  <c r="AN59" i="8"/>
  <c r="AV77" i="10"/>
  <c r="AV94" i="10"/>
  <c r="AV45" i="10"/>
  <c r="AU36" i="10"/>
  <c r="AW98" i="10"/>
  <c r="AN49" i="8"/>
  <c r="AS15" i="10"/>
  <c r="AM54" i="8"/>
  <c r="AS49" i="10"/>
  <c r="AW73" i="10"/>
  <c r="AM42" i="8"/>
  <c r="AU67" i="10"/>
  <c r="AT78" i="10"/>
  <c r="AM59" i="8"/>
  <c r="AV17" i="10"/>
  <c r="AW19" i="10"/>
  <c r="AO54" i="8"/>
  <c r="AT62" i="10"/>
  <c r="AW79" i="10"/>
  <c r="AK56" i="8"/>
  <c r="AL55" i="8"/>
  <c r="AK34" i="8"/>
  <c r="AK15" i="8"/>
  <c r="AN27" i="8"/>
  <c r="AN47" i="8"/>
  <c r="AM89" i="8"/>
  <c r="AL79" i="8"/>
  <c r="AK54" i="8"/>
  <c r="AL42" i="8"/>
  <c r="AK24" i="8"/>
  <c r="AO19" i="8"/>
  <c r="AM50" i="8"/>
  <c r="AU13" i="10"/>
  <c r="AT46" i="10"/>
  <c r="AV79" i="10"/>
  <c r="AS20" i="10"/>
  <c r="AV97" i="10"/>
  <c r="AL20" i="8"/>
  <c r="AK66" i="8"/>
  <c r="AK90" i="8"/>
  <c r="AW77" i="10"/>
  <c r="AT82" i="10"/>
  <c r="AW54" i="10"/>
  <c r="AW21" i="10"/>
  <c r="AV75" i="10"/>
  <c r="AM14" i="8"/>
  <c r="AK62" i="8"/>
  <c r="AN70" i="8"/>
  <c r="AN53" i="8"/>
  <c r="AV76" i="10"/>
  <c r="AV110" i="10"/>
  <c r="AT65" i="10"/>
  <c r="AW101" i="10"/>
  <c r="AT50" i="10"/>
  <c r="AL57" i="8"/>
  <c r="AN48" i="8"/>
  <c r="AL46" i="8"/>
  <c r="AS95" i="10"/>
  <c r="AV87" i="10"/>
  <c r="AS99" i="10"/>
  <c r="AW89" i="10"/>
  <c r="AU110" i="10"/>
  <c r="AV83" i="10"/>
  <c r="AO31" i="8"/>
  <c r="AO23" i="8"/>
  <c r="AN62" i="8"/>
  <c r="AU61" i="10"/>
  <c r="AW58" i="10"/>
  <c r="AU107" i="10"/>
  <c r="AS90" i="10"/>
  <c r="AT85" i="10"/>
  <c r="AV70" i="10"/>
  <c r="AL50" i="8"/>
  <c r="AL84" i="8"/>
  <c r="AO16" i="8"/>
  <c r="AU91" i="10"/>
  <c r="AT105" i="10"/>
  <c r="AS91" i="10"/>
  <c r="AS75" i="10"/>
  <c r="AT93" i="10"/>
  <c r="AW61" i="10"/>
  <c r="AN37" i="8"/>
  <c r="AO67" i="8"/>
  <c r="AT20" i="10"/>
  <c r="AV28" i="10"/>
  <c r="AT77" i="10"/>
  <c r="AU41" i="10"/>
  <c r="AT73" i="10"/>
  <c r="AU50" i="10"/>
  <c r="AL28" i="8"/>
  <c r="AM33" i="8"/>
  <c r="AL14" i="8"/>
  <c r="AW65" i="10"/>
  <c r="AT86" i="10"/>
  <c r="AW48" i="10"/>
  <c r="AS74" i="10"/>
  <c r="AU81" i="10"/>
  <c r="AU87" i="10"/>
  <c r="AO83" i="8"/>
  <c r="AM58" i="8"/>
  <c r="AL66" i="8"/>
  <c r="AM86" i="8"/>
  <c r="AS92" i="10"/>
  <c r="AU65" i="10"/>
  <c r="AU15" i="10"/>
  <c r="AV26" i="10"/>
  <c r="AT83" i="10"/>
  <c r="AM45" i="8"/>
  <c r="AU22" i="10"/>
  <c r="AN34" i="8"/>
  <c r="AT16" i="10"/>
  <c r="AO52" i="8"/>
  <c r="AL59" i="8"/>
  <c r="AT90" i="10"/>
  <c r="AS41" i="10"/>
  <c r="AL49" i="8"/>
  <c r="AS82" i="10"/>
  <c r="AK42" i="8"/>
  <c r="AL78" i="8"/>
  <c r="AM38" i="8"/>
  <c r="AN74" i="8"/>
  <c r="AO59" i="8"/>
  <c r="AN39" i="8"/>
  <c r="AK28" i="8"/>
  <c r="AM79" i="8"/>
  <c r="AK71" i="8"/>
  <c r="AM26" i="8"/>
  <c r="AN30" i="8"/>
  <c r="AN57" i="8"/>
  <c r="AV24" i="10"/>
  <c r="AV106" i="10"/>
  <c r="AT66" i="10"/>
  <c r="AW55" i="10"/>
  <c r="AS26" i="10"/>
  <c r="AK41" i="8"/>
  <c r="AM71" i="8"/>
  <c r="AK43" i="8"/>
  <c r="AS12" i="10"/>
  <c r="AW109" i="10"/>
  <c r="AS62" i="10"/>
  <c r="AW40" i="10"/>
  <c r="AT97" i="10"/>
  <c r="AO85" i="8"/>
  <c r="AK11" i="8"/>
  <c r="AL30" i="8"/>
  <c r="AU71" i="10"/>
  <c r="AS101" i="10"/>
  <c r="AU17" i="10"/>
  <c r="AT23" i="10"/>
  <c r="AW53" i="10"/>
  <c r="AU45" i="10"/>
  <c r="AL19" i="8"/>
  <c r="AL31" i="8"/>
  <c r="AN89" i="8"/>
  <c r="AV88" i="10"/>
  <c r="AU109" i="10"/>
  <c r="AV39" i="10"/>
  <c r="AT28" i="10"/>
  <c r="AS89" i="10"/>
  <c r="AN16" i="8"/>
  <c r="AN60" i="8"/>
  <c r="AL35" i="8"/>
  <c r="AK70" i="8"/>
  <c r="AV52" i="10"/>
  <c r="AT41" i="10"/>
  <c r="AV25" i="10"/>
  <c r="AS25" i="10"/>
  <c r="AS39" i="10"/>
  <c r="AT88" i="10"/>
  <c r="AK51" i="8"/>
  <c r="AN63" i="8"/>
  <c r="AM74" i="8"/>
  <c r="AS47" i="10"/>
  <c r="AV14" i="10"/>
  <c r="AW59" i="10"/>
  <c r="AW11" i="10"/>
  <c r="AV67" i="10"/>
  <c r="AL45" i="8"/>
  <c r="AL17" i="8"/>
  <c r="AL73" i="8"/>
  <c r="AS46" i="10"/>
  <c r="AU78" i="10"/>
  <c r="AT84" i="10"/>
  <c r="AT17" i="10"/>
  <c r="AU77" i="10"/>
  <c r="AS31" i="10"/>
  <c r="AK27" i="8"/>
  <c r="AK85" i="8"/>
  <c r="AL74" i="8"/>
  <c r="AW45" i="10"/>
  <c r="AS71" i="10"/>
  <c r="AS40" i="10"/>
  <c r="AU25" i="10"/>
  <c r="AS70" i="10"/>
  <c r="AT25" i="10"/>
  <c r="AN33" i="8"/>
  <c r="AN35" i="8"/>
  <c r="AN76" i="8"/>
  <c r="AV55" i="10"/>
  <c r="AU97" i="10"/>
  <c r="AV42" i="10"/>
  <c r="AV62" i="10"/>
  <c r="AS58" i="10"/>
  <c r="AT95" i="10"/>
  <c r="AM67" i="8"/>
  <c r="AU51" i="10"/>
  <c r="AO36" i="8"/>
  <c r="AS38" i="10"/>
  <c r="AM57" i="8"/>
  <c r="AS80" i="10"/>
  <c r="AV74" i="10"/>
  <c r="AT68" i="10"/>
  <c r="AL43" i="8"/>
  <c r="AV91" i="10"/>
  <c r="AS11" i="10"/>
  <c r="AL81" i="8"/>
  <c r="AU12" i="10"/>
  <c r="AT29" i="10"/>
  <c r="AL37" i="8"/>
  <c r="AW42" i="10"/>
  <c r="AN17" i="8"/>
  <c r="AM17" i="8"/>
  <c r="AU39" i="10"/>
  <c r="AU53" i="10"/>
  <c r="AU21" i="10"/>
  <c r="AT69" i="10"/>
  <c r="AT64" i="10"/>
  <c r="AT58" i="10"/>
  <c r="AU86" i="10"/>
  <c r="AT98" i="10"/>
  <c r="AM40" i="8"/>
  <c r="AT91" i="10"/>
  <c r="AU76" i="10"/>
  <c r="AW103" i="10"/>
  <c r="AW63" i="10"/>
  <c r="AN23" i="8"/>
  <c r="AT49" i="10"/>
  <c r="AN22" i="8"/>
  <c r="AU72" i="10"/>
  <c r="AW38" i="10"/>
  <c r="AN43" i="8"/>
  <c r="AU27" i="10"/>
  <c r="AL70" i="8"/>
  <c r="AS50" i="10"/>
  <c r="AK12" i="8"/>
  <c r="AS24" i="10"/>
  <c r="AO37" i="8"/>
  <c r="AS103" i="10"/>
  <c r="AU92" i="10"/>
  <c r="AO49" i="8"/>
  <c r="AU98" i="10"/>
  <c r="AN55" i="8"/>
  <c r="AL86" i="8"/>
  <c r="AS14" i="10"/>
  <c r="AS94" i="10"/>
  <c r="AL32" i="8"/>
  <c r="AK78" i="8"/>
  <c r="AS60" i="10"/>
  <c r="AO58" i="8"/>
  <c r="AL40" i="8"/>
  <c r="AS43" i="10"/>
  <c r="AU19" i="10"/>
  <c r="AV98" i="10"/>
  <c r="AN61" i="8"/>
  <c r="AT89" i="10"/>
  <c r="AV105" i="10"/>
  <c r="AV12" i="10"/>
  <c r="AS79" i="10"/>
  <c r="AV68" i="10"/>
  <c r="AL12" i="8"/>
  <c r="AK64" i="8"/>
  <c r="AV54" i="10"/>
  <c r="AV95" i="10"/>
  <c r="AK45" i="8"/>
  <c r="AS104" i="10"/>
  <c r="AO55" i="8"/>
  <c r="AU26" i="10"/>
  <c r="AL76" i="8"/>
  <c r="AW82" i="10"/>
  <c r="AM41" i="8"/>
  <c r="AU63" i="10"/>
  <c r="AM65" i="8"/>
  <c r="AU23" i="10"/>
  <c r="AK32" i="8"/>
  <c r="AS73" i="10"/>
  <c r="AW74" i="10"/>
  <c r="AM13" i="8"/>
  <c r="AU57" i="10"/>
  <c r="AK19" i="8"/>
  <c r="AV66" i="10"/>
  <c r="AV38" i="10"/>
  <c r="AS86" i="10"/>
  <c r="AS30" i="10"/>
  <c r="AN73" i="8"/>
  <c r="AU28" i="10"/>
  <c r="AS23" i="10"/>
  <c r="AS57" i="10"/>
  <c r="AW25" i="10"/>
  <c r="AT14" i="10"/>
  <c r="AN67" i="8"/>
  <c r="AT44" i="10"/>
  <c r="AM80" i="8"/>
  <c r="AV109" i="10"/>
  <c r="AV47" i="10"/>
  <c r="AK83" i="8"/>
  <c r="AM52" i="8"/>
  <c r="AL41" i="8"/>
  <c r="AV31" i="10"/>
  <c r="AO27" i="8"/>
  <c r="AV18" i="10"/>
  <c r="AL39" i="8"/>
  <c r="AV34" i="10"/>
  <c r="AT63" i="10"/>
  <c r="AT106" i="10"/>
  <c r="AT75" i="10"/>
  <c r="AN28" i="8"/>
  <c r="AW12" i="10"/>
  <c r="AT33" i="10"/>
  <c r="AT92" i="10"/>
  <c r="AV20" i="10"/>
  <c r="AK55" i="8"/>
  <c r="AS108" i="10"/>
  <c r="AN52" i="8"/>
  <c r="AT96" i="10"/>
  <c r="AV96" i="10"/>
  <c r="AM83" i="8"/>
  <c r="AS88" i="10"/>
  <c r="AK26" i="8"/>
  <c r="AM25" i="8"/>
  <c r="AU47" i="10"/>
  <c r="AN78" i="8"/>
  <c r="AK17" i="8"/>
  <c r="AV22" i="10"/>
  <c r="AL63" i="8"/>
  <c r="AS63" i="10"/>
  <c r="AO39" i="8"/>
  <c r="AS16" i="10"/>
  <c r="AL22" i="8"/>
  <c r="AM18" i="8"/>
  <c r="AT74" i="10"/>
  <c r="AM53" i="8"/>
  <c r="AU14" i="10"/>
  <c r="AU40" i="10"/>
  <c r="AM61" i="8"/>
  <c r="AW95" i="10"/>
  <c r="AS98" i="10"/>
  <c r="AT59" i="10"/>
  <c r="AW51" i="10"/>
  <c r="AO76" i="8"/>
  <c r="AW27" i="10"/>
  <c r="AS77" i="10"/>
  <c r="AU90" i="10"/>
  <c r="AM90" i="8"/>
  <c r="AU44" i="10"/>
  <c r="AK76" i="8"/>
  <c r="AU48" i="10"/>
  <c r="AM37" i="8"/>
  <c r="AT87" i="10"/>
  <c r="AK77" i="8"/>
  <c r="AL60" i="8"/>
  <c r="AT47" i="10"/>
  <c r="AM84" i="8"/>
  <c r="AW33" i="10"/>
  <c r="AT101" i="10"/>
  <c r="AM81" i="8"/>
  <c r="AW50" i="10"/>
  <c r="AL25" i="8"/>
  <c r="AS106" i="10"/>
  <c r="AW71" i="10"/>
  <c r="AO64" i="8"/>
  <c r="AU66" i="10"/>
  <c r="AV46" i="10"/>
  <c r="AT32" i="10"/>
  <c r="AU79" i="10"/>
  <c r="AL15" i="8"/>
  <c r="AT100" i="10"/>
  <c r="AU32" i="10"/>
  <c r="AV30" i="10"/>
  <c r="AO79" i="8"/>
  <c r="AS29" i="10"/>
  <c r="AW107" i="10"/>
  <c r="AO60" i="8"/>
  <c r="AW85" i="10"/>
  <c r="AT79" i="10"/>
  <c r="AL83" i="8"/>
  <c r="AU70" i="10"/>
  <c r="AV101" i="10"/>
  <c r="AS78" i="10"/>
  <c r="AN14" i="8"/>
  <c r="AW92" i="10"/>
  <c r="AW67" i="10"/>
  <c r="AK61" i="8"/>
  <c r="AU103" i="10"/>
  <c r="AS54" i="10"/>
  <c r="AS44" i="10"/>
  <c r="AK23" i="8"/>
  <c r="AS67" i="10"/>
  <c r="AW23" i="10"/>
  <c r="AU88" i="10"/>
  <c r="AN75" i="8"/>
  <c r="AV21" i="10"/>
  <c r="AK14" i="8"/>
  <c r="AN71" i="8"/>
  <c r="AM56" i="8"/>
  <c r="AN82" i="8"/>
  <c r="AM64" i="8"/>
  <c r="AS100" i="10"/>
  <c r="AU99" i="10"/>
  <c r="AT54" i="10"/>
  <c r="AV29" i="10"/>
  <c r="AO86" i="8"/>
  <c r="AM31" i="8"/>
  <c r="D55" i="12" l="1"/>
  <c r="H35" i="12"/>
  <c r="F8" i="12"/>
  <c r="F39" i="12"/>
  <c r="G91" i="12"/>
  <c r="D38" i="12"/>
  <c r="F47" i="12"/>
  <c r="G90" i="12"/>
  <c r="D23" i="12"/>
  <c r="G25" i="12"/>
  <c r="H26" i="12"/>
  <c r="G15" i="12"/>
  <c r="F57" i="12"/>
  <c r="H29" i="12"/>
  <c r="X114" i="11"/>
  <c r="AI114" i="11"/>
  <c r="Y114" i="11"/>
  <c r="AH72" i="11"/>
  <c r="G73" i="12" s="1"/>
  <c r="AF71" i="11"/>
  <c r="E72" i="12" s="1"/>
  <c r="AG21" i="11"/>
  <c r="F22" i="12" s="1"/>
  <c r="AH66" i="11"/>
  <c r="G67" i="12" s="1"/>
  <c r="AF11" i="11"/>
  <c r="E12" i="12" s="1"/>
  <c r="AH61" i="11"/>
  <c r="G62" i="12" s="1"/>
  <c r="AH58" i="11"/>
  <c r="G59" i="12" s="1"/>
  <c r="AH33" i="11"/>
  <c r="G34" i="12" s="1"/>
  <c r="AG16" i="11"/>
  <c r="F17" i="12" s="1"/>
  <c r="Q66" i="11"/>
  <c r="AF51" i="11"/>
  <c r="E52" i="12" s="1"/>
  <c r="AE44" i="11"/>
  <c r="D45" i="12" s="1"/>
  <c r="AG54" i="11"/>
  <c r="F55" i="12" s="1"/>
  <c r="AI10" i="11"/>
  <c r="H11" i="12" s="1"/>
  <c r="V37" i="11"/>
  <c r="AG74" i="11"/>
  <c r="F75" i="12" s="1"/>
  <c r="AG36" i="11"/>
  <c r="F37" i="12" s="1"/>
  <c r="AH23" i="11"/>
  <c r="G24" i="12" s="1"/>
  <c r="Q12" i="11"/>
  <c r="AI22" i="11"/>
  <c r="H23" i="12" s="1"/>
  <c r="AF9" i="11"/>
  <c r="E10" i="12" s="1"/>
  <c r="AF47" i="11"/>
  <c r="E48" i="12" s="1"/>
  <c r="V11" i="11"/>
  <c r="AE77" i="11"/>
  <c r="D78" i="12" s="1"/>
  <c r="AE7" i="11"/>
  <c r="D8" i="12" s="1"/>
  <c r="AF54" i="11"/>
  <c r="E55" i="12" s="1"/>
  <c r="AH8" i="11"/>
  <c r="G9" i="12" s="1"/>
  <c r="AG30" i="11"/>
  <c r="F31" i="12" s="1"/>
  <c r="V16" i="11"/>
  <c r="AG39" i="11"/>
  <c r="F40" i="12" s="1"/>
  <c r="AH69" i="11"/>
  <c r="G70" i="12" s="1"/>
  <c r="AI42" i="11"/>
  <c r="H43" i="12" s="1"/>
  <c r="AI47" i="11"/>
  <c r="H48" i="12" s="1"/>
  <c r="AF75" i="11"/>
  <c r="E76" i="12" s="1"/>
  <c r="AH82" i="11"/>
  <c r="G83" i="12" s="1"/>
  <c r="V12" i="11"/>
  <c r="AI50" i="11"/>
  <c r="H51" i="12" s="1"/>
  <c r="AF38" i="11"/>
  <c r="E39" i="12" s="1"/>
  <c r="AE20" i="11"/>
  <c r="D21" i="12" s="1"/>
  <c r="AG22" i="11"/>
  <c r="F23" i="12" s="1"/>
  <c r="AG51" i="11"/>
  <c r="F52" i="12" s="1"/>
  <c r="V14" i="11"/>
  <c r="Q11" i="11"/>
  <c r="AI62" i="11"/>
  <c r="H63" i="12" s="1"/>
  <c r="AG82" i="11"/>
  <c r="F83" i="12" s="1"/>
  <c r="AE56" i="11"/>
  <c r="D57" i="12" s="1"/>
  <c r="AE62" i="11"/>
  <c r="D63" i="12" s="1"/>
  <c r="AH83" i="11"/>
  <c r="G84" i="12" s="1"/>
  <c r="AI15" i="11"/>
  <c r="H16" i="12" s="1"/>
  <c r="AG14" i="11"/>
  <c r="F15" i="12" s="1"/>
  <c r="AG65" i="11"/>
  <c r="F66" i="12" s="1"/>
  <c r="AH30" i="11"/>
  <c r="G31" i="12" s="1"/>
  <c r="AE59" i="11"/>
  <c r="D60" i="12" s="1"/>
  <c r="AH60" i="11"/>
  <c r="G61" i="12" s="1"/>
  <c r="AF72" i="11"/>
  <c r="E73" i="12" s="1"/>
  <c r="AG26" i="11"/>
  <c r="F27" i="12" s="1"/>
  <c r="AI36" i="11"/>
  <c r="H37" i="12" s="1"/>
  <c r="AI26" i="11"/>
  <c r="H27" i="12" s="1"/>
  <c r="AG17" i="11"/>
  <c r="F18" i="12" s="1"/>
  <c r="V32" i="11"/>
  <c r="AF74" i="11"/>
  <c r="E75" i="12" s="1"/>
  <c r="AF44" i="11"/>
  <c r="E45" i="12" s="1"/>
  <c r="AF19" i="11"/>
  <c r="E20" i="12" s="1"/>
  <c r="AE69" i="11"/>
  <c r="D70" i="12" s="1"/>
  <c r="AH27" i="11"/>
  <c r="G28" i="12" s="1"/>
  <c r="AI33" i="11"/>
  <c r="H34" i="12" s="1"/>
  <c r="AG62" i="11"/>
  <c r="F63" i="12" s="1"/>
  <c r="AE82" i="11"/>
  <c r="D83" i="12" s="1"/>
  <c r="Q9" i="11"/>
  <c r="Q35" i="11"/>
  <c r="AE84" i="11"/>
  <c r="D85" i="12" s="1"/>
  <c r="AF42" i="11"/>
  <c r="E43" i="12" s="1"/>
  <c r="Q40" i="11"/>
  <c r="V31" i="11"/>
  <c r="V61" i="11"/>
  <c r="AH29" i="11"/>
  <c r="G30" i="12" s="1"/>
  <c r="AH32" i="11"/>
  <c r="G33" i="12" s="1"/>
  <c r="Q28" i="11"/>
  <c r="AH52" i="11"/>
  <c r="G53" i="12" s="1"/>
  <c r="V35" i="11"/>
  <c r="AH63" i="11"/>
  <c r="G64" i="12" s="1"/>
  <c r="AF10" i="11"/>
  <c r="E11" i="12" s="1"/>
  <c r="V23" i="11"/>
  <c r="AH80" i="11"/>
  <c r="G81" i="12" s="1"/>
  <c r="AF70" i="11"/>
  <c r="E71" i="12" s="1"/>
  <c r="V51" i="11"/>
  <c r="V29" i="11"/>
  <c r="AE45" i="11"/>
  <c r="D46" i="12" s="1"/>
  <c r="AF22" i="11"/>
  <c r="E23" i="12" s="1"/>
  <c r="AE6" i="11"/>
  <c r="D7" i="12" s="1"/>
  <c r="V59" i="11"/>
  <c r="AF27" i="11"/>
  <c r="E28" i="12" s="1"/>
  <c r="AG40" i="11"/>
  <c r="F41" i="12" s="1"/>
  <c r="AG61" i="11"/>
  <c r="F62" i="12" s="1"/>
  <c r="AH46" i="11"/>
  <c r="G47" i="12" s="1"/>
  <c r="AG80" i="11"/>
  <c r="F81" i="12" s="1"/>
  <c r="AE19" i="11"/>
  <c r="D20" i="12" s="1"/>
  <c r="AH79" i="11"/>
  <c r="G80" i="12" s="1"/>
  <c r="Q31" i="11"/>
  <c r="AG18" i="11"/>
  <c r="F19" i="12" s="1"/>
  <c r="AG81" i="11"/>
  <c r="F82" i="12" s="1"/>
  <c r="AG78" i="11"/>
  <c r="F79" i="12" s="1"/>
  <c r="AH56" i="11"/>
  <c r="G57" i="12" s="1"/>
  <c r="AE61" i="11"/>
  <c r="D62" i="12" s="1"/>
  <c r="AH18" i="11"/>
  <c r="G19" i="12" s="1"/>
  <c r="AF59" i="11"/>
  <c r="E60" i="12" s="1"/>
  <c r="AH62" i="11"/>
  <c r="G63" i="12" s="1"/>
  <c r="AF78" i="11"/>
  <c r="E79" i="12" s="1"/>
  <c r="AI21" i="11"/>
  <c r="H22" i="12" s="1"/>
  <c r="Q23" i="11"/>
  <c r="AH7" i="11"/>
  <c r="G8" i="12" s="1"/>
  <c r="AE24" i="11"/>
  <c r="D25" i="12" s="1"/>
  <c r="AF7" i="11"/>
  <c r="E8" i="12" s="1"/>
  <c r="Q64" i="11"/>
  <c r="AH12" i="11"/>
  <c r="G13" i="12" s="1"/>
  <c r="AG27" i="11"/>
  <c r="F28" i="12" s="1"/>
  <c r="AG64" i="11"/>
  <c r="F65" i="12" s="1"/>
  <c r="AG44" i="11"/>
  <c r="F45" i="12" s="1"/>
  <c r="AG47" i="11"/>
  <c r="F48" i="12" s="1"/>
  <c r="AH48" i="11"/>
  <c r="G49" i="12" s="1"/>
  <c r="Q16" i="11"/>
  <c r="V20" i="11"/>
  <c r="AF53" i="11"/>
  <c r="E54" i="12" s="1"/>
  <c r="V46" i="11"/>
  <c r="AH84" i="11"/>
  <c r="G85" i="12" s="1"/>
  <c r="AG31" i="11"/>
  <c r="F32" i="12" s="1"/>
  <c r="AH78" i="11"/>
  <c r="G79" i="12" s="1"/>
  <c r="AH11" i="11"/>
  <c r="G12" i="12" s="1"/>
  <c r="AH45" i="11"/>
  <c r="G46" i="12" s="1"/>
  <c r="Q52" i="11"/>
  <c r="AI71" i="11"/>
  <c r="H72" i="12" s="1"/>
  <c r="Q41" i="11"/>
  <c r="AH64" i="11"/>
  <c r="G65" i="12" s="1"/>
  <c r="Q48" i="11"/>
  <c r="AF69" i="11"/>
  <c r="E70" i="12" s="1"/>
  <c r="AE58" i="11"/>
  <c r="D59" i="12" s="1"/>
  <c r="AH49" i="11"/>
  <c r="G50" i="12" s="1"/>
  <c r="AE34" i="11"/>
  <c r="D35" i="12" s="1"/>
  <c r="V53" i="11"/>
  <c r="AF32" i="11"/>
  <c r="E33" i="12" s="1"/>
  <c r="V80" i="11"/>
  <c r="V77" i="11"/>
  <c r="V81" i="11"/>
  <c r="AG59" i="11"/>
  <c r="F60" i="12" s="1"/>
  <c r="V57" i="11"/>
  <c r="Q37" i="11"/>
  <c r="AH50" i="11"/>
  <c r="G51" i="12" s="1"/>
  <c r="AE57" i="11"/>
  <c r="D58" i="12" s="1"/>
  <c r="AF61" i="11"/>
  <c r="E62" i="12" s="1"/>
  <c r="Q30" i="11"/>
  <c r="AG66" i="11"/>
  <c r="F67" i="12" s="1"/>
  <c r="Q17" i="11"/>
  <c r="AG52" i="11"/>
  <c r="F53" i="12" s="1"/>
  <c r="AG28" i="11"/>
  <c r="F29" i="12" s="1"/>
  <c r="AG43" i="11"/>
  <c r="F44" i="12" s="1"/>
  <c r="Q60" i="11"/>
  <c r="AG50" i="11"/>
  <c r="F51" i="12" s="1"/>
  <c r="AH71" i="11"/>
  <c r="G72" i="12" s="1"/>
  <c r="AF63" i="11"/>
  <c r="E64" i="12" s="1"/>
  <c r="AF14" i="11"/>
  <c r="E15" i="12" s="1"/>
  <c r="AH19" i="11"/>
  <c r="G20" i="12" s="1"/>
  <c r="AH20" i="11"/>
  <c r="G21" i="12" s="1"/>
  <c r="AF29" i="11"/>
  <c r="E30" i="12" s="1"/>
  <c r="AF67" i="11"/>
  <c r="E68" i="12" s="1"/>
  <c r="AF64" i="11"/>
  <c r="E65" i="12" s="1"/>
  <c r="AH43" i="11"/>
  <c r="G44" i="12" s="1"/>
  <c r="AF62" i="11"/>
  <c r="E63" i="12" s="1"/>
  <c r="AG84" i="11"/>
  <c r="F85" i="12" s="1"/>
  <c r="AH54" i="11"/>
  <c r="G55" i="12" s="1"/>
  <c r="AF33" i="11"/>
  <c r="E34" i="12" s="1"/>
  <c r="AF6" i="11"/>
  <c r="E7" i="12" s="1"/>
  <c r="AG37" i="11"/>
  <c r="F38" i="12" s="1"/>
  <c r="V19" i="11"/>
  <c r="AI83" i="11"/>
  <c r="H84" i="12" s="1"/>
  <c r="AE14" i="11"/>
  <c r="D15" i="12" s="1"/>
  <c r="V34" i="11"/>
  <c r="V43" i="11"/>
  <c r="V40" i="11"/>
  <c r="AG75" i="11"/>
  <c r="F76" i="12" s="1"/>
  <c r="AF36" i="11"/>
  <c r="E37" i="12" s="1"/>
  <c r="AF41" i="11"/>
  <c r="E42" i="12" s="1"/>
  <c r="Q21" i="11"/>
  <c r="AF48" i="11"/>
  <c r="E49" i="12" s="1"/>
  <c r="AE26" i="11"/>
  <c r="D27" i="12" s="1"/>
  <c r="Q49" i="11"/>
  <c r="Q83" i="11"/>
  <c r="AG24" i="11"/>
  <c r="F25" i="12" s="1"/>
  <c r="AI78" i="11"/>
  <c r="H79" i="12" s="1"/>
  <c r="AH77" i="11"/>
  <c r="G78" i="12" s="1"/>
  <c r="AH28" i="11"/>
  <c r="G29" i="12" s="1"/>
  <c r="AH25" i="11"/>
  <c r="G26" i="12" s="1"/>
  <c r="AH6" i="11"/>
  <c r="G7" i="12" s="1"/>
  <c r="AH65" i="11"/>
  <c r="G66" i="12" s="1"/>
  <c r="AI39" i="11"/>
  <c r="H40" i="12" s="1"/>
  <c r="Q47" i="11"/>
  <c r="AF20" i="11"/>
  <c r="E21" i="12" s="1"/>
  <c r="AG77" i="11"/>
  <c r="F78" i="12" s="1"/>
  <c r="AH40" i="11"/>
  <c r="G41" i="12" s="1"/>
  <c r="AG73" i="11"/>
  <c r="F74" i="12" s="1"/>
  <c r="AF73" i="11"/>
  <c r="E74" i="12" s="1"/>
  <c r="AG76" i="11"/>
  <c r="F77" i="12" s="1"/>
  <c r="AH39" i="11"/>
  <c r="G40" i="12" s="1"/>
  <c r="AH13" i="11"/>
  <c r="G14" i="12" s="1"/>
  <c r="AG35" i="11"/>
  <c r="F36" i="12" s="1"/>
  <c r="AG15" i="11"/>
  <c r="F16" i="12" s="1"/>
  <c r="AG25" i="11"/>
  <c r="F26" i="12" s="1"/>
  <c r="V73" i="11"/>
  <c r="AG6" i="11"/>
  <c r="F7" i="12" s="1"/>
  <c r="AF18" i="11"/>
  <c r="E19" i="12" s="1"/>
  <c r="AG79" i="11"/>
  <c r="F80" i="12" s="1"/>
  <c r="AG10" i="11"/>
  <c r="F11" i="12" s="1"/>
  <c r="AI60" i="11"/>
  <c r="H61" i="12" s="1"/>
  <c r="V52" i="11"/>
  <c r="AE79" i="11"/>
  <c r="D80" i="12" s="1"/>
  <c r="V84" i="11"/>
  <c r="Q76" i="11"/>
  <c r="AH34" i="11"/>
  <c r="G35" i="12" s="1"/>
  <c r="AF26" i="11"/>
  <c r="E27" i="12" s="1"/>
  <c r="AF23" i="11"/>
  <c r="E24" i="12" s="1"/>
  <c r="AH35" i="11"/>
  <c r="G36" i="12" s="1"/>
  <c r="AE33" i="11"/>
  <c r="D34" i="12" s="1"/>
  <c r="AG42" i="11"/>
  <c r="F43" i="12" s="1"/>
  <c r="AE38" i="11"/>
  <c r="D39" i="12" s="1"/>
  <c r="Q54" i="11"/>
  <c r="V63" i="11"/>
  <c r="AF35" i="11"/>
  <c r="E36" i="12" s="1"/>
  <c r="AI72" i="11"/>
  <c r="H73" i="12" s="1"/>
  <c r="AG58" i="11"/>
  <c r="F59" i="12" s="1"/>
  <c r="AI75" i="11"/>
  <c r="H76" i="12" s="1"/>
  <c r="V54" i="11"/>
  <c r="AH57" i="11"/>
  <c r="G58" i="12" s="1"/>
  <c r="V56" i="11"/>
  <c r="AG9" i="11"/>
  <c r="F10" i="12" s="1"/>
  <c r="AH37" i="11"/>
  <c r="G38" i="12" s="1"/>
  <c r="AG19" i="11"/>
  <c r="F20" i="12" s="1"/>
  <c r="AH74" i="11"/>
  <c r="G75" i="12" s="1"/>
  <c r="AF57" i="11"/>
  <c r="E58" i="12" s="1"/>
  <c r="AF79" i="11"/>
  <c r="E80" i="12" s="1"/>
  <c r="Q53" i="11"/>
  <c r="AG71" i="11"/>
  <c r="F72" i="12" s="1"/>
  <c r="Q18" i="11"/>
  <c r="V8" i="11"/>
  <c r="Q75" i="11"/>
  <c r="Q39" i="11"/>
  <c r="AG32" i="11"/>
  <c r="F33" i="12" s="1"/>
  <c r="V27" i="11"/>
  <c r="V41" i="11"/>
  <c r="AH59" i="11"/>
  <c r="G60" i="12" s="1"/>
  <c r="AH81" i="11"/>
  <c r="G82" i="12" s="1"/>
  <c r="AI24" i="11"/>
  <c r="H25" i="12" s="1"/>
  <c r="AE50" i="11"/>
  <c r="D51" i="12" s="1"/>
  <c r="AF77" i="11"/>
  <c r="E78" i="12" s="1"/>
  <c r="AE43" i="11"/>
  <c r="D44" i="12" s="1"/>
  <c r="AH55" i="11"/>
  <c r="G56" i="12" s="1"/>
  <c r="AF66" i="11"/>
  <c r="E67" i="12" s="1"/>
  <c r="V74" i="11"/>
  <c r="AF81" i="11"/>
  <c r="E82" i="12" s="1"/>
  <c r="AH67" i="11"/>
  <c r="G68" i="12" s="1"/>
  <c r="AF25" i="11"/>
  <c r="E26" i="12" s="1"/>
  <c r="V13" i="11"/>
  <c r="AI6" i="11"/>
  <c r="H7" i="12" s="1"/>
  <c r="V9" i="11"/>
  <c r="AH26" i="11"/>
  <c r="G27" i="12" s="1"/>
  <c r="AF50" i="11"/>
  <c r="E51" i="12" s="1"/>
  <c r="AH22" i="11"/>
  <c r="G23" i="12" s="1"/>
  <c r="AF45" i="11"/>
  <c r="E46" i="12" s="1"/>
  <c r="AF34" i="11"/>
  <c r="E35" i="12" s="1"/>
  <c r="AH75" i="11"/>
  <c r="G76" i="12" s="1"/>
  <c r="AF82" i="11"/>
  <c r="E83" i="12" s="1"/>
  <c r="Q71" i="11"/>
  <c r="AG60" i="11"/>
  <c r="F61" i="12" s="1"/>
  <c r="AF13" i="11"/>
  <c r="E14" i="12" s="1"/>
  <c r="V66" i="11"/>
  <c r="AG45" i="11"/>
  <c r="F46" i="12" s="1"/>
  <c r="V30" i="11"/>
  <c r="AF43" i="11"/>
  <c r="E44" i="12" s="1"/>
  <c r="Q81" i="11"/>
  <c r="AG11" i="11"/>
  <c r="F12" i="12" s="1"/>
  <c r="AF31" i="11"/>
  <c r="E32" i="12" s="1"/>
  <c r="AE8" i="11"/>
  <c r="D9" i="12" s="1"/>
  <c r="AF15" i="11"/>
  <c r="E16" i="12" s="1"/>
  <c r="AH44" i="11"/>
  <c r="G45" i="12" s="1"/>
  <c r="AG12" i="11"/>
  <c r="F13" i="12" s="1"/>
  <c r="AF39" i="11"/>
  <c r="E40" i="12" s="1"/>
  <c r="Q73" i="11"/>
  <c r="Q78" i="11"/>
  <c r="Q25" i="11"/>
  <c r="AF83" i="11"/>
  <c r="E84" i="12" s="1"/>
  <c r="AE80" i="11"/>
  <c r="D81" i="12" s="1"/>
  <c r="AF28" i="11"/>
  <c r="E29" i="12" s="1"/>
  <c r="AG69" i="11"/>
  <c r="F70" i="12" s="1"/>
  <c r="Q72" i="11"/>
  <c r="AG68" i="11"/>
  <c r="F69" i="12" s="1"/>
  <c r="AH41" i="11"/>
  <c r="G42" i="12" s="1"/>
  <c r="V49" i="11"/>
  <c r="AF55" i="11"/>
  <c r="E56" i="12" s="1"/>
  <c r="AF52" i="11"/>
  <c r="E53" i="12" s="1"/>
  <c r="V45" i="11"/>
  <c r="Q65" i="11"/>
  <c r="AE74" i="11"/>
  <c r="D75" i="12" s="1"/>
  <c r="AG13" i="11"/>
  <c r="F14" i="12" s="1"/>
  <c r="AG41" i="11"/>
  <c r="F42" i="12" s="1"/>
  <c r="AH38" i="11"/>
  <c r="G39" i="12" s="1"/>
  <c r="AH76" i="11"/>
  <c r="G77" i="12" s="1"/>
  <c r="AE32" i="11"/>
  <c r="D33" i="12" s="1"/>
  <c r="Q29" i="11"/>
  <c r="AI82" i="11"/>
  <c r="H83" i="12" s="1"/>
  <c r="AH31" i="11"/>
  <c r="G32" i="12" s="1"/>
  <c r="AI70" i="11"/>
  <c r="H71" i="12" s="1"/>
  <c r="AH68" i="11"/>
  <c r="G69" i="12" s="1"/>
  <c r="AF37" i="11"/>
  <c r="E38" i="12" s="1"/>
  <c r="AH15" i="11"/>
  <c r="G16" i="12" s="1"/>
  <c r="V38" i="11"/>
  <c r="AG29" i="11"/>
  <c r="F30" i="12" s="1"/>
  <c r="AG8" i="11"/>
  <c r="F9" i="12" s="1"/>
  <c r="AH36" i="11"/>
  <c r="G37" i="12" s="1"/>
  <c r="AH17" i="11"/>
  <c r="G18" i="12" s="1"/>
  <c r="V68" i="11"/>
  <c r="Q51" i="11"/>
  <c r="AH51" i="11"/>
  <c r="G52" i="12" s="1"/>
  <c r="AG70" i="11"/>
  <c r="F71" i="12" s="1"/>
  <c r="AH73" i="11"/>
  <c r="G74" i="12" s="1"/>
  <c r="AH16" i="11"/>
  <c r="G17" i="12" s="1"/>
  <c r="V69" i="11"/>
  <c r="AG23" i="11"/>
  <c r="F24" i="12" s="1"/>
  <c r="AI65" i="11"/>
  <c r="H66" i="12" s="1"/>
  <c r="AF24" i="11"/>
  <c r="E25" i="12" s="1"/>
  <c r="AG20" i="11"/>
  <c r="F21" i="12" s="1"/>
  <c r="V67" i="11"/>
  <c r="AI17" i="11"/>
  <c r="H18" i="12" s="1"/>
  <c r="AH53" i="11"/>
  <c r="G54" i="12" s="1"/>
  <c r="V55" i="11"/>
  <c r="AH42" i="11"/>
  <c r="G43" i="12" s="1"/>
  <c r="AF21" i="11"/>
  <c r="E22" i="12" s="1"/>
  <c r="Q36" i="11"/>
  <c r="AF80" i="11"/>
  <c r="E81" i="12" s="1"/>
  <c r="AG33" i="11"/>
  <c r="F34" i="12" s="1"/>
  <c r="AF30" i="11"/>
  <c r="E31" i="12" s="1"/>
  <c r="AI7" i="11"/>
  <c r="H8" i="12" s="1"/>
  <c r="AI79" i="11"/>
  <c r="H80" i="12" s="1"/>
  <c r="AH70" i="11"/>
  <c r="G71" i="12" s="1"/>
  <c r="AF12" i="11"/>
  <c r="E13" i="12" s="1"/>
  <c r="AF49" i="11"/>
  <c r="E50" i="12" s="1"/>
  <c r="AH21" i="11"/>
  <c r="G22" i="12" s="1"/>
  <c r="AG48" i="11"/>
  <c r="F49" i="12" s="1"/>
  <c r="AG34" i="11"/>
  <c r="F35" i="12" s="1"/>
  <c r="Q13" i="11"/>
  <c r="AG53" i="11"/>
  <c r="F54" i="12" s="1"/>
  <c r="AF46" i="11"/>
  <c r="E47" i="12" s="1"/>
  <c r="AE68" i="11"/>
  <c r="D69" i="12" s="1"/>
  <c r="AG57" i="11"/>
  <c r="F58" i="12" s="1"/>
  <c r="V44" i="11"/>
  <c r="AH9" i="11"/>
  <c r="G10" i="12" s="1"/>
  <c r="AI18" i="11"/>
  <c r="H19" i="12" s="1"/>
  <c r="AH47" i="11"/>
  <c r="G48" i="12" s="1"/>
  <c r="AF84" i="11"/>
  <c r="E85" i="12" s="1"/>
  <c r="AE15" i="11"/>
  <c r="D16" i="12" s="1"/>
  <c r="AF56" i="11"/>
  <c r="E57" i="12" s="1"/>
  <c r="AG72" i="11"/>
  <c r="F73" i="12" s="1"/>
  <c r="AF68" i="11"/>
  <c r="E69" i="12" s="1"/>
  <c r="AE46" i="11"/>
  <c r="D47" i="12" s="1"/>
  <c r="AG55" i="11"/>
  <c r="F56" i="12" s="1"/>
  <c r="AF58" i="11"/>
  <c r="E59" i="12" s="1"/>
  <c r="AF16" i="11"/>
  <c r="E17" i="12" s="1"/>
  <c r="AF76" i="11"/>
  <c r="E77" i="12" s="1"/>
  <c r="Q63" i="11"/>
  <c r="AG63" i="11"/>
  <c r="F64" i="12" s="1"/>
  <c r="AF17" i="11"/>
  <c r="E18" i="12" s="1"/>
  <c r="AF8" i="11"/>
  <c r="E9" i="12" s="1"/>
  <c r="Q55" i="11"/>
  <c r="AE70" i="11"/>
  <c r="D71" i="12" s="1"/>
  <c r="AF40" i="11"/>
  <c r="E41" i="12" s="1"/>
  <c r="AI48" i="11"/>
  <c r="H49" i="12" s="1"/>
  <c r="AF60" i="11"/>
  <c r="E61" i="12" s="1"/>
  <c r="AG49" i="11"/>
  <c r="F50" i="12" s="1"/>
  <c r="AF65" i="11"/>
  <c r="E66" i="12" s="1"/>
  <c r="AE67" i="11"/>
  <c r="D68" i="12" s="1"/>
  <c r="Q27" i="11"/>
  <c r="V76" i="11"/>
  <c r="AH10" i="11"/>
  <c r="G11" i="12" s="1"/>
  <c r="V25" i="11"/>
  <c r="AG83" i="11"/>
  <c r="F84" i="12" s="1"/>
  <c r="Q42" i="11"/>
  <c r="V28" i="11"/>
  <c r="AG67" i="11"/>
  <c r="F68" i="12" s="1"/>
  <c r="AG5" i="11"/>
  <c r="F6" i="12" s="1"/>
  <c r="AI5" i="11"/>
  <c r="H6" i="12" s="1"/>
  <c r="AF5" i="11"/>
  <c r="E6" i="12" s="1"/>
  <c r="AH5" i="11"/>
  <c r="G6" i="12" s="1"/>
  <c r="AE5" i="11"/>
  <c r="D6" i="12" s="1"/>
  <c r="AF94" i="11"/>
  <c r="E95" i="12" s="1"/>
  <c r="Q102" i="11"/>
  <c r="AI103" i="11"/>
  <c r="H104" i="12" s="1"/>
  <c r="AG86" i="11"/>
  <c r="F87" i="12" s="1"/>
  <c r="AG92" i="11"/>
  <c r="F93" i="12" s="1"/>
  <c r="AH96" i="11"/>
  <c r="G97" i="12" s="1"/>
  <c r="AE96" i="11"/>
  <c r="D97" i="12" s="1"/>
  <c r="AF85" i="11"/>
  <c r="E86" i="12" s="1"/>
  <c r="AF92" i="11"/>
  <c r="E93" i="12" s="1"/>
  <c r="Q95" i="11"/>
  <c r="AF90" i="11"/>
  <c r="E91" i="12" s="1"/>
  <c r="AG97" i="11"/>
  <c r="F98" i="12" s="1"/>
  <c r="AF86" i="11"/>
  <c r="E87" i="12" s="1"/>
  <c r="V96" i="11"/>
  <c r="AF88" i="11"/>
  <c r="E89" i="12" s="1"/>
  <c r="AI100" i="11"/>
  <c r="H101" i="12" s="1"/>
  <c r="AE89" i="11"/>
  <c r="D90" i="12" s="1"/>
  <c r="V104" i="11"/>
  <c r="AH97" i="11"/>
  <c r="G98" i="12" s="1"/>
  <c r="AF97" i="11"/>
  <c r="E98" i="12" s="1"/>
  <c r="Q87" i="11"/>
  <c r="AH93" i="11"/>
  <c r="G94" i="12" s="1"/>
  <c r="AH103" i="11"/>
  <c r="G104" i="12" s="1"/>
  <c r="AH87" i="11"/>
  <c r="G88" i="12" s="1"/>
  <c r="AI102" i="11"/>
  <c r="H103" i="12" s="1"/>
  <c r="AF104" i="11"/>
  <c r="E105" i="12" s="1"/>
  <c r="AI95" i="11"/>
  <c r="H96" i="12" s="1"/>
  <c r="Q99" i="11"/>
  <c r="AG94" i="11"/>
  <c r="F95" i="12" s="1"/>
  <c r="V94" i="11"/>
  <c r="AH99" i="11"/>
  <c r="G100" i="12" s="1"/>
  <c r="AH100" i="11"/>
  <c r="G101" i="12" s="1"/>
  <c r="AG87" i="11"/>
  <c r="F88" i="12" s="1"/>
  <c r="AF101" i="11"/>
  <c r="E102" i="12" s="1"/>
  <c r="AE97" i="11"/>
  <c r="D98" i="12" s="1"/>
  <c r="AE88" i="11"/>
  <c r="D89" i="12" s="1"/>
  <c r="AI90" i="11"/>
  <c r="H91" i="12" s="1"/>
  <c r="AH98" i="11"/>
  <c r="G99" i="12" s="1"/>
  <c r="AE91" i="11"/>
  <c r="D92" i="12" s="1"/>
  <c r="AG89" i="11"/>
  <c r="F90" i="12" s="1"/>
  <c r="AG93" i="11"/>
  <c r="F94" i="12" s="1"/>
  <c r="AG91" i="11"/>
  <c r="F92" i="12" s="1"/>
  <c r="AG99" i="11"/>
  <c r="F100" i="12" s="1"/>
  <c r="AG88" i="11"/>
  <c r="F89" i="12" s="1"/>
  <c r="AE92" i="11"/>
  <c r="D93" i="12" s="1"/>
  <c r="AF98" i="11"/>
  <c r="E99" i="12" s="1"/>
  <c r="AG98" i="11"/>
  <c r="F99" i="12" s="1"/>
  <c r="AH101" i="11"/>
  <c r="G102" i="12" s="1"/>
  <c r="AH94" i="11"/>
  <c r="G95" i="12" s="1"/>
  <c r="AF93" i="11"/>
  <c r="E94" i="12" s="1"/>
  <c r="AI101" i="11"/>
  <c r="H102" i="12" s="1"/>
  <c r="AH85" i="11"/>
  <c r="G86" i="12" s="1"/>
  <c r="AF96" i="11"/>
  <c r="E97" i="12" s="1"/>
  <c r="AF103" i="11"/>
  <c r="E104" i="12" s="1"/>
  <c r="V99" i="11"/>
  <c r="AF102" i="11"/>
  <c r="E103" i="12" s="1"/>
  <c r="AF99" i="11"/>
  <c r="E100" i="12" s="1"/>
  <c r="AF87" i="11"/>
  <c r="E88" i="12" s="1"/>
  <c r="AI91" i="11"/>
  <c r="H92" i="12" s="1"/>
  <c r="AF100" i="11"/>
  <c r="E101" i="12" s="1"/>
  <c r="AI86" i="11"/>
  <c r="H87" i="12" s="1"/>
  <c r="AI93" i="11"/>
  <c r="H94" i="12" s="1"/>
  <c r="AH95" i="11"/>
  <c r="G96" i="12" s="1"/>
  <c r="AH86" i="11"/>
  <c r="G87" i="12" s="1"/>
  <c r="AH88" i="11"/>
  <c r="G89" i="12" s="1"/>
  <c r="AF89" i="11"/>
  <c r="E90" i="12" s="1"/>
  <c r="AE94" i="11"/>
  <c r="D95" i="12" s="1"/>
  <c r="AG104" i="11"/>
  <c r="F105" i="12" s="1"/>
  <c r="AE98" i="11"/>
  <c r="D99" i="12" s="1"/>
  <c r="AG101" i="11"/>
  <c r="F102" i="12" s="1"/>
  <c r="AG85" i="11"/>
  <c r="F86" i="12" s="1"/>
  <c r="AH91" i="11"/>
  <c r="G92" i="12" s="1"/>
  <c r="AH102" i="11"/>
  <c r="G103" i="12" s="1"/>
  <c r="AI87" i="11"/>
  <c r="H88" i="12" s="1"/>
  <c r="AF91" i="11"/>
  <c r="E92" i="12" s="1"/>
  <c r="AF95" i="11"/>
  <c r="E96" i="12" s="1"/>
  <c r="V92" i="11"/>
  <c r="AI98" i="11"/>
  <c r="H99" i="12" s="1"/>
  <c r="V97" i="11"/>
  <c r="AG96" i="11"/>
  <c r="F97" i="12" s="1"/>
  <c r="AH92" i="11"/>
  <c r="G93" i="12" s="1"/>
  <c r="Q103" i="11"/>
  <c r="AG102" i="11"/>
  <c r="F103" i="12" s="1"/>
  <c r="AG90" i="11"/>
  <c r="F91" i="12" s="1"/>
  <c r="AG100" i="11"/>
  <c r="F101" i="12" s="1"/>
  <c r="Q85" i="11"/>
  <c r="V85" i="11"/>
  <c r="AE86" i="11"/>
  <c r="D87" i="12" s="1"/>
  <c r="AE90" i="11"/>
  <c r="D91" i="12" s="1"/>
  <c r="Q100" i="11"/>
  <c r="AG103" i="11"/>
  <c r="F104" i="12" s="1"/>
  <c r="AG95" i="11"/>
  <c r="F96" i="12" s="1"/>
  <c r="AI89" i="11"/>
  <c r="H90" i="12" s="1"/>
  <c r="AH104" i="11"/>
  <c r="G105" i="12" s="1"/>
  <c r="AE17" i="11"/>
  <c r="D18" i="12" s="1"/>
  <c r="AE83" i="11"/>
  <c r="D84" i="12" s="1"/>
  <c r="AE11" i="11"/>
  <c r="D12" i="12" s="1"/>
  <c r="AE64" i="11"/>
  <c r="D65" i="12" s="1"/>
  <c r="T16" i="8"/>
  <c r="W13" i="8"/>
  <c r="AI19" i="11"/>
  <c r="H20" i="12" s="1"/>
  <c r="AI85" i="11"/>
  <c r="H86" i="12" s="1"/>
  <c r="AI40" i="11"/>
  <c r="H41" i="12" s="1"/>
  <c r="AE63" i="11"/>
  <c r="D64" i="12" s="1"/>
  <c r="AE95" i="11"/>
  <c r="D96" i="12" s="1"/>
  <c r="AE29" i="11"/>
  <c r="D30" i="12" s="1"/>
  <c r="AE28" i="11"/>
  <c r="D29" i="12" s="1"/>
  <c r="AI27" i="11"/>
  <c r="H28" i="12" s="1"/>
  <c r="AI31" i="11"/>
  <c r="H32" i="12" s="1"/>
  <c r="AI13" i="11"/>
  <c r="H14" i="12" s="1"/>
  <c r="AI74" i="11"/>
  <c r="H75" i="12" s="1"/>
  <c r="AI63" i="11"/>
  <c r="H64" i="12" s="1"/>
  <c r="AE99" i="11"/>
  <c r="D100" i="12" s="1"/>
  <c r="AE30" i="11"/>
  <c r="D31" i="12" s="1"/>
  <c r="AI43" i="11"/>
  <c r="H44" i="12" s="1"/>
  <c r="AI99" i="11"/>
  <c r="H100" i="12" s="1"/>
  <c r="AI49" i="11"/>
  <c r="H50" i="12" s="1"/>
  <c r="AE49" i="11"/>
  <c r="D50" i="12" s="1"/>
  <c r="AI68" i="11"/>
  <c r="H69" i="12" s="1"/>
  <c r="AI84" i="11"/>
  <c r="H85" i="12" s="1"/>
  <c r="AI9" i="11"/>
  <c r="H10" i="12" s="1"/>
  <c r="AI94" i="11"/>
  <c r="H95" i="12" s="1"/>
  <c r="AI51" i="11"/>
  <c r="H52" i="12" s="1"/>
  <c r="AE25" i="11"/>
  <c r="D26" i="12" s="1"/>
  <c r="AI29" i="11"/>
  <c r="H30" i="12" s="1"/>
  <c r="AI69" i="11"/>
  <c r="H70" i="12" s="1"/>
  <c r="AI41" i="11"/>
  <c r="H42" i="12" s="1"/>
  <c r="AI104" i="11"/>
  <c r="H105" i="12" s="1"/>
  <c r="AI52" i="11"/>
  <c r="H53" i="12" s="1"/>
  <c r="AE60" i="11"/>
  <c r="D61" i="12" s="1"/>
  <c r="AE35" i="11"/>
  <c r="D36" i="12" s="1"/>
  <c r="AE73" i="11"/>
  <c r="D74" i="12" s="1"/>
  <c r="AI38" i="11"/>
  <c r="H39" i="12" s="1"/>
  <c r="Q7" i="11"/>
  <c r="AI54" i="11"/>
  <c r="H55" i="12" s="1"/>
  <c r="AI96" i="11"/>
  <c r="H97" i="12" s="1"/>
  <c r="AI11" i="11"/>
  <c r="H12" i="12" s="1"/>
  <c r="AE103" i="11"/>
  <c r="D104" i="12" s="1"/>
  <c r="AI67" i="11"/>
  <c r="H68" i="12" s="1"/>
  <c r="AI59" i="11"/>
  <c r="H60" i="12" s="1"/>
  <c r="AE71" i="11"/>
  <c r="D72" i="12" s="1"/>
  <c r="AE75" i="11"/>
  <c r="D76" i="12" s="1"/>
  <c r="AE42" i="11"/>
  <c r="D43" i="12" s="1"/>
  <c r="AI16" i="11"/>
  <c r="H17" i="12" s="1"/>
  <c r="AI81" i="11"/>
  <c r="H82" i="12" s="1"/>
  <c r="AI8" i="11"/>
  <c r="H9" i="12" s="1"/>
  <c r="AE48" i="11"/>
  <c r="D49" i="12" s="1"/>
  <c r="AE85" i="11"/>
  <c r="D86" i="12" s="1"/>
  <c r="AE9" i="11"/>
  <c r="D10" i="12" s="1"/>
  <c r="AE36" i="11"/>
  <c r="D37" i="12" s="1"/>
  <c r="AE16" i="11"/>
  <c r="D17" i="12" s="1"/>
  <c r="AE66" i="11"/>
  <c r="D67" i="12" s="1"/>
  <c r="AI32" i="11"/>
  <c r="H33" i="12" s="1"/>
  <c r="AE27" i="11"/>
  <c r="D28" i="12" s="1"/>
  <c r="AI12" i="11"/>
  <c r="H13" i="12" s="1"/>
  <c r="AE65" i="11"/>
  <c r="D66" i="12" s="1"/>
  <c r="AI77" i="11"/>
  <c r="H78" i="12" s="1"/>
  <c r="AE102" i="11"/>
  <c r="D103" i="12" s="1"/>
  <c r="AE87" i="11"/>
  <c r="D88" i="12" s="1"/>
  <c r="AE39" i="11"/>
  <c r="D40" i="12" s="1"/>
  <c r="V87" i="11"/>
  <c r="AI45" i="11"/>
  <c r="H46" i="12" s="1"/>
  <c r="AE21" i="11"/>
  <c r="D22" i="12" s="1"/>
  <c r="AI14" i="11"/>
  <c r="H15" i="12" s="1"/>
  <c r="Q33" i="11"/>
  <c r="AI97" i="11"/>
  <c r="H98" i="12" s="1"/>
  <c r="AI80" i="11"/>
  <c r="H81" i="12" s="1"/>
  <c r="V95" i="11"/>
  <c r="AE100" i="11"/>
  <c r="D101" i="12" s="1"/>
  <c r="Q45" i="11"/>
  <c r="AE81" i="11"/>
  <c r="D82" i="12" s="1"/>
  <c r="AI55" i="11"/>
  <c r="H56" i="12" s="1"/>
  <c r="V103" i="11"/>
  <c r="AE18" i="11"/>
  <c r="D19" i="12" s="1"/>
  <c r="AI53" i="11"/>
  <c r="H54" i="12" s="1"/>
  <c r="AI35" i="11"/>
  <c r="H36" i="12" s="1"/>
  <c r="AE55" i="11"/>
  <c r="D56" i="12" s="1"/>
  <c r="AE53" i="11"/>
  <c r="D54" i="12" s="1"/>
  <c r="AI76" i="11"/>
  <c r="H77" i="12" s="1"/>
  <c r="AE31" i="11"/>
  <c r="D32" i="12" s="1"/>
  <c r="V91" i="11"/>
  <c r="Q57" i="11"/>
  <c r="V5" i="11"/>
  <c r="Q61" i="11"/>
  <c r="AI73" i="11"/>
  <c r="H74" i="12" s="1"/>
  <c r="Q6" i="11"/>
  <c r="AI44" i="11"/>
  <c r="H45" i="12" s="1"/>
  <c r="Q15" i="11"/>
  <c r="Q90" i="11"/>
  <c r="AI46" i="11"/>
  <c r="H47" i="12" s="1"/>
  <c r="AI56" i="11"/>
  <c r="H57" i="12" s="1"/>
  <c r="V26" i="11"/>
  <c r="AI20" i="11"/>
  <c r="H21" i="12" s="1"/>
  <c r="AE52" i="11"/>
  <c r="D53" i="12" s="1"/>
  <c r="V15" i="11"/>
  <c r="Q59" i="11"/>
  <c r="V42" i="11"/>
  <c r="AE41" i="11"/>
  <c r="D42" i="12" s="1"/>
  <c r="AI66" i="11"/>
  <c r="H67" i="12" s="1"/>
  <c r="V102" i="11"/>
  <c r="W22" i="11"/>
  <c r="X22" i="11"/>
  <c r="Y22" i="11"/>
  <c r="AE12" i="11"/>
  <c r="D13" i="12" s="1"/>
  <c r="AE23" i="11"/>
  <c r="D24" i="12" s="1"/>
  <c r="AI30" i="11"/>
  <c r="H31" i="12" s="1"/>
  <c r="AE13" i="11"/>
  <c r="D14" i="12" s="1"/>
  <c r="W44" i="11"/>
  <c r="X44" i="11"/>
  <c r="Y44" i="11"/>
  <c r="X38" i="11"/>
  <c r="Y38" i="11"/>
  <c r="W38" i="11"/>
  <c r="W46" i="11"/>
  <c r="X46" i="11"/>
  <c r="Y46" i="11"/>
  <c r="W68" i="11"/>
  <c r="X68" i="11"/>
  <c r="Y68" i="11"/>
  <c r="X59" i="11"/>
  <c r="W59" i="11"/>
  <c r="Y59" i="11"/>
  <c r="Q26" i="11"/>
  <c r="R26" i="11"/>
  <c r="S26" i="11"/>
  <c r="T26" i="11"/>
  <c r="W8" i="11"/>
  <c r="X8" i="11"/>
  <c r="Y8" i="11"/>
  <c r="W35" i="11"/>
  <c r="X35" i="11"/>
  <c r="Y35" i="11"/>
  <c r="W104" i="11"/>
  <c r="X104" i="11"/>
  <c r="Y104" i="11"/>
  <c r="W27" i="11"/>
  <c r="X27" i="11"/>
  <c r="Y27" i="11"/>
  <c r="Q58" i="11"/>
  <c r="R58" i="11"/>
  <c r="T58" i="11"/>
  <c r="S58" i="11"/>
  <c r="T60" i="11"/>
  <c r="R60" i="11"/>
  <c r="S60" i="11"/>
  <c r="X49" i="11"/>
  <c r="Y49" i="11"/>
  <c r="W49" i="11"/>
  <c r="X16" i="11"/>
  <c r="W16" i="11"/>
  <c r="Y16" i="11"/>
  <c r="W96" i="11"/>
  <c r="X96" i="11"/>
  <c r="Y96" i="11"/>
  <c r="R37" i="11"/>
  <c r="S37" i="11"/>
  <c r="T37" i="11"/>
  <c r="W42" i="11"/>
  <c r="X42" i="11"/>
  <c r="Y42" i="11"/>
  <c r="R11" i="11"/>
  <c r="S11" i="11"/>
  <c r="T11" i="11"/>
  <c r="T30" i="11"/>
  <c r="S30" i="11"/>
  <c r="R30" i="11"/>
  <c r="T47" i="11"/>
  <c r="R47" i="11"/>
  <c r="S47" i="11"/>
  <c r="W65" i="11"/>
  <c r="X65" i="11"/>
  <c r="Y65" i="11"/>
  <c r="W14" i="11"/>
  <c r="X14" i="11"/>
  <c r="Y14" i="11"/>
  <c r="W55" i="11"/>
  <c r="X55" i="11"/>
  <c r="Y55" i="11"/>
  <c r="W86" i="11"/>
  <c r="X86" i="11"/>
  <c r="Y86" i="11"/>
  <c r="R79" i="11"/>
  <c r="S79" i="11"/>
  <c r="T79" i="11"/>
  <c r="W83" i="11"/>
  <c r="X83" i="11"/>
  <c r="Y83" i="11"/>
  <c r="T24" i="11"/>
  <c r="R24" i="11"/>
  <c r="S24" i="11"/>
  <c r="W100" i="11"/>
  <c r="X100" i="11"/>
  <c r="Y100" i="11"/>
  <c r="R64" i="11"/>
  <c r="S64" i="11"/>
  <c r="T64" i="11"/>
  <c r="X23" i="11"/>
  <c r="W23" i="11"/>
  <c r="Y23" i="11"/>
  <c r="W66" i="11"/>
  <c r="X66" i="11"/>
  <c r="Y66" i="11"/>
  <c r="W102" i="11"/>
  <c r="X102" i="11"/>
  <c r="Y102" i="11"/>
  <c r="R51" i="11"/>
  <c r="S51" i="11"/>
  <c r="T51" i="11"/>
  <c r="R53" i="11"/>
  <c r="T53" i="11"/>
  <c r="S53" i="11"/>
  <c r="R52" i="11"/>
  <c r="S52" i="11"/>
  <c r="T52" i="11"/>
  <c r="T59" i="11"/>
  <c r="R59" i="11"/>
  <c r="S59" i="11"/>
  <c r="W63" i="11"/>
  <c r="X63" i="11"/>
  <c r="Y63" i="11"/>
  <c r="V65" i="11"/>
  <c r="W91" i="11"/>
  <c r="X91" i="11"/>
  <c r="Y91" i="11"/>
  <c r="R25" i="11"/>
  <c r="S25" i="11"/>
  <c r="T25" i="11"/>
  <c r="R7" i="11"/>
  <c r="T7" i="11"/>
  <c r="S7" i="11"/>
  <c r="Q70" i="11"/>
  <c r="T70" i="11"/>
  <c r="S70" i="11"/>
  <c r="R70" i="11"/>
  <c r="T36" i="11"/>
  <c r="R36" i="11"/>
  <c r="S36" i="11"/>
  <c r="V86" i="11"/>
  <c r="W80" i="11"/>
  <c r="X80" i="11"/>
  <c r="Y80" i="11"/>
  <c r="Q79" i="11"/>
  <c r="V83" i="11"/>
  <c r="R85" i="11"/>
  <c r="S85" i="11"/>
  <c r="T85" i="11"/>
  <c r="Q20" i="11"/>
  <c r="R20" i="11"/>
  <c r="S20" i="11"/>
  <c r="T20" i="11"/>
  <c r="W28" i="11"/>
  <c r="X28" i="11"/>
  <c r="Y28" i="11"/>
  <c r="Q24" i="11"/>
  <c r="V100" i="11"/>
  <c r="T90" i="11"/>
  <c r="R90" i="11"/>
  <c r="S90" i="11"/>
  <c r="R17" i="11"/>
  <c r="S17" i="11"/>
  <c r="T17" i="11"/>
  <c r="R100" i="11"/>
  <c r="S100" i="11"/>
  <c r="T100" i="11"/>
  <c r="T66" i="11"/>
  <c r="R66" i="11"/>
  <c r="S66" i="11"/>
  <c r="W36" i="11"/>
  <c r="X36" i="11"/>
  <c r="Y36" i="11"/>
  <c r="W11" i="11"/>
  <c r="X11" i="11"/>
  <c r="Y11" i="11"/>
  <c r="Q101" i="11"/>
  <c r="T101" i="11"/>
  <c r="R101" i="11"/>
  <c r="S101" i="11"/>
  <c r="W60" i="11"/>
  <c r="X60" i="11"/>
  <c r="Y60" i="11"/>
  <c r="W33" i="11"/>
  <c r="X33" i="11"/>
  <c r="Y33" i="11"/>
  <c r="Q98" i="11"/>
  <c r="T98" i="11"/>
  <c r="S98" i="11"/>
  <c r="R98" i="11"/>
  <c r="T99" i="11"/>
  <c r="S99" i="11"/>
  <c r="R99" i="11"/>
  <c r="T9" i="11"/>
  <c r="R9" i="11"/>
  <c r="S9" i="11"/>
  <c r="R27" i="11"/>
  <c r="S27" i="11"/>
  <c r="T27" i="11"/>
  <c r="T84" i="11"/>
  <c r="S84" i="11"/>
  <c r="R84" i="11"/>
  <c r="X31" i="11"/>
  <c r="Y31" i="11"/>
  <c r="W31" i="11"/>
  <c r="W101" i="11"/>
  <c r="X101" i="11"/>
  <c r="Y101" i="11"/>
  <c r="T93" i="11"/>
  <c r="R93" i="11"/>
  <c r="S93" i="11"/>
  <c r="Q104" i="11"/>
  <c r="S104" i="11"/>
  <c r="R104" i="11"/>
  <c r="T104" i="11"/>
  <c r="T45" i="11"/>
  <c r="R45" i="11"/>
  <c r="S45" i="11"/>
  <c r="Q10" i="11"/>
  <c r="T10" i="11"/>
  <c r="R10" i="11"/>
  <c r="S10" i="11"/>
  <c r="V36" i="11"/>
  <c r="V60" i="11"/>
  <c r="V33" i="11"/>
  <c r="R13" i="11"/>
  <c r="S13" i="11"/>
  <c r="T13" i="11"/>
  <c r="R76" i="11"/>
  <c r="T76" i="11"/>
  <c r="S76" i="11"/>
  <c r="Q84" i="11"/>
  <c r="W72" i="11"/>
  <c r="X72" i="11"/>
  <c r="Y72" i="11"/>
  <c r="T23" i="11"/>
  <c r="S23" i="11"/>
  <c r="R23" i="11"/>
  <c r="W47" i="11"/>
  <c r="X47" i="11"/>
  <c r="Y47" i="11"/>
  <c r="X92" i="11"/>
  <c r="Y92" i="11"/>
  <c r="W92" i="11"/>
  <c r="R91" i="11"/>
  <c r="S91" i="11"/>
  <c r="T91" i="11"/>
  <c r="W98" i="11"/>
  <c r="X98" i="11"/>
  <c r="Y98" i="11"/>
  <c r="V101" i="11"/>
  <c r="Q93" i="11"/>
  <c r="X88" i="11"/>
  <c r="W88" i="11"/>
  <c r="Y88" i="11"/>
  <c r="W10" i="11"/>
  <c r="X10" i="11"/>
  <c r="Y10" i="11"/>
  <c r="AE101" i="11"/>
  <c r="D102" i="12" s="1"/>
  <c r="W64" i="11"/>
  <c r="X64" i="11"/>
  <c r="Y64" i="11"/>
  <c r="V88" i="11"/>
  <c r="V10" i="11"/>
  <c r="W71" i="11"/>
  <c r="X71" i="11"/>
  <c r="Y71" i="11"/>
  <c r="Q89" i="11"/>
  <c r="R89" i="11"/>
  <c r="T89" i="11"/>
  <c r="S89" i="11"/>
  <c r="X103" i="11"/>
  <c r="Y103" i="11"/>
  <c r="W103" i="11"/>
  <c r="W75" i="11"/>
  <c r="X75" i="11"/>
  <c r="Y75" i="11"/>
  <c r="X5" i="11"/>
  <c r="W5" i="11"/>
  <c r="Y5" i="11"/>
  <c r="W32" i="11"/>
  <c r="X32" i="11"/>
  <c r="Y32" i="11"/>
  <c r="W17" i="11"/>
  <c r="X17" i="11"/>
  <c r="Y17" i="11"/>
  <c r="R49" i="11"/>
  <c r="S49" i="11"/>
  <c r="T49" i="11"/>
  <c r="Q68" i="11"/>
  <c r="S68" i="11"/>
  <c r="R68" i="11"/>
  <c r="T68" i="11"/>
  <c r="W93" i="11"/>
  <c r="X93" i="11"/>
  <c r="Y93" i="11"/>
  <c r="W7" i="11"/>
  <c r="X7" i="11"/>
  <c r="Y7" i="11"/>
  <c r="R28" i="11"/>
  <c r="T28" i="11"/>
  <c r="S28" i="11"/>
  <c r="V72" i="11"/>
  <c r="V47" i="11"/>
  <c r="Q91" i="11"/>
  <c r="T21" i="11"/>
  <c r="R21" i="11"/>
  <c r="S21" i="11"/>
  <c r="V98" i="11"/>
  <c r="T95" i="11"/>
  <c r="R95" i="11"/>
  <c r="S95" i="11"/>
  <c r="R16" i="11"/>
  <c r="T16" i="11"/>
  <c r="S16" i="11"/>
  <c r="X67" i="11"/>
  <c r="Y67" i="11"/>
  <c r="W67" i="11"/>
  <c r="AE104" i="11"/>
  <c r="D105" i="12" s="1"/>
  <c r="AE47" i="11"/>
  <c r="D48" i="12" s="1"/>
  <c r="AI23" i="11"/>
  <c r="H24" i="12" s="1"/>
  <c r="AI57" i="11"/>
  <c r="H58" i="12" s="1"/>
  <c r="AI61" i="11"/>
  <c r="H62" i="12" s="1"/>
  <c r="AE51" i="11"/>
  <c r="D52" i="12" s="1"/>
  <c r="AE93" i="11"/>
  <c r="D94" i="12" s="1"/>
  <c r="AI64" i="11"/>
  <c r="H65" i="12" s="1"/>
  <c r="AI88" i="11"/>
  <c r="H89" i="12" s="1"/>
  <c r="AI92" i="11"/>
  <c r="H93" i="12" s="1"/>
  <c r="AE10" i="11"/>
  <c r="D11" i="12" s="1"/>
  <c r="V64" i="11"/>
  <c r="W51" i="11"/>
  <c r="X51" i="11"/>
  <c r="Y51" i="11"/>
  <c r="W15" i="11"/>
  <c r="X15" i="11"/>
  <c r="Y15" i="11"/>
  <c r="T15" i="11"/>
  <c r="S15" i="11"/>
  <c r="R15" i="11"/>
  <c r="Q46" i="11"/>
  <c r="S46" i="11"/>
  <c r="R46" i="11"/>
  <c r="T46" i="11"/>
  <c r="V71" i="11"/>
  <c r="W69" i="11"/>
  <c r="X69" i="11"/>
  <c r="Y69" i="11"/>
  <c r="T75" i="11"/>
  <c r="S75" i="11"/>
  <c r="R75" i="11"/>
  <c r="T48" i="11"/>
  <c r="S48" i="11"/>
  <c r="R48" i="11"/>
  <c r="V75" i="11"/>
  <c r="R73" i="11"/>
  <c r="T73" i="11"/>
  <c r="S73" i="11"/>
  <c r="R31" i="11"/>
  <c r="S31" i="11"/>
  <c r="T31" i="11"/>
  <c r="V17" i="11"/>
  <c r="X41" i="11"/>
  <c r="W41" i="11"/>
  <c r="Y41" i="11"/>
  <c r="Q34" i="11"/>
  <c r="R34" i="11"/>
  <c r="S34" i="11"/>
  <c r="T34" i="11"/>
  <c r="R61" i="11"/>
  <c r="S61" i="11"/>
  <c r="T61" i="11"/>
  <c r="V93" i="11"/>
  <c r="X77" i="11"/>
  <c r="W77" i="11"/>
  <c r="Y77" i="11"/>
  <c r="V7" i="11"/>
  <c r="W81" i="11"/>
  <c r="X81" i="11"/>
  <c r="Y81" i="11"/>
  <c r="W54" i="11"/>
  <c r="X54" i="11"/>
  <c r="Y54" i="11"/>
  <c r="T71" i="11"/>
  <c r="R71" i="11"/>
  <c r="S71" i="11"/>
  <c r="R65" i="11"/>
  <c r="S65" i="11"/>
  <c r="T65" i="11"/>
  <c r="X85" i="11"/>
  <c r="Y85" i="11"/>
  <c r="W85" i="11"/>
  <c r="Q86" i="11"/>
  <c r="R86" i="11"/>
  <c r="T86" i="11"/>
  <c r="S86" i="11"/>
  <c r="T54" i="11"/>
  <c r="R54" i="11"/>
  <c r="S54" i="11"/>
  <c r="X20" i="11"/>
  <c r="Y20" i="11"/>
  <c r="W20" i="11"/>
  <c r="Q56" i="11"/>
  <c r="S56" i="11"/>
  <c r="R56" i="11"/>
  <c r="T56" i="11"/>
  <c r="R103" i="11"/>
  <c r="S103" i="11"/>
  <c r="T103" i="11"/>
  <c r="T81" i="11"/>
  <c r="R81" i="11"/>
  <c r="S81" i="11"/>
  <c r="W37" i="11"/>
  <c r="X37" i="11"/>
  <c r="Y37" i="11"/>
  <c r="Q8" i="11"/>
  <c r="R8" i="11"/>
  <c r="S8" i="11"/>
  <c r="T8" i="11"/>
  <c r="Q94" i="11"/>
  <c r="S94" i="11"/>
  <c r="T94" i="11"/>
  <c r="R94" i="11"/>
  <c r="Q80" i="11"/>
  <c r="R80" i="11"/>
  <c r="T80" i="11"/>
  <c r="S80" i="11"/>
  <c r="T69" i="11"/>
  <c r="R69" i="11"/>
  <c r="S69" i="11"/>
  <c r="T72" i="11"/>
  <c r="R72" i="11"/>
  <c r="S72" i="11"/>
  <c r="Q50" i="11"/>
  <c r="T50" i="11"/>
  <c r="S50" i="11"/>
  <c r="R50" i="11"/>
  <c r="Q82" i="11"/>
  <c r="T82" i="11"/>
  <c r="R82" i="11"/>
  <c r="S82" i="11"/>
  <c r="R67" i="11"/>
  <c r="S67" i="11"/>
  <c r="T67" i="11"/>
  <c r="W79" i="11"/>
  <c r="X79" i="11"/>
  <c r="Y79" i="11"/>
  <c r="W57" i="11"/>
  <c r="X57" i="11"/>
  <c r="Y57" i="11"/>
  <c r="X34" i="11"/>
  <c r="W34" i="11"/>
  <c r="Y34" i="11"/>
  <c r="R40" i="11"/>
  <c r="S40" i="11"/>
  <c r="T40" i="11"/>
  <c r="T83" i="11"/>
  <c r="S83" i="11"/>
  <c r="R83" i="11"/>
  <c r="X56" i="11"/>
  <c r="Y56" i="11"/>
  <c r="W56" i="11"/>
  <c r="W62" i="11"/>
  <c r="X62" i="11"/>
  <c r="Y62" i="11"/>
  <c r="W18" i="11"/>
  <c r="X18" i="11"/>
  <c r="Y18" i="11"/>
  <c r="W30" i="11"/>
  <c r="X30" i="11"/>
  <c r="Y30" i="11"/>
  <c r="X70" i="11"/>
  <c r="W70" i="11"/>
  <c r="Y70" i="11"/>
  <c r="Q92" i="11"/>
  <c r="T92" i="11"/>
  <c r="S92" i="11"/>
  <c r="R92" i="11"/>
  <c r="T12" i="11"/>
  <c r="R12" i="11"/>
  <c r="S12" i="11"/>
  <c r="R55" i="11"/>
  <c r="S55" i="11"/>
  <c r="T55" i="11"/>
  <c r="W99" i="11"/>
  <c r="X99" i="11"/>
  <c r="Y99" i="11"/>
  <c r="Q69" i="11"/>
  <c r="X95" i="11"/>
  <c r="W95" i="11"/>
  <c r="Y95" i="11"/>
  <c r="R29" i="11"/>
  <c r="S29" i="11"/>
  <c r="T29" i="11"/>
  <c r="W90" i="11"/>
  <c r="X90" i="11"/>
  <c r="Y90" i="11"/>
  <c r="Q67" i="11"/>
  <c r="V79" i="11"/>
  <c r="Q14" i="11"/>
  <c r="R14" i="11"/>
  <c r="S14" i="11"/>
  <c r="T14" i="11"/>
  <c r="T42" i="11"/>
  <c r="R42" i="11"/>
  <c r="S42" i="11"/>
  <c r="W40" i="11"/>
  <c r="X40" i="11"/>
  <c r="Y40" i="11"/>
  <c r="X13" i="11"/>
  <c r="Y13" i="11"/>
  <c r="W13" i="11"/>
  <c r="Q22" i="11"/>
  <c r="T22" i="11"/>
  <c r="R22" i="11"/>
  <c r="S22" i="11"/>
  <c r="W50" i="11"/>
  <c r="X50" i="11"/>
  <c r="Y50" i="11"/>
  <c r="W9" i="11"/>
  <c r="X9" i="11"/>
  <c r="Y9" i="11"/>
  <c r="V62" i="11"/>
  <c r="V18" i="11"/>
  <c r="W39" i="11"/>
  <c r="X39" i="11"/>
  <c r="Y39" i="11"/>
  <c r="Q44" i="11"/>
  <c r="R44" i="11"/>
  <c r="T44" i="11"/>
  <c r="S44" i="11"/>
  <c r="V70" i="11"/>
  <c r="W26" i="11"/>
  <c r="X26" i="11"/>
  <c r="Y26" i="11"/>
  <c r="Q32" i="11"/>
  <c r="T32" i="11"/>
  <c r="S32" i="11"/>
  <c r="R32" i="11"/>
  <c r="T78" i="11"/>
  <c r="R78" i="11"/>
  <c r="S78" i="11"/>
  <c r="W89" i="11"/>
  <c r="X89" i="11"/>
  <c r="Y89" i="11"/>
  <c r="R97" i="11"/>
  <c r="T97" i="11"/>
  <c r="S97" i="11"/>
  <c r="W48" i="11"/>
  <c r="X48" i="11"/>
  <c r="Y48" i="11"/>
  <c r="R88" i="11"/>
  <c r="S88" i="11"/>
  <c r="T88" i="11"/>
  <c r="X52" i="11"/>
  <c r="W52" i="11"/>
  <c r="Y52" i="11"/>
  <c r="V90" i="11"/>
  <c r="T96" i="11"/>
  <c r="R96" i="11"/>
  <c r="S96" i="11"/>
  <c r="W84" i="11"/>
  <c r="X84" i="11"/>
  <c r="Y84" i="11"/>
  <c r="W25" i="11"/>
  <c r="X25" i="11"/>
  <c r="Y25" i="11"/>
  <c r="W82" i="11"/>
  <c r="X82" i="11"/>
  <c r="Y82" i="11"/>
  <c r="W61" i="11"/>
  <c r="X61" i="11"/>
  <c r="Y61" i="11"/>
  <c r="Q38" i="11"/>
  <c r="T38" i="11"/>
  <c r="S38" i="11"/>
  <c r="R38" i="11"/>
  <c r="V50" i="11"/>
  <c r="Q62" i="11"/>
  <c r="S62" i="11"/>
  <c r="R62" i="11"/>
  <c r="T62" i="11"/>
  <c r="V39" i="11"/>
  <c r="W87" i="11"/>
  <c r="X87" i="11"/>
  <c r="Y87" i="11"/>
  <c r="T6" i="11"/>
  <c r="R6" i="11"/>
  <c r="S6" i="11"/>
  <c r="T18" i="11"/>
  <c r="R18" i="11"/>
  <c r="S18" i="11"/>
  <c r="T63" i="11"/>
  <c r="S63" i="11"/>
  <c r="R63" i="11"/>
  <c r="R19" i="11"/>
  <c r="S19" i="11"/>
  <c r="T19" i="11"/>
  <c r="V89" i="11"/>
  <c r="Q97" i="11"/>
  <c r="T87" i="11"/>
  <c r="S87" i="11"/>
  <c r="R87" i="11"/>
  <c r="V48" i="11"/>
  <c r="W24" i="11"/>
  <c r="X24" i="11"/>
  <c r="Y24" i="11"/>
  <c r="Q88" i="11"/>
  <c r="W58" i="11"/>
  <c r="X58" i="11"/>
  <c r="Y58" i="11"/>
  <c r="Q96" i="11"/>
  <c r="R43" i="11"/>
  <c r="S43" i="11"/>
  <c r="T43" i="11"/>
  <c r="T35" i="11"/>
  <c r="R35" i="11"/>
  <c r="S35" i="11"/>
  <c r="W76" i="11"/>
  <c r="X76" i="11"/>
  <c r="Y76" i="11"/>
  <c r="W21" i="11"/>
  <c r="X21" i="11"/>
  <c r="Y21" i="11"/>
  <c r="X74" i="11"/>
  <c r="Y74" i="11"/>
  <c r="W74" i="11"/>
  <c r="T57" i="11"/>
  <c r="R57" i="11"/>
  <c r="S57" i="11"/>
  <c r="V82" i="11"/>
  <c r="T33" i="11"/>
  <c r="R33" i="11"/>
  <c r="S33" i="11"/>
  <c r="W6" i="11"/>
  <c r="X6" i="11"/>
  <c r="Y6" i="11"/>
  <c r="W78" i="11"/>
  <c r="X78" i="11"/>
  <c r="Y78" i="11"/>
  <c r="AE72" i="11"/>
  <c r="D73" i="12" s="1"/>
  <c r="AI37" i="11"/>
  <c r="H38" i="12" s="1"/>
  <c r="AE76" i="11"/>
  <c r="D77" i="12" s="1"/>
  <c r="AI58" i="11"/>
  <c r="H59" i="12" s="1"/>
  <c r="AE40" i="11"/>
  <c r="D41" i="12" s="1"/>
  <c r="AE78" i="11"/>
  <c r="D79" i="12" s="1"/>
  <c r="W97" i="11"/>
  <c r="X97" i="11"/>
  <c r="Y97" i="11"/>
  <c r="V78" i="11"/>
  <c r="W29" i="11"/>
  <c r="X29" i="11"/>
  <c r="Y29" i="11"/>
  <c r="T102" i="11"/>
  <c r="R102" i="11"/>
  <c r="S102" i="11"/>
  <c r="Q5" i="11"/>
  <c r="R5" i="11"/>
  <c r="T5" i="11"/>
  <c r="S5" i="11"/>
  <c r="R41" i="11"/>
  <c r="T41" i="11"/>
  <c r="S41" i="11"/>
  <c r="V22" i="11"/>
  <c r="R39" i="11"/>
  <c r="S39" i="11"/>
  <c r="T39" i="11"/>
  <c r="Q19" i="11"/>
  <c r="W73" i="11"/>
  <c r="X73" i="11"/>
  <c r="Y73" i="11"/>
  <c r="Q77" i="11"/>
  <c r="S77" i="11"/>
  <c r="R77" i="11"/>
  <c r="T77" i="11"/>
  <c r="W53" i="11"/>
  <c r="X53" i="11"/>
  <c r="Y53" i="11"/>
  <c r="V24" i="11"/>
  <c r="V58" i="11"/>
  <c r="W19" i="11"/>
  <c r="X19" i="11"/>
  <c r="Y19" i="11"/>
  <c r="Q43" i="11"/>
  <c r="W45" i="11"/>
  <c r="X45" i="11"/>
  <c r="Y45" i="11"/>
  <c r="V21" i="11"/>
  <c r="Q74" i="11"/>
  <c r="S74" i="11"/>
  <c r="R74" i="11"/>
  <c r="T74" i="11"/>
  <c r="W43" i="11"/>
  <c r="X43" i="11"/>
  <c r="Y43" i="11"/>
  <c r="W12" i="11"/>
  <c r="X12" i="11"/>
  <c r="Y12" i="11"/>
  <c r="V6" i="11"/>
  <c r="W94" i="11"/>
  <c r="X94" i="11"/>
  <c r="Y94" i="11"/>
  <c r="P102" i="8"/>
  <c r="P103" i="8" s="1"/>
  <c r="P104" i="8" s="1"/>
  <c r="P105" i="8" s="1"/>
  <c r="P106" i="8" s="1"/>
  <c r="P107" i="8" s="1"/>
  <c r="P108" i="8" s="1"/>
  <c r="P109" i="8" s="1"/>
  <c r="P110" i="8" s="1"/>
  <c r="P111" i="8" s="1"/>
  <c r="U15" i="8" l="1"/>
  <c r="V14" i="8"/>
  <c r="P112" i="8"/>
  <c r="P113" i="8" s="1"/>
  <c r="P114" i="8" s="1"/>
  <c r="P115" i="8" s="1"/>
  <c r="P116" i="8" s="1"/>
  <c r="T17" i="8" s="1"/>
  <c r="P117" i="8" l="1"/>
  <c r="P118" i="8" s="1"/>
  <c r="P119" i="8" s="1"/>
  <c r="P120" i="8" s="1"/>
  <c r="P121" i="8" s="1"/>
  <c r="P122" i="8" s="1"/>
  <c r="P123" i="8" s="1"/>
  <c r="P124" i="8" s="1"/>
  <c r="P125" i="8" s="1"/>
  <c r="P126" i="8" s="1"/>
  <c r="P127" i="8" s="1"/>
  <c r="P128" i="8" s="1"/>
  <c r="P129" i="8" s="1"/>
  <c r="P130" i="8" s="1"/>
  <c r="P131" i="8" s="1"/>
  <c r="U16" i="8" l="1"/>
  <c r="W14" i="8"/>
  <c r="P132" i="8"/>
  <c r="P133" i="8" s="1"/>
  <c r="P134" i="8" s="1"/>
  <c r="P135" i="8" s="1"/>
  <c r="P136" i="8" s="1"/>
  <c r="V15" i="8" s="1"/>
  <c r="P137" i="8" l="1"/>
  <c r="P138" i="8" s="1"/>
  <c r="P139" i="8" s="1"/>
  <c r="P140" i="8" s="1"/>
  <c r="P141" i="8" s="1"/>
  <c r="P142" i="8" s="1"/>
  <c r="P143" i="8" s="1"/>
  <c r="P144" i="8" s="1"/>
  <c r="P145" i="8" s="1"/>
  <c r="P146" i="8" s="1"/>
  <c r="P147" i="8" s="1"/>
  <c r="P148" i="8" s="1"/>
  <c r="P149" i="8" s="1"/>
  <c r="P150" i="8" s="1"/>
  <c r="P151" i="8" s="1"/>
  <c r="U17" i="8" s="1"/>
  <c r="P152" i="8" l="1"/>
  <c r="P153" i="8" s="1"/>
  <c r="P154" i="8" s="1"/>
  <c r="P155" i="8" s="1"/>
  <c r="P156" i="8" s="1"/>
  <c r="P157" i="8" s="1"/>
  <c r="P158" i="8" s="1"/>
  <c r="P159" i="8" s="1"/>
  <c r="P160" i="8" s="1"/>
  <c r="P161" i="8" s="1"/>
  <c r="V16" i="8" l="1"/>
  <c r="W15" i="8"/>
  <c r="P162" i="8"/>
  <c r="P163" i="8" s="1"/>
  <c r="P164" i="8" s="1"/>
  <c r="P165" i="8" s="1"/>
  <c r="P166" i="8" s="1"/>
  <c r="P167" i="8" s="1"/>
  <c r="P168" i="8" s="1"/>
  <c r="P169" i="8" s="1"/>
  <c r="P170" i="8" s="1"/>
  <c r="P171" i="8" s="1"/>
  <c r="P172" i="8" s="1"/>
  <c r="P173" i="8" s="1"/>
  <c r="P174" i="8" s="1"/>
  <c r="P175" i="8" s="1"/>
  <c r="P176" i="8" s="1"/>
  <c r="P177" i="8" s="1"/>
  <c r="P178" i="8" s="1"/>
  <c r="P179" i="8" s="1"/>
  <c r="P180" i="8" s="1"/>
  <c r="P181" i="8" s="1"/>
  <c r="P182" i="8" s="1"/>
  <c r="P183" i="8" s="1"/>
  <c r="P184" i="8" s="1"/>
  <c r="P185" i="8" s="1"/>
  <c r="P186" i="8" s="1"/>
  <c r="V17" i="8" s="1"/>
  <c r="P187" i="8" l="1"/>
  <c r="P188" i="8" s="1"/>
  <c r="P189" i="8" s="1"/>
  <c r="P190" i="8" s="1"/>
  <c r="P191" i="8" s="1"/>
  <c r="P192" i="8" l="1"/>
  <c r="P193" i="8" s="1"/>
  <c r="P194" i="8" s="1"/>
  <c r="P195" i="8" s="1"/>
  <c r="P196" i="8" s="1"/>
  <c r="P197" i="8" s="1"/>
  <c r="P198" i="8" s="1"/>
  <c r="P199" i="8" s="1"/>
  <c r="P200" i="8" s="1"/>
  <c r="P201" i="8" s="1"/>
  <c r="P202" i="8" s="1"/>
  <c r="P203" i="8" s="1"/>
  <c r="P204" i="8" s="1"/>
  <c r="P205" i="8" s="1"/>
  <c r="P206" i="8" s="1"/>
  <c r="P207" i="8" s="1"/>
  <c r="P208" i="8" s="1"/>
  <c r="P209" i="8" s="1"/>
  <c r="P210" i="8" s="1"/>
  <c r="P211" i="8" s="1"/>
  <c r="P212" i="8" s="1"/>
  <c r="P213" i="8" s="1"/>
  <c r="P214" i="8" s="1"/>
  <c r="P215" i="8" s="1"/>
  <c r="P216" i="8" s="1"/>
  <c r="P217" i="8" s="1"/>
  <c r="P218" i="8" s="1"/>
  <c r="P219" i="8" s="1"/>
  <c r="P220" i="8" s="1"/>
  <c r="P221" i="8" s="1"/>
  <c r="W17" i="8" s="1"/>
  <c r="W16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F19" authorId="0" shapeId="0" xr:uid="{6B239B14-BA8D-4240-B360-85F305746575}">
      <text>
        <r>
          <rPr>
            <b/>
            <sz val="9"/>
            <color indexed="81"/>
            <rFont val="宋体"/>
            <family val="3"/>
            <charset val="134"/>
          </rPr>
          <t>武将第四特性解锁材料，30合1</t>
        </r>
      </text>
    </comment>
  </commentList>
</comments>
</file>

<file path=xl/sharedStrings.xml><?xml version="1.0" encoding="utf-8"?>
<sst xmlns="http://schemas.openxmlformats.org/spreadsheetml/2006/main" count="407" uniqueCount="234">
  <si>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</si>
  <si>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</si>
  <si>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</si>
  <si>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</si>
  <si>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</si>
  <si>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中r</t>
    <phoneticPr fontId="1" type="noConversion"/>
  </si>
  <si>
    <t>天数</t>
    <phoneticPr fontId="1" type="noConversion"/>
  </si>
  <si>
    <t>大殿等级累积停留时间(天）</t>
  </si>
  <si>
    <t>大殿等级阶段停留时间（天）</t>
  </si>
  <si>
    <t>天数对应大殿等级</t>
    <phoneticPr fontId="1" type="noConversion"/>
  </si>
  <si>
    <t>大殿等级</t>
  </si>
  <si>
    <t>小r</t>
    <phoneticPr fontId="1" type="noConversion"/>
  </si>
  <si>
    <t>大r</t>
    <phoneticPr fontId="1" type="noConversion"/>
  </si>
  <si>
    <t>中r</t>
    <phoneticPr fontId="1" type="noConversion"/>
  </si>
  <si>
    <t>大r</t>
    <phoneticPr fontId="1" type="noConversion"/>
  </si>
  <si>
    <t>天数</t>
    <phoneticPr fontId="1" type="noConversion"/>
  </si>
  <si>
    <t>超r</t>
    <phoneticPr fontId="1" type="noConversion"/>
  </si>
  <si>
    <t>定义等级累积停留天数（天）</t>
  </si>
  <si>
    <t>定义等级阶段停留天数（天）</t>
  </si>
  <si>
    <t>天数对应定义等级</t>
  </si>
  <si>
    <t>定义等级</t>
  </si>
  <si>
    <t>积分赛规则设计</t>
    <phoneticPr fontId="1" type="noConversion"/>
  </si>
  <si>
    <t>基础积分</t>
    <phoneticPr fontId="1" type="noConversion"/>
  </si>
  <si>
    <t>积分段1</t>
    <phoneticPr fontId="1" type="noConversion"/>
  </si>
  <si>
    <t>积分段2</t>
  </si>
  <si>
    <t>积分段3</t>
  </si>
  <si>
    <t>积分段4</t>
  </si>
  <si>
    <t>积分段5</t>
  </si>
  <si>
    <t>积分段6</t>
  </si>
  <si>
    <t>积分段7</t>
  </si>
  <si>
    <t>积分段8</t>
  </si>
  <si>
    <t>积分段9</t>
  </si>
  <si>
    <t>积分段10</t>
  </si>
  <si>
    <t>积分下限</t>
    <phoneticPr fontId="1" type="noConversion"/>
  </si>
  <si>
    <t>积分上限</t>
    <phoneticPr fontId="1" type="noConversion"/>
  </si>
  <si>
    <t>积分段11</t>
  </si>
  <si>
    <t>积分段12</t>
  </si>
  <si>
    <t>积分段13</t>
  </si>
  <si>
    <t>积分段14</t>
  </si>
  <si>
    <t>积分段15</t>
  </si>
  <si>
    <t>积分段16</t>
  </si>
  <si>
    <t>积分段17</t>
  </si>
  <si>
    <t>积分段18</t>
  </si>
  <si>
    <t>积分段19</t>
  </si>
  <si>
    <t>积分段20</t>
  </si>
  <si>
    <t>积分段21</t>
  </si>
  <si>
    <t>积分段22</t>
  </si>
  <si>
    <t>玩家层级</t>
    <phoneticPr fontId="1" type="noConversion"/>
  </si>
  <si>
    <t>免费挑战次数</t>
    <phoneticPr fontId="1" type="noConversion"/>
  </si>
  <si>
    <t>付费挑战次数</t>
    <phoneticPr fontId="1" type="noConversion"/>
  </si>
  <si>
    <t>积分赛持续天数</t>
    <phoneticPr fontId="1" type="noConversion"/>
  </si>
  <si>
    <t>单场积分</t>
    <phoneticPr fontId="1" type="noConversion"/>
  </si>
  <si>
    <t>挑战次数</t>
    <phoneticPr fontId="1" type="noConversion"/>
  </si>
  <si>
    <t>极限积分</t>
    <phoneticPr fontId="1" type="noConversion"/>
  </si>
  <si>
    <t>天数对应极限积分</t>
    <phoneticPr fontId="1" type="noConversion"/>
  </si>
  <si>
    <t>付费挑战次数对应价格</t>
    <phoneticPr fontId="1" type="noConversion"/>
  </si>
  <si>
    <t>价格</t>
    <phoneticPr fontId="1" type="noConversion"/>
  </si>
  <si>
    <t>次数上限</t>
    <phoneticPr fontId="1" type="noConversion"/>
  </si>
  <si>
    <t>累积消耗</t>
    <phoneticPr fontId="1" type="noConversion"/>
  </si>
  <si>
    <t>晋级赛规则设计</t>
    <phoneticPr fontId="1" type="noConversion"/>
  </si>
  <si>
    <t>挑战或防守获得的积分与对手分段相关，与自身分段无关</t>
    <phoneticPr fontId="1" type="noConversion"/>
  </si>
  <si>
    <t>半决赛：64名玩家分为8组，每组8人，各进行3轮淘汰赛，每组第一名进入决赛</t>
    <phoneticPr fontId="1" type="noConversion"/>
  </si>
  <si>
    <t>晋级赛采用多队伍自动战斗，每个玩家需要设置3套进攻阵容和防守阵容，武将不可复用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</si>
  <si>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</si>
  <si>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</si>
  <si>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</si>
  <si>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</si>
  <si>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C1</t>
    <phoneticPr fontId="1" type="noConversion"/>
  </si>
  <si>
    <t>C2</t>
    <phoneticPr fontId="1" type="noConversion"/>
  </si>
  <si>
    <t>D1</t>
    <phoneticPr fontId="1" type="noConversion"/>
  </si>
  <si>
    <t>D2</t>
    <phoneticPr fontId="1" type="noConversion"/>
  </si>
  <si>
    <t>A组胜者</t>
    <phoneticPr fontId="1" type="noConversion"/>
  </si>
  <si>
    <t>B组胜者</t>
    <phoneticPr fontId="1" type="noConversion"/>
  </si>
  <si>
    <t>C组胜者</t>
    <phoneticPr fontId="1" type="noConversion"/>
  </si>
  <si>
    <t>D组胜者</t>
    <phoneticPr fontId="1" type="noConversion"/>
  </si>
  <si>
    <t>AB组胜者</t>
    <phoneticPr fontId="1" type="noConversion"/>
  </si>
  <si>
    <t>CD组胜者</t>
    <phoneticPr fontId="1" type="noConversion"/>
  </si>
  <si>
    <t>最终胜者获得晋级资格</t>
    <phoneticPr fontId="1" type="noConversion"/>
  </si>
  <si>
    <t>战斗奖励</t>
    <phoneticPr fontId="1" type="noConversion"/>
  </si>
  <si>
    <t>购买挑战次数消耗</t>
    <phoneticPr fontId="1" type="noConversion"/>
  </si>
  <si>
    <t>挑战奖励</t>
    <phoneticPr fontId="1" type="noConversion"/>
  </si>
  <si>
    <t>王者铸币</t>
    <phoneticPr fontId="1" type="noConversion"/>
  </si>
  <si>
    <t>王者铸币价值</t>
    <phoneticPr fontId="1" type="noConversion"/>
  </si>
  <si>
    <t>王者铸币</t>
    <phoneticPr fontId="1" type="noConversion"/>
  </si>
  <si>
    <t>=</t>
    <phoneticPr fontId="1" type="noConversion"/>
  </si>
  <si>
    <t>钻</t>
    <phoneticPr fontId="1" type="noConversion"/>
  </si>
  <si>
    <t>王者铸币产出</t>
    <phoneticPr fontId="1" type="noConversion"/>
  </si>
  <si>
    <t>定义等级</t>
    <phoneticPr fontId="1" type="noConversion"/>
  </si>
  <si>
    <t>累积获得王者铸币</t>
    <phoneticPr fontId="1" type="noConversion"/>
  </si>
  <si>
    <t>决赛：8名玩家两两pk进行自动战斗，按胜场数排名决出1~8名，胜场相同算小分，小分相同则比较积分赛排名</t>
    <phoneticPr fontId="1" type="noConversion"/>
  </si>
  <si>
    <t>比赛示意图（64进8，8强决赛）</t>
    <phoneticPr fontId="1" type="noConversion"/>
  </si>
  <si>
    <t>活动开启需求服务器天数</t>
    <phoneticPr fontId="1" type="noConversion"/>
  </si>
  <si>
    <t>总挑战次数</t>
    <phoneticPr fontId="1" type="noConversion"/>
  </si>
  <si>
    <t>等级</t>
    <phoneticPr fontId="1" type="noConversion"/>
  </si>
  <si>
    <t>王者铸币折算钻石产出</t>
    <phoneticPr fontId="1" type="noConversion"/>
  </si>
  <si>
    <t>累积获得王者铸币折算钻石</t>
    <phoneticPr fontId="1" type="noConversion"/>
  </si>
  <si>
    <t>排名奖励</t>
    <phoneticPr fontId="1" type="noConversion"/>
  </si>
  <si>
    <t>战斗无论胜负均获得奖励</t>
    <phoneticPr fontId="1" type="noConversion"/>
  </si>
  <si>
    <t>积分赛结束后，各小组根据玩家排名进行奖励发放</t>
    <phoneticPr fontId="1" type="noConversion"/>
  </si>
  <si>
    <t>排名奖励</t>
    <phoneticPr fontId="1" type="noConversion"/>
  </si>
  <si>
    <t>排名</t>
    <phoneticPr fontId="1" type="noConversion"/>
  </si>
  <si>
    <t>奖励王者铸币</t>
    <phoneticPr fontId="1" type="noConversion"/>
  </si>
  <si>
    <t>匹配玩家层</t>
    <phoneticPr fontId="1" type="noConversion"/>
  </si>
  <si>
    <t>超r</t>
    <phoneticPr fontId="1" type="noConversion"/>
  </si>
  <si>
    <t>小r</t>
    <phoneticPr fontId="1" type="noConversion"/>
  </si>
  <si>
    <t>非r</t>
    <phoneticPr fontId="1" type="noConversion"/>
  </si>
  <si>
    <t>晋级赛结束后，根据玩家排名进行奖励发放</t>
    <phoneticPr fontId="1" type="noConversion"/>
  </si>
  <si>
    <t>全部参赛选手分为8组，类竞技场挑战，匹配出可挑战列表后选择目标挑战，手动打自动</t>
    <phoneticPr fontId="1" type="noConversion"/>
  </si>
  <si>
    <t>取各组最终积分排行榜前8名进入晋级赛</t>
    <phoneticPr fontId="1" type="noConversion"/>
  </si>
  <si>
    <t>超r</t>
    <phoneticPr fontId="1" type="noConversion"/>
  </si>
  <si>
    <t>道具价值</t>
    <phoneticPr fontId="1" type="noConversion"/>
  </si>
  <si>
    <t>等级对应钻石价值产出</t>
    <phoneticPr fontId="1" type="noConversion"/>
  </si>
  <si>
    <t>区服奖励</t>
    <phoneticPr fontId="1" type="noConversion"/>
  </si>
  <si>
    <t>晋级赛第一名玩家所在区服获得大奖，其余区服获得鼓励奖</t>
    <phoneticPr fontId="1" type="noConversion"/>
  </si>
  <si>
    <t>王者区服奖励</t>
    <phoneticPr fontId="1" type="noConversion"/>
  </si>
  <si>
    <t>鼓励奖</t>
    <phoneticPr fontId="1" type="noConversion"/>
  </si>
  <si>
    <t>王者铸币</t>
    <phoneticPr fontId="1" type="noConversion"/>
  </si>
  <si>
    <t>非r王者铸币产出占比</t>
    <phoneticPr fontId="1" type="noConversion"/>
  </si>
  <si>
    <t>积分赛战斗奖励</t>
    <phoneticPr fontId="1" type="noConversion"/>
  </si>
  <si>
    <t>积分赛排名奖励</t>
    <phoneticPr fontId="1" type="noConversion"/>
  </si>
  <si>
    <t>晋级赛排名奖励</t>
    <phoneticPr fontId="1" type="noConversion"/>
  </si>
  <si>
    <t>晋级赛区服奖励</t>
    <phoneticPr fontId="1" type="noConversion"/>
  </si>
  <si>
    <t>超r王者铸币产出占比</t>
    <phoneticPr fontId="1" type="noConversion"/>
  </si>
  <si>
    <t>竞猜规则设计</t>
    <phoneticPr fontId="1" type="noConversion"/>
  </si>
  <si>
    <t>晋级赛期间开启竞猜，每一轮战斗每位玩家可以竞猜一次，共</t>
    <phoneticPr fontId="1" type="noConversion"/>
  </si>
  <si>
    <t>轮竞猜</t>
  </si>
  <si>
    <t>竞猜使用实时赔率，押注时是多少赔率结算的时候就按多少赔率计算</t>
    <phoneticPr fontId="1" type="noConversion"/>
  </si>
  <si>
    <t>需求达到的竞猜效果：</t>
    <phoneticPr fontId="1" type="noConversion"/>
  </si>
  <si>
    <t>进入奖池</t>
  </si>
  <si>
    <t>初始化赔率时假定战斗双方胜率五五开</t>
    <phoneticPr fontId="1" type="noConversion"/>
  </si>
  <si>
    <t>押注A金额占比</t>
    <phoneticPr fontId="1" type="noConversion"/>
  </si>
  <si>
    <t>押注B金额占比</t>
    <phoneticPr fontId="1" type="noConversion"/>
  </si>
  <si>
    <t>押注A/押注B</t>
    <phoneticPr fontId="1" type="noConversion"/>
  </si>
  <si>
    <t>赔率下限</t>
    <phoneticPr fontId="1" type="noConversion"/>
  </si>
  <si>
    <t>赔率上限</t>
    <phoneticPr fontId="1" type="noConversion"/>
  </si>
  <si>
    <t>曲线调整系数</t>
    <phoneticPr fontId="1" type="noConversion"/>
  </si>
  <si>
    <t>A方赔率</t>
    <phoneticPr fontId="1" type="noConversion"/>
  </si>
  <si>
    <t>B方赔率</t>
    <phoneticPr fontId="1" type="noConversion"/>
  </si>
  <si>
    <t>押注占比低时鼓励高档位投注，押注占比高时鼓励低档位投注</t>
    <phoneticPr fontId="1" type="noConversion"/>
  </si>
  <si>
    <t>则预估初始赔率为：</t>
    <phoneticPr fontId="1" type="noConversion"/>
  </si>
  <si>
    <t>实际初始赔率为：</t>
    <phoneticPr fontId="1" type="noConversion"/>
  </si>
  <si>
    <t>A胜玩家收益</t>
    <phoneticPr fontId="1" type="noConversion"/>
  </si>
  <si>
    <t>B胜玩家收益</t>
    <phoneticPr fontId="1" type="noConversion"/>
  </si>
  <si>
    <t>官方最多发放</t>
    <phoneticPr fontId="1" type="noConversion"/>
  </si>
  <si>
    <t>1、所有投注的</t>
    <phoneticPr fontId="1" type="noConversion"/>
  </si>
  <si>
    <t>竞猜奖励</t>
    <phoneticPr fontId="1" type="noConversion"/>
  </si>
  <si>
    <t>竞猜算法</t>
    <phoneticPr fontId="1" type="noConversion"/>
  </si>
  <si>
    <t>按玩家最大收益计算竞猜奖励</t>
    <phoneticPr fontId="1" type="noConversion"/>
  </si>
  <si>
    <t>官方极限支出比例</t>
    <phoneticPr fontId="1" type="noConversion"/>
  </si>
  <si>
    <t>玩家最多投入金额</t>
    <phoneticPr fontId="1" type="noConversion"/>
  </si>
  <si>
    <t>竞猜可以选择三个押注档位，分别为</t>
    <phoneticPr fontId="1" type="noConversion"/>
  </si>
  <si>
    <t>黄金</t>
    <phoneticPr fontId="1" type="noConversion"/>
  </si>
  <si>
    <t>单次活动玩家平均收益最高可达</t>
    <phoneticPr fontId="1" type="noConversion"/>
  </si>
  <si>
    <t>天数对应累积黄金消耗</t>
    <phoneticPr fontId="1" type="noConversion"/>
  </si>
  <si>
    <t>等级对应累积黄金消耗</t>
    <phoneticPr fontId="1" type="noConversion"/>
  </si>
  <si>
    <t>天数对应累积王者铸币产出</t>
    <phoneticPr fontId="1" type="noConversion"/>
  </si>
  <si>
    <t>等级对应累积王者铸币产出</t>
    <phoneticPr fontId="1" type="noConversion"/>
  </si>
  <si>
    <t>天数对应累积武将相关产出</t>
    <phoneticPr fontId="1" type="noConversion"/>
  </si>
  <si>
    <t>等级对应累积武将相关产出</t>
    <phoneticPr fontId="1" type="noConversion"/>
  </si>
  <si>
    <t>天数对应累积玩家平均收益</t>
    <phoneticPr fontId="1" type="noConversion"/>
  </si>
  <si>
    <t>等级对应累积玩家平均收益</t>
    <phoneticPr fontId="1" type="noConversion"/>
  </si>
  <si>
    <t>A方队伍实力之和</t>
    <phoneticPr fontId="1" type="noConversion"/>
  </si>
  <si>
    <t>B方队伍实力之和</t>
    <phoneticPr fontId="1" type="noConversion"/>
  </si>
  <si>
    <t>则以各方队伍实力之和/双方队伍实力之和作为押注A/押注B计算初始赔率</t>
    <phoneticPr fontId="1" type="noConversion"/>
  </si>
  <si>
    <t>A方初始赔率</t>
    <phoneticPr fontId="1" type="noConversion"/>
  </si>
  <si>
    <t>使用前与最新的商品出售价格进行对比更新</t>
    <phoneticPr fontId="1" type="noConversion"/>
  </si>
  <si>
    <t>buff价值</t>
    <phoneticPr fontId="1" type="noConversion"/>
  </si>
  <si>
    <t>（1-10天）</t>
    <phoneticPr fontId="1" type="noConversion"/>
  </si>
  <si>
    <t>（11-30天）</t>
    <phoneticPr fontId="1" type="noConversion"/>
  </si>
  <si>
    <t>（31-60天）</t>
  </si>
  <si>
    <t>价值</t>
    <phoneticPr fontId="1" type="noConversion"/>
  </si>
  <si>
    <t>商品</t>
    <phoneticPr fontId="1" type="noConversion"/>
  </si>
  <si>
    <t>限购次数</t>
    <phoneticPr fontId="1" type="noConversion"/>
  </si>
  <si>
    <t>折扣率</t>
    <phoneticPr fontId="1" type="noConversion"/>
  </si>
  <si>
    <t>一次王者之战极限可获得王者铸币</t>
    <phoneticPr fontId="1" type="noConversion"/>
  </si>
  <si>
    <t>出售价格（王者铸币）</t>
    <phoneticPr fontId="1" type="noConversion"/>
  </si>
  <si>
    <t>一袋刀币</t>
    <phoneticPr fontId="1" type="noConversion"/>
  </si>
  <si>
    <t>兵家信物</t>
    <phoneticPr fontId="1" type="noConversion"/>
  </si>
  <si>
    <t>高级点将牌</t>
    <phoneticPr fontId="1" type="noConversion"/>
  </si>
  <si>
    <t>王者挑战宝箱</t>
    <phoneticPr fontId="1" type="noConversion"/>
  </si>
  <si>
    <t>物品</t>
    <phoneticPr fontId="1" type="noConversion"/>
  </si>
  <si>
    <t>价值</t>
    <phoneticPr fontId="1" type="noConversion"/>
  </si>
  <si>
    <t>权重</t>
    <phoneticPr fontId="1" type="noConversion"/>
  </si>
  <si>
    <t>王者铸币</t>
    <phoneticPr fontId="1" type="noConversion"/>
  </si>
  <si>
    <t>黄金</t>
    <phoneticPr fontId="1" type="noConversion"/>
  </si>
  <si>
    <t>汇总</t>
    <phoneticPr fontId="1" type="noConversion"/>
  </si>
  <si>
    <t>数量</t>
    <phoneticPr fontId="1" type="noConversion"/>
  </si>
  <si>
    <t>总价值</t>
    <phoneticPr fontId="1" type="noConversion"/>
  </si>
  <si>
    <t>130兵法自选箱碎片</t>
    <phoneticPr fontId="1" type="noConversion"/>
  </si>
  <si>
    <t>紫色门客-盗贼</t>
    <phoneticPr fontId="1" type="noConversion"/>
  </si>
  <si>
    <t>紫色门客-间谍</t>
    <phoneticPr fontId="1" type="noConversion"/>
  </si>
  <si>
    <t>荆轲碎片</t>
    <phoneticPr fontId="1" type="noConversion"/>
  </si>
  <si>
    <t>骊姬碎片</t>
    <phoneticPr fontId="1" type="noConversion"/>
  </si>
  <si>
    <t>西施碎片</t>
    <phoneticPr fontId="1" type="noConversion"/>
  </si>
  <si>
    <t>司马穰苴碎片</t>
    <phoneticPr fontId="1" type="noConversion"/>
  </si>
  <si>
    <t>商店中按道具品质排序！</t>
    <phoneticPr fontId="1" type="noConversion"/>
  </si>
  <si>
    <t>2、不同轮次可竞猜场次</t>
    <phoneticPr fontId="1" type="noConversion"/>
  </si>
  <si>
    <t>64→32</t>
    <phoneticPr fontId="1" type="noConversion"/>
  </si>
  <si>
    <t>32→16</t>
    <phoneticPr fontId="1" type="noConversion"/>
  </si>
  <si>
    <t>16→8</t>
    <phoneticPr fontId="1" type="noConversion"/>
  </si>
  <si>
    <t>8→4</t>
    <phoneticPr fontId="1" type="noConversion"/>
  </si>
  <si>
    <t>4→2</t>
    <phoneticPr fontId="1" type="noConversion"/>
  </si>
  <si>
    <t>2→1</t>
    <phoneticPr fontId="1" type="noConversion"/>
  </si>
  <si>
    <t>轮次</t>
    <phoneticPr fontId="1" type="noConversion"/>
  </si>
  <si>
    <t>可竞猜场次</t>
    <phoneticPr fontId="1" type="noConversion"/>
  </si>
  <si>
    <t>紫色门客-刺客</t>
    <phoneticPr fontId="1" type="noConversion"/>
  </si>
  <si>
    <t>将军印碎片</t>
    <phoneticPr fontId="1" type="noConversion"/>
  </si>
  <si>
    <t>上将印碎片</t>
  </si>
  <si>
    <t>统帅印碎片</t>
  </si>
  <si>
    <t>1次活动总计消耗</t>
    <phoneticPr fontId="1" type="noConversion"/>
  </si>
  <si>
    <t>每天进行2轮晋级赛战斗，共进行3天的战斗</t>
    <phoneticPr fontId="1" type="noConversion"/>
  </si>
  <si>
    <t>2次活动核心消耗</t>
    <phoneticPr fontId="1" type="noConversion"/>
  </si>
  <si>
    <t>一次活动商店开放</t>
    <phoneticPr fontId="1" type="noConversion"/>
  </si>
  <si>
    <t>天</t>
    <phoneticPr fontId="1" type="noConversion"/>
  </si>
  <si>
    <t>上将印碎片</t>
    <phoneticPr fontId="1" type="noConversion"/>
  </si>
  <si>
    <t>内容</t>
    <phoneticPr fontId="1" type="noConversion"/>
  </si>
  <si>
    <t>紫色门客</t>
  </si>
  <si>
    <t>蓝色门客</t>
  </si>
  <si>
    <t>高级资源自选宝箱</t>
  </si>
  <si>
    <t>通用3小时加速令</t>
  </si>
  <si>
    <t>王者礼盒设计</t>
    <phoneticPr fontId="1" type="noConversion"/>
  </si>
  <si>
    <t>王者礼盒</t>
    <phoneticPr fontId="1" type="noConversion"/>
  </si>
  <si>
    <t>奖励红色凤凰皮肤碎片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</si>
  <si>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</si>
  <si>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</si>
  <si>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</si>
  <si>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</si>
  <si>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</si>
  <si>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单场胜负</t>
    <phoneticPr fontId="1" type="noConversion"/>
  </si>
  <si>
    <t>每日挑战次数</t>
    <phoneticPr fontId="1" type="noConversion"/>
  </si>
  <si>
    <t>积分赛排名</t>
    <phoneticPr fontId="1" type="noConversion"/>
  </si>
  <si>
    <t>最终排名</t>
    <phoneticPr fontId="1" type="noConversion"/>
  </si>
  <si>
    <t>胜负区服额外奖励</t>
    <phoneticPr fontId="1" type="noConversion"/>
  </si>
  <si>
    <t>随机橙色门客碎片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</si>
</sst>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9"/>
      <color theme="0" tint="-0.34998626667073579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theme="1"/>
      <name val="宋体"/>
      <family val="3"/>
      <charset val="134"/>
    </font>
    <font>
      <sz val="9"/>
      <color rgb="FFFF0000"/>
      <name val="宋体"/>
      <family val="2"/>
      <scheme val="minor"/>
    </font>
    <font>
      <b/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9" fontId="11" fillId="0" borderId="0" applyFont="0" applyFill="0" applyBorder="0" applyAlignment="0" applyProtection="0">
      <alignment vertical="center"/>
    </xf>
  </cellStyleXfs>
  <cellXfs count="3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9" fontId="2" fillId="5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9" fontId="2" fillId="0" borderId="0" xfId="3" applyFont="1" applyAlignment="1">
      <alignment horizontal="center" vertical="center"/>
    </xf>
  </cellXfs>
  <cellStyles count="4">
    <cellStyle name="百分比" xfId="3" builtinId="5"/>
    <cellStyle name="常规" xfId="0" builtinId="0"/>
    <cellStyle name="常规 2" xfId="1" xr:uid="{00000000-0005-0000-0000-000002000000}"/>
    <cellStyle name="超链接 2" xfId="2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100</a:t>
            </a:r>
            <a:r>
              <a:rPr lang="zh-CN" altLang="en-US"/>
              <a:t>档位押注占比</a:t>
            </a:r>
            <a:r>
              <a:rPr lang="en-US" altLang="zh-CN"/>
              <a:t>/</a:t>
            </a:r>
            <a:r>
              <a:rPr lang="zh-CN" altLang="en-US"/>
              <a:t>赔率曲线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竞猜!$R$5:$R$105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竞猜!$U$5:$U$105</c:f>
              <c:numCache>
                <c:formatCode>General</c:formatCode>
                <c:ptCount val="101"/>
                <c:pt idx="0">
                  <c:v>3.9278277540812812</c:v>
                </c:pt>
                <c:pt idx="1">
                  <c:v>3.9204568839066689</c:v>
                </c:pt>
                <c:pt idx="2">
                  <c:v>3.9123578726175614</c:v>
                </c:pt>
                <c:pt idx="3">
                  <c:v>3.9034640372088054</c:v>
                </c:pt>
                <c:pt idx="4">
                  <c:v>3.8937036986545759</c:v>
                </c:pt>
                <c:pt idx="5">
                  <c:v>3.8830000463975125</c:v>
                </c:pt>
                <c:pt idx="6">
                  <c:v>3.8712710570195803</c:v>
                </c:pt>
                <c:pt idx="7">
                  <c:v>3.8584294825475549</c:v>
                </c:pt>
                <c:pt idx="8">
                  <c:v>3.8443829261186107</c:v>
                </c:pt>
                <c:pt idx="9">
                  <c:v>3.8290340250134194</c:v>
                </c:pt>
                <c:pt idx="10">
                  <c:v>3.8122807632360716</c:v>
                </c:pt>
                <c:pt idx="11">
                  <c:v>3.7940169377201678</c:v>
                </c:pt>
                <c:pt idx="12">
                  <c:v>3.774132803658746</c:v>
                </c:pt>
                <c:pt idx="13">
                  <c:v>3.7525159251303735</c:v>
                </c:pt>
                <c:pt idx="14">
                  <c:v>3.7290522568103217</c:v>
                </c:pt>
                <c:pt idx="15">
                  <c:v>3.7036274807526941</c:v>
                </c:pt>
                <c:pt idx="16">
                  <c:v>3.6761286186105488</c:v>
                </c:pt>
                <c:pt idx="17">
                  <c:v>3.6464459338196371</c:v>
                </c:pt>
                <c:pt idx="18">
                  <c:v>3.6144751298251703</c:v>
                </c:pt>
                <c:pt idx="19">
                  <c:v>3.5801198390733595</c:v>
                </c:pt>
                <c:pt idx="20">
                  <c:v>3.5432943830531731</c:v>
                </c:pt>
                <c:pt idx="21">
                  <c:v>3.5039267662077083</c:v>
                </c:pt>
                <c:pt idx="22">
                  <c:v>3.4619618463865618</c:v>
                </c:pt>
                <c:pt idx="23">
                  <c:v>3.4173646024054354</c:v>
                </c:pt>
                <c:pt idx="24">
                  <c:v>3.3701233963797868</c:v>
                </c:pt>
                <c:pt idx="25">
                  <c:v>3.3202531064302145</c:v>
                </c:pt>
                <c:pt idx="26">
                  <c:v>3.2677979861719351</c:v>
                </c:pt>
                <c:pt idx="27">
                  <c:v>3.2128340934742829</c:v>
                </c:pt>
                <c:pt idx="28">
                  <c:v>3.1554711248108953</c:v>
                </c:pt>
                <c:pt idx="29">
                  <c:v>3.095853495467213</c:v>
                </c:pt>
                <c:pt idx="30">
                  <c:v>3.0341605217808327</c:v>
                </c:pt>
                <c:pt idx="31">
                  <c:v>2.970605590442859</c:v>
                </c:pt>
                <c:pt idx="32">
                  <c:v>2.9054342414545014</c:v>
                </c:pt>
                <c:pt idx="33">
                  <c:v>2.8389211439356972</c:v>
                </c:pt>
                <c:pt idx="34">
                  <c:v>2.771366004435845</c:v>
                </c:pt>
                <c:pt idx="35">
                  <c:v>2.7030885111706224</c:v>
                </c:pt>
                <c:pt idx="36">
                  <c:v>2.6344224792337663</c:v>
                </c:pt>
                <c:pt idx="37">
                  <c:v>2.5657094155134965</c:v>
                </c:pt>
                <c:pt idx="38">
                  <c:v>2.4972917623988211</c:v>
                </c:pt>
                <c:pt idx="39">
                  <c:v>2.4295061021694413</c:v>
                </c:pt>
                <c:pt idx="40">
                  <c:v>2.3626766067771463</c:v>
                </c:pt>
                <c:pt idx="41">
                  <c:v>2.2971090002416825</c:v>
                </c:pt>
                <c:pt idx="42">
                  <c:v>2.2330852649837643</c:v>
                </c:pt>
                <c:pt idx="43">
                  <c:v>2.1708592728903793</c:v>
                </c:pt>
                <c:pt idx="44">
                  <c:v>2.1106534618870727</c:v>
                </c:pt>
                <c:pt idx="45">
                  <c:v>2.0526566150365904</c:v>
                </c:pt>
                <c:pt idx="46">
                  <c:v>1.9970227373199876</c:v>
                </c:pt>
                <c:pt idx="47">
                  <c:v>1.9438709701230321</c:v>
                </c:pt>
                <c:pt idx="48">
                  <c:v>1.8932864386282291</c:v>
                </c:pt>
                <c:pt idx="49">
                  <c:v>1.8453218948942929</c:v>
                </c:pt>
                <c:pt idx="50">
                  <c:v>1.8</c:v>
                </c:pt>
                <c:pt idx="51">
                  <c:v>1.7573160815583726</c:v>
                </c:pt>
                <c:pt idx="52">
                  <c:v>1.7172412065202627</c:v>
                </c:pt>
                <c:pt idx="53">
                  <c:v>1.6797254212336732</c:v>
                </c:pt>
                <c:pt idx="54">
                  <c:v>1.6447010287148833</c:v>
                </c:pt>
                <c:pt idx="55">
                  <c:v>1.6120857945866343</c:v>
                </c:pt>
                <c:pt idx="56">
                  <c:v>1.581785995991366</c:v>
                </c:pt>
                <c:pt idx="57">
                  <c:v>1.553699250245498</c:v>
                </c:pt>
                <c:pt idx="58">
                  <c:v>1.5277170807750158</c:v>
                </c:pt>
                <c:pt idx="59">
                  <c:v>1.5037271961229963</c:v>
                </c:pt>
                <c:pt idx="60">
                  <c:v>1.4816154731024678</c:v>
                </c:pt>
                <c:pt idx="61">
                  <c:v>1.4612676473606121</c:v>
                </c:pt>
                <c:pt idx="62">
                  <c:v>1.4425707238386527</c:v>
                </c:pt>
                <c:pt idx="63">
                  <c:v>1.4254141261313649</c:v>
                </c:pt>
                <c:pt idx="64">
                  <c:v>1.4096906079379805</c:v>
                </c:pt>
                <c:pt idx="65">
                  <c:v>1.3952969520566745</c:v>
                </c:pt>
                <c:pt idx="66">
                  <c:v>1.3821344831096121</c:v>
                </c:pt>
                <c:pt idx="67">
                  <c:v>1.3701094197674915</c:v>
                </c:pt>
                <c:pt idx="68">
                  <c:v>1.3591330909997306</c:v>
                </c:pt>
                <c:pt idx="69">
                  <c:v>1.3491220390854268</c:v>
                </c:pt>
                <c:pt idx="70">
                  <c:v>1.3399980300048118</c:v>
                </c:pt>
                <c:pt idx="71">
                  <c:v>1.3316879895655831</c:v>
                </c:pt>
                <c:pt idx="72">
                  <c:v>1.324123881333644</c:v>
                </c:pt>
                <c:pt idx="73">
                  <c:v>1.3172425402264067</c:v>
                </c:pt>
                <c:pt idx="74">
                  <c:v>1.3109854735512327</c:v>
                </c:pt>
                <c:pt idx="75">
                  <c:v>1.3052986393697874</c:v>
                </c:pt>
                <c:pt idx="76">
                  <c:v>1.3001322103605368</c:v>
                </c:pt>
                <c:pt idx="77">
                  <c:v>1.2954403298420534</c:v>
                </c:pt>
                <c:pt idx="78">
                  <c:v>1.2911808653052934</c:v>
                </c:pt>
                <c:pt idx="79">
                  <c:v>1.2873151636732219</c:v>
                </c:pt>
                <c:pt idx="80">
                  <c:v>1.2838078115466955</c:v>
                </c:pt>
                <c:pt idx="81">
                  <c:v>1.2806264028899768</c:v>
                </c:pt>
                <c:pt idx="82">
                  <c:v>1.2777413159403792</c:v>
                </c:pt>
                <c:pt idx="83">
                  <c:v>1.2751255005773936</c:v>
                </c:pt>
                <c:pt idx="84">
                  <c:v>1.2727542769409486</c:v>
                </c:pt>
                <c:pt idx="85">
                  <c:v>1.2706051457313137</c:v>
                </c:pt>
                <c:pt idx="86">
                  <c:v>1.2686576103408926</c:v>
                </c:pt>
                <c:pt idx="87">
                  <c:v>1.2668930107487557</c:v>
                </c:pt>
                <c:pt idx="88">
                  <c:v>1.265294368941545</c:v>
                </c:pt>
                <c:pt idx="89">
                  <c:v>1.2638462455001727</c:v>
                </c:pt>
                <c:pt idx="90">
                  <c:v>1.2625346069025947</c:v>
                </c:pt>
                <c:pt idx="91">
                  <c:v>1.2613467030321528</c:v>
                </c:pt>
                <c:pt idx="92">
                  <c:v>1.2602709543428614</c:v>
                </c:pt>
                <c:pt idx="93">
                  <c:v>1.2592968481128266</c:v>
                </c:pt>
                <c:pt idx="94">
                  <c:v>1.2584148432107771</c:v>
                </c:pt>
                <c:pt idx="95">
                  <c:v>1.2576162828052122</c:v>
                </c:pt>
                <c:pt idx="96">
                  <c:v>1.2568933144582679</c:v>
                </c:pt>
                <c:pt idx="97">
                  <c:v>1.2562388170649179</c:v>
                </c:pt>
                <c:pt idx="98">
                  <c:v>1.2556463341208091</c:v>
                </c:pt>
                <c:pt idx="99">
                  <c:v>1.255110012827507</c:v>
                </c:pt>
                <c:pt idx="100">
                  <c:v>1.2546245485710796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06-4D77-8FE7-24272329A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22848"/>
        <c:axId val="459719896"/>
      </c:scatterChart>
      <c:valAx>
        <c:axId val="459722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9719896"/>
        <c:crosses val="autoZero"/>
        <c:crossBetween val="midCat"/>
      </c:valAx>
      <c:valAx>
        <c:axId val="45971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972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319087</xdr:colOff>
      <xdr:row>19</xdr:row>
      <xdr:rowOff>71437</xdr:rowOff>
    </xdr:from>
    <xdr:to>
      <xdr:col>16</xdr:col>
      <xdr:colOff>90487</xdr:colOff>
      <xdr:row>38</xdr:row>
      <xdr:rowOff>100012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006305E-7049-4C44-9F63-0E3CB33B3D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7963;&#21160;&#35774;&#35745;/&#31616;&#20307;/&#31616;&#20307;&#36890;&#29992;&#36947;&#20855;&#20449;&#2468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资源-星宫碎片"/>
      <sheetName val="资源-群星碎片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资源-星宫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功能-分享和问卷"/>
      <sheetName val="资源-木石铜（备份）"/>
      <sheetName val="功能-大地图城池"/>
    </sheetNames>
    <sheetDataSet>
      <sheetData sheetId="0"/>
      <sheetData sheetId="1">
        <row r="3">
          <cell r="F3">
            <v>1</v>
          </cell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</row>
        <row r="94"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</row>
        <row r="96"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</row>
        <row r="97"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</row>
        <row r="98"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</row>
        <row r="100"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</row>
        <row r="101"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</row>
        <row r="102"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</row>
        <row r="103"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</row>
        <row r="104"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/>
      <sheetData sheetId="5">
        <row r="6">
          <cell r="S6">
            <v>1</v>
          </cell>
        </row>
      </sheetData>
      <sheetData sheetId="6"/>
      <sheetData sheetId="7"/>
      <sheetData sheetId="8"/>
      <sheetData sheetId="9"/>
      <sheetData sheetId="10">
        <row r="1">
          <cell r="AD1">
            <v>1000</v>
          </cell>
        </row>
      </sheetData>
      <sheetData sheetId="11">
        <row r="6">
          <cell r="H6">
            <v>15</v>
          </cell>
        </row>
      </sheetData>
      <sheetData sheetId="12"/>
      <sheetData sheetId="13">
        <row r="6">
          <cell r="X6">
            <v>1</v>
          </cell>
        </row>
      </sheetData>
      <sheetData sheetId="14">
        <row r="5">
          <cell r="BF5">
            <v>22716</v>
          </cell>
        </row>
      </sheetData>
      <sheetData sheetId="15"/>
      <sheetData sheetId="16"/>
      <sheetData sheetId="17">
        <row r="6">
          <cell r="CD6">
            <v>4701.6403558476886</v>
          </cell>
        </row>
      </sheetData>
      <sheetData sheetId="18"/>
      <sheetData sheetId="19"/>
      <sheetData sheetId="20"/>
      <sheetData sheetId="21"/>
      <sheetData sheetId="22"/>
      <sheetData sheetId="23">
        <row r="6">
          <cell r="AC6">
            <v>188.74936671981942</v>
          </cell>
        </row>
      </sheetData>
      <sheetData sheetId="24"/>
      <sheetData sheetId="25"/>
      <sheetData sheetId="26"/>
      <sheetData sheetId="27"/>
      <sheetData sheetId="28"/>
      <sheetData sheetId="29">
        <row r="4">
          <cell r="K4">
            <v>1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3">
          <cell r="D3">
            <v>2</v>
          </cell>
        </row>
      </sheetData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道具信息"/>
      <sheetName val="武将升星（废弃）"/>
      <sheetName val="Sheet2"/>
      <sheetName val="武将觉醒(废弃）"/>
      <sheetName val="属性分配（废弃）"/>
    </sheetNames>
    <sheetDataSet>
      <sheetData sheetId="0">
        <row r="3">
          <cell r="C3" t="str">
            <v>sid</v>
          </cell>
          <cell r="D3" t="str">
            <v>名称</v>
          </cell>
          <cell r="E3" t="str">
            <v>价格</v>
          </cell>
          <cell r="F3" t="str">
            <v>调整参数</v>
          </cell>
          <cell r="G3" t="str">
            <v>调整参数</v>
          </cell>
          <cell r="H3" t="str">
            <v>调整参数</v>
          </cell>
          <cell r="I3" t="str">
            <v>实际价格</v>
          </cell>
          <cell r="J3" t="str">
            <v>实际价格</v>
          </cell>
          <cell r="K3" t="str">
            <v>实际价格</v>
          </cell>
          <cell r="L3" t="str">
            <v>描述</v>
          </cell>
          <cell r="P3" t="str">
            <v>buff效果</v>
          </cell>
          <cell r="Q3" t="str">
            <v>单位价值（100%加成/天）</v>
          </cell>
        </row>
        <row r="4">
          <cell r="D4" t="str">
            <v>橙色指定武将</v>
          </cell>
          <cell r="E4">
            <v>4800</v>
          </cell>
          <cell r="F4">
            <v>1</v>
          </cell>
          <cell r="G4">
            <v>1</v>
          </cell>
          <cell r="H4">
            <v>1</v>
          </cell>
          <cell r="I4">
            <v>4800</v>
          </cell>
          <cell r="J4">
            <v>4800</v>
          </cell>
          <cell r="K4">
            <v>4800</v>
          </cell>
          <cell r="L4" t="str">
            <v>120武将</v>
          </cell>
          <cell r="P4" t="str">
            <v>城建加速/天</v>
          </cell>
          <cell r="Q4">
            <v>6552.6677404559396</v>
          </cell>
        </row>
        <row r="5">
          <cell r="D5" t="str">
            <v>紫色指定武将</v>
          </cell>
          <cell r="E5">
            <v>540</v>
          </cell>
          <cell r="F5">
            <v>1</v>
          </cell>
          <cell r="G5">
            <v>1</v>
          </cell>
          <cell r="H5">
            <v>1</v>
          </cell>
          <cell r="I5">
            <v>540</v>
          </cell>
          <cell r="J5">
            <v>540</v>
          </cell>
          <cell r="K5">
            <v>540</v>
          </cell>
          <cell r="L5" t="str">
            <v>110武将</v>
          </cell>
          <cell r="P5" t="str">
            <v>招募加速/天</v>
          </cell>
          <cell r="Q5">
            <v>1286.2045615471407</v>
          </cell>
        </row>
        <row r="6">
          <cell r="D6" t="str">
            <v>125指定武将</v>
          </cell>
          <cell r="E6">
            <v>10800</v>
          </cell>
          <cell r="F6">
            <v>1</v>
          </cell>
          <cell r="G6">
            <v>1</v>
          </cell>
          <cell r="H6">
            <v>1</v>
          </cell>
          <cell r="I6">
            <v>10800</v>
          </cell>
          <cell r="J6">
            <v>10800</v>
          </cell>
          <cell r="K6">
            <v>10800</v>
          </cell>
          <cell r="L6" t="str">
            <v>125武将</v>
          </cell>
          <cell r="P6" t="str">
            <v>治疗加速/天</v>
          </cell>
          <cell r="Q6">
            <v>526.54062836196033</v>
          </cell>
        </row>
        <row r="7">
          <cell r="D7" t="str">
            <v>橙+指定武将</v>
          </cell>
          <cell r="E7">
            <v>14400</v>
          </cell>
          <cell r="F7">
            <v>1</v>
          </cell>
          <cell r="G7">
            <v>1</v>
          </cell>
          <cell r="H7">
            <v>1</v>
          </cell>
          <cell r="I7">
            <v>14400</v>
          </cell>
          <cell r="J7">
            <v>14400</v>
          </cell>
          <cell r="K7">
            <v>14400</v>
          </cell>
          <cell r="L7" t="str">
            <v>130武将</v>
          </cell>
          <cell r="P7" t="str">
            <v>训练加速/天</v>
          </cell>
          <cell r="Q7">
            <v>3154.4832610096737</v>
          </cell>
        </row>
        <row r="8">
          <cell r="D8" t="str">
            <v>125指定武将碎片</v>
          </cell>
          <cell r="E8">
            <v>360</v>
          </cell>
          <cell r="F8">
            <v>1</v>
          </cell>
          <cell r="G8">
            <v>1</v>
          </cell>
          <cell r="H8">
            <v>1</v>
          </cell>
          <cell r="I8">
            <v>360</v>
          </cell>
          <cell r="J8">
            <v>360</v>
          </cell>
          <cell r="K8">
            <v>360</v>
          </cell>
          <cell r="L8" t="str">
            <v>125武将碎片</v>
          </cell>
        </row>
        <row r="9">
          <cell r="D9" t="str">
            <v>橙+指定武将碎片</v>
          </cell>
          <cell r="E9">
            <v>480</v>
          </cell>
          <cell r="F9">
            <v>1</v>
          </cell>
          <cell r="G9">
            <v>1</v>
          </cell>
          <cell r="H9">
            <v>1</v>
          </cell>
          <cell r="I9">
            <v>480</v>
          </cell>
          <cell r="J9">
            <v>480</v>
          </cell>
          <cell r="K9">
            <v>480</v>
          </cell>
          <cell r="L9" t="str">
            <v>130武将碎片</v>
          </cell>
        </row>
        <row r="10">
          <cell r="D10" t="str">
            <v>140指定武将</v>
          </cell>
          <cell r="E10">
            <v>43200</v>
          </cell>
          <cell r="F10">
            <v>1</v>
          </cell>
          <cell r="G10">
            <v>1</v>
          </cell>
          <cell r="H10">
            <v>1</v>
          </cell>
          <cell r="I10">
            <v>43200</v>
          </cell>
          <cell r="J10">
            <v>43200</v>
          </cell>
          <cell r="K10">
            <v>43200</v>
          </cell>
          <cell r="P10" t="str">
            <v>钻研加速/天</v>
          </cell>
          <cell r="Q10">
            <v>3395.1118588375975</v>
          </cell>
        </row>
        <row r="11">
          <cell r="D11" t="str">
            <v>140指定武将碎片</v>
          </cell>
          <cell r="E11">
            <v>864</v>
          </cell>
          <cell r="F11">
            <v>1</v>
          </cell>
          <cell r="G11">
            <v>1</v>
          </cell>
          <cell r="H11">
            <v>1</v>
          </cell>
          <cell r="I11">
            <v>864</v>
          </cell>
          <cell r="J11">
            <v>864</v>
          </cell>
          <cell r="K11">
            <v>864</v>
          </cell>
          <cell r="P11" t="str">
            <v>木材产出加速/天</v>
          </cell>
          <cell r="Q11">
            <v>135.51397311474921</v>
          </cell>
        </row>
        <row r="12">
          <cell r="D12" t="str">
            <v>黄金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J12">
            <v>1</v>
          </cell>
          <cell r="K12">
            <v>1</v>
          </cell>
          <cell r="P12" t="str">
            <v>石料产出加速/天</v>
          </cell>
          <cell r="Q12">
            <v>135.51397311474921</v>
          </cell>
        </row>
        <row r="13">
          <cell r="D13" t="str">
            <v>粮食</v>
          </cell>
          <cell r="E13">
            <v>1.5532103913430703E-4</v>
          </cell>
          <cell r="F13">
            <v>1</v>
          </cell>
          <cell r="G13">
            <v>1</v>
          </cell>
          <cell r="H13">
            <v>0.5</v>
          </cell>
          <cell r="I13">
            <v>1.5532103913430703E-4</v>
          </cell>
          <cell r="J13">
            <v>1.5532103913430703E-4</v>
          </cell>
          <cell r="K13">
            <v>7.7660519567153514E-5</v>
          </cell>
          <cell r="P13" t="str">
            <v>铜矿产出加速/天</v>
          </cell>
          <cell r="Q13">
            <v>135.51397311474921</v>
          </cell>
        </row>
        <row r="14">
          <cell r="D14" t="str">
            <v>木材</v>
          </cell>
          <cell r="E14">
            <v>1.5532103913430703E-4</v>
          </cell>
          <cell r="F14">
            <v>1</v>
          </cell>
          <cell r="G14">
            <v>1</v>
          </cell>
          <cell r="H14">
            <v>0.5</v>
          </cell>
          <cell r="I14">
            <v>1.5532103913430703E-4</v>
          </cell>
          <cell r="J14">
            <v>1.5532103913430703E-4</v>
          </cell>
          <cell r="K14">
            <v>7.7660519567153514E-5</v>
          </cell>
          <cell r="P14" t="str">
            <v>粮食产出加速/天</v>
          </cell>
          <cell r="Q14">
            <v>135.51397311474921</v>
          </cell>
        </row>
        <row r="15">
          <cell r="D15" t="str">
            <v>石料</v>
          </cell>
          <cell r="E15">
            <v>1.5532103913430703E-4</v>
          </cell>
          <cell r="F15">
            <v>1</v>
          </cell>
          <cell r="G15">
            <v>1</v>
          </cell>
          <cell r="H15">
            <v>0.5</v>
          </cell>
          <cell r="I15">
            <v>1.5532103913430703E-4</v>
          </cell>
          <cell r="J15">
            <v>1.5532103913430703E-4</v>
          </cell>
          <cell r="K15">
            <v>7.7660519567153514E-5</v>
          </cell>
          <cell r="P15" t="str">
            <v>铁矿产出加速/天</v>
          </cell>
          <cell r="Q15">
            <v>203.27095967212384</v>
          </cell>
        </row>
        <row r="16">
          <cell r="D16" t="str">
            <v>铜矿</v>
          </cell>
          <cell r="E16">
            <v>1.5532103913430703E-4</v>
          </cell>
          <cell r="F16">
            <v>1</v>
          </cell>
          <cell r="G16">
            <v>1</v>
          </cell>
          <cell r="H16">
            <v>0.5</v>
          </cell>
          <cell r="I16">
            <v>1.5532103913430703E-4</v>
          </cell>
          <cell r="J16">
            <v>1.5532103913430703E-4</v>
          </cell>
          <cell r="K16">
            <v>7.7660519567153514E-5</v>
          </cell>
          <cell r="P16" t="str">
            <v>刀币产出加速/天</v>
          </cell>
          <cell r="Q16">
            <v>1054.300188289244</v>
          </cell>
        </row>
        <row r="17">
          <cell r="D17" t="str">
            <v>铁矿</v>
          </cell>
          <cell r="E17">
            <v>3.5829912265154037E-4</v>
          </cell>
          <cell r="F17">
            <v>1</v>
          </cell>
          <cell r="G17">
            <v>1</v>
          </cell>
          <cell r="H17">
            <v>0.5</v>
          </cell>
          <cell r="I17">
            <v>3.5829912265154037E-4</v>
          </cell>
          <cell r="J17">
            <v>3.5829912265154037E-4</v>
          </cell>
          <cell r="K17">
            <v>1.7914956132577018E-4</v>
          </cell>
          <cell r="P17" t="str">
            <v>木材采集加速/天</v>
          </cell>
          <cell r="Q17">
            <v>189.98875225679629</v>
          </cell>
        </row>
        <row r="18">
          <cell r="D18" t="str">
            <v>刀币</v>
          </cell>
          <cell r="E18">
            <v>1.5625000000000001E-3</v>
          </cell>
          <cell r="F18">
            <v>1</v>
          </cell>
          <cell r="G18">
            <v>1</v>
          </cell>
          <cell r="H18">
            <v>0.7</v>
          </cell>
          <cell r="I18">
            <v>1.5625000000000001E-3</v>
          </cell>
          <cell r="J18">
            <v>1.5625000000000001E-3</v>
          </cell>
          <cell r="K18">
            <v>1.0937499999999999E-3</v>
          </cell>
          <cell r="P18" t="str">
            <v>石料采集加速/天</v>
          </cell>
          <cell r="Q18">
            <v>189.98875225679629</v>
          </cell>
        </row>
        <row r="19">
          <cell r="D19" t="str">
            <v>玉珏</v>
          </cell>
          <cell r="E19">
            <v>1</v>
          </cell>
          <cell r="F19">
            <v>1</v>
          </cell>
          <cell r="G19">
            <v>1</v>
          </cell>
          <cell r="H19">
            <v>1</v>
          </cell>
          <cell r="I19">
            <v>1</v>
          </cell>
          <cell r="J19">
            <v>1</v>
          </cell>
          <cell r="K19">
            <v>1</v>
          </cell>
          <cell r="P19" t="str">
            <v>铜矿采集加速/天</v>
          </cell>
          <cell r="Q19">
            <v>189.98875225679629</v>
          </cell>
        </row>
        <row r="20">
          <cell r="D20" t="str">
            <v>清剿令</v>
          </cell>
          <cell r="E20">
            <v>75</v>
          </cell>
          <cell r="F20">
            <v>1</v>
          </cell>
          <cell r="G20">
            <v>1</v>
          </cell>
          <cell r="H20">
            <v>1</v>
          </cell>
          <cell r="I20">
            <v>75</v>
          </cell>
          <cell r="J20">
            <v>75</v>
          </cell>
          <cell r="K20">
            <v>75</v>
          </cell>
          <cell r="P20" t="str">
            <v>粮食采集加速/天</v>
          </cell>
          <cell r="Q20">
            <v>189.98875225679629</v>
          </cell>
        </row>
        <row r="21">
          <cell r="D21" t="str">
            <v>军团币</v>
          </cell>
          <cell r="E21">
            <v>0.1</v>
          </cell>
          <cell r="F21">
            <v>1</v>
          </cell>
          <cell r="G21">
            <v>1</v>
          </cell>
          <cell r="H21">
            <v>1</v>
          </cell>
          <cell r="I21">
            <v>0.1</v>
          </cell>
          <cell r="J21">
            <v>0.1</v>
          </cell>
          <cell r="K21">
            <v>0.1</v>
          </cell>
          <cell r="P21" t="str">
            <v>铁矿采集加速/天</v>
          </cell>
          <cell r="Q21">
            <v>284.98312838519439</v>
          </cell>
        </row>
        <row r="22">
          <cell r="D22" t="str">
            <v>黄金点将令</v>
          </cell>
          <cell r="E22">
            <v>240</v>
          </cell>
          <cell r="F22">
            <v>1</v>
          </cell>
          <cell r="G22">
            <v>1</v>
          </cell>
          <cell r="H22">
            <v>1</v>
          </cell>
          <cell r="I22">
            <v>240</v>
          </cell>
          <cell r="J22">
            <v>240</v>
          </cell>
          <cell r="K22">
            <v>240</v>
          </cell>
        </row>
        <row r="23">
          <cell r="D23" t="str">
            <v>青铜点将令</v>
          </cell>
          <cell r="E23">
            <v>65</v>
          </cell>
          <cell r="F23">
            <v>1</v>
          </cell>
          <cell r="G23">
            <v>1</v>
          </cell>
          <cell r="H23">
            <v>1</v>
          </cell>
          <cell r="I23">
            <v>65</v>
          </cell>
          <cell r="J23">
            <v>65</v>
          </cell>
          <cell r="K23">
            <v>65</v>
          </cell>
        </row>
        <row r="24">
          <cell r="D24" t="str">
            <v>信物*2、武将碎片*10、黄金600三选一（600钻）</v>
          </cell>
          <cell r="E24">
            <v>600</v>
          </cell>
          <cell r="F24">
            <v>1</v>
          </cell>
          <cell r="G24">
            <v>1</v>
          </cell>
          <cell r="H24">
            <v>1</v>
          </cell>
          <cell r="I24">
            <v>600</v>
          </cell>
          <cell r="J24">
            <v>600</v>
          </cell>
          <cell r="K24">
            <v>600</v>
          </cell>
        </row>
        <row r="25">
          <cell r="D25" t="str">
            <v>蓝色门客</v>
          </cell>
          <cell r="E25">
            <v>1000</v>
          </cell>
          <cell r="F25">
            <v>1</v>
          </cell>
          <cell r="G25">
            <v>1</v>
          </cell>
          <cell r="H25">
            <v>1</v>
          </cell>
          <cell r="I25">
            <v>1000</v>
          </cell>
          <cell r="J25">
            <v>1000</v>
          </cell>
          <cell r="K25">
            <v>1000</v>
          </cell>
        </row>
        <row r="26">
          <cell r="D26" t="str">
            <v>紫色门客</v>
          </cell>
          <cell r="E26">
            <v>3000</v>
          </cell>
          <cell r="F26">
            <v>1</v>
          </cell>
          <cell r="G26">
            <v>1</v>
          </cell>
          <cell r="H26">
            <v>1</v>
          </cell>
          <cell r="I26">
            <v>3000</v>
          </cell>
          <cell r="J26">
            <v>3000</v>
          </cell>
          <cell r="K26">
            <v>3000</v>
          </cell>
        </row>
        <row r="27">
          <cell r="D27" t="str">
            <v>橙色门客</v>
          </cell>
          <cell r="E27">
            <v>8000</v>
          </cell>
          <cell r="F27">
            <v>1</v>
          </cell>
          <cell r="G27">
            <v>1</v>
          </cell>
          <cell r="H27">
            <v>1</v>
          </cell>
          <cell r="I27">
            <v>8000</v>
          </cell>
          <cell r="J27">
            <v>8000</v>
          </cell>
          <cell r="K27">
            <v>8000</v>
          </cell>
        </row>
        <row r="28">
          <cell r="D28" t="str">
            <v>红色门客</v>
          </cell>
          <cell r="E28">
            <v>40000</v>
          </cell>
          <cell r="F28">
            <v>1</v>
          </cell>
          <cell r="G28">
            <v>1</v>
          </cell>
          <cell r="H28">
            <v>1</v>
          </cell>
          <cell r="I28">
            <v>40000</v>
          </cell>
          <cell r="J28">
            <v>40000</v>
          </cell>
          <cell r="K28">
            <v>40000</v>
          </cell>
        </row>
        <row r="29">
          <cell r="D29" t="str">
            <v>神将点将令</v>
          </cell>
          <cell r="E29">
            <v>400</v>
          </cell>
          <cell r="F29">
            <v>1</v>
          </cell>
          <cell r="G29">
            <v>1</v>
          </cell>
          <cell r="H29">
            <v>1</v>
          </cell>
          <cell r="I29">
            <v>400</v>
          </cell>
          <cell r="J29">
            <v>400</v>
          </cell>
          <cell r="K29">
            <v>400</v>
          </cell>
        </row>
        <row r="30">
          <cell r="D30" t="str">
            <v>绿色军团馈赠</v>
          </cell>
          <cell r="E30">
            <v>20</v>
          </cell>
          <cell r="F30">
            <v>1</v>
          </cell>
          <cell r="G30">
            <v>1</v>
          </cell>
          <cell r="H30">
            <v>1</v>
          </cell>
          <cell r="I30">
            <v>20</v>
          </cell>
          <cell r="J30">
            <v>20</v>
          </cell>
          <cell r="K30">
            <v>20</v>
          </cell>
        </row>
        <row r="31">
          <cell r="D31" t="str">
            <v>蓝色军团馈赠</v>
          </cell>
          <cell r="E31">
            <v>100</v>
          </cell>
          <cell r="F31">
            <v>1</v>
          </cell>
          <cell r="G31">
            <v>1</v>
          </cell>
          <cell r="H31">
            <v>1</v>
          </cell>
          <cell r="I31">
            <v>100</v>
          </cell>
          <cell r="J31">
            <v>100</v>
          </cell>
          <cell r="K31">
            <v>100</v>
          </cell>
        </row>
        <row r="32">
          <cell r="D32" t="str">
            <v>紫色军团馈赠</v>
          </cell>
          <cell r="E32">
            <v>500</v>
          </cell>
          <cell r="F32">
            <v>1</v>
          </cell>
          <cell r="G32">
            <v>1</v>
          </cell>
          <cell r="H32">
            <v>1</v>
          </cell>
          <cell r="I32">
            <v>500</v>
          </cell>
          <cell r="J32">
            <v>500</v>
          </cell>
          <cell r="K32">
            <v>500</v>
          </cell>
        </row>
        <row r="33">
          <cell r="D33" t="str">
            <v>橙色军团馈赠</v>
          </cell>
          <cell r="E33">
            <v>2000</v>
          </cell>
          <cell r="F33">
            <v>1</v>
          </cell>
          <cell r="G33">
            <v>1</v>
          </cell>
          <cell r="H33">
            <v>1</v>
          </cell>
          <cell r="I33">
            <v>2000</v>
          </cell>
          <cell r="J33">
            <v>2000</v>
          </cell>
          <cell r="K33">
            <v>2000</v>
          </cell>
        </row>
        <row r="34">
          <cell r="I34" t="str">
            <v/>
          </cell>
          <cell r="J34" t="str">
            <v/>
          </cell>
          <cell r="K34" t="str">
            <v/>
          </cell>
        </row>
        <row r="35">
          <cell r="D35" t="str">
            <v>文心</v>
          </cell>
          <cell r="E35">
            <v>0.33333333333333331</v>
          </cell>
          <cell r="F35">
            <v>1</v>
          </cell>
          <cell r="G35">
            <v>1</v>
          </cell>
          <cell r="H35">
            <v>1</v>
          </cell>
          <cell r="I35">
            <v>0.33333333333333331</v>
          </cell>
          <cell r="J35">
            <v>0.33333333333333331</v>
          </cell>
          <cell r="K35">
            <v>0.33333333333333331</v>
          </cell>
          <cell r="L35" t="str">
            <v>宝物温养货币</v>
          </cell>
        </row>
        <row r="36">
          <cell r="D36" t="str">
            <v>宝鉴</v>
          </cell>
          <cell r="E36">
            <v>500</v>
          </cell>
          <cell r="F36">
            <v>1</v>
          </cell>
          <cell r="G36">
            <v>1</v>
          </cell>
          <cell r="H36">
            <v>1</v>
          </cell>
          <cell r="I36">
            <v>500</v>
          </cell>
          <cell r="J36">
            <v>500</v>
          </cell>
          <cell r="K36">
            <v>500</v>
          </cell>
          <cell r="L36" t="str">
            <v>鉴赏宝物属性</v>
          </cell>
        </row>
        <row r="37">
          <cell r="D37" t="str">
            <v>密藏之匙</v>
          </cell>
          <cell r="E37">
            <v>330</v>
          </cell>
          <cell r="F37">
            <v>1</v>
          </cell>
          <cell r="G37">
            <v>1</v>
          </cell>
          <cell r="H37">
            <v>1</v>
          </cell>
          <cell r="I37">
            <v>330</v>
          </cell>
          <cell r="J37">
            <v>330</v>
          </cell>
          <cell r="K37">
            <v>330</v>
          </cell>
          <cell r="L37" t="str">
            <v>宝物抽奖道具</v>
          </cell>
        </row>
        <row r="38">
          <cell r="D38" t="str">
            <v>宝物精华</v>
          </cell>
          <cell r="E38">
            <v>100</v>
          </cell>
          <cell r="F38">
            <v>1</v>
          </cell>
          <cell r="G38">
            <v>1</v>
          </cell>
          <cell r="H38">
            <v>1</v>
          </cell>
          <cell r="I38">
            <v>100</v>
          </cell>
          <cell r="J38">
            <v>100</v>
          </cell>
          <cell r="K38">
            <v>100</v>
          </cell>
          <cell r="L38" t="str">
            <v>宝物升星消耗货币</v>
          </cell>
        </row>
        <row r="39">
          <cell r="D39" t="str">
            <v>指定蓝色宝物</v>
          </cell>
          <cell r="E39">
            <v>100</v>
          </cell>
          <cell r="F39">
            <v>2.5</v>
          </cell>
          <cell r="G39">
            <v>1</v>
          </cell>
          <cell r="H39">
            <v>1</v>
          </cell>
          <cell r="I39">
            <v>250</v>
          </cell>
          <cell r="J39">
            <v>100</v>
          </cell>
          <cell r="K39">
            <v>100</v>
          </cell>
        </row>
        <row r="40">
          <cell r="D40" t="str">
            <v>指定紫色宝物</v>
          </cell>
          <cell r="E40">
            <v>500</v>
          </cell>
          <cell r="F40">
            <v>2.5</v>
          </cell>
          <cell r="G40">
            <v>1</v>
          </cell>
          <cell r="H40">
            <v>1</v>
          </cell>
          <cell r="I40">
            <v>1250</v>
          </cell>
          <cell r="J40">
            <v>500</v>
          </cell>
          <cell r="K40">
            <v>500</v>
          </cell>
        </row>
        <row r="41">
          <cell r="D41" t="str">
            <v>指定橙色宝物</v>
          </cell>
          <cell r="E41">
            <v>4000</v>
          </cell>
          <cell r="F41">
            <v>2.5</v>
          </cell>
          <cell r="G41">
            <v>1</v>
          </cell>
          <cell r="H41">
            <v>1</v>
          </cell>
          <cell r="I41">
            <v>10000</v>
          </cell>
          <cell r="J41">
            <v>4000</v>
          </cell>
          <cell r="K41">
            <v>4000</v>
          </cell>
        </row>
        <row r="42">
          <cell r="D42" t="str">
            <v>指定橙+宝物</v>
          </cell>
          <cell r="E42">
            <v>20000</v>
          </cell>
          <cell r="F42">
            <v>2.5</v>
          </cell>
          <cell r="G42">
            <v>1</v>
          </cell>
          <cell r="H42">
            <v>1</v>
          </cell>
          <cell r="I42">
            <v>50000</v>
          </cell>
          <cell r="J42">
            <v>20000</v>
          </cell>
          <cell r="K42">
            <v>20000</v>
          </cell>
        </row>
        <row r="43">
          <cell r="D43" t="str">
            <v>指定红色宝物</v>
          </cell>
          <cell r="E43">
            <v>60000</v>
          </cell>
          <cell r="F43">
            <v>2.5</v>
          </cell>
          <cell r="G43">
            <v>1</v>
          </cell>
          <cell r="H43">
            <v>1</v>
          </cell>
          <cell r="I43">
            <v>150000</v>
          </cell>
          <cell r="J43">
            <v>60000</v>
          </cell>
          <cell r="K43">
            <v>60000</v>
          </cell>
        </row>
        <row r="44">
          <cell r="D44" t="str">
            <v>指定橙色宝物碎片</v>
          </cell>
          <cell r="E44">
            <v>133.33333333333334</v>
          </cell>
          <cell r="F44">
            <v>2.5</v>
          </cell>
          <cell r="G44">
            <v>1</v>
          </cell>
          <cell r="H44">
            <v>1</v>
          </cell>
          <cell r="I44">
            <v>333.33333333333337</v>
          </cell>
          <cell r="J44">
            <v>133.33333333333334</v>
          </cell>
          <cell r="K44">
            <v>133.33333333333334</v>
          </cell>
        </row>
        <row r="45">
          <cell r="D45" t="str">
            <v>指定橙+宝物碎片</v>
          </cell>
          <cell r="E45">
            <v>666.66666666666663</v>
          </cell>
          <cell r="F45">
            <v>2.5</v>
          </cell>
          <cell r="G45">
            <v>1</v>
          </cell>
          <cell r="H45">
            <v>1</v>
          </cell>
          <cell r="I45">
            <v>1666.6666666666665</v>
          </cell>
          <cell r="J45">
            <v>666.66666666666663</v>
          </cell>
          <cell r="K45">
            <v>666.66666666666663</v>
          </cell>
        </row>
        <row r="46">
          <cell r="D46" t="str">
            <v>指定红色宝物碎片</v>
          </cell>
          <cell r="E46">
            <v>1200</v>
          </cell>
          <cell r="F46">
            <v>2.5</v>
          </cell>
          <cell r="G46">
            <v>1</v>
          </cell>
          <cell r="H46">
            <v>1</v>
          </cell>
          <cell r="I46">
            <v>3000</v>
          </cell>
          <cell r="J46">
            <v>1200</v>
          </cell>
          <cell r="K46">
            <v>1200</v>
          </cell>
        </row>
        <row r="47">
          <cell r="D47" t="str">
            <v>随机蓝色宝物</v>
          </cell>
          <cell r="E47">
            <v>100</v>
          </cell>
          <cell r="F47">
            <v>2.5</v>
          </cell>
          <cell r="G47">
            <v>1</v>
          </cell>
          <cell r="H47">
            <v>1</v>
          </cell>
          <cell r="I47">
            <v>250</v>
          </cell>
          <cell r="J47">
            <v>100</v>
          </cell>
          <cell r="K47">
            <v>100</v>
          </cell>
        </row>
        <row r="48">
          <cell r="D48" t="str">
            <v>随机紫色宝物</v>
          </cell>
          <cell r="E48">
            <v>500</v>
          </cell>
          <cell r="F48">
            <v>2.5</v>
          </cell>
          <cell r="G48">
            <v>1</v>
          </cell>
          <cell r="H48">
            <v>1</v>
          </cell>
          <cell r="I48">
            <v>1250</v>
          </cell>
          <cell r="J48">
            <v>500</v>
          </cell>
          <cell r="K48">
            <v>500</v>
          </cell>
        </row>
        <row r="49">
          <cell r="D49" t="str">
            <v>随机橙色宝物</v>
          </cell>
          <cell r="E49">
            <v>2500</v>
          </cell>
          <cell r="F49">
            <v>2.5</v>
          </cell>
          <cell r="G49">
            <v>1</v>
          </cell>
          <cell r="H49">
            <v>1</v>
          </cell>
          <cell r="I49">
            <v>6250</v>
          </cell>
          <cell r="J49">
            <v>2500</v>
          </cell>
          <cell r="K49">
            <v>2500</v>
          </cell>
        </row>
        <row r="50">
          <cell r="D50" t="str">
            <v>随机橙+宝物</v>
          </cell>
          <cell r="E50">
            <v>10000</v>
          </cell>
          <cell r="F50">
            <v>2.5</v>
          </cell>
          <cell r="G50">
            <v>1</v>
          </cell>
          <cell r="H50">
            <v>1</v>
          </cell>
          <cell r="I50">
            <v>25000</v>
          </cell>
          <cell r="J50">
            <v>10000</v>
          </cell>
          <cell r="K50">
            <v>10000</v>
          </cell>
        </row>
        <row r="51">
          <cell r="D51" t="str">
            <v>随机紫色宝物碎片</v>
          </cell>
          <cell r="E51">
            <v>16.666666666666668</v>
          </cell>
          <cell r="F51">
            <v>2.5</v>
          </cell>
          <cell r="G51">
            <v>1</v>
          </cell>
          <cell r="H51">
            <v>1</v>
          </cell>
          <cell r="I51">
            <v>41.666666666666671</v>
          </cell>
          <cell r="J51">
            <v>16.666666666666668</v>
          </cell>
          <cell r="K51">
            <v>16.666666666666668</v>
          </cell>
          <cell r="L51" t="str">
            <v>配置成了30合1，所以价值为随机紫色宝物/30</v>
          </cell>
        </row>
        <row r="52">
          <cell r="D52" t="str">
            <v>随机橙色宝物碎片</v>
          </cell>
          <cell r="E52">
            <v>83.333333333333329</v>
          </cell>
          <cell r="F52">
            <v>2.5</v>
          </cell>
          <cell r="G52">
            <v>1</v>
          </cell>
          <cell r="H52">
            <v>1</v>
          </cell>
          <cell r="I52">
            <v>208.33333333333331</v>
          </cell>
          <cell r="J52">
            <v>83.333333333333329</v>
          </cell>
          <cell r="K52">
            <v>83.333333333333329</v>
          </cell>
        </row>
        <row r="53">
          <cell r="D53" t="str">
            <v>随机橙+宝物碎片</v>
          </cell>
          <cell r="E53">
            <v>333.33333333333331</v>
          </cell>
          <cell r="F53">
            <v>2.5</v>
          </cell>
          <cell r="G53">
            <v>1</v>
          </cell>
          <cell r="H53">
            <v>1</v>
          </cell>
          <cell r="I53">
            <v>833.33333333333326</v>
          </cell>
          <cell r="J53">
            <v>333.33333333333331</v>
          </cell>
          <cell r="K53">
            <v>333.33333333333331</v>
          </cell>
        </row>
        <row r="54">
          <cell r="I54" t="str">
            <v/>
          </cell>
          <cell r="J54" t="str">
            <v/>
          </cell>
          <cell r="K54" t="str">
            <v/>
          </cell>
        </row>
        <row r="55">
          <cell r="D55" t="str">
            <v>紫色藏宝图</v>
          </cell>
          <cell r="E55">
            <v>137.5</v>
          </cell>
          <cell r="F55">
            <v>1</v>
          </cell>
          <cell r="G55">
            <v>1</v>
          </cell>
          <cell r="H55">
            <v>1</v>
          </cell>
          <cell r="I55">
            <v>137.5</v>
          </cell>
          <cell r="J55">
            <v>137.5</v>
          </cell>
          <cell r="K55">
            <v>137.5</v>
          </cell>
        </row>
        <row r="56">
          <cell r="D56" t="str">
            <v>紫色藏宝图碎片</v>
          </cell>
          <cell r="E56">
            <v>13.75</v>
          </cell>
          <cell r="F56">
            <v>1</v>
          </cell>
          <cell r="G56">
            <v>1</v>
          </cell>
          <cell r="H56">
            <v>1</v>
          </cell>
          <cell r="I56">
            <v>13.75</v>
          </cell>
          <cell r="J56">
            <v>13.75</v>
          </cell>
          <cell r="K56">
            <v>13.75</v>
          </cell>
        </row>
        <row r="57">
          <cell r="D57" t="str">
            <v>橙色藏宝图</v>
          </cell>
          <cell r="E57">
            <v>300</v>
          </cell>
          <cell r="F57">
            <v>1</v>
          </cell>
          <cell r="G57">
            <v>1</v>
          </cell>
          <cell r="H57">
            <v>1</v>
          </cell>
          <cell r="I57">
            <v>300</v>
          </cell>
          <cell r="J57">
            <v>300</v>
          </cell>
          <cell r="K57">
            <v>300</v>
          </cell>
        </row>
        <row r="58">
          <cell r="D58" t="str">
            <v>橙色藏宝图碎片</v>
          </cell>
          <cell r="E58">
            <v>10</v>
          </cell>
          <cell r="F58">
            <v>1</v>
          </cell>
          <cell r="G58">
            <v>1</v>
          </cell>
          <cell r="H58">
            <v>1</v>
          </cell>
          <cell r="I58">
            <v>10</v>
          </cell>
          <cell r="J58">
            <v>10</v>
          </cell>
          <cell r="K58">
            <v>10</v>
          </cell>
        </row>
        <row r="59">
          <cell r="I59" t="str">
            <v/>
          </cell>
          <cell r="J59" t="str">
            <v/>
          </cell>
          <cell r="K59" t="str">
            <v/>
          </cell>
        </row>
        <row r="60">
          <cell r="D60" t="str">
            <v>紫色皮肤</v>
          </cell>
          <cell r="E60">
            <v>6000</v>
          </cell>
          <cell r="F60">
            <v>1</v>
          </cell>
          <cell r="G60">
            <v>1</v>
          </cell>
          <cell r="H60">
            <v>1</v>
          </cell>
          <cell r="I60">
            <v>6000</v>
          </cell>
          <cell r="J60">
            <v>6000</v>
          </cell>
          <cell r="K60">
            <v>6000</v>
          </cell>
        </row>
        <row r="61">
          <cell r="D61" t="str">
            <v>橙色皮肤</v>
          </cell>
          <cell r="E61">
            <v>16000</v>
          </cell>
          <cell r="F61">
            <v>1</v>
          </cell>
          <cell r="G61">
            <v>1</v>
          </cell>
          <cell r="H61">
            <v>1</v>
          </cell>
          <cell r="I61">
            <v>16000</v>
          </cell>
          <cell r="J61">
            <v>16000</v>
          </cell>
          <cell r="K61">
            <v>16000</v>
          </cell>
        </row>
        <row r="62">
          <cell r="D62" t="str">
            <v>红色皮肤</v>
          </cell>
          <cell r="E62">
            <v>150000</v>
          </cell>
          <cell r="F62">
            <v>2</v>
          </cell>
          <cell r="G62">
            <v>2</v>
          </cell>
          <cell r="H62">
            <v>2</v>
          </cell>
          <cell r="I62">
            <v>300000</v>
          </cell>
          <cell r="J62">
            <v>300000</v>
          </cell>
          <cell r="K62">
            <v>300000</v>
          </cell>
        </row>
        <row r="63">
          <cell r="D63" t="str">
            <v>橙色皮肤碎片</v>
          </cell>
          <cell r="E63">
            <v>533.33333333333337</v>
          </cell>
          <cell r="F63">
            <v>1</v>
          </cell>
          <cell r="G63">
            <v>1</v>
          </cell>
          <cell r="H63">
            <v>1</v>
          </cell>
          <cell r="I63">
            <v>533.33333333333337</v>
          </cell>
          <cell r="J63">
            <v>533.33333333333337</v>
          </cell>
          <cell r="K63">
            <v>533.33333333333337</v>
          </cell>
        </row>
        <row r="64">
          <cell r="D64" t="str">
            <v>红色皮肤碎片</v>
          </cell>
          <cell r="E64">
            <v>3000</v>
          </cell>
          <cell r="F64">
            <v>2</v>
          </cell>
          <cell r="G64">
            <v>2</v>
          </cell>
          <cell r="H64">
            <v>2</v>
          </cell>
          <cell r="I64">
            <v>6000</v>
          </cell>
          <cell r="J64">
            <v>6000</v>
          </cell>
          <cell r="K64">
            <v>6000</v>
          </cell>
        </row>
        <row r="65">
          <cell r="D65" t="str">
            <v>7天限时橙色皮肤</v>
          </cell>
          <cell r="E65">
            <v>16000</v>
          </cell>
          <cell r="F65">
            <v>0.2</v>
          </cell>
          <cell r="G65">
            <v>0.2</v>
          </cell>
          <cell r="H65">
            <v>0.2</v>
          </cell>
          <cell r="I65">
            <v>3200</v>
          </cell>
          <cell r="J65">
            <v>3200</v>
          </cell>
          <cell r="K65">
            <v>3200</v>
          </cell>
          <cell r="L65" t="str">
            <v>7天</v>
          </cell>
        </row>
        <row r="66">
          <cell r="D66" t="str">
            <v>30天限时橙色皮肤</v>
          </cell>
          <cell r="E66">
            <v>16000</v>
          </cell>
          <cell r="F66">
            <v>0.5</v>
          </cell>
          <cell r="G66">
            <v>0.5</v>
          </cell>
          <cell r="H66">
            <v>0.5</v>
          </cell>
          <cell r="I66">
            <v>8000</v>
          </cell>
          <cell r="J66">
            <v>8000</v>
          </cell>
          <cell r="K66">
            <v>8000</v>
          </cell>
          <cell r="L66" t="str">
            <v>30天</v>
          </cell>
        </row>
        <row r="67">
          <cell r="D67" t="str">
            <v>紫色外显</v>
          </cell>
          <cell r="E67">
            <v>6000</v>
          </cell>
          <cell r="F67">
            <v>0.75</v>
          </cell>
          <cell r="G67">
            <v>0.75</v>
          </cell>
          <cell r="H67">
            <v>0.1</v>
          </cell>
          <cell r="I67">
            <v>4500</v>
          </cell>
          <cell r="J67">
            <v>4500</v>
          </cell>
          <cell r="K67">
            <v>600</v>
          </cell>
        </row>
        <row r="68">
          <cell r="D68" t="str">
            <v>橙色外显</v>
          </cell>
          <cell r="E68">
            <v>16000</v>
          </cell>
          <cell r="F68">
            <v>0.75</v>
          </cell>
          <cell r="G68">
            <v>0.75</v>
          </cell>
          <cell r="H68">
            <v>0.1</v>
          </cell>
          <cell r="I68">
            <v>12000</v>
          </cell>
          <cell r="J68">
            <v>12000</v>
          </cell>
          <cell r="K68">
            <v>1600</v>
          </cell>
        </row>
        <row r="69">
          <cell r="D69" t="str">
            <v>红色外显</v>
          </cell>
          <cell r="E69">
            <v>150000</v>
          </cell>
          <cell r="F69">
            <v>1.5</v>
          </cell>
          <cell r="G69">
            <v>1.5</v>
          </cell>
          <cell r="H69">
            <v>0.2</v>
          </cell>
          <cell r="I69">
            <v>225000</v>
          </cell>
          <cell r="J69">
            <v>225000</v>
          </cell>
          <cell r="K69">
            <v>30000</v>
          </cell>
        </row>
        <row r="70">
          <cell r="D70" t="str">
            <v>7天限时橙色外显</v>
          </cell>
          <cell r="E70">
            <v>16000</v>
          </cell>
          <cell r="F70">
            <v>0.15000000000000002</v>
          </cell>
          <cell r="G70">
            <v>0.15000000000000002</v>
          </cell>
          <cell r="H70">
            <v>0.02</v>
          </cell>
          <cell r="I70">
            <v>2400.0000000000005</v>
          </cell>
          <cell r="J70">
            <v>2400.0000000000005</v>
          </cell>
          <cell r="K70">
            <v>320</v>
          </cell>
          <cell r="L70" t="str">
            <v>7天</v>
          </cell>
        </row>
        <row r="71">
          <cell r="D71" t="str">
            <v>30天限时橙色外显</v>
          </cell>
          <cell r="E71">
            <v>16000</v>
          </cell>
          <cell r="F71">
            <v>0.375</v>
          </cell>
          <cell r="G71">
            <v>0.375</v>
          </cell>
          <cell r="H71">
            <v>0.05</v>
          </cell>
          <cell r="I71">
            <v>6000</v>
          </cell>
          <cell r="J71">
            <v>6000</v>
          </cell>
          <cell r="K71">
            <v>800</v>
          </cell>
          <cell r="L71" t="str">
            <v>30天</v>
          </cell>
        </row>
        <row r="72">
          <cell r="I72" t="str">
            <v/>
          </cell>
          <cell r="J72" t="str">
            <v/>
          </cell>
          <cell r="K72" t="str">
            <v/>
          </cell>
        </row>
        <row r="73">
          <cell r="I73" t="str">
            <v/>
          </cell>
          <cell r="J73" t="str">
            <v/>
          </cell>
          <cell r="K73" t="str">
            <v/>
          </cell>
        </row>
        <row r="74">
          <cell r="I74" t="str">
            <v/>
          </cell>
          <cell r="J74" t="str">
            <v/>
          </cell>
          <cell r="K74" t="str">
            <v/>
          </cell>
        </row>
        <row r="75">
          <cell r="D75" t="str">
            <v>将军印</v>
          </cell>
          <cell r="E75">
            <v>1000</v>
          </cell>
          <cell r="F75">
            <v>1</v>
          </cell>
          <cell r="G75">
            <v>1</v>
          </cell>
          <cell r="H75">
            <v>1</v>
          </cell>
          <cell r="I75">
            <v>1000</v>
          </cell>
          <cell r="J75">
            <v>1000</v>
          </cell>
          <cell r="K75">
            <v>1000</v>
          </cell>
        </row>
        <row r="76">
          <cell r="D76" t="str">
            <v>上将印</v>
          </cell>
          <cell r="E76">
            <v>2000</v>
          </cell>
          <cell r="F76">
            <v>1</v>
          </cell>
          <cell r="G76">
            <v>1</v>
          </cell>
          <cell r="H76">
            <v>1</v>
          </cell>
          <cell r="I76">
            <v>2000</v>
          </cell>
          <cell r="J76">
            <v>2000</v>
          </cell>
          <cell r="K76">
            <v>2000</v>
          </cell>
        </row>
        <row r="77">
          <cell r="D77" t="str">
            <v>统帅印</v>
          </cell>
          <cell r="E77">
            <v>8000</v>
          </cell>
          <cell r="F77">
            <v>1</v>
          </cell>
          <cell r="G77">
            <v>1</v>
          </cell>
          <cell r="H77">
            <v>1</v>
          </cell>
          <cell r="I77">
            <v>8000</v>
          </cell>
          <cell r="J77">
            <v>8000</v>
          </cell>
          <cell r="K77">
            <v>8000</v>
          </cell>
        </row>
        <row r="78">
          <cell r="D78" t="str">
            <v>将军印碎片</v>
          </cell>
          <cell r="E78">
            <v>33.333333333333336</v>
          </cell>
          <cell r="F78">
            <v>1</v>
          </cell>
          <cell r="G78">
            <v>1</v>
          </cell>
          <cell r="H78">
            <v>1</v>
          </cell>
          <cell r="I78">
            <v>33.333333333333336</v>
          </cell>
          <cell r="J78">
            <v>33.333333333333336</v>
          </cell>
          <cell r="K78">
            <v>33.333333333333336</v>
          </cell>
          <cell r="L78" t="str">
            <v>凑齐30个碎片可以合成1个将军印，可用于解锁武将的第四个特性</v>
          </cell>
        </row>
        <row r="79">
          <cell r="D79" t="str">
            <v>上将印碎片</v>
          </cell>
          <cell r="E79">
            <v>66.666666666666671</v>
          </cell>
          <cell r="F79">
            <v>1</v>
          </cell>
          <cell r="G79">
            <v>1</v>
          </cell>
          <cell r="H79">
            <v>1</v>
          </cell>
          <cell r="I79">
            <v>66.666666666666671</v>
          </cell>
          <cell r="J79">
            <v>66.666666666666671</v>
          </cell>
          <cell r="K79">
            <v>66.666666666666671</v>
          </cell>
          <cell r="L79" t="str">
            <v>凑齐30个碎片可以合成1个上将印，可用于升级武将的第四个特性</v>
          </cell>
        </row>
        <row r="80">
          <cell r="D80" t="str">
            <v>统帅印碎片</v>
          </cell>
          <cell r="E80">
            <v>266.66666666666669</v>
          </cell>
          <cell r="F80">
            <v>1</v>
          </cell>
          <cell r="G80">
            <v>1</v>
          </cell>
          <cell r="H80">
            <v>1</v>
          </cell>
          <cell r="I80">
            <v>266.66666666666669</v>
          </cell>
          <cell r="J80">
            <v>266.66666666666669</v>
          </cell>
          <cell r="K80">
            <v>266.66666666666669</v>
          </cell>
          <cell r="L80" t="str">
            <v>凑齐30个碎片可以合成1个统帅印，可用于升级武将的第四个特性</v>
          </cell>
        </row>
        <row r="81">
          <cell r="I81" t="str">
            <v/>
          </cell>
          <cell r="J81" t="str">
            <v/>
          </cell>
          <cell r="K81" t="str">
            <v/>
          </cell>
        </row>
        <row r="82">
          <cell r="D82" t="str">
            <v>高级免战牌</v>
          </cell>
          <cell r="E82">
            <v>400</v>
          </cell>
          <cell r="F82">
            <v>1</v>
          </cell>
          <cell r="G82">
            <v>1</v>
          </cell>
          <cell r="H82">
            <v>1</v>
          </cell>
          <cell r="I82">
            <v>400</v>
          </cell>
          <cell r="J82">
            <v>400</v>
          </cell>
          <cell r="K82">
            <v>400</v>
          </cell>
        </row>
        <row r="83">
          <cell r="D83" t="str">
            <v>特级免战牌</v>
          </cell>
          <cell r="E83">
            <v>1500</v>
          </cell>
          <cell r="F83">
            <v>1</v>
          </cell>
          <cell r="G83">
            <v>1</v>
          </cell>
          <cell r="H83">
            <v>1</v>
          </cell>
          <cell r="I83">
            <v>1500</v>
          </cell>
          <cell r="J83">
            <v>1500</v>
          </cell>
          <cell r="K83">
            <v>1500</v>
          </cell>
        </row>
        <row r="84">
          <cell r="I84" t="str">
            <v/>
          </cell>
          <cell r="J84" t="str">
            <v/>
          </cell>
          <cell r="K84" t="str">
            <v/>
          </cell>
        </row>
        <row r="85">
          <cell r="D85" t="str">
            <v>指定or任选紫色兵法碎片</v>
          </cell>
          <cell r="E85">
            <v>75</v>
          </cell>
          <cell r="F85">
            <v>1</v>
          </cell>
          <cell r="G85">
            <v>1</v>
          </cell>
          <cell r="H85">
            <v>1</v>
          </cell>
          <cell r="I85">
            <v>75</v>
          </cell>
          <cell r="J85">
            <v>75</v>
          </cell>
          <cell r="K85">
            <v>75</v>
          </cell>
        </row>
        <row r="86">
          <cell r="D86" t="str">
            <v>指定or任选橙色兵法碎片</v>
          </cell>
          <cell r="E86">
            <v>111.66666666666667</v>
          </cell>
          <cell r="F86">
            <v>1</v>
          </cell>
          <cell r="G86">
            <v>1</v>
          </cell>
          <cell r="H86">
            <v>1</v>
          </cell>
          <cell r="I86">
            <v>111.66666666666667</v>
          </cell>
          <cell r="J86">
            <v>111.66666666666667</v>
          </cell>
          <cell r="K86">
            <v>111.66666666666667</v>
          </cell>
        </row>
        <row r="87">
          <cell r="D87" t="str">
            <v>指定or任选红色兵法碎片</v>
          </cell>
          <cell r="E87">
            <v>305.5</v>
          </cell>
          <cell r="F87">
            <v>1</v>
          </cell>
          <cell r="G87">
            <v>1</v>
          </cell>
          <cell r="H87">
            <v>1</v>
          </cell>
          <cell r="I87">
            <v>305.5</v>
          </cell>
          <cell r="J87">
            <v>305.5</v>
          </cell>
          <cell r="K87">
            <v>305.5</v>
          </cell>
        </row>
        <row r="88">
          <cell r="D88" t="str">
            <v>随机紫色兵法碎片</v>
          </cell>
          <cell r="E88">
            <v>50</v>
          </cell>
          <cell r="F88">
            <v>1</v>
          </cell>
          <cell r="G88">
            <v>1</v>
          </cell>
          <cell r="H88">
            <v>1</v>
          </cell>
          <cell r="I88">
            <v>50</v>
          </cell>
          <cell r="J88">
            <v>50</v>
          </cell>
          <cell r="K88">
            <v>50</v>
          </cell>
        </row>
        <row r="89">
          <cell r="D89" t="str">
            <v>随机橙色兵法碎片</v>
          </cell>
          <cell r="E89">
            <v>56</v>
          </cell>
          <cell r="F89">
            <v>1</v>
          </cell>
          <cell r="G89">
            <v>1</v>
          </cell>
          <cell r="H89">
            <v>1</v>
          </cell>
          <cell r="I89">
            <v>56</v>
          </cell>
          <cell r="J89">
            <v>56</v>
          </cell>
          <cell r="K89">
            <v>56</v>
          </cell>
        </row>
        <row r="90">
          <cell r="D90" t="str">
            <v>随机极兵法碎片</v>
          </cell>
          <cell r="E90">
            <v>305.5</v>
          </cell>
          <cell r="F90">
            <v>1</v>
          </cell>
          <cell r="G90">
            <v>1</v>
          </cell>
          <cell r="H90">
            <v>1</v>
          </cell>
          <cell r="I90">
            <v>305.5</v>
          </cell>
          <cell r="J90">
            <v>305.5</v>
          </cell>
          <cell r="K90">
            <v>305.5</v>
          </cell>
        </row>
        <row r="91">
          <cell r="D91" t="str">
            <v>红色装备自选碎片</v>
          </cell>
          <cell r="E91">
            <v>144</v>
          </cell>
          <cell r="F91">
            <v>1</v>
          </cell>
          <cell r="G91">
            <v>1</v>
          </cell>
          <cell r="H91">
            <v>1</v>
          </cell>
          <cell r="I91">
            <v>144</v>
          </cell>
          <cell r="J91">
            <v>144</v>
          </cell>
          <cell r="K91">
            <v>144</v>
          </cell>
        </row>
        <row r="92">
          <cell r="D92" t="str">
            <v>红+装备自选碎片</v>
          </cell>
          <cell r="E92">
            <v>288</v>
          </cell>
          <cell r="F92">
            <v>1.56</v>
          </cell>
          <cell r="G92">
            <v>1.56</v>
          </cell>
          <cell r="H92">
            <v>1.56</v>
          </cell>
          <cell r="I92">
            <v>449.28000000000003</v>
          </cell>
          <cell r="J92">
            <v>449.28000000000003</v>
          </cell>
          <cell r="K92">
            <v>449.28000000000003</v>
          </cell>
        </row>
        <row r="93">
          <cell r="I93" t="str">
            <v/>
          </cell>
          <cell r="J93" t="str">
            <v/>
          </cell>
          <cell r="K93" t="str">
            <v/>
          </cell>
        </row>
        <row r="94">
          <cell r="D94" t="str">
            <v>随机蓝色阵法</v>
          </cell>
          <cell r="E94">
            <v>100</v>
          </cell>
          <cell r="F94">
            <v>1</v>
          </cell>
          <cell r="G94">
            <v>1</v>
          </cell>
          <cell r="H94">
            <v>1</v>
          </cell>
          <cell r="I94">
            <v>100</v>
          </cell>
          <cell r="J94">
            <v>100</v>
          </cell>
          <cell r="K94">
            <v>100</v>
          </cell>
        </row>
        <row r="95">
          <cell r="D95" t="str">
            <v>随机紫色阵法</v>
          </cell>
          <cell r="E95">
            <v>1000</v>
          </cell>
          <cell r="F95">
            <v>1</v>
          </cell>
          <cell r="G95">
            <v>0.75</v>
          </cell>
          <cell r="H95">
            <v>0.5</v>
          </cell>
          <cell r="I95">
            <v>1000</v>
          </cell>
          <cell r="J95">
            <v>750</v>
          </cell>
          <cell r="K95">
            <v>500</v>
          </cell>
        </row>
        <row r="96">
          <cell r="D96" t="str">
            <v>随机橙色阵法</v>
          </cell>
          <cell r="E96">
            <v>5000</v>
          </cell>
          <cell r="F96">
            <v>1</v>
          </cell>
          <cell r="G96">
            <v>0.8</v>
          </cell>
          <cell r="H96">
            <v>0.5</v>
          </cell>
          <cell r="I96">
            <v>5000</v>
          </cell>
          <cell r="J96">
            <v>4000</v>
          </cell>
          <cell r="K96">
            <v>2500</v>
          </cell>
        </row>
        <row r="97">
          <cell r="D97" t="str">
            <v>随机红色阵法</v>
          </cell>
          <cell r="E97">
            <v>25000</v>
          </cell>
          <cell r="F97">
            <v>2</v>
          </cell>
          <cell r="G97">
            <v>1.5</v>
          </cell>
          <cell r="H97">
            <v>1</v>
          </cell>
          <cell r="I97">
            <v>50000</v>
          </cell>
          <cell r="J97">
            <v>37500</v>
          </cell>
          <cell r="K97">
            <v>25000</v>
          </cell>
        </row>
        <row r="98">
          <cell r="F98">
            <v>1</v>
          </cell>
          <cell r="G98">
            <v>1</v>
          </cell>
          <cell r="H98">
            <v>1</v>
          </cell>
          <cell r="I98" t="str">
            <v/>
          </cell>
          <cell r="J98" t="str">
            <v/>
          </cell>
          <cell r="K98" t="str">
            <v/>
          </cell>
        </row>
        <row r="99">
          <cell r="D99" t="str">
            <v>随机紫色阵法碎片</v>
          </cell>
          <cell r="E99">
            <v>100</v>
          </cell>
          <cell r="F99">
            <v>1</v>
          </cell>
          <cell r="G99">
            <v>0.75</v>
          </cell>
          <cell r="H99">
            <v>0.5</v>
          </cell>
          <cell r="I99">
            <v>100</v>
          </cell>
          <cell r="J99">
            <v>75</v>
          </cell>
          <cell r="K99">
            <v>50</v>
          </cell>
        </row>
        <row r="100">
          <cell r="D100" t="str">
            <v>随机橙色阵法碎片</v>
          </cell>
          <cell r="E100">
            <v>166.66666666666666</v>
          </cell>
          <cell r="F100">
            <v>1</v>
          </cell>
          <cell r="G100">
            <v>0.8</v>
          </cell>
          <cell r="H100">
            <v>0.5</v>
          </cell>
          <cell r="I100">
            <v>166.66666666666666</v>
          </cell>
          <cell r="J100">
            <v>133.33333333333334</v>
          </cell>
          <cell r="K100">
            <v>83.333333333333329</v>
          </cell>
        </row>
        <row r="101">
          <cell r="D101" t="str">
            <v>随机红色阵法碎片</v>
          </cell>
          <cell r="E101">
            <v>500</v>
          </cell>
          <cell r="F101">
            <v>2</v>
          </cell>
          <cell r="G101">
            <v>1.5</v>
          </cell>
          <cell r="H101">
            <v>1</v>
          </cell>
          <cell r="I101">
            <v>1000</v>
          </cell>
          <cell r="J101">
            <v>750</v>
          </cell>
          <cell r="K101">
            <v>500</v>
          </cell>
        </row>
        <row r="102">
          <cell r="F102">
            <v>1</v>
          </cell>
          <cell r="G102">
            <v>1</v>
          </cell>
          <cell r="H102">
            <v>1</v>
          </cell>
          <cell r="I102" t="str">
            <v/>
          </cell>
          <cell r="J102" t="str">
            <v/>
          </cell>
          <cell r="K102" t="str">
            <v/>
          </cell>
        </row>
        <row r="103">
          <cell r="D103" t="str">
            <v>指定蓝色阵法</v>
          </cell>
          <cell r="E103">
            <v>100</v>
          </cell>
          <cell r="F103">
            <v>1</v>
          </cell>
          <cell r="G103">
            <v>1</v>
          </cell>
          <cell r="H103">
            <v>1</v>
          </cell>
          <cell r="I103">
            <v>100</v>
          </cell>
          <cell r="J103">
            <v>100</v>
          </cell>
          <cell r="K103">
            <v>100</v>
          </cell>
        </row>
        <row r="104">
          <cell r="D104" t="str">
            <v>指定紫色阵法</v>
          </cell>
          <cell r="E104">
            <v>1000</v>
          </cell>
          <cell r="F104">
            <v>1.5</v>
          </cell>
          <cell r="G104">
            <v>1</v>
          </cell>
          <cell r="H104">
            <v>1</v>
          </cell>
          <cell r="I104">
            <v>1500</v>
          </cell>
          <cell r="J104">
            <v>1000</v>
          </cell>
          <cell r="K104">
            <v>1000</v>
          </cell>
        </row>
        <row r="105">
          <cell r="D105" t="str">
            <v>指定橙色阵法</v>
          </cell>
          <cell r="E105">
            <v>5000</v>
          </cell>
          <cell r="F105">
            <v>2</v>
          </cell>
          <cell r="G105">
            <v>1.5</v>
          </cell>
          <cell r="H105">
            <v>1</v>
          </cell>
          <cell r="I105">
            <v>10000</v>
          </cell>
          <cell r="J105">
            <v>7500</v>
          </cell>
          <cell r="K105">
            <v>5000</v>
          </cell>
        </row>
        <row r="106">
          <cell r="D106" t="str">
            <v>指定红色阵法</v>
          </cell>
          <cell r="E106">
            <v>25000</v>
          </cell>
          <cell r="F106">
            <v>2</v>
          </cell>
          <cell r="G106">
            <v>1.5</v>
          </cell>
          <cell r="H106">
            <v>1</v>
          </cell>
          <cell r="I106">
            <v>50000</v>
          </cell>
          <cell r="J106">
            <v>37500</v>
          </cell>
          <cell r="K106">
            <v>25000</v>
          </cell>
        </row>
        <row r="107">
          <cell r="F107">
            <v>1</v>
          </cell>
          <cell r="G107">
            <v>1</v>
          </cell>
          <cell r="H107">
            <v>1</v>
          </cell>
          <cell r="I107" t="str">
            <v/>
          </cell>
          <cell r="J107" t="str">
            <v/>
          </cell>
          <cell r="K107" t="str">
            <v/>
          </cell>
        </row>
        <row r="108">
          <cell r="D108" t="str">
            <v>指定紫色阵法碎片</v>
          </cell>
          <cell r="E108">
            <v>100</v>
          </cell>
          <cell r="F108">
            <v>1.5</v>
          </cell>
          <cell r="G108">
            <v>1</v>
          </cell>
          <cell r="H108">
            <v>1</v>
          </cell>
          <cell r="I108">
            <v>150</v>
          </cell>
          <cell r="J108">
            <v>100</v>
          </cell>
          <cell r="K108">
            <v>100</v>
          </cell>
        </row>
        <row r="109">
          <cell r="D109" t="str">
            <v>指定橙色阵法碎片</v>
          </cell>
          <cell r="E109">
            <v>166.66666666666666</v>
          </cell>
          <cell r="F109">
            <v>2</v>
          </cell>
          <cell r="G109">
            <v>1.5</v>
          </cell>
          <cell r="H109">
            <v>1</v>
          </cell>
          <cell r="I109">
            <v>333.33333333333331</v>
          </cell>
          <cell r="J109">
            <v>250</v>
          </cell>
          <cell r="K109">
            <v>166.66666666666666</v>
          </cell>
        </row>
        <row r="110">
          <cell r="D110" t="str">
            <v>指定红色阵法碎片</v>
          </cell>
          <cell r="E110">
            <v>500</v>
          </cell>
          <cell r="F110">
            <v>2</v>
          </cell>
          <cell r="G110">
            <v>1.5</v>
          </cell>
          <cell r="H110">
            <v>1</v>
          </cell>
          <cell r="I110">
            <v>1000</v>
          </cell>
          <cell r="J110">
            <v>750</v>
          </cell>
          <cell r="K110">
            <v>500</v>
          </cell>
        </row>
        <row r="111">
          <cell r="F111">
            <v>1</v>
          </cell>
          <cell r="G111">
            <v>1</v>
          </cell>
          <cell r="H111">
            <v>1</v>
          </cell>
          <cell r="I111" t="str">
            <v/>
          </cell>
          <cell r="J111" t="str">
            <v/>
          </cell>
          <cell r="K111" t="str">
            <v/>
          </cell>
        </row>
        <row r="112">
          <cell r="D112" t="str">
            <v>阵意</v>
          </cell>
          <cell r="E112">
            <v>100</v>
          </cell>
          <cell r="F112">
            <v>1</v>
          </cell>
          <cell r="G112">
            <v>1</v>
          </cell>
          <cell r="H112">
            <v>1</v>
          </cell>
          <cell r="I112">
            <v>100</v>
          </cell>
          <cell r="J112">
            <v>100</v>
          </cell>
          <cell r="K112">
            <v>100</v>
          </cell>
        </row>
        <row r="113">
          <cell r="D113" t="str">
            <v>阵法心得</v>
          </cell>
          <cell r="E113">
            <v>100</v>
          </cell>
          <cell r="F113">
            <v>1</v>
          </cell>
          <cell r="G113">
            <v>1</v>
          </cell>
          <cell r="H113">
            <v>1</v>
          </cell>
          <cell r="I113">
            <v>100</v>
          </cell>
          <cell r="J113">
            <v>100</v>
          </cell>
          <cell r="K113">
            <v>100</v>
          </cell>
        </row>
        <row r="114">
          <cell r="D114" t="str">
            <v>1级阵旗</v>
          </cell>
          <cell r="E114">
            <v>11</v>
          </cell>
          <cell r="F114">
            <v>1</v>
          </cell>
          <cell r="G114">
            <v>1</v>
          </cell>
          <cell r="H114">
            <v>1</v>
          </cell>
          <cell r="I114">
            <v>11</v>
          </cell>
          <cell r="J114">
            <v>11</v>
          </cell>
          <cell r="K114">
            <v>11</v>
          </cell>
        </row>
        <row r="115">
          <cell r="D115" t="str">
            <v>2级阵旗</v>
          </cell>
          <cell r="E115">
            <v>143</v>
          </cell>
          <cell r="F115">
            <v>1</v>
          </cell>
          <cell r="G115">
            <v>1</v>
          </cell>
          <cell r="H115">
            <v>1</v>
          </cell>
          <cell r="I115">
            <v>143</v>
          </cell>
          <cell r="J115">
            <v>143</v>
          </cell>
          <cell r="K115">
            <v>143</v>
          </cell>
        </row>
        <row r="116">
          <cell r="D116" t="str">
            <v>3级阵旗</v>
          </cell>
          <cell r="E116">
            <v>935</v>
          </cell>
          <cell r="F116">
            <v>1</v>
          </cell>
          <cell r="G116">
            <v>1</v>
          </cell>
          <cell r="H116">
            <v>1</v>
          </cell>
          <cell r="I116">
            <v>935</v>
          </cell>
          <cell r="J116">
            <v>935</v>
          </cell>
          <cell r="K116">
            <v>935</v>
          </cell>
        </row>
        <row r="117">
          <cell r="D117" t="str">
            <v>4级阵旗</v>
          </cell>
          <cell r="E117">
            <v>4895</v>
          </cell>
          <cell r="F117">
            <v>1</v>
          </cell>
          <cell r="G117">
            <v>1</v>
          </cell>
          <cell r="H117">
            <v>1</v>
          </cell>
          <cell r="I117">
            <v>4895</v>
          </cell>
          <cell r="J117">
            <v>4895</v>
          </cell>
          <cell r="K117">
            <v>4895</v>
          </cell>
        </row>
        <row r="118">
          <cell r="D118" t="str">
            <v>5级阵旗</v>
          </cell>
          <cell r="E118">
            <v>22495</v>
          </cell>
          <cell r="F118">
            <v>1</v>
          </cell>
          <cell r="G118">
            <v>1</v>
          </cell>
          <cell r="H118">
            <v>1</v>
          </cell>
          <cell r="I118">
            <v>22495</v>
          </cell>
          <cell r="J118">
            <v>22495</v>
          </cell>
          <cell r="K118">
            <v>22495</v>
          </cell>
        </row>
        <row r="119">
          <cell r="D119" t="str">
            <v>6级阵旗</v>
          </cell>
          <cell r="E119">
            <v>57695</v>
          </cell>
          <cell r="F119">
            <v>1</v>
          </cell>
          <cell r="G119">
            <v>1</v>
          </cell>
          <cell r="H119">
            <v>1</v>
          </cell>
          <cell r="I119">
            <v>57695</v>
          </cell>
          <cell r="J119">
            <v>57695</v>
          </cell>
          <cell r="K119">
            <v>57695</v>
          </cell>
        </row>
        <row r="120">
          <cell r="D120" t="str">
            <v>7级阵旗</v>
          </cell>
          <cell r="E120">
            <v>114895</v>
          </cell>
          <cell r="F120">
            <v>1</v>
          </cell>
          <cell r="G120">
            <v>1</v>
          </cell>
          <cell r="H120">
            <v>1</v>
          </cell>
          <cell r="I120">
            <v>114895</v>
          </cell>
          <cell r="J120">
            <v>114895</v>
          </cell>
          <cell r="K120">
            <v>114895</v>
          </cell>
        </row>
        <row r="121">
          <cell r="D121" t="str">
            <v>8级阵旗</v>
          </cell>
          <cell r="E121">
            <v>200695</v>
          </cell>
          <cell r="F121">
            <v>1</v>
          </cell>
          <cell r="G121">
            <v>1</v>
          </cell>
          <cell r="H121">
            <v>1</v>
          </cell>
          <cell r="I121">
            <v>200695</v>
          </cell>
          <cell r="J121">
            <v>200695</v>
          </cell>
          <cell r="K121">
            <v>200695</v>
          </cell>
        </row>
        <row r="122">
          <cell r="D122" t="str">
            <v>9级阵旗</v>
          </cell>
          <cell r="E122">
            <v>321695</v>
          </cell>
          <cell r="F122">
            <v>1</v>
          </cell>
          <cell r="G122">
            <v>1</v>
          </cell>
          <cell r="H122">
            <v>1</v>
          </cell>
          <cell r="I122">
            <v>321695</v>
          </cell>
          <cell r="J122">
            <v>321695</v>
          </cell>
          <cell r="K122">
            <v>321695</v>
          </cell>
        </row>
        <row r="123">
          <cell r="I123" t="str">
            <v/>
          </cell>
          <cell r="J123" t="str">
            <v/>
          </cell>
          <cell r="K123" t="str">
            <v/>
          </cell>
        </row>
        <row r="124">
          <cell r="I124" t="str">
            <v/>
          </cell>
          <cell r="J124" t="str">
            <v/>
          </cell>
          <cell r="K124" t="str">
            <v/>
          </cell>
        </row>
        <row r="125">
          <cell r="D125" t="str">
            <v>普通随机图纸</v>
          </cell>
          <cell r="E125">
            <v>50</v>
          </cell>
          <cell r="F125">
            <v>1</v>
          </cell>
          <cell r="G125">
            <v>0.2</v>
          </cell>
          <cell r="H125">
            <v>0.2</v>
          </cell>
          <cell r="I125">
            <v>50</v>
          </cell>
          <cell r="J125">
            <v>10</v>
          </cell>
          <cell r="K125">
            <v>10</v>
          </cell>
        </row>
        <row r="126">
          <cell r="D126" t="str">
            <v>精良随机图纸</v>
          </cell>
          <cell r="E126">
            <v>190</v>
          </cell>
          <cell r="F126">
            <v>1</v>
          </cell>
          <cell r="G126">
            <v>0.2</v>
          </cell>
          <cell r="H126">
            <v>0.2</v>
          </cell>
          <cell r="I126">
            <v>190</v>
          </cell>
          <cell r="J126">
            <v>38</v>
          </cell>
          <cell r="K126">
            <v>38</v>
          </cell>
        </row>
        <row r="127">
          <cell r="D127" t="str">
            <v>优质随机图纸</v>
          </cell>
          <cell r="E127">
            <v>675</v>
          </cell>
          <cell r="F127">
            <v>1</v>
          </cell>
          <cell r="G127">
            <v>1</v>
          </cell>
          <cell r="H127">
            <v>0.18518518518518517</v>
          </cell>
          <cell r="I127">
            <v>675</v>
          </cell>
          <cell r="J127">
            <v>675</v>
          </cell>
          <cell r="K127">
            <v>125</v>
          </cell>
        </row>
        <row r="128">
          <cell r="D128" t="str">
            <v>珍稀随机图纸</v>
          </cell>
          <cell r="E128">
            <v>975</v>
          </cell>
          <cell r="F128">
            <v>1</v>
          </cell>
          <cell r="G128">
            <v>1</v>
          </cell>
          <cell r="H128">
            <v>1</v>
          </cell>
          <cell r="I128">
            <v>975</v>
          </cell>
          <cell r="J128">
            <v>975</v>
          </cell>
          <cell r="K128">
            <v>975</v>
          </cell>
        </row>
        <row r="129">
          <cell r="D129" t="str">
            <v>传世随机图纸</v>
          </cell>
          <cell r="E129">
            <v>2800</v>
          </cell>
          <cell r="F129">
            <v>1</v>
          </cell>
          <cell r="G129">
            <v>1</v>
          </cell>
          <cell r="H129">
            <v>1</v>
          </cell>
          <cell r="I129">
            <v>2800</v>
          </cell>
          <cell r="J129">
            <v>2800</v>
          </cell>
          <cell r="K129">
            <v>2800</v>
          </cell>
        </row>
        <row r="130">
          <cell r="D130" t="str">
            <v>传奇随机图纸</v>
          </cell>
          <cell r="E130">
            <v>4000</v>
          </cell>
          <cell r="F130">
            <v>1</v>
          </cell>
          <cell r="G130">
            <v>1</v>
          </cell>
          <cell r="H130">
            <v>1</v>
          </cell>
          <cell r="I130">
            <v>4000</v>
          </cell>
          <cell r="J130">
            <v>4000</v>
          </cell>
          <cell r="K130">
            <v>4000</v>
          </cell>
        </row>
        <row r="131">
          <cell r="D131" t="str">
            <v>普通装备图纸</v>
          </cell>
          <cell r="E131">
            <v>50</v>
          </cell>
          <cell r="F131">
            <v>1</v>
          </cell>
          <cell r="G131">
            <v>0.2</v>
          </cell>
          <cell r="H131">
            <v>0.2</v>
          </cell>
          <cell r="I131">
            <v>50</v>
          </cell>
          <cell r="J131">
            <v>10</v>
          </cell>
          <cell r="K131">
            <v>10</v>
          </cell>
        </row>
        <row r="132">
          <cell r="D132" t="str">
            <v>精良装备图纸</v>
          </cell>
          <cell r="E132">
            <v>310</v>
          </cell>
          <cell r="F132">
            <v>1</v>
          </cell>
          <cell r="G132">
            <v>0.2</v>
          </cell>
          <cell r="H132">
            <v>0.2</v>
          </cell>
          <cell r="I132">
            <v>310</v>
          </cell>
          <cell r="J132">
            <v>62</v>
          </cell>
          <cell r="K132">
            <v>62</v>
          </cell>
        </row>
        <row r="133">
          <cell r="D133" t="str">
            <v>优质装备图纸</v>
          </cell>
          <cell r="E133">
            <v>1525</v>
          </cell>
          <cell r="F133">
            <v>1</v>
          </cell>
          <cell r="G133">
            <v>1</v>
          </cell>
          <cell r="H133">
            <v>0.18032786885245902</v>
          </cell>
          <cell r="I133">
            <v>1525</v>
          </cell>
          <cell r="J133">
            <v>1525</v>
          </cell>
          <cell r="K133">
            <v>275</v>
          </cell>
        </row>
        <row r="134">
          <cell r="D134" t="str">
            <v>珍稀装备图纸</v>
          </cell>
          <cell r="E134">
            <v>2325</v>
          </cell>
          <cell r="F134">
            <v>1</v>
          </cell>
          <cell r="G134">
            <v>1</v>
          </cell>
          <cell r="H134">
            <v>1</v>
          </cell>
          <cell r="I134">
            <v>2325</v>
          </cell>
          <cell r="J134">
            <v>2325</v>
          </cell>
          <cell r="K134">
            <v>2325</v>
          </cell>
        </row>
        <row r="135">
          <cell r="D135" t="str">
            <v>传世装备图纸</v>
          </cell>
          <cell r="E135">
            <v>5600</v>
          </cell>
          <cell r="F135">
            <v>1</v>
          </cell>
          <cell r="G135">
            <v>1</v>
          </cell>
          <cell r="H135">
            <v>1</v>
          </cell>
          <cell r="I135">
            <v>5600</v>
          </cell>
          <cell r="J135">
            <v>5600</v>
          </cell>
          <cell r="K135">
            <v>5600</v>
          </cell>
        </row>
        <row r="136">
          <cell r="D136" t="str">
            <v>传奇装备图纸</v>
          </cell>
          <cell r="E136">
            <v>10400</v>
          </cell>
          <cell r="F136">
            <v>1</v>
          </cell>
          <cell r="G136">
            <v>1</v>
          </cell>
          <cell r="H136">
            <v>1</v>
          </cell>
          <cell r="I136">
            <v>10400</v>
          </cell>
          <cell r="J136">
            <v>10400</v>
          </cell>
          <cell r="K136">
            <v>10400</v>
          </cell>
        </row>
        <row r="137">
          <cell r="I137" t="str">
            <v/>
          </cell>
          <cell r="J137" t="str">
            <v/>
          </cell>
          <cell r="K137" t="str">
            <v/>
          </cell>
        </row>
        <row r="138">
          <cell r="D138" t="str">
            <v>残破磨石</v>
          </cell>
          <cell r="E138">
            <v>10</v>
          </cell>
          <cell r="F138">
            <v>1</v>
          </cell>
          <cell r="G138">
            <v>1</v>
          </cell>
          <cell r="H138">
            <v>1</v>
          </cell>
          <cell r="I138">
            <v>10</v>
          </cell>
          <cell r="J138">
            <v>10</v>
          </cell>
          <cell r="K138">
            <v>10</v>
          </cell>
        </row>
        <row r="139">
          <cell r="D139" t="str">
            <v>普通磨石</v>
          </cell>
          <cell r="E139">
            <v>50</v>
          </cell>
          <cell r="F139">
            <v>1</v>
          </cell>
          <cell r="G139">
            <v>1</v>
          </cell>
          <cell r="H139">
            <v>1</v>
          </cell>
          <cell r="I139">
            <v>50</v>
          </cell>
          <cell r="J139">
            <v>50</v>
          </cell>
          <cell r="K139">
            <v>50</v>
          </cell>
        </row>
        <row r="140">
          <cell r="D140" t="str">
            <v>精良磨石</v>
          </cell>
          <cell r="E140">
            <v>100</v>
          </cell>
          <cell r="F140">
            <v>1</v>
          </cell>
          <cell r="G140">
            <v>1</v>
          </cell>
          <cell r="H140">
            <v>1</v>
          </cell>
          <cell r="I140">
            <v>100</v>
          </cell>
          <cell r="J140">
            <v>100</v>
          </cell>
          <cell r="K140">
            <v>100</v>
          </cell>
        </row>
        <row r="141">
          <cell r="D141" t="str">
            <v>优质磨石</v>
          </cell>
          <cell r="E141">
            <v>200</v>
          </cell>
          <cell r="F141">
            <v>1</v>
          </cell>
          <cell r="G141">
            <v>1</v>
          </cell>
          <cell r="H141">
            <v>1</v>
          </cell>
          <cell r="I141">
            <v>200</v>
          </cell>
          <cell r="J141">
            <v>200</v>
          </cell>
          <cell r="K141">
            <v>200</v>
          </cell>
        </row>
        <row r="142">
          <cell r="D142" t="str">
            <v>传世磨石</v>
          </cell>
          <cell r="E142">
            <v>400</v>
          </cell>
          <cell r="F142">
            <v>1</v>
          </cell>
          <cell r="G142">
            <v>1</v>
          </cell>
          <cell r="H142">
            <v>1</v>
          </cell>
          <cell r="I142">
            <v>400</v>
          </cell>
          <cell r="J142">
            <v>400</v>
          </cell>
          <cell r="K142">
            <v>400</v>
          </cell>
        </row>
        <row r="143">
          <cell r="I143" t="str">
            <v/>
          </cell>
          <cell r="J143" t="str">
            <v/>
          </cell>
          <cell r="K143" t="str">
            <v/>
          </cell>
        </row>
        <row r="144">
          <cell r="D144" t="str">
            <v>普通兵装材料</v>
          </cell>
          <cell r="E144">
            <v>10</v>
          </cell>
          <cell r="F144">
            <v>1</v>
          </cell>
          <cell r="G144">
            <v>0.2</v>
          </cell>
          <cell r="H144">
            <v>0.2</v>
          </cell>
          <cell r="I144">
            <v>10</v>
          </cell>
          <cell r="J144">
            <v>2</v>
          </cell>
          <cell r="K144">
            <v>2</v>
          </cell>
        </row>
        <row r="145">
          <cell r="D145" t="str">
            <v>精良兵装材料</v>
          </cell>
          <cell r="E145">
            <v>19</v>
          </cell>
          <cell r="F145">
            <v>1</v>
          </cell>
          <cell r="G145">
            <v>0.19999999999999998</v>
          </cell>
          <cell r="H145">
            <v>0.19999999999999998</v>
          </cell>
          <cell r="I145">
            <v>19</v>
          </cell>
          <cell r="J145">
            <v>3.8</v>
          </cell>
          <cell r="K145">
            <v>3.8</v>
          </cell>
        </row>
        <row r="146">
          <cell r="D146" t="str">
            <v>优质兵装材料</v>
          </cell>
          <cell r="E146">
            <v>22.5</v>
          </cell>
          <cell r="F146">
            <v>1</v>
          </cell>
          <cell r="G146">
            <v>1</v>
          </cell>
          <cell r="H146">
            <v>0.18533333333333332</v>
          </cell>
          <cell r="I146">
            <v>22.5</v>
          </cell>
          <cell r="J146">
            <v>22.5</v>
          </cell>
          <cell r="K146">
            <v>4.17</v>
          </cell>
        </row>
        <row r="147">
          <cell r="D147" t="str">
            <v>传世兵装材料</v>
          </cell>
          <cell r="E147">
            <v>56</v>
          </cell>
          <cell r="F147">
            <v>1</v>
          </cell>
          <cell r="G147">
            <v>1</v>
          </cell>
          <cell r="H147">
            <v>1</v>
          </cell>
          <cell r="I147">
            <v>56</v>
          </cell>
          <cell r="J147">
            <v>56</v>
          </cell>
          <cell r="K147">
            <v>56</v>
          </cell>
        </row>
        <row r="148">
          <cell r="I148" t="str">
            <v/>
          </cell>
          <cell r="J148" t="str">
            <v/>
          </cell>
          <cell r="K148" t="str">
            <v/>
          </cell>
        </row>
        <row r="149">
          <cell r="D149" t="str">
            <v>普通兵装</v>
          </cell>
          <cell r="E149">
            <v>100</v>
          </cell>
          <cell r="F149">
            <v>1</v>
          </cell>
          <cell r="G149">
            <v>0.2</v>
          </cell>
          <cell r="H149">
            <v>0.2</v>
          </cell>
          <cell r="I149">
            <v>100</v>
          </cell>
          <cell r="J149">
            <v>20</v>
          </cell>
          <cell r="K149">
            <v>20</v>
          </cell>
        </row>
        <row r="150">
          <cell r="D150" t="str">
            <v>精良兵装</v>
          </cell>
          <cell r="E150">
            <v>500</v>
          </cell>
          <cell r="F150">
            <v>1</v>
          </cell>
          <cell r="G150">
            <v>0.2</v>
          </cell>
          <cell r="H150">
            <v>0.2</v>
          </cell>
          <cell r="I150">
            <v>500</v>
          </cell>
          <cell r="J150">
            <v>100</v>
          </cell>
          <cell r="K150">
            <v>100</v>
          </cell>
        </row>
        <row r="151">
          <cell r="D151" t="str">
            <v>优质兵装</v>
          </cell>
          <cell r="E151">
            <v>2000</v>
          </cell>
          <cell r="F151">
            <v>1</v>
          </cell>
          <cell r="G151">
            <v>1</v>
          </cell>
          <cell r="H151">
            <v>0.2</v>
          </cell>
          <cell r="I151">
            <v>2000</v>
          </cell>
          <cell r="J151">
            <v>2000</v>
          </cell>
          <cell r="K151">
            <v>400</v>
          </cell>
        </row>
        <row r="152">
          <cell r="D152" t="str">
            <v>传奇优质兵装</v>
          </cell>
          <cell r="E152">
            <v>4000</v>
          </cell>
          <cell r="F152">
            <v>1</v>
          </cell>
          <cell r="G152">
            <v>1</v>
          </cell>
          <cell r="H152">
            <v>1</v>
          </cell>
          <cell r="I152">
            <v>4000</v>
          </cell>
          <cell r="J152">
            <v>4000</v>
          </cell>
          <cell r="K152">
            <v>4000</v>
          </cell>
        </row>
        <row r="153">
          <cell r="D153" t="str">
            <v>传世兵装</v>
          </cell>
          <cell r="E153">
            <v>6000</v>
          </cell>
          <cell r="F153">
            <v>1</v>
          </cell>
          <cell r="G153">
            <v>1</v>
          </cell>
          <cell r="H153">
            <v>1</v>
          </cell>
          <cell r="I153">
            <v>6000</v>
          </cell>
          <cell r="J153">
            <v>6000</v>
          </cell>
          <cell r="K153">
            <v>6000</v>
          </cell>
        </row>
        <row r="154">
          <cell r="D154" t="str">
            <v>传奇传世兵装</v>
          </cell>
          <cell r="E154">
            <v>30000</v>
          </cell>
          <cell r="F154">
            <v>1</v>
          </cell>
          <cell r="G154">
            <v>1</v>
          </cell>
          <cell r="H154">
            <v>1</v>
          </cell>
          <cell r="I154">
            <v>30000</v>
          </cell>
          <cell r="J154">
            <v>30000</v>
          </cell>
          <cell r="K154">
            <v>30000</v>
          </cell>
        </row>
        <row r="155">
          <cell r="D155" t="str">
            <v>优质兵装自选碎片</v>
          </cell>
          <cell r="E155">
            <v>66.666666666666671</v>
          </cell>
          <cell r="F155">
            <v>1</v>
          </cell>
          <cell r="G155">
            <v>1</v>
          </cell>
          <cell r="H155">
            <v>0.2</v>
          </cell>
          <cell r="I155">
            <v>66.666666666666671</v>
          </cell>
          <cell r="J155">
            <v>66.666666666666671</v>
          </cell>
          <cell r="K155">
            <v>13.333333333333336</v>
          </cell>
        </row>
        <row r="156">
          <cell r="D156" t="str">
            <v>珍稀兵装自选碎片</v>
          </cell>
          <cell r="E156">
            <v>133.33333333333334</v>
          </cell>
          <cell r="F156">
            <v>1</v>
          </cell>
          <cell r="G156">
            <v>1</v>
          </cell>
          <cell r="H156">
            <v>1</v>
          </cell>
          <cell r="I156">
            <v>133.33333333333334</v>
          </cell>
          <cell r="J156">
            <v>133.33333333333334</v>
          </cell>
          <cell r="K156">
            <v>133.33333333333334</v>
          </cell>
        </row>
        <row r="157">
          <cell r="D157" t="str">
            <v>传世兵装自选碎片</v>
          </cell>
          <cell r="E157">
            <v>120</v>
          </cell>
          <cell r="F157">
            <v>1</v>
          </cell>
          <cell r="G157">
            <v>1</v>
          </cell>
          <cell r="H157">
            <v>1</v>
          </cell>
          <cell r="I157">
            <v>120</v>
          </cell>
          <cell r="J157">
            <v>120</v>
          </cell>
          <cell r="K157">
            <v>120</v>
          </cell>
        </row>
        <row r="158">
          <cell r="D158" t="str">
            <v>传奇兵装自选碎片</v>
          </cell>
          <cell r="E158">
            <v>600</v>
          </cell>
          <cell r="F158">
            <v>1</v>
          </cell>
          <cell r="G158">
            <v>1</v>
          </cell>
          <cell r="H158">
            <v>1</v>
          </cell>
          <cell r="I158">
            <v>600</v>
          </cell>
          <cell r="J158">
            <v>600</v>
          </cell>
          <cell r="K158">
            <v>600</v>
          </cell>
        </row>
        <row r="159">
          <cell r="I159" t="str">
            <v/>
          </cell>
          <cell r="J159" t="str">
            <v/>
          </cell>
          <cell r="K159" t="str">
            <v/>
          </cell>
        </row>
        <row r="160">
          <cell r="D160" t="str">
            <v>随机紫色藏品</v>
          </cell>
          <cell r="E160">
            <v>300</v>
          </cell>
          <cell r="F160">
            <v>1</v>
          </cell>
          <cell r="G160">
            <v>1</v>
          </cell>
          <cell r="H160">
            <v>1</v>
          </cell>
          <cell r="I160">
            <v>300</v>
          </cell>
          <cell r="J160">
            <v>300</v>
          </cell>
          <cell r="K160">
            <v>300</v>
          </cell>
        </row>
        <row r="161">
          <cell r="D161" t="str">
            <v>随机橙色藏品</v>
          </cell>
          <cell r="E161">
            <v>1000</v>
          </cell>
          <cell r="F161">
            <v>1</v>
          </cell>
          <cell r="G161">
            <v>1</v>
          </cell>
          <cell r="H161">
            <v>1</v>
          </cell>
          <cell r="I161">
            <v>1000</v>
          </cell>
          <cell r="J161">
            <v>1000</v>
          </cell>
          <cell r="K161">
            <v>1000</v>
          </cell>
        </row>
        <row r="162">
          <cell r="D162" t="str">
            <v>随机红色藏品</v>
          </cell>
          <cell r="E162">
            <v>5000</v>
          </cell>
          <cell r="F162">
            <v>1</v>
          </cell>
          <cell r="G162">
            <v>1</v>
          </cell>
          <cell r="H162">
            <v>1</v>
          </cell>
          <cell r="I162">
            <v>5000</v>
          </cell>
          <cell r="J162">
            <v>5000</v>
          </cell>
          <cell r="K162">
            <v>5000</v>
          </cell>
        </row>
        <row r="163">
          <cell r="D163" t="str">
            <v>指定紫色藏品</v>
          </cell>
          <cell r="E163">
            <v>1331</v>
          </cell>
          <cell r="F163">
            <v>1</v>
          </cell>
          <cell r="G163">
            <v>1</v>
          </cell>
          <cell r="H163">
            <v>1</v>
          </cell>
          <cell r="I163">
            <v>1331</v>
          </cell>
          <cell r="J163">
            <v>1331</v>
          </cell>
          <cell r="K163">
            <v>1331</v>
          </cell>
        </row>
        <row r="164">
          <cell r="D164" t="str">
            <v>指定橙色藏品</v>
          </cell>
          <cell r="E164">
            <v>13971</v>
          </cell>
          <cell r="F164">
            <v>1</v>
          </cell>
          <cell r="G164">
            <v>1</v>
          </cell>
          <cell r="H164">
            <v>1</v>
          </cell>
          <cell r="I164">
            <v>13971</v>
          </cell>
          <cell r="J164">
            <v>13971</v>
          </cell>
          <cell r="K164">
            <v>13971</v>
          </cell>
        </row>
        <row r="165">
          <cell r="D165" t="str">
            <v>指定红色藏品</v>
          </cell>
          <cell r="E165">
            <v>238993</v>
          </cell>
          <cell r="F165">
            <v>1</v>
          </cell>
          <cell r="G165">
            <v>1</v>
          </cell>
          <cell r="H165">
            <v>1</v>
          </cell>
          <cell r="I165">
            <v>238993</v>
          </cell>
          <cell r="J165">
            <v>238993</v>
          </cell>
          <cell r="K165">
            <v>238993</v>
          </cell>
        </row>
        <row r="166">
          <cell r="D166" t="str">
            <v>藏品币</v>
          </cell>
          <cell r="E166">
            <v>1</v>
          </cell>
          <cell r="F166">
            <v>1</v>
          </cell>
          <cell r="G166">
            <v>1</v>
          </cell>
          <cell r="H166">
            <v>1</v>
          </cell>
          <cell r="I166">
            <v>1</v>
          </cell>
          <cell r="J166">
            <v>1</v>
          </cell>
          <cell r="K166">
            <v>1</v>
          </cell>
        </row>
        <row r="167">
          <cell r="I167" t="str">
            <v/>
          </cell>
          <cell r="J167" t="str">
            <v/>
          </cell>
          <cell r="K167" t="str">
            <v/>
          </cell>
        </row>
        <row r="168">
          <cell r="D168" t="str">
            <v>门客经验</v>
          </cell>
          <cell r="E168">
            <v>3</v>
          </cell>
          <cell r="F168">
            <v>1</v>
          </cell>
          <cell r="G168">
            <v>1</v>
          </cell>
          <cell r="H168">
            <v>1</v>
          </cell>
          <cell r="I168">
            <v>3</v>
          </cell>
          <cell r="J168">
            <v>3</v>
          </cell>
          <cell r="K168">
            <v>3</v>
          </cell>
        </row>
        <row r="169">
          <cell r="D169" t="str">
            <v>阅历-懵懂</v>
          </cell>
          <cell r="E169">
            <v>3</v>
          </cell>
          <cell r="F169">
            <v>1</v>
          </cell>
          <cell r="G169">
            <v>1</v>
          </cell>
          <cell r="H169">
            <v>1</v>
          </cell>
          <cell r="I169">
            <v>3</v>
          </cell>
          <cell r="J169">
            <v>3</v>
          </cell>
          <cell r="K169">
            <v>3</v>
          </cell>
        </row>
        <row r="170">
          <cell r="D170" t="str">
            <v>阅历-机敏</v>
          </cell>
          <cell r="E170">
            <v>30</v>
          </cell>
          <cell r="F170">
            <v>1</v>
          </cell>
          <cell r="G170">
            <v>1</v>
          </cell>
          <cell r="H170">
            <v>1</v>
          </cell>
          <cell r="I170">
            <v>30</v>
          </cell>
          <cell r="J170">
            <v>30</v>
          </cell>
          <cell r="K170">
            <v>30</v>
          </cell>
        </row>
        <row r="171">
          <cell r="D171" t="str">
            <v>阅历-入世</v>
          </cell>
          <cell r="E171">
            <v>150</v>
          </cell>
          <cell r="F171">
            <v>1</v>
          </cell>
          <cell r="G171">
            <v>1</v>
          </cell>
          <cell r="H171">
            <v>1</v>
          </cell>
          <cell r="I171">
            <v>150</v>
          </cell>
          <cell r="J171">
            <v>150</v>
          </cell>
          <cell r="K171">
            <v>150</v>
          </cell>
        </row>
        <row r="172">
          <cell r="D172" t="str">
            <v>阅历-闻达</v>
          </cell>
          <cell r="E172">
            <v>300</v>
          </cell>
          <cell r="F172">
            <v>1</v>
          </cell>
          <cell r="G172">
            <v>1</v>
          </cell>
          <cell r="H172">
            <v>1</v>
          </cell>
          <cell r="I172">
            <v>300</v>
          </cell>
          <cell r="J172">
            <v>300</v>
          </cell>
          <cell r="K172">
            <v>300</v>
          </cell>
        </row>
        <row r="173">
          <cell r="D173" t="str">
            <v>阅历-出世</v>
          </cell>
          <cell r="E173">
            <v>3000</v>
          </cell>
          <cell r="F173">
            <v>1</v>
          </cell>
          <cell r="G173">
            <v>1</v>
          </cell>
          <cell r="H173">
            <v>1</v>
          </cell>
          <cell r="I173">
            <v>3000</v>
          </cell>
          <cell r="J173">
            <v>3000</v>
          </cell>
          <cell r="K173">
            <v>3000</v>
          </cell>
        </row>
        <row r="174">
          <cell r="I174" t="str">
            <v/>
          </cell>
          <cell r="J174" t="str">
            <v/>
          </cell>
          <cell r="K174" t="str">
            <v/>
          </cell>
        </row>
        <row r="175">
          <cell r="D175" t="str">
            <v>随机橙色门客碎片</v>
          </cell>
          <cell r="E175">
            <v>266.66666666666669</v>
          </cell>
          <cell r="F175">
            <v>1</v>
          </cell>
          <cell r="G175">
            <v>1</v>
          </cell>
          <cell r="H175">
            <v>1</v>
          </cell>
          <cell r="I175">
            <v>266.66666666666669</v>
          </cell>
          <cell r="J175">
            <v>266.66666666666669</v>
          </cell>
          <cell r="K175">
            <v>266.66666666666669</v>
          </cell>
        </row>
        <row r="176">
          <cell r="D176" t="str">
            <v>随机红色门客碎片</v>
          </cell>
          <cell r="E176">
            <v>800</v>
          </cell>
          <cell r="F176">
            <v>1</v>
          </cell>
          <cell r="G176">
            <v>1</v>
          </cell>
          <cell r="H176">
            <v>1</v>
          </cell>
          <cell r="I176">
            <v>800</v>
          </cell>
          <cell r="J176">
            <v>800</v>
          </cell>
          <cell r="K176">
            <v>800</v>
          </cell>
        </row>
        <row r="177">
          <cell r="I177" t="str">
            <v/>
          </cell>
          <cell r="J177" t="str">
            <v/>
          </cell>
          <cell r="K177" t="str">
            <v/>
          </cell>
        </row>
        <row r="178">
          <cell r="D178" t="str">
            <v>育马券</v>
          </cell>
          <cell r="E178">
            <v>1</v>
          </cell>
          <cell r="F178">
            <v>1</v>
          </cell>
          <cell r="G178">
            <v>1</v>
          </cell>
          <cell r="H178">
            <v>1</v>
          </cell>
          <cell r="I178">
            <v>1</v>
          </cell>
          <cell r="J178">
            <v>1</v>
          </cell>
          <cell r="K178">
            <v>1</v>
          </cell>
        </row>
        <row r="179">
          <cell r="D179" t="str">
            <v>荣誉马徽</v>
          </cell>
          <cell r="E179">
            <v>10</v>
          </cell>
          <cell r="F179">
            <v>1</v>
          </cell>
          <cell r="G179">
            <v>1</v>
          </cell>
          <cell r="H179">
            <v>1</v>
          </cell>
          <cell r="I179">
            <v>10</v>
          </cell>
          <cell r="J179">
            <v>10</v>
          </cell>
          <cell r="K179">
            <v>10</v>
          </cell>
        </row>
        <row r="180">
          <cell r="D180" t="str">
            <v>绿色马匹</v>
          </cell>
          <cell r="E180">
            <v>50</v>
          </cell>
          <cell r="F180">
            <v>1</v>
          </cell>
          <cell r="G180">
            <v>1</v>
          </cell>
          <cell r="H180">
            <v>1</v>
          </cell>
          <cell r="I180">
            <v>50</v>
          </cell>
          <cell r="J180">
            <v>50</v>
          </cell>
          <cell r="K180">
            <v>50</v>
          </cell>
        </row>
        <row r="181">
          <cell r="D181" t="str">
            <v>蓝色马匹</v>
          </cell>
          <cell r="E181">
            <v>150</v>
          </cell>
          <cell r="F181">
            <v>1</v>
          </cell>
          <cell r="G181">
            <v>1</v>
          </cell>
          <cell r="H181">
            <v>1</v>
          </cell>
          <cell r="I181">
            <v>150</v>
          </cell>
          <cell r="J181">
            <v>150</v>
          </cell>
          <cell r="K181">
            <v>150</v>
          </cell>
        </row>
        <row r="182">
          <cell r="D182" t="str">
            <v>紫色马匹</v>
          </cell>
          <cell r="E182">
            <v>500</v>
          </cell>
          <cell r="F182">
            <v>1</v>
          </cell>
          <cell r="G182">
            <v>1</v>
          </cell>
          <cell r="H182">
            <v>1</v>
          </cell>
          <cell r="I182">
            <v>500</v>
          </cell>
          <cell r="J182">
            <v>500</v>
          </cell>
          <cell r="K182">
            <v>500</v>
          </cell>
        </row>
        <row r="183">
          <cell r="D183" t="str">
            <v>橙色马匹</v>
          </cell>
          <cell r="E183">
            <v>2000</v>
          </cell>
          <cell r="F183">
            <v>1</v>
          </cell>
          <cell r="G183">
            <v>1</v>
          </cell>
          <cell r="H183">
            <v>1</v>
          </cell>
          <cell r="I183">
            <v>2000</v>
          </cell>
          <cell r="J183">
            <v>2000</v>
          </cell>
          <cell r="K183">
            <v>2000</v>
          </cell>
        </row>
        <row r="184">
          <cell r="D184" t="str">
            <v>红色马匹</v>
          </cell>
          <cell r="E184">
            <v>8000</v>
          </cell>
          <cell r="F184">
            <v>1</v>
          </cell>
          <cell r="G184">
            <v>1</v>
          </cell>
          <cell r="H184">
            <v>1</v>
          </cell>
          <cell r="I184">
            <v>8000</v>
          </cell>
          <cell r="J184">
            <v>8000</v>
          </cell>
          <cell r="K184">
            <v>8000</v>
          </cell>
        </row>
        <row r="185">
          <cell r="D185" t="str">
            <v>紫色马匹碎片</v>
          </cell>
          <cell r="E185">
            <v>50</v>
          </cell>
          <cell r="F185">
            <v>1</v>
          </cell>
          <cell r="G185">
            <v>1</v>
          </cell>
          <cell r="H185">
            <v>1</v>
          </cell>
          <cell r="I185">
            <v>50</v>
          </cell>
          <cell r="J185">
            <v>50</v>
          </cell>
          <cell r="K185">
            <v>50</v>
          </cell>
        </row>
        <row r="186">
          <cell r="D186" t="str">
            <v>橙色马匹碎片</v>
          </cell>
          <cell r="E186">
            <v>66.666666666666671</v>
          </cell>
          <cell r="F186">
            <v>1</v>
          </cell>
          <cell r="G186">
            <v>1</v>
          </cell>
          <cell r="H186">
            <v>1</v>
          </cell>
          <cell r="I186">
            <v>66.666666666666671</v>
          </cell>
          <cell r="J186">
            <v>66.666666666666671</v>
          </cell>
          <cell r="K186">
            <v>66.666666666666671</v>
          </cell>
        </row>
        <row r="187">
          <cell r="D187" t="str">
            <v>红色马匹碎片</v>
          </cell>
          <cell r="E187">
            <v>160</v>
          </cell>
          <cell r="F187">
            <v>1</v>
          </cell>
          <cell r="G187">
            <v>1</v>
          </cell>
          <cell r="H187">
            <v>1</v>
          </cell>
          <cell r="I187">
            <v>160</v>
          </cell>
          <cell r="J187">
            <v>160</v>
          </cell>
          <cell r="K187">
            <v>160</v>
          </cell>
        </row>
        <row r="188">
          <cell r="I188" t="str">
            <v/>
          </cell>
          <cell r="J188" t="str">
            <v/>
          </cell>
          <cell r="K188" t="str">
            <v/>
          </cell>
        </row>
        <row r="189">
          <cell r="D189" t="str">
            <v>140指定天赋点</v>
          </cell>
          <cell r="E189">
            <v>4320</v>
          </cell>
          <cell r="F189">
            <v>1</v>
          </cell>
          <cell r="G189">
            <v>1</v>
          </cell>
          <cell r="H189">
            <v>1</v>
          </cell>
          <cell r="I189">
            <v>4320</v>
          </cell>
          <cell r="J189">
            <v>4320</v>
          </cell>
          <cell r="K189">
            <v>4320</v>
          </cell>
        </row>
        <row r="190">
          <cell r="I190" t="str">
            <v/>
          </cell>
          <cell r="J190" t="str">
            <v/>
          </cell>
          <cell r="K190" t="str">
            <v/>
          </cell>
        </row>
        <row r="191">
          <cell r="D191" t="str">
            <v>1级随机宝石</v>
          </cell>
          <cell r="E191">
            <v>1</v>
          </cell>
          <cell r="F191">
            <v>1</v>
          </cell>
          <cell r="G191">
            <v>1</v>
          </cell>
          <cell r="H191">
            <v>1</v>
          </cell>
          <cell r="I191">
            <v>1</v>
          </cell>
          <cell r="J191">
            <v>1</v>
          </cell>
          <cell r="K191">
            <v>1</v>
          </cell>
        </row>
        <row r="192">
          <cell r="D192" t="str">
            <v>2级随机宝石</v>
          </cell>
          <cell r="E192">
            <v>6</v>
          </cell>
          <cell r="F192">
            <v>1</v>
          </cell>
          <cell r="G192">
            <v>1</v>
          </cell>
          <cell r="H192">
            <v>1</v>
          </cell>
          <cell r="I192">
            <v>6</v>
          </cell>
          <cell r="J192">
            <v>6</v>
          </cell>
          <cell r="K192">
            <v>6</v>
          </cell>
        </row>
        <row r="193">
          <cell r="D193" t="str">
            <v>3级随机宝石</v>
          </cell>
          <cell r="E193">
            <v>27</v>
          </cell>
          <cell r="F193">
            <v>1</v>
          </cell>
          <cell r="G193">
            <v>1</v>
          </cell>
          <cell r="H193">
            <v>1</v>
          </cell>
          <cell r="I193">
            <v>27</v>
          </cell>
          <cell r="J193">
            <v>27</v>
          </cell>
          <cell r="K193">
            <v>27</v>
          </cell>
        </row>
        <row r="194">
          <cell r="D194" t="str">
            <v>4级随机宝石</v>
          </cell>
          <cell r="E194">
            <v>100</v>
          </cell>
          <cell r="F194">
            <v>1</v>
          </cell>
          <cell r="G194">
            <v>1</v>
          </cell>
          <cell r="H194">
            <v>1</v>
          </cell>
          <cell r="I194">
            <v>100</v>
          </cell>
          <cell r="J194">
            <v>100</v>
          </cell>
          <cell r="K194">
            <v>100</v>
          </cell>
        </row>
        <row r="195">
          <cell r="D195" t="str">
            <v>5级随机宝石</v>
          </cell>
          <cell r="E195">
            <v>400</v>
          </cell>
          <cell r="F195">
            <v>1</v>
          </cell>
          <cell r="G195">
            <v>1</v>
          </cell>
          <cell r="H195">
            <v>1</v>
          </cell>
          <cell r="I195">
            <v>400</v>
          </cell>
          <cell r="J195">
            <v>400</v>
          </cell>
          <cell r="K195">
            <v>400</v>
          </cell>
        </row>
        <row r="196">
          <cell r="D196" t="str">
            <v>6级随机宝石</v>
          </cell>
          <cell r="E196">
            <v>1500</v>
          </cell>
          <cell r="F196">
            <v>1</v>
          </cell>
          <cell r="G196">
            <v>1</v>
          </cell>
          <cell r="H196">
            <v>1</v>
          </cell>
          <cell r="I196">
            <v>1500</v>
          </cell>
          <cell r="J196">
            <v>1500</v>
          </cell>
          <cell r="K196">
            <v>1500</v>
          </cell>
        </row>
        <row r="197">
          <cell r="D197" t="str">
            <v>7级随机宝石</v>
          </cell>
          <cell r="E197">
            <v>5000</v>
          </cell>
          <cell r="F197">
            <v>1</v>
          </cell>
          <cell r="G197">
            <v>1</v>
          </cell>
          <cell r="H197">
            <v>1</v>
          </cell>
          <cell r="I197">
            <v>5000</v>
          </cell>
          <cell r="J197">
            <v>5000</v>
          </cell>
          <cell r="K197">
            <v>5000</v>
          </cell>
        </row>
        <row r="198">
          <cell r="D198" t="str">
            <v>8级随机宝石</v>
          </cell>
          <cell r="E198">
            <v>18000</v>
          </cell>
          <cell r="F198">
            <v>1</v>
          </cell>
          <cell r="G198">
            <v>1</v>
          </cell>
          <cell r="H198">
            <v>1</v>
          </cell>
          <cell r="I198">
            <v>18000</v>
          </cell>
          <cell r="J198">
            <v>18000</v>
          </cell>
          <cell r="K198">
            <v>18000</v>
          </cell>
        </row>
        <row r="199">
          <cell r="D199" t="str">
            <v>9级随机宝石</v>
          </cell>
          <cell r="E199">
            <v>60000</v>
          </cell>
          <cell r="F199">
            <v>1</v>
          </cell>
          <cell r="G199">
            <v>1</v>
          </cell>
          <cell r="H199">
            <v>1</v>
          </cell>
          <cell r="I199">
            <v>60000</v>
          </cell>
          <cell r="J199">
            <v>60000</v>
          </cell>
          <cell r="K199">
            <v>60000</v>
          </cell>
        </row>
        <row r="200">
          <cell r="D200" t="str">
            <v>10级随机宝石</v>
          </cell>
          <cell r="E200">
            <v>180000</v>
          </cell>
          <cell r="F200">
            <v>1</v>
          </cell>
          <cell r="G200">
            <v>1</v>
          </cell>
          <cell r="H200">
            <v>1</v>
          </cell>
          <cell r="I200">
            <v>180000</v>
          </cell>
          <cell r="J200">
            <v>180000</v>
          </cell>
          <cell r="K200">
            <v>180000</v>
          </cell>
        </row>
        <row r="201">
          <cell r="D201" t="str">
            <v>11级随机宝石</v>
          </cell>
          <cell r="E201">
            <v>540000</v>
          </cell>
          <cell r="F201">
            <v>1</v>
          </cell>
          <cell r="G201">
            <v>1</v>
          </cell>
          <cell r="H201">
            <v>1</v>
          </cell>
          <cell r="I201">
            <v>540000</v>
          </cell>
          <cell r="J201">
            <v>540000</v>
          </cell>
          <cell r="K201">
            <v>540000</v>
          </cell>
        </row>
        <row r="202">
          <cell r="D202" t="str">
            <v>12级随机宝石</v>
          </cell>
          <cell r="E202">
            <v>1620000</v>
          </cell>
          <cell r="F202">
            <v>1</v>
          </cell>
          <cell r="G202">
            <v>1</v>
          </cell>
          <cell r="H202">
            <v>1</v>
          </cell>
          <cell r="I202">
            <v>1620000</v>
          </cell>
          <cell r="J202">
            <v>1620000</v>
          </cell>
          <cell r="K202">
            <v>1620000</v>
          </cell>
        </row>
        <row r="203">
          <cell r="D203" t="str">
            <v>13级随机宝石</v>
          </cell>
          <cell r="E203">
            <v>4860000</v>
          </cell>
          <cell r="F203">
            <v>1</v>
          </cell>
          <cell r="G203">
            <v>1</v>
          </cell>
          <cell r="H203">
            <v>1</v>
          </cell>
          <cell r="I203">
            <v>4860000</v>
          </cell>
          <cell r="J203">
            <v>4860000</v>
          </cell>
          <cell r="K203">
            <v>4860000</v>
          </cell>
        </row>
        <row r="204">
          <cell r="D204" t="str">
            <v>14级随机宝石</v>
          </cell>
          <cell r="E204">
            <v>14580000</v>
          </cell>
          <cell r="F204">
            <v>1</v>
          </cell>
          <cell r="G204">
            <v>1</v>
          </cell>
          <cell r="H204">
            <v>1</v>
          </cell>
          <cell r="I204">
            <v>14580000</v>
          </cell>
          <cell r="J204">
            <v>14580000</v>
          </cell>
          <cell r="K204">
            <v>14580000</v>
          </cell>
        </row>
        <row r="205">
          <cell r="D205" t="str">
            <v>15级随机宝石</v>
          </cell>
          <cell r="E205">
            <v>43740000</v>
          </cell>
          <cell r="F205">
            <v>1</v>
          </cell>
          <cell r="G205">
            <v>1</v>
          </cell>
          <cell r="H205">
            <v>1</v>
          </cell>
          <cell r="I205">
            <v>43740000</v>
          </cell>
          <cell r="J205">
            <v>43740000</v>
          </cell>
          <cell r="K205">
            <v>43740000</v>
          </cell>
        </row>
        <row r="206">
          <cell r="I206" t="str">
            <v/>
          </cell>
          <cell r="J206" t="str">
            <v/>
          </cell>
          <cell r="K206" t="str">
            <v/>
          </cell>
        </row>
        <row r="207">
          <cell r="D207" t="str">
            <v>血石</v>
          </cell>
          <cell r="E207">
            <v>0.5</v>
          </cell>
          <cell r="F207">
            <v>1</v>
          </cell>
          <cell r="G207">
            <v>1</v>
          </cell>
          <cell r="H207">
            <v>1</v>
          </cell>
          <cell r="I207">
            <v>0.5</v>
          </cell>
          <cell r="J207">
            <v>0.5</v>
          </cell>
          <cell r="K207">
            <v>0.5</v>
          </cell>
        </row>
        <row r="208">
          <cell r="D208" t="str">
            <v>血晶</v>
          </cell>
          <cell r="E208">
            <v>10</v>
          </cell>
          <cell r="F208">
            <v>1</v>
          </cell>
          <cell r="G208">
            <v>1</v>
          </cell>
          <cell r="H208">
            <v>1</v>
          </cell>
          <cell r="I208">
            <v>10</v>
          </cell>
          <cell r="J208">
            <v>10</v>
          </cell>
          <cell r="K208">
            <v>10</v>
          </cell>
        </row>
        <row r="209">
          <cell r="I209" t="str">
            <v/>
          </cell>
          <cell r="J209" t="str">
            <v/>
          </cell>
          <cell r="K209" t="str">
            <v/>
          </cell>
        </row>
        <row r="210">
          <cell r="D210" t="str">
            <v>蓝色提纯券</v>
          </cell>
          <cell r="E210">
            <v>100</v>
          </cell>
          <cell r="F210">
            <v>1</v>
          </cell>
          <cell r="G210">
            <v>1</v>
          </cell>
          <cell r="H210">
            <v>1</v>
          </cell>
          <cell r="I210">
            <v>100</v>
          </cell>
          <cell r="J210">
            <v>100</v>
          </cell>
          <cell r="K210">
            <v>100</v>
          </cell>
        </row>
        <row r="211">
          <cell r="D211" t="str">
            <v>紫色提纯券</v>
          </cell>
          <cell r="E211">
            <v>600</v>
          </cell>
          <cell r="F211">
            <v>1</v>
          </cell>
          <cell r="G211">
            <v>1</v>
          </cell>
          <cell r="H211">
            <v>1</v>
          </cell>
          <cell r="I211">
            <v>600</v>
          </cell>
          <cell r="J211">
            <v>600</v>
          </cell>
          <cell r="K211">
            <v>600</v>
          </cell>
        </row>
        <row r="212">
          <cell r="D212" t="str">
            <v>橙色提纯券</v>
          </cell>
          <cell r="E212">
            <v>4000</v>
          </cell>
          <cell r="F212">
            <v>1</v>
          </cell>
          <cell r="G212">
            <v>1</v>
          </cell>
          <cell r="H212">
            <v>1</v>
          </cell>
          <cell r="I212">
            <v>4000</v>
          </cell>
          <cell r="J212">
            <v>4000</v>
          </cell>
          <cell r="K212">
            <v>4000</v>
          </cell>
        </row>
        <row r="213">
          <cell r="I213" t="str">
            <v/>
          </cell>
          <cell r="J213" t="str">
            <v/>
          </cell>
          <cell r="K213" t="str">
            <v/>
          </cell>
        </row>
        <row r="214">
          <cell r="D214" t="str">
            <v>星宫1分钟加速令</v>
          </cell>
          <cell r="E214">
            <v>2</v>
          </cell>
          <cell r="F214">
            <v>1</v>
          </cell>
          <cell r="G214">
            <v>1</v>
          </cell>
          <cell r="H214">
            <v>0.3</v>
          </cell>
          <cell r="I214">
            <v>2</v>
          </cell>
          <cell r="J214">
            <v>2</v>
          </cell>
          <cell r="K214">
            <v>0.6</v>
          </cell>
          <cell r="L214" t="str">
            <v>使用后星宫升阶加速1分钟</v>
          </cell>
        </row>
        <row r="215">
          <cell r="D215" t="str">
            <v>星宫5分钟加速令</v>
          </cell>
          <cell r="E215">
            <v>8</v>
          </cell>
          <cell r="F215">
            <v>1</v>
          </cell>
          <cell r="G215">
            <v>1</v>
          </cell>
          <cell r="H215">
            <v>0.4</v>
          </cell>
          <cell r="I215">
            <v>8</v>
          </cell>
          <cell r="J215">
            <v>8</v>
          </cell>
          <cell r="K215">
            <v>3.2</v>
          </cell>
          <cell r="L215" t="str">
            <v>使用后星宫升阶加速5分钟</v>
          </cell>
        </row>
        <row r="216">
          <cell r="D216" t="str">
            <v>星宫20分钟加速令</v>
          </cell>
          <cell r="E216">
            <v>20</v>
          </cell>
          <cell r="F216">
            <v>1</v>
          </cell>
          <cell r="G216">
            <v>1</v>
          </cell>
          <cell r="H216">
            <v>0.5</v>
          </cell>
          <cell r="I216">
            <v>20</v>
          </cell>
          <cell r="J216">
            <v>20</v>
          </cell>
          <cell r="K216">
            <v>10</v>
          </cell>
          <cell r="L216" t="str">
            <v>使用后星宫升阶加速20分钟</v>
          </cell>
        </row>
        <row r="217">
          <cell r="D217" t="str">
            <v>星宫1小时加速令</v>
          </cell>
          <cell r="E217">
            <v>50</v>
          </cell>
          <cell r="F217">
            <v>1.2</v>
          </cell>
          <cell r="G217">
            <v>1</v>
          </cell>
          <cell r="H217">
            <v>0.6</v>
          </cell>
          <cell r="I217">
            <v>60</v>
          </cell>
          <cell r="J217">
            <v>50</v>
          </cell>
          <cell r="K217">
            <v>30</v>
          </cell>
          <cell r="L217" t="str">
            <v>使用后星宫升阶加速1小时</v>
          </cell>
        </row>
        <row r="218">
          <cell r="D218" t="str">
            <v>星宫3小时加速令</v>
          </cell>
          <cell r="E218">
            <v>100</v>
          </cell>
          <cell r="F218">
            <v>1.8</v>
          </cell>
          <cell r="G218">
            <v>1</v>
          </cell>
          <cell r="H218">
            <v>0.8</v>
          </cell>
          <cell r="I218">
            <v>180</v>
          </cell>
          <cell r="J218">
            <v>100</v>
          </cell>
          <cell r="K218">
            <v>80</v>
          </cell>
          <cell r="L218" t="str">
            <v>使用后星宫升阶加速3小时</v>
          </cell>
        </row>
        <row r="219">
          <cell r="D219" t="str">
            <v>星宫8小时加速令</v>
          </cell>
          <cell r="E219">
            <v>160</v>
          </cell>
          <cell r="F219">
            <v>3</v>
          </cell>
          <cell r="G219">
            <v>1</v>
          </cell>
          <cell r="H219">
            <v>1</v>
          </cell>
          <cell r="I219">
            <v>480</v>
          </cell>
          <cell r="J219">
            <v>160</v>
          </cell>
          <cell r="K219">
            <v>160</v>
          </cell>
          <cell r="L219" t="str">
            <v>使用后星宫升阶加速8小时</v>
          </cell>
        </row>
        <row r="220">
          <cell r="I220" t="str">
            <v/>
          </cell>
          <cell r="J220" t="str">
            <v/>
          </cell>
          <cell r="K220" t="str">
            <v/>
          </cell>
        </row>
        <row r="221">
          <cell r="C221">
            <v>21001</v>
          </cell>
          <cell r="D221" t="str">
            <v>一担粮食</v>
          </cell>
          <cell r="E221">
            <v>6</v>
          </cell>
          <cell r="F221">
            <v>1</v>
          </cell>
          <cell r="G221">
            <v>1</v>
          </cell>
          <cell r="H221">
            <v>0.3</v>
          </cell>
          <cell r="I221">
            <v>6</v>
          </cell>
          <cell r="J221">
            <v>6</v>
          </cell>
          <cell r="K221">
            <v>1.7999999999999998</v>
          </cell>
          <cell r="L221" t="str">
            <v>使用后获得10000安全粮食</v>
          </cell>
        </row>
        <row r="222">
          <cell r="C222">
            <v>21002</v>
          </cell>
          <cell r="D222" t="str">
            <v>一堆粮食</v>
          </cell>
          <cell r="E222">
            <v>20</v>
          </cell>
          <cell r="F222">
            <v>1</v>
          </cell>
          <cell r="G222">
            <v>1</v>
          </cell>
          <cell r="H222">
            <v>0.3</v>
          </cell>
          <cell r="I222">
            <v>20</v>
          </cell>
          <cell r="J222">
            <v>20</v>
          </cell>
          <cell r="K222">
            <v>6</v>
          </cell>
          <cell r="L222" t="str">
            <v>使用后获得50000安全粮食</v>
          </cell>
        </row>
        <row r="223">
          <cell r="C223">
            <v>21003</v>
          </cell>
          <cell r="D223" t="str">
            <v>一箱粮食</v>
          </cell>
          <cell r="E223">
            <v>45</v>
          </cell>
          <cell r="F223">
            <v>1.333</v>
          </cell>
          <cell r="G223">
            <v>1</v>
          </cell>
          <cell r="H223">
            <v>0.3</v>
          </cell>
          <cell r="I223">
            <v>59.984999999999999</v>
          </cell>
          <cell r="J223">
            <v>45</v>
          </cell>
          <cell r="K223">
            <v>13.5</v>
          </cell>
          <cell r="L223" t="str">
            <v>使用后获得150000安全粮食</v>
          </cell>
        </row>
        <row r="224">
          <cell r="C224">
            <v>21004</v>
          </cell>
          <cell r="D224" t="str">
            <v>一车粮食</v>
          </cell>
          <cell r="E224">
            <v>100</v>
          </cell>
          <cell r="F224">
            <v>2</v>
          </cell>
          <cell r="G224">
            <v>1</v>
          </cell>
          <cell r="H224">
            <v>0.3</v>
          </cell>
          <cell r="I224">
            <v>200</v>
          </cell>
          <cell r="J224">
            <v>100</v>
          </cell>
          <cell r="K224">
            <v>30</v>
          </cell>
          <cell r="L224" t="str">
            <v>使用后获得500000安全粮食</v>
          </cell>
        </row>
        <row r="225">
          <cell r="C225">
            <v>21005</v>
          </cell>
          <cell r="D225" t="str">
            <v>一担木材</v>
          </cell>
          <cell r="E225">
            <v>6</v>
          </cell>
          <cell r="F225">
            <v>1</v>
          </cell>
          <cell r="G225">
            <v>1</v>
          </cell>
          <cell r="H225">
            <v>0.3</v>
          </cell>
          <cell r="I225">
            <v>6</v>
          </cell>
          <cell r="J225">
            <v>6</v>
          </cell>
          <cell r="K225">
            <v>1.7999999999999998</v>
          </cell>
          <cell r="L225" t="str">
            <v>使用后获得10000安全木材</v>
          </cell>
        </row>
        <row r="226">
          <cell r="C226">
            <v>21006</v>
          </cell>
          <cell r="D226" t="str">
            <v>一堆木材</v>
          </cell>
          <cell r="E226">
            <v>20</v>
          </cell>
          <cell r="F226">
            <v>1</v>
          </cell>
          <cell r="G226">
            <v>1</v>
          </cell>
          <cell r="H226">
            <v>0.3</v>
          </cell>
          <cell r="I226">
            <v>20</v>
          </cell>
          <cell r="J226">
            <v>20</v>
          </cell>
          <cell r="K226">
            <v>6</v>
          </cell>
          <cell r="L226" t="str">
            <v>使用后获得50000安全木材</v>
          </cell>
        </row>
        <row r="227">
          <cell r="C227">
            <v>21007</v>
          </cell>
          <cell r="D227" t="str">
            <v>一箱木材</v>
          </cell>
          <cell r="E227">
            <v>45</v>
          </cell>
          <cell r="F227">
            <v>1.333</v>
          </cell>
          <cell r="G227">
            <v>1</v>
          </cell>
          <cell r="H227">
            <v>0.3</v>
          </cell>
          <cell r="I227">
            <v>59.984999999999999</v>
          </cell>
          <cell r="J227">
            <v>45</v>
          </cell>
          <cell r="K227">
            <v>13.5</v>
          </cell>
          <cell r="L227" t="str">
            <v>使用后获得150000安全木材</v>
          </cell>
        </row>
        <row r="228">
          <cell r="C228">
            <v>21008</v>
          </cell>
          <cell r="D228" t="str">
            <v>一车木材</v>
          </cell>
          <cell r="E228">
            <v>100</v>
          </cell>
          <cell r="F228">
            <v>2</v>
          </cell>
          <cell r="G228">
            <v>1</v>
          </cell>
          <cell r="H228">
            <v>0.3</v>
          </cell>
          <cell r="I228">
            <v>200</v>
          </cell>
          <cell r="J228">
            <v>100</v>
          </cell>
          <cell r="K228">
            <v>30</v>
          </cell>
          <cell r="L228" t="str">
            <v>使用后获得500000安全木材</v>
          </cell>
        </row>
        <row r="229">
          <cell r="C229">
            <v>21009</v>
          </cell>
          <cell r="D229" t="str">
            <v>一担石料</v>
          </cell>
          <cell r="E229">
            <v>6</v>
          </cell>
          <cell r="F229">
            <v>1</v>
          </cell>
          <cell r="G229">
            <v>1</v>
          </cell>
          <cell r="H229">
            <v>0.3</v>
          </cell>
          <cell r="I229">
            <v>6</v>
          </cell>
          <cell r="J229">
            <v>6</v>
          </cell>
          <cell r="K229">
            <v>1.7999999999999998</v>
          </cell>
          <cell r="L229" t="str">
            <v>使用后获得10000安全石料</v>
          </cell>
        </row>
        <row r="230">
          <cell r="C230">
            <v>21010</v>
          </cell>
          <cell r="D230" t="str">
            <v>一堆石料</v>
          </cell>
          <cell r="E230">
            <v>20</v>
          </cell>
          <cell r="F230">
            <v>1</v>
          </cell>
          <cell r="G230">
            <v>1</v>
          </cell>
          <cell r="H230">
            <v>0.3</v>
          </cell>
          <cell r="I230">
            <v>20</v>
          </cell>
          <cell r="J230">
            <v>20</v>
          </cell>
          <cell r="K230">
            <v>6</v>
          </cell>
          <cell r="L230" t="str">
            <v>使用后获得50000安全石料</v>
          </cell>
        </row>
        <row r="231">
          <cell r="C231">
            <v>21011</v>
          </cell>
          <cell r="D231" t="str">
            <v>一箱石料</v>
          </cell>
          <cell r="E231">
            <v>45</v>
          </cell>
          <cell r="F231">
            <v>1.333</v>
          </cell>
          <cell r="G231">
            <v>1</v>
          </cell>
          <cell r="H231">
            <v>0.3</v>
          </cell>
          <cell r="I231">
            <v>59.984999999999999</v>
          </cell>
          <cell r="J231">
            <v>45</v>
          </cell>
          <cell r="K231">
            <v>13.5</v>
          </cell>
          <cell r="L231" t="str">
            <v>使用后获得150000安全石料</v>
          </cell>
        </row>
        <row r="232">
          <cell r="C232">
            <v>21012</v>
          </cell>
          <cell r="D232" t="str">
            <v>一车石料</v>
          </cell>
          <cell r="E232">
            <v>100</v>
          </cell>
          <cell r="F232">
            <v>2</v>
          </cell>
          <cell r="G232">
            <v>1</v>
          </cell>
          <cell r="H232">
            <v>0.3</v>
          </cell>
          <cell r="I232">
            <v>200</v>
          </cell>
          <cell r="J232">
            <v>100</v>
          </cell>
          <cell r="K232">
            <v>30</v>
          </cell>
          <cell r="L232" t="str">
            <v>使用后获得500000安全石料</v>
          </cell>
        </row>
        <row r="233">
          <cell r="C233">
            <v>21013</v>
          </cell>
          <cell r="D233" t="str">
            <v>一担铁矿</v>
          </cell>
          <cell r="E233">
            <v>12</v>
          </cell>
          <cell r="F233">
            <v>1</v>
          </cell>
          <cell r="G233">
            <v>1</v>
          </cell>
          <cell r="H233">
            <v>0.3</v>
          </cell>
          <cell r="I233">
            <v>12</v>
          </cell>
          <cell r="J233">
            <v>12</v>
          </cell>
          <cell r="K233">
            <v>3.5999999999999996</v>
          </cell>
          <cell r="L233" t="str">
            <v>使用后获得10000安全铁矿</v>
          </cell>
        </row>
        <row r="234">
          <cell r="C234">
            <v>21014</v>
          </cell>
          <cell r="D234" t="str">
            <v>一堆铁矿</v>
          </cell>
          <cell r="E234">
            <v>40</v>
          </cell>
          <cell r="F234">
            <v>1</v>
          </cell>
          <cell r="G234">
            <v>1</v>
          </cell>
          <cell r="H234">
            <v>0.3</v>
          </cell>
          <cell r="I234">
            <v>40</v>
          </cell>
          <cell r="J234">
            <v>40</v>
          </cell>
          <cell r="K234">
            <v>12</v>
          </cell>
          <cell r="L234" t="str">
            <v>使用后获得50000安全铁矿</v>
          </cell>
        </row>
        <row r="235">
          <cell r="C235">
            <v>21015</v>
          </cell>
          <cell r="D235" t="str">
            <v>一箱铁矿</v>
          </cell>
          <cell r="E235">
            <v>90</v>
          </cell>
          <cell r="F235">
            <v>1.333</v>
          </cell>
          <cell r="G235">
            <v>1</v>
          </cell>
          <cell r="H235">
            <v>0.3</v>
          </cell>
          <cell r="I235">
            <v>119.97</v>
          </cell>
          <cell r="J235">
            <v>90</v>
          </cell>
          <cell r="K235">
            <v>27</v>
          </cell>
          <cell r="L235" t="str">
            <v>使用后获得150000安全铁矿</v>
          </cell>
        </row>
        <row r="236">
          <cell r="C236">
            <v>21016</v>
          </cell>
          <cell r="D236" t="str">
            <v>一车铁矿</v>
          </cell>
          <cell r="E236">
            <v>200</v>
          </cell>
          <cell r="F236">
            <v>2</v>
          </cell>
          <cell r="G236">
            <v>1</v>
          </cell>
          <cell r="H236">
            <v>0.3</v>
          </cell>
          <cell r="I236">
            <v>400</v>
          </cell>
          <cell r="J236">
            <v>200</v>
          </cell>
          <cell r="K236">
            <v>60</v>
          </cell>
          <cell r="L236" t="str">
            <v>使用后获得500000安全铁矿</v>
          </cell>
        </row>
        <row r="237">
          <cell r="C237">
            <v>21017</v>
          </cell>
          <cell r="D237" t="str">
            <v>一担铜矿</v>
          </cell>
          <cell r="E237">
            <v>6</v>
          </cell>
          <cell r="F237">
            <v>1</v>
          </cell>
          <cell r="G237">
            <v>1</v>
          </cell>
          <cell r="H237">
            <v>0.3</v>
          </cell>
          <cell r="I237">
            <v>6</v>
          </cell>
          <cell r="J237">
            <v>6</v>
          </cell>
          <cell r="K237">
            <v>1.7999999999999998</v>
          </cell>
          <cell r="L237" t="str">
            <v>使用后获得10000安全铜矿</v>
          </cell>
        </row>
        <row r="238">
          <cell r="C238">
            <v>21018</v>
          </cell>
          <cell r="D238" t="str">
            <v>一堆铜矿</v>
          </cell>
          <cell r="E238">
            <v>20</v>
          </cell>
          <cell r="F238">
            <v>1</v>
          </cell>
          <cell r="G238">
            <v>1</v>
          </cell>
          <cell r="H238">
            <v>0.3</v>
          </cell>
          <cell r="I238">
            <v>20</v>
          </cell>
          <cell r="J238">
            <v>20</v>
          </cell>
          <cell r="K238">
            <v>6</v>
          </cell>
          <cell r="L238" t="str">
            <v>使用后获得50000安全铜矿</v>
          </cell>
        </row>
        <row r="239">
          <cell r="C239">
            <v>21019</v>
          </cell>
          <cell r="D239" t="str">
            <v>一箱铜矿</v>
          </cell>
          <cell r="E239">
            <v>45</v>
          </cell>
          <cell r="F239">
            <v>1.333</v>
          </cell>
          <cell r="G239">
            <v>1</v>
          </cell>
          <cell r="H239">
            <v>0.3</v>
          </cell>
          <cell r="I239">
            <v>59.984999999999999</v>
          </cell>
          <cell r="J239">
            <v>45</v>
          </cell>
          <cell r="K239">
            <v>13.5</v>
          </cell>
          <cell r="L239" t="str">
            <v>使用后获得150000安全铜矿</v>
          </cell>
        </row>
        <row r="240">
          <cell r="C240">
            <v>21020</v>
          </cell>
          <cell r="D240" t="str">
            <v>一车铜矿</v>
          </cell>
          <cell r="E240">
            <v>100</v>
          </cell>
          <cell r="F240">
            <v>2</v>
          </cell>
          <cell r="G240">
            <v>1</v>
          </cell>
          <cell r="H240">
            <v>0.3</v>
          </cell>
          <cell r="I240">
            <v>200</v>
          </cell>
          <cell r="J240">
            <v>100</v>
          </cell>
          <cell r="K240">
            <v>30</v>
          </cell>
          <cell r="L240" t="str">
            <v>使用后获得500000安全铜矿</v>
          </cell>
        </row>
        <row r="241">
          <cell r="C241">
            <v>21021</v>
          </cell>
          <cell r="D241" t="str">
            <v>一吊刀币</v>
          </cell>
          <cell r="E241">
            <v>50</v>
          </cell>
          <cell r="F241">
            <v>1</v>
          </cell>
          <cell r="G241">
            <v>1</v>
          </cell>
          <cell r="H241">
            <v>0.5</v>
          </cell>
          <cell r="I241">
            <v>50</v>
          </cell>
          <cell r="J241">
            <v>50</v>
          </cell>
          <cell r="K241">
            <v>25</v>
          </cell>
          <cell r="L241" t="str">
            <v>使用后获得10000刀币</v>
          </cell>
        </row>
        <row r="242">
          <cell r="C242">
            <v>21022</v>
          </cell>
          <cell r="D242" t="str">
            <v>一贯刀币</v>
          </cell>
          <cell r="E242">
            <v>150</v>
          </cell>
          <cell r="F242">
            <v>1</v>
          </cell>
          <cell r="G242">
            <v>1</v>
          </cell>
          <cell r="H242">
            <v>0.5</v>
          </cell>
          <cell r="I242">
            <v>150</v>
          </cell>
          <cell r="J242">
            <v>150</v>
          </cell>
          <cell r="K242">
            <v>75</v>
          </cell>
          <cell r="L242" t="str">
            <v>使用后获得50000刀币</v>
          </cell>
        </row>
        <row r="243">
          <cell r="C243">
            <v>21023</v>
          </cell>
          <cell r="D243" t="str">
            <v>一袋刀币</v>
          </cell>
          <cell r="E243">
            <v>300</v>
          </cell>
          <cell r="F243">
            <v>1.5</v>
          </cell>
          <cell r="G243">
            <v>1</v>
          </cell>
          <cell r="H243">
            <v>0.5</v>
          </cell>
          <cell r="I243">
            <v>450</v>
          </cell>
          <cell r="J243">
            <v>300</v>
          </cell>
          <cell r="K243">
            <v>150</v>
          </cell>
          <cell r="L243" t="str">
            <v>使用后获得150000刀币</v>
          </cell>
        </row>
        <row r="244">
          <cell r="C244" t="str">
            <v/>
          </cell>
          <cell r="D244" t="str">
            <v>一箱刀币</v>
          </cell>
          <cell r="E244">
            <v>800</v>
          </cell>
          <cell r="F244">
            <v>1.875</v>
          </cell>
          <cell r="G244">
            <v>1</v>
          </cell>
          <cell r="H244">
            <v>0.5</v>
          </cell>
          <cell r="I244">
            <v>1500</v>
          </cell>
          <cell r="J244">
            <v>800</v>
          </cell>
          <cell r="K244">
            <v>400</v>
          </cell>
          <cell r="L244" t="str">
            <v>使用后获得500000刀币</v>
          </cell>
        </row>
        <row r="245">
          <cell r="C245">
            <v>21024</v>
          </cell>
          <cell r="D245" t="str">
            <v>普通资源自选宝箱</v>
          </cell>
          <cell r="E245">
            <v>6</v>
          </cell>
          <cell r="F245">
            <v>1</v>
          </cell>
          <cell r="G245">
            <v>1</v>
          </cell>
          <cell r="H245">
            <v>0.3</v>
          </cell>
          <cell r="I245">
            <v>6</v>
          </cell>
          <cell r="J245">
            <v>6</v>
          </cell>
          <cell r="K245">
            <v>1.7999999999999998</v>
          </cell>
          <cell r="L245" t="str">
            <v>使用后可选择获得10000资源(可选择资源类型：粮食、木材、石料和铜矿)</v>
          </cell>
        </row>
        <row r="246">
          <cell r="C246">
            <v>21025</v>
          </cell>
          <cell r="D246" t="str">
            <v>初级资源自选宝箱</v>
          </cell>
          <cell r="E246">
            <v>20</v>
          </cell>
          <cell r="F246">
            <v>1</v>
          </cell>
          <cell r="G246">
            <v>1</v>
          </cell>
          <cell r="H246">
            <v>0.3</v>
          </cell>
          <cell r="I246">
            <v>20</v>
          </cell>
          <cell r="J246">
            <v>20</v>
          </cell>
          <cell r="K246">
            <v>6</v>
          </cell>
          <cell r="L246" t="str">
            <v>使用后可选择获得50000资源(可选择资源类型：粮食、木材、石料和铜矿)</v>
          </cell>
        </row>
        <row r="247">
          <cell r="C247">
            <v>21026</v>
          </cell>
          <cell r="D247" t="str">
            <v>中级资源自选宝箱</v>
          </cell>
          <cell r="E247">
            <v>45</v>
          </cell>
          <cell r="F247">
            <v>1.333</v>
          </cell>
          <cell r="G247">
            <v>1</v>
          </cell>
          <cell r="H247">
            <v>0.3</v>
          </cell>
          <cell r="I247">
            <v>59.984999999999999</v>
          </cell>
          <cell r="J247">
            <v>45</v>
          </cell>
          <cell r="K247">
            <v>13.5</v>
          </cell>
          <cell r="L247" t="str">
            <v>使用后可选择获得150000资源(可选择资源类型：粮食、木材、石料和铜矿)</v>
          </cell>
        </row>
        <row r="248">
          <cell r="C248">
            <v>21027</v>
          </cell>
          <cell r="D248" t="str">
            <v>高级资源自选宝箱</v>
          </cell>
          <cell r="E248">
            <v>100</v>
          </cell>
          <cell r="F248">
            <v>2</v>
          </cell>
          <cell r="G248">
            <v>1</v>
          </cell>
          <cell r="H248">
            <v>0.3</v>
          </cell>
          <cell r="I248">
            <v>200</v>
          </cell>
          <cell r="J248">
            <v>100</v>
          </cell>
          <cell r="K248">
            <v>30</v>
          </cell>
          <cell r="L248" t="str">
            <v>使用后可选择获得500000资源(可选择资源类型：粮食、木材、石料和铜矿)</v>
          </cell>
        </row>
        <row r="249">
          <cell r="C249">
            <v>21031</v>
          </cell>
          <cell r="D249" t="str">
            <v>普通资源宝箱</v>
          </cell>
          <cell r="E249">
            <v>30</v>
          </cell>
          <cell r="F249">
            <v>1</v>
          </cell>
          <cell r="G249">
            <v>1</v>
          </cell>
          <cell r="H249">
            <v>0.3</v>
          </cell>
          <cell r="I249">
            <v>30</v>
          </cell>
          <cell r="J249">
            <v>30</v>
          </cell>
          <cell r="K249">
            <v>9</v>
          </cell>
          <cell r="L249" t="str">
            <v>使用后直接获得10000粮食、木材、石料和铜矿</v>
          </cell>
        </row>
        <row r="250">
          <cell r="C250">
            <v>21032</v>
          </cell>
          <cell r="D250" t="str">
            <v>初级资源宝箱</v>
          </cell>
          <cell r="E250">
            <v>80</v>
          </cell>
          <cell r="F250">
            <v>1</v>
          </cell>
          <cell r="G250">
            <v>1</v>
          </cell>
          <cell r="H250">
            <v>0.3</v>
          </cell>
          <cell r="I250">
            <v>80</v>
          </cell>
          <cell r="J250">
            <v>80</v>
          </cell>
          <cell r="K250">
            <v>24</v>
          </cell>
          <cell r="L250" t="str">
            <v>使用后直接获得50000粮食、木材、石料和铜矿</v>
          </cell>
        </row>
        <row r="251">
          <cell r="C251">
            <v>21033</v>
          </cell>
          <cell r="D251" t="str">
            <v>中级资源宝箱</v>
          </cell>
          <cell r="E251">
            <v>180</v>
          </cell>
          <cell r="F251">
            <v>1.333</v>
          </cell>
          <cell r="G251">
            <v>1</v>
          </cell>
          <cell r="H251">
            <v>0.3</v>
          </cell>
          <cell r="I251">
            <v>239.94</v>
          </cell>
          <cell r="J251">
            <v>180</v>
          </cell>
          <cell r="K251">
            <v>54</v>
          </cell>
          <cell r="L251" t="str">
            <v>使用后直接获得150000粮食、木材、石料和铜矿</v>
          </cell>
        </row>
        <row r="252">
          <cell r="C252">
            <v>21034</v>
          </cell>
          <cell r="D252" t="str">
            <v>高级资源宝箱</v>
          </cell>
          <cell r="E252">
            <v>400</v>
          </cell>
          <cell r="F252">
            <v>2</v>
          </cell>
          <cell r="G252">
            <v>1</v>
          </cell>
          <cell r="H252">
            <v>0.3</v>
          </cell>
          <cell r="I252">
            <v>800</v>
          </cell>
          <cell r="J252">
            <v>400</v>
          </cell>
          <cell r="K252">
            <v>120</v>
          </cell>
          <cell r="L252" t="str">
            <v>使用后直接获得500000粮食、木材、石料和铜矿</v>
          </cell>
        </row>
        <row r="253">
          <cell r="C253" t="str">
            <v/>
          </cell>
          <cell r="D253" t="str">
            <v/>
          </cell>
          <cell r="E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</row>
        <row r="254">
          <cell r="C254">
            <v>21061</v>
          </cell>
          <cell r="D254" t="str">
            <v>初级经验书</v>
          </cell>
          <cell r="E254">
            <v>2</v>
          </cell>
          <cell r="F254">
            <v>1</v>
          </cell>
          <cell r="G254">
            <v>1</v>
          </cell>
          <cell r="H254">
            <v>1</v>
          </cell>
          <cell r="I254">
            <v>2</v>
          </cell>
          <cell r="J254">
            <v>2</v>
          </cell>
          <cell r="K254">
            <v>2</v>
          </cell>
          <cell r="L254" t="str">
            <v>武将使用后获得200经验</v>
          </cell>
        </row>
        <row r="255">
          <cell r="C255">
            <v>21062</v>
          </cell>
          <cell r="D255" t="str">
            <v>中级经验书</v>
          </cell>
          <cell r="E255">
            <v>5</v>
          </cell>
          <cell r="F255">
            <v>1</v>
          </cell>
          <cell r="G255">
            <v>1</v>
          </cell>
          <cell r="H255">
            <v>1</v>
          </cell>
          <cell r="I255">
            <v>5</v>
          </cell>
          <cell r="J255">
            <v>5</v>
          </cell>
          <cell r="K255">
            <v>5</v>
          </cell>
          <cell r="L255" t="str">
            <v>武将使用后获得1000经验</v>
          </cell>
        </row>
        <row r="256">
          <cell r="C256">
            <v>21063</v>
          </cell>
          <cell r="D256" t="str">
            <v>高级经验书</v>
          </cell>
          <cell r="E256">
            <v>10</v>
          </cell>
          <cell r="F256">
            <v>1</v>
          </cell>
          <cell r="G256">
            <v>1</v>
          </cell>
          <cell r="H256">
            <v>1</v>
          </cell>
          <cell r="I256">
            <v>10</v>
          </cell>
          <cell r="J256">
            <v>10</v>
          </cell>
          <cell r="K256">
            <v>10</v>
          </cell>
          <cell r="L256" t="str">
            <v>武将使用后获得5000经验</v>
          </cell>
        </row>
        <row r="257">
          <cell r="C257">
            <v>21064</v>
          </cell>
          <cell r="D257" t="str">
            <v>特级经验书</v>
          </cell>
          <cell r="E257">
            <v>20</v>
          </cell>
          <cell r="F257">
            <v>2</v>
          </cell>
          <cell r="G257">
            <v>1</v>
          </cell>
          <cell r="H257">
            <v>1</v>
          </cell>
          <cell r="I257">
            <v>40</v>
          </cell>
          <cell r="J257">
            <v>20</v>
          </cell>
          <cell r="K257">
            <v>20</v>
          </cell>
          <cell r="L257" t="str">
            <v>武将使用后获得20000经验</v>
          </cell>
        </row>
        <row r="258">
          <cell r="C258">
            <v>21065</v>
          </cell>
          <cell r="D258" t="str">
            <v>超级经验书</v>
          </cell>
          <cell r="E258">
            <v>40</v>
          </cell>
          <cell r="F258">
            <v>5</v>
          </cell>
          <cell r="G258">
            <v>1</v>
          </cell>
          <cell r="H258">
            <v>1</v>
          </cell>
          <cell r="I258">
            <v>200</v>
          </cell>
          <cell r="J258">
            <v>40</v>
          </cell>
          <cell r="K258">
            <v>40</v>
          </cell>
          <cell r="L258" t="str">
            <v>武将使用后获得100000经验</v>
          </cell>
        </row>
        <row r="259">
          <cell r="C259" t="str">
            <v/>
          </cell>
          <cell r="D259" t="str">
            <v/>
          </cell>
          <cell r="E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</row>
        <row r="260">
          <cell r="C260">
            <v>21073</v>
          </cell>
          <cell r="D260" t="str">
            <v>1个行军令</v>
          </cell>
          <cell r="E260">
            <v>75</v>
          </cell>
          <cell r="F260">
            <v>1</v>
          </cell>
          <cell r="G260">
            <v>1</v>
          </cell>
          <cell r="H260">
            <v>1</v>
          </cell>
          <cell r="I260">
            <v>75</v>
          </cell>
          <cell r="J260">
            <v>75</v>
          </cell>
          <cell r="K260">
            <v>75</v>
          </cell>
          <cell r="L260" t="str">
            <v>使用后获得1个行军令</v>
          </cell>
        </row>
        <row r="261">
          <cell r="C261">
            <v>21074</v>
          </cell>
          <cell r="D261" t="str">
            <v>大捆行军令</v>
          </cell>
          <cell r="E261">
            <v>225</v>
          </cell>
          <cell r="F261">
            <v>1</v>
          </cell>
          <cell r="G261">
            <v>1</v>
          </cell>
          <cell r="H261">
            <v>1</v>
          </cell>
          <cell r="I261">
            <v>225</v>
          </cell>
          <cell r="J261">
            <v>225</v>
          </cell>
          <cell r="K261">
            <v>225</v>
          </cell>
          <cell r="L261" t="str">
            <v>使用后获得3个行军令</v>
          </cell>
        </row>
        <row r="262">
          <cell r="C262" t="str">
            <v/>
          </cell>
          <cell r="D262" t="str">
            <v/>
          </cell>
          <cell r="E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</row>
        <row r="263">
          <cell r="C263">
            <v>21081</v>
          </cell>
          <cell r="D263" t="str">
            <v>木材增产令</v>
          </cell>
          <cell r="E263">
            <v>35</v>
          </cell>
          <cell r="F263">
            <v>1</v>
          </cell>
          <cell r="G263">
            <v>1</v>
          </cell>
          <cell r="H263">
            <v>1</v>
          </cell>
          <cell r="I263">
            <v>35</v>
          </cell>
          <cell r="J263">
            <v>35</v>
          </cell>
          <cell r="K263">
            <v>35</v>
          </cell>
          <cell r="L263" t="str">
            <v>使用后伐木场产量提高50%，持续12小时</v>
          </cell>
        </row>
        <row r="264">
          <cell r="C264">
            <v>21082</v>
          </cell>
          <cell r="D264" t="str">
            <v>铁矿增产令</v>
          </cell>
          <cell r="E264">
            <v>50</v>
          </cell>
          <cell r="F264">
            <v>1</v>
          </cell>
          <cell r="G264">
            <v>1</v>
          </cell>
          <cell r="H264">
            <v>1</v>
          </cell>
          <cell r="I264">
            <v>50</v>
          </cell>
          <cell r="J264">
            <v>50</v>
          </cell>
          <cell r="K264">
            <v>50</v>
          </cell>
          <cell r="L264" t="str">
            <v>使用后冶炼厂产量提高50%，持续12小时</v>
          </cell>
        </row>
        <row r="265">
          <cell r="C265">
            <v>21083</v>
          </cell>
          <cell r="D265" t="str">
            <v>石料增产令</v>
          </cell>
          <cell r="E265">
            <v>35</v>
          </cell>
          <cell r="F265">
            <v>1</v>
          </cell>
          <cell r="G265">
            <v>1</v>
          </cell>
          <cell r="H265">
            <v>1</v>
          </cell>
          <cell r="I265">
            <v>35</v>
          </cell>
          <cell r="J265">
            <v>35</v>
          </cell>
          <cell r="K265">
            <v>35</v>
          </cell>
          <cell r="L265" t="str">
            <v>使用后采石场产量提高50%，持续12小时</v>
          </cell>
        </row>
        <row r="266">
          <cell r="C266">
            <v>21084</v>
          </cell>
          <cell r="D266" t="str">
            <v>粮食增产令</v>
          </cell>
          <cell r="E266">
            <v>35</v>
          </cell>
          <cell r="F266">
            <v>1</v>
          </cell>
          <cell r="G266">
            <v>1</v>
          </cell>
          <cell r="H266">
            <v>1</v>
          </cell>
          <cell r="I266">
            <v>35</v>
          </cell>
          <cell r="J266">
            <v>35</v>
          </cell>
          <cell r="K266">
            <v>35</v>
          </cell>
          <cell r="L266" t="str">
            <v>使用后农田产量提高50%，持续12小时</v>
          </cell>
        </row>
        <row r="267">
          <cell r="C267">
            <v>21085</v>
          </cell>
          <cell r="D267" t="str">
            <v>赋税增收令</v>
          </cell>
          <cell r="E267">
            <v>85</v>
          </cell>
          <cell r="F267">
            <v>1</v>
          </cell>
          <cell r="G267">
            <v>1</v>
          </cell>
          <cell r="H267">
            <v>1</v>
          </cell>
          <cell r="I267">
            <v>85</v>
          </cell>
          <cell r="J267">
            <v>85</v>
          </cell>
          <cell r="K267">
            <v>85</v>
          </cell>
          <cell r="L267" t="str">
            <v>使用后民居税收提高25%，持续12小时</v>
          </cell>
        </row>
        <row r="268">
          <cell r="C268">
            <v>21086</v>
          </cell>
          <cell r="D268" t="str">
            <v>铜矿增产令</v>
          </cell>
          <cell r="E268">
            <v>35</v>
          </cell>
          <cell r="F268">
            <v>1</v>
          </cell>
          <cell r="G268">
            <v>1</v>
          </cell>
          <cell r="H268">
            <v>1</v>
          </cell>
          <cell r="I268">
            <v>35</v>
          </cell>
          <cell r="J268">
            <v>35</v>
          </cell>
          <cell r="K268">
            <v>35</v>
          </cell>
          <cell r="L268" t="str">
            <v>使用后铜矿产量提高50%，持续12小时</v>
          </cell>
        </row>
        <row r="269">
          <cell r="C269" t="str">
            <v/>
          </cell>
          <cell r="D269" t="str">
            <v/>
          </cell>
          <cell r="E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</row>
        <row r="270">
          <cell r="C270">
            <v>21100</v>
          </cell>
          <cell r="D270" t="str">
            <v>免战牌</v>
          </cell>
          <cell r="E270">
            <v>100</v>
          </cell>
          <cell r="F270">
            <v>1</v>
          </cell>
          <cell r="G270">
            <v>1</v>
          </cell>
          <cell r="H270">
            <v>1</v>
          </cell>
          <cell r="I270">
            <v>100</v>
          </cell>
          <cell r="J270">
            <v>100</v>
          </cell>
          <cell r="K270">
            <v>100</v>
          </cell>
          <cell r="L270" t="str">
            <v>使用后城池不会遭受来自玩家的攻击，主动进攻玩家后失效，持续8小时</v>
          </cell>
        </row>
        <row r="271">
          <cell r="C271">
            <v>21101</v>
          </cell>
          <cell r="D271" t="str">
            <v>普通点将牌</v>
          </cell>
          <cell r="E271">
            <v>65</v>
          </cell>
          <cell r="F271">
            <v>1</v>
          </cell>
          <cell r="G271">
            <v>1</v>
          </cell>
          <cell r="H271">
            <v>1</v>
          </cell>
          <cell r="I271">
            <v>65</v>
          </cell>
          <cell r="J271">
            <v>65</v>
          </cell>
          <cell r="K271">
            <v>65</v>
          </cell>
          <cell r="L271" t="str">
            <v>点将台普通招募时消耗的令牌</v>
          </cell>
        </row>
        <row r="272">
          <cell r="C272">
            <v>21102</v>
          </cell>
          <cell r="D272" t="str">
            <v>高级点将牌</v>
          </cell>
          <cell r="E272">
            <v>240</v>
          </cell>
          <cell r="F272">
            <v>1</v>
          </cell>
          <cell r="G272">
            <v>1</v>
          </cell>
          <cell r="H272">
            <v>1</v>
          </cell>
          <cell r="I272">
            <v>240</v>
          </cell>
          <cell r="J272">
            <v>240</v>
          </cell>
          <cell r="K272">
            <v>240</v>
          </cell>
          <cell r="L272" t="str">
            <v>点将台高级招募时消耗的令牌</v>
          </cell>
        </row>
        <row r="273">
          <cell r="C273" t="str">
            <v/>
          </cell>
          <cell r="D273" t="str">
            <v>行军丸（旧版)</v>
          </cell>
          <cell r="E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>使用后每次可增加部队100%的行军速度</v>
          </cell>
        </row>
        <row r="274">
          <cell r="C274">
            <v>21104</v>
          </cell>
          <cell r="D274" t="str">
            <v>撤军令</v>
          </cell>
          <cell r="E274">
            <v>60</v>
          </cell>
          <cell r="F274">
            <v>1</v>
          </cell>
          <cell r="G274">
            <v>1</v>
          </cell>
          <cell r="H274">
            <v>1</v>
          </cell>
          <cell r="I274">
            <v>60</v>
          </cell>
          <cell r="J274">
            <v>60</v>
          </cell>
          <cell r="K274">
            <v>60</v>
          </cell>
          <cell r="L274" t="str">
            <v>使用后使一支出征队伍立即撤军回城</v>
          </cell>
        </row>
        <row r="275">
          <cell r="C275" t="str">
            <v/>
          </cell>
          <cell r="D275" t="str">
            <v/>
          </cell>
          <cell r="E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</row>
        <row r="276">
          <cell r="C276">
            <v>21110</v>
          </cell>
          <cell r="D276" t="str">
            <v>城建1分钟加速令</v>
          </cell>
          <cell r="E276">
            <v>2</v>
          </cell>
          <cell r="F276">
            <v>1</v>
          </cell>
          <cell r="G276">
            <v>1</v>
          </cell>
          <cell r="H276">
            <v>0.3</v>
          </cell>
          <cell r="I276">
            <v>2</v>
          </cell>
          <cell r="J276">
            <v>2</v>
          </cell>
          <cell r="K276">
            <v>0.6</v>
          </cell>
          <cell r="L276" t="str">
            <v>使用后城池建设加速1分钟</v>
          </cell>
        </row>
        <row r="277">
          <cell r="C277">
            <v>21111</v>
          </cell>
          <cell r="D277" t="str">
            <v>城建5分钟加速令</v>
          </cell>
          <cell r="E277">
            <v>8</v>
          </cell>
          <cell r="F277">
            <v>1</v>
          </cell>
          <cell r="G277">
            <v>1</v>
          </cell>
          <cell r="H277">
            <v>0.4</v>
          </cell>
          <cell r="I277">
            <v>8</v>
          </cell>
          <cell r="J277">
            <v>8</v>
          </cell>
          <cell r="K277">
            <v>3.2</v>
          </cell>
          <cell r="L277" t="str">
            <v>使用后城池建设加速5分钟</v>
          </cell>
        </row>
        <row r="278">
          <cell r="C278">
            <v>21112</v>
          </cell>
          <cell r="D278" t="str">
            <v>城建20分钟加速令</v>
          </cell>
          <cell r="E278">
            <v>20</v>
          </cell>
          <cell r="F278">
            <v>1</v>
          </cell>
          <cell r="G278">
            <v>1</v>
          </cell>
          <cell r="H278">
            <v>0.5</v>
          </cell>
          <cell r="I278">
            <v>20</v>
          </cell>
          <cell r="J278">
            <v>20</v>
          </cell>
          <cell r="K278">
            <v>10</v>
          </cell>
          <cell r="L278" t="str">
            <v>使用后城池建设加速20分钟</v>
          </cell>
        </row>
        <row r="279">
          <cell r="C279">
            <v>21113</v>
          </cell>
          <cell r="D279" t="str">
            <v>城建1小时加速令</v>
          </cell>
          <cell r="E279">
            <v>50</v>
          </cell>
          <cell r="F279">
            <v>1.2</v>
          </cell>
          <cell r="G279">
            <v>1</v>
          </cell>
          <cell r="H279">
            <v>0.6</v>
          </cell>
          <cell r="I279">
            <v>60</v>
          </cell>
          <cell r="J279">
            <v>50</v>
          </cell>
          <cell r="K279">
            <v>30</v>
          </cell>
          <cell r="L279" t="str">
            <v>使用后城池建设加速1小时</v>
          </cell>
        </row>
        <row r="280">
          <cell r="C280">
            <v>21114</v>
          </cell>
          <cell r="D280" t="str">
            <v>城建3小时加速令</v>
          </cell>
          <cell r="E280">
            <v>100</v>
          </cell>
          <cell r="F280">
            <v>1.8</v>
          </cell>
          <cell r="G280">
            <v>1</v>
          </cell>
          <cell r="H280">
            <v>0.8</v>
          </cell>
          <cell r="I280">
            <v>180</v>
          </cell>
          <cell r="J280">
            <v>100</v>
          </cell>
          <cell r="K280">
            <v>80</v>
          </cell>
          <cell r="L280" t="str">
            <v>使用后城池建设加速3小时</v>
          </cell>
        </row>
        <row r="281">
          <cell r="C281">
            <v>21135</v>
          </cell>
          <cell r="D281" t="str">
            <v>城建8小时加速令</v>
          </cell>
          <cell r="E281">
            <v>160</v>
          </cell>
          <cell r="F281">
            <v>3</v>
          </cell>
          <cell r="G281">
            <v>1</v>
          </cell>
          <cell r="H281">
            <v>1</v>
          </cell>
          <cell r="I281">
            <v>480</v>
          </cell>
          <cell r="J281">
            <v>160</v>
          </cell>
          <cell r="K281">
            <v>160</v>
          </cell>
          <cell r="L281" t="str">
            <v>使用后城池建设加速8小时</v>
          </cell>
        </row>
        <row r="282">
          <cell r="C282" t="str">
            <v/>
          </cell>
          <cell r="D282" t="str">
            <v/>
          </cell>
          <cell r="E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</row>
        <row r="283">
          <cell r="C283">
            <v>21115</v>
          </cell>
          <cell r="D283" t="str">
            <v>招募1分钟加速令</v>
          </cell>
          <cell r="E283">
            <v>2</v>
          </cell>
          <cell r="F283">
            <v>1</v>
          </cell>
          <cell r="G283">
            <v>1</v>
          </cell>
          <cell r="H283">
            <v>0.3</v>
          </cell>
          <cell r="I283">
            <v>2</v>
          </cell>
          <cell r="J283">
            <v>2</v>
          </cell>
          <cell r="K283">
            <v>0.6</v>
          </cell>
          <cell r="L283" t="str">
            <v>使用后士兵招募加速1分钟</v>
          </cell>
        </row>
        <row r="284">
          <cell r="C284">
            <v>21116</v>
          </cell>
          <cell r="D284" t="str">
            <v>招募5分钟加速令</v>
          </cell>
          <cell r="E284">
            <v>8</v>
          </cell>
          <cell r="F284">
            <v>1</v>
          </cell>
          <cell r="G284">
            <v>1</v>
          </cell>
          <cell r="H284">
            <v>0.4</v>
          </cell>
          <cell r="I284">
            <v>8</v>
          </cell>
          <cell r="J284">
            <v>8</v>
          </cell>
          <cell r="K284">
            <v>3.2</v>
          </cell>
          <cell r="L284" t="str">
            <v>使用后士兵招募加速5分钟</v>
          </cell>
        </row>
        <row r="285">
          <cell r="C285">
            <v>21117</v>
          </cell>
          <cell r="D285" t="str">
            <v>招募20分钟加速令</v>
          </cell>
          <cell r="E285">
            <v>20</v>
          </cell>
          <cell r="F285">
            <v>1</v>
          </cell>
          <cell r="G285">
            <v>1</v>
          </cell>
          <cell r="H285">
            <v>0.5</v>
          </cell>
          <cell r="I285">
            <v>20</v>
          </cell>
          <cell r="J285">
            <v>20</v>
          </cell>
          <cell r="K285">
            <v>10</v>
          </cell>
          <cell r="L285" t="str">
            <v>使用后士兵招募加速20分钟</v>
          </cell>
        </row>
        <row r="286">
          <cell r="C286">
            <v>21118</v>
          </cell>
          <cell r="D286" t="str">
            <v>招募1小时加速令</v>
          </cell>
          <cell r="E286">
            <v>50</v>
          </cell>
          <cell r="F286">
            <v>1.2</v>
          </cell>
          <cell r="G286">
            <v>1</v>
          </cell>
          <cell r="H286">
            <v>0.6</v>
          </cell>
          <cell r="I286">
            <v>60</v>
          </cell>
          <cell r="J286">
            <v>50</v>
          </cell>
          <cell r="K286">
            <v>30</v>
          </cell>
          <cell r="L286" t="str">
            <v>使用后士兵招募加速1小时</v>
          </cell>
        </row>
        <row r="287">
          <cell r="C287">
            <v>21119</v>
          </cell>
          <cell r="D287" t="str">
            <v>招募3小时加速令</v>
          </cell>
          <cell r="E287">
            <v>100</v>
          </cell>
          <cell r="F287">
            <v>1.8</v>
          </cell>
          <cell r="G287">
            <v>1</v>
          </cell>
          <cell r="H287">
            <v>0.8</v>
          </cell>
          <cell r="I287">
            <v>180</v>
          </cell>
          <cell r="J287">
            <v>100</v>
          </cell>
          <cell r="K287">
            <v>80</v>
          </cell>
          <cell r="L287" t="str">
            <v>使用后士兵招募加速3小时</v>
          </cell>
        </row>
        <row r="288">
          <cell r="C288">
            <v>21136</v>
          </cell>
          <cell r="D288" t="str">
            <v>招募8小时加速令</v>
          </cell>
          <cell r="E288">
            <v>160</v>
          </cell>
          <cell r="F288">
            <v>3</v>
          </cell>
          <cell r="G288">
            <v>1</v>
          </cell>
          <cell r="H288">
            <v>1</v>
          </cell>
          <cell r="I288">
            <v>480</v>
          </cell>
          <cell r="J288">
            <v>160</v>
          </cell>
          <cell r="K288">
            <v>160</v>
          </cell>
          <cell r="L288" t="str">
            <v>使用后士兵招募加速8小时</v>
          </cell>
        </row>
        <row r="289">
          <cell r="C289" t="str">
            <v/>
          </cell>
          <cell r="D289" t="str">
            <v/>
          </cell>
          <cell r="E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</row>
        <row r="290">
          <cell r="C290">
            <v>21120</v>
          </cell>
          <cell r="D290" t="str">
            <v>治疗1分钟加速令</v>
          </cell>
          <cell r="E290">
            <v>2</v>
          </cell>
          <cell r="F290">
            <v>1</v>
          </cell>
          <cell r="G290">
            <v>1</v>
          </cell>
          <cell r="H290">
            <v>0.3</v>
          </cell>
          <cell r="I290">
            <v>2</v>
          </cell>
          <cell r="J290">
            <v>2</v>
          </cell>
          <cell r="K290">
            <v>0.6</v>
          </cell>
          <cell r="L290" t="str">
            <v>使用后士兵治疗加速1分钟</v>
          </cell>
        </row>
        <row r="291">
          <cell r="C291">
            <v>21121</v>
          </cell>
          <cell r="D291" t="str">
            <v>治疗5分钟加速令</v>
          </cell>
          <cell r="E291">
            <v>8</v>
          </cell>
          <cell r="F291">
            <v>1</v>
          </cell>
          <cell r="G291">
            <v>1</v>
          </cell>
          <cell r="H291">
            <v>0.4</v>
          </cell>
          <cell r="I291">
            <v>8</v>
          </cell>
          <cell r="J291">
            <v>8</v>
          </cell>
          <cell r="K291">
            <v>3.2</v>
          </cell>
          <cell r="L291" t="str">
            <v>使用后士兵治疗加速5分钟</v>
          </cell>
        </row>
        <row r="292">
          <cell r="C292">
            <v>21122</v>
          </cell>
          <cell r="D292" t="str">
            <v>治疗20分钟加速令</v>
          </cell>
          <cell r="E292">
            <v>20</v>
          </cell>
          <cell r="F292">
            <v>1</v>
          </cell>
          <cell r="G292">
            <v>1</v>
          </cell>
          <cell r="H292">
            <v>0.5</v>
          </cell>
          <cell r="I292">
            <v>20</v>
          </cell>
          <cell r="J292">
            <v>20</v>
          </cell>
          <cell r="K292">
            <v>10</v>
          </cell>
          <cell r="L292" t="str">
            <v>使用后士兵治疗加速20分钟</v>
          </cell>
        </row>
        <row r="293">
          <cell r="C293">
            <v>21123</v>
          </cell>
          <cell r="D293" t="str">
            <v>治疗1小时加速令</v>
          </cell>
          <cell r="E293">
            <v>50</v>
          </cell>
          <cell r="F293">
            <v>1.2</v>
          </cell>
          <cell r="G293">
            <v>1</v>
          </cell>
          <cell r="H293">
            <v>0.6</v>
          </cell>
          <cell r="I293">
            <v>60</v>
          </cell>
          <cell r="J293">
            <v>50</v>
          </cell>
          <cell r="K293">
            <v>30</v>
          </cell>
          <cell r="L293" t="str">
            <v>使用后士兵治疗加速1小时</v>
          </cell>
        </row>
        <row r="294">
          <cell r="C294">
            <v>21124</v>
          </cell>
          <cell r="D294" t="str">
            <v>治疗3小时加速令</v>
          </cell>
          <cell r="E294">
            <v>100</v>
          </cell>
          <cell r="F294">
            <v>1.8</v>
          </cell>
          <cell r="G294">
            <v>1</v>
          </cell>
          <cell r="H294">
            <v>0.8</v>
          </cell>
          <cell r="I294">
            <v>180</v>
          </cell>
          <cell r="J294">
            <v>100</v>
          </cell>
          <cell r="K294">
            <v>80</v>
          </cell>
          <cell r="L294" t="str">
            <v>使用后士兵治疗加速3小时</v>
          </cell>
        </row>
        <row r="295">
          <cell r="C295">
            <v>21137</v>
          </cell>
          <cell r="D295" t="str">
            <v>治疗8小时加速令</v>
          </cell>
          <cell r="E295">
            <v>160</v>
          </cell>
          <cell r="F295">
            <v>3</v>
          </cell>
          <cell r="G295">
            <v>1</v>
          </cell>
          <cell r="H295">
            <v>1</v>
          </cell>
          <cell r="I295">
            <v>480</v>
          </cell>
          <cell r="J295">
            <v>160</v>
          </cell>
          <cell r="K295">
            <v>160</v>
          </cell>
          <cell r="L295" t="str">
            <v>使用后士兵治疗加速8小时</v>
          </cell>
        </row>
        <row r="296">
          <cell r="C296" t="str">
            <v/>
          </cell>
          <cell r="D296" t="str">
            <v/>
          </cell>
          <cell r="E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</row>
        <row r="297">
          <cell r="C297">
            <v>21130</v>
          </cell>
          <cell r="D297" t="str">
            <v>训练1分钟加速令</v>
          </cell>
          <cell r="E297">
            <v>2</v>
          </cell>
          <cell r="F297">
            <v>1</v>
          </cell>
          <cell r="G297">
            <v>1</v>
          </cell>
          <cell r="H297">
            <v>0.3</v>
          </cell>
          <cell r="I297">
            <v>2</v>
          </cell>
          <cell r="J297">
            <v>2</v>
          </cell>
          <cell r="K297">
            <v>0.6</v>
          </cell>
          <cell r="L297" t="str">
            <v>使用后士兵训练加速1分钟</v>
          </cell>
        </row>
        <row r="298">
          <cell r="C298">
            <v>21131</v>
          </cell>
          <cell r="D298" t="str">
            <v>训练5分钟加速令</v>
          </cell>
          <cell r="E298">
            <v>8</v>
          </cell>
          <cell r="F298">
            <v>1</v>
          </cell>
          <cell r="G298">
            <v>1</v>
          </cell>
          <cell r="H298">
            <v>0.4</v>
          </cell>
          <cell r="I298">
            <v>8</v>
          </cell>
          <cell r="J298">
            <v>8</v>
          </cell>
          <cell r="K298">
            <v>3.2</v>
          </cell>
          <cell r="L298" t="str">
            <v>使用后士兵训练加速5分钟</v>
          </cell>
        </row>
        <row r="299">
          <cell r="C299">
            <v>21132</v>
          </cell>
          <cell r="D299" t="str">
            <v>训练20分钟加速令</v>
          </cell>
          <cell r="E299">
            <v>20</v>
          </cell>
          <cell r="F299">
            <v>1</v>
          </cell>
          <cell r="G299">
            <v>1</v>
          </cell>
          <cell r="H299">
            <v>0.5</v>
          </cell>
          <cell r="I299">
            <v>20</v>
          </cell>
          <cell r="J299">
            <v>20</v>
          </cell>
          <cell r="K299">
            <v>10</v>
          </cell>
          <cell r="L299" t="str">
            <v>使用后士兵训练加速20分钟</v>
          </cell>
        </row>
        <row r="300">
          <cell r="C300">
            <v>21133</v>
          </cell>
          <cell r="D300" t="str">
            <v>训练1小时加速令</v>
          </cell>
          <cell r="E300">
            <v>50</v>
          </cell>
          <cell r="F300">
            <v>1.2</v>
          </cell>
          <cell r="G300">
            <v>1</v>
          </cell>
          <cell r="H300">
            <v>0.6</v>
          </cell>
          <cell r="I300">
            <v>60</v>
          </cell>
          <cell r="J300">
            <v>50</v>
          </cell>
          <cell r="K300">
            <v>30</v>
          </cell>
          <cell r="L300" t="str">
            <v>使用后士兵训练加速1小时</v>
          </cell>
        </row>
        <row r="301">
          <cell r="C301">
            <v>21134</v>
          </cell>
          <cell r="D301" t="str">
            <v>训练3小时加速令</v>
          </cell>
          <cell r="E301">
            <v>100</v>
          </cell>
          <cell r="F301">
            <v>1.8</v>
          </cell>
          <cell r="G301">
            <v>1</v>
          </cell>
          <cell r="H301">
            <v>0.8</v>
          </cell>
          <cell r="I301">
            <v>180</v>
          </cell>
          <cell r="J301">
            <v>100</v>
          </cell>
          <cell r="K301">
            <v>80</v>
          </cell>
          <cell r="L301" t="str">
            <v>使用后士兵训练加速3小时</v>
          </cell>
        </row>
        <row r="302">
          <cell r="C302">
            <v>21139</v>
          </cell>
          <cell r="D302" t="str">
            <v>训练8小时加速令</v>
          </cell>
          <cell r="E302">
            <v>160</v>
          </cell>
          <cell r="F302">
            <v>3</v>
          </cell>
          <cell r="G302">
            <v>1</v>
          </cell>
          <cell r="H302">
            <v>1</v>
          </cell>
          <cell r="I302">
            <v>480</v>
          </cell>
          <cell r="J302">
            <v>160</v>
          </cell>
          <cell r="K302">
            <v>160</v>
          </cell>
          <cell r="L302" t="str">
            <v>使用后士兵训练加速8小时</v>
          </cell>
        </row>
        <row r="303">
          <cell r="C303" t="str">
            <v/>
          </cell>
          <cell r="D303" t="str">
            <v/>
          </cell>
          <cell r="E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</row>
        <row r="304">
          <cell r="C304">
            <v>21140</v>
          </cell>
          <cell r="D304" t="str">
            <v>圣人1分钟加速令</v>
          </cell>
          <cell r="E304">
            <v>2</v>
          </cell>
          <cell r="F304">
            <v>1</v>
          </cell>
          <cell r="G304">
            <v>1</v>
          </cell>
          <cell r="H304">
            <v>0.3</v>
          </cell>
          <cell r="I304">
            <v>2</v>
          </cell>
          <cell r="J304">
            <v>2</v>
          </cell>
          <cell r="K304">
            <v>0.6</v>
          </cell>
          <cell r="L304" t="str">
            <v>使用后士兵训练加速1分钟</v>
          </cell>
        </row>
        <row r="305">
          <cell r="C305">
            <v>21141</v>
          </cell>
          <cell r="D305" t="str">
            <v>圣人5分钟加速令</v>
          </cell>
          <cell r="E305">
            <v>8</v>
          </cell>
          <cell r="F305">
            <v>1</v>
          </cell>
          <cell r="G305">
            <v>1</v>
          </cell>
          <cell r="H305">
            <v>0.4</v>
          </cell>
          <cell r="I305">
            <v>8</v>
          </cell>
          <cell r="J305">
            <v>8</v>
          </cell>
          <cell r="K305">
            <v>3.2</v>
          </cell>
          <cell r="L305" t="str">
            <v>使用后士兵训练加速5分钟</v>
          </cell>
        </row>
        <row r="306">
          <cell r="C306">
            <v>21142</v>
          </cell>
          <cell r="D306" t="str">
            <v>圣人20分钟加速令</v>
          </cell>
          <cell r="E306">
            <v>20</v>
          </cell>
          <cell r="F306">
            <v>1</v>
          </cell>
          <cell r="G306">
            <v>1</v>
          </cell>
          <cell r="H306">
            <v>0.5</v>
          </cell>
          <cell r="I306">
            <v>20</v>
          </cell>
          <cell r="J306">
            <v>20</v>
          </cell>
          <cell r="K306">
            <v>10</v>
          </cell>
          <cell r="L306" t="str">
            <v>使用后士兵训练加速20分钟</v>
          </cell>
        </row>
        <row r="307">
          <cell r="C307">
            <v>21143</v>
          </cell>
          <cell r="D307" t="str">
            <v>圣人1小时加速令</v>
          </cell>
          <cell r="E307">
            <v>50</v>
          </cell>
          <cell r="F307">
            <v>1.2</v>
          </cell>
          <cell r="G307">
            <v>1</v>
          </cell>
          <cell r="H307">
            <v>0.6</v>
          </cell>
          <cell r="I307">
            <v>60</v>
          </cell>
          <cell r="J307">
            <v>50</v>
          </cell>
          <cell r="K307">
            <v>30</v>
          </cell>
          <cell r="L307" t="str">
            <v>使用后士兵训练加速1小时</v>
          </cell>
        </row>
        <row r="308">
          <cell r="C308">
            <v>21144</v>
          </cell>
          <cell r="D308" t="str">
            <v>圣人3小时加速令</v>
          </cell>
          <cell r="E308">
            <v>100</v>
          </cell>
          <cell r="F308">
            <v>1.8</v>
          </cell>
          <cell r="G308">
            <v>1</v>
          </cell>
          <cell r="H308">
            <v>0.8</v>
          </cell>
          <cell r="I308">
            <v>180</v>
          </cell>
          <cell r="J308">
            <v>100</v>
          </cell>
          <cell r="K308">
            <v>80</v>
          </cell>
          <cell r="L308" t="str">
            <v>使用后士兵训练加速3小时</v>
          </cell>
        </row>
        <row r="309">
          <cell r="C309">
            <v>21145</v>
          </cell>
          <cell r="D309" t="str">
            <v>圣人8小时加速令</v>
          </cell>
          <cell r="E309">
            <v>160</v>
          </cell>
          <cell r="F309">
            <v>3</v>
          </cell>
          <cell r="G309">
            <v>1</v>
          </cell>
          <cell r="H309">
            <v>1</v>
          </cell>
          <cell r="I309">
            <v>480</v>
          </cell>
          <cell r="J309">
            <v>160</v>
          </cell>
          <cell r="K309">
            <v>160</v>
          </cell>
          <cell r="L309" t="str">
            <v>使用后士兵训练加速8小时</v>
          </cell>
        </row>
        <row r="310">
          <cell r="C310" t="str">
            <v/>
          </cell>
          <cell r="D310" t="str">
            <v/>
          </cell>
          <cell r="E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</row>
        <row r="311">
          <cell r="C311">
            <v>21125</v>
          </cell>
          <cell r="D311" t="str">
            <v>通用1分钟加速令</v>
          </cell>
          <cell r="E311">
            <v>2</v>
          </cell>
          <cell r="F311">
            <v>1</v>
          </cell>
          <cell r="G311">
            <v>1</v>
          </cell>
          <cell r="H311">
            <v>0.3</v>
          </cell>
          <cell r="I311">
            <v>2</v>
          </cell>
          <cell r="J311">
            <v>2</v>
          </cell>
          <cell r="K311">
            <v>0.6</v>
          </cell>
          <cell r="L311" t="str">
            <v>使用后任意队列加速1分钟</v>
          </cell>
        </row>
        <row r="312">
          <cell r="C312">
            <v>21126</v>
          </cell>
          <cell r="D312" t="str">
            <v>通用5分钟加速令</v>
          </cell>
          <cell r="E312">
            <v>8</v>
          </cell>
          <cell r="F312">
            <v>1</v>
          </cell>
          <cell r="G312">
            <v>1</v>
          </cell>
          <cell r="H312">
            <v>0.4</v>
          </cell>
          <cell r="I312">
            <v>8</v>
          </cell>
          <cell r="J312">
            <v>8</v>
          </cell>
          <cell r="K312">
            <v>3.2</v>
          </cell>
          <cell r="L312" t="str">
            <v>使用后任意队列加速5分钟</v>
          </cell>
        </row>
        <row r="313">
          <cell r="C313">
            <v>21127</v>
          </cell>
          <cell r="D313" t="str">
            <v>通用20分钟加速令</v>
          </cell>
          <cell r="E313">
            <v>20</v>
          </cell>
          <cell r="F313">
            <v>1</v>
          </cell>
          <cell r="G313">
            <v>1</v>
          </cell>
          <cell r="H313">
            <v>0.5</v>
          </cell>
          <cell r="I313">
            <v>20</v>
          </cell>
          <cell r="J313">
            <v>20</v>
          </cell>
          <cell r="K313">
            <v>10</v>
          </cell>
          <cell r="L313" t="str">
            <v>使用后任意队列加速20分钟</v>
          </cell>
        </row>
        <row r="314">
          <cell r="C314">
            <v>21128</v>
          </cell>
          <cell r="D314" t="str">
            <v>通用1小时加速令</v>
          </cell>
          <cell r="E314">
            <v>50</v>
          </cell>
          <cell r="F314">
            <v>1.2</v>
          </cell>
          <cell r="G314">
            <v>1</v>
          </cell>
          <cell r="H314">
            <v>0.6</v>
          </cell>
          <cell r="I314">
            <v>60</v>
          </cell>
          <cell r="J314">
            <v>50</v>
          </cell>
          <cell r="K314">
            <v>30</v>
          </cell>
          <cell r="L314" t="str">
            <v>使用后任意队列加速1小时</v>
          </cell>
        </row>
        <row r="315">
          <cell r="C315">
            <v>21129</v>
          </cell>
          <cell r="D315" t="str">
            <v>通用3小时加速令</v>
          </cell>
          <cell r="E315">
            <v>100</v>
          </cell>
          <cell r="F315">
            <v>1.8</v>
          </cell>
          <cell r="G315">
            <v>1</v>
          </cell>
          <cell r="H315">
            <v>0.8</v>
          </cell>
          <cell r="I315">
            <v>180</v>
          </cell>
          <cell r="J315">
            <v>100</v>
          </cell>
          <cell r="K315">
            <v>80</v>
          </cell>
          <cell r="L315" t="str">
            <v>使用后任意队列加速3小时</v>
          </cell>
        </row>
        <row r="316">
          <cell r="C316">
            <v>21138</v>
          </cell>
          <cell r="D316" t="str">
            <v>通用8小时加速令</v>
          </cell>
          <cell r="E316">
            <v>160</v>
          </cell>
          <cell r="F316">
            <v>3</v>
          </cell>
          <cell r="G316">
            <v>1</v>
          </cell>
          <cell r="H316">
            <v>1</v>
          </cell>
          <cell r="I316">
            <v>480</v>
          </cell>
          <cell r="J316">
            <v>160</v>
          </cell>
          <cell r="K316">
            <v>160</v>
          </cell>
          <cell r="L316" t="str">
            <v>使用后任意队列加速8小时</v>
          </cell>
        </row>
        <row r="317">
          <cell r="C317" t="str">
            <v/>
          </cell>
          <cell r="D317" t="str">
            <v/>
          </cell>
          <cell r="E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</row>
        <row r="318">
          <cell r="C318" t="str">
            <v/>
          </cell>
          <cell r="D318" t="str">
            <v/>
          </cell>
          <cell r="E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</row>
        <row r="319">
          <cell r="C319">
            <v>21150</v>
          </cell>
          <cell r="D319" t="str">
            <v>初级装备淬炼</v>
          </cell>
          <cell r="E319">
            <v>10</v>
          </cell>
          <cell r="F319">
            <v>1</v>
          </cell>
          <cell r="G319">
            <v>1</v>
          </cell>
          <cell r="H319">
            <v>0.3</v>
          </cell>
          <cell r="I319">
            <v>10</v>
          </cell>
          <cell r="J319">
            <v>10</v>
          </cell>
          <cell r="K319">
            <v>3</v>
          </cell>
          <cell r="L319" t="str">
            <v>装备使用后获得10经验</v>
          </cell>
        </row>
        <row r="320">
          <cell r="C320">
            <v>21151</v>
          </cell>
          <cell r="D320" t="str">
            <v>中级装备淬炼</v>
          </cell>
          <cell r="E320">
            <v>20</v>
          </cell>
          <cell r="F320">
            <v>1</v>
          </cell>
          <cell r="G320">
            <v>1</v>
          </cell>
          <cell r="H320">
            <v>0.3</v>
          </cell>
          <cell r="I320">
            <v>20</v>
          </cell>
          <cell r="J320">
            <v>20</v>
          </cell>
          <cell r="K320">
            <v>6</v>
          </cell>
          <cell r="L320" t="str">
            <v>装备使用后获得20经验</v>
          </cell>
        </row>
        <row r="321">
          <cell r="C321">
            <v>21152</v>
          </cell>
          <cell r="D321" t="str">
            <v>高级装备淬炼</v>
          </cell>
          <cell r="E321">
            <v>40</v>
          </cell>
          <cell r="F321">
            <v>1</v>
          </cell>
          <cell r="G321">
            <v>1</v>
          </cell>
          <cell r="H321">
            <v>0.3</v>
          </cell>
          <cell r="I321">
            <v>40</v>
          </cell>
          <cell r="J321">
            <v>40</v>
          </cell>
          <cell r="K321">
            <v>12</v>
          </cell>
          <cell r="L321" t="str">
            <v>装备使用后获得40经验</v>
          </cell>
        </row>
        <row r="322">
          <cell r="C322">
            <v>21153</v>
          </cell>
          <cell r="D322" t="str">
            <v>特级装备淬炼</v>
          </cell>
          <cell r="E322">
            <v>75</v>
          </cell>
          <cell r="F322">
            <v>1.25</v>
          </cell>
          <cell r="G322">
            <v>1</v>
          </cell>
          <cell r="H322">
            <v>0.3</v>
          </cell>
          <cell r="I322">
            <v>93.75</v>
          </cell>
          <cell r="J322">
            <v>75</v>
          </cell>
          <cell r="K322">
            <v>22.5</v>
          </cell>
          <cell r="L322" t="str">
            <v>装备使用后获得75经验</v>
          </cell>
        </row>
        <row r="323">
          <cell r="C323">
            <v>21154</v>
          </cell>
          <cell r="D323" t="str">
            <v>超级装备淬炼</v>
          </cell>
          <cell r="E323">
            <v>150</v>
          </cell>
          <cell r="F323">
            <v>1.5</v>
          </cell>
          <cell r="G323">
            <v>1</v>
          </cell>
          <cell r="H323">
            <v>0.3</v>
          </cell>
          <cell r="I323">
            <v>225</v>
          </cell>
          <cell r="J323">
            <v>150</v>
          </cell>
          <cell r="K323">
            <v>45</v>
          </cell>
          <cell r="L323" t="str">
            <v>装备使用后获得150经验</v>
          </cell>
        </row>
        <row r="324">
          <cell r="C324" t="str">
            <v/>
          </cell>
          <cell r="D324" t="str">
            <v/>
          </cell>
          <cell r="E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</row>
        <row r="325">
          <cell r="C325">
            <v>21500</v>
          </cell>
          <cell r="D325" t="str">
            <v>随机迁城令</v>
          </cell>
          <cell r="E325">
            <v>100</v>
          </cell>
          <cell r="F325">
            <v>1</v>
          </cell>
          <cell r="G325">
            <v>1</v>
          </cell>
          <cell r="H325">
            <v>1</v>
          </cell>
          <cell r="I325">
            <v>100</v>
          </cell>
          <cell r="J325">
            <v>100</v>
          </cell>
          <cell r="K325">
            <v>100</v>
          </cell>
          <cell r="L325" t="str">
            <v>使用后城池迁移到随机位置</v>
          </cell>
        </row>
        <row r="326">
          <cell r="C326">
            <v>21501</v>
          </cell>
          <cell r="D326" t="str">
            <v>九州迁城令</v>
          </cell>
          <cell r="E326">
            <v>300</v>
          </cell>
          <cell r="F326">
            <v>1</v>
          </cell>
          <cell r="G326">
            <v>1</v>
          </cell>
          <cell r="H326">
            <v>1</v>
          </cell>
          <cell r="I326">
            <v>300</v>
          </cell>
          <cell r="J326">
            <v>300</v>
          </cell>
          <cell r="K326">
            <v>300</v>
          </cell>
          <cell r="L326" t="str">
            <v>使用后城池迁移到指定位置</v>
          </cell>
        </row>
        <row r="327">
          <cell r="C327">
            <v>21504</v>
          </cell>
          <cell r="D327" t="str">
            <v>国内迁城令</v>
          </cell>
          <cell r="E327">
            <v>100</v>
          </cell>
          <cell r="F327">
            <v>1</v>
          </cell>
          <cell r="G327">
            <v>1</v>
          </cell>
          <cell r="H327">
            <v>1</v>
          </cell>
          <cell r="I327">
            <v>100</v>
          </cell>
          <cell r="J327">
            <v>100</v>
          </cell>
          <cell r="K327">
            <v>100</v>
          </cell>
          <cell r="L327" t="str">
            <v>使用后城池迁移到国内指定位置</v>
          </cell>
        </row>
        <row r="328">
          <cell r="C328">
            <v>21502</v>
          </cell>
          <cell r="D328" t="str">
            <v>校武牌</v>
          </cell>
          <cell r="E328">
            <v>20</v>
          </cell>
          <cell r="F328">
            <v>1</v>
          </cell>
          <cell r="G328">
            <v>1</v>
          </cell>
          <cell r="H328">
            <v>1</v>
          </cell>
          <cell r="I328">
            <v>20</v>
          </cell>
          <cell r="J328">
            <v>20</v>
          </cell>
          <cell r="K328">
            <v>20</v>
          </cell>
          <cell r="L328" t="str">
            <v>使用后增加1次校场挑战机会</v>
          </cell>
        </row>
        <row r="329">
          <cell r="C329">
            <v>21503</v>
          </cell>
          <cell r="D329" t="str">
            <v>复仇令</v>
          </cell>
          <cell r="E329">
            <v>50</v>
          </cell>
          <cell r="F329">
            <v>1</v>
          </cell>
          <cell r="G329">
            <v>1</v>
          </cell>
          <cell r="H329">
            <v>1</v>
          </cell>
          <cell r="I329">
            <v>50</v>
          </cell>
          <cell r="J329">
            <v>50</v>
          </cell>
          <cell r="K329">
            <v>50</v>
          </cell>
          <cell r="L329" t="str">
            <v>被其他玩家攻击后，可以通过复仇令追查到该玩家城池所在坐标</v>
          </cell>
        </row>
        <row r="330">
          <cell r="C330" t="str">
            <v/>
          </cell>
          <cell r="D330" t="str">
            <v/>
          </cell>
          <cell r="E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</row>
        <row r="331">
          <cell r="C331">
            <v>26400</v>
          </cell>
          <cell r="D331" t="str">
            <v>步兵虎符</v>
          </cell>
          <cell r="E331">
            <v>200</v>
          </cell>
          <cell r="F331">
            <v>1</v>
          </cell>
          <cell r="G331">
            <v>1</v>
          </cell>
          <cell r="H331">
            <v>1</v>
          </cell>
          <cell r="I331">
            <v>200</v>
          </cell>
          <cell r="J331">
            <v>200</v>
          </cell>
          <cell r="K331">
            <v>200</v>
          </cell>
          <cell r="L331" t="str">
            <v>使用后立即获得10000步兵新兵</v>
          </cell>
        </row>
        <row r="332">
          <cell r="C332">
            <v>26401</v>
          </cell>
          <cell r="D332" t="str">
            <v>骑兵虎符</v>
          </cell>
          <cell r="E332">
            <v>200</v>
          </cell>
          <cell r="F332">
            <v>1</v>
          </cell>
          <cell r="G332">
            <v>1</v>
          </cell>
          <cell r="H332">
            <v>1</v>
          </cell>
          <cell r="I332">
            <v>200</v>
          </cell>
          <cell r="J332">
            <v>200</v>
          </cell>
          <cell r="K332">
            <v>200</v>
          </cell>
          <cell r="L332" t="str">
            <v>使用后立即获得10000骑兵新兵</v>
          </cell>
        </row>
        <row r="333">
          <cell r="C333">
            <v>26402</v>
          </cell>
          <cell r="D333" t="str">
            <v>弓箭虎符</v>
          </cell>
          <cell r="E333">
            <v>200</v>
          </cell>
          <cell r="F333">
            <v>1</v>
          </cell>
          <cell r="G333">
            <v>1</v>
          </cell>
          <cell r="H333">
            <v>1</v>
          </cell>
          <cell r="I333">
            <v>200</v>
          </cell>
          <cell r="J333">
            <v>200</v>
          </cell>
          <cell r="K333">
            <v>200</v>
          </cell>
          <cell r="L333" t="str">
            <v>使用后立即获得10000弓箭新兵</v>
          </cell>
        </row>
        <row r="334">
          <cell r="C334">
            <v>26403</v>
          </cell>
          <cell r="D334" t="str">
            <v>器械虎符</v>
          </cell>
          <cell r="E334">
            <v>200</v>
          </cell>
          <cell r="F334">
            <v>1</v>
          </cell>
          <cell r="G334">
            <v>1</v>
          </cell>
          <cell r="H334">
            <v>1</v>
          </cell>
          <cell r="I334">
            <v>200</v>
          </cell>
          <cell r="J334">
            <v>200</v>
          </cell>
          <cell r="K334">
            <v>200</v>
          </cell>
          <cell r="L334" t="str">
            <v>使用后立即获得10000器械兵新兵</v>
          </cell>
        </row>
        <row r="335">
          <cell r="C335" t="str">
            <v/>
          </cell>
          <cell r="D335" t="str">
            <v/>
          </cell>
          <cell r="E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</row>
        <row r="336">
          <cell r="C336">
            <v>26500</v>
          </cell>
          <cell r="D336" t="str">
            <v>兵法宝箱</v>
          </cell>
          <cell r="E336">
            <v>250</v>
          </cell>
          <cell r="F336">
            <v>1</v>
          </cell>
          <cell r="G336">
            <v>1</v>
          </cell>
          <cell r="H336">
            <v>1</v>
          </cell>
          <cell r="I336">
            <v>250</v>
          </cell>
          <cell r="J336">
            <v>250</v>
          </cell>
          <cell r="K336">
            <v>250</v>
          </cell>
          <cell r="L336" t="str">
            <v>使用后随机获得1个兵法</v>
          </cell>
        </row>
        <row r="337">
          <cell r="C337">
            <v>26501</v>
          </cell>
          <cell r="D337" t="str">
            <v>蓝色兵法宝箱</v>
          </cell>
          <cell r="E337">
            <v>50</v>
          </cell>
          <cell r="F337">
            <v>1</v>
          </cell>
          <cell r="G337">
            <v>1</v>
          </cell>
          <cell r="H337">
            <v>1</v>
          </cell>
          <cell r="I337">
            <v>50</v>
          </cell>
          <cell r="J337">
            <v>50</v>
          </cell>
          <cell r="K337">
            <v>50</v>
          </cell>
          <cell r="L337" t="str">
            <v>使用后随机获得1个蓝色品质兵法</v>
          </cell>
        </row>
        <row r="338">
          <cell r="C338">
            <v>26502</v>
          </cell>
          <cell r="D338" t="str">
            <v>紫色兵法宝箱</v>
          </cell>
          <cell r="E338">
            <v>500</v>
          </cell>
          <cell r="F338">
            <v>1</v>
          </cell>
          <cell r="G338">
            <v>1</v>
          </cell>
          <cell r="H338">
            <v>1</v>
          </cell>
          <cell r="I338">
            <v>500</v>
          </cell>
          <cell r="J338">
            <v>500</v>
          </cell>
          <cell r="K338">
            <v>500</v>
          </cell>
          <cell r="L338" t="str">
            <v>使用后随机获得1个紫色品质兵法</v>
          </cell>
        </row>
        <row r="339">
          <cell r="C339">
            <v>26503</v>
          </cell>
          <cell r="D339" t="str">
            <v>橙色兵法宝箱</v>
          </cell>
          <cell r="E339">
            <v>1680</v>
          </cell>
          <cell r="F339">
            <v>1</v>
          </cell>
          <cell r="G339">
            <v>1</v>
          </cell>
          <cell r="H339">
            <v>1</v>
          </cell>
          <cell r="I339">
            <v>1680</v>
          </cell>
          <cell r="J339">
            <v>1680</v>
          </cell>
          <cell r="K339">
            <v>1680</v>
          </cell>
          <cell r="L339" t="str">
            <v>使用后随机获得1个橙色品质兵法</v>
          </cell>
        </row>
        <row r="340">
          <cell r="C340">
            <v>26504</v>
          </cell>
          <cell r="D340" t="str">
            <v>红色兵法宝箱</v>
          </cell>
          <cell r="E340">
            <v>14100</v>
          </cell>
          <cell r="F340">
            <v>1</v>
          </cell>
          <cell r="G340">
            <v>1</v>
          </cell>
          <cell r="H340">
            <v>1</v>
          </cell>
          <cell r="I340">
            <v>14100</v>
          </cell>
          <cell r="J340">
            <v>14100</v>
          </cell>
          <cell r="K340">
            <v>14100</v>
          </cell>
          <cell r="L340" t="str">
            <v>使用后随机获得1个红色品质兵法</v>
          </cell>
        </row>
        <row r="341">
          <cell r="C341" t="str">
            <v/>
          </cell>
          <cell r="D341" t="str">
            <v>指定or任选蓝色兵法</v>
          </cell>
          <cell r="E341">
            <v>35</v>
          </cell>
          <cell r="F341">
            <v>1</v>
          </cell>
          <cell r="G341">
            <v>1</v>
          </cell>
          <cell r="H341">
            <v>1</v>
          </cell>
          <cell r="I341">
            <v>35</v>
          </cell>
          <cell r="J341">
            <v>35</v>
          </cell>
          <cell r="K341">
            <v>35</v>
          </cell>
          <cell r="L341" t="str">
            <v/>
          </cell>
        </row>
        <row r="342">
          <cell r="C342" t="str">
            <v/>
          </cell>
          <cell r="D342" t="str">
            <v>指定or任选紫色兵法</v>
          </cell>
          <cell r="E342">
            <v>750</v>
          </cell>
          <cell r="F342">
            <v>1</v>
          </cell>
          <cell r="G342">
            <v>1</v>
          </cell>
          <cell r="H342">
            <v>1</v>
          </cell>
          <cell r="I342">
            <v>750</v>
          </cell>
          <cell r="J342">
            <v>750</v>
          </cell>
          <cell r="K342">
            <v>750</v>
          </cell>
          <cell r="L342" t="str">
            <v/>
          </cell>
        </row>
        <row r="343">
          <cell r="C343" t="str">
            <v/>
          </cell>
          <cell r="D343" t="str">
            <v>指定or任选橙色兵法</v>
          </cell>
          <cell r="E343">
            <v>3350</v>
          </cell>
          <cell r="F343">
            <v>1</v>
          </cell>
          <cell r="G343">
            <v>1</v>
          </cell>
          <cell r="H343">
            <v>1</v>
          </cell>
          <cell r="I343">
            <v>3350</v>
          </cell>
          <cell r="J343">
            <v>3350</v>
          </cell>
          <cell r="K343">
            <v>3350</v>
          </cell>
          <cell r="L343" t="str">
            <v/>
          </cell>
        </row>
        <row r="344">
          <cell r="C344" t="str">
            <v/>
          </cell>
          <cell r="D344" t="str">
            <v>指定or任选红色兵法</v>
          </cell>
          <cell r="E344">
            <v>9165</v>
          </cell>
          <cell r="F344">
            <v>1</v>
          </cell>
          <cell r="G344">
            <v>1</v>
          </cell>
          <cell r="H344">
            <v>1</v>
          </cell>
          <cell r="I344">
            <v>9165</v>
          </cell>
          <cell r="J344">
            <v>9165</v>
          </cell>
          <cell r="K344">
            <v>9165</v>
          </cell>
          <cell r="L344" t="str">
            <v/>
          </cell>
        </row>
        <row r="345">
          <cell r="C345">
            <v>26505</v>
          </cell>
          <cell r="D345" t="str">
            <v>兵家信物</v>
          </cell>
          <cell r="E345">
            <v>300</v>
          </cell>
          <cell r="F345">
            <v>1</v>
          </cell>
          <cell r="G345">
            <v>1</v>
          </cell>
          <cell r="H345">
            <v>1</v>
          </cell>
          <cell r="I345">
            <v>300</v>
          </cell>
          <cell r="J345">
            <v>300</v>
          </cell>
          <cell r="K345">
            <v>300</v>
          </cell>
          <cell r="L345" t="str">
            <v>抽取兵法时消耗的道具（赠送10个5分钟通用加速）</v>
          </cell>
        </row>
        <row r="346">
          <cell r="C346" t="str">
            <v/>
          </cell>
          <cell r="D346" t="str">
            <v/>
          </cell>
          <cell r="E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</row>
        <row r="347">
          <cell r="C347" t="str">
            <v/>
          </cell>
          <cell r="D347" t="str">
            <v/>
          </cell>
          <cell r="E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</row>
        <row r="348">
          <cell r="C348">
            <v>26520</v>
          </cell>
          <cell r="D348" t="str">
            <v>紫色兵法自选宝箱</v>
          </cell>
          <cell r="E348">
            <v>750</v>
          </cell>
          <cell r="F348">
            <v>1</v>
          </cell>
          <cell r="G348">
            <v>1</v>
          </cell>
          <cell r="H348">
            <v>1</v>
          </cell>
          <cell r="I348">
            <v>750</v>
          </cell>
          <cell r="J348">
            <v>750</v>
          </cell>
          <cell r="K348">
            <v>750</v>
          </cell>
          <cell r="L348" t="str">
            <v>使用后可选择一个紫色兵法。紫色兵法：攻其不备、出奇制胜、破军夺志</v>
          </cell>
        </row>
        <row r="349">
          <cell r="C349">
            <v>26521</v>
          </cell>
          <cell r="D349" t="str">
            <v>橙色兵法自选宝箱</v>
          </cell>
          <cell r="E349">
            <v>3350</v>
          </cell>
          <cell r="F349">
            <v>1</v>
          </cell>
          <cell r="G349">
            <v>1</v>
          </cell>
          <cell r="H349">
            <v>1</v>
          </cell>
          <cell r="I349">
            <v>3350</v>
          </cell>
          <cell r="J349">
            <v>3350</v>
          </cell>
          <cell r="K349">
            <v>3350</v>
          </cell>
          <cell r="L349" t="str">
            <v>使用后可选择一个橙色兵法。橙色兵法：援军秘策、养精蓄锐、退敌千里、奇佐鬼谋</v>
          </cell>
        </row>
        <row r="350">
          <cell r="C350" t="str">
            <v/>
          </cell>
          <cell r="D350" t="str">
            <v/>
          </cell>
          <cell r="E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</row>
        <row r="351">
          <cell r="C351">
            <v>26551</v>
          </cell>
          <cell r="D351" t="str">
            <v>虎符宝箱</v>
          </cell>
          <cell r="E351">
            <v>160</v>
          </cell>
          <cell r="F351">
            <v>1</v>
          </cell>
          <cell r="G351">
            <v>1</v>
          </cell>
          <cell r="H351">
            <v>1</v>
          </cell>
          <cell r="I351">
            <v>160</v>
          </cell>
          <cell r="J351">
            <v>160</v>
          </cell>
          <cell r="K351">
            <v>160</v>
          </cell>
          <cell r="L351" t="str">
            <v>使用后随机获得1个虎符</v>
          </cell>
        </row>
        <row r="352">
          <cell r="C352">
            <v>26552</v>
          </cell>
          <cell r="D352" t="str">
            <v>1级贡品宝箱</v>
          </cell>
          <cell r="E352">
            <v>40</v>
          </cell>
          <cell r="F352">
            <v>1</v>
          </cell>
          <cell r="G352">
            <v>1</v>
          </cell>
          <cell r="H352">
            <v>1</v>
          </cell>
          <cell r="I352">
            <v>40</v>
          </cell>
          <cell r="J352">
            <v>40</v>
          </cell>
          <cell r="K352">
            <v>40</v>
          </cell>
          <cell r="L352" t="str">
            <v>使用后随机获得铜镜、陶罐中的1个贡品</v>
          </cell>
        </row>
        <row r="353">
          <cell r="C353">
            <v>26553</v>
          </cell>
          <cell r="D353" t="str">
            <v>2级贡品宝箱</v>
          </cell>
          <cell r="E353">
            <v>60</v>
          </cell>
          <cell r="F353">
            <v>1</v>
          </cell>
          <cell r="G353">
            <v>1</v>
          </cell>
          <cell r="H353">
            <v>1</v>
          </cell>
          <cell r="I353">
            <v>60</v>
          </cell>
          <cell r="J353">
            <v>60</v>
          </cell>
          <cell r="K353">
            <v>60</v>
          </cell>
          <cell r="L353" t="str">
            <v>使用后随机获得水晶杯、香鼎、铜壶中的1个贡品</v>
          </cell>
        </row>
        <row r="354">
          <cell r="C354">
            <v>26554</v>
          </cell>
          <cell r="D354" t="str">
            <v>3级贡品宝箱</v>
          </cell>
          <cell r="E354">
            <v>80</v>
          </cell>
          <cell r="F354">
            <v>1</v>
          </cell>
          <cell r="G354">
            <v>1</v>
          </cell>
          <cell r="H354">
            <v>1</v>
          </cell>
          <cell r="I354">
            <v>80</v>
          </cell>
          <cell r="J354">
            <v>80</v>
          </cell>
          <cell r="K354">
            <v>80</v>
          </cell>
          <cell r="L354" t="str">
            <v>使用后随机获得长颈壶、方陶皿、兽头觥、象形尊中的1个贡品</v>
          </cell>
        </row>
        <row r="355">
          <cell r="C355">
            <v>26555</v>
          </cell>
          <cell r="D355" t="str">
            <v>4级贡品宝箱</v>
          </cell>
          <cell r="E355">
            <v>100</v>
          </cell>
          <cell r="F355">
            <v>1</v>
          </cell>
          <cell r="G355">
            <v>1</v>
          </cell>
          <cell r="H355">
            <v>1</v>
          </cell>
          <cell r="I355">
            <v>100</v>
          </cell>
          <cell r="J355">
            <v>100</v>
          </cell>
          <cell r="K355">
            <v>100</v>
          </cell>
          <cell r="L355" t="str">
            <v>使用后随机获得冰鉴、螭首盉、三足爵、鎏金缶中的1个贡品</v>
          </cell>
        </row>
        <row r="356">
          <cell r="C356">
            <v>26556</v>
          </cell>
          <cell r="D356" t="str">
            <v>5级贡品宝箱</v>
          </cell>
          <cell r="E356">
            <v>120</v>
          </cell>
          <cell r="F356">
            <v>1</v>
          </cell>
          <cell r="G356">
            <v>1</v>
          </cell>
          <cell r="H356">
            <v>1</v>
          </cell>
          <cell r="I356">
            <v>120</v>
          </cell>
          <cell r="J356">
            <v>120</v>
          </cell>
          <cell r="K356">
            <v>120</v>
          </cell>
          <cell r="L356" t="str">
            <v>使用后随机获得锦瑟、编钟、石磬、瑶琴中的1个贡品</v>
          </cell>
        </row>
        <row r="357">
          <cell r="C357">
            <v>26557</v>
          </cell>
          <cell r="D357" t="str">
            <v>6级贡品宝箱</v>
          </cell>
          <cell r="E357">
            <v>140</v>
          </cell>
          <cell r="F357">
            <v>1</v>
          </cell>
          <cell r="G357">
            <v>1</v>
          </cell>
          <cell r="H357">
            <v>1</v>
          </cell>
          <cell r="I357">
            <v>140</v>
          </cell>
          <cell r="J357">
            <v>140</v>
          </cell>
          <cell r="K357">
            <v>140</v>
          </cell>
          <cell r="L357" t="str">
            <v>使用后随机获得青圭、赤璋、白琥、玄璜中的1个贡品</v>
          </cell>
        </row>
        <row r="358">
          <cell r="C358" t="str">
            <v/>
          </cell>
          <cell r="D358" t="str">
            <v/>
          </cell>
          <cell r="E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</row>
        <row r="359">
          <cell r="C359">
            <v>21251</v>
          </cell>
          <cell r="D359" t="str">
            <v>绿色装备宝箱</v>
          </cell>
          <cell r="E359">
            <v>35</v>
          </cell>
          <cell r="F359">
            <v>1</v>
          </cell>
          <cell r="G359">
            <v>1</v>
          </cell>
          <cell r="H359">
            <v>1</v>
          </cell>
          <cell r="I359">
            <v>35</v>
          </cell>
          <cell r="J359">
            <v>35</v>
          </cell>
          <cell r="K359">
            <v>35</v>
          </cell>
          <cell r="L359" t="str">
            <v>使用后随机获得1件品质为绿色的装备</v>
          </cell>
        </row>
        <row r="360">
          <cell r="C360">
            <v>21252</v>
          </cell>
          <cell r="D360" t="str">
            <v>蓝色装备宝箱</v>
          </cell>
          <cell r="E360">
            <v>75</v>
          </cell>
          <cell r="F360">
            <v>1</v>
          </cell>
          <cell r="G360">
            <v>1</v>
          </cell>
          <cell r="H360">
            <v>1</v>
          </cell>
          <cell r="I360">
            <v>75</v>
          </cell>
          <cell r="J360">
            <v>75</v>
          </cell>
          <cell r="K360">
            <v>75</v>
          </cell>
          <cell r="L360" t="str">
            <v>使用后随机获得1件品质为蓝色的装备</v>
          </cell>
        </row>
        <row r="361">
          <cell r="C361">
            <v>21253</v>
          </cell>
          <cell r="D361" t="str">
            <v>紫色装备宝箱</v>
          </cell>
          <cell r="E361">
            <v>150</v>
          </cell>
          <cell r="F361">
            <v>1</v>
          </cell>
          <cell r="G361">
            <v>1</v>
          </cell>
          <cell r="H361">
            <v>1</v>
          </cell>
          <cell r="I361">
            <v>150</v>
          </cell>
          <cell r="J361">
            <v>150</v>
          </cell>
          <cell r="K361">
            <v>150</v>
          </cell>
          <cell r="L361" t="str">
            <v>使用后随机获得1件品质为紫色的装备</v>
          </cell>
        </row>
        <row r="362">
          <cell r="C362">
            <v>21254</v>
          </cell>
          <cell r="D362" t="str">
            <v>橙色装备宝箱</v>
          </cell>
          <cell r="E362">
            <v>320</v>
          </cell>
          <cell r="F362">
            <v>1</v>
          </cell>
          <cell r="G362">
            <v>1</v>
          </cell>
          <cell r="H362">
            <v>1</v>
          </cell>
          <cell r="I362">
            <v>320</v>
          </cell>
          <cell r="J362">
            <v>320</v>
          </cell>
          <cell r="K362">
            <v>320</v>
          </cell>
          <cell r="L362" t="str">
            <v>使用后随机获得1件品质为橙色的装备</v>
          </cell>
        </row>
        <row r="363">
          <cell r="C363">
            <v>21255</v>
          </cell>
          <cell r="D363" t="str">
            <v>红色装备宝箱</v>
          </cell>
          <cell r="E363">
            <v>2400</v>
          </cell>
          <cell r="F363">
            <v>1</v>
          </cell>
          <cell r="G363">
            <v>1</v>
          </cell>
          <cell r="H363">
            <v>1</v>
          </cell>
          <cell r="I363">
            <v>2400</v>
          </cell>
          <cell r="J363">
            <v>2400</v>
          </cell>
          <cell r="K363">
            <v>2400</v>
          </cell>
          <cell r="L363" t="str">
            <v>使用后随机获得1件品质为红色的装备</v>
          </cell>
        </row>
        <row r="364">
          <cell r="C364" t="str">
            <v/>
          </cell>
          <cell r="D364" t="str">
            <v/>
          </cell>
          <cell r="E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</row>
        <row r="365">
          <cell r="C365">
            <v>20052</v>
          </cell>
          <cell r="D365" t="str">
            <v>练军心得·觉</v>
          </cell>
          <cell r="E365">
            <v>40</v>
          </cell>
          <cell r="F365">
            <v>1</v>
          </cell>
          <cell r="G365">
            <v>1</v>
          </cell>
          <cell r="H365">
            <v>1</v>
          </cell>
          <cell r="I365">
            <v>40</v>
          </cell>
          <cell r="J365">
            <v>40</v>
          </cell>
          <cell r="K365">
            <v>40</v>
          </cell>
          <cell r="L365" t="str">
            <v>掌军之策，厉兵秣马，可用于武将觉醒</v>
          </cell>
        </row>
        <row r="366">
          <cell r="C366">
            <v>20053</v>
          </cell>
          <cell r="D366" t="str">
            <v>策论心得·觉</v>
          </cell>
          <cell r="E366">
            <v>40</v>
          </cell>
          <cell r="F366">
            <v>1</v>
          </cell>
          <cell r="G366">
            <v>1</v>
          </cell>
          <cell r="H366">
            <v>1</v>
          </cell>
          <cell r="I366">
            <v>40</v>
          </cell>
          <cell r="J366">
            <v>40</v>
          </cell>
          <cell r="K366">
            <v>40</v>
          </cell>
          <cell r="L366" t="str">
            <v>书山万卷，算无遗策，可用于武将觉醒</v>
          </cell>
        </row>
        <row r="367">
          <cell r="C367">
            <v>20054</v>
          </cell>
          <cell r="D367" t="str">
            <v>兵书心得·觉</v>
          </cell>
          <cell r="E367">
            <v>40</v>
          </cell>
          <cell r="F367">
            <v>1</v>
          </cell>
          <cell r="G367">
            <v>1</v>
          </cell>
          <cell r="H367">
            <v>1</v>
          </cell>
          <cell r="I367">
            <v>40</v>
          </cell>
          <cell r="J367">
            <v>40</v>
          </cell>
          <cell r="K367">
            <v>40</v>
          </cell>
          <cell r="L367" t="str">
            <v>千军万马，文韬武略，可用于武将觉醒</v>
          </cell>
        </row>
        <row r="368">
          <cell r="C368" t="str">
            <v/>
          </cell>
          <cell r="D368" t="str">
            <v/>
          </cell>
          <cell r="E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</row>
        <row r="369">
          <cell r="C369">
            <v>20055</v>
          </cell>
          <cell r="D369" t="str">
            <v>虎咬佩剑·觉</v>
          </cell>
          <cell r="E369">
            <v>60</v>
          </cell>
          <cell r="F369">
            <v>1</v>
          </cell>
          <cell r="G369">
            <v>1</v>
          </cell>
          <cell r="H369">
            <v>1</v>
          </cell>
          <cell r="I369">
            <v>60</v>
          </cell>
          <cell r="J369">
            <v>60</v>
          </cell>
          <cell r="K369">
            <v>60</v>
          </cell>
          <cell r="L369" t="str">
            <v>卧虎藏龙，剑及履及，可用于武将觉醒</v>
          </cell>
        </row>
        <row r="370">
          <cell r="C370">
            <v>20056</v>
          </cell>
          <cell r="D370" t="str">
            <v>灵蛇佩剑·觉</v>
          </cell>
          <cell r="E370">
            <v>60</v>
          </cell>
          <cell r="F370">
            <v>1</v>
          </cell>
          <cell r="G370">
            <v>1</v>
          </cell>
          <cell r="H370">
            <v>1</v>
          </cell>
          <cell r="I370">
            <v>60</v>
          </cell>
          <cell r="J370">
            <v>60</v>
          </cell>
          <cell r="K370">
            <v>60</v>
          </cell>
          <cell r="L370" t="str">
            <v>灵蛇之珠，剑态箫心，可用于武将觉醒</v>
          </cell>
        </row>
        <row r="371">
          <cell r="C371">
            <v>20057</v>
          </cell>
          <cell r="D371" t="str">
            <v>狼头佩剑·觉</v>
          </cell>
          <cell r="E371">
            <v>60</v>
          </cell>
          <cell r="F371">
            <v>1</v>
          </cell>
          <cell r="G371">
            <v>1</v>
          </cell>
          <cell r="H371">
            <v>1</v>
          </cell>
          <cell r="I371">
            <v>60</v>
          </cell>
          <cell r="J371">
            <v>60</v>
          </cell>
          <cell r="K371">
            <v>60</v>
          </cell>
          <cell r="L371" t="str">
            <v>封狼居胥，剑气纵横，可用于武将觉醒</v>
          </cell>
        </row>
        <row r="372">
          <cell r="C372" t="str">
            <v/>
          </cell>
          <cell r="D372" t="str">
            <v/>
          </cell>
          <cell r="E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</row>
        <row r="373">
          <cell r="C373">
            <v>20059</v>
          </cell>
          <cell r="D373" t="str">
            <v>勇之授印·觉</v>
          </cell>
          <cell r="E373">
            <v>80</v>
          </cell>
          <cell r="F373">
            <v>1</v>
          </cell>
          <cell r="G373">
            <v>1</v>
          </cell>
          <cell r="H373">
            <v>1</v>
          </cell>
          <cell r="I373">
            <v>80</v>
          </cell>
          <cell r="J373">
            <v>80</v>
          </cell>
          <cell r="K373">
            <v>80</v>
          </cell>
          <cell r="L373" t="str">
            <v>拔山盖世，气吞山河，可用于武将觉醒</v>
          </cell>
        </row>
        <row r="374">
          <cell r="C374">
            <v>20060</v>
          </cell>
          <cell r="D374" t="str">
            <v>谋之授印·觉</v>
          </cell>
          <cell r="E374">
            <v>80</v>
          </cell>
          <cell r="F374">
            <v>1</v>
          </cell>
          <cell r="G374">
            <v>1</v>
          </cell>
          <cell r="H374">
            <v>1</v>
          </cell>
          <cell r="I374">
            <v>80</v>
          </cell>
          <cell r="J374">
            <v>80</v>
          </cell>
          <cell r="K374">
            <v>80</v>
          </cell>
          <cell r="L374" t="str">
            <v>渊谋远略，运筹帷幄，可用于武将觉醒</v>
          </cell>
        </row>
        <row r="375">
          <cell r="C375">
            <v>20061</v>
          </cell>
          <cell r="D375" t="str">
            <v>御之授印·觉</v>
          </cell>
          <cell r="E375">
            <v>80</v>
          </cell>
          <cell r="F375">
            <v>1</v>
          </cell>
          <cell r="G375">
            <v>1</v>
          </cell>
          <cell r="H375">
            <v>1</v>
          </cell>
          <cell r="I375">
            <v>80</v>
          </cell>
          <cell r="J375">
            <v>80</v>
          </cell>
          <cell r="K375">
            <v>80</v>
          </cell>
          <cell r="L375" t="str">
            <v>御下有方，论功行赏，可用于武将觉醒</v>
          </cell>
        </row>
        <row r="376">
          <cell r="C376" t="str">
            <v/>
          </cell>
          <cell r="D376" t="str">
            <v/>
          </cell>
          <cell r="E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</row>
        <row r="377">
          <cell r="C377">
            <v>20064</v>
          </cell>
          <cell r="D377" t="str">
            <v>战阵精研·极</v>
          </cell>
          <cell r="E377">
            <v>100</v>
          </cell>
          <cell r="F377">
            <v>1</v>
          </cell>
          <cell r="G377">
            <v>1</v>
          </cell>
          <cell r="H377">
            <v>1</v>
          </cell>
          <cell r="I377">
            <v>100</v>
          </cell>
          <cell r="J377">
            <v>100</v>
          </cell>
          <cell r="K377">
            <v>100</v>
          </cell>
          <cell r="L377" t="str">
            <v>行兵布阵，勇往直前，可用于武将觉醒</v>
          </cell>
        </row>
        <row r="378">
          <cell r="C378">
            <v>20065</v>
          </cell>
          <cell r="D378" t="str">
            <v>谋略精研·极</v>
          </cell>
          <cell r="E378">
            <v>100</v>
          </cell>
          <cell r="F378">
            <v>1</v>
          </cell>
          <cell r="G378">
            <v>1</v>
          </cell>
          <cell r="H378">
            <v>1</v>
          </cell>
          <cell r="I378">
            <v>100</v>
          </cell>
          <cell r="J378">
            <v>100</v>
          </cell>
          <cell r="K378">
            <v>100</v>
          </cell>
          <cell r="L378" t="str">
            <v>目达耳通，上兵伐谋，可用于武将觉醒</v>
          </cell>
        </row>
        <row r="379">
          <cell r="C379">
            <v>20066</v>
          </cell>
          <cell r="D379" t="str">
            <v>御军精研·极</v>
          </cell>
          <cell r="E379">
            <v>100</v>
          </cell>
          <cell r="F379">
            <v>1</v>
          </cell>
          <cell r="G379">
            <v>1</v>
          </cell>
          <cell r="H379">
            <v>1</v>
          </cell>
          <cell r="I379">
            <v>100</v>
          </cell>
          <cell r="J379">
            <v>100</v>
          </cell>
          <cell r="K379">
            <v>100</v>
          </cell>
          <cell r="L379" t="str">
            <v>持筹握算，精兵简政，可用于武将觉醒</v>
          </cell>
        </row>
        <row r="380">
          <cell r="C380" t="str">
            <v/>
          </cell>
          <cell r="D380" t="str">
            <v/>
          </cell>
          <cell r="E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</row>
        <row r="381">
          <cell r="C381">
            <v>20070</v>
          </cell>
          <cell r="D381" t="str">
            <v>白虎白琥·极</v>
          </cell>
          <cell r="E381">
            <v>120</v>
          </cell>
          <cell r="F381">
            <v>1</v>
          </cell>
          <cell r="G381">
            <v>1</v>
          </cell>
          <cell r="H381">
            <v>1</v>
          </cell>
          <cell r="I381">
            <v>120</v>
          </cell>
          <cell r="J381">
            <v>120</v>
          </cell>
          <cell r="K381">
            <v>120</v>
          </cell>
          <cell r="L381" t="str">
            <v>形神兼备，虎啸龙吟，可用于武将觉醒</v>
          </cell>
        </row>
        <row r="382">
          <cell r="C382">
            <v>20071</v>
          </cell>
          <cell r="D382" t="str">
            <v>朱雀赤璋·极</v>
          </cell>
          <cell r="E382">
            <v>120</v>
          </cell>
          <cell r="F382">
            <v>1</v>
          </cell>
          <cell r="G382">
            <v>1</v>
          </cell>
          <cell r="H382">
            <v>1</v>
          </cell>
          <cell r="I382">
            <v>120</v>
          </cell>
          <cell r="J382">
            <v>120</v>
          </cell>
          <cell r="K382">
            <v>120</v>
          </cell>
          <cell r="L382" t="str">
            <v>烈火真金，朱雀玄武，可用于武将觉醒</v>
          </cell>
        </row>
        <row r="383">
          <cell r="C383">
            <v>20072</v>
          </cell>
          <cell r="D383" t="str">
            <v>青龙青圭·极</v>
          </cell>
          <cell r="E383">
            <v>120</v>
          </cell>
          <cell r="F383">
            <v>1</v>
          </cell>
          <cell r="G383">
            <v>1</v>
          </cell>
          <cell r="H383">
            <v>1</v>
          </cell>
          <cell r="I383">
            <v>120</v>
          </cell>
          <cell r="J383">
            <v>120</v>
          </cell>
          <cell r="K383">
            <v>120</v>
          </cell>
          <cell r="L383" t="str">
            <v>青云直上，龙飞凤舞，可用于武将觉醒</v>
          </cell>
        </row>
        <row r="384">
          <cell r="C384" t="str">
            <v/>
          </cell>
          <cell r="D384" t="str">
            <v/>
          </cell>
          <cell r="E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</row>
        <row r="385">
          <cell r="C385">
            <v>20077</v>
          </cell>
          <cell r="D385" t="str">
            <v>战将护符·极</v>
          </cell>
          <cell r="E385">
            <v>140</v>
          </cell>
          <cell r="F385">
            <v>1</v>
          </cell>
          <cell r="G385">
            <v>1</v>
          </cell>
          <cell r="H385">
            <v>1</v>
          </cell>
          <cell r="I385">
            <v>140</v>
          </cell>
          <cell r="J385">
            <v>140</v>
          </cell>
          <cell r="K385">
            <v>140</v>
          </cell>
          <cell r="L385" t="str">
            <v>王侯将相，功成名就，可用于武将觉醒</v>
          </cell>
        </row>
        <row r="386">
          <cell r="C386">
            <v>20078</v>
          </cell>
          <cell r="D386" t="str">
            <v>军师护符·极</v>
          </cell>
          <cell r="E386">
            <v>140</v>
          </cell>
          <cell r="F386">
            <v>1</v>
          </cell>
          <cell r="G386">
            <v>1</v>
          </cell>
          <cell r="H386">
            <v>1</v>
          </cell>
          <cell r="I386">
            <v>140</v>
          </cell>
          <cell r="J386">
            <v>140</v>
          </cell>
          <cell r="K386">
            <v>140</v>
          </cell>
          <cell r="L386" t="str">
            <v>神机妙算，才华横溢，可用于武将觉醒</v>
          </cell>
        </row>
        <row r="387">
          <cell r="C387">
            <v>20079</v>
          </cell>
          <cell r="D387" t="str">
            <v>统帅护符·极</v>
          </cell>
          <cell r="E387">
            <v>140</v>
          </cell>
          <cell r="F387">
            <v>1</v>
          </cell>
          <cell r="G387">
            <v>1</v>
          </cell>
          <cell r="H387">
            <v>1</v>
          </cell>
          <cell r="I387">
            <v>140</v>
          </cell>
          <cell r="J387">
            <v>140</v>
          </cell>
          <cell r="K387">
            <v>140</v>
          </cell>
          <cell r="L387" t="str">
            <v>号令如山，统帅三军，可用于武将觉醒</v>
          </cell>
        </row>
        <row r="388">
          <cell r="C388" t="str">
            <v/>
          </cell>
          <cell r="D388" t="str">
            <v/>
          </cell>
          <cell r="E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</row>
        <row r="389">
          <cell r="C389" t="str">
            <v/>
          </cell>
          <cell r="D389" t="str">
            <v/>
          </cell>
          <cell r="E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</row>
        <row r="390">
          <cell r="C390">
            <v>23001</v>
          </cell>
          <cell r="D390" t="str">
            <v>紫色步将自选宝箱</v>
          </cell>
          <cell r="E390">
            <v>600</v>
          </cell>
          <cell r="F390">
            <v>1</v>
          </cell>
          <cell r="G390">
            <v>1</v>
          </cell>
          <cell r="H390">
            <v>1</v>
          </cell>
          <cell r="I390">
            <v>600</v>
          </cell>
          <cell r="J390">
            <v>600</v>
          </cell>
          <cell r="K390">
            <v>600</v>
          </cell>
          <cell r="L390" t="str">
            <v>使用后选择获得一个紫色步将</v>
          </cell>
        </row>
        <row r="391">
          <cell r="C391">
            <v>23002</v>
          </cell>
          <cell r="D391" t="str">
            <v>橙色步将自选宝箱</v>
          </cell>
          <cell r="E391">
            <v>4800</v>
          </cell>
          <cell r="F391">
            <v>1</v>
          </cell>
          <cell r="G391">
            <v>1</v>
          </cell>
          <cell r="H391">
            <v>1</v>
          </cell>
          <cell r="I391">
            <v>4800</v>
          </cell>
          <cell r="J391">
            <v>4800</v>
          </cell>
          <cell r="K391">
            <v>4800</v>
          </cell>
          <cell r="L391" t="str">
            <v>使用后选择获得一个橙色武将</v>
          </cell>
        </row>
        <row r="392">
          <cell r="C392">
            <v>23003</v>
          </cell>
          <cell r="D392" t="str">
            <v>红色步将自选宝箱</v>
          </cell>
          <cell r="E392">
            <v>14400</v>
          </cell>
          <cell r="F392">
            <v>1</v>
          </cell>
          <cell r="G392">
            <v>1</v>
          </cell>
          <cell r="H392">
            <v>1</v>
          </cell>
          <cell r="I392">
            <v>14400</v>
          </cell>
          <cell r="J392">
            <v>14400</v>
          </cell>
          <cell r="K392">
            <v>14400</v>
          </cell>
          <cell r="L392" t="str">
            <v>使用后选择获得一个红色步将</v>
          </cell>
        </row>
        <row r="393">
          <cell r="C393">
            <v>23004</v>
          </cell>
          <cell r="D393" t="str">
            <v>紫色骑将自选宝箱</v>
          </cell>
          <cell r="E393">
            <v>600</v>
          </cell>
          <cell r="F393">
            <v>1</v>
          </cell>
          <cell r="G393">
            <v>1</v>
          </cell>
          <cell r="H393">
            <v>1</v>
          </cell>
          <cell r="I393">
            <v>600</v>
          </cell>
          <cell r="J393">
            <v>600</v>
          </cell>
          <cell r="K393">
            <v>600</v>
          </cell>
          <cell r="L393" t="str">
            <v>使用后选择获得一个紫色骑将</v>
          </cell>
        </row>
        <row r="394">
          <cell r="C394">
            <v>23005</v>
          </cell>
          <cell r="D394" t="str">
            <v>橙色骑将自选宝箱</v>
          </cell>
          <cell r="E394">
            <v>4800</v>
          </cell>
          <cell r="F394">
            <v>1</v>
          </cell>
          <cell r="G394">
            <v>1</v>
          </cell>
          <cell r="H394">
            <v>1</v>
          </cell>
          <cell r="I394">
            <v>4800</v>
          </cell>
          <cell r="J394">
            <v>4800</v>
          </cell>
          <cell r="K394">
            <v>4800</v>
          </cell>
          <cell r="L394" t="str">
            <v>使用后选择获得一个橙色骑将</v>
          </cell>
        </row>
        <row r="395">
          <cell r="C395">
            <v>23006</v>
          </cell>
          <cell r="D395" t="str">
            <v>红色骑将自选宝箱</v>
          </cell>
          <cell r="E395">
            <v>14400</v>
          </cell>
          <cell r="F395">
            <v>1</v>
          </cell>
          <cell r="G395">
            <v>1</v>
          </cell>
          <cell r="H395">
            <v>1</v>
          </cell>
          <cell r="I395">
            <v>14400</v>
          </cell>
          <cell r="J395">
            <v>14400</v>
          </cell>
          <cell r="K395">
            <v>14400</v>
          </cell>
          <cell r="L395" t="str">
            <v>使用后选择获得一个红色骑将</v>
          </cell>
        </row>
        <row r="396">
          <cell r="C396">
            <v>23007</v>
          </cell>
          <cell r="D396" t="str">
            <v>紫色弓将自选宝箱</v>
          </cell>
          <cell r="E396">
            <v>600</v>
          </cell>
          <cell r="F396">
            <v>1</v>
          </cell>
          <cell r="G396">
            <v>1</v>
          </cell>
          <cell r="H396">
            <v>1</v>
          </cell>
          <cell r="I396">
            <v>600</v>
          </cell>
          <cell r="J396">
            <v>600</v>
          </cell>
          <cell r="K396">
            <v>600</v>
          </cell>
          <cell r="L396" t="str">
            <v>使用后选择获得一个紫色弓将</v>
          </cell>
        </row>
        <row r="397">
          <cell r="C397">
            <v>23008</v>
          </cell>
          <cell r="D397" t="str">
            <v>橙色弓将自选宝箱</v>
          </cell>
          <cell r="E397">
            <v>4800</v>
          </cell>
          <cell r="F397">
            <v>1</v>
          </cell>
          <cell r="G397">
            <v>1</v>
          </cell>
          <cell r="H397">
            <v>1</v>
          </cell>
          <cell r="I397">
            <v>4800</v>
          </cell>
          <cell r="J397">
            <v>4800</v>
          </cell>
          <cell r="K397">
            <v>4800</v>
          </cell>
          <cell r="L397" t="str">
            <v>使用后选择获得一个橙色弓将</v>
          </cell>
        </row>
        <row r="398">
          <cell r="C398">
            <v>23009</v>
          </cell>
          <cell r="D398" t="str">
            <v>红色弓将自选宝箱</v>
          </cell>
          <cell r="E398">
            <v>14400</v>
          </cell>
          <cell r="F398">
            <v>1</v>
          </cell>
          <cell r="G398">
            <v>1</v>
          </cell>
          <cell r="H398">
            <v>1</v>
          </cell>
          <cell r="I398">
            <v>14400</v>
          </cell>
          <cell r="J398">
            <v>14400</v>
          </cell>
          <cell r="K398">
            <v>14400</v>
          </cell>
          <cell r="L398" t="str">
            <v>使用后选择获得一个红色弓将</v>
          </cell>
        </row>
        <row r="399">
          <cell r="C399">
            <v>23010</v>
          </cell>
          <cell r="D399" t="str">
            <v>君主自选宝箱</v>
          </cell>
          <cell r="E399">
            <v>4800</v>
          </cell>
          <cell r="F399">
            <v>1</v>
          </cell>
          <cell r="G399">
            <v>1</v>
          </cell>
          <cell r="H399">
            <v>1</v>
          </cell>
          <cell r="I399">
            <v>4800</v>
          </cell>
          <cell r="J399">
            <v>4800</v>
          </cell>
          <cell r="K399">
            <v>4800</v>
          </cell>
          <cell r="L399" t="str">
            <v>使用后选择获得一个君主武将</v>
          </cell>
        </row>
        <row r="400">
          <cell r="C400">
            <v>23011</v>
          </cell>
          <cell r="D400" t="str">
            <v>紫色武将随机宝箱</v>
          </cell>
          <cell r="E400">
            <v>400</v>
          </cell>
          <cell r="F400">
            <v>1</v>
          </cell>
          <cell r="G400">
            <v>1</v>
          </cell>
          <cell r="H400">
            <v>1</v>
          </cell>
          <cell r="I400">
            <v>400</v>
          </cell>
          <cell r="J400">
            <v>400</v>
          </cell>
          <cell r="K400">
            <v>400</v>
          </cell>
          <cell r="L400" t="str">
            <v>使用后随机获得一个紫色武将</v>
          </cell>
        </row>
        <row r="401">
          <cell r="C401">
            <v>23012</v>
          </cell>
          <cell r="D401" t="str">
            <v>橙色武将随机宝箱</v>
          </cell>
          <cell r="E401">
            <v>1800</v>
          </cell>
          <cell r="F401">
            <v>1</v>
          </cell>
          <cell r="G401">
            <v>1</v>
          </cell>
          <cell r="H401">
            <v>1</v>
          </cell>
          <cell r="I401">
            <v>1800</v>
          </cell>
          <cell r="J401">
            <v>1800</v>
          </cell>
          <cell r="K401">
            <v>1800</v>
          </cell>
          <cell r="L401" t="str">
            <v>使用后随机获得一个橙色武将</v>
          </cell>
        </row>
        <row r="402">
          <cell r="C402">
            <v>23013</v>
          </cell>
          <cell r="D402" t="str">
            <v>红色武将随机宝箱</v>
          </cell>
          <cell r="E402">
            <v>14400</v>
          </cell>
          <cell r="F402">
            <v>1</v>
          </cell>
          <cell r="G402">
            <v>1</v>
          </cell>
          <cell r="H402">
            <v>1</v>
          </cell>
          <cell r="I402">
            <v>14400</v>
          </cell>
          <cell r="J402">
            <v>14400</v>
          </cell>
          <cell r="K402">
            <v>14400</v>
          </cell>
          <cell r="L402" t="str">
            <v>使用后随机获得一个红色武将</v>
          </cell>
        </row>
        <row r="403">
          <cell r="C403" t="str">
            <v/>
          </cell>
          <cell r="D403" t="str">
            <v/>
          </cell>
          <cell r="E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</row>
        <row r="404">
          <cell r="C404">
            <v>23014</v>
          </cell>
          <cell r="D404" t="str">
            <v>橙色武将自选宝箱碎片</v>
          </cell>
          <cell r="E404">
            <v>160</v>
          </cell>
          <cell r="F404">
            <v>1</v>
          </cell>
          <cell r="G404">
            <v>1</v>
          </cell>
          <cell r="H404">
            <v>1</v>
          </cell>
          <cell r="I404">
            <v>160</v>
          </cell>
          <cell r="J404">
            <v>160</v>
          </cell>
          <cell r="K404">
            <v>160</v>
          </cell>
          <cell r="L404" t="str">
    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405">
          <cell r="C405">
            <v>23015</v>
          </cell>
          <cell r="D405" t="str">
            <v>橙色武将随机宝箱碎片</v>
          </cell>
          <cell r="E405">
            <v>60</v>
          </cell>
          <cell r="F405">
            <v>1</v>
          </cell>
          <cell r="G405">
            <v>1</v>
          </cell>
          <cell r="H405">
            <v>1</v>
          </cell>
          <cell r="I405">
            <v>60</v>
          </cell>
          <cell r="J405">
            <v>60</v>
          </cell>
          <cell r="K405">
            <v>60</v>
          </cell>
          <cell r="L405" t="str">
    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406">
          <cell r="C406">
            <v>23016</v>
          </cell>
          <cell r="D406" t="str">
            <v>紫色武将随机宝箱碎片</v>
          </cell>
          <cell r="E406">
            <v>36</v>
          </cell>
          <cell r="F406">
            <v>1</v>
          </cell>
          <cell r="G406">
            <v>1</v>
          </cell>
          <cell r="H406">
            <v>1</v>
          </cell>
          <cell r="I406">
            <v>36</v>
          </cell>
          <cell r="J406">
            <v>36</v>
          </cell>
          <cell r="K406">
            <v>36</v>
          </cell>
          <cell r="L406" t="str">
            <v>集齐10个碎片可以合成，随机获得下列武将中的一个：\n聂荌、专诸、钟无艳、田忌、春申君、莫邪、孙叔敖、西门豹、暴鸢、秦开</v>
          </cell>
        </row>
        <row r="407">
          <cell r="C407" t="str">
            <v/>
          </cell>
          <cell r="D407" t="str">
            <v/>
          </cell>
          <cell r="E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</row>
        <row r="408">
          <cell r="C408" t="str">
            <v/>
          </cell>
          <cell r="D408" t="str">
            <v>指定绿色装备</v>
          </cell>
          <cell r="E408">
            <v>35</v>
          </cell>
          <cell r="F408">
            <v>1</v>
          </cell>
          <cell r="G408">
            <v>1</v>
          </cell>
          <cell r="H408">
            <v>1</v>
          </cell>
          <cell r="I408">
            <v>35</v>
          </cell>
          <cell r="J408">
            <v>35</v>
          </cell>
          <cell r="K408">
            <v>35</v>
          </cell>
          <cell r="L408">
            <v>1</v>
          </cell>
        </row>
        <row r="409">
          <cell r="C409" t="str">
            <v/>
          </cell>
          <cell r="D409" t="str">
            <v>指定蓝色装备</v>
          </cell>
          <cell r="E409">
            <v>120</v>
          </cell>
          <cell r="F409">
            <v>1</v>
          </cell>
          <cell r="G409">
            <v>1</v>
          </cell>
          <cell r="H409">
            <v>1</v>
          </cell>
          <cell r="I409">
            <v>120</v>
          </cell>
          <cell r="J409">
            <v>120</v>
          </cell>
          <cell r="K409">
            <v>120</v>
          </cell>
          <cell r="L409">
            <v>1.5</v>
          </cell>
        </row>
        <row r="410">
          <cell r="C410" t="str">
            <v/>
          </cell>
          <cell r="D410" t="str">
            <v>指定紫色装备</v>
          </cell>
          <cell r="E410">
            <v>300</v>
          </cell>
          <cell r="F410">
            <v>1</v>
          </cell>
          <cell r="G410">
            <v>1</v>
          </cell>
          <cell r="H410">
            <v>1</v>
          </cell>
          <cell r="I410">
            <v>300</v>
          </cell>
          <cell r="J410">
            <v>300</v>
          </cell>
          <cell r="K410">
            <v>300</v>
          </cell>
          <cell r="L410">
            <v>2</v>
          </cell>
        </row>
        <row r="411">
          <cell r="C411" t="str">
            <v/>
          </cell>
          <cell r="D411" t="str">
            <v>指定橙色装备</v>
          </cell>
          <cell r="E411">
            <v>800</v>
          </cell>
          <cell r="F411">
            <v>1</v>
          </cell>
          <cell r="G411">
            <v>1</v>
          </cell>
          <cell r="H411">
            <v>1</v>
          </cell>
          <cell r="I411">
            <v>800</v>
          </cell>
          <cell r="J411">
            <v>800</v>
          </cell>
          <cell r="K411">
            <v>800</v>
          </cell>
          <cell r="L411">
            <v>2.5</v>
          </cell>
        </row>
        <row r="412">
          <cell r="C412" t="str">
            <v/>
          </cell>
          <cell r="D412" t="str">
            <v>指定红色装备</v>
          </cell>
          <cell r="E412">
            <v>7200</v>
          </cell>
          <cell r="F412">
            <v>1</v>
          </cell>
          <cell r="G412">
            <v>1</v>
          </cell>
          <cell r="H412">
            <v>1</v>
          </cell>
          <cell r="I412">
            <v>7200</v>
          </cell>
          <cell r="J412">
            <v>7200</v>
          </cell>
          <cell r="K412">
            <v>7200</v>
          </cell>
          <cell r="L412">
            <v>3</v>
          </cell>
        </row>
        <row r="413">
          <cell r="C413" t="str">
            <v/>
          </cell>
          <cell r="D413" t="str">
            <v>指定红+装备</v>
          </cell>
          <cell r="E413">
            <v>14400</v>
          </cell>
          <cell r="F413">
            <v>1.56</v>
          </cell>
          <cell r="G413">
            <v>1.56</v>
          </cell>
          <cell r="H413">
            <v>1.56</v>
          </cell>
          <cell r="I413">
            <v>22464</v>
          </cell>
          <cell r="J413">
            <v>22464</v>
          </cell>
          <cell r="K413">
            <v>22464</v>
          </cell>
          <cell r="L413" t="str">
            <v/>
          </cell>
        </row>
        <row r="414">
          <cell r="C414">
            <v>23215</v>
          </cell>
          <cell r="D414" t="str">
            <v>紫色武力装备礼包</v>
          </cell>
          <cell r="E414" t="str">
            <v/>
          </cell>
          <cell r="F414">
            <v>1</v>
          </cell>
          <cell r="G414">
            <v>1</v>
          </cell>
          <cell r="H414">
            <v>1</v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</row>
        <row r="415">
          <cell r="C415">
            <v>23216</v>
          </cell>
          <cell r="D415" t="str">
            <v>紫色智力装备礼包</v>
          </cell>
          <cell r="E415" t="str">
            <v/>
          </cell>
          <cell r="F415">
            <v>1</v>
          </cell>
          <cell r="G415">
            <v>1</v>
          </cell>
          <cell r="H415">
            <v>1</v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</row>
        <row r="416">
          <cell r="C416">
            <v>23217</v>
          </cell>
          <cell r="D416" t="str">
            <v>橙色统率装备礼包</v>
          </cell>
          <cell r="E416" t="str">
            <v/>
          </cell>
          <cell r="F416">
            <v>1</v>
          </cell>
          <cell r="G416">
            <v>1</v>
          </cell>
          <cell r="H416">
            <v>1</v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</row>
        <row r="417">
          <cell r="C417">
            <v>23218</v>
          </cell>
          <cell r="D417" t="str">
            <v>橙色智力装备礼包</v>
          </cell>
          <cell r="E417" t="str">
            <v/>
          </cell>
          <cell r="F417">
            <v>1</v>
          </cell>
          <cell r="G417">
            <v>1</v>
          </cell>
          <cell r="H417">
            <v>1</v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</row>
        <row r="418">
          <cell r="C418">
            <v>23219</v>
          </cell>
          <cell r="D418" t="str">
            <v>橙色武力装备礼包</v>
          </cell>
          <cell r="E418" t="str">
            <v/>
          </cell>
          <cell r="F418">
            <v>1</v>
          </cell>
          <cell r="G418">
            <v>1</v>
          </cell>
          <cell r="H418">
            <v>1</v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</row>
        <row r="419">
          <cell r="C419">
            <v>22118</v>
          </cell>
          <cell r="D419" t="str">
            <v>负荆请罪武魂</v>
          </cell>
          <cell r="E419" t="str">
            <v/>
          </cell>
          <cell r="F419">
            <v>1</v>
          </cell>
          <cell r="G419">
            <v>1</v>
          </cell>
          <cell r="H419">
            <v>1</v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</row>
        <row r="420">
          <cell r="C420" t="str">
            <v/>
          </cell>
          <cell r="D420" t="str">
            <v/>
          </cell>
          <cell r="E420" t="str">
            <v/>
          </cell>
          <cell r="F420">
            <v>1</v>
          </cell>
          <cell r="G420">
            <v>1</v>
          </cell>
          <cell r="H420">
            <v>1</v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</row>
        <row r="421">
          <cell r="C421">
            <v>23348</v>
          </cell>
          <cell r="D421" t="str">
            <v>清剿令</v>
          </cell>
          <cell r="E421" t="str">
            <v/>
          </cell>
          <cell r="F421">
            <v>1</v>
          </cell>
          <cell r="G421">
            <v>1</v>
          </cell>
          <cell r="H421">
            <v>1</v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</row>
        <row r="422">
          <cell r="C422" t="str">
            <v/>
          </cell>
          <cell r="D422" t="str">
            <v/>
          </cell>
          <cell r="E422" t="str">
            <v/>
          </cell>
          <cell r="F422">
            <v>1</v>
          </cell>
          <cell r="G422">
            <v>1</v>
          </cell>
          <cell r="H422">
            <v>1</v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</row>
        <row r="423">
          <cell r="C423" t="str">
            <v/>
          </cell>
          <cell r="D423" t="str">
            <v/>
          </cell>
          <cell r="E423" t="str">
            <v/>
          </cell>
          <cell r="F423">
            <v>1</v>
          </cell>
          <cell r="G423">
            <v>1</v>
          </cell>
          <cell r="H423">
            <v>1</v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</row>
        <row r="424">
          <cell r="C424" t="str">
            <v/>
          </cell>
          <cell r="D424" t="str">
            <v/>
          </cell>
          <cell r="E424" t="str">
            <v/>
          </cell>
          <cell r="F424">
            <v>1</v>
          </cell>
          <cell r="G424">
            <v>1</v>
          </cell>
          <cell r="H424">
            <v>1</v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</row>
        <row r="425">
          <cell r="C425">
            <v>22116</v>
          </cell>
          <cell r="D425" t="str">
            <v>倾国倾城武魂</v>
          </cell>
          <cell r="E425" t="str">
            <v/>
          </cell>
          <cell r="F425">
            <v>1</v>
          </cell>
          <cell r="G425">
            <v>1</v>
          </cell>
          <cell r="H425">
            <v>1</v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</row>
        <row r="426">
          <cell r="C426">
            <v>22117</v>
          </cell>
          <cell r="D426" t="str">
            <v>墨行天下武魂</v>
          </cell>
          <cell r="E426" t="str">
            <v/>
          </cell>
          <cell r="F426">
            <v>1</v>
          </cell>
          <cell r="G426">
            <v>1</v>
          </cell>
          <cell r="H426">
            <v>1</v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</row>
        <row r="427">
          <cell r="C427">
            <v>23220</v>
          </cell>
          <cell r="D427" t="str">
            <v>红色统智装备礼包</v>
          </cell>
          <cell r="E427" t="str">
            <v/>
          </cell>
          <cell r="F427">
            <v>1</v>
          </cell>
          <cell r="G427">
            <v>1</v>
          </cell>
          <cell r="H427">
            <v>1</v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</row>
        <row r="428">
          <cell r="C428">
            <v>23221</v>
          </cell>
          <cell r="D428" t="str">
            <v>紫色兵法自选宝箱</v>
          </cell>
          <cell r="E428" t="str">
            <v/>
          </cell>
          <cell r="F428">
            <v>1</v>
          </cell>
          <cell r="G428">
            <v>1</v>
          </cell>
          <cell r="H428">
            <v>1</v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</row>
        <row r="429">
          <cell r="C429">
            <v>23222</v>
          </cell>
          <cell r="D429" t="str">
            <v>橙色兵法自选宝箱</v>
          </cell>
          <cell r="E429" t="str">
            <v/>
          </cell>
          <cell r="F429">
            <v>1</v>
          </cell>
          <cell r="G429">
            <v>1</v>
          </cell>
          <cell r="H429">
            <v>1</v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</row>
        <row r="430">
          <cell r="C430">
            <v>23364</v>
          </cell>
          <cell r="D430" t="str">
            <v>自选橙色兵法碎片</v>
          </cell>
          <cell r="E430" t="str">
            <v/>
          </cell>
          <cell r="F430">
            <v>1</v>
          </cell>
          <cell r="G430">
            <v>1</v>
          </cell>
          <cell r="H430">
            <v>1</v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</row>
        <row r="431">
          <cell r="C431">
            <v>23365</v>
          </cell>
          <cell r="D431" t="str">
            <v>自选紫色兵法碎片</v>
          </cell>
          <cell r="E431" t="str">
            <v/>
          </cell>
          <cell r="F431">
            <v>1</v>
          </cell>
          <cell r="G431">
            <v>1</v>
          </cell>
          <cell r="H431">
            <v>1</v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</row>
        <row r="432">
          <cell r="C432" t="str">
            <v/>
          </cell>
          <cell r="D432" t="str">
            <v/>
          </cell>
          <cell r="E432" t="str">
            <v/>
          </cell>
          <cell r="F432">
            <v>1</v>
          </cell>
          <cell r="G432">
            <v>1</v>
          </cell>
          <cell r="H432">
            <v>1</v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</row>
        <row r="433">
          <cell r="C433">
            <v>21075</v>
          </cell>
          <cell r="D433" t="str">
            <v>中级免战牌</v>
          </cell>
          <cell r="E433">
            <v>200</v>
          </cell>
          <cell r="F433">
            <v>1</v>
          </cell>
          <cell r="G433">
            <v>1</v>
          </cell>
          <cell r="H433">
            <v>1</v>
          </cell>
          <cell r="I433">
            <v>200</v>
          </cell>
          <cell r="J433">
            <v>200</v>
          </cell>
          <cell r="K433">
            <v>200</v>
          </cell>
          <cell r="L433" t="str">
            <v>使用后城池不会遭受来自其他玩家的攻击，主动进攻其他玩家后失效，持续12小时</v>
          </cell>
        </row>
        <row r="434">
          <cell r="C434">
            <v>21071</v>
          </cell>
          <cell r="D434" t="str">
            <v>高级免战牌</v>
          </cell>
          <cell r="E434">
            <v>500</v>
          </cell>
          <cell r="F434">
            <v>1</v>
          </cell>
          <cell r="G434">
            <v>1</v>
          </cell>
          <cell r="H434">
            <v>1</v>
          </cell>
          <cell r="I434">
            <v>500</v>
          </cell>
          <cell r="J434">
            <v>500</v>
          </cell>
          <cell r="K434">
            <v>500</v>
          </cell>
          <cell r="L434" t="str">
            <v>使用后城池不会遭受来自其他玩家的攻击，主动进攻其他玩家后失效，持续24小时</v>
          </cell>
        </row>
        <row r="435">
          <cell r="C435">
            <v>21072</v>
          </cell>
          <cell r="D435" t="str">
            <v>特级免战牌</v>
          </cell>
          <cell r="E435">
            <v>1800</v>
          </cell>
          <cell r="F435">
            <v>1</v>
          </cell>
          <cell r="G435">
            <v>1</v>
          </cell>
          <cell r="H435">
            <v>1</v>
          </cell>
          <cell r="I435">
            <v>1800</v>
          </cell>
          <cell r="J435">
            <v>1800</v>
          </cell>
          <cell r="K435">
            <v>1800</v>
          </cell>
          <cell r="L435" t="str">
            <v>使用后城池不会遭受来自其他玩家的攻击，主动进攻其他玩家后失效，持续72小时</v>
          </cell>
        </row>
        <row r="436">
          <cell r="C436" t="str">
            <v/>
          </cell>
          <cell r="D436" t="str">
            <v/>
          </cell>
          <cell r="E436" t="str">
            <v/>
          </cell>
          <cell r="F436">
            <v>1</v>
          </cell>
          <cell r="G436">
            <v>1</v>
          </cell>
          <cell r="H436">
            <v>1</v>
          </cell>
          <cell r="I436" t="str">
            <v/>
          </cell>
          <cell r="J436" t="str">
            <v/>
          </cell>
          <cell r="K436" t="str">
            <v/>
          </cell>
          <cell r="L436" t="str">
            <v>消灭野怪获得，用于宝物温养。</v>
          </cell>
        </row>
        <row r="437">
          <cell r="C437">
            <v>23359</v>
          </cell>
          <cell r="D437" t="str">
            <v>宝鉴</v>
          </cell>
          <cell r="E437" t="str">
            <v/>
          </cell>
          <cell r="F437">
            <v>1</v>
          </cell>
          <cell r="G437">
            <v>1</v>
          </cell>
          <cell r="H437">
            <v>1</v>
          </cell>
          <cell r="I437" t="str">
            <v/>
          </cell>
          <cell r="J437" t="str">
            <v/>
          </cell>
          <cell r="K437" t="str">
            <v/>
          </cell>
          <cell r="L437" t="str">
            <v>持有宝鉴名册，可鉴天下珍宝</v>
          </cell>
        </row>
        <row r="438">
          <cell r="C438">
            <v>23526</v>
          </cell>
          <cell r="D438" t="str">
            <v>极品装备宝箱碎片</v>
          </cell>
          <cell r="E438" t="str">
            <v/>
          </cell>
          <cell r="F438">
            <v>1</v>
          </cell>
          <cell r="G438">
            <v>1</v>
          </cell>
          <cell r="H438">
            <v>1</v>
          </cell>
          <cell r="I438" t="str">
            <v/>
          </cell>
          <cell r="J438" t="str">
            <v/>
          </cell>
          <cell r="K438" t="str">
            <v/>
          </cell>
          <cell r="L438" t="str">
            <v>使用后可以获得一个极品红色装备宝箱</v>
          </cell>
        </row>
        <row r="439">
          <cell r="C439">
            <v>23527</v>
          </cell>
          <cell r="D439" t="str">
            <v>极品装备宝箱</v>
          </cell>
          <cell r="E439" t="str">
            <v/>
          </cell>
          <cell r="F439">
            <v>1</v>
          </cell>
          <cell r="G439">
            <v>1</v>
          </cell>
          <cell r="H439">
            <v>1</v>
          </cell>
          <cell r="I439" t="str">
            <v/>
          </cell>
          <cell r="J439" t="str">
            <v/>
          </cell>
          <cell r="K439" t="str">
            <v/>
          </cell>
          <cell r="L439" t="str">
            <v>使用后可以选择获得一件极品红色装备</v>
          </cell>
        </row>
        <row r="440">
          <cell r="C440">
            <v>23528</v>
          </cell>
          <cell r="D440" t="str">
            <v>极品统武装备宝箱</v>
          </cell>
          <cell r="E440" t="str">
            <v/>
          </cell>
          <cell r="F440">
            <v>1</v>
          </cell>
          <cell r="G440">
            <v>1</v>
          </cell>
          <cell r="H440">
            <v>1</v>
          </cell>
          <cell r="I440" t="str">
            <v/>
          </cell>
          <cell r="J440" t="str">
            <v/>
          </cell>
          <cell r="K440" t="str">
            <v/>
          </cell>
          <cell r="L440" t="str">
            <v>使用后获得十方古璃套装3件套装备</v>
          </cell>
        </row>
        <row r="441">
          <cell r="C441">
            <v>23529</v>
          </cell>
          <cell r="D441" t="str">
            <v>极品统智装备宝箱</v>
          </cell>
          <cell r="E441" t="str">
            <v/>
          </cell>
          <cell r="F441">
            <v>1</v>
          </cell>
          <cell r="G441">
            <v>1</v>
          </cell>
          <cell r="H441">
            <v>1</v>
          </cell>
          <cell r="I441" t="str">
            <v/>
          </cell>
          <cell r="J441" t="str">
            <v/>
          </cell>
          <cell r="K441" t="str">
            <v/>
          </cell>
          <cell r="L441" t="str">
            <v>使用后获得墨霜广焱3件套装备</v>
          </cell>
        </row>
        <row r="442">
          <cell r="C442">
            <v>23530</v>
          </cell>
          <cell r="D442" t="str">
            <v>红色装备宝箱碎片</v>
          </cell>
          <cell r="E442" t="str">
            <v/>
          </cell>
          <cell r="F442">
            <v>1</v>
          </cell>
          <cell r="G442">
            <v>1</v>
          </cell>
          <cell r="H442">
            <v>1</v>
          </cell>
          <cell r="I442" t="str">
            <v/>
          </cell>
          <cell r="J442" t="str">
            <v/>
          </cell>
          <cell r="K442" t="str">
            <v/>
          </cell>
          <cell r="L442" t="str">
            <v>使用后可以获得一个红色装备宝箱</v>
          </cell>
        </row>
        <row r="443">
          <cell r="C443">
            <v>23531</v>
          </cell>
          <cell r="D443" t="str">
            <v>红色装备宝箱</v>
          </cell>
          <cell r="E443" t="str">
            <v/>
          </cell>
          <cell r="F443">
            <v>1</v>
          </cell>
          <cell r="G443">
            <v>1</v>
          </cell>
          <cell r="H443">
            <v>1</v>
          </cell>
          <cell r="I443" t="str">
            <v/>
          </cell>
          <cell r="J443" t="str">
            <v/>
          </cell>
          <cell r="K443" t="str">
            <v/>
          </cell>
          <cell r="L443" t="str">
            <v>使用后可以选择获得一件红色装备</v>
          </cell>
        </row>
        <row r="444">
          <cell r="C444">
            <v>23532</v>
          </cell>
          <cell r="D444" t="str">
            <v>抛砖引玉·极-残片</v>
          </cell>
          <cell r="E444" t="str">
            <v/>
          </cell>
          <cell r="F444">
            <v>1</v>
          </cell>
          <cell r="G444">
            <v>1</v>
          </cell>
          <cell r="H444">
            <v>1</v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</row>
        <row r="445">
          <cell r="C445">
            <v>23389</v>
          </cell>
          <cell r="D445" t="str">
            <v>秦阳陵虎符碎片</v>
          </cell>
          <cell r="E445" t="str">
            <v/>
          </cell>
          <cell r="F445">
            <v>1</v>
          </cell>
          <cell r="G445">
            <v>1</v>
          </cell>
          <cell r="H445">
            <v>1</v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</row>
        <row r="446">
          <cell r="C446">
            <v>180024</v>
          </cell>
          <cell r="D446" t="str">
            <v>高级盗贼</v>
          </cell>
          <cell r="E446" t="str">
            <v/>
          </cell>
          <cell r="F446">
            <v>1</v>
          </cell>
          <cell r="G446">
            <v>1</v>
          </cell>
          <cell r="H446">
            <v>1</v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</row>
        <row r="447">
          <cell r="C447">
            <v>180023</v>
          </cell>
          <cell r="D447" t="str">
            <v>高级间谍</v>
          </cell>
          <cell r="E447" t="str">
            <v/>
          </cell>
          <cell r="F447">
            <v>1</v>
          </cell>
          <cell r="G447">
            <v>1</v>
          </cell>
          <cell r="H447">
            <v>1</v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</row>
        <row r="448">
          <cell r="C448">
            <v>180022</v>
          </cell>
          <cell r="D448" t="str">
            <v>高级刺客</v>
          </cell>
          <cell r="E448" t="str">
            <v/>
          </cell>
          <cell r="F448">
            <v>1</v>
          </cell>
          <cell r="G448">
            <v>1</v>
          </cell>
          <cell r="H448">
            <v>1</v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</row>
        <row r="449">
          <cell r="C449" t="str">
            <v/>
          </cell>
          <cell r="D449" t="str">
            <v/>
          </cell>
          <cell r="E449" t="str">
            <v/>
          </cell>
          <cell r="F449">
            <v>1</v>
          </cell>
          <cell r="G449">
            <v>1</v>
          </cell>
          <cell r="H449">
            <v>1</v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</row>
        <row r="450">
          <cell r="C450">
            <v>23542</v>
          </cell>
          <cell r="D450" t="str">
            <v>十方装备宝箱碎片</v>
          </cell>
          <cell r="E450" t="str">
            <v/>
          </cell>
          <cell r="F450">
            <v>1</v>
          </cell>
          <cell r="G450">
            <v>1</v>
          </cell>
          <cell r="H450">
            <v>1</v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</row>
        <row r="451">
          <cell r="C451">
            <v>23543</v>
          </cell>
          <cell r="D451" t="str">
            <v>墨霜装备宝箱碎片</v>
          </cell>
          <cell r="E451" t="str">
            <v/>
          </cell>
          <cell r="F451">
            <v>1</v>
          </cell>
          <cell r="G451">
            <v>1</v>
          </cell>
          <cell r="H451">
            <v>1</v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</row>
        <row r="452">
          <cell r="C452" t="str">
            <v/>
          </cell>
          <cell r="D452" t="str">
            <v/>
          </cell>
          <cell r="E452" t="str">
            <v/>
          </cell>
          <cell r="F452">
            <v>1</v>
          </cell>
          <cell r="G452">
            <v>1</v>
          </cell>
          <cell r="H452">
            <v>1</v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</row>
        <row r="453">
          <cell r="C453">
            <v>23356</v>
          </cell>
          <cell r="D453" t="str">
            <v>紫色藏宝图</v>
          </cell>
          <cell r="E453">
            <v>300</v>
          </cell>
          <cell r="F453">
            <v>1</v>
          </cell>
          <cell r="G453">
            <v>1</v>
          </cell>
          <cell r="H453">
            <v>1</v>
          </cell>
          <cell r="I453">
            <v>300</v>
          </cell>
          <cell r="J453">
            <v>300</v>
          </cell>
          <cell r="K453">
            <v>300</v>
          </cell>
          <cell r="L453" t="str">
            <v/>
          </cell>
        </row>
        <row r="454">
          <cell r="C454">
            <v>23541</v>
          </cell>
          <cell r="D454" t="str">
            <v>宝物精华小宝箱</v>
          </cell>
          <cell r="E454">
            <v>100</v>
          </cell>
          <cell r="F454">
            <v>1</v>
          </cell>
          <cell r="G454">
            <v>1</v>
          </cell>
          <cell r="H454">
            <v>1</v>
          </cell>
          <cell r="I454">
            <v>100</v>
          </cell>
          <cell r="J454">
            <v>100</v>
          </cell>
          <cell r="K454">
            <v>100</v>
          </cell>
          <cell r="L454" t="str">
            <v/>
          </cell>
        </row>
        <row r="455">
          <cell r="C455">
            <v>23537</v>
          </cell>
          <cell r="D455" t="str">
            <v>文心宝箱</v>
          </cell>
          <cell r="E455">
            <v>200</v>
          </cell>
          <cell r="F455">
            <v>1</v>
          </cell>
          <cell r="G455">
            <v>1</v>
          </cell>
          <cell r="H455">
            <v>1</v>
          </cell>
          <cell r="I455">
            <v>200</v>
          </cell>
          <cell r="J455">
            <v>200</v>
          </cell>
          <cell r="K455">
            <v>200</v>
          </cell>
          <cell r="L455" t="str">
            <v/>
          </cell>
        </row>
        <row r="456">
          <cell r="C456">
            <v>23540</v>
          </cell>
          <cell r="D456" t="str">
            <v>500偕作玉宝箱</v>
          </cell>
          <cell r="E456">
            <v>500</v>
          </cell>
          <cell r="F456">
            <v>1</v>
          </cell>
          <cell r="G456">
            <v>1</v>
          </cell>
          <cell r="H456">
            <v>1</v>
          </cell>
          <cell r="I456">
            <v>500</v>
          </cell>
          <cell r="J456">
            <v>500</v>
          </cell>
          <cell r="K456">
            <v>500</v>
          </cell>
          <cell r="L456" t="str">
            <v/>
          </cell>
        </row>
        <row r="457">
          <cell r="C457">
            <v>90510</v>
          </cell>
          <cell r="D457" t="str">
            <v>偕作玉</v>
          </cell>
          <cell r="E457">
            <v>1</v>
          </cell>
          <cell r="F457">
            <v>1</v>
          </cell>
          <cell r="G457">
            <v>1</v>
          </cell>
          <cell r="H457">
            <v>1</v>
          </cell>
          <cell r="I457">
            <v>1</v>
          </cell>
          <cell r="J457">
            <v>1</v>
          </cell>
          <cell r="K457">
            <v>1</v>
          </cell>
          <cell r="L457" t="str">
            <v/>
          </cell>
        </row>
        <row r="458">
          <cell r="C458">
            <v>90512</v>
          </cell>
          <cell r="D458" t="str">
            <v>文心</v>
          </cell>
          <cell r="E458">
            <v>0.33333333333333331</v>
          </cell>
          <cell r="F458">
            <v>1</v>
          </cell>
          <cell r="G458">
            <v>1</v>
          </cell>
          <cell r="H458">
            <v>1</v>
          </cell>
          <cell r="I458">
            <v>0.33333333333333331</v>
          </cell>
          <cell r="J458">
            <v>0.33333333333333331</v>
          </cell>
          <cell r="K458">
            <v>0.33333333333333331</v>
          </cell>
          <cell r="L458" t="str">
            <v/>
          </cell>
        </row>
        <row r="459">
          <cell r="C459">
            <v>90513</v>
          </cell>
          <cell r="D459" t="str">
            <v>宝物精华</v>
          </cell>
          <cell r="E459">
            <v>100</v>
          </cell>
          <cell r="F459">
            <v>1</v>
          </cell>
          <cell r="G459">
            <v>1</v>
          </cell>
          <cell r="H459">
            <v>1</v>
          </cell>
          <cell r="I459">
            <v>100</v>
          </cell>
          <cell r="J459">
            <v>100</v>
          </cell>
          <cell r="K459">
            <v>100</v>
          </cell>
          <cell r="L459" t="str">
            <v/>
          </cell>
        </row>
        <row r="460">
          <cell r="C460">
            <v>23652</v>
          </cell>
          <cell r="D460" t="str">
            <v>流云装备宝箱碎片</v>
          </cell>
          <cell r="E460" t="str">
            <v/>
          </cell>
          <cell r="F460">
            <v>1</v>
          </cell>
          <cell r="G460">
            <v>1</v>
          </cell>
          <cell r="H460">
            <v>1</v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</row>
        <row r="461">
          <cell r="C461">
            <v>23658</v>
          </cell>
          <cell r="D461" t="str">
            <v>乱世王者碎片</v>
          </cell>
          <cell r="E461" t="str">
            <v/>
          </cell>
          <cell r="F461">
            <v>1</v>
          </cell>
          <cell r="G461">
            <v>1</v>
          </cell>
          <cell r="H461">
            <v>1</v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</row>
        <row r="462">
          <cell r="C462" t="str">
            <v/>
          </cell>
          <cell r="D462" t="str">
            <v/>
          </cell>
          <cell r="E462" t="str">
            <v/>
          </cell>
          <cell r="F462">
            <v>1</v>
          </cell>
          <cell r="G462">
            <v>1</v>
          </cell>
          <cell r="H462">
            <v>1</v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</row>
        <row r="463">
          <cell r="C463" t="str">
            <v/>
          </cell>
          <cell r="D463" t="str">
            <v>指定橙+宝物碎片</v>
          </cell>
          <cell r="E463">
            <v>666.66666666666663</v>
          </cell>
          <cell r="F463">
            <v>1</v>
          </cell>
          <cell r="G463">
            <v>1</v>
          </cell>
          <cell r="H463">
            <v>1</v>
          </cell>
          <cell r="I463">
            <v>666.66666666666663</v>
          </cell>
          <cell r="J463">
            <v>666.66666666666663</v>
          </cell>
          <cell r="K463">
            <v>666.66666666666663</v>
          </cell>
          <cell r="L463" t="str">
            <v/>
          </cell>
        </row>
        <row r="464">
          <cell r="C464" t="str">
            <v/>
          </cell>
          <cell r="D464" t="str">
            <v/>
          </cell>
          <cell r="E464" t="str">
            <v/>
          </cell>
          <cell r="F464">
            <v>1</v>
          </cell>
          <cell r="G464">
            <v>1</v>
          </cell>
          <cell r="H464">
            <v>1</v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</row>
        <row r="465">
          <cell r="C465">
            <v>24057</v>
          </cell>
          <cell r="D465" t="str">
            <v>计无所出·极-残片</v>
          </cell>
          <cell r="E465" t="str">
            <v/>
          </cell>
          <cell r="F465">
            <v>1</v>
          </cell>
          <cell r="G465">
            <v>1</v>
          </cell>
          <cell r="H465">
            <v>1</v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</row>
        <row r="466">
          <cell r="C466">
            <v>23410</v>
          </cell>
          <cell r="D466" t="str">
            <v>无字天书碎片</v>
          </cell>
          <cell r="E466" t="str">
            <v/>
          </cell>
          <cell r="F466">
            <v>1</v>
          </cell>
          <cell r="G466">
            <v>1</v>
          </cell>
          <cell r="H466">
            <v>1</v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</row>
        <row r="467">
          <cell r="C467">
            <v>24021</v>
          </cell>
          <cell r="D467" t="str">
            <v>三级阵旗随机宝箱</v>
          </cell>
          <cell r="E467" t="str">
            <v/>
          </cell>
          <cell r="F467">
            <v>1</v>
          </cell>
          <cell r="G467">
            <v>1</v>
          </cell>
          <cell r="H467">
            <v>1</v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</row>
        <row r="468">
          <cell r="C468">
            <v>24078</v>
          </cell>
          <cell r="D468" t="str">
            <v>赛季武将碎片自选</v>
          </cell>
          <cell r="E468" t="str">
            <v/>
          </cell>
          <cell r="F468">
            <v>1</v>
          </cell>
          <cell r="G468">
            <v>1</v>
          </cell>
          <cell r="H468">
            <v>1</v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</row>
        <row r="469">
          <cell r="C469" t="str">
            <v/>
          </cell>
          <cell r="D469" t="str">
            <v/>
          </cell>
          <cell r="E469" t="str">
            <v/>
          </cell>
          <cell r="F469">
            <v>1</v>
          </cell>
          <cell r="G469">
            <v>1</v>
          </cell>
          <cell r="H469">
            <v>1</v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</row>
        <row r="470">
          <cell r="C470">
            <v>23521</v>
          </cell>
          <cell r="D470" t="str">
            <v>将军印碎片</v>
          </cell>
          <cell r="E470" t="str">
            <v/>
          </cell>
          <cell r="F470">
            <v>1</v>
          </cell>
          <cell r="G470">
            <v>1</v>
          </cell>
          <cell r="H470">
            <v>1</v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</row>
        <row r="471">
          <cell r="C471">
            <v>23522</v>
          </cell>
          <cell r="D471" t="str">
            <v>上将印碎片</v>
          </cell>
          <cell r="E471" t="str">
            <v/>
          </cell>
          <cell r="F471">
            <v>1</v>
          </cell>
          <cell r="G471">
            <v>1</v>
          </cell>
          <cell r="H471">
            <v>1</v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</row>
        <row r="472">
          <cell r="C472">
            <v>23523</v>
          </cell>
          <cell r="D472" t="str">
            <v>统帅印碎片</v>
          </cell>
          <cell r="E472" t="str">
            <v/>
          </cell>
          <cell r="F472">
            <v>1</v>
          </cell>
          <cell r="G472">
            <v>1</v>
          </cell>
          <cell r="H472">
            <v>1</v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</row>
        <row r="473">
          <cell r="C473" t="str">
            <v/>
          </cell>
          <cell r="D473" t="str">
            <v/>
          </cell>
          <cell r="E473" t="str">
            <v/>
          </cell>
          <cell r="F473">
            <v>1</v>
          </cell>
          <cell r="G473">
            <v>1</v>
          </cell>
          <cell r="H473">
            <v>1</v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</row>
        <row r="474">
          <cell r="C474" t="str">
            <v/>
          </cell>
          <cell r="D474" t="str">
            <v/>
          </cell>
          <cell r="E474" t="str">
            <v/>
          </cell>
          <cell r="F474">
            <v>1</v>
          </cell>
          <cell r="G474">
            <v>1</v>
          </cell>
          <cell r="H474">
            <v>1</v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</row>
        <row r="475">
          <cell r="C475" t="str">
            <v/>
          </cell>
          <cell r="D475" t="str">
            <v/>
          </cell>
          <cell r="E475" t="str">
            <v/>
          </cell>
          <cell r="F475">
            <v>1</v>
          </cell>
          <cell r="G475">
            <v>1</v>
          </cell>
          <cell r="H475">
            <v>1</v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</row>
        <row r="476">
          <cell r="C476" t="str">
            <v/>
          </cell>
          <cell r="D476" t="str">
            <v/>
          </cell>
          <cell r="E476" t="str">
            <v/>
          </cell>
          <cell r="F476">
            <v>1</v>
          </cell>
          <cell r="G476">
            <v>1</v>
          </cell>
          <cell r="H476">
            <v>1</v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</row>
        <row r="477">
          <cell r="C477" t="str">
            <v/>
          </cell>
          <cell r="D477" t="str">
            <v/>
          </cell>
          <cell r="E477" t="str">
            <v/>
          </cell>
          <cell r="F477">
            <v>1</v>
          </cell>
          <cell r="G477">
            <v>1</v>
          </cell>
          <cell r="H477">
            <v>1</v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</row>
        <row r="478">
          <cell r="C478" t="str">
            <v/>
          </cell>
          <cell r="D478" t="str">
            <v/>
          </cell>
          <cell r="E478" t="str">
            <v/>
          </cell>
          <cell r="F478">
            <v>1</v>
          </cell>
          <cell r="G478">
            <v>1</v>
          </cell>
          <cell r="H478">
            <v>1</v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</row>
        <row r="479">
          <cell r="C479" t="str">
            <v/>
          </cell>
          <cell r="D479" t="str">
            <v/>
          </cell>
          <cell r="E479" t="str">
            <v/>
          </cell>
          <cell r="F479">
            <v>1</v>
          </cell>
          <cell r="G479">
            <v>1</v>
          </cell>
          <cell r="H479">
            <v>1</v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</row>
        <row r="480">
          <cell r="C480" t="str">
            <v/>
          </cell>
          <cell r="D480" t="str">
            <v/>
          </cell>
          <cell r="E480" t="str">
            <v/>
          </cell>
          <cell r="F480">
            <v>1</v>
          </cell>
          <cell r="G480">
            <v>1</v>
          </cell>
          <cell r="H480">
            <v>1</v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</row>
        <row r="481">
          <cell r="C481" t="str">
            <v/>
          </cell>
          <cell r="D481" t="str">
            <v/>
          </cell>
          <cell r="E481" t="str">
            <v/>
          </cell>
          <cell r="F481">
            <v>1</v>
          </cell>
          <cell r="G481">
            <v>1</v>
          </cell>
          <cell r="H481">
            <v>1</v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</row>
        <row r="482">
          <cell r="C482" t="str">
            <v/>
          </cell>
          <cell r="D482" t="str">
            <v/>
          </cell>
          <cell r="E482" t="str">
            <v/>
          </cell>
          <cell r="F482">
            <v>1</v>
          </cell>
          <cell r="G482">
            <v>1</v>
          </cell>
          <cell r="H482">
            <v>1</v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</row>
        <row r="483">
          <cell r="C483" t="str">
            <v/>
          </cell>
          <cell r="D483" t="str">
            <v/>
          </cell>
          <cell r="E483" t="str">
            <v/>
          </cell>
          <cell r="F483">
            <v>1</v>
          </cell>
          <cell r="G483">
            <v>1</v>
          </cell>
          <cell r="H483">
            <v>1</v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</row>
        <row r="484">
          <cell r="C484" t="str">
            <v/>
          </cell>
          <cell r="D484" t="str">
            <v/>
          </cell>
          <cell r="E484" t="str">
            <v/>
          </cell>
          <cell r="F484">
            <v>1</v>
          </cell>
          <cell r="G484">
            <v>1</v>
          </cell>
          <cell r="H484">
            <v>1</v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</row>
        <row r="485">
          <cell r="C485" t="str">
            <v/>
          </cell>
          <cell r="D485" t="str">
            <v/>
          </cell>
          <cell r="E485" t="str">
            <v/>
          </cell>
          <cell r="F485">
            <v>1</v>
          </cell>
          <cell r="G485">
            <v>1</v>
          </cell>
          <cell r="H485">
            <v>1</v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</row>
        <row r="486">
          <cell r="C486" t="str">
            <v/>
          </cell>
          <cell r="D486" t="str">
            <v/>
          </cell>
          <cell r="E486" t="str">
            <v/>
          </cell>
          <cell r="F486">
            <v>1</v>
          </cell>
          <cell r="G486">
            <v>1</v>
          </cell>
          <cell r="H486">
            <v>1</v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</row>
        <row r="487">
          <cell r="C487" t="str">
            <v/>
          </cell>
          <cell r="D487" t="str">
            <v/>
          </cell>
          <cell r="E487" t="str">
            <v/>
          </cell>
          <cell r="F487">
            <v>1</v>
          </cell>
          <cell r="G487">
            <v>1</v>
          </cell>
          <cell r="H487">
            <v>1</v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</row>
        <row r="488">
          <cell r="C488" t="str">
            <v/>
          </cell>
          <cell r="D488" t="str">
            <v/>
          </cell>
          <cell r="E488" t="str">
            <v/>
          </cell>
          <cell r="F488">
            <v>1</v>
          </cell>
          <cell r="G488">
            <v>1</v>
          </cell>
          <cell r="H488">
            <v>1</v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</row>
        <row r="489">
          <cell r="C489" t="str">
            <v/>
          </cell>
          <cell r="D489" t="str">
            <v/>
          </cell>
          <cell r="E489" t="str">
            <v/>
          </cell>
          <cell r="F489">
            <v>1</v>
          </cell>
          <cell r="G489">
            <v>1</v>
          </cell>
          <cell r="H489">
            <v>1</v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</row>
        <row r="490">
          <cell r="C490" t="str">
            <v/>
          </cell>
          <cell r="D490" t="str">
            <v/>
          </cell>
          <cell r="E490" t="str">
            <v/>
          </cell>
          <cell r="F490">
            <v>1</v>
          </cell>
          <cell r="G490">
            <v>1</v>
          </cell>
          <cell r="H490">
            <v>1</v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</row>
        <row r="491">
          <cell r="C491" t="str">
            <v/>
          </cell>
          <cell r="D491" t="str">
            <v/>
          </cell>
          <cell r="E491" t="str">
            <v/>
          </cell>
          <cell r="F491">
            <v>1</v>
          </cell>
          <cell r="G491">
            <v>1</v>
          </cell>
          <cell r="H491">
            <v>1</v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</row>
        <row r="492">
          <cell r="C492" t="str">
            <v/>
          </cell>
          <cell r="D492" t="str">
            <v/>
          </cell>
          <cell r="E492" t="str">
            <v/>
          </cell>
          <cell r="F492">
            <v>1</v>
          </cell>
          <cell r="G492">
            <v>1</v>
          </cell>
          <cell r="H492">
            <v>1</v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</row>
        <row r="493">
          <cell r="C493" t="str">
            <v/>
          </cell>
          <cell r="D493" t="str">
            <v/>
          </cell>
          <cell r="E493" t="str">
            <v/>
          </cell>
          <cell r="F493">
            <v>1</v>
          </cell>
          <cell r="G493">
            <v>1</v>
          </cell>
          <cell r="H493">
            <v>1</v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</row>
        <row r="494">
          <cell r="C494" t="str">
            <v/>
          </cell>
          <cell r="D494" t="str">
            <v/>
          </cell>
          <cell r="E494" t="str">
            <v/>
          </cell>
          <cell r="F494">
            <v>1</v>
          </cell>
          <cell r="G494">
            <v>1</v>
          </cell>
          <cell r="H494">
            <v>1</v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</row>
        <row r="495">
          <cell r="C495" t="str">
            <v/>
          </cell>
          <cell r="D495" t="str">
            <v/>
          </cell>
          <cell r="E495" t="str">
            <v/>
          </cell>
          <cell r="F495">
            <v>1</v>
          </cell>
          <cell r="G495">
            <v>1</v>
          </cell>
          <cell r="H495">
            <v>1</v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</row>
        <row r="496">
          <cell r="C496" t="str">
            <v/>
          </cell>
          <cell r="D496" t="str">
            <v/>
          </cell>
          <cell r="E496" t="str">
            <v/>
          </cell>
          <cell r="F496">
            <v>1</v>
          </cell>
          <cell r="G496">
            <v>1</v>
          </cell>
          <cell r="H496">
            <v>1</v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</row>
        <row r="497">
          <cell r="C497" t="str">
            <v/>
          </cell>
          <cell r="D497" t="str">
            <v/>
          </cell>
          <cell r="E497" t="str">
            <v/>
          </cell>
          <cell r="F497">
            <v>1</v>
          </cell>
          <cell r="G497">
            <v>1</v>
          </cell>
          <cell r="H497">
            <v>1</v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</row>
        <row r="498">
          <cell r="C498" t="str">
            <v/>
          </cell>
          <cell r="D498" t="str">
            <v/>
          </cell>
          <cell r="E498" t="str">
            <v/>
          </cell>
          <cell r="F498">
            <v>1</v>
          </cell>
          <cell r="G498">
            <v>1</v>
          </cell>
          <cell r="H498">
            <v>1</v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</row>
        <row r="499">
          <cell r="C499" t="str">
            <v/>
          </cell>
          <cell r="D499" t="str">
            <v/>
          </cell>
          <cell r="E499" t="str">
            <v/>
          </cell>
          <cell r="F499">
            <v>1</v>
          </cell>
          <cell r="G499">
            <v>1</v>
          </cell>
          <cell r="H499">
            <v>1</v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</row>
        <row r="500">
          <cell r="C500" t="str">
            <v/>
          </cell>
          <cell r="D500" t="str">
            <v/>
          </cell>
          <cell r="E500" t="str">
            <v/>
          </cell>
          <cell r="F500">
            <v>1</v>
          </cell>
          <cell r="G500">
            <v>1</v>
          </cell>
          <cell r="H500">
            <v>1</v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</row>
        <row r="501">
          <cell r="C501" t="str">
            <v/>
          </cell>
          <cell r="D501" t="str">
            <v/>
          </cell>
          <cell r="E501" t="str">
            <v/>
          </cell>
          <cell r="F501">
            <v>1</v>
          </cell>
          <cell r="G501">
            <v>1</v>
          </cell>
          <cell r="H501">
            <v>1</v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</row>
        <row r="502">
          <cell r="C502" t="str">
            <v/>
          </cell>
          <cell r="D502" t="str">
            <v/>
          </cell>
          <cell r="E502" t="str">
            <v/>
          </cell>
          <cell r="F502">
            <v>1</v>
          </cell>
          <cell r="G502">
            <v>1</v>
          </cell>
          <cell r="H502">
            <v>1</v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</row>
        <row r="503">
          <cell r="C503" t="str">
            <v/>
          </cell>
          <cell r="D503" t="str">
            <v/>
          </cell>
          <cell r="E503" t="str">
            <v/>
          </cell>
          <cell r="F503">
            <v>1</v>
          </cell>
          <cell r="G503">
            <v>1</v>
          </cell>
          <cell r="H503">
            <v>1</v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S363"/>
  <sheetViews>
    <sheetView workbookViewId="0">
      <selection activeCell="B110" sqref="B110:O163"/>
    </sheetView>
  </sheetViews>
  <sheetFormatPr defaultColWidth="6.625" defaultRowHeight="11.25" x14ac:dyDescent="0.15"/>
  <cols>
    <col min="1" max="1" width="6.625" style="1"/>
    <col min="2" max="2" width="10.5" style="1" bestFit="1" customWidth="1"/>
    <col min="3" max="23" width="6.625" style="1"/>
    <col min="24" max="24" width="6.625" style="4"/>
    <col min="25" max="31" width="6.625" style="1"/>
    <col min="32" max="32" width="6.625" style="2"/>
    <col min="33" max="38" width="6.625" style="1"/>
    <col min="39" max="39" width="6.625" style="2"/>
    <col min="40" max="16384" width="6.625" style="1"/>
  </cols>
  <sheetData>
    <row r="1" spans="2:45" x14ac:dyDescent="0.15">
      <c r="AA1" s="1">
        <v>1</v>
      </c>
      <c r="AB1" s="1">
        <v>0.8</v>
      </c>
      <c r="AC1" s="1">
        <v>0.6</v>
      </c>
      <c r="AD1" s="1">
        <v>0.4</v>
      </c>
      <c r="AE1" s="1">
        <v>0.2</v>
      </c>
    </row>
    <row r="2" spans="2:45" x14ac:dyDescent="0.15">
      <c r="D2" s="23" t="s">
        <v>17</v>
      </c>
      <c r="E2" s="23"/>
      <c r="F2" s="23"/>
      <c r="G2" s="23"/>
      <c r="H2" s="23"/>
      <c r="K2" s="23" t="s">
        <v>18</v>
      </c>
      <c r="L2" s="23"/>
      <c r="M2" s="23"/>
      <c r="N2" s="23"/>
      <c r="O2" s="23"/>
      <c r="R2" s="23" t="s">
        <v>19</v>
      </c>
      <c r="S2" s="23"/>
      <c r="T2" s="23"/>
      <c r="U2" s="23"/>
      <c r="V2" s="23"/>
      <c r="AA2" s="23" t="s">
        <v>7</v>
      </c>
      <c r="AB2" s="23"/>
      <c r="AC2" s="23"/>
      <c r="AD2" s="23"/>
      <c r="AE2" s="23"/>
      <c r="AH2" s="23" t="s">
        <v>8</v>
      </c>
      <c r="AI2" s="23"/>
      <c r="AJ2" s="23"/>
      <c r="AK2" s="23"/>
      <c r="AL2" s="23"/>
      <c r="AO2" s="23" t="s">
        <v>9</v>
      </c>
      <c r="AP2" s="23"/>
      <c r="AQ2" s="23"/>
      <c r="AR2" s="23"/>
      <c r="AS2" s="23"/>
    </row>
    <row r="3" spans="2:45" x14ac:dyDescent="0.15">
      <c r="B3" s="1" t="str">
        <f>[1]节奏总纲!N3</f>
        <v>对应玩家等级</v>
      </c>
      <c r="C3" s="1" t="s">
        <v>20</v>
      </c>
      <c r="D3" s="1" t="s">
        <v>0</v>
      </c>
      <c r="E3" s="1" t="s">
        <v>1</v>
      </c>
      <c r="F3" s="1" t="s">
        <v>2</v>
      </c>
      <c r="G3" s="1" t="s">
        <v>3</v>
      </c>
      <c r="H3" s="1" t="s">
        <v>4</v>
      </c>
      <c r="J3" s="1" t="s">
        <v>20</v>
      </c>
      <c r="K3" s="1" t="s">
        <v>0</v>
      </c>
      <c r="L3" s="1" t="s">
        <v>1</v>
      </c>
      <c r="M3" s="1" t="s">
        <v>5</v>
      </c>
      <c r="N3" s="1" t="s">
        <v>3</v>
      </c>
      <c r="O3" s="1" t="s">
        <v>4</v>
      </c>
      <c r="Q3" s="1" t="s">
        <v>6</v>
      </c>
      <c r="R3" s="1" t="s">
        <v>0</v>
      </c>
      <c r="S3" s="1" t="s">
        <v>1</v>
      </c>
      <c r="T3" s="1" t="s">
        <v>2</v>
      </c>
      <c r="U3" s="1" t="s">
        <v>3</v>
      </c>
      <c r="V3" s="1" t="s">
        <v>4</v>
      </c>
      <c r="Z3" s="1" t="s">
        <v>10</v>
      </c>
      <c r="AA3" s="1" t="s">
        <v>0</v>
      </c>
      <c r="AB3" s="1" t="s">
        <v>11</v>
      </c>
      <c r="AC3" s="1" t="s">
        <v>2</v>
      </c>
      <c r="AD3" s="1" t="s">
        <v>12</v>
      </c>
      <c r="AE3" s="1" t="s">
        <v>4</v>
      </c>
      <c r="AG3" s="1" t="s">
        <v>10</v>
      </c>
      <c r="AH3" s="1" t="s">
        <v>0</v>
      </c>
      <c r="AI3" s="1" t="s">
        <v>1</v>
      </c>
      <c r="AJ3" s="1" t="s">
        <v>13</v>
      </c>
      <c r="AK3" s="1" t="s">
        <v>14</v>
      </c>
      <c r="AL3" s="1" t="s">
        <v>4</v>
      </c>
      <c r="AN3" s="1" t="s">
        <v>15</v>
      </c>
      <c r="AO3" s="1" t="s">
        <v>0</v>
      </c>
      <c r="AP3" s="1" t="s">
        <v>1</v>
      </c>
      <c r="AQ3" s="1" t="s">
        <v>2</v>
      </c>
      <c r="AR3" s="1" t="s">
        <v>12</v>
      </c>
      <c r="AS3" s="1" t="s">
        <v>16</v>
      </c>
    </row>
    <row r="4" spans="2:45" x14ac:dyDescent="0.15">
      <c r="B4" s="1">
        <f>[1]节奏总纲!N4</f>
        <v>2</v>
      </c>
      <c r="C4" s="1">
        <v>1</v>
      </c>
      <c r="D4" s="1">
        <f>[1]节奏总纲!P4</f>
        <v>7.1773462536293131E-2</v>
      </c>
      <c r="E4" s="1">
        <f>[1]节奏总纲!Q4</f>
        <v>5.9787294292732177E-2</v>
      </c>
      <c r="F4" s="1">
        <f>[1]节奏总纲!R4</f>
        <v>4.677476553490223E-2</v>
      </c>
      <c r="G4" s="1">
        <f>[1]节奏总纲!S4</f>
        <v>3.2585151991477081E-2</v>
      </c>
      <c r="H4" s="1">
        <f>[1]节奏总纲!T4</f>
        <v>1.7039020006115988E-2</v>
      </c>
      <c r="J4" s="1">
        <v>1</v>
      </c>
      <c r="K4" s="1">
        <f>[1]节奏总纲!W4</f>
        <v>7.1773462536293131E-2</v>
      </c>
      <c r="L4" s="1">
        <f>[1]节奏总纲!X4</f>
        <v>5.9787294292732177E-2</v>
      </c>
      <c r="M4" s="1">
        <f>[1]节奏总纲!Y4</f>
        <v>4.677476553490223E-2</v>
      </c>
      <c r="N4" s="1">
        <f>[1]节奏总纲!Z4</f>
        <v>3.2585151991477081E-2</v>
      </c>
      <c r="O4" s="1">
        <f>[1]节奏总纲!AA4</f>
        <v>1.7039020006115988E-2</v>
      </c>
      <c r="Q4" s="1">
        <v>1</v>
      </c>
      <c r="R4" s="1">
        <f>[1]节奏总纲!AD4</f>
        <v>10</v>
      </c>
      <c r="S4" s="1">
        <f>[1]节奏总纲!AE4</f>
        <v>11.148446722089302</v>
      </c>
      <c r="T4" s="1">
        <f>[1]节奏总纲!AF4</f>
        <v>12.761737853656415</v>
      </c>
      <c r="U4" s="1">
        <f>[1]节奏总纲!AG4</f>
        <v>15.452231935206081</v>
      </c>
      <c r="V4" s="1">
        <f>[1]节奏总纲!AH4</f>
        <v>21.291911942729964</v>
      </c>
      <c r="Z4" s="1">
        <v>1</v>
      </c>
      <c r="AA4" s="1">
        <f>[1]节奏总纲!AM4</f>
        <v>7.4349177498517554E-3</v>
      </c>
      <c r="AB4" s="1">
        <f>[1]节奏总纲!AN4</f>
        <v>5.947934199881405E-3</v>
      </c>
      <c r="AC4" s="1">
        <f>[1]节奏总纲!AO4</f>
        <v>4.4609506499110529E-3</v>
      </c>
      <c r="AD4" s="1">
        <f>[1]节奏总纲!AP4</f>
        <v>2.9739670999407025E-3</v>
      </c>
      <c r="AE4" s="1">
        <f>[1]节奏总纲!AQ4</f>
        <v>1.4869835499703513E-3</v>
      </c>
      <c r="AG4" s="1">
        <v>1</v>
      </c>
      <c r="AH4" s="1">
        <f>[1]节奏总纲!AT4</f>
        <v>7.4349177498517554E-3</v>
      </c>
      <c r="AI4" s="1">
        <f>[1]节奏总纲!AU4</f>
        <v>5.947934199881405E-3</v>
      </c>
      <c r="AJ4" s="1">
        <f>[1]节奏总纲!AV4</f>
        <v>4.4609506499110529E-3</v>
      </c>
      <c r="AK4" s="1">
        <f>[1]节奏总纲!AW4</f>
        <v>2.9739670999407025E-3</v>
      </c>
      <c r="AL4" s="1">
        <f>[1]节奏总纲!AX4</f>
        <v>1.4869835499703513E-3</v>
      </c>
      <c r="AM4" s="1"/>
      <c r="AN4" s="1">
        <v>1</v>
      </c>
      <c r="AO4" s="1">
        <f>[1]节奏总纲!BA4</f>
        <v>11.296493250964016</v>
      </c>
      <c r="AP4" s="1">
        <f>[1]节奏总纲!BB4</f>
        <v>12.361596792946616</v>
      </c>
      <c r="AQ4" s="1">
        <f>[1]节奏总纲!BC4</f>
        <v>13.798091195443488</v>
      </c>
      <c r="AR4" s="1">
        <f>[1]节奏总纲!BD4</f>
        <v>15.911635365458322</v>
      </c>
      <c r="AS4" s="1">
        <f>[1]节奏总纲!BE4</f>
        <v>19.707330185578734</v>
      </c>
    </row>
    <row r="5" spans="2:45" x14ac:dyDescent="0.15">
      <c r="B5" s="1">
        <f>[1]节奏总纲!N5</f>
        <v>4</v>
      </c>
      <c r="C5" s="1">
        <v>2</v>
      </c>
      <c r="D5" s="1">
        <f>[1]节奏总纲!P5</f>
        <v>0.1486983549970351</v>
      </c>
      <c r="E5" s="1">
        <f>[1]节奏总纲!Q5</f>
        <v>0.12505531655250651</v>
      </c>
      <c r="F5" s="1">
        <f>[1]节奏总纲!R5</f>
        <v>9.883979656652922E-2</v>
      </c>
      <c r="G5" s="1">
        <f>[1]节奏总纲!S5</f>
        <v>6.9828747506607683E-2</v>
      </c>
      <c r="H5" s="1">
        <f>[1]节奏总纲!T5</f>
        <v>3.7085369736260552E-2</v>
      </c>
      <c r="J5" s="1">
        <v>2</v>
      </c>
      <c r="K5" s="1">
        <f>[1]节奏总纲!W5</f>
        <v>7.6924892460741967E-2</v>
      </c>
      <c r="L5" s="1">
        <f>[1]节奏总纲!X5</f>
        <v>6.5268022259774336E-2</v>
      </c>
      <c r="M5" s="1">
        <f>[1]节奏总纲!Y5</f>
        <v>5.206503103162699E-2</v>
      </c>
      <c r="N5" s="1">
        <f>[1]节奏总纲!Z5</f>
        <v>3.7243595515130602E-2</v>
      </c>
      <c r="O5" s="1">
        <f>[1]节奏总纲!AA5</f>
        <v>2.0046349730144564E-2</v>
      </c>
      <c r="Q5" s="1">
        <v>2</v>
      </c>
      <c r="R5" s="1">
        <f>[1]节奏总纲!AD5</f>
        <v>15.845161563010114</v>
      </c>
      <c r="S5" s="1">
        <f>[1]节奏总纲!AE5</f>
        <v>17.271997130667014</v>
      </c>
      <c r="T5" s="1">
        <f>[1]节奏总纲!AF5</f>
        <v>19.263096801323076</v>
      </c>
      <c r="U5" s="1">
        <f>[1]节奏总纲!AG5</f>
        <v>22.536681597650272</v>
      </c>
      <c r="V5" s="1">
        <f>[1]节奏总纲!AH5</f>
        <v>29.386000042029625</v>
      </c>
      <c r="Z5" s="1">
        <v>2</v>
      </c>
      <c r="AA5" s="1">
        <f>[1]节奏总纲!AM5</f>
        <v>2.3963093307967063E-2</v>
      </c>
      <c r="AB5" s="1">
        <f>[1]节奏总纲!AN5</f>
        <v>1.9170474646373652E-2</v>
      </c>
      <c r="AC5" s="1">
        <f>[1]节奏总纲!AO5</f>
        <v>1.4377855984780237E-2</v>
      </c>
      <c r="AD5" s="1">
        <f>[1]节奏总纲!AP5</f>
        <v>9.5852373231868262E-3</v>
      </c>
      <c r="AE5" s="1">
        <f>[1]节奏总纲!AQ5</f>
        <v>4.7926186615934131E-3</v>
      </c>
      <c r="AG5" s="1">
        <v>2</v>
      </c>
      <c r="AH5" s="1">
        <f>[1]节奏总纲!AT5</f>
        <v>1.6528175558115307E-2</v>
      </c>
      <c r="AI5" s="1">
        <f>[1]节奏总纲!AU5</f>
        <v>1.3222540446492247E-2</v>
      </c>
      <c r="AJ5" s="1">
        <f>[1]节奏总纲!AV5</f>
        <v>9.9169053348691846E-3</v>
      </c>
      <c r="AK5" s="1">
        <f>[1]节奏总纲!AW5</f>
        <v>6.6112702232461237E-3</v>
      </c>
      <c r="AL5" s="1">
        <f>[1]节奏总纲!AX5</f>
        <v>3.3056351116230618E-3</v>
      </c>
      <c r="AM5" s="1"/>
      <c r="AN5" s="1">
        <v>2</v>
      </c>
      <c r="AO5" s="1">
        <f>[1]节奏总纲!BA5</f>
        <v>14.729965238833779</v>
      </c>
      <c r="AP5" s="1">
        <f>[1]节奏总纲!BB5</f>
        <v>15.911635365458322</v>
      </c>
      <c r="AQ5" s="1">
        <f>[1]节奏总纲!BC5</f>
        <v>17.448850811924295</v>
      </c>
      <c r="AR5" s="1">
        <f>[1]节奏总纲!BD5</f>
        <v>19.707330185578734</v>
      </c>
      <c r="AS5" s="1">
        <f>[1]节奏总纲!BE5</f>
        <v>23.710496742673982</v>
      </c>
    </row>
    <row r="6" spans="2:45" x14ac:dyDescent="0.15">
      <c r="B6" s="1">
        <f>[1]节奏总纲!N6</f>
        <v>6</v>
      </c>
      <c r="C6" s="1">
        <v>3</v>
      </c>
      <c r="D6" s="1">
        <f>[1]节奏总纲!P6</f>
        <v>0.23114441334491631</v>
      </c>
      <c r="E6" s="1">
        <f>[1]节奏总纲!Q6</f>
        <v>0.19582554698581309</v>
      </c>
      <c r="F6" s="1">
        <f>[1]节奏总纲!R6</f>
        <v>0.15616116565582547</v>
      </c>
      <c r="G6" s="1">
        <f>[1]节奏总纲!S6</f>
        <v>0.11120357726023924</v>
      </c>
      <c r="H6" s="1">
        <f>[1]节奏总纲!T6</f>
        <v>5.9380999788309005E-2</v>
      </c>
      <c r="J6" s="1">
        <v>3</v>
      </c>
      <c r="K6" s="1">
        <f>[1]节奏总纲!W6</f>
        <v>8.2446058347881213E-2</v>
      </c>
      <c r="L6" s="1">
        <f>[1]节奏总纲!X6</f>
        <v>7.0770230433306575E-2</v>
      </c>
      <c r="M6" s="1">
        <f>[1]节奏总纲!Y6</f>
        <v>5.7321369089296248E-2</v>
      </c>
      <c r="N6" s="1">
        <f>[1]节奏总纲!Z6</f>
        <v>4.1374829753631562E-2</v>
      </c>
      <c r="O6" s="1">
        <f>[1]节奏总纲!AA6</f>
        <v>2.2295630052048453E-2</v>
      </c>
      <c r="Q6" s="1">
        <v>3</v>
      </c>
      <c r="R6" s="1">
        <f>[1]节奏总纲!AD6</f>
        <v>20</v>
      </c>
      <c r="S6" s="1">
        <f>[1]节奏总纲!AE6</f>
        <v>21.543844702365945</v>
      </c>
      <c r="T6" s="1">
        <f>[1]节奏总纲!AF6</f>
        <v>23.734615677065324</v>
      </c>
      <c r="U6" s="1">
        <f>[1]节奏总纲!AG6</f>
        <v>27.324610510337703</v>
      </c>
      <c r="V6" s="1">
        <f>[1]节奏总纲!AH6</f>
        <v>34.517938607173015</v>
      </c>
      <c r="Z6" s="1">
        <v>3</v>
      </c>
      <c r="AA6" s="1">
        <f>[1]节奏总纲!AM6</f>
        <v>5.1571656651039799E-2</v>
      </c>
      <c r="AB6" s="1">
        <f>[1]节奏总纲!AN6</f>
        <v>4.1257325320831845E-2</v>
      </c>
      <c r="AC6" s="1">
        <f>[1]节奏总纲!AO6</f>
        <v>3.0942993990623877E-2</v>
      </c>
      <c r="AD6" s="1">
        <f>[1]节奏总纲!AP6</f>
        <v>2.0628662660415922E-2</v>
      </c>
      <c r="AE6" s="1">
        <f>[1]节奏总纲!AQ6</f>
        <v>1.0314331330207961E-2</v>
      </c>
      <c r="AG6" s="1">
        <v>3</v>
      </c>
      <c r="AH6" s="1">
        <f>[1]节奏总纲!AT6</f>
        <v>2.7608563343072736E-2</v>
      </c>
      <c r="AI6" s="1">
        <f>[1]节奏总纲!AU6</f>
        <v>2.2086850674458192E-2</v>
      </c>
      <c r="AJ6" s="1">
        <f>[1]节奏总纲!AV6</f>
        <v>1.6565138005843638E-2</v>
      </c>
      <c r="AK6" s="1">
        <f>[1]节奏总纲!AW6</f>
        <v>1.1043425337229096E-2</v>
      </c>
      <c r="AL6" s="1">
        <f>[1]节奏总纲!AX6</f>
        <v>5.5217126686145481E-3</v>
      </c>
      <c r="AM6" s="1"/>
      <c r="AN6" s="1">
        <v>3</v>
      </c>
      <c r="AO6" s="1">
        <f>[1]节奏总纲!BA6</f>
        <v>16.888397947066121</v>
      </c>
      <c r="AP6" s="1">
        <f>[1]节奏总纲!BB6</f>
        <v>18.108391417375849</v>
      </c>
      <c r="AQ6" s="1">
        <f>[1]节奏总纲!BC6</f>
        <v>19.707330185578734</v>
      </c>
      <c r="AR6" s="1">
        <f>[1]节奏总纲!BD6</f>
        <v>22.041972908628715</v>
      </c>
      <c r="AS6" s="1">
        <f>[1]节奏总纲!BE6</f>
        <v>26.127796402772656</v>
      </c>
    </row>
    <row r="7" spans="2:45" x14ac:dyDescent="0.15">
      <c r="B7" s="1">
        <f>[1]节奏总纲!N7</f>
        <v>8</v>
      </c>
      <c r="C7" s="1">
        <v>4</v>
      </c>
      <c r="D7" s="1">
        <f>[1]节奏总纲!P7</f>
        <v>0.3195079107728942</v>
      </c>
      <c r="E7" s="1">
        <f>[1]节奏总纲!Q7</f>
        <v>0.2719651336498875</v>
      </c>
      <c r="F7" s="1">
        <f>[1]节奏总纲!R7</f>
        <v>0.21816000147573214</v>
      </c>
      <c r="G7" s="1">
        <f>[1]节奏总纲!S7</f>
        <v>0.15607961441255883</v>
      </c>
      <c r="H7" s="1">
        <f>[1]节奏总纲!T7</f>
        <v>8.4062531324348461E-2</v>
      </c>
      <c r="J7" s="1">
        <v>4</v>
      </c>
      <c r="K7" s="1">
        <f>[1]节奏总纲!W7</f>
        <v>8.8363497427977888E-2</v>
      </c>
      <c r="L7" s="1">
        <f>[1]节奏总纲!X7</f>
        <v>7.6139586664074416E-2</v>
      </c>
      <c r="M7" s="1">
        <f>[1]节奏总纲!Y7</f>
        <v>6.1998835819906672E-2</v>
      </c>
      <c r="N7" s="1">
        <f>[1]节奏总纲!Z7</f>
        <v>4.4876037152319581E-2</v>
      </c>
      <c r="O7" s="1">
        <f>[1]节奏总纲!AA7</f>
        <v>2.4681531536039455E-2</v>
      </c>
      <c r="Q7" s="1">
        <v>4</v>
      </c>
      <c r="R7" s="1">
        <f>[1]节奏总纲!AD7</f>
        <v>23.213386604241784</v>
      </c>
      <c r="S7" s="1">
        <f>[1]节奏总纲!AE7</f>
        <v>24.836966034810484</v>
      </c>
      <c r="T7" s="1">
        <f>[1]节奏总纲!AF7</f>
        <v>27.155717181399513</v>
      </c>
      <c r="U7" s="1">
        <f>[1]节奏总纲!AG7</f>
        <v>30.831257561377125</v>
      </c>
      <c r="V7" s="1">
        <f>[1]节奏总纲!AH7</f>
        <v>38.431365705145346</v>
      </c>
      <c r="Z7" s="1">
        <v>4</v>
      </c>
      <c r="AA7" s="1">
        <f>[1]节奏总纲!AM7</f>
        <v>9.2637640824031031E-2</v>
      </c>
      <c r="AB7" s="1">
        <f>[1]节奏总纲!AN7</f>
        <v>7.4110112659224833E-2</v>
      </c>
      <c r="AC7" s="1">
        <f>[1]节奏总纲!AO7</f>
        <v>5.5582584494418615E-2</v>
      </c>
      <c r="AD7" s="1">
        <f>[1]节奏总纲!AP7</f>
        <v>3.7055056329612417E-2</v>
      </c>
      <c r="AE7" s="1">
        <f>[1]节奏总纲!AQ7</f>
        <v>1.8527528164806208E-2</v>
      </c>
      <c r="AG7" s="1">
        <v>4</v>
      </c>
      <c r="AH7" s="1">
        <f>[1]节奏总纲!AT7</f>
        <v>4.1065984172991232E-2</v>
      </c>
      <c r="AI7" s="1">
        <f>[1]节奏总纲!AU7</f>
        <v>3.2852787338392989E-2</v>
      </c>
      <c r="AJ7" s="1">
        <f>[1]节奏总纲!AV7</f>
        <v>2.4639590503794738E-2</v>
      </c>
      <c r="AK7" s="1">
        <f>[1]节奏总纲!AW7</f>
        <v>1.6426393669196494E-2</v>
      </c>
      <c r="AL7" s="1">
        <f>[1]节奏总纲!AX7</f>
        <v>8.2131968345982471E-3</v>
      </c>
      <c r="AM7" s="1"/>
      <c r="AN7" s="1">
        <v>4</v>
      </c>
      <c r="AO7" s="1">
        <f>[1]节奏总纲!BA7</f>
        <v>18.453550676044042</v>
      </c>
      <c r="AP7" s="1">
        <f>[1]节奏总纲!BB7</f>
        <v>19.707330185578734</v>
      </c>
      <c r="AQ7" s="1">
        <f>[1]节奏总纲!BC7</f>
        <v>21.34613466141565</v>
      </c>
      <c r="AR7" s="1">
        <f>[1]节奏总纲!BD7</f>
        <v>23.710496742673982</v>
      </c>
      <c r="AS7" s="1">
        <f>[1]节奏总纲!BE7</f>
        <v>27.863030247590562</v>
      </c>
    </row>
    <row r="8" spans="2:45" x14ac:dyDescent="0.15">
      <c r="B8" s="1">
        <f>[1]节奏总纲!N8</f>
        <v>10</v>
      </c>
      <c r="C8" s="1">
        <v>5</v>
      </c>
      <c r="D8" s="1">
        <f>[1]节奏总纲!P8</f>
        <v>0.41421356237309515</v>
      </c>
      <c r="E8" s="1">
        <f>[1]节奏总纲!Q8</f>
        <v>0.35241289886702937</v>
      </c>
      <c r="F8" s="1">
        <f>[1]节奏总纲!R8</f>
        <v>0.28315639123824782</v>
      </c>
      <c r="G8" s="1">
        <f>[1]节奏总纲!S8</f>
        <v>0.20296464556281663</v>
      </c>
      <c r="H8" s="1">
        <f>[1]节奏总纲!T8</f>
        <v>0.10951806589144637</v>
      </c>
      <c r="J8" s="1">
        <v>5</v>
      </c>
      <c r="K8" s="1">
        <f>[1]节奏总纲!W8</f>
        <v>9.4705651600200946E-2</v>
      </c>
      <c r="L8" s="1">
        <f>[1]节奏总纲!X8</f>
        <v>8.0447765217141864E-2</v>
      </c>
      <c r="M8" s="1">
        <f>[1]节奏总纲!Y8</f>
        <v>6.4996389762515677E-2</v>
      </c>
      <c r="N8" s="1">
        <f>[1]节奏总纲!Z8</f>
        <v>4.68850311502578E-2</v>
      </c>
      <c r="O8" s="1">
        <f>[1]节奏总纲!AA8</f>
        <v>2.5455534567097912E-2</v>
      </c>
      <c r="Q8" s="1">
        <v>5</v>
      </c>
      <c r="R8" s="1">
        <f>[1]节奏总纲!AD8</f>
        <v>25.845161563010112</v>
      </c>
      <c r="S8" s="1">
        <f>[1]节奏总纲!AE8</f>
        <v>27.525245270311611</v>
      </c>
      <c r="T8" s="1">
        <f>[1]节奏总纲!AF8</f>
        <v>29.892344464157688</v>
      </c>
      <c r="U8" s="1">
        <f>[1]节奏总纲!AG8</f>
        <v>33.672145166817529</v>
      </c>
      <c r="V8" s="1">
        <f>[1]节奏总纲!AH8</f>
        <v>41.359260538726978</v>
      </c>
      <c r="Z8" s="1">
        <v>5</v>
      </c>
      <c r="AA8" s="1">
        <f>[1]节奏总纲!AM8</f>
        <v>0.15</v>
      </c>
      <c r="AB8" s="1">
        <f>[1]节奏总纲!AN8</f>
        <v>0.12</v>
      </c>
      <c r="AC8" s="1">
        <f>[1]节奏总纲!AO8</f>
        <v>0.09</v>
      </c>
      <c r="AD8" s="1">
        <f>[1]节奏总纲!AP8</f>
        <v>0.06</v>
      </c>
      <c r="AE8" s="1">
        <f>[1]节奏总纲!AQ8</f>
        <v>0.03</v>
      </c>
      <c r="AG8" s="1">
        <v>5</v>
      </c>
      <c r="AH8" s="1">
        <f>[1]节奏总纲!AT8</f>
        <v>5.7362359175968963E-2</v>
      </c>
      <c r="AI8" s="1">
        <f>[1]节奏总纲!AU8</f>
        <v>4.5889887340775162E-2</v>
      </c>
      <c r="AJ8" s="1">
        <f>[1]节奏总纲!AV8</f>
        <v>3.4417415505581382E-2</v>
      </c>
      <c r="AK8" s="1">
        <f>[1]节奏总纲!AW8</f>
        <v>2.2944943670387581E-2</v>
      </c>
      <c r="AL8" s="1">
        <f>[1]节奏总纲!AX8</f>
        <v>1.1472471835193791E-2</v>
      </c>
      <c r="AM8" s="1"/>
      <c r="AN8" s="1">
        <v>5</v>
      </c>
      <c r="AO8" s="1">
        <f>[1]节奏总纲!BA8</f>
        <v>19.707330185578734</v>
      </c>
      <c r="AP8" s="1">
        <f>[1]节奏总纲!BB8</f>
        <v>20.993539484876777</v>
      </c>
      <c r="AQ8" s="1">
        <f>[1]节奏总纲!BC8</f>
        <v>22.639743033177162</v>
      </c>
      <c r="AR8" s="1">
        <f>[1]节奏总纲!BD8</f>
        <v>25.044229735272328</v>
      </c>
      <c r="AS8" s="1">
        <f>[1]节奏总纲!BE8</f>
        <v>29.216428548527322</v>
      </c>
    </row>
    <row r="9" spans="2:45" x14ac:dyDescent="0.15">
      <c r="B9" s="1">
        <f>[1]节奏总纲!N9</f>
        <v>12</v>
      </c>
      <c r="C9" s="1">
        <v>6</v>
      </c>
      <c r="D9" s="1">
        <f>[1]节奏总纲!P9</f>
        <v>0.51571656651039799</v>
      </c>
      <c r="E9" s="1">
        <f>[1]节奏总纲!Q9</f>
        <v>0.43939051466685908</v>
      </c>
      <c r="F9" s="1">
        <f>[1]节奏总纲!R9</f>
        <v>0.35336899137292471</v>
      </c>
      <c r="G9" s="1">
        <f>[1]节奏总纲!S9</f>
        <v>0.25440298225957936</v>
      </c>
      <c r="H9" s="1">
        <f>[1]节奏总纲!T9</f>
        <v>0.13836675479473978</v>
      </c>
      <c r="J9" s="1">
        <v>6</v>
      </c>
      <c r="K9" s="1">
        <f>[1]节奏总纲!W9</f>
        <v>0.10150300413730284</v>
      </c>
      <c r="L9" s="1">
        <f>[1]节奏总纲!X9</f>
        <v>8.6977615799829711E-2</v>
      </c>
      <c r="M9" s="1">
        <f>[1]节奏总纲!Y9</f>
        <v>7.0212600134676895E-2</v>
      </c>
      <c r="N9" s="1">
        <f>[1]节奏总纲!Z9</f>
        <v>5.1438336696762732E-2</v>
      </c>
      <c r="O9" s="1">
        <f>[1]节奏总纲!AA9</f>
        <v>2.884868890329341E-2</v>
      </c>
      <c r="Q9" s="1">
        <v>6</v>
      </c>
      <c r="R9" s="1">
        <f>[1]节奏总纲!AD9</f>
        <v>28.071211008105138</v>
      </c>
      <c r="S9" s="1">
        <f>[1]节奏总纲!AE9</f>
        <v>29.78183527117605</v>
      </c>
      <c r="T9" s="1">
        <f>[1]节奏总纲!AF9</f>
        <v>32.202183458664891</v>
      </c>
      <c r="U9" s="1">
        <f>[1]节奏总纲!AG9</f>
        <v>36.067019846099676</v>
      </c>
      <c r="V9" s="1">
        <f>[1]节奏总纲!AH9</f>
        <v>43.870275262019007</v>
      </c>
      <c r="Z9" s="1">
        <v>6</v>
      </c>
      <c r="AA9" s="1">
        <f>[1]节奏总纲!AM9</f>
        <v>0.22055744069899194</v>
      </c>
      <c r="AB9" s="1">
        <f>[1]节奏总纲!AN9</f>
        <v>0.17644595255919357</v>
      </c>
      <c r="AC9" s="1">
        <f>[1]节奏总纲!AO9</f>
        <v>0.13233446441939517</v>
      </c>
      <c r="AD9" s="1">
        <f>[1]节奏总纲!AP9</f>
        <v>8.8222976279596785E-2</v>
      </c>
      <c r="AE9" s="1">
        <f>[1]节奏总纲!AQ9</f>
        <v>4.4111488139798392E-2</v>
      </c>
      <c r="AG9" s="1">
        <v>6</v>
      </c>
      <c r="AH9" s="1">
        <f>[1]节奏总纲!AT9</f>
        <v>7.0557440698991947E-2</v>
      </c>
      <c r="AI9" s="1">
        <f>[1]节奏总纲!AU9</f>
        <v>5.6445952559193574E-2</v>
      </c>
      <c r="AJ9" s="1">
        <f>[1]节奏总纲!AV9</f>
        <v>4.2334464419395174E-2</v>
      </c>
      <c r="AK9" s="1">
        <f>[1]节奏总纲!AW9</f>
        <v>2.8222976279596787E-2</v>
      </c>
      <c r="AL9" s="1">
        <f>[1]节奏总纲!AX9</f>
        <v>1.4111488139798394E-2</v>
      </c>
      <c r="AM9" s="1"/>
      <c r="AN9" s="1">
        <v>6</v>
      </c>
      <c r="AO9" s="1">
        <f>[1]节奏总纲!BA9</f>
        <v>20.745154613657583</v>
      </c>
      <c r="AP9" s="1">
        <f>[1]节奏总纲!BB9</f>
        <v>22.041972908628715</v>
      </c>
      <c r="AQ9" s="1">
        <f>[1]节奏总纲!BC9</f>
        <v>23.710496742673982</v>
      </c>
      <c r="AR9" s="1">
        <f>[1]节奏总纲!BD9</f>
        <v>26.127796402772656</v>
      </c>
      <c r="AS9" s="1">
        <f>[1]节奏总纲!BE9</f>
        <v>30.329493925593439</v>
      </c>
    </row>
    <row r="10" spans="2:45" x14ac:dyDescent="0.15">
      <c r="B10" s="1">
        <f>[1]节奏总纲!N10</f>
        <v>14</v>
      </c>
      <c r="C10" s="1">
        <v>7</v>
      </c>
      <c r="D10" s="1">
        <f>[1]节奏总纲!P10</f>
        <v>0.62450479271247095</v>
      </c>
      <c r="E10" s="1">
        <f>[1]节奏总纲!Q10</f>
        <v>0.53413894920697635</v>
      </c>
      <c r="F10" s="1">
        <f>[1]节奏总纲!R10</f>
        <v>0.43072095553379119</v>
      </c>
      <c r="G10" s="1">
        <f>[1]节奏总纲!S10</f>
        <v>0.30950457526830061</v>
      </c>
      <c r="H10" s="1">
        <f>[1]节奏总纲!T10</f>
        <v>0.16699258157131475</v>
      </c>
      <c r="J10" s="1">
        <v>7</v>
      </c>
      <c r="K10" s="1">
        <f>[1]节奏总纲!W10</f>
        <v>0.10878822620207296</v>
      </c>
      <c r="L10" s="1">
        <f>[1]节奏总纲!X10</f>
        <v>9.4748434540117277E-2</v>
      </c>
      <c r="M10" s="1">
        <f>[1]节奏总纲!Y10</f>
        <v>7.7351964160866482E-2</v>
      </c>
      <c r="N10" s="1">
        <f>[1]节奏总纲!Z10</f>
        <v>5.510159300872125E-2</v>
      </c>
      <c r="O10" s="1">
        <f>[1]节奏总纲!AA10</f>
        <v>2.8625826776574964E-2</v>
      </c>
      <c r="Q10" s="1">
        <v>7</v>
      </c>
      <c r="R10" s="1">
        <f>[1]节奏总纲!AD10</f>
        <v>30</v>
      </c>
      <c r="S10" s="1">
        <f>[1]节奏总纲!AE10</f>
        <v>31.718819483847451</v>
      </c>
      <c r="T10" s="1">
        <f>[1]节奏总纲!AF10</f>
        <v>34.192155176139416</v>
      </c>
      <c r="U10" s="1">
        <f>[1]节奏总纲!AG10</f>
        <v>38.19822972207853</v>
      </c>
      <c r="V10" s="1">
        <f>[1]节奏总纲!AH10</f>
        <v>46.093186357957826</v>
      </c>
      <c r="Z10" s="1">
        <v>7</v>
      </c>
      <c r="AA10" s="1">
        <f>[1]节奏总纲!AM10</f>
        <v>0.31141300609369982</v>
      </c>
      <c r="AB10" s="1">
        <f>[1]节奏总纲!AN10</f>
        <v>0.24913040487495985</v>
      </c>
      <c r="AC10" s="1">
        <f>[1]节奏总纲!AO10</f>
        <v>0.18684780365621989</v>
      </c>
      <c r="AD10" s="1">
        <f>[1]节奏总纲!AP10</f>
        <v>0.12456520243747993</v>
      </c>
      <c r="AE10" s="1">
        <f>[1]节奏总纲!AQ10</f>
        <v>6.2282601218739964E-2</v>
      </c>
      <c r="AG10" s="1">
        <v>7</v>
      </c>
      <c r="AH10" s="1">
        <f>[1]节奏总纲!AT10</f>
        <v>9.0855565394707877E-2</v>
      </c>
      <c r="AI10" s="1">
        <f>[1]节奏总纲!AU10</f>
        <v>7.2684452315766285E-2</v>
      </c>
      <c r="AJ10" s="1">
        <f>[1]节奏总纲!AV10</f>
        <v>5.451333923682472E-2</v>
      </c>
      <c r="AK10" s="1">
        <f>[1]节奏总纲!AW10</f>
        <v>3.6342226157883142E-2</v>
      </c>
      <c r="AL10" s="1">
        <f>[1]节奏总纲!AX10</f>
        <v>1.8171113078941571E-2</v>
      </c>
      <c r="AM10" s="1"/>
      <c r="AN10" s="1">
        <v>7</v>
      </c>
      <c r="AO10" s="1">
        <f>[1]节奏总纲!BA10</f>
        <v>21.627432338833255</v>
      </c>
      <c r="AP10" s="1">
        <f>[1]节奏总纲!BB10</f>
        <v>22.938628095451385</v>
      </c>
      <c r="AQ10" s="1">
        <f>[1]节奏总纲!BC10</f>
        <v>24.619152272059132</v>
      </c>
      <c r="AR10" s="1">
        <f>[1]节奏总纲!BD10</f>
        <v>27.059707353051884</v>
      </c>
      <c r="AS10" s="1">
        <f>[1]节奏总纲!BE10</f>
        <v>31.280110398778046</v>
      </c>
    </row>
    <row r="11" spans="2:45" x14ac:dyDescent="0.15">
      <c r="B11" s="1">
        <f>[1]节奏总纲!N11</f>
        <v>16</v>
      </c>
      <c r="C11" s="1">
        <v>8</v>
      </c>
      <c r="D11" s="1">
        <f>[1]节奏总纲!P11</f>
        <v>0.74110112659224825</v>
      </c>
      <c r="E11" s="1">
        <f>[1]节奏总纲!Q11</f>
        <v>0.63089938906798093</v>
      </c>
      <c r="F11" s="1">
        <f>[1]节奏总纲!R11</f>
        <v>0.50550507844857251</v>
      </c>
      <c r="G11" s="1">
        <f>[1]节奏总纲!S11</f>
        <v>0.36195379022765406</v>
      </c>
      <c r="H11" s="1">
        <f>[1]节奏总纲!T11</f>
        <v>0.19579891764567198</v>
      </c>
      <c r="J11" s="1">
        <v>8</v>
      </c>
      <c r="K11" s="1">
        <f>[1]节奏总纲!W11</f>
        <v>0.1165963338797773</v>
      </c>
      <c r="L11" s="1">
        <f>[1]节奏总纲!X11</f>
        <v>9.6760439861004577E-2</v>
      </c>
      <c r="M11" s="1">
        <f>[1]节奏总纲!Y11</f>
        <v>7.4784122914781315E-2</v>
      </c>
      <c r="N11" s="1">
        <f>[1]节奏总纲!Z11</f>
        <v>5.2449214959353452E-2</v>
      </c>
      <c r="O11" s="1">
        <f>[1]节奏总纲!AA11</f>
        <v>2.8806336074357231E-2</v>
      </c>
      <c r="Q11" s="1">
        <v>8</v>
      </c>
      <c r="R11" s="1">
        <f>[1]节奏总纲!AD11</f>
        <v>31.691928656135214</v>
      </c>
      <c r="S11" s="1">
        <f>[1]节奏总纲!AE11</f>
        <v>33.465251056098396</v>
      </c>
      <c r="T11" s="1">
        <f>[1]节奏总纲!AF11</f>
        <v>35.930751746472978</v>
      </c>
      <c r="U11" s="1">
        <f>[1]节奏总纲!AG11</f>
        <v>39.998279638578282</v>
      </c>
      <c r="V11" s="1">
        <f>[1]节奏总纲!AH11</f>
        <v>48.067140183443534</v>
      </c>
      <c r="Z11" s="1">
        <v>8</v>
      </c>
      <c r="AA11" s="1">
        <f>[1]节奏总纲!AM11</f>
        <v>0.42660095793436714</v>
      </c>
      <c r="AB11" s="1">
        <f>[1]节奏总纲!AN11</f>
        <v>0.34128076634749371</v>
      </c>
      <c r="AC11" s="1">
        <f>[1]节奏总纲!AO11</f>
        <v>0.25596057476062029</v>
      </c>
      <c r="AD11" s="1">
        <f>[1]节奏总纲!AP11</f>
        <v>0.17064038317374686</v>
      </c>
      <c r="AE11" s="1">
        <f>[1]节奏总纲!AQ11</f>
        <v>8.5320191586873428E-2</v>
      </c>
      <c r="AG11" s="1">
        <v>8</v>
      </c>
      <c r="AH11" s="1">
        <f>[1]节奏总纲!AT11</f>
        <v>0.11518795184066732</v>
      </c>
      <c r="AI11" s="1">
        <f>[1]节奏总纲!AU11</f>
        <v>9.2150361472533859E-2</v>
      </c>
      <c r="AJ11" s="1">
        <f>[1]节奏总纲!AV11</f>
        <v>6.9112771104400395E-2</v>
      </c>
      <c r="AK11" s="1">
        <f>[1]节奏总纲!AW11</f>
        <v>4.607518073626693E-2</v>
      </c>
      <c r="AL11" s="1">
        <f>[1]节奏总纲!AX11</f>
        <v>2.3037590368133465E-2</v>
      </c>
      <c r="AM11" s="1"/>
      <c r="AN11" s="1">
        <v>8</v>
      </c>
      <c r="AO11" s="1">
        <f>[1]节奏总纲!BA11</f>
        <v>22.400634983357783</v>
      </c>
      <c r="AP11" s="1">
        <f>[1]节奏总纲!BB11</f>
        <v>23.710496742673982</v>
      </c>
      <c r="AQ11" s="1">
        <f>[1]节奏总纲!BC11</f>
        <v>25.412810862541733</v>
      </c>
      <c r="AR11" s="1">
        <f>[1]节奏总纲!BD11</f>
        <v>27.863030247590562</v>
      </c>
      <c r="AS11" s="1">
        <f>[1]节奏总纲!BE11</f>
        <v>32.113552950216736</v>
      </c>
    </row>
    <row r="12" spans="2:45" x14ac:dyDescent="0.15">
      <c r="B12" s="1">
        <f>[1]节奏总纲!N12</f>
        <v>18</v>
      </c>
      <c r="C12" s="1">
        <v>9</v>
      </c>
      <c r="D12" s="1">
        <f>[1]节奏总纲!P12</f>
        <v>0.86606598307361482</v>
      </c>
      <c r="E12" s="1">
        <f>[1]节奏总纲!Q12</f>
        <v>0.73702215159564621</v>
      </c>
      <c r="F12" s="1">
        <f>[1]节奏总纲!R12</f>
        <v>0.59282216541388932</v>
      </c>
      <c r="G12" s="1">
        <f>[1]节奏总纲!S12</f>
        <v>0.42766338244175101</v>
      </c>
      <c r="H12" s="1">
        <f>[1]节奏总纲!T12</f>
        <v>0.23193247026711403</v>
      </c>
      <c r="J12" s="1">
        <v>9</v>
      </c>
      <c r="K12" s="1">
        <f>[1]节奏总纲!W12</f>
        <v>0.12496485648136657</v>
      </c>
      <c r="L12" s="1">
        <f>[1]节奏总纲!X12</f>
        <v>0.10612276252766528</v>
      </c>
      <c r="M12" s="1">
        <f>[1]节奏总纲!Y12</f>
        <v>8.7317086965316815E-2</v>
      </c>
      <c r="N12" s="1">
        <f>[1]节奏总纲!Z12</f>
        <v>6.5709592214096946E-2</v>
      </c>
      <c r="O12" s="1">
        <f>[1]节奏总纲!AA12</f>
        <v>3.613355262144205E-2</v>
      </c>
      <c r="Q12" s="1">
        <v>9</v>
      </c>
      <c r="R12" s="1">
        <f>[1]节奏总纲!AD12</f>
        <v>33.213386604241784</v>
      </c>
      <c r="S12" s="1">
        <f>[1]节奏总纲!AE12</f>
        <v>34.992730785174565</v>
      </c>
      <c r="T12" s="1">
        <f>[1]节奏总纲!AF12</f>
        <v>37.510565846691456</v>
      </c>
      <c r="U12" s="1">
        <f>[1]节奏总纲!AG12</f>
        <v>41.534743419557365</v>
      </c>
      <c r="V12" s="1">
        <f>[1]节奏总纲!AH12</f>
        <v>49.706056771838036</v>
      </c>
      <c r="Z12" s="1">
        <v>9</v>
      </c>
      <c r="AA12" s="1">
        <f>[1]节奏总纲!AM12</f>
        <v>0.57090651823243421</v>
      </c>
      <c r="AB12" s="1">
        <f>[1]节奏总纲!AN12</f>
        <v>0.45672521458594739</v>
      </c>
      <c r="AC12" s="1">
        <f>[1]节奏总纲!AO12</f>
        <v>0.34254391093946052</v>
      </c>
      <c r="AD12" s="1">
        <f>[1]节奏总纲!AP12</f>
        <v>0.2283626072929737</v>
      </c>
      <c r="AE12" s="1">
        <f>[1]节奏总纲!AQ12</f>
        <v>0.11418130364648685</v>
      </c>
      <c r="AG12" s="1">
        <v>9</v>
      </c>
      <c r="AH12" s="1">
        <f>[1]节奏总纲!AT12</f>
        <v>0.14430556029806707</v>
      </c>
      <c r="AI12" s="1">
        <f>[1]节奏总纲!AU12</f>
        <v>0.11544444823845368</v>
      </c>
      <c r="AJ12" s="1">
        <f>[1]节奏总纲!AV12</f>
        <v>8.6583336178840231E-2</v>
      </c>
      <c r="AK12" s="1">
        <f>[1]节奏总纲!AW12</f>
        <v>5.7722224119226839E-2</v>
      </c>
      <c r="AL12" s="1">
        <f>[1]节奏总纲!AX12</f>
        <v>2.886111205961342E-2</v>
      </c>
      <c r="AM12" s="1"/>
      <c r="AN12" s="1">
        <v>9</v>
      </c>
      <c r="AO12" s="1">
        <f>[1]节奏总纲!BA12</f>
        <v>23.100336713798686</v>
      </c>
      <c r="AP12" s="1">
        <f>[1]节奏总纲!BB12</f>
        <v>24.402761517547276</v>
      </c>
      <c r="AQ12" s="1">
        <f>[1]节奏总纲!BC12</f>
        <v>26.127796402772656</v>
      </c>
      <c r="AR12" s="1">
        <f>[1]节奏总纲!BD12</f>
        <v>28.568390277483555</v>
      </c>
      <c r="AS12" s="1">
        <f>[1]节奏总纲!BE12</f>
        <v>32.842201900114915</v>
      </c>
    </row>
    <row r="13" spans="2:45" x14ac:dyDescent="0.15">
      <c r="B13" s="1">
        <f>[1]节奏总纲!N13</f>
        <v>20</v>
      </c>
      <c r="C13" s="1">
        <v>10</v>
      </c>
      <c r="D13" s="1">
        <f>[1]节奏总纲!P13</f>
        <v>1</v>
      </c>
      <c r="E13" s="1">
        <f>[1]节奏总纲!Q13</f>
        <v>0.8548</v>
      </c>
      <c r="F13" s="1">
        <f>[1]节奏总纲!R13</f>
        <v>0.6895</v>
      </c>
      <c r="G13" s="1">
        <f>[1]节奏总纲!S13</f>
        <v>0.49980000000000002</v>
      </c>
      <c r="H13" s="1">
        <f>[1]节奏总纲!T13</f>
        <v>0.2732</v>
      </c>
      <c r="J13" s="1">
        <v>10</v>
      </c>
      <c r="K13" s="1">
        <f>[1]节奏总纲!W13</f>
        <v>0.13393401692638518</v>
      </c>
      <c r="L13" s="1">
        <f>[1]节奏总纲!X13</f>
        <v>0.11777784840435379</v>
      </c>
      <c r="M13" s="1">
        <f>[1]节奏总纲!Y13</f>
        <v>9.6677834586110678E-2</v>
      </c>
      <c r="N13" s="1">
        <f>[1]节奏总纲!Z13</f>
        <v>7.2136617558249017E-2</v>
      </c>
      <c r="O13" s="1">
        <f>[1]节奏总纲!AA13</f>
        <v>4.1267529732885971E-2</v>
      </c>
      <c r="Q13" s="1">
        <v>10</v>
      </c>
      <c r="R13" s="1">
        <f>[1]节奏总纲!AD13</f>
        <v>34.585942742481357</v>
      </c>
      <c r="S13" s="1">
        <f>[1]节奏总纲!AE13</f>
        <v>36.36169634498642</v>
      </c>
      <c r="T13" s="1">
        <f>[1]节奏总纲!AF13</f>
        <v>38.977035507933373</v>
      </c>
      <c r="U13" s="1">
        <f>[1]节奏总纲!AG13</f>
        <v>42.970748198558951</v>
      </c>
      <c r="V13" s="1">
        <f>[1]节奏总纲!AH13</f>
        <v>51.212821897464167</v>
      </c>
      <c r="Z13" s="1">
        <v>10</v>
      </c>
      <c r="AA13" s="1">
        <f>[1]节奏总纲!AM13</f>
        <v>0.75</v>
      </c>
      <c r="AB13" s="1">
        <f>[1]节奏总纲!AN13</f>
        <v>0.60000000000000009</v>
      </c>
      <c r="AC13" s="1">
        <f>[1]节奏总纲!AO13</f>
        <v>0.44999999999999996</v>
      </c>
      <c r="AD13" s="1">
        <f>[1]节奏总纲!AP13</f>
        <v>0.30000000000000004</v>
      </c>
      <c r="AE13" s="1">
        <f>[1]节奏总纲!AQ13</f>
        <v>0.15000000000000002</v>
      </c>
      <c r="AG13" s="1">
        <v>10</v>
      </c>
      <c r="AH13" s="1">
        <f>[1]节奏总纲!AT13</f>
        <v>0.17909348176756579</v>
      </c>
      <c r="AI13" s="1">
        <f>[1]节奏总纲!AU13</f>
        <v>0.1432747854140527</v>
      </c>
      <c r="AJ13" s="1">
        <f>[1]节奏总纲!AV13</f>
        <v>0.10745608906053944</v>
      </c>
      <c r="AK13" s="1">
        <f>[1]节奏总纲!AW13</f>
        <v>7.1637392707026348E-2</v>
      </c>
      <c r="AL13" s="1">
        <f>[1]节奏总纲!AX13</f>
        <v>3.5818696353513174E-2</v>
      </c>
      <c r="AM13" s="1"/>
      <c r="AN13" s="1">
        <v>10</v>
      </c>
      <c r="AO13" s="1">
        <f>[1]节奏总纲!BA13</f>
        <v>23.710496742673982</v>
      </c>
      <c r="AP13" s="1">
        <f>[1]节奏总纲!BB13</f>
        <v>25.044229735272328</v>
      </c>
      <c r="AQ13" s="1">
        <f>[1]节奏总纲!BC13</f>
        <v>26.755953543357073</v>
      </c>
      <c r="AR13" s="1">
        <f>[1]节奏总纲!BD13</f>
        <v>29.216428548527322</v>
      </c>
      <c r="AS13" s="1">
        <f>[1]节奏总纲!BE13</f>
        <v>33.487933395889513</v>
      </c>
    </row>
    <row r="14" spans="2:45" x14ac:dyDescent="0.15">
      <c r="B14" s="1">
        <f>[1]节奏总纲!N14</f>
        <v>21</v>
      </c>
      <c r="C14" s="1">
        <v>11</v>
      </c>
      <c r="D14" s="1">
        <f>[1]节奏总纲!P14</f>
        <v>1.1435469250725863</v>
      </c>
      <c r="E14" s="1">
        <f>[1]节奏总纲!Q14</f>
        <v>0.98036277886472811</v>
      </c>
      <c r="F14" s="1">
        <f>[1]节奏总纲!R14</f>
        <v>0.79453640354043287</v>
      </c>
      <c r="G14" s="1">
        <f>[1]节奏总纲!S14</f>
        <v>0.57577587677404707</v>
      </c>
      <c r="H14" s="1">
        <f>[1]节奏总纲!T14</f>
        <v>0.31767733578516444</v>
      </c>
      <c r="J14" s="1">
        <v>11</v>
      </c>
      <c r="K14" s="1">
        <f>[1]节奏总纲!W14</f>
        <v>0.14354692507258626</v>
      </c>
      <c r="L14" s="1">
        <f>[1]节奏总纲!X14</f>
        <v>0.12556277886472811</v>
      </c>
      <c r="M14" s="1">
        <f>[1]节奏总纲!Y14</f>
        <v>0.10503640354043287</v>
      </c>
      <c r="N14" s="1">
        <f>[1]节奏总纲!Z14</f>
        <v>7.5975876774047046E-2</v>
      </c>
      <c r="O14" s="1">
        <f>[1]节奏总纲!AA14</f>
        <v>4.447733578516444E-2</v>
      </c>
      <c r="Q14" s="1">
        <v>11</v>
      </c>
      <c r="R14" s="1">
        <f>[1]节奏总纲!AD14</f>
        <v>35.845161563010116</v>
      </c>
      <c r="S14" s="1">
        <f>[1]节奏总纲!AE14</f>
        <v>37.6388925299823</v>
      </c>
      <c r="T14" s="1">
        <f>[1]节奏总纲!AF14</f>
        <v>40.259528204263837</v>
      </c>
      <c r="U14" s="1">
        <f>[1]节奏总纲!AG14</f>
        <v>44.288230531994081</v>
      </c>
      <c r="V14" s="1">
        <f>[1]节奏总纲!AH14</f>
        <v>52.559419343629337</v>
      </c>
      <c r="Z14" s="1">
        <v>11</v>
      </c>
      <c r="AA14" s="1">
        <f>[1]节奏总纲!AM14</f>
        <v>0.93464628919691628</v>
      </c>
      <c r="AB14" s="1">
        <f>[1]节奏总纲!AN14</f>
        <v>0.74771703135753309</v>
      </c>
      <c r="AC14" s="1">
        <f>[1]节奏总纲!AO14</f>
        <v>0.56078777351814979</v>
      </c>
      <c r="AD14" s="1">
        <f>[1]节奏总纲!AP14</f>
        <v>0.37385851567876655</v>
      </c>
      <c r="AE14" s="1">
        <f>[1]节奏总纲!AQ14</f>
        <v>0.18692925783938327</v>
      </c>
      <c r="AG14" s="1">
        <v>11</v>
      </c>
      <c r="AH14" s="1">
        <f>[1]节奏总纲!AT14</f>
        <v>0.18464628919691628</v>
      </c>
      <c r="AI14" s="1">
        <f>[1]节奏总纲!AU14</f>
        <v>0.147717031357533</v>
      </c>
      <c r="AJ14" s="1">
        <f>[1]节奏总纲!AV14</f>
        <v>0.11078777351814983</v>
      </c>
      <c r="AK14" s="1">
        <f>[1]节奏总纲!AW14</f>
        <v>7.3858515678766501E-2</v>
      </c>
      <c r="AL14" s="1">
        <f>[1]节奏总纲!AX14</f>
        <v>3.692925783938325E-2</v>
      </c>
      <c r="AM14" s="1"/>
      <c r="AN14" s="1">
        <v>11</v>
      </c>
      <c r="AO14" s="1">
        <f>[1]节奏总纲!BA14</f>
        <v>24.272927064840161</v>
      </c>
      <c r="AP14" s="1">
        <f>[1]节奏总纲!BB14</f>
        <v>25.597101426176433</v>
      </c>
      <c r="AQ14" s="1">
        <f>[1]节奏总纲!BC14</f>
        <v>27.327481651231444</v>
      </c>
      <c r="AR14" s="1">
        <f>[1]节奏总纲!BD14</f>
        <v>29.80118336305917</v>
      </c>
      <c r="AS14" s="1">
        <f>[1]节奏总纲!BE14</f>
        <v>34.09469189131628</v>
      </c>
    </row>
    <row r="15" spans="2:45" x14ac:dyDescent="0.15">
      <c r="B15" s="1">
        <f>[1]节奏总纲!N15</f>
        <v>22</v>
      </c>
      <c r="C15" s="1">
        <v>12</v>
      </c>
      <c r="D15" s="1">
        <f>[1]节奏总纲!P15</f>
        <v>1.2973967099940702</v>
      </c>
      <c r="E15" s="1">
        <f>[1]节奏总纲!Q15</f>
        <v>1.1126474184909145</v>
      </c>
      <c r="F15" s="1">
        <f>[1]节奏总纲!R15</f>
        <v>0.9058423829178599</v>
      </c>
      <c r="G15" s="1">
        <f>[1]节奏总纲!S15</f>
        <v>0.66219128078097333</v>
      </c>
      <c r="H15" s="1">
        <f>[1]节奏总纲!T15</f>
        <v>0.36560639287632896</v>
      </c>
      <c r="J15" s="1">
        <v>12</v>
      </c>
      <c r="K15" s="1">
        <f>[1]节奏总纲!W15</f>
        <v>0.15384978492148393</v>
      </c>
      <c r="L15" s="1">
        <f>[1]节奏总纲!X15</f>
        <v>0.13228463962618642</v>
      </c>
      <c r="M15" s="1">
        <f>[1]节奏总纲!Y15</f>
        <v>0.11130597937742703</v>
      </c>
      <c r="N15" s="1">
        <f>[1]节奏总纲!Z15</f>
        <v>8.6415404006926266E-2</v>
      </c>
      <c r="O15" s="1">
        <f>[1]节奏总纲!AA15</f>
        <v>4.7929057091164518E-2</v>
      </c>
      <c r="Q15" s="1">
        <v>12</v>
      </c>
      <c r="R15" s="1">
        <f>[1]节奏总纲!AD15</f>
        <v>37.004247194324648</v>
      </c>
      <c r="S15" s="1">
        <f>[1]节奏总纲!AE15</f>
        <v>38.827998824669805</v>
      </c>
      <c r="T15" s="1">
        <f>[1]节奏总纲!AF15</f>
        <v>41.408320762540754</v>
      </c>
      <c r="U15" s="1">
        <f>[1]节奏总纲!AG15</f>
        <v>45.500930067545958</v>
      </c>
      <c r="V15" s="1">
        <f>[1]节奏总纲!AH15</f>
        <v>53.855547243088772</v>
      </c>
      <c r="Z15" s="1">
        <v>12</v>
      </c>
      <c r="AA15" s="1">
        <f>[1]节奏总纲!AM15</f>
        <v>1.1550685436347259</v>
      </c>
      <c r="AB15" s="1">
        <f>[1]节奏总纲!AN15</f>
        <v>0.92405483490778073</v>
      </c>
      <c r="AC15" s="1">
        <f>[1]节奏总纲!AO15</f>
        <v>0.69304112618083547</v>
      </c>
      <c r="AD15" s="1">
        <f>[1]节奏总纲!AP15</f>
        <v>0.46202741745389037</v>
      </c>
      <c r="AE15" s="1">
        <f>[1]节奏总纲!AQ15</f>
        <v>0.23101370872694518</v>
      </c>
      <c r="AG15" s="1">
        <v>12</v>
      </c>
      <c r="AH15" s="1">
        <f>[1]节奏总纲!AT15</f>
        <v>0.22042225443780961</v>
      </c>
      <c r="AI15" s="1">
        <f>[1]节奏总纲!AU15</f>
        <v>0.17633780355024764</v>
      </c>
      <c r="AJ15" s="1">
        <f>[1]节奏总纲!AV15</f>
        <v>0.13225335266268567</v>
      </c>
      <c r="AK15" s="1">
        <f>[1]节奏总纲!AW15</f>
        <v>8.816890177512382E-2</v>
      </c>
      <c r="AL15" s="1">
        <f>[1]节奏总纲!AX15</f>
        <v>4.408445088756191E-2</v>
      </c>
      <c r="AM15" s="1"/>
      <c r="AN15" s="1">
        <v>12</v>
      </c>
      <c r="AO15" s="1">
        <f>[1]节奏总纲!BA15</f>
        <v>24.792264875668618</v>
      </c>
      <c r="AP15" s="1">
        <f>[1]节奏总纲!BB15</f>
        <v>26.127796402772656</v>
      </c>
      <c r="AQ15" s="1">
        <f>[1]节奏总纲!BC15</f>
        <v>27.863030247590562</v>
      </c>
      <c r="AR15" s="1">
        <f>[1]节奏总纲!BD15</f>
        <v>30.329493925593439</v>
      </c>
      <c r="AS15" s="1">
        <f>[1]节奏总纲!BE15</f>
        <v>34.627226072894942</v>
      </c>
    </row>
    <row r="16" spans="2:45" x14ac:dyDescent="0.15">
      <c r="B16" s="1">
        <f>[1]节奏总纲!N16</f>
        <v>23</v>
      </c>
      <c r="C16" s="1">
        <v>13</v>
      </c>
      <c r="D16" s="1">
        <f>[1]节奏总纲!P16</f>
        <v>1.4622888266898326</v>
      </c>
      <c r="E16" s="1">
        <f>[1]节奏总纲!Q16</f>
        <v>1.2628326307293396</v>
      </c>
      <c r="F16" s="1">
        <f>[1]节奏总纲!R16</f>
        <v>1.0294513339896421</v>
      </c>
      <c r="G16" s="1">
        <f>[1]节奏总纲!S16</f>
        <v>0.75556463675063656</v>
      </c>
      <c r="H16" s="1">
        <f>[1]节奏总纲!T16</f>
        <v>0.41865329108129906</v>
      </c>
      <c r="J16" s="1">
        <v>13</v>
      </c>
      <c r="K16" s="1">
        <f>[1]节奏总纲!W16</f>
        <v>0.16489211669576243</v>
      </c>
      <c r="L16" s="1">
        <f>[1]节奏总纲!X16</f>
        <v>0.15018521223842507</v>
      </c>
      <c r="M16" s="1">
        <f>[1]节奏总纲!Y16</f>
        <v>0.12360895107178216</v>
      </c>
      <c r="N16" s="1">
        <f>[1]节奏总纲!Z16</f>
        <v>9.337335596966323E-2</v>
      </c>
      <c r="O16" s="1">
        <f>[1]节奏总纲!AA16</f>
        <v>5.3046898204970105E-2</v>
      </c>
      <c r="Q16" s="1">
        <v>13</v>
      </c>
      <c r="R16" s="1">
        <f>[1]节奏总纲!AD16</f>
        <v>38.071211008105138</v>
      </c>
      <c r="S16" s="1">
        <f>[1]节奏总纲!AE16</f>
        <v>39.935302111946527</v>
      </c>
      <c r="T16" s="1">
        <f>[1]节奏总纲!AF16</f>
        <v>42.470214785133983</v>
      </c>
      <c r="U16" s="1">
        <f>[1]节奏总纲!AG16</f>
        <v>46.631096344914496</v>
      </c>
      <c r="V16" s="1">
        <f>[1]节奏总纲!AH16</f>
        <v>55.062101953238496</v>
      </c>
      <c r="Z16" s="1">
        <v>13</v>
      </c>
      <c r="AA16" s="1">
        <f>[1]节奏总纲!AM16</f>
        <v>1.417602554491646</v>
      </c>
      <c r="AB16" s="1">
        <f>[1]节奏总纲!AN16</f>
        <v>1.1340820435933168</v>
      </c>
      <c r="AC16" s="1">
        <f>[1]节奏总纲!AO16</f>
        <v>0.85056153269498758</v>
      </c>
      <c r="AD16" s="1">
        <f>[1]节奏总纲!AP16</f>
        <v>0.56704102179665838</v>
      </c>
      <c r="AE16" s="1">
        <f>[1]节奏总纲!AQ16</f>
        <v>0.28352051089832919</v>
      </c>
      <c r="AG16" s="1">
        <v>13</v>
      </c>
      <c r="AH16" s="1">
        <f>[1]节奏总纲!AT16</f>
        <v>0.26253401085692007</v>
      </c>
      <c r="AI16" s="1">
        <f>[1]节奏总纲!AU16</f>
        <v>0.21002720868553604</v>
      </c>
      <c r="AJ16" s="1">
        <f>[1]节奏总纲!AV16</f>
        <v>0.15752040651415211</v>
      </c>
      <c r="AK16" s="1">
        <f>[1]节奏总纲!AW16</f>
        <v>0.10501360434276802</v>
      </c>
      <c r="AL16" s="1">
        <f>[1]节奏总纲!AX16</f>
        <v>5.2506802171384009E-2</v>
      </c>
      <c r="AM16" s="1"/>
      <c r="AN16" s="1">
        <v>13</v>
      </c>
      <c r="AO16" s="1">
        <f>[1]节奏总纲!BA16</f>
        <v>25.265378411633971</v>
      </c>
      <c r="AP16" s="1">
        <f>[1]节奏总纲!BB16</f>
        <v>26.598914258210968</v>
      </c>
      <c r="AQ16" s="1">
        <f>[1]节奏总纲!BC16</f>
        <v>28.339982398803929</v>
      </c>
      <c r="AR16" s="1">
        <f>[1]节奏总纲!BD16</f>
        <v>30.828727146189561</v>
      </c>
      <c r="AS16" s="1">
        <f>[1]节奏总纲!BE16</f>
        <v>35.146386283795508</v>
      </c>
    </row>
    <row r="17" spans="2:45" x14ac:dyDescent="0.15">
      <c r="B17" s="1">
        <f>[1]节奏总纲!N17</f>
        <v>24</v>
      </c>
      <c r="C17" s="1">
        <v>14</v>
      </c>
      <c r="D17" s="1">
        <f>[1]节奏总纲!P17</f>
        <v>1.6390158215457884</v>
      </c>
      <c r="E17" s="1">
        <f>[1]节奏总纲!Q17</f>
        <v>1.4136511460832426</v>
      </c>
      <c r="F17" s="1">
        <f>[1]节奏总纲!R17</f>
        <v>1.1545227446968533</v>
      </c>
      <c r="G17" s="1">
        <f>[1]节奏总纲!S17</f>
        <v>0.84605996708193598</v>
      </c>
      <c r="H17" s="1">
        <f>[1]节奏总纲!T17</f>
        <v>0.46810291863347719</v>
      </c>
      <c r="J17" s="1">
        <v>14</v>
      </c>
      <c r="K17" s="1">
        <f>[1]节奏总纲!W17</f>
        <v>0.17672699485595578</v>
      </c>
      <c r="L17" s="1">
        <f>[1]节奏总纲!X17</f>
        <v>0.150818515353903</v>
      </c>
      <c r="M17" s="1">
        <f>[1]节奏总纲!Y17</f>
        <v>0.12507141070721128</v>
      </c>
      <c r="N17" s="1">
        <f>[1]节奏总纲!Z17</f>
        <v>9.0495330331299417E-2</v>
      </c>
      <c r="O17" s="1">
        <f>[1]节奏总纲!AA17</f>
        <v>4.9449627552178133E-2</v>
      </c>
      <c r="Q17" s="1">
        <v>14</v>
      </c>
      <c r="R17" s="1">
        <f>[1]节奏总纲!AD17</f>
        <v>39.066704614192943</v>
      </c>
      <c r="S17" s="1">
        <f>[1]节奏总纲!AE17</f>
        <v>40.935169244165145</v>
      </c>
      <c r="T17" s="1">
        <f>[1]节奏总纲!AF17</f>
        <v>43.484929789964411</v>
      </c>
      <c r="U17" s="1">
        <f>[1]节奏总纲!AG17</f>
        <v>47.711408234944486</v>
      </c>
      <c r="V17" s="1">
        <f>[1]节奏总纲!AH17</f>
        <v>56.165983112651688</v>
      </c>
      <c r="Z17" s="1">
        <v>14</v>
      </c>
      <c r="AA17" s="1">
        <f>[1]节奏总纲!AM17</f>
        <v>1.7296773068470075</v>
      </c>
      <c r="AB17" s="1">
        <f>[1]节奏总纲!AN17</f>
        <v>1.383741845477606</v>
      </c>
      <c r="AC17" s="1">
        <f>[1]节奏总纲!AO17</f>
        <v>1.0378063841082044</v>
      </c>
      <c r="AD17" s="1">
        <f>[1]节奏总纲!AP17</f>
        <v>0.69187092273880302</v>
      </c>
      <c r="AE17" s="1">
        <f>[1]节奏总纲!AQ17</f>
        <v>0.34593546136940151</v>
      </c>
      <c r="AG17" s="1">
        <v>14</v>
      </c>
      <c r="AH17" s="1">
        <f>[1]节奏总纲!AT17</f>
        <v>0.31207475235536153</v>
      </c>
      <c r="AI17" s="1">
        <f>[1]节奏总纲!AU17</f>
        <v>0.24965980188428927</v>
      </c>
      <c r="AJ17" s="1">
        <f>[1]节奏总纲!AV17</f>
        <v>0.18724485141321678</v>
      </c>
      <c r="AK17" s="1">
        <f>[1]节奏总纲!AW17</f>
        <v>0.12482990094214463</v>
      </c>
      <c r="AL17" s="1">
        <f>[1]节奏总纲!AX17</f>
        <v>6.2414950471072317E-2</v>
      </c>
      <c r="AM17" s="1"/>
      <c r="AN17" s="1">
        <v>14</v>
      </c>
      <c r="AO17" s="1">
        <f>[1]节奏总纲!BA17</f>
        <v>25.707675764357255</v>
      </c>
      <c r="AP17" s="1">
        <f>[1]节奏总纲!BB17</f>
        <v>27.059707353051884</v>
      </c>
      <c r="AQ17" s="1">
        <f>[1]节奏总纲!BC17</f>
        <v>28.796798156163181</v>
      </c>
      <c r="AR17" s="1">
        <f>[1]节奏总纲!BD17</f>
        <v>31.280110398778046</v>
      </c>
      <c r="AS17" s="1">
        <f>[1]节奏总纲!BE17</f>
        <v>35.634340563113874</v>
      </c>
    </row>
    <row r="18" spans="2:45" x14ac:dyDescent="0.15">
      <c r="B18" s="1">
        <f>[1]节奏总纲!N18</f>
        <v>25</v>
      </c>
      <c r="C18" s="1">
        <v>15</v>
      </c>
      <c r="D18" s="1">
        <f>[1]节奏总纲!P18</f>
        <v>1.8284271247461898</v>
      </c>
      <c r="E18" s="1">
        <f>[1]节奏总纲!Q18</f>
        <v>1.5793953503557587</v>
      </c>
      <c r="F18" s="1">
        <f>[1]节奏总纲!R18</f>
        <v>1.2928808199080308</v>
      </c>
      <c r="G18" s="1">
        <f>[1]节奏总纲!S18</f>
        <v>0.94895367774327255</v>
      </c>
      <c r="H18" s="1">
        <f>[1]节奏总纲!T18</f>
        <v>0.5271355400643265</v>
      </c>
      <c r="J18" s="1">
        <v>15</v>
      </c>
      <c r="K18" s="1">
        <f>[1]节奏总纲!W18</f>
        <v>0.18941130320040145</v>
      </c>
      <c r="L18" s="1">
        <f>[1]节奏总纲!X18</f>
        <v>0.16574420427251613</v>
      </c>
      <c r="M18" s="1">
        <f>[1]节奏总纲!Y18</f>
        <v>0.13835807521117749</v>
      </c>
      <c r="N18" s="1">
        <f>[1]节奏总纲!Z18</f>
        <v>0.10289371066133657</v>
      </c>
      <c r="O18" s="1">
        <f>[1]节奏总纲!AA18</f>
        <v>5.9032621430849308E-2</v>
      </c>
      <c r="Q18" s="1">
        <v>15</v>
      </c>
      <c r="R18" s="1">
        <f>[1]节奏总纲!AD18</f>
        <v>40</v>
      </c>
      <c r="S18" s="1">
        <f>[1]节奏总纲!AE18</f>
        <v>41.83669503626701</v>
      </c>
      <c r="T18" s="1">
        <f>[1]节奏总纲!AF18</f>
        <v>44.442238853326032</v>
      </c>
      <c r="U18" s="1">
        <f>[1]节奏总纲!AG18</f>
        <v>48.731413734867289</v>
      </c>
      <c r="V18" s="1">
        <f>[1]节奏总纲!AH18</f>
        <v>57.176846218996921</v>
      </c>
      <c r="Z18" s="1">
        <v>15</v>
      </c>
      <c r="AA18" s="1">
        <f>[1]节奏总纲!AM18</f>
        <v>2.1</v>
      </c>
      <c r="AB18" s="1">
        <f>[1]节奏总纲!AN18</f>
        <v>1.6800000000000002</v>
      </c>
      <c r="AC18" s="1">
        <f>[1]节奏总纲!AO18</f>
        <v>1.26</v>
      </c>
      <c r="AD18" s="1">
        <f>[1]节奏总纲!AP18</f>
        <v>0.84000000000000008</v>
      </c>
      <c r="AE18" s="1">
        <f>[1]节奏总纲!AQ18</f>
        <v>0.42000000000000004</v>
      </c>
      <c r="AG18" s="1">
        <v>15</v>
      </c>
      <c r="AH18" s="1">
        <f>[1]节奏总纲!AT18</f>
        <v>0.3703226931529926</v>
      </c>
      <c r="AI18" s="1">
        <f>[1]节奏总纲!AU18</f>
        <v>0.29625815452239412</v>
      </c>
      <c r="AJ18" s="1">
        <f>[1]节奏总纲!AV18</f>
        <v>0.22219361589179565</v>
      </c>
      <c r="AK18" s="1">
        <f>[1]节奏总纲!AW18</f>
        <v>0.14812907726119706</v>
      </c>
      <c r="AL18" s="1">
        <f>[1]节奏总纲!AX18</f>
        <v>7.4064538630598531E-2</v>
      </c>
      <c r="AM18" s="1"/>
      <c r="AN18" s="1">
        <v>15</v>
      </c>
      <c r="AO18" s="1">
        <f>[1]节奏总纲!BA18</f>
        <v>26.127796402772656</v>
      </c>
      <c r="AP18" s="1">
        <f>[1]节奏总纲!BB18</f>
        <v>27.461368800321225</v>
      </c>
      <c r="AQ18" s="1">
        <f>[1]节奏总纲!BC18</f>
        <v>29.216428548527322</v>
      </c>
      <c r="AR18" s="1">
        <f>[1]节奏总纲!BD18</f>
        <v>31.706504654507764</v>
      </c>
      <c r="AS18" s="1">
        <f>[1]节奏总纲!BE18</f>
        <v>36.105477566569242</v>
      </c>
    </row>
    <row r="19" spans="2:45" x14ac:dyDescent="0.15">
      <c r="B19" s="1">
        <f>[1]节奏总纲!N19</f>
        <v>26</v>
      </c>
      <c r="C19" s="1">
        <v>16</v>
      </c>
      <c r="D19" s="1">
        <f>[1]节奏总纲!P19</f>
        <v>2.031433133020796</v>
      </c>
      <c r="E19" s="1">
        <f>[1]节奏总纲!Q19</f>
        <v>1.7586116632561031</v>
      </c>
      <c r="F19" s="1">
        <f>[1]节奏总纲!R19</f>
        <v>1.4398798046851402</v>
      </c>
      <c r="G19" s="1">
        <f>[1]节奏总纲!S19</f>
        <v>1.0618300986299702</v>
      </c>
      <c r="H19" s="1">
        <f>[1]节奏总纲!T19</f>
        <v>0.59460047803518701</v>
      </c>
      <c r="J19" s="1">
        <v>16</v>
      </c>
      <c r="K19" s="1">
        <f>[1]节奏总纲!W19</f>
        <v>0.20300600827460613</v>
      </c>
      <c r="L19" s="1">
        <f>[1]节奏总纲!X19</f>
        <v>0.17921631290034434</v>
      </c>
      <c r="M19" s="1">
        <f>[1]节奏总纲!Y19</f>
        <v>0.14699898477710938</v>
      </c>
      <c r="N19" s="1">
        <f>[1]节奏总纲!Z19</f>
        <v>0.11287642088669769</v>
      </c>
      <c r="O19" s="1">
        <f>[1]节奏总纲!AA19</f>
        <v>6.7464937970860506E-2</v>
      </c>
      <c r="Q19" s="1">
        <v>16</v>
      </c>
      <c r="R19" s="1">
        <f>[1]节奏总纲!AD19</f>
        <v>40.870795385807064</v>
      </c>
      <c r="S19" s="1">
        <f>[1]节奏总纲!AE19</f>
        <v>42.707142308553742</v>
      </c>
      <c r="T19" s="1">
        <f>[1]节奏总纲!AF19</f>
        <v>45.343250058486468</v>
      </c>
      <c r="U19" s="1">
        <f>[1]节奏总纲!AG19</f>
        <v>49.654306534727205</v>
      </c>
      <c r="V19" s="1">
        <f>[1]节奏总纲!AH19</f>
        <v>58.12511610143563</v>
      </c>
      <c r="Z19" s="1">
        <v>16</v>
      </c>
      <c r="AA19" s="1">
        <f>[1]节奏总纲!AM19</f>
        <v>2.5387719203926467</v>
      </c>
      <c r="AB19" s="1">
        <f>[1]节奏总纲!AN19</f>
        <v>2.0310175363141174</v>
      </c>
      <c r="AC19" s="1">
        <f>[1]节奏总纲!AO19</f>
        <v>1.5232631522355879</v>
      </c>
      <c r="AD19" s="1">
        <f>[1]节奏总纲!AP19</f>
        <v>1.0155087681570587</v>
      </c>
      <c r="AE19" s="1">
        <f>[1]节奏总纲!AQ19</f>
        <v>0.50775438407852935</v>
      </c>
      <c r="AG19" s="1">
        <v>16</v>
      </c>
      <c r="AH19" s="1">
        <f>[1]节奏总纲!AT19</f>
        <v>0.43877192039264656</v>
      </c>
      <c r="AI19" s="1">
        <f>[1]节奏总纲!AU19</f>
        <v>0.35101753631411725</v>
      </c>
      <c r="AJ19" s="1">
        <f>[1]节奏总纲!AV19</f>
        <v>0.26326315223558794</v>
      </c>
      <c r="AK19" s="1">
        <f>[1]节奏总纲!AW19</f>
        <v>0.17550876815705863</v>
      </c>
      <c r="AL19" s="1">
        <f>[1]节奏总纲!AX19</f>
        <v>8.7754384078529313E-2</v>
      </c>
      <c r="AM19" s="1"/>
      <c r="AN19" s="1">
        <v>16</v>
      </c>
      <c r="AO19" s="1">
        <f>[1]节奏总纲!BA19</f>
        <v>26.504690687123308</v>
      </c>
      <c r="AP19" s="1">
        <f>[1]节奏总纲!BB19</f>
        <v>27.863030247590562</v>
      </c>
      <c r="AQ19" s="1">
        <f>[1]节奏总纲!BC19</f>
        <v>29.606265091548554</v>
      </c>
      <c r="AR19" s="1">
        <f>[1]节奏总纲!BD19</f>
        <v>32.113552950216736</v>
      </c>
      <c r="AS19" s="1">
        <f>[1]节奏总纲!BE19</f>
        <v>36.526331209747774</v>
      </c>
    </row>
    <row r="20" spans="2:45" x14ac:dyDescent="0.15">
      <c r="B20" s="1">
        <f>[1]节奏总纲!N20</f>
        <v>27</v>
      </c>
      <c r="C20" s="1">
        <v>17</v>
      </c>
      <c r="D20" s="1">
        <f>[1]节奏总纲!P20</f>
        <v>2.2490095854249419</v>
      </c>
      <c r="E20" s="1">
        <f>[1]节奏总纲!Q20</f>
        <v>1.9433691827656923</v>
      </c>
      <c r="F20" s="1">
        <f>[1]节奏总纲!R20</f>
        <v>1.5904995788125189</v>
      </c>
      <c r="G20" s="1">
        <f>[1]节奏总纲!S20</f>
        <v>1.1742079045503622</v>
      </c>
      <c r="H20" s="1">
        <f>[1]节奏总纲!T20</f>
        <v>0.65311238360740309</v>
      </c>
      <c r="J20" s="1">
        <v>17</v>
      </c>
      <c r="K20" s="1">
        <f>[1]节奏总纲!W20</f>
        <v>0.21757645240414591</v>
      </c>
      <c r="L20" s="1">
        <f>[1]节奏总纲!X20</f>
        <v>0.18475751950958919</v>
      </c>
      <c r="M20" s="1">
        <f>[1]节奏总纲!Y20</f>
        <v>0.1506197741273787</v>
      </c>
      <c r="N20" s="1">
        <f>[1]节奏总纲!Z20</f>
        <v>0.11237780592039193</v>
      </c>
      <c r="O20" s="1">
        <f>[1]节奏总纲!AA20</f>
        <v>5.8511905572216083E-2</v>
      </c>
      <c r="Q20" s="1">
        <v>17</v>
      </c>
      <c r="R20" s="1">
        <f>[1]节奏总纲!AD20</f>
        <v>41.691928656135218</v>
      </c>
      <c r="S20" s="1">
        <f>[1]节奏总纲!AE20</f>
        <v>43.535389560453282</v>
      </c>
      <c r="T20" s="1">
        <f>[1]节奏总纲!AF20</f>
        <v>46.195785611164197</v>
      </c>
      <c r="U20" s="1">
        <f>[1]节奏总纲!AG20</f>
        <v>50.510850036206186</v>
      </c>
      <c r="V20" s="1">
        <f>[1]节奏总纲!AH20</f>
        <v>58.996855914896834</v>
      </c>
      <c r="Z20" s="1">
        <v>17</v>
      </c>
      <c r="AA20" s="1">
        <f>[1]节奏总纲!AM20</f>
        <v>3.0579402515786085</v>
      </c>
      <c r="AB20" s="1">
        <f>[1]节奏总纲!AN20</f>
        <v>2.4463522012628869</v>
      </c>
      <c r="AC20" s="1">
        <f>[1]节奏总纲!AO20</f>
        <v>1.8347641509471651</v>
      </c>
      <c r="AD20" s="1">
        <f>[1]节奏总纲!AP20</f>
        <v>1.2231761006314434</v>
      </c>
      <c r="AE20" s="1">
        <f>[1]节奏总纲!AQ20</f>
        <v>0.61158805031572172</v>
      </c>
      <c r="AG20" s="1">
        <v>17</v>
      </c>
      <c r="AH20" s="1">
        <f>[1]节奏总纲!AT20</f>
        <v>0.51916833118596184</v>
      </c>
      <c r="AI20" s="1">
        <f>[1]节奏总纲!AU20</f>
        <v>0.41533466494876947</v>
      </c>
      <c r="AJ20" s="1">
        <f>[1]节奏总纲!AV20</f>
        <v>0.3115009987115771</v>
      </c>
      <c r="AK20" s="1">
        <f>[1]节奏总纲!AW20</f>
        <v>0.20766733247438474</v>
      </c>
      <c r="AL20" s="1">
        <f>[1]节奏总纲!AX20</f>
        <v>0.10383366623719237</v>
      </c>
      <c r="AM20" s="1"/>
      <c r="AN20" s="1">
        <v>17</v>
      </c>
      <c r="AO20" s="1">
        <f>[1]节奏总纲!BA20</f>
        <v>26.881584971473956</v>
      </c>
      <c r="AP20" s="1">
        <f>[1]节奏总纲!BB20</f>
        <v>28.225778459464117</v>
      </c>
      <c r="AQ20" s="1">
        <f>[1]节奏总纲!BC20</f>
        <v>29.996101634569786</v>
      </c>
      <c r="AR20" s="1">
        <f>[1]节奏总纲!BD20</f>
        <v>32.477877425165822</v>
      </c>
      <c r="AS20" s="1">
        <f>[1]节奏总纲!BE20</f>
        <v>36.947184852926306</v>
      </c>
    </row>
    <row r="21" spans="2:45" x14ac:dyDescent="0.15">
      <c r="B21" s="1">
        <f>[1]节奏总纲!N21</f>
        <v>28</v>
      </c>
      <c r="C21" s="1">
        <v>18</v>
      </c>
      <c r="D21" s="1">
        <f>[1]节奏总纲!P21</f>
        <v>2.4822022531844965</v>
      </c>
      <c r="E21" s="1">
        <f>[1]节奏总纲!Q21</f>
        <v>2.1515729130603214</v>
      </c>
      <c r="F21" s="1">
        <f>[1]节奏总纲!R21</f>
        <v>1.7690655458445907</v>
      </c>
      <c r="G21" s="1">
        <f>[1]节奏总纲!S21</f>
        <v>1.3066312660763189</v>
      </c>
      <c r="H21" s="1">
        <f>[1]节奏总纲!T21</f>
        <v>0.72554771860582834</v>
      </c>
      <c r="J21" s="1">
        <v>18</v>
      </c>
      <c r="K21" s="1">
        <f>[1]节奏总纲!W21</f>
        <v>0.23319266775955461</v>
      </c>
      <c r="L21" s="1">
        <f>[1]节奏总纲!X21</f>
        <v>0.20820373029462913</v>
      </c>
      <c r="M21" s="1">
        <f>[1]节奏总纲!Y21</f>
        <v>0.17856596703207184</v>
      </c>
      <c r="N21" s="1">
        <f>[1]节奏总纲!Z21</f>
        <v>0.13242336152595668</v>
      </c>
      <c r="O21" s="1">
        <f>[1]节奏总纲!AA21</f>
        <v>7.2435334998425249E-2</v>
      </c>
      <c r="Q21" s="1">
        <v>18</v>
      </c>
      <c r="R21" s="1">
        <f>[1]节奏总纲!AD21</f>
        <v>42.470630686057078</v>
      </c>
      <c r="S21" s="1">
        <f>[1]节奏总纲!AE21</f>
        <v>44.32123076997032</v>
      </c>
      <c r="T21" s="1">
        <f>[1]节奏总纲!AF21</f>
        <v>47.002405448181747</v>
      </c>
      <c r="U21" s="1">
        <f>[1]节奏总纲!AG21</f>
        <v>51.307235833425089</v>
      </c>
      <c r="V21" s="1">
        <f>[1]节奏总纲!AH21</f>
        <v>59.782901351568675</v>
      </c>
      <c r="Z21" s="1">
        <v>18</v>
      </c>
      <c r="AA21" s="1">
        <f>[1]节奏总纲!AM21</f>
        <v>3.671491735587451</v>
      </c>
      <c r="AB21" s="1">
        <f>[1]节奏总纲!AN21</f>
        <v>2.9371933884699608</v>
      </c>
      <c r="AC21" s="1">
        <f>[1]节奏总纲!AO21</f>
        <v>2.2028950413524706</v>
      </c>
      <c r="AD21" s="1">
        <f>[1]节奏总纲!AP21</f>
        <v>1.4685966942349804</v>
      </c>
      <c r="AE21" s="1">
        <f>[1]节奏总纲!AQ21</f>
        <v>0.7342983471174902</v>
      </c>
      <c r="AG21" s="1">
        <v>18</v>
      </c>
      <c r="AH21" s="1">
        <f>[1]节奏总纲!AT21</f>
        <v>0.61355148400884252</v>
      </c>
      <c r="AI21" s="1">
        <f>[1]节奏总纲!AU21</f>
        <v>0.49084118720707393</v>
      </c>
      <c r="AJ21" s="1">
        <f>[1]节奏总纲!AV21</f>
        <v>0.36813089040530556</v>
      </c>
      <c r="AK21" s="1">
        <f>[1]节奏总纲!AW21</f>
        <v>0.24542059360353696</v>
      </c>
      <c r="AL21" s="1">
        <f>[1]节奏总纲!AX21</f>
        <v>0.12271029680176848</v>
      </c>
      <c r="AM21" s="1"/>
      <c r="AN21" s="1">
        <v>18</v>
      </c>
      <c r="AO21" s="1">
        <f>[1]节奏总纲!BA21</f>
        <v>27.220371931959619</v>
      </c>
      <c r="AP21" s="1">
        <f>[1]节奏总纲!BB21</f>
        <v>28.568390277483555</v>
      </c>
      <c r="AQ21" s="1">
        <f>[1]节奏总纲!BC21</f>
        <v>30.329493925593439</v>
      </c>
      <c r="AR21" s="1">
        <f>[1]节奏总纲!BD21</f>
        <v>32.842201900114915</v>
      </c>
      <c r="AS21" s="1">
        <f>[1]节奏总纲!BE21</f>
        <v>37.317457773889828</v>
      </c>
    </row>
    <row r="22" spans="2:45" x14ac:dyDescent="0.15">
      <c r="B22" s="1">
        <f>[1]节奏总纲!N22</f>
        <v>29</v>
      </c>
      <c r="C22" s="1">
        <v>19</v>
      </c>
      <c r="D22" s="1">
        <f>[1]节奏总纲!P22</f>
        <v>2.7321319661472296</v>
      </c>
      <c r="E22" s="1">
        <f>[1]节奏总纲!Q22</f>
        <v>2.3734030389920986</v>
      </c>
      <c r="F22" s="1">
        <f>[1]节奏总纲!R22</f>
        <v>1.9510154370257367</v>
      </c>
      <c r="G22" s="1">
        <f>[1]节奏总纲!S22</f>
        <v>1.4395603329629754</v>
      </c>
      <c r="H22" s="1">
        <f>[1]节奏总纲!T22</f>
        <v>0.80270037165405606</v>
      </c>
      <c r="J22" s="1">
        <v>19</v>
      </c>
      <c r="K22" s="1">
        <f>[1]节奏总纲!W22</f>
        <v>0.24992971296273314</v>
      </c>
      <c r="L22" s="1">
        <f>[1]节奏总纲!X22</f>
        <v>0.2218301259317772</v>
      </c>
      <c r="M22" s="1">
        <f>[1]节奏总纲!Y22</f>
        <v>0.18194989118114591</v>
      </c>
      <c r="N22" s="1">
        <f>[1]节奏总纲!Z22</f>
        <v>0.13292906688665651</v>
      </c>
      <c r="O22" s="1">
        <f>[1]节奏总纲!AA22</f>
        <v>7.7152653048227715E-2</v>
      </c>
      <c r="Q22" s="1">
        <v>19</v>
      </c>
      <c r="R22" s="1">
        <f>[1]节奏总纲!AD22</f>
        <v>43.213386604241784</v>
      </c>
      <c r="S22" s="1">
        <f>[1]节奏总纲!AE22</f>
        <v>45.070782602372333</v>
      </c>
      <c r="T22" s="1">
        <f>[1]节奏总纲!AF22</f>
        <v>47.752799438858894</v>
      </c>
      <c r="U22" s="1">
        <f>[1]节奏总纲!AG22</f>
        <v>52.050057424983954</v>
      </c>
      <c r="V22" s="1">
        <f>[1]节奏总纲!AH22</f>
        <v>60.54585273688761</v>
      </c>
      <c r="Z22" s="1">
        <v>19</v>
      </c>
      <c r="AA22" s="1">
        <f>[1]节奏总纲!AM22</f>
        <v>4.3957950643309154</v>
      </c>
      <c r="AB22" s="1">
        <f>[1]节奏总纲!AN22</f>
        <v>3.5166360514647326</v>
      </c>
      <c r="AC22" s="1">
        <f>[1]节奏总纲!AO22</f>
        <v>2.6374770385985493</v>
      </c>
      <c r="AD22" s="1">
        <f>[1]节奏总纲!AP22</f>
        <v>1.7583180257323663</v>
      </c>
      <c r="AE22" s="1">
        <f>[1]节奏总纲!AQ22</f>
        <v>0.87915901286618314</v>
      </c>
      <c r="AG22" s="1">
        <v>19</v>
      </c>
      <c r="AH22" s="1">
        <f>[1]节奏总纲!AT22</f>
        <v>0.72430332874346437</v>
      </c>
      <c r="AI22" s="1">
        <f>[1]节奏总纲!AU22</f>
        <v>0.57944266299477176</v>
      </c>
      <c r="AJ22" s="1">
        <f>[1]节奏总纲!AV22</f>
        <v>0.43458199724607871</v>
      </c>
      <c r="AK22" s="1">
        <f>[1]节奏总纲!AW22</f>
        <v>0.28972133149738588</v>
      </c>
      <c r="AL22" s="1">
        <f>[1]节奏总纲!AX22</f>
        <v>0.14486066574869294</v>
      </c>
      <c r="AM22" s="1"/>
      <c r="AN22" s="1">
        <v>19</v>
      </c>
      <c r="AO22" s="1">
        <f>[1]节奏总纲!BA22</f>
        <v>27.541701089775092</v>
      </c>
      <c r="AP22" s="1">
        <f>[1]节奏总纲!BB22</f>
        <v>28.911002095502997</v>
      </c>
      <c r="AQ22" s="1">
        <f>[1]节奏总纲!BC22</f>
        <v>30.662316072657521</v>
      </c>
      <c r="AR22" s="1">
        <f>[1]节奏总纲!BD22</f>
        <v>33.176527924103851</v>
      </c>
      <c r="AS22" s="1">
        <f>[1]节奏总纲!BE22</f>
        <v>37.680472138177471</v>
      </c>
    </row>
    <row r="23" spans="2:45" x14ac:dyDescent="0.15">
      <c r="B23" s="1">
        <f>[1]节奏总纲!N23</f>
        <v>30</v>
      </c>
      <c r="C23" s="1">
        <v>20</v>
      </c>
      <c r="D23" s="1">
        <f>[1]节奏总纲!P23</f>
        <v>3</v>
      </c>
      <c r="E23" s="1">
        <f>[1]节奏总纲!Q23</f>
        <v>2.6036999999999999</v>
      </c>
      <c r="F23" s="1">
        <f>[1]节奏总纲!R23</f>
        <v>2.1372</v>
      </c>
      <c r="G23" s="1">
        <f>[1]节奏总纲!S23</f>
        <v>1.5800999999999998</v>
      </c>
      <c r="H23" s="1">
        <f>[1]节奏总纲!T23</f>
        <v>0.87990000000000002</v>
      </c>
      <c r="J23" s="1">
        <v>20</v>
      </c>
      <c r="K23" s="1">
        <f>[1]节奏总纲!W23</f>
        <v>0.26786803385277036</v>
      </c>
      <c r="L23" s="1">
        <f>[1]节奏总纲!X23</f>
        <v>0.23029696100790131</v>
      </c>
      <c r="M23" s="1">
        <f>[1]节奏总纲!Y23</f>
        <v>0.18618456297426333</v>
      </c>
      <c r="N23" s="1">
        <f>[1]节奏总纲!Z23</f>
        <v>0.14053966703702447</v>
      </c>
      <c r="O23" s="1">
        <f>[1]节奏总纲!AA23</f>
        <v>7.719962834594396E-2</v>
      </c>
      <c r="Q23" s="1">
        <v>20</v>
      </c>
      <c r="R23" s="1">
        <f>[1]节奏总纲!AD23</f>
        <v>43.920692243099523</v>
      </c>
      <c r="S23" s="1">
        <f>[1]节奏总纲!AE23</f>
        <v>45.780025086357675</v>
      </c>
      <c r="T23" s="1">
        <f>[1]节奏总纲!AF23</f>
        <v>48.482447528152484</v>
      </c>
      <c r="U23" s="1">
        <f>[1]节奏总纲!AG23</f>
        <v>52.769987980532711</v>
      </c>
      <c r="V23" s="1">
        <f>[1]节奏总纲!AH23</f>
        <v>61.261422558944936</v>
      </c>
      <c r="Z23" s="1">
        <v>20</v>
      </c>
      <c r="AA23" s="1">
        <f>[1]节奏总纲!AM23</f>
        <v>5.25</v>
      </c>
      <c r="AB23" s="1">
        <f>[1]节奏总纲!AN23</f>
        <v>4.2</v>
      </c>
      <c r="AC23" s="1">
        <f>[1]节奏总纲!AO23</f>
        <v>3.15</v>
      </c>
      <c r="AD23" s="1">
        <f>[1]节奏总纲!AP23</f>
        <v>2.1</v>
      </c>
      <c r="AE23" s="1">
        <f>[1]节奏总纲!AQ23</f>
        <v>1.05</v>
      </c>
      <c r="AG23" s="1">
        <v>20</v>
      </c>
      <c r="AH23" s="1">
        <f>[1]节奏总纲!AT23</f>
        <v>0.85420493566908462</v>
      </c>
      <c r="AI23" s="1">
        <f>[1]节奏总纲!AU23</f>
        <v>0.68336394853526761</v>
      </c>
      <c r="AJ23" s="1">
        <f>[1]节奏总纲!AV23</f>
        <v>0.51252296140145059</v>
      </c>
      <c r="AK23" s="1">
        <f>[1]节奏总纲!AW23</f>
        <v>0.3416819742676338</v>
      </c>
      <c r="AL23" s="1">
        <f>[1]节奏总纲!AX23</f>
        <v>0.1708409871338169</v>
      </c>
      <c r="AM23" s="1"/>
      <c r="AN23" s="1">
        <v>20</v>
      </c>
      <c r="AO23" s="1">
        <f>[1]节奏总纲!BA23</f>
        <v>27.863030247590562</v>
      </c>
      <c r="AP23" s="1">
        <f>[1]节奏总纲!BB23</f>
        <v>29.216428548527322</v>
      </c>
      <c r="AQ23" s="1">
        <f>[1]节奏总纲!BC23</f>
        <v>30.995138219721603</v>
      </c>
      <c r="AR23" s="1">
        <f>[1]节奏总纲!BD23</f>
        <v>33.487933395889513</v>
      </c>
      <c r="AS23" s="1">
        <f>[1]节奏总纲!BE23</f>
        <v>38.037513426486328</v>
      </c>
    </row>
    <row r="24" spans="2:45" x14ac:dyDescent="0.15">
      <c r="B24" s="1">
        <f>[1]节奏总纲!N24</f>
        <v>31</v>
      </c>
      <c r="C24" s="1">
        <v>21</v>
      </c>
      <c r="D24" s="1">
        <f>[1]节奏总纲!P24</f>
        <v>3.2870938501451725</v>
      </c>
      <c r="E24" s="1">
        <f>[1]节奏总纲!Q24</f>
        <v>2.8518826243859516</v>
      </c>
      <c r="F24" s="1">
        <f>[1]节奏总纲!R24</f>
        <v>2.3466562996186386</v>
      </c>
      <c r="G24" s="1">
        <f>[1]节奏总纲!S24</f>
        <v>1.7365716810316947</v>
      </c>
      <c r="H24" s="1">
        <f>[1]节奏总纲!T24</f>
        <v>0.97166494210291288</v>
      </c>
      <c r="J24" s="1">
        <v>21</v>
      </c>
      <c r="K24" s="1">
        <f>[1]节奏总纲!W24</f>
        <v>0.28709385014517252</v>
      </c>
      <c r="L24" s="1">
        <f>[1]节奏总纲!X24</f>
        <v>0.24818262438595173</v>
      </c>
      <c r="M24" s="1">
        <f>[1]节奏总纲!Y24</f>
        <v>0.20945629961863865</v>
      </c>
      <c r="N24" s="1">
        <f>[1]节奏总纲!Z24</f>
        <v>0.15647168103169484</v>
      </c>
      <c r="O24" s="1">
        <f>[1]节奏总纲!AA24</f>
        <v>9.1764942102912861E-2</v>
      </c>
      <c r="Q24" s="1">
        <v>21</v>
      </c>
      <c r="R24" s="1">
        <f>[1]节奏总纲!AD24</f>
        <v>44.585942742481357</v>
      </c>
      <c r="S24" s="1">
        <f>[1]节奏总纲!AE24</f>
        <v>46.455967430551723</v>
      </c>
      <c r="T24" s="1">
        <f>[1]节奏总纲!AF24</f>
        <v>49.18886033229559</v>
      </c>
      <c r="U24" s="1">
        <f>[1]节奏总纲!AG24</f>
        <v>53.471660769826336</v>
      </c>
      <c r="V24" s="1">
        <f>[1]节奏总纲!AH24</f>
        <v>61.918453772109508</v>
      </c>
      <c r="Z24" s="1">
        <v>21</v>
      </c>
      <c r="AA24" s="1">
        <f>[1]节奏总纲!AM24</f>
        <v>6.2565025247829205</v>
      </c>
      <c r="AB24" s="1">
        <f>[1]节奏总纲!AN24</f>
        <v>5.0052020198263367</v>
      </c>
      <c r="AC24" s="1">
        <f>[1]节奏总纲!AO24</f>
        <v>3.7539015148697521</v>
      </c>
      <c r="AD24" s="1">
        <f>[1]节奏总纲!AP24</f>
        <v>2.5026010099131684</v>
      </c>
      <c r="AE24" s="1">
        <f>[1]节奏总纲!AQ24</f>
        <v>1.2513005049565842</v>
      </c>
      <c r="AG24" s="1">
        <v>21</v>
      </c>
      <c r="AH24" s="1">
        <f>[1]节奏总纲!AT24</f>
        <v>1.0065025247829205</v>
      </c>
      <c r="AI24" s="1">
        <f>[1]节奏总纲!AU24</f>
        <v>0.80520201982633655</v>
      </c>
      <c r="AJ24" s="1">
        <f>[1]节奏总纲!AV24</f>
        <v>0.60390151486975219</v>
      </c>
      <c r="AK24" s="1">
        <f>[1]节奏总纲!AW24</f>
        <v>0.40260100991316827</v>
      </c>
      <c r="AL24" s="1">
        <f>[1]节奏总纲!AX24</f>
        <v>0.20130050495658414</v>
      </c>
      <c r="AM24" s="1"/>
      <c r="AN24" s="1">
        <v>21</v>
      </c>
      <c r="AO24" s="1">
        <f>[1]节奏总纲!BA24</f>
        <v>28.157256095860227</v>
      </c>
      <c r="AP24" s="1">
        <f>[1]节奏总纲!BB24</f>
        <v>29.508805955793246</v>
      </c>
      <c r="AQ24" s="1">
        <f>[1]节奏总纲!BC24</f>
        <v>31.280110398778046</v>
      </c>
      <c r="AR24" s="1">
        <f>[1]节奏总纲!BD24</f>
        <v>33.799338867675175</v>
      </c>
      <c r="AS24" s="1">
        <f>[1]节奏总纲!BE24</f>
        <v>38.35066605767593</v>
      </c>
    </row>
    <row r="25" spans="2:45" x14ac:dyDescent="0.15">
      <c r="B25" s="1">
        <f>[1]节奏总纲!N25</f>
        <v>32</v>
      </c>
      <c r="C25" s="1">
        <v>22</v>
      </c>
      <c r="D25" s="1">
        <f>[1]节奏总纲!P25</f>
        <v>3.5947934199881395</v>
      </c>
      <c r="E25" s="1">
        <f>[1]节奏总纲!Q25</f>
        <v>3.124234961311692</v>
      </c>
      <c r="F25" s="1">
        <f>[1]节奏总纲!R25</f>
        <v>2.5749505267375046</v>
      </c>
      <c r="G25" s="1">
        <f>[1]节奏总纲!S25</f>
        <v>1.9077568679877055</v>
      </c>
      <c r="H25" s="1">
        <f>[1]节奏总纲!T25</f>
        <v>1.0687320837624739</v>
      </c>
      <c r="J25" s="1">
        <v>22</v>
      </c>
      <c r="K25" s="1">
        <f>[1]节奏总纲!W25</f>
        <v>0.30769956984296698</v>
      </c>
      <c r="L25" s="1">
        <f>[1]节奏总纲!X25</f>
        <v>0.27235233692574035</v>
      </c>
      <c r="M25" s="1">
        <f>[1]节奏总纲!Y25</f>
        <v>0.22829422711886593</v>
      </c>
      <c r="N25" s="1">
        <f>[1]节奏总纲!Z25</f>
        <v>0.17118518695601082</v>
      </c>
      <c r="O25" s="1">
        <f>[1]节奏总纲!AA25</f>
        <v>9.7067141659560985E-2</v>
      </c>
      <c r="Q25" s="1">
        <v>22</v>
      </c>
      <c r="R25" s="1">
        <f>[1]节奏总纲!AD25</f>
        <v>45.229416240679988</v>
      </c>
      <c r="S25" s="1">
        <f>[1]节奏总纲!AE25</f>
        <v>47.110426931480873</v>
      </c>
      <c r="T25" s="1">
        <f>[1]节奏总纲!AF25</f>
        <v>49.861837738505173</v>
      </c>
      <c r="U25" s="1">
        <f>[1]节奏总纲!AG25</f>
        <v>54.15637358335789</v>
      </c>
      <c r="V25" s="1">
        <f>[1]节奏总纲!AH25</f>
        <v>62.555781631668886</v>
      </c>
      <c r="Z25" s="1">
        <v>22</v>
      </c>
      <c r="AA25" s="1">
        <f>[1]节奏总纲!AM25</f>
        <v>7.4414868317755332</v>
      </c>
      <c r="AB25" s="1">
        <f>[1]节奏总纲!AN25</f>
        <v>5.9531894654204267</v>
      </c>
      <c r="AC25" s="1">
        <f>[1]节奏总纲!AO25</f>
        <v>4.4648920990653194</v>
      </c>
      <c r="AD25" s="1">
        <f>[1]节奏总纲!AP25</f>
        <v>2.9765947327102134</v>
      </c>
      <c r="AE25" s="1">
        <f>[1]节奏总纲!AQ25</f>
        <v>1.4882973663551067</v>
      </c>
      <c r="AG25" s="1">
        <v>22</v>
      </c>
      <c r="AH25" s="1">
        <f>[1]节奏总纲!AT25</f>
        <v>1.1849843069926127</v>
      </c>
      <c r="AI25" s="1">
        <f>[1]节奏总纲!AU25</f>
        <v>0.94798744559408998</v>
      </c>
      <c r="AJ25" s="1">
        <f>[1]节奏总纲!AV25</f>
        <v>0.71099058419556727</v>
      </c>
      <c r="AK25" s="1">
        <f>[1]节奏总纲!AW25</f>
        <v>0.47399372279704499</v>
      </c>
      <c r="AL25" s="1">
        <f>[1]节奏总纲!AX25</f>
        <v>0.2369968613985225</v>
      </c>
      <c r="AM25" s="1"/>
      <c r="AN25" s="1">
        <v>22</v>
      </c>
      <c r="AO25" s="1">
        <f>[1]节奏总纲!BA25</f>
        <v>28.431345550275779</v>
      </c>
      <c r="AP25" s="1">
        <f>[1]节奏总纲!BB25</f>
        <v>29.80118336305917</v>
      </c>
      <c r="AQ25" s="1">
        <f>[1]节奏总纲!BC25</f>
        <v>31.564373235931193</v>
      </c>
      <c r="AR25" s="1">
        <f>[1]节奏总纲!BD25</f>
        <v>34.09469189131628</v>
      </c>
      <c r="AS25" s="1">
        <f>[1]节奏总纲!BE25</f>
        <v>38.663818688865533</v>
      </c>
    </row>
    <row r="26" spans="2:45" x14ac:dyDescent="0.15">
      <c r="B26" s="1">
        <f>[1]节奏总纲!N26</f>
        <v>33</v>
      </c>
      <c r="C26" s="1">
        <v>23</v>
      </c>
      <c r="D26" s="1">
        <f>[1]节奏总纲!P26</f>
        <v>3.9245776533796644</v>
      </c>
      <c r="E26" s="1">
        <f>[1]节奏总纲!Q26</f>
        <v>3.4081032341949005</v>
      </c>
      <c r="F26" s="1">
        <f>[1]节奏总纲!R26</f>
        <v>2.8064654799317976</v>
      </c>
      <c r="G26" s="1">
        <f>[1]节奏总纲!S26</f>
        <v>2.0796336985258841</v>
      </c>
      <c r="H26" s="1">
        <f>[1]节奏总纲!T26</f>
        <v>1.1608900698697047</v>
      </c>
      <c r="J26" s="1">
        <v>23</v>
      </c>
      <c r="K26" s="1">
        <f>[1]节奏总纲!W26</f>
        <v>0.32978423339152485</v>
      </c>
      <c r="L26" s="1">
        <f>[1]节奏总纲!X26</f>
        <v>0.28386827288320848</v>
      </c>
      <c r="M26" s="1">
        <f>[1]节奏总纲!Y26</f>
        <v>0.23151495319429305</v>
      </c>
      <c r="N26" s="1">
        <f>[1]节奏总纲!Z26</f>
        <v>0.17187683053817859</v>
      </c>
      <c r="O26" s="1">
        <f>[1]节奏总纲!AA26</f>
        <v>9.2157986107230805E-2</v>
      </c>
      <c r="Q26" s="1">
        <v>23</v>
      </c>
      <c r="R26" s="1">
        <f>[1]节奏总纲!AD26</f>
        <v>45.845161563010116</v>
      </c>
      <c r="S26" s="1">
        <f>[1]节奏总纲!AE26</f>
        <v>47.734594805743399</v>
      </c>
      <c r="T26" s="1">
        <f>[1]节奏总纲!AF26</f>
        <v>50.503430607741265</v>
      </c>
      <c r="U26" s="1">
        <f>[1]节奏总纲!AG26</f>
        <v>54.814188287451351</v>
      </c>
      <c r="V26" s="1">
        <f>[1]节奏总纲!AH26</f>
        <v>63.182677965405439</v>
      </c>
      <c r="Z26" s="1">
        <v>23</v>
      </c>
      <c r="AA26" s="1">
        <f>[1]节奏总纲!AM26</f>
        <v>8.8355567243832152</v>
      </c>
      <c r="AB26" s="1">
        <f>[1]节奏总纲!AN26</f>
        <v>7.0684453795065725</v>
      </c>
      <c r="AC26" s="1">
        <f>[1]节奏总纲!AO26</f>
        <v>5.3013340346299289</v>
      </c>
      <c r="AD26" s="1">
        <f>[1]节奏总纲!AP26</f>
        <v>3.5342226897532862</v>
      </c>
      <c r="AE26" s="1">
        <f>[1]节奏总纲!AQ26</f>
        <v>1.7671113448766431</v>
      </c>
      <c r="AG26" s="1">
        <v>23</v>
      </c>
      <c r="AH26" s="1">
        <f>[1]节奏总纲!AT26</f>
        <v>1.394069892607682</v>
      </c>
      <c r="AI26" s="1">
        <f>[1]节奏总纲!AU26</f>
        <v>1.1152559140861458</v>
      </c>
      <c r="AJ26" s="1">
        <f>[1]节奏总纲!AV26</f>
        <v>0.83644193556460955</v>
      </c>
      <c r="AK26" s="1">
        <f>[1]节奏总纲!AW26</f>
        <v>0.55762795704307289</v>
      </c>
      <c r="AL26" s="1">
        <f>[1]节奏总纲!AX26</f>
        <v>0.27881397852153644</v>
      </c>
      <c r="AM26" s="1"/>
      <c r="AN26" s="1">
        <v>23</v>
      </c>
      <c r="AO26" s="1">
        <f>[1]节奏总纲!BA26</f>
        <v>28.705435004691331</v>
      </c>
      <c r="AP26" s="1">
        <f>[1]节奏总纲!BB26</f>
        <v>30.079877315295377</v>
      </c>
      <c r="AQ26" s="1">
        <f>[1]节奏总纲!BC26</f>
        <v>31.848636073084339</v>
      </c>
      <c r="AR26" s="1">
        <f>[1]节奏总纲!BD26</f>
        <v>34.360958982105608</v>
      </c>
      <c r="AS26" s="1">
        <f>[1]节奏总纲!BE26</f>
        <v>38.976971320055128</v>
      </c>
    </row>
    <row r="27" spans="2:45" x14ac:dyDescent="0.15">
      <c r="B27" s="1">
        <f>[1]节奏总纲!N27</f>
        <v>34</v>
      </c>
      <c r="C27" s="1">
        <v>24</v>
      </c>
      <c r="D27" s="1">
        <f>[1]节奏总纲!P27</f>
        <v>4.2780316430915768</v>
      </c>
      <c r="E27" s="1">
        <f>[1]节奏总纲!Q27</f>
        <v>3.7214597263253628</v>
      </c>
      <c r="F27" s="1">
        <f>[1]节奏总纲!R27</f>
        <v>3.0699155070825155</v>
      </c>
      <c r="G27" s="1">
        <f>[1]节奏总纲!S27</f>
        <v>2.2742016214674821</v>
      </c>
      <c r="H27" s="1">
        <f>[1]节奏总纲!T27</f>
        <v>1.2692919885052709</v>
      </c>
      <c r="J27" s="1">
        <v>24</v>
      </c>
      <c r="K27" s="1">
        <f>[1]节奏总纲!W27</f>
        <v>0.35345398971191244</v>
      </c>
      <c r="L27" s="1">
        <f>[1]节奏总纲!X27</f>
        <v>0.31335649213046235</v>
      </c>
      <c r="M27" s="1">
        <f>[1]节奏总纲!Y27</f>
        <v>0.26345002715071786</v>
      </c>
      <c r="N27" s="1">
        <f>[1]节奏总纲!Z27</f>
        <v>0.19456792294159797</v>
      </c>
      <c r="O27" s="1">
        <f>[1]节奏总纲!AA27</f>
        <v>0.10840191863556625</v>
      </c>
      <c r="Q27" s="1">
        <v>24</v>
      </c>
      <c r="R27" s="1">
        <f>[1]节奏总纲!AD27</f>
        <v>46.430041330048923</v>
      </c>
      <c r="S27" s="1">
        <f>[1]节奏总纲!AE27</f>
        <v>48.330142263709867</v>
      </c>
      <c r="T27" s="1">
        <f>[1]节奏总纲!AF27</f>
        <v>51.118578408701396</v>
      </c>
      <c r="U27" s="1">
        <f>[1]节奏总纲!AG27</f>
        <v>55.44072585486321</v>
      </c>
      <c r="V27" s="1">
        <f>[1]节奏总纲!AH27</f>
        <v>63.791742872142052</v>
      </c>
      <c r="Z27" s="1">
        <v>24</v>
      </c>
      <c r="AA27" s="1">
        <f>[1]节奏总纲!AM27</f>
        <v>10.47447102993563</v>
      </c>
      <c r="AB27" s="1">
        <f>[1]节奏总纲!AN27</f>
        <v>8.3795768239485042</v>
      </c>
      <c r="AC27" s="1">
        <f>[1]节奏总纲!AO27</f>
        <v>6.2846826179613782</v>
      </c>
      <c r="AD27" s="1">
        <f>[1]节奏总纲!AP27</f>
        <v>4.1897884119742521</v>
      </c>
      <c r="AE27" s="1">
        <f>[1]节奏总纲!AQ27</f>
        <v>2.0948942059871261</v>
      </c>
      <c r="AG27" s="1">
        <v>24</v>
      </c>
      <c r="AH27" s="1">
        <f>[1]节奏总纲!AT27</f>
        <v>1.6389143055524151</v>
      </c>
      <c r="AI27" s="1">
        <f>[1]节奏总纲!AU27</f>
        <v>1.3111314444419317</v>
      </c>
      <c r="AJ27" s="1">
        <f>[1]节奏总纲!AV27</f>
        <v>0.98334858333144926</v>
      </c>
      <c r="AK27" s="1">
        <f>[1]节奏总纲!AW27</f>
        <v>0.65556572222096587</v>
      </c>
      <c r="AL27" s="1">
        <f>[1]节奏总纲!AX27</f>
        <v>0.32778286111048294</v>
      </c>
      <c r="AM27" s="1"/>
      <c r="AN27" s="1">
        <v>24</v>
      </c>
      <c r="AO27" s="1">
        <f>[1]节奏总纲!BA27</f>
        <v>28.979524459106884</v>
      </c>
      <c r="AP27" s="1">
        <f>[1]节奏总纲!BB27</f>
        <v>30.329493925593439</v>
      </c>
      <c r="AQ27" s="1">
        <f>[1]节奏总纲!BC27</f>
        <v>32.113552950216736</v>
      </c>
      <c r="AR27" s="1">
        <f>[1]节奏总纲!BD27</f>
        <v>34.627226072894942</v>
      </c>
      <c r="AS27" s="1">
        <f>[1]节奏总纲!BE27</f>
        <v>39.250296194358178</v>
      </c>
    </row>
    <row r="28" spans="2:45" x14ac:dyDescent="0.15">
      <c r="B28" s="1">
        <f>[1]节奏总纲!N28</f>
        <v>35</v>
      </c>
      <c r="C28" s="1">
        <v>25</v>
      </c>
      <c r="D28" s="1">
        <f>[1]节奏总纲!P28</f>
        <v>4.6568542494923806</v>
      </c>
      <c r="E28" s="1">
        <f>[1]节奏总纲!Q28</f>
        <v>4.054257309608067</v>
      </c>
      <c r="F28" s="1">
        <f>[1]节奏总纲!R28</f>
        <v>3.3445527219854276</v>
      </c>
      <c r="G28" s="1">
        <f>[1]节奏总纲!S28</f>
        <v>2.478377831579845</v>
      </c>
      <c r="H28" s="1">
        <f>[1]节奏总纲!T28</f>
        <v>1.3802915995495415</v>
      </c>
      <c r="J28" s="1">
        <v>25</v>
      </c>
      <c r="K28" s="1">
        <f>[1]节奏总纲!W28</f>
        <v>0.37882260640080379</v>
      </c>
      <c r="L28" s="1">
        <f>[1]节奏总纲!X28</f>
        <v>0.33279758328270415</v>
      </c>
      <c r="M28" s="1">
        <f>[1]节奏总纲!Y28</f>
        <v>0.27463721490291215</v>
      </c>
      <c r="N28" s="1">
        <f>[1]节奏总纲!Z28</f>
        <v>0.20417621011236298</v>
      </c>
      <c r="O28" s="1">
        <f>[1]节奏总纲!AA28</f>
        <v>0.11099961104427059</v>
      </c>
      <c r="Q28" s="1">
        <v>25</v>
      </c>
      <c r="R28" s="1">
        <f>[1]节奏总纲!AD28</f>
        <v>47.004247194324648</v>
      </c>
      <c r="S28" s="1">
        <f>[1]节奏总纲!AE28</f>
        <v>48.904516930942819</v>
      </c>
      <c r="T28" s="1">
        <f>[1]节奏总纲!AF28</f>
        <v>51.667220029142385</v>
      </c>
      <c r="U28" s="1">
        <f>[1]节奏总纲!AG28</f>
        <v>56.05100027504308</v>
      </c>
      <c r="V28" s="1">
        <f>[1]节奏总纲!AH28</f>
        <v>64.398425477456215</v>
      </c>
      <c r="Z28" s="1">
        <v>25</v>
      </c>
      <c r="AA28" s="1">
        <f>[1]节奏总纲!AM28</f>
        <v>12.4</v>
      </c>
      <c r="AB28" s="1">
        <f>[1]节奏总纲!AN28</f>
        <v>9.9200000000000017</v>
      </c>
      <c r="AC28" s="1">
        <f>[1]节奏总纲!AO28</f>
        <v>7.4399999999999995</v>
      </c>
      <c r="AD28" s="1">
        <f>[1]节奏总纲!AP28</f>
        <v>4.9600000000000009</v>
      </c>
      <c r="AE28" s="1">
        <f>[1]节奏总纲!AQ28</f>
        <v>2.4800000000000004</v>
      </c>
      <c r="AG28" s="1">
        <v>25</v>
      </c>
      <c r="AH28" s="1">
        <f>[1]节奏总纲!AT28</f>
        <v>1.9255289700643701</v>
      </c>
      <c r="AI28" s="1">
        <f>[1]节奏总纲!AU28</f>
        <v>1.5404231760514975</v>
      </c>
      <c r="AJ28" s="1">
        <f>[1]节奏总纲!AV28</f>
        <v>1.1553173820386213</v>
      </c>
      <c r="AK28" s="1">
        <f>[1]节奏总纲!AW28</f>
        <v>0.77021158802574874</v>
      </c>
      <c r="AL28" s="1">
        <f>[1]节奏总纲!AX28</f>
        <v>0.38510579401287437</v>
      </c>
      <c r="AM28" s="1"/>
      <c r="AN28" s="1">
        <v>25</v>
      </c>
      <c r="AO28" s="1">
        <f>[1]节奏总纲!BA28</f>
        <v>29.216428548527322</v>
      </c>
      <c r="AP28" s="1">
        <f>[1]节奏总纲!BB28</f>
        <v>30.579110535891502</v>
      </c>
      <c r="AQ28" s="1">
        <f>[1]节奏总纲!BC28</f>
        <v>32.356435933516131</v>
      </c>
      <c r="AR28" s="1">
        <f>[1]节奏总纲!BD28</f>
        <v>34.893493163684269</v>
      </c>
      <c r="AS28" s="1">
        <f>[1]节奏总纲!BE28</f>
        <v>39.520459727922798</v>
      </c>
    </row>
    <row r="29" spans="2:45" x14ac:dyDescent="0.15">
      <c r="B29" s="1">
        <f>[1]节奏总纲!N29</f>
        <v>36</v>
      </c>
      <c r="C29" s="1">
        <v>26</v>
      </c>
      <c r="D29" s="1">
        <f>[1]节奏总纲!P29</f>
        <v>5.062866266041592</v>
      </c>
      <c r="E29" s="1">
        <f>[1]节奏总纲!Q29</f>
        <v>4.408743944469018</v>
      </c>
      <c r="F29" s="1">
        <f>[1]节奏总纲!R29</f>
        <v>3.63716312552428</v>
      </c>
      <c r="G29" s="1">
        <f>[1]节奏总纲!S29</f>
        <v>2.6914197070277099</v>
      </c>
      <c r="H29" s="1">
        <f>[1]节奏总纲!T29</f>
        <v>1.4996209880015197</v>
      </c>
      <c r="J29" s="1">
        <v>26</v>
      </c>
      <c r="K29" s="1">
        <f>[1]节奏总纲!W29</f>
        <v>0.40601201654921137</v>
      </c>
      <c r="L29" s="1">
        <f>[1]节奏总纲!X29</f>
        <v>0.354486634860951</v>
      </c>
      <c r="M29" s="1">
        <f>[1]节奏总纲!Y29</f>
        <v>0.29261040353885237</v>
      </c>
      <c r="N29" s="1">
        <f>[1]节奏总纲!Z29</f>
        <v>0.2130418754478649</v>
      </c>
      <c r="O29" s="1">
        <f>[1]节奏总纲!AA29</f>
        <v>0.11932938845197816</v>
      </c>
      <c r="Q29" s="1">
        <v>26</v>
      </c>
      <c r="R29" s="1">
        <f>[1]节奏总纲!AD29</f>
        <v>47.540284631526092</v>
      </c>
      <c r="S29" s="1">
        <f>[1]节奏总纲!AE29</f>
        <v>49.446133440059114</v>
      </c>
      <c r="T29" s="1">
        <f>[1]节奏总纲!AF29</f>
        <v>52.199341027338768</v>
      </c>
      <c r="U29" s="1">
        <f>[1]节奏总纲!AG29</f>
        <v>56.621068614050692</v>
      </c>
      <c r="V29" s="1">
        <f>[1]节奏总纲!AH29</f>
        <v>65.00344105132713</v>
      </c>
      <c r="Z29" s="1">
        <v>26</v>
      </c>
      <c r="AA29" s="1">
        <f>[1]节奏总纲!AM29</f>
        <v>14.6609224175611</v>
      </c>
      <c r="AB29" s="1">
        <f>[1]节奏总纲!AN29</f>
        <v>11.72873793404888</v>
      </c>
      <c r="AC29" s="1">
        <f>[1]节奏总纲!AO29</f>
        <v>8.7965534505366598</v>
      </c>
      <c r="AD29" s="1">
        <f>[1]节奏总纲!AP29</f>
        <v>5.8643689670244399</v>
      </c>
      <c r="AE29" s="1">
        <f>[1]节奏总纲!AQ29</f>
        <v>2.9321844835122199</v>
      </c>
      <c r="AG29" s="1">
        <v>26</v>
      </c>
      <c r="AH29" s="1">
        <f>[1]节奏总纲!AT29</f>
        <v>2.2609224175610994</v>
      </c>
      <c r="AI29" s="1">
        <f>[1]节奏总纲!AU29</f>
        <v>1.8087379340488781</v>
      </c>
      <c r="AJ29" s="1">
        <f>[1]节奏总纲!AV29</f>
        <v>1.3565534505366603</v>
      </c>
      <c r="AK29" s="1">
        <f>[1]节奏总纲!AW29</f>
        <v>0.90436896702443903</v>
      </c>
      <c r="AL29" s="1">
        <f>[1]节奏总纲!AX29</f>
        <v>0.45218448351221951</v>
      </c>
      <c r="AM29" s="1"/>
      <c r="AN29" s="1">
        <v>26</v>
      </c>
      <c r="AO29" s="1">
        <f>[1]节奏总纲!BA29</f>
        <v>29.45033047434006</v>
      </c>
      <c r="AP29" s="1">
        <f>[1]节奏总纲!BB29</f>
        <v>30.828727146189561</v>
      </c>
      <c r="AQ29" s="1">
        <f>[1]节奏总纲!BC29</f>
        <v>32.59931891681552</v>
      </c>
      <c r="AR29" s="1">
        <f>[1]节奏总纲!BD29</f>
        <v>35.146386283795508</v>
      </c>
      <c r="AS29" s="1">
        <f>[1]节奏总纲!BE29</f>
        <v>39.790623261487418</v>
      </c>
    </row>
    <row r="30" spans="2:45" x14ac:dyDescent="0.15">
      <c r="B30" s="1">
        <f>[1]节奏总纲!N30</f>
        <v>37</v>
      </c>
      <c r="C30" s="1">
        <v>27</v>
      </c>
      <c r="D30" s="1">
        <f>[1]节奏总纲!P30</f>
        <v>5.4980191708498847</v>
      </c>
      <c r="E30" s="1">
        <f>[1]节奏总纲!Q30</f>
        <v>4.7882248958931646</v>
      </c>
      <c r="F30" s="1">
        <f>[1]节奏总纲!R30</f>
        <v>3.9492271704214725</v>
      </c>
      <c r="G30" s="1">
        <f>[1]节奏总纲!S30</f>
        <v>2.9205477835554587</v>
      </c>
      <c r="H30" s="1">
        <f>[1]节奏总纲!T30</f>
        <v>1.6290630803228208</v>
      </c>
      <c r="J30" s="1">
        <v>27</v>
      </c>
      <c r="K30" s="1">
        <f>[1]节奏总纲!W30</f>
        <v>0.43515290480829272</v>
      </c>
      <c r="L30" s="1">
        <f>[1]节奏总纲!X30</f>
        <v>0.37948095142414662</v>
      </c>
      <c r="M30" s="1">
        <f>[1]节奏总纲!Y30</f>
        <v>0.31206404489719253</v>
      </c>
      <c r="N30" s="1">
        <f>[1]节奏总纲!Z30</f>
        <v>0.2291280765277488</v>
      </c>
      <c r="O30" s="1">
        <f>[1]节奏总纲!AA30</f>
        <v>0.12944209232130111</v>
      </c>
      <c r="Q30" s="1">
        <v>27</v>
      </c>
      <c r="R30" s="1">
        <f>[1]节奏总纲!AD30</f>
        <v>48.071211008105138</v>
      </c>
      <c r="S30" s="1">
        <f>[1]节奏总纲!AE30</f>
        <v>49.981218513907905</v>
      </c>
      <c r="T30" s="1">
        <f>[1]节奏总纲!AF30</f>
        <v>52.705993248660157</v>
      </c>
      <c r="U30" s="1">
        <f>[1]节奏总纲!AG30</f>
        <v>57.175765669822162</v>
      </c>
      <c r="V30" s="1">
        <f>[1]节奏总纲!AH30</f>
        <v>65.541743280100334</v>
      </c>
      <c r="Z30" s="1">
        <v>27</v>
      </c>
      <c r="AA30" s="1">
        <f>[1]节奏总纲!AM30</f>
        <v>17.314186320787698</v>
      </c>
      <c r="AB30" s="1">
        <f>[1]节奏总纲!AN30</f>
        <v>13.851349056630159</v>
      </c>
      <c r="AC30" s="1">
        <f>[1]节奏总纲!AO30</f>
        <v>10.388511792472618</v>
      </c>
      <c r="AD30" s="1">
        <f>[1]节奏总纲!AP30</f>
        <v>6.9256745283150796</v>
      </c>
      <c r="AE30" s="1">
        <f>[1]节奏总纲!AQ30</f>
        <v>3.4628372641575398</v>
      </c>
      <c r="AG30" s="1">
        <v>27</v>
      </c>
      <c r="AH30" s="1">
        <f>[1]节奏总纲!AT30</f>
        <v>2.6532639032265983</v>
      </c>
      <c r="AI30" s="1">
        <f>[1]节奏总纲!AU30</f>
        <v>2.1226111225812794</v>
      </c>
      <c r="AJ30" s="1">
        <f>[1]节奏总纲!AV30</f>
        <v>1.5919583419359586</v>
      </c>
      <c r="AK30" s="1">
        <f>[1]节奏总纲!AW30</f>
        <v>1.0613055612906397</v>
      </c>
      <c r="AL30" s="1">
        <f>[1]节奏总纲!AX30</f>
        <v>0.53065278064531984</v>
      </c>
      <c r="AM30" s="1"/>
      <c r="AN30" s="1">
        <v>27</v>
      </c>
      <c r="AO30" s="1">
        <f>[1]节奏总纲!BA30</f>
        <v>29.684232400152801</v>
      </c>
      <c r="AP30" s="1">
        <f>[1]节奏总纲!BB30</f>
        <v>31.066913270913183</v>
      </c>
      <c r="AQ30" s="1">
        <f>[1]节奏总纲!BC30</f>
        <v>32.842201900114915</v>
      </c>
      <c r="AR30" s="1">
        <f>[1]节奏总纲!BD30</f>
        <v>35.390363423454687</v>
      </c>
      <c r="AS30" s="1">
        <f>[1]节奏总纲!BE30</f>
        <v>40.052446592012309</v>
      </c>
    </row>
    <row r="31" spans="2:45" x14ac:dyDescent="0.15">
      <c r="B31" s="1">
        <f>[1]节奏总纲!N31</f>
        <v>38</v>
      </c>
      <c r="C31" s="1">
        <v>28</v>
      </c>
      <c r="D31" s="1">
        <f>[1]节奏总纲!P31</f>
        <v>5.9644045063689921</v>
      </c>
      <c r="E31" s="1">
        <f>[1]节奏总纲!Q31</f>
        <v>5.1914176823435705</v>
      </c>
      <c r="F31" s="1">
        <f>[1]节奏总纲!R31</f>
        <v>4.2752851501652938</v>
      </c>
      <c r="G31" s="1">
        <f>[1]节奏总纲!S31</f>
        <v>3.1653094715300236</v>
      </c>
      <c r="H31" s="1">
        <f>[1]节奏总纲!T31</f>
        <v>1.7738139001941382</v>
      </c>
      <c r="J31" s="1">
        <v>28</v>
      </c>
      <c r="K31" s="1">
        <f>[1]节奏总纲!W31</f>
        <v>0.46638533551910744</v>
      </c>
      <c r="L31" s="1">
        <f>[1]节奏总纲!X31</f>
        <v>0.4031927864504059</v>
      </c>
      <c r="M31" s="1">
        <f>[1]节奏总纲!Y31</f>
        <v>0.32605797974382122</v>
      </c>
      <c r="N31" s="1">
        <f>[1]节奏总纲!Z31</f>
        <v>0.24476168797456488</v>
      </c>
      <c r="O31" s="1">
        <f>[1]节奏总纲!AA31</f>
        <v>0.14475081987131744</v>
      </c>
      <c r="Q31" s="1">
        <v>28</v>
      </c>
      <c r="R31" s="1">
        <f>[1]节奏总纲!AD31</f>
        <v>48.571351621712928</v>
      </c>
      <c r="S31" s="1">
        <f>[1]节奏总纲!AE31</f>
        <v>50.509688493127967</v>
      </c>
      <c r="T31" s="1">
        <f>[1]节奏总纲!AF31</f>
        <v>53.212684955585161</v>
      </c>
      <c r="U31" s="1">
        <f>[1]节奏总纲!AG31</f>
        <v>57.699988965458331</v>
      </c>
      <c r="V31" s="1">
        <f>[1]节奏总纲!AH31</f>
        <v>66.076345334947405</v>
      </c>
      <c r="Z31" s="1">
        <v>28</v>
      </c>
      <c r="AA31" s="1">
        <f>[1]节奏总纲!AM31</f>
        <v>20.42625995518307</v>
      </c>
      <c r="AB31" s="1">
        <f>[1]节奏总纲!AN31</f>
        <v>16.341007964146456</v>
      </c>
      <c r="AC31" s="1">
        <f>[1]节奏总纲!AO31</f>
        <v>12.255755973109842</v>
      </c>
      <c r="AD31" s="1">
        <f>[1]节奏总纲!AP31</f>
        <v>8.1705039820732281</v>
      </c>
      <c r="AE31" s="1">
        <f>[1]节奏总纲!AQ31</f>
        <v>4.0852519910366141</v>
      </c>
      <c r="AG31" s="1">
        <v>28</v>
      </c>
      <c r="AH31" s="1">
        <f>[1]节奏总纲!AT31</f>
        <v>3.1120736343953723</v>
      </c>
      <c r="AI31" s="1">
        <f>[1]节奏总纲!AU31</f>
        <v>2.4896589075162971</v>
      </c>
      <c r="AJ31" s="1">
        <f>[1]节奏总纲!AV31</f>
        <v>1.8672441806372237</v>
      </c>
      <c r="AK31" s="1">
        <f>[1]节奏总纲!AW31</f>
        <v>1.2448294537581486</v>
      </c>
      <c r="AL31" s="1">
        <f>[1]节奏总纲!AX31</f>
        <v>0.62241472687907429</v>
      </c>
      <c r="AM31" s="1"/>
      <c r="AN31" s="1">
        <v>28</v>
      </c>
      <c r="AO31" s="1">
        <f>[1]节奏总纲!BA31</f>
        <v>29.918134325965539</v>
      </c>
      <c r="AP31" s="1">
        <f>[1]节奏总纲!BB31</f>
        <v>31.280110398778046</v>
      </c>
      <c r="AQ31" s="1">
        <f>[1]节奏总纲!BC31</f>
        <v>33.072726100175295</v>
      </c>
      <c r="AR31" s="1">
        <f>[1]节奏总纲!BD31</f>
        <v>35.634340563113874</v>
      </c>
      <c r="AS31" s="1">
        <f>[1]节奏总纲!BE31</f>
        <v>40.28554255651148</v>
      </c>
    </row>
    <row r="32" spans="2:45" x14ac:dyDescent="0.15">
      <c r="B32" s="1">
        <f>[1]节奏总纲!N32</f>
        <v>39</v>
      </c>
      <c r="C32" s="1">
        <v>29</v>
      </c>
      <c r="D32" s="1">
        <f>[1]节奏总纲!P32</f>
        <v>6.4642639322944575</v>
      </c>
      <c r="E32" s="1">
        <f>[1]节奏总纲!Q32</f>
        <v>5.6323131642081607</v>
      </c>
      <c r="F32" s="1">
        <f>[1]节奏总纲!R32</f>
        <v>4.6510378992858623</v>
      </c>
      <c r="G32" s="1">
        <f>[1]节奏总纲!S32</f>
        <v>3.4532097926316991</v>
      </c>
      <c r="H32" s="1">
        <f>[1]节奏总纲!T32</f>
        <v>1.9366934741154194</v>
      </c>
      <c r="J32" s="1">
        <v>29</v>
      </c>
      <c r="K32" s="1">
        <f>[1]节奏总纲!W32</f>
        <v>0.49985942592546539</v>
      </c>
      <c r="L32" s="1">
        <f>[1]节奏总纲!X32</f>
        <v>0.44089548186459027</v>
      </c>
      <c r="M32" s="1">
        <f>[1]节奏总纲!Y32</f>
        <v>0.37575274912056855</v>
      </c>
      <c r="N32" s="1">
        <f>[1]节奏总纲!Z32</f>
        <v>0.28790032110167552</v>
      </c>
      <c r="O32" s="1">
        <f>[1]节奏总纲!AA32</f>
        <v>0.16287957392128116</v>
      </c>
      <c r="Q32" s="1">
        <v>29</v>
      </c>
      <c r="R32" s="1">
        <f>[1]节奏总纲!AD32</f>
        <v>49.066704614192936</v>
      </c>
      <c r="S32" s="1">
        <f>[1]节奏总纲!AE32</f>
        <v>51.033341828534468</v>
      </c>
      <c r="T32" s="1">
        <f>[1]节奏总纲!AF32</f>
        <v>53.719431255885922</v>
      </c>
      <c r="U32" s="1">
        <f>[1]节奏总纲!AG32</f>
        <v>58.210135614815364</v>
      </c>
      <c r="V32" s="1">
        <f>[1]节奏总纲!AH32</f>
        <v>66.589764070576265</v>
      </c>
      <c r="Z32" s="1">
        <v>29</v>
      </c>
      <c r="AA32" s="1">
        <f>[1]节奏总纲!AM32</f>
        <v>24.074703862418847</v>
      </c>
      <c r="AB32" s="1">
        <f>[1]节奏总纲!AN32</f>
        <v>19.259763089935078</v>
      </c>
      <c r="AC32" s="1">
        <f>[1]节奏总纲!AO32</f>
        <v>14.444822317451308</v>
      </c>
      <c r="AD32" s="1">
        <f>[1]节奏总纲!AP32</f>
        <v>9.6298815449675388</v>
      </c>
      <c r="AE32" s="1">
        <f>[1]节奏总纲!AQ32</f>
        <v>4.8149407724837694</v>
      </c>
      <c r="AG32" s="1">
        <v>29</v>
      </c>
      <c r="AH32" s="1">
        <f>[1]节奏总纲!AT32</f>
        <v>3.6484439072357766</v>
      </c>
      <c r="AI32" s="1">
        <f>[1]节奏总纲!AU32</f>
        <v>2.9187551257886213</v>
      </c>
      <c r="AJ32" s="1">
        <f>[1]节奏总纲!AV32</f>
        <v>2.189066344341466</v>
      </c>
      <c r="AK32" s="1">
        <f>[1]节奏总纲!AW32</f>
        <v>1.4593775628943106</v>
      </c>
      <c r="AL32" s="1">
        <f>[1]节奏总纲!AX32</f>
        <v>0.72968878144715532</v>
      </c>
      <c r="AM32" s="1"/>
      <c r="AN32" s="1">
        <v>29</v>
      </c>
      <c r="AO32" s="1">
        <f>[1]节奏总纲!BA32</f>
        <v>30.12980063735499</v>
      </c>
      <c r="AP32" s="1">
        <f>[1]节奏总纲!BB32</f>
        <v>31.493307526642905</v>
      </c>
      <c r="AQ32" s="1">
        <f>[1]节奏总纲!BC32</f>
        <v>33.280329748032408</v>
      </c>
      <c r="AR32" s="1">
        <f>[1]节奏总纲!BD32</f>
        <v>35.878317702773053</v>
      </c>
      <c r="AS32" s="1">
        <f>[1]节奏总纲!BE32</f>
        <v>40.518638521010644</v>
      </c>
    </row>
    <row r="33" spans="2:45" x14ac:dyDescent="0.15">
      <c r="B33" s="1">
        <f>[1]节奏总纲!N33</f>
        <v>40</v>
      </c>
      <c r="C33" s="1">
        <v>30</v>
      </c>
      <c r="D33" s="1">
        <f>[1]节奏总纲!P33</f>
        <v>7</v>
      </c>
      <c r="E33" s="1">
        <f>[1]节奏总纲!Q33</f>
        <v>6.1025999999999998</v>
      </c>
      <c r="F33" s="1">
        <f>[1]节奏总纲!R33</f>
        <v>5.0421000000000005</v>
      </c>
      <c r="G33" s="1">
        <f>[1]节奏总纲!S33</f>
        <v>3.7428999999999997</v>
      </c>
      <c r="H33" s="1">
        <f>[1]节奏总纲!T33</f>
        <v>2.1006999999999998</v>
      </c>
      <c r="J33" s="1">
        <v>30</v>
      </c>
      <c r="K33" s="1">
        <f>[1]节奏总纲!W33</f>
        <v>0.5357360677055425</v>
      </c>
      <c r="L33" s="1">
        <f>[1]节奏总纲!X33</f>
        <v>0.47028683579183905</v>
      </c>
      <c r="M33" s="1">
        <f>[1]节奏总纲!Y33</f>
        <v>0.39106210071413816</v>
      </c>
      <c r="N33" s="1">
        <f>[1]节奏总纲!Z33</f>
        <v>0.28969020736830053</v>
      </c>
      <c r="O33" s="1">
        <f>[1]节奏总纲!AA33</f>
        <v>0.16400652588458042</v>
      </c>
      <c r="Q33" s="1">
        <v>30</v>
      </c>
      <c r="R33" s="1">
        <f>[1]节奏总纲!AD33</f>
        <v>49.533352307096472</v>
      </c>
      <c r="S33" s="1">
        <f>[1]节奏总纲!AE33</f>
        <v>51.497823295559343</v>
      </c>
      <c r="T33" s="1">
        <f>[1]节奏总纲!AF33</f>
        <v>54.213705787583436</v>
      </c>
      <c r="U33" s="1">
        <f>[1]节奏总纲!AG33</f>
        <v>58.701446767877648</v>
      </c>
      <c r="V33" s="1">
        <f>[1]节奏总纲!AH33</f>
        <v>67.097551508592701</v>
      </c>
      <c r="Z33" s="1">
        <v>30</v>
      </c>
      <c r="AA33" s="1">
        <f>[1]节奏总纲!AM33</f>
        <v>28.35</v>
      </c>
      <c r="AB33" s="1">
        <f>[1]节奏总纲!AN33</f>
        <v>22.680000000000003</v>
      </c>
      <c r="AC33" s="1">
        <f>[1]节奏总纲!AO33</f>
        <v>17.010000000000002</v>
      </c>
      <c r="AD33" s="1">
        <f>[1]节奏总纲!AP33</f>
        <v>11.340000000000002</v>
      </c>
      <c r="AE33" s="1">
        <f>[1]节奏总纲!AQ33</f>
        <v>5.6700000000000008</v>
      </c>
      <c r="AG33" s="1">
        <v>30</v>
      </c>
      <c r="AH33" s="1">
        <f>[1]节奏总纲!AT33</f>
        <v>4.2752961375811545</v>
      </c>
      <c r="AI33" s="1">
        <f>[1]节奏总纲!AU33</f>
        <v>3.4202369100649257</v>
      </c>
      <c r="AJ33" s="1">
        <f>[1]节奏总纲!AV33</f>
        <v>2.5651776825486934</v>
      </c>
      <c r="AK33" s="1">
        <f>[1]节奏总纲!AW33</f>
        <v>1.7101184550324628</v>
      </c>
      <c r="AL33" s="1">
        <f>[1]节奏总纲!AX33</f>
        <v>0.85505922751623142</v>
      </c>
      <c r="AM33" s="1"/>
      <c r="AN33" s="1">
        <v>30</v>
      </c>
      <c r="AO33" s="1">
        <f>[1]节奏总纲!BA33</f>
        <v>30.329493925593439</v>
      </c>
      <c r="AP33" s="1">
        <f>[1]节奏总纲!BB33</f>
        <v>31.706504654507764</v>
      </c>
      <c r="AQ33" s="1">
        <f>[1]节奏总纲!BC33</f>
        <v>33.487933395889513</v>
      </c>
      <c r="AR33" s="1">
        <f>[1]节奏总纲!BD33</f>
        <v>36.105477566569242</v>
      </c>
      <c r="AS33" s="1">
        <f>[1]节奏总纲!BE33</f>
        <v>40.751734485509814</v>
      </c>
    </row>
    <row r="34" spans="2:45" x14ac:dyDescent="0.15">
      <c r="B34" s="1">
        <f>[1]节奏总纲!N34</f>
        <v>41</v>
      </c>
      <c r="C34" s="1">
        <v>31</v>
      </c>
      <c r="D34" s="1">
        <f>[1]节奏总纲!P34</f>
        <v>7.5741877002903433</v>
      </c>
      <c r="E34" s="1">
        <f>[1]节奏总纲!Q34</f>
        <v>6.6115084435834408</v>
      </c>
      <c r="F34" s="1">
        <f>[1]节奏总纲!R34</f>
        <v>5.4632615882194253</v>
      </c>
      <c r="G34" s="1">
        <f>[1]节奏总纲!S34</f>
        <v>4.052190419655334</v>
      </c>
      <c r="H34" s="1">
        <f>[1]节奏总纲!T34</f>
        <v>2.2783156602473356</v>
      </c>
      <c r="J34" s="1">
        <v>31</v>
      </c>
      <c r="K34" s="1">
        <f>[1]节奏总纲!W34</f>
        <v>0.57418770029034327</v>
      </c>
      <c r="L34" s="1">
        <f>[1]节奏总纲!X34</f>
        <v>0.50890844358344101</v>
      </c>
      <c r="M34" s="1">
        <f>[1]节奏总纲!Y34</f>
        <v>0.42116158821942484</v>
      </c>
      <c r="N34" s="1">
        <f>[1]节奏总纲!Z34</f>
        <v>0.30929041965533433</v>
      </c>
      <c r="O34" s="1">
        <f>[1]节奏总纲!AA34</f>
        <v>0.17761566024733577</v>
      </c>
      <c r="Q34" s="1">
        <v>31</v>
      </c>
      <c r="R34" s="1">
        <f>[1]节奏总纲!AD34</f>
        <v>50</v>
      </c>
      <c r="S34" s="1">
        <f>[1]节奏总纲!AE34</f>
        <v>51.96230476258421</v>
      </c>
      <c r="T34" s="1">
        <f>[1]节奏总纲!AF34</f>
        <v>54.692509339255828</v>
      </c>
      <c r="U34" s="1">
        <f>[1]节奏总纲!AG34</f>
        <v>59.178112178215827</v>
      </c>
      <c r="V34" s="1">
        <f>[1]节奏总纲!AH34</f>
        <v>67.582949939226467</v>
      </c>
      <c r="Z34" s="1">
        <v>31</v>
      </c>
      <c r="AA34" s="1">
        <f>[1]节奏总纲!AM34</f>
        <v>33.357679571112705</v>
      </c>
      <c r="AB34" s="1">
        <f>[1]节奏总纲!AN34</f>
        <v>26.686143656890167</v>
      </c>
      <c r="AC34" s="1">
        <f>[1]节奏总纲!AO34</f>
        <v>20.014607742667621</v>
      </c>
      <c r="AD34" s="1">
        <f>[1]节奏总纲!AP34</f>
        <v>13.343071828445083</v>
      </c>
      <c r="AE34" s="1">
        <f>[1]节奏总纲!AQ34</f>
        <v>6.6715359142225417</v>
      </c>
      <c r="AG34" s="1">
        <v>31</v>
      </c>
      <c r="AH34" s="1">
        <f>[1]节奏总纲!AT34</f>
        <v>5.0076795711127033</v>
      </c>
      <c r="AI34" s="1">
        <f>[1]节奏总纲!AU34</f>
        <v>4.0061436568901634</v>
      </c>
      <c r="AJ34" s="1">
        <f>[1]节奏总纲!AV34</f>
        <v>3.0046077426676199</v>
      </c>
      <c r="AK34" s="1">
        <f>[1]节奏总纲!AW34</f>
        <v>2.0030718284450817</v>
      </c>
      <c r="AL34" s="1">
        <f>[1]节奏总纲!AX34</f>
        <v>1.0015359142225408</v>
      </c>
      <c r="AM34" s="1"/>
      <c r="AN34" s="1">
        <v>31</v>
      </c>
      <c r="AO34" s="1">
        <f>[1]节奏总纲!BA34</f>
        <v>30.529187213831889</v>
      </c>
      <c r="AP34" s="1">
        <f>[1]节奏总纲!BB34</f>
        <v>31.919701782372627</v>
      </c>
      <c r="AQ34" s="1">
        <f>[1]节奏总纲!BC34</f>
        <v>33.695537043746626</v>
      </c>
      <c r="AR34" s="1">
        <f>[1]节奏总纲!BD34</f>
        <v>36.315904388158508</v>
      </c>
      <c r="AS34" s="1">
        <f>[1]节奏总纲!BE34</f>
        <v>40.984830450008978</v>
      </c>
    </row>
    <row r="35" spans="2:45" x14ac:dyDescent="0.15">
      <c r="B35" s="1">
        <f>[1]节奏总纲!N35</f>
        <v>42</v>
      </c>
      <c r="C35" s="1">
        <v>32</v>
      </c>
      <c r="D35" s="1">
        <f>[1]节奏总纲!P35</f>
        <v>8.189586839976279</v>
      </c>
      <c r="E35" s="1">
        <f>[1]节奏总纲!Q35</f>
        <v>7.1519661873512845</v>
      </c>
      <c r="F35" s="1">
        <f>[1]节奏总纲!R35</f>
        <v>5.906330028990892</v>
      </c>
      <c r="G35" s="1">
        <f>[1]节奏总纲!S35</f>
        <v>4.3855237528072974</v>
      </c>
      <c r="H35" s="1">
        <f>[1]节奏总纲!T35</f>
        <v>2.46506563883286</v>
      </c>
      <c r="J35" s="1">
        <v>32</v>
      </c>
      <c r="K35" s="1">
        <f>[1]节奏总纲!W35</f>
        <v>0.61539913968593574</v>
      </c>
      <c r="L35" s="1">
        <f>[1]节奏总纲!X35</f>
        <v>0.54045774376784372</v>
      </c>
      <c r="M35" s="1">
        <f>[1]节奏总纲!Y35</f>
        <v>0.44306844077146668</v>
      </c>
      <c r="N35" s="1">
        <f>[1]节奏总纲!Z35</f>
        <v>0.33333333315196345</v>
      </c>
      <c r="O35" s="1">
        <f>[1]节奏总纲!AA35</f>
        <v>0.18674997858552445</v>
      </c>
      <c r="Q35" s="1">
        <v>32</v>
      </c>
      <c r="R35" s="1">
        <f>[1]节奏总纲!AD35</f>
        <v>50.435397692903535</v>
      </c>
      <c r="S35" s="1">
        <f>[1]节奏总纲!AE35</f>
        <v>52.391506955233744</v>
      </c>
      <c r="T35" s="1">
        <f>[1]节奏总纲!AF35</f>
        <v>55.159275389027101</v>
      </c>
      <c r="U35" s="1">
        <f>[1]节奏总纲!AG35</f>
        <v>59.632093520341421</v>
      </c>
      <c r="V35" s="1">
        <f>[1]节奏总纲!AH35</f>
        <v>68.063981730538742</v>
      </c>
      <c r="Z35" s="1">
        <v>32</v>
      </c>
      <c r="AA35" s="1">
        <f>[1]节奏总纲!AM35</f>
        <v>39.220797956048642</v>
      </c>
      <c r="AB35" s="1">
        <f>[1]节奏总纲!AN35</f>
        <v>31.376638364838914</v>
      </c>
      <c r="AC35" s="1">
        <f>[1]节奏总纲!AO35</f>
        <v>23.532478773629183</v>
      </c>
      <c r="AD35" s="1">
        <f>[1]节奏总纲!AP35</f>
        <v>15.688319182419457</v>
      </c>
      <c r="AE35" s="1">
        <f>[1]节奏总纲!AQ35</f>
        <v>7.8441595912097286</v>
      </c>
      <c r="AG35" s="1">
        <v>32</v>
      </c>
      <c r="AH35" s="1">
        <f>[1]节奏总纲!AT35</f>
        <v>5.8631183849359374</v>
      </c>
      <c r="AI35" s="1">
        <f>[1]节奏总纲!AU35</f>
        <v>4.6904947079487478</v>
      </c>
      <c r="AJ35" s="1">
        <f>[1]节奏总纲!AV35</f>
        <v>3.5178710309615617</v>
      </c>
      <c r="AK35" s="1">
        <f>[1]节奏总纲!AW35</f>
        <v>2.3452473539743739</v>
      </c>
      <c r="AL35" s="1">
        <f>[1]节奏总纲!AX35</f>
        <v>1.1726236769871869</v>
      </c>
      <c r="AM35" s="1"/>
      <c r="AN35" s="1">
        <v>32</v>
      </c>
      <c r="AO35" s="1">
        <f>[1]节奏总纲!BA35</f>
        <v>30.728880502070336</v>
      </c>
      <c r="AP35" s="1">
        <f>[1]节奏总纲!BB35</f>
        <v>32.113552950216736</v>
      </c>
      <c r="AQ35" s="1">
        <f>[1]节奏总纲!BC35</f>
        <v>33.903140691603731</v>
      </c>
      <c r="AR35" s="1">
        <f>[1]节奏总纲!BD35</f>
        <v>36.526331209747774</v>
      </c>
      <c r="AS35" s="1">
        <f>[1]节奏总纲!BE35</f>
        <v>41.188041754455355</v>
      </c>
    </row>
    <row r="36" spans="2:45" x14ac:dyDescent="0.15">
      <c r="B36" s="1">
        <f>[1]节奏总纲!N36</f>
        <v>43</v>
      </c>
      <c r="C36" s="1">
        <v>33</v>
      </c>
      <c r="D36" s="1">
        <f>[1]节奏总纲!P36</f>
        <v>8.8491553067593287</v>
      </c>
      <c r="E36" s="1">
        <f>[1]节奏总纲!Q36</f>
        <v>7.7120388498407557</v>
      </c>
      <c r="F36" s="1">
        <f>[1]节奏总纲!R36</f>
        <v>6.3696219898053652</v>
      </c>
      <c r="G36" s="1">
        <f>[1]节奏总纲!S36</f>
        <v>4.736067920177593</v>
      </c>
      <c r="H36" s="1">
        <f>[1]节奏总纲!T36</f>
        <v>2.6627108318038819</v>
      </c>
      <c r="J36" s="1">
        <v>33</v>
      </c>
      <c r="K36" s="1">
        <f>[1]节奏总纲!W36</f>
        <v>0.6595684667830497</v>
      </c>
      <c r="L36" s="1">
        <f>[1]节奏总纲!X36</f>
        <v>0.56007266248947118</v>
      </c>
      <c r="M36" s="1">
        <f>[1]节奏总纲!Y36</f>
        <v>0.46329196081447321</v>
      </c>
      <c r="N36" s="1">
        <f>[1]节奏总纲!Z36</f>
        <v>0.35054416737029559</v>
      </c>
      <c r="O36" s="1">
        <f>[1]节奏总纲!AA36</f>
        <v>0.1976451929710219</v>
      </c>
      <c r="Q36" s="1">
        <v>33</v>
      </c>
      <c r="R36" s="1">
        <f>[1]节奏总纲!AD36</f>
        <v>50.870795385807064</v>
      </c>
      <c r="S36" s="1">
        <f>[1]节奏总纲!AE36</f>
        <v>52.81759316022675</v>
      </c>
      <c r="T36" s="1">
        <f>[1]节奏总纲!AF36</f>
        <v>55.604435245632025</v>
      </c>
      <c r="U36" s="1">
        <f>[1]节奏总纲!AG36</f>
        <v>60.078368706270226</v>
      </c>
      <c r="V36" s="1">
        <f>[1]节奏总纲!AH36</f>
        <v>68.518369035696878</v>
      </c>
      <c r="Z36" s="1">
        <v>33</v>
      </c>
      <c r="AA36" s="1">
        <f>[1]节奏总纲!AM36</f>
        <v>46.082812923199413</v>
      </c>
      <c r="AB36" s="1">
        <f>[1]节奏总纲!AN36</f>
        <v>36.866250338559531</v>
      </c>
      <c r="AC36" s="1">
        <f>[1]节奏总纲!AO36</f>
        <v>27.649687753919647</v>
      </c>
      <c r="AD36" s="1">
        <f>[1]节奏总纲!AP36</f>
        <v>18.433125169279766</v>
      </c>
      <c r="AE36" s="1">
        <f>[1]节奏总纲!AQ36</f>
        <v>9.2165625846398829</v>
      </c>
      <c r="AG36" s="1">
        <v>33</v>
      </c>
      <c r="AH36" s="1">
        <f>[1]节奏总纲!AT36</f>
        <v>6.8620149671507704</v>
      </c>
      <c r="AI36" s="1">
        <f>[1]节奏总纲!AU36</f>
        <v>5.489611973720617</v>
      </c>
      <c r="AJ36" s="1">
        <f>[1]节奏总纲!AV36</f>
        <v>4.1172089802904637</v>
      </c>
      <c r="AK36" s="1">
        <f>[1]节奏总纲!AW36</f>
        <v>2.7448059868603085</v>
      </c>
      <c r="AL36" s="1">
        <f>[1]节奏总纲!AX36</f>
        <v>1.3724029934301543</v>
      </c>
      <c r="AM36" s="1"/>
      <c r="AN36" s="1">
        <v>33</v>
      </c>
      <c r="AO36" s="1">
        <f>[1]节奏总纲!BA36</f>
        <v>30.928573790308786</v>
      </c>
      <c r="AP36" s="1">
        <f>[1]节奏总纲!BB36</f>
        <v>32.295715187691279</v>
      </c>
      <c r="AQ36" s="1">
        <f>[1]节奏总纲!BC36</f>
        <v>34.09469189131628</v>
      </c>
      <c r="AR36" s="1">
        <f>[1]节奏总纲!BD36</f>
        <v>36.73675803133704</v>
      </c>
      <c r="AS36" s="1">
        <f>[1]节奏总纲!BE36</f>
        <v>41.389172829914081</v>
      </c>
    </row>
    <row r="37" spans="2:45" x14ac:dyDescent="0.15">
      <c r="B37" s="1">
        <f>[1]节奏总纲!N37</f>
        <v>44</v>
      </c>
      <c r="C37" s="1">
        <v>34</v>
      </c>
      <c r="D37" s="1">
        <f>[1]节奏总纲!P37</f>
        <v>9.5560632861831518</v>
      </c>
      <c r="E37" s="1">
        <f>[1]节奏总纲!Q37</f>
        <v>8.3309759728944712</v>
      </c>
      <c r="F37" s="1">
        <f>[1]节奏总纲!R37</f>
        <v>6.8918328419952886</v>
      </c>
      <c r="G37" s="1">
        <f>[1]节奏总纲!S37</f>
        <v>5.1287391656944967</v>
      </c>
      <c r="H37" s="1">
        <f>[1]节奏总纲!T37</f>
        <v>2.8811530807842201</v>
      </c>
      <c r="J37" s="1">
        <v>34</v>
      </c>
      <c r="K37" s="1">
        <f>[1]节奏总纲!W37</f>
        <v>0.70690797942382311</v>
      </c>
      <c r="L37" s="1">
        <f>[1]节奏总纲!X37</f>
        <v>0.61893712305371551</v>
      </c>
      <c r="M37" s="1">
        <f>[1]节奏总纲!Y37</f>
        <v>0.52221085218992336</v>
      </c>
      <c r="N37" s="1">
        <f>[1]节奏总纲!Z37</f>
        <v>0.39267124551690369</v>
      </c>
      <c r="O37" s="1">
        <f>[1]节奏总纲!AA37</f>
        <v>0.21844224898033815</v>
      </c>
      <c r="Q37" s="1">
        <v>34</v>
      </c>
      <c r="R37" s="1">
        <f>[1]节奏总纲!AD37</f>
        <v>51.285688244217212</v>
      </c>
      <c r="S37" s="1">
        <f>[1]节奏总纲!AE37</f>
        <v>53.226994578658328</v>
      </c>
      <c r="T37" s="1">
        <f>[1]节奏总纲!AF37</f>
        <v>56.045896281048073</v>
      </c>
      <c r="U37" s="1">
        <f>[1]节奏总纲!AG37</f>
        <v>60.491705764657482</v>
      </c>
      <c r="V37" s="1">
        <f>[1]节奏总纲!AH37</f>
        <v>68.972756340855</v>
      </c>
      <c r="Z37" s="1">
        <v>34</v>
      </c>
      <c r="AA37" s="1">
        <f>[1]节奏总纲!AM37</f>
        <v>54.110931329932889</v>
      </c>
      <c r="AB37" s="1">
        <f>[1]节奏总纲!AN37</f>
        <v>43.288745063946315</v>
      </c>
      <c r="AC37" s="1">
        <f>[1]节奏总纲!AO37</f>
        <v>32.466558797959735</v>
      </c>
      <c r="AD37" s="1">
        <f>[1]节奏总纲!AP37</f>
        <v>21.644372531973158</v>
      </c>
      <c r="AE37" s="1">
        <f>[1]节奏总纲!AQ37</f>
        <v>10.822186265986579</v>
      </c>
      <c r="AG37" s="1">
        <v>34</v>
      </c>
      <c r="AH37" s="1">
        <f>[1]节奏总纲!AT37</f>
        <v>8.0281184067334763</v>
      </c>
      <c r="AI37" s="1">
        <f>[1]节奏总纲!AU37</f>
        <v>6.4224947253867839</v>
      </c>
      <c r="AJ37" s="1">
        <f>[1]节奏总纲!AV37</f>
        <v>4.8168710440400879</v>
      </c>
      <c r="AK37" s="1">
        <f>[1]节奏总纲!AW37</f>
        <v>3.2112473626933919</v>
      </c>
      <c r="AL37" s="1">
        <f>[1]节奏总纲!AX37</f>
        <v>1.605623681346696</v>
      </c>
      <c r="AM37" s="1"/>
      <c r="AN37" s="1">
        <v>34</v>
      </c>
      <c r="AO37" s="1">
        <f>[1]节奏总纲!BA37</f>
        <v>31.109552696486158</v>
      </c>
      <c r="AP37" s="1">
        <f>[1]节奏总纲!BB37</f>
        <v>32.477877425165822</v>
      </c>
      <c r="AQ37" s="1">
        <f>[1]节奏总纲!BC37</f>
        <v>34.272203285175834</v>
      </c>
      <c r="AR37" s="1">
        <f>[1]节奏总纲!BD37</f>
        <v>36.947184852926306</v>
      </c>
      <c r="AS37" s="1">
        <f>[1]节奏总纲!BE37</f>
        <v>41.590303905372799</v>
      </c>
    </row>
    <row r="38" spans="2:45" x14ac:dyDescent="0.15">
      <c r="B38" s="1">
        <f>[1]节奏总纲!N38</f>
        <v>45</v>
      </c>
      <c r="C38" s="1">
        <v>35</v>
      </c>
      <c r="D38" s="1">
        <f>[1]节奏总纲!P38</f>
        <v>10.313708498984759</v>
      </c>
      <c r="E38" s="1">
        <f>[1]节奏总纲!Q38</f>
        <v>9.0048988904635934</v>
      </c>
      <c r="F38" s="1">
        <f>[1]节奏总纲!R38</f>
        <v>7.4547485030661838</v>
      </c>
      <c r="G38" s="1">
        <f>[1]节奏总纲!S38</f>
        <v>5.5405242056546129</v>
      </c>
      <c r="H38" s="1">
        <f>[1]节奏总纲!T38</f>
        <v>3.1106144832938032</v>
      </c>
      <c r="J38" s="1">
        <v>35</v>
      </c>
      <c r="K38" s="1">
        <f>[1]节奏总纲!W38</f>
        <v>0.75764521280160757</v>
      </c>
      <c r="L38" s="1">
        <f>[1]节奏总纲!X38</f>
        <v>0.67392291756912215</v>
      </c>
      <c r="M38" s="1">
        <f>[1]节奏总纲!Y38</f>
        <v>0.56291566107089519</v>
      </c>
      <c r="N38" s="1">
        <f>[1]节奏总纲!Z38</f>
        <v>0.41178503996011617</v>
      </c>
      <c r="O38" s="1">
        <f>[1]节奏总纲!AA38</f>
        <v>0.22946140250958313</v>
      </c>
      <c r="Q38" s="1">
        <v>35</v>
      </c>
      <c r="R38" s="1">
        <f>[1]节奏总纲!AD38</f>
        <v>51.691928656135211</v>
      </c>
      <c r="S38" s="1">
        <f>[1]节奏总纲!AE38</f>
        <v>53.623906555539456</v>
      </c>
      <c r="T38" s="1">
        <f>[1]节奏总纲!AF38</f>
        <v>56.457855949816349</v>
      </c>
      <c r="U38" s="1">
        <f>[1]节奏总纲!AG38</f>
        <v>60.905042823044738</v>
      </c>
      <c r="V38" s="1">
        <f>[1]节奏总纲!AH38</f>
        <v>69.385288338144662</v>
      </c>
      <c r="Z38" s="1">
        <v>35</v>
      </c>
      <c r="AA38" s="1">
        <f>[1]节奏总纲!AM38</f>
        <v>63.5</v>
      </c>
      <c r="AB38" s="1">
        <f>[1]节奏总纲!AN38</f>
        <v>50.800000000000004</v>
      </c>
      <c r="AC38" s="1">
        <f>[1]节奏总纲!AO38</f>
        <v>38.1</v>
      </c>
      <c r="AD38" s="1">
        <f>[1]节奏总纲!AP38</f>
        <v>25.400000000000002</v>
      </c>
      <c r="AE38" s="1">
        <f>[1]节奏总纲!AQ38</f>
        <v>12.700000000000001</v>
      </c>
      <c r="AG38" s="1">
        <v>35</v>
      </c>
      <c r="AH38" s="1">
        <f>[1]节奏总纲!AT38</f>
        <v>9.3890686700671111</v>
      </c>
      <c r="AI38" s="1">
        <f>[1]节奏总纲!AU38</f>
        <v>7.5112549360536889</v>
      </c>
      <c r="AJ38" s="1">
        <f>[1]节奏总纲!AV38</f>
        <v>5.6334412020402667</v>
      </c>
      <c r="AK38" s="1">
        <f>[1]节奏总纲!AW38</f>
        <v>3.7556274680268444</v>
      </c>
      <c r="AL38" s="1">
        <f>[1]节奏总纲!AX38</f>
        <v>1.8778137340134222</v>
      </c>
      <c r="AM38" s="1"/>
      <c r="AN38" s="1">
        <v>35</v>
      </c>
      <c r="AO38" s="1">
        <f>[1]节奏总纲!BA38</f>
        <v>31.280110398778046</v>
      </c>
      <c r="AP38" s="1">
        <f>[1]节奏总纲!BB38</f>
        <v>32.660039662640372</v>
      </c>
      <c r="AQ38" s="1">
        <f>[1]节奏总纲!BC38</f>
        <v>34.449714679035388</v>
      </c>
      <c r="AR38" s="1">
        <f>[1]节奏总纲!BD38</f>
        <v>37.135950591746003</v>
      </c>
      <c r="AS38" s="1">
        <f>[1]节奏总纲!BE38</f>
        <v>41.791434980831518</v>
      </c>
    </row>
    <row r="39" spans="2:45" x14ac:dyDescent="0.15">
      <c r="B39" s="1">
        <f>[1]节奏总纲!N39</f>
        <v>46</v>
      </c>
      <c r="C39" s="1">
        <v>36</v>
      </c>
      <c r="D39" s="1">
        <f>[1]节奏总纲!P39</f>
        <v>11.125732532083184</v>
      </c>
      <c r="E39" s="1">
        <f>[1]节奏总纲!Q39</f>
        <v>9.7261153795471191</v>
      </c>
      <c r="F39" s="1">
        <f>[1]节奏总纲!R39</f>
        <v>8.0405669009365166</v>
      </c>
      <c r="G39" s="1">
        <f>[1]节奏总纲!S39</f>
        <v>5.9700680767158358</v>
      </c>
      <c r="H39" s="1">
        <f>[1]节奏总纲!T39</f>
        <v>3.3388323328781633</v>
      </c>
      <c r="J39" s="1">
        <v>36</v>
      </c>
      <c r="K39" s="1">
        <f>[1]节奏总纲!W39</f>
        <v>0.81202403309842452</v>
      </c>
      <c r="L39" s="1">
        <f>[1]节奏总纲!X39</f>
        <v>0.72121648908352576</v>
      </c>
      <c r="M39" s="1">
        <f>[1]节奏总纲!Y39</f>
        <v>0.58581839787033285</v>
      </c>
      <c r="N39" s="1">
        <f>[1]节奏总纲!Z39</f>
        <v>0.42954387106122294</v>
      </c>
      <c r="O39" s="1">
        <f>[1]节奏总纲!AA39</f>
        <v>0.22821784958436009</v>
      </c>
      <c r="Q39" s="1">
        <v>36</v>
      </c>
      <c r="R39" s="1">
        <f>[1]节奏总纲!AD39</f>
        <v>52.091594979242075</v>
      </c>
      <c r="S39" s="1">
        <f>[1]节奏总纲!AE39</f>
        <v>54.020289560649204</v>
      </c>
      <c r="T39" s="1">
        <f>[1]节奏总纲!AF39</f>
        <v>56.869815618584624</v>
      </c>
      <c r="U39" s="1">
        <f>[1]节奏总纲!AG39</f>
        <v>61.294362422865476</v>
      </c>
      <c r="V39" s="1">
        <f>[1]节奏总纲!AH39</f>
        <v>69.795150761037945</v>
      </c>
      <c r="Z39" s="1">
        <v>36</v>
      </c>
      <c r="AA39" s="1">
        <f>[1]节奏总纲!AM39</f>
        <v>73.746861667008318</v>
      </c>
      <c r="AB39" s="1">
        <f>[1]节奏总纲!AN39</f>
        <v>58.997489333606659</v>
      </c>
      <c r="AC39" s="1">
        <f>[1]节奏总纲!AO39</f>
        <v>44.248117000204992</v>
      </c>
      <c r="AD39" s="1">
        <f>[1]节奏总纲!AP39</f>
        <v>29.498744666803329</v>
      </c>
      <c r="AE39" s="1">
        <f>[1]节奏总纲!AQ39</f>
        <v>14.749372333401665</v>
      </c>
      <c r="AG39" s="1">
        <v>36</v>
      </c>
      <c r="AH39" s="1">
        <f>[1]节奏总纲!AT39</f>
        <v>10.246861667008318</v>
      </c>
      <c r="AI39" s="1">
        <f>[1]节奏总纲!AU39</f>
        <v>8.1974893336066543</v>
      </c>
      <c r="AJ39" s="1">
        <f>[1]节奏总纲!AV39</f>
        <v>6.1481170002049907</v>
      </c>
      <c r="AK39" s="1">
        <f>[1]节奏总纲!AW39</f>
        <v>4.0987446668033272</v>
      </c>
      <c r="AL39" s="1">
        <f>[1]节奏总纲!AX39</f>
        <v>2.0493723334016636</v>
      </c>
      <c r="AM39" s="1"/>
      <c r="AN39" s="1">
        <v>36</v>
      </c>
      <c r="AO39" s="1">
        <f>[1]节奏总纲!BA39</f>
        <v>31.450668101069933</v>
      </c>
      <c r="AP39" s="1">
        <f>[1]节奏总纲!BB39</f>
        <v>32.842201900114915</v>
      </c>
      <c r="AQ39" s="1">
        <f>[1]节奏总纲!BC39</f>
        <v>34.627226072894942</v>
      </c>
      <c r="AR39" s="1">
        <f>[1]节奏总纲!BD39</f>
        <v>37.317457773889828</v>
      </c>
      <c r="AS39" s="1">
        <f>[1]节奏总纲!BE39</f>
        <v>41.992566056290244</v>
      </c>
    </row>
    <row r="40" spans="2:45" x14ac:dyDescent="0.15">
      <c r="B40" s="1">
        <f>[1]节奏总纲!N40</f>
        <v>47</v>
      </c>
      <c r="C40" s="1">
        <v>37</v>
      </c>
      <c r="D40" s="1">
        <f>[1]节奏总纲!P40</f>
        <v>11.996038341699768</v>
      </c>
      <c r="E40" s="1">
        <f>[1]节奏总纲!Q40</f>
        <v>10.483337906811427</v>
      </c>
      <c r="F40" s="1">
        <f>[1]节奏总纲!R40</f>
        <v>8.6671377018780831</v>
      </c>
      <c r="G40" s="1">
        <f>[1]节奏总纲!S40</f>
        <v>6.4166809089752066</v>
      </c>
      <c r="H40" s="1">
        <f>[1]节奏总纲!T40</f>
        <v>3.6000111063441</v>
      </c>
      <c r="J40" s="1">
        <v>37</v>
      </c>
      <c r="K40" s="1">
        <f>[1]节奏总纲!W40</f>
        <v>0.87030580961658366</v>
      </c>
      <c r="L40" s="1">
        <f>[1]节奏总纲!X40</f>
        <v>0.75722252726430739</v>
      </c>
      <c r="M40" s="1">
        <f>[1]节奏总纲!Y40</f>
        <v>0.62657080094156647</v>
      </c>
      <c r="N40" s="1">
        <f>[1]节奏总纲!Z40</f>
        <v>0.44661283225937076</v>
      </c>
      <c r="O40" s="1">
        <f>[1]节奏总纲!AA40</f>
        <v>0.26117877346593676</v>
      </c>
      <c r="Q40" s="1">
        <v>37</v>
      </c>
      <c r="R40" s="1">
        <f>[1]节奏总纲!AD40</f>
        <v>52.470630686057078</v>
      </c>
      <c r="S40" s="1">
        <f>[1]节奏总纲!AE40</f>
        <v>54.407116521581436</v>
      </c>
      <c r="T40" s="1">
        <f>[1]节奏总纲!AF40</f>
        <v>57.263329041432932</v>
      </c>
      <c r="U40" s="1">
        <f>[1]节奏总纲!AG40</f>
        <v>61.676518787205197</v>
      </c>
      <c r="V40" s="1">
        <f>[1]节奏总纲!AH40</f>
        <v>70.190427169053478</v>
      </c>
      <c r="Z40" s="1">
        <v>37</v>
      </c>
      <c r="AA40" s="1">
        <f>[1]节奏总纲!AM40</f>
        <v>85.62747641525452</v>
      </c>
      <c r="AB40" s="1">
        <f>[1]节奏总纲!AN40</f>
        <v>68.501981132203625</v>
      </c>
      <c r="AC40" s="1">
        <f>[1]节奏总纲!AO40</f>
        <v>51.376485849152708</v>
      </c>
      <c r="AD40" s="1">
        <f>[1]节奏总纲!AP40</f>
        <v>34.250990566101812</v>
      </c>
      <c r="AE40" s="1">
        <f>[1]节奏总纲!AQ40</f>
        <v>17.125495283050906</v>
      </c>
      <c r="AG40" s="1">
        <v>37</v>
      </c>
      <c r="AH40" s="1">
        <f>[1]节奏总纲!AT40</f>
        <v>11.880614748246202</v>
      </c>
      <c r="AI40" s="1">
        <f>[1]节奏总纲!AU40</f>
        <v>9.5044917985969661</v>
      </c>
      <c r="AJ40" s="1">
        <f>[1]节奏总纲!AV40</f>
        <v>7.1283688489477157</v>
      </c>
      <c r="AK40" s="1">
        <f>[1]节奏总纲!AW40</f>
        <v>4.7522458992984831</v>
      </c>
      <c r="AL40" s="1">
        <f>[1]节奏总纲!AX40</f>
        <v>2.3761229496492415</v>
      </c>
      <c r="AM40" s="1"/>
      <c r="AN40" s="1">
        <v>37</v>
      </c>
      <c r="AO40" s="1">
        <f>[1]节奏总纲!BA40</f>
        <v>31.621225803361821</v>
      </c>
      <c r="AP40" s="1">
        <f>[1]节奏总纲!BB40</f>
        <v>33.02082518821102</v>
      </c>
      <c r="AQ40" s="1">
        <f>[1]节奏总纲!BC40</f>
        <v>34.804737466754489</v>
      </c>
      <c r="AR40" s="1">
        <f>[1]节奏总纲!BD40</f>
        <v>37.498964956033646</v>
      </c>
      <c r="AS40" s="1">
        <f>[1]节奏总纲!BE40</f>
        <v>42.167148737437564</v>
      </c>
    </row>
    <row r="41" spans="2:45" x14ac:dyDescent="0.15">
      <c r="B41" s="1">
        <f>[1]节奏总纲!N41</f>
        <v>48</v>
      </c>
      <c r="C41" s="1">
        <v>38</v>
      </c>
      <c r="D41" s="1">
        <f>[1]节奏总纲!P41</f>
        <v>12.928809012737984</v>
      </c>
      <c r="E41" s="1">
        <f>[1]节奏总纲!Q41</f>
        <v>11.292021791725356</v>
      </c>
      <c r="F41" s="1">
        <f>[1]节奏总纲!R41</f>
        <v>9.3190855363815395</v>
      </c>
      <c r="G41" s="1">
        <f>[1]节奏总纲!S41</f>
        <v>6.8962267273944402</v>
      </c>
      <c r="H41" s="1">
        <f>[1]节奏总纲!T41</f>
        <v>3.8708854184137524</v>
      </c>
      <c r="J41" s="1">
        <v>38</v>
      </c>
      <c r="K41" s="1">
        <f>[1]节奏总纲!W41</f>
        <v>0.93277067103821665</v>
      </c>
      <c r="L41" s="1">
        <f>[1]节奏总纲!X41</f>
        <v>0.80868388491392906</v>
      </c>
      <c r="M41" s="1">
        <f>[1]节奏总纲!Y41</f>
        <v>0.65194783450345639</v>
      </c>
      <c r="N41" s="1">
        <f>[1]节奏总纲!Z41</f>
        <v>0.4795458184192336</v>
      </c>
      <c r="O41" s="1">
        <f>[1]节奏总纲!AA41</f>
        <v>0.2708743120696524</v>
      </c>
      <c r="Q41" s="1">
        <v>38</v>
      </c>
      <c r="R41" s="1">
        <f>[1]节奏总纲!AD41</f>
        <v>52.849666392872081</v>
      </c>
      <c r="S41" s="1">
        <f>[1]节奏总纲!AE41</f>
        <v>54.793943482513676</v>
      </c>
      <c r="T41" s="1">
        <f>[1]节奏总纲!AF41</f>
        <v>57.64832002380362</v>
      </c>
      <c r="U41" s="1">
        <f>[1]节奏总纲!AG41</f>
        <v>62.054222259937362</v>
      </c>
      <c r="V41" s="1">
        <f>[1]节奏总纲!AH41</f>
        <v>70.571129226337533</v>
      </c>
      <c r="Z41" s="1">
        <v>38</v>
      </c>
      <c r="AA41" s="1">
        <f>[1]节奏总纲!AM41</f>
        <v>99.401036064365428</v>
      </c>
      <c r="AB41" s="1">
        <f>[1]节奏总纲!AN41</f>
        <v>79.520828851492354</v>
      </c>
      <c r="AC41" s="1">
        <f>[1]节奏总纲!AO41</f>
        <v>59.640621638619251</v>
      </c>
      <c r="AD41" s="1">
        <f>[1]节奏总纲!AP41</f>
        <v>39.760414425746177</v>
      </c>
      <c r="AE41" s="1">
        <f>[1]节奏总纲!AQ41</f>
        <v>19.880207212873088</v>
      </c>
      <c r="AG41" s="1">
        <v>38</v>
      </c>
      <c r="AH41" s="1">
        <f>[1]节奏总纲!AT41</f>
        <v>13.773559649110908</v>
      </c>
      <c r="AI41" s="1">
        <f>[1]节奏总纲!AU41</f>
        <v>11.018847719288729</v>
      </c>
      <c r="AJ41" s="1">
        <f>[1]节奏总纲!AV41</f>
        <v>8.2641357894665433</v>
      </c>
      <c r="AK41" s="1">
        <f>[1]节奏总纲!AW41</f>
        <v>5.5094238596443645</v>
      </c>
      <c r="AL41" s="1">
        <f>[1]节奏总纲!AX41</f>
        <v>2.7547119298221823</v>
      </c>
      <c r="AM41" s="1"/>
      <c r="AN41" s="1">
        <v>38</v>
      </c>
      <c r="AO41" s="1">
        <f>[1]节奏总纲!BA41</f>
        <v>31.791783505653711</v>
      </c>
      <c r="AP41" s="1">
        <f>[1]节奏总纲!BB41</f>
        <v>33.176527924103851</v>
      </c>
      <c r="AQ41" s="1">
        <f>[1]节奏总纲!BC41</f>
        <v>34.982248860614042</v>
      </c>
      <c r="AR41" s="1">
        <f>[1]节奏总纲!BD41</f>
        <v>37.680472138177471</v>
      </c>
      <c r="AS41" s="1">
        <f>[1]节奏总纲!BE41</f>
        <v>42.340712512072891</v>
      </c>
    </row>
    <row r="42" spans="2:45" x14ac:dyDescent="0.15">
      <c r="B42" s="1">
        <f>[1]节奏总纲!N42</f>
        <v>49</v>
      </c>
      <c r="C42" s="1">
        <v>39</v>
      </c>
      <c r="D42" s="1">
        <f>[1]节奏总纲!P42</f>
        <v>13.928527864588917</v>
      </c>
      <c r="E42" s="1">
        <f>[1]节奏总纲!Q42</f>
        <v>12.147069150707994</v>
      </c>
      <c r="F42" s="1">
        <f>[1]节奏总纲!R42</f>
        <v>10.016004387425889</v>
      </c>
      <c r="G42" s="1">
        <f>[1]节奏总纲!S42</f>
        <v>7.4197267934665154</v>
      </c>
      <c r="H42" s="1">
        <f>[1]节奏总纲!T42</f>
        <v>4.1702012426579218</v>
      </c>
      <c r="J42" s="1">
        <v>39</v>
      </c>
      <c r="K42" s="1">
        <f>[1]节奏总纲!W42</f>
        <v>0.99971885185093257</v>
      </c>
      <c r="L42" s="1">
        <f>[1]节奏总纲!X42</f>
        <v>0.85504735898263817</v>
      </c>
      <c r="M42" s="1">
        <f>[1]节奏总纲!Y42</f>
        <v>0.69691885104434981</v>
      </c>
      <c r="N42" s="1">
        <f>[1]节奏总纲!Z42</f>
        <v>0.52350006607207522</v>
      </c>
      <c r="O42" s="1">
        <f>[1]节奏总纲!AA42</f>
        <v>0.29931582424416936</v>
      </c>
      <c r="Q42" s="1">
        <v>39</v>
      </c>
      <c r="R42" s="1">
        <f>[1]节奏总纲!AD42</f>
        <v>53.213386604241784</v>
      </c>
      <c r="S42" s="1">
        <f>[1]节奏总纲!AE42</f>
        <v>55.170390866416149</v>
      </c>
      <c r="T42" s="1">
        <f>[1]节奏总纲!AF42</f>
        <v>58.030740707238266</v>
      </c>
      <c r="U42" s="1">
        <f>[1]节奏总纲!AG42</f>
        <v>62.407376554018477</v>
      </c>
      <c r="V42" s="1">
        <f>[1]节奏总纲!AH42</f>
        <v>70.951831283621587</v>
      </c>
      <c r="Z42" s="1">
        <v>39</v>
      </c>
      <c r="AA42" s="1">
        <f>[1]节奏总纲!AM42</f>
        <v>115.36769098598003</v>
      </c>
      <c r="AB42" s="1">
        <f>[1]节奏总纲!AN42</f>
        <v>92.294152788784032</v>
      </c>
      <c r="AC42" s="1">
        <f>[1]节奏总纲!AO42</f>
        <v>69.220614591588017</v>
      </c>
      <c r="AD42" s="1">
        <f>[1]节奏总纲!AP42</f>
        <v>46.147076394392016</v>
      </c>
      <c r="AE42" s="1">
        <f>[1]节奏总纲!AQ42</f>
        <v>23.073538197196008</v>
      </c>
      <c r="AG42" s="1">
        <v>39</v>
      </c>
      <c r="AH42" s="1">
        <f>[1]节奏总纲!AT42</f>
        <v>15.966654921614605</v>
      </c>
      <c r="AI42" s="1">
        <f>[1]节奏总纲!AU42</f>
        <v>12.773323937291678</v>
      </c>
      <c r="AJ42" s="1">
        <f>[1]节奏总纲!AV42</f>
        <v>9.579992952968766</v>
      </c>
      <c r="AK42" s="1">
        <f>[1]节奏总纲!AW42</f>
        <v>6.3866619686458392</v>
      </c>
      <c r="AL42" s="1">
        <f>[1]节奏总纲!AX42</f>
        <v>3.1933309843229196</v>
      </c>
      <c r="AM42" s="1"/>
      <c r="AN42" s="1">
        <v>39</v>
      </c>
      <c r="AO42" s="1">
        <f>[1]节奏总纲!BA42</f>
        <v>31.962341207945599</v>
      </c>
      <c r="AP42" s="1">
        <f>[1]节奏总纲!BB42</f>
        <v>33.332230659996682</v>
      </c>
      <c r="AQ42" s="1">
        <f>[1]节奏总纲!BC42</f>
        <v>35.146386283795508</v>
      </c>
      <c r="AR42" s="1">
        <f>[1]节奏总纲!BD42</f>
        <v>37.861979320321296</v>
      </c>
      <c r="AS42" s="1">
        <f>[1]节奏总纲!BE42</f>
        <v>42.51427628670821</v>
      </c>
    </row>
    <row r="43" spans="2:45" x14ac:dyDescent="0.15">
      <c r="B43" s="1">
        <f>[1]节奏总纲!N43</f>
        <v>50</v>
      </c>
      <c r="C43" s="1">
        <v>40</v>
      </c>
      <c r="D43" s="1">
        <f>[1]节奏总纲!P43</f>
        <v>15</v>
      </c>
      <c r="E43" s="1">
        <f>[1]节奏总纲!Q43</f>
        <v>13.059000000000001</v>
      </c>
      <c r="F43" s="1">
        <f>[1]节奏总纲!R43</f>
        <v>10.782</v>
      </c>
      <c r="G43" s="1">
        <f>[1]节奏总纲!S43</f>
        <v>8.0009999999999994</v>
      </c>
      <c r="H43" s="1">
        <f>[1]节奏总纲!T43</f>
        <v>4.5</v>
      </c>
      <c r="J43" s="1">
        <v>40</v>
      </c>
      <c r="K43" s="1">
        <f>[1]节奏总纲!W43</f>
        <v>1.0714721354110832</v>
      </c>
      <c r="L43" s="1">
        <f>[1]节奏总纲!X43</f>
        <v>0.9119308492920073</v>
      </c>
      <c r="M43" s="1">
        <f>[1]节奏总纲!Y43</f>
        <v>0.76599561257411075</v>
      </c>
      <c r="N43" s="1">
        <f>[1]节奏总纲!Z43</f>
        <v>0.58127320653348402</v>
      </c>
      <c r="O43" s="1">
        <f>[1]节奏总纲!AA43</f>
        <v>0.3297987573420782</v>
      </c>
      <c r="Q43" s="1">
        <v>40</v>
      </c>
      <c r="R43" s="1">
        <f>[1]节奏总纲!AD43</f>
        <v>53.567039423670657</v>
      </c>
      <c r="S43" s="1">
        <f>[1]节奏总纲!AE43</f>
        <v>55.535006783542492</v>
      </c>
      <c r="T43" s="1">
        <f>[1]节奏总纲!AF43</f>
        <v>58.38602553461638</v>
      </c>
      <c r="U43" s="1">
        <f>[1]节奏总纲!AG43</f>
        <v>62.760530848099599</v>
      </c>
      <c r="V43" s="1">
        <f>[1]节奏总纲!AH43</f>
        <v>71.315281959371688</v>
      </c>
      <c r="Z43" s="1">
        <v>40</v>
      </c>
      <c r="AA43" s="1">
        <f>[1]节奏总纲!AM43</f>
        <v>133.875</v>
      </c>
      <c r="AB43" s="1">
        <f>[1]节奏总纲!AN43</f>
        <v>107.10000000000001</v>
      </c>
      <c r="AC43" s="1">
        <f>[1]节奏总纲!AO43</f>
        <v>80.325000000000003</v>
      </c>
      <c r="AD43" s="1">
        <f>[1]节奏总纲!AP43</f>
        <v>53.550000000000004</v>
      </c>
      <c r="AE43" s="1">
        <f>[1]节奏总纲!AQ43</f>
        <v>26.775000000000002</v>
      </c>
      <c r="AG43" s="1">
        <v>40</v>
      </c>
      <c r="AH43" s="1">
        <f>[1]节奏总纲!AT43</f>
        <v>18.507309014019967</v>
      </c>
      <c r="AI43" s="1">
        <f>[1]节奏总纲!AU43</f>
        <v>14.805847211215976</v>
      </c>
      <c r="AJ43" s="1">
        <f>[1]节奏总纲!AV43</f>
        <v>11.104385408411986</v>
      </c>
      <c r="AK43" s="1">
        <f>[1]节奏总纲!AW43</f>
        <v>7.4029236056079881</v>
      </c>
      <c r="AL43" s="1">
        <f>[1]节奏总纲!AX43</f>
        <v>3.7014618028039941</v>
      </c>
      <c r="AM43" s="1"/>
      <c r="AN43" s="1">
        <v>40</v>
      </c>
      <c r="AO43" s="1">
        <f>[1]节奏总纲!BA43</f>
        <v>32.113552950216736</v>
      </c>
      <c r="AP43" s="1">
        <f>[1]节奏总纲!BB43</f>
        <v>33.487933395889513</v>
      </c>
      <c r="AQ43" s="1">
        <f>[1]节奏总纲!BC43</f>
        <v>35.309037710234961</v>
      </c>
      <c r="AR43" s="1">
        <f>[1]节奏总纲!BD43</f>
        <v>38.037513426486328</v>
      </c>
      <c r="AS43" s="1">
        <f>[1]节奏总纲!BE43</f>
        <v>42.687840061343536</v>
      </c>
    </row>
    <row r="44" spans="2:45" x14ac:dyDescent="0.15">
      <c r="B44" s="1">
        <f>[1]节奏总纲!N44</f>
        <v>51</v>
      </c>
      <c r="C44" s="1">
        <v>41</v>
      </c>
      <c r="D44" s="1">
        <f>[1]节奏总纲!P44</f>
        <v>16.148375400580683</v>
      </c>
      <c r="E44" s="1">
        <f>[1]节奏总纲!Q44</f>
        <v>14.065234973905774</v>
      </c>
      <c r="F44" s="1">
        <f>[1]节奏总纲!R44</f>
        <v>11.621985775797917</v>
      </c>
      <c r="G44" s="1">
        <f>[1]节奏总纲!S44</f>
        <v>8.6296918140703163</v>
      </c>
      <c r="H44" s="1">
        <f>[1]节奏总纲!T44</f>
        <v>4.8606609955747855</v>
      </c>
      <c r="J44" s="1">
        <v>41</v>
      </c>
      <c r="K44" s="1">
        <f>[1]节奏总纲!W44</f>
        <v>1.148375400580683</v>
      </c>
      <c r="L44" s="1">
        <f>[1]节奏总纲!X44</f>
        <v>1.006234973905773</v>
      </c>
      <c r="M44" s="1">
        <f>[1]节奏总纲!Y44</f>
        <v>0.839985775797917</v>
      </c>
      <c r="N44" s="1">
        <f>[1]节奏总纲!Z44</f>
        <v>0.62869181407031682</v>
      </c>
      <c r="O44" s="1">
        <f>[1]节奏总纲!AA44</f>
        <v>0.36066099557478548</v>
      </c>
      <c r="Q44" s="1">
        <v>41</v>
      </c>
      <c r="R44" s="1">
        <f>[1]节奏总纲!AD44</f>
        <v>53.920692243099523</v>
      </c>
      <c r="S44" s="1">
        <f>[1]节奏总纲!AE44</f>
        <v>55.899622700668843</v>
      </c>
      <c r="T44" s="1">
        <f>[1]节奏总纲!AF44</f>
        <v>58.741310361994486</v>
      </c>
      <c r="U44" s="1">
        <f>[1]节奏总纲!AG44</f>
        <v>63.10587219844583</v>
      </c>
      <c r="V44" s="1">
        <f>[1]节奏总纲!AH44</f>
        <v>71.676233707038421</v>
      </c>
      <c r="Z44" s="1">
        <v>41</v>
      </c>
      <c r="AA44" s="1">
        <f>[1]节奏总纲!AM44</f>
        <v>155.32539280599755</v>
      </c>
      <c r="AB44" s="1">
        <f>[1]节奏总纲!AN44</f>
        <v>124.26031424479805</v>
      </c>
      <c r="AC44" s="1">
        <f>[1]节奏总纲!AO44</f>
        <v>93.195235683598526</v>
      </c>
      <c r="AD44" s="1">
        <f>[1]节奏总纲!AP44</f>
        <v>62.130157122399027</v>
      </c>
      <c r="AE44" s="1">
        <f>[1]节奏总纲!AQ44</f>
        <v>31.065078561199513</v>
      </c>
      <c r="AG44" s="1">
        <v>41</v>
      </c>
      <c r="AH44" s="1">
        <f>[1]节奏总纲!AT44</f>
        <v>21.450392805997552</v>
      </c>
      <c r="AI44" s="1">
        <f>[1]节奏总纲!AU44</f>
        <v>17.160314244798045</v>
      </c>
      <c r="AJ44" s="1">
        <f>[1]节奏总纲!AV44</f>
        <v>12.870235683598523</v>
      </c>
      <c r="AK44" s="1">
        <f>[1]节奏总纲!AW44</f>
        <v>8.5801571223990223</v>
      </c>
      <c r="AL44" s="1">
        <f>[1]节奏总纲!AX44</f>
        <v>4.2900785611995111</v>
      </c>
      <c r="AM44" s="1"/>
      <c r="AN44" s="1">
        <v>41</v>
      </c>
      <c r="AO44" s="1">
        <f>[1]节奏总纲!BA44</f>
        <v>32.259282740196369</v>
      </c>
      <c r="AP44" s="1">
        <f>[1]节奏总纲!BB44</f>
        <v>33.643636131782344</v>
      </c>
      <c r="AQ44" s="1">
        <f>[1]节奏总纲!BC44</f>
        <v>35.471689136674414</v>
      </c>
      <c r="AR44" s="1">
        <f>[1]节奏总纲!BD44</f>
        <v>38.194089742081125</v>
      </c>
      <c r="AS44" s="1">
        <f>[1]节奏总纲!BE44</f>
        <v>42.861403835978855</v>
      </c>
    </row>
    <row r="45" spans="2:45" x14ac:dyDescent="0.15">
      <c r="B45" s="1">
        <f>[1]节奏总纲!N45</f>
        <v>52</v>
      </c>
      <c r="C45" s="1">
        <v>42</v>
      </c>
      <c r="D45" s="1">
        <f>[1]节奏总纲!P45</f>
        <v>17.379173679952558</v>
      </c>
      <c r="E45" s="1">
        <f>[1]节奏总纲!Q45</f>
        <v>15.182446126806555</v>
      </c>
      <c r="F45" s="1">
        <f>[1]节奏总纲!R45</f>
        <v>12.547763396925747</v>
      </c>
      <c r="G45" s="1">
        <f>[1]节奏总纲!S45</f>
        <v>9.3221887619265527</v>
      </c>
      <c r="H45" s="1">
        <f>[1]节奏总纲!T45</f>
        <v>5.2485104513456724</v>
      </c>
      <c r="J45" s="1">
        <v>42</v>
      </c>
      <c r="K45" s="1">
        <f>[1]节奏总纲!W45</f>
        <v>1.230798279371875</v>
      </c>
      <c r="L45" s="1">
        <f>[1]节奏总纲!X45</f>
        <v>1.1172111529007811</v>
      </c>
      <c r="M45" s="1">
        <f>[1]节奏总纲!Y45</f>
        <v>0.92577762112783013</v>
      </c>
      <c r="N45" s="1">
        <f>[1]节奏总纲!Z45</f>
        <v>0.69249694785623639</v>
      </c>
      <c r="O45" s="1">
        <f>[1]节奏总纲!AA45</f>
        <v>0.38784945577088692</v>
      </c>
      <c r="Q45" s="1">
        <v>42</v>
      </c>
      <c r="R45" s="1">
        <f>[1]节奏总纲!AD45</f>
        <v>54.255972994404218</v>
      </c>
      <c r="S45" s="1">
        <f>[1]节奏总纲!AE45</f>
        <v>56.238779717153008</v>
      </c>
      <c r="T45" s="1">
        <f>[1]节奏总纲!AF45</f>
        <v>59.09095196730258</v>
      </c>
      <c r="U45" s="1">
        <f>[1]节奏总纲!AG45</f>
        <v>63.434756173851497</v>
      </c>
      <c r="V45" s="1">
        <f>[1]节奏总纲!AH45</f>
        <v>72.034562459436771</v>
      </c>
      <c r="Z45" s="1">
        <v>42</v>
      </c>
      <c r="AA45" s="1">
        <f>[1]节奏总纲!AM45</f>
        <v>180.18480345945557</v>
      </c>
      <c r="AB45" s="1">
        <f>[1]节奏总纲!AN45</f>
        <v>144.14784276756447</v>
      </c>
      <c r="AC45" s="1">
        <f>[1]节奏总纲!AO45</f>
        <v>108.11088207567333</v>
      </c>
      <c r="AD45" s="1">
        <f>[1]节奏总纲!AP45</f>
        <v>72.073921383782235</v>
      </c>
      <c r="AE45" s="1">
        <f>[1]节奏总纲!AQ45</f>
        <v>36.036960691891117</v>
      </c>
      <c r="AG45" s="1">
        <v>42</v>
      </c>
      <c r="AH45" s="1">
        <f>[1]节奏总纲!AT45</f>
        <v>24.859410653458013</v>
      </c>
      <c r="AI45" s="1">
        <f>[1]节奏总纲!AU45</f>
        <v>19.887528522766416</v>
      </c>
      <c r="AJ45" s="1">
        <f>[1]节奏总纲!AV45</f>
        <v>14.915646392074805</v>
      </c>
      <c r="AK45" s="1">
        <f>[1]节奏总纲!AW45</f>
        <v>9.9437642613832082</v>
      </c>
      <c r="AL45" s="1">
        <f>[1]节奏总纲!AX45</f>
        <v>4.9718821306916041</v>
      </c>
      <c r="AM45" s="1"/>
      <c r="AN45" s="1">
        <v>42</v>
      </c>
      <c r="AO45" s="1">
        <f>[1]节奏总纲!BA45</f>
        <v>32.405012530176009</v>
      </c>
      <c r="AP45" s="1">
        <f>[1]节奏总纲!BB45</f>
        <v>33.799338867675175</v>
      </c>
      <c r="AQ45" s="1">
        <f>[1]节奏总纲!BC45</f>
        <v>35.634340563113874</v>
      </c>
      <c r="AR45" s="1">
        <f>[1]节奏总纲!BD45</f>
        <v>38.35066605767593</v>
      </c>
      <c r="AS45" s="1">
        <f>[1]节奏总纲!BE45</f>
        <v>43.030177309109042</v>
      </c>
    </row>
    <row r="46" spans="2:45" x14ac:dyDescent="0.15">
      <c r="B46" s="1">
        <f>[1]节奏总纲!N46</f>
        <v>53</v>
      </c>
      <c r="C46" s="1">
        <v>43</v>
      </c>
      <c r="D46" s="1">
        <f>[1]节奏总纲!P46</f>
        <v>18.698310613518661</v>
      </c>
      <c r="E46" s="1">
        <f>[1]节奏总纲!Q46</f>
        <v>16.338583814092605</v>
      </c>
      <c r="F46" s="1">
        <f>[1]节奏总纲!R46</f>
        <v>13.509529418267233</v>
      </c>
      <c r="G46" s="1">
        <f>[1]节奏总纲!S46</f>
        <v>10.020424657784652</v>
      </c>
      <c r="H46" s="1">
        <f>[1]节奏总纲!T46</f>
        <v>5.6394104810372276</v>
      </c>
      <c r="J46" s="1">
        <v>43</v>
      </c>
      <c r="K46" s="1">
        <f>[1]节奏总纲!W46</f>
        <v>1.319136933566103</v>
      </c>
      <c r="L46" s="1">
        <f>[1]节奏总纲!X46</f>
        <v>1.1561376872860496</v>
      </c>
      <c r="M46" s="1">
        <f>[1]节奏总纲!Y46</f>
        <v>0.96176602134148581</v>
      </c>
      <c r="N46" s="1">
        <f>[1]节奏总纲!Z46</f>
        <v>0.6982358958580992</v>
      </c>
      <c r="O46" s="1">
        <f>[1]节奏总纲!AA46</f>
        <v>0.39090002969155524</v>
      </c>
      <c r="Q46" s="1">
        <v>43</v>
      </c>
      <c r="R46" s="1">
        <f>[1]节奏总纲!AD46</f>
        <v>54.585942742481357</v>
      </c>
      <c r="S46" s="1">
        <f>[1]节奏总纲!AE46</f>
        <v>56.568265567054013</v>
      </c>
      <c r="T46" s="1">
        <f>[1]节奏总纲!AF46</f>
        <v>59.425480572843689</v>
      </c>
      <c r="U46" s="1">
        <f>[1]节奏总纲!AG46</f>
        <v>63.763640149257171</v>
      </c>
      <c r="V46" s="1">
        <f>[1]节奏总纲!AH46</f>
        <v>72.370053318329937</v>
      </c>
      <c r="Z46" s="1">
        <v>43</v>
      </c>
      <c r="AA46" s="1">
        <f>[1]节奏总纲!AM46</f>
        <v>208.99265815439742</v>
      </c>
      <c r="AB46" s="1">
        <f>[1]节奏总纲!AN46</f>
        <v>167.19412652351795</v>
      </c>
      <c r="AC46" s="1">
        <f>[1]节奏总纲!AO46</f>
        <v>125.39559489263844</v>
      </c>
      <c r="AD46" s="1">
        <f>[1]节奏总纲!AP46</f>
        <v>83.597063261758976</v>
      </c>
      <c r="AE46" s="1">
        <f>[1]节奏总纲!AQ46</f>
        <v>41.798531630879488</v>
      </c>
      <c r="AG46" s="1">
        <v>43</v>
      </c>
      <c r="AH46" s="1">
        <f>[1]节奏总纲!AT46</f>
        <v>28.807854694941852</v>
      </c>
      <c r="AI46" s="1">
        <f>[1]节奏总纲!AU46</f>
        <v>23.046283755953482</v>
      </c>
      <c r="AJ46" s="1">
        <f>[1]节奏总纲!AV46</f>
        <v>17.284712816965111</v>
      </c>
      <c r="AK46" s="1">
        <f>[1]节奏总纲!AW46</f>
        <v>11.523141877976741</v>
      </c>
      <c r="AL46" s="1">
        <f>[1]节奏总纲!AX46</f>
        <v>5.7615709389883705</v>
      </c>
      <c r="AM46" s="1"/>
      <c r="AN46" s="1">
        <v>43</v>
      </c>
      <c r="AO46" s="1">
        <f>[1]节奏总纲!BA46</f>
        <v>32.550742320155642</v>
      </c>
      <c r="AP46" s="1">
        <f>[1]节奏总纲!BB46</f>
        <v>33.955041603568006</v>
      </c>
      <c r="AQ46" s="1">
        <f>[1]节奏总纲!BC46</f>
        <v>35.796991989553327</v>
      </c>
      <c r="AR46" s="1">
        <f>[1]节奏总纲!BD46</f>
        <v>38.507242373270728</v>
      </c>
      <c r="AS46" s="1">
        <f>[1]节奏总纲!BE46</f>
        <v>43.179964142847631</v>
      </c>
    </row>
    <row r="47" spans="2:45" x14ac:dyDescent="0.15">
      <c r="B47" s="1">
        <f>[1]节奏总纲!N47</f>
        <v>54</v>
      </c>
      <c r="C47" s="1">
        <v>44</v>
      </c>
      <c r="D47" s="1">
        <f>[1]节奏总纲!P47</f>
        <v>20.112126572366307</v>
      </c>
      <c r="E47" s="1">
        <f>[1]节奏总纲!Q47</f>
        <v>17.573976198933678</v>
      </c>
      <c r="F47" s="1">
        <f>[1]节奏总纲!R47</f>
        <v>14.520955385248474</v>
      </c>
      <c r="G47" s="1">
        <f>[1]节奏总纲!S47</f>
        <v>10.768032566844921</v>
      </c>
      <c r="H47" s="1">
        <f>[1]节奏总纲!T47</f>
        <v>6.0537500982822579</v>
      </c>
      <c r="J47" s="1">
        <v>44</v>
      </c>
      <c r="K47" s="1">
        <f>[1]节奏总纲!W47</f>
        <v>1.4138159588476462</v>
      </c>
      <c r="L47" s="1">
        <f>[1]节奏总纲!X47</f>
        <v>1.2353923848410737</v>
      </c>
      <c r="M47" s="1">
        <f>[1]节奏总纲!Y47</f>
        <v>1.0114259669812409</v>
      </c>
      <c r="N47" s="1">
        <f>[1]节奏总纲!Z47</f>
        <v>0.74760790906026919</v>
      </c>
      <c r="O47" s="1">
        <f>[1]节奏总纲!AA47</f>
        <v>0.41433961724503021</v>
      </c>
      <c r="Q47" s="1">
        <v>44</v>
      </c>
      <c r="R47" s="1">
        <f>[1]节奏总纲!AD47</f>
        <v>54.915912490558505</v>
      </c>
      <c r="S47" s="1">
        <f>[1]节奏总纲!AE47</f>
        <v>56.897751416955018</v>
      </c>
      <c r="T47" s="1">
        <f>[1]节奏总纲!AF47</f>
        <v>59.760009178384806</v>
      </c>
      <c r="U47" s="1">
        <f>[1]节奏总纲!AG47</f>
        <v>64.08760696397195</v>
      </c>
      <c r="V47" s="1">
        <f>[1]节奏总纲!AH47</f>
        <v>72.705544177223089</v>
      </c>
      <c r="Z47" s="1">
        <v>44</v>
      </c>
      <c r="AA47" s="1">
        <f>[1]节奏总纲!AM47</f>
        <v>242.37342918215046</v>
      </c>
      <c r="AB47" s="1">
        <f>[1]节奏总纲!AN47</f>
        <v>193.89874334572039</v>
      </c>
      <c r="AC47" s="1">
        <f>[1]节奏总纲!AO47</f>
        <v>145.42405750929026</v>
      </c>
      <c r="AD47" s="1">
        <f>[1]节奏总纲!AP47</f>
        <v>96.949371672860195</v>
      </c>
      <c r="AE47" s="1">
        <f>[1]节奏总纲!AQ47</f>
        <v>48.474685836430098</v>
      </c>
      <c r="AG47" s="1">
        <v>44</v>
      </c>
      <c r="AH47" s="1">
        <f>[1]节奏总纲!AT47</f>
        <v>33.380771027753042</v>
      </c>
      <c r="AI47" s="1">
        <f>[1]节奏总纲!AU47</f>
        <v>26.704616822202439</v>
      </c>
      <c r="AJ47" s="1">
        <f>[1]节奏总纲!AV47</f>
        <v>20.028462616651822</v>
      </c>
      <c r="AK47" s="1">
        <f>[1]节奏总纲!AW47</f>
        <v>13.35230841110122</v>
      </c>
      <c r="AL47" s="1">
        <f>[1]节奏总纲!AX47</f>
        <v>6.6761542055506098</v>
      </c>
      <c r="AM47" s="1"/>
      <c r="AN47" s="1">
        <v>44</v>
      </c>
      <c r="AO47" s="1">
        <f>[1]节奏总纲!BA47</f>
        <v>32.696472110135275</v>
      </c>
      <c r="AP47" s="1">
        <f>[1]节奏总纲!BB47</f>
        <v>34.09469189131628</v>
      </c>
      <c r="AQ47" s="1">
        <f>[1]节奏总纲!BC47</f>
        <v>35.95964341599278</v>
      </c>
      <c r="AR47" s="1">
        <f>[1]节奏总纲!BD47</f>
        <v>38.663818688865533</v>
      </c>
      <c r="AS47" s="1">
        <f>[1]节奏总纲!BE47</f>
        <v>43.329750976586219</v>
      </c>
    </row>
    <row r="48" spans="2:45" x14ac:dyDescent="0.15">
      <c r="B48" s="1">
        <f>[1]节奏总纲!N48</f>
        <v>55</v>
      </c>
      <c r="C48" s="1">
        <v>45</v>
      </c>
      <c r="D48" s="1">
        <f>[1]节奏总纲!P48</f>
        <v>21.627416997969519</v>
      </c>
      <c r="E48" s="1">
        <f>[1]节奏总纲!Q48</f>
        <v>18.900199714525563</v>
      </c>
      <c r="F48" s="1">
        <f>[1]节奏总纲!R48</f>
        <v>15.604181364035009</v>
      </c>
      <c r="G48" s="1">
        <f>[1]节奏总纲!S48</f>
        <v>11.572830835613489</v>
      </c>
      <c r="H48" s="1">
        <f>[1]节奏总纲!T48</f>
        <v>6.49903880788984</v>
      </c>
      <c r="J48" s="1">
        <v>45</v>
      </c>
      <c r="K48" s="1">
        <f>[1]节奏总纲!W48</f>
        <v>1.5152904256032116</v>
      </c>
      <c r="L48" s="1">
        <f>[1]节奏总纲!X48</f>
        <v>1.3262235155918844</v>
      </c>
      <c r="M48" s="1">
        <f>[1]节奏总纲!Y48</f>
        <v>1.083225978786535</v>
      </c>
      <c r="N48" s="1">
        <f>[1]节奏总纲!Z48</f>
        <v>0.80479826876856819</v>
      </c>
      <c r="O48" s="1">
        <f>[1]节奏总纲!AA48</f>
        <v>0.44528870960758216</v>
      </c>
      <c r="Q48" s="1">
        <v>45</v>
      </c>
      <c r="R48" s="1">
        <f>[1]节奏总纲!AD48</f>
        <v>55.229416240679981</v>
      </c>
      <c r="S48" s="1">
        <f>[1]节奏总纲!AE48</f>
        <v>57.218966664386244</v>
      </c>
      <c r="T48" s="1">
        <f>[1]节奏总纲!AF48</f>
        <v>60.086674688654931</v>
      </c>
      <c r="U48" s="1">
        <f>[1]节奏总纲!AG48</f>
        <v>64.399012521055653</v>
      </c>
      <c r="V48" s="1">
        <f>[1]节奏总纲!AH48</f>
        <v>73.037155126421851</v>
      </c>
      <c r="Z48" s="1">
        <v>45</v>
      </c>
      <c r="AA48" s="1">
        <f>[1]节奏总纲!AM48</f>
        <v>281.05</v>
      </c>
      <c r="AB48" s="1">
        <f>[1]节奏总纲!AN48</f>
        <v>224.84000000000003</v>
      </c>
      <c r="AC48" s="1">
        <f>[1]节奏总纲!AO48</f>
        <v>168.63</v>
      </c>
      <c r="AD48" s="1">
        <f>[1]节奏总纲!AP48</f>
        <v>112.42000000000002</v>
      </c>
      <c r="AE48" s="1">
        <f>[1]节奏总纲!AQ48</f>
        <v>56.210000000000008</v>
      </c>
      <c r="AG48" s="1">
        <v>45</v>
      </c>
      <c r="AH48" s="1">
        <f>[1]节奏总纲!AT48</f>
        <v>38.676570817849552</v>
      </c>
      <c r="AI48" s="1">
        <f>[1]节奏总纲!AU48</f>
        <v>30.941256654279641</v>
      </c>
      <c r="AJ48" s="1">
        <f>[1]节奏总纲!AV48</f>
        <v>23.205942490709731</v>
      </c>
      <c r="AK48" s="1">
        <f>[1]节奏总纲!AW48</f>
        <v>15.470628327139821</v>
      </c>
      <c r="AL48" s="1">
        <f>[1]节奏总纲!AX48</f>
        <v>7.7353141635699103</v>
      </c>
      <c r="AM48" s="1"/>
      <c r="AN48" s="1">
        <v>45</v>
      </c>
      <c r="AO48" s="1">
        <f>[1]节奏总纲!BA48</f>
        <v>32.842201900114915</v>
      </c>
      <c r="AP48" s="1">
        <f>[1]节奏总纲!BB48</f>
        <v>34.227825436710944</v>
      </c>
      <c r="AQ48" s="1">
        <f>[1]节奏总纲!BC48</f>
        <v>36.105477566569242</v>
      </c>
      <c r="AR48" s="1">
        <f>[1]节奏总纲!BD48</f>
        <v>38.82039500446033</v>
      </c>
      <c r="AS48" s="1">
        <f>[1]节奏总纲!BE48</f>
        <v>43.479537810324807</v>
      </c>
    </row>
    <row r="49" spans="2:45" x14ac:dyDescent="0.15">
      <c r="B49" s="1">
        <f>[1]节奏总纲!N49</f>
        <v>56</v>
      </c>
      <c r="C49" s="1">
        <v>46</v>
      </c>
      <c r="D49" s="1">
        <f>[1]节奏总纲!P49</f>
        <v>23.251465064166357</v>
      </c>
      <c r="E49" s="1">
        <f>[1]节奏总纲!Q49</f>
        <v>20.310154733549314</v>
      </c>
      <c r="F49" s="1">
        <f>[1]节奏总纲!R49</f>
        <v>16.757330871744692</v>
      </c>
      <c r="G49" s="1">
        <f>[1]节奏总纲!S49</f>
        <v>12.425582930290501</v>
      </c>
      <c r="H49" s="1">
        <f>[1]节奏总纲!T49</f>
        <v>6.9545132006921566</v>
      </c>
      <c r="J49" s="1">
        <v>46</v>
      </c>
      <c r="K49" s="1">
        <f>[1]节奏总纲!W49</f>
        <v>1.6240480661968384</v>
      </c>
      <c r="L49" s="1">
        <f>[1]节奏总纲!X49</f>
        <v>1.4099550190237515</v>
      </c>
      <c r="M49" s="1">
        <f>[1]节奏总纲!Y49</f>
        <v>1.1531495077096832</v>
      </c>
      <c r="N49" s="1">
        <f>[1]节奏总纲!Z49</f>
        <v>0.85275209467701174</v>
      </c>
      <c r="O49" s="1">
        <f>[1]节奏总纲!AA49</f>
        <v>0.45547439280231661</v>
      </c>
      <c r="Q49" s="1">
        <v>46</v>
      </c>
      <c r="R49" s="1">
        <f>[1]节奏总纲!AD49</f>
        <v>55.537288901845052</v>
      </c>
      <c r="S49" s="1">
        <f>[1]节奏总纲!AE49</f>
        <v>57.53646043868428</v>
      </c>
      <c r="T49" s="1">
        <f>[1]节奏总纲!AF49</f>
        <v>60.393379177879737</v>
      </c>
      <c r="U49" s="1">
        <f>[1]节奏总纲!AG49</f>
        <v>64.710418078139355</v>
      </c>
      <c r="V49" s="1">
        <f>[1]节奏总纲!AH49</f>
        <v>73.340924940105893</v>
      </c>
      <c r="Z49" s="1">
        <v>46</v>
      </c>
      <c r="AA49" s="1">
        <f>[1]节奏总纲!AM49</f>
        <v>325.85912455595718</v>
      </c>
      <c r="AB49" s="1">
        <f>[1]节奏总纲!AN49</f>
        <v>260.68729964476574</v>
      </c>
      <c r="AC49" s="1">
        <f>[1]节奏总纲!AO49</f>
        <v>195.51547473357431</v>
      </c>
      <c r="AD49" s="1">
        <f>[1]节奏总纲!AP49</f>
        <v>130.34364982238287</v>
      </c>
      <c r="AE49" s="1">
        <f>[1]节奏总纲!AQ49</f>
        <v>65.171824911191436</v>
      </c>
      <c r="AG49" s="1">
        <v>46</v>
      </c>
      <c r="AH49" s="1">
        <f>[1]节奏总纲!AT49</f>
        <v>44.809124555957169</v>
      </c>
      <c r="AI49" s="1">
        <f>[1]节奏总纲!AU49</f>
        <v>35.847299644765712</v>
      </c>
      <c r="AJ49" s="1">
        <f>[1]节奏总纲!AV49</f>
        <v>26.885474733574313</v>
      </c>
      <c r="AK49" s="1">
        <f>[1]节奏总纲!AW49</f>
        <v>17.923649822382856</v>
      </c>
      <c r="AL49" s="1">
        <f>[1]节奏总纲!AX49</f>
        <v>8.9618249111914281</v>
      </c>
      <c r="AM49" s="1"/>
      <c r="AN49" s="1">
        <v>46</v>
      </c>
      <c r="AO49" s="1">
        <f>[1]节奏总纲!BA49</f>
        <v>32.987931690094548</v>
      </c>
      <c r="AP49" s="1">
        <f>[1]节奏总纲!BB49</f>
        <v>34.360958982105608</v>
      </c>
      <c r="AQ49" s="1">
        <f>[1]节奏总纲!BC49</f>
        <v>36.245762114295424</v>
      </c>
      <c r="AR49" s="1">
        <f>[1]节奏总纲!BD49</f>
        <v>38.976971320055128</v>
      </c>
      <c r="AS49" s="1">
        <f>[1]节奏总纲!BE49</f>
        <v>43.629324644063402</v>
      </c>
    </row>
    <row r="50" spans="2:45" x14ac:dyDescent="0.15">
      <c r="B50" s="1">
        <f>[1]节奏总纲!N50</f>
        <v>57</v>
      </c>
      <c r="C50" s="1">
        <v>47</v>
      </c>
      <c r="D50" s="1">
        <f>[1]节奏总纲!P50</f>
        <v>24.992076683399535</v>
      </c>
      <c r="E50" s="1">
        <f>[1]节奏总纲!Q50</f>
        <v>21.823081359944474</v>
      </c>
      <c r="F50" s="1">
        <f>[1]节奏总纲!R50</f>
        <v>17.996794419716004</v>
      </c>
      <c r="G50" s="1">
        <f>[1]节奏总纲!S50</f>
        <v>13.335772118261991</v>
      </c>
      <c r="H50" s="1">
        <f>[1]节奏总纲!T50</f>
        <v>7.4426404363163821</v>
      </c>
      <c r="J50" s="1">
        <v>47</v>
      </c>
      <c r="K50" s="1">
        <f>[1]节奏总纲!W50</f>
        <v>1.740611619233178</v>
      </c>
      <c r="L50" s="1">
        <f>[1]节奏总纲!X50</f>
        <v>1.51292662639516</v>
      </c>
      <c r="M50" s="1">
        <f>[1]节奏总纲!Y50</f>
        <v>1.2394635479713116</v>
      </c>
      <c r="N50" s="1">
        <f>[1]节奏总纲!Z50</f>
        <v>0.91018918797148984</v>
      </c>
      <c r="O50" s="1">
        <f>[1]节奏总纲!AA50</f>
        <v>0.48812723562422544</v>
      </c>
      <c r="Q50" s="1">
        <v>47</v>
      </c>
      <c r="R50" s="1">
        <f>[1]节奏总纲!AD50</f>
        <v>55.845161563010116</v>
      </c>
      <c r="S50" s="1">
        <f>[1]节奏总纲!AE50</f>
        <v>57.853954212982316</v>
      </c>
      <c r="T50" s="1">
        <f>[1]节奏总纲!AF50</f>
        <v>60.700083667104536</v>
      </c>
      <c r="U50" s="1">
        <f>[1]节奏总纲!AG50</f>
        <v>65.021675833900701</v>
      </c>
      <c r="V50" s="1">
        <f>[1]节奏总纲!AH50</f>
        <v>73.644694753789935</v>
      </c>
      <c r="Z50" s="1">
        <v>47</v>
      </c>
      <c r="AA50" s="1">
        <f>[1]节奏总纲!AM50</f>
        <v>377.76930817680426</v>
      </c>
      <c r="AB50" s="1">
        <f>[1]节奏总纲!AN50</f>
        <v>302.21544654144344</v>
      </c>
      <c r="AC50" s="1">
        <f>[1]节奏总纲!AO50</f>
        <v>226.66158490608254</v>
      </c>
      <c r="AD50" s="1">
        <f>[1]节奏总纲!AP50</f>
        <v>151.10772327072172</v>
      </c>
      <c r="AE50" s="1">
        <f>[1]节奏总纲!AQ50</f>
        <v>75.55386163536086</v>
      </c>
      <c r="AG50" s="1">
        <v>47</v>
      </c>
      <c r="AH50" s="1">
        <f>[1]节奏总纲!AT50</f>
        <v>51.910183620847079</v>
      </c>
      <c r="AI50" s="1">
        <f>[1]节奏总纲!AU50</f>
        <v>41.528146896677697</v>
      </c>
      <c r="AJ50" s="1">
        <f>[1]节奏总纲!AV50</f>
        <v>31.14611017250823</v>
      </c>
      <c r="AK50" s="1">
        <f>[1]节奏总纲!AW50</f>
        <v>20.764073448338848</v>
      </c>
      <c r="AL50" s="1">
        <f>[1]节奏总纲!AX50</f>
        <v>10.382036724169424</v>
      </c>
      <c r="AM50" s="1"/>
      <c r="AN50" s="1">
        <v>47</v>
      </c>
      <c r="AO50" s="1">
        <f>[1]节奏总纲!BA50</f>
        <v>33.114246829746719</v>
      </c>
      <c r="AP50" s="1">
        <f>[1]节奏总纲!BB50</f>
        <v>34.494092527500278</v>
      </c>
      <c r="AQ50" s="1">
        <f>[1]节奏总纲!BC50</f>
        <v>36.386046662021599</v>
      </c>
      <c r="AR50" s="1">
        <f>[1]节奏总纲!BD50</f>
        <v>39.115214427575864</v>
      </c>
      <c r="AS50" s="1">
        <f>[1]节奏总纲!BE50</f>
        <v>43.77911147780199</v>
      </c>
    </row>
    <row r="51" spans="2:45" x14ac:dyDescent="0.15">
      <c r="B51" s="1">
        <f>[1]节奏总纲!N51</f>
        <v>58</v>
      </c>
      <c r="C51" s="1">
        <v>48</v>
      </c>
      <c r="D51" s="1">
        <f>[1]节奏总纲!P51</f>
        <v>26.857618025475972</v>
      </c>
      <c r="E51" s="1">
        <f>[1]节奏总纲!Q51</f>
        <v>23.425214441820142</v>
      </c>
      <c r="F51" s="1">
        <f>[1]节奏总纲!R51</f>
        <v>19.329427692935056</v>
      </c>
      <c r="G51" s="1">
        <f>[1]节奏总纲!S51</f>
        <v>14.269452456935383</v>
      </c>
      <c r="H51" s="1">
        <f>[1]节奏总纲!T51</f>
        <v>7.9605979827510778</v>
      </c>
      <c r="J51" s="1">
        <v>48</v>
      </c>
      <c r="K51" s="1">
        <f>[1]节奏总纲!W51</f>
        <v>1.8655413420764368</v>
      </c>
      <c r="L51" s="1">
        <f>[1]节奏总纲!X51</f>
        <v>1.6021330818756674</v>
      </c>
      <c r="M51" s="1">
        <f>[1]节奏总纲!Y51</f>
        <v>1.3326332732190522</v>
      </c>
      <c r="N51" s="1">
        <f>[1]节奏总纲!Z51</f>
        <v>0.93368033867339228</v>
      </c>
      <c r="O51" s="1">
        <f>[1]节奏总纲!AA51</f>
        <v>0.51795754643469571</v>
      </c>
      <c r="Q51" s="1">
        <v>48</v>
      </c>
      <c r="R51" s="1">
        <f>[1]节奏总纲!AD51</f>
        <v>56.142785979989682</v>
      </c>
      <c r="S51" s="1">
        <f>[1]节奏总纲!AE51</f>
        <v>58.155157256402767</v>
      </c>
      <c r="T51" s="1">
        <f>[1]节奏总纲!AF51</f>
        <v>61.006268532239034</v>
      </c>
      <c r="U51" s="1">
        <f>[1]节奏总纲!AG51</f>
        <v>65.330972386106993</v>
      </c>
      <c r="V51" s="1">
        <f>[1]节奏总纲!AH51</f>
        <v>73.948464567473962</v>
      </c>
      <c r="Z51" s="1">
        <v>48</v>
      </c>
      <c r="AA51" s="1">
        <f>[1]节奏总纲!AM51</f>
        <v>437.90148836012787</v>
      </c>
      <c r="AB51" s="1">
        <f>[1]节奏总纲!AN51</f>
        <v>350.32119068810232</v>
      </c>
      <c r="AC51" s="1">
        <f>[1]节奏总纲!AO51</f>
        <v>262.74089301607671</v>
      </c>
      <c r="AD51" s="1">
        <f>[1]节奏总纲!AP51</f>
        <v>175.16059534405116</v>
      </c>
      <c r="AE51" s="1">
        <f>[1]节奏总纲!AQ51</f>
        <v>87.58029767202558</v>
      </c>
      <c r="AG51" s="1">
        <v>48</v>
      </c>
      <c r="AH51" s="1">
        <f>[1]节奏总纲!AT51</f>
        <v>60.132180183323612</v>
      </c>
      <c r="AI51" s="1">
        <f>[1]节奏总纲!AU51</f>
        <v>48.105744146658878</v>
      </c>
      <c r="AJ51" s="1">
        <f>[1]节奏总纲!AV51</f>
        <v>36.079308109994173</v>
      </c>
      <c r="AK51" s="1">
        <f>[1]节奏总纲!AW51</f>
        <v>24.052872073329439</v>
      </c>
      <c r="AL51" s="1">
        <f>[1]节奏总纲!AX51</f>
        <v>12.02643603666472</v>
      </c>
      <c r="AM51" s="1"/>
      <c r="AN51" s="1">
        <v>48</v>
      </c>
      <c r="AO51" s="1">
        <f>[1]节奏总纲!BA51</f>
        <v>33.238809018460984</v>
      </c>
      <c r="AP51" s="1">
        <f>[1]节奏总纲!BB51</f>
        <v>34.627226072894942</v>
      </c>
      <c r="AQ51" s="1">
        <f>[1]节奏总纲!BC51</f>
        <v>36.526331209747774</v>
      </c>
      <c r="AR51" s="1">
        <f>[1]节奏总纲!BD51</f>
        <v>39.250296194358178</v>
      </c>
      <c r="AS51" s="1">
        <f>[1]节奏总纲!BE51</f>
        <v>43.928898311540578</v>
      </c>
    </row>
    <row r="52" spans="2:45" x14ac:dyDescent="0.15">
      <c r="B52" s="1">
        <f>[1]节奏总纲!N52</f>
        <v>59</v>
      </c>
      <c r="C52" s="1">
        <v>49</v>
      </c>
      <c r="D52" s="1">
        <f>[1]节奏总纲!P52</f>
        <v>28.857055729177837</v>
      </c>
      <c r="E52" s="1">
        <f>[1]节奏总纲!Q52</f>
        <v>25.166238301415991</v>
      </c>
      <c r="F52" s="1">
        <f>[1]节奏总纲!R52</f>
        <v>20.719366013549685</v>
      </c>
      <c r="G52" s="1">
        <f>[1]节奏总纲!S52</f>
        <v>15.268268186307994</v>
      </c>
      <c r="H52" s="1">
        <f>[1]节奏总纲!T52</f>
        <v>8.5474599069824766</v>
      </c>
      <c r="J52" s="1">
        <v>49</v>
      </c>
      <c r="K52" s="1">
        <f>[1]节奏总纲!W52</f>
        <v>1.9994377037018651</v>
      </c>
      <c r="L52" s="1">
        <f>[1]节奏总纲!X52</f>
        <v>1.7410238595958489</v>
      </c>
      <c r="M52" s="1">
        <f>[1]节奏总纲!Y52</f>
        <v>1.389938320614629</v>
      </c>
      <c r="N52" s="1">
        <f>[1]节奏总纲!Z52</f>
        <v>0.99881572937261076</v>
      </c>
      <c r="O52" s="1">
        <f>[1]节奏总纲!AA52</f>
        <v>0.58686192423139882</v>
      </c>
      <c r="Q52" s="1">
        <v>49</v>
      </c>
      <c r="R52" s="1">
        <f>[1]节奏总纲!AD52</f>
        <v>56.430041330048923</v>
      </c>
      <c r="S52" s="1">
        <f>[1]节奏总纲!AE52</f>
        <v>58.442483247955479</v>
      </c>
      <c r="T52" s="1">
        <f>[1]节奏总纲!AF52</f>
        <v>61.289495211956165</v>
      </c>
      <c r="U52" s="1">
        <f>[1]节奏总纲!AG52</f>
        <v>65.640268938313284</v>
      </c>
      <c r="V52" s="1">
        <f>[1]节奏总纲!AH52</f>
        <v>74.231558509323534</v>
      </c>
      <c r="Z52" s="1">
        <v>49</v>
      </c>
      <c r="AA52" s="1">
        <f>[1]节奏总纲!AM52</f>
        <v>507.55295278468168</v>
      </c>
      <c r="AB52" s="1">
        <f>[1]节奏总纲!AN52</f>
        <v>406.04236222774534</v>
      </c>
      <c r="AC52" s="1">
        <f>[1]节奏总纲!AO52</f>
        <v>304.53177167080901</v>
      </c>
      <c r="AD52" s="1">
        <f>[1]节奏总纲!AP52</f>
        <v>203.02118111387267</v>
      </c>
      <c r="AE52" s="1">
        <f>[1]节奏总纲!AQ52</f>
        <v>101.51059055693634</v>
      </c>
      <c r="AG52" s="1">
        <v>49</v>
      </c>
      <c r="AH52" s="1">
        <f>[1]节奏总纲!AT52</f>
        <v>69.651464424553808</v>
      </c>
      <c r="AI52" s="1">
        <f>[1]节奏总纲!AU52</f>
        <v>55.721171539643024</v>
      </c>
      <c r="AJ52" s="1">
        <f>[1]节奏总纲!AV52</f>
        <v>41.790878654732296</v>
      </c>
      <c r="AK52" s="1">
        <f>[1]节奏总纲!AW52</f>
        <v>27.860585769821512</v>
      </c>
      <c r="AL52" s="1">
        <f>[1]节奏总纲!AX52</f>
        <v>13.930292884910756</v>
      </c>
      <c r="AM52" s="1"/>
      <c r="AN52" s="1">
        <v>49</v>
      </c>
      <c r="AO52" s="1">
        <f>[1]节奏总纲!BA52</f>
        <v>33.363371207175248</v>
      </c>
      <c r="AP52" s="1">
        <f>[1]节奏总纲!BB52</f>
        <v>34.760359618289606</v>
      </c>
      <c r="AQ52" s="1">
        <f>[1]节奏总纲!BC52</f>
        <v>36.666615757473956</v>
      </c>
      <c r="AR52" s="1">
        <f>[1]节奏总纲!BD52</f>
        <v>39.385377961140485</v>
      </c>
      <c r="AS52" s="1">
        <f>[1]节奏总纲!BE52</f>
        <v>44.067911160744309</v>
      </c>
    </row>
    <row r="53" spans="2:45" x14ac:dyDescent="0.15">
      <c r="B53" s="1">
        <f>[1]节奏总纲!N53</f>
        <v>60</v>
      </c>
      <c r="C53" s="1">
        <v>50</v>
      </c>
      <c r="D53" s="1">
        <f>[1]节奏总纲!P53</f>
        <v>31</v>
      </c>
      <c r="E53" s="1">
        <f>[1]节奏总纲!Q53</f>
        <v>27.0351</v>
      </c>
      <c r="F53" s="1">
        <f>[1]节奏总纲!R53</f>
        <v>22.205300000000001</v>
      </c>
      <c r="G53" s="1">
        <f>[1]节奏总纲!S53</f>
        <v>16.386599999999998</v>
      </c>
      <c r="H53" s="1">
        <f>[1]节奏总纲!T53</f>
        <v>9.1883999999999997</v>
      </c>
      <c r="J53" s="1">
        <v>50</v>
      </c>
      <c r="K53" s="1">
        <f>[1]节奏总纲!W53</f>
        <v>2.1429442708221629</v>
      </c>
      <c r="L53" s="1">
        <f>[1]节奏总纲!X53</f>
        <v>1.8688616985840092</v>
      </c>
      <c r="M53" s="1">
        <f>[1]节奏总纲!Y53</f>
        <v>1.4859339864503163</v>
      </c>
      <c r="N53" s="1">
        <f>[1]节奏总纲!Z53</f>
        <v>1.118331813692004</v>
      </c>
      <c r="O53" s="1">
        <f>[1]节奏总纲!AA53</f>
        <v>0.64094009301752308</v>
      </c>
      <c r="Q53" s="1">
        <v>50</v>
      </c>
      <c r="R53" s="1">
        <f>[1]节奏总纲!AD53</f>
        <v>56.717296680108156</v>
      </c>
      <c r="S53" s="1">
        <f>[1]节奏总纲!AE53</f>
        <v>58.729809239508185</v>
      </c>
      <c r="T53" s="1">
        <f>[1]节奏总纲!AF53</f>
        <v>61.572721891673297</v>
      </c>
      <c r="U53" s="1">
        <f>[1]节奏总纲!AG53</f>
        <v>65.949565490519575</v>
      </c>
      <c r="V53" s="1">
        <f>[1]节奏总纲!AH53</f>
        <v>74.51042804689898</v>
      </c>
      <c r="Z53" s="1">
        <v>50</v>
      </c>
      <c r="AA53" s="1">
        <f>[1]节奏总纲!AM53</f>
        <v>588.22499999999991</v>
      </c>
      <c r="AB53" s="1">
        <f>[1]节奏总纲!AN53</f>
        <v>470.57999999999993</v>
      </c>
      <c r="AC53" s="1">
        <f>[1]节奏总纲!AO53</f>
        <v>352.93499999999995</v>
      </c>
      <c r="AD53" s="1">
        <f>[1]节奏总纲!AP53</f>
        <v>235.28999999999996</v>
      </c>
      <c r="AE53" s="1">
        <f>[1]节奏总纲!AQ53</f>
        <v>117.64499999999998</v>
      </c>
      <c r="AG53" s="1">
        <v>50</v>
      </c>
      <c r="AH53" s="1">
        <f>[1]节奏总纲!AT53</f>
        <v>80.67204721531823</v>
      </c>
      <c r="AI53" s="1">
        <f>[1]节奏总纲!AU53</f>
        <v>64.537637772254584</v>
      </c>
      <c r="AJ53" s="1">
        <f>[1]节奏总纲!AV53</f>
        <v>48.403228329190938</v>
      </c>
      <c r="AK53" s="1">
        <f>[1]节奏总纲!AW53</f>
        <v>32.268818886127292</v>
      </c>
      <c r="AL53" s="1">
        <f>[1]节奏总纲!AX53</f>
        <v>16.134409443063646</v>
      </c>
      <c r="AM53" s="1"/>
      <c r="AN53" s="1">
        <v>50</v>
      </c>
      <c r="AO53" s="1">
        <f>[1]节奏总纲!BA53</f>
        <v>33.487933395889513</v>
      </c>
      <c r="AP53" s="1">
        <f>[1]节奏总纲!BB53</f>
        <v>34.893493163684269</v>
      </c>
      <c r="AQ53" s="1">
        <f>[1]节奏总纲!BC53</f>
        <v>36.806900305200131</v>
      </c>
      <c r="AR53" s="1">
        <f>[1]节奏总纲!BD53</f>
        <v>39.520459727922798</v>
      </c>
      <c r="AS53" s="1">
        <f>[1]节奏总纲!BE53</f>
        <v>44.197188392263818</v>
      </c>
    </row>
    <row r="54" spans="2:45" x14ac:dyDescent="0.15">
      <c r="B54" s="1">
        <f>[1]节奏总纲!N54</f>
        <v>61</v>
      </c>
      <c r="C54" s="1">
        <v>51</v>
      </c>
      <c r="D54" s="1">
        <f>[1]节奏总纲!P54</f>
        <v>33.296750801161366</v>
      </c>
      <c r="E54" s="1">
        <f>[1]节奏总纲!Q54</f>
        <v>28.928217096048996</v>
      </c>
      <c r="F54" s="1">
        <f>[1]节奏总纲!R54</f>
        <v>23.783869097269566</v>
      </c>
      <c r="G54" s="1">
        <f>[1]节奏总纲!S54</f>
        <v>17.587343773173433</v>
      </c>
      <c r="H54" s="1">
        <f>[1]节奏总纲!T54</f>
        <v>9.8458492119034169</v>
      </c>
      <c r="J54" s="1">
        <v>51</v>
      </c>
      <c r="K54" s="1">
        <f>[1]节奏总纲!W54</f>
        <v>2.296750801161366</v>
      </c>
      <c r="L54" s="1">
        <f>[1]节奏总纲!X54</f>
        <v>1.8931170960489965</v>
      </c>
      <c r="M54" s="1">
        <f>[1]节奏总纲!Y54</f>
        <v>1.5785690972695647</v>
      </c>
      <c r="N54" s="1">
        <f>[1]节奏总纲!Z54</f>
        <v>1.2007437731734356</v>
      </c>
      <c r="O54" s="1">
        <f>[1]节奏总纲!AA54</f>
        <v>0.65744921190341721</v>
      </c>
      <c r="Q54" s="1">
        <v>51</v>
      </c>
      <c r="R54" s="1">
        <f>[1]节奏总纲!AD54</f>
        <v>57.004247194324648</v>
      </c>
      <c r="S54" s="1">
        <f>[1]节奏总纲!AE54</f>
        <v>59.016342740868758</v>
      </c>
      <c r="T54" s="1">
        <f>[1]节奏总纲!AF54</f>
        <v>61.855948571390428</v>
      </c>
      <c r="U54" s="1">
        <f>[1]节奏总纲!AG54</f>
        <v>66.241691764589476</v>
      </c>
      <c r="V54" s="1">
        <f>[1]节奏总纲!AH54</f>
        <v>74.789297584474426</v>
      </c>
      <c r="AN54" s="1">
        <v>51</v>
      </c>
      <c r="AO54" s="1">
        <f>[1]节奏总纲!BA54</f>
        <v>33.612495584603778</v>
      </c>
      <c r="AP54" s="1">
        <f>[1]节奏总纲!BB54</f>
        <v>35.024397713965918</v>
      </c>
      <c r="AQ54" s="1">
        <f>[1]节奏总纲!BC54</f>
        <v>36.947184852926306</v>
      </c>
      <c r="AR54" s="1">
        <f>[1]节奏总纲!BD54</f>
        <v>39.655541494705105</v>
      </c>
      <c r="AS54" s="1">
        <f>[1]节奏总纲!BE54</f>
        <v>44.326465623783335</v>
      </c>
    </row>
    <row r="55" spans="2:45" x14ac:dyDescent="0.15">
      <c r="B55" s="1">
        <f>[1]节奏总纲!N55</f>
        <v>62</v>
      </c>
      <c r="C55" s="1">
        <v>52</v>
      </c>
      <c r="D55" s="1">
        <f>[1]节奏总纲!P55</f>
        <v>35.758347359905123</v>
      </c>
      <c r="E55" s="1">
        <f>[1]节奏总纲!Q55</f>
        <v>31.081155525229534</v>
      </c>
      <c r="F55" s="1">
        <f>[1]节奏总纲!R55</f>
        <v>25.606552544428059</v>
      </c>
      <c r="G55" s="1">
        <f>[1]节奏总纲!S55</f>
        <v>18.930469092333773</v>
      </c>
      <c r="H55" s="1">
        <f>[1]节奏总纲!T55</f>
        <v>10.570167479587953</v>
      </c>
      <c r="J55" s="1">
        <v>52</v>
      </c>
      <c r="K55" s="1">
        <f>[1]节奏总纲!W55</f>
        <v>2.4615965587437572</v>
      </c>
      <c r="L55" s="1">
        <f>[1]节奏总纲!X55</f>
        <v>2.1529384291805371</v>
      </c>
      <c r="M55" s="1">
        <f>[1]节奏总纲!Y55</f>
        <v>1.822683447158493</v>
      </c>
      <c r="N55" s="1">
        <f>[1]节奏总纲!Z55</f>
        <v>1.3431253191603396</v>
      </c>
      <c r="O55" s="1">
        <f>[1]节奏总纲!AA55</f>
        <v>0.72431826768453611</v>
      </c>
      <c r="Q55" s="1">
        <v>52</v>
      </c>
      <c r="R55" s="1">
        <f>[1]节奏总纲!AD55</f>
        <v>57.27226591292537</v>
      </c>
      <c r="S55" s="1">
        <f>[1]节奏总纲!AE55</f>
        <v>59.290380144164828</v>
      </c>
      <c r="T55" s="1">
        <f>[1]节奏总纲!AF55</f>
        <v>62.130298748930763</v>
      </c>
      <c r="U55" s="1">
        <f>[1]节奏总纲!AG55</f>
        <v>66.530472725664353</v>
      </c>
      <c r="V55" s="1">
        <f>[1]节奏总纲!AH55</f>
        <v>75.062532510920803</v>
      </c>
      <c r="AN55" s="1">
        <v>52</v>
      </c>
      <c r="AO55" s="1">
        <f>[1]节奏总纲!BA55</f>
        <v>33.737057773318043</v>
      </c>
      <c r="AP55" s="1">
        <f>[1]节奏总纲!BB55</f>
        <v>35.146386283795508</v>
      </c>
      <c r="AQ55" s="1">
        <f>[1]节奏总纲!BC55</f>
        <v>37.075448197698059</v>
      </c>
      <c r="AR55" s="1">
        <f>[1]节奏总纲!BD55</f>
        <v>39.790623261487418</v>
      </c>
      <c r="AS55" s="1">
        <f>[1]节奏总纲!BE55</f>
        <v>44.455742855302844</v>
      </c>
    </row>
    <row r="56" spans="2:45" x14ac:dyDescent="0.15">
      <c r="B56" s="1">
        <f>[1]节奏总纲!N56</f>
        <v>63</v>
      </c>
      <c r="C56" s="1">
        <v>53</v>
      </c>
      <c r="D56" s="1">
        <f>[1]节奏总纲!P56</f>
        <v>38.396621227037308</v>
      </c>
      <c r="E56" s="1">
        <f>[1]节奏总纲!Q56</f>
        <v>33.42809844025868</v>
      </c>
      <c r="F56" s="1">
        <f>[1]节奏总纲!R56</f>
        <v>27.5802930273809</v>
      </c>
      <c r="G56" s="1">
        <f>[1]节奏总纲!S56</f>
        <v>20.319491953348145</v>
      </c>
      <c r="H56" s="1">
        <f>[1]节奏总纲!T56</f>
        <v>11.338522248344118</v>
      </c>
      <c r="J56" s="1">
        <v>53</v>
      </c>
      <c r="K56" s="1">
        <f>[1]节奏总纲!W56</f>
        <v>2.6382738671321846</v>
      </c>
      <c r="L56" s="1">
        <f>[1]节奏总纲!X56</f>
        <v>2.3469429150291461</v>
      </c>
      <c r="M56" s="1">
        <f>[1]节奏总纲!Y56</f>
        <v>1.9737404829528415</v>
      </c>
      <c r="N56" s="1">
        <f>[1]节奏总纲!Z56</f>
        <v>1.3890228610143716</v>
      </c>
      <c r="O56" s="1">
        <f>[1]节奏总纲!AA56</f>
        <v>0.76835476875616493</v>
      </c>
      <c r="Q56" s="1">
        <v>53</v>
      </c>
      <c r="R56" s="1">
        <f>[1]节奏总纲!AD56</f>
        <v>57.540284631526099</v>
      </c>
      <c r="S56" s="1">
        <f>[1]节奏总纲!AE56</f>
        <v>59.564417547460899</v>
      </c>
      <c r="T56" s="1">
        <f>[1]节奏总纲!AF56</f>
        <v>62.395461425033538</v>
      </c>
      <c r="U56" s="1">
        <f>[1]节奏总纲!AG56</f>
        <v>66.819253686739231</v>
      </c>
      <c r="V56" s="1">
        <f>[1]节奏总纲!AH56</f>
        <v>75.318351032805268</v>
      </c>
      <c r="AN56" s="1">
        <v>53</v>
      </c>
      <c r="AO56" s="1">
        <f>[1]节奏总纲!BA56</f>
        <v>33.861619962032307</v>
      </c>
      <c r="AP56" s="1">
        <f>[1]节奏总纲!BB56</f>
        <v>35.268374853625097</v>
      </c>
      <c r="AQ56" s="1">
        <f>[1]节奏总纲!BC56</f>
        <v>37.196452985793947</v>
      </c>
      <c r="AR56" s="1">
        <f>[1]节奏总纲!BD56</f>
        <v>39.925705028269732</v>
      </c>
      <c r="AS56" s="1">
        <f>[1]节奏总纲!BE56</f>
        <v>44.585020086822361</v>
      </c>
    </row>
    <row r="57" spans="2:45" x14ac:dyDescent="0.15">
      <c r="B57" s="1">
        <f>[1]节奏总纲!N57</f>
        <v>64</v>
      </c>
      <c r="C57" s="1">
        <v>54</v>
      </c>
      <c r="D57" s="1">
        <f>[1]节奏总纲!P57</f>
        <v>41.224253144732614</v>
      </c>
      <c r="E57" s="1">
        <f>[1]节奏总纲!Q57</f>
        <v>35.947548742206841</v>
      </c>
      <c r="F57" s="1">
        <f>[1]节奏总纲!R57</f>
        <v>29.553667079458812</v>
      </c>
      <c r="G57" s="1">
        <f>[1]节奏总纲!S57</f>
        <v>21.762283235104348</v>
      </c>
      <c r="H57" s="1">
        <f>[1]节奏总纲!T57</f>
        <v>12.111685573922442</v>
      </c>
      <c r="J57" s="1">
        <v>54</v>
      </c>
      <c r="K57" s="1">
        <f>[1]节奏总纲!W57</f>
        <v>2.8276319176953066</v>
      </c>
      <c r="L57" s="1">
        <f>[1]节奏总纲!X57</f>
        <v>2.5194503019481616</v>
      </c>
      <c r="M57" s="1">
        <f>[1]节奏总纲!Y57</f>
        <v>1.9733740520779115</v>
      </c>
      <c r="N57" s="1">
        <f>[1]节奏总纲!Z57</f>
        <v>1.4427912817562039</v>
      </c>
      <c r="O57" s="1">
        <f>[1]节奏总纲!AA57</f>
        <v>0.77316332557832368</v>
      </c>
      <c r="Q57" s="1">
        <v>54</v>
      </c>
      <c r="R57" s="1">
        <f>[1]节奏总纲!AD57</f>
        <v>57.80830335012682</v>
      </c>
      <c r="S57" s="1">
        <f>[1]节奏总纲!AE57</f>
        <v>59.838454950756969</v>
      </c>
      <c r="T57" s="1">
        <f>[1]节奏总纲!AF57</f>
        <v>62.660624101136307</v>
      </c>
      <c r="U57" s="1">
        <f>[1]节奏总纲!AG57</f>
        <v>67.098789255934349</v>
      </c>
      <c r="V57" s="1">
        <f>[1]节奏总纲!AH57</f>
        <v>75.574169554689718</v>
      </c>
      <c r="AN57" s="1">
        <v>54</v>
      </c>
      <c r="AO57" s="1">
        <f>[1]节奏总纲!BA57</f>
        <v>33.986182150746572</v>
      </c>
      <c r="AP57" s="1">
        <f>[1]节奏总纲!BB57</f>
        <v>35.390363423454687</v>
      </c>
      <c r="AQ57" s="1">
        <f>[1]节奏总纲!BC57</f>
        <v>37.317457773889828</v>
      </c>
      <c r="AR57" s="1">
        <f>[1]节奏总纲!BD57</f>
        <v>40.052446592012309</v>
      </c>
      <c r="AS57" s="1">
        <f>[1]节奏总纲!BE57</f>
        <v>44.71429731834187</v>
      </c>
    </row>
    <row r="58" spans="2:45" x14ac:dyDescent="0.15">
      <c r="B58" s="1">
        <f>[1]节奏总纲!N58</f>
        <v>65</v>
      </c>
      <c r="C58" s="1">
        <v>55</v>
      </c>
      <c r="D58" s="1">
        <f>[1]节奏总纲!P58</f>
        <v>44.254833995939045</v>
      </c>
      <c r="E58" s="1">
        <f>[1]节奏总纲!Q58</f>
        <v>38.53268396026413</v>
      </c>
      <c r="F58" s="1">
        <f>[1]节奏总纲!R58</f>
        <v>31.642206307096416</v>
      </c>
      <c r="G58" s="1">
        <f>[1]节奏总纲!S58</f>
        <v>23.282468165263531</v>
      </c>
      <c r="H58" s="1">
        <f>[1]节奏总纲!T58</f>
        <v>12.944538943812169</v>
      </c>
      <c r="J58" s="1">
        <v>55</v>
      </c>
      <c r="K58" s="1">
        <f>[1]节奏总纲!W58</f>
        <v>3.0305808512064303</v>
      </c>
      <c r="L58" s="1">
        <f>[1]节奏总纲!X58</f>
        <v>2.5851352180572889</v>
      </c>
      <c r="M58" s="1">
        <f>[1]节奏总纲!Y58</f>
        <v>2.0885392276376038</v>
      </c>
      <c r="N58" s="1">
        <f>[1]节奏总纲!Z58</f>
        <v>1.5201849301591821</v>
      </c>
      <c r="O58" s="1">
        <f>[1]节奏总纲!AA58</f>
        <v>0.8328533698897278</v>
      </c>
      <c r="Q58" s="1">
        <v>55</v>
      </c>
      <c r="R58" s="1">
        <f>[1]节奏总纲!AD58</f>
        <v>58.071211008105138</v>
      </c>
      <c r="S58" s="1">
        <f>[1]节奏总纲!AE58</f>
        <v>60.102437883401088</v>
      </c>
      <c r="T58" s="1">
        <f>[1]节奏总纲!AF58</f>
        <v>62.925786777239075</v>
      </c>
      <c r="U58" s="1">
        <f>[1]节奏总纲!AG58</f>
        <v>67.36285691246691</v>
      </c>
      <c r="V58" s="1">
        <f>[1]节奏总纲!AH58</f>
        <v>75.829988076574182</v>
      </c>
      <c r="AN58" s="1">
        <v>55</v>
      </c>
      <c r="AO58" s="1">
        <f>[1]节奏总纲!BA58</f>
        <v>34.09469189131628</v>
      </c>
      <c r="AP58" s="1">
        <f>[1]节奏总纲!BB58</f>
        <v>35.512351993284277</v>
      </c>
      <c r="AQ58" s="1">
        <f>[1]节奏总纲!BC58</f>
        <v>37.438462561985709</v>
      </c>
      <c r="AR58" s="1">
        <f>[1]节奏总纲!BD58</f>
        <v>40.168994574261895</v>
      </c>
      <c r="AS58" s="1">
        <f>[1]节奏总纲!BE58</f>
        <v>44.843574549861387</v>
      </c>
    </row>
    <row r="59" spans="2:45" x14ac:dyDescent="0.15">
      <c r="B59" s="1">
        <f>[1]节奏总纲!N59</f>
        <v>66</v>
      </c>
      <c r="C59" s="1">
        <v>56</v>
      </c>
      <c r="D59" s="1">
        <f>[1]节奏总纲!P59</f>
        <v>47.502930128332721</v>
      </c>
      <c r="E59" s="1">
        <f>[1]节奏总纲!Q59</f>
        <v>41.275295988508304</v>
      </c>
      <c r="F59" s="1">
        <f>[1]节奏总纲!R59</f>
        <v>33.888590353552566</v>
      </c>
      <c r="G59" s="1">
        <f>[1]节奏总纲!S59</f>
        <v>24.910536559297679</v>
      </c>
      <c r="H59" s="1">
        <f>[1]节奏总纲!T59</f>
        <v>13.837603546383322</v>
      </c>
      <c r="J59" s="1">
        <v>56</v>
      </c>
      <c r="K59" s="1">
        <f>[1]节奏总纲!W59</f>
        <v>3.2480961323936768</v>
      </c>
      <c r="L59" s="1">
        <f>[1]节奏总纲!X59</f>
        <v>2.7426120282441744</v>
      </c>
      <c r="M59" s="1">
        <f>[1]节奏总纲!Y59</f>
        <v>2.24638404645615</v>
      </c>
      <c r="N59" s="1">
        <f>[1]节奏总纲!Z59</f>
        <v>1.6280683940341483</v>
      </c>
      <c r="O59" s="1">
        <f>[1]节奏总纲!AA59</f>
        <v>0.89306460257115283</v>
      </c>
      <c r="Q59" s="1">
        <v>56</v>
      </c>
      <c r="R59" s="1">
        <f>[1]节奏总纲!AD59</f>
        <v>58.321281314909029</v>
      </c>
      <c r="S59" s="1">
        <f>[1]节奏总纲!AE59</f>
        <v>60.351982057337977</v>
      </c>
      <c r="T59" s="1">
        <f>[1]节奏总纲!AF59</f>
        <v>63.17626763611517</v>
      </c>
      <c r="U59" s="1">
        <f>[1]节奏总纲!AG59</f>
        <v>67.626924568999456</v>
      </c>
      <c r="V59" s="1">
        <f>[1]节奏总纲!AH59</f>
        <v>76.086647524934079</v>
      </c>
      <c r="AN59" s="1">
        <v>56</v>
      </c>
      <c r="AO59" s="1">
        <f>[1]节奏总纲!BA59</f>
        <v>34.201198727632011</v>
      </c>
      <c r="AP59" s="1">
        <f>[1]节奏总纲!BB59</f>
        <v>35.634340563113874</v>
      </c>
      <c r="AQ59" s="1">
        <f>[1]节奏总纲!BC59</f>
        <v>37.55946735008159</v>
      </c>
      <c r="AR59" s="1">
        <f>[1]节奏总纲!BD59</f>
        <v>40.28554255651148</v>
      </c>
      <c r="AS59" s="1">
        <f>[1]节奏总纲!BE59</f>
        <v>44.972851781380903</v>
      </c>
    </row>
    <row r="60" spans="2:45" x14ac:dyDescent="0.15">
      <c r="B60" s="1">
        <f>[1]节奏总纲!N60</f>
        <v>67</v>
      </c>
      <c r="C60" s="1">
        <v>57</v>
      </c>
      <c r="D60" s="1">
        <f>[1]节奏总纲!P60</f>
        <v>50.984153366799077</v>
      </c>
      <c r="E60" s="1">
        <f>[1]节奏总纲!Q60</f>
        <v>44.310327691085078</v>
      </c>
      <c r="F60" s="1">
        <f>[1]节奏总纲!R60</f>
        <v>36.316012443170983</v>
      </c>
      <c r="G60" s="1">
        <f>[1]节奏总纲!S60</f>
        <v>26.664712210835919</v>
      </c>
      <c r="H60" s="1">
        <f>[1]节奏总纲!T60</f>
        <v>14.815994968391813</v>
      </c>
      <c r="J60" s="1">
        <v>57</v>
      </c>
      <c r="K60" s="1">
        <f>[1]节奏总纲!W60</f>
        <v>3.481223238466356</v>
      </c>
      <c r="L60" s="1">
        <f>[1]节奏总纲!X60</f>
        <v>3.0350317025767737</v>
      </c>
      <c r="M60" s="1">
        <f>[1]节奏总纲!Y60</f>
        <v>2.4274220896184175</v>
      </c>
      <c r="N60" s="1">
        <f>[1]节奏总纲!Z60</f>
        <v>1.7541756515382403</v>
      </c>
      <c r="O60" s="1">
        <f>[1]节奏总纲!AA60</f>
        <v>0.97839142200849061</v>
      </c>
      <c r="Q60" s="1">
        <v>57</v>
      </c>
      <c r="R60" s="1">
        <f>[1]节奏总纲!AD60</f>
        <v>58.571351621712921</v>
      </c>
      <c r="S60" s="1">
        <f>[1]节奏总纲!AE60</f>
        <v>60.60152623127486</v>
      </c>
      <c r="T60" s="1">
        <f>[1]节奏总纲!AF60</f>
        <v>63.421042351541736</v>
      </c>
      <c r="U60" s="1">
        <f>[1]节奏总纲!AG60</f>
        <v>67.890992225532017</v>
      </c>
      <c r="V60" s="1">
        <f>[1]节奏总纲!AH60</f>
        <v>76.344973133357612</v>
      </c>
      <c r="AN60" s="1">
        <v>57</v>
      </c>
      <c r="AO60" s="1">
        <f>[1]节奏总纲!BA60</f>
        <v>34.307705563947749</v>
      </c>
      <c r="AP60" s="1">
        <f>[1]节奏总纲!BB60</f>
        <v>35.756329132943463</v>
      </c>
      <c r="AQ60" s="1">
        <f>[1]节奏总纲!BC60</f>
        <v>37.680472138177478</v>
      </c>
      <c r="AR60" s="1">
        <f>[1]节奏总纲!BD60</f>
        <v>40.402090538761065</v>
      </c>
      <c r="AS60" s="1">
        <f>[1]节奏总纲!BE60</f>
        <v>45.088151688727308</v>
      </c>
    </row>
    <row r="61" spans="2:45" x14ac:dyDescent="0.15">
      <c r="B61" s="1">
        <f>[1]节奏总纲!N61</f>
        <v>68</v>
      </c>
      <c r="C61" s="1">
        <v>58</v>
      </c>
      <c r="D61" s="1">
        <f>[1]节奏总纲!P61</f>
        <v>54.715236050951923</v>
      </c>
      <c r="E61" s="1">
        <f>[1]节奏总纲!Q61</f>
        <v>47.459995750595695</v>
      </c>
      <c r="F61" s="1">
        <f>[1]节奏总纲!R61</f>
        <v>38.913475879437009</v>
      </c>
      <c r="G61" s="1">
        <f>[1]节奏总纲!S61</f>
        <v>28.572296265807093</v>
      </c>
      <c r="H61" s="1">
        <f>[1]节奏总纲!T61</f>
        <v>15.856475407565867</v>
      </c>
      <c r="J61" s="1">
        <v>58</v>
      </c>
      <c r="K61" s="1">
        <f>[1]节奏总纲!W61</f>
        <v>3.7310826841528453</v>
      </c>
      <c r="L61" s="1">
        <f>[1]节奏总纲!X61</f>
        <v>3.149668059510617</v>
      </c>
      <c r="M61" s="1">
        <f>[1]节奏总纲!Y61</f>
        <v>2.5974634362660254</v>
      </c>
      <c r="N61" s="1">
        <f>[1]节奏总纲!Z61</f>
        <v>1.9075840549711742</v>
      </c>
      <c r="O61" s="1">
        <f>[1]节奏总纲!AA61</f>
        <v>1.0404804391740541</v>
      </c>
      <c r="Q61" s="1">
        <v>58</v>
      </c>
      <c r="R61" s="1">
        <f>[1]节奏总纲!AD61</f>
        <v>58.821421928516813</v>
      </c>
      <c r="S61" s="1">
        <f>[1]节奏总纲!AE61</f>
        <v>60.851070405211743</v>
      </c>
      <c r="T61" s="1">
        <f>[1]节奏总纲!AF61</f>
        <v>63.665817066968295</v>
      </c>
      <c r="U61" s="1">
        <f>[1]节奏总纲!AG61</f>
        <v>68.142437172458173</v>
      </c>
      <c r="V61" s="1">
        <f>[1]节奏总纲!AH61</f>
        <v>76.60329874178116</v>
      </c>
      <c r="AN61" s="1">
        <v>58</v>
      </c>
      <c r="AO61" s="1">
        <f>[1]节奏总纲!BA61</f>
        <v>34.41421240026348</v>
      </c>
      <c r="AP61" s="1">
        <f>[1]节奏总纲!BB61</f>
        <v>35.878317702773053</v>
      </c>
      <c r="AQ61" s="1">
        <f>[1]节奏总纲!BC61</f>
        <v>37.801476926273359</v>
      </c>
      <c r="AR61" s="1">
        <f>[1]节奏总纲!BD61</f>
        <v>40.518638521010644</v>
      </c>
      <c r="AS61" s="1">
        <f>[1]节奏总纲!BE61</f>
        <v>45.199736104837825</v>
      </c>
    </row>
    <row r="62" spans="2:45" x14ac:dyDescent="0.15">
      <c r="B62" s="1">
        <f>[1]节奏总纲!N62</f>
        <v>69</v>
      </c>
      <c r="C62" s="1">
        <v>59</v>
      </c>
      <c r="D62" s="1">
        <f>[1]节奏总纲!P62</f>
        <v>58.714111458355703</v>
      </c>
      <c r="E62" s="1">
        <f>[1]节奏总纲!Q62</f>
        <v>50.940363101269412</v>
      </c>
      <c r="F62" s="1">
        <f>[1]节奏总纲!R62</f>
        <v>41.728119013453394</v>
      </c>
      <c r="G62" s="1">
        <f>[1]节奏总纲!S62</f>
        <v>30.607666303240826</v>
      </c>
      <c r="H62" s="1">
        <f>[1]节奏总纲!T62</f>
        <v>17.003606678339814</v>
      </c>
      <c r="J62" s="1">
        <v>59</v>
      </c>
      <c r="K62" s="1">
        <f>[1]节奏总纲!W62</f>
        <v>3.99887540740378</v>
      </c>
      <c r="L62" s="1">
        <f>[1]节奏总纲!X62</f>
        <v>3.4803673506737169</v>
      </c>
      <c r="M62" s="1">
        <f>[1]节奏总纲!Y62</f>
        <v>2.8146431340163858</v>
      </c>
      <c r="N62" s="1">
        <f>[1]节奏总纲!Z62</f>
        <v>2.0353700374337329</v>
      </c>
      <c r="O62" s="1">
        <f>[1]节奏总纲!AA62</f>
        <v>1.1471312707739472</v>
      </c>
      <c r="Q62" s="1">
        <v>59</v>
      </c>
      <c r="R62" s="1">
        <f>[1]节奏总纲!AD62</f>
        <v>59.066704614192936</v>
      </c>
      <c r="S62" s="1">
        <f>[1]节奏总纲!AE62</f>
        <v>61.094954819415335</v>
      </c>
      <c r="T62" s="1">
        <f>[1]节奏总纲!AF62</f>
        <v>63.91059178239486</v>
      </c>
      <c r="U62" s="1">
        <f>[1]节奏总纲!AG62</f>
        <v>68.385008299388929</v>
      </c>
      <c r="V62" s="1">
        <f>[1]节奏总纲!AH62</f>
        <v>76.861624350204693</v>
      </c>
      <c r="AN62" s="1">
        <v>59</v>
      </c>
      <c r="AO62" s="1">
        <f>[1]节奏总纲!BA62</f>
        <v>34.520719236579211</v>
      </c>
      <c r="AP62" s="1">
        <f>[1]节奏总纲!BB62</f>
        <v>36.000264155774609</v>
      </c>
      <c r="AQ62" s="1">
        <f>[1]节奏总纲!BC62</f>
        <v>37.922481714369241</v>
      </c>
      <c r="AR62" s="1">
        <f>[1]节奏总纲!BD62</f>
        <v>40.635186503260229</v>
      </c>
      <c r="AS62" s="1">
        <f>[1]节奏总纲!BE62</f>
        <v>45.31132052094835</v>
      </c>
    </row>
    <row r="63" spans="2:45" x14ac:dyDescent="0.15">
      <c r="B63" s="1">
        <f>[1]节奏总纲!N63</f>
        <v>70</v>
      </c>
      <c r="C63" s="1">
        <v>60</v>
      </c>
      <c r="D63" s="1">
        <f>[1]节奏总纲!P63</f>
        <v>63</v>
      </c>
      <c r="E63" s="1">
        <f>[1]节奏总纲!Q63</f>
        <v>54.589500000000001</v>
      </c>
      <c r="F63" s="1">
        <f>[1]节奏总纲!R63</f>
        <v>44.717399999999998</v>
      </c>
      <c r="G63" s="1">
        <f>[1]节奏总纲!S63</f>
        <v>32.810400000000001</v>
      </c>
      <c r="H63" s="1">
        <f>[1]节奏总纲!T63</f>
        <v>18.276300000000003</v>
      </c>
      <c r="J63" s="1">
        <v>60</v>
      </c>
      <c r="K63" s="1">
        <f>[1]节奏总纲!W63</f>
        <v>4.2858885416442973</v>
      </c>
      <c r="L63" s="1">
        <f>[1]节奏总纲!X63</f>
        <v>3.649136898730589</v>
      </c>
      <c r="M63" s="1">
        <f>[1]节奏总纲!Y63</f>
        <v>2.9892809865466035</v>
      </c>
      <c r="N63" s="1">
        <f>[1]节奏总纲!Z63</f>
        <v>2.2027336967591751</v>
      </c>
      <c r="O63" s="1">
        <f>[1]节奏总纲!AA63</f>
        <v>1.2726933216601886</v>
      </c>
      <c r="Q63" s="1">
        <v>60</v>
      </c>
      <c r="R63" s="1">
        <f>[1]节奏总纲!AD63</f>
        <v>59.300028460644697</v>
      </c>
      <c r="S63" s="1">
        <f>[1]节奏总纲!AE63</f>
        <v>61.330461663183208</v>
      </c>
      <c r="T63" s="1">
        <f>[1]节奏总纲!AF63</f>
        <v>64.14304723627319</v>
      </c>
      <c r="U63" s="1">
        <f>[1]节奏总纲!AG63</f>
        <v>68.627579426319684</v>
      </c>
      <c r="V63" s="1">
        <f>[1]节奏总纲!AH63</f>
        <v>77.112805903056142</v>
      </c>
      <c r="AN63" s="1">
        <v>60</v>
      </c>
      <c r="AO63" s="1">
        <f>[1]节奏总纲!BA63</f>
        <v>34.627226072894942</v>
      </c>
      <c r="AP63" s="1">
        <f>[1]节奏总纲!BB63</f>
        <v>36.105477566569242</v>
      </c>
      <c r="AQ63" s="1">
        <f>[1]节奏总纲!BC63</f>
        <v>38.037513426486328</v>
      </c>
      <c r="AR63" s="1">
        <f>[1]节奏总纲!BD63</f>
        <v>40.751734485509814</v>
      </c>
      <c r="AS63" s="1">
        <f>[1]节奏总纲!BE63</f>
        <v>45.422904937058867</v>
      </c>
    </row>
    <row r="64" spans="2:45" x14ac:dyDescent="0.15">
      <c r="B64" s="1">
        <f>[1]节奏总纲!N64</f>
        <v>71</v>
      </c>
      <c r="C64" s="1">
        <v>61</v>
      </c>
      <c r="D64" s="1">
        <f>[1]节奏总纲!P64</f>
        <v>67.593501602322732</v>
      </c>
      <c r="E64" s="1">
        <f>[1]节奏总纲!Q64</f>
        <v>58.596806539053574</v>
      </c>
      <c r="F64" s="1">
        <f>[1]节奏总纲!R64</f>
        <v>47.977867437328676</v>
      </c>
      <c r="G64" s="1">
        <f>[1]节奏总纲!S64</f>
        <v>35.229733035130607</v>
      </c>
      <c r="H64" s="1">
        <f>[1]节奏总纲!T64</f>
        <v>19.602115464673592</v>
      </c>
      <c r="J64" s="1">
        <v>61</v>
      </c>
      <c r="K64" s="1">
        <f>[1]节奏总纲!W64</f>
        <v>4.593501602322732</v>
      </c>
      <c r="L64" s="1">
        <f>[1]节奏总纲!X64</f>
        <v>4.0073065390535731</v>
      </c>
      <c r="M64" s="1">
        <f>[1]节奏总纲!Y64</f>
        <v>3.2604674373286784</v>
      </c>
      <c r="N64" s="1">
        <f>[1]节奏总纲!Z64</f>
        <v>2.4193330351306059</v>
      </c>
      <c r="O64" s="1">
        <f>[1]节奏总纲!AA64</f>
        <v>1.3258154646735889</v>
      </c>
      <c r="Q64" s="1">
        <v>61</v>
      </c>
      <c r="R64" s="1">
        <f>[1]节奏总纲!AD64</f>
        <v>59.533352307096465</v>
      </c>
      <c r="S64" s="1">
        <f>[1]节奏总纲!AE64</f>
        <v>61.56596850695108</v>
      </c>
      <c r="T64" s="1">
        <f>[1]节奏总纲!AF64</f>
        <v>64.368413367596901</v>
      </c>
      <c r="U64" s="1">
        <f>[1]节奏总纲!AG64</f>
        <v>68.870150553250454</v>
      </c>
      <c r="V64" s="1">
        <f>[1]节奏总纲!AH64</f>
        <v>77.355745991356301</v>
      </c>
      <c r="AN64" s="1">
        <v>61</v>
      </c>
      <c r="AO64" s="1">
        <f>[1]节奏总纲!BA64</f>
        <v>34.733732909210673</v>
      </c>
      <c r="AP64" s="1">
        <f>[1]节奏总纲!BB64</f>
        <v>36.210690977363875</v>
      </c>
      <c r="AQ64" s="1">
        <f>[1]节奏总纲!BC64</f>
        <v>38.14189763688286</v>
      </c>
      <c r="AR64" s="1">
        <f>[1]节奏总纲!BD64</f>
        <v>40.8682824677594</v>
      </c>
      <c r="AS64" s="1">
        <f>[1]节奏总纲!BE64</f>
        <v>45.534489353169384</v>
      </c>
    </row>
    <row r="65" spans="2:45" x14ac:dyDescent="0.15">
      <c r="B65" s="1">
        <f>[1]节奏总纲!N65</f>
        <v>72</v>
      </c>
      <c r="C65" s="1">
        <v>62</v>
      </c>
      <c r="D65" s="1">
        <f>[1]节奏总纲!P65</f>
        <v>72.516694719810218</v>
      </c>
      <c r="E65" s="1">
        <f>[1]节奏总纲!Q65</f>
        <v>62.842967644187539</v>
      </c>
      <c r="F65" s="1">
        <f>[1]节奏总纲!R65</f>
        <v>51.5086082594812</v>
      </c>
      <c r="G65" s="1">
        <f>[1]节奏总纲!S65</f>
        <v>37.846462974268952</v>
      </c>
      <c r="H65" s="1">
        <f>[1]节奏总纲!T65</f>
        <v>21.124113171880715</v>
      </c>
      <c r="J65" s="1">
        <v>62</v>
      </c>
      <c r="K65" s="1">
        <f>[1]节奏总纲!W65</f>
        <v>4.9231931174874859</v>
      </c>
      <c r="L65" s="1">
        <f>[1]节奏总纲!X65</f>
        <v>4.2461611051339645</v>
      </c>
      <c r="M65" s="1">
        <f>[1]节奏总纲!Y65</f>
        <v>3.5307408221525236</v>
      </c>
      <c r="N65" s="1">
        <f>[1]节奏总纲!Z65</f>
        <v>2.6167299391383452</v>
      </c>
      <c r="O65" s="1">
        <f>[1]节奏总纲!AA65</f>
        <v>1.5219977072071238</v>
      </c>
      <c r="Q65" s="1">
        <v>62</v>
      </c>
      <c r="R65" s="1">
        <f>[1]节奏总纲!AD65</f>
        <v>59.766676153548232</v>
      </c>
      <c r="S65" s="1">
        <f>[1]节奏总纲!AE65</f>
        <v>61.801475350718952</v>
      </c>
      <c r="T65" s="1">
        <f>[1]节奏总纲!AF65</f>
        <v>64.593779498920611</v>
      </c>
      <c r="U65" s="1">
        <f>[1]节奏总纲!AG65</f>
        <v>69.105843627521551</v>
      </c>
      <c r="V65" s="1">
        <f>[1]节奏总纲!AH65</f>
        <v>77.59868607965646</v>
      </c>
      <c r="AN65" s="1">
        <v>62</v>
      </c>
      <c r="AO65" s="1">
        <f>[1]节奏总纲!BA65</f>
        <v>34.840239745526404</v>
      </c>
      <c r="AP65" s="1">
        <f>[1]节奏总纲!BB65</f>
        <v>36.315904388158508</v>
      </c>
      <c r="AQ65" s="1">
        <f>[1]节奏总纲!BC65</f>
        <v>38.246281847279398</v>
      </c>
      <c r="AR65" s="1">
        <f>[1]节奏总纲!BD65</f>
        <v>40.984830450008978</v>
      </c>
      <c r="AS65" s="1">
        <f>[1]节奏总纲!BE65</f>
        <v>45.646073769279901</v>
      </c>
    </row>
    <row r="66" spans="2:45" x14ac:dyDescent="0.15">
      <c r="B66" s="1">
        <f>[1]节奏总纲!N66</f>
        <v>73</v>
      </c>
      <c r="C66" s="1">
        <v>63</v>
      </c>
      <c r="D66" s="1">
        <f>[1]节奏总纲!P66</f>
        <v>77.793242454074615</v>
      </c>
      <c r="E66" s="1">
        <f>[1]节奏总纲!Q66</f>
        <v>67.470079180418907</v>
      </c>
      <c r="F66" s="1">
        <f>[1]节奏总纲!R66</f>
        <v>55.27987808786542</v>
      </c>
      <c r="G66" s="1">
        <f>[1]节奏总纲!S66</f>
        <v>40.678086479235617</v>
      </c>
      <c r="H66" s="1">
        <f>[1]节奏总纲!T66</f>
        <v>22.700068148098975</v>
      </c>
      <c r="J66" s="1">
        <v>63</v>
      </c>
      <c r="K66" s="1">
        <f>[1]节奏总纲!W66</f>
        <v>5.2765477342643976</v>
      </c>
      <c r="L66" s="1">
        <f>[1]节奏总纲!X66</f>
        <v>4.6271115362313679</v>
      </c>
      <c r="M66" s="1">
        <f>[1]节奏总纲!Y66</f>
        <v>3.7712698283842201</v>
      </c>
      <c r="N66" s="1">
        <f>[1]节奏总纲!Z66</f>
        <v>2.8316235049666645</v>
      </c>
      <c r="O66" s="1">
        <f>[1]节奏总纲!AA66</f>
        <v>1.5759549762182594</v>
      </c>
      <c r="Q66" s="1">
        <v>63</v>
      </c>
      <c r="R66" s="1">
        <f>[1]节奏总纲!AD66</f>
        <v>60</v>
      </c>
      <c r="S66" s="1">
        <f>[1]节奏总纲!AE66</f>
        <v>62.033937447710706</v>
      </c>
      <c r="T66" s="1">
        <f>[1]节奏总纲!AF66</f>
        <v>64.819145630244321</v>
      </c>
      <c r="U66" s="1">
        <f>[1]节奏总纲!AG66</f>
        <v>69.333613546893503</v>
      </c>
      <c r="V66" s="1">
        <f>[1]节奏总纲!AH66</f>
        <v>77.841626167956619</v>
      </c>
      <c r="AN66" s="1">
        <v>63</v>
      </c>
      <c r="AO66" s="1">
        <f>[1]节奏总纲!BA66</f>
        <v>34.946746581842135</v>
      </c>
      <c r="AP66" s="1">
        <f>[1]节奏总纲!BB66</f>
        <v>36.421117798953141</v>
      </c>
      <c r="AQ66" s="1">
        <f>[1]节奏总纲!BC66</f>
        <v>38.35066605767593</v>
      </c>
      <c r="AR66" s="1">
        <f>[1]节奏总纲!BD66</f>
        <v>41.087476216725996</v>
      </c>
      <c r="AS66" s="1">
        <f>[1]节奏总纲!BE66</f>
        <v>45.757658185390426</v>
      </c>
    </row>
    <row r="67" spans="2:45" x14ac:dyDescent="0.15">
      <c r="B67" s="1">
        <f>[1]节奏总纲!N67</f>
        <v>74</v>
      </c>
      <c r="C67" s="1">
        <v>64</v>
      </c>
      <c r="D67" s="1">
        <f>[1]节奏总纲!P67</f>
        <v>83.4485062894652</v>
      </c>
      <c r="E67" s="1">
        <f>[1]节奏总纲!Q67</f>
        <v>72.399924056740005</v>
      </c>
      <c r="F67" s="1">
        <f>[1]节奏总纲!R67</f>
        <v>59.365267374325548</v>
      </c>
      <c r="G67" s="1">
        <f>[1]节奏总纲!S67</f>
        <v>43.718672445050821</v>
      </c>
      <c r="H67" s="1">
        <f>[1]节奏总纲!T67</f>
        <v>24.341929284637001</v>
      </c>
      <c r="J67" s="1">
        <v>64</v>
      </c>
      <c r="K67" s="1">
        <f>[1]节奏总纲!W67</f>
        <v>5.6552638353905849</v>
      </c>
      <c r="L67" s="1">
        <f>[1]节奏总纲!X67</f>
        <v>4.9298448763210985</v>
      </c>
      <c r="M67" s="1">
        <f>[1]节奏总纲!Y67</f>
        <v>4.0853892864601278</v>
      </c>
      <c r="N67" s="1">
        <f>[1]节奏总纲!Z67</f>
        <v>3.0405859658152039</v>
      </c>
      <c r="O67" s="1">
        <f>[1]节奏总纲!AA67</f>
        <v>1.6418611365380258</v>
      </c>
      <c r="Q67" s="1">
        <v>64</v>
      </c>
      <c r="R67" s="1">
        <f>[1]节奏总纲!AD67</f>
        <v>60.217698846451768</v>
      </c>
      <c r="S67" s="1">
        <f>[1]节奏总纲!AE67</f>
        <v>62.250054995811666</v>
      </c>
      <c r="T67" s="1">
        <f>[1]节奏总纲!AF67</f>
        <v>65.042129882798193</v>
      </c>
      <c r="U67" s="1">
        <f>[1]节奏总纲!AG67</f>
        <v>69.56138346626544</v>
      </c>
      <c r="V67" s="1">
        <f>[1]节奏总纲!AH67</f>
        <v>78.077870469399883</v>
      </c>
      <c r="AN67" s="1">
        <v>64</v>
      </c>
      <c r="AO67" s="1">
        <f>[1]节奏总纲!BA67</f>
        <v>35.048795427931836</v>
      </c>
      <c r="AP67" s="1">
        <f>[1]节奏总纲!BB67</f>
        <v>36.526331209747774</v>
      </c>
      <c r="AQ67" s="1">
        <f>[1]节奏总纲!BC67</f>
        <v>38.455050268072462</v>
      </c>
      <c r="AR67" s="1">
        <f>[1]节奏总纲!BD67</f>
        <v>41.188041754455355</v>
      </c>
      <c r="AS67" s="1">
        <f>[1]节奏总纲!BE67</f>
        <v>45.869242601500943</v>
      </c>
    </row>
    <row r="68" spans="2:45" x14ac:dyDescent="0.15">
      <c r="B68" s="1">
        <f>[1]节奏总纲!N68</f>
        <v>75</v>
      </c>
      <c r="C68" s="1">
        <v>65</v>
      </c>
      <c r="D68" s="1">
        <f>[1]节奏总纲!P68</f>
        <v>89.509667991878061</v>
      </c>
      <c r="E68" s="1">
        <f>[1]节奏总纲!Q68</f>
        <v>77.64963698295422</v>
      </c>
      <c r="F68" s="1">
        <f>[1]节奏总纲!R68</f>
        <v>63.802491344610679</v>
      </c>
      <c r="G68" s="1">
        <f>[1]节奏总纲!S68</f>
        <v>46.929918928141667</v>
      </c>
      <c r="H68" s="1">
        <f>[1]节奏总纲!T68</f>
        <v>25.993607584841389</v>
      </c>
      <c r="J68" s="1">
        <v>65</v>
      </c>
      <c r="K68" s="1">
        <f>[1]节奏总纲!W68</f>
        <v>6.0611617024128606</v>
      </c>
      <c r="L68" s="1">
        <f>[1]节奏总纲!X68</f>
        <v>5.2497129262142153</v>
      </c>
      <c r="M68" s="1">
        <f>[1]节奏总纲!Y68</f>
        <v>4.4372239702851317</v>
      </c>
      <c r="N68" s="1">
        <f>[1]节奏总纲!Z68</f>
        <v>3.2112464830908465</v>
      </c>
      <c r="O68" s="1">
        <f>[1]节奏总纲!AA68</f>
        <v>1.651678300204388</v>
      </c>
      <c r="Q68" s="1">
        <v>65</v>
      </c>
      <c r="R68" s="1">
        <f>[1]节奏总纲!AD68</f>
        <v>60.435397692903535</v>
      </c>
      <c r="S68" s="1">
        <f>[1]节奏总纲!AE68</f>
        <v>62.466172543912634</v>
      </c>
      <c r="T68" s="1">
        <f>[1]节奏总纲!AF68</f>
        <v>65.255436396961542</v>
      </c>
      <c r="U68" s="1">
        <f>[1]节奏总纲!AG68</f>
        <v>69.789153385637391</v>
      </c>
      <c r="V68" s="1">
        <f>[1]节奏总纲!AH68</f>
        <v>78.301575047908599</v>
      </c>
      <c r="AN68" s="1">
        <v>65</v>
      </c>
      <c r="AO68" s="1">
        <f>[1]节奏总纲!BA68</f>
        <v>35.146386283795508</v>
      </c>
      <c r="AP68" s="1">
        <f>[1]节奏总纲!BB68</f>
        <v>36.631544620542407</v>
      </c>
      <c r="AQ68" s="1">
        <f>[1]节奏总纲!BC68</f>
        <v>38.559434478468994</v>
      </c>
      <c r="AR68" s="1">
        <f>[1]节奏总纲!BD68</f>
        <v>41.288607292184714</v>
      </c>
      <c r="AS68" s="1">
        <f>[1]节奏总纲!BE68</f>
        <v>45.98082701761146</v>
      </c>
    </row>
    <row r="69" spans="2:45" x14ac:dyDescent="0.15">
      <c r="B69" s="1">
        <f>[1]节奏总纲!N69</f>
        <v>76</v>
      </c>
      <c r="C69" s="1">
        <v>66</v>
      </c>
      <c r="D69" s="1">
        <f>[1]节奏总纲!P69</f>
        <v>96.005860256665443</v>
      </c>
      <c r="E69" s="1">
        <f>[1]节奏总纲!Q69</f>
        <v>83.352287874836932</v>
      </c>
      <c r="F69" s="1">
        <f>[1]节奏总纲!R69</f>
        <v>68.490580707105124</v>
      </c>
      <c r="G69" s="1">
        <f>[1]节奏总纲!S69</f>
        <v>50.163061984107692</v>
      </c>
      <c r="H69" s="1">
        <f>[1]节奏总纲!T69</f>
        <v>27.851300060458648</v>
      </c>
      <c r="J69" s="1">
        <v>66</v>
      </c>
      <c r="K69" s="1">
        <f>[1]节奏总纲!W69</f>
        <v>6.496192264787382</v>
      </c>
      <c r="L69" s="1">
        <f>[1]节奏总纲!X69</f>
        <v>5.7026508918827119</v>
      </c>
      <c r="M69" s="1">
        <f>[1]节奏总纲!Y69</f>
        <v>4.6880893624944449</v>
      </c>
      <c r="N69" s="1">
        <f>[1]节奏总纲!Z69</f>
        <v>3.2331430559660248</v>
      </c>
      <c r="O69" s="1">
        <f>[1]节奏总纲!AA69</f>
        <v>1.8576924756172595</v>
      </c>
      <c r="Q69" s="1">
        <v>66</v>
      </c>
      <c r="R69" s="1">
        <f>[1]节奏总纲!AD69</f>
        <v>60.653096539355303</v>
      </c>
      <c r="S69" s="1">
        <f>[1]节奏总纲!AE69</f>
        <v>62.682290092013595</v>
      </c>
      <c r="T69" s="1">
        <f>[1]节奏总纲!AF69</f>
        <v>65.468742911124906</v>
      </c>
      <c r="U69" s="1">
        <f>[1]节奏总纲!AG69</f>
        <v>70.015851474333999</v>
      </c>
      <c r="V69" s="1">
        <f>[1]节奏总纲!AH69</f>
        <v>78.525279626417301</v>
      </c>
      <c r="AN69" s="1">
        <v>66</v>
      </c>
      <c r="AO69" s="1">
        <f>[1]节奏总纲!BA69</f>
        <v>35.243977139659179</v>
      </c>
      <c r="AP69" s="1">
        <f>[1]节奏总纲!BB69</f>
        <v>36.73675803133704</v>
      </c>
      <c r="AQ69" s="1">
        <f>[1]节奏总纲!BC69</f>
        <v>38.663818688865533</v>
      </c>
      <c r="AR69" s="1">
        <f>[1]节奏总纲!BD69</f>
        <v>41.389172829914081</v>
      </c>
      <c r="AS69" s="1">
        <f>[1]节奏总纲!BE69</f>
        <v>46.079770001861057</v>
      </c>
    </row>
    <row r="70" spans="2:45" x14ac:dyDescent="0.15">
      <c r="B70" s="1">
        <f>[1]节奏总纲!N70</f>
        <v>77</v>
      </c>
      <c r="C70" s="1">
        <v>67</v>
      </c>
      <c r="D70" s="1">
        <f>[1]节奏总纲!P70</f>
        <v>102.96830673359811</v>
      </c>
      <c r="E70" s="1">
        <f>[1]节奏总纲!Q70</f>
        <v>89.469161720823394</v>
      </c>
      <c r="F70" s="1">
        <f>[1]节奏总纲!R70</f>
        <v>73.292840732975137</v>
      </c>
      <c r="G70" s="1">
        <f>[1]节奏总纲!S70</f>
        <v>53.625894146857902</v>
      </c>
      <c r="H70" s="1">
        <f>[1]节奏总纲!T70</f>
        <v>29.799027968703292</v>
      </c>
      <c r="J70" s="1">
        <v>67</v>
      </c>
      <c r="K70" s="1">
        <f>[1]节奏总纲!W70</f>
        <v>6.9624464769326693</v>
      </c>
      <c r="L70" s="1">
        <f>[1]节奏总纲!X70</f>
        <v>6.1168738459864613</v>
      </c>
      <c r="M70" s="1">
        <f>[1]节奏总纲!Y70</f>
        <v>4.8022600258700123</v>
      </c>
      <c r="N70" s="1">
        <f>[1]节奏总纲!Z70</f>
        <v>3.4628321627502103</v>
      </c>
      <c r="O70" s="1">
        <f>[1]节奏总纲!AA70</f>
        <v>1.9477279082446444</v>
      </c>
      <c r="Q70" s="1">
        <v>67</v>
      </c>
      <c r="R70" s="1">
        <f>[1]节奏总纲!AD70</f>
        <v>60.870795385807064</v>
      </c>
      <c r="S70" s="1">
        <f>[1]节奏总纲!AE70</f>
        <v>62.898407640114556</v>
      </c>
      <c r="T70" s="1">
        <f>[1]节奏总纲!AF70</f>
        <v>65.682049425288255</v>
      </c>
      <c r="U70" s="1">
        <f>[1]节奏总纲!AG70</f>
        <v>70.229195678021767</v>
      </c>
      <c r="V70" s="1">
        <f>[1]节奏总纲!AH70</f>
        <v>78.748984204926018</v>
      </c>
      <c r="AN70" s="1">
        <v>67</v>
      </c>
      <c r="AO70" s="1">
        <f>[1]节奏总纲!BA70</f>
        <v>35.341567995522851</v>
      </c>
      <c r="AP70" s="1">
        <f>[1]节奏总纲!BB70</f>
        <v>36.841971442131673</v>
      </c>
      <c r="AQ70" s="1">
        <f>[1]节奏总纲!BC70</f>
        <v>38.768202899262064</v>
      </c>
      <c r="AR70" s="1">
        <f>[1]节奏总纲!BD70</f>
        <v>41.48973836764344</v>
      </c>
      <c r="AS70" s="1">
        <f>[1]节奏总纲!BE70</f>
        <v>46.176090215954694</v>
      </c>
    </row>
    <row r="71" spans="2:45" x14ac:dyDescent="0.15">
      <c r="B71" s="1">
        <f>[1]节奏总纲!N71</f>
        <v>78</v>
      </c>
      <c r="C71" s="1">
        <v>68</v>
      </c>
      <c r="D71" s="1">
        <f>[1]节奏总纲!P71</f>
        <v>110.43047210190386</v>
      </c>
      <c r="E71" s="1">
        <f>[1]节奏总纲!Q71</f>
        <v>95.831563690032169</v>
      </c>
      <c r="F71" s="1">
        <f>[1]节奏总纲!R71</f>
        <v>78.251032531409081</v>
      </c>
      <c r="G71" s="1">
        <f>[1]节奏总纲!S71</f>
        <v>57.412802445779818</v>
      </c>
      <c r="H71" s="1">
        <f>[1]节奏总纲!T71</f>
        <v>31.859191201399263</v>
      </c>
      <c r="J71" s="1">
        <v>68</v>
      </c>
      <c r="K71" s="1">
        <f>[1]节奏总纲!W71</f>
        <v>7.4621653683057474</v>
      </c>
      <c r="L71" s="1">
        <f>[1]节奏总纲!X71</f>
        <v>6.3624019692087757</v>
      </c>
      <c r="M71" s="1">
        <f>[1]节奏总纲!Y71</f>
        <v>4.9581917984339441</v>
      </c>
      <c r="N71" s="1">
        <f>[1]节奏总纲!Z71</f>
        <v>3.7869082989219152</v>
      </c>
      <c r="O71" s="1">
        <f>[1]节奏总纲!AA71</f>
        <v>2.0601632326959702</v>
      </c>
      <c r="Q71" s="1">
        <v>68</v>
      </c>
      <c r="R71" s="1">
        <f>[1]节奏总纲!AD71</f>
        <v>61.082568038258209</v>
      </c>
      <c r="S71" s="1">
        <f>[1]节奏总纲!AE71</f>
        <v>63.107492392331935</v>
      </c>
      <c r="T71" s="1">
        <f>[1]节奏总纲!AF71</f>
        <v>65.895355939451605</v>
      </c>
      <c r="U71" s="1">
        <f>[1]节奏总纲!AG71</f>
        <v>70.442539881709536</v>
      </c>
      <c r="V71" s="1">
        <f>[1]节奏总纲!AH71</f>
        <v>78.972688783434734</v>
      </c>
      <c r="AN71" s="1">
        <v>68</v>
      </c>
      <c r="AO71" s="1">
        <f>[1]节奏总纲!BA71</f>
        <v>35.439158851386523</v>
      </c>
      <c r="AP71" s="1">
        <f>[1]节奏总纲!BB71</f>
        <v>36.947184852926306</v>
      </c>
      <c r="AQ71" s="1">
        <f>[1]节奏总纲!BC71</f>
        <v>38.872587109658596</v>
      </c>
      <c r="AR71" s="1">
        <f>[1]节奏总纲!BD71</f>
        <v>41.590303905372799</v>
      </c>
      <c r="AS71" s="1">
        <f>[1]节奏总纲!BE71</f>
        <v>46.272410430048332</v>
      </c>
    </row>
    <row r="72" spans="2:45" x14ac:dyDescent="0.15">
      <c r="B72" s="1">
        <f>[1]节奏总纲!N72</f>
        <v>79</v>
      </c>
      <c r="C72" s="1">
        <v>69</v>
      </c>
      <c r="D72" s="1">
        <f>[1]节奏总纲!P72</f>
        <v>118.42822291671132</v>
      </c>
      <c r="E72" s="1">
        <f>[1]节奏总纲!Q72</f>
        <v>102.51146975670532</v>
      </c>
      <c r="F72" s="1">
        <f>[1]节奏总纲!R72</f>
        <v>83.894553114198303</v>
      </c>
      <c r="G72" s="1">
        <f>[1]节奏总纲!S72</f>
        <v>61.535304627523196</v>
      </c>
      <c r="H72" s="1">
        <f>[1]节奏总纲!T72</f>
        <v>34.059956910846175</v>
      </c>
      <c r="J72" s="1">
        <v>69</v>
      </c>
      <c r="K72" s="1">
        <f>[1]节奏总纲!W72</f>
        <v>7.9977508148074605</v>
      </c>
      <c r="L72" s="1">
        <f>[1]节奏总纲!X72</f>
        <v>6.6799060666731549</v>
      </c>
      <c r="M72" s="1">
        <f>[1]节奏总纲!Y72</f>
        <v>5.6435205827892219</v>
      </c>
      <c r="N72" s="1">
        <f>[1]节奏总纲!Z72</f>
        <v>4.1225021817433785</v>
      </c>
      <c r="O72" s="1">
        <f>[1]节奏总纲!AA72</f>
        <v>2.2007657094469124</v>
      </c>
      <c r="Q72" s="1">
        <v>69</v>
      </c>
      <c r="R72" s="1">
        <f>[1]节奏总纲!AD72</f>
        <v>61.285688244217212</v>
      </c>
      <c r="S72" s="1">
        <f>[1]节奏总纲!AE72</f>
        <v>63.310338531528565</v>
      </c>
      <c r="T72" s="1">
        <f>[1]节奏总纲!AF72</f>
        <v>66.106079073217742</v>
      </c>
      <c r="U72" s="1">
        <f>[1]节奏总纲!AG72</f>
        <v>70.655884085397304</v>
      </c>
      <c r="V72" s="1">
        <f>[1]节奏总纲!AH72</f>
        <v>79.188599387584361</v>
      </c>
      <c r="AN72" s="1">
        <v>69</v>
      </c>
      <c r="AO72" s="1">
        <f>[1]节奏总纲!BA72</f>
        <v>35.536749707250202</v>
      </c>
      <c r="AP72" s="1">
        <f>[1]节奏总纲!BB72</f>
        <v>37.045197000674086</v>
      </c>
      <c r="AQ72" s="1">
        <f>[1]节奏总纲!BC72</f>
        <v>38.976971320055128</v>
      </c>
      <c r="AR72" s="1">
        <f>[1]节奏总纲!BD72</f>
        <v>41.690869443102159</v>
      </c>
      <c r="AS72" s="1">
        <f>[1]节奏总纲!BE72</f>
        <v>46.368730644141969</v>
      </c>
    </row>
    <row r="73" spans="2:45" x14ac:dyDescent="0.15">
      <c r="B73" s="1">
        <f>[1]节奏总纲!N73</f>
        <v>80</v>
      </c>
      <c r="C73" s="1">
        <v>70</v>
      </c>
      <c r="D73" s="1">
        <f>[1]节奏总纲!P73</f>
        <v>127</v>
      </c>
      <c r="E73" s="1">
        <f>[1]节奏总纲!Q73</f>
        <v>109.9693</v>
      </c>
      <c r="F73" s="1">
        <f>[1]节奏总纲!R73</f>
        <v>90.106499999999997</v>
      </c>
      <c r="G73" s="1">
        <f>[1]节奏总纲!S73</f>
        <v>65.925700000000006</v>
      </c>
      <c r="H73" s="1">
        <f>[1]节奏总纲!T73</f>
        <v>36.4998</v>
      </c>
      <c r="J73" s="1">
        <v>70</v>
      </c>
      <c r="K73" s="1">
        <f>[1]节奏总纲!W73</f>
        <v>8.5717770832886799</v>
      </c>
      <c r="L73" s="1">
        <f>[1]节奏总纲!X73</f>
        <v>7.4578302432946799</v>
      </c>
      <c r="M73" s="1">
        <f>[1]节奏总纲!Y73</f>
        <v>6.2119468858016944</v>
      </c>
      <c r="N73" s="1">
        <f>[1]节奏总纲!Z73</f>
        <v>4.3903953724768101</v>
      </c>
      <c r="O73" s="1">
        <f>[1]节奏总纲!AA73</f>
        <v>2.4398430891538254</v>
      </c>
      <c r="Q73" s="1">
        <v>70</v>
      </c>
      <c r="R73" s="1">
        <f>[1]节奏总纲!AD73</f>
        <v>61.488808450176215</v>
      </c>
      <c r="S73" s="1">
        <f>[1]节奏总纲!AE73</f>
        <v>63.513184670725188</v>
      </c>
      <c r="T73" s="1">
        <f>[1]节奏总纲!AF73</f>
        <v>66.314314361313961</v>
      </c>
      <c r="U73" s="1">
        <f>[1]节奏总纲!AG73</f>
        <v>70.869228289085072</v>
      </c>
      <c r="V73" s="1">
        <f>[1]节奏总纲!AH73</f>
        <v>79.403426131671111</v>
      </c>
      <c r="AN73" s="1">
        <v>70</v>
      </c>
      <c r="AO73" s="1">
        <f>[1]节奏总纲!BA73</f>
        <v>35.634340563113874</v>
      </c>
      <c r="AP73" s="1">
        <f>[1]节奏总纲!BB73</f>
        <v>37.135950591746003</v>
      </c>
      <c r="AQ73" s="1">
        <f>[1]节奏总纲!BC73</f>
        <v>39.070187171981765</v>
      </c>
      <c r="AR73" s="1">
        <f>[1]节奏总纲!BD73</f>
        <v>41.791434980831518</v>
      </c>
      <c r="AS73" s="1">
        <f>[1]节奏总纲!BE73</f>
        <v>46.465050858235607</v>
      </c>
    </row>
    <row r="74" spans="2:45" x14ac:dyDescent="0.15">
      <c r="B74" s="1">
        <f>[1]节奏总纲!N74</f>
        <v>81</v>
      </c>
      <c r="C74" s="1">
        <v>71</v>
      </c>
      <c r="D74" s="1">
        <f>[1]节奏总纲!P74</f>
        <v>136.18700320464549</v>
      </c>
      <c r="E74" s="1">
        <f>[1]节奏总纲!Q74</f>
        <v>118.03327567746625</v>
      </c>
      <c r="F74" s="1">
        <f>[1]节奏总纲!R74</f>
        <v>96.583822672734584</v>
      </c>
      <c r="G74" s="1">
        <f>[1]节奏总纲!S74</f>
        <v>70.612961161608681</v>
      </c>
      <c r="H74" s="1">
        <f>[1]节奏总纲!T74</f>
        <v>39.126526020694648</v>
      </c>
      <c r="J74" s="1">
        <v>71</v>
      </c>
      <c r="K74" s="1">
        <f>[1]节奏总纲!W74</f>
        <v>9.1870032046454924</v>
      </c>
      <c r="L74" s="1">
        <f>[1]节奏总纲!X74</f>
        <v>8.0639756774662459</v>
      </c>
      <c r="M74" s="1">
        <f>[1]节奏总纲!Y74</f>
        <v>6.4773226727345872</v>
      </c>
      <c r="N74" s="1">
        <f>[1]节奏总纲!Z74</f>
        <v>4.6872611616086743</v>
      </c>
      <c r="O74" s="1">
        <f>[1]节奏总纲!AA74</f>
        <v>2.6267260206946474</v>
      </c>
      <c r="Q74" s="1">
        <v>71</v>
      </c>
      <c r="R74" s="1">
        <f>[1]节奏总纲!AD74</f>
        <v>61.691928656135218</v>
      </c>
      <c r="S74" s="1">
        <f>[1]节奏总纲!AE74</f>
        <v>63.716030809921811</v>
      </c>
      <c r="T74" s="1">
        <f>[1]节奏总纲!AF74</f>
        <v>66.52254964941018</v>
      </c>
      <c r="U74" s="1">
        <f>[1]节奏总纲!AG74</f>
        <v>71.07781362467729</v>
      </c>
      <c r="V74" s="1">
        <f>[1]节奏总纲!AH74</f>
        <v>79.618252875757847</v>
      </c>
      <c r="AN74" s="1">
        <v>71</v>
      </c>
      <c r="AO74" s="1">
        <f>[1]节奏总纲!BA74</f>
        <v>35.731931418977545</v>
      </c>
      <c r="AP74" s="1">
        <f>[1]节奏总纲!BB74</f>
        <v>37.226704182817912</v>
      </c>
      <c r="AQ74" s="1">
        <f>[1]节奏总纲!BC74</f>
        <v>39.160241683169971</v>
      </c>
      <c r="AR74" s="1">
        <f>[1]节奏总纲!BD74</f>
        <v>41.892000518560877</v>
      </c>
      <c r="AS74" s="1">
        <f>[1]节奏总纲!BE74</f>
        <v>46.561371072329244</v>
      </c>
    </row>
    <row r="75" spans="2:45" x14ac:dyDescent="0.15">
      <c r="B75" s="1">
        <f>[1]节奏总纲!N75</f>
        <v>82</v>
      </c>
      <c r="C75" s="1">
        <v>72</v>
      </c>
      <c r="D75" s="1">
        <f>[1]节奏总纲!P75</f>
        <v>146.03338943962044</v>
      </c>
      <c r="E75" s="1">
        <f>[1]节奏总纲!Q75</f>
        <v>126.581741966263</v>
      </c>
      <c r="F75" s="1">
        <f>[1]节奏总纲!R75</f>
        <v>103.31862302853146</v>
      </c>
      <c r="G75" s="1">
        <f>[1]节奏总纲!S75</f>
        <v>75.586882373947532</v>
      </c>
      <c r="H75" s="1">
        <f>[1]节奏总纲!T75</f>
        <v>41.896979430227098</v>
      </c>
      <c r="J75" s="1">
        <v>72</v>
      </c>
      <c r="K75" s="1">
        <f>[1]节奏总纲!W75</f>
        <v>9.8463862349749434</v>
      </c>
      <c r="L75" s="1">
        <f>[1]节奏总纲!X75</f>
        <v>8.548466288796746</v>
      </c>
      <c r="M75" s="1">
        <f>[1]节奏总纲!Y75</f>
        <v>6.7348003557968781</v>
      </c>
      <c r="N75" s="1">
        <f>[1]节奏总纲!Z75</f>
        <v>4.9739212123388512</v>
      </c>
      <c r="O75" s="1">
        <f>[1]节奏总纲!AA75</f>
        <v>2.7704534095324505</v>
      </c>
      <c r="Q75" s="1">
        <v>72</v>
      </c>
      <c r="R75" s="1">
        <f>[1]节奏总纲!AD75</f>
        <v>61.895048862094221</v>
      </c>
      <c r="S75" s="1">
        <f>[1]节奏总纲!AE75</f>
        <v>63.918876949118435</v>
      </c>
      <c r="T75" s="1">
        <f>[1]节奏总纲!AF75</f>
        <v>66.7307849375064</v>
      </c>
      <c r="U75" s="1">
        <f>[1]节奏总纲!AG75</f>
        <v>71.278862245535876</v>
      </c>
      <c r="V75" s="1">
        <f>[1]节奏总纲!AH75</f>
        <v>79.833079619844597</v>
      </c>
      <c r="AN75" s="1">
        <v>72</v>
      </c>
      <c r="AO75" s="1">
        <f>[1]节奏总纲!BA75</f>
        <v>35.829522274841217</v>
      </c>
      <c r="AP75" s="1">
        <f>[1]节奏总纲!BB75</f>
        <v>37.317457773889828</v>
      </c>
      <c r="AQ75" s="1">
        <f>[1]节奏总纲!BC75</f>
        <v>39.250296194358178</v>
      </c>
      <c r="AR75" s="1">
        <f>[1]节奏总纲!BD75</f>
        <v>41.992566056290244</v>
      </c>
      <c r="AS75" s="1">
        <f>[1]节奏总纲!BE75</f>
        <v>46.657691286422882</v>
      </c>
    </row>
    <row r="76" spans="2:45" x14ac:dyDescent="0.15">
      <c r="B76" s="1">
        <f>[1]节奏总纲!N76</f>
        <v>83</v>
      </c>
      <c r="C76" s="1">
        <v>73</v>
      </c>
      <c r="D76" s="1">
        <f>[1]节奏总纲!P76</f>
        <v>156.58648490814926</v>
      </c>
      <c r="E76" s="1">
        <f>[1]节奏总纲!Q76</f>
        <v>135.41599214856748</v>
      </c>
      <c r="F76" s="1">
        <f>[1]节奏总纲!R76</f>
        <v>110.58137564213501</v>
      </c>
      <c r="G76" s="1">
        <f>[1]节奏总纲!S76</f>
        <v>80.955212697513176</v>
      </c>
      <c r="H76" s="1">
        <f>[1]节奏总纲!T76</f>
        <v>44.877686574675579</v>
      </c>
      <c r="J76" s="1">
        <v>73</v>
      </c>
      <c r="K76" s="1">
        <f>[1]节奏总纲!W76</f>
        <v>10.553095468528824</v>
      </c>
      <c r="L76" s="1">
        <f>[1]节奏总纲!X76</f>
        <v>8.834250182304487</v>
      </c>
      <c r="M76" s="1">
        <f>[1]节奏总纲!Y76</f>
        <v>7.2627526136035527</v>
      </c>
      <c r="N76" s="1">
        <f>[1]节奏总纲!Z76</f>
        <v>5.3683303235656439</v>
      </c>
      <c r="O76" s="1">
        <f>[1]节奏总纲!AA76</f>
        <v>2.9807071444484805</v>
      </c>
      <c r="Q76" s="1">
        <v>73</v>
      </c>
      <c r="R76" s="1">
        <f>[1]节奏总纲!AD76</f>
        <v>62.091594979242075</v>
      </c>
      <c r="S76" s="1">
        <f>[1]节奏总纲!AE76</f>
        <v>64.114306430026588</v>
      </c>
      <c r="T76" s="1">
        <f>[1]节奏总纲!AF76</f>
        <v>66.939020225602619</v>
      </c>
      <c r="U76" s="1">
        <f>[1]节奏总纲!AG76</f>
        <v>71.479910866394462</v>
      </c>
      <c r="V76" s="1">
        <f>[1]节奏总纲!AH76</f>
        <v>80.043898354812981</v>
      </c>
      <c r="AN76" s="1">
        <v>73</v>
      </c>
      <c r="AO76" s="1">
        <f>[1]节奏总纲!BA76</f>
        <v>35.927113130704889</v>
      </c>
      <c r="AP76" s="1">
        <f>[1]节奏总纲!BB76</f>
        <v>37.408211364961737</v>
      </c>
      <c r="AQ76" s="1">
        <f>[1]节奏总纲!BC76</f>
        <v>39.340350705546385</v>
      </c>
      <c r="AR76" s="1">
        <f>[1]节奏总纲!BD76</f>
        <v>42.080366850119908</v>
      </c>
      <c r="AS76" s="1">
        <f>[1]节奏总纲!BE76</f>
        <v>46.754011500516519</v>
      </c>
    </row>
    <row r="77" spans="2:45" x14ac:dyDescent="0.15">
      <c r="B77" s="1">
        <f>[1]节奏总纲!N77</f>
        <v>84</v>
      </c>
      <c r="C77" s="1">
        <v>74</v>
      </c>
      <c r="D77" s="1">
        <f>[1]节奏总纲!P77</f>
        <v>167.89701257893043</v>
      </c>
      <c r="E77" s="1">
        <f>[1]节奏总纲!Q77</f>
        <v>145.16375707574326</v>
      </c>
      <c r="F77" s="1">
        <f>[1]节奏总纲!R77</f>
        <v>118.70318789330381</v>
      </c>
      <c r="G77" s="1">
        <f>[1]节奏总纲!S77</f>
        <v>86.869914308338593</v>
      </c>
      <c r="H77" s="1">
        <f>[1]节奏总纲!T77</f>
        <v>48.169652908895138</v>
      </c>
      <c r="J77" s="1">
        <v>74</v>
      </c>
      <c r="K77" s="1">
        <f>[1]节奏总纲!W77</f>
        <v>11.31052767078117</v>
      </c>
      <c r="L77" s="1">
        <f>[1]节奏总纲!X77</f>
        <v>9.7477649271757798</v>
      </c>
      <c r="M77" s="1">
        <f>[1]节奏总纲!Y77</f>
        <v>8.1218122511687909</v>
      </c>
      <c r="N77" s="1">
        <f>[1]节奏总纲!Z77</f>
        <v>5.9147016108254178</v>
      </c>
      <c r="O77" s="1">
        <f>[1]节奏总纲!AA77</f>
        <v>3.2919663342195591</v>
      </c>
      <c r="Q77" s="1">
        <v>74</v>
      </c>
      <c r="R77" s="1">
        <f>[1]节奏总纲!AD77</f>
        <v>62.281112832649576</v>
      </c>
      <c r="S77" s="1">
        <f>[1]节奏总纲!AE77</f>
        <v>64.304793036447776</v>
      </c>
      <c r="T77" s="1">
        <f>[1]节奏总纲!AF77</f>
        <v>67.14262442756818</v>
      </c>
      <c r="U77" s="1">
        <f>[1]节奏总纲!AG77</f>
        <v>71.680959487253048</v>
      </c>
      <c r="V77" s="1">
        <f>[1]节奏总纲!AH77</f>
        <v>80.24075196383977</v>
      </c>
      <c r="AN77" s="1">
        <v>74</v>
      </c>
      <c r="AO77" s="1">
        <f>[1]节奏总纲!BA77</f>
        <v>36.021306837933537</v>
      </c>
      <c r="AP77" s="1">
        <f>[1]节奏总纲!BB77</f>
        <v>37.498964956033646</v>
      </c>
      <c r="AQ77" s="1">
        <f>[1]节奏总纲!BC77</f>
        <v>39.430405216734592</v>
      </c>
      <c r="AR77" s="1">
        <f>[1]节奏总纲!BD77</f>
        <v>42.167148737437564</v>
      </c>
      <c r="AS77" s="1">
        <f>[1]节奏总纲!BE77</f>
        <v>46.850331714610157</v>
      </c>
    </row>
    <row r="78" spans="2:45" x14ac:dyDescent="0.15">
      <c r="B78" s="1">
        <f>[1]节奏总纲!N78</f>
        <v>85</v>
      </c>
      <c r="C78" s="1">
        <v>75</v>
      </c>
      <c r="D78" s="1">
        <f>[1]节奏总纲!P78</f>
        <v>180.01933598375612</v>
      </c>
      <c r="E78" s="1">
        <f>[1]节奏总纲!Q78</f>
        <v>155.75272949314578</v>
      </c>
      <c r="F78" s="1">
        <f>[1]节奏总纲!R78</f>
        <v>127.38168214210583</v>
      </c>
      <c r="G78" s="1">
        <f>[1]节奏总纲!S78</f>
        <v>93.214012172388934</v>
      </c>
      <c r="H78" s="1">
        <f>[1]节奏总纲!T78</f>
        <v>51.755559095329879</v>
      </c>
      <c r="J78" s="1">
        <v>75</v>
      </c>
      <c r="K78" s="1">
        <f>[1]节奏总纲!W78</f>
        <v>12.122323404825693</v>
      </c>
      <c r="L78" s="1">
        <f>[1]节奏总纲!X78</f>
        <v>10.588972417402516</v>
      </c>
      <c r="M78" s="1">
        <f>[1]节奏总纲!Y78</f>
        <v>8.6784942488020249</v>
      </c>
      <c r="N78" s="1">
        <f>[1]节奏总纲!Z78</f>
        <v>6.3440978640503403</v>
      </c>
      <c r="O78" s="1">
        <f>[1]节奏总纲!AA78</f>
        <v>3.585906186434741</v>
      </c>
      <c r="Q78" s="1">
        <v>75</v>
      </c>
      <c r="R78" s="1">
        <f>[1]节奏总纲!AD78</f>
        <v>62.470630686057078</v>
      </c>
      <c r="S78" s="1">
        <f>[1]节奏总纲!AE78</f>
        <v>64.495279642868965</v>
      </c>
      <c r="T78" s="1">
        <f>[1]节奏总纲!AF78</f>
        <v>67.344310856946692</v>
      </c>
      <c r="U78" s="1">
        <f>[1]节奏总纲!AG78</f>
        <v>71.882008108111634</v>
      </c>
      <c r="V78" s="1">
        <f>[1]节奏总纲!AH78</f>
        <v>80.437605572866573</v>
      </c>
      <c r="AN78" s="1">
        <v>75</v>
      </c>
      <c r="AO78" s="1">
        <f>[1]节奏总纲!BA78</f>
        <v>36.105477566569242</v>
      </c>
      <c r="AP78" s="1">
        <f>[1]节奏总纲!BB78</f>
        <v>37.589718547105562</v>
      </c>
      <c r="AQ78" s="1">
        <f>[1]节奏总纲!BC78</f>
        <v>39.520459727922798</v>
      </c>
      <c r="AR78" s="1">
        <f>[1]节奏总纲!BD78</f>
        <v>42.253930624755228</v>
      </c>
      <c r="AS78" s="1">
        <f>[1]节奏总纲!BE78</f>
        <v>46.946651928703787</v>
      </c>
    </row>
    <row r="79" spans="2:45" x14ac:dyDescent="0.15">
      <c r="B79" s="1">
        <f>[1]节奏总纲!N79</f>
        <v>86</v>
      </c>
      <c r="C79" s="1">
        <v>76</v>
      </c>
      <c r="D79" s="1">
        <f>[1]节奏总纲!P79</f>
        <v>193.01172051333091</v>
      </c>
      <c r="E79" s="1">
        <f>[1]节奏总纲!Q79</f>
        <v>166.97443941608256</v>
      </c>
      <c r="F79" s="1">
        <f>[1]节奏总纲!R79</f>
        <v>136.51718991907896</v>
      </c>
      <c r="G79" s="1">
        <f>[1]节奏总纲!S79</f>
        <v>100.0379747420594</v>
      </c>
      <c r="H79" s="1">
        <f>[1]节奏总纲!T79</f>
        <v>55.664580196044632</v>
      </c>
      <c r="J79" s="1">
        <v>76</v>
      </c>
      <c r="K79" s="1">
        <f>[1]节奏总纲!W79</f>
        <v>12.992384529574792</v>
      </c>
      <c r="L79" s="1">
        <f>[1]节奏总纲!X79</f>
        <v>11.221709922936782</v>
      </c>
      <c r="M79" s="1">
        <f>[1]节奏总纲!Y79</f>
        <v>9.1355077769731281</v>
      </c>
      <c r="N79" s="1">
        <f>[1]节奏总纲!Z79</f>
        <v>6.8239625696704707</v>
      </c>
      <c r="O79" s="1">
        <f>[1]节奏总纲!AA79</f>
        <v>3.9090211007147531</v>
      </c>
      <c r="Q79" s="1">
        <v>76</v>
      </c>
      <c r="R79" s="1">
        <f>[1]节奏总纲!AD79</f>
        <v>62.660148539464579</v>
      </c>
      <c r="S79" s="1">
        <f>[1]节奏总纲!AE79</f>
        <v>64.685766249290154</v>
      </c>
      <c r="T79" s="1">
        <f>[1]节奏总纲!AF79</f>
        <v>67.545997286325218</v>
      </c>
      <c r="U79" s="1">
        <f>[1]节奏总纲!AG79</f>
        <v>72.076954583856178</v>
      </c>
      <c r="V79" s="1">
        <f>[1]节奏总纲!AH79</f>
        <v>80.634459181893376</v>
      </c>
      <c r="AN79" s="1">
        <v>76</v>
      </c>
      <c r="AO79" s="1">
        <f>[1]节奏总纲!BA79</f>
        <v>36.189648295204947</v>
      </c>
      <c r="AP79" s="1">
        <f>[1]节奏总纲!BB79</f>
        <v>37.680472138177471</v>
      </c>
      <c r="AQ79" s="1">
        <f>[1]节奏总纲!BC79</f>
        <v>39.610514239111005</v>
      </c>
      <c r="AR79" s="1">
        <f>[1]节奏总纲!BD79</f>
        <v>42.340712512072891</v>
      </c>
      <c r="AS79" s="1">
        <f>[1]节奏总纲!BE79</f>
        <v>47.037096473408994</v>
      </c>
    </row>
    <row r="80" spans="2:45" x14ac:dyDescent="0.15">
      <c r="B80" s="1">
        <f>[1]节奏总纲!N80</f>
        <v>87</v>
      </c>
      <c r="C80" s="1">
        <v>77</v>
      </c>
      <c r="D80" s="1">
        <f>[1]节奏总纲!P80</f>
        <v>206.93661346719625</v>
      </c>
      <c r="E80" s="1">
        <f>[1]节奏总纲!Q80</f>
        <v>179.12433261720508</v>
      </c>
      <c r="F80" s="1">
        <f>[1]节奏总纲!R80</f>
        <v>146.53181599612165</v>
      </c>
      <c r="G80" s="1">
        <f>[1]节奏总纲!S80</f>
        <v>107.42079605082158</v>
      </c>
      <c r="H80" s="1">
        <f>[1]节奏总纲!T80</f>
        <v>59.535663694512365</v>
      </c>
      <c r="J80" s="1">
        <v>77</v>
      </c>
      <c r="K80" s="1">
        <f>[1]节奏总纲!W80</f>
        <v>13.924892953865339</v>
      </c>
      <c r="L80" s="1">
        <f>[1]节奏总纲!X80</f>
        <v>12.149893201122524</v>
      </c>
      <c r="M80" s="1">
        <f>[1]节奏总纲!Y80</f>
        <v>10.014626077042692</v>
      </c>
      <c r="N80" s="1">
        <f>[1]节奏总纲!Z80</f>
        <v>7.3828213087621748</v>
      </c>
      <c r="O80" s="1">
        <f>[1]节奏总纲!AA80</f>
        <v>3.8710834984677334</v>
      </c>
      <c r="Q80" s="1">
        <v>77</v>
      </c>
      <c r="R80" s="1">
        <f>[1]节奏总纲!AD80</f>
        <v>62.849666392872081</v>
      </c>
      <c r="S80" s="1">
        <f>[1]节奏总纲!AE80</f>
        <v>64.876252855711357</v>
      </c>
      <c r="T80" s="1">
        <f>[1]节奏总纲!AF80</f>
        <v>67.747683715703729</v>
      </c>
      <c r="U80" s="1">
        <f>[1]节奏总纲!AG80</f>
        <v>72.263232241847945</v>
      </c>
      <c r="V80" s="1">
        <f>[1]节奏总纲!AH80</f>
        <v>80.83131279092018</v>
      </c>
      <c r="AN80" s="1">
        <v>77</v>
      </c>
      <c r="AO80" s="1">
        <f>[1]节奏总纲!BA80</f>
        <v>36.273819023840659</v>
      </c>
      <c r="AP80" s="1">
        <f>[1]节奏总纲!BB80</f>
        <v>37.771225729249387</v>
      </c>
      <c r="AQ80" s="1">
        <f>[1]节奏总纲!BC80</f>
        <v>39.700568750299212</v>
      </c>
      <c r="AR80" s="1">
        <f>[1]节奏总纲!BD80</f>
        <v>42.427494399390554</v>
      </c>
      <c r="AS80" s="1">
        <f>[1]节奏总纲!BE80</f>
        <v>47.12024662670057</v>
      </c>
    </row>
    <row r="81" spans="2:45" x14ac:dyDescent="0.15">
      <c r="B81" s="1">
        <f>[1]节奏总纲!N81</f>
        <v>88</v>
      </c>
      <c r="C81" s="1">
        <v>78</v>
      </c>
      <c r="D81" s="1">
        <f>[1]节奏总纲!P81</f>
        <v>221.86094420380775</v>
      </c>
      <c r="E81" s="1">
        <f>[1]节奏总纲!Q81</f>
        <v>192.04283330281601</v>
      </c>
      <c r="F81" s="1">
        <f>[1]节奏总纲!R81</f>
        <v>157.23285115723854</v>
      </c>
      <c r="G81" s="1">
        <f>[1]节奏总纲!S81</f>
        <v>115.1680161361966</v>
      </c>
      <c r="H81" s="1">
        <f>[1]节奏总纲!T81</f>
        <v>63.651904892072437</v>
      </c>
      <c r="J81" s="1">
        <v>78</v>
      </c>
      <c r="K81" s="1">
        <f>[1]节奏总纲!W81</f>
        <v>14.924330736611495</v>
      </c>
      <c r="L81" s="1">
        <f>[1]节奏总纲!X81</f>
        <v>12.918500685610923</v>
      </c>
      <c r="M81" s="1">
        <f>[1]节奏总纲!Y81</f>
        <v>10.701035161116891</v>
      </c>
      <c r="N81" s="1">
        <f>[1]节奏总纲!Z81</f>
        <v>7.7472200853750195</v>
      </c>
      <c r="O81" s="1">
        <f>[1]节奏总纲!AA81</f>
        <v>4.1162411975600719</v>
      </c>
      <c r="Q81" s="1">
        <v>78</v>
      </c>
      <c r="R81" s="1">
        <f>[1]节奏总纲!AD81</f>
        <v>63.036560194527354</v>
      </c>
      <c r="S81" s="1">
        <f>[1]节奏总纲!AE81</f>
        <v>65.061438622789353</v>
      </c>
      <c r="T81" s="1">
        <f>[1]节奏总纲!AF81</f>
        <v>67.949370145082256</v>
      </c>
      <c r="U81" s="1">
        <f>[1]节奏总纲!AG81</f>
        <v>72.449509899839711</v>
      </c>
      <c r="V81" s="1">
        <f>[1]节奏总纲!AH81</f>
        <v>81.026624803116562</v>
      </c>
      <c r="AN81" s="1">
        <v>78</v>
      </c>
      <c r="AO81" s="1">
        <f>[1]节奏总纲!BA81</f>
        <v>36.357989752476364</v>
      </c>
      <c r="AP81" s="1">
        <f>[1]节奏总纲!BB81</f>
        <v>37.861979320321296</v>
      </c>
      <c r="AQ81" s="1">
        <f>[1]节奏总纲!BC81</f>
        <v>39.790623261487418</v>
      </c>
      <c r="AR81" s="1">
        <f>[1]节奏总纲!BD81</f>
        <v>42.51427628670821</v>
      </c>
      <c r="AS81" s="1">
        <f>[1]节奏总纲!BE81</f>
        <v>47.203396779992147</v>
      </c>
    </row>
    <row r="82" spans="2:45" x14ac:dyDescent="0.15">
      <c r="B82" s="1">
        <f>[1]节奏总纲!N82</f>
        <v>89</v>
      </c>
      <c r="C82" s="1">
        <v>79</v>
      </c>
      <c r="D82" s="1">
        <f>[1]节奏总纲!P82</f>
        <v>237.85644583342264</v>
      </c>
      <c r="E82" s="1">
        <f>[1]节奏总纲!Q82</f>
        <v>206.07882467007735</v>
      </c>
      <c r="F82" s="1">
        <f>[1]节奏总纲!R82</f>
        <v>168.73536267423003</v>
      </c>
      <c r="G82" s="1">
        <f>[1]节奏总纲!S82</f>
        <v>123.11449636337954</v>
      </c>
      <c r="H82" s="1">
        <f>[1]节奏总纲!T82</f>
        <v>68.122086086692235</v>
      </c>
      <c r="J82" s="1">
        <v>79</v>
      </c>
      <c r="K82" s="1">
        <f>[1]节奏总纲!W82</f>
        <v>15.995501629614893</v>
      </c>
      <c r="L82" s="1">
        <f>[1]节奏总纲!X82</f>
        <v>14.035991367261346</v>
      </c>
      <c r="M82" s="1">
        <f>[1]节奏总纲!Y82</f>
        <v>11.50251151699149</v>
      </c>
      <c r="N82" s="1">
        <f>[1]节奏总纲!Z82</f>
        <v>7.9464802271829456</v>
      </c>
      <c r="O82" s="1">
        <f>[1]节奏总纲!AA82</f>
        <v>4.4701811946197978</v>
      </c>
      <c r="Q82" s="1">
        <v>79</v>
      </c>
      <c r="R82" s="1">
        <f>[1]节奏总纲!AD82</f>
        <v>63.213386604241791</v>
      </c>
      <c r="S82" s="1">
        <f>[1]节奏总纲!AE82</f>
        <v>65.23679566619937</v>
      </c>
      <c r="T82" s="1">
        <f>[1]节奏总纲!AF82</f>
        <v>68.132712808893615</v>
      </c>
      <c r="U82" s="1">
        <f>[1]节奏总纲!AG82</f>
        <v>72.635787557831478</v>
      </c>
      <c r="V82" s="1">
        <f>[1]节奏总纲!AH82</f>
        <v>81.212704266341873</v>
      </c>
      <c r="AN82" s="1">
        <v>79</v>
      </c>
      <c r="AO82" s="1">
        <f>[1]节奏总纲!BA82</f>
        <v>36.442160481112069</v>
      </c>
      <c r="AP82" s="1">
        <f>[1]节奏总纲!BB82</f>
        <v>37.952732911393213</v>
      </c>
      <c r="AQ82" s="1">
        <f>[1]节奏总纲!BC82</f>
        <v>39.880677772675625</v>
      </c>
      <c r="AR82" s="1">
        <f>[1]节奏总纲!BD82</f>
        <v>42.601058174025873</v>
      </c>
      <c r="AS82" s="1">
        <f>[1]节奏总纲!BE82</f>
        <v>47.286546933283724</v>
      </c>
    </row>
    <row r="83" spans="2:45" x14ac:dyDescent="0.15">
      <c r="B83" s="1">
        <f>[1]节奏总纲!N83</f>
        <v>90</v>
      </c>
      <c r="C83" s="1">
        <v>80</v>
      </c>
      <c r="D83" s="1">
        <f>[1]节奏总纲!P83</f>
        <v>255</v>
      </c>
      <c r="E83" s="1">
        <f>[1]节奏总纲!Q83</f>
        <v>221.08500000000001</v>
      </c>
      <c r="F83" s="1">
        <f>[1]节奏总纲!R83</f>
        <v>180.33600000000001</v>
      </c>
      <c r="G83" s="1">
        <f>[1]节奏总纲!S83</f>
        <v>131.58000000000001</v>
      </c>
      <c r="H83" s="1">
        <f>[1]节奏总纲!T83</f>
        <v>72.777000000000001</v>
      </c>
      <c r="J83" s="1">
        <v>80</v>
      </c>
      <c r="K83" s="1">
        <f>[1]节奏总纲!W83</f>
        <v>17.14355416657736</v>
      </c>
      <c r="L83" s="1">
        <f>[1]节奏总纲!X83</f>
        <v>15.006175329922655</v>
      </c>
      <c r="M83" s="1">
        <f>[1]节奏总纲!Y83</f>
        <v>11.600637325769981</v>
      </c>
      <c r="N83" s="1">
        <f>[1]节奏总纲!Z83</f>
        <v>8.4655036366204683</v>
      </c>
      <c r="O83" s="1">
        <f>[1]节奏总纲!AA83</f>
        <v>4.6549139133077659</v>
      </c>
      <c r="Q83" s="1">
        <v>80</v>
      </c>
      <c r="R83" s="1">
        <f>[1]节奏总纲!AD83</f>
        <v>63.39021301395622</v>
      </c>
      <c r="S83" s="1">
        <f>[1]节奏总纲!AE83</f>
        <v>65.412152709609373</v>
      </c>
      <c r="T83" s="1">
        <f>[1]节奏总纲!AF83</f>
        <v>68.309907165737044</v>
      </c>
      <c r="U83" s="1">
        <f>[1]节奏总纲!AG83</f>
        <v>72.822065215823244</v>
      </c>
      <c r="V83" s="1">
        <f>[1]节奏总纲!AH83</f>
        <v>81.398783729567185</v>
      </c>
      <c r="AN83" s="1">
        <v>80</v>
      </c>
      <c r="AO83" s="1">
        <f>[1]节奏总纲!BA83</f>
        <v>36.526331209747774</v>
      </c>
      <c r="AP83" s="1">
        <f>[1]节奏总纲!BB83</f>
        <v>38.037513426486328</v>
      </c>
      <c r="AQ83" s="1">
        <f>[1]节奏总纲!BC83</f>
        <v>39.970732283863832</v>
      </c>
      <c r="AR83" s="1">
        <f>[1]节奏总纲!BD83</f>
        <v>42.687840061343536</v>
      </c>
      <c r="AS83" s="1">
        <f>[1]节奏总纲!BE83</f>
        <v>47.3696970865753</v>
      </c>
    </row>
    <row r="84" spans="2:45" x14ac:dyDescent="0.15">
      <c r="B84" s="1">
        <f>[1]节奏总纲!N84</f>
        <v>91</v>
      </c>
      <c r="C84" s="1">
        <v>81</v>
      </c>
      <c r="D84" s="1">
        <f>[1]节奏总纲!P84</f>
        <v>273.37400640929098</v>
      </c>
      <c r="E84" s="1">
        <f>[1]节奏总纲!Q84</f>
        <v>236.35916594147301</v>
      </c>
      <c r="F84" s="1">
        <f>[1]节奏总纲!R84</f>
        <v>192.67399971726829</v>
      </c>
      <c r="G84" s="1">
        <f>[1]节奏总纲!S84</f>
        <v>140.76027590014394</v>
      </c>
      <c r="H84" s="1">
        <f>[1]节奏总纲!T84</f>
        <v>77.856917025366073</v>
      </c>
      <c r="J84" s="1">
        <v>81</v>
      </c>
      <c r="K84" s="1">
        <f>[1]节奏总纲!W84</f>
        <v>18.374006409290985</v>
      </c>
      <c r="L84" s="1">
        <f>[1]节奏总纲!X84</f>
        <v>15.274165941473001</v>
      </c>
      <c r="M84" s="1">
        <f>[1]节奏总纲!Y84</f>
        <v>12.337999717268275</v>
      </c>
      <c r="N84" s="1">
        <f>[1]节奏总纲!Z84</f>
        <v>9.1802759001439256</v>
      </c>
      <c r="O84" s="1">
        <f>[1]节奏总纲!AA84</f>
        <v>5.0799170253660719</v>
      </c>
      <c r="Q84" s="1">
        <v>81</v>
      </c>
      <c r="R84" s="1">
        <f>[1]节奏总纲!AD84</f>
        <v>63.567039423670657</v>
      </c>
      <c r="S84" s="1">
        <f>[1]节奏总纲!AE84</f>
        <v>65.58750975301939</v>
      </c>
      <c r="T84" s="1">
        <f>[1]节奏总纲!AF84</f>
        <v>68.487101522580488</v>
      </c>
      <c r="U84" s="1">
        <f>[1]节奏总纲!AG84</f>
        <v>73.007572199822363</v>
      </c>
      <c r="V84" s="1">
        <f>[1]节奏总纲!AH84</f>
        <v>81.584863192792497</v>
      </c>
      <c r="AN84" s="1">
        <v>81</v>
      </c>
      <c r="AO84" s="1">
        <f>[1]节奏总纲!BA84</f>
        <v>36.610501938383479</v>
      </c>
      <c r="AP84" s="1">
        <f>[1]节奏总纲!BB84</f>
        <v>38.11580158428373</v>
      </c>
      <c r="AQ84" s="1">
        <f>[1]节奏总纲!BC84</f>
        <v>40.052446592012309</v>
      </c>
      <c r="AR84" s="1">
        <f>[1]节奏总纲!BD84</f>
        <v>42.774621948661192</v>
      </c>
      <c r="AS84" s="1">
        <f>[1]节奏总纲!BE84</f>
        <v>47.452847239866877</v>
      </c>
    </row>
    <row r="85" spans="2:45" x14ac:dyDescent="0.15">
      <c r="B85" s="1">
        <f>[1]节奏总纲!N85</f>
        <v>92</v>
      </c>
      <c r="C85" s="1">
        <v>82</v>
      </c>
      <c r="D85" s="1">
        <f>[1]节奏总纲!P85</f>
        <v>293.06677887924064</v>
      </c>
      <c r="E85" s="1">
        <f>[1]节奏总纲!Q85</f>
        <v>253.15108359588808</v>
      </c>
      <c r="F85" s="1">
        <f>[1]节奏总纲!R85</f>
        <v>206.37762568676126</v>
      </c>
      <c r="G85" s="1">
        <f>[1]节奏总纲!S85</f>
        <v>150.81216441125721</v>
      </c>
      <c r="H85" s="1">
        <f>[1]节奏总纲!T85</f>
        <v>83.230965201704336</v>
      </c>
      <c r="J85" s="1">
        <v>82</v>
      </c>
      <c r="K85" s="1">
        <f>[1]节奏总纲!W85</f>
        <v>19.692772469949659</v>
      </c>
      <c r="L85" s="1">
        <f>[1]节奏总纲!X85</f>
        <v>16.791917654415073</v>
      </c>
      <c r="M85" s="1">
        <f>[1]节奏总纲!Y85</f>
        <v>13.703625969492975</v>
      </c>
      <c r="N85" s="1">
        <f>[1]节奏总纲!Z85</f>
        <v>10.051888511113276</v>
      </c>
      <c r="O85" s="1">
        <f>[1]节奏总纲!AA85</f>
        <v>5.3740481763382633</v>
      </c>
      <c r="Q85" s="1">
        <v>82</v>
      </c>
      <c r="R85" s="1">
        <f>[1]节奏总纲!AD85</f>
        <v>63.743865833385094</v>
      </c>
      <c r="S85" s="1">
        <f>[1]节奏总纲!AE85</f>
        <v>65.762866796429392</v>
      </c>
      <c r="T85" s="1">
        <f>[1]节奏总纲!AF85</f>
        <v>68.664295879423918</v>
      </c>
      <c r="U85" s="1">
        <f>[1]节奏总纲!AG85</f>
        <v>73.176642436293761</v>
      </c>
      <c r="V85" s="1">
        <f>[1]节奏总纲!AH85</f>
        <v>81.770942656017823</v>
      </c>
      <c r="AN85" s="1">
        <v>82</v>
      </c>
      <c r="AO85" s="1">
        <f>[1]节奏总纲!BA85</f>
        <v>36.694672667019191</v>
      </c>
      <c r="AP85" s="1">
        <f>[1]节奏总纲!BB85</f>
        <v>38.194089742081125</v>
      </c>
      <c r="AQ85" s="1">
        <f>[1]节奏总纲!BC85</f>
        <v>40.130145246845366</v>
      </c>
      <c r="AR85" s="1">
        <f>[1]节奏总纲!BD85</f>
        <v>42.861403835978855</v>
      </c>
      <c r="AS85" s="1">
        <f>[1]节奏总纲!BE85</f>
        <v>47.535997393158453</v>
      </c>
    </row>
    <row r="86" spans="2:45" x14ac:dyDescent="0.15">
      <c r="B86" s="1">
        <f>[1]节奏总纲!N86</f>
        <v>93</v>
      </c>
      <c r="C86" s="1">
        <v>83</v>
      </c>
      <c r="D86" s="1">
        <f>[1]节奏总纲!P86</f>
        <v>314.1729698162988</v>
      </c>
      <c r="E86" s="1">
        <f>[1]节奏总纲!Q86</f>
        <v>271.53969781222702</v>
      </c>
      <c r="F86" s="1">
        <f>[1]节奏总纲!R86</f>
        <v>221.55477831445393</v>
      </c>
      <c r="G86" s="1">
        <f>[1]节奏总纲!S86</f>
        <v>161.57915837652246</v>
      </c>
      <c r="H86" s="1">
        <f>[1]节奏总纲!T86</f>
        <v>89.193706130847232</v>
      </c>
      <c r="J86" s="1">
        <v>83</v>
      </c>
      <c r="K86" s="1">
        <f>[1]节奏总纲!W86</f>
        <v>21.106190937058159</v>
      </c>
      <c r="L86" s="1">
        <f>[1]节奏总纲!X86</f>
        <v>18.388614216338937</v>
      </c>
      <c r="M86" s="1">
        <f>[1]节奏总纲!Y86</f>
        <v>15.177152627692664</v>
      </c>
      <c r="N86" s="1">
        <f>[1]节奏总纲!Z86</f>
        <v>10.766993965265243</v>
      </c>
      <c r="O86" s="1">
        <f>[1]节奏总纲!AA86</f>
        <v>5.9627409291428961</v>
      </c>
      <c r="Q86" s="1">
        <v>83</v>
      </c>
      <c r="R86" s="1">
        <f>[1]节奏总纲!AD86</f>
        <v>63.920692243099523</v>
      </c>
      <c r="S86" s="1">
        <f>[1]节奏总纲!AE86</f>
        <v>65.938223839839395</v>
      </c>
      <c r="T86" s="1">
        <f>[1]节奏总纲!AF86</f>
        <v>68.841490236267347</v>
      </c>
      <c r="U86" s="1">
        <f>[1]节奏总纲!AG86</f>
        <v>73.34571267276516</v>
      </c>
      <c r="V86" s="1">
        <f>[1]节奏总纲!AH86</f>
        <v>81.957022119243135</v>
      </c>
      <c r="AN86" s="1">
        <v>83</v>
      </c>
      <c r="AO86" s="1">
        <f>[1]节奏总纲!BA86</f>
        <v>36.778843395654896</v>
      </c>
      <c r="AP86" s="1">
        <f>[1]节奏总纲!BB86</f>
        <v>38.272377899878528</v>
      </c>
      <c r="AQ86" s="1">
        <f>[1]节奏总纲!BC86</f>
        <v>40.207843901678423</v>
      </c>
      <c r="AR86" s="1">
        <f>[1]节奏总纲!BD86</f>
        <v>42.948185723296518</v>
      </c>
      <c r="AS86" s="1">
        <f>[1]节奏总纲!BE86</f>
        <v>47.619147546450023</v>
      </c>
    </row>
    <row r="87" spans="2:45" x14ac:dyDescent="0.15">
      <c r="B87" s="1">
        <f>[1]节奏总纲!N87</f>
        <v>94</v>
      </c>
      <c r="C87" s="1">
        <v>84</v>
      </c>
      <c r="D87" s="1">
        <f>[1]节奏总纲!P87</f>
        <v>336.79402515786086</v>
      </c>
      <c r="E87" s="1">
        <f>[1]节奏总纲!Q87</f>
        <v>291.2594729565181</v>
      </c>
      <c r="F87" s="1">
        <f>[1]节奏总纲!R87</f>
        <v>237.27139072371298</v>
      </c>
      <c r="G87" s="1">
        <f>[1]节奏总纲!S87</f>
        <v>172.97741132107731</v>
      </c>
      <c r="H87" s="1">
        <f>[1]节奏总纲!T87</f>
        <v>95.64950314483248</v>
      </c>
      <c r="J87" s="1">
        <v>84</v>
      </c>
      <c r="K87" s="1">
        <f>[1]节奏总纲!W87</f>
        <v>22.621055341562055</v>
      </c>
      <c r="L87" s="1">
        <f>[1]节奏总纲!X87</f>
        <v>19.719775144291077</v>
      </c>
      <c r="M87" s="1">
        <f>[1]节奏总纲!Y87</f>
        <v>15.716612409259056</v>
      </c>
      <c r="N87" s="1">
        <f>[1]节奏总纲!Z87</f>
        <v>11.398252944554855</v>
      </c>
      <c r="O87" s="1">
        <f>[1]节奏总纲!AA87</f>
        <v>6.4557970139852472</v>
      </c>
      <c r="Q87" s="1">
        <v>84</v>
      </c>
      <c r="R87" s="1">
        <f>[1]节奏总纲!AD87</f>
        <v>64.090988120365651</v>
      </c>
      <c r="S87" s="1">
        <f>[1]节奏总纲!AE87</f>
        <v>66.105889403880397</v>
      </c>
      <c r="T87" s="1">
        <f>[1]节奏总纲!AF87</f>
        <v>69.01697485309198</v>
      </c>
      <c r="U87" s="1">
        <f>[1]节奏总纲!AG87</f>
        <v>73.514782909236544</v>
      </c>
      <c r="V87" s="1">
        <f>[1]节奏总纲!AH87</f>
        <v>82.128973371044353</v>
      </c>
      <c r="AN87" s="1">
        <v>84</v>
      </c>
      <c r="AO87" s="1">
        <f>[1]节奏总纲!BA87</f>
        <v>36.863014124290601</v>
      </c>
      <c r="AP87" s="1">
        <f>[1]节奏总纲!BB87</f>
        <v>38.35066605767593</v>
      </c>
      <c r="AQ87" s="1">
        <f>[1]节奏总纲!BC87</f>
        <v>40.28554255651148</v>
      </c>
      <c r="AR87" s="1">
        <f>[1]节奏总纲!BD87</f>
        <v>43.030177309109042</v>
      </c>
      <c r="AS87" s="1">
        <f>[1]节奏总纲!BE87</f>
        <v>47.7022976997416</v>
      </c>
    </row>
    <row r="88" spans="2:45" x14ac:dyDescent="0.15">
      <c r="B88" s="1">
        <f>[1]节奏总纲!N88</f>
        <v>95</v>
      </c>
      <c r="C88" s="1">
        <v>85</v>
      </c>
      <c r="D88" s="1">
        <f>[1]节奏总纲!P88</f>
        <v>361.0386719675123</v>
      </c>
      <c r="E88" s="1">
        <f>[1]节奏总纲!Q88</f>
        <v>311.72078937675008</v>
      </c>
      <c r="F88" s="1">
        <f>[1]节奏总纲!R88</f>
        <v>253.91849799475142</v>
      </c>
      <c r="G88" s="1">
        <f>[1]节奏总纲!S88</f>
        <v>185.57387739130132</v>
      </c>
      <c r="H88" s="1">
        <f>[1]节奏总纲!T88</f>
        <v>102.53498283877349</v>
      </c>
      <c r="J88" s="1">
        <v>85</v>
      </c>
      <c r="K88" s="1">
        <f>[1]节奏总纲!W88</f>
        <v>24.244646809651442</v>
      </c>
      <c r="L88" s="1">
        <f>[1]节奏总纲!X88</f>
        <v>20.461316420231981</v>
      </c>
      <c r="M88" s="1">
        <f>[1]节奏总纲!Y88</f>
        <v>16.647107271038436</v>
      </c>
      <c r="N88" s="1">
        <f>[1]节奏总纲!Z88</f>
        <v>12.596466070224011</v>
      </c>
      <c r="O88" s="1">
        <f>[1]节奏总纲!AA88</f>
        <v>6.8854796939410079</v>
      </c>
      <c r="Q88" s="1">
        <v>85</v>
      </c>
      <c r="R88" s="1">
        <f>[1]节奏总纲!AD88</f>
        <v>64.255972994404218</v>
      </c>
      <c r="S88" s="1">
        <f>[1]节奏总纲!AE88</f>
        <v>66.269371604948859</v>
      </c>
      <c r="T88" s="1">
        <f>[1]节奏总纲!AF88</f>
        <v>69.17795498031839</v>
      </c>
      <c r="U88" s="1">
        <f>[1]节奏总纲!AG88</f>
        <v>73.683853145707943</v>
      </c>
      <c r="V88" s="1">
        <f>[1]节奏总纲!AH88</f>
        <v>82.296681479091191</v>
      </c>
      <c r="AN88" s="1">
        <v>85</v>
      </c>
      <c r="AO88" s="1">
        <f>[1]节奏总纲!BA88</f>
        <v>36.947184852926306</v>
      </c>
      <c r="AP88" s="1">
        <f>[1]节奏总纲!BB88</f>
        <v>38.428954215473325</v>
      </c>
      <c r="AQ88" s="1">
        <f>[1]节奏总纲!BC88</f>
        <v>40.363241211344537</v>
      </c>
      <c r="AR88" s="1">
        <f>[1]节奏总纲!BD88</f>
        <v>43.105070725978337</v>
      </c>
      <c r="AS88" s="1">
        <f>[1]节奏总纲!BE88</f>
        <v>47.785447853033176</v>
      </c>
    </row>
    <row r="89" spans="2:45" x14ac:dyDescent="0.15">
      <c r="B89" s="1">
        <f>[1]节奏总纲!N89</f>
        <v>96</v>
      </c>
      <c r="C89" s="1">
        <v>86</v>
      </c>
      <c r="D89" s="1">
        <f>[1]节奏总纲!P89</f>
        <v>387.02344102666189</v>
      </c>
      <c r="E89" s="1">
        <f>[1]节奏总纲!Q89</f>
        <v>334.00122960600919</v>
      </c>
      <c r="F89" s="1">
        <f>[1]节奏总纲!R89</f>
        <v>272.23228841815398</v>
      </c>
      <c r="G89" s="1">
        <f>[1]节奏总纲!S89</f>
        <v>199.39447681693619</v>
      </c>
      <c r="H89" s="1">
        <f>[1]节奏总纲!T89</f>
        <v>108.94709864900531</v>
      </c>
      <c r="J89" s="1">
        <v>86</v>
      </c>
      <c r="K89" s="1">
        <f>[1]节奏总纲!W89</f>
        <v>25.984769059149585</v>
      </c>
      <c r="L89" s="1">
        <f>[1]节奏总纲!X89</f>
        <v>22.280440229259113</v>
      </c>
      <c r="M89" s="1">
        <f>[1]节奏总纲!Y89</f>
        <v>18.313790423402565</v>
      </c>
      <c r="N89" s="1">
        <f>[1]节奏总纲!Z89</f>
        <v>13.820599425634867</v>
      </c>
      <c r="O89" s="1">
        <f>[1]节奏总纲!AA89</f>
        <v>6.4121158102318248</v>
      </c>
      <c r="Q89" s="1">
        <v>86</v>
      </c>
      <c r="R89" s="1">
        <f>[1]节奏总纲!AD89</f>
        <v>64.420957868442798</v>
      </c>
      <c r="S89" s="1">
        <f>[1]节奏总纲!AE89</f>
        <v>66.43285380601732</v>
      </c>
      <c r="T89" s="1">
        <f>[1]节奏总纲!AF89</f>
        <v>69.338935107544785</v>
      </c>
      <c r="U89" s="1">
        <f>[1]节奏总纲!AG89</f>
        <v>73.852923382179341</v>
      </c>
      <c r="V89" s="1">
        <f>[1]节奏总纲!AH89</f>
        <v>82.464389587138029</v>
      </c>
      <c r="AN89" s="1">
        <v>86</v>
      </c>
      <c r="AO89" s="1">
        <f>[1]节奏总纲!BA89</f>
        <v>37.027046282459708</v>
      </c>
      <c r="AP89" s="1">
        <f>[1]节奏总纲!BB89</f>
        <v>38.507242373270728</v>
      </c>
      <c r="AQ89" s="1">
        <f>[1]节奏总纲!BC89</f>
        <v>40.440939866177594</v>
      </c>
      <c r="AR89" s="1">
        <f>[1]节奏总纲!BD89</f>
        <v>43.179964142847631</v>
      </c>
      <c r="AS89" s="1">
        <f>[1]节奏总纲!BE89</f>
        <v>47.868598006324753</v>
      </c>
    </row>
    <row r="90" spans="2:45" x14ac:dyDescent="0.15">
      <c r="B90" s="1">
        <f>[1]节奏总纲!N90</f>
        <v>97</v>
      </c>
      <c r="C90" s="1">
        <v>87</v>
      </c>
      <c r="D90" s="1">
        <f>[1]节奏总纲!P90</f>
        <v>414.87322693439216</v>
      </c>
      <c r="E90" s="1">
        <f>[1]节奏总纲!Q90</f>
        <v>358.28451878054108</v>
      </c>
      <c r="F90" s="1">
        <f>[1]节奏总纲!R90</f>
        <v>292.4026503433596</v>
      </c>
      <c r="G90" s="1">
        <f>[1]节奏总纲!S90</f>
        <v>212.58104148118252</v>
      </c>
      <c r="H90" s="1">
        <f>[1]节奏总纲!T90</f>
        <v>115.74963031469542</v>
      </c>
      <c r="J90" s="1">
        <v>87</v>
      </c>
      <c r="K90" s="1">
        <f>[1]节奏总纲!W90</f>
        <v>27.849785907730279</v>
      </c>
      <c r="L90" s="1">
        <f>[1]节奏总纲!X90</f>
        <v>24.283289174531888</v>
      </c>
      <c r="M90" s="1">
        <f>[1]节奏总纲!Y90</f>
        <v>20.170361925205611</v>
      </c>
      <c r="N90" s="1">
        <f>[1]节奏总纲!Z90</f>
        <v>13.186564664246333</v>
      </c>
      <c r="O90" s="1">
        <f>[1]节奏总纲!AA90</f>
        <v>6.8025316656901111</v>
      </c>
      <c r="Q90" s="1">
        <v>87</v>
      </c>
      <c r="R90" s="1">
        <f>[1]节奏总纲!AD90</f>
        <v>64.585942742481365</v>
      </c>
      <c r="S90" s="1">
        <f>[1]节奏总纲!AE90</f>
        <v>66.596336007085796</v>
      </c>
      <c r="T90" s="1">
        <f>[1]节奏总纲!AF90</f>
        <v>69.49991523477118</v>
      </c>
      <c r="U90" s="1">
        <f>[1]节奏总纲!AG90</f>
        <v>74.02050499447661</v>
      </c>
      <c r="V90" s="1">
        <f>[1]节奏总纲!AH90</f>
        <v>82.632097695184868</v>
      </c>
      <c r="AN90" s="1">
        <v>87</v>
      </c>
      <c r="AO90" s="1">
        <f>[1]节奏总纲!BA90</f>
        <v>37.099649155317238</v>
      </c>
      <c r="AP90" s="1">
        <f>[1]节奏总纲!BB90</f>
        <v>38.58553053106813</v>
      </c>
      <c r="AQ90" s="1">
        <f>[1]节奏总纲!BC90</f>
        <v>40.518638521010651</v>
      </c>
      <c r="AR90" s="1">
        <f>[1]节奏总纲!BD90</f>
        <v>43.254857559716925</v>
      </c>
      <c r="AS90" s="1">
        <f>[1]节奏总纲!BE90</f>
        <v>47.951748159616329</v>
      </c>
    </row>
    <row r="91" spans="2:45" x14ac:dyDescent="0.15">
      <c r="B91" s="1">
        <f>[1]节奏总纲!N91</f>
        <v>98</v>
      </c>
      <c r="C91" s="1">
        <v>88</v>
      </c>
      <c r="D91" s="1">
        <f>[1]节奏总纲!P91</f>
        <v>444.72188840761549</v>
      </c>
      <c r="E91" s="1">
        <f>[1]节奏总纲!Q91</f>
        <v>384.7733778502689</v>
      </c>
      <c r="F91" s="1">
        <f>[1]节奏总纲!R91</f>
        <v>312.90632068359827</v>
      </c>
      <c r="G91" s="1">
        <f>[1]节奏总纲!S91</f>
        <v>226.0076636887502</v>
      </c>
      <c r="H91" s="1">
        <f>[1]节奏总纲!T91</f>
        <v>123.1879630889095</v>
      </c>
      <c r="J91" s="1">
        <v>88</v>
      </c>
      <c r="K91" s="1">
        <f>[1]节奏总纲!W91</f>
        <v>29.848661473223331</v>
      </c>
      <c r="L91" s="1">
        <f>[1]节奏总纲!X91</f>
        <v>26.488859069727823</v>
      </c>
      <c r="M91" s="1">
        <f>[1]节奏总纲!Y91</f>
        <v>20.503670340238671</v>
      </c>
      <c r="N91" s="1">
        <f>[1]节奏总纲!Z91</f>
        <v>13.426622207567675</v>
      </c>
      <c r="O91" s="1">
        <f>[1]节奏总纲!AA91</f>
        <v>7.438332774214075</v>
      </c>
      <c r="Q91" s="1">
        <v>88</v>
      </c>
      <c r="R91" s="1">
        <f>[1]节奏总纲!AD91</f>
        <v>64.750927616519931</v>
      </c>
      <c r="S91" s="1">
        <f>[1]节奏总纲!AE91</f>
        <v>66.759818208154257</v>
      </c>
      <c r="T91" s="1">
        <f>[1]节奏总纲!AF91</f>
        <v>69.660895361997589</v>
      </c>
      <c r="U91" s="1">
        <f>[1]节奏总纲!AG91</f>
        <v>74.178131818877702</v>
      </c>
      <c r="V91" s="1">
        <f>[1]节奏总纲!AH91</f>
        <v>82.799805803231706</v>
      </c>
      <c r="AN91" s="1">
        <v>88</v>
      </c>
      <c r="AO91" s="1">
        <f>[1]节奏总纲!BA91</f>
        <v>37.172252028174768</v>
      </c>
      <c r="AP91" s="1">
        <f>[1]节奏总纲!BB91</f>
        <v>38.663818688865533</v>
      </c>
      <c r="AQ91" s="1">
        <f>[1]节奏总纲!BC91</f>
        <v>40.596337175843701</v>
      </c>
      <c r="AR91" s="1">
        <f>[1]节奏总纲!BD91</f>
        <v>43.329750976586219</v>
      </c>
      <c r="AS91" s="1">
        <f>[1]节奏总纲!BE91</f>
        <v>48.030128751164234</v>
      </c>
    </row>
    <row r="92" spans="2:45" x14ac:dyDescent="0.15">
      <c r="B92" s="1">
        <f>[1]节奏总纲!N92</f>
        <v>99</v>
      </c>
      <c r="C92" s="1">
        <v>89</v>
      </c>
      <c r="D92" s="1">
        <f>[1]节奏总纲!P92</f>
        <v>476.71289166684534</v>
      </c>
      <c r="E92" s="1">
        <f>[1]节奏总纲!Q92</f>
        <v>411.78459582182103</v>
      </c>
      <c r="F92" s="1">
        <f>[1]节奏总纲!R92</f>
        <v>332.60258451595797</v>
      </c>
      <c r="G92" s="1">
        <f>[1]节奏总纲!S92</f>
        <v>240.31096868925673</v>
      </c>
      <c r="H92" s="1">
        <f>[1]节奏总纲!T92</f>
        <v>130.61933231671563</v>
      </c>
      <c r="J92" s="1">
        <v>89</v>
      </c>
      <c r="K92" s="1">
        <f>[1]节奏总纲!W92</f>
        <v>31.991003259229842</v>
      </c>
      <c r="L92" s="1">
        <f>[1]节奏总纲!X92</f>
        <v>27.011217971552128</v>
      </c>
      <c r="M92" s="1">
        <f>[1]节奏总纲!Y92</f>
        <v>19.696263832359705</v>
      </c>
      <c r="N92" s="1">
        <f>[1]节奏总纲!Z92</f>
        <v>14.303305000506526</v>
      </c>
      <c r="O92" s="1">
        <f>[1]节奏总纲!AA92</f>
        <v>7.4313692278061296</v>
      </c>
      <c r="Q92" s="1">
        <v>89</v>
      </c>
      <c r="R92" s="1">
        <f>[1]节奏总纲!AD92</f>
        <v>64.915912490558512</v>
      </c>
      <c r="S92" s="1">
        <f>[1]节奏总纲!AE92</f>
        <v>66.923300409222719</v>
      </c>
      <c r="T92" s="1">
        <f>[1]节奏总纲!AF92</f>
        <v>69.821875489223984</v>
      </c>
      <c r="U92" s="1">
        <f>[1]节奏总纲!AG92</f>
        <v>74.335758643278794</v>
      </c>
      <c r="V92" s="1">
        <f>[1]节奏总纲!AH92</f>
        <v>82.967513911278544</v>
      </c>
      <c r="AN92" s="1">
        <v>89</v>
      </c>
      <c r="AO92" s="1">
        <f>[1]节奏总纲!BA92</f>
        <v>37.244854901032298</v>
      </c>
      <c r="AP92" s="1">
        <f>[1]节奏总纲!BB92</f>
        <v>38.742106846662928</v>
      </c>
      <c r="AQ92" s="1">
        <f>[1]节奏总纲!BC92</f>
        <v>40.674035830676758</v>
      </c>
      <c r="AR92" s="1">
        <f>[1]节奏总纲!BD92</f>
        <v>43.404644393455513</v>
      </c>
      <c r="AS92" s="1">
        <f>[1]节奏总纲!BE92</f>
        <v>48.101914750802706</v>
      </c>
    </row>
    <row r="93" spans="2:45" x14ac:dyDescent="0.15">
      <c r="B93" s="1">
        <f>[1]节奏总纲!N93</f>
        <v>100</v>
      </c>
      <c r="C93" s="1">
        <v>90</v>
      </c>
      <c r="D93" s="1">
        <f>[1]节奏总纲!P93</f>
        <v>511</v>
      </c>
      <c r="E93" s="1">
        <f>[1]节奏总纲!Q93</f>
        <v>438.13140000000004</v>
      </c>
      <c r="F93" s="1">
        <f>[1]节奏总纲!R93</f>
        <v>354.12299999999999</v>
      </c>
      <c r="G93" s="1">
        <f>[1]节奏总纲!S93</f>
        <v>254.88680000000002</v>
      </c>
      <c r="H93" s="1">
        <f>[1]节奏总纲!T93</f>
        <v>138.48100000000002</v>
      </c>
      <c r="J93" s="1">
        <v>90</v>
      </c>
      <c r="K93" s="1">
        <f>[1]节奏总纲!W93</f>
        <v>34.287108333154663</v>
      </c>
      <c r="L93" s="1">
        <f>[1]节奏总纲!X93</f>
        <v>26.346804178179013</v>
      </c>
      <c r="M93" s="1">
        <f>[1]节奏总纲!Y93</f>
        <v>21.520415484042019</v>
      </c>
      <c r="N93" s="1">
        <f>[1]节奏总纲!Z93</f>
        <v>14.575831310743297</v>
      </c>
      <c r="O93" s="1">
        <f>[1]节奏总纲!AA93</f>
        <v>7.861667683284395</v>
      </c>
      <c r="Q93" s="1">
        <v>90</v>
      </c>
      <c r="R93" s="1">
        <f>[1]节奏总纲!AD93</f>
        <v>65.075479910097457</v>
      </c>
      <c r="S93" s="1">
        <f>[1]节奏总纲!AE93</f>
        <v>67.083433628014333</v>
      </c>
      <c r="T93" s="1">
        <f>[1]节奏总纲!AF93</f>
        <v>69.982855616450394</v>
      </c>
      <c r="U93" s="1">
        <f>[1]节奏总纲!AG93</f>
        <v>74.493385467679886</v>
      </c>
      <c r="V93" s="1">
        <f>[1]节奏总纲!AH93</f>
        <v>83.124894550960335</v>
      </c>
      <c r="AN93" s="1">
        <v>90</v>
      </c>
      <c r="AO93" s="1">
        <f>[1]节奏总纲!BA93</f>
        <v>37.317457773889828</v>
      </c>
      <c r="AP93" s="1">
        <f>[1]节奏总纲!BB93</f>
        <v>38.82039500446033</v>
      </c>
      <c r="AQ93" s="1">
        <f>[1]节奏总纲!BC93</f>
        <v>40.751734485509814</v>
      </c>
      <c r="AR93" s="1">
        <f>[1]节奏总纲!BD93</f>
        <v>43.479537810324807</v>
      </c>
      <c r="AS93" s="1">
        <f>[1]节奏总纲!BE93</f>
        <v>48.173700750441178</v>
      </c>
    </row>
    <row r="94" spans="2:45" x14ac:dyDescent="0.15">
      <c r="B94" s="1">
        <f>[1]节奏总纲!N94</f>
        <v>101</v>
      </c>
      <c r="C94" s="1">
        <v>91</v>
      </c>
      <c r="D94" s="1">
        <f>[1]节奏总纲!P94</f>
        <v>547.74801281858208</v>
      </c>
      <c r="E94" s="1">
        <f>[1]节奏总纲!Q94</f>
        <v>469.6391461906523</v>
      </c>
      <c r="F94" s="1">
        <f>[1]节奏总纲!R94</f>
        <v>378.43910205635837</v>
      </c>
      <c r="G94" s="1">
        <f>[1]节奏总纲!S94</f>
        <v>272.61418597980827</v>
      </c>
      <c r="H94" s="1">
        <f>[1]节奏总纲!T94</f>
        <v>147.89196346101718</v>
      </c>
      <c r="J94" s="1">
        <v>91</v>
      </c>
      <c r="K94" s="1">
        <f>[1]节奏总纲!W94</f>
        <v>36.748012818582083</v>
      </c>
      <c r="L94" s="1">
        <f>[1]节奏总纲!X94</f>
        <v>31.507746190652256</v>
      </c>
      <c r="M94" s="1">
        <f>[1]节奏总纲!Y94</f>
        <v>24.316102056358375</v>
      </c>
      <c r="N94" s="1">
        <f>[1]节奏总纲!Z94</f>
        <v>17.727385979808247</v>
      </c>
      <c r="O94" s="1">
        <f>[1]节奏总纲!AA94</f>
        <v>9.4109634610171611</v>
      </c>
      <c r="Q94" s="1">
        <v>91</v>
      </c>
      <c r="R94" s="1">
        <f>[1]节奏总纲!AD94</f>
        <v>65.229416240679981</v>
      </c>
      <c r="S94" s="1">
        <f>[1]节奏总纲!AE94</f>
        <v>67.240606973055961</v>
      </c>
      <c r="T94" s="1">
        <f>[1]节奏总纲!AF94</f>
        <v>70.137942795989005</v>
      </c>
      <c r="U94" s="1">
        <f>[1]节奏总纲!AG94</f>
        <v>74.651012292080978</v>
      </c>
      <c r="V94" s="1">
        <f>[1]节奏总纲!AH94</f>
        <v>83.279794092850153</v>
      </c>
      <c r="AN94" s="1">
        <v>91</v>
      </c>
      <c r="AO94" s="1">
        <f>[1]节奏总纲!BA94</f>
        <v>37.390060646747358</v>
      </c>
      <c r="AP94" s="1">
        <f>[1]节奏总纲!BB94</f>
        <v>38.898683162257733</v>
      </c>
      <c r="AQ94" s="1">
        <f>[1]节奏总纲!BC94</f>
        <v>40.829433140342871</v>
      </c>
      <c r="AR94" s="1">
        <f>[1]节奏总纲!BD94</f>
        <v>43.554431227194108</v>
      </c>
      <c r="AS94" s="1">
        <f>[1]节奏总纲!BE94</f>
        <v>48.24548675007965</v>
      </c>
    </row>
    <row r="95" spans="2:45" x14ac:dyDescent="0.15">
      <c r="B95" s="1">
        <f>[1]节奏总纲!N95</f>
        <v>102</v>
      </c>
      <c r="C95" s="1">
        <v>92</v>
      </c>
      <c r="D95" s="1">
        <f>[1]节奏总纲!P95</f>
        <v>587.1335577584814</v>
      </c>
      <c r="E95" s="1">
        <f>[1]节奏总纲!Q95</f>
        <v>502.29275866238083</v>
      </c>
      <c r="F95" s="1">
        <f>[1]节奏总纲!R95</f>
        <v>405.12215485335213</v>
      </c>
      <c r="G95" s="1">
        <f>[1]节奏总纲!S95</f>
        <v>291.57052478286187</v>
      </c>
      <c r="H95" s="1">
        <f>[1]节奏总纲!T95</f>
        <v>157.64536025815227</v>
      </c>
      <c r="J95" s="1">
        <v>92</v>
      </c>
      <c r="K95" s="1">
        <f>[1]节奏总纲!W95</f>
        <v>39.385544939899319</v>
      </c>
      <c r="L95" s="1">
        <f>[1]节奏总纲!X95</f>
        <v>32.653612471728536</v>
      </c>
      <c r="M95" s="1">
        <f>[1]节奏总纲!Y95</f>
        <v>26.683052796993763</v>
      </c>
      <c r="N95" s="1">
        <f>[1]节奏总纲!Z95</f>
        <v>18.956338803053598</v>
      </c>
      <c r="O95" s="1">
        <f>[1]节奏总纲!AA95</f>
        <v>9.7533967971350819</v>
      </c>
      <c r="Q95" s="1">
        <v>92</v>
      </c>
      <c r="R95" s="1">
        <f>[1]节奏总纲!AD95</f>
        <v>65.38335257126252</v>
      </c>
      <c r="S95" s="1">
        <f>[1]节奏总纲!AE95</f>
        <v>67.397780318097588</v>
      </c>
      <c r="T95" s="1">
        <f>[1]节奏总纲!AF95</f>
        <v>70.292327570459079</v>
      </c>
      <c r="U95" s="1">
        <f>[1]节奏总纲!AG95</f>
        <v>74.808639116482055</v>
      </c>
      <c r="V95" s="1">
        <f>[1]节奏总纲!AH95</f>
        <v>83.434693634739986</v>
      </c>
      <c r="AN95" s="1">
        <v>92</v>
      </c>
      <c r="AO95" s="1">
        <f>[1]节奏总纲!BA95</f>
        <v>37.462663519604888</v>
      </c>
      <c r="AP95" s="1">
        <f>[1]节奏总纲!BB95</f>
        <v>38.976971320055128</v>
      </c>
      <c r="AQ95" s="1">
        <f>[1]节奏总纲!BC95</f>
        <v>40.907131795175928</v>
      </c>
      <c r="AR95" s="1">
        <f>[1]节奏总纲!BD95</f>
        <v>43.629324644063402</v>
      </c>
      <c r="AS95" s="1">
        <f>[1]节奏总纲!BE95</f>
        <v>48.317272749718121</v>
      </c>
    </row>
    <row r="96" spans="2:45" x14ac:dyDescent="0.15">
      <c r="B96" s="1">
        <f>[1]节奏总纲!N96</f>
        <v>103</v>
      </c>
      <c r="C96" s="1">
        <v>93</v>
      </c>
      <c r="D96" s="1">
        <f>[1]节奏总纲!P96</f>
        <v>629.34593963259704</v>
      </c>
      <c r="E96" s="1">
        <f>[1]节奏总纲!Q96</f>
        <v>538.34251676172357</v>
      </c>
      <c r="F96" s="1">
        <f>[1]节奏总纲!R96</f>
        <v>433.68228700082267</v>
      </c>
      <c r="G96" s="1">
        <f>[1]节奏总纲!S96</f>
        <v>311.52624011813555</v>
      </c>
      <c r="H96" s="1">
        <f>[1]节奏总纲!T96</f>
        <v>168.35003885171972</v>
      </c>
      <c r="J96" s="1">
        <v>93</v>
      </c>
      <c r="K96" s="1">
        <f>[1]节奏总纲!W96</f>
        <v>42.212381874115636</v>
      </c>
      <c r="L96" s="1">
        <f>[1]节奏总纲!X96</f>
        <v>36.049758099342739</v>
      </c>
      <c r="M96" s="1">
        <f>[1]节奏总纲!Y96</f>
        <v>28.56013214747054</v>
      </c>
      <c r="N96" s="1">
        <f>[1]节奏总纲!Z96</f>
        <v>19.95571533527368</v>
      </c>
      <c r="O96" s="1">
        <f>[1]节奏总纲!AA96</f>
        <v>10.704678593567451</v>
      </c>
      <c r="Q96" s="1">
        <v>93</v>
      </c>
      <c r="R96" s="1">
        <f>[1]节奏总纲!AD96</f>
        <v>65.537288901845059</v>
      </c>
      <c r="S96" s="1">
        <f>[1]节奏总纲!AE96</f>
        <v>67.554953663139216</v>
      </c>
      <c r="T96" s="1">
        <f>[1]节奏总纲!AF96</f>
        <v>70.446712344929153</v>
      </c>
      <c r="U96" s="1">
        <f>[1]节奏总纲!AG96</f>
        <v>74.966265940883147</v>
      </c>
      <c r="V96" s="1">
        <f>[1]节奏总纲!AH96</f>
        <v>83.589593176629805</v>
      </c>
      <c r="AN96" s="1">
        <v>93</v>
      </c>
      <c r="AO96" s="1">
        <f>[1]节奏总纲!BA96</f>
        <v>37.535266392462418</v>
      </c>
      <c r="AP96" s="1">
        <f>[1]节奏总纲!BB96</f>
        <v>39.047673544184711</v>
      </c>
      <c r="AQ96" s="1">
        <f>[1]节奏总纲!BC96</f>
        <v>40.984830450008985</v>
      </c>
      <c r="AR96" s="1">
        <f>[1]节奏总纲!BD96</f>
        <v>43.704218060932696</v>
      </c>
      <c r="AS96" s="1">
        <f>[1]节奏总纲!BE96</f>
        <v>48.389058749356593</v>
      </c>
    </row>
    <row r="97" spans="2:45" x14ac:dyDescent="0.15">
      <c r="B97" s="1">
        <f>[1]节奏总纲!N97</f>
        <v>104</v>
      </c>
      <c r="C97" s="1">
        <v>94</v>
      </c>
      <c r="D97" s="1">
        <f>[1]节奏总纲!P97</f>
        <v>674.58805031572183</v>
      </c>
      <c r="E97" s="1">
        <f>[1]节奏总纲!Q97</f>
        <v>576.30057138472114</v>
      </c>
      <c r="F97" s="1">
        <f>[1]节奏总纲!R97</f>
        <v>464.04911981218504</v>
      </c>
      <c r="G97" s="1">
        <f>[1]节奏总纲!S97</f>
        <v>332.70682641571403</v>
      </c>
      <c r="H97" s="1">
        <f>[1]节奏总纲!T97</f>
        <v>179.6427977990767</v>
      </c>
      <c r="J97" s="1">
        <v>94</v>
      </c>
      <c r="K97" s="1">
        <f>[1]节奏总纲!W97</f>
        <v>45.242110683124793</v>
      </c>
      <c r="L97" s="1">
        <f>[1]节奏总纲!X97</f>
        <v>37.958054622997565</v>
      </c>
      <c r="M97" s="1">
        <f>[1]节奏总纲!Y97</f>
        <v>30.366832811362372</v>
      </c>
      <c r="N97" s="1">
        <f>[1]节奏总纲!Z97</f>
        <v>21.180586297578486</v>
      </c>
      <c r="O97" s="1">
        <f>[1]节奏总纲!AA97</f>
        <v>11.292758947356987</v>
      </c>
      <c r="Q97" s="1">
        <v>94</v>
      </c>
      <c r="R97" s="1">
        <f>[1]节奏总纲!AD97</f>
        <v>65.691225232427584</v>
      </c>
      <c r="S97" s="1">
        <f>[1]节奏总纲!AE97</f>
        <v>67.712127008180858</v>
      </c>
      <c r="T97" s="1">
        <f>[1]节奏总纲!AF97</f>
        <v>70.601097119399213</v>
      </c>
      <c r="U97" s="1">
        <f>[1]节奏总纲!AG97</f>
        <v>75.115180559621535</v>
      </c>
      <c r="V97" s="1">
        <f>[1]节奏总纲!AH97</f>
        <v>83.744492718519624</v>
      </c>
      <c r="AN97" s="1">
        <v>94</v>
      </c>
      <c r="AO97" s="1">
        <f>[1]节奏总纲!BA97</f>
        <v>37.607869265319941</v>
      </c>
      <c r="AP97" s="1">
        <f>[1]节奏总纲!BB97</f>
        <v>39.115214427575864</v>
      </c>
      <c r="AQ97" s="1">
        <f>[1]节奏总纲!BC97</f>
        <v>41.053954370816207</v>
      </c>
      <c r="AR97" s="1">
        <f>[1]节奏总纲!BD97</f>
        <v>43.77911147780199</v>
      </c>
      <c r="AS97" s="1">
        <f>[1]节奏总纲!BE97</f>
        <v>48.460844748995065</v>
      </c>
    </row>
    <row r="98" spans="2:45" x14ac:dyDescent="0.15">
      <c r="B98" s="1">
        <f>[1]节奏总纲!N98</f>
        <v>105</v>
      </c>
      <c r="C98" s="1">
        <v>95</v>
      </c>
      <c r="D98" s="1">
        <f>[1]节奏总纲!P98</f>
        <v>723.0773439350246</v>
      </c>
      <c r="E98" s="1">
        <f>[1]节奏总纲!Q98</f>
        <v>618.15882133005255</v>
      </c>
      <c r="F98" s="1">
        <f>[1]节奏总纲!R98</f>
        <v>495.95875020503337</v>
      </c>
      <c r="G98" s="1">
        <f>[1]节奏总纲!S98</f>
        <v>355.39251454406457</v>
      </c>
      <c r="H98" s="1">
        <f>[1]节奏总纲!T98</f>
        <v>192.84472762747106</v>
      </c>
      <c r="J98" s="1">
        <v>95</v>
      </c>
      <c r="K98" s="1">
        <f>[1]节奏总纲!W98</f>
        <v>48.489293619302771</v>
      </c>
      <c r="L98" s="1">
        <f>[1]节奏总纲!X98</f>
        <v>41.858249945331409</v>
      </c>
      <c r="M98" s="1">
        <f>[1]节奏总纲!Y98</f>
        <v>31.909630392848328</v>
      </c>
      <c r="N98" s="1">
        <f>[1]节奏总纲!Z98</f>
        <v>22.685688128350534</v>
      </c>
      <c r="O98" s="1">
        <f>[1]节奏总纲!AA98</f>
        <v>13.201929828394356</v>
      </c>
      <c r="Q98" s="1">
        <v>95</v>
      </c>
      <c r="R98" s="1">
        <f>[1]节奏总纲!AD98</f>
        <v>65.845161563010123</v>
      </c>
      <c r="S98" s="1">
        <f>[1]节奏总纲!AE98</f>
        <v>67.869300353222485</v>
      </c>
      <c r="T98" s="1">
        <f>[1]节奏总纲!AF98</f>
        <v>70.755481893869288</v>
      </c>
      <c r="U98" s="1">
        <f>[1]节奏总纲!AG98</f>
        <v>75.261722981240993</v>
      </c>
      <c r="V98" s="1">
        <f>[1]节奏总纲!AH98</f>
        <v>83.899392260409456</v>
      </c>
      <c r="AN98" s="1">
        <v>95</v>
      </c>
      <c r="AO98" s="1">
        <f>[1]节奏总纲!BA98</f>
        <v>37.680472138177471</v>
      </c>
      <c r="AP98" s="1">
        <f>[1]节奏总纲!BB98</f>
        <v>39.182755310967018</v>
      </c>
      <c r="AQ98" s="1">
        <f>[1]节奏总纲!BC98</f>
        <v>41.120998062635785</v>
      </c>
      <c r="AR98" s="1">
        <f>[1]节奏总纲!BD98</f>
        <v>43.854004894671284</v>
      </c>
      <c r="AS98" s="1">
        <f>[1]节奏总纲!BE98</f>
        <v>48.532630748633537</v>
      </c>
    </row>
    <row r="99" spans="2:45" x14ac:dyDescent="0.15">
      <c r="B99" s="1">
        <f>[1]节奏总纲!N99</f>
        <v>106</v>
      </c>
      <c r="C99" s="1">
        <v>96</v>
      </c>
      <c r="D99" s="1">
        <f>[1]节奏总纲!P99</f>
        <v>775.04688205332377</v>
      </c>
      <c r="E99" s="1">
        <f>[1]节奏总纲!Q99</f>
        <v>661.0374857032798</v>
      </c>
      <c r="F99" s="1">
        <f>[1]节奏总纲!R99</f>
        <v>529.97705794806279</v>
      </c>
      <c r="G99" s="1">
        <f>[1]节奏总纲!S99</f>
        <v>380.70302846459265</v>
      </c>
      <c r="H99" s="1">
        <f>[1]节奏总纲!T99</f>
        <v>206.86001282003213</v>
      </c>
      <c r="J99" s="1">
        <v>96</v>
      </c>
      <c r="K99" s="1">
        <f>[1]节奏总纲!W99</f>
        <v>51.96953811829917</v>
      </c>
      <c r="L99" s="1">
        <f>[1]节奏总纲!X99</f>
        <v>42.878664373227252</v>
      </c>
      <c r="M99" s="1">
        <f>[1]节奏总纲!Y99</f>
        <v>34.018307743029425</v>
      </c>
      <c r="N99" s="1">
        <f>[1]节奏总纲!Z99</f>
        <v>25.310513920528081</v>
      </c>
      <c r="O99" s="1">
        <f>[1]节奏总纲!AA99</f>
        <v>14.015285192561066</v>
      </c>
      <c r="Q99" s="1">
        <v>96</v>
      </c>
      <c r="R99" s="1">
        <f>[1]节奏总纲!AD99</f>
        <v>65.999097893592648</v>
      </c>
      <c r="S99" s="1">
        <f>[1]节奏总纲!AE99</f>
        <v>68.025215371037646</v>
      </c>
      <c r="T99" s="1">
        <f>[1]节奏总纲!AF99</f>
        <v>70.909866668339362</v>
      </c>
      <c r="U99" s="1">
        <f>[1]节奏总纲!AG99</f>
        <v>75.408265402860437</v>
      </c>
      <c r="V99" s="1">
        <f>[1]节奏总纲!AH99</f>
        <v>84.050903767166133</v>
      </c>
      <c r="AN99" s="1">
        <v>96</v>
      </c>
      <c r="AO99" s="1">
        <f>[1]节奏总纲!BA99</f>
        <v>37.753075011035001</v>
      </c>
      <c r="AP99" s="1">
        <f>[1]节奏总纲!BB99</f>
        <v>39.250296194358178</v>
      </c>
      <c r="AQ99" s="1">
        <f>[1]节奏总纲!BC99</f>
        <v>41.188041754455355</v>
      </c>
      <c r="AR99" s="1">
        <f>[1]节奏总纲!BD99</f>
        <v>43.928898311540578</v>
      </c>
      <c r="AS99" s="1">
        <f>[1]节奏总纲!BE99</f>
        <v>48.604416748272008</v>
      </c>
    </row>
    <row r="100" spans="2:45" x14ac:dyDescent="0.15">
      <c r="B100" s="1">
        <f>[1]节奏总纲!N100</f>
        <v>107</v>
      </c>
      <c r="C100" s="1">
        <v>97</v>
      </c>
      <c r="D100" s="1">
        <f>[1]节奏总纲!P100</f>
        <v>830.74645386878444</v>
      </c>
      <c r="E100" s="1">
        <f>[1]节奏总纲!Q100</f>
        <v>707.71290405081743</v>
      </c>
      <c r="F100" s="1">
        <f>[1]节奏总纲!R100</f>
        <v>569.31054483627804</v>
      </c>
      <c r="G100" s="1">
        <f>[1]节奏总纲!S100</f>
        <v>409.80722569347137</v>
      </c>
      <c r="H100" s="1">
        <f>[1]节奏总纲!T100</f>
        <v>223.30464679992923</v>
      </c>
      <c r="J100" s="1">
        <v>97</v>
      </c>
      <c r="K100" s="1">
        <f>[1]节奏总纲!W100</f>
        <v>55.699571815460672</v>
      </c>
      <c r="L100" s="1">
        <f>[1]节奏总纲!X100</f>
        <v>46.675418347537629</v>
      </c>
      <c r="M100" s="1">
        <f>[1]节奏总纲!Y100</f>
        <v>39.333486888215248</v>
      </c>
      <c r="N100" s="1">
        <f>[1]节奏总纲!Z100</f>
        <v>29.104197228878718</v>
      </c>
      <c r="O100" s="1">
        <f>[1]节奏总纲!AA100</f>
        <v>16.444633979897105</v>
      </c>
      <c r="Q100" s="1">
        <v>97</v>
      </c>
      <c r="R100" s="1">
        <f>[1]节奏总纲!AD100</f>
        <v>66.142785979989682</v>
      </c>
      <c r="S100" s="1">
        <f>[1]节奏总纲!AE100</f>
        <v>68.174918074940805</v>
      </c>
      <c r="T100" s="1">
        <f>[1]节奏总纲!AF100</f>
        <v>71.061795050376986</v>
      </c>
      <c r="U100" s="1">
        <f>[1]节奏总纲!AG100</f>
        <v>75.554807824479894</v>
      </c>
      <c r="V100" s="1">
        <f>[1]节奏总纲!AH100</f>
        <v>84.196136930932482</v>
      </c>
      <c r="AN100" s="1">
        <v>97</v>
      </c>
      <c r="AO100" s="1">
        <f>[1]节奏总纲!BA100</f>
        <v>37.825677883892531</v>
      </c>
      <c r="AP100" s="1">
        <f>[1]节奏总纲!BB100</f>
        <v>39.317837077749331</v>
      </c>
      <c r="AQ100" s="1">
        <f>[1]节奏总纲!BC100</f>
        <v>41.255085446274933</v>
      </c>
      <c r="AR100" s="1">
        <f>[1]节奏总纲!BD100</f>
        <v>44.003272544984547</v>
      </c>
      <c r="AS100" s="1">
        <f>[1]节奏总纲!BE100</f>
        <v>48.67620274791048</v>
      </c>
    </row>
    <row r="101" spans="2:45" x14ac:dyDescent="0.15">
      <c r="B101" s="1">
        <f>[1]节奏总纲!N101</f>
        <v>108</v>
      </c>
      <c r="C101" s="1">
        <v>98</v>
      </c>
      <c r="D101" s="1">
        <f>[1]节奏总纲!P101</f>
        <v>890.4437768152311</v>
      </c>
      <c r="E101" s="1">
        <f>[1]节奏总纲!Q101</f>
        <v>760.34994102252585</v>
      </c>
      <c r="F101" s="1">
        <f>[1]节奏总纲!R101</f>
        <v>612.98149595960513</v>
      </c>
      <c r="G101" s="1">
        <f>[1]节奏总纲!S101</f>
        <v>441.9272464333992</v>
      </c>
      <c r="H101" s="1">
        <f>[1]节奏总纲!T101</f>
        <v>240.77599725083846</v>
      </c>
      <c r="J101" s="1">
        <v>98</v>
      </c>
      <c r="K101" s="1">
        <f>[1]节奏总纲!W101</f>
        <v>59.697322946446661</v>
      </c>
      <c r="L101" s="1">
        <f>[1]节奏总纲!X101</f>
        <v>52.637036971708426</v>
      </c>
      <c r="M101" s="1">
        <f>[1]节奏总纲!Y101</f>
        <v>43.670951123327086</v>
      </c>
      <c r="N101" s="1">
        <f>[1]节奏总纲!Z101</f>
        <v>32.120020739927838</v>
      </c>
      <c r="O101" s="1">
        <f>[1]节奏总纲!AA101</f>
        <v>17.471350450909227</v>
      </c>
      <c r="Q101" s="1">
        <v>98</v>
      </c>
      <c r="R101" s="1">
        <f>[1]节奏总纲!AD101</f>
        <v>66.286413655019302</v>
      </c>
      <c r="S101" s="1">
        <f>[1]节奏总纲!AE101</f>
        <v>68.324620778843951</v>
      </c>
      <c r="T101" s="1">
        <f>[1]节奏总纲!AF101</f>
        <v>71.210277551293188</v>
      </c>
      <c r="U101" s="1">
        <f>[1]节奏总纲!AG101</f>
        <v>75.701350246099338</v>
      </c>
      <c r="V101" s="1">
        <f>[1]节奏总纲!AH101</f>
        <v>84.341370094698831</v>
      </c>
      <c r="AN101" s="1">
        <v>98</v>
      </c>
      <c r="AO101" s="1">
        <f>[1]节奏总纲!BA101</f>
        <v>37.898280756750061</v>
      </c>
      <c r="AP101" s="1">
        <f>[1]节奏总纲!BB101</f>
        <v>39.385377961140485</v>
      </c>
      <c r="AQ101" s="1">
        <f>[1]节奏总纲!BC101</f>
        <v>41.322129138094503</v>
      </c>
      <c r="AR101" s="1">
        <f>[1]节奏总纲!BD101</f>
        <v>44.067911160744309</v>
      </c>
      <c r="AS101" s="1">
        <f>[1]节奏总纲!BE101</f>
        <v>48.747988747548945</v>
      </c>
    </row>
    <row r="102" spans="2:45" x14ac:dyDescent="0.15">
      <c r="B102" s="1">
        <f>[1]节奏总纲!N102</f>
        <v>109</v>
      </c>
      <c r="C102" s="1">
        <v>99</v>
      </c>
      <c r="D102" s="1">
        <f>[1]节奏总纲!P102</f>
        <v>954.42578333369079</v>
      </c>
      <c r="E102" s="1">
        <f>[1]节奏总纲!Q102</f>
        <v>816.51125764197252</v>
      </c>
      <c r="F102" s="1">
        <f>[1]节奏总纲!R102</f>
        <v>658.6492330785801</v>
      </c>
      <c r="G102" s="1">
        <f>[1]节奏总纲!S102</f>
        <v>475.39948267851139</v>
      </c>
      <c r="H102" s="1">
        <f>[1]节奏总纲!T102</f>
        <v>257.59951892176309</v>
      </c>
      <c r="J102" s="1">
        <v>99</v>
      </c>
      <c r="K102" s="1">
        <f>[1]节奏总纲!W102</f>
        <v>63.982006518459684</v>
      </c>
      <c r="L102" s="1">
        <f>[1]节奏总纲!X102</f>
        <v>56.161316619446666</v>
      </c>
      <c r="M102" s="1">
        <f>[1]节奏总纲!Y102</f>
        <v>45.667737118974969</v>
      </c>
      <c r="N102" s="1">
        <f>[1]节奏总纲!Z102</f>
        <v>33.472236245112185</v>
      </c>
      <c r="O102" s="1">
        <f>[1]节奏总纲!AA102</f>
        <v>16.823521670924634</v>
      </c>
      <c r="Q102" s="1">
        <v>99</v>
      </c>
      <c r="R102" s="1">
        <f>[1]节奏总纲!AD102</f>
        <v>66.430041330048923</v>
      </c>
      <c r="S102" s="1">
        <f>[1]节奏总纲!AE102</f>
        <v>68.474323482747096</v>
      </c>
      <c r="T102" s="1">
        <f>[1]节奏总纲!AF102</f>
        <v>71.358760052209377</v>
      </c>
      <c r="U102" s="1">
        <f>[1]节奏总纲!AG102</f>
        <v>75.847892667718796</v>
      </c>
      <c r="V102" s="1">
        <f>[1]节奏总纲!AH102</f>
        <v>84.48660325846518</v>
      </c>
      <c r="AN102" s="1">
        <v>99</v>
      </c>
      <c r="AO102" s="1">
        <f>[1]节奏总纲!BA102</f>
        <v>37.970883629607592</v>
      </c>
      <c r="AP102" s="1">
        <f>[1]节奏总纲!BB102</f>
        <v>39.452918844531645</v>
      </c>
      <c r="AQ102" s="1">
        <f>[1]节奏总纲!BC102</f>
        <v>41.389172829914081</v>
      </c>
      <c r="AR102" s="1">
        <f>[1]节奏总纲!BD102</f>
        <v>44.132549776504064</v>
      </c>
      <c r="AS102" s="1">
        <f>[1]节奏总纲!BE102</f>
        <v>48.819774747187417</v>
      </c>
    </row>
    <row r="103" spans="2:45" x14ac:dyDescent="0.15">
      <c r="B103" s="1">
        <f>[1]节奏总纲!N103</f>
        <v>110</v>
      </c>
      <c r="C103" s="1">
        <v>100</v>
      </c>
      <c r="D103" s="1">
        <f>[1]节奏总纲!P103</f>
        <v>1023</v>
      </c>
      <c r="E103" s="1">
        <f>[1]节奏总纲!Q103</f>
        <v>875.38110000000006</v>
      </c>
      <c r="F103" s="1">
        <f>[1]节奏总纲!R103</f>
        <v>706.6884</v>
      </c>
      <c r="G103" s="1">
        <f>[1]节奏总纲!S103</f>
        <v>508.22640000000001</v>
      </c>
      <c r="H103" s="1">
        <f>[1]节奏总纲!T103</f>
        <v>274.77780000000001</v>
      </c>
      <c r="J103" s="1">
        <v>100</v>
      </c>
      <c r="K103" s="1">
        <f>[1]节奏总纲!W103</f>
        <v>68.574216666309212</v>
      </c>
      <c r="L103" s="1">
        <f>[1]节奏总纲!X103</f>
        <v>58.86984235802754</v>
      </c>
      <c r="M103" s="1">
        <f>[1]节奏总纲!Y103</f>
        <v>48.039166921419906</v>
      </c>
      <c r="N103" s="1">
        <f>[1]节奏总纲!Z103</f>
        <v>32.826917321488622</v>
      </c>
      <c r="O103" s="1">
        <f>[1]节奏总纲!AA103</f>
        <v>17.178281078236921</v>
      </c>
      <c r="Q103" s="1">
        <v>100</v>
      </c>
      <c r="R103" s="1">
        <f>[1]节奏总纲!AD103</f>
        <v>66.573669005078543</v>
      </c>
      <c r="S103" s="1">
        <f>[1]节奏总纲!AE103</f>
        <v>68.624026186650241</v>
      </c>
      <c r="T103" s="1">
        <f>[1]节奏总纲!AF103</f>
        <v>71.507242553125565</v>
      </c>
      <c r="U103" s="1">
        <f>[1]节奏总纲!AG103</f>
        <v>75.994435089338239</v>
      </c>
      <c r="V103" s="1">
        <f>[1]节奏总纲!AH103</f>
        <v>84.63183642223153</v>
      </c>
      <c r="AN103" s="1">
        <v>100</v>
      </c>
      <c r="AO103" s="1">
        <f>[1]节奏总纲!BA103</f>
        <v>38.037513426486328</v>
      </c>
      <c r="AP103" s="1">
        <f>[1]节奏总纲!BB103</f>
        <v>39.520459727922798</v>
      </c>
      <c r="AQ103" s="1">
        <f>[1]节奏总纲!BC103</f>
        <v>41.456216521733651</v>
      </c>
      <c r="AR103" s="1">
        <f>[1]节奏总纲!BD103</f>
        <v>44.197188392263818</v>
      </c>
      <c r="AS103" s="1">
        <f>[1]节奏总纲!BE103</f>
        <v>48.891560746825888</v>
      </c>
    </row>
    <row r="104" spans="2:45" x14ac:dyDescent="0.15">
      <c r="B104" s="1">
        <f>[1]节奏总纲!N104</f>
        <v>111</v>
      </c>
      <c r="C104" s="1">
        <v>101</v>
      </c>
      <c r="D104" s="1">
        <f>[1]节奏总纲!P104</f>
        <v>1096.4960256371633</v>
      </c>
      <c r="E104" s="1">
        <f>[1]节奏总纲!Q104</f>
        <v>939.14884595823037</v>
      </c>
      <c r="F104" s="1">
        <f>[1]节奏总纲!R104</f>
        <v>756.25330888195151</v>
      </c>
      <c r="G104" s="1">
        <f>[1]节奏总纲!S104</f>
        <v>541.99798547244984</v>
      </c>
      <c r="H104" s="1">
        <f>[1]节奏总纲!T104</f>
        <v>293.42233646050488</v>
      </c>
      <c r="J104" s="1">
        <v>101</v>
      </c>
      <c r="K104" s="1">
        <f>[1]节奏总纲!W104</f>
        <v>73.496025637163257</v>
      </c>
      <c r="L104" s="1">
        <f>[1]节奏总纲!X104</f>
        <v>63.767745958230307</v>
      </c>
      <c r="M104" s="1">
        <f>[1]节奏总纲!Y104</f>
        <v>49.56490888195151</v>
      </c>
      <c r="N104" s="1">
        <f>[1]节奏总纲!Z104</f>
        <v>33.771585472449829</v>
      </c>
      <c r="O104" s="1">
        <f>[1]节奏总纲!AA104</f>
        <v>18.644536460504867</v>
      </c>
      <c r="Q104" s="1">
        <v>101</v>
      </c>
      <c r="R104" s="1">
        <f>[1]节奏总纲!AD104</f>
        <v>66.717296680108163</v>
      </c>
      <c r="S104" s="1">
        <f>[1]节奏总纲!AE104</f>
        <v>68.773728890553386</v>
      </c>
      <c r="T104" s="1">
        <f>[1]节奏总纲!AF104</f>
        <v>71.655725054041767</v>
      </c>
      <c r="U104" s="1">
        <f>[1]节奏总纲!AG104</f>
        <v>76.130305911210229</v>
      </c>
      <c r="V104" s="1">
        <f>[1]节奏总纲!AH104</f>
        <v>84.777069585997879</v>
      </c>
      <c r="AN104" s="1">
        <v>101</v>
      </c>
      <c r="AO104" s="1">
        <f>[1]节奏总纲!BA104</f>
        <v>38.100143952724252</v>
      </c>
      <c r="AP104" s="1">
        <f>[1]节奏总纲!BB104</f>
        <v>39.588000611313952</v>
      </c>
      <c r="AQ104" s="1">
        <f>[1]节奏总纲!BC104</f>
        <v>41.523260213553229</v>
      </c>
      <c r="AR104" s="1">
        <f>[1]节奏总纲!BD104</f>
        <v>44.261827008023573</v>
      </c>
      <c r="AS104" s="1">
        <f>[1]节奏总纲!BE104</f>
        <v>48.96334674646436</v>
      </c>
    </row>
    <row r="105" spans="2:45" x14ac:dyDescent="0.15">
      <c r="B105" s="1">
        <f>[1]节奏总纲!N105</f>
        <v>112</v>
      </c>
      <c r="C105" s="1">
        <v>102</v>
      </c>
      <c r="D105" s="1">
        <f>[1]节奏总纲!P105</f>
        <v>1175.2671155169628</v>
      </c>
      <c r="E105" s="1">
        <f>[1]节奏总纲!Q105</f>
        <v>1004.2657502092447</v>
      </c>
      <c r="F105" s="1">
        <f>[1]节奏总纲!R105</f>
        <v>806.23324124463659</v>
      </c>
      <c r="G105" s="1">
        <f>[1]节奏总纲!S105</f>
        <v>577.99636741124232</v>
      </c>
      <c r="H105" s="1">
        <f>[1]节奏总纲!T105</f>
        <v>313.56126641992563</v>
      </c>
      <c r="J105" s="1">
        <v>102</v>
      </c>
      <c r="K105" s="1">
        <f>[1]节奏总纲!W105</f>
        <v>78.771089879799547</v>
      </c>
      <c r="L105" s="1">
        <f>[1]节奏总纲!X105</f>
        <v>65.116904251014375</v>
      </c>
      <c r="M105" s="1">
        <f>[1]节奏总纲!Y105</f>
        <v>49.979932362685076</v>
      </c>
      <c r="N105" s="1">
        <f>[1]节奏总纲!Z105</f>
        <v>35.998381938792477</v>
      </c>
      <c r="O105" s="1">
        <f>[1]节奏总纲!AA105</f>
        <v>20.13892995942075</v>
      </c>
      <c r="Q105" s="1">
        <v>102</v>
      </c>
      <c r="R105" s="1">
        <f>[1]节奏总纲!AD105</f>
        <v>66.860924355137783</v>
      </c>
      <c r="S105" s="1">
        <f>[1]节奏总纲!AE105</f>
        <v>68.923431594456531</v>
      </c>
      <c r="T105" s="1">
        <f>[1]节奏总纲!AF105</f>
        <v>71.804207554957955</v>
      </c>
      <c r="U105" s="1">
        <f>[1]节奏总纲!AG105</f>
        <v>76.265755485049056</v>
      </c>
      <c r="V105" s="1">
        <f>[1]节奏总纲!AH105</f>
        <v>84.922302749764228</v>
      </c>
      <c r="AN105" s="1">
        <v>102</v>
      </c>
      <c r="AO105" s="1">
        <f>[1]节奏总纲!BA105</f>
        <v>38.16277447896217</v>
      </c>
      <c r="AP105" s="1">
        <f>[1]节奏总纲!BB105</f>
        <v>39.655541494705105</v>
      </c>
      <c r="AQ105" s="1">
        <f>[1]节奏总纲!BC105</f>
        <v>41.590303905372799</v>
      </c>
      <c r="AR105" s="1">
        <f>[1]节奏总纲!BD105</f>
        <v>44.326465623783335</v>
      </c>
      <c r="AS105" s="1">
        <f>[1]节奏总纲!BE105</f>
        <v>49.030333272797542</v>
      </c>
    </row>
    <row r="106" spans="2:45" x14ac:dyDescent="0.15">
      <c r="B106" s="1">
        <f>[1]节奏总纲!N106</f>
        <v>113</v>
      </c>
      <c r="C106" s="1">
        <v>103</v>
      </c>
      <c r="D106" s="1">
        <f>[1]节奏总纲!P106</f>
        <v>1259.6918792651943</v>
      </c>
      <c r="E106" s="1">
        <f>[1]节奏总纲!Q106</f>
        <v>1073.383450321872</v>
      </c>
      <c r="F106" s="1">
        <f>[1]节奏总纲!R106</f>
        <v>861.50327622946634</v>
      </c>
      <c r="G106" s="1">
        <f>[1]节奏总纲!S106</f>
        <v>619.01258947091651</v>
      </c>
      <c r="H106" s="1">
        <f>[1]节奏总纲!T106</f>
        <v>335.8338550121008</v>
      </c>
      <c r="J106" s="1">
        <v>103</v>
      </c>
      <c r="K106" s="1">
        <f>[1]节奏总纲!W106</f>
        <v>84.424763748231499</v>
      </c>
      <c r="L106" s="1">
        <f>[1]节奏总纲!X106</f>
        <v>69.11770011262729</v>
      </c>
      <c r="M106" s="1">
        <f>[1]节奏总纲!Y106</f>
        <v>55.270034984829749</v>
      </c>
      <c r="N106" s="1">
        <f>[1]节奏总纲!Z106</f>
        <v>41.016222059674192</v>
      </c>
      <c r="O106" s="1">
        <f>[1]节奏总纲!AA106</f>
        <v>22.272588592175168</v>
      </c>
      <c r="Q106" s="1">
        <v>103</v>
      </c>
      <c r="R106" s="1">
        <f>[1]节奏总纲!AD106</f>
        <v>67.004247194324648</v>
      </c>
      <c r="S106" s="1">
        <f>[1]节奏总纲!AE106</f>
        <v>69.0655056802525</v>
      </c>
      <c r="T106" s="1">
        <f>[1]节奏总纲!AF106</f>
        <v>71.952690055874157</v>
      </c>
      <c r="U106" s="1">
        <f>[1]节奏总纲!AG106</f>
        <v>76.401205058887882</v>
      </c>
      <c r="V106" s="1">
        <f>[1]节奏总纲!AH106</f>
        <v>85.072521641060263</v>
      </c>
      <c r="AN106" s="1">
        <v>103</v>
      </c>
      <c r="AO106" s="1">
        <f>[1]节奏总纲!BA106</f>
        <v>38.225405005200088</v>
      </c>
      <c r="AP106" s="1">
        <f>[1]节奏总纲!BB106</f>
        <v>39.723082378096265</v>
      </c>
      <c r="AQ106" s="1">
        <f>[1]节奏总纲!BC106</f>
        <v>41.657347597192377</v>
      </c>
      <c r="AR106" s="1">
        <f>[1]节奏总纲!BD106</f>
        <v>44.39110423954309</v>
      </c>
      <c r="AS106" s="1">
        <f>[1]节奏总纲!BE106</f>
        <v>49.09231260978715</v>
      </c>
    </row>
    <row r="107" spans="2:45" x14ac:dyDescent="0.15">
      <c r="B107" s="1">
        <f>[1]节奏总纲!N107</f>
        <v>114</v>
      </c>
      <c r="C107" s="1">
        <v>104</v>
      </c>
      <c r="D107" s="1">
        <f>[1]节奏总纲!P107</f>
        <v>1350.1761006314437</v>
      </c>
      <c r="E107" s="1">
        <f>[1]节奏总纲!Q107</f>
        <v>1150.7550905681794</v>
      </c>
      <c r="F107" s="1">
        <f>[1]节奏总纲!R107</f>
        <v>925.41069937279144</v>
      </c>
      <c r="G107" s="1">
        <f>[1]节奏总纲!S107</f>
        <v>665.09674717104917</v>
      </c>
      <c r="H107" s="1">
        <f>[1]节奏总纲!T107</f>
        <v>360.49701886859549</v>
      </c>
      <c r="J107" s="1">
        <v>104</v>
      </c>
      <c r="K107" s="1">
        <f>[1]节奏总纲!W107</f>
        <v>90.484221366249358</v>
      </c>
      <c r="L107" s="1">
        <f>[1]节奏总纲!X107</f>
        <v>77.371640246307379</v>
      </c>
      <c r="M107" s="1">
        <f>[1]节奏总纲!Y107</f>
        <v>63.907423143325104</v>
      </c>
      <c r="N107" s="1">
        <f>[1]节奏总纲!Z107</f>
        <v>46.084157700132664</v>
      </c>
      <c r="O107" s="1">
        <f>[1]节奏总纲!AA107</f>
        <v>24.663163856494691</v>
      </c>
      <c r="Q107" s="1">
        <v>104</v>
      </c>
      <c r="R107" s="1">
        <f>[1]节奏总纲!AD107</f>
        <v>67.138256553625013</v>
      </c>
      <c r="S107" s="1">
        <f>[1]节奏总纲!AE107</f>
        <v>69.199592937186125</v>
      </c>
      <c r="T107" s="1">
        <f>[1]节奏总纲!AF107</f>
        <v>72.093818006439079</v>
      </c>
      <c r="U107" s="1">
        <f>[1]节奏总纲!AG107</f>
        <v>76.536654632726695</v>
      </c>
      <c r="V107" s="1">
        <f>[1]节奏总纲!AH107</f>
        <v>85.228476403824274</v>
      </c>
      <c r="AN107" s="1">
        <v>104</v>
      </c>
      <c r="AO107" s="1">
        <f>[1]节奏总纲!BA107</f>
        <v>38.288035531438013</v>
      </c>
      <c r="AP107" s="1">
        <f>[1]节奏总纲!BB107</f>
        <v>39.790623261487418</v>
      </c>
      <c r="AQ107" s="1">
        <f>[1]节奏总纲!BC107</f>
        <v>41.724391289011947</v>
      </c>
      <c r="AR107" s="1">
        <f>[1]节奏总纲!BD107</f>
        <v>44.455742855302844</v>
      </c>
      <c r="AS107" s="1">
        <f>[1]节奏总纲!BE107</f>
        <v>49.154291946776759</v>
      </c>
    </row>
    <row r="108" spans="2:45" x14ac:dyDescent="0.15">
      <c r="B108" s="1">
        <f>[1]节奏总纲!N108</f>
        <v>115</v>
      </c>
      <c r="C108" s="1">
        <v>105</v>
      </c>
      <c r="D108" s="1">
        <f>[1]节奏总纲!P108</f>
        <v>1447.1546878700494</v>
      </c>
      <c r="E108" s="1">
        <f>[1]节奏总纲!Q108</f>
        <v>1234.8570951595132</v>
      </c>
      <c r="F108" s="1">
        <f>[1]节奏总纲!R108</f>
        <v>993.18226228521496</v>
      </c>
      <c r="G108" s="1">
        <f>[1]节奏总纲!S108</f>
        <v>713.59197658872131</v>
      </c>
      <c r="H108" s="1">
        <f>[1]节奏总纲!T108</f>
        <v>386.39030166130323</v>
      </c>
      <c r="J108" s="1">
        <v>105</v>
      </c>
      <c r="K108" s="1">
        <f>[1]节奏总纲!W108</f>
        <v>96.978587238605769</v>
      </c>
      <c r="L108" s="1">
        <f>[1]节奏总纲!X108</f>
        <v>84.102004591333753</v>
      </c>
      <c r="M108" s="1">
        <f>[1]节奏总纲!Y108</f>
        <v>67.771562912423519</v>
      </c>
      <c r="N108" s="1">
        <f>[1]节奏总纲!Z108</f>
        <v>48.495229417672135</v>
      </c>
      <c r="O108" s="1">
        <f>[1]节奏总纲!AA108</f>
        <v>25.893282792707737</v>
      </c>
      <c r="Q108" s="1">
        <v>105</v>
      </c>
      <c r="R108" s="1">
        <f>[1]节奏总纲!AD108</f>
        <v>67.272265912925377</v>
      </c>
      <c r="S108" s="1">
        <f>[1]节奏总纲!AE108</f>
        <v>69.333680194119751</v>
      </c>
      <c r="T108" s="1">
        <f>[1]节奏总纲!AF108</f>
        <v>72.23150684883845</v>
      </c>
      <c r="U108" s="1">
        <f>[1]节奏总纲!AG108</f>
        <v>76.672104206565521</v>
      </c>
      <c r="V108" s="1">
        <f>[1]节奏总纲!AH108</f>
        <v>85.384431166588271</v>
      </c>
      <c r="AN108" s="1">
        <v>105</v>
      </c>
      <c r="AO108" s="1">
        <f>[1]节奏总纲!BA108</f>
        <v>38.35066605767593</v>
      </c>
      <c r="AP108" s="1">
        <f>[1]节奏总纲!BB108</f>
        <v>39.858164144878572</v>
      </c>
      <c r="AQ108" s="1">
        <f>[1]节奏总纲!BC108</f>
        <v>41.791434980831518</v>
      </c>
      <c r="AR108" s="1">
        <f>[1]节奏总纲!BD108</f>
        <v>44.520381471062606</v>
      </c>
      <c r="AS108" s="1">
        <f>[1]节奏总纲!BE108</f>
        <v>49.216271283766375</v>
      </c>
    </row>
    <row r="109" spans="2:45" x14ac:dyDescent="0.15">
      <c r="B109" s="1">
        <f>[1]节奏总纲!N109</f>
        <v>116</v>
      </c>
      <c r="C109" s="1">
        <v>106</v>
      </c>
      <c r="D109" s="1">
        <f>[1]节奏总纲!P109</f>
        <v>1551.0937641066464</v>
      </c>
      <c r="E109" s="1">
        <f>[1]节奏总纲!Q109</f>
        <v>1324.4789651706653</v>
      </c>
      <c r="F109" s="1">
        <f>[1]节奏总纲!R109</f>
        <v>1064.6707596828021</v>
      </c>
      <c r="G109" s="1">
        <f>[1]节奏总纲!S109</f>
        <v>764.3790069517554</v>
      </c>
      <c r="H109" s="1">
        <f>[1]节奏总纲!T109</f>
        <v>412.59094125236794</v>
      </c>
      <c r="J109" s="1">
        <v>106</v>
      </c>
      <c r="K109" s="1">
        <f>[1]节奏总纲!W109</f>
        <v>103.93907623659697</v>
      </c>
      <c r="L109" s="1">
        <f>[1]节奏总纲!X109</f>
        <v>89.621870011152168</v>
      </c>
      <c r="M109" s="1">
        <f>[1]节奏总纲!Y109</f>
        <v>71.488497397587139</v>
      </c>
      <c r="N109" s="1">
        <f>[1]节奏总纲!Z109</f>
        <v>50.787030363034091</v>
      </c>
      <c r="O109" s="1">
        <f>[1]节奏总纲!AA109</f>
        <v>26.200639591064714</v>
      </c>
      <c r="Q109" s="1">
        <v>106</v>
      </c>
      <c r="R109" s="1">
        <f>[1]节奏总纲!AD109</f>
        <v>67.406275272225741</v>
      </c>
      <c r="S109" s="1">
        <f>[1]节奏总纲!AE109</f>
        <v>69.467767451053362</v>
      </c>
      <c r="T109" s="1">
        <f>[1]节奏总纲!AF109</f>
        <v>72.369195691237806</v>
      </c>
      <c r="U109" s="1">
        <f>[1]节奏总纲!AG109</f>
        <v>76.807553780404334</v>
      </c>
      <c r="V109" s="1">
        <f>[1]节奏总纲!AH109</f>
        <v>85.540385929352269</v>
      </c>
      <c r="AN109" s="1">
        <v>106</v>
      </c>
      <c r="AO109" s="1">
        <f>[1]节奏总纲!BA109</f>
        <v>38.413296583913848</v>
      </c>
      <c r="AP109" s="1">
        <f>[1]节奏总纲!BB109</f>
        <v>39.925705028269732</v>
      </c>
      <c r="AQ109" s="1">
        <f>[1]节奏总纲!BC109</f>
        <v>41.858478672651096</v>
      </c>
      <c r="AR109" s="1">
        <f>[1]节奏总纲!BD109</f>
        <v>44.585020086822361</v>
      </c>
      <c r="AS109" s="1">
        <f>[1]节奏总纲!BE109</f>
        <v>49.278250620755983</v>
      </c>
    </row>
    <row r="110" spans="2:45" x14ac:dyDescent="0.15">
      <c r="B110" s="1">
        <f>[1]节奏总纲!N110</f>
        <v>117</v>
      </c>
      <c r="C110" s="1">
        <v>107</v>
      </c>
      <c r="D110" s="1">
        <f>[1]节奏总纲!P110</f>
        <v>1662.4929077375689</v>
      </c>
      <c r="E110" s="1">
        <f>[1]节奏总纲!Q110</f>
        <v>1418.9376967540152</v>
      </c>
      <c r="F110" s="1">
        <f>[1]节奏总纲!R110</f>
        <v>1141.6338797433884</v>
      </c>
      <c r="G110" s="1">
        <f>[1]节奏总纲!S110</f>
        <v>816.11776840837263</v>
      </c>
      <c r="H110" s="1">
        <f>[1]节奏总纲!T110</f>
        <v>440.22812196890823</v>
      </c>
      <c r="J110" s="1">
        <v>107</v>
      </c>
      <c r="K110" s="1">
        <f>[1]节奏总纲!W110</f>
        <v>111.39914363092248</v>
      </c>
      <c r="L110" s="1">
        <f>[1]节奏总纲!X110</f>
        <v>94.458731583349845</v>
      </c>
      <c r="M110" s="1">
        <f>[1]节奏总纲!Y110</f>
        <v>76.963120060586334</v>
      </c>
      <c r="N110" s="1">
        <f>[1]节奏总纲!Z110</f>
        <v>51.738761456617226</v>
      </c>
      <c r="O110" s="1">
        <f>[1]节奏总纲!AA110</f>
        <v>27.637180716540286</v>
      </c>
      <c r="Q110" s="1">
        <v>107</v>
      </c>
      <c r="R110" s="1">
        <f>[1]节奏总纲!AD110</f>
        <v>67.540284631526106</v>
      </c>
      <c r="S110" s="1">
        <f>[1]节奏总纲!AE110</f>
        <v>69.601854707986988</v>
      </c>
      <c r="T110" s="1">
        <f>[1]节奏总纲!AF110</f>
        <v>72.506884533637162</v>
      </c>
      <c r="U110" s="1">
        <f>[1]节奏总纲!AG110</f>
        <v>76.94300335424316</v>
      </c>
      <c r="V110" s="1">
        <f>[1]节奏总纲!AH110</f>
        <v>85.696340692116266</v>
      </c>
      <c r="AN110" s="1">
        <v>107</v>
      </c>
      <c r="AO110" s="1">
        <f>[1]节奏总纲!BA110</f>
        <v>38.475927110151773</v>
      </c>
      <c r="AP110" s="1">
        <f>[1]节奏总纲!BB110</f>
        <v>39.993245911660885</v>
      </c>
      <c r="AQ110" s="1">
        <f>[1]节奏总纲!BC110</f>
        <v>41.925522364470666</v>
      </c>
      <c r="AR110" s="1">
        <f>[1]节奏总纲!BD110</f>
        <v>44.649658702582116</v>
      </c>
      <c r="AS110" s="1">
        <f>[1]节奏总纲!BE110</f>
        <v>49.340229957745592</v>
      </c>
    </row>
    <row r="111" spans="2:45" x14ac:dyDescent="0.15">
      <c r="B111" s="1">
        <f>[1]节奏总纲!N111</f>
        <v>118</v>
      </c>
      <c r="C111" s="1">
        <v>108</v>
      </c>
      <c r="D111" s="1">
        <f>[1]节奏总纲!P111</f>
        <v>1781.8875536304624</v>
      </c>
      <c r="E111" s="1">
        <f>[1]节奏总纲!Q111</f>
        <v>1520.8410270235997</v>
      </c>
      <c r="F111" s="1">
        <f>[1]节奏总纲!R111</f>
        <v>1218.0983316617842</v>
      </c>
      <c r="G111" s="1">
        <f>[1]节奏总纲!S111</f>
        <v>871.69939123602228</v>
      </c>
      <c r="H111" s="1">
        <f>[1]节奏总纲!T111</f>
        <v>471.13106917989433</v>
      </c>
      <c r="J111" s="1">
        <v>108</v>
      </c>
      <c r="K111" s="1">
        <f>[1]节奏总纲!W111</f>
        <v>119.39464589289355</v>
      </c>
      <c r="L111" s="1">
        <f>[1]节奏总纲!X111</f>
        <v>101.90333026958456</v>
      </c>
      <c r="M111" s="1">
        <f>[1]节奏总纲!Y111</f>
        <v>76.464451918395753</v>
      </c>
      <c r="N111" s="1">
        <f>[1]节奏总纲!Z111</f>
        <v>55.581622827649653</v>
      </c>
      <c r="O111" s="1">
        <f>[1]节奏总纲!AA111</f>
        <v>30.902947210986099</v>
      </c>
      <c r="Q111" s="1">
        <v>108</v>
      </c>
      <c r="R111" s="1">
        <f>[1]节奏总纲!AD111</f>
        <v>67.674293990826456</v>
      </c>
      <c r="S111" s="1">
        <f>[1]节奏总纲!AE111</f>
        <v>69.735941964920613</v>
      </c>
      <c r="T111" s="1">
        <f>[1]节奏总纲!AF111</f>
        <v>72.644573376036519</v>
      </c>
      <c r="U111" s="1">
        <f>[1]节奏总纲!AG111</f>
        <v>77.074762810762508</v>
      </c>
      <c r="V111" s="1">
        <f>[1]节奏总纲!AH111</f>
        <v>85.852295454880277</v>
      </c>
      <c r="AN111" s="1">
        <v>108</v>
      </c>
      <c r="AO111" s="1">
        <f>[1]节奏总纲!BA111</f>
        <v>38.53855763638969</v>
      </c>
      <c r="AP111" s="1">
        <f>[1]节奏总纲!BB111</f>
        <v>40.052446592012309</v>
      </c>
      <c r="AQ111" s="1">
        <f>[1]节奏总纲!BC111</f>
        <v>41.992566056290244</v>
      </c>
      <c r="AR111" s="1">
        <f>[1]节奏总纲!BD111</f>
        <v>44.71429731834187</v>
      </c>
      <c r="AS111" s="1">
        <f>[1]节奏总纲!BE111</f>
        <v>49.402209294735208</v>
      </c>
    </row>
    <row r="112" spans="2:45" x14ac:dyDescent="0.15">
      <c r="B112" s="1">
        <f>[1]节奏总纲!N112</f>
        <v>119</v>
      </c>
      <c r="C112" s="1">
        <v>109</v>
      </c>
      <c r="D112" s="1">
        <f>[1]节奏总纲!P112</f>
        <v>1909.8515666673818</v>
      </c>
      <c r="E112" s="1">
        <f>[1]节奏总纲!Q112</f>
        <v>1624.7107277639418</v>
      </c>
      <c r="F112" s="1">
        <f>[1]节奏总纲!R112</f>
        <v>1301.5638426838207</v>
      </c>
      <c r="G112" s="1">
        <f>[1]节奏总纲!S112</f>
        <v>931.81657937701561</v>
      </c>
      <c r="H112" s="1">
        <f>[1]节奏总纲!T112</f>
        <v>504.58278391352223</v>
      </c>
      <c r="J112" s="1">
        <v>109</v>
      </c>
      <c r="K112" s="1">
        <f>[1]节奏总纲!W112</f>
        <v>127.96401303691937</v>
      </c>
      <c r="L112" s="1">
        <f>[1]节奏总纲!X112</f>
        <v>103.86970074034207</v>
      </c>
      <c r="M112" s="1">
        <f>[1]节奏总纲!Y112</f>
        <v>83.46551102203648</v>
      </c>
      <c r="N112" s="1">
        <f>[1]节奏总纲!Z112</f>
        <v>60.117188140993335</v>
      </c>
      <c r="O112" s="1">
        <f>[1]节奏总纲!AA112</f>
        <v>33.451714733627909</v>
      </c>
      <c r="Q112" s="1">
        <v>109</v>
      </c>
      <c r="R112" s="1">
        <f>[1]节奏总纲!AD112</f>
        <v>67.80830335012682</v>
      </c>
      <c r="S112" s="1">
        <f>[1]节奏总纲!AE112</f>
        <v>69.870029221854239</v>
      </c>
      <c r="T112" s="1">
        <f>[1]节奏总纲!AF112</f>
        <v>72.782262218435889</v>
      </c>
      <c r="U112" s="1">
        <f>[1]节奏总纲!AG112</f>
        <v>77.203841369133116</v>
      </c>
      <c r="V112" s="1">
        <f>[1]节奏总纲!AH112</f>
        <v>86.007776715139968</v>
      </c>
      <c r="AN112" s="1">
        <v>109</v>
      </c>
      <c r="AO112" s="1">
        <f>[1]节奏总纲!BA112</f>
        <v>38.601188162627608</v>
      </c>
      <c r="AP112" s="1">
        <f>[1]节奏总纲!BB112</f>
        <v>40.110720583137102</v>
      </c>
      <c r="AQ112" s="1">
        <f>[1]节奏总纲!BC112</f>
        <v>42.051439554347354</v>
      </c>
      <c r="AR112" s="1">
        <f>[1]节奏总纲!BD112</f>
        <v>44.778935934101632</v>
      </c>
      <c r="AS112" s="1">
        <f>[1]节奏总纲!BE112</f>
        <v>49.464188631724817</v>
      </c>
    </row>
    <row r="113" spans="2:45" x14ac:dyDescent="0.15">
      <c r="B113" s="1">
        <f>[1]节奏总纲!N113</f>
        <v>120</v>
      </c>
      <c r="C113" s="1">
        <v>110</v>
      </c>
      <c r="D113" s="1">
        <f>[1]节奏总纲!P113</f>
        <v>2047</v>
      </c>
      <c r="E113" s="1">
        <f>[1]节奏总纲!Q113</f>
        <v>1741.3829000000001</v>
      </c>
      <c r="F113" s="1">
        <f>[1]节奏总纲!R113</f>
        <v>1397.2821999999999</v>
      </c>
      <c r="G113" s="1">
        <f>[1]节奏总纲!S113</f>
        <v>1001.3924000000001</v>
      </c>
      <c r="H113" s="1">
        <f>[1]节奏总纲!T113</f>
        <v>542.04559999999992</v>
      </c>
      <c r="J113" s="1">
        <v>110</v>
      </c>
      <c r="K113" s="1">
        <f>[1]节奏总纲!W113</f>
        <v>137.1484333326182</v>
      </c>
      <c r="L113" s="1">
        <f>[1]节奏总纲!X113</f>
        <v>116.67217223605826</v>
      </c>
      <c r="M113" s="1">
        <f>[1]节奏总纲!Y113</f>
        <v>95.718357316179208</v>
      </c>
      <c r="N113" s="1">
        <f>[1]节奏总纲!Z113</f>
        <v>69.575820622984452</v>
      </c>
      <c r="O113" s="1">
        <f>[1]节奏总纲!AA113</f>
        <v>37.462816086477687</v>
      </c>
      <c r="Q113" s="1">
        <v>110</v>
      </c>
      <c r="R113" s="1">
        <f>[1]节奏总纲!AD113</f>
        <v>67.942312709427185</v>
      </c>
      <c r="S113" s="1">
        <f>[1]节奏总纲!AE113</f>
        <v>70.003807055133578</v>
      </c>
      <c r="T113" s="1">
        <f>[1]节奏总纲!AF113</f>
        <v>72.919951060835245</v>
      </c>
      <c r="U113" s="1">
        <f>[1]节奏总纲!AG113</f>
        <v>77.332919927503724</v>
      </c>
      <c r="V113" s="1">
        <f>[1]节奏总纲!AH113</f>
        <v>86.154780808490045</v>
      </c>
      <c r="AN113" s="1">
        <v>110</v>
      </c>
      <c r="AO113" s="1">
        <f>[1]节奏总纲!BA113</f>
        <v>38.663818688865533</v>
      </c>
      <c r="AP113" s="1">
        <f>[1]节奏总纲!BB113</f>
        <v>40.168994574261895</v>
      </c>
      <c r="AQ113" s="1">
        <f>[1]节奏总纲!BC113</f>
        <v>42.109294145892463</v>
      </c>
      <c r="AR113" s="1">
        <f>[1]节奏总纲!BD113</f>
        <v>44.843574549861387</v>
      </c>
      <c r="AS113" s="1">
        <f>[1]节奏总纲!BE113</f>
        <v>49.526167968714425</v>
      </c>
    </row>
    <row r="114" spans="2:45" x14ac:dyDescent="0.15">
      <c r="B114" s="1">
        <f>[1]节奏总纲!N114</f>
        <v>121</v>
      </c>
      <c r="C114" s="1">
        <v>111</v>
      </c>
      <c r="D114" s="1">
        <f>[1]节奏总纲!P114</f>
        <v>2193.9920512743265</v>
      </c>
      <c r="E114" s="1">
        <f>[1]节奏总纲!Q114</f>
        <v>1869.0618284805987</v>
      </c>
      <c r="F114" s="1">
        <f>[1]节奏总纲!R114</f>
        <v>1500.4711638665117</v>
      </c>
      <c r="G114" s="1">
        <f>[1]节奏总纲!S114</f>
        <v>1076.5918995603122</v>
      </c>
      <c r="H114" s="1">
        <f>[1]节奏总纲!T114</f>
        <v>583.16308722871599</v>
      </c>
      <c r="J114" s="1">
        <v>111</v>
      </c>
      <c r="K114" s="1">
        <f>[1]节奏总纲!W114</f>
        <v>146.99205127432651</v>
      </c>
      <c r="L114" s="1">
        <f>[1]节奏总纲!X114</f>
        <v>127.67892848059864</v>
      </c>
      <c r="M114" s="1">
        <f>[1]节奏总纲!Y114</f>
        <v>103.18896386651181</v>
      </c>
      <c r="N114" s="1">
        <f>[1]节奏总纲!Z114</f>
        <v>75.19949956031212</v>
      </c>
      <c r="O114" s="1">
        <f>[1]节奏总纲!AA114</f>
        <v>41.117487228716072</v>
      </c>
      <c r="Q114" s="1">
        <v>111</v>
      </c>
      <c r="R114" s="1">
        <f>[1]节奏总纲!AD114</f>
        <v>68.071211008105138</v>
      </c>
      <c r="S114" s="1">
        <f>[1]节奏总纲!AE114</f>
        <v>70.127815365673797</v>
      </c>
      <c r="T114" s="1">
        <f>[1]节奏总纲!AF114</f>
        <v>73.051543220271398</v>
      </c>
      <c r="U114" s="1">
        <f>[1]节奏总纲!AG114</f>
        <v>77.461998485874332</v>
      </c>
      <c r="V114" s="1">
        <f>[1]节奏总纲!AH114</f>
        <v>86.301784901840136</v>
      </c>
      <c r="AN114" s="1">
        <v>111</v>
      </c>
      <c r="AO114" s="1">
        <f>[1]节奏总纲!BA114</f>
        <v>38.72644921510345</v>
      </c>
      <c r="AP114" s="1">
        <f>[1]节奏总纲!BB114</f>
        <v>40.227268565386687</v>
      </c>
      <c r="AQ114" s="1">
        <f>[1]节奏总纲!BC114</f>
        <v>42.167148737437572</v>
      </c>
      <c r="AR114" s="1">
        <f>[1]节奏总纲!BD114</f>
        <v>44.908213165621142</v>
      </c>
      <c r="AS114" s="1">
        <f>[1]节奏总纲!BE114</f>
        <v>49.588147305704041</v>
      </c>
    </row>
    <row r="115" spans="2:45" x14ac:dyDescent="0.15">
      <c r="B115" s="1">
        <f>[1]节奏总纲!N115</f>
        <v>122</v>
      </c>
      <c r="C115" s="1">
        <v>112</v>
      </c>
      <c r="D115" s="1">
        <f>[1]节奏总纲!P115</f>
        <v>2351.5342310339256</v>
      </c>
      <c r="E115" s="1">
        <f>[1]节奏总纲!Q115</f>
        <v>2004.6829319564217</v>
      </c>
      <c r="F115" s="1">
        <f>[1]节奏总纲!R115</f>
        <v>1609.3900277196187</v>
      </c>
      <c r="G115" s="1">
        <f>[1]节奏总纲!S115</f>
        <v>1155.3087677069677</v>
      </c>
      <c r="H115" s="1">
        <f>[1]节奏总纲!T115</f>
        <v>623.15657122399034</v>
      </c>
      <c r="J115" s="1">
        <v>112</v>
      </c>
      <c r="K115" s="1">
        <f>[1]节奏总纲!W115</f>
        <v>157.54217975959909</v>
      </c>
      <c r="L115" s="1">
        <f>[1]节奏总纲!X115</f>
        <v>135.62110347582302</v>
      </c>
      <c r="M115" s="1">
        <f>[1]节奏总纲!Y115</f>
        <v>108.91886385310704</v>
      </c>
      <c r="N115" s="1">
        <f>[1]节奏总纲!Z115</f>
        <v>78.716868146655543</v>
      </c>
      <c r="O115" s="1">
        <f>[1]节奏总纲!AA115</f>
        <v>39.993483995274346</v>
      </c>
      <c r="Q115" s="1">
        <v>112</v>
      </c>
      <c r="R115" s="1">
        <f>[1]节奏总纲!AD115</f>
        <v>68.196246161507091</v>
      </c>
      <c r="S115" s="1">
        <f>[1]节奏总纲!AE115</f>
        <v>70.251823676214016</v>
      </c>
      <c r="T115" s="1">
        <f>[1]节奏总纲!AF115</f>
        <v>73.174668450093861</v>
      </c>
      <c r="U115" s="1">
        <f>[1]节奏总纲!AG115</f>
        <v>77.591077044244926</v>
      </c>
      <c r="V115" s="1">
        <f>[1]节奏总纲!AH115</f>
        <v>86.448788995190213</v>
      </c>
      <c r="AN115" s="1">
        <v>112</v>
      </c>
      <c r="AO115" s="1">
        <f>[1]节奏总纲!BA115</f>
        <v>38.789079741341368</v>
      </c>
      <c r="AP115" s="1">
        <f>[1]节奏总纲!BB115</f>
        <v>40.28554255651148</v>
      </c>
      <c r="AQ115" s="1">
        <f>[1]节奏总纲!BC115</f>
        <v>42.225003328982673</v>
      </c>
      <c r="AR115" s="1">
        <f>[1]节奏总纲!BD115</f>
        <v>44.972851781380903</v>
      </c>
      <c r="AS115" s="1">
        <f>[1]节奏总纲!BE115</f>
        <v>49.65012664269365</v>
      </c>
    </row>
    <row r="116" spans="2:45" x14ac:dyDescent="0.15">
      <c r="B116" s="1">
        <f>[1]节奏总纲!N116</f>
        <v>123</v>
      </c>
      <c r="C116" s="1">
        <v>113</v>
      </c>
      <c r="D116" s="1">
        <f>[1]节奏总纲!P116</f>
        <v>2520.3837585303886</v>
      </c>
      <c r="E116" s="1">
        <f>[1]节奏总纲!Q116</f>
        <v>2149.6353076505684</v>
      </c>
      <c r="F116" s="1">
        <f>[1]节奏总纲!R116</f>
        <v>1726.7149129691693</v>
      </c>
      <c r="G116" s="1">
        <f>[1]节奏总纲!S116</f>
        <v>1235.7441568074496</v>
      </c>
      <c r="H116" s="1">
        <f>[1]节奏总纲!T116</f>
        <v>665.63335062787564</v>
      </c>
      <c r="J116" s="1">
        <v>113</v>
      </c>
      <c r="K116" s="1">
        <f>[1]节奏总纲!W116</f>
        <v>168.849527496463</v>
      </c>
      <c r="L116" s="1">
        <f>[1]节奏总纲!X116</f>
        <v>144.95237569414667</v>
      </c>
      <c r="M116" s="1">
        <f>[1]节奏总纲!Y116</f>
        <v>117.32488524955056</v>
      </c>
      <c r="N116" s="1">
        <f>[1]节奏总纲!Z116</f>
        <v>80.435389100481871</v>
      </c>
      <c r="O116" s="1">
        <f>[1]节奏总纲!AA116</f>
        <v>42.476779403885303</v>
      </c>
      <c r="Q116" s="1">
        <v>113</v>
      </c>
      <c r="R116" s="1">
        <f>[1]节奏总纲!AD116</f>
        <v>68.321281314909029</v>
      </c>
      <c r="S116" s="1">
        <f>[1]节奏总纲!AE116</f>
        <v>70.375831986754235</v>
      </c>
      <c r="T116" s="1">
        <f>[1]节奏总纲!AF116</f>
        <v>73.297793679916325</v>
      </c>
      <c r="U116" s="1">
        <f>[1]节奏总纲!AG116</f>
        <v>77.720155602615534</v>
      </c>
      <c r="V116" s="1">
        <f>[1]节奏总纲!AH116</f>
        <v>86.595793088540304</v>
      </c>
      <c r="AN116" s="1">
        <v>113</v>
      </c>
      <c r="AO116" s="1">
        <f>[1]节奏总纲!BA116</f>
        <v>38.851710267579293</v>
      </c>
      <c r="AP116" s="1">
        <f>[1]节奏总纲!BB116</f>
        <v>40.343816547636273</v>
      </c>
      <c r="AQ116" s="1">
        <f>[1]节奏总纲!BC116</f>
        <v>42.282857920527782</v>
      </c>
      <c r="AR116" s="1">
        <f>[1]节奏总纲!BD116</f>
        <v>45.032359480672049</v>
      </c>
      <c r="AS116" s="1">
        <f>[1]节奏总纲!BE116</f>
        <v>49.712105979683258</v>
      </c>
    </row>
    <row r="117" spans="2:45" x14ac:dyDescent="0.15">
      <c r="B117" s="1">
        <f>[1]节奏总纲!N117</f>
        <v>124</v>
      </c>
      <c r="C117" s="1">
        <v>114</v>
      </c>
      <c r="D117" s="1">
        <f>[1]节奏总纲!P117</f>
        <v>2701.3522012628878</v>
      </c>
      <c r="E117" s="1">
        <f>[1]节奏总纲!Q117</f>
        <v>2304.5235628973696</v>
      </c>
      <c r="F117" s="1">
        <f>[1]节奏总纲!R117</f>
        <v>1846.3742295631837</v>
      </c>
      <c r="G117" s="1">
        <f>[1]节奏总纲!S117</f>
        <v>1319.3404150967945</v>
      </c>
      <c r="H117" s="1">
        <f>[1]节奏总纲!T117</f>
        <v>710.99589937239205</v>
      </c>
      <c r="J117" s="1">
        <v>114</v>
      </c>
      <c r="K117" s="1">
        <f>[1]节奏总纲!W117</f>
        <v>180.96844273249917</v>
      </c>
      <c r="L117" s="1">
        <f>[1]节奏总纲!X117</f>
        <v>154.88825524680124</v>
      </c>
      <c r="M117" s="1">
        <f>[1]节奏总纲!Y117</f>
        <v>119.6593165940144</v>
      </c>
      <c r="N117" s="1">
        <f>[1]节奏总纲!Z117</f>
        <v>83.59625828934486</v>
      </c>
      <c r="O117" s="1">
        <f>[1]节奏总纲!AA117</f>
        <v>45.362548744516403</v>
      </c>
      <c r="Q117" s="1">
        <v>114</v>
      </c>
      <c r="R117" s="1">
        <f>[1]节奏总纲!AD117</f>
        <v>68.446316468310982</v>
      </c>
      <c r="S117" s="1">
        <f>[1]节奏总纲!AE117</f>
        <v>70.499840297294455</v>
      </c>
      <c r="T117" s="1">
        <f>[1]节奏总纲!AF117</f>
        <v>73.420918909738774</v>
      </c>
      <c r="U117" s="1">
        <f>[1]节奏总纲!AG117</f>
        <v>77.849234160986143</v>
      </c>
      <c r="V117" s="1">
        <f>[1]节奏总纲!AH117</f>
        <v>86.742797181890381</v>
      </c>
      <c r="AN117" s="1">
        <v>114</v>
      </c>
      <c r="AO117" s="1">
        <f>[1]节奏总纲!BA117</f>
        <v>38.91434079381721</v>
      </c>
      <c r="AP117" s="1">
        <f>[1]节奏总纲!BB117</f>
        <v>40.402090538761065</v>
      </c>
      <c r="AQ117" s="1">
        <f>[1]节奏总纲!BC117</f>
        <v>42.340712512072891</v>
      </c>
      <c r="AR117" s="1">
        <f>[1]节奏总纲!BD117</f>
        <v>45.088151688727308</v>
      </c>
      <c r="AS117" s="1">
        <f>[1]节奏总纲!BE117</f>
        <v>49.774085316672867</v>
      </c>
    </row>
    <row r="118" spans="2:45" x14ac:dyDescent="0.15">
      <c r="B118" s="1">
        <f>[1]节奏总纲!N118</f>
        <v>125</v>
      </c>
      <c r="C118" s="1">
        <v>115</v>
      </c>
      <c r="D118" s="1">
        <f>[1]节奏总纲!P118</f>
        <v>2895.3093757400989</v>
      </c>
      <c r="E118" s="1">
        <f>[1]节奏总纲!Q118</f>
        <v>2463.0396859421021</v>
      </c>
      <c r="F118" s="1">
        <f>[1]节奏总纲!R118</f>
        <v>1969.9684992535633</v>
      </c>
      <c r="G118" s="1">
        <f>[1]节奏总纲!S118</f>
        <v>1407.1203566096881</v>
      </c>
      <c r="H118" s="1">
        <f>[1]节奏总纲!T118</f>
        <v>758.86058738147995</v>
      </c>
      <c r="J118" s="1">
        <v>115</v>
      </c>
      <c r="K118" s="1">
        <f>[1]节奏总纲!W118</f>
        <v>193.95717447721108</v>
      </c>
      <c r="L118" s="1">
        <f>[1]节奏总纲!X118</f>
        <v>158.51612304473247</v>
      </c>
      <c r="M118" s="1">
        <f>[1]节奏总纲!Y118</f>
        <v>123.59426969037963</v>
      </c>
      <c r="N118" s="1">
        <f>[1]节奏总纲!Z118</f>
        <v>87.779941512893629</v>
      </c>
      <c r="O118" s="1">
        <f>[1]节奏总纲!AA118</f>
        <v>47.864688009087899</v>
      </c>
      <c r="Q118" s="1">
        <v>115</v>
      </c>
      <c r="R118" s="1">
        <f>[1]节奏总纲!AD118</f>
        <v>68.571351621712935</v>
      </c>
      <c r="S118" s="1">
        <f>[1]节奏总纲!AE118</f>
        <v>70.623848607834674</v>
      </c>
      <c r="T118" s="1">
        <f>[1]节奏总纲!AF118</f>
        <v>73.544044139561237</v>
      </c>
      <c r="U118" s="1">
        <f>[1]节奏总纲!AG118</f>
        <v>77.978312719356751</v>
      </c>
      <c r="V118" s="1">
        <f>[1]节奏总纲!AH118</f>
        <v>86.889801275240458</v>
      </c>
      <c r="AN118" s="1">
        <v>115</v>
      </c>
      <c r="AO118" s="1">
        <f>[1]节奏总纲!BA118</f>
        <v>38.976971320055128</v>
      </c>
      <c r="AP118" s="1">
        <f>[1]节奏总纲!BB118</f>
        <v>40.460364529885858</v>
      </c>
      <c r="AQ118" s="1">
        <f>[1]节奏总纲!BC118</f>
        <v>42.398567103617999</v>
      </c>
      <c r="AR118" s="1">
        <f>[1]节奏总纲!BD118</f>
        <v>45.143943896782567</v>
      </c>
      <c r="AS118" s="1">
        <f>[1]节奏总纲!BE118</f>
        <v>49.836064653662483</v>
      </c>
    </row>
    <row r="119" spans="2:45" x14ac:dyDescent="0.15">
      <c r="B119" s="1">
        <f>[1]节奏总纲!N119</f>
        <v>126</v>
      </c>
      <c r="C119" s="1">
        <v>116</v>
      </c>
      <c r="D119" s="1">
        <f>[1]节奏总纲!P119</f>
        <v>3103.1875282132928</v>
      </c>
      <c r="E119" s="1">
        <f>[1]节奏总纲!Q119</f>
        <v>2636.7784427228348</v>
      </c>
      <c r="F119" s="1">
        <f>[1]节奏总纲!R119</f>
        <v>2108.9262441737537</v>
      </c>
      <c r="G119" s="1">
        <f>[1]节奏总纲!S119</f>
        <v>1509.0800949701243</v>
      </c>
      <c r="H119" s="1">
        <f>[1]节奏总纲!T119</f>
        <v>813.34545114470404</v>
      </c>
      <c r="J119" s="1">
        <v>116</v>
      </c>
      <c r="K119" s="1">
        <f>[1]节奏总纲!W119</f>
        <v>207.87815247319395</v>
      </c>
      <c r="L119" s="1">
        <f>[1]节奏总纲!X119</f>
        <v>173.73875678073273</v>
      </c>
      <c r="M119" s="1">
        <f>[1]节奏总纲!Y119</f>
        <v>138.95774492019041</v>
      </c>
      <c r="N119" s="1">
        <f>[1]节奏总纲!Z119</f>
        <v>101.95973836043618</v>
      </c>
      <c r="O119" s="1">
        <f>[1]节奏总纲!AA119</f>
        <v>54.484863763224098</v>
      </c>
      <c r="Q119" s="1">
        <v>116</v>
      </c>
      <c r="R119" s="1">
        <f>[1]节奏总纲!AD119</f>
        <v>68.696386775114874</v>
      </c>
      <c r="S119" s="1">
        <f>[1]节奏总纲!AE119</f>
        <v>70.747856918374893</v>
      </c>
      <c r="T119" s="1">
        <f>[1]节奏总纲!AF119</f>
        <v>73.667169369383686</v>
      </c>
      <c r="U119" s="1">
        <f>[1]节奏总纲!AG119</f>
        <v>78.10469841238104</v>
      </c>
      <c r="V119" s="1">
        <f>[1]节奏总纲!AH119</f>
        <v>87.033659382136349</v>
      </c>
      <c r="AN119" s="1">
        <v>116</v>
      </c>
      <c r="AO119" s="1">
        <f>[1]节奏总纲!BA119</f>
        <v>39.034165367506482</v>
      </c>
      <c r="AP119" s="1">
        <f>[1]节奏总纲!BB119</f>
        <v>40.518638521010644</v>
      </c>
      <c r="AQ119" s="1">
        <f>[1]节奏总纲!BC119</f>
        <v>42.456421695163108</v>
      </c>
      <c r="AR119" s="1">
        <f>[1]节奏总纲!BD119</f>
        <v>45.199736104837825</v>
      </c>
      <c r="AS119" s="1">
        <f>[1]节奏总纲!BE119</f>
        <v>49.898043990652091</v>
      </c>
    </row>
    <row r="120" spans="2:45" x14ac:dyDescent="0.15">
      <c r="B120" s="1">
        <f>[1]节奏总纲!N120</f>
        <v>127</v>
      </c>
      <c r="C120" s="1">
        <v>117</v>
      </c>
      <c r="D120" s="1">
        <f>[1]节奏总纲!P120</f>
        <v>3325.985815475135</v>
      </c>
      <c r="E120" s="1">
        <f>[1]节奏总纲!Q120</f>
        <v>2826.7553445723174</v>
      </c>
      <c r="F120" s="1">
        <f>[1]节奏总纲!R120</f>
        <v>2262.6681502677343</v>
      </c>
      <c r="G120" s="1">
        <f>[1]节奏总纲!S120</f>
        <v>1618.0920992286531</v>
      </c>
      <c r="H120" s="1">
        <f>[1]节奏总纲!T120</f>
        <v>873.07127656222303</v>
      </c>
      <c r="J120" s="1">
        <v>117</v>
      </c>
      <c r="K120" s="1">
        <f>[1]节奏总纲!W120</f>
        <v>222.79828726184223</v>
      </c>
      <c r="L120" s="1">
        <f>[1]节奏总纲!X120</f>
        <v>189.9769018494826</v>
      </c>
      <c r="M120" s="1">
        <f>[1]节奏总纲!Y120</f>
        <v>153.74190609398056</v>
      </c>
      <c r="N120" s="1">
        <f>[1]节奏总纲!Z120</f>
        <v>109.0120042585288</v>
      </c>
      <c r="O120" s="1">
        <f>[1]节奏总纲!AA120</f>
        <v>59.72582541751899</v>
      </c>
      <c r="Q120" s="1">
        <v>117</v>
      </c>
      <c r="R120" s="1">
        <f>[1]节奏总纲!AD120</f>
        <v>68.821421928516827</v>
      </c>
      <c r="S120" s="1">
        <f>[1]节奏总纲!AE120</f>
        <v>70.871865228915112</v>
      </c>
      <c r="T120" s="1">
        <f>[1]节奏总纲!AF120</f>
        <v>73.790294599206149</v>
      </c>
      <c r="U120" s="1">
        <f>[1]节奏总纲!AG120</f>
        <v>78.230540290975199</v>
      </c>
      <c r="V120" s="1">
        <f>[1]节奏总纲!AH120</f>
        <v>87.168098110592624</v>
      </c>
      <c r="AN120" s="1">
        <v>117</v>
      </c>
      <c r="AO120" s="1">
        <f>[1]节奏总纲!BA120</f>
        <v>39.088198074219406</v>
      </c>
      <c r="AP120" s="1">
        <f>[1]节奏总纲!BB120</f>
        <v>40.576912512135436</v>
      </c>
      <c r="AQ120" s="1">
        <f>[1]节奏总纲!BC120</f>
        <v>42.51427628670821</v>
      </c>
      <c r="AR120" s="1">
        <f>[1]节奏总纲!BD120</f>
        <v>45.255528312893091</v>
      </c>
      <c r="AS120" s="1">
        <f>[1]节奏总纲!BE120</f>
        <v>49.9600233276417</v>
      </c>
    </row>
    <row r="121" spans="2:45" x14ac:dyDescent="0.15">
      <c r="B121" s="1">
        <f>[1]节奏总纲!N121</f>
        <v>128</v>
      </c>
      <c r="C121" s="1">
        <v>118</v>
      </c>
      <c r="D121" s="1">
        <f>[1]节奏总纲!P121</f>
        <v>3564.7751072609281</v>
      </c>
      <c r="E121" s="1">
        <f>[1]节奏总纲!Q121</f>
        <v>3030.4153186825147</v>
      </c>
      <c r="F121" s="1">
        <f>[1]节奏总纲!R121</f>
        <v>2426.1859380017877</v>
      </c>
      <c r="G121" s="1">
        <f>[1]节奏总纲!S121</f>
        <v>1737.4713872789764</v>
      </c>
      <c r="H121" s="1">
        <f>[1]节奏总纲!T121</f>
        <v>936.10994316671975</v>
      </c>
      <c r="J121" s="1">
        <v>118</v>
      </c>
      <c r="K121" s="1">
        <f>[1]节奏总纲!W121</f>
        <v>238.78929178579301</v>
      </c>
      <c r="L121" s="1">
        <f>[1]节奏总纲!X121</f>
        <v>203.65997411019725</v>
      </c>
      <c r="M121" s="1">
        <f>[1]节奏总纲!Y121</f>
        <v>163.5177877340534</v>
      </c>
      <c r="N121" s="1">
        <f>[1]节奏总纲!Z121</f>
        <v>119.37928805032334</v>
      </c>
      <c r="O121" s="1">
        <f>[1]节奏总纲!AA121</f>
        <v>63.038666604496711</v>
      </c>
      <c r="Q121" s="1">
        <v>118</v>
      </c>
      <c r="R121" s="1">
        <f>[1]节奏总纲!AD121</f>
        <v>68.946457081918766</v>
      </c>
      <c r="S121" s="1">
        <f>[1]节奏总纲!AE121</f>
        <v>70.995873539455332</v>
      </c>
      <c r="T121" s="1">
        <f>[1]节奏总纲!AF121</f>
        <v>73.913419829028598</v>
      </c>
      <c r="U121" s="1">
        <f>[1]节奏总纲!AG121</f>
        <v>78.356382169569343</v>
      </c>
      <c r="V121" s="1">
        <f>[1]节奏总纲!AH121</f>
        <v>87.302536839048898</v>
      </c>
      <c r="AN121" s="1">
        <v>118</v>
      </c>
      <c r="AO121" s="1">
        <f>[1]节奏总纲!BA121</f>
        <v>39.14223078093233</v>
      </c>
      <c r="AP121" s="1">
        <f>[1]节奏总纲!BB121</f>
        <v>40.635186503260229</v>
      </c>
      <c r="AQ121" s="1">
        <f>[1]节奏总纲!BC121</f>
        <v>42.572130878253319</v>
      </c>
      <c r="AR121" s="1">
        <f>[1]节奏总纲!BD121</f>
        <v>45.31132052094835</v>
      </c>
      <c r="AS121" s="1">
        <f>[1]节奏总纲!BE121</f>
        <v>50.018998195299922</v>
      </c>
    </row>
    <row r="122" spans="2:45" x14ac:dyDescent="0.15">
      <c r="B122" s="1">
        <f>[1]节奏总纲!N122</f>
        <v>129</v>
      </c>
      <c r="C122" s="1">
        <v>119</v>
      </c>
      <c r="D122" s="1">
        <f>[1]节奏总纲!P122</f>
        <v>3820.7031333347636</v>
      </c>
      <c r="E122" s="1">
        <f>[1]节奏总纲!Q122</f>
        <v>3250.2721555278836</v>
      </c>
      <c r="F122" s="1">
        <f>[1]节奏总纲!R122</f>
        <v>2604.5733259943081</v>
      </c>
      <c r="G122" s="1">
        <f>[1]节奏总纲!S122</f>
        <v>1863.3569181273642</v>
      </c>
      <c r="H122" s="1">
        <f>[1]节奏总纲!T122</f>
        <v>1000.260080307041</v>
      </c>
      <c r="J122" s="1">
        <v>119</v>
      </c>
      <c r="K122" s="1">
        <f>[1]节奏总纲!W122</f>
        <v>255.92802607383555</v>
      </c>
      <c r="L122" s="1">
        <f>[1]节奏总纲!X122</f>
        <v>219.85683684536889</v>
      </c>
      <c r="M122" s="1">
        <f>[1]节奏总纲!Y122</f>
        <v>178.38738799252042</v>
      </c>
      <c r="N122" s="1">
        <f>[1]节奏总纲!Z122</f>
        <v>125.88553084838782</v>
      </c>
      <c r="O122" s="1">
        <f>[1]节奏总纲!AA122</f>
        <v>64.150137140321249</v>
      </c>
      <c r="Q122" s="1">
        <v>119</v>
      </c>
      <c r="R122" s="1">
        <f>[1]节奏总纲!AD122</f>
        <v>69.066704614192943</v>
      </c>
      <c r="S122" s="1">
        <f>[1]节奏总纲!AE122</f>
        <v>71.113087458015798</v>
      </c>
      <c r="T122" s="1">
        <f>[1]节奏总纲!AF122</f>
        <v>74.034200876118248</v>
      </c>
      <c r="U122" s="1">
        <f>[1]节奏总纲!AG122</f>
        <v>78.482224048163502</v>
      </c>
      <c r="V122" s="1">
        <f>[1]节奏总纲!AH122</f>
        <v>87.436975567505186</v>
      </c>
      <c r="AN122" s="1">
        <v>119</v>
      </c>
      <c r="AO122" s="1">
        <f>[1]节奏总纲!BA122</f>
        <v>39.196263487645254</v>
      </c>
      <c r="AP122" s="1">
        <f>[1]节奏总纲!BB122</f>
        <v>40.693460494385022</v>
      </c>
      <c r="AQ122" s="1">
        <f>[1]节奏总纲!BC122</f>
        <v>42.629985469798427</v>
      </c>
      <c r="AR122" s="1">
        <f>[1]节奏总纲!BD122</f>
        <v>45.367112729003608</v>
      </c>
      <c r="AS122" s="1">
        <f>[1]节奏总纲!BE122</f>
        <v>50.072514238398277</v>
      </c>
    </row>
    <row r="123" spans="2:45" x14ac:dyDescent="0.15">
      <c r="B123" s="1">
        <f>[1]节奏总纲!N123</f>
        <v>130</v>
      </c>
      <c r="C123" s="1">
        <v>120</v>
      </c>
      <c r="D123" s="1">
        <f>[1]节奏总纲!P123</f>
        <v>4095</v>
      </c>
      <c r="E123" s="1">
        <f>[1]节奏总纲!Q123</f>
        <v>3486.0735</v>
      </c>
      <c r="F123" s="1">
        <f>[1]节奏总纲!R123</f>
        <v>2791.971</v>
      </c>
      <c r="G123" s="1">
        <f>[1]节奏总纲!S123</f>
        <v>1988.5319999999999</v>
      </c>
      <c r="H123" s="1">
        <f>[1]节奏总纲!T123</f>
        <v>1067.9759999999999</v>
      </c>
      <c r="J123" s="1">
        <v>120</v>
      </c>
      <c r="K123" s="1">
        <f>[1]节奏总纲!W123</f>
        <v>274.29686666523639</v>
      </c>
      <c r="L123" s="1">
        <f>[1]节奏总纲!X123</f>
        <v>235.8013444721164</v>
      </c>
      <c r="M123" s="1">
        <f>[1]节奏总纲!Y123</f>
        <v>187.3976740056919</v>
      </c>
      <c r="N123" s="1">
        <f>[1]节奏总纲!Z123</f>
        <v>125.1750818726357</v>
      </c>
      <c r="O123" s="1">
        <f>[1]节奏总纲!AA123</f>
        <v>67.715919692958892</v>
      </c>
      <c r="Q123" s="1">
        <v>120</v>
      </c>
      <c r="R123" s="1">
        <f>[1]节奏总纲!AD123</f>
        <v>69.18336653741882</v>
      </c>
      <c r="S123" s="1">
        <f>[1]节奏总纲!AE123</f>
        <v>71.230067506391322</v>
      </c>
      <c r="T123" s="1">
        <f>[1]节奏总纲!AF123</f>
        <v>74.149428238300118</v>
      </c>
      <c r="U123" s="1">
        <f>[1]节奏总纲!AG123</f>
        <v>78.608065926757661</v>
      </c>
      <c r="V123" s="1">
        <f>[1]节奏总纲!AH123</f>
        <v>87.571414295961461</v>
      </c>
      <c r="AN123" s="1">
        <v>120</v>
      </c>
      <c r="AO123" s="1">
        <f>[1]节奏总纲!BA123</f>
        <v>39.250296194358178</v>
      </c>
      <c r="AP123" s="1">
        <f>[1]节奏总纲!BB123</f>
        <v>40.751734485509814</v>
      </c>
      <c r="AQ123" s="1">
        <f>[1]节奏总纲!BC123</f>
        <v>42.687840061343536</v>
      </c>
      <c r="AR123" s="1">
        <f>[1]节奏总纲!BD123</f>
        <v>45.422904937058867</v>
      </c>
      <c r="AS123" s="1">
        <f>[1]节奏总纲!BE123</f>
        <v>50.126030281496639</v>
      </c>
    </row>
    <row r="124" spans="2:45" x14ac:dyDescent="0.15">
      <c r="B124" s="1">
        <f>[1]节奏总纲!N124</f>
        <v>131</v>
      </c>
      <c r="C124" s="1">
        <v>121</v>
      </c>
      <c r="D124" s="1">
        <f>[1]节奏总纲!P124</f>
        <v>4388.9841025486576</v>
      </c>
      <c r="E124" s="1">
        <f>[1]节奏总纲!Q124</f>
        <v>3731.5142839868686</v>
      </c>
      <c r="F124" s="1">
        <f>[1]节奏总纲!R124</f>
        <v>2978.8035103997736</v>
      </c>
      <c r="G124" s="1">
        <f>[1]节奏总纲!S124</f>
        <v>2122.0738135822758</v>
      </c>
      <c r="H124" s="1">
        <f>[1]节奏总纲!T124</f>
        <v>1143.3303587139253</v>
      </c>
      <c r="J124" s="1">
        <v>121</v>
      </c>
      <c r="K124" s="1">
        <f>[1]节奏总纲!W124</f>
        <v>293.98410254865757</v>
      </c>
      <c r="L124" s="1">
        <f>[1]节奏总纲!X124</f>
        <v>245.44078398686861</v>
      </c>
      <c r="M124" s="1">
        <f>[1]节奏总纲!Y124</f>
        <v>186.83251039977358</v>
      </c>
      <c r="N124" s="1">
        <f>[1]节奏总纲!Z124</f>
        <v>133.54181358227584</v>
      </c>
      <c r="O124" s="1">
        <f>[1]节奏总纲!AA124</f>
        <v>75.354358713925421</v>
      </c>
      <c r="Q124" s="1">
        <v>121</v>
      </c>
      <c r="R124" s="1">
        <f>[1]节奏总纲!AD124</f>
        <v>69.300028460644711</v>
      </c>
      <c r="S124" s="1">
        <f>[1]节奏总纲!AE124</f>
        <v>71.347047554766846</v>
      </c>
      <c r="T124" s="1">
        <f>[1]节奏总纲!AF124</f>
        <v>74.264655600481987</v>
      </c>
      <c r="U124" s="1">
        <f>[1]节奏总纲!AG124</f>
        <v>78.733907805351805</v>
      </c>
      <c r="V124" s="1">
        <f>[1]节奏总纲!AH124</f>
        <v>87.705853024417735</v>
      </c>
      <c r="AN124" s="1">
        <v>121</v>
      </c>
      <c r="AO124" s="1">
        <f>[1]节奏总纲!BA124</f>
        <v>39.304328901071102</v>
      </c>
      <c r="AP124" s="1">
        <f>[1]节奏总纲!BB124</f>
        <v>40.810008476634607</v>
      </c>
      <c r="AQ124" s="1">
        <f>[1]节奏总纲!BC124</f>
        <v>42.745694652888645</v>
      </c>
      <c r="AR124" s="1">
        <f>[1]节奏总纲!BD124</f>
        <v>45.478697145114126</v>
      </c>
      <c r="AS124" s="1">
        <f>[1]节奏总纲!BE124</f>
        <v>50.179546324595002</v>
      </c>
    </row>
    <row r="125" spans="2:45" x14ac:dyDescent="0.15">
      <c r="B125" s="1">
        <f>[1]节奏总纲!N125</f>
        <v>132</v>
      </c>
      <c r="C125" s="1">
        <v>122</v>
      </c>
      <c r="D125" s="1">
        <f>[1]节奏总纲!P125</f>
        <v>4704.0684620678521</v>
      </c>
      <c r="E125" s="1">
        <f>[1]节奏总纲!Q125</f>
        <v>3989.5204626797454</v>
      </c>
      <c r="F125" s="1">
        <f>[1]节奏总纲!R125</f>
        <v>3183.7135351275219</v>
      </c>
      <c r="G125" s="1">
        <f>[1]节奏总纲!S125</f>
        <v>2271.1242534863591</v>
      </c>
      <c r="H125" s="1">
        <f>[1]节奏总纲!T125</f>
        <v>1223.9986138300551</v>
      </c>
      <c r="J125" s="1">
        <v>122</v>
      </c>
      <c r="K125" s="1">
        <f>[1]节奏总纲!W125</f>
        <v>315.08435951919455</v>
      </c>
      <c r="L125" s="1">
        <f>[1]节奏总纲!X125</f>
        <v>258.0061786928768</v>
      </c>
      <c r="M125" s="1">
        <f>[1]节奏总纲!Y125</f>
        <v>204.91002472774835</v>
      </c>
      <c r="N125" s="1">
        <f>[1]节奏总纲!Z125</f>
        <v>149.05043990408331</v>
      </c>
      <c r="O125" s="1">
        <f>[1]节奏总纲!AA125</f>
        <v>80.668255116129785</v>
      </c>
      <c r="Q125" s="1">
        <v>122</v>
      </c>
      <c r="R125" s="1">
        <f>[1]节奏总纲!AD125</f>
        <v>69.416690383870588</v>
      </c>
      <c r="S125" s="1">
        <f>[1]节奏总纲!AE125</f>
        <v>71.46402760314237</v>
      </c>
      <c r="T125" s="1">
        <f>[1]节奏总纲!AF125</f>
        <v>74.379882962663856</v>
      </c>
      <c r="U125" s="1">
        <f>[1]节奏总纲!AG125</f>
        <v>78.859749683945964</v>
      </c>
      <c r="V125" s="1">
        <f>[1]节奏总纲!AH125</f>
        <v>87.840291752874009</v>
      </c>
      <c r="AN125" s="1">
        <v>122</v>
      </c>
      <c r="AO125" s="1">
        <f>[1]节奏总纲!BA125</f>
        <v>39.358361607784026</v>
      </c>
      <c r="AP125" s="1">
        <f>[1]节奏总纲!BB125</f>
        <v>40.8682824677594</v>
      </c>
      <c r="AQ125" s="1">
        <f>[1]节奏总纲!BC125</f>
        <v>42.803549244433754</v>
      </c>
      <c r="AR125" s="1">
        <f>[1]节奏总纲!BD125</f>
        <v>45.534489353169384</v>
      </c>
      <c r="AS125" s="1">
        <f>[1]节奏总纲!BE125</f>
        <v>50.233062367693357</v>
      </c>
    </row>
    <row r="126" spans="2:45" x14ac:dyDescent="0.15">
      <c r="B126" s="1">
        <f>[1]节奏总纲!N126</f>
        <v>133</v>
      </c>
      <c r="C126" s="1">
        <v>123</v>
      </c>
      <c r="D126" s="1">
        <f>[1]节奏总纲!P126</f>
        <v>5041.7675170607781</v>
      </c>
      <c r="E126" s="1">
        <f>[1]节奏总纲!Q126</f>
        <v>4275.9230312192458</v>
      </c>
      <c r="F126" s="1">
        <f>[1]节奏总纲!R126</f>
        <v>3419.8309068223257</v>
      </c>
      <c r="G126" s="1">
        <f>[1]节奏总纲!S126</f>
        <v>2442.7363620159467</v>
      </c>
      <c r="H126" s="1">
        <f>[1]节奏总纲!T126</f>
        <v>1316.4054987045693</v>
      </c>
      <c r="J126" s="1">
        <v>123</v>
      </c>
      <c r="K126" s="1">
        <f>[1]节奏总纲!W126</f>
        <v>337.69905499292599</v>
      </c>
      <c r="L126" s="1">
        <f>[1]节奏总纲!X126</f>
        <v>286.40256853950041</v>
      </c>
      <c r="M126" s="1">
        <f>[1]节奏总纲!Y126</f>
        <v>236.11737169480375</v>
      </c>
      <c r="N126" s="1">
        <f>[1]节奏总纲!Z126</f>
        <v>171.61210852958766</v>
      </c>
      <c r="O126" s="1">
        <f>[1]节奏总纲!AA126</f>
        <v>92.406884874514162</v>
      </c>
      <c r="Q126" s="1">
        <v>123</v>
      </c>
      <c r="R126" s="1">
        <f>[1]节奏总纲!AD126</f>
        <v>69.533352307096465</v>
      </c>
      <c r="S126" s="1">
        <f>[1]节奏总纲!AE126</f>
        <v>71.581007651517908</v>
      </c>
      <c r="T126" s="1">
        <f>[1]节奏总纲!AF126</f>
        <v>74.495110324845726</v>
      </c>
      <c r="U126" s="1">
        <f>[1]节奏总纲!AG126</f>
        <v>78.985591562540122</v>
      </c>
      <c r="V126" s="1">
        <f>[1]节奏总纲!AH126</f>
        <v>87.974730481330297</v>
      </c>
      <c r="AN126" s="1">
        <v>123</v>
      </c>
      <c r="AO126" s="1">
        <f>[1]节奏总纲!BA126</f>
        <v>39.41239431449695</v>
      </c>
      <c r="AP126" s="1">
        <f>[1]节奏总纲!BB126</f>
        <v>40.926556458884193</v>
      </c>
      <c r="AQ126" s="1">
        <f>[1]节奏总纲!BC126</f>
        <v>42.861403835978855</v>
      </c>
      <c r="AR126" s="1">
        <f>[1]节奏总纲!BD126</f>
        <v>45.590281561224643</v>
      </c>
      <c r="AS126" s="1">
        <f>[1]节奏总纲!BE126</f>
        <v>50.286578410791719</v>
      </c>
    </row>
    <row r="127" spans="2:45" x14ac:dyDescent="0.15">
      <c r="B127" s="1">
        <f>[1]节奏总纲!N127</f>
        <v>134</v>
      </c>
      <c r="C127" s="1">
        <v>124</v>
      </c>
      <c r="D127" s="1">
        <f>[1]节奏总纲!P127</f>
        <v>5403.704402525771</v>
      </c>
      <c r="E127" s="1">
        <f>[1]节奏总纲!Q127</f>
        <v>4591.5276308261473</v>
      </c>
      <c r="F127" s="1">
        <f>[1]节奏总纲!R127</f>
        <v>3671.276771076009</v>
      </c>
      <c r="G127" s="1">
        <f>[1]节奏总纲!S127</f>
        <v>2624.0388578665143</v>
      </c>
      <c r="H127" s="1">
        <f>[1]节奏总纲!T127</f>
        <v>1415.7705534617521</v>
      </c>
      <c r="J127" s="1">
        <v>124</v>
      </c>
      <c r="K127" s="1">
        <f>[1]节奏总纲!W127</f>
        <v>361.93688546499288</v>
      </c>
      <c r="L127" s="1">
        <f>[1]节奏总纲!X127</f>
        <v>315.6045996069015</v>
      </c>
      <c r="M127" s="1">
        <f>[1]节奏总纲!Y127</f>
        <v>251.44586425368334</v>
      </c>
      <c r="N127" s="1">
        <f>[1]节奏总纲!Z127</f>
        <v>181.30249585056754</v>
      </c>
      <c r="O127" s="1">
        <f>[1]节奏总纲!AA127</f>
        <v>99.365054757182861</v>
      </c>
      <c r="Q127" s="1">
        <v>124</v>
      </c>
      <c r="R127" s="1">
        <f>[1]节奏总纲!AD127</f>
        <v>69.650014230322356</v>
      </c>
      <c r="S127" s="1">
        <f>[1]节奏总纲!AE127</f>
        <v>71.697987699893432</v>
      </c>
      <c r="T127" s="1">
        <f>[1]节奏总纲!AF127</f>
        <v>74.610337687027609</v>
      </c>
      <c r="U127" s="1">
        <f>[1]节奏总纲!AG127</f>
        <v>79.104601412347151</v>
      </c>
      <c r="V127" s="1">
        <f>[1]节奏总纲!AH127</f>
        <v>88.109271506528316</v>
      </c>
      <c r="AN127" s="1">
        <v>124</v>
      </c>
      <c r="AO127" s="1">
        <f>[1]节奏总纲!BA127</f>
        <v>39.466427021209874</v>
      </c>
      <c r="AP127" s="1">
        <f>[1]节奏总纲!BB127</f>
        <v>40.984830450008978</v>
      </c>
      <c r="AQ127" s="1">
        <f>[1]节奏总纲!BC127</f>
        <v>42.919258427523964</v>
      </c>
      <c r="AR127" s="1">
        <f>[1]节奏总纲!BD127</f>
        <v>45.646073769279901</v>
      </c>
      <c r="AS127" s="1">
        <f>[1]节奏总纲!BE127</f>
        <v>50.340094453890082</v>
      </c>
    </row>
    <row r="128" spans="2:45" x14ac:dyDescent="0.15">
      <c r="B128" s="1">
        <f>[1]节奏总纲!N128</f>
        <v>135</v>
      </c>
      <c r="C128" s="1">
        <v>125</v>
      </c>
      <c r="D128" s="1">
        <f>[1]节奏总纲!P128</f>
        <v>5791.6187514801986</v>
      </c>
      <c r="E128" s="1">
        <f>[1]节奏总纲!Q128</f>
        <v>4918.821805632133</v>
      </c>
      <c r="F128" s="1">
        <f>[1]节奏总纲!R128</f>
        <v>3940.0382366319791</v>
      </c>
      <c r="G128" s="1">
        <f>[1]节奏总纲!S128</f>
        <v>2816.4641988448207</v>
      </c>
      <c r="H128" s="1">
        <f>[1]节奏总纲!T128</f>
        <v>1509.8750085108877</v>
      </c>
      <c r="J128" s="1">
        <v>125</v>
      </c>
      <c r="K128" s="1">
        <f>[1]节奏总纲!W128</f>
        <v>387.91434895442762</v>
      </c>
      <c r="L128" s="1">
        <f>[1]节奏总纲!X128</f>
        <v>327.29417480598568</v>
      </c>
      <c r="M128" s="1">
        <f>[1]节奏总纲!Y128</f>
        <v>268.76146555597006</v>
      </c>
      <c r="N128" s="1">
        <f>[1]节奏总纲!Z128</f>
        <v>192.42534097830639</v>
      </c>
      <c r="O128" s="1">
        <f>[1]节奏总纲!AA128</f>
        <v>94.104455049135595</v>
      </c>
      <c r="Q128" s="1">
        <v>125</v>
      </c>
      <c r="R128" s="1">
        <f>[1]节奏总纲!AD128</f>
        <v>69.766676153548232</v>
      </c>
      <c r="S128" s="1">
        <f>[1]节奏总纲!AE128</f>
        <v>71.814967748268955</v>
      </c>
      <c r="T128" s="1">
        <f>[1]节奏总纲!AF128</f>
        <v>74.725565049209479</v>
      </c>
      <c r="U128" s="1">
        <f>[1]节奏总纲!AG128</f>
        <v>79.222727875098187</v>
      </c>
      <c r="V128" s="1">
        <f>[1]节奏总纲!AH128</f>
        <v>88.243836210467165</v>
      </c>
      <c r="AN128" s="1">
        <v>125</v>
      </c>
      <c r="AO128" s="1">
        <f>[1]节奏总纲!BA128</f>
        <v>39.520459727922798</v>
      </c>
      <c r="AP128" s="1">
        <f>[1]节奏总纲!BB128</f>
        <v>41.037193447861313</v>
      </c>
      <c r="AQ128" s="1">
        <f>[1]节奏总纲!BC128</f>
        <v>42.977113019069073</v>
      </c>
      <c r="AR128" s="1">
        <f>[1]节奏总纲!BD128</f>
        <v>45.701865977335167</v>
      </c>
      <c r="AS128" s="1">
        <f>[1]节奏总纲!BE128</f>
        <v>50.393610496988437</v>
      </c>
    </row>
    <row r="129" spans="2:45" x14ac:dyDescent="0.15">
      <c r="B129" s="1">
        <f>[1]节奏总纲!N129</f>
        <v>136</v>
      </c>
      <c r="C129" s="1">
        <v>126</v>
      </c>
      <c r="D129" s="1">
        <f>[1]节奏总纲!P129</f>
        <v>6207.3750564265865</v>
      </c>
      <c r="E129" s="1">
        <f>[1]节奏总纲!Q129</f>
        <v>5279.3724854908123</v>
      </c>
      <c r="F129" s="1">
        <f>[1]节奏总纲!R129</f>
        <v>4225.9809384152195</v>
      </c>
      <c r="G129" s="1">
        <f>[1]节奏总纲!S129</f>
        <v>3006.8524773330387</v>
      </c>
      <c r="H129" s="1">
        <f>[1]节奏总纲!T129</f>
        <v>1610.1930896370566</v>
      </c>
      <c r="J129" s="1">
        <v>126</v>
      </c>
      <c r="K129" s="1">
        <f>[1]节奏总纲!W129</f>
        <v>415.7563049463879</v>
      </c>
      <c r="L129" s="1">
        <f>[1]节奏总纲!X129</f>
        <v>360.55067985867936</v>
      </c>
      <c r="M129" s="1">
        <f>[1]节奏总纲!Y129</f>
        <v>285.94270178324041</v>
      </c>
      <c r="N129" s="1">
        <f>[1]节奏总纲!Z129</f>
        <v>190.38827848821802</v>
      </c>
      <c r="O129" s="1">
        <f>[1]节奏总纲!AA129</f>
        <v>100.31808112616886</v>
      </c>
      <c r="Q129" s="1">
        <v>126</v>
      </c>
      <c r="R129" s="1">
        <f>[1]节奏总纲!AD129</f>
        <v>69.883338076774123</v>
      </c>
      <c r="S129" s="1">
        <f>[1]节奏总纲!AE129</f>
        <v>71.931947796644479</v>
      </c>
      <c r="T129" s="1">
        <f>[1]节奏总纲!AF129</f>
        <v>74.840792411391348</v>
      </c>
      <c r="U129" s="1">
        <f>[1]节奏总纲!AG129</f>
        <v>79.340854337849223</v>
      </c>
      <c r="V129" s="1">
        <f>[1]节奏总纲!AH129</f>
        <v>88.378400914406001</v>
      </c>
      <c r="AN129" s="1">
        <v>126</v>
      </c>
      <c r="AO129" s="1">
        <f>[1]节奏总纲!BA129</f>
        <v>39.574492434635722</v>
      </c>
      <c r="AP129" s="1">
        <f>[1]节奏总纲!BB129</f>
        <v>41.087476216725996</v>
      </c>
      <c r="AQ129" s="1">
        <f>[1]节奏总纲!BC129</f>
        <v>43.030177309109042</v>
      </c>
      <c r="AR129" s="1">
        <f>[1]节奏总纲!BD129</f>
        <v>45.757658185390426</v>
      </c>
      <c r="AS129" s="1">
        <f>[1]节奏总纲!BE129</f>
        <v>50.447126540086799</v>
      </c>
    </row>
    <row r="130" spans="2:45" x14ac:dyDescent="0.15">
      <c r="B130" s="1">
        <f>[1]节奏总纲!N130</f>
        <v>137</v>
      </c>
      <c r="C130" s="1">
        <v>127</v>
      </c>
      <c r="D130" s="1">
        <f>[1]节奏总纲!P130</f>
        <v>6652.971630950271</v>
      </c>
      <c r="E130" s="1">
        <f>[1]节奏总纲!Q130</f>
        <v>5658.3523721232059</v>
      </c>
      <c r="F130" s="1">
        <f>[1]节奏总纲!R130</f>
        <v>4508.7188742949984</v>
      </c>
      <c r="G130" s="1">
        <f>[1]节奏总纲!S130</f>
        <v>3203.4058403025556</v>
      </c>
      <c r="H130" s="1">
        <f>[1]节奏总纲!T130</f>
        <v>1719.793166600645</v>
      </c>
      <c r="J130" s="1">
        <v>127</v>
      </c>
      <c r="K130" s="1">
        <f>[1]节奏总纲!W130</f>
        <v>445.59657452368447</v>
      </c>
      <c r="L130" s="1">
        <f>[1]节奏总纲!X130</f>
        <v>378.97988663239357</v>
      </c>
      <c r="M130" s="1">
        <f>[1]节奏总纲!Y130</f>
        <v>282.73793587977889</v>
      </c>
      <c r="N130" s="1">
        <f>[1]节奏总纲!Z130</f>
        <v>196.55336296951691</v>
      </c>
      <c r="O130" s="1">
        <f>[1]节奏总纲!AA130</f>
        <v>109.60007696358844</v>
      </c>
      <c r="Q130" s="1">
        <v>127</v>
      </c>
      <c r="R130" s="1">
        <f>[1]节奏总纲!AD130</f>
        <v>70</v>
      </c>
      <c r="S130" s="1">
        <f>[1]节奏总纲!AE130</f>
        <v>72.047345051940553</v>
      </c>
      <c r="T130" s="1">
        <f>[1]节奏总纲!AF130</f>
        <v>74.956019773573217</v>
      </c>
      <c r="U130" s="1">
        <f>[1]节奏总纲!AG130</f>
        <v>79.458980800600258</v>
      </c>
      <c r="V130" s="1">
        <f>[1]节奏总纲!AH130</f>
        <v>88.51296561834485</v>
      </c>
      <c r="AN130" s="1">
        <v>127</v>
      </c>
      <c r="AO130" s="1">
        <f>[1]节奏总纲!BA130</f>
        <v>39.628525141348646</v>
      </c>
      <c r="AP130" s="1">
        <f>[1]节奏总纲!BB130</f>
        <v>41.137758985590679</v>
      </c>
      <c r="AQ130" s="1">
        <f>[1]节奏总纲!BC130</f>
        <v>43.080106253688569</v>
      </c>
      <c r="AR130" s="1">
        <f>[1]节奏总纲!BD130</f>
        <v>45.813450393445684</v>
      </c>
      <c r="AS130" s="1">
        <f>[1]节奏总纲!BE130</f>
        <v>50.500642583185162</v>
      </c>
    </row>
    <row r="131" spans="2:45" x14ac:dyDescent="0.15">
      <c r="B131" s="1">
        <f>[1]节奏总纲!N131</f>
        <v>138</v>
      </c>
      <c r="C131" s="1">
        <v>128</v>
      </c>
      <c r="D131" s="1">
        <f>[1]节奏总纲!P131</f>
        <v>7130.5502145218443</v>
      </c>
      <c r="E131" s="1">
        <f>[1]节奏总纲!Q131</f>
        <v>6036.010756592741</v>
      </c>
      <c r="F131" s="1">
        <f>[1]节奏总纲!R131</f>
        <v>4805.9908445877236</v>
      </c>
      <c r="G131" s="1">
        <f>[1]节奏总纲!S131</f>
        <v>3419.0988278632244</v>
      </c>
      <c r="H131" s="1">
        <f>[1]节奏总纲!T131</f>
        <v>1838.9689003251838</v>
      </c>
      <c r="J131" s="1">
        <v>128</v>
      </c>
      <c r="K131" s="1">
        <f>[1]节奏总纲!W131</f>
        <v>477.57858357157329</v>
      </c>
      <c r="L131" s="1">
        <f>[1]节奏总纲!X131</f>
        <v>377.65838446953512</v>
      </c>
      <c r="M131" s="1">
        <f>[1]节奏总纲!Y131</f>
        <v>297.2719702927252</v>
      </c>
      <c r="N131" s="1">
        <f>[1]节奏总纲!Z131</f>
        <v>215.69298756066883</v>
      </c>
      <c r="O131" s="1">
        <f>[1]节奏总纲!AA131</f>
        <v>119.17573372453876</v>
      </c>
      <c r="Q131" s="1">
        <v>128</v>
      </c>
      <c r="R131" s="1">
        <f>[1]节奏总纲!AD131</f>
        <v>70.108849423225877</v>
      </c>
      <c r="S131" s="1">
        <f>[1]节奏总纲!AE131</f>
        <v>72.160540850040434</v>
      </c>
      <c r="T131" s="1">
        <f>[1]节奏总纲!AF131</f>
        <v>75.067682921736733</v>
      </c>
      <c r="U131" s="1">
        <f>[1]节奏总纲!AG131</f>
        <v>79.577107263351294</v>
      </c>
      <c r="V131" s="1">
        <f>[1]节奏总纲!AH131</f>
        <v>88.6475303222837</v>
      </c>
      <c r="AN131" s="1">
        <v>128</v>
      </c>
      <c r="AO131" s="1">
        <f>[1]节奏总纲!BA131</f>
        <v>39.68255784806157</v>
      </c>
      <c r="AP131" s="1">
        <f>[1]节奏总纲!BB131</f>
        <v>41.188041754455355</v>
      </c>
      <c r="AQ131" s="1">
        <f>[1]节奏总纲!BC131</f>
        <v>43.130035198268104</v>
      </c>
      <c r="AR131" s="1">
        <f>[1]节奏总纲!BD131</f>
        <v>45.869242601500943</v>
      </c>
      <c r="AS131" s="1">
        <f>[1]节奏总纲!BE131</f>
        <v>50.554158626283517</v>
      </c>
    </row>
    <row r="132" spans="2:45" x14ac:dyDescent="0.15">
      <c r="B132" s="1">
        <f>[1]节奏总纲!N132</f>
        <v>139</v>
      </c>
      <c r="C132" s="1">
        <v>129</v>
      </c>
      <c r="D132" s="1">
        <f>[1]节奏总纲!P132</f>
        <v>7642.4062666695281</v>
      </c>
      <c r="E132" s="1">
        <f>[1]节奏总纲!Q132</f>
        <v>6469.2969047357556</v>
      </c>
      <c r="F132" s="1">
        <f>[1]节奏总纲!R132</f>
        <v>5159.388470628599</v>
      </c>
      <c r="G132" s="1">
        <f>[1]节奏总纲!S132</f>
        <v>3676.7616548947103</v>
      </c>
      <c r="H132" s="1">
        <f>[1]节奏总纲!T132</f>
        <v>1975.5620199340731</v>
      </c>
      <c r="J132" s="1">
        <v>129</v>
      </c>
      <c r="K132" s="1">
        <f>[1]节奏总纲!W132</f>
        <v>511.85605214768384</v>
      </c>
      <c r="L132" s="1">
        <f>[1]节奏总纲!X132</f>
        <v>433.28614814301454</v>
      </c>
      <c r="M132" s="1">
        <f>[1]节奏总纲!Y132</f>
        <v>353.39762604087537</v>
      </c>
      <c r="N132" s="1">
        <f>[1]节奏总纲!Z132</f>
        <v>257.6628270314859</v>
      </c>
      <c r="O132" s="1">
        <f>[1]节奏总纲!AA132</f>
        <v>136.59311960888931</v>
      </c>
      <c r="Q132" s="1">
        <v>129</v>
      </c>
      <c r="R132" s="1">
        <f>[1]节奏总纲!AD132</f>
        <v>70.217698846451768</v>
      </c>
      <c r="S132" s="1">
        <f>[1]节奏总纲!AE132</f>
        <v>72.273736648140314</v>
      </c>
      <c r="T132" s="1">
        <f>[1]节奏总纲!AF132</f>
        <v>75.177145912126889</v>
      </c>
      <c r="U132" s="1">
        <f>[1]节奏总纲!AG132</f>
        <v>79.69523372610233</v>
      </c>
      <c r="V132" s="1">
        <f>[1]节奏总纲!AH132</f>
        <v>88.782095026222549</v>
      </c>
      <c r="AN132" s="1">
        <v>129</v>
      </c>
      <c r="AO132" s="1">
        <f>[1]节奏总纲!BA132</f>
        <v>39.736590554774494</v>
      </c>
      <c r="AP132" s="1">
        <f>[1]节奏总纲!BB132</f>
        <v>41.238324523320038</v>
      </c>
      <c r="AQ132" s="1">
        <f>[1]节奏总纲!BC132</f>
        <v>43.179964142847631</v>
      </c>
      <c r="AR132" s="1">
        <f>[1]节奏总纲!BD132</f>
        <v>45.925034809556202</v>
      </c>
      <c r="AS132" s="1">
        <f>[1]节奏总纲!BE132</f>
        <v>50.607674669381879</v>
      </c>
    </row>
    <row r="133" spans="2:45" x14ac:dyDescent="0.15">
      <c r="B133" s="1">
        <f>[1]节奏总纲!N133</f>
        <v>140</v>
      </c>
      <c r="C133" s="1">
        <v>130</v>
      </c>
      <c r="D133" s="1">
        <f>[1]节奏总纲!P133</f>
        <v>8191</v>
      </c>
      <c r="E133" s="1">
        <f>[1]节奏总纲!Q133</f>
        <v>6941.8725000000004</v>
      </c>
      <c r="F133" s="1">
        <f>[1]节奏总纲!R133</f>
        <v>5542.0306</v>
      </c>
      <c r="G133" s="1">
        <f>[1]节奏总纲!S133</f>
        <v>3951.3384000000001</v>
      </c>
      <c r="H133" s="1">
        <f>[1]节奏总纲!T133</f>
        <v>2124.7454000000002</v>
      </c>
      <c r="J133" s="1">
        <v>130</v>
      </c>
      <c r="K133" s="1">
        <f>[1]节奏总纲!W133</f>
        <v>548.59373333047188</v>
      </c>
      <c r="L133" s="1">
        <f>[1]节奏总纲!X133</f>
        <v>472.57559526424484</v>
      </c>
      <c r="M133" s="1">
        <f>[1]节奏总纲!Y133</f>
        <v>382.6421293714011</v>
      </c>
      <c r="N133" s="1">
        <f>[1]节奏总纲!Z133</f>
        <v>274.57674510528977</v>
      </c>
      <c r="O133" s="1">
        <f>[1]节奏总纲!AA133</f>
        <v>149.18338006592717</v>
      </c>
      <c r="Q133" s="1">
        <v>130</v>
      </c>
      <c r="R133" s="1">
        <f>[1]节奏总纲!AD133</f>
        <v>70.326548269677644</v>
      </c>
      <c r="S133" s="1">
        <f>[1]节奏总纲!AE133</f>
        <v>72.386932446240195</v>
      </c>
      <c r="T133" s="1">
        <f>[1]节奏总纲!AF133</f>
        <v>75.286608902517045</v>
      </c>
      <c r="U133" s="1">
        <f>[1]节奏总纲!AG133</f>
        <v>79.813360188853366</v>
      </c>
      <c r="V133" s="1">
        <f>[1]节奏总纲!AH133</f>
        <v>88.916659730161399</v>
      </c>
      <c r="AN133" s="1">
        <v>130</v>
      </c>
      <c r="AO133" s="1">
        <f>[1]节奏总纲!BA133</f>
        <v>39.790623261487418</v>
      </c>
      <c r="AP133" s="1">
        <f>[1]节奏总纲!BB133</f>
        <v>41.288607292184714</v>
      </c>
      <c r="AQ133" s="1">
        <f>[1]节奏总纲!BC133</f>
        <v>43.229893087427158</v>
      </c>
      <c r="AR133" s="1">
        <f>[1]节奏总纲!BD133</f>
        <v>45.98082701761146</v>
      </c>
      <c r="AS133" s="1">
        <f>[1]节奏总纲!BE133</f>
        <v>50.661190712480241</v>
      </c>
    </row>
    <row r="134" spans="2:45" x14ac:dyDescent="0.15">
      <c r="B134" s="1">
        <f>[1]节奏总纲!N134</f>
        <v>141</v>
      </c>
      <c r="C134" s="1">
        <v>131</v>
      </c>
      <c r="D134" s="1">
        <f>[1]节奏总纲!P134</f>
        <v>8778.9682050973151</v>
      </c>
      <c r="E134" s="1">
        <f>[1]节奏总纲!Q134</f>
        <v>7443.6871411020138</v>
      </c>
      <c r="F134" s="1">
        <f>[1]节奏总纲!R134</f>
        <v>5945.117268491902</v>
      </c>
      <c r="G134" s="1">
        <f>[1]节奏总纲!S134</f>
        <v>4244.6311271645518</v>
      </c>
      <c r="H134" s="1">
        <f>[1]节奏总纲!T134</f>
        <v>2275.5085587612239</v>
      </c>
      <c r="J134" s="1">
        <v>131</v>
      </c>
      <c r="K134" s="1">
        <f>[1]节奏总纲!W134</f>
        <v>587.96820509731515</v>
      </c>
      <c r="L134" s="1">
        <f>[1]节奏总纲!X134</f>
        <v>501.81464110201341</v>
      </c>
      <c r="M134" s="1">
        <f>[1]节奏总纲!Y134</f>
        <v>403.08666849190195</v>
      </c>
      <c r="N134" s="1">
        <f>[1]节奏总纲!Z134</f>
        <v>293.29272716455171</v>
      </c>
      <c r="O134" s="1">
        <f>[1]节奏总纲!AA134</f>
        <v>150.76315876122362</v>
      </c>
      <c r="Q134" s="1">
        <v>131</v>
      </c>
      <c r="R134" s="1">
        <f>[1]节奏总纲!AD134</f>
        <v>70.435397692903535</v>
      </c>
      <c r="S134" s="1">
        <f>[1]节奏总纲!AE134</f>
        <v>72.50012824434009</v>
      </c>
      <c r="T134" s="1">
        <f>[1]节奏总纲!AF134</f>
        <v>75.396071892907202</v>
      </c>
      <c r="U134" s="1">
        <f>[1]节奏总纲!AG134</f>
        <v>79.931486651604402</v>
      </c>
      <c r="V134" s="1">
        <f>[1]节奏总纲!AH134</f>
        <v>89.048420729369383</v>
      </c>
      <c r="AN134" s="1">
        <v>131</v>
      </c>
      <c r="AO134" s="1">
        <f>[1]节奏总纲!BA134</f>
        <v>39.844655968200342</v>
      </c>
      <c r="AP134" s="1">
        <f>[1]节奏总纲!BB134</f>
        <v>41.338890061049398</v>
      </c>
      <c r="AQ134" s="1">
        <f>[1]节奏总纲!BC134</f>
        <v>43.279822032006692</v>
      </c>
      <c r="AR134" s="1">
        <f>[1]节奏总纲!BD134</f>
        <v>46.031609894814238</v>
      </c>
      <c r="AS134" s="1">
        <f>[1]节奏总纲!BE134</f>
        <v>50.714706755578604</v>
      </c>
    </row>
    <row r="135" spans="2:45" x14ac:dyDescent="0.15">
      <c r="B135" s="1">
        <f>[1]节奏总纲!N135</f>
        <v>142</v>
      </c>
      <c r="C135" s="1">
        <v>132</v>
      </c>
      <c r="D135" s="1">
        <f>[1]节奏总纲!P135</f>
        <v>9409.1369241357042</v>
      </c>
      <c r="E135" s="1">
        <f>[1]节奏总纲!Q135</f>
        <v>7983.6526801291457</v>
      </c>
      <c r="F135" s="1">
        <f>[1]节奏总纲!R135</f>
        <v>6385.9812304109018</v>
      </c>
      <c r="G135" s="1">
        <f>[1]节奏总纲!S135</f>
        <v>4544.6131343575453</v>
      </c>
      <c r="H135" s="1">
        <f>[1]节奏总纲!T135</f>
        <v>2431.3209811966663</v>
      </c>
      <c r="J135" s="1">
        <v>132</v>
      </c>
      <c r="K135" s="1">
        <f>[1]节奏总纲!W135</f>
        <v>630.1687190383891</v>
      </c>
      <c r="L135" s="1">
        <f>[1]节奏总纲!X135</f>
        <v>539.96553902713185</v>
      </c>
      <c r="M135" s="1">
        <f>[1]节奏总纲!Y135</f>
        <v>440.86396191899985</v>
      </c>
      <c r="N135" s="1">
        <f>[1]节奏总纲!Z135</f>
        <v>299.98200719299348</v>
      </c>
      <c r="O135" s="1">
        <f>[1]节奏总纲!AA135</f>
        <v>155.81242243544239</v>
      </c>
      <c r="Q135" s="1">
        <v>132</v>
      </c>
      <c r="R135" s="1">
        <f>[1]节奏总纲!AD135</f>
        <v>70.544247116129412</v>
      </c>
      <c r="S135" s="1">
        <f>[1]节奏总纲!AE135</f>
        <v>72.61332404243997</v>
      </c>
      <c r="T135" s="1">
        <f>[1]节奏总纲!AF135</f>
        <v>75.505534883297358</v>
      </c>
      <c r="U135" s="1">
        <f>[1]节奏总纲!AG135</f>
        <v>80.045750258986601</v>
      </c>
      <c r="V135" s="1">
        <f>[1]节奏总纲!AH135</f>
        <v>89.175620204122851</v>
      </c>
      <c r="AN135" s="1">
        <v>132</v>
      </c>
      <c r="AO135" s="1">
        <f>[1]节奏总纲!BA135</f>
        <v>39.898688674913267</v>
      </c>
      <c r="AP135" s="1">
        <f>[1]节奏总纲!BB135</f>
        <v>41.389172829914081</v>
      </c>
      <c r="AQ135" s="1">
        <f>[1]节奏总纲!BC135</f>
        <v>43.329750976586219</v>
      </c>
      <c r="AR135" s="1">
        <f>[1]节奏总纲!BD135</f>
        <v>46.079770001861057</v>
      </c>
      <c r="AS135" s="1">
        <f>[1]节奏总纲!BE135</f>
        <v>50.768222798676959</v>
      </c>
    </row>
    <row r="136" spans="2:45" x14ac:dyDescent="0.15">
      <c r="B136" s="1">
        <f>[1]节奏总纲!N136</f>
        <v>143</v>
      </c>
      <c r="C136" s="1">
        <v>133</v>
      </c>
      <c r="D136" s="1">
        <f>[1]节奏总纲!P136</f>
        <v>10084.535034121556</v>
      </c>
      <c r="E136" s="1">
        <f>[1]节奏总纲!Q136</f>
        <v>8562.7786974726132</v>
      </c>
      <c r="F136" s="1">
        <f>[1]节奏总纲!R136</f>
        <v>6827.2302181002942</v>
      </c>
      <c r="G136" s="1">
        <f>[1]节奏总纲!S136</f>
        <v>4847.6359909022322</v>
      </c>
      <c r="H136" s="1">
        <f>[1]节奏总纲!T136</f>
        <v>2595.759317782889</v>
      </c>
      <c r="J136" s="1">
        <v>133</v>
      </c>
      <c r="K136" s="1">
        <f>[1]节奏总纲!W136</f>
        <v>675.39810998585199</v>
      </c>
      <c r="L136" s="1">
        <f>[1]节奏总纲!X136</f>
        <v>579.12601734346754</v>
      </c>
      <c r="M136" s="1">
        <f>[1]节奏总纲!Y136</f>
        <v>441.24898768939238</v>
      </c>
      <c r="N136" s="1">
        <f>[1]节奏总纲!Z136</f>
        <v>303.02285654468687</v>
      </c>
      <c r="O136" s="1">
        <f>[1]节奏总纲!AA136</f>
        <v>164.4383365862227</v>
      </c>
      <c r="Q136" s="1">
        <v>133</v>
      </c>
      <c r="R136" s="1">
        <f>[1]节奏总纲!AD136</f>
        <v>70.653096539355303</v>
      </c>
      <c r="S136" s="1">
        <f>[1]节奏总纲!AE136</f>
        <v>72.726519840539851</v>
      </c>
      <c r="T136" s="1">
        <f>[1]节奏总纲!AF136</f>
        <v>75.614997873687514</v>
      </c>
      <c r="U136" s="1">
        <f>[1]节奏总纲!AG136</f>
        <v>80.154679447049915</v>
      </c>
      <c r="V136" s="1">
        <f>[1]节奏总纲!AH136</f>
        <v>89.302819678876304</v>
      </c>
      <c r="AN136" s="1">
        <v>133</v>
      </c>
      <c r="AO136" s="1">
        <f>[1]节奏总纲!BA136</f>
        <v>39.952721381626191</v>
      </c>
      <c r="AP136" s="1">
        <f>[1]节奏总纲!BB136</f>
        <v>41.439455598778757</v>
      </c>
      <c r="AQ136" s="1">
        <f>[1]节奏总纲!BC136</f>
        <v>43.379679921165753</v>
      </c>
      <c r="AR136" s="1">
        <f>[1]节奏总纲!BD136</f>
        <v>46.127930108907876</v>
      </c>
      <c r="AS136" s="1">
        <f>[1]节奏总纲!BE136</f>
        <v>50.821738841775321</v>
      </c>
    </row>
    <row r="137" spans="2:45" x14ac:dyDescent="0.15">
      <c r="B137" s="1">
        <f>[1]节奏总纲!N137</f>
        <v>144</v>
      </c>
      <c r="C137" s="1">
        <v>134</v>
      </c>
      <c r="D137" s="1">
        <f>[1]节奏总纲!P137</f>
        <v>10808.408805051544</v>
      </c>
      <c r="E137" s="1">
        <f>[1]节奏总纲!Q137</f>
        <v>9151.4797352371424</v>
      </c>
      <c r="F137" s="1">
        <f>[1]节奏总纲!R137</f>
        <v>7283.7866937242361</v>
      </c>
      <c r="G137" s="1">
        <f>[1]节奏总纲!S137</f>
        <v>5175.0661358586794</v>
      </c>
      <c r="H137" s="1">
        <f>[1]节奏总纲!T137</f>
        <v>2775.5993811372364</v>
      </c>
      <c r="J137" s="1">
        <v>134</v>
      </c>
      <c r="K137" s="1">
        <f>[1]节奏总纲!W137</f>
        <v>723.87377092998759</v>
      </c>
      <c r="L137" s="1">
        <f>[1]节奏总纲!X137</f>
        <v>588.70103776452925</v>
      </c>
      <c r="M137" s="1">
        <f>[1]节奏总纲!Y137</f>
        <v>456.55647562394188</v>
      </c>
      <c r="N137" s="1">
        <f>[1]节奏总纲!Z137</f>
        <v>327.43014495644729</v>
      </c>
      <c r="O137" s="1">
        <f>[1]节奏总纲!AA137</f>
        <v>179.84006335434742</v>
      </c>
      <c r="Q137" s="1">
        <v>134</v>
      </c>
      <c r="R137" s="1">
        <f>[1]节奏总纲!AD137</f>
        <v>70.76194596258118</v>
      </c>
      <c r="S137" s="1">
        <f>[1]节奏总纲!AE137</f>
        <v>72.839715638639731</v>
      </c>
      <c r="T137" s="1">
        <f>[1]节奏总纲!AF137</f>
        <v>75.72446086407767</v>
      </c>
      <c r="U137" s="1">
        <f>[1]节奏总纲!AG137</f>
        <v>80.263608635113243</v>
      </c>
      <c r="V137" s="1">
        <f>[1]节奏总纲!AH137</f>
        <v>89.430019153629758</v>
      </c>
      <c r="AN137" s="1">
        <v>134</v>
      </c>
      <c r="AO137" s="1">
        <f>[1]节奏总纲!BA137</f>
        <v>40.005827399112476</v>
      </c>
      <c r="AP137" s="1">
        <f>[1]节奏总纲!BB137</f>
        <v>41.48973836764344</v>
      </c>
      <c r="AQ137" s="1">
        <f>[1]节奏总纲!BC137</f>
        <v>43.42960886574528</v>
      </c>
      <c r="AR137" s="1">
        <f>[1]节奏总纲!BD137</f>
        <v>46.176090215954694</v>
      </c>
      <c r="AS137" s="1">
        <f>[1]节奏总纲!BE137</f>
        <v>50.875254884873684</v>
      </c>
    </row>
    <row r="138" spans="2:45" x14ac:dyDescent="0.15">
      <c r="B138" s="1">
        <f>[1]节奏总纲!N138</f>
        <v>145</v>
      </c>
      <c r="C138" s="1">
        <v>135</v>
      </c>
      <c r="D138" s="1">
        <f>[1]节奏总纲!P138</f>
        <v>11584.237502960397</v>
      </c>
      <c r="E138" s="1">
        <f>[1]节奏总纲!Q138</f>
        <v>9796.789656253608</v>
      </c>
      <c r="F138" s="1">
        <f>[1]节奏总纲!R138</f>
        <v>7796.1918394923478</v>
      </c>
      <c r="G138" s="1">
        <f>[1]节奏总纲!S138</f>
        <v>5548.8497639180305</v>
      </c>
      <c r="H138" s="1">
        <f>[1]节奏总纲!T138</f>
        <v>2979.465885761414</v>
      </c>
      <c r="J138" s="1">
        <v>135</v>
      </c>
      <c r="K138" s="1">
        <f>[1]节奏总纲!W138</f>
        <v>775.82869790885343</v>
      </c>
      <c r="L138" s="1">
        <f>[1]节奏总纲!X138</f>
        <v>645.30992101646552</v>
      </c>
      <c r="M138" s="1">
        <f>[1]节奏总纲!Y138</f>
        <v>512.40514576811165</v>
      </c>
      <c r="N138" s="1">
        <f>[1]节奏总纲!Z138</f>
        <v>373.78362805935103</v>
      </c>
      <c r="O138" s="1">
        <f>[1]节奏总纲!AA138</f>
        <v>203.86650462417765</v>
      </c>
      <c r="Q138" s="1">
        <v>135</v>
      </c>
      <c r="R138" s="1">
        <f>[1]节奏总纲!AD138</f>
        <v>70.870795385807057</v>
      </c>
      <c r="S138" s="1">
        <f>[1]节奏总纲!AE138</f>
        <v>72.952911436739612</v>
      </c>
      <c r="T138" s="1">
        <f>[1]节奏总纲!AF138</f>
        <v>75.833923854467812</v>
      </c>
      <c r="U138" s="1">
        <f>[1]节奏总纲!AG138</f>
        <v>80.372537823176572</v>
      </c>
      <c r="V138" s="1">
        <f>[1]节奏总纲!AH138</f>
        <v>89.557218628383211</v>
      </c>
      <c r="AN138" s="1">
        <v>135</v>
      </c>
      <c r="AO138" s="1">
        <f>[1]节奏总纲!BA138</f>
        <v>40.052446592012309</v>
      </c>
      <c r="AP138" s="1">
        <f>[1]节奏总纲!BB138</f>
        <v>41.540021136508116</v>
      </c>
      <c r="AQ138" s="1">
        <f>[1]节奏总纲!BC138</f>
        <v>43.479537810324814</v>
      </c>
      <c r="AR138" s="1">
        <f>[1]节奏总纲!BD138</f>
        <v>46.224250323001513</v>
      </c>
      <c r="AS138" s="1">
        <f>[1]节奏总纲!BE138</f>
        <v>50.928770927972039</v>
      </c>
    </row>
    <row r="139" spans="2:45" x14ac:dyDescent="0.15">
      <c r="B139" s="1">
        <f>[1]节奏总纲!N139</f>
        <v>146</v>
      </c>
      <c r="C139" s="1">
        <v>136</v>
      </c>
      <c r="D139" s="1">
        <f>[1]节奏总纲!P139</f>
        <v>12415.750112853173</v>
      </c>
      <c r="E139" s="1">
        <f>[1]节奏总纲!Q139</f>
        <v>10507.449320507641</v>
      </c>
      <c r="F139" s="1">
        <f>[1]节奏总纲!R139</f>
        <v>8384.3560512097483</v>
      </c>
      <c r="G139" s="1">
        <f>[1]节奏总纲!S139</f>
        <v>5967.009504237235</v>
      </c>
      <c r="H139" s="1">
        <f>[1]节奏总纲!T139</f>
        <v>3204.5051041274041</v>
      </c>
      <c r="J139" s="1">
        <v>136</v>
      </c>
      <c r="K139" s="1">
        <f>[1]节奏总纲!W139</f>
        <v>831.5126098927758</v>
      </c>
      <c r="L139" s="1">
        <f>[1]节奏总纲!X139</f>
        <v>710.65966425403349</v>
      </c>
      <c r="M139" s="1">
        <f>[1]节奏总纲!Y139</f>
        <v>588.16421171740058</v>
      </c>
      <c r="N139" s="1">
        <f>[1]节奏总纲!Z139</f>
        <v>418.1597403192045</v>
      </c>
      <c r="O139" s="1">
        <f>[1]节奏总纲!AA139</f>
        <v>225.03921836599011</v>
      </c>
      <c r="Q139" s="1">
        <v>136</v>
      </c>
      <c r="R139" s="1">
        <f>[1]节奏总纲!AD139</f>
        <v>70.979644809032948</v>
      </c>
      <c r="S139" s="1">
        <f>[1]节奏总纲!AE139</f>
        <v>73.059911975288244</v>
      </c>
      <c r="T139" s="1">
        <f>[1]节奏总纲!AF139</f>
        <v>75.943386844857969</v>
      </c>
      <c r="U139" s="1">
        <f>[1]节奏总纲!AG139</f>
        <v>80.4814670112399</v>
      </c>
      <c r="V139" s="1">
        <f>[1]节奏总纲!AH139</f>
        <v>89.684418103136665</v>
      </c>
      <c r="AN139" s="1">
        <v>136</v>
      </c>
      <c r="AO139" s="1">
        <f>[1]节奏总纲!BA139</f>
        <v>40.099065784912149</v>
      </c>
      <c r="AP139" s="1">
        <f>[1]节奏总纲!BB139</f>
        <v>41.590303905372799</v>
      </c>
      <c r="AQ139" s="1">
        <f>[1]节奏总纲!BC139</f>
        <v>43.529466754904341</v>
      </c>
      <c r="AR139" s="1">
        <f>[1]节奏总纲!BD139</f>
        <v>46.272410430048332</v>
      </c>
      <c r="AS139" s="1">
        <f>[1]节奏总纲!BE139</f>
        <v>50.982286971070401</v>
      </c>
    </row>
    <row r="140" spans="2:45" x14ac:dyDescent="0.15">
      <c r="B140" s="1">
        <f>[1]节奏总纲!N140</f>
        <v>147</v>
      </c>
      <c r="C140" s="1">
        <v>137</v>
      </c>
      <c r="D140" s="1">
        <f>[1]节奏总纲!P140</f>
        <v>13306.943261900544</v>
      </c>
      <c r="E140" s="1">
        <f>[1]节奏总纲!Q140</f>
        <v>11274.973025808331</v>
      </c>
      <c r="F140" s="1">
        <f>[1]节奏总纲!R140</f>
        <v>8995.4936450447676</v>
      </c>
      <c r="G140" s="1">
        <f>[1]节奏总纲!S140</f>
        <v>6407.293180605112</v>
      </c>
      <c r="H140" s="1">
        <f>[1]节奏总纲!T140</f>
        <v>3438.5141388751008</v>
      </c>
      <c r="J140" s="1">
        <v>137</v>
      </c>
      <c r="K140" s="1">
        <f>[1]节奏总纲!W140</f>
        <v>891.19314904737075</v>
      </c>
      <c r="L140" s="1">
        <f>[1]节奏总纲!X140</f>
        <v>767.52370530068947</v>
      </c>
      <c r="M140" s="1">
        <f>[1]节奏总纲!Y140</f>
        <v>611.13759383501929</v>
      </c>
      <c r="N140" s="1">
        <f>[1]节奏总纲!Z140</f>
        <v>440.28367636787698</v>
      </c>
      <c r="O140" s="1">
        <f>[1]节奏总纲!AA140</f>
        <v>234.00903474769666</v>
      </c>
      <c r="Q140" s="1">
        <v>137</v>
      </c>
      <c r="R140" s="1">
        <f>[1]节奏总纲!AD140</f>
        <v>71.082568038258202</v>
      </c>
      <c r="S140" s="1">
        <f>[1]节奏总纲!AE140</f>
        <v>73.162499594857536</v>
      </c>
      <c r="T140" s="1">
        <f>[1]节奏总纲!AF140</f>
        <v>76.048210495050611</v>
      </c>
      <c r="U140" s="1">
        <f>[1]节奏总纲!AG140</f>
        <v>80.590396199303228</v>
      </c>
      <c r="V140" s="1">
        <f>[1]节奏总纲!AH140</f>
        <v>89.811617577890132</v>
      </c>
      <c r="AN140" s="1">
        <v>137</v>
      </c>
      <c r="AO140" s="1">
        <f>[1]节奏总纲!BA140</f>
        <v>40.145684977811982</v>
      </c>
      <c r="AP140" s="1">
        <f>[1]节奏总纲!BB140</f>
        <v>41.640586674237483</v>
      </c>
      <c r="AQ140" s="1">
        <f>[1]节奏总纲!BC140</f>
        <v>43.579395699483875</v>
      </c>
      <c r="AR140" s="1">
        <f>[1]节奏总纲!BD140</f>
        <v>46.320570537095151</v>
      </c>
      <c r="AS140" s="1">
        <f>[1]节奏总纲!BE140</f>
        <v>51.030916192165336</v>
      </c>
    </row>
    <row r="141" spans="2:45" x14ac:dyDescent="0.15">
      <c r="B141" s="1">
        <f>[1]节奏总纲!N141</f>
        <v>148</v>
      </c>
      <c r="C141" s="1">
        <v>138</v>
      </c>
      <c r="D141" s="1">
        <f>[1]节奏总纲!P141</f>
        <v>14262.10042904369</v>
      </c>
      <c r="E141" s="1">
        <f>[1]节奏总纲!Q141</f>
        <v>12084.27769352872</v>
      </c>
      <c r="F141" s="1">
        <f>[1]节奏总纲!R141</f>
        <v>9648.3109402480568</v>
      </c>
      <c r="G141" s="1">
        <f>[1]节奏总纲!S141</f>
        <v>6871.4799867132497</v>
      </c>
      <c r="H141" s="1">
        <f>[1]节奏总纲!T141</f>
        <v>3671.064650435846</v>
      </c>
      <c r="J141" s="1">
        <v>138</v>
      </c>
      <c r="K141" s="1">
        <f>[1]节奏总纲!W141</f>
        <v>955.15716714314658</v>
      </c>
      <c r="L141" s="1">
        <f>[1]节奏总纲!X141</f>
        <v>809.30466772038926</v>
      </c>
      <c r="M141" s="1">
        <f>[1]节奏总纲!Y141</f>
        <v>652.81729520328918</v>
      </c>
      <c r="N141" s="1">
        <f>[1]节奏总纲!Z141</f>
        <v>464.18680610813772</v>
      </c>
      <c r="O141" s="1">
        <f>[1]节奏总纲!AA141</f>
        <v>232.55051156074524</v>
      </c>
      <c r="Q141" s="1">
        <v>138</v>
      </c>
      <c r="R141" s="1">
        <f>[1]节奏总纲!AD141</f>
        <v>71.184128141237707</v>
      </c>
      <c r="S141" s="1">
        <f>[1]节奏总纲!AE141</f>
        <v>73.265087214426828</v>
      </c>
      <c r="T141" s="1">
        <f>[1]节奏总纲!AF141</f>
        <v>76.148064447889894</v>
      </c>
      <c r="U141" s="1">
        <f>[1]节奏总纲!AG141</f>
        <v>80.699325387366557</v>
      </c>
      <c r="V141" s="1">
        <f>[1]节奏总纲!AH141</f>
        <v>89.938817052643586</v>
      </c>
      <c r="AN141" s="1">
        <v>138</v>
      </c>
      <c r="AO141" s="1">
        <f>[1]节奏总纲!BA141</f>
        <v>40.192304170711814</v>
      </c>
      <c r="AP141" s="1">
        <f>[1]节奏总纲!BB141</f>
        <v>41.690869443102159</v>
      </c>
      <c r="AQ141" s="1">
        <f>[1]节奏总纲!BC141</f>
        <v>43.629324644063402</v>
      </c>
      <c r="AR141" s="1">
        <f>[1]节奏总纲!BD141</f>
        <v>46.368730644141969</v>
      </c>
      <c r="AS141" s="1">
        <f>[1]节奏总纲!BE141</f>
        <v>51.077127728003028</v>
      </c>
    </row>
    <row r="142" spans="2:45" x14ac:dyDescent="0.15">
      <c r="B142" s="1">
        <f>[1]节奏总纲!N142</f>
        <v>149</v>
      </c>
      <c r="C142" s="1">
        <v>139</v>
      </c>
      <c r="D142" s="1">
        <f>[1]节奏总纲!P142</f>
        <v>15285.812533339058</v>
      </c>
      <c r="E142" s="1">
        <f>[1]节奏总纲!Q142</f>
        <v>12957.783284511519</v>
      </c>
      <c r="F142" s="1">
        <f>[1]节奏总纲!R142</f>
        <v>10342.380760057207</v>
      </c>
      <c r="G142" s="1">
        <f>[1]节奏总纲!S142</f>
        <v>7335.6614347494142</v>
      </c>
      <c r="H142" s="1">
        <f>[1]节奏总纲!T142</f>
        <v>3920.8109148014687</v>
      </c>
      <c r="J142" s="1">
        <v>139</v>
      </c>
      <c r="K142" s="1">
        <f>[1]节奏总纲!W142</f>
        <v>1023.7121042953677</v>
      </c>
      <c r="L142" s="1">
        <f>[1]节奏总纲!X142</f>
        <v>873.50559098279882</v>
      </c>
      <c r="M142" s="1">
        <f>[1]节奏总纲!Y142</f>
        <v>694.06981980915043</v>
      </c>
      <c r="N142" s="1">
        <f>[1]节奏总纲!Z142</f>
        <v>464.18144803616451</v>
      </c>
      <c r="O142" s="1">
        <f>[1]节奏总纲!AA142</f>
        <v>249.74626436562266</v>
      </c>
      <c r="Q142" s="1">
        <v>139</v>
      </c>
      <c r="R142" s="1">
        <f>[1]节奏总纲!AD142</f>
        <v>71.285688244217212</v>
      </c>
      <c r="S142" s="1">
        <f>[1]节奏总纲!AE142</f>
        <v>73.367674833996119</v>
      </c>
      <c r="T142" s="1">
        <f>[1]节奏总纲!AF142</f>
        <v>76.247918400729162</v>
      </c>
      <c r="U142" s="1">
        <f>[1]节奏总纲!AG142</f>
        <v>80.808254575429885</v>
      </c>
      <c r="V142" s="1">
        <f>[1]节奏总纲!AH142</f>
        <v>90.055148444912135</v>
      </c>
      <c r="AN142" s="1">
        <v>139</v>
      </c>
      <c r="AO142" s="1">
        <f>[1]节奏总纲!BA142</f>
        <v>40.238923363611647</v>
      </c>
      <c r="AP142" s="1">
        <f>[1]节奏总纲!BB142</f>
        <v>41.741152211966842</v>
      </c>
      <c r="AQ142" s="1">
        <f>[1]节奏总纲!BC142</f>
        <v>43.679253588642929</v>
      </c>
      <c r="AR142" s="1">
        <f>[1]节奏总纲!BD142</f>
        <v>46.416890751188788</v>
      </c>
      <c r="AS142" s="1">
        <f>[1]节奏总纲!BE142</f>
        <v>51.12333926384072</v>
      </c>
    </row>
    <row r="143" spans="2:45" x14ac:dyDescent="0.15">
      <c r="B143" s="1">
        <f>[1]节奏总纲!N143</f>
        <v>150</v>
      </c>
      <c r="C143" s="1">
        <v>140</v>
      </c>
      <c r="D143" s="1">
        <f>[1]节奏总纲!P143</f>
        <v>16383</v>
      </c>
      <c r="E143" s="1">
        <f>[1]节奏总纲!Q143</f>
        <v>13881.315900000001</v>
      </c>
      <c r="F143" s="1">
        <f>[1]节奏总纲!R143</f>
        <v>11037.2271</v>
      </c>
      <c r="G143" s="1">
        <f>[1]节奏总纲!S143</f>
        <v>7827.7974000000004</v>
      </c>
      <c r="H143" s="1">
        <f>[1]节奏总纲!T143</f>
        <v>4192.4097000000002</v>
      </c>
      <c r="J143" s="1">
        <v>140</v>
      </c>
      <c r="K143" s="1">
        <f>[1]节奏总纲!W143</f>
        <v>1097.1874666609419</v>
      </c>
      <c r="L143" s="1">
        <f>[1]节奏总纲!X143</f>
        <v>923.53261548848241</v>
      </c>
      <c r="M143" s="1">
        <f>[1]节奏总纲!Y143</f>
        <v>694.84633994279284</v>
      </c>
      <c r="N143" s="1">
        <f>[1]节奏总纲!Z143</f>
        <v>492.1359652505862</v>
      </c>
      <c r="O143" s="1">
        <f>[1]节奏总纲!AA143</f>
        <v>271.59878519853146</v>
      </c>
      <c r="Q143" s="1">
        <v>140</v>
      </c>
      <c r="R143" s="1">
        <f>[1]节奏总纲!AD143</f>
        <v>71.387248347196717</v>
      </c>
      <c r="S143" s="1">
        <f>[1]节奏总纲!AE143</f>
        <v>73.470262453565411</v>
      </c>
      <c r="T143" s="1">
        <f>[1]节奏总纲!AF143</f>
        <v>76.347772353568445</v>
      </c>
      <c r="U143" s="1">
        <f>[1]节奏总纲!AG143</f>
        <v>80.917183763493213</v>
      </c>
      <c r="V143" s="1">
        <f>[1]节奏总纲!AH143</f>
        <v>90.16140749098561</v>
      </c>
      <c r="AN143" s="1">
        <v>140</v>
      </c>
      <c r="AO143" s="1">
        <f>[1]节奏总纲!BA143</f>
        <v>40.28554255651148</v>
      </c>
      <c r="AP143" s="1">
        <f>[1]节奏总纲!BB143</f>
        <v>41.791434980831518</v>
      </c>
      <c r="AQ143" s="1">
        <f>[1]节奏总纲!BC143</f>
        <v>43.729182533222463</v>
      </c>
      <c r="AR143" s="1">
        <f>[1]节奏总纲!BD143</f>
        <v>46.465050858235607</v>
      </c>
      <c r="AS143" s="1">
        <f>[1]节奏总纲!BE143</f>
        <v>51.169550799678412</v>
      </c>
    </row>
    <row r="144" spans="2:45" x14ac:dyDescent="0.15">
      <c r="B144" s="1">
        <f>[1]节奏总纲!N144</f>
        <v>151</v>
      </c>
      <c r="C144" s="1">
        <v>141</v>
      </c>
      <c r="D144" s="1">
        <f>[1]节奏总纲!P144</f>
        <v>17558.936410194601</v>
      </c>
      <c r="E144" s="1">
        <f>[1]节奏总纲!Q144</f>
        <v>14839.057160255457</v>
      </c>
      <c r="F144" s="1">
        <f>[1]节奏总纲!R144</f>
        <v>11789.069905804656</v>
      </c>
      <c r="G144" s="1">
        <f>[1]节奏总纲!S144</f>
        <v>8380.8803485858825</v>
      </c>
      <c r="H144" s="1">
        <f>[1]节奏总纲!T144</f>
        <v>4489.820040086759</v>
      </c>
      <c r="J144" s="1">
        <v>141</v>
      </c>
      <c r="K144" s="1">
        <f>[1]节奏总纲!W144</f>
        <v>1175.9364101946012</v>
      </c>
      <c r="L144" s="1">
        <f>[1]节奏总纲!X144</f>
        <v>957.74126025545593</v>
      </c>
      <c r="M144" s="1">
        <f>[1]节奏总纲!Y144</f>
        <v>751.84280580465565</v>
      </c>
      <c r="N144" s="1">
        <f>[1]节奏总纲!Z144</f>
        <v>553.08294858588215</v>
      </c>
      <c r="O144" s="1">
        <f>[1]节奏总纲!AA144</f>
        <v>297.41034008675888</v>
      </c>
      <c r="Q144" s="1">
        <v>141</v>
      </c>
      <c r="R144" s="1">
        <f>[1]节奏总纲!AD144</f>
        <v>71.488808450176208</v>
      </c>
      <c r="S144" s="1">
        <f>[1]节奏总纲!AE144</f>
        <v>73.572850073134703</v>
      </c>
      <c r="T144" s="1">
        <f>[1]节奏总纲!AF144</f>
        <v>76.447626306407713</v>
      </c>
      <c r="U144" s="1">
        <f>[1]节奏总纲!AG144</f>
        <v>81.023848662825003</v>
      </c>
      <c r="V144" s="1">
        <f>[1]节奏总纲!AH144</f>
        <v>90.267666537059071</v>
      </c>
      <c r="AN144" s="1">
        <v>141</v>
      </c>
      <c r="AO144" s="1">
        <f>[1]节奏总纲!BA144</f>
        <v>40.332161749411313</v>
      </c>
      <c r="AP144" s="1">
        <f>[1]节奏总纲!BB144</f>
        <v>41.841717749696201</v>
      </c>
      <c r="AQ144" s="1">
        <f>[1]节奏总纲!BC144</f>
        <v>43.77911147780199</v>
      </c>
      <c r="AR144" s="1">
        <f>[1]节奏总纲!BD144</f>
        <v>46.513210965282425</v>
      </c>
      <c r="AS144" s="1">
        <f>[1]节奏总纲!BE144</f>
        <v>51.215762335516104</v>
      </c>
    </row>
    <row r="145" spans="2:45" x14ac:dyDescent="0.15">
      <c r="B145" s="1">
        <f>[1]节奏总纲!N145</f>
        <v>152</v>
      </c>
      <c r="C145" s="1">
        <v>142</v>
      </c>
      <c r="D145" s="1">
        <f>[1]节奏总纲!P145</f>
        <v>18819.273848271412</v>
      </c>
      <c r="E145" s="1">
        <f>[1]节奏总纲!Q145</f>
        <v>15904.16832917417</v>
      </c>
      <c r="F145" s="1">
        <f>[1]节奏总纲!R145</f>
        <v>12667.253227271489</v>
      </c>
      <c r="G145" s="1">
        <f>[1]节奏总纲!S145</f>
        <v>9003.140609013044</v>
      </c>
      <c r="H145" s="1">
        <f>[1]节奏总纲!T145</f>
        <v>4823.3798873119622</v>
      </c>
      <c r="J145" s="1">
        <v>142</v>
      </c>
      <c r="K145" s="1">
        <f>[1]节奏总纲!W145</f>
        <v>1260.3374380768109</v>
      </c>
      <c r="L145" s="1">
        <f>[1]节奏总纲!X145</f>
        <v>1065.1111689187128</v>
      </c>
      <c r="M145" s="1">
        <f>[1]节奏总纲!Y145</f>
        <v>878.18332146683315</v>
      </c>
      <c r="N145" s="1">
        <f>[1]节奏总纲!Z145</f>
        <v>622.26026042716148</v>
      </c>
      <c r="O145" s="1">
        <f>[1]节奏总纲!AA145</f>
        <v>333.55984722520316</v>
      </c>
      <c r="Q145" s="1">
        <v>142</v>
      </c>
      <c r="R145" s="1">
        <f>[1]节奏总纲!AD145</f>
        <v>71.590368553155713</v>
      </c>
      <c r="S145" s="1">
        <f>[1]节奏总纲!AE145</f>
        <v>73.675437692703994</v>
      </c>
      <c r="T145" s="1">
        <f>[1]节奏总纲!AF145</f>
        <v>76.547480259246996</v>
      </c>
      <c r="U145" s="1">
        <f>[1]节奏总纲!AG145</f>
        <v>81.123332456233015</v>
      </c>
      <c r="V145" s="1">
        <f>[1]节奏总纲!AH145</f>
        <v>90.373925583132547</v>
      </c>
      <c r="AN145" s="1">
        <v>142</v>
      </c>
      <c r="AO145" s="1">
        <f>[1]节奏总纲!BA145</f>
        <v>40.378780942311145</v>
      </c>
      <c r="AP145" s="1">
        <f>[1]节奏总纲!BB145</f>
        <v>41.892000518560877</v>
      </c>
      <c r="AQ145" s="1">
        <f>[1]节奏总纲!BC145</f>
        <v>43.829040422381524</v>
      </c>
      <c r="AR145" s="1">
        <f>[1]节奏总纲!BD145</f>
        <v>46.561371072329244</v>
      </c>
      <c r="AS145" s="1">
        <f>[1]节奏总纲!BE145</f>
        <v>51.261973871353796</v>
      </c>
    </row>
    <row r="146" spans="2:45" x14ac:dyDescent="0.15">
      <c r="B146" s="1">
        <f>[1]节奏总纲!N146</f>
        <v>153</v>
      </c>
      <c r="C146" s="1">
        <v>143</v>
      </c>
      <c r="D146" s="1">
        <f>[1]节奏总纲!P146</f>
        <v>20170.070068243116</v>
      </c>
      <c r="E146" s="1">
        <f>[1]节奏总纲!Q146</f>
        <v>17065.896284740498</v>
      </c>
      <c r="F146" s="1">
        <f>[1]节奏总纲!R146</f>
        <v>13594.62722599586</v>
      </c>
      <c r="G146" s="1">
        <f>[1]节奏总纲!S146</f>
        <v>9669.5315907157492</v>
      </c>
      <c r="H146" s="1">
        <f>[1]节奏总纲!T146</f>
        <v>5185.7250145453054</v>
      </c>
      <c r="J146" s="1">
        <v>143</v>
      </c>
      <c r="K146" s="1">
        <f>[1]节奏总纲!W146</f>
        <v>1350.796219971704</v>
      </c>
      <c r="L146" s="1">
        <f>[1]节奏总纲!X146</f>
        <v>1161.7279555663281</v>
      </c>
      <c r="M146" s="1">
        <f>[1]节奏总纲!Y146</f>
        <v>927.37399872437163</v>
      </c>
      <c r="N146" s="1">
        <f>[1]节奏总纲!Z146</f>
        <v>666.39098170270518</v>
      </c>
      <c r="O146" s="1">
        <f>[1]节奏总纲!AA146</f>
        <v>362.34512723334319</v>
      </c>
      <c r="Q146" s="1">
        <v>143</v>
      </c>
      <c r="R146" s="1">
        <f>[1]节奏总纲!AD146</f>
        <v>71.691928656135218</v>
      </c>
      <c r="S146" s="1">
        <f>[1]节奏总纲!AE146</f>
        <v>73.778025312273286</v>
      </c>
      <c r="T146" s="1">
        <f>[1]节奏总纲!AF146</f>
        <v>76.647334212086264</v>
      </c>
      <c r="U146" s="1">
        <f>[1]节奏总纲!AG146</f>
        <v>81.222816249641028</v>
      </c>
      <c r="V146" s="1">
        <f>[1]节奏总纲!AH146</f>
        <v>90.480184629206022</v>
      </c>
      <c r="AN146" s="1">
        <v>143</v>
      </c>
      <c r="AO146" s="1">
        <f>[1]节奏总纲!BA146</f>
        <v>40.425400135210978</v>
      </c>
      <c r="AP146" s="1">
        <f>[1]节奏总纲!BB146</f>
        <v>41.94228328742556</v>
      </c>
      <c r="AQ146" s="1">
        <f>[1]节奏总纲!BC146</f>
        <v>43.878969366961051</v>
      </c>
      <c r="AR146" s="1">
        <f>[1]节奏总纲!BD146</f>
        <v>46.609531179376063</v>
      </c>
      <c r="AS146" s="1">
        <f>[1]节奏总纲!BE146</f>
        <v>51.308185407191495</v>
      </c>
    </row>
    <row r="147" spans="2:45" x14ac:dyDescent="0.15">
      <c r="B147" s="1">
        <f>[1]节奏总纲!N147</f>
        <v>154</v>
      </c>
      <c r="C147" s="1">
        <v>144</v>
      </c>
      <c r="D147" s="1">
        <f>[1]节奏总纲!P147</f>
        <v>21617.817610103088</v>
      </c>
      <c r="E147" s="1">
        <f>[1]节奏总纲!Q147</f>
        <v>18290.835479908223</v>
      </c>
      <c r="F147" s="1">
        <f>[1]节奏总纲!R147</f>
        <v>14585.541541536553</v>
      </c>
      <c r="G147" s="1">
        <f>[1]节奏总纲!S147</f>
        <v>10380.876016371503</v>
      </c>
      <c r="H147" s="1">
        <f>[1]节奏总纲!T147</f>
        <v>5547.1319987524521</v>
      </c>
      <c r="J147" s="1">
        <v>144</v>
      </c>
      <c r="K147" s="1">
        <f>[1]节奏总纲!W147</f>
        <v>1447.7475418599715</v>
      </c>
      <c r="L147" s="1">
        <f>[1]节奏总纲!X147</f>
        <v>1224.9391951677244</v>
      </c>
      <c r="M147" s="1">
        <f>[1]节奏总纲!Y147</f>
        <v>990.91431554069277</v>
      </c>
      <c r="N147" s="1">
        <f>[1]节奏总纲!Z147</f>
        <v>711.34442565575409</v>
      </c>
      <c r="O147" s="1">
        <f>[1]节奏总纲!AA147</f>
        <v>361.40698420714671</v>
      </c>
      <c r="Q147" s="1">
        <v>144</v>
      </c>
      <c r="R147" s="1">
        <f>[1]节奏总纲!AD147</f>
        <v>71.793488759114723</v>
      </c>
      <c r="S147" s="1">
        <f>[1]节奏总纲!AE147</f>
        <v>73.880612931842577</v>
      </c>
      <c r="T147" s="1">
        <f>[1]节奏总纲!AF147</f>
        <v>76.747188164925547</v>
      </c>
      <c r="U147" s="1">
        <f>[1]节奏总纲!AG147</f>
        <v>81.322300043049054</v>
      </c>
      <c r="V147" s="1">
        <f>[1]节奏总纲!AH147</f>
        <v>90.586443675279497</v>
      </c>
      <c r="AN147" s="1">
        <v>144</v>
      </c>
      <c r="AO147" s="1">
        <f>[1]节奏总纲!BA147</f>
        <v>40.472019328110811</v>
      </c>
      <c r="AP147" s="1">
        <f>[1]节奏总纲!BB147</f>
        <v>41.992566056290244</v>
      </c>
      <c r="AQ147" s="1">
        <f>[1]节奏总纲!BC147</f>
        <v>43.928898311540586</v>
      </c>
      <c r="AR147" s="1">
        <f>[1]节奏总纲!BD147</f>
        <v>46.657691286422882</v>
      </c>
      <c r="AS147" s="1">
        <f>[1]节奏总纲!BE147</f>
        <v>51.354396943029187</v>
      </c>
    </row>
    <row r="148" spans="2:45" x14ac:dyDescent="0.15">
      <c r="B148" s="1">
        <f>[1]节奏总纲!N148</f>
        <v>155</v>
      </c>
      <c r="C148" s="1">
        <v>145</v>
      </c>
      <c r="D148" s="1">
        <f>[1]节奏总纲!P148</f>
        <v>23169.475005920798</v>
      </c>
      <c r="E148" s="1">
        <f>[1]节奏总纲!Q148</f>
        <v>19631.496172516694</v>
      </c>
      <c r="F148" s="1">
        <f>[1]节奏总纲!R148</f>
        <v>15650.9803664995</v>
      </c>
      <c r="G148" s="1">
        <f>[1]节奏总纲!S148</f>
        <v>11105.129370337838</v>
      </c>
      <c r="H148" s="1">
        <f>[1]节奏总纲!T148</f>
        <v>5926.7517065145412</v>
      </c>
      <c r="J148" s="1">
        <v>145</v>
      </c>
      <c r="K148" s="1">
        <f>[1]节奏总纲!W148</f>
        <v>1551.6573958177105</v>
      </c>
      <c r="L148" s="1">
        <f>[1]节奏总纲!X148</f>
        <v>1340.6606926084714</v>
      </c>
      <c r="M148" s="1">
        <f>[1]节奏总纲!Y148</f>
        <v>1065.4388249629465</v>
      </c>
      <c r="N148" s="1">
        <f>[1]节奏总纲!Z148</f>
        <v>724.25335396633454</v>
      </c>
      <c r="O148" s="1">
        <f>[1]节奏总纲!AA148</f>
        <v>379.61970776208909</v>
      </c>
      <c r="Q148" s="1">
        <v>145</v>
      </c>
      <c r="R148" s="1">
        <f>[1]节奏总纲!AD148</f>
        <v>71.895048862094214</v>
      </c>
      <c r="S148" s="1">
        <f>[1]节奏总纲!AE148</f>
        <v>73.983200551411869</v>
      </c>
      <c r="T148" s="1">
        <f>[1]节奏总纲!AF148</f>
        <v>76.847042117764815</v>
      </c>
      <c r="U148" s="1">
        <f>[1]节奏总纲!AG148</f>
        <v>81.421783836457067</v>
      </c>
      <c r="V148" s="1">
        <f>[1]节奏总纲!AH148</f>
        <v>90.692702721352973</v>
      </c>
      <c r="AN148" s="1">
        <v>145</v>
      </c>
      <c r="AO148" s="1">
        <f>[1]节奏总纲!BA148</f>
        <v>40.518638521010651</v>
      </c>
      <c r="AP148" s="1">
        <f>[1]节奏总纲!BB148</f>
        <v>42.036975906461073</v>
      </c>
      <c r="AQ148" s="1">
        <f>[1]节奏总纲!BC148</f>
        <v>43.978827256120113</v>
      </c>
      <c r="AR148" s="1">
        <f>[1]节奏总纲!BD148</f>
        <v>46.7058513934697</v>
      </c>
      <c r="AS148" s="1">
        <f>[1]节奏总纲!BE148</f>
        <v>51.400608478866879</v>
      </c>
    </row>
    <row r="149" spans="2:45" x14ac:dyDescent="0.15">
      <c r="B149" s="1">
        <f>[1]节奏总纲!N149</f>
        <v>156</v>
      </c>
      <c r="C149" s="1">
        <v>146</v>
      </c>
      <c r="D149" s="1">
        <f>[1]节奏总纲!P149</f>
        <v>24832.50022570635</v>
      </c>
      <c r="E149" s="1">
        <f>[1]节奏总纲!Q149</f>
        <v>21035.61094119585</v>
      </c>
      <c r="F149" s="1">
        <f>[1]节奏总纲!R149</f>
        <v>16719.722401968087</v>
      </c>
      <c r="G149" s="1">
        <f>[1]节奏总纲!S149</f>
        <v>11847.5858576845</v>
      </c>
      <c r="H149" s="1">
        <f>[1]节奏总纲!T149</f>
        <v>6324.8378074874072</v>
      </c>
      <c r="J149" s="1">
        <v>146</v>
      </c>
      <c r="K149" s="1">
        <f>[1]节奏总纲!W149</f>
        <v>1663.0252197855516</v>
      </c>
      <c r="L149" s="1">
        <f>[1]节奏总纲!X149</f>
        <v>1404.1147686791555</v>
      </c>
      <c r="M149" s="1">
        <f>[1]节奏总纲!Y149</f>
        <v>1068.7420354685873</v>
      </c>
      <c r="N149" s="1">
        <f>[1]节奏总纲!Z149</f>
        <v>742.45648734666247</v>
      </c>
      <c r="O149" s="1">
        <f>[1]节奏总纲!AA149</f>
        <v>398.08610097286601</v>
      </c>
      <c r="Q149" s="1">
        <v>146</v>
      </c>
      <c r="R149" s="1">
        <f>[1]节奏总纲!AD149</f>
        <v>71.996608965073719</v>
      </c>
      <c r="S149" s="1">
        <f>[1]节奏总纲!AE149</f>
        <v>74.078973000522922</v>
      </c>
      <c r="T149" s="1">
        <f>[1]节奏总纲!AF149</f>
        <v>76.946896070604097</v>
      </c>
      <c r="U149" s="1">
        <f>[1]节奏总纲!AG149</f>
        <v>81.521267629865079</v>
      </c>
      <c r="V149" s="1">
        <f>[1]节奏总纲!AH149</f>
        <v>90.798961767426448</v>
      </c>
      <c r="AN149" s="1">
        <v>146</v>
      </c>
      <c r="AO149" s="1">
        <f>[1]节奏总纲!BA149</f>
        <v>40.565257713910484</v>
      </c>
      <c r="AP149" s="1">
        <f>[1]节奏总纲!BB149</f>
        <v>42.080366850119908</v>
      </c>
      <c r="AQ149" s="1">
        <f>[1]节奏总纲!BC149</f>
        <v>44.024818750237806</v>
      </c>
      <c r="AR149" s="1">
        <f>[1]节奏总纲!BD149</f>
        <v>46.754011500516519</v>
      </c>
      <c r="AS149" s="1">
        <f>[1]节奏总纲!BE149</f>
        <v>51.446820014704571</v>
      </c>
    </row>
    <row r="150" spans="2:45" x14ac:dyDescent="0.15">
      <c r="B150" s="1">
        <f>[1]节奏总纲!N150</f>
        <v>157</v>
      </c>
      <c r="C150" s="1">
        <v>147</v>
      </c>
      <c r="D150" s="1">
        <f>[1]节奏总纲!P150</f>
        <v>26614.886523801088</v>
      </c>
      <c r="E150" s="1">
        <f>[1]节奏总纲!Q150</f>
        <v>22470.948692045258</v>
      </c>
      <c r="F150" s="1">
        <f>[1]节奏总纲!R150</f>
        <v>17837.296948251489</v>
      </c>
      <c r="G150" s="1">
        <f>[1]节奏总纲!S150</f>
        <v>12631.425144195997</v>
      </c>
      <c r="H150" s="1">
        <f>[1]节奏总纲!T150</f>
        <v>6754.8581997407164</v>
      </c>
      <c r="J150" s="1">
        <v>147</v>
      </c>
      <c r="K150" s="1">
        <f>[1]节奏总纲!W150</f>
        <v>1782.3862980947379</v>
      </c>
      <c r="L150" s="1">
        <f>[1]节奏总纲!X150</f>
        <v>1435.3377508494086</v>
      </c>
      <c r="M150" s="1">
        <f>[1]节奏总纲!Y150</f>
        <v>1117.574546283402</v>
      </c>
      <c r="N150" s="1">
        <f>[1]节奏总纲!Z150</f>
        <v>783.83928651149654</v>
      </c>
      <c r="O150" s="1">
        <f>[1]节奏总纲!AA150</f>
        <v>430.02039225330918</v>
      </c>
      <c r="Q150" s="1">
        <v>147</v>
      </c>
      <c r="R150" s="1">
        <f>[1]节奏总纲!AD150</f>
        <v>72.091594979242075</v>
      </c>
      <c r="S150" s="1">
        <f>[1]节奏总纲!AE150</f>
        <v>74.173410870467364</v>
      </c>
      <c r="T150" s="1">
        <f>[1]节奏总纲!AF150</f>
        <v>77.043751281705866</v>
      </c>
      <c r="U150" s="1">
        <f>[1]节奏总纲!AG150</f>
        <v>81.620751423273092</v>
      </c>
      <c r="V150" s="1">
        <f>[1]节奏总纲!AH150</f>
        <v>90.905220813499923</v>
      </c>
      <c r="AN150" s="1">
        <v>147</v>
      </c>
      <c r="AO150" s="1">
        <f>[1]节奏总纲!BA150</f>
        <v>40.611876906810316</v>
      </c>
      <c r="AP150" s="1">
        <f>[1]节奏总纲!BB150</f>
        <v>42.123757793778736</v>
      </c>
      <c r="AQ150" s="1">
        <f>[1]节奏总纲!BC150</f>
        <v>44.067911160744309</v>
      </c>
      <c r="AR150" s="1">
        <f>[1]节奏总纲!BD150</f>
        <v>46.802171607563338</v>
      </c>
      <c r="AS150" s="1">
        <f>[1]节奏总纲!BE150</f>
        <v>51.493031550542263</v>
      </c>
    </row>
    <row r="151" spans="2:45" x14ac:dyDescent="0.15">
      <c r="B151" s="1">
        <f>[1]节奏总纲!N151</f>
        <v>158</v>
      </c>
      <c r="C151" s="1">
        <v>148</v>
      </c>
      <c r="D151" s="1">
        <f>[1]节奏总纲!P151</f>
        <v>28525.200858087381</v>
      </c>
      <c r="E151" s="1">
        <f>[1]节奏总纲!Q151</f>
        <v>24083.827084483179</v>
      </c>
      <c r="F151" s="1">
        <f>[1]节奏总纲!R151</f>
        <v>19128.999695433398</v>
      </c>
      <c r="G151" s="1">
        <f>[1]节奏总纲!S151</f>
        <v>13566.58552810636</v>
      </c>
      <c r="H151" s="1">
        <f>[1]节奏总纲!T151</f>
        <v>7242.5484978683862</v>
      </c>
      <c r="J151" s="1">
        <v>148</v>
      </c>
      <c r="K151" s="1">
        <f>[1]节奏总纲!W151</f>
        <v>1910.3143342862932</v>
      </c>
      <c r="L151" s="1">
        <f>[1]节奏总纲!X151</f>
        <v>1612.8783924379204</v>
      </c>
      <c r="M151" s="1">
        <f>[1]节奏总纲!Y151</f>
        <v>1291.7027471819092</v>
      </c>
      <c r="N151" s="1">
        <f>[1]节奏总纲!Z151</f>
        <v>935.16038391036273</v>
      </c>
      <c r="O151" s="1">
        <f>[1]节奏总纲!AA151</f>
        <v>487.69029812766985</v>
      </c>
      <c r="Q151" s="1">
        <v>148</v>
      </c>
      <c r="R151" s="1">
        <f>[1]节奏总纲!AD151</f>
        <v>72.186353905945822</v>
      </c>
      <c r="S151" s="1">
        <f>[1]节奏总纲!AE151</f>
        <v>74.267848740411821</v>
      </c>
      <c r="T151" s="1">
        <f>[1]节奏总纲!AF151</f>
        <v>77.137200185007629</v>
      </c>
      <c r="U151" s="1">
        <f>[1]节奏总纲!AG151</f>
        <v>81.720235216681118</v>
      </c>
      <c r="V151" s="1">
        <f>[1]节奏总纲!AH151</f>
        <v>91.011076811620597</v>
      </c>
      <c r="AN151" s="1">
        <v>148</v>
      </c>
      <c r="AO151" s="1">
        <f>[1]节奏总纲!BA151</f>
        <v>40.658496099710149</v>
      </c>
      <c r="AP151" s="1">
        <f>[1]节奏总纲!BB151</f>
        <v>42.167148737437564</v>
      </c>
      <c r="AQ151" s="1">
        <f>[1]节奏总纲!BC151</f>
        <v>44.111003571250812</v>
      </c>
      <c r="AR151" s="1">
        <f>[1]节奏总纲!BD151</f>
        <v>46.850331714610157</v>
      </c>
      <c r="AS151" s="1">
        <f>[1]节奏总纲!BE151</f>
        <v>51.539243086379955</v>
      </c>
    </row>
    <row r="152" spans="2:45" x14ac:dyDescent="0.15">
      <c r="B152" s="1">
        <f>[1]节奏总纲!N152</f>
        <v>159</v>
      </c>
      <c r="C152" s="1">
        <v>149</v>
      </c>
      <c r="D152" s="1">
        <f>[1]节奏总纲!P152</f>
        <v>30572.62506667812</v>
      </c>
      <c r="E152" s="1">
        <f>[1]节奏总纲!Q152</f>
        <v>25818.581868809673</v>
      </c>
      <c r="F152" s="1">
        <f>[1]节奏总纲!R152</f>
        <v>20520.345944754354</v>
      </c>
      <c r="G152" s="1">
        <f>[1]节奏总纲!S152</f>
        <v>14549.512269232117</v>
      </c>
      <c r="H152" s="1">
        <f>[1]节奏总纲!T152</f>
        <v>7768.50402944291</v>
      </c>
      <c r="J152" s="1">
        <v>149</v>
      </c>
      <c r="K152" s="1">
        <f>[1]节奏总纲!W152</f>
        <v>2047.424208590739</v>
      </c>
      <c r="L152" s="1">
        <f>[1]节奏总纲!X152</f>
        <v>1734.7547843264947</v>
      </c>
      <c r="M152" s="1">
        <f>[1]节奏总纲!Y152</f>
        <v>1391.3462493209554</v>
      </c>
      <c r="N152" s="1">
        <f>[1]节奏总纲!Z152</f>
        <v>982.92674112575696</v>
      </c>
      <c r="O152" s="1">
        <f>[1]节奏总纲!AA152</f>
        <v>525.95553157452377</v>
      </c>
      <c r="Q152" s="1">
        <v>149</v>
      </c>
      <c r="R152" s="1">
        <f>[1]节奏总纲!AD152</f>
        <v>72.281112832649583</v>
      </c>
      <c r="S152" s="1">
        <f>[1]节奏总纲!AE152</f>
        <v>74.362286610356264</v>
      </c>
      <c r="T152" s="1">
        <f>[1]节奏总纲!AF152</f>
        <v>77.230649088309391</v>
      </c>
      <c r="U152" s="1">
        <f>[1]节奏总纲!AG152</f>
        <v>81.819719010089131</v>
      </c>
      <c r="V152" s="1">
        <f>[1]节奏总纲!AH152</f>
        <v>91.113605194377854</v>
      </c>
      <c r="AN152" s="1">
        <v>149</v>
      </c>
      <c r="AO152" s="1">
        <f>[1]节奏总纲!BA152</f>
        <v>40.705115292609982</v>
      </c>
      <c r="AP152" s="1">
        <f>[1]节奏总纲!BB152</f>
        <v>42.2105396810964</v>
      </c>
      <c r="AQ152" s="1">
        <f>[1]节奏总纲!BC152</f>
        <v>44.154095981757315</v>
      </c>
      <c r="AR152" s="1">
        <f>[1]节奏总纲!BD152</f>
        <v>46.898491821656968</v>
      </c>
      <c r="AS152" s="1">
        <f>[1]节奏总纲!BE152</f>
        <v>51.585454622217647</v>
      </c>
    </row>
    <row r="153" spans="2:45" x14ac:dyDescent="0.15">
      <c r="B153" s="1">
        <f>[1]节奏总纲!N153</f>
        <v>160</v>
      </c>
      <c r="C153" s="1">
        <v>150</v>
      </c>
      <c r="D153" s="1">
        <f>[1]节奏总纲!P153</f>
        <v>32767</v>
      </c>
      <c r="E153" s="1">
        <f>[1]节奏总纲!Q153</f>
        <v>27671.731500000002</v>
      </c>
      <c r="F153" s="1">
        <f>[1]节奏总纲!R153</f>
        <v>21996.487099999998</v>
      </c>
      <c r="G153" s="1">
        <f>[1]节奏总纲!S153</f>
        <v>15603.645400000001</v>
      </c>
      <c r="H153" s="1">
        <f>[1]节奏总纲!T153</f>
        <v>8355.5850000000009</v>
      </c>
      <c r="J153" s="1">
        <v>150</v>
      </c>
      <c r="K153" s="1">
        <f>[1]节奏总纲!W153</f>
        <v>2194.3749333218802</v>
      </c>
      <c r="L153" s="1">
        <f>[1]节奏总纲!X153</f>
        <v>1853.1496311903284</v>
      </c>
      <c r="M153" s="1">
        <f>[1]节奏总纲!Y153</f>
        <v>1476.1411552456448</v>
      </c>
      <c r="N153" s="1">
        <f>[1]节奏总纲!Z153</f>
        <v>1054.1331307678847</v>
      </c>
      <c r="O153" s="1">
        <f>[1]节奏总纲!AA153</f>
        <v>587.08097055709095</v>
      </c>
      <c r="Q153" s="1">
        <v>150</v>
      </c>
      <c r="R153" s="1">
        <f>[1]节奏总纲!AD153</f>
        <v>72.375871759353331</v>
      </c>
      <c r="S153" s="1">
        <f>[1]节奏总纲!AE153</f>
        <v>74.456724480300707</v>
      </c>
      <c r="T153" s="1">
        <f>[1]节奏总纲!AF153</f>
        <v>77.324097991611154</v>
      </c>
      <c r="U153" s="1">
        <f>[1]节奏总纲!AG153</f>
        <v>81.919202803497143</v>
      </c>
      <c r="V153" s="1">
        <f>[1]节奏总纲!AH153</f>
        <v>91.216133577135096</v>
      </c>
      <c r="AN153" s="1">
        <v>150</v>
      </c>
      <c r="AO153" s="1">
        <f>[1]节奏总纲!BA153</f>
        <v>40.751734485509814</v>
      </c>
      <c r="AP153" s="1">
        <f>[1]节奏总纲!BB153</f>
        <v>42.253930624755228</v>
      </c>
      <c r="AQ153" s="1">
        <f>[1]节奏总纲!BC153</f>
        <v>44.197188392263818</v>
      </c>
      <c r="AR153" s="1">
        <f>[1]节奏总纲!BD153</f>
        <v>46.946651928703787</v>
      </c>
      <c r="AS153" s="1">
        <f>[1]节奏总纲!BE153</f>
        <v>51.631666158055346</v>
      </c>
    </row>
    <row r="154" spans="2:45" x14ac:dyDescent="0.15">
      <c r="B154" s="1">
        <f>[1]节奏总纲!N154</f>
        <v>161</v>
      </c>
      <c r="C154" s="1">
        <v>151</v>
      </c>
      <c r="D154" s="1">
        <f>[1]节奏总纲!P154</f>
        <v>35118.87282038921</v>
      </c>
      <c r="E154" s="1">
        <f>[1]节奏总纲!Q154</f>
        <v>29671.935645946844</v>
      </c>
      <c r="F154" s="1">
        <f>[1]节奏总纲!R154</f>
        <v>23592.858760737468</v>
      </c>
      <c r="G154" s="1">
        <f>[1]节奏总纲!S154</f>
        <v>16804.380644556237</v>
      </c>
      <c r="H154" s="1">
        <f>[1]节奏总纲!T154</f>
        <v>9095.7880604808051</v>
      </c>
      <c r="J154" s="1">
        <v>151</v>
      </c>
      <c r="K154" s="1">
        <f>[1]节奏总纲!W154</f>
        <v>2351.8728203892097</v>
      </c>
      <c r="L154" s="1">
        <f>[1]节奏总纲!X154</f>
        <v>2000.2041459468419</v>
      </c>
      <c r="M154" s="1">
        <f>[1]节奏总纲!Y154</f>
        <v>1596.3716607374699</v>
      </c>
      <c r="N154" s="1">
        <f>[1]节奏总纲!Z154</f>
        <v>1200.7352445562356</v>
      </c>
      <c r="O154" s="1">
        <f>[1]节奏总纲!AA154</f>
        <v>740.2030604808042</v>
      </c>
      <c r="Q154" s="1">
        <v>151</v>
      </c>
      <c r="R154" s="1">
        <f>[1]节奏总纲!AD154</f>
        <v>72.470630686057078</v>
      </c>
      <c r="S154" s="1">
        <f>[1]节奏总纲!AE154</f>
        <v>74.551162350245164</v>
      </c>
      <c r="T154" s="1">
        <f>[1]节奏总纲!AF154</f>
        <v>77.417546894912917</v>
      </c>
      <c r="U154" s="1">
        <f>[1]节奏总纲!AG154</f>
        <v>82.01744549958407</v>
      </c>
      <c r="V154" s="1">
        <f>[1]节奏总纲!AH154</f>
        <v>91.318661959892353</v>
      </c>
      <c r="AN154" s="1">
        <v>151</v>
      </c>
      <c r="AO154" s="1">
        <f>[1]节奏总纲!BA154</f>
        <v>40.798353678409647</v>
      </c>
      <c r="AP154" s="1">
        <f>[1]节奏总纲!BB154</f>
        <v>42.297321568414056</v>
      </c>
      <c r="AQ154" s="1">
        <f>[1]节奏总纲!BC154</f>
        <v>44.240280802770329</v>
      </c>
      <c r="AR154" s="1">
        <f>[1]节奏总纲!BD154</f>
        <v>46.994812035750606</v>
      </c>
      <c r="AS154" s="1">
        <f>[1]节奏总纲!BE154</f>
        <v>51.677877693893038</v>
      </c>
    </row>
    <row r="155" spans="2:45" x14ac:dyDescent="0.15">
      <c r="B155" s="1">
        <f>[1]节奏总纲!N155</f>
        <v>162</v>
      </c>
      <c r="C155" s="1">
        <v>152</v>
      </c>
      <c r="D155" s="1">
        <f>[1]节奏总纲!P155</f>
        <v>37639.547696542824</v>
      </c>
      <c r="E155" s="1">
        <f>[1]节奏总纲!Q155</f>
        <v>31794.125939269725</v>
      </c>
      <c r="F155" s="1">
        <f>[1]节奏总纲!R155</f>
        <v>25425.514469014677</v>
      </c>
      <c r="G155" s="1">
        <f>[1]节奏总纲!S155</f>
        <v>18255.180632823271</v>
      </c>
      <c r="H155" s="1">
        <f>[1]节奏总纲!T155</f>
        <v>14114.830386203559</v>
      </c>
      <c r="J155" s="1">
        <v>152</v>
      </c>
      <c r="K155" s="1">
        <f>[1]节奏总纲!W155</f>
        <v>2520.6748761536146</v>
      </c>
      <c r="L155" s="1">
        <f>[1]节奏总纲!X155</f>
        <v>2122.1902933228812</v>
      </c>
      <c r="M155" s="1">
        <f>[1]节奏总纲!Y155</f>
        <v>1832.6557082772088</v>
      </c>
      <c r="N155" s="1">
        <f>[1]节奏总纲!Z155</f>
        <v>1450.7999882670338</v>
      </c>
      <c r="O155" s="1">
        <f>[1]节奏总纲!AA155</f>
        <v>5019.042325722754</v>
      </c>
      <c r="Q155" s="1">
        <v>152</v>
      </c>
      <c r="R155" s="1">
        <f>[1]节奏总纲!AD155</f>
        <v>72.565389612760825</v>
      </c>
      <c r="S155" s="1">
        <f>[1]节奏总纲!AE155</f>
        <v>74.645600220189607</v>
      </c>
      <c r="T155" s="1">
        <f>[1]节奏总纲!AF155</f>
        <v>77.51099579821468</v>
      </c>
      <c r="U155" s="1">
        <f>[1]节奏总纲!AG155</f>
        <v>82.110321933176039</v>
      </c>
      <c r="V155" s="1">
        <f>[1]节奏总纲!AH155</f>
        <v>91.421190342649595</v>
      </c>
      <c r="AN155" s="1">
        <v>152</v>
      </c>
      <c r="AO155" s="1">
        <f>[1]节奏总纲!BA155</f>
        <v>40.84497287130948</v>
      </c>
      <c r="AP155" s="1">
        <f>[1]节奏总纲!BB155</f>
        <v>42.340712512072891</v>
      </c>
      <c r="AQ155" s="1">
        <f>[1]节奏总纲!BC155</f>
        <v>44.283373213276832</v>
      </c>
      <c r="AR155" s="1">
        <f>[1]节奏总纲!BD155</f>
        <v>47.037096473408994</v>
      </c>
      <c r="AS155" s="1">
        <f>[1]节奏总纲!BE155</f>
        <v>51.72408922973073</v>
      </c>
    </row>
    <row r="156" spans="2:45" x14ac:dyDescent="0.15">
      <c r="B156" s="1">
        <f>[1]节奏总纲!N156</f>
        <v>163</v>
      </c>
      <c r="C156" s="1">
        <v>153</v>
      </c>
      <c r="D156" s="1">
        <f>[1]节奏总纲!P156</f>
        <v>40341.140136486232</v>
      </c>
      <c r="E156" s="1">
        <f>[1]节奏总纲!Q156</f>
        <v>34330.31025614978</v>
      </c>
      <c r="F156" s="1">
        <f>[1]节奏总纲!R156</f>
        <v>27552.998713220099</v>
      </c>
      <c r="G156" s="1">
        <f>[1]节奏总纲!S156</f>
        <v>24204.684081891737</v>
      </c>
      <c r="H156" s="1">
        <f>[1]节奏总纲!T156</f>
        <v>24204.684081891737</v>
      </c>
      <c r="J156" s="1">
        <v>153</v>
      </c>
      <c r="K156" s="1">
        <f>[1]节奏总纲!W156</f>
        <v>2701.592439943408</v>
      </c>
      <c r="L156" s="1">
        <f>[1]节奏总纲!X156</f>
        <v>2536.1843168800551</v>
      </c>
      <c r="M156" s="1">
        <f>[1]节奏总纲!Y156</f>
        <v>2127.4842442054214</v>
      </c>
      <c r="N156" s="1">
        <f>[1]节奏总纲!Z156</f>
        <v>5949.5034490684666</v>
      </c>
      <c r="O156" s="1">
        <f>[1]节奏总纲!AA156</f>
        <v>10089.853695688178</v>
      </c>
      <c r="Q156" s="1">
        <v>153</v>
      </c>
      <c r="R156" s="1">
        <f>[1]节奏总纲!AD156</f>
        <v>72.660148539464572</v>
      </c>
      <c r="S156" s="1">
        <f>[1]节奏总纲!AE156</f>
        <v>74.74003809013405</v>
      </c>
      <c r="T156" s="1">
        <f>[1]节奏总纲!AF156</f>
        <v>77.604444701516456</v>
      </c>
      <c r="U156" s="1">
        <f>[1]节奏总纲!AG156</f>
        <v>82.203198366767992</v>
      </c>
      <c r="V156" s="1">
        <f>[1]节奏总纲!AH156</f>
        <v>91.523718725406852</v>
      </c>
      <c r="AN156" s="1">
        <v>153</v>
      </c>
      <c r="AO156" s="1">
        <f>[1]节奏总纲!BA156</f>
        <v>40.891592064209313</v>
      </c>
      <c r="AP156" s="1">
        <f>[1]节奏总纲!BB156</f>
        <v>42.384103455731719</v>
      </c>
      <c r="AQ156" s="1">
        <f>[1]节奏总纲!BC156</f>
        <v>44.326465623783335</v>
      </c>
      <c r="AR156" s="1">
        <f>[1]节奏总纲!BD156</f>
        <v>47.078671550054786</v>
      </c>
      <c r="AS156" s="1">
        <f>[1]节奏总纲!BE156</f>
        <v>51.770300765568422</v>
      </c>
    </row>
    <row r="157" spans="2:45" x14ac:dyDescent="0.15">
      <c r="B157" s="1">
        <f>[1]节奏总纲!N157</f>
        <v>164</v>
      </c>
      <c r="C157" s="1">
        <v>154</v>
      </c>
      <c r="D157" s="1">
        <f>[1]节奏总纲!P157</f>
        <v>43236.635220206183</v>
      </c>
      <c r="E157" s="1">
        <f>[1]节奏总纲!Q157</f>
        <v>36967.323113276288</v>
      </c>
      <c r="F157" s="1">
        <f>[1]节奏总纲!R157</f>
        <v>33940.758647861854</v>
      </c>
      <c r="G157" s="1">
        <f>[1]节奏总纲!S157</f>
        <v>34156.941823962887</v>
      </c>
      <c r="H157" s="1">
        <f>[1]节奏总纲!T157</f>
        <v>34156.941823962887</v>
      </c>
      <c r="J157" s="1">
        <v>154</v>
      </c>
      <c r="K157" s="1">
        <f>[1]节奏总纲!W157</f>
        <v>2895.4950837199503</v>
      </c>
      <c r="L157" s="1">
        <f>[1]节奏总纲!X157</f>
        <v>2637.0128571265086</v>
      </c>
      <c r="M157" s="1">
        <f>[1]节奏总纲!Y157</f>
        <v>6387.7599346417555</v>
      </c>
      <c r="N157" s="1">
        <f>[1]节奏总纲!Z157</f>
        <v>9952.2577420711496</v>
      </c>
      <c r="O157" s="1">
        <f>[1]节奏总纲!AA157</f>
        <v>9952.2577420711496</v>
      </c>
      <c r="Q157" s="1">
        <v>154</v>
      </c>
      <c r="R157" s="1">
        <f>[1]节奏总纲!AD157</f>
        <v>72.754907466168333</v>
      </c>
      <c r="S157" s="1">
        <f>[1]节奏总纲!AE157</f>
        <v>74.834475960078507</v>
      </c>
      <c r="T157" s="1">
        <f>[1]节奏总纲!AF157</f>
        <v>77.697893604818219</v>
      </c>
      <c r="U157" s="1">
        <f>[1]节奏总纲!AG157</f>
        <v>82.29607480035996</v>
      </c>
      <c r="V157" s="1">
        <f>[1]节奏总纲!AH157</f>
        <v>91.626247108164094</v>
      </c>
      <c r="AN157" s="1">
        <v>154</v>
      </c>
      <c r="AO157" s="1">
        <f>[1]节奏总纲!BA157</f>
        <v>40.938211257109145</v>
      </c>
      <c r="AP157" s="1">
        <f>[1]节奏总纲!BB157</f>
        <v>42.427494399390554</v>
      </c>
      <c r="AQ157" s="1">
        <f>[1]节奏总纲!BC157</f>
        <v>44.369558034289838</v>
      </c>
      <c r="AR157" s="1">
        <f>[1]节奏总纲!BD157</f>
        <v>47.12024662670057</v>
      </c>
      <c r="AS157" s="1">
        <f>[1]节奏总纲!BE157</f>
        <v>51.816512301406114</v>
      </c>
    </row>
    <row r="158" spans="2:45" x14ac:dyDescent="0.15">
      <c r="B158" s="1">
        <f>[1]节奏总纲!N158</f>
        <v>165</v>
      </c>
      <c r="C158" s="1">
        <v>155</v>
      </c>
      <c r="D158" s="1">
        <f>[1]节奏总纲!P158</f>
        <v>46339.950011841604</v>
      </c>
      <c r="E158" s="1">
        <f>[1]节奏总纲!Q158</f>
        <v>44078.560451263736</v>
      </c>
      <c r="F158" s="1">
        <f>[1]节奏总纲!R158</f>
        <v>44402.940101346627</v>
      </c>
      <c r="G158" s="1">
        <f>[1]节奏总纲!S158</f>
        <v>44402.940101346627</v>
      </c>
      <c r="H158" s="1">
        <f>[1]节奏总纲!T158</f>
        <v>44541.959951382152</v>
      </c>
      <c r="J158" s="1">
        <v>155</v>
      </c>
      <c r="K158" s="1">
        <f>[1]节奏总纲!W158</f>
        <v>3103.314791635421</v>
      </c>
      <c r="L158" s="1">
        <f>[1]节奏总纲!X158</f>
        <v>7111.237337987448</v>
      </c>
      <c r="M158" s="1">
        <f>[1]节奏总纲!Y158</f>
        <v>10462.181453484773</v>
      </c>
      <c r="N158" s="1">
        <f>[1]节奏总纲!Z158</f>
        <v>10245.99827738374</v>
      </c>
      <c r="O158" s="1">
        <f>[1]节奏总纲!AA158</f>
        <v>10385.018127419266</v>
      </c>
      <c r="Q158" s="1">
        <v>155</v>
      </c>
      <c r="R158" s="1">
        <f>[1]节奏总纲!AD158</f>
        <v>72.849666392872081</v>
      </c>
      <c r="S158" s="1">
        <f>[1]节奏总纲!AE158</f>
        <v>74.92891383002295</v>
      </c>
      <c r="T158" s="1">
        <f>[1]节奏总纲!AF158</f>
        <v>77.791342508119982</v>
      </c>
      <c r="U158" s="1">
        <f>[1]节奏总纲!AG158</f>
        <v>82.388951233951914</v>
      </c>
      <c r="V158" s="1">
        <f>[1]节奏总纲!AH158</f>
        <v>91.72877549092135</v>
      </c>
      <c r="AN158" s="1">
        <v>155</v>
      </c>
      <c r="AO158" s="1">
        <f>[1]节奏总纲!BA158</f>
        <v>40.984830450008985</v>
      </c>
      <c r="AP158" s="1">
        <f>[1]节奏总纲!BB158</f>
        <v>42.470885343049382</v>
      </c>
      <c r="AQ158" s="1">
        <f>[1]节奏总纲!BC158</f>
        <v>44.412650444796341</v>
      </c>
      <c r="AR158" s="1">
        <f>[1]节奏总纲!BD158</f>
        <v>47.161821703346362</v>
      </c>
      <c r="AS158" s="1">
        <f>[1]节奏总纲!BE158</f>
        <v>51.862723837243806</v>
      </c>
    </row>
    <row r="159" spans="2:45" x14ac:dyDescent="0.15">
      <c r="B159" s="1">
        <f>[1]节奏总纲!N159</f>
        <v>166</v>
      </c>
      <c r="C159" s="1">
        <v>156</v>
      </c>
      <c r="D159" s="1">
        <f>[1]节奏总纲!P159</f>
        <v>49666.000451412707</v>
      </c>
      <c r="E159" s="1">
        <f>[1]节奏总纲!Q159</f>
        <v>49666.000451412707</v>
      </c>
      <c r="F159" s="1">
        <f>[1]节奏总纲!R159</f>
        <v>50162.660455926831</v>
      </c>
      <c r="G159" s="1">
        <f>[1]节奏总纲!S159</f>
        <v>50162.660455926831</v>
      </c>
      <c r="H159" s="1">
        <f>[1]节奏总纲!T159</f>
        <v>50311.658457281068</v>
      </c>
      <c r="J159" s="1">
        <v>156</v>
      </c>
      <c r="K159" s="1">
        <f>[1]节奏总纲!W159</f>
        <v>3326.0504395711032</v>
      </c>
      <c r="L159" s="1">
        <f>[1]节奏总纲!X159</f>
        <v>5587.4400001489703</v>
      </c>
      <c r="M159" s="1">
        <f>[1]节奏总纲!Y159</f>
        <v>5759.720354580204</v>
      </c>
      <c r="N159" s="1">
        <f>[1]节奏总纲!Z159</f>
        <v>5759.720354580204</v>
      </c>
      <c r="O159" s="1">
        <f>[1]节奏总纲!AA159</f>
        <v>5769.6985058989158</v>
      </c>
      <c r="Q159" s="1">
        <v>156</v>
      </c>
      <c r="R159" s="1">
        <f>[1]节奏总纲!AD159</f>
        <v>72.944425319575828</v>
      </c>
      <c r="S159" s="1">
        <f>[1]节奏总纲!AE159</f>
        <v>75.022035011469043</v>
      </c>
      <c r="T159" s="1">
        <f>[1]节奏总纲!AF159</f>
        <v>77.884791411421745</v>
      </c>
      <c r="U159" s="1">
        <f>[1]节奏总纲!AG159</f>
        <v>82.481827667543882</v>
      </c>
      <c r="V159" s="1">
        <f>[1]节奏总纲!AH159</f>
        <v>91.831303873678593</v>
      </c>
      <c r="AN159" s="1">
        <v>156</v>
      </c>
      <c r="AO159" s="1">
        <f>[1]节奏总纲!BA159</f>
        <v>41.027136894088379</v>
      </c>
      <c r="AP159" s="1">
        <f>[1]节奏总纲!BB159</f>
        <v>42.51427628670821</v>
      </c>
      <c r="AQ159" s="1">
        <f>[1]节奏总纲!BC159</f>
        <v>44.455742855302844</v>
      </c>
      <c r="AR159" s="1">
        <f>[1]节奏总纲!BD159</f>
        <v>47.203396779992147</v>
      </c>
      <c r="AS159" s="1">
        <f>[1]节奏总纲!BE159</f>
        <v>51.908935373081505</v>
      </c>
    </row>
    <row r="160" spans="2:45" x14ac:dyDescent="0.15">
      <c r="B160" s="1">
        <f>[1]节奏总纲!N160</f>
        <v>167</v>
      </c>
      <c r="C160" s="1">
        <v>157</v>
      </c>
      <c r="D160" s="1">
        <f>[1]节奏总纲!P160</f>
        <v>53230.773047602182</v>
      </c>
      <c r="E160" s="1">
        <f>[1]节奏总纲!Q160</f>
        <v>53230.773047602182</v>
      </c>
      <c r="F160" s="1">
        <f>[1]节奏总纲!R160</f>
        <v>53763.080778078205</v>
      </c>
      <c r="G160" s="1">
        <f>[1]节奏总纲!S160</f>
        <v>53763.080778078205</v>
      </c>
      <c r="H160" s="1">
        <f>[1]节奏总纲!T160</f>
        <v>53763.080778078205</v>
      </c>
      <c r="J160" s="1">
        <v>157</v>
      </c>
      <c r="K160" s="1">
        <f>[1]节奏总纲!W160</f>
        <v>3564.7725961894757</v>
      </c>
      <c r="L160" s="1">
        <f>[1]节奏总纲!X160</f>
        <v>3564.7725961894757</v>
      </c>
      <c r="M160" s="1">
        <f>[1]节奏总纲!Y160</f>
        <v>3600.4203221513744</v>
      </c>
      <c r="N160" s="1">
        <f>[1]节奏总纲!Z160</f>
        <v>3600.4203221513744</v>
      </c>
      <c r="O160" s="1">
        <f>[1]节奏总纲!AA160</f>
        <v>3451.4223207971372</v>
      </c>
      <c r="Q160" s="1">
        <v>157</v>
      </c>
      <c r="R160" s="1">
        <f>[1]节奏总纲!AD160</f>
        <v>73.036560194527354</v>
      </c>
      <c r="S160" s="1">
        <f>[1]节奏总纲!AE160</f>
        <v>75.111147990406067</v>
      </c>
      <c r="T160" s="1">
        <f>[1]节奏总纲!AF160</f>
        <v>77.978240314723507</v>
      </c>
      <c r="U160" s="1">
        <f>[1]节奏总纲!AG160</f>
        <v>82.574704101135836</v>
      </c>
      <c r="V160" s="1">
        <f>[1]节奏总纲!AH160</f>
        <v>91.933832256435849</v>
      </c>
      <c r="AN160" s="1">
        <v>157</v>
      </c>
      <c r="AO160" s="1">
        <f>[1]节奏总纲!BA160</f>
        <v>41.067363109180121</v>
      </c>
      <c r="AP160" s="1">
        <f>[1]节奏总纲!BB160</f>
        <v>42.557667230367045</v>
      </c>
      <c r="AQ160" s="1">
        <f>[1]节奏总纲!BC160</f>
        <v>44.498835265809355</v>
      </c>
      <c r="AR160" s="1">
        <f>[1]节奏总纲!BD160</f>
        <v>47.244971856637939</v>
      </c>
      <c r="AS160" s="1">
        <f>[1]节奏总纲!BE160</f>
        <v>51.955146908919197</v>
      </c>
    </row>
    <row r="161" spans="2:45" x14ac:dyDescent="0.15">
      <c r="B161" s="1">
        <f>[1]节奏总纲!N161</f>
        <v>168</v>
      </c>
      <c r="C161" s="1">
        <v>158</v>
      </c>
      <c r="D161" s="1">
        <f>[1]节奏总纲!P161</f>
        <v>57051.401716174769</v>
      </c>
      <c r="E161" s="1">
        <f>[1]节奏总纲!Q161</f>
        <v>57051.401716174769</v>
      </c>
      <c r="F161" s="1">
        <f>[1]节奏总纲!R161</f>
        <v>57621.915733336515</v>
      </c>
      <c r="G161" s="1">
        <f>[1]节奏总纲!S161</f>
        <v>57621.915733336515</v>
      </c>
      <c r="H161" s="1">
        <f>[1]节奏总纲!T161</f>
        <v>57621.915733336515</v>
      </c>
      <c r="J161" s="1">
        <v>158</v>
      </c>
      <c r="K161" s="1">
        <f>[1]节奏总纲!W161</f>
        <v>3820.6286685725863</v>
      </c>
      <c r="L161" s="1">
        <f>[1]节奏总纲!X161</f>
        <v>3820.6286685725863</v>
      </c>
      <c r="M161" s="1">
        <f>[1]节奏总纲!Y161</f>
        <v>3858.8349552583095</v>
      </c>
      <c r="N161" s="1">
        <f>[1]节奏总纲!Z161</f>
        <v>3858.8349552583095</v>
      </c>
      <c r="O161" s="1">
        <f>[1]节奏总纲!AA161</f>
        <v>3858.8349552583095</v>
      </c>
      <c r="Q161" s="1">
        <v>158</v>
      </c>
      <c r="R161" s="1">
        <f>[1]节奏总纲!AD161</f>
        <v>73.124973399384572</v>
      </c>
      <c r="S161" s="1">
        <f>[1]节奏总纲!AE161</f>
        <v>75.200260969343077</v>
      </c>
      <c r="T161" s="1">
        <f>[1]节奏总纲!AF161</f>
        <v>78.066694029528094</v>
      </c>
      <c r="U161" s="1">
        <f>[1]节奏总纲!AG161</f>
        <v>82.667580534727804</v>
      </c>
      <c r="V161" s="1">
        <f>[1]节奏总纲!AH161</f>
        <v>92.033129415212969</v>
      </c>
      <c r="AN161" s="1">
        <v>158</v>
      </c>
      <c r="AO161" s="1">
        <f>[1]节奏总纲!BA161</f>
        <v>41.107589324271871</v>
      </c>
      <c r="AP161" s="1">
        <f>[1]节奏总纲!BB161</f>
        <v>42.601058174025873</v>
      </c>
      <c r="AQ161" s="1">
        <f>[1]节奏总纲!BC161</f>
        <v>44.541927676315858</v>
      </c>
      <c r="AR161" s="1">
        <f>[1]节奏总纲!BD161</f>
        <v>47.286546933283724</v>
      </c>
      <c r="AS161" s="1">
        <f>[1]节奏总纲!BE161</f>
        <v>52.001173105835825</v>
      </c>
    </row>
    <row r="162" spans="2:45" x14ac:dyDescent="0.15">
      <c r="B162" s="1">
        <f>[1]节奏总纲!N162</f>
        <v>169</v>
      </c>
      <c r="C162" s="1">
        <v>159</v>
      </c>
      <c r="D162" s="1">
        <f>[1]节奏总纲!P162</f>
        <v>61146.25013335624</v>
      </c>
      <c r="E162" s="1">
        <f>[1]节奏总纲!Q162</f>
        <v>61146.25013335624</v>
      </c>
      <c r="F162" s="1">
        <f>[1]节奏总纲!R162</f>
        <v>61757.7126346898</v>
      </c>
      <c r="G162" s="1">
        <f>[1]节奏总纲!S162</f>
        <v>61757.7126346898</v>
      </c>
      <c r="H162" s="1">
        <f>[1]节奏总纲!T162</f>
        <v>61757.7126346898</v>
      </c>
      <c r="J162" s="1">
        <v>159</v>
      </c>
      <c r="K162" s="1">
        <f>[1]节奏总纲!W162</f>
        <v>4094.8484171814707</v>
      </c>
      <c r="L162" s="1">
        <f>[1]节奏总纲!X162</f>
        <v>4094.8484171814707</v>
      </c>
      <c r="M162" s="1">
        <f>[1]节奏总纲!Y162</f>
        <v>4135.7969013532856</v>
      </c>
      <c r="N162" s="1">
        <f>[1]节奏总纲!Z162</f>
        <v>4135.7969013532856</v>
      </c>
      <c r="O162" s="1">
        <f>[1]节奏总纲!AA162</f>
        <v>4135.7969013532856</v>
      </c>
      <c r="Q162" s="1">
        <v>159</v>
      </c>
      <c r="R162" s="1">
        <f>[1]节奏总纲!AD162</f>
        <v>73.213386604241791</v>
      </c>
      <c r="S162" s="1">
        <f>[1]节奏总纲!AE162</f>
        <v>75.289373948280101</v>
      </c>
      <c r="T162" s="1">
        <f>[1]节奏总纲!AF162</f>
        <v>78.153631564737054</v>
      </c>
      <c r="U162" s="1">
        <f>[1]节奏总纲!AG162</f>
        <v>82.760456968319758</v>
      </c>
      <c r="V162" s="1">
        <f>[1]节奏总纲!AH162</f>
        <v>92.126546512350387</v>
      </c>
      <c r="AN162" s="1">
        <v>159</v>
      </c>
      <c r="AO162" s="1">
        <f>[1]节奏总纲!BA162</f>
        <v>41.147815539363613</v>
      </c>
      <c r="AP162" s="1">
        <f>[1]节奏总纲!BB162</f>
        <v>42.644449117684701</v>
      </c>
      <c r="AQ162" s="1">
        <f>[1]节奏总纲!BC162</f>
        <v>44.585020086822361</v>
      </c>
      <c r="AR162" s="1">
        <f>[1]节奏总纲!BD162</f>
        <v>47.328122009929508</v>
      </c>
      <c r="AS162" s="1">
        <f>[1]节奏总纲!BE162</f>
        <v>52.041079787427918</v>
      </c>
    </row>
    <row r="163" spans="2:45" x14ac:dyDescent="0.15">
      <c r="B163" s="1">
        <f>[1]节奏总纲!N163</f>
        <v>170</v>
      </c>
      <c r="C163" s="1">
        <v>160</v>
      </c>
      <c r="D163" s="1">
        <f>[1]节奏总纲!P163</f>
        <v>65535</v>
      </c>
      <c r="E163" s="1">
        <f>[1]节奏总纲!Q163</f>
        <v>65535</v>
      </c>
      <c r="F163" s="1">
        <f>[1]节奏总纲!R163</f>
        <v>66190.350000000006</v>
      </c>
      <c r="G163" s="1">
        <f>[1]节奏总纲!S163</f>
        <v>66190.350000000006</v>
      </c>
      <c r="H163" s="1">
        <f>[1]节奏总纲!T163</f>
        <v>66190.350000000006</v>
      </c>
      <c r="J163" s="1">
        <v>160</v>
      </c>
      <c r="K163" s="1">
        <f>[1]节奏总纲!W163</f>
        <v>4388.7498666437605</v>
      </c>
      <c r="L163" s="1">
        <f>[1]节奏总纲!X163</f>
        <v>4388.7498666437605</v>
      </c>
      <c r="M163" s="1">
        <f>[1]节奏总纲!Y163</f>
        <v>4432.6373653102055</v>
      </c>
      <c r="N163" s="1">
        <f>[1]节奏总纲!Z163</f>
        <v>4432.6373653102055</v>
      </c>
      <c r="O163" s="1">
        <f>[1]节奏总纲!AA163</f>
        <v>4432.6373653102055</v>
      </c>
      <c r="Q163" s="1">
        <v>160</v>
      </c>
      <c r="R163" s="1">
        <f>[1]节奏总纲!AD163</f>
        <v>73.301799809099009</v>
      </c>
      <c r="S163" s="1">
        <f>[1]节奏总纲!AE163</f>
        <v>75.378486927217125</v>
      </c>
      <c r="T163" s="1">
        <f>[1]节奏总纲!AF163</f>
        <v>78.240569099946029</v>
      </c>
      <c r="U163" s="1">
        <f>[1]节奏总纲!AG163</f>
        <v>82.853333401911726</v>
      </c>
      <c r="V163" s="1">
        <f>[1]节奏总纲!AH163</f>
        <v>92.219963609487792</v>
      </c>
      <c r="AN163" s="1">
        <v>160</v>
      </c>
      <c r="AO163" s="1">
        <f>[1]节奏总纲!BA163</f>
        <v>41.188041754455355</v>
      </c>
      <c r="AP163" s="1">
        <f>[1]节奏总纲!BB163</f>
        <v>42.687840061343536</v>
      </c>
      <c r="AQ163" s="1">
        <f>[1]节奏总纲!BC163</f>
        <v>44.628112497328864</v>
      </c>
      <c r="AR163" s="1">
        <f>[1]节奏总纲!BD163</f>
        <v>47.3696970865753</v>
      </c>
      <c r="AS163" s="1">
        <f>[1]节奏总纲!BE163</f>
        <v>52.080986469020011</v>
      </c>
    </row>
    <row r="164" spans="2:45" x14ac:dyDescent="0.15">
      <c r="Q164" s="1">
        <v>161</v>
      </c>
      <c r="R164" s="1">
        <f>[1]节奏总纲!AD164</f>
        <v>73.390213013956213</v>
      </c>
      <c r="S164" s="1">
        <f>[1]节奏总纲!AE164</f>
        <v>75.467599906154135</v>
      </c>
      <c r="T164" s="1">
        <f>[1]节奏总纲!AF164</f>
        <v>78.32750663515499</v>
      </c>
      <c r="U164" s="1">
        <f>[1]节奏总纲!AG164</f>
        <v>82.94620983550368</v>
      </c>
      <c r="V164" s="1">
        <f>[1]节奏总纲!AH164</f>
        <v>92.313380706625196</v>
      </c>
      <c r="AN164" s="1">
        <v>161</v>
      </c>
      <c r="AO164" s="1">
        <f>[1]节奏总纲!BA164</f>
        <v>41.228267969547105</v>
      </c>
      <c r="AP164" s="1">
        <f>[1]节奏总纲!BB164</f>
        <v>42.731231005002364</v>
      </c>
      <c r="AQ164" s="1">
        <f>[1]节奏总纲!BC164</f>
        <v>44.671204907835367</v>
      </c>
      <c r="AR164" s="1">
        <f>[1]节奏总纲!BD164</f>
        <v>47.411272163221085</v>
      </c>
      <c r="AS164" s="1">
        <f>[1]节奏总纲!BE164</f>
        <v>52.120893150612112</v>
      </c>
    </row>
    <row r="165" spans="2:45" x14ac:dyDescent="0.15">
      <c r="Q165" s="1">
        <v>162</v>
      </c>
      <c r="R165" s="1">
        <f>[1]节奏总纲!AD165</f>
        <v>73.478626218813432</v>
      </c>
      <c r="S165" s="1">
        <f>[1]节奏总纲!AE165</f>
        <v>75.556712885091159</v>
      </c>
      <c r="T165" s="1">
        <f>[1]节奏总纲!AF165</f>
        <v>78.414444170363964</v>
      </c>
      <c r="U165" s="1">
        <f>[1]节奏总纲!AG165</f>
        <v>83.036921590135321</v>
      </c>
      <c r="V165" s="1">
        <f>[1]节奏总纲!AH165</f>
        <v>92.406797803762601</v>
      </c>
      <c r="AN165" s="1">
        <v>162</v>
      </c>
      <c r="AO165" s="1">
        <f>[1]节奏总纲!BA165</f>
        <v>41.268494184638847</v>
      </c>
      <c r="AP165" s="1">
        <f>[1]节奏总纲!BB165</f>
        <v>42.774621948661192</v>
      </c>
      <c r="AQ165" s="1">
        <f>[1]节奏总纲!BC165</f>
        <v>44.714297318341877</v>
      </c>
      <c r="AR165" s="1">
        <f>[1]节奏总纲!BD165</f>
        <v>47.452847239866877</v>
      </c>
      <c r="AS165" s="1">
        <f>[1]节奏总纲!BE165</f>
        <v>52.160799832204205</v>
      </c>
    </row>
    <row r="166" spans="2:45" x14ac:dyDescent="0.15">
      <c r="Q166" s="1">
        <v>163</v>
      </c>
      <c r="R166" s="1">
        <f>[1]节奏总纲!AD166</f>
        <v>73.56703942367065</v>
      </c>
      <c r="S166" s="1">
        <f>[1]节奏总纲!AE166</f>
        <v>75.645825864028183</v>
      </c>
      <c r="T166" s="1">
        <f>[1]节奏总纲!AF166</f>
        <v>78.501381705572925</v>
      </c>
      <c r="U166" s="1">
        <f>[1]节奏总纲!AG166</f>
        <v>83.124654333465756</v>
      </c>
      <c r="V166" s="1">
        <f>[1]节奏总纲!AH166</f>
        <v>92.500214900900005</v>
      </c>
      <c r="AN166" s="1">
        <v>163</v>
      </c>
      <c r="AO166" s="1">
        <f>[1]节奏总纲!BA166</f>
        <v>41.308720399730589</v>
      </c>
      <c r="AP166" s="1">
        <f>[1]节奏总纲!BB166</f>
        <v>42.818012892320027</v>
      </c>
      <c r="AQ166" s="1">
        <f>[1]节奏总纲!BC166</f>
        <v>44.757389728848381</v>
      </c>
      <c r="AR166" s="1">
        <f>[1]节奏总纲!BD166</f>
        <v>47.494422316512662</v>
      </c>
      <c r="AS166" s="1">
        <f>[1]节奏总纲!BE166</f>
        <v>52.200706513796298</v>
      </c>
    </row>
    <row r="167" spans="2:45" x14ac:dyDescent="0.15">
      <c r="Q167" s="1">
        <v>164</v>
      </c>
      <c r="R167" s="1">
        <f>[1]节奏总纲!AD167</f>
        <v>73.655452628527868</v>
      </c>
      <c r="S167" s="1">
        <f>[1]节奏总纲!AE167</f>
        <v>75.734938842965192</v>
      </c>
      <c r="T167" s="1">
        <f>[1]节奏总纲!AF167</f>
        <v>78.5883192407819</v>
      </c>
      <c r="U167" s="1">
        <f>[1]节奏总纲!AG167</f>
        <v>83.21238707679619</v>
      </c>
      <c r="V167" s="1">
        <f>[1]节奏总纲!AH167</f>
        <v>92.593631998037409</v>
      </c>
      <c r="AN167" s="1">
        <v>164</v>
      </c>
      <c r="AO167" s="1">
        <f>[1]节奏总纲!BA167</f>
        <v>41.348946614822331</v>
      </c>
      <c r="AP167" s="1">
        <f>[1]节奏总纲!BB167</f>
        <v>42.861403835978855</v>
      </c>
      <c r="AQ167" s="1">
        <f>[1]节奏总纲!BC167</f>
        <v>44.800482139354884</v>
      </c>
      <c r="AR167" s="1">
        <f>[1]节奏总纲!BD167</f>
        <v>47.535997393158453</v>
      </c>
      <c r="AS167" s="1">
        <f>[1]节奏总纲!BE167</f>
        <v>52.240613195388391</v>
      </c>
    </row>
    <row r="168" spans="2:45" x14ac:dyDescent="0.15">
      <c r="Q168" s="1">
        <v>165</v>
      </c>
      <c r="R168" s="1">
        <f>[1]节奏总纲!AD168</f>
        <v>73.743865833385087</v>
      </c>
      <c r="S168" s="1">
        <f>[1]节奏总纲!AE168</f>
        <v>75.824051821902216</v>
      </c>
      <c r="T168" s="1">
        <f>[1]节奏总纲!AF168</f>
        <v>78.67525677599086</v>
      </c>
      <c r="U168" s="1">
        <f>[1]节奏总纲!AG168</f>
        <v>83.300119820126625</v>
      </c>
      <c r="V168" s="1">
        <f>[1]节奏总纲!AH168</f>
        <v>92.687049095174814</v>
      </c>
      <c r="AN168" s="1">
        <v>165</v>
      </c>
      <c r="AO168" s="1">
        <f>[1]节奏总纲!BA168</f>
        <v>41.389172829914081</v>
      </c>
      <c r="AP168" s="1">
        <f>[1]节奏总纲!BB168</f>
        <v>42.904794779637683</v>
      </c>
      <c r="AQ168" s="1">
        <f>[1]节奏总纲!BC168</f>
        <v>44.843574549861387</v>
      </c>
      <c r="AR168" s="1">
        <f>[1]节奏总纲!BD168</f>
        <v>47.577572469804238</v>
      </c>
      <c r="AS168" s="1">
        <f>[1]节奏总纲!BE168</f>
        <v>52.280519876980485</v>
      </c>
    </row>
    <row r="169" spans="2:45" x14ac:dyDescent="0.15">
      <c r="Q169" s="1">
        <v>166</v>
      </c>
      <c r="R169" s="1">
        <f>[1]节奏总纲!AD169</f>
        <v>73.832279038242305</v>
      </c>
      <c r="S169" s="1">
        <f>[1]节奏总纲!AE169</f>
        <v>75.91316480083924</v>
      </c>
      <c r="T169" s="1">
        <f>[1]节奏总纲!AF169</f>
        <v>78.762194311199835</v>
      </c>
      <c r="U169" s="1">
        <f>[1]节奏总纲!AG169</f>
        <v>83.387852563457059</v>
      </c>
      <c r="V169" s="1">
        <f>[1]节奏总纲!AH169</f>
        <v>92.780466192312218</v>
      </c>
      <c r="AN169" s="1">
        <v>166</v>
      </c>
      <c r="AO169" s="1">
        <f>[1]节奏总纲!BA169</f>
        <v>41.429399045005823</v>
      </c>
      <c r="AP169" s="1">
        <f>[1]节奏总纲!BB169</f>
        <v>42.948185723296518</v>
      </c>
      <c r="AQ169" s="1">
        <f>[1]节奏总纲!BC169</f>
        <v>44.88666696036789</v>
      </c>
      <c r="AR169" s="1">
        <f>[1]节奏总纲!BD169</f>
        <v>47.619147546450023</v>
      </c>
      <c r="AS169" s="1">
        <f>[1]节奏总纲!BE169</f>
        <v>52.320426558572585</v>
      </c>
    </row>
    <row r="170" spans="2:45" x14ac:dyDescent="0.15">
      <c r="Q170" s="1">
        <v>167</v>
      </c>
      <c r="R170" s="1">
        <f>[1]节奏总纲!AD170</f>
        <v>73.920692243099523</v>
      </c>
      <c r="S170" s="1">
        <f>[1]节奏总纲!AE170</f>
        <v>76.002103770254962</v>
      </c>
      <c r="T170" s="1">
        <f>[1]节奏总纲!AF170</f>
        <v>78.849131846408795</v>
      </c>
      <c r="U170" s="1">
        <f>[1]节奏总纲!AG170</f>
        <v>83.475585306787494</v>
      </c>
      <c r="V170" s="1">
        <f>[1]节奏总纲!AH170</f>
        <v>92.873883289449623</v>
      </c>
      <c r="AN170" s="1">
        <v>167</v>
      </c>
      <c r="AO170" s="1">
        <f>[1]节奏总纲!BA170</f>
        <v>41.469625260097565</v>
      </c>
      <c r="AP170" s="1">
        <f>[1]节奏总纲!BB170</f>
        <v>42.991576666955346</v>
      </c>
      <c r="AQ170" s="1">
        <f>[1]节奏总纲!BC170</f>
        <v>44.9297593708744</v>
      </c>
      <c r="AR170" s="1">
        <f>[1]节奏总纲!BD170</f>
        <v>47.660722623095815</v>
      </c>
      <c r="AS170" s="1">
        <f>[1]节奏总纲!BE170</f>
        <v>52.360333240164678</v>
      </c>
    </row>
    <row r="171" spans="2:45" x14ac:dyDescent="0.15">
      <c r="Q171" s="1">
        <v>168</v>
      </c>
      <c r="R171" s="1">
        <f>[1]节奏总纲!AD171</f>
        <v>74.008495683346354</v>
      </c>
      <c r="S171" s="1">
        <f>[1]节奏总纲!AE171</f>
        <v>76.084409020469636</v>
      </c>
      <c r="T171" s="1">
        <f>[1]节奏总纲!AF171</f>
        <v>78.93606938161777</v>
      </c>
      <c r="U171" s="1">
        <f>[1]节奏总纲!AG171</f>
        <v>83.563318050117928</v>
      </c>
      <c r="V171" s="1">
        <f>[1]节奏总纲!AH171</f>
        <v>92.967300386587027</v>
      </c>
      <c r="AN171" s="1">
        <v>168</v>
      </c>
      <c r="AO171" s="1">
        <f>[1]节奏总纲!BA171</f>
        <v>41.509851475189308</v>
      </c>
      <c r="AP171" s="1">
        <f>[1]节奏总纲!BB171</f>
        <v>43.030177309109042</v>
      </c>
      <c r="AQ171" s="1">
        <f>[1]节奏总纲!BC171</f>
        <v>44.972851781380903</v>
      </c>
      <c r="AR171" s="1">
        <f>[1]节奏总纲!BD171</f>
        <v>47.7022976997416</v>
      </c>
      <c r="AS171" s="1">
        <f>[1]节奏总纲!BE171</f>
        <v>52.400239921756771</v>
      </c>
    </row>
    <row r="172" spans="2:45" x14ac:dyDescent="0.15">
      <c r="Q172" s="1">
        <v>169</v>
      </c>
      <c r="R172" s="1">
        <f>[1]节奏总纲!AD172</f>
        <v>74.090988120365651</v>
      </c>
      <c r="S172" s="1">
        <f>[1]节奏总纲!AE172</f>
        <v>76.166714270684309</v>
      </c>
      <c r="T172" s="1">
        <f>[1]节奏总纲!AF172</f>
        <v>79.022812309215297</v>
      </c>
      <c r="U172" s="1">
        <f>[1]节奏总纲!AG172</f>
        <v>83.651050793448363</v>
      </c>
      <c r="V172" s="1">
        <f>[1]节奏总纲!AH172</f>
        <v>93.057555567360481</v>
      </c>
      <c r="AN172" s="1">
        <v>169</v>
      </c>
      <c r="AO172" s="1">
        <f>[1]节奏总纲!BA172</f>
        <v>41.550077690281057</v>
      </c>
      <c r="AP172" s="1">
        <f>[1]节奏总纲!BB172</f>
        <v>43.067624017543686</v>
      </c>
      <c r="AQ172" s="1">
        <f>[1]节奏总纲!BC172</f>
        <v>45.013762077986961</v>
      </c>
      <c r="AR172" s="1">
        <f>[1]节奏总纲!BD172</f>
        <v>47.743872776387391</v>
      </c>
      <c r="AS172" s="1">
        <f>[1]节奏总纲!BE172</f>
        <v>52.440146603348865</v>
      </c>
    </row>
    <row r="173" spans="2:45" x14ac:dyDescent="0.15">
      <c r="Q173" s="1">
        <v>170</v>
      </c>
      <c r="R173" s="1">
        <f>[1]节奏总纲!AD173</f>
        <v>74.173480557384934</v>
      </c>
      <c r="S173" s="1">
        <f>[1]节奏总纲!AE173</f>
        <v>76.249019520898997</v>
      </c>
      <c r="T173" s="1">
        <f>[1]节奏总纲!AF173</f>
        <v>79.109014469658547</v>
      </c>
      <c r="U173" s="1">
        <f>[1]节奏总纲!AG173</f>
        <v>83.738783536778797</v>
      </c>
      <c r="V173" s="1">
        <f>[1]节奏总纲!AH173</f>
        <v>93.146107887007233</v>
      </c>
      <c r="AN173" s="1">
        <v>170</v>
      </c>
      <c r="AO173" s="1">
        <f>[1]节奏总纲!BA173</f>
        <v>41.590303905372799</v>
      </c>
      <c r="AP173" s="1">
        <f>[1]节奏总纲!BB173</f>
        <v>43.105070725978337</v>
      </c>
      <c r="AQ173" s="1">
        <f>[1]节奏总纲!BC173</f>
        <v>45.050956883357138</v>
      </c>
      <c r="AR173" s="1">
        <f>[1]节奏总纲!BD173</f>
        <v>47.785447853033176</v>
      </c>
      <c r="AS173" s="1">
        <f>[1]节奏总纲!BE173</f>
        <v>52.480053284940965</v>
      </c>
    </row>
    <row r="174" spans="2:45" x14ac:dyDescent="0.15">
      <c r="Q174" s="1">
        <v>171</v>
      </c>
      <c r="R174" s="1">
        <f>[1]节奏总纲!AD174</f>
        <v>74.255972994404218</v>
      </c>
      <c r="S174" s="1">
        <f>[1]节奏总纲!AE174</f>
        <v>76.331324771113671</v>
      </c>
      <c r="T174" s="1">
        <f>[1]节奏总纲!AF174</f>
        <v>79.195216630101797</v>
      </c>
      <c r="U174" s="1">
        <f>[1]节奏总纲!AG174</f>
        <v>83.826516280109232</v>
      </c>
      <c r="V174" s="1">
        <f>[1]节奏总纲!AH174</f>
        <v>93.23466020665397</v>
      </c>
      <c r="AN174" s="1">
        <v>171</v>
      </c>
      <c r="AO174" s="1">
        <f>[1]节奏总纲!BA174</f>
        <v>41.630530120464542</v>
      </c>
      <c r="AP174" s="1">
        <f>[1]节奏总纲!BB174</f>
        <v>43.14251743441298</v>
      </c>
      <c r="AQ174" s="1">
        <f>[1]节奏总纲!BC174</f>
        <v>45.088151688727308</v>
      </c>
      <c r="AR174" s="1">
        <f>[1]节奏总纲!BD174</f>
        <v>47.827022929678968</v>
      </c>
      <c r="AS174" s="1">
        <f>[1]节奏总纲!BE174</f>
        <v>52.519959966533058</v>
      </c>
    </row>
    <row r="175" spans="2:45" x14ac:dyDescent="0.15">
      <c r="Q175" s="1">
        <v>172</v>
      </c>
      <c r="R175" s="1">
        <f>[1]节奏总纲!AD175</f>
        <v>74.338465431423501</v>
      </c>
      <c r="S175" s="1">
        <f>[1]节奏总纲!AE175</f>
        <v>76.413630021328345</v>
      </c>
      <c r="T175" s="1">
        <f>[1]节奏总纲!AF175</f>
        <v>79.281418790545047</v>
      </c>
      <c r="U175" s="1">
        <f>[1]节奏总纲!AG175</f>
        <v>83.914249023439666</v>
      </c>
      <c r="V175" s="1">
        <f>[1]节奏总纲!AH175</f>
        <v>93.323212526300722</v>
      </c>
      <c r="AN175" s="1">
        <v>172</v>
      </c>
      <c r="AO175" s="1">
        <f>[1]节奏总纲!BA175</f>
        <v>41.670756335556291</v>
      </c>
      <c r="AP175" s="1">
        <f>[1]节奏总纲!BB175</f>
        <v>43.179964142847631</v>
      </c>
      <c r="AQ175" s="1">
        <f>[1]节奏总纲!BC175</f>
        <v>45.125346494097485</v>
      </c>
      <c r="AR175" s="1">
        <f>[1]节奏总纲!BD175</f>
        <v>47.868598006324753</v>
      </c>
      <c r="AS175" s="1">
        <f>[1]节奏总纲!BE175</f>
        <v>52.559866648125151</v>
      </c>
    </row>
    <row r="176" spans="2:45" x14ac:dyDescent="0.15">
      <c r="Q176" s="1">
        <v>173</v>
      </c>
      <c r="R176" s="1">
        <f>[1]节奏总纲!AD176</f>
        <v>74.420957868442784</v>
      </c>
      <c r="S176" s="1">
        <f>[1]节奏总纲!AE176</f>
        <v>76.495935271543019</v>
      </c>
      <c r="T176" s="1">
        <f>[1]节奏总纲!AF176</f>
        <v>79.367620950988297</v>
      </c>
      <c r="U176" s="1">
        <f>[1]节奏总纲!AG176</f>
        <v>84.00179325525086</v>
      </c>
      <c r="V176" s="1">
        <f>[1]节奏总纲!AH176</f>
        <v>93.411764845947459</v>
      </c>
      <c r="AN176" s="1">
        <v>173</v>
      </c>
      <c r="AO176" s="1">
        <f>[1]节奏总纲!BA176</f>
        <v>41.710982550648033</v>
      </c>
      <c r="AP176" s="1">
        <f>[1]节奏总纲!BB176</f>
        <v>43.217410851282274</v>
      </c>
      <c r="AQ176" s="1">
        <f>[1]节奏总纲!BC176</f>
        <v>45.162541299467655</v>
      </c>
      <c r="AR176" s="1">
        <f>[1]节奏总纲!BD176</f>
        <v>47.910173082970537</v>
      </c>
      <c r="AS176" s="1">
        <f>[1]节奏总纲!BE176</f>
        <v>52.599773329717245</v>
      </c>
    </row>
    <row r="177" spans="17:45" x14ac:dyDescent="0.15">
      <c r="Q177" s="1">
        <v>174</v>
      </c>
      <c r="R177" s="1">
        <f>[1]节奏总纲!AD177</f>
        <v>74.503450305462081</v>
      </c>
      <c r="S177" s="1">
        <f>[1]节奏总纲!AE177</f>
        <v>76.578240521757706</v>
      </c>
      <c r="T177" s="1">
        <f>[1]节奏总纲!AF177</f>
        <v>79.453823111431561</v>
      </c>
      <c r="U177" s="1">
        <f>[1]节奏总纲!AG177</f>
        <v>84.08118060043364</v>
      </c>
      <c r="V177" s="1">
        <f>[1]节奏总纲!AH177</f>
        <v>93.500317165594211</v>
      </c>
      <c r="AN177" s="1">
        <v>174</v>
      </c>
      <c r="AO177" s="1">
        <f>[1]节奏总纲!BA177</f>
        <v>41.751208765739776</v>
      </c>
      <c r="AP177" s="1">
        <f>[1]节奏总纲!BB177</f>
        <v>43.254857559716925</v>
      </c>
      <c r="AQ177" s="1">
        <f>[1]节奏总纲!BC177</f>
        <v>45.199736104837832</v>
      </c>
      <c r="AR177" s="1">
        <f>[1]节奏总纲!BD177</f>
        <v>47.951748159616329</v>
      </c>
      <c r="AS177" s="1">
        <f>[1]节奏总纲!BE177</f>
        <v>52.639680011309345</v>
      </c>
    </row>
    <row r="178" spans="17:45" x14ac:dyDescent="0.15">
      <c r="Q178" s="1">
        <v>175</v>
      </c>
      <c r="R178" s="1">
        <f>[1]节奏总纲!AD178</f>
        <v>74.585942742481365</v>
      </c>
      <c r="S178" s="1">
        <f>[1]节奏总纲!AE178</f>
        <v>76.66054577197238</v>
      </c>
      <c r="T178" s="1">
        <f>[1]节奏总纲!AF178</f>
        <v>79.540025271874811</v>
      </c>
      <c r="U178" s="1">
        <f>[1]节奏总纲!AG178</f>
        <v>84.160567945616407</v>
      </c>
      <c r="V178" s="1">
        <f>[1]节奏总纲!AH178</f>
        <v>93.588869485240949</v>
      </c>
      <c r="AN178" s="1">
        <v>175</v>
      </c>
      <c r="AO178" s="1">
        <f>[1]节奏总纲!BA178</f>
        <v>41.791434980831518</v>
      </c>
      <c r="AP178" s="1">
        <f>[1]节奏总纲!BB178</f>
        <v>43.292304268151575</v>
      </c>
      <c r="AQ178" s="1">
        <f>[1]节奏总纲!BC178</f>
        <v>45.236930910208002</v>
      </c>
      <c r="AR178" s="1">
        <f>[1]节奏总纲!BD178</f>
        <v>47.993323236262114</v>
      </c>
      <c r="AS178" s="1">
        <f>[1]节奏总纲!BE178</f>
        <v>52.679586692901438</v>
      </c>
    </row>
    <row r="179" spans="17:45" x14ac:dyDescent="0.15">
      <c r="Q179" s="1">
        <v>176</v>
      </c>
      <c r="R179" s="1">
        <f>[1]节奏总纲!AD179</f>
        <v>74.668435179500648</v>
      </c>
      <c r="S179" s="1">
        <f>[1]节奏总纲!AE179</f>
        <v>76.742851022187054</v>
      </c>
      <c r="T179" s="1">
        <f>[1]节奏总纲!AF179</f>
        <v>79.626227432318061</v>
      </c>
      <c r="U179" s="1">
        <f>[1]节奏总纲!AG179</f>
        <v>84.239955290799188</v>
      </c>
      <c r="V179" s="1">
        <f>[1]节奏总纲!AH179</f>
        <v>93.6774218048877</v>
      </c>
      <c r="AN179" s="1">
        <v>176</v>
      </c>
      <c r="AO179" s="1">
        <f>[1]节奏总纲!BA179</f>
        <v>41.831661195923267</v>
      </c>
      <c r="AP179" s="1">
        <f>[1]节奏总纲!BB179</f>
        <v>43.329750976586219</v>
      </c>
      <c r="AQ179" s="1">
        <f>[1]节奏总纲!BC179</f>
        <v>45.274125715578172</v>
      </c>
      <c r="AR179" s="1">
        <f>[1]节奏总纲!BD179</f>
        <v>48.030128751164234</v>
      </c>
      <c r="AS179" s="1">
        <f>[1]节奏总纲!BE179</f>
        <v>52.719493374493531</v>
      </c>
    </row>
    <row r="180" spans="17:45" x14ac:dyDescent="0.15">
      <c r="Q180" s="1">
        <v>177</v>
      </c>
      <c r="R180" s="1">
        <f>[1]节奏总纲!AD180</f>
        <v>74.750927616519931</v>
      </c>
      <c r="S180" s="1">
        <f>[1]节奏总纲!AE180</f>
        <v>76.825156272401728</v>
      </c>
      <c r="T180" s="1">
        <f>[1]节奏总纲!AF180</f>
        <v>79.71242959276131</v>
      </c>
      <c r="U180" s="1">
        <f>[1]节奏总纲!AG180</f>
        <v>84.319342635981968</v>
      </c>
      <c r="V180" s="1">
        <f>[1]节奏总纲!AH180</f>
        <v>93.765974124534438</v>
      </c>
      <c r="AN180" s="1">
        <v>177</v>
      </c>
      <c r="AO180" s="1">
        <f>[1]节奏总纲!BA180</f>
        <v>41.87188741101501</v>
      </c>
      <c r="AP180" s="1">
        <f>[1]节奏总纲!BB180</f>
        <v>43.367197685020869</v>
      </c>
      <c r="AQ180" s="1">
        <f>[1]节奏总纲!BC180</f>
        <v>45.31132052094835</v>
      </c>
      <c r="AR180" s="1">
        <f>[1]节奏总纲!BD180</f>
        <v>48.066021750983474</v>
      </c>
      <c r="AS180" s="1">
        <f>[1]节奏总纲!BE180</f>
        <v>52.759400056085624</v>
      </c>
    </row>
    <row r="181" spans="17:45" x14ac:dyDescent="0.15">
      <c r="Q181" s="1">
        <v>178</v>
      </c>
      <c r="R181" s="1">
        <f>[1]节奏总纲!AD181</f>
        <v>74.833420053539214</v>
      </c>
      <c r="S181" s="1">
        <f>[1]节奏总纲!AE181</f>
        <v>76.907461522616416</v>
      </c>
      <c r="T181" s="1">
        <f>[1]节奏总纲!AF181</f>
        <v>79.79863175320456</v>
      </c>
      <c r="U181" s="1">
        <f>[1]节奏总纲!AG181</f>
        <v>84.398729981164735</v>
      </c>
      <c r="V181" s="1">
        <f>[1]节奏总纲!AH181</f>
        <v>93.85452644418119</v>
      </c>
      <c r="AN181" s="1">
        <v>178</v>
      </c>
      <c r="AO181" s="1">
        <f>[1]节奏总纲!BA181</f>
        <v>41.912113626106752</v>
      </c>
      <c r="AP181" s="1">
        <f>[1]节奏总纲!BB181</f>
        <v>43.404644393455513</v>
      </c>
      <c r="AQ181" s="1">
        <f>[1]节奏总纲!BC181</f>
        <v>45.34851532631852</v>
      </c>
      <c r="AR181" s="1">
        <f>[1]节奏总纲!BD181</f>
        <v>48.101914750802706</v>
      </c>
      <c r="AS181" s="1">
        <f>[1]节奏总纲!BE181</f>
        <v>52.799306737677718</v>
      </c>
    </row>
    <row r="182" spans="17:45" x14ac:dyDescent="0.15">
      <c r="Q182" s="1">
        <v>179</v>
      </c>
      <c r="R182" s="1">
        <f>[1]节奏总纲!AD182</f>
        <v>74.915912490558512</v>
      </c>
      <c r="S182" s="1">
        <f>[1]节奏总纲!AE182</f>
        <v>76.989766772831089</v>
      </c>
      <c r="T182" s="1">
        <f>[1]节奏总纲!AF182</f>
        <v>79.88483391364781</v>
      </c>
      <c r="U182" s="1">
        <f>[1]节奏总纲!AG182</f>
        <v>84.478117326347515</v>
      </c>
      <c r="V182" s="1">
        <f>[1]节奏总纲!AH182</f>
        <v>93.943078763827941</v>
      </c>
      <c r="AN182" s="1">
        <v>179</v>
      </c>
      <c r="AO182" s="1">
        <f>[1]节奏总纲!BA182</f>
        <v>41.952339841198494</v>
      </c>
      <c r="AP182" s="1">
        <f>[1]节奏总纲!BB182</f>
        <v>43.442091101890163</v>
      </c>
      <c r="AQ182" s="1">
        <f>[1]节奏总纲!BC182</f>
        <v>45.385710131688697</v>
      </c>
      <c r="AR182" s="1">
        <f>[1]节奏总纲!BD182</f>
        <v>48.137807750621946</v>
      </c>
      <c r="AS182" s="1">
        <f>[1]节奏总纲!BE182</f>
        <v>52.839213419269818</v>
      </c>
    </row>
    <row r="183" spans="17:45" x14ac:dyDescent="0.15">
      <c r="Q183" s="1">
        <v>180</v>
      </c>
      <c r="R183" s="1">
        <f>[1]节奏总纲!AD183</f>
        <v>74.998404927577795</v>
      </c>
      <c r="S183" s="1">
        <f>[1]节奏总纲!AE183</f>
        <v>77.06778397927944</v>
      </c>
      <c r="T183" s="1">
        <f>[1]节奏总纲!AF183</f>
        <v>79.97103607409106</v>
      </c>
      <c r="U183" s="1">
        <f>[1]节奏总纲!AG183</f>
        <v>84.557504671530296</v>
      </c>
      <c r="V183" s="1">
        <f>[1]节奏总纲!AH183</f>
        <v>94.027056817114342</v>
      </c>
      <c r="AN183" s="1">
        <v>180</v>
      </c>
      <c r="AO183" s="1">
        <f>[1]节奏总纲!BA183</f>
        <v>41.992566056290244</v>
      </c>
      <c r="AP183" s="1">
        <f>[1]节奏总纲!BB183</f>
        <v>43.479537810324807</v>
      </c>
      <c r="AQ183" s="1">
        <f>[1]节奏总纲!BC183</f>
        <v>45.422904937058867</v>
      </c>
      <c r="AR183" s="1">
        <f>[1]节奏总纲!BD183</f>
        <v>48.173700750441178</v>
      </c>
      <c r="AS183" s="1">
        <f>[1]节奏总纲!BE183</f>
        <v>52.879120100861911</v>
      </c>
    </row>
    <row r="184" spans="17:45" x14ac:dyDescent="0.15">
      <c r="Q184" s="1">
        <v>181</v>
      </c>
      <c r="R184" s="1">
        <f>[1]节奏总纲!AD184</f>
        <v>75.075479910097457</v>
      </c>
      <c r="S184" s="1">
        <f>[1]节奏总纲!AE184</f>
        <v>77.145192343015793</v>
      </c>
      <c r="T184" s="1">
        <f>[1]节奏总纲!AF184</f>
        <v>80.053817475702374</v>
      </c>
      <c r="U184" s="1">
        <f>[1]节奏总纲!AG184</f>
        <v>84.636892016713063</v>
      </c>
      <c r="V184" s="1">
        <f>[1]节奏总纲!AH184</f>
        <v>94.102803318799971</v>
      </c>
      <c r="AN184" s="1">
        <v>181</v>
      </c>
      <c r="AO184" s="1">
        <f>[1]节奏总纲!BA184</f>
        <v>42.028297717729309</v>
      </c>
      <c r="AP184" s="1">
        <f>[1]节奏总纲!BB184</f>
        <v>43.516984518759458</v>
      </c>
      <c r="AQ184" s="1">
        <f>[1]节奏总纲!BC184</f>
        <v>45.460099742429037</v>
      </c>
      <c r="AR184" s="1">
        <f>[1]节奏总纲!BD184</f>
        <v>48.209593750260417</v>
      </c>
      <c r="AS184" s="1">
        <f>[1]节奏总纲!BE184</f>
        <v>52.919026782454004</v>
      </c>
    </row>
    <row r="185" spans="17:45" x14ac:dyDescent="0.15">
      <c r="Q185" s="1">
        <v>182</v>
      </c>
      <c r="R185" s="1">
        <f>[1]节奏总纲!AD185</f>
        <v>75.152448075388719</v>
      </c>
      <c r="S185" s="1">
        <f>[1]节奏总纲!AE185</f>
        <v>77.222600706752132</v>
      </c>
      <c r="T185" s="1">
        <f>[1]节奏总纲!AF185</f>
        <v>80.134867890916794</v>
      </c>
      <c r="U185" s="1">
        <f>[1]节奏总纲!AG185</f>
        <v>84.716279361895843</v>
      </c>
      <c r="V185" s="1">
        <f>[1]节奏总纲!AH185</f>
        <v>94.1785498204856</v>
      </c>
      <c r="AN185" s="1">
        <v>182</v>
      </c>
      <c r="AO185" s="1">
        <f>[1]节奏总纲!BA185</f>
        <v>42.063010472656373</v>
      </c>
      <c r="AP185" s="1">
        <f>[1]节奏总纲!BB185</f>
        <v>43.554431227194108</v>
      </c>
      <c r="AQ185" s="1">
        <f>[1]节奏总纲!BC185</f>
        <v>45.497294547799214</v>
      </c>
      <c r="AR185" s="1">
        <f>[1]节奏总纲!BD185</f>
        <v>48.24548675007965</v>
      </c>
      <c r="AS185" s="1">
        <f>[1]节奏总纲!BE185</f>
        <v>52.958933464046098</v>
      </c>
    </row>
    <row r="186" spans="17:45" x14ac:dyDescent="0.15">
      <c r="Q186" s="1">
        <v>183</v>
      </c>
      <c r="R186" s="1">
        <f>[1]节奏总纲!AD186</f>
        <v>75.229416240679981</v>
      </c>
      <c r="S186" s="1">
        <f>[1]节奏总纲!AE186</f>
        <v>77.300009070488485</v>
      </c>
      <c r="T186" s="1">
        <f>[1]节奏总纲!AF186</f>
        <v>80.215918306131215</v>
      </c>
      <c r="U186" s="1">
        <f>[1]节奏总纲!AG186</f>
        <v>84.795666707078624</v>
      </c>
      <c r="V186" s="1">
        <f>[1]节奏总纲!AH186</f>
        <v>94.254296322171228</v>
      </c>
      <c r="AN186" s="1">
        <v>183</v>
      </c>
      <c r="AO186" s="1">
        <f>[1]节奏总纲!BA186</f>
        <v>42.097723227583437</v>
      </c>
      <c r="AP186" s="1">
        <f>[1]节奏总纲!BB186</f>
        <v>43.591877935628752</v>
      </c>
      <c r="AQ186" s="1">
        <f>[1]节奏总纲!BC186</f>
        <v>45.534489353169384</v>
      </c>
      <c r="AR186" s="1">
        <f>[1]节奏总纲!BD186</f>
        <v>48.281379749898889</v>
      </c>
      <c r="AS186" s="1">
        <f>[1]节奏总纲!BE186</f>
        <v>52.998840145638198</v>
      </c>
    </row>
    <row r="187" spans="17:45" x14ac:dyDescent="0.15">
      <c r="Q187" s="1">
        <v>184</v>
      </c>
      <c r="R187" s="1">
        <f>[1]节奏总纲!AD187</f>
        <v>75.306384405971258</v>
      </c>
      <c r="S187" s="1">
        <f>[1]节奏总纲!AE187</f>
        <v>77.377417434224824</v>
      </c>
      <c r="T187" s="1">
        <f>[1]节奏总纲!AF187</f>
        <v>80.296968721345635</v>
      </c>
      <c r="U187" s="1">
        <f>[1]节奏总纲!AG187</f>
        <v>84.87505405226139</v>
      </c>
      <c r="V187" s="1">
        <f>[1]节奏总纲!AH187</f>
        <v>94.330042823856857</v>
      </c>
      <c r="AN187" s="1">
        <v>184</v>
      </c>
      <c r="AO187" s="1">
        <f>[1]节奏总纲!BA187</f>
        <v>42.132435982510501</v>
      </c>
      <c r="AP187" s="1">
        <f>[1]节奏总纲!BB187</f>
        <v>43.629324644063402</v>
      </c>
      <c r="AQ187" s="1">
        <f>[1]节奏总纲!BC187</f>
        <v>45.571684158539561</v>
      </c>
      <c r="AR187" s="1">
        <f>[1]节奏总纲!BD187</f>
        <v>48.317272749718121</v>
      </c>
      <c r="AS187" s="1">
        <f>[1]节奏总纲!BE187</f>
        <v>53.033462597729766</v>
      </c>
    </row>
    <row r="188" spans="17:45" x14ac:dyDescent="0.15">
      <c r="Q188" s="1">
        <v>185</v>
      </c>
      <c r="R188" s="1">
        <f>[1]节奏总纲!AD188</f>
        <v>75.38335257126252</v>
      </c>
      <c r="S188" s="1">
        <f>[1]节奏总纲!AE188</f>
        <v>77.454825797961163</v>
      </c>
      <c r="T188" s="1">
        <f>[1]节奏总纲!AF188</f>
        <v>80.378019136560056</v>
      </c>
      <c r="U188" s="1">
        <f>[1]节奏总纲!AG188</f>
        <v>84.954441397444171</v>
      </c>
      <c r="V188" s="1">
        <f>[1]节奏总纲!AH188</f>
        <v>94.405789325542486</v>
      </c>
      <c r="AN188" s="1">
        <v>185</v>
      </c>
      <c r="AO188" s="1">
        <f>[1]节奏总纲!BA188</f>
        <v>42.167148737437564</v>
      </c>
      <c r="AP188" s="1">
        <f>[1]节奏总纲!BB188</f>
        <v>43.666771352498046</v>
      </c>
      <c r="AQ188" s="1">
        <f>[1]节奏总纲!BC188</f>
        <v>45.608878963909731</v>
      </c>
      <c r="AR188" s="1">
        <f>[1]节奏总纲!BD188</f>
        <v>48.353165749537354</v>
      </c>
      <c r="AS188" s="1">
        <f>[1]节奏总纲!BE188</f>
        <v>53.067926870763252</v>
      </c>
    </row>
    <row r="189" spans="17:45" x14ac:dyDescent="0.15">
      <c r="Q189" s="1">
        <v>186</v>
      </c>
      <c r="R189" s="1">
        <f>[1]节奏总纲!AD189</f>
        <v>75.460320736553783</v>
      </c>
      <c r="S189" s="1">
        <f>[1]节奏总纲!AE189</f>
        <v>77.532234161697517</v>
      </c>
      <c r="T189" s="1">
        <f>[1]节奏总纲!AF189</f>
        <v>80.459069551774476</v>
      </c>
      <c r="U189" s="1">
        <f>[1]节奏总纲!AG189</f>
        <v>85.030832425973387</v>
      </c>
      <c r="V189" s="1">
        <f>[1]节奏总纲!AH189</f>
        <v>94.4815358272281</v>
      </c>
      <c r="AN189" s="1">
        <v>186</v>
      </c>
      <c r="AO189" s="1">
        <f>[1]节奏总纲!BA189</f>
        <v>42.201861492364635</v>
      </c>
      <c r="AP189" s="1">
        <f>[1]节奏总纲!BB189</f>
        <v>43.704218060932696</v>
      </c>
      <c r="AQ189" s="1">
        <f>[1]节奏总纲!BC189</f>
        <v>45.646073769279901</v>
      </c>
      <c r="AR189" s="1">
        <f>[1]节奏总纲!BD189</f>
        <v>48.389058749356593</v>
      </c>
      <c r="AS189" s="1">
        <f>[1]节奏总纲!BE189</f>
        <v>53.102391143796744</v>
      </c>
    </row>
    <row r="190" spans="17:45" x14ac:dyDescent="0.15">
      <c r="Q190" s="1">
        <v>187</v>
      </c>
      <c r="R190" s="1">
        <f>[1]节奏总纲!AD190</f>
        <v>75.537288901845045</v>
      </c>
      <c r="S190" s="1">
        <f>[1]节奏总纲!AE190</f>
        <v>77.609642525433856</v>
      </c>
      <c r="T190" s="1">
        <f>[1]节奏总纲!AF190</f>
        <v>80.540119966988897</v>
      </c>
      <c r="U190" s="1">
        <f>[1]节奏总纲!AG190</f>
        <v>85.103188187775231</v>
      </c>
      <c r="V190" s="1">
        <f>[1]节奏总纲!AH190</f>
        <v>94.557282328913729</v>
      </c>
      <c r="AN190" s="1">
        <v>187</v>
      </c>
      <c r="AO190" s="1">
        <f>[1]节奏总纲!BA190</f>
        <v>42.236574247291699</v>
      </c>
      <c r="AP190" s="1">
        <f>[1]节奏总纲!BB190</f>
        <v>43.741664769367347</v>
      </c>
      <c r="AQ190" s="1">
        <f>[1]节奏总纲!BC190</f>
        <v>45.683268574650079</v>
      </c>
      <c r="AR190" s="1">
        <f>[1]节奏总纲!BD190</f>
        <v>48.424951749175825</v>
      </c>
      <c r="AS190" s="1">
        <f>[1]节奏总纲!BE190</f>
        <v>53.13685541683023</v>
      </c>
    </row>
    <row r="191" spans="17:45" x14ac:dyDescent="0.15">
      <c r="Q191" s="1">
        <v>188</v>
      </c>
      <c r="R191" s="1">
        <f>[1]节奏总纲!AD191</f>
        <v>75.614257067136322</v>
      </c>
      <c r="S191" s="1">
        <f>[1]节奏总纲!AE191</f>
        <v>77.687050889170209</v>
      </c>
      <c r="T191" s="1">
        <f>[1]节奏总纲!AF191</f>
        <v>80.621170382203317</v>
      </c>
      <c r="U191" s="1">
        <f>[1]节奏总纲!AG191</f>
        <v>85.175543949577076</v>
      </c>
      <c r="V191" s="1">
        <f>[1]节奏总纲!AH191</f>
        <v>94.633028830599358</v>
      </c>
      <c r="AN191" s="1">
        <v>188</v>
      </c>
      <c r="AO191" s="1">
        <f>[1]节奏总纲!BA191</f>
        <v>42.271287002218763</v>
      </c>
      <c r="AP191" s="1">
        <f>[1]节奏总纲!BB191</f>
        <v>43.77911147780199</v>
      </c>
      <c r="AQ191" s="1">
        <f>[1]节奏总纲!BC191</f>
        <v>45.720463380020249</v>
      </c>
      <c r="AR191" s="1">
        <f>[1]节奏总纲!BD191</f>
        <v>48.460844748995065</v>
      </c>
      <c r="AS191" s="1">
        <f>[1]节奏总纲!BE191</f>
        <v>53.171319689863722</v>
      </c>
    </row>
    <row r="192" spans="17:45" x14ac:dyDescent="0.15">
      <c r="Q192" s="1">
        <v>189</v>
      </c>
      <c r="R192" s="1">
        <f>[1]节奏总纲!AD192</f>
        <v>75.691225232427584</v>
      </c>
      <c r="S192" s="1">
        <f>[1]节奏总纲!AE192</f>
        <v>77.764459252906548</v>
      </c>
      <c r="T192" s="1">
        <f>[1]节奏总纲!AF192</f>
        <v>80.702220797417738</v>
      </c>
      <c r="U192" s="1">
        <f>[1]节奏总纲!AG192</f>
        <v>85.247899711378935</v>
      </c>
      <c r="V192" s="1">
        <f>[1]节奏总纲!AH192</f>
        <v>94.708775332284986</v>
      </c>
      <c r="AN192" s="1">
        <v>189</v>
      </c>
      <c r="AO192" s="1">
        <f>[1]节奏总纲!BA192</f>
        <v>42.305999757145827</v>
      </c>
      <c r="AP192" s="1">
        <f>[1]节奏总纲!BB192</f>
        <v>43.816558186236641</v>
      </c>
      <c r="AQ192" s="1">
        <f>[1]节奏总纲!BC192</f>
        <v>45.757658185390426</v>
      </c>
      <c r="AR192" s="1">
        <f>[1]节奏总纲!BD192</f>
        <v>48.496737748814297</v>
      </c>
      <c r="AS192" s="1">
        <f>[1]节奏总纲!BE192</f>
        <v>53.205783962897208</v>
      </c>
    </row>
    <row r="193" spans="17:45" x14ac:dyDescent="0.15">
      <c r="Q193" s="1">
        <v>190</v>
      </c>
      <c r="R193" s="1">
        <f>[1]节奏总纲!AD193</f>
        <v>75.768193397718846</v>
      </c>
      <c r="S193" s="1">
        <f>[1]节奏总纲!AE193</f>
        <v>77.841867616642901</v>
      </c>
      <c r="T193" s="1">
        <f>[1]节奏总纲!AF193</f>
        <v>80.783271212632158</v>
      </c>
      <c r="U193" s="1">
        <f>[1]节奏总纲!AG193</f>
        <v>85.320255473180779</v>
      </c>
      <c r="V193" s="1">
        <f>[1]节奏总纲!AH193</f>
        <v>94.784521833970615</v>
      </c>
      <c r="AN193" s="1">
        <v>190</v>
      </c>
      <c r="AO193" s="1">
        <f>[1]节奏总纲!BA193</f>
        <v>42.340712512072891</v>
      </c>
      <c r="AP193" s="1">
        <f>[1]节奏总纲!BB193</f>
        <v>43.854004894671284</v>
      </c>
      <c r="AQ193" s="1">
        <f>[1]节奏总纲!BC193</f>
        <v>45.794852990760596</v>
      </c>
      <c r="AR193" s="1">
        <f>[1]节奏总纲!BD193</f>
        <v>48.532630748633537</v>
      </c>
      <c r="AS193" s="1">
        <f>[1]节奏总纲!BE193</f>
        <v>53.240248235930693</v>
      </c>
    </row>
    <row r="194" spans="17:45" x14ac:dyDescent="0.15">
      <c r="Q194" s="1">
        <v>191</v>
      </c>
      <c r="R194" s="1">
        <f>[1]节奏总纲!AD194</f>
        <v>75.845161563010109</v>
      </c>
      <c r="S194" s="1">
        <f>[1]节奏总纲!AE194</f>
        <v>77.91927598037924</v>
      </c>
      <c r="T194" s="1">
        <f>[1]节奏总纲!AF194</f>
        <v>80.864321627846579</v>
      </c>
      <c r="U194" s="1">
        <f>[1]节奏总纲!AG194</f>
        <v>85.392611234982624</v>
      </c>
      <c r="V194" s="1">
        <f>[1]节奏总纲!AH194</f>
        <v>94.860268335656244</v>
      </c>
      <c r="AN194" s="1">
        <v>191</v>
      </c>
      <c r="AO194" s="1">
        <f>[1]节奏总纲!BA194</f>
        <v>42.375425266999954</v>
      </c>
      <c r="AP194" s="1">
        <f>[1]节奏总纲!BB194</f>
        <v>43.891451603105935</v>
      </c>
      <c r="AQ194" s="1">
        <f>[1]节奏总纲!BC194</f>
        <v>45.832047796130773</v>
      </c>
      <c r="AR194" s="1">
        <f>[1]节奏总纲!BD194</f>
        <v>48.568523748452769</v>
      </c>
      <c r="AS194" s="1">
        <f>[1]节奏总纲!BE194</f>
        <v>53.274712508964186</v>
      </c>
    </row>
    <row r="195" spans="17:45" x14ac:dyDescent="0.15">
      <c r="Q195" s="1">
        <v>192</v>
      </c>
      <c r="R195" s="1">
        <f>[1]节奏总纲!AD195</f>
        <v>75.922129728301385</v>
      </c>
      <c r="S195" s="1">
        <f>[1]节奏总纲!AE195</f>
        <v>77.996684344115593</v>
      </c>
      <c r="T195" s="1">
        <f>[1]节奏总纲!AF195</f>
        <v>80.945372043060999</v>
      </c>
      <c r="U195" s="1">
        <f>[1]节奏总纲!AG195</f>
        <v>85.464966996784469</v>
      </c>
      <c r="V195" s="1">
        <f>[1]节奏总纲!AH195</f>
        <v>94.936014837341872</v>
      </c>
      <c r="AN195" s="1">
        <v>192</v>
      </c>
      <c r="AO195" s="1">
        <f>[1]节奏总纲!BA195</f>
        <v>42.410138021927018</v>
      </c>
      <c r="AP195" s="1">
        <f>[1]节奏总纲!BB195</f>
        <v>43.928898311540578</v>
      </c>
      <c r="AQ195" s="1">
        <f>[1]节奏总纲!BC195</f>
        <v>45.869242601500943</v>
      </c>
      <c r="AR195" s="1">
        <f>[1]节奏总纲!BD195</f>
        <v>48.604416748272008</v>
      </c>
      <c r="AS195" s="1">
        <f>[1]节奏总纲!BE195</f>
        <v>53.309176781997671</v>
      </c>
    </row>
    <row r="196" spans="17:45" x14ac:dyDescent="0.15">
      <c r="Q196" s="1">
        <v>193</v>
      </c>
      <c r="R196" s="1">
        <f>[1]节奏总纲!AD196</f>
        <v>75.999097893592648</v>
      </c>
      <c r="S196" s="1">
        <f>[1]节奏总纲!AE196</f>
        <v>78.068193736526268</v>
      </c>
      <c r="T196" s="1">
        <f>[1]节奏总纲!AF196</f>
        <v>81.02378934476593</v>
      </c>
      <c r="U196" s="1">
        <f>[1]节奏总纲!AG196</f>
        <v>85.537322758586328</v>
      </c>
      <c r="V196" s="1">
        <f>[1]节奏总纲!AH196</f>
        <v>95.011078787937279</v>
      </c>
      <c r="AN196" s="1">
        <v>193</v>
      </c>
      <c r="AO196" s="1">
        <f>[1]节奏总纲!BA196</f>
        <v>42.444850776854082</v>
      </c>
      <c r="AP196" s="1">
        <f>[1]节奏总纲!BB196</f>
        <v>43.966345019975229</v>
      </c>
      <c r="AQ196" s="1">
        <f>[1]节奏总纲!BC196</f>
        <v>45.906437406871113</v>
      </c>
      <c r="AR196" s="1">
        <f>[1]节奏总纲!BD196</f>
        <v>48.640309748091241</v>
      </c>
      <c r="AS196" s="1">
        <f>[1]节奏总纲!BE196</f>
        <v>53.343641055031163</v>
      </c>
    </row>
    <row r="197" spans="17:45" x14ac:dyDescent="0.15">
      <c r="Q197" s="1">
        <v>194</v>
      </c>
      <c r="R197" s="1">
        <f>[1]节奏总纲!AD197</f>
        <v>76.070972142474872</v>
      </c>
      <c r="S197" s="1">
        <f>[1]节奏总纲!AE197</f>
        <v>78.139439149396253</v>
      </c>
      <c r="T197" s="1">
        <f>[1]节奏总纲!AF197</f>
        <v>81.096762731680187</v>
      </c>
      <c r="U197" s="1">
        <f>[1]节奏总纲!AG197</f>
        <v>85.609678520388172</v>
      </c>
      <c r="V197" s="1">
        <f>[1]节奏总纲!AH197</f>
        <v>95.082429458741387</v>
      </c>
      <c r="AN197" s="1">
        <v>194</v>
      </c>
      <c r="AO197" s="1">
        <f>[1]节奏总纲!BA197</f>
        <v>42.479563531781146</v>
      </c>
      <c r="AP197" s="1">
        <f>[1]节奏总纲!BB197</f>
        <v>44.003272544984547</v>
      </c>
      <c r="AQ197" s="1">
        <f>[1]节奏总纲!BC197</f>
        <v>45.94363221224129</v>
      </c>
      <c r="AR197" s="1">
        <f>[1]节奏总纲!BD197</f>
        <v>48.67620274791048</v>
      </c>
      <c r="AS197" s="1">
        <f>[1]节奏总纲!BE197</f>
        <v>53.378105328064649</v>
      </c>
    </row>
    <row r="198" spans="17:45" x14ac:dyDescent="0.15">
      <c r="Q198" s="1">
        <v>195</v>
      </c>
      <c r="R198" s="1">
        <f>[1]节奏总纲!AD198</f>
        <v>76.142785979989682</v>
      </c>
      <c r="S198" s="1">
        <f>[1]节奏总纲!AE198</f>
        <v>78.210684562266223</v>
      </c>
      <c r="T198" s="1">
        <f>[1]节奏总纲!AF198</f>
        <v>81.169736118594443</v>
      </c>
      <c r="U198" s="1">
        <f>[1]节奏总纲!AG198</f>
        <v>85.682034282190017</v>
      </c>
      <c r="V198" s="1">
        <f>[1]节奏总纲!AH198</f>
        <v>95.153780129545481</v>
      </c>
      <c r="AN198" s="1">
        <v>195</v>
      </c>
      <c r="AO198" s="1">
        <f>[1]节奏总纲!BA198</f>
        <v>42.51427628670821</v>
      </c>
      <c r="AP198" s="1">
        <f>[1]节奏总纲!BB198</f>
        <v>44.035591852864428</v>
      </c>
      <c r="AQ198" s="1">
        <f>[1]节奏总纲!BC198</f>
        <v>45.98082701761146</v>
      </c>
      <c r="AR198" s="1">
        <f>[1]节奏总纲!BD198</f>
        <v>48.712095747729713</v>
      </c>
      <c r="AS198" s="1">
        <f>[1]节奏总纲!BE198</f>
        <v>53.412569601098134</v>
      </c>
    </row>
    <row r="199" spans="17:45" x14ac:dyDescent="0.15">
      <c r="Q199" s="1">
        <v>196</v>
      </c>
      <c r="R199" s="1">
        <f>[1]节奏总纲!AD199</f>
        <v>76.214599817504492</v>
      </c>
      <c r="S199" s="1">
        <f>[1]节奏总纲!AE199</f>
        <v>78.281929975136208</v>
      </c>
      <c r="T199" s="1">
        <f>[1]节奏总纲!AF199</f>
        <v>81.242709505508685</v>
      </c>
      <c r="U199" s="1">
        <f>[1]节奏总纲!AG199</f>
        <v>85.754390043991862</v>
      </c>
      <c r="V199" s="1">
        <f>[1]节奏总纲!AH199</f>
        <v>95.225130800349589</v>
      </c>
      <c r="AN199" s="1">
        <v>196</v>
      </c>
      <c r="AO199" s="1">
        <f>[1]节奏总纲!BA199</f>
        <v>42.548989041635274</v>
      </c>
      <c r="AP199" s="1">
        <f>[1]节奏总纲!BB199</f>
        <v>44.067911160744309</v>
      </c>
      <c r="AQ199" s="1">
        <f>[1]节奏总纲!BC199</f>
        <v>46.01555652579863</v>
      </c>
      <c r="AR199" s="1">
        <f>[1]节奏总纲!BD199</f>
        <v>48.747988747548945</v>
      </c>
      <c r="AS199" s="1">
        <f>[1]节奏总纲!BE199</f>
        <v>53.447033874131627</v>
      </c>
    </row>
    <row r="200" spans="17:45" x14ac:dyDescent="0.15">
      <c r="Q200" s="1">
        <v>197</v>
      </c>
      <c r="R200" s="1">
        <f>[1]节奏总纲!AD200</f>
        <v>76.286413655019302</v>
      </c>
      <c r="S200" s="1">
        <f>[1]节奏总纲!AE200</f>
        <v>78.353175388006179</v>
      </c>
      <c r="T200" s="1">
        <f>[1]节奏总纲!AF200</f>
        <v>81.315682892422942</v>
      </c>
      <c r="U200" s="1">
        <f>[1]节奏总纲!AG200</f>
        <v>85.82674580579372</v>
      </c>
      <c r="V200" s="1">
        <f>[1]节奏总纲!AH200</f>
        <v>95.296481471153683</v>
      </c>
      <c r="AN200" s="1">
        <v>197</v>
      </c>
      <c r="AO200" s="1">
        <f>[1]节奏总纲!BA200</f>
        <v>42.583701796562345</v>
      </c>
      <c r="AP200" s="1">
        <f>[1]节奏总纲!BB200</f>
        <v>44.100230468624183</v>
      </c>
      <c r="AQ200" s="1">
        <f>[1]节奏总纲!BC200</f>
        <v>46.047663263829847</v>
      </c>
      <c r="AR200" s="1">
        <f>[1]节奏总纲!BD200</f>
        <v>48.783881747368184</v>
      </c>
      <c r="AS200" s="1">
        <f>[1]节奏总纲!BE200</f>
        <v>53.481498147165112</v>
      </c>
    </row>
    <row r="201" spans="17:45" x14ac:dyDescent="0.15">
      <c r="Q201" s="1">
        <v>198</v>
      </c>
      <c r="R201" s="1">
        <f>[1]节奏总纲!AD201</f>
        <v>76.358227492534112</v>
      </c>
      <c r="S201" s="1">
        <f>[1]节奏总纲!AE201</f>
        <v>78.424420800876163</v>
      </c>
      <c r="T201" s="1">
        <f>[1]节奏总纲!AF201</f>
        <v>81.388656279337198</v>
      </c>
      <c r="U201" s="1">
        <f>[1]节奏总纲!AG201</f>
        <v>85.899101567595565</v>
      </c>
      <c r="V201" s="1">
        <f>[1]节奏总纲!AH201</f>
        <v>95.367832141957777</v>
      </c>
      <c r="AN201" s="1">
        <v>198</v>
      </c>
      <c r="AO201" s="1">
        <f>[1]节奏总纲!BA201</f>
        <v>42.618414551489408</v>
      </c>
      <c r="AP201" s="1">
        <f>[1]节奏总纲!BB201</f>
        <v>44.132549776504064</v>
      </c>
      <c r="AQ201" s="1">
        <f>[1]节奏总纲!BC201</f>
        <v>46.079770001861057</v>
      </c>
      <c r="AR201" s="1">
        <f>[1]节奏总纲!BD201</f>
        <v>48.819774747187417</v>
      </c>
      <c r="AS201" s="1">
        <f>[1]节奏总纲!BE201</f>
        <v>53.515962420198605</v>
      </c>
    </row>
    <row r="202" spans="17:45" x14ac:dyDescent="0.15">
      <c r="Q202" s="1">
        <v>199</v>
      </c>
      <c r="R202" s="1">
        <f>[1]节奏总纲!AD202</f>
        <v>76.430041330048923</v>
      </c>
      <c r="S202" s="1">
        <f>[1]节奏总纲!AE202</f>
        <v>78.495666213746148</v>
      </c>
      <c r="T202" s="1">
        <f>[1]节奏总纲!AF202</f>
        <v>81.461629666251454</v>
      </c>
      <c r="U202" s="1">
        <f>[1]节奏总纲!AG202</f>
        <v>85.97145732939741</v>
      </c>
      <c r="V202" s="1">
        <f>[1]节奏总纲!AH202</f>
        <v>95.439182812761885</v>
      </c>
      <c r="AN202" s="1">
        <v>199</v>
      </c>
      <c r="AO202" s="1">
        <f>[1]节奏总纲!BA202</f>
        <v>42.653127306416472</v>
      </c>
      <c r="AP202" s="1">
        <f>[1]节奏总纲!BB202</f>
        <v>44.164869084383938</v>
      </c>
      <c r="AQ202" s="1">
        <f>[1]节奏总纲!BC202</f>
        <v>46.111876739892267</v>
      </c>
      <c r="AR202" s="1">
        <f>[1]节奏总纲!BD202</f>
        <v>48.855667747006656</v>
      </c>
      <c r="AS202" s="1">
        <f>[1]节奏总纲!BE202</f>
        <v>53.55042669323209</v>
      </c>
    </row>
    <row r="203" spans="17:45" x14ac:dyDescent="0.15">
      <c r="Q203" s="1">
        <v>200</v>
      </c>
      <c r="R203" s="1">
        <f>[1]节奏总纲!AD203</f>
        <v>76.501855167563733</v>
      </c>
      <c r="S203" s="1">
        <f>[1]节奏总纲!AE203</f>
        <v>78.566911626616118</v>
      </c>
      <c r="T203" s="1">
        <f>[1]节奏总纲!AF203</f>
        <v>81.534603053165696</v>
      </c>
      <c r="U203" s="1">
        <f>[1]节奏总纲!AG203</f>
        <v>86.045919706798657</v>
      </c>
      <c r="V203" s="1">
        <f>[1]节奏总纲!AH203</f>
        <v>95.510533483565979</v>
      </c>
      <c r="AN203" s="1">
        <v>200</v>
      </c>
      <c r="AO203" s="1">
        <f>[1]节奏总纲!BA203</f>
        <v>42.687840061343536</v>
      </c>
      <c r="AP203" s="1">
        <f>[1]节奏总纲!BB203</f>
        <v>44.197188392263818</v>
      </c>
      <c r="AQ203" s="1">
        <f>[1]节奏总纲!BC203</f>
        <v>46.143983477923484</v>
      </c>
      <c r="AR203" s="1">
        <f>[1]节奏总纲!BD203</f>
        <v>48.891560746825888</v>
      </c>
      <c r="AS203" s="1">
        <f>[1]节奏总纲!BE203</f>
        <v>53.584890966265583</v>
      </c>
    </row>
    <row r="204" spans="17:45" x14ac:dyDescent="0.15">
      <c r="Q204" s="1">
        <v>201</v>
      </c>
      <c r="R204" s="1">
        <f>[1]节奏总纲!AD204</f>
        <v>76.573669005078543</v>
      </c>
      <c r="S204" s="1">
        <f>[1]节奏总纲!AE204</f>
        <v>78.638157039486103</v>
      </c>
      <c r="T204" s="1">
        <f>[1]节奏总纲!AF204</f>
        <v>81.607576440079953</v>
      </c>
      <c r="U204" s="1">
        <f>[1]节奏总纲!AG204</f>
        <v>86.121754469336281</v>
      </c>
      <c r="V204" s="1">
        <f>[1]节奏总纲!AH204</f>
        <v>95.581884154370087</v>
      </c>
      <c r="AN204" s="1">
        <v>201</v>
      </c>
      <c r="AO204" s="1">
        <f>[1]节奏总纲!BA204</f>
        <v>42.7225528162706</v>
      </c>
      <c r="AP204" s="1">
        <f>[1]节奏总纲!BB204</f>
        <v>44.229507700143699</v>
      </c>
      <c r="AQ204" s="1">
        <f>[1]节奏总纲!BC204</f>
        <v>46.176090215954694</v>
      </c>
      <c r="AR204" s="1">
        <f>[1]节奏总纲!BD204</f>
        <v>48.927453746645128</v>
      </c>
      <c r="AS204" s="1">
        <f>[1]节奏总纲!BE204</f>
        <v>53.619355239299068</v>
      </c>
    </row>
    <row r="205" spans="17:45" x14ac:dyDescent="0.15">
      <c r="Q205" s="1">
        <v>202</v>
      </c>
      <c r="R205" s="1">
        <f>[1]节奏总纲!AD205</f>
        <v>76.645482842593353</v>
      </c>
      <c r="S205" s="1">
        <f>[1]节奏总纲!AE205</f>
        <v>78.709402452356088</v>
      </c>
      <c r="T205" s="1">
        <f>[1]节奏总纲!AF205</f>
        <v>81.680549826994209</v>
      </c>
      <c r="U205" s="1">
        <f>[1]节奏总纲!AG205</f>
        <v>86.197589231873891</v>
      </c>
      <c r="V205" s="1">
        <f>[1]节奏总纲!AH205</f>
        <v>95.653234825174181</v>
      </c>
      <c r="AN205" s="1">
        <v>202</v>
      </c>
      <c r="AO205" s="1">
        <f>[1]节奏总纲!BA205</f>
        <v>42.757265571197664</v>
      </c>
      <c r="AP205" s="1">
        <f>[1]节奏总纲!BB205</f>
        <v>44.261827008023573</v>
      </c>
      <c r="AQ205" s="1">
        <f>[1]节奏总纲!BC205</f>
        <v>46.208196953985905</v>
      </c>
      <c r="AR205" s="1">
        <f>[1]节奏总纲!BD205</f>
        <v>48.96334674646436</v>
      </c>
      <c r="AS205" s="1">
        <f>[1]节奏总纲!BE205</f>
        <v>53.653819512332554</v>
      </c>
    </row>
    <row r="206" spans="17:45" x14ac:dyDescent="0.15">
      <c r="Q206" s="1">
        <v>203</v>
      </c>
      <c r="R206" s="1">
        <f>[1]节奏总纲!AD206</f>
        <v>76.717296680108163</v>
      </c>
      <c r="S206" s="1">
        <f>[1]节奏总纲!AE206</f>
        <v>78.780647865226058</v>
      </c>
      <c r="T206" s="1">
        <f>[1]节奏总纲!AF206</f>
        <v>81.753523213908451</v>
      </c>
      <c r="U206" s="1">
        <f>[1]节奏总纲!AG206</f>
        <v>86.273423994411502</v>
      </c>
      <c r="V206" s="1">
        <f>[1]节奏总纲!AH206</f>
        <v>95.724585495978289</v>
      </c>
      <c r="AN206" s="1">
        <v>203</v>
      </c>
      <c r="AO206" s="1">
        <f>[1]节奏总纲!BA206</f>
        <v>42.791978326124728</v>
      </c>
      <c r="AP206" s="1">
        <f>[1]节奏总纲!BB206</f>
        <v>44.294146315903454</v>
      </c>
      <c r="AQ206" s="1">
        <f>[1]节奏总纲!BC206</f>
        <v>46.240303692017122</v>
      </c>
      <c r="AR206" s="1">
        <f>[1]节奏总纲!BD206</f>
        <v>48.9992397462836</v>
      </c>
      <c r="AS206" s="1">
        <f>[1]节奏总纲!BE206</f>
        <v>53.688283785366046</v>
      </c>
    </row>
    <row r="207" spans="17:45" x14ac:dyDescent="0.15">
      <c r="Q207" s="1">
        <v>204</v>
      </c>
      <c r="R207" s="1">
        <f>[1]节奏总纲!AD207</f>
        <v>76.789110517622973</v>
      </c>
      <c r="S207" s="1">
        <f>[1]节奏总纲!AE207</f>
        <v>78.851893278096043</v>
      </c>
      <c r="T207" s="1">
        <f>[1]节奏总纲!AF207</f>
        <v>81.826496600822708</v>
      </c>
      <c r="U207" s="1">
        <f>[1]节奏总纲!AG207</f>
        <v>86.349258756949112</v>
      </c>
      <c r="V207" s="1">
        <f>[1]节奏总纲!AH207</f>
        <v>95.795936166782383</v>
      </c>
      <c r="AN207" s="1">
        <v>204</v>
      </c>
      <c r="AO207" s="1">
        <f>[1]节奏总纲!BA207</f>
        <v>42.826691081051791</v>
      </c>
      <c r="AP207" s="1">
        <f>[1]节奏总纲!BB207</f>
        <v>44.326465623783335</v>
      </c>
      <c r="AQ207" s="1">
        <f>[1]节奏总纲!BC207</f>
        <v>46.272410430048332</v>
      </c>
      <c r="AR207" s="1">
        <f>[1]节奏总纲!BD207</f>
        <v>49.030333272797542</v>
      </c>
      <c r="AS207" s="1">
        <f>[1]节奏总纲!BE207</f>
        <v>53.722748058399532</v>
      </c>
    </row>
    <row r="208" spans="17:45" x14ac:dyDescent="0.15">
      <c r="Q208" s="1">
        <v>205</v>
      </c>
      <c r="R208" s="1">
        <f>[1]节奏总纲!AD208</f>
        <v>76.860924355137783</v>
      </c>
      <c r="S208" s="1">
        <f>[1]节奏总纲!AE208</f>
        <v>78.923138690966013</v>
      </c>
      <c r="T208" s="1">
        <f>[1]节奏总纲!AF208</f>
        <v>81.899469987736964</v>
      </c>
      <c r="U208" s="1">
        <f>[1]节奏总纲!AG208</f>
        <v>86.425093519486722</v>
      </c>
      <c r="V208" s="1">
        <f>[1]节奏总纲!AH208</f>
        <v>95.867286837586477</v>
      </c>
      <c r="AN208" s="1">
        <v>205</v>
      </c>
      <c r="AO208" s="1">
        <f>[1]节奏总纲!BA208</f>
        <v>42.861403835978855</v>
      </c>
      <c r="AP208" s="1">
        <f>[1]节奏总纲!BB208</f>
        <v>44.358784931663209</v>
      </c>
      <c r="AQ208" s="1">
        <f>[1]节奏总纲!BC208</f>
        <v>46.304517168079542</v>
      </c>
      <c r="AR208" s="1">
        <f>[1]节奏总纲!BD208</f>
        <v>49.061322941292346</v>
      </c>
      <c r="AS208" s="1">
        <f>[1]节奏总纲!BE208</f>
        <v>53.757212331433024</v>
      </c>
    </row>
    <row r="209" spans="17:45" x14ac:dyDescent="0.15">
      <c r="Q209" s="1">
        <v>206</v>
      </c>
      <c r="R209" s="1">
        <f>[1]节奏总纲!AD209</f>
        <v>76.932738192652593</v>
      </c>
      <c r="S209" s="1">
        <f>[1]节奏总纲!AE209</f>
        <v>78.994384103835998</v>
      </c>
      <c r="T209" s="1">
        <f>[1]节奏总纲!AF209</f>
        <v>81.972443374651206</v>
      </c>
      <c r="U209" s="1">
        <f>[1]节奏总纲!AG209</f>
        <v>86.500928282024347</v>
      </c>
      <c r="V209" s="1">
        <f>[1]节奏总纲!AH209</f>
        <v>95.938637508390585</v>
      </c>
      <c r="AN209" s="1">
        <v>206</v>
      </c>
      <c r="AO209" s="1">
        <f>[1]节奏总纲!BA209</f>
        <v>42.896116590905919</v>
      </c>
      <c r="AP209" s="1">
        <f>[1]节奏总纲!BB209</f>
        <v>44.39110423954309</v>
      </c>
      <c r="AQ209" s="1">
        <f>[1]节奏总纲!BC209</f>
        <v>46.336623906110759</v>
      </c>
      <c r="AR209" s="1">
        <f>[1]节奏总纲!BD209</f>
        <v>49.09231260978715</v>
      </c>
      <c r="AS209" s="1">
        <f>[1]节奏总纲!BE209</f>
        <v>53.79167660446651</v>
      </c>
    </row>
    <row r="210" spans="17:45" x14ac:dyDescent="0.15">
      <c r="Q210" s="1">
        <v>207</v>
      </c>
      <c r="R210" s="1">
        <f>[1]节奏总纲!AD210</f>
        <v>77.004247194324648</v>
      </c>
      <c r="S210" s="1">
        <f>[1]节奏总纲!AE210</f>
        <v>79.061386416569832</v>
      </c>
      <c r="T210" s="1">
        <f>[1]节奏总纲!AF210</f>
        <v>82.041007317281839</v>
      </c>
      <c r="U210" s="1">
        <f>[1]节奏总纲!AG210</f>
        <v>86.576763044561957</v>
      </c>
      <c r="V210" s="1">
        <f>[1]节奏总纲!AH210</f>
        <v>96.008512635801992</v>
      </c>
      <c r="AN210" s="1">
        <v>207</v>
      </c>
      <c r="AO210" s="1">
        <f>[1]节奏总纲!BA210</f>
        <v>42.930829345832983</v>
      </c>
      <c r="AP210" s="1">
        <f>[1]节奏总纲!BB210</f>
        <v>44.423423547422971</v>
      </c>
      <c r="AQ210" s="1">
        <f>[1]节奏总纲!BC210</f>
        <v>46.368730644141969</v>
      </c>
      <c r="AR210" s="1">
        <f>[1]节奏总纲!BD210</f>
        <v>49.123302278281955</v>
      </c>
      <c r="AS210" s="1">
        <f>[1]节奏总纲!BE210</f>
        <v>53.826140877499995</v>
      </c>
    </row>
    <row r="211" spans="17:45" x14ac:dyDescent="0.15">
      <c r="Q211" s="1">
        <v>208</v>
      </c>
      <c r="R211" s="1">
        <f>[1]节奏总纲!AD211</f>
        <v>77.07125187397483</v>
      </c>
      <c r="S211" s="1">
        <f>[1]节奏总纲!AE211</f>
        <v>79.128025648620252</v>
      </c>
      <c r="T211" s="1">
        <f>[1]节奏总纲!AF211</f>
        <v>82.106895829081836</v>
      </c>
      <c r="U211" s="1">
        <f>[1]节奏总纲!AG211</f>
        <v>86.652597807099568</v>
      </c>
      <c r="V211" s="1">
        <f>[1]节奏总纲!AH211</f>
        <v>96.069322745727362</v>
      </c>
      <c r="AN211" s="1">
        <v>208</v>
      </c>
      <c r="AO211" s="1">
        <f>[1]节奏总纲!BA211</f>
        <v>42.965542100760054</v>
      </c>
      <c r="AP211" s="1">
        <f>[1]节奏总纲!BB211</f>
        <v>44.455742855302844</v>
      </c>
      <c r="AQ211" s="1">
        <f>[1]节奏总纲!BC211</f>
        <v>46.400837382173179</v>
      </c>
      <c r="AR211" s="1">
        <f>[1]节奏总纲!BD211</f>
        <v>49.154291946776759</v>
      </c>
      <c r="AS211" s="1">
        <f>[1]节奏总纲!BE211</f>
        <v>53.860605150533488</v>
      </c>
    </row>
    <row r="212" spans="17:45" x14ac:dyDescent="0.15">
      <c r="Q212" s="1">
        <v>209</v>
      </c>
      <c r="R212" s="1">
        <f>[1]节奏总纲!AD212</f>
        <v>77.138256553625013</v>
      </c>
      <c r="S212" s="1">
        <f>[1]节奏总纲!AE212</f>
        <v>79.194664880670672</v>
      </c>
      <c r="T212" s="1">
        <f>[1]节奏总纲!AF212</f>
        <v>82.172784340881819</v>
      </c>
      <c r="U212" s="1">
        <f>[1]节奏总纲!AG212</f>
        <v>86.728432569637178</v>
      </c>
      <c r="V212" s="1">
        <f>[1]节奏总纲!AH212</f>
        <v>96.130132855652732</v>
      </c>
      <c r="AN212" s="1">
        <v>209</v>
      </c>
      <c r="AO212" s="1">
        <f>[1]节奏总纲!BA212</f>
        <v>43.000219942361319</v>
      </c>
      <c r="AP212" s="1">
        <f>[1]节奏总纲!BB212</f>
        <v>44.488062163182725</v>
      </c>
      <c r="AQ212" s="1">
        <f>[1]节奏总纲!BC212</f>
        <v>46.432944120204397</v>
      </c>
      <c r="AR212" s="1">
        <f>[1]节奏总纲!BD212</f>
        <v>49.18528161527157</v>
      </c>
      <c r="AS212" s="1">
        <f>[1]节奏总纲!BE212</f>
        <v>53.895069423566973</v>
      </c>
    </row>
    <row r="213" spans="17:45" x14ac:dyDescent="0.15">
      <c r="Q213" s="1">
        <v>210</v>
      </c>
      <c r="R213" s="1">
        <f>[1]节奏总纲!AD213</f>
        <v>77.205261233275195</v>
      </c>
      <c r="S213" s="1">
        <f>[1]节奏总纲!AE213</f>
        <v>79.261304112721092</v>
      </c>
      <c r="T213" s="1">
        <f>[1]节奏总纲!AF213</f>
        <v>82.238672852681816</v>
      </c>
      <c r="U213" s="1">
        <f>[1]节奏总纲!AG213</f>
        <v>86.804267332174788</v>
      </c>
      <c r="V213" s="1">
        <f>[1]节奏总纲!AH213</f>
        <v>96.190942965578103</v>
      </c>
      <c r="AN213" s="1">
        <v>210</v>
      </c>
      <c r="AO213" s="1">
        <f>[1]节奏总纲!BA213</f>
        <v>43.030177309109042</v>
      </c>
      <c r="AP213" s="1">
        <f>[1]节奏总纲!BB213</f>
        <v>44.520381471062606</v>
      </c>
      <c r="AQ213" s="1">
        <f>[1]节奏总纲!BC213</f>
        <v>46.465050858235607</v>
      </c>
      <c r="AR213" s="1">
        <f>[1]节奏总纲!BD213</f>
        <v>49.216271283766375</v>
      </c>
      <c r="AS213" s="1">
        <f>[1]节奏总纲!BE213</f>
        <v>53.929533696600465</v>
      </c>
    </row>
    <row r="214" spans="17:45" x14ac:dyDescent="0.15">
      <c r="Q214" s="1">
        <v>211</v>
      </c>
      <c r="R214" s="1">
        <f>[1]节奏总纲!AD214</f>
        <v>77.272265912925377</v>
      </c>
      <c r="S214" s="1">
        <f>[1]节奏总纲!AE214</f>
        <v>79.327943344771512</v>
      </c>
      <c r="T214" s="1">
        <f>[1]节奏总纲!AF214</f>
        <v>82.304561364481813</v>
      </c>
      <c r="U214" s="1">
        <f>[1]节奏总纲!AG214</f>
        <v>86.880102094712413</v>
      </c>
      <c r="V214" s="1">
        <f>[1]节奏总纲!AH214</f>
        <v>96.251753075503458</v>
      </c>
      <c r="AN214" s="1">
        <v>211</v>
      </c>
      <c r="AO214" s="1">
        <f>[1]节奏总纲!BA214</f>
        <v>43.060134675856759</v>
      </c>
      <c r="AP214" s="1">
        <f>[1]节奏总纲!BB214</f>
        <v>44.55270077894248</v>
      </c>
      <c r="AQ214" s="1">
        <f>[1]节奏总纲!BC214</f>
        <v>46.497157596266817</v>
      </c>
      <c r="AR214" s="1">
        <f>[1]节奏总纲!BD214</f>
        <v>49.247260952261179</v>
      </c>
      <c r="AS214" s="1">
        <f>[1]节奏总纲!BE214</f>
        <v>53.963997969633951</v>
      </c>
    </row>
    <row r="215" spans="17:45" x14ac:dyDescent="0.15">
      <c r="Q215" s="1">
        <v>212</v>
      </c>
      <c r="R215" s="1">
        <f>[1]节奏总纲!AD215</f>
        <v>77.339270592575559</v>
      </c>
      <c r="S215" s="1">
        <f>[1]节奏总纲!AE215</f>
        <v>79.394582576821932</v>
      </c>
      <c r="T215" s="1">
        <f>[1]节奏总纲!AF215</f>
        <v>82.370449876281796</v>
      </c>
      <c r="U215" s="1">
        <f>[1]节奏总纲!AG215</f>
        <v>86.955936857250023</v>
      </c>
      <c r="V215" s="1">
        <f>[1]节奏总纲!AH215</f>
        <v>96.312563185428829</v>
      </c>
      <c r="AN215" s="1">
        <v>212</v>
      </c>
      <c r="AO215" s="1">
        <f>[1]节奏总纲!BA215</f>
        <v>43.090092042604475</v>
      </c>
      <c r="AP215" s="1">
        <f>[1]节奏总纲!BB215</f>
        <v>44.585020086822361</v>
      </c>
      <c r="AQ215" s="1">
        <f>[1]节奏总纲!BC215</f>
        <v>46.529264334298034</v>
      </c>
      <c r="AR215" s="1">
        <f>[1]节奏总纲!BD215</f>
        <v>49.278250620755983</v>
      </c>
      <c r="AS215" s="1">
        <f>[1]节奏总纲!BE215</f>
        <v>53.998462242667436</v>
      </c>
    </row>
    <row r="216" spans="17:45" x14ac:dyDescent="0.15">
      <c r="Q216" s="1">
        <v>213</v>
      </c>
      <c r="R216" s="1">
        <f>[1]节奏总纲!AD216</f>
        <v>77.406275272225741</v>
      </c>
      <c r="S216" s="1">
        <f>[1]节奏总纲!AE216</f>
        <v>79.461221808872352</v>
      </c>
      <c r="T216" s="1">
        <f>[1]节奏总纲!AF216</f>
        <v>82.436338388081793</v>
      </c>
      <c r="U216" s="1">
        <f>[1]节奏总纲!AG216</f>
        <v>87.031203567981635</v>
      </c>
      <c r="V216" s="1">
        <f>[1]节奏总纲!AH216</f>
        <v>96.373373295354199</v>
      </c>
      <c r="AN216" s="1">
        <v>213</v>
      </c>
      <c r="AO216" s="1">
        <f>[1]节奏总纲!BA216</f>
        <v>43.120049409352191</v>
      </c>
      <c r="AP216" s="1">
        <f>[1]节奏总纲!BB216</f>
        <v>44.617339394702242</v>
      </c>
      <c r="AQ216" s="1">
        <f>[1]节奏总纲!BC216</f>
        <v>46.561371072329244</v>
      </c>
      <c r="AR216" s="1">
        <f>[1]节奏总纲!BD216</f>
        <v>49.309240289250788</v>
      </c>
      <c r="AS216" s="1">
        <f>[1]节奏总纲!BE216</f>
        <v>54.028437871105552</v>
      </c>
    </row>
    <row r="217" spans="17:45" x14ac:dyDescent="0.15">
      <c r="Q217" s="1">
        <v>214</v>
      </c>
      <c r="R217" s="1">
        <f>[1]节奏总纲!AD217</f>
        <v>77.473279951875909</v>
      </c>
      <c r="S217" s="1">
        <f>[1]节奏总纲!AE217</f>
        <v>79.527861040922772</v>
      </c>
      <c r="T217" s="1">
        <f>[1]节奏总纲!AF217</f>
        <v>82.502226899881776</v>
      </c>
      <c r="U217" s="1">
        <f>[1]节奏总纲!AG217</f>
        <v>87.10568246405397</v>
      </c>
      <c r="V217" s="1">
        <f>[1]节奏总纲!AH217</f>
        <v>96.434183405279569</v>
      </c>
      <c r="AN217" s="1">
        <v>214</v>
      </c>
      <c r="AO217" s="1">
        <f>[1]节奏总纲!BA217</f>
        <v>43.150006776099914</v>
      </c>
      <c r="AP217" s="1">
        <f>[1]节奏总纲!BB217</f>
        <v>44.649658702582116</v>
      </c>
      <c r="AQ217" s="1">
        <f>[1]节奏总纲!BC217</f>
        <v>46.593477810360454</v>
      </c>
      <c r="AR217" s="1">
        <f>[1]节奏总纲!BD217</f>
        <v>49.340229957745592</v>
      </c>
      <c r="AS217" s="1">
        <f>[1]节奏总纲!BE217</f>
        <v>54.058203867701586</v>
      </c>
    </row>
    <row r="218" spans="17:45" x14ac:dyDescent="0.15">
      <c r="Q218" s="1">
        <v>215</v>
      </c>
      <c r="R218" s="1">
        <f>[1]节奏总纲!AD218</f>
        <v>77.540284631526092</v>
      </c>
      <c r="S218" s="1">
        <f>[1]节奏总纲!AE218</f>
        <v>79.594500272973193</v>
      </c>
      <c r="T218" s="1">
        <f>[1]节奏总纲!AF218</f>
        <v>82.568115411681774</v>
      </c>
      <c r="U218" s="1">
        <f>[1]节奏总纲!AG218</f>
        <v>87.180161360126306</v>
      </c>
      <c r="V218" s="1">
        <f>[1]节奏总纲!AH218</f>
        <v>96.494993515204939</v>
      </c>
      <c r="AN218" s="1">
        <v>215</v>
      </c>
      <c r="AO218" s="1">
        <f>[1]节奏总纲!BA218</f>
        <v>43.179964142847631</v>
      </c>
      <c r="AP218" s="1">
        <f>[1]节奏总纲!BB218</f>
        <v>44.681978010461997</v>
      </c>
      <c r="AQ218" s="1">
        <f>[1]节奏总纲!BC218</f>
        <v>46.625584548391664</v>
      </c>
      <c r="AR218" s="1">
        <f>[1]节奏总纲!BD218</f>
        <v>49.371219626240396</v>
      </c>
      <c r="AS218" s="1">
        <f>[1]节奏总纲!BE218</f>
        <v>54.087969864297619</v>
      </c>
    </row>
    <row r="219" spans="17:45" x14ac:dyDescent="0.15">
      <c r="Q219" s="1">
        <v>216</v>
      </c>
      <c r="R219" s="1">
        <f>[1]节奏总纲!AD219</f>
        <v>77.607289311176274</v>
      </c>
      <c r="S219" s="1">
        <f>[1]节奏总纲!AE219</f>
        <v>79.661139505023613</v>
      </c>
      <c r="T219" s="1">
        <f>[1]节奏总纲!AF219</f>
        <v>82.634003923481771</v>
      </c>
      <c r="U219" s="1">
        <f>[1]节奏总纲!AG219</f>
        <v>87.254640256198641</v>
      </c>
      <c r="V219" s="1">
        <f>[1]节奏总纲!AH219</f>
        <v>96.555803625130309</v>
      </c>
      <c r="AN219" s="1">
        <v>216</v>
      </c>
      <c r="AO219" s="1">
        <f>[1]节奏总纲!BA219</f>
        <v>43.209921509595347</v>
      </c>
      <c r="AP219" s="1">
        <f>[1]节奏总纲!BB219</f>
        <v>44.71429731834187</v>
      </c>
      <c r="AQ219" s="1">
        <f>[1]节奏总纲!BC219</f>
        <v>46.657691286422882</v>
      </c>
      <c r="AR219" s="1">
        <f>[1]节奏总纲!BD219</f>
        <v>49.402209294735208</v>
      </c>
      <c r="AS219" s="1">
        <f>[1]节奏总纲!BE219</f>
        <v>54.117735860893646</v>
      </c>
    </row>
    <row r="220" spans="17:45" x14ac:dyDescent="0.15">
      <c r="Q220" s="1">
        <v>217</v>
      </c>
      <c r="R220" s="1">
        <f>[1]节奏总纲!AD220</f>
        <v>77.674293990826456</v>
      </c>
      <c r="S220" s="1">
        <f>[1]节奏总纲!AE220</f>
        <v>79.727778737074033</v>
      </c>
      <c r="T220" s="1">
        <f>[1]节奏总纲!AF220</f>
        <v>82.699892435281754</v>
      </c>
      <c r="U220" s="1">
        <f>[1]节奏总纲!AG220</f>
        <v>87.329119152270991</v>
      </c>
      <c r="V220" s="1">
        <f>[1]节奏总纲!AH220</f>
        <v>96.61661373505568</v>
      </c>
      <c r="AN220" s="1">
        <v>217</v>
      </c>
      <c r="AO220" s="1">
        <f>[1]节奏总纲!BA220</f>
        <v>43.239878876343063</v>
      </c>
      <c r="AP220" s="1">
        <f>[1]节奏总纲!BB220</f>
        <v>44.746616626221751</v>
      </c>
      <c r="AQ220" s="1">
        <f>[1]节奏总纲!BC220</f>
        <v>46.689798024454092</v>
      </c>
      <c r="AR220" s="1">
        <f>[1]节奏总纲!BD220</f>
        <v>49.433198963230012</v>
      </c>
      <c r="AS220" s="1">
        <f>[1]节奏总纲!BE220</f>
        <v>54.147501857489679</v>
      </c>
    </row>
    <row r="221" spans="17:45" x14ac:dyDescent="0.15">
      <c r="Q221" s="1">
        <v>218</v>
      </c>
      <c r="R221" s="1">
        <f>[1]节奏总纲!AD221</f>
        <v>77.741298670476638</v>
      </c>
      <c r="S221" s="1">
        <f>[1]节奏总纲!AE221</f>
        <v>79.794417969124453</v>
      </c>
      <c r="T221" s="1">
        <f>[1]节奏总纲!AF221</f>
        <v>82.765780947081751</v>
      </c>
      <c r="U221" s="1">
        <f>[1]节奏总纲!AG221</f>
        <v>87.403598048343326</v>
      </c>
      <c r="V221" s="1">
        <f>[1]节奏总纲!AH221</f>
        <v>96.67742384498105</v>
      </c>
      <c r="AN221" s="1">
        <v>218</v>
      </c>
      <c r="AO221" s="1">
        <f>[1]节奏总纲!BA221</f>
        <v>43.269836243090786</v>
      </c>
      <c r="AP221" s="1">
        <f>[1]节奏总纲!BB221</f>
        <v>44.778935934101632</v>
      </c>
      <c r="AQ221" s="1">
        <f>[1]节奏总纲!BC221</f>
        <v>46.721904762485302</v>
      </c>
      <c r="AR221" s="1">
        <f>[1]节奏总纲!BD221</f>
        <v>49.464188631724817</v>
      </c>
      <c r="AS221" s="1">
        <f>[1]节奏总纲!BE221</f>
        <v>54.177267854085706</v>
      </c>
    </row>
    <row r="222" spans="17:45" x14ac:dyDescent="0.15">
      <c r="Q222" s="1">
        <v>219</v>
      </c>
      <c r="R222" s="1">
        <f>[1]节奏总纲!AD222</f>
        <v>77.80830335012682</v>
      </c>
      <c r="S222" s="1">
        <f>[1]节奏总纲!AE222</f>
        <v>79.861057201174873</v>
      </c>
      <c r="T222" s="1">
        <f>[1]节奏总纲!AF222</f>
        <v>82.831669458881734</v>
      </c>
      <c r="U222" s="1">
        <f>[1]节奏总纲!AG222</f>
        <v>87.478076944415662</v>
      </c>
      <c r="V222" s="1">
        <f>[1]节奏总纲!AH222</f>
        <v>96.73823395490642</v>
      </c>
      <c r="AN222" s="1">
        <v>219</v>
      </c>
      <c r="AO222" s="1">
        <f>[1]节奏总纲!BA222</f>
        <v>43.299793609838503</v>
      </c>
      <c r="AP222" s="1">
        <f>[1]节奏总纲!BB222</f>
        <v>44.811255241981506</v>
      </c>
      <c r="AQ222" s="1">
        <f>[1]节奏总纲!BC222</f>
        <v>46.754011500516519</v>
      </c>
      <c r="AR222" s="1">
        <f>[1]节奏总纲!BD222</f>
        <v>49.495178300219621</v>
      </c>
      <c r="AS222" s="1">
        <f>[1]节奏总纲!BE222</f>
        <v>54.207033850681739</v>
      </c>
    </row>
    <row r="223" spans="17:45" x14ac:dyDescent="0.15">
      <c r="Q223" s="1">
        <v>220</v>
      </c>
      <c r="R223" s="1">
        <f>[1]节奏总纲!AD223</f>
        <v>77.875308029777003</v>
      </c>
      <c r="S223" s="1">
        <f>[1]节奏总纲!AE223</f>
        <v>79.927696433225293</v>
      </c>
      <c r="T223" s="1">
        <f>[1]节奏总纲!AF223</f>
        <v>82.897557970681731</v>
      </c>
      <c r="U223" s="1">
        <f>[1]节奏总纲!AG223</f>
        <v>87.552555840488012</v>
      </c>
      <c r="V223" s="1">
        <f>[1]节奏总纲!AH223</f>
        <v>96.79904406483179</v>
      </c>
      <c r="AN223" s="1">
        <v>220</v>
      </c>
      <c r="AO223" s="1">
        <f>[1]节奏总纲!BA223</f>
        <v>43.329750976586219</v>
      </c>
      <c r="AP223" s="1">
        <f>[1]节奏总纲!BB223</f>
        <v>44.843574549861387</v>
      </c>
      <c r="AQ223" s="1">
        <f>[1]节奏总纲!BC223</f>
        <v>46.786118238547729</v>
      </c>
      <c r="AR223" s="1">
        <f>[1]节奏总纲!BD223</f>
        <v>49.526167968714425</v>
      </c>
      <c r="AS223" s="1">
        <f>[1]节奏总纲!BE223</f>
        <v>54.236799847277773</v>
      </c>
    </row>
    <row r="224" spans="17:45" x14ac:dyDescent="0.15">
      <c r="Q224" s="1">
        <v>221</v>
      </c>
      <c r="R224" s="1">
        <f>[1]节奏总纲!AD224</f>
        <v>77.942312709427185</v>
      </c>
      <c r="S224" s="1">
        <f>[1]节奏总纲!AE224</f>
        <v>79.994335665275713</v>
      </c>
      <c r="T224" s="1">
        <f>[1]节奏总纲!AF224</f>
        <v>82.963446482481729</v>
      </c>
      <c r="U224" s="1">
        <f>[1]节奏总纲!AG224</f>
        <v>87.627034736560347</v>
      </c>
      <c r="V224" s="1">
        <f>[1]节奏总纲!AH224</f>
        <v>96.85985417475716</v>
      </c>
      <c r="AN224" s="1">
        <v>221</v>
      </c>
      <c r="AO224" s="1">
        <f>[1]节奏总纲!BA224</f>
        <v>43.359708343333942</v>
      </c>
      <c r="AP224" s="1">
        <f>[1]节奏总纲!BB224</f>
        <v>44.875893857741268</v>
      </c>
      <c r="AQ224" s="1">
        <f>[1]节奏总纲!BC224</f>
        <v>46.818224976578939</v>
      </c>
      <c r="AR224" s="1">
        <f>[1]节奏总纲!BD224</f>
        <v>49.55715763720923</v>
      </c>
      <c r="AS224" s="1">
        <f>[1]节奏总纲!BE224</f>
        <v>54.266565843873799</v>
      </c>
    </row>
    <row r="225" spans="17:45" x14ac:dyDescent="0.15">
      <c r="Q225" s="1">
        <v>222</v>
      </c>
      <c r="R225" s="1">
        <f>[1]节奏总纲!AD225</f>
        <v>78.008693431404168</v>
      </c>
      <c r="S225" s="1">
        <f>[1]节奏总纲!AE225</f>
        <v>80.05990507131493</v>
      </c>
      <c r="T225" s="1">
        <f>[1]节奏总纲!AF225</f>
        <v>83.028328094754301</v>
      </c>
      <c r="U225" s="1">
        <f>[1]节奏总纲!AG225</f>
        <v>87.701513632632683</v>
      </c>
      <c r="V225" s="1">
        <f>[1]节奏总纲!AH225</f>
        <v>96.920664284682516</v>
      </c>
      <c r="AN225" s="1">
        <v>222</v>
      </c>
      <c r="AO225" s="1">
        <f>[1]节奏总纲!BA225</f>
        <v>43.389665710081658</v>
      </c>
      <c r="AP225" s="1">
        <f>[1]节奏总纲!BB225</f>
        <v>44.908213165621142</v>
      </c>
      <c r="AQ225" s="1">
        <f>[1]节奏总纲!BC225</f>
        <v>46.850331714610157</v>
      </c>
      <c r="AR225" s="1">
        <f>[1]节奏总纲!BD225</f>
        <v>49.588147305704041</v>
      </c>
      <c r="AS225" s="1">
        <f>[1]节奏总纲!BE225</f>
        <v>54.296331840469833</v>
      </c>
    </row>
    <row r="226" spans="17:45" x14ac:dyDescent="0.15">
      <c r="Q226" s="1">
        <v>223</v>
      </c>
      <c r="R226" s="1">
        <f>[1]节奏总纲!AD226</f>
        <v>78.071211008105138</v>
      </c>
      <c r="S226" s="1">
        <f>[1]节奏总纲!AE226</f>
        <v>80.125375094609936</v>
      </c>
      <c r="T226" s="1">
        <f>[1]节奏总纲!AF226</f>
        <v>83.091955037632331</v>
      </c>
      <c r="U226" s="1">
        <f>[1]节奏总纲!AG226</f>
        <v>87.775992528705018</v>
      </c>
      <c r="V226" s="1">
        <f>[1]节奏总纲!AH226</f>
        <v>96.981474394607886</v>
      </c>
      <c r="AN226" s="1">
        <v>223</v>
      </c>
      <c r="AO226" s="1">
        <f>[1]节奏总纲!BA226</f>
        <v>43.419623076829374</v>
      </c>
      <c r="AP226" s="1">
        <f>[1]节奏总纲!BB226</f>
        <v>44.940532473501023</v>
      </c>
      <c r="AQ226" s="1">
        <f>[1]节奏总纲!BC226</f>
        <v>46.882438452641367</v>
      </c>
      <c r="AR226" s="1">
        <f>[1]节奏总纲!BD226</f>
        <v>49.619136974198845</v>
      </c>
      <c r="AS226" s="1">
        <f>[1]节奏总纲!BE226</f>
        <v>54.326097837065859</v>
      </c>
    </row>
    <row r="227" spans="17:45" x14ac:dyDescent="0.15">
      <c r="Q227" s="1">
        <v>224</v>
      </c>
      <c r="R227" s="1">
        <f>[1]节奏总纲!AD227</f>
        <v>78.133728584806107</v>
      </c>
      <c r="S227" s="1">
        <f>[1]节奏总纲!AE227</f>
        <v>80.190845117904942</v>
      </c>
      <c r="T227" s="1">
        <f>[1]节奏总纲!AF227</f>
        <v>83.155581980510348</v>
      </c>
      <c r="U227" s="1">
        <f>[1]节奏总纲!AG227</f>
        <v>87.850471424777368</v>
      </c>
      <c r="V227" s="1">
        <f>[1]节奏总纲!AH227</f>
        <v>97.03979962522213</v>
      </c>
      <c r="AN227" s="1">
        <v>224</v>
      </c>
      <c r="AO227" s="1">
        <f>[1]节奏总纲!BA227</f>
        <v>43.449580443577091</v>
      </c>
      <c r="AP227" s="1">
        <f>[1]节奏总纲!BB227</f>
        <v>44.972851781380903</v>
      </c>
      <c r="AQ227" s="1">
        <f>[1]节奏总纲!BC227</f>
        <v>46.914545190672577</v>
      </c>
      <c r="AR227" s="1">
        <f>[1]节奏总纲!BD227</f>
        <v>49.65012664269365</v>
      </c>
      <c r="AS227" s="1">
        <f>[1]节奏总纲!BE227</f>
        <v>54.355863833661893</v>
      </c>
    </row>
    <row r="228" spans="17:45" x14ac:dyDescent="0.15">
      <c r="Q228" s="1">
        <v>225</v>
      </c>
      <c r="R228" s="1">
        <f>[1]节奏总纲!AD228</f>
        <v>78.196246161507091</v>
      </c>
      <c r="S228" s="1">
        <f>[1]节奏总纲!AE228</f>
        <v>80.256315141199948</v>
      </c>
      <c r="T228" s="1">
        <f>[1]节奏总纲!AF228</f>
        <v>83.219208923388379</v>
      </c>
      <c r="U228" s="1">
        <f>[1]节奏总纲!AG228</f>
        <v>87.924950320849703</v>
      </c>
      <c r="V228" s="1">
        <f>[1]节奏总纲!AH228</f>
        <v>97.097036185315744</v>
      </c>
      <c r="AN228" s="1">
        <v>225</v>
      </c>
      <c r="AO228" s="1">
        <f>[1]节奏总纲!BA228</f>
        <v>43.479537810324814</v>
      </c>
      <c r="AP228" s="1">
        <f>[1]节奏总纲!BB228</f>
        <v>45.004463376644416</v>
      </c>
      <c r="AQ228" s="1">
        <f>[1]节奏总纲!BC228</f>
        <v>46.946651928703794</v>
      </c>
      <c r="AR228" s="1">
        <f>[1]节奏总纲!BD228</f>
        <v>49.681116311188454</v>
      </c>
      <c r="AS228" s="1">
        <f>[1]节奏总纲!BE228</f>
        <v>54.385629830257926</v>
      </c>
    </row>
    <row r="229" spans="17:45" x14ac:dyDescent="0.15">
      <c r="Q229" s="1">
        <v>226</v>
      </c>
      <c r="R229" s="1">
        <f>[1]节奏总纲!AD229</f>
        <v>78.25876373820806</v>
      </c>
      <c r="S229" s="1">
        <f>[1]节奏总纲!AE229</f>
        <v>80.321785164494941</v>
      </c>
      <c r="T229" s="1">
        <f>[1]节奏总纲!AF229</f>
        <v>83.282835866266396</v>
      </c>
      <c r="U229" s="1">
        <f>[1]节奏总纲!AG229</f>
        <v>87.999429216922039</v>
      </c>
      <c r="V229" s="1">
        <f>[1]节奏总纲!AH229</f>
        <v>97.154272745409358</v>
      </c>
      <c r="AN229" s="1">
        <v>226</v>
      </c>
      <c r="AO229" s="1">
        <f>[1]节奏总纲!BA229</f>
        <v>43.50949517707253</v>
      </c>
      <c r="AP229" s="1">
        <f>[1]节奏总纲!BB229</f>
        <v>45.032359480672049</v>
      </c>
      <c r="AQ229" s="1">
        <f>[1]节奏总纲!BC229</f>
        <v>46.978758666735004</v>
      </c>
      <c r="AR229" s="1">
        <f>[1]节奏总纲!BD229</f>
        <v>49.712105979683258</v>
      </c>
      <c r="AS229" s="1">
        <f>[1]节奏总纲!BE229</f>
        <v>54.415395826853953</v>
      </c>
    </row>
    <row r="230" spans="17:45" x14ac:dyDescent="0.15">
      <c r="Q230" s="1">
        <v>227</v>
      </c>
      <c r="R230" s="1">
        <f>[1]节奏总纲!AD230</f>
        <v>78.321281314909029</v>
      </c>
      <c r="S230" s="1">
        <f>[1]节奏总纲!AE230</f>
        <v>80.387255187789947</v>
      </c>
      <c r="T230" s="1">
        <f>[1]节奏总纲!AF230</f>
        <v>83.346462809144427</v>
      </c>
      <c r="U230" s="1">
        <f>[1]节奏总纲!AG230</f>
        <v>88.069378113045531</v>
      </c>
      <c r="V230" s="1">
        <f>[1]节奏总纲!AH230</f>
        <v>97.211509305502972</v>
      </c>
      <c r="AN230" s="1">
        <v>227</v>
      </c>
      <c r="AO230" s="1">
        <f>[1]节奏总纲!BA230</f>
        <v>43.539452543820246</v>
      </c>
      <c r="AP230" s="1">
        <f>[1]节奏总纲!BB230</f>
        <v>45.060255584699682</v>
      </c>
      <c r="AQ230" s="1">
        <f>[1]节奏总纲!BC230</f>
        <v>47.009379755645142</v>
      </c>
      <c r="AR230" s="1">
        <f>[1]节奏总纲!BD230</f>
        <v>49.743095648178063</v>
      </c>
      <c r="AS230" s="1">
        <f>[1]节奏总纲!BE230</f>
        <v>54.445161823449986</v>
      </c>
    </row>
    <row r="231" spans="17:45" x14ac:dyDescent="0.15">
      <c r="Q231" s="1">
        <v>228</v>
      </c>
      <c r="R231" s="1">
        <f>[1]节奏总纲!AD231</f>
        <v>78.383798891610013</v>
      </c>
      <c r="S231" s="1">
        <f>[1]节奏总纲!AE231</f>
        <v>80.452725211084953</v>
      </c>
      <c r="T231" s="1">
        <f>[1]节奏总纲!AF231</f>
        <v>83.410089752022458</v>
      </c>
      <c r="U231" s="1">
        <f>[1]节奏总纲!AG231</f>
        <v>88.139292024548126</v>
      </c>
      <c r="V231" s="1">
        <f>[1]节奏总纲!AH231</f>
        <v>97.268745865596571</v>
      </c>
      <c r="AN231" s="1">
        <v>228</v>
      </c>
      <c r="AO231" s="1">
        <f>[1]节奏总纲!BA231</f>
        <v>43.569409910567963</v>
      </c>
      <c r="AP231" s="1">
        <f>[1]节奏总纲!BB231</f>
        <v>45.088151688727308</v>
      </c>
      <c r="AQ231" s="1">
        <f>[1]节奏总纲!BC231</f>
        <v>47.037096473409001</v>
      </c>
      <c r="AR231" s="1">
        <f>[1]节奏总纲!BD231</f>
        <v>49.774085316672867</v>
      </c>
      <c r="AS231" s="1">
        <f>[1]节奏总纲!BE231</f>
        <v>54.47492782004602</v>
      </c>
    </row>
    <row r="232" spans="17:45" x14ac:dyDescent="0.15">
      <c r="Q232" s="1">
        <v>229</v>
      </c>
      <c r="R232" s="1">
        <f>[1]节奏总纲!AD232</f>
        <v>78.446316468310982</v>
      </c>
      <c r="S232" s="1">
        <f>[1]节奏总纲!AE232</f>
        <v>80.518195234379959</v>
      </c>
      <c r="T232" s="1">
        <f>[1]节奏总纲!AF232</f>
        <v>83.473716694900475</v>
      </c>
      <c r="U232" s="1">
        <f>[1]节奏总纲!AG232</f>
        <v>88.209205936050708</v>
      </c>
      <c r="V232" s="1">
        <f>[1]节奏总纲!AH232</f>
        <v>97.325982425690185</v>
      </c>
      <c r="AN232" s="1">
        <v>229</v>
      </c>
      <c r="AO232" s="1">
        <f>[1]节奏总纲!BA232</f>
        <v>43.599367277315686</v>
      </c>
      <c r="AP232" s="1">
        <f>[1]节奏总纲!BB232</f>
        <v>45.116047792754941</v>
      </c>
      <c r="AQ232" s="1">
        <f>[1]节奏总纲!BC232</f>
        <v>47.06481319117286</v>
      </c>
      <c r="AR232" s="1">
        <f>[1]节奏总纲!BD232</f>
        <v>49.805074985167678</v>
      </c>
      <c r="AS232" s="1">
        <f>[1]节奏总纲!BE232</f>
        <v>54.504693816642046</v>
      </c>
    </row>
    <row r="233" spans="17:45" x14ac:dyDescent="0.15">
      <c r="Q233" s="1">
        <v>230</v>
      </c>
      <c r="R233" s="1">
        <f>[1]节奏总纲!AD233</f>
        <v>78.508834045011952</v>
      </c>
      <c r="S233" s="1">
        <f>[1]节奏总纲!AE233</f>
        <v>80.583665257674966</v>
      </c>
      <c r="T233" s="1">
        <f>[1]节奏总纲!AF233</f>
        <v>83.537343637778505</v>
      </c>
      <c r="U233" s="1">
        <f>[1]节奏总纲!AG233</f>
        <v>88.279119847553304</v>
      </c>
      <c r="V233" s="1">
        <f>[1]节奏总纲!AH233</f>
        <v>97.383218985783799</v>
      </c>
      <c r="AN233" s="1">
        <v>230</v>
      </c>
      <c r="AO233" s="1">
        <f>[1]节奏总纲!BA233</f>
        <v>43.629324644063402</v>
      </c>
      <c r="AP233" s="1">
        <f>[1]节奏总纲!BB233</f>
        <v>45.143943896782567</v>
      </c>
      <c r="AQ233" s="1">
        <f>[1]节奏总纲!BC233</f>
        <v>47.092529908936719</v>
      </c>
      <c r="AR233" s="1">
        <f>[1]节奏总纲!BD233</f>
        <v>49.836064653662483</v>
      </c>
      <c r="AS233" s="1">
        <f>[1]节奏总纲!BE233</f>
        <v>54.53445981323808</v>
      </c>
    </row>
    <row r="234" spans="17:45" x14ac:dyDescent="0.15">
      <c r="Q234" s="1">
        <v>231</v>
      </c>
      <c r="R234" s="1">
        <f>[1]节奏总纲!AD234</f>
        <v>78.571351621712921</v>
      </c>
      <c r="S234" s="1">
        <f>[1]节奏总纲!AE234</f>
        <v>80.649135280969972</v>
      </c>
      <c r="T234" s="1">
        <f>[1]节奏总纲!AF234</f>
        <v>83.600970580656536</v>
      </c>
      <c r="U234" s="1">
        <f>[1]节奏总纲!AG234</f>
        <v>88.349033759055899</v>
      </c>
      <c r="V234" s="1">
        <f>[1]节奏总纲!AH234</f>
        <v>97.440455545877413</v>
      </c>
      <c r="AN234" s="1">
        <v>231</v>
      </c>
      <c r="AO234" s="1">
        <f>[1]节奏总纲!BA234</f>
        <v>43.659282010811118</v>
      </c>
      <c r="AP234" s="1">
        <f>[1]节奏总纲!BB234</f>
        <v>45.171840000810199</v>
      </c>
      <c r="AQ234" s="1">
        <f>[1]节奏总纲!BC234</f>
        <v>47.120246626700578</v>
      </c>
      <c r="AR234" s="1">
        <f>[1]节奏总纲!BD234</f>
        <v>49.867054322157287</v>
      </c>
      <c r="AS234" s="1">
        <f>[1]节奏总纲!BE234</f>
        <v>54.564225809834106</v>
      </c>
    </row>
    <row r="235" spans="17:45" x14ac:dyDescent="0.15">
      <c r="Q235" s="1">
        <v>232</v>
      </c>
      <c r="R235" s="1">
        <f>[1]节奏总纲!AD235</f>
        <v>78.633869198413905</v>
      </c>
      <c r="S235" s="1">
        <f>[1]节奏总纲!AE235</f>
        <v>80.714605304264978</v>
      </c>
      <c r="T235" s="1">
        <f>[1]节奏总纲!AF235</f>
        <v>83.664597523534553</v>
      </c>
      <c r="U235" s="1">
        <f>[1]节奏总纲!AG235</f>
        <v>88.418947670558495</v>
      </c>
      <c r="V235" s="1">
        <f>[1]节奏总纲!AH235</f>
        <v>97.497692105971026</v>
      </c>
      <c r="AN235" s="1">
        <v>232</v>
      </c>
      <c r="AO235" s="1">
        <f>[1]节奏总纲!BA235</f>
        <v>43.689239377558835</v>
      </c>
      <c r="AP235" s="1">
        <f>[1]节奏总纲!BB235</f>
        <v>45.199736104837825</v>
      </c>
      <c r="AQ235" s="1">
        <f>[1]节奏总纲!BC235</f>
        <v>47.147963344464429</v>
      </c>
      <c r="AR235" s="1">
        <f>[1]节奏总纲!BD235</f>
        <v>49.898043990652091</v>
      </c>
      <c r="AS235" s="1">
        <f>[1]节奏总纲!BE235</f>
        <v>54.593991806430139</v>
      </c>
    </row>
    <row r="236" spans="17:45" x14ac:dyDescent="0.15">
      <c r="Q236" s="1">
        <v>233</v>
      </c>
      <c r="R236" s="1">
        <f>[1]节奏总纲!AD236</f>
        <v>78.696386775114874</v>
      </c>
      <c r="S236" s="1">
        <f>[1]节奏总纲!AE236</f>
        <v>80.78007532755997</v>
      </c>
      <c r="T236" s="1">
        <f>[1]节奏总纲!AF236</f>
        <v>83.728224466412584</v>
      </c>
      <c r="U236" s="1">
        <f>[1]节奏总纲!AG236</f>
        <v>88.488861582061077</v>
      </c>
      <c r="V236" s="1">
        <f>[1]节奏总纲!AH236</f>
        <v>97.554928666064626</v>
      </c>
      <c r="AN236" s="1">
        <v>233</v>
      </c>
      <c r="AO236" s="1">
        <f>[1]节奏总纲!BA236</f>
        <v>43.719196744306558</v>
      </c>
      <c r="AP236" s="1">
        <f>[1]节奏总纲!BB236</f>
        <v>45.227632208865458</v>
      </c>
      <c r="AQ236" s="1">
        <f>[1]节奏总纲!BC236</f>
        <v>47.175680062228288</v>
      </c>
      <c r="AR236" s="1">
        <f>[1]节奏总纲!BD236</f>
        <v>49.929033659146896</v>
      </c>
      <c r="AS236" s="1">
        <f>[1]节奏总纲!BE236</f>
        <v>54.623757803026173</v>
      </c>
    </row>
    <row r="237" spans="17:45" x14ac:dyDescent="0.15">
      <c r="Q237" s="1">
        <v>234</v>
      </c>
      <c r="R237" s="1">
        <f>[1]节奏总纲!AD237</f>
        <v>78.758904351815843</v>
      </c>
      <c r="S237" s="1">
        <f>[1]节奏总纲!AE237</f>
        <v>80.845545350854977</v>
      </c>
      <c r="T237" s="1">
        <f>[1]节奏总纲!AF237</f>
        <v>83.791851409290615</v>
      </c>
      <c r="U237" s="1">
        <f>[1]节奏总纲!AG237</f>
        <v>88.558775493563672</v>
      </c>
      <c r="V237" s="1">
        <f>[1]节奏总纲!AH237</f>
        <v>97.61216522615824</v>
      </c>
      <c r="AN237" s="1">
        <v>234</v>
      </c>
      <c r="AO237" s="1">
        <f>[1]节奏总纲!BA237</f>
        <v>43.749154111054274</v>
      </c>
      <c r="AP237" s="1">
        <f>[1]节奏总纲!BB237</f>
        <v>45.255528312893091</v>
      </c>
      <c r="AQ237" s="1">
        <f>[1]节奏总纲!BC237</f>
        <v>47.203396779992147</v>
      </c>
      <c r="AR237" s="1">
        <f>[1]节奏总纲!BD237</f>
        <v>49.9600233276417</v>
      </c>
      <c r="AS237" s="1">
        <f>[1]节奏总纲!BE237</f>
        <v>54.653523799622199</v>
      </c>
    </row>
    <row r="238" spans="17:45" x14ac:dyDescent="0.15">
      <c r="Q238" s="1">
        <v>235</v>
      </c>
      <c r="R238" s="1">
        <f>[1]节奏总纲!AD238</f>
        <v>78.821421928516827</v>
      </c>
      <c r="S238" s="1">
        <f>[1]节奏总纲!AE238</f>
        <v>80.911015374149983</v>
      </c>
      <c r="T238" s="1">
        <f>[1]节奏总纲!AF238</f>
        <v>83.855478352168632</v>
      </c>
      <c r="U238" s="1">
        <f>[1]节奏总纲!AG238</f>
        <v>88.628689405066268</v>
      </c>
      <c r="V238" s="1">
        <f>[1]节奏总纲!AH238</f>
        <v>97.669401786251854</v>
      </c>
      <c r="AN238" s="1">
        <v>235</v>
      </c>
      <c r="AO238" s="1">
        <f>[1]节奏总纲!BA238</f>
        <v>43.77911147780199</v>
      </c>
      <c r="AP238" s="1">
        <f>[1]节奏总纲!BB238</f>
        <v>45.283424416920717</v>
      </c>
      <c r="AQ238" s="1">
        <f>[1]节奏总纲!BC238</f>
        <v>47.231113497756006</v>
      </c>
      <c r="AR238" s="1">
        <f>[1]节奏总纲!BD238</f>
        <v>49.991012996136504</v>
      </c>
      <c r="AS238" s="1">
        <f>[1]节奏总纲!BE238</f>
        <v>54.683289796218233</v>
      </c>
    </row>
    <row r="239" spans="17:45" x14ac:dyDescent="0.15">
      <c r="Q239" s="1">
        <v>236</v>
      </c>
      <c r="R239" s="1">
        <f>[1]节奏总纲!AD239</f>
        <v>78.883939505217796</v>
      </c>
      <c r="S239" s="1">
        <f>[1]节奏总纲!AE239</f>
        <v>80.976485397444989</v>
      </c>
      <c r="T239" s="1">
        <f>[1]节奏总纲!AF239</f>
        <v>83.919105295046663</v>
      </c>
      <c r="U239" s="1">
        <f>[1]节奏总纲!AG239</f>
        <v>88.698603316568864</v>
      </c>
      <c r="V239" s="1">
        <f>[1]节奏总纲!AH239</f>
        <v>97.726638346345467</v>
      </c>
      <c r="AN239" s="1">
        <v>236</v>
      </c>
      <c r="AO239" s="1">
        <f>[1]节奏总纲!BA239</f>
        <v>43.809068844549707</v>
      </c>
      <c r="AP239" s="1">
        <f>[1]节奏总纲!BB239</f>
        <v>45.31132052094835</v>
      </c>
      <c r="AQ239" s="1">
        <f>[1]节奏总纲!BC239</f>
        <v>47.258830215519865</v>
      </c>
      <c r="AR239" s="1">
        <f>[1]节奏总纲!BD239</f>
        <v>50.018998195299922</v>
      </c>
      <c r="AS239" s="1">
        <f>[1]节奏总纲!BE239</f>
        <v>54.713055792814259</v>
      </c>
    </row>
    <row r="240" spans="17:45" x14ac:dyDescent="0.15">
      <c r="Q240" s="1">
        <v>237</v>
      </c>
      <c r="R240" s="1">
        <f>[1]节奏总纲!AD240</f>
        <v>78.946457081918766</v>
      </c>
      <c r="S240" s="1">
        <f>[1]节奏总纲!AE240</f>
        <v>81.038163244467697</v>
      </c>
      <c r="T240" s="1">
        <f>[1]节奏总纲!AF240</f>
        <v>83.982732237924694</v>
      </c>
      <c r="U240" s="1">
        <f>[1]节奏总纲!AG240</f>
        <v>88.768517228071445</v>
      </c>
      <c r="V240" s="1">
        <f>[1]节奏总纲!AH240</f>
        <v>97.783874906439081</v>
      </c>
      <c r="AN240" s="1">
        <v>237</v>
      </c>
      <c r="AO240" s="1">
        <f>[1]节奏总纲!BA240</f>
        <v>43.83902621129743</v>
      </c>
      <c r="AP240" s="1">
        <f>[1]节奏总纲!BB240</f>
        <v>45.339216624975975</v>
      </c>
      <c r="AQ240" s="1">
        <f>[1]节奏总纲!BC240</f>
        <v>47.286546933283724</v>
      </c>
      <c r="AR240" s="1">
        <f>[1]节奏总纲!BD240</f>
        <v>50.045756216849099</v>
      </c>
      <c r="AS240" s="1">
        <f>[1]节奏总纲!BE240</f>
        <v>54.742821789410293</v>
      </c>
    </row>
    <row r="241" spans="17:45" x14ac:dyDescent="0.15">
      <c r="Q241" s="1">
        <v>238</v>
      </c>
      <c r="R241" s="1">
        <f>[1]节奏总纲!AD241</f>
        <v>79.008373652580005</v>
      </c>
      <c r="S241" s="1">
        <f>[1]节奏总纲!AE241</f>
        <v>81.097715704203424</v>
      </c>
      <c r="T241" s="1">
        <f>[1]节奏总纲!AF241</f>
        <v>84.043767921022209</v>
      </c>
      <c r="U241" s="1">
        <f>[1]节奏总纲!AG241</f>
        <v>88.838431139574041</v>
      </c>
      <c r="V241" s="1">
        <f>[1]节奏总纲!AH241</f>
        <v>97.841111466532681</v>
      </c>
      <c r="AN241" s="1">
        <v>238</v>
      </c>
      <c r="AO241" s="1">
        <f>[1]节奏总纲!BA241</f>
        <v>43.868983578045146</v>
      </c>
      <c r="AP241" s="1">
        <f>[1]节奏总纲!BB241</f>
        <v>45.367112729003608</v>
      </c>
      <c r="AQ241" s="1">
        <f>[1]节奏总纲!BC241</f>
        <v>47.314263651047582</v>
      </c>
      <c r="AR241" s="1">
        <f>[1]节奏总纲!BD241</f>
        <v>50.072514238398277</v>
      </c>
      <c r="AS241" s="1">
        <f>[1]节奏总纲!BE241</f>
        <v>54.772587786006326</v>
      </c>
    </row>
    <row r="242" spans="17:45" x14ac:dyDescent="0.15">
      <c r="Q242" s="1">
        <v>239</v>
      </c>
      <c r="R242" s="1">
        <f>[1]节奏总纲!AD242</f>
        <v>79.066704614192943</v>
      </c>
      <c r="S242" s="1">
        <f>[1]节奏总纲!AE242</f>
        <v>81.157268163939136</v>
      </c>
      <c r="T242" s="1">
        <f>[1]节奏总纲!AF242</f>
        <v>84.103838417578672</v>
      </c>
      <c r="U242" s="1">
        <f>[1]节奏总纲!AG242</f>
        <v>88.908345051076637</v>
      </c>
      <c r="V242" s="1">
        <f>[1]节奏总纲!AH242</f>
        <v>97.898348026626294</v>
      </c>
      <c r="AN242" s="1">
        <v>239</v>
      </c>
      <c r="AO242" s="1">
        <f>[1]节奏总纲!BA242</f>
        <v>43.898940944792862</v>
      </c>
      <c r="AP242" s="1">
        <f>[1]节奏总纲!BB242</f>
        <v>45.395008833031234</v>
      </c>
      <c r="AQ242" s="1">
        <f>[1]节奏总纲!BC242</f>
        <v>47.341980368811441</v>
      </c>
      <c r="AR242" s="1">
        <f>[1]节奏总纲!BD242</f>
        <v>50.099272259947462</v>
      </c>
      <c r="AS242" s="1">
        <f>[1]节奏总纲!BE242</f>
        <v>54.802353782602353</v>
      </c>
    </row>
    <row r="243" spans="17:45" x14ac:dyDescent="0.15">
      <c r="Q243" s="1">
        <v>240</v>
      </c>
      <c r="R243" s="1">
        <f>[1]节奏总纲!AD243</f>
        <v>79.125035575805882</v>
      </c>
      <c r="S243" s="1">
        <f>[1]节奏总纲!AE243</f>
        <v>81.216820623674849</v>
      </c>
      <c r="T243" s="1">
        <f>[1]节奏总纲!AF243</f>
        <v>84.163908914135135</v>
      </c>
      <c r="U243" s="1">
        <f>[1]节奏总纲!AG243</f>
        <v>88.978258962579233</v>
      </c>
      <c r="V243" s="1">
        <f>[1]节奏总纲!AH243</f>
        <v>97.955584586719908</v>
      </c>
      <c r="AN243" s="1">
        <v>240</v>
      </c>
      <c r="AO243" s="1">
        <f>[1]节奏总纲!BA243</f>
        <v>43.928898311540586</v>
      </c>
      <c r="AP243" s="1">
        <f>[1]节奏总纲!BB243</f>
        <v>45.422904937058867</v>
      </c>
      <c r="AQ243" s="1">
        <f>[1]节奏总纲!BC243</f>
        <v>47.3696970865753</v>
      </c>
      <c r="AR243" s="1">
        <f>[1]节奏总纲!BD243</f>
        <v>50.126030281496639</v>
      </c>
      <c r="AS243" s="1">
        <f>[1]节奏总纲!BE243</f>
        <v>54.832119779198386</v>
      </c>
    </row>
    <row r="244" spans="17:45" x14ac:dyDescent="0.15">
      <c r="Q244" s="1">
        <v>241</v>
      </c>
      <c r="R244" s="1">
        <f>[1]节奏总纲!AD244</f>
        <v>79.18336653741882</v>
      </c>
      <c r="S244" s="1">
        <f>[1]节奏总纲!AE244</f>
        <v>81.276373083410562</v>
      </c>
      <c r="T244" s="1">
        <f>[1]节奏总纲!AF244</f>
        <v>84.223979410691598</v>
      </c>
      <c r="U244" s="1">
        <f>[1]节奏总纲!AG244</f>
        <v>89.047272179270863</v>
      </c>
      <c r="V244" s="1">
        <f>[1]节奏总纲!AH244</f>
        <v>98.013314854852808</v>
      </c>
      <c r="AN244" s="1">
        <v>241</v>
      </c>
      <c r="AO244" s="1">
        <f>[1]节奏总纲!BA244</f>
        <v>43.958855678288302</v>
      </c>
      <c r="AP244" s="1">
        <f>[1]节奏总纲!BB244</f>
        <v>45.450801041086493</v>
      </c>
      <c r="AQ244" s="1">
        <f>[1]节奏总纲!BC244</f>
        <v>47.397413804339159</v>
      </c>
      <c r="AR244" s="1">
        <f>[1]节奏总纲!BD244</f>
        <v>50.152788303045817</v>
      </c>
      <c r="AS244" s="1">
        <f>[1]节奏总纲!BE244</f>
        <v>54.86188577579442</v>
      </c>
    </row>
    <row r="245" spans="17:45" x14ac:dyDescent="0.15">
      <c r="Q245" s="1">
        <v>242</v>
      </c>
      <c r="R245" s="1">
        <f>[1]节奏总纲!AD245</f>
        <v>79.241697499031773</v>
      </c>
      <c r="S245" s="1">
        <f>[1]节奏总纲!AE245</f>
        <v>81.335925543146274</v>
      </c>
      <c r="T245" s="1">
        <f>[1]节奏总纲!AF245</f>
        <v>84.284049907248061</v>
      </c>
      <c r="U245" s="1">
        <f>[1]节奏总纲!AG245</f>
        <v>89.11587890081428</v>
      </c>
      <c r="V245" s="1">
        <f>[1]节奏总纲!AH245</f>
        <v>98.072755441643167</v>
      </c>
      <c r="AN245" s="1">
        <v>242</v>
      </c>
      <c r="AO245" s="1">
        <f>[1]节奏总纲!BA245</f>
        <v>43.988813045036018</v>
      </c>
      <c r="AP245" s="1">
        <f>[1]节奏总纲!BB245</f>
        <v>45.478697145114126</v>
      </c>
      <c r="AQ245" s="1">
        <f>[1]节奏总纲!BC245</f>
        <v>47.425130522103018</v>
      </c>
      <c r="AR245" s="1">
        <f>[1]节奏总纲!BD245</f>
        <v>50.179546324595002</v>
      </c>
      <c r="AS245" s="1">
        <f>[1]节奏总纲!BE245</f>
        <v>54.891651772390446</v>
      </c>
    </row>
    <row r="246" spans="17:45" x14ac:dyDescent="0.15">
      <c r="Q246" s="1">
        <v>243</v>
      </c>
      <c r="R246" s="1">
        <f>[1]节奏总纲!AD246</f>
        <v>79.300028460644711</v>
      </c>
      <c r="S246" s="1">
        <f>[1]节奏总纲!AE246</f>
        <v>81.395478002882001</v>
      </c>
      <c r="T246" s="1">
        <f>[1]节奏总纲!AF246</f>
        <v>84.344120403804524</v>
      </c>
      <c r="U246" s="1">
        <f>[1]节奏总纲!AG246</f>
        <v>89.184485622357698</v>
      </c>
      <c r="V246" s="1">
        <f>[1]节奏总纲!AH246</f>
        <v>98.132196028433526</v>
      </c>
      <c r="AN246" s="1">
        <v>243</v>
      </c>
      <c r="AO246" s="1">
        <f>[1]节奏总纲!BA246</f>
        <v>44.016200268136501</v>
      </c>
      <c r="AP246" s="1">
        <f>[1]节奏总纲!BB246</f>
        <v>45.506593249141758</v>
      </c>
      <c r="AQ246" s="1">
        <f>[1]节奏总纲!BC246</f>
        <v>47.452847239866877</v>
      </c>
      <c r="AR246" s="1">
        <f>[1]节奏总纲!BD246</f>
        <v>50.206304346144179</v>
      </c>
      <c r="AS246" s="1">
        <f>[1]节奏总纲!BE246</f>
        <v>54.92141776898648</v>
      </c>
    </row>
    <row r="247" spans="17:45" x14ac:dyDescent="0.15">
      <c r="Q247" s="1">
        <v>244</v>
      </c>
      <c r="R247" s="1">
        <f>[1]节奏总纲!AD247</f>
        <v>79.358359422257649</v>
      </c>
      <c r="S247" s="1">
        <f>[1]节奏总纲!AE247</f>
        <v>81.455030462617714</v>
      </c>
      <c r="T247" s="1">
        <f>[1]节奏总纲!AF247</f>
        <v>84.404190900360987</v>
      </c>
      <c r="U247" s="1">
        <f>[1]节奏总纲!AG247</f>
        <v>89.253092343901116</v>
      </c>
      <c r="V247" s="1">
        <f>[1]节奏总纲!AH247</f>
        <v>98.191636615223871</v>
      </c>
      <c r="AN247" s="1">
        <v>244</v>
      </c>
      <c r="AO247" s="1">
        <f>[1]节奏总纲!BA247</f>
        <v>44.042055714440401</v>
      </c>
      <c r="AP247" s="1">
        <f>[1]节奏总纲!BB247</f>
        <v>45.534489353169384</v>
      </c>
      <c r="AQ247" s="1">
        <f>[1]节奏总纲!BC247</f>
        <v>47.480563957630736</v>
      </c>
      <c r="AR247" s="1">
        <f>[1]节奏总纲!BD247</f>
        <v>50.233062367693357</v>
      </c>
      <c r="AS247" s="1">
        <f>[1]节奏总纲!BE247</f>
        <v>54.951183765582506</v>
      </c>
    </row>
    <row r="248" spans="17:45" x14ac:dyDescent="0.15">
      <c r="Q248" s="1">
        <v>245</v>
      </c>
      <c r="R248" s="1">
        <f>[1]节奏总纲!AD248</f>
        <v>79.416690383870588</v>
      </c>
      <c r="S248" s="1">
        <f>[1]节奏总纲!AE248</f>
        <v>81.514582922353426</v>
      </c>
      <c r="T248" s="1">
        <f>[1]节奏总纲!AF248</f>
        <v>84.46426139691745</v>
      </c>
      <c r="U248" s="1">
        <f>[1]节奏总纲!AG248</f>
        <v>89.321699065444534</v>
      </c>
      <c r="V248" s="1">
        <f>[1]节奏总纲!AH248</f>
        <v>98.25107720201423</v>
      </c>
      <c r="AN248" s="1">
        <v>245</v>
      </c>
      <c r="AO248" s="1">
        <f>[1]节奏总纲!BA248</f>
        <v>44.067911160744309</v>
      </c>
      <c r="AP248" s="1">
        <f>[1]节奏总纲!BB248</f>
        <v>45.562385457197017</v>
      </c>
      <c r="AQ248" s="1">
        <f>[1]节奏总纲!BC248</f>
        <v>47.508280675394595</v>
      </c>
      <c r="AR248" s="1">
        <f>[1]节奏总纲!BD248</f>
        <v>50.259820389242542</v>
      </c>
      <c r="AS248" s="1">
        <f>[1]节奏总纲!BE248</f>
        <v>54.98094976217854</v>
      </c>
    </row>
    <row r="249" spans="17:45" x14ac:dyDescent="0.15">
      <c r="Q249" s="1">
        <v>246</v>
      </c>
      <c r="R249" s="1">
        <f>[1]节奏总纲!AD249</f>
        <v>79.475021345483526</v>
      </c>
      <c r="S249" s="1">
        <f>[1]节奏总纲!AE249</f>
        <v>81.574135382089139</v>
      </c>
      <c r="T249" s="1">
        <f>[1]节奏总纲!AF249</f>
        <v>84.524331893473914</v>
      </c>
      <c r="U249" s="1">
        <f>[1]节奏总纲!AG249</f>
        <v>89.390305786987952</v>
      </c>
      <c r="V249" s="1">
        <f>[1]节奏总纲!AH249</f>
        <v>98.310517788804589</v>
      </c>
      <c r="AN249" s="1">
        <v>246</v>
      </c>
      <c r="AO249" s="1">
        <f>[1]节奏总纲!BA249</f>
        <v>44.093766607048209</v>
      </c>
      <c r="AP249" s="1">
        <f>[1]节奏总纲!BB249</f>
        <v>45.590281561224643</v>
      </c>
      <c r="AQ249" s="1">
        <f>[1]节奏总纲!BC249</f>
        <v>47.535997393158453</v>
      </c>
      <c r="AR249" s="1">
        <f>[1]节奏总纲!BD249</f>
        <v>50.286578410791719</v>
      </c>
      <c r="AS249" s="1">
        <f>[1]节奏总纲!BE249</f>
        <v>55.009255535630842</v>
      </c>
    </row>
    <row r="250" spans="17:45" x14ac:dyDescent="0.15">
      <c r="Q250" s="1">
        <v>247</v>
      </c>
      <c r="R250" s="1">
        <f>[1]节奏总纲!AD250</f>
        <v>79.533352307096465</v>
      </c>
      <c r="S250" s="1">
        <f>[1]节奏总纲!AE250</f>
        <v>81.633687841824852</v>
      </c>
      <c r="T250" s="1">
        <f>[1]节奏总纲!AF250</f>
        <v>84.584402390030377</v>
      </c>
      <c r="U250" s="1">
        <f>[1]节奏总纲!AG250</f>
        <v>89.45891250853137</v>
      </c>
      <c r="V250" s="1">
        <f>[1]节奏总纲!AH250</f>
        <v>98.369958375594933</v>
      </c>
      <c r="AN250" s="1">
        <v>247</v>
      </c>
      <c r="AO250" s="1">
        <f>[1]节奏总纲!BA250</f>
        <v>44.11962205335211</v>
      </c>
      <c r="AP250" s="1">
        <f>[1]节奏总纲!BB250</f>
        <v>45.618177665252276</v>
      </c>
      <c r="AQ250" s="1">
        <f>[1]节奏总纲!BC250</f>
        <v>47.563714110922312</v>
      </c>
      <c r="AR250" s="1">
        <f>[1]节奏总纲!BD250</f>
        <v>50.313336432340897</v>
      </c>
      <c r="AS250" s="1">
        <f>[1]节奏总纲!BE250</f>
        <v>55.034965356827627</v>
      </c>
    </row>
    <row r="251" spans="17:45" x14ac:dyDescent="0.15">
      <c r="Q251" s="1">
        <v>248</v>
      </c>
      <c r="R251" s="1">
        <f>[1]节奏总纲!AD251</f>
        <v>79.591683268709417</v>
      </c>
      <c r="S251" s="1">
        <f>[1]节奏总纲!AE251</f>
        <v>81.693240301560579</v>
      </c>
      <c r="T251" s="1">
        <f>[1]节奏总纲!AF251</f>
        <v>84.64447288658684</v>
      </c>
      <c r="U251" s="1">
        <f>[1]节奏总纲!AG251</f>
        <v>89.527519230074788</v>
      </c>
      <c r="V251" s="1">
        <f>[1]节奏总纲!AH251</f>
        <v>98.429398962385292</v>
      </c>
      <c r="AN251" s="1">
        <v>248</v>
      </c>
      <c r="AO251" s="1">
        <f>[1]节奏总纲!BA251</f>
        <v>44.145477499656018</v>
      </c>
      <c r="AP251" s="1">
        <f>[1]节奏总纲!BB251</f>
        <v>45.646073769279901</v>
      </c>
      <c r="AQ251" s="1">
        <f>[1]节奏总纲!BC251</f>
        <v>47.591430828686171</v>
      </c>
      <c r="AR251" s="1">
        <f>[1]节奏总纲!BD251</f>
        <v>50.340094453890082</v>
      </c>
      <c r="AS251" s="1">
        <f>[1]节奏总纲!BE251</f>
        <v>55.060675178024418</v>
      </c>
    </row>
    <row r="252" spans="17:45" x14ac:dyDescent="0.15">
      <c r="Q252" s="1">
        <v>249</v>
      </c>
      <c r="R252" s="1">
        <f>[1]节奏总纲!AD252</f>
        <v>79.650014230322356</v>
      </c>
      <c r="S252" s="1">
        <f>[1]节奏总纲!AE252</f>
        <v>81.752792761296291</v>
      </c>
      <c r="T252" s="1">
        <f>[1]节奏总纲!AF252</f>
        <v>84.704543383143317</v>
      </c>
      <c r="U252" s="1">
        <f>[1]节奏总纲!AG252</f>
        <v>89.596125951618205</v>
      </c>
      <c r="V252" s="1">
        <f>[1]节奏总纲!AH252</f>
        <v>98.488839549175651</v>
      </c>
      <c r="AN252" s="1">
        <v>249</v>
      </c>
      <c r="AO252" s="1">
        <f>[1]节奏总纲!BA252</f>
        <v>44.171332945959918</v>
      </c>
      <c r="AP252" s="1">
        <f>[1]节奏总纲!BB252</f>
        <v>45.673969873307534</v>
      </c>
      <c r="AQ252" s="1">
        <f>[1]节奏总纲!BC252</f>
        <v>47.61914754645003</v>
      </c>
      <c r="AR252" s="1">
        <f>[1]节奏总纲!BD252</f>
        <v>50.366852475439259</v>
      </c>
      <c r="AS252" s="1">
        <f>[1]节奏总纲!BE252</f>
        <v>55.086384999221202</v>
      </c>
    </row>
    <row r="253" spans="17:45" x14ac:dyDescent="0.15">
      <c r="Q253" s="1">
        <v>250</v>
      </c>
      <c r="R253" s="1">
        <f>[1]节奏总纲!AD253</f>
        <v>79.708345191935294</v>
      </c>
      <c r="S253" s="1">
        <f>[1]节奏总纲!AE253</f>
        <v>81.812345221032004</v>
      </c>
      <c r="T253" s="1">
        <f>[1]节奏总纲!AF253</f>
        <v>84.76461387969978</v>
      </c>
      <c r="U253" s="1">
        <f>[1]节奏总纲!AG253</f>
        <v>89.664732673161623</v>
      </c>
      <c r="V253" s="1">
        <f>[1]节奏总纲!AH253</f>
        <v>98.548280135965996</v>
      </c>
      <c r="AN253" s="1">
        <v>250</v>
      </c>
      <c r="AO253" s="1">
        <f>[1]节奏总纲!BA253</f>
        <v>44.197188392263818</v>
      </c>
      <c r="AP253" s="1">
        <f>[1]节奏总纲!BB253</f>
        <v>45.701865977335167</v>
      </c>
      <c r="AQ253" s="1">
        <f>[1]节奏总纲!BC253</f>
        <v>47.646864264213889</v>
      </c>
      <c r="AR253" s="1">
        <f>[1]节奏总纲!BD253</f>
        <v>50.393610496988437</v>
      </c>
      <c r="AS253" s="1">
        <f>[1]节奏总纲!BE253</f>
        <v>55.112094820417994</v>
      </c>
    </row>
    <row r="254" spans="17:45" x14ac:dyDescent="0.15">
      <c r="Q254" s="1">
        <v>251</v>
      </c>
      <c r="R254" s="1">
        <f>[1]节奏总纲!AD254</f>
        <v>79.766676153548232</v>
      </c>
      <c r="S254" s="1">
        <f>[1]节奏总纲!AE254</f>
        <v>81.871897680767717</v>
      </c>
      <c r="T254" s="1">
        <f>[1]节奏总纲!AF254</f>
        <v>84.824684376256243</v>
      </c>
      <c r="U254" s="1">
        <f>[1]节奏总纲!AG254</f>
        <v>89.733339394705041</v>
      </c>
      <c r="V254" s="1">
        <f>[1]节奏总纲!AH254</f>
        <v>98.607720722756355</v>
      </c>
      <c r="AN254" s="1">
        <v>251</v>
      </c>
      <c r="AO254" s="1">
        <f>[1]节奏总纲!BA254</f>
        <v>44.223043838567726</v>
      </c>
      <c r="AP254" s="1">
        <f>[1]节奏总纲!BB254</f>
        <v>45.729762081362793</v>
      </c>
      <c r="AQ254" s="1">
        <f>[1]节奏总纲!BC254</f>
        <v>47.674580981977748</v>
      </c>
      <c r="AR254" s="1">
        <f>[1]节奏总纲!BD254</f>
        <v>50.420368518537622</v>
      </c>
      <c r="AS254" s="1">
        <f>[1]节奏总纲!BE254</f>
        <v>55.137804641614778</v>
      </c>
    </row>
    <row r="255" spans="17:45" x14ac:dyDescent="0.15">
      <c r="Q255" s="1">
        <v>252</v>
      </c>
      <c r="R255" s="1">
        <f>[1]节奏总纲!AD255</f>
        <v>79.825007115161171</v>
      </c>
      <c r="S255" s="1">
        <f>[1]节奏总纲!AE255</f>
        <v>81.931450140503429</v>
      </c>
      <c r="T255" s="1">
        <f>[1]节奏总纲!AF255</f>
        <v>84.884754872812707</v>
      </c>
      <c r="U255" s="1">
        <f>[1]节奏总纲!AG255</f>
        <v>89.801946116248459</v>
      </c>
      <c r="V255" s="1">
        <f>[1]节奏总纲!AH255</f>
        <v>98.667161309546714</v>
      </c>
      <c r="AN255" s="1">
        <v>252</v>
      </c>
      <c r="AO255" s="1">
        <f>[1]节奏总纲!BA255</f>
        <v>44.248899284871626</v>
      </c>
      <c r="AP255" s="1">
        <f>[1]节奏总纲!BB255</f>
        <v>45.757658185390426</v>
      </c>
      <c r="AQ255" s="1">
        <f>[1]节奏总纲!BC255</f>
        <v>47.7022976997416</v>
      </c>
      <c r="AR255" s="1">
        <f>[1]节奏总纲!BD255</f>
        <v>50.447126540086799</v>
      </c>
      <c r="AS255" s="1">
        <f>[1]节奏总纲!BE255</f>
        <v>55.163514462811563</v>
      </c>
    </row>
    <row r="256" spans="17:45" x14ac:dyDescent="0.15">
      <c r="Q256" s="1">
        <v>253</v>
      </c>
      <c r="R256" s="1">
        <f>[1]节奏总纲!AD256</f>
        <v>79.883338076774123</v>
      </c>
      <c r="S256" s="1">
        <f>[1]节奏总纲!AE256</f>
        <v>81.991002600239142</v>
      </c>
      <c r="T256" s="1">
        <f>[1]节奏总纲!AF256</f>
        <v>84.94482536936917</v>
      </c>
      <c r="U256" s="1">
        <f>[1]节奏总纲!AG256</f>
        <v>89.870552837791877</v>
      </c>
      <c r="V256" s="1">
        <f>[1]节奏总纲!AH256</f>
        <v>98.726601896337058</v>
      </c>
      <c r="AN256" s="1">
        <v>253</v>
      </c>
      <c r="AO256" s="1">
        <f>[1]节奏总纲!BA256</f>
        <v>44.274754731175527</v>
      </c>
      <c r="AP256" s="1">
        <f>[1]节奏总纲!BB256</f>
        <v>45.785554289418052</v>
      </c>
      <c r="AQ256" s="1">
        <f>[1]节奏总纲!BC256</f>
        <v>47.730014417505458</v>
      </c>
      <c r="AR256" s="1">
        <f>[1]节奏总纲!BD256</f>
        <v>50.473884561635977</v>
      </c>
      <c r="AS256" s="1">
        <f>[1]节奏总纲!BE256</f>
        <v>55.189224284008354</v>
      </c>
    </row>
    <row r="257" spans="17:45" x14ac:dyDescent="0.15">
      <c r="Q257" s="1">
        <v>254</v>
      </c>
      <c r="R257" s="1">
        <f>[1]节奏总纲!AD257</f>
        <v>79.941669038387062</v>
      </c>
      <c r="S257" s="1">
        <f>[1]节奏总纲!AE257</f>
        <v>82.046165327855846</v>
      </c>
      <c r="T257" s="1">
        <f>[1]节奏总纲!AF257</f>
        <v>85.004450307848032</v>
      </c>
      <c r="U257" s="1">
        <f>[1]节奏总纲!AG257</f>
        <v>89.939159559335295</v>
      </c>
      <c r="V257" s="1">
        <f>[1]节奏总纲!AH257</f>
        <v>98.786042483127417</v>
      </c>
      <c r="AN257" s="1">
        <v>254</v>
      </c>
      <c r="AO257" s="1">
        <f>[1]节奏总纲!BA257</f>
        <v>44.300610177479435</v>
      </c>
      <c r="AP257" s="1">
        <f>[1]节奏总纲!BB257</f>
        <v>45.813450393445684</v>
      </c>
      <c r="AQ257" s="1">
        <f>[1]节奏总纲!BC257</f>
        <v>47.757731135269317</v>
      </c>
      <c r="AR257" s="1">
        <f>[1]节奏总纲!BD257</f>
        <v>50.500642583185162</v>
      </c>
      <c r="AS257" s="1">
        <f>[1]节奏总纲!BE257</f>
        <v>55.214934105205138</v>
      </c>
    </row>
    <row r="258" spans="17:45" x14ac:dyDescent="0.15">
      <c r="Q258" s="1">
        <v>255</v>
      </c>
      <c r="R258" s="1">
        <f>[1]节奏总纲!AD258</f>
        <v>80</v>
      </c>
      <c r="S258" s="1">
        <f>[1]节奏总纲!AE258</f>
        <v>82.100546804797787</v>
      </c>
      <c r="T258" s="1">
        <f>[1]节奏总纲!AF258</f>
        <v>85.059053968634842</v>
      </c>
      <c r="U258" s="1">
        <f>[1]节奏总纲!AG258</f>
        <v>90.006385600230558</v>
      </c>
      <c r="V258" s="1">
        <f>[1]节奏总纲!AH258</f>
        <v>98.845483069917776</v>
      </c>
      <c r="AN258" s="1">
        <v>255</v>
      </c>
      <c r="AO258" s="1">
        <f>[1]节奏总纲!BA258</f>
        <v>44.326465623783335</v>
      </c>
      <c r="AP258" s="1">
        <f>[1]节奏总纲!BB258</f>
        <v>45.84134649747331</v>
      </c>
      <c r="AQ258" s="1">
        <f>[1]节奏总纲!BC258</f>
        <v>47.785447853033176</v>
      </c>
      <c r="AR258" s="1">
        <f>[1]节奏总纲!BD258</f>
        <v>50.527400604734339</v>
      </c>
      <c r="AS258" s="1">
        <f>[1]节奏总纲!BE258</f>
        <v>55.24064392640193</v>
      </c>
    </row>
    <row r="259" spans="17:45" x14ac:dyDescent="0.15">
      <c r="Q259" s="1">
        <v>256</v>
      </c>
      <c r="R259" s="1">
        <f>[1]节奏总纲!AD259</f>
        <v>80.054424711612938</v>
      </c>
      <c r="S259" s="1">
        <f>[1]节奏总纲!AE259</f>
        <v>82.154928281739714</v>
      </c>
      <c r="T259" s="1">
        <f>[1]节奏总纲!AF259</f>
        <v>85.113657629421638</v>
      </c>
      <c r="U259" s="1">
        <f>[1]节奏总纲!AG259</f>
        <v>90.062795496260307</v>
      </c>
      <c r="V259" s="1">
        <f>[1]节奏总纲!AH259</f>
        <v>98.904923656708121</v>
      </c>
      <c r="AN259" s="1">
        <v>256</v>
      </c>
      <c r="AO259" s="1">
        <f>[1]节奏总纲!BA259</f>
        <v>44.352321070087235</v>
      </c>
      <c r="AP259" s="1">
        <f>[1]节奏总纲!BB259</f>
        <v>45.869242601500943</v>
      </c>
      <c r="AQ259" s="1">
        <f>[1]节奏总纲!BC259</f>
        <v>47.813164570797035</v>
      </c>
      <c r="AR259" s="1">
        <f>[1]节奏总纲!BD259</f>
        <v>50.554158626283517</v>
      </c>
      <c r="AS259" s="1">
        <f>[1]节奏总纲!BE259</f>
        <v>55.266353747598714</v>
      </c>
    </row>
    <row r="260" spans="17:45" x14ac:dyDescent="0.15">
      <c r="Q260" s="1">
        <v>257</v>
      </c>
      <c r="R260" s="1">
        <f>[1]节奏总纲!AD260</f>
        <v>80.108849423225877</v>
      </c>
      <c r="S260" s="1">
        <f>[1]节奏总纲!AE260</f>
        <v>82.209309758681655</v>
      </c>
      <c r="T260" s="1">
        <f>[1]节奏总纲!AF260</f>
        <v>85.168261290208434</v>
      </c>
      <c r="U260" s="1">
        <f>[1]节奏总纲!AG260</f>
        <v>90.119205392290041</v>
      </c>
      <c r="V260" s="1">
        <f>[1]节奏总纲!AH260</f>
        <v>98.96436424349848</v>
      </c>
      <c r="AN260" s="1">
        <v>257</v>
      </c>
      <c r="AO260" s="1">
        <f>[1]节奏总纲!BA260</f>
        <v>44.378176516391136</v>
      </c>
      <c r="AP260" s="1">
        <f>[1]节奏总纲!BB260</f>
        <v>45.897138705528576</v>
      </c>
      <c r="AQ260" s="1">
        <f>[1]节奏总纲!BC260</f>
        <v>47.840881288560894</v>
      </c>
      <c r="AR260" s="1">
        <f>[1]节奏总纲!BD260</f>
        <v>50.580916647832701</v>
      </c>
      <c r="AS260" s="1">
        <f>[1]节奏总纲!BE260</f>
        <v>55.292063568795498</v>
      </c>
    </row>
    <row r="261" spans="17:45" x14ac:dyDescent="0.15">
      <c r="Q261" s="1">
        <v>258</v>
      </c>
      <c r="R261" s="1">
        <f>[1]节奏总纲!AD261</f>
        <v>80.163274134838829</v>
      </c>
      <c r="S261" s="1">
        <f>[1]节奏总纲!AE261</f>
        <v>82.263691235623583</v>
      </c>
      <c r="T261" s="1">
        <f>[1]节奏总纲!AF261</f>
        <v>85.222864950995231</v>
      </c>
      <c r="U261" s="1">
        <f>[1]节奏总纲!AG261</f>
        <v>90.175615288319776</v>
      </c>
      <c r="V261" s="1">
        <f>[1]节奏总纲!AH261</f>
        <v>99.023313221876677</v>
      </c>
      <c r="AN261" s="1">
        <v>258</v>
      </c>
      <c r="AO261" s="1">
        <f>[1]节奏总纲!BA261</f>
        <v>44.404031962695043</v>
      </c>
      <c r="AP261" s="1">
        <f>[1]节奏总纲!BB261</f>
        <v>45.925034809556202</v>
      </c>
      <c r="AQ261" s="1">
        <f>[1]节奏总纲!BC261</f>
        <v>47.868598006324753</v>
      </c>
      <c r="AR261" s="1">
        <f>[1]节奏总纲!BD261</f>
        <v>50.607674669381879</v>
      </c>
      <c r="AS261" s="1">
        <f>[1]节奏总纲!BE261</f>
        <v>55.31777338999229</v>
      </c>
    </row>
    <row r="262" spans="17:45" x14ac:dyDescent="0.15">
      <c r="Q262" s="1">
        <v>259</v>
      </c>
      <c r="R262" s="1">
        <f>[1]节奏总纲!AD262</f>
        <v>80.217698846451768</v>
      </c>
      <c r="S262" s="1">
        <f>[1]节奏总纲!AE262</f>
        <v>82.318072712565524</v>
      </c>
      <c r="T262" s="1">
        <f>[1]节奏总纲!AF262</f>
        <v>85.277468611782027</v>
      </c>
      <c r="U262" s="1">
        <f>[1]节奏总纲!AG262</f>
        <v>90.23202518434951</v>
      </c>
      <c r="V262" s="1">
        <f>[1]节奏总纲!AH262</f>
        <v>99.081526263999208</v>
      </c>
      <c r="AN262" s="1">
        <v>259</v>
      </c>
      <c r="AO262" s="1">
        <f>[1]节奏总纲!BA262</f>
        <v>44.429887408998944</v>
      </c>
      <c r="AP262" s="1">
        <f>[1]节奏总纲!BB262</f>
        <v>45.952930913583835</v>
      </c>
      <c r="AQ262" s="1">
        <f>[1]节奏总纲!BC262</f>
        <v>47.896314724088612</v>
      </c>
      <c r="AR262" s="1">
        <f>[1]节奏总纲!BD262</f>
        <v>50.634432690931064</v>
      </c>
      <c r="AS262" s="1">
        <f>[1]节奏总纲!BE262</f>
        <v>55.343483211189074</v>
      </c>
    </row>
    <row r="263" spans="17:45" x14ac:dyDescent="0.15">
      <c r="Q263" s="1">
        <v>260</v>
      </c>
      <c r="R263" s="1">
        <f>[1]节奏总纲!AD263</f>
        <v>80.272123558064706</v>
      </c>
      <c r="S263" s="1">
        <f>[1]节奏总纲!AE263</f>
        <v>82.372454189507465</v>
      </c>
      <c r="T263" s="1">
        <f>[1]节奏总纲!AF263</f>
        <v>85.332072272568837</v>
      </c>
      <c r="U263" s="1">
        <f>[1]节奏总纲!AG263</f>
        <v>90.288435080379244</v>
      </c>
      <c r="V263" s="1">
        <f>[1]节奏总纲!AH263</f>
        <v>99.139739306121726</v>
      </c>
      <c r="AN263" s="1">
        <v>260</v>
      </c>
      <c r="AO263" s="1">
        <f>[1]节奏总纲!BA263</f>
        <v>44.455742855302844</v>
      </c>
      <c r="AP263" s="1">
        <f>[1]节奏总纲!BB263</f>
        <v>45.98082701761146</v>
      </c>
      <c r="AQ263" s="1">
        <f>[1]节奏总纲!BC263</f>
        <v>47.92403144185247</v>
      </c>
      <c r="AR263" s="1">
        <f>[1]节奏总纲!BD263</f>
        <v>50.661190712480241</v>
      </c>
      <c r="AS263" s="1">
        <f>[1]节奏总纲!BE263</f>
        <v>55.369193032385866</v>
      </c>
    </row>
    <row r="264" spans="17:45" x14ac:dyDescent="0.15">
      <c r="Q264" s="1">
        <v>261</v>
      </c>
      <c r="R264" s="1">
        <f>[1]节奏总纲!AD264</f>
        <v>80.326548269677644</v>
      </c>
      <c r="S264" s="1">
        <f>[1]节奏总纲!AE264</f>
        <v>82.426835666449392</v>
      </c>
      <c r="T264" s="1">
        <f>[1]节奏总纲!AF264</f>
        <v>85.386675933355633</v>
      </c>
      <c r="U264" s="1">
        <f>[1]节奏总纲!AG264</f>
        <v>90.344844976408993</v>
      </c>
      <c r="V264" s="1">
        <f>[1]节奏总纲!AH264</f>
        <v>99.197952348244257</v>
      </c>
      <c r="AN264" s="1">
        <v>261</v>
      </c>
      <c r="AO264" s="1">
        <f>[1]节奏总纲!BA264</f>
        <v>44.481598301606752</v>
      </c>
      <c r="AP264" s="1">
        <f>[1]节奏总纲!BB264</f>
        <v>46.007529841290832</v>
      </c>
      <c r="AQ264" s="1">
        <f>[1]节奏总纲!BC264</f>
        <v>47.951748159616329</v>
      </c>
      <c r="AR264" s="1">
        <f>[1]节奏总纲!BD264</f>
        <v>50.687948734029419</v>
      </c>
      <c r="AS264" s="1">
        <f>[1]节奏总纲!BE264</f>
        <v>55.39490285358265</v>
      </c>
    </row>
    <row r="265" spans="17:45" x14ac:dyDescent="0.15">
      <c r="Q265" s="1">
        <v>262</v>
      </c>
      <c r="R265" s="1">
        <f>[1]节奏总纲!AD265</f>
        <v>80.380972981290597</v>
      </c>
      <c r="S265" s="1">
        <f>[1]节奏总纲!AE265</f>
        <v>82.481217143391333</v>
      </c>
      <c r="T265" s="1">
        <f>[1]节奏总纲!AF265</f>
        <v>85.441279594142429</v>
      </c>
      <c r="U265" s="1">
        <f>[1]节奏总纲!AG265</f>
        <v>90.401254872438727</v>
      </c>
      <c r="V265" s="1">
        <f>[1]节奏总纲!AH265</f>
        <v>99.256165390366789</v>
      </c>
      <c r="AN265" s="1">
        <v>262</v>
      </c>
      <c r="AO265" s="1">
        <f>[1]节奏总纲!BA265</f>
        <v>44.507453747910652</v>
      </c>
      <c r="AP265" s="1">
        <f>[1]节奏总纲!BB265</f>
        <v>46.031609894814238</v>
      </c>
      <c r="AQ265" s="1">
        <f>[1]节奏总纲!BC265</f>
        <v>47.979464877380188</v>
      </c>
      <c r="AR265" s="1">
        <f>[1]节奏总纲!BD265</f>
        <v>50.714706755578604</v>
      </c>
      <c r="AS265" s="1">
        <f>[1]节奏总纲!BE265</f>
        <v>55.420612674779434</v>
      </c>
    </row>
    <row r="266" spans="17:45" x14ac:dyDescent="0.15">
      <c r="Q266" s="1">
        <v>263</v>
      </c>
      <c r="R266" s="1">
        <f>[1]节奏总纲!AD266</f>
        <v>80.435397692903535</v>
      </c>
      <c r="S266" s="1">
        <f>[1]节奏总纲!AE266</f>
        <v>82.535598620333275</v>
      </c>
      <c r="T266" s="1">
        <f>[1]节奏总纲!AF266</f>
        <v>85.495883254929225</v>
      </c>
      <c r="U266" s="1">
        <f>[1]节奏总纲!AG266</f>
        <v>90.457664768468462</v>
      </c>
      <c r="V266" s="1">
        <f>[1]节奏总纲!AH266</f>
        <v>99.314378432489306</v>
      </c>
      <c r="AN266" s="1">
        <v>263</v>
      </c>
      <c r="AO266" s="1">
        <f>[1]节奏总纲!BA266</f>
        <v>44.533309194214553</v>
      </c>
      <c r="AP266" s="1">
        <f>[1]节奏总纲!BB266</f>
        <v>46.055689948337651</v>
      </c>
      <c r="AQ266" s="1">
        <f>[1]节奏总纲!BC266</f>
        <v>48.006200084618079</v>
      </c>
      <c r="AR266" s="1">
        <f>[1]节奏总纲!BD266</f>
        <v>50.741464777127781</v>
      </c>
      <c r="AS266" s="1">
        <f>[1]节奏总纲!BE266</f>
        <v>55.446322495976226</v>
      </c>
    </row>
    <row r="267" spans="17:45" x14ac:dyDescent="0.15">
      <c r="Q267" s="1">
        <v>264</v>
      </c>
      <c r="R267" s="1">
        <f>[1]节奏总纲!AD267</f>
        <v>80.489822404516474</v>
      </c>
      <c r="S267" s="1">
        <f>[1]节奏总纲!AE267</f>
        <v>82.589980097275202</v>
      </c>
      <c r="T267" s="1">
        <f>[1]节奏总纲!AF267</f>
        <v>85.550486915716021</v>
      </c>
      <c r="U267" s="1">
        <f>[1]节奏总纲!AG267</f>
        <v>90.514074664498196</v>
      </c>
      <c r="V267" s="1">
        <f>[1]节奏总纲!AH267</f>
        <v>99.372591474611838</v>
      </c>
      <c r="AN267" s="1">
        <v>264</v>
      </c>
      <c r="AO267" s="1">
        <f>[1]节奏总纲!BA267</f>
        <v>44.55916464051846</v>
      </c>
      <c r="AP267" s="1">
        <f>[1]节奏总纲!BB267</f>
        <v>46.079770001861057</v>
      </c>
      <c r="AQ267" s="1">
        <f>[1]节奏总纲!BC267</f>
        <v>48.030128751164241</v>
      </c>
      <c r="AR267" s="1">
        <f>[1]节奏总纲!BD267</f>
        <v>50.768222798676959</v>
      </c>
      <c r="AS267" s="1">
        <f>[1]节奏总纲!BE267</f>
        <v>55.47203231717301</v>
      </c>
    </row>
    <row r="268" spans="17:45" x14ac:dyDescent="0.15">
      <c r="Q268" s="1">
        <v>265</v>
      </c>
      <c r="R268" s="1">
        <f>[1]节奏总纲!AD268</f>
        <v>80.544247116129412</v>
      </c>
      <c r="S268" s="1">
        <f>[1]节奏总纲!AE268</f>
        <v>82.644361574217143</v>
      </c>
      <c r="T268" s="1">
        <f>[1]节奏总纲!AF268</f>
        <v>85.605090576502832</v>
      </c>
      <c r="U268" s="1">
        <f>[1]节奏总纲!AG268</f>
        <v>90.57048456052793</v>
      </c>
      <c r="V268" s="1">
        <f>[1]节奏总纲!AH268</f>
        <v>99.430804516734369</v>
      </c>
      <c r="AN268" s="1">
        <v>265</v>
      </c>
      <c r="AO268" s="1">
        <f>[1]节奏总纲!BA268</f>
        <v>44.585020086822361</v>
      </c>
      <c r="AP268" s="1">
        <f>[1]节奏总纲!BB268</f>
        <v>46.10385005538447</v>
      </c>
      <c r="AQ268" s="1">
        <f>[1]节奏总纲!BC268</f>
        <v>48.054057417710396</v>
      </c>
      <c r="AR268" s="1">
        <f>[1]节奏总纲!BD268</f>
        <v>50.794980820226144</v>
      </c>
      <c r="AS268" s="1">
        <f>[1]节奏总纲!BE268</f>
        <v>55.497742138369794</v>
      </c>
    </row>
    <row r="269" spans="17:45" x14ac:dyDescent="0.15">
      <c r="Q269" s="1">
        <v>266</v>
      </c>
      <c r="R269" s="1">
        <f>[1]节奏总纲!AD269</f>
        <v>80.598671827742351</v>
      </c>
      <c r="S269" s="1">
        <f>[1]节奏总纲!AE269</f>
        <v>82.698743051159084</v>
      </c>
      <c r="T269" s="1">
        <f>[1]节奏总纲!AF269</f>
        <v>85.659694237289628</v>
      </c>
      <c r="U269" s="1">
        <f>[1]节奏总纲!AG269</f>
        <v>90.626894456557665</v>
      </c>
      <c r="V269" s="1">
        <f>[1]节奏总纲!AH269</f>
        <v>99.489017558856887</v>
      </c>
      <c r="AN269" s="1">
        <v>266</v>
      </c>
      <c r="AO269" s="1">
        <f>[1]节奏总纲!BA269</f>
        <v>44.610875533126261</v>
      </c>
      <c r="AP269" s="1">
        <f>[1]节奏总纲!BB269</f>
        <v>46.127930108907876</v>
      </c>
      <c r="AQ269" s="1">
        <f>[1]节奏总纲!BC269</f>
        <v>48.077986084256551</v>
      </c>
      <c r="AR269" s="1">
        <f>[1]节奏总纲!BD269</f>
        <v>50.821738841775321</v>
      </c>
      <c r="AS269" s="1">
        <f>[1]节奏总纲!BE269</f>
        <v>55.523451959566586</v>
      </c>
    </row>
    <row r="270" spans="17:45" x14ac:dyDescent="0.15">
      <c r="Q270" s="1">
        <v>267</v>
      </c>
      <c r="R270" s="1">
        <f>[1]节奏总纲!AD270</f>
        <v>80.653096539355303</v>
      </c>
      <c r="S270" s="1">
        <f>[1]节奏总纲!AE270</f>
        <v>82.753124528101011</v>
      </c>
      <c r="T270" s="1">
        <f>[1]节奏总纲!AF270</f>
        <v>85.714297898076424</v>
      </c>
      <c r="U270" s="1">
        <f>[1]节奏总纲!AG270</f>
        <v>90.683304352587413</v>
      </c>
      <c r="V270" s="1">
        <f>[1]节奏总纲!AH270</f>
        <v>99.547230600979418</v>
      </c>
      <c r="AN270" s="1">
        <v>267</v>
      </c>
      <c r="AO270" s="1">
        <f>[1]节奏总纲!BA270</f>
        <v>44.636730979430169</v>
      </c>
      <c r="AP270" s="1">
        <f>[1]节奏总纲!BB270</f>
        <v>46.152010162431289</v>
      </c>
      <c r="AQ270" s="1">
        <f>[1]节奏总纲!BC270</f>
        <v>48.101914750802706</v>
      </c>
      <c r="AR270" s="1">
        <f>[1]节奏总纲!BD270</f>
        <v>50.848496863324499</v>
      </c>
      <c r="AS270" s="1">
        <f>[1]节奏总纲!BE270</f>
        <v>55.54916178076337</v>
      </c>
    </row>
    <row r="271" spans="17:45" x14ac:dyDescent="0.15">
      <c r="Q271" s="1">
        <v>268</v>
      </c>
      <c r="R271" s="1">
        <f>[1]节奏总纲!AD271</f>
        <v>80.707521250968242</v>
      </c>
      <c r="S271" s="1">
        <f>[1]节奏总纲!AE271</f>
        <v>82.807506005042953</v>
      </c>
      <c r="T271" s="1">
        <f>[1]节奏总纲!AF271</f>
        <v>85.76890155886322</v>
      </c>
      <c r="U271" s="1">
        <f>[1]节奏总纲!AG271</f>
        <v>90.739714248617148</v>
      </c>
      <c r="V271" s="1">
        <f>[1]节奏总纲!AH271</f>
        <v>99.605443643101935</v>
      </c>
      <c r="AN271" s="1">
        <v>268</v>
      </c>
      <c r="AO271" s="1">
        <f>[1]节奏总纲!BA271</f>
        <v>44.662586425734069</v>
      </c>
      <c r="AP271" s="1">
        <f>[1]节奏总纲!BB271</f>
        <v>46.176090215954694</v>
      </c>
      <c r="AQ271" s="1">
        <f>[1]节奏总纲!BC271</f>
        <v>48.125843417348868</v>
      </c>
      <c r="AR271" s="1">
        <f>[1]节奏总纲!BD271</f>
        <v>50.875254884873684</v>
      </c>
      <c r="AS271" s="1">
        <f>[1]节奏总纲!BE271</f>
        <v>55.574871601960162</v>
      </c>
    </row>
    <row r="272" spans="17:45" x14ac:dyDescent="0.15">
      <c r="Q272" s="1">
        <v>269</v>
      </c>
      <c r="R272" s="1">
        <f>[1]节奏总纲!AD272</f>
        <v>80.76194596258118</v>
      </c>
      <c r="S272" s="1">
        <f>[1]节奏总纲!AE272</f>
        <v>82.861887481984894</v>
      </c>
      <c r="T272" s="1">
        <f>[1]节奏总纲!AF272</f>
        <v>85.823505219650016</v>
      </c>
      <c r="U272" s="1">
        <f>[1]节奏总纲!AG272</f>
        <v>90.796124144646882</v>
      </c>
      <c r="V272" s="1">
        <f>[1]节奏总纲!AH272</f>
        <v>99.663656685224467</v>
      </c>
      <c r="AN272" s="1">
        <v>269</v>
      </c>
      <c r="AO272" s="1">
        <f>[1]节奏总纲!BA272</f>
        <v>44.68844187203797</v>
      </c>
      <c r="AP272" s="1">
        <f>[1]节奏总纲!BB272</f>
        <v>46.200170269478107</v>
      </c>
      <c r="AQ272" s="1">
        <f>[1]节奏总纲!BC272</f>
        <v>48.149772083895023</v>
      </c>
      <c r="AR272" s="1">
        <f>[1]节奏总纲!BD272</f>
        <v>50.902012906422861</v>
      </c>
      <c r="AS272" s="1">
        <f>[1]节奏总纲!BE272</f>
        <v>55.600581423156946</v>
      </c>
    </row>
    <row r="273" spans="17:45" x14ac:dyDescent="0.15">
      <c r="Q273" s="1">
        <v>270</v>
      </c>
      <c r="R273" s="1">
        <f>[1]节奏总纲!AD273</f>
        <v>80.816370674194118</v>
      </c>
      <c r="S273" s="1">
        <f>[1]节奏总纲!AE273</f>
        <v>82.916268958926821</v>
      </c>
      <c r="T273" s="1">
        <f>[1]节奏总纲!AF273</f>
        <v>85.878108880436827</v>
      </c>
      <c r="U273" s="1">
        <f>[1]节奏总纲!AG273</f>
        <v>90.852534040676616</v>
      </c>
      <c r="V273" s="1">
        <f>[1]节奏总纲!AH273</f>
        <v>99.721869727346999</v>
      </c>
      <c r="AN273" s="1">
        <v>270</v>
      </c>
      <c r="AO273" s="1">
        <f>[1]节奏总纲!BA273</f>
        <v>44.714297318341877</v>
      </c>
      <c r="AP273" s="1">
        <f>[1]节奏总纲!BB273</f>
        <v>46.224250323001513</v>
      </c>
      <c r="AQ273" s="1">
        <f>[1]节奏总纲!BC273</f>
        <v>48.173700750441178</v>
      </c>
      <c r="AR273" s="1">
        <f>[1]节奏总纲!BD273</f>
        <v>50.928770927972039</v>
      </c>
      <c r="AS273" s="1">
        <f>[1]节奏总纲!BE273</f>
        <v>55.62629124435373</v>
      </c>
    </row>
    <row r="274" spans="17:45" x14ac:dyDescent="0.15">
      <c r="Q274" s="1">
        <v>271</v>
      </c>
      <c r="R274" s="1">
        <f>[1]节奏总纲!AD274</f>
        <v>80.870795385807057</v>
      </c>
      <c r="S274" s="1">
        <f>[1]节奏总纲!AE274</f>
        <v>82.970650435868762</v>
      </c>
      <c r="T274" s="1">
        <f>[1]节奏总纲!AF274</f>
        <v>85.932712541223623</v>
      </c>
      <c r="U274" s="1">
        <f>[1]节奏总纲!AG274</f>
        <v>90.908943936706351</v>
      </c>
      <c r="V274" s="1">
        <f>[1]节奏总纲!AH274</f>
        <v>99.780082769469516</v>
      </c>
      <c r="AN274" s="1">
        <v>271</v>
      </c>
      <c r="AO274" s="1">
        <f>[1]节奏总纲!BA274</f>
        <v>44.740152764645778</v>
      </c>
      <c r="AP274" s="1">
        <f>[1]节奏总纲!BB274</f>
        <v>46.248330376524919</v>
      </c>
      <c r="AQ274" s="1">
        <f>[1]节奏总纲!BC274</f>
        <v>48.19762941698734</v>
      </c>
      <c r="AR274" s="1">
        <f>[1]节奏总纲!BD274</f>
        <v>50.955528949521224</v>
      </c>
      <c r="AS274" s="1">
        <f>[1]节奏总纲!BE274</f>
        <v>55.652001065550522</v>
      </c>
    </row>
    <row r="275" spans="17:45" x14ac:dyDescent="0.15">
      <c r="Q275" s="1">
        <v>272</v>
      </c>
      <c r="R275" s="1">
        <f>[1]节奏总纲!AD275</f>
        <v>80.925220097420009</v>
      </c>
      <c r="S275" s="1">
        <f>[1]节奏总纲!AE275</f>
        <v>83.023342162088809</v>
      </c>
      <c r="T275" s="1">
        <f>[1]节奏总纲!AF275</f>
        <v>85.987316202010419</v>
      </c>
      <c r="U275" s="1">
        <f>[1]节奏总纲!AG275</f>
        <v>90.965353832736099</v>
      </c>
      <c r="V275" s="1">
        <f>[1]节奏总纲!AH275</f>
        <v>99.838295811592047</v>
      </c>
      <c r="AN275" s="1">
        <v>272</v>
      </c>
      <c r="AO275" s="1">
        <f>[1]节奏总纲!BA275</f>
        <v>44.766008210949678</v>
      </c>
      <c r="AP275" s="1">
        <f>[1]节奏总纲!BB275</f>
        <v>46.272410430048332</v>
      </c>
      <c r="AQ275" s="1">
        <f>[1]节奏总纲!BC275</f>
        <v>48.221558083533495</v>
      </c>
      <c r="AR275" s="1">
        <f>[1]节奏总纲!BD275</f>
        <v>50.982286971070401</v>
      </c>
      <c r="AS275" s="1">
        <f>[1]节奏总纲!BE275</f>
        <v>55.677710886747306</v>
      </c>
    </row>
    <row r="276" spans="17:45" x14ac:dyDescent="0.15">
      <c r="Q276" s="1">
        <v>273</v>
      </c>
      <c r="R276" s="1">
        <f>[1]节奏总纲!AD276</f>
        <v>80.979644809032948</v>
      </c>
      <c r="S276" s="1">
        <f>[1]节奏总纲!AE276</f>
        <v>83.07405267945947</v>
      </c>
      <c r="T276" s="1">
        <f>[1]节奏总纲!AF276</f>
        <v>86.038061368689995</v>
      </c>
      <c r="U276" s="1">
        <f>[1]节奏总纲!AG276</f>
        <v>91.020352770869948</v>
      </c>
      <c r="V276" s="1">
        <f>[1]节奏总纲!AH276</f>
        <v>99.896508853714579</v>
      </c>
      <c r="AN276" s="1">
        <v>273</v>
      </c>
      <c r="AO276" s="1">
        <f>[1]节奏总纲!BA276</f>
        <v>44.791863657253586</v>
      </c>
      <c r="AP276" s="1">
        <f>[1]节奏总纲!BB276</f>
        <v>46.296490483571738</v>
      </c>
      <c r="AQ276" s="1">
        <f>[1]节奏总纲!BC276</f>
        <v>48.24548675007965</v>
      </c>
      <c r="AR276" s="1">
        <f>[1]节奏总纲!BD276</f>
        <v>51.007810424246486</v>
      </c>
      <c r="AS276" s="1">
        <f>[1]节奏总纲!BE276</f>
        <v>55.703420707944098</v>
      </c>
    </row>
    <row r="277" spans="17:45" x14ac:dyDescent="0.15">
      <c r="Q277" s="1">
        <v>274</v>
      </c>
      <c r="R277" s="1">
        <f>[1]节奏总纲!AD277</f>
        <v>81.031787986768464</v>
      </c>
      <c r="S277" s="1">
        <f>[1]节奏总纲!AE277</f>
        <v>83.124763196830131</v>
      </c>
      <c r="T277" s="1">
        <f>[1]节奏总纲!AF277</f>
        <v>86.087639061133402</v>
      </c>
      <c r="U277" s="1">
        <f>[1]节奏总纲!AG277</f>
        <v>91.073105573528181</v>
      </c>
      <c r="V277" s="1">
        <f>[1]节奏总纲!AH277</f>
        <v>99.954721895837096</v>
      </c>
      <c r="AN277" s="1">
        <v>274</v>
      </c>
      <c r="AO277" s="1">
        <f>[1]节奏总纲!BA277</f>
        <v>44.817719103557486</v>
      </c>
      <c r="AP277" s="1">
        <f>[1]节奏总纲!BB277</f>
        <v>46.320570537095151</v>
      </c>
      <c r="AQ277" s="1">
        <f>[1]节奏总纲!BC277</f>
        <v>48.269415416625804</v>
      </c>
      <c r="AR277" s="1">
        <f>[1]节奏总纲!BD277</f>
        <v>51.030916192165336</v>
      </c>
      <c r="AS277" s="1">
        <f>[1]节奏总纲!BE277</f>
        <v>55.729130529140882</v>
      </c>
    </row>
    <row r="278" spans="17:45" x14ac:dyDescent="0.15">
      <c r="Q278" s="1">
        <v>275</v>
      </c>
      <c r="R278" s="1">
        <f>[1]节奏总纲!AD278</f>
        <v>81.082568038258216</v>
      </c>
      <c r="S278" s="1">
        <f>[1]节奏总纲!AE278</f>
        <v>83.175473714200777</v>
      </c>
      <c r="T278" s="1">
        <f>[1]节奏总纲!AF278</f>
        <v>86.137216753576809</v>
      </c>
      <c r="U278" s="1">
        <f>[1]节奏总纲!AG278</f>
        <v>91.125858376186414</v>
      </c>
      <c r="V278" s="1">
        <f>[1]节奏总纲!AH278</f>
        <v>100.01191770041967</v>
      </c>
      <c r="AN278" s="1">
        <v>275</v>
      </c>
      <c r="AO278" s="1">
        <f>[1]节奏总纲!BA278</f>
        <v>44.843574549861387</v>
      </c>
      <c r="AP278" s="1">
        <f>[1]节奏总纲!BB278</f>
        <v>46.344650590618556</v>
      </c>
      <c r="AQ278" s="1">
        <f>[1]节奏总纲!BC278</f>
        <v>48.293344083171966</v>
      </c>
      <c r="AR278" s="1">
        <f>[1]节奏总纲!BD278</f>
        <v>51.054021960084178</v>
      </c>
      <c r="AS278" s="1">
        <f>[1]节奏总纲!BE278</f>
        <v>55.754840350337666</v>
      </c>
    </row>
    <row r="279" spans="17:45" x14ac:dyDescent="0.15">
      <c r="Q279" s="1">
        <v>276</v>
      </c>
      <c r="R279" s="1">
        <f>[1]节奏总纲!AD279</f>
        <v>81.133348089747955</v>
      </c>
      <c r="S279" s="1">
        <f>[1]节奏总纲!AE279</f>
        <v>83.226184231571438</v>
      </c>
      <c r="T279" s="1">
        <f>[1]节奏总纲!AF279</f>
        <v>86.186794446020215</v>
      </c>
      <c r="U279" s="1">
        <f>[1]节奏总纲!AG279</f>
        <v>91.178611178844633</v>
      </c>
      <c r="V279" s="1">
        <f>[1]节奏总纲!AH279</f>
        <v>100.06555271580974</v>
      </c>
      <c r="AN279" s="1">
        <v>276</v>
      </c>
      <c r="AO279" s="1">
        <f>[1]节奏总纲!BA279</f>
        <v>44.869429996165294</v>
      </c>
      <c r="AP279" s="1">
        <f>[1]节奏总纲!BB279</f>
        <v>46.368730644141969</v>
      </c>
      <c r="AQ279" s="1">
        <f>[1]节奏总纲!BC279</f>
        <v>48.317272749718121</v>
      </c>
      <c r="AR279" s="1">
        <f>[1]节奏总纲!BD279</f>
        <v>51.077127728003028</v>
      </c>
      <c r="AS279" s="1">
        <f>[1]节奏总纲!BE279</f>
        <v>55.780550171534458</v>
      </c>
    </row>
    <row r="280" spans="17:45" x14ac:dyDescent="0.15">
      <c r="Q280" s="1">
        <v>277</v>
      </c>
      <c r="R280" s="1">
        <f>[1]节奏总纲!AD280</f>
        <v>81.184128141237707</v>
      </c>
      <c r="S280" s="1">
        <f>[1]节奏总纲!AE280</f>
        <v>83.276894748942098</v>
      </c>
      <c r="T280" s="1">
        <f>[1]节奏总纲!AF280</f>
        <v>86.236372138463622</v>
      </c>
      <c r="U280" s="1">
        <f>[1]节奏总纲!AG280</f>
        <v>91.231363981502867</v>
      </c>
      <c r="V280" s="1">
        <f>[1]节奏总纲!AH280</f>
        <v>100.11918773119983</v>
      </c>
      <c r="AN280" s="1">
        <v>277</v>
      </c>
      <c r="AO280" s="1">
        <f>[1]节奏总纲!BA280</f>
        <v>44.895285442469195</v>
      </c>
      <c r="AP280" s="1">
        <f>[1]节奏总纲!BB280</f>
        <v>46.392810697665375</v>
      </c>
      <c r="AQ280" s="1">
        <f>[1]节奏总纲!BC280</f>
        <v>48.341201416264276</v>
      </c>
      <c r="AR280" s="1">
        <f>[1]节奏总纲!BD280</f>
        <v>51.10023349592187</v>
      </c>
      <c r="AS280" s="1">
        <f>[1]节奏总纲!BE280</f>
        <v>55.806259992731242</v>
      </c>
    </row>
    <row r="281" spans="17:45" x14ac:dyDescent="0.15">
      <c r="Q281" s="1">
        <v>278</v>
      </c>
      <c r="R281" s="1">
        <f>[1]节奏总纲!AD281</f>
        <v>81.23490819272746</v>
      </c>
      <c r="S281" s="1">
        <f>[1]节奏总纲!AE281</f>
        <v>83.327605266312744</v>
      </c>
      <c r="T281" s="1">
        <f>[1]节奏总纲!AF281</f>
        <v>86.285949830907029</v>
      </c>
      <c r="U281" s="1">
        <f>[1]节奏总纲!AG281</f>
        <v>91.2841167841611</v>
      </c>
      <c r="V281" s="1">
        <f>[1]节奏总纲!AH281</f>
        <v>100.1728227465899</v>
      </c>
      <c r="AN281" s="1">
        <v>278</v>
      </c>
      <c r="AO281" s="1">
        <f>[1]节奏总纲!BA281</f>
        <v>44.921140888773095</v>
      </c>
      <c r="AP281" s="1">
        <f>[1]节奏总纲!BB281</f>
        <v>46.416890751188788</v>
      </c>
      <c r="AQ281" s="1">
        <f>[1]节奏总纲!BC281</f>
        <v>48.365130082810438</v>
      </c>
      <c r="AR281" s="1">
        <f>[1]节奏总纲!BD281</f>
        <v>51.12333926384072</v>
      </c>
      <c r="AS281" s="1">
        <f>[1]节奏总纲!BE281</f>
        <v>55.831969813928033</v>
      </c>
    </row>
    <row r="282" spans="17:45" x14ac:dyDescent="0.15">
      <c r="Q282" s="1">
        <v>279</v>
      </c>
      <c r="R282" s="1">
        <f>[1]节奏总纲!AD282</f>
        <v>81.285688244217212</v>
      </c>
      <c r="S282" s="1">
        <f>[1]节奏总纲!AE282</f>
        <v>83.378315783683405</v>
      </c>
      <c r="T282" s="1">
        <f>[1]节奏总纲!AF282</f>
        <v>86.335527523350422</v>
      </c>
      <c r="U282" s="1">
        <f>[1]节奏总纲!AG282</f>
        <v>91.336869586819319</v>
      </c>
      <c r="V282" s="1">
        <f>[1]节奏总纲!AH282</f>
        <v>100.22645776197997</v>
      </c>
      <c r="AN282" s="1">
        <v>279</v>
      </c>
      <c r="AO282" s="1">
        <f>[1]节奏总纲!BA282</f>
        <v>44.946996335076996</v>
      </c>
      <c r="AP282" s="1">
        <f>[1]节奏总纲!BB282</f>
        <v>46.440970804712194</v>
      </c>
      <c r="AQ282" s="1">
        <f>[1]节奏总纲!BC282</f>
        <v>48.389058749356593</v>
      </c>
      <c r="AR282" s="1">
        <f>[1]节奏总纲!BD282</f>
        <v>51.146445031759569</v>
      </c>
      <c r="AS282" s="1">
        <f>[1]节奏总纲!BE282</f>
        <v>55.857679635124818</v>
      </c>
    </row>
    <row r="283" spans="17:45" x14ac:dyDescent="0.15">
      <c r="Q283" s="1">
        <v>280</v>
      </c>
      <c r="R283" s="1">
        <f>[1]节奏总纲!AD283</f>
        <v>81.336468295706965</v>
      </c>
      <c r="S283" s="1">
        <f>[1]节奏总纲!AE283</f>
        <v>83.429026301054066</v>
      </c>
      <c r="T283" s="1">
        <f>[1]节奏总纲!AF283</f>
        <v>86.385105215793828</v>
      </c>
      <c r="U283" s="1">
        <f>[1]节奏总纲!AG283</f>
        <v>91.389622389477552</v>
      </c>
      <c r="V283" s="1">
        <f>[1]节奏总纲!AH283</f>
        <v>100.28009277737006</v>
      </c>
      <c r="AN283" s="1">
        <v>280</v>
      </c>
      <c r="AO283" s="1">
        <f>[1]节奏总纲!BA283</f>
        <v>44.972851781380903</v>
      </c>
      <c r="AP283" s="1">
        <f>[1]节奏总纲!BB283</f>
        <v>46.465050858235607</v>
      </c>
      <c r="AQ283" s="1">
        <f>[1]节奏总纲!BC283</f>
        <v>48.412987415902748</v>
      </c>
      <c r="AR283" s="1">
        <f>[1]节奏总纲!BD283</f>
        <v>51.169550799678412</v>
      </c>
      <c r="AS283" s="1">
        <f>[1]节奏总纲!BE283</f>
        <v>55.883389456321602</v>
      </c>
    </row>
    <row r="284" spans="17:45" x14ac:dyDescent="0.15">
      <c r="Q284" s="1">
        <v>281</v>
      </c>
      <c r="R284" s="1">
        <f>[1]节奏总纲!AD284</f>
        <v>81.387248347196717</v>
      </c>
      <c r="S284" s="1">
        <f>[1]节奏总纲!AE284</f>
        <v>83.479736818424712</v>
      </c>
      <c r="T284" s="1">
        <f>[1]节奏总纲!AF284</f>
        <v>86.434682908237235</v>
      </c>
      <c r="U284" s="1">
        <f>[1]节奏总纲!AG284</f>
        <v>91.442375192135771</v>
      </c>
      <c r="V284" s="1">
        <f>[1]节奏总纲!AH284</f>
        <v>100.33372779276013</v>
      </c>
      <c r="AN284" s="1">
        <v>281</v>
      </c>
      <c r="AO284" s="1">
        <f>[1]节奏总纲!BA284</f>
        <v>44.998707227684804</v>
      </c>
      <c r="AP284" s="1">
        <f>[1]节奏总纲!BB284</f>
        <v>46.489130911759013</v>
      </c>
      <c r="AQ284" s="1">
        <f>[1]节奏总纲!BC284</f>
        <v>48.43691608244891</v>
      </c>
      <c r="AR284" s="1">
        <f>[1]节奏总纲!BD284</f>
        <v>51.192656567597261</v>
      </c>
      <c r="AS284" s="1">
        <f>[1]节奏总纲!BE284</f>
        <v>55.909099277518393</v>
      </c>
    </row>
    <row r="285" spans="17:45" x14ac:dyDescent="0.15">
      <c r="Q285" s="1">
        <v>282</v>
      </c>
      <c r="R285" s="1">
        <f>[1]节奏总纲!AD285</f>
        <v>81.43802839868647</v>
      </c>
      <c r="S285" s="1">
        <f>[1]节奏总纲!AE285</f>
        <v>83.530447335795373</v>
      </c>
      <c r="T285" s="1">
        <f>[1]节奏总纲!AF285</f>
        <v>86.484260600680642</v>
      </c>
      <c r="U285" s="1">
        <f>[1]节奏总纲!AG285</f>
        <v>91.495127994794004</v>
      </c>
      <c r="V285" s="1">
        <f>[1]节奏总纲!AH285</f>
        <v>100.3873628081502</v>
      </c>
      <c r="AN285" s="1">
        <v>282</v>
      </c>
      <c r="AO285" s="1">
        <f>[1]节奏总纲!BA285</f>
        <v>45.021201039060998</v>
      </c>
      <c r="AP285" s="1">
        <f>[1]节奏总纲!BB285</f>
        <v>46.513210965282425</v>
      </c>
      <c r="AQ285" s="1">
        <f>[1]节奏总纲!BC285</f>
        <v>48.460844748995065</v>
      </c>
      <c r="AR285" s="1">
        <f>[1]节奏总纲!BD285</f>
        <v>51.215762335516104</v>
      </c>
      <c r="AS285" s="1">
        <f>[1]节奏总纲!BE285</f>
        <v>55.934809098715178</v>
      </c>
    </row>
    <row r="286" spans="17:45" x14ac:dyDescent="0.15">
      <c r="Q286" s="1">
        <v>283</v>
      </c>
      <c r="R286" s="1">
        <f>[1]节奏总纲!AD286</f>
        <v>81.488808450176222</v>
      </c>
      <c r="S286" s="1">
        <f>[1]节奏总纲!AE286</f>
        <v>83.581157853166033</v>
      </c>
      <c r="T286" s="1">
        <f>[1]节奏总纲!AF286</f>
        <v>86.533838293124049</v>
      </c>
      <c r="U286" s="1">
        <f>[1]节奏总纲!AG286</f>
        <v>91.547880797452237</v>
      </c>
      <c r="V286" s="1">
        <f>[1]节奏总纲!AH286</f>
        <v>100.44099782354027</v>
      </c>
      <c r="AN286" s="1">
        <v>283</v>
      </c>
      <c r="AO286" s="1">
        <f>[1]节奏总纲!BA286</f>
        <v>45.043517922283101</v>
      </c>
      <c r="AP286" s="1">
        <f>[1]节奏总纲!BB286</f>
        <v>46.537291018805831</v>
      </c>
      <c r="AQ286" s="1">
        <f>[1]节奏总纲!BC286</f>
        <v>48.48477341554122</v>
      </c>
      <c r="AR286" s="1">
        <f>[1]节奏总纲!BD286</f>
        <v>51.238868103434953</v>
      </c>
      <c r="AS286" s="1">
        <f>[1]节奏总纲!BE286</f>
        <v>55.960518919911962</v>
      </c>
    </row>
    <row r="287" spans="17:45" x14ac:dyDescent="0.15">
      <c r="Q287" s="1">
        <v>284</v>
      </c>
      <c r="R287" s="1">
        <f>[1]节奏总纲!AD287</f>
        <v>81.539588501665975</v>
      </c>
      <c r="S287" s="1">
        <f>[1]节奏总纲!AE287</f>
        <v>83.631868370536679</v>
      </c>
      <c r="T287" s="1">
        <f>[1]节奏总纲!AF287</f>
        <v>86.583415985567456</v>
      </c>
      <c r="U287" s="1">
        <f>[1]节奏总纲!AG287</f>
        <v>91.600633600110456</v>
      </c>
      <c r="V287" s="1">
        <f>[1]节奏总纲!AH287</f>
        <v>100.49463283893036</v>
      </c>
      <c r="AN287" s="1">
        <v>284</v>
      </c>
      <c r="AO287" s="1">
        <f>[1]节奏总纲!BA287</f>
        <v>45.065834805505204</v>
      </c>
      <c r="AP287" s="1">
        <f>[1]节奏总纲!BB287</f>
        <v>46.561371072329244</v>
      </c>
      <c r="AQ287" s="1">
        <f>[1]节奏总纲!BC287</f>
        <v>48.508702082087382</v>
      </c>
      <c r="AR287" s="1">
        <f>[1]节奏总纲!BD287</f>
        <v>51.261973871353796</v>
      </c>
      <c r="AS287" s="1">
        <f>[1]节奏总纲!BE287</f>
        <v>55.986228741108754</v>
      </c>
    </row>
    <row r="288" spans="17:45" x14ac:dyDescent="0.15">
      <c r="Q288" s="1">
        <v>285</v>
      </c>
      <c r="R288" s="1">
        <f>[1]节奏总纲!AD288</f>
        <v>81.590368553155727</v>
      </c>
      <c r="S288" s="1">
        <f>[1]节奏总纲!AE288</f>
        <v>83.68257888790734</v>
      </c>
      <c r="T288" s="1">
        <f>[1]节奏总纲!AF288</f>
        <v>86.632993678010848</v>
      </c>
      <c r="U288" s="1">
        <f>[1]节奏总纲!AG288</f>
        <v>91.653386402768689</v>
      </c>
      <c r="V288" s="1">
        <f>[1]节奏总纲!AH288</f>
        <v>100.54826785432043</v>
      </c>
      <c r="AN288" s="1">
        <v>285</v>
      </c>
      <c r="AO288" s="1">
        <f>[1]节奏总纲!BA288</f>
        <v>45.088151688727308</v>
      </c>
      <c r="AP288" s="1">
        <f>[1]节奏总纲!BB288</f>
        <v>46.58545112585265</v>
      </c>
      <c r="AQ288" s="1">
        <f>[1]节奏总纲!BC288</f>
        <v>48.532630748633537</v>
      </c>
      <c r="AR288" s="1">
        <f>[1]节奏总纲!BD288</f>
        <v>51.285079639272645</v>
      </c>
      <c r="AS288" s="1">
        <f>[1]节奏总纲!BE288</f>
        <v>56.010312347085055</v>
      </c>
    </row>
    <row r="289" spans="17:45" x14ac:dyDescent="0.15">
      <c r="Q289" s="1">
        <v>286</v>
      </c>
      <c r="R289" s="1">
        <f>[1]节奏总纲!AD289</f>
        <v>81.64114860464548</v>
      </c>
      <c r="S289" s="1">
        <f>[1]节奏总纲!AE289</f>
        <v>83.733289405278001</v>
      </c>
      <c r="T289" s="1">
        <f>[1]节奏总纲!AF289</f>
        <v>86.682571370454255</v>
      </c>
      <c r="U289" s="1">
        <f>[1]节奏总纲!AG289</f>
        <v>91.706139205426922</v>
      </c>
      <c r="V289" s="1">
        <f>[1]节奏总纲!AH289</f>
        <v>100.6019028697105</v>
      </c>
      <c r="AN289" s="1">
        <v>286</v>
      </c>
      <c r="AO289" s="1">
        <f>[1]节奏总纲!BA289</f>
        <v>45.110468571949411</v>
      </c>
      <c r="AP289" s="1">
        <f>[1]节奏总纲!BB289</f>
        <v>46.609531179376063</v>
      </c>
      <c r="AQ289" s="1">
        <f>[1]节奏总纲!BC289</f>
        <v>48.556559415179692</v>
      </c>
      <c r="AR289" s="1">
        <f>[1]节奏总纲!BD289</f>
        <v>51.308185407191495</v>
      </c>
      <c r="AS289" s="1">
        <f>[1]节奏总纲!BE289</f>
        <v>56.032520096468168</v>
      </c>
    </row>
    <row r="290" spans="17:45" x14ac:dyDescent="0.15">
      <c r="Q290" s="1">
        <v>287</v>
      </c>
      <c r="R290" s="1">
        <f>[1]节奏总纲!AD290</f>
        <v>81.691928656135218</v>
      </c>
      <c r="S290" s="1">
        <f>[1]节奏总纲!AE290</f>
        <v>83.783999922648647</v>
      </c>
      <c r="T290" s="1">
        <f>[1]节奏总纲!AF290</f>
        <v>86.732149062897662</v>
      </c>
      <c r="U290" s="1">
        <f>[1]节奏总纲!AG290</f>
        <v>91.758892008085141</v>
      </c>
      <c r="V290" s="1">
        <f>[1]节奏总纲!AH290</f>
        <v>100.65553788510059</v>
      </c>
      <c r="AN290" s="1">
        <v>287</v>
      </c>
      <c r="AO290" s="1">
        <f>[1]节奏总纲!BA290</f>
        <v>45.132785455171515</v>
      </c>
      <c r="AP290" s="1">
        <f>[1]节奏总纲!BB290</f>
        <v>46.633611232899469</v>
      </c>
      <c r="AQ290" s="1">
        <f>[1]节奏总纲!BC290</f>
        <v>48.580488081725846</v>
      </c>
      <c r="AR290" s="1">
        <f>[1]节奏总纲!BD290</f>
        <v>51.331291175110337</v>
      </c>
      <c r="AS290" s="1">
        <f>[1]节奏总纲!BE290</f>
        <v>56.054727845851275</v>
      </c>
    </row>
    <row r="291" spans="17:45" x14ac:dyDescent="0.15">
      <c r="Q291" s="1">
        <v>288</v>
      </c>
      <c r="R291" s="1">
        <f>[1]节奏总纲!AD291</f>
        <v>81.742708707624971</v>
      </c>
      <c r="S291" s="1">
        <f>[1]节奏总纲!AE291</f>
        <v>83.834710440019307</v>
      </c>
      <c r="T291" s="1">
        <f>[1]节奏总纲!AF291</f>
        <v>86.781726755341069</v>
      </c>
      <c r="U291" s="1">
        <f>[1]节奏总纲!AG291</f>
        <v>91.811644810743374</v>
      </c>
      <c r="V291" s="1">
        <f>[1]节奏总纲!AH291</f>
        <v>100.70917290049066</v>
      </c>
      <c r="AN291" s="1">
        <v>288</v>
      </c>
      <c r="AO291" s="1">
        <f>[1]节奏总纲!BA291</f>
        <v>45.155102338393618</v>
      </c>
      <c r="AP291" s="1">
        <f>[1]节奏总纲!BB291</f>
        <v>46.657691286422882</v>
      </c>
      <c r="AQ291" s="1">
        <f>[1]节奏总纲!BC291</f>
        <v>48.604416748272008</v>
      </c>
      <c r="AR291" s="1">
        <f>[1]节奏总纲!BD291</f>
        <v>51.354396943029187</v>
      </c>
      <c r="AS291" s="1">
        <f>[1]节奏总纲!BE291</f>
        <v>56.076935595234382</v>
      </c>
    </row>
    <row r="292" spans="17:45" x14ac:dyDescent="0.15">
      <c r="Q292" s="1">
        <v>289</v>
      </c>
      <c r="R292" s="1">
        <f>[1]节奏总纲!AD292</f>
        <v>81.793488759114723</v>
      </c>
      <c r="S292" s="1">
        <f>[1]节奏总纲!AE292</f>
        <v>83.885420957389968</v>
      </c>
      <c r="T292" s="1">
        <f>[1]节奏总纲!AF292</f>
        <v>86.831304447784476</v>
      </c>
      <c r="U292" s="1">
        <f>[1]节奏总纲!AG292</f>
        <v>91.864397613401607</v>
      </c>
      <c r="V292" s="1">
        <f>[1]节奏总纲!AH292</f>
        <v>100.76280791588073</v>
      </c>
      <c r="AN292" s="1">
        <v>289</v>
      </c>
      <c r="AO292" s="1">
        <f>[1]节奏总纲!BA292</f>
        <v>45.177419221615722</v>
      </c>
      <c r="AP292" s="1">
        <f>[1]节奏总纲!BB292</f>
        <v>46.681771339946287</v>
      </c>
      <c r="AQ292" s="1">
        <f>[1]节奏总纲!BC292</f>
        <v>48.628345414818163</v>
      </c>
      <c r="AR292" s="1">
        <f>[1]节奏总纲!BD292</f>
        <v>51.377502710948029</v>
      </c>
      <c r="AS292" s="1">
        <f>[1]节奏总纲!BE292</f>
        <v>56.099143344617488</v>
      </c>
    </row>
    <row r="293" spans="17:45" x14ac:dyDescent="0.15">
      <c r="Q293" s="1">
        <v>290</v>
      </c>
      <c r="R293" s="1">
        <f>[1]节奏总纲!AD293</f>
        <v>81.844268810604476</v>
      </c>
      <c r="S293" s="1">
        <f>[1]节奏总纲!AE293</f>
        <v>83.936131474760614</v>
      </c>
      <c r="T293" s="1">
        <f>[1]节奏总纲!AF293</f>
        <v>86.880882140227882</v>
      </c>
      <c r="U293" s="1">
        <f>[1]节奏总纲!AG293</f>
        <v>91.917150416059826</v>
      </c>
      <c r="V293" s="1">
        <f>[1]节奏总纲!AH293</f>
        <v>100.8164429312708</v>
      </c>
      <c r="AN293" s="1">
        <v>290</v>
      </c>
      <c r="AO293" s="1">
        <f>[1]节奏总纲!BA293</f>
        <v>45.199736104837825</v>
      </c>
      <c r="AP293" s="1">
        <f>[1]节奏总纲!BB293</f>
        <v>46.7058513934697</v>
      </c>
      <c r="AQ293" s="1">
        <f>[1]节奏总纲!BC293</f>
        <v>48.652274081364318</v>
      </c>
      <c r="AR293" s="1">
        <f>[1]节奏总纲!BD293</f>
        <v>51.400608478866879</v>
      </c>
      <c r="AS293" s="1">
        <f>[1]节奏总纲!BE293</f>
        <v>56.121351094000602</v>
      </c>
    </row>
    <row r="294" spans="17:45" x14ac:dyDescent="0.15">
      <c r="Q294" s="1">
        <v>291</v>
      </c>
      <c r="R294" s="1">
        <f>[1]节奏总纲!AD294</f>
        <v>81.895048862094228</v>
      </c>
      <c r="S294" s="1">
        <f>[1]节奏总纲!AE294</f>
        <v>83.986841992131275</v>
      </c>
      <c r="T294" s="1">
        <f>[1]节奏总纲!AF294</f>
        <v>86.930459832671289</v>
      </c>
      <c r="U294" s="1">
        <f>[1]节奏总纲!AG294</f>
        <v>91.969903218718059</v>
      </c>
      <c r="V294" s="1">
        <f>[1]节奏总纲!AH294</f>
        <v>100.87007794666089</v>
      </c>
      <c r="AN294" s="1">
        <v>291</v>
      </c>
      <c r="AO294" s="1">
        <f>[1]节奏总纲!BA294</f>
        <v>45.222052988059936</v>
      </c>
      <c r="AP294" s="1">
        <f>[1]节奏总纲!BB294</f>
        <v>46.729931446993106</v>
      </c>
      <c r="AQ294" s="1">
        <f>[1]节奏总纲!BC294</f>
        <v>48.67620274791048</v>
      </c>
      <c r="AR294" s="1">
        <f>[1]节奏总纲!BD294</f>
        <v>51.423714246785721</v>
      </c>
      <c r="AS294" s="1">
        <f>[1]节奏总纲!BE294</f>
        <v>56.143558843383708</v>
      </c>
    </row>
    <row r="295" spans="17:45" x14ac:dyDescent="0.15">
      <c r="Q295" s="1">
        <v>292</v>
      </c>
      <c r="R295" s="1">
        <f>[1]节奏总纲!AD295</f>
        <v>81.945828913583981</v>
      </c>
      <c r="S295" s="1">
        <f>[1]节奏总纲!AE295</f>
        <v>84.036191564035917</v>
      </c>
      <c r="T295" s="1">
        <f>[1]节奏总纲!AF295</f>
        <v>86.980037525114682</v>
      </c>
      <c r="U295" s="1">
        <f>[1]节奏总纲!AG295</f>
        <v>92.021521414287719</v>
      </c>
      <c r="V295" s="1">
        <f>[1]节奏总纲!AH295</f>
        <v>100.92371296205096</v>
      </c>
      <c r="AN295" s="1">
        <v>292</v>
      </c>
      <c r="AO295" s="1">
        <f>[1]节奏总纲!BA295</f>
        <v>45.244369871282039</v>
      </c>
      <c r="AP295" s="1">
        <f>[1]节奏总纲!BB295</f>
        <v>46.754011500516519</v>
      </c>
      <c r="AQ295" s="1">
        <f>[1]节奏总纲!BC295</f>
        <v>48.700131414456635</v>
      </c>
      <c r="AR295" s="1">
        <f>[1]节奏总纲!BD295</f>
        <v>51.446820014704571</v>
      </c>
      <c r="AS295" s="1">
        <f>[1]节奏总纲!BE295</f>
        <v>56.165766592766815</v>
      </c>
    </row>
    <row r="296" spans="17:45" x14ac:dyDescent="0.15">
      <c r="Q296" s="1">
        <v>293</v>
      </c>
      <c r="R296" s="1">
        <f>[1]节奏总纲!AD296</f>
        <v>81.996608965073733</v>
      </c>
      <c r="S296" s="1">
        <f>[1]节奏总纲!AE296</f>
        <v>84.085064274836242</v>
      </c>
      <c r="T296" s="1">
        <f>[1]节奏总纲!AF296</f>
        <v>87.029133791498197</v>
      </c>
      <c r="U296" s="1">
        <f>[1]节奏总纲!AG296</f>
        <v>92.071632371634976</v>
      </c>
      <c r="V296" s="1">
        <f>[1]节奏总纲!AH296</f>
        <v>100.97734797744103</v>
      </c>
      <c r="AN296" s="1">
        <v>293</v>
      </c>
      <c r="AO296" s="1">
        <f>[1]节奏总纲!BA296</f>
        <v>45.266686754504143</v>
      </c>
      <c r="AP296" s="1">
        <f>[1]节奏总纲!BB296</f>
        <v>46.778091554039925</v>
      </c>
      <c r="AQ296" s="1">
        <f>[1]节奏总纲!BC296</f>
        <v>48.72406008100279</v>
      </c>
      <c r="AR296" s="1">
        <f>[1]节奏总纲!BD296</f>
        <v>51.46992578262342</v>
      </c>
      <c r="AS296" s="1">
        <f>[1]节奏总纲!BE296</f>
        <v>56.187974342149921</v>
      </c>
    </row>
    <row r="297" spans="17:45" x14ac:dyDescent="0.15">
      <c r="Q297" s="1">
        <v>294</v>
      </c>
      <c r="R297" s="1">
        <f>[1]节奏总纲!AD297</f>
        <v>82.044215515890215</v>
      </c>
      <c r="S297" s="1">
        <f>[1]节奏总纲!AE297</f>
        <v>84.133936985636566</v>
      </c>
      <c r="T297" s="1">
        <f>[1]节奏总纲!AF297</f>
        <v>87.077905547159801</v>
      </c>
      <c r="U297" s="1">
        <f>[1]节奏总纲!AG297</f>
        <v>92.121743328982234</v>
      </c>
      <c r="V297" s="1">
        <f>[1]节奏总纲!AH297</f>
        <v>101.02868392415382</v>
      </c>
      <c r="AN297" s="1">
        <v>294</v>
      </c>
      <c r="AO297" s="1">
        <f>[1]节奏总纲!BA297</f>
        <v>45.289003637726246</v>
      </c>
      <c r="AP297" s="1">
        <f>[1]节奏总纲!BB297</f>
        <v>46.802171607563338</v>
      </c>
      <c r="AQ297" s="1">
        <f>[1]节奏总纲!BC297</f>
        <v>48.747988747548945</v>
      </c>
      <c r="AR297" s="1">
        <f>[1]节奏总纲!BD297</f>
        <v>51.493031550542263</v>
      </c>
      <c r="AS297" s="1">
        <f>[1]节奏总纲!BE297</f>
        <v>56.210182091533035</v>
      </c>
    </row>
    <row r="298" spans="17:45" x14ac:dyDescent="0.15">
      <c r="Q298" s="1">
        <v>295</v>
      </c>
      <c r="R298" s="1">
        <f>[1]节奏总纲!AD298</f>
        <v>82.091594979242089</v>
      </c>
      <c r="S298" s="1">
        <f>[1]节奏总纲!AE298</f>
        <v>84.182809696436891</v>
      </c>
      <c r="T298" s="1">
        <f>[1]节奏总纲!AF298</f>
        <v>87.126677302821392</v>
      </c>
      <c r="U298" s="1">
        <f>[1]节奏总纲!AG298</f>
        <v>92.171854286329506</v>
      </c>
      <c r="V298" s="1">
        <f>[1]节奏总纲!AH298</f>
        <v>101.07833899530283</v>
      </c>
      <c r="AN298" s="1">
        <v>295</v>
      </c>
      <c r="AO298" s="1">
        <f>[1]节奏总纲!BA298</f>
        <v>45.31132052094835</v>
      </c>
      <c r="AP298" s="1">
        <f>[1]节奏总纲!BB298</f>
        <v>46.826251661086744</v>
      </c>
      <c r="AQ298" s="1">
        <f>[1]节奏总纲!BC298</f>
        <v>48.771917414095107</v>
      </c>
      <c r="AR298" s="1">
        <f>[1]节奏总纲!BD298</f>
        <v>51.516137318461112</v>
      </c>
      <c r="AS298" s="1">
        <f>[1]节奏总纲!BE298</f>
        <v>56.232389840916142</v>
      </c>
    </row>
    <row r="299" spans="17:45" x14ac:dyDescent="0.15">
      <c r="Q299" s="1">
        <v>296</v>
      </c>
      <c r="R299" s="1">
        <f>[1]节奏总纲!AD299</f>
        <v>82.138974442593963</v>
      </c>
      <c r="S299" s="1">
        <f>[1]节奏总纲!AE299</f>
        <v>84.23168240723723</v>
      </c>
      <c r="T299" s="1">
        <f>[1]节奏总纲!AF299</f>
        <v>87.175449058482982</v>
      </c>
      <c r="U299" s="1">
        <f>[1]节奏总纲!AG299</f>
        <v>92.221965243676763</v>
      </c>
      <c r="V299" s="1">
        <f>[1]节奏总纲!AH299</f>
        <v>101.12799406645185</v>
      </c>
      <c r="AN299" s="1">
        <v>296</v>
      </c>
      <c r="AO299" s="1">
        <f>[1]节奏总纲!BA299</f>
        <v>45.333637404170453</v>
      </c>
      <c r="AP299" s="1">
        <f>[1]节奏总纲!BB299</f>
        <v>46.850331714610157</v>
      </c>
      <c r="AQ299" s="1">
        <f>[1]节奏总纲!BC299</f>
        <v>48.795846080641262</v>
      </c>
      <c r="AR299" s="1">
        <f>[1]节奏总纲!BD299</f>
        <v>51.539243086379955</v>
      </c>
      <c r="AS299" s="1">
        <f>[1]节奏总纲!BE299</f>
        <v>56.254597590299248</v>
      </c>
    </row>
    <row r="300" spans="17:45" x14ac:dyDescent="0.15">
      <c r="Q300" s="1">
        <v>297</v>
      </c>
      <c r="R300" s="1">
        <f>[1]节奏总纲!AD300</f>
        <v>82.186353905945836</v>
      </c>
      <c r="S300" s="1">
        <f>[1]节奏总纲!AE300</f>
        <v>84.280555118037555</v>
      </c>
      <c r="T300" s="1">
        <f>[1]节奏总纲!AF300</f>
        <v>87.224220814144587</v>
      </c>
      <c r="U300" s="1">
        <f>[1]节奏总纲!AG300</f>
        <v>92.272076201024021</v>
      </c>
      <c r="V300" s="1">
        <f>[1]节奏总纲!AH300</f>
        <v>101.17764913760085</v>
      </c>
      <c r="AN300" s="1">
        <v>297</v>
      </c>
      <c r="AO300" s="1">
        <f>[1]节奏总纲!BA300</f>
        <v>45.355954287392557</v>
      </c>
      <c r="AP300" s="1">
        <f>[1]节奏总纲!BB300</f>
        <v>46.874411768133562</v>
      </c>
      <c r="AQ300" s="1">
        <f>[1]节奏总纲!BC300</f>
        <v>48.819774747187417</v>
      </c>
      <c r="AR300" s="1">
        <f>[1]节奏总纲!BD300</f>
        <v>51.562348854298804</v>
      </c>
      <c r="AS300" s="1">
        <f>[1]节奏总纲!BE300</f>
        <v>56.276805339682355</v>
      </c>
    </row>
    <row r="301" spans="17:45" x14ac:dyDescent="0.15">
      <c r="Q301" s="1">
        <v>298</v>
      </c>
      <c r="R301" s="1">
        <f>[1]节奏总纲!AD301</f>
        <v>82.23373336929771</v>
      </c>
      <c r="S301" s="1">
        <f>[1]节奏总纲!AE301</f>
        <v>84.329427828837879</v>
      </c>
      <c r="T301" s="1">
        <f>[1]节奏总纲!AF301</f>
        <v>87.272992569806178</v>
      </c>
      <c r="U301" s="1">
        <f>[1]节奏总纲!AG301</f>
        <v>92.322187158371293</v>
      </c>
      <c r="V301" s="1">
        <f>[1]节奏总纲!AH301</f>
        <v>101.22730420874987</v>
      </c>
      <c r="AN301" s="1">
        <v>298</v>
      </c>
      <c r="AO301" s="1">
        <f>[1]节奏总纲!BA301</f>
        <v>45.37827117061466</v>
      </c>
      <c r="AP301" s="1">
        <f>[1]节奏总纲!BB301</f>
        <v>46.898491821656968</v>
      </c>
      <c r="AQ301" s="1">
        <f>[1]节奏总纲!BC301</f>
        <v>48.843703413733579</v>
      </c>
      <c r="AR301" s="1">
        <f>[1]节奏总纲!BD301</f>
        <v>51.585454622217647</v>
      </c>
      <c r="AS301" s="1">
        <f>[1]节奏总纲!BE301</f>
        <v>56.299013089065468</v>
      </c>
    </row>
    <row r="302" spans="17:45" x14ac:dyDescent="0.15">
      <c r="Q302" s="1">
        <v>299</v>
      </c>
      <c r="R302" s="1">
        <f>[1]节奏总纲!AD302</f>
        <v>82.281112832649583</v>
      </c>
      <c r="S302" s="1">
        <f>[1]节奏总纲!AE302</f>
        <v>84.378300539638204</v>
      </c>
      <c r="T302" s="1">
        <f>[1]节奏总纲!AF302</f>
        <v>87.321764325467768</v>
      </c>
      <c r="U302" s="1">
        <f>[1]节奏总纲!AG302</f>
        <v>92.37229811571855</v>
      </c>
      <c r="V302" s="1">
        <f>[1]节奏总纲!AH302</f>
        <v>101.27695927989888</v>
      </c>
      <c r="AN302" s="1">
        <v>299</v>
      </c>
      <c r="AO302" s="1">
        <f>[1]节奏总纲!BA302</f>
        <v>45.400588053836763</v>
      </c>
      <c r="AP302" s="1">
        <f>[1]节奏总纲!BB302</f>
        <v>46.922571875180381</v>
      </c>
      <c r="AQ302" s="1">
        <f>[1]节奏总纲!BC302</f>
        <v>48.867632080279733</v>
      </c>
      <c r="AR302" s="1">
        <f>[1]节奏总纲!BD302</f>
        <v>51.608560390136496</v>
      </c>
      <c r="AS302" s="1">
        <f>[1]节奏总纲!BE302</f>
        <v>56.321220838448575</v>
      </c>
    </row>
    <row r="303" spans="17:45" x14ac:dyDescent="0.15">
      <c r="Q303" s="1">
        <v>300</v>
      </c>
      <c r="R303" s="1">
        <f>[1]节奏总纲!AD303</f>
        <v>82.328492296001457</v>
      </c>
      <c r="S303" s="1">
        <f>[1]节奏总纲!AE303</f>
        <v>84.427173250438543</v>
      </c>
      <c r="T303" s="1">
        <f>[1]节奏总纲!AF303</f>
        <v>87.370536081129359</v>
      </c>
      <c r="U303" s="1">
        <f>[1]节奏总纲!AG303</f>
        <v>92.422409073065808</v>
      </c>
      <c r="V303" s="1">
        <f>[1]节奏总纲!AH303</f>
        <v>101.32661435104789</v>
      </c>
      <c r="AN303" s="1">
        <v>300</v>
      </c>
      <c r="AO303" s="1">
        <f>[1]节奏总纲!BA303</f>
        <v>45.422904937058867</v>
      </c>
      <c r="AP303" s="1">
        <f>[1]节奏总纲!BB303</f>
        <v>46.946651928703787</v>
      </c>
      <c r="AQ303" s="1">
        <f>[1]节奏总纲!BC303</f>
        <v>48.891560746825888</v>
      </c>
      <c r="AR303" s="1">
        <f>[1]节奏总纲!BD303</f>
        <v>51.631666158055346</v>
      </c>
      <c r="AS303" s="1">
        <f>[1]节奏总纲!BE303</f>
        <v>56.343428587831681</v>
      </c>
    </row>
    <row r="304" spans="17:45" x14ac:dyDescent="0.15">
      <c r="Q304" s="1">
        <v>301</v>
      </c>
      <c r="R304" s="1">
        <f>[1]节奏总纲!AD304</f>
        <v>82.375871759353331</v>
      </c>
      <c r="S304" s="1">
        <f>[1]节奏总纲!AE304</f>
        <v>84.476045961238867</v>
      </c>
      <c r="T304" s="1">
        <f>[1]节奏总纲!AF304</f>
        <v>87.419307836790964</v>
      </c>
      <c r="U304" s="1">
        <f>[1]节奏总纲!AG304</f>
        <v>92.472520030413079</v>
      </c>
      <c r="V304" s="1">
        <f>[1]节奏总纲!AH304</f>
        <v>101.3762694221969</v>
      </c>
      <c r="AN304" s="1">
        <v>301</v>
      </c>
      <c r="AO304" s="1">
        <f>[1]节奏总纲!BA304</f>
        <v>45.44522182028097</v>
      </c>
      <c r="AP304" s="1">
        <f>[1]节奏总纲!BB304</f>
        <v>46.9707319822272</v>
      </c>
      <c r="AQ304" s="1">
        <f>[1]节奏总纲!BC304</f>
        <v>48.91548941337205</v>
      </c>
      <c r="AR304" s="1">
        <f>[1]节奏总纲!BD304</f>
        <v>51.654771925974188</v>
      </c>
      <c r="AS304" s="1">
        <f>[1]节奏总纲!BE304</f>
        <v>56.365636337214795</v>
      </c>
    </row>
    <row r="305" spans="17:45" x14ac:dyDescent="0.15">
      <c r="Q305" s="1">
        <v>302</v>
      </c>
      <c r="R305" s="1">
        <f>[1]节奏总纲!AD305</f>
        <v>82.423251222705204</v>
      </c>
      <c r="S305" s="1">
        <f>[1]节奏总纲!AE305</f>
        <v>84.524918672039192</v>
      </c>
      <c r="T305" s="1">
        <f>[1]节奏总纲!AF305</f>
        <v>87.468079592452554</v>
      </c>
      <c r="U305" s="1">
        <f>[1]节奏总纲!AG305</f>
        <v>92.522630987760337</v>
      </c>
      <c r="V305" s="1">
        <f>[1]节奏总纲!AH305</f>
        <v>101.42592449334592</v>
      </c>
      <c r="AN305" s="1">
        <v>302</v>
      </c>
      <c r="AO305" s="1">
        <f>[1]节奏总纲!BA305</f>
        <v>45.467538703503074</v>
      </c>
      <c r="AP305" s="1">
        <f>[1]节奏总纲!BB305</f>
        <v>46.994812035750606</v>
      </c>
      <c r="AQ305" s="1">
        <f>[1]节奏总纲!BC305</f>
        <v>48.939418079918205</v>
      </c>
      <c r="AR305" s="1">
        <f>[1]节奏总纲!BD305</f>
        <v>51.677877693893038</v>
      </c>
      <c r="AS305" s="1">
        <f>[1]节奏总纲!BE305</f>
        <v>56.387844086597902</v>
      </c>
    </row>
    <row r="306" spans="17:45" x14ac:dyDescent="0.15">
      <c r="Q306" s="1">
        <v>303</v>
      </c>
      <c r="R306" s="1">
        <f>[1]节奏总纲!AD306</f>
        <v>82.470630686057078</v>
      </c>
      <c r="S306" s="1">
        <f>[1]节奏总纲!AE306</f>
        <v>84.573791382839516</v>
      </c>
      <c r="T306" s="1">
        <f>[1]节奏总纲!AF306</f>
        <v>87.516851348114145</v>
      </c>
      <c r="U306" s="1">
        <f>[1]节奏总纲!AG306</f>
        <v>92.572741945107595</v>
      </c>
      <c r="V306" s="1">
        <f>[1]节奏总纲!AH306</f>
        <v>101.47557956449492</v>
      </c>
      <c r="AN306" s="1">
        <v>303</v>
      </c>
      <c r="AO306" s="1">
        <f>[1]节奏总纲!BA306</f>
        <v>45.489855586725177</v>
      </c>
      <c r="AP306" s="1">
        <f>[1]节奏总纲!BB306</f>
        <v>47.016308935086101</v>
      </c>
      <c r="AQ306" s="1">
        <f>[1]节奏总纲!BC306</f>
        <v>48.96334674646436</v>
      </c>
      <c r="AR306" s="1">
        <f>[1]节奏总纲!BD306</f>
        <v>51.70098346181188</v>
      </c>
      <c r="AS306" s="1">
        <f>[1]节奏总纲!BE306</f>
        <v>56.410051835981008</v>
      </c>
    </row>
    <row r="307" spans="17:45" x14ac:dyDescent="0.15">
      <c r="Q307" s="1">
        <v>304</v>
      </c>
      <c r="R307" s="1">
        <f>[1]节奏总纲!AD307</f>
        <v>82.518010149408951</v>
      </c>
      <c r="S307" s="1">
        <f>[1]节奏总纲!AE307</f>
        <v>84.622664093639855</v>
      </c>
      <c r="T307" s="1">
        <f>[1]节奏总纲!AF307</f>
        <v>87.565623103775735</v>
      </c>
      <c r="U307" s="1">
        <f>[1]节奏总纲!AG307</f>
        <v>92.622852902454852</v>
      </c>
      <c r="V307" s="1">
        <f>[1]节奏总纲!AH307</f>
        <v>101.52523463564394</v>
      </c>
      <c r="AN307" s="1">
        <v>304</v>
      </c>
      <c r="AO307" s="1">
        <f>[1]节奏总纲!BA307</f>
        <v>45.512172469947281</v>
      </c>
      <c r="AP307" s="1">
        <f>[1]节奏总纲!BB307</f>
        <v>47.037096473408994</v>
      </c>
      <c r="AQ307" s="1">
        <f>[1]节奏总纲!BC307</f>
        <v>48.987275413010522</v>
      </c>
      <c r="AR307" s="1">
        <f>[1]节奏总纲!BD307</f>
        <v>51.72408922973073</v>
      </c>
      <c r="AS307" s="1">
        <f>[1]节奏总纲!BE307</f>
        <v>56.432259585364115</v>
      </c>
    </row>
    <row r="308" spans="17:45" x14ac:dyDescent="0.15">
      <c r="Q308" s="1">
        <v>305</v>
      </c>
      <c r="R308" s="1">
        <f>[1]节奏总纲!AD308</f>
        <v>82.565389612760825</v>
      </c>
      <c r="S308" s="1">
        <f>[1]节奏总纲!AE308</f>
        <v>84.67153680444018</v>
      </c>
      <c r="T308" s="1">
        <f>[1]节奏总纲!AF308</f>
        <v>87.61439485943734</v>
      </c>
      <c r="U308" s="1">
        <f>[1]节奏总纲!AG308</f>
        <v>92.672963859802124</v>
      </c>
      <c r="V308" s="1">
        <f>[1]节奏总纲!AH308</f>
        <v>101.57488970679294</v>
      </c>
      <c r="AN308" s="1">
        <v>305</v>
      </c>
      <c r="AO308" s="1">
        <f>[1]节奏总纲!BA308</f>
        <v>45.534489353169384</v>
      </c>
      <c r="AP308" s="1">
        <f>[1]节奏总纲!BB308</f>
        <v>47.057884011731893</v>
      </c>
      <c r="AQ308" s="1">
        <f>[1]节奏总纲!BC308</f>
        <v>49.009673493801003</v>
      </c>
      <c r="AR308" s="1">
        <f>[1]节奏总纲!BD308</f>
        <v>51.747194997649579</v>
      </c>
      <c r="AS308" s="1">
        <f>[1]节奏总纲!BE308</f>
        <v>56.454467334747228</v>
      </c>
    </row>
    <row r="309" spans="17:45" x14ac:dyDescent="0.15">
      <c r="Q309" s="1">
        <v>306</v>
      </c>
      <c r="R309" s="1">
        <f>[1]节奏总纲!AD309</f>
        <v>82.612769076112698</v>
      </c>
      <c r="S309" s="1">
        <f>[1]节奏总纲!AE309</f>
        <v>84.720409515240505</v>
      </c>
      <c r="T309" s="1">
        <f>[1]节奏总纲!AF309</f>
        <v>87.66316661509893</v>
      </c>
      <c r="U309" s="1">
        <f>[1]节奏总纲!AG309</f>
        <v>92.723074817149381</v>
      </c>
      <c r="V309" s="1">
        <f>[1]节奏总纲!AH309</f>
        <v>101.62454477794196</v>
      </c>
      <c r="AN309" s="1">
        <v>306</v>
      </c>
      <c r="AO309" s="1">
        <f>[1]节奏总纲!BA309</f>
        <v>45.556806236391488</v>
      </c>
      <c r="AP309" s="1">
        <f>[1]节奏总纲!BB309</f>
        <v>47.078671550054786</v>
      </c>
      <c r="AQ309" s="1">
        <f>[1]节奏总纲!BC309</f>
        <v>49.030333272797542</v>
      </c>
      <c r="AR309" s="1">
        <f>[1]节奏总纲!BD309</f>
        <v>51.770300765568422</v>
      </c>
      <c r="AS309" s="1">
        <f>[1]节奏总纲!BE309</f>
        <v>56.476675084130335</v>
      </c>
    </row>
    <row r="310" spans="17:45" x14ac:dyDescent="0.15">
      <c r="Q310" s="1">
        <v>307</v>
      </c>
      <c r="R310" s="1">
        <f>[1]节奏总纲!AD310</f>
        <v>82.660148539464572</v>
      </c>
      <c r="S310" s="1">
        <f>[1]节奏总纲!AE310</f>
        <v>84.769282226040829</v>
      </c>
      <c r="T310" s="1">
        <f>[1]节奏总纲!AF310</f>
        <v>87.711938370760521</v>
      </c>
      <c r="U310" s="1">
        <f>[1]节奏总纲!AG310</f>
        <v>92.773185774496639</v>
      </c>
      <c r="V310" s="1">
        <f>[1]节奏总纲!AH310</f>
        <v>101.67419984909097</v>
      </c>
      <c r="AN310" s="1">
        <v>307</v>
      </c>
      <c r="AO310" s="1">
        <f>[1]节奏总纲!BA310</f>
        <v>45.579123119613591</v>
      </c>
      <c r="AP310" s="1">
        <f>[1]节奏总纲!BB310</f>
        <v>47.099459088377678</v>
      </c>
      <c r="AQ310" s="1">
        <f>[1]节奏总纲!BC310</f>
        <v>49.05099305179408</v>
      </c>
      <c r="AR310" s="1">
        <f>[1]节奏总纲!BD310</f>
        <v>51.793406533487271</v>
      </c>
      <c r="AS310" s="1">
        <f>[1]节奏总纲!BE310</f>
        <v>56.498882833513441</v>
      </c>
    </row>
    <row r="311" spans="17:45" x14ac:dyDescent="0.15">
      <c r="Q311" s="1">
        <v>308</v>
      </c>
      <c r="R311" s="1">
        <f>[1]节奏总纲!AD311</f>
        <v>82.707528002816446</v>
      </c>
      <c r="S311" s="1">
        <f>[1]节奏总纲!AE311</f>
        <v>84.818154936841154</v>
      </c>
      <c r="T311" s="1">
        <f>[1]节奏总纲!AF311</f>
        <v>87.760710126422126</v>
      </c>
      <c r="U311" s="1">
        <f>[1]节奏总纲!AG311</f>
        <v>92.823296731843911</v>
      </c>
      <c r="V311" s="1">
        <f>[1]节奏总纲!AH311</f>
        <v>101.72385492023999</v>
      </c>
      <c r="AN311" s="1">
        <v>308</v>
      </c>
      <c r="AO311" s="1">
        <f>[1]节奏总纲!BA311</f>
        <v>45.601440002835695</v>
      </c>
      <c r="AP311" s="1">
        <f>[1]节奏总纲!BB311</f>
        <v>47.12024662670057</v>
      </c>
      <c r="AQ311" s="1">
        <f>[1]节奏总纲!BC311</f>
        <v>49.071652830790612</v>
      </c>
      <c r="AR311" s="1">
        <f>[1]节奏总纲!BD311</f>
        <v>51.816512301406114</v>
      </c>
      <c r="AS311" s="1">
        <f>[1]节奏总纲!BE311</f>
        <v>56.521090582896548</v>
      </c>
    </row>
    <row r="312" spans="17:45" x14ac:dyDescent="0.15">
      <c r="Q312" s="1">
        <v>309</v>
      </c>
      <c r="R312" s="1">
        <f>[1]节奏总纲!AD312</f>
        <v>82.754907466168319</v>
      </c>
      <c r="S312" s="1">
        <f>[1]节奏总纲!AE312</f>
        <v>84.867027647641493</v>
      </c>
      <c r="T312" s="1">
        <f>[1]节奏总纲!AF312</f>
        <v>87.809481882083716</v>
      </c>
      <c r="U312" s="1">
        <f>[1]节奏总纲!AG312</f>
        <v>92.873407689191168</v>
      </c>
      <c r="V312" s="1">
        <f>[1]节奏总纲!AH312</f>
        <v>101.77350999138899</v>
      </c>
      <c r="AN312" s="1">
        <v>309</v>
      </c>
      <c r="AO312" s="1">
        <f>[1]节奏总纲!BA312</f>
        <v>45.623756886057798</v>
      </c>
      <c r="AP312" s="1">
        <f>[1]节奏总纲!BB312</f>
        <v>47.14103416502347</v>
      </c>
      <c r="AQ312" s="1">
        <f>[1]节奏总纲!BC312</f>
        <v>49.09231260978715</v>
      </c>
      <c r="AR312" s="1">
        <f>[1]节奏总纲!BD312</f>
        <v>51.839618069324963</v>
      </c>
      <c r="AS312" s="1">
        <f>[1]节奏总纲!BE312</f>
        <v>56.543298332279662</v>
      </c>
    </row>
    <row r="313" spans="17:45" x14ac:dyDescent="0.15">
      <c r="Q313" s="1">
        <v>310</v>
      </c>
      <c r="R313" s="1">
        <f>[1]节奏总纲!AD313</f>
        <v>82.802286929520193</v>
      </c>
      <c r="S313" s="1">
        <f>[1]节奏总纲!AE313</f>
        <v>84.915900358441817</v>
      </c>
      <c r="T313" s="1">
        <f>[1]节奏总纲!AF313</f>
        <v>87.858253637745307</v>
      </c>
      <c r="U313" s="1">
        <f>[1]节奏总纲!AG313</f>
        <v>92.923518646538426</v>
      </c>
      <c r="V313" s="1">
        <f>[1]节奏总纲!AH313</f>
        <v>101.82316506253801</v>
      </c>
      <c r="AN313" s="1">
        <v>310</v>
      </c>
      <c r="AO313" s="1">
        <f>[1]节奏总纲!BA313</f>
        <v>45.646073769279901</v>
      </c>
      <c r="AP313" s="1">
        <f>[1]节奏总纲!BB313</f>
        <v>47.161821703346362</v>
      </c>
      <c r="AQ313" s="1">
        <f>[1]节奏总纲!BC313</f>
        <v>49.112972388783689</v>
      </c>
      <c r="AR313" s="1">
        <f>[1]节奏总纲!BD313</f>
        <v>51.862723837243806</v>
      </c>
      <c r="AS313" s="1">
        <f>[1]节奏总纲!BE313</f>
        <v>56.565506081662768</v>
      </c>
    </row>
    <row r="314" spans="17:45" x14ac:dyDescent="0.15">
      <c r="Q314" s="1">
        <v>311</v>
      </c>
      <c r="R314" s="1">
        <f>[1]节奏总纲!AD314</f>
        <v>82.849666392872066</v>
      </c>
      <c r="S314" s="1">
        <f>[1]节奏总纲!AE314</f>
        <v>84.964773069242142</v>
      </c>
      <c r="T314" s="1">
        <f>[1]节奏总纲!AF314</f>
        <v>87.907025393406897</v>
      </c>
      <c r="U314" s="1">
        <f>[1]节奏总纲!AG314</f>
        <v>92.973629603885698</v>
      </c>
      <c r="V314" s="1">
        <f>[1]节奏总纲!AH314</f>
        <v>101.87282013368701</v>
      </c>
      <c r="AN314" s="1">
        <v>311</v>
      </c>
      <c r="AO314" s="1">
        <f>[1]节奏总纲!BA314</f>
        <v>45.668390652502012</v>
      </c>
      <c r="AP314" s="1">
        <f>[1]节奏总纲!BB314</f>
        <v>47.182609241669255</v>
      </c>
      <c r="AQ314" s="1">
        <f>[1]节奏总纲!BC314</f>
        <v>49.133632167780227</v>
      </c>
      <c r="AR314" s="1">
        <f>[1]节奏总纲!BD314</f>
        <v>51.885829605162655</v>
      </c>
      <c r="AS314" s="1">
        <f>[1]节奏总纲!BE314</f>
        <v>56.587713831045875</v>
      </c>
    </row>
    <row r="315" spans="17:45" x14ac:dyDescent="0.15">
      <c r="Q315" s="1">
        <v>312</v>
      </c>
      <c r="R315" s="1">
        <f>[1]节奏总纲!AD315</f>
        <v>82.89704585622394</v>
      </c>
      <c r="S315" s="1">
        <f>[1]节奏总纲!AE315</f>
        <v>85.012531647506819</v>
      </c>
      <c r="T315" s="1">
        <f>[1]节奏总纲!AF315</f>
        <v>87.955797149068502</v>
      </c>
      <c r="U315" s="1">
        <f>[1]节奏总纲!AG315</f>
        <v>93.022367647203353</v>
      </c>
      <c r="V315" s="1">
        <f>[1]节奏总纲!AH315</f>
        <v>101.92247520483603</v>
      </c>
      <c r="AN315" s="1">
        <v>312</v>
      </c>
      <c r="AO315" s="1">
        <f>[1]节奏总纲!BA315</f>
        <v>45.690707535724115</v>
      </c>
      <c r="AP315" s="1">
        <f>[1]节奏总纲!BB315</f>
        <v>47.203396779992147</v>
      </c>
      <c r="AQ315" s="1">
        <f>[1]节奏总纲!BC315</f>
        <v>49.154291946776759</v>
      </c>
      <c r="AR315" s="1">
        <f>[1]节奏总纲!BD315</f>
        <v>51.908935373081505</v>
      </c>
      <c r="AS315" s="1">
        <f>[1]节奏总纲!BE315</f>
        <v>56.609921580428981</v>
      </c>
    </row>
    <row r="316" spans="17:45" x14ac:dyDescent="0.15">
      <c r="Q316" s="1">
        <v>313</v>
      </c>
      <c r="R316" s="1">
        <f>[1]节奏总纲!AD316</f>
        <v>82.944425319575814</v>
      </c>
      <c r="S316" s="1">
        <f>[1]节奏总纲!AE316</f>
        <v>85.057414064088832</v>
      </c>
      <c r="T316" s="1">
        <f>[1]节奏总纲!AF316</f>
        <v>88.004756197276762</v>
      </c>
      <c r="U316" s="1">
        <f>[1]节奏总纲!AG316</f>
        <v>93.069580693431178</v>
      </c>
      <c r="V316" s="1">
        <f>[1]节奏总纲!AH316</f>
        <v>101.97213027598504</v>
      </c>
      <c r="AN316" s="1">
        <v>313</v>
      </c>
      <c r="AO316" s="1">
        <f>[1]节奏总纲!BA316</f>
        <v>45.713024418946219</v>
      </c>
      <c r="AP316" s="1">
        <f>[1]节奏总纲!BB316</f>
        <v>47.224184318315039</v>
      </c>
      <c r="AQ316" s="1">
        <f>[1]节奏总纲!BC316</f>
        <v>49.174951725773298</v>
      </c>
      <c r="AR316" s="1">
        <f>[1]节奏总纲!BD316</f>
        <v>51.932041141000347</v>
      </c>
      <c r="AS316" s="1">
        <f>[1]节奏总纲!BE316</f>
        <v>56.632129329812095</v>
      </c>
    </row>
    <row r="317" spans="17:45" x14ac:dyDescent="0.15">
      <c r="Q317" s="1">
        <v>314</v>
      </c>
      <c r="R317" s="1">
        <f>[1]节奏总纲!AD317</f>
        <v>82.991804782927687</v>
      </c>
      <c r="S317" s="1">
        <f>[1]节奏总纲!AE317</f>
        <v>85.10229648067083</v>
      </c>
      <c r="T317" s="1">
        <f>[1]节奏总纲!AF317</f>
        <v>88.05552724748766</v>
      </c>
      <c r="U317" s="1">
        <f>[1]节奏总纲!AG317</f>
        <v>93.116793739659002</v>
      </c>
      <c r="V317" s="1">
        <f>[1]节奏总纲!AH317</f>
        <v>102.01969836502204</v>
      </c>
      <c r="AN317" s="1">
        <v>314</v>
      </c>
      <c r="AO317" s="1">
        <f>[1]节奏总纲!BA317</f>
        <v>45.735341302168322</v>
      </c>
      <c r="AP317" s="1">
        <f>[1]节奏总纲!BB317</f>
        <v>47.244971856637939</v>
      </c>
      <c r="AQ317" s="1">
        <f>[1]节奏总纲!BC317</f>
        <v>49.195611504769836</v>
      </c>
      <c r="AR317" s="1">
        <f>[1]节奏总纲!BD317</f>
        <v>51.955146908919197</v>
      </c>
      <c r="AS317" s="1">
        <f>[1]节奏总纲!BE317</f>
        <v>56.654337079195201</v>
      </c>
    </row>
    <row r="318" spans="17:45" x14ac:dyDescent="0.15">
      <c r="Q318" s="1">
        <v>315</v>
      </c>
      <c r="R318" s="1">
        <f>[1]节奏总纲!AD318</f>
        <v>83.03656019452734</v>
      </c>
      <c r="S318" s="1">
        <f>[1]节奏总纲!AE318</f>
        <v>85.147178897252829</v>
      </c>
      <c r="T318" s="1">
        <f>[1]节奏总纲!AF318</f>
        <v>88.106298297698572</v>
      </c>
      <c r="U318" s="1">
        <f>[1]节奏总纲!AG318</f>
        <v>93.164006785886826</v>
      </c>
      <c r="V318" s="1">
        <f>[1]节奏总纲!AH318</f>
        <v>102.06459660376342</v>
      </c>
      <c r="AN318" s="1">
        <v>315</v>
      </c>
      <c r="AO318" s="1">
        <f>[1]节奏总纲!BA318</f>
        <v>45.757658185390426</v>
      </c>
      <c r="AP318" s="1">
        <f>[1]节奏总纲!BB318</f>
        <v>47.265759394960831</v>
      </c>
      <c r="AQ318" s="1">
        <f>[1]节奏总纲!BC318</f>
        <v>49.216271283766375</v>
      </c>
      <c r="AR318" s="1">
        <f>[1]节奏总纲!BD318</f>
        <v>51.978252676838039</v>
      </c>
      <c r="AS318" s="1">
        <f>[1]节奏总纲!BE318</f>
        <v>56.676544828578308</v>
      </c>
    </row>
    <row r="319" spans="17:45" x14ac:dyDescent="0.15">
      <c r="Q319" s="1">
        <v>316</v>
      </c>
      <c r="R319" s="1">
        <f>[1]节奏总纲!AD319</f>
        <v>83.080766796955942</v>
      </c>
      <c r="S319" s="1">
        <f>[1]节奏总纲!AE319</f>
        <v>85.192061313834827</v>
      </c>
      <c r="T319" s="1">
        <f>[1]节奏总纲!AF319</f>
        <v>88.15706934790947</v>
      </c>
      <c r="U319" s="1">
        <f>[1]节奏总纲!AG319</f>
        <v>93.211219832114651</v>
      </c>
      <c r="V319" s="1">
        <f>[1]节奏总纲!AH319</f>
        <v>102.1094948425048</v>
      </c>
      <c r="AN319" s="1">
        <v>316</v>
      </c>
      <c r="AO319" s="1">
        <f>[1]节奏总纲!BA319</f>
        <v>45.779975068612529</v>
      </c>
      <c r="AP319" s="1">
        <f>[1]节奏总纲!BB319</f>
        <v>47.286546933283724</v>
      </c>
      <c r="AQ319" s="1">
        <f>[1]节奏总纲!BC319</f>
        <v>49.236931062762913</v>
      </c>
      <c r="AR319" s="1">
        <f>[1]节奏总纲!BD319</f>
        <v>52.001173105835825</v>
      </c>
      <c r="AS319" s="1">
        <f>[1]节奏总纲!BE319</f>
        <v>56.698752577961415</v>
      </c>
    </row>
    <row r="320" spans="17:45" x14ac:dyDescent="0.15">
      <c r="Q320" s="1">
        <v>317</v>
      </c>
      <c r="R320" s="1">
        <f>[1]节奏总纲!AD320</f>
        <v>83.124973399384558</v>
      </c>
      <c r="S320" s="1">
        <f>[1]节奏总纲!AE320</f>
        <v>85.236943730416826</v>
      </c>
      <c r="T320" s="1">
        <f>[1]节奏总纲!AF320</f>
        <v>88.207840398120382</v>
      </c>
      <c r="U320" s="1">
        <f>[1]节奏总纲!AG320</f>
        <v>93.258432878342475</v>
      </c>
      <c r="V320" s="1">
        <f>[1]节奏总纲!AH320</f>
        <v>102.15439308124618</v>
      </c>
      <c r="AN320" s="1">
        <v>317</v>
      </c>
      <c r="AO320" s="1">
        <f>[1]节奏总纲!BA320</f>
        <v>45.802291951834633</v>
      </c>
      <c r="AP320" s="1">
        <f>[1]节奏总纲!BB320</f>
        <v>47.307334471606616</v>
      </c>
      <c r="AQ320" s="1">
        <f>[1]节奏总纲!BC320</f>
        <v>49.257590841759445</v>
      </c>
      <c r="AR320" s="1">
        <f>[1]节奏总纲!BD320</f>
        <v>52.021126446631868</v>
      </c>
      <c r="AS320" s="1">
        <f>[1]节奏总纲!BE320</f>
        <v>56.720960327344528</v>
      </c>
    </row>
    <row r="321" spans="17:45" x14ac:dyDescent="0.15">
      <c r="Q321" s="1">
        <v>318</v>
      </c>
      <c r="R321" s="1">
        <f>[1]节奏总纲!AD321</f>
        <v>83.16918000181316</v>
      </c>
      <c r="S321" s="1">
        <f>[1]节奏总纲!AE321</f>
        <v>85.281826146998839</v>
      </c>
      <c r="T321" s="1">
        <f>[1]节奏总纲!AF321</f>
        <v>88.258611448331294</v>
      </c>
      <c r="U321" s="1">
        <f>[1]节奏总纲!AG321</f>
        <v>93.3056459245703</v>
      </c>
      <c r="V321" s="1">
        <f>[1]节奏总纲!AH321</f>
        <v>102.19929131998755</v>
      </c>
      <c r="AN321" s="1">
        <v>318</v>
      </c>
      <c r="AO321" s="1">
        <f>[1]节奏总纲!BA321</f>
        <v>45.824608835056736</v>
      </c>
      <c r="AP321" s="1">
        <f>[1]节奏总纲!BB321</f>
        <v>47.328122009929508</v>
      </c>
      <c r="AQ321" s="1">
        <f>[1]节奏总纲!BC321</f>
        <v>49.278250620755983</v>
      </c>
      <c r="AR321" s="1">
        <f>[1]节奏总纲!BD321</f>
        <v>52.041079787427918</v>
      </c>
      <c r="AS321" s="1">
        <f>[1]节奏总纲!BE321</f>
        <v>56.743168076727635</v>
      </c>
    </row>
    <row r="322" spans="17:45" x14ac:dyDescent="0.15">
      <c r="Q322" s="1">
        <v>319</v>
      </c>
      <c r="R322" s="1">
        <f>[1]节奏总纲!AD322</f>
        <v>83.213386604241776</v>
      </c>
      <c r="S322" s="1">
        <f>[1]节奏总纲!AE322</f>
        <v>85.326708563580837</v>
      </c>
      <c r="T322" s="1">
        <f>[1]节奏总纲!AF322</f>
        <v>88.309382498542192</v>
      </c>
      <c r="U322" s="1">
        <f>[1]节奏总纲!AG322</f>
        <v>93.352858970798124</v>
      </c>
      <c r="V322" s="1">
        <f>[1]节奏总纲!AH322</f>
        <v>102.24418955872893</v>
      </c>
      <c r="AN322" s="1">
        <v>319</v>
      </c>
      <c r="AO322" s="1">
        <f>[1]节奏总纲!BA322</f>
        <v>45.84692571827884</v>
      </c>
      <c r="AP322" s="1">
        <f>[1]节奏总纲!BB322</f>
        <v>47.348909548252408</v>
      </c>
      <c r="AQ322" s="1">
        <f>[1]节奏总纲!BC322</f>
        <v>49.298910399752522</v>
      </c>
      <c r="AR322" s="1">
        <f>[1]节奏总纲!BD322</f>
        <v>52.061033128223968</v>
      </c>
      <c r="AS322" s="1">
        <f>[1]节奏总纲!BE322</f>
        <v>56.765375826110741</v>
      </c>
    </row>
    <row r="323" spans="17:45" x14ac:dyDescent="0.15">
      <c r="Q323" s="1">
        <v>320</v>
      </c>
      <c r="R323" s="1">
        <f>[1]节奏总纲!AD323</f>
        <v>83.257593206670379</v>
      </c>
      <c r="S323" s="1">
        <f>[1]节奏总纲!AE323</f>
        <v>85.371590980162836</v>
      </c>
      <c r="T323" s="1">
        <f>[1]节奏总纲!AF323</f>
        <v>88.360153548753104</v>
      </c>
      <c r="U323" s="1">
        <f>[1]节奏总纲!AG323</f>
        <v>93.400072017025948</v>
      </c>
      <c r="V323" s="1">
        <f>[1]节奏总纲!AH323</f>
        <v>102.28908779747032</v>
      </c>
      <c r="AN323" s="1">
        <v>320</v>
      </c>
      <c r="AO323" s="1">
        <f>[1]节奏总纲!BA323</f>
        <v>45.869242601500943</v>
      </c>
      <c r="AP323" s="1">
        <f>[1]节奏总纲!BB323</f>
        <v>47.3696970865753</v>
      </c>
      <c r="AQ323" s="1">
        <f>[1]节奏总纲!BC323</f>
        <v>49.319570178749061</v>
      </c>
      <c r="AR323" s="1">
        <f>[1]节奏总纲!BD323</f>
        <v>52.080986469020011</v>
      </c>
      <c r="AS323" s="1">
        <f>[1]节奏总纲!BE323</f>
        <v>56.787583575493848</v>
      </c>
    </row>
    <row r="324" spans="17:45" x14ac:dyDescent="0.15">
      <c r="Q324" s="1">
        <v>321</v>
      </c>
      <c r="R324" s="1">
        <f>[1]节奏总纲!AD324</f>
        <v>83.301799809098995</v>
      </c>
      <c r="S324" s="1">
        <f>[1]节奏总纲!AE324</f>
        <v>85.416473396744834</v>
      </c>
      <c r="T324" s="1">
        <f>[1]节奏总纲!AF324</f>
        <v>88.410924598964016</v>
      </c>
      <c r="U324" s="1">
        <f>[1]节奏总纲!AG324</f>
        <v>93.447285063253773</v>
      </c>
      <c r="V324" s="1">
        <f>[1]节奏总纲!AH324</f>
        <v>102.3339860362117</v>
      </c>
      <c r="AN324" s="1">
        <v>321</v>
      </c>
      <c r="AO324" s="1">
        <f>[1]节奏总纲!BA324</f>
        <v>45.891559484723047</v>
      </c>
      <c r="AP324" s="1">
        <f>[1]节奏总纲!BB324</f>
        <v>47.390484624898193</v>
      </c>
      <c r="AQ324" s="1">
        <f>[1]节奏总纲!BC324</f>
        <v>49.340229957745592</v>
      </c>
      <c r="AR324" s="1">
        <f>[1]节奏总纲!BD324</f>
        <v>52.100939809816062</v>
      </c>
      <c r="AS324" s="1">
        <f>[1]节奏总纲!BE324</f>
        <v>56.809791324876961</v>
      </c>
    </row>
    <row r="325" spans="17:45" x14ac:dyDescent="0.15">
      <c r="Q325" s="1">
        <v>322</v>
      </c>
      <c r="R325" s="1">
        <f>[1]节奏总纲!AD325</f>
        <v>83.346006411527597</v>
      </c>
      <c r="S325" s="1">
        <f>[1]节奏总纲!AE325</f>
        <v>85.461355813326847</v>
      </c>
      <c r="T325" s="1">
        <f>[1]节奏总纲!AF325</f>
        <v>88.461695649174914</v>
      </c>
      <c r="U325" s="1">
        <f>[1]节奏总纲!AG325</f>
        <v>93.494498109481597</v>
      </c>
      <c r="V325" s="1">
        <f>[1]节奏总纲!AH325</f>
        <v>102.37888427495307</v>
      </c>
      <c r="AN325" s="1">
        <v>322</v>
      </c>
      <c r="AO325" s="1">
        <f>[1]节奏总纲!BA325</f>
        <v>45.91387636794515</v>
      </c>
      <c r="AP325" s="1">
        <f>[1]节奏总纲!BB325</f>
        <v>47.411272163221085</v>
      </c>
      <c r="AQ325" s="1">
        <f>[1]节奏总纲!BC325</f>
        <v>49.360889736742131</v>
      </c>
      <c r="AR325" s="1">
        <f>[1]节奏总纲!BD325</f>
        <v>52.120893150612112</v>
      </c>
      <c r="AS325" s="1">
        <f>[1]节奏总纲!BE325</f>
        <v>56.831999074260068</v>
      </c>
    </row>
    <row r="326" spans="17:45" x14ac:dyDescent="0.15">
      <c r="Q326" s="1">
        <v>323</v>
      </c>
      <c r="R326" s="1">
        <f>[1]节奏总纲!AD326</f>
        <v>83.390213013956213</v>
      </c>
      <c r="S326" s="1">
        <f>[1]节奏总纲!AE326</f>
        <v>85.506238229908845</v>
      </c>
      <c r="T326" s="1">
        <f>[1]节奏总纲!AF326</f>
        <v>88.512466699385826</v>
      </c>
      <c r="U326" s="1">
        <f>[1]节奏总纲!AG326</f>
        <v>93.541711155709422</v>
      </c>
      <c r="V326" s="1">
        <f>[1]节奏总纲!AH326</f>
        <v>102.42378251369445</v>
      </c>
      <c r="AN326" s="1">
        <v>323</v>
      </c>
      <c r="AO326" s="1">
        <f>[1]节奏总纲!BA326</f>
        <v>45.936193251167253</v>
      </c>
      <c r="AP326" s="1">
        <f>[1]节奏总纲!BB326</f>
        <v>47.432059701543984</v>
      </c>
      <c r="AQ326" s="1">
        <f>[1]节奏总纲!BC326</f>
        <v>49.381549515738669</v>
      </c>
      <c r="AR326" s="1">
        <f>[1]节奏总纲!BD326</f>
        <v>52.140846491408155</v>
      </c>
      <c r="AS326" s="1">
        <f>[1]节奏总纲!BE326</f>
        <v>56.854206823643175</v>
      </c>
    </row>
    <row r="327" spans="17:45" x14ac:dyDescent="0.15">
      <c r="Q327" s="1">
        <v>324</v>
      </c>
      <c r="R327" s="1">
        <f>[1]节奏总纲!AD327</f>
        <v>83.434419616384815</v>
      </c>
      <c r="S327" s="1">
        <f>[1]节奏总纲!AE327</f>
        <v>85.551120646490844</v>
      </c>
      <c r="T327" s="1">
        <f>[1]节奏总纲!AF327</f>
        <v>88.563237749596723</v>
      </c>
      <c r="U327" s="1">
        <f>[1]节奏总纲!AG327</f>
        <v>93.588924201937246</v>
      </c>
      <c r="V327" s="1">
        <f>[1]节奏总纲!AH327</f>
        <v>102.46868075243583</v>
      </c>
      <c r="AN327" s="1">
        <v>324</v>
      </c>
      <c r="AO327" s="1">
        <f>[1]节奏总纲!BA327</f>
        <v>45.958510134389357</v>
      </c>
      <c r="AP327" s="1">
        <f>[1]节奏总纲!BB327</f>
        <v>47.452847239866877</v>
      </c>
      <c r="AQ327" s="1">
        <f>[1]节奏总纲!BC327</f>
        <v>49.402209294735208</v>
      </c>
      <c r="AR327" s="1">
        <f>[1]节奏总纲!BD327</f>
        <v>52.160799832204205</v>
      </c>
      <c r="AS327" s="1">
        <f>[1]节奏总纲!BE327</f>
        <v>56.876414573026281</v>
      </c>
    </row>
    <row r="328" spans="17:45" x14ac:dyDescent="0.15">
      <c r="Q328" s="1">
        <v>325</v>
      </c>
      <c r="R328" s="1">
        <f>[1]节奏总纲!AD328</f>
        <v>83.478626218813432</v>
      </c>
      <c r="S328" s="1">
        <f>[1]节奏总纲!AE328</f>
        <v>85.596003063072843</v>
      </c>
      <c r="T328" s="1">
        <f>[1]节奏总纲!AF328</f>
        <v>88.614008799807635</v>
      </c>
      <c r="U328" s="1">
        <f>[1]节奏总纲!AG328</f>
        <v>93.63613724816507</v>
      </c>
      <c r="V328" s="1">
        <f>[1]节奏总纲!AH328</f>
        <v>102.51357899117721</v>
      </c>
      <c r="AN328" s="1">
        <v>325</v>
      </c>
      <c r="AO328" s="1">
        <f>[1]节奏总纲!BA328</f>
        <v>45.98082701761146</v>
      </c>
      <c r="AP328" s="1">
        <f>[1]节奏总纲!BB328</f>
        <v>47.473634778189769</v>
      </c>
      <c r="AQ328" s="1">
        <f>[1]节奏总纲!BC328</f>
        <v>49.422869073731739</v>
      </c>
      <c r="AR328" s="1">
        <f>[1]节奏总纲!BD328</f>
        <v>52.180753173000248</v>
      </c>
      <c r="AS328" s="1">
        <f>[1]节奏总纲!BE328</f>
        <v>56.898622322409395</v>
      </c>
    </row>
    <row r="329" spans="17:45" x14ac:dyDescent="0.15">
      <c r="Q329" s="1">
        <v>326</v>
      </c>
      <c r="R329" s="1">
        <f>[1]节奏总纲!AD329</f>
        <v>83.522832821242034</v>
      </c>
      <c r="S329" s="1">
        <f>[1]节奏总纲!AE329</f>
        <v>85.640885479654855</v>
      </c>
      <c r="T329" s="1">
        <f>[1]节奏总纲!AF329</f>
        <v>88.664779850018547</v>
      </c>
      <c r="U329" s="1">
        <f>[1]节奏总纲!AG329</f>
        <v>93.683350294392895</v>
      </c>
      <c r="V329" s="1">
        <f>[1]节奏总纲!AH329</f>
        <v>102.55847722991859</v>
      </c>
      <c r="AN329" s="1">
        <v>326</v>
      </c>
      <c r="AO329" s="1">
        <f>[1]节奏总纲!BA329</f>
        <v>46.002713830586146</v>
      </c>
      <c r="AP329" s="1">
        <f>[1]节奏总纲!BB329</f>
        <v>47.494422316512662</v>
      </c>
      <c r="AQ329" s="1">
        <f>[1]节奏总纲!BC329</f>
        <v>49.443528852728278</v>
      </c>
      <c r="AR329" s="1">
        <f>[1]节奏总纲!BD329</f>
        <v>52.200706513796298</v>
      </c>
      <c r="AS329" s="1">
        <f>[1]节奏总纲!BE329</f>
        <v>56.920830071792501</v>
      </c>
    </row>
    <row r="330" spans="17:45" x14ac:dyDescent="0.15">
      <c r="Q330" s="1">
        <v>327</v>
      </c>
      <c r="R330" s="1">
        <f>[1]节奏总纲!AD330</f>
        <v>83.56703942367065</v>
      </c>
      <c r="S330" s="1">
        <f>[1]节奏总纲!AE330</f>
        <v>85.685767896236854</v>
      </c>
      <c r="T330" s="1">
        <f>[1]节奏总纲!AF330</f>
        <v>88.715550900229445</v>
      </c>
      <c r="U330" s="1">
        <f>[1]节奏总纲!AG330</f>
        <v>93.730563340620719</v>
      </c>
      <c r="V330" s="1">
        <f>[1]节奏总纲!AH330</f>
        <v>102.60337546865996</v>
      </c>
      <c r="AN330" s="1">
        <v>327</v>
      </c>
      <c r="AO330" s="1">
        <f>[1]节奏总纲!BA330</f>
        <v>46.021977873404879</v>
      </c>
      <c r="AP330" s="1">
        <f>[1]节奏总纲!BB330</f>
        <v>47.515209854835554</v>
      </c>
      <c r="AQ330" s="1">
        <f>[1]节奏总纲!BC330</f>
        <v>49.464188631724817</v>
      </c>
      <c r="AR330" s="1">
        <f>[1]节奏总纲!BD330</f>
        <v>52.220659854592348</v>
      </c>
      <c r="AS330" s="1">
        <f>[1]节奏总纲!BE330</f>
        <v>56.943037821175608</v>
      </c>
    </row>
    <row r="331" spans="17:45" x14ac:dyDescent="0.15">
      <c r="Q331" s="1">
        <v>328</v>
      </c>
      <c r="R331" s="1">
        <f>[1]节奏总纲!AD331</f>
        <v>83.611246026099252</v>
      </c>
      <c r="S331" s="1">
        <f>[1]节奏总纲!AE331</f>
        <v>85.730650312818852</v>
      </c>
      <c r="T331" s="1">
        <f>[1]节奏总纲!AF331</f>
        <v>88.766321950440357</v>
      </c>
      <c r="U331" s="1">
        <f>[1]节奏总纲!AG331</f>
        <v>93.777776386848544</v>
      </c>
      <c r="V331" s="1">
        <f>[1]节奏总纲!AH331</f>
        <v>102.64827370740134</v>
      </c>
      <c r="AN331" s="1">
        <v>328</v>
      </c>
      <c r="AO331" s="1">
        <f>[1]节奏总纲!BA331</f>
        <v>46.041241916223605</v>
      </c>
      <c r="AP331" s="1">
        <f>[1]节奏总纲!BB331</f>
        <v>47.535997393158453</v>
      </c>
      <c r="AQ331" s="1">
        <f>[1]节奏总纲!BC331</f>
        <v>49.484848410721355</v>
      </c>
      <c r="AR331" s="1">
        <f>[1]节奏总纲!BD331</f>
        <v>52.240613195388391</v>
      </c>
      <c r="AS331" s="1">
        <f>[1]节奏总纲!BE331</f>
        <v>56.965245570558714</v>
      </c>
    </row>
    <row r="332" spans="17:45" x14ac:dyDescent="0.15">
      <c r="Q332" s="1">
        <v>329</v>
      </c>
      <c r="R332" s="1">
        <f>[1]节奏总纲!AD332</f>
        <v>83.655452628527868</v>
      </c>
      <c r="S332" s="1">
        <f>[1]节奏总纲!AE332</f>
        <v>85.775532729400851</v>
      </c>
      <c r="T332" s="1">
        <f>[1]节奏总纲!AF332</f>
        <v>88.817093000651269</v>
      </c>
      <c r="U332" s="1">
        <f>[1]节奏总纲!AG332</f>
        <v>93.824989433076368</v>
      </c>
      <c r="V332" s="1">
        <f>[1]节奏总纲!AH332</f>
        <v>102.69317194614273</v>
      </c>
      <c r="AN332" s="1">
        <v>329</v>
      </c>
      <c r="AO332" s="1">
        <f>[1]节奏总纲!BA332</f>
        <v>46.060505959042331</v>
      </c>
      <c r="AP332" s="1">
        <f>[1]节奏总纲!BB332</f>
        <v>47.556784931481346</v>
      </c>
      <c r="AQ332" s="1">
        <f>[1]节奏总纲!BC332</f>
        <v>49.505508189717887</v>
      </c>
      <c r="AR332" s="1">
        <f>[1]节奏总纲!BD332</f>
        <v>52.260566536184442</v>
      </c>
      <c r="AS332" s="1">
        <f>[1]节奏总纲!BE332</f>
        <v>56.987453319941828</v>
      </c>
    </row>
    <row r="333" spans="17:45" x14ac:dyDescent="0.15">
      <c r="Q333" s="1">
        <v>330</v>
      </c>
      <c r="R333" s="1">
        <f>[1]节奏总纲!AD333</f>
        <v>83.69965923095647</v>
      </c>
      <c r="S333" s="1">
        <f>[1]节奏总纲!AE333</f>
        <v>85.820415145982849</v>
      </c>
      <c r="T333" s="1">
        <f>[1]节奏总纲!AF333</f>
        <v>88.867864050862167</v>
      </c>
      <c r="U333" s="1">
        <f>[1]节奏总纲!AG333</f>
        <v>93.872202479304192</v>
      </c>
      <c r="V333" s="1">
        <f>[1]节奏总纲!AH333</f>
        <v>102.73807018488411</v>
      </c>
      <c r="AN333" s="1">
        <v>330</v>
      </c>
      <c r="AO333" s="1">
        <f>[1]节奏总纲!BA333</f>
        <v>46.079770001861057</v>
      </c>
      <c r="AP333" s="1">
        <f>[1]节奏总纲!BB333</f>
        <v>47.577572469804238</v>
      </c>
      <c r="AQ333" s="1">
        <f>[1]节奏总纲!BC333</f>
        <v>49.526167968714425</v>
      </c>
      <c r="AR333" s="1">
        <f>[1]节奏总纲!BD333</f>
        <v>52.280519876980485</v>
      </c>
      <c r="AS333" s="1">
        <f>[1]节奏总纲!BE333</f>
        <v>57.008345591208631</v>
      </c>
    </row>
    <row r="334" spans="17:45" x14ac:dyDescent="0.15">
      <c r="Q334" s="1">
        <v>331</v>
      </c>
      <c r="R334" s="1">
        <f>[1]节奏总纲!AD334</f>
        <v>83.743865833385087</v>
      </c>
      <c r="S334" s="1">
        <f>[1]节奏总纲!AE334</f>
        <v>85.865297562564862</v>
      </c>
      <c r="T334" s="1">
        <f>[1]节奏总纲!AF334</f>
        <v>88.918635101073079</v>
      </c>
      <c r="U334" s="1">
        <f>[1]节奏总纲!AG334</f>
        <v>93.919415525532017</v>
      </c>
      <c r="V334" s="1">
        <f>[1]节奏总纲!AH334</f>
        <v>102.78296842362549</v>
      </c>
      <c r="AN334" s="1">
        <v>331</v>
      </c>
      <c r="AO334" s="1">
        <f>[1]节奏总纲!BA334</f>
        <v>46.099034044679783</v>
      </c>
      <c r="AP334" s="1">
        <f>[1]节奏总纲!BB334</f>
        <v>47.598360008127131</v>
      </c>
      <c r="AQ334" s="1">
        <f>[1]节奏总纲!BC334</f>
        <v>49.546827747710964</v>
      </c>
      <c r="AR334" s="1">
        <f>[1]节奏总纲!BD334</f>
        <v>52.300473217776535</v>
      </c>
      <c r="AS334" s="1">
        <f>[1]节奏总纲!BE334</f>
        <v>57.027529471561998</v>
      </c>
    </row>
    <row r="335" spans="17:45" x14ac:dyDescent="0.15">
      <c r="Q335" s="1">
        <v>332</v>
      </c>
      <c r="R335" s="1">
        <f>[1]节奏总纲!AD335</f>
        <v>83.788072435813689</v>
      </c>
      <c r="S335" s="1">
        <f>[1]节奏总纲!AE335</f>
        <v>85.910179979146861</v>
      </c>
      <c r="T335" s="1">
        <f>[1]节奏总纲!AF335</f>
        <v>88.969406151283977</v>
      </c>
      <c r="U335" s="1">
        <f>[1]节奏总纲!AG335</f>
        <v>93.966628571759841</v>
      </c>
      <c r="V335" s="1">
        <f>[1]节奏总纲!AH335</f>
        <v>102.82786666236686</v>
      </c>
      <c r="AN335" s="1">
        <v>332</v>
      </c>
      <c r="AO335" s="1">
        <f>[1]节奏总纲!BA335</f>
        <v>46.118298087498509</v>
      </c>
      <c r="AP335" s="1">
        <f>[1]节奏总纲!BB335</f>
        <v>47.619147546450023</v>
      </c>
      <c r="AQ335" s="1">
        <f>[1]节奏总纲!BC335</f>
        <v>49.567487526707502</v>
      </c>
      <c r="AR335" s="1">
        <f>[1]节奏总纲!BD335</f>
        <v>52.320426558572585</v>
      </c>
      <c r="AS335" s="1">
        <f>[1]节奏总纲!BE335</f>
        <v>57.046713351915365</v>
      </c>
    </row>
    <row r="336" spans="17:45" x14ac:dyDescent="0.15">
      <c r="Q336" s="1">
        <v>333</v>
      </c>
      <c r="R336" s="1">
        <f>[1]节奏总纲!AD336</f>
        <v>83.832279038242305</v>
      </c>
      <c r="S336" s="1">
        <f>[1]节奏总纲!AE336</f>
        <v>85.955062395728859</v>
      </c>
      <c r="T336" s="1">
        <f>[1]节奏总纲!AF336</f>
        <v>89.018466905731287</v>
      </c>
      <c r="U336" s="1">
        <f>[1]节奏总纲!AG336</f>
        <v>94.012923283729691</v>
      </c>
      <c r="V336" s="1">
        <f>[1]节奏总纲!AH336</f>
        <v>102.87276490110824</v>
      </c>
      <c r="AN336" s="1">
        <v>333</v>
      </c>
      <c r="AO336" s="1">
        <f>[1]节奏总纲!BA336</f>
        <v>46.137562130317242</v>
      </c>
      <c r="AP336" s="1">
        <f>[1]节奏总纲!BB336</f>
        <v>47.639935084772922</v>
      </c>
      <c r="AQ336" s="1">
        <f>[1]节奏总纲!BC336</f>
        <v>49.588147305704041</v>
      </c>
      <c r="AR336" s="1">
        <f>[1]节奏总纲!BD336</f>
        <v>52.340379899368628</v>
      </c>
      <c r="AS336" s="1">
        <f>[1]节奏总纲!BE336</f>
        <v>57.065897232268732</v>
      </c>
    </row>
    <row r="337" spans="17:45" x14ac:dyDescent="0.15">
      <c r="Q337" s="1">
        <v>334</v>
      </c>
      <c r="R337" s="1">
        <f>[1]节奏总纲!AD337</f>
        <v>83.876485640670907</v>
      </c>
      <c r="S337" s="1">
        <f>[1]节奏总纲!AE337</f>
        <v>85.999944812310858</v>
      </c>
      <c r="T337" s="1">
        <f>[1]节奏总纲!AF337</f>
        <v>89.064934410075779</v>
      </c>
      <c r="U337" s="1">
        <f>[1]节奏总纲!AG337</f>
        <v>94.057003939090123</v>
      </c>
      <c r="V337" s="1">
        <f>[1]节奏总纲!AH337</f>
        <v>102.91766313984962</v>
      </c>
      <c r="AN337" s="1">
        <v>334</v>
      </c>
      <c r="AO337" s="1">
        <f>[1]节奏总纲!BA337</f>
        <v>46.156826173135968</v>
      </c>
      <c r="AP337" s="1">
        <f>[1]节奏总纲!BB337</f>
        <v>47.660722623095815</v>
      </c>
      <c r="AQ337" s="1">
        <f>[1]节奏总纲!BC337</f>
        <v>49.608807084700572</v>
      </c>
      <c r="AR337" s="1">
        <f>[1]节奏总纲!BD337</f>
        <v>52.360333240164678</v>
      </c>
      <c r="AS337" s="1">
        <f>[1]节奏总纲!BE337</f>
        <v>57.085081112622099</v>
      </c>
    </row>
    <row r="338" spans="17:45" x14ac:dyDescent="0.15">
      <c r="Q338" s="1">
        <v>335</v>
      </c>
      <c r="R338" s="1">
        <f>[1]节奏总纲!AD338</f>
        <v>83.920692243099523</v>
      </c>
      <c r="S338" s="1">
        <f>[1]节奏总纲!AE338</f>
        <v>86.041129946887025</v>
      </c>
      <c r="T338" s="1">
        <f>[1]节奏总纲!AF338</f>
        <v>89.11140191442027</v>
      </c>
      <c r="U338" s="1">
        <f>[1]节奏总纲!AG338</f>
        <v>94.101084594450555</v>
      </c>
      <c r="V338" s="1">
        <f>[1]节奏总纲!AH338</f>
        <v>102.962561378591</v>
      </c>
      <c r="AN338" s="1">
        <v>335</v>
      </c>
      <c r="AO338" s="1">
        <f>[1]节奏总纲!BA338</f>
        <v>46.176090215954694</v>
      </c>
      <c r="AP338" s="1">
        <f>[1]节奏总纲!BB338</f>
        <v>47.681510161418707</v>
      </c>
      <c r="AQ338" s="1">
        <f>[1]节奏总纲!BC338</f>
        <v>49.629466863697111</v>
      </c>
      <c r="AR338" s="1">
        <f>[1]节奏总纲!BD338</f>
        <v>52.380286580960728</v>
      </c>
      <c r="AS338" s="1">
        <f>[1]节奏总纲!BE338</f>
        <v>57.104264992975466</v>
      </c>
    </row>
    <row r="339" spans="17:45" x14ac:dyDescent="0.15">
      <c r="Q339" s="1">
        <v>336</v>
      </c>
      <c r="R339" s="1">
        <f>[1]节奏总纲!AD339</f>
        <v>83.964898845528126</v>
      </c>
      <c r="S339" s="1">
        <f>[1]节奏总纲!AE339</f>
        <v>86.082310529666103</v>
      </c>
      <c r="T339" s="1">
        <f>[1]节奏总纲!AF339</f>
        <v>89.157869418764761</v>
      </c>
      <c r="U339" s="1">
        <f>[1]节奏总纲!AG339</f>
        <v>94.145165249810972</v>
      </c>
      <c r="V339" s="1">
        <f>[1]节奏总纲!AH339</f>
        <v>103.00673656424885</v>
      </c>
      <c r="AN339" s="1">
        <v>336</v>
      </c>
      <c r="AO339" s="1">
        <f>[1]节奏总纲!BA339</f>
        <v>46.19535425877342</v>
      </c>
      <c r="AP339" s="1">
        <f>[1]节奏总纲!BB339</f>
        <v>47.7022976997416</v>
      </c>
      <c r="AQ339" s="1">
        <f>[1]节奏总纲!BC339</f>
        <v>49.65012664269365</v>
      </c>
      <c r="AR339" s="1">
        <f>[1]节奏总纲!BD339</f>
        <v>52.400239921756771</v>
      </c>
      <c r="AS339" s="1">
        <f>[1]节奏总纲!BE339</f>
        <v>57.123448873328833</v>
      </c>
    </row>
    <row r="340" spans="17:45" x14ac:dyDescent="0.15">
      <c r="Q340" s="1">
        <v>337</v>
      </c>
      <c r="R340" s="1">
        <f>[1]节奏总纲!AD340</f>
        <v>84.008495683346354</v>
      </c>
      <c r="S340" s="1">
        <f>[1]节奏总纲!AE340</f>
        <v>86.12349111244518</v>
      </c>
      <c r="T340" s="1">
        <f>[1]节奏总纲!AF340</f>
        <v>89.204336923109267</v>
      </c>
      <c r="U340" s="1">
        <f>[1]节奏总纲!AG340</f>
        <v>94.189245905171404</v>
      </c>
      <c r="V340" s="1">
        <f>[1]节奏总纲!AH340</f>
        <v>103.04728286259964</v>
      </c>
      <c r="AN340" s="1">
        <v>337</v>
      </c>
      <c r="AO340" s="1">
        <f>[1]节奏总纲!BA340</f>
        <v>46.214618301592147</v>
      </c>
      <c r="AP340" s="1">
        <f>[1]节奏总纲!BB340</f>
        <v>47.723085238064499</v>
      </c>
      <c r="AQ340" s="1">
        <f>[1]节奏总纲!BC340</f>
        <v>49.670786421690188</v>
      </c>
      <c r="AR340" s="1">
        <f>[1]节奏总纲!BD340</f>
        <v>52.420193262552822</v>
      </c>
      <c r="AS340" s="1">
        <f>[1]节奏总纲!BE340</f>
        <v>57.1426327536822</v>
      </c>
    </row>
    <row r="341" spans="17:45" x14ac:dyDescent="0.15">
      <c r="Q341" s="1">
        <v>338</v>
      </c>
      <c r="R341" s="1">
        <f>[1]节奏总纲!AD341</f>
        <v>84.049741901856009</v>
      </c>
      <c r="S341" s="1">
        <f>[1]节奏总纲!AE341</f>
        <v>86.164671695224243</v>
      </c>
      <c r="T341" s="1">
        <f>[1]节奏总纲!AF341</f>
        <v>89.250804427453758</v>
      </c>
      <c r="U341" s="1">
        <f>[1]节奏总纲!AG341</f>
        <v>94.233326560531836</v>
      </c>
      <c r="V341" s="1">
        <f>[1]节奏总纲!AH341</f>
        <v>103.08782916095045</v>
      </c>
      <c r="AN341" s="1">
        <v>338</v>
      </c>
      <c r="AO341" s="1">
        <f>[1]节奏总纲!BA341</f>
        <v>46.23388234441088</v>
      </c>
      <c r="AP341" s="1">
        <f>[1]节奏总纲!BB341</f>
        <v>47.743872776387391</v>
      </c>
      <c r="AQ341" s="1">
        <f>[1]节奏总纲!BC341</f>
        <v>49.69144620068672</v>
      </c>
      <c r="AR341" s="1">
        <f>[1]节奏总纲!BD341</f>
        <v>52.440146603348865</v>
      </c>
      <c r="AS341" s="1">
        <f>[1]节奏总纲!BE341</f>
        <v>57.161816634035567</v>
      </c>
    </row>
    <row r="342" spans="17:45" x14ac:dyDescent="0.15">
      <c r="Q342" s="1">
        <v>339</v>
      </c>
      <c r="R342" s="1">
        <f>[1]节奏总纲!AD342</f>
        <v>84.090988120365651</v>
      </c>
      <c r="S342" s="1">
        <f>[1]节奏总纲!AE342</f>
        <v>86.20585227800332</v>
      </c>
      <c r="T342" s="1">
        <f>[1]节奏总纲!AF342</f>
        <v>89.29727193179825</v>
      </c>
      <c r="U342" s="1">
        <f>[1]节奏总纲!AG342</f>
        <v>94.277407215892268</v>
      </c>
      <c r="V342" s="1">
        <f>[1]节奏总纲!AH342</f>
        <v>103.12837545930124</v>
      </c>
      <c r="AN342" s="1">
        <v>339</v>
      </c>
      <c r="AO342" s="1">
        <f>[1]节奏总纲!BA342</f>
        <v>46.253146387229606</v>
      </c>
      <c r="AP342" s="1">
        <f>[1]节奏总纲!BB342</f>
        <v>47.764660314710284</v>
      </c>
      <c r="AQ342" s="1">
        <f>[1]节奏总纲!BC342</f>
        <v>49.712105979683258</v>
      </c>
      <c r="AR342" s="1">
        <f>[1]节奏总纲!BD342</f>
        <v>52.460099944144915</v>
      </c>
      <c r="AS342" s="1">
        <f>[1]节奏总纲!BE342</f>
        <v>57.181000514388934</v>
      </c>
    </row>
    <row r="343" spans="17:45" x14ac:dyDescent="0.15">
      <c r="Q343" s="1">
        <v>340</v>
      </c>
      <c r="R343" s="1">
        <f>[1]节奏总纲!AD343</f>
        <v>84.132234338875293</v>
      </c>
      <c r="S343" s="1">
        <f>[1]节奏总纲!AE343</f>
        <v>86.247032860782397</v>
      </c>
      <c r="T343" s="1">
        <f>[1]节奏总纲!AF343</f>
        <v>89.343739436142741</v>
      </c>
      <c r="U343" s="1">
        <f>[1]节奏总纲!AG343</f>
        <v>94.3214878712527</v>
      </c>
      <c r="V343" s="1">
        <f>[1]节奏总纲!AH343</f>
        <v>103.16892175765203</v>
      </c>
      <c r="AN343" s="1">
        <v>340</v>
      </c>
      <c r="AO343" s="1">
        <f>[1]节奏总纲!BA343</f>
        <v>46.272410430048332</v>
      </c>
      <c r="AP343" s="1">
        <f>[1]节奏总纲!BB343</f>
        <v>47.785447853033176</v>
      </c>
      <c r="AQ343" s="1">
        <f>[1]节奏总纲!BC343</f>
        <v>49.732765758679797</v>
      </c>
      <c r="AR343" s="1">
        <f>[1]节奏总纲!BD343</f>
        <v>52.480053284940965</v>
      </c>
      <c r="AS343" s="1">
        <f>[1]节奏总纲!BE343</f>
        <v>57.200184394742301</v>
      </c>
    </row>
    <row r="344" spans="17:45" x14ac:dyDescent="0.15">
      <c r="Q344" s="1">
        <v>341</v>
      </c>
      <c r="R344" s="1">
        <f>[1]节奏总纲!AD344</f>
        <v>84.173480557384934</v>
      </c>
      <c r="S344" s="1">
        <f>[1]节奏总纲!AE344</f>
        <v>86.288213443561474</v>
      </c>
      <c r="T344" s="1">
        <f>[1]节奏总纲!AF344</f>
        <v>89.390206940487232</v>
      </c>
      <c r="U344" s="1">
        <f>[1]节奏总纲!AG344</f>
        <v>94.365568526613131</v>
      </c>
      <c r="V344" s="1">
        <f>[1]节奏总纲!AH344</f>
        <v>103.20946805600283</v>
      </c>
      <c r="AN344" s="1">
        <v>341</v>
      </c>
      <c r="AO344" s="1">
        <f>[1]节奏总纲!BA344</f>
        <v>46.291674472867058</v>
      </c>
      <c r="AP344" s="1">
        <f>[1]节奏总纲!BB344</f>
        <v>47.806235391356068</v>
      </c>
      <c r="AQ344" s="1">
        <f>[1]节奏总纲!BC344</f>
        <v>49.753425537676335</v>
      </c>
      <c r="AR344" s="1">
        <f>[1]节奏总纲!BD344</f>
        <v>52.500006625737008</v>
      </c>
      <c r="AS344" s="1">
        <f>[1]节奏总纲!BE344</f>
        <v>57.219368275095675</v>
      </c>
    </row>
    <row r="345" spans="17:45" x14ac:dyDescent="0.15">
      <c r="Q345" s="1">
        <v>342</v>
      </c>
      <c r="R345" s="1">
        <f>[1]节奏总纲!AD345</f>
        <v>84.214726775894576</v>
      </c>
      <c r="S345" s="1">
        <f>[1]节奏总纲!AE345</f>
        <v>86.329394026340537</v>
      </c>
      <c r="T345" s="1">
        <f>[1]节奏总纲!AF345</f>
        <v>89.436674444831723</v>
      </c>
      <c r="U345" s="1">
        <f>[1]节奏总纲!AG345</f>
        <v>94.409649181973549</v>
      </c>
      <c r="V345" s="1">
        <f>[1]节奏总纲!AH345</f>
        <v>103.25001435435362</v>
      </c>
      <c r="AN345" s="1">
        <v>342</v>
      </c>
      <c r="AO345" s="1">
        <f>[1]节奏总纲!BA345</f>
        <v>46.310938515685784</v>
      </c>
      <c r="AP345" s="1">
        <f>[1]节奏总纲!BB345</f>
        <v>47.827022929678968</v>
      </c>
      <c r="AQ345" s="1">
        <f>[1]节奏总纲!BC345</f>
        <v>49.774085316672867</v>
      </c>
      <c r="AR345" s="1">
        <f>[1]节奏总纲!BD345</f>
        <v>52.519959966533058</v>
      </c>
      <c r="AS345" s="1">
        <f>[1]节奏总纲!BE345</f>
        <v>57.238552155449042</v>
      </c>
    </row>
    <row r="346" spans="17:45" x14ac:dyDescent="0.15">
      <c r="Q346" s="1">
        <v>343</v>
      </c>
      <c r="R346" s="1">
        <f>[1]节奏总纲!AD346</f>
        <v>84.255972994404218</v>
      </c>
      <c r="S346" s="1">
        <f>[1]节奏总纲!AE346</f>
        <v>86.370574609119615</v>
      </c>
      <c r="T346" s="1">
        <f>[1]节奏总纲!AF346</f>
        <v>89.483141949176215</v>
      </c>
      <c r="U346" s="1">
        <f>[1]节奏总纲!AG346</f>
        <v>94.453729837333981</v>
      </c>
      <c r="V346" s="1">
        <f>[1]节奏总纲!AH346</f>
        <v>103.29056065270443</v>
      </c>
      <c r="AN346" s="1">
        <v>343</v>
      </c>
      <c r="AO346" s="1">
        <f>[1]节奏总纲!BA346</f>
        <v>46.330202558504517</v>
      </c>
      <c r="AP346" s="1">
        <f>[1]节奏总纲!BB346</f>
        <v>47.84781046800186</v>
      </c>
      <c r="AQ346" s="1">
        <f>[1]节奏总纲!BC346</f>
        <v>49.794745095669406</v>
      </c>
      <c r="AR346" s="1">
        <f>[1]节奏总纲!BD346</f>
        <v>52.539913307329101</v>
      </c>
      <c r="AS346" s="1">
        <f>[1]节奏总纲!BE346</f>
        <v>57.257736035802409</v>
      </c>
    </row>
    <row r="347" spans="17:45" x14ac:dyDescent="0.15">
      <c r="Q347" s="1">
        <v>344</v>
      </c>
      <c r="R347" s="1">
        <f>[1]节奏总纲!AD347</f>
        <v>84.297219212913859</v>
      </c>
      <c r="S347" s="1">
        <f>[1]节奏总纲!AE347</f>
        <v>86.411755191898692</v>
      </c>
      <c r="T347" s="1">
        <f>[1]节奏总纲!AF347</f>
        <v>89.529609453520706</v>
      </c>
      <c r="U347" s="1">
        <f>[1]节奏总纲!AG347</f>
        <v>94.497810492694413</v>
      </c>
      <c r="V347" s="1">
        <f>[1]节奏总纲!AH347</f>
        <v>103.33110695105522</v>
      </c>
      <c r="AN347" s="1">
        <v>344</v>
      </c>
      <c r="AO347" s="1">
        <f>[1]节奏总纲!BA347</f>
        <v>46.349466601323243</v>
      </c>
      <c r="AP347" s="1">
        <f>[1]节奏总纲!BB347</f>
        <v>47.868598006324753</v>
      </c>
      <c r="AQ347" s="1">
        <f>[1]节奏总纲!BC347</f>
        <v>49.815404874665944</v>
      </c>
      <c r="AR347" s="1">
        <f>[1]节奏总纲!BD347</f>
        <v>52.559866648125151</v>
      </c>
      <c r="AS347" s="1">
        <f>[1]节奏总纲!BE347</f>
        <v>57.276919916155776</v>
      </c>
    </row>
    <row r="348" spans="17:45" x14ac:dyDescent="0.15">
      <c r="Q348" s="1">
        <v>345</v>
      </c>
      <c r="R348" s="1">
        <f>[1]节奏总纲!AD348</f>
        <v>84.338465431423501</v>
      </c>
      <c r="S348" s="1">
        <f>[1]节奏总纲!AE348</f>
        <v>86.452935774677769</v>
      </c>
      <c r="T348" s="1">
        <f>[1]节奏总纲!AF348</f>
        <v>89.576076957865197</v>
      </c>
      <c r="U348" s="1">
        <f>[1]节奏总纲!AG348</f>
        <v>94.541891148054845</v>
      </c>
      <c r="V348" s="1">
        <f>[1]节奏总纲!AH348</f>
        <v>103.37165324940601</v>
      </c>
      <c r="AN348" s="1">
        <v>345</v>
      </c>
      <c r="AO348" s="1">
        <f>[1]节奏总纲!BA348</f>
        <v>46.368730644141969</v>
      </c>
      <c r="AP348" s="1">
        <f>[1]节奏总纲!BB348</f>
        <v>47.889385544647645</v>
      </c>
      <c r="AQ348" s="1">
        <f>[1]节奏总纲!BC348</f>
        <v>49.836064653662483</v>
      </c>
      <c r="AR348" s="1">
        <f>[1]节奏总纲!BD348</f>
        <v>52.579819988921201</v>
      </c>
      <c r="AS348" s="1">
        <f>[1]节奏总纲!BE348</f>
        <v>57.296103796509144</v>
      </c>
    </row>
    <row r="349" spans="17:45" x14ac:dyDescent="0.15">
      <c r="Q349" s="1">
        <v>346</v>
      </c>
      <c r="R349" s="1">
        <f>[1]节奏总纲!AD349</f>
        <v>84.379711649933142</v>
      </c>
      <c r="S349" s="1">
        <f>[1]节奏总纲!AE349</f>
        <v>86.494116357456846</v>
      </c>
      <c r="T349" s="1">
        <f>[1]节奏总纲!AF349</f>
        <v>89.622544462209689</v>
      </c>
      <c r="U349" s="1">
        <f>[1]节奏总纲!AG349</f>
        <v>94.585971803415276</v>
      </c>
      <c r="V349" s="1">
        <f>[1]节奏总纲!AH349</f>
        <v>103.41219954775681</v>
      </c>
      <c r="AN349" s="1">
        <v>346</v>
      </c>
      <c r="AO349" s="1">
        <f>[1]节奏总纲!BA349</f>
        <v>46.387994686960695</v>
      </c>
      <c r="AP349" s="1">
        <f>[1]节奏总纲!BB349</f>
        <v>47.910173082970537</v>
      </c>
      <c r="AQ349" s="1">
        <f>[1]节奏总纲!BC349</f>
        <v>49.856724432659014</v>
      </c>
      <c r="AR349" s="1">
        <f>[1]节奏总纲!BD349</f>
        <v>52.599773329717245</v>
      </c>
      <c r="AS349" s="1">
        <f>[1]节奏总纲!BE349</f>
        <v>57.315287676862511</v>
      </c>
    </row>
    <row r="350" spans="17:45" x14ac:dyDescent="0.15">
      <c r="Q350" s="1">
        <v>347</v>
      </c>
      <c r="R350" s="1">
        <f>[1]节奏总纲!AD350</f>
        <v>84.420957868442784</v>
      </c>
      <c r="S350" s="1">
        <f>[1]节奏总纲!AE350</f>
        <v>86.535296940235909</v>
      </c>
      <c r="T350" s="1">
        <f>[1]节奏总纲!AF350</f>
        <v>89.66901196655418</v>
      </c>
      <c r="U350" s="1">
        <f>[1]节奏总纲!AG350</f>
        <v>94.630052458775694</v>
      </c>
      <c r="V350" s="1">
        <f>[1]节奏总纲!AH350</f>
        <v>103.4527458461076</v>
      </c>
      <c r="AN350" s="1">
        <v>347</v>
      </c>
      <c r="AO350" s="1">
        <f>[1]节奏总纲!BA350</f>
        <v>46.407258729779421</v>
      </c>
      <c r="AP350" s="1">
        <f>[1]节奏总纲!BB350</f>
        <v>47.930960621293437</v>
      </c>
      <c r="AQ350" s="1">
        <f>[1]节奏总纲!BC350</f>
        <v>49.877384211655553</v>
      </c>
      <c r="AR350" s="1">
        <f>[1]节奏总纲!BD350</f>
        <v>52.619726670513295</v>
      </c>
      <c r="AS350" s="1">
        <f>[1]节奏总纲!BE350</f>
        <v>57.334471557215878</v>
      </c>
    </row>
    <row r="351" spans="17:45" x14ac:dyDescent="0.15">
      <c r="Q351" s="1">
        <v>348</v>
      </c>
      <c r="R351" s="1">
        <f>[1]节奏总纲!AD351</f>
        <v>84.462204086952426</v>
      </c>
      <c r="S351" s="1">
        <f>[1]节奏总纲!AE351</f>
        <v>86.576477523014987</v>
      </c>
      <c r="T351" s="1">
        <f>[1]节奏总纲!AF351</f>
        <v>89.715479470898671</v>
      </c>
      <c r="U351" s="1">
        <f>[1]节奏总纲!AG351</f>
        <v>94.674133114136126</v>
      </c>
      <c r="V351" s="1">
        <f>[1]节奏总纲!AH351</f>
        <v>103.49329214445841</v>
      </c>
      <c r="AN351" s="1">
        <v>348</v>
      </c>
      <c r="AO351" s="1">
        <f>[1]节奏总纲!BA351</f>
        <v>46.426522772598148</v>
      </c>
      <c r="AP351" s="1">
        <f>[1]节奏总纲!BB351</f>
        <v>47.951748159616329</v>
      </c>
      <c r="AQ351" s="1">
        <f>[1]节奏总纲!BC351</f>
        <v>49.898043990652091</v>
      </c>
      <c r="AR351" s="1">
        <f>[1]节奏总纲!BD351</f>
        <v>52.639680011309345</v>
      </c>
      <c r="AS351" s="1">
        <f>[1]节奏总纲!BE351</f>
        <v>57.353655437569245</v>
      </c>
    </row>
    <row r="352" spans="17:45" x14ac:dyDescent="0.15">
      <c r="Q352" s="1">
        <v>349</v>
      </c>
      <c r="R352" s="1">
        <f>[1]节奏总纲!AD352</f>
        <v>84.503450305462081</v>
      </c>
      <c r="S352" s="1">
        <f>[1]节奏总纲!AE352</f>
        <v>86.617658105794064</v>
      </c>
      <c r="T352" s="1">
        <f>[1]节奏总纲!AF352</f>
        <v>89.761946975243163</v>
      </c>
      <c r="U352" s="1">
        <f>[1]节奏总纲!AG352</f>
        <v>94.718213769496558</v>
      </c>
      <c r="V352" s="1">
        <f>[1]节奏总纲!AH352</f>
        <v>103.5338384428092</v>
      </c>
      <c r="AN352" s="1">
        <v>349</v>
      </c>
      <c r="AO352" s="1">
        <f>[1]节奏总纲!BA352</f>
        <v>46.445786815416881</v>
      </c>
      <c r="AP352" s="1">
        <f>[1]节奏总纲!BB352</f>
        <v>47.972535697939222</v>
      </c>
      <c r="AQ352" s="1">
        <f>[1]节奏总纲!BC352</f>
        <v>49.91870376964863</v>
      </c>
      <c r="AR352" s="1">
        <f>[1]节奏总纲!BD352</f>
        <v>52.659633352105388</v>
      </c>
      <c r="AS352" s="1">
        <f>[1]节奏总纲!BE352</f>
        <v>57.372839317922612</v>
      </c>
    </row>
    <row r="353" spans="17:45" x14ac:dyDescent="0.15">
      <c r="Q353" s="1">
        <v>350</v>
      </c>
      <c r="R353" s="1">
        <f>[1]节奏总纲!AD353</f>
        <v>84.544696523971723</v>
      </c>
      <c r="S353" s="1">
        <f>[1]节奏总纲!AE353</f>
        <v>86.658838688573141</v>
      </c>
      <c r="T353" s="1">
        <f>[1]节奏总纲!AF353</f>
        <v>89.808414479587654</v>
      </c>
      <c r="U353" s="1">
        <f>[1]节奏总纲!AG353</f>
        <v>94.762294424856989</v>
      </c>
      <c r="V353" s="1">
        <f>[1]节奏总纲!AH353</f>
        <v>103.57438474115999</v>
      </c>
      <c r="AN353" s="1">
        <v>350</v>
      </c>
      <c r="AO353" s="1">
        <f>[1]节奏总纲!BA353</f>
        <v>46.465050858235607</v>
      </c>
      <c r="AP353" s="1">
        <f>[1]节奏总纲!BB353</f>
        <v>47.993323236262114</v>
      </c>
      <c r="AQ353" s="1">
        <f>[1]节奏总纲!BC353</f>
        <v>49.939363548645169</v>
      </c>
      <c r="AR353" s="1">
        <f>[1]节奏总纲!BD353</f>
        <v>52.679586692901438</v>
      </c>
      <c r="AS353" s="1">
        <f>[1]节奏总纲!BE353</f>
        <v>57.392023198275979</v>
      </c>
    </row>
    <row r="354" spans="17:45" x14ac:dyDescent="0.15">
      <c r="Q354" s="1">
        <v>351</v>
      </c>
      <c r="R354" s="1">
        <f>[1]节奏总纲!AD354</f>
        <v>84.585942742481365</v>
      </c>
      <c r="S354" s="1">
        <f>[1]节奏总纲!AE354</f>
        <v>86.700019271352204</v>
      </c>
      <c r="T354" s="1">
        <f>[1]节奏总纲!AF354</f>
        <v>89.854881983932145</v>
      </c>
      <c r="U354" s="1">
        <f>[1]节奏总纲!AG354</f>
        <v>94.806375080217421</v>
      </c>
      <c r="V354" s="1">
        <f>[1]节奏总纲!AH354</f>
        <v>103.61493103951079</v>
      </c>
      <c r="AN354" s="1">
        <v>351</v>
      </c>
      <c r="AO354" s="1">
        <f>[1]节奏总纲!BA354</f>
        <v>46.484314901054333</v>
      </c>
      <c r="AP354" s="1">
        <f>[1]节奏总纲!BB354</f>
        <v>48.012182251254622</v>
      </c>
      <c r="AQ354" s="1">
        <f>[1]节奏总纲!BC354</f>
        <v>49.9600233276417</v>
      </c>
      <c r="AR354" s="1">
        <f>[1]节奏总纲!BD354</f>
        <v>52.699540033697481</v>
      </c>
      <c r="AS354" s="1">
        <f>[1]节奏总纲!BE354</f>
        <v>57.411207078629346</v>
      </c>
    </row>
    <row r="355" spans="17:45" x14ac:dyDescent="0.15">
      <c r="Q355" s="1">
        <v>352</v>
      </c>
      <c r="R355" s="1">
        <f>[1]节奏总纲!AD355</f>
        <v>84.627188960991006</v>
      </c>
      <c r="S355" s="1">
        <f>[1]节奏总纲!AE355</f>
        <v>86.741199854131281</v>
      </c>
      <c r="T355" s="1">
        <f>[1]节奏总纲!AF355</f>
        <v>89.901349488276637</v>
      </c>
      <c r="U355" s="1">
        <f>[1]节奏总纲!AG355</f>
        <v>94.850455735577853</v>
      </c>
      <c r="V355" s="1">
        <f>[1]节奏总纲!AH355</f>
        <v>103.65547733786158</v>
      </c>
      <c r="AN355" s="1">
        <v>352</v>
      </c>
      <c r="AO355" s="1">
        <f>[1]节奏总纲!BA355</f>
        <v>46.503578943873059</v>
      </c>
      <c r="AP355" s="1">
        <f>[1]节奏总纲!BB355</f>
        <v>48.030128751164234</v>
      </c>
      <c r="AQ355" s="1">
        <f>[1]节奏总纲!BC355</f>
        <v>49.980683106638239</v>
      </c>
      <c r="AR355" s="1">
        <f>[1]节奏总纲!BD355</f>
        <v>52.719493374493531</v>
      </c>
      <c r="AS355" s="1">
        <f>[1]节奏总纲!BE355</f>
        <v>57.430390958982713</v>
      </c>
    </row>
    <row r="356" spans="17:45" x14ac:dyDescent="0.15">
      <c r="Q356" s="1">
        <v>353</v>
      </c>
      <c r="R356" s="1">
        <f>[1]节奏总纲!AD356</f>
        <v>84.668435179500648</v>
      </c>
      <c r="S356" s="1">
        <f>[1]节奏总纲!AE356</f>
        <v>86.782380436910358</v>
      </c>
      <c r="T356" s="1">
        <f>[1]节奏总纲!AF356</f>
        <v>89.947816992621142</v>
      </c>
      <c r="U356" s="1">
        <f>[1]节奏总纲!AG356</f>
        <v>94.894536390938271</v>
      </c>
      <c r="V356" s="1">
        <f>[1]节奏总纲!AH356</f>
        <v>103.69602363621237</v>
      </c>
      <c r="AN356" s="1">
        <v>353</v>
      </c>
      <c r="AO356" s="1">
        <f>[1]节奏总纲!BA356</f>
        <v>46.522842986691785</v>
      </c>
      <c r="AP356" s="1">
        <f>[1]节奏总纲!BB356</f>
        <v>48.048075251073854</v>
      </c>
      <c r="AQ356" s="1">
        <f>[1]节奏总纲!BC356</f>
        <v>50.00115951426713</v>
      </c>
      <c r="AR356" s="1">
        <f>[1]节奏总纲!BD356</f>
        <v>52.739446715289581</v>
      </c>
      <c r="AS356" s="1">
        <f>[1]节奏总纲!BE356</f>
        <v>57.44957483933608</v>
      </c>
    </row>
    <row r="357" spans="17:45" x14ac:dyDescent="0.15">
      <c r="Q357" s="1">
        <v>354</v>
      </c>
      <c r="R357" s="1">
        <f>[1]节奏总纲!AD357</f>
        <v>84.709681398010289</v>
      </c>
      <c r="S357" s="1">
        <f>[1]节奏总纲!AE357</f>
        <v>86.823561019689436</v>
      </c>
      <c r="T357" s="1">
        <f>[1]节奏总纲!AF357</f>
        <v>89.994284496965633</v>
      </c>
      <c r="U357" s="1">
        <f>[1]节奏总纲!AG357</f>
        <v>94.938617046298702</v>
      </c>
      <c r="V357" s="1">
        <f>[1]节奏总纲!AH357</f>
        <v>103.73656993456318</v>
      </c>
      <c r="AN357" s="1">
        <v>354</v>
      </c>
      <c r="AO357" s="1">
        <f>[1]节奏总纲!BA357</f>
        <v>46.542107029510518</v>
      </c>
      <c r="AP357" s="1">
        <f>[1]节奏总纲!BB357</f>
        <v>48.066021750983474</v>
      </c>
      <c r="AQ357" s="1">
        <f>[1]节奏总纲!BC357</f>
        <v>50.018998195299922</v>
      </c>
      <c r="AR357" s="1">
        <f>[1]节奏总纲!BD357</f>
        <v>52.759400056085624</v>
      </c>
      <c r="AS357" s="1">
        <f>[1]节奏总纲!BE357</f>
        <v>57.468758719689447</v>
      </c>
    </row>
    <row r="358" spans="17:45" x14ac:dyDescent="0.15">
      <c r="Q358" s="1">
        <v>355</v>
      </c>
      <c r="R358" s="1">
        <f>[1]节奏总纲!AD358</f>
        <v>84.750927616519931</v>
      </c>
      <c r="S358" s="1">
        <f>[1]节奏总纲!AE358</f>
        <v>86.864741602468499</v>
      </c>
      <c r="T358" s="1">
        <f>[1]节奏总纲!AF358</f>
        <v>90.036066635925749</v>
      </c>
      <c r="U358" s="1">
        <f>[1]节奏总纲!AG358</f>
        <v>94.982697701659134</v>
      </c>
      <c r="V358" s="1">
        <f>[1]节奏总纲!AH358</f>
        <v>103.77711623291397</v>
      </c>
      <c r="AN358" s="1">
        <v>355</v>
      </c>
      <c r="AO358" s="1">
        <f>[1]节奏总纲!BA358</f>
        <v>46.561371072329244</v>
      </c>
      <c r="AP358" s="1">
        <f>[1]节奏总纲!BB358</f>
        <v>48.083968250893093</v>
      </c>
      <c r="AQ358" s="1">
        <f>[1]节奏总纲!BC358</f>
        <v>50.036836876332707</v>
      </c>
      <c r="AR358" s="1">
        <f>[1]节奏总纲!BD358</f>
        <v>52.779353396881675</v>
      </c>
      <c r="AS358" s="1">
        <f>[1]节奏总纲!BE358</f>
        <v>57.487942600042821</v>
      </c>
    </row>
    <row r="359" spans="17:45" x14ac:dyDescent="0.15">
      <c r="Q359" s="1">
        <v>356</v>
      </c>
      <c r="R359" s="1">
        <f>[1]节奏总纲!AD359</f>
        <v>84.792173835029573</v>
      </c>
      <c r="S359" s="1">
        <f>[1]节奏总纲!AE359</f>
        <v>86.905922185247576</v>
      </c>
      <c r="T359" s="1">
        <f>[1]节奏总纲!AF359</f>
        <v>90.077191648383845</v>
      </c>
      <c r="U359" s="1">
        <f>[1]节奏总纲!AG359</f>
        <v>95.024001308619916</v>
      </c>
      <c r="V359" s="1">
        <f>[1]节奏总纲!AH359</f>
        <v>103.81766253126477</v>
      </c>
      <c r="AN359" s="1">
        <v>356</v>
      </c>
      <c r="AO359" s="1">
        <f>[1]节奏总纲!BA359</f>
        <v>46.58063511514797</v>
      </c>
      <c r="AP359" s="1">
        <f>[1]节奏总纲!BB359</f>
        <v>48.101914750802706</v>
      </c>
      <c r="AQ359" s="1">
        <f>[1]节奏总纲!BC359</f>
        <v>50.054675557365492</v>
      </c>
      <c r="AR359" s="1">
        <f>[1]节奏总纲!BD359</f>
        <v>52.799306737677718</v>
      </c>
      <c r="AS359" s="1">
        <f>[1]节奏总纲!BE359</f>
        <v>57.507126480396188</v>
      </c>
    </row>
    <row r="360" spans="17:45" x14ac:dyDescent="0.15">
      <c r="Q360" s="1">
        <v>357</v>
      </c>
      <c r="R360" s="1">
        <f>[1]节奏总纲!AD360</f>
        <v>84.833420053539214</v>
      </c>
      <c r="S360" s="1">
        <f>[1]节奏总纲!AE360</f>
        <v>86.947102768026653</v>
      </c>
      <c r="T360" s="1">
        <f>[1]节奏总纲!AF360</f>
        <v>90.118316660841927</v>
      </c>
      <c r="U360" s="1">
        <f>[1]节奏总纲!AG360</f>
        <v>95.063510581451752</v>
      </c>
      <c r="V360" s="1">
        <f>[1]节奏总纲!AH360</f>
        <v>103.85820882961556</v>
      </c>
      <c r="AN360" s="1">
        <v>357</v>
      </c>
      <c r="AO360" s="1">
        <f>[1]节奏总纲!BA360</f>
        <v>46.599899157966696</v>
      </c>
      <c r="AP360" s="1">
        <f>[1]节奏总纲!BB360</f>
        <v>48.119861250712326</v>
      </c>
      <c r="AQ360" s="1">
        <f>[1]节奏总纲!BC360</f>
        <v>50.072514238398277</v>
      </c>
      <c r="AR360" s="1">
        <f>[1]节奏总纲!BD360</f>
        <v>52.819260078473768</v>
      </c>
      <c r="AS360" s="1">
        <f>[1]节奏总纲!BE360</f>
        <v>57.526310360749555</v>
      </c>
    </row>
    <row r="361" spans="17:45" x14ac:dyDescent="0.15">
      <c r="Q361" s="1">
        <v>358</v>
      </c>
      <c r="R361" s="1">
        <f>[1]节奏总纲!AD361</f>
        <v>84.874666272048856</v>
      </c>
      <c r="S361" s="1">
        <f>[1]节奏总纲!AE361</f>
        <v>86.98828335080573</v>
      </c>
      <c r="T361" s="1">
        <f>[1]节奏总纲!AF361</f>
        <v>90.159441673300023</v>
      </c>
      <c r="U361" s="1">
        <f>[1]节奏总纲!AG361</f>
        <v>95.103019854283588</v>
      </c>
      <c r="V361" s="1">
        <f>[1]节奏总纲!AH361</f>
        <v>103.89875512796635</v>
      </c>
      <c r="AN361" s="1">
        <v>358</v>
      </c>
      <c r="AO361" s="1">
        <f>[1]节奏总纲!BA361</f>
        <v>46.619163200785422</v>
      </c>
      <c r="AP361" s="1">
        <f>[1]节奏总纲!BB361</f>
        <v>48.137807750621946</v>
      </c>
      <c r="AQ361" s="1">
        <f>[1]节奏总纲!BC361</f>
        <v>50.090352919431069</v>
      </c>
      <c r="AR361" s="1">
        <f>[1]节奏总纲!BD361</f>
        <v>52.839213419269818</v>
      </c>
      <c r="AS361" s="1">
        <f>[1]节奏总纲!BE361</f>
        <v>57.545494241102922</v>
      </c>
    </row>
    <row r="362" spans="17:45" x14ac:dyDescent="0.15">
      <c r="Q362" s="1">
        <v>359</v>
      </c>
      <c r="R362" s="1">
        <f>[1]节奏总纲!AD362</f>
        <v>84.915912490558497</v>
      </c>
      <c r="S362" s="1">
        <f>[1]节奏总纲!AE362</f>
        <v>87.027010646912942</v>
      </c>
      <c r="T362" s="1">
        <f>[1]节奏总纲!AF362</f>
        <v>90.200566685758119</v>
      </c>
      <c r="U362" s="1">
        <f>[1]节奏总纲!AG362</f>
        <v>95.142529127115409</v>
      </c>
      <c r="V362" s="1">
        <f>[1]节奏总纲!AH362</f>
        <v>103.93930142631716</v>
      </c>
      <c r="AN362" s="1">
        <v>359</v>
      </c>
      <c r="AO362" s="1">
        <f>[1]节奏总纲!BA362</f>
        <v>46.638427243604156</v>
      </c>
      <c r="AP362" s="1">
        <f>[1]节奏总纲!BB362</f>
        <v>48.155754250531558</v>
      </c>
      <c r="AQ362" s="1">
        <f>[1]节奏总纲!BC362</f>
        <v>50.108191600463854</v>
      </c>
      <c r="AR362" s="1">
        <f>[1]节奏总纲!BD362</f>
        <v>52.859166760065861</v>
      </c>
      <c r="AS362" s="1">
        <f>[1]节奏总纲!BE362</f>
        <v>57.564678121456289</v>
      </c>
    </row>
    <row r="363" spans="17:45" x14ac:dyDescent="0.15">
      <c r="Q363" s="1">
        <v>360</v>
      </c>
      <c r="R363" s="1">
        <f>[1]节奏总纲!AD363</f>
        <v>84.957158709068153</v>
      </c>
      <c r="S363" s="1">
        <f>[1]节奏总纲!AE363</f>
        <v>87.064762367263285</v>
      </c>
      <c r="T363" s="1">
        <f>[1]节奏总纲!AF363</f>
        <v>90.241691698216215</v>
      </c>
      <c r="U363" s="1">
        <f>[1]节奏总纲!AG363</f>
        <v>95.182038399947245</v>
      </c>
      <c r="V363" s="1">
        <f>[1]节奏总纲!AH363</f>
        <v>103.97984772466795</v>
      </c>
      <c r="AN363" s="1">
        <v>360</v>
      </c>
      <c r="AO363" s="1">
        <f>[1]节奏总纲!BA363</f>
        <v>46.657691286422882</v>
      </c>
      <c r="AP363" s="1">
        <f>[1]节奏总纲!BB363</f>
        <v>48.173700750441178</v>
      </c>
      <c r="AQ363" s="1">
        <f>[1]节奏总纲!BC363</f>
        <v>50.126030281496639</v>
      </c>
      <c r="AR363" s="1">
        <f>[1]节奏总纲!BD363</f>
        <v>52.879120100861911</v>
      </c>
      <c r="AS363" s="1">
        <f>[1]节奏总纲!BE363</f>
        <v>57.583862001809656</v>
      </c>
    </row>
  </sheetData>
  <mergeCells count="6">
    <mergeCell ref="AO2:AS2"/>
    <mergeCell ref="D2:H2"/>
    <mergeCell ref="K2:O2"/>
    <mergeCell ref="R2:V2"/>
    <mergeCell ref="AA2:AE2"/>
    <mergeCell ref="AH2:AL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87354-327C-4726-95B9-A918A175F1E4}">
  <dimension ref="C4:H105"/>
  <sheetViews>
    <sheetView workbookViewId="0">
      <selection activeCell="L9" sqref="L9"/>
    </sheetView>
  </sheetViews>
  <sheetFormatPr defaultRowHeight="11.25" x14ac:dyDescent="0.15"/>
  <cols>
    <col min="1" max="16384" width="9" style="10"/>
  </cols>
  <sheetData>
    <row r="4" spans="3:8" x14ac:dyDescent="0.15">
      <c r="D4" s="24" t="s">
        <v>111</v>
      </c>
      <c r="E4" s="24"/>
      <c r="F4" s="24"/>
      <c r="G4" s="24"/>
      <c r="H4" s="24"/>
    </row>
    <row r="5" spans="3:8" x14ac:dyDescent="0.15">
      <c r="C5" s="10" t="s">
        <v>93</v>
      </c>
      <c r="D5" s="14" t="s">
        <v>0</v>
      </c>
      <c r="E5" s="14" t="s">
        <v>1</v>
      </c>
      <c r="F5" s="14" t="s">
        <v>2</v>
      </c>
      <c r="G5" s="14" t="s">
        <v>3</v>
      </c>
      <c r="H5" s="14" t="s">
        <v>4</v>
      </c>
    </row>
    <row r="6" spans="3:8" x14ac:dyDescent="0.15">
      <c r="C6" s="10">
        <v>1</v>
      </c>
      <c r="D6" s="10">
        <f>王者铸币!AE5+晋级赛!AR11+竞猜!AS11</f>
        <v>0</v>
      </c>
      <c r="E6" s="10">
        <f>王者铸币!AF5+晋级赛!AS11+竞猜!AT11</f>
        <v>0</v>
      </c>
      <c r="F6" s="10">
        <f>王者铸币!AG5+晋级赛!AT11+竞猜!AU11</f>
        <v>0</v>
      </c>
      <c r="G6" s="10">
        <f>王者铸币!AH5+晋级赛!AU11+竞猜!AV11</f>
        <v>0</v>
      </c>
      <c r="H6" s="10">
        <f>王者铸币!AI5+晋级赛!AV11+竞猜!AW11</f>
        <v>0</v>
      </c>
    </row>
    <row r="7" spans="3:8" x14ac:dyDescent="0.15">
      <c r="C7" s="10">
        <v>2</v>
      </c>
      <c r="D7" s="10">
        <f>王者铸币!AE6+晋级赛!AR12+竞猜!AS12</f>
        <v>0</v>
      </c>
      <c r="E7" s="10">
        <f>王者铸币!AF6+晋级赛!AS12+竞猜!AT12</f>
        <v>0</v>
      </c>
      <c r="F7" s="10">
        <f>王者铸币!AG6+晋级赛!AT12+竞猜!AU12</f>
        <v>0</v>
      </c>
      <c r="G7" s="10">
        <f>王者铸币!AH6+晋级赛!AU12+竞猜!AV12</f>
        <v>0</v>
      </c>
      <c r="H7" s="10">
        <f>王者铸币!AI6+晋级赛!AV12+竞猜!AW12</f>
        <v>0</v>
      </c>
    </row>
    <row r="8" spans="3:8" x14ac:dyDescent="0.15">
      <c r="C8" s="10">
        <v>3</v>
      </c>
      <c r="D8" s="10">
        <f>王者铸币!AE7+晋级赛!AR13+竞猜!AS13</f>
        <v>0</v>
      </c>
      <c r="E8" s="10">
        <f>王者铸币!AF7+晋级赛!AS13+竞猜!AT13</f>
        <v>0</v>
      </c>
      <c r="F8" s="10">
        <f>王者铸币!AG7+晋级赛!AT13+竞猜!AU13</f>
        <v>0</v>
      </c>
      <c r="G8" s="10">
        <f>王者铸币!AH7+晋级赛!AU13+竞猜!AV13</f>
        <v>0</v>
      </c>
      <c r="H8" s="10">
        <f>王者铸币!AI7+晋级赛!AV13+竞猜!AW13</f>
        <v>0</v>
      </c>
    </row>
    <row r="9" spans="3:8" x14ac:dyDescent="0.15">
      <c r="C9" s="10">
        <v>4</v>
      </c>
      <c r="D9" s="10">
        <f>王者铸币!AE8+晋级赛!AR14+竞猜!AS14</f>
        <v>0</v>
      </c>
      <c r="E9" s="10">
        <f>王者铸币!AF8+晋级赛!AS14+竞猜!AT14</f>
        <v>0</v>
      </c>
      <c r="F9" s="10">
        <f>王者铸币!AG8+晋级赛!AT14+竞猜!AU14</f>
        <v>0</v>
      </c>
      <c r="G9" s="10">
        <f>王者铸币!AH8+晋级赛!AU14+竞猜!AV14</f>
        <v>0</v>
      </c>
      <c r="H9" s="10">
        <f>王者铸币!AI8+晋级赛!AV14+竞猜!AW14</f>
        <v>0</v>
      </c>
    </row>
    <row r="10" spans="3:8" x14ac:dyDescent="0.15">
      <c r="C10" s="10">
        <v>5</v>
      </c>
      <c r="D10" s="10">
        <f>王者铸币!AE9+晋级赛!AR15+竞猜!AS15</f>
        <v>0</v>
      </c>
      <c r="E10" s="10">
        <f>王者铸币!AF9+晋级赛!AS15+竞猜!AT15</f>
        <v>0</v>
      </c>
      <c r="F10" s="10">
        <f>王者铸币!AG9+晋级赛!AT15+竞猜!AU15</f>
        <v>0</v>
      </c>
      <c r="G10" s="10">
        <f>王者铸币!AH9+晋级赛!AU15+竞猜!AV15</f>
        <v>0</v>
      </c>
      <c r="H10" s="10">
        <f>王者铸币!AI9+晋级赛!AV15+竞猜!AW15</f>
        <v>0</v>
      </c>
    </row>
    <row r="11" spans="3:8" x14ac:dyDescent="0.15">
      <c r="C11" s="10">
        <v>6</v>
      </c>
      <c r="D11" s="10">
        <f>王者铸币!AE10+晋级赛!AR16+竞猜!AS16</f>
        <v>0</v>
      </c>
      <c r="E11" s="10">
        <f>王者铸币!AF10+晋级赛!AS16+竞猜!AT16</f>
        <v>0</v>
      </c>
      <c r="F11" s="10">
        <f>王者铸币!AG10+晋级赛!AT16+竞猜!AU16</f>
        <v>0</v>
      </c>
      <c r="G11" s="10">
        <f>王者铸币!AH10+晋级赛!AU16+竞猜!AV16</f>
        <v>0</v>
      </c>
      <c r="H11" s="10">
        <f>王者铸币!AI10+晋级赛!AV16+竞猜!AW16</f>
        <v>0</v>
      </c>
    </row>
    <row r="12" spans="3:8" x14ac:dyDescent="0.15">
      <c r="C12" s="10">
        <v>7</v>
      </c>
      <c r="D12" s="10">
        <f>王者铸币!AE11+晋级赛!AR17+竞猜!AS17</f>
        <v>0</v>
      </c>
      <c r="E12" s="10">
        <f>王者铸币!AF11+晋级赛!AS17+竞猜!AT17</f>
        <v>0</v>
      </c>
      <c r="F12" s="10">
        <f>王者铸币!AG11+晋级赛!AT17+竞猜!AU17</f>
        <v>0</v>
      </c>
      <c r="G12" s="10">
        <f>王者铸币!AH11+晋级赛!AU17+竞猜!AV17</f>
        <v>0</v>
      </c>
      <c r="H12" s="10">
        <f>王者铸币!AI11+晋级赛!AV17+竞猜!AW17</f>
        <v>0</v>
      </c>
    </row>
    <row r="13" spans="3:8" x14ac:dyDescent="0.15">
      <c r="C13" s="10">
        <v>8</v>
      </c>
      <c r="D13" s="10">
        <f>王者铸币!AE12+晋级赛!AR18+竞猜!AS18</f>
        <v>0</v>
      </c>
      <c r="E13" s="10">
        <f>王者铸币!AF12+晋级赛!AS18+竞猜!AT18</f>
        <v>0</v>
      </c>
      <c r="F13" s="10">
        <f>王者铸币!AG12+晋级赛!AT18+竞猜!AU18</f>
        <v>0</v>
      </c>
      <c r="G13" s="10">
        <f>王者铸币!AH12+晋级赛!AU18+竞猜!AV18</f>
        <v>0</v>
      </c>
      <c r="H13" s="10">
        <f>王者铸币!AI12+晋级赛!AV18+竞猜!AW18</f>
        <v>0</v>
      </c>
    </row>
    <row r="14" spans="3:8" x14ac:dyDescent="0.15">
      <c r="C14" s="10">
        <v>9</v>
      </c>
      <c r="D14" s="10">
        <f>王者铸币!AE13+晋级赛!AR19+竞猜!AS19</f>
        <v>0</v>
      </c>
      <c r="E14" s="10">
        <f>王者铸币!AF13+晋级赛!AS19+竞猜!AT19</f>
        <v>0</v>
      </c>
      <c r="F14" s="10">
        <f>王者铸币!AG13+晋级赛!AT19+竞猜!AU19</f>
        <v>0</v>
      </c>
      <c r="G14" s="10">
        <f>王者铸币!AH13+晋级赛!AU19+竞猜!AV19</f>
        <v>0</v>
      </c>
      <c r="H14" s="10">
        <f>王者铸币!AI13+晋级赛!AV19+竞猜!AW19</f>
        <v>0</v>
      </c>
    </row>
    <row r="15" spans="3:8" x14ac:dyDescent="0.15">
      <c r="C15" s="10">
        <v>10</v>
      </c>
      <c r="D15" s="10">
        <f>王者铸币!AE14+晋级赛!AR20+竞猜!AS20</f>
        <v>0</v>
      </c>
      <c r="E15" s="10">
        <f>王者铸币!AF14+晋级赛!AS20+竞猜!AT20</f>
        <v>0</v>
      </c>
      <c r="F15" s="10">
        <f>王者铸币!AG14+晋级赛!AT20+竞猜!AU20</f>
        <v>0</v>
      </c>
      <c r="G15" s="10">
        <f>王者铸币!AH14+晋级赛!AU20+竞猜!AV20</f>
        <v>0</v>
      </c>
      <c r="H15" s="10">
        <f>王者铸币!AI14+晋级赛!AV20+竞猜!AW20</f>
        <v>0</v>
      </c>
    </row>
    <row r="16" spans="3:8" x14ac:dyDescent="0.15">
      <c r="C16" s="10">
        <v>11</v>
      </c>
      <c r="D16" s="10">
        <f>王者铸币!AE15+晋级赛!AR21+竞猜!AS21</f>
        <v>0</v>
      </c>
      <c r="E16" s="10">
        <f>王者铸币!AF15+晋级赛!AS21+竞猜!AT21</f>
        <v>0</v>
      </c>
      <c r="F16" s="10">
        <f>王者铸币!AG15+晋级赛!AT21+竞猜!AU21</f>
        <v>0</v>
      </c>
      <c r="G16" s="10">
        <f>王者铸币!AH15+晋级赛!AU21+竞猜!AV21</f>
        <v>0</v>
      </c>
      <c r="H16" s="10">
        <f>王者铸币!AI15+晋级赛!AV21+竞猜!AW21</f>
        <v>0</v>
      </c>
    </row>
    <row r="17" spans="3:8" x14ac:dyDescent="0.15">
      <c r="C17" s="10">
        <v>12</v>
      </c>
      <c r="D17" s="10">
        <f>王者铸币!AE16+晋级赛!AR22+竞猜!AS22</f>
        <v>0</v>
      </c>
      <c r="E17" s="10">
        <f>王者铸币!AF16+晋级赛!AS22+竞猜!AT22</f>
        <v>0</v>
      </c>
      <c r="F17" s="10">
        <f>王者铸币!AG16+晋级赛!AT22+竞猜!AU22</f>
        <v>0</v>
      </c>
      <c r="G17" s="10">
        <f>王者铸币!AH16+晋级赛!AU22+竞猜!AV22</f>
        <v>0</v>
      </c>
      <c r="H17" s="10">
        <f>王者铸币!AI16+晋级赛!AV22+竞猜!AW22</f>
        <v>0</v>
      </c>
    </row>
    <row r="18" spans="3:8" x14ac:dyDescent="0.15">
      <c r="C18" s="10">
        <v>13</v>
      </c>
      <c r="D18" s="10">
        <f>王者铸币!AE17+晋级赛!AR23+竞猜!AS23</f>
        <v>0</v>
      </c>
      <c r="E18" s="10">
        <f>王者铸币!AF17+晋级赛!AS23+竞猜!AT23</f>
        <v>0</v>
      </c>
      <c r="F18" s="10">
        <f>王者铸币!AG17+晋级赛!AT23+竞猜!AU23</f>
        <v>0</v>
      </c>
      <c r="G18" s="10">
        <f>王者铸币!AH17+晋级赛!AU23+竞猜!AV23</f>
        <v>0</v>
      </c>
      <c r="H18" s="10">
        <f>王者铸币!AI17+晋级赛!AV23+竞猜!AW23</f>
        <v>0</v>
      </c>
    </row>
    <row r="19" spans="3:8" x14ac:dyDescent="0.15">
      <c r="C19" s="10">
        <v>14</v>
      </c>
      <c r="D19" s="10">
        <f>王者铸币!AE18+晋级赛!AR24+竞猜!AS24</f>
        <v>0</v>
      </c>
      <c r="E19" s="10">
        <f>王者铸币!AF18+晋级赛!AS24+竞猜!AT24</f>
        <v>0</v>
      </c>
      <c r="F19" s="10">
        <f>王者铸币!AG18+晋级赛!AT24+竞猜!AU24</f>
        <v>0</v>
      </c>
      <c r="G19" s="10">
        <f>王者铸币!AH18+晋级赛!AU24+竞猜!AV24</f>
        <v>0</v>
      </c>
      <c r="H19" s="10">
        <f>王者铸币!AI18+晋级赛!AV24+竞猜!AW24</f>
        <v>0</v>
      </c>
    </row>
    <row r="20" spans="3:8" x14ac:dyDescent="0.15">
      <c r="C20" s="10">
        <v>15</v>
      </c>
      <c r="D20" s="10">
        <f>王者铸币!AE19+晋级赛!AR25+竞猜!AS25</f>
        <v>0</v>
      </c>
      <c r="E20" s="10">
        <f>王者铸币!AF19+晋级赛!AS25+竞猜!AT25</f>
        <v>0</v>
      </c>
      <c r="F20" s="10">
        <f>王者铸币!AG19+晋级赛!AT25+竞猜!AU25</f>
        <v>0</v>
      </c>
      <c r="G20" s="10">
        <f>王者铸币!AH19+晋级赛!AU25+竞猜!AV25</f>
        <v>0</v>
      </c>
      <c r="H20" s="10">
        <f>王者铸币!AI19+晋级赛!AV25+竞猜!AW25</f>
        <v>0</v>
      </c>
    </row>
    <row r="21" spans="3:8" x14ac:dyDescent="0.15">
      <c r="C21" s="10">
        <v>16</v>
      </c>
      <c r="D21" s="10">
        <f>王者铸币!AE20+晋级赛!AR26+竞猜!AS26</f>
        <v>0</v>
      </c>
      <c r="E21" s="10">
        <f>王者铸币!AF20+晋级赛!AS26+竞猜!AT26</f>
        <v>0</v>
      </c>
      <c r="F21" s="10">
        <f>王者铸币!AG20+晋级赛!AT26+竞猜!AU26</f>
        <v>0</v>
      </c>
      <c r="G21" s="10">
        <f>王者铸币!AH20+晋级赛!AU26+竞猜!AV26</f>
        <v>0</v>
      </c>
      <c r="H21" s="10">
        <f>王者铸币!AI20+晋级赛!AV26+竞猜!AW26</f>
        <v>0</v>
      </c>
    </row>
    <row r="22" spans="3:8" x14ac:dyDescent="0.15">
      <c r="C22" s="10">
        <v>17</v>
      </c>
      <c r="D22" s="10">
        <f>王者铸币!AE21+晋级赛!AR27+竞猜!AS27</f>
        <v>0</v>
      </c>
      <c r="E22" s="10">
        <f>王者铸币!AF21+晋级赛!AS27+竞猜!AT27</f>
        <v>0</v>
      </c>
      <c r="F22" s="10">
        <f>王者铸币!AG21+晋级赛!AT27+竞猜!AU27</f>
        <v>0</v>
      </c>
      <c r="G22" s="10">
        <f>王者铸币!AH21+晋级赛!AU27+竞猜!AV27</f>
        <v>0</v>
      </c>
      <c r="H22" s="10">
        <f>王者铸币!AI21+晋级赛!AV27+竞猜!AW27</f>
        <v>0</v>
      </c>
    </row>
    <row r="23" spans="3:8" x14ac:dyDescent="0.15">
      <c r="C23" s="10">
        <v>18</v>
      </c>
      <c r="D23" s="10">
        <f>王者铸币!AE22+晋级赛!AR28+竞猜!AS28</f>
        <v>0</v>
      </c>
      <c r="E23" s="10">
        <f>王者铸币!AF22+晋级赛!AS28+竞猜!AT28</f>
        <v>0</v>
      </c>
      <c r="F23" s="10">
        <f>王者铸币!AG22+晋级赛!AT28+竞猜!AU28</f>
        <v>0</v>
      </c>
      <c r="G23" s="10">
        <f>王者铸币!AH22+晋级赛!AU28+竞猜!AV28</f>
        <v>0</v>
      </c>
      <c r="H23" s="10">
        <f>王者铸币!AI22+晋级赛!AV28+竞猜!AW28</f>
        <v>0</v>
      </c>
    </row>
    <row r="24" spans="3:8" x14ac:dyDescent="0.15">
      <c r="C24" s="10">
        <v>19</v>
      </c>
      <c r="D24" s="10">
        <f>王者铸币!AE23+晋级赛!AR29+竞猜!AS29</f>
        <v>0</v>
      </c>
      <c r="E24" s="10">
        <f>王者铸币!AF23+晋级赛!AS29+竞猜!AT29</f>
        <v>0</v>
      </c>
      <c r="F24" s="10">
        <f>王者铸币!AG23+晋级赛!AT29+竞猜!AU29</f>
        <v>0</v>
      </c>
      <c r="G24" s="10">
        <f>王者铸币!AH23+晋级赛!AU29+竞猜!AV29</f>
        <v>0</v>
      </c>
      <c r="H24" s="10">
        <f>王者铸币!AI23+晋级赛!AV29+竞猜!AW29</f>
        <v>0</v>
      </c>
    </row>
    <row r="25" spans="3:8" x14ac:dyDescent="0.15">
      <c r="C25" s="10">
        <v>20</v>
      </c>
      <c r="D25" s="10">
        <f>王者铸币!AE24+晋级赛!AR30+竞猜!AS30</f>
        <v>0</v>
      </c>
      <c r="E25" s="10">
        <f>王者铸币!AF24+晋级赛!AS30+竞猜!AT30</f>
        <v>0</v>
      </c>
      <c r="F25" s="10">
        <f>王者铸币!AG24+晋级赛!AT30+竞猜!AU30</f>
        <v>0</v>
      </c>
      <c r="G25" s="10">
        <f>王者铸币!AH24+晋级赛!AU30+竞猜!AV30</f>
        <v>0</v>
      </c>
      <c r="H25" s="10">
        <f>王者铸币!AI24+晋级赛!AV30+竞猜!AW30</f>
        <v>0</v>
      </c>
    </row>
    <row r="26" spans="3:8" x14ac:dyDescent="0.15">
      <c r="C26" s="10">
        <v>21</v>
      </c>
      <c r="D26" s="10">
        <f>王者铸币!AE25+晋级赛!AR31+竞猜!AS31</f>
        <v>0</v>
      </c>
      <c r="E26" s="10">
        <f>王者铸币!AF25+晋级赛!AS31+竞猜!AT31</f>
        <v>0</v>
      </c>
      <c r="F26" s="10">
        <f>王者铸币!AG25+晋级赛!AT31+竞猜!AU31</f>
        <v>0</v>
      </c>
      <c r="G26" s="10">
        <f>王者铸币!AH25+晋级赛!AU31+竞猜!AV31</f>
        <v>0</v>
      </c>
      <c r="H26" s="10">
        <f>王者铸币!AI25+晋级赛!AV31+竞猜!AW31</f>
        <v>0</v>
      </c>
    </row>
    <row r="27" spans="3:8" x14ac:dyDescent="0.15">
      <c r="C27" s="10">
        <v>22</v>
      </c>
      <c r="D27" s="10">
        <f>王者铸币!AE26+晋级赛!AR32+竞猜!AS32</f>
        <v>0</v>
      </c>
      <c r="E27" s="10">
        <f>王者铸币!AF26+晋级赛!AS32+竞猜!AT32</f>
        <v>0</v>
      </c>
      <c r="F27" s="10">
        <f>王者铸币!AG26+晋级赛!AT32+竞猜!AU32</f>
        <v>0</v>
      </c>
      <c r="G27" s="10">
        <f>王者铸币!AH26+晋级赛!AU32+竞猜!AV32</f>
        <v>0</v>
      </c>
      <c r="H27" s="10">
        <f>王者铸币!AI26+晋级赛!AV32+竞猜!AW32</f>
        <v>0</v>
      </c>
    </row>
    <row r="28" spans="3:8" x14ac:dyDescent="0.15">
      <c r="C28" s="10">
        <v>23</v>
      </c>
      <c r="D28" s="10">
        <f>王者铸币!AE27+晋级赛!AR33+竞猜!AS33</f>
        <v>0</v>
      </c>
      <c r="E28" s="10">
        <f>王者铸币!AF27+晋级赛!AS33+竞猜!AT33</f>
        <v>0</v>
      </c>
      <c r="F28" s="10">
        <f>王者铸币!AG27+晋级赛!AT33+竞猜!AU33</f>
        <v>0</v>
      </c>
      <c r="G28" s="10">
        <f>王者铸币!AH27+晋级赛!AU33+竞猜!AV33</f>
        <v>0</v>
      </c>
      <c r="H28" s="10">
        <f>王者铸币!AI27+晋级赛!AV33+竞猜!AW33</f>
        <v>0</v>
      </c>
    </row>
    <row r="29" spans="3:8" x14ac:dyDescent="0.15">
      <c r="C29" s="10">
        <v>24</v>
      </c>
      <c r="D29" s="10">
        <f>王者铸币!AE28+晋级赛!AR34+竞猜!AS34</f>
        <v>0</v>
      </c>
      <c r="E29" s="10">
        <f>王者铸币!AF28+晋级赛!AS34+竞猜!AT34</f>
        <v>0</v>
      </c>
      <c r="F29" s="10">
        <f>王者铸币!AG28+晋级赛!AT34+竞猜!AU34</f>
        <v>0</v>
      </c>
      <c r="G29" s="10">
        <f>王者铸币!AH28+晋级赛!AU34+竞猜!AV34</f>
        <v>0</v>
      </c>
      <c r="H29" s="10">
        <f>王者铸币!AI28+晋级赛!AV34+竞猜!AW34</f>
        <v>0</v>
      </c>
    </row>
    <row r="30" spans="3:8" x14ac:dyDescent="0.15">
      <c r="C30" s="10">
        <v>25</v>
      </c>
      <c r="D30" s="10">
        <f>王者铸币!AE29+晋级赛!AR35+竞猜!AS35</f>
        <v>0</v>
      </c>
      <c r="E30" s="10">
        <f>王者铸币!AF29+晋级赛!AS35+竞猜!AT35</f>
        <v>0</v>
      </c>
      <c r="F30" s="10">
        <f>王者铸币!AG29+晋级赛!AT35+竞猜!AU35</f>
        <v>0</v>
      </c>
      <c r="G30" s="10">
        <f>王者铸币!AH29+晋级赛!AU35+竞猜!AV35</f>
        <v>0</v>
      </c>
      <c r="H30" s="10">
        <f>王者铸币!AI29+晋级赛!AV35+竞猜!AW35</f>
        <v>0</v>
      </c>
    </row>
    <row r="31" spans="3:8" x14ac:dyDescent="0.15">
      <c r="C31" s="10">
        <v>26</v>
      </c>
      <c r="D31" s="10">
        <f>王者铸币!AE30+晋级赛!AR36+竞猜!AS36</f>
        <v>0</v>
      </c>
      <c r="E31" s="10">
        <f>王者铸币!AF30+晋级赛!AS36+竞猜!AT36</f>
        <v>0</v>
      </c>
      <c r="F31" s="10">
        <f>王者铸币!AG30+晋级赛!AT36+竞猜!AU36</f>
        <v>0</v>
      </c>
      <c r="G31" s="10">
        <f>王者铸币!AH30+晋级赛!AU36+竞猜!AV36</f>
        <v>0</v>
      </c>
      <c r="H31" s="10">
        <f>王者铸币!AI30+晋级赛!AV36+竞猜!AW36</f>
        <v>0</v>
      </c>
    </row>
    <row r="32" spans="3:8" x14ac:dyDescent="0.15">
      <c r="C32" s="10">
        <v>27</v>
      </c>
      <c r="D32" s="10">
        <f>王者铸币!AE31+晋级赛!AR37+竞猜!AS37</f>
        <v>0</v>
      </c>
      <c r="E32" s="10">
        <f>王者铸币!AF31+晋级赛!AS37+竞猜!AT37</f>
        <v>0</v>
      </c>
      <c r="F32" s="10">
        <f>王者铸币!AG31+晋级赛!AT37+竞猜!AU37</f>
        <v>0</v>
      </c>
      <c r="G32" s="10">
        <f>王者铸币!AH31+晋级赛!AU37+竞猜!AV37</f>
        <v>0</v>
      </c>
      <c r="H32" s="10">
        <f>王者铸币!AI31+晋级赛!AV37+竞猜!AW37</f>
        <v>0</v>
      </c>
    </row>
    <row r="33" spans="3:8" x14ac:dyDescent="0.15">
      <c r="C33" s="10">
        <v>28</v>
      </c>
      <c r="D33" s="10">
        <f>王者铸币!AE32+晋级赛!AR38+竞猜!AS38</f>
        <v>0</v>
      </c>
      <c r="E33" s="10">
        <f>王者铸币!AF32+晋级赛!AS38+竞猜!AT38</f>
        <v>0</v>
      </c>
      <c r="F33" s="10">
        <f>王者铸币!AG32+晋级赛!AT38+竞猜!AU38</f>
        <v>0</v>
      </c>
      <c r="G33" s="10">
        <f>王者铸币!AH32+晋级赛!AU38+竞猜!AV38</f>
        <v>0</v>
      </c>
      <c r="H33" s="10">
        <f>王者铸币!AI32+晋级赛!AV38+竞猜!AW38</f>
        <v>0</v>
      </c>
    </row>
    <row r="34" spans="3:8" x14ac:dyDescent="0.15">
      <c r="C34" s="10">
        <v>29</v>
      </c>
      <c r="D34" s="10">
        <f>王者铸币!AE33+晋级赛!AR39+竞猜!AS39</f>
        <v>0</v>
      </c>
      <c r="E34" s="10">
        <f>王者铸币!AF33+晋级赛!AS39+竞猜!AT39</f>
        <v>0</v>
      </c>
      <c r="F34" s="10">
        <f>王者铸币!AG33+晋级赛!AT39+竞猜!AU39</f>
        <v>0</v>
      </c>
      <c r="G34" s="10">
        <f>王者铸币!AH33+晋级赛!AU39+竞猜!AV39</f>
        <v>0</v>
      </c>
      <c r="H34" s="10">
        <f>王者铸币!AI33+晋级赛!AV39+竞猜!AW39</f>
        <v>0</v>
      </c>
    </row>
    <row r="35" spans="3:8" x14ac:dyDescent="0.15">
      <c r="C35" s="10">
        <v>30</v>
      </c>
      <c r="D35" s="10">
        <f>王者铸币!AE34+晋级赛!AR40+竞猜!AS40</f>
        <v>0</v>
      </c>
      <c r="E35" s="10">
        <f>王者铸币!AF34+晋级赛!AS40+竞猜!AT40</f>
        <v>0</v>
      </c>
      <c r="F35" s="10">
        <f>王者铸币!AG34+晋级赛!AT40+竞猜!AU40</f>
        <v>0</v>
      </c>
      <c r="G35" s="10">
        <f>王者铸币!AH34+晋级赛!AU40+竞猜!AV40</f>
        <v>0</v>
      </c>
      <c r="H35" s="10">
        <f>王者铸币!AI34+晋级赛!AV40+竞猜!AW40</f>
        <v>0</v>
      </c>
    </row>
    <row r="36" spans="3:8" x14ac:dyDescent="0.15">
      <c r="C36" s="10">
        <v>31</v>
      </c>
      <c r="D36" s="10">
        <f>王者铸币!AE35+晋级赛!AR41+竞猜!AS41</f>
        <v>0</v>
      </c>
      <c r="E36" s="10">
        <f>王者铸币!AF35+晋级赛!AS41+竞猜!AT41</f>
        <v>0</v>
      </c>
      <c r="F36" s="10">
        <f>王者铸币!AG35+晋级赛!AT41+竞猜!AU41</f>
        <v>0</v>
      </c>
      <c r="G36" s="10">
        <f>王者铸币!AH35+晋级赛!AU41+竞猜!AV41</f>
        <v>0</v>
      </c>
      <c r="H36" s="10">
        <f>王者铸币!AI35+晋级赛!AV41+竞猜!AW41</f>
        <v>0</v>
      </c>
    </row>
    <row r="37" spans="3:8" x14ac:dyDescent="0.15">
      <c r="C37" s="10">
        <v>32</v>
      </c>
      <c r="D37" s="10">
        <f>王者铸币!AE36+晋级赛!AR42+竞猜!AS42</f>
        <v>0</v>
      </c>
      <c r="E37" s="10">
        <f>王者铸币!AF36+晋级赛!AS42+竞猜!AT42</f>
        <v>0</v>
      </c>
      <c r="F37" s="10">
        <f>王者铸币!AG36+晋级赛!AT42+竞猜!AU42</f>
        <v>0</v>
      </c>
      <c r="G37" s="10">
        <f>王者铸币!AH36+晋级赛!AU42+竞猜!AV42</f>
        <v>0</v>
      </c>
      <c r="H37" s="10">
        <f>王者铸币!AI36+晋级赛!AV42+竞猜!AW42</f>
        <v>0</v>
      </c>
    </row>
    <row r="38" spans="3:8" x14ac:dyDescent="0.15">
      <c r="C38" s="10">
        <v>33</v>
      </c>
      <c r="D38" s="10">
        <f>王者铸币!AE37+晋级赛!AR43+竞猜!AS43</f>
        <v>0</v>
      </c>
      <c r="E38" s="10">
        <f>王者铸币!AF37+晋级赛!AS43+竞猜!AT43</f>
        <v>0</v>
      </c>
      <c r="F38" s="10">
        <f>王者铸币!AG37+晋级赛!AT43+竞猜!AU43</f>
        <v>0</v>
      </c>
      <c r="G38" s="10">
        <f>王者铸币!AH37+晋级赛!AU43+竞猜!AV43</f>
        <v>0</v>
      </c>
      <c r="H38" s="10">
        <f>王者铸币!AI37+晋级赛!AV43+竞猜!AW43</f>
        <v>0</v>
      </c>
    </row>
    <row r="39" spans="3:8" x14ac:dyDescent="0.15">
      <c r="C39" s="10">
        <v>34</v>
      </c>
      <c r="D39" s="10">
        <f>王者铸币!AE38+晋级赛!AR44+竞猜!AS44</f>
        <v>0</v>
      </c>
      <c r="E39" s="10">
        <f>王者铸币!AF38+晋级赛!AS44+竞猜!AT44</f>
        <v>0</v>
      </c>
      <c r="F39" s="10">
        <f>王者铸币!AG38+晋级赛!AT44+竞猜!AU44</f>
        <v>0</v>
      </c>
      <c r="G39" s="10">
        <f>王者铸币!AH38+晋级赛!AU44+竞猜!AV44</f>
        <v>0</v>
      </c>
      <c r="H39" s="10">
        <f>王者铸币!AI38+晋级赛!AV44+竞猜!AW44</f>
        <v>0</v>
      </c>
    </row>
    <row r="40" spans="3:8" x14ac:dyDescent="0.15">
      <c r="C40" s="10">
        <v>35</v>
      </c>
      <c r="D40" s="10">
        <f>王者铸币!AE39+晋级赛!AR45+竞猜!AS45</f>
        <v>0</v>
      </c>
      <c r="E40" s="10">
        <f>王者铸币!AF39+晋级赛!AS45+竞猜!AT45</f>
        <v>0</v>
      </c>
      <c r="F40" s="10">
        <f>王者铸币!AG39+晋级赛!AT45+竞猜!AU45</f>
        <v>0</v>
      </c>
      <c r="G40" s="10">
        <f>王者铸币!AH39+晋级赛!AU45+竞猜!AV45</f>
        <v>0</v>
      </c>
      <c r="H40" s="10">
        <f>王者铸币!AI39+晋级赛!AV45+竞猜!AW45</f>
        <v>0</v>
      </c>
    </row>
    <row r="41" spans="3:8" x14ac:dyDescent="0.15">
      <c r="C41" s="10">
        <v>36</v>
      </c>
      <c r="D41" s="10">
        <f>王者铸币!AE40+晋级赛!AR46+竞猜!AS46</f>
        <v>0</v>
      </c>
      <c r="E41" s="10">
        <f>王者铸币!AF40+晋级赛!AS46+竞猜!AT46</f>
        <v>0</v>
      </c>
      <c r="F41" s="10">
        <f>王者铸币!AG40+晋级赛!AT46+竞猜!AU46</f>
        <v>0</v>
      </c>
      <c r="G41" s="10">
        <f>王者铸币!AH40+晋级赛!AU46+竞猜!AV46</f>
        <v>0</v>
      </c>
      <c r="H41" s="10">
        <f>王者铸币!AI40+晋级赛!AV46+竞猜!AW46</f>
        <v>0</v>
      </c>
    </row>
    <row r="42" spans="3:8" x14ac:dyDescent="0.15">
      <c r="C42" s="10">
        <v>37</v>
      </c>
      <c r="D42" s="10">
        <f>王者铸币!AE41+晋级赛!AR47+竞猜!AS47</f>
        <v>0</v>
      </c>
      <c r="E42" s="10">
        <f>王者铸币!AF41+晋级赛!AS47+竞猜!AT47</f>
        <v>0</v>
      </c>
      <c r="F42" s="10">
        <f>王者铸币!AG41+晋级赛!AT47+竞猜!AU47</f>
        <v>0</v>
      </c>
      <c r="G42" s="10">
        <f>王者铸币!AH41+晋级赛!AU47+竞猜!AV47</f>
        <v>0</v>
      </c>
      <c r="H42" s="10">
        <f>王者铸币!AI41+晋级赛!AV47+竞猜!AW47</f>
        <v>0</v>
      </c>
    </row>
    <row r="43" spans="3:8" x14ac:dyDescent="0.15">
      <c r="C43" s="10">
        <v>38</v>
      </c>
      <c r="D43" s="10">
        <f>王者铸币!AE42+晋级赛!AR48+竞猜!AS48</f>
        <v>0</v>
      </c>
      <c r="E43" s="10">
        <f>王者铸币!AF42+晋级赛!AS48+竞猜!AT48</f>
        <v>0</v>
      </c>
      <c r="F43" s="10">
        <f>王者铸币!AG42+晋级赛!AT48+竞猜!AU48</f>
        <v>0</v>
      </c>
      <c r="G43" s="10">
        <f>王者铸币!AH42+晋级赛!AU48+竞猜!AV48</f>
        <v>0</v>
      </c>
      <c r="H43" s="10">
        <f>王者铸币!AI42+晋级赛!AV48+竞猜!AW48</f>
        <v>0</v>
      </c>
    </row>
    <row r="44" spans="3:8" x14ac:dyDescent="0.15">
      <c r="C44" s="10">
        <v>39</v>
      </c>
      <c r="D44" s="10">
        <f>王者铸币!AE43+晋级赛!AR49+竞猜!AS49</f>
        <v>0</v>
      </c>
      <c r="E44" s="10">
        <f>王者铸币!AF43+晋级赛!AS49+竞猜!AT49</f>
        <v>0</v>
      </c>
      <c r="F44" s="10">
        <f>王者铸币!AG43+晋级赛!AT49+竞猜!AU49</f>
        <v>0</v>
      </c>
      <c r="G44" s="10">
        <f>王者铸币!AH43+晋级赛!AU49+竞猜!AV49</f>
        <v>0</v>
      </c>
      <c r="H44" s="10">
        <f>王者铸币!AI43+晋级赛!AV49+竞猜!AW49</f>
        <v>0</v>
      </c>
    </row>
    <row r="45" spans="3:8" x14ac:dyDescent="0.15">
      <c r="C45" s="10">
        <v>40</v>
      </c>
      <c r="D45" s="10">
        <f>王者铸币!AE44+晋级赛!AR50+竞猜!AS50</f>
        <v>0</v>
      </c>
      <c r="E45" s="10">
        <f>王者铸币!AF44+晋级赛!AS50+竞猜!AT50</f>
        <v>0</v>
      </c>
      <c r="F45" s="10">
        <f>王者铸币!AG44+晋级赛!AT50+竞猜!AU50</f>
        <v>0</v>
      </c>
      <c r="G45" s="10">
        <f>王者铸币!AH44+晋级赛!AU50+竞猜!AV50</f>
        <v>0</v>
      </c>
      <c r="H45" s="10">
        <f>王者铸币!AI44+晋级赛!AV50+竞猜!AW50</f>
        <v>0</v>
      </c>
    </row>
    <row r="46" spans="3:8" x14ac:dyDescent="0.15">
      <c r="C46" s="10">
        <v>41</v>
      </c>
      <c r="D46" s="10">
        <f>王者铸币!AE45+晋级赛!AR51+竞猜!AS51</f>
        <v>0</v>
      </c>
      <c r="E46" s="10">
        <f>王者铸币!AF45+晋级赛!AS51+竞猜!AT51</f>
        <v>0</v>
      </c>
      <c r="F46" s="10">
        <f>王者铸币!AG45+晋级赛!AT51+竞猜!AU51</f>
        <v>0</v>
      </c>
      <c r="G46" s="10">
        <f>王者铸币!AH45+晋级赛!AU51+竞猜!AV51</f>
        <v>0</v>
      </c>
      <c r="H46" s="10">
        <f>王者铸币!AI45+晋级赛!AV51+竞猜!AW51</f>
        <v>0</v>
      </c>
    </row>
    <row r="47" spans="3:8" x14ac:dyDescent="0.15">
      <c r="C47" s="10">
        <v>42</v>
      </c>
      <c r="D47" s="10">
        <f>王者铸币!AE46+晋级赛!AR52+竞猜!AS52</f>
        <v>0</v>
      </c>
      <c r="E47" s="10">
        <f>王者铸币!AF46+晋级赛!AS52+竞猜!AT52</f>
        <v>0</v>
      </c>
      <c r="F47" s="10">
        <f>王者铸币!AG46+晋级赛!AT52+竞猜!AU52</f>
        <v>0</v>
      </c>
      <c r="G47" s="10">
        <f>王者铸币!AH46+晋级赛!AU52+竞猜!AV52</f>
        <v>0</v>
      </c>
      <c r="H47" s="10">
        <f>王者铸币!AI46+晋级赛!AV52+竞猜!AW52</f>
        <v>0</v>
      </c>
    </row>
    <row r="48" spans="3:8" x14ac:dyDescent="0.15">
      <c r="C48" s="10">
        <v>43</v>
      </c>
      <c r="D48" s="10">
        <f>王者铸币!AE47+晋级赛!AR53+竞猜!AS53</f>
        <v>0</v>
      </c>
      <c r="E48" s="10">
        <f>王者铸币!AF47+晋级赛!AS53+竞猜!AT53</f>
        <v>0</v>
      </c>
      <c r="F48" s="10">
        <f>王者铸币!AG47+晋级赛!AT53+竞猜!AU53</f>
        <v>0</v>
      </c>
      <c r="G48" s="10">
        <f>王者铸币!AH47+晋级赛!AU53+竞猜!AV53</f>
        <v>0</v>
      </c>
      <c r="H48" s="10">
        <f>王者铸币!AI47+晋级赛!AV53+竞猜!AW53</f>
        <v>0</v>
      </c>
    </row>
    <row r="49" spans="3:8" x14ac:dyDescent="0.15">
      <c r="C49" s="10">
        <v>44</v>
      </c>
      <c r="D49" s="10">
        <f>王者铸币!AE48+晋级赛!AR54+竞猜!AS54</f>
        <v>0</v>
      </c>
      <c r="E49" s="10">
        <f>王者铸币!AF48+晋级赛!AS54+竞猜!AT54</f>
        <v>0</v>
      </c>
      <c r="F49" s="10">
        <f>王者铸币!AG48+晋级赛!AT54+竞猜!AU54</f>
        <v>0</v>
      </c>
      <c r="G49" s="10">
        <f>王者铸币!AH48+晋级赛!AU54+竞猜!AV54</f>
        <v>0</v>
      </c>
      <c r="H49" s="10">
        <f>王者铸币!AI48+晋级赛!AV54+竞猜!AW54</f>
        <v>0</v>
      </c>
    </row>
    <row r="50" spans="3:8" x14ac:dyDescent="0.15">
      <c r="C50" s="10">
        <v>45</v>
      </c>
      <c r="D50" s="10">
        <f>王者铸币!AE49+晋级赛!AR55+竞猜!AS55</f>
        <v>0</v>
      </c>
      <c r="E50" s="10">
        <f>王者铸币!AF49+晋级赛!AS55+竞猜!AT55</f>
        <v>0</v>
      </c>
      <c r="F50" s="10">
        <f>王者铸币!AG49+晋级赛!AT55+竞猜!AU55</f>
        <v>0</v>
      </c>
      <c r="G50" s="10">
        <f>王者铸币!AH49+晋级赛!AU55+竞猜!AV55</f>
        <v>0</v>
      </c>
      <c r="H50" s="10">
        <f>王者铸币!AI49+晋级赛!AV55+竞猜!AW55</f>
        <v>0</v>
      </c>
    </row>
    <row r="51" spans="3:8" x14ac:dyDescent="0.15">
      <c r="C51" s="10">
        <v>46</v>
      </c>
      <c r="D51" s="10">
        <f>王者铸币!AE50+晋级赛!AR56+竞猜!AS56</f>
        <v>0</v>
      </c>
      <c r="E51" s="10">
        <f>王者铸币!AF50+晋级赛!AS56+竞猜!AT56</f>
        <v>0</v>
      </c>
      <c r="F51" s="10">
        <f>王者铸币!AG50+晋级赛!AT56+竞猜!AU56</f>
        <v>0</v>
      </c>
      <c r="G51" s="10">
        <f>王者铸币!AH50+晋级赛!AU56+竞猜!AV56</f>
        <v>0</v>
      </c>
      <c r="H51" s="10">
        <f>王者铸币!AI50+晋级赛!AV56+竞猜!AW56</f>
        <v>0</v>
      </c>
    </row>
    <row r="52" spans="3:8" x14ac:dyDescent="0.15">
      <c r="C52" s="10">
        <v>47</v>
      </c>
      <c r="D52" s="10">
        <f>王者铸币!AE51+晋级赛!AR57+竞猜!AS57</f>
        <v>0</v>
      </c>
      <c r="E52" s="10">
        <f>王者铸币!AF51+晋级赛!AS57+竞猜!AT57</f>
        <v>0</v>
      </c>
      <c r="F52" s="10">
        <f>王者铸币!AG51+晋级赛!AT57+竞猜!AU57</f>
        <v>0</v>
      </c>
      <c r="G52" s="10">
        <f>王者铸币!AH51+晋级赛!AU57+竞猜!AV57</f>
        <v>0</v>
      </c>
      <c r="H52" s="10">
        <f>王者铸币!AI51+晋级赛!AV57+竞猜!AW57</f>
        <v>0</v>
      </c>
    </row>
    <row r="53" spans="3:8" x14ac:dyDescent="0.15">
      <c r="C53" s="10">
        <v>48</v>
      </c>
      <c r="D53" s="10">
        <f>王者铸币!AE52+晋级赛!AR58+竞猜!AS58</f>
        <v>0</v>
      </c>
      <c r="E53" s="10">
        <f>王者铸币!AF52+晋级赛!AS58+竞猜!AT58</f>
        <v>0</v>
      </c>
      <c r="F53" s="10">
        <f>王者铸币!AG52+晋级赛!AT58+竞猜!AU58</f>
        <v>0</v>
      </c>
      <c r="G53" s="10">
        <f>王者铸币!AH52+晋级赛!AU58+竞猜!AV58</f>
        <v>0</v>
      </c>
      <c r="H53" s="10">
        <f>王者铸币!AI52+晋级赛!AV58+竞猜!AW58</f>
        <v>0</v>
      </c>
    </row>
    <row r="54" spans="3:8" x14ac:dyDescent="0.15">
      <c r="C54" s="10">
        <v>49</v>
      </c>
      <c r="D54" s="10">
        <f>王者铸币!AE53+晋级赛!AR59+竞猜!AS59</f>
        <v>0</v>
      </c>
      <c r="E54" s="10">
        <f>王者铸币!AF53+晋级赛!AS59+竞猜!AT59</f>
        <v>0</v>
      </c>
      <c r="F54" s="10">
        <f>王者铸币!AG53+晋级赛!AT59+竞猜!AU59</f>
        <v>0</v>
      </c>
      <c r="G54" s="10">
        <f>王者铸币!AH53+晋级赛!AU59+竞猜!AV59</f>
        <v>0</v>
      </c>
      <c r="H54" s="10">
        <f>王者铸币!AI53+晋级赛!AV59+竞猜!AW59</f>
        <v>0</v>
      </c>
    </row>
    <row r="55" spans="3:8" x14ac:dyDescent="0.15">
      <c r="C55" s="10">
        <v>50</v>
      </c>
      <c r="D55" s="10">
        <f>王者铸币!AE54+晋级赛!AR60+竞猜!AS60</f>
        <v>182.54914559998372</v>
      </c>
      <c r="E55" s="10">
        <f>王者铸币!AF54+晋级赛!AS60+竞猜!AT60</f>
        <v>0</v>
      </c>
      <c r="F55" s="10">
        <f>王者铸币!AG54+晋级赛!AT60+竞猜!AU60</f>
        <v>0</v>
      </c>
      <c r="G55" s="10">
        <f>王者铸币!AH54+晋级赛!AU60+竞猜!AV60</f>
        <v>0</v>
      </c>
      <c r="H55" s="10">
        <f>王者铸币!AI54+晋级赛!AV60+竞猜!AW60</f>
        <v>0</v>
      </c>
    </row>
    <row r="56" spans="3:8" x14ac:dyDescent="0.15">
      <c r="C56" s="10">
        <v>51</v>
      </c>
      <c r="D56" s="10">
        <f>王者铸币!AE55+晋级赛!AR61+竞猜!AS61</f>
        <v>601.99331065610181</v>
      </c>
      <c r="E56" s="10">
        <f>王者铸币!AF55+晋级赛!AS61+竞猜!AT61</f>
        <v>0</v>
      </c>
      <c r="F56" s="10">
        <f>王者铸币!AG55+晋级赛!AT61+竞猜!AU61</f>
        <v>0</v>
      </c>
      <c r="G56" s="10">
        <f>王者铸币!AH55+晋级赛!AU61+竞猜!AV61</f>
        <v>0</v>
      </c>
      <c r="H56" s="10">
        <f>王者铸币!AI55+晋级赛!AV61+竞猜!AW61</f>
        <v>0</v>
      </c>
    </row>
    <row r="57" spans="3:8" x14ac:dyDescent="0.15">
      <c r="C57" s="10">
        <v>52</v>
      </c>
      <c r="D57" s="10">
        <f>王者铸币!AE56+晋级赛!AR62+竞猜!AS62</f>
        <v>1051.3296128148015</v>
      </c>
      <c r="E57" s="10">
        <f>王者铸币!AF56+晋级赛!AS62+竞猜!AT62</f>
        <v>271.68262871151268</v>
      </c>
      <c r="F57" s="10">
        <f>王者铸币!AG56+晋级赛!AT62+竞猜!AU62</f>
        <v>0</v>
      </c>
      <c r="G57" s="10">
        <f>王者铸币!AH56+晋级赛!AU62+竞猜!AV62</f>
        <v>0</v>
      </c>
      <c r="H57" s="10">
        <f>王者铸币!AI56+晋级赛!AV62+竞猜!AW62</f>
        <v>0</v>
      </c>
    </row>
    <row r="58" spans="3:8" x14ac:dyDescent="0.15">
      <c r="C58" s="10">
        <v>53</v>
      </c>
      <c r="D58" s="10">
        <f>王者铸币!AE57+晋级赛!AR63+竞猜!AS63</f>
        <v>1532.9944788748796</v>
      </c>
      <c r="E58" s="10">
        <f>王者铸币!AF57+晋级赛!AS63+竞猜!AT63</f>
        <v>861.39984503939058</v>
      </c>
      <c r="F58" s="10">
        <f>王者铸币!AG57+晋级赛!AT63+竞猜!AU63</f>
        <v>0</v>
      </c>
      <c r="G58" s="10">
        <f>王者铸币!AH57+晋级赛!AU63+竞猜!AV63</f>
        <v>0</v>
      </c>
      <c r="H58" s="10">
        <f>王者铸币!AI57+晋级赛!AV63+竞猜!AW63</f>
        <v>0</v>
      </c>
    </row>
    <row r="59" spans="3:8" x14ac:dyDescent="0.15">
      <c r="C59" s="10">
        <v>54</v>
      </c>
      <c r="D59" s="10">
        <f>王者铸币!AE58+晋级赛!AR64+竞猜!AS64</f>
        <v>2049.1238357445677</v>
      </c>
      <c r="E59" s="10">
        <f>王者铸币!AF58+晋级赛!AS64+竞猜!AT64</f>
        <v>1494.1333136703929</v>
      </c>
      <c r="F59" s="10">
        <f>王者铸币!AG58+晋级赛!AT64+竞猜!AU64</f>
        <v>0</v>
      </c>
      <c r="G59" s="10">
        <f>王者铸币!AH58+晋级赛!AU64+竞猜!AV64</f>
        <v>0</v>
      </c>
      <c r="H59" s="10">
        <f>王者铸币!AI58+晋级赛!AV64+竞猜!AW64</f>
        <v>0</v>
      </c>
    </row>
    <row r="60" spans="3:8" x14ac:dyDescent="0.15">
      <c r="C60" s="10">
        <v>55</v>
      </c>
      <c r="D60" s="10">
        <f>王者铸币!AE59+晋级赛!AR65+竞猜!AS65</f>
        <v>2602.3668078613382</v>
      </c>
      <c r="E60" s="10">
        <f>王者铸币!AF59+晋级赛!AS65+竞猜!AT65</f>
        <v>2143.7196546416058</v>
      </c>
      <c r="F60" s="10">
        <f>王者铸币!AG59+晋级赛!AT65+竞猜!AU65</f>
        <v>525.50982154918836</v>
      </c>
      <c r="G60" s="10">
        <f>王者铸币!AH59+晋级赛!AU65+竞猜!AV65</f>
        <v>0</v>
      </c>
      <c r="H60" s="10">
        <f>王者铸币!AI59+晋级赛!AV65+竞猜!AW65</f>
        <v>0</v>
      </c>
    </row>
    <row r="61" spans="3:8" x14ac:dyDescent="0.15">
      <c r="C61" s="10">
        <v>56</v>
      </c>
      <c r="D61" s="10">
        <f>王者铸币!AE60+晋级赛!AR66+竞猜!AS66</f>
        <v>3195.3507168461565</v>
      </c>
      <c r="E61" s="10">
        <f>王者铸币!AF60+晋级赛!AS66+竞猜!AT66</f>
        <v>2832.7781936006186</v>
      </c>
      <c r="F61" s="10">
        <f>王者铸币!AG60+晋级赛!AT66+竞猜!AU66</f>
        <v>1243.9803885055817</v>
      </c>
      <c r="G61" s="10">
        <f>王者铸币!AH60+晋级赛!AU66+竞猜!AV66</f>
        <v>0</v>
      </c>
      <c r="H61" s="10">
        <f>王者铸币!AI60+晋级赛!AV66+竞猜!AW66</f>
        <v>0</v>
      </c>
    </row>
    <row r="62" spans="3:8" x14ac:dyDescent="0.15">
      <c r="C62" s="10">
        <v>57</v>
      </c>
      <c r="D62" s="10">
        <f>王者铸币!AE61+晋级赛!AR67+竞猜!AS67</f>
        <v>3830.651691316079</v>
      </c>
      <c r="E62" s="10">
        <f>王者铸币!AF61+晋级赛!AS67+竞猜!AT67</f>
        <v>3595.075538948111</v>
      </c>
      <c r="F62" s="10">
        <f>王者铸币!AG61+晋级赛!AT67+竞猜!AU67</f>
        <v>2020.5577363481339</v>
      </c>
      <c r="G62" s="10">
        <f>王者铸币!AH61+晋级赛!AU67+竞猜!AV67</f>
        <v>0</v>
      </c>
      <c r="H62" s="10">
        <f>王者铸币!AI61+晋级赛!AV67+竞猜!AW67</f>
        <v>0</v>
      </c>
    </row>
    <row r="63" spans="3:8" x14ac:dyDescent="0.15">
      <c r="C63" s="10">
        <v>58</v>
      </c>
      <c r="D63" s="10">
        <f>王者铸币!AE62+晋级赛!AR68+竞猜!AS68</f>
        <v>4511.9104450223622</v>
      </c>
      <c r="E63" s="10">
        <f>王者铸币!AF62+晋级赛!AS68+竞猜!AT68</f>
        <v>4386.5226402899143</v>
      </c>
      <c r="F63" s="10">
        <f>王者铸币!AG62+晋级赛!AT68+竞猜!AU68</f>
        <v>2851.337713771657</v>
      </c>
      <c r="G63" s="10">
        <f>王者铸币!AH62+晋级赛!AU68+竞猜!AV68</f>
        <v>0</v>
      </c>
      <c r="H63" s="10">
        <f>王者铸币!AI62+晋级赛!AV68+竞猜!AW68</f>
        <v>0</v>
      </c>
    </row>
    <row r="64" spans="3:8" x14ac:dyDescent="0.15">
      <c r="C64" s="10">
        <v>59</v>
      </c>
      <c r="D64" s="10">
        <f>王者铸币!AE63+晋级赛!AR69+竞猜!AS69</f>
        <v>5241.9021384028729</v>
      </c>
      <c r="E64" s="10">
        <f>王者铸币!AF63+晋级赛!AS69+竞猜!AT69</f>
        <v>5260.5812301013166</v>
      </c>
      <c r="F64" s="10">
        <f>王者铸币!AG63+晋级赛!AT69+竞猜!AU69</f>
        <v>3751.7594244124266</v>
      </c>
      <c r="G64" s="10">
        <f>王者铸币!AH63+晋级赛!AU69+竞猜!AV69</f>
        <v>319.47908414349382</v>
      </c>
      <c r="H64" s="10">
        <f>王者铸币!AI63+晋级赛!AV69+竞猜!AW69</f>
        <v>0</v>
      </c>
    </row>
    <row r="65" spans="3:8" x14ac:dyDescent="0.15">
      <c r="C65" s="10">
        <v>60</v>
      </c>
      <c r="D65" s="10">
        <f>王者铸币!AE64+晋级赛!AR70+竞猜!AS70</f>
        <v>6024.1218047994626</v>
      </c>
      <c r="E65" s="10">
        <f>王者铸币!AF64+晋级赛!AS70+竞猜!AT70</f>
        <v>6177.5380086038995</v>
      </c>
      <c r="F65" s="10">
        <f>王者铸币!AG64+晋级赛!AT70+竞猜!AU70</f>
        <v>4708.0435866286998</v>
      </c>
      <c r="G65" s="10">
        <f>王者铸币!AH64+晋级赛!AU70+竞猜!AV70</f>
        <v>1476.7011993828407</v>
      </c>
      <c r="H65" s="10">
        <f>王者铸币!AI64+晋级赛!AV70+竞猜!AW70</f>
        <v>0</v>
      </c>
    </row>
    <row r="66" spans="3:8" x14ac:dyDescent="0.15">
      <c r="C66" s="10">
        <v>61</v>
      </c>
      <c r="D66" s="10">
        <f>王者铸币!AE65+晋级赛!AR71+竞猜!AS71</f>
        <v>6862.8589466188159</v>
      </c>
      <c r="E66" s="10">
        <f>王者铸币!AF65+晋级赛!AS71+竞猜!AT71</f>
        <v>7184.1345544202995</v>
      </c>
      <c r="F66" s="10">
        <f>王者铸币!AG65+晋级赛!AT71+竞猜!AU71</f>
        <v>5750.8245211372487</v>
      </c>
      <c r="G66" s="10">
        <f>王者铸币!AH65+晋级赛!AU71+竞猜!AV71</f>
        <v>2747.7785097229971</v>
      </c>
      <c r="H66" s="10">
        <f>王者铸币!AI65+晋级赛!AV71+竞猜!AW71</f>
        <v>0</v>
      </c>
    </row>
    <row r="67" spans="3:8" x14ac:dyDescent="0.15">
      <c r="C67" s="10">
        <v>62</v>
      </c>
      <c r="D67" s="10">
        <f>王者铸币!AE66+晋级赛!AR72+竞猜!AS72</f>
        <v>7761.5916530961058</v>
      </c>
      <c r="E67" s="10">
        <f>王者铸币!AF66+晋级赛!AS72+竞猜!AT72</f>
        <v>8250.8039888920448</v>
      </c>
      <c r="F67" s="10">
        <f>王者铸币!AG66+晋级赛!AT72+竞猜!AU72</f>
        <v>6880.4224646074645</v>
      </c>
      <c r="G67" s="10">
        <f>王者铸币!AH66+晋级赛!AU72+竞猜!AV72</f>
        <v>4122.5127468379433</v>
      </c>
      <c r="H67" s="10">
        <f>王者铸币!AI66+晋级赛!AV72+竞猜!AW72</f>
        <v>0</v>
      </c>
    </row>
    <row r="68" spans="3:8" x14ac:dyDescent="0.15">
      <c r="C68" s="10">
        <v>63</v>
      </c>
      <c r="D68" s="10">
        <f>王者铸币!AE67+晋级赛!AR73+竞猜!AS73</f>
        <v>8724.7479152522101</v>
      </c>
      <c r="E68" s="10">
        <f>王者铸币!AF67+晋级赛!AS73+竞猜!AT73</f>
        <v>9413.2642583754932</v>
      </c>
      <c r="F68" s="10">
        <f>王者铸币!AG67+晋级赛!AT73+竞猜!AU73</f>
        <v>8086.7850010175271</v>
      </c>
      <c r="G68" s="10">
        <f>王者铸币!AH67+晋级赛!AU73+竞猜!AV73</f>
        <v>5610.2618327971995</v>
      </c>
      <c r="H68" s="10">
        <f>王者铸币!AI67+晋级赛!AV73+竞猜!AW73</f>
        <v>0</v>
      </c>
    </row>
    <row r="69" spans="3:8" x14ac:dyDescent="0.15">
      <c r="C69" s="10">
        <v>64</v>
      </c>
      <c r="D69" s="10">
        <f>王者铸币!AE68+晋级赛!AR74+竞猜!AS74</f>
        <v>9757.1835281034128</v>
      </c>
      <c r="E69" s="10">
        <f>王者铸币!AF68+晋级赛!AS74+竞猜!AT74</f>
        <v>10651.711706404903</v>
      </c>
      <c r="F69" s="10">
        <f>王者铸币!AG68+晋级赛!AT74+竞猜!AU74</f>
        <v>9393.6645407942397</v>
      </c>
      <c r="G69" s="10">
        <f>王者铸币!AH68+晋级赛!AU74+竞猜!AV74</f>
        <v>7207.6797508574928</v>
      </c>
      <c r="H69" s="10">
        <f>王者铸币!AI68+晋级赛!AV74+竞猜!AW74</f>
        <v>0</v>
      </c>
    </row>
    <row r="70" spans="3:8" x14ac:dyDescent="0.15">
      <c r="C70" s="10">
        <v>65</v>
      </c>
      <c r="D70" s="10">
        <f>王者铸币!AE69+晋级赛!AR75+竞猜!AS75</f>
        <v>10863.644657438559</v>
      </c>
      <c r="E70" s="10">
        <f>王者铸币!AF69+晋级赛!AS75+竞猜!AT75</f>
        <v>11970.56321947893</v>
      </c>
      <c r="F70" s="10">
        <f>王者铸币!AG69+晋级赛!AT75+竞猜!AU75</f>
        <v>10812.926582902555</v>
      </c>
      <c r="G70" s="10">
        <f>王者铸币!AH69+晋级赛!AU75+竞猜!AV75</f>
        <v>8894.6880215976635</v>
      </c>
      <c r="H70" s="10">
        <f>王者铸币!AI69+晋级赛!AV75+竞猜!AW75</f>
        <v>0</v>
      </c>
    </row>
    <row r="71" spans="3:8" x14ac:dyDescent="0.15">
      <c r="C71" s="10">
        <v>66</v>
      </c>
      <c r="D71" s="10">
        <f>王者铸币!AE70+晋级赛!AR76+竞猜!AS76</f>
        <v>12049.318360968549</v>
      </c>
      <c r="E71" s="10">
        <f>王者铸币!AF70+晋级赛!AS76+竞猜!AT76</f>
        <v>13403.13036550063</v>
      </c>
      <c r="F71" s="10">
        <f>王者铸币!AG70+晋级赛!AT76+竞猜!AU76</f>
        <v>12312.533837215031</v>
      </c>
      <c r="G71" s="10">
        <f>王者铸币!AH70+晋级赛!AU76+竞猜!AV76</f>
        <v>10593.433373086138</v>
      </c>
      <c r="H71" s="10">
        <f>王者铸币!AI70+晋级赛!AV76+竞猜!AW76</f>
        <v>0</v>
      </c>
    </row>
    <row r="72" spans="3:8" x14ac:dyDescent="0.15">
      <c r="C72" s="10">
        <v>67</v>
      </c>
      <c r="D72" s="10">
        <f>王者铸币!AE71+晋级赛!AR77+竞猜!AS77</f>
        <v>13320.326522161709</v>
      </c>
      <c r="E72" s="10">
        <f>王者铸币!AF71+晋级赛!AS77+竞猜!AT77</f>
        <v>14939.710356442867</v>
      </c>
      <c r="F72" s="10">
        <f>王者铸币!AG71+晋级赛!AT77+竞猜!AU77</f>
        <v>13848.70036076615</v>
      </c>
      <c r="G72" s="10">
        <f>王者铸币!AH71+晋级赛!AU77+竞猜!AV77</f>
        <v>12412.876811849435</v>
      </c>
      <c r="H72" s="10">
        <f>王者铸币!AI71+晋级赛!AV77+竞猜!AW77</f>
        <v>0</v>
      </c>
    </row>
    <row r="73" spans="3:8" x14ac:dyDescent="0.15">
      <c r="C73" s="10">
        <v>68</v>
      </c>
      <c r="D73" s="10">
        <f>王者铸币!AE72+晋级赛!AR78+竞猜!AS78</f>
        <v>14682.716784802824</v>
      </c>
      <c r="E73" s="10">
        <f>王者铸币!AF72+晋级赛!AS78+竞猜!AT78</f>
        <v>16538.009491047949</v>
      </c>
      <c r="F73" s="10">
        <f>王者铸币!AG72+晋级赛!AT78+竞猜!AU78</f>
        <v>15434.958340662626</v>
      </c>
      <c r="G73" s="10">
        <f>王者铸币!AH72+晋级赛!AU78+竞猜!AV78</f>
        <v>14402.452343694767</v>
      </c>
      <c r="H73" s="10">
        <f>王者铸币!AI72+晋级赛!AV78+竞猜!AW78</f>
        <v>2723.5892925856642</v>
      </c>
    </row>
    <row r="74" spans="3:8" x14ac:dyDescent="0.15">
      <c r="C74" s="10">
        <v>69</v>
      </c>
      <c r="D74" s="10">
        <f>王者铸币!AE73+晋级赛!AR79+竞猜!AS79</f>
        <v>16142.699131562931</v>
      </c>
      <c r="E74" s="10">
        <f>王者铸币!AF73+晋级赛!AS79+竞猜!AT79</f>
        <v>18216.354104342194</v>
      </c>
      <c r="F74" s="10">
        <f>王者铸币!AG73+晋级赛!AT79+竞猜!AU79</f>
        <v>17240.026814074768</v>
      </c>
      <c r="G74" s="10">
        <f>王者铸币!AH73+晋级赛!AU79+竞猜!AV79</f>
        <v>16568.282139962193</v>
      </c>
      <c r="H74" s="10">
        <f>王者铸币!AI73+晋级赛!AV79+竞猜!AW79</f>
        <v>5947.432027427757</v>
      </c>
    </row>
    <row r="75" spans="3:8" x14ac:dyDescent="0.15">
      <c r="C75" s="10">
        <v>70</v>
      </c>
      <c r="D75" s="10">
        <f>王者铸币!AE74+晋级赛!AR80+竞猜!AS80</f>
        <v>17707.26712319842</v>
      </c>
      <c r="E75" s="10">
        <f>王者铸币!AF74+晋级赛!AS80+竞猜!AT80</f>
        <v>20089.579295919884</v>
      </c>
      <c r="F75" s="10">
        <f>王者铸币!AG74+晋级赛!AT80+竞猜!AU80</f>
        <v>19227.064305418229</v>
      </c>
      <c r="G75" s="10">
        <f>王者铸币!AH74+晋级赛!AU80+竞猜!AV80</f>
        <v>18874.785329676764</v>
      </c>
      <c r="H75" s="10">
        <f>王者铸币!AI74+晋级赛!AV80+竞猜!AW80</f>
        <v>9521.6622853534827</v>
      </c>
    </row>
    <row r="76" spans="3:8" x14ac:dyDescent="0.15">
      <c r="C76" s="10">
        <v>71</v>
      </c>
      <c r="D76" s="10">
        <f>王者铸币!AE75+晋级赛!AR81+竞猜!AS81</f>
        <v>19384.474652429675</v>
      </c>
      <c r="E76" s="10">
        <f>王者铸币!AF75+晋级赛!AS81+竞猜!AT81</f>
        <v>22115.373775320964</v>
      </c>
      <c r="F76" s="10">
        <f>王者铸币!AG75+晋级赛!AT81+竞猜!AU81</f>
        <v>21299.110415695595</v>
      </c>
      <c r="G76" s="10">
        <f>王者铸币!AH75+晋级赛!AU81+竞猜!AV81</f>
        <v>21337.504384696171</v>
      </c>
      <c r="H76" s="10">
        <f>王者铸币!AI75+晋级赛!AV81+竞猜!AW81</f>
        <v>13369.359422963433</v>
      </c>
    </row>
    <row r="77" spans="3:8" x14ac:dyDescent="0.15">
      <c r="C77" s="10">
        <v>72</v>
      </c>
      <c r="D77" s="10">
        <f>王者铸币!AE76+晋级赛!AR82+竞猜!AS82</f>
        <v>21181.823562738802</v>
      </c>
      <c r="E77" s="10">
        <f>王者铸币!AF76+晋级赛!AS82+竞猜!AT82</f>
        <v>24262.955570794733</v>
      </c>
      <c r="F77" s="10">
        <f>王者铸币!AG76+晋级赛!AT82+竞猜!AU82</f>
        <v>23453.540186443894</v>
      </c>
      <c r="G77" s="10">
        <f>王者铸币!AH76+晋级赛!AU82+竞猜!AV82</f>
        <v>23950.767554154281</v>
      </c>
      <c r="H77" s="10">
        <f>王者铸币!AI76+晋级赛!AV82+竞猜!AW82</f>
        <v>17427.754739469245</v>
      </c>
    </row>
    <row r="78" spans="3:8" x14ac:dyDescent="0.15">
      <c r="C78" s="10">
        <v>73</v>
      </c>
      <c r="D78" s="10">
        <f>王者铸币!AE77+晋级赛!AR83+竞猜!AS83</f>
        <v>23108.453142425864</v>
      </c>
      <c r="E78" s="10">
        <f>王者铸币!AF77+晋级赛!AS83+竞猜!AT83</f>
        <v>26482.450290926983</v>
      </c>
      <c r="F78" s="10">
        <f>王者铸币!AG77+晋级赛!AT83+竞猜!AU83</f>
        <v>25776.890253375652</v>
      </c>
      <c r="G78" s="10">
        <f>王者铸币!AH77+晋级赛!AU83+竞猜!AV83</f>
        <v>26771.023115489617</v>
      </c>
      <c r="H78" s="10">
        <f>王者铸币!AI77+晋级赛!AV83+竞猜!AW83</f>
        <v>21794.184412619779</v>
      </c>
    </row>
    <row r="79" spans="3:8" x14ac:dyDescent="0.15">
      <c r="C79" s="10">
        <v>74</v>
      </c>
      <c r="D79" s="10">
        <f>王者铸币!AE78+晋级赛!AR84+竞猜!AS84</f>
        <v>25173.055848299104</v>
      </c>
      <c r="E79" s="10">
        <f>王者铸币!AF78+晋级赛!AS84+竞猜!AT84</f>
        <v>28931.09524349718</v>
      </c>
      <c r="F79" s="10">
        <f>王者铸币!AG78+晋级赛!AT84+竞猜!AU84</f>
        <v>28374.757802819448</v>
      </c>
      <c r="G79" s="10">
        <f>王者铸币!AH78+晋级赛!AU84+竞猜!AV84</f>
        <v>29878.54837708503</v>
      </c>
      <c r="H79" s="10">
        <f>王者铸币!AI78+晋级赛!AV84+竞猜!AW84</f>
        <v>26616.553426339462</v>
      </c>
    </row>
    <row r="80" spans="3:8" x14ac:dyDescent="0.15">
      <c r="C80" s="10">
        <v>75</v>
      </c>
      <c r="D80" s="10">
        <f>王者铸币!AE79+晋级赛!AR85+竞猜!AS85</f>
        <v>27385.917756665891</v>
      </c>
      <c r="E80" s="10">
        <f>王者铸币!AF79+晋级赛!AS85+竞猜!AT85</f>
        <v>31591.200552339786</v>
      </c>
      <c r="F80" s="10">
        <f>王者铸币!AG79+晋级赛!AT85+竞猜!AU85</f>
        <v>31150.838651054924</v>
      </c>
      <c r="G80" s="10">
        <f>王者铸币!AH79+晋级赛!AU85+竞猜!AV85</f>
        <v>33211.683195627447</v>
      </c>
      <c r="H80" s="10">
        <f>王者铸币!AI79+晋级赛!AV85+竞猜!AW85</f>
        <v>31869.522479412248</v>
      </c>
    </row>
    <row r="81" spans="3:8" x14ac:dyDescent="0.15">
      <c r="C81" s="10">
        <v>76</v>
      </c>
      <c r="D81" s="10">
        <f>王者铸币!AE80+晋级赛!AR86+竞猜!AS86</f>
        <v>29757.660172833446</v>
      </c>
      <c r="E81" s="10">
        <f>王者铸币!AF80+晋级赛!AS86+竞猜!AT86</f>
        <v>34410.167711571739</v>
      </c>
      <c r="F81" s="10">
        <f>王者铸币!AG80+晋级赛!AT86+竞猜!AU86</f>
        <v>34073.254751020075</v>
      </c>
      <c r="G81" s="10">
        <f>王者铸币!AH80+晋级赛!AU86+竞猜!AV86</f>
        <v>36796.760230390515</v>
      </c>
      <c r="H81" s="10">
        <f>王者铸币!AI80+晋级赛!AV86+竞猜!AW86</f>
        <v>37595.567984862588</v>
      </c>
    </row>
    <row r="82" spans="3:8" x14ac:dyDescent="0.15">
      <c r="C82" s="10">
        <v>77</v>
      </c>
      <c r="D82" s="10">
        <f>王者铸币!AE81+晋级赛!AR87+竞猜!AS87</f>
        <v>32299.675056859309</v>
      </c>
      <c r="E82" s="10">
        <f>王者铸币!AF81+晋级赛!AS87+竞猜!AT87</f>
        <v>37462.471548071953</v>
      </c>
      <c r="F82" s="10">
        <f>王者铸币!AG81+晋级赛!AT87+竞猜!AU87</f>
        <v>37276.681827544016</v>
      </c>
      <c r="G82" s="10">
        <f>王者铸币!AH81+晋级赛!AU87+竞猜!AV87</f>
        <v>40675.669785329927</v>
      </c>
      <c r="H82" s="10">
        <f>王者铸币!AI81+晋级赛!AV87+竞猜!AW87</f>
        <v>43266.457282174517</v>
      </c>
    </row>
    <row r="83" spans="3:8" x14ac:dyDescent="0.15">
      <c r="C83" s="10">
        <v>78</v>
      </c>
      <c r="D83" s="10">
        <f>王者铸币!AE82+晋级赛!AR88+竞猜!AS88</f>
        <v>35024.147598580232</v>
      </c>
      <c r="E83" s="10">
        <f>王者铸币!AF82+晋级赛!AS88+竞猜!AT88</f>
        <v>40707.763975896502</v>
      </c>
      <c r="F83" s="10">
        <f>王者铸币!AG82+晋级赛!AT88+竞猜!AU88</f>
        <v>40699.716080374536</v>
      </c>
      <c r="G83" s="10">
        <f>王者铸币!AH82+晋级赛!AU88+竞猜!AV88</f>
        <v>44745.825981242691</v>
      </c>
      <c r="H83" s="10">
        <f>王者铸币!AI82+晋级赛!AV88+竞猜!AW88</f>
        <v>49296.305408182321</v>
      </c>
    </row>
    <row r="84" spans="3:8" x14ac:dyDescent="0.15">
      <c r="C84" s="10">
        <v>79</v>
      </c>
      <c r="D84" s="10">
        <f>王者铸币!AE83+晋级赛!AR89+竞猜!AS89</f>
        <v>37944.115376586495</v>
      </c>
      <c r="E84" s="10">
        <f>王者铸币!AF83+晋级赛!AS89+竞猜!AT89</f>
        <v>44233.844277200318</v>
      </c>
      <c r="F84" s="10">
        <f>王者铸币!AG83+晋级赛!AT89+竞猜!AU89</f>
        <v>44379.031331480001</v>
      </c>
      <c r="G84" s="10">
        <f>王者铸币!AH83+晋级赛!AU89+竞猜!AV89</f>
        <v>48920.803026625937</v>
      </c>
      <c r="H84" s="10">
        <f>王者铸币!AI83+晋级赛!AV89+竞猜!AW89</f>
        <v>55844.428335847137</v>
      </c>
    </row>
    <row r="85" spans="3:8" x14ac:dyDescent="0.15">
      <c r="C85" s="10">
        <v>80</v>
      </c>
      <c r="D85" s="10">
        <f>王者铸币!AE84+晋级赛!AR90+竞猜!AS90</f>
        <v>41073.557759996336</v>
      </c>
      <c r="E85" s="10">
        <f>王者铸币!AF84+晋级赛!AS90+竞猜!AT90</f>
        <v>48003.589966239575</v>
      </c>
      <c r="F85" s="10">
        <f>王者铸币!AG84+晋级赛!AT90+竞猜!AU90</f>
        <v>48090.01733470941</v>
      </c>
      <c r="G85" s="10">
        <f>王者铸币!AH84+晋级赛!AU90+竞猜!AV90</f>
        <v>53368.585199124718</v>
      </c>
      <c r="H85" s="10">
        <f>王者铸币!AI84+晋级赛!AV90+竞猜!AW90</f>
        <v>62663.453329801472</v>
      </c>
    </row>
    <row r="86" spans="3:8" x14ac:dyDescent="0.15">
      <c r="C86" s="10">
        <v>81</v>
      </c>
      <c r="D86" s="10">
        <f>王者铸币!AE85+晋级赛!AR91+竞猜!AS91</f>
        <v>44427.911384653737</v>
      </c>
      <c r="E86" s="10">
        <f>王者铸币!AF85+晋级赛!AS91+竞猜!AT91</f>
        <v>51840.947889254247</v>
      </c>
      <c r="F86" s="10">
        <f>王者铸币!AG85+晋级赛!AT91+竞猜!AU91</f>
        <v>52036.831208394455</v>
      </c>
      <c r="G86" s="10">
        <f>王者铸币!AH85+晋级赛!AU91+竞猜!AV91</f>
        <v>58191.700093238098</v>
      </c>
      <c r="H86" s="10">
        <f>王者铸币!AI85+晋级赛!AV91+竞猜!AW91</f>
        <v>70104.839615060439</v>
      </c>
    </row>
    <row r="87" spans="3:8" x14ac:dyDescent="0.15">
      <c r="C87" s="10">
        <v>82</v>
      </c>
      <c r="D87" s="10">
        <f>王者铸币!AE86+晋级赛!AR92+竞猜!AS92</f>
        <v>48022.668615563613</v>
      </c>
      <c r="E87" s="10">
        <f>王者铸币!AF86+晋级赛!AS92+竞猜!AT92</f>
        <v>56059.223585699881</v>
      </c>
      <c r="F87" s="10">
        <f>王者铸币!AG86+晋级赛!AT92+竞猜!AU92</f>
        <v>56420.400706693901</v>
      </c>
      <c r="G87" s="10">
        <f>王者铸币!AH86+晋级赛!AU92+竞猜!AV92</f>
        <v>63472.716338525985</v>
      </c>
      <c r="H87" s="10">
        <f>王者铸币!AI86+晋级赛!AV92+竞猜!AW92</f>
        <v>77977.333754923573</v>
      </c>
    </row>
    <row r="88" spans="3:8" x14ac:dyDescent="0.15">
      <c r="C88" s="10">
        <v>83</v>
      </c>
      <c r="D88" s="10">
        <f>王者铸币!AE87+晋级赛!AR93+竞猜!AS93</f>
        <v>51875.653347339634</v>
      </c>
      <c r="E88" s="10">
        <f>王者铸币!AF87+晋级赛!AS93+竞猜!AT93</f>
        <v>60678.797034901472</v>
      </c>
      <c r="F88" s="10">
        <f>王者铸币!AG87+晋级赛!AT93+竞猜!AU93</f>
        <v>61275.11964237706</v>
      </c>
      <c r="G88" s="10">
        <f>王者铸币!AH87+晋级赛!AU93+竞猜!AV93</f>
        <v>69129.548626946213</v>
      </c>
      <c r="H88" s="10">
        <f>王者铸币!AI87+晋级赛!AV93+竞猜!AW93</f>
        <v>86711.974014556923</v>
      </c>
    </row>
    <row r="89" spans="3:8" x14ac:dyDescent="0.15">
      <c r="C89" s="10">
        <v>84</v>
      </c>
      <c r="D89" s="10">
        <f>王者铸币!AE88+晋级赛!AR94+竞猜!AS94</f>
        <v>56005.119129641629</v>
      </c>
      <c r="E89" s="10">
        <f>王者铸币!AF88+晋级赛!AS94+竞猜!AT94</f>
        <v>65632.595738056349</v>
      </c>
      <c r="F89" s="10">
        <f>王者铸币!AG88+晋级赛!AT94+竞猜!AU94</f>
        <v>66302.623184774347</v>
      </c>
      <c r="G89" s="10">
        <f>王者铸币!AH88+晋级赛!AU94+竞猜!AV94</f>
        <v>75117.851800246775</v>
      </c>
      <c r="H89" s="10">
        <f>王者铸币!AI88+晋级赛!AV94+竞猜!AW94</f>
        <v>96168.979487596283</v>
      </c>
    </row>
    <row r="90" spans="3:8" x14ac:dyDescent="0.15">
      <c r="C90" s="10">
        <v>85</v>
      </c>
      <c r="D90" s="10">
        <f>王者铸币!AE89+晋级赛!AR95+竞猜!AS95</f>
        <v>60420.462080513957</v>
      </c>
      <c r="E90" s="10">
        <f>王者铸币!AF89+晋级赛!AS95+竞猜!AT95</f>
        <v>70772.916738172789</v>
      </c>
      <c r="F90" s="10">
        <f>王者铸币!AG89+晋级赛!AT95+竞猜!AU95</f>
        <v>71627.685774661324</v>
      </c>
      <c r="G90" s="10">
        <f>王者铸币!AH89+晋级赛!AU95+竞猜!AV95</f>
        <v>81736.056828918197</v>
      </c>
      <c r="H90" s="10">
        <f>王者铸币!AI89+晋级赛!AV95+竞猜!AW95</f>
        <v>106255.01448558235</v>
      </c>
    </row>
    <row r="91" spans="3:8" x14ac:dyDescent="0.15">
      <c r="C91" s="10">
        <v>86</v>
      </c>
      <c r="D91" s="10">
        <f>王者铸币!AE90+晋级赛!AR96+竞猜!AS96</f>
        <v>64901.351239919321</v>
      </c>
      <c r="E91" s="10">
        <f>王者铸币!AF90+晋级赛!AS96+竞猜!AT96</f>
        <v>76369.917137175493</v>
      </c>
      <c r="F91" s="10">
        <f>王者铸币!AG90+晋级赛!AT96+竞猜!AU96</f>
        <v>77486.074770467749</v>
      </c>
      <c r="G91" s="10">
        <f>王者铸币!AH90+晋级赛!AU96+竞猜!AV96</f>
        <v>88996.757537492449</v>
      </c>
      <c r="H91" s="10">
        <f>王者铸币!AI90+晋级赛!AV96+竞猜!AW96</f>
        <v>115648.25584610431</v>
      </c>
    </row>
    <row r="92" spans="3:8" x14ac:dyDescent="0.15">
      <c r="C92" s="10">
        <v>87</v>
      </c>
      <c r="D92" s="10">
        <f>王者铸币!AE91+晋级赛!AR97+竞猜!AS97</f>
        <v>69700.536608149108</v>
      </c>
      <c r="E92" s="10">
        <f>王者铸币!AF91+晋级赛!AS97+竞猜!AT97</f>
        <v>82470.476205324507</v>
      </c>
      <c r="F92" s="10">
        <f>王者铸币!AG91+晋级赛!AT97+竞猜!AU97</f>
        <v>83938.057185996164</v>
      </c>
      <c r="G92" s="10">
        <f>王者铸币!AH91+晋级赛!AU97+竞猜!AV97</f>
        <v>95924.932286985917</v>
      </c>
      <c r="H92" s="10">
        <f>王者铸币!AI91+晋级赛!AV97+竞猜!AW97</f>
        <v>125613.32581751142</v>
      </c>
    </row>
    <row r="93" spans="3:8" x14ac:dyDescent="0.15">
      <c r="C93" s="10">
        <v>88</v>
      </c>
      <c r="D93" s="10">
        <f>王者铸币!AE92+晋级赛!AR98+竞猜!AS98</f>
        <v>74840.863406223041</v>
      </c>
      <c r="E93" s="10">
        <f>王者铸币!AF92+晋级赛!AS98+竞猜!AT98</f>
        <v>88872.434328632604</v>
      </c>
      <c r="F93" s="10">
        <f>王者铸币!AG92+晋级赛!AT98+竞猜!AU98</f>
        <v>90496.733968141125</v>
      </c>
      <c r="G93" s="10">
        <f>王者铸币!AH92+晋级赛!AU98+竞猜!AV98</f>
        <v>102978.99813614602</v>
      </c>
      <c r="H93" s="10">
        <f>王者铸币!AI92+晋级赛!AV98+竞猜!AW98</f>
        <v>136509.41267823658</v>
      </c>
    </row>
    <row r="94" spans="3:8" x14ac:dyDescent="0.15">
      <c r="C94" s="10">
        <v>89</v>
      </c>
      <c r="D94" s="10">
        <f>王者铸币!AE93+晋级赛!AR99+竞猜!AS99</f>
        <v>80346.816535775433</v>
      </c>
      <c r="E94" s="10">
        <f>王者铸币!AF93+晋级赛!AS99+竞猜!AT99</f>
        <v>95382.157108950603</v>
      </c>
      <c r="F94" s="10">
        <f>王者铸币!AG93+晋级赛!AT99+竞猜!AU99</f>
        <v>96797.514476615106</v>
      </c>
      <c r="G94" s="10">
        <f>王者铸币!AH93+晋级赛!AU99+竞猜!AV99</f>
        <v>110493.74630148138</v>
      </c>
      <c r="H94" s="10">
        <f>王者铸币!AI93+晋级赛!AV99+竞猜!AW99</f>
        <v>147395.65354711216</v>
      </c>
    </row>
    <row r="95" spans="3:8" x14ac:dyDescent="0.15">
      <c r="C95" s="10">
        <v>90</v>
      </c>
      <c r="D95" s="10">
        <f>王者铸币!AE94+晋级赛!AR100+竞猜!AS100</f>
        <v>86244.638264610985</v>
      </c>
      <c r="E95" s="10">
        <f>王者铸币!AF94+晋级赛!AS100+竞猜!AT100</f>
        <v>101732.863521388</v>
      </c>
      <c r="F95" s="10">
        <f>王者铸币!AG94+晋级赛!AT100+竞猜!AU100</f>
        <v>103681.43261402252</v>
      </c>
      <c r="G95" s="10">
        <f>王者铸币!AH94+晋级赛!AU100+竞猜!AV100</f>
        <v>118151.80087891972</v>
      </c>
      <c r="H95" s="10">
        <f>王者铸币!AI94+晋级赛!AV100+竞猜!AW100</f>
        <v>158912.45015643374</v>
      </c>
    </row>
    <row r="96" spans="3:8" x14ac:dyDescent="0.15">
      <c r="C96" s="10">
        <v>91</v>
      </c>
      <c r="D96" s="10">
        <f>王者铸币!AE95+晋级赛!AR101+竞猜!AS101</f>
        <v>92562.454358959498</v>
      </c>
      <c r="E96" s="10">
        <f>王者铸币!AF95+晋级赛!AS101+竞猜!AT101</f>
        <v>109318.75538881063</v>
      </c>
      <c r="F96" s="10">
        <f>王者铸币!AG95+晋级赛!AT101+竞猜!AU101</f>
        <v>111273.41179669998</v>
      </c>
      <c r="G96" s="10">
        <f>王者铸币!AH95+晋级赛!AU101+竞猜!AV101</f>
        <v>127465.42968069424</v>
      </c>
      <c r="H96" s="10">
        <f>王者铸币!AI95+晋级赛!AV101+竞猜!AW101</f>
        <v>172697.91203590631</v>
      </c>
    </row>
    <row r="97" spans="3:8" x14ac:dyDescent="0.15">
      <c r="C97" s="10">
        <v>92</v>
      </c>
      <c r="D97" s="10">
        <f>王者铸币!AE96+晋级赛!AR102+竞猜!AS102</f>
        <v>99330.409268679461</v>
      </c>
      <c r="E97" s="10">
        <f>王者铸币!AF96+晋级赛!AS102+竞猜!AT102</f>
        <v>117178.89125283754</v>
      </c>
      <c r="F97" s="10">
        <f>王者铸币!AG96+晋级赛!AT102+竞猜!AU102</f>
        <v>119535.24445777119</v>
      </c>
      <c r="G97" s="10">
        <f>王者铸币!AH96+晋级赛!AU102+竞猜!AV102</f>
        <v>137424.71973933707</v>
      </c>
      <c r="H97" s="10">
        <f>王者铸币!AI96+晋级赛!AV102+竞猜!AW102</f>
        <v>186985.7012989198</v>
      </c>
    </row>
    <row r="98" spans="3:8" x14ac:dyDescent="0.15">
      <c r="C98" s="10">
        <v>93</v>
      </c>
      <c r="D98" s="10">
        <f>王者铸币!AE97+晋级赛!AR103+竞猜!AS103</f>
        <v>106580.81101517237</v>
      </c>
      <c r="E98" s="10">
        <f>王者铸币!AF97+晋级赛!AS103+竞猜!AT103</f>
        <v>125851.83797040675</v>
      </c>
      <c r="F98" s="10">
        <f>王者铸币!AG97+晋级赛!AT103+竞猜!AU103</f>
        <v>128375.2175587893</v>
      </c>
      <c r="G98" s="10">
        <f>王者铸币!AH97+晋级赛!AU103+竞猜!AV103</f>
        <v>147909.13006139567</v>
      </c>
      <c r="H98" s="10">
        <f>王者铸币!AI97+晋级赛!AV103+竞猜!AW103</f>
        <v>202666.6935877155</v>
      </c>
    </row>
    <row r="99" spans="3:8" x14ac:dyDescent="0.15">
      <c r="C99" s="10">
        <v>94</v>
      </c>
      <c r="D99" s="10">
        <f>王者铸币!AE98+晋级赛!AR104+竞猜!AS104</f>
        <v>114348.28647840281</v>
      </c>
      <c r="E99" s="10">
        <f>王者铸币!AF98+晋级赛!AS104+竞猜!AT104</f>
        <v>134981.50365597068</v>
      </c>
      <c r="F99" s="10">
        <f>王者铸币!AG98+晋级赛!AT104+竞猜!AU104</f>
        <v>137771.65446428605</v>
      </c>
      <c r="G99" s="10">
        <f>王者铸币!AH98+晋级赛!AU104+竞猜!AV104</f>
        <v>159037.02945778283</v>
      </c>
      <c r="H99" s="10">
        <f>王者铸币!AI98+晋级赛!AV104+竞猜!AW104</f>
        <v>219209.52863633831</v>
      </c>
    </row>
    <row r="100" spans="3:8" x14ac:dyDescent="0.15">
      <c r="C100" s="10">
        <v>95</v>
      </c>
      <c r="D100" s="10">
        <f>王者铸币!AE99+晋级赛!AR105+竞猜!AS105</f>
        <v>122669.94782940764</v>
      </c>
      <c r="E100" s="10">
        <f>王者铸币!AF99+晋级赛!AS105+竞猜!AT105</f>
        <v>145044.6160886799</v>
      </c>
      <c r="F100" s="10">
        <f>王者铸币!AG99+晋级赛!AT105+竞猜!AU105</f>
        <v>147643.27302488047</v>
      </c>
      <c r="G100" s="10">
        <f>王者铸币!AH99+晋级赛!AU105+竞猜!AV105</f>
        <v>170955.83950466907</v>
      </c>
      <c r="H100" s="10">
        <f>王者铸币!AI99+晋级赛!AV105+竞猜!AW105</f>
        <v>238548.4795580346</v>
      </c>
    </row>
    <row r="101" spans="3:8" x14ac:dyDescent="0.15">
      <c r="C101" s="10">
        <v>96</v>
      </c>
      <c r="D101" s="10">
        <f>王者铸币!AE100+晋级赛!AR106+竞猜!AS106</f>
        <v>131585.57090824121</v>
      </c>
      <c r="E101" s="10">
        <f>王者铸币!AF100+晋级赛!AS106+竞猜!AT106</f>
        <v>155351.9477077988</v>
      </c>
      <c r="F101" s="10">
        <f>王者铸币!AG100+晋级赛!AT106+竞猜!AU106</f>
        <v>158164.36420933076</v>
      </c>
      <c r="G101" s="10">
        <f>王者铸币!AH100+晋级赛!AU106+竞猜!AV106</f>
        <v>184040.92075964093</v>
      </c>
      <c r="H101" s="10">
        <f>王者铸币!AI100+晋级赛!AV106+竞猜!AW106</f>
        <v>259079.34979897362</v>
      </c>
    </row>
    <row r="102" spans="3:8" x14ac:dyDescent="0.15">
      <c r="C102" s="10">
        <v>97</v>
      </c>
      <c r="D102" s="10">
        <f>王者铸币!AE101+晋级赛!AR107+竞猜!AS107</f>
        <v>141137.78640472365</v>
      </c>
      <c r="E102" s="10">
        <f>王者铸币!AF101+晋级赛!AS107+竞猜!AT107</f>
        <v>166567.96911143605</v>
      </c>
      <c r="F102" s="10">
        <f>王者铸币!AG101+晋级赛!AT107+竞猜!AU107</f>
        <v>170322.53057049817</v>
      </c>
      <c r="G102" s="10">
        <f>王者铸币!AH101+晋级赛!AU107+竞猜!AV107</f>
        <v>199027.12307461875</v>
      </c>
      <c r="H102" s="10">
        <f>王者铸币!AI101+晋级赛!AV107+竞猜!AW107</f>
        <v>283168.74441780354</v>
      </c>
    </row>
    <row r="103" spans="3:8" x14ac:dyDescent="0.15">
      <c r="C103" s="10">
        <v>98</v>
      </c>
      <c r="D103" s="10">
        <f>王者铸币!AE102+晋级赛!AR108+竞猜!AS108</f>
        <v>151372.28476089434</v>
      </c>
      <c r="E103" s="10">
        <f>王者铸币!AF102+晋级赛!AS108+竞猜!AT108</f>
        <v>179210.80457245809</v>
      </c>
      <c r="F103" s="10">
        <f>王者铸币!AG102+晋级赛!AT108+竞猜!AU108</f>
        <v>183816.63591608009</v>
      </c>
      <c r="G103" s="10">
        <f>王者铸币!AH102+晋级赛!AU108+竞猜!AV108</f>
        <v>215561.95076252034</v>
      </c>
      <c r="H103" s="10">
        <f>王者铸币!AI102+晋级赛!AV108+竞猜!AW108</f>
        <v>308761.98649661068</v>
      </c>
    </row>
    <row r="104" spans="3:8" x14ac:dyDescent="0.15">
      <c r="C104" s="10">
        <v>99</v>
      </c>
      <c r="D104" s="10">
        <f>王者铸币!AE103+晋级赛!AR109+竞猜!AS109</f>
        <v>162338.03578002192</v>
      </c>
      <c r="E104" s="10">
        <f>王者铸币!AF103+晋级赛!AS109+竞猜!AT109</f>
        <v>192697.11762917225</v>
      </c>
      <c r="F104" s="10">
        <f>王者铸币!AG103+晋级赛!AT109+竞猜!AU109</f>
        <v>197925.75134832153</v>
      </c>
      <c r="G104" s="10">
        <f>王者铸币!AH103+晋级赛!AU109+竞猜!AV109</f>
        <v>232791.14111233415</v>
      </c>
      <c r="H104" s="10">
        <f>王者铸币!AI103+晋级赛!AV109+竞猜!AW109</f>
        <v>333406.60689124238</v>
      </c>
    </row>
    <row r="105" spans="3:8" x14ac:dyDescent="0.15">
      <c r="C105" s="10">
        <v>100</v>
      </c>
      <c r="D105" s="10">
        <f>王者铸币!AE104+晋级赛!AR110+竞猜!AS110</f>
        <v>174087.52399771591</v>
      </c>
      <c r="E105" s="10">
        <f>王者铸币!AF104+晋级赛!AS110+竞猜!AT110</f>
        <v>206831.67117932002</v>
      </c>
      <c r="F105" s="10">
        <f>王者铸币!AG104+晋级赛!AT110+竞猜!AU110</f>
        <v>212765.26715971599</v>
      </c>
      <c r="G105" s="10">
        <f>王者铸币!AH104+晋级赛!AU110+竞猜!AV110</f>
        <v>249688.96019486722</v>
      </c>
      <c r="H105" s="10">
        <f>王者铸币!AI104+晋级赛!AV110+竞猜!AW110</f>
        <v>358570.87482587137</v>
      </c>
    </row>
  </sheetData>
  <mergeCells count="1">
    <mergeCell ref="D4:H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AAF9F-130F-468A-AA3F-CFBB570D7FA5}">
  <sheetPr codeName="Sheet2"/>
  <dimension ref="A1:AI166"/>
  <sheetViews>
    <sheetView topLeftCell="B1" workbookViewId="0">
      <selection activeCell="K13" sqref="K13"/>
    </sheetView>
  </sheetViews>
  <sheetFormatPr defaultRowHeight="11.25" x14ac:dyDescent="0.15"/>
  <cols>
    <col min="1" max="6" width="9" style="2"/>
    <col min="7" max="7" width="9" style="3"/>
    <col min="8" max="16" width="9" style="2"/>
    <col min="17" max="20" width="12.25" style="10" bestFit="1" customWidth="1"/>
    <col min="21" max="21" width="9" style="2"/>
    <col min="22" max="25" width="12.25" style="2" bestFit="1" customWidth="1"/>
    <col min="26" max="26" width="9" style="2"/>
    <col min="27" max="27" width="9" style="3"/>
    <col min="28" max="16384" width="9" style="2"/>
  </cols>
  <sheetData>
    <row r="1" spans="1:35" x14ac:dyDescent="0.15">
      <c r="A1" s="2" t="s">
        <v>82</v>
      </c>
      <c r="H1" s="2" t="s">
        <v>86</v>
      </c>
      <c r="AB1" s="2" t="s">
        <v>94</v>
      </c>
    </row>
    <row r="2" spans="1:35" x14ac:dyDescent="0.15">
      <c r="A2" s="2">
        <v>1</v>
      </c>
      <c r="B2" s="2" t="s">
        <v>83</v>
      </c>
      <c r="C2" s="2" t="s">
        <v>84</v>
      </c>
      <c r="D2" s="2">
        <v>0.01</v>
      </c>
      <c r="E2" s="2" t="s">
        <v>85</v>
      </c>
    </row>
    <row r="3" spans="1:35" x14ac:dyDescent="0.15">
      <c r="K3" s="23" t="s">
        <v>88</v>
      </c>
      <c r="L3" s="23"/>
      <c r="M3" s="23"/>
      <c r="N3" s="23"/>
      <c r="O3" s="23"/>
      <c r="Q3" s="24" t="s">
        <v>117</v>
      </c>
      <c r="R3" s="24"/>
      <c r="S3" s="24"/>
      <c r="T3" s="24"/>
      <c r="V3" s="24" t="s">
        <v>122</v>
      </c>
      <c r="W3" s="24"/>
      <c r="X3" s="24"/>
      <c r="Y3" s="24"/>
      <c r="AE3" s="23" t="s">
        <v>95</v>
      </c>
      <c r="AF3" s="23"/>
      <c r="AG3" s="23"/>
      <c r="AH3" s="23"/>
      <c r="AI3" s="23"/>
    </row>
    <row r="4" spans="1:35" x14ac:dyDescent="0.15">
      <c r="J4" s="2" t="s">
        <v>87</v>
      </c>
      <c r="K4" s="2" t="s">
        <v>0</v>
      </c>
      <c r="L4" s="2" t="s">
        <v>1</v>
      </c>
      <c r="M4" s="2" t="s">
        <v>2</v>
      </c>
      <c r="N4" s="2" t="s">
        <v>3</v>
      </c>
      <c r="O4" s="2" t="s">
        <v>4</v>
      </c>
      <c r="Q4" s="10" t="s">
        <v>118</v>
      </c>
      <c r="R4" s="10" t="s">
        <v>119</v>
      </c>
      <c r="S4" s="10" t="s">
        <v>120</v>
      </c>
      <c r="T4" s="10" t="s">
        <v>121</v>
      </c>
      <c r="V4" s="10" t="s">
        <v>118</v>
      </c>
      <c r="W4" s="10" t="s">
        <v>119</v>
      </c>
      <c r="X4" s="10" t="s">
        <v>120</v>
      </c>
      <c r="Y4" s="10" t="s">
        <v>121</v>
      </c>
      <c r="AD4" s="2" t="s">
        <v>87</v>
      </c>
      <c r="AE4" s="2" t="s">
        <v>0</v>
      </c>
      <c r="AF4" s="2" t="s">
        <v>1</v>
      </c>
      <c r="AG4" s="2" t="s">
        <v>2</v>
      </c>
      <c r="AH4" s="2" t="s">
        <v>3</v>
      </c>
      <c r="AI4" s="2" t="s">
        <v>4</v>
      </c>
    </row>
    <row r="5" spans="1:35" x14ac:dyDescent="0.15">
      <c r="J5" s="2">
        <v>1</v>
      </c>
      <c r="K5" s="2">
        <f>积分赛!BH11+积分赛!CF11+晋级赛!AM11+晋级赛!BQ11</f>
        <v>0</v>
      </c>
      <c r="L5" s="2">
        <f>积分赛!BI11+积分赛!CG11+晋级赛!AN11+晋级赛!BR11</f>
        <v>0</v>
      </c>
      <c r="M5" s="2">
        <f>积分赛!BJ11+积分赛!CH11+晋级赛!AO11+晋级赛!BS11</f>
        <v>0</v>
      </c>
      <c r="N5" s="2">
        <f>积分赛!BK11+积分赛!CI11+晋级赛!AP11+晋级赛!BT11</f>
        <v>0</v>
      </c>
      <c r="O5" s="2">
        <f>积分赛!BL11+积分赛!CJ11+晋级赛!AQ11+晋级赛!BU11</f>
        <v>0</v>
      </c>
      <c r="Q5" s="10">
        <f>IFERROR(积分赛!BH11/$K5,0)</f>
        <v>0</v>
      </c>
      <c r="R5" s="10">
        <f>IFERROR(积分赛!CF11/$K5,0)</f>
        <v>0</v>
      </c>
      <c r="S5" s="10">
        <f>IFERROR(晋级赛!AM11/$K5,0)</f>
        <v>0</v>
      </c>
      <c r="T5" s="10">
        <f>IFERROR(晋级赛!BQ11/$K5,0)</f>
        <v>0</v>
      </c>
      <c r="V5" s="10">
        <f>IFERROR(积分赛!BL11/$O5,0)</f>
        <v>0</v>
      </c>
      <c r="W5" s="10">
        <f>IFERROR(积分赛!CJ11/$O5,0)</f>
        <v>0</v>
      </c>
      <c r="X5" s="10">
        <f>IFERROR(晋级赛!AQ11/$O5,0)</f>
        <v>0</v>
      </c>
      <c r="Y5" s="10">
        <f>IFERROR(晋级赛!BU11/$O5,0)</f>
        <v>0</v>
      </c>
      <c r="AD5" s="2">
        <v>1</v>
      </c>
      <c r="AE5" s="2">
        <f>K5*$D$2</f>
        <v>0</v>
      </c>
      <c r="AF5" s="2">
        <f t="shared" ref="AF5:AI5" si="0">L5*$D$2</f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</row>
    <row r="6" spans="1:35" x14ac:dyDescent="0.15">
      <c r="J6" s="2">
        <v>2</v>
      </c>
      <c r="K6" s="2">
        <f>积分赛!BH12+积分赛!CF12+晋级赛!AM12+晋级赛!BQ12</f>
        <v>0</v>
      </c>
      <c r="L6" s="2">
        <f>积分赛!BI12+积分赛!CG12+晋级赛!AN12+晋级赛!BR12</f>
        <v>0</v>
      </c>
      <c r="M6" s="2">
        <f>积分赛!BJ12+积分赛!CH12+晋级赛!AO12+晋级赛!BS12</f>
        <v>0</v>
      </c>
      <c r="N6" s="2">
        <f>积分赛!BK12+积分赛!CI12+晋级赛!AP12+晋级赛!BT12</f>
        <v>0</v>
      </c>
      <c r="O6" s="2">
        <f>积分赛!BL12+积分赛!CJ12+晋级赛!AQ12+晋级赛!BU12</f>
        <v>0</v>
      </c>
      <c r="Q6" s="10">
        <f>IFERROR(积分赛!BH12/$K6,0)</f>
        <v>0</v>
      </c>
      <c r="R6" s="10">
        <f>IFERROR(积分赛!CF12/$K6,0)</f>
        <v>0</v>
      </c>
      <c r="S6" s="10">
        <f>IFERROR(晋级赛!AM12/$K6,0)</f>
        <v>0</v>
      </c>
      <c r="T6" s="10">
        <f>IFERROR(晋级赛!BQ12/$K6,0)</f>
        <v>0</v>
      </c>
      <c r="V6" s="10">
        <f>IFERROR(积分赛!BL12/$O6,0)</f>
        <v>0</v>
      </c>
      <c r="W6" s="10">
        <f>IFERROR(积分赛!CJ12/$O6,0)</f>
        <v>0</v>
      </c>
      <c r="X6" s="10">
        <f>IFERROR(晋级赛!AQ12/$O6,0)</f>
        <v>0</v>
      </c>
      <c r="Y6" s="10">
        <f>IFERROR(晋级赛!BU12/$O6,0)</f>
        <v>0</v>
      </c>
      <c r="AD6" s="2">
        <v>2</v>
      </c>
      <c r="AE6" s="2">
        <f t="shared" ref="AE6:AE69" si="1">K6*$D$2</f>
        <v>0</v>
      </c>
      <c r="AF6" s="2">
        <f t="shared" ref="AF6:AF69" si="2">L6*$D$2</f>
        <v>0</v>
      </c>
      <c r="AG6" s="2">
        <f t="shared" ref="AG6:AG69" si="3">M6*$D$2</f>
        <v>0</v>
      </c>
      <c r="AH6" s="2">
        <f t="shared" ref="AH6:AH69" si="4">N6*$D$2</f>
        <v>0</v>
      </c>
      <c r="AI6" s="2">
        <f t="shared" ref="AI6:AI69" si="5">O6*$D$2</f>
        <v>0</v>
      </c>
    </row>
    <row r="7" spans="1:35" x14ac:dyDescent="0.15">
      <c r="J7" s="2">
        <v>3</v>
      </c>
      <c r="K7" s="2">
        <f>积分赛!BH13+积分赛!CF13+晋级赛!AM13+晋级赛!BQ13</f>
        <v>0</v>
      </c>
      <c r="L7" s="2">
        <f>积分赛!BI13+积分赛!CG13+晋级赛!AN13+晋级赛!BR13</f>
        <v>0</v>
      </c>
      <c r="M7" s="2">
        <f>积分赛!BJ13+积分赛!CH13+晋级赛!AO13+晋级赛!BS13</f>
        <v>0</v>
      </c>
      <c r="N7" s="2">
        <f>积分赛!BK13+积分赛!CI13+晋级赛!AP13+晋级赛!BT13</f>
        <v>0</v>
      </c>
      <c r="O7" s="2">
        <f>积分赛!BL13+积分赛!CJ13+晋级赛!AQ13+晋级赛!BU13</f>
        <v>0</v>
      </c>
      <c r="Q7" s="10">
        <f>IFERROR(积分赛!BH13/$K7,0)</f>
        <v>0</v>
      </c>
      <c r="R7" s="10">
        <f>IFERROR(积分赛!CF13/$K7,0)</f>
        <v>0</v>
      </c>
      <c r="S7" s="10">
        <f>IFERROR(晋级赛!AM13/$K7,0)</f>
        <v>0</v>
      </c>
      <c r="T7" s="10">
        <f>IFERROR(晋级赛!BQ13/$K7,0)</f>
        <v>0</v>
      </c>
      <c r="V7" s="10">
        <f>IFERROR(积分赛!BL13/$O7,0)</f>
        <v>0</v>
      </c>
      <c r="W7" s="10">
        <f>IFERROR(积分赛!CJ13/$O7,0)</f>
        <v>0</v>
      </c>
      <c r="X7" s="10">
        <f>IFERROR(晋级赛!AQ13/$O7,0)</f>
        <v>0</v>
      </c>
      <c r="Y7" s="10">
        <f>IFERROR(晋级赛!BU13/$O7,0)</f>
        <v>0</v>
      </c>
      <c r="AD7" s="2">
        <v>3</v>
      </c>
      <c r="AE7" s="2">
        <f t="shared" si="1"/>
        <v>0</v>
      </c>
      <c r="AF7" s="2">
        <f t="shared" si="2"/>
        <v>0</v>
      </c>
      <c r="AG7" s="2">
        <f t="shared" si="3"/>
        <v>0</v>
      </c>
      <c r="AH7" s="2">
        <f t="shared" si="4"/>
        <v>0</v>
      </c>
      <c r="AI7" s="2">
        <f t="shared" si="5"/>
        <v>0</v>
      </c>
    </row>
    <row r="8" spans="1:35" x14ac:dyDescent="0.15">
      <c r="J8" s="2">
        <v>4</v>
      </c>
      <c r="K8" s="2">
        <f>积分赛!BH14+积分赛!CF14+晋级赛!AM14+晋级赛!BQ14</f>
        <v>0</v>
      </c>
      <c r="L8" s="2">
        <f>积分赛!BI14+积分赛!CG14+晋级赛!AN14+晋级赛!BR14</f>
        <v>0</v>
      </c>
      <c r="M8" s="2">
        <f>积分赛!BJ14+积分赛!CH14+晋级赛!AO14+晋级赛!BS14</f>
        <v>0</v>
      </c>
      <c r="N8" s="2">
        <f>积分赛!BK14+积分赛!CI14+晋级赛!AP14+晋级赛!BT14</f>
        <v>0</v>
      </c>
      <c r="O8" s="2">
        <f>积分赛!BL14+积分赛!CJ14+晋级赛!AQ14+晋级赛!BU14</f>
        <v>0</v>
      </c>
      <c r="Q8" s="10">
        <f>IFERROR(积分赛!BH14/$K8,0)</f>
        <v>0</v>
      </c>
      <c r="R8" s="10">
        <f>IFERROR(积分赛!CF14/$K8,0)</f>
        <v>0</v>
      </c>
      <c r="S8" s="10">
        <f>IFERROR(晋级赛!AM14/$K8,0)</f>
        <v>0</v>
      </c>
      <c r="T8" s="10">
        <f>IFERROR(晋级赛!BQ14/$K8,0)</f>
        <v>0</v>
      </c>
      <c r="V8" s="10">
        <f>IFERROR(积分赛!BL14/$O8,0)</f>
        <v>0</v>
      </c>
      <c r="W8" s="10">
        <f>IFERROR(积分赛!CJ14/$O8,0)</f>
        <v>0</v>
      </c>
      <c r="X8" s="10">
        <f>IFERROR(晋级赛!AQ14/$O8,0)</f>
        <v>0</v>
      </c>
      <c r="Y8" s="10">
        <f>IFERROR(晋级赛!BU14/$O8,0)</f>
        <v>0</v>
      </c>
      <c r="AD8" s="2">
        <v>4</v>
      </c>
      <c r="AE8" s="2">
        <f t="shared" si="1"/>
        <v>0</v>
      </c>
      <c r="AF8" s="2">
        <f t="shared" si="2"/>
        <v>0</v>
      </c>
      <c r="AG8" s="2">
        <f t="shared" si="3"/>
        <v>0</v>
      </c>
      <c r="AH8" s="2">
        <f t="shared" si="4"/>
        <v>0</v>
      </c>
      <c r="AI8" s="2">
        <f t="shared" si="5"/>
        <v>0</v>
      </c>
    </row>
    <row r="9" spans="1:35" x14ac:dyDescent="0.15">
      <c r="J9" s="2">
        <v>5</v>
      </c>
      <c r="K9" s="2">
        <f>积分赛!BH15+积分赛!CF15+晋级赛!AM15+晋级赛!BQ15</f>
        <v>0</v>
      </c>
      <c r="L9" s="2">
        <f>积分赛!BI15+积分赛!CG15+晋级赛!AN15+晋级赛!BR15</f>
        <v>0</v>
      </c>
      <c r="M9" s="2">
        <f>积分赛!BJ15+积分赛!CH15+晋级赛!AO15+晋级赛!BS15</f>
        <v>0</v>
      </c>
      <c r="N9" s="2">
        <f>积分赛!BK15+积分赛!CI15+晋级赛!AP15+晋级赛!BT15</f>
        <v>0</v>
      </c>
      <c r="O9" s="2">
        <f>积分赛!BL15+积分赛!CJ15+晋级赛!AQ15+晋级赛!BU15</f>
        <v>0</v>
      </c>
      <c r="Q9" s="10">
        <f>IFERROR(积分赛!BH15/$K9,0)</f>
        <v>0</v>
      </c>
      <c r="R9" s="10">
        <f>IFERROR(积分赛!CF15/$K9,0)</f>
        <v>0</v>
      </c>
      <c r="S9" s="10">
        <f>IFERROR(晋级赛!AM15/$K9,0)</f>
        <v>0</v>
      </c>
      <c r="T9" s="10">
        <f>IFERROR(晋级赛!BQ15/$K9,0)</f>
        <v>0</v>
      </c>
      <c r="V9" s="10">
        <f>IFERROR(积分赛!BL15/$O9,0)</f>
        <v>0</v>
      </c>
      <c r="W9" s="10">
        <f>IFERROR(积分赛!CJ15/$O9,0)</f>
        <v>0</v>
      </c>
      <c r="X9" s="10">
        <f>IFERROR(晋级赛!AQ15/$O9,0)</f>
        <v>0</v>
      </c>
      <c r="Y9" s="10">
        <f>IFERROR(晋级赛!BU15/$O9,0)</f>
        <v>0</v>
      </c>
      <c r="AD9" s="2">
        <v>5</v>
      </c>
      <c r="AE9" s="2">
        <f t="shared" si="1"/>
        <v>0</v>
      </c>
      <c r="AF9" s="2">
        <f t="shared" si="2"/>
        <v>0</v>
      </c>
      <c r="AG9" s="2">
        <f t="shared" si="3"/>
        <v>0</v>
      </c>
      <c r="AH9" s="2">
        <f t="shared" si="4"/>
        <v>0</v>
      </c>
      <c r="AI9" s="2">
        <f t="shared" si="5"/>
        <v>0</v>
      </c>
    </row>
    <row r="10" spans="1:35" x14ac:dyDescent="0.15">
      <c r="J10" s="2">
        <v>6</v>
      </c>
      <c r="K10" s="2">
        <f>积分赛!BH16+积分赛!CF16+晋级赛!AM16+晋级赛!BQ16</f>
        <v>0</v>
      </c>
      <c r="L10" s="2">
        <f>积分赛!BI16+积分赛!CG16+晋级赛!AN16+晋级赛!BR16</f>
        <v>0</v>
      </c>
      <c r="M10" s="2">
        <f>积分赛!BJ16+积分赛!CH16+晋级赛!AO16+晋级赛!BS16</f>
        <v>0</v>
      </c>
      <c r="N10" s="2">
        <f>积分赛!BK16+积分赛!CI16+晋级赛!AP16+晋级赛!BT16</f>
        <v>0</v>
      </c>
      <c r="O10" s="2">
        <f>积分赛!BL16+积分赛!CJ16+晋级赛!AQ16+晋级赛!BU16</f>
        <v>0</v>
      </c>
      <c r="Q10" s="10">
        <f>IFERROR(积分赛!BH16/$K10,0)</f>
        <v>0</v>
      </c>
      <c r="R10" s="10">
        <f>IFERROR(积分赛!CF16/$K10,0)</f>
        <v>0</v>
      </c>
      <c r="S10" s="10">
        <f>IFERROR(晋级赛!AM16/$K10,0)</f>
        <v>0</v>
      </c>
      <c r="T10" s="10">
        <f>IFERROR(晋级赛!BQ16/$K10,0)</f>
        <v>0</v>
      </c>
      <c r="V10" s="10">
        <f>IFERROR(积分赛!BL16/$O10,0)</f>
        <v>0</v>
      </c>
      <c r="W10" s="10">
        <f>IFERROR(积分赛!CJ16/$O10,0)</f>
        <v>0</v>
      </c>
      <c r="X10" s="10">
        <f>IFERROR(晋级赛!AQ16/$O10,0)</f>
        <v>0</v>
      </c>
      <c r="Y10" s="10">
        <f>IFERROR(晋级赛!BU16/$O10,0)</f>
        <v>0</v>
      </c>
      <c r="AD10" s="2">
        <v>6</v>
      </c>
      <c r="AE10" s="2">
        <f t="shared" si="1"/>
        <v>0</v>
      </c>
      <c r="AF10" s="2">
        <f t="shared" si="2"/>
        <v>0</v>
      </c>
      <c r="AG10" s="2">
        <f t="shared" si="3"/>
        <v>0</v>
      </c>
      <c r="AH10" s="2">
        <f t="shared" si="4"/>
        <v>0</v>
      </c>
      <c r="AI10" s="2">
        <f t="shared" si="5"/>
        <v>0</v>
      </c>
    </row>
    <row r="11" spans="1:35" x14ac:dyDescent="0.15">
      <c r="J11" s="2">
        <v>7</v>
      </c>
      <c r="K11" s="2">
        <f>积分赛!BH17+积分赛!CF17+晋级赛!AM17+晋级赛!BQ17</f>
        <v>0</v>
      </c>
      <c r="L11" s="2">
        <f>积分赛!BI17+积分赛!CG17+晋级赛!AN17+晋级赛!BR17</f>
        <v>0</v>
      </c>
      <c r="M11" s="2">
        <f>积分赛!BJ17+积分赛!CH17+晋级赛!AO17+晋级赛!BS17</f>
        <v>0</v>
      </c>
      <c r="N11" s="2">
        <f>积分赛!BK17+积分赛!CI17+晋级赛!AP17+晋级赛!BT17</f>
        <v>0</v>
      </c>
      <c r="O11" s="2">
        <f>积分赛!BL17+积分赛!CJ17+晋级赛!AQ17+晋级赛!BU17</f>
        <v>0</v>
      </c>
      <c r="Q11" s="10">
        <f>IFERROR(积分赛!BH17/$K11,0)</f>
        <v>0</v>
      </c>
      <c r="R11" s="10">
        <f>IFERROR(积分赛!CF17/$K11,0)</f>
        <v>0</v>
      </c>
      <c r="S11" s="10">
        <f>IFERROR(晋级赛!AM17/$K11,0)</f>
        <v>0</v>
      </c>
      <c r="T11" s="10">
        <f>IFERROR(晋级赛!BQ17/$K11,0)</f>
        <v>0</v>
      </c>
      <c r="V11" s="10">
        <f>IFERROR(积分赛!BL17/$O11,0)</f>
        <v>0</v>
      </c>
      <c r="W11" s="10">
        <f>IFERROR(积分赛!CJ17/$O11,0)</f>
        <v>0</v>
      </c>
      <c r="X11" s="10">
        <f>IFERROR(晋级赛!AQ17/$O11,0)</f>
        <v>0</v>
      </c>
      <c r="Y11" s="10">
        <f>IFERROR(晋级赛!BU17/$O11,0)</f>
        <v>0</v>
      </c>
      <c r="AD11" s="2">
        <v>7</v>
      </c>
      <c r="AE11" s="2">
        <f t="shared" si="1"/>
        <v>0</v>
      </c>
      <c r="AF11" s="2">
        <f t="shared" si="2"/>
        <v>0</v>
      </c>
      <c r="AG11" s="2">
        <f t="shared" si="3"/>
        <v>0</v>
      </c>
      <c r="AH11" s="2">
        <f t="shared" si="4"/>
        <v>0</v>
      </c>
      <c r="AI11" s="2">
        <f t="shared" si="5"/>
        <v>0</v>
      </c>
    </row>
    <row r="12" spans="1:35" x14ac:dyDescent="0.15">
      <c r="J12" s="2">
        <v>8</v>
      </c>
      <c r="K12" s="2">
        <f>积分赛!BH18+积分赛!CF18+晋级赛!AM18+晋级赛!BQ18</f>
        <v>0</v>
      </c>
      <c r="L12" s="2">
        <f>积分赛!BI18+积分赛!CG18+晋级赛!AN18+晋级赛!BR18</f>
        <v>0</v>
      </c>
      <c r="M12" s="2">
        <f>积分赛!BJ18+积分赛!CH18+晋级赛!AO18+晋级赛!BS18</f>
        <v>0</v>
      </c>
      <c r="N12" s="2">
        <f>积分赛!BK18+积分赛!CI18+晋级赛!AP18+晋级赛!BT18</f>
        <v>0</v>
      </c>
      <c r="O12" s="2">
        <f>积分赛!BL18+积分赛!CJ18+晋级赛!AQ18+晋级赛!BU18</f>
        <v>0</v>
      </c>
      <c r="Q12" s="10">
        <f>IFERROR(积分赛!BH18/$K12,0)</f>
        <v>0</v>
      </c>
      <c r="R12" s="10">
        <f>IFERROR(积分赛!CF18/$K12,0)</f>
        <v>0</v>
      </c>
      <c r="S12" s="10">
        <f>IFERROR(晋级赛!AM18/$K12,0)</f>
        <v>0</v>
      </c>
      <c r="T12" s="10">
        <f>IFERROR(晋级赛!BQ18/$K12,0)</f>
        <v>0</v>
      </c>
      <c r="V12" s="10">
        <f>IFERROR(积分赛!BL18/$O12,0)</f>
        <v>0</v>
      </c>
      <c r="W12" s="10">
        <f>IFERROR(积分赛!CJ18/$O12,0)</f>
        <v>0</v>
      </c>
      <c r="X12" s="10">
        <f>IFERROR(晋级赛!AQ18/$O12,0)</f>
        <v>0</v>
      </c>
      <c r="Y12" s="10">
        <f>IFERROR(晋级赛!BU18/$O12,0)</f>
        <v>0</v>
      </c>
      <c r="AD12" s="2">
        <v>8</v>
      </c>
      <c r="AE12" s="2">
        <f t="shared" si="1"/>
        <v>0</v>
      </c>
      <c r="AF12" s="2">
        <f t="shared" si="2"/>
        <v>0</v>
      </c>
      <c r="AG12" s="2">
        <f t="shared" si="3"/>
        <v>0</v>
      </c>
      <c r="AH12" s="2">
        <f t="shared" si="4"/>
        <v>0</v>
      </c>
      <c r="AI12" s="2">
        <f t="shared" si="5"/>
        <v>0</v>
      </c>
    </row>
    <row r="13" spans="1:35" x14ac:dyDescent="0.15">
      <c r="J13" s="2">
        <v>9</v>
      </c>
      <c r="K13" s="2">
        <f>积分赛!BH19+积分赛!CF19+晋级赛!AM19+晋级赛!BQ19</f>
        <v>0</v>
      </c>
      <c r="L13" s="2">
        <f>积分赛!BI19+积分赛!CG19+晋级赛!AN19+晋级赛!BR19</f>
        <v>0</v>
      </c>
      <c r="M13" s="2">
        <f>积分赛!BJ19+积分赛!CH19+晋级赛!AO19+晋级赛!BS19</f>
        <v>0</v>
      </c>
      <c r="N13" s="2">
        <f>积分赛!BK19+积分赛!CI19+晋级赛!AP19+晋级赛!BT19</f>
        <v>0</v>
      </c>
      <c r="O13" s="2">
        <f>积分赛!BL19+积分赛!CJ19+晋级赛!AQ19+晋级赛!BU19</f>
        <v>0</v>
      </c>
      <c r="Q13" s="10">
        <f>IFERROR(积分赛!BH19/$K13,0)</f>
        <v>0</v>
      </c>
      <c r="R13" s="10">
        <f>IFERROR(积分赛!CF19/$K13,0)</f>
        <v>0</v>
      </c>
      <c r="S13" s="10">
        <f>IFERROR(晋级赛!AM19/$K13,0)</f>
        <v>0</v>
      </c>
      <c r="T13" s="10">
        <f>IFERROR(晋级赛!BQ19/$K13,0)</f>
        <v>0</v>
      </c>
      <c r="V13" s="10">
        <f>IFERROR(积分赛!BL19/$O13,0)</f>
        <v>0</v>
      </c>
      <c r="W13" s="10">
        <f>IFERROR(积分赛!CJ19/$O13,0)</f>
        <v>0</v>
      </c>
      <c r="X13" s="10">
        <f>IFERROR(晋级赛!AQ19/$O13,0)</f>
        <v>0</v>
      </c>
      <c r="Y13" s="10">
        <f>IFERROR(晋级赛!BU19/$O13,0)</f>
        <v>0</v>
      </c>
      <c r="AD13" s="2">
        <v>9</v>
      </c>
      <c r="AE13" s="2">
        <f t="shared" si="1"/>
        <v>0</v>
      </c>
      <c r="AF13" s="2">
        <f t="shared" si="2"/>
        <v>0</v>
      </c>
      <c r="AG13" s="2">
        <f t="shared" si="3"/>
        <v>0</v>
      </c>
      <c r="AH13" s="2">
        <f t="shared" si="4"/>
        <v>0</v>
      </c>
      <c r="AI13" s="2">
        <f t="shared" si="5"/>
        <v>0</v>
      </c>
    </row>
    <row r="14" spans="1:35" x14ac:dyDescent="0.15">
      <c r="J14" s="2">
        <v>10</v>
      </c>
      <c r="K14" s="2">
        <f>积分赛!BH20+积分赛!CF20+晋级赛!AM20+晋级赛!BQ20</f>
        <v>0</v>
      </c>
      <c r="L14" s="2">
        <f>积分赛!BI20+积分赛!CG20+晋级赛!AN20+晋级赛!BR20</f>
        <v>0</v>
      </c>
      <c r="M14" s="2">
        <f>积分赛!BJ20+积分赛!CH20+晋级赛!AO20+晋级赛!BS20</f>
        <v>0</v>
      </c>
      <c r="N14" s="2">
        <f>积分赛!BK20+积分赛!CI20+晋级赛!AP20+晋级赛!BT20</f>
        <v>0</v>
      </c>
      <c r="O14" s="2">
        <f>积分赛!BL20+积分赛!CJ20+晋级赛!AQ20+晋级赛!BU20</f>
        <v>0</v>
      </c>
      <c r="Q14" s="10">
        <f>IFERROR(积分赛!BH20/$K14,0)</f>
        <v>0</v>
      </c>
      <c r="R14" s="10">
        <f>IFERROR(积分赛!CF20/$K14,0)</f>
        <v>0</v>
      </c>
      <c r="S14" s="10">
        <f>IFERROR(晋级赛!AM20/$K14,0)</f>
        <v>0</v>
      </c>
      <c r="T14" s="10">
        <f>IFERROR(晋级赛!BQ20/$K14,0)</f>
        <v>0</v>
      </c>
      <c r="V14" s="10">
        <f>IFERROR(积分赛!BL20/$O14,0)</f>
        <v>0</v>
      </c>
      <c r="W14" s="10">
        <f>IFERROR(积分赛!CJ20/$O14,0)</f>
        <v>0</v>
      </c>
      <c r="X14" s="10">
        <f>IFERROR(晋级赛!AQ20/$O14,0)</f>
        <v>0</v>
      </c>
      <c r="Y14" s="10">
        <f>IFERROR(晋级赛!BU20/$O14,0)</f>
        <v>0</v>
      </c>
      <c r="AD14" s="2">
        <v>10</v>
      </c>
      <c r="AE14" s="2">
        <f t="shared" si="1"/>
        <v>0</v>
      </c>
      <c r="AF14" s="2">
        <f t="shared" si="2"/>
        <v>0</v>
      </c>
      <c r="AG14" s="2">
        <f t="shared" si="3"/>
        <v>0</v>
      </c>
      <c r="AH14" s="2">
        <f t="shared" si="4"/>
        <v>0</v>
      </c>
      <c r="AI14" s="2">
        <f t="shared" si="5"/>
        <v>0</v>
      </c>
    </row>
    <row r="15" spans="1:35" x14ac:dyDescent="0.15">
      <c r="J15" s="2">
        <v>11</v>
      </c>
      <c r="K15" s="2">
        <f>积分赛!BH21+积分赛!CF21+晋级赛!AM21+晋级赛!BQ21</f>
        <v>0</v>
      </c>
      <c r="L15" s="2">
        <f>积分赛!BI21+积分赛!CG21+晋级赛!AN21+晋级赛!BR21</f>
        <v>0</v>
      </c>
      <c r="M15" s="2">
        <f>积分赛!BJ21+积分赛!CH21+晋级赛!AO21+晋级赛!BS21</f>
        <v>0</v>
      </c>
      <c r="N15" s="2">
        <f>积分赛!BK21+积分赛!CI21+晋级赛!AP21+晋级赛!BT21</f>
        <v>0</v>
      </c>
      <c r="O15" s="2">
        <f>积分赛!BL21+积分赛!CJ21+晋级赛!AQ21+晋级赛!BU21</f>
        <v>0</v>
      </c>
      <c r="Q15" s="10">
        <f>IFERROR(积分赛!BH21/$K15,0)</f>
        <v>0</v>
      </c>
      <c r="R15" s="10">
        <f>IFERROR(积分赛!CF21/$K15,0)</f>
        <v>0</v>
      </c>
      <c r="S15" s="10">
        <f>IFERROR(晋级赛!AM21/$K15,0)</f>
        <v>0</v>
      </c>
      <c r="T15" s="10">
        <f>IFERROR(晋级赛!BQ21/$K15,0)</f>
        <v>0</v>
      </c>
      <c r="V15" s="10">
        <f>IFERROR(积分赛!BL21/$O15,0)</f>
        <v>0</v>
      </c>
      <c r="W15" s="10">
        <f>IFERROR(积分赛!CJ21/$O15,0)</f>
        <v>0</v>
      </c>
      <c r="X15" s="10">
        <f>IFERROR(晋级赛!AQ21/$O15,0)</f>
        <v>0</v>
      </c>
      <c r="Y15" s="10">
        <f>IFERROR(晋级赛!BU21/$O15,0)</f>
        <v>0</v>
      </c>
      <c r="AD15" s="2">
        <v>11</v>
      </c>
      <c r="AE15" s="2">
        <f t="shared" si="1"/>
        <v>0</v>
      </c>
      <c r="AF15" s="2">
        <f t="shared" si="2"/>
        <v>0</v>
      </c>
      <c r="AG15" s="2">
        <f t="shared" si="3"/>
        <v>0</v>
      </c>
      <c r="AH15" s="2">
        <f t="shared" si="4"/>
        <v>0</v>
      </c>
      <c r="AI15" s="2">
        <f t="shared" si="5"/>
        <v>0</v>
      </c>
    </row>
    <row r="16" spans="1:35" x14ac:dyDescent="0.15">
      <c r="J16" s="2">
        <v>12</v>
      </c>
      <c r="K16" s="2">
        <f>积分赛!BH22+积分赛!CF22+晋级赛!AM22+晋级赛!BQ22</f>
        <v>0</v>
      </c>
      <c r="L16" s="2">
        <f>积分赛!BI22+积分赛!CG22+晋级赛!AN22+晋级赛!BR22</f>
        <v>0</v>
      </c>
      <c r="M16" s="2">
        <f>积分赛!BJ22+积分赛!CH22+晋级赛!AO22+晋级赛!BS22</f>
        <v>0</v>
      </c>
      <c r="N16" s="2">
        <f>积分赛!BK22+积分赛!CI22+晋级赛!AP22+晋级赛!BT22</f>
        <v>0</v>
      </c>
      <c r="O16" s="2">
        <f>积分赛!BL22+积分赛!CJ22+晋级赛!AQ22+晋级赛!BU22</f>
        <v>0</v>
      </c>
      <c r="Q16" s="10">
        <f>IFERROR(积分赛!BH22/$K16,0)</f>
        <v>0</v>
      </c>
      <c r="R16" s="10">
        <f>IFERROR(积分赛!CF22/$K16,0)</f>
        <v>0</v>
      </c>
      <c r="S16" s="10">
        <f>IFERROR(晋级赛!AM22/$K16,0)</f>
        <v>0</v>
      </c>
      <c r="T16" s="10">
        <f>IFERROR(晋级赛!BQ22/$K16,0)</f>
        <v>0</v>
      </c>
      <c r="V16" s="10">
        <f>IFERROR(积分赛!BL22/$O16,0)</f>
        <v>0</v>
      </c>
      <c r="W16" s="10">
        <f>IFERROR(积分赛!CJ22/$O16,0)</f>
        <v>0</v>
      </c>
      <c r="X16" s="10">
        <f>IFERROR(晋级赛!AQ22/$O16,0)</f>
        <v>0</v>
      </c>
      <c r="Y16" s="10">
        <f>IFERROR(晋级赛!BU22/$O16,0)</f>
        <v>0</v>
      </c>
      <c r="AD16" s="2">
        <v>12</v>
      </c>
      <c r="AE16" s="2">
        <f t="shared" si="1"/>
        <v>0</v>
      </c>
      <c r="AF16" s="2">
        <f t="shared" si="2"/>
        <v>0</v>
      </c>
      <c r="AG16" s="2">
        <f t="shared" si="3"/>
        <v>0</v>
      </c>
      <c r="AH16" s="2">
        <f t="shared" si="4"/>
        <v>0</v>
      </c>
      <c r="AI16" s="2">
        <f t="shared" si="5"/>
        <v>0</v>
      </c>
    </row>
    <row r="17" spans="10:35" x14ac:dyDescent="0.15">
      <c r="J17" s="2">
        <v>13</v>
      </c>
      <c r="K17" s="2">
        <f>积分赛!BH23+积分赛!CF23+晋级赛!AM23+晋级赛!BQ23</f>
        <v>0</v>
      </c>
      <c r="L17" s="2">
        <f>积分赛!BI23+积分赛!CG23+晋级赛!AN23+晋级赛!BR23</f>
        <v>0</v>
      </c>
      <c r="M17" s="2">
        <f>积分赛!BJ23+积分赛!CH23+晋级赛!AO23+晋级赛!BS23</f>
        <v>0</v>
      </c>
      <c r="N17" s="2">
        <f>积分赛!BK23+积分赛!CI23+晋级赛!AP23+晋级赛!BT23</f>
        <v>0</v>
      </c>
      <c r="O17" s="2">
        <f>积分赛!BL23+积分赛!CJ23+晋级赛!AQ23+晋级赛!BU23</f>
        <v>0</v>
      </c>
      <c r="Q17" s="10">
        <f>IFERROR(积分赛!BH23/$K17,0)</f>
        <v>0</v>
      </c>
      <c r="R17" s="10">
        <f>IFERROR(积分赛!CF23/$K17,0)</f>
        <v>0</v>
      </c>
      <c r="S17" s="10">
        <f>IFERROR(晋级赛!AM23/$K17,0)</f>
        <v>0</v>
      </c>
      <c r="T17" s="10">
        <f>IFERROR(晋级赛!BQ23/$K17,0)</f>
        <v>0</v>
      </c>
      <c r="V17" s="10">
        <f>IFERROR(积分赛!BL23/$O17,0)</f>
        <v>0</v>
      </c>
      <c r="W17" s="10">
        <f>IFERROR(积分赛!CJ23/$O17,0)</f>
        <v>0</v>
      </c>
      <c r="X17" s="10">
        <f>IFERROR(晋级赛!AQ23/$O17,0)</f>
        <v>0</v>
      </c>
      <c r="Y17" s="10">
        <f>IFERROR(晋级赛!BU23/$O17,0)</f>
        <v>0</v>
      </c>
      <c r="AD17" s="2">
        <v>13</v>
      </c>
      <c r="AE17" s="2">
        <f t="shared" si="1"/>
        <v>0</v>
      </c>
      <c r="AF17" s="2">
        <f t="shared" si="2"/>
        <v>0</v>
      </c>
      <c r="AG17" s="2">
        <f t="shared" si="3"/>
        <v>0</v>
      </c>
      <c r="AH17" s="2">
        <f t="shared" si="4"/>
        <v>0</v>
      </c>
      <c r="AI17" s="2">
        <f t="shared" si="5"/>
        <v>0</v>
      </c>
    </row>
    <row r="18" spans="10:35" x14ac:dyDescent="0.15">
      <c r="J18" s="2">
        <v>14</v>
      </c>
      <c r="K18" s="2">
        <f>积分赛!BH24+积分赛!CF24+晋级赛!AM24+晋级赛!BQ24</f>
        <v>0</v>
      </c>
      <c r="L18" s="2">
        <f>积分赛!BI24+积分赛!CG24+晋级赛!AN24+晋级赛!BR24</f>
        <v>0</v>
      </c>
      <c r="M18" s="2">
        <f>积分赛!BJ24+积分赛!CH24+晋级赛!AO24+晋级赛!BS24</f>
        <v>0</v>
      </c>
      <c r="N18" s="2">
        <f>积分赛!BK24+积分赛!CI24+晋级赛!AP24+晋级赛!BT24</f>
        <v>0</v>
      </c>
      <c r="O18" s="2">
        <f>积分赛!BL24+积分赛!CJ24+晋级赛!AQ24+晋级赛!BU24</f>
        <v>0</v>
      </c>
      <c r="Q18" s="10">
        <f>IFERROR(积分赛!BH24/$K18,0)</f>
        <v>0</v>
      </c>
      <c r="R18" s="10">
        <f>IFERROR(积分赛!CF24/$K18,0)</f>
        <v>0</v>
      </c>
      <c r="S18" s="10">
        <f>IFERROR(晋级赛!AM24/$K18,0)</f>
        <v>0</v>
      </c>
      <c r="T18" s="10">
        <f>IFERROR(晋级赛!BQ24/$K18,0)</f>
        <v>0</v>
      </c>
      <c r="V18" s="10">
        <f>IFERROR(积分赛!BL24/$O18,0)</f>
        <v>0</v>
      </c>
      <c r="W18" s="10">
        <f>IFERROR(积分赛!CJ24/$O18,0)</f>
        <v>0</v>
      </c>
      <c r="X18" s="10">
        <f>IFERROR(晋级赛!AQ24/$O18,0)</f>
        <v>0</v>
      </c>
      <c r="Y18" s="10">
        <f>IFERROR(晋级赛!BU24/$O18,0)</f>
        <v>0</v>
      </c>
      <c r="AD18" s="2">
        <v>14</v>
      </c>
      <c r="AE18" s="2">
        <f t="shared" si="1"/>
        <v>0</v>
      </c>
      <c r="AF18" s="2">
        <f t="shared" si="2"/>
        <v>0</v>
      </c>
      <c r="AG18" s="2">
        <f t="shared" si="3"/>
        <v>0</v>
      </c>
      <c r="AH18" s="2">
        <f t="shared" si="4"/>
        <v>0</v>
      </c>
      <c r="AI18" s="2">
        <f t="shared" si="5"/>
        <v>0</v>
      </c>
    </row>
    <row r="19" spans="10:35" x14ac:dyDescent="0.15">
      <c r="J19" s="2">
        <v>15</v>
      </c>
      <c r="K19" s="2">
        <f>积分赛!BH25+积分赛!CF25+晋级赛!AM25+晋级赛!BQ25</f>
        <v>0</v>
      </c>
      <c r="L19" s="2">
        <f>积分赛!BI25+积分赛!CG25+晋级赛!AN25+晋级赛!BR25</f>
        <v>0</v>
      </c>
      <c r="M19" s="2">
        <f>积分赛!BJ25+积分赛!CH25+晋级赛!AO25+晋级赛!BS25</f>
        <v>0</v>
      </c>
      <c r="N19" s="2">
        <f>积分赛!BK25+积分赛!CI25+晋级赛!AP25+晋级赛!BT25</f>
        <v>0</v>
      </c>
      <c r="O19" s="2">
        <f>积分赛!BL25+积分赛!CJ25+晋级赛!AQ25+晋级赛!BU25</f>
        <v>0</v>
      </c>
      <c r="Q19" s="10">
        <f>IFERROR(积分赛!BH25/$K19,0)</f>
        <v>0</v>
      </c>
      <c r="R19" s="10">
        <f>IFERROR(积分赛!CF25/$K19,0)</f>
        <v>0</v>
      </c>
      <c r="S19" s="10">
        <f>IFERROR(晋级赛!AM25/$K19,0)</f>
        <v>0</v>
      </c>
      <c r="T19" s="10">
        <f>IFERROR(晋级赛!BQ25/$K19,0)</f>
        <v>0</v>
      </c>
      <c r="V19" s="10">
        <f>IFERROR(积分赛!BL25/$O19,0)</f>
        <v>0</v>
      </c>
      <c r="W19" s="10">
        <f>IFERROR(积分赛!CJ25/$O19,0)</f>
        <v>0</v>
      </c>
      <c r="X19" s="10">
        <f>IFERROR(晋级赛!AQ25/$O19,0)</f>
        <v>0</v>
      </c>
      <c r="Y19" s="10">
        <f>IFERROR(晋级赛!BU25/$O19,0)</f>
        <v>0</v>
      </c>
      <c r="AD19" s="2">
        <v>15</v>
      </c>
      <c r="AE19" s="2">
        <f t="shared" si="1"/>
        <v>0</v>
      </c>
      <c r="AF19" s="2">
        <f t="shared" si="2"/>
        <v>0</v>
      </c>
      <c r="AG19" s="2">
        <f t="shared" si="3"/>
        <v>0</v>
      </c>
      <c r="AH19" s="2">
        <f t="shared" si="4"/>
        <v>0</v>
      </c>
      <c r="AI19" s="2">
        <f t="shared" si="5"/>
        <v>0</v>
      </c>
    </row>
    <row r="20" spans="10:35" x14ac:dyDescent="0.15">
      <c r="J20" s="2">
        <v>16</v>
      </c>
      <c r="K20" s="2">
        <f>积分赛!BH26+积分赛!CF26+晋级赛!AM26+晋级赛!BQ26</f>
        <v>0</v>
      </c>
      <c r="L20" s="2">
        <f>积分赛!BI26+积分赛!CG26+晋级赛!AN26+晋级赛!BR26</f>
        <v>0</v>
      </c>
      <c r="M20" s="2">
        <f>积分赛!BJ26+积分赛!CH26+晋级赛!AO26+晋级赛!BS26</f>
        <v>0</v>
      </c>
      <c r="N20" s="2">
        <f>积分赛!BK26+积分赛!CI26+晋级赛!AP26+晋级赛!BT26</f>
        <v>0</v>
      </c>
      <c r="O20" s="2">
        <f>积分赛!BL26+积分赛!CJ26+晋级赛!AQ26+晋级赛!BU26</f>
        <v>0</v>
      </c>
      <c r="Q20" s="10">
        <f>IFERROR(积分赛!BH26/$K20,0)</f>
        <v>0</v>
      </c>
      <c r="R20" s="10">
        <f>IFERROR(积分赛!CF26/$K20,0)</f>
        <v>0</v>
      </c>
      <c r="S20" s="10">
        <f>IFERROR(晋级赛!AM26/$K20,0)</f>
        <v>0</v>
      </c>
      <c r="T20" s="10">
        <f>IFERROR(晋级赛!BQ26/$K20,0)</f>
        <v>0</v>
      </c>
      <c r="V20" s="10">
        <f>IFERROR(积分赛!BL26/$O20,0)</f>
        <v>0</v>
      </c>
      <c r="W20" s="10">
        <f>IFERROR(积分赛!CJ26/$O20,0)</f>
        <v>0</v>
      </c>
      <c r="X20" s="10">
        <f>IFERROR(晋级赛!AQ26/$O20,0)</f>
        <v>0</v>
      </c>
      <c r="Y20" s="10">
        <f>IFERROR(晋级赛!BU26/$O20,0)</f>
        <v>0</v>
      </c>
      <c r="AD20" s="2">
        <v>16</v>
      </c>
      <c r="AE20" s="2">
        <f t="shared" si="1"/>
        <v>0</v>
      </c>
      <c r="AF20" s="2">
        <f t="shared" si="2"/>
        <v>0</v>
      </c>
      <c r="AG20" s="2">
        <f t="shared" si="3"/>
        <v>0</v>
      </c>
      <c r="AH20" s="2">
        <f t="shared" si="4"/>
        <v>0</v>
      </c>
      <c r="AI20" s="2">
        <f t="shared" si="5"/>
        <v>0</v>
      </c>
    </row>
    <row r="21" spans="10:35" x14ac:dyDescent="0.15">
      <c r="J21" s="2">
        <v>17</v>
      </c>
      <c r="K21" s="2">
        <f>积分赛!BH27+积分赛!CF27+晋级赛!AM27+晋级赛!BQ27</f>
        <v>0</v>
      </c>
      <c r="L21" s="2">
        <f>积分赛!BI27+积分赛!CG27+晋级赛!AN27+晋级赛!BR27</f>
        <v>0</v>
      </c>
      <c r="M21" s="2">
        <f>积分赛!BJ27+积分赛!CH27+晋级赛!AO27+晋级赛!BS27</f>
        <v>0</v>
      </c>
      <c r="N21" s="2">
        <f>积分赛!BK27+积分赛!CI27+晋级赛!AP27+晋级赛!BT27</f>
        <v>0</v>
      </c>
      <c r="O21" s="2">
        <f>积分赛!BL27+积分赛!CJ27+晋级赛!AQ27+晋级赛!BU27</f>
        <v>0</v>
      </c>
      <c r="Q21" s="10">
        <f>IFERROR(积分赛!BH27/$K21,0)</f>
        <v>0</v>
      </c>
      <c r="R21" s="10">
        <f>IFERROR(积分赛!CF27/$K21,0)</f>
        <v>0</v>
      </c>
      <c r="S21" s="10">
        <f>IFERROR(晋级赛!AM27/$K21,0)</f>
        <v>0</v>
      </c>
      <c r="T21" s="10">
        <f>IFERROR(晋级赛!BQ27/$K21,0)</f>
        <v>0</v>
      </c>
      <c r="V21" s="10">
        <f>IFERROR(积分赛!BL27/$O21,0)</f>
        <v>0</v>
      </c>
      <c r="W21" s="10">
        <f>IFERROR(积分赛!CJ27/$O21,0)</f>
        <v>0</v>
      </c>
      <c r="X21" s="10">
        <f>IFERROR(晋级赛!AQ27/$O21,0)</f>
        <v>0</v>
      </c>
      <c r="Y21" s="10">
        <f>IFERROR(晋级赛!BU27/$O21,0)</f>
        <v>0</v>
      </c>
      <c r="AD21" s="2">
        <v>17</v>
      </c>
      <c r="AE21" s="2">
        <f t="shared" si="1"/>
        <v>0</v>
      </c>
      <c r="AF21" s="2">
        <f t="shared" si="2"/>
        <v>0</v>
      </c>
      <c r="AG21" s="2">
        <f t="shared" si="3"/>
        <v>0</v>
      </c>
      <c r="AH21" s="2">
        <f t="shared" si="4"/>
        <v>0</v>
      </c>
      <c r="AI21" s="2">
        <f t="shared" si="5"/>
        <v>0</v>
      </c>
    </row>
    <row r="22" spans="10:35" x14ac:dyDescent="0.15">
      <c r="J22" s="2">
        <v>18</v>
      </c>
      <c r="K22" s="2">
        <f>积分赛!BH28+积分赛!CF28+晋级赛!AM28+晋级赛!BQ28</f>
        <v>0</v>
      </c>
      <c r="L22" s="2">
        <f>积分赛!BI28+积分赛!CG28+晋级赛!AN28+晋级赛!BR28</f>
        <v>0</v>
      </c>
      <c r="M22" s="2">
        <f>积分赛!BJ28+积分赛!CH28+晋级赛!AO28+晋级赛!BS28</f>
        <v>0</v>
      </c>
      <c r="N22" s="2">
        <f>积分赛!BK28+积分赛!CI28+晋级赛!AP28+晋级赛!BT28</f>
        <v>0</v>
      </c>
      <c r="O22" s="2">
        <f>积分赛!BL28+积分赛!CJ28+晋级赛!AQ28+晋级赛!BU28</f>
        <v>0</v>
      </c>
      <c r="Q22" s="10">
        <f>IFERROR(积分赛!BH28/$K22,0)</f>
        <v>0</v>
      </c>
      <c r="R22" s="10">
        <f>IFERROR(积分赛!CF28/$K22,0)</f>
        <v>0</v>
      </c>
      <c r="S22" s="10">
        <f>IFERROR(晋级赛!AM28/$K22,0)</f>
        <v>0</v>
      </c>
      <c r="T22" s="10">
        <f>IFERROR(晋级赛!BQ28/$K22,0)</f>
        <v>0</v>
      </c>
      <c r="V22" s="10">
        <f>IFERROR(积分赛!BL28/$O22,0)</f>
        <v>0</v>
      </c>
      <c r="W22" s="10">
        <f>IFERROR(积分赛!CJ28/$O22,0)</f>
        <v>0</v>
      </c>
      <c r="X22" s="10">
        <f>IFERROR(晋级赛!AQ28/$O22,0)</f>
        <v>0</v>
      </c>
      <c r="Y22" s="10">
        <f>IFERROR(晋级赛!BU28/$O22,0)</f>
        <v>0</v>
      </c>
      <c r="AD22" s="2">
        <v>18</v>
      </c>
      <c r="AE22" s="2">
        <f t="shared" si="1"/>
        <v>0</v>
      </c>
      <c r="AF22" s="2">
        <f t="shared" si="2"/>
        <v>0</v>
      </c>
      <c r="AG22" s="2">
        <f t="shared" si="3"/>
        <v>0</v>
      </c>
      <c r="AH22" s="2">
        <f t="shared" si="4"/>
        <v>0</v>
      </c>
      <c r="AI22" s="2">
        <f t="shared" si="5"/>
        <v>0</v>
      </c>
    </row>
    <row r="23" spans="10:35" x14ac:dyDescent="0.15">
      <c r="J23" s="2">
        <v>19</v>
      </c>
      <c r="K23" s="2">
        <f>积分赛!BH29+积分赛!CF29+晋级赛!AM29+晋级赛!BQ29</f>
        <v>0</v>
      </c>
      <c r="L23" s="2">
        <f>积分赛!BI29+积分赛!CG29+晋级赛!AN29+晋级赛!BR29</f>
        <v>0</v>
      </c>
      <c r="M23" s="2">
        <f>积分赛!BJ29+积分赛!CH29+晋级赛!AO29+晋级赛!BS29</f>
        <v>0</v>
      </c>
      <c r="N23" s="2">
        <f>积分赛!BK29+积分赛!CI29+晋级赛!AP29+晋级赛!BT29</f>
        <v>0</v>
      </c>
      <c r="O23" s="2">
        <f>积分赛!BL29+积分赛!CJ29+晋级赛!AQ29+晋级赛!BU29</f>
        <v>0</v>
      </c>
      <c r="Q23" s="10">
        <f>IFERROR(积分赛!BH29/$K23,0)</f>
        <v>0</v>
      </c>
      <c r="R23" s="10">
        <f>IFERROR(积分赛!CF29/$K23,0)</f>
        <v>0</v>
      </c>
      <c r="S23" s="10">
        <f>IFERROR(晋级赛!AM29/$K23,0)</f>
        <v>0</v>
      </c>
      <c r="T23" s="10">
        <f>IFERROR(晋级赛!BQ29/$K23,0)</f>
        <v>0</v>
      </c>
      <c r="V23" s="10">
        <f>IFERROR(积分赛!BL29/$O23,0)</f>
        <v>0</v>
      </c>
      <c r="W23" s="10">
        <f>IFERROR(积分赛!CJ29/$O23,0)</f>
        <v>0</v>
      </c>
      <c r="X23" s="10">
        <f>IFERROR(晋级赛!AQ29/$O23,0)</f>
        <v>0</v>
      </c>
      <c r="Y23" s="10">
        <f>IFERROR(晋级赛!BU29/$O23,0)</f>
        <v>0</v>
      </c>
      <c r="AD23" s="2">
        <v>19</v>
      </c>
      <c r="AE23" s="2">
        <f t="shared" si="1"/>
        <v>0</v>
      </c>
      <c r="AF23" s="2">
        <f t="shared" si="2"/>
        <v>0</v>
      </c>
      <c r="AG23" s="2">
        <f t="shared" si="3"/>
        <v>0</v>
      </c>
      <c r="AH23" s="2">
        <f t="shared" si="4"/>
        <v>0</v>
      </c>
      <c r="AI23" s="2">
        <f t="shared" si="5"/>
        <v>0</v>
      </c>
    </row>
    <row r="24" spans="10:35" x14ac:dyDescent="0.15">
      <c r="J24" s="2">
        <v>20</v>
      </c>
      <c r="K24" s="2">
        <f>积分赛!BH30+积分赛!CF30+晋级赛!AM30+晋级赛!BQ30</f>
        <v>0</v>
      </c>
      <c r="L24" s="2">
        <f>积分赛!BI30+积分赛!CG30+晋级赛!AN30+晋级赛!BR30</f>
        <v>0</v>
      </c>
      <c r="M24" s="2">
        <f>积分赛!BJ30+积分赛!CH30+晋级赛!AO30+晋级赛!BS30</f>
        <v>0</v>
      </c>
      <c r="N24" s="2">
        <f>积分赛!BK30+积分赛!CI30+晋级赛!AP30+晋级赛!BT30</f>
        <v>0</v>
      </c>
      <c r="O24" s="2">
        <f>积分赛!BL30+积分赛!CJ30+晋级赛!AQ30+晋级赛!BU30</f>
        <v>0</v>
      </c>
      <c r="Q24" s="10">
        <f>IFERROR(积分赛!BH30/$K24,0)</f>
        <v>0</v>
      </c>
      <c r="R24" s="10">
        <f>IFERROR(积分赛!CF30/$K24,0)</f>
        <v>0</v>
      </c>
      <c r="S24" s="10">
        <f>IFERROR(晋级赛!AM30/$K24,0)</f>
        <v>0</v>
      </c>
      <c r="T24" s="10">
        <f>IFERROR(晋级赛!BQ30/$K24,0)</f>
        <v>0</v>
      </c>
      <c r="V24" s="10">
        <f>IFERROR(积分赛!BL30/$O24,0)</f>
        <v>0</v>
      </c>
      <c r="W24" s="10">
        <f>IFERROR(积分赛!CJ30/$O24,0)</f>
        <v>0</v>
      </c>
      <c r="X24" s="10">
        <f>IFERROR(晋级赛!AQ30/$O24,0)</f>
        <v>0</v>
      </c>
      <c r="Y24" s="10">
        <f>IFERROR(晋级赛!BU30/$O24,0)</f>
        <v>0</v>
      </c>
      <c r="AD24" s="2">
        <v>20</v>
      </c>
      <c r="AE24" s="2">
        <f t="shared" si="1"/>
        <v>0</v>
      </c>
      <c r="AF24" s="2">
        <f t="shared" si="2"/>
        <v>0</v>
      </c>
      <c r="AG24" s="2">
        <f t="shared" si="3"/>
        <v>0</v>
      </c>
      <c r="AH24" s="2">
        <f t="shared" si="4"/>
        <v>0</v>
      </c>
      <c r="AI24" s="2">
        <f t="shared" si="5"/>
        <v>0</v>
      </c>
    </row>
    <row r="25" spans="10:35" x14ac:dyDescent="0.15">
      <c r="J25" s="2">
        <v>21</v>
      </c>
      <c r="K25" s="2">
        <f>积分赛!BH31+积分赛!CF31+晋级赛!AM31+晋级赛!BQ31</f>
        <v>0</v>
      </c>
      <c r="L25" s="2">
        <f>积分赛!BI31+积分赛!CG31+晋级赛!AN31+晋级赛!BR31</f>
        <v>0</v>
      </c>
      <c r="M25" s="2">
        <f>积分赛!BJ31+积分赛!CH31+晋级赛!AO31+晋级赛!BS31</f>
        <v>0</v>
      </c>
      <c r="N25" s="2">
        <f>积分赛!BK31+积分赛!CI31+晋级赛!AP31+晋级赛!BT31</f>
        <v>0</v>
      </c>
      <c r="O25" s="2">
        <f>积分赛!BL31+积分赛!CJ31+晋级赛!AQ31+晋级赛!BU31</f>
        <v>0</v>
      </c>
      <c r="Q25" s="10">
        <f>IFERROR(积分赛!BH31/$K25,0)</f>
        <v>0</v>
      </c>
      <c r="R25" s="10">
        <f>IFERROR(积分赛!CF31/$K25,0)</f>
        <v>0</v>
      </c>
      <c r="S25" s="10">
        <f>IFERROR(晋级赛!AM31/$K25,0)</f>
        <v>0</v>
      </c>
      <c r="T25" s="10">
        <f>IFERROR(晋级赛!BQ31/$K25,0)</f>
        <v>0</v>
      </c>
      <c r="V25" s="10">
        <f>IFERROR(积分赛!BL31/$O25,0)</f>
        <v>0</v>
      </c>
      <c r="W25" s="10">
        <f>IFERROR(积分赛!CJ31/$O25,0)</f>
        <v>0</v>
      </c>
      <c r="X25" s="10">
        <f>IFERROR(晋级赛!AQ31/$O25,0)</f>
        <v>0</v>
      </c>
      <c r="Y25" s="10">
        <f>IFERROR(晋级赛!BU31/$O25,0)</f>
        <v>0</v>
      </c>
      <c r="AD25" s="2">
        <v>21</v>
      </c>
      <c r="AE25" s="2">
        <f t="shared" si="1"/>
        <v>0</v>
      </c>
      <c r="AF25" s="2">
        <f t="shared" si="2"/>
        <v>0</v>
      </c>
      <c r="AG25" s="2">
        <f t="shared" si="3"/>
        <v>0</v>
      </c>
      <c r="AH25" s="2">
        <f t="shared" si="4"/>
        <v>0</v>
      </c>
      <c r="AI25" s="2">
        <f t="shared" si="5"/>
        <v>0</v>
      </c>
    </row>
    <row r="26" spans="10:35" x14ac:dyDescent="0.15">
      <c r="J26" s="2">
        <v>22</v>
      </c>
      <c r="K26" s="2">
        <f>积分赛!BH32+积分赛!CF32+晋级赛!AM32+晋级赛!BQ32</f>
        <v>0</v>
      </c>
      <c r="L26" s="2">
        <f>积分赛!BI32+积分赛!CG32+晋级赛!AN32+晋级赛!BR32</f>
        <v>0</v>
      </c>
      <c r="M26" s="2">
        <f>积分赛!BJ32+积分赛!CH32+晋级赛!AO32+晋级赛!BS32</f>
        <v>0</v>
      </c>
      <c r="N26" s="2">
        <f>积分赛!BK32+积分赛!CI32+晋级赛!AP32+晋级赛!BT32</f>
        <v>0</v>
      </c>
      <c r="O26" s="2">
        <f>积分赛!BL32+积分赛!CJ32+晋级赛!AQ32+晋级赛!BU32</f>
        <v>0</v>
      </c>
      <c r="Q26" s="10">
        <f>IFERROR(积分赛!BH32/$K26,0)</f>
        <v>0</v>
      </c>
      <c r="R26" s="10">
        <f>IFERROR(积分赛!CF32/$K26,0)</f>
        <v>0</v>
      </c>
      <c r="S26" s="10">
        <f>IFERROR(晋级赛!AM32/$K26,0)</f>
        <v>0</v>
      </c>
      <c r="T26" s="10">
        <f>IFERROR(晋级赛!BQ32/$K26,0)</f>
        <v>0</v>
      </c>
      <c r="V26" s="10">
        <f>IFERROR(积分赛!BL32/$O26,0)</f>
        <v>0</v>
      </c>
      <c r="W26" s="10">
        <f>IFERROR(积分赛!CJ32/$O26,0)</f>
        <v>0</v>
      </c>
      <c r="X26" s="10">
        <f>IFERROR(晋级赛!AQ32/$O26,0)</f>
        <v>0</v>
      </c>
      <c r="Y26" s="10">
        <f>IFERROR(晋级赛!BU32/$O26,0)</f>
        <v>0</v>
      </c>
      <c r="AD26" s="2">
        <v>22</v>
      </c>
      <c r="AE26" s="2">
        <f t="shared" si="1"/>
        <v>0</v>
      </c>
      <c r="AF26" s="2">
        <f t="shared" si="2"/>
        <v>0</v>
      </c>
      <c r="AG26" s="2">
        <f t="shared" si="3"/>
        <v>0</v>
      </c>
      <c r="AH26" s="2">
        <f t="shared" si="4"/>
        <v>0</v>
      </c>
      <c r="AI26" s="2">
        <f t="shared" si="5"/>
        <v>0</v>
      </c>
    </row>
    <row r="27" spans="10:35" x14ac:dyDescent="0.15">
      <c r="J27" s="2">
        <v>23</v>
      </c>
      <c r="K27" s="2">
        <f>积分赛!BH33+积分赛!CF33+晋级赛!AM33+晋级赛!BQ33</f>
        <v>0</v>
      </c>
      <c r="L27" s="2">
        <f>积分赛!BI33+积分赛!CG33+晋级赛!AN33+晋级赛!BR33</f>
        <v>0</v>
      </c>
      <c r="M27" s="2">
        <f>积分赛!BJ33+积分赛!CH33+晋级赛!AO33+晋级赛!BS33</f>
        <v>0</v>
      </c>
      <c r="N27" s="2">
        <f>积分赛!BK33+积分赛!CI33+晋级赛!AP33+晋级赛!BT33</f>
        <v>0</v>
      </c>
      <c r="O27" s="2">
        <f>积分赛!BL33+积分赛!CJ33+晋级赛!AQ33+晋级赛!BU33</f>
        <v>0</v>
      </c>
      <c r="Q27" s="10">
        <f>IFERROR(积分赛!BH33/$K27,0)</f>
        <v>0</v>
      </c>
      <c r="R27" s="10">
        <f>IFERROR(积分赛!CF33/$K27,0)</f>
        <v>0</v>
      </c>
      <c r="S27" s="10">
        <f>IFERROR(晋级赛!AM33/$K27,0)</f>
        <v>0</v>
      </c>
      <c r="T27" s="10">
        <f>IFERROR(晋级赛!BQ33/$K27,0)</f>
        <v>0</v>
      </c>
      <c r="V27" s="10">
        <f>IFERROR(积分赛!BL33/$O27,0)</f>
        <v>0</v>
      </c>
      <c r="W27" s="10">
        <f>IFERROR(积分赛!CJ33/$O27,0)</f>
        <v>0</v>
      </c>
      <c r="X27" s="10">
        <f>IFERROR(晋级赛!AQ33/$O27,0)</f>
        <v>0</v>
      </c>
      <c r="Y27" s="10">
        <f>IFERROR(晋级赛!BU33/$O27,0)</f>
        <v>0</v>
      </c>
      <c r="AD27" s="2">
        <v>23</v>
      </c>
      <c r="AE27" s="2">
        <f t="shared" si="1"/>
        <v>0</v>
      </c>
      <c r="AF27" s="2">
        <f t="shared" si="2"/>
        <v>0</v>
      </c>
      <c r="AG27" s="2">
        <f t="shared" si="3"/>
        <v>0</v>
      </c>
      <c r="AH27" s="2">
        <f t="shared" si="4"/>
        <v>0</v>
      </c>
      <c r="AI27" s="2">
        <f t="shared" si="5"/>
        <v>0</v>
      </c>
    </row>
    <row r="28" spans="10:35" x14ac:dyDescent="0.15">
      <c r="J28" s="2">
        <v>24</v>
      </c>
      <c r="K28" s="2">
        <f>积分赛!BH34+积分赛!CF34+晋级赛!AM34+晋级赛!BQ34</f>
        <v>0</v>
      </c>
      <c r="L28" s="2">
        <f>积分赛!BI34+积分赛!CG34+晋级赛!AN34+晋级赛!BR34</f>
        <v>0</v>
      </c>
      <c r="M28" s="2">
        <f>积分赛!BJ34+积分赛!CH34+晋级赛!AO34+晋级赛!BS34</f>
        <v>0</v>
      </c>
      <c r="N28" s="2">
        <f>积分赛!BK34+积分赛!CI34+晋级赛!AP34+晋级赛!BT34</f>
        <v>0</v>
      </c>
      <c r="O28" s="2">
        <f>积分赛!BL34+积分赛!CJ34+晋级赛!AQ34+晋级赛!BU34</f>
        <v>0</v>
      </c>
      <c r="Q28" s="10">
        <f>IFERROR(积分赛!BH34/$K28,0)</f>
        <v>0</v>
      </c>
      <c r="R28" s="10">
        <f>IFERROR(积分赛!CF34/$K28,0)</f>
        <v>0</v>
      </c>
      <c r="S28" s="10">
        <f>IFERROR(晋级赛!AM34/$K28,0)</f>
        <v>0</v>
      </c>
      <c r="T28" s="10">
        <f>IFERROR(晋级赛!BQ34/$K28,0)</f>
        <v>0</v>
      </c>
      <c r="V28" s="10">
        <f>IFERROR(积分赛!BL34/$O28,0)</f>
        <v>0</v>
      </c>
      <c r="W28" s="10">
        <f>IFERROR(积分赛!CJ34/$O28,0)</f>
        <v>0</v>
      </c>
      <c r="X28" s="10">
        <f>IFERROR(晋级赛!AQ34/$O28,0)</f>
        <v>0</v>
      </c>
      <c r="Y28" s="10">
        <f>IFERROR(晋级赛!BU34/$O28,0)</f>
        <v>0</v>
      </c>
      <c r="AD28" s="2">
        <v>24</v>
      </c>
      <c r="AE28" s="2">
        <f t="shared" si="1"/>
        <v>0</v>
      </c>
      <c r="AF28" s="2">
        <f t="shared" si="2"/>
        <v>0</v>
      </c>
      <c r="AG28" s="2">
        <f t="shared" si="3"/>
        <v>0</v>
      </c>
      <c r="AH28" s="2">
        <f t="shared" si="4"/>
        <v>0</v>
      </c>
      <c r="AI28" s="2">
        <f t="shared" si="5"/>
        <v>0</v>
      </c>
    </row>
    <row r="29" spans="10:35" x14ac:dyDescent="0.15">
      <c r="J29" s="2">
        <v>25</v>
      </c>
      <c r="K29" s="2">
        <f>积分赛!BH35+积分赛!CF35+晋级赛!AM35+晋级赛!BQ35</f>
        <v>0</v>
      </c>
      <c r="L29" s="2">
        <f>积分赛!BI35+积分赛!CG35+晋级赛!AN35+晋级赛!BR35</f>
        <v>0</v>
      </c>
      <c r="M29" s="2">
        <f>积分赛!BJ35+积分赛!CH35+晋级赛!AO35+晋级赛!BS35</f>
        <v>0</v>
      </c>
      <c r="N29" s="2">
        <f>积分赛!BK35+积分赛!CI35+晋级赛!AP35+晋级赛!BT35</f>
        <v>0</v>
      </c>
      <c r="O29" s="2">
        <f>积分赛!BL35+积分赛!CJ35+晋级赛!AQ35+晋级赛!BU35</f>
        <v>0</v>
      </c>
      <c r="Q29" s="10">
        <f>IFERROR(积分赛!BH35/$K29,0)</f>
        <v>0</v>
      </c>
      <c r="R29" s="10">
        <f>IFERROR(积分赛!CF35/$K29,0)</f>
        <v>0</v>
      </c>
      <c r="S29" s="10">
        <f>IFERROR(晋级赛!AM35/$K29,0)</f>
        <v>0</v>
      </c>
      <c r="T29" s="10">
        <f>IFERROR(晋级赛!BQ35/$K29,0)</f>
        <v>0</v>
      </c>
      <c r="V29" s="10">
        <f>IFERROR(积分赛!BL35/$O29,0)</f>
        <v>0</v>
      </c>
      <c r="W29" s="10">
        <f>IFERROR(积分赛!CJ35/$O29,0)</f>
        <v>0</v>
      </c>
      <c r="X29" s="10">
        <f>IFERROR(晋级赛!AQ35/$O29,0)</f>
        <v>0</v>
      </c>
      <c r="Y29" s="10">
        <f>IFERROR(晋级赛!BU35/$O29,0)</f>
        <v>0</v>
      </c>
      <c r="AD29" s="2">
        <v>25</v>
      </c>
      <c r="AE29" s="2">
        <f t="shared" si="1"/>
        <v>0</v>
      </c>
      <c r="AF29" s="2">
        <f t="shared" si="2"/>
        <v>0</v>
      </c>
      <c r="AG29" s="2">
        <f t="shared" si="3"/>
        <v>0</v>
      </c>
      <c r="AH29" s="2">
        <f t="shared" si="4"/>
        <v>0</v>
      </c>
      <c r="AI29" s="2">
        <f t="shared" si="5"/>
        <v>0</v>
      </c>
    </row>
    <row r="30" spans="10:35" x14ac:dyDescent="0.15">
      <c r="J30" s="2">
        <v>26</v>
      </c>
      <c r="K30" s="2">
        <f>积分赛!BH36+积分赛!CF36+晋级赛!AM36+晋级赛!BQ36</f>
        <v>0</v>
      </c>
      <c r="L30" s="2">
        <f>积分赛!BI36+积分赛!CG36+晋级赛!AN36+晋级赛!BR36</f>
        <v>0</v>
      </c>
      <c r="M30" s="2">
        <f>积分赛!BJ36+积分赛!CH36+晋级赛!AO36+晋级赛!BS36</f>
        <v>0</v>
      </c>
      <c r="N30" s="2">
        <f>积分赛!BK36+积分赛!CI36+晋级赛!AP36+晋级赛!BT36</f>
        <v>0</v>
      </c>
      <c r="O30" s="2">
        <f>积分赛!BL36+积分赛!CJ36+晋级赛!AQ36+晋级赛!BU36</f>
        <v>0</v>
      </c>
      <c r="Q30" s="10">
        <f>IFERROR(积分赛!BH36/$K30,0)</f>
        <v>0</v>
      </c>
      <c r="R30" s="10">
        <f>IFERROR(积分赛!CF36/$K30,0)</f>
        <v>0</v>
      </c>
      <c r="S30" s="10">
        <f>IFERROR(晋级赛!AM36/$K30,0)</f>
        <v>0</v>
      </c>
      <c r="T30" s="10">
        <f>IFERROR(晋级赛!BQ36/$K30,0)</f>
        <v>0</v>
      </c>
      <c r="V30" s="10">
        <f>IFERROR(积分赛!BL36/$O30,0)</f>
        <v>0</v>
      </c>
      <c r="W30" s="10">
        <f>IFERROR(积分赛!CJ36/$O30,0)</f>
        <v>0</v>
      </c>
      <c r="X30" s="10">
        <f>IFERROR(晋级赛!AQ36/$O30,0)</f>
        <v>0</v>
      </c>
      <c r="Y30" s="10">
        <f>IFERROR(晋级赛!BU36/$O30,0)</f>
        <v>0</v>
      </c>
      <c r="AD30" s="2">
        <v>26</v>
      </c>
      <c r="AE30" s="2">
        <f t="shared" si="1"/>
        <v>0</v>
      </c>
      <c r="AF30" s="2">
        <f t="shared" si="2"/>
        <v>0</v>
      </c>
      <c r="AG30" s="2">
        <f t="shared" si="3"/>
        <v>0</v>
      </c>
      <c r="AH30" s="2">
        <f t="shared" si="4"/>
        <v>0</v>
      </c>
      <c r="AI30" s="2">
        <f t="shared" si="5"/>
        <v>0</v>
      </c>
    </row>
    <row r="31" spans="10:35" x14ac:dyDescent="0.15">
      <c r="J31" s="2">
        <v>27</v>
      </c>
      <c r="K31" s="2">
        <f>积分赛!BH37+积分赛!CF37+晋级赛!AM37+晋级赛!BQ37</f>
        <v>0</v>
      </c>
      <c r="L31" s="2">
        <f>积分赛!BI37+积分赛!CG37+晋级赛!AN37+晋级赛!BR37</f>
        <v>0</v>
      </c>
      <c r="M31" s="2">
        <f>积分赛!BJ37+积分赛!CH37+晋级赛!AO37+晋级赛!BS37</f>
        <v>0</v>
      </c>
      <c r="N31" s="2">
        <f>积分赛!BK37+积分赛!CI37+晋级赛!AP37+晋级赛!BT37</f>
        <v>0</v>
      </c>
      <c r="O31" s="2">
        <f>积分赛!BL37+积分赛!CJ37+晋级赛!AQ37+晋级赛!BU37</f>
        <v>0</v>
      </c>
      <c r="Q31" s="10">
        <f>IFERROR(积分赛!BH37/$K31,0)</f>
        <v>0</v>
      </c>
      <c r="R31" s="10">
        <f>IFERROR(积分赛!CF37/$K31,0)</f>
        <v>0</v>
      </c>
      <c r="S31" s="10">
        <f>IFERROR(晋级赛!AM37/$K31,0)</f>
        <v>0</v>
      </c>
      <c r="T31" s="10">
        <f>IFERROR(晋级赛!BQ37/$K31,0)</f>
        <v>0</v>
      </c>
      <c r="V31" s="10">
        <f>IFERROR(积分赛!BL37/$O31,0)</f>
        <v>0</v>
      </c>
      <c r="W31" s="10">
        <f>IFERROR(积分赛!CJ37/$O31,0)</f>
        <v>0</v>
      </c>
      <c r="X31" s="10">
        <f>IFERROR(晋级赛!AQ37/$O31,0)</f>
        <v>0</v>
      </c>
      <c r="Y31" s="10">
        <f>IFERROR(晋级赛!BU37/$O31,0)</f>
        <v>0</v>
      </c>
      <c r="AD31" s="2">
        <v>27</v>
      </c>
      <c r="AE31" s="2">
        <f t="shared" si="1"/>
        <v>0</v>
      </c>
      <c r="AF31" s="2">
        <f t="shared" si="2"/>
        <v>0</v>
      </c>
      <c r="AG31" s="2">
        <f t="shared" si="3"/>
        <v>0</v>
      </c>
      <c r="AH31" s="2">
        <f t="shared" si="4"/>
        <v>0</v>
      </c>
      <c r="AI31" s="2">
        <f t="shared" si="5"/>
        <v>0</v>
      </c>
    </row>
    <row r="32" spans="10:35" x14ac:dyDescent="0.15">
      <c r="J32" s="2">
        <v>28</v>
      </c>
      <c r="K32" s="2">
        <f>积分赛!BH38+积分赛!CF38+晋级赛!AM38+晋级赛!BQ38</f>
        <v>0</v>
      </c>
      <c r="L32" s="2">
        <f>积分赛!BI38+积分赛!CG38+晋级赛!AN38+晋级赛!BR38</f>
        <v>0</v>
      </c>
      <c r="M32" s="2">
        <f>积分赛!BJ38+积分赛!CH38+晋级赛!AO38+晋级赛!BS38</f>
        <v>0</v>
      </c>
      <c r="N32" s="2">
        <f>积分赛!BK38+积分赛!CI38+晋级赛!AP38+晋级赛!BT38</f>
        <v>0</v>
      </c>
      <c r="O32" s="2">
        <f>积分赛!BL38+积分赛!CJ38+晋级赛!AQ38+晋级赛!BU38</f>
        <v>0</v>
      </c>
      <c r="Q32" s="10">
        <f>IFERROR(积分赛!BH38/$K32,0)</f>
        <v>0</v>
      </c>
      <c r="R32" s="10">
        <f>IFERROR(积分赛!CF38/$K32,0)</f>
        <v>0</v>
      </c>
      <c r="S32" s="10">
        <f>IFERROR(晋级赛!AM38/$K32,0)</f>
        <v>0</v>
      </c>
      <c r="T32" s="10">
        <f>IFERROR(晋级赛!BQ38/$K32,0)</f>
        <v>0</v>
      </c>
      <c r="V32" s="10">
        <f>IFERROR(积分赛!BL38/$O32,0)</f>
        <v>0</v>
      </c>
      <c r="W32" s="10">
        <f>IFERROR(积分赛!CJ38/$O32,0)</f>
        <v>0</v>
      </c>
      <c r="X32" s="10">
        <f>IFERROR(晋级赛!AQ38/$O32,0)</f>
        <v>0</v>
      </c>
      <c r="Y32" s="10">
        <f>IFERROR(晋级赛!BU38/$O32,0)</f>
        <v>0</v>
      </c>
      <c r="AD32" s="2">
        <v>28</v>
      </c>
      <c r="AE32" s="2">
        <f t="shared" si="1"/>
        <v>0</v>
      </c>
      <c r="AF32" s="2">
        <f t="shared" si="2"/>
        <v>0</v>
      </c>
      <c r="AG32" s="2">
        <f t="shared" si="3"/>
        <v>0</v>
      </c>
      <c r="AH32" s="2">
        <f t="shared" si="4"/>
        <v>0</v>
      </c>
      <c r="AI32" s="2">
        <f t="shared" si="5"/>
        <v>0</v>
      </c>
    </row>
    <row r="33" spans="10:35" x14ac:dyDescent="0.15">
      <c r="J33" s="2">
        <v>29</v>
      </c>
      <c r="K33" s="2">
        <f>积分赛!BH39+积分赛!CF39+晋级赛!AM39+晋级赛!BQ39</f>
        <v>0</v>
      </c>
      <c r="L33" s="2">
        <f>积分赛!BI39+积分赛!CG39+晋级赛!AN39+晋级赛!BR39</f>
        <v>0</v>
      </c>
      <c r="M33" s="2">
        <f>积分赛!BJ39+积分赛!CH39+晋级赛!AO39+晋级赛!BS39</f>
        <v>0</v>
      </c>
      <c r="N33" s="2">
        <f>积分赛!BK39+积分赛!CI39+晋级赛!AP39+晋级赛!BT39</f>
        <v>0</v>
      </c>
      <c r="O33" s="2">
        <f>积分赛!BL39+积分赛!CJ39+晋级赛!AQ39+晋级赛!BU39</f>
        <v>0</v>
      </c>
      <c r="Q33" s="10">
        <f>IFERROR(积分赛!BH39/$K33,0)</f>
        <v>0</v>
      </c>
      <c r="R33" s="10">
        <f>IFERROR(积分赛!CF39/$K33,0)</f>
        <v>0</v>
      </c>
      <c r="S33" s="10">
        <f>IFERROR(晋级赛!AM39/$K33,0)</f>
        <v>0</v>
      </c>
      <c r="T33" s="10">
        <f>IFERROR(晋级赛!BQ39/$K33,0)</f>
        <v>0</v>
      </c>
      <c r="V33" s="10">
        <f>IFERROR(积分赛!BL39/$O33,0)</f>
        <v>0</v>
      </c>
      <c r="W33" s="10">
        <f>IFERROR(积分赛!CJ39/$O33,0)</f>
        <v>0</v>
      </c>
      <c r="X33" s="10">
        <f>IFERROR(晋级赛!AQ39/$O33,0)</f>
        <v>0</v>
      </c>
      <c r="Y33" s="10">
        <f>IFERROR(晋级赛!BU39/$O33,0)</f>
        <v>0</v>
      </c>
      <c r="AD33" s="2">
        <v>29</v>
      </c>
      <c r="AE33" s="2">
        <f t="shared" si="1"/>
        <v>0</v>
      </c>
      <c r="AF33" s="2">
        <f t="shared" si="2"/>
        <v>0</v>
      </c>
      <c r="AG33" s="2">
        <f t="shared" si="3"/>
        <v>0</v>
      </c>
      <c r="AH33" s="2">
        <f t="shared" si="4"/>
        <v>0</v>
      </c>
      <c r="AI33" s="2">
        <f t="shared" si="5"/>
        <v>0</v>
      </c>
    </row>
    <row r="34" spans="10:35" x14ac:dyDescent="0.15">
      <c r="J34" s="2">
        <v>30</v>
      </c>
      <c r="K34" s="2">
        <f>积分赛!BH40+积分赛!CF40+晋级赛!AM40+晋级赛!BQ40</f>
        <v>0</v>
      </c>
      <c r="L34" s="2">
        <f>积分赛!BI40+积分赛!CG40+晋级赛!AN40+晋级赛!BR40</f>
        <v>0</v>
      </c>
      <c r="M34" s="2">
        <f>积分赛!BJ40+积分赛!CH40+晋级赛!AO40+晋级赛!BS40</f>
        <v>0</v>
      </c>
      <c r="N34" s="2">
        <f>积分赛!BK40+积分赛!CI40+晋级赛!AP40+晋级赛!BT40</f>
        <v>0</v>
      </c>
      <c r="O34" s="2">
        <f>积分赛!BL40+积分赛!CJ40+晋级赛!AQ40+晋级赛!BU40</f>
        <v>0</v>
      </c>
      <c r="Q34" s="10">
        <f>IFERROR(积分赛!BH40/$K34,0)</f>
        <v>0</v>
      </c>
      <c r="R34" s="10">
        <f>IFERROR(积分赛!CF40/$K34,0)</f>
        <v>0</v>
      </c>
      <c r="S34" s="10">
        <f>IFERROR(晋级赛!AM40/$K34,0)</f>
        <v>0</v>
      </c>
      <c r="T34" s="10">
        <f>IFERROR(晋级赛!BQ40/$K34,0)</f>
        <v>0</v>
      </c>
      <c r="V34" s="10">
        <f>IFERROR(积分赛!BL40/$O34,0)</f>
        <v>0</v>
      </c>
      <c r="W34" s="10">
        <f>IFERROR(积分赛!CJ40/$O34,0)</f>
        <v>0</v>
      </c>
      <c r="X34" s="10">
        <f>IFERROR(晋级赛!AQ40/$O34,0)</f>
        <v>0</v>
      </c>
      <c r="Y34" s="10">
        <f>IFERROR(晋级赛!BU40/$O34,0)</f>
        <v>0</v>
      </c>
      <c r="AD34" s="2">
        <v>30</v>
      </c>
      <c r="AE34" s="2">
        <f t="shared" si="1"/>
        <v>0</v>
      </c>
      <c r="AF34" s="2">
        <f t="shared" si="2"/>
        <v>0</v>
      </c>
      <c r="AG34" s="2">
        <f t="shared" si="3"/>
        <v>0</v>
      </c>
      <c r="AH34" s="2">
        <f t="shared" si="4"/>
        <v>0</v>
      </c>
      <c r="AI34" s="2">
        <f t="shared" si="5"/>
        <v>0</v>
      </c>
    </row>
    <row r="35" spans="10:35" x14ac:dyDescent="0.15">
      <c r="J35" s="2">
        <v>31</v>
      </c>
      <c r="K35" s="2">
        <f>积分赛!BH41+积分赛!CF41+晋级赛!AM41+晋级赛!BQ41</f>
        <v>0</v>
      </c>
      <c r="L35" s="2">
        <f>积分赛!BI41+积分赛!CG41+晋级赛!AN41+晋级赛!BR41</f>
        <v>0</v>
      </c>
      <c r="M35" s="2">
        <f>积分赛!BJ41+积分赛!CH41+晋级赛!AO41+晋级赛!BS41</f>
        <v>0</v>
      </c>
      <c r="N35" s="2">
        <f>积分赛!BK41+积分赛!CI41+晋级赛!AP41+晋级赛!BT41</f>
        <v>0</v>
      </c>
      <c r="O35" s="2">
        <f>积分赛!BL41+积分赛!CJ41+晋级赛!AQ41+晋级赛!BU41</f>
        <v>0</v>
      </c>
      <c r="Q35" s="10">
        <f>IFERROR(积分赛!BH41/$K35,0)</f>
        <v>0</v>
      </c>
      <c r="R35" s="10">
        <f>IFERROR(积分赛!CF41/$K35,0)</f>
        <v>0</v>
      </c>
      <c r="S35" s="10">
        <f>IFERROR(晋级赛!AM41/$K35,0)</f>
        <v>0</v>
      </c>
      <c r="T35" s="10">
        <f>IFERROR(晋级赛!BQ41/$K35,0)</f>
        <v>0</v>
      </c>
      <c r="V35" s="10">
        <f>IFERROR(积分赛!BL41/$O35,0)</f>
        <v>0</v>
      </c>
      <c r="W35" s="10">
        <f>IFERROR(积分赛!CJ41/$O35,0)</f>
        <v>0</v>
      </c>
      <c r="X35" s="10">
        <f>IFERROR(晋级赛!AQ41/$O35,0)</f>
        <v>0</v>
      </c>
      <c r="Y35" s="10">
        <f>IFERROR(晋级赛!BU41/$O35,0)</f>
        <v>0</v>
      </c>
      <c r="AD35" s="2">
        <v>31</v>
      </c>
      <c r="AE35" s="2">
        <f t="shared" si="1"/>
        <v>0</v>
      </c>
      <c r="AF35" s="2">
        <f t="shared" si="2"/>
        <v>0</v>
      </c>
      <c r="AG35" s="2">
        <f t="shared" si="3"/>
        <v>0</v>
      </c>
      <c r="AH35" s="2">
        <f t="shared" si="4"/>
        <v>0</v>
      </c>
      <c r="AI35" s="2">
        <f t="shared" si="5"/>
        <v>0</v>
      </c>
    </row>
    <row r="36" spans="10:35" x14ac:dyDescent="0.15">
      <c r="J36" s="2">
        <v>32</v>
      </c>
      <c r="K36" s="2">
        <f>积分赛!BH42+积分赛!CF42+晋级赛!AM42+晋级赛!BQ42</f>
        <v>0</v>
      </c>
      <c r="L36" s="2">
        <f>积分赛!BI42+积分赛!CG42+晋级赛!AN42+晋级赛!BR42</f>
        <v>0</v>
      </c>
      <c r="M36" s="2">
        <f>积分赛!BJ42+积分赛!CH42+晋级赛!AO42+晋级赛!BS42</f>
        <v>0</v>
      </c>
      <c r="N36" s="2">
        <f>积分赛!BK42+积分赛!CI42+晋级赛!AP42+晋级赛!BT42</f>
        <v>0</v>
      </c>
      <c r="O36" s="2">
        <f>积分赛!BL42+积分赛!CJ42+晋级赛!AQ42+晋级赛!BU42</f>
        <v>0</v>
      </c>
      <c r="Q36" s="10">
        <f>IFERROR(积分赛!BH42/$K36,0)</f>
        <v>0</v>
      </c>
      <c r="R36" s="10">
        <f>IFERROR(积分赛!CF42/$K36,0)</f>
        <v>0</v>
      </c>
      <c r="S36" s="10">
        <f>IFERROR(晋级赛!AM42/$K36,0)</f>
        <v>0</v>
      </c>
      <c r="T36" s="10">
        <f>IFERROR(晋级赛!BQ42/$K36,0)</f>
        <v>0</v>
      </c>
      <c r="V36" s="10">
        <f>IFERROR(积分赛!BL42/$O36,0)</f>
        <v>0</v>
      </c>
      <c r="W36" s="10">
        <f>IFERROR(积分赛!CJ42/$O36,0)</f>
        <v>0</v>
      </c>
      <c r="X36" s="10">
        <f>IFERROR(晋级赛!AQ42/$O36,0)</f>
        <v>0</v>
      </c>
      <c r="Y36" s="10">
        <f>IFERROR(晋级赛!BU42/$O36,0)</f>
        <v>0</v>
      </c>
      <c r="AD36" s="2">
        <v>32</v>
      </c>
      <c r="AE36" s="2">
        <f t="shared" si="1"/>
        <v>0</v>
      </c>
      <c r="AF36" s="2">
        <f t="shared" si="2"/>
        <v>0</v>
      </c>
      <c r="AG36" s="2">
        <f t="shared" si="3"/>
        <v>0</v>
      </c>
      <c r="AH36" s="2">
        <f t="shared" si="4"/>
        <v>0</v>
      </c>
      <c r="AI36" s="2">
        <f t="shared" si="5"/>
        <v>0</v>
      </c>
    </row>
    <row r="37" spans="10:35" x14ac:dyDescent="0.15">
      <c r="J37" s="2">
        <v>33</v>
      </c>
      <c r="K37" s="2">
        <f>积分赛!BH43+积分赛!CF43+晋级赛!AM43+晋级赛!BQ43</f>
        <v>0</v>
      </c>
      <c r="L37" s="2">
        <f>积分赛!BI43+积分赛!CG43+晋级赛!AN43+晋级赛!BR43</f>
        <v>0</v>
      </c>
      <c r="M37" s="2">
        <f>积分赛!BJ43+积分赛!CH43+晋级赛!AO43+晋级赛!BS43</f>
        <v>0</v>
      </c>
      <c r="N37" s="2">
        <f>积分赛!BK43+积分赛!CI43+晋级赛!AP43+晋级赛!BT43</f>
        <v>0</v>
      </c>
      <c r="O37" s="2">
        <f>积分赛!BL43+积分赛!CJ43+晋级赛!AQ43+晋级赛!BU43</f>
        <v>0</v>
      </c>
      <c r="Q37" s="10">
        <f>IFERROR(积分赛!BH43/$K37,0)</f>
        <v>0</v>
      </c>
      <c r="R37" s="10">
        <f>IFERROR(积分赛!CF43/$K37,0)</f>
        <v>0</v>
      </c>
      <c r="S37" s="10">
        <f>IFERROR(晋级赛!AM43/$K37,0)</f>
        <v>0</v>
      </c>
      <c r="T37" s="10">
        <f>IFERROR(晋级赛!BQ43/$K37,0)</f>
        <v>0</v>
      </c>
      <c r="V37" s="10">
        <f>IFERROR(积分赛!BL43/$O37,0)</f>
        <v>0</v>
      </c>
      <c r="W37" s="10">
        <f>IFERROR(积分赛!CJ43/$O37,0)</f>
        <v>0</v>
      </c>
      <c r="X37" s="10">
        <f>IFERROR(晋级赛!AQ43/$O37,0)</f>
        <v>0</v>
      </c>
      <c r="Y37" s="10">
        <f>IFERROR(晋级赛!BU43/$O37,0)</f>
        <v>0</v>
      </c>
      <c r="AD37" s="2">
        <v>33</v>
      </c>
      <c r="AE37" s="2">
        <f t="shared" si="1"/>
        <v>0</v>
      </c>
      <c r="AF37" s="2">
        <f t="shared" si="2"/>
        <v>0</v>
      </c>
      <c r="AG37" s="2">
        <f t="shared" si="3"/>
        <v>0</v>
      </c>
      <c r="AH37" s="2">
        <f t="shared" si="4"/>
        <v>0</v>
      </c>
      <c r="AI37" s="2">
        <f t="shared" si="5"/>
        <v>0</v>
      </c>
    </row>
    <row r="38" spans="10:35" x14ac:dyDescent="0.15">
      <c r="J38" s="2">
        <v>34</v>
      </c>
      <c r="K38" s="2">
        <f>积分赛!BH44+积分赛!CF44+晋级赛!AM44+晋级赛!BQ44</f>
        <v>0</v>
      </c>
      <c r="L38" s="2">
        <f>积分赛!BI44+积分赛!CG44+晋级赛!AN44+晋级赛!BR44</f>
        <v>0</v>
      </c>
      <c r="M38" s="2">
        <f>积分赛!BJ44+积分赛!CH44+晋级赛!AO44+晋级赛!BS44</f>
        <v>0</v>
      </c>
      <c r="N38" s="2">
        <f>积分赛!BK44+积分赛!CI44+晋级赛!AP44+晋级赛!BT44</f>
        <v>0</v>
      </c>
      <c r="O38" s="2">
        <f>积分赛!BL44+积分赛!CJ44+晋级赛!AQ44+晋级赛!BU44</f>
        <v>0</v>
      </c>
      <c r="Q38" s="10">
        <f>IFERROR(积分赛!BH44/$K38,0)</f>
        <v>0</v>
      </c>
      <c r="R38" s="10">
        <f>IFERROR(积分赛!CF44/$K38,0)</f>
        <v>0</v>
      </c>
      <c r="S38" s="10">
        <f>IFERROR(晋级赛!AM44/$K38,0)</f>
        <v>0</v>
      </c>
      <c r="T38" s="10">
        <f>IFERROR(晋级赛!BQ44/$K38,0)</f>
        <v>0</v>
      </c>
      <c r="V38" s="10">
        <f>IFERROR(积分赛!BL44/$O38,0)</f>
        <v>0</v>
      </c>
      <c r="W38" s="10">
        <f>IFERROR(积分赛!CJ44/$O38,0)</f>
        <v>0</v>
      </c>
      <c r="X38" s="10">
        <f>IFERROR(晋级赛!AQ44/$O38,0)</f>
        <v>0</v>
      </c>
      <c r="Y38" s="10">
        <f>IFERROR(晋级赛!BU44/$O38,0)</f>
        <v>0</v>
      </c>
      <c r="AD38" s="2">
        <v>34</v>
      </c>
      <c r="AE38" s="2">
        <f t="shared" si="1"/>
        <v>0</v>
      </c>
      <c r="AF38" s="2">
        <f t="shared" si="2"/>
        <v>0</v>
      </c>
      <c r="AG38" s="2">
        <f t="shared" si="3"/>
        <v>0</v>
      </c>
      <c r="AH38" s="2">
        <f t="shared" si="4"/>
        <v>0</v>
      </c>
      <c r="AI38" s="2">
        <f t="shared" si="5"/>
        <v>0</v>
      </c>
    </row>
    <row r="39" spans="10:35" x14ac:dyDescent="0.15">
      <c r="J39" s="2">
        <v>35</v>
      </c>
      <c r="K39" s="2">
        <f>积分赛!BH45+积分赛!CF45+晋级赛!AM45+晋级赛!BQ45</f>
        <v>0</v>
      </c>
      <c r="L39" s="2">
        <f>积分赛!BI45+积分赛!CG45+晋级赛!AN45+晋级赛!BR45</f>
        <v>0</v>
      </c>
      <c r="M39" s="2">
        <f>积分赛!BJ45+积分赛!CH45+晋级赛!AO45+晋级赛!BS45</f>
        <v>0</v>
      </c>
      <c r="N39" s="2">
        <f>积分赛!BK45+积分赛!CI45+晋级赛!AP45+晋级赛!BT45</f>
        <v>0</v>
      </c>
      <c r="O39" s="2">
        <f>积分赛!BL45+积分赛!CJ45+晋级赛!AQ45+晋级赛!BU45</f>
        <v>0</v>
      </c>
      <c r="Q39" s="10">
        <f>IFERROR(积分赛!BH45/$K39,0)</f>
        <v>0</v>
      </c>
      <c r="R39" s="10">
        <f>IFERROR(积分赛!CF45/$K39,0)</f>
        <v>0</v>
      </c>
      <c r="S39" s="10">
        <f>IFERROR(晋级赛!AM45/$K39,0)</f>
        <v>0</v>
      </c>
      <c r="T39" s="10">
        <f>IFERROR(晋级赛!BQ45/$K39,0)</f>
        <v>0</v>
      </c>
      <c r="V39" s="10">
        <f>IFERROR(积分赛!BL45/$O39,0)</f>
        <v>0</v>
      </c>
      <c r="W39" s="10">
        <f>IFERROR(积分赛!CJ45/$O39,0)</f>
        <v>0</v>
      </c>
      <c r="X39" s="10">
        <f>IFERROR(晋级赛!AQ45/$O39,0)</f>
        <v>0</v>
      </c>
      <c r="Y39" s="10">
        <f>IFERROR(晋级赛!BU45/$O39,0)</f>
        <v>0</v>
      </c>
      <c r="AD39" s="2">
        <v>35</v>
      </c>
      <c r="AE39" s="2">
        <f t="shared" si="1"/>
        <v>0</v>
      </c>
      <c r="AF39" s="2">
        <f t="shared" si="2"/>
        <v>0</v>
      </c>
      <c r="AG39" s="2">
        <f t="shared" si="3"/>
        <v>0</v>
      </c>
      <c r="AH39" s="2">
        <f t="shared" si="4"/>
        <v>0</v>
      </c>
      <c r="AI39" s="2">
        <f t="shared" si="5"/>
        <v>0</v>
      </c>
    </row>
    <row r="40" spans="10:35" x14ac:dyDescent="0.15">
      <c r="J40" s="2">
        <v>36</v>
      </c>
      <c r="K40" s="2">
        <f>积分赛!BH46+积分赛!CF46+晋级赛!AM46+晋级赛!BQ46</f>
        <v>0</v>
      </c>
      <c r="L40" s="2">
        <f>积分赛!BI46+积分赛!CG46+晋级赛!AN46+晋级赛!BR46</f>
        <v>0</v>
      </c>
      <c r="M40" s="2">
        <f>积分赛!BJ46+积分赛!CH46+晋级赛!AO46+晋级赛!BS46</f>
        <v>0</v>
      </c>
      <c r="N40" s="2">
        <f>积分赛!BK46+积分赛!CI46+晋级赛!AP46+晋级赛!BT46</f>
        <v>0</v>
      </c>
      <c r="O40" s="2">
        <f>积分赛!BL46+积分赛!CJ46+晋级赛!AQ46+晋级赛!BU46</f>
        <v>0</v>
      </c>
      <c r="Q40" s="10">
        <f>IFERROR(积分赛!BH46/$K40,0)</f>
        <v>0</v>
      </c>
      <c r="R40" s="10">
        <f>IFERROR(积分赛!CF46/$K40,0)</f>
        <v>0</v>
      </c>
      <c r="S40" s="10">
        <f>IFERROR(晋级赛!AM46/$K40,0)</f>
        <v>0</v>
      </c>
      <c r="T40" s="10">
        <f>IFERROR(晋级赛!BQ46/$K40,0)</f>
        <v>0</v>
      </c>
      <c r="V40" s="10">
        <f>IFERROR(积分赛!BL46/$O40,0)</f>
        <v>0</v>
      </c>
      <c r="W40" s="10">
        <f>IFERROR(积分赛!CJ46/$O40,0)</f>
        <v>0</v>
      </c>
      <c r="X40" s="10">
        <f>IFERROR(晋级赛!AQ46/$O40,0)</f>
        <v>0</v>
      </c>
      <c r="Y40" s="10">
        <f>IFERROR(晋级赛!BU46/$O40,0)</f>
        <v>0</v>
      </c>
      <c r="AD40" s="2">
        <v>36</v>
      </c>
      <c r="AE40" s="2">
        <f t="shared" si="1"/>
        <v>0</v>
      </c>
      <c r="AF40" s="2">
        <f t="shared" si="2"/>
        <v>0</v>
      </c>
      <c r="AG40" s="2">
        <f t="shared" si="3"/>
        <v>0</v>
      </c>
      <c r="AH40" s="2">
        <f t="shared" si="4"/>
        <v>0</v>
      </c>
      <c r="AI40" s="2">
        <f t="shared" si="5"/>
        <v>0</v>
      </c>
    </row>
    <row r="41" spans="10:35" x14ac:dyDescent="0.15">
      <c r="J41" s="2">
        <v>37</v>
      </c>
      <c r="K41" s="2">
        <f>积分赛!BH47+积分赛!CF47+晋级赛!AM47+晋级赛!BQ47</f>
        <v>0</v>
      </c>
      <c r="L41" s="2">
        <f>积分赛!BI47+积分赛!CG47+晋级赛!AN47+晋级赛!BR47</f>
        <v>0</v>
      </c>
      <c r="M41" s="2">
        <f>积分赛!BJ47+积分赛!CH47+晋级赛!AO47+晋级赛!BS47</f>
        <v>0</v>
      </c>
      <c r="N41" s="2">
        <f>积分赛!BK47+积分赛!CI47+晋级赛!AP47+晋级赛!BT47</f>
        <v>0</v>
      </c>
      <c r="O41" s="2">
        <f>积分赛!BL47+积分赛!CJ47+晋级赛!AQ47+晋级赛!BU47</f>
        <v>0</v>
      </c>
      <c r="Q41" s="10">
        <f>IFERROR(积分赛!BH47/$K41,0)</f>
        <v>0</v>
      </c>
      <c r="R41" s="10">
        <f>IFERROR(积分赛!CF47/$K41,0)</f>
        <v>0</v>
      </c>
      <c r="S41" s="10">
        <f>IFERROR(晋级赛!AM47/$K41,0)</f>
        <v>0</v>
      </c>
      <c r="T41" s="10">
        <f>IFERROR(晋级赛!BQ47/$K41,0)</f>
        <v>0</v>
      </c>
      <c r="V41" s="10">
        <f>IFERROR(积分赛!BL47/$O41,0)</f>
        <v>0</v>
      </c>
      <c r="W41" s="10">
        <f>IFERROR(积分赛!CJ47/$O41,0)</f>
        <v>0</v>
      </c>
      <c r="X41" s="10">
        <f>IFERROR(晋级赛!AQ47/$O41,0)</f>
        <v>0</v>
      </c>
      <c r="Y41" s="10">
        <f>IFERROR(晋级赛!BU47/$O41,0)</f>
        <v>0</v>
      </c>
      <c r="AD41" s="2">
        <v>37</v>
      </c>
      <c r="AE41" s="2">
        <f t="shared" si="1"/>
        <v>0</v>
      </c>
      <c r="AF41" s="2">
        <f t="shared" si="2"/>
        <v>0</v>
      </c>
      <c r="AG41" s="2">
        <f t="shared" si="3"/>
        <v>0</v>
      </c>
      <c r="AH41" s="2">
        <f t="shared" si="4"/>
        <v>0</v>
      </c>
      <c r="AI41" s="2">
        <f t="shared" si="5"/>
        <v>0</v>
      </c>
    </row>
    <row r="42" spans="10:35" x14ac:dyDescent="0.15">
      <c r="J42" s="2">
        <v>38</v>
      </c>
      <c r="K42" s="2">
        <f>积分赛!BH48+积分赛!CF48+晋级赛!AM48+晋级赛!BQ48</f>
        <v>0</v>
      </c>
      <c r="L42" s="2">
        <f>积分赛!BI48+积分赛!CG48+晋级赛!AN48+晋级赛!BR48</f>
        <v>0</v>
      </c>
      <c r="M42" s="2">
        <f>积分赛!BJ48+积分赛!CH48+晋级赛!AO48+晋级赛!BS48</f>
        <v>0</v>
      </c>
      <c r="N42" s="2">
        <f>积分赛!BK48+积分赛!CI48+晋级赛!AP48+晋级赛!BT48</f>
        <v>0</v>
      </c>
      <c r="O42" s="2">
        <f>积分赛!BL48+积分赛!CJ48+晋级赛!AQ48+晋级赛!BU48</f>
        <v>0</v>
      </c>
      <c r="Q42" s="10">
        <f>IFERROR(积分赛!BH48/$K42,0)</f>
        <v>0</v>
      </c>
      <c r="R42" s="10">
        <f>IFERROR(积分赛!CF48/$K42,0)</f>
        <v>0</v>
      </c>
      <c r="S42" s="10">
        <f>IFERROR(晋级赛!AM48/$K42,0)</f>
        <v>0</v>
      </c>
      <c r="T42" s="10">
        <f>IFERROR(晋级赛!BQ48/$K42,0)</f>
        <v>0</v>
      </c>
      <c r="V42" s="10">
        <f>IFERROR(积分赛!BL48/$O42,0)</f>
        <v>0</v>
      </c>
      <c r="W42" s="10">
        <f>IFERROR(积分赛!CJ48/$O42,0)</f>
        <v>0</v>
      </c>
      <c r="X42" s="10">
        <f>IFERROR(晋级赛!AQ48/$O42,0)</f>
        <v>0</v>
      </c>
      <c r="Y42" s="10">
        <f>IFERROR(晋级赛!BU48/$O42,0)</f>
        <v>0</v>
      </c>
      <c r="AD42" s="2">
        <v>38</v>
      </c>
      <c r="AE42" s="2">
        <f t="shared" si="1"/>
        <v>0</v>
      </c>
      <c r="AF42" s="2">
        <f t="shared" si="2"/>
        <v>0</v>
      </c>
      <c r="AG42" s="2">
        <f t="shared" si="3"/>
        <v>0</v>
      </c>
      <c r="AH42" s="2">
        <f t="shared" si="4"/>
        <v>0</v>
      </c>
      <c r="AI42" s="2">
        <f t="shared" si="5"/>
        <v>0</v>
      </c>
    </row>
    <row r="43" spans="10:35" x14ac:dyDescent="0.15">
      <c r="J43" s="2">
        <v>39</v>
      </c>
      <c r="K43" s="2">
        <f>积分赛!BH49+积分赛!CF49+晋级赛!AM49+晋级赛!BQ49</f>
        <v>0</v>
      </c>
      <c r="L43" s="2">
        <f>积分赛!BI49+积分赛!CG49+晋级赛!AN49+晋级赛!BR49</f>
        <v>0</v>
      </c>
      <c r="M43" s="2">
        <f>积分赛!BJ49+积分赛!CH49+晋级赛!AO49+晋级赛!BS49</f>
        <v>0</v>
      </c>
      <c r="N43" s="2">
        <f>积分赛!BK49+积分赛!CI49+晋级赛!AP49+晋级赛!BT49</f>
        <v>0</v>
      </c>
      <c r="O43" s="2">
        <f>积分赛!BL49+积分赛!CJ49+晋级赛!AQ49+晋级赛!BU49</f>
        <v>0</v>
      </c>
      <c r="Q43" s="10">
        <f>IFERROR(积分赛!BH49/$K43,0)</f>
        <v>0</v>
      </c>
      <c r="R43" s="10">
        <f>IFERROR(积分赛!CF49/$K43,0)</f>
        <v>0</v>
      </c>
      <c r="S43" s="10">
        <f>IFERROR(晋级赛!AM49/$K43,0)</f>
        <v>0</v>
      </c>
      <c r="T43" s="10">
        <f>IFERROR(晋级赛!BQ49/$K43,0)</f>
        <v>0</v>
      </c>
      <c r="V43" s="10">
        <f>IFERROR(积分赛!BL49/$O43,0)</f>
        <v>0</v>
      </c>
      <c r="W43" s="10">
        <f>IFERROR(积分赛!CJ49/$O43,0)</f>
        <v>0</v>
      </c>
      <c r="X43" s="10">
        <f>IFERROR(晋级赛!AQ49/$O43,0)</f>
        <v>0</v>
      </c>
      <c r="Y43" s="10">
        <f>IFERROR(晋级赛!BU49/$O43,0)</f>
        <v>0</v>
      </c>
      <c r="AD43" s="2">
        <v>39</v>
      </c>
      <c r="AE43" s="2">
        <f t="shared" si="1"/>
        <v>0</v>
      </c>
      <c r="AF43" s="2">
        <f t="shared" si="2"/>
        <v>0</v>
      </c>
      <c r="AG43" s="2">
        <f t="shared" si="3"/>
        <v>0</v>
      </c>
      <c r="AH43" s="2">
        <f t="shared" si="4"/>
        <v>0</v>
      </c>
      <c r="AI43" s="2">
        <f t="shared" si="5"/>
        <v>0</v>
      </c>
    </row>
    <row r="44" spans="10:35" x14ac:dyDescent="0.15">
      <c r="J44" s="2">
        <v>40</v>
      </c>
      <c r="K44" s="2">
        <f>积分赛!BH50+积分赛!CF50+晋级赛!AM50+晋级赛!BQ50</f>
        <v>0</v>
      </c>
      <c r="L44" s="2">
        <f>积分赛!BI50+积分赛!CG50+晋级赛!AN50+晋级赛!BR50</f>
        <v>0</v>
      </c>
      <c r="M44" s="2">
        <f>积分赛!BJ50+积分赛!CH50+晋级赛!AO50+晋级赛!BS50</f>
        <v>0</v>
      </c>
      <c r="N44" s="2">
        <f>积分赛!BK50+积分赛!CI50+晋级赛!AP50+晋级赛!BT50</f>
        <v>0</v>
      </c>
      <c r="O44" s="2">
        <f>积分赛!BL50+积分赛!CJ50+晋级赛!AQ50+晋级赛!BU50</f>
        <v>0</v>
      </c>
      <c r="Q44" s="10">
        <f>IFERROR(积分赛!BH50/$K44,0)</f>
        <v>0</v>
      </c>
      <c r="R44" s="10">
        <f>IFERROR(积分赛!CF50/$K44,0)</f>
        <v>0</v>
      </c>
      <c r="S44" s="10">
        <f>IFERROR(晋级赛!AM50/$K44,0)</f>
        <v>0</v>
      </c>
      <c r="T44" s="10">
        <f>IFERROR(晋级赛!BQ50/$K44,0)</f>
        <v>0</v>
      </c>
      <c r="V44" s="10">
        <f>IFERROR(积分赛!BL50/$O44,0)</f>
        <v>0</v>
      </c>
      <c r="W44" s="10">
        <f>IFERROR(积分赛!CJ50/$O44,0)</f>
        <v>0</v>
      </c>
      <c r="X44" s="10">
        <f>IFERROR(晋级赛!AQ50/$O44,0)</f>
        <v>0</v>
      </c>
      <c r="Y44" s="10">
        <f>IFERROR(晋级赛!BU50/$O44,0)</f>
        <v>0</v>
      </c>
      <c r="AD44" s="2">
        <v>40</v>
      </c>
      <c r="AE44" s="2">
        <f t="shared" si="1"/>
        <v>0</v>
      </c>
      <c r="AF44" s="2">
        <f t="shared" si="2"/>
        <v>0</v>
      </c>
      <c r="AG44" s="2">
        <f t="shared" si="3"/>
        <v>0</v>
      </c>
      <c r="AH44" s="2">
        <f t="shared" si="4"/>
        <v>0</v>
      </c>
      <c r="AI44" s="2">
        <f t="shared" si="5"/>
        <v>0</v>
      </c>
    </row>
    <row r="45" spans="10:35" x14ac:dyDescent="0.15">
      <c r="J45" s="2">
        <v>41</v>
      </c>
      <c r="K45" s="2">
        <f>积分赛!BH51+积分赛!CF51+晋级赛!AM51+晋级赛!BQ51</f>
        <v>0</v>
      </c>
      <c r="L45" s="2">
        <f>积分赛!BI51+积分赛!CG51+晋级赛!AN51+晋级赛!BR51</f>
        <v>0</v>
      </c>
      <c r="M45" s="2">
        <f>积分赛!BJ51+积分赛!CH51+晋级赛!AO51+晋级赛!BS51</f>
        <v>0</v>
      </c>
      <c r="N45" s="2">
        <f>积分赛!BK51+积分赛!CI51+晋级赛!AP51+晋级赛!BT51</f>
        <v>0</v>
      </c>
      <c r="O45" s="2">
        <f>积分赛!BL51+积分赛!CJ51+晋级赛!AQ51+晋级赛!BU51</f>
        <v>0</v>
      </c>
      <c r="Q45" s="10">
        <f>IFERROR(积分赛!BH51/$K45,0)</f>
        <v>0</v>
      </c>
      <c r="R45" s="10">
        <f>IFERROR(积分赛!CF51/$K45,0)</f>
        <v>0</v>
      </c>
      <c r="S45" s="10">
        <f>IFERROR(晋级赛!AM51/$K45,0)</f>
        <v>0</v>
      </c>
      <c r="T45" s="10">
        <f>IFERROR(晋级赛!BQ51/$K45,0)</f>
        <v>0</v>
      </c>
      <c r="V45" s="10">
        <f>IFERROR(积分赛!BL51/$O45,0)</f>
        <v>0</v>
      </c>
      <c r="W45" s="10">
        <f>IFERROR(积分赛!CJ51/$O45,0)</f>
        <v>0</v>
      </c>
      <c r="X45" s="10">
        <f>IFERROR(晋级赛!AQ51/$O45,0)</f>
        <v>0</v>
      </c>
      <c r="Y45" s="10">
        <f>IFERROR(晋级赛!BU51/$O45,0)</f>
        <v>0</v>
      </c>
      <c r="AD45" s="2">
        <v>41</v>
      </c>
      <c r="AE45" s="2">
        <f t="shared" si="1"/>
        <v>0</v>
      </c>
      <c r="AF45" s="2">
        <f t="shared" si="2"/>
        <v>0</v>
      </c>
      <c r="AG45" s="2">
        <f t="shared" si="3"/>
        <v>0</v>
      </c>
      <c r="AH45" s="2">
        <f t="shared" si="4"/>
        <v>0</v>
      </c>
      <c r="AI45" s="2">
        <f t="shared" si="5"/>
        <v>0</v>
      </c>
    </row>
    <row r="46" spans="10:35" x14ac:dyDescent="0.15">
      <c r="J46" s="2">
        <v>42</v>
      </c>
      <c r="K46" s="2">
        <f>积分赛!BH52+积分赛!CF52+晋级赛!AM52+晋级赛!BQ52</f>
        <v>0</v>
      </c>
      <c r="L46" s="2">
        <f>积分赛!BI52+积分赛!CG52+晋级赛!AN52+晋级赛!BR52</f>
        <v>0</v>
      </c>
      <c r="M46" s="2">
        <f>积分赛!BJ52+积分赛!CH52+晋级赛!AO52+晋级赛!BS52</f>
        <v>0</v>
      </c>
      <c r="N46" s="2">
        <f>积分赛!BK52+积分赛!CI52+晋级赛!AP52+晋级赛!BT52</f>
        <v>0</v>
      </c>
      <c r="O46" s="2">
        <f>积分赛!BL52+积分赛!CJ52+晋级赛!AQ52+晋级赛!BU52</f>
        <v>0</v>
      </c>
      <c r="Q46" s="10">
        <f>IFERROR(积分赛!BH52/$K46,0)</f>
        <v>0</v>
      </c>
      <c r="R46" s="10">
        <f>IFERROR(积分赛!CF52/$K46,0)</f>
        <v>0</v>
      </c>
      <c r="S46" s="10">
        <f>IFERROR(晋级赛!AM52/$K46,0)</f>
        <v>0</v>
      </c>
      <c r="T46" s="10">
        <f>IFERROR(晋级赛!BQ52/$K46,0)</f>
        <v>0</v>
      </c>
      <c r="V46" s="10">
        <f>IFERROR(积分赛!BL52/$O46,0)</f>
        <v>0</v>
      </c>
      <c r="W46" s="10">
        <f>IFERROR(积分赛!CJ52/$O46,0)</f>
        <v>0</v>
      </c>
      <c r="X46" s="10">
        <f>IFERROR(晋级赛!AQ52/$O46,0)</f>
        <v>0</v>
      </c>
      <c r="Y46" s="10">
        <f>IFERROR(晋级赛!BU52/$O46,0)</f>
        <v>0</v>
      </c>
      <c r="AD46" s="2">
        <v>42</v>
      </c>
      <c r="AE46" s="2">
        <f t="shared" si="1"/>
        <v>0</v>
      </c>
      <c r="AF46" s="2">
        <f t="shared" si="2"/>
        <v>0</v>
      </c>
      <c r="AG46" s="2">
        <f t="shared" si="3"/>
        <v>0</v>
      </c>
      <c r="AH46" s="2">
        <f t="shared" si="4"/>
        <v>0</v>
      </c>
      <c r="AI46" s="2">
        <f t="shared" si="5"/>
        <v>0</v>
      </c>
    </row>
    <row r="47" spans="10:35" x14ac:dyDescent="0.15">
      <c r="J47" s="2">
        <v>43</v>
      </c>
      <c r="K47" s="2">
        <f>积分赛!BH53+积分赛!CF53+晋级赛!AM53+晋级赛!BQ53</f>
        <v>0</v>
      </c>
      <c r="L47" s="2">
        <f>积分赛!BI53+积分赛!CG53+晋级赛!AN53+晋级赛!BR53</f>
        <v>0</v>
      </c>
      <c r="M47" s="2">
        <f>积分赛!BJ53+积分赛!CH53+晋级赛!AO53+晋级赛!BS53</f>
        <v>0</v>
      </c>
      <c r="N47" s="2">
        <f>积分赛!BK53+积分赛!CI53+晋级赛!AP53+晋级赛!BT53</f>
        <v>0</v>
      </c>
      <c r="O47" s="2">
        <f>积分赛!BL53+积分赛!CJ53+晋级赛!AQ53+晋级赛!BU53</f>
        <v>0</v>
      </c>
      <c r="Q47" s="10">
        <f>IFERROR(积分赛!BH53/$K47,0)</f>
        <v>0</v>
      </c>
      <c r="R47" s="10">
        <f>IFERROR(积分赛!CF53/$K47,0)</f>
        <v>0</v>
      </c>
      <c r="S47" s="10">
        <f>IFERROR(晋级赛!AM53/$K47,0)</f>
        <v>0</v>
      </c>
      <c r="T47" s="10">
        <f>IFERROR(晋级赛!BQ53/$K47,0)</f>
        <v>0</v>
      </c>
      <c r="V47" s="10">
        <f>IFERROR(积分赛!BL53/$O47,0)</f>
        <v>0</v>
      </c>
      <c r="W47" s="10">
        <f>IFERROR(积分赛!CJ53/$O47,0)</f>
        <v>0</v>
      </c>
      <c r="X47" s="10">
        <f>IFERROR(晋级赛!AQ53/$O47,0)</f>
        <v>0</v>
      </c>
      <c r="Y47" s="10">
        <f>IFERROR(晋级赛!BU53/$O47,0)</f>
        <v>0</v>
      </c>
      <c r="AD47" s="2">
        <v>43</v>
      </c>
      <c r="AE47" s="2">
        <f t="shared" si="1"/>
        <v>0</v>
      </c>
      <c r="AF47" s="2">
        <f t="shared" si="2"/>
        <v>0</v>
      </c>
      <c r="AG47" s="2">
        <f t="shared" si="3"/>
        <v>0</v>
      </c>
      <c r="AH47" s="2">
        <f t="shared" si="4"/>
        <v>0</v>
      </c>
      <c r="AI47" s="2">
        <f t="shared" si="5"/>
        <v>0</v>
      </c>
    </row>
    <row r="48" spans="10:35" x14ac:dyDescent="0.15">
      <c r="J48" s="2">
        <v>44</v>
      </c>
      <c r="K48" s="2">
        <f>积分赛!BH54+积分赛!CF54+晋级赛!AM54+晋级赛!BQ54</f>
        <v>0</v>
      </c>
      <c r="L48" s="2">
        <f>积分赛!BI54+积分赛!CG54+晋级赛!AN54+晋级赛!BR54</f>
        <v>0</v>
      </c>
      <c r="M48" s="2">
        <f>积分赛!BJ54+积分赛!CH54+晋级赛!AO54+晋级赛!BS54</f>
        <v>0</v>
      </c>
      <c r="N48" s="2">
        <f>积分赛!BK54+积分赛!CI54+晋级赛!AP54+晋级赛!BT54</f>
        <v>0</v>
      </c>
      <c r="O48" s="2">
        <f>积分赛!BL54+积分赛!CJ54+晋级赛!AQ54+晋级赛!BU54</f>
        <v>0</v>
      </c>
      <c r="Q48" s="10">
        <f>IFERROR(积分赛!BH54/$K48,0)</f>
        <v>0</v>
      </c>
      <c r="R48" s="10">
        <f>IFERROR(积分赛!CF54/$K48,0)</f>
        <v>0</v>
      </c>
      <c r="S48" s="10">
        <f>IFERROR(晋级赛!AM54/$K48,0)</f>
        <v>0</v>
      </c>
      <c r="T48" s="10">
        <f>IFERROR(晋级赛!BQ54/$K48,0)</f>
        <v>0</v>
      </c>
      <c r="V48" s="10">
        <f>IFERROR(积分赛!BL54/$O48,0)</f>
        <v>0</v>
      </c>
      <c r="W48" s="10">
        <f>IFERROR(积分赛!CJ54/$O48,0)</f>
        <v>0</v>
      </c>
      <c r="X48" s="10">
        <f>IFERROR(晋级赛!AQ54/$O48,0)</f>
        <v>0</v>
      </c>
      <c r="Y48" s="10">
        <f>IFERROR(晋级赛!BU54/$O48,0)</f>
        <v>0</v>
      </c>
      <c r="AD48" s="2">
        <v>44</v>
      </c>
      <c r="AE48" s="2">
        <f t="shared" si="1"/>
        <v>0</v>
      </c>
      <c r="AF48" s="2">
        <f t="shared" si="2"/>
        <v>0</v>
      </c>
      <c r="AG48" s="2">
        <f t="shared" si="3"/>
        <v>0</v>
      </c>
      <c r="AH48" s="2">
        <f t="shared" si="4"/>
        <v>0</v>
      </c>
      <c r="AI48" s="2">
        <f t="shared" si="5"/>
        <v>0</v>
      </c>
    </row>
    <row r="49" spans="10:35" x14ac:dyDescent="0.15">
      <c r="J49" s="2">
        <v>45</v>
      </c>
      <c r="K49" s="2">
        <f>积分赛!BH55+积分赛!CF55+晋级赛!AM55+晋级赛!BQ55</f>
        <v>0</v>
      </c>
      <c r="L49" s="2">
        <f>积分赛!BI55+积分赛!CG55+晋级赛!AN55+晋级赛!BR55</f>
        <v>0</v>
      </c>
      <c r="M49" s="2">
        <f>积分赛!BJ55+积分赛!CH55+晋级赛!AO55+晋级赛!BS55</f>
        <v>0</v>
      </c>
      <c r="N49" s="2">
        <f>积分赛!BK55+积分赛!CI55+晋级赛!AP55+晋级赛!BT55</f>
        <v>0</v>
      </c>
      <c r="O49" s="2">
        <f>积分赛!BL55+积分赛!CJ55+晋级赛!AQ55+晋级赛!BU55</f>
        <v>0</v>
      </c>
      <c r="Q49" s="10">
        <f>IFERROR(积分赛!BH55/$K49,0)</f>
        <v>0</v>
      </c>
      <c r="R49" s="10">
        <f>IFERROR(积分赛!CF55/$K49,0)</f>
        <v>0</v>
      </c>
      <c r="S49" s="10">
        <f>IFERROR(晋级赛!AM55/$K49,0)</f>
        <v>0</v>
      </c>
      <c r="T49" s="10">
        <f>IFERROR(晋级赛!BQ55/$K49,0)</f>
        <v>0</v>
      </c>
      <c r="V49" s="10">
        <f>IFERROR(积分赛!BL55/$O49,0)</f>
        <v>0</v>
      </c>
      <c r="W49" s="10">
        <f>IFERROR(积分赛!CJ55/$O49,0)</f>
        <v>0</v>
      </c>
      <c r="X49" s="10">
        <f>IFERROR(晋级赛!AQ55/$O49,0)</f>
        <v>0</v>
      </c>
      <c r="Y49" s="10">
        <f>IFERROR(晋级赛!BU55/$O49,0)</f>
        <v>0</v>
      </c>
      <c r="AD49" s="2">
        <v>45</v>
      </c>
      <c r="AE49" s="2">
        <f t="shared" si="1"/>
        <v>0</v>
      </c>
      <c r="AF49" s="2">
        <f t="shared" si="2"/>
        <v>0</v>
      </c>
      <c r="AG49" s="2">
        <f t="shared" si="3"/>
        <v>0</v>
      </c>
      <c r="AH49" s="2">
        <f t="shared" si="4"/>
        <v>0</v>
      </c>
      <c r="AI49" s="2">
        <f t="shared" si="5"/>
        <v>0</v>
      </c>
    </row>
    <row r="50" spans="10:35" x14ac:dyDescent="0.15">
      <c r="J50" s="2">
        <v>46</v>
      </c>
      <c r="K50" s="2">
        <f>积分赛!BH56+积分赛!CF56+晋级赛!AM56+晋级赛!BQ56</f>
        <v>0</v>
      </c>
      <c r="L50" s="2">
        <f>积分赛!BI56+积分赛!CG56+晋级赛!AN56+晋级赛!BR56</f>
        <v>0</v>
      </c>
      <c r="M50" s="2">
        <f>积分赛!BJ56+积分赛!CH56+晋级赛!AO56+晋级赛!BS56</f>
        <v>0</v>
      </c>
      <c r="N50" s="2">
        <f>积分赛!BK56+积分赛!CI56+晋级赛!AP56+晋级赛!BT56</f>
        <v>0</v>
      </c>
      <c r="O50" s="2">
        <f>积分赛!BL56+积分赛!CJ56+晋级赛!AQ56+晋级赛!BU56</f>
        <v>0</v>
      </c>
      <c r="Q50" s="10">
        <f>IFERROR(积分赛!BH56/$K50,0)</f>
        <v>0</v>
      </c>
      <c r="R50" s="10">
        <f>IFERROR(积分赛!CF56/$K50,0)</f>
        <v>0</v>
      </c>
      <c r="S50" s="10">
        <f>IFERROR(晋级赛!AM56/$K50,0)</f>
        <v>0</v>
      </c>
      <c r="T50" s="10">
        <f>IFERROR(晋级赛!BQ56/$K50,0)</f>
        <v>0</v>
      </c>
      <c r="V50" s="10">
        <f>IFERROR(积分赛!BL56/$O50,0)</f>
        <v>0</v>
      </c>
      <c r="W50" s="10">
        <f>IFERROR(积分赛!CJ56/$O50,0)</f>
        <v>0</v>
      </c>
      <c r="X50" s="10">
        <f>IFERROR(晋级赛!AQ56/$O50,0)</f>
        <v>0</v>
      </c>
      <c r="Y50" s="10">
        <f>IFERROR(晋级赛!BU56/$O50,0)</f>
        <v>0</v>
      </c>
      <c r="AD50" s="2">
        <v>46</v>
      </c>
      <c r="AE50" s="2">
        <f t="shared" si="1"/>
        <v>0</v>
      </c>
      <c r="AF50" s="2">
        <f t="shared" si="2"/>
        <v>0</v>
      </c>
      <c r="AG50" s="2">
        <f t="shared" si="3"/>
        <v>0</v>
      </c>
      <c r="AH50" s="2">
        <f t="shared" si="4"/>
        <v>0</v>
      </c>
      <c r="AI50" s="2">
        <f t="shared" si="5"/>
        <v>0</v>
      </c>
    </row>
    <row r="51" spans="10:35" x14ac:dyDescent="0.15">
      <c r="J51" s="2">
        <v>47</v>
      </c>
      <c r="K51" s="2">
        <f>积分赛!BH57+积分赛!CF57+晋级赛!AM57+晋级赛!BQ57</f>
        <v>0</v>
      </c>
      <c r="L51" s="2">
        <f>积分赛!BI57+积分赛!CG57+晋级赛!AN57+晋级赛!BR57</f>
        <v>0</v>
      </c>
      <c r="M51" s="2">
        <f>积分赛!BJ57+积分赛!CH57+晋级赛!AO57+晋级赛!BS57</f>
        <v>0</v>
      </c>
      <c r="N51" s="2">
        <f>积分赛!BK57+积分赛!CI57+晋级赛!AP57+晋级赛!BT57</f>
        <v>0</v>
      </c>
      <c r="O51" s="2">
        <f>积分赛!BL57+积分赛!CJ57+晋级赛!AQ57+晋级赛!BU57</f>
        <v>0</v>
      </c>
      <c r="Q51" s="10">
        <f>IFERROR(积分赛!BH57/$K51,0)</f>
        <v>0</v>
      </c>
      <c r="R51" s="10">
        <f>IFERROR(积分赛!CF57/$K51,0)</f>
        <v>0</v>
      </c>
      <c r="S51" s="10">
        <f>IFERROR(晋级赛!AM57/$K51,0)</f>
        <v>0</v>
      </c>
      <c r="T51" s="10">
        <f>IFERROR(晋级赛!BQ57/$K51,0)</f>
        <v>0</v>
      </c>
      <c r="V51" s="10">
        <f>IFERROR(积分赛!BL57/$O51,0)</f>
        <v>0</v>
      </c>
      <c r="W51" s="10">
        <f>IFERROR(积分赛!CJ57/$O51,0)</f>
        <v>0</v>
      </c>
      <c r="X51" s="10">
        <f>IFERROR(晋级赛!AQ57/$O51,0)</f>
        <v>0</v>
      </c>
      <c r="Y51" s="10">
        <f>IFERROR(晋级赛!BU57/$O51,0)</f>
        <v>0</v>
      </c>
      <c r="AD51" s="2">
        <v>47</v>
      </c>
      <c r="AE51" s="2">
        <f t="shared" si="1"/>
        <v>0</v>
      </c>
      <c r="AF51" s="2">
        <f t="shared" si="2"/>
        <v>0</v>
      </c>
      <c r="AG51" s="2">
        <f t="shared" si="3"/>
        <v>0</v>
      </c>
      <c r="AH51" s="2">
        <f t="shared" si="4"/>
        <v>0</v>
      </c>
      <c r="AI51" s="2">
        <f t="shared" si="5"/>
        <v>0</v>
      </c>
    </row>
    <row r="52" spans="10:35" x14ac:dyDescent="0.15">
      <c r="J52" s="2">
        <v>48</v>
      </c>
      <c r="K52" s="2">
        <f>积分赛!BH58+积分赛!CF58+晋级赛!AM58+晋级赛!BQ58</f>
        <v>0</v>
      </c>
      <c r="L52" s="2">
        <f>积分赛!BI58+积分赛!CG58+晋级赛!AN58+晋级赛!BR58</f>
        <v>0</v>
      </c>
      <c r="M52" s="2">
        <f>积分赛!BJ58+积分赛!CH58+晋级赛!AO58+晋级赛!BS58</f>
        <v>0</v>
      </c>
      <c r="N52" s="2">
        <f>积分赛!BK58+积分赛!CI58+晋级赛!AP58+晋级赛!BT58</f>
        <v>0</v>
      </c>
      <c r="O52" s="2">
        <f>积分赛!BL58+积分赛!CJ58+晋级赛!AQ58+晋级赛!BU58</f>
        <v>0</v>
      </c>
      <c r="Q52" s="10">
        <f>IFERROR(积分赛!BH58/$K52,0)</f>
        <v>0</v>
      </c>
      <c r="R52" s="10">
        <f>IFERROR(积分赛!CF58/$K52,0)</f>
        <v>0</v>
      </c>
      <c r="S52" s="10">
        <f>IFERROR(晋级赛!AM58/$K52,0)</f>
        <v>0</v>
      </c>
      <c r="T52" s="10">
        <f>IFERROR(晋级赛!BQ58/$K52,0)</f>
        <v>0</v>
      </c>
      <c r="V52" s="10">
        <f>IFERROR(积分赛!BL58/$O52,0)</f>
        <v>0</v>
      </c>
      <c r="W52" s="10">
        <f>IFERROR(积分赛!CJ58/$O52,0)</f>
        <v>0</v>
      </c>
      <c r="X52" s="10">
        <f>IFERROR(晋级赛!AQ58/$O52,0)</f>
        <v>0</v>
      </c>
      <c r="Y52" s="10">
        <f>IFERROR(晋级赛!BU58/$O52,0)</f>
        <v>0</v>
      </c>
      <c r="AD52" s="2">
        <v>48</v>
      </c>
      <c r="AE52" s="2">
        <f t="shared" si="1"/>
        <v>0</v>
      </c>
      <c r="AF52" s="2">
        <f t="shared" si="2"/>
        <v>0</v>
      </c>
      <c r="AG52" s="2">
        <f t="shared" si="3"/>
        <v>0</v>
      </c>
      <c r="AH52" s="2">
        <f t="shared" si="4"/>
        <v>0</v>
      </c>
      <c r="AI52" s="2">
        <f t="shared" si="5"/>
        <v>0</v>
      </c>
    </row>
    <row r="53" spans="10:35" x14ac:dyDescent="0.15">
      <c r="J53" s="2">
        <v>49</v>
      </c>
      <c r="K53" s="2">
        <f>积分赛!BH59+积分赛!CF59+晋级赛!AM59+晋级赛!BQ59</f>
        <v>0</v>
      </c>
      <c r="L53" s="2">
        <f>积分赛!BI59+积分赛!CG59+晋级赛!AN59+晋级赛!BR59</f>
        <v>0</v>
      </c>
      <c r="M53" s="2">
        <f>积分赛!BJ59+积分赛!CH59+晋级赛!AO59+晋级赛!BS59</f>
        <v>0</v>
      </c>
      <c r="N53" s="2">
        <f>积分赛!BK59+积分赛!CI59+晋级赛!AP59+晋级赛!BT59</f>
        <v>0</v>
      </c>
      <c r="O53" s="2">
        <f>积分赛!BL59+积分赛!CJ59+晋级赛!AQ59+晋级赛!BU59</f>
        <v>0</v>
      </c>
      <c r="Q53" s="10">
        <f>IFERROR(积分赛!BH59/$K53,0)</f>
        <v>0</v>
      </c>
      <c r="R53" s="10">
        <f>IFERROR(积分赛!CF59/$K53,0)</f>
        <v>0</v>
      </c>
      <c r="S53" s="10">
        <f>IFERROR(晋级赛!AM59/$K53,0)</f>
        <v>0</v>
      </c>
      <c r="T53" s="10">
        <f>IFERROR(晋级赛!BQ59/$K53,0)</f>
        <v>0</v>
      </c>
      <c r="V53" s="10">
        <f>IFERROR(积分赛!BL59/$O53,0)</f>
        <v>0</v>
      </c>
      <c r="W53" s="10">
        <f>IFERROR(积分赛!CJ59/$O53,0)</f>
        <v>0</v>
      </c>
      <c r="X53" s="10">
        <f>IFERROR(晋级赛!AQ59/$O53,0)</f>
        <v>0</v>
      </c>
      <c r="Y53" s="10">
        <f>IFERROR(晋级赛!BU59/$O53,0)</f>
        <v>0</v>
      </c>
      <c r="AD53" s="2">
        <v>49</v>
      </c>
      <c r="AE53" s="2">
        <f t="shared" si="1"/>
        <v>0</v>
      </c>
      <c r="AF53" s="2">
        <f t="shared" si="2"/>
        <v>0</v>
      </c>
      <c r="AG53" s="2">
        <f t="shared" si="3"/>
        <v>0</v>
      </c>
      <c r="AH53" s="2">
        <f t="shared" si="4"/>
        <v>0</v>
      </c>
      <c r="AI53" s="2">
        <f t="shared" si="5"/>
        <v>0</v>
      </c>
    </row>
    <row r="54" spans="10:35" x14ac:dyDescent="0.15">
      <c r="J54" s="2">
        <v>50</v>
      </c>
      <c r="K54" s="2">
        <f>积分赛!BH60+积分赛!CF60+晋级赛!AM60+晋级赛!BQ60</f>
        <v>17066.666666666664</v>
      </c>
      <c r="L54" s="2">
        <f>积分赛!BI60+积分赛!CG60+晋级赛!AN60+晋级赛!BR60</f>
        <v>0</v>
      </c>
      <c r="M54" s="2">
        <f>积分赛!BJ60+积分赛!CH60+晋级赛!AO60+晋级赛!BS60</f>
        <v>0</v>
      </c>
      <c r="N54" s="2">
        <f>积分赛!BK60+积分赛!CI60+晋级赛!AP60+晋级赛!BT60</f>
        <v>0</v>
      </c>
      <c r="O54" s="2">
        <f>积分赛!BL60+积分赛!CJ60+晋级赛!AQ60+晋级赛!BU60</f>
        <v>0</v>
      </c>
      <c r="Q54" s="10">
        <f>IFERROR(积分赛!BH60/$K54,0)</f>
        <v>0.76562500000000011</v>
      </c>
      <c r="R54" s="10">
        <f>IFERROR(积分赛!CF60/$K54,0)</f>
        <v>3.90625E-2</v>
      </c>
      <c r="S54" s="10">
        <f>IFERROR(晋级赛!AM60/$K54,0)</f>
        <v>0</v>
      </c>
      <c r="T54" s="10">
        <f>IFERROR(晋级赛!BQ60/$K54,0)</f>
        <v>0.19531250000000003</v>
      </c>
      <c r="V54" s="10">
        <f>IFERROR(积分赛!BL60/$O54,0)</f>
        <v>0</v>
      </c>
      <c r="W54" s="10">
        <f>IFERROR(积分赛!CJ60/$O54,0)</f>
        <v>0</v>
      </c>
      <c r="X54" s="10">
        <f>IFERROR(晋级赛!AQ60/$O54,0)</f>
        <v>0</v>
      </c>
      <c r="Y54" s="10">
        <f>IFERROR(晋级赛!BU60/$O54,0)</f>
        <v>0</v>
      </c>
      <c r="AD54" s="2">
        <v>50</v>
      </c>
      <c r="AE54" s="2">
        <f t="shared" si="1"/>
        <v>170.66666666666666</v>
      </c>
      <c r="AF54" s="2">
        <f t="shared" si="2"/>
        <v>0</v>
      </c>
      <c r="AG54" s="2">
        <f t="shared" si="3"/>
        <v>0</v>
      </c>
      <c r="AH54" s="2">
        <f t="shared" si="4"/>
        <v>0</v>
      </c>
      <c r="AI54" s="2">
        <f t="shared" si="5"/>
        <v>0</v>
      </c>
    </row>
    <row r="55" spans="10:35" x14ac:dyDescent="0.15">
      <c r="J55" s="2">
        <v>51</v>
      </c>
      <c r="K55" s="2">
        <f>积分赛!BH61+积分赛!CF61+晋级赛!AM61+晋级赛!BQ61</f>
        <v>56264.547006487308</v>
      </c>
      <c r="L55" s="2">
        <f>积分赛!BI61+积分赛!CG61+晋级赛!AN61+晋级赛!BR61</f>
        <v>0</v>
      </c>
      <c r="M55" s="2">
        <f>积分赛!BJ61+积分赛!CH61+晋级赛!AO61+晋级赛!BS61</f>
        <v>0</v>
      </c>
      <c r="N55" s="2">
        <f>积分赛!BK61+积分赛!CI61+晋级赛!AP61+晋级赛!BT61</f>
        <v>0</v>
      </c>
      <c r="O55" s="2">
        <f>积分赛!BL61+积分赛!CJ61+晋级赛!AQ61+晋级赛!BU61</f>
        <v>0</v>
      </c>
      <c r="Q55" s="10">
        <f>IFERROR(积分赛!BH61/$K55,0)</f>
        <v>0.765625</v>
      </c>
      <c r="R55" s="10">
        <f>IFERROR(积分赛!CF61/$K55,0)</f>
        <v>3.90625E-2</v>
      </c>
      <c r="S55" s="10">
        <f>IFERROR(晋级赛!AM61/$K55,0)</f>
        <v>0</v>
      </c>
      <c r="T55" s="10">
        <f>IFERROR(晋级赛!BQ61/$K55,0)</f>
        <v>0.1953125</v>
      </c>
      <c r="V55" s="10">
        <f>IFERROR(积分赛!BL61/$O55,0)</f>
        <v>0</v>
      </c>
      <c r="W55" s="10">
        <f>IFERROR(积分赛!CJ61/$O55,0)</f>
        <v>0</v>
      </c>
      <c r="X55" s="10">
        <f>IFERROR(晋级赛!AQ61/$O55,0)</f>
        <v>0</v>
      </c>
      <c r="Y55" s="10">
        <f>IFERROR(晋级赛!BU61/$O55,0)</f>
        <v>0</v>
      </c>
      <c r="AD55" s="2">
        <v>51</v>
      </c>
      <c r="AE55" s="2">
        <f t="shared" si="1"/>
        <v>562.64547006487305</v>
      </c>
      <c r="AF55" s="2">
        <f t="shared" si="2"/>
        <v>0</v>
      </c>
      <c r="AG55" s="2">
        <f t="shared" si="3"/>
        <v>0</v>
      </c>
      <c r="AH55" s="2">
        <f t="shared" si="4"/>
        <v>0</v>
      </c>
      <c r="AI55" s="2">
        <f t="shared" si="5"/>
        <v>0</v>
      </c>
    </row>
    <row r="56" spans="10:35" x14ac:dyDescent="0.15">
      <c r="J56" s="2">
        <v>52</v>
      </c>
      <c r="K56" s="2">
        <f>积分赛!BH62+积分赛!CF62+晋级赛!AM62+晋级赛!BQ62</f>
        <v>98275.794942380788</v>
      </c>
      <c r="L56" s="2">
        <f>积分赛!BI62+积分赛!CG62+晋级赛!AN62+晋级赛!BR62</f>
        <v>25875.655570493502</v>
      </c>
      <c r="M56" s="2">
        <f>积分赛!BJ62+积分赛!CH62+晋级赛!AO62+晋级赛!BS62</f>
        <v>0</v>
      </c>
      <c r="N56" s="2">
        <f>积分赛!BK62+积分赛!CI62+晋级赛!AP62+晋级赛!BT62</f>
        <v>0</v>
      </c>
      <c r="O56" s="2">
        <f>积分赛!BL62+积分赛!CJ62+晋级赛!AQ62+晋级赛!BU62</f>
        <v>0</v>
      </c>
      <c r="Q56" s="10">
        <f>IFERROR(积分赛!BH62/$K56,0)</f>
        <v>0.765625</v>
      </c>
      <c r="R56" s="10">
        <f>IFERROR(积分赛!CF62/$K56,0)</f>
        <v>3.9062499999999993E-2</v>
      </c>
      <c r="S56" s="10">
        <f>IFERROR(晋级赛!AM62/$K56,0)</f>
        <v>0</v>
      </c>
      <c r="T56" s="10">
        <f>IFERROR(晋级赛!BQ62/$K56,0)</f>
        <v>0.19531249999999997</v>
      </c>
      <c r="V56" s="10">
        <f>IFERROR(积分赛!BL62/$O56,0)</f>
        <v>0</v>
      </c>
      <c r="W56" s="10">
        <f>IFERROR(积分赛!CJ62/$O56,0)</f>
        <v>0</v>
      </c>
      <c r="X56" s="10">
        <f>IFERROR(晋级赛!AQ62/$O56,0)</f>
        <v>0</v>
      </c>
      <c r="Y56" s="10">
        <f>IFERROR(晋级赛!BU62/$O56,0)</f>
        <v>0</v>
      </c>
      <c r="AD56" s="2">
        <v>52</v>
      </c>
      <c r="AE56" s="2">
        <f t="shared" si="1"/>
        <v>982.75794942380787</v>
      </c>
      <c r="AF56" s="2">
        <f t="shared" si="2"/>
        <v>258.75655570493501</v>
      </c>
      <c r="AG56" s="2">
        <f t="shared" si="3"/>
        <v>0</v>
      </c>
      <c r="AH56" s="2">
        <f t="shared" si="4"/>
        <v>0</v>
      </c>
      <c r="AI56" s="2">
        <f t="shared" si="5"/>
        <v>0</v>
      </c>
    </row>
    <row r="57" spans="10:35" x14ac:dyDescent="0.15">
      <c r="J57" s="2">
        <v>53</v>
      </c>
      <c r="K57" s="2">
        <f>积分赛!BH63+积分赛!CF63+晋级赛!AM63+晋级赛!BQ63</f>
        <v>143302.3356081034</v>
      </c>
      <c r="L57" s="2">
        <f>积分赛!BI63+积分赛!CG63+晋级赛!AN63+晋级赛!BR63</f>
        <v>82045.822670191061</v>
      </c>
      <c r="M57" s="2">
        <f>积分赛!BJ63+积分赛!CH63+晋级赛!AO63+晋级赛!BS63</f>
        <v>0</v>
      </c>
      <c r="N57" s="2">
        <f>积分赛!BK63+积分赛!CI63+晋级赛!AP63+晋级赛!BT63</f>
        <v>0</v>
      </c>
      <c r="O57" s="2">
        <f>积分赛!BL63+积分赛!CJ63+晋级赛!AQ63+晋级赛!BU63</f>
        <v>0</v>
      </c>
      <c r="Q57" s="10">
        <f>IFERROR(积分赛!BH63/$K57,0)</f>
        <v>0.765625</v>
      </c>
      <c r="R57" s="10">
        <f>IFERROR(积分赛!CF63/$K57,0)</f>
        <v>3.9062499999999993E-2</v>
      </c>
      <c r="S57" s="10">
        <f>IFERROR(晋级赛!AM63/$K57,0)</f>
        <v>0</v>
      </c>
      <c r="T57" s="10">
        <f>IFERROR(晋级赛!BQ63/$K57,0)</f>
        <v>0.19531249999999997</v>
      </c>
      <c r="V57" s="10">
        <f>IFERROR(积分赛!BL63/$O57,0)</f>
        <v>0</v>
      </c>
      <c r="W57" s="10">
        <f>IFERROR(积分赛!CJ63/$O57,0)</f>
        <v>0</v>
      </c>
      <c r="X57" s="10">
        <f>IFERROR(晋级赛!AQ63/$O57,0)</f>
        <v>0</v>
      </c>
      <c r="Y57" s="10">
        <f>IFERROR(晋级赛!BU63/$O57,0)</f>
        <v>0</v>
      </c>
      <c r="AD57" s="2">
        <v>53</v>
      </c>
      <c r="AE57" s="2">
        <f t="shared" si="1"/>
        <v>1433.0233560810341</v>
      </c>
      <c r="AF57" s="2">
        <f t="shared" si="2"/>
        <v>820.45822670191058</v>
      </c>
      <c r="AG57" s="2">
        <f t="shared" si="3"/>
        <v>0</v>
      </c>
      <c r="AH57" s="2">
        <f t="shared" si="4"/>
        <v>0</v>
      </c>
      <c r="AI57" s="2">
        <f t="shared" si="5"/>
        <v>0</v>
      </c>
    </row>
    <row r="58" spans="10:35" x14ac:dyDescent="0.15">
      <c r="J58" s="2">
        <v>54</v>
      </c>
      <c r="K58" s="2">
        <f>积分赛!BH64+积分赛!CF64+晋级赛!AM64+晋级赛!BQ64</f>
        <v>191560.58700343664</v>
      </c>
      <c r="L58" s="2">
        <f>积分赛!BI64+积分赛!CG64+晋级赛!AN64+晋级赛!BR64</f>
        <v>142344.66656348374</v>
      </c>
      <c r="M58" s="2">
        <f>积分赛!BJ64+积分赛!CH64+晋级赛!AO64+晋级赛!BS64</f>
        <v>0</v>
      </c>
      <c r="N58" s="2">
        <f>积分赛!BK64+积分赛!CI64+晋级赛!AP64+晋级赛!BT64</f>
        <v>0</v>
      </c>
      <c r="O58" s="2">
        <f>积分赛!BL64+积分赛!CJ64+晋级赛!AQ64+晋级赛!BU64</f>
        <v>0</v>
      </c>
      <c r="Q58" s="10">
        <f>IFERROR(积分赛!BH64/$K58,0)</f>
        <v>0.76562499999999989</v>
      </c>
      <c r="R58" s="10">
        <f>IFERROR(积分赛!CF64/$K58,0)</f>
        <v>3.9062499999999993E-2</v>
      </c>
      <c r="S58" s="10">
        <f>IFERROR(晋级赛!AM64/$K58,0)</f>
        <v>0</v>
      </c>
      <c r="T58" s="10">
        <f>IFERROR(晋级赛!BQ64/$K58,0)</f>
        <v>0.19531249999999997</v>
      </c>
      <c r="V58" s="10">
        <f>IFERROR(积分赛!BL64/$O58,0)</f>
        <v>0</v>
      </c>
      <c r="W58" s="10">
        <f>IFERROR(积分赛!CJ64/$O58,0)</f>
        <v>0</v>
      </c>
      <c r="X58" s="10">
        <f>IFERROR(晋级赛!AQ64/$O58,0)</f>
        <v>0</v>
      </c>
      <c r="Y58" s="10">
        <f>IFERROR(晋级赛!BU64/$O58,0)</f>
        <v>0</v>
      </c>
      <c r="AD58" s="2">
        <v>54</v>
      </c>
      <c r="AE58" s="2">
        <f t="shared" si="1"/>
        <v>1915.6058700343665</v>
      </c>
      <c r="AF58" s="2">
        <f t="shared" si="2"/>
        <v>1423.4466656348375</v>
      </c>
      <c r="AG58" s="2">
        <f t="shared" si="3"/>
        <v>0</v>
      </c>
      <c r="AH58" s="2">
        <f t="shared" si="4"/>
        <v>0</v>
      </c>
      <c r="AI58" s="2">
        <f t="shared" si="5"/>
        <v>0</v>
      </c>
    </row>
    <row r="59" spans="10:35" x14ac:dyDescent="0.15">
      <c r="J59" s="2">
        <v>55</v>
      </c>
      <c r="K59" s="2">
        <f>积分赛!BH65+积分赛!CF65+晋级赛!AM65+晋级赛!BQ65</f>
        <v>243282.50019735965</v>
      </c>
      <c r="L59" s="2">
        <f>积分赛!BI65+积分赛!CG65+晋级赛!AN65+晋级赛!BR65</f>
        <v>204215.56944898816</v>
      </c>
      <c r="M59" s="2">
        <f>积分赛!BJ65+积分赛!CH65+晋级赛!AO65+晋级赛!BS65</f>
        <v>50579.954258569604</v>
      </c>
      <c r="N59" s="2">
        <f>积分赛!BK65+积分赛!CI65+晋级赛!AP65+晋级赛!BT65</f>
        <v>0</v>
      </c>
      <c r="O59" s="2">
        <f>积分赛!BL65+积分赛!CJ65+晋级赛!AQ65+晋级赛!BU65</f>
        <v>0</v>
      </c>
      <c r="Q59" s="10">
        <f>IFERROR(积分赛!BH65/$K59,0)</f>
        <v>0.765625</v>
      </c>
      <c r="R59" s="10">
        <f>IFERROR(积分赛!CF65/$K59,0)</f>
        <v>3.9062500000000007E-2</v>
      </c>
      <c r="S59" s="10">
        <f>IFERROR(晋级赛!AM65/$K59,0)</f>
        <v>0</v>
      </c>
      <c r="T59" s="10">
        <f>IFERROR(晋级赛!BQ65/$K59,0)</f>
        <v>0.19531250000000003</v>
      </c>
      <c r="V59" s="10">
        <f>IFERROR(积分赛!BL65/$O59,0)</f>
        <v>0</v>
      </c>
      <c r="W59" s="10">
        <f>IFERROR(积分赛!CJ65/$O59,0)</f>
        <v>0</v>
      </c>
      <c r="X59" s="10">
        <f>IFERROR(晋级赛!AQ65/$O59,0)</f>
        <v>0</v>
      </c>
      <c r="Y59" s="10">
        <f>IFERROR(晋级赛!BU65/$O59,0)</f>
        <v>0</v>
      </c>
      <c r="AD59" s="2">
        <v>55</v>
      </c>
      <c r="AE59" s="2">
        <f t="shared" si="1"/>
        <v>2432.8250019735965</v>
      </c>
      <c r="AF59" s="2">
        <f t="shared" si="2"/>
        <v>2042.1556944898816</v>
      </c>
      <c r="AG59" s="2">
        <f t="shared" si="3"/>
        <v>505.79954258569603</v>
      </c>
      <c r="AH59" s="2">
        <f t="shared" si="4"/>
        <v>0</v>
      </c>
      <c r="AI59" s="2">
        <f t="shared" si="5"/>
        <v>0</v>
      </c>
    </row>
    <row r="60" spans="10:35" x14ac:dyDescent="0.15">
      <c r="J60" s="2">
        <v>56</v>
      </c>
      <c r="K60" s="2">
        <f>积分赛!BH66+积分赛!CF66+晋级赛!AM66+晋级赛!BQ66</f>
        <v>298716.67419021181</v>
      </c>
      <c r="L60" s="2">
        <f>积分赛!BI66+积分赛!CG66+晋级赛!AN66+晋级赛!BR66</f>
        <v>269855.41732496541</v>
      </c>
      <c r="M60" s="2">
        <f>积分赛!BJ66+积分赛!CH66+晋级赛!AO66+晋级赛!BS66</f>
        <v>119768.58288941902</v>
      </c>
      <c r="N60" s="2">
        <f>积分赛!BK66+积分赛!CI66+晋级赛!AP66+晋级赛!BT66</f>
        <v>0</v>
      </c>
      <c r="O60" s="2">
        <f>积分赛!BL66+积分赛!CJ66+晋级赛!AQ66+晋级赛!BU66</f>
        <v>0</v>
      </c>
      <c r="Q60" s="10">
        <f>IFERROR(积分赛!BH66/$K60,0)</f>
        <v>0.76562499999999989</v>
      </c>
      <c r="R60" s="10">
        <f>IFERROR(积分赛!CF66/$K60,0)</f>
        <v>3.90625E-2</v>
      </c>
      <c r="S60" s="10">
        <f>IFERROR(晋级赛!AM66/$K60,0)</f>
        <v>0</v>
      </c>
      <c r="T60" s="10">
        <f>IFERROR(晋级赛!BQ66/$K60,0)</f>
        <v>0.19531249999999997</v>
      </c>
      <c r="V60" s="10">
        <f>IFERROR(积分赛!BL66/$O60,0)</f>
        <v>0</v>
      </c>
      <c r="W60" s="10">
        <f>IFERROR(积分赛!CJ66/$O60,0)</f>
        <v>0</v>
      </c>
      <c r="X60" s="10">
        <f>IFERROR(晋级赛!AQ66/$O60,0)</f>
        <v>0</v>
      </c>
      <c r="Y60" s="10">
        <f>IFERROR(晋级赛!BU66/$O60,0)</f>
        <v>0</v>
      </c>
      <c r="AD60" s="2">
        <v>56</v>
      </c>
      <c r="AE60" s="2">
        <f t="shared" si="1"/>
        <v>2987.1667419021182</v>
      </c>
      <c r="AF60" s="2">
        <f t="shared" si="2"/>
        <v>2698.554173249654</v>
      </c>
      <c r="AG60" s="2">
        <f t="shared" si="3"/>
        <v>1197.6858288941903</v>
      </c>
      <c r="AH60" s="2">
        <f t="shared" si="4"/>
        <v>0</v>
      </c>
      <c r="AI60" s="2">
        <f t="shared" si="5"/>
        <v>0</v>
      </c>
    </row>
    <row r="61" spans="10:35" x14ac:dyDescent="0.15">
      <c r="J61" s="2">
        <v>57</v>
      </c>
      <c r="K61" s="2">
        <f>积分赛!BH67+积分赛!CF67+晋级赛!AM67+晋级赛!BQ67</f>
        <v>358129.55079337093</v>
      </c>
      <c r="L61" s="2">
        <f>积分赛!BI67+积分赛!CG67+晋级赛!AN67+晋级赛!BR67</f>
        <v>342493.84273996955</v>
      </c>
      <c r="M61" s="2">
        <f>积分赛!BJ67+积分赛!CH67+晋级赛!AO67+晋级赛!BS67</f>
        <v>194533.18324966627</v>
      </c>
      <c r="N61" s="2">
        <f>积分赛!BK67+积分赛!CI67+晋级赛!AP67+晋级赛!BT67</f>
        <v>0</v>
      </c>
      <c r="O61" s="2">
        <f>积分赛!BL67+积分赛!CJ67+晋级赛!AQ67+晋级赛!BU67</f>
        <v>0</v>
      </c>
      <c r="Q61" s="10">
        <f>IFERROR(积分赛!BH67/$K61,0)</f>
        <v>0.765625</v>
      </c>
      <c r="R61" s="10">
        <f>IFERROR(积分赛!CF67/$K61,0)</f>
        <v>3.9062499999999993E-2</v>
      </c>
      <c r="S61" s="10">
        <f>IFERROR(晋级赛!AM67/$K61,0)</f>
        <v>0</v>
      </c>
      <c r="T61" s="10">
        <f>IFERROR(晋级赛!BQ67/$K61,0)</f>
        <v>0.19531249999999997</v>
      </c>
      <c r="V61" s="10">
        <f>IFERROR(积分赛!BL67/$O61,0)</f>
        <v>0</v>
      </c>
      <c r="W61" s="10">
        <f>IFERROR(积分赛!CJ67/$O61,0)</f>
        <v>0</v>
      </c>
      <c r="X61" s="10">
        <f>IFERROR(晋级赛!AQ67/$O61,0)</f>
        <v>0</v>
      </c>
      <c r="Y61" s="10">
        <f>IFERROR(晋级赛!BU67/$O61,0)</f>
        <v>0</v>
      </c>
      <c r="AD61" s="2">
        <v>57</v>
      </c>
      <c r="AE61" s="2">
        <f t="shared" si="1"/>
        <v>3581.2955079337094</v>
      </c>
      <c r="AF61" s="2">
        <f t="shared" si="2"/>
        <v>3424.9384273996957</v>
      </c>
      <c r="AG61" s="2">
        <f t="shared" si="3"/>
        <v>1945.3318324966626</v>
      </c>
      <c r="AH61" s="2">
        <f t="shared" si="4"/>
        <v>0</v>
      </c>
      <c r="AI61" s="2">
        <f t="shared" si="5"/>
        <v>0</v>
      </c>
    </row>
    <row r="62" spans="10:35" x14ac:dyDescent="0.15">
      <c r="J62" s="2">
        <v>58</v>
      </c>
      <c r="K62" s="2">
        <f>积分赛!BH68+积分赛!CF68+晋级赛!AM68+晋级赛!BQ68</f>
        <v>421806.69526957953</v>
      </c>
      <c r="L62" s="2">
        <f>积分赛!BI68+积分赛!CG68+晋级赛!AN68+晋级赛!BR68</f>
        <v>417875.89829759032</v>
      </c>
      <c r="M62" s="2">
        <f>积分赛!BJ68+积分赛!CH68+晋级赛!AO68+晋级赛!BS68</f>
        <v>274535.05708665983</v>
      </c>
      <c r="N62" s="2">
        <f>积分赛!BK68+积分赛!CI68+晋级赛!AP68+晋级赛!BT68</f>
        <v>0</v>
      </c>
      <c r="O62" s="2">
        <f>积分赛!BL68+积分赛!CJ68+晋级赛!AQ68+晋级赛!BU68</f>
        <v>0</v>
      </c>
      <c r="Q62" s="10">
        <f>IFERROR(积分赛!BH68/$K62,0)</f>
        <v>0.76562499999999989</v>
      </c>
      <c r="R62" s="10">
        <f>IFERROR(积分赛!CF68/$K62,0)</f>
        <v>3.90625E-2</v>
      </c>
      <c r="S62" s="10">
        <f>IFERROR(晋级赛!AM68/$K62,0)</f>
        <v>0</v>
      </c>
      <c r="T62" s="10">
        <f>IFERROR(晋级赛!BQ68/$K62,0)</f>
        <v>0.1953125</v>
      </c>
      <c r="V62" s="10">
        <f>IFERROR(积分赛!BL68/$O62,0)</f>
        <v>0</v>
      </c>
      <c r="W62" s="10">
        <f>IFERROR(积分赛!CJ68/$O62,0)</f>
        <v>0</v>
      </c>
      <c r="X62" s="10">
        <f>IFERROR(晋级赛!AQ68/$O62,0)</f>
        <v>0</v>
      </c>
      <c r="Y62" s="10">
        <f>IFERROR(晋级赛!BU68/$O62,0)</f>
        <v>0</v>
      </c>
      <c r="AD62" s="2">
        <v>58</v>
      </c>
      <c r="AE62" s="2">
        <f t="shared" si="1"/>
        <v>4218.0669526957954</v>
      </c>
      <c r="AF62" s="2">
        <f t="shared" si="2"/>
        <v>4178.7589829759036</v>
      </c>
      <c r="AG62" s="2">
        <f t="shared" si="3"/>
        <v>2745.3505708665984</v>
      </c>
      <c r="AH62" s="2">
        <f t="shared" si="4"/>
        <v>0</v>
      </c>
      <c r="AI62" s="2">
        <f t="shared" si="5"/>
        <v>0</v>
      </c>
    </row>
    <row r="63" spans="10:35" x14ac:dyDescent="0.15">
      <c r="J63" s="2">
        <v>59</v>
      </c>
      <c r="K63" s="2">
        <f>积分赛!BH69+积分赛!CF69+晋级赛!AM69+晋级赛!BQ69</f>
        <v>490054.16888927069</v>
      </c>
      <c r="L63" s="2">
        <f>积分赛!BI69+积分赛!CG69+晋级赛!AN69+晋级赛!BR69</f>
        <v>501172.69022371463</v>
      </c>
      <c r="M63" s="2">
        <f>积分赛!BJ69+积分赛!CH69+晋级赛!AO69+晋级赛!BS69</f>
        <v>361226.06561436458</v>
      </c>
      <c r="N63" s="2">
        <f>积分赛!BK69+积分赛!CI69+晋级赛!AP69+晋级赛!BT69</f>
        <v>25015.596150080684</v>
      </c>
      <c r="O63" s="2">
        <f>积分赛!BL69+积分赛!CJ69+晋级赛!AQ69+晋级赛!BU69</f>
        <v>0</v>
      </c>
      <c r="Q63" s="10">
        <f>IFERROR(积分赛!BH69/$K63,0)</f>
        <v>0.765625</v>
      </c>
      <c r="R63" s="10">
        <f>IFERROR(积分赛!CF69/$K63,0)</f>
        <v>3.9062499999999993E-2</v>
      </c>
      <c r="S63" s="10">
        <f>IFERROR(晋级赛!AM69/$K63,0)</f>
        <v>0</v>
      </c>
      <c r="T63" s="10">
        <f>IFERROR(晋级赛!BQ69/$K63,0)</f>
        <v>0.19531249999999997</v>
      </c>
      <c r="V63" s="10">
        <f>IFERROR(积分赛!BL69/$O63,0)</f>
        <v>0</v>
      </c>
      <c r="W63" s="10">
        <f>IFERROR(积分赛!CJ69/$O63,0)</f>
        <v>0</v>
      </c>
      <c r="X63" s="10">
        <f>IFERROR(晋级赛!AQ69/$O63,0)</f>
        <v>0</v>
      </c>
      <c r="Y63" s="10">
        <f>IFERROR(晋级赛!BU69/$O63,0)</f>
        <v>0</v>
      </c>
      <c r="AD63" s="2">
        <v>59</v>
      </c>
      <c r="AE63" s="2">
        <f t="shared" si="1"/>
        <v>4900.5416888927066</v>
      </c>
      <c r="AF63" s="2">
        <f t="shared" si="2"/>
        <v>5011.7269022371465</v>
      </c>
      <c r="AG63" s="2">
        <f t="shared" si="3"/>
        <v>3612.260656143646</v>
      </c>
      <c r="AH63" s="2">
        <f t="shared" si="4"/>
        <v>250.15596150080685</v>
      </c>
      <c r="AI63" s="2">
        <f t="shared" si="5"/>
        <v>0</v>
      </c>
    </row>
    <row r="64" spans="10:35" x14ac:dyDescent="0.15">
      <c r="J64" s="2">
        <v>60</v>
      </c>
      <c r="K64" s="2">
        <f>积分赛!BH70+积分赛!CF70+晋级赛!AM70+晋级赛!BQ70</f>
        <v>563200</v>
      </c>
      <c r="L64" s="2">
        <f>积分赛!BI70+积分赛!CG70+晋级赛!AN70+晋级赛!BR70</f>
        <v>588508.69999999995</v>
      </c>
      <c r="M64" s="2">
        <f>积分赛!BJ70+积分赛!CH70+晋级赛!AO70+晋级赛!BS70</f>
        <v>453295.91999999993</v>
      </c>
      <c r="N64" s="2">
        <f>积分赛!BK70+积分赛!CI70+晋级赛!AP70+晋级赛!BT70</f>
        <v>115694.80000000006</v>
      </c>
      <c r="O64" s="2">
        <f>积分赛!BL70+积分赛!CJ70+晋级赛!AQ70+晋级赛!BU70</f>
        <v>0</v>
      </c>
      <c r="Q64" s="10">
        <f>IFERROR(积分赛!BH70/$K64,0)</f>
        <v>0.765625</v>
      </c>
      <c r="R64" s="10">
        <f>IFERROR(积分赛!CF70/$K64,0)</f>
        <v>3.90625E-2</v>
      </c>
      <c r="S64" s="10">
        <f>IFERROR(晋级赛!AM70/$K64,0)</f>
        <v>0</v>
      </c>
      <c r="T64" s="10">
        <f>IFERROR(晋级赛!BQ70/$K64,0)</f>
        <v>0.1953125</v>
      </c>
      <c r="V64" s="10">
        <f>IFERROR(积分赛!BL70/$O64,0)</f>
        <v>0</v>
      </c>
      <c r="W64" s="10">
        <f>IFERROR(积分赛!CJ70/$O64,0)</f>
        <v>0</v>
      </c>
      <c r="X64" s="10">
        <f>IFERROR(晋级赛!AQ70/$O64,0)</f>
        <v>0</v>
      </c>
      <c r="Y64" s="10">
        <f>IFERROR(晋级赛!BU70/$O64,0)</f>
        <v>0</v>
      </c>
      <c r="AD64" s="2">
        <v>60</v>
      </c>
      <c r="AE64" s="2">
        <f t="shared" si="1"/>
        <v>5632</v>
      </c>
      <c r="AF64" s="2">
        <f t="shared" si="2"/>
        <v>5885.0869999999995</v>
      </c>
      <c r="AG64" s="2">
        <f t="shared" si="3"/>
        <v>4532.9591999999993</v>
      </c>
      <c r="AH64" s="2">
        <f t="shared" si="4"/>
        <v>1156.9480000000005</v>
      </c>
      <c r="AI64" s="2">
        <f t="shared" si="5"/>
        <v>0</v>
      </c>
    </row>
    <row r="65" spans="10:35" x14ac:dyDescent="0.15">
      <c r="J65" s="2">
        <v>61</v>
      </c>
      <c r="K65" s="2">
        <f>积分赛!BH71+积分赛!CF71+晋级赛!AM71+晋级赛!BQ71</f>
        <v>641595.76067964127</v>
      </c>
      <c r="L65" s="2">
        <f>积分赛!BI71+积分赛!CG71+晋级赛!AN71+晋级赛!BR71</f>
        <v>684416.90316801541</v>
      </c>
      <c r="M65" s="2">
        <f>积分赛!BJ71+积分赛!CH71+晋级赛!AO71+晋级赛!BS71</f>
        <v>553718.31706972327</v>
      </c>
      <c r="N65" s="2">
        <f>积分赛!BK71+积分赛!CI71+晋级赛!AP71+晋级赛!BT71</f>
        <v>215290.67661287665</v>
      </c>
      <c r="O65" s="2">
        <f>积分赛!BL71+积分赛!CJ71+晋级赛!AQ71+晋级赛!BU71</f>
        <v>0</v>
      </c>
      <c r="Q65" s="10">
        <f>IFERROR(积分赛!BH71/$K65,0)</f>
        <v>0.765625</v>
      </c>
      <c r="R65" s="10">
        <f>IFERROR(积分赛!CF71/$K65,0)</f>
        <v>3.90625E-2</v>
      </c>
      <c r="S65" s="10">
        <f>IFERROR(晋级赛!AM71/$K65,0)</f>
        <v>0</v>
      </c>
      <c r="T65" s="10">
        <f>IFERROR(晋级赛!BQ71/$K65,0)</f>
        <v>0.1953125</v>
      </c>
      <c r="V65" s="10">
        <f>IFERROR(积分赛!BL71/$O65,0)</f>
        <v>0</v>
      </c>
      <c r="W65" s="10">
        <f>IFERROR(积分赛!CJ71/$O65,0)</f>
        <v>0</v>
      </c>
      <c r="X65" s="10">
        <f>IFERROR(晋级赛!AQ71/$O65,0)</f>
        <v>0</v>
      </c>
      <c r="Y65" s="10">
        <f>IFERROR(晋级赛!BU71/$O65,0)</f>
        <v>0</v>
      </c>
      <c r="AD65" s="2">
        <v>61</v>
      </c>
      <c r="AE65" s="2">
        <f t="shared" si="1"/>
        <v>6415.9576067964126</v>
      </c>
      <c r="AF65" s="2">
        <f t="shared" si="2"/>
        <v>6844.1690316801541</v>
      </c>
      <c r="AG65" s="2">
        <f t="shared" si="3"/>
        <v>5537.1831706972325</v>
      </c>
      <c r="AH65" s="2">
        <f t="shared" si="4"/>
        <v>2152.9067661287663</v>
      </c>
      <c r="AI65" s="2">
        <f t="shared" si="5"/>
        <v>0</v>
      </c>
    </row>
    <row r="66" spans="10:35" x14ac:dyDescent="0.15">
      <c r="J66" s="2">
        <v>62</v>
      </c>
      <c r="K66" s="2">
        <f>积分赛!BH72+积分赛!CF72+晋级赛!AM72+晋级赛!BQ72</f>
        <v>725618.25655142777</v>
      </c>
      <c r="L66" s="2">
        <f>积分赛!BI72+积分赛!CG72+晋级赛!AN72+晋级赛!BR72</f>
        <v>786041.69228422176</v>
      </c>
      <c r="M66" s="2">
        <f>积分赛!BJ72+积分赛!CH72+晋级赛!AO72+晋级赛!BS72</f>
        <v>662465.13439202099</v>
      </c>
      <c r="N66" s="2">
        <f>积分赛!BK72+积分赛!CI72+晋级赛!AP72+晋级赛!BT72</f>
        <v>323012.72577407188</v>
      </c>
      <c r="O66" s="2">
        <f>积分赛!BL72+积分赛!CJ72+晋级赛!AQ72+晋级赛!BU72</f>
        <v>0</v>
      </c>
      <c r="Q66" s="10">
        <f>IFERROR(积分赛!BH72/$K66,0)</f>
        <v>0.765625</v>
      </c>
      <c r="R66" s="10">
        <f>IFERROR(积分赛!CF72/$K66,0)</f>
        <v>3.90625E-2</v>
      </c>
      <c r="S66" s="10">
        <f>IFERROR(晋级赛!AM72/$K66,0)</f>
        <v>0</v>
      </c>
      <c r="T66" s="10">
        <f>IFERROR(晋级赛!BQ72/$K66,0)</f>
        <v>0.19531249999999997</v>
      </c>
      <c r="V66" s="10">
        <f>IFERROR(积分赛!BL72/$O66,0)</f>
        <v>0</v>
      </c>
      <c r="W66" s="10">
        <f>IFERROR(积分赛!CJ72/$O66,0)</f>
        <v>0</v>
      </c>
      <c r="X66" s="10">
        <f>IFERROR(晋级赛!AQ72/$O66,0)</f>
        <v>0</v>
      </c>
      <c r="Y66" s="10">
        <f>IFERROR(晋级赛!BU72/$O66,0)</f>
        <v>0</v>
      </c>
      <c r="AD66" s="2">
        <v>62</v>
      </c>
      <c r="AE66" s="2">
        <f t="shared" si="1"/>
        <v>7256.1825655142775</v>
      </c>
      <c r="AF66" s="2">
        <f t="shared" si="2"/>
        <v>7860.4169228422179</v>
      </c>
      <c r="AG66" s="2">
        <f t="shared" si="3"/>
        <v>6624.6513439202099</v>
      </c>
      <c r="AH66" s="2">
        <f t="shared" si="4"/>
        <v>3230.127257740719</v>
      </c>
      <c r="AI66" s="2">
        <f t="shared" si="5"/>
        <v>0</v>
      </c>
    </row>
    <row r="67" spans="10:35" x14ac:dyDescent="0.15">
      <c r="J67" s="2">
        <v>63</v>
      </c>
      <c r="K67" s="2">
        <f>积分赛!BH73+积分赛!CF73+晋级赛!AM73+晋级赛!BQ73</f>
        <v>815671.33788287349</v>
      </c>
      <c r="L67" s="2">
        <f>积分赛!BI73+积分赛!CG73+晋级赛!AN73+晋级赛!BR73</f>
        <v>896783.8950513592</v>
      </c>
      <c r="M67" s="2">
        <f>积分赛!BJ73+积分赛!CH73+晋级赛!AO73+晋级赛!BS73</f>
        <v>778620.24510625505</v>
      </c>
      <c r="N67" s="2">
        <f>积分赛!BK73+积分赛!CI73+晋级赛!AP73+晋级赛!BT73</f>
        <v>439581.22672853293</v>
      </c>
      <c r="O67" s="2">
        <f>积分赛!BL73+积分赛!CJ73+晋级赛!AQ73+晋级赛!BU73</f>
        <v>0</v>
      </c>
      <c r="Q67" s="10">
        <f>IFERROR(积分赛!BH73/$K67,0)</f>
        <v>0.765625</v>
      </c>
      <c r="R67" s="10">
        <f>IFERROR(积分赛!CF73/$K67,0)</f>
        <v>3.90625E-2</v>
      </c>
      <c r="S67" s="10">
        <f>IFERROR(晋级赛!AM73/$K67,0)</f>
        <v>0</v>
      </c>
      <c r="T67" s="10">
        <f>IFERROR(晋级赛!BQ73/$K67,0)</f>
        <v>0.19531249999999997</v>
      </c>
      <c r="V67" s="10">
        <f>IFERROR(积分赛!BL73/$O67,0)</f>
        <v>0</v>
      </c>
      <c r="W67" s="10">
        <f>IFERROR(积分赛!CJ73/$O67,0)</f>
        <v>0</v>
      </c>
      <c r="X67" s="10">
        <f>IFERROR(晋级赛!AQ73/$O67,0)</f>
        <v>0</v>
      </c>
      <c r="Y67" s="10">
        <f>IFERROR(晋级赛!BU73/$O67,0)</f>
        <v>0</v>
      </c>
      <c r="AD67" s="2">
        <v>63</v>
      </c>
      <c r="AE67" s="2">
        <f t="shared" si="1"/>
        <v>8156.7133788287347</v>
      </c>
      <c r="AF67" s="2">
        <f t="shared" si="2"/>
        <v>8967.8389505135929</v>
      </c>
      <c r="AG67" s="2">
        <f t="shared" si="3"/>
        <v>7786.2024510625506</v>
      </c>
      <c r="AH67" s="2">
        <f t="shared" si="4"/>
        <v>4395.8122672853297</v>
      </c>
      <c r="AI67" s="2">
        <f t="shared" si="5"/>
        <v>0</v>
      </c>
    </row>
    <row r="68" spans="10:35" x14ac:dyDescent="0.15">
      <c r="J68" s="2">
        <v>64</v>
      </c>
      <c r="K68" s="2">
        <f>积分赛!BH74+积分赛!CF74+晋级赛!AM74+晋级赛!BQ74</f>
        <v>912187.84067353932</v>
      </c>
      <c r="L68" s="2">
        <f>积分赛!BI74+积分赛!CG74+晋级赛!AN74+晋级赛!BR74</f>
        <v>1014771.5157579775</v>
      </c>
      <c r="M68" s="2">
        <f>积分赛!BJ74+积分赛!CH74+晋级赛!AO74+晋级赛!BS74</f>
        <v>904450.23512922681</v>
      </c>
      <c r="N68" s="2">
        <f>积分赛!BK74+积分赛!CI74+晋级赛!AP74+晋级赛!BT74</f>
        <v>564752.01565459208</v>
      </c>
      <c r="O68" s="2">
        <f>积分赛!BL74+积分赛!CJ74+晋级赛!AQ74+晋级赛!BU74</f>
        <v>0</v>
      </c>
      <c r="Q68" s="10">
        <f>IFERROR(积分赛!BH74/$K68,0)</f>
        <v>0.76562499999999989</v>
      </c>
      <c r="R68" s="10">
        <f>IFERROR(积分赛!CF74/$K68,0)</f>
        <v>3.9062500000000007E-2</v>
      </c>
      <c r="S68" s="10">
        <f>IFERROR(晋级赛!AM74/$K68,0)</f>
        <v>0</v>
      </c>
      <c r="T68" s="10">
        <f>IFERROR(晋级赛!BQ74/$K68,0)</f>
        <v>0.19531250000000003</v>
      </c>
      <c r="V68" s="10">
        <f>IFERROR(积分赛!BL74/$O68,0)</f>
        <v>0</v>
      </c>
      <c r="W68" s="10">
        <f>IFERROR(积分赛!CJ74/$O68,0)</f>
        <v>0</v>
      </c>
      <c r="X68" s="10">
        <f>IFERROR(晋级赛!AQ74/$O68,0)</f>
        <v>0</v>
      </c>
      <c r="Y68" s="10">
        <f>IFERROR(晋级赛!BU74/$O68,0)</f>
        <v>0</v>
      </c>
      <c r="AD68" s="2">
        <v>64</v>
      </c>
      <c r="AE68" s="2">
        <f t="shared" si="1"/>
        <v>9121.8784067353936</v>
      </c>
      <c r="AF68" s="2">
        <f t="shared" si="2"/>
        <v>10147.715157579774</v>
      </c>
      <c r="AG68" s="2">
        <f t="shared" si="3"/>
        <v>9044.5023512922689</v>
      </c>
      <c r="AH68" s="2">
        <f t="shared" si="4"/>
        <v>5647.5201565459211</v>
      </c>
      <c r="AI68" s="2">
        <f t="shared" si="5"/>
        <v>0</v>
      </c>
    </row>
    <row r="69" spans="10:35" x14ac:dyDescent="0.15">
      <c r="J69" s="2">
        <v>65</v>
      </c>
      <c r="K69" s="2">
        <f>积分赛!BH75+积分赛!CF75+晋级赛!AM75+晋级赛!BQ75</f>
        <v>1015631.6670613855</v>
      </c>
      <c r="L69" s="2">
        <f>积分赛!BI75+积分赛!CG75+晋级赛!AN75+晋级赛!BR75</f>
        <v>1140414.6451253709</v>
      </c>
      <c r="M69" s="2">
        <f>积分赛!BJ75+积分赛!CH75+晋级赛!AO75+晋级赛!BS75</f>
        <v>1041116.7334140089</v>
      </c>
      <c r="N69" s="2">
        <f>积分赛!BK75+积分赛!CI75+晋级赛!AP75+晋级赛!BT75</f>
        <v>696948.32920849859</v>
      </c>
      <c r="O69" s="2">
        <f>积分赛!BL75+积分赛!CJ75+晋级赛!AQ75+晋级赛!BU75</f>
        <v>0</v>
      </c>
      <c r="Q69" s="10">
        <f>IFERROR(积分赛!BH75/$K69,0)</f>
        <v>0.765625</v>
      </c>
      <c r="R69" s="10">
        <f>IFERROR(积分赛!CF75/$K69,0)</f>
        <v>3.90625E-2</v>
      </c>
      <c r="S69" s="10">
        <f>IFERROR(晋级赛!AM75/$K69,0)</f>
        <v>0</v>
      </c>
      <c r="T69" s="10">
        <f>IFERROR(晋级赛!BQ75/$K69,0)</f>
        <v>0.19531250000000003</v>
      </c>
      <c r="V69" s="10">
        <f>IFERROR(积分赛!BL75/$O69,0)</f>
        <v>0</v>
      </c>
      <c r="W69" s="10">
        <f>IFERROR(积分赛!CJ75/$O69,0)</f>
        <v>0</v>
      </c>
      <c r="X69" s="10">
        <f>IFERROR(晋级赛!AQ75/$O69,0)</f>
        <v>0</v>
      </c>
      <c r="Y69" s="10">
        <f>IFERROR(晋级赛!BU75/$O69,0)</f>
        <v>0</v>
      </c>
      <c r="AD69" s="2">
        <v>65</v>
      </c>
      <c r="AE69" s="2">
        <f t="shared" si="1"/>
        <v>10156.316670613855</v>
      </c>
      <c r="AF69" s="2">
        <f t="shared" si="2"/>
        <v>11404.14645125371</v>
      </c>
      <c r="AG69" s="2">
        <f t="shared" si="3"/>
        <v>10411.167334140089</v>
      </c>
      <c r="AH69" s="2">
        <f t="shared" si="4"/>
        <v>6969.4832920849858</v>
      </c>
      <c r="AI69" s="2">
        <f t="shared" si="5"/>
        <v>0</v>
      </c>
    </row>
    <row r="70" spans="10:35" x14ac:dyDescent="0.15">
      <c r="J70" s="2">
        <v>66</v>
      </c>
      <c r="K70" s="2">
        <f>积分赛!BH76+积分赛!CF76+晋级赛!AM76+晋级赛!BQ76</f>
        <v>1126500.0150470901</v>
      </c>
      <c r="L70" s="2">
        <f>积分赛!BI76+积分赛!CG76+晋级赛!AN76+晋级赛!BR76</f>
        <v>1276898.0898044305</v>
      </c>
      <c r="M70" s="2">
        <f>积分赛!BJ76+积分赛!CH76+晋级赛!AO76+晋级赛!BS76</f>
        <v>1185509.8857788378</v>
      </c>
      <c r="N70" s="2">
        <f>积分赛!BK76+积分赛!CI76+晋级赛!AP76+晋级赛!BT76</f>
        <v>830046.05167909991</v>
      </c>
      <c r="O70" s="2">
        <f>积分赛!BL76+积分赛!CJ76+晋级赛!AQ76+晋级赛!BU76</f>
        <v>0</v>
      </c>
      <c r="Q70" s="10">
        <f>IFERROR(积分赛!BH76/$K70,0)</f>
        <v>0.765625</v>
      </c>
      <c r="R70" s="10">
        <f>IFERROR(积分赛!CF76/$K70,0)</f>
        <v>3.9062500000000007E-2</v>
      </c>
      <c r="S70" s="10">
        <f>IFERROR(晋级赛!AM76/$K70,0)</f>
        <v>0</v>
      </c>
      <c r="T70" s="10">
        <f>IFERROR(晋级赛!BQ76/$K70,0)</f>
        <v>0.1953125</v>
      </c>
      <c r="V70" s="10">
        <f>IFERROR(积分赛!BL76/$O70,0)</f>
        <v>0</v>
      </c>
      <c r="W70" s="10">
        <f>IFERROR(积分赛!CJ76/$O70,0)</f>
        <v>0</v>
      </c>
      <c r="X70" s="10">
        <f>IFERROR(晋级赛!AQ76/$O70,0)</f>
        <v>0</v>
      </c>
      <c r="Y70" s="10">
        <f>IFERROR(晋级赛!BU76/$O70,0)</f>
        <v>0</v>
      </c>
      <c r="AD70" s="2">
        <v>66</v>
      </c>
      <c r="AE70" s="2">
        <f t="shared" ref="AE70:AE104" si="6">K70*$D$2</f>
        <v>11265.000150470902</v>
      </c>
      <c r="AF70" s="2">
        <f t="shared" ref="AF70:AF104" si="7">L70*$D$2</f>
        <v>12768.980898044305</v>
      </c>
      <c r="AG70" s="2">
        <f t="shared" ref="AG70:AG104" si="8">M70*$D$2</f>
        <v>11855.098857788378</v>
      </c>
      <c r="AH70" s="2">
        <f t="shared" ref="AH70:AH104" si="9">N70*$D$2</f>
        <v>8300.4605167909995</v>
      </c>
      <c r="AI70" s="2">
        <f t="shared" ref="AI70:AI104" si="10">O70*$D$2</f>
        <v>0</v>
      </c>
    </row>
    <row r="71" spans="10:35" x14ac:dyDescent="0.15">
      <c r="J71" s="2">
        <v>67</v>
      </c>
      <c r="K71" s="2">
        <f>积分赛!BH77+积分赛!CF77+晋级赛!AM77+晋级赛!BQ77</f>
        <v>1245325.7682534077</v>
      </c>
      <c r="L71" s="2">
        <f>积分赛!BI77+积分赛!CG77+晋级赛!AN77+晋级赛!BR77</f>
        <v>1423295.2705183735</v>
      </c>
      <c r="M71" s="2">
        <f>积分赛!BJ77+积分赛!CH77+晋级赛!AO77+晋级赛!BS77</f>
        <v>1333419.4945756341</v>
      </c>
      <c r="N71" s="2">
        <f>积分赛!BK77+积分赛!CI77+晋级赛!AP77+晋级赛!BT77</f>
        <v>972599.30904565053</v>
      </c>
      <c r="O71" s="2">
        <f>积分赛!BL77+积分赛!CJ77+晋级赛!AQ77+晋级赛!BU77</f>
        <v>0</v>
      </c>
      <c r="Q71" s="10">
        <f>IFERROR(积分赛!BH77/$K71,0)</f>
        <v>0.765625</v>
      </c>
      <c r="R71" s="10">
        <f>IFERROR(积分赛!CF77/$K71,0)</f>
        <v>3.9062500000000007E-2</v>
      </c>
      <c r="S71" s="10">
        <f>IFERROR(晋级赛!AM77/$K71,0)</f>
        <v>0</v>
      </c>
      <c r="T71" s="10">
        <f>IFERROR(晋级赛!BQ77/$K71,0)</f>
        <v>0.19531250000000003</v>
      </c>
      <c r="V71" s="10">
        <f>IFERROR(积分赛!BL77/$O71,0)</f>
        <v>0</v>
      </c>
      <c r="W71" s="10">
        <f>IFERROR(积分赛!CJ77/$O71,0)</f>
        <v>0</v>
      </c>
      <c r="X71" s="10">
        <f>IFERROR(晋级赛!AQ77/$O71,0)</f>
        <v>0</v>
      </c>
      <c r="Y71" s="10">
        <f>IFERROR(晋级赛!BU77/$O71,0)</f>
        <v>0</v>
      </c>
      <c r="AD71" s="2">
        <v>67</v>
      </c>
      <c r="AE71" s="2">
        <f t="shared" si="6"/>
        <v>12453.257682534077</v>
      </c>
      <c r="AF71" s="2">
        <f t="shared" si="7"/>
        <v>14232.952705183736</v>
      </c>
      <c r="AG71" s="2">
        <f t="shared" si="8"/>
        <v>13334.194945756342</v>
      </c>
      <c r="AH71" s="2">
        <f t="shared" si="9"/>
        <v>9725.9930904565063</v>
      </c>
      <c r="AI71" s="2">
        <f t="shared" si="10"/>
        <v>0</v>
      </c>
    </row>
    <row r="72" spans="10:35" x14ac:dyDescent="0.15">
      <c r="J72" s="2">
        <v>68</v>
      </c>
      <c r="K72" s="2">
        <f>积分赛!BH78+积分赛!CF78+晋级赛!AM78+晋级赛!BQ78</f>
        <v>1372680.057205826</v>
      </c>
      <c r="L72" s="2">
        <f>积分赛!BI78+积分赛!CG78+晋级赛!AN78+晋级赛!BR78</f>
        <v>1575568.7576481032</v>
      </c>
      <c r="M72" s="2">
        <f>积分赛!BJ78+积分赛!CH78+晋级赛!AO78+晋级赛!BS78</f>
        <v>1486131.8019673994</v>
      </c>
      <c r="N72" s="2">
        <f>积分赛!BK78+积分赛!CI78+晋级赛!AP78+晋级赛!BT78</f>
        <v>1128493.7006846026</v>
      </c>
      <c r="O72" s="2">
        <f>积分赛!BL78+积分赛!CJ78+晋级赛!AQ78+晋级赛!BU78</f>
        <v>156543.89915781791</v>
      </c>
      <c r="Q72" s="10">
        <f>IFERROR(积分赛!BH78/$K72,0)</f>
        <v>0.765625</v>
      </c>
      <c r="R72" s="10">
        <f>IFERROR(积分赛!CF78/$K72,0)</f>
        <v>3.9062499999999993E-2</v>
      </c>
      <c r="S72" s="10">
        <f>IFERROR(晋级赛!AM78/$K72,0)</f>
        <v>0</v>
      </c>
      <c r="T72" s="10">
        <f>IFERROR(晋级赛!BQ78/$K72,0)</f>
        <v>0.19531249999999994</v>
      </c>
      <c r="V72" s="10">
        <f>IFERROR(积分赛!BL78/$O72,0)</f>
        <v>0.46555819477434685</v>
      </c>
      <c r="W72" s="10">
        <f>IFERROR(积分赛!CJ78/$O72,0)</f>
        <v>9.8970704671417248E-2</v>
      </c>
      <c r="X72" s="10">
        <f>IFERROR(晋级赛!AQ78/$O72,0)</f>
        <v>0.39588281868566899</v>
      </c>
      <c r="Y72" s="10">
        <f>IFERROR(晋级赛!BU78/$O72,0)</f>
        <v>3.9588281868566909E-2</v>
      </c>
      <c r="AD72" s="2">
        <v>68</v>
      </c>
      <c r="AE72" s="2">
        <f t="shared" si="6"/>
        <v>13726.800572058261</v>
      </c>
      <c r="AF72" s="2">
        <f t="shared" si="7"/>
        <v>15755.687576481032</v>
      </c>
      <c r="AG72" s="2">
        <f t="shared" si="8"/>
        <v>14861.318019673994</v>
      </c>
      <c r="AH72" s="2">
        <f t="shared" si="9"/>
        <v>11284.937006846027</v>
      </c>
      <c r="AI72" s="2">
        <f t="shared" si="10"/>
        <v>1565.4389915781792</v>
      </c>
    </row>
    <row r="73" spans="10:35" x14ac:dyDescent="0.15">
      <c r="J73" s="2">
        <v>69</v>
      </c>
      <c r="K73" s="2">
        <f>积分赛!BH79+积分赛!CF79+晋级赛!AM79+晋级赛!BQ79</f>
        <v>1509175.0044452068</v>
      </c>
      <c r="L73" s="2">
        <f>积分赛!BI79+积分赛!CG79+晋级赛!AN79+晋级赛!BR79</f>
        <v>1735441.1761771471</v>
      </c>
      <c r="M73" s="2">
        <f>积分赛!BJ79+积分赛!CH79+晋级赛!AO79+晋级赛!BS79</f>
        <v>1659952.2359173077</v>
      </c>
      <c r="N73" s="2">
        <f>积分赛!BK79+积分赛!CI79+晋级赛!AP79+晋级赛!BT79</f>
        <v>1298203.3738330381</v>
      </c>
      <c r="O73" s="2">
        <f>积分赛!BL79+积分赛!CJ79+晋级赛!AQ79+晋级赛!BU79</f>
        <v>341848.37189324788</v>
      </c>
      <c r="Q73" s="10">
        <f>IFERROR(积分赛!BH79/$K73,0)</f>
        <v>0.765625</v>
      </c>
      <c r="R73" s="10">
        <f>IFERROR(积分赛!CF79/$K73,0)</f>
        <v>3.9062499999999993E-2</v>
      </c>
      <c r="S73" s="10">
        <f>IFERROR(晋级赛!AM79/$K73,0)</f>
        <v>0</v>
      </c>
      <c r="T73" s="10">
        <f>IFERROR(晋级赛!BQ79/$K73,0)</f>
        <v>0.19531249999999997</v>
      </c>
      <c r="V73" s="10">
        <f>IFERROR(积分赛!BL79/$O73,0)</f>
        <v>0.4655581947743469</v>
      </c>
      <c r="W73" s="10">
        <f>IFERROR(积分赛!CJ79/$O73,0)</f>
        <v>9.8970704671417276E-2</v>
      </c>
      <c r="X73" s="10">
        <f>IFERROR(晋级赛!AQ79/$O73,0)</f>
        <v>0.3958828186856691</v>
      </c>
      <c r="Y73" s="10">
        <f>IFERROR(晋级赛!BU79/$O73,0)</f>
        <v>3.9588281868566916E-2</v>
      </c>
      <c r="AD73" s="2">
        <v>69</v>
      </c>
      <c r="AE73" s="2">
        <f t="shared" si="6"/>
        <v>15091.750044452068</v>
      </c>
      <c r="AF73" s="2">
        <f t="shared" si="7"/>
        <v>17354.411761771473</v>
      </c>
      <c r="AG73" s="2">
        <f t="shared" si="8"/>
        <v>16599.522359173076</v>
      </c>
      <c r="AH73" s="2">
        <f t="shared" si="9"/>
        <v>12982.033738330381</v>
      </c>
      <c r="AI73" s="2">
        <f t="shared" si="10"/>
        <v>3418.483718932479</v>
      </c>
    </row>
    <row r="74" spans="10:35" x14ac:dyDescent="0.15">
      <c r="J74" s="2">
        <v>70</v>
      </c>
      <c r="K74" s="2">
        <f>积分赛!BH80+积分赛!CF80+晋级赛!AM80+晋级赛!BQ80</f>
        <v>1655466.6666666667</v>
      </c>
      <c r="L74" s="2">
        <f>积分赛!BI80+积分赛!CG80+晋级赛!AN80+晋级赛!BR80</f>
        <v>1913931.9133333333</v>
      </c>
      <c r="M74" s="2">
        <f>积分赛!BJ80+积分赛!CH80+晋级赛!AO80+晋级赛!BS80</f>
        <v>1851280.2</v>
      </c>
      <c r="N74" s="2">
        <f>积分赛!BK80+积分赛!CI80+晋级赛!AP80+晋级赛!BT80</f>
        <v>1478941.3166666669</v>
      </c>
      <c r="O74" s="2">
        <f>积分赛!BL80+积分赛!CJ80+晋级赛!AQ80+晋级赛!BU80</f>
        <v>547283.16</v>
      </c>
      <c r="Q74" s="10">
        <f>IFERROR(积分赛!BH80/$K74,0)</f>
        <v>0.765625</v>
      </c>
      <c r="R74" s="10">
        <f>IFERROR(积分赛!CF80/$K74,0)</f>
        <v>3.90625E-2</v>
      </c>
      <c r="S74" s="10">
        <f>IFERROR(晋级赛!AM80/$K74,0)</f>
        <v>0</v>
      </c>
      <c r="T74" s="10">
        <f>IFERROR(晋级赛!BQ80/$K74,0)</f>
        <v>0.19531249999999997</v>
      </c>
      <c r="V74" s="10">
        <f>IFERROR(积分赛!BL80/$O74,0)</f>
        <v>0.46555819477434685</v>
      </c>
      <c r="W74" s="10">
        <f>IFERROR(积分赛!CJ80/$O74,0)</f>
        <v>9.8970704671417262E-2</v>
      </c>
      <c r="X74" s="10">
        <f>IFERROR(晋级赛!AQ80/$O74,0)</f>
        <v>0.39588281868566905</v>
      </c>
      <c r="Y74" s="10">
        <f>IFERROR(晋级赛!BU80/$O74,0)</f>
        <v>3.9588281868566902E-2</v>
      </c>
      <c r="AD74" s="2">
        <v>70</v>
      </c>
      <c r="AE74" s="2">
        <f t="shared" si="6"/>
        <v>16554.666666666668</v>
      </c>
      <c r="AF74" s="2">
        <f t="shared" si="7"/>
        <v>19139.319133333334</v>
      </c>
      <c r="AG74" s="2">
        <f t="shared" si="8"/>
        <v>18512.802</v>
      </c>
      <c r="AH74" s="2">
        <f t="shared" si="9"/>
        <v>14789.413166666669</v>
      </c>
      <c r="AI74" s="2">
        <f t="shared" si="10"/>
        <v>5472.8316000000004</v>
      </c>
    </row>
    <row r="75" spans="10:35" x14ac:dyDescent="0.15">
      <c r="J75" s="2">
        <v>71</v>
      </c>
      <c r="K75" s="2">
        <f>积分赛!BH81+积分赛!CF81+晋级赛!AM81+晋级赛!BQ81</f>
        <v>1812258.18802595</v>
      </c>
      <c r="L75" s="2">
        <f>积分赛!BI81+积分赛!CG81+晋级赛!AN81+晋级赛!BR81</f>
        <v>2106929.7312140255</v>
      </c>
      <c r="M75" s="2">
        <f>积分赛!BJ81+积分赛!CH81+晋级赛!AO81+晋级赛!BS81</f>
        <v>2050781.7383202254</v>
      </c>
      <c r="N75" s="2">
        <f>积分赛!BK81+积分赛!CI81+晋级赛!AP81+晋级赛!BT81</f>
        <v>1671900.2344862241</v>
      </c>
      <c r="O75" s="2">
        <f>积分赛!BL81+积分赛!CJ81+晋级赛!AQ81+晋级赛!BU81</f>
        <v>768453.49094248936</v>
      </c>
      <c r="Q75" s="10">
        <f>IFERROR(积分赛!BH81/$K75,0)</f>
        <v>0.765625</v>
      </c>
      <c r="R75" s="10">
        <f>IFERROR(积分赛!CF81/$K75,0)</f>
        <v>3.90625E-2</v>
      </c>
      <c r="S75" s="10">
        <f>IFERROR(晋级赛!AM81/$K75,0)</f>
        <v>0</v>
      </c>
      <c r="T75" s="10">
        <f>IFERROR(晋级赛!BQ81/$K75,0)</f>
        <v>0.1953125</v>
      </c>
      <c r="V75" s="10">
        <f>IFERROR(积分赛!BL81/$O75,0)</f>
        <v>0.46555819477434679</v>
      </c>
      <c r="W75" s="10">
        <f>IFERROR(积分赛!CJ81/$O75,0)</f>
        <v>9.8970704671417248E-2</v>
      </c>
      <c r="X75" s="10">
        <f>IFERROR(晋级赛!AQ81/$O75,0)</f>
        <v>0.39588281868566899</v>
      </c>
      <c r="Y75" s="10">
        <f>IFERROR(晋级赛!BU81/$O75,0)</f>
        <v>3.9588281868566902E-2</v>
      </c>
      <c r="AD75" s="2">
        <v>71</v>
      </c>
      <c r="AE75" s="2">
        <f t="shared" si="6"/>
        <v>18122.581880259499</v>
      </c>
      <c r="AF75" s="2">
        <f t="shared" si="7"/>
        <v>21069.297312140257</v>
      </c>
      <c r="AG75" s="2">
        <f t="shared" si="8"/>
        <v>20507.817383202255</v>
      </c>
      <c r="AH75" s="2">
        <f t="shared" si="9"/>
        <v>16719.002344862241</v>
      </c>
      <c r="AI75" s="2">
        <f t="shared" si="10"/>
        <v>7684.5349094248941</v>
      </c>
    </row>
    <row r="76" spans="10:35" x14ac:dyDescent="0.15">
      <c r="J76" s="2">
        <v>72</v>
      </c>
      <c r="K76" s="2">
        <f>积分赛!BH82+积分赛!CF82+晋级赛!AM82+晋级赛!BQ82</f>
        <v>1980303.179769522</v>
      </c>
      <c r="L76" s="2">
        <f>积分赛!BI82+积分赛!CG82+晋级赛!AN82+晋级赛!BR82</f>
        <v>2311523.0243925611</v>
      </c>
      <c r="M76" s="2">
        <f>积分赛!BJ82+积分赛!CH82+晋级赛!AO82+晋级赛!BS82</f>
        <v>2258213.5892787687</v>
      </c>
      <c r="N76" s="2">
        <f>积分赛!BK82+积分赛!CI82+晋级赛!AP82+晋级赛!BT82</f>
        <v>1876659.99106084</v>
      </c>
      <c r="O76" s="2">
        <f>积分赛!BL82+积分赛!CJ82+晋级赛!AQ82+晋级赛!BU82</f>
        <v>1001725.6680251218</v>
      </c>
      <c r="Q76" s="10">
        <f>IFERROR(积分赛!BH82/$K76,0)</f>
        <v>0.765625</v>
      </c>
      <c r="R76" s="10">
        <f>IFERROR(积分赛!CF82/$K76,0)</f>
        <v>3.90625E-2</v>
      </c>
      <c r="S76" s="10">
        <f>IFERROR(晋级赛!AM82/$K76,0)</f>
        <v>0</v>
      </c>
      <c r="T76" s="10">
        <f>IFERROR(晋级赛!BQ82/$K76,0)</f>
        <v>0.1953125</v>
      </c>
      <c r="V76" s="10">
        <f>IFERROR(积分赛!BL82/$O76,0)</f>
        <v>0.46555819477434673</v>
      </c>
      <c r="W76" s="10">
        <f>IFERROR(积分赛!CJ82/$O76,0)</f>
        <v>9.8970704671417262E-2</v>
      </c>
      <c r="X76" s="10">
        <f>IFERROR(晋级赛!AQ82/$O76,0)</f>
        <v>0.39588281868566905</v>
      </c>
      <c r="Y76" s="10">
        <f>IFERROR(晋级赛!BU82/$O76,0)</f>
        <v>3.9588281868566902E-2</v>
      </c>
      <c r="AD76" s="2">
        <v>72</v>
      </c>
      <c r="AE76" s="2">
        <f t="shared" si="6"/>
        <v>19803.031797695221</v>
      </c>
      <c r="AF76" s="2">
        <f t="shared" si="7"/>
        <v>23115.230243925613</v>
      </c>
      <c r="AG76" s="2">
        <f t="shared" si="8"/>
        <v>22582.135892787686</v>
      </c>
      <c r="AH76" s="2">
        <f t="shared" si="9"/>
        <v>18766.599910608402</v>
      </c>
      <c r="AI76" s="2">
        <f t="shared" si="10"/>
        <v>10017.256680251217</v>
      </c>
    </row>
    <row r="77" spans="10:35" x14ac:dyDescent="0.15">
      <c r="J77" s="2">
        <v>73</v>
      </c>
      <c r="K77" s="2">
        <f>积分赛!BH83+积分赛!CF83+晋级赛!AM83+晋级赛!BQ83</f>
        <v>2160409.3424324142</v>
      </c>
      <c r="L77" s="2">
        <f>积分赛!BI83+积分赛!CG83+晋级赛!AN83+晋级赛!BR83</f>
        <v>2522956.0787557149</v>
      </c>
      <c r="M77" s="2">
        <f>积分赛!BJ83+积分赛!CH83+晋级赛!AO83+晋级赛!BS83</f>
        <v>2481906.3697777581</v>
      </c>
      <c r="N77" s="2">
        <f>积分赛!BK83+积分赛!CI83+晋级赛!AP83+晋级赛!BT83</f>
        <v>2097656.256047626</v>
      </c>
      <c r="O77" s="2">
        <f>积分赛!BL83+积分赛!CJ83+晋级赛!AQ83+晋级赛!BU83</f>
        <v>1252701.2095876837</v>
      </c>
      <c r="Q77" s="10">
        <f>IFERROR(积分赛!BH83/$K77,0)</f>
        <v>0.76562500000000011</v>
      </c>
      <c r="R77" s="10">
        <f>IFERROR(积分赛!CF83/$K77,0)</f>
        <v>3.90625E-2</v>
      </c>
      <c r="S77" s="10">
        <f>IFERROR(晋级赛!AM83/$K77,0)</f>
        <v>0</v>
      </c>
      <c r="T77" s="10">
        <f>IFERROR(晋级赛!BQ83/$K77,0)</f>
        <v>0.19531249999999997</v>
      </c>
      <c r="V77" s="10">
        <f>IFERROR(积分赛!BL83/$O77,0)</f>
        <v>0.46555819477434679</v>
      </c>
      <c r="W77" s="10">
        <f>IFERROR(积分赛!CJ83/$O77,0)</f>
        <v>9.8970704671417276E-2</v>
      </c>
      <c r="X77" s="10">
        <f>IFERROR(晋级赛!AQ83/$O77,0)</f>
        <v>0.3958828186856691</v>
      </c>
      <c r="Y77" s="10">
        <f>IFERROR(晋级赛!BU83/$O77,0)</f>
        <v>3.9588281868566902E-2</v>
      </c>
      <c r="AD77" s="2">
        <v>73</v>
      </c>
      <c r="AE77" s="2">
        <f t="shared" si="6"/>
        <v>21604.093424324143</v>
      </c>
      <c r="AF77" s="2">
        <f t="shared" si="7"/>
        <v>25229.560787557151</v>
      </c>
      <c r="AG77" s="2">
        <f t="shared" si="8"/>
        <v>24819.063697777583</v>
      </c>
      <c r="AH77" s="2">
        <f t="shared" si="9"/>
        <v>20976.562560476261</v>
      </c>
      <c r="AI77" s="2">
        <f t="shared" si="10"/>
        <v>12527.012095876837</v>
      </c>
    </row>
    <row r="78" spans="10:35" x14ac:dyDescent="0.15">
      <c r="J78" s="2">
        <v>74</v>
      </c>
      <c r="K78" s="2">
        <f>积分赛!BH84+积分赛!CF84+晋级赛!AM84+晋级赛!BQ84</f>
        <v>2353442.3480137461</v>
      </c>
      <c r="L78" s="2">
        <f>积分赛!BI84+积分赛!CG84+晋级赛!AN84+晋级赛!BR84</f>
        <v>2756252.586012789</v>
      </c>
      <c r="M78" s="2">
        <f>积分赛!BJ84+积分赛!CH84+晋级赛!AO84+晋级赛!BS84</f>
        <v>2732058.1871137577</v>
      </c>
      <c r="N78" s="2">
        <f>积分赛!BK84+积分赛!CI84+晋级赛!AP84+晋级赛!BT84</f>
        <v>2341144.805693272</v>
      </c>
      <c r="O78" s="2">
        <f>积分赛!BL84+积分赛!CJ84+晋级赛!AQ84+晋级赛!BU84</f>
        <v>1529884.7749289705</v>
      </c>
      <c r="Q78" s="10">
        <f>IFERROR(积分赛!BH84/$K78,0)</f>
        <v>0.76562499999999989</v>
      </c>
      <c r="R78" s="10">
        <f>IFERROR(积分赛!CF84/$K78,0)</f>
        <v>3.90625E-2</v>
      </c>
      <c r="S78" s="10">
        <f>IFERROR(晋级赛!AM84/$K78,0)</f>
        <v>0</v>
      </c>
      <c r="T78" s="10">
        <f>IFERROR(晋级赛!BQ84/$K78,0)</f>
        <v>0.19531249999999997</v>
      </c>
      <c r="V78" s="10">
        <f>IFERROR(积分赛!BL84/$O78,0)</f>
        <v>0.46555819477434679</v>
      </c>
      <c r="W78" s="10">
        <f>IFERROR(积分赛!CJ84/$O78,0)</f>
        <v>9.8970704671417262E-2</v>
      </c>
      <c r="X78" s="10">
        <f>IFERROR(晋级赛!AQ84/$O78,0)</f>
        <v>0.39588281868566905</v>
      </c>
      <c r="Y78" s="10">
        <f>IFERROR(晋级赛!BU84/$O78,0)</f>
        <v>3.9588281868566909E-2</v>
      </c>
      <c r="AD78" s="2">
        <v>74</v>
      </c>
      <c r="AE78" s="2">
        <f t="shared" si="6"/>
        <v>23534.423480137462</v>
      </c>
      <c r="AF78" s="2">
        <f t="shared" si="7"/>
        <v>27562.525860127891</v>
      </c>
      <c r="AG78" s="2">
        <f t="shared" si="8"/>
        <v>27320.581871137576</v>
      </c>
      <c r="AH78" s="2">
        <f t="shared" si="9"/>
        <v>23411.448056932721</v>
      </c>
      <c r="AI78" s="2">
        <f t="shared" si="10"/>
        <v>15298.847749289705</v>
      </c>
    </row>
    <row r="79" spans="10:35" x14ac:dyDescent="0.15">
      <c r="J79" s="2">
        <v>75</v>
      </c>
      <c r="K79" s="2">
        <f>积分赛!BH85+积分赛!CF85+晋级赛!AM85+晋级赛!BQ85</f>
        <v>2560330.0007894379</v>
      </c>
      <c r="L79" s="2">
        <f>积分赛!BI85+积分赛!CG85+晋级赛!AN85+晋级赛!BR85</f>
        <v>3009681.9925359557</v>
      </c>
      <c r="M79" s="2">
        <f>积分赛!BJ85+积分赛!CH85+晋级赛!AO85+晋级赛!BS85</f>
        <v>2999355.8099768599</v>
      </c>
      <c r="N79" s="2">
        <f>积分赛!BK85+积分赛!CI85+晋级赛!AP85+晋级赛!BT85</f>
        <v>2602310.1677633445</v>
      </c>
      <c r="O79" s="2">
        <f>积分赛!BL85+积分赛!CJ85+晋级赛!AQ85+晋级赛!BU85</f>
        <v>1831818.075826776</v>
      </c>
      <c r="Q79" s="10">
        <f>IFERROR(积分赛!BH85/$K79,0)</f>
        <v>0.76562499999999989</v>
      </c>
      <c r="R79" s="10">
        <f>IFERROR(积分赛!CF85/$K79,0)</f>
        <v>3.90625E-2</v>
      </c>
      <c r="S79" s="10">
        <f>IFERROR(晋级赛!AM85/$K79,0)</f>
        <v>0</v>
      </c>
      <c r="T79" s="10">
        <f>IFERROR(晋级赛!BQ85/$K79,0)</f>
        <v>0.1953125</v>
      </c>
      <c r="V79" s="10">
        <f>IFERROR(积分赛!BL85/$O79,0)</f>
        <v>0.46555819477434673</v>
      </c>
      <c r="W79" s="10">
        <f>IFERROR(积分赛!CJ85/$O79,0)</f>
        <v>9.8970704671417262E-2</v>
      </c>
      <c r="X79" s="10">
        <f>IFERROR(晋级赛!AQ85/$O79,0)</f>
        <v>0.39588281868566905</v>
      </c>
      <c r="Y79" s="10">
        <f>IFERROR(晋级赛!BU85/$O79,0)</f>
        <v>3.9588281868566902E-2</v>
      </c>
      <c r="AD79" s="2">
        <v>75</v>
      </c>
      <c r="AE79" s="2">
        <f t="shared" si="6"/>
        <v>25603.300007894381</v>
      </c>
      <c r="AF79" s="2">
        <f t="shared" si="7"/>
        <v>30096.819925359559</v>
      </c>
      <c r="AG79" s="2">
        <f t="shared" si="8"/>
        <v>29993.558099768601</v>
      </c>
      <c r="AH79" s="2">
        <f t="shared" si="9"/>
        <v>26023.101677633444</v>
      </c>
      <c r="AI79" s="2">
        <f t="shared" si="10"/>
        <v>18318.180758267761</v>
      </c>
    </row>
    <row r="80" spans="10:35" x14ac:dyDescent="0.15">
      <c r="J80" s="2">
        <v>76</v>
      </c>
      <c r="K80" s="2">
        <f>积分赛!BH86+积分赛!CF86+晋级赛!AM86+晋级赛!BQ86</f>
        <v>2782066.6967608477</v>
      </c>
      <c r="L80" s="2">
        <f>积分赛!BI86+积分赛!CG86+晋级赛!AN86+晋级赛!BR86</f>
        <v>3278254.9166915761</v>
      </c>
      <c r="M80" s="2">
        <f>积分赛!BJ86+积分赛!CH86+晋级赛!AO86+晋级赛!BS86</f>
        <v>3280729.4495076323</v>
      </c>
      <c r="N80" s="2">
        <f>积分赛!BK86+积分赛!CI86+晋级赛!AP86+晋级赛!BT86</f>
        <v>2883229.9602147792</v>
      </c>
      <c r="O80" s="2">
        <f>积分赛!BL86+积分赛!CJ86+晋级赛!AQ86+晋级赛!BU86</f>
        <v>2160957.6525069578</v>
      </c>
      <c r="Q80" s="10">
        <f>IFERROR(积分赛!BH86/$K80,0)</f>
        <v>0.765625</v>
      </c>
      <c r="R80" s="10">
        <f>IFERROR(积分赛!CF86/$K80,0)</f>
        <v>3.9062499999999993E-2</v>
      </c>
      <c r="S80" s="10">
        <f>IFERROR(晋级赛!AM86/$K80,0)</f>
        <v>0</v>
      </c>
      <c r="T80" s="10">
        <f>IFERROR(晋级赛!BQ86/$K80,0)</f>
        <v>0.1953125</v>
      </c>
      <c r="V80" s="10">
        <f>IFERROR(积分赛!BL86/$O80,0)</f>
        <v>0.46555819477434685</v>
      </c>
      <c r="W80" s="10">
        <f>IFERROR(积分赛!CJ86/$O80,0)</f>
        <v>9.8970704671417262E-2</v>
      </c>
      <c r="X80" s="10">
        <f>IFERROR(晋级赛!AQ86/$O80,0)</f>
        <v>0.39588281868566905</v>
      </c>
      <c r="Y80" s="10">
        <f>IFERROR(晋级赛!BU86/$O80,0)</f>
        <v>3.9588281868566909E-2</v>
      </c>
      <c r="AD80" s="2">
        <v>76</v>
      </c>
      <c r="AE80" s="2">
        <f t="shared" si="6"/>
        <v>27820.666967608478</v>
      </c>
      <c r="AF80" s="2">
        <f t="shared" si="7"/>
        <v>32782.549166915764</v>
      </c>
      <c r="AG80" s="2">
        <f t="shared" si="8"/>
        <v>32807.294495076327</v>
      </c>
      <c r="AH80" s="2">
        <f t="shared" si="9"/>
        <v>28832.299602147792</v>
      </c>
      <c r="AI80" s="2">
        <f t="shared" si="10"/>
        <v>21609.576525069577</v>
      </c>
    </row>
    <row r="81" spans="10:35" x14ac:dyDescent="0.15">
      <c r="J81" s="2">
        <v>77</v>
      </c>
      <c r="K81" s="2">
        <f>积分赛!BH87+积分赛!CF87+晋级赛!AM87+晋级赛!BQ87</f>
        <v>3019718.2031734828</v>
      </c>
      <c r="L81" s="2">
        <f>积分赛!BI87+积分赛!CG87+晋级赛!AN87+晋级赛!BR87</f>
        <v>3569042.3606384415</v>
      </c>
      <c r="M81" s="2">
        <f>积分赛!BJ87+积分赛!CH87+晋级赛!AO87+晋级赛!BS87</f>
        <v>3589179.9326805468</v>
      </c>
      <c r="N81" s="2">
        <f>积分赛!BK87+积分赛!CI87+晋级赛!AP87+晋级赛!BT87</f>
        <v>3187156.1040921551</v>
      </c>
      <c r="O81" s="2">
        <f>积分赛!BL87+积分赛!CJ87+晋级赛!AQ87+晋级赛!BU87</f>
        <v>2486902.8830779414</v>
      </c>
      <c r="Q81" s="10">
        <f>IFERROR(积分赛!BH87/$K81,0)</f>
        <v>0.765625</v>
      </c>
      <c r="R81" s="10">
        <f>IFERROR(积分赛!CF87/$K81,0)</f>
        <v>3.90625E-2</v>
      </c>
      <c r="S81" s="10">
        <f>IFERROR(晋级赛!AM87/$K81,0)</f>
        <v>0</v>
      </c>
      <c r="T81" s="10">
        <f>IFERROR(晋级赛!BQ87/$K81,0)</f>
        <v>0.19531250000000003</v>
      </c>
      <c r="V81" s="10">
        <f>IFERROR(积分赛!BL87/$O81,0)</f>
        <v>0.46555819477434679</v>
      </c>
      <c r="W81" s="10">
        <f>IFERROR(积分赛!CJ87/$O81,0)</f>
        <v>9.8970704671417262E-2</v>
      </c>
      <c r="X81" s="10">
        <f>IFERROR(晋级赛!AQ87/$O81,0)</f>
        <v>0.39588281868566905</v>
      </c>
      <c r="Y81" s="10">
        <f>IFERROR(晋级赛!BU87/$O81,0)</f>
        <v>3.9588281868566895E-2</v>
      </c>
      <c r="AD81" s="2">
        <v>77</v>
      </c>
      <c r="AE81" s="2">
        <f t="shared" si="6"/>
        <v>30197.182031734828</v>
      </c>
      <c r="AF81" s="2">
        <f t="shared" si="7"/>
        <v>35690.423606384415</v>
      </c>
      <c r="AG81" s="2">
        <f t="shared" si="8"/>
        <v>35891.799326805471</v>
      </c>
      <c r="AH81" s="2">
        <f t="shared" si="9"/>
        <v>31871.561040921551</v>
      </c>
      <c r="AI81" s="2">
        <f t="shared" si="10"/>
        <v>24869.028830779414</v>
      </c>
    </row>
    <row r="82" spans="10:35" x14ac:dyDescent="0.15">
      <c r="J82" s="2">
        <v>78</v>
      </c>
      <c r="K82" s="2">
        <f>积分赛!BH88+积分赛!CF88+晋级赛!AM88+晋级赛!BQ88</f>
        <v>3274426.7810783191</v>
      </c>
      <c r="L82" s="2">
        <f>积分赛!BI88+积分赛!CG88+晋级赛!AN88+晋级赛!BR88</f>
        <v>3878225.1437140629</v>
      </c>
      <c r="M82" s="2">
        <f>积分赛!BJ88+积分赛!CH88+晋级赛!AO88+晋级赛!BS88</f>
        <v>3918771.8156429473</v>
      </c>
      <c r="N82" s="2">
        <f>积分赛!BK88+积分赛!CI88+晋级赛!AP88+晋级赛!BT88</f>
        <v>3506083.3309400934</v>
      </c>
      <c r="O82" s="2">
        <f>积分赛!BL88+积分赛!CJ88+晋级赛!AQ88+晋级赛!BU88</f>
        <v>2833490.3919124994</v>
      </c>
      <c r="Q82" s="10">
        <f>IFERROR(积分赛!BH88/$K82,0)</f>
        <v>0.765625</v>
      </c>
      <c r="R82" s="10">
        <f>IFERROR(积分赛!CF88/$K82,0)</f>
        <v>3.90625E-2</v>
      </c>
      <c r="S82" s="10">
        <f>IFERROR(晋级赛!AM88/$K82,0)</f>
        <v>0</v>
      </c>
      <c r="T82" s="10">
        <f>IFERROR(晋级赛!BQ88/$K82,0)</f>
        <v>0.1953125</v>
      </c>
      <c r="V82" s="10">
        <f>IFERROR(积分赛!BL88/$O82,0)</f>
        <v>0.46555819477434673</v>
      </c>
      <c r="W82" s="10">
        <f>IFERROR(积分赛!CJ88/$O82,0)</f>
        <v>9.8970704671417248E-2</v>
      </c>
      <c r="X82" s="10">
        <f>IFERROR(晋级赛!AQ88/$O82,0)</f>
        <v>0.39588281868566899</v>
      </c>
      <c r="Y82" s="10">
        <f>IFERROR(晋级赛!BU88/$O82,0)</f>
        <v>3.9588281868566902E-2</v>
      </c>
      <c r="AD82" s="2">
        <v>78</v>
      </c>
      <c r="AE82" s="2">
        <f t="shared" si="6"/>
        <v>32744.267810783193</v>
      </c>
      <c r="AF82" s="2">
        <f t="shared" si="7"/>
        <v>38782.251437140629</v>
      </c>
      <c r="AG82" s="2">
        <f t="shared" si="8"/>
        <v>39187.718156429473</v>
      </c>
      <c r="AH82" s="2">
        <f t="shared" si="9"/>
        <v>35060.833309400936</v>
      </c>
      <c r="AI82" s="2">
        <f t="shared" si="10"/>
        <v>28334.903919124994</v>
      </c>
    </row>
    <row r="83" spans="10:35" x14ac:dyDescent="0.15">
      <c r="J83" s="2">
        <v>79</v>
      </c>
      <c r="K83" s="2">
        <f>积分赛!BH89+积分赛!CF89+晋级赛!AM89+晋级赛!BQ89</f>
        <v>3547416.6755570797</v>
      </c>
      <c r="L83" s="2">
        <f>积分赛!BI89+积分赛!CG89+晋级赛!AN89+晋级赛!BR89</f>
        <v>4214153.2037705183</v>
      </c>
      <c r="M83" s="2">
        <f>积分赛!BJ89+积分赛!CH89+晋级赛!AO89+晋级赛!BS89</f>
        <v>4273049.1703662844</v>
      </c>
      <c r="N83" s="2">
        <f>积分赛!BK89+积分赛!CI89+晋级赛!AP89+晋级赛!BT89</f>
        <v>3833213.4336257912</v>
      </c>
      <c r="O83" s="2">
        <f>积分赛!BL89+积分赛!CJ89+晋级赛!AQ89+晋级赛!BU89</f>
        <v>3209879.6484994865</v>
      </c>
      <c r="Q83" s="10">
        <f>IFERROR(积分赛!BH89/$K83,0)</f>
        <v>0.765625</v>
      </c>
      <c r="R83" s="10">
        <f>IFERROR(积分赛!CF89/$K83,0)</f>
        <v>3.90625E-2</v>
      </c>
      <c r="S83" s="10">
        <f>IFERROR(晋级赛!AM89/$K83,0)</f>
        <v>0</v>
      </c>
      <c r="T83" s="10">
        <f>IFERROR(晋级赛!BQ89/$K83,0)</f>
        <v>0.1953125</v>
      </c>
      <c r="V83" s="10">
        <f>IFERROR(积分赛!BL89/$O83,0)</f>
        <v>0.46555819477434673</v>
      </c>
      <c r="W83" s="10">
        <f>IFERROR(积分赛!CJ89/$O83,0)</f>
        <v>9.8970704671417248E-2</v>
      </c>
      <c r="X83" s="10">
        <f>IFERROR(晋级赛!AQ89/$O83,0)</f>
        <v>0.39588281868566899</v>
      </c>
      <c r="Y83" s="10">
        <f>IFERROR(晋级赛!BU89/$O83,0)</f>
        <v>3.9588281868566902E-2</v>
      </c>
      <c r="AD83" s="2">
        <v>79</v>
      </c>
      <c r="AE83" s="2">
        <f t="shared" si="6"/>
        <v>35474.166755570797</v>
      </c>
      <c r="AF83" s="2">
        <f t="shared" si="7"/>
        <v>42141.532037705183</v>
      </c>
      <c r="AG83" s="2">
        <f t="shared" si="8"/>
        <v>42730.491703662847</v>
      </c>
      <c r="AH83" s="2">
        <f t="shared" si="9"/>
        <v>38332.134336257914</v>
      </c>
      <c r="AI83" s="2">
        <f t="shared" si="10"/>
        <v>32098.796484994866</v>
      </c>
    </row>
    <row r="84" spans="10:35" x14ac:dyDescent="0.15">
      <c r="J84" s="2">
        <v>80</v>
      </c>
      <c r="K84" s="2">
        <f>积分赛!BH90+积分赛!CF90+晋级赛!AM90+晋级赛!BQ90</f>
        <v>3840000</v>
      </c>
      <c r="L84" s="2">
        <f>积分赛!BI90+积分赛!CG90+晋级赛!AN90+晋级赛!BR90</f>
        <v>4573301</v>
      </c>
      <c r="M84" s="2">
        <f>积分赛!BJ90+积分赛!CH90+晋级赛!AO90+晋级赛!BS90</f>
        <v>4630348.8</v>
      </c>
      <c r="N84" s="2">
        <f>积分赛!BK90+积分赛!CI90+晋级赛!AP90+晋级赛!BT90</f>
        <v>4181710.0000000005</v>
      </c>
      <c r="O84" s="2">
        <f>积分赛!BL90+积分赛!CJ90+晋级赛!AQ90+晋级赛!BU90</f>
        <v>3601823.4</v>
      </c>
      <c r="Q84" s="10">
        <f>IFERROR(积分赛!BH90/$K84,0)</f>
        <v>0.765625</v>
      </c>
      <c r="R84" s="10">
        <f>IFERROR(积分赛!CF90/$K84,0)</f>
        <v>3.90625E-2</v>
      </c>
      <c r="S84" s="10">
        <f>IFERROR(晋级赛!AM90/$K84,0)</f>
        <v>0</v>
      </c>
      <c r="T84" s="10">
        <f>IFERROR(晋级赛!BQ90/$K84,0)</f>
        <v>0.1953125</v>
      </c>
      <c r="V84" s="10">
        <f>IFERROR(积分赛!BL90/$O84,0)</f>
        <v>0.46555819477434679</v>
      </c>
      <c r="W84" s="10">
        <f>IFERROR(积分赛!CJ90/$O84,0)</f>
        <v>9.8970704671417262E-2</v>
      </c>
      <c r="X84" s="10">
        <f>IFERROR(晋级赛!AQ90/$O84,0)</f>
        <v>0.39588281868566905</v>
      </c>
      <c r="Y84" s="10">
        <f>IFERROR(晋级赛!BU90/$O84,0)</f>
        <v>3.9588281868566902E-2</v>
      </c>
      <c r="AD84" s="2">
        <v>80</v>
      </c>
      <c r="AE84" s="2">
        <f t="shared" si="6"/>
        <v>38400</v>
      </c>
      <c r="AF84" s="2">
        <f t="shared" si="7"/>
        <v>45733.01</v>
      </c>
      <c r="AG84" s="2">
        <f t="shared" si="8"/>
        <v>46303.487999999998</v>
      </c>
      <c r="AH84" s="2">
        <f t="shared" si="9"/>
        <v>41817.100000000006</v>
      </c>
      <c r="AI84" s="2">
        <f t="shared" si="10"/>
        <v>36018.233999999997</v>
      </c>
    </row>
    <row r="85" spans="10:35" x14ac:dyDescent="0.15">
      <c r="J85" s="2">
        <v>81</v>
      </c>
      <c r="K85" s="2">
        <f>积分赛!BH91+积分赛!CF91+晋级赛!AM91+晋级赛!BQ91</f>
        <v>4153583.042718566</v>
      </c>
      <c r="L85" s="2">
        <f>积分赛!BI91+积分赛!CG91+晋级赛!AN91+晋级赛!BR91</f>
        <v>4938862.7048659213</v>
      </c>
      <c r="M85" s="2">
        <f>积分赛!BJ91+积分赛!CH91+晋级赛!AO91+晋级赛!BS91</f>
        <v>5010359.1912918631</v>
      </c>
      <c r="N85" s="2">
        <f>积分赛!BK91+积分赛!CI91+晋级赛!AP91+晋级赛!BT91</f>
        <v>4559631.3578892583</v>
      </c>
      <c r="O85" s="2">
        <f>积分赛!BL91+积分赛!CJ91+晋级赛!AQ91+晋级赛!BU91</f>
        <v>4029552.4135358236</v>
      </c>
      <c r="Q85" s="10">
        <f>IFERROR(积分赛!BH91/$K85,0)</f>
        <v>0.765625</v>
      </c>
      <c r="R85" s="10">
        <f>IFERROR(积分赛!CF91/$K85,0)</f>
        <v>3.90625E-2</v>
      </c>
      <c r="S85" s="10">
        <f>IFERROR(晋级赛!AM91/$K85,0)</f>
        <v>0</v>
      </c>
      <c r="T85" s="10">
        <f>IFERROR(晋级赛!BQ91/$K85,0)</f>
        <v>0.1953125</v>
      </c>
      <c r="V85" s="10">
        <f>IFERROR(积分赛!BL91/$O85,0)</f>
        <v>0.46555819477434679</v>
      </c>
      <c r="W85" s="10">
        <f>IFERROR(积分赛!CJ91/$O85,0)</f>
        <v>9.8970704671417262E-2</v>
      </c>
      <c r="X85" s="10">
        <f>IFERROR(晋级赛!AQ91/$O85,0)</f>
        <v>0.39588281868566905</v>
      </c>
      <c r="Y85" s="10">
        <f>IFERROR(晋级赛!BU91/$O85,0)</f>
        <v>3.9588281868566895E-2</v>
      </c>
      <c r="AD85" s="2">
        <v>81</v>
      </c>
      <c r="AE85" s="2">
        <f t="shared" si="6"/>
        <v>41535.830427185661</v>
      </c>
      <c r="AF85" s="2">
        <f t="shared" si="7"/>
        <v>49388.627048659211</v>
      </c>
      <c r="AG85" s="2">
        <f t="shared" si="8"/>
        <v>50103.59191291863</v>
      </c>
      <c r="AH85" s="2">
        <f t="shared" si="9"/>
        <v>45596.313578892587</v>
      </c>
      <c r="AI85" s="2">
        <f t="shared" si="10"/>
        <v>40295.524135358239</v>
      </c>
    </row>
    <row r="86" spans="10:35" x14ac:dyDescent="0.15">
      <c r="J86" s="2">
        <v>82</v>
      </c>
      <c r="K86" s="2">
        <f>积分赛!BH92+积分赛!CF92+晋级赛!AM92+晋级赛!BQ92</f>
        <v>4489673.0262057073</v>
      </c>
      <c r="L86" s="2">
        <f>积分赛!BI92+积分赛!CG92+晋级赛!AN92+晋级赛!BR92</f>
        <v>5340749.2673949208</v>
      </c>
      <c r="M86" s="2">
        <f>积分赛!BJ92+积分赛!CH92+晋级赛!AO92+晋级赛!BS92</f>
        <v>5432430.8711522464</v>
      </c>
      <c r="N86" s="2">
        <f>积分赛!BK92+积分赛!CI92+晋级赛!AP92+晋级赛!BT92</f>
        <v>4973434.101596755</v>
      </c>
      <c r="O86" s="2">
        <f>积分赛!BL92+积分赛!CJ92+晋级赛!AQ92+晋级赛!BU92</f>
        <v>4482047.2699835049</v>
      </c>
      <c r="Q86" s="10">
        <f>IFERROR(积分赛!BH92/$K86,0)</f>
        <v>0.765625</v>
      </c>
      <c r="R86" s="10">
        <f>IFERROR(积分赛!CF92/$K86,0)</f>
        <v>3.9062499999999993E-2</v>
      </c>
      <c r="S86" s="10">
        <f>IFERROR(晋级赛!AM92/$K86,0)</f>
        <v>0</v>
      </c>
      <c r="T86" s="10">
        <f>IFERROR(晋级赛!BQ92/$K86,0)</f>
        <v>0.1953125</v>
      </c>
      <c r="V86" s="10">
        <f>IFERROR(积分赛!BL92/$O86,0)</f>
        <v>0.46555819477434685</v>
      </c>
      <c r="W86" s="10">
        <f>IFERROR(积分赛!CJ92/$O86,0)</f>
        <v>9.8970704671417276E-2</v>
      </c>
      <c r="X86" s="10">
        <f>IFERROR(晋级赛!AQ92/$O86,0)</f>
        <v>0.3958828186856691</v>
      </c>
      <c r="Y86" s="10">
        <f>IFERROR(晋级赛!BU92/$O86,0)</f>
        <v>3.9588281868566902E-2</v>
      </c>
      <c r="AD86" s="2">
        <v>82</v>
      </c>
      <c r="AE86" s="2">
        <f t="shared" si="6"/>
        <v>44896.730262057077</v>
      </c>
      <c r="AF86" s="2">
        <f t="shared" si="7"/>
        <v>53407.492673949208</v>
      </c>
      <c r="AG86" s="2">
        <f t="shared" si="8"/>
        <v>54324.308711522463</v>
      </c>
      <c r="AH86" s="2">
        <f t="shared" si="9"/>
        <v>49734.341015967548</v>
      </c>
      <c r="AI86" s="2">
        <f t="shared" si="10"/>
        <v>44820.472699835052</v>
      </c>
    </row>
    <row r="87" spans="10:35" x14ac:dyDescent="0.15">
      <c r="J87" s="2">
        <v>83</v>
      </c>
      <c r="K87" s="2">
        <f>积分赛!BH93+积分赛!CF93+晋级赛!AM93+晋级赛!BQ93</f>
        <v>4849885.3515314991</v>
      </c>
      <c r="L87" s="2">
        <f>积分赛!BI93+积分赛!CG93+晋级赛!AN93+晋级赛!BR93</f>
        <v>5780850.1009726329</v>
      </c>
      <c r="M87" s="2">
        <f>积分赛!BJ93+积分赛!CH93+晋级赛!AO93+晋级赛!BS93</f>
        <v>5899887.1720851809</v>
      </c>
      <c r="N87" s="2">
        <f>积分赛!BK93+积分赛!CI93+晋级赛!AP93+晋级赛!BT93</f>
        <v>5416675.35316684</v>
      </c>
      <c r="O87" s="2">
        <f>积分赛!BL93+积分赛!CJ93+晋级赛!AQ93+晋级赛!BU93</f>
        <v>4984110.056217337</v>
      </c>
      <c r="Q87" s="10">
        <f>IFERROR(积分赛!BH93/$K87,0)</f>
        <v>0.765625</v>
      </c>
      <c r="R87" s="10">
        <f>IFERROR(积分赛!CF93/$K87,0)</f>
        <v>3.90625E-2</v>
      </c>
      <c r="S87" s="10">
        <f>IFERROR(晋级赛!AM93/$K87,0)</f>
        <v>0</v>
      </c>
      <c r="T87" s="10">
        <f>IFERROR(晋级赛!BQ93/$K87,0)</f>
        <v>0.19531250000000003</v>
      </c>
      <c r="V87" s="10">
        <f>IFERROR(积分赛!BL93/$O87,0)</f>
        <v>0.46555819477434679</v>
      </c>
      <c r="W87" s="10">
        <f>IFERROR(积分赛!CJ93/$O87,0)</f>
        <v>9.8970704671417262E-2</v>
      </c>
      <c r="X87" s="10">
        <f>IFERROR(晋级赛!AQ93/$O87,0)</f>
        <v>0.39588281868566905</v>
      </c>
      <c r="Y87" s="10">
        <f>IFERROR(晋级赛!BU93/$O87,0)</f>
        <v>3.9588281868566909E-2</v>
      </c>
      <c r="AD87" s="2">
        <v>83</v>
      </c>
      <c r="AE87" s="2">
        <f t="shared" si="6"/>
        <v>48498.853515314993</v>
      </c>
      <c r="AF87" s="2">
        <f t="shared" si="7"/>
        <v>57808.501009726329</v>
      </c>
      <c r="AG87" s="2">
        <f t="shared" si="8"/>
        <v>58998.871720851806</v>
      </c>
      <c r="AH87" s="2">
        <f t="shared" si="9"/>
        <v>54166.753531668401</v>
      </c>
      <c r="AI87" s="2">
        <f t="shared" si="10"/>
        <v>49841.100562173371</v>
      </c>
    </row>
    <row r="88" spans="10:35" x14ac:dyDescent="0.15">
      <c r="J88" s="2">
        <v>84</v>
      </c>
      <c r="K88" s="2">
        <f>积分赛!BH94+积分赛!CF94+晋级赛!AM94+晋级赛!BQ94</f>
        <v>5235951.3626941582</v>
      </c>
      <c r="L88" s="2">
        <f>积分赛!BI94+积分赛!CG94+晋级赛!AN94+晋级赛!BR94</f>
        <v>6252810.0527593326</v>
      </c>
      <c r="M88" s="2">
        <f>积分赛!BJ94+积分赛!CH94+晋级赛!AO94+晋级赛!BS94</f>
        <v>6383958.8342903601</v>
      </c>
      <c r="N88" s="2">
        <f>积分赛!BK94+积分赛!CI94+晋级赛!AP94+晋级赛!BT94</f>
        <v>5885903.4327176819</v>
      </c>
      <c r="O88" s="2">
        <f>积分赛!BL94+积分赛!CJ94+晋级赛!AQ94+晋级赛!BU94</f>
        <v>5527688.1647948949</v>
      </c>
      <c r="Q88" s="10">
        <f>IFERROR(积分赛!BH94/$K88,0)</f>
        <v>0.765625</v>
      </c>
      <c r="R88" s="10">
        <f>IFERROR(积分赛!CF94/$K88,0)</f>
        <v>3.90625E-2</v>
      </c>
      <c r="S88" s="10">
        <f>IFERROR(晋级赛!AM94/$K88,0)</f>
        <v>0</v>
      </c>
      <c r="T88" s="10">
        <f>IFERROR(晋级赛!BQ94/$K88,0)</f>
        <v>0.1953125</v>
      </c>
      <c r="V88" s="10">
        <f>IFERROR(积分赛!BL94/$O88,0)</f>
        <v>0.46555819477434679</v>
      </c>
      <c r="W88" s="10">
        <f>IFERROR(积分赛!CJ94/$O88,0)</f>
        <v>9.8970704671417262E-2</v>
      </c>
      <c r="X88" s="10">
        <f>IFERROR(晋级赛!AQ94/$O88,0)</f>
        <v>0.39588281868566905</v>
      </c>
      <c r="Y88" s="10">
        <f>IFERROR(晋级赛!BU94/$O88,0)</f>
        <v>3.9588281868566902E-2</v>
      </c>
      <c r="AD88" s="2">
        <v>84</v>
      </c>
      <c r="AE88" s="2">
        <f t="shared" si="6"/>
        <v>52359.513626941582</v>
      </c>
      <c r="AF88" s="2">
        <f t="shared" si="7"/>
        <v>62528.100527593328</v>
      </c>
      <c r="AG88" s="2">
        <f t="shared" si="8"/>
        <v>63839.588342903604</v>
      </c>
      <c r="AH88" s="2">
        <f t="shared" si="9"/>
        <v>58859.034327176822</v>
      </c>
      <c r="AI88" s="2">
        <f t="shared" si="10"/>
        <v>55276.881647948947</v>
      </c>
    </row>
    <row r="89" spans="10:35" x14ac:dyDescent="0.15">
      <c r="J89" s="2">
        <v>85</v>
      </c>
      <c r="K89" s="2">
        <f>积分赛!BH95+积分赛!CF95+晋级赛!AM95+晋级赛!BQ95</f>
        <v>5649726.6682455437</v>
      </c>
      <c r="L89" s="2">
        <f>积分赛!BI95+积分赛!CG95+晋级赛!AN95+晋级赛!BR95</f>
        <v>6742517.5590835521</v>
      </c>
      <c r="M89" s="2">
        <f>积分赛!BJ95+积分赛!CH95+晋级赛!AO95+晋级赛!BS95</f>
        <v>6896689.738238344</v>
      </c>
      <c r="N89" s="2">
        <f>积分赛!BK95+积分赛!CI95+晋级赛!AP95+晋级赛!BT95</f>
        <v>6404457.9526085705</v>
      </c>
      <c r="O89" s="2">
        <f>积分赛!BL95+积分赛!CJ95+晋级赛!AQ95+晋级赛!BU95</f>
        <v>6107445.5550247272</v>
      </c>
      <c r="Q89" s="10">
        <f>IFERROR(积分赛!BH95/$K89,0)</f>
        <v>0.76562499999999989</v>
      </c>
      <c r="R89" s="10">
        <f>IFERROR(积分赛!CF95/$K89,0)</f>
        <v>3.90625E-2</v>
      </c>
      <c r="S89" s="10">
        <f>IFERROR(晋级赛!AM95/$K89,0)</f>
        <v>0</v>
      </c>
      <c r="T89" s="10">
        <f>IFERROR(晋级赛!BQ95/$K89,0)</f>
        <v>0.19531249999999997</v>
      </c>
      <c r="V89" s="10">
        <f>IFERROR(积分赛!BL95/$O89,0)</f>
        <v>0.46555819477434685</v>
      </c>
      <c r="W89" s="10">
        <f>IFERROR(积分赛!CJ95/$O89,0)</f>
        <v>9.8970704671417276E-2</v>
      </c>
      <c r="X89" s="10">
        <f>IFERROR(晋级赛!AQ95/$O89,0)</f>
        <v>0.3958828186856691</v>
      </c>
      <c r="Y89" s="10">
        <f>IFERROR(晋级赛!BU95/$O89,0)</f>
        <v>3.9588281868566902E-2</v>
      </c>
      <c r="AD89" s="2">
        <v>85</v>
      </c>
      <c r="AE89" s="2">
        <f t="shared" si="6"/>
        <v>56497.26668245544</v>
      </c>
      <c r="AF89" s="2">
        <f t="shared" si="7"/>
        <v>67425.175590835526</v>
      </c>
      <c r="AG89" s="2">
        <f t="shared" si="8"/>
        <v>68966.897382383439</v>
      </c>
      <c r="AH89" s="2">
        <f t="shared" si="9"/>
        <v>64044.579526085705</v>
      </c>
      <c r="AI89" s="2">
        <f t="shared" si="10"/>
        <v>61074.455550247272</v>
      </c>
    </row>
    <row r="90" spans="10:35" x14ac:dyDescent="0.15">
      <c r="J90" s="2">
        <v>86</v>
      </c>
      <c r="K90" s="2">
        <f>积分赛!BH96+积分赛!CF96+晋级赛!AM96+晋级赛!BQ96</f>
        <v>6093200.0601883642</v>
      </c>
      <c r="L90" s="2">
        <f>积分赛!BI96+积分赛!CG96+晋级赛!AN96+晋级赛!BR96</f>
        <v>7275762.7619038206</v>
      </c>
      <c r="M90" s="2">
        <f>积分赛!BJ96+积分赛!CH96+晋级赛!AO96+晋级赛!BS96</f>
        <v>7460754.4832791425</v>
      </c>
      <c r="N90" s="2">
        <f>积分赛!BK96+积分赛!CI96+晋级赛!AP96+晋级赛!BT96</f>
        <v>6973405.9622972058</v>
      </c>
      <c r="O90" s="2">
        <f>积分赛!BL96+积分赛!CJ96+晋级赛!AQ96+晋级赛!BU96</f>
        <v>6647345.7062462475</v>
      </c>
      <c r="Q90" s="10">
        <f>IFERROR(积分赛!BH96/$K90,0)</f>
        <v>0.765625</v>
      </c>
      <c r="R90" s="10">
        <f>IFERROR(积分赛!CF96/$K90,0)</f>
        <v>3.9062499999999993E-2</v>
      </c>
      <c r="S90" s="10">
        <f>IFERROR(晋级赛!AM96/$K90,0)</f>
        <v>0</v>
      </c>
      <c r="T90" s="10">
        <f>IFERROR(晋级赛!BQ96/$K90,0)</f>
        <v>0.19531249999999997</v>
      </c>
      <c r="V90" s="10">
        <f>IFERROR(积分赛!BL96/$O90,0)</f>
        <v>0.46555819477434673</v>
      </c>
      <c r="W90" s="10">
        <f>IFERROR(积分赛!CJ96/$O90,0)</f>
        <v>9.8970704671417248E-2</v>
      </c>
      <c r="X90" s="10">
        <f>IFERROR(晋级赛!AQ96/$O90,0)</f>
        <v>0.39588281868566899</v>
      </c>
      <c r="Y90" s="10">
        <f>IFERROR(晋级赛!BU96/$O90,0)</f>
        <v>3.9588281868566909E-2</v>
      </c>
      <c r="AD90" s="2">
        <v>86</v>
      </c>
      <c r="AE90" s="2">
        <f t="shared" si="6"/>
        <v>60932.000601883643</v>
      </c>
      <c r="AF90" s="2">
        <f t="shared" si="7"/>
        <v>72757.627619038205</v>
      </c>
      <c r="AG90" s="2">
        <f t="shared" si="8"/>
        <v>74607.54483279142</v>
      </c>
      <c r="AH90" s="2">
        <f t="shared" si="9"/>
        <v>69734.059622972054</v>
      </c>
      <c r="AI90" s="2">
        <f t="shared" si="10"/>
        <v>66473.457062462476</v>
      </c>
    </row>
    <row r="91" spans="10:35" x14ac:dyDescent="0.15">
      <c r="J91" s="2">
        <v>87</v>
      </c>
      <c r="K91" s="2">
        <f>积分赛!BH97+积分赛!CF97+晋级赛!AM97+晋级赛!BQ97</f>
        <v>6568503.073013627</v>
      </c>
      <c r="L91" s="2">
        <f>积分赛!BI97+积分赛!CG97+晋级赛!AN97+晋级赛!BR97</f>
        <v>7856942.8161476161</v>
      </c>
      <c r="M91" s="2">
        <f>积分赛!BJ97+积分赛!CH97+晋级赛!AO97+晋级赛!BS97</f>
        <v>8082001.6305754771</v>
      </c>
      <c r="N91" s="2">
        <f>积分赛!BK97+积分赛!CI97+晋级赛!AP97+晋级赛!BT97</f>
        <v>7516252.8743086811</v>
      </c>
      <c r="O91" s="2">
        <f>积分赛!BL97+积分赛!CJ97+晋级赛!AQ97+晋级赛!BU97</f>
        <v>7220118.8724973537</v>
      </c>
      <c r="Q91" s="10">
        <f>IFERROR(积分赛!BH97/$K91,0)</f>
        <v>0.76562500000000011</v>
      </c>
      <c r="R91" s="10">
        <f>IFERROR(积分赛!CF97/$K91,0)</f>
        <v>3.9062499999999993E-2</v>
      </c>
      <c r="S91" s="10">
        <f>IFERROR(晋级赛!AM97/$K91,0)</f>
        <v>0</v>
      </c>
      <c r="T91" s="10">
        <f>IFERROR(晋级赛!BQ97/$K91,0)</f>
        <v>0.19531249999999997</v>
      </c>
      <c r="V91" s="10">
        <f>IFERROR(积分赛!BL97/$O91,0)</f>
        <v>0.46555819477434679</v>
      </c>
      <c r="W91" s="10">
        <f>IFERROR(积分赛!CJ97/$O91,0)</f>
        <v>9.8970704671417262E-2</v>
      </c>
      <c r="X91" s="10">
        <f>IFERROR(晋级赛!AQ97/$O91,0)</f>
        <v>0.39588281868566905</v>
      </c>
      <c r="Y91" s="10">
        <f>IFERROR(晋级赛!BU97/$O91,0)</f>
        <v>3.9588281868566909E-2</v>
      </c>
      <c r="AD91" s="2">
        <v>87</v>
      </c>
      <c r="AE91" s="2">
        <f t="shared" si="6"/>
        <v>65685.030730136277</v>
      </c>
      <c r="AF91" s="2">
        <f t="shared" si="7"/>
        <v>78569.428161476157</v>
      </c>
      <c r="AG91" s="2">
        <f t="shared" si="8"/>
        <v>80820.016305754776</v>
      </c>
      <c r="AH91" s="2">
        <f t="shared" si="9"/>
        <v>75162.528743086819</v>
      </c>
      <c r="AI91" s="2">
        <f t="shared" si="10"/>
        <v>72201.188724973545</v>
      </c>
    </row>
    <row r="92" spans="10:35" x14ac:dyDescent="0.15">
      <c r="J92" s="2">
        <v>88</v>
      </c>
      <c r="K92" s="2">
        <f>积分赛!BH98+积分赛!CF98+晋级赛!AM98+晋级赛!BQ98</f>
        <v>7077920.2288233042</v>
      </c>
      <c r="L92" s="2">
        <f>积分赛!BI98+积分赛!CG98+晋级赛!AN98+晋级赛!BR98</f>
        <v>8490909.509883102</v>
      </c>
      <c r="M92" s="2">
        <f>积分赛!BJ98+积分赛!CH98+晋级赛!AO98+晋级赛!BS98</f>
        <v>8713514.6770548262</v>
      </c>
      <c r="N92" s="2">
        <f>积分赛!BK98+积分赛!CI98+晋级赛!AP98+晋级赛!BT98</f>
        <v>8068982.1551868832</v>
      </c>
      <c r="O92" s="2">
        <f>积分赛!BL98+积分赛!CJ98+晋级赛!AQ98+晋级赛!BU98</f>
        <v>7846426.4920861796</v>
      </c>
      <c r="Q92" s="10">
        <f>IFERROR(积分赛!BH98/$K92,0)</f>
        <v>0.765625</v>
      </c>
      <c r="R92" s="10">
        <f>IFERROR(积分赛!CF98/$K92,0)</f>
        <v>3.90625E-2</v>
      </c>
      <c r="S92" s="10">
        <f>IFERROR(晋级赛!AM98/$K92,0)</f>
        <v>0</v>
      </c>
      <c r="T92" s="10">
        <f>IFERROR(晋级赛!BQ98/$K92,0)</f>
        <v>0.1953125</v>
      </c>
      <c r="V92" s="10">
        <f>IFERROR(积分赛!BL98/$O92,0)</f>
        <v>0.46555819477434679</v>
      </c>
      <c r="W92" s="10">
        <f>IFERROR(积分赛!CJ98/$O92,0)</f>
        <v>9.8970704671417262E-2</v>
      </c>
      <c r="X92" s="10">
        <f>IFERROR(晋级赛!AQ98/$O92,0)</f>
        <v>0.39588281868566905</v>
      </c>
      <c r="Y92" s="10">
        <f>IFERROR(晋级赛!BU98/$O92,0)</f>
        <v>3.9588281868566909E-2</v>
      </c>
      <c r="AD92" s="2">
        <v>88</v>
      </c>
      <c r="AE92" s="2">
        <f t="shared" si="6"/>
        <v>70779.202288233049</v>
      </c>
      <c r="AF92" s="2">
        <f t="shared" si="7"/>
        <v>84909.095098831021</v>
      </c>
      <c r="AG92" s="2">
        <f t="shared" si="8"/>
        <v>87135.146770548265</v>
      </c>
      <c r="AH92" s="2">
        <f t="shared" si="9"/>
        <v>80689.821551868838</v>
      </c>
      <c r="AI92" s="2">
        <f t="shared" si="10"/>
        <v>78464.264920861795</v>
      </c>
    </row>
    <row r="93" spans="10:35" x14ac:dyDescent="0.15">
      <c r="J93" s="2">
        <v>89</v>
      </c>
      <c r="K93" s="2">
        <f>积分赛!BH99+积分赛!CF99+晋级赛!AM99+晋级赛!BQ99</f>
        <v>7623900.0177808274</v>
      </c>
      <c r="L93" s="2">
        <f>积分赛!BI99+积分赛!CG99+晋级赛!AN99+晋级赛!BR99</f>
        <v>9137377.9933355823</v>
      </c>
      <c r="M93" s="2">
        <f>积分赛!BJ99+积分赛!CH99+晋级赛!AO99+晋级赛!BS99</f>
        <v>9320159.6030915044</v>
      </c>
      <c r="N93" s="2">
        <f>积分赛!BK99+积分赛!CI99+晋级赛!AP99+晋级赛!BT99</f>
        <v>8657801.5443744007</v>
      </c>
      <c r="O93" s="2">
        <f>积分赛!BL99+积分赛!CJ99+晋级赛!AQ99+晋级赛!BU99</f>
        <v>8472147.7810674571</v>
      </c>
      <c r="Q93" s="10">
        <f>IFERROR(积分赛!BH99/$K93,0)</f>
        <v>0.765625</v>
      </c>
      <c r="R93" s="10">
        <f>IFERROR(积分赛!CF99/$K93,0)</f>
        <v>3.90625E-2</v>
      </c>
      <c r="S93" s="10">
        <f>IFERROR(晋级赛!AM99/$K93,0)</f>
        <v>0</v>
      </c>
      <c r="T93" s="10">
        <f>IFERROR(晋级赛!BQ99/$K93,0)</f>
        <v>0.19531249999999997</v>
      </c>
      <c r="V93" s="10">
        <f>IFERROR(积分赛!BL99/$O93,0)</f>
        <v>0.46555819477434679</v>
      </c>
      <c r="W93" s="10">
        <f>IFERROR(积分赛!CJ99/$O93,0)</f>
        <v>9.8970704671417248E-2</v>
      </c>
      <c r="X93" s="10">
        <f>IFERROR(晋级赛!AQ99/$O93,0)</f>
        <v>0.39588281868566899</v>
      </c>
      <c r="Y93" s="10">
        <f>IFERROR(晋级赛!BU99/$O93,0)</f>
        <v>3.9588281868566895E-2</v>
      </c>
      <c r="AD93" s="2">
        <v>89</v>
      </c>
      <c r="AE93" s="2">
        <f t="shared" si="6"/>
        <v>76239.000177808281</v>
      </c>
      <c r="AF93" s="2">
        <f t="shared" si="7"/>
        <v>91373.779933355821</v>
      </c>
      <c r="AG93" s="2">
        <f t="shared" si="8"/>
        <v>93201.59603091504</v>
      </c>
      <c r="AH93" s="2">
        <f t="shared" si="9"/>
        <v>86578.015443744007</v>
      </c>
      <c r="AI93" s="2">
        <f t="shared" si="10"/>
        <v>84721.477810674565</v>
      </c>
    </row>
    <row r="94" spans="10:35" x14ac:dyDescent="0.15">
      <c r="J94" s="2">
        <v>90</v>
      </c>
      <c r="K94" s="2">
        <f>积分赛!BH100+积分赛!CF100+晋级赛!AM100+晋级赛!BQ100</f>
        <v>8209066.666666667</v>
      </c>
      <c r="L94" s="2">
        <f>积分赛!BI100+积分赛!CG100+晋级赛!AN100+晋级赛!BR100</f>
        <v>9767944.8400000017</v>
      </c>
      <c r="M94" s="2">
        <f>积分赛!BJ100+积分赛!CH100+晋级赛!AO100+晋级赛!BS100</f>
        <v>9982988.4000000004</v>
      </c>
      <c r="N94" s="2">
        <f>积分赛!BK100+积分赛!CI100+晋级赛!AP100+晋级赛!BT100</f>
        <v>9257839.9333333354</v>
      </c>
      <c r="O94" s="2">
        <f>积分赛!BL100+积分赛!CJ100+晋级赛!AQ100+晋级赛!BU100</f>
        <v>9134100.200000003</v>
      </c>
      <c r="Q94" s="10">
        <f>IFERROR(积分赛!BH100/$K94,0)</f>
        <v>0.765625</v>
      </c>
      <c r="R94" s="10">
        <f>IFERROR(积分赛!CF100/$K94,0)</f>
        <v>3.90625E-2</v>
      </c>
      <c r="S94" s="10">
        <f>IFERROR(晋级赛!AM100/$K94,0)</f>
        <v>0</v>
      </c>
      <c r="T94" s="10">
        <f>IFERROR(晋级赛!BQ100/$K94,0)</f>
        <v>0.19531249999999997</v>
      </c>
      <c r="V94" s="10">
        <f>IFERROR(积分赛!BL100/$O94,0)</f>
        <v>0.46555819477434679</v>
      </c>
      <c r="W94" s="10">
        <f>IFERROR(积分赛!CJ100/$O94,0)</f>
        <v>9.8970704671417262E-2</v>
      </c>
      <c r="X94" s="10">
        <f>IFERROR(晋级赛!AQ100/$O94,0)</f>
        <v>0.39588281868566905</v>
      </c>
      <c r="Y94" s="10">
        <f>IFERROR(晋级赛!BU100/$O94,0)</f>
        <v>3.9588281868566895E-2</v>
      </c>
      <c r="AD94" s="2">
        <v>90</v>
      </c>
      <c r="AE94" s="2">
        <f t="shared" si="6"/>
        <v>82090.666666666672</v>
      </c>
      <c r="AF94" s="2">
        <f t="shared" si="7"/>
        <v>97679.448400000023</v>
      </c>
      <c r="AG94" s="2">
        <f t="shared" si="8"/>
        <v>99829.884000000005</v>
      </c>
      <c r="AH94" s="2">
        <f t="shared" si="9"/>
        <v>92578.399333333349</v>
      </c>
      <c r="AI94" s="2">
        <f t="shared" si="10"/>
        <v>91341.002000000037</v>
      </c>
    </row>
    <row r="95" spans="10:35" x14ac:dyDescent="0.15">
      <c r="J95" s="2">
        <v>91</v>
      </c>
      <c r="K95" s="2">
        <f>积分赛!BH101+积分赛!CF101+晋级赛!AM101+晋级赛!BQ101</f>
        <v>8836232.7521038018</v>
      </c>
      <c r="L95" s="2">
        <f>积分赛!BI101+积分赛!CG101+晋级赛!AN101+晋级赛!BR101</f>
        <v>10522030.232162945</v>
      </c>
      <c r="M95" s="2">
        <f>积分赛!BJ101+积分赛!CH101+晋级赛!AO101+晋级赛!BS101</f>
        <v>10731924.343335839</v>
      </c>
      <c r="N95" s="2">
        <f>积分赛!BK101+积分赛!CI101+晋级赛!AP101+晋级赛!BT101</f>
        <v>9987617.3228354417</v>
      </c>
      <c r="O95" s="2">
        <f>积分赛!BL101+积分赛!CJ101+晋级赛!AQ101+晋级赛!BU101</f>
        <v>9926503.3234176468</v>
      </c>
      <c r="Q95" s="10">
        <f>IFERROR(积分赛!BH101/$K95,0)</f>
        <v>0.76562499999999989</v>
      </c>
      <c r="R95" s="10">
        <f>IFERROR(积分赛!CF101/$K95,0)</f>
        <v>3.90625E-2</v>
      </c>
      <c r="S95" s="10">
        <f>IFERROR(晋级赛!AM101/$K95,0)</f>
        <v>0</v>
      </c>
      <c r="T95" s="10">
        <f>IFERROR(晋级赛!BQ101/$K95,0)</f>
        <v>0.19531249999999997</v>
      </c>
      <c r="V95" s="10">
        <f>IFERROR(积分赛!BL101/$O95,0)</f>
        <v>0.46555819477434673</v>
      </c>
      <c r="W95" s="10">
        <f>IFERROR(积分赛!CJ101/$O95,0)</f>
        <v>9.8970704671417276E-2</v>
      </c>
      <c r="X95" s="10">
        <f>IFERROR(晋级赛!AQ101/$O95,0)</f>
        <v>0.3958828186856691</v>
      </c>
      <c r="Y95" s="10">
        <f>IFERROR(晋级赛!BU101/$O95,0)</f>
        <v>3.9588281868566902E-2</v>
      </c>
      <c r="AD95" s="2">
        <v>91</v>
      </c>
      <c r="AE95" s="2">
        <f t="shared" si="6"/>
        <v>88362.327521038023</v>
      </c>
      <c r="AF95" s="2">
        <f t="shared" si="7"/>
        <v>105220.30232162945</v>
      </c>
      <c r="AG95" s="2">
        <f t="shared" si="8"/>
        <v>107319.2434333584</v>
      </c>
      <c r="AH95" s="2">
        <f t="shared" si="9"/>
        <v>99876.173228354426</v>
      </c>
      <c r="AI95" s="2">
        <f t="shared" si="10"/>
        <v>99265.033234176473</v>
      </c>
    </row>
    <row r="96" spans="10:35" x14ac:dyDescent="0.15">
      <c r="J96" s="2">
        <v>92</v>
      </c>
      <c r="K96" s="2">
        <f>积分赛!BH102+积分赛!CF102+晋级赛!AM102+晋级赛!BQ102</f>
        <v>9508412.7190780826</v>
      </c>
      <c r="L96" s="2">
        <f>积分赛!BI102+积分赛!CG102+晋级赛!AN102+晋级赛!BR102</f>
        <v>11303540.023986315</v>
      </c>
      <c r="M96" s="2">
        <f>积分赛!BJ102+积分赛!CH102+晋级赛!AO102+晋级赛!BS102</f>
        <v>11553762.369483246</v>
      </c>
      <c r="N96" s="2">
        <f>积分赛!BK102+积分赛!CI102+晋级赛!AP102+晋级赛!BT102</f>
        <v>10767986.603561148</v>
      </c>
      <c r="O96" s="2">
        <f>积分赛!BL102+积分赛!CJ102+晋级赛!AQ102+晋级赛!BU102</f>
        <v>10747739.333736422</v>
      </c>
      <c r="Q96" s="10">
        <f>IFERROR(积分赛!BH102/$K96,0)</f>
        <v>0.765625</v>
      </c>
      <c r="R96" s="10">
        <f>IFERROR(积分赛!CF102/$K96,0)</f>
        <v>3.90625E-2</v>
      </c>
      <c r="S96" s="10">
        <f>IFERROR(晋级赛!AM102/$K96,0)</f>
        <v>0</v>
      </c>
      <c r="T96" s="10">
        <f>IFERROR(晋级赛!BQ102/$K96,0)</f>
        <v>0.1953125</v>
      </c>
      <c r="V96" s="10">
        <f>IFERROR(积分赛!BL102/$O96,0)</f>
        <v>0.46555819477434679</v>
      </c>
      <c r="W96" s="10">
        <f>IFERROR(积分赛!CJ102/$O96,0)</f>
        <v>9.8970704671417262E-2</v>
      </c>
      <c r="X96" s="10">
        <f>IFERROR(晋级赛!AQ102/$O96,0)</f>
        <v>0.39588281868566905</v>
      </c>
      <c r="Y96" s="10">
        <f>IFERROR(晋级赛!BU102/$O96,0)</f>
        <v>3.9588281868566902E-2</v>
      </c>
      <c r="AD96" s="2">
        <v>92</v>
      </c>
      <c r="AE96" s="2">
        <f t="shared" si="6"/>
        <v>95084.127190780826</v>
      </c>
      <c r="AF96" s="2">
        <f t="shared" si="7"/>
        <v>113035.40023986316</v>
      </c>
      <c r="AG96" s="2">
        <f t="shared" si="8"/>
        <v>115537.62369483245</v>
      </c>
      <c r="AH96" s="2">
        <f t="shared" si="9"/>
        <v>107679.86603561149</v>
      </c>
      <c r="AI96" s="2">
        <f t="shared" si="10"/>
        <v>107477.39333736422</v>
      </c>
    </row>
    <row r="97" spans="10:35" x14ac:dyDescent="0.15">
      <c r="J97" s="2">
        <v>93</v>
      </c>
      <c r="K97" s="2">
        <f>积分赛!BH103+积分赛!CF103+晋级赛!AM103+晋级赛!BQ103</f>
        <v>10228837.369729657</v>
      </c>
      <c r="L97" s="2">
        <f>积分赛!BI103+积分赛!CG103+晋级赛!AN103+晋级赛!BR103</f>
        <v>12166330.901163917</v>
      </c>
      <c r="M97" s="2">
        <f>积分赛!BJ103+积分赛!CH103+晋级赛!AO103+晋级赛!BS103</f>
        <v>12433414.43962534</v>
      </c>
      <c r="N97" s="2">
        <f>积分赛!BK103+积分赛!CI103+晋级赛!AP103+晋级赛!BT103</f>
        <v>11589496.884863246</v>
      </c>
      <c r="O97" s="2">
        <f>积分赛!BL103+积分赛!CJ103+晋级赛!AQ103+晋级赛!BU103</f>
        <v>11649073.2713148</v>
      </c>
      <c r="Q97" s="10">
        <f>IFERROR(积分赛!BH103/$K97,0)</f>
        <v>0.76562500000000011</v>
      </c>
      <c r="R97" s="10">
        <f>IFERROR(积分赛!CF103/$K97,0)</f>
        <v>3.90625E-2</v>
      </c>
      <c r="S97" s="10">
        <f>IFERROR(晋级赛!AM103/$K97,0)</f>
        <v>0</v>
      </c>
      <c r="T97" s="10">
        <f>IFERROR(晋级赛!BQ103/$K97,0)</f>
        <v>0.19531249999999997</v>
      </c>
      <c r="V97" s="10">
        <f>IFERROR(积分赛!BL103/$O97,0)</f>
        <v>0.46555819477434685</v>
      </c>
      <c r="W97" s="10">
        <f>IFERROR(积分赛!CJ103/$O97,0)</f>
        <v>9.8970704671417248E-2</v>
      </c>
      <c r="X97" s="10">
        <f>IFERROR(晋级赛!AQ103/$O97,0)</f>
        <v>0.39588281868566899</v>
      </c>
      <c r="Y97" s="10">
        <f>IFERROR(晋级赛!BU103/$O97,0)</f>
        <v>3.9588281868566909E-2</v>
      </c>
      <c r="AD97" s="2">
        <v>93</v>
      </c>
      <c r="AE97" s="2">
        <f t="shared" si="6"/>
        <v>102288.37369729657</v>
      </c>
      <c r="AF97" s="2">
        <f t="shared" si="7"/>
        <v>121663.30901163917</v>
      </c>
      <c r="AG97" s="2">
        <f t="shared" si="8"/>
        <v>124334.1443962534</v>
      </c>
      <c r="AH97" s="2">
        <f t="shared" si="9"/>
        <v>115894.96884863246</v>
      </c>
      <c r="AI97" s="2">
        <f t="shared" si="10"/>
        <v>116490.732713148</v>
      </c>
    </row>
    <row r="98" spans="10:35" x14ac:dyDescent="0.15">
      <c r="J98" s="2">
        <v>94</v>
      </c>
      <c r="K98" s="2">
        <f>积分赛!BH104+积分赛!CF104+晋级赛!AM104+晋级赛!BQ104</f>
        <v>11000969.392054986</v>
      </c>
      <c r="L98" s="2">
        <f>积分赛!BI104+积分赛!CG104+晋级赛!AN104+晋级赛!BR104</f>
        <v>13074793.67514099</v>
      </c>
      <c r="M98" s="2">
        <f>积分赛!BJ104+积分赛!CH104+晋级赛!AO104+晋级赛!BS104</f>
        <v>13368712.890215298</v>
      </c>
      <c r="N98" s="2">
        <f>积分赛!BK104+积分赛!CI104+晋级赛!AP104+晋级赛!BT104</f>
        <v>12461431.020780228</v>
      </c>
      <c r="O98" s="2">
        <f>积分赛!BL104+积分赛!CJ104+晋级赛!AQ104+晋级赛!BU104</f>
        <v>12599923.57468226</v>
      </c>
      <c r="Q98" s="10">
        <f>IFERROR(积分赛!BH104/$K98,0)</f>
        <v>0.765625</v>
      </c>
      <c r="R98" s="10">
        <f>IFERROR(积分赛!CF104/$K98,0)</f>
        <v>3.90625E-2</v>
      </c>
      <c r="S98" s="10">
        <f>IFERROR(晋级赛!AM104/$K98,0)</f>
        <v>0</v>
      </c>
      <c r="T98" s="10">
        <f>IFERROR(晋级赛!BQ104/$K98,0)</f>
        <v>0.1953125</v>
      </c>
      <c r="V98" s="10">
        <f>IFERROR(积分赛!BL104/$O98,0)</f>
        <v>0.46555819477434679</v>
      </c>
      <c r="W98" s="10">
        <f>IFERROR(积分赛!CJ104/$O98,0)</f>
        <v>9.8970704671417248E-2</v>
      </c>
      <c r="X98" s="10">
        <f>IFERROR(晋级赛!AQ104/$O98,0)</f>
        <v>0.39588281868566899</v>
      </c>
      <c r="Y98" s="10">
        <f>IFERROR(晋级赛!BU104/$O98,0)</f>
        <v>3.9588281868566895E-2</v>
      </c>
      <c r="AD98" s="2">
        <v>94</v>
      </c>
      <c r="AE98" s="2">
        <f t="shared" si="6"/>
        <v>110009.69392054986</v>
      </c>
      <c r="AF98" s="2">
        <f t="shared" si="7"/>
        <v>130747.9367514099</v>
      </c>
      <c r="AG98" s="2">
        <f t="shared" si="8"/>
        <v>133687.128902153</v>
      </c>
      <c r="AH98" s="2">
        <f t="shared" si="9"/>
        <v>124614.31020780228</v>
      </c>
      <c r="AI98" s="2">
        <f t="shared" si="10"/>
        <v>125999.2357468226</v>
      </c>
    </row>
    <row r="99" spans="10:35" x14ac:dyDescent="0.15">
      <c r="J99" s="2">
        <v>95</v>
      </c>
      <c r="K99" s="2">
        <f>积分赛!BH105+积分赛!CF105+晋级赛!AM105+晋级赛!BQ105</f>
        <v>11828520.003157753</v>
      </c>
      <c r="L99" s="2">
        <f>积分赛!BI105+积分赛!CG105+晋级赛!AN105+晋级赛!BR105</f>
        <v>14076601.123832591</v>
      </c>
      <c r="M99" s="2">
        <f>积分赛!BJ105+积分赛!CH105+晋级赛!AO105+晋级赛!BS105</f>
        <v>14351529.506315026</v>
      </c>
      <c r="N99" s="2">
        <f>积分赛!BK105+积分赛!CI105+晋级赛!AP105+晋级赛!BT105</f>
        <v>13395325.182063993</v>
      </c>
      <c r="O99" s="2">
        <f>积分赛!BL105+积分赛!CJ105+晋级赛!AQ105+晋级赛!BU105</f>
        <v>13711526.066233063</v>
      </c>
      <c r="Q99" s="10">
        <f>IFERROR(积分赛!BH105/$K99,0)</f>
        <v>0.76562499999999989</v>
      </c>
      <c r="R99" s="10">
        <f>IFERROR(积分赛!CF105/$K99,0)</f>
        <v>3.90625E-2</v>
      </c>
      <c r="S99" s="10">
        <f>IFERROR(晋级赛!AM105/$K99,0)</f>
        <v>0</v>
      </c>
      <c r="T99" s="10">
        <f>IFERROR(晋级赛!BQ105/$K99,0)</f>
        <v>0.1953125</v>
      </c>
      <c r="V99" s="10">
        <f>IFERROR(积分赛!BL105/$O99,0)</f>
        <v>0.46555819477434685</v>
      </c>
      <c r="W99" s="10">
        <f>IFERROR(积分赛!CJ105/$O99,0)</f>
        <v>9.8970704671417262E-2</v>
      </c>
      <c r="X99" s="10">
        <f>IFERROR(晋级赛!AQ105/$O99,0)</f>
        <v>0.39588281868566905</v>
      </c>
      <c r="Y99" s="10">
        <f>IFERROR(晋级赛!BU105/$O99,0)</f>
        <v>3.9588281868566909E-2</v>
      </c>
      <c r="AD99" s="2">
        <v>95</v>
      </c>
      <c r="AE99" s="2">
        <f t="shared" si="6"/>
        <v>118285.20003157754</v>
      </c>
      <c r="AF99" s="2">
        <f t="shared" si="7"/>
        <v>140766.01123832591</v>
      </c>
      <c r="AG99" s="2">
        <f t="shared" si="8"/>
        <v>143515.29506315026</v>
      </c>
      <c r="AH99" s="2">
        <f t="shared" si="9"/>
        <v>133953.25182063994</v>
      </c>
      <c r="AI99" s="2">
        <f t="shared" si="10"/>
        <v>137115.26066233063</v>
      </c>
    </row>
    <row r="100" spans="10:35" x14ac:dyDescent="0.15">
      <c r="J100" s="2">
        <v>96</v>
      </c>
      <c r="K100" s="2">
        <f>积分赛!BH106+积分赛!CF106+晋级赛!AM106+晋级赛!BQ106</f>
        <v>12715466.787043393</v>
      </c>
      <c r="L100" s="2">
        <f>积分赛!BI106+积分赛!CG106+晋级赛!AN106+晋级赛!BR106</f>
        <v>15102830.491165163</v>
      </c>
      <c r="M100" s="2">
        <f>积分赛!BJ106+积分赛!CH106+晋级赛!AO106+晋级赛!BS106</f>
        <v>15399293.384800335</v>
      </c>
      <c r="N100" s="2">
        <f>积分赛!BK106+积分赛!CI106+晋级赛!AP106+晋级赛!BT106</f>
        <v>14437274.671792399</v>
      </c>
      <c r="O100" s="2">
        <f>积分赛!BL106+积分赛!CJ106+晋级赛!AQ106+晋级赛!BU106</f>
        <v>14891613.079446703</v>
      </c>
      <c r="Q100" s="10">
        <f>IFERROR(积分赛!BH106/$K100,0)</f>
        <v>0.76562500000000011</v>
      </c>
      <c r="R100" s="10">
        <f>IFERROR(积分赛!CF106/$K100,0)</f>
        <v>3.9062499999999993E-2</v>
      </c>
      <c r="S100" s="10">
        <f>IFERROR(晋级赛!AM106/$K100,0)</f>
        <v>0</v>
      </c>
      <c r="T100" s="10">
        <f>IFERROR(晋级赛!BQ106/$K100,0)</f>
        <v>0.1953125</v>
      </c>
      <c r="V100" s="10">
        <f>IFERROR(积分赛!BL106/$O100,0)</f>
        <v>0.46555819477434679</v>
      </c>
      <c r="W100" s="10">
        <f>IFERROR(积分赛!CJ106/$O100,0)</f>
        <v>9.8970704671417276E-2</v>
      </c>
      <c r="X100" s="10">
        <f>IFERROR(晋级赛!AQ106/$O100,0)</f>
        <v>0.3958828186856691</v>
      </c>
      <c r="Y100" s="10">
        <f>IFERROR(晋级赛!BU106/$O100,0)</f>
        <v>3.9588281868566909E-2</v>
      </c>
      <c r="AD100" s="2">
        <v>96</v>
      </c>
      <c r="AE100" s="2">
        <f t="shared" si="6"/>
        <v>127154.66787043393</v>
      </c>
      <c r="AF100" s="2">
        <f t="shared" si="7"/>
        <v>151028.30491165162</v>
      </c>
      <c r="AG100" s="2">
        <f t="shared" si="8"/>
        <v>153992.93384800336</v>
      </c>
      <c r="AH100" s="2">
        <f t="shared" si="9"/>
        <v>144372.74671792399</v>
      </c>
      <c r="AI100" s="2">
        <f t="shared" si="10"/>
        <v>148916.13079446703</v>
      </c>
    </row>
    <row r="101" spans="10:35" x14ac:dyDescent="0.15">
      <c r="J101" s="2">
        <v>97</v>
      </c>
      <c r="K101" s="2">
        <f>积分赛!BH107+积分赛!CF107+晋级赛!AM107+晋级赛!BQ107</f>
        <v>13666072.812693922</v>
      </c>
      <c r="L101" s="2">
        <f>积分赛!BI107+积分赛!CG107+晋级赛!AN107+晋级赛!BR107</f>
        <v>16219928.836949565</v>
      </c>
      <c r="M101" s="2">
        <f>积分赛!BJ107+积分赛!CH107+晋级赛!AO107+晋级赛!BS107</f>
        <v>16610764.780957362</v>
      </c>
      <c r="N101" s="2">
        <f>积分赛!BK107+积分赛!CI107+晋级赛!AP107+晋级赛!BT107</f>
        <v>15635397.457714571</v>
      </c>
      <c r="O101" s="2">
        <f>积分赛!BL107+积分赛!CJ107+晋级赛!AQ107+晋级赛!BU107</f>
        <v>16276251.26055404</v>
      </c>
      <c r="Q101" s="10">
        <f>IFERROR(积分赛!BH107/$K101,0)</f>
        <v>0.765625</v>
      </c>
      <c r="R101" s="10">
        <f>IFERROR(积分赛!CF107/$K101,0)</f>
        <v>3.90625E-2</v>
      </c>
      <c r="S101" s="10">
        <f>IFERROR(晋级赛!AM107/$K101,0)</f>
        <v>0</v>
      </c>
      <c r="T101" s="10">
        <f>IFERROR(晋级赛!BQ107/$K101,0)</f>
        <v>0.1953125</v>
      </c>
      <c r="V101" s="10">
        <f>IFERROR(积分赛!BL107/$O101,0)</f>
        <v>0.46555819477434685</v>
      </c>
      <c r="W101" s="10">
        <f>IFERROR(积分赛!CJ107/$O101,0)</f>
        <v>9.8970704671417262E-2</v>
      </c>
      <c r="X101" s="10">
        <f>IFERROR(晋级赛!AQ107/$O101,0)</f>
        <v>0.39588281868566905</v>
      </c>
      <c r="Y101" s="10">
        <f>IFERROR(晋级赛!BU107/$O101,0)</f>
        <v>3.9588281868566902E-2</v>
      </c>
      <c r="AD101" s="2">
        <v>97</v>
      </c>
      <c r="AE101" s="2">
        <f t="shared" si="6"/>
        <v>136660.72812693921</v>
      </c>
      <c r="AF101" s="2">
        <f t="shared" si="7"/>
        <v>162199.28836949565</v>
      </c>
      <c r="AG101" s="2">
        <f t="shared" si="8"/>
        <v>166107.64780957362</v>
      </c>
      <c r="AH101" s="2">
        <f t="shared" si="9"/>
        <v>156353.97457714571</v>
      </c>
      <c r="AI101" s="2">
        <f t="shared" si="10"/>
        <v>162762.5126055404</v>
      </c>
    </row>
    <row r="102" spans="10:35" x14ac:dyDescent="0.15">
      <c r="J102" s="2">
        <v>98</v>
      </c>
      <c r="K102" s="2">
        <f>积分赛!BH108+积分赛!CF108+晋级赛!AM108+晋级赛!BQ108</f>
        <v>14684907.124313276</v>
      </c>
      <c r="L102" s="2">
        <f>积分赛!BI108+积分赛!CG108+晋级赛!AN108+晋级赛!BR108</f>
        <v>17479708.588472452</v>
      </c>
      <c r="M102" s="2">
        <f>积分赛!BJ108+积分赛!CH108+晋级赛!AO108+晋级赛!BS108</f>
        <v>17955830.075555839</v>
      </c>
      <c r="N102" s="2">
        <f>积分赛!BK108+积分赛!CI108+晋级赛!AP108+晋级赛!BT108</f>
        <v>16957671.644841596</v>
      </c>
      <c r="O102" s="2">
        <f>积分赛!BL108+积分赛!CJ108+晋级赛!AQ108+晋级赛!BU108</f>
        <v>17747338.9685206</v>
      </c>
      <c r="Q102" s="10">
        <f>IFERROR(积分赛!BH108/$K102,0)</f>
        <v>0.765625</v>
      </c>
      <c r="R102" s="10">
        <f>IFERROR(积分赛!CF108/$K102,0)</f>
        <v>3.90625E-2</v>
      </c>
      <c r="S102" s="10">
        <f>IFERROR(晋级赛!AM108/$K102,0)</f>
        <v>0</v>
      </c>
      <c r="T102" s="10">
        <f>IFERROR(晋级赛!BQ108/$K102,0)</f>
        <v>0.19531250000000003</v>
      </c>
      <c r="V102" s="10">
        <f>IFERROR(积分赛!BL108/$O102,0)</f>
        <v>0.46555819477434673</v>
      </c>
      <c r="W102" s="10">
        <f>IFERROR(积分赛!CJ108/$O102,0)</f>
        <v>9.8970704671417248E-2</v>
      </c>
      <c r="X102" s="10">
        <f>IFERROR(晋级赛!AQ108/$O102,0)</f>
        <v>0.39588281868566899</v>
      </c>
      <c r="Y102" s="10">
        <f>IFERROR(晋级赛!BU108/$O102,0)</f>
        <v>3.9588281868566902E-2</v>
      </c>
      <c r="AD102" s="2">
        <v>98</v>
      </c>
      <c r="AE102" s="2">
        <f t="shared" si="6"/>
        <v>146849.07124313276</v>
      </c>
      <c r="AF102" s="2">
        <f t="shared" si="7"/>
        <v>174797.08588472451</v>
      </c>
      <c r="AG102" s="2">
        <f t="shared" si="8"/>
        <v>179558.30075555839</v>
      </c>
      <c r="AH102" s="2">
        <f t="shared" si="9"/>
        <v>169576.71644841597</v>
      </c>
      <c r="AI102" s="2">
        <f t="shared" si="10"/>
        <v>177473.389685206</v>
      </c>
    </row>
    <row r="103" spans="10:35" x14ac:dyDescent="0.15">
      <c r="J103" s="2">
        <v>99</v>
      </c>
      <c r="K103" s="2">
        <f>积分赛!BH109+积分赛!CF109+晋级赛!AM109+晋级赛!BQ109</f>
        <v>15776866.702228319</v>
      </c>
      <c r="L103" s="2">
        <f>积分赛!BI109+积分赛!CG109+晋级赛!AN109+晋级赛!BR109</f>
        <v>18823836.099564545</v>
      </c>
      <c r="M103" s="2">
        <f>积分赛!BJ109+积分赛!CH109+晋级赛!AO109+晋级赛!BS109</f>
        <v>19362396.378820267</v>
      </c>
      <c r="N103" s="2">
        <f>积分赛!BK109+积分赛!CI109+晋级赛!AP109+晋级赛!BT109</f>
        <v>18335612.036932051</v>
      </c>
      <c r="O103" s="2">
        <f>积分赛!BL109+积分赛!CJ109+晋级赛!AQ109+晋级赛!BU109</f>
        <v>19163879.493212454</v>
      </c>
      <c r="Q103" s="10">
        <f>IFERROR(积分赛!BH109/$K103,0)</f>
        <v>0.765625</v>
      </c>
      <c r="R103" s="10">
        <f>IFERROR(积分赛!CF109/$K103,0)</f>
        <v>3.9062500000000007E-2</v>
      </c>
      <c r="S103" s="10">
        <f>IFERROR(晋级赛!AM109/$K103,0)</f>
        <v>0</v>
      </c>
      <c r="T103" s="10">
        <f>IFERROR(晋级赛!BQ109/$K103,0)</f>
        <v>0.19531250000000003</v>
      </c>
      <c r="V103" s="10">
        <f>IFERROR(积分赛!BL109/$O103,0)</f>
        <v>0.46555819477434679</v>
      </c>
      <c r="W103" s="10">
        <f>IFERROR(积分赛!CJ109/$O103,0)</f>
        <v>9.8970704671417262E-2</v>
      </c>
      <c r="X103" s="10">
        <f>IFERROR(晋级赛!AQ109/$O103,0)</f>
        <v>0.39588281868566905</v>
      </c>
      <c r="Y103" s="10">
        <f>IFERROR(晋级赛!BU109/$O103,0)</f>
        <v>3.9588281868566895E-2</v>
      </c>
      <c r="AD103" s="2">
        <v>99</v>
      </c>
      <c r="AE103" s="2">
        <f t="shared" si="6"/>
        <v>157768.66702228319</v>
      </c>
      <c r="AF103" s="2">
        <f t="shared" si="7"/>
        <v>188238.36099564546</v>
      </c>
      <c r="AG103" s="2">
        <f t="shared" si="8"/>
        <v>193623.96378820267</v>
      </c>
      <c r="AH103" s="2">
        <f t="shared" si="9"/>
        <v>183356.1203693205</v>
      </c>
      <c r="AI103" s="2">
        <f t="shared" si="10"/>
        <v>191638.79493212455</v>
      </c>
    </row>
    <row r="104" spans="10:35" x14ac:dyDescent="0.15">
      <c r="J104" s="2">
        <v>100</v>
      </c>
      <c r="K104" s="2">
        <f>积分赛!BH110+积分赛!CF110+晋级赛!AM110+晋级赛!BQ110</f>
        <v>16947200</v>
      </c>
      <c r="L104" s="2">
        <f>积分赛!BI110+积分赛!CG110+晋级赛!AN110+晋级赛!BR110</f>
        <v>20232787.660000004</v>
      </c>
      <c r="M104" s="2">
        <f>积分赛!BJ110+积分赛!CH110+晋级赛!AO110+晋级赛!BS110</f>
        <v>20842002.719999999</v>
      </c>
      <c r="N104" s="2">
        <f>积分赛!BK110+积分赛!CI110+晋级赛!AP110+晋级赛!BT110</f>
        <v>19686986.799999997</v>
      </c>
      <c r="O104" s="2">
        <f>积分赛!BL110+积分赛!CJ110+晋级赛!AQ110+晋级赛!BU110</f>
        <v>20610290.759999998</v>
      </c>
      <c r="Q104" s="10">
        <f>IFERROR(积分赛!BH110/$K104,0)</f>
        <v>0.765625</v>
      </c>
      <c r="R104" s="10">
        <f>IFERROR(积分赛!CF110/$K104,0)</f>
        <v>3.90625E-2</v>
      </c>
      <c r="S104" s="10">
        <f>IFERROR(晋级赛!AM110/$K104,0)</f>
        <v>0</v>
      </c>
      <c r="T104" s="10">
        <f>IFERROR(晋级赛!BQ110/$K104,0)</f>
        <v>0.1953125</v>
      </c>
      <c r="V104" s="10">
        <f>IFERROR(积分赛!BL110/$O104,0)</f>
        <v>0.46555819477434685</v>
      </c>
      <c r="W104" s="10">
        <f>IFERROR(积分赛!CJ110/$O104,0)</f>
        <v>9.8970704671417276E-2</v>
      </c>
      <c r="X104" s="10">
        <f>IFERROR(晋级赛!AQ110/$O104,0)</f>
        <v>0.3958828186856691</v>
      </c>
      <c r="Y104" s="10">
        <f>IFERROR(晋级赛!BU110/$O104,0)</f>
        <v>3.9588281868566909E-2</v>
      </c>
      <c r="AD104" s="2">
        <v>100</v>
      </c>
      <c r="AE104" s="2">
        <f t="shared" si="6"/>
        <v>169472</v>
      </c>
      <c r="AF104" s="2">
        <f t="shared" si="7"/>
        <v>202327.87660000005</v>
      </c>
      <c r="AG104" s="2">
        <f t="shared" si="8"/>
        <v>208420.02719999998</v>
      </c>
      <c r="AH104" s="2">
        <f t="shared" si="9"/>
        <v>196869.86799999999</v>
      </c>
      <c r="AI104" s="2">
        <f t="shared" si="10"/>
        <v>206102.90759999998</v>
      </c>
    </row>
    <row r="105" spans="10:35" x14ac:dyDescent="0.15">
      <c r="J105" s="2">
        <v>101</v>
      </c>
      <c r="K105" s="2">
        <f>积分赛!BH111+积分赛!CF111+晋级赛!AM111+晋级赛!BQ111</f>
        <v>18201532.170874253</v>
      </c>
      <c r="L105" s="2">
        <f>积分赛!BI111+积分赛!CG111+晋级赛!AN111+晋级赛!BR111</f>
        <v>21758962.379933644</v>
      </c>
      <c r="M105" s="2">
        <f>积分赛!BJ111+积分赛!CH111+晋级赛!AO111+晋级赛!BS111</f>
        <v>22368601.913564108</v>
      </c>
      <c r="N105" s="2">
        <f>积分赛!BK111+积分赛!CI111+晋级赛!AP111+晋级赛!BT111</f>
        <v>21077250.40194919</v>
      </c>
      <c r="O105" s="2">
        <f>积分赛!BL111+积分赛!CJ111+晋级赛!AQ111+晋级赛!BU111</f>
        <v>22180160.729974512</v>
      </c>
      <c r="Q105" s="10">
        <f>IFERROR(积分赛!BH111/$K105,0)</f>
        <v>0.765625</v>
      </c>
      <c r="R105" s="10">
        <f>IFERROR(积分赛!CF111/$K105,0)</f>
        <v>3.90625E-2</v>
      </c>
      <c r="S105" s="10">
        <f>IFERROR(晋级赛!AM111/$K105,0)</f>
        <v>0</v>
      </c>
      <c r="T105" s="10">
        <f>IFERROR(晋级赛!BQ111/$K105,0)</f>
        <v>0.1953125</v>
      </c>
      <c r="V105" s="10">
        <f>IFERROR(积分赛!BL111/$O105,0)</f>
        <v>0.46555819477434673</v>
      </c>
      <c r="W105" s="10">
        <f>IFERROR(积分赛!CJ111/$O105,0)</f>
        <v>9.8970704671417262E-2</v>
      </c>
      <c r="X105" s="10">
        <f>IFERROR(晋级赛!AQ111/$O105,0)</f>
        <v>0.39588281868566905</v>
      </c>
      <c r="Y105" s="10">
        <f>IFERROR(晋级赛!BU111/$O105,0)</f>
        <v>3.9588281868566902E-2</v>
      </c>
      <c r="AD105" s="2">
        <v>101</v>
      </c>
      <c r="AE105" s="2">
        <f t="shared" ref="AE105:AE151" si="11">K105*$D$2</f>
        <v>182015.32170874253</v>
      </c>
      <c r="AF105" s="2">
        <f t="shared" ref="AF105:AF151" si="12">L105*$D$2</f>
        <v>217589.62379933643</v>
      </c>
      <c r="AG105" s="2">
        <f t="shared" ref="AG105:AG151" si="13">M105*$D$2</f>
        <v>223686.01913564108</v>
      </c>
      <c r="AH105" s="2">
        <f t="shared" ref="AH105:AH151" si="14">N105*$D$2</f>
        <v>210772.5040194919</v>
      </c>
      <c r="AI105" s="2">
        <f t="shared" ref="AI105:AI151" si="15">O105*$D$2</f>
        <v>221801.60729974511</v>
      </c>
    </row>
    <row r="106" spans="10:35" x14ac:dyDescent="0.15">
      <c r="J106" s="2">
        <v>102</v>
      </c>
      <c r="K106" s="2">
        <f>积分赛!BH112+积分赛!CF112+晋级赛!AM112+晋级赛!BQ112</f>
        <v>19545892.104822829</v>
      </c>
      <c r="L106" s="2">
        <f>积分赛!BI112+积分赛!CG112+晋级赛!AN112+晋级赛!BR112</f>
        <v>23317426.955007926</v>
      </c>
      <c r="M106" s="2">
        <f>积分赛!BJ112+积分赛!CH112+晋级赛!AO112+晋级赛!BS112</f>
        <v>23907983.830334809</v>
      </c>
      <c r="N106" s="2">
        <f>积分赛!BK112+积分赛!CI112+晋级赛!AP112+晋级赛!BT112</f>
        <v>22559183.79176281</v>
      </c>
      <c r="O106" s="2">
        <f>积分赛!BL112+积分赛!CJ112+晋级赛!AQ112+晋级赛!BU112</f>
        <v>23875858.632557739</v>
      </c>
      <c r="Q106" s="10">
        <f>IFERROR(积分赛!BH112/$K106,0)</f>
        <v>0.765625</v>
      </c>
      <c r="R106" s="10">
        <f>IFERROR(积分赛!CF112/$K106,0)</f>
        <v>3.9062500000000007E-2</v>
      </c>
      <c r="S106" s="10">
        <f>IFERROR(晋级赛!AM112/$K106,0)</f>
        <v>0</v>
      </c>
      <c r="T106" s="10">
        <f>IFERROR(晋级赛!BQ112/$K106,0)</f>
        <v>0.19531250000000006</v>
      </c>
      <c r="V106" s="10">
        <f>IFERROR(积分赛!BL112/$O106,0)</f>
        <v>0.46555819477434685</v>
      </c>
      <c r="W106" s="10">
        <f>IFERROR(积分赛!CJ112/$O106,0)</f>
        <v>9.8970704671417248E-2</v>
      </c>
      <c r="X106" s="10">
        <f>IFERROR(晋级赛!AQ112/$O106,0)</f>
        <v>0.39588281868566899</v>
      </c>
      <c r="Y106" s="10">
        <f>IFERROR(晋级赛!BU112/$O106,0)</f>
        <v>3.9588281868566902E-2</v>
      </c>
      <c r="AD106" s="2">
        <v>102</v>
      </c>
      <c r="AE106" s="2">
        <f t="shared" si="11"/>
        <v>195458.92104822831</v>
      </c>
      <c r="AF106" s="2">
        <f t="shared" si="12"/>
        <v>233174.26955007925</v>
      </c>
      <c r="AG106" s="2">
        <f t="shared" si="13"/>
        <v>239079.83830334808</v>
      </c>
      <c r="AH106" s="2">
        <f t="shared" si="14"/>
        <v>225591.83791762812</v>
      </c>
      <c r="AI106" s="2">
        <f t="shared" si="15"/>
        <v>238758.5863255774</v>
      </c>
    </row>
    <row r="107" spans="10:35" x14ac:dyDescent="0.15">
      <c r="J107" s="2">
        <v>103</v>
      </c>
      <c r="K107" s="2">
        <f>积分赛!BH113+积分赛!CF113+晋级赛!AM113+晋级赛!BQ113</f>
        <v>20986741.406125985</v>
      </c>
      <c r="L107" s="2">
        <f>积分赛!BI113+积分赛!CG113+晋级赛!AN113+晋级赛!BR113</f>
        <v>24971643.911036804</v>
      </c>
      <c r="M107" s="2">
        <f>积分赛!BJ113+积分赛!CH113+晋级赛!AO113+晋级赛!BS113</f>
        <v>25610300.907867566</v>
      </c>
      <c r="N107" s="2">
        <f>积分赛!BK113+积分赛!CI113+晋级赛!AP113+晋级赛!BT113</f>
        <v>24247684.933219399</v>
      </c>
      <c r="O107" s="2">
        <f>积分赛!BL113+积分赛!CJ113+晋级赛!AQ113+晋级赛!BU113</f>
        <v>25751210.592018891</v>
      </c>
      <c r="Q107" s="10">
        <f>IFERROR(积分赛!BH113/$K107,0)</f>
        <v>0.76562499999999989</v>
      </c>
      <c r="R107" s="10">
        <f>IFERROR(积分赛!CF113/$K107,0)</f>
        <v>3.90625E-2</v>
      </c>
      <c r="S107" s="10">
        <f>IFERROR(晋级赛!AM113/$K107,0)</f>
        <v>0</v>
      </c>
      <c r="T107" s="10">
        <f>IFERROR(晋级赛!BQ113/$K107,0)</f>
        <v>0.19531249999999997</v>
      </c>
      <c r="V107" s="10">
        <f>IFERROR(积分赛!BL113/$O107,0)</f>
        <v>0.46555819477434673</v>
      </c>
      <c r="W107" s="10">
        <f>IFERROR(积分赛!CJ113/$O107,0)</f>
        <v>9.8970704671417248E-2</v>
      </c>
      <c r="X107" s="10">
        <f>IFERROR(晋级赛!AQ113/$O107,0)</f>
        <v>0.39588281868566899</v>
      </c>
      <c r="Y107" s="10">
        <f>IFERROR(晋级赛!BU113/$O107,0)</f>
        <v>3.9588281868566895E-2</v>
      </c>
      <c r="AD107" s="2">
        <v>103</v>
      </c>
      <c r="AE107" s="2">
        <f t="shared" si="11"/>
        <v>209867.41406125986</v>
      </c>
      <c r="AF107" s="2">
        <f t="shared" si="12"/>
        <v>249716.43911036805</v>
      </c>
      <c r="AG107" s="2">
        <f t="shared" si="13"/>
        <v>256103.00907867568</v>
      </c>
      <c r="AH107" s="2">
        <f t="shared" si="14"/>
        <v>242476.84933219399</v>
      </c>
      <c r="AI107" s="2">
        <f t="shared" si="15"/>
        <v>257512.10592018891</v>
      </c>
    </row>
    <row r="108" spans="10:35" x14ac:dyDescent="0.15">
      <c r="J108" s="2">
        <v>104</v>
      </c>
      <c r="K108" s="2">
        <f>积分赛!BH114+积分赛!CF114+晋级赛!AM114+晋级赛!BQ114</f>
        <v>22531005.45077664</v>
      </c>
      <c r="L108" s="2">
        <f>积分赛!BI114+积分赛!CG114+晋级赛!AN114+晋级赛!BR114</f>
        <v>26823405.167598426</v>
      </c>
      <c r="M108" s="2">
        <f>积分赛!BJ114+积分赛!CH114+晋级赛!AO114+晋级赛!BS114</f>
        <v>27578649.540681973</v>
      </c>
      <c r="N108" s="2">
        <f>积分赛!BK114+积分赛!CI114+晋级赛!AP114+晋级赛!BT114</f>
        <v>26144816.091874857</v>
      </c>
      <c r="O108" s="2">
        <f>积分赛!BL114+积分赛!CJ114+晋级赛!AQ114+晋级赛!BU114</f>
        <v>27827848.988735739</v>
      </c>
      <c r="Q108" s="10">
        <f>IFERROR(积分赛!BH114/$K108,0)</f>
        <v>0.765625</v>
      </c>
      <c r="R108" s="10">
        <f>IFERROR(积分赛!CF114/$K108,0)</f>
        <v>3.9062499999999993E-2</v>
      </c>
      <c r="S108" s="10">
        <f>IFERROR(晋级赛!AM114/$K108,0)</f>
        <v>0</v>
      </c>
      <c r="T108" s="10">
        <f>IFERROR(晋级赛!BQ114/$K108,0)</f>
        <v>0.1953125</v>
      </c>
      <c r="V108" s="10">
        <f>IFERROR(积分赛!BL114/$O108,0)</f>
        <v>0.46555819477434679</v>
      </c>
      <c r="W108" s="10">
        <f>IFERROR(积分赛!CJ114/$O108,0)</f>
        <v>9.8970704671417262E-2</v>
      </c>
      <c r="X108" s="10">
        <f>IFERROR(晋级赛!AQ114/$O108,0)</f>
        <v>0.39588281868566905</v>
      </c>
      <c r="Y108" s="10">
        <f>IFERROR(晋级赛!BU114/$O108,0)</f>
        <v>3.9588281868566909E-2</v>
      </c>
      <c r="AD108" s="2">
        <v>104</v>
      </c>
      <c r="AE108" s="2">
        <f t="shared" si="11"/>
        <v>225310.05450776641</v>
      </c>
      <c r="AF108" s="2">
        <f t="shared" si="12"/>
        <v>268234.05167598429</v>
      </c>
      <c r="AG108" s="2">
        <f t="shared" si="13"/>
        <v>275786.49540681974</v>
      </c>
      <c r="AH108" s="2">
        <f t="shared" si="14"/>
        <v>261448.16091874856</v>
      </c>
      <c r="AI108" s="2">
        <f t="shared" si="15"/>
        <v>278278.4898873574</v>
      </c>
    </row>
    <row r="109" spans="10:35" x14ac:dyDescent="0.15">
      <c r="J109" s="2">
        <v>105</v>
      </c>
      <c r="K109" s="2">
        <f>积分赛!BH115+积分赛!CF115+晋级赛!AM115+晋级赛!BQ115</f>
        <v>24186106.672982179</v>
      </c>
      <c r="L109" s="2">
        <f>积分赛!BI115+积分赛!CG115+晋级赛!AN115+晋级赛!BR115</f>
        <v>28836246.477484349</v>
      </c>
      <c r="M109" s="2">
        <f>积分赛!BJ115+积分赛!CH115+晋级赛!AO115+晋级赛!BS115</f>
        <v>29666013.678384621</v>
      </c>
      <c r="N109" s="2">
        <f>积分赛!BK115+积分赛!CI115+晋级赛!AP115+晋级赛!BT115</f>
        <v>28141203.036235694</v>
      </c>
      <c r="O109" s="2">
        <f>积分赛!BL115+积分赛!CJ115+晋级赛!AQ115+晋级赛!BU115</f>
        <v>30008063.399881735</v>
      </c>
      <c r="Q109" s="10">
        <f>IFERROR(积分赛!BH115/$K109,0)</f>
        <v>0.765625</v>
      </c>
      <c r="R109" s="10">
        <f>IFERROR(积分赛!CF115/$K109,0)</f>
        <v>3.90625E-2</v>
      </c>
      <c r="S109" s="10">
        <f>IFERROR(晋级赛!AM115/$K109,0)</f>
        <v>0</v>
      </c>
      <c r="T109" s="10">
        <f>IFERROR(晋级赛!BQ115/$K109,0)</f>
        <v>0.1953125</v>
      </c>
      <c r="V109" s="10">
        <f>IFERROR(积分赛!BL115/$O109,0)</f>
        <v>0.46555819477434679</v>
      </c>
      <c r="W109" s="10">
        <f>IFERROR(积分赛!CJ115/$O109,0)</f>
        <v>9.8970704671417248E-2</v>
      </c>
      <c r="X109" s="10">
        <f>IFERROR(晋级赛!AQ115/$O109,0)</f>
        <v>0.39588281868566899</v>
      </c>
      <c r="Y109" s="10">
        <f>IFERROR(晋级赛!BU115/$O109,0)</f>
        <v>3.9588281868566902E-2</v>
      </c>
      <c r="AD109" s="2">
        <v>105</v>
      </c>
      <c r="AE109" s="2">
        <f t="shared" si="11"/>
        <v>241861.06672982179</v>
      </c>
      <c r="AF109" s="2">
        <f t="shared" si="12"/>
        <v>288362.46477484348</v>
      </c>
      <c r="AG109" s="2">
        <f t="shared" si="13"/>
        <v>296660.13678384619</v>
      </c>
      <c r="AH109" s="2">
        <f t="shared" si="14"/>
        <v>281412.03036235692</v>
      </c>
      <c r="AI109" s="2">
        <f t="shared" si="15"/>
        <v>300080.63399881736</v>
      </c>
    </row>
    <row r="110" spans="10:35" x14ac:dyDescent="0.15">
      <c r="J110" s="2">
        <v>106</v>
      </c>
      <c r="K110" s="2">
        <f>积分赛!BH116+积分赛!CF116+晋级赛!AM116+晋级赛!BQ116</f>
        <v>25960000.240753435</v>
      </c>
      <c r="L110" s="2">
        <f>积分赛!BI116+积分赛!CG116+晋级赛!AN116+晋级赛!BR116</f>
        <v>30981196.566417921</v>
      </c>
      <c r="M110" s="2">
        <f>积分赛!BJ116+积分赛!CH116+晋级赛!AO116+晋级赛!BS116</f>
        <v>31867859.398230303</v>
      </c>
      <c r="N110" s="2">
        <f>积分赛!BK116+积分赛!CI116+晋级赛!AP116+晋级赛!BT116</f>
        <v>30231935.786180601</v>
      </c>
      <c r="O110" s="2">
        <f>积分赛!BL116+积分赛!CJ116+晋级赛!AQ116+晋级赛!BU116</f>
        <v>32214157.25344938</v>
      </c>
      <c r="Q110" s="10">
        <f>IFERROR(积分赛!BH116/$K110,0)</f>
        <v>0.76562499999999989</v>
      </c>
      <c r="R110" s="10">
        <f>IFERROR(积分赛!CF116/$K110,0)</f>
        <v>3.9062499999999993E-2</v>
      </c>
      <c r="S110" s="10">
        <f>IFERROR(晋级赛!AM116/$K110,0)</f>
        <v>0</v>
      </c>
      <c r="T110" s="10">
        <f>IFERROR(晋级赛!BQ116/$K110,0)</f>
        <v>0.19531249999999997</v>
      </c>
      <c r="V110" s="10">
        <f>IFERROR(积分赛!BL116/$O110,0)</f>
        <v>0.46555819477434679</v>
      </c>
      <c r="W110" s="10">
        <f>IFERROR(积分赛!CJ116/$O110,0)</f>
        <v>9.8970704671417248E-2</v>
      </c>
      <c r="X110" s="10">
        <f>IFERROR(晋级赛!AQ116/$O110,0)</f>
        <v>0.39588281868566899</v>
      </c>
      <c r="Y110" s="10">
        <f>IFERROR(晋级赛!BU116/$O110,0)</f>
        <v>3.9588281868566902E-2</v>
      </c>
      <c r="AD110" s="2">
        <v>106</v>
      </c>
      <c r="AE110" s="2">
        <f t="shared" si="11"/>
        <v>259600.00240753434</v>
      </c>
      <c r="AF110" s="2">
        <f t="shared" si="12"/>
        <v>309811.96566417924</v>
      </c>
      <c r="AG110" s="2">
        <f t="shared" si="13"/>
        <v>318678.59398230305</v>
      </c>
      <c r="AH110" s="2">
        <f t="shared" si="14"/>
        <v>302319.357861806</v>
      </c>
      <c r="AI110" s="2">
        <f t="shared" si="15"/>
        <v>322141.57253449381</v>
      </c>
    </row>
    <row r="111" spans="10:35" x14ac:dyDescent="0.15">
      <c r="J111" s="2">
        <v>107</v>
      </c>
      <c r="K111" s="2">
        <f>积分赛!BH117+积分赛!CF117+晋级赛!AM117+晋级赛!BQ117</f>
        <v>27861212.292054512</v>
      </c>
      <c r="L111" s="2">
        <f>积分赛!BI117+积分赛!CG117+晋级赛!AN117+晋级赛!BR117</f>
        <v>33241908.875646096</v>
      </c>
      <c r="M111" s="2">
        <f>积分赛!BJ117+积分赛!CH117+晋级赛!AO117+晋级赛!BS117</f>
        <v>34238323.496096365</v>
      </c>
      <c r="N111" s="2">
        <f>积分赛!BK117+积分赛!CI117+晋级赛!AP117+晋级赛!BT117</f>
        <v>32361848.132811341</v>
      </c>
      <c r="O111" s="2">
        <f>积分赛!BL117+积分赛!CJ117+晋级赛!AQ117+晋级赛!BU117</f>
        <v>34541207.869782068</v>
      </c>
      <c r="Q111" s="10">
        <f>IFERROR(积分赛!BH117/$K111,0)</f>
        <v>0.765625</v>
      </c>
      <c r="R111" s="10">
        <f>IFERROR(积分赛!CF117/$K111,0)</f>
        <v>3.90625E-2</v>
      </c>
      <c r="S111" s="10">
        <f>IFERROR(晋级赛!AM117/$K111,0)</f>
        <v>0</v>
      </c>
      <c r="T111" s="10">
        <f>IFERROR(晋级赛!BQ117/$K111,0)</f>
        <v>0.1953125</v>
      </c>
      <c r="V111" s="10">
        <f>IFERROR(积分赛!BL117/$O111,0)</f>
        <v>0.46555819477434679</v>
      </c>
      <c r="W111" s="10">
        <f>IFERROR(积分赛!CJ117/$O111,0)</f>
        <v>9.8970704671417276E-2</v>
      </c>
      <c r="X111" s="10">
        <f>IFERROR(晋级赛!AQ117/$O111,0)</f>
        <v>0.3958828186856691</v>
      </c>
      <c r="Y111" s="10">
        <f>IFERROR(晋级赛!BU117/$O111,0)</f>
        <v>3.9588281868566909E-2</v>
      </c>
      <c r="AD111" s="2">
        <v>107</v>
      </c>
      <c r="AE111" s="2">
        <f t="shared" si="11"/>
        <v>278612.12292054511</v>
      </c>
      <c r="AF111" s="2">
        <f t="shared" si="12"/>
        <v>332419.08875646099</v>
      </c>
      <c r="AG111" s="2">
        <f t="shared" si="13"/>
        <v>342383.23496096366</v>
      </c>
      <c r="AH111" s="2">
        <f t="shared" si="14"/>
        <v>323618.48132811341</v>
      </c>
      <c r="AI111" s="2">
        <f t="shared" si="15"/>
        <v>345412.07869782066</v>
      </c>
    </row>
    <row r="112" spans="10:35" x14ac:dyDescent="0.15">
      <c r="J112" s="2">
        <v>108</v>
      </c>
      <c r="K112" s="2">
        <f>积分赛!BH118+积分赛!CF118+晋级赛!AM118+晋级赛!BQ118</f>
        <v>29898880.915293228</v>
      </c>
      <c r="L112" s="2">
        <f>积分赛!BI118+积分赛!CG118+晋级赛!AN118+晋级赛!BR118</f>
        <v>35680795.246764816</v>
      </c>
      <c r="M112" s="2">
        <f>积分赛!BJ118+积分赛!CH118+晋级赛!AO118+晋级赛!BS118</f>
        <v>36593428.615182951</v>
      </c>
      <c r="N112" s="2">
        <f>积分赛!BK118+积分赛!CI118+晋级赛!AP118+晋级赛!BT118</f>
        <v>34649958.272549585</v>
      </c>
      <c r="O112" s="2">
        <f>积分赛!BL118+积分赛!CJ118+晋级赛!AQ118+晋级赛!BU118</f>
        <v>37143236.024947099</v>
      </c>
      <c r="Q112" s="10">
        <f>IFERROR(积分赛!BH118/$K112,0)</f>
        <v>0.76562500000000011</v>
      </c>
      <c r="R112" s="10">
        <f>IFERROR(积分赛!CF118/$K112,0)</f>
        <v>3.9062499999999993E-2</v>
      </c>
      <c r="S112" s="10">
        <f>IFERROR(晋级赛!AM118/$K112,0)</f>
        <v>0</v>
      </c>
      <c r="T112" s="10">
        <f>IFERROR(晋级赛!BQ118/$K112,0)</f>
        <v>0.19531249999999994</v>
      </c>
      <c r="V112" s="10">
        <f>IFERROR(积分赛!BL118/$O112,0)</f>
        <v>0.46555819477434679</v>
      </c>
      <c r="W112" s="10">
        <f>IFERROR(积分赛!CJ118/$O112,0)</f>
        <v>9.8970704671417262E-2</v>
      </c>
      <c r="X112" s="10">
        <f>IFERROR(晋级赛!AQ118/$O112,0)</f>
        <v>0.39588281868566905</v>
      </c>
      <c r="Y112" s="10">
        <f>IFERROR(晋级赛!BU118/$O112,0)</f>
        <v>3.9588281868566909E-2</v>
      </c>
      <c r="AD112" s="2">
        <v>108</v>
      </c>
      <c r="AE112" s="2">
        <f t="shared" si="11"/>
        <v>298988.80915293231</v>
      </c>
      <c r="AF112" s="2">
        <f t="shared" si="12"/>
        <v>356807.9524676482</v>
      </c>
      <c r="AG112" s="2">
        <f t="shared" si="13"/>
        <v>365934.28615182952</v>
      </c>
      <c r="AH112" s="2">
        <f t="shared" si="14"/>
        <v>346499.58272549586</v>
      </c>
      <c r="AI112" s="2">
        <f t="shared" si="15"/>
        <v>371432.36024947098</v>
      </c>
    </row>
    <row r="113" spans="10:35" x14ac:dyDescent="0.15">
      <c r="J113" s="2">
        <v>109</v>
      </c>
      <c r="K113" s="2">
        <f>积分赛!BH119+积分赛!CF119+晋级赛!AM119+晋级赛!BQ119</f>
        <v>32082800.071123313</v>
      </c>
      <c r="L113" s="2">
        <f>积分赛!BI119+积分赛!CG119+晋级赛!AN119+晋级赛!BR119</f>
        <v>38166743.417817011</v>
      </c>
      <c r="M113" s="2">
        <f>积分赛!BJ119+积分赛!CH119+晋级赛!AO119+晋级赛!BS119</f>
        <v>39164166.354661673</v>
      </c>
      <c r="N113" s="2">
        <f>积分赛!BK119+积分赛!CI119+晋级赛!AP119+晋级赛!BT119</f>
        <v>37124782.517687149</v>
      </c>
      <c r="O113" s="2">
        <f>积分赛!BL119+积分赛!CJ119+晋级赛!AQ119+晋级赛!BU119</f>
        <v>39959870.405518577</v>
      </c>
      <c r="Q113" s="10">
        <f>IFERROR(积分赛!BH119/$K113,0)</f>
        <v>0.765625</v>
      </c>
      <c r="R113" s="10">
        <f>IFERROR(积分赛!CF119/$K113,0)</f>
        <v>3.90625E-2</v>
      </c>
      <c r="S113" s="10">
        <f>IFERROR(晋级赛!AM119/$K113,0)</f>
        <v>0</v>
      </c>
      <c r="T113" s="10">
        <f>IFERROR(晋级赛!BQ119/$K113,0)</f>
        <v>0.19531250000000003</v>
      </c>
      <c r="V113" s="10">
        <f>IFERROR(积分赛!BL119/$O113,0)</f>
        <v>0.46555819477434679</v>
      </c>
      <c r="W113" s="10">
        <f>IFERROR(积分赛!CJ119/$O113,0)</f>
        <v>9.8970704671417262E-2</v>
      </c>
      <c r="X113" s="10">
        <f>IFERROR(晋级赛!AQ119/$O113,0)</f>
        <v>0.39588281868566905</v>
      </c>
      <c r="Y113" s="10">
        <f>IFERROR(晋级赛!BU119/$O113,0)</f>
        <v>3.9588281868566895E-2</v>
      </c>
      <c r="AD113" s="2">
        <v>109</v>
      </c>
      <c r="AE113" s="2">
        <f t="shared" si="11"/>
        <v>320828.00071123312</v>
      </c>
      <c r="AF113" s="2">
        <f t="shared" si="12"/>
        <v>381667.43417817011</v>
      </c>
      <c r="AG113" s="2">
        <f t="shared" si="13"/>
        <v>391641.66354661674</v>
      </c>
      <c r="AH113" s="2">
        <f t="shared" si="14"/>
        <v>371247.8251768715</v>
      </c>
      <c r="AI113" s="2">
        <f t="shared" si="15"/>
        <v>399598.70405518578</v>
      </c>
    </row>
    <row r="114" spans="10:35" x14ac:dyDescent="0.15">
      <c r="J114" s="2">
        <v>110</v>
      </c>
      <c r="K114" s="2">
        <f>积分赛!BH120+积分赛!CF120+晋级赛!AM120+晋级赛!BQ120</f>
        <v>34423466.666666672</v>
      </c>
      <c r="L114" s="2">
        <f>积分赛!BI120+积分赛!CG120+晋级赛!AN120+晋级赛!BR120</f>
        <v>40959097.406666659</v>
      </c>
      <c r="M114" s="2">
        <f>积分赛!BJ120+积分赛!CH120+晋级赛!AO120+晋级赛!BS120</f>
        <v>42112291.75999999</v>
      </c>
      <c r="N114" s="2">
        <f>积分赛!BK120+积分赛!CI120+晋级赛!AP120+晋级赛!BT120</f>
        <v>39988987.133333333</v>
      </c>
      <c r="O114" s="2">
        <f>积分赛!BL120+积分赛!CJ120+晋级赛!AQ120+晋级赛!BU120</f>
        <v>43114239.519999988</v>
      </c>
      <c r="Q114" s="10">
        <f>IFERROR(积分赛!BH120/$K114,0)</f>
        <v>0.76562499999999989</v>
      </c>
      <c r="R114" s="10">
        <f>IFERROR(积分赛!CF120/$K114,0)</f>
        <v>3.90625E-2</v>
      </c>
      <c r="S114" s="10">
        <f>IFERROR(晋级赛!AM120/$K114,0)</f>
        <v>0</v>
      </c>
      <c r="T114" s="10">
        <f>IFERROR(晋级赛!BQ120/$K114,0)</f>
        <v>0.19531249999999997</v>
      </c>
      <c r="V114" s="10">
        <f>IFERROR(积分赛!BL120/$O114,0)</f>
        <v>0.46555819477434685</v>
      </c>
      <c r="W114" s="10">
        <f>IFERROR(积分赛!CJ120/$O114,0)</f>
        <v>9.8970704671417276E-2</v>
      </c>
      <c r="X114" s="10">
        <f>IFERROR(晋级赛!AQ120/$O114,0)</f>
        <v>0.3958828186856691</v>
      </c>
      <c r="Y114" s="10">
        <f>IFERROR(晋级赛!BU120/$O114,0)</f>
        <v>3.9588281868566909E-2</v>
      </c>
      <c r="AD114" s="2">
        <v>110</v>
      </c>
      <c r="AE114" s="2">
        <f t="shared" si="11"/>
        <v>344234.66666666674</v>
      </c>
      <c r="AF114" s="2">
        <f t="shared" si="12"/>
        <v>409590.97406666662</v>
      </c>
      <c r="AG114" s="2">
        <f t="shared" si="13"/>
        <v>421122.91759999993</v>
      </c>
      <c r="AH114" s="2">
        <f t="shared" si="14"/>
        <v>399889.87133333331</v>
      </c>
      <c r="AI114" s="2">
        <f t="shared" si="15"/>
        <v>431142.39519999991</v>
      </c>
    </row>
    <row r="115" spans="10:35" x14ac:dyDescent="0.15">
      <c r="J115" s="2">
        <v>111</v>
      </c>
      <c r="K115" s="2">
        <f>积分赛!BH121+积分赛!CF121+晋级赛!AM121+晋级赛!BQ121</f>
        <v>36932131.00841517</v>
      </c>
      <c r="L115" s="2">
        <f>积分赛!BI121+积分赛!CG121+晋级赛!AN121+晋级赛!BR121</f>
        <v>44014879.761635669</v>
      </c>
      <c r="M115" s="2">
        <f>积分赛!BJ121+积分赛!CH121+晋级赛!AO121+晋级赛!BS121</f>
        <v>45290511.84708856</v>
      </c>
      <c r="N115" s="2">
        <f>积分赛!BK121+积分赛!CI121+晋级赛!AP121+晋级赛!BT121</f>
        <v>43084699.86523284</v>
      </c>
      <c r="O115" s="2">
        <f>积分赛!BL121+积分赛!CJ121+晋级赛!AQ121+晋级赛!BU121</f>
        <v>46576331.944657877</v>
      </c>
      <c r="Q115" s="10">
        <f>IFERROR(积分赛!BH121/$K115,0)</f>
        <v>0.765625</v>
      </c>
      <c r="R115" s="10">
        <f>IFERROR(积分赛!CF121/$K115,0)</f>
        <v>3.90625E-2</v>
      </c>
      <c r="S115" s="10">
        <f>IFERROR(晋级赛!AM121/$K115,0)</f>
        <v>0</v>
      </c>
      <c r="T115" s="10">
        <f>IFERROR(晋级赛!BQ121/$K115,0)</f>
        <v>0.1953125</v>
      </c>
      <c r="V115" s="10">
        <f>IFERROR(积分赛!BL121/$O115,0)</f>
        <v>0.46555819477434685</v>
      </c>
      <c r="W115" s="10">
        <f>IFERROR(积分赛!CJ121/$O115,0)</f>
        <v>9.8970704671417276E-2</v>
      </c>
      <c r="X115" s="10">
        <f>IFERROR(晋级赛!AQ121/$O115,0)</f>
        <v>0.3958828186856691</v>
      </c>
      <c r="Y115" s="10">
        <f>IFERROR(晋级赛!BU121/$O115,0)</f>
        <v>3.9588281868566916E-2</v>
      </c>
      <c r="AD115" s="2">
        <v>111</v>
      </c>
      <c r="AE115" s="2">
        <f t="shared" si="11"/>
        <v>369321.31008415169</v>
      </c>
      <c r="AF115" s="2">
        <f t="shared" si="12"/>
        <v>440148.79761635669</v>
      </c>
      <c r="AG115" s="2">
        <f t="shared" si="13"/>
        <v>452905.11847088562</v>
      </c>
      <c r="AH115" s="2">
        <f t="shared" si="14"/>
        <v>430846.99865232839</v>
      </c>
      <c r="AI115" s="2">
        <f t="shared" si="15"/>
        <v>465763.3194465788</v>
      </c>
    </row>
    <row r="116" spans="10:35" x14ac:dyDescent="0.15">
      <c r="J116" s="2">
        <v>112</v>
      </c>
      <c r="K116" s="2">
        <f>积分赛!BH122+积分赛!CF122+晋级赛!AM122+晋级赛!BQ122</f>
        <v>39620850.87631233</v>
      </c>
      <c r="L116" s="2">
        <f>积分赛!BI122+积分赛!CG122+晋级赛!AN122+晋级赛!BR122</f>
        <v>47260744.838157035</v>
      </c>
      <c r="M116" s="2">
        <f>积分赛!BJ122+积分赛!CH122+晋级赛!AO122+晋级赛!BS122</f>
        <v>48645212.853764258</v>
      </c>
      <c r="N116" s="2">
        <f>积分赛!BK122+积分赛!CI122+晋级赛!AP122+晋级赛!BT122</f>
        <v>46325210.937270164</v>
      </c>
      <c r="O116" s="2">
        <f>积分赛!BL122+积分赛!CJ122+晋级赛!AQ122+晋级赛!BU122</f>
        <v>49943783.29705999</v>
      </c>
      <c r="Q116" s="10">
        <f>IFERROR(积分赛!BH122/$K116,0)</f>
        <v>0.765625</v>
      </c>
      <c r="R116" s="10">
        <f>IFERROR(积分赛!CF122/$K116,0)</f>
        <v>3.90625E-2</v>
      </c>
      <c r="S116" s="10">
        <f>IFERROR(晋级赛!AM122/$K116,0)</f>
        <v>0</v>
      </c>
      <c r="T116" s="10">
        <f>IFERROR(晋级赛!BQ122/$K116,0)</f>
        <v>0.1953125</v>
      </c>
      <c r="V116" s="10">
        <f>IFERROR(积分赛!BL122/$O116,0)</f>
        <v>0.46555819477434673</v>
      </c>
      <c r="W116" s="10">
        <f>IFERROR(积分赛!CJ122/$O116,0)</f>
        <v>9.8970704671417262E-2</v>
      </c>
      <c r="X116" s="10">
        <f>IFERROR(晋级赛!AQ122/$O116,0)</f>
        <v>0.39588281868566905</v>
      </c>
      <c r="Y116" s="10">
        <f>IFERROR(晋级赛!BU122/$O116,0)</f>
        <v>3.9588281868566902E-2</v>
      </c>
      <c r="AD116" s="2">
        <v>112</v>
      </c>
      <c r="AE116" s="2">
        <f t="shared" si="11"/>
        <v>396208.5087631233</v>
      </c>
      <c r="AF116" s="2">
        <f t="shared" si="12"/>
        <v>472607.44838157034</v>
      </c>
      <c r="AG116" s="2">
        <f t="shared" si="13"/>
        <v>486452.12853764259</v>
      </c>
      <c r="AH116" s="2">
        <f t="shared" si="14"/>
        <v>463252.10937270167</v>
      </c>
      <c r="AI116" s="2">
        <f t="shared" si="15"/>
        <v>499437.83297059993</v>
      </c>
    </row>
    <row r="117" spans="10:35" x14ac:dyDescent="0.15">
      <c r="J117" s="2">
        <v>113</v>
      </c>
      <c r="K117" s="2">
        <f>积分赛!BH123+积分赛!CF123+晋级赛!AM123+晋级赛!BQ123</f>
        <v>42502549.478918627</v>
      </c>
      <c r="L117" s="2">
        <f>积分赛!BI123+积分赛!CG123+晋级赛!AN123+晋级赛!BR123</f>
        <v>50729938.363103591</v>
      </c>
      <c r="M117" s="2">
        <f>积分赛!BJ123+积分赛!CH123+晋级赛!AO123+晋级赛!BS123</f>
        <v>52258819.319450416</v>
      </c>
      <c r="N117" s="2">
        <f>积分赛!BK123+积分赛!CI123+晋级赛!AP123+晋级赛!BT123</f>
        <v>49636467.788573347</v>
      </c>
      <c r="O117" s="2">
        <f>积分赛!BL123+积分赛!CJ123+晋级赛!AQ123+晋级赛!BU123</f>
        <v>53520328.12286713</v>
      </c>
      <c r="Q117" s="10">
        <f>IFERROR(积分赛!BH123/$K117,0)</f>
        <v>0.76562500000000011</v>
      </c>
      <c r="R117" s="10">
        <f>IFERROR(积分赛!CF123/$K117,0)</f>
        <v>3.9062500000000007E-2</v>
      </c>
      <c r="S117" s="10">
        <f>IFERROR(晋级赛!AM123/$K117,0)</f>
        <v>0</v>
      </c>
      <c r="T117" s="10">
        <f>IFERROR(晋级赛!BQ123/$K117,0)</f>
        <v>0.1953125</v>
      </c>
      <c r="V117" s="10">
        <f>IFERROR(积分赛!BL123/$O117,0)</f>
        <v>0.46555819477434685</v>
      </c>
      <c r="W117" s="10">
        <f>IFERROR(积分赛!CJ123/$O117,0)</f>
        <v>9.8970704671417262E-2</v>
      </c>
      <c r="X117" s="10">
        <f>IFERROR(晋级赛!AQ123/$O117,0)</f>
        <v>0.39588281868566905</v>
      </c>
      <c r="Y117" s="10">
        <f>IFERROR(晋级赛!BU123/$O117,0)</f>
        <v>3.9588281868566902E-2</v>
      </c>
      <c r="AD117" s="2">
        <v>113</v>
      </c>
      <c r="AE117" s="2">
        <f t="shared" si="11"/>
        <v>425025.49478918628</v>
      </c>
      <c r="AF117" s="2">
        <f t="shared" si="12"/>
        <v>507299.38363103592</v>
      </c>
      <c r="AG117" s="2">
        <f t="shared" si="13"/>
        <v>522588.19319450419</v>
      </c>
      <c r="AH117" s="2">
        <f t="shared" si="14"/>
        <v>496364.67788573349</v>
      </c>
      <c r="AI117" s="2">
        <f t="shared" si="15"/>
        <v>535203.28122867132</v>
      </c>
    </row>
    <row r="118" spans="10:35" x14ac:dyDescent="0.15">
      <c r="J118" s="2">
        <v>114</v>
      </c>
      <c r="K118" s="2">
        <f>积分赛!BH124+积分赛!CF124+晋级赛!AM124+晋级赛!BQ124</f>
        <v>45591077.568219952</v>
      </c>
      <c r="L118" s="2">
        <f>积分赛!BI124+积分赛!CG124+晋级赛!AN124+晋级赛!BR124</f>
        <v>54436930.605343722</v>
      </c>
      <c r="M118" s="2">
        <f>积分赛!BJ124+积分赛!CH124+晋级赛!AO124+晋级赛!BS124</f>
        <v>55944326.270546056</v>
      </c>
      <c r="N118" s="2">
        <f>积分赛!BK124+积分赛!CI124+晋级赛!AP124+晋级赛!BT124</f>
        <v>53077847.08815138</v>
      </c>
      <c r="O118" s="2">
        <f>积分赛!BL124+积分赛!CJ124+晋级赛!AQ124+晋级赛!BU124</f>
        <v>57339854.727155417</v>
      </c>
      <c r="Q118" s="10">
        <f>IFERROR(积分赛!BH124/$K118,0)</f>
        <v>0.765625</v>
      </c>
      <c r="R118" s="10">
        <f>IFERROR(积分赛!CF124/$K118,0)</f>
        <v>3.90625E-2</v>
      </c>
      <c r="S118" s="10">
        <f>IFERROR(晋级赛!AM124/$K118,0)</f>
        <v>0</v>
      </c>
      <c r="T118" s="10">
        <f>IFERROR(晋级赛!BQ124/$K118,0)</f>
        <v>0.19531249999999997</v>
      </c>
      <c r="V118" s="10">
        <f>IFERROR(积分赛!BL124/$O118,0)</f>
        <v>0.46555819477434679</v>
      </c>
      <c r="W118" s="10">
        <f>IFERROR(积分赛!CJ124/$O118,0)</f>
        <v>9.8970704671417262E-2</v>
      </c>
      <c r="X118" s="10">
        <f>IFERROR(晋级赛!AQ124/$O118,0)</f>
        <v>0.39588281868566905</v>
      </c>
      <c r="Y118" s="10">
        <f>IFERROR(晋级赛!BU124/$O118,0)</f>
        <v>3.9588281868566902E-2</v>
      </c>
      <c r="AD118" s="2">
        <v>114</v>
      </c>
      <c r="AE118" s="2">
        <f t="shared" si="11"/>
        <v>455910.77568219951</v>
      </c>
      <c r="AF118" s="2">
        <f t="shared" si="12"/>
        <v>544369.30605343718</v>
      </c>
      <c r="AG118" s="2">
        <f t="shared" si="13"/>
        <v>559443.26270546054</v>
      </c>
      <c r="AH118" s="2">
        <f t="shared" si="14"/>
        <v>530778.47088151379</v>
      </c>
      <c r="AI118" s="2">
        <f t="shared" si="15"/>
        <v>573398.54727155424</v>
      </c>
    </row>
    <row r="119" spans="10:35" x14ac:dyDescent="0.15">
      <c r="J119" s="2">
        <v>115</v>
      </c>
      <c r="K119" s="2">
        <f>积分赛!BH125+积分赛!CF125+晋级赛!AM125+晋级赛!BQ125</f>
        <v>48901280.012631021</v>
      </c>
      <c r="L119" s="2">
        <f>积分赛!BI125+积分赛!CG125+晋级赛!AN125+晋级赛!BR125</f>
        <v>58230749.816880979</v>
      </c>
      <c r="M119" s="2">
        <f>积分赛!BJ125+积分赛!CH125+晋级赛!AO125+晋级赛!BS125</f>
        <v>59751029.777009748</v>
      </c>
      <c r="N119" s="2">
        <f>积分赛!BK125+积分赛!CI125+晋级赛!AP125+晋级赛!BT125</f>
        <v>56691454.680432156</v>
      </c>
      <c r="O119" s="2">
        <f>积分赛!BL125+积分赛!CJ125+晋级赛!AQ125+晋级赛!BU125</f>
        <v>61370061.457520604</v>
      </c>
      <c r="Q119" s="10">
        <f>IFERROR(积分赛!BH125/$K119,0)</f>
        <v>0.76562499999999989</v>
      </c>
      <c r="R119" s="10">
        <f>IFERROR(积分赛!CF125/$K119,0)</f>
        <v>3.90625E-2</v>
      </c>
      <c r="S119" s="10">
        <f>IFERROR(晋级赛!AM125/$K119,0)</f>
        <v>0</v>
      </c>
      <c r="T119" s="10">
        <f>IFERROR(晋级赛!BQ125/$K119,0)</f>
        <v>0.19531250000000003</v>
      </c>
      <c r="V119" s="10">
        <f>IFERROR(积分赛!BL125/$O119,0)</f>
        <v>0.46555819477434685</v>
      </c>
      <c r="W119" s="10">
        <f>IFERROR(积分赛!CJ125/$O119,0)</f>
        <v>9.8970704671417276E-2</v>
      </c>
      <c r="X119" s="10">
        <f>IFERROR(晋级赛!AQ125/$O119,0)</f>
        <v>0.3958828186856691</v>
      </c>
      <c r="Y119" s="10">
        <f>IFERROR(晋级赛!BU125/$O119,0)</f>
        <v>3.9588281868566902E-2</v>
      </c>
      <c r="AD119" s="2">
        <v>115</v>
      </c>
      <c r="AE119" s="2">
        <f t="shared" si="11"/>
        <v>489012.80012631021</v>
      </c>
      <c r="AF119" s="2">
        <f t="shared" si="12"/>
        <v>582307.49816880981</v>
      </c>
      <c r="AG119" s="2">
        <f t="shared" si="13"/>
        <v>597510.2977700975</v>
      </c>
      <c r="AH119" s="2">
        <f t="shared" si="14"/>
        <v>566914.54680432158</v>
      </c>
      <c r="AI119" s="2">
        <f t="shared" si="15"/>
        <v>613700.61457520607</v>
      </c>
    </row>
    <row r="120" spans="10:35" x14ac:dyDescent="0.15">
      <c r="J120" s="2">
        <v>116</v>
      </c>
      <c r="K120" s="2">
        <f>积分赛!BH126+积分赛!CF126+晋级赛!AM126+晋级赛!BQ126</f>
        <v>52449067.148173533</v>
      </c>
      <c r="L120" s="2">
        <f>积分赛!BI126+积分赛!CG126+晋级赛!AN126+晋级赛!BR126</f>
        <v>62388897.395833179</v>
      </c>
      <c r="M120" s="2">
        <f>积分赛!BJ126+积分赛!CH126+晋级赛!AO126+晋级赛!BS126</f>
        <v>64030928.320551611</v>
      </c>
      <c r="N120" s="2">
        <f>积分赛!BK126+积分赛!CI126+晋级赛!AP126+晋级赛!BT126</f>
        <v>60888797.242936783</v>
      </c>
      <c r="O120" s="2">
        <f>积分赛!BL126+积分赛!CJ126+晋级赛!AQ126+晋级赛!BU126</f>
        <v>65957686.986384079</v>
      </c>
      <c r="Q120" s="10">
        <f>IFERROR(积分赛!BH126/$K120,0)</f>
        <v>0.765625</v>
      </c>
      <c r="R120" s="10">
        <f>IFERROR(积分赛!CF126/$K120,0)</f>
        <v>3.90625E-2</v>
      </c>
      <c r="S120" s="10">
        <f>IFERROR(晋级赛!AM126/$K120,0)</f>
        <v>0</v>
      </c>
      <c r="T120" s="10">
        <f>IFERROR(晋级赛!BQ126/$K120,0)</f>
        <v>0.1953125</v>
      </c>
      <c r="V120" s="10">
        <f>IFERROR(积分赛!BL126/$O120,0)</f>
        <v>0.46555819477434679</v>
      </c>
      <c r="W120" s="10">
        <f>IFERROR(积分赛!CJ126/$O120,0)</f>
        <v>9.8970704671417262E-2</v>
      </c>
      <c r="X120" s="10">
        <f>IFERROR(晋级赛!AQ126/$O120,0)</f>
        <v>0.39588281868566905</v>
      </c>
      <c r="Y120" s="10">
        <f>IFERROR(晋级赛!BU126/$O120,0)</f>
        <v>3.9588281868566909E-2</v>
      </c>
      <c r="AD120" s="2">
        <v>116</v>
      </c>
      <c r="AE120" s="2">
        <f t="shared" si="11"/>
        <v>524490.67148173531</v>
      </c>
      <c r="AF120" s="2">
        <f t="shared" si="12"/>
        <v>623888.97395833186</v>
      </c>
      <c r="AG120" s="2">
        <f t="shared" si="13"/>
        <v>640309.28320551617</v>
      </c>
      <c r="AH120" s="2">
        <f t="shared" si="14"/>
        <v>608887.97242936783</v>
      </c>
      <c r="AI120" s="2">
        <f t="shared" si="15"/>
        <v>659576.86986384075</v>
      </c>
    </row>
    <row r="121" spans="10:35" x14ac:dyDescent="0.15">
      <c r="J121" s="2">
        <v>117</v>
      </c>
      <c r="K121" s="2">
        <f>积分赛!BH127+积分赛!CF127+晋级赛!AM127+晋级赛!BQ127</f>
        <v>56251491.25077565</v>
      </c>
      <c r="L121" s="2">
        <f>积分赛!BI127+积分赛!CG127+晋级赛!AN127+晋级赛!BR127</f>
        <v>66935677.913430803</v>
      </c>
      <c r="M121" s="2">
        <f>积分赛!BJ127+积分赛!CH127+晋级赛!AO127+晋级赛!BS127</f>
        <v>68766179.028246209</v>
      </c>
      <c r="N121" s="2">
        <f>积分赛!BK127+积分赛!CI127+晋级赛!AP127+晋级赛!BT127</f>
        <v>65376458.084912881</v>
      </c>
      <c r="O121" s="2">
        <f>积分赛!BL127+积分赛!CJ127+晋级赛!AQ127+晋级赛!BU127</f>
        <v>70986601.486539185</v>
      </c>
      <c r="Q121" s="10">
        <f>IFERROR(积分赛!BH127/$K121,0)</f>
        <v>0.765625</v>
      </c>
      <c r="R121" s="10">
        <f>IFERROR(积分赛!CF127/$K121,0)</f>
        <v>3.9062499999999993E-2</v>
      </c>
      <c r="S121" s="10">
        <f>IFERROR(晋级赛!AM127/$K121,0)</f>
        <v>0</v>
      </c>
      <c r="T121" s="10">
        <f>IFERROR(晋级赛!BQ127/$K121,0)</f>
        <v>0.19531249999999994</v>
      </c>
      <c r="V121" s="10">
        <f>IFERROR(积分赛!BL127/$O121,0)</f>
        <v>0.46555819477434673</v>
      </c>
      <c r="W121" s="10">
        <f>IFERROR(积分赛!CJ127/$O121,0)</f>
        <v>9.8970704671417262E-2</v>
      </c>
      <c r="X121" s="10">
        <f>IFERROR(晋级赛!AQ127/$O121,0)</f>
        <v>0.39588281868566905</v>
      </c>
      <c r="Y121" s="10">
        <f>IFERROR(晋级赛!BU127/$O121,0)</f>
        <v>3.9588281868566895E-2</v>
      </c>
      <c r="AD121" s="2">
        <v>117</v>
      </c>
      <c r="AE121" s="2">
        <f t="shared" si="11"/>
        <v>562514.9125077565</v>
      </c>
      <c r="AF121" s="2">
        <f t="shared" si="12"/>
        <v>669356.77913430799</v>
      </c>
      <c r="AG121" s="2">
        <f t="shared" si="13"/>
        <v>687661.79028246214</v>
      </c>
      <c r="AH121" s="2">
        <f t="shared" si="14"/>
        <v>653764.58084912878</v>
      </c>
      <c r="AI121" s="2">
        <f t="shared" si="15"/>
        <v>709866.01486539189</v>
      </c>
    </row>
    <row r="122" spans="10:35" x14ac:dyDescent="0.15">
      <c r="J122" s="2">
        <v>118</v>
      </c>
      <c r="K122" s="2">
        <f>积分赛!BH128+积分赛!CF128+晋级赛!AM128+晋级赛!BQ128</f>
        <v>60326828.497253165</v>
      </c>
      <c r="L122" s="2">
        <f>积分赛!BI128+积分赛!CG128+晋级赛!AN128+晋级赛!BR128</f>
        <v>71809939.960468188</v>
      </c>
      <c r="M122" s="2">
        <f>积分赛!BJ128+积分赛!CH128+晋级赛!AO128+晋级赛!BS128</f>
        <v>73802526.890455067</v>
      </c>
      <c r="N122" s="2">
        <f>积分赛!BK128+积分赛!CI128+晋级赛!AP128+晋级赛!BT128</f>
        <v>70290905.442984536</v>
      </c>
      <c r="O122" s="2">
        <f>积分赛!BL128+积分赛!CJ128+晋级赛!AQ128+晋级赛!BU128</f>
        <v>76294457.214637801</v>
      </c>
      <c r="Q122" s="10">
        <f>IFERROR(积分赛!BH128/$K122,0)</f>
        <v>0.765625</v>
      </c>
      <c r="R122" s="10">
        <f>IFERROR(积分赛!CF128/$K122,0)</f>
        <v>3.9062500000000007E-2</v>
      </c>
      <c r="S122" s="10">
        <f>IFERROR(晋级赛!AM128/$K122,0)</f>
        <v>0</v>
      </c>
      <c r="T122" s="10">
        <f>IFERROR(晋级赛!BQ128/$K122,0)</f>
        <v>0.19531250000000003</v>
      </c>
      <c r="V122" s="10">
        <f>IFERROR(积分赛!BL128/$O122,0)</f>
        <v>0.46555819477434679</v>
      </c>
      <c r="W122" s="10">
        <f>IFERROR(积分赛!CJ128/$O122,0)</f>
        <v>9.8970704671417276E-2</v>
      </c>
      <c r="X122" s="10">
        <f>IFERROR(晋级赛!AQ128/$O122,0)</f>
        <v>0.3958828186856691</v>
      </c>
      <c r="Y122" s="10">
        <f>IFERROR(晋级赛!BU128/$O122,0)</f>
        <v>3.9588281868566902E-2</v>
      </c>
      <c r="AD122" s="2">
        <v>118</v>
      </c>
      <c r="AE122" s="2">
        <f t="shared" si="11"/>
        <v>603268.2849725316</v>
      </c>
      <c r="AF122" s="2">
        <f t="shared" si="12"/>
        <v>718099.39960468188</v>
      </c>
      <c r="AG122" s="2">
        <f t="shared" si="13"/>
        <v>738025.2689045507</v>
      </c>
      <c r="AH122" s="2">
        <f t="shared" si="14"/>
        <v>702909.05442984542</v>
      </c>
      <c r="AI122" s="2">
        <f t="shared" si="15"/>
        <v>762944.57214637799</v>
      </c>
    </row>
    <row r="123" spans="10:35" x14ac:dyDescent="0.15">
      <c r="J123" s="2">
        <v>119</v>
      </c>
      <c r="K123" s="2">
        <f>积分赛!BH129+积分赛!CF129+晋级赛!AM129+晋级赛!BQ129</f>
        <v>64694666.808913291</v>
      </c>
      <c r="L123" s="2">
        <f>积分赛!BI129+积分赛!CG129+晋级赛!AN129+晋级赛!BR129</f>
        <v>77071846.922300681</v>
      </c>
      <c r="M123" s="2">
        <f>积分赛!BJ129+积分赛!CH129+晋级赛!AO129+晋级赛!BS129</f>
        <v>79296858.440624684</v>
      </c>
      <c r="N123" s="2">
        <f>积分赛!BK129+积分赛!CI129+晋级赛!AP129+晋级赛!BT129</f>
        <v>75473193.129576489</v>
      </c>
      <c r="O123" s="2">
        <f>积分赛!BL129+积分赛!CJ129+晋级赛!AQ129+晋级赛!BU129</f>
        <v>81695898.761852846</v>
      </c>
      <c r="Q123" s="10">
        <f>IFERROR(积分赛!BH129/$K123,0)</f>
        <v>0.765625</v>
      </c>
      <c r="R123" s="10">
        <f>IFERROR(积分赛!CF129/$K123,0)</f>
        <v>3.90625E-2</v>
      </c>
      <c r="S123" s="10">
        <f>IFERROR(晋级赛!AM129/$K123,0)</f>
        <v>0</v>
      </c>
      <c r="T123" s="10">
        <f>IFERROR(晋级赛!BQ129/$K123,0)</f>
        <v>0.19531250000000003</v>
      </c>
      <c r="V123" s="10">
        <f>IFERROR(积分赛!BL129/$O123,0)</f>
        <v>0.46555819477434679</v>
      </c>
      <c r="W123" s="10">
        <f>IFERROR(积分赛!CJ129/$O123,0)</f>
        <v>9.8970704671417262E-2</v>
      </c>
      <c r="X123" s="10">
        <f>IFERROR(晋级赛!AQ129/$O123,0)</f>
        <v>0.39588281868566905</v>
      </c>
      <c r="Y123" s="10">
        <f>IFERROR(晋级赛!BU129/$O123,0)</f>
        <v>3.9588281868566909E-2</v>
      </c>
      <c r="AD123" s="2">
        <v>119</v>
      </c>
      <c r="AE123" s="2">
        <f t="shared" si="11"/>
        <v>646946.66808913287</v>
      </c>
      <c r="AF123" s="2">
        <f t="shared" si="12"/>
        <v>770718.46922300686</v>
      </c>
      <c r="AG123" s="2">
        <f t="shared" si="13"/>
        <v>792968.5844062469</v>
      </c>
      <c r="AH123" s="2">
        <f t="shared" si="14"/>
        <v>754731.93129576487</v>
      </c>
      <c r="AI123" s="2">
        <f t="shared" si="15"/>
        <v>816958.98761852842</v>
      </c>
    </row>
    <row r="124" spans="10:35" x14ac:dyDescent="0.15">
      <c r="J124" s="2">
        <v>120</v>
      </c>
      <c r="K124" s="2">
        <f>积分赛!BH130+积分赛!CF130+晋级赛!AM130+晋级赛!BQ130</f>
        <v>69376000</v>
      </c>
      <c r="L124" s="2">
        <f>积分赛!BI130+积分赛!CG130+晋级赛!AN130+晋级赛!BR130</f>
        <v>82715359.100000009</v>
      </c>
      <c r="M124" s="2">
        <f>积分赛!BJ130+积分赛!CH130+晋级赛!AO130+晋级赛!BS130</f>
        <v>85068706.799999997</v>
      </c>
      <c r="N124" s="2">
        <f>积分赛!BK130+积分赛!CI130+晋级赛!AP130+晋级赛!BT130</f>
        <v>80626234</v>
      </c>
      <c r="O124" s="2">
        <f>积分赛!BL130+积分赛!CJ130+晋级赛!AQ130+晋级赛!BU130</f>
        <v>87397579.199999988</v>
      </c>
      <c r="Q124" s="10">
        <f>IFERROR(积分赛!BH130/$K124,0)</f>
        <v>0.765625</v>
      </c>
      <c r="R124" s="10">
        <f>IFERROR(积分赛!CF130/$K124,0)</f>
        <v>3.90625E-2</v>
      </c>
      <c r="S124" s="10">
        <f>IFERROR(晋级赛!AM130/$K124,0)</f>
        <v>0</v>
      </c>
      <c r="T124" s="10">
        <f>IFERROR(晋级赛!BQ130/$K124,0)</f>
        <v>0.1953125</v>
      </c>
      <c r="V124" s="10">
        <f>IFERROR(积分赛!BL130/$O124,0)</f>
        <v>0.46555819477434679</v>
      </c>
      <c r="W124" s="10">
        <f>IFERROR(积分赛!CJ130/$O124,0)</f>
        <v>9.8970704671417248E-2</v>
      </c>
      <c r="X124" s="10">
        <f>IFERROR(晋级赛!AQ130/$O124,0)</f>
        <v>0.39588281868566899</v>
      </c>
      <c r="Y124" s="10">
        <f>IFERROR(晋级赛!BU130/$O124,0)</f>
        <v>3.9588281868566902E-2</v>
      </c>
      <c r="AD124" s="2">
        <v>120</v>
      </c>
      <c r="AE124" s="2">
        <f t="shared" si="11"/>
        <v>693760</v>
      </c>
      <c r="AF124" s="2">
        <f t="shared" si="12"/>
        <v>827153.59100000013</v>
      </c>
      <c r="AG124" s="2">
        <f t="shared" si="13"/>
        <v>850687.06799999997</v>
      </c>
      <c r="AH124" s="2">
        <f t="shared" si="14"/>
        <v>806262.34</v>
      </c>
      <c r="AI124" s="2">
        <f t="shared" si="15"/>
        <v>873975.7919999999</v>
      </c>
    </row>
    <row r="125" spans="10:35" x14ac:dyDescent="0.15">
      <c r="J125" s="2">
        <v>121</v>
      </c>
      <c r="K125" s="2">
        <f>积分赛!BH131+积分赛!CF131+晋级赛!AM131+晋级赛!BQ131</f>
        <v>74393328.683497086</v>
      </c>
      <c r="L125" s="2">
        <f>积分赛!BI131+积分赛!CG131+晋级赛!AN131+晋级赛!BR131</f>
        <v>88589575.196752384</v>
      </c>
      <c r="M125" s="2">
        <f>积分赛!BJ131+积分赛!CH131+晋级赛!AO131+晋级赛!BS131</f>
        <v>90823148.120313019</v>
      </c>
      <c r="N125" s="2">
        <f>积分赛!BK131+积分赛!CI131+晋级赛!AP131+晋级赛!BT131</f>
        <v>86123705.325803682</v>
      </c>
      <c r="O125" s="2">
        <f>积分赛!BL131+积分赛!CJ131+晋级赛!AQ131+晋级赛!BU131</f>
        <v>93742416.203712523</v>
      </c>
      <c r="Q125" s="10">
        <f>IFERROR(积分赛!BH131/$K125,0)</f>
        <v>0.76562499999999989</v>
      </c>
      <c r="R125" s="10">
        <f>IFERROR(积分赛!CF131/$K125,0)</f>
        <v>3.90625E-2</v>
      </c>
      <c r="S125" s="10">
        <f>IFERROR(晋级赛!AM131/$K125,0)</f>
        <v>0</v>
      </c>
      <c r="T125" s="10">
        <f>IFERROR(晋级赛!BQ131/$K125,0)</f>
        <v>0.19531250000000003</v>
      </c>
      <c r="V125" s="10">
        <f>IFERROR(积分赛!BL131/$O125,0)</f>
        <v>0.46555819477434685</v>
      </c>
      <c r="W125" s="10">
        <f>IFERROR(积分赛!CJ131/$O125,0)</f>
        <v>9.8970704671417248E-2</v>
      </c>
      <c r="X125" s="10">
        <f>IFERROR(晋级赛!AQ131/$O125,0)</f>
        <v>0.39588281868566899</v>
      </c>
      <c r="Y125" s="10">
        <f>IFERROR(晋级赛!BU131/$O125,0)</f>
        <v>3.9588281868566902E-2</v>
      </c>
      <c r="AD125" s="2">
        <v>121</v>
      </c>
      <c r="AE125" s="2">
        <f t="shared" si="11"/>
        <v>743933.28683497093</v>
      </c>
      <c r="AF125" s="2">
        <f t="shared" si="12"/>
        <v>885895.75196752383</v>
      </c>
      <c r="AG125" s="2">
        <f t="shared" si="13"/>
        <v>908231.48120313021</v>
      </c>
      <c r="AH125" s="2">
        <f t="shared" si="14"/>
        <v>861237.05325803685</v>
      </c>
      <c r="AI125" s="2">
        <f t="shared" si="15"/>
        <v>937424.16203712521</v>
      </c>
    </row>
    <row r="126" spans="10:35" x14ac:dyDescent="0.15">
      <c r="J126" s="2">
        <v>122</v>
      </c>
      <c r="K126" s="2">
        <f>积分赛!BH132+积分赛!CF132+晋级赛!AM132+晋级赛!BQ132</f>
        <v>79770768.419291332</v>
      </c>
      <c r="L126" s="2">
        <f>积分赛!BI132+积分赛!CG132+晋级赛!AN132+晋级赛!BR132</f>
        <v>94764523.073468566</v>
      </c>
      <c r="M126" s="2">
        <f>积分赛!BJ132+积分赛!CH132+晋级赛!AO132+晋级赛!BS132</f>
        <v>97134376.881927669</v>
      </c>
      <c r="N126" s="2">
        <f>积分赛!BK132+积分赛!CI132+晋级赛!AP132+晋级赛!BT132</f>
        <v>92259615.101855114</v>
      </c>
      <c r="O126" s="2">
        <f>积分赛!BL132+积分赛!CJ132+晋级赛!AQ132+晋级赛!BU132</f>
        <v>100534683.28449062</v>
      </c>
      <c r="Q126" s="10">
        <f>IFERROR(积分赛!BH132/$K126,0)</f>
        <v>0.765625</v>
      </c>
      <c r="R126" s="10">
        <f>IFERROR(积分赛!CF132/$K126,0)</f>
        <v>3.9062500000000007E-2</v>
      </c>
      <c r="S126" s="10">
        <f>IFERROR(晋级赛!AM132/$K126,0)</f>
        <v>0</v>
      </c>
      <c r="T126" s="10">
        <f>IFERROR(晋级赛!BQ132/$K126,0)</f>
        <v>0.19531250000000003</v>
      </c>
      <c r="V126" s="10">
        <f>IFERROR(积分赛!BL132/$O126,0)</f>
        <v>0.46555819477434685</v>
      </c>
      <c r="W126" s="10">
        <f>IFERROR(积分赛!CJ132/$O126,0)</f>
        <v>9.8970704671417276E-2</v>
      </c>
      <c r="X126" s="10">
        <f>IFERROR(晋级赛!AQ132/$O126,0)</f>
        <v>0.3958828186856691</v>
      </c>
      <c r="Y126" s="10">
        <f>IFERROR(晋级赛!BU132/$O126,0)</f>
        <v>3.9588281868566916E-2</v>
      </c>
      <c r="AD126" s="2">
        <v>122</v>
      </c>
      <c r="AE126" s="2">
        <f t="shared" si="11"/>
        <v>797707.68419291335</v>
      </c>
      <c r="AF126" s="2">
        <f t="shared" si="12"/>
        <v>947645.23073468567</v>
      </c>
      <c r="AG126" s="2">
        <f t="shared" si="13"/>
        <v>971343.76881927671</v>
      </c>
      <c r="AH126" s="2">
        <f t="shared" si="14"/>
        <v>922596.1510185512</v>
      </c>
      <c r="AI126" s="2">
        <f t="shared" si="15"/>
        <v>1005346.8328449061</v>
      </c>
    </row>
    <row r="127" spans="10:35" x14ac:dyDescent="0.15">
      <c r="J127" s="2">
        <v>123</v>
      </c>
      <c r="K127" s="2">
        <f>积分赛!BH133+积分赛!CF133+晋级赛!AM133+晋级赛!BQ133</f>
        <v>85534165.62450394</v>
      </c>
      <c r="L127" s="2">
        <f>积分赛!BI133+积分赛!CG133+晋级赛!AN133+晋级赛!BR133</f>
        <v>101619091.21384728</v>
      </c>
      <c r="M127" s="2">
        <f>积分赛!BJ133+积分赛!CH133+晋级赛!AO133+晋级赛!BS133</f>
        <v>104406791.93012764</v>
      </c>
      <c r="N127" s="2">
        <f>积分赛!BK133+积分赛!CI133+晋级赛!AP133+晋级赛!BT133</f>
        <v>99324313.569656461</v>
      </c>
      <c r="O127" s="2">
        <f>积分赛!BL133+积分赛!CJ133+晋级赛!AQ133+晋级赛!BU133</f>
        <v>108315342.99092473</v>
      </c>
      <c r="Q127" s="10">
        <f>IFERROR(积分赛!BH133/$K127,0)</f>
        <v>0.765625</v>
      </c>
      <c r="R127" s="10">
        <f>IFERROR(积分赛!CF133/$K127,0)</f>
        <v>3.90625E-2</v>
      </c>
      <c r="S127" s="10">
        <f>IFERROR(晋级赛!AM133/$K127,0)</f>
        <v>0</v>
      </c>
      <c r="T127" s="10">
        <f>IFERROR(晋级赛!BQ133/$K127,0)</f>
        <v>0.1953125</v>
      </c>
      <c r="V127" s="10">
        <f>IFERROR(积分赛!BL133/$O127,0)</f>
        <v>0.46555819477434679</v>
      </c>
      <c r="W127" s="10">
        <f>IFERROR(积分赛!CJ133/$O127,0)</f>
        <v>9.8970704671417262E-2</v>
      </c>
      <c r="X127" s="10">
        <f>IFERROR(晋级赛!AQ133/$O127,0)</f>
        <v>0.39588281868566905</v>
      </c>
      <c r="Y127" s="10">
        <f>IFERROR(晋级赛!BU133/$O127,0)</f>
        <v>3.9588281868566902E-2</v>
      </c>
      <c r="AD127" s="2">
        <v>123</v>
      </c>
      <c r="AE127" s="2">
        <f t="shared" si="11"/>
        <v>855341.65624503943</v>
      </c>
      <c r="AF127" s="2">
        <f t="shared" si="12"/>
        <v>1016190.9121384728</v>
      </c>
      <c r="AG127" s="2">
        <f t="shared" si="13"/>
        <v>1044067.9193012763</v>
      </c>
      <c r="AH127" s="2">
        <f t="shared" si="14"/>
        <v>993243.13569656468</v>
      </c>
      <c r="AI127" s="2">
        <f t="shared" si="15"/>
        <v>1083153.4299092474</v>
      </c>
    </row>
    <row r="128" spans="10:35" x14ac:dyDescent="0.15">
      <c r="J128" s="2">
        <v>124</v>
      </c>
      <c r="K128" s="2">
        <f>积分赛!BH134+积分赛!CF134+晋级赛!AM134+晋级赛!BQ134</f>
        <v>91711221.803106472</v>
      </c>
      <c r="L128" s="2">
        <f>积分赛!BI134+积分赛!CG134+晋级赛!AN134+晋级赛!BR134</f>
        <v>109172561.29777244</v>
      </c>
      <c r="M128" s="2">
        <f>积分赛!BJ134+积分赛!CH134+晋级赛!AO134+晋级赛!BS134</f>
        <v>112151324.54914108</v>
      </c>
      <c r="N128" s="2">
        <f>积分赛!BK134+积分赛!CI134+晋级赛!AP134+晋级赛!BT134</f>
        <v>106787932.98217151</v>
      </c>
      <c r="O128" s="2">
        <f>积分赛!BL134+积分赛!CJ134+晋级赛!AQ134+晋级赛!BU134</f>
        <v>116681880.60147953</v>
      </c>
      <c r="Q128" s="10">
        <f>IFERROR(积分赛!BH134/$K128,0)</f>
        <v>0.76562500000000011</v>
      </c>
      <c r="R128" s="10">
        <f>IFERROR(积分赛!CF134/$K128,0)</f>
        <v>3.9062500000000007E-2</v>
      </c>
      <c r="S128" s="10">
        <f>IFERROR(晋级赛!AM134/$K128,0)</f>
        <v>0</v>
      </c>
      <c r="T128" s="10">
        <f>IFERROR(晋级赛!BQ134/$K128,0)</f>
        <v>0.19531250000000003</v>
      </c>
      <c r="V128" s="10">
        <f>IFERROR(积分赛!BL134/$O128,0)</f>
        <v>0.46555819477434679</v>
      </c>
      <c r="W128" s="10">
        <f>IFERROR(积分赛!CJ134/$O128,0)</f>
        <v>9.8970704671417262E-2</v>
      </c>
      <c r="X128" s="10">
        <f>IFERROR(晋级赛!AQ134/$O128,0)</f>
        <v>0.39588281868566905</v>
      </c>
      <c r="Y128" s="10">
        <f>IFERROR(晋级赛!BU134/$O128,0)</f>
        <v>3.9588281868566909E-2</v>
      </c>
      <c r="AD128" s="2">
        <v>124</v>
      </c>
      <c r="AE128" s="2">
        <f t="shared" si="11"/>
        <v>917112.21803106472</v>
      </c>
      <c r="AF128" s="2">
        <f t="shared" si="12"/>
        <v>1091725.6129777243</v>
      </c>
      <c r="AG128" s="2">
        <f t="shared" si="13"/>
        <v>1121513.2454914108</v>
      </c>
      <c r="AH128" s="2">
        <f t="shared" si="14"/>
        <v>1067879.3298217151</v>
      </c>
      <c r="AI128" s="2">
        <f t="shared" si="15"/>
        <v>1166818.8060147953</v>
      </c>
    </row>
    <row r="129" spans="10:35" x14ac:dyDescent="0.15">
      <c r="J129" s="2">
        <v>125</v>
      </c>
      <c r="K129" s="2">
        <f>积分赛!BH135+积分赛!CF135+晋级赛!AM135+晋级赛!BQ135</f>
        <v>98331626.691928729</v>
      </c>
      <c r="L129" s="2">
        <f>积分赛!BI135+积分赛!CG135+晋级赛!AN135+晋级赛!BR135</f>
        <v>117005801.8814624</v>
      </c>
      <c r="M129" s="2">
        <f>积分赛!BJ135+积分赛!CH135+晋级赛!AO135+晋级赛!BS135</f>
        <v>120429177.68826497</v>
      </c>
      <c r="N129" s="2">
        <f>积分赛!BK135+积分赛!CI135+晋级赛!AP135+晋级赛!BT135</f>
        <v>114709442.85244511</v>
      </c>
      <c r="O129" s="2">
        <f>积分赛!BL135+积分赛!CJ135+晋级赛!AQ135+晋级赛!BU135</f>
        <v>124605475.71661675</v>
      </c>
      <c r="Q129" s="10">
        <f>IFERROR(积分赛!BH135/$K129,0)</f>
        <v>0.765625</v>
      </c>
      <c r="R129" s="10">
        <f>IFERROR(积分赛!CF135/$K129,0)</f>
        <v>3.9062499999999993E-2</v>
      </c>
      <c r="S129" s="10">
        <f>IFERROR(晋级赛!AM135/$K129,0)</f>
        <v>0</v>
      </c>
      <c r="T129" s="10">
        <f>IFERROR(晋级赛!BQ135/$K129,0)</f>
        <v>0.1953125</v>
      </c>
      <c r="V129" s="10">
        <f>IFERROR(积分赛!BL135/$O129,0)</f>
        <v>0.46555819477434679</v>
      </c>
      <c r="W129" s="10">
        <f>IFERROR(积分赛!CJ135/$O129,0)</f>
        <v>9.8970704671417248E-2</v>
      </c>
      <c r="X129" s="10">
        <f>IFERROR(晋级赛!AQ135/$O129,0)</f>
        <v>0.39588281868566899</v>
      </c>
      <c r="Y129" s="10">
        <f>IFERROR(晋级赛!BU135/$O129,0)</f>
        <v>3.9588281868566902E-2</v>
      </c>
      <c r="AD129" s="2">
        <v>125</v>
      </c>
      <c r="AE129" s="2">
        <f t="shared" si="11"/>
        <v>983316.26691928727</v>
      </c>
      <c r="AF129" s="2">
        <f t="shared" si="12"/>
        <v>1170058.0188146241</v>
      </c>
      <c r="AG129" s="2">
        <f t="shared" si="13"/>
        <v>1204291.7768826496</v>
      </c>
      <c r="AH129" s="2">
        <f t="shared" si="14"/>
        <v>1147094.4285244511</v>
      </c>
      <c r="AI129" s="2">
        <f t="shared" si="15"/>
        <v>1246054.7571661675</v>
      </c>
    </row>
    <row r="130" spans="10:35" x14ac:dyDescent="0.15">
      <c r="J130" s="2">
        <v>126</v>
      </c>
      <c r="K130" s="2">
        <f>积分赛!BH136+积分赛!CF136+晋级赛!AM136+晋级赛!BQ136</f>
        <v>105427200.96301374</v>
      </c>
      <c r="L130" s="2">
        <f>积分赛!BI136+积分赛!CG136+晋级赛!AN136+晋级赛!BR136</f>
        <v>125634981.48608012</v>
      </c>
      <c r="M130" s="2">
        <f>积分赛!BJ136+积分赛!CH136+晋级赛!AO136+晋级赛!BS136</f>
        <v>129236212.90318875</v>
      </c>
      <c r="N130" s="2">
        <f>积分赛!BK136+积分赛!CI136+晋级赛!AP136+晋级赛!BT136</f>
        <v>122547093.6502101</v>
      </c>
      <c r="O130" s="2">
        <f>积分赛!BL136+积分赛!CJ136+晋级赛!AQ136+晋级赛!BU136</f>
        <v>133052258.14744017</v>
      </c>
      <c r="Q130" s="10">
        <f>IFERROR(积分赛!BH136/$K130,0)</f>
        <v>0.76562499999999989</v>
      </c>
      <c r="R130" s="10">
        <f>IFERROR(积分赛!CF136/$K130,0)</f>
        <v>3.90625E-2</v>
      </c>
      <c r="S130" s="10">
        <f>IFERROR(晋级赛!AM136/$K130,0)</f>
        <v>0</v>
      </c>
      <c r="T130" s="10">
        <f>IFERROR(晋级赛!BQ136/$K130,0)</f>
        <v>0.1953125</v>
      </c>
      <c r="V130" s="10">
        <f>IFERROR(积分赛!BL136/$O130,0)</f>
        <v>0.46555819477434685</v>
      </c>
      <c r="W130" s="10">
        <f>IFERROR(积分赛!CJ136/$O130,0)</f>
        <v>9.8970704671417262E-2</v>
      </c>
      <c r="X130" s="10">
        <f>IFERROR(晋级赛!AQ136/$O130,0)</f>
        <v>0.39588281868566905</v>
      </c>
      <c r="Y130" s="10">
        <f>IFERROR(晋级赛!BU136/$O130,0)</f>
        <v>3.9588281868566902E-2</v>
      </c>
      <c r="AD130" s="2">
        <v>126</v>
      </c>
      <c r="AE130" s="2">
        <f t="shared" si="11"/>
        <v>1054272.0096301374</v>
      </c>
      <c r="AF130" s="2">
        <f t="shared" si="12"/>
        <v>1256349.8148608012</v>
      </c>
      <c r="AG130" s="2">
        <f t="shared" si="13"/>
        <v>1292362.1290318875</v>
      </c>
      <c r="AH130" s="2">
        <f t="shared" si="14"/>
        <v>1225470.9365021009</v>
      </c>
      <c r="AI130" s="2">
        <f t="shared" si="15"/>
        <v>1330522.5814744018</v>
      </c>
    </row>
    <row r="131" spans="10:35" x14ac:dyDescent="0.15">
      <c r="J131" s="2">
        <v>127</v>
      </c>
      <c r="K131" s="2">
        <f>积分赛!BH137+积分赛!CF137+晋级赛!AM137+晋级赛!BQ137</f>
        <v>113032049.16821796</v>
      </c>
      <c r="L131" s="2">
        <f>积分赛!BI137+积分赛!CG137+晋级赛!AN137+晋级赛!BR137</f>
        <v>134705233.43948206</v>
      </c>
      <c r="M131" s="2">
        <f>积分赛!BJ137+积分赛!CH137+晋级赛!AO137+晋级赛!BS137</f>
        <v>137944541.32828596</v>
      </c>
      <c r="N131" s="2">
        <f>积分赛!BK137+积分赛!CI137+晋级赛!AP137+晋级赛!BT137</f>
        <v>130638540.42578852</v>
      </c>
      <c r="O131" s="2">
        <f>积分赛!BL137+积分赛!CJ137+晋级赛!AQ137+晋级赛!BU137</f>
        <v>142280584.6277743</v>
      </c>
      <c r="Q131" s="10">
        <f>IFERROR(积分赛!BH137/$K131,0)</f>
        <v>0.765625</v>
      </c>
      <c r="R131" s="10">
        <f>IFERROR(积分赛!CF137/$K131,0)</f>
        <v>3.9062500000000007E-2</v>
      </c>
      <c r="S131" s="10">
        <f>IFERROR(晋级赛!AM137/$K131,0)</f>
        <v>0</v>
      </c>
      <c r="T131" s="10">
        <f>IFERROR(晋级赛!BQ137/$K131,0)</f>
        <v>0.1953125</v>
      </c>
      <c r="V131" s="10">
        <f>IFERROR(积分赛!BL137/$O131,0)</f>
        <v>0.46555819477434685</v>
      </c>
      <c r="W131" s="10">
        <f>IFERROR(积分赛!CJ137/$O131,0)</f>
        <v>9.8970704671417262E-2</v>
      </c>
      <c r="X131" s="10">
        <f>IFERROR(晋级赛!AQ137/$O131,0)</f>
        <v>0.39588281868566905</v>
      </c>
      <c r="Y131" s="10">
        <f>IFERROR(晋级赛!BU137/$O131,0)</f>
        <v>3.9588281868566909E-2</v>
      </c>
      <c r="AD131" s="2">
        <v>127</v>
      </c>
      <c r="AE131" s="2">
        <f t="shared" si="11"/>
        <v>1130320.4916821795</v>
      </c>
      <c r="AF131" s="2">
        <f t="shared" si="12"/>
        <v>1347052.3343948207</v>
      </c>
      <c r="AG131" s="2">
        <f t="shared" si="13"/>
        <v>1379445.4132828596</v>
      </c>
      <c r="AH131" s="2">
        <f t="shared" si="14"/>
        <v>1306385.4042578852</v>
      </c>
      <c r="AI131" s="2">
        <f t="shared" si="15"/>
        <v>1422805.8462777431</v>
      </c>
    </row>
    <row r="132" spans="10:35" x14ac:dyDescent="0.15">
      <c r="J132" s="2">
        <v>128</v>
      </c>
      <c r="K132" s="2">
        <f>积分赛!BH138+积分赛!CF138+晋级赛!AM138+晋级赛!BQ138</f>
        <v>121182723.66117281</v>
      </c>
      <c r="L132" s="2">
        <f>积分赛!BI138+积分赛!CG138+晋级赛!AN138+晋级赛!BR138</f>
        <v>143743857.44111958</v>
      </c>
      <c r="M132" s="2">
        <f>积分赛!BJ138+积分赛!CH138+晋级赛!AO138+晋级赛!BS138</f>
        <v>147100518.01330188</v>
      </c>
      <c r="N132" s="2">
        <f>积分赛!BK138+积分赛!CI138+晋级赛!AP138+晋级赛!BT138</f>
        <v>139517901.74703607</v>
      </c>
      <c r="O132" s="2">
        <f>积分赛!BL138+积分赛!CJ138+晋级赛!AQ138+晋级赛!BU138</f>
        <v>152315181.40738049</v>
      </c>
      <c r="Q132" s="10">
        <f>IFERROR(积分赛!BH138/$K132,0)</f>
        <v>0.765625</v>
      </c>
      <c r="R132" s="10">
        <f>IFERROR(积分赛!CF138/$K132,0)</f>
        <v>3.9062500000000007E-2</v>
      </c>
      <c r="S132" s="10">
        <f>IFERROR(晋级赛!AM138/$K132,0)</f>
        <v>0</v>
      </c>
      <c r="T132" s="10">
        <f>IFERROR(晋级赛!BQ138/$K132,0)</f>
        <v>0.1953125</v>
      </c>
      <c r="V132" s="10">
        <f>IFERROR(积分赛!BL138/$O132,0)</f>
        <v>0.46555819477434679</v>
      </c>
      <c r="W132" s="10">
        <f>IFERROR(积分赛!CJ138/$O132,0)</f>
        <v>9.8970704671417262E-2</v>
      </c>
      <c r="X132" s="10">
        <f>IFERROR(晋级赛!AQ138/$O132,0)</f>
        <v>0.39588281868566905</v>
      </c>
      <c r="Y132" s="10">
        <f>IFERROR(晋级赛!BU138/$O132,0)</f>
        <v>3.9588281868566902E-2</v>
      </c>
      <c r="AD132" s="2">
        <v>128</v>
      </c>
      <c r="AE132" s="2">
        <f t="shared" si="11"/>
        <v>1211827.2366117281</v>
      </c>
      <c r="AF132" s="2">
        <f t="shared" si="12"/>
        <v>1437438.5744111959</v>
      </c>
      <c r="AG132" s="2">
        <f t="shared" si="13"/>
        <v>1471005.1801330189</v>
      </c>
      <c r="AH132" s="2">
        <f t="shared" si="14"/>
        <v>1395179.0174703607</v>
      </c>
      <c r="AI132" s="2">
        <f t="shared" si="15"/>
        <v>1523151.814073805</v>
      </c>
    </row>
    <row r="133" spans="10:35" x14ac:dyDescent="0.15">
      <c r="J133" s="2">
        <v>129</v>
      </c>
      <c r="K133" s="2">
        <f>积分赛!BH139+积分赛!CF139+晋级赛!AM139+晋级赛!BQ139</f>
        <v>129918400.28449327</v>
      </c>
      <c r="L133" s="2">
        <f>积分赛!BI139+积分赛!CG139+晋级赛!AN139+晋级赛!BR139</f>
        <v>154113839.25334242</v>
      </c>
      <c r="M133" s="2">
        <f>积分赛!BJ139+积分赛!CH139+晋级赛!AO139+晋级赛!BS139</f>
        <v>157985164.89536083</v>
      </c>
      <c r="N133" s="2">
        <f>积分赛!BK139+积分赛!CI139+晋级赛!AP139+晋级赛!BT139</f>
        <v>150125021.45983222</v>
      </c>
      <c r="O133" s="2">
        <f>积分赛!BL139+积分赛!CJ139+晋级赛!AQ139+晋级赛!BU139</f>
        <v>163816322.07844895</v>
      </c>
      <c r="Q133" s="10">
        <f>IFERROR(积分赛!BH139/$K133,0)</f>
        <v>0.76562499999999989</v>
      </c>
      <c r="R133" s="10">
        <f>IFERROR(积分赛!CF139/$K133,0)</f>
        <v>3.9062500000000007E-2</v>
      </c>
      <c r="S133" s="10">
        <f>IFERROR(晋级赛!AM139/$K133,0)</f>
        <v>0</v>
      </c>
      <c r="T133" s="10">
        <f>IFERROR(晋级赛!BQ139/$K133,0)</f>
        <v>0.19531250000000003</v>
      </c>
      <c r="V133" s="10">
        <f>IFERROR(积分赛!BL139/$O133,0)</f>
        <v>0.46555819477434679</v>
      </c>
      <c r="W133" s="10">
        <f>IFERROR(积分赛!CJ139/$O133,0)</f>
        <v>9.8970704671417248E-2</v>
      </c>
      <c r="X133" s="10">
        <f>IFERROR(晋级赛!AQ139/$O133,0)</f>
        <v>0.39588281868566899</v>
      </c>
      <c r="Y133" s="10">
        <f>IFERROR(晋级赛!BU139/$O133,0)</f>
        <v>3.9588281868566902E-2</v>
      </c>
      <c r="AD133" s="2">
        <v>129</v>
      </c>
      <c r="AE133" s="2">
        <f t="shared" si="11"/>
        <v>1299184.0028449327</v>
      </c>
      <c r="AF133" s="2">
        <f t="shared" si="12"/>
        <v>1541138.3925334243</v>
      </c>
      <c r="AG133" s="2">
        <f t="shared" si="13"/>
        <v>1579851.6489536082</v>
      </c>
      <c r="AH133" s="2">
        <f t="shared" si="14"/>
        <v>1501250.2145983223</v>
      </c>
      <c r="AI133" s="2">
        <f t="shared" si="15"/>
        <v>1638163.2207844895</v>
      </c>
    </row>
    <row r="134" spans="10:35" x14ac:dyDescent="0.15">
      <c r="J134" s="2">
        <v>130</v>
      </c>
      <c r="K134" s="2">
        <f>积分赛!BH140+积分赛!CF140+晋级赛!AM140+晋级赛!BQ140</f>
        <v>139281066.66666669</v>
      </c>
      <c r="L134" s="2">
        <f>积分赛!BI140+积分赛!CG140+晋级赛!AN140+晋级赛!BR140</f>
        <v>165424148.50000003</v>
      </c>
      <c r="M134" s="2">
        <f>积分赛!BJ140+积分赛!CH140+晋级赛!AO140+晋级赛!BS140</f>
        <v>169770542.47999999</v>
      </c>
      <c r="N134" s="2">
        <f>积分赛!BK140+积分赛!CI140+晋级赛!AP140+晋级赛!BT140</f>
        <v>161428430.80000004</v>
      </c>
      <c r="O134" s="2">
        <f>积分赛!BL140+积分赛!CJ140+晋级赛!AQ140+晋级赛!BU140</f>
        <v>176377562.68000001</v>
      </c>
      <c r="Q134" s="10">
        <f>IFERROR(积分赛!BH140/$K134,0)</f>
        <v>0.76562499999999989</v>
      </c>
      <c r="R134" s="10">
        <f>IFERROR(积分赛!CF140/$K134,0)</f>
        <v>3.90625E-2</v>
      </c>
      <c r="S134" s="10">
        <f>IFERROR(晋级赛!AM140/$K134,0)</f>
        <v>0</v>
      </c>
      <c r="T134" s="10">
        <f>IFERROR(晋级赛!BQ140/$K134,0)</f>
        <v>0.19531249999999997</v>
      </c>
      <c r="V134" s="10">
        <f>IFERROR(积分赛!BL140/$O134,0)</f>
        <v>0.46555819477434679</v>
      </c>
      <c r="W134" s="10">
        <f>IFERROR(积分赛!CJ140/$O134,0)</f>
        <v>9.8970704671417262E-2</v>
      </c>
      <c r="X134" s="10">
        <f>IFERROR(晋级赛!AQ140/$O134,0)</f>
        <v>0.39588281868566905</v>
      </c>
      <c r="Y134" s="10">
        <f>IFERROR(晋级赛!BU140/$O134,0)</f>
        <v>3.9588281868566909E-2</v>
      </c>
      <c r="AD134" s="2">
        <v>130</v>
      </c>
      <c r="AE134" s="2">
        <f t="shared" si="11"/>
        <v>1392810.666666667</v>
      </c>
      <c r="AF134" s="2">
        <f t="shared" si="12"/>
        <v>1654241.4850000003</v>
      </c>
      <c r="AG134" s="2">
        <f t="shared" si="13"/>
        <v>1697705.4247999999</v>
      </c>
      <c r="AH134" s="2">
        <f t="shared" si="14"/>
        <v>1614284.3080000004</v>
      </c>
      <c r="AI134" s="2">
        <f t="shared" si="15"/>
        <v>1763775.6268000002</v>
      </c>
    </row>
    <row r="135" spans="10:35" x14ac:dyDescent="0.15">
      <c r="J135" s="2">
        <v>131</v>
      </c>
      <c r="K135" s="2">
        <f>积分赛!BH141+积分赛!CF141+晋级赛!AM141+晋级赛!BQ141</f>
        <v>149315724.03366083</v>
      </c>
      <c r="L135" s="2">
        <f>积分赛!BI141+积分赛!CG141+晋级赛!AN141+晋级赛!BR141</f>
        <v>177434245.57704154</v>
      </c>
      <c r="M135" s="2">
        <f>积分赛!BJ141+积分赛!CH141+晋级赛!AO141+晋级赛!BS141</f>
        <v>182185611.86955059</v>
      </c>
      <c r="N135" s="2">
        <f>积分赛!BK141+积分赛!CI141+晋级赛!AP141+晋级赛!BT141</f>
        <v>173502314.73494071</v>
      </c>
      <c r="O135" s="2">
        <f>积分赛!BL141+积分赛!CJ141+晋级赛!AQ141+晋级赛!BU141</f>
        <v>189071820.64769503</v>
      </c>
      <c r="Q135" s="10">
        <f>IFERROR(积分赛!BH141/$K135,0)</f>
        <v>0.765625</v>
      </c>
      <c r="R135" s="10">
        <f>IFERROR(积分赛!CF141/$K135,0)</f>
        <v>3.90625E-2</v>
      </c>
      <c r="S135" s="10">
        <f>IFERROR(晋级赛!AM141/$K135,0)</f>
        <v>0</v>
      </c>
      <c r="T135" s="10">
        <f>IFERROR(晋级赛!BQ141/$K135,0)</f>
        <v>0.19531250000000003</v>
      </c>
      <c r="V135" s="10">
        <f>IFERROR(积分赛!BL141/$O135,0)</f>
        <v>0.46555819477434679</v>
      </c>
      <c r="W135" s="10">
        <f>IFERROR(积分赛!CJ141/$O135,0)</f>
        <v>9.8970704671417262E-2</v>
      </c>
      <c r="X135" s="10">
        <f>IFERROR(晋级赛!AQ141/$O135,0)</f>
        <v>0.39588281868566905</v>
      </c>
      <c r="Y135" s="10">
        <f>IFERROR(晋级赛!BU141/$O135,0)</f>
        <v>3.9588281868566909E-2</v>
      </c>
      <c r="AD135" s="2">
        <v>131</v>
      </c>
      <c r="AE135" s="2">
        <f t="shared" si="11"/>
        <v>1493157.2403366084</v>
      </c>
      <c r="AF135" s="2">
        <f t="shared" si="12"/>
        <v>1774342.4557704155</v>
      </c>
      <c r="AG135" s="2">
        <f t="shared" si="13"/>
        <v>1821856.1186955059</v>
      </c>
      <c r="AH135" s="2">
        <f t="shared" si="14"/>
        <v>1735023.1473494072</v>
      </c>
      <c r="AI135" s="2">
        <f t="shared" si="15"/>
        <v>1890718.2064769503</v>
      </c>
    </row>
    <row r="136" spans="10:35" x14ac:dyDescent="0.15">
      <c r="J136" s="2">
        <v>132</v>
      </c>
      <c r="K136" s="2">
        <f>积分赛!BH142+积分赛!CF142+晋级赛!AM142+晋级赛!BQ142</f>
        <v>160070603.50524935</v>
      </c>
      <c r="L136" s="2">
        <f>积分赛!BI142+积分赛!CG142+晋级赛!AN142+晋级赛!BR142</f>
        <v>190357420.81109089</v>
      </c>
      <c r="M136" s="2">
        <f>积分赛!BJ142+积分赛!CH142+晋级赛!AO142+晋级赛!BS142</f>
        <v>195764221.8966558</v>
      </c>
      <c r="N136" s="2">
        <f>积分赛!BK142+积分赛!CI142+晋级赛!AP142+晋级赛!BT142</f>
        <v>185851574.03105229</v>
      </c>
      <c r="O136" s="2">
        <f>积分赛!BL142+积分赛!CJ142+晋级赛!AQ142+晋级赛!BU142</f>
        <v>202191226.61675927</v>
      </c>
      <c r="Q136" s="10">
        <f>IFERROR(积分赛!BH142/$K136,0)</f>
        <v>0.76562499999999989</v>
      </c>
      <c r="R136" s="10">
        <f>IFERROR(积分赛!CF142/$K136,0)</f>
        <v>3.90625E-2</v>
      </c>
      <c r="S136" s="10">
        <f>IFERROR(晋级赛!AM142/$K136,0)</f>
        <v>0</v>
      </c>
      <c r="T136" s="10">
        <f>IFERROR(晋级赛!BQ142/$K136,0)</f>
        <v>0.1953125</v>
      </c>
      <c r="V136" s="10">
        <f>IFERROR(积分赛!BL142/$O136,0)</f>
        <v>0.46555819477434685</v>
      </c>
      <c r="W136" s="10">
        <f>IFERROR(积分赛!CJ142/$O136,0)</f>
        <v>9.8970704671417276E-2</v>
      </c>
      <c r="X136" s="10">
        <f>IFERROR(晋级赛!AQ142/$O136,0)</f>
        <v>0.3958828186856691</v>
      </c>
      <c r="Y136" s="10">
        <f>IFERROR(晋级赛!BU142/$O136,0)</f>
        <v>3.9588281868566916E-2</v>
      </c>
      <c r="AD136" s="2">
        <v>132</v>
      </c>
      <c r="AE136" s="2">
        <f t="shared" si="11"/>
        <v>1600706.0350524934</v>
      </c>
      <c r="AF136" s="2">
        <f t="shared" si="12"/>
        <v>1903574.208110909</v>
      </c>
      <c r="AG136" s="2">
        <f t="shared" si="13"/>
        <v>1957642.2189665581</v>
      </c>
      <c r="AH136" s="2">
        <f t="shared" si="14"/>
        <v>1858515.740310523</v>
      </c>
      <c r="AI136" s="2">
        <f t="shared" si="15"/>
        <v>2021912.2661675927</v>
      </c>
    </row>
    <row r="137" spans="10:35" x14ac:dyDescent="0.15">
      <c r="J137" s="2">
        <v>133</v>
      </c>
      <c r="K137" s="2">
        <f>积分赛!BH143+积分赛!CF143+晋级赛!AM143+晋级赛!BQ143</f>
        <v>171597397.91567457</v>
      </c>
      <c r="L137" s="2">
        <f>积分赛!BI143+积分赛!CG143+晋级赛!AN143+晋级赛!BR143</f>
        <v>204217836.82617787</v>
      </c>
      <c r="M137" s="2">
        <f>积分赛!BJ143+积分赛!CH143+晋级赛!AO143+晋级赛!BS143</f>
        <v>209354690.71748909</v>
      </c>
      <c r="N137" s="2">
        <f>积分赛!BK143+积分赛!CI143+晋级赛!AP143+晋级赛!BT143</f>
        <v>198326014.95880854</v>
      </c>
      <c r="O137" s="2">
        <f>积分赛!BL143+积分赛!CJ143+晋级赛!AQ143+晋级赛!BU143</f>
        <v>216036934.55731922</v>
      </c>
      <c r="Q137" s="10">
        <f>IFERROR(积分赛!BH143/$K137,0)</f>
        <v>0.765625</v>
      </c>
      <c r="R137" s="10">
        <f>IFERROR(积分赛!CF143/$K137,0)</f>
        <v>3.90625E-2</v>
      </c>
      <c r="S137" s="10">
        <f>IFERROR(晋级赛!AM143/$K137,0)</f>
        <v>0</v>
      </c>
      <c r="T137" s="10">
        <f>IFERROR(晋级赛!BQ143/$K137,0)</f>
        <v>0.19531249999999997</v>
      </c>
      <c r="V137" s="10">
        <f>IFERROR(积分赛!BL143/$O137,0)</f>
        <v>0.46555819477434673</v>
      </c>
      <c r="W137" s="10">
        <f>IFERROR(积分赛!CJ143/$O137,0)</f>
        <v>9.8970704671417276E-2</v>
      </c>
      <c r="X137" s="10">
        <f>IFERROR(晋级赛!AQ143/$O137,0)</f>
        <v>0.3958828186856691</v>
      </c>
      <c r="Y137" s="10">
        <f>IFERROR(晋级赛!BU143/$O137,0)</f>
        <v>3.9588281868566909E-2</v>
      </c>
      <c r="AD137" s="2">
        <v>133</v>
      </c>
      <c r="AE137" s="2">
        <f t="shared" si="11"/>
        <v>1715973.9791567456</v>
      </c>
      <c r="AF137" s="2">
        <f t="shared" si="12"/>
        <v>2042178.3682617787</v>
      </c>
      <c r="AG137" s="2">
        <f t="shared" si="13"/>
        <v>2093546.9071748911</v>
      </c>
      <c r="AH137" s="2">
        <f t="shared" si="14"/>
        <v>1983260.1495880855</v>
      </c>
      <c r="AI137" s="2">
        <f t="shared" si="15"/>
        <v>2160369.3455731925</v>
      </c>
    </row>
    <row r="138" spans="10:35" x14ac:dyDescent="0.15">
      <c r="J138" s="2">
        <v>134</v>
      </c>
      <c r="K138" s="2">
        <f>积分赛!BH144+积分赛!CF144+晋级赛!AM144+晋级赛!BQ144</f>
        <v>183951510.27287969</v>
      </c>
      <c r="L138" s="2">
        <f>积分赛!BI144+积分赛!CG144+晋级赛!AN144+晋级赛!BR144</f>
        <v>218307414.99667561</v>
      </c>
      <c r="M138" s="2">
        <f>积分赛!BJ144+积分赛!CH144+晋级赛!AO144+晋级赛!BS144</f>
        <v>223416630.1667065</v>
      </c>
      <c r="N138" s="2">
        <f>积分赛!BK144+积分赛!CI144+晋级赛!AP144+晋级赛!BT144</f>
        <v>211805222.59284896</v>
      </c>
      <c r="O138" s="2">
        <f>积分赛!BL144+积分赛!CJ144+晋级赛!AQ144+晋级赛!BU144</f>
        <v>231179467.89175534</v>
      </c>
      <c r="Q138" s="10">
        <f>IFERROR(积分赛!BH144/$K138,0)</f>
        <v>0.765625</v>
      </c>
      <c r="R138" s="10">
        <f>IFERROR(积分赛!CF144/$K138,0)</f>
        <v>3.90625E-2</v>
      </c>
      <c r="S138" s="10">
        <f>IFERROR(晋级赛!AM144/$K138,0)</f>
        <v>0</v>
      </c>
      <c r="T138" s="10">
        <f>IFERROR(晋级赛!BQ144/$K138,0)</f>
        <v>0.19531249999999997</v>
      </c>
      <c r="V138" s="10">
        <f>IFERROR(积分赛!BL144/$O138,0)</f>
        <v>0.46555819477434673</v>
      </c>
      <c r="W138" s="10">
        <f>IFERROR(积分赛!CJ144/$O138,0)</f>
        <v>9.8970704671417262E-2</v>
      </c>
      <c r="X138" s="10">
        <f>IFERROR(晋级赛!AQ144/$O138,0)</f>
        <v>0.39588281868566905</v>
      </c>
      <c r="Y138" s="10">
        <f>IFERROR(晋级赛!BU144/$O138,0)</f>
        <v>3.9588281868566902E-2</v>
      </c>
      <c r="AD138" s="2">
        <v>134</v>
      </c>
      <c r="AE138" s="2">
        <f t="shared" si="11"/>
        <v>1839515.1027287969</v>
      </c>
      <c r="AF138" s="2">
        <f t="shared" si="12"/>
        <v>2183074.1499667563</v>
      </c>
      <c r="AG138" s="2">
        <f t="shared" si="13"/>
        <v>2234166.3016670649</v>
      </c>
      <c r="AH138" s="2">
        <f t="shared" si="14"/>
        <v>2118052.2259284896</v>
      </c>
      <c r="AI138" s="2">
        <f t="shared" si="15"/>
        <v>2311794.6789175533</v>
      </c>
    </row>
    <row r="139" spans="10:35" x14ac:dyDescent="0.15">
      <c r="J139" s="2">
        <v>135</v>
      </c>
      <c r="K139" s="2">
        <f>积分赛!BH145+积分赛!CF145+晋级赛!AM145+晋级赛!BQ145</f>
        <v>197192320.05052412</v>
      </c>
      <c r="L139" s="2">
        <f>积分赛!BI145+积分赛!CG145+晋级赛!AN145+晋级赛!BR145</f>
        <v>233751832.43966967</v>
      </c>
      <c r="M139" s="2">
        <f>积分赛!BJ145+积分赛!CH145+晋级赛!AO145+晋级赛!BS145</f>
        <v>239198708.65636432</v>
      </c>
      <c r="N139" s="2">
        <f>积分赛!BK145+积分赛!CI145+晋级赛!AP145+晋级赛!BT145</f>
        <v>227192648.61462557</v>
      </c>
      <c r="O139" s="2">
        <f>积分赛!BL145+积分赛!CJ145+晋级赛!AQ145+晋级赛!BU145</f>
        <v>248345027.58111104</v>
      </c>
      <c r="Q139" s="10">
        <f>IFERROR(积分赛!BH145/$K139,0)</f>
        <v>0.765625</v>
      </c>
      <c r="R139" s="10">
        <f>IFERROR(积分赛!CF145/$K139,0)</f>
        <v>3.90625E-2</v>
      </c>
      <c r="S139" s="10">
        <f>IFERROR(晋级赛!AM145/$K139,0)</f>
        <v>0</v>
      </c>
      <c r="T139" s="10">
        <f>IFERROR(晋级赛!BQ145/$K139,0)</f>
        <v>0.19531250000000003</v>
      </c>
      <c r="V139" s="10">
        <f>IFERROR(积分赛!BL145/$O139,0)</f>
        <v>0.46555819477434685</v>
      </c>
      <c r="W139" s="10">
        <f>IFERROR(积分赛!CJ145/$O139,0)</f>
        <v>9.8970704671417262E-2</v>
      </c>
      <c r="X139" s="10">
        <f>IFERROR(晋级赛!AQ145/$O139,0)</f>
        <v>0.39588281868566905</v>
      </c>
      <c r="Y139" s="10">
        <f>IFERROR(晋级赛!BU145/$O139,0)</f>
        <v>3.9588281868566909E-2</v>
      </c>
      <c r="AD139" s="2">
        <v>135</v>
      </c>
      <c r="AE139" s="2">
        <f t="shared" si="11"/>
        <v>1971923.2005052413</v>
      </c>
      <c r="AF139" s="2">
        <f t="shared" si="12"/>
        <v>2337518.3243966969</v>
      </c>
      <c r="AG139" s="2">
        <f t="shared" si="13"/>
        <v>2391987.0865636431</v>
      </c>
      <c r="AH139" s="2">
        <f t="shared" si="14"/>
        <v>2271926.4861462559</v>
      </c>
      <c r="AI139" s="2">
        <f t="shared" si="15"/>
        <v>2483450.2758111106</v>
      </c>
    </row>
    <row r="140" spans="10:35" x14ac:dyDescent="0.15">
      <c r="J140" s="2">
        <v>136</v>
      </c>
      <c r="K140" s="2">
        <f>积分赛!BH146+积分赛!CF146+晋级赛!AM146+晋级赛!BQ146</f>
        <v>211383468.59269416</v>
      </c>
      <c r="L140" s="2">
        <f>积分赛!BI146+积分赛!CG146+晋级赛!AN146+晋级赛!BR146</f>
        <v>250760287.07081622</v>
      </c>
      <c r="M140" s="2">
        <f>积分赛!BJ146+积分赛!CH146+晋级赛!AO146+晋级赛!BS146</f>
        <v>257314166.37726027</v>
      </c>
      <c r="N140" s="2">
        <f>积分赛!BK146+积分赛!CI146+晋级赛!AP146+晋级赛!BT146</f>
        <v>244406891.25776619</v>
      </c>
      <c r="O140" s="2">
        <f>积分赛!BL146+积分赛!CJ146+晋级赛!AQ146+晋级赛!BU146</f>
        <v>267293329.76752746</v>
      </c>
      <c r="Q140" s="10">
        <f>IFERROR(积分赛!BH146/$K140,0)</f>
        <v>0.76562499999999989</v>
      </c>
      <c r="R140" s="10">
        <f>IFERROR(积分赛!CF146/$K140,0)</f>
        <v>3.9062499999999993E-2</v>
      </c>
      <c r="S140" s="10">
        <f>IFERROR(晋级赛!AM146/$K140,0)</f>
        <v>0</v>
      </c>
      <c r="T140" s="10">
        <f>IFERROR(晋级赛!BQ146/$K140,0)</f>
        <v>0.1953125</v>
      </c>
      <c r="V140" s="10">
        <f>IFERROR(积分赛!BL146/$O140,0)</f>
        <v>0.46555819477434673</v>
      </c>
      <c r="W140" s="10">
        <f>IFERROR(积分赛!CJ146/$O140,0)</f>
        <v>9.8970704671417262E-2</v>
      </c>
      <c r="X140" s="10">
        <f>IFERROR(晋级赛!AQ146/$O140,0)</f>
        <v>0.39588281868566905</v>
      </c>
      <c r="Y140" s="10">
        <f>IFERROR(晋级赛!BU146/$O140,0)</f>
        <v>3.9588281868566902E-2</v>
      </c>
      <c r="AD140" s="2">
        <v>136</v>
      </c>
      <c r="AE140" s="2">
        <f t="shared" si="11"/>
        <v>2113834.6859269417</v>
      </c>
      <c r="AF140" s="2">
        <f t="shared" si="12"/>
        <v>2507602.8707081624</v>
      </c>
      <c r="AG140" s="2">
        <f t="shared" si="13"/>
        <v>2573141.6637726026</v>
      </c>
      <c r="AH140" s="2">
        <f t="shared" si="14"/>
        <v>2444068.9125776622</v>
      </c>
      <c r="AI140" s="2">
        <f t="shared" si="15"/>
        <v>2672933.2976752748</v>
      </c>
    </row>
    <row r="141" spans="10:35" x14ac:dyDescent="0.15">
      <c r="J141" s="2">
        <v>137</v>
      </c>
      <c r="K141" s="2">
        <f>积分赛!BH147+积分赛!CF147+晋级赛!AM147+晋级赛!BQ147</f>
        <v>226593165.00310263</v>
      </c>
      <c r="L141" s="2">
        <f>积分赛!BI147+积分赛!CG147+晋级赛!AN147+晋级赛!BR147</f>
        <v>269129687.75101274</v>
      </c>
      <c r="M141" s="2">
        <f>积分赛!BJ147+积分赛!CH147+晋级赛!AO147+晋级赛!BS147</f>
        <v>276137204.26737887</v>
      </c>
      <c r="N141" s="2">
        <f>积分赛!BK147+积分赛!CI147+晋级赛!AP147+晋级赛!BT147</f>
        <v>262531902.6015771</v>
      </c>
      <c r="O141" s="2">
        <f>积分赛!BL147+积分赛!CJ147+晋级赛!AQ147+晋级赛!BU147</f>
        <v>286996890.49328345</v>
      </c>
      <c r="Q141" s="10">
        <f>IFERROR(积分赛!BH147/$K141,0)</f>
        <v>0.765625</v>
      </c>
      <c r="R141" s="10">
        <f>IFERROR(积分赛!CF147/$K141,0)</f>
        <v>3.90625E-2</v>
      </c>
      <c r="S141" s="10">
        <f>IFERROR(晋级赛!AM147/$K141,0)</f>
        <v>0</v>
      </c>
      <c r="T141" s="10">
        <f>IFERROR(晋级赛!BQ147/$K141,0)</f>
        <v>0.19531249999999997</v>
      </c>
      <c r="V141" s="10">
        <f>IFERROR(积分赛!BL147/$O141,0)</f>
        <v>0.46555819477434679</v>
      </c>
      <c r="W141" s="10">
        <f>IFERROR(积分赛!CJ147/$O141,0)</f>
        <v>9.8970704671417276E-2</v>
      </c>
      <c r="X141" s="10">
        <f>IFERROR(晋级赛!AQ147/$O141,0)</f>
        <v>0.3958828186856691</v>
      </c>
      <c r="Y141" s="10">
        <f>IFERROR(晋级赛!BU147/$O141,0)</f>
        <v>3.9588281868566909E-2</v>
      </c>
      <c r="AD141" s="2">
        <v>137</v>
      </c>
      <c r="AE141" s="2">
        <f t="shared" si="11"/>
        <v>2265931.6500310265</v>
      </c>
      <c r="AF141" s="2">
        <f t="shared" si="12"/>
        <v>2691296.8775101276</v>
      </c>
      <c r="AG141" s="2">
        <f t="shared" si="13"/>
        <v>2761372.0426737885</v>
      </c>
      <c r="AH141" s="2">
        <f t="shared" si="14"/>
        <v>2625319.0260157711</v>
      </c>
      <c r="AI141" s="2">
        <f t="shared" si="15"/>
        <v>2869968.9049328347</v>
      </c>
    </row>
    <row r="142" spans="10:35" x14ac:dyDescent="0.15">
      <c r="J142" s="2">
        <v>138</v>
      </c>
      <c r="K142" s="2">
        <f>积分赛!BH148+积分赛!CF148+晋级赛!AM148+晋级赛!BQ148</f>
        <v>242894513.98901233</v>
      </c>
      <c r="L142" s="2">
        <f>积分赛!BI148+积分赛!CG148+晋级赛!AN148+晋级赛!BR148</f>
        <v>288499046.13178742</v>
      </c>
      <c r="M142" s="2">
        <f>积分赛!BJ148+积分赛!CH148+晋级赛!AO148+晋级赛!BS148</f>
        <v>296243976.95964015</v>
      </c>
      <c r="N142" s="2">
        <f>积分赛!BK148+积分赛!CI148+晋级赛!AP148+晋级赛!BT148</f>
        <v>281640926.11969543</v>
      </c>
      <c r="O142" s="2">
        <f>积分赛!BL148+积分赛!CJ148+晋级赛!AQ148+晋级赛!BU148</f>
        <v>306577643.56669825</v>
      </c>
      <c r="Q142" s="10">
        <f>IFERROR(积分赛!BH148/$K142,0)</f>
        <v>0.76562500000000011</v>
      </c>
      <c r="R142" s="10">
        <f>IFERROR(积分赛!CF148/$K142,0)</f>
        <v>3.9062499999999993E-2</v>
      </c>
      <c r="S142" s="10">
        <f>IFERROR(晋级赛!AM148/$K142,0)</f>
        <v>0</v>
      </c>
      <c r="T142" s="10">
        <f>IFERROR(晋级赛!BQ148/$K142,0)</f>
        <v>0.1953125</v>
      </c>
      <c r="V142" s="10">
        <f>IFERROR(积分赛!BL148/$O142,0)</f>
        <v>0.46555819477434679</v>
      </c>
      <c r="W142" s="10">
        <f>IFERROR(积分赛!CJ148/$O142,0)</f>
        <v>9.8970704671417248E-2</v>
      </c>
      <c r="X142" s="10">
        <f>IFERROR(晋级赛!AQ148/$O142,0)</f>
        <v>0.39588281868566899</v>
      </c>
      <c r="Y142" s="10">
        <f>IFERROR(晋级赛!BU148/$O142,0)</f>
        <v>3.9588281868566902E-2</v>
      </c>
      <c r="AD142" s="2">
        <v>138</v>
      </c>
      <c r="AE142" s="2">
        <f t="shared" si="11"/>
        <v>2428945.1398901232</v>
      </c>
      <c r="AF142" s="2">
        <f t="shared" si="12"/>
        <v>2884990.461317874</v>
      </c>
      <c r="AG142" s="2">
        <f t="shared" si="13"/>
        <v>2962439.7695964016</v>
      </c>
      <c r="AH142" s="2">
        <f t="shared" si="14"/>
        <v>2816409.2611969542</v>
      </c>
      <c r="AI142" s="2">
        <f t="shared" si="15"/>
        <v>3065776.4356669826</v>
      </c>
    </row>
    <row r="143" spans="10:35" x14ac:dyDescent="0.15">
      <c r="J143" s="2">
        <v>139</v>
      </c>
      <c r="K143" s="2">
        <f>积分赛!BH149+积分赛!CF149+晋级赛!AM149+晋级赛!BQ149</f>
        <v>260365867.23565322</v>
      </c>
      <c r="L143" s="2">
        <f>积分赛!BI149+积分赛!CG149+晋级赛!AN149+晋级赛!BR149</f>
        <v>309404946.60930902</v>
      </c>
      <c r="M143" s="2">
        <f>积分赛!BJ149+积分赛!CH149+晋级赛!AO149+晋级赛!BS149</f>
        <v>317621327.40976202</v>
      </c>
      <c r="N143" s="2">
        <f>积分赛!BK149+积分赛!CI149+晋级赛!AP149+晋级赛!BT149</f>
        <v>300749729.06385088</v>
      </c>
      <c r="O143" s="2">
        <f>积分赛!BL149+积分赛!CJ149+晋级赛!AQ149+晋级赛!BU149</f>
        <v>327606279.02628368</v>
      </c>
      <c r="Q143" s="10">
        <f>IFERROR(积分赛!BH149/$K143,0)</f>
        <v>0.765625</v>
      </c>
      <c r="R143" s="10">
        <f>IFERROR(积分赛!CF149/$K143,0)</f>
        <v>3.9062500000000007E-2</v>
      </c>
      <c r="S143" s="10">
        <f>IFERROR(晋级赛!AM149/$K143,0)</f>
        <v>0</v>
      </c>
      <c r="T143" s="10">
        <f>IFERROR(晋级赛!BQ149/$K143,0)</f>
        <v>0.1953125</v>
      </c>
      <c r="V143" s="10">
        <f>IFERROR(积分赛!BL149/$O143,0)</f>
        <v>0.46555819477434679</v>
      </c>
      <c r="W143" s="10">
        <f>IFERROR(积分赛!CJ149/$O143,0)</f>
        <v>9.8970704671417262E-2</v>
      </c>
      <c r="X143" s="10">
        <f>IFERROR(晋级赛!AQ149/$O143,0)</f>
        <v>0.39588281868566905</v>
      </c>
      <c r="Y143" s="10">
        <f>IFERROR(晋级赛!BU149/$O143,0)</f>
        <v>3.9588281868566909E-2</v>
      </c>
      <c r="AD143" s="2">
        <v>139</v>
      </c>
      <c r="AE143" s="2">
        <f t="shared" si="11"/>
        <v>2603658.6723565324</v>
      </c>
      <c r="AF143" s="2">
        <f t="shared" si="12"/>
        <v>3094049.4660930904</v>
      </c>
      <c r="AG143" s="2">
        <f t="shared" si="13"/>
        <v>3176213.2740976205</v>
      </c>
      <c r="AH143" s="2">
        <f t="shared" si="14"/>
        <v>3007497.2906385087</v>
      </c>
      <c r="AI143" s="2">
        <f t="shared" si="15"/>
        <v>3276062.790262837</v>
      </c>
    </row>
    <row r="144" spans="10:35" x14ac:dyDescent="0.15">
      <c r="J144" s="2">
        <v>140</v>
      </c>
      <c r="K144" s="2">
        <f>积分赛!BH150+积分赛!CF150+晋级赛!AM150+晋级赛!BQ150</f>
        <v>279091200</v>
      </c>
      <c r="L144" s="2">
        <f>积分赛!BI150+积分赛!CG150+晋级赛!AN150+晋级赛!BR150</f>
        <v>331508160.54000002</v>
      </c>
      <c r="M144" s="2">
        <f>积分赛!BJ150+积分赛!CH150+晋级赛!AO150+晋级赛!BS150</f>
        <v>339022594.68000007</v>
      </c>
      <c r="N144" s="2">
        <f>积分赛!BK150+积分赛!CI150+晋级赛!AP150+晋级赛!BT150</f>
        <v>321009326.29999995</v>
      </c>
      <c r="O144" s="2">
        <f>积分赛!BL150+积分赛!CJ150+晋级赛!AQ150+晋级赛!BU150</f>
        <v>350474896.74000001</v>
      </c>
      <c r="Q144" s="10">
        <f>IFERROR(积分赛!BH150/$K144,0)</f>
        <v>0.765625</v>
      </c>
      <c r="R144" s="10">
        <f>IFERROR(积分赛!CF150/$K144,0)</f>
        <v>3.90625E-2</v>
      </c>
      <c r="S144" s="10">
        <f>IFERROR(晋级赛!AM150/$K144,0)</f>
        <v>0</v>
      </c>
      <c r="T144" s="10">
        <f>IFERROR(晋级赛!BQ150/$K144,0)</f>
        <v>0.1953125</v>
      </c>
      <c r="V144" s="10">
        <f>IFERROR(积分赛!BL150/$O144,0)</f>
        <v>0.46555819477434673</v>
      </c>
      <c r="W144" s="10">
        <f>IFERROR(积分赛!CJ150/$O144,0)</f>
        <v>9.8970704671417262E-2</v>
      </c>
      <c r="X144" s="10">
        <f>IFERROR(晋级赛!AQ150/$O144,0)</f>
        <v>0.39588281868566905</v>
      </c>
      <c r="Y144" s="10">
        <f>IFERROR(晋级赛!BU150/$O144,0)</f>
        <v>3.9588281868566902E-2</v>
      </c>
      <c r="AD144" s="2">
        <v>140</v>
      </c>
      <c r="AE144" s="2">
        <f t="shared" si="11"/>
        <v>2790912</v>
      </c>
      <c r="AF144" s="2">
        <f t="shared" si="12"/>
        <v>3315081.6054000002</v>
      </c>
      <c r="AG144" s="2">
        <f t="shared" si="13"/>
        <v>3390225.946800001</v>
      </c>
      <c r="AH144" s="2">
        <f t="shared" si="14"/>
        <v>3210093.2629999998</v>
      </c>
      <c r="AI144" s="2">
        <f t="shared" si="15"/>
        <v>3504748.9674</v>
      </c>
    </row>
    <row r="145" spans="10:35" x14ac:dyDescent="0.15">
      <c r="J145" s="2">
        <v>141</v>
      </c>
      <c r="K145" s="2">
        <f>积分赛!BH151+积分赛!CF151+晋级赛!AM151+晋级赛!BQ151</f>
        <v>299160514.73398787</v>
      </c>
      <c r="L145" s="2">
        <f>积分赛!BI151+积分赛!CG151+晋级赛!AN151+晋级赛!BR151</f>
        <v>354430101.36878061</v>
      </c>
      <c r="M145" s="2">
        <f>积分赛!BJ151+积分赛!CH151+晋级赛!AO151+晋级赛!BS151</f>
        <v>362179353.09878337</v>
      </c>
      <c r="N145" s="2">
        <f>积分赛!BK151+积分赛!CI151+晋级赛!AP151+晋级赛!BT151</f>
        <v>343777907.68345219</v>
      </c>
      <c r="O145" s="2">
        <f>积分赛!BL151+积分赛!CJ151+晋级赛!AQ151+晋级赛!BU151</f>
        <v>375516847.37530512</v>
      </c>
      <c r="Q145" s="10">
        <f>IFERROR(积分赛!BH151/$K145,0)</f>
        <v>0.765625</v>
      </c>
      <c r="R145" s="10">
        <f>IFERROR(积分赛!CF151/$K145,0)</f>
        <v>3.9062500000000007E-2</v>
      </c>
      <c r="S145" s="10">
        <f>IFERROR(晋级赛!AM151/$K145,0)</f>
        <v>0</v>
      </c>
      <c r="T145" s="10">
        <f>IFERROR(晋级赛!BQ151/$K145,0)</f>
        <v>0.1953125</v>
      </c>
      <c r="V145" s="10">
        <f>IFERROR(积分赛!BL151/$O145,0)</f>
        <v>0.46555819477434685</v>
      </c>
      <c r="W145" s="10">
        <f>IFERROR(积分赛!CJ151/$O145,0)</f>
        <v>9.8970704671417248E-2</v>
      </c>
      <c r="X145" s="10">
        <f>IFERROR(晋级赛!AQ151/$O145,0)</f>
        <v>0.39588281868566899</v>
      </c>
      <c r="Y145" s="10">
        <f>IFERROR(晋级赛!BU151/$O145,0)</f>
        <v>3.9588281868566902E-2</v>
      </c>
      <c r="AD145" s="2">
        <v>141</v>
      </c>
      <c r="AE145" s="2">
        <f t="shared" si="11"/>
        <v>2991605.1473398786</v>
      </c>
      <c r="AF145" s="2">
        <f t="shared" si="12"/>
        <v>3544301.0136878062</v>
      </c>
      <c r="AG145" s="2">
        <f t="shared" si="13"/>
        <v>3621793.5309878336</v>
      </c>
      <c r="AH145" s="2">
        <f t="shared" si="14"/>
        <v>3437779.0768345222</v>
      </c>
      <c r="AI145" s="2">
        <f t="shared" si="15"/>
        <v>3755168.4737530514</v>
      </c>
    </row>
    <row r="146" spans="10:35" x14ac:dyDescent="0.15">
      <c r="J146" s="2">
        <v>142</v>
      </c>
      <c r="K146" s="2">
        <f>积分赛!BH152+积分赛!CF152+晋级赛!AM152+晋级赛!BQ152</f>
        <v>320670273.67716539</v>
      </c>
      <c r="L146" s="2">
        <f>积分赛!BI152+积分赛!CG152+晋级赛!AN152+晋级赛!BR152</f>
        <v>379921762.01156849</v>
      </c>
      <c r="M146" s="2">
        <f>积分赛!BJ152+积分赛!CH152+晋级赛!AO152+晋级赛!BS152</f>
        <v>389227399.39996183</v>
      </c>
      <c r="N146" s="2">
        <f>积分赛!BK152+积分赛!CI152+晋级赛!AP152+晋级赛!BT152</f>
        <v>369394288.40437031</v>
      </c>
      <c r="O146" s="2">
        <f>积分赛!BL152+积分赛!CJ152+晋级赛!AQ152+晋级赛!BU152</f>
        <v>403602586.51166725</v>
      </c>
      <c r="Q146" s="10">
        <f>IFERROR(积分赛!BH152/$K146,0)</f>
        <v>0.76562499999999989</v>
      </c>
      <c r="R146" s="10">
        <f>IFERROR(积分赛!CF152/$K146,0)</f>
        <v>3.90625E-2</v>
      </c>
      <c r="S146" s="10">
        <f>IFERROR(晋级赛!AM152/$K146,0)</f>
        <v>0</v>
      </c>
      <c r="T146" s="10">
        <f>IFERROR(晋级赛!BQ152/$K146,0)</f>
        <v>0.19531250000000003</v>
      </c>
      <c r="V146" s="10">
        <f>IFERROR(积分赛!BL152/$O146,0)</f>
        <v>0.46555819477434673</v>
      </c>
      <c r="W146" s="10">
        <f>IFERROR(积分赛!CJ152/$O146,0)</f>
        <v>9.8970704671417248E-2</v>
      </c>
      <c r="X146" s="10">
        <f>IFERROR(晋级赛!AQ152/$O146,0)</f>
        <v>0.39588281868566899</v>
      </c>
      <c r="Y146" s="10">
        <f>IFERROR(晋级赛!BU152/$O146,0)</f>
        <v>3.9588281868566902E-2</v>
      </c>
      <c r="AD146" s="2">
        <v>142</v>
      </c>
      <c r="AE146" s="2">
        <f t="shared" si="11"/>
        <v>3206702.7367716539</v>
      </c>
      <c r="AF146" s="2">
        <f t="shared" si="12"/>
        <v>3799217.6201156848</v>
      </c>
      <c r="AG146" s="2">
        <f t="shared" si="13"/>
        <v>3892273.9939996186</v>
      </c>
      <c r="AH146" s="2">
        <f t="shared" si="14"/>
        <v>3693942.8840437033</v>
      </c>
      <c r="AI146" s="2">
        <f t="shared" si="15"/>
        <v>4036025.8651166726</v>
      </c>
    </row>
    <row r="147" spans="10:35" x14ac:dyDescent="0.15">
      <c r="J147" s="2">
        <v>143</v>
      </c>
      <c r="K147" s="2">
        <f>积分赛!BH153+积分赛!CF153+晋级赛!AM153+晋级赛!BQ153</f>
        <v>343723862.49801582</v>
      </c>
      <c r="L147" s="2">
        <f>积分赛!BI153+积分赛!CG153+晋级赛!AN153+晋级赛!BR153</f>
        <v>407725784.41478926</v>
      </c>
      <c r="M147" s="2">
        <f>积分赛!BJ153+积分赛!CH153+晋级赛!AO153+晋级赛!BS153</f>
        <v>417790518.56067252</v>
      </c>
      <c r="N147" s="2">
        <f>积分赛!BK153+积分赛!CI153+晋级赛!AP153+晋级赛!BT153</f>
        <v>396827383.81779832</v>
      </c>
      <c r="O147" s="2">
        <f>积分赛!BL153+积分赛!CJ153+晋级赛!AQ153+晋级赛!BU153</f>
        <v>434112046.22471476</v>
      </c>
      <c r="Q147" s="10">
        <f>IFERROR(积分赛!BH153/$K147,0)</f>
        <v>0.76562500000000011</v>
      </c>
      <c r="R147" s="10">
        <f>IFERROR(积分赛!CF153/$K147,0)</f>
        <v>3.90625E-2</v>
      </c>
      <c r="S147" s="10">
        <f>IFERROR(晋级赛!AM153/$K147,0)</f>
        <v>0</v>
      </c>
      <c r="T147" s="10">
        <f>IFERROR(晋级赛!BQ153/$K147,0)</f>
        <v>0.1953125</v>
      </c>
      <c r="V147" s="10">
        <f>IFERROR(积分赛!BL153/$O147,0)</f>
        <v>0.46555819477434685</v>
      </c>
      <c r="W147" s="10">
        <f>IFERROR(积分赛!CJ153/$O147,0)</f>
        <v>9.8970704671417262E-2</v>
      </c>
      <c r="X147" s="10">
        <f>IFERROR(晋级赛!AQ153/$O147,0)</f>
        <v>0.39588281868566905</v>
      </c>
      <c r="Y147" s="10">
        <f>IFERROR(晋级赛!BU153/$O147,0)</f>
        <v>3.9588281868566902E-2</v>
      </c>
      <c r="AD147" s="2">
        <v>143</v>
      </c>
      <c r="AE147" s="2">
        <f t="shared" si="11"/>
        <v>3437238.6249801582</v>
      </c>
      <c r="AF147" s="2">
        <f t="shared" si="12"/>
        <v>4077257.8441478927</v>
      </c>
      <c r="AG147" s="2">
        <f t="shared" si="13"/>
        <v>4177905.1856067255</v>
      </c>
      <c r="AH147" s="2">
        <f t="shared" si="14"/>
        <v>3968273.8381779832</v>
      </c>
      <c r="AI147" s="2">
        <f t="shared" si="15"/>
        <v>4341120.4622471472</v>
      </c>
    </row>
    <row r="148" spans="10:35" x14ac:dyDescent="0.15">
      <c r="J148" s="2">
        <v>144</v>
      </c>
      <c r="K148" s="2">
        <f>积分赛!BH154+积分赛!CF154+晋级赛!AM154+晋级赛!BQ154</f>
        <v>368432087.21242607</v>
      </c>
      <c r="L148" s="2">
        <f>积分赛!BI154+积分赛!CG154+晋级赛!AN154+晋级赛!BR154</f>
        <v>437042662.48580348</v>
      </c>
      <c r="M148" s="2">
        <f>积分赛!BJ154+积分赛!CH154+晋级赛!AO154+晋级赛!BS154</f>
        <v>448310679.47932589</v>
      </c>
      <c r="N148" s="2">
        <f>积分赛!BK154+积分赛!CI154+晋级赛!AP154+晋级赛!BT154</f>
        <v>426111062.67396027</v>
      </c>
      <c r="O148" s="2">
        <f>积分赛!BL154+积分赛!CJ154+晋级赛!AQ154+晋级赛!BU154</f>
        <v>464542514.29495645</v>
      </c>
      <c r="Q148" s="10">
        <f>IFERROR(积分赛!BH154/$K148,0)</f>
        <v>0.765625</v>
      </c>
      <c r="R148" s="10">
        <f>IFERROR(积分赛!CF154/$K148,0)</f>
        <v>3.90625E-2</v>
      </c>
      <c r="S148" s="10">
        <f>IFERROR(晋级赛!AM154/$K148,0)</f>
        <v>0</v>
      </c>
      <c r="T148" s="10">
        <f>IFERROR(晋级赛!BQ154/$K148,0)</f>
        <v>0.19531249999999997</v>
      </c>
      <c r="V148" s="10">
        <f>IFERROR(积分赛!BL154/$O148,0)</f>
        <v>0.46555819477434679</v>
      </c>
      <c r="W148" s="10">
        <f>IFERROR(积分赛!CJ154/$O148,0)</f>
        <v>9.8970704671417262E-2</v>
      </c>
      <c r="X148" s="10">
        <f>IFERROR(晋级赛!AQ154/$O148,0)</f>
        <v>0.39588281868566905</v>
      </c>
      <c r="Y148" s="10">
        <f>IFERROR(晋级赛!BU154/$O148,0)</f>
        <v>3.9588281868566909E-2</v>
      </c>
      <c r="AD148" s="2">
        <v>144</v>
      </c>
      <c r="AE148" s="2">
        <f t="shared" si="11"/>
        <v>3684320.8721242608</v>
      </c>
      <c r="AF148" s="2">
        <f t="shared" si="12"/>
        <v>4370426.6248580348</v>
      </c>
      <c r="AG148" s="2">
        <f t="shared" si="13"/>
        <v>4483106.7947932594</v>
      </c>
      <c r="AH148" s="2">
        <f t="shared" si="14"/>
        <v>4261110.6267396025</v>
      </c>
      <c r="AI148" s="2">
        <f t="shared" si="15"/>
        <v>4645425.1429495644</v>
      </c>
    </row>
    <row r="149" spans="10:35" x14ac:dyDescent="0.15">
      <c r="J149" s="2">
        <v>145</v>
      </c>
      <c r="K149" s="2">
        <f>积分赛!BH155+积分赛!CF155+晋级赛!AM155+晋级赛!BQ155</f>
        <v>394913706.76771498</v>
      </c>
      <c r="L149" s="2">
        <f>积分赛!BI155+积分赛!CG155+晋级赛!AN155+晋级赛!BR155</f>
        <v>469129141.72889948</v>
      </c>
      <c r="M149" s="2">
        <f>积分赛!BJ155+积分赛!CH155+晋级赛!AO155+晋级赛!BS155</f>
        <v>481126195.28818464</v>
      </c>
      <c r="N149" s="2">
        <f>积分赛!BK155+积分赛!CI155+晋级赛!AP155+晋级赛!BT155</f>
        <v>455926159.07890773</v>
      </c>
      <c r="O149" s="2">
        <f>积分赛!BL155+积分赛!CJ155+晋级赛!AQ155+晋级赛!BU155</f>
        <v>496506493.68852437</v>
      </c>
      <c r="Q149" s="10">
        <f>IFERROR(积分赛!BH155/$K149,0)</f>
        <v>0.765625</v>
      </c>
      <c r="R149" s="10">
        <f>IFERROR(积分赛!CF155/$K149,0)</f>
        <v>3.9062499999999993E-2</v>
      </c>
      <c r="S149" s="10">
        <f>IFERROR(晋级赛!AM155/$K149,0)</f>
        <v>0</v>
      </c>
      <c r="T149" s="10">
        <f>IFERROR(晋级赛!BQ155/$K149,0)</f>
        <v>0.19531249999999997</v>
      </c>
      <c r="V149" s="10">
        <f>IFERROR(积分赛!BL155/$O149,0)</f>
        <v>0.46555819477434685</v>
      </c>
      <c r="W149" s="10">
        <f>IFERROR(积分赛!CJ155/$O149,0)</f>
        <v>9.8970704671417262E-2</v>
      </c>
      <c r="X149" s="10">
        <f>IFERROR(晋级赛!AQ155/$O149,0)</f>
        <v>0.39588281868566905</v>
      </c>
      <c r="Y149" s="10">
        <f>IFERROR(晋级赛!BU155/$O149,0)</f>
        <v>3.9588281868566909E-2</v>
      </c>
      <c r="AD149" s="2">
        <v>145</v>
      </c>
      <c r="AE149" s="2">
        <f t="shared" si="11"/>
        <v>3949137.06767715</v>
      </c>
      <c r="AF149" s="2">
        <f t="shared" si="12"/>
        <v>4691291.4172889953</v>
      </c>
      <c r="AG149" s="2">
        <f t="shared" si="13"/>
        <v>4811261.9528818466</v>
      </c>
      <c r="AH149" s="2">
        <f t="shared" si="14"/>
        <v>4559261.5907890778</v>
      </c>
      <c r="AI149" s="2">
        <f t="shared" si="15"/>
        <v>4965064.9368852442</v>
      </c>
    </row>
    <row r="150" spans="10:35" x14ac:dyDescent="0.15">
      <c r="J150" s="2">
        <v>146</v>
      </c>
      <c r="K150" s="2">
        <f>积分赛!BH156+积分赛!CF156+晋级赛!AM156+晋级赛!BQ156</f>
        <v>423296003.85205501</v>
      </c>
      <c r="L150" s="2">
        <f>积分赛!BI156+积分赛!CG156+晋级赛!AN156+晋级赛!BR156</f>
        <v>502734288.52595395</v>
      </c>
      <c r="M150" s="2">
        <f>积分赛!BJ156+积分赛!CH156+晋级赛!AO156+晋级赛!BS156</f>
        <v>514043449.98061717</v>
      </c>
      <c r="N150" s="2">
        <f>积分赛!BK156+积分赛!CI156+晋级赛!AP156+晋级赛!BT156</f>
        <v>486490617.80801195</v>
      </c>
      <c r="O150" s="2">
        <f>积分赛!BL156+积分赛!CJ156+晋级赛!AQ156+晋级赛!BU156</f>
        <v>530025343.39043969</v>
      </c>
      <c r="Q150" s="10">
        <f>IFERROR(积分赛!BH156/$K150,0)</f>
        <v>0.765625</v>
      </c>
      <c r="R150" s="10">
        <f>IFERROR(积分赛!CF156/$K150,0)</f>
        <v>3.9062500000000007E-2</v>
      </c>
      <c r="S150" s="10">
        <f>IFERROR(晋级赛!AM156/$K150,0)</f>
        <v>0</v>
      </c>
      <c r="T150" s="10">
        <f>IFERROR(晋级赛!BQ156/$K150,0)</f>
        <v>0.19531249999999997</v>
      </c>
      <c r="V150" s="10">
        <f>IFERROR(积分赛!BL156/$O150,0)</f>
        <v>0.46555819477434673</v>
      </c>
      <c r="W150" s="10">
        <f>IFERROR(积分赛!CJ156/$O150,0)</f>
        <v>9.8970704671417248E-2</v>
      </c>
      <c r="X150" s="10">
        <f>IFERROR(晋级赛!AQ156/$O150,0)</f>
        <v>0.39588281868566899</v>
      </c>
      <c r="Y150" s="10">
        <f>IFERROR(晋级赛!BU156/$O150,0)</f>
        <v>3.9588281868566902E-2</v>
      </c>
      <c r="AD150" s="2">
        <v>146</v>
      </c>
      <c r="AE150" s="2">
        <f t="shared" si="11"/>
        <v>4232960.0385205504</v>
      </c>
      <c r="AF150" s="2">
        <f t="shared" si="12"/>
        <v>5027342.8852595398</v>
      </c>
      <c r="AG150" s="2">
        <f t="shared" si="13"/>
        <v>5140434.4998061722</v>
      </c>
      <c r="AH150" s="2">
        <f t="shared" si="14"/>
        <v>4864906.1780801192</v>
      </c>
      <c r="AI150" s="2">
        <f t="shared" si="15"/>
        <v>5300253.4339043973</v>
      </c>
    </row>
    <row r="151" spans="10:35" x14ac:dyDescent="0.15">
      <c r="J151" s="2">
        <v>147</v>
      </c>
      <c r="K151" s="2">
        <f>积分赛!BH157+积分赛!CF157+晋级赛!AM157+晋级赛!BQ157</f>
        <v>453715396.67287189</v>
      </c>
      <c r="L151" s="2">
        <f>积分赛!BI157+积分赛!CG157+晋级赛!AN157+晋级赛!BR157</f>
        <v>537086705.36294985</v>
      </c>
      <c r="M151" s="2">
        <f>积分赛!BJ157+积分赛!CH157+晋级赛!AO157+晋级赛!BS157</f>
        <v>548464746.00614583</v>
      </c>
      <c r="N151" s="2">
        <f>积分赛!BK157+积分赛!CI157+晋级赛!AP157+晋级赛!BT157</f>
        <v>518758668.43606853</v>
      </c>
      <c r="O151" s="2">
        <f>积分赛!BL157+积分赛!CJ157+晋级赛!AQ157+晋级赛!BU157</f>
        <v>566233060.41816831</v>
      </c>
      <c r="Q151" s="10">
        <f>IFERROR(积分赛!BH157/$K151,0)</f>
        <v>0.765625</v>
      </c>
      <c r="R151" s="10">
        <f>IFERROR(积分赛!CF157/$K151,0)</f>
        <v>3.90625E-2</v>
      </c>
      <c r="S151" s="10">
        <f>IFERROR(晋级赛!AM157/$K151,0)</f>
        <v>0</v>
      </c>
      <c r="T151" s="10">
        <f>IFERROR(晋级赛!BQ157/$K151,0)</f>
        <v>0.19531250000000003</v>
      </c>
      <c r="V151" s="10">
        <f>IFERROR(积分赛!BL157/$O151,0)</f>
        <v>0.46555819477434685</v>
      </c>
      <c r="W151" s="10">
        <f>IFERROR(积分赛!CJ157/$O151,0)</f>
        <v>9.8970704671417262E-2</v>
      </c>
      <c r="X151" s="10">
        <f>IFERROR(晋级赛!AQ157/$O151,0)</f>
        <v>0.39588281868566905</v>
      </c>
      <c r="Y151" s="10">
        <f>IFERROR(晋级赛!BU157/$O151,0)</f>
        <v>3.9588281868566909E-2</v>
      </c>
      <c r="AD151" s="2">
        <v>147</v>
      </c>
      <c r="AE151" s="2">
        <f t="shared" si="11"/>
        <v>4537153.966728719</v>
      </c>
      <c r="AF151" s="2">
        <f t="shared" si="12"/>
        <v>5370867.0536294989</v>
      </c>
      <c r="AG151" s="2">
        <f t="shared" si="13"/>
        <v>5484647.4600614589</v>
      </c>
      <c r="AH151" s="2">
        <f t="shared" si="14"/>
        <v>5187586.6843606858</v>
      </c>
      <c r="AI151" s="2">
        <f t="shared" si="15"/>
        <v>5662330.6041816836</v>
      </c>
    </row>
    <row r="152" spans="10:35" x14ac:dyDescent="0.15">
      <c r="J152" s="2">
        <v>148</v>
      </c>
      <c r="K152" s="2">
        <f>积分赛!BH158+积分赛!CF158+晋级赛!AM158+晋级赛!BQ158</f>
        <v>486318094.64469135</v>
      </c>
      <c r="L152" s="2">
        <f>积分赛!BI158+积分赛!CG158+晋级赛!AN158+晋级赛!BR158</f>
        <v>575688261.55529749</v>
      </c>
      <c r="M152" s="2">
        <f>积分赛!BJ158+积分赛!CH158+晋级赛!AO158+晋级赛!BS158</f>
        <v>588249190.61934865</v>
      </c>
      <c r="N152" s="2">
        <f>积分赛!BK158+积分赛!CI158+晋级赛!AP158+晋级赛!BT158</f>
        <v>557256104.24037838</v>
      </c>
      <c r="O152" s="2">
        <f>积分赛!BL158+积分赛!CJ158+晋级赛!AQ158+晋级赛!BU158</f>
        <v>607296583.52051806</v>
      </c>
      <c r="Q152" s="10">
        <f>IFERROR(积分赛!BH158/$K152,0)</f>
        <v>0.76562500000000011</v>
      </c>
      <c r="R152" s="10">
        <f>IFERROR(积分赛!CF158/$K152,0)</f>
        <v>3.9062499999999993E-2</v>
      </c>
      <c r="S152" s="10">
        <f>IFERROR(晋级赛!AM158/$K152,0)</f>
        <v>0</v>
      </c>
      <c r="T152" s="10">
        <f>IFERROR(晋级赛!BQ158/$K152,0)</f>
        <v>0.1953125</v>
      </c>
      <c r="V152" s="10">
        <f>IFERROR(积分赛!BL158/$O152,0)</f>
        <v>0.4655581947743469</v>
      </c>
      <c r="W152" s="10">
        <f>IFERROR(积分赛!CJ158/$O152,0)</f>
        <v>9.8970704671417276E-2</v>
      </c>
      <c r="X152" s="10">
        <f>IFERROR(晋级赛!AQ158/$O152,0)</f>
        <v>0.3958828186856691</v>
      </c>
      <c r="Y152" s="10">
        <f>IFERROR(晋级赛!BU158/$O152,0)</f>
        <v>3.9588281868566909E-2</v>
      </c>
      <c r="AD152" s="2">
        <v>148</v>
      </c>
      <c r="AE152" s="2">
        <f t="shared" ref="AE152:AE164" si="16">K152*$D$2</f>
        <v>4863180.9464469133</v>
      </c>
      <c r="AF152" s="2">
        <f t="shared" ref="AF152:AF164" si="17">L152*$D$2</f>
        <v>5756882.6155529749</v>
      </c>
      <c r="AG152" s="2">
        <f t="shared" ref="AG152:AG164" si="18">M152*$D$2</f>
        <v>5882491.9061934864</v>
      </c>
      <c r="AH152" s="2">
        <f t="shared" ref="AH152:AH164" si="19">N152*$D$2</f>
        <v>5572561.0424037836</v>
      </c>
      <c r="AI152" s="2">
        <f t="shared" ref="AI152:AI164" si="20">O152*$D$2</f>
        <v>6072965.8352051806</v>
      </c>
    </row>
    <row r="153" spans="10:35" x14ac:dyDescent="0.15">
      <c r="J153" s="2">
        <v>149</v>
      </c>
      <c r="K153" s="2">
        <f>积分赛!BH159+积分赛!CF159+晋级赛!AM159+晋级赛!BQ159</f>
        <v>521260801.13797325</v>
      </c>
      <c r="L153" s="2">
        <f>积分赛!BI159+积分赛!CG159+晋级赛!AN159+晋级赛!BR159</f>
        <v>617206726.06017828</v>
      </c>
      <c r="M153" s="2">
        <f>积分赛!BJ159+积分赛!CH159+晋级赛!AO159+晋级赛!BS159</f>
        <v>631102655.09843397</v>
      </c>
      <c r="N153" s="2">
        <f>积分赛!BK159+积分赛!CI159+晋级赛!AP159+晋级赛!BT159</f>
        <v>597719921.75005543</v>
      </c>
      <c r="O153" s="2">
        <f>积分赛!BL159+积分赛!CJ159+晋级赛!AQ159+晋级赛!BU159</f>
        <v>651582039.27909303</v>
      </c>
      <c r="Q153" s="10">
        <f>IFERROR(积分赛!BH159/$K153,0)</f>
        <v>0.765625</v>
      </c>
      <c r="R153" s="10">
        <f>IFERROR(积分赛!CF159/$K153,0)</f>
        <v>3.90625E-2</v>
      </c>
      <c r="S153" s="10">
        <f>IFERROR(晋级赛!AM159/$K153,0)</f>
        <v>0</v>
      </c>
      <c r="T153" s="10">
        <f>IFERROR(晋级赛!BQ159/$K153,0)</f>
        <v>0.1953125</v>
      </c>
      <c r="V153" s="10">
        <f>IFERROR(积分赛!BL159/$O153,0)</f>
        <v>0.46555819477434679</v>
      </c>
      <c r="W153" s="10">
        <f>IFERROR(积分赛!CJ159/$O153,0)</f>
        <v>9.8970704671417262E-2</v>
      </c>
      <c r="X153" s="10">
        <f>IFERROR(晋级赛!AQ159/$O153,0)</f>
        <v>0.39588281868566905</v>
      </c>
      <c r="Y153" s="10">
        <f>IFERROR(晋级赛!BU159/$O153,0)</f>
        <v>3.9588281868566902E-2</v>
      </c>
      <c r="AD153" s="2">
        <v>149</v>
      </c>
      <c r="AE153" s="2">
        <f t="shared" si="16"/>
        <v>5212608.0113797328</v>
      </c>
      <c r="AF153" s="2">
        <f t="shared" si="17"/>
        <v>6172067.2606017832</v>
      </c>
      <c r="AG153" s="2">
        <f t="shared" si="18"/>
        <v>6311026.5509843398</v>
      </c>
      <c r="AH153" s="2">
        <f t="shared" si="19"/>
        <v>5977199.2175005544</v>
      </c>
      <c r="AI153" s="2">
        <f t="shared" si="20"/>
        <v>6515820.3927909303</v>
      </c>
    </row>
    <row r="154" spans="10:35" x14ac:dyDescent="0.15">
      <c r="J154" s="2">
        <v>150</v>
      </c>
      <c r="K154" s="2">
        <f>积分赛!BH160+积分赛!CF160+晋级赛!AM160+晋级赛!BQ160</f>
        <v>558711466.66666675</v>
      </c>
      <c r="L154" s="2">
        <f>积分赛!BI160+积分赛!CG160+晋级赛!AN160+晋级赛!BR160</f>
        <v>661558773.89999998</v>
      </c>
      <c r="M154" s="2">
        <f>积分赛!BJ160+积分赛!CH160+晋级赛!AO160+晋级赛!BS160</f>
        <v>676567802.67999995</v>
      </c>
      <c r="N154" s="2">
        <f>积分赛!BK160+积分赛!CI160+晋级赛!AP160+晋级赛!BT160</f>
        <v>641115068.96666682</v>
      </c>
      <c r="O154" s="2">
        <f>积分赛!BL160+积分赛!CJ160+晋级赛!AQ160+晋级赛!BU160</f>
        <v>701014257</v>
      </c>
      <c r="Q154" s="10">
        <f>IFERROR(积分赛!BH160/$K154,0)</f>
        <v>0.76562499999999989</v>
      </c>
      <c r="R154" s="10">
        <f>IFERROR(积分赛!CF160/$K154,0)</f>
        <v>3.90625E-2</v>
      </c>
      <c r="S154" s="10">
        <f>IFERROR(晋级赛!AM160/$K154,0)</f>
        <v>0</v>
      </c>
      <c r="T154" s="10">
        <f>IFERROR(晋级赛!BQ160/$K154,0)</f>
        <v>0.19531249999999997</v>
      </c>
      <c r="V154" s="10">
        <f>IFERROR(积分赛!BL160/$O154,0)</f>
        <v>0.46555819477434679</v>
      </c>
      <c r="W154" s="10">
        <f>IFERROR(积分赛!CJ160/$O154,0)</f>
        <v>9.8970704671417276E-2</v>
      </c>
      <c r="X154" s="10">
        <f>IFERROR(晋级赛!AQ160/$O154,0)</f>
        <v>0.3958828186856691</v>
      </c>
      <c r="Y154" s="10">
        <f>IFERROR(晋级赛!BU160/$O154,0)</f>
        <v>3.9588281868566909E-2</v>
      </c>
      <c r="AD154" s="2">
        <v>150</v>
      </c>
      <c r="AE154" s="2">
        <f t="shared" si="16"/>
        <v>5587114.6666666679</v>
      </c>
      <c r="AF154" s="2">
        <f t="shared" si="17"/>
        <v>6615587.7390000001</v>
      </c>
      <c r="AG154" s="2">
        <f t="shared" si="18"/>
        <v>6765678.0267999992</v>
      </c>
      <c r="AH154" s="2">
        <f t="shared" si="19"/>
        <v>6411150.689666668</v>
      </c>
      <c r="AI154" s="2">
        <f t="shared" si="20"/>
        <v>7010142.5700000003</v>
      </c>
    </row>
    <row r="155" spans="10:35" x14ac:dyDescent="0.15">
      <c r="J155" s="2">
        <v>151</v>
      </c>
      <c r="K155" s="2">
        <f>积分赛!BH161+积分赛!CF161+晋级赛!AM161+晋级赛!BQ161</f>
        <v>598850096.13464248</v>
      </c>
      <c r="L155" s="2">
        <f>积分赛!BI161+积分赛!CG161+晋级赛!AN161+晋级赛!BR161</f>
        <v>709430326.45966113</v>
      </c>
      <c r="M155" s="2">
        <f>积分赛!BJ161+积分赛!CH161+晋级赛!AO161+晋级赛!BS161</f>
        <v>725736049.83071399</v>
      </c>
      <c r="N155" s="2">
        <f>积分赛!BK161+积分赛!CI161+晋级赛!AP161+晋级赛!BT161</f>
        <v>690545336.53423178</v>
      </c>
      <c r="O155" s="2">
        <f>积分赛!BL161+积分赛!CJ161+晋级赛!AQ161+晋级赛!BU161</f>
        <v>763339354.69248378</v>
      </c>
      <c r="Q155" s="10">
        <f>IFERROR(积分赛!BH161/$K155,0)</f>
        <v>0.76562500000000011</v>
      </c>
      <c r="R155" s="10">
        <f>IFERROR(积分赛!CF161/$K155,0)</f>
        <v>3.90625E-2</v>
      </c>
      <c r="S155" s="10">
        <f>IFERROR(晋级赛!AM161/$K155,0)</f>
        <v>0</v>
      </c>
      <c r="T155" s="10">
        <f>IFERROR(晋级赛!BQ161/$K155,0)</f>
        <v>0.1953125</v>
      </c>
      <c r="V155" s="10">
        <f>IFERROR(积分赛!BL161/$O155,0)</f>
        <v>0.46555819477434668</v>
      </c>
      <c r="W155" s="10">
        <f>IFERROR(积分赛!CJ161/$O155,0)</f>
        <v>9.8970704671417262E-2</v>
      </c>
      <c r="X155" s="10">
        <f>IFERROR(晋级赛!AQ161/$O155,0)</f>
        <v>0.39588281868566905</v>
      </c>
      <c r="Y155" s="10">
        <f>IFERROR(晋级赛!BU161/$O155,0)</f>
        <v>3.9588281868566909E-2</v>
      </c>
      <c r="AD155" s="2">
        <v>151</v>
      </c>
      <c r="AE155" s="2">
        <f t="shared" si="16"/>
        <v>5988500.9613464251</v>
      </c>
      <c r="AF155" s="2">
        <f t="shared" si="17"/>
        <v>7094303.2645966113</v>
      </c>
      <c r="AG155" s="2">
        <f t="shared" si="18"/>
        <v>7257360.4983071396</v>
      </c>
      <c r="AH155" s="2">
        <f t="shared" si="19"/>
        <v>6905453.3653423181</v>
      </c>
      <c r="AI155" s="2">
        <f t="shared" si="20"/>
        <v>7633393.5469248379</v>
      </c>
    </row>
    <row r="156" spans="10:35" x14ac:dyDescent="0.15">
      <c r="J156" s="2">
        <v>152</v>
      </c>
      <c r="K156" s="2">
        <f>积分赛!BH162+积分赛!CF162+晋级赛!AM162+晋级赛!BQ162</f>
        <v>641869614.02099741</v>
      </c>
      <c r="L156" s="2">
        <f>积分赛!BI162+积分赛!CG162+晋级赛!AN162+晋级赛!BR162</f>
        <v>760221414.14652205</v>
      </c>
      <c r="M156" s="2">
        <f>积分赛!BJ162+积分赛!CH162+晋级赛!AO162+晋级赛!BS162</f>
        <v>782181845.64565217</v>
      </c>
      <c r="N156" s="2">
        <f>积分赛!BK162+积分赛!CI162+晋级赛!AP162+晋级赛!BT162</f>
        <v>750269936.05122459</v>
      </c>
      <c r="O156" s="2">
        <f>积分赛!BL162+积分赛!CJ162+晋级赛!AQ162+晋级赛!BU162</f>
        <v>1185942718.5183396</v>
      </c>
      <c r="Q156" s="10">
        <f>IFERROR(积分赛!BH162/$K156,0)</f>
        <v>0.765625</v>
      </c>
      <c r="R156" s="10">
        <f>IFERROR(积分赛!CF162/$K156,0)</f>
        <v>3.9062500000000007E-2</v>
      </c>
      <c r="S156" s="10">
        <f>IFERROR(晋级赛!AM162/$K156,0)</f>
        <v>0</v>
      </c>
      <c r="T156" s="10">
        <f>IFERROR(晋级赛!BQ162/$K156,0)</f>
        <v>0.19531250000000006</v>
      </c>
      <c r="V156" s="10">
        <f>IFERROR(积分赛!BL162/$O156,0)</f>
        <v>0.46555819477434679</v>
      </c>
      <c r="W156" s="10">
        <f>IFERROR(积分赛!CJ162/$O156,0)</f>
        <v>9.8970704671417262E-2</v>
      </c>
      <c r="X156" s="10">
        <f>IFERROR(晋级赛!AQ162/$O156,0)</f>
        <v>0.39588281868566905</v>
      </c>
      <c r="Y156" s="10">
        <f>IFERROR(晋级赛!BU162/$O156,0)</f>
        <v>3.9588281868566902E-2</v>
      </c>
      <c r="AD156" s="2">
        <v>152</v>
      </c>
      <c r="AE156" s="2">
        <f t="shared" si="16"/>
        <v>6418696.1402099738</v>
      </c>
      <c r="AF156" s="2">
        <f t="shared" si="17"/>
        <v>7602214.1414652206</v>
      </c>
      <c r="AG156" s="2">
        <f t="shared" si="18"/>
        <v>7821818.4564565215</v>
      </c>
      <c r="AH156" s="2">
        <f t="shared" si="19"/>
        <v>7502699.3605122464</v>
      </c>
      <c r="AI156" s="2">
        <f t="shared" si="20"/>
        <v>11859427.185183397</v>
      </c>
    </row>
    <row r="157" spans="10:35" x14ac:dyDescent="0.15">
      <c r="J157" s="2">
        <v>153</v>
      </c>
      <c r="K157" s="2">
        <f>积分赛!BH163+积分赛!CF163+晋级赛!AM163+晋级赛!BQ163</f>
        <v>687976791.66269839</v>
      </c>
      <c r="L157" s="2">
        <f>积分赛!BI163+积分赛!CG163+晋级赛!AN163+晋级赛!BR163</f>
        <v>820920758.79718471</v>
      </c>
      <c r="M157" s="2">
        <f>积分赛!BJ163+积分赛!CH163+晋级赛!AO163+晋级赛!BS163</f>
        <v>847708360.36717892</v>
      </c>
      <c r="N157" s="2">
        <f>积分赛!BK163+积分赛!CI163+晋级赛!AP163+晋级赛!BT163</f>
        <v>995191161.37120986</v>
      </c>
      <c r="O157" s="2">
        <f>积分赛!BL163+积分赛!CJ163+晋级赛!AQ163+晋级赛!BU163</f>
        <v>2035508399.6952844</v>
      </c>
      <c r="Q157" s="10">
        <f>IFERROR(积分赛!BH163/$K157,0)</f>
        <v>0.765625</v>
      </c>
      <c r="R157" s="10">
        <f>IFERROR(积分赛!CF163/$K157,0)</f>
        <v>3.90625E-2</v>
      </c>
      <c r="S157" s="10">
        <f>IFERROR(晋级赛!AM163/$K157,0)</f>
        <v>0</v>
      </c>
      <c r="T157" s="10">
        <f>IFERROR(晋级赛!BQ163/$K157,0)</f>
        <v>0.1953125</v>
      </c>
      <c r="V157" s="10">
        <f>IFERROR(积分赛!BL163/$O157,0)</f>
        <v>0.46555819477434679</v>
      </c>
      <c r="W157" s="10">
        <f>IFERROR(积分赛!CJ163/$O157,0)</f>
        <v>9.8970704671417262E-2</v>
      </c>
      <c r="X157" s="10">
        <f>IFERROR(晋级赛!AQ163/$O157,0)</f>
        <v>0.39588281868566905</v>
      </c>
      <c r="Y157" s="10">
        <f>IFERROR(晋级赛!BU163/$O157,0)</f>
        <v>3.9588281868566902E-2</v>
      </c>
      <c r="AD157" s="2">
        <v>153</v>
      </c>
      <c r="AE157" s="2">
        <f t="shared" si="16"/>
        <v>6879767.9166269843</v>
      </c>
      <c r="AF157" s="2">
        <f t="shared" si="17"/>
        <v>8209207.5879718475</v>
      </c>
      <c r="AG157" s="2">
        <f t="shared" si="18"/>
        <v>8477083.6036717892</v>
      </c>
      <c r="AH157" s="2">
        <f t="shared" si="19"/>
        <v>9951911.6137120984</v>
      </c>
      <c r="AI157" s="2">
        <f t="shared" si="20"/>
        <v>20355083.996952843</v>
      </c>
    </row>
    <row r="158" spans="10:35" x14ac:dyDescent="0.15">
      <c r="J158" s="2">
        <v>154</v>
      </c>
      <c r="K158" s="2">
        <f>积分赛!BH164+积分赛!CF164+晋级赛!AM164+晋级赛!BQ164</f>
        <v>737393241.09151888</v>
      </c>
      <c r="L158" s="2">
        <f>积分赛!BI164+积分赛!CG164+晋级赛!AN164+晋级赛!BR164</f>
        <v>884033266.51107931</v>
      </c>
      <c r="M158" s="2">
        <f>积分赛!BJ164+积分赛!CH164+晋级赛!AO164+晋级赛!BS164</f>
        <v>1044451366.3541451</v>
      </c>
      <c r="N158" s="2">
        <f>积分赛!BK164+积分赛!CI164+晋级赛!AP164+晋级赛!BT164</f>
        <v>1404892438.4198055</v>
      </c>
      <c r="O158" s="2">
        <f>积分赛!BL164+积分赛!CJ164+晋级赛!AQ164+晋级赛!BU164</f>
        <v>2873488501.5776749</v>
      </c>
      <c r="Q158" s="10">
        <f>IFERROR(积分赛!BH164/$K158,0)</f>
        <v>0.76562499999999989</v>
      </c>
      <c r="R158" s="10">
        <f>IFERROR(积分赛!CF164/$K158,0)</f>
        <v>3.90625E-2</v>
      </c>
      <c r="S158" s="10">
        <f>IFERROR(晋级赛!AM164/$K158,0)</f>
        <v>0</v>
      </c>
      <c r="T158" s="10">
        <f>IFERROR(晋级赛!BQ164/$K158,0)</f>
        <v>0.1953125</v>
      </c>
      <c r="V158" s="10">
        <f>IFERROR(积分赛!BL164/$O158,0)</f>
        <v>0.46555819477434679</v>
      </c>
      <c r="W158" s="10">
        <f>IFERROR(积分赛!CJ164/$O158,0)</f>
        <v>9.8970704671417262E-2</v>
      </c>
      <c r="X158" s="10">
        <f>IFERROR(晋级赛!AQ164/$O158,0)</f>
        <v>0.39588281868566905</v>
      </c>
      <c r="Y158" s="10">
        <f>IFERROR(晋级赛!BU164/$O158,0)</f>
        <v>3.9588281868566909E-2</v>
      </c>
      <c r="AD158" s="2">
        <v>154</v>
      </c>
      <c r="AE158" s="2">
        <f t="shared" si="16"/>
        <v>7373932.4109151885</v>
      </c>
      <c r="AF158" s="2">
        <f t="shared" si="17"/>
        <v>8840332.665110793</v>
      </c>
      <c r="AG158" s="2">
        <f t="shared" si="18"/>
        <v>10444513.663541451</v>
      </c>
      <c r="AH158" s="2">
        <f t="shared" si="19"/>
        <v>14048924.384198055</v>
      </c>
      <c r="AI158" s="2">
        <f t="shared" si="20"/>
        <v>28734885.01577675</v>
      </c>
    </row>
    <row r="159" spans="10:35" x14ac:dyDescent="0.15">
      <c r="J159" s="2">
        <v>155</v>
      </c>
      <c r="K159" s="2">
        <f>积分赛!BH165+积分赛!CF165+晋级赛!AM165+晋级赛!BQ165</f>
        <v>790356480.2020967</v>
      </c>
      <c r="L159" s="2">
        <f>积分赛!BI165+积分赛!CG165+晋级赛!AN165+晋级赛!BR165</f>
        <v>1054228880.1335787</v>
      </c>
      <c r="M159" s="2">
        <f>积分赛!BJ165+积分赛!CH165+晋级赛!AO165+晋级赛!BS165</f>
        <v>1366686555.1214762</v>
      </c>
      <c r="N159" s="2">
        <f>积分赛!BK165+积分赛!CI165+晋级赛!AP165+晋级赛!BT165</f>
        <v>1826686034.1721029</v>
      </c>
      <c r="O159" s="2">
        <f>积分赛!BL165+积分赛!CJ165+晋级赛!AQ165+晋级赛!BU165</f>
        <v>3747907027.9063773</v>
      </c>
      <c r="Q159" s="10">
        <f>IFERROR(积分赛!BH165/$K159,0)</f>
        <v>0.765625</v>
      </c>
      <c r="R159" s="10">
        <f>IFERROR(积分赛!CF165/$K159,0)</f>
        <v>3.90625E-2</v>
      </c>
      <c r="S159" s="10">
        <f>IFERROR(晋级赛!AM165/$K159,0)</f>
        <v>0</v>
      </c>
      <c r="T159" s="10">
        <f>IFERROR(晋级赛!BQ165/$K159,0)</f>
        <v>0.1953125</v>
      </c>
      <c r="V159" s="10">
        <f>IFERROR(积分赛!BL165/$O159,0)</f>
        <v>0.46555819477434685</v>
      </c>
      <c r="W159" s="10">
        <f>IFERROR(积分赛!CJ165/$O159,0)</f>
        <v>9.8970704671417248E-2</v>
      </c>
      <c r="X159" s="10">
        <f>IFERROR(晋级赛!AQ165/$O159,0)</f>
        <v>0.39588281868566899</v>
      </c>
      <c r="Y159" s="10">
        <f>IFERROR(晋级赛!BU165/$O159,0)</f>
        <v>3.9588281868566902E-2</v>
      </c>
      <c r="AD159" s="2">
        <v>155</v>
      </c>
      <c r="AE159" s="2">
        <f t="shared" si="16"/>
        <v>7903564.802020967</v>
      </c>
      <c r="AF159" s="2">
        <f t="shared" si="17"/>
        <v>10542288.801335787</v>
      </c>
      <c r="AG159" s="2">
        <f t="shared" si="18"/>
        <v>13666865.551214762</v>
      </c>
      <c r="AH159" s="2">
        <f t="shared" si="19"/>
        <v>18266860.341721028</v>
      </c>
      <c r="AI159" s="2">
        <f t="shared" si="20"/>
        <v>37479070.279063776</v>
      </c>
    </row>
    <row r="160" spans="10:35" x14ac:dyDescent="0.15">
      <c r="J160" s="2">
        <v>156</v>
      </c>
      <c r="K160" s="2">
        <f>积分赛!BH166+积分赛!CF166+晋级赛!AM166+晋级赛!BQ166</f>
        <v>847121074.37077689</v>
      </c>
      <c r="L160" s="2">
        <f>积分赛!BI166+积分赛!CG166+晋级赛!AN166+晋级赛!BR166</f>
        <v>1187954944.1371441</v>
      </c>
      <c r="M160" s="2">
        <f>积分赛!BJ166+积分赛!CH166+晋级赛!AO166+晋级赛!BS166</f>
        <v>1544085942.0425465</v>
      </c>
      <c r="N160" s="2">
        <f>积分赛!BK166+积分赛!CI166+晋级赛!AP166+晋级赛!BT166</f>
        <v>2063794522.1023216</v>
      </c>
      <c r="O160" s="2">
        <f>积分赛!BL166+积分赛!CJ166+晋级赛!AQ166+晋级赛!BU166</f>
        <v>4233715642.103066</v>
      </c>
      <c r="Q160" s="10">
        <f>IFERROR(积分赛!BH166/$K160,0)</f>
        <v>0.765625</v>
      </c>
      <c r="R160" s="10">
        <f>IFERROR(积分赛!CF166/$K160,0)</f>
        <v>3.90625E-2</v>
      </c>
      <c r="S160" s="10">
        <f>IFERROR(晋级赛!AM166/$K160,0)</f>
        <v>0</v>
      </c>
      <c r="T160" s="10">
        <f>IFERROR(晋级赛!BQ166/$K160,0)</f>
        <v>0.19531249999999997</v>
      </c>
      <c r="V160" s="10">
        <f>IFERROR(积分赛!BL166/$O160,0)</f>
        <v>0.46555819477434679</v>
      </c>
      <c r="W160" s="10">
        <f>IFERROR(积分赛!CJ166/$O160,0)</f>
        <v>9.8970704671417262E-2</v>
      </c>
      <c r="X160" s="10">
        <f>IFERROR(晋级赛!AQ166/$O160,0)</f>
        <v>0.39588281868566905</v>
      </c>
      <c r="Y160" s="10">
        <f>IFERROR(晋级赛!BU166/$O160,0)</f>
        <v>3.9588281868566902E-2</v>
      </c>
      <c r="AD160" s="2">
        <v>156</v>
      </c>
      <c r="AE160" s="2">
        <f t="shared" si="16"/>
        <v>8471210.7437077686</v>
      </c>
      <c r="AF160" s="2">
        <f t="shared" si="17"/>
        <v>11879549.441371441</v>
      </c>
      <c r="AG160" s="2">
        <f t="shared" si="18"/>
        <v>15440859.420425465</v>
      </c>
      <c r="AH160" s="2">
        <f t="shared" si="19"/>
        <v>20637945.221023217</v>
      </c>
      <c r="AI160" s="2">
        <f t="shared" si="20"/>
        <v>42337156.421030663</v>
      </c>
    </row>
    <row r="161" spans="10:35" x14ac:dyDescent="0.15">
      <c r="J161" s="2">
        <v>157</v>
      </c>
      <c r="K161" s="2">
        <f>积分赛!BH167+积分赛!CF167+晋级赛!AM167+晋级赛!BQ167</f>
        <v>907959860.01241064</v>
      </c>
      <c r="L161" s="2">
        <f>积分赛!BI167+积分赛!CG167+晋级赛!AN167+晋级赛!BR167</f>
        <v>1273271834.9392791</v>
      </c>
      <c r="M161" s="2">
        <f>积分赛!BJ167+积分赛!CH167+晋级赛!AO167+晋级赛!BS167</f>
        <v>1654978887.9648085</v>
      </c>
      <c r="N161" s="2">
        <f>积分赛!BK167+积分赛!CI167+晋级赛!AP167+晋级赛!BT167</f>
        <v>2212011825.3642192</v>
      </c>
      <c r="O161" s="2">
        <f>积分赛!BL167+积分赛!CJ167+晋级赛!AQ167+晋级赛!BU167</f>
        <v>4524325401.514185</v>
      </c>
      <c r="Q161" s="10">
        <f>IFERROR(积分赛!BH167/$K161,0)</f>
        <v>0.76562499999999989</v>
      </c>
      <c r="R161" s="10">
        <f>IFERROR(积分赛!CF167/$K161,0)</f>
        <v>3.9062499999999993E-2</v>
      </c>
      <c r="S161" s="10">
        <f>IFERROR(晋级赛!AM167/$K161,0)</f>
        <v>0</v>
      </c>
      <c r="T161" s="10">
        <f>IFERROR(晋级赛!BQ167/$K161,0)</f>
        <v>0.1953125</v>
      </c>
      <c r="V161" s="10">
        <f>IFERROR(积分赛!BL167/$O161,0)</f>
        <v>0.46555819477434673</v>
      </c>
      <c r="W161" s="10">
        <f>IFERROR(积分赛!CJ167/$O161,0)</f>
        <v>9.8970704671417262E-2</v>
      </c>
      <c r="X161" s="10">
        <f>IFERROR(晋级赛!AQ167/$O161,0)</f>
        <v>0.39588281868566905</v>
      </c>
      <c r="Y161" s="10">
        <f>IFERROR(晋级赛!BU167/$O161,0)</f>
        <v>3.9588281868566902E-2</v>
      </c>
      <c r="AD161" s="2">
        <v>157</v>
      </c>
      <c r="AE161" s="2">
        <f t="shared" si="16"/>
        <v>9079598.6001241058</v>
      </c>
      <c r="AF161" s="2">
        <f t="shared" si="17"/>
        <v>12732718.34939279</v>
      </c>
      <c r="AG161" s="2">
        <f t="shared" si="18"/>
        <v>16549788.879648086</v>
      </c>
      <c r="AH161" s="2">
        <f t="shared" si="19"/>
        <v>22120118.253642194</v>
      </c>
      <c r="AI161" s="2">
        <f t="shared" si="20"/>
        <v>45243254.015141852</v>
      </c>
    </row>
    <row r="162" spans="10:35" x14ac:dyDescent="0.15">
      <c r="J162" s="2">
        <v>158</v>
      </c>
      <c r="K162" s="2">
        <f>积分赛!BH168+积分赛!CF168+晋级赛!AM168+晋级赛!BQ168</f>
        <v>973165255.95604932</v>
      </c>
      <c r="L162" s="2">
        <f>积分赛!BI168+积分赛!CG168+晋级赛!AN168+晋级赛!BR168</f>
        <v>1364712214.4071162</v>
      </c>
      <c r="M162" s="2">
        <f>积分赛!BJ168+积分赛!CH168+晋级赛!AO168+晋级赛!BS168</f>
        <v>1773831004.5867648</v>
      </c>
      <c r="N162" s="2">
        <f>积分赛!BK168+积分赛!CI168+晋级赛!AP168+晋级赛!BT168</f>
        <v>2370867197.6890202</v>
      </c>
      <c r="O162" s="2">
        <f>积分赛!BL168+积分赛!CJ168+晋级赛!AQ168+晋级赛!BU168</f>
        <v>4849239304.7469349</v>
      </c>
      <c r="Q162" s="10">
        <f>IFERROR(积分赛!BH168/$K162,0)</f>
        <v>0.765625</v>
      </c>
      <c r="R162" s="10">
        <f>IFERROR(积分赛!CF168/$K162,0)</f>
        <v>3.90625E-2</v>
      </c>
      <c r="S162" s="10">
        <f>IFERROR(晋级赛!AM168/$K162,0)</f>
        <v>0</v>
      </c>
      <c r="T162" s="10">
        <f>IFERROR(晋级赛!BQ168/$K162,0)</f>
        <v>0.1953125</v>
      </c>
      <c r="V162" s="10">
        <f>IFERROR(积分赛!BL168/$O162,0)</f>
        <v>0.46555819477434673</v>
      </c>
      <c r="W162" s="10">
        <f>IFERROR(积分赛!CJ168/$O162,0)</f>
        <v>9.8970704671417248E-2</v>
      </c>
      <c r="X162" s="10">
        <f>IFERROR(晋级赛!AQ168/$O162,0)</f>
        <v>0.39588281868566899</v>
      </c>
      <c r="Y162" s="10">
        <f>IFERROR(晋级赛!BU168/$O162,0)</f>
        <v>3.9588281868566902E-2</v>
      </c>
      <c r="AD162" s="2">
        <v>158</v>
      </c>
      <c r="AE162" s="2">
        <f t="shared" si="16"/>
        <v>9731652.5595604926</v>
      </c>
      <c r="AF162" s="2">
        <f t="shared" si="17"/>
        <v>13647122.144071162</v>
      </c>
      <c r="AG162" s="2">
        <f t="shared" si="18"/>
        <v>17738310.045867648</v>
      </c>
      <c r="AH162" s="2">
        <f t="shared" si="19"/>
        <v>23708671.976890203</v>
      </c>
      <c r="AI162" s="2">
        <f t="shared" si="20"/>
        <v>48492393.047469348</v>
      </c>
    </row>
    <row r="163" spans="10:35" x14ac:dyDescent="0.15">
      <c r="J163" s="2">
        <v>159</v>
      </c>
      <c r="K163" s="2">
        <f>积分赛!BH169+积分赛!CF169+晋级赛!AM169+晋级赛!BQ169</f>
        <v>1043050668.942613</v>
      </c>
      <c r="L163" s="2">
        <f>积分赛!BI169+积分赛!CG169+晋级赛!AN169+晋级赛!BR169</f>
        <v>1462715586.5249927</v>
      </c>
      <c r="M163" s="2">
        <f>积分赛!BJ169+积分赛!CH169+晋级赛!AO169+晋级赛!BS169</f>
        <v>1901213549.1484461</v>
      </c>
      <c r="N163" s="2">
        <f>积分赛!BK169+积分赛!CI169+晋级赛!AP169+晋级赛!BT169</f>
        <v>2541124170.1280632</v>
      </c>
      <c r="O163" s="2">
        <f>积分赛!BL169+积分赛!CJ169+晋级赛!AQ169+晋级赛!BU169</f>
        <v>5197473403.8408813</v>
      </c>
      <c r="Q163" s="10">
        <f>IFERROR(积分赛!BH169/$K163,0)</f>
        <v>0.76562500000000011</v>
      </c>
      <c r="R163" s="10">
        <f>IFERROR(积分赛!CF169/$K163,0)</f>
        <v>3.90625E-2</v>
      </c>
      <c r="S163" s="10">
        <f>IFERROR(晋级赛!AM169/$K163,0)</f>
        <v>0</v>
      </c>
      <c r="T163" s="10">
        <f>IFERROR(晋级赛!BQ169/$K163,0)</f>
        <v>0.1953125</v>
      </c>
      <c r="V163" s="10">
        <f>IFERROR(积分赛!BL169/$O163,0)</f>
        <v>0.46555819477434673</v>
      </c>
      <c r="W163" s="10">
        <f>IFERROR(积分赛!CJ169/$O163,0)</f>
        <v>9.8970704671417262E-2</v>
      </c>
      <c r="X163" s="10">
        <f>IFERROR(晋级赛!AQ169/$O163,0)</f>
        <v>0.39588281868566905</v>
      </c>
      <c r="Y163" s="10">
        <f>IFERROR(晋级赛!BU169/$O163,0)</f>
        <v>3.9588281868566902E-2</v>
      </c>
      <c r="AD163" s="2">
        <v>159</v>
      </c>
      <c r="AE163" s="2">
        <f t="shared" si="16"/>
        <v>10430506.68942613</v>
      </c>
      <c r="AF163" s="2">
        <f t="shared" si="17"/>
        <v>14627155.865249928</v>
      </c>
      <c r="AG163" s="2">
        <f t="shared" si="18"/>
        <v>19012135.491484459</v>
      </c>
      <c r="AH163" s="2">
        <f t="shared" si="19"/>
        <v>25411241.701280631</v>
      </c>
      <c r="AI163" s="2">
        <f t="shared" si="20"/>
        <v>51974734.038408816</v>
      </c>
    </row>
    <row r="164" spans="10:35" x14ac:dyDescent="0.15">
      <c r="J164" s="2">
        <v>160</v>
      </c>
      <c r="K164" s="2">
        <f>积分赛!BH170+积分赛!CF170+晋级赛!AM170+晋级赛!BQ170</f>
        <v>1117952000</v>
      </c>
      <c r="L164" s="2">
        <f>积分赛!BI170+积分赛!CG170+晋级赛!AN170+晋级赛!BR170</f>
        <v>1567753000</v>
      </c>
      <c r="M164" s="2">
        <f>积分赛!BJ170+积分赛!CH170+晋级赛!AO170+晋级赛!BS170</f>
        <v>2037738780</v>
      </c>
      <c r="N164" s="2">
        <f>积分赛!BK170+积分赛!CI170+晋级赛!AP170+晋级赛!BT170</f>
        <v>2723601075.0000005</v>
      </c>
      <c r="O164" s="2">
        <f>积分赛!BL170+积分赛!CJ170+晋级赛!AQ170+晋级赛!BU170</f>
        <v>5570701470.000001</v>
      </c>
      <c r="Q164" s="10">
        <f>IFERROR(积分赛!BH170/$K164,0)</f>
        <v>0.765625</v>
      </c>
      <c r="R164" s="10">
        <f>IFERROR(积分赛!CF170/$K164,0)</f>
        <v>3.90625E-2</v>
      </c>
      <c r="S164" s="10">
        <f>IFERROR(晋级赛!AM170/$K164,0)</f>
        <v>0</v>
      </c>
      <c r="T164" s="10">
        <f>IFERROR(晋级赛!BQ170/$K164,0)</f>
        <v>0.1953125</v>
      </c>
      <c r="V164" s="10">
        <f>IFERROR(积分赛!BL170/$O164,0)</f>
        <v>0.46555819477434679</v>
      </c>
      <c r="W164" s="10">
        <f>IFERROR(积分赛!CJ170/$O164,0)</f>
        <v>9.8970704671417262E-2</v>
      </c>
      <c r="X164" s="10">
        <f>IFERROR(晋级赛!AQ170/$O164,0)</f>
        <v>0.39588281868566905</v>
      </c>
      <c r="Y164" s="10">
        <f>IFERROR(晋级赛!BU170/$O164,0)</f>
        <v>3.9588281868566902E-2</v>
      </c>
      <c r="AD164" s="2">
        <v>160</v>
      </c>
      <c r="AE164" s="2">
        <f t="shared" si="16"/>
        <v>11179520</v>
      </c>
      <c r="AF164" s="2">
        <f t="shared" si="17"/>
        <v>15677530</v>
      </c>
      <c r="AG164" s="2">
        <f t="shared" si="18"/>
        <v>20377387.800000001</v>
      </c>
      <c r="AH164" s="2">
        <f t="shared" si="19"/>
        <v>27236010.750000004</v>
      </c>
      <c r="AI164" s="2">
        <f t="shared" si="20"/>
        <v>55707014.70000001</v>
      </c>
    </row>
    <row r="165" spans="10:35" x14ac:dyDescent="0.15">
      <c r="V165" s="10"/>
      <c r="W165" s="10"/>
      <c r="X165" s="10"/>
      <c r="Y165" s="10"/>
    </row>
    <row r="166" spans="10:35" x14ac:dyDescent="0.15">
      <c r="V166" s="10"/>
      <c r="W166" s="10"/>
      <c r="X166" s="10"/>
      <c r="Y166" s="10"/>
    </row>
  </sheetData>
  <mergeCells count="4">
    <mergeCell ref="K3:O3"/>
    <mergeCell ref="AE3:AI3"/>
    <mergeCell ref="Q3:T3"/>
    <mergeCell ref="V3:Y3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0A46-52DB-4D4C-8809-326126444EEA}">
  <sheetPr codeName="Sheet3"/>
  <dimension ref="A1:CJ370"/>
  <sheetViews>
    <sheetView topLeftCell="BL1" workbookViewId="0">
      <selection activeCell="BU7" sqref="BU7"/>
    </sheetView>
  </sheetViews>
  <sheetFormatPr defaultRowHeight="11.25" x14ac:dyDescent="0.15"/>
  <cols>
    <col min="1" max="1" width="9" style="2"/>
    <col min="2" max="2" width="12.25" style="2" bestFit="1" customWidth="1"/>
    <col min="3" max="25" width="9" style="2"/>
    <col min="26" max="26" width="9" style="3"/>
    <col min="27" max="42" width="9" style="2"/>
    <col min="43" max="43" width="9" style="3"/>
    <col min="44" max="45" width="9" style="10"/>
    <col min="46" max="46" width="9" style="13"/>
    <col min="47" max="47" width="10.5" style="10" bestFit="1" customWidth="1"/>
    <col min="48" max="61" width="9" style="10"/>
    <col min="62" max="66" width="9" style="2"/>
    <col min="67" max="67" width="9" style="3"/>
    <col min="68" max="68" width="9" style="10"/>
    <col min="69" max="70" width="9" style="2"/>
    <col min="71" max="71" width="9" style="10"/>
    <col min="72" max="73" width="10.5" style="10" bestFit="1" customWidth="1"/>
    <col min="74" max="75" width="9" style="2"/>
    <col min="76" max="85" width="9" style="10"/>
    <col min="86" max="16384" width="9" style="2"/>
  </cols>
  <sheetData>
    <row r="1" spans="1:88" x14ac:dyDescent="0.15">
      <c r="A1" s="2" t="s">
        <v>21</v>
      </c>
      <c r="AA1" s="2" t="s">
        <v>79</v>
      </c>
      <c r="AR1" s="10" t="s">
        <v>78</v>
      </c>
      <c r="BP1" s="10" t="s">
        <v>96</v>
      </c>
    </row>
    <row r="2" spans="1:88" x14ac:dyDescent="0.15">
      <c r="A2" s="2" t="s">
        <v>107</v>
      </c>
    </row>
    <row r="3" spans="1:88" x14ac:dyDescent="0.15">
      <c r="A3" s="2" t="s">
        <v>60</v>
      </c>
      <c r="AT3" s="13" t="s">
        <v>97</v>
      </c>
      <c r="BR3" s="2" t="s">
        <v>98</v>
      </c>
    </row>
    <row r="4" spans="1:88" x14ac:dyDescent="0.15">
      <c r="A4" s="2" t="s">
        <v>108</v>
      </c>
    </row>
    <row r="5" spans="1:88" x14ac:dyDescent="0.15">
      <c r="AT5" s="13" t="s">
        <v>80</v>
      </c>
      <c r="BR5" s="2" t="s">
        <v>99</v>
      </c>
    </row>
    <row r="6" spans="1:88" x14ac:dyDescent="0.15">
      <c r="AU6" s="13" t="s">
        <v>81</v>
      </c>
      <c r="AV6" s="10">
        <v>3000</v>
      </c>
      <c r="BS6" s="10" t="s">
        <v>100</v>
      </c>
      <c r="BT6" s="10" t="s">
        <v>102</v>
      </c>
      <c r="BU6" s="10" t="s">
        <v>101</v>
      </c>
    </row>
    <row r="7" spans="1:88" x14ac:dyDescent="0.15">
      <c r="B7" s="11" t="s">
        <v>91</v>
      </c>
      <c r="C7" s="2">
        <v>30</v>
      </c>
      <c r="AU7" s="13" t="s">
        <v>179</v>
      </c>
      <c r="AV7" s="10">
        <v>1</v>
      </c>
      <c r="BS7" s="10">
        <v>1</v>
      </c>
      <c r="BT7" s="10" t="s">
        <v>103</v>
      </c>
      <c r="BU7" s="10">
        <v>250000</v>
      </c>
    </row>
    <row r="8" spans="1:88" x14ac:dyDescent="0.15">
      <c r="B8" s="2" t="s">
        <v>50</v>
      </c>
      <c r="C8" s="2">
        <v>7</v>
      </c>
      <c r="I8" s="2" t="s">
        <v>22</v>
      </c>
      <c r="J8" s="2">
        <v>0</v>
      </c>
      <c r="BS8" s="10">
        <v>2</v>
      </c>
      <c r="BT8" s="10" t="s">
        <v>4</v>
      </c>
      <c r="BU8" s="10">
        <v>150000</v>
      </c>
    </row>
    <row r="9" spans="1:88" x14ac:dyDescent="0.15">
      <c r="S9" s="23" t="s">
        <v>54</v>
      </c>
      <c r="T9" s="23"/>
      <c r="U9" s="23"/>
      <c r="V9" s="23"/>
      <c r="W9" s="23"/>
      <c r="AD9" s="23" t="s">
        <v>153</v>
      </c>
      <c r="AE9" s="23"/>
      <c r="AF9" s="23"/>
      <c r="AG9" s="23"/>
      <c r="AH9" s="23"/>
      <c r="AJ9" s="10"/>
      <c r="AK9" s="24" t="s">
        <v>154</v>
      </c>
      <c r="AL9" s="24"/>
      <c r="AM9" s="24"/>
      <c r="AN9" s="24"/>
      <c r="AO9" s="24"/>
      <c r="AU9" s="13" t="s">
        <v>187</v>
      </c>
      <c r="AV9" s="10">
        <f>AV6*王者铸币!D2+AX22</f>
        <v>30</v>
      </c>
      <c r="BA9" s="24" t="s">
        <v>155</v>
      </c>
      <c r="BB9" s="24"/>
      <c r="BC9" s="24"/>
      <c r="BD9" s="24"/>
      <c r="BE9" s="24"/>
      <c r="BH9" s="24" t="s">
        <v>156</v>
      </c>
      <c r="BI9" s="24"/>
      <c r="BJ9" s="24"/>
      <c r="BK9" s="24"/>
      <c r="BL9" s="24"/>
      <c r="BS9" s="10">
        <v>3</v>
      </c>
      <c r="BT9" s="10" t="s">
        <v>4</v>
      </c>
      <c r="BU9" s="10">
        <v>100000</v>
      </c>
      <c r="BY9" s="24" t="s">
        <v>155</v>
      </c>
      <c r="BZ9" s="24"/>
      <c r="CA9" s="24"/>
      <c r="CB9" s="24"/>
      <c r="CC9" s="24"/>
      <c r="CF9" s="24" t="s">
        <v>156</v>
      </c>
      <c r="CG9" s="24"/>
      <c r="CH9" s="24"/>
      <c r="CI9" s="24"/>
      <c r="CJ9" s="24"/>
    </row>
    <row r="10" spans="1:88" x14ac:dyDescent="0.15">
      <c r="J10" s="2" t="s">
        <v>33</v>
      </c>
      <c r="K10" s="2" t="s">
        <v>34</v>
      </c>
      <c r="L10" s="2" t="s">
        <v>51</v>
      </c>
      <c r="O10" s="2" t="s">
        <v>52</v>
      </c>
      <c r="P10" s="2" t="s">
        <v>53</v>
      </c>
      <c r="R10" s="2" t="s">
        <v>6</v>
      </c>
      <c r="S10" s="2" t="s">
        <v>0</v>
      </c>
      <c r="T10" s="2" t="s">
        <v>1</v>
      </c>
      <c r="U10" s="2" t="s">
        <v>2</v>
      </c>
      <c r="V10" s="2" t="s">
        <v>3</v>
      </c>
      <c r="W10" s="2" t="s">
        <v>4</v>
      </c>
      <c r="AC10" s="2" t="s">
        <v>6</v>
      </c>
      <c r="AD10" s="2" t="s">
        <v>0</v>
      </c>
      <c r="AE10" s="2" t="s">
        <v>1</v>
      </c>
      <c r="AF10" s="2" t="s">
        <v>2</v>
      </c>
      <c r="AG10" s="2" t="s">
        <v>3</v>
      </c>
      <c r="AH10" s="2" t="s">
        <v>4</v>
      </c>
      <c r="AJ10" s="10" t="s">
        <v>93</v>
      </c>
      <c r="AK10" s="10" t="s">
        <v>0</v>
      </c>
      <c r="AL10" s="10" t="s">
        <v>1</v>
      </c>
      <c r="AM10" s="10" t="s">
        <v>2</v>
      </c>
      <c r="AN10" s="10" t="s">
        <v>3</v>
      </c>
      <c r="AO10" s="10" t="s">
        <v>4</v>
      </c>
      <c r="AZ10" s="10" t="s">
        <v>6</v>
      </c>
      <c r="BA10" s="10" t="s">
        <v>0</v>
      </c>
      <c r="BB10" s="10" t="s">
        <v>1</v>
      </c>
      <c r="BC10" s="10" t="s">
        <v>2</v>
      </c>
      <c r="BD10" s="10" t="s">
        <v>3</v>
      </c>
      <c r="BE10" s="10" t="s">
        <v>4</v>
      </c>
      <c r="BG10" s="10" t="s">
        <v>93</v>
      </c>
      <c r="BH10" s="10" t="s">
        <v>0</v>
      </c>
      <c r="BI10" s="10" t="s">
        <v>1</v>
      </c>
      <c r="BJ10" s="10" t="s">
        <v>2</v>
      </c>
      <c r="BK10" s="10" t="s">
        <v>3</v>
      </c>
      <c r="BL10" s="10" t="s">
        <v>4</v>
      </c>
      <c r="BS10" s="10">
        <v>5</v>
      </c>
      <c r="BT10" s="10" t="s">
        <v>3</v>
      </c>
      <c r="BU10" s="10">
        <v>75000</v>
      </c>
      <c r="BX10" s="10" t="s">
        <v>6</v>
      </c>
      <c r="BY10" s="10" t="s">
        <v>0</v>
      </c>
      <c r="BZ10" s="10" t="s">
        <v>1</v>
      </c>
      <c r="CA10" s="10" t="s">
        <v>2</v>
      </c>
      <c r="CB10" s="10" t="s">
        <v>3</v>
      </c>
      <c r="CC10" s="10" t="s">
        <v>4</v>
      </c>
      <c r="CE10" s="10" t="s">
        <v>93</v>
      </c>
      <c r="CF10" s="10" t="s">
        <v>0</v>
      </c>
      <c r="CG10" s="10" t="s">
        <v>1</v>
      </c>
      <c r="CH10" s="10" t="s">
        <v>2</v>
      </c>
      <c r="CI10" s="10" t="s">
        <v>3</v>
      </c>
      <c r="CJ10" s="10" t="s">
        <v>4</v>
      </c>
    </row>
    <row r="11" spans="1:88" x14ac:dyDescent="0.15">
      <c r="I11" s="2" t="s">
        <v>23</v>
      </c>
      <c r="J11" s="2">
        <f>J8</f>
        <v>0</v>
      </c>
      <c r="K11" s="2">
        <f>J11+100</f>
        <v>100</v>
      </c>
      <c r="L11" s="2">
        <v>20</v>
      </c>
      <c r="O11" s="2">
        <v>0</v>
      </c>
      <c r="P11" s="2">
        <f>J8</f>
        <v>0</v>
      </c>
      <c r="R11" s="2">
        <v>1</v>
      </c>
      <c r="S11" s="2">
        <f>INDEX($P$11:$P$1003,MATCH(SUM(C$20:C$21)*$R11,$O$11:$O$1003,0))</f>
        <v>200</v>
      </c>
      <c r="T11" s="2">
        <f t="shared" ref="T11:W11" si="0">INDEX($P$11:$P$1003,MATCH(SUM(D$20:D$21)*$R11,$O$11:$O$1003,0))</f>
        <v>300</v>
      </c>
      <c r="U11" s="2">
        <f t="shared" si="0"/>
        <v>400</v>
      </c>
      <c r="V11" s="2">
        <f t="shared" si="0"/>
        <v>500</v>
      </c>
      <c r="W11" s="2">
        <f t="shared" si="0"/>
        <v>600</v>
      </c>
      <c r="AC11" s="2">
        <v>1</v>
      </c>
      <c r="AD11" s="2">
        <f>INDEX($D$30:$D$34,MATCH(C$21,$B$30:$B$34,0))*MAX($AC11-$C$7,0)*$C$8/30</f>
        <v>0</v>
      </c>
      <c r="AE11" s="2">
        <f t="shared" ref="AE11:AH11" si="1">INDEX($D$30:$D$34,MATCH(D$21,$B$30:$B$34,0))*MAX($AC11-$C$7,0)*$C$8/30</f>
        <v>0</v>
      </c>
      <c r="AF11" s="2">
        <f t="shared" si="1"/>
        <v>0</v>
      </c>
      <c r="AG11" s="2">
        <f t="shared" si="1"/>
        <v>0</v>
      </c>
      <c r="AH11" s="2">
        <f t="shared" si="1"/>
        <v>0</v>
      </c>
      <c r="AJ11" s="10">
        <v>1</v>
      </c>
      <c r="AK11" s="10">
        <f>IFERROR(求节点(节奏总纲!R$4:R$363,AD$11:AD$370,$AC11),0)</f>
        <v>0</v>
      </c>
      <c r="AL11" s="10">
        <f>IFERROR(求节点(节奏总纲!S$4:S$363,AE$11:AE$370,$AC11),0)</f>
        <v>0</v>
      </c>
      <c r="AM11" s="10">
        <f>IFERROR(求节点(节奏总纲!T$4:T$363,AF$11:AF$370,$AC11),0)</f>
        <v>0</v>
      </c>
      <c r="AN11" s="10">
        <f>IFERROR(求节点(节奏总纲!U$4:U$363,AG$11:AG$370,$AC11),0)</f>
        <v>0</v>
      </c>
      <c r="AO11" s="10">
        <f>IFERROR(求节点(节奏总纲!V$4:V$363,AH$11:AH$370,$AC11),0)</f>
        <v>0</v>
      </c>
      <c r="AZ11" s="10">
        <v>1</v>
      </c>
      <c r="BA11" s="10">
        <f>MAX($AZ11-$C$7,0)*C$22*$C$8*($AV$6+$AV$22)/30</f>
        <v>0</v>
      </c>
      <c r="BB11" s="10">
        <f t="shared" ref="BB11:BE11" si="2">MAX($AZ11-$C$7,0)*D$22*$C$8*($AV$6+$AV$22)/30</f>
        <v>0</v>
      </c>
      <c r="BC11" s="10">
        <f t="shared" si="2"/>
        <v>0</v>
      </c>
      <c r="BD11" s="10">
        <f t="shared" si="2"/>
        <v>0</v>
      </c>
      <c r="BE11" s="10">
        <f t="shared" si="2"/>
        <v>0</v>
      </c>
      <c r="BG11" s="10">
        <v>1</v>
      </c>
      <c r="BH11" s="10">
        <f>MAX(节奏总纲!D4-$C$7,0)*C$22*$C$8*($AV$6+$AV$22)/30</f>
        <v>0</v>
      </c>
      <c r="BI11" s="10">
        <f>MAX(节奏总纲!E4-$C$7,0)*D$22*$C$8*($AV$6+$AV$22)/30</f>
        <v>0</v>
      </c>
      <c r="BJ11" s="10">
        <f>MAX(节奏总纲!F4-$C$7,0)*E$22*$C$8*($AV$6+$AV$22)/30</f>
        <v>0</v>
      </c>
      <c r="BK11" s="10">
        <f>MAX(节奏总纲!G4-$C$7,0)*F$22*$C$8*($AV$6+$AV$22)/30</f>
        <v>0</v>
      </c>
      <c r="BL11" s="10">
        <f>MAX(节奏总纲!H4-$C$7,0)*G$22*$C$8*($AV$6+$AV$22)/30</f>
        <v>0</v>
      </c>
      <c r="BS11" s="10">
        <v>8</v>
      </c>
      <c r="BT11" s="10" t="s">
        <v>3</v>
      </c>
      <c r="BU11" s="10">
        <v>50000</v>
      </c>
      <c r="BX11" s="10">
        <v>1</v>
      </c>
      <c r="BY11" s="10">
        <f t="shared" ref="BY11:CC20" si="3">MAX($BX11-$C$7,0)*INDEX($BU$7:$BU$15,MATCH(BY$10,$BT$7:$BT$15,0))/30</f>
        <v>0</v>
      </c>
      <c r="BZ11" s="10">
        <f t="shared" si="3"/>
        <v>0</v>
      </c>
      <c r="CA11" s="10">
        <f t="shared" si="3"/>
        <v>0</v>
      </c>
      <c r="CB11" s="10">
        <f t="shared" si="3"/>
        <v>0</v>
      </c>
      <c r="CC11" s="10">
        <f t="shared" si="3"/>
        <v>0</v>
      </c>
      <c r="CE11" s="10">
        <v>1</v>
      </c>
      <c r="CF11" s="10">
        <f>MAX(节奏总纲!D4-$C$7,0)*INDEX($BU$7:$BU$15,MATCH(BY$10,$BT$7:$BT$15,0))/30</f>
        <v>0</v>
      </c>
      <c r="CG11" s="10">
        <f>MAX(节奏总纲!E4-$C$7,0)*INDEX($BU$7:$BU$15,MATCH(BZ$10,$BT$7:$BT$15,0))/30</f>
        <v>0</v>
      </c>
      <c r="CH11" s="10">
        <f>MAX(节奏总纲!F4-$C$7,0)*INDEX($BU$7:$BU$15,MATCH(CA$10,$BT$7:$BT$15,0))/30</f>
        <v>0</v>
      </c>
      <c r="CI11" s="10">
        <f>MAX(节奏总纲!G4-$C$7,0)*INDEX($BU$7:$BU$15,MATCH(CB$10,$BT$7:$BT$15,0))/30</f>
        <v>0</v>
      </c>
      <c r="CJ11" s="10">
        <f>MAX(节奏总纲!H4-$C$7,0)*INDEX($BU$7:$BU$15,MATCH(CC$10,$BT$7:$BT$15,0))/30</f>
        <v>0</v>
      </c>
    </row>
    <row r="12" spans="1:88" x14ac:dyDescent="0.15">
      <c r="I12" s="2" t="s">
        <v>24</v>
      </c>
      <c r="J12" s="2">
        <f>J11+100</f>
        <v>100</v>
      </c>
      <c r="K12" s="2">
        <f>K11+100</f>
        <v>200</v>
      </c>
      <c r="L12" s="2">
        <v>20</v>
      </c>
      <c r="O12" s="2">
        <v>1</v>
      </c>
      <c r="P12" s="2">
        <f>P11+INDEX($L$11:$L$32,MATCH(P11,$J$11:$J$32,1))</f>
        <v>20</v>
      </c>
      <c r="R12" s="2">
        <v>2</v>
      </c>
      <c r="S12" s="2">
        <f t="shared" ref="S12:S15" si="4">INDEX($P$11:$P$1003,MATCH(SUM(C$20:C$21)*$R12,$O$11:$O$1003,0))</f>
        <v>400</v>
      </c>
      <c r="T12" s="2">
        <f t="shared" ref="T12:T15" si="5">INDEX($P$11:$P$1003,MATCH(SUM(D$20:D$21)*$R12,$O$11:$O$1003,0))</f>
        <v>600</v>
      </c>
      <c r="U12" s="2">
        <f t="shared" ref="U12:U15" si="6">INDEX($P$11:$P$1003,MATCH(SUM(E$20:E$21)*$R12,$O$11:$O$1003,0))</f>
        <v>800</v>
      </c>
      <c r="V12" s="2">
        <f t="shared" ref="V12:V15" si="7">INDEX($P$11:$P$1003,MATCH(SUM(F$20:F$21)*$R12,$O$11:$O$1003,0))</f>
        <v>1000</v>
      </c>
      <c r="W12" s="2">
        <f t="shared" ref="W12:W15" si="8">INDEX($P$11:$P$1003,MATCH(SUM(G$20:G$21)*$R12,$O$11:$O$1003,0))</f>
        <v>1200</v>
      </c>
      <c r="AC12" s="2">
        <v>2</v>
      </c>
      <c r="AD12" s="2">
        <f t="shared" ref="AD12:AD17" si="9">INDEX($D$30:$D$34,MATCH(C$21,$B$30:$B$34,0))*MAX($AC12-$C$7,0)*$C$8/30</f>
        <v>0</v>
      </c>
      <c r="AE12" s="2">
        <f t="shared" ref="AE12:AE17" si="10">INDEX($D$30:$D$34,MATCH(D$21,$B$30:$B$34,0))*MAX($AC12-$C$7,0)*$C$8/30</f>
        <v>0</v>
      </c>
      <c r="AF12" s="2">
        <f t="shared" ref="AF12:AF17" si="11">INDEX($D$30:$D$34,MATCH(E$21,$B$30:$B$34,0))*MAX($AC12-$C$7,0)*$C$8/30</f>
        <v>0</v>
      </c>
      <c r="AG12" s="2">
        <f t="shared" ref="AG12:AG17" si="12">INDEX($D$30:$D$34,MATCH(F$21,$B$30:$B$34,0))*MAX($AC12-$C$7,0)*$C$8/30</f>
        <v>0</v>
      </c>
      <c r="AH12" s="2">
        <f t="shared" ref="AH12:AH17" si="13">INDEX($D$30:$D$34,MATCH(G$21,$B$30:$B$34,0))*MAX($AC12-$C$7,0)*$C$8/30</f>
        <v>0</v>
      </c>
      <c r="AJ12" s="10">
        <v>2</v>
      </c>
      <c r="AK12" s="10">
        <f>IFERROR(求节点(节奏总纲!R$4:R$363,AD$11:AD$370,$AC12),0)</f>
        <v>0</v>
      </c>
      <c r="AL12" s="10">
        <f>IFERROR(求节点(节奏总纲!S$4:S$363,AE$11:AE$370,$AC12),0)</f>
        <v>0</v>
      </c>
      <c r="AM12" s="10">
        <f>IFERROR(求节点(节奏总纲!T$4:T$363,AF$11:AF$370,$AC12),0)</f>
        <v>0</v>
      </c>
      <c r="AN12" s="10">
        <f>IFERROR(求节点(节奏总纲!U$4:U$363,AG$11:AG$370,$AC12),0)</f>
        <v>0</v>
      </c>
      <c r="AO12" s="10">
        <f>IFERROR(求节点(节奏总纲!V$4:V$363,AH$11:AH$370,$AC12),0)</f>
        <v>0</v>
      </c>
      <c r="AT12" s="13" t="s">
        <v>179</v>
      </c>
      <c r="AZ12" s="10">
        <v>2</v>
      </c>
      <c r="BA12" s="10">
        <f t="shared" ref="BA12:BA75" si="14">MAX($AZ12-$C$7,0)*C$22*$C$8*($AV$6+$AV$22)/30</f>
        <v>0</v>
      </c>
      <c r="BB12" s="10">
        <f t="shared" ref="BB12:BB75" si="15">MAX($AZ12-$C$7,0)*D$22*$C$8*($AV$6+$AV$22)/30</f>
        <v>0</v>
      </c>
      <c r="BC12" s="10">
        <f t="shared" ref="BC12:BC75" si="16">MAX($AZ12-$C$7,0)*E$22*$C$8*($AV$6+$AV$22)/30</f>
        <v>0</v>
      </c>
      <c r="BD12" s="10">
        <f t="shared" ref="BD12:BD75" si="17">MAX($AZ12-$C$7,0)*F$22*$C$8*($AV$6+$AV$22)/30</f>
        <v>0</v>
      </c>
      <c r="BE12" s="10">
        <f t="shared" ref="BE12:BE75" si="18">MAX($AZ12-$C$7,0)*G$22*$C$8*($AV$6+$AV$22)/30</f>
        <v>0</v>
      </c>
      <c r="BG12" s="10">
        <v>2</v>
      </c>
      <c r="BH12" s="10">
        <f>MAX(节奏总纲!D5-$C$7,0)*C$22*$C$8*($AV$6+$AV$22)/30</f>
        <v>0</v>
      </c>
      <c r="BI12" s="10">
        <f>MAX(节奏总纲!E5-$C$7,0)*D$22*$C$8*($AV$6+$AV$22)/30</f>
        <v>0</v>
      </c>
      <c r="BJ12" s="10">
        <f>MAX(节奏总纲!F5-$C$7,0)*E$22*$C$8*($AV$6+$AV$22)/30</f>
        <v>0</v>
      </c>
      <c r="BK12" s="10">
        <f>MAX(节奏总纲!G5-$C$7,0)*F$22*$C$8*($AV$6+$AV$22)/30</f>
        <v>0</v>
      </c>
      <c r="BL12" s="10">
        <f>MAX(节奏总纲!H5-$C$7,0)*G$22*$C$8*($AV$6+$AV$22)/30</f>
        <v>0</v>
      </c>
      <c r="BS12" s="10">
        <v>20</v>
      </c>
      <c r="BT12" s="10" t="s">
        <v>2</v>
      </c>
      <c r="BU12" s="10">
        <v>40000</v>
      </c>
      <c r="BX12" s="10">
        <v>2</v>
      </c>
      <c r="BY12" s="10">
        <f t="shared" si="3"/>
        <v>0</v>
      </c>
      <c r="BZ12" s="10">
        <f t="shared" si="3"/>
        <v>0</v>
      </c>
      <c r="CA12" s="10">
        <f t="shared" si="3"/>
        <v>0</v>
      </c>
      <c r="CB12" s="10">
        <f t="shared" si="3"/>
        <v>0</v>
      </c>
      <c r="CC12" s="10">
        <f t="shared" si="3"/>
        <v>0</v>
      </c>
      <c r="CE12" s="10">
        <v>2</v>
      </c>
      <c r="CF12" s="10">
        <f>MAX(节奏总纲!D5-$C$7,0)*INDEX($BU$7:$BU$15,MATCH(BY$10,$BT$7:$BT$15,0))/30</f>
        <v>0</v>
      </c>
      <c r="CG12" s="10">
        <f>MAX(节奏总纲!E5-$C$7,0)*INDEX($BU$7:$BU$15,MATCH(BZ$10,$BT$7:$BT$15,0))/30</f>
        <v>0</v>
      </c>
      <c r="CH12" s="10">
        <f>MAX(节奏总纲!F5-$C$7,0)*INDEX($BU$7:$BU$15,MATCH(CA$10,$BT$7:$BT$15,0))/30</f>
        <v>0</v>
      </c>
      <c r="CI12" s="10">
        <f>MAX(节奏总纲!G5-$C$7,0)*INDEX($BU$7:$BU$15,MATCH(CB$10,$BT$7:$BT$15,0))/30</f>
        <v>0</v>
      </c>
      <c r="CJ12" s="10">
        <f>MAX(节奏总纲!H5-$C$7,0)*INDEX($BU$7:$BU$15,MATCH(CC$10,$BT$7:$BT$15,0))/30</f>
        <v>0</v>
      </c>
    </row>
    <row r="13" spans="1:88" x14ac:dyDescent="0.15">
      <c r="I13" s="2" t="s">
        <v>25</v>
      </c>
      <c r="J13" s="2">
        <f t="shared" ref="J13:J21" si="19">J12+100</f>
        <v>200</v>
      </c>
      <c r="K13" s="2">
        <f t="shared" ref="K13:K20" si="20">K12+100</f>
        <v>300</v>
      </c>
      <c r="L13" s="2">
        <v>20</v>
      </c>
      <c r="O13" s="2">
        <v>2</v>
      </c>
      <c r="P13" s="2">
        <f t="shared" ref="P13:P46" si="21">P12+INDEX($L$11:$L$32,MATCH(P12,$J$11:$J$32,1))</f>
        <v>40</v>
      </c>
      <c r="R13" s="2">
        <v>3</v>
      </c>
      <c r="S13" s="2">
        <f t="shared" si="4"/>
        <v>600</v>
      </c>
      <c r="T13" s="2">
        <f t="shared" si="5"/>
        <v>900</v>
      </c>
      <c r="U13" s="2">
        <f t="shared" si="6"/>
        <v>1200</v>
      </c>
      <c r="V13" s="2">
        <f t="shared" si="7"/>
        <v>1500</v>
      </c>
      <c r="W13" s="2">
        <f t="shared" si="8"/>
        <v>1800</v>
      </c>
      <c r="AC13" s="2">
        <v>3</v>
      </c>
      <c r="AD13" s="2">
        <f t="shared" si="9"/>
        <v>0</v>
      </c>
      <c r="AE13" s="2">
        <f t="shared" si="10"/>
        <v>0</v>
      </c>
      <c r="AF13" s="2">
        <f t="shared" si="11"/>
        <v>0</v>
      </c>
      <c r="AG13" s="2">
        <f t="shared" si="12"/>
        <v>0</v>
      </c>
      <c r="AH13" s="2">
        <f t="shared" si="13"/>
        <v>0</v>
      </c>
      <c r="AJ13" s="10">
        <v>3</v>
      </c>
      <c r="AK13" s="10">
        <f>IFERROR(求节点(节奏总纲!R$4:R$363,AD$11:AD$370,$AC13),0)</f>
        <v>0</v>
      </c>
      <c r="AL13" s="10">
        <f>IFERROR(求节点(节奏总纲!S$4:S$363,AE$11:AE$370,$AC13),0)</f>
        <v>0</v>
      </c>
      <c r="AM13" s="10">
        <f>IFERROR(求节点(节奏总纲!T$4:T$363,AF$11:AF$370,$AC13),0)</f>
        <v>0</v>
      </c>
      <c r="AN13" s="10">
        <f>IFERROR(求节点(节奏总纲!U$4:U$363,AG$11:AG$370,$AC13),0)</f>
        <v>0</v>
      </c>
      <c r="AO13" s="10">
        <f>IFERROR(求节点(节奏总纲!V$4:V$363,AH$11:AH$370,$AC13),0)</f>
        <v>0</v>
      </c>
      <c r="AU13" s="10" t="s">
        <v>180</v>
      </c>
      <c r="AV13" s="10" t="s">
        <v>186</v>
      </c>
      <c r="AW13" s="10" t="s">
        <v>181</v>
      </c>
      <c r="AX13" s="10" t="s">
        <v>182</v>
      </c>
      <c r="AZ13" s="10">
        <v>3</v>
      </c>
      <c r="BA13" s="10">
        <f t="shared" si="14"/>
        <v>0</v>
      </c>
      <c r="BB13" s="10">
        <f t="shared" si="15"/>
        <v>0</v>
      </c>
      <c r="BC13" s="10">
        <f t="shared" si="16"/>
        <v>0</v>
      </c>
      <c r="BD13" s="10">
        <f t="shared" si="17"/>
        <v>0</v>
      </c>
      <c r="BE13" s="10">
        <f t="shared" si="18"/>
        <v>0</v>
      </c>
      <c r="BG13" s="10">
        <v>3</v>
      </c>
      <c r="BH13" s="10">
        <f>MAX(节奏总纲!D6-$C$7,0)*C$22*$C$8*($AV$6+$AV$22)/30</f>
        <v>0</v>
      </c>
      <c r="BI13" s="10">
        <f>MAX(节奏总纲!E6-$C$7,0)*D$22*$C$8*($AV$6+$AV$22)/30</f>
        <v>0</v>
      </c>
      <c r="BJ13" s="10">
        <f>MAX(节奏总纲!F6-$C$7,0)*E$22*$C$8*($AV$6+$AV$22)/30</f>
        <v>0</v>
      </c>
      <c r="BK13" s="10">
        <f>MAX(节奏总纲!G6-$C$7,0)*F$22*$C$8*($AV$6+$AV$22)/30</f>
        <v>0</v>
      </c>
      <c r="BL13" s="10">
        <f>MAX(节奏总纲!H6-$C$7,0)*G$22*$C$8*($AV$6+$AV$22)/30</f>
        <v>0</v>
      </c>
      <c r="BS13" s="10">
        <v>50</v>
      </c>
      <c r="BT13" s="10" t="s">
        <v>1</v>
      </c>
      <c r="BU13" s="10">
        <v>30000</v>
      </c>
      <c r="BX13" s="10">
        <v>3</v>
      </c>
      <c r="BY13" s="10">
        <f t="shared" si="3"/>
        <v>0</v>
      </c>
      <c r="BZ13" s="10">
        <f t="shared" si="3"/>
        <v>0</v>
      </c>
      <c r="CA13" s="10">
        <f t="shared" si="3"/>
        <v>0</v>
      </c>
      <c r="CB13" s="10">
        <f t="shared" si="3"/>
        <v>0</v>
      </c>
      <c r="CC13" s="10">
        <f t="shared" si="3"/>
        <v>0</v>
      </c>
      <c r="CE13" s="10">
        <v>3</v>
      </c>
      <c r="CF13" s="10">
        <f>MAX(节奏总纲!D6-$C$7,0)*INDEX($BU$7:$BU$15,MATCH(BY$10,$BT$7:$BT$15,0))/30</f>
        <v>0</v>
      </c>
      <c r="CG13" s="10">
        <f>MAX(节奏总纲!E6-$C$7,0)*INDEX($BU$7:$BU$15,MATCH(BZ$10,$BT$7:$BT$15,0))/30</f>
        <v>0</v>
      </c>
      <c r="CH13" s="10">
        <f>MAX(节奏总纲!F6-$C$7,0)*INDEX($BU$7:$BU$15,MATCH(CA$10,$BT$7:$BT$15,0))/30</f>
        <v>0</v>
      </c>
      <c r="CI13" s="10">
        <f>MAX(节奏总纲!G6-$C$7,0)*INDEX($BU$7:$BU$15,MATCH(CB$10,$BT$7:$BT$15,0))/30</f>
        <v>0</v>
      </c>
      <c r="CJ13" s="10">
        <f>MAX(节奏总纲!H6-$C$7,0)*INDEX($BU$7:$BU$15,MATCH(CC$10,$BT$7:$BT$15,0))/30</f>
        <v>0</v>
      </c>
    </row>
    <row r="14" spans="1:88" x14ac:dyDescent="0.15">
      <c r="I14" s="2" t="s">
        <v>26</v>
      </c>
      <c r="J14" s="2">
        <f t="shared" si="19"/>
        <v>300</v>
      </c>
      <c r="K14" s="2">
        <f t="shared" si="20"/>
        <v>400</v>
      </c>
      <c r="L14" s="2">
        <v>20</v>
      </c>
      <c r="O14" s="2">
        <v>3</v>
      </c>
      <c r="P14" s="2">
        <f t="shared" si="21"/>
        <v>60</v>
      </c>
      <c r="R14" s="2">
        <v>4</v>
      </c>
      <c r="S14" s="2">
        <f t="shared" si="4"/>
        <v>800</v>
      </c>
      <c r="T14" s="2">
        <f t="shared" si="5"/>
        <v>1200</v>
      </c>
      <c r="U14" s="2">
        <f t="shared" si="6"/>
        <v>1600</v>
      </c>
      <c r="V14" s="2">
        <f t="shared" si="7"/>
        <v>2000</v>
      </c>
      <c r="W14" s="2">
        <f t="shared" si="8"/>
        <v>2400</v>
      </c>
      <c r="AC14" s="2">
        <v>4</v>
      </c>
      <c r="AD14" s="2">
        <f t="shared" si="9"/>
        <v>0</v>
      </c>
      <c r="AE14" s="2">
        <f t="shared" si="10"/>
        <v>0</v>
      </c>
      <c r="AF14" s="2">
        <f t="shared" si="11"/>
        <v>0</v>
      </c>
      <c r="AG14" s="2">
        <f t="shared" si="12"/>
        <v>0</v>
      </c>
      <c r="AH14" s="2">
        <f t="shared" si="13"/>
        <v>0</v>
      </c>
      <c r="AJ14" s="10">
        <v>4</v>
      </c>
      <c r="AK14" s="10">
        <f>IFERROR(求节点(节奏总纲!R$4:R$363,AD$11:AD$370,$AC14),0)</f>
        <v>0</v>
      </c>
      <c r="AL14" s="10">
        <f>IFERROR(求节点(节奏总纲!S$4:S$363,AE$11:AE$370,$AC14),0)</f>
        <v>0</v>
      </c>
      <c r="AM14" s="10">
        <f>IFERROR(求节点(节奏总纲!T$4:T$363,AF$11:AF$370,$AC14),0)</f>
        <v>0</v>
      </c>
      <c r="AN14" s="10">
        <f>IFERROR(求节点(节奏总纲!U$4:U$363,AG$11:AG$370,$AC14),0)</f>
        <v>0</v>
      </c>
      <c r="AO14" s="10">
        <f>IFERROR(求节点(节奏总纲!V$4:V$363,AH$11:AH$370,$AC14),0)</f>
        <v>0</v>
      </c>
      <c r="AU14" s="10" t="s">
        <v>183</v>
      </c>
      <c r="AV14" s="10">
        <v>1000</v>
      </c>
      <c r="AW14" s="10">
        <f>AV14*王者铸币!$D$2</f>
        <v>10</v>
      </c>
      <c r="AX14" s="10">
        <v>50</v>
      </c>
      <c r="AZ14" s="10">
        <v>4</v>
      </c>
      <c r="BA14" s="10">
        <f t="shared" si="14"/>
        <v>0</v>
      </c>
      <c r="BB14" s="10">
        <f t="shared" si="15"/>
        <v>0</v>
      </c>
      <c r="BC14" s="10">
        <f t="shared" si="16"/>
        <v>0</v>
      </c>
      <c r="BD14" s="10">
        <f t="shared" si="17"/>
        <v>0</v>
      </c>
      <c r="BE14" s="10">
        <f t="shared" si="18"/>
        <v>0</v>
      </c>
      <c r="BG14" s="10">
        <v>4</v>
      </c>
      <c r="BH14" s="10">
        <f>MAX(节奏总纲!D7-$C$7,0)*C$22*$C$8*($AV$6+$AV$22)/30</f>
        <v>0</v>
      </c>
      <c r="BI14" s="10">
        <f>MAX(节奏总纲!E7-$C$7,0)*D$22*$C$8*($AV$6+$AV$22)/30</f>
        <v>0</v>
      </c>
      <c r="BJ14" s="10">
        <f>MAX(节奏总纲!F7-$C$7,0)*E$22*$C$8*($AV$6+$AV$22)/30</f>
        <v>0</v>
      </c>
      <c r="BK14" s="10">
        <f>MAX(节奏总纲!G7-$C$7,0)*F$22*$C$8*($AV$6+$AV$22)/30</f>
        <v>0</v>
      </c>
      <c r="BL14" s="10">
        <f>MAX(节奏总纲!H7-$C$7,0)*G$22*$C$8*($AV$6+$AV$22)/30</f>
        <v>0</v>
      </c>
      <c r="BS14" s="10">
        <v>100</v>
      </c>
      <c r="BT14" s="10" t="s">
        <v>104</v>
      </c>
      <c r="BU14" s="10">
        <v>25000</v>
      </c>
      <c r="BX14" s="10">
        <v>4</v>
      </c>
      <c r="BY14" s="10">
        <f t="shared" si="3"/>
        <v>0</v>
      </c>
      <c r="BZ14" s="10">
        <f t="shared" si="3"/>
        <v>0</v>
      </c>
      <c r="CA14" s="10">
        <f t="shared" si="3"/>
        <v>0</v>
      </c>
      <c r="CB14" s="10">
        <f t="shared" si="3"/>
        <v>0</v>
      </c>
      <c r="CC14" s="10">
        <f t="shared" si="3"/>
        <v>0</v>
      </c>
      <c r="CE14" s="10">
        <v>4</v>
      </c>
      <c r="CF14" s="10">
        <f>MAX(节奏总纲!D7-$C$7,0)*INDEX($BU$7:$BU$15,MATCH(BY$10,$BT$7:$BT$15,0))/30</f>
        <v>0</v>
      </c>
      <c r="CG14" s="10">
        <f>MAX(节奏总纲!E7-$C$7,0)*INDEX($BU$7:$BU$15,MATCH(BZ$10,$BT$7:$BT$15,0))/30</f>
        <v>0</v>
      </c>
      <c r="CH14" s="10">
        <f>MAX(节奏总纲!F7-$C$7,0)*INDEX($BU$7:$BU$15,MATCH(CA$10,$BT$7:$BT$15,0))/30</f>
        <v>0</v>
      </c>
      <c r="CI14" s="10">
        <f>MAX(节奏总纲!G7-$C$7,0)*INDEX($BU$7:$BU$15,MATCH(CB$10,$BT$7:$BT$15,0))/30</f>
        <v>0</v>
      </c>
      <c r="CJ14" s="10">
        <f>MAX(节奏总纲!H7-$C$7,0)*INDEX($BU$7:$BU$15,MATCH(CC$10,$BT$7:$BT$15,0))/30</f>
        <v>0</v>
      </c>
    </row>
    <row r="15" spans="1:88" x14ac:dyDescent="0.15">
      <c r="I15" s="2" t="s">
        <v>27</v>
      </c>
      <c r="J15" s="2">
        <f t="shared" si="19"/>
        <v>400</v>
      </c>
      <c r="K15" s="2">
        <f t="shared" si="20"/>
        <v>500</v>
      </c>
      <c r="L15" s="2">
        <v>20</v>
      </c>
      <c r="O15" s="2">
        <v>4</v>
      </c>
      <c r="P15" s="2">
        <f t="shared" si="21"/>
        <v>80</v>
      </c>
      <c r="R15" s="2">
        <v>5</v>
      </c>
      <c r="S15" s="2">
        <f t="shared" si="4"/>
        <v>1000</v>
      </c>
      <c r="T15" s="2">
        <f t="shared" si="5"/>
        <v>1500</v>
      </c>
      <c r="U15" s="2">
        <f t="shared" si="6"/>
        <v>2000</v>
      </c>
      <c r="V15" s="2">
        <f t="shared" si="7"/>
        <v>2500</v>
      </c>
      <c r="W15" s="2">
        <f t="shared" si="8"/>
        <v>3000</v>
      </c>
      <c r="AC15" s="2">
        <v>5</v>
      </c>
      <c r="AD15" s="2">
        <f t="shared" si="9"/>
        <v>0</v>
      </c>
      <c r="AE15" s="2">
        <f t="shared" si="10"/>
        <v>0</v>
      </c>
      <c r="AF15" s="2">
        <f t="shared" si="11"/>
        <v>0</v>
      </c>
      <c r="AG15" s="2">
        <f t="shared" si="12"/>
        <v>0</v>
      </c>
      <c r="AH15" s="2">
        <f t="shared" si="13"/>
        <v>0</v>
      </c>
      <c r="AJ15" s="10">
        <v>5</v>
      </c>
      <c r="AK15" s="10">
        <f>IFERROR(求节点(节奏总纲!R$4:R$363,AD$11:AD$370,$AC15),0)</f>
        <v>0</v>
      </c>
      <c r="AL15" s="10">
        <f>IFERROR(求节点(节奏总纲!S$4:S$363,AE$11:AE$370,$AC15),0)</f>
        <v>0</v>
      </c>
      <c r="AM15" s="10">
        <f>IFERROR(求节点(节奏总纲!T$4:T$363,AF$11:AF$370,$AC15),0)</f>
        <v>0</v>
      </c>
      <c r="AN15" s="10">
        <f>IFERROR(求节点(节奏总纲!U$4:U$363,AG$11:AG$370,$AC15),0)</f>
        <v>0</v>
      </c>
      <c r="AO15" s="10">
        <f>IFERROR(求节点(节奏总纲!V$4:V$363,AH$11:AH$370,$AC15),0)</f>
        <v>0</v>
      </c>
      <c r="AU15" s="10" t="s">
        <v>183</v>
      </c>
      <c r="AV15" s="10">
        <v>2000</v>
      </c>
      <c r="AW15" s="10">
        <f>AV15*王者铸币!$D$2</f>
        <v>20</v>
      </c>
      <c r="AX15" s="10">
        <v>30</v>
      </c>
      <c r="AZ15" s="10">
        <v>5</v>
      </c>
      <c r="BA15" s="10">
        <f t="shared" si="14"/>
        <v>0</v>
      </c>
      <c r="BB15" s="10">
        <f t="shared" si="15"/>
        <v>0</v>
      </c>
      <c r="BC15" s="10">
        <f t="shared" si="16"/>
        <v>0</v>
      </c>
      <c r="BD15" s="10">
        <f t="shared" si="17"/>
        <v>0</v>
      </c>
      <c r="BE15" s="10">
        <f t="shared" si="18"/>
        <v>0</v>
      </c>
      <c r="BG15" s="10">
        <v>5</v>
      </c>
      <c r="BH15" s="10">
        <f>MAX(节奏总纲!D8-$C$7,0)*C$22*$C$8*($AV$6+$AV$22)/30</f>
        <v>0</v>
      </c>
      <c r="BI15" s="10">
        <f>MAX(节奏总纲!E8-$C$7,0)*D$22*$C$8*($AV$6+$AV$22)/30</f>
        <v>0</v>
      </c>
      <c r="BJ15" s="10">
        <f>MAX(节奏总纲!F8-$C$7,0)*E$22*$C$8*($AV$6+$AV$22)/30</f>
        <v>0</v>
      </c>
      <c r="BK15" s="10">
        <f>MAX(节奏总纲!G8-$C$7,0)*F$22*$C$8*($AV$6+$AV$22)/30</f>
        <v>0</v>
      </c>
      <c r="BL15" s="10">
        <f>MAX(节奏总纲!H8-$C$7,0)*G$22*$C$8*($AV$6+$AV$22)/30</f>
        <v>0</v>
      </c>
      <c r="BS15" s="10">
        <v>9999</v>
      </c>
      <c r="BT15" s="10" t="s">
        <v>105</v>
      </c>
      <c r="BU15" s="10">
        <v>20000</v>
      </c>
      <c r="BX15" s="10">
        <v>5</v>
      </c>
      <c r="BY15" s="10">
        <f t="shared" si="3"/>
        <v>0</v>
      </c>
      <c r="BZ15" s="10">
        <f t="shared" si="3"/>
        <v>0</v>
      </c>
      <c r="CA15" s="10">
        <f t="shared" si="3"/>
        <v>0</v>
      </c>
      <c r="CB15" s="10">
        <f t="shared" si="3"/>
        <v>0</v>
      </c>
      <c r="CC15" s="10">
        <f t="shared" si="3"/>
        <v>0</v>
      </c>
      <c r="CE15" s="10">
        <v>5</v>
      </c>
      <c r="CF15" s="10">
        <f>MAX(节奏总纲!D8-$C$7,0)*INDEX($BU$7:$BU$15,MATCH(BY$10,$BT$7:$BT$15,0))/30</f>
        <v>0</v>
      </c>
      <c r="CG15" s="10">
        <f>MAX(节奏总纲!E8-$C$7,0)*INDEX($BU$7:$BU$15,MATCH(BZ$10,$BT$7:$BT$15,0))/30</f>
        <v>0</v>
      </c>
      <c r="CH15" s="10">
        <f>MAX(节奏总纲!F8-$C$7,0)*INDEX($BU$7:$BU$15,MATCH(CA$10,$BT$7:$BT$15,0))/30</f>
        <v>0</v>
      </c>
      <c r="CI15" s="10">
        <f>MAX(节奏总纲!G8-$C$7,0)*INDEX($BU$7:$BU$15,MATCH(CB$10,$BT$7:$BT$15,0))/30</f>
        <v>0</v>
      </c>
      <c r="CJ15" s="10">
        <f>MAX(节奏总纲!H8-$C$7,0)*INDEX($BU$7:$BU$15,MATCH(CC$10,$BT$7:$BT$15,0))/30</f>
        <v>0</v>
      </c>
    </row>
    <row r="16" spans="1:88" x14ac:dyDescent="0.15">
      <c r="I16" s="2" t="s">
        <v>28</v>
      </c>
      <c r="J16" s="2">
        <f t="shared" si="19"/>
        <v>500</v>
      </c>
      <c r="K16" s="2">
        <f t="shared" si="20"/>
        <v>600</v>
      </c>
      <c r="L16" s="2">
        <v>20</v>
      </c>
      <c r="O16" s="2">
        <v>5</v>
      </c>
      <c r="P16" s="2">
        <f t="shared" si="21"/>
        <v>100</v>
      </c>
      <c r="R16" s="2">
        <v>6</v>
      </c>
      <c r="S16" s="2">
        <f t="shared" ref="S16:S17" si="22">INDEX($P$11:$P$1003,MATCH(SUM(C$20:C$21)*$R16,$O$11:$O$1003,0))</f>
        <v>1200</v>
      </c>
      <c r="T16" s="2">
        <f t="shared" ref="T16:T17" si="23">INDEX($P$11:$P$1003,MATCH(SUM(D$20:D$21)*$R16,$O$11:$O$1003,0))</f>
        <v>1800</v>
      </c>
      <c r="U16" s="2">
        <f t="shared" ref="U16:U17" si="24">INDEX($P$11:$P$1003,MATCH(SUM(E$20:E$21)*$R16,$O$11:$O$1003,0))</f>
        <v>2400</v>
      </c>
      <c r="V16" s="2">
        <f t="shared" ref="V16:V17" si="25">INDEX($P$11:$P$1003,MATCH(SUM(F$20:F$21)*$R16,$O$11:$O$1003,0))</f>
        <v>3000</v>
      </c>
      <c r="W16" s="2">
        <f t="shared" ref="W16:W17" si="26">INDEX($P$11:$P$1003,MATCH(SUM(G$20:G$21)*$R16,$O$11:$O$1003,0))</f>
        <v>3600</v>
      </c>
      <c r="AC16" s="2">
        <v>6</v>
      </c>
      <c r="AD16" s="2">
        <f t="shared" si="9"/>
        <v>0</v>
      </c>
      <c r="AE16" s="2">
        <f t="shared" si="10"/>
        <v>0</v>
      </c>
      <c r="AF16" s="2">
        <f t="shared" si="11"/>
        <v>0</v>
      </c>
      <c r="AG16" s="2">
        <f t="shared" si="12"/>
        <v>0</v>
      </c>
      <c r="AH16" s="2">
        <f t="shared" si="13"/>
        <v>0</v>
      </c>
      <c r="AJ16" s="10">
        <v>6</v>
      </c>
      <c r="AK16" s="10">
        <f>IFERROR(求节点(节奏总纲!R$4:R$363,AD$11:AD$370,$AC16),0)</f>
        <v>0</v>
      </c>
      <c r="AL16" s="10">
        <f>IFERROR(求节点(节奏总纲!S$4:S$363,AE$11:AE$370,$AC16),0)</f>
        <v>0</v>
      </c>
      <c r="AM16" s="10">
        <f>IFERROR(求节点(节奏总纲!T$4:T$363,AF$11:AF$370,$AC16),0)</f>
        <v>0</v>
      </c>
      <c r="AN16" s="10">
        <f>IFERROR(求节点(节奏总纲!U$4:U$363,AG$11:AG$370,$AC16),0)</f>
        <v>0</v>
      </c>
      <c r="AO16" s="10">
        <f>IFERROR(求节点(节奏总纲!V$4:V$363,AH$11:AH$370,$AC16),0)</f>
        <v>0</v>
      </c>
      <c r="AU16" s="10" t="s">
        <v>183</v>
      </c>
      <c r="AV16" s="10">
        <v>5000</v>
      </c>
      <c r="AW16" s="10">
        <f>AV16*王者铸币!$D$2</f>
        <v>50</v>
      </c>
      <c r="AX16" s="10">
        <v>10</v>
      </c>
      <c r="AZ16" s="10">
        <v>6</v>
      </c>
      <c r="BA16" s="10">
        <f t="shared" si="14"/>
        <v>0</v>
      </c>
      <c r="BB16" s="10">
        <f t="shared" si="15"/>
        <v>0</v>
      </c>
      <c r="BC16" s="10">
        <f t="shared" si="16"/>
        <v>0</v>
      </c>
      <c r="BD16" s="10">
        <f t="shared" si="17"/>
        <v>0</v>
      </c>
      <c r="BE16" s="10">
        <f t="shared" si="18"/>
        <v>0</v>
      </c>
      <c r="BG16" s="10">
        <v>6</v>
      </c>
      <c r="BH16" s="10">
        <f>MAX(节奏总纲!D9-$C$7,0)*C$22*$C$8*($AV$6+$AV$22)/30</f>
        <v>0</v>
      </c>
      <c r="BI16" s="10">
        <f>MAX(节奏总纲!E9-$C$7,0)*D$22*$C$8*($AV$6+$AV$22)/30</f>
        <v>0</v>
      </c>
      <c r="BJ16" s="10">
        <f>MAX(节奏总纲!F9-$C$7,0)*E$22*$C$8*($AV$6+$AV$22)/30</f>
        <v>0</v>
      </c>
      <c r="BK16" s="10">
        <f>MAX(节奏总纲!G9-$C$7,0)*F$22*$C$8*($AV$6+$AV$22)/30</f>
        <v>0</v>
      </c>
      <c r="BL16" s="10">
        <f>MAX(节奏总纲!H9-$C$7,0)*G$22*$C$8*($AV$6+$AV$22)/30</f>
        <v>0</v>
      </c>
      <c r="BX16" s="10">
        <v>6</v>
      </c>
      <c r="BY16" s="10">
        <f t="shared" si="3"/>
        <v>0</v>
      </c>
      <c r="BZ16" s="10">
        <f t="shared" si="3"/>
        <v>0</v>
      </c>
      <c r="CA16" s="10">
        <f t="shared" si="3"/>
        <v>0</v>
      </c>
      <c r="CB16" s="10">
        <f t="shared" si="3"/>
        <v>0</v>
      </c>
      <c r="CC16" s="10">
        <f t="shared" si="3"/>
        <v>0</v>
      </c>
      <c r="CE16" s="10">
        <v>6</v>
      </c>
      <c r="CF16" s="10">
        <f>MAX(节奏总纲!D9-$C$7,0)*INDEX($BU$7:$BU$15,MATCH(BY$10,$BT$7:$BT$15,0))/30</f>
        <v>0</v>
      </c>
      <c r="CG16" s="10">
        <f>MAX(节奏总纲!E9-$C$7,0)*INDEX($BU$7:$BU$15,MATCH(BZ$10,$BT$7:$BT$15,0))/30</f>
        <v>0</v>
      </c>
      <c r="CH16" s="10">
        <f>MAX(节奏总纲!F9-$C$7,0)*INDEX($BU$7:$BU$15,MATCH(CA$10,$BT$7:$BT$15,0))/30</f>
        <v>0</v>
      </c>
      <c r="CI16" s="10">
        <f>MAX(节奏总纲!G9-$C$7,0)*INDEX($BU$7:$BU$15,MATCH(CB$10,$BT$7:$BT$15,0))/30</f>
        <v>0</v>
      </c>
      <c r="CJ16" s="10">
        <f>MAX(节奏总纲!H9-$C$7,0)*INDEX($BU$7:$BU$15,MATCH(CC$10,$BT$7:$BT$15,0))/30</f>
        <v>0</v>
      </c>
    </row>
    <row r="17" spans="2:88" x14ac:dyDescent="0.15">
      <c r="I17" s="2" t="s">
        <v>29</v>
      </c>
      <c r="J17" s="2">
        <f t="shared" si="19"/>
        <v>600</v>
      </c>
      <c r="K17" s="2">
        <f t="shared" si="20"/>
        <v>700</v>
      </c>
      <c r="L17" s="2">
        <v>20</v>
      </c>
      <c r="O17" s="2">
        <v>6</v>
      </c>
      <c r="P17" s="2">
        <f t="shared" si="21"/>
        <v>120</v>
      </c>
      <c r="R17" s="2">
        <v>7</v>
      </c>
      <c r="S17" s="2">
        <f t="shared" si="22"/>
        <v>1400</v>
      </c>
      <c r="T17" s="2">
        <f t="shared" si="23"/>
        <v>2100</v>
      </c>
      <c r="U17" s="2">
        <f t="shared" si="24"/>
        <v>2800</v>
      </c>
      <c r="V17" s="2">
        <f t="shared" si="25"/>
        <v>3500</v>
      </c>
      <c r="W17" s="2">
        <f t="shared" si="26"/>
        <v>4200</v>
      </c>
      <c r="AC17" s="2">
        <v>7</v>
      </c>
      <c r="AD17" s="2">
        <f t="shared" si="9"/>
        <v>0</v>
      </c>
      <c r="AE17" s="2">
        <f t="shared" si="10"/>
        <v>0</v>
      </c>
      <c r="AF17" s="2">
        <f t="shared" si="11"/>
        <v>0</v>
      </c>
      <c r="AG17" s="2">
        <f t="shared" si="12"/>
        <v>0</v>
      </c>
      <c r="AH17" s="2">
        <f t="shared" si="13"/>
        <v>0</v>
      </c>
      <c r="AJ17" s="10">
        <v>7</v>
      </c>
      <c r="AK17" s="10">
        <f>IFERROR(求节点(节奏总纲!R$4:R$363,AD$11:AD$370,$AC17),0)</f>
        <v>0</v>
      </c>
      <c r="AL17" s="10">
        <f>IFERROR(求节点(节奏总纲!S$4:S$363,AE$11:AE$370,$AC17),0)</f>
        <v>0</v>
      </c>
      <c r="AM17" s="10">
        <f>IFERROR(求节点(节奏总纲!T$4:T$363,AF$11:AF$370,$AC17),0)</f>
        <v>0</v>
      </c>
      <c r="AN17" s="10">
        <f>IFERROR(求节点(节奏总纲!U$4:U$363,AG$11:AG$370,$AC17),0)</f>
        <v>0</v>
      </c>
      <c r="AO17" s="10">
        <f>IFERROR(求节点(节奏总纲!V$4:V$363,AH$11:AH$370,$AC17),0)</f>
        <v>0</v>
      </c>
      <c r="AU17" s="10" t="s">
        <v>183</v>
      </c>
      <c r="AV17" s="10">
        <v>10000</v>
      </c>
      <c r="AW17" s="10">
        <f>AV17*王者铸币!$D$2</f>
        <v>100</v>
      </c>
      <c r="AX17" s="10">
        <v>10</v>
      </c>
      <c r="AZ17" s="10">
        <v>7</v>
      </c>
      <c r="BA17" s="10">
        <f t="shared" si="14"/>
        <v>0</v>
      </c>
      <c r="BB17" s="10">
        <f t="shared" si="15"/>
        <v>0</v>
      </c>
      <c r="BC17" s="10">
        <f t="shared" si="16"/>
        <v>0</v>
      </c>
      <c r="BD17" s="10">
        <f t="shared" si="17"/>
        <v>0</v>
      </c>
      <c r="BE17" s="10">
        <f t="shared" si="18"/>
        <v>0</v>
      </c>
      <c r="BG17" s="10">
        <v>7</v>
      </c>
      <c r="BH17" s="10">
        <f>MAX(节奏总纲!D10-$C$7,0)*C$22*$C$8*($AV$6+$AV$22)/30</f>
        <v>0</v>
      </c>
      <c r="BI17" s="10">
        <f>MAX(节奏总纲!E10-$C$7,0)*D$22*$C$8*($AV$6+$AV$22)/30</f>
        <v>0</v>
      </c>
      <c r="BJ17" s="10">
        <f>MAX(节奏总纲!F10-$C$7,0)*E$22*$C$8*($AV$6+$AV$22)/30</f>
        <v>0</v>
      </c>
      <c r="BK17" s="10">
        <f>MAX(节奏总纲!G10-$C$7,0)*F$22*$C$8*($AV$6+$AV$22)/30</f>
        <v>0</v>
      </c>
      <c r="BL17" s="10">
        <f>MAX(节奏总纲!H10-$C$7,0)*G$22*$C$8*($AV$6+$AV$22)/30</f>
        <v>0</v>
      </c>
      <c r="BX17" s="10">
        <v>7</v>
      </c>
      <c r="BY17" s="10">
        <f t="shared" si="3"/>
        <v>0</v>
      </c>
      <c r="BZ17" s="10">
        <f t="shared" si="3"/>
        <v>0</v>
      </c>
      <c r="CA17" s="10">
        <f t="shared" si="3"/>
        <v>0</v>
      </c>
      <c r="CB17" s="10">
        <f t="shared" si="3"/>
        <v>0</v>
      </c>
      <c r="CC17" s="10">
        <f t="shared" si="3"/>
        <v>0</v>
      </c>
      <c r="CE17" s="10">
        <v>7</v>
      </c>
      <c r="CF17" s="10">
        <f>MAX(节奏总纲!D10-$C$7,0)*INDEX($BU$7:$BU$15,MATCH(BY$10,$BT$7:$BT$15,0))/30</f>
        <v>0</v>
      </c>
      <c r="CG17" s="10">
        <f>MAX(节奏总纲!E10-$C$7,0)*INDEX($BU$7:$BU$15,MATCH(BZ$10,$BT$7:$BT$15,0))/30</f>
        <v>0</v>
      </c>
      <c r="CH17" s="10">
        <f>MAX(节奏总纲!F10-$C$7,0)*INDEX($BU$7:$BU$15,MATCH(CA$10,$BT$7:$BT$15,0))/30</f>
        <v>0</v>
      </c>
      <c r="CI17" s="10">
        <f>MAX(节奏总纲!G10-$C$7,0)*INDEX($BU$7:$BU$15,MATCH(CB$10,$BT$7:$BT$15,0))/30</f>
        <v>0</v>
      </c>
      <c r="CJ17" s="10">
        <f>MAX(节奏总纲!H10-$C$7,0)*INDEX($BU$7:$BU$15,MATCH(CC$10,$BT$7:$BT$15,0))/30</f>
        <v>0</v>
      </c>
    </row>
    <row r="18" spans="2:88" x14ac:dyDescent="0.15">
      <c r="B18" s="2" t="s">
        <v>229</v>
      </c>
      <c r="I18" s="2" t="s">
        <v>30</v>
      </c>
      <c r="J18" s="2">
        <f t="shared" si="19"/>
        <v>700</v>
      </c>
      <c r="K18" s="2">
        <f t="shared" si="20"/>
        <v>800</v>
      </c>
      <c r="L18" s="2">
        <v>20</v>
      </c>
      <c r="O18" s="2">
        <v>7</v>
      </c>
      <c r="P18" s="2">
        <f t="shared" si="21"/>
        <v>140</v>
      </c>
      <c r="AC18" s="2">
        <v>8</v>
      </c>
      <c r="AD18" s="2">
        <f t="shared" ref="AD18:AD81" si="27">INDEX($D$30:$D$34,MATCH(C$21,$B$30:$B$34,0))*MAX($AC18-$C$7,0)*$C$8/30</f>
        <v>0</v>
      </c>
      <c r="AE18" s="2">
        <f t="shared" ref="AE18:AE81" si="28">INDEX($D$30:$D$34,MATCH(D$21,$B$30:$B$34,0))*MAX($AC18-$C$7,0)*$C$8/30</f>
        <v>0</v>
      </c>
      <c r="AF18" s="2">
        <f t="shared" ref="AF18:AF81" si="29">INDEX($D$30:$D$34,MATCH(E$21,$B$30:$B$34,0))*MAX($AC18-$C$7,0)*$C$8/30</f>
        <v>0</v>
      </c>
      <c r="AG18" s="2">
        <f t="shared" ref="AG18:AG81" si="30">INDEX($D$30:$D$34,MATCH(F$21,$B$30:$B$34,0))*MAX($AC18-$C$7,0)*$C$8/30</f>
        <v>0</v>
      </c>
      <c r="AH18" s="2">
        <f t="shared" ref="AH18:AH81" si="31">INDEX($D$30:$D$34,MATCH(G$21,$B$30:$B$34,0))*MAX($AC18-$C$7,0)*$C$8/30</f>
        <v>0</v>
      </c>
      <c r="AJ18" s="10">
        <v>8</v>
      </c>
      <c r="AK18" s="10">
        <f>IFERROR(求节点(节奏总纲!R$4:R$363,AD$11:AD$370,$AC18),0)</f>
        <v>0</v>
      </c>
      <c r="AL18" s="10">
        <f>IFERROR(求节点(节奏总纲!S$4:S$363,AE$11:AE$370,$AC18),0)</f>
        <v>0</v>
      </c>
      <c r="AM18" s="10">
        <f>IFERROR(求节点(节奏总纲!T$4:T$363,AF$11:AF$370,$AC18),0)</f>
        <v>0</v>
      </c>
      <c r="AN18" s="10">
        <f>IFERROR(求节点(节奏总纲!U$4:U$363,AG$11:AG$370,$AC18),0)</f>
        <v>0</v>
      </c>
      <c r="AO18" s="10">
        <f>IFERROR(求节点(节奏总纲!V$4:V$363,AH$11:AH$370,$AC18),0)</f>
        <v>0</v>
      </c>
      <c r="AZ18" s="10">
        <v>8</v>
      </c>
      <c r="BA18" s="10">
        <f t="shared" si="14"/>
        <v>0</v>
      </c>
      <c r="BB18" s="10">
        <f t="shared" si="15"/>
        <v>0</v>
      </c>
      <c r="BC18" s="10">
        <f t="shared" si="16"/>
        <v>0</v>
      </c>
      <c r="BD18" s="10">
        <f t="shared" si="17"/>
        <v>0</v>
      </c>
      <c r="BE18" s="10">
        <f t="shared" si="18"/>
        <v>0</v>
      </c>
      <c r="BG18" s="10">
        <v>8</v>
      </c>
      <c r="BH18" s="10">
        <f>MAX(节奏总纲!D11-$C$7,0)*C$22*$C$8*($AV$6+$AV$22)/30</f>
        <v>0</v>
      </c>
      <c r="BI18" s="10">
        <f>MAX(节奏总纲!E11-$C$7,0)*D$22*$C$8*($AV$6+$AV$22)/30</f>
        <v>0</v>
      </c>
      <c r="BJ18" s="10">
        <f>MAX(节奏总纲!F11-$C$7,0)*E$22*$C$8*($AV$6+$AV$22)/30</f>
        <v>0</v>
      </c>
      <c r="BK18" s="10">
        <f>MAX(节奏总纲!G11-$C$7,0)*F$22*$C$8*($AV$6+$AV$22)/30</f>
        <v>0</v>
      </c>
      <c r="BL18" s="10">
        <f>MAX(节奏总纲!H11-$C$7,0)*G$22*$C$8*($AV$6+$AV$22)/30</f>
        <v>0</v>
      </c>
      <c r="BX18" s="10">
        <v>8</v>
      </c>
      <c r="BY18" s="10">
        <f t="shared" si="3"/>
        <v>0</v>
      </c>
      <c r="BZ18" s="10">
        <f t="shared" si="3"/>
        <v>0</v>
      </c>
      <c r="CA18" s="10">
        <f t="shared" si="3"/>
        <v>0</v>
      </c>
      <c r="CB18" s="10">
        <f t="shared" si="3"/>
        <v>0</v>
      </c>
      <c r="CC18" s="10">
        <f t="shared" si="3"/>
        <v>0</v>
      </c>
      <c r="CE18" s="10">
        <v>8</v>
      </c>
      <c r="CF18" s="10">
        <f>MAX(节奏总纲!D11-$C$7,0)*INDEX($BU$7:$BU$15,MATCH(BY$10,$BT$7:$BT$15,0))/30</f>
        <v>0</v>
      </c>
      <c r="CG18" s="10">
        <f>MAX(节奏总纲!E11-$C$7,0)*INDEX($BU$7:$BU$15,MATCH(BZ$10,$BT$7:$BT$15,0))/30</f>
        <v>0</v>
      </c>
      <c r="CH18" s="10">
        <f>MAX(节奏总纲!F11-$C$7,0)*INDEX($BU$7:$BU$15,MATCH(CA$10,$BT$7:$BT$15,0))/30</f>
        <v>0</v>
      </c>
      <c r="CI18" s="10">
        <f>MAX(节奏总纲!G11-$C$7,0)*INDEX($BU$7:$BU$15,MATCH(CB$10,$BT$7:$BT$15,0))/30</f>
        <v>0</v>
      </c>
      <c r="CJ18" s="10">
        <f>MAX(节奏总纲!H11-$C$7,0)*INDEX($BU$7:$BU$15,MATCH(CC$10,$BT$7:$BT$15,0))/30</f>
        <v>0</v>
      </c>
    </row>
    <row r="19" spans="2:88" x14ac:dyDescent="0.15">
      <c r="B19" s="2" t="s">
        <v>47</v>
      </c>
      <c r="C19" s="2" t="s">
        <v>0</v>
      </c>
      <c r="D19" s="2" t="s">
        <v>1</v>
      </c>
      <c r="E19" s="2" t="s">
        <v>2</v>
      </c>
      <c r="F19" s="2" t="s">
        <v>3</v>
      </c>
      <c r="G19" s="2" t="s">
        <v>4</v>
      </c>
      <c r="I19" s="2" t="s">
        <v>31</v>
      </c>
      <c r="J19" s="2">
        <f t="shared" si="19"/>
        <v>800</v>
      </c>
      <c r="K19" s="2">
        <f t="shared" si="20"/>
        <v>900</v>
      </c>
      <c r="L19" s="2">
        <v>20</v>
      </c>
      <c r="O19" s="2">
        <v>8</v>
      </c>
      <c r="P19" s="2">
        <f t="shared" si="21"/>
        <v>160</v>
      </c>
      <c r="AC19" s="2">
        <v>9</v>
      </c>
      <c r="AD19" s="2">
        <f t="shared" si="27"/>
        <v>0</v>
      </c>
      <c r="AE19" s="2">
        <f t="shared" si="28"/>
        <v>0</v>
      </c>
      <c r="AF19" s="2">
        <f t="shared" si="29"/>
        <v>0</v>
      </c>
      <c r="AG19" s="2">
        <f t="shared" si="30"/>
        <v>0</v>
      </c>
      <c r="AH19" s="2">
        <f t="shared" si="31"/>
        <v>0</v>
      </c>
      <c r="AJ19" s="10">
        <v>9</v>
      </c>
      <c r="AK19" s="10">
        <f>IFERROR(求节点(节奏总纲!R$4:R$363,AD$11:AD$370,$AC19),0)</f>
        <v>0</v>
      </c>
      <c r="AL19" s="10">
        <f>IFERROR(求节点(节奏总纲!S$4:S$363,AE$11:AE$370,$AC19),0)</f>
        <v>0</v>
      </c>
      <c r="AM19" s="10">
        <f>IFERROR(求节点(节奏总纲!T$4:T$363,AF$11:AF$370,$AC19),0)</f>
        <v>0</v>
      </c>
      <c r="AN19" s="10">
        <f>IFERROR(求节点(节奏总纲!U$4:U$363,AG$11:AG$370,$AC19),0)</f>
        <v>0</v>
      </c>
      <c r="AO19" s="10">
        <f>IFERROR(求节点(节奏总纲!V$4:V$363,AH$11:AH$370,$AC19),0)</f>
        <v>0</v>
      </c>
      <c r="AZ19" s="10">
        <v>9</v>
      </c>
      <c r="BA19" s="10">
        <f t="shared" si="14"/>
        <v>0</v>
      </c>
      <c r="BB19" s="10">
        <f t="shared" si="15"/>
        <v>0</v>
      </c>
      <c r="BC19" s="10">
        <f t="shared" si="16"/>
        <v>0</v>
      </c>
      <c r="BD19" s="10">
        <f t="shared" si="17"/>
        <v>0</v>
      </c>
      <c r="BE19" s="10">
        <f t="shared" si="18"/>
        <v>0</v>
      </c>
      <c r="BG19" s="10">
        <v>9</v>
      </c>
      <c r="BH19" s="10">
        <f>MAX(节奏总纲!D12-$C$7,0)*C$22*$C$8*($AV$6+$AV$22)/30</f>
        <v>0</v>
      </c>
      <c r="BI19" s="10">
        <f>MAX(节奏总纲!E12-$C$7,0)*D$22*$C$8*($AV$6+$AV$22)/30</f>
        <v>0</v>
      </c>
      <c r="BJ19" s="10">
        <f>MAX(节奏总纲!F12-$C$7,0)*E$22*$C$8*($AV$6+$AV$22)/30</f>
        <v>0</v>
      </c>
      <c r="BK19" s="10">
        <f>MAX(节奏总纲!G12-$C$7,0)*F$22*$C$8*($AV$6+$AV$22)/30</f>
        <v>0</v>
      </c>
      <c r="BL19" s="10">
        <f>MAX(节奏总纲!H12-$C$7,0)*G$22*$C$8*($AV$6+$AV$22)/30</f>
        <v>0</v>
      </c>
      <c r="BX19" s="10">
        <v>9</v>
      </c>
      <c r="BY19" s="10">
        <f t="shared" si="3"/>
        <v>0</v>
      </c>
      <c r="BZ19" s="10">
        <f t="shared" si="3"/>
        <v>0</v>
      </c>
      <c r="CA19" s="10">
        <f t="shared" si="3"/>
        <v>0</v>
      </c>
      <c r="CB19" s="10">
        <f t="shared" si="3"/>
        <v>0</v>
      </c>
      <c r="CC19" s="10">
        <f t="shared" si="3"/>
        <v>0</v>
      </c>
      <c r="CE19" s="10">
        <v>9</v>
      </c>
      <c r="CF19" s="10">
        <f>MAX(节奏总纲!D12-$C$7,0)*INDEX($BU$7:$BU$15,MATCH(BY$10,$BT$7:$BT$15,0))/30</f>
        <v>0</v>
      </c>
      <c r="CG19" s="10">
        <f>MAX(节奏总纲!E12-$C$7,0)*INDEX($BU$7:$BU$15,MATCH(BZ$10,$BT$7:$BT$15,0))/30</f>
        <v>0</v>
      </c>
      <c r="CH19" s="10">
        <f>MAX(节奏总纲!F12-$C$7,0)*INDEX($BU$7:$BU$15,MATCH(CA$10,$BT$7:$BT$15,0))/30</f>
        <v>0</v>
      </c>
      <c r="CI19" s="10">
        <f>MAX(节奏总纲!G12-$C$7,0)*INDEX($BU$7:$BU$15,MATCH(CB$10,$BT$7:$BT$15,0))/30</f>
        <v>0</v>
      </c>
      <c r="CJ19" s="10">
        <f>MAX(节奏总纲!H12-$C$7,0)*INDEX($BU$7:$BU$15,MATCH(CC$10,$BT$7:$BT$15,0))/30</f>
        <v>0</v>
      </c>
    </row>
    <row r="20" spans="2:88" x14ac:dyDescent="0.15">
      <c r="B20" s="2" t="s">
        <v>48</v>
      </c>
      <c r="C20" s="2">
        <v>10</v>
      </c>
      <c r="D20" s="2">
        <v>10</v>
      </c>
      <c r="E20" s="2">
        <v>10</v>
      </c>
      <c r="F20" s="2">
        <v>10</v>
      </c>
      <c r="G20" s="2">
        <v>10</v>
      </c>
      <c r="I20" s="2" t="s">
        <v>32</v>
      </c>
      <c r="J20" s="2">
        <f t="shared" si="19"/>
        <v>900</v>
      </c>
      <c r="K20" s="2">
        <f t="shared" si="20"/>
        <v>1000</v>
      </c>
      <c r="L20" s="2">
        <v>20</v>
      </c>
      <c r="O20" s="2">
        <v>9</v>
      </c>
      <c r="P20" s="2">
        <f t="shared" si="21"/>
        <v>180</v>
      </c>
      <c r="AC20" s="2">
        <v>10</v>
      </c>
      <c r="AD20" s="2">
        <f t="shared" si="27"/>
        <v>0</v>
      </c>
      <c r="AE20" s="2">
        <f t="shared" si="28"/>
        <v>0</v>
      </c>
      <c r="AF20" s="2">
        <f t="shared" si="29"/>
        <v>0</v>
      </c>
      <c r="AG20" s="2">
        <f t="shared" si="30"/>
        <v>0</v>
      </c>
      <c r="AH20" s="2">
        <f t="shared" si="31"/>
        <v>0</v>
      </c>
      <c r="AJ20" s="10">
        <v>10</v>
      </c>
      <c r="AK20" s="10">
        <f>IFERROR(求节点(节奏总纲!R$4:R$363,AD$11:AD$370,$AC20),0)</f>
        <v>0</v>
      </c>
      <c r="AL20" s="10">
        <f>IFERROR(求节点(节奏总纲!S$4:S$363,AE$11:AE$370,$AC20),0)</f>
        <v>0</v>
      </c>
      <c r="AM20" s="10">
        <f>IFERROR(求节点(节奏总纲!T$4:T$363,AF$11:AF$370,$AC20),0)</f>
        <v>0</v>
      </c>
      <c r="AN20" s="10">
        <f>IFERROR(求节点(节奏总纲!U$4:U$363,AG$11:AG$370,$AC20),0)</f>
        <v>0</v>
      </c>
      <c r="AO20" s="10">
        <f>IFERROR(求节点(节奏总纲!V$4:V$363,AH$11:AH$370,$AC20),0)</f>
        <v>0</v>
      </c>
      <c r="AZ20" s="10">
        <v>10</v>
      </c>
      <c r="BA20" s="10">
        <f t="shared" si="14"/>
        <v>0</v>
      </c>
      <c r="BB20" s="10">
        <f t="shared" si="15"/>
        <v>0</v>
      </c>
      <c r="BC20" s="10">
        <f t="shared" si="16"/>
        <v>0</v>
      </c>
      <c r="BD20" s="10">
        <f t="shared" si="17"/>
        <v>0</v>
      </c>
      <c r="BE20" s="10">
        <f t="shared" si="18"/>
        <v>0</v>
      </c>
      <c r="BG20" s="10">
        <v>10</v>
      </c>
      <c r="BH20" s="10">
        <f>MAX(节奏总纲!D13-$C$7,0)*C$22*$C$8*($AV$6+$AV$22)/30</f>
        <v>0</v>
      </c>
      <c r="BI20" s="10">
        <f>MAX(节奏总纲!E13-$C$7,0)*D$22*$C$8*($AV$6+$AV$22)/30</f>
        <v>0</v>
      </c>
      <c r="BJ20" s="10">
        <f>MAX(节奏总纲!F13-$C$7,0)*E$22*$C$8*($AV$6+$AV$22)/30</f>
        <v>0</v>
      </c>
      <c r="BK20" s="10">
        <f>MAX(节奏总纲!G13-$C$7,0)*F$22*$C$8*($AV$6+$AV$22)/30</f>
        <v>0</v>
      </c>
      <c r="BL20" s="10">
        <f>MAX(节奏总纲!H13-$C$7,0)*G$22*$C$8*($AV$6+$AV$22)/30</f>
        <v>0</v>
      </c>
      <c r="BX20" s="10">
        <v>10</v>
      </c>
      <c r="BY20" s="10">
        <f t="shared" si="3"/>
        <v>0</v>
      </c>
      <c r="BZ20" s="10">
        <f t="shared" si="3"/>
        <v>0</v>
      </c>
      <c r="CA20" s="10">
        <f t="shared" si="3"/>
        <v>0</v>
      </c>
      <c r="CB20" s="10">
        <f t="shared" si="3"/>
        <v>0</v>
      </c>
      <c r="CC20" s="10">
        <f t="shared" si="3"/>
        <v>0</v>
      </c>
      <c r="CE20" s="10">
        <v>10</v>
      </c>
      <c r="CF20" s="10">
        <f>MAX(节奏总纲!D13-$C$7,0)*INDEX($BU$7:$BU$15,MATCH(BY$10,$BT$7:$BT$15,0))/30</f>
        <v>0</v>
      </c>
      <c r="CG20" s="10">
        <f>MAX(节奏总纲!E13-$C$7,0)*INDEX($BU$7:$BU$15,MATCH(BZ$10,$BT$7:$BT$15,0))/30</f>
        <v>0</v>
      </c>
      <c r="CH20" s="10">
        <f>MAX(节奏总纲!F13-$C$7,0)*INDEX($BU$7:$BU$15,MATCH(CA$10,$BT$7:$BT$15,0))/30</f>
        <v>0</v>
      </c>
      <c r="CI20" s="10">
        <f>MAX(节奏总纲!G13-$C$7,0)*INDEX($BU$7:$BU$15,MATCH(CB$10,$BT$7:$BT$15,0))/30</f>
        <v>0</v>
      </c>
      <c r="CJ20" s="10">
        <f>MAX(节奏总纲!H13-$C$7,0)*INDEX($BU$7:$BU$15,MATCH(CC$10,$BT$7:$BT$15,0))/30</f>
        <v>0</v>
      </c>
    </row>
    <row r="21" spans="2:88" x14ac:dyDescent="0.15">
      <c r="B21" s="2" t="s">
        <v>49</v>
      </c>
      <c r="C21" s="2">
        <v>0</v>
      </c>
      <c r="D21" s="2">
        <v>5</v>
      </c>
      <c r="E21" s="2">
        <v>10</v>
      </c>
      <c r="F21" s="2">
        <v>15</v>
      </c>
      <c r="G21" s="2">
        <v>20</v>
      </c>
      <c r="I21" s="2" t="s">
        <v>35</v>
      </c>
      <c r="J21" s="2">
        <f t="shared" si="19"/>
        <v>1000</v>
      </c>
      <c r="K21" s="2">
        <f>K20+200</f>
        <v>1200</v>
      </c>
      <c r="L21" s="2">
        <v>20</v>
      </c>
      <c r="O21" s="2">
        <v>10</v>
      </c>
      <c r="P21" s="2">
        <f t="shared" si="21"/>
        <v>200</v>
      </c>
      <c r="AC21" s="2">
        <v>11</v>
      </c>
      <c r="AD21" s="2">
        <f t="shared" si="27"/>
        <v>0</v>
      </c>
      <c r="AE21" s="2">
        <f t="shared" si="28"/>
        <v>0</v>
      </c>
      <c r="AF21" s="2">
        <f t="shared" si="29"/>
        <v>0</v>
      </c>
      <c r="AG21" s="2">
        <f t="shared" si="30"/>
        <v>0</v>
      </c>
      <c r="AH21" s="2">
        <f t="shared" si="31"/>
        <v>0</v>
      </c>
      <c r="AJ21" s="10">
        <v>11</v>
      </c>
      <c r="AK21" s="10">
        <f>IFERROR(求节点(节奏总纲!R$4:R$363,AD$11:AD$370,$AC21),0)</f>
        <v>0</v>
      </c>
      <c r="AL21" s="10">
        <f>IFERROR(求节点(节奏总纲!S$4:S$363,AE$11:AE$370,$AC21),0)</f>
        <v>0</v>
      </c>
      <c r="AM21" s="10">
        <f>IFERROR(求节点(节奏总纲!T$4:T$363,AF$11:AF$370,$AC21),0)</f>
        <v>0</v>
      </c>
      <c r="AN21" s="10">
        <f>IFERROR(求节点(节奏总纲!U$4:U$363,AG$11:AG$370,$AC21),0)</f>
        <v>0</v>
      </c>
      <c r="AO21" s="10">
        <f>IFERROR(求节点(节奏总纲!V$4:V$363,AH$11:AH$370,$AC21),0)</f>
        <v>0</v>
      </c>
      <c r="AZ21" s="10">
        <v>11</v>
      </c>
      <c r="BA21" s="10">
        <f t="shared" si="14"/>
        <v>0</v>
      </c>
      <c r="BB21" s="10">
        <f t="shared" si="15"/>
        <v>0</v>
      </c>
      <c r="BC21" s="10">
        <f t="shared" si="16"/>
        <v>0</v>
      </c>
      <c r="BD21" s="10">
        <f t="shared" si="17"/>
        <v>0</v>
      </c>
      <c r="BE21" s="10">
        <f t="shared" si="18"/>
        <v>0</v>
      </c>
      <c r="BG21" s="10">
        <v>11</v>
      </c>
      <c r="BH21" s="10">
        <f>MAX(节奏总纲!D14-$C$7,0)*C$22*$C$8*($AV$6+$AV$22)/30</f>
        <v>0</v>
      </c>
      <c r="BI21" s="10">
        <f>MAX(节奏总纲!E14-$C$7,0)*D$22*$C$8*($AV$6+$AV$22)/30</f>
        <v>0</v>
      </c>
      <c r="BJ21" s="10">
        <f>MAX(节奏总纲!F14-$C$7,0)*E$22*$C$8*($AV$6+$AV$22)/30</f>
        <v>0</v>
      </c>
      <c r="BK21" s="10">
        <f>MAX(节奏总纲!G14-$C$7,0)*F$22*$C$8*($AV$6+$AV$22)/30</f>
        <v>0</v>
      </c>
      <c r="BL21" s="10">
        <f>MAX(节奏总纲!H14-$C$7,0)*G$22*$C$8*($AV$6+$AV$22)/30</f>
        <v>0</v>
      </c>
      <c r="BX21" s="10">
        <v>11</v>
      </c>
      <c r="BY21" s="10">
        <f t="shared" ref="BY21:CC30" si="32">MAX($BX21-$C$7,0)*INDEX($BU$7:$BU$15,MATCH(BY$10,$BT$7:$BT$15,0))/30</f>
        <v>0</v>
      </c>
      <c r="BZ21" s="10">
        <f t="shared" si="32"/>
        <v>0</v>
      </c>
      <c r="CA21" s="10">
        <f t="shared" si="32"/>
        <v>0</v>
      </c>
      <c r="CB21" s="10">
        <f t="shared" si="32"/>
        <v>0</v>
      </c>
      <c r="CC21" s="10">
        <f t="shared" si="32"/>
        <v>0</v>
      </c>
      <c r="CE21" s="10">
        <v>11</v>
      </c>
      <c r="CF21" s="10">
        <f>MAX(节奏总纲!D14-$C$7,0)*INDEX($BU$7:$BU$15,MATCH(BY$10,$BT$7:$BT$15,0))/30</f>
        <v>0</v>
      </c>
      <c r="CG21" s="10">
        <f>MAX(节奏总纲!E14-$C$7,0)*INDEX($BU$7:$BU$15,MATCH(BZ$10,$BT$7:$BT$15,0))/30</f>
        <v>0</v>
      </c>
      <c r="CH21" s="10">
        <f>MAX(节奏总纲!F14-$C$7,0)*INDEX($BU$7:$BU$15,MATCH(CA$10,$BT$7:$BT$15,0))/30</f>
        <v>0</v>
      </c>
      <c r="CI21" s="10">
        <f>MAX(节奏总纲!G14-$C$7,0)*INDEX($BU$7:$BU$15,MATCH(CB$10,$BT$7:$BT$15,0))/30</f>
        <v>0</v>
      </c>
      <c r="CJ21" s="10">
        <f>MAX(节奏总纲!H14-$C$7,0)*INDEX($BU$7:$BU$15,MATCH(CC$10,$BT$7:$BT$15,0))/30</f>
        <v>0</v>
      </c>
    </row>
    <row r="22" spans="2:88" x14ac:dyDescent="0.15">
      <c r="B22" s="2" t="s">
        <v>92</v>
      </c>
      <c r="C22" s="2">
        <f>C20+C21</f>
        <v>10</v>
      </c>
      <c r="D22" s="2">
        <f t="shared" ref="D22:G22" si="33">D20+D21</f>
        <v>15</v>
      </c>
      <c r="E22" s="2">
        <f t="shared" si="33"/>
        <v>20</v>
      </c>
      <c r="F22" s="2">
        <f t="shared" si="33"/>
        <v>25</v>
      </c>
      <c r="G22" s="2">
        <f t="shared" si="33"/>
        <v>30</v>
      </c>
      <c r="I22" s="2" t="s">
        <v>36</v>
      </c>
      <c r="J22" s="2">
        <f>J21+200</f>
        <v>1200</v>
      </c>
      <c r="K22" s="2">
        <f t="shared" ref="K22:K25" si="34">K21+200</f>
        <v>1400</v>
      </c>
      <c r="L22" s="2">
        <v>20</v>
      </c>
      <c r="O22" s="2">
        <v>11</v>
      </c>
      <c r="P22" s="2">
        <f t="shared" si="21"/>
        <v>220</v>
      </c>
      <c r="AC22" s="2">
        <v>12</v>
      </c>
      <c r="AD22" s="2">
        <f t="shared" si="27"/>
        <v>0</v>
      </c>
      <c r="AE22" s="2">
        <f t="shared" si="28"/>
        <v>0</v>
      </c>
      <c r="AF22" s="2">
        <f t="shared" si="29"/>
        <v>0</v>
      </c>
      <c r="AG22" s="2">
        <f t="shared" si="30"/>
        <v>0</v>
      </c>
      <c r="AH22" s="2">
        <f t="shared" si="31"/>
        <v>0</v>
      </c>
      <c r="AJ22" s="10">
        <v>12</v>
      </c>
      <c r="AK22" s="10">
        <f>IFERROR(求节点(节奏总纲!R$4:R$363,AD$11:AD$370,$AC22),0)</f>
        <v>0</v>
      </c>
      <c r="AL22" s="10">
        <f>IFERROR(求节点(节奏总纲!S$4:S$363,AE$11:AE$370,$AC22),0)</f>
        <v>0</v>
      </c>
      <c r="AM22" s="10">
        <f>IFERROR(求节点(节奏总纲!T$4:T$363,AF$11:AF$370,$AC22),0)</f>
        <v>0</v>
      </c>
      <c r="AN22" s="10">
        <f>IFERROR(求节点(节奏总纲!U$4:U$363,AG$11:AG$370,$AC22),0)</f>
        <v>0</v>
      </c>
      <c r="AO22" s="10">
        <f>IFERROR(求节点(节奏总纲!V$4:V$363,AH$11:AH$370,$AC22),0)</f>
        <v>0</v>
      </c>
      <c r="AT22" s="13" t="s">
        <v>185</v>
      </c>
      <c r="AV22" s="10">
        <f>SUMPRODUCT(AV14:AV21,AX14:AX21)/SUM(AX14:AX21)</f>
        <v>2600</v>
      </c>
      <c r="AW22" s="10">
        <f>SUMPRODUCT(AW14:AW21,AX14:AX21)/SUM(AX14:AX21)</f>
        <v>26</v>
      </c>
      <c r="AZ22" s="10">
        <v>12</v>
      </c>
      <c r="BA22" s="10">
        <f t="shared" si="14"/>
        <v>0</v>
      </c>
      <c r="BB22" s="10">
        <f t="shared" si="15"/>
        <v>0</v>
      </c>
      <c r="BC22" s="10">
        <f t="shared" si="16"/>
        <v>0</v>
      </c>
      <c r="BD22" s="10">
        <f t="shared" si="17"/>
        <v>0</v>
      </c>
      <c r="BE22" s="10">
        <f t="shared" si="18"/>
        <v>0</v>
      </c>
      <c r="BG22" s="10">
        <v>12</v>
      </c>
      <c r="BH22" s="10">
        <f>MAX(节奏总纲!D15-$C$7,0)*C$22*$C$8*($AV$6+$AV$22)/30</f>
        <v>0</v>
      </c>
      <c r="BI22" s="10">
        <f>MAX(节奏总纲!E15-$C$7,0)*D$22*$C$8*($AV$6+$AV$22)/30</f>
        <v>0</v>
      </c>
      <c r="BJ22" s="10">
        <f>MAX(节奏总纲!F15-$C$7,0)*E$22*$C$8*($AV$6+$AV$22)/30</f>
        <v>0</v>
      </c>
      <c r="BK22" s="10">
        <f>MAX(节奏总纲!G15-$C$7,0)*F$22*$C$8*($AV$6+$AV$22)/30</f>
        <v>0</v>
      </c>
      <c r="BL22" s="10">
        <f>MAX(节奏总纲!H15-$C$7,0)*G$22*$C$8*($AV$6+$AV$22)/30</f>
        <v>0</v>
      </c>
      <c r="BX22" s="10">
        <v>12</v>
      </c>
      <c r="BY22" s="10">
        <f t="shared" si="32"/>
        <v>0</v>
      </c>
      <c r="BZ22" s="10">
        <f t="shared" si="32"/>
        <v>0</v>
      </c>
      <c r="CA22" s="10">
        <f t="shared" si="32"/>
        <v>0</v>
      </c>
      <c r="CB22" s="10">
        <f t="shared" si="32"/>
        <v>0</v>
      </c>
      <c r="CC22" s="10">
        <f t="shared" si="32"/>
        <v>0</v>
      </c>
      <c r="CE22" s="10">
        <v>12</v>
      </c>
      <c r="CF22" s="10">
        <f>MAX(节奏总纲!D15-$C$7,0)*INDEX($BU$7:$BU$15,MATCH(BY$10,$BT$7:$BT$15,0))/30</f>
        <v>0</v>
      </c>
      <c r="CG22" s="10">
        <f>MAX(节奏总纲!E15-$C$7,0)*INDEX($BU$7:$BU$15,MATCH(BZ$10,$BT$7:$BT$15,0))/30</f>
        <v>0</v>
      </c>
      <c r="CH22" s="10">
        <f>MAX(节奏总纲!F15-$C$7,0)*INDEX($BU$7:$BU$15,MATCH(CA$10,$BT$7:$BT$15,0))/30</f>
        <v>0</v>
      </c>
      <c r="CI22" s="10">
        <f>MAX(节奏总纲!G15-$C$7,0)*INDEX($BU$7:$BU$15,MATCH(CB$10,$BT$7:$BT$15,0))/30</f>
        <v>0</v>
      </c>
      <c r="CJ22" s="10">
        <f>MAX(节奏总纲!H15-$C$7,0)*INDEX($BU$7:$BU$15,MATCH(CC$10,$BT$7:$BT$15,0))/30</f>
        <v>0</v>
      </c>
    </row>
    <row r="23" spans="2:88" x14ac:dyDescent="0.15">
      <c r="I23" s="2" t="s">
        <v>37</v>
      </c>
      <c r="J23" s="2">
        <f t="shared" ref="J23:J26" si="35">J22+200</f>
        <v>1400</v>
      </c>
      <c r="K23" s="2">
        <f t="shared" si="34"/>
        <v>1600</v>
      </c>
      <c r="L23" s="2">
        <v>20</v>
      </c>
      <c r="O23" s="2">
        <v>12</v>
      </c>
      <c r="P23" s="2">
        <f t="shared" si="21"/>
        <v>240</v>
      </c>
      <c r="AC23" s="2">
        <v>13</v>
      </c>
      <c r="AD23" s="2">
        <f t="shared" si="27"/>
        <v>0</v>
      </c>
      <c r="AE23" s="2">
        <f t="shared" si="28"/>
        <v>0</v>
      </c>
      <c r="AF23" s="2">
        <f t="shared" si="29"/>
        <v>0</v>
      </c>
      <c r="AG23" s="2">
        <f t="shared" si="30"/>
        <v>0</v>
      </c>
      <c r="AH23" s="2">
        <f t="shared" si="31"/>
        <v>0</v>
      </c>
      <c r="AJ23" s="10">
        <v>13</v>
      </c>
      <c r="AK23" s="10">
        <f>IFERROR(求节点(节奏总纲!R$4:R$363,AD$11:AD$370,$AC23),0)</f>
        <v>0</v>
      </c>
      <c r="AL23" s="10">
        <f>IFERROR(求节点(节奏总纲!S$4:S$363,AE$11:AE$370,$AC23),0)</f>
        <v>0</v>
      </c>
      <c r="AM23" s="10">
        <f>IFERROR(求节点(节奏总纲!T$4:T$363,AF$11:AF$370,$AC23),0)</f>
        <v>0</v>
      </c>
      <c r="AN23" s="10">
        <f>IFERROR(求节点(节奏总纲!U$4:U$363,AG$11:AG$370,$AC23),0)</f>
        <v>0</v>
      </c>
      <c r="AO23" s="10">
        <f>IFERROR(求节点(节奏总纲!V$4:V$363,AH$11:AH$370,$AC23),0)</f>
        <v>0</v>
      </c>
      <c r="AZ23" s="10">
        <v>13</v>
      </c>
      <c r="BA23" s="10">
        <f t="shared" si="14"/>
        <v>0</v>
      </c>
      <c r="BB23" s="10">
        <f t="shared" si="15"/>
        <v>0</v>
      </c>
      <c r="BC23" s="10">
        <f t="shared" si="16"/>
        <v>0</v>
      </c>
      <c r="BD23" s="10">
        <f t="shared" si="17"/>
        <v>0</v>
      </c>
      <c r="BE23" s="10">
        <f t="shared" si="18"/>
        <v>0</v>
      </c>
      <c r="BG23" s="10">
        <v>13</v>
      </c>
      <c r="BH23" s="10">
        <f>MAX(节奏总纲!D16-$C$7,0)*C$22*$C$8*($AV$6+$AV$22)/30</f>
        <v>0</v>
      </c>
      <c r="BI23" s="10">
        <f>MAX(节奏总纲!E16-$C$7,0)*D$22*$C$8*($AV$6+$AV$22)/30</f>
        <v>0</v>
      </c>
      <c r="BJ23" s="10">
        <f>MAX(节奏总纲!F16-$C$7,0)*E$22*$C$8*($AV$6+$AV$22)/30</f>
        <v>0</v>
      </c>
      <c r="BK23" s="10">
        <f>MAX(节奏总纲!G16-$C$7,0)*F$22*$C$8*($AV$6+$AV$22)/30</f>
        <v>0</v>
      </c>
      <c r="BL23" s="10">
        <f>MAX(节奏总纲!H16-$C$7,0)*G$22*$C$8*($AV$6+$AV$22)/30</f>
        <v>0</v>
      </c>
      <c r="BX23" s="10">
        <v>13</v>
      </c>
      <c r="BY23" s="10">
        <f t="shared" si="32"/>
        <v>0</v>
      </c>
      <c r="BZ23" s="10">
        <f t="shared" si="32"/>
        <v>0</v>
      </c>
      <c r="CA23" s="10">
        <f t="shared" si="32"/>
        <v>0</v>
      </c>
      <c r="CB23" s="10">
        <f t="shared" si="32"/>
        <v>0</v>
      </c>
      <c r="CC23" s="10">
        <f t="shared" si="32"/>
        <v>0</v>
      </c>
      <c r="CE23" s="10">
        <v>13</v>
      </c>
      <c r="CF23" s="10">
        <f>MAX(节奏总纲!D16-$C$7,0)*INDEX($BU$7:$BU$15,MATCH(BY$10,$BT$7:$BT$15,0))/30</f>
        <v>0</v>
      </c>
      <c r="CG23" s="10">
        <f>MAX(节奏总纲!E16-$C$7,0)*INDEX($BU$7:$BU$15,MATCH(BZ$10,$BT$7:$BT$15,0))/30</f>
        <v>0</v>
      </c>
      <c r="CH23" s="10">
        <f>MAX(节奏总纲!F16-$C$7,0)*INDEX($BU$7:$BU$15,MATCH(CA$10,$BT$7:$BT$15,0))/30</f>
        <v>0</v>
      </c>
      <c r="CI23" s="10">
        <f>MAX(节奏总纲!G16-$C$7,0)*INDEX($BU$7:$BU$15,MATCH(CB$10,$BT$7:$BT$15,0))/30</f>
        <v>0</v>
      </c>
      <c r="CJ23" s="10">
        <f>MAX(节奏总纲!H16-$C$7,0)*INDEX($BU$7:$BU$15,MATCH(CC$10,$BT$7:$BT$15,0))/30</f>
        <v>0</v>
      </c>
    </row>
    <row r="24" spans="2:88" x14ac:dyDescent="0.15">
      <c r="I24" s="2" t="s">
        <v>38</v>
      </c>
      <c r="J24" s="2">
        <f t="shared" si="35"/>
        <v>1600</v>
      </c>
      <c r="K24" s="2">
        <f t="shared" si="34"/>
        <v>1800</v>
      </c>
      <c r="L24" s="2">
        <v>20</v>
      </c>
      <c r="O24" s="2">
        <v>13</v>
      </c>
      <c r="P24" s="2">
        <f t="shared" si="21"/>
        <v>260</v>
      </c>
      <c r="AC24" s="2">
        <v>14</v>
      </c>
      <c r="AD24" s="2">
        <f t="shared" si="27"/>
        <v>0</v>
      </c>
      <c r="AE24" s="2">
        <f t="shared" si="28"/>
        <v>0</v>
      </c>
      <c r="AF24" s="2">
        <f t="shared" si="29"/>
        <v>0</v>
      </c>
      <c r="AG24" s="2">
        <f t="shared" si="30"/>
        <v>0</v>
      </c>
      <c r="AH24" s="2">
        <f t="shared" si="31"/>
        <v>0</v>
      </c>
      <c r="AJ24" s="10">
        <v>14</v>
      </c>
      <c r="AK24" s="10">
        <f>IFERROR(求节点(节奏总纲!R$4:R$363,AD$11:AD$370,$AC24),0)</f>
        <v>0</v>
      </c>
      <c r="AL24" s="10">
        <f>IFERROR(求节点(节奏总纲!S$4:S$363,AE$11:AE$370,$AC24),0)</f>
        <v>0</v>
      </c>
      <c r="AM24" s="10">
        <f>IFERROR(求节点(节奏总纲!T$4:T$363,AF$11:AF$370,$AC24),0)</f>
        <v>0</v>
      </c>
      <c r="AN24" s="10">
        <f>IFERROR(求节点(节奏总纲!U$4:U$363,AG$11:AG$370,$AC24),0)</f>
        <v>0</v>
      </c>
      <c r="AO24" s="10">
        <f>IFERROR(求节点(节奏总纲!V$4:V$363,AH$11:AH$370,$AC24),0)</f>
        <v>0</v>
      </c>
      <c r="AZ24" s="10">
        <v>14</v>
      </c>
      <c r="BA24" s="10">
        <f t="shared" si="14"/>
        <v>0</v>
      </c>
      <c r="BB24" s="10">
        <f t="shared" si="15"/>
        <v>0</v>
      </c>
      <c r="BC24" s="10">
        <f t="shared" si="16"/>
        <v>0</v>
      </c>
      <c r="BD24" s="10">
        <f t="shared" si="17"/>
        <v>0</v>
      </c>
      <c r="BE24" s="10">
        <f t="shared" si="18"/>
        <v>0</v>
      </c>
      <c r="BG24" s="10">
        <v>14</v>
      </c>
      <c r="BH24" s="10">
        <f>MAX(节奏总纲!D17-$C$7,0)*C$22*$C$8*($AV$6+$AV$22)/30</f>
        <v>0</v>
      </c>
      <c r="BI24" s="10">
        <f>MAX(节奏总纲!E17-$C$7,0)*D$22*$C$8*($AV$6+$AV$22)/30</f>
        <v>0</v>
      </c>
      <c r="BJ24" s="10">
        <f>MAX(节奏总纲!F17-$C$7,0)*E$22*$C$8*($AV$6+$AV$22)/30</f>
        <v>0</v>
      </c>
      <c r="BK24" s="10">
        <f>MAX(节奏总纲!G17-$C$7,0)*F$22*$C$8*($AV$6+$AV$22)/30</f>
        <v>0</v>
      </c>
      <c r="BL24" s="10">
        <f>MAX(节奏总纲!H17-$C$7,0)*G$22*$C$8*($AV$6+$AV$22)/30</f>
        <v>0</v>
      </c>
      <c r="BX24" s="10">
        <v>14</v>
      </c>
      <c r="BY24" s="10">
        <f t="shared" si="32"/>
        <v>0</v>
      </c>
      <c r="BZ24" s="10">
        <f t="shared" si="32"/>
        <v>0</v>
      </c>
      <c r="CA24" s="10">
        <f t="shared" si="32"/>
        <v>0</v>
      </c>
      <c r="CB24" s="10">
        <f t="shared" si="32"/>
        <v>0</v>
      </c>
      <c r="CC24" s="10">
        <f t="shared" si="32"/>
        <v>0</v>
      </c>
      <c r="CE24" s="10">
        <v>14</v>
      </c>
      <c r="CF24" s="10">
        <f>MAX(节奏总纲!D17-$C$7,0)*INDEX($BU$7:$BU$15,MATCH(BY$10,$BT$7:$BT$15,0))/30</f>
        <v>0</v>
      </c>
      <c r="CG24" s="10">
        <f>MAX(节奏总纲!E17-$C$7,0)*INDEX($BU$7:$BU$15,MATCH(BZ$10,$BT$7:$BT$15,0))/30</f>
        <v>0</v>
      </c>
      <c r="CH24" s="10">
        <f>MAX(节奏总纲!F17-$C$7,0)*INDEX($BU$7:$BU$15,MATCH(CA$10,$BT$7:$BT$15,0))/30</f>
        <v>0</v>
      </c>
      <c r="CI24" s="10">
        <f>MAX(节奏总纲!G17-$C$7,0)*INDEX($BU$7:$BU$15,MATCH(CB$10,$BT$7:$BT$15,0))/30</f>
        <v>0</v>
      </c>
      <c r="CJ24" s="10">
        <f>MAX(节奏总纲!H17-$C$7,0)*INDEX($BU$7:$BU$15,MATCH(CC$10,$BT$7:$BT$15,0))/30</f>
        <v>0</v>
      </c>
    </row>
    <row r="25" spans="2:88" x14ac:dyDescent="0.15">
      <c r="I25" s="2" t="s">
        <v>39</v>
      </c>
      <c r="J25" s="2">
        <f t="shared" si="35"/>
        <v>1800</v>
      </c>
      <c r="K25" s="2">
        <f t="shared" si="34"/>
        <v>2000</v>
      </c>
      <c r="L25" s="2">
        <v>20</v>
      </c>
      <c r="O25" s="2">
        <v>14</v>
      </c>
      <c r="P25" s="2">
        <f t="shared" si="21"/>
        <v>280</v>
      </c>
      <c r="AC25" s="2">
        <v>15</v>
      </c>
      <c r="AD25" s="2">
        <f t="shared" si="27"/>
        <v>0</v>
      </c>
      <c r="AE25" s="2">
        <f t="shared" si="28"/>
        <v>0</v>
      </c>
      <c r="AF25" s="2">
        <f t="shared" si="29"/>
        <v>0</v>
      </c>
      <c r="AG25" s="2">
        <f t="shared" si="30"/>
        <v>0</v>
      </c>
      <c r="AH25" s="2">
        <f t="shared" si="31"/>
        <v>0</v>
      </c>
      <c r="AJ25" s="10">
        <v>15</v>
      </c>
      <c r="AK25" s="10">
        <f>IFERROR(求节点(节奏总纲!R$4:R$363,AD$11:AD$370,$AC25),0)</f>
        <v>0</v>
      </c>
      <c r="AL25" s="10">
        <f>IFERROR(求节点(节奏总纲!S$4:S$363,AE$11:AE$370,$AC25),0)</f>
        <v>0</v>
      </c>
      <c r="AM25" s="10">
        <f>IFERROR(求节点(节奏总纲!T$4:T$363,AF$11:AF$370,$AC25),0)</f>
        <v>0</v>
      </c>
      <c r="AN25" s="10">
        <f>IFERROR(求节点(节奏总纲!U$4:U$363,AG$11:AG$370,$AC25),0)</f>
        <v>0</v>
      </c>
      <c r="AO25" s="10">
        <f>IFERROR(求节点(节奏总纲!V$4:V$363,AH$11:AH$370,$AC25),0)</f>
        <v>0</v>
      </c>
      <c r="AZ25" s="10">
        <v>15</v>
      </c>
      <c r="BA25" s="10">
        <f t="shared" si="14"/>
        <v>0</v>
      </c>
      <c r="BB25" s="10">
        <f t="shared" si="15"/>
        <v>0</v>
      </c>
      <c r="BC25" s="10">
        <f t="shared" si="16"/>
        <v>0</v>
      </c>
      <c r="BD25" s="10">
        <f t="shared" si="17"/>
        <v>0</v>
      </c>
      <c r="BE25" s="10">
        <f t="shared" si="18"/>
        <v>0</v>
      </c>
      <c r="BG25" s="10">
        <v>15</v>
      </c>
      <c r="BH25" s="10">
        <f>MAX(节奏总纲!D18-$C$7,0)*C$22*$C$8*($AV$6+$AV$22)/30</f>
        <v>0</v>
      </c>
      <c r="BI25" s="10">
        <f>MAX(节奏总纲!E18-$C$7,0)*D$22*$C$8*($AV$6+$AV$22)/30</f>
        <v>0</v>
      </c>
      <c r="BJ25" s="10">
        <f>MAX(节奏总纲!F18-$C$7,0)*E$22*$C$8*($AV$6+$AV$22)/30</f>
        <v>0</v>
      </c>
      <c r="BK25" s="10">
        <f>MAX(节奏总纲!G18-$C$7,0)*F$22*$C$8*($AV$6+$AV$22)/30</f>
        <v>0</v>
      </c>
      <c r="BL25" s="10">
        <f>MAX(节奏总纲!H18-$C$7,0)*G$22*$C$8*($AV$6+$AV$22)/30</f>
        <v>0</v>
      </c>
      <c r="BX25" s="10">
        <v>15</v>
      </c>
      <c r="BY25" s="10">
        <f t="shared" si="32"/>
        <v>0</v>
      </c>
      <c r="BZ25" s="10">
        <f t="shared" si="32"/>
        <v>0</v>
      </c>
      <c r="CA25" s="10">
        <f t="shared" si="32"/>
        <v>0</v>
      </c>
      <c r="CB25" s="10">
        <f t="shared" si="32"/>
        <v>0</v>
      </c>
      <c r="CC25" s="10">
        <f t="shared" si="32"/>
        <v>0</v>
      </c>
      <c r="CE25" s="10">
        <v>15</v>
      </c>
      <c r="CF25" s="10">
        <f>MAX(节奏总纲!D18-$C$7,0)*INDEX($BU$7:$BU$15,MATCH(BY$10,$BT$7:$BT$15,0))/30</f>
        <v>0</v>
      </c>
      <c r="CG25" s="10">
        <f>MAX(节奏总纲!E18-$C$7,0)*INDEX($BU$7:$BU$15,MATCH(BZ$10,$BT$7:$BT$15,0))/30</f>
        <v>0</v>
      </c>
      <c r="CH25" s="10">
        <f>MAX(节奏总纲!F18-$C$7,0)*INDEX($BU$7:$BU$15,MATCH(CA$10,$BT$7:$BT$15,0))/30</f>
        <v>0</v>
      </c>
      <c r="CI25" s="10">
        <f>MAX(节奏总纲!G18-$C$7,0)*INDEX($BU$7:$BU$15,MATCH(CB$10,$BT$7:$BT$15,0))/30</f>
        <v>0</v>
      </c>
      <c r="CJ25" s="10">
        <f>MAX(节奏总纲!H18-$C$7,0)*INDEX($BU$7:$BU$15,MATCH(CC$10,$BT$7:$BT$15,0))/30</f>
        <v>0</v>
      </c>
    </row>
    <row r="26" spans="2:88" x14ac:dyDescent="0.15">
      <c r="I26" s="2" t="s">
        <v>40</v>
      </c>
      <c r="J26" s="2">
        <f t="shared" si="35"/>
        <v>2000</v>
      </c>
      <c r="K26" s="2">
        <f>K25+500</f>
        <v>2500</v>
      </c>
      <c r="L26" s="2">
        <v>20</v>
      </c>
      <c r="O26" s="2">
        <v>15</v>
      </c>
      <c r="P26" s="2">
        <f t="shared" si="21"/>
        <v>300</v>
      </c>
      <c r="AC26" s="2">
        <v>16</v>
      </c>
      <c r="AD26" s="2">
        <f t="shared" si="27"/>
        <v>0</v>
      </c>
      <c r="AE26" s="2">
        <f t="shared" si="28"/>
        <v>0</v>
      </c>
      <c r="AF26" s="2">
        <f t="shared" si="29"/>
        <v>0</v>
      </c>
      <c r="AG26" s="2">
        <f t="shared" si="30"/>
        <v>0</v>
      </c>
      <c r="AH26" s="2">
        <f t="shared" si="31"/>
        <v>0</v>
      </c>
      <c r="AJ26" s="10">
        <v>16</v>
      </c>
      <c r="AK26" s="10">
        <f>IFERROR(求节点(节奏总纲!R$4:R$363,AD$11:AD$370,$AC26),0)</f>
        <v>0</v>
      </c>
      <c r="AL26" s="10">
        <f>IFERROR(求节点(节奏总纲!S$4:S$363,AE$11:AE$370,$AC26),0)</f>
        <v>0</v>
      </c>
      <c r="AM26" s="10">
        <f>IFERROR(求节点(节奏总纲!T$4:T$363,AF$11:AF$370,$AC26),0)</f>
        <v>0</v>
      </c>
      <c r="AN26" s="10">
        <f>IFERROR(求节点(节奏总纲!U$4:U$363,AG$11:AG$370,$AC26),0)</f>
        <v>0</v>
      </c>
      <c r="AO26" s="10">
        <f>IFERROR(求节点(节奏总纲!V$4:V$363,AH$11:AH$370,$AC26),0)</f>
        <v>0</v>
      </c>
      <c r="AZ26" s="10">
        <v>16</v>
      </c>
      <c r="BA26" s="10">
        <f t="shared" si="14"/>
        <v>0</v>
      </c>
      <c r="BB26" s="10">
        <f t="shared" si="15"/>
        <v>0</v>
      </c>
      <c r="BC26" s="10">
        <f t="shared" si="16"/>
        <v>0</v>
      </c>
      <c r="BD26" s="10">
        <f t="shared" si="17"/>
        <v>0</v>
      </c>
      <c r="BE26" s="10">
        <f t="shared" si="18"/>
        <v>0</v>
      </c>
      <c r="BG26" s="10">
        <v>16</v>
      </c>
      <c r="BH26" s="10">
        <f>MAX(节奏总纲!D19-$C$7,0)*C$22*$C$8*($AV$6+$AV$22)/30</f>
        <v>0</v>
      </c>
      <c r="BI26" s="10">
        <f>MAX(节奏总纲!E19-$C$7,0)*D$22*$C$8*($AV$6+$AV$22)/30</f>
        <v>0</v>
      </c>
      <c r="BJ26" s="10">
        <f>MAX(节奏总纲!F19-$C$7,0)*E$22*$C$8*($AV$6+$AV$22)/30</f>
        <v>0</v>
      </c>
      <c r="BK26" s="10">
        <f>MAX(节奏总纲!G19-$C$7,0)*F$22*$C$8*($AV$6+$AV$22)/30</f>
        <v>0</v>
      </c>
      <c r="BL26" s="10">
        <f>MAX(节奏总纲!H19-$C$7,0)*G$22*$C$8*($AV$6+$AV$22)/30</f>
        <v>0</v>
      </c>
      <c r="BX26" s="10">
        <v>16</v>
      </c>
      <c r="BY26" s="10">
        <f t="shared" si="32"/>
        <v>0</v>
      </c>
      <c r="BZ26" s="10">
        <f t="shared" si="32"/>
        <v>0</v>
      </c>
      <c r="CA26" s="10">
        <f t="shared" si="32"/>
        <v>0</v>
      </c>
      <c r="CB26" s="10">
        <f t="shared" si="32"/>
        <v>0</v>
      </c>
      <c r="CC26" s="10">
        <f t="shared" si="32"/>
        <v>0</v>
      </c>
      <c r="CE26" s="10">
        <v>16</v>
      </c>
      <c r="CF26" s="10">
        <f>MAX(节奏总纲!D19-$C$7,0)*INDEX($BU$7:$BU$15,MATCH(BY$10,$BT$7:$BT$15,0))/30</f>
        <v>0</v>
      </c>
      <c r="CG26" s="10">
        <f>MAX(节奏总纲!E19-$C$7,0)*INDEX($BU$7:$BU$15,MATCH(BZ$10,$BT$7:$BT$15,0))/30</f>
        <v>0</v>
      </c>
      <c r="CH26" s="10">
        <f>MAX(节奏总纲!F19-$C$7,0)*INDEX($BU$7:$BU$15,MATCH(CA$10,$BT$7:$BT$15,0))/30</f>
        <v>0</v>
      </c>
      <c r="CI26" s="10">
        <f>MAX(节奏总纲!G19-$C$7,0)*INDEX($BU$7:$BU$15,MATCH(CB$10,$BT$7:$BT$15,0))/30</f>
        <v>0</v>
      </c>
      <c r="CJ26" s="10">
        <f>MAX(节奏总纲!H19-$C$7,0)*INDEX($BU$7:$BU$15,MATCH(CC$10,$BT$7:$BT$15,0))/30</f>
        <v>0</v>
      </c>
    </row>
    <row r="27" spans="2:88" x14ac:dyDescent="0.15">
      <c r="B27" s="2" t="s">
        <v>55</v>
      </c>
      <c r="I27" s="2" t="s">
        <v>41</v>
      </c>
      <c r="J27" s="2">
        <f>J26+500</f>
        <v>2500</v>
      </c>
      <c r="K27" s="2">
        <f t="shared" ref="K27:K31" si="36">K26+500</f>
        <v>3000</v>
      </c>
      <c r="L27" s="2">
        <v>20</v>
      </c>
      <c r="O27" s="2">
        <v>16</v>
      </c>
      <c r="P27" s="2">
        <f t="shared" si="21"/>
        <v>320</v>
      </c>
      <c r="AC27" s="2">
        <v>17</v>
      </c>
      <c r="AD27" s="2">
        <f t="shared" si="27"/>
        <v>0</v>
      </c>
      <c r="AE27" s="2">
        <f t="shared" si="28"/>
        <v>0</v>
      </c>
      <c r="AF27" s="2">
        <f t="shared" si="29"/>
        <v>0</v>
      </c>
      <c r="AG27" s="2">
        <f t="shared" si="30"/>
        <v>0</v>
      </c>
      <c r="AH27" s="2">
        <f t="shared" si="31"/>
        <v>0</v>
      </c>
      <c r="AJ27" s="10">
        <v>17</v>
      </c>
      <c r="AK27" s="10">
        <f>IFERROR(求节点(节奏总纲!R$4:R$363,AD$11:AD$370,$AC27),0)</f>
        <v>0</v>
      </c>
      <c r="AL27" s="10">
        <f>IFERROR(求节点(节奏总纲!S$4:S$363,AE$11:AE$370,$AC27),0)</f>
        <v>0</v>
      </c>
      <c r="AM27" s="10">
        <f>IFERROR(求节点(节奏总纲!T$4:T$363,AF$11:AF$370,$AC27),0)</f>
        <v>0</v>
      </c>
      <c r="AN27" s="10">
        <f>IFERROR(求节点(节奏总纲!U$4:U$363,AG$11:AG$370,$AC27),0)</f>
        <v>0</v>
      </c>
      <c r="AO27" s="10">
        <f>IFERROR(求节点(节奏总纲!V$4:V$363,AH$11:AH$370,$AC27),0)</f>
        <v>0</v>
      </c>
      <c r="AZ27" s="10">
        <v>17</v>
      </c>
      <c r="BA27" s="10">
        <f t="shared" si="14"/>
        <v>0</v>
      </c>
      <c r="BB27" s="10">
        <f t="shared" si="15"/>
        <v>0</v>
      </c>
      <c r="BC27" s="10">
        <f t="shared" si="16"/>
        <v>0</v>
      </c>
      <c r="BD27" s="10">
        <f t="shared" si="17"/>
        <v>0</v>
      </c>
      <c r="BE27" s="10">
        <f t="shared" si="18"/>
        <v>0</v>
      </c>
      <c r="BG27" s="10">
        <v>17</v>
      </c>
      <c r="BH27" s="10">
        <f>MAX(节奏总纲!D20-$C$7,0)*C$22*$C$8*($AV$6+$AV$22)/30</f>
        <v>0</v>
      </c>
      <c r="BI27" s="10">
        <f>MAX(节奏总纲!E20-$C$7,0)*D$22*$C$8*($AV$6+$AV$22)/30</f>
        <v>0</v>
      </c>
      <c r="BJ27" s="10">
        <f>MAX(节奏总纲!F20-$C$7,0)*E$22*$C$8*($AV$6+$AV$22)/30</f>
        <v>0</v>
      </c>
      <c r="BK27" s="10">
        <f>MAX(节奏总纲!G20-$C$7,0)*F$22*$C$8*($AV$6+$AV$22)/30</f>
        <v>0</v>
      </c>
      <c r="BL27" s="10">
        <f>MAX(节奏总纲!H20-$C$7,0)*G$22*$C$8*($AV$6+$AV$22)/30</f>
        <v>0</v>
      </c>
      <c r="BX27" s="10">
        <v>17</v>
      </c>
      <c r="BY27" s="10">
        <f t="shared" si="32"/>
        <v>0</v>
      </c>
      <c r="BZ27" s="10">
        <f t="shared" si="32"/>
        <v>0</v>
      </c>
      <c r="CA27" s="10">
        <f t="shared" si="32"/>
        <v>0</v>
      </c>
      <c r="CB27" s="10">
        <f t="shared" si="32"/>
        <v>0</v>
      </c>
      <c r="CC27" s="10">
        <f t="shared" si="32"/>
        <v>0</v>
      </c>
      <c r="CE27" s="10">
        <v>17</v>
      </c>
      <c r="CF27" s="10">
        <f>MAX(节奏总纲!D20-$C$7,0)*INDEX($BU$7:$BU$15,MATCH(BY$10,$BT$7:$BT$15,0))/30</f>
        <v>0</v>
      </c>
      <c r="CG27" s="10">
        <f>MAX(节奏总纲!E20-$C$7,0)*INDEX($BU$7:$BU$15,MATCH(BZ$10,$BT$7:$BT$15,0))/30</f>
        <v>0</v>
      </c>
      <c r="CH27" s="10">
        <f>MAX(节奏总纲!F20-$C$7,0)*INDEX($BU$7:$BU$15,MATCH(CA$10,$BT$7:$BT$15,0))/30</f>
        <v>0</v>
      </c>
      <c r="CI27" s="10">
        <f>MAX(节奏总纲!G20-$C$7,0)*INDEX($BU$7:$BU$15,MATCH(CB$10,$BT$7:$BT$15,0))/30</f>
        <v>0</v>
      </c>
      <c r="CJ27" s="10">
        <f>MAX(节奏总纲!H20-$C$7,0)*INDEX($BU$7:$BU$15,MATCH(CC$10,$BT$7:$BT$15,0))/30</f>
        <v>0</v>
      </c>
    </row>
    <row r="28" spans="2:88" x14ac:dyDescent="0.15">
      <c r="I28" s="2" t="s">
        <v>42</v>
      </c>
      <c r="J28" s="2">
        <f t="shared" ref="J28:J32" si="37">J27+500</f>
        <v>3000</v>
      </c>
      <c r="K28" s="2">
        <f t="shared" si="36"/>
        <v>3500</v>
      </c>
      <c r="L28" s="2">
        <v>20</v>
      </c>
      <c r="O28" s="2">
        <v>17</v>
      </c>
      <c r="P28" s="2">
        <f t="shared" si="21"/>
        <v>340</v>
      </c>
      <c r="AC28" s="2">
        <v>18</v>
      </c>
      <c r="AD28" s="2">
        <f t="shared" si="27"/>
        <v>0</v>
      </c>
      <c r="AE28" s="2">
        <f t="shared" si="28"/>
        <v>0</v>
      </c>
      <c r="AF28" s="2">
        <f t="shared" si="29"/>
        <v>0</v>
      </c>
      <c r="AG28" s="2">
        <f t="shared" si="30"/>
        <v>0</v>
      </c>
      <c r="AH28" s="2">
        <f t="shared" si="31"/>
        <v>0</v>
      </c>
      <c r="AJ28" s="10">
        <v>18</v>
      </c>
      <c r="AK28" s="10">
        <f>IFERROR(求节点(节奏总纲!R$4:R$363,AD$11:AD$370,$AC28),0)</f>
        <v>0</v>
      </c>
      <c r="AL28" s="10">
        <f>IFERROR(求节点(节奏总纲!S$4:S$363,AE$11:AE$370,$AC28),0)</f>
        <v>0</v>
      </c>
      <c r="AM28" s="10">
        <f>IFERROR(求节点(节奏总纲!T$4:T$363,AF$11:AF$370,$AC28),0)</f>
        <v>0</v>
      </c>
      <c r="AN28" s="10">
        <f>IFERROR(求节点(节奏总纲!U$4:U$363,AG$11:AG$370,$AC28),0)</f>
        <v>0</v>
      </c>
      <c r="AO28" s="10">
        <f>IFERROR(求节点(节奏总纲!V$4:V$363,AH$11:AH$370,$AC28),0)</f>
        <v>0</v>
      </c>
      <c r="AZ28" s="10">
        <v>18</v>
      </c>
      <c r="BA28" s="10">
        <f t="shared" si="14"/>
        <v>0</v>
      </c>
      <c r="BB28" s="10">
        <f t="shared" si="15"/>
        <v>0</v>
      </c>
      <c r="BC28" s="10">
        <f t="shared" si="16"/>
        <v>0</v>
      </c>
      <c r="BD28" s="10">
        <f t="shared" si="17"/>
        <v>0</v>
      </c>
      <c r="BE28" s="10">
        <f t="shared" si="18"/>
        <v>0</v>
      </c>
      <c r="BG28" s="10">
        <v>18</v>
      </c>
      <c r="BH28" s="10">
        <f>MAX(节奏总纲!D21-$C$7,0)*C$22*$C$8*($AV$6+$AV$22)/30</f>
        <v>0</v>
      </c>
      <c r="BI28" s="10">
        <f>MAX(节奏总纲!E21-$C$7,0)*D$22*$C$8*($AV$6+$AV$22)/30</f>
        <v>0</v>
      </c>
      <c r="BJ28" s="10">
        <f>MAX(节奏总纲!F21-$C$7,0)*E$22*$C$8*($AV$6+$AV$22)/30</f>
        <v>0</v>
      </c>
      <c r="BK28" s="10">
        <f>MAX(节奏总纲!G21-$C$7,0)*F$22*$C$8*($AV$6+$AV$22)/30</f>
        <v>0</v>
      </c>
      <c r="BL28" s="10">
        <f>MAX(节奏总纲!H21-$C$7,0)*G$22*$C$8*($AV$6+$AV$22)/30</f>
        <v>0</v>
      </c>
      <c r="BX28" s="10">
        <v>18</v>
      </c>
      <c r="BY28" s="10">
        <f t="shared" si="32"/>
        <v>0</v>
      </c>
      <c r="BZ28" s="10">
        <f t="shared" si="32"/>
        <v>0</v>
      </c>
      <c r="CA28" s="10">
        <f t="shared" si="32"/>
        <v>0</v>
      </c>
      <c r="CB28" s="10">
        <f t="shared" si="32"/>
        <v>0</v>
      </c>
      <c r="CC28" s="10">
        <f t="shared" si="32"/>
        <v>0</v>
      </c>
      <c r="CE28" s="10">
        <v>18</v>
      </c>
      <c r="CF28" s="10">
        <f>MAX(节奏总纲!D21-$C$7,0)*INDEX($BU$7:$BU$15,MATCH(BY$10,$BT$7:$BT$15,0))/30</f>
        <v>0</v>
      </c>
      <c r="CG28" s="10">
        <f>MAX(节奏总纲!E21-$C$7,0)*INDEX($BU$7:$BU$15,MATCH(BZ$10,$BT$7:$BT$15,0))/30</f>
        <v>0</v>
      </c>
      <c r="CH28" s="10">
        <f>MAX(节奏总纲!F21-$C$7,0)*INDEX($BU$7:$BU$15,MATCH(CA$10,$BT$7:$BT$15,0))/30</f>
        <v>0</v>
      </c>
      <c r="CI28" s="10">
        <f>MAX(节奏总纲!G21-$C$7,0)*INDEX($BU$7:$BU$15,MATCH(CB$10,$BT$7:$BT$15,0))/30</f>
        <v>0</v>
      </c>
      <c r="CJ28" s="10">
        <f>MAX(节奏总纲!H21-$C$7,0)*INDEX($BU$7:$BU$15,MATCH(CC$10,$BT$7:$BT$15,0))/30</f>
        <v>0</v>
      </c>
    </row>
    <row r="29" spans="2:88" x14ac:dyDescent="0.15">
      <c r="B29" s="2" t="s">
        <v>57</v>
      </c>
      <c r="C29" s="2" t="s">
        <v>56</v>
      </c>
      <c r="D29" s="2" t="s">
        <v>58</v>
      </c>
      <c r="I29" s="2" t="s">
        <v>43</v>
      </c>
      <c r="J29" s="2">
        <f t="shared" si="37"/>
        <v>3500</v>
      </c>
      <c r="K29" s="2">
        <f t="shared" si="36"/>
        <v>4000</v>
      </c>
      <c r="L29" s="2">
        <v>20</v>
      </c>
      <c r="O29" s="2">
        <v>18</v>
      </c>
      <c r="P29" s="2">
        <f t="shared" si="21"/>
        <v>360</v>
      </c>
      <c r="AC29" s="2">
        <v>19</v>
      </c>
      <c r="AD29" s="2">
        <f t="shared" si="27"/>
        <v>0</v>
      </c>
      <c r="AE29" s="2">
        <f t="shared" si="28"/>
        <v>0</v>
      </c>
      <c r="AF29" s="2">
        <f t="shared" si="29"/>
        <v>0</v>
      </c>
      <c r="AG29" s="2">
        <f t="shared" si="30"/>
        <v>0</v>
      </c>
      <c r="AH29" s="2">
        <f t="shared" si="31"/>
        <v>0</v>
      </c>
      <c r="AJ29" s="10">
        <v>19</v>
      </c>
      <c r="AK29" s="10">
        <f>IFERROR(求节点(节奏总纲!R$4:R$363,AD$11:AD$370,$AC29),0)</f>
        <v>0</v>
      </c>
      <c r="AL29" s="10">
        <f>IFERROR(求节点(节奏总纲!S$4:S$363,AE$11:AE$370,$AC29),0)</f>
        <v>0</v>
      </c>
      <c r="AM29" s="10">
        <f>IFERROR(求节点(节奏总纲!T$4:T$363,AF$11:AF$370,$AC29),0)</f>
        <v>0</v>
      </c>
      <c r="AN29" s="10">
        <f>IFERROR(求节点(节奏总纲!U$4:U$363,AG$11:AG$370,$AC29),0)</f>
        <v>0</v>
      </c>
      <c r="AO29" s="10">
        <f>IFERROR(求节点(节奏总纲!V$4:V$363,AH$11:AH$370,$AC29),0)</f>
        <v>0</v>
      </c>
      <c r="AZ29" s="10">
        <v>19</v>
      </c>
      <c r="BA29" s="10">
        <f t="shared" si="14"/>
        <v>0</v>
      </c>
      <c r="BB29" s="10">
        <f t="shared" si="15"/>
        <v>0</v>
      </c>
      <c r="BC29" s="10">
        <f t="shared" si="16"/>
        <v>0</v>
      </c>
      <c r="BD29" s="10">
        <f t="shared" si="17"/>
        <v>0</v>
      </c>
      <c r="BE29" s="10">
        <f t="shared" si="18"/>
        <v>0</v>
      </c>
      <c r="BG29" s="10">
        <v>19</v>
      </c>
      <c r="BH29" s="10">
        <f>MAX(节奏总纲!D22-$C$7,0)*C$22*$C$8*($AV$6+$AV$22)/30</f>
        <v>0</v>
      </c>
      <c r="BI29" s="10">
        <f>MAX(节奏总纲!E22-$C$7,0)*D$22*$C$8*($AV$6+$AV$22)/30</f>
        <v>0</v>
      </c>
      <c r="BJ29" s="10">
        <f>MAX(节奏总纲!F22-$C$7,0)*E$22*$C$8*($AV$6+$AV$22)/30</f>
        <v>0</v>
      </c>
      <c r="BK29" s="10">
        <f>MAX(节奏总纲!G22-$C$7,0)*F$22*$C$8*($AV$6+$AV$22)/30</f>
        <v>0</v>
      </c>
      <c r="BL29" s="10">
        <f>MAX(节奏总纲!H22-$C$7,0)*G$22*$C$8*($AV$6+$AV$22)/30</f>
        <v>0</v>
      </c>
      <c r="BX29" s="10">
        <v>19</v>
      </c>
      <c r="BY29" s="10">
        <f t="shared" si="32"/>
        <v>0</v>
      </c>
      <c r="BZ29" s="10">
        <f t="shared" si="32"/>
        <v>0</v>
      </c>
      <c r="CA29" s="10">
        <f t="shared" si="32"/>
        <v>0</v>
      </c>
      <c r="CB29" s="10">
        <f t="shared" si="32"/>
        <v>0</v>
      </c>
      <c r="CC29" s="10">
        <f t="shared" si="32"/>
        <v>0</v>
      </c>
      <c r="CE29" s="10">
        <v>19</v>
      </c>
      <c r="CF29" s="10">
        <f>MAX(节奏总纲!D22-$C$7,0)*INDEX($BU$7:$BU$15,MATCH(BY$10,$BT$7:$BT$15,0))/30</f>
        <v>0</v>
      </c>
      <c r="CG29" s="10">
        <f>MAX(节奏总纲!E22-$C$7,0)*INDEX($BU$7:$BU$15,MATCH(BZ$10,$BT$7:$BT$15,0))/30</f>
        <v>0</v>
      </c>
      <c r="CH29" s="10">
        <f>MAX(节奏总纲!F22-$C$7,0)*INDEX($BU$7:$BU$15,MATCH(CA$10,$BT$7:$BT$15,0))/30</f>
        <v>0</v>
      </c>
      <c r="CI29" s="10">
        <f>MAX(节奏总纲!G22-$C$7,0)*INDEX($BU$7:$BU$15,MATCH(CB$10,$BT$7:$BT$15,0))/30</f>
        <v>0</v>
      </c>
      <c r="CJ29" s="10">
        <f>MAX(节奏总纲!H22-$C$7,0)*INDEX($BU$7:$BU$15,MATCH(CC$10,$BT$7:$BT$15,0))/30</f>
        <v>0</v>
      </c>
    </row>
    <row r="30" spans="2:88" x14ac:dyDescent="0.15">
      <c r="B30" s="2">
        <v>0</v>
      </c>
      <c r="C30" s="2">
        <v>0</v>
      </c>
      <c r="D30" s="2">
        <v>0</v>
      </c>
      <c r="I30" s="2" t="s">
        <v>44</v>
      </c>
      <c r="J30" s="2">
        <f t="shared" si="37"/>
        <v>4000</v>
      </c>
      <c r="K30" s="2">
        <f t="shared" si="36"/>
        <v>4500</v>
      </c>
      <c r="L30" s="2">
        <v>20</v>
      </c>
      <c r="O30" s="2">
        <v>19</v>
      </c>
      <c r="P30" s="2">
        <f t="shared" si="21"/>
        <v>380</v>
      </c>
      <c r="AC30" s="2">
        <v>20</v>
      </c>
      <c r="AD30" s="2">
        <f t="shared" si="27"/>
        <v>0</v>
      </c>
      <c r="AE30" s="2">
        <f t="shared" si="28"/>
        <v>0</v>
      </c>
      <c r="AF30" s="2">
        <f t="shared" si="29"/>
        <v>0</v>
      </c>
      <c r="AG30" s="2">
        <f t="shared" si="30"/>
        <v>0</v>
      </c>
      <c r="AH30" s="2">
        <f t="shared" si="31"/>
        <v>0</v>
      </c>
      <c r="AJ30" s="10">
        <v>20</v>
      </c>
      <c r="AK30" s="10">
        <f>IFERROR(求节点(节奏总纲!R$4:R$363,AD$11:AD$370,$AC30),0)</f>
        <v>0</v>
      </c>
      <c r="AL30" s="10">
        <f>IFERROR(求节点(节奏总纲!S$4:S$363,AE$11:AE$370,$AC30),0)</f>
        <v>0</v>
      </c>
      <c r="AM30" s="10">
        <f>IFERROR(求节点(节奏总纲!T$4:T$363,AF$11:AF$370,$AC30),0)</f>
        <v>0</v>
      </c>
      <c r="AN30" s="10">
        <f>IFERROR(求节点(节奏总纲!U$4:U$363,AG$11:AG$370,$AC30),0)</f>
        <v>0</v>
      </c>
      <c r="AO30" s="10">
        <f>IFERROR(求节点(节奏总纲!V$4:V$363,AH$11:AH$370,$AC30),0)</f>
        <v>0</v>
      </c>
      <c r="AZ30" s="10">
        <v>20</v>
      </c>
      <c r="BA30" s="10">
        <f t="shared" si="14"/>
        <v>0</v>
      </c>
      <c r="BB30" s="10">
        <f t="shared" si="15"/>
        <v>0</v>
      </c>
      <c r="BC30" s="10">
        <f t="shared" si="16"/>
        <v>0</v>
      </c>
      <c r="BD30" s="10">
        <f t="shared" si="17"/>
        <v>0</v>
      </c>
      <c r="BE30" s="10">
        <f t="shared" si="18"/>
        <v>0</v>
      </c>
      <c r="BG30" s="10">
        <v>20</v>
      </c>
      <c r="BH30" s="10">
        <f>MAX(节奏总纲!D23-$C$7,0)*C$22*$C$8*($AV$6+$AV$22)/30</f>
        <v>0</v>
      </c>
      <c r="BI30" s="10">
        <f>MAX(节奏总纲!E23-$C$7,0)*D$22*$C$8*($AV$6+$AV$22)/30</f>
        <v>0</v>
      </c>
      <c r="BJ30" s="10">
        <f>MAX(节奏总纲!F23-$C$7,0)*E$22*$C$8*($AV$6+$AV$22)/30</f>
        <v>0</v>
      </c>
      <c r="BK30" s="10">
        <f>MAX(节奏总纲!G23-$C$7,0)*F$22*$C$8*($AV$6+$AV$22)/30</f>
        <v>0</v>
      </c>
      <c r="BL30" s="10">
        <f>MAX(节奏总纲!H23-$C$7,0)*G$22*$C$8*($AV$6+$AV$22)/30</f>
        <v>0</v>
      </c>
      <c r="BX30" s="10">
        <v>20</v>
      </c>
      <c r="BY30" s="10">
        <f t="shared" si="32"/>
        <v>0</v>
      </c>
      <c r="BZ30" s="10">
        <f t="shared" si="32"/>
        <v>0</v>
      </c>
      <c r="CA30" s="10">
        <f t="shared" si="32"/>
        <v>0</v>
      </c>
      <c r="CB30" s="10">
        <f t="shared" si="32"/>
        <v>0</v>
      </c>
      <c r="CC30" s="10">
        <f t="shared" si="32"/>
        <v>0</v>
      </c>
      <c r="CE30" s="10">
        <v>20</v>
      </c>
      <c r="CF30" s="10">
        <f>MAX(节奏总纲!D23-$C$7,0)*INDEX($BU$7:$BU$15,MATCH(BY$10,$BT$7:$BT$15,0))/30</f>
        <v>0</v>
      </c>
      <c r="CG30" s="10">
        <f>MAX(节奏总纲!E23-$C$7,0)*INDEX($BU$7:$BU$15,MATCH(BZ$10,$BT$7:$BT$15,0))/30</f>
        <v>0</v>
      </c>
      <c r="CH30" s="10">
        <f>MAX(节奏总纲!F23-$C$7,0)*INDEX($BU$7:$BU$15,MATCH(CA$10,$BT$7:$BT$15,0))/30</f>
        <v>0</v>
      </c>
      <c r="CI30" s="10">
        <f>MAX(节奏总纲!G23-$C$7,0)*INDEX($BU$7:$BU$15,MATCH(CB$10,$BT$7:$BT$15,0))/30</f>
        <v>0</v>
      </c>
      <c r="CJ30" s="10">
        <f>MAX(节奏总纲!H23-$C$7,0)*INDEX($BU$7:$BU$15,MATCH(CC$10,$BT$7:$BT$15,0))/30</f>
        <v>0</v>
      </c>
    </row>
    <row r="31" spans="2:88" x14ac:dyDescent="0.15">
      <c r="B31" s="2">
        <v>5</v>
      </c>
      <c r="C31" s="2">
        <v>20</v>
      </c>
      <c r="D31" s="2">
        <f>B31*C31</f>
        <v>100</v>
      </c>
      <c r="I31" s="2" t="s">
        <v>45</v>
      </c>
      <c r="J31" s="2">
        <f t="shared" si="37"/>
        <v>4500</v>
      </c>
      <c r="K31" s="2">
        <f t="shared" si="36"/>
        <v>5000</v>
      </c>
      <c r="L31" s="2">
        <v>20</v>
      </c>
      <c r="O31" s="2">
        <v>20</v>
      </c>
      <c r="P31" s="2">
        <f t="shared" si="21"/>
        <v>400</v>
      </c>
      <c r="AC31" s="2">
        <v>21</v>
      </c>
      <c r="AD31" s="2">
        <f t="shared" si="27"/>
        <v>0</v>
      </c>
      <c r="AE31" s="2">
        <f t="shared" si="28"/>
        <v>0</v>
      </c>
      <c r="AF31" s="2">
        <f t="shared" si="29"/>
        <v>0</v>
      </c>
      <c r="AG31" s="2">
        <f t="shared" si="30"/>
        <v>0</v>
      </c>
      <c r="AH31" s="2">
        <f t="shared" si="31"/>
        <v>0</v>
      </c>
      <c r="AJ31" s="10">
        <v>21</v>
      </c>
      <c r="AK31" s="10">
        <f>IFERROR(求节点(节奏总纲!R$4:R$363,AD$11:AD$370,$AC31),0)</f>
        <v>0</v>
      </c>
      <c r="AL31" s="10">
        <f>IFERROR(求节点(节奏总纲!S$4:S$363,AE$11:AE$370,$AC31),0)</f>
        <v>0</v>
      </c>
      <c r="AM31" s="10">
        <f>IFERROR(求节点(节奏总纲!T$4:T$363,AF$11:AF$370,$AC31),0)</f>
        <v>0</v>
      </c>
      <c r="AN31" s="10">
        <f>IFERROR(求节点(节奏总纲!U$4:U$363,AG$11:AG$370,$AC31),0)</f>
        <v>0</v>
      </c>
      <c r="AO31" s="10">
        <f>IFERROR(求节点(节奏总纲!V$4:V$363,AH$11:AH$370,$AC31),0)</f>
        <v>0</v>
      </c>
      <c r="AZ31" s="10">
        <v>21</v>
      </c>
      <c r="BA31" s="10">
        <f t="shared" si="14"/>
        <v>0</v>
      </c>
      <c r="BB31" s="10">
        <f t="shared" si="15"/>
        <v>0</v>
      </c>
      <c r="BC31" s="10">
        <f t="shared" si="16"/>
        <v>0</v>
      </c>
      <c r="BD31" s="10">
        <f t="shared" si="17"/>
        <v>0</v>
      </c>
      <c r="BE31" s="10">
        <f t="shared" si="18"/>
        <v>0</v>
      </c>
      <c r="BG31" s="10">
        <v>21</v>
      </c>
      <c r="BH31" s="10">
        <f>MAX(节奏总纲!D24-$C$7,0)*C$22*$C$8*($AV$6+$AV$22)/30</f>
        <v>0</v>
      </c>
      <c r="BI31" s="10">
        <f>MAX(节奏总纲!E24-$C$7,0)*D$22*$C$8*($AV$6+$AV$22)/30</f>
        <v>0</v>
      </c>
      <c r="BJ31" s="10">
        <f>MAX(节奏总纲!F24-$C$7,0)*E$22*$C$8*($AV$6+$AV$22)/30</f>
        <v>0</v>
      </c>
      <c r="BK31" s="10">
        <f>MAX(节奏总纲!G24-$C$7,0)*F$22*$C$8*($AV$6+$AV$22)/30</f>
        <v>0</v>
      </c>
      <c r="BL31" s="10">
        <f>MAX(节奏总纲!H24-$C$7,0)*G$22*$C$8*($AV$6+$AV$22)/30</f>
        <v>0</v>
      </c>
      <c r="BX31" s="10">
        <v>21</v>
      </c>
      <c r="BY31" s="10">
        <f t="shared" ref="BY31:CC40" si="38">MAX($BX31-$C$7,0)*INDEX($BU$7:$BU$15,MATCH(BY$10,$BT$7:$BT$15,0))/30</f>
        <v>0</v>
      </c>
      <c r="BZ31" s="10">
        <f t="shared" si="38"/>
        <v>0</v>
      </c>
      <c r="CA31" s="10">
        <f t="shared" si="38"/>
        <v>0</v>
      </c>
      <c r="CB31" s="10">
        <f t="shared" si="38"/>
        <v>0</v>
      </c>
      <c r="CC31" s="10">
        <f t="shared" si="38"/>
        <v>0</v>
      </c>
      <c r="CE31" s="10">
        <v>21</v>
      </c>
      <c r="CF31" s="10">
        <f>MAX(节奏总纲!D24-$C$7,0)*INDEX($BU$7:$BU$15,MATCH(BY$10,$BT$7:$BT$15,0))/30</f>
        <v>0</v>
      </c>
      <c r="CG31" s="10">
        <f>MAX(节奏总纲!E24-$C$7,0)*INDEX($BU$7:$BU$15,MATCH(BZ$10,$BT$7:$BT$15,0))/30</f>
        <v>0</v>
      </c>
      <c r="CH31" s="10">
        <f>MAX(节奏总纲!F24-$C$7,0)*INDEX($BU$7:$BU$15,MATCH(CA$10,$BT$7:$BT$15,0))/30</f>
        <v>0</v>
      </c>
      <c r="CI31" s="10">
        <f>MAX(节奏总纲!G24-$C$7,0)*INDEX($BU$7:$BU$15,MATCH(CB$10,$BT$7:$BT$15,0))/30</f>
        <v>0</v>
      </c>
      <c r="CJ31" s="10">
        <f>MAX(节奏总纲!H24-$C$7,0)*INDEX($BU$7:$BU$15,MATCH(CC$10,$BT$7:$BT$15,0))/30</f>
        <v>0</v>
      </c>
    </row>
    <row r="32" spans="2:88" x14ac:dyDescent="0.15">
      <c r="B32" s="2">
        <v>10</v>
      </c>
      <c r="C32" s="2">
        <v>30</v>
      </c>
      <c r="D32" s="2">
        <f>(B32-B31)*C32+D31</f>
        <v>250</v>
      </c>
      <c r="I32" s="2" t="s">
        <v>46</v>
      </c>
      <c r="J32" s="2">
        <f t="shared" si="37"/>
        <v>5000</v>
      </c>
      <c r="K32" s="2">
        <v>9999</v>
      </c>
      <c r="L32" s="2">
        <v>20</v>
      </c>
      <c r="O32" s="2">
        <v>21</v>
      </c>
      <c r="P32" s="2">
        <f t="shared" si="21"/>
        <v>420</v>
      </c>
      <c r="AC32" s="2">
        <v>22</v>
      </c>
      <c r="AD32" s="2">
        <f t="shared" si="27"/>
        <v>0</v>
      </c>
      <c r="AE32" s="2">
        <f t="shared" si="28"/>
        <v>0</v>
      </c>
      <c r="AF32" s="2">
        <f t="shared" si="29"/>
        <v>0</v>
      </c>
      <c r="AG32" s="2">
        <f t="shared" si="30"/>
        <v>0</v>
      </c>
      <c r="AH32" s="2">
        <f t="shared" si="31"/>
        <v>0</v>
      </c>
      <c r="AJ32" s="10">
        <v>22</v>
      </c>
      <c r="AK32" s="10">
        <f>IFERROR(求节点(节奏总纲!R$4:R$363,AD$11:AD$370,$AC32),0)</f>
        <v>0</v>
      </c>
      <c r="AL32" s="10">
        <f>IFERROR(求节点(节奏总纲!S$4:S$363,AE$11:AE$370,$AC32),0)</f>
        <v>0</v>
      </c>
      <c r="AM32" s="10">
        <f>IFERROR(求节点(节奏总纲!T$4:T$363,AF$11:AF$370,$AC32),0)</f>
        <v>0</v>
      </c>
      <c r="AN32" s="10">
        <f>IFERROR(求节点(节奏总纲!U$4:U$363,AG$11:AG$370,$AC32),0)</f>
        <v>0</v>
      </c>
      <c r="AO32" s="10">
        <f>IFERROR(求节点(节奏总纲!V$4:V$363,AH$11:AH$370,$AC32),0)</f>
        <v>0</v>
      </c>
      <c r="AZ32" s="10">
        <v>22</v>
      </c>
      <c r="BA32" s="10">
        <f t="shared" si="14"/>
        <v>0</v>
      </c>
      <c r="BB32" s="10">
        <f t="shared" si="15"/>
        <v>0</v>
      </c>
      <c r="BC32" s="10">
        <f t="shared" si="16"/>
        <v>0</v>
      </c>
      <c r="BD32" s="10">
        <f t="shared" si="17"/>
        <v>0</v>
      </c>
      <c r="BE32" s="10">
        <f t="shared" si="18"/>
        <v>0</v>
      </c>
      <c r="BG32" s="10">
        <v>22</v>
      </c>
      <c r="BH32" s="10">
        <f>MAX(节奏总纲!D25-$C$7,0)*C$22*$C$8*($AV$6+$AV$22)/30</f>
        <v>0</v>
      </c>
      <c r="BI32" s="10">
        <f>MAX(节奏总纲!E25-$C$7,0)*D$22*$C$8*($AV$6+$AV$22)/30</f>
        <v>0</v>
      </c>
      <c r="BJ32" s="10">
        <f>MAX(节奏总纲!F25-$C$7,0)*E$22*$C$8*($AV$6+$AV$22)/30</f>
        <v>0</v>
      </c>
      <c r="BK32" s="10">
        <f>MAX(节奏总纲!G25-$C$7,0)*F$22*$C$8*($AV$6+$AV$22)/30</f>
        <v>0</v>
      </c>
      <c r="BL32" s="10">
        <f>MAX(节奏总纲!H25-$C$7,0)*G$22*$C$8*($AV$6+$AV$22)/30</f>
        <v>0</v>
      </c>
      <c r="BX32" s="10">
        <v>22</v>
      </c>
      <c r="BY32" s="10">
        <f t="shared" si="38"/>
        <v>0</v>
      </c>
      <c r="BZ32" s="10">
        <f t="shared" si="38"/>
        <v>0</v>
      </c>
      <c r="CA32" s="10">
        <f t="shared" si="38"/>
        <v>0</v>
      </c>
      <c r="CB32" s="10">
        <f t="shared" si="38"/>
        <v>0</v>
      </c>
      <c r="CC32" s="10">
        <f t="shared" si="38"/>
        <v>0</v>
      </c>
      <c r="CE32" s="10">
        <v>22</v>
      </c>
      <c r="CF32" s="10">
        <f>MAX(节奏总纲!D25-$C$7,0)*INDEX($BU$7:$BU$15,MATCH(BY$10,$BT$7:$BT$15,0))/30</f>
        <v>0</v>
      </c>
      <c r="CG32" s="10">
        <f>MAX(节奏总纲!E25-$C$7,0)*INDEX($BU$7:$BU$15,MATCH(BZ$10,$BT$7:$BT$15,0))/30</f>
        <v>0</v>
      </c>
      <c r="CH32" s="10">
        <f>MAX(节奏总纲!F25-$C$7,0)*INDEX($BU$7:$BU$15,MATCH(CA$10,$BT$7:$BT$15,0))/30</f>
        <v>0</v>
      </c>
      <c r="CI32" s="10">
        <f>MAX(节奏总纲!G25-$C$7,0)*INDEX($BU$7:$BU$15,MATCH(CB$10,$BT$7:$BT$15,0))/30</f>
        <v>0</v>
      </c>
      <c r="CJ32" s="10">
        <f>MAX(节奏总纲!H25-$C$7,0)*INDEX($BU$7:$BU$15,MATCH(CC$10,$BT$7:$BT$15,0))/30</f>
        <v>0</v>
      </c>
    </row>
    <row r="33" spans="2:88" x14ac:dyDescent="0.15">
      <c r="B33" s="2">
        <v>15</v>
      </c>
      <c r="C33" s="2">
        <v>50</v>
      </c>
      <c r="D33" s="2">
        <f>(B33-B32)*C33+D32</f>
        <v>500</v>
      </c>
      <c r="O33" s="2">
        <v>22</v>
      </c>
      <c r="P33" s="2">
        <f t="shared" si="21"/>
        <v>440</v>
      </c>
      <c r="AC33" s="2">
        <v>23</v>
      </c>
      <c r="AD33" s="2">
        <f t="shared" si="27"/>
        <v>0</v>
      </c>
      <c r="AE33" s="2">
        <f t="shared" si="28"/>
        <v>0</v>
      </c>
      <c r="AF33" s="2">
        <f t="shared" si="29"/>
        <v>0</v>
      </c>
      <c r="AG33" s="2">
        <f t="shared" si="30"/>
        <v>0</v>
      </c>
      <c r="AH33" s="2">
        <f t="shared" si="31"/>
        <v>0</v>
      </c>
      <c r="AJ33" s="10">
        <v>23</v>
      </c>
      <c r="AK33" s="10">
        <f>IFERROR(求节点(节奏总纲!R$4:R$363,AD$11:AD$370,$AC33),0)</f>
        <v>0</v>
      </c>
      <c r="AL33" s="10">
        <f>IFERROR(求节点(节奏总纲!S$4:S$363,AE$11:AE$370,$AC33),0)</f>
        <v>0</v>
      </c>
      <c r="AM33" s="10">
        <f>IFERROR(求节点(节奏总纲!T$4:T$363,AF$11:AF$370,$AC33),0)</f>
        <v>0</v>
      </c>
      <c r="AN33" s="10">
        <f>IFERROR(求节点(节奏总纲!U$4:U$363,AG$11:AG$370,$AC33),0)</f>
        <v>0</v>
      </c>
      <c r="AO33" s="10">
        <f>IFERROR(求节点(节奏总纲!V$4:V$363,AH$11:AH$370,$AC33),0)</f>
        <v>0</v>
      </c>
      <c r="AZ33" s="10">
        <v>23</v>
      </c>
      <c r="BA33" s="10">
        <f t="shared" si="14"/>
        <v>0</v>
      </c>
      <c r="BB33" s="10">
        <f t="shared" si="15"/>
        <v>0</v>
      </c>
      <c r="BC33" s="10">
        <f t="shared" si="16"/>
        <v>0</v>
      </c>
      <c r="BD33" s="10">
        <f t="shared" si="17"/>
        <v>0</v>
      </c>
      <c r="BE33" s="10">
        <f t="shared" si="18"/>
        <v>0</v>
      </c>
      <c r="BG33" s="10">
        <v>23</v>
      </c>
      <c r="BH33" s="10">
        <f>MAX(节奏总纲!D26-$C$7,0)*C$22*$C$8*($AV$6+$AV$22)/30</f>
        <v>0</v>
      </c>
      <c r="BI33" s="10">
        <f>MAX(节奏总纲!E26-$C$7,0)*D$22*$C$8*($AV$6+$AV$22)/30</f>
        <v>0</v>
      </c>
      <c r="BJ33" s="10">
        <f>MAX(节奏总纲!F26-$C$7,0)*E$22*$C$8*($AV$6+$AV$22)/30</f>
        <v>0</v>
      </c>
      <c r="BK33" s="10">
        <f>MAX(节奏总纲!G26-$C$7,0)*F$22*$C$8*($AV$6+$AV$22)/30</f>
        <v>0</v>
      </c>
      <c r="BL33" s="10">
        <f>MAX(节奏总纲!H26-$C$7,0)*G$22*$C$8*($AV$6+$AV$22)/30</f>
        <v>0</v>
      </c>
      <c r="BX33" s="10">
        <v>23</v>
      </c>
      <c r="BY33" s="10">
        <f t="shared" si="38"/>
        <v>0</v>
      </c>
      <c r="BZ33" s="10">
        <f t="shared" si="38"/>
        <v>0</v>
      </c>
      <c r="CA33" s="10">
        <f t="shared" si="38"/>
        <v>0</v>
      </c>
      <c r="CB33" s="10">
        <f t="shared" si="38"/>
        <v>0</v>
      </c>
      <c r="CC33" s="10">
        <f t="shared" si="38"/>
        <v>0</v>
      </c>
      <c r="CE33" s="10">
        <v>23</v>
      </c>
      <c r="CF33" s="10">
        <f>MAX(节奏总纲!D26-$C$7,0)*INDEX($BU$7:$BU$15,MATCH(BY$10,$BT$7:$BT$15,0))/30</f>
        <v>0</v>
      </c>
      <c r="CG33" s="10">
        <f>MAX(节奏总纲!E26-$C$7,0)*INDEX($BU$7:$BU$15,MATCH(BZ$10,$BT$7:$BT$15,0))/30</f>
        <v>0</v>
      </c>
      <c r="CH33" s="10">
        <f>MAX(节奏总纲!F26-$C$7,0)*INDEX($BU$7:$BU$15,MATCH(CA$10,$BT$7:$BT$15,0))/30</f>
        <v>0</v>
      </c>
      <c r="CI33" s="10">
        <f>MAX(节奏总纲!G26-$C$7,0)*INDEX($BU$7:$BU$15,MATCH(CB$10,$BT$7:$BT$15,0))/30</f>
        <v>0</v>
      </c>
      <c r="CJ33" s="10">
        <f>MAX(节奏总纲!H26-$C$7,0)*INDEX($BU$7:$BU$15,MATCH(CC$10,$BT$7:$BT$15,0))/30</f>
        <v>0</v>
      </c>
    </row>
    <row r="34" spans="2:88" x14ac:dyDescent="0.15">
      <c r="B34" s="2">
        <v>20</v>
      </c>
      <c r="C34" s="2">
        <v>100</v>
      </c>
      <c r="D34" s="2">
        <f>(B34-B33)*C34+D33</f>
        <v>1000</v>
      </c>
      <c r="O34" s="2">
        <v>23</v>
      </c>
      <c r="P34" s="2">
        <f t="shared" si="21"/>
        <v>460</v>
      </c>
      <c r="AC34" s="2">
        <v>24</v>
      </c>
      <c r="AD34" s="2">
        <f t="shared" si="27"/>
        <v>0</v>
      </c>
      <c r="AE34" s="2">
        <f t="shared" si="28"/>
        <v>0</v>
      </c>
      <c r="AF34" s="2">
        <f t="shared" si="29"/>
        <v>0</v>
      </c>
      <c r="AG34" s="2">
        <f t="shared" si="30"/>
        <v>0</v>
      </c>
      <c r="AH34" s="2">
        <f t="shared" si="31"/>
        <v>0</v>
      </c>
      <c r="AJ34" s="10">
        <v>24</v>
      </c>
      <c r="AK34" s="10">
        <f>IFERROR(求节点(节奏总纲!R$4:R$363,AD$11:AD$370,$AC34),0)</f>
        <v>0</v>
      </c>
      <c r="AL34" s="10">
        <f>IFERROR(求节点(节奏总纲!S$4:S$363,AE$11:AE$370,$AC34),0)</f>
        <v>0</v>
      </c>
      <c r="AM34" s="10">
        <f>IFERROR(求节点(节奏总纲!T$4:T$363,AF$11:AF$370,$AC34),0)</f>
        <v>0</v>
      </c>
      <c r="AN34" s="10">
        <f>IFERROR(求节点(节奏总纲!U$4:U$363,AG$11:AG$370,$AC34),0)</f>
        <v>0</v>
      </c>
      <c r="AO34" s="10">
        <f>IFERROR(求节点(节奏总纲!V$4:V$363,AH$11:AH$370,$AC34),0)</f>
        <v>0</v>
      </c>
      <c r="AZ34" s="10">
        <v>24</v>
      </c>
      <c r="BA34" s="10">
        <f t="shared" si="14"/>
        <v>0</v>
      </c>
      <c r="BB34" s="10">
        <f t="shared" si="15"/>
        <v>0</v>
      </c>
      <c r="BC34" s="10">
        <f t="shared" si="16"/>
        <v>0</v>
      </c>
      <c r="BD34" s="10">
        <f t="shared" si="17"/>
        <v>0</v>
      </c>
      <c r="BE34" s="10">
        <f t="shared" si="18"/>
        <v>0</v>
      </c>
      <c r="BG34" s="10">
        <v>24</v>
      </c>
      <c r="BH34" s="10">
        <f>MAX(节奏总纲!D27-$C$7,0)*C$22*$C$8*($AV$6+$AV$22)/30</f>
        <v>0</v>
      </c>
      <c r="BI34" s="10">
        <f>MAX(节奏总纲!E27-$C$7,0)*D$22*$C$8*($AV$6+$AV$22)/30</f>
        <v>0</v>
      </c>
      <c r="BJ34" s="10">
        <f>MAX(节奏总纲!F27-$C$7,0)*E$22*$C$8*($AV$6+$AV$22)/30</f>
        <v>0</v>
      </c>
      <c r="BK34" s="10">
        <f>MAX(节奏总纲!G27-$C$7,0)*F$22*$C$8*($AV$6+$AV$22)/30</f>
        <v>0</v>
      </c>
      <c r="BL34" s="10">
        <f>MAX(节奏总纲!H27-$C$7,0)*G$22*$C$8*($AV$6+$AV$22)/30</f>
        <v>0</v>
      </c>
      <c r="BX34" s="10">
        <v>24</v>
      </c>
      <c r="BY34" s="10">
        <f t="shared" si="38"/>
        <v>0</v>
      </c>
      <c r="BZ34" s="10">
        <f t="shared" si="38"/>
        <v>0</v>
      </c>
      <c r="CA34" s="10">
        <f t="shared" si="38"/>
        <v>0</v>
      </c>
      <c r="CB34" s="10">
        <f t="shared" si="38"/>
        <v>0</v>
      </c>
      <c r="CC34" s="10">
        <f t="shared" si="38"/>
        <v>0</v>
      </c>
      <c r="CE34" s="10">
        <v>24</v>
      </c>
      <c r="CF34" s="10">
        <f>MAX(节奏总纲!D27-$C$7,0)*INDEX($BU$7:$BU$15,MATCH(BY$10,$BT$7:$BT$15,0))/30</f>
        <v>0</v>
      </c>
      <c r="CG34" s="10">
        <f>MAX(节奏总纲!E27-$C$7,0)*INDEX($BU$7:$BU$15,MATCH(BZ$10,$BT$7:$BT$15,0))/30</f>
        <v>0</v>
      </c>
      <c r="CH34" s="10">
        <f>MAX(节奏总纲!F27-$C$7,0)*INDEX($BU$7:$BU$15,MATCH(CA$10,$BT$7:$BT$15,0))/30</f>
        <v>0</v>
      </c>
      <c r="CI34" s="10">
        <f>MAX(节奏总纲!G27-$C$7,0)*INDEX($BU$7:$BU$15,MATCH(CB$10,$BT$7:$BT$15,0))/30</f>
        <v>0</v>
      </c>
      <c r="CJ34" s="10">
        <f>MAX(节奏总纲!H27-$C$7,0)*INDEX($BU$7:$BU$15,MATCH(CC$10,$BT$7:$BT$15,0))/30</f>
        <v>0</v>
      </c>
    </row>
    <row r="35" spans="2:88" x14ac:dyDescent="0.15">
      <c r="O35" s="2">
        <v>24</v>
      </c>
      <c r="P35" s="2">
        <f t="shared" si="21"/>
        <v>480</v>
      </c>
      <c r="AC35" s="2">
        <v>25</v>
      </c>
      <c r="AD35" s="2">
        <f t="shared" si="27"/>
        <v>0</v>
      </c>
      <c r="AE35" s="2">
        <f t="shared" si="28"/>
        <v>0</v>
      </c>
      <c r="AF35" s="2">
        <f t="shared" si="29"/>
        <v>0</v>
      </c>
      <c r="AG35" s="2">
        <f t="shared" si="30"/>
        <v>0</v>
      </c>
      <c r="AH35" s="2">
        <f t="shared" si="31"/>
        <v>0</v>
      </c>
      <c r="AJ35" s="10">
        <v>25</v>
      </c>
      <c r="AK35" s="10">
        <f>IFERROR(求节点(节奏总纲!R$4:R$363,AD$11:AD$370,$AC35),0)</f>
        <v>0</v>
      </c>
      <c r="AL35" s="10">
        <f>IFERROR(求节点(节奏总纲!S$4:S$363,AE$11:AE$370,$AC35),0)</f>
        <v>0</v>
      </c>
      <c r="AM35" s="10">
        <f>IFERROR(求节点(节奏总纲!T$4:T$363,AF$11:AF$370,$AC35),0)</f>
        <v>0</v>
      </c>
      <c r="AN35" s="10">
        <f>IFERROR(求节点(节奏总纲!U$4:U$363,AG$11:AG$370,$AC35),0)</f>
        <v>0</v>
      </c>
      <c r="AO35" s="10">
        <f>IFERROR(求节点(节奏总纲!V$4:V$363,AH$11:AH$370,$AC35),0)</f>
        <v>0</v>
      </c>
      <c r="AZ35" s="10">
        <v>25</v>
      </c>
      <c r="BA35" s="10">
        <f t="shared" si="14"/>
        <v>0</v>
      </c>
      <c r="BB35" s="10">
        <f t="shared" si="15"/>
        <v>0</v>
      </c>
      <c r="BC35" s="10">
        <f t="shared" si="16"/>
        <v>0</v>
      </c>
      <c r="BD35" s="10">
        <f t="shared" si="17"/>
        <v>0</v>
      </c>
      <c r="BE35" s="10">
        <f t="shared" si="18"/>
        <v>0</v>
      </c>
      <c r="BG35" s="10">
        <v>25</v>
      </c>
      <c r="BH35" s="10">
        <f>MAX(节奏总纲!D28-$C$7,0)*C$22*$C$8*($AV$6+$AV$22)/30</f>
        <v>0</v>
      </c>
      <c r="BI35" s="10">
        <f>MAX(节奏总纲!E28-$C$7,0)*D$22*$C$8*($AV$6+$AV$22)/30</f>
        <v>0</v>
      </c>
      <c r="BJ35" s="10">
        <f>MAX(节奏总纲!F28-$C$7,0)*E$22*$C$8*($AV$6+$AV$22)/30</f>
        <v>0</v>
      </c>
      <c r="BK35" s="10">
        <f>MAX(节奏总纲!G28-$C$7,0)*F$22*$C$8*($AV$6+$AV$22)/30</f>
        <v>0</v>
      </c>
      <c r="BL35" s="10">
        <f>MAX(节奏总纲!H28-$C$7,0)*G$22*$C$8*($AV$6+$AV$22)/30</f>
        <v>0</v>
      </c>
      <c r="BX35" s="10">
        <v>25</v>
      </c>
      <c r="BY35" s="10">
        <f t="shared" si="38"/>
        <v>0</v>
      </c>
      <c r="BZ35" s="10">
        <f t="shared" si="38"/>
        <v>0</v>
      </c>
      <c r="CA35" s="10">
        <f t="shared" si="38"/>
        <v>0</v>
      </c>
      <c r="CB35" s="10">
        <f t="shared" si="38"/>
        <v>0</v>
      </c>
      <c r="CC35" s="10">
        <f t="shared" si="38"/>
        <v>0</v>
      </c>
      <c r="CE35" s="10">
        <v>25</v>
      </c>
      <c r="CF35" s="10">
        <f>MAX(节奏总纲!D28-$C$7,0)*INDEX($BU$7:$BU$15,MATCH(BY$10,$BT$7:$BT$15,0))/30</f>
        <v>0</v>
      </c>
      <c r="CG35" s="10">
        <f>MAX(节奏总纲!E28-$C$7,0)*INDEX($BU$7:$BU$15,MATCH(BZ$10,$BT$7:$BT$15,0))/30</f>
        <v>0</v>
      </c>
      <c r="CH35" s="10">
        <f>MAX(节奏总纲!F28-$C$7,0)*INDEX($BU$7:$BU$15,MATCH(CA$10,$BT$7:$BT$15,0))/30</f>
        <v>0</v>
      </c>
      <c r="CI35" s="10">
        <f>MAX(节奏总纲!G28-$C$7,0)*INDEX($BU$7:$BU$15,MATCH(CB$10,$BT$7:$BT$15,0))/30</f>
        <v>0</v>
      </c>
      <c r="CJ35" s="10">
        <f>MAX(节奏总纲!H28-$C$7,0)*INDEX($BU$7:$BU$15,MATCH(CC$10,$BT$7:$BT$15,0))/30</f>
        <v>0</v>
      </c>
    </row>
    <row r="36" spans="2:88" x14ac:dyDescent="0.15">
      <c r="O36" s="2">
        <v>25</v>
      </c>
      <c r="P36" s="2">
        <f t="shared" si="21"/>
        <v>500</v>
      </c>
      <c r="AC36" s="2">
        <v>26</v>
      </c>
      <c r="AD36" s="2">
        <f t="shared" si="27"/>
        <v>0</v>
      </c>
      <c r="AE36" s="2">
        <f t="shared" si="28"/>
        <v>0</v>
      </c>
      <c r="AF36" s="2">
        <f t="shared" si="29"/>
        <v>0</v>
      </c>
      <c r="AG36" s="2">
        <f t="shared" si="30"/>
        <v>0</v>
      </c>
      <c r="AH36" s="2">
        <f t="shared" si="31"/>
        <v>0</v>
      </c>
      <c r="AJ36" s="10">
        <v>26</v>
      </c>
      <c r="AK36" s="10">
        <f>IFERROR(求节点(节奏总纲!R$4:R$363,AD$11:AD$370,$AC36),0)</f>
        <v>0</v>
      </c>
      <c r="AL36" s="10">
        <f>IFERROR(求节点(节奏总纲!S$4:S$363,AE$11:AE$370,$AC36),0)</f>
        <v>0</v>
      </c>
      <c r="AM36" s="10">
        <f>IFERROR(求节点(节奏总纲!T$4:T$363,AF$11:AF$370,$AC36),0)</f>
        <v>0</v>
      </c>
      <c r="AN36" s="10">
        <f>IFERROR(求节点(节奏总纲!U$4:U$363,AG$11:AG$370,$AC36),0)</f>
        <v>0</v>
      </c>
      <c r="AO36" s="10">
        <f>IFERROR(求节点(节奏总纲!V$4:V$363,AH$11:AH$370,$AC36),0)</f>
        <v>0</v>
      </c>
      <c r="AZ36" s="10">
        <v>26</v>
      </c>
      <c r="BA36" s="10">
        <f t="shared" si="14"/>
        <v>0</v>
      </c>
      <c r="BB36" s="10">
        <f t="shared" si="15"/>
        <v>0</v>
      </c>
      <c r="BC36" s="10">
        <f t="shared" si="16"/>
        <v>0</v>
      </c>
      <c r="BD36" s="10">
        <f t="shared" si="17"/>
        <v>0</v>
      </c>
      <c r="BE36" s="10">
        <f t="shared" si="18"/>
        <v>0</v>
      </c>
      <c r="BG36" s="10">
        <v>26</v>
      </c>
      <c r="BH36" s="10">
        <f>MAX(节奏总纲!D29-$C$7,0)*C$22*$C$8*($AV$6+$AV$22)/30</f>
        <v>0</v>
      </c>
      <c r="BI36" s="10">
        <f>MAX(节奏总纲!E29-$C$7,0)*D$22*$C$8*($AV$6+$AV$22)/30</f>
        <v>0</v>
      </c>
      <c r="BJ36" s="10">
        <f>MAX(节奏总纲!F29-$C$7,0)*E$22*$C$8*($AV$6+$AV$22)/30</f>
        <v>0</v>
      </c>
      <c r="BK36" s="10">
        <f>MAX(节奏总纲!G29-$C$7,0)*F$22*$C$8*($AV$6+$AV$22)/30</f>
        <v>0</v>
      </c>
      <c r="BL36" s="10">
        <f>MAX(节奏总纲!H29-$C$7,0)*G$22*$C$8*($AV$6+$AV$22)/30</f>
        <v>0</v>
      </c>
      <c r="BX36" s="10">
        <v>26</v>
      </c>
      <c r="BY36" s="10">
        <f t="shared" si="38"/>
        <v>0</v>
      </c>
      <c r="BZ36" s="10">
        <f t="shared" si="38"/>
        <v>0</v>
      </c>
      <c r="CA36" s="10">
        <f t="shared" si="38"/>
        <v>0</v>
      </c>
      <c r="CB36" s="10">
        <f t="shared" si="38"/>
        <v>0</v>
      </c>
      <c r="CC36" s="10">
        <f t="shared" si="38"/>
        <v>0</v>
      </c>
      <c r="CE36" s="10">
        <v>26</v>
      </c>
      <c r="CF36" s="10">
        <f>MAX(节奏总纲!D29-$C$7,0)*INDEX($BU$7:$BU$15,MATCH(BY$10,$BT$7:$BT$15,0))/30</f>
        <v>0</v>
      </c>
      <c r="CG36" s="10">
        <f>MAX(节奏总纲!E29-$C$7,0)*INDEX($BU$7:$BU$15,MATCH(BZ$10,$BT$7:$BT$15,0))/30</f>
        <v>0</v>
      </c>
      <c r="CH36" s="10">
        <f>MAX(节奏总纲!F29-$C$7,0)*INDEX($BU$7:$BU$15,MATCH(CA$10,$BT$7:$BT$15,0))/30</f>
        <v>0</v>
      </c>
      <c r="CI36" s="10">
        <f>MAX(节奏总纲!G29-$C$7,0)*INDEX($BU$7:$BU$15,MATCH(CB$10,$BT$7:$BT$15,0))/30</f>
        <v>0</v>
      </c>
      <c r="CJ36" s="10">
        <f>MAX(节奏总纲!H29-$C$7,0)*INDEX($BU$7:$BU$15,MATCH(CC$10,$BT$7:$BT$15,0))/30</f>
        <v>0</v>
      </c>
    </row>
    <row r="37" spans="2:88" x14ac:dyDescent="0.15">
      <c r="O37" s="2">
        <v>26</v>
      </c>
      <c r="P37" s="2">
        <f t="shared" si="21"/>
        <v>520</v>
      </c>
      <c r="AC37" s="2">
        <v>27</v>
      </c>
      <c r="AD37" s="2">
        <f t="shared" si="27"/>
        <v>0</v>
      </c>
      <c r="AE37" s="2">
        <f t="shared" si="28"/>
        <v>0</v>
      </c>
      <c r="AF37" s="2">
        <f t="shared" si="29"/>
        <v>0</v>
      </c>
      <c r="AG37" s="2">
        <f t="shared" si="30"/>
        <v>0</v>
      </c>
      <c r="AH37" s="2">
        <f t="shared" si="31"/>
        <v>0</v>
      </c>
      <c r="AJ37" s="10">
        <v>27</v>
      </c>
      <c r="AK37" s="10">
        <f>IFERROR(求节点(节奏总纲!R$4:R$363,AD$11:AD$370,$AC37),0)</f>
        <v>0</v>
      </c>
      <c r="AL37" s="10">
        <f>IFERROR(求节点(节奏总纲!S$4:S$363,AE$11:AE$370,$AC37),0)</f>
        <v>0</v>
      </c>
      <c r="AM37" s="10">
        <f>IFERROR(求节点(节奏总纲!T$4:T$363,AF$11:AF$370,$AC37),0)</f>
        <v>0</v>
      </c>
      <c r="AN37" s="10">
        <f>IFERROR(求节点(节奏总纲!U$4:U$363,AG$11:AG$370,$AC37),0)</f>
        <v>0</v>
      </c>
      <c r="AO37" s="10">
        <f>IFERROR(求节点(节奏总纲!V$4:V$363,AH$11:AH$370,$AC37),0)</f>
        <v>0</v>
      </c>
      <c r="AZ37" s="10">
        <v>27</v>
      </c>
      <c r="BA37" s="10">
        <f t="shared" si="14"/>
        <v>0</v>
      </c>
      <c r="BB37" s="10">
        <f t="shared" si="15"/>
        <v>0</v>
      </c>
      <c r="BC37" s="10">
        <f t="shared" si="16"/>
        <v>0</v>
      </c>
      <c r="BD37" s="10">
        <f t="shared" si="17"/>
        <v>0</v>
      </c>
      <c r="BE37" s="10">
        <f t="shared" si="18"/>
        <v>0</v>
      </c>
      <c r="BG37" s="10">
        <v>27</v>
      </c>
      <c r="BH37" s="10">
        <f>MAX(节奏总纲!D30-$C$7,0)*C$22*$C$8*($AV$6+$AV$22)/30</f>
        <v>0</v>
      </c>
      <c r="BI37" s="10">
        <f>MAX(节奏总纲!E30-$C$7,0)*D$22*$C$8*($AV$6+$AV$22)/30</f>
        <v>0</v>
      </c>
      <c r="BJ37" s="10">
        <f>MAX(节奏总纲!F30-$C$7,0)*E$22*$C$8*($AV$6+$AV$22)/30</f>
        <v>0</v>
      </c>
      <c r="BK37" s="10">
        <f>MAX(节奏总纲!G30-$C$7,0)*F$22*$C$8*($AV$6+$AV$22)/30</f>
        <v>0</v>
      </c>
      <c r="BL37" s="10">
        <f>MAX(节奏总纲!H30-$C$7,0)*G$22*$C$8*($AV$6+$AV$22)/30</f>
        <v>0</v>
      </c>
      <c r="BX37" s="10">
        <v>27</v>
      </c>
      <c r="BY37" s="10">
        <f t="shared" si="38"/>
        <v>0</v>
      </c>
      <c r="BZ37" s="10">
        <f t="shared" si="38"/>
        <v>0</v>
      </c>
      <c r="CA37" s="10">
        <f t="shared" si="38"/>
        <v>0</v>
      </c>
      <c r="CB37" s="10">
        <f t="shared" si="38"/>
        <v>0</v>
      </c>
      <c r="CC37" s="10">
        <f t="shared" si="38"/>
        <v>0</v>
      </c>
      <c r="CE37" s="10">
        <v>27</v>
      </c>
      <c r="CF37" s="10">
        <f>MAX(节奏总纲!D30-$C$7,0)*INDEX($BU$7:$BU$15,MATCH(BY$10,$BT$7:$BT$15,0))/30</f>
        <v>0</v>
      </c>
      <c r="CG37" s="10">
        <f>MAX(节奏总纲!E30-$C$7,0)*INDEX($BU$7:$BU$15,MATCH(BZ$10,$BT$7:$BT$15,0))/30</f>
        <v>0</v>
      </c>
      <c r="CH37" s="10">
        <f>MAX(节奏总纲!F30-$C$7,0)*INDEX($BU$7:$BU$15,MATCH(CA$10,$BT$7:$BT$15,0))/30</f>
        <v>0</v>
      </c>
      <c r="CI37" s="10">
        <f>MAX(节奏总纲!G30-$C$7,0)*INDEX($BU$7:$BU$15,MATCH(CB$10,$BT$7:$BT$15,0))/30</f>
        <v>0</v>
      </c>
      <c r="CJ37" s="10">
        <f>MAX(节奏总纲!H30-$C$7,0)*INDEX($BU$7:$BU$15,MATCH(CC$10,$BT$7:$BT$15,0))/30</f>
        <v>0</v>
      </c>
    </row>
    <row r="38" spans="2:88" x14ac:dyDescent="0.15">
      <c r="O38" s="2">
        <v>27</v>
      </c>
      <c r="P38" s="2">
        <f t="shared" si="21"/>
        <v>540</v>
      </c>
      <c r="AC38" s="2">
        <v>28</v>
      </c>
      <c r="AD38" s="2">
        <f t="shared" si="27"/>
        <v>0</v>
      </c>
      <c r="AE38" s="2">
        <f t="shared" si="28"/>
        <v>0</v>
      </c>
      <c r="AF38" s="2">
        <f t="shared" si="29"/>
        <v>0</v>
      </c>
      <c r="AG38" s="2">
        <f t="shared" si="30"/>
        <v>0</v>
      </c>
      <c r="AH38" s="2">
        <f t="shared" si="31"/>
        <v>0</v>
      </c>
      <c r="AJ38" s="10">
        <v>28</v>
      </c>
      <c r="AK38" s="10">
        <f>IFERROR(求节点(节奏总纲!R$4:R$363,AD$11:AD$370,$AC38),0)</f>
        <v>0</v>
      </c>
      <c r="AL38" s="10">
        <f>IFERROR(求节点(节奏总纲!S$4:S$363,AE$11:AE$370,$AC38),0)</f>
        <v>0</v>
      </c>
      <c r="AM38" s="10">
        <f>IFERROR(求节点(节奏总纲!T$4:T$363,AF$11:AF$370,$AC38),0)</f>
        <v>0</v>
      </c>
      <c r="AN38" s="10">
        <f>IFERROR(求节点(节奏总纲!U$4:U$363,AG$11:AG$370,$AC38),0)</f>
        <v>0</v>
      </c>
      <c r="AO38" s="10">
        <f>IFERROR(求节点(节奏总纲!V$4:V$363,AH$11:AH$370,$AC38),0)</f>
        <v>0</v>
      </c>
      <c r="AZ38" s="10">
        <v>28</v>
      </c>
      <c r="BA38" s="10">
        <f t="shared" si="14"/>
        <v>0</v>
      </c>
      <c r="BB38" s="10">
        <f t="shared" si="15"/>
        <v>0</v>
      </c>
      <c r="BC38" s="10">
        <f t="shared" si="16"/>
        <v>0</v>
      </c>
      <c r="BD38" s="10">
        <f t="shared" si="17"/>
        <v>0</v>
      </c>
      <c r="BE38" s="10">
        <f t="shared" si="18"/>
        <v>0</v>
      </c>
      <c r="BG38" s="10">
        <v>28</v>
      </c>
      <c r="BH38" s="10">
        <f>MAX(节奏总纲!D31-$C$7,0)*C$22*$C$8*($AV$6+$AV$22)/30</f>
        <v>0</v>
      </c>
      <c r="BI38" s="10">
        <f>MAX(节奏总纲!E31-$C$7,0)*D$22*$C$8*($AV$6+$AV$22)/30</f>
        <v>0</v>
      </c>
      <c r="BJ38" s="10">
        <f>MAX(节奏总纲!F31-$C$7,0)*E$22*$C$8*($AV$6+$AV$22)/30</f>
        <v>0</v>
      </c>
      <c r="BK38" s="10">
        <f>MAX(节奏总纲!G31-$C$7,0)*F$22*$C$8*($AV$6+$AV$22)/30</f>
        <v>0</v>
      </c>
      <c r="BL38" s="10">
        <f>MAX(节奏总纲!H31-$C$7,0)*G$22*$C$8*($AV$6+$AV$22)/30</f>
        <v>0</v>
      </c>
      <c r="BX38" s="10">
        <v>28</v>
      </c>
      <c r="BY38" s="10">
        <f t="shared" si="38"/>
        <v>0</v>
      </c>
      <c r="BZ38" s="10">
        <f t="shared" si="38"/>
        <v>0</v>
      </c>
      <c r="CA38" s="10">
        <f t="shared" si="38"/>
        <v>0</v>
      </c>
      <c r="CB38" s="10">
        <f t="shared" si="38"/>
        <v>0</v>
      </c>
      <c r="CC38" s="10">
        <f t="shared" si="38"/>
        <v>0</v>
      </c>
      <c r="CE38" s="10">
        <v>28</v>
      </c>
      <c r="CF38" s="10">
        <f>MAX(节奏总纲!D31-$C$7,0)*INDEX($BU$7:$BU$15,MATCH(BY$10,$BT$7:$BT$15,0))/30</f>
        <v>0</v>
      </c>
      <c r="CG38" s="10">
        <f>MAX(节奏总纲!E31-$C$7,0)*INDEX($BU$7:$BU$15,MATCH(BZ$10,$BT$7:$BT$15,0))/30</f>
        <v>0</v>
      </c>
      <c r="CH38" s="10">
        <f>MAX(节奏总纲!F31-$C$7,0)*INDEX($BU$7:$BU$15,MATCH(CA$10,$BT$7:$BT$15,0))/30</f>
        <v>0</v>
      </c>
      <c r="CI38" s="10">
        <f>MAX(节奏总纲!G31-$C$7,0)*INDEX($BU$7:$BU$15,MATCH(CB$10,$BT$7:$BT$15,0))/30</f>
        <v>0</v>
      </c>
      <c r="CJ38" s="10">
        <f>MAX(节奏总纲!H31-$C$7,0)*INDEX($BU$7:$BU$15,MATCH(CC$10,$BT$7:$BT$15,0))/30</f>
        <v>0</v>
      </c>
    </row>
    <row r="39" spans="2:88" x14ac:dyDescent="0.15">
      <c r="O39" s="2">
        <v>28</v>
      </c>
      <c r="P39" s="2">
        <f t="shared" si="21"/>
        <v>560</v>
      </c>
      <c r="AC39" s="2">
        <v>29</v>
      </c>
      <c r="AD39" s="2">
        <f t="shared" si="27"/>
        <v>0</v>
      </c>
      <c r="AE39" s="2">
        <f t="shared" si="28"/>
        <v>0</v>
      </c>
      <c r="AF39" s="2">
        <f t="shared" si="29"/>
        <v>0</v>
      </c>
      <c r="AG39" s="2">
        <f t="shared" si="30"/>
        <v>0</v>
      </c>
      <c r="AH39" s="2">
        <f t="shared" si="31"/>
        <v>0</v>
      </c>
      <c r="AJ39" s="10">
        <v>29</v>
      </c>
      <c r="AK39" s="10">
        <f>IFERROR(求节点(节奏总纲!R$4:R$363,AD$11:AD$370,$AC39),0)</f>
        <v>0</v>
      </c>
      <c r="AL39" s="10">
        <f>IFERROR(求节点(节奏总纲!S$4:S$363,AE$11:AE$370,$AC39),0)</f>
        <v>0</v>
      </c>
      <c r="AM39" s="10">
        <f>IFERROR(求节点(节奏总纲!T$4:T$363,AF$11:AF$370,$AC39),0)</f>
        <v>0</v>
      </c>
      <c r="AN39" s="10">
        <f>IFERROR(求节点(节奏总纲!U$4:U$363,AG$11:AG$370,$AC39),0)</f>
        <v>0</v>
      </c>
      <c r="AO39" s="10">
        <f>IFERROR(求节点(节奏总纲!V$4:V$363,AH$11:AH$370,$AC39),0)</f>
        <v>0</v>
      </c>
      <c r="AZ39" s="10">
        <v>29</v>
      </c>
      <c r="BA39" s="10">
        <f t="shared" si="14"/>
        <v>0</v>
      </c>
      <c r="BB39" s="10">
        <f t="shared" si="15"/>
        <v>0</v>
      </c>
      <c r="BC39" s="10">
        <f t="shared" si="16"/>
        <v>0</v>
      </c>
      <c r="BD39" s="10">
        <f t="shared" si="17"/>
        <v>0</v>
      </c>
      <c r="BE39" s="10">
        <f t="shared" si="18"/>
        <v>0</v>
      </c>
      <c r="BG39" s="10">
        <v>29</v>
      </c>
      <c r="BH39" s="10">
        <f>MAX(节奏总纲!D32-$C$7,0)*C$22*$C$8*($AV$6+$AV$22)/30</f>
        <v>0</v>
      </c>
      <c r="BI39" s="10">
        <f>MAX(节奏总纲!E32-$C$7,0)*D$22*$C$8*($AV$6+$AV$22)/30</f>
        <v>0</v>
      </c>
      <c r="BJ39" s="10">
        <f>MAX(节奏总纲!F32-$C$7,0)*E$22*$C$8*($AV$6+$AV$22)/30</f>
        <v>0</v>
      </c>
      <c r="BK39" s="10">
        <f>MAX(节奏总纲!G32-$C$7,0)*F$22*$C$8*($AV$6+$AV$22)/30</f>
        <v>0</v>
      </c>
      <c r="BL39" s="10">
        <f>MAX(节奏总纲!H32-$C$7,0)*G$22*$C$8*($AV$6+$AV$22)/30</f>
        <v>0</v>
      </c>
      <c r="BX39" s="10">
        <v>29</v>
      </c>
      <c r="BY39" s="10">
        <f t="shared" si="38"/>
        <v>0</v>
      </c>
      <c r="BZ39" s="10">
        <f t="shared" si="38"/>
        <v>0</v>
      </c>
      <c r="CA39" s="10">
        <f t="shared" si="38"/>
        <v>0</v>
      </c>
      <c r="CB39" s="10">
        <f t="shared" si="38"/>
        <v>0</v>
      </c>
      <c r="CC39" s="10">
        <f t="shared" si="38"/>
        <v>0</v>
      </c>
      <c r="CE39" s="10">
        <v>29</v>
      </c>
      <c r="CF39" s="10">
        <f>MAX(节奏总纲!D32-$C$7,0)*INDEX($BU$7:$BU$15,MATCH(BY$10,$BT$7:$BT$15,0))/30</f>
        <v>0</v>
      </c>
      <c r="CG39" s="10">
        <f>MAX(节奏总纲!E32-$C$7,0)*INDEX($BU$7:$BU$15,MATCH(BZ$10,$BT$7:$BT$15,0))/30</f>
        <v>0</v>
      </c>
      <c r="CH39" s="10">
        <f>MAX(节奏总纲!F32-$C$7,0)*INDEX($BU$7:$BU$15,MATCH(CA$10,$BT$7:$BT$15,0))/30</f>
        <v>0</v>
      </c>
      <c r="CI39" s="10">
        <f>MAX(节奏总纲!G32-$C$7,0)*INDEX($BU$7:$BU$15,MATCH(CB$10,$BT$7:$BT$15,0))/30</f>
        <v>0</v>
      </c>
      <c r="CJ39" s="10">
        <f>MAX(节奏总纲!H32-$C$7,0)*INDEX($BU$7:$BU$15,MATCH(CC$10,$BT$7:$BT$15,0))/30</f>
        <v>0</v>
      </c>
    </row>
    <row r="40" spans="2:88" x14ac:dyDescent="0.15">
      <c r="O40" s="2">
        <v>29</v>
      </c>
      <c r="P40" s="2">
        <f t="shared" si="21"/>
        <v>580</v>
      </c>
      <c r="AC40" s="2">
        <v>30</v>
      </c>
      <c r="AD40" s="2">
        <f t="shared" si="27"/>
        <v>0</v>
      </c>
      <c r="AE40" s="2">
        <f t="shared" si="28"/>
        <v>0</v>
      </c>
      <c r="AF40" s="2">
        <f t="shared" si="29"/>
        <v>0</v>
      </c>
      <c r="AG40" s="2">
        <f t="shared" si="30"/>
        <v>0</v>
      </c>
      <c r="AH40" s="2">
        <f t="shared" si="31"/>
        <v>0</v>
      </c>
      <c r="AJ40" s="10">
        <v>30</v>
      </c>
      <c r="AK40" s="10">
        <f>IFERROR(求节点(节奏总纲!R$4:R$363,AD$11:AD$370,$AC40),0)</f>
        <v>0</v>
      </c>
      <c r="AL40" s="10">
        <f>IFERROR(求节点(节奏总纲!S$4:S$363,AE$11:AE$370,$AC40),0)</f>
        <v>0</v>
      </c>
      <c r="AM40" s="10">
        <f>IFERROR(求节点(节奏总纲!T$4:T$363,AF$11:AF$370,$AC40),0)</f>
        <v>0</v>
      </c>
      <c r="AN40" s="10">
        <f>IFERROR(求节点(节奏总纲!U$4:U$363,AG$11:AG$370,$AC40),0)</f>
        <v>0</v>
      </c>
      <c r="AO40" s="10">
        <f>IFERROR(求节点(节奏总纲!V$4:V$363,AH$11:AH$370,$AC40),0)</f>
        <v>0</v>
      </c>
      <c r="AZ40" s="10">
        <v>30</v>
      </c>
      <c r="BA40" s="10">
        <f t="shared" si="14"/>
        <v>0</v>
      </c>
      <c r="BB40" s="10">
        <f t="shared" si="15"/>
        <v>0</v>
      </c>
      <c r="BC40" s="10">
        <f t="shared" si="16"/>
        <v>0</v>
      </c>
      <c r="BD40" s="10">
        <f t="shared" si="17"/>
        <v>0</v>
      </c>
      <c r="BE40" s="10">
        <f t="shared" si="18"/>
        <v>0</v>
      </c>
      <c r="BG40" s="10">
        <v>30</v>
      </c>
      <c r="BH40" s="10">
        <f>MAX(节奏总纲!D33-$C$7,0)*C$22*$C$8*($AV$6+$AV$22)/30</f>
        <v>0</v>
      </c>
      <c r="BI40" s="10">
        <f>MAX(节奏总纲!E33-$C$7,0)*D$22*$C$8*($AV$6+$AV$22)/30</f>
        <v>0</v>
      </c>
      <c r="BJ40" s="10">
        <f>MAX(节奏总纲!F33-$C$7,0)*E$22*$C$8*($AV$6+$AV$22)/30</f>
        <v>0</v>
      </c>
      <c r="BK40" s="10">
        <f>MAX(节奏总纲!G33-$C$7,0)*F$22*$C$8*($AV$6+$AV$22)/30</f>
        <v>0</v>
      </c>
      <c r="BL40" s="10">
        <f>MAX(节奏总纲!H33-$C$7,0)*G$22*$C$8*($AV$6+$AV$22)/30</f>
        <v>0</v>
      </c>
      <c r="BX40" s="10">
        <v>30</v>
      </c>
      <c r="BY40" s="10">
        <f t="shared" si="38"/>
        <v>0</v>
      </c>
      <c r="BZ40" s="10">
        <f t="shared" si="38"/>
        <v>0</v>
      </c>
      <c r="CA40" s="10">
        <f t="shared" si="38"/>
        <v>0</v>
      </c>
      <c r="CB40" s="10">
        <f t="shared" si="38"/>
        <v>0</v>
      </c>
      <c r="CC40" s="10">
        <f t="shared" si="38"/>
        <v>0</v>
      </c>
      <c r="CE40" s="10">
        <v>30</v>
      </c>
      <c r="CF40" s="10">
        <f>MAX(节奏总纲!D33-$C$7,0)*INDEX($BU$7:$BU$15,MATCH(BY$10,$BT$7:$BT$15,0))/30</f>
        <v>0</v>
      </c>
      <c r="CG40" s="10">
        <f>MAX(节奏总纲!E33-$C$7,0)*INDEX($BU$7:$BU$15,MATCH(BZ$10,$BT$7:$BT$15,0))/30</f>
        <v>0</v>
      </c>
      <c r="CH40" s="10">
        <f>MAX(节奏总纲!F33-$C$7,0)*INDEX($BU$7:$BU$15,MATCH(CA$10,$BT$7:$BT$15,0))/30</f>
        <v>0</v>
      </c>
      <c r="CI40" s="10">
        <f>MAX(节奏总纲!G33-$C$7,0)*INDEX($BU$7:$BU$15,MATCH(CB$10,$BT$7:$BT$15,0))/30</f>
        <v>0</v>
      </c>
      <c r="CJ40" s="10">
        <f>MAX(节奏总纲!H33-$C$7,0)*INDEX($BU$7:$BU$15,MATCH(CC$10,$BT$7:$BT$15,0))/30</f>
        <v>0</v>
      </c>
    </row>
    <row r="41" spans="2:88" x14ac:dyDescent="0.15">
      <c r="O41" s="2">
        <v>30</v>
      </c>
      <c r="P41" s="2">
        <f t="shared" si="21"/>
        <v>600</v>
      </c>
      <c r="AC41" s="2">
        <v>31</v>
      </c>
      <c r="AD41" s="2">
        <f t="shared" si="27"/>
        <v>0</v>
      </c>
      <c r="AE41" s="2">
        <f t="shared" si="28"/>
        <v>23.333333333333332</v>
      </c>
      <c r="AF41" s="2">
        <f t="shared" si="29"/>
        <v>58.333333333333336</v>
      </c>
      <c r="AG41" s="2">
        <f t="shared" si="30"/>
        <v>116.66666666666667</v>
      </c>
      <c r="AH41" s="2">
        <f t="shared" si="31"/>
        <v>233.33333333333334</v>
      </c>
      <c r="AJ41" s="10">
        <v>31</v>
      </c>
      <c r="AK41" s="10">
        <f>IFERROR(求节点(节奏总纲!R$4:R$363,AD$11:AD$370,$AC41),0)</f>
        <v>0</v>
      </c>
      <c r="AL41" s="10">
        <f>IFERROR(求节点(节奏总纲!S$4:S$363,AE$11:AE$370,$AC41),0)</f>
        <v>0</v>
      </c>
      <c r="AM41" s="10">
        <f>IFERROR(求节点(节奏总纲!T$4:T$363,AF$11:AF$370,$AC41),0)</f>
        <v>0</v>
      </c>
      <c r="AN41" s="10">
        <f>IFERROR(求节点(节奏总纲!U$4:U$363,AG$11:AG$370,$AC41),0)</f>
        <v>0</v>
      </c>
      <c r="AO41" s="10">
        <f>IFERROR(求节点(节奏总纲!V$4:V$363,AH$11:AH$370,$AC41),0)</f>
        <v>0</v>
      </c>
      <c r="AZ41" s="10">
        <v>31</v>
      </c>
      <c r="BA41" s="10">
        <f t="shared" si="14"/>
        <v>13066.666666666666</v>
      </c>
      <c r="BB41" s="10">
        <f t="shared" si="15"/>
        <v>19600</v>
      </c>
      <c r="BC41" s="10">
        <f t="shared" si="16"/>
        <v>26133.333333333332</v>
      </c>
      <c r="BD41" s="10">
        <f t="shared" si="17"/>
        <v>32666.666666666668</v>
      </c>
      <c r="BE41" s="10">
        <f t="shared" si="18"/>
        <v>39200</v>
      </c>
      <c r="BG41" s="10">
        <v>31</v>
      </c>
      <c r="BH41" s="10">
        <f>MAX(节奏总纲!D34-$C$7,0)*C$22*$C$8*($AV$6+$AV$22)/30</f>
        <v>0</v>
      </c>
      <c r="BI41" s="10">
        <f>MAX(节奏总纲!E34-$C$7,0)*D$22*$C$8*($AV$6+$AV$22)/30</f>
        <v>0</v>
      </c>
      <c r="BJ41" s="10">
        <f>MAX(节奏总纲!F34-$C$7,0)*E$22*$C$8*($AV$6+$AV$22)/30</f>
        <v>0</v>
      </c>
      <c r="BK41" s="10">
        <f>MAX(节奏总纲!G34-$C$7,0)*F$22*$C$8*($AV$6+$AV$22)/30</f>
        <v>0</v>
      </c>
      <c r="BL41" s="10">
        <f>MAX(节奏总纲!H34-$C$7,0)*G$22*$C$8*($AV$6+$AV$22)/30</f>
        <v>0</v>
      </c>
      <c r="BX41" s="10">
        <v>31</v>
      </c>
      <c r="BY41" s="10">
        <f t="shared" ref="BY41:CC50" si="39">MAX($BX41-$C$7,0)*INDEX($BU$7:$BU$15,MATCH(BY$10,$BT$7:$BT$15,0))/30</f>
        <v>666.66666666666663</v>
      </c>
      <c r="BZ41" s="10">
        <f t="shared" si="39"/>
        <v>1000</v>
      </c>
      <c r="CA41" s="10">
        <f t="shared" si="39"/>
        <v>1333.3333333333333</v>
      </c>
      <c r="CB41" s="10">
        <f t="shared" si="39"/>
        <v>2500</v>
      </c>
      <c r="CC41" s="10">
        <f t="shared" si="39"/>
        <v>8333.3333333333339</v>
      </c>
      <c r="CE41" s="10">
        <v>31</v>
      </c>
      <c r="CF41" s="10">
        <f>MAX(节奏总纲!D34-$C$7,0)*INDEX($BU$7:$BU$15,MATCH(BY$10,$BT$7:$BT$15,0))/30</f>
        <v>0</v>
      </c>
      <c r="CG41" s="10">
        <f>MAX(节奏总纲!E34-$C$7,0)*INDEX($BU$7:$BU$15,MATCH(BZ$10,$BT$7:$BT$15,0))/30</f>
        <v>0</v>
      </c>
      <c r="CH41" s="10">
        <f>MAX(节奏总纲!F34-$C$7,0)*INDEX($BU$7:$BU$15,MATCH(CA$10,$BT$7:$BT$15,0))/30</f>
        <v>0</v>
      </c>
      <c r="CI41" s="10">
        <f>MAX(节奏总纲!G34-$C$7,0)*INDEX($BU$7:$BU$15,MATCH(CB$10,$BT$7:$BT$15,0))/30</f>
        <v>0</v>
      </c>
      <c r="CJ41" s="10">
        <f>MAX(节奏总纲!H34-$C$7,0)*INDEX($BU$7:$BU$15,MATCH(CC$10,$BT$7:$BT$15,0))/30</f>
        <v>0</v>
      </c>
    </row>
    <row r="42" spans="2:88" x14ac:dyDescent="0.15">
      <c r="O42" s="2">
        <v>31</v>
      </c>
      <c r="P42" s="2">
        <f t="shared" si="21"/>
        <v>620</v>
      </c>
      <c r="AC42" s="2">
        <v>32</v>
      </c>
      <c r="AD42" s="2">
        <f t="shared" si="27"/>
        <v>0</v>
      </c>
      <c r="AE42" s="2">
        <f t="shared" si="28"/>
        <v>46.666666666666664</v>
      </c>
      <c r="AF42" s="2">
        <f t="shared" si="29"/>
        <v>116.66666666666667</v>
      </c>
      <c r="AG42" s="2">
        <f t="shared" si="30"/>
        <v>233.33333333333334</v>
      </c>
      <c r="AH42" s="2">
        <f t="shared" si="31"/>
        <v>466.66666666666669</v>
      </c>
      <c r="AJ42" s="10">
        <v>32</v>
      </c>
      <c r="AK42" s="10">
        <f>IFERROR(求节点(节奏总纲!R$4:R$363,AD$11:AD$370,$AC42),0)</f>
        <v>0</v>
      </c>
      <c r="AL42" s="10">
        <f>IFERROR(求节点(节奏总纲!S$4:S$363,AE$11:AE$370,$AC42),0)</f>
        <v>0</v>
      </c>
      <c r="AM42" s="10">
        <f>IFERROR(求节点(节奏总纲!T$4:T$363,AF$11:AF$370,$AC42),0)</f>
        <v>0</v>
      </c>
      <c r="AN42" s="10">
        <f>IFERROR(求节点(节奏总纲!U$4:U$363,AG$11:AG$370,$AC42),0)</f>
        <v>0</v>
      </c>
      <c r="AO42" s="10">
        <f>IFERROR(求节点(节奏总纲!V$4:V$363,AH$11:AH$370,$AC42),0)</f>
        <v>0</v>
      </c>
      <c r="AZ42" s="10">
        <v>32</v>
      </c>
      <c r="BA42" s="10">
        <f t="shared" si="14"/>
        <v>26133.333333333332</v>
      </c>
      <c r="BB42" s="10">
        <f t="shared" si="15"/>
        <v>39200</v>
      </c>
      <c r="BC42" s="10">
        <f t="shared" si="16"/>
        <v>52266.666666666664</v>
      </c>
      <c r="BD42" s="10">
        <f t="shared" si="17"/>
        <v>65333.333333333336</v>
      </c>
      <c r="BE42" s="10">
        <f t="shared" si="18"/>
        <v>78400</v>
      </c>
      <c r="BG42" s="10">
        <v>32</v>
      </c>
      <c r="BH42" s="10">
        <f>MAX(节奏总纲!D35-$C$7,0)*C$22*$C$8*($AV$6+$AV$22)/30</f>
        <v>0</v>
      </c>
      <c r="BI42" s="10">
        <f>MAX(节奏总纲!E35-$C$7,0)*D$22*$C$8*($AV$6+$AV$22)/30</f>
        <v>0</v>
      </c>
      <c r="BJ42" s="10">
        <f>MAX(节奏总纲!F35-$C$7,0)*E$22*$C$8*($AV$6+$AV$22)/30</f>
        <v>0</v>
      </c>
      <c r="BK42" s="10">
        <f>MAX(节奏总纲!G35-$C$7,0)*F$22*$C$8*($AV$6+$AV$22)/30</f>
        <v>0</v>
      </c>
      <c r="BL42" s="10">
        <f>MAX(节奏总纲!H35-$C$7,0)*G$22*$C$8*($AV$6+$AV$22)/30</f>
        <v>0</v>
      </c>
      <c r="BX42" s="10">
        <v>32</v>
      </c>
      <c r="BY42" s="10">
        <f t="shared" si="39"/>
        <v>1333.3333333333333</v>
      </c>
      <c r="BZ42" s="10">
        <f t="shared" si="39"/>
        <v>2000</v>
      </c>
      <c r="CA42" s="10">
        <f t="shared" si="39"/>
        <v>2666.6666666666665</v>
      </c>
      <c r="CB42" s="10">
        <f t="shared" si="39"/>
        <v>5000</v>
      </c>
      <c r="CC42" s="10">
        <f t="shared" si="39"/>
        <v>16666.666666666668</v>
      </c>
      <c r="CE42" s="10">
        <v>32</v>
      </c>
      <c r="CF42" s="10">
        <f>MAX(节奏总纲!D35-$C$7,0)*INDEX($BU$7:$BU$15,MATCH(BY$10,$BT$7:$BT$15,0))/30</f>
        <v>0</v>
      </c>
      <c r="CG42" s="10">
        <f>MAX(节奏总纲!E35-$C$7,0)*INDEX($BU$7:$BU$15,MATCH(BZ$10,$BT$7:$BT$15,0))/30</f>
        <v>0</v>
      </c>
      <c r="CH42" s="10">
        <f>MAX(节奏总纲!F35-$C$7,0)*INDEX($BU$7:$BU$15,MATCH(CA$10,$BT$7:$BT$15,0))/30</f>
        <v>0</v>
      </c>
      <c r="CI42" s="10">
        <f>MAX(节奏总纲!G35-$C$7,0)*INDEX($BU$7:$BU$15,MATCH(CB$10,$BT$7:$BT$15,0))/30</f>
        <v>0</v>
      </c>
      <c r="CJ42" s="10">
        <f>MAX(节奏总纲!H35-$C$7,0)*INDEX($BU$7:$BU$15,MATCH(CC$10,$BT$7:$BT$15,0))/30</f>
        <v>0</v>
      </c>
    </row>
    <row r="43" spans="2:88" x14ac:dyDescent="0.15">
      <c r="O43" s="2">
        <v>32</v>
      </c>
      <c r="P43" s="2">
        <f t="shared" si="21"/>
        <v>640</v>
      </c>
      <c r="AC43" s="2">
        <v>33</v>
      </c>
      <c r="AD43" s="2">
        <f t="shared" si="27"/>
        <v>0</v>
      </c>
      <c r="AE43" s="2">
        <f t="shared" si="28"/>
        <v>70</v>
      </c>
      <c r="AF43" s="2">
        <f t="shared" si="29"/>
        <v>175</v>
      </c>
      <c r="AG43" s="2">
        <f t="shared" si="30"/>
        <v>350</v>
      </c>
      <c r="AH43" s="2">
        <f t="shared" si="31"/>
        <v>700</v>
      </c>
      <c r="AJ43" s="10">
        <v>33</v>
      </c>
      <c r="AK43" s="10">
        <f>IFERROR(求节点(节奏总纲!R$4:R$363,AD$11:AD$370,$AC43),0)</f>
        <v>0</v>
      </c>
      <c r="AL43" s="10">
        <f>IFERROR(求节点(节奏总纲!S$4:S$363,AE$11:AE$370,$AC43),0)</f>
        <v>0</v>
      </c>
      <c r="AM43" s="10">
        <f>IFERROR(求节点(节奏总纲!T$4:T$363,AF$11:AF$370,$AC43),0)</f>
        <v>0</v>
      </c>
      <c r="AN43" s="10">
        <f>IFERROR(求节点(节奏总纲!U$4:U$363,AG$11:AG$370,$AC43),0)</f>
        <v>0</v>
      </c>
      <c r="AO43" s="10">
        <f>IFERROR(求节点(节奏总纲!V$4:V$363,AH$11:AH$370,$AC43),0)</f>
        <v>0</v>
      </c>
      <c r="AZ43" s="10">
        <v>33</v>
      </c>
      <c r="BA43" s="10">
        <f t="shared" si="14"/>
        <v>39200</v>
      </c>
      <c r="BB43" s="10">
        <f t="shared" si="15"/>
        <v>58800</v>
      </c>
      <c r="BC43" s="10">
        <f t="shared" si="16"/>
        <v>78400</v>
      </c>
      <c r="BD43" s="10">
        <f t="shared" si="17"/>
        <v>98000</v>
      </c>
      <c r="BE43" s="10">
        <f t="shared" si="18"/>
        <v>117600</v>
      </c>
      <c r="BG43" s="10">
        <v>33</v>
      </c>
      <c r="BH43" s="10">
        <f>MAX(节奏总纲!D36-$C$7,0)*C$22*$C$8*($AV$6+$AV$22)/30</f>
        <v>0</v>
      </c>
      <c r="BI43" s="10">
        <f>MAX(节奏总纲!E36-$C$7,0)*D$22*$C$8*($AV$6+$AV$22)/30</f>
        <v>0</v>
      </c>
      <c r="BJ43" s="10">
        <f>MAX(节奏总纲!F36-$C$7,0)*E$22*$C$8*($AV$6+$AV$22)/30</f>
        <v>0</v>
      </c>
      <c r="BK43" s="10">
        <f>MAX(节奏总纲!G36-$C$7,0)*F$22*$C$8*($AV$6+$AV$22)/30</f>
        <v>0</v>
      </c>
      <c r="BL43" s="10">
        <f>MAX(节奏总纲!H36-$C$7,0)*G$22*$C$8*($AV$6+$AV$22)/30</f>
        <v>0</v>
      </c>
      <c r="BX43" s="10">
        <v>33</v>
      </c>
      <c r="BY43" s="10">
        <f t="shared" si="39"/>
        <v>2000</v>
      </c>
      <c r="BZ43" s="10">
        <f t="shared" si="39"/>
        <v>3000</v>
      </c>
      <c r="CA43" s="10">
        <f t="shared" si="39"/>
        <v>4000</v>
      </c>
      <c r="CB43" s="10">
        <f t="shared" si="39"/>
        <v>7500</v>
      </c>
      <c r="CC43" s="10">
        <f t="shared" si="39"/>
        <v>25000</v>
      </c>
      <c r="CE43" s="10">
        <v>33</v>
      </c>
      <c r="CF43" s="10">
        <f>MAX(节奏总纲!D36-$C$7,0)*INDEX($BU$7:$BU$15,MATCH(BY$10,$BT$7:$BT$15,0))/30</f>
        <v>0</v>
      </c>
      <c r="CG43" s="10">
        <f>MAX(节奏总纲!E36-$C$7,0)*INDEX($BU$7:$BU$15,MATCH(BZ$10,$BT$7:$BT$15,0))/30</f>
        <v>0</v>
      </c>
      <c r="CH43" s="10">
        <f>MAX(节奏总纲!F36-$C$7,0)*INDEX($BU$7:$BU$15,MATCH(CA$10,$BT$7:$BT$15,0))/30</f>
        <v>0</v>
      </c>
      <c r="CI43" s="10">
        <f>MAX(节奏总纲!G36-$C$7,0)*INDEX($BU$7:$BU$15,MATCH(CB$10,$BT$7:$BT$15,0))/30</f>
        <v>0</v>
      </c>
      <c r="CJ43" s="10">
        <f>MAX(节奏总纲!H36-$C$7,0)*INDEX($BU$7:$BU$15,MATCH(CC$10,$BT$7:$BT$15,0))/30</f>
        <v>0</v>
      </c>
    </row>
    <row r="44" spans="2:88" x14ac:dyDescent="0.15">
      <c r="O44" s="2">
        <v>33</v>
      </c>
      <c r="P44" s="2">
        <f t="shared" si="21"/>
        <v>660</v>
      </c>
      <c r="AC44" s="2">
        <v>34</v>
      </c>
      <c r="AD44" s="2">
        <f t="shared" si="27"/>
        <v>0</v>
      </c>
      <c r="AE44" s="2">
        <f t="shared" si="28"/>
        <v>93.333333333333329</v>
      </c>
      <c r="AF44" s="2">
        <f t="shared" si="29"/>
        <v>233.33333333333334</v>
      </c>
      <c r="AG44" s="2">
        <f t="shared" si="30"/>
        <v>466.66666666666669</v>
      </c>
      <c r="AH44" s="2">
        <f t="shared" si="31"/>
        <v>933.33333333333337</v>
      </c>
      <c r="AJ44" s="10">
        <v>34</v>
      </c>
      <c r="AK44" s="10">
        <f>IFERROR(求节点(节奏总纲!R$4:R$363,AD$11:AD$370,$AC44),0)</f>
        <v>0</v>
      </c>
      <c r="AL44" s="10">
        <f>IFERROR(求节点(节奏总纲!S$4:S$363,AE$11:AE$370,$AC44),0)</f>
        <v>0</v>
      </c>
      <c r="AM44" s="10">
        <f>IFERROR(求节点(节奏总纲!T$4:T$363,AF$11:AF$370,$AC44),0)</f>
        <v>0</v>
      </c>
      <c r="AN44" s="10">
        <f>IFERROR(求节点(节奏总纲!U$4:U$363,AG$11:AG$370,$AC44),0)</f>
        <v>0</v>
      </c>
      <c r="AO44" s="10">
        <f>IFERROR(求节点(节奏总纲!V$4:V$363,AH$11:AH$370,$AC44),0)</f>
        <v>0</v>
      </c>
      <c r="AZ44" s="10">
        <v>34</v>
      </c>
      <c r="BA44" s="10">
        <f t="shared" si="14"/>
        <v>52266.666666666664</v>
      </c>
      <c r="BB44" s="10">
        <f t="shared" si="15"/>
        <v>78400</v>
      </c>
      <c r="BC44" s="10">
        <f t="shared" si="16"/>
        <v>104533.33333333333</v>
      </c>
      <c r="BD44" s="10">
        <f t="shared" si="17"/>
        <v>130666.66666666667</v>
      </c>
      <c r="BE44" s="10">
        <f t="shared" si="18"/>
        <v>156800</v>
      </c>
      <c r="BG44" s="10">
        <v>34</v>
      </c>
      <c r="BH44" s="10">
        <f>MAX(节奏总纲!D37-$C$7,0)*C$22*$C$8*($AV$6+$AV$22)/30</f>
        <v>0</v>
      </c>
      <c r="BI44" s="10">
        <f>MAX(节奏总纲!E37-$C$7,0)*D$22*$C$8*($AV$6+$AV$22)/30</f>
        <v>0</v>
      </c>
      <c r="BJ44" s="10">
        <f>MAX(节奏总纲!F37-$C$7,0)*E$22*$C$8*($AV$6+$AV$22)/30</f>
        <v>0</v>
      </c>
      <c r="BK44" s="10">
        <f>MAX(节奏总纲!G37-$C$7,0)*F$22*$C$8*($AV$6+$AV$22)/30</f>
        <v>0</v>
      </c>
      <c r="BL44" s="10">
        <f>MAX(节奏总纲!H37-$C$7,0)*G$22*$C$8*($AV$6+$AV$22)/30</f>
        <v>0</v>
      </c>
      <c r="BX44" s="10">
        <v>34</v>
      </c>
      <c r="BY44" s="10">
        <f t="shared" si="39"/>
        <v>2666.6666666666665</v>
      </c>
      <c r="BZ44" s="10">
        <f t="shared" si="39"/>
        <v>4000</v>
      </c>
      <c r="CA44" s="10">
        <f t="shared" si="39"/>
        <v>5333.333333333333</v>
      </c>
      <c r="CB44" s="10">
        <f t="shared" si="39"/>
        <v>10000</v>
      </c>
      <c r="CC44" s="10">
        <f t="shared" si="39"/>
        <v>33333.333333333336</v>
      </c>
      <c r="CE44" s="10">
        <v>34</v>
      </c>
      <c r="CF44" s="10">
        <f>MAX(节奏总纲!D37-$C$7,0)*INDEX($BU$7:$BU$15,MATCH(BY$10,$BT$7:$BT$15,0))/30</f>
        <v>0</v>
      </c>
      <c r="CG44" s="10">
        <f>MAX(节奏总纲!E37-$C$7,0)*INDEX($BU$7:$BU$15,MATCH(BZ$10,$BT$7:$BT$15,0))/30</f>
        <v>0</v>
      </c>
      <c r="CH44" s="10">
        <f>MAX(节奏总纲!F37-$C$7,0)*INDEX($BU$7:$BU$15,MATCH(CA$10,$BT$7:$BT$15,0))/30</f>
        <v>0</v>
      </c>
      <c r="CI44" s="10">
        <f>MAX(节奏总纲!G37-$C$7,0)*INDEX($BU$7:$BU$15,MATCH(CB$10,$BT$7:$BT$15,0))/30</f>
        <v>0</v>
      </c>
      <c r="CJ44" s="10">
        <f>MAX(节奏总纲!H37-$C$7,0)*INDEX($BU$7:$BU$15,MATCH(CC$10,$BT$7:$BT$15,0))/30</f>
        <v>0</v>
      </c>
    </row>
    <row r="45" spans="2:88" x14ac:dyDescent="0.15">
      <c r="O45" s="2">
        <v>34</v>
      </c>
      <c r="P45" s="2">
        <f t="shared" si="21"/>
        <v>680</v>
      </c>
      <c r="AC45" s="2">
        <v>35</v>
      </c>
      <c r="AD45" s="2">
        <f t="shared" si="27"/>
        <v>0</v>
      </c>
      <c r="AE45" s="2">
        <f t="shared" si="28"/>
        <v>116.66666666666667</v>
      </c>
      <c r="AF45" s="2">
        <f t="shared" si="29"/>
        <v>291.66666666666669</v>
      </c>
      <c r="AG45" s="2">
        <f t="shared" si="30"/>
        <v>583.33333333333337</v>
      </c>
      <c r="AH45" s="2">
        <f t="shared" si="31"/>
        <v>1166.6666666666667</v>
      </c>
      <c r="AJ45" s="10">
        <v>35</v>
      </c>
      <c r="AK45" s="10">
        <f>IFERROR(求节点(节奏总纲!R$4:R$363,AD$11:AD$370,$AC45),0)</f>
        <v>0</v>
      </c>
      <c r="AL45" s="10">
        <f>IFERROR(求节点(节奏总纲!S$4:S$363,AE$11:AE$370,$AC45),0)</f>
        <v>0</v>
      </c>
      <c r="AM45" s="10">
        <f>IFERROR(求节点(节奏总纲!T$4:T$363,AF$11:AF$370,$AC45),0)</f>
        <v>0</v>
      </c>
      <c r="AN45" s="10">
        <f>IFERROR(求节点(节奏总纲!U$4:U$363,AG$11:AG$370,$AC45),0)</f>
        <v>0</v>
      </c>
      <c r="AO45" s="10">
        <f>IFERROR(求节点(节奏总纲!V$4:V$363,AH$11:AH$370,$AC45),0)</f>
        <v>0</v>
      </c>
      <c r="AZ45" s="10">
        <v>35</v>
      </c>
      <c r="BA45" s="10">
        <f t="shared" si="14"/>
        <v>65333.333333333336</v>
      </c>
      <c r="BB45" s="10">
        <f t="shared" si="15"/>
        <v>98000</v>
      </c>
      <c r="BC45" s="10">
        <f t="shared" si="16"/>
        <v>130666.66666666667</v>
      </c>
      <c r="BD45" s="10">
        <f t="shared" si="17"/>
        <v>163333.33333333334</v>
      </c>
      <c r="BE45" s="10">
        <f t="shared" si="18"/>
        <v>196000</v>
      </c>
      <c r="BG45" s="10">
        <v>35</v>
      </c>
      <c r="BH45" s="10">
        <f>MAX(节奏总纲!D38-$C$7,0)*C$22*$C$8*($AV$6+$AV$22)/30</f>
        <v>0</v>
      </c>
      <c r="BI45" s="10">
        <f>MAX(节奏总纲!E38-$C$7,0)*D$22*$C$8*($AV$6+$AV$22)/30</f>
        <v>0</v>
      </c>
      <c r="BJ45" s="10">
        <f>MAX(节奏总纲!F38-$C$7,0)*E$22*$C$8*($AV$6+$AV$22)/30</f>
        <v>0</v>
      </c>
      <c r="BK45" s="10">
        <f>MAX(节奏总纲!G38-$C$7,0)*F$22*$C$8*($AV$6+$AV$22)/30</f>
        <v>0</v>
      </c>
      <c r="BL45" s="10">
        <f>MAX(节奏总纲!H38-$C$7,0)*G$22*$C$8*($AV$6+$AV$22)/30</f>
        <v>0</v>
      </c>
      <c r="BX45" s="10">
        <v>35</v>
      </c>
      <c r="BY45" s="10">
        <f t="shared" si="39"/>
        <v>3333.3333333333335</v>
      </c>
      <c r="BZ45" s="10">
        <f t="shared" si="39"/>
        <v>5000</v>
      </c>
      <c r="CA45" s="10">
        <f t="shared" si="39"/>
        <v>6666.666666666667</v>
      </c>
      <c r="CB45" s="10">
        <f t="shared" si="39"/>
        <v>12500</v>
      </c>
      <c r="CC45" s="10">
        <f t="shared" si="39"/>
        <v>41666.666666666664</v>
      </c>
      <c r="CE45" s="10">
        <v>35</v>
      </c>
      <c r="CF45" s="10">
        <f>MAX(节奏总纲!D38-$C$7,0)*INDEX($BU$7:$BU$15,MATCH(BY$10,$BT$7:$BT$15,0))/30</f>
        <v>0</v>
      </c>
      <c r="CG45" s="10">
        <f>MAX(节奏总纲!E38-$C$7,0)*INDEX($BU$7:$BU$15,MATCH(BZ$10,$BT$7:$BT$15,0))/30</f>
        <v>0</v>
      </c>
      <c r="CH45" s="10">
        <f>MAX(节奏总纲!F38-$C$7,0)*INDEX($BU$7:$BU$15,MATCH(CA$10,$BT$7:$BT$15,0))/30</f>
        <v>0</v>
      </c>
      <c r="CI45" s="10">
        <f>MAX(节奏总纲!G38-$C$7,0)*INDEX($BU$7:$BU$15,MATCH(CB$10,$BT$7:$BT$15,0))/30</f>
        <v>0</v>
      </c>
      <c r="CJ45" s="10">
        <f>MAX(节奏总纲!H38-$C$7,0)*INDEX($BU$7:$BU$15,MATCH(CC$10,$BT$7:$BT$15,0))/30</f>
        <v>0</v>
      </c>
    </row>
    <row r="46" spans="2:88" x14ac:dyDescent="0.15">
      <c r="O46" s="2">
        <v>35</v>
      </c>
      <c r="P46" s="2">
        <f t="shared" si="21"/>
        <v>700</v>
      </c>
      <c r="AC46" s="2">
        <v>36</v>
      </c>
      <c r="AD46" s="2">
        <f t="shared" si="27"/>
        <v>0</v>
      </c>
      <c r="AE46" s="2">
        <f t="shared" si="28"/>
        <v>140</v>
      </c>
      <c r="AF46" s="2">
        <f t="shared" si="29"/>
        <v>350</v>
      </c>
      <c r="AG46" s="2">
        <f t="shared" si="30"/>
        <v>700</v>
      </c>
      <c r="AH46" s="2">
        <f t="shared" si="31"/>
        <v>1400</v>
      </c>
      <c r="AJ46" s="10">
        <v>36</v>
      </c>
      <c r="AK46" s="10">
        <f>IFERROR(求节点(节奏总纲!R$4:R$363,AD$11:AD$370,$AC46),0)</f>
        <v>0</v>
      </c>
      <c r="AL46" s="10">
        <f>IFERROR(求节点(节奏总纲!S$4:S$363,AE$11:AE$370,$AC46),0)</f>
        <v>0</v>
      </c>
      <c r="AM46" s="10">
        <f>IFERROR(求节点(节奏总纲!T$4:T$363,AF$11:AF$370,$AC46),0)</f>
        <v>0</v>
      </c>
      <c r="AN46" s="10">
        <f>IFERROR(求节点(节奏总纲!U$4:U$363,AG$11:AG$370,$AC46),0)</f>
        <v>0</v>
      </c>
      <c r="AO46" s="10">
        <f>IFERROR(求节点(节奏总纲!V$4:V$363,AH$11:AH$370,$AC46),0)</f>
        <v>0</v>
      </c>
      <c r="AZ46" s="10">
        <v>36</v>
      </c>
      <c r="BA46" s="10">
        <f t="shared" si="14"/>
        <v>78400</v>
      </c>
      <c r="BB46" s="10">
        <f t="shared" si="15"/>
        <v>117600</v>
      </c>
      <c r="BC46" s="10">
        <f t="shared" si="16"/>
        <v>156800</v>
      </c>
      <c r="BD46" s="10">
        <f t="shared" si="17"/>
        <v>196000</v>
      </c>
      <c r="BE46" s="10">
        <f t="shared" si="18"/>
        <v>235200</v>
      </c>
      <c r="BG46" s="10">
        <v>36</v>
      </c>
      <c r="BH46" s="10">
        <f>MAX(节奏总纲!D39-$C$7,0)*C$22*$C$8*($AV$6+$AV$22)/30</f>
        <v>0</v>
      </c>
      <c r="BI46" s="10">
        <f>MAX(节奏总纲!E39-$C$7,0)*D$22*$C$8*($AV$6+$AV$22)/30</f>
        <v>0</v>
      </c>
      <c r="BJ46" s="10">
        <f>MAX(节奏总纲!F39-$C$7,0)*E$22*$C$8*($AV$6+$AV$22)/30</f>
        <v>0</v>
      </c>
      <c r="BK46" s="10">
        <f>MAX(节奏总纲!G39-$C$7,0)*F$22*$C$8*($AV$6+$AV$22)/30</f>
        <v>0</v>
      </c>
      <c r="BL46" s="10">
        <f>MAX(节奏总纲!H39-$C$7,0)*G$22*$C$8*($AV$6+$AV$22)/30</f>
        <v>0</v>
      </c>
      <c r="BX46" s="10">
        <v>36</v>
      </c>
      <c r="BY46" s="10">
        <f t="shared" si="39"/>
        <v>4000</v>
      </c>
      <c r="BZ46" s="10">
        <f t="shared" si="39"/>
        <v>6000</v>
      </c>
      <c r="CA46" s="10">
        <f t="shared" si="39"/>
        <v>8000</v>
      </c>
      <c r="CB46" s="10">
        <f t="shared" si="39"/>
        <v>15000</v>
      </c>
      <c r="CC46" s="10">
        <f t="shared" si="39"/>
        <v>50000</v>
      </c>
      <c r="CE46" s="10">
        <v>36</v>
      </c>
      <c r="CF46" s="10">
        <f>MAX(节奏总纲!D39-$C$7,0)*INDEX($BU$7:$BU$15,MATCH(BY$10,$BT$7:$BT$15,0))/30</f>
        <v>0</v>
      </c>
      <c r="CG46" s="10">
        <f>MAX(节奏总纲!E39-$C$7,0)*INDEX($BU$7:$BU$15,MATCH(BZ$10,$BT$7:$BT$15,0))/30</f>
        <v>0</v>
      </c>
      <c r="CH46" s="10">
        <f>MAX(节奏总纲!F39-$C$7,0)*INDEX($BU$7:$BU$15,MATCH(CA$10,$BT$7:$BT$15,0))/30</f>
        <v>0</v>
      </c>
      <c r="CI46" s="10">
        <f>MAX(节奏总纲!G39-$C$7,0)*INDEX($BU$7:$BU$15,MATCH(CB$10,$BT$7:$BT$15,0))/30</f>
        <v>0</v>
      </c>
      <c r="CJ46" s="10">
        <f>MAX(节奏总纲!H39-$C$7,0)*INDEX($BU$7:$BU$15,MATCH(CC$10,$BT$7:$BT$15,0))/30</f>
        <v>0</v>
      </c>
    </row>
    <row r="47" spans="2:88" x14ac:dyDescent="0.15">
      <c r="O47" s="2">
        <v>36</v>
      </c>
      <c r="P47" s="2">
        <f t="shared" ref="P47:P110" si="40">P46+INDEX($L$11:$L$32,MATCH(P46,$J$11:$J$32,1))</f>
        <v>720</v>
      </c>
      <c r="AC47" s="2">
        <v>37</v>
      </c>
      <c r="AD47" s="2">
        <f t="shared" si="27"/>
        <v>0</v>
      </c>
      <c r="AE47" s="2">
        <f t="shared" si="28"/>
        <v>163.33333333333334</v>
      </c>
      <c r="AF47" s="2">
        <f t="shared" si="29"/>
        <v>408.33333333333331</v>
      </c>
      <c r="AG47" s="2">
        <f t="shared" si="30"/>
        <v>816.66666666666663</v>
      </c>
      <c r="AH47" s="2">
        <f t="shared" si="31"/>
        <v>1633.3333333333333</v>
      </c>
      <c r="AJ47" s="10">
        <v>37</v>
      </c>
      <c r="AK47" s="10">
        <f>IFERROR(求节点(节奏总纲!R$4:R$363,AD$11:AD$370,$AC47),0)</f>
        <v>0</v>
      </c>
      <c r="AL47" s="10">
        <f>IFERROR(求节点(节奏总纲!S$4:S$363,AE$11:AE$370,$AC47),0)</f>
        <v>0</v>
      </c>
      <c r="AM47" s="10">
        <f>IFERROR(求节点(节奏总纲!T$4:T$363,AF$11:AF$370,$AC47),0)</f>
        <v>0</v>
      </c>
      <c r="AN47" s="10">
        <f>IFERROR(求节点(节奏总纲!U$4:U$363,AG$11:AG$370,$AC47),0)</f>
        <v>0</v>
      </c>
      <c r="AO47" s="10">
        <f>IFERROR(求节点(节奏总纲!V$4:V$363,AH$11:AH$370,$AC47),0)</f>
        <v>0</v>
      </c>
      <c r="AZ47" s="10">
        <v>37</v>
      </c>
      <c r="BA47" s="10">
        <f t="shared" si="14"/>
        <v>91466.666666666672</v>
      </c>
      <c r="BB47" s="10">
        <f t="shared" si="15"/>
        <v>137200</v>
      </c>
      <c r="BC47" s="10">
        <f t="shared" si="16"/>
        <v>182933.33333333334</v>
      </c>
      <c r="BD47" s="10">
        <f t="shared" si="17"/>
        <v>228666.66666666666</v>
      </c>
      <c r="BE47" s="10">
        <f t="shared" si="18"/>
        <v>274400</v>
      </c>
      <c r="BG47" s="10">
        <v>37</v>
      </c>
      <c r="BH47" s="10">
        <f>MAX(节奏总纲!D40-$C$7,0)*C$22*$C$8*($AV$6+$AV$22)/30</f>
        <v>0</v>
      </c>
      <c r="BI47" s="10">
        <f>MAX(节奏总纲!E40-$C$7,0)*D$22*$C$8*($AV$6+$AV$22)/30</f>
        <v>0</v>
      </c>
      <c r="BJ47" s="10">
        <f>MAX(节奏总纲!F40-$C$7,0)*E$22*$C$8*($AV$6+$AV$22)/30</f>
        <v>0</v>
      </c>
      <c r="BK47" s="10">
        <f>MAX(节奏总纲!G40-$C$7,0)*F$22*$C$8*($AV$6+$AV$22)/30</f>
        <v>0</v>
      </c>
      <c r="BL47" s="10">
        <f>MAX(节奏总纲!H40-$C$7,0)*G$22*$C$8*($AV$6+$AV$22)/30</f>
        <v>0</v>
      </c>
      <c r="BX47" s="10">
        <v>37</v>
      </c>
      <c r="BY47" s="10">
        <f t="shared" si="39"/>
        <v>4666.666666666667</v>
      </c>
      <c r="BZ47" s="10">
        <f t="shared" si="39"/>
        <v>7000</v>
      </c>
      <c r="CA47" s="10">
        <f t="shared" si="39"/>
        <v>9333.3333333333339</v>
      </c>
      <c r="CB47" s="10">
        <f t="shared" si="39"/>
        <v>17500</v>
      </c>
      <c r="CC47" s="10">
        <f t="shared" si="39"/>
        <v>58333.333333333336</v>
      </c>
      <c r="CE47" s="10">
        <v>37</v>
      </c>
      <c r="CF47" s="10">
        <f>MAX(节奏总纲!D40-$C$7,0)*INDEX($BU$7:$BU$15,MATCH(BY$10,$BT$7:$BT$15,0))/30</f>
        <v>0</v>
      </c>
      <c r="CG47" s="10">
        <f>MAX(节奏总纲!E40-$C$7,0)*INDEX($BU$7:$BU$15,MATCH(BZ$10,$BT$7:$BT$15,0))/30</f>
        <v>0</v>
      </c>
      <c r="CH47" s="10">
        <f>MAX(节奏总纲!F40-$C$7,0)*INDEX($BU$7:$BU$15,MATCH(CA$10,$BT$7:$BT$15,0))/30</f>
        <v>0</v>
      </c>
      <c r="CI47" s="10">
        <f>MAX(节奏总纲!G40-$C$7,0)*INDEX($BU$7:$BU$15,MATCH(CB$10,$BT$7:$BT$15,0))/30</f>
        <v>0</v>
      </c>
      <c r="CJ47" s="10">
        <f>MAX(节奏总纲!H40-$C$7,0)*INDEX($BU$7:$BU$15,MATCH(CC$10,$BT$7:$BT$15,0))/30</f>
        <v>0</v>
      </c>
    </row>
    <row r="48" spans="2:88" x14ac:dyDescent="0.15">
      <c r="O48" s="2">
        <v>37</v>
      </c>
      <c r="P48" s="2">
        <f t="shared" si="40"/>
        <v>740</v>
      </c>
      <c r="AC48" s="2">
        <v>38</v>
      </c>
      <c r="AD48" s="2">
        <f t="shared" si="27"/>
        <v>0</v>
      </c>
      <c r="AE48" s="2">
        <f t="shared" si="28"/>
        <v>186.66666666666666</v>
      </c>
      <c r="AF48" s="2">
        <f t="shared" si="29"/>
        <v>466.66666666666669</v>
      </c>
      <c r="AG48" s="2">
        <f t="shared" si="30"/>
        <v>933.33333333333337</v>
      </c>
      <c r="AH48" s="2">
        <f t="shared" si="31"/>
        <v>1866.6666666666667</v>
      </c>
      <c r="AJ48" s="10">
        <v>38</v>
      </c>
      <c r="AK48" s="10">
        <f>IFERROR(求节点(节奏总纲!R$4:R$363,AD$11:AD$370,$AC48),0)</f>
        <v>0</v>
      </c>
      <c r="AL48" s="10">
        <f>IFERROR(求节点(节奏总纲!S$4:S$363,AE$11:AE$370,$AC48),0)</f>
        <v>0</v>
      </c>
      <c r="AM48" s="10">
        <f>IFERROR(求节点(节奏总纲!T$4:T$363,AF$11:AF$370,$AC48),0)</f>
        <v>0</v>
      </c>
      <c r="AN48" s="10">
        <f>IFERROR(求节点(节奏总纲!U$4:U$363,AG$11:AG$370,$AC48),0)</f>
        <v>0</v>
      </c>
      <c r="AO48" s="10">
        <f>IFERROR(求节点(节奏总纲!V$4:V$363,AH$11:AH$370,$AC48),0)</f>
        <v>0</v>
      </c>
      <c r="AZ48" s="10">
        <v>38</v>
      </c>
      <c r="BA48" s="10">
        <f t="shared" si="14"/>
        <v>104533.33333333333</v>
      </c>
      <c r="BB48" s="10">
        <f t="shared" si="15"/>
        <v>156800</v>
      </c>
      <c r="BC48" s="10">
        <f t="shared" si="16"/>
        <v>209066.66666666666</v>
      </c>
      <c r="BD48" s="10">
        <f t="shared" si="17"/>
        <v>261333.33333333334</v>
      </c>
      <c r="BE48" s="10">
        <f t="shared" si="18"/>
        <v>313600</v>
      </c>
      <c r="BG48" s="10">
        <v>38</v>
      </c>
      <c r="BH48" s="10">
        <f>MAX(节奏总纲!D41-$C$7,0)*C$22*$C$8*($AV$6+$AV$22)/30</f>
        <v>0</v>
      </c>
      <c r="BI48" s="10">
        <f>MAX(节奏总纲!E41-$C$7,0)*D$22*$C$8*($AV$6+$AV$22)/30</f>
        <v>0</v>
      </c>
      <c r="BJ48" s="10">
        <f>MAX(节奏总纲!F41-$C$7,0)*E$22*$C$8*($AV$6+$AV$22)/30</f>
        <v>0</v>
      </c>
      <c r="BK48" s="10">
        <f>MAX(节奏总纲!G41-$C$7,0)*F$22*$C$8*($AV$6+$AV$22)/30</f>
        <v>0</v>
      </c>
      <c r="BL48" s="10">
        <f>MAX(节奏总纲!H41-$C$7,0)*G$22*$C$8*($AV$6+$AV$22)/30</f>
        <v>0</v>
      </c>
      <c r="BX48" s="10">
        <v>38</v>
      </c>
      <c r="BY48" s="10">
        <f t="shared" si="39"/>
        <v>5333.333333333333</v>
      </c>
      <c r="BZ48" s="10">
        <f t="shared" si="39"/>
        <v>8000</v>
      </c>
      <c r="CA48" s="10">
        <f t="shared" si="39"/>
        <v>10666.666666666666</v>
      </c>
      <c r="CB48" s="10">
        <f t="shared" si="39"/>
        <v>20000</v>
      </c>
      <c r="CC48" s="10">
        <f t="shared" si="39"/>
        <v>66666.666666666672</v>
      </c>
      <c r="CE48" s="10">
        <v>38</v>
      </c>
      <c r="CF48" s="10">
        <f>MAX(节奏总纲!D41-$C$7,0)*INDEX($BU$7:$BU$15,MATCH(BY$10,$BT$7:$BT$15,0))/30</f>
        <v>0</v>
      </c>
      <c r="CG48" s="10">
        <f>MAX(节奏总纲!E41-$C$7,0)*INDEX($BU$7:$BU$15,MATCH(BZ$10,$BT$7:$BT$15,0))/30</f>
        <v>0</v>
      </c>
      <c r="CH48" s="10">
        <f>MAX(节奏总纲!F41-$C$7,0)*INDEX($BU$7:$BU$15,MATCH(CA$10,$BT$7:$BT$15,0))/30</f>
        <v>0</v>
      </c>
      <c r="CI48" s="10">
        <f>MAX(节奏总纲!G41-$C$7,0)*INDEX($BU$7:$BU$15,MATCH(CB$10,$BT$7:$BT$15,0))/30</f>
        <v>0</v>
      </c>
      <c r="CJ48" s="10">
        <f>MAX(节奏总纲!H41-$C$7,0)*INDEX($BU$7:$BU$15,MATCH(CC$10,$BT$7:$BT$15,0))/30</f>
        <v>0</v>
      </c>
    </row>
    <row r="49" spans="15:88" x14ac:dyDescent="0.15">
      <c r="O49" s="2">
        <v>38</v>
      </c>
      <c r="P49" s="2">
        <f t="shared" si="40"/>
        <v>760</v>
      </c>
      <c r="AC49" s="2">
        <v>39</v>
      </c>
      <c r="AD49" s="2">
        <f t="shared" si="27"/>
        <v>0</v>
      </c>
      <c r="AE49" s="2">
        <f t="shared" si="28"/>
        <v>210</v>
      </c>
      <c r="AF49" s="2">
        <f t="shared" si="29"/>
        <v>525</v>
      </c>
      <c r="AG49" s="2">
        <f t="shared" si="30"/>
        <v>1050</v>
      </c>
      <c r="AH49" s="2">
        <f t="shared" si="31"/>
        <v>2100</v>
      </c>
      <c r="AJ49" s="10">
        <v>39</v>
      </c>
      <c r="AK49" s="10">
        <f>IFERROR(求节点(节奏总纲!R$4:R$363,AD$11:AD$370,$AC49),0)</f>
        <v>0</v>
      </c>
      <c r="AL49" s="10">
        <f>IFERROR(求节点(节奏总纲!S$4:S$363,AE$11:AE$370,$AC49),0)</f>
        <v>0</v>
      </c>
      <c r="AM49" s="10">
        <f>IFERROR(求节点(节奏总纲!T$4:T$363,AF$11:AF$370,$AC49),0)</f>
        <v>0</v>
      </c>
      <c r="AN49" s="10">
        <f>IFERROR(求节点(节奏总纲!U$4:U$363,AG$11:AG$370,$AC49),0)</f>
        <v>0</v>
      </c>
      <c r="AO49" s="10">
        <f>IFERROR(求节点(节奏总纲!V$4:V$363,AH$11:AH$370,$AC49),0)</f>
        <v>0</v>
      </c>
      <c r="AZ49" s="10">
        <v>39</v>
      </c>
      <c r="BA49" s="10">
        <f t="shared" si="14"/>
        <v>117600</v>
      </c>
      <c r="BB49" s="10">
        <f t="shared" si="15"/>
        <v>176400</v>
      </c>
      <c r="BC49" s="10">
        <f t="shared" si="16"/>
        <v>235200</v>
      </c>
      <c r="BD49" s="10">
        <f t="shared" si="17"/>
        <v>294000</v>
      </c>
      <c r="BE49" s="10">
        <f t="shared" si="18"/>
        <v>352800</v>
      </c>
      <c r="BG49" s="10">
        <v>39</v>
      </c>
      <c r="BH49" s="10">
        <f>MAX(节奏总纲!D42-$C$7,0)*C$22*$C$8*($AV$6+$AV$22)/30</f>
        <v>0</v>
      </c>
      <c r="BI49" s="10">
        <f>MAX(节奏总纲!E42-$C$7,0)*D$22*$C$8*($AV$6+$AV$22)/30</f>
        <v>0</v>
      </c>
      <c r="BJ49" s="10">
        <f>MAX(节奏总纲!F42-$C$7,0)*E$22*$C$8*($AV$6+$AV$22)/30</f>
        <v>0</v>
      </c>
      <c r="BK49" s="10">
        <f>MAX(节奏总纲!G42-$C$7,0)*F$22*$C$8*($AV$6+$AV$22)/30</f>
        <v>0</v>
      </c>
      <c r="BL49" s="10">
        <f>MAX(节奏总纲!H42-$C$7,0)*G$22*$C$8*($AV$6+$AV$22)/30</f>
        <v>0</v>
      </c>
      <c r="BX49" s="10">
        <v>39</v>
      </c>
      <c r="BY49" s="10">
        <f t="shared" si="39"/>
        <v>6000</v>
      </c>
      <c r="BZ49" s="10">
        <f t="shared" si="39"/>
        <v>9000</v>
      </c>
      <c r="CA49" s="10">
        <f t="shared" si="39"/>
        <v>12000</v>
      </c>
      <c r="CB49" s="10">
        <f t="shared" si="39"/>
        <v>22500</v>
      </c>
      <c r="CC49" s="10">
        <f t="shared" si="39"/>
        <v>75000</v>
      </c>
      <c r="CE49" s="10">
        <v>39</v>
      </c>
      <c r="CF49" s="10">
        <f>MAX(节奏总纲!D42-$C$7,0)*INDEX($BU$7:$BU$15,MATCH(BY$10,$BT$7:$BT$15,0))/30</f>
        <v>0</v>
      </c>
      <c r="CG49" s="10">
        <f>MAX(节奏总纲!E42-$C$7,0)*INDEX($BU$7:$BU$15,MATCH(BZ$10,$BT$7:$BT$15,0))/30</f>
        <v>0</v>
      </c>
      <c r="CH49" s="10">
        <f>MAX(节奏总纲!F42-$C$7,0)*INDEX($BU$7:$BU$15,MATCH(CA$10,$BT$7:$BT$15,0))/30</f>
        <v>0</v>
      </c>
      <c r="CI49" s="10">
        <f>MAX(节奏总纲!G42-$C$7,0)*INDEX($BU$7:$BU$15,MATCH(CB$10,$BT$7:$BT$15,0))/30</f>
        <v>0</v>
      </c>
      <c r="CJ49" s="10">
        <f>MAX(节奏总纲!H42-$C$7,0)*INDEX($BU$7:$BU$15,MATCH(CC$10,$BT$7:$BT$15,0))/30</f>
        <v>0</v>
      </c>
    </row>
    <row r="50" spans="15:88" x14ac:dyDescent="0.15">
      <c r="O50" s="2">
        <v>39</v>
      </c>
      <c r="P50" s="2">
        <f t="shared" si="40"/>
        <v>780</v>
      </c>
      <c r="AC50" s="2">
        <v>40</v>
      </c>
      <c r="AD50" s="2">
        <f t="shared" si="27"/>
        <v>0</v>
      </c>
      <c r="AE50" s="2">
        <f t="shared" si="28"/>
        <v>233.33333333333334</v>
      </c>
      <c r="AF50" s="2">
        <f t="shared" si="29"/>
        <v>583.33333333333337</v>
      </c>
      <c r="AG50" s="2">
        <f t="shared" si="30"/>
        <v>1166.6666666666667</v>
      </c>
      <c r="AH50" s="2">
        <f t="shared" si="31"/>
        <v>2333.3333333333335</v>
      </c>
      <c r="AJ50" s="10">
        <v>40</v>
      </c>
      <c r="AK50" s="10">
        <f>IFERROR(求节点(节奏总纲!R$4:R$363,AD$11:AD$370,$AC50),0)</f>
        <v>0</v>
      </c>
      <c r="AL50" s="10">
        <f>IFERROR(求节点(节奏总纲!S$4:S$363,AE$11:AE$370,$AC50),0)</f>
        <v>0</v>
      </c>
      <c r="AM50" s="10">
        <f>IFERROR(求节点(节奏总纲!T$4:T$363,AF$11:AF$370,$AC50),0)</f>
        <v>0</v>
      </c>
      <c r="AN50" s="10">
        <f>IFERROR(求节点(节奏总纲!U$4:U$363,AG$11:AG$370,$AC50),0)</f>
        <v>0</v>
      </c>
      <c r="AO50" s="10">
        <f>IFERROR(求节点(节奏总纲!V$4:V$363,AH$11:AH$370,$AC50),0)</f>
        <v>0</v>
      </c>
      <c r="AZ50" s="10">
        <v>40</v>
      </c>
      <c r="BA50" s="10">
        <f t="shared" si="14"/>
        <v>130666.66666666667</v>
      </c>
      <c r="BB50" s="10">
        <f t="shared" si="15"/>
        <v>196000</v>
      </c>
      <c r="BC50" s="10">
        <f t="shared" si="16"/>
        <v>261333.33333333334</v>
      </c>
      <c r="BD50" s="10">
        <f t="shared" si="17"/>
        <v>326666.66666666669</v>
      </c>
      <c r="BE50" s="10">
        <f t="shared" si="18"/>
        <v>392000</v>
      </c>
      <c r="BG50" s="10">
        <v>40</v>
      </c>
      <c r="BH50" s="10">
        <f>MAX(节奏总纲!D43-$C$7,0)*C$22*$C$8*($AV$6+$AV$22)/30</f>
        <v>0</v>
      </c>
      <c r="BI50" s="10">
        <f>MAX(节奏总纲!E43-$C$7,0)*D$22*$C$8*($AV$6+$AV$22)/30</f>
        <v>0</v>
      </c>
      <c r="BJ50" s="10">
        <f>MAX(节奏总纲!F43-$C$7,0)*E$22*$C$8*($AV$6+$AV$22)/30</f>
        <v>0</v>
      </c>
      <c r="BK50" s="10">
        <f>MAX(节奏总纲!G43-$C$7,0)*F$22*$C$8*($AV$6+$AV$22)/30</f>
        <v>0</v>
      </c>
      <c r="BL50" s="10">
        <f>MAX(节奏总纲!H43-$C$7,0)*G$22*$C$8*($AV$6+$AV$22)/30</f>
        <v>0</v>
      </c>
      <c r="BX50" s="10">
        <v>40</v>
      </c>
      <c r="BY50" s="10">
        <f t="shared" si="39"/>
        <v>6666.666666666667</v>
      </c>
      <c r="BZ50" s="10">
        <f t="shared" si="39"/>
        <v>10000</v>
      </c>
      <c r="CA50" s="10">
        <f t="shared" si="39"/>
        <v>13333.333333333334</v>
      </c>
      <c r="CB50" s="10">
        <f t="shared" si="39"/>
        <v>25000</v>
      </c>
      <c r="CC50" s="10">
        <f t="shared" si="39"/>
        <v>83333.333333333328</v>
      </c>
      <c r="CE50" s="10">
        <v>40</v>
      </c>
      <c r="CF50" s="10">
        <f>MAX(节奏总纲!D43-$C$7,0)*INDEX($BU$7:$BU$15,MATCH(BY$10,$BT$7:$BT$15,0))/30</f>
        <v>0</v>
      </c>
      <c r="CG50" s="10">
        <f>MAX(节奏总纲!E43-$C$7,0)*INDEX($BU$7:$BU$15,MATCH(BZ$10,$BT$7:$BT$15,0))/30</f>
        <v>0</v>
      </c>
      <c r="CH50" s="10">
        <f>MAX(节奏总纲!F43-$C$7,0)*INDEX($BU$7:$BU$15,MATCH(CA$10,$BT$7:$BT$15,0))/30</f>
        <v>0</v>
      </c>
      <c r="CI50" s="10">
        <f>MAX(节奏总纲!G43-$C$7,0)*INDEX($BU$7:$BU$15,MATCH(CB$10,$BT$7:$BT$15,0))/30</f>
        <v>0</v>
      </c>
      <c r="CJ50" s="10">
        <f>MAX(节奏总纲!H43-$C$7,0)*INDEX($BU$7:$BU$15,MATCH(CC$10,$BT$7:$BT$15,0))/30</f>
        <v>0</v>
      </c>
    </row>
    <row r="51" spans="15:88" x14ac:dyDescent="0.15">
      <c r="O51" s="2">
        <v>40</v>
      </c>
      <c r="P51" s="2">
        <f t="shared" si="40"/>
        <v>800</v>
      </c>
      <c r="AC51" s="2">
        <v>41</v>
      </c>
      <c r="AD51" s="2">
        <f t="shared" si="27"/>
        <v>0</v>
      </c>
      <c r="AE51" s="2">
        <f t="shared" si="28"/>
        <v>256.66666666666669</v>
      </c>
      <c r="AF51" s="2">
        <f t="shared" si="29"/>
        <v>641.66666666666663</v>
      </c>
      <c r="AG51" s="2">
        <f t="shared" si="30"/>
        <v>1283.3333333333333</v>
      </c>
      <c r="AH51" s="2">
        <f t="shared" si="31"/>
        <v>2566.6666666666665</v>
      </c>
      <c r="AJ51" s="10">
        <v>41</v>
      </c>
      <c r="AK51" s="10">
        <f>IFERROR(求节点(节奏总纲!R$4:R$363,AD$11:AD$370,$AC51),0)</f>
        <v>0</v>
      </c>
      <c r="AL51" s="10">
        <f>IFERROR(求节点(节奏总纲!S$4:S$363,AE$11:AE$370,$AC51),0)</f>
        <v>0</v>
      </c>
      <c r="AM51" s="10">
        <f>IFERROR(求节点(节奏总纲!T$4:T$363,AF$11:AF$370,$AC51),0)</f>
        <v>0</v>
      </c>
      <c r="AN51" s="10">
        <f>IFERROR(求节点(节奏总纲!U$4:U$363,AG$11:AG$370,$AC51),0)</f>
        <v>0</v>
      </c>
      <c r="AO51" s="10">
        <f>IFERROR(求节点(节奏总纲!V$4:V$363,AH$11:AH$370,$AC51),0)</f>
        <v>0</v>
      </c>
      <c r="AZ51" s="10">
        <v>41</v>
      </c>
      <c r="BA51" s="10">
        <f t="shared" si="14"/>
        <v>143733.33333333334</v>
      </c>
      <c r="BB51" s="10">
        <f t="shared" si="15"/>
        <v>215600</v>
      </c>
      <c r="BC51" s="10">
        <f t="shared" si="16"/>
        <v>287466.66666666669</v>
      </c>
      <c r="BD51" s="10">
        <f t="shared" si="17"/>
        <v>359333.33333333331</v>
      </c>
      <c r="BE51" s="10">
        <f t="shared" si="18"/>
        <v>431200</v>
      </c>
      <c r="BG51" s="10">
        <v>41</v>
      </c>
      <c r="BH51" s="10">
        <f>MAX(节奏总纲!D44-$C$7,0)*C$22*$C$8*($AV$6+$AV$22)/30</f>
        <v>0</v>
      </c>
      <c r="BI51" s="10">
        <f>MAX(节奏总纲!E44-$C$7,0)*D$22*$C$8*($AV$6+$AV$22)/30</f>
        <v>0</v>
      </c>
      <c r="BJ51" s="10">
        <f>MAX(节奏总纲!F44-$C$7,0)*E$22*$C$8*($AV$6+$AV$22)/30</f>
        <v>0</v>
      </c>
      <c r="BK51" s="10">
        <f>MAX(节奏总纲!G44-$C$7,0)*F$22*$C$8*($AV$6+$AV$22)/30</f>
        <v>0</v>
      </c>
      <c r="BL51" s="10">
        <f>MAX(节奏总纲!H44-$C$7,0)*G$22*$C$8*($AV$6+$AV$22)/30</f>
        <v>0</v>
      </c>
      <c r="BX51" s="10">
        <v>41</v>
      </c>
      <c r="BY51" s="10">
        <f t="shared" ref="BY51:CC60" si="41">MAX($BX51-$C$7,0)*INDEX($BU$7:$BU$15,MATCH(BY$10,$BT$7:$BT$15,0))/30</f>
        <v>7333.333333333333</v>
      </c>
      <c r="BZ51" s="10">
        <f t="shared" si="41"/>
        <v>11000</v>
      </c>
      <c r="CA51" s="10">
        <f t="shared" si="41"/>
        <v>14666.666666666666</v>
      </c>
      <c r="CB51" s="10">
        <f t="shared" si="41"/>
        <v>27500</v>
      </c>
      <c r="CC51" s="10">
        <f t="shared" si="41"/>
        <v>91666.666666666672</v>
      </c>
      <c r="CE51" s="10">
        <v>41</v>
      </c>
      <c r="CF51" s="10">
        <f>MAX(节奏总纲!D44-$C$7,0)*INDEX($BU$7:$BU$15,MATCH(BY$10,$BT$7:$BT$15,0))/30</f>
        <v>0</v>
      </c>
      <c r="CG51" s="10">
        <f>MAX(节奏总纲!E44-$C$7,0)*INDEX($BU$7:$BU$15,MATCH(BZ$10,$BT$7:$BT$15,0))/30</f>
        <v>0</v>
      </c>
      <c r="CH51" s="10">
        <f>MAX(节奏总纲!F44-$C$7,0)*INDEX($BU$7:$BU$15,MATCH(CA$10,$BT$7:$BT$15,0))/30</f>
        <v>0</v>
      </c>
      <c r="CI51" s="10">
        <f>MAX(节奏总纲!G44-$C$7,0)*INDEX($BU$7:$BU$15,MATCH(CB$10,$BT$7:$BT$15,0))/30</f>
        <v>0</v>
      </c>
      <c r="CJ51" s="10">
        <f>MAX(节奏总纲!H44-$C$7,0)*INDEX($BU$7:$BU$15,MATCH(CC$10,$BT$7:$BT$15,0))/30</f>
        <v>0</v>
      </c>
    </row>
    <row r="52" spans="15:88" x14ac:dyDescent="0.15">
      <c r="O52" s="2">
        <v>41</v>
      </c>
      <c r="P52" s="2">
        <f t="shared" si="40"/>
        <v>820</v>
      </c>
      <c r="AC52" s="2">
        <v>42</v>
      </c>
      <c r="AD52" s="2">
        <f t="shared" si="27"/>
        <v>0</v>
      </c>
      <c r="AE52" s="2">
        <f t="shared" si="28"/>
        <v>280</v>
      </c>
      <c r="AF52" s="2">
        <f t="shared" si="29"/>
        <v>700</v>
      </c>
      <c r="AG52" s="2">
        <f t="shared" si="30"/>
        <v>1400</v>
      </c>
      <c r="AH52" s="2">
        <f t="shared" si="31"/>
        <v>2800</v>
      </c>
      <c r="AJ52" s="10">
        <v>42</v>
      </c>
      <c r="AK52" s="10">
        <f>IFERROR(求节点(节奏总纲!R$4:R$363,AD$11:AD$370,$AC52),0)</f>
        <v>0</v>
      </c>
      <c r="AL52" s="10">
        <f>IFERROR(求节点(节奏总纲!S$4:S$363,AE$11:AE$370,$AC52),0)</f>
        <v>0</v>
      </c>
      <c r="AM52" s="10">
        <f>IFERROR(求节点(节奏总纲!T$4:T$363,AF$11:AF$370,$AC52),0)</f>
        <v>0</v>
      </c>
      <c r="AN52" s="10">
        <f>IFERROR(求节点(节奏总纲!U$4:U$363,AG$11:AG$370,$AC52),0)</f>
        <v>0</v>
      </c>
      <c r="AO52" s="10">
        <f>IFERROR(求节点(节奏总纲!V$4:V$363,AH$11:AH$370,$AC52),0)</f>
        <v>0</v>
      </c>
      <c r="AZ52" s="10">
        <v>42</v>
      </c>
      <c r="BA52" s="10">
        <f t="shared" si="14"/>
        <v>156800</v>
      </c>
      <c r="BB52" s="10">
        <f t="shared" si="15"/>
        <v>235200</v>
      </c>
      <c r="BC52" s="10">
        <f t="shared" si="16"/>
        <v>313600</v>
      </c>
      <c r="BD52" s="10">
        <f t="shared" si="17"/>
        <v>392000</v>
      </c>
      <c r="BE52" s="10">
        <f t="shared" si="18"/>
        <v>470400</v>
      </c>
      <c r="BG52" s="10">
        <v>42</v>
      </c>
      <c r="BH52" s="10">
        <f>MAX(节奏总纲!D45-$C$7,0)*C$22*$C$8*($AV$6+$AV$22)/30</f>
        <v>0</v>
      </c>
      <c r="BI52" s="10">
        <f>MAX(节奏总纲!E45-$C$7,0)*D$22*$C$8*($AV$6+$AV$22)/30</f>
        <v>0</v>
      </c>
      <c r="BJ52" s="10">
        <f>MAX(节奏总纲!F45-$C$7,0)*E$22*$C$8*($AV$6+$AV$22)/30</f>
        <v>0</v>
      </c>
      <c r="BK52" s="10">
        <f>MAX(节奏总纲!G45-$C$7,0)*F$22*$C$8*($AV$6+$AV$22)/30</f>
        <v>0</v>
      </c>
      <c r="BL52" s="10">
        <f>MAX(节奏总纲!H45-$C$7,0)*G$22*$C$8*($AV$6+$AV$22)/30</f>
        <v>0</v>
      </c>
      <c r="BX52" s="10">
        <v>42</v>
      </c>
      <c r="BY52" s="10">
        <f t="shared" si="41"/>
        <v>8000</v>
      </c>
      <c r="BZ52" s="10">
        <f t="shared" si="41"/>
        <v>12000</v>
      </c>
      <c r="CA52" s="10">
        <f t="shared" si="41"/>
        <v>16000</v>
      </c>
      <c r="CB52" s="10">
        <f t="shared" si="41"/>
        <v>30000</v>
      </c>
      <c r="CC52" s="10">
        <f t="shared" si="41"/>
        <v>100000</v>
      </c>
      <c r="CE52" s="10">
        <v>42</v>
      </c>
      <c r="CF52" s="10">
        <f>MAX(节奏总纲!D45-$C$7,0)*INDEX($BU$7:$BU$15,MATCH(BY$10,$BT$7:$BT$15,0))/30</f>
        <v>0</v>
      </c>
      <c r="CG52" s="10">
        <f>MAX(节奏总纲!E45-$C$7,0)*INDEX($BU$7:$BU$15,MATCH(BZ$10,$BT$7:$BT$15,0))/30</f>
        <v>0</v>
      </c>
      <c r="CH52" s="10">
        <f>MAX(节奏总纲!F45-$C$7,0)*INDEX($BU$7:$BU$15,MATCH(CA$10,$BT$7:$BT$15,0))/30</f>
        <v>0</v>
      </c>
      <c r="CI52" s="10">
        <f>MAX(节奏总纲!G45-$C$7,0)*INDEX($BU$7:$BU$15,MATCH(CB$10,$BT$7:$BT$15,0))/30</f>
        <v>0</v>
      </c>
      <c r="CJ52" s="10">
        <f>MAX(节奏总纲!H45-$C$7,0)*INDEX($BU$7:$BU$15,MATCH(CC$10,$BT$7:$BT$15,0))/30</f>
        <v>0</v>
      </c>
    </row>
    <row r="53" spans="15:88" x14ac:dyDescent="0.15">
      <c r="O53" s="2">
        <v>42</v>
      </c>
      <c r="P53" s="2">
        <f t="shared" si="40"/>
        <v>840</v>
      </c>
      <c r="AC53" s="2">
        <v>43</v>
      </c>
      <c r="AD53" s="2">
        <f t="shared" si="27"/>
        <v>0</v>
      </c>
      <c r="AE53" s="2">
        <f t="shared" si="28"/>
        <v>303.33333333333331</v>
      </c>
      <c r="AF53" s="2">
        <f t="shared" si="29"/>
        <v>758.33333333333337</v>
      </c>
      <c r="AG53" s="2">
        <f t="shared" si="30"/>
        <v>1516.6666666666667</v>
      </c>
      <c r="AH53" s="2">
        <f t="shared" si="31"/>
        <v>3033.3333333333335</v>
      </c>
      <c r="AJ53" s="10">
        <v>43</v>
      </c>
      <c r="AK53" s="10">
        <f>IFERROR(求节点(节奏总纲!R$4:R$363,AD$11:AD$370,$AC53),0)</f>
        <v>0</v>
      </c>
      <c r="AL53" s="10">
        <f>IFERROR(求节点(节奏总纲!S$4:S$363,AE$11:AE$370,$AC53),0)</f>
        <v>0</v>
      </c>
      <c r="AM53" s="10">
        <f>IFERROR(求节点(节奏总纲!T$4:T$363,AF$11:AF$370,$AC53),0)</f>
        <v>0</v>
      </c>
      <c r="AN53" s="10">
        <f>IFERROR(求节点(节奏总纲!U$4:U$363,AG$11:AG$370,$AC53),0)</f>
        <v>0</v>
      </c>
      <c r="AO53" s="10">
        <f>IFERROR(求节点(节奏总纲!V$4:V$363,AH$11:AH$370,$AC53),0)</f>
        <v>0</v>
      </c>
      <c r="AZ53" s="10">
        <v>43</v>
      </c>
      <c r="BA53" s="10">
        <f t="shared" si="14"/>
        <v>169866.66666666666</v>
      </c>
      <c r="BB53" s="10">
        <f t="shared" si="15"/>
        <v>254800</v>
      </c>
      <c r="BC53" s="10">
        <f t="shared" si="16"/>
        <v>339733.33333333331</v>
      </c>
      <c r="BD53" s="10">
        <f t="shared" si="17"/>
        <v>424666.66666666669</v>
      </c>
      <c r="BE53" s="10">
        <f t="shared" si="18"/>
        <v>509600</v>
      </c>
      <c r="BG53" s="10">
        <v>43</v>
      </c>
      <c r="BH53" s="10">
        <f>MAX(节奏总纲!D46-$C$7,0)*C$22*$C$8*($AV$6+$AV$22)/30</f>
        <v>0</v>
      </c>
      <c r="BI53" s="10">
        <f>MAX(节奏总纲!E46-$C$7,0)*D$22*$C$8*($AV$6+$AV$22)/30</f>
        <v>0</v>
      </c>
      <c r="BJ53" s="10">
        <f>MAX(节奏总纲!F46-$C$7,0)*E$22*$C$8*($AV$6+$AV$22)/30</f>
        <v>0</v>
      </c>
      <c r="BK53" s="10">
        <f>MAX(节奏总纲!G46-$C$7,0)*F$22*$C$8*($AV$6+$AV$22)/30</f>
        <v>0</v>
      </c>
      <c r="BL53" s="10">
        <f>MAX(节奏总纲!H46-$C$7,0)*G$22*$C$8*($AV$6+$AV$22)/30</f>
        <v>0</v>
      </c>
      <c r="BX53" s="10">
        <v>43</v>
      </c>
      <c r="BY53" s="10">
        <f t="shared" si="41"/>
        <v>8666.6666666666661</v>
      </c>
      <c r="BZ53" s="10">
        <f t="shared" si="41"/>
        <v>13000</v>
      </c>
      <c r="CA53" s="10">
        <f t="shared" si="41"/>
        <v>17333.333333333332</v>
      </c>
      <c r="CB53" s="10">
        <f t="shared" si="41"/>
        <v>32500</v>
      </c>
      <c r="CC53" s="10">
        <f t="shared" si="41"/>
        <v>108333.33333333333</v>
      </c>
      <c r="CE53" s="10">
        <v>43</v>
      </c>
      <c r="CF53" s="10">
        <f>MAX(节奏总纲!D46-$C$7,0)*INDEX($BU$7:$BU$15,MATCH(BY$10,$BT$7:$BT$15,0))/30</f>
        <v>0</v>
      </c>
      <c r="CG53" s="10">
        <f>MAX(节奏总纲!E46-$C$7,0)*INDEX($BU$7:$BU$15,MATCH(BZ$10,$BT$7:$BT$15,0))/30</f>
        <v>0</v>
      </c>
      <c r="CH53" s="10">
        <f>MAX(节奏总纲!F46-$C$7,0)*INDEX($BU$7:$BU$15,MATCH(CA$10,$BT$7:$BT$15,0))/30</f>
        <v>0</v>
      </c>
      <c r="CI53" s="10">
        <f>MAX(节奏总纲!G46-$C$7,0)*INDEX($BU$7:$BU$15,MATCH(CB$10,$BT$7:$BT$15,0))/30</f>
        <v>0</v>
      </c>
      <c r="CJ53" s="10">
        <f>MAX(节奏总纲!H46-$C$7,0)*INDEX($BU$7:$BU$15,MATCH(CC$10,$BT$7:$BT$15,0))/30</f>
        <v>0</v>
      </c>
    </row>
    <row r="54" spans="15:88" x14ac:dyDescent="0.15">
      <c r="O54" s="2">
        <v>43</v>
      </c>
      <c r="P54" s="2">
        <f t="shared" si="40"/>
        <v>860</v>
      </c>
      <c r="AC54" s="2">
        <v>44</v>
      </c>
      <c r="AD54" s="2">
        <f t="shared" si="27"/>
        <v>0</v>
      </c>
      <c r="AE54" s="2">
        <f t="shared" si="28"/>
        <v>326.66666666666669</v>
      </c>
      <c r="AF54" s="2">
        <f t="shared" si="29"/>
        <v>816.66666666666663</v>
      </c>
      <c r="AG54" s="2">
        <f t="shared" si="30"/>
        <v>1633.3333333333333</v>
      </c>
      <c r="AH54" s="2">
        <f t="shared" si="31"/>
        <v>3266.6666666666665</v>
      </c>
      <c r="AJ54" s="10">
        <v>44</v>
      </c>
      <c r="AK54" s="10">
        <f>IFERROR(求节点(节奏总纲!R$4:R$363,AD$11:AD$370,$AC54),0)</f>
        <v>0</v>
      </c>
      <c r="AL54" s="10">
        <f>IFERROR(求节点(节奏总纲!S$4:S$363,AE$11:AE$370,$AC54),0)</f>
        <v>0</v>
      </c>
      <c r="AM54" s="10">
        <f>IFERROR(求节点(节奏总纲!T$4:T$363,AF$11:AF$370,$AC54),0)</f>
        <v>0</v>
      </c>
      <c r="AN54" s="10">
        <f>IFERROR(求节点(节奏总纲!U$4:U$363,AG$11:AG$370,$AC54),0)</f>
        <v>0</v>
      </c>
      <c r="AO54" s="10">
        <f>IFERROR(求节点(节奏总纲!V$4:V$363,AH$11:AH$370,$AC54),0)</f>
        <v>0</v>
      </c>
      <c r="AZ54" s="10">
        <v>44</v>
      </c>
      <c r="BA54" s="10">
        <f t="shared" si="14"/>
        <v>182933.33333333334</v>
      </c>
      <c r="BB54" s="10">
        <f t="shared" si="15"/>
        <v>274400</v>
      </c>
      <c r="BC54" s="10">
        <f t="shared" si="16"/>
        <v>365866.66666666669</v>
      </c>
      <c r="BD54" s="10">
        <f t="shared" si="17"/>
        <v>457333.33333333331</v>
      </c>
      <c r="BE54" s="10">
        <f t="shared" si="18"/>
        <v>548800</v>
      </c>
      <c r="BG54" s="10">
        <v>44</v>
      </c>
      <c r="BH54" s="10">
        <f>MAX(节奏总纲!D47-$C$7,0)*C$22*$C$8*($AV$6+$AV$22)/30</f>
        <v>0</v>
      </c>
      <c r="BI54" s="10">
        <f>MAX(节奏总纲!E47-$C$7,0)*D$22*$C$8*($AV$6+$AV$22)/30</f>
        <v>0</v>
      </c>
      <c r="BJ54" s="10">
        <f>MAX(节奏总纲!F47-$C$7,0)*E$22*$C$8*($AV$6+$AV$22)/30</f>
        <v>0</v>
      </c>
      <c r="BK54" s="10">
        <f>MAX(节奏总纲!G47-$C$7,0)*F$22*$C$8*($AV$6+$AV$22)/30</f>
        <v>0</v>
      </c>
      <c r="BL54" s="10">
        <f>MAX(节奏总纲!H47-$C$7,0)*G$22*$C$8*($AV$6+$AV$22)/30</f>
        <v>0</v>
      </c>
      <c r="BX54" s="10">
        <v>44</v>
      </c>
      <c r="BY54" s="10">
        <f t="shared" si="41"/>
        <v>9333.3333333333339</v>
      </c>
      <c r="BZ54" s="10">
        <f t="shared" si="41"/>
        <v>14000</v>
      </c>
      <c r="CA54" s="10">
        <f t="shared" si="41"/>
        <v>18666.666666666668</v>
      </c>
      <c r="CB54" s="10">
        <f t="shared" si="41"/>
        <v>35000</v>
      </c>
      <c r="CC54" s="10">
        <f t="shared" si="41"/>
        <v>116666.66666666667</v>
      </c>
      <c r="CE54" s="10">
        <v>44</v>
      </c>
      <c r="CF54" s="10">
        <f>MAX(节奏总纲!D47-$C$7,0)*INDEX($BU$7:$BU$15,MATCH(BY$10,$BT$7:$BT$15,0))/30</f>
        <v>0</v>
      </c>
      <c r="CG54" s="10">
        <f>MAX(节奏总纲!E47-$C$7,0)*INDEX($BU$7:$BU$15,MATCH(BZ$10,$BT$7:$BT$15,0))/30</f>
        <v>0</v>
      </c>
      <c r="CH54" s="10">
        <f>MAX(节奏总纲!F47-$C$7,0)*INDEX($BU$7:$BU$15,MATCH(CA$10,$BT$7:$BT$15,0))/30</f>
        <v>0</v>
      </c>
      <c r="CI54" s="10">
        <f>MAX(节奏总纲!G47-$C$7,0)*INDEX($BU$7:$BU$15,MATCH(CB$10,$BT$7:$BT$15,0))/30</f>
        <v>0</v>
      </c>
      <c r="CJ54" s="10">
        <f>MAX(节奏总纲!H47-$C$7,0)*INDEX($BU$7:$BU$15,MATCH(CC$10,$BT$7:$BT$15,0))/30</f>
        <v>0</v>
      </c>
    </row>
    <row r="55" spans="15:88" x14ac:dyDescent="0.15">
      <c r="O55" s="2">
        <v>44</v>
      </c>
      <c r="P55" s="2">
        <f t="shared" si="40"/>
        <v>880</v>
      </c>
      <c r="AC55" s="2">
        <v>45</v>
      </c>
      <c r="AD55" s="2">
        <f t="shared" si="27"/>
        <v>0</v>
      </c>
      <c r="AE55" s="2">
        <f t="shared" si="28"/>
        <v>350</v>
      </c>
      <c r="AF55" s="2">
        <f t="shared" si="29"/>
        <v>875</v>
      </c>
      <c r="AG55" s="2">
        <f t="shared" si="30"/>
        <v>1750</v>
      </c>
      <c r="AH55" s="2">
        <f t="shared" si="31"/>
        <v>3500</v>
      </c>
      <c r="AJ55" s="10">
        <v>45</v>
      </c>
      <c r="AK55" s="10">
        <f>IFERROR(求节点(节奏总纲!R$4:R$363,AD$11:AD$370,$AC55),0)</f>
        <v>0</v>
      </c>
      <c r="AL55" s="10">
        <f>IFERROR(求节点(节奏总纲!S$4:S$363,AE$11:AE$370,$AC55),0)</f>
        <v>0</v>
      </c>
      <c r="AM55" s="10">
        <f>IFERROR(求节点(节奏总纲!T$4:T$363,AF$11:AF$370,$AC55),0)</f>
        <v>0</v>
      </c>
      <c r="AN55" s="10">
        <f>IFERROR(求节点(节奏总纲!U$4:U$363,AG$11:AG$370,$AC55),0)</f>
        <v>0</v>
      </c>
      <c r="AO55" s="10">
        <f>IFERROR(求节点(节奏总纲!V$4:V$363,AH$11:AH$370,$AC55),0)</f>
        <v>0</v>
      </c>
      <c r="AZ55" s="10">
        <v>45</v>
      </c>
      <c r="BA55" s="10">
        <f t="shared" si="14"/>
        <v>196000</v>
      </c>
      <c r="BB55" s="10">
        <f t="shared" si="15"/>
        <v>294000</v>
      </c>
      <c r="BC55" s="10">
        <f t="shared" si="16"/>
        <v>392000</v>
      </c>
      <c r="BD55" s="10">
        <f t="shared" si="17"/>
        <v>490000</v>
      </c>
      <c r="BE55" s="10">
        <f t="shared" si="18"/>
        <v>588000</v>
      </c>
      <c r="BG55" s="10">
        <v>45</v>
      </c>
      <c r="BH55" s="10">
        <f>MAX(节奏总纲!D48-$C$7,0)*C$22*$C$8*($AV$6+$AV$22)/30</f>
        <v>0</v>
      </c>
      <c r="BI55" s="10">
        <f>MAX(节奏总纲!E48-$C$7,0)*D$22*$C$8*($AV$6+$AV$22)/30</f>
        <v>0</v>
      </c>
      <c r="BJ55" s="10">
        <f>MAX(节奏总纲!F48-$C$7,0)*E$22*$C$8*($AV$6+$AV$22)/30</f>
        <v>0</v>
      </c>
      <c r="BK55" s="10">
        <f>MAX(节奏总纲!G48-$C$7,0)*F$22*$C$8*($AV$6+$AV$22)/30</f>
        <v>0</v>
      </c>
      <c r="BL55" s="10">
        <f>MAX(节奏总纲!H48-$C$7,0)*G$22*$C$8*($AV$6+$AV$22)/30</f>
        <v>0</v>
      </c>
      <c r="BX55" s="10">
        <v>45</v>
      </c>
      <c r="BY55" s="10">
        <f t="shared" si="41"/>
        <v>10000</v>
      </c>
      <c r="BZ55" s="10">
        <f t="shared" si="41"/>
        <v>15000</v>
      </c>
      <c r="CA55" s="10">
        <f t="shared" si="41"/>
        <v>20000</v>
      </c>
      <c r="CB55" s="10">
        <f t="shared" si="41"/>
        <v>37500</v>
      </c>
      <c r="CC55" s="10">
        <f t="shared" si="41"/>
        <v>125000</v>
      </c>
      <c r="CE55" s="10">
        <v>45</v>
      </c>
      <c r="CF55" s="10">
        <f>MAX(节奏总纲!D48-$C$7,0)*INDEX($BU$7:$BU$15,MATCH(BY$10,$BT$7:$BT$15,0))/30</f>
        <v>0</v>
      </c>
      <c r="CG55" s="10">
        <f>MAX(节奏总纲!E48-$C$7,0)*INDEX($BU$7:$BU$15,MATCH(BZ$10,$BT$7:$BT$15,0))/30</f>
        <v>0</v>
      </c>
      <c r="CH55" s="10">
        <f>MAX(节奏总纲!F48-$C$7,0)*INDEX($BU$7:$BU$15,MATCH(CA$10,$BT$7:$BT$15,0))/30</f>
        <v>0</v>
      </c>
      <c r="CI55" s="10">
        <f>MAX(节奏总纲!G48-$C$7,0)*INDEX($BU$7:$BU$15,MATCH(CB$10,$BT$7:$BT$15,0))/30</f>
        <v>0</v>
      </c>
      <c r="CJ55" s="10">
        <f>MAX(节奏总纲!H48-$C$7,0)*INDEX($BU$7:$BU$15,MATCH(CC$10,$BT$7:$BT$15,0))/30</f>
        <v>0</v>
      </c>
    </row>
    <row r="56" spans="15:88" x14ac:dyDescent="0.15">
      <c r="O56" s="2">
        <v>45</v>
      </c>
      <c r="P56" s="2">
        <f t="shared" si="40"/>
        <v>900</v>
      </c>
      <c r="AC56" s="2">
        <v>46</v>
      </c>
      <c r="AD56" s="2">
        <f t="shared" si="27"/>
        <v>0</v>
      </c>
      <c r="AE56" s="2">
        <f t="shared" si="28"/>
        <v>373.33333333333331</v>
      </c>
      <c r="AF56" s="2">
        <f t="shared" si="29"/>
        <v>933.33333333333337</v>
      </c>
      <c r="AG56" s="2">
        <f t="shared" si="30"/>
        <v>1866.6666666666667</v>
      </c>
      <c r="AH56" s="2">
        <f t="shared" si="31"/>
        <v>3733.3333333333335</v>
      </c>
      <c r="AJ56" s="10">
        <v>46</v>
      </c>
      <c r="AK56" s="10">
        <f>IFERROR(求节点(节奏总纲!R$4:R$363,AD$11:AD$370,$AC56),0)</f>
        <v>0</v>
      </c>
      <c r="AL56" s="10">
        <f>IFERROR(求节点(节奏总纲!S$4:S$363,AE$11:AE$370,$AC56),0)</f>
        <v>0</v>
      </c>
      <c r="AM56" s="10">
        <f>IFERROR(求节点(节奏总纲!T$4:T$363,AF$11:AF$370,$AC56),0)</f>
        <v>0</v>
      </c>
      <c r="AN56" s="10">
        <f>IFERROR(求节点(节奏总纲!U$4:U$363,AG$11:AG$370,$AC56),0)</f>
        <v>0</v>
      </c>
      <c r="AO56" s="10">
        <f>IFERROR(求节点(节奏总纲!V$4:V$363,AH$11:AH$370,$AC56),0)</f>
        <v>0</v>
      </c>
      <c r="AZ56" s="10">
        <v>46</v>
      </c>
      <c r="BA56" s="10">
        <f t="shared" si="14"/>
        <v>209066.66666666666</v>
      </c>
      <c r="BB56" s="10">
        <f t="shared" si="15"/>
        <v>313600</v>
      </c>
      <c r="BC56" s="10">
        <f t="shared" si="16"/>
        <v>418133.33333333331</v>
      </c>
      <c r="BD56" s="10">
        <f t="shared" si="17"/>
        <v>522666.66666666669</v>
      </c>
      <c r="BE56" s="10">
        <f t="shared" si="18"/>
        <v>627200</v>
      </c>
      <c r="BG56" s="10">
        <v>46</v>
      </c>
      <c r="BH56" s="10">
        <f>MAX(节奏总纲!D49-$C$7,0)*C$22*$C$8*($AV$6+$AV$22)/30</f>
        <v>0</v>
      </c>
      <c r="BI56" s="10">
        <f>MAX(节奏总纲!E49-$C$7,0)*D$22*$C$8*($AV$6+$AV$22)/30</f>
        <v>0</v>
      </c>
      <c r="BJ56" s="10">
        <f>MAX(节奏总纲!F49-$C$7,0)*E$22*$C$8*($AV$6+$AV$22)/30</f>
        <v>0</v>
      </c>
      <c r="BK56" s="10">
        <f>MAX(节奏总纲!G49-$C$7,0)*F$22*$C$8*($AV$6+$AV$22)/30</f>
        <v>0</v>
      </c>
      <c r="BL56" s="10">
        <f>MAX(节奏总纲!H49-$C$7,0)*G$22*$C$8*($AV$6+$AV$22)/30</f>
        <v>0</v>
      </c>
      <c r="BX56" s="10">
        <v>46</v>
      </c>
      <c r="BY56" s="10">
        <f t="shared" si="41"/>
        <v>10666.666666666666</v>
      </c>
      <c r="BZ56" s="10">
        <f t="shared" si="41"/>
        <v>16000</v>
      </c>
      <c r="CA56" s="10">
        <f t="shared" si="41"/>
        <v>21333.333333333332</v>
      </c>
      <c r="CB56" s="10">
        <f t="shared" si="41"/>
        <v>40000</v>
      </c>
      <c r="CC56" s="10">
        <f t="shared" si="41"/>
        <v>133333.33333333334</v>
      </c>
      <c r="CE56" s="10">
        <v>46</v>
      </c>
      <c r="CF56" s="10">
        <f>MAX(节奏总纲!D49-$C$7,0)*INDEX($BU$7:$BU$15,MATCH(BY$10,$BT$7:$BT$15,0))/30</f>
        <v>0</v>
      </c>
      <c r="CG56" s="10">
        <f>MAX(节奏总纲!E49-$C$7,0)*INDEX($BU$7:$BU$15,MATCH(BZ$10,$BT$7:$BT$15,0))/30</f>
        <v>0</v>
      </c>
      <c r="CH56" s="10">
        <f>MAX(节奏总纲!F49-$C$7,0)*INDEX($BU$7:$BU$15,MATCH(CA$10,$BT$7:$BT$15,0))/30</f>
        <v>0</v>
      </c>
      <c r="CI56" s="10">
        <f>MAX(节奏总纲!G49-$C$7,0)*INDEX($BU$7:$BU$15,MATCH(CB$10,$BT$7:$BT$15,0))/30</f>
        <v>0</v>
      </c>
      <c r="CJ56" s="10">
        <f>MAX(节奏总纲!H49-$C$7,0)*INDEX($BU$7:$BU$15,MATCH(CC$10,$BT$7:$BT$15,0))/30</f>
        <v>0</v>
      </c>
    </row>
    <row r="57" spans="15:88" x14ac:dyDescent="0.15">
      <c r="O57" s="2">
        <v>46</v>
      </c>
      <c r="P57" s="2">
        <f t="shared" si="40"/>
        <v>920</v>
      </c>
      <c r="AC57" s="2">
        <v>47</v>
      </c>
      <c r="AD57" s="2">
        <f t="shared" si="27"/>
        <v>0</v>
      </c>
      <c r="AE57" s="2">
        <f t="shared" si="28"/>
        <v>396.66666666666669</v>
      </c>
      <c r="AF57" s="2">
        <f t="shared" si="29"/>
        <v>991.66666666666663</v>
      </c>
      <c r="AG57" s="2">
        <f t="shared" si="30"/>
        <v>1983.3333333333333</v>
      </c>
      <c r="AH57" s="2">
        <f t="shared" si="31"/>
        <v>3966.6666666666665</v>
      </c>
      <c r="AJ57" s="10">
        <v>47</v>
      </c>
      <c r="AK57" s="10">
        <f>IFERROR(求节点(节奏总纲!R$4:R$363,AD$11:AD$370,$AC57),0)</f>
        <v>0</v>
      </c>
      <c r="AL57" s="10">
        <f>IFERROR(求节点(节奏总纲!S$4:S$363,AE$11:AE$370,$AC57),0)</f>
        <v>0</v>
      </c>
      <c r="AM57" s="10">
        <f>IFERROR(求节点(节奏总纲!T$4:T$363,AF$11:AF$370,$AC57),0)</f>
        <v>0</v>
      </c>
      <c r="AN57" s="10">
        <f>IFERROR(求节点(节奏总纲!U$4:U$363,AG$11:AG$370,$AC57),0)</f>
        <v>0</v>
      </c>
      <c r="AO57" s="10">
        <f>IFERROR(求节点(节奏总纲!V$4:V$363,AH$11:AH$370,$AC57),0)</f>
        <v>0</v>
      </c>
      <c r="AZ57" s="10">
        <v>47</v>
      </c>
      <c r="BA57" s="10">
        <f t="shared" si="14"/>
        <v>222133.33333333334</v>
      </c>
      <c r="BB57" s="10">
        <f t="shared" si="15"/>
        <v>333200</v>
      </c>
      <c r="BC57" s="10">
        <f t="shared" si="16"/>
        <v>444266.66666666669</v>
      </c>
      <c r="BD57" s="10">
        <f t="shared" si="17"/>
        <v>555333.33333333337</v>
      </c>
      <c r="BE57" s="10">
        <f t="shared" si="18"/>
        <v>666400</v>
      </c>
      <c r="BG57" s="10">
        <v>47</v>
      </c>
      <c r="BH57" s="10">
        <f>MAX(节奏总纲!D50-$C$7,0)*C$22*$C$8*($AV$6+$AV$22)/30</f>
        <v>0</v>
      </c>
      <c r="BI57" s="10">
        <f>MAX(节奏总纲!E50-$C$7,0)*D$22*$C$8*($AV$6+$AV$22)/30</f>
        <v>0</v>
      </c>
      <c r="BJ57" s="10">
        <f>MAX(节奏总纲!F50-$C$7,0)*E$22*$C$8*($AV$6+$AV$22)/30</f>
        <v>0</v>
      </c>
      <c r="BK57" s="10">
        <f>MAX(节奏总纲!G50-$C$7,0)*F$22*$C$8*($AV$6+$AV$22)/30</f>
        <v>0</v>
      </c>
      <c r="BL57" s="10">
        <f>MAX(节奏总纲!H50-$C$7,0)*G$22*$C$8*($AV$6+$AV$22)/30</f>
        <v>0</v>
      </c>
      <c r="BX57" s="10">
        <v>47</v>
      </c>
      <c r="BY57" s="10">
        <f t="shared" si="41"/>
        <v>11333.333333333334</v>
      </c>
      <c r="BZ57" s="10">
        <f t="shared" si="41"/>
        <v>17000</v>
      </c>
      <c r="CA57" s="10">
        <f t="shared" si="41"/>
        <v>22666.666666666668</v>
      </c>
      <c r="CB57" s="10">
        <f t="shared" si="41"/>
        <v>42500</v>
      </c>
      <c r="CC57" s="10">
        <f t="shared" si="41"/>
        <v>141666.66666666666</v>
      </c>
      <c r="CE57" s="10">
        <v>47</v>
      </c>
      <c r="CF57" s="10">
        <f>MAX(节奏总纲!D50-$C$7,0)*INDEX($BU$7:$BU$15,MATCH(BY$10,$BT$7:$BT$15,0))/30</f>
        <v>0</v>
      </c>
      <c r="CG57" s="10">
        <f>MAX(节奏总纲!E50-$C$7,0)*INDEX($BU$7:$BU$15,MATCH(BZ$10,$BT$7:$BT$15,0))/30</f>
        <v>0</v>
      </c>
      <c r="CH57" s="10">
        <f>MAX(节奏总纲!F50-$C$7,0)*INDEX($BU$7:$BU$15,MATCH(CA$10,$BT$7:$BT$15,0))/30</f>
        <v>0</v>
      </c>
      <c r="CI57" s="10">
        <f>MAX(节奏总纲!G50-$C$7,0)*INDEX($BU$7:$BU$15,MATCH(CB$10,$BT$7:$BT$15,0))/30</f>
        <v>0</v>
      </c>
      <c r="CJ57" s="10">
        <f>MAX(节奏总纲!H50-$C$7,0)*INDEX($BU$7:$BU$15,MATCH(CC$10,$BT$7:$BT$15,0))/30</f>
        <v>0</v>
      </c>
    </row>
    <row r="58" spans="15:88" x14ac:dyDescent="0.15">
      <c r="O58" s="2">
        <v>47</v>
      </c>
      <c r="P58" s="2">
        <f t="shared" si="40"/>
        <v>940</v>
      </c>
      <c r="AC58" s="2">
        <v>48</v>
      </c>
      <c r="AD58" s="2">
        <f t="shared" si="27"/>
        <v>0</v>
      </c>
      <c r="AE58" s="2">
        <f t="shared" si="28"/>
        <v>420</v>
      </c>
      <c r="AF58" s="2">
        <f t="shared" si="29"/>
        <v>1050</v>
      </c>
      <c r="AG58" s="2">
        <f t="shared" si="30"/>
        <v>2100</v>
      </c>
      <c r="AH58" s="2">
        <f t="shared" si="31"/>
        <v>4200</v>
      </c>
      <c r="AJ58" s="10">
        <v>48</v>
      </c>
      <c r="AK58" s="10">
        <f>IFERROR(求节点(节奏总纲!R$4:R$363,AD$11:AD$370,$AC58),0)</f>
        <v>0</v>
      </c>
      <c r="AL58" s="10">
        <f>IFERROR(求节点(节奏总纲!S$4:S$363,AE$11:AE$370,$AC58),0)</f>
        <v>0</v>
      </c>
      <c r="AM58" s="10">
        <f>IFERROR(求节点(节奏总纲!T$4:T$363,AF$11:AF$370,$AC58),0)</f>
        <v>0</v>
      </c>
      <c r="AN58" s="10">
        <f>IFERROR(求节点(节奏总纲!U$4:U$363,AG$11:AG$370,$AC58),0)</f>
        <v>0</v>
      </c>
      <c r="AO58" s="10">
        <f>IFERROR(求节点(节奏总纲!V$4:V$363,AH$11:AH$370,$AC58),0)</f>
        <v>0</v>
      </c>
      <c r="AZ58" s="10">
        <v>48</v>
      </c>
      <c r="BA58" s="10">
        <f t="shared" si="14"/>
        <v>235200</v>
      </c>
      <c r="BB58" s="10">
        <f t="shared" si="15"/>
        <v>352800</v>
      </c>
      <c r="BC58" s="10">
        <f t="shared" si="16"/>
        <v>470400</v>
      </c>
      <c r="BD58" s="10">
        <f t="shared" si="17"/>
        <v>588000</v>
      </c>
      <c r="BE58" s="10">
        <f t="shared" si="18"/>
        <v>705600</v>
      </c>
      <c r="BG58" s="10">
        <v>48</v>
      </c>
      <c r="BH58" s="10">
        <f>MAX(节奏总纲!D51-$C$7,0)*C$22*$C$8*($AV$6+$AV$22)/30</f>
        <v>0</v>
      </c>
      <c r="BI58" s="10">
        <f>MAX(节奏总纲!E51-$C$7,0)*D$22*$C$8*($AV$6+$AV$22)/30</f>
        <v>0</v>
      </c>
      <c r="BJ58" s="10">
        <f>MAX(节奏总纲!F51-$C$7,0)*E$22*$C$8*($AV$6+$AV$22)/30</f>
        <v>0</v>
      </c>
      <c r="BK58" s="10">
        <f>MAX(节奏总纲!G51-$C$7,0)*F$22*$C$8*($AV$6+$AV$22)/30</f>
        <v>0</v>
      </c>
      <c r="BL58" s="10">
        <f>MAX(节奏总纲!H51-$C$7,0)*G$22*$C$8*($AV$6+$AV$22)/30</f>
        <v>0</v>
      </c>
      <c r="BX58" s="10">
        <v>48</v>
      </c>
      <c r="BY58" s="10">
        <f t="shared" si="41"/>
        <v>12000</v>
      </c>
      <c r="BZ58" s="10">
        <f t="shared" si="41"/>
        <v>18000</v>
      </c>
      <c r="CA58" s="10">
        <f t="shared" si="41"/>
        <v>24000</v>
      </c>
      <c r="CB58" s="10">
        <f t="shared" si="41"/>
        <v>45000</v>
      </c>
      <c r="CC58" s="10">
        <f t="shared" si="41"/>
        <v>150000</v>
      </c>
      <c r="CE58" s="10">
        <v>48</v>
      </c>
      <c r="CF58" s="10">
        <f>MAX(节奏总纲!D51-$C$7,0)*INDEX($BU$7:$BU$15,MATCH(BY$10,$BT$7:$BT$15,0))/30</f>
        <v>0</v>
      </c>
      <c r="CG58" s="10">
        <f>MAX(节奏总纲!E51-$C$7,0)*INDEX($BU$7:$BU$15,MATCH(BZ$10,$BT$7:$BT$15,0))/30</f>
        <v>0</v>
      </c>
      <c r="CH58" s="10">
        <f>MAX(节奏总纲!F51-$C$7,0)*INDEX($BU$7:$BU$15,MATCH(CA$10,$BT$7:$BT$15,0))/30</f>
        <v>0</v>
      </c>
      <c r="CI58" s="10">
        <f>MAX(节奏总纲!G51-$C$7,0)*INDEX($BU$7:$BU$15,MATCH(CB$10,$BT$7:$BT$15,0))/30</f>
        <v>0</v>
      </c>
      <c r="CJ58" s="10">
        <f>MAX(节奏总纲!H51-$C$7,0)*INDEX($BU$7:$BU$15,MATCH(CC$10,$BT$7:$BT$15,0))/30</f>
        <v>0</v>
      </c>
    </row>
    <row r="59" spans="15:88" x14ac:dyDescent="0.15">
      <c r="O59" s="2">
        <v>48</v>
      </c>
      <c r="P59" s="2">
        <f t="shared" si="40"/>
        <v>960</v>
      </c>
      <c r="AC59" s="2">
        <v>49</v>
      </c>
      <c r="AD59" s="2">
        <f t="shared" si="27"/>
        <v>0</v>
      </c>
      <c r="AE59" s="2">
        <f t="shared" si="28"/>
        <v>443.33333333333331</v>
      </c>
      <c r="AF59" s="2">
        <f t="shared" si="29"/>
        <v>1108.3333333333333</v>
      </c>
      <c r="AG59" s="2">
        <f t="shared" si="30"/>
        <v>2216.6666666666665</v>
      </c>
      <c r="AH59" s="2">
        <f t="shared" si="31"/>
        <v>4433.333333333333</v>
      </c>
      <c r="AJ59" s="10">
        <v>49</v>
      </c>
      <c r="AK59" s="10">
        <f>IFERROR(求节点(节奏总纲!R$4:R$363,AD$11:AD$370,$AC59),0)</f>
        <v>0</v>
      </c>
      <c r="AL59" s="10">
        <f>IFERROR(求节点(节奏总纲!S$4:S$363,AE$11:AE$370,$AC59),0)</f>
        <v>0</v>
      </c>
      <c r="AM59" s="10">
        <f>IFERROR(求节点(节奏总纲!T$4:T$363,AF$11:AF$370,$AC59),0)</f>
        <v>0</v>
      </c>
      <c r="AN59" s="10">
        <f>IFERROR(求节点(节奏总纲!U$4:U$363,AG$11:AG$370,$AC59),0)</f>
        <v>0</v>
      </c>
      <c r="AO59" s="10">
        <f>IFERROR(求节点(节奏总纲!V$4:V$363,AH$11:AH$370,$AC59),0)</f>
        <v>0</v>
      </c>
      <c r="AZ59" s="10">
        <v>49</v>
      </c>
      <c r="BA59" s="10">
        <f t="shared" si="14"/>
        <v>248266.66666666666</v>
      </c>
      <c r="BB59" s="10">
        <f t="shared" si="15"/>
        <v>372400</v>
      </c>
      <c r="BC59" s="10">
        <f t="shared" si="16"/>
        <v>496533.33333333331</v>
      </c>
      <c r="BD59" s="10">
        <f t="shared" si="17"/>
        <v>620666.66666666663</v>
      </c>
      <c r="BE59" s="10">
        <f t="shared" si="18"/>
        <v>744800</v>
      </c>
      <c r="BG59" s="10">
        <v>49</v>
      </c>
      <c r="BH59" s="10">
        <f>MAX(节奏总纲!D52-$C$7,0)*C$22*$C$8*($AV$6+$AV$22)/30</f>
        <v>0</v>
      </c>
      <c r="BI59" s="10">
        <f>MAX(节奏总纲!E52-$C$7,0)*D$22*$C$8*($AV$6+$AV$22)/30</f>
        <v>0</v>
      </c>
      <c r="BJ59" s="10">
        <f>MAX(节奏总纲!F52-$C$7,0)*E$22*$C$8*($AV$6+$AV$22)/30</f>
        <v>0</v>
      </c>
      <c r="BK59" s="10">
        <f>MAX(节奏总纲!G52-$C$7,0)*F$22*$C$8*($AV$6+$AV$22)/30</f>
        <v>0</v>
      </c>
      <c r="BL59" s="10">
        <f>MAX(节奏总纲!H52-$C$7,0)*G$22*$C$8*($AV$6+$AV$22)/30</f>
        <v>0</v>
      </c>
      <c r="BX59" s="10">
        <v>49</v>
      </c>
      <c r="BY59" s="10">
        <f t="shared" si="41"/>
        <v>12666.666666666666</v>
      </c>
      <c r="BZ59" s="10">
        <f t="shared" si="41"/>
        <v>19000</v>
      </c>
      <c r="CA59" s="10">
        <f t="shared" si="41"/>
        <v>25333.333333333332</v>
      </c>
      <c r="CB59" s="10">
        <f t="shared" si="41"/>
        <v>47500</v>
      </c>
      <c r="CC59" s="10">
        <f t="shared" si="41"/>
        <v>158333.33333333334</v>
      </c>
      <c r="CE59" s="10">
        <v>49</v>
      </c>
      <c r="CF59" s="10">
        <f>MAX(节奏总纲!D52-$C$7,0)*INDEX($BU$7:$BU$15,MATCH(BY$10,$BT$7:$BT$15,0))/30</f>
        <v>0</v>
      </c>
      <c r="CG59" s="10">
        <f>MAX(节奏总纲!E52-$C$7,0)*INDEX($BU$7:$BU$15,MATCH(BZ$10,$BT$7:$BT$15,0))/30</f>
        <v>0</v>
      </c>
      <c r="CH59" s="10">
        <f>MAX(节奏总纲!F52-$C$7,0)*INDEX($BU$7:$BU$15,MATCH(CA$10,$BT$7:$BT$15,0))/30</f>
        <v>0</v>
      </c>
      <c r="CI59" s="10">
        <f>MAX(节奏总纲!G52-$C$7,0)*INDEX($BU$7:$BU$15,MATCH(CB$10,$BT$7:$BT$15,0))/30</f>
        <v>0</v>
      </c>
      <c r="CJ59" s="10">
        <f>MAX(节奏总纲!H52-$C$7,0)*INDEX($BU$7:$BU$15,MATCH(CC$10,$BT$7:$BT$15,0))/30</f>
        <v>0</v>
      </c>
    </row>
    <row r="60" spans="15:88" x14ac:dyDescent="0.15">
      <c r="O60" s="2">
        <v>49</v>
      </c>
      <c r="P60" s="2">
        <f t="shared" si="40"/>
        <v>980</v>
      </c>
      <c r="AC60" s="2">
        <v>50</v>
      </c>
      <c r="AD60" s="2">
        <f t="shared" si="27"/>
        <v>0</v>
      </c>
      <c r="AE60" s="2">
        <f t="shared" si="28"/>
        <v>466.66666666666669</v>
      </c>
      <c r="AF60" s="2">
        <f t="shared" si="29"/>
        <v>1166.6666666666667</v>
      </c>
      <c r="AG60" s="2">
        <f t="shared" si="30"/>
        <v>2333.3333333333335</v>
      </c>
      <c r="AH60" s="2">
        <f t="shared" si="31"/>
        <v>4666.666666666667</v>
      </c>
      <c r="AJ60" s="10">
        <v>50</v>
      </c>
      <c r="AK60" s="10">
        <f>IFERROR(求节点(节奏总纲!R$4:R$363,AD$11:AD$370,$AC60),0)</f>
        <v>0</v>
      </c>
      <c r="AL60" s="10">
        <f>IFERROR(求节点(节奏总纲!S$4:S$363,AE$11:AE$370,$AC60),0)</f>
        <v>0</v>
      </c>
      <c r="AM60" s="10">
        <f>IFERROR(求节点(节奏总纲!T$4:T$363,AF$11:AF$370,$AC60),0)</f>
        <v>0</v>
      </c>
      <c r="AN60" s="10">
        <f>IFERROR(求节点(节奏总纲!U$4:U$363,AG$11:AG$370,$AC60),0)</f>
        <v>0</v>
      </c>
      <c r="AO60" s="10">
        <f>IFERROR(求节点(节奏总纲!V$4:V$363,AH$11:AH$370,$AC60),0)</f>
        <v>0</v>
      </c>
      <c r="AZ60" s="10">
        <v>50</v>
      </c>
      <c r="BA60" s="10">
        <f t="shared" si="14"/>
        <v>261333.33333333334</v>
      </c>
      <c r="BB60" s="10">
        <f t="shared" si="15"/>
        <v>392000</v>
      </c>
      <c r="BC60" s="10">
        <f t="shared" si="16"/>
        <v>522666.66666666669</v>
      </c>
      <c r="BD60" s="10">
        <f t="shared" si="17"/>
        <v>653333.33333333337</v>
      </c>
      <c r="BE60" s="10">
        <f t="shared" si="18"/>
        <v>784000</v>
      </c>
      <c r="BG60" s="10">
        <v>50</v>
      </c>
      <c r="BH60" s="10">
        <f>MAX(节奏总纲!D53-$C$7,0)*C$22*$C$8*($AV$6+$AV$22)/30</f>
        <v>13066.666666666666</v>
      </c>
      <c r="BI60" s="10">
        <f>MAX(节奏总纲!E53-$C$7,0)*D$22*$C$8*($AV$6+$AV$22)/30</f>
        <v>0</v>
      </c>
      <c r="BJ60" s="10">
        <f>MAX(节奏总纲!F53-$C$7,0)*E$22*$C$8*($AV$6+$AV$22)/30</f>
        <v>0</v>
      </c>
      <c r="BK60" s="10">
        <f>MAX(节奏总纲!G53-$C$7,0)*F$22*$C$8*($AV$6+$AV$22)/30</f>
        <v>0</v>
      </c>
      <c r="BL60" s="10">
        <f>MAX(节奏总纲!H53-$C$7,0)*G$22*$C$8*($AV$6+$AV$22)/30</f>
        <v>0</v>
      </c>
      <c r="BX60" s="10">
        <v>50</v>
      </c>
      <c r="BY60" s="10">
        <f t="shared" si="41"/>
        <v>13333.333333333334</v>
      </c>
      <c r="BZ60" s="10">
        <f t="shared" si="41"/>
        <v>20000</v>
      </c>
      <c r="CA60" s="10">
        <f t="shared" si="41"/>
        <v>26666.666666666668</v>
      </c>
      <c r="CB60" s="10">
        <f t="shared" si="41"/>
        <v>50000</v>
      </c>
      <c r="CC60" s="10">
        <f t="shared" si="41"/>
        <v>166666.66666666666</v>
      </c>
      <c r="CE60" s="10">
        <v>50</v>
      </c>
      <c r="CF60" s="10">
        <f>MAX(节奏总纲!D53-$C$7,0)*INDEX($BU$7:$BU$15,MATCH(BY$10,$BT$7:$BT$15,0))/30</f>
        <v>666.66666666666663</v>
      </c>
      <c r="CG60" s="10">
        <f>MAX(节奏总纲!E53-$C$7,0)*INDEX($BU$7:$BU$15,MATCH(BZ$10,$BT$7:$BT$15,0))/30</f>
        <v>0</v>
      </c>
      <c r="CH60" s="10">
        <f>MAX(节奏总纲!F53-$C$7,0)*INDEX($BU$7:$BU$15,MATCH(CA$10,$BT$7:$BT$15,0))/30</f>
        <v>0</v>
      </c>
      <c r="CI60" s="10">
        <f>MAX(节奏总纲!G53-$C$7,0)*INDEX($BU$7:$BU$15,MATCH(CB$10,$BT$7:$BT$15,0))/30</f>
        <v>0</v>
      </c>
      <c r="CJ60" s="10">
        <f>MAX(节奏总纲!H53-$C$7,0)*INDEX($BU$7:$BU$15,MATCH(CC$10,$BT$7:$BT$15,0))/30</f>
        <v>0</v>
      </c>
    </row>
    <row r="61" spans="15:88" x14ac:dyDescent="0.15">
      <c r="O61" s="2">
        <v>50</v>
      </c>
      <c r="P61" s="2">
        <f t="shared" si="40"/>
        <v>1000</v>
      </c>
      <c r="AC61" s="2">
        <v>51</v>
      </c>
      <c r="AD61" s="2">
        <f t="shared" si="27"/>
        <v>0</v>
      </c>
      <c r="AE61" s="2">
        <f t="shared" si="28"/>
        <v>490</v>
      </c>
      <c r="AF61" s="2">
        <f t="shared" si="29"/>
        <v>1225</v>
      </c>
      <c r="AG61" s="2">
        <f t="shared" si="30"/>
        <v>2450</v>
      </c>
      <c r="AH61" s="2">
        <f t="shared" si="31"/>
        <v>4900</v>
      </c>
      <c r="AJ61" s="10">
        <v>51</v>
      </c>
      <c r="AK61" s="10">
        <f>IFERROR(求节点(节奏总纲!R$4:R$363,AD$11:AD$370,$AC61),0)</f>
        <v>0</v>
      </c>
      <c r="AL61" s="10">
        <f>IFERROR(求节点(节奏总纲!S$4:S$363,AE$11:AE$370,$AC61),0)</f>
        <v>0</v>
      </c>
      <c r="AM61" s="10">
        <f>IFERROR(求节点(节奏总纲!T$4:T$363,AF$11:AF$370,$AC61),0)</f>
        <v>0</v>
      </c>
      <c r="AN61" s="10">
        <f>IFERROR(求节点(节奏总纲!U$4:U$363,AG$11:AG$370,$AC61),0)</f>
        <v>0</v>
      </c>
      <c r="AO61" s="10">
        <f>IFERROR(求节点(节奏总纲!V$4:V$363,AH$11:AH$370,$AC61),0)</f>
        <v>0</v>
      </c>
      <c r="AZ61" s="10">
        <v>51</v>
      </c>
      <c r="BA61" s="10">
        <f t="shared" si="14"/>
        <v>274400</v>
      </c>
      <c r="BB61" s="10">
        <f t="shared" si="15"/>
        <v>411600</v>
      </c>
      <c r="BC61" s="10">
        <f t="shared" si="16"/>
        <v>548800</v>
      </c>
      <c r="BD61" s="10">
        <f t="shared" si="17"/>
        <v>686000</v>
      </c>
      <c r="BE61" s="10">
        <f t="shared" si="18"/>
        <v>823200</v>
      </c>
      <c r="BG61" s="10">
        <v>51</v>
      </c>
      <c r="BH61" s="10">
        <f>MAX(节奏总纲!D54-$C$7,0)*C$22*$C$8*($AV$6+$AV$22)/30</f>
        <v>43077.543801841843</v>
      </c>
      <c r="BI61" s="10">
        <f>MAX(节奏总纲!E54-$C$7,0)*D$22*$C$8*($AV$6+$AV$22)/30</f>
        <v>0</v>
      </c>
      <c r="BJ61" s="10">
        <f>MAX(节奏总纲!F54-$C$7,0)*E$22*$C$8*($AV$6+$AV$22)/30</f>
        <v>0</v>
      </c>
      <c r="BK61" s="10">
        <f>MAX(节奏总纲!G54-$C$7,0)*F$22*$C$8*($AV$6+$AV$22)/30</f>
        <v>0</v>
      </c>
      <c r="BL61" s="10">
        <f>MAX(节奏总纲!H54-$C$7,0)*G$22*$C$8*($AV$6+$AV$22)/30</f>
        <v>0</v>
      </c>
      <c r="BX61" s="10">
        <v>51</v>
      </c>
      <c r="BY61" s="10">
        <f t="shared" ref="BY61:CC70" si="42">MAX($BX61-$C$7,0)*INDEX($BU$7:$BU$15,MATCH(BY$10,$BT$7:$BT$15,0))/30</f>
        <v>14000</v>
      </c>
      <c r="BZ61" s="10">
        <f t="shared" si="42"/>
        <v>21000</v>
      </c>
      <c r="CA61" s="10">
        <f t="shared" si="42"/>
        <v>28000</v>
      </c>
      <c r="CB61" s="10">
        <f t="shared" si="42"/>
        <v>52500</v>
      </c>
      <c r="CC61" s="10">
        <f t="shared" si="42"/>
        <v>175000</v>
      </c>
      <c r="CE61" s="10">
        <v>51</v>
      </c>
      <c r="CF61" s="10">
        <f>MAX(节奏总纲!D54-$C$7,0)*INDEX($BU$7:$BU$15,MATCH(BY$10,$BT$7:$BT$15,0))/30</f>
        <v>2197.8338674409106</v>
      </c>
      <c r="CG61" s="10">
        <f>MAX(节奏总纲!E54-$C$7,0)*INDEX($BU$7:$BU$15,MATCH(BZ$10,$BT$7:$BT$15,0))/30</f>
        <v>0</v>
      </c>
      <c r="CH61" s="10">
        <f>MAX(节奏总纲!F54-$C$7,0)*INDEX($BU$7:$BU$15,MATCH(CA$10,$BT$7:$BT$15,0))/30</f>
        <v>0</v>
      </c>
      <c r="CI61" s="10">
        <f>MAX(节奏总纲!G54-$C$7,0)*INDEX($BU$7:$BU$15,MATCH(CB$10,$BT$7:$BT$15,0))/30</f>
        <v>0</v>
      </c>
      <c r="CJ61" s="10">
        <f>MAX(节奏总纲!H54-$C$7,0)*INDEX($BU$7:$BU$15,MATCH(CC$10,$BT$7:$BT$15,0))/30</f>
        <v>0</v>
      </c>
    </row>
    <row r="62" spans="15:88" x14ac:dyDescent="0.15">
      <c r="O62" s="2">
        <v>51</v>
      </c>
      <c r="P62" s="2">
        <f t="shared" si="40"/>
        <v>1020</v>
      </c>
      <c r="AC62" s="2">
        <v>52</v>
      </c>
      <c r="AD62" s="2">
        <f t="shared" si="27"/>
        <v>0</v>
      </c>
      <c r="AE62" s="2">
        <f t="shared" si="28"/>
        <v>513.33333333333337</v>
      </c>
      <c r="AF62" s="2">
        <f t="shared" si="29"/>
        <v>1283.3333333333333</v>
      </c>
      <c r="AG62" s="2">
        <f t="shared" si="30"/>
        <v>2566.6666666666665</v>
      </c>
      <c r="AH62" s="2">
        <f t="shared" si="31"/>
        <v>5133.333333333333</v>
      </c>
      <c r="AJ62" s="10">
        <v>52</v>
      </c>
      <c r="AK62" s="10">
        <f>IFERROR(求节点(节奏总纲!R$4:R$363,AD$11:AD$370,$AC62),0)</f>
        <v>0</v>
      </c>
      <c r="AL62" s="10">
        <f>IFERROR(求节点(节奏总纲!S$4:S$363,AE$11:AE$370,$AC62),0)</f>
        <v>25.382613497239575</v>
      </c>
      <c r="AM62" s="10">
        <f>IFERROR(求节点(节奏总纲!T$4:T$363,AF$11:AF$370,$AC62),0)</f>
        <v>0</v>
      </c>
      <c r="AN62" s="10">
        <f>IFERROR(求节点(节奏总纲!U$4:U$363,AG$11:AG$370,$AC62),0)</f>
        <v>0</v>
      </c>
      <c r="AO62" s="10">
        <f>IFERROR(求节点(节奏总纲!V$4:V$363,AH$11:AH$370,$AC62),0)</f>
        <v>0</v>
      </c>
      <c r="AZ62" s="10">
        <v>52</v>
      </c>
      <c r="BA62" s="10">
        <f t="shared" si="14"/>
        <v>287466.66666666669</v>
      </c>
      <c r="BB62" s="10">
        <f t="shared" si="15"/>
        <v>431200</v>
      </c>
      <c r="BC62" s="10">
        <f t="shared" si="16"/>
        <v>574933.33333333337</v>
      </c>
      <c r="BD62" s="10">
        <f t="shared" si="17"/>
        <v>718666.66666666663</v>
      </c>
      <c r="BE62" s="10">
        <f t="shared" si="18"/>
        <v>862400</v>
      </c>
      <c r="BG62" s="10">
        <v>52</v>
      </c>
      <c r="BH62" s="10">
        <f>MAX(节奏总纲!D55-$C$7,0)*C$22*$C$8*($AV$6+$AV$22)/30</f>
        <v>75242.405502760288</v>
      </c>
      <c r="BI62" s="10">
        <f>MAX(节奏总纲!E55-$C$7,0)*D$22*$C$8*($AV$6+$AV$22)/30</f>
        <v>21190.648294498857</v>
      </c>
      <c r="BJ62" s="10">
        <f>MAX(节奏总纲!F55-$C$7,0)*E$22*$C$8*($AV$6+$AV$22)/30</f>
        <v>0</v>
      </c>
      <c r="BK62" s="10">
        <f>MAX(节奏总纲!G55-$C$7,0)*F$22*$C$8*($AV$6+$AV$22)/30</f>
        <v>0</v>
      </c>
      <c r="BL62" s="10">
        <f>MAX(节奏总纲!H55-$C$7,0)*G$22*$C$8*($AV$6+$AV$22)/30</f>
        <v>0</v>
      </c>
      <c r="BX62" s="10">
        <v>52</v>
      </c>
      <c r="BY62" s="10">
        <f t="shared" si="42"/>
        <v>14666.666666666666</v>
      </c>
      <c r="BZ62" s="10">
        <f t="shared" si="42"/>
        <v>22000</v>
      </c>
      <c r="CA62" s="10">
        <f t="shared" si="42"/>
        <v>29333.333333333332</v>
      </c>
      <c r="CB62" s="10">
        <f t="shared" si="42"/>
        <v>55000</v>
      </c>
      <c r="CC62" s="10">
        <f t="shared" si="42"/>
        <v>183333.33333333334</v>
      </c>
      <c r="CE62" s="10">
        <v>52</v>
      </c>
      <c r="CF62" s="10">
        <f>MAX(节奏总纲!D55-$C$7,0)*INDEX($BU$7:$BU$15,MATCH(BY$10,$BT$7:$BT$15,0))/30</f>
        <v>3838.8982399367492</v>
      </c>
      <c r="CG62" s="10">
        <f>MAX(节奏总纲!E55-$C$7,0)*INDEX($BU$7:$BU$15,MATCH(BZ$10,$BT$7:$BT$15,0))/30</f>
        <v>1081.1555252295336</v>
      </c>
      <c r="CH62" s="10">
        <f>MAX(节奏总纲!F55-$C$7,0)*INDEX($BU$7:$BU$15,MATCH(CA$10,$BT$7:$BT$15,0))/30</f>
        <v>0</v>
      </c>
      <c r="CI62" s="10">
        <f>MAX(节奏总纲!G55-$C$7,0)*INDEX($BU$7:$BU$15,MATCH(CB$10,$BT$7:$BT$15,0))/30</f>
        <v>0</v>
      </c>
      <c r="CJ62" s="10">
        <f>MAX(节奏总纲!H55-$C$7,0)*INDEX($BU$7:$BU$15,MATCH(CC$10,$BT$7:$BT$15,0))/30</f>
        <v>0</v>
      </c>
    </row>
    <row r="63" spans="15:88" x14ac:dyDescent="0.15">
      <c r="O63" s="2">
        <v>52</v>
      </c>
      <c r="P63" s="2">
        <f t="shared" si="40"/>
        <v>1040</v>
      </c>
      <c r="AC63" s="2">
        <v>53</v>
      </c>
      <c r="AD63" s="2">
        <f t="shared" si="27"/>
        <v>0</v>
      </c>
      <c r="AE63" s="2">
        <f t="shared" si="28"/>
        <v>536.66666666666663</v>
      </c>
      <c r="AF63" s="2">
        <f t="shared" si="29"/>
        <v>1341.6666666666667</v>
      </c>
      <c r="AG63" s="2">
        <f t="shared" si="30"/>
        <v>2683.3333333333335</v>
      </c>
      <c r="AH63" s="2">
        <f t="shared" si="31"/>
        <v>5366.666666666667</v>
      </c>
      <c r="AJ63" s="10">
        <v>53</v>
      </c>
      <c r="AK63" s="10">
        <f>IFERROR(求节点(节奏总纲!R$4:R$363,AD$11:AD$370,$AC63),0)</f>
        <v>0</v>
      </c>
      <c r="AL63" s="10">
        <f>IFERROR(求节点(节奏总纲!S$4:S$363,AE$11:AE$370,$AC63),0)</f>
        <v>80.396054832967053</v>
      </c>
      <c r="AM63" s="10">
        <f>IFERROR(求节点(节奏总纲!T$4:T$363,AF$11:AF$370,$AC63),0)</f>
        <v>0</v>
      </c>
      <c r="AN63" s="10">
        <f>IFERROR(求节点(节奏总纲!U$4:U$363,AG$11:AG$370,$AC63),0)</f>
        <v>0</v>
      </c>
      <c r="AO63" s="10">
        <f>IFERROR(求节点(节奏总纲!V$4:V$363,AH$11:AH$370,$AC63),0)</f>
        <v>0</v>
      </c>
      <c r="AZ63" s="10">
        <v>53</v>
      </c>
      <c r="BA63" s="10">
        <f t="shared" si="14"/>
        <v>300533.33333333331</v>
      </c>
      <c r="BB63" s="10">
        <f t="shared" si="15"/>
        <v>450800</v>
      </c>
      <c r="BC63" s="10">
        <f t="shared" si="16"/>
        <v>601066.66666666663</v>
      </c>
      <c r="BD63" s="10">
        <f t="shared" si="17"/>
        <v>751333.33333333337</v>
      </c>
      <c r="BE63" s="10">
        <f t="shared" si="18"/>
        <v>901600</v>
      </c>
      <c r="BG63" s="10">
        <v>53</v>
      </c>
      <c r="BH63" s="10">
        <f>MAX(节奏总纲!D56-$C$7,0)*C$22*$C$8*($AV$6+$AV$22)/30</f>
        <v>109715.85069995417</v>
      </c>
      <c r="BI63" s="10">
        <f>MAX(节奏总纲!E56-$C$7,0)*D$22*$C$8*($AV$6+$AV$22)/30</f>
        <v>67190.729429070125</v>
      </c>
      <c r="BJ63" s="10">
        <f>MAX(节奏总纲!F56-$C$7,0)*E$22*$C$8*($AV$6+$AV$22)/30</f>
        <v>0</v>
      </c>
      <c r="BK63" s="10">
        <f>MAX(节奏总纲!G56-$C$7,0)*F$22*$C$8*($AV$6+$AV$22)/30</f>
        <v>0</v>
      </c>
      <c r="BL63" s="10">
        <f>MAX(节奏总纲!H56-$C$7,0)*G$22*$C$8*($AV$6+$AV$22)/30</f>
        <v>0</v>
      </c>
      <c r="BX63" s="10">
        <v>53</v>
      </c>
      <c r="BY63" s="10">
        <f t="shared" si="42"/>
        <v>15333.333333333334</v>
      </c>
      <c r="BZ63" s="10">
        <f t="shared" si="42"/>
        <v>23000</v>
      </c>
      <c r="CA63" s="10">
        <f t="shared" si="42"/>
        <v>30666.666666666668</v>
      </c>
      <c r="CB63" s="10">
        <f t="shared" si="42"/>
        <v>57500</v>
      </c>
      <c r="CC63" s="10">
        <f t="shared" si="42"/>
        <v>191666.66666666666</v>
      </c>
      <c r="CE63" s="10">
        <v>53</v>
      </c>
      <c r="CF63" s="10">
        <f>MAX(节奏总纲!D56-$C$7,0)*INDEX($BU$7:$BU$15,MATCH(BY$10,$BT$7:$BT$15,0))/30</f>
        <v>5597.7474846915384</v>
      </c>
      <c r="CG63" s="10">
        <f>MAX(节奏总纲!E56-$C$7,0)*INDEX($BU$7:$BU$15,MATCH(BZ$10,$BT$7:$BT$15,0))/30</f>
        <v>3428.0984402586796</v>
      </c>
      <c r="CH63" s="10">
        <f>MAX(节奏总纲!F56-$C$7,0)*INDEX($BU$7:$BU$15,MATCH(CA$10,$BT$7:$BT$15,0))/30</f>
        <v>0</v>
      </c>
      <c r="CI63" s="10">
        <f>MAX(节奏总纲!G56-$C$7,0)*INDEX($BU$7:$BU$15,MATCH(CB$10,$BT$7:$BT$15,0))/30</f>
        <v>0</v>
      </c>
      <c r="CJ63" s="10">
        <f>MAX(节奏总纲!H56-$C$7,0)*INDEX($BU$7:$BU$15,MATCH(CC$10,$BT$7:$BT$15,0))/30</f>
        <v>0</v>
      </c>
    </row>
    <row r="64" spans="15:88" x14ac:dyDescent="0.15">
      <c r="O64" s="2">
        <v>53</v>
      </c>
      <c r="P64" s="2">
        <f t="shared" si="40"/>
        <v>1060</v>
      </c>
      <c r="AC64" s="2">
        <v>54</v>
      </c>
      <c r="AD64" s="2">
        <f t="shared" si="27"/>
        <v>0</v>
      </c>
      <c r="AE64" s="2">
        <f t="shared" si="28"/>
        <v>560</v>
      </c>
      <c r="AF64" s="2">
        <f t="shared" si="29"/>
        <v>1400</v>
      </c>
      <c r="AG64" s="2">
        <f t="shared" si="30"/>
        <v>2800</v>
      </c>
      <c r="AH64" s="2">
        <f t="shared" si="31"/>
        <v>5600</v>
      </c>
      <c r="AJ64" s="10">
        <v>54</v>
      </c>
      <c r="AK64" s="10">
        <f>IFERROR(求节点(节奏总纲!R$4:R$363,AD$11:AD$370,$AC64),0)</f>
        <v>0</v>
      </c>
      <c r="AL64" s="10">
        <f>IFERROR(求节点(节奏总纲!S$4:S$363,AE$11:AE$370,$AC64),0)</f>
        <v>138.8056423315029</v>
      </c>
      <c r="AM64" s="10">
        <f>IFERROR(求节点(节奏总纲!T$4:T$363,AF$11:AF$370,$AC64),0)</f>
        <v>0</v>
      </c>
      <c r="AN64" s="10">
        <f>IFERROR(求节点(节奏总纲!U$4:U$363,AG$11:AG$370,$AC64),0)</f>
        <v>0</v>
      </c>
      <c r="AO64" s="10">
        <f>IFERROR(求节点(节奏总纲!V$4:V$363,AH$11:AH$370,$AC64),0)</f>
        <v>0</v>
      </c>
      <c r="AZ64" s="10">
        <v>54</v>
      </c>
      <c r="BA64" s="10">
        <f t="shared" si="14"/>
        <v>313600</v>
      </c>
      <c r="BB64" s="10">
        <f t="shared" si="15"/>
        <v>470400</v>
      </c>
      <c r="BC64" s="10">
        <f t="shared" si="16"/>
        <v>627200</v>
      </c>
      <c r="BD64" s="10">
        <f t="shared" si="17"/>
        <v>784000</v>
      </c>
      <c r="BE64" s="10">
        <f t="shared" si="18"/>
        <v>940800</v>
      </c>
      <c r="BG64" s="10">
        <v>54</v>
      </c>
      <c r="BH64" s="10">
        <f>MAX(节奏总纲!D57-$C$7,0)*C$22*$C$8*($AV$6+$AV$22)/30</f>
        <v>146663.57442450617</v>
      </c>
      <c r="BI64" s="10">
        <f>MAX(节奏总纲!E57-$C$7,0)*D$22*$C$8*($AV$6+$AV$22)/30</f>
        <v>116571.95534725409</v>
      </c>
      <c r="BJ64" s="10">
        <f>MAX(节奏总纲!F57-$C$7,0)*E$22*$C$8*($AV$6+$AV$22)/30</f>
        <v>0</v>
      </c>
      <c r="BK64" s="10">
        <f>MAX(节奏总纲!G57-$C$7,0)*F$22*$C$8*($AV$6+$AV$22)/30</f>
        <v>0</v>
      </c>
      <c r="BL64" s="10">
        <f>MAX(节奏总纲!H57-$C$7,0)*G$22*$C$8*($AV$6+$AV$22)/30</f>
        <v>0</v>
      </c>
      <c r="BX64" s="10">
        <v>54</v>
      </c>
      <c r="BY64" s="10">
        <f t="shared" si="42"/>
        <v>16000</v>
      </c>
      <c r="BZ64" s="10">
        <f t="shared" si="42"/>
        <v>24000</v>
      </c>
      <c r="CA64" s="10">
        <f t="shared" si="42"/>
        <v>32000</v>
      </c>
      <c r="CB64" s="10">
        <f t="shared" si="42"/>
        <v>60000</v>
      </c>
      <c r="CC64" s="10">
        <f t="shared" si="42"/>
        <v>200000</v>
      </c>
      <c r="CE64" s="10">
        <v>54</v>
      </c>
      <c r="CF64" s="10">
        <f>MAX(节奏总纲!D57-$C$7,0)*INDEX($BU$7:$BU$15,MATCH(BY$10,$BT$7:$BT$15,0))/30</f>
        <v>7482.8354298217428</v>
      </c>
      <c r="CG64" s="10">
        <f>MAX(节奏总纲!E57-$C$7,0)*INDEX($BU$7:$BU$15,MATCH(BZ$10,$BT$7:$BT$15,0))/30</f>
        <v>5947.5487422068409</v>
      </c>
      <c r="CH64" s="10">
        <f>MAX(节奏总纲!F57-$C$7,0)*INDEX($BU$7:$BU$15,MATCH(CA$10,$BT$7:$BT$15,0))/30</f>
        <v>0</v>
      </c>
      <c r="CI64" s="10">
        <f>MAX(节奏总纲!G57-$C$7,0)*INDEX($BU$7:$BU$15,MATCH(CB$10,$BT$7:$BT$15,0))/30</f>
        <v>0</v>
      </c>
      <c r="CJ64" s="10">
        <f>MAX(节奏总纲!H57-$C$7,0)*INDEX($BU$7:$BU$15,MATCH(CC$10,$BT$7:$BT$15,0))/30</f>
        <v>0</v>
      </c>
    </row>
    <row r="65" spans="15:88" x14ac:dyDescent="0.15">
      <c r="O65" s="2">
        <v>54</v>
      </c>
      <c r="P65" s="2">
        <f t="shared" si="40"/>
        <v>1080</v>
      </c>
      <c r="AC65" s="2">
        <v>55</v>
      </c>
      <c r="AD65" s="2">
        <f t="shared" si="27"/>
        <v>0</v>
      </c>
      <c r="AE65" s="2">
        <f t="shared" si="28"/>
        <v>583.33333333333337</v>
      </c>
      <c r="AF65" s="2">
        <f t="shared" si="29"/>
        <v>1458.3333333333333</v>
      </c>
      <c r="AG65" s="2">
        <f t="shared" si="30"/>
        <v>2916.6666666666665</v>
      </c>
      <c r="AH65" s="2">
        <f t="shared" si="31"/>
        <v>5833.333333333333</v>
      </c>
      <c r="AJ65" s="10">
        <v>55</v>
      </c>
      <c r="AK65" s="10">
        <f>IFERROR(求节点(节奏总纲!R$4:R$363,AD$11:AD$370,$AC65),0)</f>
        <v>0</v>
      </c>
      <c r="AL65" s="10">
        <f>IFERROR(求节点(节奏总纲!S$4:S$363,AE$11:AE$370,$AC65),0)</f>
        <v>199.43866512810331</v>
      </c>
      <c r="AM65" s="10">
        <f>IFERROR(求节点(节奏总纲!T$4:T$363,AF$11:AF$370,$AC65),0)</f>
        <v>96.761482121931493</v>
      </c>
      <c r="AN65" s="10">
        <f>IFERROR(求节点(节奏总纲!U$4:U$363,AG$11:AG$370,$AC65),0)</f>
        <v>0</v>
      </c>
      <c r="AO65" s="10">
        <f>IFERROR(求节点(节奏总纲!V$4:V$363,AH$11:AH$370,$AC65),0)</f>
        <v>0</v>
      </c>
      <c r="AZ65" s="10">
        <v>55</v>
      </c>
      <c r="BA65" s="10">
        <f t="shared" si="14"/>
        <v>326666.66666666669</v>
      </c>
      <c r="BB65" s="10">
        <f t="shared" si="15"/>
        <v>490000</v>
      </c>
      <c r="BC65" s="10">
        <f t="shared" si="16"/>
        <v>653333.33333333337</v>
      </c>
      <c r="BD65" s="10">
        <f t="shared" si="17"/>
        <v>816666.66666666663</v>
      </c>
      <c r="BE65" s="10">
        <f t="shared" si="18"/>
        <v>980000</v>
      </c>
      <c r="BG65" s="10">
        <v>55</v>
      </c>
      <c r="BH65" s="10">
        <f>MAX(节奏总纲!D58-$C$7,0)*C$22*$C$8*($AV$6+$AV$22)/30</f>
        <v>186263.16421360348</v>
      </c>
      <c r="BI65" s="10">
        <f>MAX(节奏总纲!E58-$C$7,0)*D$22*$C$8*($AV$6+$AV$22)/30</f>
        <v>167240.60562117692</v>
      </c>
      <c r="BJ65" s="10">
        <f>MAX(节奏总纲!F58-$C$7,0)*E$22*$C$8*($AV$6+$AV$22)/30</f>
        <v>42916.324825452997</v>
      </c>
      <c r="BK65" s="10">
        <f>MAX(节奏总纲!G58-$C$7,0)*F$22*$C$8*($AV$6+$AV$22)/30</f>
        <v>0</v>
      </c>
      <c r="BL65" s="10">
        <f>MAX(节奏总纲!H58-$C$7,0)*G$22*$C$8*($AV$6+$AV$22)/30</f>
        <v>0</v>
      </c>
      <c r="BX65" s="10">
        <v>55</v>
      </c>
      <c r="BY65" s="10">
        <f t="shared" si="42"/>
        <v>16666.666666666668</v>
      </c>
      <c r="BZ65" s="10">
        <f t="shared" si="42"/>
        <v>25000</v>
      </c>
      <c r="CA65" s="10">
        <f t="shared" si="42"/>
        <v>33333.333333333336</v>
      </c>
      <c r="CB65" s="10">
        <f t="shared" si="42"/>
        <v>62500</v>
      </c>
      <c r="CC65" s="10">
        <f t="shared" si="42"/>
        <v>208333.33333333334</v>
      </c>
      <c r="CE65" s="10">
        <v>55</v>
      </c>
      <c r="CF65" s="10">
        <f>MAX(节奏总纲!D58-$C$7,0)*INDEX($BU$7:$BU$15,MATCH(BY$10,$BT$7:$BT$15,0))/30</f>
        <v>9503.2226639593628</v>
      </c>
      <c r="CG65" s="10">
        <f>MAX(节奏总纲!E58-$C$7,0)*INDEX($BU$7:$BU$15,MATCH(BZ$10,$BT$7:$BT$15,0))/30</f>
        <v>8532.6839602641303</v>
      </c>
      <c r="CH65" s="10">
        <f>MAX(节奏总纲!F58-$C$7,0)*INDEX($BU$7:$BU$15,MATCH(CA$10,$BT$7:$BT$15,0))/30</f>
        <v>2189.6084094618873</v>
      </c>
      <c r="CI65" s="10">
        <f>MAX(节奏总纲!G58-$C$7,0)*INDEX($BU$7:$BU$15,MATCH(CB$10,$BT$7:$BT$15,0))/30</f>
        <v>0</v>
      </c>
      <c r="CJ65" s="10">
        <f>MAX(节奏总纲!H58-$C$7,0)*INDEX($BU$7:$BU$15,MATCH(CC$10,$BT$7:$BT$15,0))/30</f>
        <v>0</v>
      </c>
    </row>
    <row r="66" spans="15:88" x14ac:dyDescent="0.15">
      <c r="O66" s="2">
        <v>55</v>
      </c>
      <c r="P66" s="2">
        <f t="shared" si="40"/>
        <v>1100</v>
      </c>
      <c r="AC66" s="2">
        <v>56</v>
      </c>
      <c r="AD66" s="2">
        <f t="shared" si="27"/>
        <v>0</v>
      </c>
      <c r="AE66" s="2">
        <f t="shared" si="28"/>
        <v>606.66666666666663</v>
      </c>
      <c r="AF66" s="2">
        <f t="shared" si="29"/>
        <v>1516.6666666666667</v>
      </c>
      <c r="AG66" s="2">
        <f t="shared" si="30"/>
        <v>3033.3333333333335</v>
      </c>
      <c r="AH66" s="2">
        <f t="shared" si="31"/>
        <v>6066.666666666667</v>
      </c>
      <c r="AJ66" s="10">
        <v>56</v>
      </c>
      <c r="AK66" s="10">
        <f>IFERROR(求节点(节奏总纲!R$4:R$363,AD$11:AD$370,$AC66),0)</f>
        <v>0</v>
      </c>
      <c r="AL66" s="10">
        <f>IFERROR(求节点(节奏总纲!S$4:S$363,AE$11:AE$370,$AC66),0)</f>
        <v>263.57242674402903</v>
      </c>
      <c r="AM66" s="10">
        <f>IFERROR(求节点(节奏总纲!T$4:T$363,AF$11:AF$370,$AC66),0)</f>
        <v>227.26873680871728</v>
      </c>
      <c r="AN66" s="10">
        <f>IFERROR(求节点(节奏总纲!U$4:U$363,AG$11:AG$370,$AC66),0)</f>
        <v>0</v>
      </c>
      <c r="AO66" s="10">
        <f>IFERROR(求节点(节奏总纲!V$4:V$363,AH$11:AH$370,$AC66),0)</f>
        <v>0</v>
      </c>
      <c r="AZ66" s="10">
        <v>56</v>
      </c>
      <c r="BA66" s="10">
        <f t="shared" si="14"/>
        <v>339733.33333333331</v>
      </c>
      <c r="BB66" s="10">
        <f t="shared" si="15"/>
        <v>509600</v>
      </c>
      <c r="BC66" s="10">
        <f t="shared" si="16"/>
        <v>679466.66666666663</v>
      </c>
      <c r="BD66" s="10">
        <f t="shared" si="17"/>
        <v>849333.33333333337</v>
      </c>
      <c r="BE66" s="10">
        <f t="shared" si="18"/>
        <v>1019200</v>
      </c>
      <c r="BG66" s="10">
        <v>56</v>
      </c>
      <c r="BH66" s="10">
        <f>MAX(节奏总纲!D59-$C$7,0)*C$22*$C$8*($AV$6+$AV$22)/30</f>
        <v>228704.95367688089</v>
      </c>
      <c r="BI66" s="10">
        <f>MAX(节奏总纲!E59-$C$7,0)*D$22*$C$8*($AV$6+$AV$22)/30</f>
        <v>220995.80137476278</v>
      </c>
      <c r="BJ66" s="10">
        <f>MAX(节奏总纲!F59-$C$7,0)*E$22*$C$8*($AV$6+$AV$22)/30</f>
        <v>101621.82790617371</v>
      </c>
      <c r="BK66" s="10">
        <f>MAX(节奏总纲!G59-$C$7,0)*F$22*$C$8*($AV$6+$AV$22)/30</f>
        <v>0</v>
      </c>
      <c r="BL66" s="10">
        <f>MAX(节奏总纲!H59-$C$7,0)*G$22*$C$8*($AV$6+$AV$22)/30</f>
        <v>0</v>
      </c>
      <c r="BX66" s="10">
        <v>56</v>
      </c>
      <c r="BY66" s="10">
        <f t="shared" si="42"/>
        <v>17333.333333333332</v>
      </c>
      <c r="BZ66" s="10">
        <f t="shared" si="42"/>
        <v>26000</v>
      </c>
      <c r="CA66" s="10">
        <f t="shared" si="42"/>
        <v>34666.666666666664</v>
      </c>
      <c r="CB66" s="10">
        <f t="shared" si="42"/>
        <v>65000</v>
      </c>
      <c r="CC66" s="10">
        <f t="shared" si="42"/>
        <v>216666.66666666666</v>
      </c>
      <c r="CE66" s="10">
        <v>56</v>
      </c>
      <c r="CF66" s="10">
        <f>MAX(节奏总纲!D59-$C$7,0)*INDEX($BU$7:$BU$15,MATCH(BY$10,$BT$7:$BT$15,0))/30</f>
        <v>11668.620085555149</v>
      </c>
      <c r="CG66" s="10">
        <f>MAX(节奏总纲!E59-$C$7,0)*INDEX($BU$7:$BU$15,MATCH(BZ$10,$BT$7:$BT$15,0))/30</f>
        <v>11275.295988508304</v>
      </c>
      <c r="CH66" s="10">
        <f>MAX(节奏总纲!F59-$C$7,0)*INDEX($BU$7:$BU$15,MATCH(CA$10,$BT$7:$BT$15,0))/30</f>
        <v>5184.7871380700872</v>
      </c>
      <c r="CI66" s="10">
        <f>MAX(节奏总纲!G59-$C$7,0)*INDEX($BU$7:$BU$15,MATCH(CB$10,$BT$7:$BT$15,0))/30</f>
        <v>0</v>
      </c>
      <c r="CJ66" s="10">
        <f>MAX(节奏总纲!H59-$C$7,0)*INDEX($BU$7:$BU$15,MATCH(CC$10,$BT$7:$BT$15,0))/30</f>
        <v>0</v>
      </c>
    </row>
    <row r="67" spans="15:88" x14ac:dyDescent="0.15">
      <c r="O67" s="2">
        <v>56</v>
      </c>
      <c r="P67" s="2">
        <f t="shared" si="40"/>
        <v>1120</v>
      </c>
      <c r="AC67" s="2">
        <v>57</v>
      </c>
      <c r="AD67" s="2">
        <f t="shared" si="27"/>
        <v>0</v>
      </c>
      <c r="AE67" s="2">
        <f t="shared" si="28"/>
        <v>630</v>
      </c>
      <c r="AF67" s="2">
        <f t="shared" si="29"/>
        <v>1575</v>
      </c>
      <c r="AG67" s="2">
        <f t="shared" si="30"/>
        <v>3150</v>
      </c>
      <c r="AH67" s="2">
        <f t="shared" si="31"/>
        <v>6300</v>
      </c>
      <c r="AJ67" s="10">
        <v>57</v>
      </c>
      <c r="AK67" s="10">
        <f>IFERROR(求节点(节奏总纲!R$4:R$363,AD$11:AD$370,$AC67),0)</f>
        <v>0</v>
      </c>
      <c r="AL67" s="10">
        <f>IFERROR(求节点(节奏总纲!S$4:S$363,AE$11:AE$370,$AC67),0)</f>
        <v>334.09408578866959</v>
      </c>
      <c r="AM67" s="10">
        <f>IFERROR(求节点(节奏总纲!T$4:T$363,AF$11:AF$370,$AC67),0)</f>
        <v>369.29816996058173</v>
      </c>
      <c r="AN67" s="10">
        <f>IFERROR(求节点(节奏总纲!U$4:U$363,AG$11:AG$370,$AC67),0)</f>
        <v>0</v>
      </c>
      <c r="AO67" s="10">
        <f>IFERROR(求节点(节奏总纲!V$4:V$363,AH$11:AH$370,$AC67),0)</f>
        <v>0</v>
      </c>
      <c r="AZ67" s="10">
        <v>57</v>
      </c>
      <c r="BA67" s="10">
        <f t="shared" si="14"/>
        <v>352800</v>
      </c>
      <c r="BB67" s="10">
        <f t="shared" si="15"/>
        <v>529200</v>
      </c>
      <c r="BC67" s="10">
        <f t="shared" si="16"/>
        <v>705600</v>
      </c>
      <c r="BD67" s="10">
        <f t="shared" si="17"/>
        <v>882000</v>
      </c>
      <c r="BE67" s="10">
        <f t="shared" si="18"/>
        <v>1058400</v>
      </c>
      <c r="BG67" s="10">
        <v>57</v>
      </c>
      <c r="BH67" s="10">
        <f>MAX(节奏总纲!D60-$C$7,0)*C$22*$C$8*($AV$6+$AV$22)/30</f>
        <v>274192.93732617464</v>
      </c>
      <c r="BI67" s="10">
        <f>MAX(节奏总纲!E60-$C$7,0)*D$22*$C$8*($AV$6+$AV$22)/30</f>
        <v>280482.42274526757</v>
      </c>
      <c r="BJ67" s="10">
        <f>MAX(节奏总纲!F60-$C$7,0)*E$22*$C$8*($AV$6+$AV$22)/30</f>
        <v>165058.45851486834</v>
      </c>
      <c r="BK67" s="10">
        <f>MAX(节奏总纲!G60-$C$7,0)*F$22*$C$8*($AV$6+$AV$22)/30</f>
        <v>0</v>
      </c>
      <c r="BL67" s="10">
        <f>MAX(节奏总纲!H60-$C$7,0)*G$22*$C$8*($AV$6+$AV$22)/30</f>
        <v>0</v>
      </c>
      <c r="BX67" s="10">
        <v>57</v>
      </c>
      <c r="BY67" s="10">
        <f t="shared" si="42"/>
        <v>18000</v>
      </c>
      <c r="BZ67" s="10">
        <f t="shared" si="42"/>
        <v>27000</v>
      </c>
      <c r="CA67" s="10">
        <f t="shared" si="42"/>
        <v>36000</v>
      </c>
      <c r="CB67" s="10">
        <f t="shared" si="42"/>
        <v>67500</v>
      </c>
      <c r="CC67" s="10">
        <f t="shared" si="42"/>
        <v>225000</v>
      </c>
      <c r="CE67" s="10">
        <v>57</v>
      </c>
      <c r="CF67" s="10">
        <f>MAX(节奏总纲!D60-$C$7,0)*INDEX($BU$7:$BU$15,MATCH(BY$10,$BT$7:$BT$15,0))/30</f>
        <v>13989.43557786605</v>
      </c>
      <c r="CG67" s="10">
        <f>MAX(节奏总纲!E60-$C$7,0)*INDEX($BU$7:$BU$15,MATCH(BZ$10,$BT$7:$BT$15,0))/30</f>
        <v>14310.327691085078</v>
      </c>
      <c r="CH67" s="10">
        <f>MAX(节奏总纲!F60-$C$7,0)*INDEX($BU$7:$BU$15,MATCH(CA$10,$BT$7:$BT$15,0))/30</f>
        <v>8421.3499242279777</v>
      </c>
      <c r="CI67" s="10">
        <f>MAX(节奏总纲!G60-$C$7,0)*INDEX($BU$7:$BU$15,MATCH(CB$10,$BT$7:$BT$15,0))/30</f>
        <v>0</v>
      </c>
      <c r="CJ67" s="10">
        <f>MAX(节奏总纲!H60-$C$7,0)*INDEX($BU$7:$BU$15,MATCH(CC$10,$BT$7:$BT$15,0))/30</f>
        <v>0</v>
      </c>
    </row>
    <row r="68" spans="15:88" x14ac:dyDescent="0.15">
      <c r="O68" s="2">
        <v>57</v>
      </c>
      <c r="P68" s="2">
        <f t="shared" si="40"/>
        <v>1140</v>
      </c>
      <c r="AC68" s="2">
        <v>58</v>
      </c>
      <c r="AD68" s="2">
        <f t="shared" si="27"/>
        <v>0</v>
      </c>
      <c r="AE68" s="2">
        <f t="shared" si="28"/>
        <v>653.33333333333337</v>
      </c>
      <c r="AF68" s="2">
        <f t="shared" si="29"/>
        <v>1633.3333333333333</v>
      </c>
      <c r="AG68" s="2">
        <f t="shared" si="30"/>
        <v>3266.6666666666665</v>
      </c>
      <c r="AH68" s="2">
        <f t="shared" si="31"/>
        <v>6533.333333333333</v>
      </c>
      <c r="AJ68" s="10">
        <v>58</v>
      </c>
      <c r="AK68" s="10">
        <f>IFERROR(求节点(节奏总纲!R$4:R$363,AD$11:AD$370,$AC68),0)</f>
        <v>0</v>
      </c>
      <c r="AL68" s="10">
        <f>IFERROR(求节点(节奏总纲!S$4:S$363,AE$11:AE$370,$AC68),0)</f>
        <v>407.98041367172516</v>
      </c>
      <c r="AM68" s="10">
        <f>IFERROR(求节点(节奏总纲!T$4:T$363,AF$11:AF$370,$AC68),0)</f>
        <v>520.31090236509488</v>
      </c>
      <c r="AN68" s="10">
        <f>IFERROR(求节点(节奏总纲!U$4:U$363,AG$11:AG$370,$AC68),0)</f>
        <v>0</v>
      </c>
      <c r="AO68" s="10">
        <f>IFERROR(求节点(节奏总纲!V$4:V$363,AH$11:AH$370,$AC68),0)</f>
        <v>0</v>
      </c>
      <c r="AZ68" s="10">
        <v>58</v>
      </c>
      <c r="BA68" s="10">
        <f t="shared" si="14"/>
        <v>365866.66666666669</v>
      </c>
      <c r="BB68" s="10">
        <f t="shared" si="15"/>
        <v>548800</v>
      </c>
      <c r="BC68" s="10">
        <f t="shared" si="16"/>
        <v>731733.33333333337</v>
      </c>
      <c r="BD68" s="10">
        <f t="shared" si="17"/>
        <v>914666.66666666663</v>
      </c>
      <c r="BE68" s="10">
        <f t="shared" si="18"/>
        <v>1097600</v>
      </c>
      <c r="BG68" s="10">
        <v>58</v>
      </c>
      <c r="BH68" s="10">
        <f>MAX(节奏总纲!D61-$C$7,0)*C$22*$C$8*($AV$6+$AV$22)/30</f>
        <v>322945.75106577179</v>
      </c>
      <c r="BI68" s="10">
        <f>MAX(节奏总纲!E61-$C$7,0)*D$22*$C$8*($AV$6+$AV$22)/30</f>
        <v>342215.91671167564</v>
      </c>
      <c r="BJ68" s="10">
        <f>MAX(节奏总纲!F61-$C$7,0)*E$22*$C$8*($AV$6+$AV$22)/30</f>
        <v>232938.83631595381</v>
      </c>
      <c r="BK68" s="10">
        <f>MAX(节奏总纲!G61-$C$7,0)*F$22*$C$8*($AV$6+$AV$22)/30</f>
        <v>0</v>
      </c>
      <c r="BL68" s="10">
        <f>MAX(节奏总纲!H61-$C$7,0)*G$22*$C$8*($AV$6+$AV$22)/30</f>
        <v>0</v>
      </c>
      <c r="BX68" s="10">
        <v>58</v>
      </c>
      <c r="BY68" s="10">
        <f t="shared" si="42"/>
        <v>18666.666666666668</v>
      </c>
      <c r="BZ68" s="10">
        <f t="shared" si="42"/>
        <v>28000</v>
      </c>
      <c r="CA68" s="10">
        <f t="shared" si="42"/>
        <v>37333.333333333336</v>
      </c>
      <c r="CB68" s="10">
        <f t="shared" si="42"/>
        <v>70000</v>
      </c>
      <c r="CC68" s="10">
        <f t="shared" si="42"/>
        <v>233333.33333333334</v>
      </c>
      <c r="CE68" s="10">
        <v>58</v>
      </c>
      <c r="CF68" s="10">
        <f>MAX(节奏总纲!D61-$C$7,0)*INDEX($BU$7:$BU$15,MATCH(BY$10,$BT$7:$BT$15,0))/30</f>
        <v>16476.824033967951</v>
      </c>
      <c r="CG68" s="10">
        <f>MAX(节奏总纲!E61-$C$7,0)*INDEX($BU$7:$BU$15,MATCH(BZ$10,$BT$7:$BT$15,0))/30</f>
        <v>17459.995750595695</v>
      </c>
      <c r="CH68" s="10">
        <f>MAX(节奏总纲!F61-$C$7,0)*INDEX($BU$7:$BU$15,MATCH(CA$10,$BT$7:$BT$15,0))/30</f>
        <v>11884.634505916012</v>
      </c>
      <c r="CI68" s="10">
        <f>MAX(节奏总纲!G61-$C$7,0)*INDEX($BU$7:$BU$15,MATCH(CB$10,$BT$7:$BT$15,0))/30</f>
        <v>0</v>
      </c>
      <c r="CJ68" s="10">
        <f>MAX(节奏总纲!H61-$C$7,0)*INDEX($BU$7:$BU$15,MATCH(CC$10,$BT$7:$BT$15,0))/30</f>
        <v>0</v>
      </c>
    </row>
    <row r="69" spans="15:88" x14ac:dyDescent="0.15">
      <c r="O69" s="2">
        <v>58</v>
      </c>
      <c r="P69" s="2">
        <f t="shared" si="40"/>
        <v>1160</v>
      </c>
      <c r="AC69" s="2">
        <v>59</v>
      </c>
      <c r="AD69" s="2">
        <f t="shared" si="27"/>
        <v>0</v>
      </c>
      <c r="AE69" s="2">
        <f t="shared" si="28"/>
        <v>676.66666666666663</v>
      </c>
      <c r="AF69" s="2">
        <f t="shared" si="29"/>
        <v>1691.6666666666667</v>
      </c>
      <c r="AG69" s="2">
        <f t="shared" si="30"/>
        <v>3383.3333333333335</v>
      </c>
      <c r="AH69" s="2">
        <f t="shared" si="31"/>
        <v>6766.666666666667</v>
      </c>
      <c r="AJ69" s="10">
        <v>59</v>
      </c>
      <c r="AK69" s="10">
        <f>IFERROR(求节点(节奏总纲!R$4:R$363,AD$11:AD$370,$AC69),0)</f>
        <v>0</v>
      </c>
      <c r="AL69" s="10">
        <f>IFERROR(求节点(节奏总纲!S$4:S$363,AE$11:AE$370,$AC69),0)</f>
        <v>488.66915869013462</v>
      </c>
      <c r="AM69" s="10">
        <f>IFERROR(求节点(节奏总纲!T$4:T$363,AF$11:AF$370,$AC69),0)</f>
        <v>684.8258006328831</v>
      </c>
      <c r="AN69" s="10">
        <f>IFERROR(求节点(节奏总纲!U$4:U$363,AG$11:AG$370,$AC69),0)</f>
        <v>73.072661994841994</v>
      </c>
      <c r="AO69" s="10">
        <f>IFERROR(求节点(节奏总纲!V$4:V$363,AH$11:AH$370,$AC69),0)</f>
        <v>0</v>
      </c>
      <c r="AZ69" s="10">
        <v>59</v>
      </c>
      <c r="BA69" s="10">
        <f t="shared" si="14"/>
        <v>378933.33333333331</v>
      </c>
      <c r="BB69" s="10">
        <f t="shared" si="15"/>
        <v>568400</v>
      </c>
      <c r="BC69" s="10">
        <f t="shared" si="16"/>
        <v>757866.66666666663</v>
      </c>
      <c r="BD69" s="10">
        <f t="shared" si="17"/>
        <v>947333.33333333337</v>
      </c>
      <c r="BE69" s="10">
        <f t="shared" si="18"/>
        <v>1136800</v>
      </c>
      <c r="BG69" s="10">
        <v>59</v>
      </c>
      <c r="BH69" s="10">
        <f>MAX(节奏总纲!D62-$C$7,0)*C$22*$C$8*($AV$6+$AV$22)/30</f>
        <v>375197.72305584786</v>
      </c>
      <c r="BI69" s="10">
        <f>MAX(节奏总纲!E62-$C$7,0)*D$22*$C$8*($AV$6+$AV$22)/30</f>
        <v>410431.11678488052</v>
      </c>
      <c r="BJ69" s="10">
        <f>MAX(节奏总纲!F62-$C$7,0)*E$22*$C$8*($AV$6+$AV$22)/30</f>
        <v>306494.84355158202</v>
      </c>
      <c r="BK69" s="10">
        <f>MAX(节奏总纲!G62-$C$7,0)*F$22*$C$8*($AV$6+$AV$22)/30</f>
        <v>19850.43257253366</v>
      </c>
      <c r="BL69" s="10">
        <f>MAX(节奏总纲!H62-$C$7,0)*G$22*$C$8*($AV$6+$AV$22)/30</f>
        <v>0</v>
      </c>
      <c r="BX69" s="10">
        <v>59</v>
      </c>
      <c r="BY69" s="10">
        <f t="shared" si="42"/>
        <v>19333.333333333332</v>
      </c>
      <c r="BZ69" s="10">
        <f t="shared" si="42"/>
        <v>29000</v>
      </c>
      <c r="CA69" s="10">
        <f t="shared" si="42"/>
        <v>38666.666666666664</v>
      </c>
      <c r="CB69" s="10">
        <f t="shared" si="42"/>
        <v>72500</v>
      </c>
      <c r="CC69" s="10">
        <f t="shared" si="42"/>
        <v>241666.66666666666</v>
      </c>
      <c r="CE69" s="10">
        <v>59</v>
      </c>
      <c r="CF69" s="10">
        <f>MAX(节奏总纲!D62-$C$7,0)*INDEX($BU$7:$BU$15,MATCH(BY$10,$BT$7:$BT$15,0))/30</f>
        <v>19142.740972237134</v>
      </c>
      <c r="CG69" s="10">
        <f>MAX(节奏总纲!E62-$C$7,0)*INDEX($BU$7:$BU$15,MATCH(BZ$10,$BT$7:$BT$15,0))/30</f>
        <v>20940.363101269413</v>
      </c>
      <c r="CH69" s="10">
        <f>MAX(节奏总纲!F62-$C$7,0)*INDEX($BU$7:$BU$15,MATCH(CA$10,$BT$7:$BT$15,0))/30</f>
        <v>15637.492017937859</v>
      </c>
      <c r="CI69" s="10">
        <f>MAX(节奏总纲!G62-$C$7,0)*INDEX($BU$7:$BU$15,MATCH(CB$10,$BT$7:$BT$15,0))/30</f>
        <v>1519.1657581020656</v>
      </c>
      <c r="CJ69" s="10">
        <f>MAX(节奏总纲!H62-$C$7,0)*INDEX($BU$7:$BU$15,MATCH(CC$10,$BT$7:$BT$15,0))/30</f>
        <v>0</v>
      </c>
    </row>
    <row r="70" spans="15:88" x14ac:dyDescent="0.15">
      <c r="O70" s="2">
        <v>59</v>
      </c>
      <c r="P70" s="2">
        <f t="shared" si="40"/>
        <v>1180</v>
      </c>
      <c r="AC70" s="2">
        <v>60</v>
      </c>
      <c r="AD70" s="2">
        <f t="shared" si="27"/>
        <v>0</v>
      </c>
      <c r="AE70" s="2">
        <f t="shared" si="28"/>
        <v>700</v>
      </c>
      <c r="AF70" s="2">
        <f t="shared" si="29"/>
        <v>1750</v>
      </c>
      <c r="AG70" s="2">
        <f t="shared" si="30"/>
        <v>3500</v>
      </c>
      <c r="AH70" s="2">
        <f t="shared" si="31"/>
        <v>7000</v>
      </c>
      <c r="AJ70" s="10">
        <v>60</v>
      </c>
      <c r="AK70" s="10">
        <f>IFERROR(求节点(节奏总纲!R$4:R$363,AD$11:AD$370,$AC70),0)</f>
        <v>0</v>
      </c>
      <c r="AL70" s="10">
        <f>IFERROR(求节点(节奏总纲!S$4:S$363,AE$11:AE$370,$AC70),0)</f>
        <v>574.27889464134034</v>
      </c>
      <c r="AM70" s="10">
        <f>IFERROR(求节点(节奏总纲!T$4:T$363,AF$11:AF$370,$AC70),0)</f>
        <v>859.52232223508975</v>
      </c>
      <c r="AN70" s="10">
        <f>IFERROR(求节点(节奏总纲!U$4:U$363,AG$11:AG$370,$AC70),0)</f>
        <v>329.5126056303186</v>
      </c>
      <c r="AO70" s="10">
        <f>IFERROR(求节点(节奏总纲!V$4:V$363,AH$11:AH$370,$AC70),0)</f>
        <v>0</v>
      </c>
      <c r="AZ70" s="10">
        <v>60</v>
      </c>
      <c r="BA70" s="10">
        <f t="shared" si="14"/>
        <v>392000</v>
      </c>
      <c r="BB70" s="10">
        <f t="shared" si="15"/>
        <v>588000</v>
      </c>
      <c r="BC70" s="10">
        <f t="shared" si="16"/>
        <v>784000</v>
      </c>
      <c r="BD70" s="10">
        <f t="shared" si="17"/>
        <v>980000</v>
      </c>
      <c r="BE70" s="10">
        <f t="shared" si="18"/>
        <v>1176000</v>
      </c>
      <c r="BG70" s="10">
        <v>60</v>
      </c>
      <c r="BH70" s="10">
        <f>MAX(节奏总纲!D63-$C$7,0)*C$22*$C$8*($AV$6+$AV$22)/30</f>
        <v>431200</v>
      </c>
      <c r="BI70" s="10">
        <f>MAX(节奏总纲!E63-$C$7,0)*D$22*$C$8*($AV$6+$AV$22)/30</f>
        <v>481954.2</v>
      </c>
      <c r="BJ70" s="10">
        <f>MAX(节奏总纲!F63-$C$7,0)*E$22*$C$8*($AV$6+$AV$22)/30</f>
        <v>384614.71999999991</v>
      </c>
      <c r="BK70" s="10">
        <f>MAX(节奏总纲!G63-$C$7,0)*F$22*$C$8*($AV$6+$AV$22)/30</f>
        <v>91806.400000000052</v>
      </c>
      <c r="BL70" s="10">
        <f>MAX(节奏总纲!H63-$C$7,0)*G$22*$C$8*($AV$6+$AV$22)/30</f>
        <v>0</v>
      </c>
      <c r="BX70" s="10">
        <v>60</v>
      </c>
      <c r="BY70" s="10">
        <f t="shared" si="42"/>
        <v>20000</v>
      </c>
      <c r="BZ70" s="10">
        <f t="shared" si="42"/>
        <v>30000</v>
      </c>
      <c r="CA70" s="10">
        <f t="shared" si="42"/>
        <v>40000</v>
      </c>
      <c r="CB70" s="10">
        <f t="shared" si="42"/>
        <v>75000</v>
      </c>
      <c r="CC70" s="10">
        <f t="shared" si="42"/>
        <v>250000</v>
      </c>
      <c r="CE70" s="10">
        <v>60</v>
      </c>
      <c r="CF70" s="10">
        <f>MAX(节奏总纲!D63-$C$7,0)*INDEX($BU$7:$BU$15,MATCH(BY$10,$BT$7:$BT$15,0))/30</f>
        <v>22000</v>
      </c>
      <c r="CG70" s="10">
        <f>MAX(节奏总纲!E63-$C$7,0)*INDEX($BU$7:$BU$15,MATCH(BZ$10,$BT$7:$BT$15,0))/30</f>
        <v>24589.5</v>
      </c>
      <c r="CH70" s="10">
        <f>MAX(节奏总纲!F63-$C$7,0)*INDEX($BU$7:$BU$15,MATCH(CA$10,$BT$7:$BT$15,0))/30</f>
        <v>19623.199999999997</v>
      </c>
      <c r="CI70" s="10">
        <f>MAX(节奏总纲!G63-$C$7,0)*INDEX($BU$7:$BU$15,MATCH(CB$10,$BT$7:$BT$15,0))/30</f>
        <v>7026.0000000000027</v>
      </c>
      <c r="CJ70" s="10">
        <f>MAX(节奏总纲!H63-$C$7,0)*INDEX($BU$7:$BU$15,MATCH(CC$10,$BT$7:$BT$15,0))/30</f>
        <v>0</v>
      </c>
    </row>
    <row r="71" spans="15:88" x14ac:dyDescent="0.15">
      <c r="O71" s="2">
        <v>60</v>
      </c>
      <c r="P71" s="2">
        <f t="shared" si="40"/>
        <v>1200</v>
      </c>
      <c r="AC71" s="2">
        <v>61</v>
      </c>
      <c r="AD71" s="2">
        <f t="shared" si="27"/>
        <v>0</v>
      </c>
      <c r="AE71" s="2">
        <f t="shared" si="28"/>
        <v>723.33333333333337</v>
      </c>
      <c r="AF71" s="2">
        <f t="shared" si="29"/>
        <v>1808.3333333333333</v>
      </c>
      <c r="AG71" s="2">
        <f t="shared" si="30"/>
        <v>3616.6666666666665</v>
      </c>
      <c r="AH71" s="2">
        <f t="shared" si="31"/>
        <v>7233.333333333333</v>
      </c>
      <c r="AJ71" s="10">
        <v>61</v>
      </c>
      <c r="AK71" s="10">
        <f>IFERROR(求节点(节奏总纲!R$4:R$363,AD$11:AD$370,$AC71),0)</f>
        <v>0</v>
      </c>
      <c r="AL71" s="10">
        <f>IFERROR(求节点(节奏总纲!S$4:S$363,AE$11:AE$370,$AC71),0)</f>
        <v>667.58198423519764</v>
      </c>
      <c r="AM71" s="10">
        <f>IFERROR(求节点(节奏总纲!T$4:T$363,AF$11:AF$370,$AC71),0)</f>
        <v>1048.8057398576848</v>
      </c>
      <c r="AN71" s="10">
        <f>IFERROR(求节点(节奏总纲!U$4:U$363,AG$11:AG$370,$AC71),0)</f>
        <v>611.78897059523399</v>
      </c>
      <c r="AO71" s="10">
        <f>IFERROR(求节点(节奏总纲!V$4:V$363,AH$11:AH$370,$AC71),0)</f>
        <v>0</v>
      </c>
      <c r="AZ71" s="10">
        <v>61</v>
      </c>
      <c r="BA71" s="10">
        <f t="shared" si="14"/>
        <v>405066.66666666669</v>
      </c>
      <c r="BB71" s="10">
        <f t="shared" si="15"/>
        <v>607600</v>
      </c>
      <c r="BC71" s="10">
        <f t="shared" si="16"/>
        <v>810133.33333333337</v>
      </c>
      <c r="BD71" s="10">
        <f t="shared" si="17"/>
        <v>1012666.6666666666</v>
      </c>
      <c r="BE71" s="10">
        <f t="shared" si="18"/>
        <v>1215200</v>
      </c>
      <c r="BG71" s="10">
        <v>61</v>
      </c>
      <c r="BH71" s="10">
        <f>MAX(节奏总纲!D64-$C$7,0)*C$22*$C$8*($AV$6+$AV$22)/30</f>
        <v>491221.75427035033</v>
      </c>
      <c r="BI71" s="10">
        <f>MAX(节奏总纲!E64-$C$7,0)*D$22*$C$8*($AV$6+$AV$22)/30</f>
        <v>560497.40816544998</v>
      </c>
      <c r="BJ71" s="10">
        <f>MAX(节奏总纲!F64-$C$7,0)*E$22*$C$8*($AV$6+$AV$22)/30</f>
        <v>469821.60236218944</v>
      </c>
      <c r="BK71" s="10">
        <f>MAX(节奏总纲!G64-$C$7,0)*F$22*$C$8*($AV$6+$AV$22)/30</f>
        <v>170837.94581426648</v>
      </c>
      <c r="BL71" s="10">
        <f>MAX(节奏总纲!H64-$C$7,0)*G$22*$C$8*($AV$6+$AV$22)/30</f>
        <v>0</v>
      </c>
      <c r="BX71" s="10">
        <v>61</v>
      </c>
      <c r="BY71" s="10">
        <f t="shared" ref="BY71:CC80" si="43">MAX($BX71-$C$7,0)*INDEX($BU$7:$BU$15,MATCH(BY$10,$BT$7:$BT$15,0))/30</f>
        <v>20666.666666666668</v>
      </c>
      <c r="BZ71" s="10">
        <f t="shared" si="43"/>
        <v>31000</v>
      </c>
      <c r="CA71" s="10">
        <f t="shared" si="43"/>
        <v>41333.333333333336</v>
      </c>
      <c r="CB71" s="10">
        <f t="shared" si="43"/>
        <v>77500</v>
      </c>
      <c r="CC71" s="10">
        <f t="shared" si="43"/>
        <v>258333.33333333334</v>
      </c>
      <c r="CE71" s="10">
        <v>61</v>
      </c>
      <c r="CF71" s="10">
        <f>MAX(节奏总纲!D64-$C$7,0)*INDEX($BU$7:$BU$15,MATCH(BY$10,$BT$7:$BT$15,0))/30</f>
        <v>25062.334401548487</v>
      </c>
      <c r="CG71" s="10">
        <f>MAX(节奏总纲!E64-$C$7,0)*INDEX($BU$7:$BU$15,MATCH(BZ$10,$BT$7:$BT$15,0))/30</f>
        <v>28596.806539053574</v>
      </c>
      <c r="CH71" s="10">
        <f>MAX(节奏总纲!F64-$C$7,0)*INDEX($BU$7:$BU$15,MATCH(CA$10,$BT$7:$BT$15,0))/30</f>
        <v>23970.489916438237</v>
      </c>
      <c r="CI71" s="10">
        <f>MAX(节奏总纲!G64-$C$7,0)*INDEX($BU$7:$BU$15,MATCH(CB$10,$BT$7:$BT$15,0))/30</f>
        <v>13074.332587826519</v>
      </c>
      <c r="CJ71" s="10">
        <f>MAX(节奏总纲!H64-$C$7,0)*INDEX($BU$7:$BU$15,MATCH(CC$10,$BT$7:$BT$15,0))/30</f>
        <v>0</v>
      </c>
    </row>
    <row r="72" spans="15:88" x14ac:dyDescent="0.15">
      <c r="O72" s="2">
        <v>61</v>
      </c>
      <c r="P72" s="2">
        <f t="shared" si="40"/>
        <v>1220</v>
      </c>
      <c r="AC72" s="2">
        <v>62</v>
      </c>
      <c r="AD72" s="2">
        <f t="shared" si="27"/>
        <v>0</v>
      </c>
      <c r="AE72" s="2">
        <f t="shared" si="28"/>
        <v>746.66666666666663</v>
      </c>
      <c r="AF72" s="2">
        <f t="shared" si="29"/>
        <v>1866.6666666666667</v>
      </c>
      <c r="AG72" s="2">
        <f t="shared" si="30"/>
        <v>3733.3333333333335</v>
      </c>
      <c r="AH72" s="2">
        <f t="shared" si="31"/>
        <v>7466.666666666667</v>
      </c>
      <c r="AJ72" s="10">
        <v>62</v>
      </c>
      <c r="AK72" s="10">
        <f>IFERROR(求节点(节奏总纲!R$4:R$363,AD$11:AD$370,$AC72),0)</f>
        <v>0</v>
      </c>
      <c r="AL72" s="10">
        <f>IFERROR(求节点(节奏总纲!S$4:S$363,AE$11:AE$370,$AC72),0)</f>
        <v>766.59353593483002</v>
      </c>
      <c r="AM72" s="10">
        <f>IFERROR(求节点(节奏总纲!T$4:T$363,AF$11:AF$370,$AC72),0)</f>
        <v>1255.6287390719463</v>
      </c>
      <c r="AN72" s="10">
        <f>IFERROR(求节点(节奏总纲!U$4:U$363,AG$11:AG$370,$AC72),0)</f>
        <v>916.58492940613053</v>
      </c>
      <c r="AO72" s="10">
        <f>IFERROR(求节点(节奏总纲!V$4:V$363,AH$11:AH$370,$AC72),0)</f>
        <v>0</v>
      </c>
      <c r="AZ72" s="10">
        <v>62</v>
      </c>
      <c r="BA72" s="10">
        <f t="shared" si="14"/>
        <v>418133.33333333331</v>
      </c>
      <c r="BB72" s="10">
        <f t="shared" si="15"/>
        <v>627200</v>
      </c>
      <c r="BC72" s="10">
        <f t="shared" si="16"/>
        <v>836266.66666666663</v>
      </c>
      <c r="BD72" s="10">
        <f t="shared" si="17"/>
        <v>1045333.3333333334</v>
      </c>
      <c r="BE72" s="10">
        <f t="shared" si="18"/>
        <v>1254400</v>
      </c>
      <c r="BG72" s="10">
        <v>62</v>
      </c>
      <c r="BH72" s="10">
        <f>MAX(节奏总纲!D65-$C$7,0)*C$22*$C$8*($AV$6+$AV$22)/30</f>
        <v>555551.47767218691</v>
      </c>
      <c r="BI72" s="10">
        <f>MAX(节奏总纲!E65-$C$7,0)*D$22*$C$8*($AV$6+$AV$22)/30</f>
        <v>643722.16582607583</v>
      </c>
      <c r="BJ72" s="10">
        <f>MAX(节奏总纲!F65-$C$7,0)*E$22*$C$8*($AV$6+$AV$22)/30</f>
        <v>562091.62918110879</v>
      </c>
      <c r="BK72" s="10">
        <f>MAX(节奏总纲!G65-$C$7,0)*F$22*$C$8*($AV$6+$AV$22)/30</f>
        <v>256317.79049278577</v>
      </c>
      <c r="BL72" s="10">
        <f>MAX(节奏总纲!H65-$C$7,0)*G$22*$C$8*($AV$6+$AV$22)/30</f>
        <v>0</v>
      </c>
      <c r="BX72" s="10">
        <v>62</v>
      </c>
      <c r="BY72" s="10">
        <f t="shared" si="43"/>
        <v>21333.333333333332</v>
      </c>
      <c r="BZ72" s="10">
        <f t="shared" si="43"/>
        <v>32000</v>
      </c>
      <c r="CA72" s="10">
        <f t="shared" si="43"/>
        <v>42666.666666666664</v>
      </c>
      <c r="CB72" s="10">
        <f t="shared" si="43"/>
        <v>80000</v>
      </c>
      <c r="CC72" s="10">
        <f t="shared" si="43"/>
        <v>266666.66666666669</v>
      </c>
      <c r="CE72" s="10">
        <v>62</v>
      </c>
      <c r="CF72" s="10">
        <f>MAX(节奏总纲!D65-$C$7,0)*INDEX($BU$7:$BU$15,MATCH(BY$10,$BT$7:$BT$15,0))/30</f>
        <v>28344.463146540147</v>
      </c>
      <c r="CG72" s="10">
        <f>MAX(节奏总纲!E65-$C$7,0)*INDEX($BU$7:$BU$15,MATCH(BZ$10,$BT$7:$BT$15,0))/30</f>
        <v>32842.967644187542</v>
      </c>
      <c r="CH72" s="10">
        <f>MAX(节奏总纲!F65-$C$7,0)*INDEX($BU$7:$BU$15,MATCH(CA$10,$BT$7:$BT$15,0))/30</f>
        <v>28678.144345974935</v>
      </c>
      <c r="CI72" s="10">
        <f>MAX(节奏总纲!G65-$C$7,0)*INDEX($BU$7:$BU$15,MATCH(CB$10,$BT$7:$BT$15,0))/30</f>
        <v>19616.15743567238</v>
      </c>
      <c r="CJ72" s="10">
        <f>MAX(节奏总纲!H65-$C$7,0)*INDEX($BU$7:$BU$15,MATCH(CC$10,$BT$7:$BT$15,0))/30</f>
        <v>0</v>
      </c>
    </row>
    <row r="73" spans="15:88" x14ac:dyDescent="0.15">
      <c r="O73" s="2">
        <v>62</v>
      </c>
      <c r="P73" s="2">
        <f t="shared" si="40"/>
        <v>1240</v>
      </c>
      <c r="AC73" s="2">
        <v>63</v>
      </c>
      <c r="AD73" s="2">
        <f t="shared" si="27"/>
        <v>0</v>
      </c>
      <c r="AE73" s="2">
        <f t="shared" si="28"/>
        <v>770</v>
      </c>
      <c r="AF73" s="2">
        <f t="shared" si="29"/>
        <v>1925</v>
      </c>
      <c r="AG73" s="2">
        <f t="shared" si="30"/>
        <v>3850</v>
      </c>
      <c r="AH73" s="2">
        <f t="shared" si="31"/>
        <v>7700</v>
      </c>
      <c r="AJ73" s="10">
        <v>63</v>
      </c>
      <c r="AK73" s="10">
        <f>IFERROR(求节点(节奏总纲!R$4:R$363,AD$11:AD$370,$AC73),0)</f>
        <v>0</v>
      </c>
      <c r="AL73" s="10">
        <f>IFERROR(求节点(节奏总纲!S$4:S$363,AE$11:AE$370,$AC73),0)</f>
        <v>874.67078559700917</v>
      </c>
      <c r="AM73" s="10">
        <f>IFERROR(求节点(节奏总纲!T$4:T$363,AF$11:AF$370,$AC73),0)</f>
        <v>1475.616508904028</v>
      </c>
      <c r="AN73" s="10">
        <f>IFERROR(求节点(节奏总纲!U$4:U$363,AG$11:AG$370,$AC73),0)</f>
        <v>1247.5665290599288</v>
      </c>
      <c r="AO73" s="10">
        <f>IFERROR(求节点(节奏总纲!V$4:V$363,AH$11:AH$370,$AC73),0)</f>
        <v>0</v>
      </c>
      <c r="AZ73" s="10">
        <v>63</v>
      </c>
      <c r="BA73" s="10">
        <f t="shared" si="14"/>
        <v>431200</v>
      </c>
      <c r="BB73" s="10">
        <f t="shared" si="15"/>
        <v>646800</v>
      </c>
      <c r="BC73" s="10">
        <f t="shared" si="16"/>
        <v>862400</v>
      </c>
      <c r="BD73" s="10">
        <f t="shared" si="17"/>
        <v>1078000</v>
      </c>
      <c r="BE73" s="10">
        <f t="shared" si="18"/>
        <v>1293600</v>
      </c>
      <c r="BG73" s="10">
        <v>63</v>
      </c>
      <c r="BH73" s="10">
        <f>MAX(节奏总纲!D66-$C$7,0)*C$22*$C$8*($AV$6+$AV$22)/30</f>
        <v>624498.36806657503</v>
      </c>
      <c r="BI73" s="10">
        <f>MAX(节奏总纲!E66-$C$7,0)*D$22*$C$8*($AV$6+$AV$22)/30</f>
        <v>734413.5519362106</v>
      </c>
      <c r="BJ73" s="10">
        <f>MAX(节奏总纲!F66-$C$7,0)*E$22*$C$8*($AV$6+$AV$22)/30</f>
        <v>660647.48069621634</v>
      </c>
      <c r="BK73" s="10">
        <f>MAX(节奏总纲!G66-$C$7,0)*F$22*$C$8*($AV$6+$AV$22)/30</f>
        <v>348817.49165503017</v>
      </c>
      <c r="BL73" s="10">
        <f>MAX(节奏总纲!H66-$C$7,0)*G$22*$C$8*($AV$6+$AV$22)/30</f>
        <v>0</v>
      </c>
      <c r="BX73" s="10">
        <v>63</v>
      </c>
      <c r="BY73" s="10">
        <f t="shared" si="43"/>
        <v>22000</v>
      </c>
      <c r="BZ73" s="10">
        <f t="shared" si="43"/>
        <v>33000</v>
      </c>
      <c r="CA73" s="10">
        <f t="shared" si="43"/>
        <v>44000</v>
      </c>
      <c r="CB73" s="10">
        <f t="shared" si="43"/>
        <v>82500</v>
      </c>
      <c r="CC73" s="10">
        <f t="shared" si="43"/>
        <v>275000</v>
      </c>
      <c r="CE73" s="10">
        <v>63</v>
      </c>
      <c r="CF73" s="10">
        <f>MAX(节奏总纲!D66-$C$7,0)*INDEX($BU$7:$BU$15,MATCH(BY$10,$BT$7:$BT$15,0))/30</f>
        <v>31862.161636049743</v>
      </c>
      <c r="CG73" s="10">
        <f>MAX(节奏总纲!E66-$C$7,0)*INDEX($BU$7:$BU$15,MATCH(BZ$10,$BT$7:$BT$15,0))/30</f>
        <v>37470.079180418907</v>
      </c>
      <c r="CH73" s="10">
        <f>MAX(节奏总纲!F66-$C$7,0)*INDEX($BU$7:$BU$15,MATCH(CA$10,$BT$7:$BT$15,0))/30</f>
        <v>33706.504117153891</v>
      </c>
      <c r="CI73" s="10">
        <f>MAX(节奏总纲!G66-$C$7,0)*INDEX($BU$7:$BU$15,MATCH(CB$10,$BT$7:$BT$15,0))/30</f>
        <v>26695.216198089045</v>
      </c>
      <c r="CJ73" s="10">
        <f>MAX(节奏总纲!H66-$C$7,0)*INDEX($BU$7:$BU$15,MATCH(CC$10,$BT$7:$BT$15,0))/30</f>
        <v>0</v>
      </c>
    </row>
    <row r="74" spans="15:88" x14ac:dyDescent="0.15">
      <c r="O74" s="2">
        <v>63</v>
      </c>
      <c r="P74" s="2">
        <f t="shared" si="40"/>
        <v>1260</v>
      </c>
      <c r="AC74" s="2">
        <v>64</v>
      </c>
      <c r="AD74" s="2">
        <f t="shared" si="27"/>
        <v>0</v>
      </c>
      <c r="AE74" s="2">
        <f t="shared" si="28"/>
        <v>793.33333333333337</v>
      </c>
      <c r="AF74" s="2">
        <f t="shared" si="29"/>
        <v>1983.3333333333333</v>
      </c>
      <c r="AG74" s="2">
        <f t="shared" si="30"/>
        <v>3966.6666666666665</v>
      </c>
      <c r="AH74" s="2">
        <f t="shared" si="31"/>
        <v>7933.333333333333</v>
      </c>
      <c r="AJ74" s="10">
        <v>64</v>
      </c>
      <c r="AK74" s="10">
        <f>IFERROR(求节点(节奏总纲!R$4:R$363,AD$11:AD$370,$AC74),0)</f>
        <v>0</v>
      </c>
      <c r="AL74" s="10">
        <f>IFERROR(求节点(节奏总纲!S$4:S$363,AE$11:AE$370,$AC74),0)</f>
        <v>989.68569930411945</v>
      </c>
      <c r="AM74" s="10">
        <f>IFERROR(求节点(节奏总纲!T$4:T$363,AF$11:AF$370,$AC74),0)</f>
        <v>1714.1031347007945</v>
      </c>
      <c r="AN74" s="10">
        <f>IFERROR(求节点(节奏总纲!U$4:U$363,AG$11:AG$370,$AC74),0)</f>
        <v>1601.7843844930251</v>
      </c>
      <c r="AO74" s="10">
        <f>IFERROR(求节点(节奏总纲!V$4:V$363,AH$11:AH$370,$AC74),0)</f>
        <v>0</v>
      </c>
      <c r="AZ74" s="10">
        <v>64</v>
      </c>
      <c r="BA74" s="10">
        <f t="shared" si="14"/>
        <v>444266.66666666669</v>
      </c>
      <c r="BB74" s="10">
        <f t="shared" si="15"/>
        <v>666400</v>
      </c>
      <c r="BC74" s="10">
        <f t="shared" si="16"/>
        <v>888533.33333333337</v>
      </c>
      <c r="BD74" s="10">
        <f t="shared" si="17"/>
        <v>1110666.6666666667</v>
      </c>
      <c r="BE74" s="10">
        <f t="shared" si="18"/>
        <v>1332800</v>
      </c>
      <c r="BG74" s="10">
        <v>64</v>
      </c>
      <c r="BH74" s="10">
        <f>MAX(节奏总纲!D67-$C$7,0)*C$22*$C$8*($AV$6+$AV$22)/30</f>
        <v>698393.81551567849</v>
      </c>
      <c r="BI74" s="10">
        <f>MAX(节奏总纲!E67-$C$7,0)*D$22*$C$8*($AV$6+$AV$22)/30</f>
        <v>831038.51151210407</v>
      </c>
      <c r="BJ74" s="10">
        <f>MAX(节奏总纲!F67-$C$7,0)*E$22*$C$8*($AV$6+$AV$22)/30</f>
        <v>767412.32071570761</v>
      </c>
      <c r="BK74" s="10">
        <f>MAX(节奏总纲!G67-$C$7,0)*F$22*$C$8*($AV$6+$AV$22)/30</f>
        <v>448143.29987166013</v>
      </c>
      <c r="BL74" s="10">
        <f>MAX(节奏总纲!H67-$C$7,0)*G$22*$C$8*($AV$6+$AV$22)/30</f>
        <v>0</v>
      </c>
      <c r="BX74" s="10">
        <v>64</v>
      </c>
      <c r="BY74" s="10">
        <f t="shared" si="43"/>
        <v>22666.666666666668</v>
      </c>
      <c r="BZ74" s="10">
        <f t="shared" si="43"/>
        <v>34000</v>
      </c>
      <c r="CA74" s="10">
        <f t="shared" si="43"/>
        <v>45333.333333333336</v>
      </c>
      <c r="CB74" s="10">
        <f t="shared" si="43"/>
        <v>85000</v>
      </c>
      <c r="CC74" s="10">
        <f t="shared" si="43"/>
        <v>283333.33333333331</v>
      </c>
      <c r="CE74" s="10">
        <v>64</v>
      </c>
      <c r="CF74" s="10">
        <f>MAX(节奏总纲!D67-$C$7,0)*INDEX($BU$7:$BU$15,MATCH(BY$10,$BT$7:$BT$15,0))/30</f>
        <v>35632.337526310133</v>
      </c>
      <c r="CG74" s="10">
        <f>MAX(节奏总纲!E67-$C$7,0)*INDEX($BU$7:$BU$15,MATCH(BZ$10,$BT$7:$BT$15,0))/30</f>
        <v>42399.924056740005</v>
      </c>
      <c r="CH74" s="10">
        <f>MAX(节奏总纲!F67-$C$7,0)*INDEX($BU$7:$BU$15,MATCH(CA$10,$BT$7:$BT$15,0))/30</f>
        <v>39153.689832434065</v>
      </c>
      <c r="CI74" s="10">
        <f>MAX(节奏总纲!G67-$C$7,0)*INDEX($BU$7:$BU$15,MATCH(CB$10,$BT$7:$BT$15,0))/30</f>
        <v>34296.681112627055</v>
      </c>
      <c r="CJ74" s="10">
        <f>MAX(节奏总纲!H67-$C$7,0)*INDEX($BU$7:$BU$15,MATCH(CC$10,$BT$7:$BT$15,0))/30</f>
        <v>0</v>
      </c>
    </row>
    <row r="75" spans="15:88" x14ac:dyDescent="0.15">
      <c r="O75" s="2">
        <v>64</v>
      </c>
      <c r="P75" s="2">
        <f t="shared" si="40"/>
        <v>1280</v>
      </c>
      <c r="AC75" s="2">
        <v>65</v>
      </c>
      <c r="AD75" s="2">
        <f t="shared" si="27"/>
        <v>0</v>
      </c>
      <c r="AE75" s="2">
        <f t="shared" si="28"/>
        <v>816.66666666666663</v>
      </c>
      <c r="AF75" s="2">
        <f t="shared" si="29"/>
        <v>2041.6666666666667</v>
      </c>
      <c r="AG75" s="2">
        <f t="shared" si="30"/>
        <v>4083.3333333333335</v>
      </c>
      <c r="AH75" s="2">
        <f t="shared" si="31"/>
        <v>8166.666666666667</v>
      </c>
      <c r="AJ75" s="10">
        <v>65</v>
      </c>
      <c r="AK75" s="10">
        <f>IFERROR(求节点(节奏总纲!R$4:R$363,AD$11:AD$370,$AC75),0)</f>
        <v>0</v>
      </c>
      <c r="AL75" s="10">
        <f>IFERROR(求节点(节奏总纲!S$4:S$363,AE$11:AE$370,$AC75),0)</f>
        <v>1112.2587578532366</v>
      </c>
      <c r="AM75" s="10">
        <f>IFERROR(求节点(节奏总纲!T$4:T$363,AF$11:AF$370,$AC75),0)</f>
        <v>1972.3120326431981</v>
      </c>
      <c r="AN75" s="10">
        <f>IFERROR(求节点(节奏总纲!U$4:U$363,AG$11:AG$370,$AC75),0)</f>
        <v>1975.2087252180124</v>
      </c>
      <c r="AO75" s="10">
        <f>IFERROR(求节点(节奏总纲!V$4:V$363,AH$11:AH$370,$AC75),0)</f>
        <v>0</v>
      </c>
      <c r="AZ75" s="10">
        <v>65</v>
      </c>
      <c r="BA75" s="10">
        <f t="shared" si="14"/>
        <v>457333.33333333331</v>
      </c>
      <c r="BB75" s="10">
        <f t="shared" si="15"/>
        <v>686000</v>
      </c>
      <c r="BC75" s="10">
        <f t="shared" si="16"/>
        <v>914666.66666666663</v>
      </c>
      <c r="BD75" s="10">
        <f t="shared" si="17"/>
        <v>1143333.3333333333</v>
      </c>
      <c r="BE75" s="10">
        <f t="shared" si="18"/>
        <v>1372000</v>
      </c>
      <c r="BG75" s="10">
        <v>65</v>
      </c>
      <c r="BH75" s="10">
        <f>MAX(节奏总纲!D68-$C$7,0)*C$22*$C$8*($AV$6+$AV$22)/30</f>
        <v>777592.99509387324</v>
      </c>
      <c r="BI75" s="10">
        <f>MAX(节奏总纲!E68-$C$7,0)*D$22*$C$8*($AV$6+$AV$22)/30</f>
        <v>933932.88486590271</v>
      </c>
      <c r="BJ75" s="10">
        <f>MAX(节奏总纲!F68-$C$7,0)*E$22*$C$8*($AV$6+$AV$22)/30</f>
        <v>883371.77380582562</v>
      </c>
      <c r="BK75" s="10">
        <f>MAX(节奏总纲!G68-$C$7,0)*F$22*$C$8*($AV$6+$AV$22)/30</f>
        <v>553044.01831929444</v>
      </c>
      <c r="BL75" s="10">
        <f>MAX(节奏总纲!H68-$C$7,0)*G$22*$C$8*($AV$6+$AV$22)/30</f>
        <v>0</v>
      </c>
      <c r="BX75" s="10">
        <v>65</v>
      </c>
      <c r="BY75" s="10">
        <f t="shared" si="43"/>
        <v>23333.333333333332</v>
      </c>
      <c r="BZ75" s="10">
        <f t="shared" si="43"/>
        <v>35000</v>
      </c>
      <c r="CA75" s="10">
        <f t="shared" si="43"/>
        <v>46666.666666666664</v>
      </c>
      <c r="CB75" s="10">
        <f t="shared" si="43"/>
        <v>87500</v>
      </c>
      <c r="CC75" s="10">
        <f t="shared" si="43"/>
        <v>291666.66666666669</v>
      </c>
      <c r="CE75" s="10">
        <v>65</v>
      </c>
      <c r="CF75" s="10">
        <f>MAX(节奏总纲!D68-$C$7,0)*INDEX($BU$7:$BU$15,MATCH(BY$10,$BT$7:$BT$15,0))/30</f>
        <v>39673.111994585372</v>
      </c>
      <c r="CG75" s="10">
        <f>MAX(节奏总纲!E68-$C$7,0)*INDEX($BU$7:$BU$15,MATCH(BZ$10,$BT$7:$BT$15,0))/30</f>
        <v>47649.636982954224</v>
      </c>
      <c r="CH75" s="10">
        <f>MAX(节奏总纲!F68-$C$7,0)*INDEX($BU$7:$BU$15,MATCH(CA$10,$BT$7:$BT$15,0))/30</f>
        <v>45069.988459480905</v>
      </c>
      <c r="CI75" s="10">
        <f>MAX(节奏总纲!G68-$C$7,0)*INDEX($BU$7:$BU$15,MATCH(CB$10,$BT$7:$BT$15,0))/30</f>
        <v>42324.79732035417</v>
      </c>
      <c r="CJ75" s="10">
        <f>MAX(节奏总纲!H68-$C$7,0)*INDEX($BU$7:$BU$15,MATCH(CC$10,$BT$7:$BT$15,0))/30</f>
        <v>0</v>
      </c>
    </row>
    <row r="76" spans="15:88" x14ac:dyDescent="0.15">
      <c r="O76" s="2">
        <v>65</v>
      </c>
      <c r="P76" s="2">
        <f t="shared" si="40"/>
        <v>1300</v>
      </c>
      <c r="AC76" s="2">
        <v>66</v>
      </c>
      <c r="AD76" s="2">
        <f t="shared" si="27"/>
        <v>0</v>
      </c>
      <c r="AE76" s="2">
        <f t="shared" si="28"/>
        <v>840</v>
      </c>
      <c r="AF76" s="2">
        <f t="shared" si="29"/>
        <v>2100</v>
      </c>
      <c r="AG76" s="2">
        <f t="shared" si="30"/>
        <v>4200</v>
      </c>
      <c r="AH76" s="2">
        <f t="shared" si="31"/>
        <v>8400</v>
      </c>
      <c r="AJ76" s="10">
        <v>66</v>
      </c>
      <c r="AK76" s="10">
        <f>IFERROR(求节点(节奏总纲!R$4:R$363,AD$11:AD$370,$AC76),0)</f>
        <v>0</v>
      </c>
      <c r="AL76" s="10">
        <f>IFERROR(求节点(节奏总纲!S$4:S$363,AE$11:AE$370,$AC76),0)</f>
        <v>1245.2638031468105</v>
      </c>
      <c r="AM76" s="10">
        <f>IFERROR(求节点(节奏总纲!T$4:T$363,AF$11:AF$370,$AC76),0)</f>
        <v>2245.6347099765085</v>
      </c>
      <c r="AN76" s="10">
        <f>IFERROR(求节点(节奏总纲!U$4:U$363,AG$11:AG$370,$AC76),0)</f>
        <v>2353.4753973252964</v>
      </c>
      <c r="AO76" s="10">
        <f>IFERROR(求节点(节奏总纲!V$4:V$363,AH$11:AH$370,$AC76),0)</f>
        <v>0</v>
      </c>
      <c r="AZ76" s="10">
        <v>66</v>
      </c>
      <c r="BA76" s="10">
        <f t="shared" ref="BA76:BA139" si="44">MAX($AZ76-$C$7,0)*C$22*$C$8*($AV$6+$AV$22)/30</f>
        <v>470400</v>
      </c>
      <c r="BB76" s="10">
        <f t="shared" ref="BB76:BB139" si="45">MAX($AZ76-$C$7,0)*D$22*$C$8*($AV$6+$AV$22)/30</f>
        <v>705600</v>
      </c>
      <c r="BC76" s="10">
        <f t="shared" ref="BC76:BC139" si="46">MAX($AZ76-$C$7,0)*E$22*$C$8*($AV$6+$AV$22)/30</f>
        <v>940800</v>
      </c>
      <c r="BD76" s="10">
        <f t="shared" ref="BD76:BD139" si="47">MAX($AZ76-$C$7,0)*F$22*$C$8*($AV$6+$AV$22)/30</f>
        <v>1176000</v>
      </c>
      <c r="BE76" s="10">
        <f t="shared" ref="BE76:BE139" si="48">MAX($AZ76-$C$7,0)*G$22*$C$8*($AV$6+$AV$22)/30</f>
        <v>1411200</v>
      </c>
      <c r="BG76" s="10">
        <v>66</v>
      </c>
      <c r="BH76" s="10">
        <f>MAX(节奏总纲!D69-$C$7,0)*C$22*$C$8*($AV$6+$AV$22)/30</f>
        <v>862476.57402042835</v>
      </c>
      <c r="BI76" s="10">
        <f>MAX(节奏总纲!E69-$C$7,0)*D$22*$C$8*($AV$6+$AV$22)/30</f>
        <v>1045704.8423468038</v>
      </c>
      <c r="BJ76" s="10">
        <f>MAX(节奏总纲!F69-$C$7,0)*E$22*$C$8*($AV$6+$AV$22)/30</f>
        <v>1005887.1758123472</v>
      </c>
      <c r="BK76" s="10">
        <f>MAX(节奏总纲!G69-$C$7,0)*F$22*$C$8*($AV$6+$AV$22)/30</f>
        <v>658660.02481418452</v>
      </c>
      <c r="BL76" s="10">
        <f>MAX(节奏总纲!H69-$C$7,0)*G$22*$C$8*($AV$6+$AV$22)/30</f>
        <v>0</v>
      </c>
      <c r="BX76" s="10">
        <v>66</v>
      </c>
      <c r="BY76" s="10">
        <f t="shared" si="43"/>
        <v>24000</v>
      </c>
      <c r="BZ76" s="10">
        <f t="shared" si="43"/>
        <v>36000</v>
      </c>
      <c r="CA76" s="10">
        <f t="shared" si="43"/>
        <v>48000</v>
      </c>
      <c r="CB76" s="10">
        <f t="shared" si="43"/>
        <v>90000</v>
      </c>
      <c r="CC76" s="10">
        <f t="shared" si="43"/>
        <v>300000</v>
      </c>
      <c r="CE76" s="10">
        <v>66</v>
      </c>
      <c r="CF76" s="10">
        <f>MAX(节奏总纲!D69-$C$7,0)*INDEX($BU$7:$BU$15,MATCH(BY$10,$BT$7:$BT$15,0))/30</f>
        <v>44003.906837776965</v>
      </c>
      <c r="CG76" s="10">
        <f>MAX(节奏总纲!E69-$C$7,0)*INDEX($BU$7:$BU$15,MATCH(BZ$10,$BT$7:$BT$15,0))/30</f>
        <v>53352.287874836933</v>
      </c>
      <c r="CH76" s="10">
        <f>MAX(节奏总纲!F69-$C$7,0)*INDEX($BU$7:$BU$15,MATCH(CA$10,$BT$7:$BT$15,0))/30</f>
        <v>51320.774276140168</v>
      </c>
      <c r="CI76" s="10">
        <f>MAX(节奏总纲!G69-$C$7,0)*INDEX($BU$7:$BU$15,MATCH(CB$10,$BT$7:$BT$15,0))/30</f>
        <v>50407.654960269232</v>
      </c>
      <c r="CJ76" s="10">
        <f>MAX(节奏总纲!H69-$C$7,0)*INDEX($BU$7:$BU$15,MATCH(CC$10,$BT$7:$BT$15,0))/30</f>
        <v>0</v>
      </c>
    </row>
    <row r="77" spans="15:88" x14ac:dyDescent="0.15">
      <c r="O77" s="2">
        <v>66</v>
      </c>
      <c r="P77" s="2">
        <f t="shared" si="40"/>
        <v>1320</v>
      </c>
      <c r="AC77" s="2">
        <v>67</v>
      </c>
      <c r="AD77" s="2">
        <f t="shared" si="27"/>
        <v>0</v>
      </c>
      <c r="AE77" s="2">
        <f t="shared" si="28"/>
        <v>863.33333333333337</v>
      </c>
      <c r="AF77" s="2">
        <f t="shared" si="29"/>
        <v>2158.3333333333335</v>
      </c>
      <c r="AG77" s="2">
        <f t="shared" si="30"/>
        <v>4316.666666666667</v>
      </c>
      <c r="AH77" s="2">
        <f t="shared" si="31"/>
        <v>8633.3333333333339</v>
      </c>
      <c r="AJ77" s="10">
        <v>67</v>
      </c>
      <c r="AK77" s="10">
        <f>IFERROR(求节点(节奏总纲!R$4:R$363,AD$11:AD$370,$AC77),0)</f>
        <v>0</v>
      </c>
      <c r="AL77" s="10">
        <f>IFERROR(求节点(节奏总纲!S$4:S$363,AE$11:AE$370,$AC77),0)</f>
        <v>1387.8427182794521</v>
      </c>
      <c r="AM77" s="10">
        <f>IFERROR(求节点(节奏总纲!T$4:T$363,AF$11:AF$370,$AC77),0)</f>
        <v>2525.80425717564</v>
      </c>
      <c r="AN77" s="10">
        <f>IFERROR(求节点(节奏总纲!U$4:U$363,AG$11:AG$370,$AC77),0)</f>
        <v>2758.7694216320074</v>
      </c>
      <c r="AO77" s="10">
        <f>IFERROR(求节点(节奏总纲!V$4:V$363,AH$11:AH$370,$AC77),0)</f>
        <v>0</v>
      </c>
      <c r="AZ77" s="10">
        <v>67</v>
      </c>
      <c r="BA77" s="10">
        <f t="shared" si="44"/>
        <v>483466.66666666669</v>
      </c>
      <c r="BB77" s="10">
        <f t="shared" si="45"/>
        <v>725200</v>
      </c>
      <c r="BC77" s="10">
        <f t="shared" si="46"/>
        <v>966933.33333333337</v>
      </c>
      <c r="BD77" s="10">
        <f t="shared" si="47"/>
        <v>1208666.6666666667</v>
      </c>
      <c r="BE77" s="10">
        <f t="shared" si="48"/>
        <v>1450400</v>
      </c>
      <c r="BG77" s="10">
        <v>67</v>
      </c>
      <c r="BH77" s="10">
        <f>MAX(节奏总纲!D70-$C$7,0)*C$22*$C$8*($AV$6+$AV$22)/30</f>
        <v>953452.54131901532</v>
      </c>
      <c r="BI77" s="10">
        <f>MAX(节奏总纲!E70-$C$7,0)*D$22*$C$8*($AV$6+$AV$22)/30</f>
        <v>1165595.5697281386</v>
      </c>
      <c r="BJ77" s="10">
        <f>MAX(节奏总纲!F70-$C$7,0)*E$22*$C$8*($AV$6+$AV$22)/30</f>
        <v>1131386.2378217503</v>
      </c>
      <c r="BK77" s="10">
        <f>MAX(节奏总纲!G70-$C$7,0)*F$22*$C$8*($AV$6+$AV$22)/30</f>
        <v>771779.20879735821</v>
      </c>
      <c r="BL77" s="10">
        <f>MAX(节奏总纲!H70-$C$7,0)*G$22*$C$8*($AV$6+$AV$22)/30</f>
        <v>0</v>
      </c>
      <c r="BX77" s="10">
        <v>67</v>
      </c>
      <c r="BY77" s="10">
        <f t="shared" si="43"/>
        <v>24666.666666666668</v>
      </c>
      <c r="BZ77" s="10">
        <f t="shared" si="43"/>
        <v>37000</v>
      </c>
      <c r="CA77" s="10">
        <f t="shared" si="43"/>
        <v>49333.333333333336</v>
      </c>
      <c r="CB77" s="10">
        <f t="shared" si="43"/>
        <v>92500</v>
      </c>
      <c r="CC77" s="10">
        <f t="shared" si="43"/>
        <v>308333.33333333331</v>
      </c>
      <c r="CE77" s="10">
        <v>67</v>
      </c>
      <c r="CF77" s="10">
        <f>MAX(节奏总纲!D70-$C$7,0)*INDEX($BU$7:$BU$15,MATCH(BY$10,$BT$7:$BT$15,0))/30</f>
        <v>48645.537822398743</v>
      </c>
      <c r="CG77" s="10">
        <f>MAX(节奏总纲!E70-$C$7,0)*INDEX($BU$7:$BU$15,MATCH(BZ$10,$BT$7:$BT$15,0))/30</f>
        <v>59469.161720823395</v>
      </c>
      <c r="CH77" s="10">
        <f>MAX(节奏总纲!F70-$C$7,0)*INDEX($BU$7:$BU$15,MATCH(CA$10,$BT$7:$BT$15,0))/30</f>
        <v>57723.787643966847</v>
      </c>
      <c r="CI77" s="10">
        <f>MAX(节奏总纲!G70-$C$7,0)*INDEX($BU$7:$BU$15,MATCH(CB$10,$BT$7:$BT$15,0))/30</f>
        <v>59064.735367144756</v>
      </c>
      <c r="CJ77" s="10">
        <f>MAX(节奏总纲!H70-$C$7,0)*INDEX($BU$7:$BU$15,MATCH(CC$10,$BT$7:$BT$15,0))/30</f>
        <v>0</v>
      </c>
    </row>
    <row r="78" spans="15:88" x14ac:dyDescent="0.15">
      <c r="O78" s="2">
        <v>67</v>
      </c>
      <c r="P78" s="2">
        <f t="shared" si="40"/>
        <v>1340</v>
      </c>
      <c r="AC78" s="2">
        <v>68</v>
      </c>
      <c r="AD78" s="2">
        <f t="shared" si="27"/>
        <v>0</v>
      </c>
      <c r="AE78" s="2">
        <f t="shared" si="28"/>
        <v>886.66666666666663</v>
      </c>
      <c r="AF78" s="2">
        <f t="shared" si="29"/>
        <v>2216.6666666666665</v>
      </c>
      <c r="AG78" s="2">
        <f t="shared" si="30"/>
        <v>4433.333333333333</v>
      </c>
      <c r="AH78" s="2">
        <f t="shared" si="31"/>
        <v>8866.6666666666661</v>
      </c>
      <c r="AJ78" s="10">
        <v>68</v>
      </c>
      <c r="AK78" s="10">
        <f>IFERROR(求节点(节奏总纲!R$4:R$363,AD$11:AD$370,$AC78),0)</f>
        <v>0</v>
      </c>
      <c r="AL78" s="10">
        <f>IFERROR(求节点(节奏总纲!S$4:S$363,AE$11:AE$370,$AC78),0)</f>
        <v>1536.2264144545552</v>
      </c>
      <c r="AM78" s="10">
        <f>IFERROR(求节点(节奏总纲!T$4:T$363,AF$11:AF$370,$AC78),0)</f>
        <v>2816.1086794646653</v>
      </c>
      <c r="AN78" s="10">
        <f>IFERROR(求节点(节奏总纲!U$4:U$363,AG$11:AG$370,$AC78),0)</f>
        <v>3200.5779648523467</v>
      </c>
      <c r="AO78" s="10">
        <f>IFERROR(求节点(节奏总纲!V$4:V$363,AH$11:AH$370,$AC78),0)</f>
        <v>435.63114941257265</v>
      </c>
      <c r="AZ78" s="10">
        <v>68</v>
      </c>
      <c r="BA78" s="10">
        <f t="shared" si="44"/>
        <v>496533.33333333331</v>
      </c>
      <c r="BB78" s="10">
        <f t="shared" si="45"/>
        <v>744800</v>
      </c>
      <c r="BC78" s="10">
        <f t="shared" si="46"/>
        <v>993066.66666666663</v>
      </c>
      <c r="BD78" s="10">
        <f t="shared" si="47"/>
        <v>1241333.3333333333</v>
      </c>
      <c r="BE78" s="10">
        <f t="shared" si="48"/>
        <v>1489600</v>
      </c>
      <c r="BG78" s="10">
        <v>68</v>
      </c>
      <c r="BH78" s="10">
        <f>MAX(节奏总纲!D71-$C$7,0)*C$22*$C$8*($AV$6+$AV$22)/30</f>
        <v>1050958.1687982106</v>
      </c>
      <c r="BI78" s="10">
        <f>MAX(节奏总纲!E71-$C$7,0)*D$22*$C$8*($AV$6+$AV$22)/30</f>
        <v>1290298.6483246305</v>
      </c>
      <c r="BJ78" s="10">
        <f>MAX(节奏总纲!F71-$C$7,0)*E$22*$C$8*($AV$6+$AV$22)/30</f>
        <v>1260960.3168208238</v>
      </c>
      <c r="BK78" s="10">
        <f>MAX(节奏总纲!G71-$C$7,0)*F$22*$C$8*($AV$6+$AV$22)/30</f>
        <v>895484.87989547406</v>
      </c>
      <c r="BL78" s="10">
        <f>MAX(节奏总纲!H71-$C$7,0)*G$22*$C$8*($AV$6+$AV$22)/30</f>
        <v>72880.295094851099</v>
      </c>
      <c r="BX78" s="10">
        <v>68</v>
      </c>
      <c r="BY78" s="10">
        <f t="shared" si="43"/>
        <v>25333.333333333332</v>
      </c>
      <c r="BZ78" s="10">
        <f t="shared" si="43"/>
        <v>38000</v>
      </c>
      <c r="CA78" s="10">
        <f t="shared" si="43"/>
        <v>50666.666666666664</v>
      </c>
      <c r="CB78" s="10">
        <f t="shared" si="43"/>
        <v>95000</v>
      </c>
      <c r="CC78" s="10">
        <f t="shared" si="43"/>
        <v>316666.66666666669</v>
      </c>
      <c r="CE78" s="10">
        <v>68</v>
      </c>
      <c r="CF78" s="10">
        <f>MAX(节奏总纲!D71-$C$7,0)*INDEX($BU$7:$BU$15,MATCH(BY$10,$BT$7:$BT$15,0))/30</f>
        <v>53620.314734602573</v>
      </c>
      <c r="CG78" s="10">
        <f>MAX(节奏总纲!E71-$C$7,0)*INDEX($BU$7:$BU$15,MATCH(BZ$10,$BT$7:$BT$15,0))/30</f>
        <v>65831.56369003217</v>
      </c>
      <c r="CH78" s="10">
        <f>MAX(节奏总纲!F71-$C$7,0)*INDEX($BU$7:$BU$15,MATCH(CA$10,$BT$7:$BT$15,0))/30</f>
        <v>64334.710041878774</v>
      </c>
      <c r="CI78" s="10">
        <f>MAX(节奏总纲!G71-$C$7,0)*INDEX($BU$7:$BU$15,MATCH(CB$10,$BT$7:$BT$15,0))/30</f>
        <v>68532.006114449541</v>
      </c>
      <c r="CJ78" s="10">
        <f>MAX(节奏总纲!H71-$C$7,0)*INDEX($BU$7:$BU$15,MATCH(CC$10,$BT$7:$BT$15,0))/30</f>
        <v>15493.260011660521</v>
      </c>
    </row>
    <row r="79" spans="15:88" x14ac:dyDescent="0.15">
      <c r="O79" s="2">
        <v>68</v>
      </c>
      <c r="P79" s="2">
        <f t="shared" si="40"/>
        <v>1360</v>
      </c>
      <c r="AC79" s="2">
        <v>69</v>
      </c>
      <c r="AD79" s="2">
        <f t="shared" si="27"/>
        <v>0</v>
      </c>
      <c r="AE79" s="2">
        <f t="shared" si="28"/>
        <v>910</v>
      </c>
      <c r="AF79" s="2">
        <f t="shared" si="29"/>
        <v>2275</v>
      </c>
      <c r="AG79" s="2">
        <f t="shared" si="30"/>
        <v>4550</v>
      </c>
      <c r="AH79" s="2">
        <f t="shared" si="31"/>
        <v>9100</v>
      </c>
      <c r="AJ79" s="10">
        <v>69</v>
      </c>
      <c r="AK79" s="10">
        <f>IFERROR(求节点(节奏总纲!R$4:R$363,AD$11:AD$370,$AC79),0)</f>
        <v>0</v>
      </c>
      <c r="AL79" s="10">
        <f>IFERROR(求节点(节奏总纲!S$4:S$363,AE$11:AE$370,$AC79),0)</f>
        <v>1692.5751020626894</v>
      </c>
      <c r="AM79" s="10">
        <f>IFERROR(求节点(节奏总纲!T$4:T$363,AF$11:AF$370,$AC79),0)</f>
        <v>3144.35734150596</v>
      </c>
      <c r="AN79" s="10">
        <f>IFERROR(求节点(节奏总纲!U$4:U$363,AG$11:AG$370,$AC79),0)</f>
        <v>3680.9413687029073</v>
      </c>
      <c r="AO79" s="10">
        <f>IFERROR(求节点(节奏总纲!V$4:V$363,AH$11:AH$370,$AC79),0)</f>
        <v>948.74269270973241</v>
      </c>
      <c r="AZ79" s="10">
        <v>69</v>
      </c>
      <c r="BA79" s="10">
        <f t="shared" si="44"/>
        <v>509600</v>
      </c>
      <c r="BB79" s="10">
        <f t="shared" si="45"/>
        <v>764400</v>
      </c>
      <c r="BC79" s="10">
        <f t="shared" si="46"/>
        <v>1019200</v>
      </c>
      <c r="BD79" s="10">
        <f t="shared" si="47"/>
        <v>1274000</v>
      </c>
      <c r="BE79" s="10">
        <f t="shared" si="48"/>
        <v>1528800</v>
      </c>
      <c r="BG79" s="10">
        <v>69</v>
      </c>
      <c r="BH79" s="10">
        <f>MAX(节奏总纲!D72-$C$7,0)*C$22*$C$8*($AV$6+$AV$22)/30</f>
        <v>1155462.1127783614</v>
      </c>
      <c r="BI79" s="10">
        <f>MAX(节奏总纲!E72-$C$7,0)*D$22*$C$8*($AV$6+$AV$22)/30</f>
        <v>1421224.8072314241</v>
      </c>
      <c r="BJ79" s="10">
        <f>MAX(节奏总纲!F72-$C$7,0)*E$22*$C$8*($AV$6+$AV$22)/30</f>
        <v>1408444.3213843822</v>
      </c>
      <c r="BK79" s="10">
        <f>MAX(节奏总纲!G72-$C$7,0)*F$22*$C$8*($AV$6+$AV$22)/30</f>
        <v>1030153.2844990912</v>
      </c>
      <c r="BL79" s="10">
        <f>MAX(节奏总纲!H72-$C$7,0)*G$22*$C$8*($AV$6+$AV$22)/30</f>
        <v>159150.31090517007</v>
      </c>
      <c r="BX79" s="10">
        <v>69</v>
      </c>
      <c r="BY79" s="10">
        <f t="shared" si="43"/>
        <v>26000</v>
      </c>
      <c r="BZ79" s="10">
        <f t="shared" si="43"/>
        <v>39000</v>
      </c>
      <c r="CA79" s="10">
        <f t="shared" si="43"/>
        <v>52000</v>
      </c>
      <c r="CB79" s="10">
        <f t="shared" si="43"/>
        <v>97500</v>
      </c>
      <c r="CC79" s="10">
        <f t="shared" si="43"/>
        <v>325000</v>
      </c>
      <c r="CE79" s="10">
        <v>69</v>
      </c>
      <c r="CF79" s="10">
        <f>MAX(节奏总纲!D72-$C$7,0)*INDEX($BU$7:$BU$15,MATCH(BY$10,$BT$7:$BT$15,0))/30</f>
        <v>58952.148611140881</v>
      </c>
      <c r="CG79" s="10">
        <f>MAX(节奏总纲!E72-$C$7,0)*INDEX($BU$7:$BU$15,MATCH(BZ$10,$BT$7:$BT$15,0))/30</f>
        <v>72511.469756705323</v>
      </c>
      <c r="CH79" s="10">
        <f>MAX(节奏总纲!F72-$C$7,0)*INDEX($BU$7:$BU$15,MATCH(CA$10,$BT$7:$BT$15,0))/30</f>
        <v>71859.404152264397</v>
      </c>
      <c r="CI79" s="10">
        <f>MAX(节奏总纲!G72-$C$7,0)*INDEX($BU$7:$BU$15,MATCH(CB$10,$BT$7:$BT$15,0))/30</f>
        <v>78838.261568807997</v>
      </c>
      <c r="CJ79" s="10">
        <f>MAX(节奏总纲!H72-$C$7,0)*INDEX($BU$7:$BU$15,MATCH(CC$10,$BT$7:$BT$15,0))/30</f>
        <v>33832.974257051457</v>
      </c>
    </row>
    <row r="80" spans="15:88" x14ac:dyDescent="0.15">
      <c r="O80" s="2">
        <v>69</v>
      </c>
      <c r="P80" s="2">
        <f t="shared" si="40"/>
        <v>1380</v>
      </c>
      <c r="AC80" s="2">
        <v>70</v>
      </c>
      <c r="AD80" s="2">
        <f t="shared" si="27"/>
        <v>0</v>
      </c>
      <c r="AE80" s="2">
        <f t="shared" si="28"/>
        <v>933.33333333333337</v>
      </c>
      <c r="AF80" s="2">
        <f t="shared" si="29"/>
        <v>2333.3333333333335</v>
      </c>
      <c r="AG80" s="2">
        <f t="shared" si="30"/>
        <v>4666.666666666667</v>
      </c>
      <c r="AH80" s="2">
        <f t="shared" si="31"/>
        <v>9333.3333333333339</v>
      </c>
      <c r="AJ80" s="10">
        <v>70</v>
      </c>
      <c r="AK80" s="10">
        <f>IFERROR(求节点(节奏总纲!R$4:R$363,AD$11:AD$370,$AC80),0)</f>
        <v>0</v>
      </c>
      <c r="AL80" s="10">
        <f>IFERROR(求节点(节奏总纲!S$4:S$363,AE$11:AE$370,$AC80),0)</f>
        <v>1866.0026456979263</v>
      </c>
      <c r="AM80" s="10">
        <f>IFERROR(求节点(节奏总纲!T$4:T$363,AF$11:AF$370,$AC80),0)</f>
        <v>3506.448560373391</v>
      </c>
      <c r="AN80" s="10">
        <f>IFERROR(求节点(节奏总纲!U$4:U$363,AG$11:AG$370,$AC80),0)</f>
        <v>4191.8422837928074</v>
      </c>
      <c r="AO80" s="10">
        <f>IFERROR(求节点(节奏总纲!V$4:V$363,AH$11:AH$370,$AC80),0)</f>
        <v>1520.9233710602189</v>
      </c>
      <c r="AZ80" s="10">
        <v>70</v>
      </c>
      <c r="BA80" s="10">
        <f t="shared" si="44"/>
        <v>522666.66666666669</v>
      </c>
      <c r="BB80" s="10">
        <f t="shared" si="45"/>
        <v>784000</v>
      </c>
      <c r="BC80" s="10">
        <f t="shared" si="46"/>
        <v>1045333.3333333334</v>
      </c>
      <c r="BD80" s="10">
        <f t="shared" si="47"/>
        <v>1306666.6666666667</v>
      </c>
      <c r="BE80" s="10">
        <f t="shared" si="48"/>
        <v>1568000</v>
      </c>
      <c r="BG80" s="10">
        <v>70</v>
      </c>
      <c r="BH80" s="10">
        <f>MAX(节奏总纲!D73-$C$7,0)*C$22*$C$8*($AV$6+$AV$22)/30</f>
        <v>1267466.6666666667</v>
      </c>
      <c r="BI80" s="10">
        <f>MAX(节奏总纲!E73-$C$7,0)*D$22*$C$8*($AV$6+$AV$22)/30</f>
        <v>1567398.28</v>
      </c>
      <c r="BJ80" s="10">
        <f>MAX(节奏总纲!F73-$C$7,0)*E$22*$C$8*($AV$6+$AV$22)/30</f>
        <v>1570783.2</v>
      </c>
      <c r="BK80" s="10">
        <f>MAX(节奏总纲!G73-$C$7,0)*F$22*$C$8*($AV$6+$AV$22)/30</f>
        <v>1173572.8666666669</v>
      </c>
      <c r="BL80" s="10">
        <f>MAX(节奏总纲!H73-$C$7,0)*G$22*$C$8*($AV$6+$AV$22)/30</f>
        <v>254792.16000000003</v>
      </c>
      <c r="BX80" s="10">
        <v>70</v>
      </c>
      <c r="BY80" s="10">
        <f t="shared" si="43"/>
        <v>26666.666666666668</v>
      </c>
      <c r="BZ80" s="10">
        <f t="shared" si="43"/>
        <v>40000</v>
      </c>
      <c r="CA80" s="10">
        <f t="shared" si="43"/>
        <v>53333.333333333336</v>
      </c>
      <c r="CB80" s="10">
        <f t="shared" si="43"/>
        <v>100000</v>
      </c>
      <c r="CC80" s="10">
        <f t="shared" si="43"/>
        <v>333333.33333333331</v>
      </c>
      <c r="CE80" s="10">
        <v>70</v>
      </c>
      <c r="CF80" s="10">
        <f>MAX(节奏总纲!D73-$C$7,0)*INDEX($BU$7:$BU$15,MATCH(BY$10,$BT$7:$BT$15,0))/30</f>
        <v>64666.666666666664</v>
      </c>
      <c r="CG80" s="10">
        <f>MAX(节奏总纲!E73-$C$7,0)*INDEX($BU$7:$BU$15,MATCH(BZ$10,$BT$7:$BT$15,0))/30</f>
        <v>79969.3</v>
      </c>
      <c r="CH80" s="10">
        <f>MAX(节奏总纲!F73-$C$7,0)*INDEX($BU$7:$BU$15,MATCH(CA$10,$BT$7:$BT$15,0))/30</f>
        <v>80142</v>
      </c>
      <c r="CI80" s="10">
        <f>MAX(节奏总纲!G73-$C$7,0)*INDEX($BU$7:$BU$15,MATCH(CB$10,$BT$7:$BT$15,0))/30</f>
        <v>89814.250000000015</v>
      </c>
      <c r="CJ80" s="10">
        <f>MAX(节奏总纲!H73-$C$7,0)*INDEX($BU$7:$BU$15,MATCH(CC$10,$BT$7:$BT$15,0))/30</f>
        <v>54165.000000000007</v>
      </c>
    </row>
    <row r="81" spans="15:88" x14ac:dyDescent="0.15">
      <c r="O81" s="2">
        <v>70</v>
      </c>
      <c r="P81" s="2">
        <f t="shared" si="40"/>
        <v>1400</v>
      </c>
      <c r="AC81" s="2">
        <v>71</v>
      </c>
      <c r="AD81" s="2">
        <f t="shared" si="27"/>
        <v>0</v>
      </c>
      <c r="AE81" s="2">
        <f t="shared" si="28"/>
        <v>956.66666666666663</v>
      </c>
      <c r="AF81" s="2">
        <f t="shared" si="29"/>
        <v>2391.6666666666665</v>
      </c>
      <c r="AG81" s="2">
        <f t="shared" si="30"/>
        <v>4783.333333333333</v>
      </c>
      <c r="AH81" s="2">
        <f t="shared" si="31"/>
        <v>9566.6666666666661</v>
      </c>
      <c r="AJ81" s="10">
        <v>71</v>
      </c>
      <c r="AK81" s="10">
        <f>IFERROR(求节点(节奏总纲!R$4:R$363,AD$11:AD$370,$AC81),0)</f>
        <v>0</v>
      </c>
      <c r="AL81" s="10">
        <f>IFERROR(求节点(节奏总纲!S$4:S$363,AE$11:AE$370,$AC81),0)</f>
        <v>2054.1547722934679</v>
      </c>
      <c r="AM81" s="10">
        <f>IFERROR(求节点(节奏总纲!T$4:T$363,AF$11:AF$370,$AC81),0)</f>
        <v>3884.6069484166683</v>
      </c>
      <c r="AN81" s="10">
        <f>IFERROR(求节点(节奏总纲!U$4:U$363,AG$11:AG$370,$AC81),0)</f>
        <v>4739.8103493873359</v>
      </c>
      <c r="AO81" s="10">
        <f>IFERROR(求节点(节奏总纲!V$4:V$363,AH$11:AH$370,$AC81),0)</f>
        <v>2130.9240507856171</v>
      </c>
      <c r="AZ81" s="10">
        <v>71</v>
      </c>
      <c r="BA81" s="10">
        <f t="shared" si="44"/>
        <v>535733.33333333337</v>
      </c>
      <c r="BB81" s="10">
        <f t="shared" si="45"/>
        <v>803600</v>
      </c>
      <c r="BC81" s="10">
        <f t="shared" si="46"/>
        <v>1071466.6666666667</v>
      </c>
      <c r="BD81" s="10">
        <f t="shared" si="47"/>
        <v>1339333.3333333333</v>
      </c>
      <c r="BE81" s="10">
        <f t="shared" si="48"/>
        <v>1607200</v>
      </c>
      <c r="BG81" s="10">
        <v>71</v>
      </c>
      <c r="BH81" s="10">
        <f>MAX(节奏总纲!D74-$C$7,0)*C$22*$C$8*($AV$6+$AV$22)/30</f>
        <v>1387510.1752073679</v>
      </c>
      <c r="BI81" s="10">
        <f>MAX(节奏总纲!E74-$C$7,0)*D$22*$C$8*($AV$6+$AV$22)/30</f>
        <v>1725452.2032783383</v>
      </c>
      <c r="BJ81" s="10">
        <f>MAX(节奏总纲!F74-$C$7,0)*E$22*$C$8*($AV$6+$AV$22)/30</f>
        <v>1740057.2325141307</v>
      </c>
      <c r="BK81" s="10">
        <f>MAX(节奏总纲!G74-$C$7,0)*F$22*$C$8*($AV$6+$AV$22)/30</f>
        <v>1326690.0646125502</v>
      </c>
      <c r="BL81" s="10">
        <f>MAX(节奏总纲!H74-$C$7,0)*G$22*$C$8*($AV$6+$AV$22)/30</f>
        <v>357759.82001123019</v>
      </c>
      <c r="BX81" s="10">
        <v>71</v>
      </c>
      <c r="BY81" s="10">
        <f t="shared" ref="BY81:CC90" si="49">MAX($BX81-$C$7,0)*INDEX($BU$7:$BU$15,MATCH(BY$10,$BT$7:$BT$15,0))/30</f>
        <v>27333.333333333332</v>
      </c>
      <c r="BZ81" s="10">
        <f t="shared" si="49"/>
        <v>41000</v>
      </c>
      <c r="CA81" s="10">
        <f t="shared" si="49"/>
        <v>54666.666666666664</v>
      </c>
      <c r="CB81" s="10">
        <f t="shared" si="49"/>
        <v>102500</v>
      </c>
      <c r="CC81" s="10">
        <f t="shared" si="49"/>
        <v>341666.66666666669</v>
      </c>
      <c r="CE81" s="10">
        <v>71</v>
      </c>
      <c r="CF81" s="10">
        <f>MAX(节奏总纲!D74-$C$7,0)*INDEX($BU$7:$BU$15,MATCH(BY$10,$BT$7:$BT$15,0))/30</f>
        <v>70791.335469763668</v>
      </c>
      <c r="CG81" s="10">
        <f>MAX(节奏总纲!E74-$C$7,0)*INDEX($BU$7:$BU$15,MATCH(BZ$10,$BT$7:$BT$15,0))/30</f>
        <v>88033.275677466256</v>
      </c>
      <c r="CH81" s="10">
        <f>MAX(节奏总纲!F74-$C$7,0)*INDEX($BU$7:$BU$15,MATCH(CA$10,$BT$7:$BT$15,0))/30</f>
        <v>88778.430230312777</v>
      </c>
      <c r="CI81" s="10">
        <f>MAX(节奏总纲!G74-$C$7,0)*INDEX($BU$7:$BU$15,MATCH(CB$10,$BT$7:$BT$15,0))/30</f>
        <v>101532.40290402171</v>
      </c>
      <c r="CJ81" s="10">
        <f>MAX(节奏总纲!H74-$C$7,0)*INDEX($BU$7:$BU$15,MATCH(CC$10,$BT$7:$BT$15,0))/30</f>
        <v>76054.383505788719</v>
      </c>
    </row>
    <row r="82" spans="15:88" x14ac:dyDescent="0.15">
      <c r="O82" s="2">
        <v>71</v>
      </c>
      <c r="P82" s="2">
        <f t="shared" si="40"/>
        <v>1420</v>
      </c>
      <c r="AC82" s="2">
        <v>72</v>
      </c>
      <c r="AD82" s="2">
        <f t="shared" ref="AD82:AD145" si="50">INDEX($D$30:$D$34,MATCH(C$21,$B$30:$B$34,0))*MAX($AC82-$C$7,0)*$C$8/30</f>
        <v>0</v>
      </c>
      <c r="AE82" s="2">
        <f t="shared" ref="AE82:AE145" si="51">INDEX($D$30:$D$34,MATCH(D$21,$B$30:$B$34,0))*MAX($AC82-$C$7,0)*$C$8/30</f>
        <v>980</v>
      </c>
      <c r="AF82" s="2">
        <f t="shared" ref="AF82:AF145" si="52">INDEX($D$30:$D$34,MATCH(E$21,$B$30:$B$34,0))*MAX($AC82-$C$7,0)*$C$8/30</f>
        <v>2450</v>
      </c>
      <c r="AG82" s="2">
        <f t="shared" ref="AG82:AG145" si="53">INDEX($D$30:$D$34,MATCH(F$21,$B$30:$B$34,0))*MAX($AC82-$C$7,0)*$C$8/30</f>
        <v>4900</v>
      </c>
      <c r="AH82" s="2">
        <f t="shared" ref="AH82:AH145" si="54">INDEX($D$30:$D$34,MATCH(G$21,$B$30:$B$34,0))*MAX($AC82-$C$7,0)*$C$8/30</f>
        <v>9800</v>
      </c>
      <c r="AJ82" s="10">
        <v>72</v>
      </c>
      <c r="AK82" s="10">
        <f>IFERROR(求节点(节奏总纲!R$4:R$363,AD$11:AD$370,$AC82),0)</f>
        <v>0</v>
      </c>
      <c r="AL82" s="10">
        <f>IFERROR(求节点(节奏总纲!S$4:S$363,AE$11:AE$370,$AC82),0)</f>
        <v>2253.7601604205242</v>
      </c>
      <c r="AM82" s="10">
        <f>IFERROR(求节点(节奏总纲!T$4:T$363,AF$11:AF$370,$AC82),0)</f>
        <v>4277.8882601187588</v>
      </c>
      <c r="AN82" s="10">
        <f>IFERROR(求节点(节奏总纲!U$4:U$363,AG$11:AG$370,$AC82),0)</f>
        <v>5320.6128216359648</v>
      </c>
      <c r="AO82" s="10">
        <f>IFERROR(求节点(节奏总纲!V$4:V$363,AH$11:AH$370,$AC82),0)</f>
        <v>2777.4939247420075</v>
      </c>
      <c r="AZ82" s="10">
        <v>72</v>
      </c>
      <c r="BA82" s="10">
        <f t="shared" si="44"/>
        <v>548800</v>
      </c>
      <c r="BB82" s="10">
        <f t="shared" si="45"/>
        <v>823200</v>
      </c>
      <c r="BC82" s="10">
        <f t="shared" si="46"/>
        <v>1097600</v>
      </c>
      <c r="BD82" s="10">
        <f t="shared" si="47"/>
        <v>1372000</v>
      </c>
      <c r="BE82" s="10">
        <f t="shared" si="48"/>
        <v>1646400</v>
      </c>
      <c r="BG82" s="10">
        <v>72</v>
      </c>
      <c r="BH82" s="10">
        <f>MAX(节奏总纲!D75-$C$7,0)*C$22*$C$8*($AV$6+$AV$22)/30</f>
        <v>1516169.6220110403</v>
      </c>
      <c r="BI82" s="10">
        <f>MAX(节奏总纲!E75-$C$7,0)*D$22*$C$8*($AV$6+$AV$22)/30</f>
        <v>1893002.1425387547</v>
      </c>
      <c r="BJ82" s="10">
        <f>MAX(节奏总纲!F75-$C$7,0)*E$22*$C$8*($AV$6+$AV$22)/30</f>
        <v>1916060.0151456222</v>
      </c>
      <c r="BK82" s="10">
        <f>MAX(节奏总纲!G75-$C$7,0)*F$22*$C$8*($AV$6+$AV$22)/30</f>
        <v>1489171.4908822859</v>
      </c>
      <c r="BL82" s="10">
        <f>MAX(节奏总纲!H75-$C$7,0)*G$22*$C$8*($AV$6+$AV$22)/30</f>
        <v>466361.59366490226</v>
      </c>
      <c r="BX82" s="10">
        <v>72</v>
      </c>
      <c r="BY82" s="10">
        <f t="shared" si="49"/>
        <v>28000</v>
      </c>
      <c r="BZ82" s="10">
        <f t="shared" si="49"/>
        <v>42000</v>
      </c>
      <c r="CA82" s="10">
        <f t="shared" si="49"/>
        <v>56000</v>
      </c>
      <c r="CB82" s="10">
        <f t="shared" si="49"/>
        <v>105000</v>
      </c>
      <c r="CC82" s="10">
        <f t="shared" si="49"/>
        <v>350000</v>
      </c>
      <c r="CE82" s="10">
        <v>72</v>
      </c>
      <c r="CF82" s="10">
        <f>MAX(节奏总纲!D75-$C$7,0)*INDEX($BU$7:$BU$15,MATCH(BY$10,$BT$7:$BT$15,0))/30</f>
        <v>77355.592959746951</v>
      </c>
      <c r="CG82" s="10">
        <f>MAX(节奏总纲!E75-$C$7,0)*INDEX($BU$7:$BU$15,MATCH(BZ$10,$BT$7:$BT$15,0))/30</f>
        <v>96581.741966262998</v>
      </c>
      <c r="CH82" s="10">
        <f>MAX(节奏总纲!F75-$C$7,0)*INDEX($BU$7:$BU$15,MATCH(CA$10,$BT$7:$BT$15,0))/30</f>
        <v>97758.164038041941</v>
      </c>
      <c r="CI82" s="10">
        <f>MAX(节奏总纲!G75-$C$7,0)*INDEX($BU$7:$BU$15,MATCH(CB$10,$BT$7:$BT$15,0))/30</f>
        <v>113967.20593486883</v>
      </c>
      <c r="CJ82" s="10">
        <f>MAX(节奏总纲!H75-$C$7,0)*INDEX($BU$7:$BU$15,MATCH(CC$10,$BT$7:$BT$15,0))/30</f>
        <v>99141.495251892498</v>
      </c>
    </row>
    <row r="83" spans="15:88" x14ac:dyDescent="0.15">
      <c r="O83" s="2">
        <v>72</v>
      </c>
      <c r="P83" s="2">
        <f t="shared" si="40"/>
        <v>1440</v>
      </c>
      <c r="AC83" s="2">
        <v>73</v>
      </c>
      <c r="AD83" s="2">
        <f t="shared" si="50"/>
        <v>0</v>
      </c>
      <c r="AE83" s="2">
        <f t="shared" si="51"/>
        <v>1003.3333333333334</v>
      </c>
      <c r="AF83" s="2">
        <f t="shared" si="52"/>
        <v>2508.3333333333335</v>
      </c>
      <c r="AG83" s="2">
        <f t="shared" si="53"/>
        <v>5016.666666666667</v>
      </c>
      <c r="AH83" s="2">
        <f t="shared" si="54"/>
        <v>10033.333333333334</v>
      </c>
      <c r="AJ83" s="10">
        <v>73</v>
      </c>
      <c r="AK83" s="10">
        <f>IFERROR(求节点(节奏总纲!R$4:R$363,AD$11:AD$370,$AC83),0)</f>
        <v>0</v>
      </c>
      <c r="AL83" s="10">
        <f>IFERROR(求节点(节奏总纲!S$4:S$363,AE$11:AE$370,$AC83),0)</f>
        <v>2460.2684823613577</v>
      </c>
      <c r="AM83" s="10">
        <f>IFERROR(求节点(节奏总纲!T$4:T$363,AF$11:AF$370,$AC83),0)</f>
        <v>4702.1514666067651</v>
      </c>
      <c r="AN83" s="10">
        <f>IFERROR(求节点(节奏总纲!U$4:U$363,AG$11:AG$370,$AC83),0)</f>
        <v>5945.237789469893</v>
      </c>
      <c r="AO83" s="10">
        <f>IFERROR(求节点(节奏总纲!V$4:V$363,AH$11:AH$370,$AC83),0)</f>
        <v>3473.8563231419853</v>
      </c>
      <c r="AZ83" s="10">
        <v>73</v>
      </c>
      <c r="BA83" s="10">
        <f t="shared" si="44"/>
        <v>561866.66666666663</v>
      </c>
      <c r="BB83" s="10">
        <f t="shared" si="45"/>
        <v>842800</v>
      </c>
      <c r="BC83" s="10">
        <f t="shared" si="46"/>
        <v>1123733.3333333333</v>
      </c>
      <c r="BD83" s="10">
        <f t="shared" si="47"/>
        <v>1404666.6666666667</v>
      </c>
      <c r="BE83" s="10">
        <f t="shared" si="48"/>
        <v>1685600</v>
      </c>
      <c r="BG83" s="10">
        <v>73</v>
      </c>
      <c r="BH83" s="10">
        <f>MAX(节奏总纲!D76-$C$7,0)*C$22*$C$8*($AV$6+$AV$22)/30</f>
        <v>1654063.4027998173</v>
      </c>
      <c r="BI83" s="10">
        <f>MAX(节奏总纲!E76-$C$7,0)*D$22*$C$8*($AV$6+$AV$22)/30</f>
        <v>2066153.4461119226</v>
      </c>
      <c r="BJ83" s="10">
        <f>MAX(节奏总纲!F76-$C$7,0)*E$22*$C$8*($AV$6+$AV$22)/30</f>
        <v>2105859.9501144616</v>
      </c>
      <c r="BK83" s="10">
        <f>MAX(节奏总纲!G76-$C$7,0)*F$22*$C$8*($AV$6+$AV$22)/30</f>
        <v>1664536.9481187637</v>
      </c>
      <c r="BL83" s="10">
        <f>MAX(节奏总纲!H76-$C$7,0)*G$22*$C$8*($AV$6+$AV$22)/30</f>
        <v>583205.31372728269</v>
      </c>
      <c r="BX83" s="10">
        <v>73</v>
      </c>
      <c r="BY83" s="10">
        <f t="shared" si="49"/>
        <v>28666.666666666668</v>
      </c>
      <c r="BZ83" s="10">
        <f t="shared" si="49"/>
        <v>43000</v>
      </c>
      <c r="CA83" s="10">
        <f t="shared" si="49"/>
        <v>57333.333333333336</v>
      </c>
      <c r="CB83" s="10">
        <f t="shared" si="49"/>
        <v>107500</v>
      </c>
      <c r="CC83" s="10">
        <f t="shared" si="49"/>
        <v>358333.33333333331</v>
      </c>
      <c r="CE83" s="10">
        <v>73</v>
      </c>
      <c r="CF83" s="10">
        <f>MAX(节奏总纲!D76-$C$7,0)*INDEX($BU$7:$BU$15,MATCH(BY$10,$BT$7:$BT$15,0))/30</f>
        <v>84390.989938766172</v>
      </c>
      <c r="CG83" s="10">
        <f>MAX(节奏总纲!E76-$C$7,0)*INDEX($BU$7:$BU$15,MATCH(BZ$10,$BT$7:$BT$15,0))/30</f>
        <v>105415.99214856749</v>
      </c>
      <c r="CH83" s="10">
        <f>MAX(节奏总纲!F76-$C$7,0)*INDEX($BU$7:$BU$15,MATCH(CA$10,$BT$7:$BT$15,0))/30</f>
        <v>107441.83418951336</v>
      </c>
      <c r="CI83" s="10">
        <f>MAX(节奏总纲!G76-$C$7,0)*INDEX($BU$7:$BU$15,MATCH(CB$10,$BT$7:$BT$15,0))/30</f>
        <v>127388.03174378295</v>
      </c>
      <c r="CJ83" s="10">
        <f>MAX(节奏总纲!H76-$C$7,0)*INDEX($BU$7:$BU$15,MATCH(CC$10,$BT$7:$BT$15,0))/30</f>
        <v>123980.72145562983</v>
      </c>
    </row>
    <row r="84" spans="15:88" x14ac:dyDescent="0.15">
      <c r="O84" s="2">
        <v>73</v>
      </c>
      <c r="P84" s="2">
        <f t="shared" si="40"/>
        <v>1460</v>
      </c>
      <c r="AC84" s="2">
        <v>74</v>
      </c>
      <c r="AD84" s="2">
        <f t="shared" si="50"/>
        <v>0</v>
      </c>
      <c r="AE84" s="2">
        <f t="shared" si="51"/>
        <v>1026.6666666666667</v>
      </c>
      <c r="AF84" s="2">
        <f t="shared" si="52"/>
        <v>2566.6666666666665</v>
      </c>
      <c r="AG84" s="2">
        <f t="shared" si="53"/>
        <v>5133.333333333333</v>
      </c>
      <c r="AH84" s="2">
        <f t="shared" si="54"/>
        <v>10266.666666666666</v>
      </c>
      <c r="AJ84" s="10">
        <v>74</v>
      </c>
      <c r="AK84" s="10">
        <f>IFERROR(求节点(节奏总纲!R$4:R$363,AD$11:AD$370,$AC84),0)</f>
        <v>0</v>
      </c>
      <c r="AL84" s="10">
        <f>IFERROR(求节点(节奏总纲!S$4:S$363,AE$11:AE$370,$AC84),0)</f>
        <v>2687.4262341347794</v>
      </c>
      <c r="AM84" s="10">
        <f>IFERROR(求节点(节奏总纲!T$4:T$363,AF$11:AF$370,$AC84),0)</f>
        <v>5175.1487513565189</v>
      </c>
      <c r="AN84" s="10">
        <f>IFERROR(求节点(节奏总纲!U$4:U$363,AG$11:AG$370,$AC84),0)</f>
        <v>6635.7248696750748</v>
      </c>
      <c r="AO84" s="10">
        <f>IFERROR(求节点(节奏总纲!V$4:V$363,AH$11:AH$370,$AC84),0)</f>
        <v>4242.4768335822073</v>
      </c>
      <c r="AZ84" s="10">
        <v>74</v>
      </c>
      <c r="BA84" s="10">
        <f t="shared" si="44"/>
        <v>574933.33333333337</v>
      </c>
      <c r="BB84" s="10">
        <f t="shared" si="45"/>
        <v>862400</v>
      </c>
      <c r="BC84" s="10">
        <f t="shared" si="46"/>
        <v>1149866.6666666667</v>
      </c>
      <c r="BD84" s="10">
        <f t="shared" si="47"/>
        <v>1437333.3333333333</v>
      </c>
      <c r="BE84" s="10">
        <f t="shared" si="48"/>
        <v>1724800</v>
      </c>
      <c r="BG84" s="10">
        <v>74</v>
      </c>
      <c r="BH84" s="10">
        <f>MAX(节奏总纲!D77-$C$7,0)*C$22*$C$8*($AV$6+$AV$22)/30</f>
        <v>1801854.2976980242</v>
      </c>
      <c r="BI84" s="10">
        <f>MAX(节奏总纲!E77-$C$7,0)*D$22*$C$8*($AV$6+$AV$22)/30</f>
        <v>2257209.6386845685</v>
      </c>
      <c r="BJ84" s="10">
        <f>MAX(节奏总纲!F77-$C$7,0)*E$22*$C$8*($AV$6+$AV$22)/30</f>
        <v>2318109.9769450063</v>
      </c>
      <c r="BK84" s="10">
        <f>MAX(节奏总纲!G77-$C$7,0)*F$22*$C$8*($AV$6+$AV$22)/30</f>
        <v>1857750.534072394</v>
      </c>
      <c r="BL84" s="10">
        <f>MAX(节奏总纲!H77-$C$7,0)*G$22*$C$8*($AV$6+$AV$22)/30</f>
        <v>712250.39402868936</v>
      </c>
      <c r="BX84" s="10">
        <v>74</v>
      </c>
      <c r="BY84" s="10">
        <f t="shared" si="49"/>
        <v>29333.333333333332</v>
      </c>
      <c r="BZ84" s="10">
        <f t="shared" si="49"/>
        <v>44000</v>
      </c>
      <c r="CA84" s="10">
        <f t="shared" si="49"/>
        <v>58666.666666666664</v>
      </c>
      <c r="CB84" s="10">
        <f t="shared" si="49"/>
        <v>110000</v>
      </c>
      <c r="CC84" s="10">
        <f t="shared" si="49"/>
        <v>366666.66666666669</v>
      </c>
      <c r="CE84" s="10">
        <v>74</v>
      </c>
      <c r="CF84" s="10">
        <f>MAX(节奏总纲!D77-$C$7,0)*INDEX($BU$7:$BU$15,MATCH(BY$10,$BT$7:$BT$15,0))/30</f>
        <v>91931.341719286953</v>
      </c>
      <c r="CG84" s="10">
        <f>MAX(节奏总纲!E77-$C$7,0)*INDEX($BU$7:$BU$15,MATCH(BZ$10,$BT$7:$BT$15,0))/30</f>
        <v>115163.75707574327</v>
      </c>
      <c r="CH84" s="10">
        <f>MAX(节奏总纲!F77-$C$7,0)*INDEX($BU$7:$BU$15,MATCH(CA$10,$BT$7:$BT$15,0))/30</f>
        <v>118270.91719107174</v>
      </c>
      <c r="CI84" s="10">
        <f>MAX(节奏总纲!G77-$C$7,0)*INDEX($BU$7:$BU$15,MATCH(CB$10,$BT$7:$BT$15,0))/30</f>
        <v>142174.78577084647</v>
      </c>
      <c r="CJ84" s="10">
        <f>MAX(节奏总纲!H77-$C$7,0)*INDEX($BU$7:$BU$15,MATCH(CC$10,$BT$7:$BT$15,0))/30</f>
        <v>151413.77424079282</v>
      </c>
    </row>
    <row r="85" spans="15:88" x14ac:dyDescent="0.15">
      <c r="O85" s="2">
        <v>74</v>
      </c>
      <c r="P85" s="2">
        <f t="shared" si="40"/>
        <v>1480</v>
      </c>
      <c r="AC85" s="2">
        <v>75</v>
      </c>
      <c r="AD85" s="2">
        <f t="shared" si="50"/>
        <v>0</v>
      </c>
      <c r="AE85" s="2">
        <f t="shared" si="51"/>
        <v>1050</v>
      </c>
      <c r="AF85" s="2">
        <f t="shared" si="52"/>
        <v>2625</v>
      </c>
      <c r="AG85" s="2">
        <f t="shared" si="53"/>
        <v>5250</v>
      </c>
      <c r="AH85" s="2">
        <f t="shared" si="54"/>
        <v>10500</v>
      </c>
      <c r="AJ85" s="10">
        <v>75</v>
      </c>
      <c r="AK85" s="10">
        <f>IFERROR(求节点(节奏总纲!R$4:R$363,AD$11:AD$370,$AC85),0)</f>
        <v>0</v>
      </c>
      <c r="AL85" s="10">
        <f>IFERROR(求节点(节奏总纲!S$4:S$363,AE$11:AE$370,$AC85),0)</f>
        <v>2934.4786969019647</v>
      </c>
      <c r="AM85" s="10">
        <f>IFERROR(求节点(节奏总纲!T$4:T$363,AF$11:AF$370,$AC85),0)</f>
        <v>5681.3088024153276</v>
      </c>
      <c r="AN85" s="10">
        <f>IFERROR(求节点(节奏总纲!U$4:U$363,AG$11:AG$370,$AC85),0)</f>
        <v>7376.4288373004774</v>
      </c>
      <c r="AO85" s="10">
        <f>IFERROR(求节点(节奏总纲!V$4:V$363,AH$11:AH$370,$AC85),0)</f>
        <v>5079.9326959967384</v>
      </c>
      <c r="AZ85" s="10">
        <v>75</v>
      </c>
      <c r="BA85" s="10">
        <f t="shared" si="44"/>
        <v>588000</v>
      </c>
      <c r="BB85" s="10">
        <f t="shared" si="45"/>
        <v>882000</v>
      </c>
      <c r="BC85" s="10">
        <f t="shared" si="46"/>
        <v>1176000</v>
      </c>
      <c r="BD85" s="10">
        <f t="shared" si="47"/>
        <v>1470000</v>
      </c>
      <c r="BE85" s="10">
        <f t="shared" si="48"/>
        <v>1764000</v>
      </c>
      <c r="BG85" s="10">
        <v>75</v>
      </c>
      <c r="BH85" s="10">
        <f>MAX(节奏总纲!D78-$C$7,0)*C$22*$C$8*($AV$6+$AV$22)/30</f>
        <v>1960252.6568544132</v>
      </c>
      <c r="BI85" s="10">
        <f>MAX(节奏总纲!E78-$C$7,0)*D$22*$C$8*($AV$6+$AV$22)/30</f>
        <v>2464753.4980656574</v>
      </c>
      <c r="BJ85" s="10">
        <f>MAX(节奏总纲!F78-$C$7,0)*E$22*$C$8*($AV$6+$AV$22)/30</f>
        <v>2544907.9599803658</v>
      </c>
      <c r="BK85" s="10">
        <f>MAX(节奏总纲!G78-$C$7,0)*F$22*$C$8*($AV$6+$AV$22)/30</f>
        <v>2064991.0642980384</v>
      </c>
      <c r="BL85" s="10">
        <f>MAX(节奏总纲!H78-$C$7,0)*G$22*$C$8*($AV$6+$AV$22)/30</f>
        <v>852817.91653693118</v>
      </c>
      <c r="BX85" s="10">
        <v>75</v>
      </c>
      <c r="BY85" s="10">
        <f t="shared" si="49"/>
        <v>30000</v>
      </c>
      <c r="BZ85" s="10">
        <f t="shared" si="49"/>
        <v>45000</v>
      </c>
      <c r="CA85" s="10">
        <f t="shared" si="49"/>
        <v>60000</v>
      </c>
      <c r="CB85" s="10">
        <f t="shared" si="49"/>
        <v>112500</v>
      </c>
      <c r="CC85" s="10">
        <f t="shared" si="49"/>
        <v>375000</v>
      </c>
      <c r="CE85" s="10">
        <v>75</v>
      </c>
      <c r="CF85" s="10">
        <f>MAX(节奏总纲!D78-$C$7,0)*INDEX($BU$7:$BU$15,MATCH(BY$10,$BT$7:$BT$15,0))/30</f>
        <v>100012.89065583741</v>
      </c>
      <c r="CG85" s="10">
        <f>MAX(节奏总纲!E78-$C$7,0)*INDEX($BU$7:$BU$15,MATCH(BZ$10,$BT$7:$BT$15,0))/30</f>
        <v>125752.72949314579</v>
      </c>
      <c r="CH85" s="10">
        <f>MAX(节奏总纲!F78-$C$7,0)*INDEX($BU$7:$BU$15,MATCH(CA$10,$BT$7:$BT$15,0))/30</f>
        <v>129842.24285614111</v>
      </c>
      <c r="CI85" s="10">
        <f>MAX(节奏总纲!G78-$C$7,0)*INDEX($BU$7:$BU$15,MATCH(CB$10,$BT$7:$BT$15,0))/30</f>
        <v>158035.03043097231</v>
      </c>
      <c r="CJ85" s="10">
        <f>MAX(节奏总纲!H78-$C$7,0)*INDEX($BU$7:$BU$15,MATCH(CC$10,$BT$7:$BT$15,0))/30</f>
        <v>181296.32579441566</v>
      </c>
    </row>
    <row r="86" spans="15:88" x14ac:dyDescent="0.15">
      <c r="O86" s="2">
        <v>75</v>
      </c>
      <c r="P86" s="2">
        <f t="shared" si="40"/>
        <v>1500</v>
      </c>
      <c r="AC86" s="2">
        <v>76</v>
      </c>
      <c r="AD86" s="2">
        <f t="shared" si="50"/>
        <v>0</v>
      </c>
      <c r="AE86" s="2">
        <f t="shared" si="51"/>
        <v>1073.3333333333333</v>
      </c>
      <c r="AF86" s="2">
        <f t="shared" si="52"/>
        <v>2683.3333333333335</v>
      </c>
      <c r="AG86" s="2">
        <f t="shared" si="53"/>
        <v>5366.666666666667</v>
      </c>
      <c r="AH86" s="2">
        <f t="shared" si="54"/>
        <v>10733.333333333334</v>
      </c>
      <c r="AJ86" s="10">
        <v>76</v>
      </c>
      <c r="AK86" s="10">
        <f>IFERROR(求节点(节奏总纲!R$4:R$363,AD$11:AD$370,$AC86),0)</f>
        <v>0</v>
      </c>
      <c r="AL86" s="10">
        <f>IFERROR(求节点(节奏总纲!S$4:S$363,AE$11:AE$370,$AC86),0)</f>
        <v>3196.114737934658</v>
      </c>
      <c r="AM86" s="10">
        <f>IFERROR(求节点(节奏总纲!T$4:T$363,AF$11:AF$370,$AC86),0)</f>
        <v>6214.8379989682608</v>
      </c>
      <c r="AN86" s="10">
        <f>IFERROR(求节点(节奏总纲!U$4:U$363,AG$11:AG$370,$AC86),0)</f>
        <v>8171.4450257599619</v>
      </c>
      <c r="AO86" s="10">
        <f>IFERROR(求节点(节奏总纲!V$4:V$363,AH$11:AH$370,$AC86),0)</f>
        <v>5987.8939741079193</v>
      </c>
      <c r="AZ86" s="10">
        <v>76</v>
      </c>
      <c r="BA86" s="10">
        <f t="shared" si="44"/>
        <v>601066.66666666663</v>
      </c>
      <c r="BB86" s="10">
        <f t="shared" si="45"/>
        <v>901600</v>
      </c>
      <c r="BC86" s="10">
        <f t="shared" si="46"/>
        <v>1202133.3333333333</v>
      </c>
      <c r="BD86" s="10">
        <f t="shared" si="47"/>
        <v>1502666.6666666667</v>
      </c>
      <c r="BE86" s="10">
        <f t="shared" si="48"/>
        <v>1803200</v>
      </c>
      <c r="BG86" s="10">
        <v>76</v>
      </c>
      <c r="BH86" s="10">
        <f>MAX(节奏总纲!D79-$C$7,0)*C$22*$C$8*($AV$6+$AV$22)/30</f>
        <v>2130019.8147075241</v>
      </c>
      <c r="BI86" s="10">
        <f>MAX(节奏总纲!E79-$C$7,0)*D$22*$C$8*($AV$6+$AV$22)/30</f>
        <v>2684699.0125552183</v>
      </c>
      <c r="BJ86" s="10">
        <f>MAX(节奏总纲!F79-$C$7,0)*E$22*$C$8*($AV$6+$AV$22)/30</f>
        <v>2783649.2298852638</v>
      </c>
      <c r="BK86" s="10">
        <f>MAX(节奏总纲!G79-$C$7,0)*F$22*$C$8*($AV$6+$AV$22)/30</f>
        <v>2287907.1749072741</v>
      </c>
      <c r="BL86" s="10">
        <f>MAX(节奏总纲!H79-$C$7,0)*G$22*$C$8*($AV$6+$AV$22)/30</f>
        <v>1006051.5436849495</v>
      </c>
      <c r="BX86" s="10">
        <v>76</v>
      </c>
      <c r="BY86" s="10">
        <f t="shared" si="49"/>
        <v>30666.666666666668</v>
      </c>
      <c r="BZ86" s="10">
        <f t="shared" si="49"/>
        <v>46000</v>
      </c>
      <c r="CA86" s="10">
        <f t="shared" si="49"/>
        <v>61333.333333333336</v>
      </c>
      <c r="CB86" s="10">
        <f t="shared" si="49"/>
        <v>115000</v>
      </c>
      <c r="CC86" s="10">
        <f t="shared" si="49"/>
        <v>383333.33333333331</v>
      </c>
      <c r="CE86" s="10">
        <v>76</v>
      </c>
      <c r="CF86" s="10">
        <f>MAX(节奏总纲!D79-$C$7,0)*INDEX($BU$7:$BU$15,MATCH(BY$10,$BT$7:$BT$15,0))/30</f>
        <v>108674.4803422206</v>
      </c>
      <c r="CG86" s="10">
        <f>MAX(节奏总纲!E79-$C$7,0)*INDEX($BU$7:$BU$15,MATCH(BZ$10,$BT$7:$BT$15,0))/30</f>
        <v>136974.43941608255</v>
      </c>
      <c r="CH86" s="10">
        <f>MAX(节奏总纲!F79-$C$7,0)*INDEX($BU$7:$BU$15,MATCH(CA$10,$BT$7:$BT$15,0))/30</f>
        <v>142022.91989210527</v>
      </c>
      <c r="CI86" s="10">
        <f>MAX(节奏总纲!G79-$C$7,0)*INDEX($BU$7:$BU$15,MATCH(CB$10,$BT$7:$BT$15,0))/30</f>
        <v>175094.93685514852</v>
      </c>
      <c r="CJ86" s="10">
        <f>MAX(节奏总纲!H79-$C$7,0)*INDEX($BU$7:$BU$15,MATCH(CC$10,$BT$7:$BT$15,0))/30</f>
        <v>213871.50163370525</v>
      </c>
    </row>
    <row r="87" spans="15:88" x14ac:dyDescent="0.15">
      <c r="O87" s="2">
        <v>76</v>
      </c>
      <c r="P87" s="2">
        <f t="shared" si="40"/>
        <v>1520</v>
      </c>
      <c r="AC87" s="2">
        <v>77</v>
      </c>
      <c r="AD87" s="2">
        <f t="shared" si="50"/>
        <v>0</v>
      </c>
      <c r="AE87" s="2">
        <f t="shared" si="51"/>
        <v>1096.6666666666667</v>
      </c>
      <c r="AF87" s="2">
        <f t="shared" si="52"/>
        <v>2741.6666666666665</v>
      </c>
      <c r="AG87" s="2">
        <f t="shared" si="53"/>
        <v>5483.333333333333</v>
      </c>
      <c r="AH87" s="2">
        <f t="shared" si="54"/>
        <v>10966.666666666666</v>
      </c>
      <c r="AJ87" s="10">
        <v>77</v>
      </c>
      <c r="AK87" s="10">
        <f>IFERROR(求节点(节奏总纲!R$4:R$363,AD$11:AD$370,$AC87),0)</f>
        <v>0</v>
      </c>
      <c r="AL87" s="10">
        <f>IFERROR(求节点(节奏总纲!S$4:S$363,AE$11:AE$370,$AC87),0)</f>
        <v>3479.7272133265369</v>
      </c>
      <c r="AM87" s="10">
        <f>IFERROR(求节点(节奏总纲!T$4:T$363,AF$11:AF$370,$AC87),0)</f>
        <v>6798.6497595691862</v>
      </c>
      <c r="AN87" s="10">
        <f>IFERROR(求节点(节奏总纲!U$4:U$363,AG$11:AG$370,$AC87),0)</f>
        <v>9033.8011240125925</v>
      </c>
      <c r="AO87" s="10">
        <f>IFERROR(求节点(节奏总纲!V$4:V$363,AH$11:AH$370,$AC87),0)</f>
        <v>6895.2097513493236</v>
      </c>
      <c r="AZ87" s="10">
        <v>77</v>
      </c>
      <c r="BA87" s="10">
        <f t="shared" si="44"/>
        <v>614133.33333333337</v>
      </c>
      <c r="BB87" s="10">
        <f t="shared" si="45"/>
        <v>921200</v>
      </c>
      <c r="BC87" s="10">
        <f t="shared" si="46"/>
        <v>1228266.6666666667</v>
      </c>
      <c r="BD87" s="10">
        <f t="shared" si="47"/>
        <v>1535333.3333333333</v>
      </c>
      <c r="BE87" s="10">
        <f t="shared" si="48"/>
        <v>1842400</v>
      </c>
      <c r="BG87" s="10">
        <v>77</v>
      </c>
      <c r="BH87" s="10">
        <f>MAX(节奏总纲!D80-$C$7,0)*C$22*$C$8*($AV$6+$AV$22)/30</f>
        <v>2311971.7493046978</v>
      </c>
      <c r="BI87" s="10">
        <f>MAX(节奏总纲!E80-$C$7,0)*D$22*$C$8*($AV$6+$AV$22)/30</f>
        <v>2922836.9192972193</v>
      </c>
      <c r="BJ87" s="10">
        <f>MAX(节奏总纲!F80-$C$7,0)*E$22*$C$8*($AV$6+$AV$22)/30</f>
        <v>3045364.7913653124</v>
      </c>
      <c r="BK87" s="10">
        <f>MAX(节奏总纲!G80-$C$7,0)*F$22*$C$8*($AV$6+$AV$22)/30</f>
        <v>2529079.3376601716</v>
      </c>
      <c r="BL87" s="10">
        <f>MAX(节奏总纲!H80-$C$7,0)*G$22*$C$8*($AV$6+$AV$22)/30</f>
        <v>1157798.0168248848</v>
      </c>
      <c r="BX87" s="10">
        <v>77</v>
      </c>
      <c r="BY87" s="10">
        <f t="shared" si="49"/>
        <v>31333.333333333332</v>
      </c>
      <c r="BZ87" s="10">
        <f t="shared" si="49"/>
        <v>47000</v>
      </c>
      <c r="CA87" s="10">
        <f t="shared" si="49"/>
        <v>62666.666666666664</v>
      </c>
      <c r="CB87" s="10">
        <f t="shared" si="49"/>
        <v>117500</v>
      </c>
      <c r="CC87" s="10">
        <f t="shared" si="49"/>
        <v>391666.66666666669</v>
      </c>
      <c r="CE87" s="10">
        <v>77</v>
      </c>
      <c r="CF87" s="10">
        <f>MAX(节奏总纲!D80-$C$7,0)*INDEX($BU$7:$BU$15,MATCH(BY$10,$BT$7:$BT$15,0))/30</f>
        <v>117957.74231146417</v>
      </c>
      <c r="CG87" s="10">
        <f>MAX(节奏总纲!E80-$C$7,0)*INDEX($BU$7:$BU$15,MATCH(BZ$10,$BT$7:$BT$15,0))/30</f>
        <v>149124.33261720507</v>
      </c>
      <c r="CH87" s="10">
        <f>MAX(节奏总纲!F80-$C$7,0)*INDEX($BU$7:$BU$15,MATCH(CA$10,$BT$7:$BT$15,0))/30</f>
        <v>155375.75466149554</v>
      </c>
      <c r="CI87" s="10">
        <f>MAX(节奏总纲!G80-$C$7,0)*INDEX($BU$7:$BU$15,MATCH(CB$10,$BT$7:$BT$15,0))/30</f>
        <v>193551.99012705396</v>
      </c>
      <c r="CJ87" s="10">
        <f>MAX(节奏总纲!H80-$C$7,0)*INDEX($BU$7:$BU$15,MATCH(CC$10,$BT$7:$BT$15,0))/30</f>
        <v>246130.53078760306</v>
      </c>
    </row>
    <row r="88" spans="15:88" x14ac:dyDescent="0.15">
      <c r="O88" s="2">
        <v>77</v>
      </c>
      <c r="P88" s="2">
        <f t="shared" si="40"/>
        <v>1540</v>
      </c>
      <c r="AC88" s="2">
        <v>78</v>
      </c>
      <c r="AD88" s="2">
        <f t="shared" si="50"/>
        <v>0</v>
      </c>
      <c r="AE88" s="2">
        <f t="shared" si="51"/>
        <v>1120</v>
      </c>
      <c r="AF88" s="2">
        <f t="shared" si="52"/>
        <v>2800</v>
      </c>
      <c r="AG88" s="2">
        <f t="shared" si="53"/>
        <v>5600</v>
      </c>
      <c r="AH88" s="2">
        <f t="shared" si="54"/>
        <v>11200</v>
      </c>
      <c r="AJ88" s="10">
        <v>78</v>
      </c>
      <c r="AK88" s="10">
        <f>IFERROR(求节点(节奏总纲!R$4:R$363,AD$11:AD$370,$AC88),0)</f>
        <v>0</v>
      </c>
      <c r="AL88" s="10">
        <f>IFERROR(求节点(节奏总纲!S$4:S$363,AE$11:AE$370,$AC88),0)</f>
        <v>3781.0818901036832</v>
      </c>
      <c r="AM88" s="10">
        <f>IFERROR(求节点(节奏总纲!T$4:T$363,AF$11:AF$370,$AC88),0)</f>
        <v>7422.6833804429007</v>
      </c>
      <c r="AN88" s="10">
        <f>IFERROR(求节点(节奏总纲!U$4:U$363,AG$11:AG$370,$AC88),0)</f>
        <v>9936.686201165925</v>
      </c>
      <c r="AO88" s="10">
        <f>IFERROR(求节点(节奏总纲!V$4:V$363,AH$11:AH$370,$AC88),0)</f>
        <v>7856.4223725935262</v>
      </c>
      <c r="AZ88" s="10">
        <v>78</v>
      </c>
      <c r="BA88" s="10">
        <f t="shared" si="44"/>
        <v>627200</v>
      </c>
      <c r="BB88" s="10">
        <f t="shared" si="45"/>
        <v>940800</v>
      </c>
      <c r="BC88" s="10">
        <f t="shared" si="46"/>
        <v>1254400</v>
      </c>
      <c r="BD88" s="10">
        <f t="shared" si="47"/>
        <v>1568000</v>
      </c>
      <c r="BE88" s="10">
        <f t="shared" si="48"/>
        <v>1881600</v>
      </c>
      <c r="BG88" s="10">
        <v>78</v>
      </c>
      <c r="BH88" s="10">
        <f>MAX(节奏总纲!D81-$C$7,0)*C$22*$C$8*($AV$6+$AV$22)/30</f>
        <v>2506983.0042630881</v>
      </c>
      <c r="BI88" s="10">
        <f>MAX(节奏总纲!E81-$C$7,0)*D$22*$C$8*($AV$6+$AV$22)/30</f>
        <v>3176039.5327351936</v>
      </c>
      <c r="BJ88" s="10">
        <f>MAX(节奏总纲!F81-$C$7,0)*E$22*$C$8*($AV$6+$AV$22)/30</f>
        <v>3325018.5102425008</v>
      </c>
      <c r="BK88" s="10">
        <f>MAX(节奏总纲!G81-$C$7,0)*F$22*$C$8*($AV$6+$AV$22)/30</f>
        <v>2782155.1937824222</v>
      </c>
      <c r="BL88" s="10">
        <f>MAX(节奏总纲!H81-$C$7,0)*G$22*$C$8*($AV$6+$AV$22)/30</f>
        <v>1319154.6717692395</v>
      </c>
      <c r="BX88" s="10">
        <v>78</v>
      </c>
      <c r="BY88" s="10">
        <f t="shared" si="49"/>
        <v>32000</v>
      </c>
      <c r="BZ88" s="10">
        <f t="shared" si="49"/>
        <v>48000</v>
      </c>
      <c r="CA88" s="10">
        <f t="shared" si="49"/>
        <v>64000</v>
      </c>
      <c r="CB88" s="10">
        <f t="shared" si="49"/>
        <v>120000</v>
      </c>
      <c r="CC88" s="10">
        <f t="shared" si="49"/>
        <v>400000</v>
      </c>
      <c r="CE88" s="10">
        <v>78</v>
      </c>
      <c r="CF88" s="10">
        <f>MAX(节奏总纲!D81-$C$7,0)*INDEX($BU$7:$BU$15,MATCH(BY$10,$BT$7:$BT$15,0))/30</f>
        <v>127907.29613587183</v>
      </c>
      <c r="CG88" s="10">
        <f>MAX(节奏总纲!E81-$C$7,0)*INDEX($BU$7:$BU$15,MATCH(BZ$10,$BT$7:$BT$15,0))/30</f>
        <v>162042.833302816</v>
      </c>
      <c r="CH88" s="10">
        <f>MAX(节奏总纲!F81-$C$7,0)*INDEX($BU$7:$BU$15,MATCH(CA$10,$BT$7:$BT$15,0))/30</f>
        <v>169643.80154298473</v>
      </c>
      <c r="CI88" s="10">
        <f>MAX(节奏总纲!G81-$C$7,0)*INDEX($BU$7:$BU$15,MATCH(CB$10,$BT$7:$BT$15,0))/30</f>
        <v>212920.04034049151</v>
      </c>
      <c r="CJ88" s="10">
        <f>MAX(节奏总纲!H81-$C$7,0)*INDEX($BU$7:$BU$15,MATCH(CC$10,$BT$7:$BT$15,0))/30</f>
        <v>280432.54076727031</v>
      </c>
    </row>
    <row r="89" spans="15:88" x14ac:dyDescent="0.15">
      <c r="O89" s="2">
        <v>78</v>
      </c>
      <c r="P89" s="2">
        <f t="shared" si="40"/>
        <v>1560</v>
      </c>
      <c r="AC89" s="2">
        <v>79</v>
      </c>
      <c r="AD89" s="2">
        <f t="shared" si="50"/>
        <v>0</v>
      </c>
      <c r="AE89" s="2">
        <f t="shared" si="51"/>
        <v>1143.3333333333333</v>
      </c>
      <c r="AF89" s="2">
        <f t="shared" si="52"/>
        <v>2858.3333333333335</v>
      </c>
      <c r="AG89" s="2">
        <f t="shared" si="53"/>
        <v>5716.666666666667</v>
      </c>
      <c r="AH89" s="2">
        <f t="shared" si="54"/>
        <v>11433.333333333334</v>
      </c>
      <c r="AJ89" s="10">
        <v>79</v>
      </c>
      <c r="AK89" s="10">
        <f>IFERROR(求节点(节奏总纲!R$4:R$363,AD$11:AD$370,$AC89),0)</f>
        <v>0</v>
      </c>
      <c r="AL89" s="10">
        <f>IFERROR(求节点(节奏总纲!S$4:S$363,AE$11:AE$370,$AC89),0)</f>
        <v>4108.6223838921396</v>
      </c>
      <c r="AM89" s="10">
        <f>IFERROR(求节点(节奏总纲!T$4:T$363,AF$11:AF$370,$AC89),0)</f>
        <v>8092.9923934502185</v>
      </c>
      <c r="AN89" s="10">
        <f>IFERROR(求节点(节奏总纲!U$4:U$363,AG$11:AG$370,$AC89),0)</f>
        <v>10864.124749951745</v>
      </c>
      <c r="AO89" s="10">
        <f>IFERROR(求节点(节奏总纲!V$4:V$363,AH$11:AH$370,$AC89),0)</f>
        <v>8896.1817394610807</v>
      </c>
      <c r="AZ89" s="10">
        <v>79</v>
      </c>
      <c r="BA89" s="10">
        <f t="shared" si="44"/>
        <v>640266.66666666663</v>
      </c>
      <c r="BB89" s="10">
        <f t="shared" si="45"/>
        <v>960400</v>
      </c>
      <c r="BC89" s="10">
        <f t="shared" si="46"/>
        <v>1280533.3333333333</v>
      </c>
      <c r="BD89" s="10">
        <f t="shared" si="47"/>
        <v>1600666.6666666667</v>
      </c>
      <c r="BE89" s="10">
        <f t="shared" si="48"/>
        <v>1920800</v>
      </c>
      <c r="BG89" s="10">
        <v>79</v>
      </c>
      <c r="BH89" s="10">
        <f>MAX(节奏总纲!D82-$C$7,0)*C$22*$C$8*($AV$6+$AV$22)/30</f>
        <v>2715990.8922233894</v>
      </c>
      <c r="BI89" s="10">
        <f>MAX(节奏总纲!E82-$C$7,0)*D$22*$C$8*($AV$6+$AV$22)/30</f>
        <v>3451144.963533516</v>
      </c>
      <c r="BJ89" s="10">
        <f>MAX(节奏总纲!F82-$C$7,0)*E$22*$C$8*($AV$6+$AV$22)/30</f>
        <v>3625617.4778865445</v>
      </c>
      <c r="BK89" s="10">
        <f>MAX(节奏总纲!G82-$C$7,0)*F$22*$C$8*($AV$6+$AV$22)/30</f>
        <v>3041740.214537065</v>
      </c>
      <c r="BL89" s="10">
        <f>MAX(节奏总纲!H82-$C$7,0)*G$22*$C$8*($AV$6+$AV$22)/30</f>
        <v>1494385.7745983356</v>
      </c>
      <c r="BX89" s="10">
        <v>79</v>
      </c>
      <c r="BY89" s="10">
        <f t="shared" si="49"/>
        <v>32666.666666666668</v>
      </c>
      <c r="BZ89" s="10">
        <f t="shared" si="49"/>
        <v>49000</v>
      </c>
      <c r="CA89" s="10">
        <f t="shared" si="49"/>
        <v>65333.333333333336</v>
      </c>
      <c r="CB89" s="10">
        <f t="shared" si="49"/>
        <v>122500</v>
      </c>
      <c r="CC89" s="10">
        <f t="shared" si="49"/>
        <v>408333.33333333331</v>
      </c>
      <c r="CE89" s="10">
        <v>79</v>
      </c>
      <c r="CF89" s="10">
        <f>MAX(节奏总纲!D82-$C$7,0)*INDEX($BU$7:$BU$15,MATCH(BY$10,$BT$7:$BT$15,0))/30</f>
        <v>138570.96388894843</v>
      </c>
      <c r="CG89" s="10">
        <f>MAX(节奏总纲!E82-$C$7,0)*INDEX($BU$7:$BU$15,MATCH(BZ$10,$BT$7:$BT$15,0))/30</f>
        <v>176078.82467007736</v>
      </c>
      <c r="CH89" s="10">
        <f>MAX(节奏总纲!F82-$C$7,0)*INDEX($BU$7:$BU$15,MATCH(CA$10,$BT$7:$BT$15,0))/30</f>
        <v>184980.48356564005</v>
      </c>
      <c r="CI89" s="10">
        <f>MAX(节奏总纲!G82-$C$7,0)*INDEX($BU$7:$BU$15,MATCH(CB$10,$BT$7:$BT$15,0))/30</f>
        <v>232786.24090844888</v>
      </c>
      <c r="CJ89" s="10">
        <f>MAX(节奏总纲!H82-$C$7,0)*INDEX($BU$7:$BU$15,MATCH(CC$10,$BT$7:$BT$15,0))/30</f>
        <v>317684.05072243529</v>
      </c>
    </row>
    <row r="90" spans="15:88" x14ac:dyDescent="0.15">
      <c r="O90" s="2">
        <v>79</v>
      </c>
      <c r="P90" s="2">
        <f t="shared" si="40"/>
        <v>1580</v>
      </c>
      <c r="AC90" s="2">
        <v>80</v>
      </c>
      <c r="AD90" s="2">
        <f t="shared" si="50"/>
        <v>0</v>
      </c>
      <c r="AE90" s="2">
        <f t="shared" si="51"/>
        <v>1166.6666666666667</v>
      </c>
      <c r="AF90" s="2">
        <f t="shared" si="52"/>
        <v>2916.6666666666665</v>
      </c>
      <c r="AG90" s="2">
        <f t="shared" si="53"/>
        <v>5833.333333333333</v>
      </c>
      <c r="AH90" s="2">
        <f t="shared" si="54"/>
        <v>11666.666666666666</v>
      </c>
      <c r="AJ90" s="10">
        <v>80</v>
      </c>
      <c r="AK90" s="10">
        <f>IFERROR(求节点(节奏总纲!R$4:R$363,AD$11:AD$370,$AC90),0)</f>
        <v>0</v>
      </c>
      <c r="AL90" s="10">
        <f>IFERROR(求节点(节奏总纲!S$4:S$363,AE$11:AE$370,$AC90),0)</f>
        <v>4458.6823599330401</v>
      </c>
      <c r="AM90" s="10">
        <f>IFERROR(求节点(节奏总纲!T$4:T$363,AF$11:AF$370,$AC90),0)</f>
        <v>8770.4099267685906</v>
      </c>
      <c r="AN90" s="10">
        <f>IFERROR(求节点(节奏总纲!U$4:U$363,AG$11:AG$370,$AC90),0)</f>
        <v>11853.287574780919</v>
      </c>
      <c r="AO90" s="10">
        <f>IFERROR(求节点(节奏总纲!V$4:V$363,AH$11:AH$370,$AC90),0)</f>
        <v>9984.7468096645607</v>
      </c>
      <c r="AZ90" s="10">
        <v>80</v>
      </c>
      <c r="BA90" s="10">
        <f t="shared" si="44"/>
        <v>653333.33333333337</v>
      </c>
      <c r="BB90" s="10">
        <f t="shared" si="45"/>
        <v>980000</v>
      </c>
      <c r="BC90" s="10">
        <f t="shared" si="46"/>
        <v>1306666.6666666667</v>
      </c>
      <c r="BD90" s="10">
        <f t="shared" si="47"/>
        <v>1633333.3333333333</v>
      </c>
      <c r="BE90" s="10">
        <f t="shared" si="48"/>
        <v>1960000</v>
      </c>
      <c r="BG90" s="10">
        <v>80</v>
      </c>
      <c r="BH90" s="10">
        <f>MAX(节奏总纲!D83-$C$7,0)*C$22*$C$8*($AV$6+$AV$22)/30</f>
        <v>2940000</v>
      </c>
      <c r="BI90" s="10">
        <f>MAX(节奏总纲!E83-$C$7,0)*D$22*$C$8*($AV$6+$AV$22)/30</f>
        <v>3745266</v>
      </c>
      <c r="BJ90" s="10">
        <f>MAX(节奏总纲!F83-$C$7,0)*E$22*$C$8*($AV$6+$AV$22)/30</f>
        <v>3928780.7999999998</v>
      </c>
      <c r="BK90" s="10">
        <f>MAX(节奏总纲!G83-$C$7,0)*F$22*$C$8*($AV$6+$AV$22)/30</f>
        <v>3318280.0000000005</v>
      </c>
      <c r="BL90" s="10">
        <f>MAX(节奏总纲!H83-$C$7,0)*G$22*$C$8*($AV$6+$AV$22)/30</f>
        <v>1676858.4</v>
      </c>
      <c r="BX90" s="10">
        <v>80</v>
      </c>
      <c r="BY90" s="10">
        <f t="shared" si="49"/>
        <v>33333.333333333336</v>
      </c>
      <c r="BZ90" s="10">
        <f t="shared" si="49"/>
        <v>50000</v>
      </c>
      <c r="CA90" s="10">
        <f t="shared" si="49"/>
        <v>66666.666666666672</v>
      </c>
      <c r="CB90" s="10">
        <f t="shared" si="49"/>
        <v>125000</v>
      </c>
      <c r="CC90" s="10">
        <f t="shared" si="49"/>
        <v>416666.66666666669</v>
      </c>
      <c r="CE90" s="10">
        <v>80</v>
      </c>
      <c r="CF90" s="10">
        <f>MAX(节奏总纲!D83-$C$7,0)*INDEX($BU$7:$BU$15,MATCH(BY$10,$BT$7:$BT$15,0))/30</f>
        <v>150000</v>
      </c>
      <c r="CG90" s="10">
        <f>MAX(节奏总纲!E83-$C$7,0)*INDEX($BU$7:$BU$15,MATCH(BZ$10,$BT$7:$BT$15,0))/30</f>
        <v>191085</v>
      </c>
      <c r="CH90" s="10">
        <f>MAX(节奏总纲!F83-$C$7,0)*INDEX($BU$7:$BU$15,MATCH(CA$10,$BT$7:$BT$15,0))/30</f>
        <v>200448.00000000003</v>
      </c>
      <c r="CI90" s="10">
        <f>MAX(节奏总纲!G83-$C$7,0)*INDEX($BU$7:$BU$15,MATCH(CB$10,$BT$7:$BT$15,0))/30</f>
        <v>253950.00000000003</v>
      </c>
      <c r="CJ90" s="10">
        <f>MAX(节奏总纲!H83-$C$7,0)*INDEX($BU$7:$BU$15,MATCH(CC$10,$BT$7:$BT$15,0))/30</f>
        <v>356475</v>
      </c>
    </row>
    <row r="91" spans="15:88" x14ac:dyDescent="0.15">
      <c r="O91" s="2">
        <v>80</v>
      </c>
      <c r="P91" s="2">
        <f t="shared" si="40"/>
        <v>1600</v>
      </c>
      <c r="AC91" s="2">
        <v>81</v>
      </c>
      <c r="AD91" s="2">
        <f t="shared" si="50"/>
        <v>0</v>
      </c>
      <c r="AE91" s="2">
        <f t="shared" si="51"/>
        <v>1190</v>
      </c>
      <c r="AF91" s="2">
        <f t="shared" si="52"/>
        <v>2975</v>
      </c>
      <c r="AG91" s="2">
        <f t="shared" si="53"/>
        <v>5950</v>
      </c>
      <c r="AH91" s="2">
        <f t="shared" si="54"/>
        <v>11900</v>
      </c>
      <c r="AJ91" s="10">
        <v>81</v>
      </c>
      <c r="AK91" s="10">
        <f>IFERROR(求节点(节奏总纲!R$4:R$363,AD$11:AD$370,$AC91),0)</f>
        <v>0</v>
      </c>
      <c r="AL91" s="10">
        <f>IFERROR(求节点(节奏总纲!S$4:S$363,AE$11:AE$370,$AC91),0)</f>
        <v>4815.5624710129978</v>
      </c>
      <c r="AM91" s="10">
        <f>IFERROR(求节点(节奏总纲!T$4:T$363,AF$11:AF$370,$AC91),0)</f>
        <v>9490.6368333538485</v>
      </c>
      <c r="AN91" s="10">
        <f>IFERROR(求节点(节奏总纲!U$4:U$363,AG$11:AG$370,$AC91),0)</f>
        <v>12923.915092840471</v>
      </c>
      <c r="AO91" s="10">
        <f>IFERROR(求节点(节奏总纲!V$4:V$363,AH$11:AH$370,$AC91),0)</f>
        <v>11168.192155768256</v>
      </c>
      <c r="AZ91" s="10">
        <v>81</v>
      </c>
      <c r="BA91" s="10">
        <f t="shared" si="44"/>
        <v>666400</v>
      </c>
      <c r="BB91" s="10">
        <f t="shared" si="45"/>
        <v>999600</v>
      </c>
      <c r="BC91" s="10">
        <f t="shared" si="46"/>
        <v>1332800</v>
      </c>
      <c r="BD91" s="10">
        <f t="shared" si="47"/>
        <v>1666000</v>
      </c>
      <c r="BE91" s="10">
        <f t="shared" si="48"/>
        <v>1999200</v>
      </c>
      <c r="BG91" s="10">
        <v>81</v>
      </c>
      <c r="BH91" s="10">
        <f>MAX(节奏总纲!D84-$C$7,0)*C$22*$C$8*($AV$6+$AV$22)/30</f>
        <v>3180087.0170814022</v>
      </c>
      <c r="BI91" s="10">
        <f>MAX(节奏总纲!E84-$C$7,0)*D$22*$C$8*($AV$6+$AV$22)/30</f>
        <v>4044639.6524528712</v>
      </c>
      <c r="BJ91" s="10">
        <f>MAX(节奏总纲!F84-$C$7,0)*E$22*$C$8*($AV$6+$AV$22)/30</f>
        <v>4251213.859277945</v>
      </c>
      <c r="BK91" s="10">
        <f>MAX(节奏总纲!G84-$C$7,0)*F$22*$C$8*($AV$6+$AV$22)/30</f>
        <v>3618169.0127380351</v>
      </c>
      <c r="BL91" s="10">
        <f>MAX(节奏总纲!H84-$C$7,0)*G$22*$C$8*($AV$6+$AV$22)/30</f>
        <v>1875991.1473943503</v>
      </c>
      <c r="BX91" s="10">
        <v>81</v>
      </c>
      <c r="BY91" s="10">
        <f t="shared" ref="BY91:CC100" si="55">MAX($BX91-$C$7,0)*INDEX($BU$7:$BU$15,MATCH(BY$10,$BT$7:$BT$15,0))/30</f>
        <v>34000</v>
      </c>
      <c r="BZ91" s="10">
        <f t="shared" si="55"/>
        <v>51000</v>
      </c>
      <c r="CA91" s="10">
        <f t="shared" si="55"/>
        <v>68000</v>
      </c>
      <c r="CB91" s="10">
        <f t="shared" si="55"/>
        <v>127500</v>
      </c>
      <c r="CC91" s="10">
        <f t="shared" si="55"/>
        <v>425000</v>
      </c>
      <c r="CE91" s="10">
        <v>81</v>
      </c>
      <c r="CF91" s="10">
        <f>MAX(节奏总纲!D84-$C$7,0)*INDEX($BU$7:$BU$15,MATCH(BY$10,$BT$7:$BT$15,0))/30</f>
        <v>162249.33760619399</v>
      </c>
      <c r="CG91" s="10">
        <f>MAX(节奏总纲!E84-$C$7,0)*INDEX($BU$7:$BU$15,MATCH(BZ$10,$BT$7:$BT$15,0))/30</f>
        <v>206359.16594147301</v>
      </c>
      <c r="CH91" s="10">
        <f>MAX(节奏总纲!F84-$C$7,0)*INDEX($BU$7:$BU$15,MATCH(CA$10,$BT$7:$BT$15,0))/30</f>
        <v>216898.66628969103</v>
      </c>
      <c r="CI91" s="10">
        <f>MAX(节奏总纲!G84-$C$7,0)*INDEX($BU$7:$BU$15,MATCH(CB$10,$BT$7:$BT$15,0))/30</f>
        <v>276900.68975035986</v>
      </c>
      <c r="CJ91" s="10">
        <f>MAX(节奏总纲!H84-$C$7,0)*INDEX($BU$7:$BU$15,MATCH(CC$10,$BT$7:$BT$15,0))/30</f>
        <v>398807.64187805064</v>
      </c>
    </row>
    <row r="92" spans="15:88" x14ac:dyDescent="0.15">
      <c r="O92" s="2">
        <v>81</v>
      </c>
      <c r="P92" s="2">
        <f t="shared" si="40"/>
        <v>1620</v>
      </c>
      <c r="AC92" s="2">
        <v>82</v>
      </c>
      <c r="AD92" s="2">
        <f t="shared" si="50"/>
        <v>0</v>
      </c>
      <c r="AE92" s="2">
        <f t="shared" si="51"/>
        <v>1213.3333333333333</v>
      </c>
      <c r="AF92" s="2">
        <f t="shared" si="52"/>
        <v>3033.3333333333335</v>
      </c>
      <c r="AG92" s="2">
        <f t="shared" si="53"/>
        <v>6066.666666666667</v>
      </c>
      <c r="AH92" s="2">
        <f t="shared" si="54"/>
        <v>12133.333333333334</v>
      </c>
      <c r="AJ92" s="10">
        <v>82</v>
      </c>
      <c r="AK92" s="10">
        <f>IFERROR(求节点(节奏总纲!R$4:R$363,AD$11:AD$370,$AC92),0)</f>
        <v>0</v>
      </c>
      <c r="AL92" s="10">
        <f>IFERROR(求节点(节奏总纲!S$4:S$363,AE$11:AE$370,$AC92),0)</f>
        <v>5207.1391518057644</v>
      </c>
      <c r="AM92" s="10">
        <f>IFERROR(求节点(节奏总纲!T$4:T$363,AF$11:AF$370,$AC92),0)</f>
        <v>10290.111494229643</v>
      </c>
      <c r="AN92" s="10">
        <f>IFERROR(求节点(节奏总纲!U$4:U$363,AG$11:AG$370,$AC92),0)</f>
        <v>14095.949520600079</v>
      </c>
      <c r="AO92" s="10">
        <f>IFERROR(求节点(节奏总纲!V$4:V$363,AH$11:AH$370,$AC92),0)</f>
        <v>12424.986522274317</v>
      </c>
      <c r="AZ92" s="10">
        <v>82</v>
      </c>
      <c r="BA92" s="10">
        <f t="shared" si="44"/>
        <v>679466.66666666663</v>
      </c>
      <c r="BB92" s="10">
        <f t="shared" si="45"/>
        <v>1019200</v>
      </c>
      <c r="BC92" s="10">
        <f t="shared" si="46"/>
        <v>1358933.3333333333</v>
      </c>
      <c r="BD92" s="10">
        <f t="shared" si="47"/>
        <v>1698666.6666666667</v>
      </c>
      <c r="BE92" s="10">
        <f t="shared" si="48"/>
        <v>2038400</v>
      </c>
      <c r="BG92" s="10">
        <v>82</v>
      </c>
      <c r="BH92" s="10">
        <f>MAX(节奏总纲!D85-$C$7,0)*C$22*$C$8*($AV$6+$AV$22)/30</f>
        <v>3437405.9106887449</v>
      </c>
      <c r="BI92" s="10">
        <f>MAX(节奏总纲!E85-$C$7,0)*D$22*$C$8*($AV$6+$AV$22)/30</f>
        <v>4373761.2384794066</v>
      </c>
      <c r="BJ92" s="10">
        <f>MAX(节奏总纲!F85-$C$7,0)*E$22*$C$8*($AV$6+$AV$22)/30</f>
        <v>4609335.2846140275</v>
      </c>
      <c r="BK92" s="10">
        <f>MAX(节奏总纲!G85-$C$7,0)*F$22*$C$8*($AV$6+$AV$22)/30</f>
        <v>3946530.7041010689</v>
      </c>
      <c r="BL92" s="10">
        <f>MAX(节奏总纲!H85-$C$7,0)*G$22*$C$8*($AV$6+$AV$22)/30</f>
        <v>2086653.8359068101</v>
      </c>
      <c r="BX92" s="10">
        <v>82</v>
      </c>
      <c r="BY92" s="10">
        <f t="shared" si="55"/>
        <v>34666.666666666664</v>
      </c>
      <c r="BZ92" s="10">
        <f t="shared" si="55"/>
        <v>52000</v>
      </c>
      <c r="CA92" s="10">
        <f t="shared" si="55"/>
        <v>69333.333333333328</v>
      </c>
      <c r="CB92" s="10">
        <f t="shared" si="55"/>
        <v>130000</v>
      </c>
      <c r="CC92" s="10">
        <f t="shared" si="55"/>
        <v>433333.33333333331</v>
      </c>
      <c r="CE92" s="10">
        <v>82</v>
      </c>
      <c r="CF92" s="10">
        <f>MAX(节奏总纲!D85-$C$7,0)*INDEX($BU$7:$BU$15,MATCH(BY$10,$BT$7:$BT$15,0))/30</f>
        <v>175377.85258616041</v>
      </c>
      <c r="CG92" s="10">
        <f>MAX(节奏总纲!E85-$C$7,0)*INDEX($BU$7:$BU$15,MATCH(BZ$10,$BT$7:$BT$15,0))/30</f>
        <v>223151.08359588808</v>
      </c>
      <c r="CH92" s="10">
        <f>MAX(节奏总纲!F85-$C$7,0)*INDEX($BU$7:$BU$15,MATCH(CA$10,$BT$7:$BT$15,0))/30</f>
        <v>235170.16758234837</v>
      </c>
      <c r="CI92" s="10">
        <f>MAX(节奏总纲!G85-$C$7,0)*INDEX($BU$7:$BU$15,MATCH(CB$10,$BT$7:$BT$15,0))/30</f>
        <v>302030.41102814302</v>
      </c>
      <c r="CJ92" s="10">
        <f>MAX(节奏总纲!H85-$C$7,0)*INDEX($BU$7:$BU$15,MATCH(CC$10,$BT$7:$BT$15,0))/30</f>
        <v>443591.37668086949</v>
      </c>
    </row>
    <row r="93" spans="15:88" x14ac:dyDescent="0.15">
      <c r="O93" s="2">
        <v>82</v>
      </c>
      <c r="P93" s="2">
        <f t="shared" si="40"/>
        <v>1640</v>
      </c>
      <c r="AC93" s="2">
        <v>83</v>
      </c>
      <c r="AD93" s="2">
        <f t="shared" si="50"/>
        <v>0</v>
      </c>
      <c r="AE93" s="2">
        <f t="shared" si="51"/>
        <v>1236.6666666666667</v>
      </c>
      <c r="AF93" s="2">
        <f t="shared" si="52"/>
        <v>3091.6666666666665</v>
      </c>
      <c r="AG93" s="2">
        <f t="shared" si="53"/>
        <v>6183.333333333333</v>
      </c>
      <c r="AH93" s="2">
        <f t="shared" si="54"/>
        <v>12366.666666666666</v>
      </c>
      <c r="AJ93" s="10">
        <v>83</v>
      </c>
      <c r="AK93" s="10">
        <f>IFERROR(求节点(节奏总纲!R$4:R$363,AD$11:AD$370,$AC93),0)</f>
        <v>0</v>
      </c>
      <c r="AL93" s="10">
        <f>IFERROR(求节点(节奏总纲!S$4:S$363,AE$11:AE$370,$AC93),0)</f>
        <v>5636.3301207265249</v>
      </c>
      <c r="AM93" s="10">
        <f>IFERROR(求节点(节奏总纲!T$4:T$363,AF$11:AF$370,$AC93),0)</f>
        <v>11174.530962839537</v>
      </c>
      <c r="AN93" s="10">
        <f>IFERROR(求节点(节奏总纲!U$4:U$363,AG$11:AG$370,$AC93),0)</f>
        <v>15352.514215311867</v>
      </c>
      <c r="AO93" s="10">
        <f>IFERROR(求节点(节奏总纲!V$4:V$363,AH$11:AH$370,$AC93),0)</f>
        <v>13814.830706307539</v>
      </c>
      <c r="AZ93" s="10">
        <v>83</v>
      </c>
      <c r="BA93" s="10">
        <f t="shared" si="44"/>
        <v>692533.33333333337</v>
      </c>
      <c r="BB93" s="10">
        <f t="shared" si="45"/>
        <v>1038800</v>
      </c>
      <c r="BC93" s="10">
        <f t="shared" si="46"/>
        <v>1385066.6666666667</v>
      </c>
      <c r="BD93" s="10">
        <f t="shared" si="47"/>
        <v>1731333.3333333333</v>
      </c>
      <c r="BE93" s="10">
        <f t="shared" si="48"/>
        <v>2077600</v>
      </c>
      <c r="BG93" s="10">
        <v>83</v>
      </c>
      <c r="BH93" s="10">
        <f>MAX(节奏总纲!D86-$C$7,0)*C$22*$C$8*($AV$6+$AV$22)/30</f>
        <v>3713193.4722663038</v>
      </c>
      <c r="BI93" s="10">
        <f>MAX(节奏总纲!E86-$C$7,0)*D$22*$C$8*($AV$6+$AV$22)/30</f>
        <v>4734178.0771196494</v>
      </c>
      <c r="BJ93" s="10">
        <f>MAX(节奏总纲!F86-$C$7,0)*E$22*$C$8*($AV$6+$AV$22)/30</f>
        <v>5005964.8732843958</v>
      </c>
      <c r="BK93" s="10">
        <f>MAX(节奏总纲!G86-$C$7,0)*F$22*$C$8*($AV$6+$AV$22)/30</f>
        <v>4298252.5069664</v>
      </c>
      <c r="BL93" s="10">
        <f>MAX(节奏总纲!H86-$C$7,0)*G$22*$C$8*($AV$6+$AV$22)/30</f>
        <v>2320393.2803292116</v>
      </c>
      <c r="BX93" s="10">
        <v>83</v>
      </c>
      <c r="BY93" s="10">
        <f t="shared" si="55"/>
        <v>35333.333333333336</v>
      </c>
      <c r="BZ93" s="10">
        <f t="shared" si="55"/>
        <v>53000</v>
      </c>
      <c r="CA93" s="10">
        <f t="shared" si="55"/>
        <v>70666.666666666672</v>
      </c>
      <c r="CB93" s="10">
        <f t="shared" si="55"/>
        <v>132500</v>
      </c>
      <c r="CC93" s="10">
        <f t="shared" si="55"/>
        <v>441666.66666666669</v>
      </c>
      <c r="CE93" s="10">
        <v>83</v>
      </c>
      <c r="CF93" s="10">
        <f>MAX(节奏总纲!D86-$C$7,0)*INDEX($BU$7:$BU$15,MATCH(BY$10,$BT$7:$BT$15,0))/30</f>
        <v>189448.64654419917</v>
      </c>
      <c r="CG93" s="10">
        <f>MAX(节奏总纲!E86-$C$7,0)*INDEX($BU$7:$BU$15,MATCH(BZ$10,$BT$7:$BT$15,0))/30</f>
        <v>241539.69781222701</v>
      </c>
      <c r="CH93" s="10">
        <f>MAX(节奏总纲!F86-$C$7,0)*INDEX($BU$7:$BU$15,MATCH(CA$10,$BT$7:$BT$15,0))/30</f>
        <v>255406.37108593856</v>
      </c>
      <c r="CI93" s="10">
        <f>MAX(节奏总纲!G86-$C$7,0)*INDEX($BU$7:$BU$15,MATCH(CB$10,$BT$7:$BT$15,0))/30</f>
        <v>328947.89594130614</v>
      </c>
      <c r="CJ93" s="10">
        <f>MAX(节奏总纲!H86-$C$7,0)*INDEX($BU$7:$BU$15,MATCH(CC$10,$BT$7:$BT$15,0))/30</f>
        <v>493280.88442372694</v>
      </c>
    </row>
    <row r="94" spans="15:88" x14ac:dyDescent="0.15">
      <c r="O94" s="2">
        <v>83</v>
      </c>
      <c r="P94" s="2">
        <f t="shared" si="40"/>
        <v>1660</v>
      </c>
      <c r="AC94" s="2">
        <v>84</v>
      </c>
      <c r="AD94" s="2">
        <f t="shared" si="50"/>
        <v>0</v>
      </c>
      <c r="AE94" s="2">
        <f t="shared" si="51"/>
        <v>1260</v>
      </c>
      <c r="AF94" s="2">
        <f t="shared" si="52"/>
        <v>3150</v>
      </c>
      <c r="AG94" s="2">
        <f t="shared" si="53"/>
        <v>6300</v>
      </c>
      <c r="AH94" s="2">
        <f t="shared" si="54"/>
        <v>12600</v>
      </c>
      <c r="AJ94" s="10">
        <v>84</v>
      </c>
      <c r="AK94" s="10">
        <f>IFERROR(求节点(节奏总纲!R$4:R$363,AD$11:AD$370,$AC94),0)</f>
        <v>0</v>
      </c>
      <c r="AL94" s="10">
        <f>IFERROR(求节点(节奏总纲!S$4:S$363,AE$11:AE$370,$AC94),0)</f>
        <v>6096.2213342842533</v>
      </c>
      <c r="AM94" s="10">
        <f>IFERROR(求节点(节奏总纲!T$4:T$363,AF$11:AF$370,$AC94),0)</f>
        <v>12091.50323335368</v>
      </c>
      <c r="AN94" s="10">
        <f>IFERROR(求节点(节奏总纲!U$4:U$363,AG$11:AG$370,$AC94),0)</f>
        <v>16680.943534390877</v>
      </c>
      <c r="AO94" s="10">
        <f>IFERROR(求节点(节奏总纲!V$4:V$363,AH$11:AH$370,$AC94),0)</f>
        <v>15321.606312772186</v>
      </c>
      <c r="AZ94" s="10">
        <v>84</v>
      </c>
      <c r="BA94" s="10">
        <f t="shared" si="44"/>
        <v>705600</v>
      </c>
      <c r="BB94" s="10">
        <f t="shared" si="45"/>
        <v>1058400</v>
      </c>
      <c r="BC94" s="10">
        <f t="shared" si="46"/>
        <v>1411200</v>
      </c>
      <c r="BD94" s="10">
        <f t="shared" si="47"/>
        <v>1764000</v>
      </c>
      <c r="BE94" s="10">
        <f t="shared" si="48"/>
        <v>2116800</v>
      </c>
      <c r="BG94" s="10">
        <v>84</v>
      </c>
      <c r="BH94" s="10">
        <f>MAX(节奏总纲!D87-$C$7,0)*C$22*$C$8*($AV$6+$AV$22)/30</f>
        <v>4008775.2620627149</v>
      </c>
      <c r="BI94" s="10">
        <f>MAX(节奏总纲!E87-$C$7,0)*D$22*$C$8*($AV$6+$AV$22)/30</f>
        <v>5120685.6699477546</v>
      </c>
      <c r="BJ94" s="10">
        <f>MAX(节奏总纲!F87-$C$7,0)*E$22*$C$8*($AV$6+$AV$22)/30</f>
        <v>5416692.3442463661</v>
      </c>
      <c r="BK94" s="10">
        <f>MAX(节奏总纲!G87-$C$7,0)*F$22*$C$8*($AV$6+$AV$22)/30</f>
        <v>4670595.436488525</v>
      </c>
      <c r="BL94" s="10">
        <f>MAX(节奏总纲!H87-$C$7,0)*G$22*$C$8*($AV$6+$AV$22)/30</f>
        <v>2573460.5232774331</v>
      </c>
      <c r="BX94" s="10">
        <v>84</v>
      </c>
      <c r="BY94" s="10">
        <f t="shared" si="55"/>
        <v>36000</v>
      </c>
      <c r="BZ94" s="10">
        <f t="shared" si="55"/>
        <v>54000</v>
      </c>
      <c r="CA94" s="10">
        <f t="shared" si="55"/>
        <v>72000</v>
      </c>
      <c r="CB94" s="10">
        <f t="shared" si="55"/>
        <v>135000</v>
      </c>
      <c r="CC94" s="10">
        <f t="shared" si="55"/>
        <v>450000</v>
      </c>
      <c r="CE94" s="10">
        <v>84</v>
      </c>
      <c r="CF94" s="10">
        <f>MAX(节奏总纲!D87-$C$7,0)*INDEX($BU$7:$BU$15,MATCH(BY$10,$BT$7:$BT$15,0))/30</f>
        <v>204529.35010524056</v>
      </c>
      <c r="CG94" s="10">
        <f>MAX(节奏总纲!E87-$C$7,0)*INDEX($BU$7:$BU$15,MATCH(BZ$10,$BT$7:$BT$15,0))/30</f>
        <v>261259.47295651809</v>
      </c>
      <c r="CH94" s="10">
        <f>MAX(节奏总纲!F87-$C$7,0)*INDEX($BU$7:$BU$15,MATCH(CA$10,$BT$7:$BT$15,0))/30</f>
        <v>276361.85429828399</v>
      </c>
      <c r="CI94" s="10">
        <f>MAX(节奏总纲!G87-$C$7,0)*INDEX($BU$7:$BU$15,MATCH(CB$10,$BT$7:$BT$15,0))/30</f>
        <v>357443.52830269333</v>
      </c>
      <c r="CJ94" s="10">
        <f>MAX(节奏总纲!H87-$C$7,0)*INDEX($BU$7:$BU$15,MATCH(CC$10,$BT$7:$BT$15,0))/30</f>
        <v>547079.19287360401</v>
      </c>
    </row>
    <row r="95" spans="15:88" x14ac:dyDescent="0.15">
      <c r="O95" s="2">
        <v>84</v>
      </c>
      <c r="P95" s="2">
        <f t="shared" si="40"/>
        <v>1680</v>
      </c>
      <c r="AC95" s="2">
        <v>85</v>
      </c>
      <c r="AD95" s="2">
        <f t="shared" si="50"/>
        <v>0</v>
      </c>
      <c r="AE95" s="2">
        <f t="shared" si="51"/>
        <v>1283.3333333333333</v>
      </c>
      <c r="AF95" s="2">
        <f t="shared" si="52"/>
        <v>3208.3333333333335</v>
      </c>
      <c r="AG95" s="2">
        <f t="shared" si="53"/>
        <v>6416.666666666667</v>
      </c>
      <c r="AH95" s="2">
        <f t="shared" si="54"/>
        <v>12833.333333333334</v>
      </c>
      <c r="AJ95" s="10">
        <v>85</v>
      </c>
      <c r="AK95" s="10">
        <f>IFERROR(求节点(节奏总纲!R$4:R$363,AD$11:AD$370,$AC95),0)</f>
        <v>0</v>
      </c>
      <c r="AL95" s="10">
        <f>IFERROR(求节点(节奏总纲!S$4:S$363,AE$11:AE$370,$AC95),0)</f>
        <v>6573.8774327227256</v>
      </c>
      <c r="AM95" s="10">
        <f>IFERROR(求节点(节奏总纲!T$4:T$363,AF$11:AF$370,$AC95),0)</f>
        <v>13062.312762113335</v>
      </c>
      <c r="AN95" s="10">
        <f>IFERROR(求节点(节奏总纲!U$4:U$363,AG$11:AG$370,$AC95),0)</f>
        <v>18152.911795628119</v>
      </c>
      <c r="AO95" s="10">
        <f>IFERROR(求节点(节奏总纲!V$4:V$363,AH$11:AH$370,$AC95),0)</f>
        <v>16920.686274755015</v>
      </c>
      <c r="AZ95" s="10">
        <v>85</v>
      </c>
      <c r="BA95" s="10">
        <f t="shared" si="44"/>
        <v>718666.66666666663</v>
      </c>
      <c r="BB95" s="10">
        <f t="shared" si="45"/>
        <v>1078000</v>
      </c>
      <c r="BC95" s="10">
        <f t="shared" si="46"/>
        <v>1437333.3333333333</v>
      </c>
      <c r="BD95" s="10">
        <f t="shared" si="47"/>
        <v>1796666.6666666667</v>
      </c>
      <c r="BE95" s="10">
        <f t="shared" si="48"/>
        <v>2156000</v>
      </c>
      <c r="BG95" s="10">
        <v>85</v>
      </c>
      <c r="BH95" s="10">
        <f>MAX(节奏总纲!D88-$C$7,0)*C$22*$C$8*($AV$6+$AV$22)/30</f>
        <v>4325571.9803754939</v>
      </c>
      <c r="BI95" s="10">
        <f>MAX(节奏总纲!E88-$C$7,0)*D$22*$C$8*($AV$6+$AV$22)/30</f>
        <v>5521727.471784302</v>
      </c>
      <c r="BJ95" s="10">
        <f>MAX(节奏总纲!F88-$C$7,0)*E$22*$C$8*($AV$6+$AV$22)/30</f>
        <v>5851736.7475961708</v>
      </c>
      <c r="BK95" s="10">
        <f>MAX(节奏总纲!G88-$C$7,0)*F$22*$C$8*($AV$6+$AV$22)/30</f>
        <v>5082079.9947825093</v>
      </c>
      <c r="BL95" s="10">
        <f>MAX(节奏总纲!H88-$C$7,0)*G$22*$C$8*($AV$6+$AV$22)/30</f>
        <v>2843371.3272799207</v>
      </c>
      <c r="BX95" s="10">
        <v>85</v>
      </c>
      <c r="BY95" s="10">
        <f t="shared" si="55"/>
        <v>36666.666666666664</v>
      </c>
      <c r="BZ95" s="10">
        <f t="shared" si="55"/>
        <v>55000</v>
      </c>
      <c r="CA95" s="10">
        <f t="shared" si="55"/>
        <v>73333.333333333328</v>
      </c>
      <c r="CB95" s="10">
        <f t="shared" si="55"/>
        <v>137500</v>
      </c>
      <c r="CC95" s="10">
        <f t="shared" si="55"/>
        <v>458333.33333333331</v>
      </c>
      <c r="CE95" s="10">
        <v>85</v>
      </c>
      <c r="CF95" s="10">
        <f>MAX(节奏总纲!D88-$C$7,0)*INDEX($BU$7:$BU$15,MATCH(BY$10,$BT$7:$BT$15,0))/30</f>
        <v>220692.44797834154</v>
      </c>
      <c r="CG95" s="10">
        <f>MAX(节奏总纲!E88-$C$7,0)*INDEX($BU$7:$BU$15,MATCH(BZ$10,$BT$7:$BT$15,0))/30</f>
        <v>281720.78937675006</v>
      </c>
      <c r="CH95" s="10">
        <f>MAX(节奏总纲!F88-$C$7,0)*INDEX($BU$7:$BU$15,MATCH(CA$10,$BT$7:$BT$15,0))/30</f>
        <v>298557.99732633523</v>
      </c>
      <c r="CI95" s="10">
        <f>MAX(节奏总纲!G88-$C$7,0)*INDEX($BU$7:$BU$15,MATCH(CB$10,$BT$7:$BT$15,0))/30</f>
        <v>388934.69347825332</v>
      </c>
      <c r="CJ95" s="10">
        <f>MAX(节奏总纲!H88-$C$7,0)*INDEX($BU$7:$BU$15,MATCH(CC$10,$BT$7:$BT$15,0))/30</f>
        <v>604458.19032311242</v>
      </c>
    </row>
    <row r="96" spans="15:88" x14ac:dyDescent="0.15">
      <c r="O96" s="2">
        <v>85</v>
      </c>
      <c r="P96" s="2">
        <f t="shared" si="40"/>
        <v>1700</v>
      </c>
      <c r="AC96" s="2">
        <v>86</v>
      </c>
      <c r="AD96" s="2">
        <f t="shared" si="50"/>
        <v>0</v>
      </c>
      <c r="AE96" s="2">
        <f t="shared" si="51"/>
        <v>1306.6666666666667</v>
      </c>
      <c r="AF96" s="2">
        <f t="shared" si="52"/>
        <v>3266.6666666666665</v>
      </c>
      <c r="AG96" s="2">
        <f t="shared" si="53"/>
        <v>6533.333333333333</v>
      </c>
      <c r="AH96" s="2">
        <f t="shared" si="54"/>
        <v>13066.666666666666</v>
      </c>
      <c r="AJ96" s="10">
        <v>86</v>
      </c>
      <c r="AK96" s="10">
        <f>IFERROR(求节点(节奏总纲!R$4:R$363,AD$11:AD$370,$AC96),0)</f>
        <v>0</v>
      </c>
      <c r="AL96" s="10">
        <f>IFERROR(求节点(节奏总纲!S$4:S$363,AE$11:AE$370,$AC96),0)</f>
        <v>7093.3645997783724</v>
      </c>
      <c r="AM96" s="10">
        <f>IFERROR(求节点(节奏总纲!T$4:T$363,AF$11:AF$370,$AC96),0)</f>
        <v>14131.247133427783</v>
      </c>
      <c r="AN96" s="10">
        <f>IFERROR(求节点(节奏总纲!U$4:U$363,AG$11:AG$370,$AC96),0)</f>
        <v>19761.386944922422</v>
      </c>
      <c r="AO96" s="10">
        <f>IFERROR(求节点(节奏总纲!V$4:V$363,AH$11:AH$370,$AC96),0)</f>
        <v>18421.662686575248</v>
      </c>
      <c r="AZ96" s="10">
        <v>86</v>
      </c>
      <c r="BA96" s="10">
        <f t="shared" si="44"/>
        <v>731733.33333333337</v>
      </c>
      <c r="BB96" s="10">
        <f t="shared" si="45"/>
        <v>1097600</v>
      </c>
      <c r="BC96" s="10">
        <f t="shared" si="46"/>
        <v>1463466.6666666667</v>
      </c>
      <c r="BD96" s="10">
        <f t="shared" si="47"/>
        <v>1829333.3333333333</v>
      </c>
      <c r="BE96" s="10">
        <f t="shared" si="48"/>
        <v>2195200</v>
      </c>
      <c r="BG96" s="10">
        <v>86</v>
      </c>
      <c r="BH96" s="10">
        <f>MAX(节奏总纲!D89-$C$7,0)*C$22*$C$8*($AV$6+$AV$22)/30</f>
        <v>4665106.2960817162</v>
      </c>
      <c r="BI96" s="10">
        <f>MAX(节奏总纲!E89-$C$7,0)*D$22*$C$8*($AV$6+$AV$22)/30</f>
        <v>5958424.1002777806</v>
      </c>
      <c r="BJ96" s="10">
        <f>MAX(节奏总纲!F89-$C$7,0)*E$22*$C$8*($AV$6+$AV$22)/30</f>
        <v>6330337.1373277577</v>
      </c>
      <c r="BK96" s="10">
        <f>MAX(节奏总纲!G89-$C$7,0)*F$22*$C$8*($AV$6+$AV$22)/30</f>
        <v>5533552.9093532478</v>
      </c>
      <c r="BL96" s="10">
        <f>MAX(节奏总纲!H89-$C$7,0)*G$22*$C$8*($AV$6+$AV$22)/30</f>
        <v>3094726.267041008</v>
      </c>
      <c r="BX96" s="10">
        <v>86</v>
      </c>
      <c r="BY96" s="10">
        <f t="shared" si="55"/>
        <v>37333.333333333336</v>
      </c>
      <c r="BZ96" s="10">
        <f t="shared" si="55"/>
        <v>56000</v>
      </c>
      <c r="CA96" s="10">
        <f t="shared" si="55"/>
        <v>74666.666666666672</v>
      </c>
      <c r="CB96" s="10">
        <f t="shared" si="55"/>
        <v>140000</v>
      </c>
      <c r="CC96" s="10">
        <f t="shared" si="55"/>
        <v>466666.66666666669</v>
      </c>
      <c r="CE96" s="10">
        <v>86</v>
      </c>
      <c r="CF96" s="10">
        <f>MAX(节奏总纲!D89-$C$7,0)*INDEX($BU$7:$BU$15,MATCH(BY$10,$BT$7:$BT$15,0))/30</f>
        <v>238015.62735110792</v>
      </c>
      <c r="CG96" s="10">
        <f>MAX(节奏总纲!E89-$C$7,0)*INDEX($BU$7:$BU$15,MATCH(BZ$10,$BT$7:$BT$15,0))/30</f>
        <v>304001.2296060092</v>
      </c>
      <c r="CH96" s="10">
        <f>MAX(节奏总纲!F89-$C$7,0)*INDEX($BU$7:$BU$15,MATCH(CA$10,$BT$7:$BT$15,0))/30</f>
        <v>322976.38455753867</v>
      </c>
      <c r="CI96" s="10">
        <f>MAX(节奏总纲!G89-$C$7,0)*INDEX($BU$7:$BU$15,MATCH(CB$10,$BT$7:$BT$15,0))/30</f>
        <v>423486.19204234047</v>
      </c>
      <c r="CJ96" s="10">
        <f>MAX(节奏总纲!H89-$C$7,0)*INDEX($BU$7:$BU$15,MATCH(CC$10,$BT$7:$BT$15,0))/30</f>
        <v>657892.4887417109</v>
      </c>
    </row>
    <row r="97" spans="15:88" x14ac:dyDescent="0.15">
      <c r="O97" s="2">
        <v>86</v>
      </c>
      <c r="P97" s="2">
        <f t="shared" si="40"/>
        <v>1720</v>
      </c>
      <c r="AC97" s="2">
        <v>87</v>
      </c>
      <c r="AD97" s="2">
        <f t="shared" si="50"/>
        <v>0</v>
      </c>
      <c r="AE97" s="2">
        <f t="shared" si="51"/>
        <v>1330</v>
      </c>
      <c r="AF97" s="2">
        <f t="shared" si="52"/>
        <v>3325</v>
      </c>
      <c r="AG97" s="2">
        <f t="shared" si="53"/>
        <v>6650</v>
      </c>
      <c r="AH97" s="2">
        <f t="shared" si="54"/>
        <v>13300</v>
      </c>
      <c r="AJ97" s="10">
        <v>87</v>
      </c>
      <c r="AK97" s="10">
        <f>IFERROR(求节点(节奏总纲!R$4:R$363,AD$11:AD$370,$AC97),0)</f>
        <v>0</v>
      </c>
      <c r="AL97" s="10">
        <f>IFERROR(求节点(节奏总纲!S$4:S$363,AE$11:AE$370,$AC97),0)</f>
        <v>7660.3926560509017</v>
      </c>
      <c r="AM97" s="10">
        <f>IFERROR(求节点(节奏总纲!T$4:T$363,AF$11:AF$370,$AC97),0)</f>
        <v>15307.051587030004</v>
      </c>
      <c r="AN97" s="10">
        <f>IFERROR(求节点(节奏总纲!U$4:U$363,AG$11:AG$370,$AC97),0)</f>
        <v>21301.633116033125</v>
      </c>
      <c r="AO97" s="10">
        <f>IFERROR(求节点(节奏总纲!V$4:V$363,AH$11:AH$370,$AC97),0)</f>
        <v>20012.072205490429</v>
      </c>
      <c r="AZ97" s="10">
        <v>87</v>
      </c>
      <c r="BA97" s="10">
        <f t="shared" si="44"/>
        <v>744800</v>
      </c>
      <c r="BB97" s="10">
        <f t="shared" si="45"/>
        <v>1117200</v>
      </c>
      <c r="BC97" s="10">
        <f t="shared" si="46"/>
        <v>1489600</v>
      </c>
      <c r="BD97" s="10">
        <f t="shared" si="47"/>
        <v>1862000</v>
      </c>
      <c r="BE97" s="10">
        <f t="shared" si="48"/>
        <v>2234400</v>
      </c>
      <c r="BG97" s="10">
        <v>87</v>
      </c>
      <c r="BH97" s="10">
        <f>MAX(节奏总纲!D90-$C$7,0)*C$22*$C$8*($AV$6+$AV$22)/30</f>
        <v>5029010.1652760589</v>
      </c>
      <c r="BI97" s="10">
        <f>MAX(节奏总纲!E90-$C$7,0)*D$22*$C$8*($AV$6+$AV$22)/30</f>
        <v>6434376.5680986047</v>
      </c>
      <c r="BJ97" s="10">
        <f>MAX(节奏总纲!F90-$C$7,0)*E$22*$C$8*($AV$6+$AV$22)/30</f>
        <v>6857455.9289731318</v>
      </c>
      <c r="BK97" s="10">
        <f>MAX(节奏总纲!G90-$C$7,0)*F$22*$C$8*($AV$6+$AV$22)/30</f>
        <v>5964314.0217186296</v>
      </c>
      <c r="BL97" s="10">
        <f>MAX(节奏总纲!H90-$C$7,0)*G$22*$C$8*($AV$6+$AV$22)/30</f>
        <v>3361385.5083360602</v>
      </c>
      <c r="BX97" s="10">
        <v>87</v>
      </c>
      <c r="BY97" s="10">
        <f t="shared" si="55"/>
        <v>38000</v>
      </c>
      <c r="BZ97" s="10">
        <f t="shared" si="55"/>
        <v>57000</v>
      </c>
      <c r="CA97" s="10">
        <f t="shared" si="55"/>
        <v>76000</v>
      </c>
      <c r="CB97" s="10">
        <f t="shared" si="55"/>
        <v>142500</v>
      </c>
      <c r="CC97" s="10">
        <f t="shared" si="55"/>
        <v>475000</v>
      </c>
      <c r="CE97" s="10">
        <v>87</v>
      </c>
      <c r="CF97" s="10">
        <f>MAX(节奏总纲!D90-$C$7,0)*INDEX($BU$7:$BU$15,MATCH(BY$10,$BT$7:$BT$15,0))/30</f>
        <v>256582.15128959477</v>
      </c>
      <c r="CG97" s="10">
        <f>MAX(节奏总纲!E90-$C$7,0)*INDEX($BU$7:$BU$15,MATCH(BZ$10,$BT$7:$BT$15,0))/30</f>
        <v>328284.51878054102</v>
      </c>
      <c r="CH97" s="10">
        <f>MAX(节奏总纲!F90-$C$7,0)*INDEX($BU$7:$BU$15,MATCH(CA$10,$BT$7:$BT$15,0))/30</f>
        <v>349870.20045781281</v>
      </c>
      <c r="CI97" s="10">
        <f>MAX(节奏总纲!G90-$C$7,0)*INDEX($BU$7:$BU$15,MATCH(CB$10,$BT$7:$BT$15,0))/30</f>
        <v>456452.60370295629</v>
      </c>
      <c r="CJ97" s="10">
        <f>MAX(节奏总纲!H90-$C$7,0)*INDEX($BU$7:$BU$15,MATCH(CC$10,$BT$7:$BT$15,0))/30</f>
        <v>714580.25262246176</v>
      </c>
    </row>
    <row r="98" spans="15:88" x14ac:dyDescent="0.15">
      <c r="O98" s="2">
        <v>87</v>
      </c>
      <c r="P98" s="2">
        <f t="shared" si="40"/>
        <v>1740</v>
      </c>
      <c r="AC98" s="2">
        <v>88</v>
      </c>
      <c r="AD98" s="2">
        <f t="shared" si="50"/>
        <v>0</v>
      </c>
      <c r="AE98" s="2">
        <f t="shared" si="51"/>
        <v>1353.3333333333333</v>
      </c>
      <c r="AF98" s="2">
        <f t="shared" si="52"/>
        <v>3383.3333333333335</v>
      </c>
      <c r="AG98" s="2">
        <f t="shared" si="53"/>
        <v>6766.666666666667</v>
      </c>
      <c r="AH98" s="2">
        <f t="shared" si="54"/>
        <v>13533.333333333334</v>
      </c>
      <c r="AJ98" s="10">
        <v>88</v>
      </c>
      <c r="AK98" s="10">
        <f>IFERROR(求节点(节奏总纲!R$4:R$363,AD$11:AD$370,$AC98),0)</f>
        <v>0</v>
      </c>
      <c r="AL98" s="10">
        <f>IFERROR(求节点(节奏总纲!S$4:S$363,AE$11:AE$370,$AC98),0)</f>
        <v>7782.712334775526</v>
      </c>
      <c r="AM98" s="10">
        <f>IFERROR(求节点(节奏总纲!T$4:T$363,AF$11:AF$370,$AC98),0)</f>
        <v>16502.666457621937</v>
      </c>
      <c r="AN98" s="10">
        <f>IFERROR(求节点(节奏总纲!U$4:U$363,AG$11:AG$370,$AC98),0)</f>
        <v>22867.618666809427</v>
      </c>
      <c r="AO98" s="10">
        <f>IFERROR(求节点(节奏总纲!V$4:V$363,AH$11:AH$370,$AC98),0)</f>
        <v>21743.824707105156</v>
      </c>
      <c r="AZ98" s="10">
        <v>88</v>
      </c>
      <c r="BA98" s="10">
        <f t="shared" si="44"/>
        <v>757866.66666666663</v>
      </c>
      <c r="BB98" s="10">
        <f t="shared" si="45"/>
        <v>1136800</v>
      </c>
      <c r="BC98" s="10">
        <f t="shared" si="46"/>
        <v>1515733.3333333333</v>
      </c>
      <c r="BD98" s="10">
        <f t="shared" si="47"/>
        <v>1894666.6666666667</v>
      </c>
      <c r="BE98" s="10">
        <f t="shared" si="48"/>
        <v>2273600</v>
      </c>
      <c r="BG98" s="10">
        <v>88</v>
      </c>
      <c r="BH98" s="10">
        <f>MAX(节奏总纲!D91-$C$7,0)*C$22*$C$8*($AV$6+$AV$22)/30</f>
        <v>5419032.6751928423</v>
      </c>
      <c r="BI98" s="10">
        <f>MAX(节奏总纲!E91-$C$7,0)*D$22*$C$8*($AV$6+$AV$22)/30</f>
        <v>6953558.2058652695</v>
      </c>
      <c r="BJ98" s="10">
        <f>MAX(节奏总纲!F91-$C$7,0)*E$22*$C$8*($AV$6+$AV$22)/30</f>
        <v>7393285.1805313677</v>
      </c>
      <c r="BK98" s="10">
        <f>MAX(节奏总纲!G91-$C$7,0)*F$22*$C$8*($AV$6+$AV$22)/30</f>
        <v>6402917.0138325058</v>
      </c>
      <c r="BL98" s="10">
        <f>MAX(节奏总纲!H91-$C$7,0)*G$22*$C$8*($AV$6+$AV$22)/30</f>
        <v>3652968.1530852523</v>
      </c>
      <c r="BX98" s="10">
        <v>88</v>
      </c>
      <c r="BY98" s="10">
        <f t="shared" si="55"/>
        <v>38666.666666666664</v>
      </c>
      <c r="BZ98" s="10">
        <f t="shared" si="55"/>
        <v>58000</v>
      </c>
      <c r="CA98" s="10">
        <f t="shared" si="55"/>
        <v>77333.333333333328</v>
      </c>
      <c r="CB98" s="10">
        <f t="shared" si="55"/>
        <v>145000</v>
      </c>
      <c r="CC98" s="10">
        <f t="shared" si="55"/>
        <v>483333.33333333331</v>
      </c>
      <c r="CE98" s="10">
        <v>88</v>
      </c>
      <c r="CF98" s="10">
        <f>MAX(节奏总纲!D91-$C$7,0)*INDEX($BU$7:$BU$15,MATCH(BY$10,$BT$7:$BT$15,0))/30</f>
        <v>276481.25893841032</v>
      </c>
      <c r="CG98" s="10">
        <f>MAX(节奏总纲!E91-$C$7,0)*INDEX($BU$7:$BU$15,MATCH(BZ$10,$BT$7:$BT$15,0))/30</f>
        <v>354773.37785026891</v>
      </c>
      <c r="CH98" s="10">
        <f>MAX(节奏总纲!F91-$C$7,0)*INDEX($BU$7:$BU$15,MATCH(CA$10,$BT$7:$BT$15,0))/30</f>
        <v>377208.42757813103</v>
      </c>
      <c r="CI98" s="10">
        <f>MAX(节奏总纲!G91-$C$7,0)*INDEX($BU$7:$BU$15,MATCH(CB$10,$BT$7:$BT$15,0))/30</f>
        <v>490019.15922187548</v>
      </c>
      <c r="CJ98" s="10">
        <f>MAX(节奏总纲!H91-$C$7,0)*INDEX($BU$7:$BU$15,MATCH(CC$10,$BT$7:$BT$15,0))/30</f>
        <v>776566.35907424579</v>
      </c>
    </row>
    <row r="99" spans="15:88" x14ac:dyDescent="0.15">
      <c r="O99" s="2">
        <v>88</v>
      </c>
      <c r="P99" s="2">
        <f t="shared" si="40"/>
        <v>1760</v>
      </c>
      <c r="AC99" s="2">
        <v>89</v>
      </c>
      <c r="AD99" s="2">
        <f t="shared" si="50"/>
        <v>0</v>
      </c>
      <c r="AE99" s="2">
        <f t="shared" si="51"/>
        <v>1376.6666666666667</v>
      </c>
      <c r="AF99" s="2">
        <f t="shared" si="52"/>
        <v>3441.6666666666665</v>
      </c>
      <c r="AG99" s="2">
        <f t="shared" si="53"/>
        <v>6883.333333333333</v>
      </c>
      <c r="AH99" s="2">
        <f t="shared" si="54"/>
        <v>13766.666666666666</v>
      </c>
      <c r="AJ99" s="10">
        <v>89</v>
      </c>
      <c r="AK99" s="10">
        <f>IFERROR(求节点(节奏总纲!R$4:R$363,AD$11:AD$370,$AC99),0)</f>
        <v>0</v>
      </c>
      <c r="AL99" s="10">
        <f>IFERROR(求节点(节奏总纲!S$4:S$363,AE$11:AE$370,$AC99),0)</f>
        <v>7871.1522476707023</v>
      </c>
      <c r="AM99" s="10">
        <f>IFERROR(求节点(节奏总纲!T$4:T$363,AF$11:AF$370,$AC99),0)</f>
        <v>17653.042812839023</v>
      </c>
      <c r="AN99" s="10">
        <f>IFERROR(求节点(节奏总纲!U$4:U$363,AG$11:AG$370,$AC99),0)</f>
        <v>24536.753168267605</v>
      </c>
      <c r="AO99" s="10">
        <f>IFERROR(求节点(节奏总纲!V$4:V$363,AH$11:AH$370,$AC99),0)</f>
        <v>23480.9192129125</v>
      </c>
      <c r="AZ99" s="10">
        <v>89</v>
      </c>
      <c r="BA99" s="10">
        <f t="shared" si="44"/>
        <v>770933.33333333337</v>
      </c>
      <c r="BB99" s="10">
        <f t="shared" si="45"/>
        <v>1156400</v>
      </c>
      <c r="BC99" s="10">
        <f t="shared" si="46"/>
        <v>1541866.6666666667</v>
      </c>
      <c r="BD99" s="10">
        <f t="shared" si="47"/>
        <v>1927333.3333333333</v>
      </c>
      <c r="BE99" s="10">
        <f t="shared" si="48"/>
        <v>2312800</v>
      </c>
      <c r="BG99" s="10">
        <v>89</v>
      </c>
      <c r="BH99" s="10">
        <f>MAX(节奏总纲!D92-$C$7,0)*C$22*$C$8*($AV$6+$AV$22)/30</f>
        <v>5837048.4511134457</v>
      </c>
      <c r="BI99" s="10">
        <f>MAX(节奏总纲!E92-$C$7,0)*D$22*$C$8*($AV$6+$AV$22)/30</f>
        <v>7482978.0781076914</v>
      </c>
      <c r="BJ99" s="10">
        <f>MAX(节奏总纲!F92-$C$7,0)*E$22*$C$8*($AV$6+$AV$22)/30</f>
        <v>7908014.2086837012</v>
      </c>
      <c r="BK99" s="10">
        <f>MAX(节奏总纲!G92-$C$7,0)*F$22*$C$8*($AV$6+$AV$22)/30</f>
        <v>6870158.3105157195</v>
      </c>
      <c r="BL99" s="10">
        <f>MAX(节奏总纲!H92-$C$7,0)*G$22*$C$8*($AV$6+$AV$22)/30</f>
        <v>3944277.8268152531</v>
      </c>
      <c r="BX99" s="10">
        <v>89</v>
      </c>
      <c r="BY99" s="10">
        <f t="shared" si="55"/>
        <v>39333.333333333336</v>
      </c>
      <c r="BZ99" s="10">
        <f t="shared" si="55"/>
        <v>59000</v>
      </c>
      <c r="CA99" s="10">
        <f t="shared" si="55"/>
        <v>78666.666666666672</v>
      </c>
      <c r="CB99" s="10">
        <f t="shared" si="55"/>
        <v>147500</v>
      </c>
      <c r="CC99" s="10">
        <f t="shared" si="55"/>
        <v>491666.66666666669</v>
      </c>
      <c r="CE99" s="10">
        <v>89</v>
      </c>
      <c r="CF99" s="10">
        <f>MAX(节奏总纲!D92-$C$7,0)*INDEX($BU$7:$BU$15,MATCH(BY$10,$BT$7:$BT$15,0))/30</f>
        <v>297808.59444456355</v>
      </c>
      <c r="CG99" s="10">
        <f>MAX(节奏总纲!E92-$C$7,0)*INDEX($BU$7:$BU$15,MATCH(BZ$10,$BT$7:$BT$15,0))/30</f>
        <v>381784.59582182101</v>
      </c>
      <c r="CH99" s="10">
        <f>MAX(节奏总纲!F92-$C$7,0)*INDEX($BU$7:$BU$15,MATCH(CA$10,$BT$7:$BT$15,0))/30</f>
        <v>403470.11268794391</v>
      </c>
      <c r="CI99" s="10">
        <f>MAX(节奏总纲!G92-$C$7,0)*INDEX($BU$7:$BU$15,MATCH(CB$10,$BT$7:$BT$15,0))/30</f>
        <v>525777.4217231418</v>
      </c>
      <c r="CJ99" s="10">
        <f>MAX(节奏总纲!H92-$C$7,0)*INDEX($BU$7:$BU$15,MATCH(CC$10,$BT$7:$BT$15,0))/30</f>
        <v>838494.43597263028</v>
      </c>
    </row>
    <row r="100" spans="15:88" x14ac:dyDescent="0.15">
      <c r="O100" s="2">
        <v>89</v>
      </c>
      <c r="P100" s="2">
        <f t="shared" si="40"/>
        <v>1780</v>
      </c>
      <c r="AC100" s="2">
        <v>90</v>
      </c>
      <c r="AD100" s="2">
        <f t="shared" si="50"/>
        <v>0</v>
      </c>
      <c r="AE100" s="2">
        <f t="shared" si="51"/>
        <v>1400</v>
      </c>
      <c r="AF100" s="2">
        <f t="shared" si="52"/>
        <v>3500</v>
      </c>
      <c r="AG100" s="2">
        <f t="shared" si="53"/>
        <v>7000</v>
      </c>
      <c r="AH100" s="2">
        <f t="shared" si="54"/>
        <v>14000</v>
      </c>
      <c r="AJ100" s="10">
        <v>90</v>
      </c>
      <c r="AK100" s="10">
        <f>IFERROR(求节点(节奏总纲!R$4:R$363,AD$11:AD$370,$AC100),0)</f>
        <v>0</v>
      </c>
      <c r="AL100" s="10">
        <f>IFERROR(求节点(节奏总纲!S$4:S$363,AE$11:AE$370,$AC100),0)</f>
        <v>7959.5921605658787</v>
      </c>
      <c r="AM100" s="10">
        <f>IFERROR(求节点(节奏总纲!T$4:T$363,AF$11:AF$370,$AC100),0)</f>
        <v>18907.979590130359</v>
      </c>
      <c r="AN100" s="10">
        <f>IFERROR(求节点(节奏总纲!U$4:U$363,AG$11:AG$370,$AC100),0)</f>
        <v>26238.9181828404</v>
      </c>
      <c r="AO100" s="10">
        <f>IFERROR(求节点(节奏总纲!V$4:V$363,AH$11:AH$370,$AC100),0)</f>
        <v>25322.718560926995</v>
      </c>
      <c r="AZ100" s="10">
        <v>90</v>
      </c>
      <c r="BA100" s="10">
        <f t="shared" si="44"/>
        <v>784000</v>
      </c>
      <c r="BB100" s="10">
        <f t="shared" si="45"/>
        <v>1176000</v>
      </c>
      <c r="BC100" s="10">
        <f t="shared" si="46"/>
        <v>1568000</v>
      </c>
      <c r="BD100" s="10">
        <f t="shared" si="47"/>
        <v>1960000</v>
      </c>
      <c r="BE100" s="10">
        <f t="shared" si="48"/>
        <v>2352000</v>
      </c>
      <c r="BG100" s="10">
        <v>90</v>
      </c>
      <c r="BH100" s="10">
        <f>MAX(节奏总纲!D93-$C$7,0)*C$22*$C$8*($AV$6+$AV$22)/30</f>
        <v>6285066.666666667</v>
      </c>
      <c r="BI100" s="10">
        <f>MAX(节奏总纲!E93-$C$7,0)*D$22*$C$8*($AV$6+$AV$22)/30</f>
        <v>7999375.4400000013</v>
      </c>
      <c r="BJ100" s="10">
        <f>MAX(节奏总纲!F93-$C$7,0)*E$22*$C$8*($AV$6+$AV$22)/30</f>
        <v>8470414.4000000004</v>
      </c>
      <c r="BK100" s="10">
        <f>MAX(节奏总纲!G93-$C$7,0)*F$22*$C$8*($AV$6+$AV$22)/30</f>
        <v>7346302.1333333356</v>
      </c>
      <c r="BL100" s="10">
        <f>MAX(节奏总纲!H93-$C$7,0)*G$22*$C$8*($AV$6+$AV$22)/30</f>
        <v>4252455.2000000011</v>
      </c>
      <c r="BX100" s="10">
        <v>90</v>
      </c>
      <c r="BY100" s="10">
        <f t="shared" si="55"/>
        <v>40000</v>
      </c>
      <c r="BZ100" s="10">
        <f t="shared" si="55"/>
        <v>60000</v>
      </c>
      <c r="CA100" s="10">
        <f t="shared" si="55"/>
        <v>80000</v>
      </c>
      <c r="CB100" s="10">
        <f t="shared" si="55"/>
        <v>150000</v>
      </c>
      <c r="CC100" s="10">
        <f t="shared" si="55"/>
        <v>500000</v>
      </c>
      <c r="CE100" s="10">
        <v>90</v>
      </c>
      <c r="CF100" s="10">
        <f>MAX(节奏总纲!D93-$C$7,0)*INDEX($BU$7:$BU$15,MATCH(BY$10,$BT$7:$BT$15,0))/30</f>
        <v>320666.66666666669</v>
      </c>
      <c r="CG100" s="10">
        <f>MAX(节奏总纲!E93-$C$7,0)*INDEX($BU$7:$BU$15,MATCH(BZ$10,$BT$7:$BT$15,0))/30</f>
        <v>408131.40000000008</v>
      </c>
      <c r="CH100" s="10">
        <f>MAX(节奏总纲!F93-$C$7,0)*INDEX($BU$7:$BU$15,MATCH(CA$10,$BT$7:$BT$15,0))/30</f>
        <v>432164</v>
      </c>
      <c r="CI100" s="10">
        <f>MAX(节奏总纲!G93-$C$7,0)*INDEX($BU$7:$BU$15,MATCH(CB$10,$BT$7:$BT$15,0))/30</f>
        <v>562217</v>
      </c>
      <c r="CJ100" s="10">
        <f>MAX(节奏总纲!H93-$C$7,0)*INDEX($BU$7:$BU$15,MATCH(CC$10,$BT$7:$BT$15,0))/30</f>
        <v>904008.3333333336</v>
      </c>
    </row>
    <row r="101" spans="15:88" x14ac:dyDescent="0.15">
      <c r="O101" s="2">
        <v>90</v>
      </c>
      <c r="P101" s="2">
        <f t="shared" si="40"/>
        <v>1800</v>
      </c>
      <c r="AC101" s="2">
        <v>91</v>
      </c>
      <c r="AD101" s="2">
        <f t="shared" si="50"/>
        <v>0</v>
      </c>
      <c r="AE101" s="2">
        <f t="shared" si="51"/>
        <v>1423.3333333333333</v>
      </c>
      <c r="AF101" s="2">
        <f t="shared" si="52"/>
        <v>3558.3333333333335</v>
      </c>
      <c r="AG101" s="2">
        <f t="shared" si="53"/>
        <v>7116.666666666667</v>
      </c>
      <c r="AH101" s="2">
        <f t="shared" si="54"/>
        <v>14233.333333333334</v>
      </c>
      <c r="AJ101" s="10">
        <v>91</v>
      </c>
      <c r="AK101" s="10">
        <f>IFERROR(求节点(节奏总纲!R$4:R$363,AD$11:AD$370,$AC101),0)</f>
        <v>0</v>
      </c>
      <c r="AL101" s="10">
        <f>IFERROR(求节点(节奏总纲!S$4:S$363,AE$11:AE$370,$AC101),0)</f>
        <v>8048.032073461055</v>
      </c>
      <c r="AM101" s="10">
        <f>IFERROR(求节点(节奏总纲!T$4:T$363,AF$11:AF$370,$AC101),0)</f>
        <v>19411.759321380567</v>
      </c>
      <c r="AN101" s="10">
        <f>IFERROR(求节点(节奏总纲!U$4:U$363,AG$11:AG$370,$AC101),0)</f>
        <v>28306.826622196804</v>
      </c>
      <c r="AO101" s="10">
        <f>IFERROR(求节点(节奏总纲!V$4:V$363,AH$11:AH$370,$AC101),0)</f>
        <v>27508.917245213386</v>
      </c>
      <c r="AZ101" s="10">
        <v>91</v>
      </c>
      <c r="BA101" s="10">
        <f t="shared" si="44"/>
        <v>797066.66666666663</v>
      </c>
      <c r="BB101" s="10">
        <f t="shared" si="45"/>
        <v>1195600</v>
      </c>
      <c r="BC101" s="10">
        <f t="shared" si="46"/>
        <v>1594133.3333333333</v>
      </c>
      <c r="BD101" s="10">
        <f t="shared" si="47"/>
        <v>1992666.6666666667</v>
      </c>
      <c r="BE101" s="10">
        <f t="shared" si="48"/>
        <v>2391200</v>
      </c>
      <c r="BG101" s="10">
        <v>91</v>
      </c>
      <c r="BH101" s="10">
        <f>MAX(节奏总纲!D94-$C$7,0)*C$22*$C$8*($AV$6+$AV$22)/30</f>
        <v>6765240.7008294724</v>
      </c>
      <c r="BI101" s="10">
        <f>MAX(节奏总纲!E94-$C$7,0)*D$22*$C$8*($AV$6+$AV$22)/30</f>
        <v>8616927.2653367855</v>
      </c>
      <c r="BJ101" s="10">
        <f>MAX(节奏总纲!F94-$C$7,0)*E$22*$C$8*($AV$6+$AV$22)/30</f>
        <v>9105875.2004061658</v>
      </c>
      <c r="BK101" s="10">
        <f>MAX(节奏总纲!G94-$C$7,0)*F$22*$C$8*($AV$6+$AV$22)/30</f>
        <v>7925396.7420070702</v>
      </c>
      <c r="BL101" s="10">
        <f>MAX(节奏总纲!H94-$C$7,0)*G$22*$C$8*($AV$6+$AV$22)/30</f>
        <v>4621364.967671873</v>
      </c>
      <c r="BX101" s="10">
        <v>91</v>
      </c>
      <c r="BY101" s="10">
        <f t="shared" ref="BY101:CC110" si="56">MAX($BX101-$C$7,0)*INDEX($BU$7:$BU$15,MATCH(BY$10,$BT$7:$BT$15,0))/30</f>
        <v>40666.666666666664</v>
      </c>
      <c r="BZ101" s="10">
        <f t="shared" si="56"/>
        <v>61000</v>
      </c>
      <c r="CA101" s="10">
        <f t="shared" si="56"/>
        <v>81333.333333333328</v>
      </c>
      <c r="CB101" s="10">
        <f t="shared" si="56"/>
        <v>152500</v>
      </c>
      <c r="CC101" s="10">
        <f t="shared" si="56"/>
        <v>508333.33333333331</v>
      </c>
      <c r="CE101" s="10">
        <v>91</v>
      </c>
      <c r="CF101" s="10">
        <f>MAX(节奏总纲!D94-$C$7,0)*INDEX($BU$7:$BU$15,MATCH(BY$10,$BT$7:$BT$15,0))/30</f>
        <v>345165.34187905473</v>
      </c>
      <c r="CG101" s="10">
        <f>MAX(节奏总纲!E94-$C$7,0)*INDEX($BU$7:$BU$15,MATCH(BZ$10,$BT$7:$BT$15,0))/30</f>
        <v>439639.14619065233</v>
      </c>
      <c r="CH101" s="10">
        <f>MAX(节奏总纲!F94-$C$7,0)*INDEX($BU$7:$BU$15,MATCH(CA$10,$BT$7:$BT$15,0))/30</f>
        <v>464585.46940847783</v>
      </c>
      <c r="CI101" s="10">
        <f>MAX(节奏总纲!G94-$C$7,0)*INDEX($BU$7:$BU$15,MATCH(CB$10,$BT$7:$BT$15,0))/30</f>
        <v>606535.46494952065</v>
      </c>
      <c r="CJ101" s="10">
        <f>MAX(节奏总纲!H94-$C$7,0)*INDEX($BU$7:$BU$15,MATCH(CC$10,$BT$7:$BT$15,0))/30</f>
        <v>982433.02884180995</v>
      </c>
    </row>
    <row r="102" spans="15:88" x14ac:dyDescent="0.15">
      <c r="O102" s="2">
        <v>91</v>
      </c>
      <c r="P102" s="2">
        <f t="shared" si="40"/>
        <v>1820</v>
      </c>
      <c r="AC102" s="2">
        <v>92</v>
      </c>
      <c r="AD102" s="2">
        <f t="shared" si="50"/>
        <v>0</v>
      </c>
      <c r="AE102" s="2">
        <f t="shared" si="51"/>
        <v>1446.6666666666667</v>
      </c>
      <c r="AF102" s="2">
        <f t="shared" si="52"/>
        <v>3616.6666666666665</v>
      </c>
      <c r="AG102" s="2">
        <f t="shared" si="53"/>
        <v>7233.333333333333</v>
      </c>
      <c r="AH102" s="2">
        <f t="shared" si="54"/>
        <v>14466.666666666666</v>
      </c>
      <c r="AJ102" s="10">
        <v>92</v>
      </c>
      <c r="AK102" s="10">
        <f>IFERROR(求节点(节奏总纲!R$4:R$363,AD$11:AD$370,$AC102),0)</f>
        <v>0</v>
      </c>
      <c r="AL102" s="10">
        <f>IFERROR(求节点(节奏总纲!S$4:S$363,AE$11:AE$370,$AC102),0)</f>
        <v>8136.4719863562323</v>
      </c>
      <c r="AM102" s="10">
        <f>IFERROR(求节点(节奏总纲!T$4:T$363,AF$11:AF$370,$AC102),0)</f>
        <v>19625.075357879254</v>
      </c>
      <c r="AN102" s="10">
        <f>IFERROR(求节点(节奏总纲!U$4:U$363,AG$11:AG$370,$AC102),0)</f>
        <v>30518.024290868929</v>
      </c>
      <c r="AO102" s="10">
        <f>IFERROR(求节点(节奏总纲!V$4:V$363,AH$11:AH$370,$AC102),0)</f>
        <v>29788.81754209728</v>
      </c>
      <c r="AZ102" s="10">
        <v>92</v>
      </c>
      <c r="BA102" s="10">
        <f t="shared" si="44"/>
        <v>810133.33333333337</v>
      </c>
      <c r="BB102" s="10">
        <f t="shared" si="45"/>
        <v>1215200</v>
      </c>
      <c r="BC102" s="10">
        <f t="shared" si="46"/>
        <v>1620266.6666666667</v>
      </c>
      <c r="BD102" s="10">
        <f t="shared" si="47"/>
        <v>2025333.3333333333</v>
      </c>
      <c r="BE102" s="10">
        <f t="shared" si="48"/>
        <v>2430400</v>
      </c>
      <c r="BG102" s="10">
        <v>92</v>
      </c>
      <c r="BH102" s="10">
        <f>MAX(节奏总纲!D95-$C$7,0)*C$22*$C$8*($AV$6+$AV$22)/30</f>
        <v>7279878.4880441567</v>
      </c>
      <c r="BI102" s="10">
        <f>MAX(节奏总纲!E95-$C$7,0)*D$22*$C$8*($AV$6+$AV$22)/30</f>
        <v>9256938.069782665</v>
      </c>
      <c r="BJ102" s="10">
        <f>MAX(节奏总纲!F95-$C$7,0)*E$22*$C$8*($AV$6+$AV$22)/30</f>
        <v>9803192.3135009352</v>
      </c>
      <c r="BK102" s="10">
        <f>MAX(节奏总纲!G95-$C$7,0)*F$22*$C$8*($AV$6+$AV$22)/30</f>
        <v>8544637.1429068223</v>
      </c>
      <c r="BL102" s="10">
        <f>MAX(节奏总纲!H95-$C$7,0)*G$22*$C$8*($AV$6+$AV$22)/30</f>
        <v>5003698.1221195692</v>
      </c>
      <c r="BX102" s="10">
        <v>92</v>
      </c>
      <c r="BY102" s="10">
        <f t="shared" si="56"/>
        <v>41333.333333333336</v>
      </c>
      <c r="BZ102" s="10">
        <f t="shared" si="56"/>
        <v>62000</v>
      </c>
      <c r="CA102" s="10">
        <f t="shared" si="56"/>
        <v>82666.666666666672</v>
      </c>
      <c r="CB102" s="10">
        <f t="shared" si="56"/>
        <v>155000</v>
      </c>
      <c r="CC102" s="10">
        <f t="shared" si="56"/>
        <v>516666.66666666669</v>
      </c>
      <c r="CE102" s="10">
        <v>92</v>
      </c>
      <c r="CF102" s="10">
        <f>MAX(节奏总纲!D95-$C$7,0)*INDEX($BU$7:$BU$15,MATCH(BY$10,$BT$7:$BT$15,0))/30</f>
        <v>371422.37183898763</v>
      </c>
      <c r="CG102" s="10">
        <f>MAX(节奏总纲!E95-$C$7,0)*INDEX($BU$7:$BU$15,MATCH(BZ$10,$BT$7:$BT$15,0))/30</f>
        <v>472292.75866238086</v>
      </c>
      <c r="CH102" s="10">
        <f>MAX(节奏总纲!F95-$C$7,0)*INDEX($BU$7:$BU$15,MATCH(CA$10,$BT$7:$BT$15,0))/30</f>
        <v>500162.87313780282</v>
      </c>
      <c r="CI102" s="10">
        <f>MAX(节奏总纲!G95-$C$7,0)*INDEX($BU$7:$BU$15,MATCH(CB$10,$BT$7:$BT$15,0))/30</f>
        <v>653926.31195715466</v>
      </c>
      <c r="CJ102" s="10">
        <f>MAX(节奏总纲!H95-$C$7,0)*INDEX($BU$7:$BU$15,MATCH(CC$10,$BT$7:$BT$15,0))/30</f>
        <v>1063711.3354846023</v>
      </c>
    </row>
    <row r="103" spans="15:88" x14ac:dyDescent="0.15">
      <c r="O103" s="2">
        <v>92</v>
      </c>
      <c r="P103" s="2">
        <f t="shared" si="40"/>
        <v>1840</v>
      </c>
      <c r="AC103" s="2">
        <v>93</v>
      </c>
      <c r="AD103" s="2">
        <f t="shared" si="50"/>
        <v>0</v>
      </c>
      <c r="AE103" s="2">
        <f t="shared" si="51"/>
        <v>1470</v>
      </c>
      <c r="AF103" s="2">
        <f t="shared" si="52"/>
        <v>3675</v>
      </c>
      <c r="AG103" s="2">
        <f t="shared" si="53"/>
        <v>7350</v>
      </c>
      <c r="AH103" s="2">
        <f t="shared" si="54"/>
        <v>14700</v>
      </c>
      <c r="AJ103" s="10">
        <v>93</v>
      </c>
      <c r="AK103" s="10">
        <f>IFERROR(求节点(节奏总纲!R$4:R$363,AD$11:AD$370,$AC103),0)</f>
        <v>0</v>
      </c>
      <c r="AL103" s="10">
        <f>IFERROR(求节点(节奏总纲!S$4:S$363,AE$11:AE$370,$AC103),0)</f>
        <v>8224.9118992514086</v>
      </c>
      <c r="AM103" s="10">
        <f>IFERROR(求节点(节奏总纲!T$4:T$363,AF$11:AF$370,$AC103),0)</f>
        <v>19838.391394377944</v>
      </c>
      <c r="AN103" s="10">
        <f>IFERROR(求节点(节奏总纲!U$4:U$363,AG$11:AG$370,$AC103),0)</f>
        <v>32846.457455762371</v>
      </c>
      <c r="AO103" s="10">
        <f>IFERROR(求节点(节奏总纲!V$4:V$363,AH$11:AH$370,$AC103),0)</f>
        <v>32284.537083976506</v>
      </c>
      <c r="AZ103" s="10">
        <v>93</v>
      </c>
      <c r="BA103" s="10">
        <f t="shared" si="44"/>
        <v>823200</v>
      </c>
      <c r="BB103" s="10">
        <f t="shared" si="45"/>
        <v>1234800</v>
      </c>
      <c r="BC103" s="10">
        <f t="shared" si="46"/>
        <v>1646400</v>
      </c>
      <c r="BD103" s="10">
        <f t="shared" si="47"/>
        <v>2058000</v>
      </c>
      <c r="BE103" s="10">
        <f t="shared" si="48"/>
        <v>2469600</v>
      </c>
      <c r="BG103" s="10">
        <v>93</v>
      </c>
      <c r="BH103" s="10">
        <f>MAX(节奏总纲!D96-$C$7,0)*C$22*$C$8*($AV$6+$AV$22)/30</f>
        <v>7831453.6111992691</v>
      </c>
      <c r="BI103" s="10">
        <f>MAX(节奏总纲!E96-$C$7,0)*D$22*$C$8*($AV$6+$AV$22)/30</f>
        <v>9963513.3285297807</v>
      </c>
      <c r="BJ103" s="10">
        <f>MAX(节奏总纲!F96-$C$7,0)*E$22*$C$8*($AV$6+$AV$22)/30</f>
        <v>10549563.766954834</v>
      </c>
      <c r="BK103" s="10">
        <f>MAX(节奏总纲!G96-$C$7,0)*F$22*$C$8*($AV$6+$AV$22)/30</f>
        <v>9196523.8438590951</v>
      </c>
      <c r="BL103" s="10">
        <f>MAX(节奏总纲!H96-$C$7,0)*G$22*$C$8*($AV$6+$AV$22)/30</f>
        <v>5423321.5229874132</v>
      </c>
      <c r="BX103" s="10">
        <v>93</v>
      </c>
      <c r="BY103" s="10">
        <f t="shared" si="56"/>
        <v>42000</v>
      </c>
      <c r="BZ103" s="10">
        <f t="shared" si="56"/>
        <v>63000</v>
      </c>
      <c r="CA103" s="10">
        <f t="shared" si="56"/>
        <v>84000</v>
      </c>
      <c r="CB103" s="10">
        <f t="shared" si="56"/>
        <v>157500</v>
      </c>
      <c r="CC103" s="10">
        <f t="shared" si="56"/>
        <v>525000</v>
      </c>
      <c r="CE103" s="10">
        <v>93</v>
      </c>
      <c r="CF103" s="10">
        <f>MAX(节奏总纲!D96-$C$7,0)*INDEX($BU$7:$BU$15,MATCH(BY$10,$BT$7:$BT$15,0))/30</f>
        <v>399563.95975506469</v>
      </c>
      <c r="CG103" s="10">
        <f>MAX(节奏总纲!E96-$C$7,0)*INDEX($BU$7:$BU$15,MATCH(BZ$10,$BT$7:$BT$15,0))/30</f>
        <v>508342.51676172361</v>
      </c>
      <c r="CH103" s="10">
        <f>MAX(节奏总纲!F96-$C$7,0)*INDEX($BU$7:$BU$15,MATCH(CA$10,$BT$7:$BT$15,0))/30</f>
        <v>538243.04933443025</v>
      </c>
      <c r="CI103" s="10">
        <f>MAX(节奏总纲!G96-$C$7,0)*INDEX($BU$7:$BU$15,MATCH(CB$10,$BT$7:$BT$15,0))/30</f>
        <v>703815.6002953389</v>
      </c>
      <c r="CJ103" s="10">
        <f>MAX(节奏总纲!H96-$C$7,0)*INDEX($BU$7:$BU$15,MATCH(CC$10,$BT$7:$BT$15,0))/30</f>
        <v>1152916.9904309975</v>
      </c>
    </row>
    <row r="104" spans="15:88" x14ac:dyDescent="0.15">
      <c r="O104" s="2">
        <v>93</v>
      </c>
      <c r="P104" s="2">
        <f t="shared" si="40"/>
        <v>1860</v>
      </c>
      <c r="AC104" s="2">
        <v>94</v>
      </c>
      <c r="AD104" s="2">
        <f t="shared" si="50"/>
        <v>0</v>
      </c>
      <c r="AE104" s="2">
        <f t="shared" si="51"/>
        <v>1493.3333333333333</v>
      </c>
      <c r="AF104" s="2">
        <f t="shared" si="52"/>
        <v>3733.3333333333335</v>
      </c>
      <c r="AG104" s="2">
        <f t="shared" si="53"/>
        <v>7466.666666666667</v>
      </c>
      <c r="AH104" s="2">
        <f t="shared" si="54"/>
        <v>14933.333333333334</v>
      </c>
      <c r="AJ104" s="10">
        <v>94</v>
      </c>
      <c r="AK104" s="10">
        <f>IFERROR(求节点(节奏总纲!R$4:R$363,AD$11:AD$370,$AC104),0)</f>
        <v>0</v>
      </c>
      <c r="AL104" s="10">
        <f>IFERROR(求节点(节奏总纲!S$4:S$363,AE$11:AE$370,$AC104),0)</f>
        <v>8313.3518121465841</v>
      </c>
      <c r="AM104" s="10">
        <f>IFERROR(求节点(节奏总纲!T$4:T$363,AF$11:AF$370,$AC104),0)</f>
        <v>20051.707430876631</v>
      </c>
      <c r="AN104" s="10">
        <f>IFERROR(求节点(节奏总纲!U$4:U$363,AG$11:AG$370,$AC104),0)</f>
        <v>35317.432210484156</v>
      </c>
      <c r="AO104" s="10">
        <f>IFERROR(求节点(节奏总纲!V$4:V$363,AH$11:AH$370,$AC104),0)</f>
        <v>34924.82253303552</v>
      </c>
      <c r="AZ104" s="10">
        <v>94</v>
      </c>
      <c r="BA104" s="10">
        <f t="shared" si="44"/>
        <v>836266.66666666663</v>
      </c>
      <c r="BB104" s="10">
        <f t="shared" si="45"/>
        <v>1254400</v>
      </c>
      <c r="BC104" s="10">
        <f t="shared" si="46"/>
        <v>1672533.3333333333</v>
      </c>
      <c r="BD104" s="10">
        <f t="shared" si="47"/>
        <v>2090666.6666666667</v>
      </c>
      <c r="BE104" s="10">
        <f t="shared" si="48"/>
        <v>2508800</v>
      </c>
      <c r="BG104" s="10">
        <v>94</v>
      </c>
      <c r="BH104" s="10">
        <f>MAX(节奏总纲!D97-$C$7,0)*C$22*$C$8*($AV$6+$AV$22)/30</f>
        <v>8422617.1907920986</v>
      </c>
      <c r="BI104" s="10">
        <f>MAX(节奏总纲!E97-$C$7,0)*D$22*$C$8*($AV$6+$AV$22)/30</f>
        <v>10707491.199140532</v>
      </c>
      <c r="BJ104" s="10">
        <f>MAX(节奏总纲!F97-$C$7,0)*E$22*$C$8*($AV$6+$AV$22)/30</f>
        <v>11343150.331091767</v>
      </c>
      <c r="BK104" s="10">
        <f>MAX(节奏总纲!G97-$C$7,0)*F$22*$C$8*($AV$6+$AV$22)/30</f>
        <v>9888422.9962466583</v>
      </c>
      <c r="BL104" s="10">
        <f>MAX(节奏总纲!H97-$C$7,0)*G$22*$C$8*($AV$6+$AV$22)/30</f>
        <v>5865997.6737238076</v>
      </c>
      <c r="BX104" s="10">
        <v>94</v>
      </c>
      <c r="BY104" s="10">
        <f t="shared" si="56"/>
        <v>42666.666666666664</v>
      </c>
      <c r="BZ104" s="10">
        <f t="shared" si="56"/>
        <v>64000</v>
      </c>
      <c r="CA104" s="10">
        <f t="shared" si="56"/>
        <v>85333.333333333328</v>
      </c>
      <c r="CB104" s="10">
        <f t="shared" si="56"/>
        <v>160000</v>
      </c>
      <c r="CC104" s="10">
        <f t="shared" si="56"/>
        <v>533333.33333333337</v>
      </c>
      <c r="CE104" s="10">
        <v>94</v>
      </c>
      <c r="CF104" s="10">
        <f>MAX(节奏总纲!D97-$C$7,0)*INDEX($BU$7:$BU$15,MATCH(BY$10,$BT$7:$BT$15,0))/30</f>
        <v>429725.36687714787</v>
      </c>
      <c r="CG104" s="10">
        <f>MAX(节奏总纲!E97-$C$7,0)*INDEX($BU$7:$BU$15,MATCH(BZ$10,$BT$7:$BT$15,0))/30</f>
        <v>546300.57138472109</v>
      </c>
      <c r="CH104" s="10">
        <f>MAX(节奏总纲!F97-$C$7,0)*INDEX($BU$7:$BU$15,MATCH(CA$10,$BT$7:$BT$15,0))/30</f>
        <v>578732.15974958008</v>
      </c>
      <c r="CI104" s="10">
        <f>MAX(节奏总纲!G97-$C$7,0)*INDEX($BU$7:$BU$15,MATCH(CB$10,$BT$7:$BT$15,0))/30</f>
        <v>756767.06603928504</v>
      </c>
      <c r="CJ104" s="10">
        <f>MAX(节奏总纲!H97-$C$7,0)*INDEX($BU$7:$BU$15,MATCH(CC$10,$BT$7:$BT$15,0))/30</f>
        <v>1247023.3149923058</v>
      </c>
    </row>
    <row r="105" spans="15:88" x14ac:dyDescent="0.15">
      <c r="O105" s="2">
        <v>94</v>
      </c>
      <c r="P105" s="2">
        <f t="shared" si="40"/>
        <v>1880</v>
      </c>
      <c r="AC105" s="2">
        <v>95</v>
      </c>
      <c r="AD105" s="2">
        <f t="shared" si="50"/>
        <v>0</v>
      </c>
      <c r="AE105" s="2">
        <f t="shared" si="51"/>
        <v>1516.6666666666667</v>
      </c>
      <c r="AF105" s="2">
        <f t="shared" si="52"/>
        <v>3791.6666666666665</v>
      </c>
      <c r="AG105" s="2">
        <f t="shared" si="53"/>
        <v>7583.333333333333</v>
      </c>
      <c r="AH105" s="2">
        <f t="shared" si="54"/>
        <v>15166.666666666666</v>
      </c>
      <c r="AJ105" s="10">
        <v>95</v>
      </c>
      <c r="AK105" s="10">
        <f>IFERROR(求节点(节奏总纲!R$4:R$363,AD$11:AD$370,$AC105),0)</f>
        <v>0</v>
      </c>
      <c r="AL105" s="10">
        <f>IFERROR(求节点(节奏总纲!S$4:S$363,AE$11:AE$370,$AC105),0)</f>
        <v>8401.7917250417613</v>
      </c>
      <c r="AM105" s="10">
        <f>IFERROR(求节点(节奏总纲!T$4:T$363,AF$11:AF$370,$AC105),0)</f>
        <v>20265.023467375318</v>
      </c>
      <c r="AN105" s="10">
        <f>IFERROR(求节点(节奏总纲!U$4:U$363,AG$11:AG$370,$AC105),0)</f>
        <v>37965.538947361609</v>
      </c>
      <c r="AO105" s="10">
        <f>IFERROR(求节点(节奏总纲!V$4:V$363,AH$11:AH$370,$AC105),0)</f>
        <v>37998.895357471505</v>
      </c>
      <c r="AZ105" s="10">
        <v>95</v>
      </c>
      <c r="BA105" s="10">
        <f t="shared" si="44"/>
        <v>849333.33333333337</v>
      </c>
      <c r="BB105" s="10">
        <f t="shared" si="45"/>
        <v>1274000</v>
      </c>
      <c r="BC105" s="10">
        <f t="shared" si="46"/>
        <v>1698666.6666666667</v>
      </c>
      <c r="BD105" s="10">
        <f t="shared" si="47"/>
        <v>2123333.3333333335</v>
      </c>
      <c r="BE105" s="10">
        <f t="shared" si="48"/>
        <v>2548000</v>
      </c>
      <c r="BG105" s="10">
        <v>95</v>
      </c>
      <c r="BH105" s="10">
        <f>MAX(节奏总纲!D98-$C$7,0)*C$22*$C$8*($AV$6+$AV$22)/30</f>
        <v>9056210.6274176538</v>
      </c>
      <c r="BI105" s="10">
        <f>MAX(节奏总纲!E98-$C$7,0)*D$22*$C$8*($AV$6+$AV$22)/30</f>
        <v>11527912.89806903</v>
      </c>
      <c r="BJ105" s="10">
        <f>MAX(节奏总纲!F98-$C$7,0)*E$22*$C$8*($AV$6+$AV$22)/30</f>
        <v>12177055.338691538</v>
      </c>
      <c r="BK105" s="10">
        <f>MAX(节奏总纲!G98-$C$7,0)*F$22*$C$8*($AV$6+$AV$22)/30</f>
        <v>10629488.808439443</v>
      </c>
      <c r="BL105" s="10">
        <f>MAX(节奏总纲!H98-$C$7,0)*G$22*$C$8*($AV$6+$AV$22)/30</f>
        <v>6383513.322996866</v>
      </c>
      <c r="BX105" s="10">
        <v>95</v>
      </c>
      <c r="BY105" s="10">
        <f t="shared" si="56"/>
        <v>43333.333333333336</v>
      </c>
      <c r="BZ105" s="10">
        <f t="shared" si="56"/>
        <v>65000</v>
      </c>
      <c r="CA105" s="10">
        <f t="shared" si="56"/>
        <v>86666.666666666672</v>
      </c>
      <c r="CB105" s="10">
        <f t="shared" si="56"/>
        <v>162500</v>
      </c>
      <c r="CC105" s="10">
        <f t="shared" si="56"/>
        <v>541666.66666666663</v>
      </c>
      <c r="CE105" s="10">
        <v>95</v>
      </c>
      <c r="CF105" s="10">
        <f>MAX(节奏总纲!D98-$C$7,0)*INDEX($BU$7:$BU$15,MATCH(BY$10,$BT$7:$BT$15,0))/30</f>
        <v>462051.56262334978</v>
      </c>
      <c r="CG105" s="10">
        <f>MAX(节奏总纲!E98-$C$7,0)*INDEX($BU$7:$BU$15,MATCH(BZ$10,$BT$7:$BT$15,0))/30</f>
        <v>588158.82133005245</v>
      </c>
      <c r="CH105" s="10">
        <f>MAX(节奏总纲!F98-$C$7,0)*INDEX($BU$7:$BU$15,MATCH(CA$10,$BT$7:$BT$15,0))/30</f>
        <v>621278.33360671112</v>
      </c>
      <c r="CI105" s="10">
        <f>MAX(节奏总纲!G98-$C$7,0)*INDEX($BU$7:$BU$15,MATCH(CB$10,$BT$7:$BT$15,0))/30</f>
        <v>813481.28636016138</v>
      </c>
      <c r="CJ105" s="10">
        <f>MAX(节奏总纲!H98-$C$7,0)*INDEX($BU$7:$BU$15,MATCH(CC$10,$BT$7:$BT$15,0))/30</f>
        <v>1357039.3968955921</v>
      </c>
    </row>
    <row r="106" spans="15:88" x14ac:dyDescent="0.15">
      <c r="O106" s="2">
        <v>95</v>
      </c>
      <c r="P106" s="2">
        <f t="shared" si="40"/>
        <v>1900</v>
      </c>
      <c r="AC106" s="2">
        <v>96</v>
      </c>
      <c r="AD106" s="2">
        <f t="shared" si="50"/>
        <v>0</v>
      </c>
      <c r="AE106" s="2">
        <f t="shared" si="51"/>
        <v>1540</v>
      </c>
      <c r="AF106" s="2">
        <f t="shared" si="52"/>
        <v>3850</v>
      </c>
      <c r="AG106" s="2">
        <f t="shared" si="53"/>
        <v>7700</v>
      </c>
      <c r="AH106" s="2">
        <f t="shared" si="54"/>
        <v>15400</v>
      </c>
      <c r="AJ106" s="10">
        <v>96</v>
      </c>
      <c r="AK106" s="10">
        <f>IFERROR(求节点(节奏总纲!R$4:R$363,AD$11:AD$370,$AC106),0)</f>
        <v>0</v>
      </c>
      <c r="AL106" s="10">
        <f>IFERROR(求节点(节奏总纲!S$4:S$363,AE$11:AE$370,$AC106),0)</f>
        <v>8490.2316379369367</v>
      </c>
      <c r="AM106" s="10">
        <f>IFERROR(求节点(节奏总纲!T$4:T$363,AF$11:AF$370,$AC106),0)</f>
        <v>20478.339503874005</v>
      </c>
      <c r="AN106" s="10">
        <f>IFERROR(求节点(节奏总纲!U$4:U$363,AG$11:AG$370,$AC106),0)</f>
        <v>38830.855717438055</v>
      </c>
      <c r="AO106" s="10">
        <f>IFERROR(求节点(节奏总纲!V$4:V$363,AH$11:AH$370,$AC106),0)</f>
        <v>41271.573838063479</v>
      </c>
      <c r="AZ106" s="10">
        <v>96</v>
      </c>
      <c r="BA106" s="10">
        <f t="shared" si="44"/>
        <v>862400</v>
      </c>
      <c r="BB106" s="10">
        <f t="shared" si="45"/>
        <v>1293600</v>
      </c>
      <c r="BC106" s="10">
        <f t="shared" si="46"/>
        <v>1724800</v>
      </c>
      <c r="BD106" s="10">
        <f t="shared" si="47"/>
        <v>2156000</v>
      </c>
      <c r="BE106" s="10">
        <f t="shared" si="48"/>
        <v>2587200</v>
      </c>
      <c r="BG106" s="10">
        <v>96</v>
      </c>
      <c r="BH106" s="10">
        <f>MAX(节奏总纲!D99-$C$7,0)*C$22*$C$8*($AV$6+$AV$22)/30</f>
        <v>9735279.2588300984</v>
      </c>
      <c r="BI106" s="10">
        <f>MAX(节奏总纲!E99-$C$7,0)*D$22*$C$8*($AV$6+$AV$22)/30</f>
        <v>12368334.719784284</v>
      </c>
      <c r="BJ106" s="10">
        <f>MAX(节奏总纲!F99-$C$7,0)*E$22*$C$8*($AV$6+$AV$22)/30</f>
        <v>13066067.114376042</v>
      </c>
      <c r="BK106" s="10">
        <f>MAX(节奏总纲!G99-$C$7,0)*F$22*$C$8*($AV$6+$AV$22)/30</f>
        <v>11456298.929843361</v>
      </c>
      <c r="BL106" s="10">
        <f>MAX(节奏总纲!H99-$C$7,0)*G$22*$C$8*($AV$6+$AV$22)/30</f>
        <v>6932912.502545258</v>
      </c>
      <c r="BX106" s="10">
        <v>96</v>
      </c>
      <c r="BY106" s="10">
        <f t="shared" si="56"/>
        <v>44000</v>
      </c>
      <c r="BZ106" s="10">
        <f t="shared" si="56"/>
        <v>66000</v>
      </c>
      <c r="CA106" s="10">
        <f t="shared" si="56"/>
        <v>88000</v>
      </c>
      <c r="CB106" s="10">
        <f t="shared" si="56"/>
        <v>165000</v>
      </c>
      <c r="CC106" s="10">
        <f t="shared" si="56"/>
        <v>550000</v>
      </c>
      <c r="CE106" s="10">
        <v>96</v>
      </c>
      <c r="CF106" s="10">
        <f>MAX(节奏总纲!D99-$C$7,0)*INDEX($BU$7:$BU$15,MATCH(BY$10,$BT$7:$BT$15,0))/30</f>
        <v>496697.92136888247</v>
      </c>
      <c r="CG106" s="10">
        <f>MAX(节奏总纲!E99-$C$7,0)*INDEX($BU$7:$BU$15,MATCH(BZ$10,$BT$7:$BT$15,0))/30</f>
        <v>631037.48570327985</v>
      </c>
      <c r="CH106" s="10">
        <f>MAX(节奏总纲!F99-$C$7,0)*INDEX($BU$7:$BU$15,MATCH(CA$10,$BT$7:$BT$15,0))/30</f>
        <v>666636.07726408367</v>
      </c>
      <c r="CI106" s="10">
        <f>MAX(节奏总纲!G99-$C$7,0)*INDEX($BU$7:$BU$15,MATCH(CB$10,$BT$7:$BT$15,0))/30</f>
        <v>876757.57116148167</v>
      </c>
      <c r="CJ106" s="10">
        <f>MAX(节奏总纲!H99-$C$7,0)*INDEX($BU$7:$BU$15,MATCH(CC$10,$BT$7:$BT$15,0))/30</f>
        <v>1473833.4401669344</v>
      </c>
    </row>
    <row r="107" spans="15:88" x14ac:dyDescent="0.15">
      <c r="O107" s="2">
        <v>96</v>
      </c>
      <c r="P107" s="2">
        <f t="shared" si="40"/>
        <v>1920</v>
      </c>
      <c r="AC107" s="2">
        <v>97</v>
      </c>
      <c r="AD107" s="2">
        <f t="shared" si="50"/>
        <v>0</v>
      </c>
      <c r="AE107" s="2">
        <f t="shared" si="51"/>
        <v>1563.3333333333333</v>
      </c>
      <c r="AF107" s="2">
        <f t="shared" si="52"/>
        <v>3908.3333333333335</v>
      </c>
      <c r="AG107" s="2">
        <f t="shared" si="53"/>
        <v>7816.666666666667</v>
      </c>
      <c r="AH107" s="2">
        <f t="shared" si="54"/>
        <v>15633.333333333334</v>
      </c>
      <c r="AJ107" s="10">
        <v>97</v>
      </c>
      <c r="AK107" s="10">
        <f>IFERROR(求节点(节奏总纲!R$4:R$363,AD$11:AD$370,$AC107),0)</f>
        <v>0</v>
      </c>
      <c r="AL107" s="10">
        <f>IFERROR(求节点(节奏总纲!S$4:S$363,AE$11:AE$370,$AC107),0)</f>
        <v>8578.671550832114</v>
      </c>
      <c r="AM107" s="10">
        <f>IFERROR(求节点(节奏总纲!T$4:T$363,AF$11:AF$370,$AC107),0)</f>
        <v>20691.655540372692</v>
      </c>
      <c r="AN107" s="10">
        <f>IFERROR(求节点(节奏总纲!U$4:U$363,AG$11:AG$370,$AC107),0)</f>
        <v>39235.343797828034</v>
      </c>
      <c r="AO107" s="10">
        <f>IFERROR(求节点(节奏总纲!V$4:V$363,AH$11:AH$370,$AC107),0)</f>
        <v>45107.44604943641</v>
      </c>
      <c r="AZ107" s="10">
        <v>97</v>
      </c>
      <c r="BA107" s="10">
        <f t="shared" si="44"/>
        <v>875466.66666666663</v>
      </c>
      <c r="BB107" s="10">
        <f t="shared" si="45"/>
        <v>1313200</v>
      </c>
      <c r="BC107" s="10">
        <f t="shared" si="46"/>
        <v>1750933.3333333333</v>
      </c>
      <c r="BD107" s="10">
        <f t="shared" si="47"/>
        <v>2188666.6666666665</v>
      </c>
      <c r="BE107" s="10">
        <f t="shared" si="48"/>
        <v>2626400</v>
      </c>
      <c r="BG107" s="10">
        <v>97</v>
      </c>
      <c r="BH107" s="10">
        <f>MAX(节奏总纲!D100-$C$7,0)*C$22*$C$8*($AV$6+$AV$22)/30</f>
        <v>10463086.997218784</v>
      </c>
      <c r="BI107" s="10">
        <f>MAX(节奏总纲!E100-$C$7,0)*D$22*$C$8*($AV$6+$AV$22)/30</f>
        <v>13283172.919396022</v>
      </c>
      <c r="BJ107" s="10">
        <f>MAX(节奏总纲!F100-$C$7,0)*E$22*$C$8*($AV$6+$AV$22)/30</f>
        <v>14093982.238388065</v>
      </c>
      <c r="BK107" s="10">
        <f>MAX(节奏总纲!G100-$C$7,0)*F$22*$C$8*($AV$6+$AV$22)/30</f>
        <v>12407036.039320063</v>
      </c>
      <c r="BL107" s="10">
        <f>MAX(节奏总纲!H100-$C$7,0)*G$22*$C$8*($AV$6+$AV$22)/30</f>
        <v>7577542.1545572262</v>
      </c>
      <c r="BX107" s="10">
        <v>97</v>
      </c>
      <c r="BY107" s="10">
        <f t="shared" si="56"/>
        <v>44666.666666666664</v>
      </c>
      <c r="BZ107" s="10">
        <f t="shared" si="56"/>
        <v>67000</v>
      </c>
      <c r="CA107" s="10">
        <f t="shared" si="56"/>
        <v>89333.333333333328</v>
      </c>
      <c r="CB107" s="10">
        <f t="shared" si="56"/>
        <v>167500</v>
      </c>
      <c r="CC107" s="10">
        <f t="shared" si="56"/>
        <v>558333.33333333337</v>
      </c>
      <c r="CE107" s="10">
        <v>97</v>
      </c>
      <c r="CF107" s="10">
        <f>MAX(节奏总纲!D100-$C$7,0)*INDEX($BU$7:$BU$15,MATCH(BY$10,$BT$7:$BT$15,0))/30</f>
        <v>533830.96924585628</v>
      </c>
      <c r="CG107" s="10">
        <f>MAX(节奏总纲!E100-$C$7,0)*INDEX($BU$7:$BU$15,MATCH(BZ$10,$BT$7:$BT$15,0))/30</f>
        <v>677712.90405081748</v>
      </c>
      <c r="CH107" s="10">
        <f>MAX(节奏总纲!F100-$C$7,0)*INDEX($BU$7:$BU$15,MATCH(CA$10,$BT$7:$BT$15,0))/30</f>
        <v>719080.72644837073</v>
      </c>
      <c r="CI107" s="10">
        <f>MAX(节奏总纲!G100-$C$7,0)*INDEX($BU$7:$BU$15,MATCH(CB$10,$BT$7:$BT$15,0))/30</f>
        <v>949518.06423367851</v>
      </c>
      <c r="CJ107" s="10">
        <f>MAX(节奏总纲!H100-$C$7,0)*INDEX($BU$7:$BU$15,MATCH(CC$10,$BT$7:$BT$15,0))/30</f>
        <v>1610872.0566660769</v>
      </c>
    </row>
    <row r="108" spans="15:88" x14ac:dyDescent="0.15">
      <c r="O108" s="2">
        <v>97</v>
      </c>
      <c r="P108" s="2">
        <f t="shared" si="40"/>
        <v>1940</v>
      </c>
      <c r="AC108" s="2">
        <v>98</v>
      </c>
      <c r="AD108" s="2">
        <f t="shared" si="50"/>
        <v>0</v>
      </c>
      <c r="AE108" s="2">
        <f t="shared" si="51"/>
        <v>1586.6666666666667</v>
      </c>
      <c r="AF108" s="2">
        <f t="shared" si="52"/>
        <v>3966.6666666666665</v>
      </c>
      <c r="AG108" s="2">
        <f t="shared" si="53"/>
        <v>7933.333333333333</v>
      </c>
      <c r="AH108" s="2">
        <f t="shared" si="54"/>
        <v>15866.666666666666</v>
      </c>
      <c r="AJ108" s="10">
        <v>98</v>
      </c>
      <c r="AK108" s="10">
        <f>IFERROR(求节点(节奏总纲!R$4:R$363,AD$11:AD$370,$AC108),0)</f>
        <v>0</v>
      </c>
      <c r="AL108" s="10">
        <f>IFERROR(求节点(节奏总纲!S$4:S$363,AE$11:AE$370,$AC108),0)</f>
        <v>8667.1114637272913</v>
      </c>
      <c r="AM108" s="10">
        <f>IFERROR(求节点(节奏总纲!T$4:T$363,AF$11:AF$370,$AC108),0)</f>
        <v>20904.97157687138</v>
      </c>
      <c r="AN108" s="10">
        <f>IFERROR(求节点(节奏总纲!U$4:U$363,AG$11:AG$370,$AC108),0)</f>
        <v>39639.831878218014</v>
      </c>
      <c r="AO108" s="10">
        <f>IFERROR(求节点(节奏总纲!V$4:V$363,AH$11:AH$370,$AC108),0)</f>
        <v>49179.517552355093</v>
      </c>
      <c r="AZ108" s="10">
        <v>98</v>
      </c>
      <c r="BA108" s="10">
        <f t="shared" si="44"/>
        <v>888533.33333333337</v>
      </c>
      <c r="BB108" s="10">
        <f t="shared" si="45"/>
        <v>1332800</v>
      </c>
      <c r="BC108" s="10">
        <f t="shared" si="46"/>
        <v>1777066.6666666667</v>
      </c>
      <c r="BD108" s="10">
        <f t="shared" si="47"/>
        <v>2221333.3333333335</v>
      </c>
      <c r="BE108" s="10">
        <f t="shared" si="48"/>
        <v>2665600</v>
      </c>
      <c r="BG108" s="10">
        <v>98</v>
      </c>
      <c r="BH108" s="10">
        <f>MAX(节奏总纲!D101-$C$7,0)*C$22*$C$8*($AV$6+$AV$22)/30</f>
        <v>11243132.017052352</v>
      </c>
      <c r="BI108" s="10">
        <f>MAX(节奏总纲!E101-$C$7,0)*D$22*$C$8*($AV$6+$AV$22)/30</f>
        <v>14314858.844041506</v>
      </c>
      <c r="BJ108" s="10">
        <f>MAX(节奏总纲!F101-$C$7,0)*E$22*$C$8*($AV$6+$AV$22)/30</f>
        <v>15235249.761077682</v>
      </c>
      <c r="BK108" s="10">
        <f>MAX(节奏总纲!G101-$C$7,0)*F$22*$C$8*($AV$6+$AV$22)/30</f>
        <v>13456290.050157705</v>
      </c>
      <c r="BL108" s="10">
        <f>MAX(节奏总纲!H101-$C$7,0)*G$22*$C$8*($AV$6+$AV$22)/30</f>
        <v>8262419.0922328671</v>
      </c>
      <c r="BX108" s="10">
        <v>98</v>
      </c>
      <c r="BY108" s="10">
        <f t="shared" si="56"/>
        <v>45333.333333333336</v>
      </c>
      <c r="BZ108" s="10">
        <f t="shared" si="56"/>
        <v>68000</v>
      </c>
      <c r="CA108" s="10">
        <f t="shared" si="56"/>
        <v>90666.666666666672</v>
      </c>
      <c r="CB108" s="10">
        <f t="shared" si="56"/>
        <v>170000</v>
      </c>
      <c r="CC108" s="10">
        <f t="shared" si="56"/>
        <v>566666.66666666663</v>
      </c>
      <c r="CE108" s="10">
        <v>98</v>
      </c>
      <c r="CF108" s="10">
        <f>MAX(节奏总纲!D101-$C$7,0)*INDEX($BU$7:$BU$15,MATCH(BY$10,$BT$7:$BT$15,0))/30</f>
        <v>573629.18454348738</v>
      </c>
      <c r="CG108" s="10">
        <f>MAX(节奏总纲!E101-$C$7,0)*INDEX($BU$7:$BU$15,MATCH(BZ$10,$BT$7:$BT$15,0))/30</f>
        <v>730349.94102252589</v>
      </c>
      <c r="CH108" s="10">
        <f>MAX(节奏总纲!F101-$C$7,0)*INDEX($BU$7:$BU$15,MATCH(CA$10,$BT$7:$BT$15,0))/30</f>
        <v>777308.66127947345</v>
      </c>
      <c r="CI108" s="10">
        <f>MAX(节奏总纲!G101-$C$7,0)*INDEX($BU$7:$BU$15,MATCH(CB$10,$BT$7:$BT$15,0))/30</f>
        <v>1029818.116083498</v>
      </c>
      <c r="CJ108" s="10">
        <f>MAX(节奏总纲!H101-$C$7,0)*INDEX($BU$7:$BU$15,MATCH(CC$10,$BT$7:$BT$15,0))/30</f>
        <v>1756466.6437569871</v>
      </c>
    </row>
    <row r="109" spans="15:88" x14ac:dyDescent="0.15">
      <c r="O109" s="2">
        <v>98</v>
      </c>
      <c r="P109" s="2">
        <f t="shared" si="40"/>
        <v>1960</v>
      </c>
      <c r="AC109" s="2">
        <v>99</v>
      </c>
      <c r="AD109" s="2">
        <f t="shared" si="50"/>
        <v>0</v>
      </c>
      <c r="AE109" s="2">
        <f t="shared" si="51"/>
        <v>1610</v>
      </c>
      <c r="AF109" s="2">
        <f t="shared" si="52"/>
        <v>4025</v>
      </c>
      <c r="AG109" s="2">
        <f t="shared" si="53"/>
        <v>8050</v>
      </c>
      <c r="AH109" s="2">
        <f t="shared" si="54"/>
        <v>16100</v>
      </c>
      <c r="AJ109" s="10">
        <v>99</v>
      </c>
      <c r="AK109" s="10">
        <f>IFERROR(求节点(节奏总纲!R$4:R$363,AD$11:AD$370,$AC109),0)</f>
        <v>0</v>
      </c>
      <c r="AL109" s="10">
        <f>IFERROR(求节点(节奏总纲!S$4:S$363,AE$11:AE$370,$AC109),0)</f>
        <v>8755.5513766224667</v>
      </c>
      <c r="AM109" s="10">
        <f>IFERROR(求节点(节奏总纲!T$4:T$363,AF$11:AF$370,$AC109),0)</f>
        <v>21118.287613370067</v>
      </c>
      <c r="AN109" s="10">
        <f>IFERROR(求节点(节奏总纲!U$4:U$363,AG$11:AG$370,$AC109),0)</f>
        <v>40044.319958607994</v>
      </c>
      <c r="AO109" s="10">
        <f>IFERROR(求节点(节奏总纲!V$4:V$363,AH$11:AH$370,$AC109),0)</f>
        <v>53107.721017040785</v>
      </c>
      <c r="AZ109" s="10">
        <v>99</v>
      </c>
      <c r="BA109" s="10">
        <f t="shared" si="44"/>
        <v>901600</v>
      </c>
      <c r="BB109" s="10">
        <f t="shared" si="45"/>
        <v>1352400</v>
      </c>
      <c r="BC109" s="10">
        <f t="shared" si="46"/>
        <v>1803200</v>
      </c>
      <c r="BD109" s="10">
        <f t="shared" si="47"/>
        <v>2254000</v>
      </c>
      <c r="BE109" s="10">
        <f t="shared" si="48"/>
        <v>2704800</v>
      </c>
      <c r="BG109" s="10">
        <v>99</v>
      </c>
      <c r="BH109" s="10">
        <f>MAX(节奏总纲!D102-$C$7,0)*C$22*$C$8*($AV$6+$AV$22)/30</f>
        <v>12079163.568893557</v>
      </c>
      <c r="BI109" s="10">
        <f>MAX(节奏总纲!E102-$C$7,0)*D$22*$C$8*($AV$6+$AV$22)/30</f>
        <v>15415620.649782663</v>
      </c>
      <c r="BJ109" s="10">
        <f>MAX(节奏总纲!F102-$C$7,0)*E$22*$C$8*($AV$6+$AV$22)/30</f>
        <v>16428699.957786893</v>
      </c>
      <c r="BK109" s="10">
        <f>MAX(节奏总纲!G102-$C$7,0)*F$22*$C$8*($AV$6+$AV$22)/30</f>
        <v>14549716.434164707</v>
      </c>
      <c r="BL109" s="10">
        <f>MAX(节奏总纲!H102-$C$7,0)*G$22*$C$8*($AV$6+$AV$22)/30</f>
        <v>8921901.1417331137</v>
      </c>
      <c r="BX109" s="10">
        <v>99</v>
      </c>
      <c r="BY109" s="10">
        <f t="shared" si="56"/>
        <v>46000</v>
      </c>
      <c r="BZ109" s="10">
        <f t="shared" si="56"/>
        <v>69000</v>
      </c>
      <c r="CA109" s="10">
        <f t="shared" si="56"/>
        <v>92000</v>
      </c>
      <c r="CB109" s="10">
        <f t="shared" si="56"/>
        <v>172500</v>
      </c>
      <c r="CC109" s="10">
        <f t="shared" si="56"/>
        <v>575000</v>
      </c>
      <c r="CE109" s="10">
        <v>99</v>
      </c>
      <c r="CF109" s="10">
        <f>MAX(节奏总纲!D102-$C$7,0)*INDEX($BU$7:$BU$15,MATCH(BY$10,$BT$7:$BT$15,0))/30</f>
        <v>616283.85555579385</v>
      </c>
      <c r="CG109" s="10">
        <f>MAX(节奏总纲!E102-$C$7,0)*INDEX($BU$7:$BU$15,MATCH(BZ$10,$BT$7:$BT$15,0))/30</f>
        <v>786511.25764197251</v>
      </c>
      <c r="CH109" s="10">
        <f>MAX(节奏总纲!F102-$C$7,0)*INDEX($BU$7:$BU$15,MATCH(CA$10,$BT$7:$BT$15,0))/30</f>
        <v>838198.97743810678</v>
      </c>
      <c r="CI109" s="10">
        <f>MAX(节奏总纲!G102-$C$7,0)*INDEX($BU$7:$BU$15,MATCH(CB$10,$BT$7:$BT$15,0))/30</f>
        <v>1113498.7066962784</v>
      </c>
      <c r="CJ109" s="10">
        <f>MAX(节奏总纲!H102-$C$7,0)*INDEX($BU$7:$BU$15,MATCH(CC$10,$BT$7:$BT$15,0))/30</f>
        <v>1896662.6576813592</v>
      </c>
    </row>
    <row r="110" spans="15:88" x14ac:dyDescent="0.15">
      <c r="O110" s="2">
        <v>99</v>
      </c>
      <c r="P110" s="2">
        <f t="shared" si="40"/>
        <v>1980</v>
      </c>
      <c r="AC110" s="2">
        <v>100</v>
      </c>
      <c r="AD110" s="2">
        <f t="shared" si="50"/>
        <v>0</v>
      </c>
      <c r="AE110" s="2">
        <f t="shared" si="51"/>
        <v>1633.3333333333333</v>
      </c>
      <c r="AF110" s="2">
        <f t="shared" si="52"/>
        <v>4083.3333333333335</v>
      </c>
      <c r="AG110" s="2">
        <f t="shared" si="53"/>
        <v>8166.666666666667</v>
      </c>
      <c r="AH110" s="2">
        <f t="shared" si="54"/>
        <v>16333.333333333334</v>
      </c>
      <c r="AJ110" s="10">
        <v>100</v>
      </c>
      <c r="AK110" s="10">
        <f>IFERROR(求节点(节奏总纲!R$4:R$363,AD$11:AD$370,$AC110),0)</f>
        <v>0</v>
      </c>
      <c r="AL110" s="10">
        <f>IFERROR(求节点(节奏总纲!S$4:S$363,AE$11:AE$370,$AC110),0)</f>
        <v>8843.991289517644</v>
      </c>
      <c r="AM110" s="10">
        <f>IFERROR(求节点(节奏总纲!T$4:T$363,AF$11:AF$370,$AC110),0)</f>
        <v>21331.603649868757</v>
      </c>
      <c r="AN110" s="10">
        <f>IFERROR(求节点(节奏总纲!U$4:U$363,AG$11:AG$370,$AC110),0)</f>
        <v>40448.808038997973</v>
      </c>
      <c r="AO110" s="10">
        <f>IFERROR(求节点(节奏总纲!V$4:V$363,AH$11:AH$370,$AC110),0)</f>
        <v>57118.047772590689</v>
      </c>
      <c r="AZ110" s="10">
        <v>100</v>
      </c>
      <c r="BA110" s="10">
        <f t="shared" si="44"/>
        <v>914666.66666666663</v>
      </c>
      <c r="BB110" s="10">
        <f t="shared" si="45"/>
        <v>1372000</v>
      </c>
      <c r="BC110" s="10">
        <f t="shared" si="46"/>
        <v>1829333.3333333333</v>
      </c>
      <c r="BD110" s="10">
        <f t="shared" si="47"/>
        <v>2286666.6666666665</v>
      </c>
      <c r="BE110" s="10">
        <f t="shared" si="48"/>
        <v>2744000</v>
      </c>
      <c r="BG110" s="10">
        <v>100</v>
      </c>
      <c r="BH110" s="10">
        <f>MAX(节奏总纲!D103-$C$7,0)*C$22*$C$8*($AV$6+$AV$22)/30</f>
        <v>12975200</v>
      </c>
      <c r="BI110" s="10">
        <f>MAX(节奏总纲!E103-$C$7,0)*D$22*$C$8*($AV$6+$AV$22)/30</f>
        <v>16569469.560000002</v>
      </c>
      <c r="BJ110" s="10">
        <f>MAX(节奏总纲!F103-$C$7,0)*E$22*$C$8*($AV$6+$AV$22)/30</f>
        <v>17684123.52</v>
      </c>
      <c r="BK110" s="10">
        <f>MAX(节奏总纲!G103-$C$7,0)*F$22*$C$8*($AV$6+$AV$22)/30</f>
        <v>15622062.4</v>
      </c>
      <c r="BL110" s="10">
        <f>MAX(节奏总纲!H103-$C$7,0)*G$22*$C$8*($AV$6+$AV$22)/30</f>
        <v>9595289.7599999998</v>
      </c>
      <c r="BX110" s="10">
        <v>100</v>
      </c>
      <c r="BY110" s="10">
        <f t="shared" si="56"/>
        <v>46666.666666666664</v>
      </c>
      <c r="BZ110" s="10">
        <f t="shared" si="56"/>
        <v>70000</v>
      </c>
      <c r="CA110" s="10">
        <f t="shared" si="56"/>
        <v>93333.333333333328</v>
      </c>
      <c r="CB110" s="10">
        <f t="shared" si="56"/>
        <v>175000</v>
      </c>
      <c r="CC110" s="10">
        <f t="shared" si="56"/>
        <v>583333.33333333337</v>
      </c>
      <c r="CE110" s="10">
        <v>100</v>
      </c>
      <c r="CF110" s="10">
        <f>MAX(节奏总纲!D103-$C$7,0)*INDEX($BU$7:$BU$15,MATCH(BY$10,$BT$7:$BT$15,0))/30</f>
        <v>662000</v>
      </c>
      <c r="CG110" s="10">
        <f>MAX(节奏总纲!E103-$C$7,0)*INDEX($BU$7:$BU$15,MATCH(BZ$10,$BT$7:$BT$15,0))/30</f>
        <v>845381.1</v>
      </c>
      <c r="CH110" s="10">
        <f>MAX(节奏总纲!F103-$C$7,0)*INDEX($BU$7:$BU$15,MATCH(CA$10,$BT$7:$BT$15,0))/30</f>
        <v>902251.2</v>
      </c>
      <c r="CI110" s="10">
        <f>MAX(节奏总纲!G103-$C$7,0)*INDEX($BU$7:$BU$15,MATCH(CB$10,$BT$7:$BT$15,0))/30</f>
        <v>1195566</v>
      </c>
      <c r="CJ110" s="10">
        <f>MAX(节奏总纲!H103-$C$7,0)*INDEX($BU$7:$BU$15,MATCH(CC$10,$BT$7:$BT$15,0))/30</f>
        <v>2039815</v>
      </c>
    </row>
    <row r="111" spans="15:88" x14ac:dyDescent="0.15">
      <c r="O111" s="2">
        <v>100</v>
      </c>
      <c r="P111" s="2">
        <f t="shared" ref="P111:P174" si="57">P110+INDEX($L$11:$L$32,MATCH(P110,$J$11:$J$32,1))</f>
        <v>2000</v>
      </c>
      <c r="AC111" s="2">
        <v>101</v>
      </c>
      <c r="AD111" s="2">
        <f t="shared" si="50"/>
        <v>0</v>
      </c>
      <c r="AE111" s="2">
        <f t="shared" si="51"/>
        <v>1656.6666666666667</v>
      </c>
      <c r="AF111" s="2">
        <f t="shared" si="52"/>
        <v>4141.666666666667</v>
      </c>
      <c r="AG111" s="2">
        <f t="shared" si="53"/>
        <v>8283.3333333333339</v>
      </c>
      <c r="AH111" s="2">
        <f t="shared" si="54"/>
        <v>16566.666666666668</v>
      </c>
      <c r="AJ111" s="10">
        <v>101</v>
      </c>
      <c r="AK111" s="10">
        <f>IFERROR(求节点(节奏总纲!R$4:R$363,AD$11:AD$370,$AC111),0)</f>
        <v>0</v>
      </c>
      <c r="AL111" s="10">
        <f>IFERROR(求节点(节奏总纲!S$4:S$363,AE$11:AE$370,$AC111),0)</f>
        <v>8932.4312024128194</v>
      </c>
      <c r="AM111" s="10">
        <f>IFERROR(求节点(节奏总纲!T$4:T$363,AF$11:AF$370,$AC111),0)</f>
        <v>21544.919686367444</v>
      </c>
      <c r="AN111" s="10">
        <f>IFERROR(求节点(节奏总纲!U$4:U$363,AG$11:AG$370,$AC111),0)</f>
        <v>40853.296119387953</v>
      </c>
      <c r="AO111" s="10">
        <f>IFERROR(求节点(节奏总纲!V$4:V$363,AH$11:AH$370,$AC111),0)</f>
        <v>61469.625163955061</v>
      </c>
      <c r="AZ111" s="10">
        <v>101</v>
      </c>
      <c r="BA111" s="10">
        <f t="shared" si="44"/>
        <v>927733.33333333337</v>
      </c>
      <c r="BB111" s="10">
        <f t="shared" si="45"/>
        <v>1391600</v>
      </c>
      <c r="BC111" s="10">
        <f t="shared" si="46"/>
        <v>1855466.6666666667</v>
      </c>
      <c r="BD111" s="10">
        <f t="shared" si="47"/>
        <v>2319333.3333333335</v>
      </c>
      <c r="BE111" s="10">
        <f t="shared" si="48"/>
        <v>2783200</v>
      </c>
      <c r="BG111" s="10">
        <v>101</v>
      </c>
      <c r="BH111" s="10">
        <f>MAX(节奏总纲!D104-$C$7,0)*C$22*$C$8*($AV$6+$AV$22)/30</f>
        <v>13935548.0683256</v>
      </c>
      <c r="BI111" s="10">
        <f>MAX(节奏总纲!E104-$C$7,0)*D$22*$C$8*($AV$6+$AV$22)/30</f>
        <v>17819317.380781315</v>
      </c>
      <c r="BJ111" s="10">
        <f>MAX(节奏总纲!F104-$C$7,0)*E$22*$C$8*($AV$6+$AV$22)/30</f>
        <v>18979419.805448335</v>
      </c>
      <c r="BK111" s="10">
        <f>MAX(节奏总纲!G104-$C$7,0)*F$22*$C$8*($AV$6+$AV$22)/30</f>
        <v>16725267.525433363</v>
      </c>
      <c r="BL111" s="10">
        <f>MAX(节奏总纲!H104-$C$7,0)*G$22*$C$8*($AV$6+$AV$22)/30</f>
        <v>10326155.58925179</v>
      </c>
      <c r="BX111" s="10">
        <v>101</v>
      </c>
      <c r="BY111" s="10">
        <f t="shared" ref="BY111:CC120" si="58">MAX($BX111-$C$7,0)*INDEX($BU$7:$BU$15,MATCH(BY$10,$BT$7:$BT$15,0))/30</f>
        <v>47333.333333333336</v>
      </c>
      <c r="BZ111" s="10">
        <f t="shared" si="58"/>
        <v>71000</v>
      </c>
      <c r="CA111" s="10">
        <f t="shared" si="58"/>
        <v>94666.666666666672</v>
      </c>
      <c r="CB111" s="10">
        <f t="shared" si="58"/>
        <v>177500</v>
      </c>
      <c r="CC111" s="10">
        <f t="shared" si="58"/>
        <v>591666.66666666663</v>
      </c>
      <c r="CE111" s="10">
        <v>101</v>
      </c>
      <c r="CF111" s="10">
        <f>MAX(节奏总纲!D104-$C$7,0)*INDEX($BU$7:$BU$15,MATCH(BY$10,$BT$7:$BT$15,0))/30</f>
        <v>710997.3504247755</v>
      </c>
      <c r="CG111" s="10">
        <f>MAX(节奏总纲!E104-$C$7,0)*INDEX($BU$7:$BU$15,MATCH(BZ$10,$BT$7:$BT$15,0))/30</f>
        <v>909148.84595823043</v>
      </c>
      <c r="CH111" s="10">
        <f>MAX(节奏总纲!F104-$C$7,0)*INDEX($BU$7:$BU$15,MATCH(CA$10,$BT$7:$BT$15,0))/30</f>
        <v>968337.74517593533</v>
      </c>
      <c r="CI111" s="10">
        <f>MAX(节奏总纲!G104-$C$7,0)*INDEX($BU$7:$BU$15,MATCH(CB$10,$BT$7:$BT$15,0))/30</f>
        <v>1279994.9636811246</v>
      </c>
      <c r="CJ111" s="10">
        <f>MAX(节奏总纲!H104-$C$7,0)*INDEX($BU$7:$BU$15,MATCH(CC$10,$BT$7:$BT$15,0))/30</f>
        <v>2195186.137170874</v>
      </c>
    </row>
    <row r="112" spans="15:88" x14ac:dyDescent="0.15">
      <c r="O112" s="2">
        <v>101</v>
      </c>
      <c r="P112" s="2">
        <f t="shared" si="57"/>
        <v>2020</v>
      </c>
      <c r="AC112" s="2">
        <v>102</v>
      </c>
      <c r="AD112" s="2">
        <f t="shared" si="50"/>
        <v>0</v>
      </c>
      <c r="AE112" s="2">
        <f t="shared" si="51"/>
        <v>1680</v>
      </c>
      <c r="AF112" s="2">
        <f t="shared" si="52"/>
        <v>4200</v>
      </c>
      <c r="AG112" s="2">
        <f t="shared" si="53"/>
        <v>8400</v>
      </c>
      <c r="AH112" s="2">
        <f t="shared" si="54"/>
        <v>16800</v>
      </c>
      <c r="AJ112" s="10">
        <v>102</v>
      </c>
      <c r="AK112" s="10">
        <f>IFERROR(求节点(节奏总纲!R$4:R$363,AD$11:AD$370,$AC112),0)</f>
        <v>0</v>
      </c>
      <c r="AL112" s="10">
        <f>IFERROR(求节点(节奏总纲!S$4:S$363,AE$11:AE$370,$AC112),0)</f>
        <v>9020.8711153079967</v>
      </c>
      <c r="AM112" s="10">
        <f>IFERROR(求节点(节奏总纲!T$4:T$363,AF$11:AF$370,$AC112),0)</f>
        <v>21758.235722866131</v>
      </c>
      <c r="AN112" s="10">
        <f>IFERROR(求节点(节奏总纲!U$4:U$363,AG$11:AG$370,$AC112),0)</f>
        <v>41257.784199777932</v>
      </c>
      <c r="AO112" s="10">
        <f>IFERROR(求节点(节奏总纲!V$4:V$363,AH$11:AH$370,$AC112),0)</f>
        <v>66170.041276308155</v>
      </c>
      <c r="AZ112" s="10">
        <v>102</v>
      </c>
      <c r="BA112" s="10">
        <f t="shared" si="44"/>
        <v>940800</v>
      </c>
      <c r="BB112" s="10">
        <f t="shared" si="45"/>
        <v>1411200</v>
      </c>
      <c r="BC112" s="10">
        <f t="shared" si="46"/>
        <v>1881600</v>
      </c>
      <c r="BD112" s="10">
        <f t="shared" si="47"/>
        <v>2352000</v>
      </c>
      <c r="BE112" s="10">
        <f t="shared" si="48"/>
        <v>2822400</v>
      </c>
      <c r="BG112" s="10">
        <v>102</v>
      </c>
      <c r="BH112" s="10">
        <f>MAX(节奏总纲!D105-$C$7,0)*C$22*$C$8*($AV$6+$AV$22)/30</f>
        <v>14964823.642754979</v>
      </c>
      <c r="BI112" s="10">
        <f>MAX(节奏总纲!E105-$C$7,0)*D$22*$C$8*($AV$6+$AV$22)/30</f>
        <v>19095608.704101197</v>
      </c>
      <c r="BJ112" s="10">
        <f>MAX(节奏总纲!F105-$C$7,0)*E$22*$C$8*($AV$6+$AV$22)/30</f>
        <v>20285562.037859838</v>
      </c>
      <c r="BK112" s="10">
        <f>MAX(节奏总纲!G105-$C$7,0)*F$22*$C$8*($AV$6+$AV$22)/30</f>
        <v>17901214.668767251</v>
      </c>
      <c r="BL112" s="10">
        <f>MAX(节奏总纲!H105-$C$7,0)*G$22*$C$8*($AV$6+$AV$22)/30</f>
        <v>11115601.643661086</v>
      </c>
      <c r="BX112" s="10">
        <v>102</v>
      </c>
      <c r="BY112" s="10">
        <f t="shared" si="58"/>
        <v>48000</v>
      </c>
      <c r="BZ112" s="10">
        <f t="shared" si="58"/>
        <v>72000</v>
      </c>
      <c r="CA112" s="10">
        <f t="shared" si="58"/>
        <v>96000</v>
      </c>
      <c r="CB112" s="10">
        <f t="shared" si="58"/>
        <v>180000</v>
      </c>
      <c r="CC112" s="10">
        <f t="shared" si="58"/>
        <v>600000</v>
      </c>
      <c r="CE112" s="10">
        <v>102</v>
      </c>
      <c r="CF112" s="10">
        <f>MAX(节奏总纲!D105-$C$7,0)*INDEX($BU$7:$BU$15,MATCH(BY$10,$BT$7:$BT$15,0))/30</f>
        <v>763511.41034464189</v>
      </c>
      <c r="CG112" s="10">
        <f>MAX(节奏总纲!E105-$C$7,0)*INDEX($BU$7:$BU$15,MATCH(BZ$10,$BT$7:$BT$15,0))/30</f>
        <v>974265.75020924467</v>
      </c>
      <c r="CH112" s="10">
        <f>MAX(节奏总纲!F105-$C$7,0)*INDEX($BU$7:$BU$15,MATCH(CA$10,$BT$7:$BT$15,0))/30</f>
        <v>1034977.6549928488</v>
      </c>
      <c r="CI112" s="10">
        <f>MAX(节奏总纲!G105-$C$7,0)*INDEX($BU$7:$BU$15,MATCH(CB$10,$BT$7:$BT$15,0))/30</f>
        <v>1369990.9185281058</v>
      </c>
      <c r="CJ112" s="10">
        <f>MAX(节奏总纲!H105-$C$7,0)*INDEX($BU$7:$BU$15,MATCH(CC$10,$BT$7:$BT$15,0))/30</f>
        <v>2363010.5534993801</v>
      </c>
    </row>
    <row r="113" spans="15:88" x14ac:dyDescent="0.15">
      <c r="O113" s="2">
        <v>102</v>
      </c>
      <c r="P113" s="2">
        <f t="shared" si="57"/>
        <v>2040</v>
      </c>
      <c r="AC113" s="2">
        <v>103</v>
      </c>
      <c r="AD113" s="2">
        <f t="shared" si="50"/>
        <v>0</v>
      </c>
      <c r="AE113" s="2">
        <f t="shared" si="51"/>
        <v>1703.3333333333333</v>
      </c>
      <c r="AF113" s="2">
        <f t="shared" si="52"/>
        <v>4258.333333333333</v>
      </c>
      <c r="AG113" s="2">
        <f t="shared" si="53"/>
        <v>8516.6666666666661</v>
      </c>
      <c r="AH113" s="2">
        <f t="shared" si="54"/>
        <v>17033.333333333332</v>
      </c>
      <c r="AJ113" s="10">
        <v>103</v>
      </c>
      <c r="AK113" s="10">
        <f>IFERROR(求节点(节奏总纲!R$4:R$363,AD$11:AD$370,$AC113),0)</f>
        <v>0</v>
      </c>
      <c r="AL113" s="10">
        <f>IFERROR(求节点(节奏总纲!S$4:S$363,AE$11:AE$370,$AC113),0)</f>
        <v>9109.3110282031721</v>
      </c>
      <c r="AM113" s="10">
        <f>IFERROR(求节点(节奏总纲!T$4:T$363,AF$11:AF$370,$AC113),0)</f>
        <v>21971.551759364818</v>
      </c>
      <c r="AN113" s="10">
        <f>IFERROR(求节点(节奏总纲!U$4:U$363,AG$11:AG$370,$AC113),0)</f>
        <v>41662.272280167912</v>
      </c>
      <c r="AO113" s="10">
        <f>IFERROR(求节点(节奏总纲!V$4:V$363,AH$11:AH$370,$AC113),0)</f>
        <v>71364.417467227555</v>
      </c>
      <c r="AZ113" s="10">
        <v>103</v>
      </c>
      <c r="BA113" s="10">
        <f t="shared" si="44"/>
        <v>953866.66666666663</v>
      </c>
      <c r="BB113" s="10">
        <f t="shared" si="45"/>
        <v>1430800</v>
      </c>
      <c r="BC113" s="10">
        <f t="shared" si="46"/>
        <v>1907733.3333333333</v>
      </c>
      <c r="BD113" s="10">
        <f t="shared" si="47"/>
        <v>2384666.6666666665</v>
      </c>
      <c r="BE113" s="10">
        <f t="shared" si="48"/>
        <v>2861600</v>
      </c>
      <c r="BG113" s="10">
        <v>103</v>
      </c>
      <c r="BH113" s="10">
        <f>MAX(节奏总纲!D106-$C$7,0)*C$22*$C$8*($AV$6+$AV$22)/30</f>
        <v>16067973.889065206</v>
      </c>
      <c r="BI113" s="10">
        <f>MAX(节奏总纲!E106-$C$7,0)*D$22*$C$8*($AV$6+$AV$22)/30</f>
        <v>20450315.626308691</v>
      </c>
      <c r="BJ113" s="10">
        <f>MAX(节奏总纲!F106-$C$7,0)*E$22*$C$8*($AV$6+$AV$22)/30</f>
        <v>21729952.285463389</v>
      </c>
      <c r="BK113" s="10">
        <f>MAX(节奏总纲!G106-$C$7,0)*F$22*$C$8*($AV$6+$AV$22)/30</f>
        <v>19241077.922716606</v>
      </c>
      <c r="BL113" s="10">
        <f>MAX(节奏总纲!H106-$C$7,0)*G$22*$C$8*($AV$6+$AV$22)/30</f>
        <v>11988687.116474351</v>
      </c>
      <c r="BX113" s="10">
        <v>103</v>
      </c>
      <c r="BY113" s="10">
        <f t="shared" si="58"/>
        <v>48666.666666666664</v>
      </c>
      <c r="BZ113" s="10">
        <f t="shared" si="58"/>
        <v>73000</v>
      </c>
      <c r="CA113" s="10">
        <f t="shared" si="58"/>
        <v>97333.333333333328</v>
      </c>
      <c r="CB113" s="10">
        <f t="shared" si="58"/>
        <v>182500</v>
      </c>
      <c r="CC113" s="10">
        <f t="shared" si="58"/>
        <v>608333.33333333337</v>
      </c>
      <c r="CE113" s="10">
        <v>103</v>
      </c>
      <c r="CF113" s="10">
        <f>MAX(节奏总纲!D106-$C$7,0)*INDEX($BU$7:$BU$15,MATCH(BY$10,$BT$7:$BT$15,0))/30</f>
        <v>819794.58617679623</v>
      </c>
      <c r="CG113" s="10">
        <f>MAX(节奏总纲!E106-$C$7,0)*INDEX($BU$7:$BU$15,MATCH(BZ$10,$BT$7:$BT$15,0))/30</f>
        <v>1043383.450321872</v>
      </c>
      <c r="CH113" s="10">
        <f>MAX(节奏总纲!F106-$C$7,0)*INDEX($BU$7:$BU$15,MATCH(CA$10,$BT$7:$BT$15,0))/30</f>
        <v>1108671.0349726218</v>
      </c>
      <c r="CI113" s="10">
        <f>MAX(节奏总纲!G106-$C$7,0)*INDEX($BU$7:$BU$15,MATCH(CB$10,$BT$7:$BT$15,0))/30</f>
        <v>1472531.4736772913</v>
      </c>
      <c r="CJ113" s="10">
        <f>MAX(节奏总纲!H106-$C$7,0)*INDEX($BU$7:$BU$15,MATCH(CC$10,$BT$7:$BT$15,0))/30</f>
        <v>2548615.4584341734</v>
      </c>
    </row>
    <row r="114" spans="15:88" x14ac:dyDescent="0.15">
      <c r="O114" s="2">
        <v>103</v>
      </c>
      <c r="P114" s="2">
        <f t="shared" si="57"/>
        <v>2060</v>
      </c>
      <c r="AC114" s="2">
        <v>104</v>
      </c>
      <c r="AD114" s="2">
        <f t="shared" si="50"/>
        <v>0</v>
      </c>
      <c r="AE114" s="2">
        <f t="shared" si="51"/>
        <v>1726.6666666666667</v>
      </c>
      <c r="AF114" s="2">
        <f t="shared" si="52"/>
        <v>4316.666666666667</v>
      </c>
      <c r="AG114" s="2">
        <f t="shared" si="53"/>
        <v>8633.3333333333339</v>
      </c>
      <c r="AH114" s="2">
        <f t="shared" si="54"/>
        <v>17266.666666666668</v>
      </c>
      <c r="AJ114" s="10">
        <v>104</v>
      </c>
      <c r="AK114" s="10">
        <f>IFERROR(求节点(节奏总纲!R$4:R$363,AD$11:AD$370,$AC114),0)</f>
        <v>0</v>
      </c>
      <c r="AL114" s="10">
        <f>IFERROR(求节点(节奏总纲!S$4:S$363,AE$11:AE$370,$AC114),0)</f>
        <v>9197.7509410983494</v>
      </c>
      <c r="AM114" s="10">
        <f>IFERROR(求节点(节奏总纲!T$4:T$363,AF$11:AF$370,$AC114),0)</f>
        <v>22184.867795863505</v>
      </c>
      <c r="AN114" s="10">
        <f>IFERROR(求节点(节奏总纲!U$4:U$363,AG$11:AG$370,$AC114),0)</f>
        <v>42066.760360557892</v>
      </c>
      <c r="AO114" s="10">
        <f>IFERROR(求节点(节奏总纲!V$4:V$363,AH$11:AH$370,$AC114),0)</f>
        <v>77014.923326341814</v>
      </c>
      <c r="AZ114" s="10">
        <v>104</v>
      </c>
      <c r="BA114" s="10">
        <f t="shared" si="44"/>
        <v>966933.33333333337</v>
      </c>
      <c r="BB114" s="10">
        <f t="shared" si="45"/>
        <v>1450400</v>
      </c>
      <c r="BC114" s="10">
        <f t="shared" si="46"/>
        <v>1933866.6666666667</v>
      </c>
      <c r="BD114" s="10">
        <f t="shared" si="47"/>
        <v>2417333.3333333335</v>
      </c>
      <c r="BE114" s="10">
        <f t="shared" si="48"/>
        <v>2900800</v>
      </c>
      <c r="BG114" s="10">
        <v>104</v>
      </c>
      <c r="BH114" s="10">
        <f>MAX(节奏总纲!D107-$C$7,0)*C$22*$C$8*($AV$6+$AV$22)/30</f>
        <v>17250301.048250865</v>
      </c>
      <c r="BI114" s="10">
        <f>MAX(节奏总纲!E107-$C$7,0)*D$22*$C$8*($AV$6+$AV$22)/30</f>
        <v>21966799.775136314</v>
      </c>
      <c r="BJ114" s="10">
        <f>MAX(节奏总纲!F107-$C$7,0)*E$22*$C$8*($AV$6+$AV$22)/30</f>
        <v>23400066.276942279</v>
      </c>
      <c r="BK114" s="10">
        <f>MAX(节奏总纲!G107-$C$7,0)*F$22*$C$8*($AV$6+$AV$22)/30</f>
        <v>20746493.740920942</v>
      </c>
      <c r="BL114" s="10">
        <f>MAX(节奏总纲!H107-$C$7,0)*G$22*$C$8*($AV$6+$AV$22)/30</f>
        <v>12955483.139648942</v>
      </c>
      <c r="BX114" s="10">
        <v>104</v>
      </c>
      <c r="BY114" s="10">
        <f t="shared" si="58"/>
        <v>49333.333333333336</v>
      </c>
      <c r="BZ114" s="10">
        <f t="shared" si="58"/>
        <v>74000</v>
      </c>
      <c r="CA114" s="10">
        <f t="shared" si="58"/>
        <v>98666.666666666672</v>
      </c>
      <c r="CB114" s="10">
        <f t="shared" si="58"/>
        <v>185000</v>
      </c>
      <c r="CC114" s="10">
        <f t="shared" si="58"/>
        <v>616666.66666666663</v>
      </c>
      <c r="CE114" s="10">
        <v>104</v>
      </c>
      <c r="CF114" s="10">
        <f>MAX(节奏总纲!D107-$C$7,0)*INDEX($BU$7:$BU$15,MATCH(BY$10,$BT$7:$BT$15,0))/30</f>
        <v>880117.40042096237</v>
      </c>
      <c r="CG114" s="10">
        <f>MAX(节奏总纲!E107-$C$7,0)*INDEX($BU$7:$BU$15,MATCH(BZ$10,$BT$7:$BT$15,0))/30</f>
        <v>1120755.0905681795</v>
      </c>
      <c r="CH114" s="10">
        <f>MAX(节奏总纲!F107-$C$7,0)*INDEX($BU$7:$BU$15,MATCH(CA$10,$BT$7:$BT$15,0))/30</f>
        <v>1193880.9324970553</v>
      </c>
      <c r="CI114" s="10">
        <f>MAX(节奏总纲!G107-$C$7,0)*INDEX($BU$7:$BU$15,MATCH(CB$10,$BT$7:$BT$15,0))/30</f>
        <v>1587741.867927623</v>
      </c>
      <c r="CJ114" s="10">
        <f>MAX(节奏总纲!H107-$C$7,0)*INDEX($BU$7:$BU$15,MATCH(CC$10,$BT$7:$BT$15,0))/30</f>
        <v>2754141.8239049623</v>
      </c>
    </row>
    <row r="115" spans="15:88" x14ac:dyDescent="0.15">
      <c r="O115" s="2">
        <v>104</v>
      </c>
      <c r="P115" s="2">
        <f t="shared" si="57"/>
        <v>2080</v>
      </c>
      <c r="AC115" s="2">
        <v>105</v>
      </c>
      <c r="AD115" s="2">
        <f t="shared" si="50"/>
        <v>0</v>
      </c>
      <c r="AE115" s="2">
        <f t="shared" si="51"/>
        <v>1750</v>
      </c>
      <c r="AF115" s="2">
        <f t="shared" si="52"/>
        <v>4375</v>
      </c>
      <c r="AG115" s="2">
        <f t="shared" si="53"/>
        <v>8750</v>
      </c>
      <c r="AH115" s="2">
        <f t="shared" si="54"/>
        <v>17500</v>
      </c>
      <c r="AJ115" s="10">
        <v>105</v>
      </c>
      <c r="AK115" s="10">
        <f>IFERROR(求节点(节奏总纲!R$4:R$363,AD$11:AD$370,$AC115),0)</f>
        <v>0</v>
      </c>
      <c r="AL115" s="10">
        <f>IFERROR(求节点(节奏总纲!S$4:S$363,AE$11:AE$370,$AC115),0)</f>
        <v>9286.1908539935248</v>
      </c>
      <c r="AM115" s="10">
        <f>IFERROR(求节点(节奏总纲!T$4:T$363,AF$11:AF$370,$AC115),0)</f>
        <v>22398.183832362192</v>
      </c>
      <c r="AN115" s="10">
        <f>IFERROR(求节点(节奏总纲!U$4:U$363,AG$11:AG$370,$AC115),0)</f>
        <v>42471.248440947871</v>
      </c>
      <c r="AO115" s="10">
        <f>IFERROR(求节点(节奏总纲!V$4:V$363,AH$11:AH$370,$AC115),0)</f>
        <v>77755.45143524895</v>
      </c>
      <c r="AZ115" s="10">
        <v>105</v>
      </c>
      <c r="BA115" s="10">
        <f t="shared" si="44"/>
        <v>980000</v>
      </c>
      <c r="BB115" s="10">
        <f t="shared" si="45"/>
        <v>1470000</v>
      </c>
      <c r="BC115" s="10">
        <f t="shared" si="46"/>
        <v>1960000</v>
      </c>
      <c r="BD115" s="10">
        <f t="shared" si="47"/>
        <v>2450000</v>
      </c>
      <c r="BE115" s="10">
        <f t="shared" si="48"/>
        <v>2940000</v>
      </c>
      <c r="BG115" s="10">
        <v>105</v>
      </c>
      <c r="BH115" s="10">
        <f>MAX(节奏总纲!D108-$C$7,0)*C$22*$C$8*($AV$6+$AV$22)/30</f>
        <v>18517487.921501979</v>
      </c>
      <c r="BI115" s="10">
        <f>MAX(节奏总纲!E108-$C$7,0)*D$22*$C$8*($AV$6+$AV$22)/30</f>
        <v>23615199.06512646</v>
      </c>
      <c r="BJ115" s="10">
        <f>MAX(节奏总纲!F108-$C$7,0)*E$22*$C$8*($AV$6+$AV$22)/30</f>
        <v>25171163.121053617</v>
      </c>
      <c r="BK115" s="10">
        <f>MAX(节奏总纲!G108-$C$7,0)*F$22*$C$8*($AV$6+$AV$22)/30</f>
        <v>22330671.235231563</v>
      </c>
      <c r="BL115" s="10">
        <f>MAX(节奏总纲!H108-$C$7,0)*G$22*$C$8*($AV$6+$AV$22)/30</f>
        <v>13970499.825123088</v>
      </c>
      <c r="BX115" s="10">
        <v>105</v>
      </c>
      <c r="BY115" s="10">
        <f t="shared" si="58"/>
        <v>50000</v>
      </c>
      <c r="BZ115" s="10">
        <f t="shared" si="58"/>
        <v>75000</v>
      </c>
      <c r="CA115" s="10">
        <f t="shared" si="58"/>
        <v>100000</v>
      </c>
      <c r="CB115" s="10">
        <f t="shared" si="58"/>
        <v>187500</v>
      </c>
      <c r="CC115" s="10">
        <f t="shared" si="58"/>
        <v>625000</v>
      </c>
      <c r="CE115" s="10">
        <v>105</v>
      </c>
      <c r="CF115" s="10">
        <f>MAX(节奏总纲!D108-$C$7,0)*INDEX($BU$7:$BU$15,MATCH(BY$10,$BT$7:$BT$15,0))/30</f>
        <v>944769.79191336629</v>
      </c>
      <c r="CG115" s="10">
        <f>MAX(节奏总纲!E108-$C$7,0)*INDEX($BU$7:$BU$15,MATCH(BZ$10,$BT$7:$BT$15,0))/30</f>
        <v>1204857.0951595132</v>
      </c>
      <c r="CH115" s="10">
        <f>MAX(节奏总纲!F108-$C$7,0)*INDEX($BU$7:$BU$15,MATCH(CA$10,$BT$7:$BT$15,0))/30</f>
        <v>1284243.0163802868</v>
      </c>
      <c r="CI115" s="10">
        <f>MAX(节奏总纲!G108-$C$7,0)*INDEX($BU$7:$BU$15,MATCH(CB$10,$BT$7:$BT$15,0))/30</f>
        <v>1708979.9414718032</v>
      </c>
      <c r="CJ115" s="10">
        <f>MAX(节奏总纲!H108-$C$7,0)*INDEX($BU$7:$BU$15,MATCH(CC$10,$BT$7:$BT$15,0))/30</f>
        <v>2969919.1805108604</v>
      </c>
    </row>
    <row r="116" spans="15:88" x14ac:dyDescent="0.15">
      <c r="O116" s="2">
        <v>105</v>
      </c>
      <c r="P116" s="2">
        <f t="shared" si="57"/>
        <v>2100</v>
      </c>
      <c r="AC116" s="2">
        <v>106</v>
      </c>
      <c r="AD116" s="2">
        <f t="shared" si="50"/>
        <v>0</v>
      </c>
      <c r="AE116" s="2">
        <f t="shared" si="51"/>
        <v>1773.3333333333333</v>
      </c>
      <c r="AF116" s="2">
        <f t="shared" si="52"/>
        <v>4433.333333333333</v>
      </c>
      <c r="AG116" s="2">
        <f t="shared" si="53"/>
        <v>8866.6666666666661</v>
      </c>
      <c r="AH116" s="2">
        <f t="shared" si="54"/>
        <v>17733.333333333332</v>
      </c>
      <c r="AJ116" s="10">
        <v>106</v>
      </c>
      <c r="AK116" s="10">
        <f>IFERROR(求节点(节奏总纲!R$4:R$363,AD$11:AD$370,$AC116),0)</f>
        <v>0</v>
      </c>
      <c r="AL116" s="10">
        <f>IFERROR(求节点(节奏总纲!S$4:S$363,AE$11:AE$370,$AC116),0)</f>
        <v>9374.6307668887021</v>
      </c>
      <c r="AM116" s="10">
        <f>IFERROR(求节点(节奏总纲!T$4:T$363,AF$11:AF$370,$AC116),0)</f>
        <v>22611.499868860883</v>
      </c>
      <c r="AN116" s="10">
        <f>IFERROR(求节点(节奏总纲!U$4:U$363,AG$11:AG$370,$AC116),0)</f>
        <v>42875.736521337851</v>
      </c>
      <c r="AO116" s="10">
        <f>IFERROR(求节点(节奏总纲!V$4:V$363,AH$11:AH$370,$AC116),0)</f>
        <v>78495.979544156085</v>
      </c>
      <c r="AZ116" s="10">
        <v>106</v>
      </c>
      <c r="BA116" s="10">
        <f t="shared" si="44"/>
        <v>993066.66666666663</v>
      </c>
      <c r="BB116" s="10">
        <f t="shared" si="45"/>
        <v>1489600</v>
      </c>
      <c r="BC116" s="10">
        <f t="shared" si="46"/>
        <v>1986133.3333333333</v>
      </c>
      <c r="BD116" s="10">
        <f t="shared" si="47"/>
        <v>2482666.6666666665</v>
      </c>
      <c r="BE116" s="10">
        <f t="shared" si="48"/>
        <v>2979200</v>
      </c>
      <c r="BG116" s="10">
        <v>106</v>
      </c>
      <c r="BH116" s="10">
        <f>MAX(节奏总纲!D109-$C$7,0)*C$22*$C$8*($AV$6+$AV$22)/30</f>
        <v>19875625.184326846</v>
      </c>
      <c r="BI116" s="10">
        <f>MAX(节奏总纲!E109-$C$7,0)*D$22*$C$8*($AV$6+$AV$22)/30</f>
        <v>25371787.717345037</v>
      </c>
      <c r="BJ116" s="10">
        <f>MAX(节奏总纲!F109-$C$7,0)*E$22*$C$8*($AV$6+$AV$22)/30</f>
        <v>27039395.853043891</v>
      </c>
      <c r="BK116" s="10">
        <f>MAX(节奏总纲!G109-$C$7,0)*F$22*$C$8*($AV$6+$AV$22)/30</f>
        <v>23989714.227090679</v>
      </c>
      <c r="BL116" s="10">
        <f>MAX(节奏总纲!H109-$C$7,0)*G$22*$C$8*($AV$6+$AV$22)/30</f>
        <v>14997564.897092823</v>
      </c>
      <c r="BX116" s="10">
        <v>106</v>
      </c>
      <c r="BY116" s="10">
        <f t="shared" si="58"/>
        <v>50666.666666666664</v>
      </c>
      <c r="BZ116" s="10">
        <f t="shared" si="58"/>
        <v>76000</v>
      </c>
      <c r="CA116" s="10">
        <f t="shared" si="58"/>
        <v>101333.33333333333</v>
      </c>
      <c r="CB116" s="10">
        <f t="shared" si="58"/>
        <v>190000</v>
      </c>
      <c r="CC116" s="10">
        <f t="shared" si="58"/>
        <v>633333.33333333337</v>
      </c>
      <c r="CE116" s="10">
        <v>106</v>
      </c>
      <c r="CF116" s="10">
        <f>MAX(节奏总纲!D109-$C$7,0)*INDEX($BU$7:$BU$15,MATCH(BY$10,$BT$7:$BT$15,0))/30</f>
        <v>1014062.5094044309</v>
      </c>
      <c r="CG116" s="10">
        <f>MAX(节奏总纲!E109-$C$7,0)*INDEX($BU$7:$BU$15,MATCH(BZ$10,$BT$7:$BT$15,0))/30</f>
        <v>1294478.9651706654</v>
      </c>
      <c r="CH116" s="10">
        <f>MAX(节奏总纲!F109-$C$7,0)*INDEX($BU$7:$BU$15,MATCH(CA$10,$BT$7:$BT$15,0))/30</f>
        <v>1379561.0129104028</v>
      </c>
      <c r="CI116" s="10">
        <f>MAX(节奏总纲!G109-$C$7,0)*INDEX($BU$7:$BU$15,MATCH(CB$10,$BT$7:$BT$15,0))/30</f>
        <v>1835947.5173793884</v>
      </c>
      <c r="CJ116" s="10">
        <f>MAX(节奏总纲!H109-$C$7,0)*INDEX($BU$7:$BU$15,MATCH(CC$10,$BT$7:$BT$15,0))/30</f>
        <v>3188257.8437697324</v>
      </c>
    </row>
    <row r="117" spans="15:88" x14ac:dyDescent="0.15">
      <c r="O117" s="2">
        <v>106</v>
      </c>
      <c r="P117" s="2">
        <f t="shared" si="57"/>
        <v>2120</v>
      </c>
      <c r="AC117" s="2">
        <v>107</v>
      </c>
      <c r="AD117" s="2">
        <f t="shared" si="50"/>
        <v>0</v>
      </c>
      <c r="AE117" s="2">
        <f t="shared" si="51"/>
        <v>1796.6666666666667</v>
      </c>
      <c r="AF117" s="2">
        <f t="shared" si="52"/>
        <v>4491.666666666667</v>
      </c>
      <c r="AG117" s="2">
        <f t="shared" si="53"/>
        <v>8983.3333333333339</v>
      </c>
      <c r="AH117" s="2">
        <f t="shared" si="54"/>
        <v>17966.666666666668</v>
      </c>
      <c r="AJ117" s="10">
        <v>107</v>
      </c>
      <c r="AK117" s="10">
        <f>IFERROR(求节点(节奏总纲!R$4:R$363,AD$11:AD$370,$AC117),0)</f>
        <v>0</v>
      </c>
      <c r="AL117" s="10">
        <f>IFERROR(求节点(节奏总纲!S$4:S$363,AE$11:AE$370,$AC117),0)</f>
        <v>9463.0706797838793</v>
      </c>
      <c r="AM117" s="10">
        <f>IFERROR(求节点(节奏总纲!T$4:T$363,AF$11:AF$370,$AC117),0)</f>
        <v>22824.81590535957</v>
      </c>
      <c r="AN117" s="10">
        <f>IFERROR(求节点(节奏总纲!U$4:U$363,AG$11:AG$370,$AC117),0)</f>
        <v>43280.22460172783</v>
      </c>
      <c r="AO117" s="10">
        <f>IFERROR(求节点(节奏总纲!V$4:V$363,AH$11:AH$370,$AC117),0)</f>
        <v>79236.507653063221</v>
      </c>
      <c r="AZ117" s="10">
        <v>107</v>
      </c>
      <c r="BA117" s="10">
        <f t="shared" si="44"/>
        <v>1006133.3333333334</v>
      </c>
      <c r="BB117" s="10">
        <f t="shared" si="45"/>
        <v>1509200</v>
      </c>
      <c r="BC117" s="10">
        <f t="shared" si="46"/>
        <v>2012266.6666666667</v>
      </c>
      <c r="BD117" s="10">
        <f t="shared" si="47"/>
        <v>2515333.3333333335</v>
      </c>
      <c r="BE117" s="10">
        <f t="shared" si="48"/>
        <v>3018400</v>
      </c>
      <c r="BG117" s="10">
        <v>107</v>
      </c>
      <c r="BH117" s="10">
        <f>MAX(节奏总纲!D110-$C$7,0)*C$22*$C$8*($AV$6+$AV$22)/30</f>
        <v>21331240.661104236</v>
      </c>
      <c r="BI117" s="10">
        <f>MAX(节奏总纲!E110-$C$7,0)*D$22*$C$8*($AV$6+$AV$22)/30</f>
        <v>27223178.856378697</v>
      </c>
      <c r="BJ117" s="10">
        <f>MAX(节奏总纲!F110-$C$7,0)*E$22*$C$8*($AV$6+$AV$22)/30</f>
        <v>29050698.723960552</v>
      </c>
      <c r="BK117" s="10">
        <f>MAX(节奏总纲!G110-$C$7,0)*F$22*$C$8*($AV$6+$AV$22)/30</f>
        <v>25679847.101340175</v>
      </c>
      <c r="BL117" s="10">
        <f>MAX(节奏总纲!H110-$C$7,0)*G$22*$C$8*($AV$6+$AV$22)/30</f>
        <v>16080942.381181201</v>
      </c>
      <c r="BX117" s="10">
        <v>107</v>
      </c>
      <c r="BY117" s="10">
        <f t="shared" si="58"/>
        <v>51333.333333333336</v>
      </c>
      <c r="BZ117" s="10">
        <f t="shared" si="58"/>
        <v>77000</v>
      </c>
      <c r="CA117" s="10">
        <f t="shared" si="58"/>
        <v>102666.66666666667</v>
      </c>
      <c r="CB117" s="10">
        <f t="shared" si="58"/>
        <v>192500</v>
      </c>
      <c r="CC117" s="10">
        <f t="shared" si="58"/>
        <v>641666.66666666663</v>
      </c>
      <c r="CE117" s="10">
        <v>107</v>
      </c>
      <c r="CF117" s="10">
        <f>MAX(节奏总纲!D110-$C$7,0)*INDEX($BU$7:$BU$15,MATCH(BY$10,$BT$7:$BT$15,0))/30</f>
        <v>1088328.6051583793</v>
      </c>
      <c r="CG117" s="10">
        <f>MAX(节奏总纲!E110-$C$7,0)*INDEX($BU$7:$BU$15,MATCH(BZ$10,$BT$7:$BT$15,0))/30</f>
        <v>1388937.6967540153</v>
      </c>
      <c r="CH117" s="10">
        <f>MAX(节奏总纲!F110-$C$7,0)*INDEX($BU$7:$BU$15,MATCH(CA$10,$BT$7:$BT$15,0))/30</f>
        <v>1482178.506324518</v>
      </c>
      <c r="CI117" s="10">
        <f>MAX(节奏总纲!G110-$C$7,0)*INDEX($BU$7:$BU$15,MATCH(CB$10,$BT$7:$BT$15,0))/30</f>
        <v>1965294.4210209316</v>
      </c>
      <c r="CJ117" s="10">
        <f>MAX(节奏总纲!H110-$C$7,0)*INDEX($BU$7:$BU$15,MATCH(CC$10,$BT$7:$BT$15,0))/30</f>
        <v>3418567.6830742355</v>
      </c>
    </row>
    <row r="118" spans="15:88" x14ac:dyDescent="0.15">
      <c r="O118" s="2">
        <v>107</v>
      </c>
      <c r="P118" s="2">
        <f t="shared" si="57"/>
        <v>2140</v>
      </c>
      <c r="AC118" s="2">
        <v>108</v>
      </c>
      <c r="AD118" s="2">
        <f t="shared" si="50"/>
        <v>0</v>
      </c>
      <c r="AE118" s="2">
        <f t="shared" si="51"/>
        <v>1820</v>
      </c>
      <c r="AF118" s="2">
        <f t="shared" si="52"/>
        <v>4550</v>
      </c>
      <c r="AG118" s="2">
        <f t="shared" si="53"/>
        <v>9100</v>
      </c>
      <c r="AH118" s="2">
        <f t="shared" si="54"/>
        <v>18200</v>
      </c>
      <c r="AJ118" s="10">
        <v>108</v>
      </c>
      <c r="AK118" s="10">
        <f>IFERROR(求节点(节奏总纲!R$4:R$363,AD$11:AD$370,$AC118),0)</f>
        <v>0</v>
      </c>
      <c r="AL118" s="10">
        <f>IFERROR(求节点(节奏总纲!S$4:S$363,AE$11:AE$370,$AC118),0)</f>
        <v>9551.5105926790548</v>
      </c>
      <c r="AM118" s="10">
        <f>IFERROR(求节点(节奏总纲!T$4:T$363,AF$11:AF$370,$AC118),0)</f>
        <v>23038.131941858257</v>
      </c>
      <c r="AN118" s="10">
        <f>IFERROR(求节点(节奏总纲!U$4:U$363,AG$11:AG$370,$AC118),0)</f>
        <v>43684.71268211781</v>
      </c>
      <c r="AO118" s="10">
        <f>IFERROR(求节点(节奏总纲!V$4:V$363,AH$11:AH$370,$AC118),0)</f>
        <v>79977.035761970357</v>
      </c>
      <c r="AZ118" s="10">
        <v>108</v>
      </c>
      <c r="BA118" s="10">
        <f t="shared" si="44"/>
        <v>1019200</v>
      </c>
      <c r="BB118" s="10">
        <f t="shared" si="45"/>
        <v>1528800</v>
      </c>
      <c r="BC118" s="10">
        <f t="shared" si="46"/>
        <v>2038400</v>
      </c>
      <c r="BD118" s="10">
        <f t="shared" si="47"/>
        <v>2548000</v>
      </c>
      <c r="BE118" s="10">
        <f t="shared" si="48"/>
        <v>3057600</v>
      </c>
      <c r="BG118" s="10">
        <v>108</v>
      </c>
      <c r="BH118" s="10">
        <f>MAX(节奏总纲!D111-$C$7,0)*C$22*$C$8*($AV$6+$AV$22)/30</f>
        <v>22891330.70077138</v>
      </c>
      <c r="BI118" s="10">
        <f>MAX(节奏总纲!E111-$C$7,0)*D$22*$C$8*($AV$6+$AV$22)/30</f>
        <v>29220484.129662555</v>
      </c>
      <c r="BJ118" s="10">
        <f>MAX(节奏总纲!F111-$C$7,0)*E$22*$C$8*($AV$6+$AV$22)/30</f>
        <v>31048969.734094623</v>
      </c>
      <c r="BK118" s="10">
        <f>MAX(节奏总纲!G111-$C$7,0)*F$22*$C$8*($AV$6+$AV$22)/30</f>
        <v>27495513.447043397</v>
      </c>
      <c r="BL118" s="10">
        <f>MAX(节奏总纲!H111-$C$7,0)*G$22*$C$8*($AV$6+$AV$22)/30</f>
        <v>17292337.911851857</v>
      </c>
      <c r="BX118" s="10">
        <v>108</v>
      </c>
      <c r="BY118" s="10">
        <f t="shared" si="58"/>
        <v>52000</v>
      </c>
      <c r="BZ118" s="10">
        <f t="shared" si="58"/>
        <v>78000</v>
      </c>
      <c r="CA118" s="10">
        <f t="shared" si="58"/>
        <v>104000</v>
      </c>
      <c r="CB118" s="10">
        <f t="shared" si="58"/>
        <v>195000</v>
      </c>
      <c r="CC118" s="10">
        <f t="shared" si="58"/>
        <v>650000</v>
      </c>
      <c r="CE118" s="10">
        <v>108</v>
      </c>
      <c r="CF118" s="10">
        <f>MAX(节奏总纲!D111-$C$7,0)*INDEX($BU$7:$BU$15,MATCH(BY$10,$BT$7:$BT$15,0))/30</f>
        <v>1167925.0357536415</v>
      </c>
      <c r="CG118" s="10">
        <f>MAX(节奏总纲!E111-$C$7,0)*INDEX($BU$7:$BU$15,MATCH(BZ$10,$BT$7:$BT$15,0))/30</f>
        <v>1490841.0270235997</v>
      </c>
      <c r="CH118" s="10">
        <f>MAX(节奏总纲!F111-$C$7,0)*INDEX($BU$7:$BU$15,MATCH(CA$10,$BT$7:$BT$15,0))/30</f>
        <v>1584131.108882379</v>
      </c>
      <c r="CI118" s="10">
        <f>MAX(节奏总纲!G111-$C$7,0)*INDEX($BU$7:$BU$15,MATCH(CB$10,$BT$7:$BT$15,0))/30</f>
        <v>2104248.4780900558</v>
      </c>
      <c r="CJ118" s="10">
        <f>MAX(节奏总纲!H111-$C$7,0)*INDEX($BU$7:$BU$15,MATCH(CC$10,$BT$7:$BT$15,0))/30</f>
        <v>3676092.2431657859</v>
      </c>
    </row>
    <row r="119" spans="15:88" x14ac:dyDescent="0.15">
      <c r="O119" s="2">
        <v>108</v>
      </c>
      <c r="P119" s="2">
        <f t="shared" si="57"/>
        <v>2160</v>
      </c>
      <c r="AC119" s="2">
        <v>109</v>
      </c>
      <c r="AD119" s="2">
        <f t="shared" si="50"/>
        <v>0</v>
      </c>
      <c r="AE119" s="2">
        <f t="shared" si="51"/>
        <v>1843.3333333333333</v>
      </c>
      <c r="AF119" s="2">
        <f t="shared" si="52"/>
        <v>4608.333333333333</v>
      </c>
      <c r="AG119" s="2">
        <f t="shared" si="53"/>
        <v>9216.6666666666661</v>
      </c>
      <c r="AH119" s="2">
        <f t="shared" si="54"/>
        <v>18433.333333333332</v>
      </c>
      <c r="AJ119" s="10">
        <v>109</v>
      </c>
      <c r="AK119" s="10">
        <f>IFERROR(求节点(节奏总纲!R$4:R$363,AD$11:AD$370,$AC119),0)</f>
        <v>0</v>
      </c>
      <c r="AL119" s="10">
        <f>IFERROR(求节点(节奏总纲!S$4:S$363,AE$11:AE$370,$AC119),0)</f>
        <v>9639.950505574232</v>
      </c>
      <c r="AM119" s="10">
        <f>IFERROR(求节点(节奏总纲!T$4:T$363,AF$11:AF$370,$AC119),0)</f>
        <v>23251.447978356944</v>
      </c>
      <c r="AN119" s="10">
        <f>IFERROR(求节点(节奏总纲!U$4:U$363,AG$11:AG$370,$AC119),0)</f>
        <v>44089.200762507789</v>
      </c>
      <c r="AO119" s="10">
        <f>IFERROR(求节点(节奏总纲!V$4:V$363,AH$11:AH$370,$AC119),0)</f>
        <v>80717.563870877479</v>
      </c>
      <c r="AZ119" s="10">
        <v>109</v>
      </c>
      <c r="BA119" s="10">
        <f t="shared" si="44"/>
        <v>1032266.6666666666</v>
      </c>
      <c r="BB119" s="10">
        <f t="shared" si="45"/>
        <v>1548400</v>
      </c>
      <c r="BC119" s="10">
        <f t="shared" si="46"/>
        <v>2064533.3333333333</v>
      </c>
      <c r="BD119" s="10">
        <f t="shared" si="47"/>
        <v>2580666.6666666665</v>
      </c>
      <c r="BE119" s="10">
        <f t="shared" si="48"/>
        <v>3096800</v>
      </c>
      <c r="BG119" s="10">
        <v>109</v>
      </c>
      <c r="BH119" s="10">
        <f>MAX(节奏总纲!D112-$C$7,0)*C$22*$C$8*($AV$6+$AV$22)/30</f>
        <v>24563393.804453786</v>
      </c>
      <c r="BI119" s="10">
        <f>MAX(节奏总纲!E112-$C$7,0)*D$22*$C$8*($AV$6+$AV$22)/30</f>
        <v>31256330.264173262</v>
      </c>
      <c r="BJ119" s="10">
        <f>MAX(节奏总纲!F112-$C$7,0)*E$22*$C$8*($AV$6+$AV$22)/30</f>
        <v>33230201.755470511</v>
      </c>
      <c r="BK119" s="10">
        <f>MAX(节奏总纲!G112-$C$7,0)*F$22*$C$8*($AV$6+$AV$22)/30</f>
        <v>29459341.592982512</v>
      </c>
      <c r="BL119" s="10">
        <f>MAX(节奏总纲!H112-$C$7,0)*G$22*$C$8*($AV$6+$AV$22)/30</f>
        <v>18603645.129410073</v>
      </c>
      <c r="BX119" s="10">
        <v>109</v>
      </c>
      <c r="BY119" s="10">
        <f t="shared" si="58"/>
        <v>52666.666666666664</v>
      </c>
      <c r="BZ119" s="10">
        <f t="shared" si="58"/>
        <v>79000</v>
      </c>
      <c r="CA119" s="10">
        <f t="shared" si="58"/>
        <v>105333.33333333333</v>
      </c>
      <c r="CB119" s="10">
        <f t="shared" si="58"/>
        <v>197500</v>
      </c>
      <c r="CC119" s="10">
        <f t="shared" si="58"/>
        <v>658333.33333333337</v>
      </c>
      <c r="CE119" s="10">
        <v>109</v>
      </c>
      <c r="CF119" s="10">
        <f>MAX(节奏总纲!D112-$C$7,0)*INDEX($BU$7:$BU$15,MATCH(BY$10,$BT$7:$BT$15,0))/30</f>
        <v>1253234.3777782544</v>
      </c>
      <c r="CG119" s="10">
        <f>MAX(节奏总纲!E112-$C$7,0)*INDEX($BU$7:$BU$15,MATCH(BZ$10,$BT$7:$BT$15,0))/30</f>
        <v>1594710.727763942</v>
      </c>
      <c r="CH119" s="10">
        <f>MAX(节奏总纲!F112-$C$7,0)*INDEX($BU$7:$BU$15,MATCH(CA$10,$BT$7:$BT$15,0))/30</f>
        <v>1695418.4569117608</v>
      </c>
      <c r="CI119" s="10">
        <f>MAX(节奏总纲!G112-$C$7,0)*INDEX($BU$7:$BU$15,MATCH(CB$10,$BT$7:$BT$15,0))/30</f>
        <v>2254541.4484425392</v>
      </c>
      <c r="CJ119" s="10">
        <f>MAX(节奏总纲!H112-$C$7,0)*INDEX($BU$7:$BU$15,MATCH(CC$10,$BT$7:$BT$15,0))/30</f>
        <v>3954856.5326126856</v>
      </c>
    </row>
    <row r="120" spans="15:88" x14ac:dyDescent="0.15">
      <c r="O120" s="2">
        <v>109</v>
      </c>
      <c r="P120" s="2">
        <f t="shared" si="57"/>
        <v>2180</v>
      </c>
      <c r="AC120" s="2">
        <v>110</v>
      </c>
      <c r="AD120" s="2">
        <f t="shared" si="50"/>
        <v>0</v>
      </c>
      <c r="AE120" s="2">
        <f t="shared" si="51"/>
        <v>1866.6666666666667</v>
      </c>
      <c r="AF120" s="2">
        <f t="shared" si="52"/>
        <v>4666.666666666667</v>
      </c>
      <c r="AG120" s="2">
        <f t="shared" si="53"/>
        <v>9333.3333333333339</v>
      </c>
      <c r="AH120" s="2">
        <f t="shared" si="54"/>
        <v>18666.666666666668</v>
      </c>
      <c r="AJ120" s="10">
        <v>110</v>
      </c>
      <c r="AK120" s="10">
        <f>IFERROR(求节点(节奏总纲!R$4:R$363,AD$11:AD$370,$AC120),0)</f>
        <v>0</v>
      </c>
      <c r="AL120" s="10">
        <f>IFERROR(求节点(节奏总纲!S$4:S$363,AE$11:AE$370,$AC120),0)</f>
        <v>9728.3904184694075</v>
      </c>
      <c r="AM120" s="10">
        <f>IFERROR(求节点(节奏总纲!T$4:T$363,AF$11:AF$370,$AC120),0)</f>
        <v>23464.764014855631</v>
      </c>
      <c r="AN120" s="10">
        <f>IFERROR(求节点(节奏总纲!U$4:U$363,AG$11:AG$370,$AC120),0)</f>
        <v>44493.688842897769</v>
      </c>
      <c r="AO120" s="10">
        <f>IFERROR(求节点(节奏总纲!V$4:V$363,AH$11:AH$370,$AC120),0)</f>
        <v>81458.091979784615</v>
      </c>
      <c r="AZ120" s="10">
        <v>110</v>
      </c>
      <c r="BA120" s="10">
        <f t="shared" si="44"/>
        <v>1045333.3333333334</v>
      </c>
      <c r="BB120" s="10">
        <f t="shared" si="45"/>
        <v>1568000</v>
      </c>
      <c r="BC120" s="10">
        <f t="shared" si="46"/>
        <v>2090666.6666666667</v>
      </c>
      <c r="BD120" s="10">
        <f t="shared" si="47"/>
        <v>2613333.3333333335</v>
      </c>
      <c r="BE120" s="10">
        <f t="shared" si="48"/>
        <v>3136000</v>
      </c>
      <c r="BG120" s="10">
        <v>110</v>
      </c>
      <c r="BH120" s="10">
        <f>MAX(节奏总纲!D113-$C$7,0)*C$22*$C$8*($AV$6+$AV$22)/30</f>
        <v>26355466.666666668</v>
      </c>
      <c r="BI120" s="10">
        <f>MAX(节奏总纲!E113-$C$7,0)*D$22*$C$8*($AV$6+$AV$22)/30</f>
        <v>33543104.839999996</v>
      </c>
      <c r="BJ120" s="10">
        <f>MAX(节奏总纲!F113-$C$7,0)*E$22*$C$8*($AV$6+$AV$22)/30</f>
        <v>35731641.493333325</v>
      </c>
      <c r="BK120" s="10">
        <f>MAX(节奏总纲!G113-$C$7,0)*F$22*$C$8*($AV$6+$AV$22)/30</f>
        <v>31732151.733333338</v>
      </c>
      <c r="BL120" s="10">
        <f>MAX(节奏总纲!H113-$C$7,0)*G$22*$C$8*($AV$6+$AV$22)/30</f>
        <v>20072187.519999996</v>
      </c>
      <c r="BX120" s="10">
        <v>110</v>
      </c>
      <c r="BY120" s="10">
        <f t="shared" si="58"/>
        <v>53333.333333333336</v>
      </c>
      <c r="BZ120" s="10">
        <f t="shared" si="58"/>
        <v>80000</v>
      </c>
      <c r="CA120" s="10">
        <f t="shared" si="58"/>
        <v>106666.66666666667</v>
      </c>
      <c r="CB120" s="10">
        <f t="shared" si="58"/>
        <v>200000</v>
      </c>
      <c r="CC120" s="10">
        <f t="shared" si="58"/>
        <v>666666.66666666663</v>
      </c>
      <c r="CE120" s="10">
        <v>110</v>
      </c>
      <c r="CF120" s="10">
        <f>MAX(节奏总纲!D113-$C$7,0)*INDEX($BU$7:$BU$15,MATCH(BY$10,$BT$7:$BT$15,0))/30</f>
        <v>1344666.6666666667</v>
      </c>
      <c r="CG120" s="10">
        <f>MAX(节奏总纲!E113-$C$7,0)*INDEX($BU$7:$BU$15,MATCH(BZ$10,$BT$7:$BT$15,0))/30</f>
        <v>1711382.9</v>
      </c>
      <c r="CH120" s="10">
        <f>MAX(节奏总纲!F113-$C$7,0)*INDEX($BU$7:$BU$15,MATCH(CA$10,$BT$7:$BT$15,0))/30</f>
        <v>1823042.9333333331</v>
      </c>
      <c r="CI120" s="10">
        <f>MAX(节奏总纲!G113-$C$7,0)*INDEX($BU$7:$BU$15,MATCH(CB$10,$BT$7:$BT$15,0))/30</f>
        <v>2428481</v>
      </c>
      <c r="CJ120" s="10">
        <f>MAX(节奏总纲!H113-$C$7,0)*INDEX($BU$7:$BU$15,MATCH(CC$10,$BT$7:$BT$15,0))/30</f>
        <v>4267046.666666666</v>
      </c>
    </row>
    <row r="121" spans="15:88" x14ac:dyDescent="0.15">
      <c r="O121" s="2">
        <v>110</v>
      </c>
      <c r="P121" s="2">
        <f t="shared" si="57"/>
        <v>2200</v>
      </c>
      <c r="AC121" s="2">
        <v>111</v>
      </c>
      <c r="AD121" s="2">
        <f t="shared" si="50"/>
        <v>0</v>
      </c>
      <c r="AE121" s="2">
        <f t="shared" si="51"/>
        <v>1890</v>
      </c>
      <c r="AF121" s="2">
        <f t="shared" si="52"/>
        <v>4725</v>
      </c>
      <c r="AG121" s="2">
        <f t="shared" si="53"/>
        <v>9450</v>
      </c>
      <c r="AH121" s="2">
        <f t="shared" si="54"/>
        <v>18900</v>
      </c>
      <c r="AJ121" s="10">
        <v>111</v>
      </c>
      <c r="AK121" s="10">
        <f>IFERROR(求节点(节奏总纲!R$4:R$363,AD$11:AD$370,$AC121),0)</f>
        <v>0</v>
      </c>
      <c r="AL121" s="10">
        <f>IFERROR(求节点(节奏总纲!S$4:S$363,AE$11:AE$370,$AC121),0)</f>
        <v>9816.8303313645847</v>
      </c>
      <c r="AM121" s="10">
        <f>IFERROR(求节点(节奏总纲!T$4:T$363,AF$11:AF$370,$AC121),0)</f>
        <v>23678.080051354318</v>
      </c>
      <c r="AN121" s="10">
        <f>IFERROR(求节点(节奏总纲!U$4:U$363,AG$11:AG$370,$AC121),0)</f>
        <v>44898.176923287749</v>
      </c>
      <c r="AO121" s="10">
        <f>IFERROR(求节点(节奏总纲!V$4:V$363,AH$11:AH$370,$AC121),0)</f>
        <v>82198.62008869175</v>
      </c>
      <c r="AZ121" s="10">
        <v>111</v>
      </c>
      <c r="BA121" s="10">
        <f t="shared" si="44"/>
        <v>1058400</v>
      </c>
      <c r="BB121" s="10">
        <f t="shared" si="45"/>
        <v>1587600</v>
      </c>
      <c r="BC121" s="10">
        <f t="shared" si="46"/>
        <v>2116800</v>
      </c>
      <c r="BD121" s="10">
        <f t="shared" si="47"/>
        <v>2646000</v>
      </c>
      <c r="BE121" s="10">
        <f t="shared" si="48"/>
        <v>3175200</v>
      </c>
      <c r="BG121" s="10">
        <v>111</v>
      </c>
      <c r="BH121" s="10">
        <f>MAX(节奏总纲!D114-$C$7,0)*C$22*$C$8*($AV$6+$AV$22)/30</f>
        <v>28276162.803317863</v>
      </c>
      <c r="BI121" s="10">
        <f>MAX(节奏总纲!E114-$C$7,0)*D$22*$C$8*($AV$6+$AV$22)/30</f>
        <v>36045611.838219739</v>
      </c>
      <c r="BJ121" s="10">
        <f>MAX(节奏总纲!F114-$C$7,0)*E$22*$C$8*($AV$6+$AV$22)/30</f>
        <v>38428313.082378171</v>
      </c>
      <c r="BK121" s="10">
        <f>MAX(节奏总纲!G114-$C$7,0)*F$22*$C$8*($AV$6+$AV$22)/30</f>
        <v>34188668.718970194</v>
      </c>
      <c r="BL121" s="10">
        <f>MAX(节奏总纲!H114-$C$7,0)*G$22*$C$8*($AV$6+$AV$22)/30</f>
        <v>21683993.019365665</v>
      </c>
      <c r="BX121" s="10">
        <v>111</v>
      </c>
      <c r="BY121" s="10">
        <f t="shared" ref="BY121:CC130" si="59">MAX($BX121-$C$7,0)*INDEX($BU$7:$BU$15,MATCH(BY$10,$BT$7:$BT$15,0))/30</f>
        <v>54000</v>
      </c>
      <c r="BZ121" s="10">
        <f t="shared" si="59"/>
        <v>81000</v>
      </c>
      <c r="CA121" s="10">
        <f t="shared" si="59"/>
        <v>108000</v>
      </c>
      <c r="CB121" s="10">
        <f t="shared" si="59"/>
        <v>202500</v>
      </c>
      <c r="CC121" s="10">
        <f t="shared" si="59"/>
        <v>675000</v>
      </c>
      <c r="CE121" s="10">
        <v>111</v>
      </c>
      <c r="CF121" s="10">
        <f>MAX(节奏总纲!D114-$C$7,0)*INDEX($BU$7:$BU$15,MATCH(BY$10,$BT$7:$BT$15,0))/30</f>
        <v>1442661.3675162175</v>
      </c>
      <c r="CG121" s="10">
        <f>MAX(节奏总纲!E114-$C$7,0)*INDEX($BU$7:$BU$15,MATCH(BZ$10,$BT$7:$BT$15,0))/30</f>
        <v>1839061.8284805987</v>
      </c>
      <c r="CH121" s="10">
        <f>MAX(节奏总纲!F114-$C$7,0)*INDEX($BU$7:$BU$15,MATCH(CA$10,$BT$7:$BT$15,0))/30</f>
        <v>1960628.2184886823</v>
      </c>
      <c r="CI121" s="10">
        <f>MAX(节奏总纲!G114-$C$7,0)*INDEX($BU$7:$BU$15,MATCH(CB$10,$BT$7:$BT$15,0))/30</f>
        <v>2616479.7489007805</v>
      </c>
      <c r="CJ121" s="10">
        <f>MAX(节奏总纲!H114-$C$7,0)*INDEX($BU$7:$BU$15,MATCH(CC$10,$BT$7:$BT$15,0))/30</f>
        <v>4609692.3935726332</v>
      </c>
    </row>
    <row r="122" spans="15:88" x14ac:dyDescent="0.15">
      <c r="O122" s="2">
        <v>111</v>
      </c>
      <c r="P122" s="2">
        <f t="shared" si="57"/>
        <v>2220</v>
      </c>
      <c r="AC122" s="2">
        <v>112</v>
      </c>
      <c r="AD122" s="2">
        <f t="shared" si="50"/>
        <v>0</v>
      </c>
      <c r="AE122" s="2">
        <f t="shared" si="51"/>
        <v>1913.3333333333333</v>
      </c>
      <c r="AF122" s="2">
        <f t="shared" si="52"/>
        <v>4783.333333333333</v>
      </c>
      <c r="AG122" s="2">
        <f t="shared" si="53"/>
        <v>9566.6666666666661</v>
      </c>
      <c r="AH122" s="2">
        <f t="shared" si="54"/>
        <v>19133.333333333332</v>
      </c>
      <c r="AJ122" s="10">
        <v>112</v>
      </c>
      <c r="AK122" s="10">
        <f>IFERROR(求节点(节奏总纲!R$4:R$363,AD$11:AD$370,$AC122),0)</f>
        <v>0</v>
      </c>
      <c r="AL122" s="10">
        <f>IFERROR(求节点(节奏总纲!S$4:S$363,AE$11:AE$370,$AC122),0)</f>
        <v>9905.2702442597601</v>
      </c>
      <c r="AM122" s="10">
        <f>IFERROR(求节点(节奏总纲!T$4:T$363,AF$11:AF$370,$AC122),0)</f>
        <v>23891.396087853005</v>
      </c>
      <c r="AN122" s="10">
        <f>IFERROR(求节点(节奏总纲!U$4:U$363,AG$11:AG$370,$AC122),0)</f>
        <v>45302.665003677728</v>
      </c>
      <c r="AO122" s="10">
        <f>IFERROR(求节点(节奏总纲!V$4:V$363,AH$11:AH$370,$AC122),0)</f>
        <v>82939.148197598886</v>
      </c>
      <c r="AZ122" s="10">
        <v>112</v>
      </c>
      <c r="BA122" s="10">
        <f t="shared" si="44"/>
        <v>1071466.6666666667</v>
      </c>
      <c r="BB122" s="10">
        <f t="shared" si="45"/>
        <v>1607200</v>
      </c>
      <c r="BC122" s="10">
        <f t="shared" si="46"/>
        <v>2142933.3333333335</v>
      </c>
      <c r="BD122" s="10">
        <f t="shared" si="47"/>
        <v>2678666.6666666665</v>
      </c>
      <c r="BE122" s="10">
        <f t="shared" si="48"/>
        <v>3214400</v>
      </c>
      <c r="BG122" s="10">
        <v>112</v>
      </c>
      <c r="BH122" s="10">
        <f>MAX(节奏总纲!D115-$C$7,0)*C$22*$C$8*($AV$6+$AV$22)/30</f>
        <v>30334713.952176627</v>
      </c>
      <c r="BI122" s="10">
        <f>MAX(节奏总纲!E115-$C$7,0)*D$22*$C$8*($AV$6+$AV$22)/30</f>
        <v>38703785.466345869</v>
      </c>
      <c r="BJ122" s="10">
        <f>MAX(节奏总纲!F115-$C$7,0)*E$22*$C$8*($AV$6+$AV$22)/30</f>
        <v>41274726.05773937</v>
      </c>
      <c r="BK122" s="10">
        <f>MAX(节奏总纲!G115-$C$7,0)*F$22*$C$8*($AV$6+$AV$22)/30</f>
        <v>36760086.411760941</v>
      </c>
      <c r="BL122" s="10">
        <f>MAX(节奏总纲!H115-$C$7,0)*G$22*$C$8*($AV$6+$AV$22)/30</f>
        <v>23251737.59198042</v>
      </c>
      <c r="BX122" s="10">
        <v>112</v>
      </c>
      <c r="BY122" s="10">
        <f t="shared" si="59"/>
        <v>54666.666666666664</v>
      </c>
      <c r="BZ122" s="10">
        <f t="shared" si="59"/>
        <v>82000</v>
      </c>
      <c r="CA122" s="10">
        <f t="shared" si="59"/>
        <v>109333.33333333333</v>
      </c>
      <c r="CB122" s="10">
        <f t="shared" si="59"/>
        <v>205000</v>
      </c>
      <c r="CC122" s="10">
        <f t="shared" si="59"/>
        <v>683333.33333333337</v>
      </c>
      <c r="CE122" s="10">
        <v>112</v>
      </c>
      <c r="CF122" s="10">
        <f>MAX(节奏总纲!D115-$C$7,0)*INDEX($BU$7:$BU$15,MATCH(BY$10,$BT$7:$BT$15,0))/30</f>
        <v>1547689.4873559505</v>
      </c>
      <c r="CG122" s="10">
        <f>MAX(节奏总纲!E115-$C$7,0)*INDEX($BU$7:$BU$15,MATCH(BZ$10,$BT$7:$BT$15,0))/30</f>
        <v>1974682.9319564218</v>
      </c>
      <c r="CH122" s="10">
        <f>MAX(节奏总纲!F115-$C$7,0)*INDEX($BU$7:$BU$15,MATCH(CA$10,$BT$7:$BT$15,0))/30</f>
        <v>2105853.3702928252</v>
      </c>
      <c r="CI122" s="10">
        <f>MAX(节奏总纲!G115-$C$7,0)*INDEX($BU$7:$BU$15,MATCH(CB$10,$BT$7:$BT$15,0))/30</f>
        <v>2813271.9192674193</v>
      </c>
      <c r="CJ122" s="10">
        <f>MAX(节奏总纲!H115-$C$7,0)*INDEX($BU$7:$BU$15,MATCH(CC$10,$BT$7:$BT$15,0))/30</f>
        <v>4942971.4268665863</v>
      </c>
    </row>
    <row r="123" spans="15:88" x14ac:dyDescent="0.15">
      <c r="O123" s="2">
        <v>112</v>
      </c>
      <c r="P123" s="2">
        <f t="shared" si="57"/>
        <v>2240</v>
      </c>
      <c r="AC123" s="2">
        <v>113</v>
      </c>
      <c r="AD123" s="2">
        <f t="shared" si="50"/>
        <v>0</v>
      </c>
      <c r="AE123" s="2">
        <f t="shared" si="51"/>
        <v>1936.6666666666667</v>
      </c>
      <c r="AF123" s="2">
        <f t="shared" si="52"/>
        <v>4841.666666666667</v>
      </c>
      <c r="AG123" s="2">
        <f t="shared" si="53"/>
        <v>9683.3333333333339</v>
      </c>
      <c r="AH123" s="2">
        <f t="shared" si="54"/>
        <v>19366.666666666668</v>
      </c>
      <c r="AJ123" s="10">
        <v>113</v>
      </c>
      <c r="AK123" s="10">
        <f>IFERROR(求节点(节奏总纲!R$4:R$363,AD$11:AD$370,$AC123),0)</f>
        <v>0</v>
      </c>
      <c r="AL123" s="10">
        <f>IFERROR(求节点(节奏总纲!S$4:S$363,AE$11:AE$370,$AC123),0)</f>
        <v>9993.7101571549374</v>
      </c>
      <c r="AM123" s="10">
        <f>IFERROR(求节点(节奏总纲!T$4:T$363,AF$11:AF$370,$AC123),0)</f>
        <v>24104.712124351696</v>
      </c>
      <c r="AN123" s="10">
        <f>IFERROR(求节点(节奏总纲!U$4:U$363,AG$11:AG$370,$AC123),0)</f>
        <v>45707.153084067708</v>
      </c>
      <c r="AO123" s="10">
        <f>IFERROR(求节点(节奏总纲!V$4:V$363,AH$11:AH$370,$AC123),0)</f>
        <v>83679.676306506022</v>
      </c>
      <c r="AZ123" s="10">
        <v>113</v>
      </c>
      <c r="BA123" s="10">
        <f t="shared" si="44"/>
        <v>1084533.3333333333</v>
      </c>
      <c r="BB123" s="10">
        <f t="shared" si="45"/>
        <v>1626800</v>
      </c>
      <c r="BC123" s="10">
        <f t="shared" si="46"/>
        <v>2169066.6666666665</v>
      </c>
      <c r="BD123" s="10">
        <f t="shared" si="47"/>
        <v>2711333.3333333335</v>
      </c>
      <c r="BE123" s="10">
        <f t="shared" si="48"/>
        <v>3253600</v>
      </c>
      <c r="BG123" s="10">
        <v>113</v>
      </c>
      <c r="BH123" s="10">
        <f>MAX(节奏总纲!D116-$C$7,0)*C$22*$C$8*($AV$6+$AV$22)/30</f>
        <v>32541014.44479708</v>
      </c>
      <c r="BI123" s="10">
        <f>MAX(节奏总纲!E116-$C$7,0)*D$22*$C$8*($AV$6+$AV$22)/30</f>
        <v>41544852.029951133</v>
      </c>
      <c r="BJ123" s="10">
        <f>MAX(节奏总纲!F116-$C$7,0)*E$22*$C$8*($AV$6+$AV$22)/30</f>
        <v>44340816.392260954</v>
      </c>
      <c r="BK123" s="10">
        <f>MAX(节奏总纲!G116-$C$7,0)*F$22*$C$8*($AV$6+$AV$22)/30</f>
        <v>39387642.455710024</v>
      </c>
      <c r="BL123" s="10">
        <f>MAX(节奏总纲!H116-$C$7,0)*G$22*$C$8*($AV$6+$AV$22)/30</f>
        <v>24916827.344612729</v>
      </c>
      <c r="BX123" s="10">
        <v>113</v>
      </c>
      <c r="BY123" s="10">
        <f t="shared" si="59"/>
        <v>55333.333333333336</v>
      </c>
      <c r="BZ123" s="10">
        <f t="shared" si="59"/>
        <v>83000</v>
      </c>
      <c r="CA123" s="10">
        <f t="shared" si="59"/>
        <v>110666.66666666667</v>
      </c>
      <c r="CB123" s="10">
        <f t="shared" si="59"/>
        <v>207500</v>
      </c>
      <c r="CC123" s="10">
        <f t="shared" si="59"/>
        <v>691666.66666666663</v>
      </c>
      <c r="CE123" s="10">
        <v>113</v>
      </c>
      <c r="CF123" s="10">
        <f>MAX(节奏总纲!D116-$C$7,0)*INDEX($BU$7:$BU$15,MATCH(BY$10,$BT$7:$BT$15,0))/30</f>
        <v>1660255.8390202592</v>
      </c>
      <c r="CG123" s="10">
        <f>MAX(节奏总纲!E116-$C$7,0)*INDEX($BU$7:$BU$15,MATCH(BZ$10,$BT$7:$BT$15,0))/30</f>
        <v>2119635.3076505684</v>
      </c>
      <c r="CH123" s="10">
        <f>MAX(节奏总纲!F116-$C$7,0)*INDEX($BU$7:$BU$15,MATCH(CA$10,$BT$7:$BT$15,0))/30</f>
        <v>2262286.5506255594</v>
      </c>
      <c r="CI123" s="10">
        <f>MAX(节奏总纲!G116-$C$7,0)*INDEX($BU$7:$BU$15,MATCH(CB$10,$BT$7:$BT$15,0))/30</f>
        <v>3014360.3920186241</v>
      </c>
      <c r="CJ123" s="10">
        <f>MAX(节奏总纲!H116-$C$7,0)*INDEX($BU$7:$BU$15,MATCH(CC$10,$BT$7:$BT$15,0))/30</f>
        <v>5296944.5885656308</v>
      </c>
    </row>
    <row r="124" spans="15:88" x14ac:dyDescent="0.15">
      <c r="O124" s="2">
        <v>113</v>
      </c>
      <c r="P124" s="2">
        <f t="shared" si="57"/>
        <v>2260</v>
      </c>
      <c r="AC124" s="2">
        <v>114</v>
      </c>
      <c r="AD124" s="2">
        <f t="shared" si="50"/>
        <v>0</v>
      </c>
      <c r="AE124" s="2">
        <f t="shared" si="51"/>
        <v>1960</v>
      </c>
      <c r="AF124" s="2">
        <f t="shared" si="52"/>
        <v>4900</v>
      </c>
      <c r="AG124" s="2">
        <f t="shared" si="53"/>
        <v>9800</v>
      </c>
      <c r="AH124" s="2">
        <f t="shared" si="54"/>
        <v>19600</v>
      </c>
      <c r="AJ124" s="10">
        <v>114</v>
      </c>
      <c r="AK124" s="10">
        <f>IFERROR(求节点(节奏总纲!R$4:R$363,AD$11:AD$370,$AC124),0)</f>
        <v>0</v>
      </c>
      <c r="AL124" s="10">
        <f>IFERROR(求节点(节奏总纲!S$4:S$363,AE$11:AE$370,$AC124),0)</f>
        <v>10082.150070050113</v>
      </c>
      <c r="AM124" s="10">
        <f>IFERROR(求节点(节奏总纲!T$4:T$363,AF$11:AF$370,$AC124),0)</f>
        <v>24318.028160850383</v>
      </c>
      <c r="AN124" s="10">
        <f>IFERROR(求节点(节奏总纲!U$4:U$363,AG$11:AG$370,$AC124),0)</f>
        <v>46111.641164457687</v>
      </c>
      <c r="AO124" s="10">
        <f>IFERROR(求节点(节奏总纲!V$4:V$363,AH$11:AH$370,$AC124),0)</f>
        <v>84420.204415413144</v>
      </c>
      <c r="AZ124" s="10">
        <v>114</v>
      </c>
      <c r="BA124" s="10">
        <f t="shared" si="44"/>
        <v>1097600</v>
      </c>
      <c r="BB124" s="10">
        <f t="shared" si="45"/>
        <v>1646400</v>
      </c>
      <c r="BC124" s="10">
        <f t="shared" si="46"/>
        <v>2195200</v>
      </c>
      <c r="BD124" s="10">
        <f t="shared" si="47"/>
        <v>2744000</v>
      </c>
      <c r="BE124" s="10">
        <f t="shared" si="48"/>
        <v>3292800</v>
      </c>
      <c r="BG124" s="10">
        <v>114</v>
      </c>
      <c r="BH124" s="10">
        <f>MAX(节奏总纲!D117-$C$7,0)*C$22*$C$8*($AV$6+$AV$22)/30</f>
        <v>34905668.763168402</v>
      </c>
      <c r="BI124" s="10">
        <f>MAX(节奏总纲!E117-$C$7,0)*D$22*$C$8*($AV$6+$AV$22)/30</f>
        <v>44580661.832788453</v>
      </c>
      <c r="BJ124" s="10">
        <f>MAX(节奏总纲!F117-$C$7,0)*E$22*$C$8*($AV$6+$AV$22)/30</f>
        <v>47467913.199251197</v>
      </c>
      <c r="BK124" s="10">
        <f>MAX(节奏总纲!G117-$C$7,0)*F$22*$C$8*($AV$6+$AV$22)/30</f>
        <v>42118453.559828624</v>
      </c>
      <c r="BL124" s="10">
        <f>MAX(节奏总纲!H117-$C$7,0)*G$22*$C$8*($AV$6+$AV$22)/30</f>
        <v>26695039.255397771</v>
      </c>
      <c r="BX124" s="10">
        <v>114</v>
      </c>
      <c r="BY124" s="10">
        <f t="shared" si="59"/>
        <v>56000</v>
      </c>
      <c r="BZ124" s="10">
        <f t="shared" si="59"/>
        <v>84000</v>
      </c>
      <c r="CA124" s="10">
        <f t="shared" si="59"/>
        <v>112000</v>
      </c>
      <c r="CB124" s="10">
        <f t="shared" si="59"/>
        <v>210000</v>
      </c>
      <c r="CC124" s="10">
        <f t="shared" si="59"/>
        <v>700000</v>
      </c>
      <c r="CE124" s="10">
        <v>114</v>
      </c>
      <c r="CF124" s="10">
        <f>MAX(节奏总纲!D117-$C$7,0)*INDEX($BU$7:$BU$15,MATCH(BY$10,$BT$7:$BT$15,0))/30</f>
        <v>1780901.4675085919</v>
      </c>
      <c r="CG124" s="10">
        <f>MAX(节奏总纲!E117-$C$7,0)*INDEX($BU$7:$BU$15,MATCH(BZ$10,$BT$7:$BT$15,0))/30</f>
        <v>2274523.5628973697</v>
      </c>
      <c r="CH124" s="10">
        <f>MAX(节奏总纲!F117-$C$7,0)*INDEX($BU$7:$BU$15,MATCH(CA$10,$BT$7:$BT$15,0))/30</f>
        <v>2421832.306084245</v>
      </c>
      <c r="CI124" s="10">
        <f>MAX(节奏总纲!G117-$C$7,0)*INDEX($BU$7:$BU$15,MATCH(CB$10,$BT$7:$BT$15,0))/30</f>
        <v>3223351.0377419861</v>
      </c>
      <c r="CJ124" s="10">
        <f>MAX(节奏总纲!H117-$C$7,0)*INDEX($BU$7:$BU$15,MATCH(CC$10,$BT$7:$BT$15,0))/30</f>
        <v>5674965.8281032676</v>
      </c>
    </row>
    <row r="125" spans="15:88" x14ac:dyDescent="0.15">
      <c r="O125" s="2">
        <v>114</v>
      </c>
      <c r="P125" s="2">
        <f t="shared" si="57"/>
        <v>2280</v>
      </c>
      <c r="AC125" s="2">
        <v>115</v>
      </c>
      <c r="AD125" s="2">
        <f t="shared" si="50"/>
        <v>0</v>
      </c>
      <c r="AE125" s="2">
        <f t="shared" si="51"/>
        <v>1983.3333333333333</v>
      </c>
      <c r="AF125" s="2">
        <f t="shared" si="52"/>
        <v>4958.333333333333</v>
      </c>
      <c r="AG125" s="2">
        <f t="shared" si="53"/>
        <v>9916.6666666666661</v>
      </c>
      <c r="AH125" s="2">
        <f t="shared" si="54"/>
        <v>19833.333333333332</v>
      </c>
      <c r="AJ125" s="10">
        <v>115</v>
      </c>
      <c r="AK125" s="10">
        <f>IFERROR(求节点(节奏总纲!R$4:R$363,AD$11:AD$370,$AC125),0)</f>
        <v>0</v>
      </c>
      <c r="AL125" s="10">
        <f>IFERROR(求节点(节奏总纲!S$4:S$363,AE$11:AE$370,$AC125),0)</f>
        <v>10170.58998294529</v>
      </c>
      <c r="AM125" s="10">
        <f>IFERROR(求节点(节奏总纲!T$4:T$363,AF$11:AF$370,$AC125),0)</f>
        <v>24531.34419734907</v>
      </c>
      <c r="AN125" s="10">
        <f>IFERROR(求节点(节奏总纲!U$4:U$363,AG$11:AG$370,$AC125),0)</f>
        <v>46516.129244847674</v>
      </c>
      <c r="AO125" s="10">
        <f>IFERROR(求节点(节奏总纲!V$4:V$363,AH$11:AH$370,$AC125),0)</f>
        <v>85160.732524320279</v>
      </c>
      <c r="AZ125" s="10">
        <v>115</v>
      </c>
      <c r="BA125" s="10">
        <f t="shared" si="44"/>
        <v>1110666.6666666667</v>
      </c>
      <c r="BB125" s="10">
        <f t="shared" si="45"/>
        <v>1666000</v>
      </c>
      <c r="BC125" s="10">
        <f t="shared" si="46"/>
        <v>2221333.3333333335</v>
      </c>
      <c r="BD125" s="10">
        <f t="shared" si="47"/>
        <v>2776666.6666666665</v>
      </c>
      <c r="BE125" s="10">
        <f t="shared" si="48"/>
        <v>3332000</v>
      </c>
      <c r="BG125" s="10">
        <v>115</v>
      </c>
      <c r="BH125" s="10">
        <f>MAX(节奏总纲!D118-$C$7,0)*C$22*$C$8*($AV$6+$AV$22)/30</f>
        <v>37440042.509670623</v>
      </c>
      <c r="BI125" s="10">
        <f>MAX(节奏总纲!E118-$C$7,0)*D$22*$C$8*($AV$6+$AV$22)/30</f>
        <v>47687577.844465204</v>
      </c>
      <c r="BJ125" s="10">
        <f>MAX(节奏总纲!F118-$C$7,0)*E$22*$C$8*($AV$6+$AV$22)/30</f>
        <v>50697843.44715979</v>
      </c>
      <c r="BK125" s="10">
        <f>MAX(节奏总纲!G118-$C$7,0)*F$22*$C$8*($AV$6+$AV$22)/30</f>
        <v>44985931.649249807</v>
      </c>
      <c r="BL125" s="10">
        <f>MAX(节奏总纲!H118-$C$7,0)*G$22*$C$8*($AV$6+$AV$22)/30</f>
        <v>28571335.025354013</v>
      </c>
      <c r="BX125" s="10">
        <v>115</v>
      </c>
      <c r="BY125" s="10">
        <f t="shared" si="59"/>
        <v>56666.666666666664</v>
      </c>
      <c r="BZ125" s="10">
        <f t="shared" si="59"/>
        <v>85000</v>
      </c>
      <c r="CA125" s="10">
        <f t="shared" si="59"/>
        <v>113333.33333333333</v>
      </c>
      <c r="CB125" s="10">
        <f t="shared" si="59"/>
        <v>212500</v>
      </c>
      <c r="CC125" s="10">
        <f t="shared" si="59"/>
        <v>708333.33333333337</v>
      </c>
      <c r="CE125" s="10">
        <v>115</v>
      </c>
      <c r="CF125" s="10">
        <f>MAX(节奏总纲!D118-$C$7,0)*INDEX($BU$7:$BU$15,MATCH(BY$10,$BT$7:$BT$15,0))/30</f>
        <v>1910206.2504933993</v>
      </c>
      <c r="CG125" s="10">
        <f>MAX(节奏总纲!E118-$C$7,0)*INDEX($BU$7:$BU$15,MATCH(BZ$10,$BT$7:$BT$15,0))/30</f>
        <v>2433039.6859421018</v>
      </c>
      <c r="CH125" s="10">
        <f>MAX(节奏总纲!F118-$C$7,0)*INDEX($BU$7:$BU$15,MATCH(CA$10,$BT$7:$BT$15,0))/30</f>
        <v>2586624.6656714175</v>
      </c>
      <c r="CI125" s="10">
        <f>MAX(节奏总纲!G118-$C$7,0)*INDEX($BU$7:$BU$15,MATCH(CB$10,$BT$7:$BT$15,0))/30</f>
        <v>3442800.8915242199</v>
      </c>
      <c r="CJ125" s="10">
        <f>MAX(节奏总纲!H118-$C$7,0)*INDEX($BU$7:$BU$15,MATCH(CC$10,$BT$7:$BT$15,0))/30</f>
        <v>6073838.2281789994</v>
      </c>
    </row>
    <row r="126" spans="15:88" x14ac:dyDescent="0.15">
      <c r="O126" s="2">
        <v>115</v>
      </c>
      <c r="P126" s="2">
        <f t="shared" si="57"/>
        <v>2300</v>
      </c>
      <c r="AC126" s="2">
        <v>116</v>
      </c>
      <c r="AD126" s="2">
        <f t="shared" si="50"/>
        <v>0</v>
      </c>
      <c r="AE126" s="2">
        <f t="shared" si="51"/>
        <v>2006.6666666666667</v>
      </c>
      <c r="AF126" s="2">
        <f t="shared" si="52"/>
        <v>5016.666666666667</v>
      </c>
      <c r="AG126" s="2">
        <f t="shared" si="53"/>
        <v>10033.333333333334</v>
      </c>
      <c r="AH126" s="2">
        <f t="shared" si="54"/>
        <v>20066.666666666668</v>
      </c>
      <c r="AJ126" s="10">
        <v>116</v>
      </c>
      <c r="AK126" s="10">
        <f>IFERROR(求节点(节奏总纲!R$4:R$363,AD$11:AD$370,$AC126),0)</f>
        <v>0</v>
      </c>
      <c r="AL126" s="10">
        <f>IFERROR(求节点(节奏总纲!S$4:S$363,AE$11:AE$370,$AC126),0)</f>
        <v>10259.029895840467</v>
      </c>
      <c r="AM126" s="10">
        <f>IFERROR(求节点(节奏总纲!T$4:T$363,AF$11:AF$370,$AC126),0)</f>
        <v>24744.660233847757</v>
      </c>
      <c r="AN126" s="10">
        <f>IFERROR(求节点(节奏总纲!U$4:U$363,AG$11:AG$370,$AC126),0)</f>
        <v>46920.617325237647</v>
      </c>
      <c r="AO126" s="10">
        <f>IFERROR(求节点(节奏总纲!V$4:V$363,AH$11:AH$370,$AC126),0)</f>
        <v>85901.260633227415</v>
      </c>
      <c r="AZ126" s="10">
        <v>116</v>
      </c>
      <c r="BA126" s="10">
        <f t="shared" si="44"/>
        <v>1123733.3333333333</v>
      </c>
      <c r="BB126" s="10">
        <f t="shared" si="45"/>
        <v>1685600</v>
      </c>
      <c r="BC126" s="10">
        <f t="shared" si="46"/>
        <v>2247466.6666666665</v>
      </c>
      <c r="BD126" s="10">
        <f t="shared" si="47"/>
        <v>2809333.3333333335</v>
      </c>
      <c r="BE126" s="10">
        <f t="shared" si="48"/>
        <v>3371200</v>
      </c>
      <c r="BG126" s="10">
        <v>116</v>
      </c>
      <c r="BH126" s="10">
        <f>MAX(节奏总纲!D119-$C$7,0)*C$22*$C$8*($AV$6+$AV$22)/30</f>
        <v>40156317.035320364</v>
      </c>
      <c r="BI126" s="10">
        <f>MAX(节奏总纲!E119-$C$7,0)*D$22*$C$8*($AV$6+$AV$22)/30</f>
        <v>51092857.477367565</v>
      </c>
      <c r="BJ126" s="10">
        <f>MAX(节奏总纲!F119-$C$7,0)*E$22*$C$8*($AV$6+$AV$22)/30</f>
        <v>54329272.514407426</v>
      </c>
      <c r="BK126" s="10">
        <f>MAX(节奏总纲!G119-$C$7,0)*F$22*$C$8*($AV$6+$AV$22)/30</f>
        <v>48316616.435690723</v>
      </c>
      <c r="BL126" s="10">
        <f>MAX(节奏总纲!H119-$C$7,0)*G$22*$C$8*($AV$6+$AV$22)/30</f>
        <v>30707141.684872396</v>
      </c>
      <c r="BX126" s="10">
        <v>116</v>
      </c>
      <c r="BY126" s="10">
        <f t="shared" si="59"/>
        <v>57333.333333333336</v>
      </c>
      <c r="BZ126" s="10">
        <f t="shared" si="59"/>
        <v>86000</v>
      </c>
      <c r="CA126" s="10">
        <f t="shared" si="59"/>
        <v>114666.66666666667</v>
      </c>
      <c r="CB126" s="10">
        <f t="shared" si="59"/>
        <v>215000</v>
      </c>
      <c r="CC126" s="10">
        <f t="shared" si="59"/>
        <v>716666.66666666663</v>
      </c>
      <c r="CE126" s="10">
        <v>116</v>
      </c>
      <c r="CF126" s="10">
        <f>MAX(节奏总纲!D119-$C$7,0)*INDEX($BU$7:$BU$15,MATCH(BY$10,$BT$7:$BT$15,0))/30</f>
        <v>2048791.6854755285</v>
      </c>
      <c r="CG126" s="10">
        <f>MAX(节奏总纲!E119-$C$7,0)*INDEX($BU$7:$BU$15,MATCH(BZ$10,$BT$7:$BT$15,0))/30</f>
        <v>2606778.4427228346</v>
      </c>
      <c r="CH126" s="10">
        <f>MAX(节奏总纲!F119-$C$7,0)*INDEX($BU$7:$BU$15,MATCH(CA$10,$BT$7:$BT$15,0))/30</f>
        <v>2771901.6588983382</v>
      </c>
      <c r="CI126" s="10">
        <f>MAX(节奏总纲!G119-$C$7,0)*INDEX($BU$7:$BU$15,MATCH(CB$10,$BT$7:$BT$15,0))/30</f>
        <v>3697700.2374253105</v>
      </c>
      <c r="CJ126" s="10">
        <f>MAX(节奏总纲!H119-$C$7,0)*INDEX($BU$7:$BU$15,MATCH(CC$10,$BT$7:$BT$15,0))/30</f>
        <v>6527878.7595392</v>
      </c>
    </row>
    <row r="127" spans="15:88" x14ac:dyDescent="0.15">
      <c r="O127" s="2">
        <v>116</v>
      </c>
      <c r="P127" s="2">
        <f t="shared" si="57"/>
        <v>2320</v>
      </c>
      <c r="AC127" s="2">
        <v>117</v>
      </c>
      <c r="AD127" s="2">
        <f t="shared" si="50"/>
        <v>0</v>
      </c>
      <c r="AE127" s="2">
        <f t="shared" si="51"/>
        <v>2030</v>
      </c>
      <c r="AF127" s="2">
        <f t="shared" si="52"/>
        <v>5075</v>
      </c>
      <c r="AG127" s="2">
        <f t="shared" si="53"/>
        <v>10150</v>
      </c>
      <c r="AH127" s="2">
        <f t="shared" si="54"/>
        <v>20300</v>
      </c>
      <c r="AJ127" s="10">
        <v>117</v>
      </c>
      <c r="AK127" s="10">
        <f>IFERROR(求节点(节奏总纲!R$4:R$363,AD$11:AD$370,$AC127),0)</f>
        <v>0</v>
      </c>
      <c r="AL127" s="10">
        <f>IFERROR(求节点(节奏总纲!S$4:S$363,AE$11:AE$370,$AC127),0)</f>
        <v>10347.469808735643</v>
      </c>
      <c r="AM127" s="10">
        <f>IFERROR(求节点(节奏总纲!T$4:T$363,AF$11:AF$370,$AC127),0)</f>
        <v>24957.976270346444</v>
      </c>
      <c r="AN127" s="10">
        <f>IFERROR(求节点(节奏总纲!U$4:U$363,AG$11:AG$370,$AC127),0)</f>
        <v>47325.105405627633</v>
      </c>
      <c r="AO127" s="10">
        <f>IFERROR(求节点(节奏总纲!V$4:V$363,AH$11:AH$370,$AC127),0)</f>
        <v>86641.788742134551</v>
      </c>
      <c r="AZ127" s="10">
        <v>117</v>
      </c>
      <c r="BA127" s="10">
        <f t="shared" si="44"/>
        <v>1136800</v>
      </c>
      <c r="BB127" s="10">
        <f t="shared" si="45"/>
        <v>1705200</v>
      </c>
      <c r="BC127" s="10">
        <f t="shared" si="46"/>
        <v>2273600</v>
      </c>
      <c r="BD127" s="10">
        <f t="shared" si="47"/>
        <v>2842000</v>
      </c>
      <c r="BE127" s="10">
        <f t="shared" si="48"/>
        <v>3410400</v>
      </c>
      <c r="BG127" s="10">
        <v>117</v>
      </c>
      <c r="BH127" s="10">
        <f>MAX(节奏总纲!D120-$C$7,0)*C$22*$C$8*($AV$6+$AV$22)/30</f>
        <v>43067547.988875106</v>
      </c>
      <c r="BI127" s="10">
        <f>MAX(节奏总纲!E120-$C$7,0)*D$22*$C$8*($AV$6+$AV$22)/30</f>
        <v>54816404.753617421</v>
      </c>
      <c r="BJ127" s="10">
        <f>MAX(节奏总纲!F120-$C$7,0)*E$22*$C$8*($AV$6+$AV$22)/30</f>
        <v>58347060.993663453</v>
      </c>
      <c r="BK127" s="10">
        <f>MAX(节奏总纲!G120-$C$7,0)*F$22*$C$8*($AV$6+$AV$22)/30</f>
        <v>51877675.241469331</v>
      </c>
      <c r="BL127" s="10">
        <f>MAX(节奏总纲!H120-$C$7,0)*G$22*$C$8*($AV$6+$AV$22)/30</f>
        <v>33048394.041239142</v>
      </c>
      <c r="BX127" s="10">
        <v>117</v>
      </c>
      <c r="BY127" s="10">
        <f t="shared" si="59"/>
        <v>58000</v>
      </c>
      <c r="BZ127" s="10">
        <f t="shared" si="59"/>
        <v>87000</v>
      </c>
      <c r="CA127" s="10">
        <f t="shared" si="59"/>
        <v>116000</v>
      </c>
      <c r="CB127" s="10">
        <f t="shared" si="59"/>
        <v>217500</v>
      </c>
      <c r="CC127" s="10">
        <f t="shared" si="59"/>
        <v>725000</v>
      </c>
      <c r="CE127" s="10">
        <v>117</v>
      </c>
      <c r="CF127" s="10">
        <f>MAX(节奏总纲!D120-$C$7,0)*INDEX($BU$7:$BU$15,MATCH(BY$10,$BT$7:$BT$15,0))/30</f>
        <v>2197323.8769834233</v>
      </c>
      <c r="CG127" s="10">
        <f>MAX(节奏总纲!E120-$C$7,0)*INDEX($BU$7:$BU$15,MATCH(BZ$10,$BT$7:$BT$15,0))/30</f>
        <v>2796755.3445723178</v>
      </c>
      <c r="CH127" s="10">
        <f>MAX(节奏总纲!F120-$C$7,0)*INDEX($BU$7:$BU$15,MATCH(CA$10,$BT$7:$BT$15,0))/30</f>
        <v>2976890.8670236459</v>
      </c>
      <c r="CI127" s="10">
        <f>MAX(节奏总纲!G120-$C$7,0)*INDEX($BU$7:$BU$15,MATCH(CB$10,$BT$7:$BT$15,0))/30</f>
        <v>3970230.2480716328</v>
      </c>
      <c r="CJ127" s="10">
        <f>MAX(节奏总纲!H120-$C$7,0)*INDEX($BU$7:$BU$15,MATCH(CC$10,$BT$7:$BT$15,0))/30</f>
        <v>7025593.9713518592</v>
      </c>
    </row>
    <row r="128" spans="15:88" x14ac:dyDescent="0.15">
      <c r="O128" s="2">
        <v>117</v>
      </c>
      <c r="P128" s="2">
        <f t="shared" si="57"/>
        <v>2340</v>
      </c>
      <c r="AC128" s="2">
        <v>118</v>
      </c>
      <c r="AD128" s="2">
        <f t="shared" si="50"/>
        <v>0</v>
      </c>
      <c r="AE128" s="2">
        <f t="shared" si="51"/>
        <v>2053.3333333333335</v>
      </c>
      <c r="AF128" s="2">
        <f t="shared" si="52"/>
        <v>5133.333333333333</v>
      </c>
      <c r="AG128" s="2">
        <f t="shared" si="53"/>
        <v>10266.666666666666</v>
      </c>
      <c r="AH128" s="2">
        <f t="shared" si="54"/>
        <v>20533.333333333332</v>
      </c>
      <c r="AJ128" s="10">
        <v>118</v>
      </c>
      <c r="AK128" s="10">
        <f>IFERROR(求节点(节奏总纲!R$4:R$363,AD$11:AD$370,$AC128),0)</f>
        <v>0</v>
      </c>
      <c r="AL128" s="10">
        <f>IFERROR(求节点(节奏总纲!S$4:S$363,AE$11:AE$370,$AC128),0)</f>
        <v>10435.909721630818</v>
      </c>
      <c r="AM128" s="10">
        <f>IFERROR(求节点(节奏总纲!T$4:T$363,AF$11:AF$370,$AC128),0)</f>
        <v>25171.292306845131</v>
      </c>
      <c r="AN128" s="10">
        <f>IFERROR(求节点(节奏总纲!U$4:U$363,AG$11:AG$370,$AC128),0)</f>
        <v>47729.593486017606</v>
      </c>
      <c r="AO128" s="10">
        <f>IFERROR(求节点(节奏总纲!V$4:V$363,AH$11:AH$370,$AC128),0)</f>
        <v>87382.316851041687</v>
      </c>
      <c r="AZ128" s="10">
        <v>118</v>
      </c>
      <c r="BA128" s="10">
        <f t="shared" si="44"/>
        <v>1149866.6666666667</v>
      </c>
      <c r="BB128" s="10">
        <f t="shared" si="45"/>
        <v>1724800</v>
      </c>
      <c r="BC128" s="10">
        <f t="shared" si="46"/>
        <v>2299733.3333333335</v>
      </c>
      <c r="BD128" s="10">
        <f t="shared" si="47"/>
        <v>2874666.6666666665</v>
      </c>
      <c r="BE128" s="10">
        <f t="shared" si="48"/>
        <v>3449600</v>
      </c>
      <c r="BG128" s="10">
        <v>118</v>
      </c>
      <c r="BH128" s="10">
        <f>MAX(节奏总纲!D121-$C$7,0)*C$22*$C$8*($AV$6+$AV$22)/30</f>
        <v>46187728.068209454</v>
      </c>
      <c r="BI128" s="10">
        <f>MAX(节奏总纲!E121-$C$7,0)*D$22*$C$8*($AV$6+$AV$22)/30</f>
        <v>58808140.246177293</v>
      </c>
      <c r="BJ128" s="10">
        <f>MAX(节奏总纲!F121-$C$7,0)*E$22*$C$8*($AV$6+$AV$22)/30</f>
        <v>62620325.846446723</v>
      </c>
      <c r="BK128" s="10">
        <f>MAX(节奏总纲!G121-$C$7,0)*F$22*$C$8*($AV$6+$AV$22)/30</f>
        <v>55777398.651113234</v>
      </c>
      <c r="BL128" s="10">
        <f>MAX(节奏总纲!H121-$C$7,0)*G$22*$C$8*($AV$6+$AV$22)/30</f>
        <v>35519509.772135414</v>
      </c>
      <c r="BX128" s="10">
        <v>118</v>
      </c>
      <c r="BY128" s="10">
        <f t="shared" si="59"/>
        <v>58666.666666666664</v>
      </c>
      <c r="BZ128" s="10">
        <f t="shared" si="59"/>
        <v>88000</v>
      </c>
      <c r="CA128" s="10">
        <f t="shared" si="59"/>
        <v>117333.33333333333</v>
      </c>
      <c r="CB128" s="10">
        <f t="shared" si="59"/>
        <v>220000</v>
      </c>
      <c r="CC128" s="10">
        <f t="shared" si="59"/>
        <v>733333.33333333337</v>
      </c>
      <c r="CE128" s="10">
        <v>118</v>
      </c>
      <c r="CF128" s="10">
        <f>MAX(节奏总纲!D121-$C$7,0)*INDEX($BU$7:$BU$15,MATCH(BY$10,$BT$7:$BT$15,0))/30</f>
        <v>2356516.7381739523</v>
      </c>
      <c r="CG128" s="10">
        <f>MAX(节奏总纲!E121-$C$7,0)*INDEX($BU$7:$BU$15,MATCH(BZ$10,$BT$7:$BT$15,0))/30</f>
        <v>3000415.3186825146</v>
      </c>
      <c r="CH128" s="10">
        <f>MAX(节奏总纲!F121-$C$7,0)*INDEX($BU$7:$BU$15,MATCH(CA$10,$BT$7:$BT$15,0))/30</f>
        <v>3194914.5840023835</v>
      </c>
      <c r="CI128" s="10">
        <f>MAX(节奏总纲!G121-$C$7,0)*INDEX($BU$7:$BU$15,MATCH(CB$10,$BT$7:$BT$15,0))/30</f>
        <v>4268678.4681974407</v>
      </c>
      <c r="CJ128" s="10">
        <f>MAX(节奏总纲!H121-$C$7,0)*INDEX($BU$7:$BU$15,MATCH(CC$10,$BT$7:$BT$15,0))/30</f>
        <v>7550916.1930559985</v>
      </c>
    </row>
    <row r="129" spans="15:88" x14ac:dyDescent="0.15">
      <c r="O129" s="2">
        <v>118</v>
      </c>
      <c r="P129" s="2">
        <f t="shared" si="57"/>
        <v>2360</v>
      </c>
      <c r="AC129" s="2">
        <v>119</v>
      </c>
      <c r="AD129" s="2">
        <f t="shared" si="50"/>
        <v>0</v>
      </c>
      <c r="AE129" s="2">
        <f t="shared" si="51"/>
        <v>2076.6666666666665</v>
      </c>
      <c r="AF129" s="2">
        <f t="shared" si="52"/>
        <v>5191.666666666667</v>
      </c>
      <c r="AG129" s="2">
        <f t="shared" si="53"/>
        <v>10383.333333333334</v>
      </c>
      <c r="AH129" s="2">
        <f t="shared" si="54"/>
        <v>20766.666666666668</v>
      </c>
      <c r="AJ129" s="10">
        <v>119</v>
      </c>
      <c r="AK129" s="10">
        <f>IFERROR(求节点(节奏总纲!R$4:R$363,AD$11:AD$370,$AC129),0)</f>
        <v>0</v>
      </c>
      <c r="AL129" s="10">
        <f>IFERROR(求节点(节奏总纲!S$4:S$363,AE$11:AE$370,$AC129),0)</f>
        <v>10524.349634525995</v>
      </c>
      <c r="AM129" s="10">
        <f>IFERROR(求节点(节奏总纲!T$4:T$363,AF$11:AF$370,$AC129),0)</f>
        <v>25384.608343343818</v>
      </c>
      <c r="AN129" s="10">
        <f>IFERROR(求节点(节奏总纲!U$4:U$363,AG$11:AG$370,$AC129),0)</f>
        <v>48134.081566407593</v>
      </c>
      <c r="AO129" s="10">
        <f>IFERROR(求节点(节奏总纲!V$4:V$363,AH$11:AH$370,$AC129),0)</f>
        <v>88122.844959948809</v>
      </c>
      <c r="AZ129" s="10">
        <v>119</v>
      </c>
      <c r="BA129" s="10">
        <f t="shared" si="44"/>
        <v>1162933.3333333333</v>
      </c>
      <c r="BB129" s="10">
        <f t="shared" si="45"/>
        <v>1744400</v>
      </c>
      <c r="BC129" s="10">
        <f t="shared" si="46"/>
        <v>2325866.6666666665</v>
      </c>
      <c r="BD129" s="10">
        <f t="shared" si="47"/>
        <v>2907333.3333333335</v>
      </c>
      <c r="BE129" s="10">
        <f t="shared" si="48"/>
        <v>3488800</v>
      </c>
      <c r="BG129" s="10">
        <v>119</v>
      </c>
      <c r="BH129" s="10">
        <f>MAX(节奏总纲!D122-$C$7,0)*C$22*$C$8*($AV$6+$AV$22)/30</f>
        <v>49531854.275574237</v>
      </c>
      <c r="BI129" s="10">
        <f>MAX(节奏总纲!E122-$C$7,0)*D$22*$C$8*($AV$6+$AV$22)/30</f>
        <v>63117334.248346522</v>
      </c>
      <c r="BJ129" s="10">
        <f>MAX(节奏总纲!F122-$C$7,0)*E$22*$C$8*($AV$6+$AV$22)/30</f>
        <v>67282182.919317916</v>
      </c>
      <c r="BK129" s="10">
        <f>MAX(节奏总纲!G122-$C$7,0)*F$22*$C$8*($AV$6+$AV$22)/30</f>
        <v>59889659.325493895</v>
      </c>
      <c r="BL129" s="10">
        <f>MAX(节奏总纲!H122-$C$7,0)*G$22*$C$8*($AV$6+$AV$22)/30</f>
        <v>38034195.148036003</v>
      </c>
      <c r="BX129" s="10">
        <v>119</v>
      </c>
      <c r="BY129" s="10">
        <f t="shared" si="59"/>
        <v>59333.333333333336</v>
      </c>
      <c r="BZ129" s="10">
        <f t="shared" si="59"/>
        <v>89000</v>
      </c>
      <c r="CA129" s="10">
        <f t="shared" si="59"/>
        <v>118666.66666666667</v>
      </c>
      <c r="CB129" s="10">
        <f t="shared" si="59"/>
        <v>222500</v>
      </c>
      <c r="CC129" s="10">
        <f t="shared" si="59"/>
        <v>741666.66666666663</v>
      </c>
      <c r="CE129" s="10">
        <v>119</v>
      </c>
      <c r="CF129" s="10">
        <f>MAX(节奏总纲!D122-$C$7,0)*INDEX($BU$7:$BU$15,MATCH(BY$10,$BT$7:$BT$15,0))/30</f>
        <v>2527135.4222231754</v>
      </c>
      <c r="CG129" s="10">
        <f>MAX(节奏总纲!E122-$C$7,0)*INDEX($BU$7:$BU$15,MATCH(BZ$10,$BT$7:$BT$15,0))/30</f>
        <v>3220272.1555278837</v>
      </c>
      <c r="CH129" s="10">
        <f>MAX(节奏总纲!F122-$C$7,0)*INDEX($BU$7:$BU$15,MATCH(CA$10,$BT$7:$BT$15,0))/30</f>
        <v>3432764.4346590778</v>
      </c>
      <c r="CI129" s="10">
        <f>MAX(节奏总纲!G122-$C$7,0)*INDEX($BU$7:$BU$15,MATCH(CB$10,$BT$7:$BT$15,0))/30</f>
        <v>4583392.2953184107</v>
      </c>
      <c r="CJ129" s="10">
        <f>MAX(节奏总纲!H122-$C$7,0)*INDEX($BU$7:$BU$15,MATCH(CC$10,$BT$7:$BT$15,0))/30</f>
        <v>8085500.6692253416</v>
      </c>
    </row>
    <row r="130" spans="15:88" x14ac:dyDescent="0.15">
      <c r="O130" s="2">
        <v>119</v>
      </c>
      <c r="P130" s="2">
        <f t="shared" si="57"/>
        <v>2380</v>
      </c>
      <c r="AC130" s="2">
        <v>120</v>
      </c>
      <c r="AD130" s="2">
        <f t="shared" si="50"/>
        <v>0</v>
      </c>
      <c r="AE130" s="2">
        <f t="shared" si="51"/>
        <v>2100</v>
      </c>
      <c r="AF130" s="2">
        <f t="shared" si="52"/>
        <v>5250</v>
      </c>
      <c r="AG130" s="2">
        <f t="shared" si="53"/>
        <v>10500</v>
      </c>
      <c r="AH130" s="2">
        <f t="shared" si="54"/>
        <v>21000</v>
      </c>
      <c r="AJ130" s="10">
        <v>120</v>
      </c>
      <c r="AK130" s="10">
        <f>IFERROR(求节点(节奏总纲!R$4:R$363,AD$11:AD$370,$AC130),0)</f>
        <v>0</v>
      </c>
      <c r="AL130" s="10">
        <f>IFERROR(求节点(节奏总纲!S$4:S$363,AE$11:AE$370,$AC130),0)</f>
        <v>10612.789547421173</v>
      </c>
      <c r="AM130" s="10">
        <f>IFERROR(求节点(节奏总纲!T$4:T$363,AF$11:AF$370,$AC130),0)</f>
        <v>25597.924379842509</v>
      </c>
      <c r="AN130" s="10">
        <f>IFERROR(求节点(节奏总纲!U$4:U$363,AG$11:AG$370,$AC130),0)</f>
        <v>48538.569646797565</v>
      </c>
      <c r="AO130" s="10">
        <f>IFERROR(求节点(节奏总纲!V$4:V$363,AH$11:AH$370,$AC130),0)</f>
        <v>88863.373068855944</v>
      </c>
      <c r="AZ130" s="10">
        <v>120</v>
      </c>
      <c r="BA130" s="10">
        <f t="shared" si="44"/>
        <v>1176000</v>
      </c>
      <c r="BB130" s="10">
        <f t="shared" si="45"/>
        <v>1764000</v>
      </c>
      <c r="BC130" s="10">
        <f t="shared" si="46"/>
        <v>2352000</v>
      </c>
      <c r="BD130" s="10">
        <f t="shared" si="47"/>
        <v>2940000</v>
      </c>
      <c r="BE130" s="10">
        <f t="shared" si="48"/>
        <v>3528000</v>
      </c>
      <c r="BG130" s="10">
        <v>120</v>
      </c>
      <c r="BH130" s="10">
        <f>MAX(节奏总纲!D123-$C$7,0)*C$22*$C$8*($AV$6+$AV$22)/30</f>
        <v>53116000</v>
      </c>
      <c r="BI130" s="10">
        <f>MAX(节奏总纲!E123-$C$7,0)*D$22*$C$8*($AV$6+$AV$22)/30</f>
        <v>67739040.600000009</v>
      </c>
      <c r="BJ130" s="10">
        <f>MAX(节奏总纲!F123-$C$7,0)*E$22*$C$8*($AV$6+$AV$22)/30</f>
        <v>72179508.799999997</v>
      </c>
      <c r="BK130" s="10">
        <f>MAX(节奏总纲!G123-$C$7,0)*F$22*$C$8*($AV$6+$AV$22)/30</f>
        <v>63978711.999999993</v>
      </c>
      <c r="BL130" s="10">
        <f>MAX(节奏总纲!H123-$C$7,0)*G$22*$C$8*($AV$6+$AV$22)/30</f>
        <v>40688659.199999996</v>
      </c>
      <c r="BX130" s="10">
        <v>120</v>
      </c>
      <c r="BY130" s="10">
        <f t="shared" si="59"/>
        <v>60000</v>
      </c>
      <c r="BZ130" s="10">
        <f t="shared" si="59"/>
        <v>90000</v>
      </c>
      <c r="CA130" s="10">
        <f t="shared" si="59"/>
        <v>120000</v>
      </c>
      <c r="CB130" s="10">
        <f t="shared" si="59"/>
        <v>225000</v>
      </c>
      <c r="CC130" s="10">
        <f t="shared" si="59"/>
        <v>750000</v>
      </c>
      <c r="CE130" s="10">
        <v>120</v>
      </c>
      <c r="CF130" s="10">
        <f>MAX(节奏总纲!D123-$C$7,0)*INDEX($BU$7:$BU$15,MATCH(BY$10,$BT$7:$BT$15,0))/30</f>
        <v>2710000</v>
      </c>
      <c r="CG130" s="10">
        <f>MAX(节奏总纲!E123-$C$7,0)*INDEX($BU$7:$BU$15,MATCH(BZ$10,$BT$7:$BT$15,0))/30</f>
        <v>3456073.5</v>
      </c>
      <c r="CH130" s="10">
        <f>MAX(节奏总纲!F123-$C$7,0)*INDEX($BU$7:$BU$15,MATCH(CA$10,$BT$7:$BT$15,0))/30</f>
        <v>3682628</v>
      </c>
      <c r="CI130" s="10">
        <f>MAX(节奏总纲!G123-$C$7,0)*INDEX($BU$7:$BU$15,MATCH(CB$10,$BT$7:$BT$15,0))/30</f>
        <v>4896330</v>
      </c>
      <c r="CJ130" s="10">
        <f>MAX(节奏总纲!H123-$C$7,0)*INDEX($BU$7:$BU$15,MATCH(CC$10,$BT$7:$BT$15,0))/30</f>
        <v>8649799.9999999981</v>
      </c>
    </row>
    <row r="131" spans="15:88" x14ac:dyDescent="0.15">
      <c r="O131" s="2">
        <v>120</v>
      </c>
      <c r="P131" s="2">
        <f t="shared" si="57"/>
        <v>2400</v>
      </c>
      <c r="AC131" s="2">
        <v>121</v>
      </c>
      <c r="AD131" s="2">
        <f t="shared" si="50"/>
        <v>0</v>
      </c>
      <c r="AE131" s="2">
        <f t="shared" si="51"/>
        <v>2123.3333333333335</v>
      </c>
      <c r="AF131" s="2">
        <f t="shared" si="52"/>
        <v>5308.333333333333</v>
      </c>
      <c r="AG131" s="2">
        <f t="shared" si="53"/>
        <v>10616.666666666666</v>
      </c>
      <c r="AH131" s="2">
        <f t="shared" si="54"/>
        <v>21233.333333333332</v>
      </c>
      <c r="AJ131" s="10">
        <v>121</v>
      </c>
      <c r="AK131" s="10">
        <f>IFERROR(求节点(节奏总纲!R$4:R$363,AD$11:AD$370,$AC131),0)</f>
        <v>0</v>
      </c>
      <c r="AL131" s="10">
        <f>IFERROR(求节点(节奏总纲!S$4:S$363,AE$11:AE$370,$AC131),0)</f>
        <v>10701.229460316348</v>
      </c>
      <c r="AM131" s="10">
        <f>IFERROR(求节点(节奏总纲!T$4:T$363,AF$11:AF$370,$AC131),0)</f>
        <v>25811.240416341196</v>
      </c>
      <c r="AN131" s="10">
        <f>IFERROR(求节点(节奏总纲!U$4:U$363,AG$11:AG$370,$AC131),0)</f>
        <v>48943.057727187552</v>
      </c>
      <c r="AO131" s="10">
        <f>IFERROR(求节点(节奏总纲!V$4:V$363,AH$11:AH$370,$AC131),0)</f>
        <v>89603.90117776308</v>
      </c>
      <c r="AZ131" s="10">
        <v>121</v>
      </c>
      <c r="BA131" s="10">
        <f t="shared" si="44"/>
        <v>1189066.6666666667</v>
      </c>
      <c r="BB131" s="10">
        <f t="shared" si="45"/>
        <v>1783600</v>
      </c>
      <c r="BC131" s="10">
        <f t="shared" si="46"/>
        <v>2378133.3333333335</v>
      </c>
      <c r="BD131" s="10">
        <f t="shared" si="47"/>
        <v>2972666.6666666665</v>
      </c>
      <c r="BE131" s="10">
        <f t="shared" si="48"/>
        <v>3567200</v>
      </c>
      <c r="BG131" s="10">
        <v>121</v>
      </c>
      <c r="BH131" s="10">
        <f>MAX(节奏总纲!D124-$C$7,0)*C$22*$C$8*($AV$6+$AV$22)/30</f>
        <v>56957392.273302451</v>
      </c>
      <c r="BI131" s="10">
        <f>MAX(节奏总纲!E124-$C$7,0)*D$22*$C$8*($AV$6+$AV$22)/30</f>
        <v>72549679.966142625</v>
      </c>
      <c r="BJ131" s="10">
        <f>MAX(节奏总纲!F124-$C$7,0)*E$22*$C$8*($AV$6+$AV$22)/30</f>
        <v>77062065.071780741</v>
      </c>
      <c r="BK131" s="10">
        <f>MAX(节奏总纲!G124-$C$7,0)*F$22*$C$8*($AV$6+$AV$22)/30</f>
        <v>68341077.910354331</v>
      </c>
      <c r="BL131" s="10">
        <f>MAX(节奏总纲!H124-$C$7,0)*G$22*$C$8*($AV$6+$AV$22)/30</f>
        <v>43642550.061585881</v>
      </c>
      <c r="BX131" s="10">
        <v>121</v>
      </c>
      <c r="BY131" s="10">
        <f t="shared" ref="BY131:CC140" si="60">MAX($BX131-$C$7,0)*INDEX($BU$7:$BU$15,MATCH(BY$10,$BT$7:$BT$15,0))/30</f>
        <v>60666.666666666664</v>
      </c>
      <c r="BZ131" s="10">
        <f t="shared" si="60"/>
        <v>91000</v>
      </c>
      <c r="CA131" s="10">
        <f t="shared" si="60"/>
        <v>121333.33333333333</v>
      </c>
      <c r="CB131" s="10">
        <f t="shared" si="60"/>
        <v>227500</v>
      </c>
      <c r="CC131" s="10">
        <f t="shared" si="60"/>
        <v>758333.33333333337</v>
      </c>
      <c r="CE131" s="10">
        <v>121</v>
      </c>
      <c r="CF131" s="10">
        <f>MAX(节奏总纲!D124-$C$7,0)*INDEX($BU$7:$BU$15,MATCH(BY$10,$BT$7:$BT$15,0))/30</f>
        <v>2905989.4016991048</v>
      </c>
      <c r="CG131" s="10">
        <f>MAX(节奏总纲!E124-$C$7,0)*INDEX($BU$7:$BU$15,MATCH(BZ$10,$BT$7:$BT$15,0))/30</f>
        <v>3701514.2839868683</v>
      </c>
      <c r="CH131" s="10">
        <f>MAX(节奏总纲!F124-$C$7,0)*INDEX($BU$7:$BU$15,MATCH(CA$10,$BT$7:$BT$15,0))/30</f>
        <v>3931738.013866365</v>
      </c>
      <c r="CI131" s="10">
        <f>MAX(节奏总纲!G124-$C$7,0)*INDEX($BU$7:$BU$15,MATCH(CB$10,$BT$7:$BT$15,0))/30</f>
        <v>5230184.5339556895</v>
      </c>
      <c r="CJ131" s="10">
        <f>MAX(节奏总纲!H124-$C$7,0)*INDEX($BU$7:$BU$15,MATCH(CC$10,$BT$7:$BT$15,0))/30</f>
        <v>9277752.9892827105</v>
      </c>
    </row>
    <row r="132" spans="15:88" x14ac:dyDescent="0.15">
      <c r="O132" s="2">
        <v>121</v>
      </c>
      <c r="P132" s="2">
        <f t="shared" si="57"/>
        <v>2420</v>
      </c>
      <c r="AC132" s="2">
        <v>122</v>
      </c>
      <c r="AD132" s="2">
        <f t="shared" si="50"/>
        <v>0</v>
      </c>
      <c r="AE132" s="2">
        <f t="shared" si="51"/>
        <v>2146.6666666666665</v>
      </c>
      <c r="AF132" s="2">
        <f t="shared" si="52"/>
        <v>5366.666666666667</v>
      </c>
      <c r="AG132" s="2">
        <f t="shared" si="53"/>
        <v>10733.333333333334</v>
      </c>
      <c r="AH132" s="2">
        <f t="shared" si="54"/>
        <v>21466.666666666668</v>
      </c>
      <c r="AJ132" s="10">
        <v>122</v>
      </c>
      <c r="AK132" s="10">
        <f>IFERROR(求节点(节奏总纲!R$4:R$363,AD$11:AD$370,$AC132),0)</f>
        <v>0</v>
      </c>
      <c r="AL132" s="10">
        <f>IFERROR(求节点(节奏总纲!S$4:S$363,AE$11:AE$370,$AC132),0)</f>
        <v>10789.669373211525</v>
      </c>
      <c r="AM132" s="10">
        <f>IFERROR(求节点(节奏总纲!T$4:T$363,AF$11:AF$370,$AC132),0)</f>
        <v>26024.556452839883</v>
      </c>
      <c r="AN132" s="10">
        <f>IFERROR(求节点(节奏总纲!U$4:U$363,AG$11:AG$370,$AC132),0)</f>
        <v>49347.545807577531</v>
      </c>
      <c r="AO132" s="10">
        <f>IFERROR(求节点(节奏总纲!V$4:V$363,AH$11:AH$370,$AC132),0)</f>
        <v>90344.429286670216</v>
      </c>
      <c r="AZ132" s="10">
        <v>122</v>
      </c>
      <c r="BA132" s="10">
        <f t="shared" si="44"/>
        <v>1202133.3333333333</v>
      </c>
      <c r="BB132" s="10">
        <f t="shared" si="45"/>
        <v>1803200</v>
      </c>
      <c r="BC132" s="10">
        <f t="shared" si="46"/>
        <v>2404266.6666666665</v>
      </c>
      <c r="BD132" s="10">
        <f t="shared" si="47"/>
        <v>3005333.3333333335</v>
      </c>
      <c r="BE132" s="10">
        <f t="shared" si="48"/>
        <v>3606400</v>
      </c>
      <c r="BG132" s="10">
        <v>122</v>
      </c>
      <c r="BH132" s="10">
        <f>MAX(节奏总纲!D125-$C$7,0)*C$22*$C$8*($AV$6+$AV$22)/30</f>
        <v>61074494.571019925</v>
      </c>
      <c r="BI132" s="10">
        <f>MAX(节奏总纲!E125-$C$7,0)*D$22*$C$8*($AV$6+$AV$22)/30</f>
        <v>77606601.068523005</v>
      </c>
      <c r="BJ132" s="10">
        <f>MAX(节奏总纲!F125-$C$7,0)*E$22*$C$8*($AV$6+$AV$22)/30</f>
        <v>82417047.051332563</v>
      </c>
      <c r="BK132" s="10">
        <f>MAX(节奏总纲!G125-$C$7,0)*F$22*$C$8*($AV$6+$AV$22)/30</f>
        <v>73210058.947221056</v>
      </c>
      <c r="BL132" s="10">
        <f>MAX(节奏总纲!H125-$C$7,0)*G$22*$C$8*($AV$6+$AV$22)/30</f>
        <v>46804745.662138157</v>
      </c>
      <c r="BX132" s="10">
        <v>122</v>
      </c>
      <c r="BY132" s="10">
        <f t="shared" si="60"/>
        <v>61333.333333333336</v>
      </c>
      <c r="BZ132" s="10">
        <f t="shared" si="60"/>
        <v>92000</v>
      </c>
      <c r="CA132" s="10">
        <f t="shared" si="60"/>
        <v>122666.66666666667</v>
      </c>
      <c r="CB132" s="10">
        <f t="shared" si="60"/>
        <v>230000</v>
      </c>
      <c r="CC132" s="10">
        <f t="shared" si="60"/>
        <v>766666.66666666663</v>
      </c>
      <c r="CE132" s="10">
        <v>122</v>
      </c>
      <c r="CF132" s="10">
        <f>MAX(节奏总纲!D125-$C$7,0)*INDEX($BU$7:$BU$15,MATCH(BY$10,$BT$7:$BT$15,0))/30</f>
        <v>3116045.641378568</v>
      </c>
      <c r="CG132" s="10">
        <f>MAX(节奏总纲!E125-$C$7,0)*INDEX($BU$7:$BU$15,MATCH(BZ$10,$BT$7:$BT$15,0))/30</f>
        <v>3959520.4626797452</v>
      </c>
      <c r="CH132" s="10">
        <f>MAX(节奏总纲!F125-$C$7,0)*INDEX($BU$7:$BU$15,MATCH(CA$10,$BT$7:$BT$15,0))/30</f>
        <v>4204951.3801700296</v>
      </c>
      <c r="CI132" s="10">
        <f>MAX(节奏总纲!G125-$C$7,0)*INDEX($BU$7:$BU$15,MATCH(CB$10,$BT$7:$BT$15,0))/30</f>
        <v>5602810.6337158978</v>
      </c>
      <c r="CJ132" s="10">
        <f>MAX(节奏总纲!H125-$C$7,0)*INDEX($BU$7:$BU$15,MATCH(CC$10,$BT$7:$BT$15,0))/30</f>
        <v>9949988.448583791</v>
      </c>
    </row>
    <row r="133" spans="15:88" x14ac:dyDescent="0.15">
      <c r="O133" s="2">
        <v>122</v>
      </c>
      <c r="P133" s="2">
        <f t="shared" si="57"/>
        <v>2440</v>
      </c>
      <c r="AC133" s="2">
        <v>123</v>
      </c>
      <c r="AD133" s="2">
        <f t="shared" si="50"/>
        <v>0</v>
      </c>
      <c r="AE133" s="2">
        <f t="shared" si="51"/>
        <v>2170</v>
      </c>
      <c r="AF133" s="2">
        <f t="shared" si="52"/>
        <v>5425</v>
      </c>
      <c r="AG133" s="2">
        <f t="shared" si="53"/>
        <v>10850</v>
      </c>
      <c r="AH133" s="2">
        <f t="shared" si="54"/>
        <v>21700</v>
      </c>
      <c r="AJ133" s="10">
        <v>123</v>
      </c>
      <c r="AK133" s="10">
        <f>IFERROR(求节点(节奏总纲!R$4:R$363,AD$11:AD$370,$AC133),0)</f>
        <v>0</v>
      </c>
      <c r="AL133" s="10">
        <f>IFERROR(求节点(节奏总纲!S$4:S$363,AE$11:AE$370,$AC133),0)</f>
        <v>10878.109286106701</v>
      </c>
      <c r="AM133" s="10">
        <f>IFERROR(求节点(节奏总纲!T$4:T$363,AF$11:AF$370,$AC133),0)</f>
        <v>26237.87248933857</v>
      </c>
      <c r="AN133" s="10">
        <f>IFERROR(求节点(节奏总纲!U$4:U$363,AG$11:AG$370,$AC133),0)</f>
        <v>49752.033887967511</v>
      </c>
      <c r="AO133" s="10">
        <f>IFERROR(求节点(节奏总纲!V$4:V$363,AH$11:AH$370,$AC133),0)</f>
        <v>91084.957395577338</v>
      </c>
      <c r="AZ133" s="10">
        <v>123</v>
      </c>
      <c r="BA133" s="10">
        <f t="shared" si="44"/>
        <v>1215200</v>
      </c>
      <c r="BB133" s="10">
        <f t="shared" si="45"/>
        <v>1822800</v>
      </c>
      <c r="BC133" s="10">
        <f t="shared" si="46"/>
        <v>2430400</v>
      </c>
      <c r="BD133" s="10">
        <f t="shared" si="47"/>
        <v>3038000</v>
      </c>
      <c r="BE133" s="10">
        <f t="shared" si="48"/>
        <v>3645600</v>
      </c>
      <c r="BG133" s="10">
        <v>123</v>
      </c>
      <c r="BH133" s="10">
        <f>MAX(节奏总纲!D126-$C$7,0)*C$22*$C$8*($AV$6+$AV$22)/30</f>
        <v>65487095.556260832</v>
      </c>
      <c r="BI133" s="10">
        <f>MAX(节奏总纲!E126-$C$7,0)*D$22*$C$8*($AV$6+$AV$22)/30</f>
        <v>83220091.411897212</v>
      </c>
      <c r="BJ133" s="10">
        <f>MAX(节奏总纲!F126-$C$7,0)*E$22*$C$8*($AV$6+$AV$22)/30</f>
        <v>88587581.031623438</v>
      </c>
      <c r="BK133" s="10">
        <f>MAX(节奏总纲!G126-$C$7,0)*F$22*$C$8*($AV$6+$AV$22)/30</f>
        <v>78816054.492520913</v>
      </c>
      <c r="BL133" s="10">
        <f>MAX(节奏总纲!H126-$C$7,0)*G$22*$C$8*($AV$6+$AV$22)/30</f>
        <v>50427095.549219117</v>
      </c>
      <c r="BX133" s="10">
        <v>123</v>
      </c>
      <c r="BY133" s="10">
        <f t="shared" si="60"/>
        <v>62000</v>
      </c>
      <c r="BZ133" s="10">
        <f t="shared" si="60"/>
        <v>93000</v>
      </c>
      <c r="CA133" s="10">
        <f t="shared" si="60"/>
        <v>124000</v>
      </c>
      <c r="CB133" s="10">
        <f t="shared" si="60"/>
        <v>232500</v>
      </c>
      <c r="CC133" s="10">
        <f t="shared" si="60"/>
        <v>775000</v>
      </c>
      <c r="CE133" s="10">
        <v>123</v>
      </c>
      <c r="CF133" s="10">
        <f>MAX(节奏总纲!D126-$C$7,0)*INDEX($BU$7:$BU$15,MATCH(BY$10,$BT$7:$BT$15,0))/30</f>
        <v>3341178.3447071854</v>
      </c>
      <c r="CG133" s="10">
        <f>MAX(节奏总纲!E126-$C$7,0)*INDEX($BU$7:$BU$15,MATCH(BZ$10,$BT$7:$BT$15,0))/30</f>
        <v>4245923.0312192459</v>
      </c>
      <c r="CH133" s="10">
        <f>MAX(节奏总纲!F126-$C$7,0)*INDEX($BU$7:$BU$15,MATCH(CA$10,$BT$7:$BT$15,0))/30</f>
        <v>4519774.5424297685</v>
      </c>
      <c r="CI133" s="10">
        <f>MAX(节奏总纲!G126-$C$7,0)*INDEX($BU$7:$BU$15,MATCH(CB$10,$BT$7:$BT$15,0))/30</f>
        <v>6031840.9050398665</v>
      </c>
      <c r="CJ133" s="10">
        <f>MAX(节奏总纲!H126-$C$7,0)*INDEX($BU$7:$BU$15,MATCH(CC$10,$BT$7:$BT$15,0))/30</f>
        <v>10720045.822538078</v>
      </c>
    </row>
    <row r="134" spans="15:88" x14ac:dyDescent="0.15">
      <c r="O134" s="2">
        <v>123</v>
      </c>
      <c r="P134" s="2">
        <f t="shared" si="57"/>
        <v>2460</v>
      </c>
      <c r="AC134" s="2">
        <v>124</v>
      </c>
      <c r="AD134" s="2">
        <f t="shared" si="50"/>
        <v>0</v>
      </c>
      <c r="AE134" s="2">
        <f t="shared" si="51"/>
        <v>2193.3333333333335</v>
      </c>
      <c r="AF134" s="2">
        <f t="shared" si="52"/>
        <v>5483.333333333333</v>
      </c>
      <c r="AG134" s="2">
        <f t="shared" si="53"/>
        <v>10966.666666666666</v>
      </c>
      <c r="AH134" s="2">
        <f t="shared" si="54"/>
        <v>21933.333333333332</v>
      </c>
      <c r="AJ134" s="10">
        <v>124</v>
      </c>
      <c r="AK134" s="10">
        <f>IFERROR(求节点(节奏总纲!R$4:R$363,AD$11:AD$370,$AC134),0)</f>
        <v>0</v>
      </c>
      <c r="AL134" s="10">
        <f>IFERROR(求节点(节奏总纲!S$4:S$363,AE$11:AE$370,$AC134),0)</f>
        <v>10966.549199001878</v>
      </c>
      <c r="AM134" s="10">
        <f>IFERROR(求节点(节奏总纲!T$4:T$363,AF$11:AF$370,$AC134),0)</f>
        <v>26451.188525837257</v>
      </c>
      <c r="AN134" s="10">
        <f>IFERROR(求节点(节奏总纲!U$4:U$363,AG$11:AG$370,$AC134),0)</f>
        <v>50156.521968357491</v>
      </c>
      <c r="AO134" s="10">
        <f>IFERROR(求节点(节奏总纲!V$4:V$363,AH$11:AH$370,$AC134),0)</f>
        <v>91825.485504484473</v>
      </c>
      <c r="AZ134" s="10">
        <v>124</v>
      </c>
      <c r="BA134" s="10">
        <f t="shared" si="44"/>
        <v>1228266.6666666667</v>
      </c>
      <c r="BB134" s="10">
        <f t="shared" si="45"/>
        <v>1842400</v>
      </c>
      <c r="BC134" s="10">
        <f t="shared" si="46"/>
        <v>2456533.3333333335</v>
      </c>
      <c r="BD134" s="10">
        <f t="shared" si="47"/>
        <v>3070666.6666666665</v>
      </c>
      <c r="BE134" s="10">
        <f t="shared" si="48"/>
        <v>3684800</v>
      </c>
      <c r="BG134" s="10">
        <v>124</v>
      </c>
      <c r="BH134" s="10">
        <f>MAX(节奏总纲!D127-$C$7,0)*C$22*$C$8*($AV$6+$AV$22)/30</f>
        <v>70216404.193003401</v>
      </c>
      <c r="BI134" s="10">
        <f>MAX(节奏总纲!E127-$C$7,0)*D$22*$C$8*($AV$6+$AV$22)/30</f>
        <v>89405941.564192474</v>
      </c>
      <c r="BJ134" s="10">
        <f>MAX(节奏总纲!F127-$C$7,0)*E$22*$C$8*($AV$6+$AV$22)/30</f>
        <v>95158699.617453039</v>
      </c>
      <c r="BK134" s="10">
        <f>MAX(节奏总纲!G127-$C$7,0)*F$22*$C$8*($AV$6+$AV$22)/30</f>
        <v>84738602.690306142</v>
      </c>
      <c r="BL134" s="10">
        <f>MAX(节奏总纲!H127-$C$7,0)*G$22*$C$8*($AV$6+$AV$22)/30</f>
        <v>54322205.695700683</v>
      </c>
      <c r="BX134" s="10">
        <v>124</v>
      </c>
      <c r="BY134" s="10">
        <f t="shared" si="60"/>
        <v>62666.666666666664</v>
      </c>
      <c r="BZ134" s="10">
        <f t="shared" si="60"/>
        <v>94000</v>
      </c>
      <c r="CA134" s="10">
        <f t="shared" si="60"/>
        <v>125333.33333333333</v>
      </c>
      <c r="CB134" s="10">
        <f t="shared" si="60"/>
        <v>235000</v>
      </c>
      <c r="CC134" s="10">
        <f t="shared" si="60"/>
        <v>783333.33333333337</v>
      </c>
      <c r="CE134" s="10">
        <v>124</v>
      </c>
      <c r="CF134" s="10">
        <f>MAX(节奏总纲!D127-$C$7,0)*INDEX($BU$7:$BU$15,MATCH(BY$10,$BT$7:$BT$15,0))/30</f>
        <v>3582469.6016838471</v>
      </c>
      <c r="CG134" s="10">
        <f>MAX(节奏总纲!E127-$C$7,0)*INDEX($BU$7:$BU$15,MATCH(BZ$10,$BT$7:$BT$15,0))/30</f>
        <v>4561527.6308261473</v>
      </c>
      <c r="CH134" s="10">
        <f>MAX(节奏总纲!F127-$C$7,0)*INDEX($BU$7:$BU$15,MATCH(CA$10,$BT$7:$BT$15,0))/30</f>
        <v>4855035.6947680116</v>
      </c>
      <c r="CI134" s="10">
        <f>MAX(节奏总纲!G127-$C$7,0)*INDEX($BU$7:$BU$15,MATCH(CB$10,$BT$7:$BT$15,0))/30</f>
        <v>6485097.1446662853</v>
      </c>
      <c r="CJ134" s="10">
        <f>MAX(节奏总纲!H127-$C$7,0)*INDEX($BU$7:$BU$15,MATCH(CC$10,$BT$7:$BT$15,0))/30</f>
        <v>11548087.945514601</v>
      </c>
    </row>
    <row r="135" spans="15:88" x14ac:dyDescent="0.15">
      <c r="O135" s="2">
        <v>124</v>
      </c>
      <c r="P135" s="2">
        <f t="shared" si="57"/>
        <v>2480</v>
      </c>
      <c r="AC135" s="2">
        <v>125</v>
      </c>
      <c r="AD135" s="2">
        <f t="shared" si="50"/>
        <v>0</v>
      </c>
      <c r="AE135" s="2">
        <f t="shared" si="51"/>
        <v>2216.6666666666665</v>
      </c>
      <c r="AF135" s="2">
        <f t="shared" si="52"/>
        <v>5541.666666666667</v>
      </c>
      <c r="AG135" s="2">
        <f t="shared" si="53"/>
        <v>11083.333333333334</v>
      </c>
      <c r="AH135" s="2">
        <f t="shared" si="54"/>
        <v>22166.666666666668</v>
      </c>
      <c r="AJ135" s="10">
        <v>125</v>
      </c>
      <c r="AK135" s="10">
        <f>IFERROR(求节点(节奏总纲!R$4:R$363,AD$11:AD$370,$AC135),0)</f>
        <v>0</v>
      </c>
      <c r="AL135" s="10">
        <f>IFERROR(求节点(节奏总纲!S$4:S$363,AE$11:AE$370,$AC135),0)</f>
        <v>11054.989111897054</v>
      </c>
      <c r="AM135" s="10">
        <f>IFERROR(求节点(节奏总纲!T$4:T$363,AF$11:AF$370,$AC135),0)</f>
        <v>26664.504562335944</v>
      </c>
      <c r="AN135" s="10">
        <f>IFERROR(求节点(节奏总纲!U$4:U$363,AG$11:AG$370,$AC135),0)</f>
        <v>50561.01004874747</v>
      </c>
      <c r="AO135" s="10">
        <f>IFERROR(求节点(节奏总纲!V$4:V$363,AH$11:AH$370,$AC135),0)</f>
        <v>92566.013613391609</v>
      </c>
      <c r="AZ135" s="10">
        <v>125</v>
      </c>
      <c r="BA135" s="10">
        <f t="shared" si="44"/>
        <v>1241333.3333333333</v>
      </c>
      <c r="BB135" s="10">
        <f t="shared" si="45"/>
        <v>1862000</v>
      </c>
      <c r="BC135" s="10">
        <f t="shared" si="46"/>
        <v>2482666.6666666665</v>
      </c>
      <c r="BD135" s="10">
        <f t="shared" si="47"/>
        <v>3103333.3333333335</v>
      </c>
      <c r="BE135" s="10">
        <f t="shared" si="48"/>
        <v>3724000</v>
      </c>
      <c r="BG135" s="10">
        <v>125</v>
      </c>
      <c r="BH135" s="10">
        <f>MAX(节奏总纲!D128-$C$7,0)*C$22*$C$8*($AV$6+$AV$22)/30</f>
        <v>75285151.686007932</v>
      </c>
      <c r="BI135" s="10">
        <f>MAX(节奏总纲!E128-$C$7,0)*D$22*$C$8*($AV$6+$AV$22)/30</f>
        <v>95820907.390389815</v>
      </c>
      <c r="BJ135" s="10">
        <f>MAX(节奏总纲!F128-$C$7,0)*E$22*$C$8*($AV$6+$AV$22)/30</f>
        <v>102182332.58398239</v>
      </c>
      <c r="BK135" s="10">
        <f>MAX(节奏总纲!G128-$C$7,0)*F$22*$C$8*($AV$6+$AV$22)/30</f>
        <v>91024497.162264138</v>
      </c>
      <c r="BL135" s="10">
        <f>MAX(节奏总纲!H128-$C$7,0)*G$22*$C$8*($AV$6+$AV$22)/30</f>
        <v>58011100.333626799</v>
      </c>
      <c r="BX135" s="10">
        <v>125</v>
      </c>
      <c r="BY135" s="10">
        <f t="shared" si="60"/>
        <v>63333.333333333336</v>
      </c>
      <c r="BZ135" s="10">
        <f t="shared" si="60"/>
        <v>95000</v>
      </c>
      <c r="CA135" s="10">
        <f t="shared" si="60"/>
        <v>126666.66666666667</v>
      </c>
      <c r="CB135" s="10">
        <f t="shared" si="60"/>
        <v>237500</v>
      </c>
      <c r="CC135" s="10">
        <f t="shared" si="60"/>
        <v>791666.66666666663</v>
      </c>
      <c r="CE135" s="10">
        <v>125</v>
      </c>
      <c r="CF135" s="10">
        <f>MAX(节奏总纲!D128-$C$7,0)*INDEX($BU$7:$BU$15,MATCH(BY$10,$BT$7:$BT$15,0))/30</f>
        <v>3841079.1676534656</v>
      </c>
      <c r="CG135" s="10">
        <f>MAX(节奏总纲!E128-$C$7,0)*INDEX($BU$7:$BU$15,MATCH(BZ$10,$BT$7:$BT$15,0))/30</f>
        <v>4888821.805632133</v>
      </c>
      <c r="CH135" s="10">
        <f>MAX(节奏总纲!F128-$C$7,0)*INDEX($BU$7:$BU$15,MATCH(CA$10,$BT$7:$BT$15,0))/30</f>
        <v>5213384.3155093053</v>
      </c>
      <c r="CI135" s="10">
        <f>MAX(节奏总纲!G128-$C$7,0)*INDEX($BU$7:$BU$15,MATCH(CB$10,$BT$7:$BT$15,0))/30</f>
        <v>6966160.4971120516</v>
      </c>
      <c r="CJ135" s="10">
        <f>MAX(节奏总纲!H128-$C$7,0)*INDEX($BU$7:$BU$15,MATCH(CC$10,$BT$7:$BT$15,0))/30</f>
        <v>12332291.73759073</v>
      </c>
    </row>
    <row r="136" spans="15:88" x14ac:dyDescent="0.15">
      <c r="O136" s="2">
        <v>125</v>
      </c>
      <c r="P136" s="2">
        <f t="shared" si="57"/>
        <v>2500</v>
      </c>
      <c r="AC136" s="2">
        <v>126</v>
      </c>
      <c r="AD136" s="2">
        <f t="shared" si="50"/>
        <v>0</v>
      </c>
      <c r="AE136" s="2">
        <f t="shared" si="51"/>
        <v>2240</v>
      </c>
      <c r="AF136" s="2">
        <f t="shared" si="52"/>
        <v>5600</v>
      </c>
      <c r="AG136" s="2">
        <f t="shared" si="53"/>
        <v>11200</v>
      </c>
      <c r="AH136" s="2">
        <f t="shared" si="54"/>
        <v>22400</v>
      </c>
      <c r="AJ136" s="10">
        <v>126</v>
      </c>
      <c r="AK136" s="10">
        <f>IFERROR(求节点(节奏总纲!R$4:R$363,AD$11:AD$370,$AC136),0)</f>
        <v>0</v>
      </c>
      <c r="AL136" s="10">
        <f>IFERROR(求节点(节奏总纲!S$4:S$363,AE$11:AE$370,$AC136),0)</f>
        <v>11143.429024792231</v>
      </c>
      <c r="AM136" s="10">
        <f>IFERROR(求节点(节奏总纲!T$4:T$363,AF$11:AF$370,$AC136),0)</f>
        <v>26877.820598834631</v>
      </c>
      <c r="AN136" s="10">
        <f>IFERROR(求节点(节奏总纲!U$4:U$363,AG$11:AG$370,$AC136),0)</f>
        <v>50965.49812913745</v>
      </c>
      <c r="AO136" s="10">
        <f>IFERROR(求节点(节奏总纲!V$4:V$363,AH$11:AH$370,$AC136),0)</f>
        <v>93306.541722298745</v>
      </c>
      <c r="AZ136" s="10">
        <v>126</v>
      </c>
      <c r="BA136" s="10">
        <f t="shared" si="44"/>
        <v>1254400</v>
      </c>
      <c r="BB136" s="10">
        <f t="shared" si="45"/>
        <v>1881600</v>
      </c>
      <c r="BC136" s="10">
        <f t="shared" si="46"/>
        <v>2508800</v>
      </c>
      <c r="BD136" s="10">
        <f t="shared" si="47"/>
        <v>3136000</v>
      </c>
      <c r="BE136" s="10">
        <f t="shared" si="48"/>
        <v>3763200</v>
      </c>
      <c r="BG136" s="10">
        <v>126</v>
      </c>
      <c r="BH136" s="10">
        <f>MAX(节奏总纲!D129-$C$7,0)*C$22*$C$8*($AV$6+$AV$22)/30</f>
        <v>80717700.737307385</v>
      </c>
      <c r="BI136" s="10">
        <f>MAX(节奏总纲!E129-$C$7,0)*D$22*$C$8*($AV$6+$AV$22)/30</f>
        <v>102887700.71561994</v>
      </c>
      <c r="BJ136" s="10">
        <f>MAX(节奏总纲!F129-$C$7,0)*E$22*$C$8*($AV$6+$AV$22)/30</f>
        <v>109654968.52391773</v>
      </c>
      <c r="BK136" s="10">
        <f>MAX(节奏总纲!G129-$C$7,0)*F$22*$C$8*($AV$6+$AV$22)/30</f>
        <v>97243847.592879266</v>
      </c>
      <c r="BL136" s="10">
        <f>MAX(节奏总纲!H129-$C$7,0)*G$22*$C$8*($AV$6+$AV$22)/30</f>
        <v>61943569.113772623</v>
      </c>
      <c r="BX136" s="10">
        <v>126</v>
      </c>
      <c r="BY136" s="10">
        <f t="shared" si="60"/>
        <v>64000</v>
      </c>
      <c r="BZ136" s="10">
        <f t="shared" si="60"/>
        <v>96000</v>
      </c>
      <c r="CA136" s="10">
        <f t="shared" si="60"/>
        <v>128000</v>
      </c>
      <c r="CB136" s="10">
        <f t="shared" si="60"/>
        <v>240000</v>
      </c>
      <c r="CC136" s="10">
        <f t="shared" si="60"/>
        <v>800000</v>
      </c>
      <c r="CE136" s="10">
        <v>126</v>
      </c>
      <c r="CF136" s="10">
        <f>MAX(节奏总纲!D129-$C$7,0)*INDEX($BU$7:$BU$15,MATCH(BY$10,$BT$7:$BT$15,0))/30</f>
        <v>4118250.0376177239</v>
      </c>
      <c r="CG136" s="10">
        <f>MAX(节奏总纲!E129-$C$7,0)*INDEX($BU$7:$BU$15,MATCH(BZ$10,$BT$7:$BT$15,0))/30</f>
        <v>5249372.485490812</v>
      </c>
      <c r="CH136" s="10">
        <f>MAX(节奏总纲!F129-$C$7,0)*INDEX($BU$7:$BU$15,MATCH(CA$10,$BT$7:$BT$15,0))/30</f>
        <v>5594641.2512202924</v>
      </c>
      <c r="CI136" s="10">
        <f>MAX(节奏总纲!G129-$C$7,0)*INDEX($BU$7:$BU$15,MATCH(CB$10,$BT$7:$BT$15,0))/30</f>
        <v>7442131.1933325967</v>
      </c>
      <c r="CJ136" s="10">
        <f>MAX(节奏总纲!H129-$C$7,0)*INDEX($BU$7:$BU$15,MATCH(CC$10,$BT$7:$BT$15,0))/30</f>
        <v>13168275.746975472</v>
      </c>
    </row>
    <row r="137" spans="15:88" x14ac:dyDescent="0.15">
      <c r="O137" s="2">
        <v>126</v>
      </c>
      <c r="P137" s="2">
        <f t="shared" si="57"/>
        <v>2520</v>
      </c>
      <c r="AC137" s="2">
        <v>127</v>
      </c>
      <c r="AD137" s="2">
        <f t="shared" si="50"/>
        <v>0</v>
      </c>
      <c r="AE137" s="2">
        <f t="shared" si="51"/>
        <v>2263.3333333333335</v>
      </c>
      <c r="AF137" s="2">
        <f t="shared" si="52"/>
        <v>5658.333333333333</v>
      </c>
      <c r="AG137" s="2">
        <f t="shared" si="53"/>
        <v>11316.666666666666</v>
      </c>
      <c r="AH137" s="2">
        <f t="shared" si="54"/>
        <v>22633.333333333332</v>
      </c>
      <c r="AJ137" s="10">
        <v>127</v>
      </c>
      <c r="AK137" s="10">
        <f>IFERROR(求节点(节奏总纲!R$4:R$363,AD$11:AD$370,$AC137),0)</f>
        <v>0</v>
      </c>
      <c r="AL137" s="10">
        <f>IFERROR(求节点(节奏总纲!S$4:S$363,AE$11:AE$370,$AC137),0)</f>
        <v>11231.868937687406</v>
      </c>
      <c r="AM137" s="10">
        <f>IFERROR(求节点(节奏总纲!T$4:T$363,AF$11:AF$370,$AC137),0)</f>
        <v>27091.136635333321</v>
      </c>
      <c r="AN137" s="10">
        <f>IFERROR(求节点(节奏总纲!U$4:U$363,AG$11:AG$370,$AC137),0)</f>
        <v>51369.986209527429</v>
      </c>
      <c r="AO137" s="10">
        <f>IFERROR(求节点(节奏总纲!V$4:V$363,AH$11:AH$370,$AC137),0)</f>
        <v>94047.069831205881</v>
      </c>
      <c r="AZ137" s="10">
        <v>127</v>
      </c>
      <c r="BA137" s="10">
        <f t="shared" si="44"/>
        <v>1267466.6666666667</v>
      </c>
      <c r="BB137" s="10">
        <f t="shared" si="45"/>
        <v>1901200</v>
      </c>
      <c r="BC137" s="10">
        <f t="shared" si="46"/>
        <v>2534933.3333333335</v>
      </c>
      <c r="BD137" s="10">
        <f t="shared" si="47"/>
        <v>3168666.6666666665</v>
      </c>
      <c r="BE137" s="10">
        <f t="shared" si="48"/>
        <v>3802400</v>
      </c>
      <c r="BG137" s="10">
        <v>127</v>
      </c>
      <c r="BH137" s="10">
        <f>MAX(节奏总纲!D130-$C$7,0)*C$22*$C$8*($AV$6+$AV$22)/30</f>
        <v>86540162.644416869</v>
      </c>
      <c r="BI137" s="10">
        <f>MAX(节奏总纲!E130-$C$7,0)*D$22*$C$8*($AV$6+$AV$22)/30</f>
        <v>110315706.49361484</v>
      </c>
      <c r="BJ137" s="10">
        <f>MAX(节奏总纲!F130-$C$7,0)*E$22*$C$8*($AV$6+$AV$22)/30</f>
        <v>117043853.24824263</v>
      </c>
      <c r="BK137" s="10">
        <f>MAX(节奏总纲!G130-$C$7,0)*F$22*$C$8*($AV$6+$AV$22)/30</f>
        <v>103664590.7832168</v>
      </c>
      <c r="BL137" s="10">
        <f>MAX(节奏总纲!H130-$C$7,0)*G$22*$C$8*($AV$6+$AV$22)/30</f>
        <v>66239892.130745284</v>
      </c>
      <c r="BX137" s="10">
        <v>127</v>
      </c>
      <c r="BY137" s="10">
        <f t="shared" si="60"/>
        <v>64666.666666666664</v>
      </c>
      <c r="BZ137" s="10">
        <f t="shared" si="60"/>
        <v>97000</v>
      </c>
      <c r="CA137" s="10">
        <f t="shared" si="60"/>
        <v>129333.33333333333</v>
      </c>
      <c r="CB137" s="10">
        <f t="shared" si="60"/>
        <v>242500</v>
      </c>
      <c r="CC137" s="10">
        <f t="shared" si="60"/>
        <v>808333.33333333337</v>
      </c>
      <c r="CE137" s="10">
        <v>127</v>
      </c>
      <c r="CF137" s="10">
        <f>MAX(节奏总纲!D130-$C$7,0)*INDEX($BU$7:$BU$15,MATCH(BY$10,$BT$7:$BT$15,0))/30</f>
        <v>4415314.4206335144</v>
      </c>
      <c r="CG137" s="10">
        <f>MAX(节奏总纲!E130-$C$7,0)*INDEX($BU$7:$BU$15,MATCH(BZ$10,$BT$7:$BT$15,0))/30</f>
        <v>5628352.372123206</v>
      </c>
      <c r="CH137" s="10">
        <f>MAX(节奏总纲!F130-$C$7,0)*INDEX($BU$7:$BU$15,MATCH(CA$10,$BT$7:$BT$15,0))/30</f>
        <v>5971625.1657266645</v>
      </c>
      <c r="CI137" s="10">
        <f>MAX(节奏总纲!G130-$C$7,0)*INDEX($BU$7:$BU$15,MATCH(CB$10,$BT$7:$BT$15,0))/30</f>
        <v>7933514.6007563891</v>
      </c>
      <c r="CJ137" s="10">
        <f>MAX(节奏总纲!H130-$C$7,0)*INDEX($BU$7:$BU$15,MATCH(CC$10,$BT$7:$BT$15,0))/30</f>
        <v>14081609.721672041</v>
      </c>
    </row>
    <row r="138" spans="15:88" x14ac:dyDescent="0.15">
      <c r="O138" s="2">
        <v>127</v>
      </c>
      <c r="P138" s="2">
        <f t="shared" si="57"/>
        <v>2540</v>
      </c>
      <c r="AC138" s="2">
        <v>128</v>
      </c>
      <c r="AD138" s="2">
        <f t="shared" si="50"/>
        <v>0</v>
      </c>
      <c r="AE138" s="2">
        <f t="shared" si="51"/>
        <v>2286.6666666666665</v>
      </c>
      <c r="AF138" s="2">
        <f t="shared" si="52"/>
        <v>5716.666666666667</v>
      </c>
      <c r="AG138" s="2">
        <f t="shared" si="53"/>
        <v>11433.333333333334</v>
      </c>
      <c r="AH138" s="2">
        <f t="shared" si="54"/>
        <v>22866.666666666668</v>
      </c>
      <c r="AJ138" s="10">
        <v>128</v>
      </c>
      <c r="AK138" s="10">
        <f>IFERROR(求节点(节奏总纲!R$4:R$363,AD$11:AD$370,$AC138),0)</f>
        <v>0</v>
      </c>
      <c r="AL138" s="10">
        <f>IFERROR(求节点(节奏总纲!S$4:S$363,AE$11:AE$370,$AC138),0)</f>
        <v>11320.308850582584</v>
      </c>
      <c r="AM138" s="10">
        <f>IFERROR(求节点(节奏总纲!T$4:T$363,AF$11:AF$370,$AC138),0)</f>
        <v>27304.452671832008</v>
      </c>
      <c r="AN138" s="10">
        <f>IFERROR(求节点(节奏总纲!U$4:U$363,AG$11:AG$370,$AC138),0)</f>
        <v>51774.474289917409</v>
      </c>
      <c r="AO138" s="10">
        <f>IFERROR(求节点(节奏总纲!V$4:V$363,AH$11:AH$370,$AC138),0)</f>
        <v>94787.597940113017</v>
      </c>
      <c r="AZ138" s="10">
        <v>128</v>
      </c>
      <c r="BA138" s="10">
        <f t="shared" si="44"/>
        <v>1280533.3333333333</v>
      </c>
      <c r="BB138" s="10">
        <f t="shared" si="45"/>
        <v>1920800</v>
      </c>
      <c r="BC138" s="10">
        <f t="shared" si="46"/>
        <v>2561066.6666666665</v>
      </c>
      <c r="BD138" s="10">
        <f t="shared" si="47"/>
        <v>3201333.3333333335</v>
      </c>
      <c r="BE138" s="10">
        <f t="shared" si="48"/>
        <v>3841600</v>
      </c>
      <c r="BG138" s="10">
        <v>128</v>
      </c>
      <c r="BH138" s="10">
        <f>MAX(节奏总纲!D131-$C$7,0)*C$22*$C$8*($AV$6+$AV$22)/30</f>
        <v>92780522.803085431</v>
      </c>
      <c r="BI138" s="10">
        <f>MAX(节奏总纲!E131-$C$7,0)*D$22*$C$8*($AV$6+$AV$22)/30</f>
        <v>117717810.82921772</v>
      </c>
      <c r="BJ138" s="10">
        <f>MAX(节奏总纲!F131-$C$7,0)*E$22*$C$8*($AV$6+$AV$22)/30</f>
        <v>124812560.73855917</v>
      </c>
      <c r="BK138" s="10">
        <f>MAX(节奏总纲!G131-$C$7,0)*F$22*$C$8*($AV$6+$AV$22)/30</f>
        <v>110710561.71019867</v>
      </c>
      <c r="BL138" s="10">
        <f>MAX(节奏总纲!H131-$C$7,0)*G$22*$C$8*($AV$6+$AV$22)/30</f>
        <v>70911580.892747208</v>
      </c>
      <c r="BX138" s="10">
        <v>128</v>
      </c>
      <c r="BY138" s="10">
        <f t="shared" si="60"/>
        <v>65333.333333333336</v>
      </c>
      <c r="BZ138" s="10">
        <f t="shared" si="60"/>
        <v>98000</v>
      </c>
      <c r="CA138" s="10">
        <f t="shared" si="60"/>
        <v>130666.66666666667</v>
      </c>
      <c r="CB138" s="10">
        <f t="shared" si="60"/>
        <v>245000</v>
      </c>
      <c r="CC138" s="10">
        <f t="shared" si="60"/>
        <v>816666.66666666663</v>
      </c>
      <c r="CE138" s="10">
        <v>128</v>
      </c>
      <c r="CF138" s="10">
        <f>MAX(节奏总纲!D131-$C$7,0)*INDEX($BU$7:$BU$15,MATCH(BY$10,$BT$7:$BT$15,0))/30</f>
        <v>4733700.1430145632</v>
      </c>
      <c r="CG138" s="10">
        <f>MAX(节奏总纲!E131-$C$7,0)*INDEX($BU$7:$BU$15,MATCH(BZ$10,$BT$7:$BT$15,0))/30</f>
        <v>6006010.7565927403</v>
      </c>
      <c r="CH138" s="10">
        <f>MAX(节奏总纲!F131-$C$7,0)*INDEX($BU$7:$BU$15,MATCH(CA$10,$BT$7:$BT$15,0))/30</f>
        <v>6367987.7927836319</v>
      </c>
      <c r="CI138" s="10">
        <f>MAX(节奏总纲!G131-$C$7,0)*INDEX($BU$7:$BU$15,MATCH(CB$10,$BT$7:$BT$15,0))/30</f>
        <v>8472747.0696580615</v>
      </c>
      <c r="CJ138" s="10">
        <f>MAX(节奏总纲!H131-$C$7,0)*INDEX($BU$7:$BU$15,MATCH(CC$10,$BT$7:$BT$15,0))/30</f>
        <v>15074740.8360432</v>
      </c>
    </row>
    <row r="139" spans="15:88" x14ac:dyDescent="0.15">
      <c r="O139" s="2">
        <v>128</v>
      </c>
      <c r="P139" s="2">
        <f t="shared" si="57"/>
        <v>2560</v>
      </c>
      <c r="AC139" s="2">
        <v>129</v>
      </c>
      <c r="AD139" s="2">
        <f t="shared" si="50"/>
        <v>0</v>
      </c>
      <c r="AE139" s="2">
        <f t="shared" si="51"/>
        <v>2310</v>
      </c>
      <c r="AF139" s="2">
        <f t="shared" si="52"/>
        <v>5775</v>
      </c>
      <c r="AG139" s="2">
        <f t="shared" si="53"/>
        <v>11550</v>
      </c>
      <c r="AH139" s="2">
        <f t="shared" si="54"/>
        <v>23100</v>
      </c>
      <c r="AJ139" s="10">
        <v>129</v>
      </c>
      <c r="AK139" s="10">
        <f>IFERROR(求节点(节奏总纲!R$4:R$363,AD$11:AD$370,$AC139),0)</f>
        <v>0</v>
      </c>
      <c r="AL139" s="10">
        <f>IFERROR(求节点(节奏总纲!S$4:S$363,AE$11:AE$370,$AC139),0)</f>
        <v>11408.748763477761</v>
      </c>
      <c r="AM139" s="10">
        <f>IFERROR(求节点(节奏总纲!T$4:T$363,AF$11:AF$370,$AC139),0)</f>
        <v>27517.768708330696</v>
      </c>
      <c r="AN139" s="10">
        <f>IFERROR(求节点(节奏总纲!U$4:U$363,AG$11:AG$370,$AC139),0)</f>
        <v>52178.962370307388</v>
      </c>
      <c r="AO139" s="10">
        <f>IFERROR(求节点(节奏总纲!V$4:V$363,AH$11:AH$370,$AC139),0)</f>
        <v>95528.126049020138</v>
      </c>
      <c r="AZ139" s="10">
        <v>129</v>
      </c>
      <c r="BA139" s="10">
        <f t="shared" si="44"/>
        <v>1293600</v>
      </c>
      <c r="BB139" s="10">
        <f t="shared" si="45"/>
        <v>1940400</v>
      </c>
      <c r="BC139" s="10">
        <f t="shared" si="46"/>
        <v>2587200</v>
      </c>
      <c r="BD139" s="10">
        <f t="shared" si="47"/>
        <v>3234000</v>
      </c>
      <c r="BE139" s="10">
        <f t="shared" si="48"/>
        <v>3880800</v>
      </c>
      <c r="BG139" s="10">
        <v>129</v>
      </c>
      <c r="BH139" s="10">
        <f>MAX(节奏总纲!D132-$C$7,0)*C$22*$C$8*($AV$6+$AV$22)/30</f>
        <v>99468775.217815146</v>
      </c>
      <c r="BI139" s="10">
        <f>MAX(节奏总纲!E132-$C$7,0)*D$22*$C$8*($AV$6+$AV$22)/30</f>
        <v>126210219.3328208</v>
      </c>
      <c r="BJ139" s="10">
        <f>MAX(节奏总纲!F132-$C$7,0)*E$22*$C$8*($AV$6+$AV$22)/30</f>
        <v>134048018.69909403</v>
      </c>
      <c r="BK139" s="10">
        <f>MAX(节奏总纲!G132-$C$7,0)*F$22*$C$8*($AV$6+$AV$22)/30</f>
        <v>119127547.3932272</v>
      </c>
      <c r="BL139" s="10">
        <f>MAX(节奏总纲!H132-$C$7,0)*G$22*$C$8*($AV$6+$AV$22)/30</f>
        <v>76266031.181415662</v>
      </c>
      <c r="BX139" s="10">
        <v>129</v>
      </c>
      <c r="BY139" s="10">
        <f t="shared" si="60"/>
        <v>66000</v>
      </c>
      <c r="BZ139" s="10">
        <f t="shared" si="60"/>
        <v>99000</v>
      </c>
      <c r="CA139" s="10">
        <f t="shared" si="60"/>
        <v>132000</v>
      </c>
      <c r="CB139" s="10">
        <f t="shared" si="60"/>
        <v>247500</v>
      </c>
      <c r="CC139" s="10">
        <f t="shared" si="60"/>
        <v>825000</v>
      </c>
      <c r="CE139" s="10">
        <v>129</v>
      </c>
      <c r="CF139" s="10">
        <f>MAX(节奏总纲!D132-$C$7,0)*INDEX($BU$7:$BU$15,MATCH(BY$10,$BT$7:$BT$15,0))/30</f>
        <v>5074937.5111130187</v>
      </c>
      <c r="CG139" s="10">
        <f>MAX(节奏总纲!E132-$C$7,0)*INDEX($BU$7:$BU$15,MATCH(BZ$10,$BT$7:$BT$15,0))/30</f>
        <v>6439296.9047357561</v>
      </c>
      <c r="CH139" s="10">
        <f>MAX(节奏总纲!F132-$C$7,0)*INDEX($BU$7:$BU$15,MATCH(CA$10,$BT$7:$BT$15,0))/30</f>
        <v>6839184.6275047986</v>
      </c>
      <c r="CI139" s="10">
        <f>MAX(节奏总纲!G132-$C$7,0)*INDEX($BU$7:$BU$15,MATCH(CB$10,$BT$7:$BT$15,0))/30</f>
        <v>9116904.1372367758</v>
      </c>
      <c r="CJ139" s="10">
        <f>MAX(节奏总纲!H132-$C$7,0)*INDEX($BU$7:$BU$15,MATCH(CC$10,$BT$7:$BT$15,0))/30</f>
        <v>16213016.832783941</v>
      </c>
    </row>
    <row r="140" spans="15:88" x14ac:dyDescent="0.15">
      <c r="O140" s="2">
        <v>129</v>
      </c>
      <c r="P140" s="2">
        <f t="shared" si="57"/>
        <v>2580</v>
      </c>
      <c r="AC140" s="2">
        <v>130</v>
      </c>
      <c r="AD140" s="2">
        <f t="shared" si="50"/>
        <v>0</v>
      </c>
      <c r="AE140" s="2">
        <f t="shared" si="51"/>
        <v>2333.3333333333335</v>
      </c>
      <c r="AF140" s="2">
        <f t="shared" si="52"/>
        <v>5833.333333333333</v>
      </c>
      <c r="AG140" s="2">
        <f t="shared" si="53"/>
        <v>11666.666666666666</v>
      </c>
      <c r="AH140" s="2">
        <f t="shared" si="54"/>
        <v>23333.333333333332</v>
      </c>
      <c r="AJ140" s="10">
        <v>130</v>
      </c>
      <c r="AK140" s="10">
        <f>IFERROR(求节点(节奏总纲!R$4:R$363,AD$11:AD$370,$AC140),0)</f>
        <v>0</v>
      </c>
      <c r="AL140" s="10">
        <f>IFERROR(求节点(节奏总纲!S$4:S$363,AE$11:AE$370,$AC140),0)</f>
        <v>11497.188676372936</v>
      </c>
      <c r="AM140" s="10">
        <f>IFERROR(求节点(节奏总纲!T$4:T$363,AF$11:AF$370,$AC140),0)</f>
        <v>27731.084744829383</v>
      </c>
      <c r="AN140" s="10">
        <f>IFERROR(求节点(节奏总纲!U$4:U$363,AG$11:AG$370,$AC140),0)</f>
        <v>52583.450450697368</v>
      </c>
      <c r="AO140" s="10">
        <f>IFERROR(求节点(节奏总纲!V$4:V$363,AH$11:AH$370,$AC140),0)</f>
        <v>96268.654157927274</v>
      </c>
      <c r="AZ140" s="10">
        <v>130</v>
      </c>
      <c r="BA140" s="10">
        <f t="shared" ref="BA140:BA203" si="61">MAX($AZ140-$C$7,0)*C$22*$C$8*($AV$6+$AV$22)/30</f>
        <v>1306666.6666666667</v>
      </c>
      <c r="BB140" s="10">
        <f t="shared" ref="BB140:BB203" si="62">MAX($AZ140-$C$7,0)*D$22*$C$8*($AV$6+$AV$22)/30</f>
        <v>1960000</v>
      </c>
      <c r="BC140" s="10">
        <f t="shared" ref="BC140:BC203" si="63">MAX($AZ140-$C$7,0)*E$22*$C$8*($AV$6+$AV$22)/30</f>
        <v>2613333.3333333335</v>
      </c>
      <c r="BD140" s="10">
        <f t="shared" ref="BD140:BD203" si="64">MAX($AZ140-$C$7,0)*F$22*$C$8*($AV$6+$AV$22)/30</f>
        <v>3266666.6666666665</v>
      </c>
      <c r="BE140" s="10">
        <f t="shared" ref="BE140:BE203" si="65">MAX($AZ140-$C$7,0)*G$22*$C$8*($AV$6+$AV$22)/30</f>
        <v>3920000</v>
      </c>
      <c r="BG140" s="10">
        <v>130</v>
      </c>
      <c r="BH140" s="10">
        <f>MAX(节奏总纲!D133-$C$7,0)*C$22*$C$8*($AV$6+$AV$22)/30</f>
        <v>106637066.66666667</v>
      </c>
      <c r="BI140" s="10">
        <f>MAX(节奏总纲!E133-$C$7,0)*D$22*$C$8*($AV$6+$AV$22)/30</f>
        <v>135472701.00000003</v>
      </c>
      <c r="BJ140" s="10">
        <f>MAX(节奏总纲!F133-$C$7,0)*E$22*$C$8*($AV$6+$AV$22)/30</f>
        <v>144047733.01333332</v>
      </c>
      <c r="BK140" s="10">
        <f>MAX(节奏总纲!G133-$C$7,0)*F$22*$C$8*($AV$6+$AV$22)/30</f>
        <v>128097054.40000002</v>
      </c>
      <c r="BL140" s="10">
        <f>MAX(节奏总纲!H133-$C$7,0)*G$22*$C$8*($AV$6+$AV$22)/30</f>
        <v>82114019.680000007</v>
      </c>
      <c r="BX140" s="10">
        <v>130</v>
      </c>
      <c r="BY140" s="10">
        <f t="shared" si="60"/>
        <v>66666.666666666672</v>
      </c>
      <c r="BZ140" s="10">
        <f t="shared" si="60"/>
        <v>100000</v>
      </c>
      <c r="CA140" s="10">
        <f t="shared" si="60"/>
        <v>133333.33333333334</v>
      </c>
      <c r="CB140" s="10">
        <f t="shared" si="60"/>
        <v>250000</v>
      </c>
      <c r="CC140" s="10">
        <f t="shared" si="60"/>
        <v>833333.33333333337</v>
      </c>
      <c r="CE140" s="10">
        <v>130</v>
      </c>
      <c r="CF140" s="10">
        <f>MAX(节奏总纲!D133-$C$7,0)*INDEX($BU$7:$BU$15,MATCH(BY$10,$BT$7:$BT$15,0))/30</f>
        <v>5440666.666666667</v>
      </c>
      <c r="CG140" s="10">
        <f>MAX(节奏总纲!E133-$C$7,0)*INDEX($BU$7:$BU$15,MATCH(BZ$10,$BT$7:$BT$15,0))/30</f>
        <v>6911872.5</v>
      </c>
      <c r="CH140" s="10">
        <f>MAX(节奏总纲!F133-$C$7,0)*INDEX($BU$7:$BU$15,MATCH(CA$10,$BT$7:$BT$15,0))/30</f>
        <v>7349374.1333333338</v>
      </c>
      <c r="CI140" s="10">
        <f>MAX(节奏总纲!G133-$C$7,0)*INDEX($BU$7:$BU$15,MATCH(CB$10,$BT$7:$BT$15,0))/30</f>
        <v>9803346</v>
      </c>
      <c r="CJ140" s="10">
        <f>MAX(节奏总纲!H133-$C$7,0)*INDEX($BU$7:$BU$15,MATCH(CC$10,$BT$7:$BT$15,0))/30</f>
        <v>17456211.666666668</v>
      </c>
    </row>
    <row r="141" spans="15:88" x14ac:dyDescent="0.15">
      <c r="O141" s="2">
        <v>130</v>
      </c>
      <c r="P141" s="2">
        <f t="shared" si="57"/>
        <v>2600</v>
      </c>
      <c r="AC141" s="2">
        <v>131</v>
      </c>
      <c r="AD141" s="2">
        <f t="shared" si="50"/>
        <v>0</v>
      </c>
      <c r="AE141" s="2">
        <f t="shared" si="51"/>
        <v>2356.6666666666665</v>
      </c>
      <c r="AF141" s="2">
        <f t="shared" si="52"/>
        <v>5891.666666666667</v>
      </c>
      <c r="AG141" s="2">
        <f t="shared" si="53"/>
        <v>11783.333333333334</v>
      </c>
      <c r="AH141" s="2">
        <f t="shared" si="54"/>
        <v>23566.666666666668</v>
      </c>
      <c r="AJ141" s="10">
        <v>131</v>
      </c>
      <c r="AK141" s="10">
        <f>IFERROR(求节点(节奏总纲!R$4:R$363,AD$11:AD$370,$AC141),0)</f>
        <v>0</v>
      </c>
      <c r="AL141" s="10">
        <f>IFERROR(求节点(节奏总纲!S$4:S$363,AE$11:AE$370,$AC141),0)</f>
        <v>11585.628589268112</v>
      </c>
      <c r="AM141" s="10">
        <f>IFERROR(求节点(节奏总纲!T$4:T$363,AF$11:AF$370,$AC141),0)</f>
        <v>27944.40078132807</v>
      </c>
      <c r="AN141" s="10">
        <f>IFERROR(求节点(节奏总纲!U$4:U$363,AG$11:AG$370,$AC141),0)</f>
        <v>52987.938531087348</v>
      </c>
      <c r="AO141" s="10">
        <f>IFERROR(求节点(节奏总纲!V$4:V$363,AH$11:AH$370,$AC141),0)</f>
        <v>97009.18226683441</v>
      </c>
      <c r="AZ141" s="10">
        <v>131</v>
      </c>
      <c r="BA141" s="10">
        <f t="shared" si="61"/>
        <v>1319733.3333333333</v>
      </c>
      <c r="BB141" s="10">
        <f t="shared" si="62"/>
        <v>1979600</v>
      </c>
      <c r="BC141" s="10">
        <f t="shared" si="63"/>
        <v>2639466.6666666665</v>
      </c>
      <c r="BD141" s="10">
        <f t="shared" si="64"/>
        <v>3299333.3333333335</v>
      </c>
      <c r="BE141" s="10">
        <f t="shared" si="65"/>
        <v>3959200</v>
      </c>
      <c r="BG141" s="10">
        <v>131</v>
      </c>
      <c r="BH141" s="10">
        <f>MAX(节奏总纲!D134-$C$7,0)*C$22*$C$8*($AV$6+$AV$22)/30</f>
        <v>114319851.21327157</v>
      </c>
      <c r="BI141" s="10">
        <f>MAX(节奏总纲!E134-$C$7,0)*D$22*$C$8*($AV$6+$AV$22)/30</f>
        <v>145308267.96559948</v>
      </c>
      <c r="BJ141" s="10">
        <f>MAX(节奏总纲!F134-$C$7,0)*E$22*$C$8*($AV$6+$AV$22)/30</f>
        <v>154581731.28325504</v>
      </c>
      <c r="BK141" s="10">
        <f>MAX(节奏总纲!G134-$C$7,0)*F$22*$C$8*($AV$6+$AV$22)/30</f>
        <v>137677950.15404204</v>
      </c>
      <c r="BL141" s="10">
        <f>MAX(节奏总纲!H134-$C$7,0)*G$22*$C$8*($AV$6+$AV$22)/30</f>
        <v>88023935.503439963</v>
      </c>
      <c r="BX141" s="10">
        <v>131</v>
      </c>
      <c r="BY141" s="10">
        <f t="shared" ref="BY141:CC150" si="66">MAX($BX141-$C$7,0)*INDEX($BU$7:$BU$15,MATCH(BY$10,$BT$7:$BT$15,0))/30</f>
        <v>67333.333333333328</v>
      </c>
      <c r="BZ141" s="10">
        <f t="shared" si="66"/>
        <v>101000</v>
      </c>
      <c r="CA141" s="10">
        <f t="shared" si="66"/>
        <v>134666.66666666666</v>
      </c>
      <c r="CB141" s="10">
        <f t="shared" si="66"/>
        <v>252500</v>
      </c>
      <c r="CC141" s="10">
        <f t="shared" si="66"/>
        <v>841666.66666666663</v>
      </c>
      <c r="CE141" s="10">
        <v>131</v>
      </c>
      <c r="CF141" s="10">
        <f>MAX(节奏总纲!D134-$C$7,0)*INDEX($BU$7:$BU$15,MATCH(BY$10,$BT$7:$BT$15,0))/30</f>
        <v>5832645.4700648766</v>
      </c>
      <c r="CG141" s="10">
        <f>MAX(节奏总纲!E134-$C$7,0)*INDEX($BU$7:$BU$15,MATCH(BZ$10,$BT$7:$BT$15,0))/30</f>
        <v>7413687.1411020141</v>
      </c>
      <c r="CH141" s="10">
        <f>MAX(节奏总纲!F134-$C$7,0)*INDEX($BU$7:$BU$15,MATCH(CA$10,$BT$7:$BT$15,0))/30</f>
        <v>7886823.0246558692</v>
      </c>
      <c r="CI141" s="10">
        <f>MAX(节奏总纲!G134-$C$7,0)*INDEX($BU$7:$BU$15,MATCH(CB$10,$BT$7:$BT$15,0))/30</f>
        <v>10536577.817911379</v>
      </c>
      <c r="CJ141" s="10">
        <f>MAX(节奏总纲!H134-$C$7,0)*INDEX($BU$7:$BU$15,MATCH(CC$10,$BT$7:$BT$15,0))/30</f>
        <v>18712571.323010199</v>
      </c>
    </row>
    <row r="142" spans="15:88" x14ac:dyDescent="0.15">
      <c r="O142" s="2">
        <v>131</v>
      </c>
      <c r="P142" s="2">
        <f t="shared" si="57"/>
        <v>2620</v>
      </c>
      <c r="AC142" s="2">
        <v>132</v>
      </c>
      <c r="AD142" s="2">
        <f t="shared" si="50"/>
        <v>0</v>
      </c>
      <c r="AE142" s="2">
        <f t="shared" si="51"/>
        <v>2380</v>
      </c>
      <c r="AF142" s="2">
        <f t="shared" si="52"/>
        <v>5950</v>
      </c>
      <c r="AG142" s="2">
        <f t="shared" si="53"/>
        <v>11900</v>
      </c>
      <c r="AH142" s="2">
        <f t="shared" si="54"/>
        <v>23800</v>
      </c>
      <c r="AJ142" s="10">
        <v>132</v>
      </c>
      <c r="AK142" s="10">
        <f>IFERROR(求节点(节奏总纲!R$4:R$363,AD$11:AD$370,$AC142),0)</f>
        <v>0</v>
      </c>
      <c r="AL142" s="10">
        <f>IFERROR(求节点(节奏总纲!S$4:S$363,AE$11:AE$370,$AC142),0)</f>
        <v>11674.068502163289</v>
      </c>
      <c r="AM142" s="10">
        <f>IFERROR(求节点(节奏总纲!T$4:T$363,AF$11:AF$370,$AC142),0)</f>
        <v>28157.71681782676</v>
      </c>
      <c r="AN142" s="10">
        <f>IFERROR(求节点(节奏总纲!U$4:U$363,AG$11:AG$370,$AC142),0)</f>
        <v>53392.426611477327</v>
      </c>
      <c r="AO142" s="10">
        <f>IFERROR(求节点(节奏总纲!V$4:V$363,AH$11:AH$370,$AC142),0)</f>
        <v>97749.710375741532</v>
      </c>
      <c r="AZ142" s="10">
        <v>132</v>
      </c>
      <c r="BA142" s="10">
        <f t="shared" si="61"/>
        <v>1332800</v>
      </c>
      <c r="BB142" s="10">
        <f t="shared" si="62"/>
        <v>1999200</v>
      </c>
      <c r="BC142" s="10">
        <f t="shared" si="63"/>
        <v>2665600</v>
      </c>
      <c r="BD142" s="10">
        <f t="shared" si="64"/>
        <v>3332000</v>
      </c>
      <c r="BE142" s="10">
        <f t="shared" si="65"/>
        <v>3998400</v>
      </c>
      <c r="BG142" s="10">
        <v>132</v>
      </c>
      <c r="BH142" s="10">
        <f>MAX(节奏总纲!D135-$C$7,0)*C$22*$C$8*($AV$6+$AV$22)/30</f>
        <v>122554055.80870652</v>
      </c>
      <c r="BI142" s="10">
        <f>MAX(节奏总纲!E135-$C$7,0)*D$22*$C$8*($AV$6+$AV$22)/30</f>
        <v>155891592.53053126</v>
      </c>
      <c r="BJ142" s="10">
        <f>MAX(节奏总纲!F135-$C$7,0)*E$22*$C$8*($AV$6+$AV$22)/30</f>
        <v>166102976.15473825</v>
      </c>
      <c r="BK142" s="10">
        <f>MAX(节奏总纲!G135-$C$7,0)*F$22*$C$8*($AV$6+$AV$22)/30</f>
        <v>147477362.38901314</v>
      </c>
      <c r="BL142" s="10">
        <f>MAX(节奏总纲!H135-$C$7,0)*G$22*$C$8*($AV$6+$AV$22)/30</f>
        <v>94131782.462909311</v>
      </c>
      <c r="BX142" s="10">
        <v>132</v>
      </c>
      <c r="BY142" s="10">
        <f t="shared" si="66"/>
        <v>68000</v>
      </c>
      <c r="BZ142" s="10">
        <f t="shared" si="66"/>
        <v>102000</v>
      </c>
      <c r="CA142" s="10">
        <f t="shared" si="66"/>
        <v>136000</v>
      </c>
      <c r="CB142" s="10">
        <f t="shared" si="66"/>
        <v>255000</v>
      </c>
      <c r="CC142" s="10">
        <f t="shared" si="66"/>
        <v>850000</v>
      </c>
      <c r="CE142" s="10">
        <v>132</v>
      </c>
      <c r="CF142" s="10">
        <f>MAX(节奏总纲!D135-$C$7,0)*INDEX($BU$7:$BU$15,MATCH(BY$10,$BT$7:$BT$15,0))/30</f>
        <v>6252757.949423803</v>
      </c>
      <c r="CG142" s="10">
        <f>MAX(节奏总纲!E135-$C$7,0)*INDEX($BU$7:$BU$15,MATCH(BZ$10,$BT$7:$BT$15,0))/30</f>
        <v>7953652.6801291453</v>
      </c>
      <c r="CH142" s="10">
        <f>MAX(节奏总纲!F135-$C$7,0)*INDEX($BU$7:$BU$15,MATCH(CA$10,$BT$7:$BT$15,0))/30</f>
        <v>8474641.6405478697</v>
      </c>
      <c r="CI142" s="10">
        <f>MAX(节奏总纲!G135-$C$7,0)*INDEX($BU$7:$BU$15,MATCH(CB$10,$BT$7:$BT$15,0))/30</f>
        <v>11286532.835893864</v>
      </c>
      <c r="CJ142" s="10">
        <f>MAX(节奏总纲!H135-$C$7,0)*INDEX($BU$7:$BU$15,MATCH(CC$10,$BT$7:$BT$15,0))/30</f>
        <v>20011008.176638886</v>
      </c>
    </row>
    <row r="143" spans="15:88" x14ac:dyDescent="0.15">
      <c r="O143" s="2">
        <v>132</v>
      </c>
      <c r="P143" s="2">
        <f t="shared" si="57"/>
        <v>2640</v>
      </c>
      <c r="AC143" s="2">
        <v>133</v>
      </c>
      <c r="AD143" s="2">
        <f t="shared" si="50"/>
        <v>0</v>
      </c>
      <c r="AE143" s="2">
        <f t="shared" si="51"/>
        <v>2403.3333333333335</v>
      </c>
      <c r="AF143" s="2">
        <f t="shared" si="52"/>
        <v>6008.333333333333</v>
      </c>
      <c r="AG143" s="2">
        <f t="shared" si="53"/>
        <v>12016.666666666666</v>
      </c>
      <c r="AH143" s="2">
        <f t="shared" si="54"/>
        <v>24033.333333333332</v>
      </c>
      <c r="AJ143" s="10">
        <v>133</v>
      </c>
      <c r="AK143" s="10">
        <f>IFERROR(求节点(节奏总纲!R$4:R$363,AD$11:AD$370,$AC143),0)</f>
        <v>0</v>
      </c>
      <c r="AL143" s="10">
        <f>IFERROR(求节点(节奏总纲!S$4:S$363,AE$11:AE$370,$AC143),0)</f>
        <v>11762.508415058466</v>
      </c>
      <c r="AM143" s="10">
        <f>IFERROR(求节点(节奏总纲!T$4:T$363,AF$11:AF$370,$AC143),0)</f>
        <v>28371.032854325444</v>
      </c>
      <c r="AN143" s="10">
        <f>IFERROR(求节点(节奏总纲!U$4:U$363,AG$11:AG$370,$AC143),0)</f>
        <v>53796.914691867307</v>
      </c>
      <c r="AO143" s="10">
        <f>IFERROR(求节点(节奏总纲!V$4:V$363,AH$11:AH$370,$AC143),0)</f>
        <v>98490.238484648668</v>
      </c>
      <c r="AZ143" s="10">
        <v>133</v>
      </c>
      <c r="BA143" s="10">
        <f t="shared" si="61"/>
        <v>1345866.6666666667</v>
      </c>
      <c r="BB143" s="10">
        <f t="shared" si="62"/>
        <v>2018800</v>
      </c>
      <c r="BC143" s="10">
        <f t="shared" si="63"/>
        <v>2691733.3333333335</v>
      </c>
      <c r="BD143" s="10">
        <f t="shared" si="64"/>
        <v>3364666.6666666665</v>
      </c>
      <c r="BE143" s="10">
        <f t="shared" si="65"/>
        <v>4037600</v>
      </c>
      <c r="BG143" s="10">
        <v>133</v>
      </c>
      <c r="BH143" s="10">
        <f>MAX(节奏总纲!D136-$C$7,0)*C$22*$C$8*($AV$6+$AV$22)/30</f>
        <v>131379257.77918833</v>
      </c>
      <c r="BI143" s="10">
        <f>MAX(节奏总纲!E136-$C$7,0)*D$22*$C$8*($AV$6+$AV$22)/30</f>
        <v>167242462.47046322</v>
      </c>
      <c r="BJ143" s="10">
        <f>MAX(节奏总纲!F136-$C$7,0)*E$22*$C$8*($AV$6+$AV$22)/30</f>
        <v>177634283.03302103</v>
      </c>
      <c r="BK143" s="10">
        <f>MAX(节奏总纲!G136-$C$7,0)*F$22*$C$8*($AV$6+$AV$22)/30</f>
        <v>157376109.03613958</v>
      </c>
      <c r="BL143" s="10">
        <f>MAX(节奏总纲!H136-$C$7,0)*G$22*$C$8*($AV$6+$AV$22)/30</f>
        <v>100577765.25708923</v>
      </c>
      <c r="BX143" s="10">
        <v>133</v>
      </c>
      <c r="BY143" s="10">
        <f t="shared" si="66"/>
        <v>68666.666666666672</v>
      </c>
      <c r="BZ143" s="10">
        <f t="shared" si="66"/>
        <v>103000</v>
      </c>
      <c r="CA143" s="10">
        <f t="shared" si="66"/>
        <v>137333.33333333334</v>
      </c>
      <c r="CB143" s="10">
        <f t="shared" si="66"/>
        <v>257500</v>
      </c>
      <c r="CC143" s="10">
        <f t="shared" si="66"/>
        <v>858333.33333333337</v>
      </c>
      <c r="CE143" s="10">
        <v>133</v>
      </c>
      <c r="CF143" s="10">
        <f>MAX(节奏总纲!D136-$C$7,0)*INDEX($BU$7:$BU$15,MATCH(BY$10,$BT$7:$BT$15,0))/30</f>
        <v>6703023.3560810378</v>
      </c>
      <c r="CG143" s="10">
        <f>MAX(节奏总纲!E136-$C$7,0)*INDEX($BU$7:$BU$15,MATCH(BZ$10,$BT$7:$BT$15,0))/30</f>
        <v>8532778.6974726133</v>
      </c>
      <c r="CH143" s="10">
        <f>MAX(节奏总纲!F136-$C$7,0)*INDEX($BU$7:$BU$15,MATCH(CA$10,$BT$7:$BT$15,0))/30</f>
        <v>9062973.6241337266</v>
      </c>
      <c r="CI143" s="10">
        <f>MAX(节奏总纲!G136-$C$7,0)*INDEX($BU$7:$BU$15,MATCH(CB$10,$BT$7:$BT$15,0))/30</f>
        <v>12044089.977255581</v>
      </c>
      <c r="CJ143" s="10">
        <f>MAX(节奏总纲!H136-$C$7,0)*INDEX($BU$7:$BU$15,MATCH(CC$10,$BT$7:$BT$15,0))/30</f>
        <v>21381327.64819074</v>
      </c>
    </row>
    <row r="144" spans="15:88" x14ac:dyDescent="0.15">
      <c r="O144" s="2">
        <v>133</v>
      </c>
      <c r="P144" s="2">
        <f t="shared" si="57"/>
        <v>2660</v>
      </c>
      <c r="AC144" s="2">
        <v>134</v>
      </c>
      <c r="AD144" s="2">
        <f t="shared" si="50"/>
        <v>0</v>
      </c>
      <c r="AE144" s="2">
        <f t="shared" si="51"/>
        <v>2426.6666666666665</v>
      </c>
      <c r="AF144" s="2">
        <f t="shared" si="52"/>
        <v>6066.666666666667</v>
      </c>
      <c r="AG144" s="2">
        <f t="shared" si="53"/>
        <v>12133.333333333334</v>
      </c>
      <c r="AH144" s="2">
        <f t="shared" si="54"/>
        <v>24266.666666666668</v>
      </c>
      <c r="AJ144" s="10">
        <v>134</v>
      </c>
      <c r="AK144" s="10">
        <f>IFERROR(求节点(节奏总纲!R$4:R$363,AD$11:AD$370,$AC144),0)</f>
        <v>0</v>
      </c>
      <c r="AL144" s="10">
        <f>IFERROR(求节点(节奏总纲!S$4:S$363,AE$11:AE$370,$AC144),0)</f>
        <v>11850.948327953642</v>
      </c>
      <c r="AM144" s="10">
        <f>IFERROR(求节点(节奏总纲!T$4:T$363,AF$11:AF$370,$AC144),0)</f>
        <v>28584.348890824134</v>
      </c>
      <c r="AN144" s="10">
        <f>IFERROR(求节点(节奏总纲!U$4:U$363,AG$11:AG$370,$AC144),0)</f>
        <v>54201.402772257286</v>
      </c>
      <c r="AO144" s="10">
        <f>IFERROR(求节点(节奏总纲!V$4:V$363,AH$11:AH$370,$AC144),0)</f>
        <v>99230.766593555803</v>
      </c>
      <c r="AZ144" s="10">
        <v>134</v>
      </c>
      <c r="BA144" s="10">
        <f t="shared" si="61"/>
        <v>1358933.3333333333</v>
      </c>
      <c r="BB144" s="10">
        <f t="shared" si="62"/>
        <v>2038400</v>
      </c>
      <c r="BC144" s="10">
        <f t="shared" si="63"/>
        <v>2717866.6666666665</v>
      </c>
      <c r="BD144" s="10">
        <f t="shared" si="64"/>
        <v>3397333.3333333335</v>
      </c>
      <c r="BE144" s="10">
        <f t="shared" si="65"/>
        <v>4076800</v>
      </c>
      <c r="BG144" s="10">
        <v>134</v>
      </c>
      <c r="BH144" s="10">
        <f>MAX(节奏总纲!D137-$C$7,0)*C$22*$C$8*($AV$6+$AV$22)/30</f>
        <v>140837875.05267352</v>
      </c>
      <c r="BI144" s="10">
        <f>MAX(节奏总纲!E137-$C$7,0)*D$22*$C$8*($AV$6+$AV$22)/30</f>
        <v>178781002.81064799</v>
      </c>
      <c r="BJ144" s="10">
        <f>MAX(节奏总纲!F137-$C$7,0)*E$22*$C$8*($AV$6+$AV$22)/30</f>
        <v>189565625.5959934</v>
      </c>
      <c r="BK144" s="10">
        <f>MAX(节奏总纲!G137-$C$7,0)*F$22*$C$8*($AV$6+$AV$22)/30</f>
        <v>168072160.43805018</v>
      </c>
      <c r="BL144" s="10">
        <f>MAX(节奏总纲!H137-$C$7,0)*G$22*$C$8*($AV$6+$AV$22)/30</f>
        <v>107627495.74057966</v>
      </c>
      <c r="BX144" s="10">
        <v>134</v>
      </c>
      <c r="BY144" s="10">
        <f t="shared" si="66"/>
        <v>69333.333333333328</v>
      </c>
      <c r="BZ144" s="10">
        <f t="shared" si="66"/>
        <v>104000</v>
      </c>
      <c r="CA144" s="10">
        <f t="shared" si="66"/>
        <v>138666.66666666666</v>
      </c>
      <c r="CB144" s="10">
        <f t="shared" si="66"/>
        <v>260000</v>
      </c>
      <c r="CC144" s="10">
        <f t="shared" si="66"/>
        <v>866666.66666666663</v>
      </c>
      <c r="CE144" s="10">
        <v>134</v>
      </c>
      <c r="CF144" s="10">
        <f>MAX(节奏总纲!D137-$C$7,0)*INDEX($BU$7:$BU$15,MATCH(BY$10,$BT$7:$BT$15,0))/30</f>
        <v>7185605.8700343631</v>
      </c>
      <c r="CG144" s="10">
        <f>MAX(节奏总纲!E137-$C$7,0)*INDEX($BU$7:$BU$15,MATCH(BZ$10,$BT$7:$BT$15,0))/30</f>
        <v>9121479.7352371439</v>
      </c>
      <c r="CH144" s="10">
        <f>MAX(节奏总纲!F137-$C$7,0)*INDEX($BU$7:$BU$15,MATCH(CA$10,$BT$7:$BT$15,0))/30</f>
        <v>9671715.591632314</v>
      </c>
      <c r="CI144" s="10">
        <f>MAX(节奏总纲!G137-$C$7,0)*INDEX($BU$7:$BU$15,MATCH(CB$10,$BT$7:$BT$15,0))/30</f>
        <v>12862665.339646699</v>
      </c>
      <c r="CJ144" s="10">
        <f>MAX(节奏总纲!H137-$C$7,0)*INDEX($BU$7:$BU$15,MATCH(CC$10,$BT$7:$BT$15,0))/30</f>
        <v>22879994.842810307</v>
      </c>
    </row>
    <row r="145" spans="15:88" x14ac:dyDescent="0.15">
      <c r="O145" s="2">
        <v>134</v>
      </c>
      <c r="P145" s="2">
        <f t="shared" si="57"/>
        <v>2680</v>
      </c>
      <c r="AC145" s="2">
        <v>135</v>
      </c>
      <c r="AD145" s="2">
        <f t="shared" si="50"/>
        <v>0</v>
      </c>
      <c r="AE145" s="2">
        <f t="shared" si="51"/>
        <v>2450</v>
      </c>
      <c r="AF145" s="2">
        <f t="shared" si="52"/>
        <v>6125</v>
      </c>
      <c r="AG145" s="2">
        <f t="shared" si="53"/>
        <v>12250</v>
      </c>
      <c r="AH145" s="2">
        <f t="shared" si="54"/>
        <v>24500</v>
      </c>
      <c r="AJ145" s="10">
        <v>135</v>
      </c>
      <c r="AK145" s="10">
        <f>IFERROR(求节点(节奏总纲!R$4:R$363,AD$11:AD$370,$AC145),0)</f>
        <v>0</v>
      </c>
      <c r="AL145" s="10">
        <f>IFERROR(求节点(节奏总纲!S$4:S$363,AE$11:AE$370,$AC145),0)</f>
        <v>11939.388240848819</v>
      </c>
      <c r="AM145" s="10">
        <f>IFERROR(求节点(节奏总纲!T$4:T$363,AF$11:AF$370,$AC145),0)</f>
        <v>28797.664927322821</v>
      </c>
      <c r="AN145" s="10">
        <f>IFERROR(求节点(节奏总纲!U$4:U$363,AG$11:AG$370,$AC145),0)</f>
        <v>54605.890852647266</v>
      </c>
      <c r="AO145" s="10">
        <f>IFERROR(求节点(节奏总纲!V$4:V$363,AH$11:AH$370,$AC145),0)</f>
        <v>99971.294702462939</v>
      </c>
      <c r="AZ145" s="10">
        <v>135</v>
      </c>
      <c r="BA145" s="10">
        <f t="shared" si="61"/>
        <v>1372000</v>
      </c>
      <c r="BB145" s="10">
        <f t="shared" si="62"/>
        <v>2058000</v>
      </c>
      <c r="BC145" s="10">
        <f t="shared" si="63"/>
        <v>2744000</v>
      </c>
      <c r="BD145" s="10">
        <f t="shared" si="64"/>
        <v>3430000</v>
      </c>
      <c r="BE145" s="10">
        <f t="shared" si="65"/>
        <v>4116000</v>
      </c>
      <c r="BG145" s="10">
        <v>135</v>
      </c>
      <c r="BH145" s="10">
        <f>MAX(节奏总纲!D138-$C$7,0)*C$22*$C$8*($AV$6+$AV$22)/30</f>
        <v>150975370.03868252</v>
      </c>
      <c r="BI145" s="10">
        <f>MAX(节奏总纲!E138-$C$7,0)*D$22*$C$8*($AV$6+$AV$22)/30</f>
        <v>191429077.26257071</v>
      </c>
      <c r="BJ145" s="10">
        <f>MAX(节奏总纲!F138-$C$7,0)*E$22*$C$8*($AV$6+$AV$22)/30</f>
        <v>202956480.07206669</v>
      </c>
      <c r="BK145" s="10">
        <f>MAX(节奏总纲!G138-$C$7,0)*F$22*$C$8*($AV$6+$AV$22)/30</f>
        <v>180282425.6213223</v>
      </c>
      <c r="BL145" s="10">
        <f>MAX(节奏总纲!H138-$C$7,0)*G$22*$C$8*($AV$6+$AV$22)/30</f>
        <v>115619062.72184743</v>
      </c>
      <c r="BX145" s="10">
        <v>135</v>
      </c>
      <c r="BY145" s="10">
        <f t="shared" si="66"/>
        <v>70000</v>
      </c>
      <c r="BZ145" s="10">
        <f t="shared" si="66"/>
        <v>105000</v>
      </c>
      <c r="CA145" s="10">
        <f t="shared" si="66"/>
        <v>140000</v>
      </c>
      <c r="CB145" s="10">
        <f t="shared" si="66"/>
        <v>262500</v>
      </c>
      <c r="CC145" s="10">
        <f t="shared" si="66"/>
        <v>875000</v>
      </c>
      <c r="CE145" s="10">
        <v>135</v>
      </c>
      <c r="CF145" s="10">
        <f>MAX(节奏总纲!D138-$C$7,0)*INDEX($BU$7:$BU$15,MATCH(BY$10,$BT$7:$BT$15,0))/30</f>
        <v>7702825.0019735983</v>
      </c>
      <c r="CG145" s="10">
        <f>MAX(节奏总纲!E138-$C$7,0)*INDEX($BU$7:$BU$15,MATCH(BZ$10,$BT$7:$BT$15,0))/30</f>
        <v>9766789.6562536079</v>
      </c>
      <c r="CH145" s="10">
        <f>MAX(节奏总纲!F138-$C$7,0)*INDEX($BU$7:$BU$15,MATCH(CA$10,$BT$7:$BT$15,0))/30</f>
        <v>10354922.452656465</v>
      </c>
      <c r="CI145" s="10">
        <f>MAX(节奏总纲!G138-$C$7,0)*INDEX($BU$7:$BU$15,MATCH(CB$10,$BT$7:$BT$15,0))/30</f>
        <v>13797124.409795076</v>
      </c>
      <c r="CJ145" s="10">
        <f>MAX(节奏总纲!H138-$C$7,0)*INDEX($BU$7:$BU$15,MATCH(CC$10,$BT$7:$BT$15,0))/30</f>
        <v>24578882.381345116</v>
      </c>
    </row>
    <row r="146" spans="15:88" x14ac:dyDescent="0.15">
      <c r="O146" s="2">
        <v>135</v>
      </c>
      <c r="P146" s="2">
        <f t="shared" si="57"/>
        <v>2700</v>
      </c>
      <c r="AC146" s="2">
        <v>136</v>
      </c>
      <c r="AD146" s="2">
        <f t="shared" ref="AD146:AD209" si="67">INDEX($D$30:$D$34,MATCH(C$21,$B$30:$B$34,0))*MAX($AC146-$C$7,0)*$C$8/30</f>
        <v>0</v>
      </c>
      <c r="AE146" s="2">
        <f t="shared" ref="AE146:AE209" si="68">INDEX($D$30:$D$34,MATCH(D$21,$B$30:$B$34,0))*MAX($AC146-$C$7,0)*$C$8/30</f>
        <v>2473.3333333333335</v>
      </c>
      <c r="AF146" s="2">
        <f t="shared" ref="AF146:AF209" si="69">INDEX($D$30:$D$34,MATCH(E$21,$B$30:$B$34,0))*MAX($AC146-$C$7,0)*$C$8/30</f>
        <v>6183.333333333333</v>
      </c>
      <c r="AG146" s="2">
        <f t="shared" ref="AG146:AG209" si="70">INDEX($D$30:$D$34,MATCH(F$21,$B$30:$B$34,0))*MAX($AC146-$C$7,0)*$C$8/30</f>
        <v>12366.666666666666</v>
      </c>
      <c r="AH146" s="2">
        <f t="shared" ref="AH146:AH209" si="71">INDEX($D$30:$D$34,MATCH(G$21,$B$30:$B$34,0))*MAX($AC146-$C$7,0)*$C$8/30</f>
        <v>24733.333333333332</v>
      </c>
      <c r="AJ146" s="10">
        <v>136</v>
      </c>
      <c r="AK146" s="10">
        <f>IFERROR(求节点(节奏总纲!R$4:R$363,AD$11:AD$370,$AC146),0)</f>
        <v>0</v>
      </c>
      <c r="AL146" s="10">
        <f>IFERROR(求节点(节奏总纲!S$4:S$363,AE$11:AE$370,$AC146),0)</f>
        <v>12027.828153743994</v>
      </c>
      <c r="AM146" s="10">
        <f>IFERROR(求节点(节奏总纲!T$4:T$363,AF$11:AF$370,$AC146),0)</f>
        <v>29010.980963821508</v>
      </c>
      <c r="AN146" s="10">
        <f>IFERROR(求节点(节奏总纲!U$4:U$363,AG$11:AG$370,$AC146),0)</f>
        <v>55010.378933037246</v>
      </c>
      <c r="AO146" s="10">
        <f>IFERROR(求节点(节奏总纲!V$4:V$363,AH$11:AH$370,$AC146),0)</f>
        <v>100711.82281137008</v>
      </c>
      <c r="AZ146" s="10">
        <v>136</v>
      </c>
      <c r="BA146" s="10">
        <f t="shared" si="61"/>
        <v>1385066.6666666667</v>
      </c>
      <c r="BB146" s="10">
        <f t="shared" si="62"/>
        <v>2077600</v>
      </c>
      <c r="BC146" s="10">
        <f t="shared" si="63"/>
        <v>2770133.3333333335</v>
      </c>
      <c r="BD146" s="10">
        <f t="shared" si="64"/>
        <v>3462666.6666666665</v>
      </c>
      <c r="BE146" s="10">
        <f t="shared" si="65"/>
        <v>4155200</v>
      </c>
      <c r="BG146" s="10">
        <v>136</v>
      </c>
      <c r="BH146" s="10">
        <f>MAX(节奏总纲!D139-$C$7,0)*C$22*$C$8*($AV$6+$AV$22)/30</f>
        <v>161840468.14128146</v>
      </c>
      <c r="BI146" s="10">
        <f>MAX(节奏总纲!E139-$C$7,0)*D$22*$C$8*($AV$6+$AV$22)/30</f>
        <v>205358006.68194976</v>
      </c>
      <c r="BJ146" s="10">
        <f>MAX(节奏总纲!F139-$C$7,0)*E$22*$C$8*($AV$6+$AV$22)/30</f>
        <v>218327171.47161478</v>
      </c>
      <c r="BK146" s="10">
        <f>MAX(节奏总纲!G139-$C$7,0)*F$22*$C$8*($AV$6+$AV$22)/30</f>
        <v>193942310.47174969</v>
      </c>
      <c r="BL146" s="10">
        <f>MAX(节奏总纲!H139-$C$7,0)*G$22*$C$8*($AV$6+$AV$22)/30</f>
        <v>124440600.08179425</v>
      </c>
      <c r="BX146" s="10">
        <v>136</v>
      </c>
      <c r="BY146" s="10">
        <f t="shared" si="66"/>
        <v>70666.666666666672</v>
      </c>
      <c r="BZ146" s="10">
        <f t="shared" si="66"/>
        <v>106000</v>
      </c>
      <c r="CA146" s="10">
        <f t="shared" si="66"/>
        <v>141333.33333333334</v>
      </c>
      <c r="CB146" s="10">
        <f t="shared" si="66"/>
        <v>265000</v>
      </c>
      <c r="CC146" s="10">
        <f t="shared" si="66"/>
        <v>883333.33333333337</v>
      </c>
      <c r="CE146" s="10">
        <v>136</v>
      </c>
      <c r="CF146" s="10">
        <f>MAX(节奏总纲!D139-$C$7,0)*INDEX($BU$7:$BU$15,MATCH(BY$10,$BT$7:$BT$15,0))/30</f>
        <v>8257166.7419021148</v>
      </c>
      <c r="CG146" s="10">
        <f>MAX(节奏总纲!E139-$C$7,0)*INDEX($BU$7:$BU$15,MATCH(BZ$10,$BT$7:$BT$15,0))/30</f>
        <v>10477449.320507642</v>
      </c>
      <c r="CH146" s="10">
        <f>MAX(节奏总纲!F139-$C$7,0)*INDEX($BU$7:$BU$15,MATCH(CA$10,$BT$7:$BT$15,0))/30</f>
        <v>11139141.401612997</v>
      </c>
      <c r="CI146" s="10">
        <f>MAX(节奏总纲!G139-$C$7,0)*INDEX($BU$7:$BU$15,MATCH(CB$10,$BT$7:$BT$15,0))/30</f>
        <v>14842523.760593086</v>
      </c>
      <c r="CJ146" s="10">
        <f>MAX(节奏总纲!H139-$C$7,0)*INDEX($BU$7:$BU$15,MATCH(CC$10,$BT$7:$BT$15,0))/30</f>
        <v>26454209.201061703</v>
      </c>
    </row>
    <row r="147" spans="15:88" x14ac:dyDescent="0.15">
      <c r="O147" s="2">
        <v>136</v>
      </c>
      <c r="P147" s="2">
        <f t="shared" si="57"/>
        <v>2720</v>
      </c>
      <c r="AC147" s="2">
        <v>137</v>
      </c>
      <c r="AD147" s="2">
        <f t="shared" si="67"/>
        <v>0</v>
      </c>
      <c r="AE147" s="2">
        <f t="shared" si="68"/>
        <v>2496.6666666666665</v>
      </c>
      <c r="AF147" s="2">
        <f t="shared" si="69"/>
        <v>6241.666666666667</v>
      </c>
      <c r="AG147" s="2">
        <f t="shared" si="70"/>
        <v>12483.333333333334</v>
      </c>
      <c r="AH147" s="2">
        <f t="shared" si="71"/>
        <v>24966.666666666668</v>
      </c>
      <c r="AJ147" s="10">
        <v>137</v>
      </c>
      <c r="AK147" s="10">
        <f>IFERROR(求节点(节奏总纲!R$4:R$363,AD$11:AD$370,$AC147),0)</f>
        <v>0</v>
      </c>
      <c r="AL147" s="10">
        <f>IFERROR(求节点(节奏总纲!S$4:S$363,AE$11:AE$370,$AC147),0)</f>
        <v>12116.268066639172</v>
      </c>
      <c r="AM147" s="10">
        <f>IFERROR(求节点(节奏总纲!T$4:T$363,AF$11:AF$370,$AC147),0)</f>
        <v>29224.297000320195</v>
      </c>
      <c r="AN147" s="10">
        <f>IFERROR(求节点(节奏总纲!U$4:U$363,AG$11:AG$370,$AC147),0)</f>
        <v>55414.867013427225</v>
      </c>
      <c r="AO147" s="10">
        <f>IFERROR(求节点(节奏总纲!V$4:V$363,AH$11:AH$370,$AC147),0)</f>
        <v>101452.35092027721</v>
      </c>
      <c r="AZ147" s="10">
        <v>137</v>
      </c>
      <c r="BA147" s="10">
        <f t="shared" si="61"/>
        <v>1398133.3333333333</v>
      </c>
      <c r="BB147" s="10">
        <f t="shared" si="62"/>
        <v>2097200</v>
      </c>
      <c r="BC147" s="10">
        <f t="shared" si="63"/>
        <v>2796266.6666666665</v>
      </c>
      <c r="BD147" s="10">
        <f t="shared" si="64"/>
        <v>3495333.3333333335</v>
      </c>
      <c r="BE147" s="10">
        <f t="shared" si="65"/>
        <v>4194400</v>
      </c>
      <c r="BG147" s="10">
        <v>137</v>
      </c>
      <c r="BH147" s="10">
        <f>MAX(节奏总纲!D140-$C$7,0)*C$22*$C$8*($AV$6+$AV$22)/30</f>
        <v>173485391.95550045</v>
      </c>
      <c r="BI147" s="10">
        <f>MAX(节奏总纲!E140-$C$7,0)*D$22*$C$8*($AV$6+$AV$22)/30</f>
        <v>220401471.30584329</v>
      </c>
      <c r="BJ147" s="10">
        <f>MAX(节奏总纲!F140-$C$7,0)*E$22*$C$8*($AV$6+$AV$22)/30</f>
        <v>234298233.92383662</v>
      </c>
      <c r="BK147" s="10">
        <f>MAX(节奏总纲!G140-$C$7,0)*F$22*$C$8*($AV$6+$AV$22)/30</f>
        <v>208324910.56643364</v>
      </c>
      <c r="BL147" s="10">
        <f>MAX(节奏总纲!H140-$C$7,0)*G$22*$C$8*($AV$6+$AV$22)/30</f>
        <v>133613754.24390393</v>
      </c>
      <c r="BX147" s="10">
        <v>137</v>
      </c>
      <c r="BY147" s="10">
        <f t="shared" si="66"/>
        <v>71333.333333333328</v>
      </c>
      <c r="BZ147" s="10">
        <f t="shared" si="66"/>
        <v>107000</v>
      </c>
      <c r="CA147" s="10">
        <f t="shared" si="66"/>
        <v>142666.66666666666</v>
      </c>
      <c r="CB147" s="10">
        <f t="shared" si="66"/>
        <v>267500</v>
      </c>
      <c r="CC147" s="10">
        <f t="shared" si="66"/>
        <v>891666.66666666663</v>
      </c>
      <c r="CE147" s="10">
        <v>137</v>
      </c>
      <c r="CF147" s="10">
        <f>MAX(节奏总纲!D140-$C$7,0)*INDEX($BU$7:$BU$15,MATCH(BY$10,$BT$7:$BT$15,0))/30</f>
        <v>8851295.5079336967</v>
      </c>
      <c r="CG147" s="10">
        <f>MAX(节奏总纲!E140-$C$7,0)*INDEX($BU$7:$BU$15,MATCH(BZ$10,$BT$7:$BT$15,0))/30</f>
        <v>11244973.025808331</v>
      </c>
      <c r="CH147" s="10">
        <f>MAX(节奏总纲!F140-$C$7,0)*INDEX($BU$7:$BU$15,MATCH(CA$10,$BT$7:$BT$15,0))/30</f>
        <v>11953991.526726358</v>
      </c>
      <c r="CI147" s="10">
        <f>MAX(节奏总纲!G140-$C$7,0)*INDEX($BU$7:$BU$15,MATCH(CB$10,$BT$7:$BT$15,0))/30</f>
        <v>15943232.95151278</v>
      </c>
      <c r="CJ147" s="10">
        <f>MAX(节奏总纲!H140-$C$7,0)*INDEX($BU$7:$BU$15,MATCH(CC$10,$BT$7:$BT$15,0))/30</f>
        <v>28404284.49062584</v>
      </c>
    </row>
    <row r="148" spans="15:88" x14ac:dyDescent="0.15">
      <c r="O148" s="2">
        <v>137</v>
      </c>
      <c r="P148" s="2">
        <f t="shared" si="57"/>
        <v>2740</v>
      </c>
      <c r="AC148" s="2">
        <v>138</v>
      </c>
      <c r="AD148" s="2">
        <f t="shared" si="67"/>
        <v>0</v>
      </c>
      <c r="AE148" s="2">
        <f t="shared" si="68"/>
        <v>2520</v>
      </c>
      <c r="AF148" s="2">
        <f t="shared" si="69"/>
        <v>6300</v>
      </c>
      <c r="AG148" s="2">
        <f t="shared" si="70"/>
        <v>12600</v>
      </c>
      <c r="AH148" s="2">
        <f t="shared" si="71"/>
        <v>25200</v>
      </c>
      <c r="AJ148" s="10">
        <v>138</v>
      </c>
      <c r="AK148" s="10">
        <f>IFERROR(求节点(节奏总纲!R$4:R$363,AD$11:AD$370,$AC148),0)</f>
        <v>0</v>
      </c>
      <c r="AL148" s="10">
        <f>IFERROR(求节点(节奏总纲!S$4:S$363,AE$11:AE$370,$AC148),0)</f>
        <v>12204.707979534349</v>
      </c>
      <c r="AM148" s="10">
        <f>IFERROR(求节点(节奏总纲!T$4:T$363,AF$11:AF$370,$AC148),0)</f>
        <v>29437.613036818882</v>
      </c>
      <c r="AN148" s="10">
        <f>IFERROR(求节点(节奏总纲!U$4:U$363,AG$11:AG$370,$AC148),0)</f>
        <v>55819.355093817205</v>
      </c>
      <c r="AO148" s="10">
        <f>IFERROR(求节点(节奏总纲!V$4:V$363,AH$11:AH$370,$AC148),0)</f>
        <v>102192.87902918433</v>
      </c>
      <c r="AZ148" s="10">
        <v>138</v>
      </c>
      <c r="BA148" s="10">
        <f t="shared" si="61"/>
        <v>1411200</v>
      </c>
      <c r="BB148" s="10">
        <f t="shared" si="62"/>
        <v>2116800</v>
      </c>
      <c r="BC148" s="10">
        <f t="shared" si="63"/>
        <v>2822400</v>
      </c>
      <c r="BD148" s="10">
        <f t="shared" si="64"/>
        <v>3528000</v>
      </c>
      <c r="BE148" s="10">
        <f t="shared" si="65"/>
        <v>4233600</v>
      </c>
      <c r="BG148" s="10">
        <v>138</v>
      </c>
      <c r="BH148" s="10">
        <f>MAX(节奏总纲!D141-$C$7,0)*C$22*$C$8*($AV$6+$AV$22)/30</f>
        <v>185966112.27283758</v>
      </c>
      <c r="BI148" s="10">
        <f>MAX(节奏总纲!E141-$C$7,0)*D$22*$C$8*($AV$6+$AV$22)/30</f>
        <v>236263842.79316294</v>
      </c>
      <c r="BJ148" s="10">
        <f>MAX(节奏总纲!F141-$C$7,0)*E$22*$C$8*($AV$6+$AV$22)/30</f>
        <v>251358525.90514919</v>
      </c>
      <c r="BK148" s="10">
        <f>MAX(节奏总纲!G141-$C$7,0)*F$22*$C$8*($AV$6+$AV$22)/30</f>
        <v>223488346.23263279</v>
      </c>
      <c r="BL148" s="10">
        <f>MAX(节奏总纲!H141-$C$7,0)*G$22*$C$8*($AV$6+$AV$22)/30</f>
        <v>142729734.29708517</v>
      </c>
      <c r="BX148" s="10">
        <v>138</v>
      </c>
      <c r="BY148" s="10">
        <f t="shared" si="66"/>
        <v>72000</v>
      </c>
      <c r="BZ148" s="10">
        <f t="shared" si="66"/>
        <v>108000</v>
      </c>
      <c r="CA148" s="10">
        <f t="shared" si="66"/>
        <v>144000</v>
      </c>
      <c r="CB148" s="10">
        <f t="shared" si="66"/>
        <v>270000</v>
      </c>
      <c r="CC148" s="10">
        <f t="shared" si="66"/>
        <v>900000</v>
      </c>
      <c r="CE148" s="10">
        <v>138</v>
      </c>
      <c r="CF148" s="10">
        <f>MAX(节奏总纲!D141-$C$7,0)*INDEX($BU$7:$BU$15,MATCH(BY$10,$BT$7:$BT$15,0))/30</f>
        <v>9488066.9526957925</v>
      </c>
      <c r="CG148" s="10">
        <f>MAX(节奏总纲!E141-$C$7,0)*INDEX($BU$7:$BU$15,MATCH(BZ$10,$BT$7:$BT$15,0))/30</f>
        <v>12054277.693528719</v>
      </c>
      <c r="CH148" s="10">
        <f>MAX(节奏总纲!F141-$C$7,0)*INDEX($BU$7:$BU$15,MATCH(CA$10,$BT$7:$BT$15,0))/30</f>
        <v>12824414.58699741</v>
      </c>
      <c r="CI148" s="10">
        <f>MAX(节奏总纲!G141-$C$7,0)*INDEX($BU$7:$BU$15,MATCH(CB$10,$BT$7:$BT$15,0))/30</f>
        <v>17103699.966783125</v>
      </c>
      <c r="CJ148" s="10">
        <f>MAX(节奏总纲!H141-$C$7,0)*INDEX($BU$7:$BU$15,MATCH(CC$10,$BT$7:$BT$15,0))/30</f>
        <v>30342205.420298714</v>
      </c>
    </row>
    <row r="149" spans="15:88" x14ac:dyDescent="0.15">
      <c r="O149" s="2">
        <v>138</v>
      </c>
      <c r="P149" s="2">
        <f t="shared" si="57"/>
        <v>2760</v>
      </c>
      <c r="AC149" s="2">
        <v>139</v>
      </c>
      <c r="AD149" s="2">
        <f t="shared" si="67"/>
        <v>0</v>
      </c>
      <c r="AE149" s="2">
        <f t="shared" si="68"/>
        <v>2543.3333333333335</v>
      </c>
      <c r="AF149" s="2">
        <f t="shared" si="69"/>
        <v>6358.333333333333</v>
      </c>
      <c r="AG149" s="2">
        <f t="shared" si="70"/>
        <v>12716.666666666666</v>
      </c>
      <c r="AH149" s="2">
        <f t="shared" si="71"/>
        <v>25433.333333333332</v>
      </c>
      <c r="AJ149" s="10">
        <v>139</v>
      </c>
      <c r="AK149" s="10">
        <f>IFERROR(求节点(节奏总纲!R$4:R$363,AD$11:AD$370,$AC149),0)</f>
        <v>0</v>
      </c>
      <c r="AL149" s="10">
        <f>IFERROR(求节点(节奏总纲!S$4:S$363,AE$11:AE$370,$AC149),0)</f>
        <v>12293.147892429524</v>
      </c>
      <c r="AM149" s="10">
        <f>IFERROR(求节点(节奏总纲!T$4:T$363,AF$11:AF$370,$AC149),0)</f>
        <v>29650.929073317573</v>
      </c>
      <c r="AN149" s="10">
        <f>IFERROR(求节点(节奏总纲!U$4:U$363,AG$11:AG$370,$AC149),0)</f>
        <v>56223.843174207184</v>
      </c>
      <c r="AO149" s="10">
        <f>IFERROR(求节点(节奏总纲!V$4:V$363,AH$11:AH$370,$AC149),0)</f>
        <v>102933.40713809147</v>
      </c>
      <c r="AZ149" s="10">
        <v>139</v>
      </c>
      <c r="BA149" s="10">
        <f t="shared" si="61"/>
        <v>1424266.6666666667</v>
      </c>
      <c r="BB149" s="10">
        <f t="shared" si="62"/>
        <v>2136400</v>
      </c>
      <c r="BC149" s="10">
        <f t="shared" si="63"/>
        <v>2848533.3333333335</v>
      </c>
      <c r="BD149" s="10">
        <f t="shared" si="64"/>
        <v>3560666.6666666665</v>
      </c>
      <c r="BE149" s="10">
        <f t="shared" si="65"/>
        <v>4272800</v>
      </c>
      <c r="BG149" s="10">
        <v>139</v>
      </c>
      <c r="BH149" s="10">
        <f>MAX(节奏总纲!D142-$C$7,0)*C$22*$C$8*($AV$6+$AV$22)/30</f>
        <v>199342617.10229701</v>
      </c>
      <c r="BI149" s="10">
        <f>MAX(节奏总纲!E142-$C$7,0)*D$22*$C$8*($AV$6+$AV$22)/30</f>
        <v>253384552.37642577</v>
      </c>
      <c r="BJ149" s="10">
        <f>MAX(节奏总纲!F142-$C$7,0)*E$22*$C$8*($AV$6+$AV$22)/30</f>
        <v>269496883.86282837</v>
      </c>
      <c r="BK149" s="10">
        <f>MAX(节奏总纲!G142-$C$7,0)*F$22*$C$8*($AV$6+$AV$22)/30</f>
        <v>238651606.86848086</v>
      </c>
      <c r="BL149" s="10">
        <f>MAX(节奏总纲!H142-$C$7,0)*G$22*$C$8*($AV$6+$AV$22)/30</f>
        <v>152519787.86021757</v>
      </c>
      <c r="BX149" s="10">
        <v>139</v>
      </c>
      <c r="BY149" s="10">
        <f t="shared" si="66"/>
        <v>72666.666666666672</v>
      </c>
      <c r="BZ149" s="10">
        <f t="shared" si="66"/>
        <v>109000</v>
      </c>
      <c r="CA149" s="10">
        <f t="shared" si="66"/>
        <v>145333.33333333334</v>
      </c>
      <c r="CB149" s="10">
        <f t="shared" si="66"/>
        <v>272500</v>
      </c>
      <c r="CC149" s="10">
        <f t="shared" si="66"/>
        <v>908333.33333333337</v>
      </c>
      <c r="CE149" s="10">
        <v>139</v>
      </c>
      <c r="CF149" s="10">
        <f>MAX(节奏总纲!D142-$C$7,0)*INDEX($BU$7:$BU$15,MATCH(BY$10,$BT$7:$BT$15,0))/30</f>
        <v>10170541.688892705</v>
      </c>
      <c r="CG149" s="10">
        <f>MAX(节奏总纲!E142-$C$7,0)*INDEX($BU$7:$BU$15,MATCH(BZ$10,$BT$7:$BT$15,0))/30</f>
        <v>12927783.284511518</v>
      </c>
      <c r="CH149" s="10">
        <f>MAX(节奏总纲!F142-$C$7,0)*INDEX($BU$7:$BU$15,MATCH(CA$10,$BT$7:$BT$15,0))/30</f>
        <v>13749841.013409611</v>
      </c>
      <c r="CI149" s="10">
        <f>MAX(节奏总纲!G142-$C$7,0)*INDEX($BU$7:$BU$15,MATCH(CB$10,$BT$7:$BT$15,0))/30</f>
        <v>18264153.586873535</v>
      </c>
      <c r="CJ149" s="10">
        <f>MAX(节奏总纲!H142-$C$7,0)*INDEX($BU$7:$BU$15,MATCH(CC$10,$BT$7:$BT$15,0))/30</f>
        <v>32423424.29001224</v>
      </c>
    </row>
    <row r="150" spans="15:88" x14ac:dyDescent="0.15">
      <c r="O150" s="2">
        <v>139</v>
      </c>
      <c r="P150" s="2">
        <f t="shared" si="57"/>
        <v>2780</v>
      </c>
      <c r="AC150" s="2">
        <v>140</v>
      </c>
      <c r="AD150" s="2">
        <f t="shared" si="67"/>
        <v>0</v>
      </c>
      <c r="AE150" s="2">
        <f t="shared" si="68"/>
        <v>2566.6666666666665</v>
      </c>
      <c r="AF150" s="2">
        <f t="shared" si="69"/>
        <v>6416.666666666667</v>
      </c>
      <c r="AG150" s="2">
        <f t="shared" si="70"/>
        <v>12833.333333333334</v>
      </c>
      <c r="AH150" s="2">
        <f t="shared" si="71"/>
        <v>25666.666666666668</v>
      </c>
      <c r="AJ150" s="10">
        <v>140</v>
      </c>
      <c r="AK150" s="10">
        <f>IFERROR(求节点(节奏总纲!R$4:R$363,AD$11:AD$370,$AC150),0)</f>
        <v>0</v>
      </c>
      <c r="AL150" s="10">
        <f>IFERROR(求节点(节奏总纲!S$4:S$363,AE$11:AE$370,$AC150),0)</f>
        <v>12381.5878053247</v>
      </c>
      <c r="AM150" s="10">
        <f>IFERROR(求节点(节奏总纲!T$4:T$363,AF$11:AF$370,$AC150),0)</f>
        <v>29864.245109816256</v>
      </c>
      <c r="AN150" s="10">
        <f>IFERROR(求节点(节奏总纲!U$4:U$363,AG$11:AG$370,$AC150),0)</f>
        <v>56628.331254597164</v>
      </c>
      <c r="AO150" s="10">
        <f>IFERROR(求节点(节奏总纲!V$4:V$363,AH$11:AH$370,$AC150),0)</f>
        <v>103673.9352469986</v>
      </c>
      <c r="AZ150" s="10">
        <v>140</v>
      </c>
      <c r="BA150" s="10">
        <f t="shared" si="61"/>
        <v>1437333.3333333333</v>
      </c>
      <c r="BB150" s="10">
        <f t="shared" si="62"/>
        <v>2156000</v>
      </c>
      <c r="BC150" s="10">
        <f t="shared" si="63"/>
        <v>2874666.6666666665</v>
      </c>
      <c r="BD150" s="10">
        <f t="shared" si="64"/>
        <v>3593333.3333333335</v>
      </c>
      <c r="BE150" s="10">
        <f t="shared" si="65"/>
        <v>4312000</v>
      </c>
      <c r="BG150" s="10">
        <v>140</v>
      </c>
      <c r="BH150" s="10">
        <f>MAX(节奏总纲!D143-$C$7,0)*C$22*$C$8*($AV$6+$AV$22)/30</f>
        <v>213679200</v>
      </c>
      <c r="BI150" s="10">
        <f>MAX(节奏总纲!E143-$C$7,0)*D$22*$C$8*($AV$6+$AV$22)/30</f>
        <v>271485791.64000005</v>
      </c>
      <c r="BJ150" s="10">
        <f>MAX(节奏总纲!F143-$C$7,0)*E$22*$C$8*($AV$6+$AV$22)/30</f>
        <v>287655534.88000005</v>
      </c>
      <c r="BK150" s="10">
        <f>MAX(节奏总纲!G143-$C$7,0)*F$22*$C$8*($AV$6+$AV$22)/30</f>
        <v>254728048.40000001</v>
      </c>
      <c r="BL150" s="10">
        <f>MAX(节奏总纲!H143-$C$7,0)*G$22*$C$8*($AV$6+$AV$22)/30</f>
        <v>163166460.23999998</v>
      </c>
      <c r="BX150" s="10">
        <v>140</v>
      </c>
      <c r="BY150" s="10">
        <f t="shared" si="66"/>
        <v>73333.333333333328</v>
      </c>
      <c r="BZ150" s="10">
        <f t="shared" si="66"/>
        <v>110000</v>
      </c>
      <c r="CA150" s="10">
        <f t="shared" si="66"/>
        <v>146666.66666666666</v>
      </c>
      <c r="CB150" s="10">
        <f t="shared" si="66"/>
        <v>275000</v>
      </c>
      <c r="CC150" s="10">
        <f t="shared" si="66"/>
        <v>916666.66666666663</v>
      </c>
      <c r="CE150" s="10">
        <v>140</v>
      </c>
      <c r="CF150" s="10">
        <f>MAX(节奏总纲!D143-$C$7,0)*INDEX($BU$7:$BU$15,MATCH(BY$10,$BT$7:$BT$15,0))/30</f>
        <v>10902000</v>
      </c>
      <c r="CG150" s="10">
        <f>MAX(节奏总纲!E143-$C$7,0)*INDEX($BU$7:$BU$15,MATCH(BZ$10,$BT$7:$BT$15,0))/30</f>
        <v>13851315.900000002</v>
      </c>
      <c r="CH150" s="10">
        <f>MAX(节奏总纲!F143-$C$7,0)*INDEX($BU$7:$BU$15,MATCH(CA$10,$BT$7:$BT$15,0))/30</f>
        <v>14676302.800000001</v>
      </c>
      <c r="CI150" s="10">
        <f>MAX(节奏总纲!G143-$C$7,0)*INDEX($BU$7:$BU$15,MATCH(CB$10,$BT$7:$BT$15,0))/30</f>
        <v>19494493.5</v>
      </c>
      <c r="CJ150" s="10">
        <f>MAX(节奏总纲!H143-$C$7,0)*INDEX($BU$7:$BU$15,MATCH(CC$10,$BT$7:$BT$15,0))/30</f>
        <v>34686747.5</v>
      </c>
    </row>
    <row r="151" spans="15:88" x14ac:dyDescent="0.15">
      <c r="O151" s="2">
        <v>140</v>
      </c>
      <c r="P151" s="2">
        <f t="shared" si="57"/>
        <v>2800</v>
      </c>
      <c r="AC151" s="2">
        <v>141</v>
      </c>
      <c r="AD151" s="2">
        <f t="shared" si="67"/>
        <v>0</v>
      </c>
      <c r="AE151" s="2">
        <f t="shared" si="68"/>
        <v>2590</v>
      </c>
      <c r="AF151" s="2">
        <f t="shared" si="69"/>
        <v>6475</v>
      </c>
      <c r="AG151" s="2">
        <f t="shared" si="70"/>
        <v>12950</v>
      </c>
      <c r="AH151" s="2">
        <f t="shared" si="71"/>
        <v>25900</v>
      </c>
      <c r="AJ151" s="10">
        <v>141</v>
      </c>
      <c r="AK151" s="10">
        <f>IFERROR(求节点(节奏总纲!R$4:R$363,AD$11:AD$370,$AC151),0)</f>
        <v>0</v>
      </c>
      <c r="AL151" s="10">
        <f>IFERROR(求节点(节奏总纲!S$4:S$363,AE$11:AE$370,$AC151),0)</f>
        <v>12470.027718219877</v>
      </c>
      <c r="AM151" s="10">
        <f>IFERROR(求节点(节奏总纲!T$4:T$363,AF$11:AF$370,$AC151),0)</f>
        <v>30077.561146314947</v>
      </c>
      <c r="AN151" s="10">
        <f>IFERROR(求节点(节奏总纲!U$4:U$363,AG$11:AG$370,$AC151),0)</f>
        <v>57032.819334987144</v>
      </c>
      <c r="AO151" s="10">
        <f>IFERROR(求节点(节奏总纲!V$4:V$363,AH$11:AH$370,$AC151),0)</f>
        <v>104414.46335590574</v>
      </c>
      <c r="AZ151" s="10">
        <v>141</v>
      </c>
      <c r="BA151" s="10">
        <f t="shared" si="61"/>
        <v>1450400</v>
      </c>
      <c r="BB151" s="10">
        <f t="shared" si="62"/>
        <v>2175600</v>
      </c>
      <c r="BC151" s="10">
        <f t="shared" si="63"/>
        <v>2900800</v>
      </c>
      <c r="BD151" s="10">
        <f t="shared" si="64"/>
        <v>3626000</v>
      </c>
      <c r="BE151" s="10">
        <f t="shared" si="65"/>
        <v>4351200</v>
      </c>
      <c r="BG151" s="10">
        <v>141</v>
      </c>
      <c r="BH151" s="10">
        <f>MAX(节奏总纲!D144-$C$7,0)*C$22*$C$8*($AV$6+$AV$22)/30</f>
        <v>229044769.09320945</v>
      </c>
      <c r="BI151" s="10">
        <f>MAX(节奏总纲!E144-$C$7,0)*D$22*$C$8*($AV$6+$AV$22)/30</f>
        <v>290257520.34100699</v>
      </c>
      <c r="BJ151" s="10">
        <f>MAX(节奏总纲!F144-$C$7,0)*E$22*$C$8*($AV$6+$AV$22)/30</f>
        <v>307303693.53836167</v>
      </c>
      <c r="BK151" s="10">
        <f>MAX(节奏总纲!G144-$C$7,0)*F$22*$C$8*($AV$6+$AV$22)/30</f>
        <v>272795424.72047216</v>
      </c>
      <c r="BL151" s="10">
        <f>MAX(节奏总纲!H144-$C$7,0)*G$22*$C$8*($AV$6+$AV$22)/30</f>
        <v>174824945.57140097</v>
      </c>
      <c r="BX151" s="10">
        <v>141</v>
      </c>
      <c r="BY151" s="10">
        <f t="shared" ref="BY151:CC160" si="72">MAX($BX151-$C$7,0)*INDEX($BU$7:$BU$15,MATCH(BY$10,$BT$7:$BT$15,0))/30</f>
        <v>74000</v>
      </c>
      <c r="BZ151" s="10">
        <f t="shared" si="72"/>
        <v>111000</v>
      </c>
      <c r="CA151" s="10">
        <f t="shared" si="72"/>
        <v>148000</v>
      </c>
      <c r="CB151" s="10">
        <f t="shared" si="72"/>
        <v>277500</v>
      </c>
      <c r="CC151" s="10">
        <f t="shared" si="72"/>
        <v>925000</v>
      </c>
      <c r="CE151" s="10">
        <v>141</v>
      </c>
      <c r="CF151" s="10">
        <f>MAX(节奏总纲!D144-$C$7,0)*INDEX($BU$7:$BU$15,MATCH(BY$10,$BT$7:$BT$15,0))/30</f>
        <v>11685957.606796402</v>
      </c>
      <c r="CG151" s="10">
        <f>MAX(节奏总纲!E144-$C$7,0)*INDEX($BU$7:$BU$15,MATCH(BZ$10,$BT$7:$BT$15,0))/30</f>
        <v>14809057.160255458</v>
      </c>
      <c r="CH151" s="10">
        <f>MAX(节奏总纲!F144-$C$7,0)*INDEX($BU$7:$BU$15,MATCH(CA$10,$BT$7:$BT$15,0))/30</f>
        <v>15678759.874406209</v>
      </c>
      <c r="CI151" s="10">
        <f>MAX(节奏总纲!G144-$C$7,0)*INDEX($BU$7:$BU$15,MATCH(CB$10,$BT$7:$BT$15,0))/30</f>
        <v>20877200.871464707</v>
      </c>
      <c r="CJ151" s="10">
        <f>MAX(节奏总纲!H144-$C$7,0)*INDEX($BU$7:$BU$15,MATCH(CC$10,$BT$7:$BT$15,0))/30</f>
        <v>37165167.000722989</v>
      </c>
    </row>
    <row r="152" spans="15:88" x14ac:dyDescent="0.15">
      <c r="O152" s="2">
        <v>141</v>
      </c>
      <c r="P152" s="2">
        <f t="shared" si="57"/>
        <v>2820</v>
      </c>
      <c r="AC152" s="2">
        <v>142</v>
      </c>
      <c r="AD152" s="2">
        <f t="shared" si="67"/>
        <v>0</v>
      </c>
      <c r="AE152" s="2">
        <f t="shared" si="68"/>
        <v>2613.3333333333335</v>
      </c>
      <c r="AF152" s="2">
        <f t="shared" si="69"/>
        <v>6533.333333333333</v>
      </c>
      <c r="AG152" s="2">
        <f t="shared" si="70"/>
        <v>13066.666666666666</v>
      </c>
      <c r="AH152" s="2">
        <f t="shared" si="71"/>
        <v>26133.333333333332</v>
      </c>
      <c r="AJ152" s="10">
        <v>142</v>
      </c>
      <c r="AK152" s="10">
        <f>IFERROR(求节点(节奏总纲!R$4:R$363,AD$11:AD$370,$AC152),0)</f>
        <v>0</v>
      </c>
      <c r="AL152" s="10">
        <f>IFERROR(求节点(节奏总纲!S$4:S$363,AE$11:AE$370,$AC152),0)</f>
        <v>12558.467631115054</v>
      </c>
      <c r="AM152" s="10">
        <f>IFERROR(求节点(节奏总纲!T$4:T$363,AF$11:AF$370,$AC152),0)</f>
        <v>30290.877182813634</v>
      </c>
      <c r="AN152" s="10">
        <f>IFERROR(求节点(节奏总纲!U$4:U$363,AG$11:AG$370,$AC152),0)</f>
        <v>57437.307415377123</v>
      </c>
      <c r="AO152" s="10">
        <f>IFERROR(求节点(节奏总纲!V$4:V$363,AH$11:AH$370,$AC152),0)</f>
        <v>105154.99146481286</v>
      </c>
      <c r="AZ152" s="10">
        <v>142</v>
      </c>
      <c r="BA152" s="10">
        <f t="shared" si="61"/>
        <v>1463466.6666666667</v>
      </c>
      <c r="BB152" s="10">
        <f t="shared" si="62"/>
        <v>2195200</v>
      </c>
      <c r="BC152" s="10">
        <f t="shared" si="63"/>
        <v>2926933.3333333335</v>
      </c>
      <c r="BD152" s="10">
        <f t="shared" si="64"/>
        <v>3658666.6666666665</v>
      </c>
      <c r="BE152" s="10">
        <f t="shared" si="65"/>
        <v>4390400</v>
      </c>
      <c r="BG152" s="10">
        <v>142</v>
      </c>
      <c r="BH152" s="10">
        <f>MAX(节奏总纲!D145-$C$7,0)*C$22*$C$8*($AV$6+$AV$22)/30</f>
        <v>245513178.28407973</v>
      </c>
      <c r="BI152" s="10">
        <f>MAX(节奏总纲!E145-$C$7,0)*D$22*$C$8*($AV$6+$AV$22)/30</f>
        <v>311133699.25181377</v>
      </c>
      <c r="BJ152" s="10">
        <f>MAX(节奏总纲!F145-$C$7,0)*E$22*$C$8*($AV$6+$AV$22)/30</f>
        <v>330253551.00602823</v>
      </c>
      <c r="BK152" s="10">
        <f>MAX(节奏总纲!G145-$C$7,0)*F$22*$C$8*($AV$6+$AV$22)/30</f>
        <v>293122593.22775942</v>
      </c>
      <c r="BL152" s="10">
        <f>MAX(节奏总纲!H145-$C$7,0)*G$22*$C$8*($AV$6+$AV$22)/30</f>
        <v>187900491.58262891</v>
      </c>
      <c r="BX152" s="10">
        <v>142</v>
      </c>
      <c r="BY152" s="10">
        <f t="shared" si="72"/>
        <v>74666.666666666672</v>
      </c>
      <c r="BZ152" s="10">
        <f t="shared" si="72"/>
        <v>112000</v>
      </c>
      <c r="CA152" s="10">
        <f t="shared" si="72"/>
        <v>149333.33333333334</v>
      </c>
      <c r="CB152" s="10">
        <f t="shared" si="72"/>
        <v>280000</v>
      </c>
      <c r="CC152" s="10">
        <f t="shared" si="72"/>
        <v>933333.33333333337</v>
      </c>
      <c r="CE152" s="10">
        <v>142</v>
      </c>
      <c r="CF152" s="10">
        <f>MAX(节奏总纲!D145-$C$7,0)*INDEX($BU$7:$BU$15,MATCH(BY$10,$BT$7:$BT$15,0))/30</f>
        <v>12526182.565514274</v>
      </c>
      <c r="CG152" s="10">
        <f>MAX(节奏总纲!E145-$C$7,0)*INDEX($BU$7:$BU$15,MATCH(BZ$10,$BT$7:$BT$15,0))/30</f>
        <v>15874168.32917417</v>
      </c>
      <c r="CH152" s="10">
        <f>MAX(节奏总纲!F145-$C$7,0)*INDEX($BU$7:$BU$15,MATCH(CA$10,$BT$7:$BT$15,0))/30</f>
        <v>16849670.969695318</v>
      </c>
      <c r="CI152" s="10">
        <f>MAX(节奏总纲!G145-$C$7,0)*INDEX($BU$7:$BU$15,MATCH(CB$10,$BT$7:$BT$15,0))/30</f>
        <v>22432851.522532608</v>
      </c>
      <c r="CJ152" s="10">
        <f>MAX(节奏总纲!H145-$C$7,0)*INDEX($BU$7:$BU$15,MATCH(CC$10,$BT$7:$BT$15,0))/30</f>
        <v>39944832.394266352</v>
      </c>
    </row>
    <row r="153" spans="15:88" x14ac:dyDescent="0.15">
      <c r="O153" s="2">
        <v>142</v>
      </c>
      <c r="P153" s="2">
        <f t="shared" si="57"/>
        <v>2840</v>
      </c>
      <c r="AC153" s="2">
        <v>143</v>
      </c>
      <c r="AD153" s="2">
        <f t="shared" si="67"/>
        <v>0</v>
      </c>
      <c r="AE153" s="2">
        <f t="shared" si="68"/>
        <v>2636.6666666666665</v>
      </c>
      <c r="AF153" s="2">
        <f t="shared" si="69"/>
        <v>6591.666666666667</v>
      </c>
      <c r="AG153" s="2">
        <f t="shared" si="70"/>
        <v>13183.333333333334</v>
      </c>
      <c r="AH153" s="2">
        <f t="shared" si="71"/>
        <v>26366.666666666668</v>
      </c>
      <c r="AJ153" s="10">
        <v>143</v>
      </c>
      <c r="AK153" s="10">
        <f>IFERROR(求节点(节奏总纲!R$4:R$363,AD$11:AD$370,$AC153),0)</f>
        <v>0</v>
      </c>
      <c r="AL153" s="10">
        <f>IFERROR(求节点(节奏总纲!S$4:S$363,AE$11:AE$370,$AC153),0)</f>
        <v>12646.90754401023</v>
      </c>
      <c r="AM153" s="10">
        <f>IFERROR(求节点(节奏总纲!T$4:T$363,AF$11:AF$370,$AC153),0)</f>
        <v>30504.193219312321</v>
      </c>
      <c r="AN153" s="10">
        <f>IFERROR(求节点(节奏总纲!U$4:U$363,AG$11:AG$370,$AC153),0)</f>
        <v>57841.795495767103</v>
      </c>
      <c r="AO153" s="10">
        <f>IFERROR(求节点(节奏总纲!V$4:V$363,AH$11:AH$370,$AC153),0)</f>
        <v>105895.51957372</v>
      </c>
      <c r="AZ153" s="10">
        <v>143</v>
      </c>
      <c r="BA153" s="10">
        <f t="shared" si="61"/>
        <v>1476533.3333333333</v>
      </c>
      <c r="BB153" s="10">
        <f t="shared" si="62"/>
        <v>2214800</v>
      </c>
      <c r="BC153" s="10">
        <f t="shared" si="63"/>
        <v>2953066.6666666665</v>
      </c>
      <c r="BD153" s="10">
        <f t="shared" si="64"/>
        <v>3691333.3333333335</v>
      </c>
      <c r="BE153" s="10">
        <f t="shared" si="65"/>
        <v>4429600</v>
      </c>
      <c r="BG153" s="10">
        <v>143</v>
      </c>
      <c r="BH153" s="10">
        <f>MAX(节奏总纲!D146-$C$7,0)*C$22*$C$8*($AV$6+$AV$22)/30</f>
        <v>263163582.22504339</v>
      </c>
      <c r="BI153" s="10">
        <f>MAX(节奏总纲!E146-$C$7,0)*D$22*$C$8*($AV$6+$AV$22)/30</f>
        <v>333903567.18091375</v>
      </c>
      <c r="BJ153" s="10">
        <f>MAX(节奏总纲!F146-$C$7,0)*E$22*$C$8*($AV$6+$AV$22)/30</f>
        <v>354488924.83935851</v>
      </c>
      <c r="BK153" s="10">
        <f>MAX(节奏总纲!G146-$C$7,0)*F$22*$C$8*($AV$6+$AV$22)/30</f>
        <v>314891365.29671448</v>
      </c>
      <c r="BL153" s="10">
        <f>MAX(节奏总纲!H146-$C$7,0)*G$22*$C$8*($AV$6+$AV$22)/30</f>
        <v>202104420.57017601</v>
      </c>
      <c r="BX153" s="10">
        <v>143</v>
      </c>
      <c r="BY153" s="10">
        <f t="shared" si="72"/>
        <v>75333.333333333328</v>
      </c>
      <c r="BZ153" s="10">
        <f t="shared" si="72"/>
        <v>113000</v>
      </c>
      <c r="CA153" s="10">
        <f t="shared" si="72"/>
        <v>150666.66666666666</v>
      </c>
      <c r="CB153" s="10">
        <f t="shared" si="72"/>
        <v>282500</v>
      </c>
      <c r="CC153" s="10">
        <f t="shared" si="72"/>
        <v>941666.66666666663</v>
      </c>
      <c r="CE153" s="10">
        <v>143</v>
      </c>
      <c r="CF153" s="10">
        <f>MAX(节奏总纲!D146-$C$7,0)*INDEX($BU$7:$BU$15,MATCH(BY$10,$BT$7:$BT$15,0))/30</f>
        <v>13426713.378828743</v>
      </c>
      <c r="CG153" s="10">
        <f>MAX(节奏总纲!E146-$C$7,0)*INDEX($BU$7:$BU$15,MATCH(BZ$10,$BT$7:$BT$15,0))/30</f>
        <v>17035896.284740496</v>
      </c>
      <c r="CH153" s="10">
        <f>MAX(节奏总纲!F146-$C$7,0)*INDEX($BU$7:$BU$15,MATCH(CA$10,$BT$7:$BT$15,0))/30</f>
        <v>18086169.634661146</v>
      </c>
      <c r="CI153" s="10">
        <f>MAX(节奏总纲!G146-$C$7,0)*INDEX($BU$7:$BU$15,MATCH(CB$10,$BT$7:$BT$15,0))/30</f>
        <v>24098828.97678937</v>
      </c>
      <c r="CJ153" s="10">
        <f>MAX(节奏总纲!H146-$C$7,0)*INDEX($BU$7:$BU$15,MATCH(CC$10,$BT$7:$BT$15,0))/30</f>
        <v>42964375.121210881</v>
      </c>
    </row>
    <row r="154" spans="15:88" x14ac:dyDescent="0.15">
      <c r="O154" s="2">
        <v>143</v>
      </c>
      <c r="P154" s="2">
        <f t="shared" si="57"/>
        <v>2860</v>
      </c>
      <c r="AC154" s="2">
        <v>144</v>
      </c>
      <c r="AD154" s="2">
        <f t="shared" si="67"/>
        <v>0</v>
      </c>
      <c r="AE154" s="2">
        <f t="shared" si="68"/>
        <v>2660</v>
      </c>
      <c r="AF154" s="2">
        <f t="shared" si="69"/>
        <v>6650</v>
      </c>
      <c r="AG154" s="2">
        <f t="shared" si="70"/>
        <v>13300</v>
      </c>
      <c r="AH154" s="2">
        <f t="shared" si="71"/>
        <v>26600</v>
      </c>
      <c r="AJ154" s="10">
        <v>144</v>
      </c>
      <c r="AK154" s="10">
        <f>IFERROR(求节点(节奏总纲!R$4:R$363,AD$11:AD$370,$AC154),0)</f>
        <v>0</v>
      </c>
      <c r="AL154" s="10">
        <f>IFERROR(求节点(节奏总纲!S$4:S$363,AE$11:AE$370,$AC154),0)</f>
        <v>12735.347456905405</v>
      </c>
      <c r="AM154" s="10">
        <f>IFERROR(求节点(节奏总纲!T$4:T$363,AF$11:AF$370,$AC154),0)</f>
        <v>30717.509255811008</v>
      </c>
      <c r="AN154" s="10">
        <f>IFERROR(求节点(节奏总纲!U$4:U$363,AG$11:AG$370,$AC154),0)</f>
        <v>58246.283576157082</v>
      </c>
      <c r="AO154" s="10">
        <f>IFERROR(求节点(节奏总纲!V$4:V$363,AH$11:AH$370,$AC154),0)</f>
        <v>106636.04768262713</v>
      </c>
      <c r="AZ154" s="10">
        <v>144</v>
      </c>
      <c r="BA154" s="10">
        <f t="shared" si="61"/>
        <v>1489600</v>
      </c>
      <c r="BB154" s="10">
        <f t="shared" si="62"/>
        <v>2234400</v>
      </c>
      <c r="BC154" s="10">
        <f t="shared" si="63"/>
        <v>2979200</v>
      </c>
      <c r="BD154" s="10">
        <f t="shared" si="64"/>
        <v>3724000</v>
      </c>
      <c r="BE154" s="10">
        <f t="shared" si="65"/>
        <v>4468800</v>
      </c>
      <c r="BG154" s="10">
        <v>144</v>
      </c>
      <c r="BH154" s="10">
        <f>MAX(节奏总纲!D147-$C$7,0)*C$22*$C$8*($AV$6+$AV$22)/30</f>
        <v>282080816.77201372</v>
      </c>
      <c r="BI154" s="10">
        <f>MAX(节奏总纲!E147-$C$7,0)*D$22*$C$8*($AV$6+$AV$22)/30</f>
        <v>357912375.40620118</v>
      </c>
      <c r="BJ154" s="10">
        <f>MAX(节奏总纲!F147-$C$7,0)*E$22*$C$8*($AV$6+$AV$22)/30</f>
        <v>380384818.95215529</v>
      </c>
      <c r="BK154" s="10">
        <f>MAX(节奏总纲!G147-$C$7,0)*F$22*$C$8*($AV$6+$AV$22)/30</f>
        <v>338128616.53480244</v>
      </c>
      <c r="BL154" s="10">
        <f>MAX(节奏总纲!H147-$C$7,0)*G$22*$C$8*($AV$6+$AV$22)/30</f>
        <v>216271574.35109612</v>
      </c>
      <c r="BX154" s="10">
        <v>144</v>
      </c>
      <c r="BY154" s="10">
        <f t="shared" si="72"/>
        <v>76000</v>
      </c>
      <c r="BZ154" s="10">
        <f t="shared" si="72"/>
        <v>114000</v>
      </c>
      <c r="CA154" s="10">
        <f t="shared" si="72"/>
        <v>152000</v>
      </c>
      <c r="CB154" s="10">
        <f t="shared" si="72"/>
        <v>285000</v>
      </c>
      <c r="CC154" s="10">
        <f t="shared" si="72"/>
        <v>950000</v>
      </c>
      <c r="CE154" s="10">
        <v>144</v>
      </c>
      <c r="CF154" s="10">
        <f>MAX(节奏总纲!D147-$C$7,0)*INDEX($BU$7:$BU$15,MATCH(BY$10,$BT$7:$BT$15,0))/30</f>
        <v>14391878.406735392</v>
      </c>
      <c r="CG154" s="10">
        <f>MAX(节奏总纲!E147-$C$7,0)*INDEX($BU$7:$BU$15,MATCH(BZ$10,$BT$7:$BT$15,0))/30</f>
        <v>18260835.479908224</v>
      </c>
      <c r="CH154" s="10">
        <f>MAX(节奏总纲!F147-$C$7,0)*INDEX($BU$7:$BU$15,MATCH(CA$10,$BT$7:$BT$15,0))/30</f>
        <v>19407388.722048741</v>
      </c>
      <c r="CI154" s="10">
        <f>MAX(节奏总纲!G147-$C$7,0)*INDEX($BU$7:$BU$15,MATCH(CB$10,$BT$7:$BT$15,0))/30</f>
        <v>25877190.040928759</v>
      </c>
      <c r="CJ154" s="10">
        <f>MAX(节奏总纲!H147-$C$7,0)*INDEX($BU$7:$BU$15,MATCH(CC$10,$BT$7:$BT$15,0))/30</f>
        <v>45976099.989603765</v>
      </c>
    </row>
    <row r="155" spans="15:88" x14ac:dyDescent="0.15">
      <c r="O155" s="2">
        <v>144</v>
      </c>
      <c r="P155" s="2">
        <f t="shared" si="57"/>
        <v>2880</v>
      </c>
      <c r="AC155" s="2">
        <v>145</v>
      </c>
      <c r="AD155" s="2">
        <f t="shared" si="67"/>
        <v>0</v>
      </c>
      <c r="AE155" s="2">
        <f t="shared" si="68"/>
        <v>2683.3333333333335</v>
      </c>
      <c r="AF155" s="2">
        <f t="shared" si="69"/>
        <v>6708.333333333333</v>
      </c>
      <c r="AG155" s="2">
        <f t="shared" si="70"/>
        <v>13416.666666666666</v>
      </c>
      <c r="AH155" s="2">
        <f t="shared" si="71"/>
        <v>26833.333333333332</v>
      </c>
      <c r="AJ155" s="10">
        <v>145</v>
      </c>
      <c r="AK155" s="10">
        <f>IFERROR(求节点(节奏总纲!R$4:R$363,AD$11:AD$370,$AC155),0)</f>
        <v>0</v>
      </c>
      <c r="AL155" s="10">
        <f>IFERROR(求节点(节奏总纲!S$4:S$363,AE$11:AE$370,$AC155),0)</f>
        <v>12823.787369800582</v>
      </c>
      <c r="AM155" s="10">
        <f>IFERROR(求节点(节奏总纲!T$4:T$363,AF$11:AF$370,$AC155),0)</f>
        <v>30930.825292309695</v>
      </c>
      <c r="AN155" s="10">
        <f>IFERROR(求节点(节奏总纲!U$4:U$363,AG$11:AG$370,$AC155),0)</f>
        <v>58650.771656547062</v>
      </c>
      <c r="AO155" s="10">
        <f>IFERROR(求节点(节奏总纲!V$4:V$363,AH$11:AH$370,$AC155),0)</f>
        <v>107376.57579153427</v>
      </c>
      <c r="AZ155" s="10">
        <v>145</v>
      </c>
      <c r="BA155" s="10">
        <f t="shared" si="61"/>
        <v>1502666.6666666667</v>
      </c>
      <c r="BB155" s="10">
        <f t="shared" si="62"/>
        <v>2254000</v>
      </c>
      <c r="BC155" s="10">
        <f t="shared" si="63"/>
        <v>3005333.3333333335</v>
      </c>
      <c r="BD155" s="10">
        <f t="shared" si="64"/>
        <v>3756666.6666666665</v>
      </c>
      <c r="BE155" s="10">
        <f t="shared" si="65"/>
        <v>4508000</v>
      </c>
      <c r="BG155" s="10">
        <v>145</v>
      </c>
      <c r="BH155" s="10">
        <f>MAX(节奏总纲!D148-$C$7,0)*C$22*$C$8*($AV$6+$AV$22)/30</f>
        <v>302355806.74403179</v>
      </c>
      <c r="BI155" s="10">
        <f>MAX(节奏总纲!E148-$C$7,0)*D$22*$C$8*($AV$6+$AV$22)/30</f>
        <v>384189324.98132712</v>
      </c>
      <c r="BJ155" s="10">
        <f>MAX(节奏总纲!F148-$C$7,0)*E$22*$C$8*($AV$6+$AV$22)/30</f>
        <v>408228286.91118699</v>
      </c>
      <c r="BK155" s="10">
        <f>MAX(节奏总纲!G148-$C$7,0)*F$22*$C$8*($AV$6+$AV$22)/30</f>
        <v>361787559.43103606</v>
      </c>
      <c r="BL155" s="10">
        <f>MAX(节奏总纲!H148-$C$7,0)*G$22*$C$8*($AV$6+$AV$22)/30</f>
        <v>231152666.89537004</v>
      </c>
      <c r="BX155" s="10">
        <v>145</v>
      </c>
      <c r="BY155" s="10">
        <f t="shared" si="72"/>
        <v>76666.666666666672</v>
      </c>
      <c r="BZ155" s="10">
        <f t="shared" si="72"/>
        <v>115000</v>
      </c>
      <c r="CA155" s="10">
        <f t="shared" si="72"/>
        <v>153333.33333333334</v>
      </c>
      <c r="CB155" s="10">
        <f t="shared" si="72"/>
        <v>287500</v>
      </c>
      <c r="CC155" s="10">
        <f t="shared" si="72"/>
        <v>958333.33333333337</v>
      </c>
      <c r="CE155" s="10">
        <v>145</v>
      </c>
      <c r="CF155" s="10">
        <f>MAX(节奏总纲!D148-$C$7,0)*INDEX($BU$7:$BU$15,MATCH(BY$10,$BT$7:$BT$15,0))/30</f>
        <v>15426316.670613864</v>
      </c>
      <c r="CG155" s="10">
        <f>MAX(节奏总纲!E148-$C$7,0)*INDEX($BU$7:$BU$15,MATCH(BZ$10,$BT$7:$BT$15,0))/30</f>
        <v>19601496.172516696</v>
      </c>
      <c r="CH155" s="10">
        <f>MAX(节奏总纲!F148-$C$7,0)*INDEX($BU$7:$BU$15,MATCH(CA$10,$BT$7:$BT$15,0))/30</f>
        <v>20827973.82199933</v>
      </c>
      <c r="CI155" s="10">
        <f>MAX(节奏总纲!G148-$C$7,0)*INDEX($BU$7:$BU$15,MATCH(CB$10,$BT$7:$BT$15,0))/30</f>
        <v>27687823.425844595</v>
      </c>
      <c r="CJ155" s="10">
        <f>MAX(节奏总纲!H148-$C$7,0)*INDEX($BU$7:$BU$15,MATCH(CC$10,$BT$7:$BT$15,0))/30</f>
        <v>49139597.554287843</v>
      </c>
    </row>
    <row r="156" spans="15:88" x14ac:dyDescent="0.15">
      <c r="O156" s="2">
        <v>145</v>
      </c>
      <c r="P156" s="2">
        <f t="shared" si="57"/>
        <v>2900</v>
      </c>
      <c r="AC156" s="2">
        <v>146</v>
      </c>
      <c r="AD156" s="2">
        <f t="shared" si="67"/>
        <v>0</v>
      </c>
      <c r="AE156" s="2">
        <f t="shared" si="68"/>
        <v>2706.6666666666665</v>
      </c>
      <c r="AF156" s="2">
        <f t="shared" si="69"/>
        <v>6766.666666666667</v>
      </c>
      <c r="AG156" s="2">
        <f t="shared" si="70"/>
        <v>13533.333333333334</v>
      </c>
      <c r="AH156" s="2">
        <f t="shared" si="71"/>
        <v>27066.666666666668</v>
      </c>
      <c r="AJ156" s="10">
        <v>146</v>
      </c>
      <c r="AK156" s="10">
        <f>IFERROR(求节点(节奏总纲!R$4:R$363,AD$11:AD$370,$AC156),0)</f>
        <v>0</v>
      </c>
      <c r="AL156" s="10">
        <f>IFERROR(求节点(节奏总纲!S$4:S$363,AE$11:AE$370,$AC156),0)</f>
        <v>12912.22728269576</v>
      </c>
      <c r="AM156" s="10">
        <f>IFERROR(求节点(节奏总纲!T$4:T$363,AF$11:AF$370,$AC156),0)</f>
        <v>31144.141328808386</v>
      </c>
      <c r="AN156" s="10">
        <f>IFERROR(求节点(节奏总纲!U$4:U$363,AG$11:AG$370,$AC156),0)</f>
        <v>59055.259736937041</v>
      </c>
      <c r="AO156" s="10">
        <f>IFERROR(求节点(节奏总纲!V$4:V$363,AH$11:AH$370,$AC156),0)</f>
        <v>108117.10390044141</v>
      </c>
      <c r="AZ156" s="10">
        <v>146</v>
      </c>
      <c r="BA156" s="10">
        <f t="shared" si="61"/>
        <v>1515733.3333333333</v>
      </c>
      <c r="BB156" s="10">
        <f t="shared" si="62"/>
        <v>2273600</v>
      </c>
      <c r="BC156" s="10">
        <f t="shared" si="63"/>
        <v>3031466.6666666665</v>
      </c>
      <c r="BD156" s="10">
        <f t="shared" si="64"/>
        <v>3789333.3333333335</v>
      </c>
      <c r="BE156" s="10">
        <f t="shared" si="65"/>
        <v>4547200</v>
      </c>
      <c r="BG156" s="10">
        <v>146</v>
      </c>
      <c r="BH156" s="10">
        <f>MAX(节奏总纲!D149-$C$7,0)*C$22*$C$8*($AV$6+$AV$22)/30</f>
        <v>324086002.9492296</v>
      </c>
      <c r="BI156" s="10">
        <f>MAX(节奏总纲!E149-$C$7,0)*D$22*$C$8*($AV$6+$AV$22)/30</f>
        <v>411709974.4474386</v>
      </c>
      <c r="BJ156" s="10">
        <f>MAX(节奏总纲!F149-$C$7,0)*E$22*$C$8*($AV$6+$AV$22)/30</f>
        <v>436158078.7714327</v>
      </c>
      <c r="BK156" s="10">
        <f>MAX(节奏总纲!G149-$C$7,0)*F$22*$C$8*($AV$6+$AV$22)/30</f>
        <v>386041138.0176937</v>
      </c>
      <c r="BL156" s="10">
        <f>MAX(节奏总纲!H149-$C$7,0)*G$22*$C$8*($AV$6+$AV$22)/30</f>
        <v>246757642.05350634</v>
      </c>
      <c r="BX156" s="10">
        <v>146</v>
      </c>
      <c r="BY156" s="10">
        <f t="shared" si="72"/>
        <v>77333.333333333328</v>
      </c>
      <c r="BZ156" s="10">
        <f t="shared" si="72"/>
        <v>116000</v>
      </c>
      <c r="CA156" s="10">
        <f t="shared" si="72"/>
        <v>154666.66666666666</v>
      </c>
      <c r="CB156" s="10">
        <f t="shared" si="72"/>
        <v>290000</v>
      </c>
      <c r="CC156" s="10">
        <f t="shared" si="72"/>
        <v>966666.66666666663</v>
      </c>
      <c r="CE156" s="10">
        <v>146</v>
      </c>
      <c r="CF156" s="10">
        <f>MAX(节奏总纲!D149-$C$7,0)*INDEX($BU$7:$BU$15,MATCH(BY$10,$BT$7:$BT$15,0))/30</f>
        <v>16535000.150470901</v>
      </c>
      <c r="CG156" s="10">
        <f>MAX(节奏总纲!E149-$C$7,0)*INDEX($BU$7:$BU$15,MATCH(BZ$10,$BT$7:$BT$15,0))/30</f>
        <v>21005610.941195849</v>
      </c>
      <c r="CH156" s="10">
        <f>MAX(节奏总纲!F149-$C$7,0)*INDEX($BU$7:$BU$15,MATCH(CA$10,$BT$7:$BT$15,0))/30</f>
        <v>22252963.202624116</v>
      </c>
      <c r="CI156" s="10">
        <f>MAX(节奏总纲!G149-$C$7,0)*INDEX($BU$7:$BU$15,MATCH(CB$10,$BT$7:$BT$15,0))/30</f>
        <v>29543964.644211251</v>
      </c>
      <c r="CJ156" s="10">
        <f>MAX(节奏总纲!H149-$C$7,0)*INDEX($BU$7:$BU$15,MATCH(CC$10,$BT$7:$BT$15,0))/30</f>
        <v>52456981.729061723</v>
      </c>
    </row>
    <row r="157" spans="15:88" x14ac:dyDescent="0.15">
      <c r="O157" s="2">
        <v>146</v>
      </c>
      <c r="P157" s="2">
        <f t="shared" si="57"/>
        <v>2920</v>
      </c>
      <c r="AC157" s="2">
        <v>147</v>
      </c>
      <c r="AD157" s="2">
        <f t="shared" si="67"/>
        <v>0</v>
      </c>
      <c r="AE157" s="2">
        <f t="shared" si="68"/>
        <v>2730</v>
      </c>
      <c r="AF157" s="2">
        <f t="shared" si="69"/>
        <v>6825</v>
      </c>
      <c r="AG157" s="2">
        <f t="shared" si="70"/>
        <v>13650</v>
      </c>
      <c r="AH157" s="2">
        <f t="shared" si="71"/>
        <v>27300</v>
      </c>
      <c r="AJ157" s="10">
        <v>147</v>
      </c>
      <c r="AK157" s="10">
        <f>IFERROR(求节点(节奏总纲!R$4:R$363,AD$11:AD$370,$AC157),0)</f>
        <v>0</v>
      </c>
      <c r="AL157" s="10">
        <f>IFERROR(求节点(节奏总纲!S$4:S$363,AE$11:AE$370,$AC157),0)</f>
        <v>13000.667195590937</v>
      </c>
      <c r="AM157" s="10">
        <f>IFERROR(求节点(节奏总纲!T$4:T$363,AF$11:AF$370,$AC157),0)</f>
        <v>31357.457365307069</v>
      </c>
      <c r="AN157" s="10">
        <f>IFERROR(求节点(节奏总纲!U$4:U$363,AG$11:AG$370,$AC157),0)</f>
        <v>59459.747817327021</v>
      </c>
      <c r="AO157" s="10">
        <f>IFERROR(求节点(节奏总纲!V$4:V$363,AH$11:AH$370,$AC157),0)</f>
        <v>108857.63200934854</v>
      </c>
      <c r="AZ157" s="10">
        <v>147</v>
      </c>
      <c r="BA157" s="10">
        <f t="shared" si="61"/>
        <v>1528800</v>
      </c>
      <c r="BB157" s="10">
        <f t="shared" si="62"/>
        <v>2293200</v>
      </c>
      <c r="BC157" s="10">
        <f t="shared" si="63"/>
        <v>3057600</v>
      </c>
      <c r="BD157" s="10">
        <f t="shared" si="64"/>
        <v>3822000</v>
      </c>
      <c r="BE157" s="10">
        <f t="shared" si="65"/>
        <v>4586400</v>
      </c>
      <c r="BG157" s="10">
        <v>147</v>
      </c>
      <c r="BH157" s="10">
        <f>MAX(节奏总纲!D150-$C$7,0)*C$22*$C$8*($AV$6+$AV$22)/30</f>
        <v>347375850.57766753</v>
      </c>
      <c r="BI157" s="10">
        <f>MAX(节奏总纲!E150-$C$7,0)*D$22*$C$8*($AV$6+$AV$22)/30</f>
        <v>439842594.36408705</v>
      </c>
      <c r="BJ157" s="10">
        <f>MAX(节奏总纲!F150-$C$7,0)*E$22*$C$8*($AV$6+$AV$22)/30</f>
        <v>465364026.91430557</v>
      </c>
      <c r="BK157" s="10">
        <f>MAX(节奏总纲!G150-$C$7,0)*F$22*$C$8*($AV$6+$AV$22)/30</f>
        <v>411646554.71040255</v>
      </c>
      <c r="BL157" s="10">
        <f>MAX(节奏总纲!H150-$C$7,0)*G$22*$C$8*($AV$6+$AV$22)/30</f>
        <v>263614441.42983609</v>
      </c>
      <c r="BX157" s="10">
        <v>147</v>
      </c>
      <c r="BY157" s="10">
        <f t="shared" si="72"/>
        <v>78000</v>
      </c>
      <c r="BZ157" s="10">
        <f t="shared" si="72"/>
        <v>117000</v>
      </c>
      <c r="CA157" s="10">
        <f t="shared" si="72"/>
        <v>156000</v>
      </c>
      <c r="CB157" s="10">
        <f t="shared" si="72"/>
        <v>292500</v>
      </c>
      <c r="CC157" s="10">
        <f t="shared" si="72"/>
        <v>975000</v>
      </c>
      <c r="CE157" s="10">
        <v>147</v>
      </c>
      <c r="CF157" s="10">
        <f>MAX(节奏总纲!D150-$C$7,0)*INDEX($BU$7:$BU$15,MATCH(BY$10,$BT$7:$BT$15,0))/30</f>
        <v>17723257.682534058</v>
      </c>
      <c r="CG157" s="10">
        <f>MAX(节奏总纲!E150-$C$7,0)*INDEX($BU$7:$BU$15,MATCH(BZ$10,$BT$7:$BT$15,0))/30</f>
        <v>22440948.69204526</v>
      </c>
      <c r="CH157" s="10">
        <f>MAX(节奏总纲!F150-$C$7,0)*INDEX($BU$7:$BU$15,MATCH(CA$10,$BT$7:$BT$15,0))/30</f>
        <v>23743062.597668651</v>
      </c>
      <c r="CI157" s="10">
        <f>MAX(节奏总纲!G150-$C$7,0)*INDEX($BU$7:$BU$15,MATCH(CB$10,$BT$7:$BT$15,0))/30</f>
        <v>31503562.860489991</v>
      </c>
      <c r="CJ157" s="10">
        <f>MAX(节奏总纲!H150-$C$7,0)*INDEX($BU$7:$BU$15,MATCH(CC$10,$BT$7:$BT$15,0))/30</f>
        <v>56040484.997839302</v>
      </c>
    </row>
    <row r="158" spans="15:88" x14ac:dyDescent="0.15">
      <c r="O158" s="2">
        <v>147</v>
      </c>
      <c r="P158" s="2">
        <f t="shared" si="57"/>
        <v>2940</v>
      </c>
      <c r="AC158" s="2">
        <v>148</v>
      </c>
      <c r="AD158" s="2">
        <f t="shared" si="67"/>
        <v>0</v>
      </c>
      <c r="AE158" s="2">
        <f t="shared" si="68"/>
        <v>2753.3333333333335</v>
      </c>
      <c r="AF158" s="2">
        <f t="shared" si="69"/>
        <v>6883.333333333333</v>
      </c>
      <c r="AG158" s="2">
        <f t="shared" si="70"/>
        <v>13766.666666666666</v>
      </c>
      <c r="AH158" s="2">
        <f t="shared" si="71"/>
        <v>27533.333333333332</v>
      </c>
      <c r="AJ158" s="10">
        <v>148</v>
      </c>
      <c r="AK158" s="10">
        <f>IFERROR(求节点(节奏总纲!R$4:R$363,AD$11:AD$370,$AC158),0)</f>
        <v>0</v>
      </c>
      <c r="AL158" s="10">
        <f>IFERROR(求节点(节奏总纲!S$4:S$363,AE$11:AE$370,$AC158),0)</f>
        <v>13089.107108486112</v>
      </c>
      <c r="AM158" s="10">
        <f>IFERROR(求节点(节奏总纲!T$4:T$363,AF$11:AF$370,$AC158),0)</f>
        <v>31570.77340180576</v>
      </c>
      <c r="AN158" s="10">
        <f>IFERROR(求节点(节奏总纲!U$4:U$363,AG$11:AG$370,$AC158),0)</f>
        <v>59864.235897717001</v>
      </c>
      <c r="AO158" s="10">
        <f>IFERROR(求节点(节奏总纲!V$4:V$363,AH$11:AH$370,$AC158),0)</f>
        <v>109598.16011825566</v>
      </c>
      <c r="AZ158" s="10">
        <v>148</v>
      </c>
      <c r="BA158" s="10">
        <f t="shared" si="61"/>
        <v>1541866.6666666667</v>
      </c>
      <c r="BB158" s="10">
        <f t="shared" si="62"/>
        <v>2312800</v>
      </c>
      <c r="BC158" s="10">
        <f t="shared" si="63"/>
        <v>3083733.3333333335</v>
      </c>
      <c r="BD158" s="10">
        <f t="shared" si="64"/>
        <v>3854666.6666666665</v>
      </c>
      <c r="BE158" s="10">
        <f t="shared" si="65"/>
        <v>4625600</v>
      </c>
      <c r="BG158" s="10">
        <v>148</v>
      </c>
      <c r="BH158" s="10">
        <f>MAX(节奏总纲!D151-$C$7,0)*C$22*$C$8*($AV$6+$AV$22)/30</f>
        <v>372337291.21234185</v>
      </c>
      <c r="BI158" s="10">
        <f>MAX(节奏总纲!E151-$C$7,0)*D$22*$C$8*($AV$6+$AV$22)/30</f>
        <v>471455010.85587031</v>
      </c>
      <c r="BJ158" s="10">
        <f>MAX(节奏总纲!F151-$C$7,0)*E$22*$C$8*($AV$6+$AV$22)/30</f>
        <v>499120525.3739928</v>
      </c>
      <c r="BK158" s="10">
        <f>MAX(节奏总纲!G151-$C$7,0)*F$22*$C$8*($AV$6+$AV$22)/30</f>
        <v>442195127.25147438</v>
      </c>
      <c r="BL158" s="10">
        <f>MAX(节奏总纲!H151-$C$7,0)*G$22*$C$8*($AV$6+$AV$22)/30</f>
        <v>282731901.11644077</v>
      </c>
      <c r="BX158" s="10">
        <v>148</v>
      </c>
      <c r="BY158" s="10">
        <f t="shared" si="72"/>
        <v>78666.666666666672</v>
      </c>
      <c r="BZ158" s="10">
        <f t="shared" si="72"/>
        <v>118000</v>
      </c>
      <c r="CA158" s="10">
        <f t="shared" si="72"/>
        <v>157333.33333333334</v>
      </c>
      <c r="CB158" s="10">
        <f t="shared" si="72"/>
        <v>295000</v>
      </c>
      <c r="CC158" s="10">
        <f t="shared" si="72"/>
        <v>983333.33333333337</v>
      </c>
      <c r="CE158" s="10">
        <v>148</v>
      </c>
      <c r="CF158" s="10">
        <f>MAX(节奏总纲!D151-$C$7,0)*INDEX($BU$7:$BU$15,MATCH(BY$10,$BT$7:$BT$15,0))/30</f>
        <v>18996800.572058253</v>
      </c>
      <c r="CG158" s="10">
        <f>MAX(节奏总纲!E151-$C$7,0)*INDEX($BU$7:$BU$15,MATCH(BZ$10,$BT$7:$BT$15,0))/30</f>
        <v>24053827.08448318</v>
      </c>
      <c r="CH158" s="10">
        <f>MAX(节奏总纲!F151-$C$7,0)*INDEX($BU$7:$BU$15,MATCH(CA$10,$BT$7:$BT$15,0))/30</f>
        <v>25465332.927244533</v>
      </c>
      <c r="CI158" s="10">
        <f>MAX(节奏总纲!G151-$C$7,0)*INDEX($BU$7:$BU$15,MATCH(CB$10,$BT$7:$BT$15,0))/30</f>
        <v>33841463.820265897</v>
      </c>
      <c r="CJ158" s="10">
        <f>MAX(节奏总纲!H151-$C$7,0)*INDEX($BU$7:$BU$15,MATCH(CC$10,$BT$7:$BT$15,0))/30</f>
        <v>60104570.815569885</v>
      </c>
    </row>
    <row r="159" spans="15:88" x14ac:dyDescent="0.15">
      <c r="O159" s="2">
        <v>148</v>
      </c>
      <c r="P159" s="2">
        <f t="shared" si="57"/>
        <v>2960</v>
      </c>
      <c r="AC159" s="2">
        <v>149</v>
      </c>
      <c r="AD159" s="2">
        <f t="shared" si="67"/>
        <v>0</v>
      </c>
      <c r="AE159" s="2">
        <f t="shared" si="68"/>
        <v>2776.6666666666665</v>
      </c>
      <c r="AF159" s="2">
        <f t="shared" si="69"/>
        <v>6941.666666666667</v>
      </c>
      <c r="AG159" s="2">
        <f t="shared" si="70"/>
        <v>13883.333333333334</v>
      </c>
      <c r="AH159" s="2">
        <f t="shared" si="71"/>
        <v>27766.666666666668</v>
      </c>
      <c r="AJ159" s="10">
        <v>149</v>
      </c>
      <c r="AK159" s="10">
        <f>IFERROR(求节点(节奏总纲!R$4:R$363,AD$11:AD$370,$AC159),0)</f>
        <v>0</v>
      </c>
      <c r="AL159" s="10">
        <f>IFERROR(求节点(节奏总纲!S$4:S$363,AE$11:AE$370,$AC159),0)</f>
        <v>13177.547021381288</v>
      </c>
      <c r="AM159" s="10">
        <f>IFERROR(求节点(节奏总纲!T$4:T$363,AF$11:AF$370,$AC159),0)</f>
        <v>31784.089438304447</v>
      </c>
      <c r="AN159" s="10">
        <f>IFERROR(求节点(节奏总纲!U$4:U$363,AG$11:AG$370,$AC159),0)</f>
        <v>60268.72397810698</v>
      </c>
      <c r="AO159" s="10">
        <f>IFERROR(求节点(节奏总纲!V$4:V$363,AH$11:AH$370,$AC159),0)</f>
        <v>110338.6882271628</v>
      </c>
      <c r="AZ159" s="10">
        <v>149</v>
      </c>
      <c r="BA159" s="10">
        <f t="shared" si="61"/>
        <v>1554933.3333333333</v>
      </c>
      <c r="BB159" s="10">
        <f t="shared" si="62"/>
        <v>2332400</v>
      </c>
      <c r="BC159" s="10">
        <f t="shared" si="63"/>
        <v>3109866.6666666665</v>
      </c>
      <c r="BD159" s="10">
        <f t="shared" si="64"/>
        <v>3887333.3333333335</v>
      </c>
      <c r="BE159" s="10">
        <f t="shared" si="65"/>
        <v>4664800</v>
      </c>
      <c r="BG159" s="10">
        <v>149</v>
      </c>
      <c r="BH159" s="10">
        <f>MAX(节奏总纲!D152-$C$7,0)*C$22*$C$8*($AV$6+$AV$22)/30</f>
        <v>399090300.87126076</v>
      </c>
      <c r="BI159" s="10">
        <f>MAX(节奏总纲!E152-$C$7,0)*D$22*$C$8*($AV$6+$AV$22)/30</f>
        <v>505456204.62866962</v>
      </c>
      <c r="BJ159" s="10">
        <f>MAX(节奏总纲!F152-$C$7,0)*E$22*$C$8*($AV$6+$AV$22)/30</f>
        <v>535481040.68958038</v>
      </c>
      <c r="BK159" s="10">
        <f>MAX(节奏总纲!G152-$C$7,0)*F$22*$C$8*($AV$6+$AV$22)/30</f>
        <v>474304067.46158242</v>
      </c>
      <c r="BL159" s="10">
        <f>MAX(节奏总纲!H152-$C$7,0)*G$22*$C$8*($AV$6+$AV$22)/30</f>
        <v>303349357.95416206</v>
      </c>
      <c r="BX159" s="10">
        <v>149</v>
      </c>
      <c r="BY159" s="10">
        <f t="shared" si="72"/>
        <v>79333.333333333328</v>
      </c>
      <c r="BZ159" s="10">
        <f t="shared" si="72"/>
        <v>119000</v>
      </c>
      <c r="CA159" s="10">
        <f t="shared" si="72"/>
        <v>158666.66666666666</v>
      </c>
      <c r="CB159" s="10">
        <f t="shared" si="72"/>
        <v>297500</v>
      </c>
      <c r="CC159" s="10">
        <f t="shared" si="72"/>
        <v>991666.66666666663</v>
      </c>
      <c r="CE159" s="10">
        <v>149</v>
      </c>
      <c r="CF159" s="10">
        <f>MAX(节奏总纲!D152-$C$7,0)*INDEX($BU$7:$BU$15,MATCH(BY$10,$BT$7:$BT$15,0))/30</f>
        <v>20361750.044452079</v>
      </c>
      <c r="CG159" s="10">
        <f>MAX(节奏总纲!E152-$C$7,0)*INDEX($BU$7:$BU$15,MATCH(BZ$10,$BT$7:$BT$15,0))/30</f>
        <v>25788581.868809674</v>
      </c>
      <c r="CH159" s="10">
        <f>MAX(节奏总纲!F152-$C$7,0)*INDEX($BU$7:$BU$15,MATCH(CA$10,$BT$7:$BT$15,0))/30</f>
        <v>27320461.25967247</v>
      </c>
      <c r="CI159" s="10">
        <f>MAX(节奏总纲!G152-$C$7,0)*INDEX($BU$7:$BU$15,MATCH(CB$10,$BT$7:$BT$15,0))/30</f>
        <v>36298780.673080295</v>
      </c>
      <c r="CJ159" s="10">
        <f>MAX(节奏总纲!H152-$C$7,0)*INDEX($BU$7:$BU$15,MATCH(CC$10,$BT$7:$BT$15,0))/30</f>
        <v>64487533.578690916</v>
      </c>
    </row>
    <row r="160" spans="15:88" x14ac:dyDescent="0.15">
      <c r="O160" s="2">
        <v>149</v>
      </c>
      <c r="P160" s="2">
        <f t="shared" si="57"/>
        <v>2980</v>
      </c>
      <c r="AC160" s="2">
        <v>150</v>
      </c>
      <c r="AD160" s="2">
        <f t="shared" si="67"/>
        <v>0</v>
      </c>
      <c r="AE160" s="2">
        <f t="shared" si="68"/>
        <v>2800</v>
      </c>
      <c r="AF160" s="2">
        <f t="shared" si="69"/>
        <v>7000</v>
      </c>
      <c r="AG160" s="2">
        <f t="shared" si="70"/>
        <v>14000</v>
      </c>
      <c r="AH160" s="2">
        <f t="shared" si="71"/>
        <v>28000</v>
      </c>
      <c r="AJ160" s="10">
        <v>150</v>
      </c>
      <c r="AK160" s="10">
        <f>IFERROR(求节点(节奏总纲!R$4:R$363,AD$11:AD$370,$AC160),0)</f>
        <v>0</v>
      </c>
      <c r="AL160" s="10">
        <f>IFERROR(求节点(节奏总纲!S$4:S$363,AE$11:AE$370,$AC160),0)</f>
        <v>13265.986934276465</v>
      </c>
      <c r="AM160" s="10">
        <f>IFERROR(求节点(节奏总纲!T$4:T$363,AF$11:AF$370,$AC160),0)</f>
        <v>31997.405474803134</v>
      </c>
      <c r="AN160" s="10">
        <f>IFERROR(求节点(节奏总纲!U$4:U$363,AG$11:AG$370,$AC160),0)</f>
        <v>60673.212058496967</v>
      </c>
      <c r="AO160" s="10">
        <f>IFERROR(求节点(节奏总纲!V$4:V$363,AH$11:AH$370,$AC160),0)</f>
        <v>111079.21633606992</v>
      </c>
      <c r="AZ160" s="10">
        <v>150</v>
      </c>
      <c r="BA160" s="10">
        <f t="shared" si="61"/>
        <v>1568000</v>
      </c>
      <c r="BB160" s="10">
        <f t="shared" si="62"/>
        <v>2352000</v>
      </c>
      <c r="BC160" s="10">
        <f t="shared" si="63"/>
        <v>3136000</v>
      </c>
      <c r="BD160" s="10">
        <f t="shared" si="64"/>
        <v>3920000</v>
      </c>
      <c r="BE160" s="10">
        <f t="shared" si="65"/>
        <v>4704000</v>
      </c>
      <c r="BG160" s="10">
        <v>150</v>
      </c>
      <c r="BH160" s="10">
        <f>MAX(节奏总纲!D153-$C$7,0)*C$22*$C$8*($AV$6+$AV$22)/30</f>
        <v>427763466.66666669</v>
      </c>
      <c r="BI160" s="10">
        <f>MAX(节奏总纲!E153-$C$7,0)*D$22*$C$8*($AV$6+$AV$22)/30</f>
        <v>541777937.39999998</v>
      </c>
      <c r="BJ160" s="10">
        <f>MAX(节奏总纲!F153-$C$7,0)*E$22*$C$8*($AV$6+$AV$22)/30</f>
        <v>574057529.54666662</v>
      </c>
      <c r="BK160" s="10">
        <f>MAX(节奏总纲!G153-$C$7,0)*F$22*$C$8*($AV$6+$AV$22)/30</f>
        <v>508739083.06666672</v>
      </c>
      <c r="BL160" s="10">
        <f>MAX(节奏总纲!H153-$C$7,0)*G$22*$C$8*($AV$6+$AV$22)/30</f>
        <v>326362932</v>
      </c>
      <c r="BX160" s="10">
        <v>150</v>
      </c>
      <c r="BY160" s="10">
        <f t="shared" si="72"/>
        <v>80000</v>
      </c>
      <c r="BZ160" s="10">
        <f t="shared" si="72"/>
        <v>120000</v>
      </c>
      <c r="CA160" s="10">
        <f t="shared" si="72"/>
        <v>160000</v>
      </c>
      <c r="CB160" s="10">
        <f t="shared" si="72"/>
        <v>300000</v>
      </c>
      <c r="CC160" s="10">
        <f t="shared" si="72"/>
        <v>1000000</v>
      </c>
      <c r="CE160" s="10">
        <v>150</v>
      </c>
      <c r="CF160" s="10">
        <f>MAX(节奏总纲!D153-$C$7,0)*INDEX($BU$7:$BU$15,MATCH(BY$10,$BT$7:$BT$15,0))/30</f>
        <v>21824666.666666668</v>
      </c>
      <c r="CG160" s="10">
        <f>MAX(节奏总纲!E153-$C$7,0)*INDEX($BU$7:$BU$15,MATCH(BZ$10,$BT$7:$BT$15,0))/30</f>
        <v>27641731.5</v>
      </c>
      <c r="CH160" s="10">
        <f>MAX(节奏总纲!F153-$C$7,0)*INDEX($BU$7:$BU$15,MATCH(CA$10,$BT$7:$BT$15,0))/30</f>
        <v>29288649.466666661</v>
      </c>
      <c r="CI160" s="10">
        <f>MAX(节奏总纲!G153-$C$7,0)*INDEX($BU$7:$BU$15,MATCH(CB$10,$BT$7:$BT$15,0))/30</f>
        <v>38934113.5</v>
      </c>
      <c r="CJ160" s="10">
        <f>MAX(节奏总纲!H153-$C$7,0)*INDEX($BU$7:$BU$15,MATCH(CC$10,$BT$7:$BT$15,0))/30</f>
        <v>69379875.000000015</v>
      </c>
    </row>
    <row r="161" spans="15:88" x14ac:dyDescent="0.15">
      <c r="O161" s="2">
        <v>150</v>
      </c>
      <c r="P161" s="2">
        <f t="shared" si="57"/>
        <v>3000</v>
      </c>
      <c r="AC161" s="2">
        <v>151</v>
      </c>
      <c r="AD161" s="2">
        <f t="shared" si="67"/>
        <v>0</v>
      </c>
      <c r="AE161" s="2">
        <f t="shared" si="68"/>
        <v>2823.3333333333335</v>
      </c>
      <c r="AF161" s="2">
        <f t="shared" si="69"/>
        <v>7058.333333333333</v>
      </c>
      <c r="AG161" s="2">
        <f t="shared" si="70"/>
        <v>14116.666666666666</v>
      </c>
      <c r="AH161" s="2">
        <f t="shared" si="71"/>
        <v>28233.333333333332</v>
      </c>
      <c r="AJ161" s="10">
        <v>151</v>
      </c>
      <c r="AK161" s="10">
        <f>IFERROR(求节点(节奏总纲!R$4:R$363,AD$11:AD$370,$AC161),0)</f>
        <v>0</v>
      </c>
      <c r="AL161" s="10">
        <f>IFERROR(求节点(节奏总纲!S$4:S$363,AE$11:AE$370,$AC161),0)</f>
        <v>13354.426847171642</v>
      </c>
      <c r="AM161" s="10">
        <f>IFERROR(求节点(节奏总纲!T$4:T$363,AF$11:AF$370,$AC161),0)</f>
        <v>32210.721511301821</v>
      </c>
      <c r="AN161" s="10">
        <f>IFERROR(求节点(节奏总纲!U$4:U$363,AG$11:AG$370,$AC161),0)</f>
        <v>61077.700138886939</v>
      </c>
      <c r="AO161" s="10">
        <f>IFERROR(求节点(节奏总纲!V$4:V$363,AH$11:AH$370,$AC161),0)</f>
        <v>111819.74444497706</v>
      </c>
      <c r="AZ161" s="10">
        <v>151</v>
      </c>
      <c r="BA161" s="10">
        <f t="shared" si="61"/>
        <v>1581066.6666666667</v>
      </c>
      <c r="BB161" s="10">
        <f t="shared" si="62"/>
        <v>2371600</v>
      </c>
      <c r="BC161" s="10">
        <f t="shared" si="63"/>
        <v>3162133.3333333335</v>
      </c>
      <c r="BD161" s="10">
        <f t="shared" si="64"/>
        <v>3952666.6666666665</v>
      </c>
      <c r="BE161" s="10">
        <f t="shared" si="65"/>
        <v>4743200</v>
      </c>
      <c r="BG161" s="10">
        <v>151</v>
      </c>
      <c r="BH161" s="10">
        <f>MAX(节奏总纲!D154-$C$7,0)*C$22*$C$8*($AV$6+$AV$22)/30</f>
        <v>458494604.8530857</v>
      </c>
      <c r="BI161" s="10">
        <f>MAX(节奏总纲!E154-$C$7,0)*D$22*$C$8*($AV$6+$AV$22)/30</f>
        <v>580981938.6605581</v>
      </c>
      <c r="BJ161" s="10">
        <f>MAX(节奏总纲!F154-$C$7,0)*E$22*$C$8*($AV$6+$AV$22)/30</f>
        <v>615776042.28060579</v>
      </c>
      <c r="BK161" s="10">
        <f>MAX(节奏总纲!G154-$C$7,0)*F$22*$C$8*($AV$6+$AV$22)/30</f>
        <v>547963101.05550373</v>
      </c>
      <c r="BL161" s="10">
        <f>MAX(节奏总纲!H154-$C$7,0)*G$22*$C$8*($AV$6+$AV$22)/30</f>
        <v>355378891.97084749</v>
      </c>
      <c r="BX161" s="10">
        <v>151</v>
      </c>
      <c r="BY161" s="10">
        <f t="shared" ref="BY161:CC170" si="73">MAX($BX161-$C$7,0)*INDEX($BU$7:$BU$15,MATCH(BY$10,$BT$7:$BT$15,0))/30</f>
        <v>80666.666666666672</v>
      </c>
      <c r="BZ161" s="10">
        <f t="shared" si="73"/>
        <v>121000</v>
      </c>
      <c r="CA161" s="10">
        <f t="shared" si="73"/>
        <v>161333.33333333334</v>
      </c>
      <c r="CB161" s="10">
        <f t="shared" si="73"/>
        <v>302500</v>
      </c>
      <c r="CC161" s="10">
        <f t="shared" si="73"/>
        <v>1008333.3333333334</v>
      </c>
      <c r="CE161" s="10">
        <v>151</v>
      </c>
      <c r="CF161" s="10">
        <f>MAX(节奏总纲!D154-$C$7,0)*INDEX($BU$7:$BU$15,MATCH(BY$10,$BT$7:$BT$15,0))/30</f>
        <v>23392581.880259473</v>
      </c>
      <c r="CG161" s="10">
        <f>MAX(节奏总纲!E154-$C$7,0)*INDEX($BU$7:$BU$15,MATCH(BZ$10,$BT$7:$BT$15,0))/30</f>
        <v>29641935.645946845</v>
      </c>
      <c r="CH161" s="10">
        <f>MAX(节奏总纲!F154-$C$7,0)*INDEX($BU$7:$BU$15,MATCH(CA$10,$BT$7:$BT$15,0))/30</f>
        <v>31417145.014316626</v>
      </c>
      <c r="CI161" s="10">
        <f>MAX(节奏总纲!G154-$C$7,0)*INDEX($BU$7:$BU$15,MATCH(CB$10,$BT$7:$BT$15,0))/30</f>
        <v>41935951.611390591</v>
      </c>
      <c r="CJ161" s="10">
        <f>MAX(节奏总纲!H154-$C$7,0)*INDEX($BU$7:$BU$15,MATCH(CC$10,$BT$7:$BT$15,0))/30</f>
        <v>75548233.837340042</v>
      </c>
    </row>
    <row r="162" spans="15:88" x14ac:dyDescent="0.15">
      <c r="O162" s="2">
        <v>151</v>
      </c>
      <c r="P162" s="2">
        <f t="shared" si="57"/>
        <v>3020</v>
      </c>
      <c r="AC162" s="2">
        <v>152</v>
      </c>
      <c r="AD162" s="2">
        <f t="shared" si="67"/>
        <v>0</v>
      </c>
      <c r="AE162" s="2">
        <f t="shared" si="68"/>
        <v>2846.6666666666665</v>
      </c>
      <c r="AF162" s="2">
        <f t="shared" si="69"/>
        <v>7116.666666666667</v>
      </c>
      <c r="AG162" s="2">
        <f t="shared" si="70"/>
        <v>14233.333333333334</v>
      </c>
      <c r="AH162" s="2">
        <f t="shared" si="71"/>
        <v>28466.666666666668</v>
      </c>
      <c r="AJ162" s="10">
        <v>152</v>
      </c>
      <c r="AK162" s="10">
        <f>IFERROR(求节点(节奏总纲!R$4:R$363,AD$11:AD$370,$AC162),0)</f>
        <v>0</v>
      </c>
      <c r="AL162" s="10">
        <f>IFERROR(求节点(节奏总纲!S$4:S$363,AE$11:AE$370,$AC162),0)</f>
        <v>13442.866760066818</v>
      </c>
      <c r="AM162" s="10">
        <f>IFERROR(求节点(节奏总纲!T$4:T$363,AF$11:AF$370,$AC162),0)</f>
        <v>32424.037547800508</v>
      </c>
      <c r="AN162" s="10">
        <f>IFERROR(求节点(节奏总纲!U$4:U$363,AG$11:AG$370,$AC162),0)</f>
        <v>61482.188219276926</v>
      </c>
      <c r="AO162" s="10">
        <f>IFERROR(求节点(节奏总纲!V$4:V$363,AH$11:AH$370,$AC162),0)</f>
        <v>112560.27255388419</v>
      </c>
      <c r="AZ162" s="10">
        <v>152</v>
      </c>
      <c r="BA162" s="10">
        <f t="shared" si="61"/>
        <v>1594133.3333333333</v>
      </c>
      <c r="BB162" s="10">
        <f t="shared" si="62"/>
        <v>2391200</v>
      </c>
      <c r="BC162" s="10">
        <f t="shared" si="63"/>
        <v>3188266.6666666665</v>
      </c>
      <c r="BD162" s="10">
        <f t="shared" si="64"/>
        <v>3985333.3333333335</v>
      </c>
      <c r="BE162" s="10">
        <f t="shared" si="65"/>
        <v>4782400</v>
      </c>
      <c r="BG162" s="10">
        <v>152</v>
      </c>
      <c r="BH162" s="10">
        <f>MAX(节奏总纲!D155-$C$7,0)*C$22*$C$8*($AV$6+$AV$22)/30</f>
        <v>491431423.23482615</v>
      </c>
      <c r="BI162" s="10">
        <f>MAX(节奏总纲!E155-$C$7,0)*D$22*$C$8*($AV$6+$AV$22)/30</f>
        <v>622576868.40968657</v>
      </c>
      <c r="BJ162" s="10">
        <f>MAX(节奏总纲!F155-$C$7,0)*E$22*$C$8*($AV$6+$AV$22)/30</f>
        <v>663669444.7902503</v>
      </c>
      <c r="BK162" s="10">
        <f>MAX(节奏总纲!G155-$C$7,0)*F$22*$C$8*($AV$6+$AV$22)/30</f>
        <v>595355900.67222679</v>
      </c>
      <c r="BL162" s="10">
        <f>MAX(节奏总纲!H155-$C$7,0)*G$22*$C$8*($AV$6+$AV$22)/30</f>
        <v>552125351.13917947</v>
      </c>
      <c r="BX162" s="10">
        <v>152</v>
      </c>
      <c r="BY162" s="10">
        <f t="shared" si="73"/>
        <v>81333.333333333328</v>
      </c>
      <c r="BZ162" s="10">
        <f t="shared" si="73"/>
        <v>122000</v>
      </c>
      <c r="CA162" s="10">
        <f t="shared" si="73"/>
        <v>162666.66666666666</v>
      </c>
      <c r="CB162" s="10">
        <f t="shared" si="73"/>
        <v>305000</v>
      </c>
      <c r="CC162" s="10">
        <f t="shared" si="73"/>
        <v>1016666.6666666666</v>
      </c>
      <c r="CE162" s="10">
        <v>152</v>
      </c>
      <c r="CF162" s="10">
        <f>MAX(节奏总纲!D155-$C$7,0)*INDEX($BU$7:$BU$15,MATCH(BY$10,$BT$7:$BT$15,0))/30</f>
        <v>25073031.797695216</v>
      </c>
      <c r="CG162" s="10">
        <f>MAX(节奏总纲!E155-$C$7,0)*INDEX($BU$7:$BU$15,MATCH(BZ$10,$BT$7:$BT$15,0))/30</f>
        <v>31764125.939269725</v>
      </c>
      <c r="CH162" s="10">
        <f>MAX(节奏总纲!F155-$C$7,0)*INDEX($BU$7:$BU$15,MATCH(CA$10,$BT$7:$BT$15,0))/30</f>
        <v>33860685.95868624</v>
      </c>
      <c r="CI162" s="10">
        <f>MAX(节奏总纲!G155-$C$7,0)*INDEX($BU$7:$BU$15,MATCH(CB$10,$BT$7:$BT$15,0))/30</f>
        <v>45562951.582058176</v>
      </c>
      <c r="CJ162" s="10">
        <f>MAX(节奏总纲!H155-$C$7,0)*INDEX($BU$7:$BU$15,MATCH(CC$10,$BT$7:$BT$15,0))/30</f>
        <v>117373586.55169633</v>
      </c>
    </row>
    <row r="163" spans="15:88" x14ac:dyDescent="0.15">
      <c r="O163" s="2">
        <v>152</v>
      </c>
      <c r="P163" s="2">
        <f t="shared" si="57"/>
        <v>3040</v>
      </c>
      <c r="AC163" s="2">
        <v>153</v>
      </c>
      <c r="AD163" s="2">
        <f t="shared" si="67"/>
        <v>0</v>
      </c>
      <c r="AE163" s="2">
        <f t="shared" si="68"/>
        <v>2870</v>
      </c>
      <c r="AF163" s="2">
        <f t="shared" si="69"/>
        <v>7175</v>
      </c>
      <c r="AG163" s="2">
        <f t="shared" si="70"/>
        <v>14350</v>
      </c>
      <c r="AH163" s="2">
        <f t="shared" si="71"/>
        <v>28700</v>
      </c>
      <c r="AJ163" s="10">
        <v>153</v>
      </c>
      <c r="AK163" s="10">
        <f>IFERROR(求节点(节奏总纲!R$4:R$363,AD$11:AD$370,$AC163),0)</f>
        <v>0</v>
      </c>
      <c r="AL163" s="10">
        <f>IFERROR(求节点(节奏总纲!S$4:S$363,AE$11:AE$370,$AC163),0)</f>
        <v>13531.306672961993</v>
      </c>
      <c r="AM163" s="10">
        <f>IFERROR(求节点(节奏总纲!T$4:T$363,AF$11:AF$370,$AC163),0)</f>
        <v>32637.353584299199</v>
      </c>
      <c r="AN163" s="10">
        <f>IFERROR(求节点(节奏总纲!U$4:U$363,AG$11:AG$370,$AC163),0)</f>
        <v>61886.676299666899</v>
      </c>
      <c r="AO163" s="10">
        <f>IFERROR(求节点(节奏总纲!V$4:V$363,AH$11:AH$370,$AC163),0)</f>
        <v>113300.80066279133</v>
      </c>
      <c r="AZ163" s="10">
        <v>153</v>
      </c>
      <c r="BA163" s="10">
        <f t="shared" si="61"/>
        <v>1607200</v>
      </c>
      <c r="BB163" s="10">
        <f t="shared" si="62"/>
        <v>2410800</v>
      </c>
      <c r="BC163" s="10">
        <f t="shared" si="63"/>
        <v>3214400</v>
      </c>
      <c r="BD163" s="10">
        <f t="shared" si="64"/>
        <v>4018000</v>
      </c>
      <c r="BE163" s="10">
        <f t="shared" si="65"/>
        <v>4821600</v>
      </c>
      <c r="BG163" s="10">
        <v>153</v>
      </c>
      <c r="BH163" s="10">
        <f>MAX(节奏总纲!D156-$C$7,0)*C$22*$C$8*($AV$6+$AV$22)/30</f>
        <v>526732231.11675346</v>
      </c>
      <c r="BI163" s="10">
        <f>MAX(节奏总纲!E156-$C$7,0)*D$22*$C$8*($AV$6+$AV$22)/30</f>
        <v>672286081.02053571</v>
      </c>
      <c r="BJ163" s="10">
        <f>MAX(节奏总纲!F156-$C$7,0)*E$22*$C$8*($AV$6+$AV$22)/30</f>
        <v>719267699.70548511</v>
      </c>
      <c r="BK163" s="10">
        <f>MAX(节奏总纲!G156-$C$7,0)*F$22*$C$8*($AV$6+$AV$22)/30</f>
        <v>789706346.67513013</v>
      </c>
      <c r="BL163" s="10">
        <f>MAX(节奏总纲!H156-$C$7,0)*G$22*$C$8*($AV$6+$AV$22)/30</f>
        <v>947647616.01015615</v>
      </c>
      <c r="BX163" s="10">
        <v>153</v>
      </c>
      <c r="BY163" s="10">
        <f t="shared" si="73"/>
        <v>82000</v>
      </c>
      <c r="BZ163" s="10">
        <f t="shared" si="73"/>
        <v>123000</v>
      </c>
      <c r="CA163" s="10">
        <f t="shared" si="73"/>
        <v>164000</v>
      </c>
      <c r="CB163" s="10">
        <f t="shared" si="73"/>
        <v>307500</v>
      </c>
      <c r="CC163" s="10">
        <f t="shared" si="73"/>
        <v>1025000</v>
      </c>
      <c r="CE163" s="10">
        <v>153</v>
      </c>
      <c r="CF163" s="10">
        <f>MAX(节奏总纲!D156-$C$7,0)*INDEX($BU$7:$BU$15,MATCH(BY$10,$BT$7:$BT$15,0))/30</f>
        <v>26874093.424324155</v>
      </c>
      <c r="CG163" s="10">
        <f>MAX(节奏总纲!E156-$C$7,0)*INDEX($BU$7:$BU$15,MATCH(BZ$10,$BT$7:$BT$15,0))/30</f>
        <v>34300310.256149784</v>
      </c>
      <c r="CH163" s="10">
        <f>MAX(节奏总纲!F156-$C$7,0)*INDEX($BU$7:$BU$15,MATCH(CA$10,$BT$7:$BT$15,0))/30</f>
        <v>36697331.617626794</v>
      </c>
      <c r="CI163" s="10">
        <f>MAX(节奏总纲!G156-$C$7,0)*INDEX($BU$7:$BU$15,MATCH(CB$10,$BT$7:$BT$15,0))/30</f>
        <v>60436710.204729341</v>
      </c>
      <c r="CJ163" s="10">
        <f>MAX(节奏总纲!H156-$C$7,0)*INDEX($BU$7:$BU$15,MATCH(CC$10,$BT$7:$BT$15,0))/30</f>
        <v>201455700.68243116</v>
      </c>
    </row>
    <row r="164" spans="15:88" x14ac:dyDescent="0.15">
      <c r="O164" s="2">
        <v>153</v>
      </c>
      <c r="P164" s="2">
        <f t="shared" si="57"/>
        <v>3060</v>
      </c>
      <c r="AC164" s="2">
        <v>154</v>
      </c>
      <c r="AD164" s="2">
        <f t="shared" si="67"/>
        <v>0</v>
      </c>
      <c r="AE164" s="2">
        <f t="shared" si="68"/>
        <v>2893.3333333333335</v>
      </c>
      <c r="AF164" s="2">
        <f t="shared" si="69"/>
        <v>7233.333333333333</v>
      </c>
      <c r="AG164" s="2">
        <f t="shared" si="70"/>
        <v>14466.666666666666</v>
      </c>
      <c r="AH164" s="2">
        <f t="shared" si="71"/>
        <v>28933.333333333332</v>
      </c>
      <c r="AJ164" s="10">
        <v>154</v>
      </c>
      <c r="AK164" s="10">
        <f>IFERROR(求节点(节奏总纲!R$4:R$363,AD$11:AD$370,$AC164),0)</f>
        <v>0</v>
      </c>
      <c r="AL164" s="10">
        <f>IFERROR(求节点(节奏总纲!S$4:S$363,AE$11:AE$370,$AC164),0)</f>
        <v>13619.74658585717</v>
      </c>
      <c r="AM164" s="10">
        <f>IFERROR(求节点(节奏总纲!T$4:T$363,AF$11:AF$370,$AC164),0)</f>
        <v>32850.669620797882</v>
      </c>
      <c r="AN164" s="10">
        <f>IFERROR(求节点(节奏总纲!U$4:U$363,AG$11:AG$370,$AC164),0)</f>
        <v>62291.164380056885</v>
      </c>
      <c r="AO164" s="10">
        <f>IFERROR(求节点(节奏总纲!V$4:V$363,AH$11:AH$370,$AC164),0)</f>
        <v>114041.32877169846</v>
      </c>
      <c r="AZ164" s="10">
        <v>154</v>
      </c>
      <c r="BA164" s="10">
        <f t="shared" si="61"/>
        <v>1620266.6666666667</v>
      </c>
      <c r="BB164" s="10">
        <f t="shared" si="62"/>
        <v>2430400</v>
      </c>
      <c r="BC164" s="10">
        <f t="shared" si="63"/>
        <v>3240533.3333333335</v>
      </c>
      <c r="BD164" s="10">
        <f t="shared" si="64"/>
        <v>4050666.6666666665</v>
      </c>
      <c r="BE164" s="10">
        <f t="shared" si="65"/>
        <v>4860800</v>
      </c>
      <c r="BG164" s="10">
        <v>154</v>
      </c>
      <c r="BH164" s="10">
        <f>MAX(节奏总纲!D157-$C$7,0)*C$22*$C$8*($AV$6+$AV$22)/30</f>
        <v>564566700.21069407</v>
      </c>
      <c r="BI164" s="10">
        <f>MAX(节奏总纲!E157-$C$7,0)*D$22*$C$8*($AV$6+$AV$22)/30</f>
        <v>723971533.02021539</v>
      </c>
      <c r="BJ164" s="10">
        <f>MAX(节奏总纲!F157-$C$7,0)*E$22*$C$8*($AV$6+$AV$22)/30</f>
        <v>886201159.3307898</v>
      </c>
      <c r="BK164" s="10">
        <f>MAX(节奏总纲!G157-$C$7,0)*F$22*$C$8*($AV$6+$AV$22)/30</f>
        <v>1114813432.916121</v>
      </c>
      <c r="BL164" s="10">
        <f>MAX(节奏总纲!H157-$C$7,0)*G$22*$C$8*($AV$6+$AV$22)/30</f>
        <v>1337776119.4993451</v>
      </c>
      <c r="BX164" s="10">
        <v>154</v>
      </c>
      <c r="BY164" s="10">
        <f t="shared" si="73"/>
        <v>82666.666666666672</v>
      </c>
      <c r="BZ164" s="10">
        <f t="shared" si="73"/>
        <v>124000</v>
      </c>
      <c r="CA164" s="10">
        <f t="shared" si="73"/>
        <v>165333.33333333334</v>
      </c>
      <c r="CB164" s="10">
        <f t="shared" si="73"/>
        <v>310000</v>
      </c>
      <c r="CC164" s="10">
        <f t="shared" si="73"/>
        <v>1033333.3333333334</v>
      </c>
      <c r="CE164" s="10">
        <v>154</v>
      </c>
      <c r="CF164" s="10">
        <f>MAX(节奏总纲!D157-$C$7,0)*INDEX($BU$7:$BU$15,MATCH(BY$10,$BT$7:$BT$15,0))/30</f>
        <v>28804423.480137456</v>
      </c>
      <c r="CG164" s="10">
        <f>MAX(节奏总纲!E157-$C$7,0)*INDEX($BU$7:$BU$15,MATCH(BZ$10,$BT$7:$BT$15,0))/30</f>
        <v>36937323.113276288</v>
      </c>
      <c r="CH164" s="10">
        <f>MAX(节奏总纲!F157-$C$7,0)*INDEX($BU$7:$BU$15,MATCH(CA$10,$BT$7:$BT$15,0))/30</f>
        <v>45214344.863815807</v>
      </c>
      <c r="CI164" s="10">
        <f>MAX(节奏总纲!G157-$C$7,0)*INDEX($BU$7:$BU$15,MATCH(CB$10,$BT$7:$BT$15,0))/30</f>
        <v>85317354.559907213</v>
      </c>
      <c r="CJ164" s="10">
        <f>MAX(节奏总纲!H157-$C$7,0)*INDEX($BU$7:$BU$15,MATCH(CC$10,$BT$7:$BT$15,0))/30</f>
        <v>284391181.86635739</v>
      </c>
    </row>
    <row r="165" spans="15:88" x14ac:dyDescent="0.15">
      <c r="O165" s="2">
        <v>154</v>
      </c>
      <c r="P165" s="2">
        <f t="shared" si="57"/>
        <v>3080</v>
      </c>
      <c r="AC165" s="2">
        <v>155</v>
      </c>
      <c r="AD165" s="2">
        <f t="shared" si="67"/>
        <v>0</v>
      </c>
      <c r="AE165" s="2">
        <f t="shared" si="68"/>
        <v>2916.6666666666665</v>
      </c>
      <c r="AF165" s="2">
        <f t="shared" si="69"/>
        <v>7291.666666666667</v>
      </c>
      <c r="AG165" s="2">
        <f t="shared" si="70"/>
        <v>14583.333333333334</v>
      </c>
      <c r="AH165" s="2">
        <f t="shared" si="71"/>
        <v>29166.666666666668</v>
      </c>
      <c r="AJ165" s="10">
        <v>155</v>
      </c>
      <c r="AK165" s="10">
        <f>IFERROR(求节点(节奏总纲!R$4:R$363,AD$11:AD$370,$AC165),0)</f>
        <v>0</v>
      </c>
      <c r="AL165" s="10">
        <f>IFERROR(求节点(节奏总纲!S$4:S$363,AE$11:AE$370,$AC165),0)</f>
        <v>13708.186498752348</v>
      </c>
      <c r="AM165" s="10">
        <f>IFERROR(求节点(节奏总纲!T$4:T$363,AF$11:AF$370,$AC165),0)</f>
        <v>33063.985657296573</v>
      </c>
      <c r="AN165" s="10">
        <f>IFERROR(求节点(节奏总纲!U$4:U$363,AG$11:AG$370,$AC165),0)</f>
        <v>62695.652460446858</v>
      </c>
      <c r="AO165" s="10">
        <f>IFERROR(求节点(节奏总纲!V$4:V$363,AH$11:AH$370,$AC165),0)</f>
        <v>114781.8568806056</v>
      </c>
      <c r="AZ165" s="10">
        <v>155</v>
      </c>
      <c r="BA165" s="10">
        <f t="shared" si="61"/>
        <v>1633333.3333333333</v>
      </c>
      <c r="BB165" s="10">
        <f t="shared" si="62"/>
        <v>2450000</v>
      </c>
      <c r="BC165" s="10">
        <f t="shared" si="63"/>
        <v>3266666.6666666665</v>
      </c>
      <c r="BD165" s="10">
        <f t="shared" si="64"/>
        <v>4083333.3333333335</v>
      </c>
      <c r="BE165" s="10">
        <f t="shared" si="65"/>
        <v>4900000</v>
      </c>
      <c r="BG165" s="10">
        <v>155</v>
      </c>
      <c r="BH165" s="10">
        <f>MAX(节奏总纲!D158-$C$7,0)*C$22*$C$8*($AV$6+$AV$22)/30</f>
        <v>605116680.15473032</v>
      </c>
      <c r="BI165" s="10">
        <f>MAX(节奏总纲!E158-$C$7,0)*D$22*$C$8*($AV$6+$AV$22)/30</f>
        <v>863351784.84476912</v>
      </c>
      <c r="BJ165" s="10">
        <f>MAX(节奏总纲!F158-$C$7,0)*E$22*$C$8*($AV$6+$AV$22)/30</f>
        <v>1159612834.6485252</v>
      </c>
      <c r="BK165" s="10">
        <f>MAX(节奏总纲!G158-$C$7,0)*F$22*$C$8*($AV$6+$AV$22)/30</f>
        <v>1449516043.3106565</v>
      </c>
      <c r="BL165" s="10">
        <f>MAX(节奏总纲!H158-$C$7,0)*G$22*$C$8*($AV$6+$AV$22)/30</f>
        <v>1744868830.0941806</v>
      </c>
      <c r="BX165" s="10">
        <v>155</v>
      </c>
      <c r="BY165" s="10">
        <f t="shared" si="73"/>
        <v>83333.333333333328</v>
      </c>
      <c r="BZ165" s="10">
        <f t="shared" si="73"/>
        <v>125000</v>
      </c>
      <c r="CA165" s="10">
        <f t="shared" si="73"/>
        <v>166666.66666666666</v>
      </c>
      <c r="CB165" s="10">
        <f t="shared" si="73"/>
        <v>312500</v>
      </c>
      <c r="CC165" s="10">
        <f t="shared" si="73"/>
        <v>1041666.6666666666</v>
      </c>
      <c r="CE165" s="10">
        <v>155</v>
      </c>
      <c r="CF165" s="10">
        <f>MAX(节奏总纲!D158-$C$7,0)*INDEX($BU$7:$BU$15,MATCH(BY$10,$BT$7:$BT$15,0))/30</f>
        <v>30873300.007894401</v>
      </c>
      <c r="CG165" s="10">
        <f>MAX(节奏总纲!E158-$C$7,0)*INDEX($BU$7:$BU$15,MATCH(BZ$10,$BT$7:$BT$15,0))/30</f>
        <v>44048560.451263741</v>
      </c>
      <c r="CH165" s="10">
        <f>MAX(节奏总纲!F158-$C$7,0)*INDEX($BU$7:$BU$15,MATCH(CA$10,$BT$7:$BT$15,0))/30</f>
        <v>59163920.135128833</v>
      </c>
      <c r="CI165" s="10">
        <f>MAX(节奏总纲!G158-$C$7,0)*INDEX($BU$7:$BU$15,MATCH(CB$10,$BT$7:$BT$15,0))/30</f>
        <v>110932350.25336656</v>
      </c>
      <c r="CJ165" s="10">
        <f>MAX(节奏总纲!H158-$C$7,0)*INDEX($BU$7:$BU$15,MATCH(CC$10,$BT$7:$BT$15,0))/30</f>
        <v>370932999.59485126</v>
      </c>
    </row>
    <row r="166" spans="15:88" x14ac:dyDescent="0.15">
      <c r="O166" s="2">
        <v>155</v>
      </c>
      <c r="P166" s="2">
        <f t="shared" si="57"/>
        <v>3100</v>
      </c>
      <c r="AC166" s="2">
        <v>156</v>
      </c>
      <c r="AD166" s="2">
        <f t="shared" si="67"/>
        <v>0</v>
      </c>
      <c r="AE166" s="2">
        <f t="shared" si="68"/>
        <v>2940</v>
      </c>
      <c r="AF166" s="2">
        <f t="shared" si="69"/>
        <v>7350</v>
      </c>
      <c r="AG166" s="2">
        <f t="shared" si="70"/>
        <v>14700</v>
      </c>
      <c r="AH166" s="2">
        <f t="shared" si="71"/>
        <v>29400</v>
      </c>
      <c r="AJ166" s="10">
        <v>156</v>
      </c>
      <c r="AK166" s="10">
        <f>IFERROR(求节点(节奏总纲!R$4:R$363,AD$11:AD$370,$AC166),0)</f>
        <v>0</v>
      </c>
      <c r="AL166" s="10">
        <f>IFERROR(求节点(节奏总纲!S$4:S$363,AE$11:AE$370,$AC166),0)</f>
        <v>13796.626411647525</v>
      </c>
      <c r="AM166" s="10">
        <f>IFERROR(求节点(节奏总纲!T$4:T$363,AF$11:AF$370,$AC166),0)</f>
        <v>33277.301693795263</v>
      </c>
      <c r="AN166" s="10">
        <f>IFERROR(求节点(节奏总纲!U$4:U$363,AG$11:AG$370,$AC166),0)</f>
        <v>63100.140540836845</v>
      </c>
      <c r="AO166" s="10">
        <f>IFERROR(求节点(节奏总纲!V$4:V$363,AH$11:AH$370,$AC166),0)</f>
        <v>115522.38498951274</v>
      </c>
      <c r="AZ166" s="10">
        <v>156</v>
      </c>
      <c r="BA166" s="10">
        <f t="shared" si="61"/>
        <v>1646400</v>
      </c>
      <c r="BB166" s="10">
        <f t="shared" si="62"/>
        <v>2469600</v>
      </c>
      <c r="BC166" s="10">
        <f t="shared" si="63"/>
        <v>3292800</v>
      </c>
      <c r="BD166" s="10">
        <f t="shared" si="64"/>
        <v>4116000</v>
      </c>
      <c r="BE166" s="10">
        <f t="shared" si="65"/>
        <v>4939200</v>
      </c>
      <c r="BG166" s="10">
        <v>156</v>
      </c>
      <c r="BH166" s="10">
        <f>MAX(节奏总纲!D159-$C$7,0)*C$22*$C$8*($AV$6+$AV$22)/30</f>
        <v>648577072.56512606</v>
      </c>
      <c r="BI166" s="10">
        <f>MAX(节奏总纲!E159-$C$7,0)*D$22*$C$8*($AV$6+$AV$22)/30</f>
        <v>972865608.84768903</v>
      </c>
      <c r="BJ166" s="10">
        <f>MAX(节奏总纲!F159-$C$7,0)*E$22*$C$8*($AV$6+$AV$22)/30</f>
        <v>1310133526.5815547</v>
      </c>
      <c r="BK166" s="10">
        <f>MAX(节奏总纲!G159-$C$7,0)*F$22*$C$8*($AV$6+$AV$22)/30</f>
        <v>1637666908.2269435</v>
      </c>
      <c r="BL166" s="10">
        <f>MAX(节奏总纲!H159-$C$7,0)*G$22*$C$8*($AV$6+$AV$22)/30</f>
        <v>1971041011.5254178</v>
      </c>
      <c r="BX166" s="10">
        <v>156</v>
      </c>
      <c r="BY166" s="10">
        <f t="shared" si="73"/>
        <v>84000</v>
      </c>
      <c r="BZ166" s="10">
        <f t="shared" si="73"/>
        <v>126000</v>
      </c>
      <c r="CA166" s="10">
        <f t="shared" si="73"/>
        <v>168000</v>
      </c>
      <c r="CB166" s="10">
        <f t="shared" si="73"/>
        <v>315000</v>
      </c>
      <c r="CC166" s="10">
        <f t="shared" si="73"/>
        <v>1050000</v>
      </c>
      <c r="CE166" s="10">
        <v>156</v>
      </c>
      <c r="CF166" s="10">
        <f>MAX(节奏总纲!D159-$C$7,0)*INDEX($BU$7:$BU$15,MATCH(BY$10,$BT$7:$BT$15,0))/30</f>
        <v>33090666.96760847</v>
      </c>
      <c r="CG166" s="10">
        <f>MAX(节奏总纲!E159-$C$7,0)*INDEX($BU$7:$BU$15,MATCH(BZ$10,$BT$7:$BT$15,0))/30</f>
        <v>49636000.451412708</v>
      </c>
      <c r="CH166" s="10">
        <f>MAX(节奏总纲!F159-$C$7,0)*INDEX($BU$7:$BU$15,MATCH(CA$10,$BT$7:$BT$15,0))/30</f>
        <v>66843547.274569109</v>
      </c>
      <c r="CI166" s="10">
        <f>MAX(节奏总纲!G159-$C$7,0)*INDEX($BU$7:$BU$15,MATCH(CB$10,$BT$7:$BT$15,0))/30</f>
        <v>125331651.13981707</v>
      </c>
      <c r="CJ166" s="10">
        <f>MAX(节奏总纲!H159-$C$7,0)*INDEX($BU$7:$BU$15,MATCH(CC$10,$BT$7:$BT$15,0))/30</f>
        <v>419013820.47734225</v>
      </c>
    </row>
    <row r="167" spans="15:88" x14ac:dyDescent="0.15">
      <c r="O167" s="2">
        <v>156</v>
      </c>
      <c r="P167" s="2">
        <f t="shared" si="57"/>
        <v>3120</v>
      </c>
      <c r="AC167" s="2">
        <v>157</v>
      </c>
      <c r="AD167" s="2">
        <f t="shared" si="67"/>
        <v>0</v>
      </c>
      <c r="AE167" s="2">
        <f t="shared" si="68"/>
        <v>2963.3333333333335</v>
      </c>
      <c r="AF167" s="2">
        <f t="shared" si="69"/>
        <v>7408.333333333333</v>
      </c>
      <c r="AG167" s="2">
        <f t="shared" si="70"/>
        <v>14816.666666666666</v>
      </c>
      <c r="AH167" s="2">
        <f t="shared" si="71"/>
        <v>29633.333333333332</v>
      </c>
      <c r="AJ167" s="10">
        <v>157</v>
      </c>
      <c r="AK167" s="10">
        <f>IFERROR(求节点(节奏总纲!R$4:R$363,AD$11:AD$370,$AC167),0)</f>
        <v>0</v>
      </c>
      <c r="AL167" s="10">
        <f>IFERROR(求节点(节奏总纲!S$4:S$363,AE$11:AE$370,$AC167),0)</f>
        <v>13885.0663245427</v>
      </c>
      <c r="AM167" s="10">
        <f>IFERROR(求节点(节奏总纲!T$4:T$363,AF$11:AF$370,$AC167),0)</f>
        <v>33490.617730293947</v>
      </c>
      <c r="AN167" s="10">
        <f>IFERROR(求节点(节奏总纲!U$4:U$363,AG$11:AG$370,$AC167),0)</f>
        <v>63504.628621226817</v>
      </c>
      <c r="AO167" s="10">
        <f>IFERROR(求节点(节奏总纲!V$4:V$363,AH$11:AH$370,$AC167),0)</f>
        <v>116262.91309841987</v>
      </c>
      <c r="AZ167" s="10">
        <v>157</v>
      </c>
      <c r="BA167" s="10">
        <f t="shared" si="61"/>
        <v>1659466.6666666667</v>
      </c>
      <c r="BB167" s="10">
        <f t="shared" si="62"/>
        <v>2489200</v>
      </c>
      <c r="BC167" s="10">
        <f t="shared" si="63"/>
        <v>3318933.3333333335</v>
      </c>
      <c r="BD167" s="10">
        <f t="shared" si="64"/>
        <v>4148666.6666666665</v>
      </c>
      <c r="BE167" s="10">
        <f t="shared" si="65"/>
        <v>4978400</v>
      </c>
      <c r="BG167" s="10">
        <v>157</v>
      </c>
      <c r="BH167" s="10">
        <f>MAX(节奏总纲!D160-$C$7,0)*C$22*$C$8*($AV$6+$AV$22)/30</f>
        <v>695156767.82200181</v>
      </c>
      <c r="BI167" s="10">
        <f>MAX(节奏总纲!E160-$C$7,0)*D$22*$C$8*($AV$6+$AV$22)/30</f>
        <v>1042735151.7330029</v>
      </c>
      <c r="BJ167" s="10">
        <f>MAX(节奏总纲!F160-$C$7,0)*E$22*$C$8*($AV$6+$AV$22)/30</f>
        <v>1404224511.0004437</v>
      </c>
      <c r="BK167" s="10">
        <f>MAX(节奏总纲!G160-$C$7,0)*F$22*$C$8*($AV$6+$AV$22)/30</f>
        <v>1755280638.7505546</v>
      </c>
      <c r="BL167" s="10">
        <f>MAX(节奏总纲!H160-$C$7,0)*G$22*$C$8*($AV$6+$AV$22)/30</f>
        <v>2106336766.5006654</v>
      </c>
      <c r="BX167" s="10">
        <v>157</v>
      </c>
      <c r="BY167" s="10">
        <f t="shared" si="73"/>
        <v>84666.666666666672</v>
      </c>
      <c r="BZ167" s="10">
        <f t="shared" si="73"/>
        <v>127000</v>
      </c>
      <c r="CA167" s="10">
        <f t="shared" si="73"/>
        <v>169333.33333333334</v>
      </c>
      <c r="CB167" s="10">
        <f t="shared" si="73"/>
        <v>317500</v>
      </c>
      <c r="CC167" s="10">
        <f t="shared" si="73"/>
        <v>1058333.3333333333</v>
      </c>
      <c r="CE167" s="10">
        <v>157</v>
      </c>
      <c r="CF167" s="10">
        <f>MAX(节奏总纲!D160-$C$7,0)*INDEX($BU$7:$BU$15,MATCH(BY$10,$BT$7:$BT$15,0))/30</f>
        <v>35467182.031734787</v>
      </c>
      <c r="CG167" s="10">
        <f>MAX(节奏总纲!E160-$C$7,0)*INDEX($BU$7:$BU$15,MATCH(BZ$10,$BT$7:$BT$15,0))/30</f>
        <v>53200773.047602184</v>
      </c>
      <c r="CH167" s="10">
        <f>MAX(节奏总纲!F160-$C$7,0)*INDEX($BU$7:$BU$15,MATCH(CA$10,$BT$7:$BT$15,0))/30</f>
        <v>71644107.704104275</v>
      </c>
      <c r="CI167" s="10">
        <f>MAX(节奏总纲!G160-$C$7,0)*INDEX($BU$7:$BU$15,MATCH(CB$10,$BT$7:$BT$15,0))/30</f>
        <v>134332701.94519553</v>
      </c>
      <c r="CJ167" s="10">
        <f>MAX(节奏总纲!H160-$C$7,0)*INDEX($BU$7:$BU$15,MATCH(CC$10,$BT$7:$BT$15,0))/30</f>
        <v>447775673.15065175</v>
      </c>
    </row>
    <row r="168" spans="15:88" x14ac:dyDescent="0.15">
      <c r="O168" s="2">
        <v>157</v>
      </c>
      <c r="P168" s="2">
        <f t="shared" si="57"/>
        <v>3140</v>
      </c>
      <c r="AC168" s="2">
        <v>158</v>
      </c>
      <c r="AD168" s="2">
        <f t="shared" si="67"/>
        <v>0</v>
      </c>
      <c r="AE168" s="2">
        <f t="shared" si="68"/>
        <v>2986.6666666666665</v>
      </c>
      <c r="AF168" s="2">
        <f t="shared" si="69"/>
        <v>7466.666666666667</v>
      </c>
      <c r="AG168" s="2">
        <f t="shared" si="70"/>
        <v>14933.333333333334</v>
      </c>
      <c r="AH168" s="2">
        <f t="shared" si="71"/>
        <v>29866.666666666668</v>
      </c>
      <c r="AJ168" s="10">
        <v>158</v>
      </c>
      <c r="AK168" s="10">
        <f>IFERROR(求节点(节奏总纲!R$4:R$363,AD$11:AD$370,$AC168),0)</f>
        <v>0</v>
      </c>
      <c r="AL168" s="10">
        <f>IFERROR(求节点(节奏总纲!S$4:S$363,AE$11:AE$370,$AC168),0)</f>
        <v>13973.506237437876</v>
      </c>
      <c r="AM168" s="10">
        <f>IFERROR(求节点(节奏总纲!T$4:T$363,AF$11:AF$370,$AC168),0)</f>
        <v>33703.93376679263</v>
      </c>
      <c r="AN168" s="10">
        <f>IFERROR(求节点(节奏总纲!U$4:U$363,AG$11:AG$370,$AC168),0)</f>
        <v>63909.116701616804</v>
      </c>
      <c r="AO168" s="10">
        <f>IFERROR(求节点(节奏总纲!V$4:V$363,AH$11:AH$370,$AC168),0)</f>
        <v>117003.44120732699</v>
      </c>
      <c r="AZ168" s="10">
        <v>158</v>
      </c>
      <c r="BA168" s="10">
        <f t="shared" si="61"/>
        <v>1672533.3333333333</v>
      </c>
      <c r="BB168" s="10">
        <f t="shared" si="62"/>
        <v>2508800</v>
      </c>
      <c r="BC168" s="10">
        <f t="shared" si="63"/>
        <v>3345066.6666666665</v>
      </c>
      <c r="BD168" s="10">
        <f t="shared" si="64"/>
        <v>4181333.3333333335</v>
      </c>
      <c r="BE168" s="10">
        <f t="shared" si="65"/>
        <v>5017600</v>
      </c>
      <c r="BG168" s="10">
        <v>158</v>
      </c>
      <c r="BH168" s="10">
        <f>MAX(节奏总纲!D161-$C$7,0)*C$22*$C$8*($AV$6+$AV$22)/30</f>
        <v>745079649.09135032</v>
      </c>
      <c r="BI168" s="10">
        <f>MAX(节奏总纲!E161-$C$7,0)*D$22*$C$8*($AV$6+$AV$22)/30</f>
        <v>1117619473.6370254</v>
      </c>
      <c r="BJ168" s="10">
        <f>MAX(节奏总纲!F161-$C$7,0)*E$22*$C$8*($AV$6+$AV$22)/30</f>
        <v>1505068731.1645277</v>
      </c>
      <c r="BK168" s="10">
        <f>MAX(节奏总纲!G161-$C$7,0)*F$22*$C$8*($AV$6+$AV$22)/30</f>
        <v>1881335913.9556596</v>
      </c>
      <c r="BL168" s="10">
        <f>MAX(节奏总纲!H161-$C$7,0)*G$22*$C$8*($AV$6+$AV$22)/30</f>
        <v>2257603096.7467914</v>
      </c>
      <c r="BX168" s="10">
        <v>158</v>
      </c>
      <c r="BY168" s="10">
        <f t="shared" si="73"/>
        <v>85333.333333333328</v>
      </c>
      <c r="BZ168" s="10">
        <f t="shared" si="73"/>
        <v>128000</v>
      </c>
      <c r="CA168" s="10">
        <f t="shared" si="73"/>
        <v>170666.66666666666</v>
      </c>
      <c r="CB168" s="10">
        <f t="shared" si="73"/>
        <v>320000</v>
      </c>
      <c r="CC168" s="10">
        <f t="shared" si="73"/>
        <v>1066666.6666666667</v>
      </c>
      <c r="CE168" s="10">
        <v>158</v>
      </c>
      <c r="CF168" s="10">
        <f>MAX(节奏总纲!D161-$C$7,0)*INDEX($BU$7:$BU$15,MATCH(BY$10,$BT$7:$BT$15,0))/30</f>
        <v>38014267.810783178</v>
      </c>
      <c r="CG168" s="10">
        <f>MAX(节奏总纲!E161-$C$7,0)*INDEX($BU$7:$BU$15,MATCH(BZ$10,$BT$7:$BT$15,0))/30</f>
        <v>57021401.716174766</v>
      </c>
      <c r="CH168" s="10">
        <f>MAX(节奏总纲!F161-$C$7,0)*INDEX($BU$7:$BU$15,MATCH(CA$10,$BT$7:$BT$15,0))/30</f>
        <v>76789220.977782026</v>
      </c>
      <c r="CI168" s="10">
        <f>MAX(节奏总纲!G161-$C$7,0)*INDEX($BU$7:$BU$15,MATCH(CB$10,$BT$7:$BT$15,0))/30</f>
        <v>143979789.33334127</v>
      </c>
      <c r="CJ168" s="10">
        <f>MAX(节奏总纲!H161-$C$7,0)*INDEX($BU$7:$BU$15,MATCH(CC$10,$BT$7:$BT$15,0))/30</f>
        <v>479932631.11113763</v>
      </c>
    </row>
    <row r="169" spans="15:88" x14ac:dyDescent="0.15">
      <c r="O169" s="2">
        <v>158</v>
      </c>
      <c r="P169" s="2">
        <f t="shared" si="57"/>
        <v>3160</v>
      </c>
      <c r="AC169" s="2">
        <v>159</v>
      </c>
      <c r="AD169" s="2">
        <f t="shared" si="67"/>
        <v>0</v>
      </c>
      <c r="AE169" s="2">
        <f t="shared" si="68"/>
        <v>3010</v>
      </c>
      <c r="AF169" s="2">
        <f t="shared" si="69"/>
        <v>7525</v>
      </c>
      <c r="AG169" s="2">
        <f t="shared" si="70"/>
        <v>15050</v>
      </c>
      <c r="AH169" s="2">
        <f t="shared" si="71"/>
        <v>30100</v>
      </c>
      <c r="AJ169" s="10">
        <v>159</v>
      </c>
      <c r="AK169" s="10">
        <f>IFERROR(求节点(节奏总纲!R$4:R$363,AD$11:AD$370,$AC169),0)</f>
        <v>0</v>
      </c>
      <c r="AL169" s="10">
        <f>IFERROR(求节点(节奏总纲!S$4:S$363,AE$11:AE$370,$AC169),0)</f>
        <v>14061.946150333053</v>
      </c>
      <c r="AM169" s="10">
        <f>IFERROR(求节点(节奏总纲!T$4:T$363,AF$11:AF$370,$AC169),0)</f>
        <v>33917.249803291321</v>
      </c>
      <c r="AN169" s="10">
        <f>IFERROR(求节点(节奏总纲!U$4:U$363,AG$11:AG$370,$AC169),0)</f>
        <v>64313.604782006776</v>
      </c>
      <c r="AO169" s="10">
        <f>IFERROR(求节点(节奏总纲!V$4:V$363,AH$11:AH$370,$AC169),0)</f>
        <v>117743.96931623413</v>
      </c>
      <c r="AZ169" s="10">
        <v>159</v>
      </c>
      <c r="BA169" s="10">
        <f t="shared" si="61"/>
        <v>1685600</v>
      </c>
      <c r="BB169" s="10">
        <f t="shared" si="62"/>
        <v>2528400</v>
      </c>
      <c r="BC169" s="10">
        <f t="shared" si="63"/>
        <v>3371200</v>
      </c>
      <c r="BD169" s="10">
        <f t="shared" si="64"/>
        <v>4214000</v>
      </c>
      <c r="BE169" s="10">
        <f t="shared" si="65"/>
        <v>5056800</v>
      </c>
      <c r="BG169" s="10">
        <v>159</v>
      </c>
      <c r="BH169" s="10">
        <f>MAX(节奏总纲!D162-$C$7,0)*C$22*$C$8*($AV$6+$AV$22)/30</f>
        <v>798585668.40918815</v>
      </c>
      <c r="BI169" s="10">
        <f>MAX(节奏总纲!E162-$C$7,0)*D$22*$C$8*($AV$6+$AV$22)/30</f>
        <v>1197878502.6137822</v>
      </c>
      <c r="BJ169" s="10">
        <f>MAX(节奏总纲!F162-$C$7,0)*E$22*$C$8*($AV$6+$AV$22)/30</f>
        <v>1613150890.1865602</v>
      </c>
      <c r="BK169" s="10">
        <f>MAX(节奏总纲!G162-$C$7,0)*F$22*$C$8*($AV$6+$AV$22)/30</f>
        <v>2016438612.7332001</v>
      </c>
      <c r="BL169" s="10">
        <f>MAX(节奏总纲!H162-$C$7,0)*G$22*$C$8*($AV$6+$AV$22)/30</f>
        <v>2419726335.27984</v>
      </c>
      <c r="BX169" s="10">
        <v>159</v>
      </c>
      <c r="BY169" s="10">
        <f t="shared" si="73"/>
        <v>86000</v>
      </c>
      <c r="BZ169" s="10">
        <f t="shared" si="73"/>
        <v>129000</v>
      </c>
      <c r="CA169" s="10">
        <f t="shared" si="73"/>
        <v>172000</v>
      </c>
      <c r="CB169" s="10">
        <f t="shared" si="73"/>
        <v>322500</v>
      </c>
      <c r="CC169" s="10">
        <f t="shared" si="73"/>
        <v>1075000</v>
      </c>
      <c r="CE169" s="10">
        <v>159</v>
      </c>
      <c r="CF169" s="10">
        <f>MAX(节奏总纲!D162-$C$7,0)*INDEX($BU$7:$BU$15,MATCH(BY$10,$BT$7:$BT$15,0))/30</f>
        <v>40744166.755570821</v>
      </c>
      <c r="CG169" s="10">
        <f>MAX(节奏总纲!E162-$C$7,0)*INDEX($BU$7:$BU$15,MATCH(BZ$10,$BT$7:$BT$15,0))/30</f>
        <v>61116250.133356236</v>
      </c>
      <c r="CH169" s="10">
        <f>MAX(节奏总纲!F162-$C$7,0)*INDEX($BU$7:$BU$15,MATCH(CA$10,$BT$7:$BT$15,0))/30</f>
        <v>82303616.846253067</v>
      </c>
      <c r="CI169" s="10">
        <f>MAX(节奏总纲!G162-$C$7,0)*INDEX($BU$7:$BU$15,MATCH(CB$10,$BT$7:$BT$15,0))/30</f>
        <v>154319281.58672449</v>
      </c>
      <c r="CJ169" s="10">
        <f>MAX(节奏总纲!H162-$C$7,0)*INDEX($BU$7:$BU$15,MATCH(CC$10,$BT$7:$BT$15,0))/30</f>
        <v>514397605.28908169</v>
      </c>
    </row>
    <row r="170" spans="15:88" x14ac:dyDescent="0.15">
      <c r="O170" s="2">
        <v>159</v>
      </c>
      <c r="P170" s="2">
        <f t="shared" si="57"/>
        <v>3180</v>
      </c>
      <c r="AC170" s="2">
        <v>160</v>
      </c>
      <c r="AD170" s="2">
        <f t="shared" si="67"/>
        <v>0</v>
      </c>
      <c r="AE170" s="2">
        <f t="shared" si="68"/>
        <v>3033.3333333333335</v>
      </c>
      <c r="AF170" s="2">
        <f t="shared" si="69"/>
        <v>7583.333333333333</v>
      </c>
      <c r="AG170" s="2">
        <f t="shared" si="70"/>
        <v>15166.666666666666</v>
      </c>
      <c r="AH170" s="2">
        <f t="shared" si="71"/>
        <v>30333.333333333332</v>
      </c>
      <c r="AJ170" s="10">
        <v>160</v>
      </c>
      <c r="AK170" s="10">
        <f>IFERROR(求节点(节奏总纲!R$4:R$363,AD$11:AD$370,$AC170),0)</f>
        <v>0</v>
      </c>
      <c r="AL170" s="10">
        <f>IFERROR(求节点(节奏总纲!S$4:S$363,AE$11:AE$370,$AC170),0)</f>
        <v>14150.38606322823</v>
      </c>
      <c r="AM170" s="10">
        <f>IFERROR(求节点(节奏总纲!T$4:T$363,AF$11:AF$370,$AC170),0)</f>
        <v>34130.565839790012</v>
      </c>
      <c r="AN170" s="10">
        <f>IFERROR(求节点(节奏总纲!U$4:U$363,AG$11:AG$370,$AC170),0)</f>
        <v>64718.092862396763</v>
      </c>
      <c r="AO170" s="10">
        <f>IFERROR(求节点(节奏总纲!V$4:V$363,AH$11:AH$370,$AC170),0)</f>
        <v>118484.49742514125</v>
      </c>
      <c r="AZ170" s="10">
        <v>160</v>
      </c>
      <c r="BA170" s="10">
        <f t="shared" si="61"/>
        <v>1698666.6666666667</v>
      </c>
      <c r="BB170" s="10">
        <f t="shared" si="62"/>
        <v>2548000</v>
      </c>
      <c r="BC170" s="10">
        <f t="shared" si="63"/>
        <v>3397333.3333333335</v>
      </c>
      <c r="BD170" s="10">
        <f t="shared" si="64"/>
        <v>4246666.666666667</v>
      </c>
      <c r="BE170" s="10">
        <f t="shared" si="65"/>
        <v>5096000</v>
      </c>
      <c r="BG170" s="10">
        <v>160</v>
      </c>
      <c r="BH170" s="10">
        <f>MAX(节奏总纲!D163-$C$7,0)*C$22*$C$8*($AV$6+$AV$22)/30</f>
        <v>855932000</v>
      </c>
      <c r="BI170" s="10">
        <f>MAX(节奏总纲!E163-$C$7,0)*D$22*$C$8*($AV$6+$AV$22)/30</f>
        <v>1283898000</v>
      </c>
      <c r="BJ170" s="10">
        <f>MAX(节奏总纲!F163-$C$7,0)*E$22*$C$8*($AV$6+$AV$22)/30</f>
        <v>1728990480</v>
      </c>
      <c r="BK170" s="10">
        <f>MAX(节奏总纲!G163-$C$7,0)*F$22*$C$8*($AV$6+$AV$22)/30</f>
        <v>2161238100.0000005</v>
      </c>
      <c r="BL170" s="10">
        <f>MAX(节奏总纲!H163-$C$7,0)*G$22*$C$8*($AV$6+$AV$22)/30</f>
        <v>2593485720.0000005</v>
      </c>
      <c r="BX170" s="10">
        <v>160</v>
      </c>
      <c r="BY170" s="10">
        <f t="shared" si="73"/>
        <v>86666.666666666672</v>
      </c>
      <c r="BZ170" s="10">
        <f t="shared" si="73"/>
        <v>130000</v>
      </c>
      <c r="CA170" s="10">
        <f t="shared" si="73"/>
        <v>173333.33333333334</v>
      </c>
      <c r="CB170" s="10">
        <f t="shared" si="73"/>
        <v>325000</v>
      </c>
      <c r="CC170" s="10">
        <f t="shared" si="73"/>
        <v>1083333.3333333333</v>
      </c>
      <c r="CE170" s="10">
        <v>160</v>
      </c>
      <c r="CF170" s="10">
        <f>MAX(节奏总纲!D163-$C$7,0)*INDEX($BU$7:$BU$15,MATCH(BY$10,$BT$7:$BT$15,0))/30</f>
        <v>43670000</v>
      </c>
      <c r="CG170" s="10">
        <f>MAX(节奏总纲!E163-$C$7,0)*INDEX($BU$7:$BU$15,MATCH(BZ$10,$BT$7:$BT$15,0))/30</f>
        <v>65505000</v>
      </c>
      <c r="CH170" s="10">
        <f>MAX(节奏总纲!F163-$C$7,0)*INDEX($BU$7:$BU$15,MATCH(CA$10,$BT$7:$BT$15,0))/30</f>
        <v>88213800</v>
      </c>
      <c r="CI170" s="10">
        <f>MAX(节奏总纲!G163-$C$7,0)*INDEX($BU$7:$BU$15,MATCH(CB$10,$BT$7:$BT$15,0))/30</f>
        <v>165400875</v>
      </c>
      <c r="CJ170" s="10">
        <f>MAX(节奏总纲!H163-$C$7,0)*INDEX($BU$7:$BU$15,MATCH(CC$10,$BT$7:$BT$15,0))/30</f>
        <v>551336250.00000012</v>
      </c>
    </row>
    <row r="171" spans="15:88" x14ac:dyDescent="0.15">
      <c r="O171" s="2">
        <v>160</v>
      </c>
      <c r="P171" s="2">
        <f t="shared" si="57"/>
        <v>3200</v>
      </c>
      <c r="AC171" s="2">
        <v>161</v>
      </c>
      <c r="AD171" s="2">
        <f t="shared" si="67"/>
        <v>0</v>
      </c>
      <c r="AE171" s="2">
        <f t="shared" si="68"/>
        <v>3056.6666666666665</v>
      </c>
      <c r="AF171" s="2">
        <f t="shared" si="69"/>
        <v>7641.666666666667</v>
      </c>
      <c r="AG171" s="2">
        <f t="shared" si="70"/>
        <v>15283.333333333334</v>
      </c>
      <c r="AH171" s="2">
        <f t="shared" si="71"/>
        <v>30566.666666666668</v>
      </c>
      <c r="AZ171" s="10">
        <v>161</v>
      </c>
      <c r="BA171" s="10">
        <f t="shared" si="61"/>
        <v>1711733.3333333333</v>
      </c>
      <c r="BB171" s="10">
        <f t="shared" si="62"/>
        <v>2567600</v>
      </c>
      <c r="BC171" s="10">
        <f t="shared" si="63"/>
        <v>3423466.6666666665</v>
      </c>
      <c r="BD171" s="10">
        <f t="shared" si="64"/>
        <v>4279333.333333333</v>
      </c>
      <c r="BE171" s="10">
        <f t="shared" si="65"/>
        <v>5135200</v>
      </c>
      <c r="BX171" s="10">
        <v>161</v>
      </c>
      <c r="BY171" s="10">
        <f t="shared" ref="BY171:CC180" si="74">MAX($BX171-$C$7,0)*INDEX($BU$7:$BU$15,MATCH(BY$10,$BT$7:$BT$15,0))/30</f>
        <v>87333.333333333328</v>
      </c>
      <c r="BZ171" s="10">
        <f t="shared" si="74"/>
        <v>131000</v>
      </c>
      <c r="CA171" s="10">
        <f t="shared" si="74"/>
        <v>174666.66666666666</v>
      </c>
      <c r="CB171" s="10">
        <f t="shared" si="74"/>
        <v>327500</v>
      </c>
      <c r="CC171" s="10">
        <f t="shared" si="74"/>
        <v>1091666.6666666667</v>
      </c>
    </row>
    <row r="172" spans="15:88" x14ac:dyDescent="0.15">
      <c r="O172" s="2">
        <v>161</v>
      </c>
      <c r="P172" s="2">
        <f t="shared" si="57"/>
        <v>3220</v>
      </c>
      <c r="AC172" s="2">
        <v>162</v>
      </c>
      <c r="AD172" s="2">
        <f t="shared" si="67"/>
        <v>0</v>
      </c>
      <c r="AE172" s="2">
        <f t="shared" si="68"/>
        <v>3080</v>
      </c>
      <c r="AF172" s="2">
        <f t="shared" si="69"/>
        <v>7700</v>
      </c>
      <c r="AG172" s="2">
        <f t="shared" si="70"/>
        <v>15400</v>
      </c>
      <c r="AH172" s="2">
        <f t="shared" si="71"/>
        <v>30800</v>
      </c>
      <c r="AZ172" s="10">
        <v>162</v>
      </c>
      <c r="BA172" s="10">
        <f t="shared" si="61"/>
        <v>1724800</v>
      </c>
      <c r="BB172" s="10">
        <f t="shared" si="62"/>
        <v>2587200</v>
      </c>
      <c r="BC172" s="10">
        <f t="shared" si="63"/>
        <v>3449600</v>
      </c>
      <c r="BD172" s="10">
        <f t="shared" si="64"/>
        <v>4312000</v>
      </c>
      <c r="BE172" s="10">
        <f t="shared" si="65"/>
        <v>5174400</v>
      </c>
      <c r="BX172" s="10">
        <v>162</v>
      </c>
      <c r="BY172" s="10">
        <f t="shared" si="74"/>
        <v>88000</v>
      </c>
      <c r="BZ172" s="10">
        <f t="shared" si="74"/>
        <v>132000</v>
      </c>
      <c r="CA172" s="10">
        <f t="shared" si="74"/>
        <v>176000</v>
      </c>
      <c r="CB172" s="10">
        <f t="shared" si="74"/>
        <v>330000</v>
      </c>
      <c r="CC172" s="10">
        <f t="shared" si="74"/>
        <v>1100000</v>
      </c>
    </row>
    <row r="173" spans="15:88" x14ac:dyDescent="0.15">
      <c r="O173" s="2">
        <v>162</v>
      </c>
      <c r="P173" s="2">
        <f t="shared" si="57"/>
        <v>3240</v>
      </c>
      <c r="AC173" s="2">
        <v>163</v>
      </c>
      <c r="AD173" s="2">
        <f t="shared" si="67"/>
        <v>0</v>
      </c>
      <c r="AE173" s="2">
        <f t="shared" si="68"/>
        <v>3103.3333333333335</v>
      </c>
      <c r="AF173" s="2">
        <f t="shared" si="69"/>
        <v>7758.333333333333</v>
      </c>
      <c r="AG173" s="2">
        <f t="shared" si="70"/>
        <v>15516.666666666666</v>
      </c>
      <c r="AH173" s="2">
        <f t="shared" si="71"/>
        <v>31033.333333333332</v>
      </c>
      <c r="AZ173" s="10">
        <v>163</v>
      </c>
      <c r="BA173" s="10">
        <f t="shared" si="61"/>
        <v>1737866.6666666667</v>
      </c>
      <c r="BB173" s="10">
        <f t="shared" si="62"/>
        <v>2606800</v>
      </c>
      <c r="BC173" s="10">
        <f t="shared" si="63"/>
        <v>3475733.3333333335</v>
      </c>
      <c r="BD173" s="10">
        <f t="shared" si="64"/>
        <v>4344666.666666667</v>
      </c>
      <c r="BE173" s="10">
        <f t="shared" si="65"/>
        <v>5213600</v>
      </c>
      <c r="BX173" s="10">
        <v>163</v>
      </c>
      <c r="BY173" s="10">
        <f t="shared" si="74"/>
        <v>88666.666666666672</v>
      </c>
      <c r="BZ173" s="10">
        <f t="shared" si="74"/>
        <v>133000</v>
      </c>
      <c r="CA173" s="10">
        <f t="shared" si="74"/>
        <v>177333.33333333334</v>
      </c>
      <c r="CB173" s="10">
        <f t="shared" si="74"/>
        <v>332500</v>
      </c>
      <c r="CC173" s="10">
        <f t="shared" si="74"/>
        <v>1108333.3333333333</v>
      </c>
    </row>
    <row r="174" spans="15:88" x14ac:dyDescent="0.15">
      <c r="O174" s="2">
        <v>163</v>
      </c>
      <c r="P174" s="2">
        <f t="shared" si="57"/>
        <v>3260</v>
      </c>
      <c r="AC174" s="2">
        <v>164</v>
      </c>
      <c r="AD174" s="2">
        <f t="shared" si="67"/>
        <v>0</v>
      </c>
      <c r="AE174" s="2">
        <f t="shared" si="68"/>
        <v>3126.6666666666665</v>
      </c>
      <c r="AF174" s="2">
        <f t="shared" si="69"/>
        <v>7816.666666666667</v>
      </c>
      <c r="AG174" s="2">
        <f t="shared" si="70"/>
        <v>15633.333333333334</v>
      </c>
      <c r="AH174" s="2">
        <f t="shared" si="71"/>
        <v>31266.666666666668</v>
      </c>
      <c r="AZ174" s="10">
        <v>164</v>
      </c>
      <c r="BA174" s="10">
        <f t="shared" si="61"/>
        <v>1750933.3333333333</v>
      </c>
      <c r="BB174" s="10">
        <f t="shared" si="62"/>
        <v>2626400</v>
      </c>
      <c r="BC174" s="10">
        <f t="shared" si="63"/>
        <v>3501866.6666666665</v>
      </c>
      <c r="BD174" s="10">
        <f t="shared" si="64"/>
        <v>4377333.333333333</v>
      </c>
      <c r="BE174" s="10">
        <f t="shared" si="65"/>
        <v>5252800</v>
      </c>
      <c r="BX174" s="10">
        <v>164</v>
      </c>
      <c r="BY174" s="10">
        <f t="shared" si="74"/>
        <v>89333.333333333328</v>
      </c>
      <c r="BZ174" s="10">
        <f t="shared" si="74"/>
        <v>134000</v>
      </c>
      <c r="CA174" s="10">
        <f t="shared" si="74"/>
        <v>178666.66666666666</v>
      </c>
      <c r="CB174" s="10">
        <f t="shared" si="74"/>
        <v>335000</v>
      </c>
      <c r="CC174" s="10">
        <f t="shared" si="74"/>
        <v>1116666.6666666667</v>
      </c>
    </row>
    <row r="175" spans="15:88" x14ac:dyDescent="0.15">
      <c r="O175" s="2">
        <v>164</v>
      </c>
      <c r="P175" s="2">
        <f t="shared" ref="P175:P221" si="75">P174+INDEX($L$11:$L$32,MATCH(P174,$J$11:$J$32,1))</f>
        <v>3280</v>
      </c>
      <c r="AC175" s="2">
        <v>165</v>
      </c>
      <c r="AD175" s="2">
        <f t="shared" si="67"/>
        <v>0</v>
      </c>
      <c r="AE175" s="2">
        <f t="shared" si="68"/>
        <v>3150</v>
      </c>
      <c r="AF175" s="2">
        <f t="shared" si="69"/>
        <v>7875</v>
      </c>
      <c r="AG175" s="2">
        <f t="shared" si="70"/>
        <v>15750</v>
      </c>
      <c r="AH175" s="2">
        <f t="shared" si="71"/>
        <v>31500</v>
      </c>
      <c r="AZ175" s="10">
        <v>165</v>
      </c>
      <c r="BA175" s="10">
        <f t="shared" si="61"/>
        <v>1764000</v>
      </c>
      <c r="BB175" s="10">
        <f t="shared" si="62"/>
        <v>2646000</v>
      </c>
      <c r="BC175" s="10">
        <f t="shared" si="63"/>
        <v>3528000</v>
      </c>
      <c r="BD175" s="10">
        <f t="shared" si="64"/>
        <v>4410000</v>
      </c>
      <c r="BE175" s="10">
        <f t="shared" si="65"/>
        <v>5292000</v>
      </c>
      <c r="BX175" s="10">
        <v>165</v>
      </c>
      <c r="BY175" s="10">
        <f t="shared" si="74"/>
        <v>90000</v>
      </c>
      <c r="BZ175" s="10">
        <f t="shared" si="74"/>
        <v>135000</v>
      </c>
      <c r="CA175" s="10">
        <f t="shared" si="74"/>
        <v>180000</v>
      </c>
      <c r="CB175" s="10">
        <f t="shared" si="74"/>
        <v>337500</v>
      </c>
      <c r="CC175" s="10">
        <f t="shared" si="74"/>
        <v>1125000</v>
      </c>
    </row>
    <row r="176" spans="15:88" x14ac:dyDescent="0.15">
      <c r="O176" s="2">
        <v>165</v>
      </c>
      <c r="P176" s="2">
        <f t="shared" si="75"/>
        <v>3300</v>
      </c>
      <c r="AC176" s="2">
        <v>166</v>
      </c>
      <c r="AD176" s="2">
        <f t="shared" si="67"/>
        <v>0</v>
      </c>
      <c r="AE176" s="2">
        <f t="shared" si="68"/>
        <v>3173.3333333333335</v>
      </c>
      <c r="AF176" s="2">
        <f t="shared" si="69"/>
        <v>7933.333333333333</v>
      </c>
      <c r="AG176" s="2">
        <f t="shared" si="70"/>
        <v>15866.666666666666</v>
      </c>
      <c r="AH176" s="2">
        <f t="shared" si="71"/>
        <v>31733.333333333332</v>
      </c>
      <c r="AZ176" s="10">
        <v>166</v>
      </c>
      <c r="BA176" s="10">
        <f t="shared" si="61"/>
        <v>1777066.6666666667</v>
      </c>
      <c r="BB176" s="10">
        <f t="shared" si="62"/>
        <v>2665600</v>
      </c>
      <c r="BC176" s="10">
        <f t="shared" si="63"/>
        <v>3554133.3333333335</v>
      </c>
      <c r="BD176" s="10">
        <f t="shared" si="64"/>
        <v>4442666.666666667</v>
      </c>
      <c r="BE176" s="10">
        <f t="shared" si="65"/>
        <v>5331200</v>
      </c>
      <c r="BX176" s="10">
        <v>166</v>
      </c>
      <c r="BY176" s="10">
        <f t="shared" si="74"/>
        <v>90666.666666666672</v>
      </c>
      <c r="BZ176" s="10">
        <f t="shared" si="74"/>
        <v>136000</v>
      </c>
      <c r="CA176" s="10">
        <f t="shared" si="74"/>
        <v>181333.33333333334</v>
      </c>
      <c r="CB176" s="10">
        <f t="shared" si="74"/>
        <v>340000</v>
      </c>
      <c r="CC176" s="10">
        <f t="shared" si="74"/>
        <v>1133333.3333333333</v>
      </c>
    </row>
    <row r="177" spans="15:81" x14ac:dyDescent="0.15">
      <c r="O177" s="2">
        <v>166</v>
      </c>
      <c r="P177" s="2">
        <f t="shared" si="75"/>
        <v>3320</v>
      </c>
      <c r="AC177" s="2">
        <v>167</v>
      </c>
      <c r="AD177" s="2">
        <f t="shared" si="67"/>
        <v>0</v>
      </c>
      <c r="AE177" s="2">
        <f t="shared" si="68"/>
        <v>3196.6666666666665</v>
      </c>
      <c r="AF177" s="2">
        <f t="shared" si="69"/>
        <v>7991.666666666667</v>
      </c>
      <c r="AG177" s="2">
        <f t="shared" si="70"/>
        <v>15983.333333333334</v>
      </c>
      <c r="AH177" s="2">
        <f t="shared" si="71"/>
        <v>31966.666666666668</v>
      </c>
      <c r="AZ177" s="10">
        <v>167</v>
      </c>
      <c r="BA177" s="10">
        <f t="shared" si="61"/>
        <v>1790133.3333333333</v>
      </c>
      <c r="BB177" s="10">
        <f t="shared" si="62"/>
        <v>2685200</v>
      </c>
      <c r="BC177" s="10">
        <f t="shared" si="63"/>
        <v>3580266.6666666665</v>
      </c>
      <c r="BD177" s="10">
        <f t="shared" si="64"/>
        <v>4475333.333333333</v>
      </c>
      <c r="BE177" s="10">
        <f t="shared" si="65"/>
        <v>5370400</v>
      </c>
      <c r="BX177" s="10">
        <v>167</v>
      </c>
      <c r="BY177" s="10">
        <f t="shared" si="74"/>
        <v>91333.333333333328</v>
      </c>
      <c r="BZ177" s="10">
        <f t="shared" si="74"/>
        <v>137000</v>
      </c>
      <c r="CA177" s="10">
        <f t="shared" si="74"/>
        <v>182666.66666666666</v>
      </c>
      <c r="CB177" s="10">
        <f t="shared" si="74"/>
        <v>342500</v>
      </c>
      <c r="CC177" s="10">
        <f t="shared" si="74"/>
        <v>1141666.6666666667</v>
      </c>
    </row>
    <row r="178" spans="15:81" x14ac:dyDescent="0.15">
      <c r="O178" s="2">
        <v>167</v>
      </c>
      <c r="P178" s="2">
        <f t="shared" si="75"/>
        <v>3340</v>
      </c>
      <c r="AC178" s="2">
        <v>168</v>
      </c>
      <c r="AD178" s="2">
        <f t="shared" si="67"/>
        <v>0</v>
      </c>
      <c r="AE178" s="2">
        <f t="shared" si="68"/>
        <v>3220</v>
      </c>
      <c r="AF178" s="2">
        <f t="shared" si="69"/>
        <v>8050</v>
      </c>
      <c r="AG178" s="2">
        <f t="shared" si="70"/>
        <v>16100</v>
      </c>
      <c r="AH178" s="2">
        <f t="shared" si="71"/>
        <v>32200</v>
      </c>
      <c r="AZ178" s="10">
        <v>168</v>
      </c>
      <c r="BA178" s="10">
        <f t="shared" si="61"/>
        <v>1803200</v>
      </c>
      <c r="BB178" s="10">
        <f t="shared" si="62"/>
        <v>2704800</v>
      </c>
      <c r="BC178" s="10">
        <f t="shared" si="63"/>
        <v>3606400</v>
      </c>
      <c r="BD178" s="10">
        <f t="shared" si="64"/>
        <v>4508000</v>
      </c>
      <c r="BE178" s="10">
        <f t="shared" si="65"/>
        <v>5409600</v>
      </c>
      <c r="BX178" s="10">
        <v>168</v>
      </c>
      <c r="BY178" s="10">
        <f t="shared" si="74"/>
        <v>92000</v>
      </c>
      <c r="BZ178" s="10">
        <f t="shared" si="74"/>
        <v>138000</v>
      </c>
      <c r="CA178" s="10">
        <f t="shared" si="74"/>
        <v>184000</v>
      </c>
      <c r="CB178" s="10">
        <f t="shared" si="74"/>
        <v>345000</v>
      </c>
      <c r="CC178" s="10">
        <f t="shared" si="74"/>
        <v>1150000</v>
      </c>
    </row>
    <row r="179" spans="15:81" x14ac:dyDescent="0.15">
      <c r="O179" s="2">
        <v>168</v>
      </c>
      <c r="P179" s="2">
        <f t="shared" si="75"/>
        <v>3360</v>
      </c>
      <c r="AC179" s="2">
        <v>169</v>
      </c>
      <c r="AD179" s="2">
        <f t="shared" si="67"/>
        <v>0</v>
      </c>
      <c r="AE179" s="2">
        <f t="shared" si="68"/>
        <v>3243.3333333333335</v>
      </c>
      <c r="AF179" s="2">
        <f t="shared" si="69"/>
        <v>8108.333333333333</v>
      </c>
      <c r="AG179" s="2">
        <f t="shared" si="70"/>
        <v>16216.666666666666</v>
      </c>
      <c r="AH179" s="2">
        <f t="shared" si="71"/>
        <v>32433.333333333332</v>
      </c>
      <c r="AZ179" s="10">
        <v>169</v>
      </c>
      <c r="BA179" s="10">
        <f t="shared" si="61"/>
        <v>1816266.6666666667</v>
      </c>
      <c r="BB179" s="10">
        <f t="shared" si="62"/>
        <v>2724400</v>
      </c>
      <c r="BC179" s="10">
        <f t="shared" si="63"/>
        <v>3632533.3333333335</v>
      </c>
      <c r="BD179" s="10">
        <f t="shared" si="64"/>
        <v>4540666.666666667</v>
      </c>
      <c r="BE179" s="10">
        <f t="shared" si="65"/>
        <v>5448800</v>
      </c>
      <c r="BX179" s="10">
        <v>169</v>
      </c>
      <c r="BY179" s="10">
        <f t="shared" si="74"/>
        <v>92666.666666666672</v>
      </c>
      <c r="BZ179" s="10">
        <f t="shared" si="74"/>
        <v>139000</v>
      </c>
      <c r="CA179" s="10">
        <f t="shared" si="74"/>
        <v>185333.33333333334</v>
      </c>
      <c r="CB179" s="10">
        <f t="shared" si="74"/>
        <v>347500</v>
      </c>
      <c r="CC179" s="10">
        <f t="shared" si="74"/>
        <v>1158333.3333333333</v>
      </c>
    </row>
    <row r="180" spans="15:81" x14ac:dyDescent="0.15">
      <c r="O180" s="2">
        <v>169</v>
      </c>
      <c r="P180" s="2">
        <f t="shared" si="75"/>
        <v>3380</v>
      </c>
      <c r="AC180" s="2">
        <v>170</v>
      </c>
      <c r="AD180" s="2">
        <f t="shared" si="67"/>
        <v>0</v>
      </c>
      <c r="AE180" s="2">
        <f t="shared" si="68"/>
        <v>3266.6666666666665</v>
      </c>
      <c r="AF180" s="2">
        <f t="shared" si="69"/>
        <v>8166.666666666667</v>
      </c>
      <c r="AG180" s="2">
        <f t="shared" si="70"/>
        <v>16333.333333333334</v>
      </c>
      <c r="AH180" s="2">
        <f t="shared" si="71"/>
        <v>32666.666666666668</v>
      </c>
      <c r="AZ180" s="10">
        <v>170</v>
      </c>
      <c r="BA180" s="10">
        <f t="shared" si="61"/>
        <v>1829333.3333333333</v>
      </c>
      <c r="BB180" s="10">
        <f t="shared" si="62"/>
        <v>2744000</v>
      </c>
      <c r="BC180" s="10">
        <f t="shared" si="63"/>
        <v>3658666.6666666665</v>
      </c>
      <c r="BD180" s="10">
        <f t="shared" si="64"/>
        <v>4573333.333333333</v>
      </c>
      <c r="BE180" s="10">
        <f t="shared" si="65"/>
        <v>5488000</v>
      </c>
      <c r="BX180" s="10">
        <v>170</v>
      </c>
      <c r="BY180" s="10">
        <f t="shared" si="74"/>
        <v>93333.333333333328</v>
      </c>
      <c r="BZ180" s="10">
        <f t="shared" si="74"/>
        <v>140000</v>
      </c>
      <c r="CA180" s="10">
        <f t="shared" si="74"/>
        <v>186666.66666666666</v>
      </c>
      <c r="CB180" s="10">
        <f t="shared" si="74"/>
        <v>350000</v>
      </c>
      <c r="CC180" s="10">
        <f t="shared" si="74"/>
        <v>1166666.6666666667</v>
      </c>
    </row>
    <row r="181" spans="15:81" x14ac:dyDescent="0.15">
      <c r="O181" s="2">
        <v>170</v>
      </c>
      <c r="P181" s="2">
        <f t="shared" si="75"/>
        <v>3400</v>
      </c>
      <c r="AC181" s="2">
        <v>171</v>
      </c>
      <c r="AD181" s="2">
        <f t="shared" si="67"/>
        <v>0</v>
      </c>
      <c r="AE181" s="2">
        <f t="shared" si="68"/>
        <v>3290</v>
      </c>
      <c r="AF181" s="2">
        <f t="shared" si="69"/>
        <v>8225</v>
      </c>
      <c r="AG181" s="2">
        <f t="shared" si="70"/>
        <v>16450</v>
      </c>
      <c r="AH181" s="2">
        <f t="shared" si="71"/>
        <v>32900</v>
      </c>
      <c r="AZ181" s="10">
        <v>171</v>
      </c>
      <c r="BA181" s="10">
        <f t="shared" si="61"/>
        <v>1842400</v>
      </c>
      <c r="BB181" s="10">
        <f t="shared" si="62"/>
        <v>2763600</v>
      </c>
      <c r="BC181" s="10">
        <f t="shared" si="63"/>
        <v>3684800</v>
      </c>
      <c r="BD181" s="10">
        <f t="shared" si="64"/>
        <v>4606000</v>
      </c>
      <c r="BE181" s="10">
        <f t="shared" si="65"/>
        <v>5527200</v>
      </c>
      <c r="BX181" s="10">
        <v>171</v>
      </c>
      <c r="BY181" s="10">
        <f t="shared" ref="BY181:CC190" si="76">MAX($BX181-$C$7,0)*INDEX($BU$7:$BU$15,MATCH(BY$10,$BT$7:$BT$15,0))/30</f>
        <v>94000</v>
      </c>
      <c r="BZ181" s="10">
        <f t="shared" si="76"/>
        <v>141000</v>
      </c>
      <c r="CA181" s="10">
        <f t="shared" si="76"/>
        <v>188000</v>
      </c>
      <c r="CB181" s="10">
        <f t="shared" si="76"/>
        <v>352500</v>
      </c>
      <c r="CC181" s="10">
        <f t="shared" si="76"/>
        <v>1175000</v>
      </c>
    </row>
    <row r="182" spans="15:81" x14ac:dyDescent="0.15">
      <c r="O182" s="2">
        <v>171</v>
      </c>
      <c r="P182" s="2">
        <f t="shared" si="75"/>
        <v>3420</v>
      </c>
      <c r="AC182" s="2">
        <v>172</v>
      </c>
      <c r="AD182" s="2">
        <f t="shared" si="67"/>
        <v>0</v>
      </c>
      <c r="AE182" s="2">
        <f t="shared" si="68"/>
        <v>3313.3333333333335</v>
      </c>
      <c r="AF182" s="2">
        <f t="shared" si="69"/>
        <v>8283.3333333333339</v>
      </c>
      <c r="AG182" s="2">
        <f t="shared" si="70"/>
        <v>16566.666666666668</v>
      </c>
      <c r="AH182" s="2">
        <f t="shared" si="71"/>
        <v>33133.333333333336</v>
      </c>
      <c r="AZ182" s="10">
        <v>172</v>
      </c>
      <c r="BA182" s="10">
        <f t="shared" si="61"/>
        <v>1855466.6666666667</v>
      </c>
      <c r="BB182" s="10">
        <f t="shared" si="62"/>
        <v>2783200</v>
      </c>
      <c r="BC182" s="10">
        <f t="shared" si="63"/>
        <v>3710933.3333333335</v>
      </c>
      <c r="BD182" s="10">
        <f t="shared" si="64"/>
        <v>4638666.666666667</v>
      </c>
      <c r="BE182" s="10">
        <f t="shared" si="65"/>
        <v>5566400</v>
      </c>
      <c r="BX182" s="10">
        <v>172</v>
      </c>
      <c r="BY182" s="10">
        <f t="shared" si="76"/>
        <v>94666.666666666672</v>
      </c>
      <c r="BZ182" s="10">
        <f t="shared" si="76"/>
        <v>142000</v>
      </c>
      <c r="CA182" s="10">
        <f t="shared" si="76"/>
        <v>189333.33333333334</v>
      </c>
      <c r="CB182" s="10">
        <f t="shared" si="76"/>
        <v>355000</v>
      </c>
      <c r="CC182" s="10">
        <f t="shared" si="76"/>
        <v>1183333.3333333333</v>
      </c>
    </row>
    <row r="183" spans="15:81" x14ac:dyDescent="0.15">
      <c r="O183" s="2">
        <v>172</v>
      </c>
      <c r="P183" s="2">
        <f t="shared" si="75"/>
        <v>3440</v>
      </c>
      <c r="AC183" s="2">
        <v>173</v>
      </c>
      <c r="AD183" s="2">
        <f t="shared" si="67"/>
        <v>0</v>
      </c>
      <c r="AE183" s="2">
        <f t="shared" si="68"/>
        <v>3336.6666666666665</v>
      </c>
      <c r="AF183" s="2">
        <f t="shared" si="69"/>
        <v>8341.6666666666661</v>
      </c>
      <c r="AG183" s="2">
        <f t="shared" si="70"/>
        <v>16683.333333333332</v>
      </c>
      <c r="AH183" s="2">
        <f t="shared" si="71"/>
        <v>33366.666666666664</v>
      </c>
      <c r="AZ183" s="10">
        <v>173</v>
      </c>
      <c r="BA183" s="10">
        <f t="shared" si="61"/>
        <v>1868533.3333333333</v>
      </c>
      <c r="BB183" s="10">
        <f t="shared" si="62"/>
        <v>2802800</v>
      </c>
      <c r="BC183" s="10">
        <f t="shared" si="63"/>
        <v>3737066.6666666665</v>
      </c>
      <c r="BD183" s="10">
        <f t="shared" si="64"/>
        <v>4671333.333333333</v>
      </c>
      <c r="BE183" s="10">
        <f t="shared" si="65"/>
        <v>5605600</v>
      </c>
      <c r="BX183" s="10">
        <v>173</v>
      </c>
      <c r="BY183" s="10">
        <f t="shared" si="76"/>
        <v>95333.333333333328</v>
      </c>
      <c r="BZ183" s="10">
        <f t="shared" si="76"/>
        <v>143000</v>
      </c>
      <c r="CA183" s="10">
        <f t="shared" si="76"/>
        <v>190666.66666666666</v>
      </c>
      <c r="CB183" s="10">
        <f t="shared" si="76"/>
        <v>357500</v>
      </c>
      <c r="CC183" s="10">
        <f t="shared" si="76"/>
        <v>1191666.6666666667</v>
      </c>
    </row>
    <row r="184" spans="15:81" x14ac:dyDescent="0.15">
      <c r="O184" s="2">
        <v>173</v>
      </c>
      <c r="P184" s="2">
        <f t="shared" si="75"/>
        <v>3460</v>
      </c>
      <c r="AC184" s="2">
        <v>174</v>
      </c>
      <c r="AD184" s="2">
        <f t="shared" si="67"/>
        <v>0</v>
      </c>
      <c r="AE184" s="2">
        <f t="shared" si="68"/>
        <v>3360</v>
      </c>
      <c r="AF184" s="2">
        <f t="shared" si="69"/>
        <v>8400</v>
      </c>
      <c r="AG184" s="2">
        <f t="shared" si="70"/>
        <v>16800</v>
      </c>
      <c r="AH184" s="2">
        <f t="shared" si="71"/>
        <v>33600</v>
      </c>
      <c r="AZ184" s="10">
        <v>174</v>
      </c>
      <c r="BA184" s="10">
        <f t="shared" si="61"/>
        <v>1881600</v>
      </c>
      <c r="BB184" s="10">
        <f t="shared" si="62"/>
        <v>2822400</v>
      </c>
      <c r="BC184" s="10">
        <f t="shared" si="63"/>
        <v>3763200</v>
      </c>
      <c r="BD184" s="10">
        <f t="shared" si="64"/>
        <v>4704000</v>
      </c>
      <c r="BE184" s="10">
        <f t="shared" si="65"/>
        <v>5644800</v>
      </c>
      <c r="BX184" s="10">
        <v>174</v>
      </c>
      <c r="BY184" s="10">
        <f t="shared" si="76"/>
        <v>96000</v>
      </c>
      <c r="BZ184" s="10">
        <f t="shared" si="76"/>
        <v>144000</v>
      </c>
      <c r="CA184" s="10">
        <f t="shared" si="76"/>
        <v>192000</v>
      </c>
      <c r="CB184" s="10">
        <f t="shared" si="76"/>
        <v>360000</v>
      </c>
      <c r="CC184" s="10">
        <f t="shared" si="76"/>
        <v>1200000</v>
      </c>
    </row>
    <row r="185" spans="15:81" x14ac:dyDescent="0.15">
      <c r="O185" s="2">
        <v>174</v>
      </c>
      <c r="P185" s="2">
        <f t="shared" si="75"/>
        <v>3480</v>
      </c>
      <c r="AC185" s="2">
        <v>175</v>
      </c>
      <c r="AD185" s="2">
        <f t="shared" si="67"/>
        <v>0</v>
      </c>
      <c r="AE185" s="2">
        <f t="shared" si="68"/>
        <v>3383.3333333333335</v>
      </c>
      <c r="AF185" s="2">
        <f t="shared" si="69"/>
        <v>8458.3333333333339</v>
      </c>
      <c r="AG185" s="2">
        <f t="shared" si="70"/>
        <v>16916.666666666668</v>
      </c>
      <c r="AH185" s="2">
        <f t="shared" si="71"/>
        <v>33833.333333333336</v>
      </c>
      <c r="AZ185" s="10">
        <v>175</v>
      </c>
      <c r="BA185" s="10">
        <f t="shared" si="61"/>
        <v>1894666.6666666667</v>
      </c>
      <c r="BB185" s="10">
        <f t="shared" si="62"/>
        <v>2842000</v>
      </c>
      <c r="BC185" s="10">
        <f t="shared" si="63"/>
        <v>3789333.3333333335</v>
      </c>
      <c r="BD185" s="10">
        <f t="shared" si="64"/>
        <v>4736666.666666667</v>
      </c>
      <c r="BE185" s="10">
        <f t="shared" si="65"/>
        <v>5684000</v>
      </c>
      <c r="BX185" s="10">
        <v>175</v>
      </c>
      <c r="BY185" s="10">
        <f t="shared" si="76"/>
        <v>96666.666666666672</v>
      </c>
      <c r="BZ185" s="10">
        <f t="shared" si="76"/>
        <v>145000</v>
      </c>
      <c r="CA185" s="10">
        <f t="shared" si="76"/>
        <v>193333.33333333334</v>
      </c>
      <c r="CB185" s="10">
        <f t="shared" si="76"/>
        <v>362500</v>
      </c>
      <c r="CC185" s="10">
        <f t="shared" si="76"/>
        <v>1208333.3333333333</v>
      </c>
    </row>
    <row r="186" spans="15:81" x14ac:dyDescent="0.15">
      <c r="O186" s="2">
        <v>175</v>
      </c>
      <c r="P186" s="2">
        <f t="shared" si="75"/>
        <v>3500</v>
      </c>
      <c r="AC186" s="2">
        <v>176</v>
      </c>
      <c r="AD186" s="2">
        <f t="shared" si="67"/>
        <v>0</v>
      </c>
      <c r="AE186" s="2">
        <f t="shared" si="68"/>
        <v>3406.6666666666665</v>
      </c>
      <c r="AF186" s="2">
        <f t="shared" si="69"/>
        <v>8516.6666666666661</v>
      </c>
      <c r="AG186" s="2">
        <f t="shared" si="70"/>
        <v>17033.333333333332</v>
      </c>
      <c r="AH186" s="2">
        <f t="shared" si="71"/>
        <v>34066.666666666664</v>
      </c>
      <c r="AZ186" s="10">
        <v>176</v>
      </c>
      <c r="BA186" s="10">
        <f t="shared" si="61"/>
        <v>1907733.3333333333</v>
      </c>
      <c r="BB186" s="10">
        <f t="shared" si="62"/>
        <v>2861600</v>
      </c>
      <c r="BC186" s="10">
        <f t="shared" si="63"/>
        <v>3815466.6666666665</v>
      </c>
      <c r="BD186" s="10">
        <f t="shared" si="64"/>
        <v>4769333.333333333</v>
      </c>
      <c r="BE186" s="10">
        <f t="shared" si="65"/>
        <v>5723200</v>
      </c>
      <c r="BX186" s="10">
        <v>176</v>
      </c>
      <c r="BY186" s="10">
        <f t="shared" si="76"/>
        <v>97333.333333333328</v>
      </c>
      <c r="BZ186" s="10">
        <f t="shared" si="76"/>
        <v>146000</v>
      </c>
      <c r="CA186" s="10">
        <f t="shared" si="76"/>
        <v>194666.66666666666</v>
      </c>
      <c r="CB186" s="10">
        <f t="shared" si="76"/>
        <v>365000</v>
      </c>
      <c r="CC186" s="10">
        <f t="shared" si="76"/>
        <v>1216666.6666666667</v>
      </c>
    </row>
    <row r="187" spans="15:81" x14ac:dyDescent="0.15">
      <c r="O187" s="2">
        <v>176</v>
      </c>
      <c r="P187" s="2">
        <f t="shared" si="75"/>
        <v>3520</v>
      </c>
      <c r="AC187" s="2">
        <v>177</v>
      </c>
      <c r="AD187" s="2">
        <f t="shared" si="67"/>
        <v>0</v>
      </c>
      <c r="AE187" s="2">
        <f t="shared" si="68"/>
        <v>3430</v>
      </c>
      <c r="AF187" s="2">
        <f t="shared" si="69"/>
        <v>8575</v>
      </c>
      <c r="AG187" s="2">
        <f t="shared" si="70"/>
        <v>17150</v>
      </c>
      <c r="AH187" s="2">
        <f t="shared" si="71"/>
        <v>34300</v>
      </c>
      <c r="AZ187" s="10">
        <v>177</v>
      </c>
      <c r="BA187" s="10">
        <f t="shared" si="61"/>
        <v>1920800</v>
      </c>
      <c r="BB187" s="10">
        <f t="shared" si="62"/>
        <v>2881200</v>
      </c>
      <c r="BC187" s="10">
        <f t="shared" si="63"/>
        <v>3841600</v>
      </c>
      <c r="BD187" s="10">
        <f t="shared" si="64"/>
        <v>4802000</v>
      </c>
      <c r="BE187" s="10">
        <f t="shared" si="65"/>
        <v>5762400</v>
      </c>
      <c r="BX187" s="10">
        <v>177</v>
      </c>
      <c r="BY187" s="10">
        <f t="shared" si="76"/>
        <v>98000</v>
      </c>
      <c r="BZ187" s="10">
        <f t="shared" si="76"/>
        <v>147000</v>
      </c>
      <c r="CA187" s="10">
        <f t="shared" si="76"/>
        <v>196000</v>
      </c>
      <c r="CB187" s="10">
        <f t="shared" si="76"/>
        <v>367500</v>
      </c>
      <c r="CC187" s="10">
        <f t="shared" si="76"/>
        <v>1225000</v>
      </c>
    </row>
    <row r="188" spans="15:81" x14ac:dyDescent="0.15">
      <c r="O188" s="2">
        <v>177</v>
      </c>
      <c r="P188" s="2">
        <f t="shared" si="75"/>
        <v>3540</v>
      </c>
      <c r="AC188" s="2">
        <v>178</v>
      </c>
      <c r="AD188" s="2">
        <f t="shared" si="67"/>
        <v>0</v>
      </c>
      <c r="AE188" s="2">
        <f t="shared" si="68"/>
        <v>3453.3333333333335</v>
      </c>
      <c r="AF188" s="2">
        <f t="shared" si="69"/>
        <v>8633.3333333333339</v>
      </c>
      <c r="AG188" s="2">
        <f t="shared" si="70"/>
        <v>17266.666666666668</v>
      </c>
      <c r="AH188" s="2">
        <f t="shared" si="71"/>
        <v>34533.333333333336</v>
      </c>
      <c r="AZ188" s="10">
        <v>178</v>
      </c>
      <c r="BA188" s="10">
        <f t="shared" si="61"/>
        <v>1933866.6666666667</v>
      </c>
      <c r="BB188" s="10">
        <f t="shared" si="62"/>
        <v>2900800</v>
      </c>
      <c r="BC188" s="10">
        <f t="shared" si="63"/>
        <v>3867733.3333333335</v>
      </c>
      <c r="BD188" s="10">
        <f t="shared" si="64"/>
        <v>4834666.666666667</v>
      </c>
      <c r="BE188" s="10">
        <f t="shared" si="65"/>
        <v>5801600</v>
      </c>
      <c r="BX188" s="10">
        <v>178</v>
      </c>
      <c r="BY188" s="10">
        <f t="shared" si="76"/>
        <v>98666.666666666672</v>
      </c>
      <c r="BZ188" s="10">
        <f t="shared" si="76"/>
        <v>148000</v>
      </c>
      <c r="CA188" s="10">
        <f t="shared" si="76"/>
        <v>197333.33333333334</v>
      </c>
      <c r="CB188" s="10">
        <f t="shared" si="76"/>
        <v>370000</v>
      </c>
      <c r="CC188" s="10">
        <f t="shared" si="76"/>
        <v>1233333.3333333333</v>
      </c>
    </row>
    <row r="189" spans="15:81" x14ac:dyDescent="0.15">
      <c r="O189" s="2">
        <v>178</v>
      </c>
      <c r="P189" s="2">
        <f t="shared" si="75"/>
        <v>3560</v>
      </c>
      <c r="AC189" s="2">
        <v>179</v>
      </c>
      <c r="AD189" s="2">
        <f t="shared" si="67"/>
        <v>0</v>
      </c>
      <c r="AE189" s="2">
        <f t="shared" si="68"/>
        <v>3476.6666666666665</v>
      </c>
      <c r="AF189" s="2">
        <f t="shared" si="69"/>
        <v>8691.6666666666661</v>
      </c>
      <c r="AG189" s="2">
        <f t="shared" si="70"/>
        <v>17383.333333333332</v>
      </c>
      <c r="AH189" s="2">
        <f t="shared" si="71"/>
        <v>34766.666666666664</v>
      </c>
      <c r="AZ189" s="10">
        <v>179</v>
      </c>
      <c r="BA189" s="10">
        <f t="shared" si="61"/>
        <v>1946933.3333333333</v>
      </c>
      <c r="BB189" s="10">
        <f t="shared" si="62"/>
        <v>2920400</v>
      </c>
      <c r="BC189" s="10">
        <f t="shared" si="63"/>
        <v>3893866.6666666665</v>
      </c>
      <c r="BD189" s="10">
        <f t="shared" si="64"/>
        <v>4867333.333333333</v>
      </c>
      <c r="BE189" s="10">
        <f t="shared" si="65"/>
        <v>5840800</v>
      </c>
      <c r="BX189" s="10">
        <v>179</v>
      </c>
      <c r="BY189" s="10">
        <f t="shared" si="76"/>
        <v>99333.333333333328</v>
      </c>
      <c r="BZ189" s="10">
        <f t="shared" si="76"/>
        <v>149000</v>
      </c>
      <c r="CA189" s="10">
        <f t="shared" si="76"/>
        <v>198666.66666666666</v>
      </c>
      <c r="CB189" s="10">
        <f t="shared" si="76"/>
        <v>372500</v>
      </c>
      <c r="CC189" s="10">
        <f t="shared" si="76"/>
        <v>1241666.6666666667</v>
      </c>
    </row>
    <row r="190" spans="15:81" x14ac:dyDescent="0.15">
      <c r="O190" s="2">
        <v>179</v>
      </c>
      <c r="P190" s="2">
        <f t="shared" si="75"/>
        <v>3580</v>
      </c>
      <c r="AC190" s="2">
        <v>180</v>
      </c>
      <c r="AD190" s="2">
        <f t="shared" si="67"/>
        <v>0</v>
      </c>
      <c r="AE190" s="2">
        <f t="shared" si="68"/>
        <v>3500</v>
      </c>
      <c r="AF190" s="2">
        <f t="shared" si="69"/>
        <v>8750</v>
      </c>
      <c r="AG190" s="2">
        <f t="shared" si="70"/>
        <v>17500</v>
      </c>
      <c r="AH190" s="2">
        <f t="shared" si="71"/>
        <v>35000</v>
      </c>
      <c r="AZ190" s="10">
        <v>180</v>
      </c>
      <c r="BA190" s="10">
        <f t="shared" si="61"/>
        <v>1960000</v>
      </c>
      <c r="BB190" s="10">
        <f t="shared" si="62"/>
        <v>2940000</v>
      </c>
      <c r="BC190" s="10">
        <f t="shared" si="63"/>
        <v>3920000</v>
      </c>
      <c r="BD190" s="10">
        <f t="shared" si="64"/>
        <v>4900000</v>
      </c>
      <c r="BE190" s="10">
        <f t="shared" si="65"/>
        <v>5880000</v>
      </c>
      <c r="BX190" s="10">
        <v>180</v>
      </c>
      <c r="BY190" s="10">
        <f t="shared" si="76"/>
        <v>100000</v>
      </c>
      <c r="BZ190" s="10">
        <f t="shared" si="76"/>
        <v>150000</v>
      </c>
      <c r="CA190" s="10">
        <f t="shared" si="76"/>
        <v>200000</v>
      </c>
      <c r="CB190" s="10">
        <f t="shared" si="76"/>
        <v>375000</v>
      </c>
      <c r="CC190" s="10">
        <f t="shared" si="76"/>
        <v>1250000</v>
      </c>
    </row>
    <row r="191" spans="15:81" x14ac:dyDescent="0.15">
      <c r="O191" s="2">
        <v>180</v>
      </c>
      <c r="P191" s="2">
        <f t="shared" si="75"/>
        <v>3600</v>
      </c>
      <c r="AC191" s="2">
        <v>181</v>
      </c>
      <c r="AD191" s="2">
        <f t="shared" si="67"/>
        <v>0</v>
      </c>
      <c r="AE191" s="2">
        <f t="shared" si="68"/>
        <v>3523.3333333333335</v>
      </c>
      <c r="AF191" s="2">
        <f t="shared" si="69"/>
        <v>8808.3333333333339</v>
      </c>
      <c r="AG191" s="2">
        <f t="shared" si="70"/>
        <v>17616.666666666668</v>
      </c>
      <c r="AH191" s="2">
        <f t="shared" si="71"/>
        <v>35233.333333333336</v>
      </c>
      <c r="AZ191" s="10">
        <v>181</v>
      </c>
      <c r="BA191" s="10">
        <f t="shared" si="61"/>
        <v>1973066.6666666667</v>
      </c>
      <c r="BB191" s="10">
        <f t="shared" si="62"/>
        <v>2959600</v>
      </c>
      <c r="BC191" s="10">
        <f t="shared" si="63"/>
        <v>3946133.3333333335</v>
      </c>
      <c r="BD191" s="10">
        <f t="shared" si="64"/>
        <v>4932666.666666667</v>
      </c>
      <c r="BE191" s="10">
        <f t="shared" si="65"/>
        <v>5919200</v>
      </c>
      <c r="BX191" s="10">
        <v>181</v>
      </c>
      <c r="BY191" s="10">
        <f t="shared" ref="BY191:CC200" si="77">MAX($BX191-$C$7,0)*INDEX($BU$7:$BU$15,MATCH(BY$10,$BT$7:$BT$15,0))/30</f>
        <v>100666.66666666667</v>
      </c>
      <c r="BZ191" s="10">
        <f t="shared" si="77"/>
        <v>151000</v>
      </c>
      <c r="CA191" s="10">
        <f t="shared" si="77"/>
        <v>201333.33333333334</v>
      </c>
      <c r="CB191" s="10">
        <f t="shared" si="77"/>
        <v>377500</v>
      </c>
      <c r="CC191" s="10">
        <f t="shared" si="77"/>
        <v>1258333.3333333333</v>
      </c>
    </row>
    <row r="192" spans="15:81" x14ac:dyDescent="0.15">
      <c r="O192" s="2">
        <v>181</v>
      </c>
      <c r="P192" s="2">
        <f t="shared" si="75"/>
        <v>3620</v>
      </c>
      <c r="AC192" s="2">
        <v>182</v>
      </c>
      <c r="AD192" s="2">
        <f t="shared" si="67"/>
        <v>0</v>
      </c>
      <c r="AE192" s="2">
        <f t="shared" si="68"/>
        <v>3546.6666666666665</v>
      </c>
      <c r="AF192" s="2">
        <f t="shared" si="69"/>
        <v>8866.6666666666661</v>
      </c>
      <c r="AG192" s="2">
        <f t="shared" si="70"/>
        <v>17733.333333333332</v>
      </c>
      <c r="AH192" s="2">
        <f t="shared" si="71"/>
        <v>35466.666666666664</v>
      </c>
      <c r="AZ192" s="10">
        <v>182</v>
      </c>
      <c r="BA192" s="10">
        <f t="shared" si="61"/>
        <v>1986133.3333333333</v>
      </c>
      <c r="BB192" s="10">
        <f t="shared" si="62"/>
        <v>2979200</v>
      </c>
      <c r="BC192" s="10">
        <f t="shared" si="63"/>
        <v>3972266.6666666665</v>
      </c>
      <c r="BD192" s="10">
        <f t="shared" si="64"/>
        <v>4965333.333333333</v>
      </c>
      <c r="BE192" s="10">
        <f t="shared" si="65"/>
        <v>5958400</v>
      </c>
      <c r="BX192" s="10">
        <v>182</v>
      </c>
      <c r="BY192" s="10">
        <f t="shared" si="77"/>
        <v>101333.33333333333</v>
      </c>
      <c r="BZ192" s="10">
        <f t="shared" si="77"/>
        <v>152000</v>
      </c>
      <c r="CA192" s="10">
        <f t="shared" si="77"/>
        <v>202666.66666666666</v>
      </c>
      <c r="CB192" s="10">
        <f t="shared" si="77"/>
        <v>380000</v>
      </c>
      <c r="CC192" s="10">
        <f t="shared" si="77"/>
        <v>1266666.6666666667</v>
      </c>
    </row>
    <row r="193" spans="15:81" x14ac:dyDescent="0.15">
      <c r="O193" s="2">
        <v>182</v>
      </c>
      <c r="P193" s="2">
        <f t="shared" si="75"/>
        <v>3640</v>
      </c>
      <c r="AC193" s="2">
        <v>183</v>
      </c>
      <c r="AD193" s="2">
        <f t="shared" si="67"/>
        <v>0</v>
      </c>
      <c r="AE193" s="2">
        <f t="shared" si="68"/>
        <v>3570</v>
      </c>
      <c r="AF193" s="2">
        <f t="shared" si="69"/>
        <v>8925</v>
      </c>
      <c r="AG193" s="2">
        <f t="shared" si="70"/>
        <v>17850</v>
      </c>
      <c r="AH193" s="2">
        <f t="shared" si="71"/>
        <v>35700</v>
      </c>
      <c r="AZ193" s="10">
        <v>183</v>
      </c>
      <c r="BA193" s="10">
        <f t="shared" si="61"/>
        <v>1999200</v>
      </c>
      <c r="BB193" s="10">
        <f t="shared" si="62"/>
        <v>2998800</v>
      </c>
      <c r="BC193" s="10">
        <f t="shared" si="63"/>
        <v>3998400</v>
      </c>
      <c r="BD193" s="10">
        <f t="shared" si="64"/>
        <v>4998000</v>
      </c>
      <c r="BE193" s="10">
        <f t="shared" si="65"/>
        <v>5997600</v>
      </c>
      <c r="BX193" s="10">
        <v>183</v>
      </c>
      <c r="BY193" s="10">
        <f t="shared" si="77"/>
        <v>102000</v>
      </c>
      <c r="BZ193" s="10">
        <f t="shared" si="77"/>
        <v>153000</v>
      </c>
      <c r="CA193" s="10">
        <f t="shared" si="77"/>
        <v>204000</v>
      </c>
      <c r="CB193" s="10">
        <f t="shared" si="77"/>
        <v>382500</v>
      </c>
      <c r="CC193" s="10">
        <f t="shared" si="77"/>
        <v>1275000</v>
      </c>
    </row>
    <row r="194" spans="15:81" x14ac:dyDescent="0.15">
      <c r="O194" s="2">
        <v>183</v>
      </c>
      <c r="P194" s="2">
        <f t="shared" si="75"/>
        <v>3660</v>
      </c>
      <c r="AC194" s="2">
        <v>184</v>
      </c>
      <c r="AD194" s="2">
        <f t="shared" si="67"/>
        <v>0</v>
      </c>
      <c r="AE194" s="2">
        <f t="shared" si="68"/>
        <v>3593.3333333333335</v>
      </c>
      <c r="AF194" s="2">
        <f t="shared" si="69"/>
        <v>8983.3333333333339</v>
      </c>
      <c r="AG194" s="2">
        <f t="shared" si="70"/>
        <v>17966.666666666668</v>
      </c>
      <c r="AH194" s="2">
        <f t="shared" si="71"/>
        <v>35933.333333333336</v>
      </c>
      <c r="AZ194" s="10">
        <v>184</v>
      </c>
      <c r="BA194" s="10">
        <f t="shared" si="61"/>
        <v>2012266.6666666667</v>
      </c>
      <c r="BB194" s="10">
        <f t="shared" si="62"/>
        <v>3018400</v>
      </c>
      <c r="BC194" s="10">
        <f t="shared" si="63"/>
        <v>4024533.3333333335</v>
      </c>
      <c r="BD194" s="10">
        <f t="shared" si="64"/>
        <v>5030666.666666667</v>
      </c>
      <c r="BE194" s="10">
        <f t="shared" si="65"/>
        <v>6036800</v>
      </c>
      <c r="BX194" s="10">
        <v>184</v>
      </c>
      <c r="BY194" s="10">
        <f t="shared" si="77"/>
        <v>102666.66666666667</v>
      </c>
      <c r="BZ194" s="10">
        <f t="shared" si="77"/>
        <v>154000</v>
      </c>
      <c r="CA194" s="10">
        <f t="shared" si="77"/>
        <v>205333.33333333334</v>
      </c>
      <c r="CB194" s="10">
        <f t="shared" si="77"/>
        <v>385000</v>
      </c>
      <c r="CC194" s="10">
        <f t="shared" si="77"/>
        <v>1283333.3333333333</v>
      </c>
    </row>
    <row r="195" spans="15:81" x14ac:dyDescent="0.15">
      <c r="O195" s="2">
        <v>184</v>
      </c>
      <c r="P195" s="2">
        <f t="shared" si="75"/>
        <v>3680</v>
      </c>
      <c r="AC195" s="2">
        <v>185</v>
      </c>
      <c r="AD195" s="2">
        <f t="shared" si="67"/>
        <v>0</v>
      </c>
      <c r="AE195" s="2">
        <f t="shared" si="68"/>
        <v>3616.6666666666665</v>
      </c>
      <c r="AF195" s="2">
        <f t="shared" si="69"/>
        <v>9041.6666666666661</v>
      </c>
      <c r="AG195" s="2">
        <f t="shared" si="70"/>
        <v>18083.333333333332</v>
      </c>
      <c r="AH195" s="2">
        <f t="shared" si="71"/>
        <v>36166.666666666664</v>
      </c>
      <c r="AZ195" s="10">
        <v>185</v>
      </c>
      <c r="BA195" s="10">
        <f t="shared" si="61"/>
        <v>2025333.3333333333</v>
      </c>
      <c r="BB195" s="10">
        <f t="shared" si="62"/>
        <v>3038000</v>
      </c>
      <c r="BC195" s="10">
        <f t="shared" si="63"/>
        <v>4050666.6666666665</v>
      </c>
      <c r="BD195" s="10">
        <f t="shared" si="64"/>
        <v>5063333.333333333</v>
      </c>
      <c r="BE195" s="10">
        <f t="shared" si="65"/>
        <v>6076000</v>
      </c>
      <c r="BX195" s="10">
        <v>185</v>
      </c>
      <c r="BY195" s="10">
        <f t="shared" si="77"/>
        <v>103333.33333333333</v>
      </c>
      <c r="BZ195" s="10">
        <f t="shared" si="77"/>
        <v>155000</v>
      </c>
      <c r="CA195" s="10">
        <f t="shared" si="77"/>
        <v>206666.66666666666</v>
      </c>
      <c r="CB195" s="10">
        <f t="shared" si="77"/>
        <v>387500</v>
      </c>
      <c r="CC195" s="10">
        <f t="shared" si="77"/>
        <v>1291666.6666666667</v>
      </c>
    </row>
    <row r="196" spans="15:81" x14ac:dyDescent="0.15">
      <c r="O196" s="2">
        <v>185</v>
      </c>
      <c r="P196" s="2">
        <f t="shared" si="75"/>
        <v>3700</v>
      </c>
      <c r="AC196" s="2">
        <v>186</v>
      </c>
      <c r="AD196" s="2">
        <f t="shared" si="67"/>
        <v>0</v>
      </c>
      <c r="AE196" s="2">
        <f t="shared" si="68"/>
        <v>3640</v>
      </c>
      <c r="AF196" s="2">
        <f t="shared" si="69"/>
        <v>9100</v>
      </c>
      <c r="AG196" s="2">
        <f t="shared" si="70"/>
        <v>18200</v>
      </c>
      <c r="AH196" s="2">
        <f t="shared" si="71"/>
        <v>36400</v>
      </c>
      <c r="AZ196" s="10">
        <v>186</v>
      </c>
      <c r="BA196" s="10">
        <f t="shared" si="61"/>
        <v>2038400</v>
      </c>
      <c r="BB196" s="10">
        <f t="shared" si="62"/>
        <v>3057600</v>
      </c>
      <c r="BC196" s="10">
        <f t="shared" si="63"/>
        <v>4076800</v>
      </c>
      <c r="BD196" s="10">
        <f t="shared" si="64"/>
        <v>5096000</v>
      </c>
      <c r="BE196" s="10">
        <f t="shared" si="65"/>
        <v>6115200</v>
      </c>
      <c r="BX196" s="10">
        <v>186</v>
      </c>
      <c r="BY196" s="10">
        <f t="shared" si="77"/>
        <v>104000</v>
      </c>
      <c r="BZ196" s="10">
        <f t="shared" si="77"/>
        <v>156000</v>
      </c>
      <c r="CA196" s="10">
        <f t="shared" si="77"/>
        <v>208000</v>
      </c>
      <c r="CB196" s="10">
        <f t="shared" si="77"/>
        <v>390000</v>
      </c>
      <c r="CC196" s="10">
        <f t="shared" si="77"/>
        <v>1300000</v>
      </c>
    </row>
    <row r="197" spans="15:81" x14ac:dyDescent="0.15">
      <c r="O197" s="2">
        <v>186</v>
      </c>
      <c r="P197" s="2">
        <f t="shared" si="75"/>
        <v>3720</v>
      </c>
      <c r="AC197" s="2">
        <v>187</v>
      </c>
      <c r="AD197" s="2">
        <f t="shared" si="67"/>
        <v>0</v>
      </c>
      <c r="AE197" s="2">
        <f t="shared" si="68"/>
        <v>3663.3333333333335</v>
      </c>
      <c r="AF197" s="2">
        <f t="shared" si="69"/>
        <v>9158.3333333333339</v>
      </c>
      <c r="AG197" s="2">
        <f t="shared" si="70"/>
        <v>18316.666666666668</v>
      </c>
      <c r="AH197" s="2">
        <f t="shared" si="71"/>
        <v>36633.333333333336</v>
      </c>
      <c r="AZ197" s="10">
        <v>187</v>
      </c>
      <c r="BA197" s="10">
        <f t="shared" si="61"/>
        <v>2051466.6666666667</v>
      </c>
      <c r="BB197" s="10">
        <f t="shared" si="62"/>
        <v>3077200</v>
      </c>
      <c r="BC197" s="10">
        <f t="shared" si="63"/>
        <v>4102933.3333333335</v>
      </c>
      <c r="BD197" s="10">
        <f t="shared" si="64"/>
        <v>5128666.666666667</v>
      </c>
      <c r="BE197" s="10">
        <f t="shared" si="65"/>
        <v>6154400</v>
      </c>
      <c r="BX197" s="10">
        <v>187</v>
      </c>
      <c r="BY197" s="10">
        <f t="shared" si="77"/>
        <v>104666.66666666667</v>
      </c>
      <c r="BZ197" s="10">
        <f t="shared" si="77"/>
        <v>157000</v>
      </c>
      <c r="CA197" s="10">
        <f t="shared" si="77"/>
        <v>209333.33333333334</v>
      </c>
      <c r="CB197" s="10">
        <f t="shared" si="77"/>
        <v>392500</v>
      </c>
      <c r="CC197" s="10">
        <f t="shared" si="77"/>
        <v>1308333.3333333333</v>
      </c>
    </row>
    <row r="198" spans="15:81" x14ac:dyDescent="0.15">
      <c r="O198" s="2">
        <v>187</v>
      </c>
      <c r="P198" s="2">
        <f t="shared" si="75"/>
        <v>3740</v>
      </c>
      <c r="AC198" s="2">
        <v>188</v>
      </c>
      <c r="AD198" s="2">
        <f t="shared" si="67"/>
        <v>0</v>
      </c>
      <c r="AE198" s="2">
        <f t="shared" si="68"/>
        <v>3686.6666666666665</v>
      </c>
      <c r="AF198" s="2">
        <f t="shared" si="69"/>
        <v>9216.6666666666661</v>
      </c>
      <c r="AG198" s="2">
        <f t="shared" si="70"/>
        <v>18433.333333333332</v>
      </c>
      <c r="AH198" s="2">
        <f t="shared" si="71"/>
        <v>36866.666666666664</v>
      </c>
      <c r="AZ198" s="10">
        <v>188</v>
      </c>
      <c r="BA198" s="10">
        <f t="shared" si="61"/>
        <v>2064533.3333333333</v>
      </c>
      <c r="BB198" s="10">
        <f t="shared" si="62"/>
        <v>3096800</v>
      </c>
      <c r="BC198" s="10">
        <f t="shared" si="63"/>
        <v>4129066.6666666665</v>
      </c>
      <c r="BD198" s="10">
        <f t="shared" si="64"/>
        <v>5161333.333333333</v>
      </c>
      <c r="BE198" s="10">
        <f t="shared" si="65"/>
        <v>6193600</v>
      </c>
      <c r="BX198" s="10">
        <v>188</v>
      </c>
      <c r="BY198" s="10">
        <f t="shared" si="77"/>
        <v>105333.33333333333</v>
      </c>
      <c r="BZ198" s="10">
        <f t="shared" si="77"/>
        <v>158000</v>
      </c>
      <c r="CA198" s="10">
        <f t="shared" si="77"/>
        <v>210666.66666666666</v>
      </c>
      <c r="CB198" s="10">
        <f t="shared" si="77"/>
        <v>395000</v>
      </c>
      <c r="CC198" s="10">
        <f t="shared" si="77"/>
        <v>1316666.6666666667</v>
      </c>
    </row>
    <row r="199" spans="15:81" x14ac:dyDescent="0.15">
      <c r="O199" s="2">
        <v>188</v>
      </c>
      <c r="P199" s="2">
        <f t="shared" si="75"/>
        <v>3760</v>
      </c>
      <c r="AC199" s="2">
        <v>189</v>
      </c>
      <c r="AD199" s="2">
        <f t="shared" si="67"/>
        <v>0</v>
      </c>
      <c r="AE199" s="2">
        <f t="shared" si="68"/>
        <v>3710</v>
      </c>
      <c r="AF199" s="2">
        <f t="shared" si="69"/>
        <v>9275</v>
      </c>
      <c r="AG199" s="2">
        <f t="shared" si="70"/>
        <v>18550</v>
      </c>
      <c r="AH199" s="2">
        <f t="shared" si="71"/>
        <v>37100</v>
      </c>
      <c r="AZ199" s="10">
        <v>189</v>
      </c>
      <c r="BA199" s="10">
        <f t="shared" si="61"/>
        <v>2077600</v>
      </c>
      <c r="BB199" s="10">
        <f t="shared" si="62"/>
        <v>3116400</v>
      </c>
      <c r="BC199" s="10">
        <f t="shared" si="63"/>
        <v>4155200</v>
      </c>
      <c r="BD199" s="10">
        <f t="shared" si="64"/>
        <v>5194000</v>
      </c>
      <c r="BE199" s="10">
        <f t="shared" si="65"/>
        <v>6232800</v>
      </c>
      <c r="BX199" s="10">
        <v>189</v>
      </c>
      <c r="BY199" s="10">
        <f t="shared" si="77"/>
        <v>106000</v>
      </c>
      <c r="BZ199" s="10">
        <f t="shared" si="77"/>
        <v>159000</v>
      </c>
      <c r="CA199" s="10">
        <f t="shared" si="77"/>
        <v>212000</v>
      </c>
      <c r="CB199" s="10">
        <f t="shared" si="77"/>
        <v>397500</v>
      </c>
      <c r="CC199" s="10">
        <f t="shared" si="77"/>
        <v>1325000</v>
      </c>
    </row>
    <row r="200" spans="15:81" x14ac:dyDescent="0.15">
      <c r="O200" s="2">
        <v>189</v>
      </c>
      <c r="P200" s="2">
        <f t="shared" si="75"/>
        <v>3780</v>
      </c>
      <c r="AC200" s="2">
        <v>190</v>
      </c>
      <c r="AD200" s="2">
        <f t="shared" si="67"/>
        <v>0</v>
      </c>
      <c r="AE200" s="2">
        <f t="shared" si="68"/>
        <v>3733.3333333333335</v>
      </c>
      <c r="AF200" s="2">
        <f t="shared" si="69"/>
        <v>9333.3333333333339</v>
      </c>
      <c r="AG200" s="2">
        <f t="shared" si="70"/>
        <v>18666.666666666668</v>
      </c>
      <c r="AH200" s="2">
        <f t="shared" si="71"/>
        <v>37333.333333333336</v>
      </c>
      <c r="AZ200" s="10">
        <v>190</v>
      </c>
      <c r="BA200" s="10">
        <f t="shared" si="61"/>
        <v>2090666.6666666667</v>
      </c>
      <c r="BB200" s="10">
        <f t="shared" si="62"/>
        <v>3136000</v>
      </c>
      <c r="BC200" s="10">
        <f t="shared" si="63"/>
        <v>4181333.3333333335</v>
      </c>
      <c r="BD200" s="10">
        <f t="shared" si="64"/>
        <v>5226666.666666667</v>
      </c>
      <c r="BE200" s="10">
        <f t="shared" si="65"/>
        <v>6272000</v>
      </c>
      <c r="BX200" s="10">
        <v>190</v>
      </c>
      <c r="BY200" s="10">
        <f t="shared" si="77"/>
        <v>106666.66666666667</v>
      </c>
      <c r="BZ200" s="10">
        <f t="shared" si="77"/>
        <v>160000</v>
      </c>
      <c r="CA200" s="10">
        <f t="shared" si="77"/>
        <v>213333.33333333334</v>
      </c>
      <c r="CB200" s="10">
        <f t="shared" si="77"/>
        <v>400000</v>
      </c>
      <c r="CC200" s="10">
        <f t="shared" si="77"/>
        <v>1333333.3333333333</v>
      </c>
    </row>
    <row r="201" spans="15:81" x14ac:dyDescent="0.15">
      <c r="O201" s="2">
        <v>190</v>
      </c>
      <c r="P201" s="2">
        <f t="shared" si="75"/>
        <v>3800</v>
      </c>
      <c r="AC201" s="2">
        <v>191</v>
      </c>
      <c r="AD201" s="2">
        <f t="shared" si="67"/>
        <v>0</v>
      </c>
      <c r="AE201" s="2">
        <f t="shared" si="68"/>
        <v>3756.6666666666665</v>
      </c>
      <c r="AF201" s="2">
        <f t="shared" si="69"/>
        <v>9391.6666666666661</v>
      </c>
      <c r="AG201" s="2">
        <f t="shared" si="70"/>
        <v>18783.333333333332</v>
      </c>
      <c r="AH201" s="2">
        <f t="shared" si="71"/>
        <v>37566.666666666664</v>
      </c>
      <c r="AZ201" s="10">
        <v>191</v>
      </c>
      <c r="BA201" s="10">
        <f t="shared" si="61"/>
        <v>2103733.3333333335</v>
      </c>
      <c r="BB201" s="10">
        <f t="shared" si="62"/>
        <v>3155600</v>
      </c>
      <c r="BC201" s="10">
        <f t="shared" si="63"/>
        <v>4207466.666666667</v>
      </c>
      <c r="BD201" s="10">
        <f t="shared" si="64"/>
        <v>5259333.333333333</v>
      </c>
      <c r="BE201" s="10">
        <f t="shared" si="65"/>
        <v>6311200</v>
      </c>
      <c r="BX201" s="10">
        <v>191</v>
      </c>
      <c r="BY201" s="10">
        <f t="shared" ref="BY201:CC210" si="78">MAX($BX201-$C$7,0)*INDEX($BU$7:$BU$15,MATCH(BY$10,$BT$7:$BT$15,0))/30</f>
        <v>107333.33333333333</v>
      </c>
      <c r="BZ201" s="10">
        <f t="shared" si="78"/>
        <v>161000</v>
      </c>
      <c r="CA201" s="10">
        <f t="shared" si="78"/>
        <v>214666.66666666666</v>
      </c>
      <c r="CB201" s="10">
        <f t="shared" si="78"/>
        <v>402500</v>
      </c>
      <c r="CC201" s="10">
        <f t="shared" si="78"/>
        <v>1341666.6666666667</v>
      </c>
    </row>
    <row r="202" spans="15:81" x14ac:dyDescent="0.15">
      <c r="O202" s="2">
        <v>191</v>
      </c>
      <c r="P202" s="2">
        <f t="shared" si="75"/>
        <v>3820</v>
      </c>
      <c r="AC202" s="2">
        <v>192</v>
      </c>
      <c r="AD202" s="2">
        <f t="shared" si="67"/>
        <v>0</v>
      </c>
      <c r="AE202" s="2">
        <f t="shared" si="68"/>
        <v>3780</v>
      </c>
      <c r="AF202" s="2">
        <f t="shared" si="69"/>
        <v>9450</v>
      </c>
      <c r="AG202" s="2">
        <f t="shared" si="70"/>
        <v>18900</v>
      </c>
      <c r="AH202" s="2">
        <f t="shared" si="71"/>
        <v>37800</v>
      </c>
      <c r="AZ202" s="10">
        <v>192</v>
      </c>
      <c r="BA202" s="10">
        <f t="shared" si="61"/>
        <v>2116800</v>
      </c>
      <c r="BB202" s="10">
        <f t="shared" si="62"/>
        <v>3175200</v>
      </c>
      <c r="BC202" s="10">
        <f t="shared" si="63"/>
        <v>4233600</v>
      </c>
      <c r="BD202" s="10">
        <f t="shared" si="64"/>
        <v>5292000</v>
      </c>
      <c r="BE202" s="10">
        <f t="shared" si="65"/>
        <v>6350400</v>
      </c>
      <c r="BX202" s="10">
        <v>192</v>
      </c>
      <c r="BY202" s="10">
        <f t="shared" si="78"/>
        <v>108000</v>
      </c>
      <c r="BZ202" s="10">
        <f t="shared" si="78"/>
        <v>162000</v>
      </c>
      <c r="CA202" s="10">
        <f t="shared" si="78"/>
        <v>216000</v>
      </c>
      <c r="CB202" s="10">
        <f t="shared" si="78"/>
        <v>405000</v>
      </c>
      <c r="CC202" s="10">
        <f t="shared" si="78"/>
        <v>1350000</v>
      </c>
    </row>
    <row r="203" spans="15:81" x14ac:dyDescent="0.15">
      <c r="O203" s="2">
        <v>192</v>
      </c>
      <c r="P203" s="2">
        <f t="shared" si="75"/>
        <v>3840</v>
      </c>
      <c r="AC203" s="2">
        <v>193</v>
      </c>
      <c r="AD203" s="2">
        <f t="shared" si="67"/>
        <v>0</v>
      </c>
      <c r="AE203" s="2">
        <f t="shared" si="68"/>
        <v>3803.3333333333335</v>
      </c>
      <c r="AF203" s="2">
        <f t="shared" si="69"/>
        <v>9508.3333333333339</v>
      </c>
      <c r="AG203" s="2">
        <f t="shared" si="70"/>
        <v>19016.666666666668</v>
      </c>
      <c r="AH203" s="2">
        <f t="shared" si="71"/>
        <v>38033.333333333336</v>
      </c>
      <c r="AZ203" s="10">
        <v>193</v>
      </c>
      <c r="BA203" s="10">
        <f t="shared" si="61"/>
        <v>2129866.6666666665</v>
      </c>
      <c r="BB203" s="10">
        <f t="shared" si="62"/>
        <v>3194800</v>
      </c>
      <c r="BC203" s="10">
        <f t="shared" si="63"/>
        <v>4259733.333333333</v>
      </c>
      <c r="BD203" s="10">
        <f t="shared" si="64"/>
        <v>5324666.666666667</v>
      </c>
      <c r="BE203" s="10">
        <f t="shared" si="65"/>
        <v>6389600</v>
      </c>
      <c r="BX203" s="10">
        <v>193</v>
      </c>
      <c r="BY203" s="10">
        <f t="shared" si="78"/>
        <v>108666.66666666667</v>
      </c>
      <c r="BZ203" s="10">
        <f t="shared" si="78"/>
        <v>163000</v>
      </c>
      <c r="CA203" s="10">
        <f t="shared" si="78"/>
        <v>217333.33333333334</v>
      </c>
      <c r="CB203" s="10">
        <f t="shared" si="78"/>
        <v>407500</v>
      </c>
      <c r="CC203" s="10">
        <f t="shared" si="78"/>
        <v>1358333.3333333333</v>
      </c>
    </row>
    <row r="204" spans="15:81" x14ac:dyDescent="0.15">
      <c r="O204" s="2">
        <v>193</v>
      </c>
      <c r="P204" s="2">
        <f t="shared" si="75"/>
        <v>3860</v>
      </c>
      <c r="AC204" s="2">
        <v>194</v>
      </c>
      <c r="AD204" s="2">
        <f t="shared" si="67"/>
        <v>0</v>
      </c>
      <c r="AE204" s="2">
        <f t="shared" si="68"/>
        <v>3826.6666666666665</v>
      </c>
      <c r="AF204" s="2">
        <f t="shared" si="69"/>
        <v>9566.6666666666661</v>
      </c>
      <c r="AG204" s="2">
        <f t="shared" si="70"/>
        <v>19133.333333333332</v>
      </c>
      <c r="AH204" s="2">
        <f t="shared" si="71"/>
        <v>38266.666666666664</v>
      </c>
      <c r="AZ204" s="10">
        <v>194</v>
      </c>
      <c r="BA204" s="10">
        <f t="shared" ref="BA204:BA267" si="79">MAX($AZ204-$C$7,0)*C$22*$C$8*($AV$6+$AV$22)/30</f>
        <v>2142933.3333333335</v>
      </c>
      <c r="BB204" s="10">
        <f t="shared" ref="BB204:BB267" si="80">MAX($AZ204-$C$7,0)*D$22*$C$8*($AV$6+$AV$22)/30</f>
        <v>3214400</v>
      </c>
      <c r="BC204" s="10">
        <f t="shared" ref="BC204:BC267" si="81">MAX($AZ204-$C$7,0)*E$22*$C$8*($AV$6+$AV$22)/30</f>
        <v>4285866.666666667</v>
      </c>
      <c r="BD204" s="10">
        <f t="shared" ref="BD204:BD267" si="82">MAX($AZ204-$C$7,0)*F$22*$C$8*($AV$6+$AV$22)/30</f>
        <v>5357333.333333333</v>
      </c>
      <c r="BE204" s="10">
        <f t="shared" ref="BE204:BE267" si="83">MAX($AZ204-$C$7,0)*G$22*$C$8*($AV$6+$AV$22)/30</f>
        <v>6428800</v>
      </c>
      <c r="BX204" s="10">
        <v>194</v>
      </c>
      <c r="BY204" s="10">
        <f t="shared" si="78"/>
        <v>109333.33333333333</v>
      </c>
      <c r="BZ204" s="10">
        <f t="shared" si="78"/>
        <v>164000</v>
      </c>
      <c r="CA204" s="10">
        <f t="shared" si="78"/>
        <v>218666.66666666666</v>
      </c>
      <c r="CB204" s="10">
        <f t="shared" si="78"/>
        <v>410000</v>
      </c>
      <c r="CC204" s="10">
        <f t="shared" si="78"/>
        <v>1366666.6666666667</v>
      </c>
    </row>
    <row r="205" spans="15:81" x14ac:dyDescent="0.15">
      <c r="O205" s="2">
        <v>194</v>
      </c>
      <c r="P205" s="2">
        <f t="shared" si="75"/>
        <v>3880</v>
      </c>
      <c r="AC205" s="2">
        <v>195</v>
      </c>
      <c r="AD205" s="2">
        <f t="shared" si="67"/>
        <v>0</v>
      </c>
      <c r="AE205" s="2">
        <f t="shared" si="68"/>
        <v>3850</v>
      </c>
      <c r="AF205" s="2">
        <f t="shared" si="69"/>
        <v>9625</v>
      </c>
      <c r="AG205" s="2">
        <f t="shared" si="70"/>
        <v>19250</v>
      </c>
      <c r="AH205" s="2">
        <f t="shared" si="71"/>
        <v>38500</v>
      </c>
      <c r="AZ205" s="10">
        <v>195</v>
      </c>
      <c r="BA205" s="10">
        <f t="shared" si="79"/>
        <v>2156000</v>
      </c>
      <c r="BB205" s="10">
        <f t="shared" si="80"/>
        <v>3234000</v>
      </c>
      <c r="BC205" s="10">
        <f t="shared" si="81"/>
        <v>4312000</v>
      </c>
      <c r="BD205" s="10">
        <f t="shared" si="82"/>
        <v>5390000</v>
      </c>
      <c r="BE205" s="10">
        <f t="shared" si="83"/>
        <v>6468000</v>
      </c>
      <c r="BX205" s="10">
        <v>195</v>
      </c>
      <c r="BY205" s="10">
        <f t="shared" si="78"/>
        <v>110000</v>
      </c>
      <c r="BZ205" s="10">
        <f t="shared" si="78"/>
        <v>165000</v>
      </c>
      <c r="CA205" s="10">
        <f t="shared" si="78"/>
        <v>220000</v>
      </c>
      <c r="CB205" s="10">
        <f t="shared" si="78"/>
        <v>412500</v>
      </c>
      <c r="CC205" s="10">
        <f t="shared" si="78"/>
        <v>1375000</v>
      </c>
    </row>
    <row r="206" spans="15:81" x14ac:dyDescent="0.15">
      <c r="O206" s="2">
        <v>195</v>
      </c>
      <c r="P206" s="2">
        <f t="shared" si="75"/>
        <v>3900</v>
      </c>
      <c r="AC206" s="2">
        <v>196</v>
      </c>
      <c r="AD206" s="2">
        <f t="shared" si="67"/>
        <v>0</v>
      </c>
      <c r="AE206" s="2">
        <f t="shared" si="68"/>
        <v>3873.3333333333335</v>
      </c>
      <c r="AF206" s="2">
        <f t="shared" si="69"/>
        <v>9683.3333333333339</v>
      </c>
      <c r="AG206" s="2">
        <f t="shared" si="70"/>
        <v>19366.666666666668</v>
      </c>
      <c r="AH206" s="2">
        <f t="shared" si="71"/>
        <v>38733.333333333336</v>
      </c>
      <c r="AZ206" s="10">
        <v>196</v>
      </c>
      <c r="BA206" s="10">
        <f t="shared" si="79"/>
        <v>2169066.6666666665</v>
      </c>
      <c r="BB206" s="10">
        <f t="shared" si="80"/>
        <v>3253600</v>
      </c>
      <c r="BC206" s="10">
        <f t="shared" si="81"/>
        <v>4338133.333333333</v>
      </c>
      <c r="BD206" s="10">
        <f t="shared" si="82"/>
        <v>5422666.666666667</v>
      </c>
      <c r="BE206" s="10">
        <f t="shared" si="83"/>
        <v>6507200</v>
      </c>
      <c r="BX206" s="10">
        <v>196</v>
      </c>
      <c r="BY206" s="10">
        <f t="shared" si="78"/>
        <v>110666.66666666667</v>
      </c>
      <c r="BZ206" s="10">
        <f t="shared" si="78"/>
        <v>166000</v>
      </c>
      <c r="CA206" s="10">
        <f t="shared" si="78"/>
        <v>221333.33333333334</v>
      </c>
      <c r="CB206" s="10">
        <f t="shared" si="78"/>
        <v>415000</v>
      </c>
      <c r="CC206" s="10">
        <f t="shared" si="78"/>
        <v>1383333.3333333333</v>
      </c>
    </row>
    <row r="207" spans="15:81" x14ac:dyDescent="0.15">
      <c r="O207" s="2">
        <v>196</v>
      </c>
      <c r="P207" s="2">
        <f t="shared" si="75"/>
        <v>3920</v>
      </c>
      <c r="AC207" s="2">
        <v>197</v>
      </c>
      <c r="AD207" s="2">
        <f t="shared" si="67"/>
        <v>0</v>
      </c>
      <c r="AE207" s="2">
        <f t="shared" si="68"/>
        <v>3896.6666666666665</v>
      </c>
      <c r="AF207" s="2">
        <f t="shared" si="69"/>
        <v>9741.6666666666661</v>
      </c>
      <c r="AG207" s="2">
        <f t="shared" si="70"/>
        <v>19483.333333333332</v>
      </c>
      <c r="AH207" s="2">
        <f t="shared" si="71"/>
        <v>38966.666666666664</v>
      </c>
      <c r="AZ207" s="10">
        <v>197</v>
      </c>
      <c r="BA207" s="10">
        <f t="shared" si="79"/>
        <v>2182133.3333333335</v>
      </c>
      <c r="BB207" s="10">
        <f t="shared" si="80"/>
        <v>3273200</v>
      </c>
      <c r="BC207" s="10">
        <f t="shared" si="81"/>
        <v>4364266.666666667</v>
      </c>
      <c r="BD207" s="10">
        <f t="shared" si="82"/>
        <v>5455333.333333333</v>
      </c>
      <c r="BE207" s="10">
        <f t="shared" si="83"/>
        <v>6546400</v>
      </c>
      <c r="BX207" s="10">
        <v>197</v>
      </c>
      <c r="BY207" s="10">
        <f t="shared" si="78"/>
        <v>111333.33333333333</v>
      </c>
      <c r="BZ207" s="10">
        <f t="shared" si="78"/>
        <v>167000</v>
      </c>
      <c r="CA207" s="10">
        <f t="shared" si="78"/>
        <v>222666.66666666666</v>
      </c>
      <c r="CB207" s="10">
        <f t="shared" si="78"/>
        <v>417500</v>
      </c>
      <c r="CC207" s="10">
        <f t="shared" si="78"/>
        <v>1391666.6666666667</v>
      </c>
    </row>
    <row r="208" spans="15:81" x14ac:dyDescent="0.15">
      <c r="O208" s="2">
        <v>197</v>
      </c>
      <c r="P208" s="2">
        <f t="shared" si="75"/>
        <v>3940</v>
      </c>
      <c r="AC208" s="2">
        <v>198</v>
      </c>
      <c r="AD208" s="2">
        <f t="shared" si="67"/>
        <v>0</v>
      </c>
      <c r="AE208" s="2">
        <f t="shared" si="68"/>
        <v>3920</v>
      </c>
      <c r="AF208" s="2">
        <f t="shared" si="69"/>
        <v>9800</v>
      </c>
      <c r="AG208" s="2">
        <f t="shared" si="70"/>
        <v>19600</v>
      </c>
      <c r="AH208" s="2">
        <f t="shared" si="71"/>
        <v>39200</v>
      </c>
      <c r="AZ208" s="10">
        <v>198</v>
      </c>
      <c r="BA208" s="10">
        <f t="shared" si="79"/>
        <v>2195200</v>
      </c>
      <c r="BB208" s="10">
        <f t="shared" si="80"/>
        <v>3292800</v>
      </c>
      <c r="BC208" s="10">
        <f t="shared" si="81"/>
        <v>4390400</v>
      </c>
      <c r="BD208" s="10">
        <f t="shared" si="82"/>
        <v>5488000</v>
      </c>
      <c r="BE208" s="10">
        <f t="shared" si="83"/>
        <v>6585600</v>
      </c>
      <c r="BX208" s="10">
        <v>198</v>
      </c>
      <c r="BY208" s="10">
        <f t="shared" si="78"/>
        <v>112000</v>
      </c>
      <c r="BZ208" s="10">
        <f t="shared" si="78"/>
        <v>168000</v>
      </c>
      <c r="CA208" s="10">
        <f t="shared" si="78"/>
        <v>224000</v>
      </c>
      <c r="CB208" s="10">
        <f t="shared" si="78"/>
        <v>420000</v>
      </c>
      <c r="CC208" s="10">
        <f t="shared" si="78"/>
        <v>1400000</v>
      </c>
    </row>
    <row r="209" spans="15:81" x14ac:dyDescent="0.15">
      <c r="O209" s="2">
        <v>198</v>
      </c>
      <c r="P209" s="2">
        <f t="shared" si="75"/>
        <v>3960</v>
      </c>
      <c r="AC209" s="2">
        <v>199</v>
      </c>
      <c r="AD209" s="2">
        <f t="shared" si="67"/>
        <v>0</v>
      </c>
      <c r="AE209" s="2">
        <f t="shared" si="68"/>
        <v>3943.3333333333335</v>
      </c>
      <c r="AF209" s="2">
        <f t="shared" si="69"/>
        <v>9858.3333333333339</v>
      </c>
      <c r="AG209" s="2">
        <f t="shared" si="70"/>
        <v>19716.666666666668</v>
      </c>
      <c r="AH209" s="2">
        <f t="shared" si="71"/>
        <v>39433.333333333336</v>
      </c>
      <c r="AZ209" s="10">
        <v>199</v>
      </c>
      <c r="BA209" s="10">
        <f t="shared" si="79"/>
        <v>2208266.6666666665</v>
      </c>
      <c r="BB209" s="10">
        <f t="shared" si="80"/>
        <v>3312400</v>
      </c>
      <c r="BC209" s="10">
        <f t="shared" si="81"/>
        <v>4416533.333333333</v>
      </c>
      <c r="BD209" s="10">
        <f t="shared" si="82"/>
        <v>5520666.666666667</v>
      </c>
      <c r="BE209" s="10">
        <f t="shared" si="83"/>
        <v>6624800</v>
      </c>
      <c r="BX209" s="10">
        <v>199</v>
      </c>
      <c r="BY209" s="10">
        <f t="shared" si="78"/>
        <v>112666.66666666667</v>
      </c>
      <c r="BZ209" s="10">
        <f t="shared" si="78"/>
        <v>169000</v>
      </c>
      <c r="CA209" s="10">
        <f t="shared" si="78"/>
        <v>225333.33333333334</v>
      </c>
      <c r="CB209" s="10">
        <f t="shared" si="78"/>
        <v>422500</v>
      </c>
      <c r="CC209" s="10">
        <f t="shared" si="78"/>
        <v>1408333.3333333333</v>
      </c>
    </row>
    <row r="210" spans="15:81" x14ac:dyDescent="0.15">
      <c r="O210" s="2">
        <v>199</v>
      </c>
      <c r="P210" s="2">
        <f t="shared" si="75"/>
        <v>3980</v>
      </c>
      <c r="AC210" s="2">
        <v>200</v>
      </c>
      <c r="AD210" s="2">
        <f t="shared" ref="AD210:AD273" si="84">INDEX($D$30:$D$34,MATCH(C$21,$B$30:$B$34,0))*MAX($AC210-$C$7,0)*$C$8/30</f>
        <v>0</v>
      </c>
      <c r="AE210" s="2">
        <f t="shared" ref="AE210:AE273" si="85">INDEX($D$30:$D$34,MATCH(D$21,$B$30:$B$34,0))*MAX($AC210-$C$7,0)*$C$8/30</f>
        <v>3966.6666666666665</v>
      </c>
      <c r="AF210" s="2">
        <f t="shared" ref="AF210:AF273" si="86">INDEX($D$30:$D$34,MATCH(E$21,$B$30:$B$34,0))*MAX($AC210-$C$7,0)*$C$8/30</f>
        <v>9916.6666666666661</v>
      </c>
      <c r="AG210" s="2">
        <f t="shared" ref="AG210:AG273" si="87">INDEX($D$30:$D$34,MATCH(F$21,$B$30:$B$34,0))*MAX($AC210-$C$7,0)*$C$8/30</f>
        <v>19833.333333333332</v>
      </c>
      <c r="AH210" s="2">
        <f t="shared" ref="AH210:AH273" si="88">INDEX($D$30:$D$34,MATCH(G$21,$B$30:$B$34,0))*MAX($AC210-$C$7,0)*$C$8/30</f>
        <v>39666.666666666664</v>
      </c>
      <c r="AZ210" s="10">
        <v>200</v>
      </c>
      <c r="BA210" s="10">
        <f t="shared" si="79"/>
        <v>2221333.3333333335</v>
      </c>
      <c r="BB210" s="10">
        <f t="shared" si="80"/>
        <v>3332000</v>
      </c>
      <c r="BC210" s="10">
        <f t="shared" si="81"/>
        <v>4442666.666666667</v>
      </c>
      <c r="BD210" s="10">
        <f t="shared" si="82"/>
        <v>5553333.333333333</v>
      </c>
      <c r="BE210" s="10">
        <f t="shared" si="83"/>
        <v>6664000</v>
      </c>
      <c r="BX210" s="10">
        <v>200</v>
      </c>
      <c r="BY210" s="10">
        <f t="shared" si="78"/>
        <v>113333.33333333333</v>
      </c>
      <c r="BZ210" s="10">
        <f t="shared" si="78"/>
        <v>170000</v>
      </c>
      <c r="CA210" s="10">
        <f t="shared" si="78"/>
        <v>226666.66666666666</v>
      </c>
      <c r="CB210" s="10">
        <f t="shared" si="78"/>
        <v>425000</v>
      </c>
      <c r="CC210" s="10">
        <f t="shared" si="78"/>
        <v>1416666.6666666667</v>
      </c>
    </row>
    <row r="211" spans="15:81" x14ac:dyDescent="0.15">
      <c r="O211" s="2">
        <v>200</v>
      </c>
      <c r="P211" s="2">
        <f t="shared" si="75"/>
        <v>4000</v>
      </c>
      <c r="AC211" s="2">
        <v>201</v>
      </c>
      <c r="AD211" s="2">
        <f t="shared" si="84"/>
        <v>0</v>
      </c>
      <c r="AE211" s="2">
        <f t="shared" si="85"/>
        <v>3990</v>
      </c>
      <c r="AF211" s="2">
        <f t="shared" si="86"/>
        <v>9975</v>
      </c>
      <c r="AG211" s="2">
        <f t="shared" si="87"/>
        <v>19950</v>
      </c>
      <c r="AH211" s="2">
        <f t="shared" si="88"/>
        <v>39900</v>
      </c>
      <c r="AZ211" s="10">
        <v>201</v>
      </c>
      <c r="BA211" s="10">
        <f t="shared" si="79"/>
        <v>2234400</v>
      </c>
      <c r="BB211" s="10">
        <f t="shared" si="80"/>
        <v>3351600</v>
      </c>
      <c r="BC211" s="10">
        <f t="shared" si="81"/>
        <v>4468800</v>
      </c>
      <c r="BD211" s="10">
        <f t="shared" si="82"/>
        <v>5586000</v>
      </c>
      <c r="BE211" s="10">
        <f t="shared" si="83"/>
        <v>6703200</v>
      </c>
      <c r="BX211" s="10">
        <v>201</v>
      </c>
      <c r="BY211" s="10">
        <f t="shared" ref="BY211:CC220" si="89">MAX($BX211-$C$7,0)*INDEX($BU$7:$BU$15,MATCH(BY$10,$BT$7:$BT$15,0))/30</f>
        <v>114000</v>
      </c>
      <c r="BZ211" s="10">
        <f t="shared" si="89"/>
        <v>171000</v>
      </c>
      <c r="CA211" s="10">
        <f t="shared" si="89"/>
        <v>228000</v>
      </c>
      <c r="CB211" s="10">
        <f t="shared" si="89"/>
        <v>427500</v>
      </c>
      <c r="CC211" s="10">
        <f t="shared" si="89"/>
        <v>1425000</v>
      </c>
    </row>
    <row r="212" spans="15:81" x14ac:dyDescent="0.15">
      <c r="O212" s="2">
        <v>201</v>
      </c>
      <c r="P212" s="2">
        <f t="shared" si="75"/>
        <v>4020</v>
      </c>
      <c r="AC212" s="2">
        <v>202</v>
      </c>
      <c r="AD212" s="2">
        <f t="shared" si="84"/>
        <v>0</v>
      </c>
      <c r="AE212" s="2">
        <f t="shared" si="85"/>
        <v>4013.3333333333335</v>
      </c>
      <c r="AF212" s="2">
        <f t="shared" si="86"/>
        <v>10033.333333333334</v>
      </c>
      <c r="AG212" s="2">
        <f t="shared" si="87"/>
        <v>20066.666666666668</v>
      </c>
      <c r="AH212" s="2">
        <f t="shared" si="88"/>
        <v>40133.333333333336</v>
      </c>
      <c r="AZ212" s="10">
        <v>202</v>
      </c>
      <c r="BA212" s="10">
        <f t="shared" si="79"/>
        <v>2247466.6666666665</v>
      </c>
      <c r="BB212" s="10">
        <f t="shared" si="80"/>
        <v>3371200</v>
      </c>
      <c r="BC212" s="10">
        <f t="shared" si="81"/>
        <v>4494933.333333333</v>
      </c>
      <c r="BD212" s="10">
        <f t="shared" si="82"/>
        <v>5618666.666666667</v>
      </c>
      <c r="BE212" s="10">
        <f t="shared" si="83"/>
        <v>6742400</v>
      </c>
      <c r="BX212" s="10">
        <v>202</v>
      </c>
      <c r="BY212" s="10">
        <f t="shared" si="89"/>
        <v>114666.66666666667</v>
      </c>
      <c r="BZ212" s="10">
        <f t="shared" si="89"/>
        <v>172000</v>
      </c>
      <c r="CA212" s="10">
        <f t="shared" si="89"/>
        <v>229333.33333333334</v>
      </c>
      <c r="CB212" s="10">
        <f t="shared" si="89"/>
        <v>430000</v>
      </c>
      <c r="CC212" s="10">
        <f t="shared" si="89"/>
        <v>1433333.3333333333</v>
      </c>
    </row>
    <row r="213" spans="15:81" x14ac:dyDescent="0.15">
      <c r="O213" s="2">
        <v>202</v>
      </c>
      <c r="P213" s="2">
        <f t="shared" si="75"/>
        <v>4040</v>
      </c>
      <c r="AC213" s="2">
        <v>203</v>
      </c>
      <c r="AD213" s="2">
        <f t="shared" si="84"/>
        <v>0</v>
      </c>
      <c r="AE213" s="2">
        <f t="shared" si="85"/>
        <v>4036.6666666666665</v>
      </c>
      <c r="AF213" s="2">
        <f t="shared" si="86"/>
        <v>10091.666666666666</v>
      </c>
      <c r="AG213" s="2">
        <f t="shared" si="87"/>
        <v>20183.333333333332</v>
      </c>
      <c r="AH213" s="2">
        <f t="shared" si="88"/>
        <v>40366.666666666664</v>
      </c>
      <c r="AZ213" s="10">
        <v>203</v>
      </c>
      <c r="BA213" s="10">
        <f t="shared" si="79"/>
        <v>2260533.3333333335</v>
      </c>
      <c r="BB213" s="10">
        <f t="shared" si="80"/>
        <v>3390800</v>
      </c>
      <c r="BC213" s="10">
        <f t="shared" si="81"/>
        <v>4521066.666666667</v>
      </c>
      <c r="BD213" s="10">
        <f t="shared" si="82"/>
        <v>5651333.333333333</v>
      </c>
      <c r="BE213" s="10">
        <f t="shared" si="83"/>
        <v>6781600</v>
      </c>
      <c r="BX213" s="10">
        <v>203</v>
      </c>
      <c r="BY213" s="10">
        <f t="shared" si="89"/>
        <v>115333.33333333333</v>
      </c>
      <c r="BZ213" s="10">
        <f t="shared" si="89"/>
        <v>173000</v>
      </c>
      <c r="CA213" s="10">
        <f t="shared" si="89"/>
        <v>230666.66666666666</v>
      </c>
      <c r="CB213" s="10">
        <f t="shared" si="89"/>
        <v>432500</v>
      </c>
      <c r="CC213" s="10">
        <f t="shared" si="89"/>
        <v>1441666.6666666667</v>
      </c>
    </row>
    <row r="214" spans="15:81" x14ac:dyDescent="0.15">
      <c r="O214" s="2">
        <v>203</v>
      </c>
      <c r="P214" s="2">
        <f t="shared" si="75"/>
        <v>4060</v>
      </c>
      <c r="AC214" s="2">
        <v>204</v>
      </c>
      <c r="AD214" s="2">
        <f t="shared" si="84"/>
        <v>0</v>
      </c>
      <c r="AE214" s="2">
        <f t="shared" si="85"/>
        <v>4060</v>
      </c>
      <c r="AF214" s="2">
        <f t="shared" si="86"/>
        <v>10150</v>
      </c>
      <c r="AG214" s="2">
        <f t="shared" si="87"/>
        <v>20300</v>
      </c>
      <c r="AH214" s="2">
        <f t="shared" si="88"/>
        <v>40600</v>
      </c>
      <c r="AZ214" s="10">
        <v>204</v>
      </c>
      <c r="BA214" s="10">
        <f t="shared" si="79"/>
        <v>2273600</v>
      </c>
      <c r="BB214" s="10">
        <f t="shared" si="80"/>
        <v>3410400</v>
      </c>
      <c r="BC214" s="10">
        <f t="shared" si="81"/>
        <v>4547200</v>
      </c>
      <c r="BD214" s="10">
        <f t="shared" si="82"/>
        <v>5684000</v>
      </c>
      <c r="BE214" s="10">
        <f t="shared" si="83"/>
        <v>6820800</v>
      </c>
      <c r="BX214" s="10">
        <v>204</v>
      </c>
      <c r="BY214" s="10">
        <f t="shared" si="89"/>
        <v>116000</v>
      </c>
      <c r="BZ214" s="10">
        <f t="shared" si="89"/>
        <v>174000</v>
      </c>
      <c r="CA214" s="10">
        <f t="shared" si="89"/>
        <v>232000</v>
      </c>
      <c r="CB214" s="10">
        <f t="shared" si="89"/>
        <v>435000</v>
      </c>
      <c r="CC214" s="10">
        <f t="shared" si="89"/>
        <v>1450000</v>
      </c>
    </row>
    <row r="215" spans="15:81" x14ac:dyDescent="0.15">
      <c r="O215" s="2">
        <v>204</v>
      </c>
      <c r="P215" s="2">
        <f t="shared" si="75"/>
        <v>4080</v>
      </c>
      <c r="AC215" s="2">
        <v>205</v>
      </c>
      <c r="AD215" s="2">
        <f t="shared" si="84"/>
        <v>0</v>
      </c>
      <c r="AE215" s="2">
        <f t="shared" si="85"/>
        <v>4083.3333333333335</v>
      </c>
      <c r="AF215" s="2">
        <f t="shared" si="86"/>
        <v>10208.333333333334</v>
      </c>
      <c r="AG215" s="2">
        <f t="shared" si="87"/>
        <v>20416.666666666668</v>
      </c>
      <c r="AH215" s="2">
        <f t="shared" si="88"/>
        <v>40833.333333333336</v>
      </c>
      <c r="AZ215" s="10">
        <v>205</v>
      </c>
      <c r="BA215" s="10">
        <f t="shared" si="79"/>
        <v>2286666.6666666665</v>
      </c>
      <c r="BB215" s="10">
        <f t="shared" si="80"/>
        <v>3430000</v>
      </c>
      <c r="BC215" s="10">
        <f t="shared" si="81"/>
        <v>4573333.333333333</v>
      </c>
      <c r="BD215" s="10">
        <f t="shared" si="82"/>
        <v>5716666.666666667</v>
      </c>
      <c r="BE215" s="10">
        <f t="shared" si="83"/>
        <v>6860000</v>
      </c>
      <c r="BX215" s="10">
        <v>205</v>
      </c>
      <c r="BY215" s="10">
        <f t="shared" si="89"/>
        <v>116666.66666666667</v>
      </c>
      <c r="BZ215" s="10">
        <f t="shared" si="89"/>
        <v>175000</v>
      </c>
      <c r="CA215" s="10">
        <f t="shared" si="89"/>
        <v>233333.33333333334</v>
      </c>
      <c r="CB215" s="10">
        <f t="shared" si="89"/>
        <v>437500</v>
      </c>
      <c r="CC215" s="10">
        <f t="shared" si="89"/>
        <v>1458333.3333333333</v>
      </c>
    </row>
    <row r="216" spans="15:81" x14ac:dyDescent="0.15">
      <c r="O216" s="2">
        <v>205</v>
      </c>
      <c r="P216" s="2">
        <f t="shared" si="75"/>
        <v>4100</v>
      </c>
      <c r="AC216" s="2">
        <v>206</v>
      </c>
      <c r="AD216" s="2">
        <f t="shared" si="84"/>
        <v>0</v>
      </c>
      <c r="AE216" s="2">
        <f t="shared" si="85"/>
        <v>4106.666666666667</v>
      </c>
      <c r="AF216" s="2">
        <f t="shared" si="86"/>
        <v>10266.666666666666</v>
      </c>
      <c r="AG216" s="2">
        <f t="shared" si="87"/>
        <v>20533.333333333332</v>
      </c>
      <c r="AH216" s="2">
        <f t="shared" si="88"/>
        <v>41066.666666666664</v>
      </c>
      <c r="AZ216" s="10">
        <v>206</v>
      </c>
      <c r="BA216" s="10">
        <f t="shared" si="79"/>
        <v>2299733.3333333335</v>
      </c>
      <c r="BB216" s="10">
        <f t="shared" si="80"/>
        <v>3449600</v>
      </c>
      <c r="BC216" s="10">
        <f t="shared" si="81"/>
        <v>4599466.666666667</v>
      </c>
      <c r="BD216" s="10">
        <f t="shared" si="82"/>
        <v>5749333.333333333</v>
      </c>
      <c r="BE216" s="10">
        <f t="shared" si="83"/>
        <v>6899200</v>
      </c>
      <c r="BX216" s="10">
        <v>206</v>
      </c>
      <c r="BY216" s="10">
        <f t="shared" si="89"/>
        <v>117333.33333333333</v>
      </c>
      <c r="BZ216" s="10">
        <f t="shared" si="89"/>
        <v>176000</v>
      </c>
      <c r="CA216" s="10">
        <f t="shared" si="89"/>
        <v>234666.66666666666</v>
      </c>
      <c r="CB216" s="10">
        <f t="shared" si="89"/>
        <v>440000</v>
      </c>
      <c r="CC216" s="10">
        <f t="shared" si="89"/>
        <v>1466666.6666666667</v>
      </c>
    </row>
    <row r="217" spans="15:81" x14ac:dyDescent="0.15">
      <c r="O217" s="2">
        <v>206</v>
      </c>
      <c r="P217" s="2">
        <f t="shared" si="75"/>
        <v>4120</v>
      </c>
      <c r="AC217" s="2">
        <v>207</v>
      </c>
      <c r="AD217" s="2">
        <f t="shared" si="84"/>
        <v>0</v>
      </c>
      <c r="AE217" s="2">
        <f t="shared" si="85"/>
        <v>4130</v>
      </c>
      <c r="AF217" s="2">
        <f t="shared" si="86"/>
        <v>10325</v>
      </c>
      <c r="AG217" s="2">
        <f t="shared" si="87"/>
        <v>20650</v>
      </c>
      <c r="AH217" s="2">
        <f t="shared" si="88"/>
        <v>41300</v>
      </c>
      <c r="AZ217" s="10">
        <v>207</v>
      </c>
      <c r="BA217" s="10">
        <f t="shared" si="79"/>
        <v>2312800</v>
      </c>
      <c r="BB217" s="10">
        <f t="shared" si="80"/>
        <v>3469200</v>
      </c>
      <c r="BC217" s="10">
        <f t="shared" si="81"/>
        <v>4625600</v>
      </c>
      <c r="BD217" s="10">
        <f t="shared" si="82"/>
        <v>5782000</v>
      </c>
      <c r="BE217" s="10">
        <f t="shared" si="83"/>
        <v>6938400</v>
      </c>
      <c r="BX217" s="10">
        <v>207</v>
      </c>
      <c r="BY217" s="10">
        <f t="shared" si="89"/>
        <v>118000</v>
      </c>
      <c r="BZ217" s="10">
        <f t="shared" si="89"/>
        <v>177000</v>
      </c>
      <c r="CA217" s="10">
        <f t="shared" si="89"/>
        <v>236000</v>
      </c>
      <c r="CB217" s="10">
        <f t="shared" si="89"/>
        <v>442500</v>
      </c>
      <c r="CC217" s="10">
        <f t="shared" si="89"/>
        <v>1475000</v>
      </c>
    </row>
    <row r="218" spans="15:81" x14ac:dyDescent="0.15">
      <c r="O218" s="2">
        <v>207</v>
      </c>
      <c r="P218" s="2">
        <f t="shared" si="75"/>
        <v>4140</v>
      </c>
      <c r="AC218" s="2">
        <v>208</v>
      </c>
      <c r="AD218" s="2">
        <f t="shared" si="84"/>
        <v>0</v>
      </c>
      <c r="AE218" s="2">
        <f t="shared" si="85"/>
        <v>4153.333333333333</v>
      </c>
      <c r="AF218" s="2">
        <f t="shared" si="86"/>
        <v>10383.333333333334</v>
      </c>
      <c r="AG218" s="2">
        <f t="shared" si="87"/>
        <v>20766.666666666668</v>
      </c>
      <c r="AH218" s="2">
        <f t="shared" si="88"/>
        <v>41533.333333333336</v>
      </c>
      <c r="AZ218" s="10">
        <v>208</v>
      </c>
      <c r="BA218" s="10">
        <f t="shared" si="79"/>
        <v>2325866.6666666665</v>
      </c>
      <c r="BB218" s="10">
        <f t="shared" si="80"/>
        <v>3488800</v>
      </c>
      <c r="BC218" s="10">
        <f t="shared" si="81"/>
        <v>4651733.333333333</v>
      </c>
      <c r="BD218" s="10">
        <f t="shared" si="82"/>
        <v>5814666.666666667</v>
      </c>
      <c r="BE218" s="10">
        <f t="shared" si="83"/>
        <v>6977600</v>
      </c>
      <c r="BX218" s="10">
        <v>208</v>
      </c>
      <c r="BY218" s="10">
        <f t="shared" si="89"/>
        <v>118666.66666666667</v>
      </c>
      <c r="BZ218" s="10">
        <f t="shared" si="89"/>
        <v>178000</v>
      </c>
      <c r="CA218" s="10">
        <f t="shared" si="89"/>
        <v>237333.33333333334</v>
      </c>
      <c r="CB218" s="10">
        <f t="shared" si="89"/>
        <v>445000</v>
      </c>
      <c r="CC218" s="10">
        <f t="shared" si="89"/>
        <v>1483333.3333333333</v>
      </c>
    </row>
    <row r="219" spans="15:81" x14ac:dyDescent="0.15">
      <c r="O219" s="2">
        <v>208</v>
      </c>
      <c r="P219" s="2">
        <f t="shared" si="75"/>
        <v>4160</v>
      </c>
      <c r="AC219" s="2">
        <v>209</v>
      </c>
      <c r="AD219" s="2">
        <f t="shared" si="84"/>
        <v>0</v>
      </c>
      <c r="AE219" s="2">
        <f t="shared" si="85"/>
        <v>4176.666666666667</v>
      </c>
      <c r="AF219" s="2">
        <f t="shared" si="86"/>
        <v>10441.666666666666</v>
      </c>
      <c r="AG219" s="2">
        <f t="shared" si="87"/>
        <v>20883.333333333332</v>
      </c>
      <c r="AH219" s="2">
        <f t="shared" si="88"/>
        <v>41766.666666666664</v>
      </c>
      <c r="AZ219" s="10">
        <v>209</v>
      </c>
      <c r="BA219" s="10">
        <f t="shared" si="79"/>
        <v>2338933.3333333335</v>
      </c>
      <c r="BB219" s="10">
        <f t="shared" si="80"/>
        <v>3508400</v>
      </c>
      <c r="BC219" s="10">
        <f t="shared" si="81"/>
        <v>4677866.666666667</v>
      </c>
      <c r="BD219" s="10">
        <f t="shared" si="82"/>
        <v>5847333.333333333</v>
      </c>
      <c r="BE219" s="10">
        <f t="shared" si="83"/>
        <v>7016800</v>
      </c>
      <c r="BX219" s="10">
        <v>209</v>
      </c>
      <c r="BY219" s="10">
        <f t="shared" si="89"/>
        <v>119333.33333333333</v>
      </c>
      <c r="BZ219" s="10">
        <f t="shared" si="89"/>
        <v>179000</v>
      </c>
      <c r="CA219" s="10">
        <f t="shared" si="89"/>
        <v>238666.66666666666</v>
      </c>
      <c r="CB219" s="10">
        <f t="shared" si="89"/>
        <v>447500</v>
      </c>
      <c r="CC219" s="10">
        <f t="shared" si="89"/>
        <v>1491666.6666666667</v>
      </c>
    </row>
    <row r="220" spans="15:81" x14ac:dyDescent="0.15">
      <c r="O220" s="2">
        <v>209</v>
      </c>
      <c r="P220" s="2">
        <f t="shared" si="75"/>
        <v>4180</v>
      </c>
      <c r="AC220" s="2">
        <v>210</v>
      </c>
      <c r="AD220" s="2">
        <f t="shared" si="84"/>
        <v>0</v>
      </c>
      <c r="AE220" s="2">
        <f t="shared" si="85"/>
        <v>4200</v>
      </c>
      <c r="AF220" s="2">
        <f t="shared" si="86"/>
        <v>10500</v>
      </c>
      <c r="AG220" s="2">
        <f t="shared" si="87"/>
        <v>21000</v>
      </c>
      <c r="AH220" s="2">
        <f t="shared" si="88"/>
        <v>42000</v>
      </c>
      <c r="AZ220" s="10">
        <v>210</v>
      </c>
      <c r="BA220" s="10">
        <f t="shared" si="79"/>
        <v>2352000</v>
      </c>
      <c r="BB220" s="10">
        <f t="shared" si="80"/>
        <v>3528000</v>
      </c>
      <c r="BC220" s="10">
        <f t="shared" si="81"/>
        <v>4704000</v>
      </c>
      <c r="BD220" s="10">
        <f t="shared" si="82"/>
        <v>5880000</v>
      </c>
      <c r="BE220" s="10">
        <f t="shared" si="83"/>
        <v>7056000</v>
      </c>
      <c r="BX220" s="10">
        <v>210</v>
      </c>
      <c r="BY220" s="10">
        <f t="shared" si="89"/>
        <v>120000</v>
      </c>
      <c r="BZ220" s="10">
        <f t="shared" si="89"/>
        <v>180000</v>
      </c>
      <c r="CA220" s="10">
        <f t="shared" si="89"/>
        <v>240000</v>
      </c>
      <c r="CB220" s="10">
        <f t="shared" si="89"/>
        <v>450000</v>
      </c>
      <c r="CC220" s="10">
        <f t="shared" si="89"/>
        <v>1500000</v>
      </c>
    </row>
    <row r="221" spans="15:81" x14ac:dyDescent="0.15">
      <c r="O221" s="2">
        <v>210</v>
      </c>
      <c r="P221" s="2">
        <f t="shared" si="75"/>
        <v>4200</v>
      </c>
      <c r="AC221" s="2">
        <v>211</v>
      </c>
      <c r="AD221" s="2">
        <f t="shared" si="84"/>
        <v>0</v>
      </c>
      <c r="AE221" s="2">
        <f t="shared" si="85"/>
        <v>4223.333333333333</v>
      </c>
      <c r="AF221" s="2">
        <f t="shared" si="86"/>
        <v>10558.333333333334</v>
      </c>
      <c r="AG221" s="2">
        <f t="shared" si="87"/>
        <v>21116.666666666668</v>
      </c>
      <c r="AH221" s="2">
        <f t="shared" si="88"/>
        <v>42233.333333333336</v>
      </c>
      <c r="AZ221" s="10">
        <v>211</v>
      </c>
      <c r="BA221" s="10">
        <f t="shared" si="79"/>
        <v>2365066.6666666665</v>
      </c>
      <c r="BB221" s="10">
        <f t="shared" si="80"/>
        <v>3547600</v>
      </c>
      <c r="BC221" s="10">
        <f t="shared" si="81"/>
        <v>4730133.333333333</v>
      </c>
      <c r="BD221" s="10">
        <f t="shared" si="82"/>
        <v>5912666.666666667</v>
      </c>
      <c r="BE221" s="10">
        <f t="shared" si="83"/>
        <v>7095200</v>
      </c>
      <c r="BX221" s="10">
        <v>211</v>
      </c>
      <c r="BY221" s="10">
        <f t="shared" ref="BY221:CC230" si="90">MAX($BX221-$C$7,0)*INDEX($BU$7:$BU$15,MATCH(BY$10,$BT$7:$BT$15,0))/30</f>
        <v>120666.66666666667</v>
      </c>
      <c r="BZ221" s="10">
        <f t="shared" si="90"/>
        <v>181000</v>
      </c>
      <c r="CA221" s="10">
        <f t="shared" si="90"/>
        <v>241333.33333333334</v>
      </c>
      <c r="CB221" s="10">
        <f t="shared" si="90"/>
        <v>452500</v>
      </c>
      <c r="CC221" s="10">
        <f t="shared" si="90"/>
        <v>1508333.3333333333</v>
      </c>
    </row>
    <row r="222" spans="15:81" x14ac:dyDescent="0.15">
      <c r="AC222" s="2">
        <v>212</v>
      </c>
      <c r="AD222" s="2">
        <f t="shared" si="84"/>
        <v>0</v>
      </c>
      <c r="AE222" s="2">
        <f t="shared" si="85"/>
        <v>4246.666666666667</v>
      </c>
      <c r="AF222" s="2">
        <f t="shared" si="86"/>
        <v>10616.666666666666</v>
      </c>
      <c r="AG222" s="2">
        <f t="shared" si="87"/>
        <v>21233.333333333332</v>
      </c>
      <c r="AH222" s="2">
        <f t="shared" si="88"/>
        <v>42466.666666666664</v>
      </c>
      <c r="AZ222" s="10">
        <v>212</v>
      </c>
      <c r="BA222" s="10">
        <f t="shared" si="79"/>
        <v>2378133.3333333335</v>
      </c>
      <c r="BB222" s="10">
        <f t="shared" si="80"/>
        <v>3567200</v>
      </c>
      <c r="BC222" s="10">
        <f t="shared" si="81"/>
        <v>4756266.666666667</v>
      </c>
      <c r="BD222" s="10">
        <f t="shared" si="82"/>
        <v>5945333.333333333</v>
      </c>
      <c r="BE222" s="10">
        <f t="shared" si="83"/>
        <v>7134400</v>
      </c>
      <c r="BX222" s="10">
        <v>212</v>
      </c>
      <c r="BY222" s="10">
        <f t="shared" si="90"/>
        <v>121333.33333333333</v>
      </c>
      <c r="BZ222" s="10">
        <f t="shared" si="90"/>
        <v>182000</v>
      </c>
      <c r="CA222" s="10">
        <f t="shared" si="90"/>
        <v>242666.66666666666</v>
      </c>
      <c r="CB222" s="10">
        <f t="shared" si="90"/>
        <v>455000</v>
      </c>
      <c r="CC222" s="10">
        <f t="shared" si="90"/>
        <v>1516666.6666666667</v>
      </c>
    </row>
    <row r="223" spans="15:81" x14ac:dyDescent="0.15">
      <c r="AC223" s="2">
        <v>213</v>
      </c>
      <c r="AD223" s="2">
        <f t="shared" si="84"/>
        <v>0</v>
      </c>
      <c r="AE223" s="2">
        <f t="shared" si="85"/>
        <v>4270</v>
      </c>
      <c r="AF223" s="2">
        <f t="shared" si="86"/>
        <v>10675</v>
      </c>
      <c r="AG223" s="2">
        <f t="shared" si="87"/>
        <v>21350</v>
      </c>
      <c r="AH223" s="2">
        <f t="shared" si="88"/>
        <v>42700</v>
      </c>
      <c r="AZ223" s="10">
        <v>213</v>
      </c>
      <c r="BA223" s="10">
        <f t="shared" si="79"/>
        <v>2391200</v>
      </c>
      <c r="BB223" s="10">
        <f t="shared" si="80"/>
        <v>3586800</v>
      </c>
      <c r="BC223" s="10">
        <f t="shared" si="81"/>
        <v>4782400</v>
      </c>
      <c r="BD223" s="10">
        <f t="shared" si="82"/>
        <v>5978000</v>
      </c>
      <c r="BE223" s="10">
        <f t="shared" si="83"/>
        <v>7173600</v>
      </c>
      <c r="BX223" s="10">
        <v>213</v>
      </c>
      <c r="BY223" s="10">
        <f t="shared" si="90"/>
        <v>122000</v>
      </c>
      <c r="BZ223" s="10">
        <f t="shared" si="90"/>
        <v>183000</v>
      </c>
      <c r="CA223" s="10">
        <f t="shared" si="90"/>
        <v>244000</v>
      </c>
      <c r="CB223" s="10">
        <f t="shared" si="90"/>
        <v>457500</v>
      </c>
      <c r="CC223" s="10">
        <f t="shared" si="90"/>
        <v>1525000</v>
      </c>
    </row>
    <row r="224" spans="15:81" x14ac:dyDescent="0.15">
      <c r="AC224" s="2">
        <v>214</v>
      </c>
      <c r="AD224" s="2">
        <f t="shared" si="84"/>
        <v>0</v>
      </c>
      <c r="AE224" s="2">
        <f t="shared" si="85"/>
        <v>4293.333333333333</v>
      </c>
      <c r="AF224" s="2">
        <f t="shared" si="86"/>
        <v>10733.333333333334</v>
      </c>
      <c r="AG224" s="2">
        <f t="shared" si="87"/>
        <v>21466.666666666668</v>
      </c>
      <c r="AH224" s="2">
        <f t="shared" si="88"/>
        <v>42933.333333333336</v>
      </c>
      <c r="AZ224" s="10">
        <v>214</v>
      </c>
      <c r="BA224" s="10">
        <f t="shared" si="79"/>
        <v>2404266.6666666665</v>
      </c>
      <c r="BB224" s="10">
        <f t="shared" si="80"/>
        <v>3606400</v>
      </c>
      <c r="BC224" s="10">
        <f t="shared" si="81"/>
        <v>4808533.333333333</v>
      </c>
      <c r="BD224" s="10">
        <f t="shared" si="82"/>
        <v>6010666.666666667</v>
      </c>
      <c r="BE224" s="10">
        <f t="shared" si="83"/>
        <v>7212800</v>
      </c>
      <c r="BX224" s="10">
        <v>214</v>
      </c>
      <c r="BY224" s="10">
        <f t="shared" si="90"/>
        <v>122666.66666666667</v>
      </c>
      <c r="BZ224" s="10">
        <f t="shared" si="90"/>
        <v>184000</v>
      </c>
      <c r="CA224" s="10">
        <f t="shared" si="90"/>
        <v>245333.33333333334</v>
      </c>
      <c r="CB224" s="10">
        <f t="shared" si="90"/>
        <v>460000</v>
      </c>
      <c r="CC224" s="10">
        <f t="shared" si="90"/>
        <v>1533333.3333333333</v>
      </c>
    </row>
    <row r="225" spans="29:81" x14ac:dyDescent="0.15">
      <c r="AC225" s="2">
        <v>215</v>
      </c>
      <c r="AD225" s="2">
        <f t="shared" si="84"/>
        <v>0</v>
      </c>
      <c r="AE225" s="2">
        <f t="shared" si="85"/>
        <v>4316.666666666667</v>
      </c>
      <c r="AF225" s="2">
        <f t="shared" si="86"/>
        <v>10791.666666666666</v>
      </c>
      <c r="AG225" s="2">
        <f t="shared" si="87"/>
        <v>21583.333333333332</v>
      </c>
      <c r="AH225" s="2">
        <f t="shared" si="88"/>
        <v>43166.666666666664</v>
      </c>
      <c r="AZ225" s="10">
        <v>215</v>
      </c>
      <c r="BA225" s="10">
        <f t="shared" si="79"/>
        <v>2417333.3333333335</v>
      </c>
      <c r="BB225" s="10">
        <f t="shared" si="80"/>
        <v>3626000</v>
      </c>
      <c r="BC225" s="10">
        <f t="shared" si="81"/>
        <v>4834666.666666667</v>
      </c>
      <c r="BD225" s="10">
        <f t="shared" si="82"/>
        <v>6043333.333333333</v>
      </c>
      <c r="BE225" s="10">
        <f t="shared" si="83"/>
        <v>7252000</v>
      </c>
      <c r="BX225" s="10">
        <v>215</v>
      </c>
      <c r="BY225" s="10">
        <f t="shared" si="90"/>
        <v>123333.33333333333</v>
      </c>
      <c r="BZ225" s="10">
        <f t="shared" si="90"/>
        <v>185000</v>
      </c>
      <c r="CA225" s="10">
        <f t="shared" si="90"/>
        <v>246666.66666666666</v>
      </c>
      <c r="CB225" s="10">
        <f t="shared" si="90"/>
        <v>462500</v>
      </c>
      <c r="CC225" s="10">
        <f t="shared" si="90"/>
        <v>1541666.6666666667</v>
      </c>
    </row>
    <row r="226" spans="29:81" x14ac:dyDescent="0.15">
      <c r="AC226" s="2">
        <v>216</v>
      </c>
      <c r="AD226" s="2">
        <f t="shared" si="84"/>
        <v>0</v>
      </c>
      <c r="AE226" s="2">
        <f t="shared" si="85"/>
        <v>4340</v>
      </c>
      <c r="AF226" s="2">
        <f t="shared" si="86"/>
        <v>10850</v>
      </c>
      <c r="AG226" s="2">
        <f t="shared" si="87"/>
        <v>21700</v>
      </c>
      <c r="AH226" s="2">
        <f t="shared" si="88"/>
        <v>43400</v>
      </c>
      <c r="AZ226" s="10">
        <v>216</v>
      </c>
      <c r="BA226" s="10">
        <f t="shared" si="79"/>
        <v>2430400</v>
      </c>
      <c r="BB226" s="10">
        <f t="shared" si="80"/>
        <v>3645600</v>
      </c>
      <c r="BC226" s="10">
        <f t="shared" si="81"/>
        <v>4860800</v>
      </c>
      <c r="BD226" s="10">
        <f t="shared" si="82"/>
        <v>6076000</v>
      </c>
      <c r="BE226" s="10">
        <f t="shared" si="83"/>
        <v>7291200</v>
      </c>
      <c r="BX226" s="10">
        <v>216</v>
      </c>
      <c r="BY226" s="10">
        <f t="shared" si="90"/>
        <v>124000</v>
      </c>
      <c r="BZ226" s="10">
        <f t="shared" si="90"/>
        <v>186000</v>
      </c>
      <c r="CA226" s="10">
        <f t="shared" si="90"/>
        <v>248000</v>
      </c>
      <c r="CB226" s="10">
        <f t="shared" si="90"/>
        <v>465000</v>
      </c>
      <c r="CC226" s="10">
        <f t="shared" si="90"/>
        <v>1550000</v>
      </c>
    </row>
    <row r="227" spans="29:81" x14ac:dyDescent="0.15">
      <c r="AC227" s="2">
        <v>217</v>
      </c>
      <c r="AD227" s="2">
        <f t="shared" si="84"/>
        <v>0</v>
      </c>
      <c r="AE227" s="2">
        <f t="shared" si="85"/>
        <v>4363.333333333333</v>
      </c>
      <c r="AF227" s="2">
        <f t="shared" si="86"/>
        <v>10908.333333333334</v>
      </c>
      <c r="AG227" s="2">
        <f t="shared" si="87"/>
        <v>21816.666666666668</v>
      </c>
      <c r="AH227" s="2">
        <f t="shared" si="88"/>
        <v>43633.333333333336</v>
      </c>
      <c r="AZ227" s="10">
        <v>217</v>
      </c>
      <c r="BA227" s="10">
        <f t="shared" si="79"/>
        <v>2443466.6666666665</v>
      </c>
      <c r="BB227" s="10">
        <f t="shared" si="80"/>
        <v>3665200</v>
      </c>
      <c r="BC227" s="10">
        <f t="shared" si="81"/>
        <v>4886933.333333333</v>
      </c>
      <c r="BD227" s="10">
        <f t="shared" si="82"/>
        <v>6108666.666666667</v>
      </c>
      <c r="BE227" s="10">
        <f t="shared" si="83"/>
        <v>7330400</v>
      </c>
      <c r="BX227" s="10">
        <v>217</v>
      </c>
      <c r="BY227" s="10">
        <f t="shared" si="90"/>
        <v>124666.66666666667</v>
      </c>
      <c r="BZ227" s="10">
        <f t="shared" si="90"/>
        <v>187000</v>
      </c>
      <c r="CA227" s="10">
        <f t="shared" si="90"/>
        <v>249333.33333333334</v>
      </c>
      <c r="CB227" s="10">
        <f t="shared" si="90"/>
        <v>467500</v>
      </c>
      <c r="CC227" s="10">
        <f t="shared" si="90"/>
        <v>1558333.3333333333</v>
      </c>
    </row>
    <row r="228" spans="29:81" x14ac:dyDescent="0.15">
      <c r="AC228" s="2">
        <v>218</v>
      </c>
      <c r="AD228" s="2">
        <f t="shared" si="84"/>
        <v>0</v>
      </c>
      <c r="AE228" s="2">
        <f t="shared" si="85"/>
        <v>4386.666666666667</v>
      </c>
      <c r="AF228" s="2">
        <f t="shared" si="86"/>
        <v>10966.666666666666</v>
      </c>
      <c r="AG228" s="2">
        <f t="shared" si="87"/>
        <v>21933.333333333332</v>
      </c>
      <c r="AH228" s="2">
        <f t="shared" si="88"/>
        <v>43866.666666666664</v>
      </c>
      <c r="AZ228" s="10">
        <v>218</v>
      </c>
      <c r="BA228" s="10">
        <f t="shared" si="79"/>
        <v>2456533.3333333335</v>
      </c>
      <c r="BB228" s="10">
        <f t="shared" si="80"/>
        <v>3684800</v>
      </c>
      <c r="BC228" s="10">
        <f t="shared" si="81"/>
        <v>4913066.666666667</v>
      </c>
      <c r="BD228" s="10">
        <f t="shared" si="82"/>
        <v>6141333.333333333</v>
      </c>
      <c r="BE228" s="10">
        <f t="shared" si="83"/>
        <v>7369600</v>
      </c>
      <c r="BX228" s="10">
        <v>218</v>
      </c>
      <c r="BY228" s="10">
        <f t="shared" si="90"/>
        <v>125333.33333333333</v>
      </c>
      <c r="BZ228" s="10">
        <f t="shared" si="90"/>
        <v>188000</v>
      </c>
      <c r="CA228" s="10">
        <f t="shared" si="90"/>
        <v>250666.66666666666</v>
      </c>
      <c r="CB228" s="10">
        <f t="shared" si="90"/>
        <v>470000</v>
      </c>
      <c r="CC228" s="10">
        <f t="shared" si="90"/>
        <v>1566666.6666666667</v>
      </c>
    </row>
    <row r="229" spans="29:81" x14ac:dyDescent="0.15">
      <c r="AC229" s="2">
        <v>219</v>
      </c>
      <c r="AD229" s="2">
        <f t="shared" si="84"/>
        <v>0</v>
      </c>
      <c r="AE229" s="2">
        <f t="shared" si="85"/>
        <v>4410</v>
      </c>
      <c r="AF229" s="2">
        <f t="shared" si="86"/>
        <v>11025</v>
      </c>
      <c r="AG229" s="2">
        <f t="shared" si="87"/>
        <v>22050</v>
      </c>
      <c r="AH229" s="2">
        <f t="shared" si="88"/>
        <v>44100</v>
      </c>
      <c r="AZ229" s="10">
        <v>219</v>
      </c>
      <c r="BA229" s="10">
        <f t="shared" si="79"/>
        <v>2469600</v>
      </c>
      <c r="BB229" s="10">
        <f t="shared" si="80"/>
        <v>3704400</v>
      </c>
      <c r="BC229" s="10">
        <f t="shared" si="81"/>
        <v>4939200</v>
      </c>
      <c r="BD229" s="10">
        <f t="shared" si="82"/>
        <v>6174000</v>
      </c>
      <c r="BE229" s="10">
        <f t="shared" si="83"/>
        <v>7408800</v>
      </c>
      <c r="BX229" s="10">
        <v>219</v>
      </c>
      <c r="BY229" s="10">
        <f t="shared" si="90"/>
        <v>126000</v>
      </c>
      <c r="BZ229" s="10">
        <f t="shared" si="90"/>
        <v>189000</v>
      </c>
      <c r="CA229" s="10">
        <f t="shared" si="90"/>
        <v>252000</v>
      </c>
      <c r="CB229" s="10">
        <f t="shared" si="90"/>
        <v>472500</v>
      </c>
      <c r="CC229" s="10">
        <f t="shared" si="90"/>
        <v>1575000</v>
      </c>
    </row>
    <row r="230" spans="29:81" x14ac:dyDescent="0.15">
      <c r="AC230" s="2">
        <v>220</v>
      </c>
      <c r="AD230" s="2">
        <f t="shared" si="84"/>
        <v>0</v>
      </c>
      <c r="AE230" s="2">
        <f t="shared" si="85"/>
        <v>4433.333333333333</v>
      </c>
      <c r="AF230" s="2">
        <f t="shared" si="86"/>
        <v>11083.333333333334</v>
      </c>
      <c r="AG230" s="2">
        <f t="shared" si="87"/>
        <v>22166.666666666668</v>
      </c>
      <c r="AH230" s="2">
        <f t="shared" si="88"/>
        <v>44333.333333333336</v>
      </c>
      <c r="AZ230" s="10">
        <v>220</v>
      </c>
      <c r="BA230" s="10">
        <f t="shared" si="79"/>
        <v>2482666.6666666665</v>
      </c>
      <c r="BB230" s="10">
        <f t="shared" si="80"/>
        <v>3724000</v>
      </c>
      <c r="BC230" s="10">
        <f t="shared" si="81"/>
        <v>4965333.333333333</v>
      </c>
      <c r="BD230" s="10">
        <f t="shared" si="82"/>
        <v>6206666.666666667</v>
      </c>
      <c r="BE230" s="10">
        <f t="shared" si="83"/>
        <v>7448000</v>
      </c>
      <c r="BX230" s="10">
        <v>220</v>
      </c>
      <c r="BY230" s="10">
        <f t="shared" si="90"/>
        <v>126666.66666666667</v>
      </c>
      <c r="BZ230" s="10">
        <f t="shared" si="90"/>
        <v>190000</v>
      </c>
      <c r="CA230" s="10">
        <f t="shared" si="90"/>
        <v>253333.33333333334</v>
      </c>
      <c r="CB230" s="10">
        <f t="shared" si="90"/>
        <v>475000</v>
      </c>
      <c r="CC230" s="10">
        <f t="shared" si="90"/>
        <v>1583333.3333333333</v>
      </c>
    </row>
    <row r="231" spans="29:81" x14ac:dyDescent="0.15">
      <c r="AC231" s="2">
        <v>221</v>
      </c>
      <c r="AD231" s="2">
        <f t="shared" si="84"/>
        <v>0</v>
      </c>
      <c r="AE231" s="2">
        <f t="shared" si="85"/>
        <v>4456.666666666667</v>
      </c>
      <c r="AF231" s="2">
        <f t="shared" si="86"/>
        <v>11141.666666666666</v>
      </c>
      <c r="AG231" s="2">
        <f t="shared" si="87"/>
        <v>22283.333333333332</v>
      </c>
      <c r="AH231" s="2">
        <f t="shared" si="88"/>
        <v>44566.666666666664</v>
      </c>
      <c r="AZ231" s="10">
        <v>221</v>
      </c>
      <c r="BA231" s="10">
        <f t="shared" si="79"/>
        <v>2495733.3333333335</v>
      </c>
      <c r="BB231" s="10">
        <f t="shared" si="80"/>
        <v>3743600</v>
      </c>
      <c r="BC231" s="10">
        <f t="shared" si="81"/>
        <v>4991466.666666667</v>
      </c>
      <c r="BD231" s="10">
        <f t="shared" si="82"/>
        <v>6239333.333333333</v>
      </c>
      <c r="BE231" s="10">
        <f t="shared" si="83"/>
        <v>7487200</v>
      </c>
      <c r="BX231" s="10">
        <v>221</v>
      </c>
      <c r="BY231" s="10">
        <f t="shared" ref="BY231:CC240" si="91">MAX($BX231-$C$7,0)*INDEX($BU$7:$BU$15,MATCH(BY$10,$BT$7:$BT$15,0))/30</f>
        <v>127333.33333333333</v>
      </c>
      <c r="BZ231" s="10">
        <f t="shared" si="91"/>
        <v>191000</v>
      </c>
      <c r="CA231" s="10">
        <f t="shared" si="91"/>
        <v>254666.66666666666</v>
      </c>
      <c r="CB231" s="10">
        <f t="shared" si="91"/>
        <v>477500</v>
      </c>
      <c r="CC231" s="10">
        <f t="shared" si="91"/>
        <v>1591666.6666666667</v>
      </c>
    </row>
    <row r="232" spans="29:81" x14ac:dyDescent="0.15">
      <c r="AC232" s="2">
        <v>222</v>
      </c>
      <c r="AD232" s="2">
        <f t="shared" si="84"/>
        <v>0</v>
      </c>
      <c r="AE232" s="2">
        <f t="shared" si="85"/>
        <v>4480</v>
      </c>
      <c r="AF232" s="2">
        <f t="shared" si="86"/>
        <v>11200</v>
      </c>
      <c r="AG232" s="2">
        <f t="shared" si="87"/>
        <v>22400</v>
      </c>
      <c r="AH232" s="2">
        <f t="shared" si="88"/>
        <v>44800</v>
      </c>
      <c r="AZ232" s="10">
        <v>222</v>
      </c>
      <c r="BA232" s="10">
        <f t="shared" si="79"/>
        <v>2508800</v>
      </c>
      <c r="BB232" s="10">
        <f t="shared" si="80"/>
        <v>3763200</v>
      </c>
      <c r="BC232" s="10">
        <f t="shared" si="81"/>
        <v>5017600</v>
      </c>
      <c r="BD232" s="10">
        <f t="shared" si="82"/>
        <v>6272000</v>
      </c>
      <c r="BE232" s="10">
        <f t="shared" si="83"/>
        <v>7526400</v>
      </c>
      <c r="BX232" s="10">
        <v>222</v>
      </c>
      <c r="BY232" s="10">
        <f t="shared" si="91"/>
        <v>128000</v>
      </c>
      <c r="BZ232" s="10">
        <f t="shared" si="91"/>
        <v>192000</v>
      </c>
      <c r="CA232" s="10">
        <f t="shared" si="91"/>
        <v>256000</v>
      </c>
      <c r="CB232" s="10">
        <f t="shared" si="91"/>
        <v>480000</v>
      </c>
      <c r="CC232" s="10">
        <f t="shared" si="91"/>
        <v>1600000</v>
      </c>
    </row>
    <row r="233" spans="29:81" x14ac:dyDescent="0.15">
      <c r="AC233" s="2">
        <v>223</v>
      </c>
      <c r="AD233" s="2">
        <f t="shared" si="84"/>
        <v>0</v>
      </c>
      <c r="AE233" s="2">
        <f t="shared" si="85"/>
        <v>4503.333333333333</v>
      </c>
      <c r="AF233" s="2">
        <f t="shared" si="86"/>
        <v>11258.333333333334</v>
      </c>
      <c r="AG233" s="2">
        <f t="shared" si="87"/>
        <v>22516.666666666668</v>
      </c>
      <c r="AH233" s="2">
        <f t="shared" si="88"/>
        <v>45033.333333333336</v>
      </c>
      <c r="AZ233" s="10">
        <v>223</v>
      </c>
      <c r="BA233" s="10">
        <f t="shared" si="79"/>
        <v>2521866.6666666665</v>
      </c>
      <c r="BB233" s="10">
        <f t="shared" si="80"/>
        <v>3782800</v>
      </c>
      <c r="BC233" s="10">
        <f t="shared" si="81"/>
        <v>5043733.333333333</v>
      </c>
      <c r="BD233" s="10">
        <f t="shared" si="82"/>
        <v>6304666.666666667</v>
      </c>
      <c r="BE233" s="10">
        <f t="shared" si="83"/>
        <v>7565600</v>
      </c>
      <c r="BX233" s="10">
        <v>223</v>
      </c>
      <c r="BY233" s="10">
        <f t="shared" si="91"/>
        <v>128666.66666666667</v>
      </c>
      <c r="BZ233" s="10">
        <f t="shared" si="91"/>
        <v>193000</v>
      </c>
      <c r="CA233" s="10">
        <f t="shared" si="91"/>
        <v>257333.33333333334</v>
      </c>
      <c r="CB233" s="10">
        <f t="shared" si="91"/>
        <v>482500</v>
      </c>
      <c r="CC233" s="10">
        <f t="shared" si="91"/>
        <v>1608333.3333333333</v>
      </c>
    </row>
    <row r="234" spans="29:81" x14ac:dyDescent="0.15">
      <c r="AC234" s="2">
        <v>224</v>
      </c>
      <c r="AD234" s="2">
        <f t="shared" si="84"/>
        <v>0</v>
      </c>
      <c r="AE234" s="2">
        <f t="shared" si="85"/>
        <v>4526.666666666667</v>
      </c>
      <c r="AF234" s="2">
        <f t="shared" si="86"/>
        <v>11316.666666666666</v>
      </c>
      <c r="AG234" s="2">
        <f t="shared" si="87"/>
        <v>22633.333333333332</v>
      </c>
      <c r="AH234" s="2">
        <f t="shared" si="88"/>
        <v>45266.666666666664</v>
      </c>
      <c r="AZ234" s="10">
        <v>224</v>
      </c>
      <c r="BA234" s="10">
        <f t="shared" si="79"/>
        <v>2534933.3333333335</v>
      </c>
      <c r="BB234" s="10">
        <f t="shared" si="80"/>
        <v>3802400</v>
      </c>
      <c r="BC234" s="10">
        <f t="shared" si="81"/>
        <v>5069866.666666667</v>
      </c>
      <c r="BD234" s="10">
        <f t="shared" si="82"/>
        <v>6337333.333333333</v>
      </c>
      <c r="BE234" s="10">
        <f t="shared" si="83"/>
        <v>7604800</v>
      </c>
      <c r="BX234" s="10">
        <v>224</v>
      </c>
      <c r="BY234" s="10">
        <f t="shared" si="91"/>
        <v>129333.33333333333</v>
      </c>
      <c r="BZ234" s="10">
        <f t="shared" si="91"/>
        <v>194000</v>
      </c>
      <c r="CA234" s="10">
        <f t="shared" si="91"/>
        <v>258666.66666666666</v>
      </c>
      <c r="CB234" s="10">
        <f t="shared" si="91"/>
        <v>485000</v>
      </c>
      <c r="CC234" s="10">
        <f t="shared" si="91"/>
        <v>1616666.6666666667</v>
      </c>
    </row>
    <row r="235" spans="29:81" x14ac:dyDescent="0.15">
      <c r="AC235" s="2">
        <v>225</v>
      </c>
      <c r="AD235" s="2">
        <f t="shared" si="84"/>
        <v>0</v>
      </c>
      <c r="AE235" s="2">
        <f t="shared" si="85"/>
        <v>4550</v>
      </c>
      <c r="AF235" s="2">
        <f t="shared" si="86"/>
        <v>11375</v>
      </c>
      <c r="AG235" s="2">
        <f t="shared" si="87"/>
        <v>22750</v>
      </c>
      <c r="AH235" s="2">
        <f t="shared" si="88"/>
        <v>45500</v>
      </c>
      <c r="AZ235" s="10">
        <v>225</v>
      </c>
      <c r="BA235" s="10">
        <f t="shared" si="79"/>
        <v>2548000</v>
      </c>
      <c r="BB235" s="10">
        <f t="shared" si="80"/>
        <v>3822000</v>
      </c>
      <c r="BC235" s="10">
        <f t="shared" si="81"/>
        <v>5096000</v>
      </c>
      <c r="BD235" s="10">
        <f t="shared" si="82"/>
        <v>6370000</v>
      </c>
      <c r="BE235" s="10">
        <f t="shared" si="83"/>
        <v>7644000</v>
      </c>
      <c r="BX235" s="10">
        <v>225</v>
      </c>
      <c r="BY235" s="10">
        <f t="shared" si="91"/>
        <v>130000</v>
      </c>
      <c r="BZ235" s="10">
        <f t="shared" si="91"/>
        <v>195000</v>
      </c>
      <c r="CA235" s="10">
        <f t="shared" si="91"/>
        <v>260000</v>
      </c>
      <c r="CB235" s="10">
        <f t="shared" si="91"/>
        <v>487500</v>
      </c>
      <c r="CC235" s="10">
        <f t="shared" si="91"/>
        <v>1625000</v>
      </c>
    </row>
    <row r="236" spans="29:81" x14ac:dyDescent="0.15">
      <c r="AC236" s="2">
        <v>226</v>
      </c>
      <c r="AD236" s="2">
        <f t="shared" si="84"/>
        <v>0</v>
      </c>
      <c r="AE236" s="2">
        <f t="shared" si="85"/>
        <v>4573.333333333333</v>
      </c>
      <c r="AF236" s="2">
        <f t="shared" si="86"/>
        <v>11433.333333333334</v>
      </c>
      <c r="AG236" s="2">
        <f t="shared" si="87"/>
        <v>22866.666666666668</v>
      </c>
      <c r="AH236" s="2">
        <f t="shared" si="88"/>
        <v>45733.333333333336</v>
      </c>
      <c r="AZ236" s="10">
        <v>226</v>
      </c>
      <c r="BA236" s="10">
        <f t="shared" si="79"/>
        <v>2561066.6666666665</v>
      </c>
      <c r="BB236" s="10">
        <f t="shared" si="80"/>
        <v>3841600</v>
      </c>
      <c r="BC236" s="10">
        <f t="shared" si="81"/>
        <v>5122133.333333333</v>
      </c>
      <c r="BD236" s="10">
        <f t="shared" si="82"/>
        <v>6402666.666666667</v>
      </c>
      <c r="BE236" s="10">
        <f t="shared" si="83"/>
        <v>7683200</v>
      </c>
      <c r="BX236" s="10">
        <v>226</v>
      </c>
      <c r="BY236" s="10">
        <f t="shared" si="91"/>
        <v>130666.66666666667</v>
      </c>
      <c r="BZ236" s="10">
        <f t="shared" si="91"/>
        <v>196000</v>
      </c>
      <c r="CA236" s="10">
        <f t="shared" si="91"/>
        <v>261333.33333333334</v>
      </c>
      <c r="CB236" s="10">
        <f t="shared" si="91"/>
        <v>490000</v>
      </c>
      <c r="CC236" s="10">
        <f t="shared" si="91"/>
        <v>1633333.3333333333</v>
      </c>
    </row>
    <row r="237" spans="29:81" x14ac:dyDescent="0.15">
      <c r="AC237" s="2">
        <v>227</v>
      </c>
      <c r="AD237" s="2">
        <f t="shared" si="84"/>
        <v>0</v>
      </c>
      <c r="AE237" s="2">
        <f t="shared" si="85"/>
        <v>4596.666666666667</v>
      </c>
      <c r="AF237" s="2">
        <f t="shared" si="86"/>
        <v>11491.666666666666</v>
      </c>
      <c r="AG237" s="2">
        <f t="shared" si="87"/>
        <v>22983.333333333332</v>
      </c>
      <c r="AH237" s="2">
        <f t="shared" si="88"/>
        <v>45966.666666666664</v>
      </c>
      <c r="AZ237" s="10">
        <v>227</v>
      </c>
      <c r="BA237" s="10">
        <f t="shared" si="79"/>
        <v>2574133.3333333335</v>
      </c>
      <c r="BB237" s="10">
        <f t="shared" si="80"/>
        <v>3861200</v>
      </c>
      <c r="BC237" s="10">
        <f t="shared" si="81"/>
        <v>5148266.666666667</v>
      </c>
      <c r="BD237" s="10">
        <f t="shared" si="82"/>
        <v>6435333.333333333</v>
      </c>
      <c r="BE237" s="10">
        <f t="shared" si="83"/>
        <v>7722400</v>
      </c>
      <c r="BX237" s="10">
        <v>227</v>
      </c>
      <c r="BY237" s="10">
        <f t="shared" si="91"/>
        <v>131333.33333333334</v>
      </c>
      <c r="BZ237" s="10">
        <f t="shared" si="91"/>
        <v>197000</v>
      </c>
      <c r="CA237" s="10">
        <f t="shared" si="91"/>
        <v>262666.66666666669</v>
      </c>
      <c r="CB237" s="10">
        <f t="shared" si="91"/>
        <v>492500</v>
      </c>
      <c r="CC237" s="10">
        <f t="shared" si="91"/>
        <v>1641666.6666666667</v>
      </c>
    </row>
    <row r="238" spans="29:81" x14ac:dyDescent="0.15">
      <c r="AC238" s="2">
        <v>228</v>
      </c>
      <c r="AD238" s="2">
        <f t="shared" si="84"/>
        <v>0</v>
      </c>
      <c r="AE238" s="2">
        <f t="shared" si="85"/>
        <v>4620</v>
      </c>
      <c r="AF238" s="2">
        <f t="shared" si="86"/>
        <v>11550</v>
      </c>
      <c r="AG238" s="2">
        <f t="shared" si="87"/>
        <v>23100</v>
      </c>
      <c r="AH238" s="2">
        <f t="shared" si="88"/>
        <v>46200</v>
      </c>
      <c r="AZ238" s="10">
        <v>228</v>
      </c>
      <c r="BA238" s="10">
        <f t="shared" si="79"/>
        <v>2587200</v>
      </c>
      <c r="BB238" s="10">
        <f t="shared" si="80"/>
        <v>3880800</v>
      </c>
      <c r="BC238" s="10">
        <f t="shared" si="81"/>
        <v>5174400</v>
      </c>
      <c r="BD238" s="10">
        <f t="shared" si="82"/>
        <v>6468000</v>
      </c>
      <c r="BE238" s="10">
        <f t="shared" si="83"/>
        <v>7761600</v>
      </c>
      <c r="BX238" s="10">
        <v>228</v>
      </c>
      <c r="BY238" s="10">
        <f t="shared" si="91"/>
        <v>132000</v>
      </c>
      <c r="BZ238" s="10">
        <f t="shared" si="91"/>
        <v>198000</v>
      </c>
      <c r="CA238" s="10">
        <f t="shared" si="91"/>
        <v>264000</v>
      </c>
      <c r="CB238" s="10">
        <f t="shared" si="91"/>
        <v>495000</v>
      </c>
      <c r="CC238" s="10">
        <f t="shared" si="91"/>
        <v>1650000</v>
      </c>
    </row>
    <row r="239" spans="29:81" x14ac:dyDescent="0.15">
      <c r="AC239" s="2">
        <v>229</v>
      </c>
      <c r="AD239" s="2">
        <f t="shared" si="84"/>
        <v>0</v>
      </c>
      <c r="AE239" s="2">
        <f t="shared" si="85"/>
        <v>4643.333333333333</v>
      </c>
      <c r="AF239" s="2">
        <f t="shared" si="86"/>
        <v>11608.333333333334</v>
      </c>
      <c r="AG239" s="2">
        <f t="shared" si="87"/>
        <v>23216.666666666668</v>
      </c>
      <c r="AH239" s="2">
        <f t="shared" si="88"/>
        <v>46433.333333333336</v>
      </c>
      <c r="AZ239" s="10">
        <v>229</v>
      </c>
      <c r="BA239" s="10">
        <f t="shared" si="79"/>
        <v>2600266.6666666665</v>
      </c>
      <c r="BB239" s="10">
        <f t="shared" si="80"/>
        <v>3900400</v>
      </c>
      <c r="BC239" s="10">
        <f t="shared" si="81"/>
        <v>5200533.333333333</v>
      </c>
      <c r="BD239" s="10">
        <f t="shared" si="82"/>
        <v>6500666.666666667</v>
      </c>
      <c r="BE239" s="10">
        <f t="shared" si="83"/>
        <v>7800800</v>
      </c>
      <c r="BX239" s="10">
        <v>229</v>
      </c>
      <c r="BY239" s="10">
        <f t="shared" si="91"/>
        <v>132666.66666666666</v>
      </c>
      <c r="BZ239" s="10">
        <f t="shared" si="91"/>
        <v>199000</v>
      </c>
      <c r="CA239" s="10">
        <f t="shared" si="91"/>
        <v>265333.33333333331</v>
      </c>
      <c r="CB239" s="10">
        <f t="shared" si="91"/>
        <v>497500</v>
      </c>
      <c r="CC239" s="10">
        <f t="shared" si="91"/>
        <v>1658333.3333333333</v>
      </c>
    </row>
    <row r="240" spans="29:81" x14ac:dyDescent="0.15">
      <c r="AC240" s="2">
        <v>230</v>
      </c>
      <c r="AD240" s="2">
        <f t="shared" si="84"/>
        <v>0</v>
      </c>
      <c r="AE240" s="2">
        <f t="shared" si="85"/>
        <v>4666.666666666667</v>
      </c>
      <c r="AF240" s="2">
        <f t="shared" si="86"/>
        <v>11666.666666666666</v>
      </c>
      <c r="AG240" s="2">
        <f t="shared" si="87"/>
        <v>23333.333333333332</v>
      </c>
      <c r="AH240" s="2">
        <f t="shared" si="88"/>
        <v>46666.666666666664</v>
      </c>
      <c r="AZ240" s="10">
        <v>230</v>
      </c>
      <c r="BA240" s="10">
        <f t="shared" si="79"/>
        <v>2613333.3333333335</v>
      </c>
      <c r="BB240" s="10">
        <f t="shared" si="80"/>
        <v>3920000</v>
      </c>
      <c r="BC240" s="10">
        <f t="shared" si="81"/>
        <v>5226666.666666667</v>
      </c>
      <c r="BD240" s="10">
        <f t="shared" si="82"/>
        <v>6533333.333333333</v>
      </c>
      <c r="BE240" s="10">
        <f t="shared" si="83"/>
        <v>7840000</v>
      </c>
      <c r="BX240" s="10">
        <v>230</v>
      </c>
      <c r="BY240" s="10">
        <f t="shared" si="91"/>
        <v>133333.33333333334</v>
      </c>
      <c r="BZ240" s="10">
        <f t="shared" si="91"/>
        <v>200000</v>
      </c>
      <c r="CA240" s="10">
        <f t="shared" si="91"/>
        <v>266666.66666666669</v>
      </c>
      <c r="CB240" s="10">
        <f t="shared" si="91"/>
        <v>500000</v>
      </c>
      <c r="CC240" s="10">
        <f t="shared" si="91"/>
        <v>1666666.6666666667</v>
      </c>
    </row>
    <row r="241" spans="29:81" x14ac:dyDescent="0.15">
      <c r="AC241" s="2">
        <v>231</v>
      </c>
      <c r="AD241" s="2">
        <f t="shared" si="84"/>
        <v>0</v>
      </c>
      <c r="AE241" s="2">
        <f t="shared" si="85"/>
        <v>4690</v>
      </c>
      <c r="AF241" s="2">
        <f t="shared" si="86"/>
        <v>11725</v>
      </c>
      <c r="AG241" s="2">
        <f t="shared" si="87"/>
        <v>23450</v>
      </c>
      <c r="AH241" s="2">
        <f t="shared" si="88"/>
        <v>46900</v>
      </c>
      <c r="AZ241" s="10">
        <v>231</v>
      </c>
      <c r="BA241" s="10">
        <f t="shared" si="79"/>
        <v>2626400</v>
      </c>
      <c r="BB241" s="10">
        <f t="shared" si="80"/>
        <v>3939600</v>
      </c>
      <c r="BC241" s="10">
        <f t="shared" si="81"/>
        <v>5252800</v>
      </c>
      <c r="BD241" s="10">
        <f t="shared" si="82"/>
        <v>6566000</v>
      </c>
      <c r="BE241" s="10">
        <f t="shared" si="83"/>
        <v>7879200</v>
      </c>
      <c r="BX241" s="10">
        <v>231</v>
      </c>
      <c r="BY241" s="10">
        <f t="shared" ref="BY241:CC250" si="92">MAX($BX241-$C$7,0)*INDEX($BU$7:$BU$15,MATCH(BY$10,$BT$7:$BT$15,0))/30</f>
        <v>134000</v>
      </c>
      <c r="BZ241" s="10">
        <f t="shared" si="92"/>
        <v>201000</v>
      </c>
      <c r="CA241" s="10">
        <f t="shared" si="92"/>
        <v>268000</v>
      </c>
      <c r="CB241" s="10">
        <f t="shared" si="92"/>
        <v>502500</v>
      </c>
      <c r="CC241" s="10">
        <f t="shared" si="92"/>
        <v>1675000</v>
      </c>
    </row>
    <row r="242" spans="29:81" x14ac:dyDescent="0.15">
      <c r="AC242" s="2">
        <v>232</v>
      </c>
      <c r="AD242" s="2">
        <f t="shared" si="84"/>
        <v>0</v>
      </c>
      <c r="AE242" s="2">
        <f t="shared" si="85"/>
        <v>4713.333333333333</v>
      </c>
      <c r="AF242" s="2">
        <f t="shared" si="86"/>
        <v>11783.333333333334</v>
      </c>
      <c r="AG242" s="2">
        <f t="shared" si="87"/>
        <v>23566.666666666668</v>
      </c>
      <c r="AH242" s="2">
        <f t="shared" si="88"/>
        <v>47133.333333333336</v>
      </c>
      <c r="AZ242" s="10">
        <v>232</v>
      </c>
      <c r="BA242" s="10">
        <f t="shared" si="79"/>
        <v>2639466.6666666665</v>
      </c>
      <c r="BB242" s="10">
        <f t="shared" si="80"/>
        <v>3959200</v>
      </c>
      <c r="BC242" s="10">
        <f t="shared" si="81"/>
        <v>5278933.333333333</v>
      </c>
      <c r="BD242" s="10">
        <f t="shared" si="82"/>
        <v>6598666.666666667</v>
      </c>
      <c r="BE242" s="10">
        <f t="shared" si="83"/>
        <v>7918400</v>
      </c>
      <c r="BX242" s="10">
        <v>232</v>
      </c>
      <c r="BY242" s="10">
        <f t="shared" si="92"/>
        <v>134666.66666666666</v>
      </c>
      <c r="BZ242" s="10">
        <f t="shared" si="92"/>
        <v>202000</v>
      </c>
      <c r="CA242" s="10">
        <f t="shared" si="92"/>
        <v>269333.33333333331</v>
      </c>
      <c r="CB242" s="10">
        <f t="shared" si="92"/>
        <v>505000</v>
      </c>
      <c r="CC242" s="10">
        <f t="shared" si="92"/>
        <v>1683333.3333333333</v>
      </c>
    </row>
    <row r="243" spans="29:81" x14ac:dyDescent="0.15">
      <c r="AC243" s="2">
        <v>233</v>
      </c>
      <c r="AD243" s="2">
        <f t="shared" si="84"/>
        <v>0</v>
      </c>
      <c r="AE243" s="2">
        <f t="shared" si="85"/>
        <v>4736.666666666667</v>
      </c>
      <c r="AF243" s="2">
        <f t="shared" si="86"/>
        <v>11841.666666666666</v>
      </c>
      <c r="AG243" s="2">
        <f t="shared" si="87"/>
        <v>23683.333333333332</v>
      </c>
      <c r="AH243" s="2">
        <f t="shared" si="88"/>
        <v>47366.666666666664</v>
      </c>
      <c r="AZ243" s="10">
        <v>233</v>
      </c>
      <c r="BA243" s="10">
        <f t="shared" si="79"/>
        <v>2652533.3333333335</v>
      </c>
      <c r="BB243" s="10">
        <f t="shared" si="80"/>
        <v>3978800</v>
      </c>
      <c r="BC243" s="10">
        <f t="shared" si="81"/>
        <v>5305066.666666667</v>
      </c>
      <c r="BD243" s="10">
        <f t="shared" si="82"/>
        <v>6631333.333333333</v>
      </c>
      <c r="BE243" s="10">
        <f t="shared" si="83"/>
        <v>7957600</v>
      </c>
      <c r="BX243" s="10">
        <v>233</v>
      </c>
      <c r="BY243" s="10">
        <f t="shared" si="92"/>
        <v>135333.33333333334</v>
      </c>
      <c r="BZ243" s="10">
        <f t="shared" si="92"/>
        <v>203000</v>
      </c>
      <c r="CA243" s="10">
        <f t="shared" si="92"/>
        <v>270666.66666666669</v>
      </c>
      <c r="CB243" s="10">
        <f t="shared" si="92"/>
        <v>507500</v>
      </c>
      <c r="CC243" s="10">
        <f t="shared" si="92"/>
        <v>1691666.6666666667</v>
      </c>
    </row>
    <row r="244" spans="29:81" x14ac:dyDescent="0.15">
      <c r="AC244" s="2">
        <v>234</v>
      </c>
      <c r="AD244" s="2">
        <f t="shared" si="84"/>
        <v>0</v>
      </c>
      <c r="AE244" s="2">
        <f t="shared" si="85"/>
        <v>4760</v>
      </c>
      <c r="AF244" s="2">
        <f t="shared" si="86"/>
        <v>11900</v>
      </c>
      <c r="AG244" s="2">
        <f t="shared" si="87"/>
        <v>23800</v>
      </c>
      <c r="AH244" s="2">
        <f t="shared" si="88"/>
        <v>47600</v>
      </c>
      <c r="AZ244" s="10">
        <v>234</v>
      </c>
      <c r="BA244" s="10">
        <f t="shared" si="79"/>
        <v>2665600</v>
      </c>
      <c r="BB244" s="10">
        <f t="shared" si="80"/>
        <v>3998400</v>
      </c>
      <c r="BC244" s="10">
        <f t="shared" si="81"/>
        <v>5331200</v>
      </c>
      <c r="BD244" s="10">
        <f t="shared" si="82"/>
        <v>6664000</v>
      </c>
      <c r="BE244" s="10">
        <f t="shared" si="83"/>
        <v>7996800</v>
      </c>
      <c r="BX244" s="10">
        <v>234</v>
      </c>
      <c r="BY244" s="10">
        <f t="shared" si="92"/>
        <v>136000</v>
      </c>
      <c r="BZ244" s="10">
        <f t="shared" si="92"/>
        <v>204000</v>
      </c>
      <c r="CA244" s="10">
        <f t="shared" si="92"/>
        <v>272000</v>
      </c>
      <c r="CB244" s="10">
        <f t="shared" si="92"/>
        <v>510000</v>
      </c>
      <c r="CC244" s="10">
        <f t="shared" si="92"/>
        <v>1700000</v>
      </c>
    </row>
    <row r="245" spans="29:81" x14ac:dyDescent="0.15">
      <c r="AC245" s="2">
        <v>235</v>
      </c>
      <c r="AD245" s="2">
        <f t="shared" si="84"/>
        <v>0</v>
      </c>
      <c r="AE245" s="2">
        <f t="shared" si="85"/>
        <v>4783.333333333333</v>
      </c>
      <c r="AF245" s="2">
        <f t="shared" si="86"/>
        <v>11958.333333333334</v>
      </c>
      <c r="AG245" s="2">
        <f t="shared" si="87"/>
        <v>23916.666666666668</v>
      </c>
      <c r="AH245" s="2">
        <f t="shared" si="88"/>
        <v>47833.333333333336</v>
      </c>
      <c r="AZ245" s="10">
        <v>235</v>
      </c>
      <c r="BA245" s="10">
        <f t="shared" si="79"/>
        <v>2678666.6666666665</v>
      </c>
      <c r="BB245" s="10">
        <f t="shared" si="80"/>
        <v>4018000</v>
      </c>
      <c r="BC245" s="10">
        <f t="shared" si="81"/>
        <v>5357333.333333333</v>
      </c>
      <c r="BD245" s="10">
        <f t="shared" si="82"/>
        <v>6696666.666666667</v>
      </c>
      <c r="BE245" s="10">
        <f t="shared" si="83"/>
        <v>8036000</v>
      </c>
      <c r="BX245" s="10">
        <v>235</v>
      </c>
      <c r="BY245" s="10">
        <f t="shared" si="92"/>
        <v>136666.66666666666</v>
      </c>
      <c r="BZ245" s="10">
        <f t="shared" si="92"/>
        <v>205000</v>
      </c>
      <c r="CA245" s="10">
        <f t="shared" si="92"/>
        <v>273333.33333333331</v>
      </c>
      <c r="CB245" s="10">
        <f t="shared" si="92"/>
        <v>512500</v>
      </c>
      <c r="CC245" s="10">
        <f t="shared" si="92"/>
        <v>1708333.3333333333</v>
      </c>
    </row>
    <row r="246" spans="29:81" x14ac:dyDescent="0.15">
      <c r="AC246" s="2">
        <v>236</v>
      </c>
      <c r="AD246" s="2">
        <f t="shared" si="84"/>
        <v>0</v>
      </c>
      <c r="AE246" s="2">
        <f t="shared" si="85"/>
        <v>4806.666666666667</v>
      </c>
      <c r="AF246" s="2">
        <f t="shared" si="86"/>
        <v>12016.666666666666</v>
      </c>
      <c r="AG246" s="2">
        <f t="shared" si="87"/>
        <v>24033.333333333332</v>
      </c>
      <c r="AH246" s="2">
        <f t="shared" si="88"/>
        <v>48066.666666666664</v>
      </c>
      <c r="AZ246" s="10">
        <v>236</v>
      </c>
      <c r="BA246" s="10">
        <f t="shared" si="79"/>
        <v>2691733.3333333335</v>
      </c>
      <c r="BB246" s="10">
        <f t="shared" si="80"/>
        <v>4037600</v>
      </c>
      <c r="BC246" s="10">
        <f t="shared" si="81"/>
        <v>5383466.666666667</v>
      </c>
      <c r="BD246" s="10">
        <f t="shared" si="82"/>
        <v>6729333.333333333</v>
      </c>
      <c r="BE246" s="10">
        <f t="shared" si="83"/>
        <v>8075200</v>
      </c>
      <c r="BX246" s="10">
        <v>236</v>
      </c>
      <c r="BY246" s="10">
        <f t="shared" si="92"/>
        <v>137333.33333333334</v>
      </c>
      <c r="BZ246" s="10">
        <f t="shared" si="92"/>
        <v>206000</v>
      </c>
      <c r="CA246" s="10">
        <f t="shared" si="92"/>
        <v>274666.66666666669</v>
      </c>
      <c r="CB246" s="10">
        <f t="shared" si="92"/>
        <v>515000</v>
      </c>
      <c r="CC246" s="10">
        <f t="shared" si="92"/>
        <v>1716666.6666666667</v>
      </c>
    </row>
    <row r="247" spans="29:81" x14ac:dyDescent="0.15">
      <c r="AC247" s="2">
        <v>237</v>
      </c>
      <c r="AD247" s="2">
        <f t="shared" si="84"/>
        <v>0</v>
      </c>
      <c r="AE247" s="2">
        <f t="shared" si="85"/>
        <v>4830</v>
      </c>
      <c r="AF247" s="2">
        <f t="shared" si="86"/>
        <v>12075</v>
      </c>
      <c r="AG247" s="2">
        <f t="shared" si="87"/>
        <v>24150</v>
      </c>
      <c r="AH247" s="2">
        <f t="shared" si="88"/>
        <v>48300</v>
      </c>
      <c r="AZ247" s="10">
        <v>237</v>
      </c>
      <c r="BA247" s="10">
        <f t="shared" si="79"/>
        <v>2704800</v>
      </c>
      <c r="BB247" s="10">
        <f t="shared" si="80"/>
        <v>4057200</v>
      </c>
      <c r="BC247" s="10">
        <f t="shared" si="81"/>
        <v>5409600</v>
      </c>
      <c r="BD247" s="10">
        <f t="shared" si="82"/>
        <v>6762000</v>
      </c>
      <c r="BE247" s="10">
        <f t="shared" si="83"/>
        <v>8114400</v>
      </c>
      <c r="BX247" s="10">
        <v>237</v>
      </c>
      <c r="BY247" s="10">
        <f t="shared" si="92"/>
        <v>138000</v>
      </c>
      <c r="BZ247" s="10">
        <f t="shared" si="92"/>
        <v>207000</v>
      </c>
      <c r="CA247" s="10">
        <f t="shared" si="92"/>
        <v>276000</v>
      </c>
      <c r="CB247" s="10">
        <f t="shared" si="92"/>
        <v>517500</v>
      </c>
      <c r="CC247" s="10">
        <f t="shared" si="92"/>
        <v>1725000</v>
      </c>
    </row>
    <row r="248" spans="29:81" x14ac:dyDescent="0.15">
      <c r="AC248" s="2">
        <v>238</v>
      </c>
      <c r="AD248" s="2">
        <f t="shared" si="84"/>
        <v>0</v>
      </c>
      <c r="AE248" s="2">
        <f t="shared" si="85"/>
        <v>4853.333333333333</v>
      </c>
      <c r="AF248" s="2">
        <f t="shared" si="86"/>
        <v>12133.333333333334</v>
      </c>
      <c r="AG248" s="2">
        <f t="shared" si="87"/>
        <v>24266.666666666668</v>
      </c>
      <c r="AH248" s="2">
        <f t="shared" si="88"/>
        <v>48533.333333333336</v>
      </c>
      <c r="AZ248" s="10">
        <v>238</v>
      </c>
      <c r="BA248" s="10">
        <f t="shared" si="79"/>
        <v>2717866.6666666665</v>
      </c>
      <c r="BB248" s="10">
        <f t="shared" si="80"/>
        <v>4076800</v>
      </c>
      <c r="BC248" s="10">
        <f t="shared" si="81"/>
        <v>5435733.333333333</v>
      </c>
      <c r="BD248" s="10">
        <f t="shared" si="82"/>
        <v>6794666.666666667</v>
      </c>
      <c r="BE248" s="10">
        <f t="shared" si="83"/>
        <v>8153600</v>
      </c>
      <c r="BX248" s="10">
        <v>238</v>
      </c>
      <c r="BY248" s="10">
        <f t="shared" si="92"/>
        <v>138666.66666666666</v>
      </c>
      <c r="BZ248" s="10">
        <f t="shared" si="92"/>
        <v>208000</v>
      </c>
      <c r="CA248" s="10">
        <f t="shared" si="92"/>
        <v>277333.33333333331</v>
      </c>
      <c r="CB248" s="10">
        <f t="shared" si="92"/>
        <v>520000</v>
      </c>
      <c r="CC248" s="10">
        <f t="shared" si="92"/>
        <v>1733333.3333333333</v>
      </c>
    </row>
    <row r="249" spans="29:81" x14ac:dyDescent="0.15">
      <c r="AC249" s="2">
        <v>239</v>
      </c>
      <c r="AD249" s="2">
        <f t="shared" si="84"/>
        <v>0</v>
      </c>
      <c r="AE249" s="2">
        <f t="shared" si="85"/>
        <v>4876.666666666667</v>
      </c>
      <c r="AF249" s="2">
        <f t="shared" si="86"/>
        <v>12191.666666666666</v>
      </c>
      <c r="AG249" s="2">
        <f t="shared" si="87"/>
        <v>24383.333333333332</v>
      </c>
      <c r="AH249" s="2">
        <f t="shared" si="88"/>
        <v>48766.666666666664</v>
      </c>
      <c r="AZ249" s="10">
        <v>239</v>
      </c>
      <c r="BA249" s="10">
        <f t="shared" si="79"/>
        <v>2730933.3333333335</v>
      </c>
      <c r="BB249" s="10">
        <f t="shared" si="80"/>
        <v>4096400</v>
      </c>
      <c r="BC249" s="10">
        <f t="shared" si="81"/>
        <v>5461866.666666667</v>
      </c>
      <c r="BD249" s="10">
        <f t="shared" si="82"/>
        <v>6827333.333333333</v>
      </c>
      <c r="BE249" s="10">
        <f t="shared" si="83"/>
        <v>8192800</v>
      </c>
      <c r="BX249" s="10">
        <v>239</v>
      </c>
      <c r="BY249" s="10">
        <f t="shared" si="92"/>
        <v>139333.33333333334</v>
      </c>
      <c r="BZ249" s="10">
        <f t="shared" si="92"/>
        <v>209000</v>
      </c>
      <c r="CA249" s="10">
        <f t="shared" si="92"/>
        <v>278666.66666666669</v>
      </c>
      <c r="CB249" s="10">
        <f t="shared" si="92"/>
        <v>522500</v>
      </c>
      <c r="CC249" s="10">
        <f t="shared" si="92"/>
        <v>1741666.6666666667</v>
      </c>
    </row>
    <row r="250" spans="29:81" x14ac:dyDescent="0.15">
      <c r="AC250" s="2">
        <v>240</v>
      </c>
      <c r="AD250" s="2">
        <f t="shared" si="84"/>
        <v>0</v>
      </c>
      <c r="AE250" s="2">
        <f t="shared" si="85"/>
        <v>4900</v>
      </c>
      <c r="AF250" s="2">
        <f t="shared" si="86"/>
        <v>12250</v>
      </c>
      <c r="AG250" s="2">
        <f t="shared" si="87"/>
        <v>24500</v>
      </c>
      <c r="AH250" s="2">
        <f t="shared" si="88"/>
        <v>49000</v>
      </c>
      <c r="AZ250" s="10">
        <v>240</v>
      </c>
      <c r="BA250" s="10">
        <f t="shared" si="79"/>
        <v>2744000</v>
      </c>
      <c r="BB250" s="10">
        <f t="shared" si="80"/>
        <v>4116000</v>
      </c>
      <c r="BC250" s="10">
        <f t="shared" si="81"/>
        <v>5488000</v>
      </c>
      <c r="BD250" s="10">
        <f t="shared" si="82"/>
        <v>6860000</v>
      </c>
      <c r="BE250" s="10">
        <f t="shared" si="83"/>
        <v>8232000</v>
      </c>
      <c r="BX250" s="10">
        <v>240</v>
      </c>
      <c r="BY250" s="10">
        <f t="shared" si="92"/>
        <v>140000</v>
      </c>
      <c r="BZ250" s="10">
        <f t="shared" si="92"/>
        <v>210000</v>
      </c>
      <c r="CA250" s="10">
        <f t="shared" si="92"/>
        <v>280000</v>
      </c>
      <c r="CB250" s="10">
        <f t="shared" si="92"/>
        <v>525000</v>
      </c>
      <c r="CC250" s="10">
        <f t="shared" si="92"/>
        <v>1750000</v>
      </c>
    </row>
    <row r="251" spans="29:81" x14ac:dyDescent="0.15">
      <c r="AC251" s="2">
        <v>241</v>
      </c>
      <c r="AD251" s="2">
        <f t="shared" si="84"/>
        <v>0</v>
      </c>
      <c r="AE251" s="2">
        <f t="shared" si="85"/>
        <v>4923.333333333333</v>
      </c>
      <c r="AF251" s="2">
        <f t="shared" si="86"/>
        <v>12308.333333333334</v>
      </c>
      <c r="AG251" s="2">
        <f t="shared" si="87"/>
        <v>24616.666666666668</v>
      </c>
      <c r="AH251" s="2">
        <f t="shared" si="88"/>
        <v>49233.333333333336</v>
      </c>
      <c r="AZ251" s="10">
        <v>241</v>
      </c>
      <c r="BA251" s="10">
        <f t="shared" si="79"/>
        <v>2757066.6666666665</v>
      </c>
      <c r="BB251" s="10">
        <f t="shared" si="80"/>
        <v>4135600</v>
      </c>
      <c r="BC251" s="10">
        <f t="shared" si="81"/>
        <v>5514133.333333333</v>
      </c>
      <c r="BD251" s="10">
        <f t="shared" si="82"/>
        <v>6892666.666666667</v>
      </c>
      <c r="BE251" s="10">
        <f t="shared" si="83"/>
        <v>8271200</v>
      </c>
      <c r="BX251" s="10">
        <v>241</v>
      </c>
      <c r="BY251" s="10">
        <f t="shared" ref="BY251:CC260" si="93">MAX($BX251-$C$7,0)*INDEX($BU$7:$BU$15,MATCH(BY$10,$BT$7:$BT$15,0))/30</f>
        <v>140666.66666666666</v>
      </c>
      <c r="BZ251" s="10">
        <f t="shared" si="93"/>
        <v>211000</v>
      </c>
      <c r="CA251" s="10">
        <f t="shared" si="93"/>
        <v>281333.33333333331</v>
      </c>
      <c r="CB251" s="10">
        <f t="shared" si="93"/>
        <v>527500</v>
      </c>
      <c r="CC251" s="10">
        <f t="shared" si="93"/>
        <v>1758333.3333333333</v>
      </c>
    </row>
    <row r="252" spans="29:81" x14ac:dyDescent="0.15">
      <c r="AC252" s="2">
        <v>242</v>
      </c>
      <c r="AD252" s="2">
        <f t="shared" si="84"/>
        <v>0</v>
      </c>
      <c r="AE252" s="2">
        <f t="shared" si="85"/>
        <v>4946.666666666667</v>
      </c>
      <c r="AF252" s="2">
        <f t="shared" si="86"/>
        <v>12366.666666666666</v>
      </c>
      <c r="AG252" s="2">
        <f t="shared" si="87"/>
        <v>24733.333333333332</v>
      </c>
      <c r="AH252" s="2">
        <f t="shared" si="88"/>
        <v>49466.666666666664</v>
      </c>
      <c r="AZ252" s="10">
        <v>242</v>
      </c>
      <c r="BA252" s="10">
        <f t="shared" si="79"/>
        <v>2770133.3333333335</v>
      </c>
      <c r="BB252" s="10">
        <f t="shared" si="80"/>
        <v>4155200</v>
      </c>
      <c r="BC252" s="10">
        <f t="shared" si="81"/>
        <v>5540266.666666667</v>
      </c>
      <c r="BD252" s="10">
        <f t="shared" si="82"/>
        <v>6925333.333333333</v>
      </c>
      <c r="BE252" s="10">
        <f t="shared" si="83"/>
        <v>8310400</v>
      </c>
      <c r="BX252" s="10">
        <v>242</v>
      </c>
      <c r="BY252" s="10">
        <f t="shared" si="93"/>
        <v>141333.33333333334</v>
      </c>
      <c r="BZ252" s="10">
        <f t="shared" si="93"/>
        <v>212000</v>
      </c>
      <c r="CA252" s="10">
        <f t="shared" si="93"/>
        <v>282666.66666666669</v>
      </c>
      <c r="CB252" s="10">
        <f t="shared" si="93"/>
        <v>530000</v>
      </c>
      <c r="CC252" s="10">
        <f t="shared" si="93"/>
        <v>1766666.6666666667</v>
      </c>
    </row>
    <row r="253" spans="29:81" x14ac:dyDescent="0.15">
      <c r="AC253" s="2">
        <v>243</v>
      </c>
      <c r="AD253" s="2">
        <f t="shared" si="84"/>
        <v>0</v>
      </c>
      <c r="AE253" s="2">
        <f t="shared" si="85"/>
        <v>4970</v>
      </c>
      <c r="AF253" s="2">
        <f t="shared" si="86"/>
        <v>12425</v>
      </c>
      <c r="AG253" s="2">
        <f t="shared" si="87"/>
        <v>24850</v>
      </c>
      <c r="AH253" s="2">
        <f t="shared" si="88"/>
        <v>49700</v>
      </c>
      <c r="AZ253" s="10">
        <v>243</v>
      </c>
      <c r="BA253" s="10">
        <f t="shared" si="79"/>
        <v>2783200</v>
      </c>
      <c r="BB253" s="10">
        <f t="shared" si="80"/>
        <v>4174800</v>
      </c>
      <c r="BC253" s="10">
        <f t="shared" si="81"/>
        <v>5566400</v>
      </c>
      <c r="BD253" s="10">
        <f t="shared" si="82"/>
        <v>6958000</v>
      </c>
      <c r="BE253" s="10">
        <f t="shared" si="83"/>
        <v>8349600</v>
      </c>
      <c r="BX253" s="10">
        <v>243</v>
      </c>
      <c r="BY253" s="10">
        <f t="shared" si="93"/>
        <v>142000</v>
      </c>
      <c r="BZ253" s="10">
        <f t="shared" si="93"/>
        <v>213000</v>
      </c>
      <c r="CA253" s="10">
        <f t="shared" si="93"/>
        <v>284000</v>
      </c>
      <c r="CB253" s="10">
        <f t="shared" si="93"/>
        <v>532500</v>
      </c>
      <c r="CC253" s="10">
        <f t="shared" si="93"/>
        <v>1775000</v>
      </c>
    </row>
    <row r="254" spans="29:81" x14ac:dyDescent="0.15">
      <c r="AC254" s="2">
        <v>244</v>
      </c>
      <c r="AD254" s="2">
        <f t="shared" si="84"/>
        <v>0</v>
      </c>
      <c r="AE254" s="2">
        <f t="shared" si="85"/>
        <v>4993.333333333333</v>
      </c>
      <c r="AF254" s="2">
        <f t="shared" si="86"/>
        <v>12483.333333333334</v>
      </c>
      <c r="AG254" s="2">
        <f t="shared" si="87"/>
        <v>24966.666666666668</v>
      </c>
      <c r="AH254" s="2">
        <f t="shared" si="88"/>
        <v>49933.333333333336</v>
      </c>
      <c r="AZ254" s="10">
        <v>244</v>
      </c>
      <c r="BA254" s="10">
        <f t="shared" si="79"/>
        <v>2796266.6666666665</v>
      </c>
      <c r="BB254" s="10">
        <f t="shared" si="80"/>
        <v>4194400</v>
      </c>
      <c r="BC254" s="10">
        <f t="shared" si="81"/>
        <v>5592533.333333333</v>
      </c>
      <c r="BD254" s="10">
        <f t="shared" si="82"/>
        <v>6990666.666666667</v>
      </c>
      <c r="BE254" s="10">
        <f t="shared" si="83"/>
        <v>8388800</v>
      </c>
      <c r="BX254" s="10">
        <v>244</v>
      </c>
      <c r="BY254" s="10">
        <f t="shared" si="93"/>
        <v>142666.66666666666</v>
      </c>
      <c r="BZ254" s="10">
        <f t="shared" si="93"/>
        <v>214000</v>
      </c>
      <c r="CA254" s="10">
        <f t="shared" si="93"/>
        <v>285333.33333333331</v>
      </c>
      <c r="CB254" s="10">
        <f t="shared" si="93"/>
        <v>535000</v>
      </c>
      <c r="CC254" s="10">
        <f t="shared" si="93"/>
        <v>1783333.3333333333</v>
      </c>
    </row>
    <row r="255" spans="29:81" x14ac:dyDescent="0.15">
      <c r="AC255" s="2">
        <v>245</v>
      </c>
      <c r="AD255" s="2">
        <f t="shared" si="84"/>
        <v>0</v>
      </c>
      <c r="AE255" s="2">
        <f t="shared" si="85"/>
        <v>5016.666666666667</v>
      </c>
      <c r="AF255" s="2">
        <f t="shared" si="86"/>
        <v>12541.666666666666</v>
      </c>
      <c r="AG255" s="2">
        <f t="shared" si="87"/>
        <v>25083.333333333332</v>
      </c>
      <c r="AH255" s="2">
        <f t="shared" si="88"/>
        <v>50166.666666666664</v>
      </c>
      <c r="AZ255" s="10">
        <v>245</v>
      </c>
      <c r="BA255" s="10">
        <f t="shared" si="79"/>
        <v>2809333.3333333335</v>
      </c>
      <c r="BB255" s="10">
        <f t="shared" si="80"/>
        <v>4214000</v>
      </c>
      <c r="BC255" s="10">
        <f t="shared" si="81"/>
        <v>5618666.666666667</v>
      </c>
      <c r="BD255" s="10">
        <f t="shared" si="82"/>
        <v>7023333.333333333</v>
      </c>
      <c r="BE255" s="10">
        <f t="shared" si="83"/>
        <v>8428000</v>
      </c>
      <c r="BX255" s="10">
        <v>245</v>
      </c>
      <c r="BY255" s="10">
        <f t="shared" si="93"/>
        <v>143333.33333333334</v>
      </c>
      <c r="BZ255" s="10">
        <f t="shared" si="93"/>
        <v>215000</v>
      </c>
      <c r="CA255" s="10">
        <f t="shared" si="93"/>
        <v>286666.66666666669</v>
      </c>
      <c r="CB255" s="10">
        <f t="shared" si="93"/>
        <v>537500</v>
      </c>
      <c r="CC255" s="10">
        <f t="shared" si="93"/>
        <v>1791666.6666666667</v>
      </c>
    </row>
    <row r="256" spans="29:81" x14ac:dyDescent="0.15">
      <c r="AC256" s="2">
        <v>246</v>
      </c>
      <c r="AD256" s="2">
        <f t="shared" si="84"/>
        <v>0</v>
      </c>
      <c r="AE256" s="2">
        <f t="shared" si="85"/>
        <v>5040</v>
      </c>
      <c r="AF256" s="2">
        <f t="shared" si="86"/>
        <v>12600</v>
      </c>
      <c r="AG256" s="2">
        <f t="shared" si="87"/>
        <v>25200</v>
      </c>
      <c r="AH256" s="2">
        <f t="shared" si="88"/>
        <v>50400</v>
      </c>
      <c r="AZ256" s="10">
        <v>246</v>
      </c>
      <c r="BA256" s="10">
        <f t="shared" si="79"/>
        <v>2822400</v>
      </c>
      <c r="BB256" s="10">
        <f t="shared" si="80"/>
        <v>4233600</v>
      </c>
      <c r="BC256" s="10">
        <f t="shared" si="81"/>
        <v>5644800</v>
      </c>
      <c r="BD256" s="10">
        <f t="shared" si="82"/>
        <v>7056000</v>
      </c>
      <c r="BE256" s="10">
        <f t="shared" si="83"/>
        <v>8467200</v>
      </c>
      <c r="BX256" s="10">
        <v>246</v>
      </c>
      <c r="BY256" s="10">
        <f t="shared" si="93"/>
        <v>144000</v>
      </c>
      <c r="BZ256" s="10">
        <f t="shared" si="93"/>
        <v>216000</v>
      </c>
      <c r="CA256" s="10">
        <f t="shared" si="93"/>
        <v>288000</v>
      </c>
      <c r="CB256" s="10">
        <f t="shared" si="93"/>
        <v>540000</v>
      </c>
      <c r="CC256" s="10">
        <f t="shared" si="93"/>
        <v>1800000</v>
      </c>
    </row>
    <row r="257" spans="29:81" x14ac:dyDescent="0.15">
      <c r="AC257" s="2">
        <v>247</v>
      </c>
      <c r="AD257" s="2">
        <f t="shared" si="84"/>
        <v>0</v>
      </c>
      <c r="AE257" s="2">
        <f t="shared" si="85"/>
        <v>5063.333333333333</v>
      </c>
      <c r="AF257" s="2">
        <f t="shared" si="86"/>
        <v>12658.333333333334</v>
      </c>
      <c r="AG257" s="2">
        <f t="shared" si="87"/>
        <v>25316.666666666668</v>
      </c>
      <c r="AH257" s="2">
        <f t="shared" si="88"/>
        <v>50633.333333333336</v>
      </c>
      <c r="AZ257" s="10">
        <v>247</v>
      </c>
      <c r="BA257" s="10">
        <f t="shared" si="79"/>
        <v>2835466.6666666665</v>
      </c>
      <c r="BB257" s="10">
        <f t="shared" si="80"/>
        <v>4253200</v>
      </c>
      <c r="BC257" s="10">
        <f t="shared" si="81"/>
        <v>5670933.333333333</v>
      </c>
      <c r="BD257" s="10">
        <f t="shared" si="82"/>
        <v>7088666.666666667</v>
      </c>
      <c r="BE257" s="10">
        <f t="shared" si="83"/>
        <v>8506400</v>
      </c>
      <c r="BX257" s="10">
        <v>247</v>
      </c>
      <c r="BY257" s="10">
        <f t="shared" si="93"/>
        <v>144666.66666666666</v>
      </c>
      <c r="BZ257" s="10">
        <f t="shared" si="93"/>
        <v>217000</v>
      </c>
      <c r="CA257" s="10">
        <f t="shared" si="93"/>
        <v>289333.33333333331</v>
      </c>
      <c r="CB257" s="10">
        <f t="shared" si="93"/>
        <v>542500</v>
      </c>
      <c r="CC257" s="10">
        <f t="shared" si="93"/>
        <v>1808333.3333333333</v>
      </c>
    </row>
    <row r="258" spans="29:81" x14ac:dyDescent="0.15">
      <c r="AC258" s="2">
        <v>248</v>
      </c>
      <c r="AD258" s="2">
        <f t="shared" si="84"/>
        <v>0</v>
      </c>
      <c r="AE258" s="2">
        <f t="shared" si="85"/>
        <v>5086.666666666667</v>
      </c>
      <c r="AF258" s="2">
        <f t="shared" si="86"/>
        <v>12716.666666666666</v>
      </c>
      <c r="AG258" s="2">
        <f t="shared" si="87"/>
        <v>25433.333333333332</v>
      </c>
      <c r="AH258" s="2">
        <f t="shared" si="88"/>
        <v>50866.666666666664</v>
      </c>
      <c r="AZ258" s="10">
        <v>248</v>
      </c>
      <c r="BA258" s="10">
        <f t="shared" si="79"/>
        <v>2848533.3333333335</v>
      </c>
      <c r="BB258" s="10">
        <f t="shared" si="80"/>
        <v>4272800</v>
      </c>
      <c r="BC258" s="10">
        <f t="shared" si="81"/>
        <v>5697066.666666667</v>
      </c>
      <c r="BD258" s="10">
        <f t="shared" si="82"/>
        <v>7121333.333333333</v>
      </c>
      <c r="BE258" s="10">
        <f t="shared" si="83"/>
        <v>8545600</v>
      </c>
      <c r="BX258" s="10">
        <v>248</v>
      </c>
      <c r="BY258" s="10">
        <f t="shared" si="93"/>
        <v>145333.33333333334</v>
      </c>
      <c r="BZ258" s="10">
        <f t="shared" si="93"/>
        <v>218000</v>
      </c>
      <c r="CA258" s="10">
        <f t="shared" si="93"/>
        <v>290666.66666666669</v>
      </c>
      <c r="CB258" s="10">
        <f t="shared" si="93"/>
        <v>545000</v>
      </c>
      <c r="CC258" s="10">
        <f t="shared" si="93"/>
        <v>1816666.6666666667</v>
      </c>
    </row>
    <row r="259" spans="29:81" x14ac:dyDescent="0.15">
      <c r="AC259" s="2">
        <v>249</v>
      </c>
      <c r="AD259" s="2">
        <f t="shared" si="84"/>
        <v>0</v>
      </c>
      <c r="AE259" s="2">
        <f t="shared" si="85"/>
        <v>5110</v>
      </c>
      <c r="AF259" s="2">
        <f t="shared" si="86"/>
        <v>12775</v>
      </c>
      <c r="AG259" s="2">
        <f t="shared" si="87"/>
        <v>25550</v>
      </c>
      <c r="AH259" s="2">
        <f t="shared" si="88"/>
        <v>51100</v>
      </c>
      <c r="AZ259" s="10">
        <v>249</v>
      </c>
      <c r="BA259" s="10">
        <f t="shared" si="79"/>
        <v>2861600</v>
      </c>
      <c r="BB259" s="10">
        <f t="shared" si="80"/>
        <v>4292400</v>
      </c>
      <c r="BC259" s="10">
        <f t="shared" si="81"/>
        <v>5723200</v>
      </c>
      <c r="BD259" s="10">
        <f t="shared" si="82"/>
        <v>7154000</v>
      </c>
      <c r="BE259" s="10">
        <f t="shared" si="83"/>
        <v>8584800</v>
      </c>
      <c r="BX259" s="10">
        <v>249</v>
      </c>
      <c r="BY259" s="10">
        <f t="shared" si="93"/>
        <v>146000</v>
      </c>
      <c r="BZ259" s="10">
        <f t="shared" si="93"/>
        <v>219000</v>
      </c>
      <c r="CA259" s="10">
        <f t="shared" si="93"/>
        <v>292000</v>
      </c>
      <c r="CB259" s="10">
        <f t="shared" si="93"/>
        <v>547500</v>
      </c>
      <c r="CC259" s="10">
        <f t="shared" si="93"/>
        <v>1825000</v>
      </c>
    </row>
    <row r="260" spans="29:81" x14ac:dyDescent="0.15">
      <c r="AC260" s="2">
        <v>250</v>
      </c>
      <c r="AD260" s="2">
        <f t="shared" si="84"/>
        <v>0</v>
      </c>
      <c r="AE260" s="2">
        <f t="shared" si="85"/>
        <v>5133.333333333333</v>
      </c>
      <c r="AF260" s="2">
        <f t="shared" si="86"/>
        <v>12833.333333333334</v>
      </c>
      <c r="AG260" s="2">
        <f t="shared" si="87"/>
        <v>25666.666666666668</v>
      </c>
      <c r="AH260" s="2">
        <f t="shared" si="88"/>
        <v>51333.333333333336</v>
      </c>
      <c r="AZ260" s="10">
        <v>250</v>
      </c>
      <c r="BA260" s="10">
        <f t="shared" si="79"/>
        <v>2874666.6666666665</v>
      </c>
      <c r="BB260" s="10">
        <f t="shared" si="80"/>
        <v>4312000</v>
      </c>
      <c r="BC260" s="10">
        <f t="shared" si="81"/>
        <v>5749333.333333333</v>
      </c>
      <c r="BD260" s="10">
        <f t="shared" si="82"/>
        <v>7186666.666666667</v>
      </c>
      <c r="BE260" s="10">
        <f t="shared" si="83"/>
        <v>8624000</v>
      </c>
      <c r="BX260" s="10">
        <v>250</v>
      </c>
      <c r="BY260" s="10">
        <f t="shared" si="93"/>
        <v>146666.66666666666</v>
      </c>
      <c r="BZ260" s="10">
        <f t="shared" si="93"/>
        <v>220000</v>
      </c>
      <c r="CA260" s="10">
        <f t="shared" si="93"/>
        <v>293333.33333333331</v>
      </c>
      <c r="CB260" s="10">
        <f t="shared" si="93"/>
        <v>550000</v>
      </c>
      <c r="CC260" s="10">
        <f t="shared" si="93"/>
        <v>1833333.3333333333</v>
      </c>
    </row>
    <row r="261" spans="29:81" x14ac:dyDescent="0.15">
      <c r="AC261" s="2">
        <v>251</v>
      </c>
      <c r="AD261" s="2">
        <f t="shared" si="84"/>
        <v>0</v>
      </c>
      <c r="AE261" s="2">
        <f t="shared" si="85"/>
        <v>5156.666666666667</v>
      </c>
      <c r="AF261" s="2">
        <f t="shared" si="86"/>
        <v>12891.666666666666</v>
      </c>
      <c r="AG261" s="2">
        <f t="shared" si="87"/>
        <v>25783.333333333332</v>
      </c>
      <c r="AH261" s="2">
        <f t="shared" si="88"/>
        <v>51566.666666666664</v>
      </c>
      <c r="AZ261" s="10">
        <v>251</v>
      </c>
      <c r="BA261" s="10">
        <f t="shared" si="79"/>
        <v>2887733.3333333335</v>
      </c>
      <c r="BB261" s="10">
        <f t="shared" si="80"/>
        <v>4331600</v>
      </c>
      <c r="BC261" s="10">
        <f t="shared" si="81"/>
        <v>5775466.666666667</v>
      </c>
      <c r="BD261" s="10">
        <f t="shared" si="82"/>
        <v>7219333.333333333</v>
      </c>
      <c r="BE261" s="10">
        <f t="shared" si="83"/>
        <v>8663200</v>
      </c>
      <c r="BX261" s="10">
        <v>251</v>
      </c>
      <c r="BY261" s="10">
        <f t="shared" ref="BY261:CC270" si="94">MAX($BX261-$C$7,0)*INDEX($BU$7:$BU$15,MATCH(BY$10,$BT$7:$BT$15,0))/30</f>
        <v>147333.33333333334</v>
      </c>
      <c r="BZ261" s="10">
        <f t="shared" si="94"/>
        <v>221000</v>
      </c>
      <c r="CA261" s="10">
        <f t="shared" si="94"/>
        <v>294666.66666666669</v>
      </c>
      <c r="CB261" s="10">
        <f t="shared" si="94"/>
        <v>552500</v>
      </c>
      <c r="CC261" s="10">
        <f t="shared" si="94"/>
        <v>1841666.6666666667</v>
      </c>
    </row>
    <row r="262" spans="29:81" x14ac:dyDescent="0.15">
      <c r="AC262" s="2">
        <v>252</v>
      </c>
      <c r="AD262" s="2">
        <f t="shared" si="84"/>
        <v>0</v>
      </c>
      <c r="AE262" s="2">
        <f t="shared" si="85"/>
        <v>5180</v>
      </c>
      <c r="AF262" s="2">
        <f t="shared" si="86"/>
        <v>12950</v>
      </c>
      <c r="AG262" s="2">
        <f t="shared" si="87"/>
        <v>25900</v>
      </c>
      <c r="AH262" s="2">
        <f t="shared" si="88"/>
        <v>51800</v>
      </c>
      <c r="AZ262" s="10">
        <v>252</v>
      </c>
      <c r="BA262" s="10">
        <f t="shared" si="79"/>
        <v>2900800</v>
      </c>
      <c r="BB262" s="10">
        <f t="shared" si="80"/>
        <v>4351200</v>
      </c>
      <c r="BC262" s="10">
        <f t="shared" si="81"/>
        <v>5801600</v>
      </c>
      <c r="BD262" s="10">
        <f t="shared" si="82"/>
        <v>7252000</v>
      </c>
      <c r="BE262" s="10">
        <f t="shared" si="83"/>
        <v>8702400</v>
      </c>
      <c r="BX262" s="10">
        <v>252</v>
      </c>
      <c r="BY262" s="10">
        <f t="shared" si="94"/>
        <v>148000</v>
      </c>
      <c r="BZ262" s="10">
        <f t="shared" si="94"/>
        <v>222000</v>
      </c>
      <c r="CA262" s="10">
        <f t="shared" si="94"/>
        <v>296000</v>
      </c>
      <c r="CB262" s="10">
        <f t="shared" si="94"/>
        <v>555000</v>
      </c>
      <c r="CC262" s="10">
        <f t="shared" si="94"/>
        <v>1850000</v>
      </c>
    </row>
    <row r="263" spans="29:81" x14ac:dyDescent="0.15">
      <c r="AC263" s="2">
        <v>253</v>
      </c>
      <c r="AD263" s="2">
        <f t="shared" si="84"/>
        <v>0</v>
      </c>
      <c r="AE263" s="2">
        <f t="shared" si="85"/>
        <v>5203.333333333333</v>
      </c>
      <c r="AF263" s="2">
        <f t="shared" si="86"/>
        <v>13008.333333333334</v>
      </c>
      <c r="AG263" s="2">
        <f t="shared" si="87"/>
        <v>26016.666666666668</v>
      </c>
      <c r="AH263" s="2">
        <f t="shared" si="88"/>
        <v>52033.333333333336</v>
      </c>
      <c r="AZ263" s="10">
        <v>253</v>
      </c>
      <c r="BA263" s="10">
        <f t="shared" si="79"/>
        <v>2913866.6666666665</v>
      </c>
      <c r="BB263" s="10">
        <f t="shared" si="80"/>
        <v>4370800</v>
      </c>
      <c r="BC263" s="10">
        <f t="shared" si="81"/>
        <v>5827733.333333333</v>
      </c>
      <c r="BD263" s="10">
        <f t="shared" si="82"/>
        <v>7284666.666666667</v>
      </c>
      <c r="BE263" s="10">
        <f t="shared" si="83"/>
        <v>8741600</v>
      </c>
      <c r="BX263" s="10">
        <v>253</v>
      </c>
      <c r="BY263" s="10">
        <f t="shared" si="94"/>
        <v>148666.66666666666</v>
      </c>
      <c r="BZ263" s="10">
        <f t="shared" si="94"/>
        <v>223000</v>
      </c>
      <c r="CA263" s="10">
        <f t="shared" si="94"/>
        <v>297333.33333333331</v>
      </c>
      <c r="CB263" s="10">
        <f t="shared" si="94"/>
        <v>557500</v>
      </c>
      <c r="CC263" s="10">
        <f t="shared" si="94"/>
        <v>1858333.3333333333</v>
      </c>
    </row>
    <row r="264" spans="29:81" x14ac:dyDescent="0.15">
      <c r="AC264" s="2">
        <v>254</v>
      </c>
      <c r="AD264" s="2">
        <f t="shared" si="84"/>
        <v>0</v>
      </c>
      <c r="AE264" s="2">
        <f t="shared" si="85"/>
        <v>5226.666666666667</v>
      </c>
      <c r="AF264" s="2">
        <f t="shared" si="86"/>
        <v>13066.666666666666</v>
      </c>
      <c r="AG264" s="2">
        <f t="shared" si="87"/>
        <v>26133.333333333332</v>
      </c>
      <c r="AH264" s="2">
        <f t="shared" si="88"/>
        <v>52266.666666666664</v>
      </c>
      <c r="AZ264" s="10">
        <v>254</v>
      </c>
      <c r="BA264" s="10">
        <f t="shared" si="79"/>
        <v>2926933.3333333335</v>
      </c>
      <c r="BB264" s="10">
        <f t="shared" si="80"/>
        <v>4390400</v>
      </c>
      <c r="BC264" s="10">
        <f t="shared" si="81"/>
        <v>5853866.666666667</v>
      </c>
      <c r="BD264" s="10">
        <f t="shared" si="82"/>
        <v>7317333.333333333</v>
      </c>
      <c r="BE264" s="10">
        <f t="shared" si="83"/>
        <v>8780800</v>
      </c>
      <c r="BX264" s="10">
        <v>254</v>
      </c>
      <c r="BY264" s="10">
        <f t="shared" si="94"/>
        <v>149333.33333333334</v>
      </c>
      <c r="BZ264" s="10">
        <f t="shared" si="94"/>
        <v>224000</v>
      </c>
      <c r="CA264" s="10">
        <f t="shared" si="94"/>
        <v>298666.66666666669</v>
      </c>
      <c r="CB264" s="10">
        <f t="shared" si="94"/>
        <v>560000</v>
      </c>
      <c r="CC264" s="10">
        <f t="shared" si="94"/>
        <v>1866666.6666666667</v>
      </c>
    </row>
    <row r="265" spans="29:81" x14ac:dyDescent="0.15">
      <c r="AC265" s="2">
        <v>255</v>
      </c>
      <c r="AD265" s="2">
        <f t="shared" si="84"/>
        <v>0</v>
      </c>
      <c r="AE265" s="2">
        <f t="shared" si="85"/>
        <v>5250</v>
      </c>
      <c r="AF265" s="2">
        <f t="shared" si="86"/>
        <v>13125</v>
      </c>
      <c r="AG265" s="2">
        <f t="shared" si="87"/>
        <v>26250</v>
      </c>
      <c r="AH265" s="2">
        <f t="shared" si="88"/>
        <v>52500</v>
      </c>
      <c r="AZ265" s="10">
        <v>255</v>
      </c>
      <c r="BA265" s="10">
        <f t="shared" si="79"/>
        <v>2940000</v>
      </c>
      <c r="BB265" s="10">
        <f t="shared" si="80"/>
        <v>4410000</v>
      </c>
      <c r="BC265" s="10">
        <f t="shared" si="81"/>
        <v>5880000</v>
      </c>
      <c r="BD265" s="10">
        <f t="shared" si="82"/>
        <v>7350000</v>
      </c>
      <c r="BE265" s="10">
        <f t="shared" si="83"/>
        <v>8820000</v>
      </c>
      <c r="BX265" s="10">
        <v>255</v>
      </c>
      <c r="BY265" s="10">
        <f t="shared" si="94"/>
        <v>150000</v>
      </c>
      <c r="BZ265" s="10">
        <f t="shared" si="94"/>
        <v>225000</v>
      </c>
      <c r="CA265" s="10">
        <f t="shared" si="94"/>
        <v>300000</v>
      </c>
      <c r="CB265" s="10">
        <f t="shared" si="94"/>
        <v>562500</v>
      </c>
      <c r="CC265" s="10">
        <f t="shared" si="94"/>
        <v>1875000</v>
      </c>
    </row>
    <row r="266" spans="29:81" x14ac:dyDescent="0.15">
      <c r="AC266" s="2">
        <v>256</v>
      </c>
      <c r="AD266" s="2">
        <f t="shared" si="84"/>
        <v>0</v>
      </c>
      <c r="AE266" s="2">
        <f t="shared" si="85"/>
        <v>5273.333333333333</v>
      </c>
      <c r="AF266" s="2">
        <f t="shared" si="86"/>
        <v>13183.333333333334</v>
      </c>
      <c r="AG266" s="2">
        <f t="shared" si="87"/>
        <v>26366.666666666668</v>
      </c>
      <c r="AH266" s="2">
        <f t="shared" si="88"/>
        <v>52733.333333333336</v>
      </c>
      <c r="AZ266" s="10">
        <v>256</v>
      </c>
      <c r="BA266" s="10">
        <f t="shared" si="79"/>
        <v>2953066.6666666665</v>
      </c>
      <c r="BB266" s="10">
        <f t="shared" si="80"/>
        <v>4429600</v>
      </c>
      <c r="BC266" s="10">
        <f t="shared" si="81"/>
        <v>5906133.333333333</v>
      </c>
      <c r="BD266" s="10">
        <f t="shared" si="82"/>
        <v>7382666.666666667</v>
      </c>
      <c r="BE266" s="10">
        <f t="shared" si="83"/>
        <v>8859200</v>
      </c>
      <c r="BX266" s="10">
        <v>256</v>
      </c>
      <c r="BY266" s="10">
        <f t="shared" si="94"/>
        <v>150666.66666666666</v>
      </c>
      <c r="BZ266" s="10">
        <f t="shared" si="94"/>
        <v>226000</v>
      </c>
      <c r="CA266" s="10">
        <f t="shared" si="94"/>
        <v>301333.33333333331</v>
      </c>
      <c r="CB266" s="10">
        <f t="shared" si="94"/>
        <v>565000</v>
      </c>
      <c r="CC266" s="10">
        <f t="shared" si="94"/>
        <v>1883333.3333333333</v>
      </c>
    </row>
    <row r="267" spans="29:81" x14ac:dyDescent="0.15">
      <c r="AC267" s="2">
        <v>257</v>
      </c>
      <c r="AD267" s="2">
        <f t="shared" si="84"/>
        <v>0</v>
      </c>
      <c r="AE267" s="2">
        <f t="shared" si="85"/>
        <v>5296.666666666667</v>
      </c>
      <c r="AF267" s="2">
        <f t="shared" si="86"/>
        <v>13241.666666666666</v>
      </c>
      <c r="AG267" s="2">
        <f t="shared" si="87"/>
        <v>26483.333333333332</v>
      </c>
      <c r="AH267" s="2">
        <f t="shared" si="88"/>
        <v>52966.666666666664</v>
      </c>
      <c r="AZ267" s="10">
        <v>257</v>
      </c>
      <c r="BA267" s="10">
        <f t="shared" si="79"/>
        <v>2966133.3333333335</v>
      </c>
      <c r="BB267" s="10">
        <f t="shared" si="80"/>
        <v>4449200</v>
      </c>
      <c r="BC267" s="10">
        <f t="shared" si="81"/>
        <v>5932266.666666667</v>
      </c>
      <c r="BD267" s="10">
        <f t="shared" si="82"/>
        <v>7415333.333333333</v>
      </c>
      <c r="BE267" s="10">
        <f t="shared" si="83"/>
        <v>8898400</v>
      </c>
      <c r="BX267" s="10">
        <v>257</v>
      </c>
      <c r="BY267" s="10">
        <f t="shared" si="94"/>
        <v>151333.33333333334</v>
      </c>
      <c r="BZ267" s="10">
        <f t="shared" si="94"/>
        <v>227000</v>
      </c>
      <c r="CA267" s="10">
        <f t="shared" si="94"/>
        <v>302666.66666666669</v>
      </c>
      <c r="CB267" s="10">
        <f t="shared" si="94"/>
        <v>567500</v>
      </c>
      <c r="CC267" s="10">
        <f t="shared" si="94"/>
        <v>1891666.6666666667</v>
      </c>
    </row>
    <row r="268" spans="29:81" x14ac:dyDescent="0.15">
      <c r="AC268" s="2">
        <v>258</v>
      </c>
      <c r="AD268" s="2">
        <f t="shared" si="84"/>
        <v>0</v>
      </c>
      <c r="AE268" s="2">
        <f t="shared" si="85"/>
        <v>5320</v>
      </c>
      <c r="AF268" s="2">
        <f t="shared" si="86"/>
        <v>13300</v>
      </c>
      <c r="AG268" s="2">
        <f t="shared" si="87"/>
        <v>26600</v>
      </c>
      <c r="AH268" s="2">
        <f t="shared" si="88"/>
        <v>53200</v>
      </c>
      <c r="AZ268" s="10">
        <v>258</v>
      </c>
      <c r="BA268" s="10">
        <f t="shared" ref="BA268:BA331" si="95">MAX($AZ268-$C$7,0)*C$22*$C$8*($AV$6+$AV$22)/30</f>
        <v>2979200</v>
      </c>
      <c r="BB268" s="10">
        <f t="shared" ref="BB268:BB331" si="96">MAX($AZ268-$C$7,0)*D$22*$C$8*($AV$6+$AV$22)/30</f>
        <v>4468800</v>
      </c>
      <c r="BC268" s="10">
        <f t="shared" ref="BC268:BC331" si="97">MAX($AZ268-$C$7,0)*E$22*$C$8*($AV$6+$AV$22)/30</f>
        <v>5958400</v>
      </c>
      <c r="BD268" s="10">
        <f t="shared" ref="BD268:BD331" si="98">MAX($AZ268-$C$7,0)*F$22*$C$8*($AV$6+$AV$22)/30</f>
        <v>7448000</v>
      </c>
      <c r="BE268" s="10">
        <f t="shared" ref="BE268:BE331" si="99">MAX($AZ268-$C$7,0)*G$22*$C$8*($AV$6+$AV$22)/30</f>
        <v>8937600</v>
      </c>
      <c r="BX268" s="10">
        <v>258</v>
      </c>
      <c r="BY268" s="10">
        <f t="shared" si="94"/>
        <v>152000</v>
      </c>
      <c r="BZ268" s="10">
        <f t="shared" si="94"/>
        <v>228000</v>
      </c>
      <c r="CA268" s="10">
        <f t="shared" si="94"/>
        <v>304000</v>
      </c>
      <c r="CB268" s="10">
        <f t="shared" si="94"/>
        <v>570000</v>
      </c>
      <c r="CC268" s="10">
        <f t="shared" si="94"/>
        <v>1900000</v>
      </c>
    </row>
    <row r="269" spans="29:81" x14ac:dyDescent="0.15">
      <c r="AC269" s="2">
        <v>259</v>
      </c>
      <c r="AD269" s="2">
        <f t="shared" si="84"/>
        <v>0</v>
      </c>
      <c r="AE269" s="2">
        <f t="shared" si="85"/>
        <v>5343.333333333333</v>
      </c>
      <c r="AF269" s="2">
        <f t="shared" si="86"/>
        <v>13358.333333333334</v>
      </c>
      <c r="AG269" s="2">
        <f t="shared" si="87"/>
        <v>26716.666666666668</v>
      </c>
      <c r="AH269" s="2">
        <f t="shared" si="88"/>
        <v>53433.333333333336</v>
      </c>
      <c r="AZ269" s="10">
        <v>259</v>
      </c>
      <c r="BA269" s="10">
        <f t="shared" si="95"/>
        <v>2992266.6666666665</v>
      </c>
      <c r="BB269" s="10">
        <f t="shared" si="96"/>
        <v>4488400</v>
      </c>
      <c r="BC269" s="10">
        <f t="shared" si="97"/>
        <v>5984533.333333333</v>
      </c>
      <c r="BD269" s="10">
        <f t="shared" si="98"/>
        <v>7480666.666666667</v>
      </c>
      <c r="BE269" s="10">
        <f t="shared" si="99"/>
        <v>8976800</v>
      </c>
      <c r="BX269" s="10">
        <v>259</v>
      </c>
      <c r="BY269" s="10">
        <f t="shared" si="94"/>
        <v>152666.66666666666</v>
      </c>
      <c r="BZ269" s="10">
        <f t="shared" si="94"/>
        <v>229000</v>
      </c>
      <c r="CA269" s="10">
        <f t="shared" si="94"/>
        <v>305333.33333333331</v>
      </c>
      <c r="CB269" s="10">
        <f t="shared" si="94"/>
        <v>572500</v>
      </c>
      <c r="CC269" s="10">
        <f t="shared" si="94"/>
        <v>1908333.3333333333</v>
      </c>
    </row>
    <row r="270" spans="29:81" x14ac:dyDescent="0.15">
      <c r="AC270" s="2">
        <v>260</v>
      </c>
      <c r="AD270" s="2">
        <f t="shared" si="84"/>
        <v>0</v>
      </c>
      <c r="AE270" s="2">
        <f t="shared" si="85"/>
        <v>5366.666666666667</v>
      </c>
      <c r="AF270" s="2">
        <f t="shared" si="86"/>
        <v>13416.666666666666</v>
      </c>
      <c r="AG270" s="2">
        <f t="shared" si="87"/>
        <v>26833.333333333332</v>
      </c>
      <c r="AH270" s="2">
        <f t="shared" si="88"/>
        <v>53666.666666666664</v>
      </c>
      <c r="AZ270" s="10">
        <v>260</v>
      </c>
      <c r="BA270" s="10">
        <f t="shared" si="95"/>
        <v>3005333.3333333335</v>
      </c>
      <c r="BB270" s="10">
        <f t="shared" si="96"/>
        <v>4508000</v>
      </c>
      <c r="BC270" s="10">
        <f t="shared" si="97"/>
        <v>6010666.666666667</v>
      </c>
      <c r="BD270" s="10">
        <f t="shared" si="98"/>
        <v>7513333.333333333</v>
      </c>
      <c r="BE270" s="10">
        <f t="shared" si="99"/>
        <v>9016000</v>
      </c>
      <c r="BX270" s="10">
        <v>260</v>
      </c>
      <c r="BY270" s="10">
        <f t="shared" si="94"/>
        <v>153333.33333333334</v>
      </c>
      <c r="BZ270" s="10">
        <f t="shared" si="94"/>
        <v>230000</v>
      </c>
      <c r="CA270" s="10">
        <f t="shared" si="94"/>
        <v>306666.66666666669</v>
      </c>
      <c r="CB270" s="10">
        <f t="shared" si="94"/>
        <v>575000</v>
      </c>
      <c r="CC270" s="10">
        <f t="shared" si="94"/>
        <v>1916666.6666666667</v>
      </c>
    </row>
    <row r="271" spans="29:81" x14ac:dyDescent="0.15">
      <c r="AC271" s="2">
        <v>261</v>
      </c>
      <c r="AD271" s="2">
        <f t="shared" si="84"/>
        <v>0</v>
      </c>
      <c r="AE271" s="2">
        <f t="shared" si="85"/>
        <v>5390</v>
      </c>
      <c r="AF271" s="2">
        <f t="shared" si="86"/>
        <v>13475</v>
      </c>
      <c r="AG271" s="2">
        <f t="shared" si="87"/>
        <v>26950</v>
      </c>
      <c r="AH271" s="2">
        <f t="shared" si="88"/>
        <v>53900</v>
      </c>
      <c r="AZ271" s="10">
        <v>261</v>
      </c>
      <c r="BA271" s="10">
        <f t="shared" si="95"/>
        <v>3018400</v>
      </c>
      <c r="BB271" s="10">
        <f t="shared" si="96"/>
        <v>4527600</v>
      </c>
      <c r="BC271" s="10">
        <f t="shared" si="97"/>
        <v>6036800</v>
      </c>
      <c r="BD271" s="10">
        <f t="shared" si="98"/>
        <v>7546000</v>
      </c>
      <c r="BE271" s="10">
        <f t="shared" si="99"/>
        <v>9055200</v>
      </c>
      <c r="BX271" s="10">
        <v>261</v>
      </c>
      <c r="BY271" s="10">
        <f t="shared" ref="BY271:CC280" si="100">MAX($BX271-$C$7,0)*INDEX($BU$7:$BU$15,MATCH(BY$10,$BT$7:$BT$15,0))/30</f>
        <v>154000</v>
      </c>
      <c r="BZ271" s="10">
        <f t="shared" si="100"/>
        <v>231000</v>
      </c>
      <c r="CA271" s="10">
        <f t="shared" si="100"/>
        <v>308000</v>
      </c>
      <c r="CB271" s="10">
        <f t="shared" si="100"/>
        <v>577500</v>
      </c>
      <c r="CC271" s="10">
        <f t="shared" si="100"/>
        <v>1925000</v>
      </c>
    </row>
    <row r="272" spans="29:81" x14ac:dyDescent="0.15">
      <c r="AC272" s="2">
        <v>262</v>
      </c>
      <c r="AD272" s="2">
        <f t="shared" si="84"/>
        <v>0</v>
      </c>
      <c r="AE272" s="2">
        <f t="shared" si="85"/>
        <v>5413.333333333333</v>
      </c>
      <c r="AF272" s="2">
        <f t="shared" si="86"/>
        <v>13533.333333333334</v>
      </c>
      <c r="AG272" s="2">
        <f t="shared" si="87"/>
        <v>27066.666666666668</v>
      </c>
      <c r="AH272" s="2">
        <f t="shared" si="88"/>
        <v>54133.333333333336</v>
      </c>
      <c r="AZ272" s="10">
        <v>262</v>
      </c>
      <c r="BA272" s="10">
        <f t="shared" si="95"/>
        <v>3031466.6666666665</v>
      </c>
      <c r="BB272" s="10">
        <f t="shared" si="96"/>
        <v>4547200</v>
      </c>
      <c r="BC272" s="10">
        <f t="shared" si="97"/>
        <v>6062933.333333333</v>
      </c>
      <c r="BD272" s="10">
        <f t="shared" si="98"/>
        <v>7578666.666666667</v>
      </c>
      <c r="BE272" s="10">
        <f t="shared" si="99"/>
        <v>9094400</v>
      </c>
      <c r="BX272" s="10">
        <v>262</v>
      </c>
      <c r="BY272" s="10">
        <f t="shared" si="100"/>
        <v>154666.66666666666</v>
      </c>
      <c r="BZ272" s="10">
        <f t="shared" si="100"/>
        <v>232000</v>
      </c>
      <c r="CA272" s="10">
        <f t="shared" si="100"/>
        <v>309333.33333333331</v>
      </c>
      <c r="CB272" s="10">
        <f t="shared" si="100"/>
        <v>580000</v>
      </c>
      <c r="CC272" s="10">
        <f t="shared" si="100"/>
        <v>1933333.3333333333</v>
      </c>
    </row>
    <row r="273" spans="29:81" x14ac:dyDescent="0.15">
      <c r="AC273" s="2">
        <v>263</v>
      </c>
      <c r="AD273" s="2">
        <f t="shared" si="84"/>
        <v>0</v>
      </c>
      <c r="AE273" s="2">
        <f t="shared" si="85"/>
        <v>5436.666666666667</v>
      </c>
      <c r="AF273" s="2">
        <f t="shared" si="86"/>
        <v>13591.666666666666</v>
      </c>
      <c r="AG273" s="2">
        <f t="shared" si="87"/>
        <v>27183.333333333332</v>
      </c>
      <c r="AH273" s="2">
        <f t="shared" si="88"/>
        <v>54366.666666666664</v>
      </c>
      <c r="AZ273" s="10">
        <v>263</v>
      </c>
      <c r="BA273" s="10">
        <f t="shared" si="95"/>
        <v>3044533.3333333335</v>
      </c>
      <c r="BB273" s="10">
        <f t="shared" si="96"/>
        <v>4566800</v>
      </c>
      <c r="BC273" s="10">
        <f t="shared" si="97"/>
        <v>6089066.666666667</v>
      </c>
      <c r="BD273" s="10">
        <f t="shared" si="98"/>
        <v>7611333.333333333</v>
      </c>
      <c r="BE273" s="10">
        <f t="shared" si="99"/>
        <v>9133600</v>
      </c>
      <c r="BX273" s="10">
        <v>263</v>
      </c>
      <c r="BY273" s="10">
        <f t="shared" si="100"/>
        <v>155333.33333333334</v>
      </c>
      <c r="BZ273" s="10">
        <f t="shared" si="100"/>
        <v>233000</v>
      </c>
      <c r="CA273" s="10">
        <f t="shared" si="100"/>
        <v>310666.66666666669</v>
      </c>
      <c r="CB273" s="10">
        <f t="shared" si="100"/>
        <v>582500</v>
      </c>
      <c r="CC273" s="10">
        <f t="shared" si="100"/>
        <v>1941666.6666666667</v>
      </c>
    </row>
    <row r="274" spans="29:81" x14ac:dyDescent="0.15">
      <c r="AC274" s="2">
        <v>264</v>
      </c>
      <c r="AD274" s="2">
        <f t="shared" ref="AD274:AD337" si="101">INDEX($D$30:$D$34,MATCH(C$21,$B$30:$B$34,0))*MAX($AC274-$C$7,0)*$C$8/30</f>
        <v>0</v>
      </c>
      <c r="AE274" s="2">
        <f t="shared" ref="AE274:AE337" si="102">INDEX($D$30:$D$34,MATCH(D$21,$B$30:$B$34,0))*MAX($AC274-$C$7,0)*$C$8/30</f>
        <v>5460</v>
      </c>
      <c r="AF274" s="2">
        <f t="shared" ref="AF274:AF337" si="103">INDEX($D$30:$D$34,MATCH(E$21,$B$30:$B$34,0))*MAX($AC274-$C$7,0)*$C$8/30</f>
        <v>13650</v>
      </c>
      <c r="AG274" s="2">
        <f t="shared" ref="AG274:AG337" si="104">INDEX($D$30:$D$34,MATCH(F$21,$B$30:$B$34,0))*MAX($AC274-$C$7,0)*$C$8/30</f>
        <v>27300</v>
      </c>
      <c r="AH274" s="2">
        <f t="shared" ref="AH274:AH337" si="105">INDEX($D$30:$D$34,MATCH(G$21,$B$30:$B$34,0))*MAX($AC274-$C$7,0)*$C$8/30</f>
        <v>54600</v>
      </c>
      <c r="AZ274" s="10">
        <v>264</v>
      </c>
      <c r="BA274" s="10">
        <f t="shared" si="95"/>
        <v>3057600</v>
      </c>
      <c r="BB274" s="10">
        <f t="shared" si="96"/>
        <v>4586400</v>
      </c>
      <c r="BC274" s="10">
        <f t="shared" si="97"/>
        <v>6115200</v>
      </c>
      <c r="BD274" s="10">
        <f t="shared" si="98"/>
        <v>7644000</v>
      </c>
      <c r="BE274" s="10">
        <f t="shared" si="99"/>
        <v>9172800</v>
      </c>
      <c r="BX274" s="10">
        <v>264</v>
      </c>
      <c r="BY274" s="10">
        <f t="shared" si="100"/>
        <v>156000</v>
      </c>
      <c r="BZ274" s="10">
        <f t="shared" si="100"/>
        <v>234000</v>
      </c>
      <c r="CA274" s="10">
        <f t="shared" si="100"/>
        <v>312000</v>
      </c>
      <c r="CB274" s="10">
        <f t="shared" si="100"/>
        <v>585000</v>
      </c>
      <c r="CC274" s="10">
        <f t="shared" si="100"/>
        <v>1950000</v>
      </c>
    </row>
    <row r="275" spans="29:81" x14ac:dyDescent="0.15">
      <c r="AC275" s="2">
        <v>265</v>
      </c>
      <c r="AD275" s="2">
        <f t="shared" si="101"/>
        <v>0</v>
      </c>
      <c r="AE275" s="2">
        <f t="shared" si="102"/>
        <v>5483.333333333333</v>
      </c>
      <c r="AF275" s="2">
        <f t="shared" si="103"/>
        <v>13708.333333333334</v>
      </c>
      <c r="AG275" s="2">
        <f t="shared" si="104"/>
        <v>27416.666666666668</v>
      </c>
      <c r="AH275" s="2">
        <f t="shared" si="105"/>
        <v>54833.333333333336</v>
      </c>
      <c r="AZ275" s="10">
        <v>265</v>
      </c>
      <c r="BA275" s="10">
        <f t="shared" si="95"/>
        <v>3070666.6666666665</v>
      </c>
      <c r="BB275" s="10">
        <f t="shared" si="96"/>
        <v>4606000</v>
      </c>
      <c r="BC275" s="10">
        <f t="shared" si="97"/>
        <v>6141333.333333333</v>
      </c>
      <c r="BD275" s="10">
        <f t="shared" si="98"/>
        <v>7676666.666666667</v>
      </c>
      <c r="BE275" s="10">
        <f t="shared" si="99"/>
        <v>9212000</v>
      </c>
      <c r="BX275" s="10">
        <v>265</v>
      </c>
      <c r="BY275" s="10">
        <f t="shared" si="100"/>
        <v>156666.66666666666</v>
      </c>
      <c r="BZ275" s="10">
        <f t="shared" si="100"/>
        <v>235000</v>
      </c>
      <c r="CA275" s="10">
        <f t="shared" si="100"/>
        <v>313333.33333333331</v>
      </c>
      <c r="CB275" s="10">
        <f t="shared" si="100"/>
        <v>587500</v>
      </c>
      <c r="CC275" s="10">
        <f t="shared" si="100"/>
        <v>1958333.3333333333</v>
      </c>
    </row>
    <row r="276" spans="29:81" x14ac:dyDescent="0.15">
      <c r="AC276" s="2">
        <v>266</v>
      </c>
      <c r="AD276" s="2">
        <f t="shared" si="101"/>
        <v>0</v>
      </c>
      <c r="AE276" s="2">
        <f t="shared" si="102"/>
        <v>5506.666666666667</v>
      </c>
      <c r="AF276" s="2">
        <f t="shared" si="103"/>
        <v>13766.666666666666</v>
      </c>
      <c r="AG276" s="2">
        <f t="shared" si="104"/>
        <v>27533.333333333332</v>
      </c>
      <c r="AH276" s="2">
        <f t="shared" si="105"/>
        <v>55066.666666666664</v>
      </c>
      <c r="AZ276" s="10">
        <v>266</v>
      </c>
      <c r="BA276" s="10">
        <f t="shared" si="95"/>
        <v>3083733.3333333335</v>
      </c>
      <c r="BB276" s="10">
        <f t="shared" si="96"/>
        <v>4625600</v>
      </c>
      <c r="BC276" s="10">
        <f t="shared" si="97"/>
        <v>6167466.666666667</v>
      </c>
      <c r="BD276" s="10">
        <f t="shared" si="98"/>
        <v>7709333.333333333</v>
      </c>
      <c r="BE276" s="10">
        <f t="shared" si="99"/>
        <v>9251200</v>
      </c>
      <c r="BX276" s="10">
        <v>266</v>
      </c>
      <c r="BY276" s="10">
        <f t="shared" si="100"/>
        <v>157333.33333333334</v>
      </c>
      <c r="BZ276" s="10">
        <f t="shared" si="100"/>
        <v>236000</v>
      </c>
      <c r="CA276" s="10">
        <f t="shared" si="100"/>
        <v>314666.66666666669</v>
      </c>
      <c r="CB276" s="10">
        <f t="shared" si="100"/>
        <v>590000</v>
      </c>
      <c r="CC276" s="10">
        <f t="shared" si="100"/>
        <v>1966666.6666666667</v>
      </c>
    </row>
    <row r="277" spans="29:81" x14ac:dyDescent="0.15">
      <c r="AC277" s="2">
        <v>267</v>
      </c>
      <c r="AD277" s="2">
        <f t="shared" si="101"/>
        <v>0</v>
      </c>
      <c r="AE277" s="2">
        <f t="shared" si="102"/>
        <v>5530</v>
      </c>
      <c r="AF277" s="2">
        <f t="shared" si="103"/>
        <v>13825</v>
      </c>
      <c r="AG277" s="2">
        <f t="shared" si="104"/>
        <v>27650</v>
      </c>
      <c r="AH277" s="2">
        <f t="shared" si="105"/>
        <v>55300</v>
      </c>
      <c r="AZ277" s="10">
        <v>267</v>
      </c>
      <c r="BA277" s="10">
        <f t="shared" si="95"/>
        <v>3096800</v>
      </c>
      <c r="BB277" s="10">
        <f t="shared" si="96"/>
        <v>4645200</v>
      </c>
      <c r="BC277" s="10">
        <f t="shared" si="97"/>
        <v>6193600</v>
      </c>
      <c r="BD277" s="10">
        <f t="shared" si="98"/>
        <v>7742000</v>
      </c>
      <c r="BE277" s="10">
        <f t="shared" si="99"/>
        <v>9290400</v>
      </c>
      <c r="BX277" s="10">
        <v>267</v>
      </c>
      <c r="BY277" s="10">
        <f t="shared" si="100"/>
        <v>158000</v>
      </c>
      <c r="BZ277" s="10">
        <f t="shared" si="100"/>
        <v>237000</v>
      </c>
      <c r="CA277" s="10">
        <f t="shared" si="100"/>
        <v>316000</v>
      </c>
      <c r="CB277" s="10">
        <f t="shared" si="100"/>
        <v>592500</v>
      </c>
      <c r="CC277" s="10">
        <f t="shared" si="100"/>
        <v>1975000</v>
      </c>
    </row>
    <row r="278" spans="29:81" x14ac:dyDescent="0.15">
      <c r="AC278" s="2">
        <v>268</v>
      </c>
      <c r="AD278" s="2">
        <f t="shared" si="101"/>
        <v>0</v>
      </c>
      <c r="AE278" s="2">
        <f t="shared" si="102"/>
        <v>5553.333333333333</v>
      </c>
      <c r="AF278" s="2">
        <f t="shared" si="103"/>
        <v>13883.333333333334</v>
      </c>
      <c r="AG278" s="2">
        <f t="shared" si="104"/>
        <v>27766.666666666668</v>
      </c>
      <c r="AH278" s="2">
        <f t="shared" si="105"/>
        <v>55533.333333333336</v>
      </c>
      <c r="AZ278" s="10">
        <v>268</v>
      </c>
      <c r="BA278" s="10">
        <f t="shared" si="95"/>
        <v>3109866.6666666665</v>
      </c>
      <c r="BB278" s="10">
        <f t="shared" si="96"/>
        <v>4664800</v>
      </c>
      <c r="BC278" s="10">
        <f t="shared" si="97"/>
        <v>6219733.333333333</v>
      </c>
      <c r="BD278" s="10">
        <f t="shared" si="98"/>
        <v>7774666.666666667</v>
      </c>
      <c r="BE278" s="10">
        <f t="shared" si="99"/>
        <v>9329600</v>
      </c>
      <c r="BX278" s="10">
        <v>268</v>
      </c>
      <c r="BY278" s="10">
        <f t="shared" si="100"/>
        <v>158666.66666666666</v>
      </c>
      <c r="BZ278" s="10">
        <f t="shared" si="100"/>
        <v>238000</v>
      </c>
      <c r="CA278" s="10">
        <f t="shared" si="100"/>
        <v>317333.33333333331</v>
      </c>
      <c r="CB278" s="10">
        <f t="shared" si="100"/>
        <v>595000</v>
      </c>
      <c r="CC278" s="10">
        <f t="shared" si="100"/>
        <v>1983333.3333333333</v>
      </c>
    </row>
    <row r="279" spans="29:81" x14ac:dyDescent="0.15">
      <c r="AC279" s="2">
        <v>269</v>
      </c>
      <c r="AD279" s="2">
        <f t="shared" si="101"/>
        <v>0</v>
      </c>
      <c r="AE279" s="2">
        <f t="shared" si="102"/>
        <v>5576.666666666667</v>
      </c>
      <c r="AF279" s="2">
        <f t="shared" si="103"/>
        <v>13941.666666666666</v>
      </c>
      <c r="AG279" s="2">
        <f t="shared" si="104"/>
        <v>27883.333333333332</v>
      </c>
      <c r="AH279" s="2">
        <f t="shared" si="105"/>
        <v>55766.666666666664</v>
      </c>
      <c r="AZ279" s="10">
        <v>269</v>
      </c>
      <c r="BA279" s="10">
        <f t="shared" si="95"/>
        <v>3122933.3333333335</v>
      </c>
      <c r="BB279" s="10">
        <f t="shared" si="96"/>
        <v>4684400</v>
      </c>
      <c r="BC279" s="10">
        <f t="shared" si="97"/>
        <v>6245866.666666667</v>
      </c>
      <c r="BD279" s="10">
        <f t="shared" si="98"/>
        <v>7807333.333333333</v>
      </c>
      <c r="BE279" s="10">
        <f t="shared" si="99"/>
        <v>9368800</v>
      </c>
      <c r="BX279" s="10">
        <v>269</v>
      </c>
      <c r="BY279" s="10">
        <f t="shared" si="100"/>
        <v>159333.33333333334</v>
      </c>
      <c r="BZ279" s="10">
        <f t="shared" si="100"/>
        <v>239000</v>
      </c>
      <c r="CA279" s="10">
        <f t="shared" si="100"/>
        <v>318666.66666666669</v>
      </c>
      <c r="CB279" s="10">
        <f t="shared" si="100"/>
        <v>597500</v>
      </c>
      <c r="CC279" s="10">
        <f t="shared" si="100"/>
        <v>1991666.6666666667</v>
      </c>
    </row>
    <row r="280" spans="29:81" x14ac:dyDescent="0.15">
      <c r="AC280" s="2">
        <v>270</v>
      </c>
      <c r="AD280" s="2">
        <f t="shared" si="101"/>
        <v>0</v>
      </c>
      <c r="AE280" s="2">
        <f t="shared" si="102"/>
        <v>5600</v>
      </c>
      <c r="AF280" s="2">
        <f t="shared" si="103"/>
        <v>14000</v>
      </c>
      <c r="AG280" s="2">
        <f t="shared" si="104"/>
        <v>28000</v>
      </c>
      <c r="AH280" s="2">
        <f t="shared" si="105"/>
        <v>56000</v>
      </c>
      <c r="AZ280" s="10">
        <v>270</v>
      </c>
      <c r="BA280" s="10">
        <f t="shared" si="95"/>
        <v>3136000</v>
      </c>
      <c r="BB280" s="10">
        <f t="shared" si="96"/>
        <v>4704000</v>
      </c>
      <c r="BC280" s="10">
        <f t="shared" si="97"/>
        <v>6272000</v>
      </c>
      <c r="BD280" s="10">
        <f t="shared" si="98"/>
        <v>7840000</v>
      </c>
      <c r="BE280" s="10">
        <f t="shared" si="99"/>
        <v>9408000</v>
      </c>
      <c r="BX280" s="10">
        <v>270</v>
      </c>
      <c r="BY280" s="10">
        <f t="shared" si="100"/>
        <v>160000</v>
      </c>
      <c r="BZ280" s="10">
        <f t="shared" si="100"/>
        <v>240000</v>
      </c>
      <c r="CA280" s="10">
        <f t="shared" si="100"/>
        <v>320000</v>
      </c>
      <c r="CB280" s="10">
        <f t="shared" si="100"/>
        <v>600000</v>
      </c>
      <c r="CC280" s="10">
        <f t="shared" si="100"/>
        <v>2000000</v>
      </c>
    </row>
    <row r="281" spans="29:81" x14ac:dyDescent="0.15">
      <c r="AC281" s="2">
        <v>271</v>
      </c>
      <c r="AD281" s="2">
        <f t="shared" si="101"/>
        <v>0</v>
      </c>
      <c r="AE281" s="2">
        <f t="shared" si="102"/>
        <v>5623.333333333333</v>
      </c>
      <c r="AF281" s="2">
        <f t="shared" si="103"/>
        <v>14058.333333333334</v>
      </c>
      <c r="AG281" s="2">
        <f t="shared" si="104"/>
        <v>28116.666666666668</v>
      </c>
      <c r="AH281" s="2">
        <f t="shared" si="105"/>
        <v>56233.333333333336</v>
      </c>
      <c r="AZ281" s="10">
        <v>271</v>
      </c>
      <c r="BA281" s="10">
        <f t="shared" si="95"/>
        <v>3149066.6666666665</v>
      </c>
      <c r="BB281" s="10">
        <f t="shared" si="96"/>
        <v>4723600</v>
      </c>
      <c r="BC281" s="10">
        <f t="shared" si="97"/>
        <v>6298133.333333333</v>
      </c>
      <c r="BD281" s="10">
        <f t="shared" si="98"/>
        <v>7872666.666666667</v>
      </c>
      <c r="BE281" s="10">
        <f t="shared" si="99"/>
        <v>9447200</v>
      </c>
      <c r="BX281" s="10">
        <v>271</v>
      </c>
      <c r="BY281" s="10">
        <f t="shared" ref="BY281:CC290" si="106">MAX($BX281-$C$7,0)*INDEX($BU$7:$BU$15,MATCH(BY$10,$BT$7:$BT$15,0))/30</f>
        <v>160666.66666666666</v>
      </c>
      <c r="BZ281" s="10">
        <f t="shared" si="106"/>
        <v>241000</v>
      </c>
      <c r="CA281" s="10">
        <f t="shared" si="106"/>
        <v>321333.33333333331</v>
      </c>
      <c r="CB281" s="10">
        <f t="shared" si="106"/>
        <v>602500</v>
      </c>
      <c r="CC281" s="10">
        <f t="shared" si="106"/>
        <v>2008333.3333333333</v>
      </c>
    </row>
    <row r="282" spans="29:81" x14ac:dyDescent="0.15">
      <c r="AC282" s="2">
        <v>272</v>
      </c>
      <c r="AD282" s="2">
        <f t="shared" si="101"/>
        <v>0</v>
      </c>
      <c r="AE282" s="2">
        <f t="shared" si="102"/>
        <v>5646.666666666667</v>
      </c>
      <c r="AF282" s="2">
        <f t="shared" si="103"/>
        <v>14116.666666666666</v>
      </c>
      <c r="AG282" s="2">
        <f t="shared" si="104"/>
        <v>28233.333333333332</v>
      </c>
      <c r="AH282" s="2">
        <f t="shared" si="105"/>
        <v>56466.666666666664</v>
      </c>
      <c r="AZ282" s="10">
        <v>272</v>
      </c>
      <c r="BA282" s="10">
        <f t="shared" si="95"/>
        <v>3162133.3333333335</v>
      </c>
      <c r="BB282" s="10">
        <f t="shared" si="96"/>
        <v>4743200</v>
      </c>
      <c r="BC282" s="10">
        <f t="shared" si="97"/>
        <v>6324266.666666667</v>
      </c>
      <c r="BD282" s="10">
        <f t="shared" si="98"/>
        <v>7905333.333333333</v>
      </c>
      <c r="BE282" s="10">
        <f t="shared" si="99"/>
        <v>9486400</v>
      </c>
      <c r="BX282" s="10">
        <v>272</v>
      </c>
      <c r="BY282" s="10">
        <f t="shared" si="106"/>
        <v>161333.33333333334</v>
      </c>
      <c r="BZ282" s="10">
        <f t="shared" si="106"/>
        <v>242000</v>
      </c>
      <c r="CA282" s="10">
        <f t="shared" si="106"/>
        <v>322666.66666666669</v>
      </c>
      <c r="CB282" s="10">
        <f t="shared" si="106"/>
        <v>605000</v>
      </c>
      <c r="CC282" s="10">
        <f t="shared" si="106"/>
        <v>2016666.6666666667</v>
      </c>
    </row>
    <row r="283" spans="29:81" x14ac:dyDescent="0.15">
      <c r="AC283" s="2">
        <v>273</v>
      </c>
      <c r="AD283" s="2">
        <f t="shared" si="101"/>
        <v>0</v>
      </c>
      <c r="AE283" s="2">
        <f t="shared" si="102"/>
        <v>5670</v>
      </c>
      <c r="AF283" s="2">
        <f t="shared" si="103"/>
        <v>14175</v>
      </c>
      <c r="AG283" s="2">
        <f t="shared" si="104"/>
        <v>28350</v>
      </c>
      <c r="AH283" s="2">
        <f t="shared" si="105"/>
        <v>56700</v>
      </c>
      <c r="AZ283" s="10">
        <v>273</v>
      </c>
      <c r="BA283" s="10">
        <f t="shared" si="95"/>
        <v>3175200</v>
      </c>
      <c r="BB283" s="10">
        <f t="shared" si="96"/>
        <v>4762800</v>
      </c>
      <c r="BC283" s="10">
        <f t="shared" si="97"/>
        <v>6350400</v>
      </c>
      <c r="BD283" s="10">
        <f t="shared" si="98"/>
        <v>7938000</v>
      </c>
      <c r="BE283" s="10">
        <f t="shared" si="99"/>
        <v>9525600</v>
      </c>
      <c r="BX283" s="10">
        <v>273</v>
      </c>
      <c r="BY283" s="10">
        <f t="shared" si="106"/>
        <v>162000</v>
      </c>
      <c r="BZ283" s="10">
        <f t="shared" si="106"/>
        <v>243000</v>
      </c>
      <c r="CA283" s="10">
        <f t="shared" si="106"/>
        <v>324000</v>
      </c>
      <c r="CB283" s="10">
        <f t="shared" si="106"/>
        <v>607500</v>
      </c>
      <c r="CC283" s="10">
        <f t="shared" si="106"/>
        <v>2025000</v>
      </c>
    </row>
    <row r="284" spans="29:81" x14ac:dyDescent="0.15">
      <c r="AC284" s="2">
        <v>274</v>
      </c>
      <c r="AD284" s="2">
        <f t="shared" si="101"/>
        <v>0</v>
      </c>
      <c r="AE284" s="2">
        <f t="shared" si="102"/>
        <v>5693.333333333333</v>
      </c>
      <c r="AF284" s="2">
        <f t="shared" si="103"/>
        <v>14233.333333333334</v>
      </c>
      <c r="AG284" s="2">
        <f t="shared" si="104"/>
        <v>28466.666666666668</v>
      </c>
      <c r="AH284" s="2">
        <f t="shared" si="105"/>
        <v>56933.333333333336</v>
      </c>
      <c r="AZ284" s="10">
        <v>274</v>
      </c>
      <c r="BA284" s="10">
        <f t="shared" si="95"/>
        <v>3188266.6666666665</v>
      </c>
      <c r="BB284" s="10">
        <f t="shared" si="96"/>
        <v>4782400</v>
      </c>
      <c r="BC284" s="10">
        <f t="shared" si="97"/>
        <v>6376533.333333333</v>
      </c>
      <c r="BD284" s="10">
        <f t="shared" si="98"/>
        <v>7970666.666666667</v>
      </c>
      <c r="BE284" s="10">
        <f t="shared" si="99"/>
        <v>9564800</v>
      </c>
      <c r="BX284" s="10">
        <v>274</v>
      </c>
      <c r="BY284" s="10">
        <f t="shared" si="106"/>
        <v>162666.66666666666</v>
      </c>
      <c r="BZ284" s="10">
        <f t="shared" si="106"/>
        <v>244000</v>
      </c>
      <c r="CA284" s="10">
        <f t="shared" si="106"/>
        <v>325333.33333333331</v>
      </c>
      <c r="CB284" s="10">
        <f t="shared" si="106"/>
        <v>610000</v>
      </c>
      <c r="CC284" s="10">
        <f t="shared" si="106"/>
        <v>2033333.3333333333</v>
      </c>
    </row>
    <row r="285" spans="29:81" x14ac:dyDescent="0.15">
      <c r="AC285" s="2">
        <v>275</v>
      </c>
      <c r="AD285" s="2">
        <f t="shared" si="101"/>
        <v>0</v>
      </c>
      <c r="AE285" s="2">
        <f t="shared" si="102"/>
        <v>5716.666666666667</v>
      </c>
      <c r="AF285" s="2">
        <f t="shared" si="103"/>
        <v>14291.666666666666</v>
      </c>
      <c r="AG285" s="2">
        <f t="shared" si="104"/>
        <v>28583.333333333332</v>
      </c>
      <c r="AH285" s="2">
        <f t="shared" si="105"/>
        <v>57166.666666666664</v>
      </c>
      <c r="AZ285" s="10">
        <v>275</v>
      </c>
      <c r="BA285" s="10">
        <f t="shared" si="95"/>
        <v>3201333.3333333335</v>
      </c>
      <c r="BB285" s="10">
        <f t="shared" si="96"/>
        <v>4802000</v>
      </c>
      <c r="BC285" s="10">
        <f t="shared" si="97"/>
        <v>6402666.666666667</v>
      </c>
      <c r="BD285" s="10">
        <f t="shared" si="98"/>
        <v>8003333.333333333</v>
      </c>
      <c r="BE285" s="10">
        <f t="shared" si="99"/>
        <v>9604000</v>
      </c>
      <c r="BX285" s="10">
        <v>275</v>
      </c>
      <c r="BY285" s="10">
        <f t="shared" si="106"/>
        <v>163333.33333333334</v>
      </c>
      <c r="BZ285" s="10">
        <f t="shared" si="106"/>
        <v>245000</v>
      </c>
      <c r="CA285" s="10">
        <f t="shared" si="106"/>
        <v>326666.66666666669</v>
      </c>
      <c r="CB285" s="10">
        <f t="shared" si="106"/>
        <v>612500</v>
      </c>
      <c r="CC285" s="10">
        <f t="shared" si="106"/>
        <v>2041666.6666666667</v>
      </c>
    </row>
    <row r="286" spans="29:81" x14ac:dyDescent="0.15">
      <c r="AC286" s="2">
        <v>276</v>
      </c>
      <c r="AD286" s="2">
        <f t="shared" si="101"/>
        <v>0</v>
      </c>
      <c r="AE286" s="2">
        <f t="shared" si="102"/>
        <v>5740</v>
      </c>
      <c r="AF286" s="2">
        <f t="shared" si="103"/>
        <v>14350</v>
      </c>
      <c r="AG286" s="2">
        <f t="shared" si="104"/>
        <v>28700</v>
      </c>
      <c r="AH286" s="2">
        <f t="shared" si="105"/>
        <v>57400</v>
      </c>
      <c r="AZ286" s="10">
        <v>276</v>
      </c>
      <c r="BA286" s="10">
        <f t="shared" si="95"/>
        <v>3214400</v>
      </c>
      <c r="BB286" s="10">
        <f t="shared" si="96"/>
        <v>4821600</v>
      </c>
      <c r="BC286" s="10">
        <f t="shared" si="97"/>
        <v>6428800</v>
      </c>
      <c r="BD286" s="10">
        <f t="shared" si="98"/>
        <v>8036000</v>
      </c>
      <c r="BE286" s="10">
        <f t="shared" si="99"/>
        <v>9643200</v>
      </c>
      <c r="BX286" s="10">
        <v>276</v>
      </c>
      <c r="BY286" s="10">
        <f t="shared" si="106"/>
        <v>164000</v>
      </c>
      <c r="BZ286" s="10">
        <f t="shared" si="106"/>
        <v>246000</v>
      </c>
      <c r="CA286" s="10">
        <f t="shared" si="106"/>
        <v>328000</v>
      </c>
      <c r="CB286" s="10">
        <f t="shared" si="106"/>
        <v>615000</v>
      </c>
      <c r="CC286" s="10">
        <f t="shared" si="106"/>
        <v>2050000</v>
      </c>
    </row>
    <row r="287" spans="29:81" x14ac:dyDescent="0.15">
      <c r="AC287" s="2">
        <v>277</v>
      </c>
      <c r="AD287" s="2">
        <f t="shared" si="101"/>
        <v>0</v>
      </c>
      <c r="AE287" s="2">
        <f t="shared" si="102"/>
        <v>5763.333333333333</v>
      </c>
      <c r="AF287" s="2">
        <f t="shared" si="103"/>
        <v>14408.333333333334</v>
      </c>
      <c r="AG287" s="2">
        <f t="shared" si="104"/>
        <v>28816.666666666668</v>
      </c>
      <c r="AH287" s="2">
        <f t="shared" si="105"/>
        <v>57633.333333333336</v>
      </c>
      <c r="AZ287" s="10">
        <v>277</v>
      </c>
      <c r="BA287" s="10">
        <f t="shared" si="95"/>
        <v>3227466.6666666665</v>
      </c>
      <c r="BB287" s="10">
        <f t="shared" si="96"/>
        <v>4841200</v>
      </c>
      <c r="BC287" s="10">
        <f t="shared" si="97"/>
        <v>6454933.333333333</v>
      </c>
      <c r="BD287" s="10">
        <f t="shared" si="98"/>
        <v>8068666.666666667</v>
      </c>
      <c r="BE287" s="10">
        <f t="shared" si="99"/>
        <v>9682400</v>
      </c>
      <c r="BX287" s="10">
        <v>277</v>
      </c>
      <c r="BY287" s="10">
        <f t="shared" si="106"/>
        <v>164666.66666666666</v>
      </c>
      <c r="BZ287" s="10">
        <f t="shared" si="106"/>
        <v>247000</v>
      </c>
      <c r="CA287" s="10">
        <f t="shared" si="106"/>
        <v>329333.33333333331</v>
      </c>
      <c r="CB287" s="10">
        <f t="shared" si="106"/>
        <v>617500</v>
      </c>
      <c r="CC287" s="10">
        <f t="shared" si="106"/>
        <v>2058333.3333333333</v>
      </c>
    </row>
    <row r="288" spans="29:81" x14ac:dyDescent="0.15">
      <c r="AC288" s="2">
        <v>278</v>
      </c>
      <c r="AD288" s="2">
        <f t="shared" si="101"/>
        <v>0</v>
      </c>
      <c r="AE288" s="2">
        <f t="shared" si="102"/>
        <v>5786.666666666667</v>
      </c>
      <c r="AF288" s="2">
        <f t="shared" si="103"/>
        <v>14466.666666666666</v>
      </c>
      <c r="AG288" s="2">
        <f t="shared" si="104"/>
        <v>28933.333333333332</v>
      </c>
      <c r="AH288" s="2">
        <f t="shared" si="105"/>
        <v>57866.666666666664</v>
      </c>
      <c r="AZ288" s="10">
        <v>278</v>
      </c>
      <c r="BA288" s="10">
        <f t="shared" si="95"/>
        <v>3240533.3333333335</v>
      </c>
      <c r="BB288" s="10">
        <f t="shared" si="96"/>
        <v>4860800</v>
      </c>
      <c r="BC288" s="10">
        <f t="shared" si="97"/>
        <v>6481066.666666667</v>
      </c>
      <c r="BD288" s="10">
        <f t="shared" si="98"/>
        <v>8101333.333333333</v>
      </c>
      <c r="BE288" s="10">
        <f t="shared" si="99"/>
        <v>9721600</v>
      </c>
      <c r="BX288" s="10">
        <v>278</v>
      </c>
      <c r="BY288" s="10">
        <f t="shared" si="106"/>
        <v>165333.33333333334</v>
      </c>
      <c r="BZ288" s="10">
        <f t="shared" si="106"/>
        <v>248000</v>
      </c>
      <c r="CA288" s="10">
        <f t="shared" si="106"/>
        <v>330666.66666666669</v>
      </c>
      <c r="CB288" s="10">
        <f t="shared" si="106"/>
        <v>620000</v>
      </c>
      <c r="CC288" s="10">
        <f t="shared" si="106"/>
        <v>2066666.6666666667</v>
      </c>
    </row>
    <row r="289" spans="29:81" x14ac:dyDescent="0.15">
      <c r="AC289" s="2">
        <v>279</v>
      </c>
      <c r="AD289" s="2">
        <f t="shared" si="101"/>
        <v>0</v>
      </c>
      <c r="AE289" s="2">
        <f t="shared" si="102"/>
        <v>5810</v>
      </c>
      <c r="AF289" s="2">
        <f t="shared" si="103"/>
        <v>14525</v>
      </c>
      <c r="AG289" s="2">
        <f t="shared" si="104"/>
        <v>29050</v>
      </c>
      <c r="AH289" s="2">
        <f t="shared" si="105"/>
        <v>58100</v>
      </c>
      <c r="AZ289" s="10">
        <v>279</v>
      </c>
      <c r="BA289" s="10">
        <f t="shared" si="95"/>
        <v>3253600</v>
      </c>
      <c r="BB289" s="10">
        <f t="shared" si="96"/>
        <v>4880400</v>
      </c>
      <c r="BC289" s="10">
        <f t="shared" si="97"/>
        <v>6507200</v>
      </c>
      <c r="BD289" s="10">
        <f t="shared" si="98"/>
        <v>8134000</v>
      </c>
      <c r="BE289" s="10">
        <f t="shared" si="99"/>
        <v>9760800</v>
      </c>
      <c r="BX289" s="10">
        <v>279</v>
      </c>
      <c r="BY289" s="10">
        <f t="shared" si="106"/>
        <v>166000</v>
      </c>
      <c r="BZ289" s="10">
        <f t="shared" si="106"/>
        <v>249000</v>
      </c>
      <c r="CA289" s="10">
        <f t="shared" si="106"/>
        <v>332000</v>
      </c>
      <c r="CB289" s="10">
        <f t="shared" si="106"/>
        <v>622500</v>
      </c>
      <c r="CC289" s="10">
        <f t="shared" si="106"/>
        <v>2075000</v>
      </c>
    </row>
    <row r="290" spans="29:81" x14ac:dyDescent="0.15">
      <c r="AC290" s="2">
        <v>280</v>
      </c>
      <c r="AD290" s="2">
        <f t="shared" si="101"/>
        <v>0</v>
      </c>
      <c r="AE290" s="2">
        <f t="shared" si="102"/>
        <v>5833.333333333333</v>
      </c>
      <c r="AF290" s="2">
        <f t="shared" si="103"/>
        <v>14583.333333333334</v>
      </c>
      <c r="AG290" s="2">
        <f t="shared" si="104"/>
        <v>29166.666666666668</v>
      </c>
      <c r="AH290" s="2">
        <f t="shared" si="105"/>
        <v>58333.333333333336</v>
      </c>
      <c r="AZ290" s="10">
        <v>280</v>
      </c>
      <c r="BA290" s="10">
        <f t="shared" si="95"/>
        <v>3266666.6666666665</v>
      </c>
      <c r="BB290" s="10">
        <f t="shared" si="96"/>
        <v>4900000</v>
      </c>
      <c r="BC290" s="10">
        <f t="shared" si="97"/>
        <v>6533333.333333333</v>
      </c>
      <c r="BD290" s="10">
        <f t="shared" si="98"/>
        <v>8166666.666666667</v>
      </c>
      <c r="BE290" s="10">
        <f t="shared" si="99"/>
        <v>9800000</v>
      </c>
      <c r="BX290" s="10">
        <v>280</v>
      </c>
      <c r="BY290" s="10">
        <f t="shared" si="106"/>
        <v>166666.66666666666</v>
      </c>
      <c r="BZ290" s="10">
        <f t="shared" si="106"/>
        <v>250000</v>
      </c>
      <c r="CA290" s="10">
        <f t="shared" si="106"/>
        <v>333333.33333333331</v>
      </c>
      <c r="CB290" s="10">
        <f t="shared" si="106"/>
        <v>625000</v>
      </c>
      <c r="CC290" s="10">
        <f t="shared" si="106"/>
        <v>2083333.3333333333</v>
      </c>
    </row>
    <row r="291" spans="29:81" x14ac:dyDescent="0.15">
      <c r="AC291" s="2">
        <v>281</v>
      </c>
      <c r="AD291" s="2">
        <f t="shared" si="101"/>
        <v>0</v>
      </c>
      <c r="AE291" s="2">
        <f t="shared" si="102"/>
        <v>5856.666666666667</v>
      </c>
      <c r="AF291" s="2">
        <f t="shared" si="103"/>
        <v>14641.666666666666</v>
      </c>
      <c r="AG291" s="2">
        <f t="shared" si="104"/>
        <v>29283.333333333332</v>
      </c>
      <c r="AH291" s="2">
        <f t="shared" si="105"/>
        <v>58566.666666666664</v>
      </c>
      <c r="AZ291" s="10">
        <v>281</v>
      </c>
      <c r="BA291" s="10">
        <f t="shared" si="95"/>
        <v>3279733.3333333335</v>
      </c>
      <c r="BB291" s="10">
        <f t="shared" si="96"/>
        <v>4919600</v>
      </c>
      <c r="BC291" s="10">
        <f t="shared" si="97"/>
        <v>6559466.666666667</v>
      </c>
      <c r="BD291" s="10">
        <f t="shared" si="98"/>
        <v>8199333.333333333</v>
      </c>
      <c r="BE291" s="10">
        <f t="shared" si="99"/>
        <v>9839200</v>
      </c>
      <c r="BX291" s="10">
        <v>281</v>
      </c>
      <c r="BY291" s="10">
        <f t="shared" ref="BY291:CC300" si="107">MAX($BX291-$C$7,0)*INDEX($BU$7:$BU$15,MATCH(BY$10,$BT$7:$BT$15,0))/30</f>
        <v>167333.33333333334</v>
      </c>
      <c r="BZ291" s="10">
        <f t="shared" si="107"/>
        <v>251000</v>
      </c>
      <c r="CA291" s="10">
        <f t="shared" si="107"/>
        <v>334666.66666666669</v>
      </c>
      <c r="CB291" s="10">
        <f t="shared" si="107"/>
        <v>627500</v>
      </c>
      <c r="CC291" s="10">
        <f t="shared" si="107"/>
        <v>2091666.6666666667</v>
      </c>
    </row>
    <row r="292" spans="29:81" x14ac:dyDescent="0.15">
      <c r="AC292" s="2">
        <v>282</v>
      </c>
      <c r="AD292" s="2">
        <f t="shared" si="101"/>
        <v>0</v>
      </c>
      <c r="AE292" s="2">
        <f t="shared" si="102"/>
        <v>5880</v>
      </c>
      <c r="AF292" s="2">
        <f t="shared" si="103"/>
        <v>14700</v>
      </c>
      <c r="AG292" s="2">
        <f t="shared" si="104"/>
        <v>29400</v>
      </c>
      <c r="AH292" s="2">
        <f t="shared" si="105"/>
        <v>58800</v>
      </c>
      <c r="AZ292" s="10">
        <v>282</v>
      </c>
      <c r="BA292" s="10">
        <f t="shared" si="95"/>
        <v>3292800</v>
      </c>
      <c r="BB292" s="10">
        <f t="shared" si="96"/>
        <v>4939200</v>
      </c>
      <c r="BC292" s="10">
        <f t="shared" si="97"/>
        <v>6585600</v>
      </c>
      <c r="BD292" s="10">
        <f t="shared" si="98"/>
        <v>8232000</v>
      </c>
      <c r="BE292" s="10">
        <f t="shared" si="99"/>
        <v>9878400</v>
      </c>
      <c r="BX292" s="10">
        <v>282</v>
      </c>
      <c r="BY292" s="10">
        <f t="shared" si="107"/>
        <v>168000</v>
      </c>
      <c r="BZ292" s="10">
        <f t="shared" si="107"/>
        <v>252000</v>
      </c>
      <c r="CA292" s="10">
        <f t="shared" si="107"/>
        <v>336000</v>
      </c>
      <c r="CB292" s="10">
        <f t="shared" si="107"/>
        <v>630000</v>
      </c>
      <c r="CC292" s="10">
        <f t="shared" si="107"/>
        <v>2100000</v>
      </c>
    </row>
    <row r="293" spans="29:81" x14ac:dyDescent="0.15">
      <c r="AC293" s="2">
        <v>283</v>
      </c>
      <c r="AD293" s="2">
        <f t="shared" si="101"/>
        <v>0</v>
      </c>
      <c r="AE293" s="2">
        <f t="shared" si="102"/>
        <v>5903.333333333333</v>
      </c>
      <c r="AF293" s="2">
        <f t="shared" si="103"/>
        <v>14758.333333333334</v>
      </c>
      <c r="AG293" s="2">
        <f t="shared" si="104"/>
        <v>29516.666666666668</v>
      </c>
      <c r="AH293" s="2">
        <f t="shared" si="105"/>
        <v>59033.333333333336</v>
      </c>
      <c r="AZ293" s="10">
        <v>283</v>
      </c>
      <c r="BA293" s="10">
        <f t="shared" si="95"/>
        <v>3305866.6666666665</v>
      </c>
      <c r="BB293" s="10">
        <f t="shared" si="96"/>
        <v>4958800</v>
      </c>
      <c r="BC293" s="10">
        <f t="shared" si="97"/>
        <v>6611733.333333333</v>
      </c>
      <c r="BD293" s="10">
        <f t="shared" si="98"/>
        <v>8264666.666666667</v>
      </c>
      <c r="BE293" s="10">
        <f t="shared" si="99"/>
        <v>9917600</v>
      </c>
      <c r="BX293" s="10">
        <v>283</v>
      </c>
      <c r="BY293" s="10">
        <f t="shared" si="107"/>
        <v>168666.66666666666</v>
      </c>
      <c r="BZ293" s="10">
        <f t="shared" si="107"/>
        <v>253000</v>
      </c>
      <c r="CA293" s="10">
        <f t="shared" si="107"/>
        <v>337333.33333333331</v>
      </c>
      <c r="CB293" s="10">
        <f t="shared" si="107"/>
        <v>632500</v>
      </c>
      <c r="CC293" s="10">
        <f t="shared" si="107"/>
        <v>2108333.3333333335</v>
      </c>
    </row>
    <row r="294" spans="29:81" x14ac:dyDescent="0.15">
      <c r="AC294" s="2">
        <v>284</v>
      </c>
      <c r="AD294" s="2">
        <f t="shared" si="101"/>
        <v>0</v>
      </c>
      <c r="AE294" s="2">
        <f t="shared" si="102"/>
        <v>5926.666666666667</v>
      </c>
      <c r="AF294" s="2">
        <f t="shared" si="103"/>
        <v>14816.666666666666</v>
      </c>
      <c r="AG294" s="2">
        <f t="shared" si="104"/>
        <v>29633.333333333332</v>
      </c>
      <c r="AH294" s="2">
        <f t="shared" si="105"/>
        <v>59266.666666666664</v>
      </c>
      <c r="AZ294" s="10">
        <v>284</v>
      </c>
      <c r="BA294" s="10">
        <f t="shared" si="95"/>
        <v>3318933.3333333335</v>
      </c>
      <c r="BB294" s="10">
        <f t="shared" si="96"/>
        <v>4978400</v>
      </c>
      <c r="BC294" s="10">
        <f t="shared" si="97"/>
        <v>6637866.666666667</v>
      </c>
      <c r="BD294" s="10">
        <f t="shared" si="98"/>
        <v>8297333.333333333</v>
      </c>
      <c r="BE294" s="10">
        <f t="shared" si="99"/>
        <v>9956800</v>
      </c>
      <c r="BX294" s="10">
        <v>284</v>
      </c>
      <c r="BY294" s="10">
        <f t="shared" si="107"/>
        <v>169333.33333333334</v>
      </c>
      <c r="BZ294" s="10">
        <f t="shared" si="107"/>
        <v>254000</v>
      </c>
      <c r="CA294" s="10">
        <f t="shared" si="107"/>
        <v>338666.66666666669</v>
      </c>
      <c r="CB294" s="10">
        <f t="shared" si="107"/>
        <v>635000</v>
      </c>
      <c r="CC294" s="10">
        <f t="shared" si="107"/>
        <v>2116666.6666666665</v>
      </c>
    </row>
    <row r="295" spans="29:81" x14ac:dyDescent="0.15">
      <c r="AC295" s="2">
        <v>285</v>
      </c>
      <c r="AD295" s="2">
        <f t="shared" si="101"/>
        <v>0</v>
      </c>
      <c r="AE295" s="2">
        <f t="shared" si="102"/>
        <v>5950</v>
      </c>
      <c r="AF295" s="2">
        <f t="shared" si="103"/>
        <v>14875</v>
      </c>
      <c r="AG295" s="2">
        <f t="shared" si="104"/>
        <v>29750</v>
      </c>
      <c r="AH295" s="2">
        <f t="shared" si="105"/>
        <v>59500</v>
      </c>
      <c r="AZ295" s="10">
        <v>285</v>
      </c>
      <c r="BA295" s="10">
        <f t="shared" si="95"/>
        <v>3332000</v>
      </c>
      <c r="BB295" s="10">
        <f t="shared" si="96"/>
        <v>4998000</v>
      </c>
      <c r="BC295" s="10">
        <f t="shared" si="97"/>
        <v>6664000</v>
      </c>
      <c r="BD295" s="10">
        <f t="shared" si="98"/>
        <v>8330000</v>
      </c>
      <c r="BE295" s="10">
        <f t="shared" si="99"/>
        <v>9996000</v>
      </c>
      <c r="BX295" s="10">
        <v>285</v>
      </c>
      <c r="BY295" s="10">
        <f t="shared" si="107"/>
        <v>170000</v>
      </c>
      <c r="BZ295" s="10">
        <f t="shared" si="107"/>
        <v>255000</v>
      </c>
      <c r="CA295" s="10">
        <f t="shared" si="107"/>
        <v>340000</v>
      </c>
      <c r="CB295" s="10">
        <f t="shared" si="107"/>
        <v>637500</v>
      </c>
      <c r="CC295" s="10">
        <f t="shared" si="107"/>
        <v>2125000</v>
      </c>
    </row>
    <row r="296" spans="29:81" x14ac:dyDescent="0.15">
      <c r="AC296" s="2">
        <v>286</v>
      </c>
      <c r="AD296" s="2">
        <f t="shared" si="101"/>
        <v>0</v>
      </c>
      <c r="AE296" s="2">
        <f t="shared" si="102"/>
        <v>5973.333333333333</v>
      </c>
      <c r="AF296" s="2">
        <f t="shared" si="103"/>
        <v>14933.333333333334</v>
      </c>
      <c r="AG296" s="2">
        <f t="shared" si="104"/>
        <v>29866.666666666668</v>
      </c>
      <c r="AH296" s="2">
        <f t="shared" si="105"/>
        <v>59733.333333333336</v>
      </c>
      <c r="AZ296" s="10">
        <v>286</v>
      </c>
      <c r="BA296" s="10">
        <f t="shared" si="95"/>
        <v>3345066.6666666665</v>
      </c>
      <c r="BB296" s="10">
        <f t="shared" si="96"/>
        <v>5017600</v>
      </c>
      <c r="BC296" s="10">
        <f t="shared" si="97"/>
        <v>6690133.333333333</v>
      </c>
      <c r="BD296" s="10">
        <f t="shared" si="98"/>
        <v>8362666.666666667</v>
      </c>
      <c r="BE296" s="10">
        <f t="shared" si="99"/>
        <v>10035200</v>
      </c>
      <c r="BX296" s="10">
        <v>286</v>
      </c>
      <c r="BY296" s="10">
        <f t="shared" si="107"/>
        <v>170666.66666666666</v>
      </c>
      <c r="BZ296" s="10">
        <f t="shared" si="107"/>
        <v>256000</v>
      </c>
      <c r="CA296" s="10">
        <f t="shared" si="107"/>
        <v>341333.33333333331</v>
      </c>
      <c r="CB296" s="10">
        <f t="shared" si="107"/>
        <v>640000</v>
      </c>
      <c r="CC296" s="10">
        <f t="shared" si="107"/>
        <v>2133333.3333333335</v>
      </c>
    </row>
    <row r="297" spans="29:81" x14ac:dyDescent="0.15">
      <c r="AC297" s="2">
        <v>287</v>
      </c>
      <c r="AD297" s="2">
        <f t="shared" si="101"/>
        <v>0</v>
      </c>
      <c r="AE297" s="2">
        <f t="shared" si="102"/>
        <v>5996.666666666667</v>
      </c>
      <c r="AF297" s="2">
        <f t="shared" si="103"/>
        <v>14991.666666666666</v>
      </c>
      <c r="AG297" s="2">
        <f t="shared" si="104"/>
        <v>29983.333333333332</v>
      </c>
      <c r="AH297" s="2">
        <f t="shared" si="105"/>
        <v>59966.666666666664</v>
      </c>
      <c r="AZ297" s="10">
        <v>287</v>
      </c>
      <c r="BA297" s="10">
        <f t="shared" si="95"/>
        <v>3358133.3333333335</v>
      </c>
      <c r="BB297" s="10">
        <f t="shared" si="96"/>
        <v>5037200</v>
      </c>
      <c r="BC297" s="10">
        <f t="shared" si="97"/>
        <v>6716266.666666667</v>
      </c>
      <c r="BD297" s="10">
        <f t="shared" si="98"/>
        <v>8395333.333333334</v>
      </c>
      <c r="BE297" s="10">
        <f t="shared" si="99"/>
        <v>10074400</v>
      </c>
      <c r="BX297" s="10">
        <v>287</v>
      </c>
      <c r="BY297" s="10">
        <f t="shared" si="107"/>
        <v>171333.33333333334</v>
      </c>
      <c r="BZ297" s="10">
        <f t="shared" si="107"/>
        <v>257000</v>
      </c>
      <c r="CA297" s="10">
        <f t="shared" si="107"/>
        <v>342666.66666666669</v>
      </c>
      <c r="CB297" s="10">
        <f t="shared" si="107"/>
        <v>642500</v>
      </c>
      <c r="CC297" s="10">
        <f t="shared" si="107"/>
        <v>2141666.6666666665</v>
      </c>
    </row>
    <row r="298" spans="29:81" x14ac:dyDescent="0.15">
      <c r="AC298" s="2">
        <v>288</v>
      </c>
      <c r="AD298" s="2">
        <f t="shared" si="101"/>
        <v>0</v>
      </c>
      <c r="AE298" s="2">
        <f t="shared" si="102"/>
        <v>6020</v>
      </c>
      <c r="AF298" s="2">
        <f t="shared" si="103"/>
        <v>15050</v>
      </c>
      <c r="AG298" s="2">
        <f t="shared" si="104"/>
        <v>30100</v>
      </c>
      <c r="AH298" s="2">
        <f t="shared" si="105"/>
        <v>60200</v>
      </c>
      <c r="AZ298" s="10">
        <v>288</v>
      </c>
      <c r="BA298" s="10">
        <f t="shared" si="95"/>
        <v>3371200</v>
      </c>
      <c r="BB298" s="10">
        <f t="shared" si="96"/>
        <v>5056800</v>
      </c>
      <c r="BC298" s="10">
        <f t="shared" si="97"/>
        <v>6742400</v>
      </c>
      <c r="BD298" s="10">
        <f t="shared" si="98"/>
        <v>8428000</v>
      </c>
      <c r="BE298" s="10">
        <f t="shared" si="99"/>
        <v>10113600</v>
      </c>
      <c r="BX298" s="10">
        <v>288</v>
      </c>
      <c r="BY298" s="10">
        <f t="shared" si="107"/>
        <v>172000</v>
      </c>
      <c r="BZ298" s="10">
        <f t="shared" si="107"/>
        <v>258000</v>
      </c>
      <c r="CA298" s="10">
        <f t="shared" si="107"/>
        <v>344000</v>
      </c>
      <c r="CB298" s="10">
        <f t="shared" si="107"/>
        <v>645000</v>
      </c>
      <c r="CC298" s="10">
        <f t="shared" si="107"/>
        <v>2150000</v>
      </c>
    </row>
    <row r="299" spans="29:81" x14ac:dyDescent="0.15">
      <c r="AC299" s="2">
        <v>289</v>
      </c>
      <c r="AD299" s="2">
        <f t="shared" si="101"/>
        <v>0</v>
      </c>
      <c r="AE299" s="2">
        <f t="shared" si="102"/>
        <v>6043.333333333333</v>
      </c>
      <c r="AF299" s="2">
        <f t="shared" si="103"/>
        <v>15108.333333333334</v>
      </c>
      <c r="AG299" s="2">
        <f t="shared" si="104"/>
        <v>30216.666666666668</v>
      </c>
      <c r="AH299" s="2">
        <f t="shared" si="105"/>
        <v>60433.333333333336</v>
      </c>
      <c r="AZ299" s="10">
        <v>289</v>
      </c>
      <c r="BA299" s="10">
        <f t="shared" si="95"/>
        <v>3384266.6666666665</v>
      </c>
      <c r="BB299" s="10">
        <f t="shared" si="96"/>
        <v>5076400</v>
      </c>
      <c r="BC299" s="10">
        <f t="shared" si="97"/>
        <v>6768533.333333333</v>
      </c>
      <c r="BD299" s="10">
        <f t="shared" si="98"/>
        <v>8460666.666666666</v>
      </c>
      <c r="BE299" s="10">
        <f t="shared" si="99"/>
        <v>10152800</v>
      </c>
      <c r="BX299" s="10">
        <v>289</v>
      </c>
      <c r="BY299" s="10">
        <f t="shared" si="107"/>
        <v>172666.66666666666</v>
      </c>
      <c r="BZ299" s="10">
        <f t="shared" si="107"/>
        <v>259000</v>
      </c>
      <c r="CA299" s="10">
        <f t="shared" si="107"/>
        <v>345333.33333333331</v>
      </c>
      <c r="CB299" s="10">
        <f t="shared" si="107"/>
        <v>647500</v>
      </c>
      <c r="CC299" s="10">
        <f t="shared" si="107"/>
        <v>2158333.3333333335</v>
      </c>
    </row>
    <row r="300" spans="29:81" x14ac:dyDescent="0.15">
      <c r="AC300" s="2">
        <v>290</v>
      </c>
      <c r="AD300" s="2">
        <f t="shared" si="101"/>
        <v>0</v>
      </c>
      <c r="AE300" s="2">
        <f t="shared" si="102"/>
        <v>6066.666666666667</v>
      </c>
      <c r="AF300" s="2">
        <f t="shared" si="103"/>
        <v>15166.666666666666</v>
      </c>
      <c r="AG300" s="2">
        <f t="shared" si="104"/>
        <v>30333.333333333332</v>
      </c>
      <c r="AH300" s="2">
        <f t="shared" si="105"/>
        <v>60666.666666666664</v>
      </c>
      <c r="AZ300" s="10">
        <v>290</v>
      </c>
      <c r="BA300" s="10">
        <f t="shared" si="95"/>
        <v>3397333.3333333335</v>
      </c>
      <c r="BB300" s="10">
        <f t="shared" si="96"/>
        <v>5096000</v>
      </c>
      <c r="BC300" s="10">
        <f t="shared" si="97"/>
        <v>6794666.666666667</v>
      </c>
      <c r="BD300" s="10">
        <f t="shared" si="98"/>
        <v>8493333.333333334</v>
      </c>
      <c r="BE300" s="10">
        <f t="shared" si="99"/>
        <v>10192000</v>
      </c>
      <c r="BX300" s="10">
        <v>290</v>
      </c>
      <c r="BY300" s="10">
        <f t="shared" si="107"/>
        <v>173333.33333333334</v>
      </c>
      <c r="BZ300" s="10">
        <f t="shared" si="107"/>
        <v>260000</v>
      </c>
      <c r="CA300" s="10">
        <f t="shared" si="107"/>
        <v>346666.66666666669</v>
      </c>
      <c r="CB300" s="10">
        <f t="shared" si="107"/>
        <v>650000</v>
      </c>
      <c r="CC300" s="10">
        <f t="shared" si="107"/>
        <v>2166666.6666666665</v>
      </c>
    </row>
    <row r="301" spans="29:81" x14ac:dyDescent="0.15">
      <c r="AC301" s="2">
        <v>291</v>
      </c>
      <c r="AD301" s="2">
        <f t="shared" si="101"/>
        <v>0</v>
      </c>
      <c r="AE301" s="2">
        <f t="shared" si="102"/>
        <v>6090</v>
      </c>
      <c r="AF301" s="2">
        <f t="shared" si="103"/>
        <v>15225</v>
      </c>
      <c r="AG301" s="2">
        <f t="shared" si="104"/>
        <v>30450</v>
      </c>
      <c r="AH301" s="2">
        <f t="shared" si="105"/>
        <v>60900</v>
      </c>
      <c r="AZ301" s="10">
        <v>291</v>
      </c>
      <c r="BA301" s="10">
        <f t="shared" si="95"/>
        <v>3410400</v>
      </c>
      <c r="BB301" s="10">
        <f t="shared" si="96"/>
        <v>5115600</v>
      </c>
      <c r="BC301" s="10">
        <f t="shared" si="97"/>
        <v>6820800</v>
      </c>
      <c r="BD301" s="10">
        <f t="shared" si="98"/>
        <v>8526000</v>
      </c>
      <c r="BE301" s="10">
        <f t="shared" si="99"/>
        <v>10231200</v>
      </c>
      <c r="BX301" s="10">
        <v>291</v>
      </c>
      <c r="BY301" s="10">
        <f t="shared" ref="BY301:CC310" si="108">MAX($BX301-$C$7,0)*INDEX($BU$7:$BU$15,MATCH(BY$10,$BT$7:$BT$15,0))/30</f>
        <v>174000</v>
      </c>
      <c r="BZ301" s="10">
        <f t="shared" si="108"/>
        <v>261000</v>
      </c>
      <c r="CA301" s="10">
        <f t="shared" si="108"/>
        <v>348000</v>
      </c>
      <c r="CB301" s="10">
        <f t="shared" si="108"/>
        <v>652500</v>
      </c>
      <c r="CC301" s="10">
        <f t="shared" si="108"/>
        <v>2175000</v>
      </c>
    </row>
    <row r="302" spans="29:81" x14ac:dyDescent="0.15">
      <c r="AC302" s="2">
        <v>292</v>
      </c>
      <c r="AD302" s="2">
        <f t="shared" si="101"/>
        <v>0</v>
      </c>
      <c r="AE302" s="2">
        <f t="shared" si="102"/>
        <v>6113.333333333333</v>
      </c>
      <c r="AF302" s="2">
        <f t="shared" si="103"/>
        <v>15283.333333333334</v>
      </c>
      <c r="AG302" s="2">
        <f t="shared" si="104"/>
        <v>30566.666666666668</v>
      </c>
      <c r="AH302" s="2">
        <f t="shared" si="105"/>
        <v>61133.333333333336</v>
      </c>
      <c r="AZ302" s="10">
        <v>292</v>
      </c>
      <c r="BA302" s="10">
        <f t="shared" si="95"/>
        <v>3423466.6666666665</v>
      </c>
      <c r="BB302" s="10">
        <f t="shared" si="96"/>
        <v>5135200</v>
      </c>
      <c r="BC302" s="10">
        <f t="shared" si="97"/>
        <v>6846933.333333333</v>
      </c>
      <c r="BD302" s="10">
        <f t="shared" si="98"/>
        <v>8558666.666666666</v>
      </c>
      <c r="BE302" s="10">
        <f t="shared" si="99"/>
        <v>10270400</v>
      </c>
      <c r="BX302" s="10">
        <v>292</v>
      </c>
      <c r="BY302" s="10">
        <f t="shared" si="108"/>
        <v>174666.66666666666</v>
      </c>
      <c r="BZ302" s="10">
        <f t="shared" si="108"/>
        <v>262000</v>
      </c>
      <c r="CA302" s="10">
        <f t="shared" si="108"/>
        <v>349333.33333333331</v>
      </c>
      <c r="CB302" s="10">
        <f t="shared" si="108"/>
        <v>655000</v>
      </c>
      <c r="CC302" s="10">
        <f t="shared" si="108"/>
        <v>2183333.3333333335</v>
      </c>
    </row>
    <row r="303" spans="29:81" x14ac:dyDescent="0.15">
      <c r="AC303" s="2">
        <v>293</v>
      </c>
      <c r="AD303" s="2">
        <f t="shared" si="101"/>
        <v>0</v>
      </c>
      <c r="AE303" s="2">
        <f t="shared" si="102"/>
        <v>6136.666666666667</v>
      </c>
      <c r="AF303" s="2">
        <f t="shared" si="103"/>
        <v>15341.666666666666</v>
      </c>
      <c r="AG303" s="2">
        <f t="shared" si="104"/>
        <v>30683.333333333332</v>
      </c>
      <c r="AH303" s="2">
        <f t="shared" si="105"/>
        <v>61366.666666666664</v>
      </c>
      <c r="AZ303" s="10">
        <v>293</v>
      </c>
      <c r="BA303" s="10">
        <f t="shared" si="95"/>
        <v>3436533.3333333335</v>
      </c>
      <c r="BB303" s="10">
        <f t="shared" si="96"/>
        <v>5154800</v>
      </c>
      <c r="BC303" s="10">
        <f t="shared" si="97"/>
        <v>6873066.666666667</v>
      </c>
      <c r="BD303" s="10">
        <f t="shared" si="98"/>
        <v>8591333.333333334</v>
      </c>
      <c r="BE303" s="10">
        <f t="shared" si="99"/>
        <v>10309600</v>
      </c>
      <c r="BX303" s="10">
        <v>293</v>
      </c>
      <c r="BY303" s="10">
        <f t="shared" si="108"/>
        <v>175333.33333333334</v>
      </c>
      <c r="BZ303" s="10">
        <f t="shared" si="108"/>
        <v>263000</v>
      </c>
      <c r="CA303" s="10">
        <f t="shared" si="108"/>
        <v>350666.66666666669</v>
      </c>
      <c r="CB303" s="10">
        <f t="shared" si="108"/>
        <v>657500</v>
      </c>
      <c r="CC303" s="10">
        <f t="shared" si="108"/>
        <v>2191666.6666666665</v>
      </c>
    </row>
    <row r="304" spans="29:81" x14ac:dyDescent="0.15">
      <c r="AC304" s="2">
        <v>294</v>
      </c>
      <c r="AD304" s="2">
        <f t="shared" si="101"/>
        <v>0</v>
      </c>
      <c r="AE304" s="2">
        <f t="shared" si="102"/>
        <v>6160</v>
      </c>
      <c r="AF304" s="2">
        <f t="shared" si="103"/>
        <v>15400</v>
      </c>
      <c r="AG304" s="2">
        <f t="shared" si="104"/>
        <v>30800</v>
      </c>
      <c r="AH304" s="2">
        <f t="shared" si="105"/>
        <v>61600</v>
      </c>
      <c r="AZ304" s="10">
        <v>294</v>
      </c>
      <c r="BA304" s="10">
        <f t="shared" si="95"/>
        <v>3449600</v>
      </c>
      <c r="BB304" s="10">
        <f t="shared" si="96"/>
        <v>5174400</v>
      </c>
      <c r="BC304" s="10">
        <f t="shared" si="97"/>
        <v>6899200</v>
      </c>
      <c r="BD304" s="10">
        <f t="shared" si="98"/>
        <v>8624000</v>
      </c>
      <c r="BE304" s="10">
        <f t="shared" si="99"/>
        <v>10348800</v>
      </c>
      <c r="BX304" s="10">
        <v>294</v>
      </c>
      <c r="BY304" s="10">
        <f t="shared" si="108"/>
        <v>176000</v>
      </c>
      <c r="BZ304" s="10">
        <f t="shared" si="108"/>
        <v>264000</v>
      </c>
      <c r="CA304" s="10">
        <f t="shared" si="108"/>
        <v>352000</v>
      </c>
      <c r="CB304" s="10">
        <f t="shared" si="108"/>
        <v>660000</v>
      </c>
      <c r="CC304" s="10">
        <f t="shared" si="108"/>
        <v>2200000</v>
      </c>
    </row>
    <row r="305" spans="29:81" x14ac:dyDescent="0.15">
      <c r="AC305" s="2">
        <v>295</v>
      </c>
      <c r="AD305" s="2">
        <f t="shared" si="101"/>
        <v>0</v>
      </c>
      <c r="AE305" s="2">
        <f t="shared" si="102"/>
        <v>6183.333333333333</v>
      </c>
      <c r="AF305" s="2">
        <f t="shared" si="103"/>
        <v>15458.333333333334</v>
      </c>
      <c r="AG305" s="2">
        <f t="shared" si="104"/>
        <v>30916.666666666668</v>
      </c>
      <c r="AH305" s="2">
        <f t="shared" si="105"/>
        <v>61833.333333333336</v>
      </c>
      <c r="AZ305" s="10">
        <v>295</v>
      </c>
      <c r="BA305" s="10">
        <f t="shared" si="95"/>
        <v>3462666.6666666665</v>
      </c>
      <c r="BB305" s="10">
        <f t="shared" si="96"/>
        <v>5194000</v>
      </c>
      <c r="BC305" s="10">
        <f t="shared" si="97"/>
        <v>6925333.333333333</v>
      </c>
      <c r="BD305" s="10">
        <f t="shared" si="98"/>
        <v>8656666.666666666</v>
      </c>
      <c r="BE305" s="10">
        <f t="shared" si="99"/>
        <v>10388000</v>
      </c>
      <c r="BX305" s="10">
        <v>295</v>
      </c>
      <c r="BY305" s="10">
        <f t="shared" si="108"/>
        <v>176666.66666666666</v>
      </c>
      <c r="BZ305" s="10">
        <f t="shared" si="108"/>
        <v>265000</v>
      </c>
      <c r="CA305" s="10">
        <f t="shared" si="108"/>
        <v>353333.33333333331</v>
      </c>
      <c r="CB305" s="10">
        <f t="shared" si="108"/>
        <v>662500</v>
      </c>
      <c r="CC305" s="10">
        <f t="shared" si="108"/>
        <v>2208333.3333333335</v>
      </c>
    </row>
    <row r="306" spans="29:81" x14ac:dyDescent="0.15">
      <c r="AC306" s="2">
        <v>296</v>
      </c>
      <c r="AD306" s="2">
        <f t="shared" si="101"/>
        <v>0</v>
      </c>
      <c r="AE306" s="2">
        <f t="shared" si="102"/>
        <v>6206.666666666667</v>
      </c>
      <c r="AF306" s="2">
        <f t="shared" si="103"/>
        <v>15516.666666666666</v>
      </c>
      <c r="AG306" s="2">
        <f t="shared" si="104"/>
        <v>31033.333333333332</v>
      </c>
      <c r="AH306" s="2">
        <f t="shared" si="105"/>
        <v>62066.666666666664</v>
      </c>
      <c r="AZ306" s="10">
        <v>296</v>
      </c>
      <c r="BA306" s="10">
        <f t="shared" si="95"/>
        <v>3475733.3333333335</v>
      </c>
      <c r="BB306" s="10">
        <f t="shared" si="96"/>
        <v>5213600</v>
      </c>
      <c r="BC306" s="10">
        <f t="shared" si="97"/>
        <v>6951466.666666667</v>
      </c>
      <c r="BD306" s="10">
        <f t="shared" si="98"/>
        <v>8689333.333333334</v>
      </c>
      <c r="BE306" s="10">
        <f t="shared" si="99"/>
        <v>10427200</v>
      </c>
      <c r="BX306" s="10">
        <v>296</v>
      </c>
      <c r="BY306" s="10">
        <f t="shared" si="108"/>
        <v>177333.33333333334</v>
      </c>
      <c r="BZ306" s="10">
        <f t="shared" si="108"/>
        <v>266000</v>
      </c>
      <c r="CA306" s="10">
        <f t="shared" si="108"/>
        <v>354666.66666666669</v>
      </c>
      <c r="CB306" s="10">
        <f t="shared" si="108"/>
        <v>665000</v>
      </c>
      <c r="CC306" s="10">
        <f t="shared" si="108"/>
        <v>2216666.6666666665</v>
      </c>
    </row>
    <row r="307" spans="29:81" x14ac:dyDescent="0.15">
      <c r="AC307" s="2">
        <v>297</v>
      </c>
      <c r="AD307" s="2">
        <f t="shared" si="101"/>
        <v>0</v>
      </c>
      <c r="AE307" s="2">
        <f t="shared" si="102"/>
        <v>6230</v>
      </c>
      <c r="AF307" s="2">
        <f t="shared" si="103"/>
        <v>15575</v>
      </c>
      <c r="AG307" s="2">
        <f t="shared" si="104"/>
        <v>31150</v>
      </c>
      <c r="AH307" s="2">
        <f t="shared" si="105"/>
        <v>62300</v>
      </c>
      <c r="AZ307" s="10">
        <v>297</v>
      </c>
      <c r="BA307" s="10">
        <f t="shared" si="95"/>
        <v>3488800</v>
      </c>
      <c r="BB307" s="10">
        <f t="shared" si="96"/>
        <v>5233200</v>
      </c>
      <c r="BC307" s="10">
        <f t="shared" si="97"/>
        <v>6977600</v>
      </c>
      <c r="BD307" s="10">
        <f t="shared" si="98"/>
        <v>8722000</v>
      </c>
      <c r="BE307" s="10">
        <f t="shared" si="99"/>
        <v>10466400</v>
      </c>
      <c r="BX307" s="10">
        <v>297</v>
      </c>
      <c r="BY307" s="10">
        <f t="shared" si="108"/>
        <v>178000</v>
      </c>
      <c r="BZ307" s="10">
        <f t="shared" si="108"/>
        <v>267000</v>
      </c>
      <c r="CA307" s="10">
        <f t="shared" si="108"/>
        <v>356000</v>
      </c>
      <c r="CB307" s="10">
        <f t="shared" si="108"/>
        <v>667500</v>
      </c>
      <c r="CC307" s="10">
        <f t="shared" si="108"/>
        <v>2225000</v>
      </c>
    </row>
    <row r="308" spans="29:81" x14ac:dyDescent="0.15">
      <c r="AC308" s="2">
        <v>298</v>
      </c>
      <c r="AD308" s="2">
        <f t="shared" si="101"/>
        <v>0</v>
      </c>
      <c r="AE308" s="2">
        <f t="shared" si="102"/>
        <v>6253.333333333333</v>
      </c>
      <c r="AF308" s="2">
        <f t="shared" si="103"/>
        <v>15633.333333333334</v>
      </c>
      <c r="AG308" s="2">
        <f t="shared" si="104"/>
        <v>31266.666666666668</v>
      </c>
      <c r="AH308" s="2">
        <f t="shared" si="105"/>
        <v>62533.333333333336</v>
      </c>
      <c r="AZ308" s="10">
        <v>298</v>
      </c>
      <c r="BA308" s="10">
        <f t="shared" si="95"/>
        <v>3501866.6666666665</v>
      </c>
      <c r="BB308" s="10">
        <f t="shared" si="96"/>
        <v>5252800</v>
      </c>
      <c r="BC308" s="10">
        <f t="shared" si="97"/>
        <v>7003733.333333333</v>
      </c>
      <c r="BD308" s="10">
        <f t="shared" si="98"/>
        <v>8754666.666666666</v>
      </c>
      <c r="BE308" s="10">
        <f t="shared" si="99"/>
        <v>10505600</v>
      </c>
      <c r="BX308" s="10">
        <v>298</v>
      </c>
      <c r="BY308" s="10">
        <f t="shared" si="108"/>
        <v>178666.66666666666</v>
      </c>
      <c r="BZ308" s="10">
        <f t="shared" si="108"/>
        <v>268000</v>
      </c>
      <c r="CA308" s="10">
        <f t="shared" si="108"/>
        <v>357333.33333333331</v>
      </c>
      <c r="CB308" s="10">
        <f t="shared" si="108"/>
        <v>670000</v>
      </c>
      <c r="CC308" s="10">
        <f t="shared" si="108"/>
        <v>2233333.3333333335</v>
      </c>
    </row>
    <row r="309" spans="29:81" x14ac:dyDescent="0.15">
      <c r="AC309" s="2">
        <v>299</v>
      </c>
      <c r="AD309" s="2">
        <f t="shared" si="101"/>
        <v>0</v>
      </c>
      <c r="AE309" s="2">
        <f t="shared" si="102"/>
        <v>6276.666666666667</v>
      </c>
      <c r="AF309" s="2">
        <f t="shared" si="103"/>
        <v>15691.666666666666</v>
      </c>
      <c r="AG309" s="2">
        <f t="shared" si="104"/>
        <v>31383.333333333332</v>
      </c>
      <c r="AH309" s="2">
        <f t="shared" si="105"/>
        <v>62766.666666666664</v>
      </c>
      <c r="AZ309" s="10">
        <v>299</v>
      </c>
      <c r="BA309" s="10">
        <f t="shared" si="95"/>
        <v>3514933.3333333335</v>
      </c>
      <c r="BB309" s="10">
        <f t="shared" si="96"/>
        <v>5272400</v>
      </c>
      <c r="BC309" s="10">
        <f t="shared" si="97"/>
        <v>7029866.666666667</v>
      </c>
      <c r="BD309" s="10">
        <f t="shared" si="98"/>
        <v>8787333.333333334</v>
      </c>
      <c r="BE309" s="10">
        <f t="shared" si="99"/>
        <v>10544800</v>
      </c>
      <c r="BX309" s="10">
        <v>299</v>
      </c>
      <c r="BY309" s="10">
        <f t="shared" si="108"/>
        <v>179333.33333333334</v>
      </c>
      <c r="BZ309" s="10">
        <f t="shared" si="108"/>
        <v>269000</v>
      </c>
      <c r="CA309" s="10">
        <f t="shared" si="108"/>
        <v>358666.66666666669</v>
      </c>
      <c r="CB309" s="10">
        <f t="shared" si="108"/>
        <v>672500</v>
      </c>
      <c r="CC309" s="10">
        <f t="shared" si="108"/>
        <v>2241666.6666666665</v>
      </c>
    </row>
    <row r="310" spans="29:81" x14ac:dyDescent="0.15">
      <c r="AC310" s="2">
        <v>300</v>
      </c>
      <c r="AD310" s="2">
        <f t="shared" si="101"/>
        <v>0</v>
      </c>
      <c r="AE310" s="2">
        <f t="shared" si="102"/>
        <v>6300</v>
      </c>
      <c r="AF310" s="2">
        <f t="shared" si="103"/>
        <v>15750</v>
      </c>
      <c r="AG310" s="2">
        <f t="shared" si="104"/>
        <v>31500</v>
      </c>
      <c r="AH310" s="2">
        <f t="shared" si="105"/>
        <v>63000</v>
      </c>
      <c r="AZ310" s="10">
        <v>300</v>
      </c>
      <c r="BA310" s="10">
        <f t="shared" si="95"/>
        <v>3528000</v>
      </c>
      <c r="BB310" s="10">
        <f t="shared" si="96"/>
        <v>5292000</v>
      </c>
      <c r="BC310" s="10">
        <f t="shared" si="97"/>
        <v>7056000</v>
      </c>
      <c r="BD310" s="10">
        <f t="shared" si="98"/>
        <v>8820000</v>
      </c>
      <c r="BE310" s="10">
        <f t="shared" si="99"/>
        <v>10584000</v>
      </c>
      <c r="BX310" s="10">
        <v>300</v>
      </c>
      <c r="BY310" s="10">
        <f t="shared" si="108"/>
        <v>180000</v>
      </c>
      <c r="BZ310" s="10">
        <f t="shared" si="108"/>
        <v>270000</v>
      </c>
      <c r="CA310" s="10">
        <f t="shared" si="108"/>
        <v>360000</v>
      </c>
      <c r="CB310" s="10">
        <f t="shared" si="108"/>
        <v>675000</v>
      </c>
      <c r="CC310" s="10">
        <f t="shared" si="108"/>
        <v>2250000</v>
      </c>
    </row>
    <row r="311" spans="29:81" x14ac:dyDescent="0.15">
      <c r="AC311" s="2">
        <v>301</v>
      </c>
      <c r="AD311" s="2">
        <f t="shared" si="101"/>
        <v>0</v>
      </c>
      <c r="AE311" s="2">
        <f t="shared" si="102"/>
        <v>6323.333333333333</v>
      </c>
      <c r="AF311" s="2">
        <f t="shared" si="103"/>
        <v>15808.333333333334</v>
      </c>
      <c r="AG311" s="2">
        <f t="shared" si="104"/>
        <v>31616.666666666668</v>
      </c>
      <c r="AH311" s="2">
        <f t="shared" si="105"/>
        <v>63233.333333333336</v>
      </c>
      <c r="AZ311" s="10">
        <v>301</v>
      </c>
      <c r="BA311" s="10">
        <f t="shared" si="95"/>
        <v>3541066.6666666665</v>
      </c>
      <c r="BB311" s="10">
        <f t="shared" si="96"/>
        <v>5311600</v>
      </c>
      <c r="BC311" s="10">
        <f t="shared" si="97"/>
        <v>7082133.333333333</v>
      </c>
      <c r="BD311" s="10">
        <f t="shared" si="98"/>
        <v>8852666.666666666</v>
      </c>
      <c r="BE311" s="10">
        <f t="shared" si="99"/>
        <v>10623200</v>
      </c>
      <c r="BX311" s="10">
        <v>301</v>
      </c>
      <c r="BY311" s="10">
        <f t="shared" ref="BY311:CC320" si="109">MAX($BX311-$C$7,0)*INDEX($BU$7:$BU$15,MATCH(BY$10,$BT$7:$BT$15,0))/30</f>
        <v>180666.66666666666</v>
      </c>
      <c r="BZ311" s="10">
        <f t="shared" si="109"/>
        <v>271000</v>
      </c>
      <c r="CA311" s="10">
        <f t="shared" si="109"/>
        <v>361333.33333333331</v>
      </c>
      <c r="CB311" s="10">
        <f t="shared" si="109"/>
        <v>677500</v>
      </c>
      <c r="CC311" s="10">
        <f t="shared" si="109"/>
        <v>2258333.3333333335</v>
      </c>
    </row>
    <row r="312" spans="29:81" x14ac:dyDescent="0.15">
      <c r="AC312" s="2">
        <v>302</v>
      </c>
      <c r="AD312" s="2">
        <f t="shared" si="101"/>
        <v>0</v>
      </c>
      <c r="AE312" s="2">
        <f t="shared" si="102"/>
        <v>6346.666666666667</v>
      </c>
      <c r="AF312" s="2">
        <f t="shared" si="103"/>
        <v>15866.666666666666</v>
      </c>
      <c r="AG312" s="2">
        <f t="shared" si="104"/>
        <v>31733.333333333332</v>
      </c>
      <c r="AH312" s="2">
        <f t="shared" si="105"/>
        <v>63466.666666666664</v>
      </c>
      <c r="AZ312" s="10">
        <v>302</v>
      </c>
      <c r="BA312" s="10">
        <f t="shared" si="95"/>
        <v>3554133.3333333335</v>
      </c>
      <c r="BB312" s="10">
        <f t="shared" si="96"/>
        <v>5331200</v>
      </c>
      <c r="BC312" s="10">
        <f t="shared" si="97"/>
        <v>7108266.666666667</v>
      </c>
      <c r="BD312" s="10">
        <f t="shared" si="98"/>
        <v>8885333.333333334</v>
      </c>
      <c r="BE312" s="10">
        <f t="shared" si="99"/>
        <v>10662400</v>
      </c>
      <c r="BX312" s="10">
        <v>302</v>
      </c>
      <c r="BY312" s="10">
        <f t="shared" si="109"/>
        <v>181333.33333333334</v>
      </c>
      <c r="BZ312" s="10">
        <f t="shared" si="109"/>
        <v>272000</v>
      </c>
      <c r="CA312" s="10">
        <f t="shared" si="109"/>
        <v>362666.66666666669</v>
      </c>
      <c r="CB312" s="10">
        <f t="shared" si="109"/>
        <v>680000</v>
      </c>
      <c r="CC312" s="10">
        <f t="shared" si="109"/>
        <v>2266666.6666666665</v>
      </c>
    </row>
    <row r="313" spans="29:81" x14ac:dyDescent="0.15">
      <c r="AC313" s="2">
        <v>303</v>
      </c>
      <c r="AD313" s="2">
        <f t="shared" si="101"/>
        <v>0</v>
      </c>
      <c r="AE313" s="2">
        <f t="shared" si="102"/>
        <v>6370</v>
      </c>
      <c r="AF313" s="2">
        <f t="shared" si="103"/>
        <v>15925</v>
      </c>
      <c r="AG313" s="2">
        <f t="shared" si="104"/>
        <v>31850</v>
      </c>
      <c r="AH313" s="2">
        <f t="shared" si="105"/>
        <v>63700</v>
      </c>
      <c r="AZ313" s="10">
        <v>303</v>
      </c>
      <c r="BA313" s="10">
        <f t="shared" si="95"/>
        <v>3567200</v>
      </c>
      <c r="BB313" s="10">
        <f t="shared" si="96"/>
        <v>5350800</v>
      </c>
      <c r="BC313" s="10">
        <f t="shared" si="97"/>
        <v>7134400</v>
      </c>
      <c r="BD313" s="10">
        <f t="shared" si="98"/>
        <v>8918000</v>
      </c>
      <c r="BE313" s="10">
        <f t="shared" si="99"/>
        <v>10701600</v>
      </c>
      <c r="BX313" s="10">
        <v>303</v>
      </c>
      <c r="BY313" s="10">
        <f t="shared" si="109"/>
        <v>182000</v>
      </c>
      <c r="BZ313" s="10">
        <f t="shared" si="109"/>
        <v>273000</v>
      </c>
      <c r="CA313" s="10">
        <f t="shared" si="109"/>
        <v>364000</v>
      </c>
      <c r="CB313" s="10">
        <f t="shared" si="109"/>
        <v>682500</v>
      </c>
      <c r="CC313" s="10">
        <f t="shared" si="109"/>
        <v>2275000</v>
      </c>
    </row>
    <row r="314" spans="29:81" x14ac:dyDescent="0.15">
      <c r="AC314" s="2">
        <v>304</v>
      </c>
      <c r="AD314" s="2">
        <f t="shared" si="101"/>
        <v>0</v>
      </c>
      <c r="AE314" s="2">
        <f t="shared" si="102"/>
        <v>6393.333333333333</v>
      </c>
      <c r="AF314" s="2">
        <f t="shared" si="103"/>
        <v>15983.333333333334</v>
      </c>
      <c r="AG314" s="2">
        <f t="shared" si="104"/>
        <v>31966.666666666668</v>
      </c>
      <c r="AH314" s="2">
        <f t="shared" si="105"/>
        <v>63933.333333333336</v>
      </c>
      <c r="AZ314" s="10">
        <v>304</v>
      </c>
      <c r="BA314" s="10">
        <f t="shared" si="95"/>
        <v>3580266.6666666665</v>
      </c>
      <c r="BB314" s="10">
        <f t="shared" si="96"/>
        <v>5370400</v>
      </c>
      <c r="BC314" s="10">
        <f t="shared" si="97"/>
        <v>7160533.333333333</v>
      </c>
      <c r="BD314" s="10">
        <f t="shared" si="98"/>
        <v>8950666.666666666</v>
      </c>
      <c r="BE314" s="10">
        <f t="shared" si="99"/>
        <v>10740800</v>
      </c>
      <c r="BX314" s="10">
        <v>304</v>
      </c>
      <c r="BY314" s="10">
        <f t="shared" si="109"/>
        <v>182666.66666666666</v>
      </c>
      <c r="BZ314" s="10">
        <f t="shared" si="109"/>
        <v>274000</v>
      </c>
      <c r="CA314" s="10">
        <f t="shared" si="109"/>
        <v>365333.33333333331</v>
      </c>
      <c r="CB314" s="10">
        <f t="shared" si="109"/>
        <v>685000</v>
      </c>
      <c r="CC314" s="10">
        <f t="shared" si="109"/>
        <v>2283333.3333333335</v>
      </c>
    </row>
    <row r="315" spans="29:81" x14ac:dyDescent="0.15">
      <c r="AC315" s="2">
        <v>305</v>
      </c>
      <c r="AD315" s="2">
        <f t="shared" si="101"/>
        <v>0</v>
      </c>
      <c r="AE315" s="2">
        <f t="shared" si="102"/>
        <v>6416.666666666667</v>
      </c>
      <c r="AF315" s="2">
        <f t="shared" si="103"/>
        <v>16041.666666666666</v>
      </c>
      <c r="AG315" s="2">
        <f t="shared" si="104"/>
        <v>32083.333333333332</v>
      </c>
      <c r="AH315" s="2">
        <f t="shared" si="105"/>
        <v>64166.666666666664</v>
      </c>
      <c r="AZ315" s="10">
        <v>305</v>
      </c>
      <c r="BA315" s="10">
        <f t="shared" si="95"/>
        <v>3593333.3333333335</v>
      </c>
      <c r="BB315" s="10">
        <f t="shared" si="96"/>
        <v>5390000</v>
      </c>
      <c r="BC315" s="10">
        <f t="shared" si="97"/>
        <v>7186666.666666667</v>
      </c>
      <c r="BD315" s="10">
        <f t="shared" si="98"/>
        <v>8983333.333333334</v>
      </c>
      <c r="BE315" s="10">
        <f t="shared" si="99"/>
        <v>10780000</v>
      </c>
      <c r="BX315" s="10">
        <v>305</v>
      </c>
      <c r="BY315" s="10">
        <f t="shared" si="109"/>
        <v>183333.33333333334</v>
      </c>
      <c r="BZ315" s="10">
        <f t="shared" si="109"/>
        <v>275000</v>
      </c>
      <c r="CA315" s="10">
        <f t="shared" si="109"/>
        <v>366666.66666666669</v>
      </c>
      <c r="CB315" s="10">
        <f t="shared" si="109"/>
        <v>687500</v>
      </c>
      <c r="CC315" s="10">
        <f t="shared" si="109"/>
        <v>2291666.6666666665</v>
      </c>
    </row>
    <row r="316" spans="29:81" x14ac:dyDescent="0.15">
      <c r="AC316" s="2">
        <v>306</v>
      </c>
      <c r="AD316" s="2">
        <f t="shared" si="101"/>
        <v>0</v>
      </c>
      <c r="AE316" s="2">
        <f t="shared" si="102"/>
        <v>6440</v>
      </c>
      <c r="AF316" s="2">
        <f t="shared" si="103"/>
        <v>16100</v>
      </c>
      <c r="AG316" s="2">
        <f t="shared" si="104"/>
        <v>32200</v>
      </c>
      <c r="AH316" s="2">
        <f t="shared" si="105"/>
        <v>64400</v>
      </c>
      <c r="AZ316" s="10">
        <v>306</v>
      </c>
      <c r="BA316" s="10">
        <f t="shared" si="95"/>
        <v>3606400</v>
      </c>
      <c r="BB316" s="10">
        <f t="shared" si="96"/>
        <v>5409600</v>
      </c>
      <c r="BC316" s="10">
        <f t="shared" si="97"/>
        <v>7212800</v>
      </c>
      <c r="BD316" s="10">
        <f t="shared" si="98"/>
        <v>9016000</v>
      </c>
      <c r="BE316" s="10">
        <f t="shared" si="99"/>
        <v>10819200</v>
      </c>
      <c r="BX316" s="10">
        <v>306</v>
      </c>
      <c r="BY316" s="10">
        <f t="shared" si="109"/>
        <v>184000</v>
      </c>
      <c r="BZ316" s="10">
        <f t="shared" si="109"/>
        <v>276000</v>
      </c>
      <c r="CA316" s="10">
        <f t="shared" si="109"/>
        <v>368000</v>
      </c>
      <c r="CB316" s="10">
        <f t="shared" si="109"/>
        <v>690000</v>
      </c>
      <c r="CC316" s="10">
        <f t="shared" si="109"/>
        <v>2300000</v>
      </c>
    </row>
    <row r="317" spans="29:81" x14ac:dyDescent="0.15">
      <c r="AC317" s="2">
        <v>307</v>
      </c>
      <c r="AD317" s="2">
        <f t="shared" si="101"/>
        <v>0</v>
      </c>
      <c r="AE317" s="2">
        <f t="shared" si="102"/>
        <v>6463.333333333333</v>
      </c>
      <c r="AF317" s="2">
        <f t="shared" si="103"/>
        <v>16158.333333333334</v>
      </c>
      <c r="AG317" s="2">
        <f t="shared" si="104"/>
        <v>32316.666666666668</v>
      </c>
      <c r="AH317" s="2">
        <f t="shared" si="105"/>
        <v>64633.333333333336</v>
      </c>
      <c r="AZ317" s="10">
        <v>307</v>
      </c>
      <c r="BA317" s="10">
        <f t="shared" si="95"/>
        <v>3619466.6666666665</v>
      </c>
      <c r="BB317" s="10">
        <f t="shared" si="96"/>
        <v>5429200</v>
      </c>
      <c r="BC317" s="10">
        <f t="shared" si="97"/>
        <v>7238933.333333333</v>
      </c>
      <c r="BD317" s="10">
        <f t="shared" si="98"/>
        <v>9048666.666666666</v>
      </c>
      <c r="BE317" s="10">
        <f t="shared" si="99"/>
        <v>10858400</v>
      </c>
      <c r="BX317" s="10">
        <v>307</v>
      </c>
      <c r="BY317" s="10">
        <f t="shared" si="109"/>
        <v>184666.66666666666</v>
      </c>
      <c r="BZ317" s="10">
        <f t="shared" si="109"/>
        <v>277000</v>
      </c>
      <c r="CA317" s="10">
        <f t="shared" si="109"/>
        <v>369333.33333333331</v>
      </c>
      <c r="CB317" s="10">
        <f t="shared" si="109"/>
        <v>692500</v>
      </c>
      <c r="CC317" s="10">
        <f t="shared" si="109"/>
        <v>2308333.3333333335</v>
      </c>
    </row>
    <row r="318" spans="29:81" x14ac:dyDescent="0.15">
      <c r="AC318" s="2">
        <v>308</v>
      </c>
      <c r="AD318" s="2">
        <f t="shared" si="101"/>
        <v>0</v>
      </c>
      <c r="AE318" s="2">
        <f t="shared" si="102"/>
        <v>6486.666666666667</v>
      </c>
      <c r="AF318" s="2">
        <f t="shared" si="103"/>
        <v>16216.666666666666</v>
      </c>
      <c r="AG318" s="2">
        <f t="shared" si="104"/>
        <v>32433.333333333332</v>
      </c>
      <c r="AH318" s="2">
        <f t="shared" si="105"/>
        <v>64866.666666666664</v>
      </c>
      <c r="AZ318" s="10">
        <v>308</v>
      </c>
      <c r="BA318" s="10">
        <f t="shared" si="95"/>
        <v>3632533.3333333335</v>
      </c>
      <c r="BB318" s="10">
        <f t="shared" si="96"/>
        <v>5448800</v>
      </c>
      <c r="BC318" s="10">
        <f t="shared" si="97"/>
        <v>7265066.666666667</v>
      </c>
      <c r="BD318" s="10">
        <f t="shared" si="98"/>
        <v>9081333.333333334</v>
      </c>
      <c r="BE318" s="10">
        <f t="shared" si="99"/>
        <v>10897600</v>
      </c>
      <c r="BX318" s="10">
        <v>308</v>
      </c>
      <c r="BY318" s="10">
        <f t="shared" si="109"/>
        <v>185333.33333333334</v>
      </c>
      <c r="BZ318" s="10">
        <f t="shared" si="109"/>
        <v>278000</v>
      </c>
      <c r="CA318" s="10">
        <f t="shared" si="109"/>
        <v>370666.66666666669</v>
      </c>
      <c r="CB318" s="10">
        <f t="shared" si="109"/>
        <v>695000</v>
      </c>
      <c r="CC318" s="10">
        <f t="shared" si="109"/>
        <v>2316666.6666666665</v>
      </c>
    </row>
    <row r="319" spans="29:81" x14ac:dyDescent="0.15">
      <c r="AC319" s="2">
        <v>309</v>
      </c>
      <c r="AD319" s="2">
        <f t="shared" si="101"/>
        <v>0</v>
      </c>
      <c r="AE319" s="2">
        <f t="shared" si="102"/>
        <v>6510</v>
      </c>
      <c r="AF319" s="2">
        <f t="shared" si="103"/>
        <v>16275</v>
      </c>
      <c r="AG319" s="2">
        <f t="shared" si="104"/>
        <v>32550</v>
      </c>
      <c r="AH319" s="2">
        <f t="shared" si="105"/>
        <v>65100</v>
      </c>
      <c r="AZ319" s="10">
        <v>309</v>
      </c>
      <c r="BA319" s="10">
        <f t="shared" si="95"/>
        <v>3645600</v>
      </c>
      <c r="BB319" s="10">
        <f t="shared" si="96"/>
        <v>5468400</v>
      </c>
      <c r="BC319" s="10">
        <f t="shared" si="97"/>
        <v>7291200</v>
      </c>
      <c r="BD319" s="10">
        <f t="shared" si="98"/>
        <v>9114000</v>
      </c>
      <c r="BE319" s="10">
        <f t="shared" si="99"/>
        <v>10936800</v>
      </c>
      <c r="BX319" s="10">
        <v>309</v>
      </c>
      <c r="BY319" s="10">
        <f t="shared" si="109"/>
        <v>186000</v>
      </c>
      <c r="BZ319" s="10">
        <f t="shared" si="109"/>
        <v>279000</v>
      </c>
      <c r="CA319" s="10">
        <f t="shared" si="109"/>
        <v>372000</v>
      </c>
      <c r="CB319" s="10">
        <f t="shared" si="109"/>
        <v>697500</v>
      </c>
      <c r="CC319" s="10">
        <f t="shared" si="109"/>
        <v>2325000</v>
      </c>
    </row>
    <row r="320" spans="29:81" x14ac:dyDescent="0.15">
      <c r="AC320" s="2">
        <v>310</v>
      </c>
      <c r="AD320" s="2">
        <f t="shared" si="101"/>
        <v>0</v>
      </c>
      <c r="AE320" s="2">
        <f t="shared" si="102"/>
        <v>6533.333333333333</v>
      </c>
      <c r="AF320" s="2">
        <f t="shared" si="103"/>
        <v>16333.333333333334</v>
      </c>
      <c r="AG320" s="2">
        <f t="shared" si="104"/>
        <v>32666.666666666668</v>
      </c>
      <c r="AH320" s="2">
        <f t="shared" si="105"/>
        <v>65333.333333333336</v>
      </c>
      <c r="AZ320" s="10">
        <v>310</v>
      </c>
      <c r="BA320" s="10">
        <f t="shared" si="95"/>
        <v>3658666.6666666665</v>
      </c>
      <c r="BB320" s="10">
        <f t="shared" si="96"/>
        <v>5488000</v>
      </c>
      <c r="BC320" s="10">
        <f t="shared" si="97"/>
        <v>7317333.333333333</v>
      </c>
      <c r="BD320" s="10">
        <f t="shared" si="98"/>
        <v>9146666.666666666</v>
      </c>
      <c r="BE320" s="10">
        <f t="shared" si="99"/>
        <v>10976000</v>
      </c>
      <c r="BX320" s="10">
        <v>310</v>
      </c>
      <c r="BY320" s="10">
        <f t="shared" si="109"/>
        <v>186666.66666666666</v>
      </c>
      <c r="BZ320" s="10">
        <f t="shared" si="109"/>
        <v>280000</v>
      </c>
      <c r="CA320" s="10">
        <f t="shared" si="109"/>
        <v>373333.33333333331</v>
      </c>
      <c r="CB320" s="10">
        <f t="shared" si="109"/>
        <v>700000</v>
      </c>
      <c r="CC320" s="10">
        <f t="shared" si="109"/>
        <v>2333333.3333333335</v>
      </c>
    </row>
    <row r="321" spans="29:81" x14ac:dyDescent="0.15">
      <c r="AC321" s="2">
        <v>311</v>
      </c>
      <c r="AD321" s="2">
        <f t="shared" si="101"/>
        <v>0</v>
      </c>
      <c r="AE321" s="2">
        <f t="shared" si="102"/>
        <v>6556.666666666667</v>
      </c>
      <c r="AF321" s="2">
        <f t="shared" si="103"/>
        <v>16391.666666666668</v>
      </c>
      <c r="AG321" s="2">
        <f t="shared" si="104"/>
        <v>32783.333333333336</v>
      </c>
      <c r="AH321" s="2">
        <f t="shared" si="105"/>
        <v>65566.666666666672</v>
      </c>
      <c r="AZ321" s="10">
        <v>311</v>
      </c>
      <c r="BA321" s="10">
        <f t="shared" si="95"/>
        <v>3671733.3333333335</v>
      </c>
      <c r="BB321" s="10">
        <f t="shared" si="96"/>
        <v>5507600</v>
      </c>
      <c r="BC321" s="10">
        <f t="shared" si="97"/>
        <v>7343466.666666667</v>
      </c>
      <c r="BD321" s="10">
        <f t="shared" si="98"/>
        <v>9179333.333333334</v>
      </c>
      <c r="BE321" s="10">
        <f t="shared" si="99"/>
        <v>11015200</v>
      </c>
      <c r="BX321" s="10">
        <v>311</v>
      </c>
      <c r="BY321" s="10">
        <f t="shared" ref="BY321:CC330" si="110">MAX($BX321-$C$7,0)*INDEX($BU$7:$BU$15,MATCH(BY$10,$BT$7:$BT$15,0))/30</f>
        <v>187333.33333333334</v>
      </c>
      <c r="BZ321" s="10">
        <f t="shared" si="110"/>
        <v>281000</v>
      </c>
      <c r="CA321" s="10">
        <f t="shared" si="110"/>
        <v>374666.66666666669</v>
      </c>
      <c r="CB321" s="10">
        <f t="shared" si="110"/>
        <v>702500</v>
      </c>
      <c r="CC321" s="10">
        <f t="shared" si="110"/>
        <v>2341666.6666666665</v>
      </c>
    </row>
    <row r="322" spans="29:81" x14ac:dyDescent="0.15">
      <c r="AC322" s="2">
        <v>312</v>
      </c>
      <c r="AD322" s="2">
        <f t="shared" si="101"/>
        <v>0</v>
      </c>
      <c r="AE322" s="2">
        <f t="shared" si="102"/>
        <v>6580</v>
      </c>
      <c r="AF322" s="2">
        <f t="shared" si="103"/>
        <v>16450</v>
      </c>
      <c r="AG322" s="2">
        <f t="shared" si="104"/>
        <v>32900</v>
      </c>
      <c r="AH322" s="2">
        <f t="shared" si="105"/>
        <v>65800</v>
      </c>
      <c r="AZ322" s="10">
        <v>312</v>
      </c>
      <c r="BA322" s="10">
        <f t="shared" si="95"/>
        <v>3684800</v>
      </c>
      <c r="BB322" s="10">
        <f t="shared" si="96"/>
        <v>5527200</v>
      </c>
      <c r="BC322" s="10">
        <f t="shared" si="97"/>
        <v>7369600</v>
      </c>
      <c r="BD322" s="10">
        <f t="shared" si="98"/>
        <v>9212000</v>
      </c>
      <c r="BE322" s="10">
        <f t="shared" si="99"/>
        <v>11054400</v>
      </c>
      <c r="BX322" s="10">
        <v>312</v>
      </c>
      <c r="BY322" s="10">
        <f t="shared" si="110"/>
        <v>188000</v>
      </c>
      <c r="BZ322" s="10">
        <f t="shared" si="110"/>
        <v>282000</v>
      </c>
      <c r="CA322" s="10">
        <f t="shared" si="110"/>
        <v>376000</v>
      </c>
      <c r="CB322" s="10">
        <f t="shared" si="110"/>
        <v>705000</v>
      </c>
      <c r="CC322" s="10">
        <f t="shared" si="110"/>
        <v>2350000</v>
      </c>
    </row>
    <row r="323" spans="29:81" x14ac:dyDescent="0.15">
      <c r="AC323" s="2">
        <v>313</v>
      </c>
      <c r="AD323" s="2">
        <f t="shared" si="101"/>
        <v>0</v>
      </c>
      <c r="AE323" s="2">
        <f t="shared" si="102"/>
        <v>6603.333333333333</v>
      </c>
      <c r="AF323" s="2">
        <f t="shared" si="103"/>
        <v>16508.333333333332</v>
      </c>
      <c r="AG323" s="2">
        <f t="shared" si="104"/>
        <v>33016.666666666664</v>
      </c>
      <c r="AH323" s="2">
        <f t="shared" si="105"/>
        <v>66033.333333333328</v>
      </c>
      <c r="AZ323" s="10">
        <v>313</v>
      </c>
      <c r="BA323" s="10">
        <f t="shared" si="95"/>
        <v>3697866.6666666665</v>
      </c>
      <c r="BB323" s="10">
        <f t="shared" si="96"/>
        <v>5546800</v>
      </c>
      <c r="BC323" s="10">
        <f t="shared" si="97"/>
        <v>7395733.333333333</v>
      </c>
      <c r="BD323" s="10">
        <f t="shared" si="98"/>
        <v>9244666.666666666</v>
      </c>
      <c r="BE323" s="10">
        <f t="shared" si="99"/>
        <v>11093600</v>
      </c>
      <c r="BX323" s="10">
        <v>313</v>
      </c>
      <c r="BY323" s="10">
        <f t="shared" si="110"/>
        <v>188666.66666666666</v>
      </c>
      <c r="BZ323" s="10">
        <f t="shared" si="110"/>
        <v>283000</v>
      </c>
      <c r="CA323" s="10">
        <f t="shared" si="110"/>
        <v>377333.33333333331</v>
      </c>
      <c r="CB323" s="10">
        <f t="shared" si="110"/>
        <v>707500</v>
      </c>
      <c r="CC323" s="10">
        <f t="shared" si="110"/>
        <v>2358333.3333333335</v>
      </c>
    </row>
    <row r="324" spans="29:81" x14ac:dyDescent="0.15">
      <c r="AC324" s="2">
        <v>314</v>
      </c>
      <c r="AD324" s="2">
        <f t="shared" si="101"/>
        <v>0</v>
      </c>
      <c r="AE324" s="2">
        <f t="shared" si="102"/>
        <v>6626.666666666667</v>
      </c>
      <c r="AF324" s="2">
        <f t="shared" si="103"/>
        <v>16566.666666666668</v>
      </c>
      <c r="AG324" s="2">
        <f t="shared" si="104"/>
        <v>33133.333333333336</v>
      </c>
      <c r="AH324" s="2">
        <f t="shared" si="105"/>
        <v>66266.666666666672</v>
      </c>
      <c r="AZ324" s="10">
        <v>314</v>
      </c>
      <c r="BA324" s="10">
        <f t="shared" si="95"/>
        <v>3710933.3333333335</v>
      </c>
      <c r="BB324" s="10">
        <f t="shared" si="96"/>
        <v>5566400</v>
      </c>
      <c r="BC324" s="10">
        <f t="shared" si="97"/>
        <v>7421866.666666667</v>
      </c>
      <c r="BD324" s="10">
        <f t="shared" si="98"/>
        <v>9277333.333333334</v>
      </c>
      <c r="BE324" s="10">
        <f t="shared" si="99"/>
        <v>11132800</v>
      </c>
      <c r="BX324" s="10">
        <v>314</v>
      </c>
      <c r="BY324" s="10">
        <f t="shared" si="110"/>
        <v>189333.33333333334</v>
      </c>
      <c r="BZ324" s="10">
        <f t="shared" si="110"/>
        <v>284000</v>
      </c>
      <c r="CA324" s="10">
        <f t="shared" si="110"/>
        <v>378666.66666666669</v>
      </c>
      <c r="CB324" s="10">
        <f t="shared" si="110"/>
        <v>710000</v>
      </c>
      <c r="CC324" s="10">
        <f t="shared" si="110"/>
        <v>2366666.6666666665</v>
      </c>
    </row>
    <row r="325" spans="29:81" x14ac:dyDescent="0.15">
      <c r="AC325" s="2">
        <v>315</v>
      </c>
      <c r="AD325" s="2">
        <f t="shared" si="101"/>
        <v>0</v>
      </c>
      <c r="AE325" s="2">
        <f t="shared" si="102"/>
        <v>6650</v>
      </c>
      <c r="AF325" s="2">
        <f t="shared" si="103"/>
        <v>16625</v>
      </c>
      <c r="AG325" s="2">
        <f t="shared" si="104"/>
        <v>33250</v>
      </c>
      <c r="AH325" s="2">
        <f t="shared" si="105"/>
        <v>66500</v>
      </c>
      <c r="AZ325" s="10">
        <v>315</v>
      </c>
      <c r="BA325" s="10">
        <f t="shared" si="95"/>
        <v>3724000</v>
      </c>
      <c r="BB325" s="10">
        <f t="shared" si="96"/>
        <v>5586000</v>
      </c>
      <c r="BC325" s="10">
        <f t="shared" si="97"/>
        <v>7448000</v>
      </c>
      <c r="BD325" s="10">
        <f t="shared" si="98"/>
        <v>9310000</v>
      </c>
      <c r="BE325" s="10">
        <f t="shared" si="99"/>
        <v>11172000</v>
      </c>
      <c r="BX325" s="10">
        <v>315</v>
      </c>
      <c r="BY325" s="10">
        <f t="shared" si="110"/>
        <v>190000</v>
      </c>
      <c r="BZ325" s="10">
        <f t="shared" si="110"/>
        <v>285000</v>
      </c>
      <c r="CA325" s="10">
        <f t="shared" si="110"/>
        <v>380000</v>
      </c>
      <c r="CB325" s="10">
        <f t="shared" si="110"/>
        <v>712500</v>
      </c>
      <c r="CC325" s="10">
        <f t="shared" si="110"/>
        <v>2375000</v>
      </c>
    </row>
    <row r="326" spans="29:81" x14ac:dyDescent="0.15">
      <c r="AC326" s="2">
        <v>316</v>
      </c>
      <c r="AD326" s="2">
        <f t="shared" si="101"/>
        <v>0</v>
      </c>
      <c r="AE326" s="2">
        <f t="shared" si="102"/>
        <v>6673.333333333333</v>
      </c>
      <c r="AF326" s="2">
        <f t="shared" si="103"/>
        <v>16683.333333333332</v>
      </c>
      <c r="AG326" s="2">
        <f t="shared" si="104"/>
        <v>33366.666666666664</v>
      </c>
      <c r="AH326" s="2">
        <f t="shared" si="105"/>
        <v>66733.333333333328</v>
      </c>
      <c r="AZ326" s="10">
        <v>316</v>
      </c>
      <c r="BA326" s="10">
        <f t="shared" si="95"/>
        <v>3737066.6666666665</v>
      </c>
      <c r="BB326" s="10">
        <f t="shared" si="96"/>
        <v>5605600</v>
      </c>
      <c r="BC326" s="10">
        <f t="shared" si="97"/>
        <v>7474133.333333333</v>
      </c>
      <c r="BD326" s="10">
        <f t="shared" si="98"/>
        <v>9342666.666666666</v>
      </c>
      <c r="BE326" s="10">
        <f t="shared" si="99"/>
        <v>11211200</v>
      </c>
      <c r="BX326" s="10">
        <v>316</v>
      </c>
      <c r="BY326" s="10">
        <f t="shared" si="110"/>
        <v>190666.66666666666</v>
      </c>
      <c r="BZ326" s="10">
        <f t="shared" si="110"/>
        <v>286000</v>
      </c>
      <c r="CA326" s="10">
        <f t="shared" si="110"/>
        <v>381333.33333333331</v>
      </c>
      <c r="CB326" s="10">
        <f t="shared" si="110"/>
        <v>715000</v>
      </c>
      <c r="CC326" s="10">
        <f t="shared" si="110"/>
        <v>2383333.3333333335</v>
      </c>
    </row>
    <row r="327" spans="29:81" x14ac:dyDescent="0.15">
      <c r="AC327" s="2">
        <v>317</v>
      </c>
      <c r="AD327" s="2">
        <f t="shared" si="101"/>
        <v>0</v>
      </c>
      <c r="AE327" s="2">
        <f t="shared" si="102"/>
        <v>6696.666666666667</v>
      </c>
      <c r="AF327" s="2">
        <f t="shared" si="103"/>
        <v>16741.666666666668</v>
      </c>
      <c r="AG327" s="2">
        <f t="shared" si="104"/>
        <v>33483.333333333336</v>
      </c>
      <c r="AH327" s="2">
        <f t="shared" si="105"/>
        <v>66966.666666666672</v>
      </c>
      <c r="AZ327" s="10">
        <v>317</v>
      </c>
      <c r="BA327" s="10">
        <f t="shared" si="95"/>
        <v>3750133.3333333335</v>
      </c>
      <c r="BB327" s="10">
        <f t="shared" si="96"/>
        <v>5625200</v>
      </c>
      <c r="BC327" s="10">
        <f t="shared" si="97"/>
        <v>7500266.666666667</v>
      </c>
      <c r="BD327" s="10">
        <f t="shared" si="98"/>
        <v>9375333.333333334</v>
      </c>
      <c r="BE327" s="10">
        <f t="shared" si="99"/>
        <v>11250400</v>
      </c>
      <c r="BX327" s="10">
        <v>317</v>
      </c>
      <c r="BY327" s="10">
        <f t="shared" si="110"/>
        <v>191333.33333333334</v>
      </c>
      <c r="BZ327" s="10">
        <f t="shared" si="110"/>
        <v>287000</v>
      </c>
      <c r="CA327" s="10">
        <f t="shared" si="110"/>
        <v>382666.66666666669</v>
      </c>
      <c r="CB327" s="10">
        <f t="shared" si="110"/>
        <v>717500</v>
      </c>
      <c r="CC327" s="10">
        <f t="shared" si="110"/>
        <v>2391666.6666666665</v>
      </c>
    </row>
    <row r="328" spans="29:81" x14ac:dyDescent="0.15">
      <c r="AC328" s="2">
        <v>318</v>
      </c>
      <c r="AD328" s="2">
        <f t="shared" si="101"/>
        <v>0</v>
      </c>
      <c r="AE328" s="2">
        <f t="shared" si="102"/>
        <v>6720</v>
      </c>
      <c r="AF328" s="2">
        <f t="shared" si="103"/>
        <v>16800</v>
      </c>
      <c r="AG328" s="2">
        <f t="shared" si="104"/>
        <v>33600</v>
      </c>
      <c r="AH328" s="2">
        <f t="shared" si="105"/>
        <v>67200</v>
      </c>
      <c r="AZ328" s="10">
        <v>318</v>
      </c>
      <c r="BA328" s="10">
        <f t="shared" si="95"/>
        <v>3763200</v>
      </c>
      <c r="BB328" s="10">
        <f t="shared" si="96"/>
        <v>5644800</v>
      </c>
      <c r="BC328" s="10">
        <f t="shared" si="97"/>
        <v>7526400</v>
      </c>
      <c r="BD328" s="10">
        <f t="shared" si="98"/>
        <v>9408000</v>
      </c>
      <c r="BE328" s="10">
        <f t="shared" si="99"/>
        <v>11289600</v>
      </c>
      <c r="BX328" s="10">
        <v>318</v>
      </c>
      <c r="BY328" s="10">
        <f t="shared" si="110"/>
        <v>192000</v>
      </c>
      <c r="BZ328" s="10">
        <f t="shared" si="110"/>
        <v>288000</v>
      </c>
      <c r="CA328" s="10">
        <f t="shared" si="110"/>
        <v>384000</v>
      </c>
      <c r="CB328" s="10">
        <f t="shared" si="110"/>
        <v>720000</v>
      </c>
      <c r="CC328" s="10">
        <f t="shared" si="110"/>
        <v>2400000</v>
      </c>
    </row>
    <row r="329" spans="29:81" x14ac:dyDescent="0.15">
      <c r="AC329" s="2">
        <v>319</v>
      </c>
      <c r="AD329" s="2">
        <f t="shared" si="101"/>
        <v>0</v>
      </c>
      <c r="AE329" s="2">
        <f t="shared" si="102"/>
        <v>6743.333333333333</v>
      </c>
      <c r="AF329" s="2">
        <f t="shared" si="103"/>
        <v>16858.333333333332</v>
      </c>
      <c r="AG329" s="2">
        <f t="shared" si="104"/>
        <v>33716.666666666664</v>
      </c>
      <c r="AH329" s="2">
        <f t="shared" si="105"/>
        <v>67433.333333333328</v>
      </c>
      <c r="AZ329" s="10">
        <v>319</v>
      </c>
      <c r="BA329" s="10">
        <f t="shared" si="95"/>
        <v>3776266.6666666665</v>
      </c>
      <c r="BB329" s="10">
        <f t="shared" si="96"/>
        <v>5664400</v>
      </c>
      <c r="BC329" s="10">
        <f t="shared" si="97"/>
        <v>7552533.333333333</v>
      </c>
      <c r="BD329" s="10">
        <f t="shared" si="98"/>
        <v>9440666.666666666</v>
      </c>
      <c r="BE329" s="10">
        <f t="shared" si="99"/>
        <v>11328800</v>
      </c>
      <c r="BX329" s="10">
        <v>319</v>
      </c>
      <c r="BY329" s="10">
        <f t="shared" si="110"/>
        <v>192666.66666666666</v>
      </c>
      <c r="BZ329" s="10">
        <f t="shared" si="110"/>
        <v>289000</v>
      </c>
      <c r="CA329" s="10">
        <f t="shared" si="110"/>
        <v>385333.33333333331</v>
      </c>
      <c r="CB329" s="10">
        <f t="shared" si="110"/>
        <v>722500</v>
      </c>
      <c r="CC329" s="10">
        <f t="shared" si="110"/>
        <v>2408333.3333333335</v>
      </c>
    </row>
    <row r="330" spans="29:81" x14ac:dyDescent="0.15">
      <c r="AC330" s="2">
        <v>320</v>
      </c>
      <c r="AD330" s="2">
        <f t="shared" si="101"/>
        <v>0</v>
      </c>
      <c r="AE330" s="2">
        <f t="shared" si="102"/>
        <v>6766.666666666667</v>
      </c>
      <c r="AF330" s="2">
        <f t="shared" si="103"/>
        <v>16916.666666666668</v>
      </c>
      <c r="AG330" s="2">
        <f t="shared" si="104"/>
        <v>33833.333333333336</v>
      </c>
      <c r="AH330" s="2">
        <f t="shared" si="105"/>
        <v>67666.666666666672</v>
      </c>
      <c r="AZ330" s="10">
        <v>320</v>
      </c>
      <c r="BA330" s="10">
        <f t="shared" si="95"/>
        <v>3789333.3333333335</v>
      </c>
      <c r="BB330" s="10">
        <f t="shared" si="96"/>
        <v>5684000</v>
      </c>
      <c r="BC330" s="10">
        <f t="shared" si="97"/>
        <v>7578666.666666667</v>
      </c>
      <c r="BD330" s="10">
        <f t="shared" si="98"/>
        <v>9473333.333333334</v>
      </c>
      <c r="BE330" s="10">
        <f t="shared" si="99"/>
        <v>11368000</v>
      </c>
      <c r="BX330" s="10">
        <v>320</v>
      </c>
      <c r="BY330" s="10">
        <f t="shared" si="110"/>
        <v>193333.33333333334</v>
      </c>
      <c r="BZ330" s="10">
        <f t="shared" si="110"/>
        <v>290000</v>
      </c>
      <c r="CA330" s="10">
        <f t="shared" si="110"/>
        <v>386666.66666666669</v>
      </c>
      <c r="CB330" s="10">
        <f t="shared" si="110"/>
        <v>725000</v>
      </c>
      <c r="CC330" s="10">
        <f t="shared" si="110"/>
        <v>2416666.6666666665</v>
      </c>
    </row>
    <row r="331" spans="29:81" x14ac:dyDescent="0.15">
      <c r="AC331" s="2">
        <v>321</v>
      </c>
      <c r="AD331" s="2">
        <f t="shared" si="101"/>
        <v>0</v>
      </c>
      <c r="AE331" s="2">
        <f t="shared" si="102"/>
        <v>6790</v>
      </c>
      <c r="AF331" s="2">
        <f t="shared" si="103"/>
        <v>16975</v>
      </c>
      <c r="AG331" s="2">
        <f t="shared" si="104"/>
        <v>33950</v>
      </c>
      <c r="AH331" s="2">
        <f t="shared" si="105"/>
        <v>67900</v>
      </c>
      <c r="AZ331" s="10">
        <v>321</v>
      </c>
      <c r="BA331" s="10">
        <f t="shared" si="95"/>
        <v>3802400</v>
      </c>
      <c r="BB331" s="10">
        <f t="shared" si="96"/>
        <v>5703600</v>
      </c>
      <c r="BC331" s="10">
        <f t="shared" si="97"/>
        <v>7604800</v>
      </c>
      <c r="BD331" s="10">
        <f t="shared" si="98"/>
        <v>9506000</v>
      </c>
      <c r="BE331" s="10">
        <f t="shared" si="99"/>
        <v>11407200</v>
      </c>
      <c r="BX331" s="10">
        <v>321</v>
      </c>
      <c r="BY331" s="10">
        <f t="shared" ref="BY331:CC340" si="111">MAX($BX331-$C$7,0)*INDEX($BU$7:$BU$15,MATCH(BY$10,$BT$7:$BT$15,0))/30</f>
        <v>194000</v>
      </c>
      <c r="BZ331" s="10">
        <f t="shared" si="111"/>
        <v>291000</v>
      </c>
      <c r="CA331" s="10">
        <f t="shared" si="111"/>
        <v>388000</v>
      </c>
      <c r="CB331" s="10">
        <f t="shared" si="111"/>
        <v>727500</v>
      </c>
      <c r="CC331" s="10">
        <f t="shared" si="111"/>
        <v>2425000</v>
      </c>
    </row>
    <row r="332" spans="29:81" x14ac:dyDescent="0.15">
      <c r="AC332" s="2">
        <v>322</v>
      </c>
      <c r="AD332" s="2">
        <f t="shared" si="101"/>
        <v>0</v>
      </c>
      <c r="AE332" s="2">
        <f t="shared" si="102"/>
        <v>6813.333333333333</v>
      </c>
      <c r="AF332" s="2">
        <f t="shared" si="103"/>
        <v>17033.333333333332</v>
      </c>
      <c r="AG332" s="2">
        <f t="shared" si="104"/>
        <v>34066.666666666664</v>
      </c>
      <c r="AH332" s="2">
        <f t="shared" si="105"/>
        <v>68133.333333333328</v>
      </c>
      <c r="AZ332" s="10">
        <v>322</v>
      </c>
      <c r="BA332" s="10">
        <f t="shared" ref="BA332:BA370" si="112">MAX($AZ332-$C$7,0)*C$22*$C$8*($AV$6+$AV$22)/30</f>
        <v>3815466.6666666665</v>
      </c>
      <c r="BB332" s="10">
        <f t="shared" ref="BB332:BB370" si="113">MAX($AZ332-$C$7,0)*D$22*$C$8*($AV$6+$AV$22)/30</f>
        <v>5723200</v>
      </c>
      <c r="BC332" s="10">
        <f t="shared" ref="BC332:BC370" si="114">MAX($AZ332-$C$7,0)*E$22*$C$8*($AV$6+$AV$22)/30</f>
        <v>7630933.333333333</v>
      </c>
      <c r="BD332" s="10">
        <f t="shared" ref="BD332:BD370" si="115">MAX($AZ332-$C$7,0)*F$22*$C$8*($AV$6+$AV$22)/30</f>
        <v>9538666.666666666</v>
      </c>
      <c r="BE332" s="10">
        <f t="shared" ref="BE332:BE370" si="116">MAX($AZ332-$C$7,0)*G$22*$C$8*($AV$6+$AV$22)/30</f>
        <v>11446400</v>
      </c>
      <c r="BX332" s="10">
        <v>322</v>
      </c>
      <c r="BY332" s="10">
        <f t="shared" si="111"/>
        <v>194666.66666666666</v>
      </c>
      <c r="BZ332" s="10">
        <f t="shared" si="111"/>
        <v>292000</v>
      </c>
      <c r="CA332" s="10">
        <f t="shared" si="111"/>
        <v>389333.33333333331</v>
      </c>
      <c r="CB332" s="10">
        <f t="shared" si="111"/>
        <v>730000</v>
      </c>
      <c r="CC332" s="10">
        <f t="shared" si="111"/>
        <v>2433333.3333333335</v>
      </c>
    </row>
    <row r="333" spans="29:81" x14ac:dyDescent="0.15">
      <c r="AC333" s="2">
        <v>323</v>
      </c>
      <c r="AD333" s="2">
        <f t="shared" si="101"/>
        <v>0</v>
      </c>
      <c r="AE333" s="2">
        <f t="shared" si="102"/>
        <v>6836.666666666667</v>
      </c>
      <c r="AF333" s="2">
        <f t="shared" si="103"/>
        <v>17091.666666666668</v>
      </c>
      <c r="AG333" s="2">
        <f t="shared" si="104"/>
        <v>34183.333333333336</v>
      </c>
      <c r="AH333" s="2">
        <f t="shared" si="105"/>
        <v>68366.666666666672</v>
      </c>
      <c r="AZ333" s="10">
        <v>323</v>
      </c>
      <c r="BA333" s="10">
        <f t="shared" si="112"/>
        <v>3828533.3333333335</v>
      </c>
      <c r="BB333" s="10">
        <f t="shared" si="113"/>
        <v>5742800</v>
      </c>
      <c r="BC333" s="10">
        <f t="shared" si="114"/>
        <v>7657066.666666667</v>
      </c>
      <c r="BD333" s="10">
        <f t="shared" si="115"/>
        <v>9571333.333333334</v>
      </c>
      <c r="BE333" s="10">
        <f t="shared" si="116"/>
        <v>11485600</v>
      </c>
      <c r="BX333" s="10">
        <v>323</v>
      </c>
      <c r="BY333" s="10">
        <f t="shared" si="111"/>
        <v>195333.33333333334</v>
      </c>
      <c r="BZ333" s="10">
        <f t="shared" si="111"/>
        <v>293000</v>
      </c>
      <c r="CA333" s="10">
        <f t="shared" si="111"/>
        <v>390666.66666666669</v>
      </c>
      <c r="CB333" s="10">
        <f t="shared" si="111"/>
        <v>732500</v>
      </c>
      <c r="CC333" s="10">
        <f t="shared" si="111"/>
        <v>2441666.6666666665</v>
      </c>
    </row>
    <row r="334" spans="29:81" x14ac:dyDescent="0.15">
      <c r="AC334" s="2">
        <v>324</v>
      </c>
      <c r="AD334" s="2">
        <f t="shared" si="101"/>
        <v>0</v>
      </c>
      <c r="AE334" s="2">
        <f t="shared" si="102"/>
        <v>6860</v>
      </c>
      <c r="AF334" s="2">
        <f t="shared" si="103"/>
        <v>17150</v>
      </c>
      <c r="AG334" s="2">
        <f t="shared" si="104"/>
        <v>34300</v>
      </c>
      <c r="AH334" s="2">
        <f t="shared" si="105"/>
        <v>68600</v>
      </c>
      <c r="AZ334" s="10">
        <v>324</v>
      </c>
      <c r="BA334" s="10">
        <f t="shared" si="112"/>
        <v>3841600</v>
      </c>
      <c r="BB334" s="10">
        <f t="shared" si="113"/>
        <v>5762400</v>
      </c>
      <c r="BC334" s="10">
        <f t="shared" si="114"/>
        <v>7683200</v>
      </c>
      <c r="BD334" s="10">
        <f t="shared" si="115"/>
        <v>9604000</v>
      </c>
      <c r="BE334" s="10">
        <f t="shared" si="116"/>
        <v>11524800</v>
      </c>
      <c r="BX334" s="10">
        <v>324</v>
      </c>
      <c r="BY334" s="10">
        <f t="shared" si="111"/>
        <v>196000</v>
      </c>
      <c r="BZ334" s="10">
        <f t="shared" si="111"/>
        <v>294000</v>
      </c>
      <c r="CA334" s="10">
        <f t="shared" si="111"/>
        <v>392000</v>
      </c>
      <c r="CB334" s="10">
        <f t="shared" si="111"/>
        <v>735000</v>
      </c>
      <c r="CC334" s="10">
        <f t="shared" si="111"/>
        <v>2450000</v>
      </c>
    </row>
    <row r="335" spans="29:81" x14ac:dyDescent="0.15">
      <c r="AC335" s="2">
        <v>325</v>
      </c>
      <c r="AD335" s="2">
        <f t="shared" si="101"/>
        <v>0</v>
      </c>
      <c r="AE335" s="2">
        <f t="shared" si="102"/>
        <v>6883.333333333333</v>
      </c>
      <c r="AF335" s="2">
        <f t="shared" si="103"/>
        <v>17208.333333333332</v>
      </c>
      <c r="AG335" s="2">
        <f t="shared" si="104"/>
        <v>34416.666666666664</v>
      </c>
      <c r="AH335" s="2">
        <f t="shared" si="105"/>
        <v>68833.333333333328</v>
      </c>
      <c r="AZ335" s="10">
        <v>325</v>
      </c>
      <c r="BA335" s="10">
        <f t="shared" si="112"/>
        <v>3854666.6666666665</v>
      </c>
      <c r="BB335" s="10">
        <f t="shared" si="113"/>
        <v>5782000</v>
      </c>
      <c r="BC335" s="10">
        <f t="shared" si="114"/>
        <v>7709333.333333333</v>
      </c>
      <c r="BD335" s="10">
        <f t="shared" si="115"/>
        <v>9636666.666666666</v>
      </c>
      <c r="BE335" s="10">
        <f t="shared" si="116"/>
        <v>11564000</v>
      </c>
      <c r="BX335" s="10">
        <v>325</v>
      </c>
      <c r="BY335" s="10">
        <f t="shared" si="111"/>
        <v>196666.66666666666</v>
      </c>
      <c r="BZ335" s="10">
        <f t="shared" si="111"/>
        <v>295000</v>
      </c>
      <c r="CA335" s="10">
        <f t="shared" si="111"/>
        <v>393333.33333333331</v>
      </c>
      <c r="CB335" s="10">
        <f t="shared" si="111"/>
        <v>737500</v>
      </c>
      <c r="CC335" s="10">
        <f t="shared" si="111"/>
        <v>2458333.3333333335</v>
      </c>
    </row>
    <row r="336" spans="29:81" x14ac:dyDescent="0.15">
      <c r="AC336" s="2">
        <v>326</v>
      </c>
      <c r="AD336" s="2">
        <f t="shared" si="101"/>
        <v>0</v>
      </c>
      <c r="AE336" s="2">
        <f t="shared" si="102"/>
        <v>6906.666666666667</v>
      </c>
      <c r="AF336" s="2">
        <f t="shared" si="103"/>
        <v>17266.666666666668</v>
      </c>
      <c r="AG336" s="2">
        <f t="shared" si="104"/>
        <v>34533.333333333336</v>
      </c>
      <c r="AH336" s="2">
        <f t="shared" si="105"/>
        <v>69066.666666666672</v>
      </c>
      <c r="AZ336" s="10">
        <v>326</v>
      </c>
      <c r="BA336" s="10">
        <f t="shared" si="112"/>
        <v>3867733.3333333335</v>
      </c>
      <c r="BB336" s="10">
        <f t="shared" si="113"/>
        <v>5801600</v>
      </c>
      <c r="BC336" s="10">
        <f t="shared" si="114"/>
        <v>7735466.666666667</v>
      </c>
      <c r="BD336" s="10">
        <f t="shared" si="115"/>
        <v>9669333.333333334</v>
      </c>
      <c r="BE336" s="10">
        <f t="shared" si="116"/>
        <v>11603200</v>
      </c>
      <c r="BX336" s="10">
        <v>326</v>
      </c>
      <c r="BY336" s="10">
        <f t="shared" si="111"/>
        <v>197333.33333333334</v>
      </c>
      <c r="BZ336" s="10">
        <f t="shared" si="111"/>
        <v>296000</v>
      </c>
      <c r="CA336" s="10">
        <f t="shared" si="111"/>
        <v>394666.66666666669</v>
      </c>
      <c r="CB336" s="10">
        <f t="shared" si="111"/>
        <v>740000</v>
      </c>
      <c r="CC336" s="10">
        <f t="shared" si="111"/>
        <v>2466666.6666666665</v>
      </c>
    </row>
    <row r="337" spans="29:81" x14ac:dyDescent="0.15">
      <c r="AC337" s="2">
        <v>327</v>
      </c>
      <c r="AD337" s="2">
        <f t="shared" si="101"/>
        <v>0</v>
      </c>
      <c r="AE337" s="2">
        <f t="shared" si="102"/>
        <v>6930</v>
      </c>
      <c r="AF337" s="2">
        <f t="shared" si="103"/>
        <v>17325</v>
      </c>
      <c r="AG337" s="2">
        <f t="shared" si="104"/>
        <v>34650</v>
      </c>
      <c r="AH337" s="2">
        <f t="shared" si="105"/>
        <v>69300</v>
      </c>
      <c r="AZ337" s="10">
        <v>327</v>
      </c>
      <c r="BA337" s="10">
        <f t="shared" si="112"/>
        <v>3880800</v>
      </c>
      <c r="BB337" s="10">
        <f t="shared" si="113"/>
        <v>5821200</v>
      </c>
      <c r="BC337" s="10">
        <f t="shared" si="114"/>
        <v>7761600</v>
      </c>
      <c r="BD337" s="10">
        <f t="shared" si="115"/>
        <v>9702000</v>
      </c>
      <c r="BE337" s="10">
        <f t="shared" si="116"/>
        <v>11642400</v>
      </c>
      <c r="BX337" s="10">
        <v>327</v>
      </c>
      <c r="BY337" s="10">
        <f t="shared" si="111"/>
        <v>198000</v>
      </c>
      <c r="BZ337" s="10">
        <f t="shared" si="111"/>
        <v>297000</v>
      </c>
      <c r="CA337" s="10">
        <f t="shared" si="111"/>
        <v>396000</v>
      </c>
      <c r="CB337" s="10">
        <f t="shared" si="111"/>
        <v>742500</v>
      </c>
      <c r="CC337" s="10">
        <f t="shared" si="111"/>
        <v>2475000</v>
      </c>
    </row>
    <row r="338" spans="29:81" x14ac:dyDescent="0.15">
      <c r="AC338" s="2">
        <v>328</v>
      </c>
      <c r="AD338" s="2">
        <f t="shared" ref="AD338:AD363" si="117">INDEX($D$30:$D$34,MATCH(C$21,$B$30:$B$34,0))*MAX($AC338-$C$7,0)*$C$8/30</f>
        <v>0</v>
      </c>
      <c r="AE338" s="2">
        <f t="shared" ref="AE338:AE370" si="118">INDEX($D$30:$D$34,MATCH(D$21,$B$30:$B$34,0))*MAX($AC338-$C$7,0)*$C$8/30</f>
        <v>6953.333333333333</v>
      </c>
      <c r="AF338" s="2">
        <f t="shared" ref="AF338:AF370" si="119">INDEX($D$30:$D$34,MATCH(E$21,$B$30:$B$34,0))*MAX($AC338-$C$7,0)*$C$8/30</f>
        <v>17383.333333333332</v>
      </c>
      <c r="AG338" s="2">
        <f t="shared" ref="AG338:AG370" si="120">INDEX($D$30:$D$34,MATCH(F$21,$B$30:$B$34,0))*MAX($AC338-$C$7,0)*$C$8/30</f>
        <v>34766.666666666664</v>
      </c>
      <c r="AH338" s="2">
        <f t="shared" ref="AH338:AH370" si="121">INDEX($D$30:$D$34,MATCH(G$21,$B$30:$B$34,0))*MAX($AC338-$C$7,0)*$C$8/30</f>
        <v>69533.333333333328</v>
      </c>
      <c r="AZ338" s="10">
        <v>328</v>
      </c>
      <c r="BA338" s="10">
        <f t="shared" si="112"/>
        <v>3893866.6666666665</v>
      </c>
      <c r="BB338" s="10">
        <f t="shared" si="113"/>
        <v>5840800</v>
      </c>
      <c r="BC338" s="10">
        <f t="shared" si="114"/>
        <v>7787733.333333333</v>
      </c>
      <c r="BD338" s="10">
        <f t="shared" si="115"/>
        <v>9734666.666666666</v>
      </c>
      <c r="BE338" s="10">
        <f t="shared" si="116"/>
        <v>11681600</v>
      </c>
      <c r="BX338" s="10">
        <v>328</v>
      </c>
      <c r="BY338" s="10">
        <f t="shared" si="111"/>
        <v>198666.66666666666</v>
      </c>
      <c r="BZ338" s="10">
        <f t="shared" si="111"/>
        <v>298000</v>
      </c>
      <c r="CA338" s="10">
        <f t="shared" si="111"/>
        <v>397333.33333333331</v>
      </c>
      <c r="CB338" s="10">
        <f t="shared" si="111"/>
        <v>745000</v>
      </c>
      <c r="CC338" s="10">
        <f t="shared" si="111"/>
        <v>2483333.3333333335</v>
      </c>
    </row>
    <row r="339" spans="29:81" x14ac:dyDescent="0.15">
      <c r="AC339" s="2">
        <v>329</v>
      </c>
      <c r="AD339" s="2">
        <f t="shared" si="117"/>
        <v>0</v>
      </c>
      <c r="AE339" s="2">
        <f t="shared" si="118"/>
        <v>6976.666666666667</v>
      </c>
      <c r="AF339" s="2">
        <f t="shared" si="119"/>
        <v>17441.666666666668</v>
      </c>
      <c r="AG339" s="2">
        <f t="shared" si="120"/>
        <v>34883.333333333336</v>
      </c>
      <c r="AH339" s="2">
        <f t="shared" si="121"/>
        <v>69766.666666666672</v>
      </c>
      <c r="AZ339" s="10">
        <v>329</v>
      </c>
      <c r="BA339" s="10">
        <f t="shared" si="112"/>
        <v>3906933.3333333335</v>
      </c>
      <c r="BB339" s="10">
        <f t="shared" si="113"/>
        <v>5860400</v>
      </c>
      <c r="BC339" s="10">
        <f t="shared" si="114"/>
        <v>7813866.666666667</v>
      </c>
      <c r="BD339" s="10">
        <f t="shared" si="115"/>
        <v>9767333.333333334</v>
      </c>
      <c r="BE339" s="10">
        <f t="shared" si="116"/>
        <v>11720800</v>
      </c>
      <c r="BX339" s="10">
        <v>329</v>
      </c>
      <c r="BY339" s="10">
        <f t="shared" si="111"/>
        <v>199333.33333333334</v>
      </c>
      <c r="BZ339" s="10">
        <f t="shared" si="111"/>
        <v>299000</v>
      </c>
      <c r="CA339" s="10">
        <f t="shared" si="111"/>
        <v>398666.66666666669</v>
      </c>
      <c r="CB339" s="10">
        <f t="shared" si="111"/>
        <v>747500</v>
      </c>
      <c r="CC339" s="10">
        <f t="shared" si="111"/>
        <v>2491666.6666666665</v>
      </c>
    </row>
    <row r="340" spans="29:81" x14ac:dyDescent="0.15">
      <c r="AC340" s="2">
        <v>330</v>
      </c>
      <c r="AD340" s="2">
        <f t="shared" si="117"/>
        <v>0</v>
      </c>
      <c r="AE340" s="2">
        <f t="shared" si="118"/>
        <v>7000</v>
      </c>
      <c r="AF340" s="2">
        <f t="shared" si="119"/>
        <v>17500</v>
      </c>
      <c r="AG340" s="2">
        <f t="shared" si="120"/>
        <v>35000</v>
      </c>
      <c r="AH340" s="2">
        <f t="shared" si="121"/>
        <v>70000</v>
      </c>
      <c r="AZ340" s="10">
        <v>330</v>
      </c>
      <c r="BA340" s="10">
        <f t="shared" si="112"/>
        <v>3920000</v>
      </c>
      <c r="BB340" s="10">
        <f t="shared" si="113"/>
        <v>5880000</v>
      </c>
      <c r="BC340" s="10">
        <f t="shared" si="114"/>
        <v>7840000</v>
      </c>
      <c r="BD340" s="10">
        <f t="shared" si="115"/>
        <v>9800000</v>
      </c>
      <c r="BE340" s="10">
        <f t="shared" si="116"/>
        <v>11760000</v>
      </c>
      <c r="BX340" s="10">
        <v>330</v>
      </c>
      <c r="BY340" s="10">
        <f t="shared" si="111"/>
        <v>200000</v>
      </c>
      <c r="BZ340" s="10">
        <f t="shared" si="111"/>
        <v>300000</v>
      </c>
      <c r="CA340" s="10">
        <f t="shared" si="111"/>
        <v>400000</v>
      </c>
      <c r="CB340" s="10">
        <f t="shared" si="111"/>
        <v>750000</v>
      </c>
      <c r="CC340" s="10">
        <f t="shared" si="111"/>
        <v>2500000</v>
      </c>
    </row>
    <row r="341" spans="29:81" x14ac:dyDescent="0.15">
      <c r="AC341" s="2">
        <v>331</v>
      </c>
      <c r="AD341" s="2">
        <f t="shared" si="117"/>
        <v>0</v>
      </c>
      <c r="AE341" s="2">
        <f t="shared" si="118"/>
        <v>7023.333333333333</v>
      </c>
      <c r="AF341" s="2">
        <f t="shared" si="119"/>
        <v>17558.333333333332</v>
      </c>
      <c r="AG341" s="2">
        <f t="shared" si="120"/>
        <v>35116.666666666664</v>
      </c>
      <c r="AH341" s="2">
        <f t="shared" si="121"/>
        <v>70233.333333333328</v>
      </c>
      <c r="AZ341" s="10">
        <v>331</v>
      </c>
      <c r="BA341" s="10">
        <f t="shared" si="112"/>
        <v>3933066.6666666665</v>
      </c>
      <c r="BB341" s="10">
        <f t="shared" si="113"/>
        <v>5899600</v>
      </c>
      <c r="BC341" s="10">
        <f t="shared" si="114"/>
        <v>7866133.333333333</v>
      </c>
      <c r="BD341" s="10">
        <f t="shared" si="115"/>
        <v>9832666.666666666</v>
      </c>
      <c r="BE341" s="10">
        <f t="shared" si="116"/>
        <v>11799200</v>
      </c>
      <c r="BX341" s="10">
        <v>331</v>
      </c>
      <c r="BY341" s="10">
        <f t="shared" ref="BY341:CC350" si="122">MAX($BX341-$C$7,0)*INDEX($BU$7:$BU$15,MATCH(BY$10,$BT$7:$BT$15,0))/30</f>
        <v>200666.66666666666</v>
      </c>
      <c r="BZ341" s="10">
        <f t="shared" si="122"/>
        <v>301000</v>
      </c>
      <c r="CA341" s="10">
        <f t="shared" si="122"/>
        <v>401333.33333333331</v>
      </c>
      <c r="CB341" s="10">
        <f t="shared" si="122"/>
        <v>752500</v>
      </c>
      <c r="CC341" s="10">
        <f t="shared" si="122"/>
        <v>2508333.3333333335</v>
      </c>
    </row>
    <row r="342" spans="29:81" x14ac:dyDescent="0.15">
      <c r="AC342" s="2">
        <v>332</v>
      </c>
      <c r="AD342" s="2">
        <f t="shared" si="117"/>
        <v>0</v>
      </c>
      <c r="AE342" s="2">
        <f t="shared" si="118"/>
        <v>7046.666666666667</v>
      </c>
      <c r="AF342" s="2">
        <f t="shared" si="119"/>
        <v>17616.666666666668</v>
      </c>
      <c r="AG342" s="2">
        <f t="shared" si="120"/>
        <v>35233.333333333336</v>
      </c>
      <c r="AH342" s="2">
        <f t="shared" si="121"/>
        <v>70466.666666666672</v>
      </c>
      <c r="AZ342" s="10">
        <v>332</v>
      </c>
      <c r="BA342" s="10">
        <f t="shared" si="112"/>
        <v>3946133.3333333335</v>
      </c>
      <c r="BB342" s="10">
        <f t="shared" si="113"/>
        <v>5919200</v>
      </c>
      <c r="BC342" s="10">
        <f t="shared" si="114"/>
        <v>7892266.666666667</v>
      </c>
      <c r="BD342" s="10">
        <f t="shared" si="115"/>
        <v>9865333.333333334</v>
      </c>
      <c r="BE342" s="10">
        <f t="shared" si="116"/>
        <v>11838400</v>
      </c>
      <c r="BX342" s="10">
        <v>332</v>
      </c>
      <c r="BY342" s="10">
        <f t="shared" si="122"/>
        <v>201333.33333333334</v>
      </c>
      <c r="BZ342" s="10">
        <f t="shared" si="122"/>
        <v>302000</v>
      </c>
      <c r="CA342" s="10">
        <f t="shared" si="122"/>
        <v>402666.66666666669</v>
      </c>
      <c r="CB342" s="10">
        <f t="shared" si="122"/>
        <v>755000</v>
      </c>
      <c r="CC342" s="10">
        <f t="shared" si="122"/>
        <v>2516666.6666666665</v>
      </c>
    </row>
    <row r="343" spans="29:81" x14ac:dyDescent="0.15">
      <c r="AC343" s="2">
        <v>333</v>
      </c>
      <c r="AD343" s="2">
        <f t="shared" si="117"/>
        <v>0</v>
      </c>
      <c r="AE343" s="2">
        <f t="shared" si="118"/>
        <v>7070</v>
      </c>
      <c r="AF343" s="2">
        <f t="shared" si="119"/>
        <v>17675</v>
      </c>
      <c r="AG343" s="2">
        <f t="shared" si="120"/>
        <v>35350</v>
      </c>
      <c r="AH343" s="2">
        <f t="shared" si="121"/>
        <v>70700</v>
      </c>
      <c r="AZ343" s="10">
        <v>333</v>
      </c>
      <c r="BA343" s="10">
        <f t="shared" si="112"/>
        <v>3959200</v>
      </c>
      <c r="BB343" s="10">
        <f t="shared" si="113"/>
        <v>5938800</v>
      </c>
      <c r="BC343" s="10">
        <f t="shared" si="114"/>
        <v>7918400</v>
      </c>
      <c r="BD343" s="10">
        <f t="shared" si="115"/>
        <v>9898000</v>
      </c>
      <c r="BE343" s="10">
        <f t="shared" si="116"/>
        <v>11877600</v>
      </c>
      <c r="BX343" s="10">
        <v>333</v>
      </c>
      <c r="BY343" s="10">
        <f t="shared" si="122"/>
        <v>202000</v>
      </c>
      <c r="BZ343" s="10">
        <f t="shared" si="122"/>
        <v>303000</v>
      </c>
      <c r="CA343" s="10">
        <f t="shared" si="122"/>
        <v>404000</v>
      </c>
      <c r="CB343" s="10">
        <f t="shared" si="122"/>
        <v>757500</v>
      </c>
      <c r="CC343" s="10">
        <f t="shared" si="122"/>
        <v>2525000</v>
      </c>
    </row>
    <row r="344" spans="29:81" x14ac:dyDescent="0.15">
      <c r="AC344" s="2">
        <v>334</v>
      </c>
      <c r="AD344" s="2">
        <f t="shared" si="117"/>
        <v>0</v>
      </c>
      <c r="AE344" s="2">
        <f t="shared" si="118"/>
        <v>7093.333333333333</v>
      </c>
      <c r="AF344" s="2">
        <f t="shared" si="119"/>
        <v>17733.333333333332</v>
      </c>
      <c r="AG344" s="2">
        <f t="shared" si="120"/>
        <v>35466.666666666664</v>
      </c>
      <c r="AH344" s="2">
        <f t="shared" si="121"/>
        <v>70933.333333333328</v>
      </c>
      <c r="AZ344" s="10">
        <v>334</v>
      </c>
      <c r="BA344" s="10">
        <f t="shared" si="112"/>
        <v>3972266.6666666665</v>
      </c>
      <c r="BB344" s="10">
        <f t="shared" si="113"/>
        <v>5958400</v>
      </c>
      <c r="BC344" s="10">
        <f t="shared" si="114"/>
        <v>7944533.333333333</v>
      </c>
      <c r="BD344" s="10">
        <f t="shared" si="115"/>
        <v>9930666.666666666</v>
      </c>
      <c r="BE344" s="10">
        <f t="shared" si="116"/>
        <v>11916800</v>
      </c>
      <c r="BX344" s="10">
        <v>334</v>
      </c>
      <c r="BY344" s="10">
        <f t="shared" si="122"/>
        <v>202666.66666666666</v>
      </c>
      <c r="BZ344" s="10">
        <f t="shared" si="122"/>
        <v>304000</v>
      </c>
      <c r="CA344" s="10">
        <f t="shared" si="122"/>
        <v>405333.33333333331</v>
      </c>
      <c r="CB344" s="10">
        <f t="shared" si="122"/>
        <v>760000</v>
      </c>
      <c r="CC344" s="10">
        <f t="shared" si="122"/>
        <v>2533333.3333333335</v>
      </c>
    </row>
    <row r="345" spans="29:81" x14ac:dyDescent="0.15">
      <c r="AC345" s="2">
        <v>335</v>
      </c>
      <c r="AD345" s="2">
        <f t="shared" si="117"/>
        <v>0</v>
      </c>
      <c r="AE345" s="2">
        <f t="shared" si="118"/>
        <v>7116.666666666667</v>
      </c>
      <c r="AF345" s="2">
        <f t="shared" si="119"/>
        <v>17791.666666666668</v>
      </c>
      <c r="AG345" s="2">
        <f t="shared" si="120"/>
        <v>35583.333333333336</v>
      </c>
      <c r="AH345" s="2">
        <f t="shared" si="121"/>
        <v>71166.666666666672</v>
      </c>
      <c r="AZ345" s="10">
        <v>335</v>
      </c>
      <c r="BA345" s="10">
        <f t="shared" si="112"/>
        <v>3985333.3333333335</v>
      </c>
      <c r="BB345" s="10">
        <f t="shared" si="113"/>
        <v>5978000</v>
      </c>
      <c r="BC345" s="10">
        <f t="shared" si="114"/>
        <v>7970666.666666667</v>
      </c>
      <c r="BD345" s="10">
        <f t="shared" si="115"/>
        <v>9963333.333333334</v>
      </c>
      <c r="BE345" s="10">
        <f t="shared" si="116"/>
        <v>11956000</v>
      </c>
      <c r="BX345" s="10">
        <v>335</v>
      </c>
      <c r="BY345" s="10">
        <f t="shared" si="122"/>
        <v>203333.33333333334</v>
      </c>
      <c r="BZ345" s="10">
        <f t="shared" si="122"/>
        <v>305000</v>
      </c>
      <c r="CA345" s="10">
        <f t="shared" si="122"/>
        <v>406666.66666666669</v>
      </c>
      <c r="CB345" s="10">
        <f t="shared" si="122"/>
        <v>762500</v>
      </c>
      <c r="CC345" s="10">
        <f t="shared" si="122"/>
        <v>2541666.6666666665</v>
      </c>
    </row>
    <row r="346" spans="29:81" x14ac:dyDescent="0.15">
      <c r="AC346" s="2">
        <v>336</v>
      </c>
      <c r="AD346" s="2">
        <f t="shared" si="117"/>
        <v>0</v>
      </c>
      <c r="AE346" s="2">
        <f t="shared" si="118"/>
        <v>7140</v>
      </c>
      <c r="AF346" s="2">
        <f t="shared" si="119"/>
        <v>17850</v>
      </c>
      <c r="AG346" s="2">
        <f t="shared" si="120"/>
        <v>35700</v>
      </c>
      <c r="AH346" s="2">
        <f t="shared" si="121"/>
        <v>71400</v>
      </c>
      <c r="AZ346" s="10">
        <v>336</v>
      </c>
      <c r="BA346" s="10">
        <f t="shared" si="112"/>
        <v>3998400</v>
      </c>
      <c r="BB346" s="10">
        <f t="shared" si="113"/>
        <v>5997600</v>
      </c>
      <c r="BC346" s="10">
        <f t="shared" si="114"/>
        <v>7996800</v>
      </c>
      <c r="BD346" s="10">
        <f t="shared" si="115"/>
        <v>9996000</v>
      </c>
      <c r="BE346" s="10">
        <f t="shared" si="116"/>
        <v>11995200</v>
      </c>
      <c r="BX346" s="10">
        <v>336</v>
      </c>
      <c r="BY346" s="10">
        <f t="shared" si="122"/>
        <v>204000</v>
      </c>
      <c r="BZ346" s="10">
        <f t="shared" si="122"/>
        <v>306000</v>
      </c>
      <c r="CA346" s="10">
        <f t="shared" si="122"/>
        <v>408000</v>
      </c>
      <c r="CB346" s="10">
        <f t="shared" si="122"/>
        <v>765000</v>
      </c>
      <c r="CC346" s="10">
        <f t="shared" si="122"/>
        <v>2550000</v>
      </c>
    </row>
    <row r="347" spans="29:81" x14ac:dyDescent="0.15">
      <c r="AC347" s="2">
        <v>337</v>
      </c>
      <c r="AD347" s="2">
        <f t="shared" si="117"/>
        <v>0</v>
      </c>
      <c r="AE347" s="2">
        <f t="shared" si="118"/>
        <v>7163.333333333333</v>
      </c>
      <c r="AF347" s="2">
        <f t="shared" si="119"/>
        <v>17908.333333333332</v>
      </c>
      <c r="AG347" s="2">
        <f t="shared" si="120"/>
        <v>35816.666666666664</v>
      </c>
      <c r="AH347" s="2">
        <f t="shared" si="121"/>
        <v>71633.333333333328</v>
      </c>
      <c r="AZ347" s="10">
        <v>337</v>
      </c>
      <c r="BA347" s="10">
        <f t="shared" si="112"/>
        <v>4011466.6666666665</v>
      </c>
      <c r="BB347" s="10">
        <f t="shared" si="113"/>
        <v>6017200</v>
      </c>
      <c r="BC347" s="10">
        <f t="shared" si="114"/>
        <v>8022933.333333333</v>
      </c>
      <c r="BD347" s="10">
        <f t="shared" si="115"/>
        <v>10028666.666666666</v>
      </c>
      <c r="BE347" s="10">
        <f t="shared" si="116"/>
        <v>12034400</v>
      </c>
      <c r="BX347" s="10">
        <v>337</v>
      </c>
      <c r="BY347" s="10">
        <f t="shared" si="122"/>
        <v>204666.66666666666</v>
      </c>
      <c r="BZ347" s="10">
        <f t="shared" si="122"/>
        <v>307000</v>
      </c>
      <c r="CA347" s="10">
        <f t="shared" si="122"/>
        <v>409333.33333333331</v>
      </c>
      <c r="CB347" s="10">
        <f t="shared" si="122"/>
        <v>767500</v>
      </c>
      <c r="CC347" s="10">
        <f t="shared" si="122"/>
        <v>2558333.3333333335</v>
      </c>
    </row>
    <row r="348" spans="29:81" x14ac:dyDescent="0.15">
      <c r="AC348" s="2">
        <v>338</v>
      </c>
      <c r="AD348" s="2">
        <f t="shared" si="117"/>
        <v>0</v>
      </c>
      <c r="AE348" s="2">
        <f t="shared" si="118"/>
        <v>7186.666666666667</v>
      </c>
      <c r="AF348" s="2">
        <f t="shared" si="119"/>
        <v>17966.666666666668</v>
      </c>
      <c r="AG348" s="2">
        <f t="shared" si="120"/>
        <v>35933.333333333336</v>
      </c>
      <c r="AH348" s="2">
        <f t="shared" si="121"/>
        <v>71866.666666666672</v>
      </c>
      <c r="AZ348" s="10">
        <v>338</v>
      </c>
      <c r="BA348" s="10">
        <f t="shared" si="112"/>
        <v>4024533.3333333335</v>
      </c>
      <c r="BB348" s="10">
        <f t="shared" si="113"/>
        <v>6036800</v>
      </c>
      <c r="BC348" s="10">
        <f t="shared" si="114"/>
        <v>8049066.666666667</v>
      </c>
      <c r="BD348" s="10">
        <f t="shared" si="115"/>
        <v>10061333.333333334</v>
      </c>
      <c r="BE348" s="10">
        <f t="shared" si="116"/>
        <v>12073600</v>
      </c>
      <c r="BX348" s="10">
        <v>338</v>
      </c>
      <c r="BY348" s="10">
        <f t="shared" si="122"/>
        <v>205333.33333333334</v>
      </c>
      <c r="BZ348" s="10">
        <f t="shared" si="122"/>
        <v>308000</v>
      </c>
      <c r="CA348" s="10">
        <f t="shared" si="122"/>
        <v>410666.66666666669</v>
      </c>
      <c r="CB348" s="10">
        <f t="shared" si="122"/>
        <v>770000</v>
      </c>
      <c r="CC348" s="10">
        <f t="shared" si="122"/>
        <v>2566666.6666666665</v>
      </c>
    </row>
    <row r="349" spans="29:81" x14ac:dyDescent="0.15">
      <c r="AC349" s="2">
        <v>339</v>
      </c>
      <c r="AD349" s="2">
        <f t="shared" si="117"/>
        <v>0</v>
      </c>
      <c r="AE349" s="2">
        <f t="shared" si="118"/>
        <v>7210</v>
      </c>
      <c r="AF349" s="2">
        <f t="shared" si="119"/>
        <v>18025</v>
      </c>
      <c r="AG349" s="2">
        <f t="shared" si="120"/>
        <v>36050</v>
      </c>
      <c r="AH349" s="2">
        <f t="shared" si="121"/>
        <v>72100</v>
      </c>
      <c r="AZ349" s="10">
        <v>339</v>
      </c>
      <c r="BA349" s="10">
        <f t="shared" si="112"/>
        <v>4037600</v>
      </c>
      <c r="BB349" s="10">
        <f t="shared" si="113"/>
        <v>6056400</v>
      </c>
      <c r="BC349" s="10">
        <f t="shared" si="114"/>
        <v>8075200</v>
      </c>
      <c r="BD349" s="10">
        <f t="shared" si="115"/>
        <v>10094000</v>
      </c>
      <c r="BE349" s="10">
        <f t="shared" si="116"/>
        <v>12112800</v>
      </c>
      <c r="BX349" s="10">
        <v>339</v>
      </c>
      <c r="BY349" s="10">
        <f t="shared" si="122"/>
        <v>206000</v>
      </c>
      <c r="BZ349" s="10">
        <f t="shared" si="122"/>
        <v>309000</v>
      </c>
      <c r="CA349" s="10">
        <f t="shared" si="122"/>
        <v>412000</v>
      </c>
      <c r="CB349" s="10">
        <f t="shared" si="122"/>
        <v>772500</v>
      </c>
      <c r="CC349" s="10">
        <f t="shared" si="122"/>
        <v>2575000</v>
      </c>
    </row>
    <row r="350" spans="29:81" x14ac:dyDescent="0.15">
      <c r="AC350" s="2">
        <v>340</v>
      </c>
      <c r="AD350" s="2">
        <f t="shared" si="117"/>
        <v>0</v>
      </c>
      <c r="AE350" s="2">
        <f t="shared" si="118"/>
        <v>7233.333333333333</v>
      </c>
      <c r="AF350" s="2">
        <f t="shared" si="119"/>
        <v>18083.333333333332</v>
      </c>
      <c r="AG350" s="2">
        <f t="shared" si="120"/>
        <v>36166.666666666664</v>
      </c>
      <c r="AH350" s="2">
        <f t="shared" si="121"/>
        <v>72333.333333333328</v>
      </c>
      <c r="AZ350" s="10">
        <v>340</v>
      </c>
      <c r="BA350" s="10">
        <f t="shared" si="112"/>
        <v>4050666.6666666665</v>
      </c>
      <c r="BB350" s="10">
        <f t="shared" si="113"/>
        <v>6076000</v>
      </c>
      <c r="BC350" s="10">
        <f t="shared" si="114"/>
        <v>8101333.333333333</v>
      </c>
      <c r="BD350" s="10">
        <f t="shared" si="115"/>
        <v>10126666.666666666</v>
      </c>
      <c r="BE350" s="10">
        <f t="shared" si="116"/>
        <v>12152000</v>
      </c>
      <c r="BX350" s="10">
        <v>340</v>
      </c>
      <c r="BY350" s="10">
        <f t="shared" si="122"/>
        <v>206666.66666666666</v>
      </c>
      <c r="BZ350" s="10">
        <f t="shared" si="122"/>
        <v>310000</v>
      </c>
      <c r="CA350" s="10">
        <f t="shared" si="122"/>
        <v>413333.33333333331</v>
      </c>
      <c r="CB350" s="10">
        <f t="shared" si="122"/>
        <v>775000</v>
      </c>
      <c r="CC350" s="10">
        <f t="shared" si="122"/>
        <v>2583333.3333333335</v>
      </c>
    </row>
    <row r="351" spans="29:81" x14ac:dyDescent="0.15">
      <c r="AC351" s="2">
        <v>341</v>
      </c>
      <c r="AD351" s="2">
        <f t="shared" si="117"/>
        <v>0</v>
      </c>
      <c r="AE351" s="2">
        <f t="shared" si="118"/>
        <v>7256.666666666667</v>
      </c>
      <c r="AF351" s="2">
        <f t="shared" si="119"/>
        <v>18141.666666666668</v>
      </c>
      <c r="AG351" s="2">
        <f t="shared" si="120"/>
        <v>36283.333333333336</v>
      </c>
      <c r="AH351" s="2">
        <f t="shared" si="121"/>
        <v>72566.666666666672</v>
      </c>
      <c r="AZ351" s="10">
        <v>341</v>
      </c>
      <c r="BA351" s="10">
        <f t="shared" si="112"/>
        <v>4063733.3333333335</v>
      </c>
      <c r="BB351" s="10">
        <f t="shared" si="113"/>
        <v>6095600</v>
      </c>
      <c r="BC351" s="10">
        <f t="shared" si="114"/>
        <v>8127466.666666667</v>
      </c>
      <c r="BD351" s="10">
        <f t="shared" si="115"/>
        <v>10159333.333333334</v>
      </c>
      <c r="BE351" s="10">
        <f t="shared" si="116"/>
        <v>12191200</v>
      </c>
      <c r="BX351" s="10">
        <v>341</v>
      </c>
      <c r="BY351" s="10">
        <f t="shared" ref="BY351:CC360" si="123">MAX($BX351-$C$7,0)*INDEX($BU$7:$BU$15,MATCH(BY$10,$BT$7:$BT$15,0))/30</f>
        <v>207333.33333333334</v>
      </c>
      <c r="BZ351" s="10">
        <f t="shared" si="123"/>
        <v>311000</v>
      </c>
      <c r="CA351" s="10">
        <f t="shared" si="123"/>
        <v>414666.66666666669</v>
      </c>
      <c r="CB351" s="10">
        <f t="shared" si="123"/>
        <v>777500</v>
      </c>
      <c r="CC351" s="10">
        <f t="shared" si="123"/>
        <v>2591666.6666666665</v>
      </c>
    </row>
    <row r="352" spans="29:81" x14ac:dyDescent="0.15">
      <c r="AC352" s="2">
        <v>342</v>
      </c>
      <c r="AD352" s="2">
        <f t="shared" si="117"/>
        <v>0</v>
      </c>
      <c r="AE352" s="2">
        <f t="shared" si="118"/>
        <v>7280</v>
      </c>
      <c r="AF352" s="2">
        <f t="shared" si="119"/>
        <v>18200</v>
      </c>
      <c r="AG352" s="2">
        <f t="shared" si="120"/>
        <v>36400</v>
      </c>
      <c r="AH352" s="2">
        <f t="shared" si="121"/>
        <v>72800</v>
      </c>
      <c r="AZ352" s="10">
        <v>342</v>
      </c>
      <c r="BA352" s="10">
        <f t="shared" si="112"/>
        <v>4076800</v>
      </c>
      <c r="BB352" s="10">
        <f t="shared" si="113"/>
        <v>6115200</v>
      </c>
      <c r="BC352" s="10">
        <f t="shared" si="114"/>
        <v>8153600</v>
      </c>
      <c r="BD352" s="10">
        <f t="shared" si="115"/>
        <v>10192000</v>
      </c>
      <c r="BE352" s="10">
        <f t="shared" si="116"/>
        <v>12230400</v>
      </c>
      <c r="BX352" s="10">
        <v>342</v>
      </c>
      <c r="BY352" s="10">
        <f t="shared" si="123"/>
        <v>208000</v>
      </c>
      <c r="BZ352" s="10">
        <f t="shared" si="123"/>
        <v>312000</v>
      </c>
      <c r="CA352" s="10">
        <f t="shared" si="123"/>
        <v>416000</v>
      </c>
      <c r="CB352" s="10">
        <f t="shared" si="123"/>
        <v>780000</v>
      </c>
      <c r="CC352" s="10">
        <f t="shared" si="123"/>
        <v>2600000</v>
      </c>
    </row>
    <row r="353" spans="29:81" x14ac:dyDescent="0.15">
      <c r="AC353" s="2">
        <v>343</v>
      </c>
      <c r="AD353" s="2">
        <f t="shared" si="117"/>
        <v>0</v>
      </c>
      <c r="AE353" s="2">
        <f t="shared" si="118"/>
        <v>7303.333333333333</v>
      </c>
      <c r="AF353" s="2">
        <f t="shared" si="119"/>
        <v>18258.333333333332</v>
      </c>
      <c r="AG353" s="2">
        <f t="shared" si="120"/>
        <v>36516.666666666664</v>
      </c>
      <c r="AH353" s="2">
        <f t="shared" si="121"/>
        <v>73033.333333333328</v>
      </c>
      <c r="AZ353" s="10">
        <v>343</v>
      </c>
      <c r="BA353" s="10">
        <f t="shared" si="112"/>
        <v>4089866.6666666665</v>
      </c>
      <c r="BB353" s="10">
        <f t="shared" si="113"/>
        <v>6134800</v>
      </c>
      <c r="BC353" s="10">
        <f t="shared" si="114"/>
        <v>8179733.333333333</v>
      </c>
      <c r="BD353" s="10">
        <f t="shared" si="115"/>
        <v>10224666.666666666</v>
      </c>
      <c r="BE353" s="10">
        <f t="shared" si="116"/>
        <v>12269600</v>
      </c>
      <c r="BX353" s="10">
        <v>343</v>
      </c>
      <c r="BY353" s="10">
        <f t="shared" si="123"/>
        <v>208666.66666666666</v>
      </c>
      <c r="BZ353" s="10">
        <f t="shared" si="123"/>
        <v>313000</v>
      </c>
      <c r="CA353" s="10">
        <f t="shared" si="123"/>
        <v>417333.33333333331</v>
      </c>
      <c r="CB353" s="10">
        <f t="shared" si="123"/>
        <v>782500</v>
      </c>
      <c r="CC353" s="10">
        <f t="shared" si="123"/>
        <v>2608333.3333333335</v>
      </c>
    </row>
    <row r="354" spans="29:81" x14ac:dyDescent="0.15">
      <c r="AC354" s="2">
        <v>344</v>
      </c>
      <c r="AD354" s="2">
        <f t="shared" si="117"/>
        <v>0</v>
      </c>
      <c r="AE354" s="2">
        <f t="shared" si="118"/>
        <v>7326.666666666667</v>
      </c>
      <c r="AF354" s="2">
        <f t="shared" si="119"/>
        <v>18316.666666666668</v>
      </c>
      <c r="AG354" s="2">
        <f t="shared" si="120"/>
        <v>36633.333333333336</v>
      </c>
      <c r="AH354" s="2">
        <f t="shared" si="121"/>
        <v>73266.666666666672</v>
      </c>
      <c r="AZ354" s="10">
        <v>344</v>
      </c>
      <c r="BA354" s="10">
        <f t="shared" si="112"/>
        <v>4102933.3333333335</v>
      </c>
      <c r="BB354" s="10">
        <f t="shared" si="113"/>
        <v>6154400</v>
      </c>
      <c r="BC354" s="10">
        <f t="shared" si="114"/>
        <v>8205866.666666667</v>
      </c>
      <c r="BD354" s="10">
        <f t="shared" si="115"/>
        <v>10257333.333333334</v>
      </c>
      <c r="BE354" s="10">
        <f t="shared" si="116"/>
        <v>12308800</v>
      </c>
      <c r="BX354" s="10">
        <v>344</v>
      </c>
      <c r="BY354" s="10">
        <f t="shared" si="123"/>
        <v>209333.33333333334</v>
      </c>
      <c r="BZ354" s="10">
        <f t="shared" si="123"/>
        <v>314000</v>
      </c>
      <c r="CA354" s="10">
        <f t="shared" si="123"/>
        <v>418666.66666666669</v>
      </c>
      <c r="CB354" s="10">
        <f t="shared" si="123"/>
        <v>785000</v>
      </c>
      <c r="CC354" s="10">
        <f t="shared" si="123"/>
        <v>2616666.6666666665</v>
      </c>
    </row>
    <row r="355" spans="29:81" x14ac:dyDescent="0.15">
      <c r="AC355" s="2">
        <v>345</v>
      </c>
      <c r="AD355" s="2">
        <f t="shared" si="117"/>
        <v>0</v>
      </c>
      <c r="AE355" s="2">
        <f t="shared" si="118"/>
        <v>7350</v>
      </c>
      <c r="AF355" s="2">
        <f t="shared" si="119"/>
        <v>18375</v>
      </c>
      <c r="AG355" s="2">
        <f t="shared" si="120"/>
        <v>36750</v>
      </c>
      <c r="AH355" s="2">
        <f t="shared" si="121"/>
        <v>73500</v>
      </c>
      <c r="AZ355" s="10">
        <v>345</v>
      </c>
      <c r="BA355" s="10">
        <f t="shared" si="112"/>
        <v>4116000</v>
      </c>
      <c r="BB355" s="10">
        <f t="shared" si="113"/>
        <v>6174000</v>
      </c>
      <c r="BC355" s="10">
        <f t="shared" si="114"/>
        <v>8232000</v>
      </c>
      <c r="BD355" s="10">
        <f t="shared" si="115"/>
        <v>10290000</v>
      </c>
      <c r="BE355" s="10">
        <f t="shared" si="116"/>
        <v>12348000</v>
      </c>
      <c r="BX355" s="10">
        <v>345</v>
      </c>
      <c r="BY355" s="10">
        <f t="shared" si="123"/>
        <v>210000</v>
      </c>
      <c r="BZ355" s="10">
        <f t="shared" si="123"/>
        <v>315000</v>
      </c>
      <c r="CA355" s="10">
        <f t="shared" si="123"/>
        <v>420000</v>
      </c>
      <c r="CB355" s="10">
        <f t="shared" si="123"/>
        <v>787500</v>
      </c>
      <c r="CC355" s="10">
        <f t="shared" si="123"/>
        <v>2625000</v>
      </c>
    </row>
    <row r="356" spans="29:81" x14ac:dyDescent="0.15">
      <c r="AC356" s="2">
        <v>346</v>
      </c>
      <c r="AD356" s="2">
        <f t="shared" si="117"/>
        <v>0</v>
      </c>
      <c r="AE356" s="2">
        <f t="shared" si="118"/>
        <v>7373.333333333333</v>
      </c>
      <c r="AF356" s="2">
        <f t="shared" si="119"/>
        <v>18433.333333333332</v>
      </c>
      <c r="AG356" s="2">
        <f t="shared" si="120"/>
        <v>36866.666666666664</v>
      </c>
      <c r="AH356" s="2">
        <f t="shared" si="121"/>
        <v>73733.333333333328</v>
      </c>
      <c r="AZ356" s="10">
        <v>346</v>
      </c>
      <c r="BA356" s="10">
        <f t="shared" si="112"/>
        <v>4129066.6666666665</v>
      </c>
      <c r="BB356" s="10">
        <f t="shared" si="113"/>
        <v>6193600</v>
      </c>
      <c r="BC356" s="10">
        <f t="shared" si="114"/>
        <v>8258133.333333333</v>
      </c>
      <c r="BD356" s="10">
        <f t="shared" si="115"/>
        <v>10322666.666666666</v>
      </c>
      <c r="BE356" s="10">
        <f t="shared" si="116"/>
        <v>12387200</v>
      </c>
      <c r="BX356" s="10">
        <v>346</v>
      </c>
      <c r="BY356" s="10">
        <f t="shared" si="123"/>
        <v>210666.66666666666</v>
      </c>
      <c r="BZ356" s="10">
        <f t="shared" si="123"/>
        <v>316000</v>
      </c>
      <c r="CA356" s="10">
        <f t="shared" si="123"/>
        <v>421333.33333333331</v>
      </c>
      <c r="CB356" s="10">
        <f t="shared" si="123"/>
        <v>790000</v>
      </c>
      <c r="CC356" s="10">
        <f t="shared" si="123"/>
        <v>2633333.3333333335</v>
      </c>
    </row>
    <row r="357" spans="29:81" x14ac:dyDescent="0.15">
      <c r="AC357" s="2">
        <v>347</v>
      </c>
      <c r="AD357" s="2">
        <f t="shared" si="117"/>
        <v>0</v>
      </c>
      <c r="AE357" s="2">
        <f t="shared" si="118"/>
        <v>7396.666666666667</v>
      </c>
      <c r="AF357" s="2">
        <f t="shared" si="119"/>
        <v>18491.666666666668</v>
      </c>
      <c r="AG357" s="2">
        <f t="shared" si="120"/>
        <v>36983.333333333336</v>
      </c>
      <c r="AH357" s="2">
        <f t="shared" si="121"/>
        <v>73966.666666666672</v>
      </c>
      <c r="AZ357" s="10">
        <v>347</v>
      </c>
      <c r="BA357" s="10">
        <f t="shared" si="112"/>
        <v>4142133.3333333335</v>
      </c>
      <c r="BB357" s="10">
        <f t="shared" si="113"/>
        <v>6213200</v>
      </c>
      <c r="BC357" s="10">
        <f t="shared" si="114"/>
        <v>8284266.666666667</v>
      </c>
      <c r="BD357" s="10">
        <f t="shared" si="115"/>
        <v>10355333.333333334</v>
      </c>
      <c r="BE357" s="10">
        <f t="shared" si="116"/>
        <v>12426400</v>
      </c>
      <c r="BX357" s="10">
        <v>347</v>
      </c>
      <c r="BY357" s="10">
        <f t="shared" si="123"/>
        <v>211333.33333333334</v>
      </c>
      <c r="BZ357" s="10">
        <f t="shared" si="123"/>
        <v>317000</v>
      </c>
      <c r="CA357" s="10">
        <f t="shared" si="123"/>
        <v>422666.66666666669</v>
      </c>
      <c r="CB357" s="10">
        <f t="shared" si="123"/>
        <v>792500</v>
      </c>
      <c r="CC357" s="10">
        <f t="shared" si="123"/>
        <v>2641666.6666666665</v>
      </c>
    </row>
    <row r="358" spans="29:81" x14ac:dyDescent="0.15">
      <c r="AC358" s="2">
        <v>348</v>
      </c>
      <c r="AD358" s="2">
        <f t="shared" si="117"/>
        <v>0</v>
      </c>
      <c r="AE358" s="2">
        <f t="shared" si="118"/>
        <v>7420</v>
      </c>
      <c r="AF358" s="2">
        <f t="shared" si="119"/>
        <v>18550</v>
      </c>
      <c r="AG358" s="2">
        <f t="shared" si="120"/>
        <v>37100</v>
      </c>
      <c r="AH358" s="2">
        <f t="shared" si="121"/>
        <v>74200</v>
      </c>
      <c r="AZ358" s="10">
        <v>348</v>
      </c>
      <c r="BA358" s="10">
        <f t="shared" si="112"/>
        <v>4155200</v>
      </c>
      <c r="BB358" s="10">
        <f t="shared" si="113"/>
        <v>6232800</v>
      </c>
      <c r="BC358" s="10">
        <f t="shared" si="114"/>
        <v>8310400</v>
      </c>
      <c r="BD358" s="10">
        <f t="shared" si="115"/>
        <v>10388000</v>
      </c>
      <c r="BE358" s="10">
        <f t="shared" si="116"/>
        <v>12465600</v>
      </c>
      <c r="BX358" s="10">
        <v>348</v>
      </c>
      <c r="BY358" s="10">
        <f t="shared" si="123"/>
        <v>212000</v>
      </c>
      <c r="BZ358" s="10">
        <f t="shared" si="123"/>
        <v>318000</v>
      </c>
      <c r="CA358" s="10">
        <f t="shared" si="123"/>
        <v>424000</v>
      </c>
      <c r="CB358" s="10">
        <f t="shared" si="123"/>
        <v>795000</v>
      </c>
      <c r="CC358" s="10">
        <f t="shared" si="123"/>
        <v>2650000</v>
      </c>
    </row>
    <row r="359" spans="29:81" x14ac:dyDescent="0.15">
      <c r="AC359" s="2">
        <v>349</v>
      </c>
      <c r="AD359" s="2">
        <f t="shared" si="117"/>
        <v>0</v>
      </c>
      <c r="AE359" s="2">
        <f t="shared" si="118"/>
        <v>7443.333333333333</v>
      </c>
      <c r="AF359" s="2">
        <f t="shared" si="119"/>
        <v>18608.333333333332</v>
      </c>
      <c r="AG359" s="2">
        <f t="shared" si="120"/>
        <v>37216.666666666664</v>
      </c>
      <c r="AH359" s="2">
        <f t="shared" si="121"/>
        <v>74433.333333333328</v>
      </c>
      <c r="AZ359" s="10">
        <v>349</v>
      </c>
      <c r="BA359" s="10">
        <f t="shared" si="112"/>
        <v>4168266.6666666665</v>
      </c>
      <c r="BB359" s="10">
        <f t="shared" si="113"/>
        <v>6252400</v>
      </c>
      <c r="BC359" s="10">
        <f t="shared" si="114"/>
        <v>8336533.333333333</v>
      </c>
      <c r="BD359" s="10">
        <f t="shared" si="115"/>
        <v>10420666.666666666</v>
      </c>
      <c r="BE359" s="10">
        <f t="shared" si="116"/>
        <v>12504800</v>
      </c>
      <c r="BX359" s="10">
        <v>349</v>
      </c>
      <c r="BY359" s="10">
        <f t="shared" si="123"/>
        <v>212666.66666666666</v>
      </c>
      <c r="BZ359" s="10">
        <f t="shared" si="123"/>
        <v>319000</v>
      </c>
      <c r="CA359" s="10">
        <f t="shared" si="123"/>
        <v>425333.33333333331</v>
      </c>
      <c r="CB359" s="10">
        <f t="shared" si="123"/>
        <v>797500</v>
      </c>
      <c r="CC359" s="10">
        <f t="shared" si="123"/>
        <v>2658333.3333333335</v>
      </c>
    </row>
    <row r="360" spans="29:81" x14ac:dyDescent="0.15">
      <c r="AC360" s="2">
        <v>350</v>
      </c>
      <c r="AD360" s="2">
        <f t="shared" si="117"/>
        <v>0</v>
      </c>
      <c r="AE360" s="2">
        <f t="shared" si="118"/>
        <v>7466.666666666667</v>
      </c>
      <c r="AF360" s="2">
        <f t="shared" si="119"/>
        <v>18666.666666666668</v>
      </c>
      <c r="AG360" s="2">
        <f t="shared" si="120"/>
        <v>37333.333333333336</v>
      </c>
      <c r="AH360" s="2">
        <f t="shared" si="121"/>
        <v>74666.666666666672</v>
      </c>
      <c r="AZ360" s="10">
        <v>350</v>
      </c>
      <c r="BA360" s="10">
        <f t="shared" si="112"/>
        <v>4181333.3333333335</v>
      </c>
      <c r="BB360" s="10">
        <f t="shared" si="113"/>
        <v>6272000</v>
      </c>
      <c r="BC360" s="10">
        <f t="shared" si="114"/>
        <v>8362666.666666667</v>
      </c>
      <c r="BD360" s="10">
        <f t="shared" si="115"/>
        <v>10453333.333333334</v>
      </c>
      <c r="BE360" s="10">
        <f t="shared" si="116"/>
        <v>12544000</v>
      </c>
      <c r="BX360" s="10">
        <v>350</v>
      </c>
      <c r="BY360" s="10">
        <f t="shared" si="123"/>
        <v>213333.33333333334</v>
      </c>
      <c r="BZ360" s="10">
        <f t="shared" si="123"/>
        <v>320000</v>
      </c>
      <c r="CA360" s="10">
        <f t="shared" si="123"/>
        <v>426666.66666666669</v>
      </c>
      <c r="CB360" s="10">
        <f t="shared" si="123"/>
        <v>800000</v>
      </c>
      <c r="CC360" s="10">
        <f t="shared" si="123"/>
        <v>2666666.6666666665</v>
      </c>
    </row>
    <row r="361" spans="29:81" x14ac:dyDescent="0.15">
      <c r="AC361" s="2">
        <v>351</v>
      </c>
      <c r="AD361" s="2">
        <f t="shared" si="117"/>
        <v>0</v>
      </c>
      <c r="AE361" s="2">
        <f t="shared" si="118"/>
        <v>7490</v>
      </c>
      <c r="AF361" s="2">
        <f t="shared" si="119"/>
        <v>18725</v>
      </c>
      <c r="AG361" s="2">
        <f t="shared" si="120"/>
        <v>37450</v>
      </c>
      <c r="AH361" s="2">
        <f t="shared" si="121"/>
        <v>74900</v>
      </c>
      <c r="AZ361" s="10">
        <v>351</v>
      </c>
      <c r="BA361" s="10">
        <f t="shared" si="112"/>
        <v>4194400</v>
      </c>
      <c r="BB361" s="10">
        <f t="shared" si="113"/>
        <v>6291600</v>
      </c>
      <c r="BC361" s="10">
        <f t="shared" si="114"/>
        <v>8388800</v>
      </c>
      <c r="BD361" s="10">
        <f t="shared" si="115"/>
        <v>10486000</v>
      </c>
      <c r="BE361" s="10">
        <f t="shared" si="116"/>
        <v>12583200</v>
      </c>
      <c r="BX361" s="10">
        <v>351</v>
      </c>
      <c r="BY361" s="10">
        <f t="shared" ref="BY361:CC370" si="124">MAX($BX361-$C$7,0)*INDEX($BU$7:$BU$15,MATCH(BY$10,$BT$7:$BT$15,0))/30</f>
        <v>214000</v>
      </c>
      <c r="BZ361" s="10">
        <f t="shared" si="124"/>
        <v>321000</v>
      </c>
      <c r="CA361" s="10">
        <f t="shared" si="124"/>
        <v>428000</v>
      </c>
      <c r="CB361" s="10">
        <f t="shared" si="124"/>
        <v>802500</v>
      </c>
      <c r="CC361" s="10">
        <f t="shared" si="124"/>
        <v>2675000</v>
      </c>
    </row>
    <row r="362" spans="29:81" x14ac:dyDescent="0.15">
      <c r="AC362" s="2">
        <v>352</v>
      </c>
      <c r="AD362" s="2">
        <f t="shared" si="117"/>
        <v>0</v>
      </c>
      <c r="AE362" s="2">
        <f t="shared" si="118"/>
        <v>7513.333333333333</v>
      </c>
      <c r="AF362" s="2">
        <f t="shared" si="119"/>
        <v>18783.333333333332</v>
      </c>
      <c r="AG362" s="2">
        <f t="shared" si="120"/>
        <v>37566.666666666664</v>
      </c>
      <c r="AH362" s="2">
        <f t="shared" si="121"/>
        <v>75133.333333333328</v>
      </c>
      <c r="AZ362" s="10">
        <v>352</v>
      </c>
      <c r="BA362" s="10">
        <f t="shared" si="112"/>
        <v>4207466.666666667</v>
      </c>
      <c r="BB362" s="10">
        <f t="shared" si="113"/>
        <v>6311200</v>
      </c>
      <c r="BC362" s="10">
        <f t="shared" si="114"/>
        <v>8414933.333333334</v>
      </c>
      <c r="BD362" s="10">
        <f t="shared" si="115"/>
        <v>10518666.666666666</v>
      </c>
      <c r="BE362" s="10">
        <f t="shared" si="116"/>
        <v>12622400</v>
      </c>
      <c r="BX362" s="10">
        <v>352</v>
      </c>
      <c r="BY362" s="10">
        <f t="shared" si="124"/>
        <v>214666.66666666666</v>
      </c>
      <c r="BZ362" s="10">
        <f t="shared" si="124"/>
        <v>322000</v>
      </c>
      <c r="CA362" s="10">
        <f t="shared" si="124"/>
        <v>429333.33333333331</v>
      </c>
      <c r="CB362" s="10">
        <f t="shared" si="124"/>
        <v>805000</v>
      </c>
      <c r="CC362" s="10">
        <f t="shared" si="124"/>
        <v>2683333.3333333335</v>
      </c>
    </row>
    <row r="363" spans="29:81" x14ac:dyDescent="0.15">
      <c r="AC363" s="2">
        <v>353</v>
      </c>
      <c r="AD363" s="2">
        <f t="shared" si="117"/>
        <v>0</v>
      </c>
      <c r="AE363" s="2">
        <f t="shared" si="118"/>
        <v>7536.666666666667</v>
      </c>
      <c r="AF363" s="2">
        <f t="shared" si="119"/>
        <v>18841.666666666668</v>
      </c>
      <c r="AG363" s="2">
        <f t="shared" si="120"/>
        <v>37683.333333333336</v>
      </c>
      <c r="AH363" s="2">
        <f t="shared" si="121"/>
        <v>75366.666666666672</v>
      </c>
      <c r="AZ363" s="10">
        <v>353</v>
      </c>
      <c r="BA363" s="10">
        <f t="shared" si="112"/>
        <v>4220533.333333333</v>
      </c>
      <c r="BB363" s="10">
        <f t="shared" si="113"/>
        <v>6330800</v>
      </c>
      <c r="BC363" s="10">
        <f t="shared" si="114"/>
        <v>8441066.666666666</v>
      </c>
      <c r="BD363" s="10">
        <f t="shared" si="115"/>
        <v>10551333.333333334</v>
      </c>
      <c r="BE363" s="10">
        <f t="shared" si="116"/>
        <v>12661600</v>
      </c>
      <c r="BX363" s="10">
        <v>353</v>
      </c>
      <c r="BY363" s="10">
        <f t="shared" si="124"/>
        <v>215333.33333333334</v>
      </c>
      <c r="BZ363" s="10">
        <f t="shared" si="124"/>
        <v>323000</v>
      </c>
      <c r="CA363" s="10">
        <f t="shared" si="124"/>
        <v>430666.66666666669</v>
      </c>
      <c r="CB363" s="10">
        <f t="shared" si="124"/>
        <v>807500</v>
      </c>
      <c r="CC363" s="10">
        <f t="shared" si="124"/>
        <v>2691666.6666666665</v>
      </c>
    </row>
    <row r="364" spans="29:81" x14ac:dyDescent="0.15">
      <c r="AC364" s="2">
        <v>354</v>
      </c>
      <c r="AD364" s="2">
        <f>INDEX($D$30:$D$34,MATCH(C$21,$B$30:$B$34,0))*MAX($AC364-$C$7,0)*$C$8/30</f>
        <v>0</v>
      </c>
      <c r="AE364" s="2">
        <f t="shared" si="118"/>
        <v>7560</v>
      </c>
      <c r="AF364" s="2">
        <f t="shared" si="119"/>
        <v>18900</v>
      </c>
      <c r="AG364" s="2">
        <f t="shared" si="120"/>
        <v>37800</v>
      </c>
      <c r="AH364" s="2">
        <f t="shared" si="121"/>
        <v>75600</v>
      </c>
      <c r="AZ364" s="10">
        <v>354</v>
      </c>
      <c r="BA364" s="10">
        <f t="shared" si="112"/>
        <v>4233600</v>
      </c>
      <c r="BB364" s="10">
        <f t="shared" si="113"/>
        <v>6350400</v>
      </c>
      <c r="BC364" s="10">
        <f t="shared" si="114"/>
        <v>8467200</v>
      </c>
      <c r="BD364" s="10">
        <f t="shared" si="115"/>
        <v>10584000</v>
      </c>
      <c r="BE364" s="10">
        <f t="shared" si="116"/>
        <v>12700800</v>
      </c>
      <c r="BX364" s="10">
        <v>354</v>
      </c>
      <c r="BY364" s="10">
        <f t="shared" si="124"/>
        <v>216000</v>
      </c>
      <c r="BZ364" s="10">
        <f t="shared" si="124"/>
        <v>324000</v>
      </c>
      <c r="CA364" s="10">
        <f t="shared" si="124"/>
        <v>432000</v>
      </c>
      <c r="CB364" s="10">
        <f t="shared" si="124"/>
        <v>810000</v>
      </c>
      <c r="CC364" s="10">
        <f t="shared" si="124"/>
        <v>2700000</v>
      </c>
    </row>
    <row r="365" spans="29:81" x14ac:dyDescent="0.15">
      <c r="AC365" s="2">
        <v>355</v>
      </c>
      <c r="AD365" s="2">
        <f t="shared" ref="AD365:AD369" si="125">INDEX($D$30:$D$34,MATCH(C$21,$B$30:$B$34,0))*MAX($AC365-$C$7,0)*$C$8/30</f>
        <v>0</v>
      </c>
      <c r="AE365" s="2">
        <f t="shared" si="118"/>
        <v>7583.333333333333</v>
      </c>
      <c r="AF365" s="2">
        <f t="shared" si="119"/>
        <v>18958.333333333332</v>
      </c>
      <c r="AG365" s="2">
        <f t="shared" si="120"/>
        <v>37916.666666666664</v>
      </c>
      <c r="AH365" s="2">
        <f t="shared" si="121"/>
        <v>75833.333333333328</v>
      </c>
      <c r="AZ365" s="10">
        <v>355</v>
      </c>
      <c r="BA365" s="10">
        <f t="shared" si="112"/>
        <v>4246666.666666667</v>
      </c>
      <c r="BB365" s="10">
        <f t="shared" si="113"/>
        <v>6370000</v>
      </c>
      <c r="BC365" s="10">
        <f t="shared" si="114"/>
        <v>8493333.333333334</v>
      </c>
      <c r="BD365" s="10">
        <f t="shared" si="115"/>
        <v>10616666.666666666</v>
      </c>
      <c r="BE365" s="10">
        <f t="shared" si="116"/>
        <v>12740000</v>
      </c>
      <c r="BX365" s="10">
        <v>355</v>
      </c>
      <c r="BY365" s="10">
        <f t="shared" si="124"/>
        <v>216666.66666666666</v>
      </c>
      <c r="BZ365" s="10">
        <f t="shared" si="124"/>
        <v>325000</v>
      </c>
      <c r="CA365" s="10">
        <f t="shared" si="124"/>
        <v>433333.33333333331</v>
      </c>
      <c r="CB365" s="10">
        <f t="shared" si="124"/>
        <v>812500</v>
      </c>
      <c r="CC365" s="10">
        <f t="shared" si="124"/>
        <v>2708333.3333333335</v>
      </c>
    </row>
    <row r="366" spans="29:81" x14ac:dyDescent="0.15">
      <c r="AC366" s="2">
        <v>356</v>
      </c>
      <c r="AD366" s="2">
        <f t="shared" si="125"/>
        <v>0</v>
      </c>
      <c r="AE366" s="2">
        <f t="shared" si="118"/>
        <v>7606.666666666667</v>
      </c>
      <c r="AF366" s="2">
        <f t="shared" si="119"/>
        <v>19016.666666666668</v>
      </c>
      <c r="AG366" s="2">
        <f t="shared" si="120"/>
        <v>38033.333333333336</v>
      </c>
      <c r="AH366" s="2">
        <f t="shared" si="121"/>
        <v>76066.666666666672</v>
      </c>
      <c r="AZ366" s="10">
        <v>356</v>
      </c>
      <c r="BA366" s="10">
        <f t="shared" si="112"/>
        <v>4259733.333333333</v>
      </c>
      <c r="BB366" s="10">
        <f t="shared" si="113"/>
        <v>6389600</v>
      </c>
      <c r="BC366" s="10">
        <f t="shared" si="114"/>
        <v>8519466.666666666</v>
      </c>
      <c r="BD366" s="10">
        <f t="shared" si="115"/>
        <v>10649333.333333334</v>
      </c>
      <c r="BE366" s="10">
        <f t="shared" si="116"/>
        <v>12779200</v>
      </c>
      <c r="BX366" s="10">
        <v>356</v>
      </c>
      <c r="BY366" s="10">
        <f t="shared" si="124"/>
        <v>217333.33333333334</v>
      </c>
      <c r="BZ366" s="10">
        <f t="shared" si="124"/>
        <v>326000</v>
      </c>
      <c r="CA366" s="10">
        <f t="shared" si="124"/>
        <v>434666.66666666669</v>
      </c>
      <c r="CB366" s="10">
        <f t="shared" si="124"/>
        <v>815000</v>
      </c>
      <c r="CC366" s="10">
        <f t="shared" si="124"/>
        <v>2716666.6666666665</v>
      </c>
    </row>
    <row r="367" spans="29:81" x14ac:dyDescent="0.15">
      <c r="AC367" s="2">
        <v>357</v>
      </c>
      <c r="AD367" s="2">
        <f t="shared" si="125"/>
        <v>0</v>
      </c>
      <c r="AE367" s="2">
        <f t="shared" si="118"/>
        <v>7630</v>
      </c>
      <c r="AF367" s="2">
        <f t="shared" si="119"/>
        <v>19075</v>
      </c>
      <c r="AG367" s="2">
        <f t="shared" si="120"/>
        <v>38150</v>
      </c>
      <c r="AH367" s="2">
        <f t="shared" si="121"/>
        <v>76300</v>
      </c>
      <c r="AZ367" s="10">
        <v>357</v>
      </c>
      <c r="BA367" s="10">
        <f t="shared" si="112"/>
        <v>4272800</v>
      </c>
      <c r="BB367" s="10">
        <f t="shared" si="113"/>
        <v>6409200</v>
      </c>
      <c r="BC367" s="10">
        <f t="shared" si="114"/>
        <v>8545600</v>
      </c>
      <c r="BD367" s="10">
        <f t="shared" si="115"/>
        <v>10682000</v>
      </c>
      <c r="BE367" s="10">
        <f t="shared" si="116"/>
        <v>12818400</v>
      </c>
      <c r="BX367" s="10">
        <v>357</v>
      </c>
      <c r="BY367" s="10">
        <f t="shared" si="124"/>
        <v>218000</v>
      </c>
      <c r="BZ367" s="10">
        <f t="shared" si="124"/>
        <v>327000</v>
      </c>
      <c r="CA367" s="10">
        <f t="shared" si="124"/>
        <v>436000</v>
      </c>
      <c r="CB367" s="10">
        <f t="shared" si="124"/>
        <v>817500</v>
      </c>
      <c r="CC367" s="10">
        <f t="shared" si="124"/>
        <v>2725000</v>
      </c>
    </row>
    <row r="368" spans="29:81" x14ac:dyDescent="0.15">
      <c r="AC368" s="2">
        <v>358</v>
      </c>
      <c r="AD368" s="2">
        <f t="shared" si="125"/>
        <v>0</v>
      </c>
      <c r="AE368" s="2">
        <f t="shared" si="118"/>
        <v>7653.333333333333</v>
      </c>
      <c r="AF368" s="2">
        <f t="shared" si="119"/>
        <v>19133.333333333332</v>
      </c>
      <c r="AG368" s="2">
        <f t="shared" si="120"/>
        <v>38266.666666666664</v>
      </c>
      <c r="AH368" s="2">
        <f t="shared" si="121"/>
        <v>76533.333333333328</v>
      </c>
      <c r="AZ368" s="10">
        <v>358</v>
      </c>
      <c r="BA368" s="10">
        <f t="shared" si="112"/>
        <v>4285866.666666667</v>
      </c>
      <c r="BB368" s="10">
        <f t="shared" si="113"/>
        <v>6428800</v>
      </c>
      <c r="BC368" s="10">
        <f t="shared" si="114"/>
        <v>8571733.333333334</v>
      </c>
      <c r="BD368" s="10">
        <f t="shared" si="115"/>
        <v>10714666.666666666</v>
      </c>
      <c r="BE368" s="10">
        <f t="shared" si="116"/>
        <v>12857600</v>
      </c>
      <c r="BX368" s="10">
        <v>358</v>
      </c>
      <c r="BY368" s="10">
        <f t="shared" si="124"/>
        <v>218666.66666666666</v>
      </c>
      <c r="BZ368" s="10">
        <f t="shared" si="124"/>
        <v>328000</v>
      </c>
      <c r="CA368" s="10">
        <f t="shared" si="124"/>
        <v>437333.33333333331</v>
      </c>
      <c r="CB368" s="10">
        <f t="shared" si="124"/>
        <v>820000</v>
      </c>
      <c r="CC368" s="10">
        <f t="shared" si="124"/>
        <v>2733333.3333333335</v>
      </c>
    </row>
    <row r="369" spans="29:81" x14ac:dyDescent="0.15">
      <c r="AC369" s="2">
        <v>359</v>
      </c>
      <c r="AD369" s="2">
        <f t="shared" si="125"/>
        <v>0</v>
      </c>
      <c r="AE369" s="2">
        <f t="shared" si="118"/>
        <v>7676.666666666667</v>
      </c>
      <c r="AF369" s="2">
        <f t="shared" si="119"/>
        <v>19191.666666666668</v>
      </c>
      <c r="AG369" s="2">
        <f t="shared" si="120"/>
        <v>38383.333333333336</v>
      </c>
      <c r="AH369" s="2">
        <f t="shared" si="121"/>
        <v>76766.666666666672</v>
      </c>
      <c r="AZ369" s="10">
        <v>359</v>
      </c>
      <c r="BA369" s="10">
        <f t="shared" si="112"/>
        <v>4298933.333333333</v>
      </c>
      <c r="BB369" s="10">
        <f t="shared" si="113"/>
        <v>6448400</v>
      </c>
      <c r="BC369" s="10">
        <f t="shared" si="114"/>
        <v>8597866.666666666</v>
      </c>
      <c r="BD369" s="10">
        <f t="shared" si="115"/>
        <v>10747333.333333334</v>
      </c>
      <c r="BE369" s="10">
        <f t="shared" si="116"/>
        <v>12896800</v>
      </c>
      <c r="BX369" s="10">
        <v>359</v>
      </c>
      <c r="BY369" s="10">
        <f t="shared" si="124"/>
        <v>219333.33333333334</v>
      </c>
      <c r="BZ369" s="10">
        <f t="shared" si="124"/>
        <v>329000</v>
      </c>
      <c r="CA369" s="10">
        <f t="shared" si="124"/>
        <v>438666.66666666669</v>
      </c>
      <c r="CB369" s="10">
        <f t="shared" si="124"/>
        <v>822500</v>
      </c>
      <c r="CC369" s="10">
        <f t="shared" si="124"/>
        <v>2741666.6666666665</v>
      </c>
    </row>
    <row r="370" spans="29:81" x14ac:dyDescent="0.15">
      <c r="AC370" s="2">
        <v>360</v>
      </c>
      <c r="AD370" s="2">
        <f>INDEX($D$30:$D$34,MATCH(C$21,$B$30:$B$34,0))*MAX($AC370-$C$7,0)*$C$8/30</f>
        <v>0</v>
      </c>
      <c r="AE370" s="2">
        <f t="shared" si="118"/>
        <v>7700</v>
      </c>
      <c r="AF370" s="2">
        <f t="shared" si="119"/>
        <v>19250</v>
      </c>
      <c r="AG370" s="2">
        <f t="shared" si="120"/>
        <v>38500</v>
      </c>
      <c r="AH370" s="2">
        <f t="shared" si="121"/>
        <v>77000</v>
      </c>
      <c r="AZ370" s="10">
        <v>360</v>
      </c>
      <c r="BA370" s="10">
        <f t="shared" si="112"/>
        <v>4312000</v>
      </c>
      <c r="BB370" s="10">
        <f t="shared" si="113"/>
        <v>6468000</v>
      </c>
      <c r="BC370" s="10">
        <f t="shared" si="114"/>
        <v>8624000</v>
      </c>
      <c r="BD370" s="10">
        <f t="shared" si="115"/>
        <v>10780000</v>
      </c>
      <c r="BE370" s="10">
        <f t="shared" si="116"/>
        <v>12936000</v>
      </c>
      <c r="BX370" s="10">
        <v>360</v>
      </c>
      <c r="BY370" s="10">
        <f t="shared" si="124"/>
        <v>220000</v>
      </c>
      <c r="BZ370" s="10">
        <f t="shared" si="124"/>
        <v>330000</v>
      </c>
      <c r="CA370" s="10">
        <f t="shared" si="124"/>
        <v>440000</v>
      </c>
      <c r="CB370" s="10">
        <f t="shared" si="124"/>
        <v>825000</v>
      </c>
      <c r="CC370" s="10">
        <f t="shared" si="124"/>
        <v>2750000</v>
      </c>
    </row>
  </sheetData>
  <mergeCells count="7">
    <mergeCell ref="BY9:CC9"/>
    <mergeCell ref="CF9:CJ9"/>
    <mergeCell ref="S9:W9"/>
    <mergeCell ref="AD9:AH9"/>
    <mergeCell ref="BA9:BE9"/>
    <mergeCell ref="BH9:BL9"/>
    <mergeCell ref="AK9:AO9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46EA7-0020-415D-8B4A-C7C7E48DA0B7}">
  <sheetPr codeName="Sheet4"/>
  <dimension ref="A1:BU370"/>
  <sheetViews>
    <sheetView topLeftCell="AW1" workbookViewId="0">
      <selection activeCell="BC12" sqref="BC12"/>
    </sheetView>
  </sheetViews>
  <sheetFormatPr defaultRowHeight="11.25" x14ac:dyDescent="0.15"/>
  <cols>
    <col min="1" max="1" width="9" style="2"/>
    <col min="2" max="2" width="12.25" style="2" bestFit="1" customWidth="1"/>
    <col min="3" max="5" width="9" style="2"/>
    <col min="6" max="6" width="9" style="2" customWidth="1"/>
    <col min="7" max="14" width="9" style="2"/>
    <col min="15" max="15" width="9" style="3"/>
    <col min="16" max="16" width="9" style="10"/>
    <col min="17" max="18" width="9" style="2"/>
    <col min="19" max="19" width="14.75" style="10" bestFit="1" customWidth="1"/>
    <col min="20" max="21" width="10.5" style="10" bestFit="1" customWidth="1"/>
    <col min="22" max="22" width="17.25" style="10" bestFit="1" customWidth="1"/>
    <col min="23" max="23" width="19.75" style="10" bestFit="1" customWidth="1"/>
    <col min="24" max="25" width="9" style="2"/>
    <col min="26" max="40" width="9" style="10"/>
    <col min="41" max="50" width="9" style="2"/>
    <col min="51" max="51" width="9" style="3"/>
    <col min="52" max="52" width="9" style="10"/>
    <col min="53" max="53" width="9" style="2"/>
    <col min="54" max="54" width="9.875" style="2" customWidth="1"/>
    <col min="55" max="60" width="9" style="2"/>
    <col min="61" max="70" width="9" style="10"/>
    <col min="71" max="16384" width="9" style="2"/>
  </cols>
  <sheetData>
    <row r="1" spans="1:73" x14ac:dyDescent="0.15">
      <c r="A1" s="2" t="s">
        <v>59</v>
      </c>
      <c r="P1" s="10" t="s">
        <v>96</v>
      </c>
      <c r="AZ1" s="10" t="s">
        <v>112</v>
      </c>
    </row>
    <row r="2" spans="1:73" x14ac:dyDescent="0.15">
      <c r="A2" s="2" t="s">
        <v>62</v>
      </c>
    </row>
    <row r="3" spans="1:73" x14ac:dyDescent="0.15">
      <c r="A3" s="2" t="s">
        <v>61</v>
      </c>
      <c r="R3" s="2" t="s">
        <v>106</v>
      </c>
      <c r="BB3" s="2" t="s">
        <v>113</v>
      </c>
    </row>
    <row r="4" spans="1:73" x14ac:dyDescent="0.15">
      <c r="A4" s="2" t="s">
        <v>89</v>
      </c>
    </row>
    <row r="5" spans="1:73" x14ac:dyDescent="0.15">
      <c r="A5" s="2" t="s">
        <v>210</v>
      </c>
      <c r="R5" s="2" t="s">
        <v>96</v>
      </c>
    </row>
    <row r="6" spans="1:73" x14ac:dyDescent="0.15">
      <c r="S6" s="10" t="s">
        <v>100</v>
      </c>
      <c r="T6" s="10" t="s">
        <v>102</v>
      </c>
      <c r="U6" s="10" t="s">
        <v>101</v>
      </c>
      <c r="V6" s="10" t="s">
        <v>222</v>
      </c>
      <c r="W6" s="10" t="s">
        <v>188</v>
      </c>
    </row>
    <row r="7" spans="1:73" x14ac:dyDescent="0.15">
      <c r="S7" s="10">
        <v>1</v>
      </c>
      <c r="T7" s="10" t="s">
        <v>109</v>
      </c>
      <c r="U7" s="10">
        <v>1000000</v>
      </c>
      <c r="V7" s="10">
        <v>50</v>
      </c>
      <c r="W7" s="10">
        <v>60</v>
      </c>
    </row>
    <row r="8" spans="1:73" x14ac:dyDescent="0.15">
      <c r="A8" s="2" t="s">
        <v>90</v>
      </c>
      <c r="S8" s="10">
        <v>2</v>
      </c>
      <c r="T8" s="10" t="s">
        <v>109</v>
      </c>
      <c r="U8" s="10">
        <v>600000</v>
      </c>
      <c r="V8" s="10">
        <v>25</v>
      </c>
      <c r="W8" s="10">
        <v>50</v>
      </c>
    </row>
    <row r="9" spans="1:73" x14ac:dyDescent="0.15">
      <c r="S9" s="10">
        <v>3</v>
      </c>
      <c r="T9" s="10" t="s">
        <v>109</v>
      </c>
      <c r="U9" s="10">
        <v>400000</v>
      </c>
      <c r="V9" s="10">
        <v>10</v>
      </c>
      <c r="W9" s="10">
        <v>40</v>
      </c>
      <c r="AA9" s="24" t="s">
        <v>155</v>
      </c>
      <c r="AB9" s="24"/>
      <c r="AC9" s="24"/>
      <c r="AD9" s="24"/>
      <c r="AE9" s="24"/>
      <c r="AF9" s="24" t="s">
        <v>157</v>
      </c>
      <c r="AG9" s="24"/>
      <c r="AH9" s="24"/>
      <c r="AI9" s="24"/>
      <c r="AJ9" s="24"/>
      <c r="AM9" s="24" t="s">
        <v>156</v>
      </c>
      <c r="AN9" s="24"/>
      <c r="AO9" s="24"/>
      <c r="AP9" s="24"/>
      <c r="AQ9" s="24"/>
      <c r="AR9" s="24" t="s">
        <v>158</v>
      </c>
      <c r="AS9" s="24"/>
      <c r="AT9" s="24"/>
      <c r="AU9" s="24"/>
      <c r="AV9" s="24"/>
      <c r="BC9" s="2" t="s">
        <v>116</v>
      </c>
      <c r="BD9" s="2" t="s">
        <v>184</v>
      </c>
      <c r="BJ9" s="24" t="s">
        <v>155</v>
      </c>
      <c r="BK9" s="24"/>
      <c r="BL9" s="24"/>
      <c r="BM9" s="24"/>
      <c r="BN9" s="24"/>
      <c r="BQ9" s="24" t="s">
        <v>156</v>
      </c>
      <c r="BR9" s="24"/>
      <c r="BS9" s="24"/>
      <c r="BT9" s="24"/>
      <c r="BU9" s="24"/>
    </row>
    <row r="10" spans="1:73" x14ac:dyDescent="0.15">
      <c r="C10" s="5" t="s">
        <v>63</v>
      </c>
      <c r="I10" s="7" t="s">
        <v>67</v>
      </c>
      <c r="S10" s="10">
        <v>4</v>
      </c>
      <c r="T10" s="10" t="s">
        <v>4</v>
      </c>
      <c r="U10" s="10">
        <v>250000</v>
      </c>
      <c r="V10" s="10">
        <v>10</v>
      </c>
      <c r="W10" s="10">
        <v>30</v>
      </c>
      <c r="Z10" s="10" t="s">
        <v>6</v>
      </c>
      <c r="AA10" s="10" t="s">
        <v>0</v>
      </c>
      <c r="AB10" s="10" t="s">
        <v>1</v>
      </c>
      <c r="AC10" s="10" t="s">
        <v>2</v>
      </c>
      <c r="AD10" s="10" t="s">
        <v>3</v>
      </c>
      <c r="AE10" s="10" t="s">
        <v>4</v>
      </c>
      <c r="AF10" s="10" t="s">
        <v>0</v>
      </c>
      <c r="AG10" s="10" t="s">
        <v>1</v>
      </c>
      <c r="AH10" s="10" t="s">
        <v>2</v>
      </c>
      <c r="AI10" s="10" t="s">
        <v>3</v>
      </c>
      <c r="AJ10" s="10" t="s">
        <v>4</v>
      </c>
      <c r="AL10" s="10" t="s">
        <v>93</v>
      </c>
      <c r="AM10" s="10" t="s">
        <v>0</v>
      </c>
      <c r="AN10" s="10" t="s">
        <v>1</v>
      </c>
      <c r="AO10" s="10" t="s">
        <v>2</v>
      </c>
      <c r="AP10" s="10" t="s">
        <v>3</v>
      </c>
      <c r="AQ10" s="10" t="s">
        <v>4</v>
      </c>
      <c r="AR10" s="10" t="s">
        <v>0</v>
      </c>
      <c r="AS10" s="10" t="s">
        <v>1</v>
      </c>
      <c r="AT10" s="10" t="s">
        <v>2</v>
      </c>
      <c r="AU10" s="10" t="s">
        <v>3</v>
      </c>
      <c r="AV10" s="10" t="s">
        <v>4</v>
      </c>
      <c r="BB10" s="2" t="s">
        <v>114</v>
      </c>
      <c r="BC10" s="2">
        <v>100000</v>
      </c>
      <c r="BD10" s="2">
        <v>200</v>
      </c>
      <c r="BI10" s="10" t="s">
        <v>6</v>
      </c>
      <c r="BJ10" s="10" t="s">
        <v>0</v>
      </c>
      <c r="BK10" s="10" t="s">
        <v>1</v>
      </c>
      <c r="BL10" s="10" t="s">
        <v>2</v>
      </c>
      <c r="BM10" s="10" t="s">
        <v>3</v>
      </c>
      <c r="BN10" s="10" t="s">
        <v>4</v>
      </c>
      <c r="BP10" s="10" t="s">
        <v>93</v>
      </c>
      <c r="BQ10" s="10" t="s">
        <v>0</v>
      </c>
      <c r="BR10" s="10" t="s">
        <v>1</v>
      </c>
      <c r="BS10" s="10" t="s">
        <v>2</v>
      </c>
      <c r="BT10" s="10" t="s">
        <v>3</v>
      </c>
      <c r="BU10" s="10" t="s">
        <v>4</v>
      </c>
    </row>
    <row r="11" spans="1:73" x14ac:dyDescent="0.15">
      <c r="D11" s="5" t="s">
        <v>71</v>
      </c>
      <c r="H11" s="7" t="s">
        <v>73</v>
      </c>
      <c r="S11" s="10">
        <v>8</v>
      </c>
      <c r="T11" s="10" t="s">
        <v>4</v>
      </c>
      <c r="U11" s="10">
        <v>180000</v>
      </c>
      <c r="W11" s="10">
        <v>20</v>
      </c>
      <c r="Z11" s="10">
        <v>1</v>
      </c>
      <c r="AA11" s="10">
        <f>IFERROR(MAX($Z11-积分赛!$C$7,0)*INDEX($U$7:$U$14,MATCH(AA$10,$T$7:$T$14,0))/30,0)</f>
        <v>0</v>
      </c>
      <c r="AB11" s="10">
        <f>IFERROR(MAX($Z11-积分赛!$C$7,0)*INDEX($U$7:$U$14,MATCH(AB$10,$T$7:$T$14,0))/30,0)</f>
        <v>0</v>
      </c>
      <c r="AC11" s="10">
        <f>IFERROR(MAX($Z11-积分赛!$C$7,0)*INDEX($U$7:$U$14,MATCH(AC$10,$T$7:$T$14,0))/30,0)</f>
        <v>0</v>
      </c>
      <c r="AD11" s="10">
        <f>IFERROR(MAX($Z11-积分赛!$C$7,0)*INDEX($U$7:$U$14,MATCH(AD$10,$T$7:$T$14,0))/30,0)</f>
        <v>0</v>
      </c>
      <c r="AE11" s="10">
        <f>IFERROR(MAX($Z11-积分赛!$C$7,0)*INDEX($U$7:$U$14,MATCH(AE$10,$T$7:$T$14,0))/30,0)</f>
        <v>0</v>
      </c>
      <c r="AF11" s="10">
        <f>MAX($Z11-积分赛!$C$7,0)*(IFERROR(INDEX($W$7:$W$14,MATCH(AF$10,$T$7:$T$14,0)),0)*$T$20+IFERROR(INDEX($X$7:$X$14,MATCH(AF$10,$T$7:$T$14,0)),0)*$T$21)/30</f>
        <v>0</v>
      </c>
      <c r="AG11" s="10">
        <f>MAX($Z11-积分赛!$C$7,0)*(IFERROR(INDEX($W$7:$W$14,MATCH(AG$10,$T$7:$T$14,0)),0)*$T$20+IFERROR(INDEX($X$7:$X$14,MATCH(AG$10,$T$7:$T$14,0)),0)*$T$21)/30</f>
        <v>0</v>
      </c>
      <c r="AH11" s="10">
        <f>MAX($Z11-积分赛!$C$7,0)*(IFERROR(INDEX($W$7:$W$14,MATCH(AH$10,$T$7:$T$14,0)),0)*$T$20+IFERROR(INDEX($X$7:$X$14,MATCH(AH$10,$T$7:$T$14,0)),0)*$T$21)/30</f>
        <v>0</v>
      </c>
      <c r="AI11" s="10">
        <f>MAX($Z11-积分赛!$C$7,0)*(IFERROR(INDEX($W$7:$W$14,MATCH(AI$10,$T$7:$T$14,0)),0)*$T$20+IFERROR(INDEX($X$7:$X$14,MATCH(AI$10,$T$7:$T$14,0)),0)*$T$21)/30</f>
        <v>0</v>
      </c>
      <c r="AJ11" s="10">
        <f>MAX($Z11-积分赛!$C$7,0)*(IFERROR(INDEX($W$7:$W$14,MATCH(AJ$10,$T$7:$T$14,0)),0)*$T$20+IFERROR(INDEX($X$7:$X$14,MATCH(AJ$10,$T$7:$T$14,0)),0)*$T$21)/30</f>
        <v>0</v>
      </c>
      <c r="AL11" s="10">
        <v>1</v>
      </c>
      <c r="AM11" s="10">
        <f>IFERROR(MAX(节奏总纲!D4-积分赛!$C$7,0)*INDEX($U$7:$U$14,MATCH(AA$10,$T$7:$T$14,0))/30,0)</f>
        <v>0</v>
      </c>
      <c r="AN11" s="10">
        <f>IFERROR(MAX(节奏总纲!E4-积分赛!$C$7,0)*INDEX($U$7:$U$14,MATCH(AB$10,$T$7:$T$14,0))/30,0)</f>
        <v>0</v>
      </c>
      <c r="AO11" s="10">
        <f>IFERROR(MAX(节奏总纲!F4-积分赛!$C$7,0)*INDEX($U$7:$U$14,MATCH(AC$10,$T$7:$T$14,0))/30,0)</f>
        <v>0</v>
      </c>
      <c r="AP11" s="10">
        <f>IFERROR(MAX(节奏总纲!G4-积分赛!$C$7,0)*INDEX($U$7:$U$14,MATCH(AD$10,$T$7:$T$14,0))/30,0)</f>
        <v>0</v>
      </c>
      <c r="AQ11" s="10">
        <f>IFERROR(MAX(节奏总纲!H4-积分赛!$C$7,0)*INDEX($U$7:$U$14,MATCH(AE$10,$T$7:$T$14,0))/30,0)</f>
        <v>0</v>
      </c>
      <c r="AR11" s="10">
        <f>MAX(节奏总纲!D4-积分赛!$C$7,0)*(IFERROR(INDEX($W$7:$W$14,MATCH(AF$10,$T$7:$T$14,0)),0)*$T$20+IFERROR(INDEX($X$7:$X$14,MATCH(AF$10,$T$7:$T$14,0)),0)*$T$21)/30</f>
        <v>0</v>
      </c>
      <c r="AS11" s="10">
        <f>MAX(节奏总纲!E4-积分赛!$C$7,0)*(IFERROR(INDEX($W$7:$W$14,MATCH(AG$10,$T$7:$T$14,0)),0)*$T$20+IFERROR(INDEX($X$7:$X$14,MATCH(AG$10,$T$7:$T$14,0)),0)*$T$21)/30</f>
        <v>0</v>
      </c>
      <c r="AT11" s="10">
        <f>MAX(节奏总纲!F4-积分赛!$C$7,0)*(IFERROR(INDEX($W$7:$W$14,MATCH(AH$10,$T$7:$T$14,0)),0)*$T$20+IFERROR(INDEX($X$7:$X$14,MATCH(AH$10,$T$7:$T$14,0)),0)*$T$21)/30</f>
        <v>0</v>
      </c>
      <c r="AU11" s="10">
        <f>MAX(节奏总纲!G4-积分赛!$C$7,0)*(IFERROR(INDEX($W$7:$W$14,MATCH(AI$10,$T$7:$T$14,0)),0)*$T$20+IFERROR(INDEX($X$7:$X$14,MATCH(AI$10,$T$7:$T$14,0)),0)*$T$21)/30</f>
        <v>0</v>
      </c>
      <c r="AV11" s="10">
        <f>MAX(节奏总纲!H4-积分赛!$C$7,0)*(IFERROR(INDEX($W$7:$W$14,MATCH(AJ$10,$T$7:$T$14,0)),0)*$T$20+IFERROR(INDEX($X$7:$X$14,MATCH(AJ$10,$T$7:$T$14,0)),0)*$T$21)/30</f>
        <v>0</v>
      </c>
      <c r="BB11" s="2" t="s">
        <v>115</v>
      </c>
      <c r="BC11" s="2">
        <v>50000</v>
      </c>
      <c r="BD11" s="2">
        <v>100</v>
      </c>
      <c r="BI11" s="10">
        <v>1</v>
      </c>
      <c r="BJ11" s="10">
        <f>MAX($BI11-积分赛!$C$7,0)*$BC$10/30</f>
        <v>0</v>
      </c>
      <c r="BK11" s="10">
        <f>MAX($BI11-积分赛!$C$7,0)*$BC$10/30</f>
        <v>0</v>
      </c>
      <c r="BL11" s="10">
        <f>MAX($BI11-积分赛!$C$7,0)*$BC$10/30</f>
        <v>0</v>
      </c>
      <c r="BM11" s="10">
        <f>MAX($BI11-积分赛!$C$7,0)*$BC$10/30</f>
        <v>0</v>
      </c>
      <c r="BN11" s="10">
        <f>MAX($BI11-积分赛!$C$7,0)*$BC$10/30</f>
        <v>0</v>
      </c>
      <c r="BP11" s="10">
        <v>1</v>
      </c>
      <c r="BQ11" s="10">
        <f>MAX(节奏总纲!D4-积分赛!$C$7,0)*$BC$10/30</f>
        <v>0</v>
      </c>
      <c r="BR11" s="10">
        <f>MAX(节奏总纲!E4-积分赛!$C$7,0)*$BC$10/30</f>
        <v>0</v>
      </c>
      <c r="BS11" s="10">
        <f>MAX(节奏总纲!F4-积分赛!$C$7,0)*$BC$10/30</f>
        <v>0</v>
      </c>
      <c r="BT11" s="10">
        <f>MAX(节奏总纲!G4-积分赛!$C$7,0)*$BC$10/30</f>
        <v>0</v>
      </c>
      <c r="BU11" s="10">
        <f>MAX(节奏总纲!H4-积分赛!$C$7,0)*$BC$10/30</f>
        <v>0</v>
      </c>
    </row>
    <row r="12" spans="1:73" ht="13.5" customHeight="1" x14ac:dyDescent="0.15">
      <c r="C12" s="5" t="s">
        <v>64</v>
      </c>
      <c r="F12" s="25" t="s">
        <v>77</v>
      </c>
      <c r="I12" s="7" t="s">
        <v>68</v>
      </c>
      <c r="S12" s="10">
        <v>16</v>
      </c>
      <c r="T12" s="10" t="s">
        <v>4</v>
      </c>
      <c r="U12" s="10">
        <v>120000</v>
      </c>
      <c r="W12" s="10">
        <v>15</v>
      </c>
      <c r="Z12" s="10">
        <v>2</v>
      </c>
      <c r="AA12" s="10">
        <f>IFERROR(MAX($Z12-积分赛!$C$7,0)*INDEX($U$7:$U$14,MATCH(AA$10,$T$7:$T$14,0))/30,0)</f>
        <v>0</v>
      </c>
      <c r="AB12" s="10">
        <f>IFERROR(MAX($Z12-积分赛!$C$7,0)*INDEX($U$7:$U$14,MATCH(AB$10,$T$7:$T$14,0))/30,0)</f>
        <v>0</v>
      </c>
      <c r="AC12" s="10">
        <f>IFERROR(MAX($Z12-积分赛!$C$7,0)*INDEX($U$7:$U$14,MATCH(AC$10,$T$7:$T$14,0))/30,0)</f>
        <v>0</v>
      </c>
      <c r="AD12" s="10">
        <f>IFERROR(MAX($Z12-积分赛!$C$7,0)*INDEX($U$7:$U$14,MATCH(AD$10,$T$7:$T$14,0))/30,0)</f>
        <v>0</v>
      </c>
      <c r="AE12" s="10">
        <f>IFERROR(MAX($Z12-积分赛!$C$7,0)*INDEX($U$7:$U$14,MATCH(AE$10,$T$7:$T$14,0))/30,0)</f>
        <v>0</v>
      </c>
      <c r="AF12" s="10">
        <f>MAX($Z12-积分赛!$C$7,0)*(IFERROR(INDEX($W$7:$W$14,MATCH(AF$10,$T$7:$T$14,0)),0)*$T$20+IFERROR(INDEX($X$7:$X$14,MATCH(AF$10,$T$7:$T$14,0)),0)*$T$21)/30</f>
        <v>0</v>
      </c>
      <c r="AG12" s="10">
        <f>MAX($Z12-积分赛!$C$7,0)*(IFERROR(INDEX($W$7:$W$14,MATCH(AG$10,$T$7:$T$14,0)),0)*$T$20+IFERROR(INDEX($X$7:$X$14,MATCH(AG$10,$T$7:$T$14,0)),0)*$T$21)/30</f>
        <v>0</v>
      </c>
      <c r="AH12" s="10">
        <f>MAX($Z12-积分赛!$C$7,0)*(IFERROR(INDEX($W$7:$W$14,MATCH(AH$10,$T$7:$T$14,0)),0)*$T$20+IFERROR(INDEX($X$7:$X$14,MATCH(AH$10,$T$7:$T$14,0)),0)*$T$21)/30</f>
        <v>0</v>
      </c>
      <c r="AI12" s="10">
        <f>MAX($Z12-积分赛!$C$7,0)*(IFERROR(INDEX($W$7:$W$14,MATCH(AI$10,$T$7:$T$14,0)),0)*$T$20+IFERROR(INDEX($X$7:$X$14,MATCH(AI$10,$T$7:$T$14,0)),0)*$T$21)/30</f>
        <v>0</v>
      </c>
      <c r="AJ12" s="10">
        <f>MAX($Z12-积分赛!$C$7,0)*(IFERROR(INDEX($W$7:$W$14,MATCH(AJ$10,$T$7:$T$14,0)),0)*$T$20+IFERROR(INDEX($X$7:$X$14,MATCH(AJ$10,$T$7:$T$14,0)),0)*$T$21)/30</f>
        <v>0</v>
      </c>
      <c r="AL12" s="10">
        <v>2</v>
      </c>
      <c r="AM12" s="10">
        <f>IFERROR(MAX(节奏总纲!D5-积分赛!$C$7,0)*INDEX($U$7:$U$14,MATCH(AA$10,$T$7:$T$14,0))/30,0)</f>
        <v>0</v>
      </c>
      <c r="AN12" s="10">
        <f>IFERROR(MAX(节奏总纲!E5-积分赛!$C$7,0)*INDEX($U$7:$U$14,MATCH(AB$10,$T$7:$T$14,0))/30,0)</f>
        <v>0</v>
      </c>
      <c r="AO12" s="10">
        <f>IFERROR(MAX(节奏总纲!F5-积分赛!$C$7,0)*INDEX($U$7:$U$14,MATCH(AC$10,$T$7:$T$14,0))/30,0)</f>
        <v>0</v>
      </c>
      <c r="AP12" s="10">
        <f>IFERROR(MAX(节奏总纲!G5-积分赛!$C$7,0)*INDEX($U$7:$U$14,MATCH(AD$10,$T$7:$T$14,0))/30,0)</f>
        <v>0</v>
      </c>
      <c r="AQ12" s="10">
        <f>IFERROR(MAX(节奏总纲!H5-积分赛!$C$7,0)*INDEX($U$7:$U$14,MATCH(AE$10,$T$7:$T$14,0))/30,0)</f>
        <v>0</v>
      </c>
      <c r="AR12" s="10">
        <f>MAX(节奏总纲!D5-积分赛!$C$7,0)*(IFERROR(INDEX($W$7:$W$14,MATCH(AF$10,$T$7:$T$14,0)),0)*$T$20+IFERROR(INDEX($X$7:$X$14,MATCH(AF$10,$T$7:$T$14,0)),0)*$T$21)/30</f>
        <v>0</v>
      </c>
      <c r="AS12" s="10">
        <f>MAX(节奏总纲!E5-积分赛!$C$7,0)*(IFERROR(INDEX($W$7:$W$14,MATCH(AG$10,$T$7:$T$14,0)),0)*$T$20+IFERROR(INDEX($X$7:$X$14,MATCH(AG$10,$T$7:$T$14,0)),0)*$T$21)/30</f>
        <v>0</v>
      </c>
      <c r="AT12" s="10">
        <f>MAX(节奏总纲!F5-积分赛!$C$7,0)*(IFERROR(INDEX($W$7:$W$14,MATCH(AH$10,$T$7:$T$14,0)),0)*$T$20+IFERROR(INDEX($X$7:$X$14,MATCH(AH$10,$T$7:$T$14,0)),0)*$T$21)/30</f>
        <v>0</v>
      </c>
      <c r="AU12" s="10">
        <f>MAX(节奏总纲!G5-积分赛!$C$7,0)*(IFERROR(INDEX($W$7:$W$14,MATCH(AI$10,$T$7:$T$14,0)),0)*$T$20+IFERROR(INDEX($X$7:$X$14,MATCH(AI$10,$T$7:$T$14,0)),0)*$T$21)/30</f>
        <v>0</v>
      </c>
      <c r="AV12" s="10">
        <f>MAX(节奏总纲!H5-积分赛!$C$7,0)*(IFERROR(INDEX($W$7:$W$14,MATCH(AJ$10,$T$7:$T$14,0)),0)*$T$20+IFERROR(INDEX($X$7:$X$14,MATCH(AJ$10,$T$7:$T$14,0)),0)*$T$21)/30</f>
        <v>0</v>
      </c>
      <c r="BI12" s="10">
        <v>2</v>
      </c>
      <c r="BJ12" s="10">
        <f>MAX($BI12-积分赛!$C$7,0)*$BC$10/30</f>
        <v>0</v>
      </c>
      <c r="BK12" s="10">
        <f>MAX($BI12-积分赛!$C$7,0)*$BC$10/30</f>
        <v>0</v>
      </c>
      <c r="BL12" s="10">
        <f>MAX($BI12-积分赛!$C$7,0)*$BC$10/30</f>
        <v>0</v>
      </c>
      <c r="BM12" s="10">
        <f>MAX($BI12-积分赛!$C$7,0)*$BC$10/30</f>
        <v>0</v>
      </c>
      <c r="BN12" s="10">
        <f>MAX($BI12-积分赛!$C$7,0)*$BC$10/30</f>
        <v>0</v>
      </c>
      <c r="BP12" s="10">
        <v>2</v>
      </c>
      <c r="BQ12" s="10">
        <f>MAX(节奏总纲!D5-积分赛!$C$7,0)*$BC$10/30</f>
        <v>0</v>
      </c>
      <c r="BR12" s="10">
        <f>MAX(节奏总纲!E5-积分赛!$C$7,0)*$BC$10/30</f>
        <v>0</v>
      </c>
      <c r="BS12" s="10">
        <f>MAX(节奏总纲!F5-积分赛!$C$7,0)*$BC$10/30</f>
        <v>0</v>
      </c>
      <c r="BT12" s="10">
        <f>MAX(节奏总纲!G5-积分赛!$C$7,0)*$BC$10/30</f>
        <v>0</v>
      </c>
      <c r="BU12" s="10">
        <f>MAX(节奏总纲!H5-积分赛!$C$7,0)*$BC$10/30</f>
        <v>0</v>
      </c>
    </row>
    <row r="13" spans="1:73" x14ac:dyDescent="0.15">
      <c r="E13" s="9" t="s">
        <v>75</v>
      </c>
      <c r="F13" s="25"/>
      <c r="G13" s="9" t="s">
        <v>76</v>
      </c>
      <c r="S13" s="10">
        <v>32</v>
      </c>
      <c r="T13" s="10" t="s">
        <v>3</v>
      </c>
      <c r="U13" s="10">
        <v>80000</v>
      </c>
      <c r="W13" s="10">
        <v>10</v>
      </c>
      <c r="Z13" s="10">
        <v>3</v>
      </c>
      <c r="AA13" s="10">
        <f>IFERROR(MAX($Z13-积分赛!$C$7,0)*INDEX($U$7:$U$14,MATCH(AA$10,$T$7:$T$14,0))/30,0)</f>
        <v>0</v>
      </c>
      <c r="AB13" s="10">
        <f>IFERROR(MAX($Z13-积分赛!$C$7,0)*INDEX($U$7:$U$14,MATCH(AB$10,$T$7:$T$14,0))/30,0)</f>
        <v>0</v>
      </c>
      <c r="AC13" s="10">
        <f>IFERROR(MAX($Z13-积分赛!$C$7,0)*INDEX($U$7:$U$14,MATCH(AC$10,$T$7:$T$14,0))/30,0)</f>
        <v>0</v>
      </c>
      <c r="AD13" s="10">
        <f>IFERROR(MAX($Z13-积分赛!$C$7,0)*INDEX($U$7:$U$14,MATCH(AD$10,$T$7:$T$14,0))/30,0)</f>
        <v>0</v>
      </c>
      <c r="AE13" s="10">
        <f>IFERROR(MAX($Z13-积分赛!$C$7,0)*INDEX($U$7:$U$14,MATCH(AE$10,$T$7:$T$14,0))/30,0)</f>
        <v>0</v>
      </c>
      <c r="AF13" s="10">
        <f>MAX($Z13-积分赛!$C$7,0)*(IFERROR(INDEX($W$7:$W$14,MATCH(AF$10,$T$7:$T$14,0)),0)*$T$20+IFERROR(INDEX($X$7:$X$14,MATCH(AF$10,$T$7:$T$14,0)),0)*$T$21)/30</f>
        <v>0</v>
      </c>
      <c r="AG13" s="10">
        <f>MAX($Z13-积分赛!$C$7,0)*(IFERROR(INDEX($W$7:$W$14,MATCH(AG$10,$T$7:$T$14,0)),0)*$T$20+IFERROR(INDEX($X$7:$X$14,MATCH(AG$10,$T$7:$T$14,0)),0)*$T$21)/30</f>
        <v>0</v>
      </c>
      <c r="AH13" s="10">
        <f>MAX($Z13-积分赛!$C$7,0)*(IFERROR(INDEX($W$7:$W$14,MATCH(AH$10,$T$7:$T$14,0)),0)*$T$20+IFERROR(INDEX($X$7:$X$14,MATCH(AH$10,$T$7:$T$14,0)),0)*$T$21)/30</f>
        <v>0</v>
      </c>
      <c r="AI13" s="10">
        <f>MAX($Z13-积分赛!$C$7,0)*(IFERROR(INDEX($W$7:$W$14,MATCH(AI$10,$T$7:$T$14,0)),0)*$T$20+IFERROR(INDEX($X$7:$X$14,MATCH(AI$10,$T$7:$T$14,0)),0)*$T$21)/30</f>
        <v>0</v>
      </c>
      <c r="AJ13" s="10">
        <f>MAX($Z13-积分赛!$C$7,0)*(IFERROR(INDEX($W$7:$W$14,MATCH(AJ$10,$T$7:$T$14,0)),0)*$T$20+IFERROR(INDEX($X$7:$X$14,MATCH(AJ$10,$T$7:$T$14,0)),0)*$T$21)/30</f>
        <v>0</v>
      </c>
      <c r="AL13" s="10">
        <v>3</v>
      </c>
      <c r="AM13" s="10">
        <f>IFERROR(MAX(节奏总纲!D6-积分赛!$C$7,0)*INDEX($U$7:$U$14,MATCH(AA$10,$T$7:$T$14,0))/30,0)</f>
        <v>0</v>
      </c>
      <c r="AN13" s="10">
        <f>IFERROR(MAX(节奏总纲!E6-积分赛!$C$7,0)*INDEX($U$7:$U$14,MATCH(AB$10,$T$7:$T$14,0))/30,0)</f>
        <v>0</v>
      </c>
      <c r="AO13" s="10">
        <f>IFERROR(MAX(节奏总纲!F6-积分赛!$C$7,0)*INDEX($U$7:$U$14,MATCH(AC$10,$T$7:$T$14,0))/30,0)</f>
        <v>0</v>
      </c>
      <c r="AP13" s="10">
        <f>IFERROR(MAX(节奏总纲!G6-积分赛!$C$7,0)*INDEX($U$7:$U$14,MATCH(AD$10,$T$7:$T$14,0))/30,0)</f>
        <v>0</v>
      </c>
      <c r="AQ13" s="10">
        <f>IFERROR(MAX(节奏总纲!H6-积分赛!$C$7,0)*INDEX($U$7:$U$14,MATCH(AE$10,$T$7:$T$14,0))/30,0)</f>
        <v>0</v>
      </c>
      <c r="AR13" s="10">
        <f>MAX(节奏总纲!D6-积分赛!$C$7,0)*(IFERROR(INDEX($W$7:$W$14,MATCH(AF$10,$T$7:$T$14,0)),0)*$T$20+IFERROR(INDEX($X$7:$X$14,MATCH(AF$10,$T$7:$T$14,0)),0)*$T$21)/30</f>
        <v>0</v>
      </c>
      <c r="AS13" s="10">
        <f>MAX(节奏总纲!E6-积分赛!$C$7,0)*(IFERROR(INDEX($W$7:$W$14,MATCH(AG$10,$T$7:$T$14,0)),0)*$T$20+IFERROR(INDEX($X$7:$X$14,MATCH(AG$10,$T$7:$T$14,0)),0)*$T$21)/30</f>
        <v>0</v>
      </c>
      <c r="AT13" s="10">
        <f>MAX(节奏总纲!F6-积分赛!$C$7,0)*(IFERROR(INDEX($W$7:$W$14,MATCH(AH$10,$T$7:$T$14,0)),0)*$T$20+IFERROR(INDEX($X$7:$X$14,MATCH(AH$10,$T$7:$T$14,0)),0)*$T$21)/30</f>
        <v>0</v>
      </c>
      <c r="AU13" s="10">
        <f>MAX(节奏总纲!G6-积分赛!$C$7,0)*(IFERROR(INDEX($W$7:$W$14,MATCH(AI$10,$T$7:$T$14,0)),0)*$T$20+IFERROR(INDEX($X$7:$X$14,MATCH(AI$10,$T$7:$T$14,0)),0)*$T$21)/30</f>
        <v>0</v>
      </c>
      <c r="AV13" s="10">
        <f>MAX(节奏总纲!H6-积分赛!$C$7,0)*(IFERROR(INDEX($W$7:$W$14,MATCH(AJ$10,$T$7:$T$14,0)),0)*$T$20+IFERROR(INDEX($X$7:$X$14,MATCH(AJ$10,$T$7:$T$14,0)),0)*$T$21)/30</f>
        <v>0</v>
      </c>
      <c r="BI13" s="10">
        <v>3</v>
      </c>
      <c r="BJ13" s="10">
        <f>MAX($BI13-积分赛!$C$7,0)*$BC$10/30</f>
        <v>0</v>
      </c>
      <c r="BK13" s="10">
        <f>MAX($BI13-积分赛!$C$7,0)*$BC$10/30</f>
        <v>0</v>
      </c>
      <c r="BL13" s="10">
        <f>MAX($BI13-积分赛!$C$7,0)*$BC$10/30</f>
        <v>0</v>
      </c>
      <c r="BM13" s="10">
        <f>MAX($BI13-积分赛!$C$7,0)*$BC$10/30</f>
        <v>0</v>
      </c>
      <c r="BN13" s="10">
        <f>MAX($BI13-积分赛!$C$7,0)*$BC$10/30</f>
        <v>0</v>
      </c>
      <c r="BP13" s="10">
        <v>3</v>
      </c>
      <c r="BQ13" s="10">
        <f>MAX(节奏总纲!D6-积分赛!$C$7,0)*$BC$10/30</f>
        <v>0</v>
      </c>
      <c r="BR13" s="10">
        <f>MAX(节奏总纲!E6-积分赛!$C$7,0)*$BC$10/30</f>
        <v>0</v>
      </c>
      <c r="BS13" s="10">
        <f>MAX(节奏总纲!F6-积分赛!$C$7,0)*$BC$10/30</f>
        <v>0</v>
      </c>
      <c r="BT13" s="10">
        <f>MAX(节奏总纲!G6-积分赛!$C$7,0)*$BC$10/30</f>
        <v>0</v>
      </c>
      <c r="BU13" s="10">
        <f>MAX(节奏总纲!H6-积分赛!$C$7,0)*$BC$10/30</f>
        <v>0</v>
      </c>
    </row>
    <row r="14" spans="1:73" x14ac:dyDescent="0.15">
      <c r="C14" s="6" t="s">
        <v>65</v>
      </c>
      <c r="F14" s="25"/>
      <c r="I14" s="8" t="s">
        <v>69</v>
      </c>
      <c r="S14" s="10">
        <v>64</v>
      </c>
      <c r="T14" s="10" t="s">
        <v>3</v>
      </c>
      <c r="U14" s="10">
        <v>50000</v>
      </c>
      <c r="W14" s="10">
        <v>10</v>
      </c>
      <c r="Z14" s="10">
        <v>4</v>
      </c>
      <c r="AA14" s="10">
        <f>IFERROR(MAX($Z14-积分赛!$C$7,0)*INDEX($U$7:$U$14,MATCH(AA$10,$T$7:$T$14,0))/30,0)</f>
        <v>0</v>
      </c>
      <c r="AB14" s="10">
        <f>IFERROR(MAX($Z14-积分赛!$C$7,0)*INDEX($U$7:$U$14,MATCH(AB$10,$T$7:$T$14,0))/30,0)</f>
        <v>0</v>
      </c>
      <c r="AC14" s="10">
        <f>IFERROR(MAX($Z14-积分赛!$C$7,0)*INDEX($U$7:$U$14,MATCH(AC$10,$T$7:$T$14,0))/30,0)</f>
        <v>0</v>
      </c>
      <c r="AD14" s="10">
        <f>IFERROR(MAX($Z14-积分赛!$C$7,0)*INDEX($U$7:$U$14,MATCH(AD$10,$T$7:$T$14,0))/30,0)</f>
        <v>0</v>
      </c>
      <c r="AE14" s="10">
        <f>IFERROR(MAX($Z14-积分赛!$C$7,0)*INDEX($U$7:$U$14,MATCH(AE$10,$T$7:$T$14,0))/30,0)</f>
        <v>0</v>
      </c>
      <c r="AF14" s="10">
        <f>MAX($Z14-积分赛!$C$7,0)*(IFERROR(INDEX($W$7:$W$14,MATCH(AF$10,$T$7:$T$14,0)),0)*$T$20+IFERROR(INDEX($X$7:$X$14,MATCH(AF$10,$T$7:$T$14,0)),0)*$T$21)/30</f>
        <v>0</v>
      </c>
      <c r="AG14" s="10">
        <f>MAX($Z14-积分赛!$C$7,0)*(IFERROR(INDEX($W$7:$W$14,MATCH(AG$10,$T$7:$T$14,0)),0)*$T$20+IFERROR(INDEX($X$7:$X$14,MATCH(AG$10,$T$7:$T$14,0)),0)*$T$21)/30</f>
        <v>0</v>
      </c>
      <c r="AH14" s="10">
        <f>MAX($Z14-积分赛!$C$7,0)*(IFERROR(INDEX($W$7:$W$14,MATCH(AH$10,$T$7:$T$14,0)),0)*$T$20+IFERROR(INDEX($X$7:$X$14,MATCH(AH$10,$T$7:$T$14,0)),0)*$T$21)/30</f>
        <v>0</v>
      </c>
      <c r="AI14" s="10">
        <f>MAX($Z14-积分赛!$C$7,0)*(IFERROR(INDEX($W$7:$W$14,MATCH(AI$10,$T$7:$T$14,0)),0)*$T$20+IFERROR(INDEX($X$7:$X$14,MATCH(AI$10,$T$7:$T$14,0)),0)*$T$21)/30</f>
        <v>0</v>
      </c>
      <c r="AJ14" s="10">
        <f>MAX($Z14-积分赛!$C$7,0)*(IFERROR(INDEX($W$7:$W$14,MATCH(AJ$10,$T$7:$T$14,0)),0)*$T$20+IFERROR(INDEX($X$7:$X$14,MATCH(AJ$10,$T$7:$T$14,0)),0)*$T$21)/30</f>
        <v>0</v>
      </c>
      <c r="AL14" s="10">
        <v>4</v>
      </c>
      <c r="AM14" s="10">
        <f>IFERROR(MAX(节奏总纲!D7-积分赛!$C$7,0)*INDEX($U$7:$U$14,MATCH(AA$10,$T$7:$T$14,0))/30,0)</f>
        <v>0</v>
      </c>
      <c r="AN14" s="10">
        <f>IFERROR(MAX(节奏总纲!E7-积分赛!$C$7,0)*INDEX($U$7:$U$14,MATCH(AB$10,$T$7:$T$14,0))/30,0)</f>
        <v>0</v>
      </c>
      <c r="AO14" s="10">
        <f>IFERROR(MAX(节奏总纲!F7-积分赛!$C$7,0)*INDEX($U$7:$U$14,MATCH(AC$10,$T$7:$T$14,0))/30,0)</f>
        <v>0</v>
      </c>
      <c r="AP14" s="10">
        <f>IFERROR(MAX(节奏总纲!G7-积分赛!$C$7,0)*INDEX($U$7:$U$14,MATCH(AD$10,$T$7:$T$14,0))/30,0)</f>
        <v>0</v>
      </c>
      <c r="AQ14" s="10">
        <f>IFERROR(MAX(节奏总纲!H7-积分赛!$C$7,0)*INDEX($U$7:$U$14,MATCH(AE$10,$T$7:$T$14,0))/30,0)</f>
        <v>0</v>
      </c>
      <c r="AR14" s="10">
        <f>MAX(节奏总纲!D7-积分赛!$C$7,0)*(IFERROR(INDEX($W$7:$W$14,MATCH(AF$10,$T$7:$T$14,0)),0)*$T$20+IFERROR(INDEX($X$7:$X$14,MATCH(AF$10,$T$7:$T$14,0)),0)*$T$21)/30</f>
        <v>0</v>
      </c>
      <c r="AS14" s="10">
        <f>MAX(节奏总纲!E7-积分赛!$C$7,0)*(IFERROR(INDEX($W$7:$W$14,MATCH(AG$10,$T$7:$T$14,0)),0)*$T$20+IFERROR(INDEX($X$7:$X$14,MATCH(AG$10,$T$7:$T$14,0)),0)*$T$21)/30</f>
        <v>0</v>
      </c>
      <c r="AT14" s="10">
        <f>MAX(节奏总纲!F7-积分赛!$C$7,0)*(IFERROR(INDEX($W$7:$W$14,MATCH(AH$10,$T$7:$T$14,0)),0)*$T$20+IFERROR(INDEX($X$7:$X$14,MATCH(AH$10,$T$7:$T$14,0)),0)*$T$21)/30</f>
        <v>0</v>
      </c>
      <c r="AU14" s="10">
        <f>MAX(节奏总纲!G7-积分赛!$C$7,0)*(IFERROR(INDEX($W$7:$W$14,MATCH(AI$10,$T$7:$T$14,0)),0)*$T$20+IFERROR(INDEX($X$7:$X$14,MATCH(AI$10,$T$7:$T$14,0)),0)*$T$21)/30</f>
        <v>0</v>
      </c>
      <c r="AV14" s="10">
        <f>MAX(节奏总纲!H7-积分赛!$C$7,0)*(IFERROR(INDEX($W$7:$W$14,MATCH(AJ$10,$T$7:$T$14,0)),0)*$T$20+IFERROR(INDEX($X$7:$X$14,MATCH(AJ$10,$T$7:$T$14,0)),0)*$T$21)/30</f>
        <v>0</v>
      </c>
      <c r="BI14" s="10">
        <v>4</v>
      </c>
      <c r="BJ14" s="10">
        <f>MAX($BI14-积分赛!$C$7,0)*$BC$10/30</f>
        <v>0</v>
      </c>
      <c r="BK14" s="10">
        <f>MAX($BI14-积分赛!$C$7,0)*$BC$10/30</f>
        <v>0</v>
      </c>
      <c r="BL14" s="10">
        <f>MAX($BI14-积分赛!$C$7,0)*$BC$10/30</f>
        <v>0</v>
      </c>
      <c r="BM14" s="10">
        <f>MAX($BI14-积分赛!$C$7,0)*$BC$10/30</f>
        <v>0</v>
      </c>
      <c r="BN14" s="10">
        <f>MAX($BI14-积分赛!$C$7,0)*$BC$10/30</f>
        <v>0</v>
      </c>
      <c r="BP14" s="10">
        <v>4</v>
      </c>
      <c r="BQ14" s="10">
        <f>MAX(节奏总纲!D7-积分赛!$C$7,0)*$BC$10/30</f>
        <v>0</v>
      </c>
      <c r="BR14" s="10">
        <f>MAX(节奏总纲!E7-积分赛!$C$7,0)*$BC$10/30</f>
        <v>0</v>
      </c>
      <c r="BS14" s="10">
        <f>MAX(节奏总纲!F7-积分赛!$C$7,0)*$BC$10/30</f>
        <v>0</v>
      </c>
      <c r="BT14" s="10">
        <f>MAX(节奏总纲!G7-积分赛!$C$7,0)*$BC$10/30</f>
        <v>0</v>
      </c>
      <c r="BU14" s="10">
        <f>MAX(节奏总纲!H7-积分赛!$C$7,0)*$BC$10/30</f>
        <v>0</v>
      </c>
    </row>
    <row r="15" spans="1:73" x14ac:dyDescent="0.15">
      <c r="D15" s="6" t="s">
        <v>72</v>
      </c>
      <c r="H15" s="8" t="s">
        <v>74</v>
      </c>
      <c r="Z15" s="10">
        <v>5</v>
      </c>
      <c r="AA15" s="10">
        <f>IFERROR(MAX($Z15-积分赛!$C$7,0)*INDEX($U$7:$U$14,MATCH(AA$10,$T$7:$T$14,0))/30,0)</f>
        <v>0</v>
      </c>
      <c r="AB15" s="10">
        <f>IFERROR(MAX($Z15-积分赛!$C$7,0)*INDEX($U$7:$U$14,MATCH(AB$10,$T$7:$T$14,0))/30,0)</f>
        <v>0</v>
      </c>
      <c r="AC15" s="10">
        <f>IFERROR(MAX($Z15-积分赛!$C$7,0)*INDEX($U$7:$U$14,MATCH(AC$10,$T$7:$T$14,0))/30,0)</f>
        <v>0</v>
      </c>
      <c r="AD15" s="10">
        <f>IFERROR(MAX($Z15-积分赛!$C$7,0)*INDEX($U$7:$U$14,MATCH(AD$10,$T$7:$T$14,0))/30,0)</f>
        <v>0</v>
      </c>
      <c r="AE15" s="10">
        <f>IFERROR(MAX($Z15-积分赛!$C$7,0)*INDEX($U$7:$U$14,MATCH(AE$10,$T$7:$T$14,0))/30,0)</f>
        <v>0</v>
      </c>
      <c r="AF15" s="10">
        <f>MAX($Z15-积分赛!$C$7,0)*(IFERROR(INDEX($W$7:$W$14,MATCH(AF$10,$T$7:$T$14,0)),0)*$T$20+IFERROR(INDEX($X$7:$X$14,MATCH(AF$10,$T$7:$T$14,0)),0)*$T$21)/30</f>
        <v>0</v>
      </c>
      <c r="AG15" s="10">
        <f>MAX($Z15-积分赛!$C$7,0)*(IFERROR(INDEX($W$7:$W$14,MATCH(AG$10,$T$7:$T$14,0)),0)*$T$20+IFERROR(INDEX($X$7:$X$14,MATCH(AG$10,$T$7:$T$14,0)),0)*$T$21)/30</f>
        <v>0</v>
      </c>
      <c r="AH15" s="10">
        <f>MAX($Z15-积分赛!$C$7,0)*(IFERROR(INDEX($W$7:$W$14,MATCH(AH$10,$T$7:$T$14,0)),0)*$T$20+IFERROR(INDEX($X$7:$X$14,MATCH(AH$10,$T$7:$T$14,0)),0)*$T$21)/30</f>
        <v>0</v>
      </c>
      <c r="AI15" s="10">
        <f>MAX($Z15-积分赛!$C$7,0)*(IFERROR(INDEX($W$7:$W$14,MATCH(AI$10,$T$7:$T$14,0)),0)*$T$20+IFERROR(INDEX($X$7:$X$14,MATCH(AI$10,$T$7:$T$14,0)),0)*$T$21)/30</f>
        <v>0</v>
      </c>
      <c r="AJ15" s="10">
        <f>MAX($Z15-积分赛!$C$7,0)*(IFERROR(INDEX($W$7:$W$14,MATCH(AJ$10,$T$7:$T$14,0)),0)*$T$20+IFERROR(INDEX($X$7:$X$14,MATCH(AJ$10,$T$7:$T$14,0)),0)*$T$21)/30</f>
        <v>0</v>
      </c>
      <c r="AL15" s="10">
        <v>5</v>
      </c>
      <c r="AM15" s="10">
        <f>IFERROR(MAX(节奏总纲!D8-积分赛!$C$7,0)*INDEX($U$7:$U$14,MATCH(AA$10,$T$7:$T$14,0))/30,0)</f>
        <v>0</v>
      </c>
      <c r="AN15" s="10">
        <f>IFERROR(MAX(节奏总纲!E8-积分赛!$C$7,0)*INDEX($U$7:$U$14,MATCH(AB$10,$T$7:$T$14,0))/30,0)</f>
        <v>0</v>
      </c>
      <c r="AO15" s="10">
        <f>IFERROR(MAX(节奏总纲!F8-积分赛!$C$7,0)*INDEX($U$7:$U$14,MATCH(AC$10,$T$7:$T$14,0))/30,0)</f>
        <v>0</v>
      </c>
      <c r="AP15" s="10">
        <f>IFERROR(MAX(节奏总纲!G8-积分赛!$C$7,0)*INDEX($U$7:$U$14,MATCH(AD$10,$T$7:$T$14,0))/30,0)</f>
        <v>0</v>
      </c>
      <c r="AQ15" s="10">
        <f>IFERROR(MAX(节奏总纲!H8-积分赛!$C$7,0)*INDEX($U$7:$U$14,MATCH(AE$10,$T$7:$T$14,0))/30,0)</f>
        <v>0</v>
      </c>
      <c r="AR15" s="10">
        <f>MAX(节奏总纲!D8-积分赛!$C$7,0)*(IFERROR(INDEX($W$7:$W$14,MATCH(AF$10,$T$7:$T$14,0)),0)*$T$20+IFERROR(INDEX($X$7:$X$14,MATCH(AF$10,$T$7:$T$14,0)),0)*$T$21)/30</f>
        <v>0</v>
      </c>
      <c r="AS15" s="10">
        <f>MAX(节奏总纲!E8-积分赛!$C$7,0)*(IFERROR(INDEX($W$7:$W$14,MATCH(AG$10,$T$7:$T$14,0)),0)*$T$20+IFERROR(INDEX($X$7:$X$14,MATCH(AG$10,$T$7:$T$14,0)),0)*$T$21)/30</f>
        <v>0</v>
      </c>
      <c r="AT15" s="10">
        <f>MAX(节奏总纲!F8-积分赛!$C$7,0)*(IFERROR(INDEX($W$7:$W$14,MATCH(AH$10,$T$7:$T$14,0)),0)*$T$20+IFERROR(INDEX($X$7:$X$14,MATCH(AH$10,$T$7:$T$14,0)),0)*$T$21)/30</f>
        <v>0</v>
      </c>
      <c r="AU15" s="10">
        <f>MAX(节奏总纲!G8-积分赛!$C$7,0)*(IFERROR(INDEX($W$7:$W$14,MATCH(AI$10,$T$7:$T$14,0)),0)*$T$20+IFERROR(INDEX($X$7:$X$14,MATCH(AI$10,$T$7:$T$14,0)),0)*$T$21)/30</f>
        <v>0</v>
      </c>
      <c r="AV15" s="10">
        <f>MAX(节奏总纲!H8-积分赛!$C$7,0)*(IFERROR(INDEX($W$7:$W$14,MATCH(AJ$10,$T$7:$T$14,0)),0)*$T$20+IFERROR(INDEX($X$7:$X$14,MATCH(AJ$10,$T$7:$T$14,0)),0)*$T$21)/30</f>
        <v>0</v>
      </c>
      <c r="BI15" s="10">
        <v>5</v>
      </c>
      <c r="BJ15" s="10">
        <f>MAX($BI15-积分赛!$C$7,0)*$BC$10/30</f>
        <v>0</v>
      </c>
      <c r="BK15" s="10">
        <f>MAX($BI15-积分赛!$C$7,0)*$BC$10/30</f>
        <v>0</v>
      </c>
      <c r="BL15" s="10">
        <f>MAX($BI15-积分赛!$C$7,0)*$BC$10/30</f>
        <v>0</v>
      </c>
      <c r="BM15" s="10">
        <f>MAX($BI15-积分赛!$C$7,0)*$BC$10/30</f>
        <v>0</v>
      </c>
      <c r="BN15" s="10">
        <f>MAX($BI15-积分赛!$C$7,0)*$BC$10/30</f>
        <v>0</v>
      </c>
      <c r="BP15" s="10">
        <v>5</v>
      </c>
      <c r="BQ15" s="10">
        <f>MAX(节奏总纲!D8-积分赛!$C$7,0)*$BC$10/30</f>
        <v>0</v>
      </c>
      <c r="BR15" s="10">
        <f>MAX(节奏总纲!E8-积分赛!$C$7,0)*$BC$10/30</f>
        <v>0</v>
      </c>
      <c r="BS15" s="10">
        <f>MAX(节奏总纲!F8-积分赛!$C$7,0)*$BC$10/30</f>
        <v>0</v>
      </c>
      <c r="BT15" s="10">
        <f>MAX(节奏总纲!G8-积分赛!$C$7,0)*$BC$10/30</f>
        <v>0</v>
      </c>
      <c r="BU15" s="10">
        <f>MAX(节奏总纲!H8-积分赛!$C$7,0)*$BC$10/30</f>
        <v>0</v>
      </c>
    </row>
    <row r="16" spans="1:73" x14ac:dyDescent="0.15">
      <c r="C16" s="6" t="s">
        <v>66</v>
      </c>
      <c r="I16" s="8" t="s">
        <v>70</v>
      </c>
      <c r="Z16" s="10">
        <v>6</v>
      </c>
      <c r="AA16" s="10">
        <f>IFERROR(MAX($Z16-积分赛!$C$7,0)*INDEX($U$7:$U$14,MATCH(AA$10,$T$7:$T$14,0))/30,0)</f>
        <v>0</v>
      </c>
      <c r="AB16" s="10">
        <f>IFERROR(MAX($Z16-积分赛!$C$7,0)*INDEX($U$7:$U$14,MATCH(AB$10,$T$7:$T$14,0))/30,0)</f>
        <v>0</v>
      </c>
      <c r="AC16" s="10">
        <f>IFERROR(MAX($Z16-积分赛!$C$7,0)*INDEX($U$7:$U$14,MATCH(AC$10,$T$7:$T$14,0))/30,0)</f>
        <v>0</v>
      </c>
      <c r="AD16" s="10">
        <f>IFERROR(MAX($Z16-积分赛!$C$7,0)*INDEX($U$7:$U$14,MATCH(AD$10,$T$7:$T$14,0))/30,0)</f>
        <v>0</v>
      </c>
      <c r="AE16" s="10">
        <f>IFERROR(MAX($Z16-积分赛!$C$7,0)*INDEX($U$7:$U$14,MATCH(AE$10,$T$7:$T$14,0))/30,0)</f>
        <v>0</v>
      </c>
      <c r="AF16" s="10">
        <f>MAX($Z16-积分赛!$C$7,0)*(IFERROR(INDEX($W$7:$W$14,MATCH(AF$10,$T$7:$T$14,0)),0)*$T$20+IFERROR(INDEX($X$7:$X$14,MATCH(AF$10,$T$7:$T$14,0)),0)*$T$21)/30</f>
        <v>0</v>
      </c>
      <c r="AG16" s="10">
        <f>MAX($Z16-积分赛!$C$7,0)*(IFERROR(INDEX($W$7:$W$14,MATCH(AG$10,$T$7:$T$14,0)),0)*$T$20+IFERROR(INDEX($X$7:$X$14,MATCH(AG$10,$T$7:$T$14,0)),0)*$T$21)/30</f>
        <v>0</v>
      </c>
      <c r="AH16" s="10">
        <f>MAX($Z16-积分赛!$C$7,0)*(IFERROR(INDEX($W$7:$W$14,MATCH(AH$10,$T$7:$T$14,0)),0)*$T$20+IFERROR(INDEX($X$7:$X$14,MATCH(AH$10,$T$7:$T$14,0)),0)*$T$21)/30</f>
        <v>0</v>
      </c>
      <c r="AI16" s="10">
        <f>MAX($Z16-积分赛!$C$7,0)*(IFERROR(INDEX($W$7:$W$14,MATCH(AI$10,$T$7:$T$14,0)),0)*$T$20+IFERROR(INDEX($X$7:$X$14,MATCH(AI$10,$T$7:$T$14,0)),0)*$T$21)/30</f>
        <v>0</v>
      </c>
      <c r="AJ16" s="10">
        <f>MAX($Z16-积分赛!$C$7,0)*(IFERROR(INDEX($W$7:$W$14,MATCH(AJ$10,$T$7:$T$14,0)),0)*$T$20+IFERROR(INDEX($X$7:$X$14,MATCH(AJ$10,$T$7:$T$14,0)),0)*$T$21)/30</f>
        <v>0</v>
      </c>
      <c r="AL16" s="10">
        <v>6</v>
      </c>
      <c r="AM16" s="10">
        <f>IFERROR(MAX(节奏总纲!D9-积分赛!$C$7,0)*INDEX($U$7:$U$14,MATCH(AA$10,$T$7:$T$14,0))/30,0)</f>
        <v>0</v>
      </c>
      <c r="AN16" s="10">
        <f>IFERROR(MAX(节奏总纲!E9-积分赛!$C$7,0)*INDEX($U$7:$U$14,MATCH(AB$10,$T$7:$T$14,0))/30,0)</f>
        <v>0</v>
      </c>
      <c r="AO16" s="10">
        <f>IFERROR(MAX(节奏总纲!F9-积分赛!$C$7,0)*INDEX($U$7:$U$14,MATCH(AC$10,$T$7:$T$14,0))/30,0)</f>
        <v>0</v>
      </c>
      <c r="AP16" s="10">
        <f>IFERROR(MAX(节奏总纲!G9-积分赛!$C$7,0)*INDEX($U$7:$U$14,MATCH(AD$10,$T$7:$T$14,0))/30,0)</f>
        <v>0</v>
      </c>
      <c r="AQ16" s="10">
        <f>IFERROR(MAX(节奏总纲!H9-积分赛!$C$7,0)*INDEX($U$7:$U$14,MATCH(AE$10,$T$7:$T$14,0))/30,0)</f>
        <v>0</v>
      </c>
      <c r="AR16" s="10">
        <f>MAX(节奏总纲!D9-积分赛!$C$7,0)*(IFERROR(INDEX($W$7:$W$14,MATCH(AF$10,$T$7:$T$14,0)),0)*$T$20+IFERROR(INDEX($X$7:$X$14,MATCH(AF$10,$T$7:$T$14,0)),0)*$T$21)/30</f>
        <v>0</v>
      </c>
      <c r="AS16" s="10">
        <f>MAX(节奏总纲!E9-积分赛!$C$7,0)*(IFERROR(INDEX($W$7:$W$14,MATCH(AG$10,$T$7:$T$14,0)),0)*$T$20+IFERROR(INDEX($X$7:$X$14,MATCH(AG$10,$T$7:$T$14,0)),0)*$T$21)/30</f>
        <v>0</v>
      </c>
      <c r="AT16" s="10">
        <f>MAX(节奏总纲!F9-积分赛!$C$7,0)*(IFERROR(INDEX($W$7:$W$14,MATCH(AH$10,$T$7:$T$14,0)),0)*$T$20+IFERROR(INDEX($X$7:$X$14,MATCH(AH$10,$T$7:$T$14,0)),0)*$T$21)/30</f>
        <v>0</v>
      </c>
      <c r="AU16" s="10">
        <f>MAX(节奏总纲!G9-积分赛!$C$7,0)*(IFERROR(INDEX($W$7:$W$14,MATCH(AI$10,$T$7:$T$14,0)),0)*$T$20+IFERROR(INDEX($X$7:$X$14,MATCH(AI$10,$T$7:$T$14,0)),0)*$T$21)/30</f>
        <v>0</v>
      </c>
      <c r="AV16" s="10">
        <f>MAX(节奏总纲!H9-积分赛!$C$7,0)*(IFERROR(INDEX($W$7:$W$14,MATCH(AJ$10,$T$7:$T$14,0)),0)*$T$20+IFERROR(INDEX($X$7:$X$14,MATCH(AJ$10,$T$7:$T$14,0)),0)*$T$21)/30</f>
        <v>0</v>
      </c>
      <c r="BI16" s="10">
        <v>6</v>
      </c>
      <c r="BJ16" s="10">
        <f>MAX($BI16-积分赛!$C$7,0)*$BC$10/30</f>
        <v>0</v>
      </c>
      <c r="BK16" s="10">
        <f>MAX($BI16-积分赛!$C$7,0)*$BC$10/30</f>
        <v>0</v>
      </c>
      <c r="BL16" s="10">
        <f>MAX($BI16-积分赛!$C$7,0)*$BC$10/30</f>
        <v>0</v>
      </c>
      <c r="BM16" s="10">
        <f>MAX($BI16-积分赛!$C$7,0)*$BC$10/30</f>
        <v>0</v>
      </c>
      <c r="BN16" s="10">
        <f>MAX($BI16-积分赛!$C$7,0)*$BC$10/30</f>
        <v>0</v>
      </c>
      <c r="BP16" s="10">
        <v>6</v>
      </c>
      <c r="BQ16" s="10">
        <f>MAX(节奏总纲!D9-积分赛!$C$7,0)*$BC$10/30</f>
        <v>0</v>
      </c>
      <c r="BR16" s="10">
        <f>MAX(节奏总纲!E9-积分赛!$C$7,0)*$BC$10/30</f>
        <v>0</v>
      </c>
      <c r="BS16" s="10">
        <f>MAX(节奏总纲!F9-积分赛!$C$7,0)*$BC$10/30</f>
        <v>0</v>
      </c>
      <c r="BT16" s="10">
        <f>MAX(节奏总纲!G9-积分赛!$C$7,0)*$BC$10/30</f>
        <v>0</v>
      </c>
      <c r="BU16" s="10">
        <f>MAX(节奏总纲!H9-积分赛!$C$7,0)*$BC$10/30</f>
        <v>0</v>
      </c>
    </row>
    <row r="17" spans="13:73" x14ac:dyDescent="0.15">
      <c r="Z17" s="10">
        <v>7</v>
      </c>
      <c r="AA17" s="10">
        <f>IFERROR(MAX($Z17-积分赛!$C$7,0)*INDEX($U$7:$U$14,MATCH(AA$10,$T$7:$T$14,0))/30,0)</f>
        <v>0</v>
      </c>
      <c r="AB17" s="10">
        <f>IFERROR(MAX($Z17-积分赛!$C$7,0)*INDEX($U$7:$U$14,MATCH(AB$10,$T$7:$T$14,0))/30,0)</f>
        <v>0</v>
      </c>
      <c r="AC17" s="10">
        <f>IFERROR(MAX($Z17-积分赛!$C$7,0)*INDEX($U$7:$U$14,MATCH(AC$10,$T$7:$T$14,0))/30,0)</f>
        <v>0</v>
      </c>
      <c r="AD17" s="10">
        <f>IFERROR(MAX($Z17-积分赛!$C$7,0)*INDEX($U$7:$U$14,MATCH(AD$10,$T$7:$T$14,0))/30,0)</f>
        <v>0</v>
      </c>
      <c r="AE17" s="10">
        <f>IFERROR(MAX($Z17-积分赛!$C$7,0)*INDEX($U$7:$U$14,MATCH(AE$10,$T$7:$T$14,0))/30,0)</f>
        <v>0</v>
      </c>
      <c r="AF17" s="10">
        <f>MAX($Z17-积分赛!$C$7,0)*(IFERROR(INDEX($W$7:$W$14,MATCH(AF$10,$T$7:$T$14,0)),0)*$T$20+IFERROR(INDEX($X$7:$X$14,MATCH(AF$10,$T$7:$T$14,0)),0)*$T$21)/30</f>
        <v>0</v>
      </c>
      <c r="AG17" s="10">
        <f>MAX($Z17-积分赛!$C$7,0)*(IFERROR(INDEX($W$7:$W$14,MATCH(AG$10,$T$7:$T$14,0)),0)*$T$20+IFERROR(INDEX($X$7:$X$14,MATCH(AG$10,$T$7:$T$14,0)),0)*$T$21)/30</f>
        <v>0</v>
      </c>
      <c r="AH17" s="10">
        <f>MAX($Z17-积分赛!$C$7,0)*(IFERROR(INDEX($W$7:$W$14,MATCH(AH$10,$T$7:$T$14,0)),0)*$T$20+IFERROR(INDEX($X$7:$X$14,MATCH(AH$10,$T$7:$T$14,0)),0)*$T$21)/30</f>
        <v>0</v>
      </c>
      <c r="AI17" s="10">
        <f>MAX($Z17-积分赛!$C$7,0)*(IFERROR(INDEX($W$7:$W$14,MATCH(AI$10,$T$7:$T$14,0)),0)*$T$20+IFERROR(INDEX($X$7:$X$14,MATCH(AI$10,$T$7:$T$14,0)),0)*$T$21)/30</f>
        <v>0</v>
      </c>
      <c r="AJ17" s="10">
        <f>MAX($Z17-积分赛!$C$7,0)*(IFERROR(INDEX($W$7:$W$14,MATCH(AJ$10,$T$7:$T$14,0)),0)*$T$20+IFERROR(INDEX($X$7:$X$14,MATCH(AJ$10,$T$7:$T$14,0)),0)*$T$21)/30</f>
        <v>0</v>
      </c>
      <c r="AL17" s="10">
        <v>7</v>
      </c>
      <c r="AM17" s="10">
        <f>IFERROR(MAX(节奏总纲!D10-积分赛!$C$7,0)*INDEX($U$7:$U$14,MATCH(AA$10,$T$7:$T$14,0))/30,0)</f>
        <v>0</v>
      </c>
      <c r="AN17" s="10">
        <f>IFERROR(MAX(节奏总纲!E10-积分赛!$C$7,0)*INDEX($U$7:$U$14,MATCH(AB$10,$T$7:$T$14,0))/30,0)</f>
        <v>0</v>
      </c>
      <c r="AO17" s="10">
        <f>IFERROR(MAX(节奏总纲!F10-积分赛!$C$7,0)*INDEX($U$7:$U$14,MATCH(AC$10,$T$7:$T$14,0))/30,0)</f>
        <v>0</v>
      </c>
      <c r="AP17" s="10">
        <f>IFERROR(MAX(节奏总纲!G10-积分赛!$C$7,0)*INDEX($U$7:$U$14,MATCH(AD$10,$T$7:$T$14,0))/30,0)</f>
        <v>0</v>
      </c>
      <c r="AQ17" s="10">
        <f>IFERROR(MAX(节奏总纲!H10-积分赛!$C$7,0)*INDEX($U$7:$U$14,MATCH(AE$10,$T$7:$T$14,0))/30,0)</f>
        <v>0</v>
      </c>
      <c r="AR17" s="10">
        <f>MAX(节奏总纲!D10-积分赛!$C$7,0)*(IFERROR(INDEX($W$7:$W$14,MATCH(AF$10,$T$7:$T$14,0)),0)*$T$20+IFERROR(INDEX($X$7:$X$14,MATCH(AF$10,$T$7:$T$14,0)),0)*$T$21)/30</f>
        <v>0</v>
      </c>
      <c r="AS17" s="10">
        <f>MAX(节奏总纲!E10-积分赛!$C$7,0)*(IFERROR(INDEX($W$7:$W$14,MATCH(AG$10,$T$7:$T$14,0)),0)*$T$20+IFERROR(INDEX($X$7:$X$14,MATCH(AG$10,$T$7:$T$14,0)),0)*$T$21)/30</f>
        <v>0</v>
      </c>
      <c r="AT17" s="10">
        <f>MAX(节奏总纲!F10-积分赛!$C$7,0)*(IFERROR(INDEX($W$7:$W$14,MATCH(AH$10,$T$7:$T$14,0)),0)*$T$20+IFERROR(INDEX($X$7:$X$14,MATCH(AH$10,$T$7:$T$14,0)),0)*$T$21)/30</f>
        <v>0</v>
      </c>
      <c r="AU17" s="10">
        <f>MAX(节奏总纲!G10-积分赛!$C$7,0)*(IFERROR(INDEX($W$7:$W$14,MATCH(AI$10,$T$7:$T$14,0)),0)*$T$20+IFERROR(INDEX($X$7:$X$14,MATCH(AI$10,$T$7:$T$14,0)),0)*$T$21)/30</f>
        <v>0</v>
      </c>
      <c r="AV17" s="10">
        <f>MAX(节奏总纲!H10-积分赛!$C$7,0)*(IFERROR(INDEX($W$7:$W$14,MATCH(AJ$10,$T$7:$T$14,0)),0)*$T$20+IFERROR(INDEX($X$7:$X$14,MATCH(AJ$10,$T$7:$T$14,0)),0)*$T$21)/30</f>
        <v>0</v>
      </c>
      <c r="BI17" s="10">
        <v>7</v>
      </c>
      <c r="BJ17" s="10">
        <f>MAX($BI17-积分赛!$C$7,0)*$BC$10/30</f>
        <v>0</v>
      </c>
      <c r="BK17" s="10">
        <f>MAX($BI17-积分赛!$C$7,0)*$BC$10/30</f>
        <v>0</v>
      </c>
      <c r="BL17" s="10">
        <f>MAX($BI17-积分赛!$C$7,0)*$BC$10/30</f>
        <v>0</v>
      </c>
      <c r="BM17" s="10">
        <f>MAX($BI17-积分赛!$C$7,0)*$BC$10/30</f>
        <v>0</v>
      </c>
      <c r="BN17" s="10">
        <f>MAX($BI17-积分赛!$C$7,0)*$BC$10/30</f>
        <v>0</v>
      </c>
      <c r="BP17" s="10">
        <v>7</v>
      </c>
      <c r="BQ17" s="10">
        <f>MAX(节奏总纲!D10-积分赛!$C$7,0)*$BC$10/30</f>
        <v>0</v>
      </c>
      <c r="BR17" s="10">
        <f>MAX(节奏总纲!E10-积分赛!$C$7,0)*$BC$10/30</f>
        <v>0</v>
      </c>
      <c r="BS17" s="10">
        <f>MAX(节奏总纲!F10-积分赛!$C$7,0)*$BC$10/30</f>
        <v>0</v>
      </c>
      <c r="BT17" s="10">
        <f>MAX(节奏总纲!G10-积分赛!$C$7,0)*$BC$10/30</f>
        <v>0</v>
      </c>
      <c r="BU17" s="10">
        <f>MAX(节奏总纲!H10-积分赛!$C$7,0)*$BC$10/30</f>
        <v>0</v>
      </c>
    </row>
    <row r="18" spans="13:73" x14ac:dyDescent="0.15">
      <c r="Z18" s="10">
        <v>8</v>
      </c>
      <c r="AA18" s="10">
        <f>IFERROR(MAX($Z18-积分赛!$C$7,0)*INDEX($U$7:$U$14,MATCH(AA$10,$T$7:$T$14,0))/30,0)</f>
        <v>0</v>
      </c>
      <c r="AB18" s="10">
        <f>IFERROR(MAX($Z18-积分赛!$C$7,0)*INDEX($U$7:$U$14,MATCH(AB$10,$T$7:$T$14,0))/30,0)</f>
        <v>0</v>
      </c>
      <c r="AC18" s="10">
        <f>IFERROR(MAX($Z18-积分赛!$C$7,0)*INDEX($U$7:$U$14,MATCH(AC$10,$T$7:$T$14,0))/30,0)</f>
        <v>0</v>
      </c>
      <c r="AD18" s="10">
        <f>IFERROR(MAX($Z18-积分赛!$C$7,0)*INDEX($U$7:$U$14,MATCH(AD$10,$T$7:$T$14,0))/30,0)</f>
        <v>0</v>
      </c>
      <c r="AE18" s="10">
        <f>IFERROR(MAX($Z18-积分赛!$C$7,0)*INDEX($U$7:$U$14,MATCH(AE$10,$T$7:$T$14,0))/30,0)</f>
        <v>0</v>
      </c>
      <c r="AF18" s="10">
        <f>MAX($Z18-积分赛!$C$7,0)*(IFERROR(INDEX($W$7:$W$14,MATCH(AF$10,$T$7:$T$14,0)),0)*$T$20+IFERROR(INDEX($X$7:$X$14,MATCH(AF$10,$T$7:$T$14,0)),0)*$T$21)/30</f>
        <v>0</v>
      </c>
      <c r="AG18" s="10">
        <f>MAX($Z18-积分赛!$C$7,0)*(IFERROR(INDEX($W$7:$W$14,MATCH(AG$10,$T$7:$T$14,0)),0)*$T$20+IFERROR(INDEX($X$7:$X$14,MATCH(AG$10,$T$7:$T$14,0)),0)*$T$21)/30</f>
        <v>0</v>
      </c>
      <c r="AH18" s="10">
        <f>MAX($Z18-积分赛!$C$7,0)*(IFERROR(INDEX($W$7:$W$14,MATCH(AH$10,$T$7:$T$14,0)),0)*$T$20+IFERROR(INDEX($X$7:$X$14,MATCH(AH$10,$T$7:$T$14,0)),0)*$T$21)/30</f>
        <v>0</v>
      </c>
      <c r="AI18" s="10">
        <f>MAX($Z18-积分赛!$C$7,0)*(IFERROR(INDEX($W$7:$W$14,MATCH(AI$10,$T$7:$T$14,0)),0)*$T$20+IFERROR(INDEX($X$7:$X$14,MATCH(AI$10,$T$7:$T$14,0)),0)*$T$21)/30</f>
        <v>0</v>
      </c>
      <c r="AJ18" s="10">
        <f>MAX($Z18-积分赛!$C$7,0)*(IFERROR(INDEX($W$7:$W$14,MATCH(AJ$10,$T$7:$T$14,0)),0)*$T$20+IFERROR(INDEX($X$7:$X$14,MATCH(AJ$10,$T$7:$T$14,0)),0)*$T$21)/30</f>
        <v>0</v>
      </c>
      <c r="AL18" s="10">
        <v>8</v>
      </c>
      <c r="AM18" s="10">
        <f>IFERROR(MAX(节奏总纲!D11-积分赛!$C$7,0)*INDEX($U$7:$U$14,MATCH(AA$10,$T$7:$T$14,0))/30,0)</f>
        <v>0</v>
      </c>
      <c r="AN18" s="10">
        <f>IFERROR(MAX(节奏总纲!E11-积分赛!$C$7,0)*INDEX($U$7:$U$14,MATCH(AB$10,$T$7:$T$14,0))/30,0)</f>
        <v>0</v>
      </c>
      <c r="AO18" s="10">
        <f>IFERROR(MAX(节奏总纲!F11-积分赛!$C$7,0)*INDEX($U$7:$U$14,MATCH(AC$10,$T$7:$T$14,0))/30,0)</f>
        <v>0</v>
      </c>
      <c r="AP18" s="10">
        <f>IFERROR(MAX(节奏总纲!G11-积分赛!$C$7,0)*INDEX($U$7:$U$14,MATCH(AD$10,$T$7:$T$14,0))/30,0)</f>
        <v>0</v>
      </c>
      <c r="AQ18" s="10">
        <f>IFERROR(MAX(节奏总纲!H11-积分赛!$C$7,0)*INDEX($U$7:$U$14,MATCH(AE$10,$T$7:$T$14,0))/30,0)</f>
        <v>0</v>
      </c>
      <c r="AR18" s="10">
        <f>MAX(节奏总纲!D11-积分赛!$C$7,0)*(IFERROR(INDEX($W$7:$W$14,MATCH(AF$10,$T$7:$T$14,0)),0)*$T$20+IFERROR(INDEX($X$7:$X$14,MATCH(AF$10,$T$7:$T$14,0)),0)*$T$21)/30</f>
        <v>0</v>
      </c>
      <c r="AS18" s="10">
        <f>MAX(节奏总纲!E11-积分赛!$C$7,0)*(IFERROR(INDEX($W$7:$W$14,MATCH(AG$10,$T$7:$T$14,0)),0)*$T$20+IFERROR(INDEX($X$7:$X$14,MATCH(AG$10,$T$7:$T$14,0)),0)*$T$21)/30</f>
        <v>0</v>
      </c>
      <c r="AT18" s="10">
        <f>MAX(节奏总纲!F11-积分赛!$C$7,0)*(IFERROR(INDEX($W$7:$W$14,MATCH(AH$10,$T$7:$T$14,0)),0)*$T$20+IFERROR(INDEX($X$7:$X$14,MATCH(AH$10,$T$7:$T$14,0)),0)*$T$21)/30</f>
        <v>0</v>
      </c>
      <c r="AU18" s="10">
        <f>MAX(节奏总纲!G11-积分赛!$C$7,0)*(IFERROR(INDEX($W$7:$W$14,MATCH(AI$10,$T$7:$T$14,0)),0)*$T$20+IFERROR(INDEX($X$7:$X$14,MATCH(AI$10,$T$7:$T$14,0)),0)*$T$21)/30</f>
        <v>0</v>
      </c>
      <c r="AV18" s="10">
        <f>MAX(节奏总纲!H11-积分赛!$C$7,0)*(IFERROR(INDEX($W$7:$W$14,MATCH(AJ$10,$T$7:$T$14,0)),0)*$T$20+IFERROR(INDEX($X$7:$X$14,MATCH(AJ$10,$T$7:$T$14,0)),0)*$T$21)/30</f>
        <v>0</v>
      </c>
      <c r="BI18" s="10">
        <v>8</v>
      </c>
      <c r="BJ18" s="10">
        <f>MAX($BI18-积分赛!$C$7,0)*$BC$10/30</f>
        <v>0</v>
      </c>
      <c r="BK18" s="10">
        <f>MAX($BI18-积分赛!$C$7,0)*$BC$10/30</f>
        <v>0</v>
      </c>
      <c r="BL18" s="10">
        <f>MAX($BI18-积分赛!$C$7,0)*$BC$10/30</f>
        <v>0</v>
      </c>
      <c r="BM18" s="10">
        <f>MAX($BI18-积分赛!$C$7,0)*$BC$10/30</f>
        <v>0</v>
      </c>
      <c r="BN18" s="10">
        <f>MAX($BI18-积分赛!$C$7,0)*$BC$10/30</f>
        <v>0</v>
      </c>
      <c r="BP18" s="10">
        <v>8</v>
      </c>
      <c r="BQ18" s="10">
        <f>MAX(节奏总纲!D11-积分赛!$C$7,0)*$BC$10/30</f>
        <v>0</v>
      </c>
      <c r="BR18" s="10">
        <f>MAX(节奏总纲!E11-积分赛!$C$7,0)*$BC$10/30</f>
        <v>0</v>
      </c>
      <c r="BS18" s="10">
        <f>MAX(节奏总纲!F11-积分赛!$C$7,0)*$BC$10/30</f>
        <v>0</v>
      </c>
      <c r="BT18" s="10">
        <f>MAX(节奏总纲!G11-积分赛!$C$7,0)*$BC$10/30</f>
        <v>0</v>
      </c>
      <c r="BU18" s="10">
        <f>MAX(节奏总纲!H11-积分赛!$C$7,0)*$BC$10/30</f>
        <v>0</v>
      </c>
    </row>
    <row r="19" spans="13:73" x14ac:dyDescent="0.15">
      <c r="R19" s="2" t="s">
        <v>110</v>
      </c>
      <c r="Z19" s="10">
        <v>9</v>
      </c>
      <c r="AA19" s="10">
        <f>IFERROR(MAX($Z19-积分赛!$C$7,0)*INDEX($U$7:$U$14,MATCH(AA$10,$T$7:$T$14,0))/30,0)</f>
        <v>0</v>
      </c>
      <c r="AB19" s="10">
        <f>IFERROR(MAX($Z19-积分赛!$C$7,0)*INDEX($U$7:$U$14,MATCH(AB$10,$T$7:$T$14,0))/30,0)</f>
        <v>0</v>
      </c>
      <c r="AC19" s="10">
        <f>IFERROR(MAX($Z19-积分赛!$C$7,0)*INDEX($U$7:$U$14,MATCH(AC$10,$T$7:$T$14,0))/30,0)</f>
        <v>0</v>
      </c>
      <c r="AD19" s="10">
        <f>IFERROR(MAX($Z19-积分赛!$C$7,0)*INDEX($U$7:$U$14,MATCH(AD$10,$T$7:$T$14,0))/30,0)</f>
        <v>0</v>
      </c>
      <c r="AE19" s="10">
        <f>IFERROR(MAX($Z19-积分赛!$C$7,0)*INDEX($U$7:$U$14,MATCH(AE$10,$T$7:$T$14,0))/30,0)</f>
        <v>0</v>
      </c>
      <c r="AF19" s="10">
        <f>MAX($Z19-积分赛!$C$7,0)*(IFERROR(INDEX($W$7:$W$14,MATCH(AF$10,$T$7:$T$14,0)),0)*$T$20+IFERROR(INDEX($X$7:$X$14,MATCH(AF$10,$T$7:$T$14,0)),0)*$T$21)/30</f>
        <v>0</v>
      </c>
      <c r="AG19" s="10">
        <f>MAX($Z19-积分赛!$C$7,0)*(IFERROR(INDEX($W$7:$W$14,MATCH(AG$10,$T$7:$T$14,0)),0)*$T$20+IFERROR(INDEX($X$7:$X$14,MATCH(AG$10,$T$7:$T$14,0)),0)*$T$21)/30</f>
        <v>0</v>
      </c>
      <c r="AH19" s="10">
        <f>MAX($Z19-积分赛!$C$7,0)*(IFERROR(INDEX($W$7:$W$14,MATCH(AH$10,$T$7:$T$14,0)),0)*$T$20+IFERROR(INDEX($X$7:$X$14,MATCH(AH$10,$T$7:$T$14,0)),0)*$T$21)/30</f>
        <v>0</v>
      </c>
      <c r="AI19" s="10">
        <f>MAX($Z19-积分赛!$C$7,0)*(IFERROR(INDEX($W$7:$W$14,MATCH(AI$10,$T$7:$T$14,0)),0)*$T$20+IFERROR(INDEX($X$7:$X$14,MATCH(AI$10,$T$7:$T$14,0)),0)*$T$21)/30</f>
        <v>0</v>
      </c>
      <c r="AJ19" s="10">
        <f>MAX($Z19-积分赛!$C$7,0)*(IFERROR(INDEX($W$7:$W$14,MATCH(AJ$10,$T$7:$T$14,0)),0)*$T$20+IFERROR(INDEX($X$7:$X$14,MATCH(AJ$10,$T$7:$T$14,0)),0)*$T$21)/30</f>
        <v>0</v>
      </c>
      <c r="AL19" s="10">
        <v>9</v>
      </c>
      <c r="AM19" s="10">
        <f>IFERROR(MAX(节奏总纲!D12-积分赛!$C$7,0)*INDEX($U$7:$U$14,MATCH(AA$10,$T$7:$T$14,0))/30,0)</f>
        <v>0</v>
      </c>
      <c r="AN19" s="10">
        <f>IFERROR(MAX(节奏总纲!E12-积分赛!$C$7,0)*INDEX($U$7:$U$14,MATCH(AB$10,$T$7:$T$14,0))/30,0)</f>
        <v>0</v>
      </c>
      <c r="AO19" s="10">
        <f>IFERROR(MAX(节奏总纲!F12-积分赛!$C$7,0)*INDEX($U$7:$U$14,MATCH(AC$10,$T$7:$T$14,0))/30,0)</f>
        <v>0</v>
      </c>
      <c r="AP19" s="10">
        <f>IFERROR(MAX(节奏总纲!G12-积分赛!$C$7,0)*INDEX($U$7:$U$14,MATCH(AD$10,$T$7:$T$14,0))/30,0)</f>
        <v>0</v>
      </c>
      <c r="AQ19" s="10">
        <f>IFERROR(MAX(节奏总纲!H12-积分赛!$C$7,0)*INDEX($U$7:$U$14,MATCH(AE$10,$T$7:$T$14,0))/30,0)</f>
        <v>0</v>
      </c>
      <c r="AR19" s="10">
        <f>MAX(节奏总纲!D12-积分赛!$C$7,0)*(IFERROR(INDEX($W$7:$W$14,MATCH(AF$10,$T$7:$T$14,0)),0)*$T$20+IFERROR(INDEX($X$7:$X$14,MATCH(AF$10,$T$7:$T$14,0)),0)*$T$21)/30</f>
        <v>0</v>
      </c>
      <c r="AS19" s="10">
        <f>MAX(节奏总纲!E12-积分赛!$C$7,0)*(IFERROR(INDEX($W$7:$W$14,MATCH(AG$10,$T$7:$T$14,0)),0)*$T$20+IFERROR(INDEX($X$7:$X$14,MATCH(AG$10,$T$7:$T$14,0)),0)*$T$21)/30</f>
        <v>0</v>
      </c>
      <c r="AT19" s="10">
        <f>MAX(节奏总纲!F12-积分赛!$C$7,0)*(IFERROR(INDEX($W$7:$W$14,MATCH(AH$10,$T$7:$T$14,0)),0)*$T$20+IFERROR(INDEX($X$7:$X$14,MATCH(AH$10,$T$7:$T$14,0)),0)*$T$21)/30</f>
        <v>0</v>
      </c>
      <c r="AU19" s="10">
        <f>MAX(节奏总纲!G12-积分赛!$C$7,0)*(IFERROR(INDEX($W$7:$W$14,MATCH(AI$10,$T$7:$T$14,0)),0)*$T$20+IFERROR(INDEX($X$7:$X$14,MATCH(AI$10,$T$7:$T$14,0)),0)*$T$21)/30</f>
        <v>0</v>
      </c>
      <c r="AV19" s="10">
        <f>MAX(节奏总纲!H12-积分赛!$C$7,0)*(IFERROR(INDEX($W$7:$W$14,MATCH(AJ$10,$T$7:$T$14,0)),0)*$T$20+IFERROR(INDEX($X$7:$X$14,MATCH(AJ$10,$T$7:$T$14,0)),0)*$T$21)/30</f>
        <v>0</v>
      </c>
      <c r="BI19" s="10">
        <v>9</v>
      </c>
      <c r="BJ19" s="10">
        <f>MAX($BI19-积分赛!$C$7,0)*$BC$10/30</f>
        <v>0</v>
      </c>
      <c r="BK19" s="10">
        <f>MAX($BI19-积分赛!$C$7,0)*$BC$10/30</f>
        <v>0</v>
      </c>
      <c r="BL19" s="10">
        <f>MAX($BI19-积分赛!$C$7,0)*$BC$10/30</f>
        <v>0</v>
      </c>
      <c r="BM19" s="10">
        <f>MAX($BI19-积分赛!$C$7,0)*$BC$10/30</f>
        <v>0</v>
      </c>
      <c r="BN19" s="10">
        <f>MAX($BI19-积分赛!$C$7,0)*$BC$10/30</f>
        <v>0</v>
      </c>
      <c r="BP19" s="10">
        <v>9</v>
      </c>
      <c r="BQ19" s="10">
        <f>MAX(节奏总纲!D12-积分赛!$C$7,0)*$BC$10/30</f>
        <v>0</v>
      </c>
      <c r="BR19" s="10">
        <f>MAX(节奏总纲!E12-积分赛!$C$7,0)*$BC$10/30</f>
        <v>0</v>
      </c>
      <c r="BS19" s="10">
        <f>MAX(节奏总纲!F12-积分赛!$C$7,0)*$BC$10/30</f>
        <v>0</v>
      </c>
      <c r="BT19" s="10">
        <f>MAX(节奏总纲!G12-积分赛!$C$7,0)*$BC$10/30</f>
        <v>0</v>
      </c>
      <c r="BU19" s="10">
        <f>MAX(节奏总纲!H12-积分赛!$C$7,0)*$BC$10/30</f>
        <v>0</v>
      </c>
    </row>
    <row r="20" spans="13:73" x14ac:dyDescent="0.15">
      <c r="S20" s="10" t="s">
        <v>188</v>
      </c>
      <c r="T20" s="10">
        <f>道具投放节奏!$E$87</f>
        <v>305.5</v>
      </c>
      <c r="Z20" s="10">
        <v>10</v>
      </c>
      <c r="AA20" s="10">
        <f>IFERROR(MAX($Z20-积分赛!$C$7,0)*INDEX($U$7:$U$14,MATCH(AA$10,$T$7:$T$14,0))/30,0)</f>
        <v>0</v>
      </c>
      <c r="AB20" s="10">
        <f>IFERROR(MAX($Z20-积分赛!$C$7,0)*INDEX($U$7:$U$14,MATCH(AB$10,$T$7:$T$14,0))/30,0)</f>
        <v>0</v>
      </c>
      <c r="AC20" s="10">
        <f>IFERROR(MAX($Z20-积分赛!$C$7,0)*INDEX($U$7:$U$14,MATCH(AC$10,$T$7:$T$14,0))/30,0)</f>
        <v>0</v>
      </c>
      <c r="AD20" s="10">
        <f>IFERROR(MAX($Z20-积分赛!$C$7,0)*INDEX($U$7:$U$14,MATCH(AD$10,$T$7:$T$14,0))/30,0)</f>
        <v>0</v>
      </c>
      <c r="AE20" s="10">
        <f>IFERROR(MAX($Z20-积分赛!$C$7,0)*INDEX($U$7:$U$14,MATCH(AE$10,$T$7:$T$14,0))/30,0)</f>
        <v>0</v>
      </c>
      <c r="AF20" s="10">
        <f>MAX($Z20-积分赛!$C$7,0)*(IFERROR(INDEX($W$7:$W$14,MATCH(AF$10,$T$7:$T$14,0)),0)*$T$20+IFERROR(INDEX($X$7:$X$14,MATCH(AF$10,$T$7:$T$14,0)),0)*$T$21)/30</f>
        <v>0</v>
      </c>
      <c r="AG20" s="10">
        <f>MAX($Z20-积分赛!$C$7,0)*(IFERROR(INDEX($W$7:$W$14,MATCH(AG$10,$T$7:$T$14,0)),0)*$T$20+IFERROR(INDEX($X$7:$X$14,MATCH(AG$10,$T$7:$T$14,0)),0)*$T$21)/30</f>
        <v>0</v>
      </c>
      <c r="AH20" s="10">
        <f>MAX($Z20-积分赛!$C$7,0)*(IFERROR(INDEX($W$7:$W$14,MATCH(AH$10,$T$7:$T$14,0)),0)*$T$20+IFERROR(INDEX($X$7:$X$14,MATCH(AH$10,$T$7:$T$14,0)),0)*$T$21)/30</f>
        <v>0</v>
      </c>
      <c r="AI20" s="10">
        <f>MAX($Z20-积分赛!$C$7,0)*(IFERROR(INDEX($W$7:$W$14,MATCH(AI$10,$T$7:$T$14,0)),0)*$T$20+IFERROR(INDEX($X$7:$X$14,MATCH(AI$10,$T$7:$T$14,0)),0)*$T$21)/30</f>
        <v>0</v>
      </c>
      <c r="AJ20" s="10">
        <f>MAX($Z20-积分赛!$C$7,0)*(IFERROR(INDEX($W$7:$W$14,MATCH(AJ$10,$T$7:$T$14,0)),0)*$T$20+IFERROR(INDEX($X$7:$X$14,MATCH(AJ$10,$T$7:$T$14,0)),0)*$T$21)/30</f>
        <v>0</v>
      </c>
      <c r="AL20" s="10">
        <v>10</v>
      </c>
      <c r="AM20" s="10">
        <f>IFERROR(MAX(节奏总纲!D13-积分赛!$C$7,0)*INDEX($U$7:$U$14,MATCH(AA$10,$T$7:$T$14,0))/30,0)</f>
        <v>0</v>
      </c>
      <c r="AN20" s="10">
        <f>IFERROR(MAX(节奏总纲!E13-积分赛!$C$7,0)*INDEX($U$7:$U$14,MATCH(AB$10,$T$7:$T$14,0))/30,0)</f>
        <v>0</v>
      </c>
      <c r="AO20" s="10">
        <f>IFERROR(MAX(节奏总纲!F13-积分赛!$C$7,0)*INDEX($U$7:$U$14,MATCH(AC$10,$T$7:$T$14,0))/30,0)</f>
        <v>0</v>
      </c>
      <c r="AP20" s="10">
        <f>IFERROR(MAX(节奏总纲!G13-积分赛!$C$7,0)*INDEX($U$7:$U$14,MATCH(AD$10,$T$7:$T$14,0))/30,0)</f>
        <v>0</v>
      </c>
      <c r="AQ20" s="10">
        <f>IFERROR(MAX(节奏总纲!H13-积分赛!$C$7,0)*INDEX($U$7:$U$14,MATCH(AE$10,$T$7:$T$14,0))/30,0)</f>
        <v>0</v>
      </c>
      <c r="AR20" s="10">
        <f>MAX(节奏总纲!D13-积分赛!$C$7,0)*(IFERROR(INDEX($W$7:$W$14,MATCH(AF$10,$T$7:$T$14,0)),0)*$T$20+IFERROR(INDEX($X$7:$X$14,MATCH(AF$10,$T$7:$T$14,0)),0)*$T$21)/30</f>
        <v>0</v>
      </c>
      <c r="AS20" s="10">
        <f>MAX(节奏总纲!E13-积分赛!$C$7,0)*(IFERROR(INDEX($W$7:$W$14,MATCH(AG$10,$T$7:$T$14,0)),0)*$T$20+IFERROR(INDEX($X$7:$X$14,MATCH(AG$10,$T$7:$T$14,0)),0)*$T$21)/30</f>
        <v>0</v>
      </c>
      <c r="AT20" s="10">
        <f>MAX(节奏总纲!F13-积分赛!$C$7,0)*(IFERROR(INDEX($W$7:$W$14,MATCH(AH$10,$T$7:$T$14,0)),0)*$T$20+IFERROR(INDEX($X$7:$X$14,MATCH(AH$10,$T$7:$T$14,0)),0)*$T$21)/30</f>
        <v>0</v>
      </c>
      <c r="AU20" s="10">
        <f>MAX(节奏总纲!G13-积分赛!$C$7,0)*(IFERROR(INDEX($W$7:$W$14,MATCH(AI$10,$T$7:$T$14,0)),0)*$T$20+IFERROR(INDEX($X$7:$X$14,MATCH(AI$10,$T$7:$T$14,0)),0)*$T$21)/30</f>
        <v>0</v>
      </c>
      <c r="AV20" s="10">
        <f>MAX(节奏总纲!H13-积分赛!$C$7,0)*(IFERROR(INDEX($W$7:$W$14,MATCH(AJ$10,$T$7:$T$14,0)),0)*$T$20+IFERROR(INDEX($X$7:$X$14,MATCH(AJ$10,$T$7:$T$14,0)),0)*$T$21)/30</f>
        <v>0</v>
      </c>
      <c r="BI20" s="10">
        <v>10</v>
      </c>
      <c r="BJ20" s="10">
        <f>MAX($BI20-积分赛!$C$7,0)*$BC$10/30</f>
        <v>0</v>
      </c>
      <c r="BK20" s="10">
        <f>MAX($BI20-积分赛!$C$7,0)*$BC$10/30</f>
        <v>0</v>
      </c>
      <c r="BL20" s="10">
        <f>MAX($BI20-积分赛!$C$7,0)*$BC$10/30</f>
        <v>0</v>
      </c>
      <c r="BM20" s="10">
        <f>MAX($BI20-积分赛!$C$7,0)*$BC$10/30</f>
        <v>0</v>
      </c>
      <c r="BN20" s="10">
        <f>MAX($BI20-积分赛!$C$7,0)*$BC$10/30</f>
        <v>0</v>
      </c>
      <c r="BP20" s="10">
        <v>10</v>
      </c>
      <c r="BQ20" s="10">
        <f>MAX(节奏总纲!D13-积分赛!$C$7,0)*$BC$10/30</f>
        <v>0</v>
      </c>
      <c r="BR20" s="10">
        <f>MAX(节奏总纲!E13-积分赛!$C$7,0)*$BC$10/30</f>
        <v>0</v>
      </c>
      <c r="BS20" s="10">
        <f>MAX(节奏总纲!F13-积分赛!$C$7,0)*$BC$10/30</f>
        <v>0</v>
      </c>
      <c r="BT20" s="10">
        <f>MAX(节奏总纲!G13-积分赛!$C$7,0)*$BC$10/30</f>
        <v>0</v>
      </c>
      <c r="BU20" s="10">
        <f>MAX(节奏总纲!H13-积分赛!$C$7,0)*$BC$10/30</f>
        <v>0</v>
      </c>
    </row>
    <row r="21" spans="13:73" x14ac:dyDescent="0.15">
      <c r="Z21" s="10">
        <v>11</v>
      </c>
      <c r="AA21" s="10">
        <f>IFERROR(MAX($Z21-积分赛!$C$7,0)*INDEX($U$7:$U$14,MATCH(AA$10,$T$7:$T$14,0))/30,0)</f>
        <v>0</v>
      </c>
      <c r="AB21" s="10">
        <f>IFERROR(MAX($Z21-积分赛!$C$7,0)*INDEX($U$7:$U$14,MATCH(AB$10,$T$7:$T$14,0))/30,0)</f>
        <v>0</v>
      </c>
      <c r="AC21" s="10">
        <f>IFERROR(MAX($Z21-积分赛!$C$7,0)*INDEX($U$7:$U$14,MATCH(AC$10,$T$7:$T$14,0))/30,0)</f>
        <v>0</v>
      </c>
      <c r="AD21" s="10">
        <f>IFERROR(MAX($Z21-积分赛!$C$7,0)*INDEX($U$7:$U$14,MATCH(AD$10,$T$7:$T$14,0))/30,0)</f>
        <v>0</v>
      </c>
      <c r="AE21" s="10">
        <f>IFERROR(MAX($Z21-积分赛!$C$7,0)*INDEX($U$7:$U$14,MATCH(AE$10,$T$7:$T$14,0))/30,0)</f>
        <v>0</v>
      </c>
      <c r="AF21" s="10">
        <f>MAX($Z21-积分赛!$C$7,0)*(IFERROR(INDEX($W$7:$W$14,MATCH(AF$10,$T$7:$T$14,0)),0)*$T$20+IFERROR(INDEX($X$7:$X$14,MATCH(AF$10,$T$7:$T$14,0)),0)*$T$21)/30</f>
        <v>0</v>
      </c>
      <c r="AG21" s="10">
        <f>MAX($Z21-积分赛!$C$7,0)*(IFERROR(INDEX($W$7:$W$14,MATCH(AG$10,$T$7:$T$14,0)),0)*$T$20+IFERROR(INDEX($X$7:$X$14,MATCH(AG$10,$T$7:$T$14,0)),0)*$T$21)/30</f>
        <v>0</v>
      </c>
      <c r="AH21" s="10">
        <f>MAX($Z21-积分赛!$C$7,0)*(IFERROR(INDEX($W$7:$W$14,MATCH(AH$10,$T$7:$T$14,0)),0)*$T$20+IFERROR(INDEX($X$7:$X$14,MATCH(AH$10,$T$7:$T$14,0)),0)*$T$21)/30</f>
        <v>0</v>
      </c>
      <c r="AI21" s="10">
        <f>MAX($Z21-积分赛!$C$7,0)*(IFERROR(INDEX($W$7:$W$14,MATCH(AI$10,$T$7:$T$14,0)),0)*$T$20+IFERROR(INDEX($X$7:$X$14,MATCH(AI$10,$T$7:$T$14,0)),0)*$T$21)/30</f>
        <v>0</v>
      </c>
      <c r="AJ21" s="10">
        <f>MAX($Z21-积分赛!$C$7,0)*(IFERROR(INDEX($W$7:$W$14,MATCH(AJ$10,$T$7:$T$14,0)),0)*$T$20+IFERROR(INDEX($X$7:$X$14,MATCH(AJ$10,$T$7:$T$14,0)),0)*$T$21)/30</f>
        <v>0</v>
      </c>
      <c r="AL21" s="10">
        <v>11</v>
      </c>
      <c r="AM21" s="10">
        <f>IFERROR(MAX(节奏总纲!D14-积分赛!$C$7,0)*INDEX($U$7:$U$14,MATCH(AA$10,$T$7:$T$14,0))/30,0)</f>
        <v>0</v>
      </c>
      <c r="AN21" s="10">
        <f>IFERROR(MAX(节奏总纲!E14-积分赛!$C$7,0)*INDEX($U$7:$U$14,MATCH(AB$10,$T$7:$T$14,0))/30,0)</f>
        <v>0</v>
      </c>
      <c r="AO21" s="10">
        <f>IFERROR(MAX(节奏总纲!F14-积分赛!$C$7,0)*INDEX($U$7:$U$14,MATCH(AC$10,$T$7:$T$14,0))/30,0)</f>
        <v>0</v>
      </c>
      <c r="AP21" s="10">
        <f>IFERROR(MAX(节奏总纲!G14-积分赛!$C$7,0)*INDEX($U$7:$U$14,MATCH(AD$10,$T$7:$T$14,0))/30,0)</f>
        <v>0</v>
      </c>
      <c r="AQ21" s="10">
        <f>IFERROR(MAX(节奏总纲!H14-积分赛!$C$7,0)*INDEX($U$7:$U$14,MATCH(AE$10,$T$7:$T$14,0))/30,0)</f>
        <v>0</v>
      </c>
      <c r="AR21" s="10">
        <f>MAX(节奏总纲!D14-积分赛!$C$7,0)*(IFERROR(INDEX($W$7:$W$14,MATCH(AF$10,$T$7:$T$14,0)),0)*$T$20+IFERROR(INDEX($X$7:$X$14,MATCH(AF$10,$T$7:$T$14,0)),0)*$T$21)/30</f>
        <v>0</v>
      </c>
      <c r="AS21" s="10">
        <f>MAX(节奏总纲!E14-积分赛!$C$7,0)*(IFERROR(INDEX($W$7:$W$14,MATCH(AG$10,$T$7:$T$14,0)),0)*$T$20+IFERROR(INDEX($X$7:$X$14,MATCH(AG$10,$T$7:$T$14,0)),0)*$T$21)/30</f>
        <v>0</v>
      </c>
      <c r="AT21" s="10">
        <f>MAX(节奏总纲!F14-积分赛!$C$7,0)*(IFERROR(INDEX($W$7:$W$14,MATCH(AH$10,$T$7:$T$14,0)),0)*$T$20+IFERROR(INDEX($X$7:$X$14,MATCH(AH$10,$T$7:$T$14,0)),0)*$T$21)/30</f>
        <v>0</v>
      </c>
      <c r="AU21" s="10">
        <f>MAX(节奏总纲!G14-积分赛!$C$7,0)*(IFERROR(INDEX($W$7:$W$14,MATCH(AI$10,$T$7:$T$14,0)),0)*$T$20+IFERROR(INDEX($X$7:$X$14,MATCH(AI$10,$T$7:$T$14,0)),0)*$T$21)/30</f>
        <v>0</v>
      </c>
      <c r="AV21" s="10">
        <f>MAX(节奏总纲!H14-积分赛!$C$7,0)*(IFERROR(INDEX($W$7:$W$14,MATCH(AJ$10,$T$7:$T$14,0)),0)*$T$20+IFERROR(INDEX($X$7:$X$14,MATCH(AJ$10,$T$7:$T$14,0)),0)*$T$21)/30</f>
        <v>0</v>
      </c>
      <c r="BI21" s="10">
        <v>11</v>
      </c>
      <c r="BJ21" s="10">
        <f>MAX($BI21-积分赛!$C$7,0)*$BC$10/30</f>
        <v>0</v>
      </c>
      <c r="BK21" s="10">
        <f>MAX($BI21-积分赛!$C$7,0)*$BC$10/30</f>
        <v>0</v>
      </c>
      <c r="BL21" s="10">
        <f>MAX($BI21-积分赛!$C$7,0)*$BC$10/30</f>
        <v>0</v>
      </c>
      <c r="BM21" s="10">
        <f>MAX($BI21-积分赛!$C$7,0)*$BC$10/30</f>
        <v>0</v>
      </c>
      <c r="BN21" s="10">
        <f>MAX($BI21-积分赛!$C$7,0)*$BC$10/30</f>
        <v>0</v>
      </c>
      <c r="BP21" s="10">
        <v>11</v>
      </c>
      <c r="BQ21" s="10">
        <f>MAX(节奏总纲!D14-积分赛!$C$7,0)*$BC$10/30</f>
        <v>0</v>
      </c>
      <c r="BR21" s="10">
        <f>MAX(节奏总纲!E14-积分赛!$C$7,0)*$BC$10/30</f>
        <v>0</v>
      </c>
      <c r="BS21" s="10">
        <f>MAX(节奏总纲!F14-积分赛!$C$7,0)*$BC$10/30</f>
        <v>0</v>
      </c>
      <c r="BT21" s="10">
        <f>MAX(节奏总纲!G14-积分赛!$C$7,0)*$BC$10/30</f>
        <v>0</v>
      </c>
      <c r="BU21" s="10">
        <f>MAX(节奏总纲!H14-积分赛!$C$7,0)*$BC$10/30</f>
        <v>0</v>
      </c>
    </row>
    <row r="22" spans="13:73" x14ac:dyDescent="0.15">
      <c r="M22" s="10"/>
      <c r="Z22" s="10">
        <v>12</v>
      </c>
      <c r="AA22" s="10">
        <f>IFERROR(MAX($Z22-积分赛!$C$7,0)*INDEX($U$7:$U$14,MATCH(AA$10,$T$7:$T$14,0))/30,0)</f>
        <v>0</v>
      </c>
      <c r="AB22" s="10">
        <f>IFERROR(MAX($Z22-积分赛!$C$7,0)*INDEX($U$7:$U$14,MATCH(AB$10,$T$7:$T$14,0))/30,0)</f>
        <v>0</v>
      </c>
      <c r="AC22" s="10">
        <f>IFERROR(MAX($Z22-积分赛!$C$7,0)*INDEX($U$7:$U$14,MATCH(AC$10,$T$7:$T$14,0))/30,0)</f>
        <v>0</v>
      </c>
      <c r="AD22" s="10">
        <f>IFERROR(MAX($Z22-积分赛!$C$7,0)*INDEX($U$7:$U$14,MATCH(AD$10,$T$7:$T$14,0))/30,0)</f>
        <v>0</v>
      </c>
      <c r="AE22" s="10">
        <f>IFERROR(MAX($Z22-积分赛!$C$7,0)*INDEX($U$7:$U$14,MATCH(AE$10,$T$7:$T$14,0))/30,0)</f>
        <v>0</v>
      </c>
      <c r="AF22" s="10">
        <f>MAX($Z22-积分赛!$C$7,0)*(IFERROR(INDEX($W$7:$W$14,MATCH(AF$10,$T$7:$T$14,0)),0)*$T$20+IFERROR(INDEX($X$7:$X$14,MATCH(AF$10,$T$7:$T$14,0)),0)*$T$21)/30</f>
        <v>0</v>
      </c>
      <c r="AG22" s="10">
        <f>MAX($Z22-积分赛!$C$7,0)*(IFERROR(INDEX($W$7:$W$14,MATCH(AG$10,$T$7:$T$14,0)),0)*$T$20+IFERROR(INDEX($X$7:$X$14,MATCH(AG$10,$T$7:$T$14,0)),0)*$T$21)/30</f>
        <v>0</v>
      </c>
      <c r="AH22" s="10">
        <f>MAX($Z22-积分赛!$C$7,0)*(IFERROR(INDEX($W$7:$W$14,MATCH(AH$10,$T$7:$T$14,0)),0)*$T$20+IFERROR(INDEX($X$7:$X$14,MATCH(AH$10,$T$7:$T$14,0)),0)*$T$21)/30</f>
        <v>0</v>
      </c>
      <c r="AI22" s="10">
        <f>MAX($Z22-积分赛!$C$7,0)*(IFERROR(INDEX($W$7:$W$14,MATCH(AI$10,$T$7:$T$14,0)),0)*$T$20+IFERROR(INDEX($X$7:$X$14,MATCH(AI$10,$T$7:$T$14,0)),0)*$T$21)/30</f>
        <v>0</v>
      </c>
      <c r="AJ22" s="10">
        <f>MAX($Z22-积分赛!$C$7,0)*(IFERROR(INDEX($W$7:$W$14,MATCH(AJ$10,$T$7:$T$14,0)),0)*$T$20+IFERROR(INDEX($X$7:$X$14,MATCH(AJ$10,$T$7:$T$14,0)),0)*$T$21)/30</f>
        <v>0</v>
      </c>
      <c r="AL22" s="10">
        <v>12</v>
      </c>
      <c r="AM22" s="10">
        <f>IFERROR(MAX(节奏总纲!D15-积分赛!$C$7,0)*INDEX($U$7:$U$14,MATCH(AA$10,$T$7:$T$14,0))/30,0)</f>
        <v>0</v>
      </c>
      <c r="AN22" s="10">
        <f>IFERROR(MAX(节奏总纲!E15-积分赛!$C$7,0)*INDEX($U$7:$U$14,MATCH(AB$10,$T$7:$T$14,0))/30,0)</f>
        <v>0</v>
      </c>
      <c r="AO22" s="10">
        <f>IFERROR(MAX(节奏总纲!F15-积分赛!$C$7,0)*INDEX($U$7:$U$14,MATCH(AC$10,$T$7:$T$14,0))/30,0)</f>
        <v>0</v>
      </c>
      <c r="AP22" s="10">
        <f>IFERROR(MAX(节奏总纲!G15-积分赛!$C$7,0)*INDEX($U$7:$U$14,MATCH(AD$10,$T$7:$T$14,0))/30,0)</f>
        <v>0</v>
      </c>
      <c r="AQ22" s="10">
        <f>IFERROR(MAX(节奏总纲!H15-积分赛!$C$7,0)*INDEX($U$7:$U$14,MATCH(AE$10,$T$7:$T$14,0))/30,0)</f>
        <v>0</v>
      </c>
      <c r="AR22" s="10">
        <f>MAX(节奏总纲!D15-积分赛!$C$7,0)*(IFERROR(INDEX($W$7:$W$14,MATCH(AF$10,$T$7:$T$14,0)),0)*$T$20+IFERROR(INDEX($X$7:$X$14,MATCH(AF$10,$T$7:$T$14,0)),0)*$T$21)/30</f>
        <v>0</v>
      </c>
      <c r="AS22" s="10">
        <f>MAX(节奏总纲!E15-积分赛!$C$7,0)*(IFERROR(INDEX($W$7:$W$14,MATCH(AG$10,$T$7:$T$14,0)),0)*$T$20+IFERROR(INDEX($X$7:$X$14,MATCH(AG$10,$T$7:$T$14,0)),0)*$T$21)/30</f>
        <v>0</v>
      </c>
      <c r="AT22" s="10">
        <f>MAX(节奏总纲!F15-积分赛!$C$7,0)*(IFERROR(INDEX($W$7:$W$14,MATCH(AH$10,$T$7:$T$14,0)),0)*$T$20+IFERROR(INDEX($X$7:$X$14,MATCH(AH$10,$T$7:$T$14,0)),0)*$T$21)/30</f>
        <v>0</v>
      </c>
      <c r="AU22" s="10">
        <f>MAX(节奏总纲!G15-积分赛!$C$7,0)*(IFERROR(INDEX($W$7:$W$14,MATCH(AI$10,$T$7:$T$14,0)),0)*$T$20+IFERROR(INDEX($X$7:$X$14,MATCH(AI$10,$T$7:$T$14,0)),0)*$T$21)/30</f>
        <v>0</v>
      </c>
      <c r="AV22" s="10">
        <f>MAX(节奏总纲!H15-积分赛!$C$7,0)*(IFERROR(INDEX($W$7:$W$14,MATCH(AJ$10,$T$7:$T$14,0)),0)*$T$20+IFERROR(INDEX($X$7:$X$14,MATCH(AJ$10,$T$7:$T$14,0)),0)*$T$21)/30</f>
        <v>0</v>
      </c>
      <c r="BI22" s="10">
        <v>12</v>
      </c>
      <c r="BJ22" s="10">
        <f>MAX($BI22-积分赛!$C$7,0)*$BC$10/30</f>
        <v>0</v>
      </c>
      <c r="BK22" s="10">
        <f>MAX($BI22-积分赛!$C$7,0)*$BC$10/30</f>
        <v>0</v>
      </c>
      <c r="BL22" s="10">
        <f>MAX($BI22-积分赛!$C$7,0)*$BC$10/30</f>
        <v>0</v>
      </c>
      <c r="BM22" s="10">
        <f>MAX($BI22-积分赛!$C$7,0)*$BC$10/30</f>
        <v>0</v>
      </c>
      <c r="BN22" s="10">
        <f>MAX($BI22-积分赛!$C$7,0)*$BC$10/30</f>
        <v>0</v>
      </c>
      <c r="BP22" s="10">
        <v>12</v>
      </c>
      <c r="BQ22" s="10">
        <f>MAX(节奏总纲!D15-积分赛!$C$7,0)*$BC$10/30</f>
        <v>0</v>
      </c>
      <c r="BR22" s="10">
        <f>MAX(节奏总纲!E15-积分赛!$C$7,0)*$BC$10/30</f>
        <v>0</v>
      </c>
      <c r="BS22" s="10">
        <f>MAX(节奏总纲!F15-积分赛!$C$7,0)*$BC$10/30</f>
        <v>0</v>
      </c>
      <c r="BT22" s="10">
        <f>MAX(节奏总纲!G15-积分赛!$C$7,0)*$BC$10/30</f>
        <v>0</v>
      </c>
      <c r="BU22" s="10">
        <f>MAX(节奏总纲!H15-积分赛!$C$7,0)*$BC$10/30</f>
        <v>0</v>
      </c>
    </row>
    <row r="23" spans="13:73" x14ac:dyDescent="0.15">
      <c r="M23" s="10"/>
      <c r="Z23" s="10">
        <v>13</v>
      </c>
      <c r="AA23" s="10">
        <f>IFERROR(MAX($Z23-积分赛!$C$7,0)*INDEX($U$7:$U$14,MATCH(AA$10,$T$7:$T$14,0))/30,0)</f>
        <v>0</v>
      </c>
      <c r="AB23" s="10">
        <f>IFERROR(MAX($Z23-积分赛!$C$7,0)*INDEX($U$7:$U$14,MATCH(AB$10,$T$7:$T$14,0))/30,0)</f>
        <v>0</v>
      </c>
      <c r="AC23" s="10">
        <f>IFERROR(MAX($Z23-积分赛!$C$7,0)*INDEX($U$7:$U$14,MATCH(AC$10,$T$7:$T$14,0))/30,0)</f>
        <v>0</v>
      </c>
      <c r="AD23" s="10">
        <f>IFERROR(MAX($Z23-积分赛!$C$7,0)*INDEX($U$7:$U$14,MATCH(AD$10,$T$7:$T$14,0))/30,0)</f>
        <v>0</v>
      </c>
      <c r="AE23" s="10">
        <f>IFERROR(MAX($Z23-积分赛!$C$7,0)*INDEX($U$7:$U$14,MATCH(AE$10,$T$7:$T$14,0))/30,0)</f>
        <v>0</v>
      </c>
      <c r="AF23" s="10">
        <f>MAX($Z23-积分赛!$C$7,0)*(IFERROR(INDEX($W$7:$W$14,MATCH(AF$10,$T$7:$T$14,0)),0)*$T$20+IFERROR(INDEX($X$7:$X$14,MATCH(AF$10,$T$7:$T$14,0)),0)*$T$21)/30</f>
        <v>0</v>
      </c>
      <c r="AG23" s="10">
        <f>MAX($Z23-积分赛!$C$7,0)*(IFERROR(INDEX($W$7:$W$14,MATCH(AG$10,$T$7:$T$14,0)),0)*$T$20+IFERROR(INDEX($X$7:$X$14,MATCH(AG$10,$T$7:$T$14,0)),0)*$T$21)/30</f>
        <v>0</v>
      </c>
      <c r="AH23" s="10">
        <f>MAX($Z23-积分赛!$C$7,0)*(IFERROR(INDEX($W$7:$W$14,MATCH(AH$10,$T$7:$T$14,0)),0)*$T$20+IFERROR(INDEX($X$7:$X$14,MATCH(AH$10,$T$7:$T$14,0)),0)*$T$21)/30</f>
        <v>0</v>
      </c>
      <c r="AI23" s="10">
        <f>MAX($Z23-积分赛!$C$7,0)*(IFERROR(INDEX($W$7:$W$14,MATCH(AI$10,$T$7:$T$14,0)),0)*$T$20+IFERROR(INDEX($X$7:$X$14,MATCH(AI$10,$T$7:$T$14,0)),0)*$T$21)/30</f>
        <v>0</v>
      </c>
      <c r="AJ23" s="10">
        <f>MAX($Z23-积分赛!$C$7,0)*(IFERROR(INDEX($W$7:$W$14,MATCH(AJ$10,$T$7:$T$14,0)),0)*$T$20+IFERROR(INDEX($X$7:$X$14,MATCH(AJ$10,$T$7:$T$14,0)),0)*$T$21)/30</f>
        <v>0</v>
      </c>
      <c r="AL23" s="10">
        <v>13</v>
      </c>
      <c r="AM23" s="10">
        <f>IFERROR(MAX(节奏总纲!D16-积分赛!$C$7,0)*INDEX($U$7:$U$14,MATCH(AA$10,$T$7:$T$14,0))/30,0)</f>
        <v>0</v>
      </c>
      <c r="AN23" s="10">
        <f>IFERROR(MAX(节奏总纲!E16-积分赛!$C$7,0)*INDEX($U$7:$U$14,MATCH(AB$10,$T$7:$T$14,0))/30,0)</f>
        <v>0</v>
      </c>
      <c r="AO23" s="10">
        <f>IFERROR(MAX(节奏总纲!F16-积分赛!$C$7,0)*INDEX($U$7:$U$14,MATCH(AC$10,$T$7:$T$14,0))/30,0)</f>
        <v>0</v>
      </c>
      <c r="AP23" s="10">
        <f>IFERROR(MAX(节奏总纲!G16-积分赛!$C$7,0)*INDEX($U$7:$U$14,MATCH(AD$10,$T$7:$T$14,0))/30,0)</f>
        <v>0</v>
      </c>
      <c r="AQ23" s="10">
        <f>IFERROR(MAX(节奏总纲!H16-积分赛!$C$7,0)*INDEX($U$7:$U$14,MATCH(AE$10,$T$7:$T$14,0))/30,0)</f>
        <v>0</v>
      </c>
      <c r="AR23" s="10">
        <f>MAX(节奏总纲!D16-积分赛!$C$7,0)*(IFERROR(INDEX($W$7:$W$14,MATCH(AF$10,$T$7:$T$14,0)),0)*$T$20+IFERROR(INDEX($X$7:$X$14,MATCH(AF$10,$T$7:$T$14,0)),0)*$T$21)/30</f>
        <v>0</v>
      </c>
      <c r="AS23" s="10">
        <f>MAX(节奏总纲!E16-积分赛!$C$7,0)*(IFERROR(INDEX($W$7:$W$14,MATCH(AG$10,$T$7:$T$14,0)),0)*$T$20+IFERROR(INDEX($X$7:$X$14,MATCH(AG$10,$T$7:$T$14,0)),0)*$T$21)/30</f>
        <v>0</v>
      </c>
      <c r="AT23" s="10">
        <f>MAX(节奏总纲!F16-积分赛!$C$7,0)*(IFERROR(INDEX($W$7:$W$14,MATCH(AH$10,$T$7:$T$14,0)),0)*$T$20+IFERROR(INDEX($X$7:$X$14,MATCH(AH$10,$T$7:$T$14,0)),0)*$T$21)/30</f>
        <v>0</v>
      </c>
      <c r="AU23" s="10">
        <f>MAX(节奏总纲!G16-积分赛!$C$7,0)*(IFERROR(INDEX($W$7:$W$14,MATCH(AI$10,$T$7:$T$14,0)),0)*$T$20+IFERROR(INDEX($X$7:$X$14,MATCH(AI$10,$T$7:$T$14,0)),0)*$T$21)/30</f>
        <v>0</v>
      </c>
      <c r="AV23" s="10">
        <f>MAX(节奏总纲!H16-积分赛!$C$7,0)*(IFERROR(INDEX($W$7:$W$14,MATCH(AJ$10,$T$7:$T$14,0)),0)*$T$20+IFERROR(INDEX($X$7:$X$14,MATCH(AJ$10,$T$7:$T$14,0)),0)*$T$21)/30</f>
        <v>0</v>
      </c>
      <c r="BI23" s="10">
        <v>13</v>
      </c>
      <c r="BJ23" s="10">
        <f>MAX($BI23-积分赛!$C$7,0)*$BC$10/30</f>
        <v>0</v>
      </c>
      <c r="BK23" s="10">
        <f>MAX($BI23-积分赛!$C$7,0)*$BC$10/30</f>
        <v>0</v>
      </c>
      <c r="BL23" s="10">
        <f>MAX($BI23-积分赛!$C$7,0)*$BC$10/30</f>
        <v>0</v>
      </c>
      <c r="BM23" s="10">
        <f>MAX($BI23-积分赛!$C$7,0)*$BC$10/30</f>
        <v>0</v>
      </c>
      <c r="BN23" s="10">
        <f>MAX($BI23-积分赛!$C$7,0)*$BC$10/30</f>
        <v>0</v>
      </c>
      <c r="BP23" s="10">
        <v>13</v>
      </c>
      <c r="BQ23" s="10">
        <f>MAX(节奏总纲!D16-积分赛!$C$7,0)*$BC$10/30</f>
        <v>0</v>
      </c>
      <c r="BR23" s="10">
        <f>MAX(节奏总纲!E16-积分赛!$C$7,0)*$BC$10/30</f>
        <v>0</v>
      </c>
      <c r="BS23" s="10">
        <f>MAX(节奏总纲!F16-积分赛!$C$7,0)*$BC$10/30</f>
        <v>0</v>
      </c>
      <c r="BT23" s="10">
        <f>MAX(节奏总纲!G16-积分赛!$C$7,0)*$BC$10/30</f>
        <v>0</v>
      </c>
      <c r="BU23" s="10">
        <f>MAX(节奏总纲!H16-积分赛!$C$7,0)*$BC$10/30</f>
        <v>0</v>
      </c>
    </row>
    <row r="24" spans="13:73" x14ac:dyDescent="0.15">
      <c r="M24" s="10"/>
      <c r="Z24" s="10">
        <v>14</v>
      </c>
      <c r="AA24" s="10">
        <f>IFERROR(MAX($Z24-积分赛!$C$7,0)*INDEX($U$7:$U$14,MATCH(AA$10,$T$7:$T$14,0))/30,0)</f>
        <v>0</v>
      </c>
      <c r="AB24" s="10">
        <f>IFERROR(MAX($Z24-积分赛!$C$7,0)*INDEX($U$7:$U$14,MATCH(AB$10,$T$7:$T$14,0))/30,0)</f>
        <v>0</v>
      </c>
      <c r="AC24" s="10">
        <f>IFERROR(MAX($Z24-积分赛!$C$7,0)*INDEX($U$7:$U$14,MATCH(AC$10,$T$7:$T$14,0))/30,0)</f>
        <v>0</v>
      </c>
      <c r="AD24" s="10">
        <f>IFERROR(MAX($Z24-积分赛!$C$7,0)*INDEX($U$7:$U$14,MATCH(AD$10,$T$7:$T$14,0))/30,0)</f>
        <v>0</v>
      </c>
      <c r="AE24" s="10">
        <f>IFERROR(MAX($Z24-积分赛!$C$7,0)*INDEX($U$7:$U$14,MATCH(AE$10,$T$7:$T$14,0))/30,0)</f>
        <v>0</v>
      </c>
      <c r="AF24" s="10">
        <f>MAX($Z24-积分赛!$C$7,0)*(IFERROR(INDEX($W$7:$W$14,MATCH(AF$10,$T$7:$T$14,0)),0)*$T$20+IFERROR(INDEX($X$7:$X$14,MATCH(AF$10,$T$7:$T$14,0)),0)*$T$21)/30</f>
        <v>0</v>
      </c>
      <c r="AG24" s="10">
        <f>MAX($Z24-积分赛!$C$7,0)*(IFERROR(INDEX($W$7:$W$14,MATCH(AG$10,$T$7:$T$14,0)),0)*$T$20+IFERROR(INDEX($X$7:$X$14,MATCH(AG$10,$T$7:$T$14,0)),0)*$T$21)/30</f>
        <v>0</v>
      </c>
      <c r="AH24" s="10">
        <f>MAX($Z24-积分赛!$C$7,0)*(IFERROR(INDEX($W$7:$W$14,MATCH(AH$10,$T$7:$T$14,0)),0)*$T$20+IFERROR(INDEX($X$7:$X$14,MATCH(AH$10,$T$7:$T$14,0)),0)*$T$21)/30</f>
        <v>0</v>
      </c>
      <c r="AI24" s="10">
        <f>MAX($Z24-积分赛!$C$7,0)*(IFERROR(INDEX($W$7:$W$14,MATCH(AI$10,$T$7:$T$14,0)),0)*$T$20+IFERROR(INDEX($X$7:$X$14,MATCH(AI$10,$T$7:$T$14,0)),0)*$T$21)/30</f>
        <v>0</v>
      </c>
      <c r="AJ24" s="10">
        <f>MAX($Z24-积分赛!$C$7,0)*(IFERROR(INDEX($W$7:$W$14,MATCH(AJ$10,$T$7:$T$14,0)),0)*$T$20+IFERROR(INDEX($X$7:$X$14,MATCH(AJ$10,$T$7:$T$14,0)),0)*$T$21)/30</f>
        <v>0</v>
      </c>
      <c r="AL24" s="10">
        <v>14</v>
      </c>
      <c r="AM24" s="10">
        <f>IFERROR(MAX(节奏总纲!D17-积分赛!$C$7,0)*INDEX($U$7:$U$14,MATCH(AA$10,$T$7:$T$14,0))/30,0)</f>
        <v>0</v>
      </c>
      <c r="AN24" s="10">
        <f>IFERROR(MAX(节奏总纲!E17-积分赛!$C$7,0)*INDEX($U$7:$U$14,MATCH(AB$10,$T$7:$T$14,0))/30,0)</f>
        <v>0</v>
      </c>
      <c r="AO24" s="10">
        <f>IFERROR(MAX(节奏总纲!F17-积分赛!$C$7,0)*INDEX($U$7:$U$14,MATCH(AC$10,$T$7:$T$14,0))/30,0)</f>
        <v>0</v>
      </c>
      <c r="AP24" s="10">
        <f>IFERROR(MAX(节奏总纲!G17-积分赛!$C$7,0)*INDEX($U$7:$U$14,MATCH(AD$10,$T$7:$T$14,0))/30,0)</f>
        <v>0</v>
      </c>
      <c r="AQ24" s="10">
        <f>IFERROR(MAX(节奏总纲!H17-积分赛!$C$7,0)*INDEX($U$7:$U$14,MATCH(AE$10,$T$7:$T$14,0))/30,0)</f>
        <v>0</v>
      </c>
      <c r="AR24" s="10">
        <f>MAX(节奏总纲!D17-积分赛!$C$7,0)*(IFERROR(INDEX($W$7:$W$14,MATCH(AF$10,$T$7:$T$14,0)),0)*$T$20+IFERROR(INDEX($X$7:$X$14,MATCH(AF$10,$T$7:$T$14,0)),0)*$T$21)/30</f>
        <v>0</v>
      </c>
      <c r="AS24" s="10">
        <f>MAX(节奏总纲!E17-积分赛!$C$7,0)*(IFERROR(INDEX($W$7:$W$14,MATCH(AG$10,$T$7:$T$14,0)),0)*$T$20+IFERROR(INDEX($X$7:$X$14,MATCH(AG$10,$T$7:$T$14,0)),0)*$T$21)/30</f>
        <v>0</v>
      </c>
      <c r="AT24" s="10">
        <f>MAX(节奏总纲!F17-积分赛!$C$7,0)*(IFERROR(INDEX($W$7:$W$14,MATCH(AH$10,$T$7:$T$14,0)),0)*$T$20+IFERROR(INDEX($X$7:$X$14,MATCH(AH$10,$T$7:$T$14,0)),0)*$T$21)/30</f>
        <v>0</v>
      </c>
      <c r="AU24" s="10">
        <f>MAX(节奏总纲!G17-积分赛!$C$7,0)*(IFERROR(INDEX($W$7:$W$14,MATCH(AI$10,$T$7:$T$14,0)),0)*$T$20+IFERROR(INDEX($X$7:$X$14,MATCH(AI$10,$T$7:$T$14,0)),0)*$T$21)/30</f>
        <v>0</v>
      </c>
      <c r="AV24" s="10">
        <f>MAX(节奏总纲!H17-积分赛!$C$7,0)*(IFERROR(INDEX($W$7:$W$14,MATCH(AJ$10,$T$7:$T$14,0)),0)*$T$20+IFERROR(INDEX($X$7:$X$14,MATCH(AJ$10,$T$7:$T$14,0)),0)*$T$21)/30</f>
        <v>0</v>
      </c>
      <c r="BI24" s="10">
        <v>14</v>
      </c>
      <c r="BJ24" s="10">
        <f>MAX($BI24-积分赛!$C$7,0)*$BC$10/30</f>
        <v>0</v>
      </c>
      <c r="BK24" s="10">
        <f>MAX($BI24-积分赛!$C$7,0)*$BC$10/30</f>
        <v>0</v>
      </c>
      <c r="BL24" s="10">
        <f>MAX($BI24-积分赛!$C$7,0)*$BC$10/30</f>
        <v>0</v>
      </c>
      <c r="BM24" s="10">
        <f>MAX($BI24-积分赛!$C$7,0)*$BC$10/30</f>
        <v>0</v>
      </c>
      <c r="BN24" s="10">
        <f>MAX($BI24-积分赛!$C$7,0)*$BC$10/30</f>
        <v>0</v>
      </c>
      <c r="BP24" s="10">
        <v>14</v>
      </c>
      <c r="BQ24" s="10">
        <f>MAX(节奏总纲!D17-积分赛!$C$7,0)*$BC$10/30</f>
        <v>0</v>
      </c>
      <c r="BR24" s="10">
        <f>MAX(节奏总纲!E17-积分赛!$C$7,0)*$BC$10/30</f>
        <v>0</v>
      </c>
      <c r="BS24" s="10">
        <f>MAX(节奏总纲!F17-积分赛!$C$7,0)*$BC$10/30</f>
        <v>0</v>
      </c>
      <c r="BT24" s="10">
        <f>MAX(节奏总纲!G17-积分赛!$C$7,0)*$BC$10/30</f>
        <v>0</v>
      </c>
      <c r="BU24" s="10">
        <f>MAX(节奏总纲!H17-积分赛!$C$7,0)*$BC$10/30</f>
        <v>0</v>
      </c>
    </row>
    <row r="25" spans="13:73" x14ac:dyDescent="0.15">
      <c r="M25" s="10"/>
      <c r="Z25" s="10">
        <v>15</v>
      </c>
      <c r="AA25" s="10">
        <f>IFERROR(MAX($Z25-积分赛!$C$7,0)*INDEX($U$7:$U$14,MATCH(AA$10,$T$7:$T$14,0))/30,0)</f>
        <v>0</v>
      </c>
      <c r="AB25" s="10">
        <f>IFERROR(MAX($Z25-积分赛!$C$7,0)*INDEX($U$7:$U$14,MATCH(AB$10,$T$7:$T$14,0))/30,0)</f>
        <v>0</v>
      </c>
      <c r="AC25" s="10">
        <f>IFERROR(MAX($Z25-积分赛!$C$7,0)*INDEX($U$7:$U$14,MATCH(AC$10,$T$7:$T$14,0))/30,0)</f>
        <v>0</v>
      </c>
      <c r="AD25" s="10">
        <f>IFERROR(MAX($Z25-积分赛!$C$7,0)*INDEX($U$7:$U$14,MATCH(AD$10,$T$7:$T$14,0))/30,0)</f>
        <v>0</v>
      </c>
      <c r="AE25" s="10">
        <f>IFERROR(MAX($Z25-积分赛!$C$7,0)*INDEX($U$7:$U$14,MATCH(AE$10,$T$7:$T$14,0))/30,0)</f>
        <v>0</v>
      </c>
      <c r="AF25" s="10">
        <f>MAX($Z25-积分赛!$C$7,0)*(IFERROR(INDEX($W$7:$W$14,MATCH(AF$10,$T$7:$T$14,0)),0)*$T$20+IFERROR(INDEX($X$7:$X$14,MATCH(AF$10,$T$7:$T$14,0)),0)*$T$21)/30</f>
        <v>0</v>
      </c>
      <c r="AG25" s="10">
        <f>MAX($Z25-积分赛!$C$7,0)*(IFERROR(INDEX($W$7:$W$14,MATCH(AG$10,$T$7:$T$14,0)),0)*$T$20+IFERROR(INDEX($X$7:$X$14,MATCH(AG$10,$T$7:$T$14,0)),0)*$T$21)/30</f>
        <v>0</v>
      </c>
      <c r="AH25" s="10">
        <f>MAX($Z25-积分赛!$C$7,0)*(IFERROR(INDEX($W$7:$W$14,MATCH(AH$10,$T$7:$T$14,0)),0)*$T$20+IFERROR(INDEX($X$7:$X$14,MATCH(AH$10,$T$7:$T$14,0)),0)*$T$21)/30</f>
        <v>0</v>
      </c>
      <c r="AI25" s="10">
        <f>MAX($Z25-积分赛!$C$7,0)*(IFERROR(INDEX($W$7:$W$14,MATCH(AI$10,$T$7:$T$14,0)),0)*$T$20+IFERROR(INDEX($X$7:$X$14,MATCH(AI$10,$T$7:$T$14,0)),0)*$T$21)/30</f>
        <v>0</v>
      </c>
      <c r="AJ25" s="10">
        <f>MAX($Z25-积分赛!$C$7,0)*(IFERROR(INDEX($W$7:$W$14,MATCH(AJ$10,$T$7:$T$14,0)),0)*$T$20+IFERROR(INDEX($X$7:$X$14,MATCH(AJ$10,$T$7:$T$14,0)),0)*$T$21)/30</f>
        <v>0</v>
      </c>
      <c r="AL25" s="10">
        <v>15</v>
      </c>
      <c r="AM25" s="10">
        <f>IFERROR(MAX(节奏总纲!D18-积分赛!$C$7,0)*INDEX($U$7:$U$14,MATCH(AA$10,$T$7:$T$14,0))/30,0)</f>
        <v>0</v>
      </c>
      <c r="AN25" s="10">
        <f>IFERROR(MAX(节奏总纲!E18-积分赛!$C$7,0)*INDEX($U$7:$U$14,MATCH(AB$10,$T$7:$T$14,0))/30,0)</f>
        <v>0</v>
      </c>
      <c r="AO25" s="10">
        <f>IFERROR(MAX(节奏总纲!F18-积分赛!$C$7,0)*INDEX($U$7:$U$14,MATCH(AC$10,$T$7:$T$14,0))/30,0)</f>
        <v>0</v>
      </c>
      <c r="AP25" s="10">
        <f>IFERROR(MAX(节奏总纲!G18-积分赛!$C$7,0)*INDEX($U$7:$U$14,MATCH(AD$10,$T$7:$T$14,0))/30,0)</f>
        <v>0</v>
      </c>
      <c r="AQ25" s="10">
        <f>IFERROR(MAX(节奏总纲!H18-积分赛!$C$7,0)*INDEX($U$7:$U$14,MATCH(AE$10,$T$7:$T$14,0))/30,0)</f>
        <v>0</v>
      </c>
      <c r="AR25" s="10">
        <f>MAX(节奏总纲!D18-积分赛!$C$7,0)*(IFERROR(INDEX($W$7:$W$14,MATCH(AF$10,$T$7:$T$14,0)),0)*$T$20+IFERROR(INDEX($X$7:$X$14,MATCH(AF$10,$T$7:$T$14,0)),0)*$T$21)/30</f>
        <v>0</v>
      </c>
      <c r="AS25" s="10">
        <f>MAX(节奏总纲!E18-积分赛!$C$7,0)*(IFERROR(INDEX($W$7:$W$14,MATCH(AG$10,$T$7:$T$14,0)),0)*$T$20+IFERROR(INDEX($X$7:$X$14,MATCH(AG$10,$T$7:$T$14,0)),0)*$T$21)/30</f>
        <v>0</v>
      </c>
      <c r="AT25" s="10">
        <f>MAX(节奏总纲!F18-积分赛!$C$7,0)*(IFERROR(INDEX($W$7:$W$14,MATCH(AH$10,$T$7:$T$14,0)),0)*$T$20+IFERROR(INDEX($X$7:$X$14,MATCH(AH$10,$T$7:$T$14,0)),0)*$T$21)/30</f>
        <v>0</v>
      </c>
      <c r="AU25" s="10">
        <f>MAX(节奏总纲!G18-积分赛!$C$7,0)*(IFERROR(INDEX($W$7:$W$14,MATCH(AI$10,$T$7:$T$14,0)),0)*$T$20+IFERROR(INDEX($X$7:$X$14,MATCH(AI$10,$T$7:$T$14,0)),0)*$T$21)/30</f>
        <v>0</v>
      </c>
      <c r="AV25" s="10">
        <f>MAX(节奏总纲!H18-积分赛!$C$7,0)*(IFERROR(INDEX($W$7:$W$14,MATCH(AJ$10,$T$7:$T$14,0)),0)*$T$20+IFERROR(INDEX($X$7:$X$14,MATCH(AJ$10,$T$7:$T$14,0)),0)*$T$21)/30</f>
        <v>0</v>
      </c>
      <c r="BI25" s="10">
        <v>15</v>
      </c>
      <c r="BJ25" s="10">
        <f>MAX($BI25-积分赛!$C$7,0)*$BC$10/30</f>
        <v>0</v>
      </c>
      <c r="BK25" s="10">
        <f>MAX($BI25-积分赛!$C$7,0)*$BC$10/30</f>
        <v>0</v>
      </c>
      <c r="BL25" s="10">
        <f>MAX($BI25-积分赛!$C$7,0)*$BC$10/30</f>
        <v>0</v>
      </c>
      <c r="BM25" s="10">
        <f>MAX($BI25-积分赛!$C$7,0)*$BC$10/30</f>
        <v>0</v>
      </c>
      <c r="BN25" s="10">
        <f>MAX($BI25-积分赛!$C$7,0)*$BC$10/30</f>
        <v>0</v>
      </c>
      <c r="BP25" s="10">
        <v>15</v>
      </c>
      <c r="BQ25" s="10">
        <f>MAX(节奏总纲!D18-积分赛!$C$7,0)*$BC$10/30</f>
        <v>0</v>
      </c>
      <c r="BR25" s="10">
        <f>MAX(节奏总纲!E18-积分赛!$C$7,0)*$BC$10/30</f>
        <v>0</v>
      </c>
      <c r="BS25" s="10">
        <f>MAX(节奏总纲!F18-积分赛!$C$7,0)*$BC$10/30</f>
        <v>0</v>
      </c>
      <c r="BT25" s="10">
        <f>MAX(节奏总纲!G18-积分赛!$C$7,0)*$BC$10/30</f>
        <v>0</v>
      </c>
      <c r="BU25" s="10">
        <f>MAX(节奏总纲!H18-积分赛!$C$7,0)*$BC$10/30</f>
        <v>0</v>
      </c>
    </row>
    <row r="26" spans="13:73" x14ac:dyDescent="0.15">
      <c r="M26" s="10"/>
      <c r="Z26" s="10">
        <v>16</v>
      </c>
      <c r="AA26" s="10">
        <f>IFERROR(MAX($Z26-积分赛!$C$7,0)*INDEX($U$7:$U$14,MATCH(AA$10,$T$7:$T$14,0))/30,0)</f>
        <v>0</v>
      </c>
      <c r="AB26" s="10">
        <f>IFERROR(MAX($Z26-积分赛!$C$7,0)*INDEX($U$7:$U$14,MATCH(AB$10,$T$7:$T$14,0))/30,0)</f>
        <v>0</v>
      </c>
      <c r="AC26" s="10">
        <f>IFERROR(MAX($Z26-积分赛!$C$7,0)*INDEX($U$7:$U$14,MATCH(AC$10,$T$7:$T$14,0))/30,0)</f>
        <v>0</v>
      </c>
      <c r="AD26" s="10">
        <f>IFERROR(MAX($Z26-积分赛!$C$7,0)*INDEX($U$7:$U$14,MATCH(AD$10,$T$7:$T$14,0))/30,0)</f>
        <v>0</v>
      </c>
      <c r="AE26" s="10">
        <f>IFERROR(MAX($Z26-积分赛!$C$7,0)*INDEX($U$7:$U$14,MATCH(AE$10,$T$7:$T$14,0))/30,0)</f>
        <v>0</v>
      </c>
      <c r="AF26" s="10">
        <f>MAX($Z26-积分赛!$C$7,0)*(IFERROR(INDEX($W$7:$W$14,MATCH(AF$10,$T$7:$T$14,0)),0)*$T$20+IFERROR(INDEX($X$7:$X$14,MATCH(AF$10,$T$7:$T$14,0)),0)*$T$21)/30</f>
        <v>0</v>
      </c>
      <c r="AG26" s="10">
        <f>MAX($Z26-积分赛!$C$7,0)*(IFERROR(INDEX($W$7:$W$14,MATCH(AG$10,$T$7:$T$14,0)),0)*$T$20+IFERROR(INDEX($X$7:$X$14,MATCH(AG$10,$T$7:$T$14,0)),0)*$T$21)/30</f>
        <v>0</v>
      </c>
      <c r="AH26" s="10">
        <f>MAX($Z26-积分赛!$C$7,0)*(IFERROR(INDEX($W$7:$W$14,MATCH(AH$10,$T$7:$T$14,0)),0)*$T$20+IFERROR(INDEX($X$7:$X$14,MATCH(AH$10,$T$7:$T$14,0)),0)*$T$21)/30</f>
        <v>0</v>
      </c>
      <c r="AI26" s="10">
        <f>MAX($Z26-积分赛!$C$7,0)*(IFERROR(INDEX($W$7:$W$14,MATCH(AI$10,$T$7:$T$14,0)),0)*$T$20+IFERROR(INDEX($X$7:$X$14,MATCH(AI$10,$T$7:$T$14,0)),0)*$T$21)/30</f>
        <v>0</v>
      </c>
      <c r="AJ26" s="10">
        <f>MAX($Z26-积分赛!$C$7,0)*(IFERROR(INDEX($W$7:$W$14,MATCH(AJ$10,$T$7:$T$14,0)),0)*$T$20+IFERROR(INDEX($X$7:$X$14,MATCH(AJ$10,$T$7:$T$14,0)),0)*$T$21)/30</f>
        <v>0</v>
      </c>
      <c r="AL26" s="10">
        <v>16</v>
      </c>
      <c r="AM26" s="10">
        <f>IFERROR(MAX(节奏总纲!D19-积分赛!$C$7,0)*INDEX($U$7:$U$14,MATCH(AA$10,$T$7:$T$14,0))/30,0)</f>
        <v>0</v>
      </c>
      <c r="AN26" s="10">
        <f>IFERROR(MAX(节奏总纲!E19-积分赛!$C$7,0)*INDEX($U$7:$U$14,MATCH(AB$10,$T$7:$T$14,0))/30,0)</f>
        <v>0</v>
      </c>
      <c r="AO26" s="10">
        <f>IFERROR(MAX(节奏总纲!F19-积分赛!$C$7,0)*INDEX($U$7:$U$14,MATCH(AC$10,$T$7:$T$14,0))/30,0)</f>
        <v>0</v>
      </c>
      <c r="AP26" s="10">
        <f>IFERROR(MAX(节奏总纲!G19-积分赛!$C$7,0)*INDEX($U$7:$U$14,MATCH(AD$10,$T$7:$T$14,0))/30,0)</f>
        <v>0</v>
      </c>
      <c r="AQ26" s="10">
        <f>IFERROR(MAX(节奏总纲!H19-积分赛!$C$7,0)*INDEX($U$7:$U$14,MATCH(AE$10,$T$7:$T$14,0))/30,0)</f>
        <v>0</v>
      </c>
      <c r="AR26" s="10">
        <f>MAX(节奏总纲!D19-积分赛!$C$7,0)*(IFERROR(INDEX($W$7:$W$14,MATCH(AF$10,$T$7:$T$14,0)),0)*$T$20+IFERROR(INDEX($X$7:$X$14,MATCH(AF$10,$T$7:$T$14,0)),0)*$T$21)/30</f>
        <v>0</v>
      </c>
      <c r="AS26" s="10">
        <f>MAX(节奏总纲!E19-积分赛!$C$7,0)*(IFERROR(INDEX($W$7:$W$14,MATCH(AG$10,$T$7:$T$14,0)),0)*$T$20+IFERROR(INDEX($X$7:$X$14,MATCH(AG$10,$T$7:$T$14,0)),0)*$T$21)/30</f>
        <v>0</v>
      </c>
      <c r="AT26" s="10">
        <f>MAX(节奏总纲!F19-积分赛!$C$7,0)*(IFERROR(INDEX($W$7:$W$14,MATCH(AH$10,$T$7:$T$14,0)),0)*$T$20+IFERROR(INDEX($X$7:$X$14,MATCH(AH$10,$T$7:$T$14,0)),0)*$T$21)/30</f>
        <v>0</v>
      </c>
      <c r="AU26" s="10">
        <f>MAX(节奏总纲!G19-积分赛!$C$7,0)*(IFERROR(INDEX($W$7:$W$14,MATCH(AI$10,$T$7:$T$14,0)),0)*$T$20+IFERROR(INDEX($X$7:$X$14,MATCH(AI$10,$T$7:$T$14,0)),0)*$T$21)/30</f>
        <v>0</v>
      </c>
      <c r="AV26" s="10">
        <f>MAX(节奏总纲!H19-积分赛!$C$7,0)*(IFERROR(INDEX($W$7:$W$14,MATCH(AJ$10,$T$7:$T$14,0)),0)*$T$20+IFERROR(INDEX($X$7:$X$14,MATCH(AJ$10,$T$7:$T$14,0)),0)*$T$21)/30</f>
        <v>0</v>
      </c>
      <c r="BI26" s="10">
        <v>16</v>
      </c>
      <c r="BJ26" s="10">
        <f>MAX($BI26-积分赛!$C$7,0)*$BC$10/30</f>
        <v>0</v>
      </c>
      <c r="BK26" s="10">
        <f>MAX($BI26-积分赛!$C$7,0)*$BC$10/30</f>
        <v>0</v>
      </c>
      <c r="BL26" s="10">
        <f>MAX($BI26-积分赛!$C$7,0)*$BC$10/30</f>
        <v>0</v>
      </c>
      <c r="BM26" s="10">
        <f>MAX($BI26-积分赛!$C$7,0)*$BC$10/30</f>
        <v>0</v>
      </c>
      <c r="BN26" s="10">
        <f>MAX($BI26-积分赛!$C$7,0)*$BC$10/30</f>
        <v>0</v>
      </c>
      <c r="BP26" s="10">
        <v>16</v>
      </c>
      <c r="BQ26" s="10">
        <f>MAX(节奏总纲!D19-积分赛!$C$7,0)*$BC$10/30</f>
        <v>0</v>
      </c>
      <c r="BR26" s="10">
        <f>MAX(节奏总纲!E19-积分赛!$C$7,0)*$BC$10/30</f>
        <v>0</v>
      </c>
      <c r="BS26" s="10">
        <f>MAX(节奏总纲!F19-积分赛!$C$7,0)*$BC$10/30</f>
        <v>0</v>
      </c>
      <c r="BT26" s="10">
        <f>MAX(节奏总纲!G19-积分赛!$C$7,0)*$BC$10/30</f>
        <v>0</v>
      </c>
      <c r="BU26" s="10">
        <f>MAX(节奏总纲!H19-积分赛!$C$7,0)*$BC$10/30</f>
        <v>0</v>
      </c>
    </row>
    <row r="27" spans="13:73" x14ac:dyDescent="0.15">
      <c r="M27" s="10"/>
      <c r="Z27" s="10">
        <v>17</v>
      </c>
      <c r="AA27" s="10">
        <f>IFERROR(MAX($Z27-积分赛!$C$7,0)*INDEX($U$7:$U$14,MATCH(AA$10,$T$7:$T$14,0))/30,0)</f>
        <v>0</v>
      </c>
      <c r="AB27" s="10">
        <f>IFERROR(MAX($Z27-积分赛!$C$7,0)*INDEX($U$7:$U$14,MATCH(AB$10,$T$7:$T$14,0))/30,0)</f>
        <v>0</v>
      </c>
      <c r="AC27" s="10">
        <f>IFERROR(MAX($Z27-积分赛!$C$7,0)*INDEX($U$7:$U$14,MATCH(AC$10,$T$7:$T$14,0))/30,0)</f>
        <v>0</v>
      </c>
      <c r="AD27" s="10">
        <f>IFERROR(MAX($Z27-积分赛!$C$7,0)*INDEX($U$7:$U$14,MATCH(AD$10,$T$7:$T$14,0))/30,0)</f>
        <v>0</v>
      </c>
      <c r="AE27" s="10">
        <f>IFERROR(MAX($Z27-积分赛!$C$7,0)*INDEX($U$7:$U$14,MATCH(AE$10,$T$7:$T$14,0))/30,0)</f>
        <v>0</v>
      </c>
      <c r="AF27" s="10">
        <f>MAX($Z27-积分赛!$C$7,0)*(IFERROR(INDEX($W$7:$W$14,MATCH(AF$10,$T$7:$T$14,0)),0)*$T$20+IFERROR(INDEX($X$7:$X$14,MATCH(AF$10,$T$7:$T$14,0)),0)*$T$21)/30</f>
        <v>0</v>
      </c>
      <c r="AG27" s="10">
        <f>MAX($Z27-积分赛!$C$7,0)*(IFERROR(INDEX($W$7:$W$14,MATCH(AG$10,$T$7:$T$14,0)),0)*$T$20+IFERROR(INDEX($X$7:$X$14,MATCH(AG$10,$T$7:$T$14,0)),0)*$T$21)/30</f>
        <v>0</v>
      </c>
      <c r="AH27" s="10">
        <f>MAX($Z27-积分赛!$C$7,0)*(IFERROR(INDEX($W$7:$W$14,MATCH(AH$10,$T$7:$T$14,0)),0)*$T$20+IFERROR(INDEX($X$7:$X$14,MATCH(AH$10,$T$7:$T$14,0)),0)*$T$21)/30</f>
        <v>0</v>
      </c>
      <c r="AI27" s="10">
        <f>MAX($Z27-积分赛!$C$7,0)*(IFERROR(INDEX($W$7:$W$14,MATCH(AI$10,$T$7:$T$14,0)),0)*$T$20+IFERROR(INDEX($X$7:$X$14,MATCH(AI$10,$T$7:$T$14,0)),0)*$T$21)/30</f>
        <v>0</v>
      </c>
      <c r="AJ27" s="10">
        <f>MAX($Z27-积分赛!$C$7,0)*(IFERROR(INDEX($W$7:$W$14,MATCH(AJ$10,$T$7:$T$14,0)),0)*$T$20+IFERROR(INDEX($X$7:$X$14,MATCH(AJ$10,$T$7:$T$14,0)),0)*$T$21)/30</f>
        <v>0</v>
      </c>
      <c r="AL27" s="10">
        <v>17</v>
      </c>
      <c r="AM27" s="10">
        <f>IFERROR(MAX(节奏总纲!D20-积分赛!$C$7,0)*INDEX($U$7:$U$14,MATCH(AA$10,$T$7:$T$14,0))/30,0)</f>
        <v>0</v>
      </c>
      <c r="AN27" s="10">
        <f>IFERROR(MAX(节奏总纲!E20-积分赛!$C$7,0)*INDEX($U$7:$U$14,MATCH(AB$10,$T$7:$T$14,0))/30,0)</f>
        <v>0</v>
      </c>
      <c r="AO27" s="10">
        <f>IFERROR(MAX(节奏总纲!F20-积分赛!$C$7,0)*INDEX($U$7:$U$14,MATCH(AC$10,$T$7:$T$14,0))/30,0)</f>
        <v>0</v>
      </c>
      <c r="AP27" s="10">
        <f>IFERROR(MAX(节奏总纲!G20-积分赛!$C$7,0)*INDEX($U$7:$U$14,MATCH(AD$10,$T$7:$T$14,0))/30,0)</f>
        <v>0</v>
      </c>
      <c r="AQ27" s="10">
        <f>IFERROR(MAX(节奏总纲!H20-积分赛!$C$7,0)*INDEX($U$7:$U$14,MATCH(AE$10,$T$7:$T$14,0))/30,0)</f>
        <v>0</v>
      </c>
      <c r="AR27" s="10">
        <f>MAX(节奏总纲!D20-积分赛!$C$7,0)*(IFERROR(INDEX($W$7:$W$14,MATCH(AF$10,$T$7:$T$14,0)),0)*$T$20+IFERROR(INDEX($X$7:$X$14,MATCH(AF$10,$T$7:$T$14,0)),0)*$T$21)/30</f>
        <v>0</v>
      </c>
      <c r="AS27" s="10">
        <f>MAX(节奏总纲!E20-积分赛!$C$7,0)*(IFERROR(INDEX($W$7:$W$14,MATCH(AG$10,$T$7:$T$14,0)),0)*$T$20+IFERROR(INDEX($X$7:$X$14,MATCH(AG$10,$T$7:$T$14,0)),0)*$T$21)/30</f>
        <v>0</v>
      </c>
      <c r="AT27" s="10">
        <f>MAX(节奏总纲!F20-积分赛!$C$7,0)*(IFERROR(INDEX($W$7:$W$14,MATCH(AH$10,$T$7:$T$14,0)),0)*$T$20+IFERROR(INDEX($X$7:$X$14,MATCH(AH$10,$T$7:$T$14,0)),0)*$T$21)/30</f>
        <v>0</v>
      </c>
      <c r="AU27" s="10">
        <f>MAX(节奏总纲!G20-积分赛!$C$7,0)*(IFERROR(INDEX($W$7:$W$14,MATCH(AI$10,$T$7:$T$14,0)),0)*$T$20+IFERROR(INDEX($X$7:$X$14,MATCH(AI$10,$T$7:$T$14,0)),0)*$T$21)/30</f>
        <v>0</v>
      </c>
      <c r="AV27" s="10">
        <f>MAX(节奏总纲!H20-积分赛!$C$7,0)*(IFERROR(INDEX($W$7:$W$14,MATCH(AJ$10,$T$7:$T$14,0)),0)*$T$20+IFERROR(INDEX($X$7:$X$14,MATCH(AJ$10,$T$7:$T$14,0)),0)*$T$21)/30</f>
        <v>0</v>
      </c>
      <c r="BI27" s="10">
        <v>17</v>
      </c>
      <c r="BJ27" s="10">
        <f>MAX($BI27-积分赛!$C$7,0)*$BC$10/30</f>
        <v>0</v>
      </c>
      <c r="BK27" s="10">
        <f>MAX($BI27-积分赛!$C$7,0)*$BC$10/30</f>
        <v>0</v>
      </c>
      <c r="BL27" s="10">
        <f>MAX($BI27-积分赛!$C$7,0)*$BC$10/30</f>
        <v>0</v>
      </c>
      <c r="BM27" s="10">
        <f>MAX($BI27-积分赛!$C$7,0)*$BC$10/30</f>
        <v>0</v>
      </c>
      <c r="BN27" s="10">
        <f>MAX($BI27-积分赛!$C$7,0)*$BC$10/30</f>
        <v>0</v>
      </c>
      <c r="BP27" s="10">
        <v>17</v>
      </c>
      <c r="BQ27" s="10">
        <f>MAX(节奏总纲!D20-积分赛!$C$7,0)*$BC$10/30</f>
        <v>0</v>
      </c>
      <c r="BR27" s="10">
        <f>MAX(节奏总纲!E20-积分赛!$C$7,0)*$BC$10/30</f>
        <v>0</v>
      </c>
      <c r="BS27" s="10">
        <f>MAX(节奏总纲!F20-积分赛!$C$7,0)*$BC$10/30</f>
        <v>0</v>
      </c>
      <c r="BT27" s="10">
        <f>MAX(节奏总纲!G20-积分赛!$C$7,0)*$BC$10/30</f>
        <v>0</v>
      </c>
      <c r="BU27" s="10">
        <f>MAX(节奏总纲!H20-积分赛!$C$7,0)*$BC$10/30</f>
        <v>0</v>
      </c>
    </row>
    <row r="28" spans="13:73" x14ac:dyDescent="0.15">
      <c r="M28" s="10"/>
      <c r="Z28" s="10">
        <v>18</v>
      </c>
      <c r="AA28" s="10">
        <f>IFERROR(MAX($Z28-积分赛!$C$7,0)*INDEX($U$7:$U$14,MATCH(AA$10,$T$7:$T$14,0))/30,0)</f>
        <v>0</v>
      </c>
      <c r="AB28" s="10">
        <f>IFERROR(MAX($Z28-积分赛!$C$7,0)*INDEX($U$7:$U$14,MATCH(AB$10,$T$7:$T$14,0))/30,0)</f>
        <v>0</v>
      </c>
      <c r="AC28" s="10">
        <f>IFERROR(MAX($Z28-积分赛!$C$7,0)*INDEX($U$7:$U$14,MATCH(AC$10,$T$7:$T$14,0))/30,0)</f>
        <v>0</v>
      </c>
      <c r="AD28" s="10">
        <f>IFERROR(MAX($Z28-积分赛!$C$7,0)*INDEX($U$7:$U$14,MATCH(AD$10,$T$7:$T$14,0))/30,0)</f>
        <v>0</v>
      </c>
      <c r="AE28" s="10">
        <f>IFERROR(MAX($Z28-积分赛!$C$7,0)*INDEX($U$7:$U$14,MATCH(AE$10,$T$7:$T$14,0))/30,0)</f>
        <v>0</v>
      </c>
      <c r="AF28" s="10">
        <f>MAX($Z28-积分赛!$C$7,0)*(IFERROR(INDEX($W$7:$W$14,MATCH(AF$10,$T$7:$T$14,0)),0)*$T$20+IFERROR(INDEX($X$7:$X$14,MATCH(AF$10,$T$7:$T$14,0)),0)*$T$21)/30</f>
        <v>0</v>
      </c>
      <c r="AG28" s="10">
        <f>MAX($Z28-积分赛!$C$7,0)*(IFERROR(INDEX($W$7:$W$14,MATCH(AG$10,$T$7:$T$14,0)),0)*$T$20+IFERROR(INDEX($X$7:$X$14,MATCH(AG$10,$T$7:$T$14,0)),0)*$T$21)/30</f>
        <v>0</v>
      </c>
      <c r="AH28" s="10">
        <f>MAX($Z28-积分赛!$C$7,0)*(IFERROR(INDEX($W$7:$W$14,MATCH(AH$10,$T$7:$T$14,0)),0)*$T$20+IFERROR(INDEX($X$7:$X$14,MATCH(AH$10,$T$7:$T$14,0)),0)*$T$21)/30</f>
        <v>0</v>
      </c>
      <c r="AI28" s="10">
        <f>MAX($Z28-积分赛!$C$7,0)*(IFERROR(INDEX($W$7:$W$14,MATCH(AI$10,$T$7:$T$14,0)),0)*$T$20+IFERROR(INDEX($X$7:$X$14,MATCH(AI$10,$T$7:$T$14,0)),0)*$T$21)/30</f>
        <v>0</v>
      </c>
      <c r="AJ28" s="10">
        <f>MAX($Z28-积分赛!$C$7,0)*(IFERROR(INDEX($W$7:$W$14,MATCH(AJ$10,$T$7:$T$14,0)),0)*$T$20+IFERROR(INDEX($X$7:$X$14,MATCH(AJ$10,$T$7:$T$14,0)),0)*$T$21)/30</f>
        <v>0</v>
      </c>
      <c r="AL28" s="10">
        <v>18</v>
      </c>
      <c r="AM28" s="10">
        <f>IFERROR(MAX(节奏总纲!D21-积分赛!$C$7,0)*INDEX($U$7:$U$14,MATCH(AA$10,$T$7:$T$14,0))/30,0)</f>
        <v>0</v>
      </c>
      <c r="AN28" s="10">
        <f>IFERROR(MAX(节奏总纲!E21-积分赛!$C$7,0)*INDEX($U$7:$U$14,MATCH(AB$10,$T$7:$T$14,0))/30,0)</f>
        <v>0</v>
      </c>
      <c r="AO28" s="10">
        <f>IFERROR(MAX(节奏总纲!F21-积分赛!$C$7,0)*INDEX($U$7:$U$14,MATCH(AC$10,$T$7:$T$14,0))/30,0)</f>
        <v>0</v>
      </c>
      <c r="AP28" s="10">
        <f>IFERROR(MAX(节奏总纲!G21-积分赛!$C$7,0)*INDEX($U$7:$U$14,MATCH(AD$10,$T$7:$T$14,0))/30,0)</f>
        <v>0</v>
      </c>
      <c r="AQ28" s="10">
        <f>IFERROR(MAX(节奏总纲!H21-积分赛!$C$7,0)*INDEX($U$7:$U$14,MATCH(AE$10,$T$7:$T$14,0))/30,0)</f>
        <v>0</v>
      </c>
      <c r="AR28" s="10">
        <f>MAX(节奏总纲!D21-积分赛!$C$7,0)*(IFERROR(INDEX($W$7:$W$14,MATCH(AF$10,$T$7:$T$14,0)),0)*$T$20+IFERROR(INDEX($X$7:$X$14,MATCH(AF$10,$T$7:$T$14,0)),0)*$T$21)/30</f>
        <v>0</v>
      </c>
      <c r="AS28" s="10">
        <f>MAX(节奏总纲!E21-积分赛!$C$7,0)*(IFERROR(INDEX($W$7:$W$14,MATCH(AG$10,$T$7:$T$14,0)),0)*$T$20+IFERROR(INDEX($X$7:$X$14,MATCH(AG$10,$T$7:$T$14,0)),0)*$T$21)/30</f>
        <v>0</v>
      </c>
      <c r="AT28" s="10">
        <f>MAX(节奏总纲!F21-积分赛!$C$7,0)*(IFERROR(INDEX($W$7:$W$14,MATCH(AH$10,$T$7:$T$14,0)),0)*$T$20+IFERROR(INDEX($X$7:$X$14,MATCH(AH$10,$T$7:$T$14,0)),0)*$T$21)/30</f>
        <v>0</v>
      </c>
      <c r="AU28" s="10">
        <f>MAX(节奏总纲!G21-积分赛!$C$7,0)*(IFERROR(INDEX($W$7:$W$14,MATCH(AI$10,$T$7:$T$14,0)),0)*$T$20+IFERROR(INDEX($X$7:$X$14,MATCH(AI$10,$T$7:$T$14,0)),0)*$T$21)/30</f>
        <v>0</v>
      </c>
      <c r="AV28" s="10">
        <f>MAX(节奏总纲!H21-积分赛!$C$7,0)*(IFERROR(INDEX($W$7:$W$14,MATCH(AJ$10,$T$7:$T$14,0)),0)*$T$20+IFERROR(INDEX($X$7:$X$14,MATCH(AJ$10,$T$7:$T$14,0)),0)*$T$21)/30</f>
        <v>0</v>
      </c>
      <c r="BI28" s="10">
        <v>18</v>
      </c>
      <c r="BJ28" s="10">
        <f>MAX($BI28-积分赛!$C$7,0)*$BC$10/30</f>
        <v>0</v>
      </c>
      <c r="BK28" s="10">
        <f>MAX($BI28-积分赛!$C$7,0)*$BC$10/30</f>
        <v>0</v>
      </c>
      <c r="BL28" s="10">
        <f>MAX($BI28-积分赛!$C$7,0)*$BC$10/30</f>
        <v>0</v>
      </c>
      <c r="BM28" s="10">
        <f>MAX($BI28-积分赛!$C$7,0)*$BC$10/30</f>
        <v>0</v>
      </c>
      <c r="BN28" s="10">
        <f>MAX($BI28-积分赛!$C$7,0)*$BC$10/30</f>
        <v>0</v>
      </c>
      <c r="BP28" s="10">
        <v>18</v>
      </c>
      <c r="BQ28" s="10">
        <f>MAX(节奏总纲!D21-积分赛!$C$7,0)*$BC$10/30</f>
        <v>0</v>
      </c>
      <c r="BR28" s="10">
        <f>MAX(节奏总纲!E21-积分赛!$C$7,0)*$BC$10/30</f>
        <v>0</v>
      </c>
      <c r="BS28" s="10">
        <f>MAX(节奏总纲!F21-积分赛!$C$7,0)*$BC$10/30</f>
        <v>0</v>
      </c>
      <c r="BT28" s="10">
        <f>MAX(节奏总纲!G21-积分赛!$C$7,0)*$BC$10/30</f>
        <v>0</v>
      </c>
      <c r="BU28" s="10">
        <f>MAX(节奏总纲!H21-积分赛!$C$7,0)*$BC$10/30</f>
        <v>0</v>
      </c>
    </row>
    <row r="29" spans="13:73" x14ac:dyDescent="0.15">
      <c r="M29" s="10"/>
      <c r="Z29" s="10">
        <v>19</v>
      </c>
      <c r="AA29" s="10">
        <f>IFERROR(MAX($Z29-积分赛!$C$7,0)*INDEX($U$7:$U$14,MATCH(AA$10,$T$7:$T$14,0))/30,0)</f>
        <v>0</v>
      </c>
      <c r="AB29" s="10">
        <f>IFERROR(MAX($Z29-积分赛!$C$7,0)*INDEX($U$7:$U$14,MATCH(AB$10,$T$7:$T$14,0))/30,0)</f>
        <v>0</v>
      </c>
      <c r="AC29" s="10">
        <f>IFERROR(MAX($Z29-积分赛!$C$7,0)*INDEX($U$7:$U$14,MATCH(AC$10,$T$7:$T$14,0))/30,0)</f>
        <v>0</v>
      </c>
      <c r="AD29" s="10">
        <f>IFERROR(MAX($Z29-积分赛!$C$7,0)*INDEX($U$7:$U$14,MATCH(AD$10,$T$7:$T$14,0))/30,0)</f>
        <v>0</v>
      </c>
      <c r="AE29" s="10">
        <f>IFERROR(MAX($Z29-积分赛!$C$7,0)*INDEX($U$7:$U$14,MATCH(AE$10,$T$7:$T$14,0))/30,0)</f>
        <v>0</v>
      </c>
      <c r="AF29" s="10">
        <f>MAX($Z29-积分赛!$C$7,0)*(IFERROR(INDEX($W$7:$W$14,MATCH(AF$10,$T$7:$T$14,0)),0)*$T$20+IFERROR(INDEX($X$7:$X$14,MATCH(AF$10,$T$7:$T$14,0)),0)*$T$21)/30</f>
        <v>0</v>
      </c>
      <c r="AG29" s="10">
        <f>MAX($Z29-积分赛!$C$7,0)*(IFERROR(INDEX($W$7:$W$14,MATCH(AG$10,$T$7:$T$14,0)),0)*$T$20+IFERROR(INDEX($X$7:$X$14,MATCH(AG$10,$T$7:$T$14,0)),0)*$T$21)/30</f>
        <v>0</v>
      </c>
      <c r="AH29" s="10">
        <f>MAX($Z29-积分赛!$C$7,0)*(IFERROR(INDEX($W$7:$W$14,MATCH(AH$10,$T$7:$T$14,0)),0)*$T$20+IFERROR(INDEX($X$7:$X$14,MATCH(AH$10,$T$7:$T$14,0)),0)*$T$21)/30</f>
        <v>0</v>
      </c>
      <c r="AI29" s="10">
        <f>MAX($Z29-积分赛!$C$7,0)*(IFERROR(INDEX($W$7:$W$14,MATCH(AI$10,$T$7:$T$14,0)),0)*$T$20+IFERROR(INDEX($X$7:$X$14,MATCH(AI$10,$T$7:$T$14,0)),0)*$T$21)/30</f>
        <v>0</v>
      </c>
      <c r="AJ29" s="10">
        <f>MAX($Z29-积分赛!$C$7,0)*(IFERROR(INDEX($W$7:$W$14,MATCH(AJ$10,$T$7:$T$14,0)),0)*$T$20+IFERROR(INDEX($X$7:$X$14,MATCH(AJ$10,$T$7:$T$14,0)),0)*$T$21)/30</f>
        <v>0</v>
      </c>
      <c r="AL29" s="10">
        <v>19</v>
      </c>
      <c r="AM29" s="10">
        <f>IFERROR(MAX(节奏总纲!D22-积分赛!$C$7,0)*INDEX($U$7:$U$14,MATCH(AA$10,$T$7:$T$14,0))/30,0)</f>
        <v>0</v>
      </c>
      <c r="AN29" s="10">
        <f>IFERROR(MAX(节奏总纲!E22-积分赛!$C$7,0)*INDEX($U$7:$U$14,MATCH(AB$10,$T$7:$T$14,0))/30,0)</f>
        <v>0</v>
      </c>
      <c r="AO29" s="10">
        <f>IFERROR(MAX(节奏总纲!F22-积分赛!$C$7,0)*INDEX($U$7:$U$14,MATCH(AC$10,$T$7:$T$14,0))/30,0)</f>
        <v>0</v>
      </c>
      <c r="AP29" s="10">
        <f>IFERROR(MAX(节奏总纲!G22-积分赛!$C$7,0)*INDEX($U$7:$U$14,MATCH(AD$10,$T$7:$T$14,0))/30,0)</f>
        <v>0</v>
      </c>
      <c r="AQ29" s="10">
        <f>IFERROR(MAX(节奏总纲!H22-积分赛!$C$7,0)*INDEX($U$7:$U$14,MATCH(AE$10,$T$7:$T$14,0))/30,0)</f>
        <v>0</v>
      </c>
      <c r="AR29" s="10">
        <f>MAX(节奏总纲!D22-积分赛!$C$7,0)*(IFERROR(INDEX($W$7:$W$14,MATCH(AF$10,$T$7:$T$14,0)),0)*$T$20+IFERROR(INDEX($X$7:$X$14,MATCH(AF$10,$T$7:$T$14,0)),0)*$T$21)/30</f>
        <v>0</v>
      </c>
      <c r="AS29" s="10">
        <f>MAX(节奏总纲!E22-积分赛!$C$7,0)*(IFERROR(INDEX($W$7:$W$14,MATCH(AG$10,$T$7:$T$14,0)),0)*$T$20+IFERROR(INDEX($X$7:$X$14,MATCH(AG$10,$T$7:$T$14,0)),0)*$T$21)/30</f>
        <v>0</v>
      </c>
      <c r="AT29" s="10">
        <f>MAX(节奏总纲!F22-积分赛!$C$7,0)*(IFERROR(INDEX($W$7:$W$14,MATCH(AH$10,$T$7:$T$14,0)),0)*$T$20+IFERROR(INDEX($X$7:$X$14,MATCH(AH$10,$T$7:$T$14,0)),0)*$T$21)/30</f>
        <v>0</v>
      </c>
      <c r="AU29" s="10">
        <f>MAX(节奏总纲!G22-积分赛!$C$7,0)*(IFERROR(INDEX($W$7:$W$14,MATCH(AI$10,$T$7:$T$14,0)),0)*$T$20+IFERROR(INDEX($X$7:$X$14,MATCH(AI$10,$T$7:$T$14,0)),0)*$T$21)/30</f>
        <v>0</v>
      </c>
      <c r="AV29" s="10">
        <f>MAX(节奏总纲!H22-积分赛!$C$7,0)*(IFERROR(INDEX($W$7:$W$14,MATCH(AJ$10,$T$7:$T$14,0)),0)*$T$20+IFERROR(INDEX($X$7:$X$14,MATCH(AJ$10,$T$7:$T$14,0)),0)*$T$21)/30</f>
        <v>0</v>
      </c>
      <c r="BI29" s="10">
        <v>19</v>
      </c>
      <c r="BJ29" s="10">
        <f>MAX($BI29-积分赛!$C$7,0)*$BC$10/30</f>
        <v>0</v>
      </c>
      <c r="BK29" s="10">
        <f>MAX($BI29-积分赛!$C$7,0)*$BC$10/30</f>
        <v>0</v>
      </c>
      <c r="BL29" s="10">
        <f>MAX($BI29-积分赛!$C$7,0)*$BC$10/30</f>
        <v>0</v>
      </c>
      <c r="BM29" s="10">
        <f>MAX($BI29-积分赛!$C$7,0)*$BC$10/30</f>
        <v>0</v>
      </c>
      <c r="BN29" s="10">
        <f>MAX($BI29-积分赛!$C$7,0)*$BC$10/30</f>
        <v>0</v>
      </c>
      <c r="BP29" s="10">
        <v>19</v>
      </c>
      <c r="BQ29" s="10">
        <f>MAX(节奏总纲!D22-积分赛!$C$7,0)*$BC$10/30</f>
        <v>0</v>
      </c>
      <c r="BR29" s="10">
        <f>MAX(节奏总纲!E22-积分赛!$C$7,0)*$BC$10/30</f>
        <v>0</v>
      </c>
      <c r="BS29" s="10">
        <f>MAX(节奏总纲!F22-积分赛!$C$7,0)*$BC$10/30</f>
        <v>0</v>
      </c>
      <c r="BT29" s="10">
        <f>MAX(节奏总纲!G22-积分赛!$C$7,0)*$BC$10/30</f>
        <v>0</v>
      </c>
      <c r="BU29" s="10">
        <f>MAX(节奏总纲!H22-积分赛!$C$7,0)*$BC$10/30</f>
        <v>0</v>
      </c>
    </row>
    <row r="30" spans="13:73" x14ac:dyDescent="0.15">
      <c r="M30" s="10"/>
      <c r="Z30" s="10">
        <v>20</v>
      </c>
      <c r="AA30" s="10">
        <f>IFERROR(MAX($Z30-积分赛!$C$7,0)*INDEX($U$7:$U$14,MATCH(AA$10,$T$7:$T$14,0))/30,0)</f>
        <v>0</v>
      </c>
      <c r="AB30" s="10">
        <f>IFERROR(MAX($Z30-积分赛!$C$7,0)*INDEX($U$7:$U$14,MATCH(AB$10,$T$7:$T$14,0))/30,0)</f>
        <v>0</v>
      </c>
      <c r="AC30" s="10">
        <f>IFERROR(MAX($Z30-积分赛!$C$7,0)*INDEX($U$7:$U$14,MATCH(AC$10,$T$7:$T$14,0))/30,0)</f>
        <v>0</v>
      </c>
      <c r="AD30" s="10">
        <f>IFERROR(MAX($Z30-积分赛!$C$7,0)*INDEX($U$7:$U$14,MATCH(AD$10,$T$7:$T$14,0))/30,0)</f>
        <v>0</v>
      </c>
      <c r="AE30" s="10">
        <f>IFERROR(MAX($Z30-积分赛!$C$7,0)*INDEX($U$7:$U$14,MATCH(AE$10,$T$7:$T$14,0))/30,0)</f>
        <v>0</v>
      </c>
      <c r="AF30" s="10">
        <f>MAX($Z30-积分赛!$C$7,0)*(IFERROR(INDEX($W$7:$W$14,MATCH(AF$10,$T$7:$T$14,0)),0)*$T$20+IFERROR(INDEX($X$7:$X$14,MATCH(AF$10,$T$7:$T$14,0)),0)*$T$21)/30</f>
        <v>0</v>
      </c>
      <c r="AG30" s="10">
        <f>MAX($Z30-积分赛!$C$7,0)*(IFERROR(INDEX($W$7:$W$14,MATCH(AG$10,$T$7:$T$14,0)),0)*$T$20+IFERROR(INDEX($X$7:$X$14,MATCH(AG$10,$T$7:$T$14,0)),0)*$T$21)/30</f>
        <v>0</v>
      </c>
      <c r="AH30" s="10">
        <f>MAX($Z30-积分赛!$C$7,0)*(IFERROR(INDEX($W$7:$W$14,MATCH(AH$10,$T$7:$T$14,0)),0)*$T$20+IFERROR(INDEX($X$7:$X$14,MATCH(AH$10,$T$7:$T$14,0)),0)*$T$21)/30</f>
        <v>0</v>
      </c>
      <c r="AI30" s="10">
        <f>MAX($Z30-积分赛!$C$7,0)*(IFERROR(INDEX($W$7:$W$14,MATCH(AI$10,$T$7:$T$14,0)),0)*$T$20+IFERROR(INDEX($X$7:$X$14,MATCH(AI$10,$T$7:$T$14,0)),0)*$T$21)/30</f>
        <v>0</v>
      </c>
      <c r="AJ30" s="10">
        <f>MAX($Z30-积分赛!$C$7,0)*(IFERROR(INDEX($W$7:$W$14,MATCH(AJ$10,$T$7:$T$14,0)),0)*$T$20+IFERROR(INDEX($X$7:$X$14,MATCH(AJ$10,$T$7:$T$14,0)),0)*$T$21)/30</f>
        <v>0</v>
      </c>
      <c r="AL30" s="10">
        <v>20</v>
      </c>
      <c r="AM30" s="10">
        <f>IFERROR(MAX(节奏总纲!D23-积分赛!$C$7,0)*INDEX($U$7:$U$14,MATCH(AA$10,$T$7:$T$14,0))/30,0)</f>
        <v>0</v>
      </c>
      <c r="AN30" s="10">
        <f>IFERROR(MAX(节奏总纲!E23-积分赛!$C$7,0)*INDEX($U$7:$U$14,MATCH(AB$10,$T$7:$T$14,0))/30,0)</f>
        <v>0</v>
      </c>
      <c r="AO30" s="10">
        <f>IFERROR(MAX(节奏总纲!F23-积分赛!$C$7,0)*INDEX($U$7:$U$14,MATCH(AC$10,$T$7:$T$14,0))/30,0)</f>
        <v>0</v>
      </c>
      <c r="AP30" s="10">
        <f>IFERROR(MAX(节奏总纲!G23-积分赛!$C$7,0)*INDEX($U$7:$U$14,MATCH(AD$10,$T$7:$T$14,0))/30,0)</f>
        <v>0</v>
      </c>
      <c r="AQ30" s="10">
        <f>IFERROR(MAX(节奏总纲!H23-积分赛!$C$7,0)*INDEX($U$7:$U$14,MATCH(AE$10,$T$7:$T$14,0))/30,0)</f>
        <v>0</v>
      </c>
      <c r="AR30" s="10">
        <f>MAX(节奏总纲!D23-积分赛!$C$7,0)*(IFERROR(INDEX($W$7:$W$14,MATCH(AF$10,$T$7:$T$14,0)),0)*$T$20+IFERROR(INDEX($X$7:$X$14,MATCH(AF$10,$T$7:$T$14,0)),0)*$T$21)/30</f>
        <v>0</v>
      </c>
      <c r="AS30" s="10">
        <f>MAX(节奏总纲!E23-积分赛!$C$7,0)*(IFERROR(INDEX($W$7:$W$14,MATCH(AG$10,$T$7:$T$14,0)),0)*$T$20+IFERROR(INDEX($X$7:$X$14,MATCH(AG$10,$T$7:$T$14,0)),0)*$T$21)/30</f>
        <v>0</v>
      </c>
      <c r="AT30" s="10">
        <f>MAX(节奏总纲!F23-积分赛!$C$7,0)*(IFERROR(INDEX($W$7:$W$14,MATCH(AH$10,$T$7:$T$14,0)),0)*$T$20+IFERROR(INDEX($X$7:$X$14,MATCH(AH$10,$T$7:$T$14,0)),0)*$T$21)/30</f>
        <v>0</v>
      </c>
      <c r="AU30" s="10">
        <f>MAX(节奏总纲!G23-积分赛!$C$7,0)*(IFERROR(INDEX($W$7:$W$14,MATCH(AI$10,$T$7:$T$14,0)),0)*$T$20+IFERROR(INDEX($X$7:$X$14,MATCH(AI$10,$T$7:$T$14,0)),0)*$T$21)/30</f>
        <v>0</v>
      </c>
      <c r="AV30" s="10">
        <f>MAX(节奏总纲!H23-积分赛!$C$7,0)*(IFERROR(INDEX($W$7:$W$14,MATCH(AJ$10,$T$7:$T$14,0)),0)*$T$20+IFERROR(INDEX($X$7:$X$14,MATCH(AJ$10,$T$7:$T$14,0)),0)*$T$21)/30</f>
        <v>0</v>
      </c>
      <c r="BI30" s="10">
        <v>20</v>
      </c>
      <c r="BJ30" s="10">
        <f>MAX($BI30-积分赛!$C$7,0)*$BC$10/30</f>
        <v>0</v>
      </c>
      <c r="BK30" s="10">
        <f>MAX($BI30-积分赛!$C$7,0)*$BC$10/30</f>
        <v>0</v>
      </c>
      <c r="BL30" s="10">
        <f>MAX($BI30-积分赛!$C$7,0)*$BC$10/30</f>
        <v>0</v>
      </c>
      <c r="BM30" s="10">
        <f>MAX($BI30-积分赛!$C$7,0)*$BC$10/30</f>
        <v>0</v>
      </c>
      <c r="BN30" s="10">
        <f>MAX($BI30-积分赛!$C$7,0)*$BC$10/30</f>
        <v>0</v>
      </c>
      <c r="BP30" s="10">
        <v>20</v>
      </c>
      <c r="BQ30" s="10">
        <f>MAX(节奏总纲!D23-积分赛!$C$7,0)*$BC$10/30</f>
        <v>0</v>
      </c>
      <c r="BR30" s="10">
        <f>MAX(节奏总纲!E23-积分赛!$C$7,0)*$BC$10/30</f>
        <v>0</v>
      </c>
      <c r="BS30" s="10">
        <f>MAX(节奏总纲!F23-积分赛!$C$7,0)*$BC$10/30</f>
        <v>0</v>
      </c>
      <c r="BT30" s="10">
        <f>MAX(节奏总纲!G23-积分赛!$C$7,0)*$BC$10/30</f>
        <v>0</v>
      </c>
      <c r="BU30" s="10">
        <f>MAX(节奏总纲!H23-积分赛!$C$7,0)*$BC$10/30</f>
        <v>0</v>
      </c>
    </row>
    <row r="31" spans="13:73" x14ac:dyDescent="0.15">
      <c r="M31" s="10"/>
      <c r="Z31" s="10">
        <v>21</v>
      </c>
      <c r="AA31" s="10">
        <f>IFERROR(MAX($Z31-积分赛!$C$7,0)*INDEX($U$7:$U$14,MATCH(AA$10,$T$7:$T$14,0))/30,0)</f>
        <v>0</v>
      </c>
      <c r="AB31" s="10">
        <f>IFERROR(MAX($Z31-积分赛!$C$7,0)*INDEX($U$7:$U$14,MATCH(AB$10,$T$7:$T$14,0))/30,0)</f>
        <v>0</v>
      </c>
      <c r="AC31" s="10">
        <f>IFERROR(MAX($Z31-积分赛!$C$7,0)*INDEX($U$7:$U$14,MATCH(AC$10,$T$7:$T$14,0))/30,0)</f>
        <v>0</v>
      </c>
      <c r="AD31" s="10">
        <f>IFERROR(MAX($Z31-积分赛!$C$7,0)*INDEX($U$7:$U$14,MATCH(AD$10,$T$7:$T$14,0))/30,0)</f>
        <v>0</v>
      </c>
      <c r="AE31" s="10">
        <f>IFERROR(MAX($Z31-积分赛!$C$7,0)*INDEX($U$7:$U$14,MATCH(AE$10,$T$7:$T$14,0))/30,0)</f>
        <v>0</v>
      </c>
      <c r="AF31" s="10">
        <f>MAX($Z31-积分赛!$C$7,0)*(IFERROR(INDEX($W$7:$W$14,MATCH(AF$10,$T$7:$T$14,0)),0)*$T$20+IFERROR(INDEX($X$7:$X$14,MATCH(AF$10,$T$7:$T$14,0)),0)*$T$21)/30</f>
        <v>0</v>
      </c>
      <c r="AG31" s="10">
        <f>MAX($Z31-积分赛!$C$7,0)*(IFERROR(INDEX($W$7:$W$14,MATCH(AG$10,$T$7:$T$14,0)),0)*$T$20+IFERROR(INDEX($X$7:$X$14,MATCH(AG$10,$T$7:$T$14,0)),0)*$T$21)/30</f>
        <v>0</v>
      </c>
      <c r="AH31" s="10">
        <f>MAX($Z31-积分赛!$C$7,0)*(IFERROR(INDEX($W$7:$W$14,MATCH(AH$10,$T$7:$T$14,0)),0)*$T$20+IFERROR(INDEX($X$7:$X$14,MATCH(AH$10,$T$7:$T$14,0)),0)*$T$21)/30</f>
        <v>0</v>
      </c>
      <c r="AI31" s="10">
        <f>MAX($Z31-积分赛!$C$7,0)*(IFERROR(INDEX($W$7:$W$14,MATCH(AI$10,$T$7:$T$14,0)),0)*$T$20+IFERROR(INDEX($X$7:$X$14,MATCH(AI$10,$T$7:$T$14,0)),0)*$T$21)/30</f>
        <v>0</v>
      </c>
      <c r="AJ31" s="10">
        <f>MAX($Z31-积分赛!$C$7,0)*(IFERROR(INDEX($W$7:$W$14,MATCH(AJ$10,$T$7:$T$14,0)),0)*$T$20+IFERROR(INDEX($X$7:$X$14,MATCH(AJ$10,$T$7:$T$14,0)),0)*$T$21)/30</f>
        <v>0</v>
      </c>
      <c r="AL31" s="10">
        <v>21</v>
      </c>
      <c r="AM31" s="10">
        <f>IFERROR(MAX(节奏总纲!D24-积分赛!$C$7,0)*INDEX($U$7:$U$14,MATCH(AA$10,$T$7:$T$14,0))/30,0)</f>
        <v>0</v>
      </c>
      <c r="AN31" s="10">
        <f>IFERROR(MAX(节奏总纲!E24-积分赛!$C$7,0)*INDEX($U$7:$U$14,MATCH(AB$10,$T$7:$T$14,0))/30,0)</f>
        <v>0</v>
      </c>
      <c r="AO31" s="10">
        <f>IFERROR(MAX(节奏总纲!F24-积分赛!$C$7,0)*INDEX($U$7:$U$14,MATCH(AC$10,$T$7:$T$14,0))/30,0)</f>
        <v>0</v>
      </c>
      <c r="AP31" s="10">
        <f>IFERROR(MAX(节奏总纲!G24-积分赛!$C$7,0)*INDEX($U$7:$U$14,MATCH(AD$10,$T$7:$T$14,0))/30,0)</f>
        <v>0</v>
      </c>
      <c r="AQ31" s="10">
        <f>IFERROR(MAX(节奏总纲!H24-积分赛!$C$7,0)*INDEX($U$7:$U$14,MATCH(AE$10,$T$7:$T$14,0))/30,0)</f>
        <v>0</v>
      </c>
      <c r="AR31" s="10">
        <f>MAX(节奏总纲!D24-积分赛!$C$7,0)*(IFERROR(INDEX($W$7:$W$14,MATCH(AF$10,$T$7:$T$14,0)),0)*$T$20+IFERROR(INDEX($X$7:$X$14,MATCH(AF$10,$T$7:$T$14,0)),0)*$T$21)/30</f>
        <v>0</v>
      </c>
      <c r="AS31" s="10">
        <f>MAX(节奏总纲!E24-积分赛!$C$7,0)*(IFERROR(INDEX($W$7:$W$14,MATCH(AG$10,$T$7:$T$14,0)),0)*$T$20+IFERROR(INDEX($X$7:$X$14,MATCH(AG$10,$T$7:$T$14,0)),0)*$T$21)/30</f>
        <v>0</v>
      </c>
      <c r="AT31" s="10">
        <f>MAX(节奏总纲!F24-积分赛!$C$7,0)*(IFERROR(INDEX($W$7:$W$14,MATCH(AH$10,$T$7:$T$14,0)),0)*$T$20+IFERROR(INDEX($X$7:$X$14,MATCH(AH$10,$T$7:$T$14,0)),0)*$T$21)/30</f>
        <v>0</v>
      </c>
      <c r="AU31" s="10">
        <f>MAX(节奏总纲!G24-积分赛!$C$7,0)*(IFERROR(INDEX($W$7:$W$14,MATCH(AI$10,$T$7:$T$14,0)),0)*$T$20+IFERROR(INDEX($X$7:$X$14,MATCH(AI$10,$T$7:$T$14,0)),0)*$T$21)/30</f>
        <v>0</v>
      </c>
      <c r="AV31" s="10">
        <f>MAX(节奏总纲!H24-积分赛!$C$7,0)*(IFERROR(INDEX($W$7:$W$14,MATCH(AJ$10,$T$7:$T$14,0)),0)*$T$20+IFERROR(INDEX($X$7:$X$14,MATCH(AJ$10,$T$7:$T$14,0)),0)*$T$21)/30</f>
        <v>0</v>
      </c>
      <c r="BI31" s="10">
        <v>21</v>
      </c>
      <c r="BJ31" s="10">
        <f>MAX($BI31-积分赛!$C$7,0)*$BC$10/30</f>
        <v>0</v>
      </c>
      <c r="BK31" s="10">
        <f>MAX($BI31-积分赛!$C$7,0)*$BC$10/30</f>
        <v>0</v>
      </c>
      <c r="BL31" s="10">
        <f>MAX($BI31-积分赛!$C$7,0)*$BC$10/30</f>
        <v>0</v>
      </c>
      <c r="BM31" s="10">
        <f>MAX($BI31-积分赛!$C$7,0)*$BC$10/30</f>
        <v>0</v>
      </c>
      <c r="BN31" s="10">
        <f>MAX($BI31-积分赛!$C$7,0)*$BC$10/30</f>
        <v>0</v>
      </c>
      <c r="BP31" s="10">
        <v>21</v>
      </c>
      <c r="BQ31" s="10">
        <f>MAX(节奏总纲!D24-积分赛!$C$7,0)*$BC$10/30</f>
        <v>0</v>
      </c>
      <c r="BR31" s="10">
        <f>MAX(节奏总纲!E24-积分赛!$C$7,0)*$BC$10/30</f>
        <v>0</v>
      </c>
      <c r="BS31" s="10">
        <f>MAX(节奏总纲!F24-积分赛!$C$7,0)*$BC$10/30</f>
        <v>0</v>
      </c>
      <c r="BT31" s="10">
        <f>MAX(节奏总纲!G24-积分赛!$C$7,0)*$BC$10/30</f>
        <v>0</v>
      </c>
      <c r="BU31" s="10">
        <f>MAX(节奏总纲!H24-积分赛!$C$7,0)*$BC$10/30</f>
        <v>0</v>
      </c>
    </row>
    <row r="32" spans="13:73" x14ac:dyDescent="0.15">
      <c r="Z32" s="10">
        <v>22</v>
      </c>
      <c r="AA32" s="10">
        <f>IFERROR(MAX($Z32-积分赛!$C$7,0)*INDEX($U$7:$U$14,MATCH(AA$10,$T$7:$T$14,0))/30,0)</f>
        <v>0</v>
      </c>
      <c r="AB32" s="10">
        <f>IFERROR(MAX($Z32-积分赛!$C$7,0)*INDEX($U$7:$U$14,MATCH(AB$10,$T$7:$T$14,0))/30,0)</f>
        <v>0</v>
      </c>
      <c r="AC32" s="10">
        <f>IFERROR(MAX($Z32-积分赛!$C$7,0)*INDEX($U$7:$U$14,MATCH(AC$10,$T$7:$T$14,0))/30,0)</f>
        <v>0</v>
      </c>
      <c r="AD32" s="10">
        <f>IFERROR(MAX($Z32-积分赛!$C$7,0)*INDEX($U$7:$U$14,MATCH(AD$10,$T$7:$T$14,0))/30,0)</f>
        <v>0</v>
      </c>
      <c r="AE32" s="10">
        <f>IFERROR(MAX($Z32-积分赛!$C$7,0)*INDEX($U$7:$U$14,MATCH(AE$10,$T$7:$T$14,0))/30,0)</f>
        <v>0</v>
      </c>
      <c r="AF32" s="10">
        <f>MAX($Z32-积分赛!$C$7,0)*(IFERROR(INDEX($W$7:$W$14,MATCH(AF$10,$T$7:$T$14,0)),0)*$T$20+IFERROR(INDEX($X$7:$X$14,MATCH(AF$10,$T$7:$T$14,0)),0)*$T$21)/30</f>
        <v>0</v>
      </c>
      <c r="AG32" s="10">
        <f>MAX($Z32-积分赛!$C$7,0)*(IFERROR(INDEX($W$7:$W$14,MATCH(AG$10,$T$7:$T$14,0)),0)*$T$20+IFERROR(INDEX($X$7:$X$14,MATCH(AG$10,$T$7:$T$14,0)),0)*$T$21)/30</f>
        <v>0</v>
      </c>
      <c r="AH32" s="10">
        <f>MAX($Z32-积分赛!$C$7,0)*(IFERROR(INDEX($W$7:$W$14,MATCH(AH$10,$T$7:$T$14,0)),0)*$T$20+IFERROR(INDEX($X$7:$X$14,MATCH(AH$10,$T$7:$T$14,0)),0)*$T$21)/30</f>
        <v>0</v>
      </c>
      <c r="AI32" s="10">
        <f>MAX($Z32-积分赛!$C$7,0)*(IFERROR(INDEX($W$7:$W$14,MATCH(AI$10,$T$7:$T$14,0)),0)*$T$20+IFERROR(INDEX($X$7:$X$14,MATCH(AI$10,$T$7:$T$14,0)),0)*$T$21)/30</f>
        <v>0</v>
      </c>
      <c r="AJ32" s="10">
        <f>MAX($Z32-积分赛!$C$7,0)*(IFERROR(INDEX($W$7:$W$14,MATCH(AJ$10,$T$7:$T$14,0)),0)*$T$20+IFERROR(INDEX($X$7:$X$14,MATCH(AJ$10,$T$7:$T$14,0)),0)*$T$21)/30</f>
        <v>0</v>
      </c>
      <c r="AL32" s="10">
        <v>22</v>
      </c>
      <c r="AM32" s="10">
        <f>IFERROR(MAX(节奏总纲!D25-积分赛!$C$7,0)*INDEX($U$7:$U$14,MATCH(AA$10,$T$7:$T$14,0))/30,0)</f>
        <v>0</v>
      </c>
      <c r="AN32" s="10">
        <f>IFERROR(MAX(节奏总纲!E25-积分赛!$C$7,0)*INDEX($U$7:$U$14,MATCH(AB$10,$T$7:$T$14,0))/30,0)</f>
        <v>0</v>
      </c>
      <c r="AO32" s="10">
        <f>IFERROR(MAX(节奏总纲!F25-积分赛!$C$7,0)*INDEX($U$7:$U$14,MATCH(AC$10,$T$7:$T$14,0))/30,0)</f>
        <v>0</v>
      </c>
      <c r="AP32" s="10">
        <f>IFERROR(MAX(节奏总纲!G25-积分赛!$C$7,0)*INDEX($U$7:$U$14,MATCH(AD$10,$T$7:$T$14,0))/30,0)</f>
        <v>0</v>
      </c>
      <c r="AQ32" s="10">
        <f>IFERROR(MAX(节奏总纲!H25-积分赛!$C$7,0)*INDEX($U$7:$U$14,MATCH(AE$10,$T$7:$T$14,0))/30,0)</f>
        <v>0</v>
      </c>
      <c r="AR32" s="10">
        <f>MAX(节奏总纲!D25-积分赛!$C$7,0)*(IFERROR(INDEX($W$7:$W$14,MATCH(AF$10,$T$7:$T$14,0)),0)*$T$20+IFERROR(INDEX($X$7:$X$14,MATCH(AF$10,$T$7:$T$14,0)),0)*$T$21)/30</f>
        <v>0</v>
      </c>
      <c r="AS32" s="10">
        <f>MAX(节奏总纲!E25-积分赛!$C$7,0)*(IFERROR(INDEX($W$7:$W$14,MATCH(AG$10,$T$7:$T$14,0)),0)*$T$20+IFERROR(INDEX($X$7:$X$14,MATCH(AG$10,$T$7:$T$14,0)),0)*$T$21)/30</f>
        <v>0</v>
      </c>
      <c r="AT32" s="10">
        <f>MAX(节奏总纲!F25-积分赛!$C$7,0)*(IFERROR(INDEX($W$7:$W$14,MATCH(AH$10,$T$7:$T$14,0)),0)*$T$20+IFERROR(INDEX($X$7:$X$14,MATCH(AH$10,$T$7:$T$14,0)),0)*$T$21)/30</f>
        <v>0</v>
      </c>
      <c r="AU32" s="10">
        <f>MAX(节奏总纲!G25-积分赛!$C$7,0)*(IFERROR(INDEX($W$7:$W$14,MATCH(AI$10,$T$7:$T$14,0)),0)*$T$20+IFERROR(INDEX($X$7:$X$14,MATCH(AI$10,$T$7:$T$14,0)),0)*$T$21)/30</f>
        <v>0</v>
      </c>
      <c r="AV32" s="10">
        <f>MAX(节奏总纲!H25-积分赛!$C$7,0)*(IFERROR(INDEX($W$7:$W$14,MATCH(AJ$10,$T$7:$T$14,0)),0)*$T$20+IFERROR(INDEX($X$7:$X$14,MATCH(AJ$10,$T$7:$T$14,0)),0)*$T$21)/30</f>
        <v>0</v>
      </c>
      <c r="BI32" s="10">
        <v>22</v>
      </c>
      <c r="BJ32" s="10">
        <f>MAX($BI32-积分赛!$C$7,0)*$BC$10/30</f>
        <v>0</v>
      </c>
      <c r="BK32" s="10">
        <f>MAX($BI32-积分赛!$C$7,0)*$BC$10/30</f>
        <v>0</v>
      </c>
      <c r="BL32" s="10">
        <f>MAX($BI32-积分赛!$C$7,0)*$BC$10/30</f>
        <v>0</v>
      </c>
      <c r="BM32" s="10">
        <f>MAX($BI32-积分赛!$C$7,0)*$BC$10/30</f>
        <v>0</v>
      </c>
      <c r="BN32" s="10">
        <f>MAX($BI32-积分赛!$C$7,0)*$BC$10/30</f>
        <v>0</v>
      </c>
      <c r="BP32" s="10">
        <v>22</v>
      </c>
      <c r="BQ32" s="10">
        <f>MAX(节奏总纲!D25-积分赛!$C$7,0)*$BC$10/30</f>
        <v>0</v>
      </c>
      <c r="BR32" s="10">
        <f>MAX(节奏总纲!E25-积分赛!$C$7,0)*$BC$10/30</f>
        <v>0</v>
      </c>
      <c r="BS32" s="10">
        <f>MAX(节奏总纲!F25-积分赛!$C$7,0)*$BC$10/30</f>
        <v>0</v>
      </c>
      <c r="BT32" s="10">
        <f>MAX(节奏总纲!G25-积分赛!$C$7,0)*$BC$10/30</f>
        <v>0</v>
      </c>
      <c r="BU32" s="10">
        <f>MAX(节奏总纲!H25-积分赛!$C$7,0)*$BC$10/30</f>
        <v>0</v>
      </c>
    </row>
    <row r="33" spans="3:73" x14ac:dyDescent="0.15">
      <c r="Z33" s="10">
        <v>23</v>
      </c>
      <c r="AA33" s="10">
        <f>IFERROR(MAX($Z33-积分赛!$C$7,0)*INDEX($U$7:$U$14,MATCH(AA$10,$T$7:$T$14,0))/30,0)</f>
        <v>0</v>
      </c>
      <c r="AB33" s="10">
        <f>IFERROR(MAX($Z33-积分赛!$C$7,0)*INDEX($U$7:$U$14,MATCH(AB$10,$T$7:$T$14,0))/30,0)</f>
        <v>0</v>
      </c>
      <c r="AC33" s="10">
        <f>IFERROR(MAX($Z33-积分赛!$C$7,0)*INDEX($U$7:$U$14,MATCH(AC$10,$T$7:$T$14,0))/30,0)</f>
        <v>0</v>
      </c>
      <c r="AD33" s="10">
        <f>IFERROR(MAX($Z33-积分赛!$C$7,0)*INDEX($U$7:$U$14,MATCH(AD$10,$T$7:$T$14,0))/30,0)</f>
        <v>0</v>
      </c>
      <c r="AE33" s="10">
        <f>IFERROR(MAX($Z33-积分赛!$C$7,0)*INDEX($U$7:$U$14,MATCH(AE$10,$T$7:$T$14,0))/30,0)</f>
        <v>0</v>
      </c>
      <c r="AF33" s="10">
        <f>MAX($Z33-积分赛!$C$7,0)*(IFERROR(INDEX($W$7:$W$14,MATCH(AF$10,$T$7:$T$14,0)),0)*$T$20+IFERROR(INDEX($X$7:$X$14,MATCH(AF$10,$T$7:$T$14,0)),0)*$T$21)/30</f>
        <v>0</v>
      </c>
      <c r="AG33" s="10">
        <f>MAX($Z33-积分赛!$C$7,0)*(IFERROR(INDEX($W$7:$W$14,MATCH(AG$10,$T$7:$T$14,0)),0)*$T$20+IFERROR(INDEX($X$7:$X$14,MATCH(AG$10,$T$7:$T$14,0)),0)*$T$21)/30</f>
        <v>0</v>
      </c>
      <c r="AH33" s="10">
        <f>MAX($Z33-积分赛!$C$7,0)*(IFERROR(INDEX($W$7:$W$14,MATCH(AH$10,$T$7:$T$14,0)),0)*$T$20+IFERROR(INDEX($X$7:$X$14,MATCH(AH$10,$T$7:$T$14,0)),0)*$T$21)/30</f>
        <v>0</v>
      </c>
      <c r="AI33" s="10">
        <f>MAX($Z33-积分赛!$C$7,0)*(IFERROR(INDEX($W$7:$W$14,MATCH(AI$10,$T$7:$T$14,0)),0)*$T$20+IFERROR(INDEX($X$7:$X$14,MATCH(AI$10,$T$7:$T$14,0)),0)*$T$21)/30</f>
        <v>0</v>
      </c>
      <c r="AJ33" s="10">
        <f>MAX($Z33-积分赛!$C$7,0)*(IFERROR(INDEX($W$7:$W$14,MATCH(AJ$10,$T$7:$T$14,0)),0)*$T$20+IFERROR(INDEX($X$7:$X$14,MATCH(AJ$10,$T$7:$T$14,0)),0)*$T$21)/30</f>
        <v>0</v>
      </c>
      <c r="AL33" s="10">
        <v>23</v>
      </c>
      <c r="AM33" s="10">
        <f>IFERROR(MAX(节奏总纲!D26-积分赛!$C$7,0)*INDEX($U$7:$U$14,MATCH(AA$10,$T$7:$T$14,0))/30,0)</f>
        <v>0</v>
      </c>
      <c r="AN33" s="10">
        <f>IFERROR(MAX(节奏总纲!E26-积分赛!$C$7,0)*INDEX($U$7:$U$14,MATCH(AB$10,$T$7:$T$14,0))/30,0)</f>
        <v>0</v>
      </c>
      <c r="AO33" s="10">
        <f>IFERROR(MAX(节奏总纲!F26-积分赛!$C$7,0)*INDEX($U$7:$U$14,MATCH(AC$10,$T$7:$T$14,0))/30,0)</f>
        <v>0</v>
      </c>
      <c r="AP33" s="10">
        <f>IFERROR(MAX(节奏总纲!G26-积分赛!$C$7,0)*INDEX($U$7:$U$14,MATCH(AD$10,$T$7:$T$14,0))/30,0)</f>
        <v>0</v>
      </c>
      <c r="AQ33" s="10">
        <f>IFERROR(MAX(节奏总纲!H26-积分赛!$C$7,0)*INDEX($U$7:$U$14,MATCH(AE$10,$T$7:$T$14,0))/30,0)</f>
        <v>0</v>
      </c>
      <c r="AR33" s="10">
        <f>MAX(节奏总纲!D26-积分赛!$C$7,0)*(IFERROR(INDEX($W$7:$W$14,MATCH(AF$10,$T$7:$T$14,0)),0)*$T$20+IFERROR(INDEX($X$7:$X$14,MATCH(AF$10,$T$7:$T$14,0)),0)*$T$21)/30</f>
        <v>0</v>
      </c>
      <c r="AS33" s="10">
        <f>MAX(节奏总纲!E26-积分赛!$C$7,0)*(IFERROR(INDEX($W$7:$W$14,MATCH(AG$10,$T$7:$T$14,0)),0)*$T$20+IFERROR(INDEX($X$7:$X$14,MATCH(AG$10,$T$7:$T$14,0)),0)*$T$21)/30</f>
        <v>0</v>
      </c>
      <c r="AT33" s="10">
        <f>MAX(节奏总纲!F26-积分赛!$C$7,0)*(IFERROR(INDEX($W$7:$W$14,MATCH(AH$10,$T$7:$T$14,0)),0)*$T$20+IFERROR(INDEX($X$7:$X$14,MATCH(AH$10,$T$7:$T$14,0)),0)*$T$21)/30</f>
        <v>0</v>
      </c>
      <c r="AU33" s="10">
        <f>MAX(节奏总纲!G26-积分赛!$C$7,0)*(IFERROR(INDEX($W$7:$W$14,MATCH(AI$10,$T$7:$T$14,0)),0)*$T$20+IFERROR(INDEX($X$7:$X$14,MATCH(AI$10,$T$7:$T$14,0)),0)*$T$21)/30</f>
        <v>0</v>
      </c>
      <c r="AV33" s="10">
        <f>MAX(节奏总纲!H26-积分赛!$C$7,0)*(IFERROR(INDEX($W$7:$W$14,MATCH(AJ$10,$T$7:$T$14,0)),0)*$T$20+IFERROR(INDEX($X$7:$X$14,MATCH(AJ$10,$T$7:$T$14,0)),0)*$T$21)/30</f>
        <v>0</v>
      </c>
      <c r="BI33" s="10">
        <v>23</v>
      </c>
      <c r="BJ33" s="10">
        <f>MAX($BI33-积分赛!$C$7,0)*$BC$10/30</f>
        <v>0</v>
      </c>
      <c r="BK33" s="10">
        <f>MAX($BI33-积分赛!$C$7,0)*$BC$10/30</f>
        <v>0</v>
      </c>
      <c r="BL33" s="10">
        <f>MAX($BI33-积分赛!$C$7,0)*$BC$10/30</f>
        <v>0</v>
      </c>
      <c r="BM33" s="10">
        <f>MAX($BI33-积分赛!$C$7,0)*$BC$10/30</f>
        <v>0</v>
      </c>
      <c r="BN33" s="10">
        <f>MAX($BI33-积分赛!$C$7,0)*$BC$10/30</f>
        <v>0</v>
      </c>
      <c r="BP33" s="10">
        <v>23</v>
      </c>
      <c r="BQ33" s="10">
        <f>MAX(节奏总纲!D26-积分赛!$C$7,0)*$BC$10/30</f>
        <v>0</v>
      </c>
      <c r="BR33" s="10">
        <f>MAX(节奏总纲!E26-积分赛!$C$7,0)*$BC$10/30</f>
        <v>0</v>
      </c>
      <c r="BS33" s="10">
        <f>MAX(节奏总纲!F26-积分赛!$C$7,0)*$BC$10/30</f>
        <v>0</v>
      </c>
      <c r="BT33" s="10">
        <f>MAX(节奏总纲!G26-积分赛!$C$7,0)*$BC$10/30</f>
        <v>0</v>
      </c>
      <c r="BU33" s="10">
        <f>MAX(节奏总纲!H26-积分赛!$C$7,0)*$BC$10/30</f>
        <v>0</v>
      </c>
    </row>
    <row r="34" spans="3:73" x14ac:dyDescent="0.15">
      <c r="Z34" s="10">
        <v>24</v>
      </c>
      <c r="AA34" s="10">
        <f>IFERROR(MAX($Z34-积分赛!$C$7,0)*INDEX($U$7:$U$14,MATCH(AA$10,$T$7:$T$14,0))/30,0)</f>
        <v>0</v>
      </c>
      <c r="AB34" s="10">
        <f>IFERROR(MAX($Z34-积分赛!$C$7,0)*INDEX($U$7:$U$14,MATCH(AB$10,$T$7:$T$14,0))/30,0)</f>
        <v>0</v>
      </c>
      <c r="AC34" s="10">
        <f>IFERROR(MAX($Z34-积分赛!$C$7,0)*INDEX($U$7:$U$14,MATCH(AC$10,$T$7:$T$14,0))/30,0)</f>
        <v>0</v>
      </c>
      <c r="AD34" s="10">
        <f>IFERROR(MAX($Z34-积分赛!$C$7,0)*INDEX($U$7:$U$14,MATCH(AD$10,$T$7:$T$14,0))/30,0)</f>
        <v>0</v>
      </c>
      <c r="AE34" s="10">
        <f>IFERROR(MAX($Z34-积分赛!$C$7,0)*INDEX($U$7:$U$14,MATCH(AE$10,$T$7:$T$14,0))/30,0)</f>
        <v>0</v>
      </c>
      <c r="AF34" s="10">
        <f>MAX($Z34-积分赛!$C$7,0)*(IFERROR(INDEX($W$7:$W$14,MATCH(AF$10,$T$7:$T$14,0)),0)*$T$20+IFERROR(INDEX($X$7:$X$14,MATCH(AF$10,$T$7:$T$14,0)),0)*$T$21)/30</f>
        <v>0</v>
      </c>
      <c r="AG34" s="10">
        <f>MAX($Z34-积分赛!$C$7,0)*(IFERROR(INDEX($W$7:$W$14,MATCH(AG$10,$T$7:$T$14,0)),0)*$T$20+IFERROR(INDEX($X$7:$X$14,MATCH(AG$10,$T$7:$T$14,0)),0)*$T$21)/30</f>
        <v>0</v>
      </c>
      <c r="AH34" s="10">
        <f>MAX($Z34-积分赛!$C$7,0)*(IFERROR(INDEX($W$7:$W$14,MATCH(AH$10,$T$7:$T$14,0)),0)*$T$20+IFERROR(INDEX($X$7:$X$14,MATCH(AH$10,$T$7:$T$14,0)),0)*$T$21)/30</f>
        <v>0</v>
      </c>
      <c r="AI34" s="10">
        <f>MAX($Z34-积分赛!$C$7,0)*(IFERROR(INDEX($W$7:$W$14,MATCH(AI$10,$T$7:$T$14,0)),0)*$T$20+IFERROR(INDEX($X$7:$X$14,MATCH(AI$10,$T$7:$T$14,0)),0)*$T$21)/30</f>
        <v>0</v>
      </c>
      <c r="AJ34" s="10">
        <f>MAX($Z34-积分赛!$C$7,0)*(IFERROR(INDEX($W$7:$W$14,MATCH(AJ$10,$T$7:$T$14,0)),0)*$T$20+IFERROR(INDEX($X$7:$X$14,MATCH(AJ$10,$T$7:$T$14,0)),0)*$T$21)/30</f>
        <v>0</v>
      </c>
      <c r="AL34" s="10">
        <v>24</v>
      </c>
      <c r="AM34" s="10">
        <f>IFERROR(MAX(节奏总纲!D27-积分赛!$C$7,0)*INDEX($U$7:$U$14,MATCH(AA$10,$T$7:$T$14,0))/30,0)</f>
        <v>0</v>
      </c>
      <c r="AN34" s="10">
        <f>IFERROR(MAX(节奏总纲!E27-积分赛!$C$7,0)*INDEX($U$7:$U$14,MATCH(AB$10,$T$7:$T$14,0))/30,0)</f>
        <v>0</v>
      </c>
      <c r="AO34" s="10">
        <f>IFERROR(MAX(节奏总纲!F27-积分赛!$C$7,0)*INDEX($U$7:$U$14,MATCH(AC$10,$T$7:$T$14,0))/30,0)</f>
        <v>0</v>
      </c>
      <c r="AP34" s="10">
        <f>IFERROR(MAX(节奏总纲!G27-积分赛!$C$7,0)*INDEX($U$7:$U$14,MATCH(AD$10,$T$7:$T$14,0))/30,0)</f>
        <v>0</v>
      </c>
      <c r="AQ34" s="10">
        <f>IFERROR(MAX(节奏总纲!H27-积分赛!$C$7,0)*INDEX($U$7:$U$14,MATCH(AE$10,$T$7:$T$14,0))/30,0)</f>
        <v>0</v>
      </c>
      <c r="AR34" s="10">
        <f>MAX(节奏总纲!D27-积分赛!$C$7,0)*(IFERROR(INDEX($W$7:$W$14,MATCH(AF$10,$T$7:$T$14,0)),0)*$T$20+IFERROR(INDEX($X$7:$X$14,MATCH(AF$10,$T$7:$T$14,0)),0)*$T$21)/30</f>
        <v>0</v>
      </c>
      <c r="AS34" s="10">
        <f>MAX(节奏总纲!E27-积分赛!$C$7,0)*(IFERROR(INDEX($W$7:$W$14,MATCH(AG$10,$T$7:$T$14,0)),0)*$T$20+IFERROR(INDEX($X$7:$X$14,MATCH(AG$10,$T$7:$T$14,0)),0)*$T$21)/30</f>
        <v>0</v>
      </c>
      <c r="AT34" s="10">
        <f>MAX(节奏总纲!F27-积分赛!$C$7,0)*(IFERROR(INDEX($W$7:$W$14,MATCH(AH$10,$T$7:$T$14,0)),0)*$T$20+IFERROR(INDEX($X$7:$X$14,MATCH(AH$10,$T$7:$T$14,0)),0)*$T$21)/30</f>
        <v>0</v>
      </c>
      <c r="AU34" s="10">
        <f>MAX(节奏总纲!G27-积分赛!$C$7,0)*(IFERROR(INDEX($W$7:$W$14,MATCH(AI$10,$T$7:$T$14,0)),0)*$T$20+IFERROR(INDEX($X$7:$X$14,MATCH(AI$10,$T$7:$T$14,0)),0)*$T$21)/30</f>
        <v>0</v>
      </c>
      <c r="AV34" s="10">
        <f>MAX(节奏总纲!H27-积分赛!$C$7,0)*(IFERROR(INDEX($W$7:$W$14,MATCH(AJ$10,$T$7:$T$14,0)),0)*$T$20+IFERROR(INDEX($X$7:$X$14,MATCH(AJ$10,$T$7:$T$14,0)),0)*$T$21)/30</f>
        <v>0</v>
      </c>
      <c r="BI34" s="10">
        <v>24</v>
      </c>
      <c r="BJ34" s="10">
        <f>MAX($BI34-积分赛!$C$7,0)*$BC$10/30</f>
        <v>0</v>
      </c>
      <c r="BK34" s="10">
        <f>MAX($BI34-积分赛!$C$7,0)*$BC$10/30</f>
        <v>0</v>
      </c>
      <c r="BL34" s="10">
        <f>MAX($BI34-积分赛!$C$7,0)*$BC$10/30</f>
        <v>0</v>
      </c>
      <c r="BM34" s="10">
        <f>MAX($BI34-积分赛!$C$7,0)*$BC$10/30</f>
        <v>0</v>
      </c>
      <c r="BN34" s="10">
        <f>MAX($BI34-积分赛!$C$7,0)*$BC$10/30</f>
        <v>0</v>
      </c>
      <c r="BP34" s="10">
        <v>24</v>
      </c>
      <c r="BQ34" s="10">
        <f>MAX(节奏总纲!D27-积分赛!$C$7,0)*$BC$10/30</f>
        <v>0</v>
      </c>
      <c r="BR34" s="10">
        <f>MAX(节奏总纲!E27-积分赛!$C$7,0)*$BC$10/30</f>
        <v>0</v>
      </c>
      <c r="BS34" s="10">
        <f>MAX(节奏总纲!F27-积分赛!$C$7,0)*$BC$10/30</f>
        <v>0</v>
      </c>
      <c r="BT34" s="10">
        <f>MAX(节奏总纲!G27-积分赛!$C$7,0)*$BC$10/30</f>
        <v>0</v>
      </c>
      <c r="BU34" s="10">
        <f>MAX(节奏总纲!H27-积分赛!$C$7,0)*$BC$10/30</f>
        <v>0</v>
      </c>
    </row>
    <row r="35" spans="3:73" x14ac:dyDescent="0.15">
      <c r="Z35" s="10">
        <v>25</v>
      </c>
      <c r="AA35" s="10">
        <f>IFERROR(MAX($Z35-积分赛!$C$7,0)*INDEX($U$7:$U$14,MATCH(AA$10,$T$7:$T$14,0))/30,0)</f>
        <v>0</v>
      </c>
      <c r="AB35" s="10">
        <f>IFERROR(MAX($Z35-积分赛!$C$7,0)*INDEX($U$7:$U$14,MATCH(AB$10,$T$7:$T$14,0))/30,0)</f>
        <v>0</v>
      </c>
      <c r="AC35" s="10">
        <f>IFERROR(MAX($Z35-积分赛!$C$7,0)*INDEX($U$7:$U$14,MATCH(AC$10,$T$7:$T$14,0))/30,0)</f>
        <v>0</v>
      </c>
      <c r="AD35" s="10">
        <f>IFERROR(MAX($Z35-积分赛!$C$7,0)*INDEX($U$7:$U$14,MATCH(AD$10,$T$7:$T$14,0))/30,0)</f>
        <v>0</v>
      </c>
      <c r="AE35" s="10">
        <f>IFERROR(MAX($Z35-积分赛!$C$7,0)*INDEX($U$7:$U$14,MATCH(AE$10,$T$7:$T$14,0))/30,0)</f>
        <v>0</v>
      </c>
      <c r="AF35" s="10">
        <f>MAX($Z35-积分赛!$C$7,0)*(IFERROR(INDEX($W$7:$W$14,MATCH(AF$10,$T$7:$T$14,0)),0)*$T$20+IFERROR(INDEX($X$7:$X$14,MATCH(AF$10,$T$7:$T$14,0)),0)*$T$21)/30</f>
        <v>0</v>
      </c>
      <c r="AG35" s="10">
        <f>MAX($Z35-积分赛!$C$7,0)*(IFERROR(INDEX($W$7:$W$14,MATCH(AG$10,$T$7:$T$14,0)),0)*$T$20+IFERROR(INDEX($X$7:$X$14,MATCH(AG$10,$T$7:$T$14,0)),0)*$T$21)/30</f>
        <v>0</v>
      </c>
      <c r="AH35" s="10">
        <f>MAX($Z35-积分赛!$C$7,0)*(IFERROR(INDEX($W$7:$W$14,MATCH(AH$10,$T$7:$T$14,0)),0)*$T$20+IFERROR(INDEX($X$7:$X$14,MATCH(AH$10,$T$7:$T$14,0)),0)*$T$21)/30</f>
        <v>0</v>
      </c>
      <c r="AI35" s="10">
        <f>MAX($Z35-积分赛!$C$7,0)*(IFERROR(INDEX($W$7:$W$14,MATCH(AI$10,$T$7:$T$14,0)),0)*$T$20+IFERROR(INDEX($X$7:$X$14,MATCH(AI$10,$T$7:$T$14,0)),0)*$T$21)/30</f>
        <v>0</v>
      </c>
      <c r="AJ35" s="10">
        <f>MAX($Z35-积分赛!$C$7,0)*(IFERROR(INDEX($W$7:$W$14,MATCH(AJ$10,$T$7:$T$14,0)),0)*$T$20+IFERROR(INDEX($X$7:$X$14,MATCH(AJ$10,$T$7:$T$14,0)),0)*$T$21)/30</f>
        <v>0</v>
      </c>
      <c r="AL35" s="10">
        <v>25</v>
      </c>
      <c r="AM35" s="10">
        <f>IFERROR(MAX(节奏总纲!D28-积分赛!$C$7,0)*INDEX($U$7:$U$14,MATCH(AA$10,$T$7:$T$14,0))/30,0)</f>
        <v>0</v>
      </c>
      <c r="AN35" s="10">
        <f>IFERROR(MAX(节奏总纲!E28-积分赛!$C$7,0)*INDEX($U$7:$U$14,MATCH(AB$10,$T$7:$T$14,0))/30,0)</f>
        <v>0</v>
      </c>
      <c r="AO35" s="10">
        <f>IFERROR(MAX(节奏总纲!F28-积分赛!$C$7,0)*INDEX($U$7:$U$14,MATCH(AC$10,$T$7:$T$14,0))/30,0)</f>
        <v>0</v>
      </c>
      <c r="AP35" s="10">
        <f>IFERROR(MAX(节奏总纲!G28-积分赛!$C$7,0)*INDEX($U$7:$U$14,MATCH(AD$10,$T$7:$T$14,0))/30,0)</f>
        <v>0</v>
      </c>
      <c r="AQ35" s="10">
        <f>IFERROR(MAX(节奏总纲!H28-积分赛!$C$7,0)*INDEX($U$7:$U$14,MATCH(AE$10,$T$7:$T$14,0))/30,0)</f>
        <v>0</v>
      </c>
      <c r="AR35" s="10">
        <f>MAX(节奏总纲!D28-积分赛!$C$7,0)*(IFERROR(INDEX($W$7:$W$14,MATCH(AF$10,$T$7:$T$14,0)),0)*$T$20+IFERROR(INDEX($X$7:$X$14,MATCH(AF$10,$T$7:$T$14,0)),0)*$T$21)/30</f>
        <v>0</v>
      </c>
      <c r="AS35" s="10">
        <f>MAX(节奏总纲!E28-积分赛!$C$7,0)*(IFERROR(INDEX($W$7:$W$14,MATCH(AG$10,$T$7:$T$14,0)),0)*$T$20+IFERROR(INDEX($X$7:$X$14,MATCH(AG$10,$T$7:$T$14,0)),0)*$T$21)/30</f>
        <v>0</v>
      </c>
      <c r="AT35" s="10">
        <f>MAX(节奏总纲!F28-积分赛!$C$7,0)*(IFERROR(INDEX($W$7:$W$14,MATCH(AH$10,$T$7:$T$14,0)),0)*$T$20+IFERROR(INDEX($X$7:$X$14,MATCH(AH$10,$T$7:$T$14,0)),0)*$T$21)/30</f>
        <v>0</v>
      </c>
      <c r="AU35" s="10">
        <f>MAX(节奏总纲!G28-积分赛!$C$7,0)*(IFERROR(INDEX($W$7:$W$14,MATCH(AI$10,$T$7:$T$14,0)),0)*$T$20+IFERROR(INDEX($X$7:$X$14,MATCH(AI$10,$T$7:$T$14,0)),0)*$T$21)/30</f>
        <v>0</v>
      </c>
      <c r="AV35" s="10">
        <f>MAX(节奏总纲!H28-积分赛!$C$7,0)*(IFERROR(INDEX($W$7:$W$14,MATCH(AJ$10,$T$7:$T$14,0)),0)*$T$20+IFERROR(INDEX($X$7:$X$14,MATCH(AJ$10,$T$7:$T$14,0)),0)*$T$21)/30</f>
        <v>0</v>
      </c>
      <c r="BI35" s="10">
        <v>25</v>
      </c>
      <c r="BJ35" s="10">
        <f>MAX($BI35-积分赛!$C$7,0)*$BC$10/30</f>
        <v>0</v>
      </c>
      <c r="BK35" s="10">
        <f>MAX($BI35-积分赛!$C$7,0)*$BC$10/30</f>
        <v>0</v>
      </c>
      <c r="BL35" s="10">
        <f>MAX($BI35-积分赛!$C$7,0)*$BC$10/30</f>
        <v>0</v>
      </c>
      <c r="BM35" s="10">
        <f>MAX($BI35-积分赛!$C$7,0)*$BC$10/30</f>
        <v>0</v>
      </c>
      <c r="BN35" s="10">
        <f>MAX($BI35-积分赛!$C$7,0)*$BC$10/30</f>
        <v>0</v>
      </c>
      <c r="BP35" s="10">
        <v>25</v>
      </c>
      <c r="BQ35" s="10">
        <f>MAX(节奏总纲!D28-积分赛!$C$7,0)*$BC$10/30</f>
        <v>0</v>
      </c>
      <c r="BR35" s="10">
        <f>MAX(节奏总纲!E28-积分赛!$C$7,0)*$BC$10/30</f>
        <v>0</v>
      </c>
      <c r="BS35" s="10">
        <f>MAX(节奏总纲!F28-积分赛!$C$7,0)*$BC$10/30</f>
        <v>0</v>
      </c>
      <c r="BT35" s="10">
        <f>MAX(节奏总纲!G28-积分赛!$C$7,0)*$BC$10/30</f>
        <v>0</v>
      </c>
      <c r="BU35" s="10">
        <f>MAX(节奏总纲!H28-积分赛!$C$7,0)*$BC$10/30</f>
        <v>0</v>
      </c>
    </row>
    <row r="36" spans="3:73" x14ac:dyDescent="0.15">
      <c r="Z36" s="10">
        <v>26</v>
      </c>
      <c r="AA36" s="10">
        <f>IFERROR(MAX($Z36-积分赛!$C$7,0)*INDEX($U$7:$U$14,MATCH(AA$10,$T$7:$T$14,0))/30,0)</f>
        <v>0</v>
      </c>
      <c r="AB36" s="10">
        <f>IFERROR(MAX($Z36-积分赛!$C$7,0)*INDEX($U$7:$U$14,MATCH(AB$10,$T$7:$T$14,0))/30,0)</f>
        <v>0</v>
      </c>
      <c r="AC36" s="10">
        <f>IFERROR(MAX($Z36-积分赛!$C$7,0)*INDEX($U$7:$U$14,MATCH(AC$10,$T$7:$T$14,0))/30,0)</f>
        <v>0</v>
      </c>
      <c r="AD36" s="10">
        <f>IFERROR(MAX($Z36-积分赛!$C$7,0)*INDEX($U$7:$U$14,MATCH(AD$10,$T$7:$T$14,0))/30,0)</f>
        <v>0</v>
      </c>
      <c r="AE36" s="10">
        <f>IFERROR(MAX($Z36-积分赛!$C$7,0)*INDEX($U$7:$U$14,MATCH(AE$10,$T$7:$T$14,0))/30,0)</f>
        <v>0</v>
      </c>
      <c r="AF36" s="10">
        <f>MAX($Z36-积分赛!$C$7,0)*(IFERROR(INDEX($W$7:$W$14,MATCH(AF$10,$T$7:$T$14,0)),0)*$T$20+IFERROR(INDEX($X$7:$X$14,MATCH(AF$10,$T$7:$T$14,0)),0)*$T$21)/30</f>
        <v>0</v>
      </c>
      <c r="AG36" s="10">
        <f>MAX($Z36-积分赛!$C$7,0)*(IFERROR(INDEX($W$7:$W$14,MATCH(AG$10,$T$7:$T$14,0)),0)*$T$20+IFERROR(INDEX($X$7:$X$14,MATCH(AG$10,$T$7:$T$14,0)),0)*$T$21)/30</f>
        <v>0</v>
      </c>
      <c r="AH36" s="10">
        <f>MAX($Z36-积分赛!$C$7,0)*(IFERROR(INDEX($W$7:$W$14,MATCH(AH$10,$T$7:$T$14,0)),0)*$T$20+IFERROR(INDEX($X$7:$X$14,MATCH(AH$10,$T$7:$T$14,0)),0)*$T$21)/30</f>
        <v>0</v>
      </c>
      <c r="AI36" s="10">
        <f>MAX($Z36-积分赛!$C$7,0)*(IFERROR(INDEX($W$7:$W$14,MATCH(AI$10,$T$7:$T$14,0)),0)*$T$20+IFERROR(INDEX($X$7:$X$14,MATCH(AI$10,$T$7:$T$14,0)),0)*$T$21)/30</f>
        <v>0</v>
      </c>
      <c r="AJ36" s="10">
        <f>MAX($Z36-积分赛!$C$7,0)*(IFERROR(INDEX($W$7:$W$14,MATCH(AJ$10,$T$7:$T$14,0)),0)*$T$20+IFERROR(INDEX($X$7:$X$14,MATCH(AJ$10,$T$7:$T$14,0)),0)*$T$21)/30</f>
        <v>0</v>
      </c>
      <c r="AL36" s="10">
        <v>26</v>
      </c>
      <c r="AM36" s="10">
        <f>IFERROR(MAX(节奏总纲!D29-积分赛!$C$7,0)*INDEX($U$7:$U$14,MATCH(AA$10,$T$7:$T$14,0))/30,0)</f>
        <v>0</v>
      </c>
      <c r="AN36" s="10">
        <f>IFERROR(MAX(节奏总纲!E29-积分赛!$C$7,0)*INDEX($U$7:$U$14,MATCH(AB$10,$T$7:$T$14,0))/30,0)</f>
        <v>0</v>
      </c>
      <c r="AO36" s="10">
        <f>IFERROR(MAX(节奏总纲!F29-积分赛!$C$7,0)*INDEX($U$7:$U$14,MATCH(AC$10,$T$7:$T$14,0))/30,0)</f>
        <v>0</v>
      </c>
      <c r="AP36" s="10">
        <f>IFERROR(MAX(节奏总纲!G29-积分赛!$C$7,0)*INDEX($U$7:$U$14,MATCH(AD$10,$T$7:$T$14,0))/30,0)</f>
        <v>0</v>
      </c>
      <c r="AQ36" s="10">
        <f>IFERROR(MAX(节奏总纲!H29-积分赛!$C$7,0)*INDEX($U$7:$U$14,MATCH(AE$10,$T$7:$T$14,0))/30,0)</f>
        <v>0</v>
      </c>
      <c r="AR36" s="10">
        <f>MAX(节奏总纲!D29-积分赛!$C$7,0)*(IFERROR(INDEX($W$7:$W$14,MATCH(AF$10,$T$7:$T$14,0)),0)*$T$20+IFERROR(INDEX($X$7:$X$14,MATCH(AF$10,$T$7:$T$14,0)),0)*$T$21)/30</f>
        <v>0</v>
      </c>
      <c r="AS36" s="10">
        <f>MAX(节奏总纲!E29-积分赛!$C$7,0)*(IFERROR(INDEX($W$7:$W$14,MATCH(AG$10,$T$7:$T$14,0)),0)*$T$20+IFERROR(INDEX($X$7:$X$14,MATCH(AG$10,$T$7:$T$14,0)),0)*$T$21)/30</f>
        <v>0</v>
      </c>
      <c r="AT36" s="10">
        <f>MAX(节奏总纲!F29-积分赛!$C$7,0)*(IFERROR(INDEX($W$7:$W$14,MATCH(AH$10,$T$7:$T$14,0)),0)*$T$20+IFERROR(INDEX($X$7:$X$14,MATCH(AH$10,$T$7:$T$14,0)),0)*$T$21)/30</f>
        <v>0</v>
      </c>
      <c r="AU36" s="10">
        <f>MAX(节奏总纲!G29-积分赛!$C$7,0)*(IFERROR(INDEX($W$7:$W$14,MATCH(AI$10,$T$7:$T$14,0)),0)*$T$20+IFERROR(INDEX($X$7:$X$14,MATCH(AI$10,$T$7:$T$14,0)),0)*$T$21)/30</f>
        <v>0</v>
      </c>
      <c r="AV36" s="10">
        <f>MAX(节奏总纲!H29-积分赛!$C$7,0)*(IFERROR(INDEX($W$7:$W$14,MATCH(AJ$10,$T$7:$T$14,0)),0)*$T$20+IFERROR(INDEX($X$7:$X$14,MATCH(AJ$10,$T$7:$T$14,0)),0)*$T$21)/30</f>
        <v>0</v>
      </c>
      <c r="BI36" s="10">
        <v>26</v>
      </c>
      <c r="BJ36" s="10">
        <f>MAX($BI36-积分赛!$C$7,0)*$BC$10/30</f>
        <v>0</v>
      </c>
      <c r="BK36" s="10">
        <f>MAX($BI36-积分赛!$C$7,0)*$BC$10/30</f>
        <v>0</v>
      </c>
      <c r="BL36" s="10">
        <f>MAX($BI36-积分赛!$C$7,0)*$BC$10/30</f>
        <v>0</v>
      </c>
      <c r="BM36" s="10">
        <f>MAX($BI36-积分赛!$C$7,0)*$BC$10/30</f>
        <v>0</v>
      </c>
      <c r="BN36" s="10">
        <f>MAX($BI36-积分赛!$C$7,0)*$BC$10/30</f>
        <v>0</v>
      </c>
      <c r="BP36" s="10">
        <v>26</v>
      </c>
      <c r="BQ36" s="10">
        <f>MAX(节奏总纲!D29-积分赛!$C$7,0)*$BC$10/30</f>
        <v>0</v>
      </c>
      <c r="BR36" s="10">
        <f>MAX(节奏总纲!E29-积分赛!$C$7,0)*$BC$10/30</f>
        <v>0</v>
      </c>
      <c r="BS36" s="10">
        <f>MAX(节奏总纲!F29-积分赛!$C$7,0)*$BC$10/30</f>
        <v>0</v>
      </c>
      <c r="BT36" s="10">
        <f>MAX(节奏总纲!G29-积分赛!$C$7,0)*$BC$10/30</f>
        <v>0</v>
      </c>
      <c r="BU36" s="10">
        <f>MAX(节奏总纲!H29-积分赛!$C$7,0)*$BC$10/30</f>
        <v>0</v>
      </c>
    </row>
    <row r="37" spans="3:73" x14ac:dyDescent="0.15">
      <c r="Z37" s="10">
        <v>27</v>
      </c>
      <c r="AA37" s="10">
        <f>IFERROR(MAX($Z37-积分赛!$C$7,0)*INDEX($U$7:$U$14,MATCH(AA$10,$T$7:$T$14,0))/30,0)</f>
        <v>0</v>
      </c>
      <c r="AB37" s="10">
        <f>IFERROR(MAX($Z37-积分赛!$C$7,0)*INDEX($U$7:$U$14,MATCH(AB$10,$T$7:$T$14,0))/30,0)</f>
        <v>0</v>
      </c>
      <c r="AC37" s="10">
        <f>IFERROR(MAX($Z37-积分赛!$C$7,0)*INDEX($U$7:$U$14,MATCH(AC$10,$T$7:$T$14,0))/30,0)</f>
        <v>0</v>
      </c>
      <c r="AD37" s="10">
        <f>IFERROR(MAX($Z37-积分赛!$C$7,0)*INDEX($U$7:$U$14,MATCH(AD$10,$T$7:$T$14,0))/30,0)</f>
        <v>0</v>
      </c>
      <c r="AE37" s="10">
        <f>IFERROR(MAX($Z37-积分赛!$C$7,0)*INDEX($U$7:$U$14,MATCH(AE$10,$T$7:$T$14,0))/30,0)</f>
        <v>0</v>
      </c>
      <c r="AF37" s="10">
        <f>MAX($Z37-积分赛!$C$7,0)*(IFERROR(INDEX($W$7:$W$14,MATCH(AF$10,$T$7:$T$14,0)),0)*$T$20+IFERROR(INDEX($X$7:$X$14,MATCH(AF$10,$T$7:$T$14,0)),0)*$T$21)/30</f>
        <v>0</v>
      </c>
      <c r="AG37" s="10">
        <f>MAX($Z37-积分赛!$C$7,0)*(IFERROR(INDEX($W$7:$W$14,MATCH(AG$10,$T$7:$T$14,0)),0)*$T$20+IFERROR(INDEX($X$7:$X$14,MATCH(AG$10,$T$7:$T$14,0)),0)*$T$21)/30</f>
        <v>0</v>
      </c>
      <c r="AH37" s="10">
        <f>MAX($Z37-积分赛!$C$7,0)*(IFERROR(INDEX($W$7:$W$14,MATCH(AH$10,$T$7:$T$14,0)),0)*$T$20+IFERROR(INDEX($X$7:$X$14,MATCH(AH$10,$T$7:$T$14,0)),0)*$T$21)/30</f>
        <v>0</v>
      </c>
      <c r="AI37" s="10">
        <f>MAX($Z37-积分赛!$C$7,0)*(IFERROR(INDEX($W$7:$W$14,MATCH(AI$10,$T$7:$T$14,0)),0)*$T$20+IFERROR(INDEX($X$7:$X$14,MATCH(AI$10,$T$7:$T$14,0)),0)*$T$21)/30</f>
        <v>0</v>
      </c>
      <c r="AJ37" s="10">
        <f>MAX($Z37-积分赛!$C$7,0)*(IFERROR(INDEX($W$7:$W$14,MATCH(AJ$10,$T$7:$T$14,0)),0)*$T$20+IFERROR(INDEX($X$7:$X$14,MATCH(AJ$10,$T$7:$T$14,0)),0)*$T$21)/30</f>
        <v>0</v>
      </c>
      <c r="AL37" s="10">
        <v>27</v>
      </c>
      <c r="AM37" s="10">
        <f>IFERROR(MAX(节奏总纲!D30-积分赛!$C$7,0)*INDEX($U$7:$U$14,MATCH(AA$10,$T$7:$T$14,0))/30,0)</f>
        <v>0</v>
      </c>
      <c r="AN37" s="10">
        <f>IFERROR(MAX(节奏总纲!E30-积分赛!$C$7,0)*INDEX($U$7:$U$14,MATCH(AB$10,$T$7:$T$14,0))/30,0)</f>
        <v>0</v>
      </c>
      <c r="AO37" s="10">
        <f>IFERROR(MAX(节奏总纲!F30-积分赛!$C$7,0)*INDEX($U$7:$U$14,MATCH(AC$10,$T$7:$T$14,0))/30,0)</f>
        <v>0</v>
      </c>
      <c r="AP37" s="10">
        <f>IFERROR(MAX(节奏总纲!G30-积分赛!$C$7,0)*INDEX($U$7:$U$14,MATCH(AD$10,$T$7:$T$14,0))/30,0)</f>
        <v>0</v>
      </c>
      <c r="AQ37" s="10">
        <f>IFERROR(MAX(节奏总纲!H30-积分赛!$C$7,0)*INDEX($U$7:$U$14,MATCH(AE$10,$T$7:$T$14,0))/30,0)</f>
        <v>0</v>
      </c>
      <c r="AR37" s="10">
        <f>MAX(节奏总纲!D30-积分赛!$C$7,0)*(IFERROR(INDEX($W$7:$W$14,MATCH(AF$10,$T$7:$T$14,0)),0)*$T$20+IFERROR(INDEX($X$7:$X$14,MATCH(AF$10,$T$7:$T$14,0)),0)*$T$21)/30</f>
        <v>0</v>
      </c>
      <c r="AS37" s="10">
        <f>MAX(节奏总纲!E30-积分赛!$C$7,0)*(IFERROR(INDEX($W$7:$W$14,MATCH(AG$10,$T$7:$T$14,0)),0)*$T$20+IFERROR(INDEX($X$7:$X$14,MATCH(AG$10,$T$7:$T$14,0)),0)*$T$21)/30</f>
        <v>0</v>
      </c>
      <c r="AT37" s="10">
        <f>MAX(节奏总纲!F30-积分赛!$C$7,0)*(IFERROR(INDEX($W$7:$W$14,MATCH(AH$10,$T$7:$T$14,0)),0)*$T$20+IFERROR(INDEX($X$7:$X$14,MATCH(AH$10,$T$7:$T$14,0)),0)*$T$21)/30</f>
        <v>0</v>
      </c>
      <c r="AU37" s="10">
        <f>MAX(节奏总纲!G30-积分赛!$C$7,0)*(IFERROR(INDEX($W$7:$W$14,MATCH(AI$10,$T$7:$T$14,0)),0)*$T$20+IFERROR(INDEX($X$7:$X$14,MATCH(AI$10,$T$7:$T$14,0)),0)*$T$21)/30</f>
        <v>0</v>
      </c>
      <c r="AV37" s="10">
        <f>MAX(节奏总纲!H30-积分赛!$C$7,0)*(IFERROR(INDEX($W$7:$W$14,MATCH(AJ$10,$T$7:$T$14,0)),0)*$T$20+IFERROR(INDEX($X$7:$X$14,MATCH(AJ$10,$T$7:$T$14,0)),0)*$T$21)/30</f>
        <v>0</v>
      </c>
      <c r="BI37" s="10">
        <v>27</v>
      </c>
      <c r="BJ37" s="10">
        <f>MAX($BI37-积分赛!$C$7,0)*$BC$10/30</f>
        <v>0</v>
      </c>
      <c r="BK37" s="10">
        <f>MAX($BI37-积分赛!$C$7,0)*$BC$10/30</f>
        <v>0</v>
      </c>
      <c r="BL37" s="10">
        <f>MAX($BI37-积分赛!$C$7,0)*$BC$10/30</f>
        <v>0</v>
      </c>
      <c r="BM37" s="10">
        <f>MAX($BI37-积分赛!$C$7,0)*$BC$10/30</f>
        <v>0</v>
      </c>
      <c r="BN37" s="10">
        <f>MAX($BI37-积分赛!$C$7,0)*$BC$10/30</f>
        <v>0</v>
      </c>
      <c r="BP37" s="10">
        <v>27</v>
      </c>
      <c r="BQ37" s="10">
        <f>MAX(节奏总纲!D30-积分赛!$C$7,0)*$BC$10/30</f>
        <v>0</v>
      </c>
      <c r="BR37" s="10">
        <f>MAX(节奏总纲!E30-积分赛!$C$7,0)*$BC$10/30</f>
        <v>0</v>
      </c>
      <c r="BS37" s="10">
        <f>MAX(节奏总纲!F30-积分赛!$C$7,0)*$BC$10/30</f>
        <v>0</v>
      </c>
      <c r="BT37" s="10">
        <f>MAX(节奏总纲!G30-积分赛!$C$7,0)*$BC$10/30</f>
        <v>0</v>
      </c>
      <c r="BU37" s="10">
        <f>MAX(节奏总纲!H30-积分赛!$C$7,0)*$BC$10/30</f>
        <v>0</v>
      </c>
    </row>
    <row r="38" spans="3:73" x14ac:dyDescent="0.15">
      <c r="C38" s="10"/>
      <c r="D38" s="10"/>
      <c r="E38" s="10"/>
      <c r="F38" s="10"/>
      <c r="G38" s="10"/>
      <c r="Z38" s="10">
        <v>28</v>
      </c>
      <c r="AA38" s="10">
        <f>IFERROR(MAX($Z38-积分赛!$C$7,0)*INDEX($U$7:$U$14,MATCH(AA$10,$T$7:$T$14,0))/30,0)</f>
        <v>0</v>
      </c>
      <c r="AB38" s="10">
        <f>IFERROR(MAX($Z38-积分赛!$C$7,0)*INDEX($U$7:$U$14,MATCH(AB$10,$T$7:$T$14,0))/30,0)</f>
        <v>0</v>
      </c>
      <c r="AC38" s="10">
        <f>IFERROR(MAX($Z38-积分赛!$C$7,0)*INDEX($U$7:$U$14,MATCH(AC$10,$T$7:$T$14,0))/30,0)</f>
        <v>0</v>
      </c>
      <c r="AD38" s="10">
        <f>IFERROR(MAX($Z38-积分赛!$C$7,0)*INDEX($U$7:$U$14,MATCH(AD$10,$T$7:$T$14,0))/30,0)</f>
        <v>0</v>
      </c>
      <c r="AE38" s="10">
        <f>IFERROR(MAX($Z38-积分赛!$C$7,0)*INDEX($U$7:$U$14,MATCH(AE$10,$T$7:$T$14,0))/30,0)</f>
        <v>0</v>
      </c>
      <c r="AF38" s="10">
        <f>MAX($Z38-积分赛!$C$7,0)*(IFERROR(INDEX($W$7:$W$14,MATCH(AF$10,$T$7:$T$14,0)),0)*$T$20+IFERROR(INDEX($X$7:$X$14,MATCH(AF$10,$T$7:$T$14,0)),0)*$T$21)/30</f>
        <v>0</v>
      </c>
      <c r="AG38" s="10">
        <f>MAX($Z38-积分赛!$C$7,0)*(IFERROR(INDEX($W$7:$W$14,MATCH(AG$10,$T$7:$T$14,0)),0)*$T$20+IFERROR(INDEX($X$7:$X$14,MATCH(AG$10,$T$7:$T$14,0)),0)*$T$21)/30</f>
        <v>0</v>
      </c>
      <c r="AH38" s="10">
        <f>MAX($Z38-积分赛!$C$7,0)*(IFERROR(INDEX($W$7:$W$14,MATCH(AH$10,$T$7:$T$14,0)),0)*$T$20+IFERROR(INDEX($X$7:$X$14,MATCH(AH$10,$T$7:$T$14,0)),0)*$T$21)/30</f>
        <v>0</v>
      </c>
      <c r="AI38" s="10">
        <f>MAX($Z38-积分赛!$C$7,0)*(IFERROR(INDEX($W$7:$W$14,MATCH(AI$10,$T$7:$T$14,0)),0)*$T$20+IFERROR(INDEX($X$7:$X$14,MATCH(AI$10,$T$7:$T$14,0)),0)*$T$21)/30</f>
        <v>0</v>
      </c>
      <c r="AJ38" s="10">
        <f>MAX($Z38-积分赛!$C$7,0)*(IFERROR(INDEX($W$7:$W$14,MATCH(AJ$10,$T$7:$T$14,0)),0)*$T$20+IFERROR(INDEX($X$7:$X$14,MATCH(AJ$10,$T$7:$T$14,0)),0)*$T$21)/30</f>
        <v>0</v>
      </c>
      <c r="AL38" s="10">
        <v>28</v>
      </c>
      <c r="AM38" s="10">
        <f>IFERROR(MAX(节奏总纲!D31-积分赛!$C$7,0)*INDEX($U$7:$U$14,MATCH(AA$10,$T$7:$T$14,0))/30,0)</f>
        <v>0</v>
      </c>
      <c r="AN38" s="10">
        <f>IFERROR(MAX(节奏总纲!E31-积分赛!$C$7,0)*INDEX($U$7:$U$14,MATCH(AB$10,$T$7:$T$14,0))/30,0)</f>
        <v>0</v>
      </c>
      <c r="AO38" s="10">
        <f>IFERROR(MAX(节奏总纲!F31-积分赛!$C$7,0)*INDEX($U$7:$U$14,MATCH(AC$10,$T$7:$T$14,0))/30,0)</f>
        <v>0</v>
      </c>
      <c r="AP38" s="10">
        <f>IFERROR(MAX(节奏总纲!G31-积分赛!$C$7,0)*INDEX($U$7:$U$14,MATCH(AD$10,$T$7:$T$14,0))/30,0)</f>
        <v>0</v>
      </c>
      <c r="AQ38" s="10">
        <f>IFERROR(MAX(节奏总纲!H31-积分赛!$C$7,0)*INDEX($U$7:$U$14,MATCH(AE$10,$T$7:$T$14,0))/30,0)</f>
        <v>0</v>
      </c>
      <c r="AR38" s="10">
        <f>MAX(节奏总纲!D31-积分赛!$C$7,0)*(IFERROR(INDEX($W$7:$W$14,MATCH(AF$10,$T$7:$T$14,0)),0)*$T$20+IFERROR(INDEX($X$7:$X$14,MATCH(AF$10,$T$7:$T$14,0)),0)*$T$21)/30</f>
        <v>0</v>
      </c>
      <c r="AS38" s="10">
        <f>MAX(节奏总纲!E31-积分赛!$C$7,0)*(IFERROR(INDEX($W$7:$W$14,MATCH(AG$10,$T$7:$T$14,0)),0)*$T$20+IFERROR(INDEX($X$7:$X$14,MATCH(AG$10,$T$7:$T$14,0)),0)*$T$21)/30</f>
        <v>0</v>
      </c>
      <c r="AT38" s="10">
        <f>MAX(节奏总纲!F31-积分赛!$C$7,0)*(IFERROR(INDEX($W$7:$W$14,MATCH(AH$10,$T$7:$T$14,0)),0)*$T$20+IFERROR(INDEX($X$7:$X$14,MATCH(AH$10,$T$7:$T$14,0)),0)*$T$21)/30</f>
        <v>0</v>
      </c>
      <c r="AU38" s="10">
        <f>MAX(节奏总纲!G31-积分赛!$C$7,0)*(IFERROR(INDEX($W$7:$W$14,MATCH(AI$10,$T$7:$T$14,0)),0)*$T$20+IFERROR(INDEX($X$7:$X$14,MATCH(AI$10,$T$7:$T$14,0)),0)*$T$21)/30</f>
        <v>0</v>
      </c>
      <c r="AV38" s="10">
        <f>MAX(节奏总纲!H31-积分赛!$C$7,0)*(IFERROR(INDEX($W$7:$W$14,MATCH(AJ$10,$T$7:$T$14,0)),0)*$T$20+IFERROR(INDEX($X$7:$X$14,MATCH(AJ$10,$T$7:$T$14,0)),0)*$T$21)/30</f>
        <v>0</v>
      </c>
      <c r="BI38" s="10">
        <v>28</v>
      </c>
      <c r="BJ38" s="10">
        <f>MAX($BI38-积分赛!$C$7,0)*$BC$10/30</f>
        <v>0</v>
      </c>
      <c r="BK38" s="10">
        <f>MAX($BI38-积分赛!$C$7,0)*$BC$10/30</f>
        <v>0</v>
      </c>
      <c r="BL38" s="10">
        <f>MAX($BI38-积分赛!$C$7,0)*$BC$10/30</f>
        <v>0</v>
      </c>
      <c r="BM38" s="10">
        <f>MAX($BI38-积分赛!$C$7,0)*$BC$10/30</f>
        <v>0</v>
      </c>
      <c r="BN38" s="10">
        <f>MAX($BI38-积分赛!$C$7,0)*$BC$10/30</f>
        <v>0</v>
      </c>
      <c r="BP38" s="10">
        <v>28</v>
      </c>
      <c r="BQ38" s="10">
        <f>MAX(节奏总纲!D31-积分赛!$C$7,0)*$BC$10/30</f>
        <v>0</v>
      </c>
      <c r="BR38" s="10">
        <f>MAX(节奏总纲!E31-积分赛!$C$7,0)*$BC$10/30</f>
        <v>0</v>
      </c>
      <c r="BS38" s="10">
        <f>MAX(节奏总纲!F31-积分赛!$C$7,0)*$BC$10/30</f>
        <v>0</v>
      </c>
      <c r="BT38" s="10">
        <f>MAX(节奏总纲!G31-积分赛!$C$7,0)*$BC$10/30</f>
        <v>0</v>
      </c>
      <c r="BU38" s="10">
        <f>MAX(节奏总纲!H31-积分赛!$C$7,0)*$BC$10/30</f>
        <v>0</v>
      </c>
    </row>
    <row r="39" spans="3:73" x14ac:dyDescent="0.15">
      <c r="C39" s="10"/>
      <c r="D39" s="10"/>
      <c r="E39" s="10"/>
      <c r="F39" s="10"/>
      <c r="G39" s="10"/>
      <c r="Z39" s="10">
        <v>29</v>
      </c>
      <c r="AA39" s="10">
        <f>IFERROR(MAX($Z39-积分赛!$C$7,0)*INDEX($U$7:$U$14,MATCH(AA$10,$T$7:$T$14,0))/30,0)</f>
        <v>0</v>
      </c>
      <c r="AB39" s="10">
        <f>IFERROR(MAX($Z39-积分赛!$C$7,0)*INDEX($U$7:$U$14,MATCH(AB$10,$T$7:$T$14,0))/30,0)</f>
        <v>0</v>
      </c>
      <c r="AC39" s="10">
        <f>IFERROR(MAX($Z39-积分赛!$C$7,0)*INDEX($U$7:$U$14,MATCH(AC$10,$T$7:$T$14,0))/30,0)</f>
        <v>0</v>
      </c>
      <c r="AD39" s="10">
        <f>IFERROR(MAX($Z39-积分赛!$C$7,0)*INDEX($U$7:$U$14,MATCH(AD$10,$T$7:$T$14,0))/30,0)</f>
        <v>0</v>
      </c>
      <c r="AE39" s="10">
        <f>IFERROR(MAX($Z39-积分赛!$C$7,0)*INDEX($U$7:$U$14,MATCH(AE$10,$T$7:$T$14,0))/30,0)</f>
        <v>0</v>
      </c>
      <c r="AF39" s="10">
        <f>MAX($Z39-积分赛!$C$7,0)*(IFERROR(INDEX($W$7:$W$14,MATCH(AF$10,$T$7:$T$14,0)),0)*$T$20+IFERROR(INDEX($X$7:$X$14,MATCH(AF$10,$T$7:$T$14,0)),0)*$T$21)/30</f>
        <v>0</v>
      </c>
      <c r="AG39" s="10">
        <f>MAX($Z39-积分赛!$C$7,0)*(IFERROR(INDEX($W$7:$W$14,MATCH(AG$10,$T$7:$T$14,0)),0)*$T$20+IFERROR(INDEX($X$7:$X$14,MATCH(AG$10,$T$7:$T$14,0)),0)*$T$21)/30</f>
        <v>0</v>
      </c>
      <c r="AH39" s="10">
        <f>MAX($Z39-积分赛!$C$7,0)*(IFERROR(INDEX($W$7:$W$14,MATCH(AH$10,$T$7:$T$14,0)),0)*$T$20+IFERROR(INDEX($X$7:$X$14,MATCH(AH$10,$T$7:$T$14,0)),0)*$T$21)/30</f>
        <v>0</v>
      </c>
      <c r="AI39" s="10">
        <f>MAX($Z39-积分赛!$C$7,0)*(IFERROR(INDEX($W$7:$W$14,MATCH(AI$10,$T$7:$T$14,0)),0)*$T$20+IFERROR(INDEX($X$7:$X$14,MATCH(AI$10,$T$7:$T$14,0)),0)*$T$21)/30</f>
        <v>0</v>
      </c>
      <c r="AJ39" s="10">
        <f>MAX($Z39-积分赛!$C$7,0)*(IFERROR(INDEX($W$7:$W$14,MATCH(AJ$10,$T$7:$T$14,0)),0)*$T$20+IFERROR(INDEX($X$7:$X$14,MATCH(AJ$10,$T$7:$T$14,0)),0)*$T$21)/30</f>
        <v>0</v>
      </c>
      <c r="AL39" s="10">
        <v>29</v>
      </c>
      <c r="AM39" s="10">
        <f>IFERROR(MAX(节奏总纲!D32-积分赛!$C$7,0)*INDEX($U$7:$U$14,MATCH(AA$10,$T$7:$T$14,0))/30,0)</f>
        <v>0</v>
      </c>
      <c r="AN39" s="10">
        <f>IFERROR(MAX(节奏总纲!E32-积分赛!$C$7,0)*INDEX($U$7:$U$14,MATCH(AB$10,$T$7:$T$14,0))/30,0)</f>
        <v>0</v>
      </c>
      <c r="AO39" s="10">
        <f>IFERROR(MAX(节奏总纲!F32-积分赛!$C$7,0)*INDEX($U$7:$U$14,MATCH(AC$10,$T$7:$T$14,0))/30,0)</f>
        <v>0</v>
      </c>
      <c r="AP39" s="10">
        <f>IFERROR(MAX(节奏总纲!G32-积分赛!$C$7,0)*INDEX($U$7:$U$14,MATCH(AD$10,$T$7:$T$14,0))/30,0)</f>
        <v>0</v>
      </c>
      <c r="AQ39" s="10">
        <f>IFERROR(MAX(节奏总纲!H32-积分赛!$C$7,0)*INDEX($U$7:$U$14,MATCH(AE$10,$T$7:$T$14,0))/30,0)</f>
        <v>0</v>
      </c>
      <c r="AR39" s="10">
        <f>MAX(节奏总纲!D32-积分赛!$C$7,0)*(IFERROR(INDEX($W$7:$W$14,MATCH(AF$10,$T$7:$T$14,0)),0)*$T$20+IFERROR(INDEX($X$7:$X$14,MATCH(AF$10,$T$7:$T$14,0)),0)*$T$21)/30</f>
        <v>0</v>
      </c>
      <c r="AS39" s="10">
        <f>MAX(节奏总纲!E32-积分赛!$C$7,0)*(IFERROR(INDEX($W$7:$W$14,MATCH(AG$10,$T$7:$T$14,0)),0)*$T$20+IFERROR(INDEX($X$7:$X$14,MATCH(AG$10,$T$7:$T$14,0)),0)*$T$21)/30</f>
        <v>0</v>
      </c>
      <c r="AT39" s="10">
        <f>MAX(节奏总纲!F32-积分赛!$C$7,0)*(IFERROR(INDEX($W$7:$W$14,MATCH(AH$10,$T$7:$T$14,0)),0)*$T$20+IFERROR(INDEX($X$7:$X$14,MATCH(AH$10,$T$7:$T$14,0)),0)*$T$21)/30</f>
        <v>0</v>
      </c>
      <c r="AU39" s="10">
        <f>MAX(节奏总纲!G32-积分赛!$C$7,0)*(IFERROR(INDEX($W$7:$W$14,MATCH(AI$10,$T$7:$T$14,0)),0)*$T$20+IFERROR(INDEX($X$7:$X$14,MATCH(AI$10,$T$7:$T$14,0)),0)*$T$21)/30</f>
        <v>0</v>
      </c>
      <c r="AV39" s="10">
        <f>MAX(节奏总纲!H32-积分赛!$C$7,0)*(IFERROR(INDEX($W$7:$W$14,MATCH(AJ$10,$T$7:$T$14,0)),0)*$T$20+IFERROR(INDEX($X$7:$X$14,MATCH(AJ$10,$T$7:$T$14,0)),0)*$T$21)/30</f>
        <v>0</v>
      </c>
      <c r="BI39" s="10">
        <v>29</v>
      </c>
      <c r="BJ39" s="10">
        <f>MAX($BI39-积分赛!$C$7,0)*$BC$10/30</f>
        <v>0</v>
      </c>
      <c r="BK39" s="10">
        <f>MAX($BI39-积分赛!$C$7,0)*$BC$10/30</f>
        <v>0</v>
      </c>
      <c r="BL39" s="10">
        <f>MAX($BI39-积分赛!$C$7,0)*$BC$10/30</f>
        <v>0</v>
      </c>
      <c r="BM39" s="10">
        <f>MAX($BI39-积分赛!$C$7,0)*$BC$10/30</f>
        <v>0</v>
      </c>
      <c r="BN39" s="10">
        <f>MAX($BI39-积分赛!$C$7,0)*$BC$10/30</f>
        <v>0</v>
      </c>
      <c r="BP39" s="10">
        <v>29</v>
      </c>
      <c r="BQ39" s="10">
        <f>MAX(节奏总纲!D32-积分赛!$C$7,0)*$BC$10/30</f>
        <v>0</v>
      </c>
      <c r="BR39" s="10">
        <f>MAX(节奏总纲!E32-积分赛!$C$7,0)*$BC$10/30</f>
        <v>0</v>
      </c>
      <c r="BS39" s="10">
        <f>MAX(节奏总纲!F32-积分赛!$C$7,0)*$BC$10/30</f>
        <v>0</v>
      </c>
      <c r="BT39" s="10">
        <f>MAX(节奏总纲!G32-积分赛!$C$7,0)*$BC$10/30</f>
        <v>0</v>
      </c>
      <c r="BU39" s="10">
        <f>MAX(节奏总纲!H32-积分赛!$C$7,0)*$BC$10/30</f>
        <v>0</v>
      </c>
    </row>
    <row r="40" spans="3:73" x14ac:dyDescent="0.15">
      <c r="C40" s="10"/>
      <c r="D40" s="10"/>
      <c r="E40" s="10"/>
      <c r="F40" s="10"/>
      <c r="G40" s="10"/>
      <c r="Z40" s="10">
        <v>30</v>
      </c>
      <c r="AA40" s="10">
        <f>IFERROR(MAX($Z40-积分赛!$C$7,0)*INDEX($U$7:$U$14,MATCH(AA$10,$T$7:$T$14,0))/30,0)</f>
        <v>0</v>
      </c>
      <c r="AB40" s="10">
        <f>IFERROR(MAX($Z40-积分赛!$C$7,0)*INDEX($U$7:$U$14,MATCH(AB$10,$T$7:$T$14,0))/30,0)</f>
        <v>0</v>
      </c>
      <c r="AC40" s="10">
        <f>IFERROR(MAX($Z40-积分赛!$C$7,0)*INDEX($U$7:$U$14,MATCH(AC$10,$T$7:$T$14,0))/30,0)</f>
        <v>0</v>
      </c>
      <c r="AD40" s="10">
        <f>IFERROR(MAX($Z40-积分赛!$C$7,0)*INDEX($U$7:$U$14,MATCH(AD$10,$T$7:$T$14,0))/30,0)</f>
        <v>0</v>
      </c>
      <c r="AE40" s="10">
        <f>IFERROR(MAX($Z40-积分赛!$C$7,0)*INDEX($U$7:$U$14,MATCH(AE$10,$T$7:$T$14,0))/30,0)</f>
        <v>0</v>
      </c>
      <c r="AF40" s="10">
        <f>MAX($Z40-积分赛!$C$7,0)*(IFERROR(INDEX($W$7:$W$14,MATCH(AF$10,$T$7:$T$14,0)),0)*$T$20+IFERROR(INDEX($X$7:$X$14,MATCH(AF$10,$T$7:$T$14,0)),0)*$T$21)/30</f>
        <v>0</v>
      </c>
      <c r="AG40" s="10">
        <f>MAX($Z40-积分赛!$C$7,0)*(IFERROR(INDEX($W$7:$W$14,MATCH(AG$10,$T$7:$T$14,0)),0)*$T$20+IFERROR(INDEX($X$7:$X$14,MATCH(AG$10,$T$7:$T$14,0)),0)*$T$21)/30</f>
        <v>0</v>
      </c>
      <c r="AH40" s="10">
        <f>MAX($Z40-积分赛!$C$7,0)*(IFERROR(INDEX($W$7:$W$14,MATCH(AH$10,$T$7:$T$14,0)),0)*$T$20+IFERROR(INDEX($X$7:$X$14,MATCH(AH$10,$T$7:$T$14,0)),0)*$T$21)/30</f>
        <v>0</v>
      </c>
      <c r="AI40" s="10">
        <f>MAX($Z40-积分赛!$C$7,0)*(IFERROR(INDEX($W$7:$W$14,MATCH(AI$10,$T$7:$T$14,0)),0)*$T$20+IFERROR(INDEX($X$7:$X$14,MATCH(AI$10,$T$7:$T$14,0)),0)*$T$21)/30</f>
        <v>0</v>
      </c>
      <c r="AJ40" s="10">
        <f>MAX($Z40-积分赛!$C$7,0)*(IFERROR(INDEX($W$7:$W$14,MATCH(AJ$10,$T$7:$T$14,0)),0)*$T$20+IFERROR(INDEX($X$7:$X$14,MATCH(AJ$10,$T$7:$T$14,0)),0)*$T$21)/30</f>
        <v>0</v>
      </c>
      <c r="AL40" s="10">
        <v>30</v>
      </c>
      <c r="AM40" s="10">
        <f>IFERROR(MAX(节奏总纲!D33-积分赛!$C$7,0)*INDEX($U$7:$U$14,MATCH(AA$10,$T$7:$T$14,0))/30,0)</f>
        <v>0</v>
      </c>
      <c r="AN40" s="10">
        <f>IFERROR(MAX(节奏总纲!E33-积分赛!$C$7,0)*INDEX($U$7:$U$14,MATCH(AB$10,$T$7:$T$14,0))/30,0)</f>
        <v>0</v>
      </c>
      <c r="AO40" s="10">
        <f>IFERROR(MAX(节奏总纲!F33-积分赛!$C$7,0)*INDEX($U$7:$U$14,MATCH(AC$10,$T$7:$T$14,0))/30,0)</f>
        <v>0</v>
      </c>
      <c r="AP40" s="10">
        <f>IFERROR(MAX(节奏总纲!G33-积分赛!$C$7,0)*INDEX($U$7:$U$14,MATCH(AD$10,$T$7:$T$14,0))/30,0)</f>
        <v>0</v>
      </c>
      <c r="AQ40" s="10">
        <f>IFERROR(MAX(节奏总纲!H33-积分赛!$C$7,0)*INDEX($U$7:$U$14,MATCH(AE$10,$T$7:$T$14,0))/30,0)</f>
        <v>0</v>
      </c>
      <c r="AR40" s="10">
        <f>MAX(节奏总纲!D33-积分赛!$C$7,0)*(IFERROR(INDEX($W$7:$W$14,MATCH(AF$10,$T$7:$T$14,0)),0)*$T$20+IFERROR(INDEX($X$7:$X$14,MATCH(AF$10,$T$7:$T$14,0)),0)*$T$21)/30</f>
        <v>0</v>
      </c>
      <c r="AS40" s="10">
        <f>MAX(节奏总纲!E33-积分赛!$C$7,0)*(IFERROR(INDEX($W$7:$W$14,MATCH(AG$10,$T$7:$T$14,0)),0)*$T$20+IFERROR(INDEX($X$7:$X$14,MATCH(AG$10,$T$7:$T$14,0)),0)*$T$21)/30</f>
        <v>0</v>
      </c>
      <c r="AT40" s="10">
        <f>MAX(节奏总纲!F33-积分赛!$C$7,0)*(IFERROR(INDEX($W$7:$W$14,MATCH(AH$10,$T$7:$T$14,0)),0)*$T$20+IFERROR(INDEX($X$7:$X$14,MATCH(AH$10,$T$7:$T$14,0)),0)*$T$21)/30</f>
        <v>0</v>
      </c>
      <c r="AU40" s="10">
        <f>MAX(节奏总纲!G33-积分赛!$C$7,0)*(IFERROR(INDEX($W$7:$W$14,MATCH(AI$10,$T$7:$T$14,0)),0)*$T$20+IFERROR(INDEX($X$7:$X$14,MATCH(AI$10,$T$7:$T$14,0)),0)*$T$21)/30</f>
        <v>0</v>
      </c>
      <c r="AV40" s="10">
        <f>MAX(节奏总纲!H33-积分赛!$C$7,0)*(IFERROR(INDEX($W$7:$W$14,MATCH(AJ$10,$T$7:$T$14,0)),0)*$T$20+IFERROR(INDEX($X$7:$X$14,MATCH(AJ$10,$T$7:$T$14,0)),0)*$T$21)/30</f>
        <v>0</v>
      </c>
      <c r="BI40" s="10">
        <v>30</v>
      </c>
      <c r="BJ40" s="10">
        <f>MAX($BI40-积分赛!$C$7,0)*$BC$10/30</f>
        <v>0</v>
      </c>
      <c r="BK40" s="10">
        <f>MAX($BI40-积分赛!$C$7,0)*$BC$10/30</f>
        <v>0</v>
      </c>
      <c r="BL40" s="10">
        <f>MAX($BI40-积分赛!$C$7,0)*$BC$10/30</f>
        <v>0</v>
      </c>
      <c r="BM40" s="10">
        <f>MAX($BI40-积分赛!$C$7,0)*$BC$10/30</f>
        <v>0</v>
      </c>
      <c r="BN40" s="10">
        <f>MAX($BI40-积分赛!$C$7,0)*$BC$10/30</f>
        <v>0</v>
      </c>
      <c r="BP40" s="10">
        <v>30</v>
      </c>
      <c r="BQ40" s="10">
        <f>MAX(节奏总纲!D33-积分赛!$C$7,0)*$BC$10/30</f>
        <v>0</v>
      </c>
      <c r="BR40" s="10">
        <f>MAX(节奏总纲!E33-积分赛!$C$7,0)*$BC$10/30</f>
        <v>0</v>
      </c>
      <c r="BS40" s="10">
        <f>MAX(节奏总纲!F33-积分赛!$C$7,0)*$BC$10/30</f>
        <v>0</v>
      </c>
      <c r="BT40" s="10">
        <f>MAX(节奏总纲!G33-积分赛!$C$7,0)*$BC$10/30</f>
        <v>0</v>
      </c>
      <c r="BU40" s="10">
        <f>MAX(节奏总纲!H33-积分赛!$C$7,0)*$BC$10/30</f>
        <v>0</v>
      </c>
    </row>
    <row r="41" spans="3:73" x14ac:dyDescent="0.15">
      <c r="C41" s="10"/>
      <c r="D41" s="10"/>
      <c r="E41" s="10"/>
      <c r="F41" s="10"/>
      <c r="G41" s="10"/>
      <c r="Z41" s="10">
        <v>31</v>
      </c>
      <c r="AA41" s="10">
        <f>IFERROR(MAX($Z41-积分赛!$C$7,0)*INDEX($U$7:$U$14,MATCH(AA$10,$T$7:$T$14,0))/30,0)</f>
        <v>0</v>
      </c>
      <c r="AB41" s="10">
        <f>IFERROR(MAX($Z41-积分赛!$C$7,0)*INDEX($U$7:$U$14,MATCH(AB$10,$T$7:$T$14,0))/30,0)</f>
        <v>0</v>
      </c>
      <c r="AC41" s="10">
        <f>IFERROR(MAX($Z41-积分赛!$C$7,0)*INDEX($U$7:$U$14,MATCH(AC$10,$T$7:$T$14,0))/30,0)</f>
        <v>0</v>
      </c>
      <c r="AD41" s="10">
        <f>IFERROR(MAX($Z41-积分赛!$C$7,0)*INDEX($U$7:$U$14,MATCH(AD$10,$T$7:$T$14,0))/30,0)</f>
        <v>2666.6666666666665</v>
      </c>
      <c r="AE41" s="10">
        <f>IFERROR(MAX($Z41-积分赛!$C$7,0)*INDEX($U$7:$U$14,MATCH(AE$10,$T$7:$T$14,0))/30,0)</f>
        <v>33333.333333333336</v>
      </c>
      <c r="AF41" s="10">
        <f>MAX($Z41-积分赛!$C$7,0)*(IFERROR(INDEX($W$7:$W$14,MATCH(AF$10,$T$7:$T$14,0)),0)*$T$20+IFERROR(INDEX($X$7:$X$14,MATCH(AF$10,$T$7:$T$14,0)),0)*$T$21)/30</f>
        <v>0</v>
      </c>
      <c r="AG41" s="10">
        <f>MAX($Z41-积分赛!$C$7,0)*(IFERROR(INDEX($W$7:$W$14,MATCH(AG$10,$T$7:$T$14,0)),0)*$T$20+IFERROR(INDEX($X$7:$X$14,MATCH(AG$10,$T$7:$T$14,0)),0)*$T$21)/30</f>
        <v>0</v>
      </c>
      <c r="AH41" s="10">
        <f>MAX($Z41-积分赛!$C$7,0)*(IFERROR(INDEX($W$7:$W$14,MATCH(AH$10,$T$7:$T$14,0)),0)*$T$20+IFERROR(INDEX($X$7:$X$14,MATCH(AH$10,$T$7:$T$14,0)),0)*$T$21)/30</f>
        <v>0</v>
      </c>
      <c r="AI41" s="10">
        <f>MAX($Z41-积分赛!$C$7,0)*(IFERROR(INDEX($W$7:$W$14,MATCH(AI$10,$T$7:$T$14,0)),0)*$T$20+IFERROR(INDEX($X$7:$X$14,MATCH(AI$10,$T$7:$T$14,0)),0)*$T$21)/30</f>
        <v>101.83333333333333</v>
      </c>
      <c r="AJ41" s="10">
        <f>MAX($Z41-积分赛!$C$7,0)*(IFERROR(INDEX($W$7:$W$14,MATCH(AJ$10,$T$7:$T$14,0)),0)*$T$20+IFERROR(INDEX($X$7:$X$14,MATCH(AJ$10,$T$7:$T$14,0)),0)*$T$21)/30</f>
        <v>611</v>
      </c>
      <c r="AL41" s="10">
        <v>31</v>
      </c>
      <c r="AM41" s="10">
        <f>IFERROR(MAX(节奏总纲!D34-积分赛!$C$7,0)*INDEX($U$7:$U$14,MATCH(AA$10,$T$7:$T$14,0))/30,0)</f>
        <v>0</v>
      </c>
      <c r="AN41" s="10">
        <f>IFERROR(MAX(节奏总纲!E34-积分赛!$C$7,0)*INDEX($U$7:$U$14,MATCH(AB$10,$T$7:$T$14,0))/30,0)</f>
        <v>0</v>
      </c>
      <c r="AO41" s="10">
        <f>IFERROR(MAX(节奏总纲!F34-积分赛!$C$7,0)*INDEX($U$7:$U$14,MATCH(AC$10,$T$7:$T$14,0))/30,0)</f>
        <v>0</v>
      </c>
      <c r="AP41" s="10">
        <f>IFERROR(MAX(节奏总纲!G34-积分赛!$C$7,0)*INDEX($U$7:$U$14,MATCH(AD$10,$T$7:$T$14,0))/30,0)</f>
        <v>0</v>
      </c>
      <c r="AQ41" s="10">
        <f>IFERROR(MAX(节奏总纲!H34-积分赛!$C$7,0)*INDEX($U$7:$U$14,MATCH(AE$10,$T$7:$T$14,0))/30,0)</f>
        <v>0</v>
      </c>
      <c r="AR41" s="10">
        <f>MAX(节奏总纲!D34-积分赛!$C$7,0)*(IFERROR(INDEX($W$7:$W$14,MATCH(AF$10,$T$7:$T$14,0)),0)*$T$20+IFERROR(INDEX($X$7:$X$14,MATCH(AF$10,$T$7:$T$14,0)),0)*$T$21)/30</f>
        <v>0</v>
      </c>
      <c r="AS41" s="10">
        <f>MAX(节奏总纲!E34-积分赛!$C$7,0)*(IFERROR(INDEX($W$7:$W$14,MATCH(AG$10,$T$7:$T$14,0)),0)*$T$20+IFERROR(INDEX($X$7:$X$14,MATCH(AG$10,$T$7:$T$14,0)),0)*$T$21)/30</f>
        <v>0</v>
      </c>
      <c r="AT41" s="10">
        <f>MAX(节奏总纲!F34-积分赛!$C$7,0)*(IFERROR(INDEX($W$7:$W$14,MATCH(AH$10,$T$7:$T$14,0)),0)*$T$20+IFERROR(INDEX($X$7:$X$14,MATCH(AH$10,$T$7:$T$14,0)),0)*$T$21)/30</f>
        <v>0</v>
      </c>
      <c r="AU41" s="10">
        <f>MAX(节奏总纲!G34-积分赛!$C$7,0)*(IFERROR(INDEX($W$7:$W$14,MATCH(AI$10,$T$7:$T$14,0)),0)*$T$20+IFERROR(INDEX($X$7:$X$14,MATCH(AI$10,$T$7:$T$14,0)),0)*$T$21)/30</f>
        <v>0</v>
      </c>
      <c r="AV41" s="10">
        <f>MAX(节奏总纲!H34-积分赛!$C$7,0)*(IFERROR(INDEX($W$7:$W$14,MATCH(AJ$10,$T$7:$T$14,0)),0)*$T$20+IFERROR(INDEX($X$7:$X$14,MATCH(AJ$10,$T$7:$T$14,0)),0)*$T$21)/30</f>
        <v>0</v>
      </c>
      <c r="BI41" s="10">
        <v>31</v>
      </c>
      <c r="BJ41" s="10">
        <f>MAX($BI41-积分赛!$C$7,0)*$BC$10/30</f>
        <v>3333.3333333333335</v>
      </c>
      <c r="BK41" s="10">
        <f>MAX($BI41-积分赛!$C$7,0)*$BC$10/30</f>
        <v>3333.3333333333335</v>
      </c>
      <c r="BL41" s="10">
        <f>MAX($BI41-积分赛!$C$7,0)*$BC$10/30</f>
        <v>3333.3333333333335</v>
      </c>
      <c r="BM41" s="10">
        <f>MAX($BI41-积分赛!$C$7,0)*$BC$10/30</f>
        <v>3333.3333333333335</v>
      </c>
      <c r="BN41" s="10">
        <f>MAX($BI41-积分赛!$C$7,0)*$BC$10/30</f>
        <v>3333.3333333333335</v>
      </c>
      <c r="BP41" s="10">
        <v>31</v>
      </c>
      <c r="BQ41" s="10">
        <f>MAX(节奏总纲!D34-积分赛!$C$7,0)*$BC$10/30</f>
        <v>0</v>
      </c>
      <c r="BR41" s="10">
        <f>MAX(节奏总纲!E34-积分赛!$C$7,0)*$BC$10/30</f>
        <v>0</v>
      </c>
      <c r="BS41" s="10">
        <f>MAX(节奏总纲!F34-积分赛!$C$7,0)*$BC$10/30</f>
        <v>0</v>
      </c>
      <c r="BT41" s="10">
        <f>MAX(节奏总纲!G34-积分赛!$C$7,0)*$BC$10/30</f>
        <v>0</v>
      </c>
      <c r="BU41" s="10">
        <f>MAX(节奏总纲!H34-积分赛!$C$7,0)*$BC$10/30</f>
        <v>0</v>
      </c>
    </row>
    <row r="42" spans="3:73" x14ac:dyDescent="0.15">
      <c r="C42" s="10"/>
      <c r="D42" s="10"/>
      <c r="E42" s="10"/>
      <c r="F42" s="10"/>
      <c r="G42" s="10"/>
      <c r="Z42" s="10">
        <v>32</v>
      </c>
      <c r="AA42" s="10">
        <f>IFERROR(MAX($Z42-积分赛!$C$7,0)*INDEX($U$7:$U$14,MATCH(AA$10,$T$7:$T$14,0))/30,0)</f>
        <v>0</v>
      </c>
      <c r="AB42" s="10">
        <f>IFERROR(MAX($Z42-积分赛!$C$7,0)*INDEX($U$7:$U$14,MATCH(AB$10,$T$7:$T$14,0))/30,0)</f>
        <v>0</v>
      </c>
      <c r="AC42" s="10">
        <f>IFERROR(MAX($Z42-积分赛!$C$7,0)*INDEX($U$7:$U$14,MATCH(AC$10,$T$7:$T$14,0))/30,0)</f>
        <v>0</v>
      </c>
      <c r="AD42" s="10">
        <f>IFERROR(MAX($Z42-积分赛!$C$7,0)*INDEX($U$7:$U$14,MATCH(AD$10,$T$7:$T$14,0))/30,0)</f>
        <v>5333.333333333333</v>
      </c>
      <c r="AE42" s="10">
        <f>IFERROR(MAX($Z42-积分赛!$C$7,0)*INDEX($U$7:$U$14,MATCH(AE$10,$T$7:$T$14,0))/30,0)</f>
        <v>66666.666666666672</v>
      </c>
      <c r="AF42" s="10">
        <f>MAX($Z42-积分赛!$C$7,0)*(IFERROR(INDEX($W$7:$W$14,MATCH(AF$10,$T$7:$T$14,0)),0)*$T$20+IFERROR(INDEX($X$7:$X$14,MATCH(AF$10,$T$7:$T$14,0)),0)*$T$21)/30</f>
        <v>0</v>
      </c>
      <c r="AG42" s="10">
        <f>MAX($Z42-积分赛!$C$7,0)*(IFERROR(INDEX($W$7:$W$14,MATCH(AG$10,$T$7:$T$14,0)),0)*$T$20+IFERROR(INDEX($X$7:$X$14,MATCH(AG$10,$T$7:$T$14,0)),0)*$T$21)/30</f>
        <v>0</v>
      </c>
      <c r="AH42" s="10">
        <f>MAX($Z42-积分赛!$C$7,0)*(IFERROR(INDEX($W$7:$W$14,MATCH(AH$10,$T$7:$T$14,0)),0)*$T$20+IFERROR(INDEX($X$7:$X$14,MATCH(AH$10,$T$7:$T$14,0)),0)*$T$21)/30</f>
        <v>0</v>
      </c>
      <c r="AI42" s="10">
        <f>MAX($Z42-积分赛!$C$7,0)*(IFERROR(INDEX($W$7:$W$14,MATCH(AI$10,$T$7:$T$14,0)),0)*$T$20+IFERROR(INDEX($X$7:$X$14,MATCH(AI$10,$T$7:$T$14,0)),0)*$T$21)/30</f>
        <v>203.66666666666666</v>
      </c>
      <c r="AJ42" s="10">
        <f>MAX($Z42-积分赛!$C$7,0)*(IFERROR(INDEX($W$7:$W$14,MATCH(AJ$10,$T$7:$T$14,0)),0)*$T$20+IFERROR(INDEX($X$7:$X$14,MATCH(AJ$10,$T$7:$T$14,0)),0)*$T$21)/30</f>
        <v>1222</v>
      </c>
      <c r="AL42" s="10">
        <v>32</v>
      </c>
      <c r="AM42" s="10">
        <f>IFERROR(MAX(节奏总纲!D35-积分赛!$C$7,0)*INDEX($U$7:$U$14,MATCH(AA$10,$T$7:$T$14,0))/30,0)</f>
        <v>0</v>
      </c>
      <c r="AN42" s="10">
        <f>IFERROR(MAX(节奏总纲!E35-积分赛!$C$7,0)*INDEX($U$7:$U$14,MATCH(AB$10,$T$7:$T$14,0))/30,0)</f>
        <v>0</v>
      </c>
      <c r="AO42" s="10">
        <f>IFERROR(MAX(节奏总纲!F35-积分赛!$C$7,0)*INDEX($U$7:$U$14,MATCH(AC$10,$T$7:$T$14,0))/30,0)</f>
        <v>0</v>
      </c>
      <c r="AP42" s="10">
        <f>IFERROR(MAX(节奏总纲!G35-积分赛!$C$7,0)*INDEX($U$7:$U$14,MATCH(AD$10,$T$7:$T$14,0))/30,0)</f>
        <v>0</v>
      </c>
      <c r="AQ42" s="10">
        <f>IFERROR(MAX(节奏总纲!H35-积分赛!$C$7,0)*INDEX($U$7:$U$14,MATCH(AE$10,$T$7:$T$14,0))/30,0)</f>
        <v>0</v>
      </c>
      <c r="AR42" s="10">
        <f>MAX(节奏总纲!D35-积分赛!$C$7,0)*(IFERROR(INDEX($W$7:$W$14,MATCH(AF$10,$T$7:$T$14,0)),0)*$T$20+IFERROR(INDEX($X$7:$X$14,MATCH(AF$10,$T$7:$T$14,0)),0)*$T$21)/30</f>
        <v>0</v>
      </c>
      <c r="AS42" s="10">
        <f>MAX(节奏总纲!E35-积分赛!$C$7,0)*(IFERROR(INDEX($W$7:$W$14,MATCH(AG$10,$T$7:$T$14,0)),0)*$T$20+IFERROR(INDEX($X$7:$X$14,MATCH(AG$10,$T$7:$T$14,0)),0)*$T$21)/30</f>
        <v>0</v>
      </c>
      <c r="AT42" s="10">
        <f>MAX(节奏总纲!F35-积分赛!$C$7,0)*(IFERROR(INDEX($W$7:$W$14,MATCH(AH$10,$T$7:$T$14,0)),0)*$T$20+IFERROR(INDEX($X$7:$X$14,MATCH(AH$10,$T$7:$T$14,0)),0)*$T$21)/30</f>
        <v>0</v>
      </c>
      <c r="AU42" s="10">
        <f>MAX(节奏总纲!G35-积分赛!$C$7,0)*(IFERROR(INDEX($W$7:$W$14,MATCH(AI$10,$T$7:$T$14,0)),0)*$T$20+IFERROR(INDEX($X$7:$X$14,MATCH(AI$10,$T$7:$T$14,0)),0)*$T$21)/30</f>
        <v>0</v>
      </c>
      <c r="AV42" s="10">
        <f>MAX(节奏总纲!H35-积分赛!$C$7,0)*(IFERROR(INDEX($W$7:$W$14,MATCH(AJ$10,$T$7:$T$14,0)),0)*$T$20+IFERROR(INDEX($X$7:$X$14,MATCH(AJ$10,$T$7:$T$14,0)),0)*$T$21)/30</f>
        <v>0</v>
      </c>
      <c r="BI42" s="10">
        <v>32</v>
      </c>
      <c r="BJ42" s="10">
        <f>MAX($BI42-积分赛!$C$7,0)*$BC$10/30</f>
        <v>6666.666666666667</v>
      </c>
      <c r="BK42" s="10">
        <f>MAX($BI42-积分赛!$C$7,0)*$BC$10/30</f>
        <v>6666.666666666667</v>
      </c>
      <c r="BL42" s="10">
        <f>MAX($BI42-积分赛!$C$7,0)*$BC$10/30</f>
        <v>6666.666666666667</v>
      </c>
      <c r="BM42" s="10">
        <f>MAX($BI42-积分赛!$C$7,0)*$BC$10/30</f>
        <v>6666.666666666667</v>
      </c>
      <c r="BN42" s="10">
        <f>MAX($BI42-积分赛!$C$7,0)*$BC$10/30</f>
        <v>6666.666666666667</v>
      </c>
      <c r="BP42" s="10">
        <v>32</v>
      </c>
      <c r="BQ42" s="10">
        <f>MAX(节奏总纲!D35-积分赛!$C$7,0)*$BC$10/30</f>
        <v>0</v>
      </c>
      <c r="BR42" s="10">
        <f>MAX(节奏总纲!E35-积分赛!$C$7,0)*$BC$10/30</f>
        <v>0</v>
      </c>
      <c r="BS42" s="10">
        <f>MAX(节奏总纲!F35-积分赛!$C$7,0)*$BC$10/30</f>
        <v>0</v>
      </c>
      <c r="BT42" s="10">
        <f>MAX(节奏总纲!G35-积分赛!$C$7,0)*$BC$10/30</f>
        <v>0</v>
      </c>
      <c r="BU42" s="10">
        <f>MAX(节奏总纲!H35-积分赛!$C$7,0)*$BC$10/30</f>
        <v>0</v>
      </c>
    </row>
    <row r="43" spans="3:73" x14ac:dyDescent="0.15">
      <c r="C43" s="10"/>
      <c r="D43" s="10"/>
      <c r="E43" s="10"/>
      <c r="F43" s="10"/>
      <c r="G43" s="10"/>
      <c r="Z43" s="10">
        <v>33</v>
      </c>
      <c r="AA43" s="10">
        <f>IFERROR(MAX($Z43-积分赛!$C$7,0)*INDEX($U$7:$U$14,MATCH(AA$10,$T$7:$T$14,0))/30,0)</f>
        <v>0</v>
      </c>
      <c r="AB43" s="10">
        <f>IFERROR(MAX($Z43-积分赛!$C$7,0)*INDEX($U$7:$U$14,MATCH(AB$10,$T$7:$T$14,0))/30,0)</f>
        <v>0</v>
      </c>
      <c r="AC43" s="10">
        <f>IFERROR(MAX($Z43-积分赛!$C$7,0)*INDEX($U$7:$U$14,MATCH(AC$10,$T$7:$T$14,0))/30,0)</f>
        <v>0</v>
      </c>
      <c r="AD43" s="10">
        <f>IFERROR(MAX($Z43-积分赛!$C$7,0)*INDEX($U$7:$U$14,MATCH(AD$10,$T$7:$T$14,0))/30,0)</f>
        <v>8000</v>
      </c>
      <c r="AE43" s="10">
        <f>IFERROR(MAX($Z43-积分赛!$C$7,0)*INDEX($U$7:$U$14,MATCH(AE$10,$T$7:$T$14,0))/30,0)</f>
        <v>100000</v>
      </c>
      <c r="AF43" s="10">
        <f>MAX($Z43-积分赛!$C$7,0)*(IFERROR(INDEX($W$7:$W$14,MATCH(AF$10,$T$7:$T$14,0)),0)*$T$20+IFERROR(INDEX($X$7:$X$14,MATCH(AF$10,$T$7:$T$14,0)),0)*$T$21)/30</f>
        <v>0</v>
      </c>
      <c r="AG43" s="10">
        <f>MAX($Z43-积分赛!$C$7,0)*(IFERROR(INDEX($W$7:$W$14,MATCH(AG$10,$T$7:$T$14,0)),0)*$T$20+IFERROR(INDEX($X$7:$X$14,MATCH(AG$10,$T$7:$T$14,0)),0)*$T$21)/30</f>
        <v>0</v>
      </c>
      <c r="AH43" s="10">
        <f>MAX($Z43-积分赛!$C$7,0)*(IFERROR(INDEX($W$7:$W$14,MATCH(AH$10,$T$7:$T$14,0)),0)*$T$20+IFERROR(INDEX($X$7:$X$14,MATCH(AH$10,$T$7:$T$14,0)),0)*$T$21)/30</f>
        <v>0</v>
      </c>
      <c r="AI43" s="10">
        <f>MAX($Z43-积分赛!$C$7,0)*(IFERROR(INDEX($W$7:$W$14,MATCH(AI$10,$T$7:$T$14,0)),0)*$T$20+IFERROR(INDEX($X$7:$X$14,MATCH(AI$10,$T$7:$T$14,0)),0)*$T$21)/30</f>
        <v>305.5</v>
      </c>
      <c r="AJ43" s="10">
        <f>MAX($Z43-积分赛!$C$7,0)*(IFERROR(INDEX($W$7:$W$14,MATCH(AJ$10,$T$7:$T$14,0)),0)*$T$20+IFERROR(INDEX($X$7:$X$14,MATCH(AJ$10,$T$7:$T$14,0)),0)*$T$21)/30</f>
        <v>1833</v>
      </c>
      <c r="AL43" s="10">
        <v>33</v>
      </c>
      <c r="AM43" s="10">
        <f>IFERROR(MAX(节奏总纲!D36-积分赛!$C$7,0)*INDEX($U$7:$U$14,MATCH(AA$10,$T$7:$T$14,0))/30,0)</f>
        <v>0</v>
      </c>
      <c r="AN43" s="10">
        <f>IFERROR(MAX(节奏总纲!E36-积分赛!$C$7,0)*INDEX($U$7:$U$14,MATCH(AB$10,$T$7:$T$14,0))/30,0)</f>
        <v>0</v>
      </c>
      <c r="AO43" s="10">
        <f>IFERROR(MAX(节奏总纲!F36-积分赛!$C$7,0)*INDEX($U$7:$U$14,MATCH(AC$10,$T$7:$T$14,0))/30,0)</f>
        <v>0</v>
      </c>
      <c r="AP43" s="10">
        <f>IFERROR(MAX(节奏总纲!G36-积分赛!$C$7,0)*INDEX($U$7:$U$14,MATCH(AD$10,$T$7:$T$14,0))/30,0)</f>
        <v>0</v>
      </c>
      <c r="AQ43" s="10">
        <f>IFERROR(MAX(节奏总纲!H36-积分赛!$C$7,0)*INDEX($U$7:$U$14,MATCH(AE$10,$T$7:$T$14,0))/30,0)</f>
        <v>0</v>
      </c>
      <c r="AR43" s="10">
        <f>MAX(节奏总纲!D36-积分赛!$C$7,0)*(IFERROR(INDEX($W$7:$W$14,MATCH(AF$10,$T$7:$T$14,0)),0)*$T$20+IFERROR(INDEX($X$7:$X$14,MATCH(AF$10,$T$7:$T$14,0)),0)*$T$21)/30</f>
        <v>0</v>
      </c>
      <c r="AS43" s="10">
        <f>MAX(节奏总纲!E36-积分赛!$C$7,0)*(IFERROR(INDEX($W$7:$W$14,MATCH(AG$10,$T$7:$T$14,0)),0)*$T$20+IFERROR(INDEX($X$7:$X$14,MATCH(AG$10,$T$7:$T$14,0)),0)*$T$21)/30</f>
        <v>0</v>
      </c>
      <c r="AT43" s="10">
        <f>MAX(节奏总纲!F36-积分赛!$C$7,0)*(IFERROR(INDEX($W$7:$W$14,MATCH(AH$10,$T$7:$T$14,0)),0)*$T$20+IFERROR(INDEX($X$7:$X$14,MATCH(AH$10,$T$7:$T$14,0)),0)*$T$21)/30</f>
        <v>0</v>
      </c>
      <c r="AU43" s="10">
        <f>MAX(节奏总纲!G36-积分赛!$C$7,0)*(IFERROR(INDEX($W$7:$W$14,MATCH(AI$10,$T$7:$T$14,0)),0)*$T$20+IFERROR(INDEX($X$7:$X$14,MATCH(AI$10,$T$7:$T$14,0)),0)*$T$21)/30</f>
        <v>0</v>
      </c>
      <c r="AV43" s="10">
        <f>MAX(节奏总纲!H36-积分赛!$C$7,0)*(IFERROR(INDEX($W$7:$W$14,MATCH(AJ$10,$T$7:$T$14,0)),0)*$T$20+IFERROR(INDEX($X$7:$X$14,MATCH(AJ$10,$T$7:$T$14,0)),0)*$T$21)/30</f>
        <v>0</v>
      </c>
      <c r="BI43" s="10">
        <v>33</v>
      </c>
      <c r="BJ43" s="10">
        <f>MAX($BI43-积分赛!$C$7,0)*$BC$10/30</f>
        <v>10000</v>
      </c>
      <c r="BK43" s="10">
        <f>MAX($BI43-积分赛!$C$7,0)*$BC$10/30</f>
        <v>10000</v>
      </c>
      <c r="BL43" s="10">
        <f>MAX($BI43-积分赛!$C$7,0)*$BC$10/30</f>
        <v>10000</v>
      </c>
      <c r="BM43" s="10">
        <f>MAX($BI43-积分赛!$C$7,0)*$BC$10/30</f>
        <v>10000</v>
      </c>
      <c r="BN43" s="10">
        <f>MAX($BI43-积分赛!$C$7,0)*$BC$10/30</f>
        <v>10000</v>
      </c>
      <c r="BP43" s="10">
        <v>33</v>
      </c>
      <c r="BQ43" s="10">
        <f>MAX(节奏总纲!D36-积分赛!$C$7,0)*$BC$10/30</f>
        <v>0</v>
      </c>
      <c r="BR43" s="10">
        <f>MAX(节奏总纲!E36-积分赛!$C$7,0)*$BC$10/30</f>
        <v>0</v>
      </c>
      <c r="BS43" s="10">
        <f>MAX(节奏总纲!F36-积分赛!$C$7,0)*$BC$10/30</f>
        <v>0</v>
      </c>
      <c r="BT43" s="10">
        <f>MAX(节奏总纲!G36-积分赛!$C$7,0)*$BC$10/30</f>
        <v>0</v>
      </c>
      <c r="BU43" s="10">
        <f>MAX(节奏总纲!H36-积分赛!$C$7,0)*$BC$10/30</f>
        <v>0</v>
      </c>
    </row>
    <row r="44" spans="3:73" x14ac:dyDescent="0.15">
      <c r="C44" s="10"/>
      <c r="D44" s="10"/>
      <c r="E44" s="10"/>
      <c r="F44" s="10"/>
      <c r="G44" s="10"/>
      <c r="Z44" s="10">
        <v>34</v>
      </c>
      <c r="AA44" s="10">
        <f>IFERROR(MAX($Z44-积分赛!$C$7,0)*INDEX($U$7:$U$14,MATCH(AA$10,$T$7:$T$14,0))/30,0)</f>
        <v>0</v>
      </c>
      <c r="AB44" s="10">
        <f>IFERROR(MAX($Z44-积分赛!$C$7,0)*INDEX($U$7:$U$14,MATCH(AB$10,$T$7:$T$14,0))/30,0)</f>
        <v>0</v>
      </c>
      <c r="AC44" s="10">
        <f>IFERROR(MAX($Z44-积分赛!$C$7,0)*INDEX($U$7:$U$14,MATCH(AC$10,$T$7:$T$14,0))/30,0)</f>
        <v>0</v>
      </c>
      <c r="AD44" s="10">
        <f>IFERROR(MAX($Z44-积分赛!$C$7,0)*INDEX($U$7:$U$14,MATCH(AD$10,$T$7:$T$14,0))/30,0)</f>
        <v>10666.666666666666</v>
      </c>
      <c r="AE44" s="10">
        <f>IFERROR(MAX($Z44-积分赛!$C$7,0)*INDEX($U$7:$U$14,MATCH(AE$10,$T$7:$T$14,0))/30,0)</f>
        <v>133333.33333333334</v>
      </c>
      <c r="AF44" s="10">
        <f>MAX($Z44-积分赛!$C$7,0)*(IFERROR(INDEX($W$7:$W$14,MATCH(AF$10,$T$7:$T$14,0)),0)*$T$20+IFERROR(INDEX($X$7:$X$14,MATCH(AF$10,$T$7:$T$14,0)),0)*$T$21)/30</f>
        <v>0</v>
      </c>
      <c r="AG44" s="10">
        <f>MAX($Z44-积分赛!$C$7,0)*(IFERROR(INDEX($W$7:$W$14,MATCH(AG$10,$T$7:$T$14,0)),0)*$T$20+IFERROR(INDEX($X$7:$X$14,MATCH(AG$10,$T$7:$T$14,0)),0)*$T$21)/30</f>
        <v>0</v>
      </c>
      <c r="AH44" s="10">
        <f>MAX($Z44-积分赛!$C$7,0)*(IFERROR(INDEX($W$7:$W$14,MATCH(AH$10,$T$7:$T$14,0)),0)*$T$20+IFERROR(INDEX($X$7:$X$14,MATCH(AH$10,$T$7:$T$14,0)),0)*$T$21)/30</f>
        <v>0</v>
      </c>
      <c r="AI44" s="10">
        <f>MAX($Z44-积分赛!$C$7,0)*(IFERROR(INDEX($W$7:$W$14,MATCH(AI$10,$T$7:$T$14,0)),0)*$T$20+IFERROR(INDEX($X$7:$X$14,MATCH(AI$10,$T$7:$T$14,0)),0)*$T$21)/30</f>
        <v>407.33333333333331</v>
      </c>
      <c r="AJ44" s="10">
        <f>MAX($Z44-积分赛!$C$7,0)*(IFERROR(INDEX($W$7:$W$14,MATCH(AJ$10,$T$7:$T$14,0)),0)*$T$20+IFERROR(INDEX($X$7:$X$14,MATCH(AJ$10,$T$7:$T$14,0)),0)*$T$21)/30</f>
        <v>2444</v>
      </c>
      <c r="AL44" s="10">
        <v>34</v>
      </c>
      <c r="AM44" s="10">
        <f>IFERROR(MAX(节奏总纲!D37-积分赛!$C$7,0)*INDEX($U$7:$U$14,MATCH(AA$10,$T$7:$T$14,0))/30,0)</f>
        <v>0</v>
      </c>
      <c r="AN44" s="10">
        <f>IFERROR(MAX(节奏总纲!E37-积分赛!$C$7,0)*INDEX($U$7:$U$14,MATCH(AB$10,$T$7:$T$14,0))/30,0)</f>
        <v>0</v>
      </c>
      <c r="AO44" s="10">
        <f>IFERROR(MAX(节奏总纲!F37-积分赛!$C$7,0)*INDEX($U$7:$U$14,MATCH(AC$10,$T$7:$T$14,0))/30,0)</f>
        <v>0</v>
      </c>
      <c r="AP44" s="10">
        <f>IFERROR(MAX(节奏总纲!G37-积分赛!$C$7,0)*INDEX($U$7:$U$14,MATCH(AD$10,$T$7:$T$14,0))/30,0)</f>
        <v>0</v>
      </c>
      <c r="AQ44" s="10">
        <f>IFERROR(MAX(节奏总纲!H37-积分赛!$C$7,0)*INDEX($U$7:$U$14,MATCH(AE$10,$T$7:$T$14,0))/30,0)</f>
        <v>0</v>
      </c>
      <c r="AR44" s="10">
        <f>MAX(节奏总纲!D37-积分赛!$C$7,0)*(IFERROR(INDEX($W$7:$W$14,MATCH(AF$10,$T$7:$T$14,0)),0)*$T$20+IFERROR(INDEX($X$7:$X$14,MATCH(AF$10,$T$7:$T$14,0)),0)*$T$21)/30</f>
        <v>0</v>
      </c>
      <c r="AS44" s="10">
        <f>MAX(节奏总纲!E37-积分赛!$C$7,0)*(IFERROR(INDEX($W$7:$W$14,MATCH(AG$10,$T$7:$T$14,0)),0)*$T$20+IFERROR(INDEX($X$7:$X$14,MATCH(AG$10,$T$7:$T$14,0)),0)*$T$21)/30</f>
        <v>0</v>
      </c>
      <c r="AT44" s="10">
        <f>MAX(节奏总纲!F37-积分赛!$C$7,0)*(IFERROR(INDEX($W$7:$W$14,MATCH(AH$10,$T$7:$T$14,0)),0)*$T$20+IFERROR(INDEX($X$7:$X$14,MATCH(AH$10,$T$7:$T$14,0)),0)*$T$21)/30</f>
        <v>0</v>
      </c>
      <c r="AU44" s="10">
        <f>MAX(节奏总纲!G37-积分赛!$C$7,0)*(IFERROR(INDEX($W$7:$W$14,MATCH(AI$10,$T$7:$T$14,0)),0)*$T$20+IFERROR(INDEX($X$7:$X$14,MATCH(AI$10,$T$7:$T$14,0)),0)*$T$21)/30</f>
        <v>0</v>
      </c>
      <c r="AV44" s="10">
        <f>MAX(节奏总纲!H37-积分赛!$C$7,0)*(IFERROR(INDEX($W$7:$W$14,MATCH(AJ$10,$T$7:$T$14,0)),0)*$T$20+IFERROR(INDEX($X$7:$X$14,MATCH(AJ$10,$T$7:$T$14,0)),0)*$T$21)/30</f>
        <v>0</v>
      </c>
      <c r="BI44" s="10">
        <v>34</v>
      </c>
      <c r="BJ44" s="10">
        <f>MAX($BI44-积分赛!$C$7,0)*$BC$10/30</f>
        <v>13333.333333333334</v>
      </c>
      <c r="BK44" s="10">
        <f>MAX($BI44-积分赛!$C$7,0)*$BC$10/30</f>
        <v>13333.333333333334</v>
      </c>
      <c r="BL44" s="10">
        <f>MAX($BI44-积分赛!$C$7,0)*$BC$10/30</f>
        <v>13333.333333333334</v>
      </c>
      <c r="BM44" s="10">
        <f>MAX($BI44-积分赛!$C$7,0)*$BC$10/30</f>
        <v>13333.333333333334</v>
      </c>
      <c r="BN44" s="10">
        <f>MAX($BI44-积分赛!$C$7,0)*$BC$10/30</f>
        <v>13333.333333333334</v>
      </c>
      <c r="BP44" s="10">
        <v>34</v>
      </c>
      <c r="BQ44" s="10">
        <f>MAX(节奏总纲!D37-积分赛!$C$7,0)*$BC$10/30</f>
        <v>0</v>
      </c>
      <c r="BR44" s="10">
        <f>MAX(节奏总纲!E37-积分赛!$C$7,0)*$BC$10/30</f>
        <v>0</v>
      </c>
      <c r="BS44" s="10">
        <f>MAX(节奏总纲!F37-积分赛!$C$7,0)*$BC$10/30</f>
        <v>0</v>
      </c>
      <c r="BT44" s="10">
        <f>MAX(节奏总纲!G37-积分赛!$C$7,0)*$BC$10/30</f>
        <v>0</v>
      </c>
      <c r="BU44" s="10">
        <f>MAX(节奏总纲!H37-积分赛!$C$7,0)*$BC$10/30</f>
        <v>0</v>
      </c>
    </row>
    <row r="45" spans="3:73" x14ac:dyDescent="0.15">
      <c r="C45" s="10"/>
      <c r="D45" s="10"/>
      <c r="E45" s="10"/>
      <c r="F45" s="10"/>
      <c r="G45" s="10"/>
      <c r="Z45" s="10">
        <v>35</v>
      </c>
      <c r="AA45" s="10">
        <f>IFERROR(MAX($Z45-积分赛!$C$7,0)*INDEX($U$7:$U$14,MATCH(AA$10,$T$7:$T$14,0))/30,0)</f>
        <v>0</v>
      </c>
      <c r="AB45" s="10">
        <f>IFERROR(MAX($Z45-积分赛!$C$7,0)*INDEX($U$7:$U$14,MATCH(AB$10,$T$7:$T$14,0))/30,0)</f>
        <v>0</v>
      </c>
      <c r="AC45" s="10">
        <f>IFERROR(MAX($Z45-积分赛!$C$7,0)*INDEX($U$7:$U$14,MATCH(AC$10,$T$7:$T$14,0))/30,0)</f>
        <v>0</v>
      </c>
      <c r="AD45" s="10">
        <f>IFERROR(MAX($Z45-积分赛!$C$7,0)*INDEX($U$7:$U$14,MATCH(AD$10,$T$7:$T$14,0))/30,0)</f>
        <v>13333.333333333334</v>
      </c>
      <c r="AE45" s="10">
        <f>IFERROR(MAX($Z45-积分赛!$C$7,0)*INDEX($U$7:$U$14,MATCH(AE$10,$T$7:$T$14,0))/30,0)</f>
        <v>166666.66666666666</v>
      </c>
      <c r="AF45" s="10">
        <f>MAX($Z45-积分赛!$C$7,0)*(IFERROR(INDEX($W$7:$W$14,MATCH(AF$10,$T$7:$T$14,0)),0)*$T$20+IFERROR(INDEX($X$7:$X$14,MATCH(AF$10,$T$7:$T$14,0)),0)*$T$21)/30</f>
        <v>0</v>
      </c>
      <c r="AG45" s="10">
        <f>MAX($Z45-积分赛!$C$7,0)*(IFERROR(INDEX($W$7:$W$14,MATCH(AG$10,$T$7:$T$14,0)),0)*$T$20+IFERROR(INDEX($X$7:$X$14,MATCH(AG$10,$T$7:$T$14,0)),0)*$T$21)/30</f>
        <v>0</v>
      </c>
      <c r="AH45" s="10">
        <f>MAX($Z45-积分赛!$C$7,0)*(IFERROR(INDEX($W$7:$W$14,MATCH(AH$10,$T$7:$T$14,0)),0)*$T$20+IFERROR(INDEX($X$7:$X$14,MATCH(AH$10,$T$7:$T$14,0)),0)*$T$21)/30</f>
        <v>0</v>
      </c>
      <c r="AI45" s="10">
        <f>MAX($Z45-积分赛!$C$7,0)*(IFERROR(INDEX($W$7:$W$14,MATCH(AI$10,$T$7:$T$14,0)),0)*$T$20+IFERROR(INDEX($X$7:$X$14,MATCH(AI$10,$T$7:$T$14,0)),0)*$T$21)/30</f>
        <v>509.16666666666669</v>
      </c>
      <c r="AJ45" s="10">
        <f>MAX($Z45-积分赛!$C$7,0)*(IFERROR(INDEX($W$7:$W$14,MATCH(AJ$10,$T$7:$T$14,0)),0)*$T$20+IFERROR(INDEX($X$7:$X$14,MATCH(AJ$10,$T$7:$T$14,0)),0)*$T$21)/30</f>
        <v>3055</v>
      </c>
      <c r="AL45" s="10">
        <v>35</v>
      </c>
      <c r="AM45" s="10">
        <f>IFERROR(MAX(节奏总纲!D38-积分赛!$C$7,0)*INDEX($U$7:$U$14,MATCH(AA$10,$T$7:$T$14,0))/30,0)</f>
        <v>0</v>
      </c>
      <c r="AN45" s="10">
        <f>IFERROR(MAX(节奏总纲!E38-积分赛!$C$7,0)*INDEX($U$7:$U$14,MATCH(AB$10,$T$7:$T$14,0))/30,0)</f>
        <v>0</v>
      </c>
      <c r="AO45" s="10">
        <f>IFERROR(MAX(节奏总纲!F38-积分赛!$C$7,0)*INDEX($U$7:$U$14,MATCH(AC$10,$T$7:$T$14,0))/30,0)</f>
        <v>0</v>
      </c>
      <c r="AP45" s="10">
        <f>IFERROR(MAX(节奏总纲!G38-积分赛!$C$7,0)*INDEX($U$7:$U$14,MATCH(AD$10,$T$7:$T$14,0))/30,0)</f>
        <v>0</v>
      </c>
      <c r="AQ45" s="10">
        <f>IFERROR(MAX(节奏总纲!H38-积分赛!$C$7,0)*INDEX($U$7:$U$14,MATCH(AE$10,$T$7:$T$14,0))/30,0)</f>
        <v>0</v>
      </c>
      <c r="AR45" s="10">
        <f>MAX(节奏总纲!D38-积分赛!$C$7,0)*(IFERROR(INDEX($W$7:$W$14,MATCH(AF$10,$T$7:$T$14,0)),0)*$T$20+IFERROR(INDEX($X$7:$X$14,MATCH(AF$10,$T$7:$T$14,0)),0)*$T$21)/30</f>
        <v>0</v>
      </c>
      <c r="AS45" s="10">
        <f>MAX(节奏总纲!E38-积分赛!$C$7,0)*(IFERROR(INDEX($W$7:$W$14,MATCH(AG$10,$T$7:$T$14,0)),0)*$T$20+IFERROR(INDEX($X$7:$X$14,MATCH(AG$10,$T$7:$T$14,0)),0)*$T$21)/30</f>
        <v>0</v>
      </c>
      <c r="AT45" s="10">
        <f>MAX(节奏总纲!F38-积分赛!$C$7,0)*(IFERROR(INDEX($W$7:$W$14,MATCH(AH$10,$T$7:$T$14,0)),0)*$T$20+IFERROR(INDEX($X$7:$X$14,MATCH(AH$10,$T$7:$T$14,0)),0)*$T$21)/30</f>
        <v>0</v>
      </c>
      <c r="AU45" s="10">
        <f>MAX(节奏总纲!G38-积分赛!$C$7,0)*(IFERROR(INDEX($W$7:$W$14,MATCH(AI$10,$T$7:$T$14,0)),0)*$T$20+IFERROR(INDEX($X$7:$X$14,MATCH(AI$10,$T$7:$T$14,0)),0)*$T$21)/30</f>
        <v>0</v>
      </c>
      <c r="AV45" s="10">
        <f>MAX(节奏总纲!H38-积分赛!$C$7,0)*(IFERROR(INDEX($W$7:$W$14,MATCH(AJ$10,$T$7:$T$14,0)),0)*$T$20+IFERROR(INDEX($X$7:$X$14,MATCH(AJ$10,$T$7:$T$14,0)),0)*$T$21)/30</f>
        <v>0</v>
      </c>
      <c r="BI45" s="10">
        <v>35</v>
      </c>
      <c r="BJ45" s="10">
        <f>MAX($BI45-积分赛!$C$7,0)*$BC$10/30</f>
        <v>16666.666666666668</v>
      </c>
      <c r="BK45" s="10">
        <f>MAX($BI45-积分赛!$C$7,0)*$BC$10/30</f>
        <v>16666.666666666668</v>
      </c>
      <c r="BL45" s="10">
        <f>MAX($BI45-积分赛!$C$7,0)*$BC$10/30</f>
        <v>16666.666666666668</v>
      </c>
      <c r="BM45" s="10">
        <f>MAX($BI45-积分赛!$C$7,0)*$BC$10/30</f>
        <v>16666.666666666668</v>
      </c>
      <c r="BN45" s="10">
        <f>MAX($BI45-积分赛!$C$7,0)*$BC$10/30</f>
        <v>16666.666666666668</v>
      </c>
      <c r="BP45" s="10">
        <v>35</v>
      </c>
      <c r="BQ45" s="10">
        <f>MAX(节奏总纲!D38-积分赛!$C$7,0)*$BC$10/30</f>
        <v>0</v>
      </c>
      <c r="BR45" s="10">
        <f>MAX(节奏总纲!E38-积分赛!$C$7,0)*$BC$10/30</f>
        <v>0</v>
      </c>
      <c r="BS45" s="10">
        <f>MAX(节奏总纲!F38-积分赛!$C$7,0)*$BC$10/30</f>
        <v>0</v>
      </c>
      <c r="BT45" s="10">
        <f>MAX(节奏总纲!G38-积分赛!$C$7,0)*$BC$10/30</f>
        <v>0</v>
      </c>
      <c r="BU45" s="10">
        <f>MAX(节奏总纲!H38-积分赛!$C$7,0)*$BC$10/30</f>
        <v>0</v>
      </c>
    </row>
    <row r="46" spans="3:73" x14ac:dyDescent="0.15">
      <c r="C46" s="10"/>
      <c r="D46" s="10"/>
      <c r="E46" s="10"/>
      <c r="F46" s="10"/>
      <c r="G46" s="10"/>
      <c r="Z46" s="10">
        <v>36</v>
      </c>
      <c r="AA46" s="10">
        <f>IFERROR(MAX($Z46-积分赛!$C$7,0)*INDEX($U$7:$U$14,MATCH(AA$10,$T$7:$T$14,0))/30,0)</f>
        <v>0</v>
      </c>
      <c r="AB46" s="10">
        <f>IFERROR(MAX($Z46-积分赛!$C$7,0)*INDEX($U$7:$U$14,MATCH(AB$10,$T$7:$T$14,0))/30,0)</f>
        <v>0</v>
      </c>
      <c r="AC46" s="10">
        <f>IFERROR(MAX($Z46-积分赛!$C$7,0)*INDEX($U$7:$U$14,MATCH(AC$10,$T$7:$T$14,0))/30,0)</f>
        <v>0</v>
      </c>
      <c r="AD46" s="10">
        <f>IFERROR(MAX($Z46-积分赛!$C$7,0)*INDEX($U$7:$U$14,MATCH(AD$10,$T$7:$T$14,0))/30,0)</f>
        <v>16000</v>
      </c>
      <c r="AE46" s="10">
        <f>IFERROR(MAX($Z46-积分赛!$C$7,0)*INDEX($U$7:$U$14,MATCH(AE$10,$T$7:$T$14,0))/30,0)</f>
        <v>200000</v>
      </c>
      <c r="AF46" s="10">
        <f>MAX($Z46-积分赛!$C$7,0)*(IFERROR(INDEX($W$7:$W$14,MATCH(AF$10,$T$7:$T$14,0)),0)*$T$20+IFERROR(INDEX($X$7:$X$14,MATCH(AF$10,$T$7:$T$14,0)),0)*$T$21)/30</f>
        <v>0</v>
      </c>
      <c r="AG46" s="10">
        <f>MAX($Z46-积分赛!$C$7,0)*(IFERROR(INDEX($W$7:$W$14,MATCH(AG$10,$T$7:$T$14,0)),0)*$T$20+IFERROR(INDEX($X$7:$X$14,MATCH(AG$10,$T$7:$T$14,0)),0)*$T$21)/30</f>
        <v>0</v>
      </c>
      <c r="AH46" s="10">
        <f>MAX($Z46-积分赛!$C$7,0)*(IFERROR(INDEX($W$7:$W$14,MATCH(AH$10,$T$7:$T$14,0)),0)*$T$20+IFERROR(INDEX($X$7:$X$14,MATCH(AH$10,$T$7:$T$14,0)),0)*$T$21)/30</f>
        <v>0</v>
      </c>
      <c r="AI46" s="10">
        <f>MAX($Z46-积分赛!$C$7,0)*(IFERROR(INDEX($W$7:$W$14,MATCH(AI$10,$T$7:$T$14,0)),0)*$T$20+IFERROR(INDEX($X$7:$X$14,MATCH(AI$10,$T$7:$T$14,0)),0)*$T$21)/30</f>
        <v>611</v>
      </c>
      <c r="AJ46" s="10">
        <f>MAX($Z46-积分赛!$C$7,0)*(IFERROR(INDEX($W$7:$W$14,MATCH(AJ$10,$T$7:$T$14,0)),0)*$T$20+IFERROR(INDEX($X$7:$X$14,MATCH(AJ$10,$T$7:$T$14,0)),0)*$T$21)/30</f>
        <v>3666</v>
      </c>
      <c r="AL46" s="10">
        <v>36</v>
      </c>
      <c r="AM46" s="10">
        <f>IFERROR(MAX(节奏总纲!D39-积分赛!$C$7,0)*INDEX($U$7:$U$14,MATCH(AA$10,$T$7:$T$14,0))/30,0)</f>
        <v>0</v>
      </c>
      <c r="AN46" s="10">
        <f>IFERROR(MAX(节奏总纲!E39-积分赛!$C$7,0)*INDEX($U$7:$U$14,MATCH(AB$10,$T$7:$T$14,0))/30,0)</f>
        <v>0</v>
      </c>
      <c r="AO46" s="10">
        <f>IFERROR(MAX(节奏总纲!F39-积分赛!$C$7,0)*INDEX($U$7:$U$14,MATCH(AC$10,$T$7:$T$14,0))/30,0)</f>
        <v>0</v>
      </c>
      <c r="AP46" s="10">
        <f>IFERROR(MAX(节奏总纲!G39-积分赛!$C$7,0)*INDEX($U$7:$U$14,MATCH(AD$10,$T$7:$T$14,0))/30,0)</f>
        <v>0</v>
      </c>
      <c r="AQ46" s="10">
        <f>IFERROR(MAX(节奏总纲!H39-积分赛!$C$7,0)*INDEX($U$7:$U$14,MATCH(AE$10,$T$7:$T$14,0))/30,0)</f>
        <v>0</v>
      </c>
      <c r="AR46" s="10">
        <f>MAX(节奏总纲!D39-积分赛!$C$7,0)*(IFERROR(INDEX($W$7:$W$14,MATCH(AF$10,$T$7:$T$14,0)),0)*$T$20+IFERROR(INDEX($X$7:$X$14,MATCH(AF$10,$T$7:$T$14,0)),0)*$T$21)/30</f>
        <v>0</v>
      </c>
      <c r="AS46" s="10">
        <f>MAX(节奏总纲!E39-积分赛!$C$7,0)*(IFERROR(INDEX($W$7:$W$14,MATCH(AG$10,$T$7:$T$14,0)),0)*$T$20+IFERROR(INDEX($X$7:$X$14,MATCH(AG$10,$T$7:$T$14,0)),0)*$T$21)/30</f>
        <v>0</v>
      </c>
      <c r="AT46" s="10">
        <f>MAX(节奏总纲!F39-积分赛!$C$7,0)*(IFERROR(INDEX($W$7:$W$14,MATCH(AH$10,$T$7:$T$14,0)),0)*$T$20+IFERROR(INDEX($X$7:$X$14,MATCH(AH$10,$T$7:$T$14,0)),0)*$T$21)/30</f>
        <v>0</v>
      </c>
      <c r="AU46" s="10">
        <f>MAX(节奏总纲!G39-积分赛!$C$7,0)*(IFERROR(INDEX($W$7:$W$14,MATCH(AI$10,$T$7:$T$14,0)),0)*$T$20+IFERROR(INDEX($X$7:$X$14,MATCH(AI$10,$T$7:$T$14,0)),0)*$T$21)/30</f>
        <v>0</v>
      </c>
      <c r="AV46" s="10">
        <f>MAX(节奏总纲!H39-积分赛!$C$7,0)*(IFERROR(INDEX($W$7:$W$14,MATCH(AJ$10,$T$7:$T$14,0)),0)*$T$20+IFERROR(INDEX($X$7:$X$14,MATCH(AJ$10,$T$7:$T$14,0)),0)*$T$21)/30</f>
        <v>0</v>
      </c>
      <c r="BI46" s="10">
        <v>36</v>
      </c>
      <c r="BJ46" s="10">
        <f>MAX($BI46-积分赛!$C$7,0)*$BC$10/30</f>
        <v>20000</v>
      </c>
      <c r="BK46" s="10">
        <f>MAX($BI46-积分赛!$C$7,0)*$BC$10/30</f>
        <v>20000</v>
      </c>
      <c r="BL46" s="10">
        <f>MAX($BI46-积分赛!$C$7,0)*$BC$10/30</f>
        <v>20000</v>
      </c>
      <c r="BM46" s="10">
        <f>MAX($BI46-积分赛!$C$7,0)*$BC$10/30</f>
        <v>20000</v>
      </c>
      <c r="BN46" s="10">
        <f>MAX($BI46-积分赛!$C$7,0)*$BC$10/30</f>
        <v>20000</v>
      </c>
      <c r="BP46" s="10">
        <v>36</v>
      </c>
      <c r="BQ46" s="10">
        <f>MAX(节奏总纲!D39-积分赛!$C$7,0)*$BC$10/30</f>
        <v>0</v>
      </c>
      <c r="BR46" s="10">
        <f>MAX(节奏总纲!E39-积分赛!$C$7,0)*$BC$10/30</f>
        <v>0</v>
      </c>
      <c r="BS46" s="10">
        <f>MAX(节奏总纲!F39-积分赛!$C$7,0)*$BC$10/30</f>
        <v>0</v>
      </c>
      <c r="BT46" s="10">
        <f>MAX(节奏总纲!G39-积分赛!$C$7,0)*$BC$10/30</f>
        <v>0</v>
      </c>
      <c r="BU46" s="10">
        <f>MAX(节奏总纲!H39-积分赛!$C$7,0)*$BC$10/30</f>
        <v>0</v>
      </c>
    </row>
    <row r="47" spans="3:73" x14ac:dyDescent="0.15">
      <c r="C47" s="10"/>
      <c r="D47" s="10"/>
      <c r="E47" s="10"/>
      <c r="F47" s="10"/>
      <c r="G47" s="10"/>
      <c r="Z47" s="10">
        <v>37</v>
      </c>
      <c r="AA47" s="10">
        <f>IFERROR(MAX($Z47-积分赛!$C$7,0)*INDEX($U$7:$U$14,MATCH(AA$10,$T$7:$T$14,0))/30,0)</f>
        <v>0</v>
      </c>
      <c r="AB47" s="10">
        <f>IFERROR(MAX($Z47-积分赛!$C$7,0)*INDEX($U$7:$U$14,MATCH(AB$10,$T$7:$T$14,0))/30,0)</f>
        <v>0</v>
      </c>
      <c r="AC47" s="10">
        <f>IFERROR(MAX($Z47-积分赛!$C$7,0)*INDEX($U$7:$U$14,MATCH(AC$10,$T$7:$T$14,0))/30,0)</f>
        <v>0</v>
      </c>
      <c r="AD47" s="10">
        <f>IFERROR(MAX($Z47-积分赛!$C$7,0)*INDEX($U$7:$U$14,MATCH(AD$10,$T$7:$T$14,0))/30,0)</f>
        <v>18666.666666666668</v>
      </c>
      <c r="AE47" s="10">
        <f>IFERROR(MAX($Z47-积分赛!$C$7,0)*INDEX($U$7:$U$14,MATCH(AE$10,$T$7:$T$14,0))/30,0)</f>
        <v>233333.33333333334</v>
      </c>
      <c r="AF47" s="10">
        <f>MAX($Z47-积分赛!$C$7,0)*(IFERROR(INDEX($W$7:$W$14,MATCH(AF$10,$T$7:$T$14,0)),0)*$T$20+IFERROR(INDEX($X$7:$X$14,MATCH(AF$10,$T$7:$T$14,0)),0)*$T$21)/30</f>
        <v>0</v>
      </c>
      <c r="AG47" s="10">
        <f>MAX($Z47-积分赛!$C$7,0)*(IFERROR(INDEX($W$7:$W$14,MATCH(AG$10,$T$7:$T$14,0)),0)*$T$20+IFERROR(INDEX($X$7:$X$14,MATCH(AG$10,$T$7:$T$14,0)),0)*$T$21)/30</f>
        <v>0</v>
      </c>
      <c r="AH47" s="10">
        <f>MAX($Z47-积分赛!$C$7,0)*(IFERROR(INDEX($W$7:$W$14,MATCH(AH$10,$T$7:$T$14,0)),0)*$T$20+IFERROR(INDEX($X$7:$X$14,MATCH(AH$10,$T$7:$T$14,0)),0)*$T$21)/30</f>
        <v>0</v>
      </c>
      <c r="AI47" s="10">
        <f>MAX($Z47-积分赛!$C$7,0)*(IFERROR(INDEX($W$7:$W$14,MATCH(AI$10,$T$7:$T$14,0)),0)*$T$20+IFERROR(INDEX($X$7:$X$14,MATCH(AI$10,$T$7:$T$14,0)),0)*$T$21)/30</f>
        <v>712.83333333333337</v>
      </c>
      <c r="AJ47" s="10">
        <f>MAX($Z47-积分赛!$C$7,0)*(IFERROR(INDEX($W$7:$W$14,MATCH(AJ$10,$T$7:$T$14,0)),0)*$T$20+IFERROR(INDEX($X$7:$X$14,MATCH(AJ$10,$T$7:$T$14,0)),0)*$T$21)/30</f>
        <v>4277</v>
      </c>
      <c r="AL47" s="10">
        <v>37</v>
      </c>
      <c r="AM47" s="10">
        <f>IFERROR(MAX(节奏总纲!D40-积分赛!$C$7,0)*INDEX($U$7:$U$14,MATCH(AA$10,$T$7:$T$14,0))/30,0)</f>
        <v>0</v>
      </c>
      <c r="AN47" s="10">
        <f>IFERROR(MAX(节奏总纲!E40-积分赛!$C$7,0)*INDEX($U$7:$U$14,MATCH(AB$10,$T$7:$T$14,0))/30,0)</f>
        <v>0</v>
      </c>
      <c r="AO47" s="10">
        <f>IFERROR(MAX(节奏总纲!F40-积分赛!$C$7,0)*INDEX($U$7:$U$14,MATCH(AC$10,$T$7:$T$14,0))/30,0)</f>
        <v>0</v>
      </c>
      <c r="AP47" s="10">
        <f>IFERROR(MAX(节奏总纲!G40-积分赛!$C$7,0)*INDEX($U$7:$U$14,MATCH(AD$10,$T$7:$T$14,0))/30,0)</f>
        <v>0</v>
      </c>
      <c r="AQ47" s="10">
        <f>IFERROR(MAX(节奏总纲!H40-积分赛!$C$7,0)*INDEX($U$7:$U$14,MATCH(AE$10,$T$7:$T$14,0))/30,0)</f>
        <v>0</v>
      </c>
      <c r="AR47" s="10">
        <f>MAX(节奏总纲!D40-积分赛!$C$7,0)*(IFERROR(INDEX($W$7:$W$14,MATCH(AF$10,$T$7:$T$14,0)),0)*$T$20+IFERROR(INDEX($X$7:$X$14,MATCH(AF$10,$T$7:$T$14,0)),0)*$T$21)/30</f>
        <v>0</v>
      </c>
      <c r="AS47" s="10">
        <f>MAX(节奏总纲!E40-积分赛!$C$7,0)*(IFERROR(INDEX($W$7:$W$14,MATCH(AG$10,$T$7:$T$14,0)),0)*$T$20+IFERROR(INDEX($X$7:$X$14,MATCH(AG$10,$T$7:$T$14,0)),0)*$T$21)/30</f>
        <v>0</v>
      </c>
      <c r="AT47" s="10">
        <f>MAX(节奏总纲!F40-积分赛!$C$7,0)*(IFERROR(INDEX($W$7:$W$14,MATCH(AH$10,$T$7:$T$14,0)),0)*$T$20+IFERROR(INDEX($X$7:$X$14,MATCH(AH$10,$T$7:$T$14,0)),0)*$T$21)/30</f>
        <v>0</v>
      </c>
      <c r="AU47" s="10">
        <f>MAX(节奏总纲!G40-积分赛!$C$7,0)*(IFERROR(INDEX($W$7:$W$14,MATCH(AI$10,$T$7:$T$14,0)),0)*$T$20+IFERROR(INDEX($X$7:$X$14,MATCH(AI$10,$T$7:$T$14,0)),0)*$T$21)/30</f>
        <v>0</v>
      </c>
      <c r="AV47" s="10">
        <f>MAX(节奏总纲!H40-积分赛!$C$7,0)*(IFERROR(INDEX($W$7:$W$14,MATCH(AJ$10,$T$7:$T$14,0)),0)*$T$20+IFERROR(INDEX($X$7:$X$14,MATCH(AJ$10,$T$7:$T$14,0)),0)*$T$21)/30</f>
        <v>0</v>
      </c>
      <c r="BI47" s="10">
        <v>37</v>
      </c>
      <c r="BJ47" s="10">
        <f>MAX($BI47-积分赛!$C$7,0)*$BC$10/30</f>
        <v>23333.333333333332</v>
      </c>
      <c r="BK47" s="10">
        <f>MAX($BI47-积分赛!$C$7,0)*$BC$10/30</f>
        <v>23333.333333333332</v>
      </c>
      <c r="BL47" s="10">
        <f>MAX($BI47-积分赛!$C$7,0)*$BC$10/30</f>
        <v>23333.333333333332</v>
      </c>
      <c r="BM47" s="10">
        <f>MAX($BI47-积分赛!$C$7,0)*$BC$10/30</f>
        <v>23333.333333333332</v>
      </c>
      <c r="BN47" s="10">
        <f>MAX($BI47-积分赛!$C$7,0)*$BC$10/30</f>
        <v>23333.333333333332</v>
      </c>
      <c r="BP47" s="10">
        <v>37</v>
      </c>
      <c r="BQ47" s="10">
        <f>MAX(节奏总纲!D40-积分赛!$C$7,0)*$BC$10/30</f>
        <v>0</v>
      </c>
      <c r="BR47" s="10">
        <f>MAX(节奏总纲!E40-积分赛!$C$7,0)*$BC$10/30</f>
        <v>0</v>
      </c>
      <c r="BS47" s="10">
        <f>MAX(节奏总纲!F40-积分赛!$C$7,0)*$BC$10/30</f>
        <v>0</v>
      </c>
      <c r="BT47" s="10">
        <f>MAX(节奏总纲!G40-积分赛!$C$7,0)*$BC$10/30</f>
        <v>0</v>
      </c>
      <c r="BU47" s="10">
        <f>MAX(节奏总纲!H40-积分赛!$C$7,0)*$BC$10/30</f>
        <v>0</v>
      </c>
    </row>
    <row r="48" spans="3:73" x14ac:dyDescent="0.15">
      <c r="C48" s="10"/>
      <c r="D48" s="10"/>
      <c r="E48" s="10"/>
      <c r="F48" s="10"/>
      <c r="G48" s="10"/>
      <c r="Z48" s="10">
        <v>38</v>
      </c>
      <c r="AA48" s="10">
        <f>IFERROR(MAX($Z48-积分赛!$C$7,0)*INDEX($U$7:$U$14,MATCH(AA$10,$T$7:$T$14,0))/30,0)</f>
        <v>0</v>
      </c>
      <c r="AB48" s="10">
        <f>IFERROR(MAX($Z48-积分赛!$C$7,0)*INDEX($U$7:$U$14,MATCH(AB$10,$T$7:$T$14,0))/30,0)</f>
        <v>0</v>
      </c>
      <c r="AC48" s="10">
        <f>IFERROR(MAX($Z48-积分赛!$C$7,0)*INDEX($U$7:$U$14,MATCH(AC$10,$T$7:$T$14,0))/30,0)</f>
        <v>0</v>
      </c>
      <c r="AD48" s="10">
        <f>IFERROR(MAX($Z48-积分赛!$C$7,0)*INDEX($U$7:$U$14,MATCH(AD$10,$T$7:$T$14,0))/30,0)</f>
        <v>21333.333333333332</v>
      </c>
      <c r="AE48" s="10">
        <f>IFERROR(MAX($Z48-积分赛!$C$7,0)*INDEX($U$7:$U$14,MATCH(AE$10,$T$7:$T$14,0))/30,0)</f>
        <v>266666.66666666669</v>
      </c>
      <c r="AF48" s="10">
        <f>MAX($Z48-积分赛!$C$7,0)*(IFERROR(INDEX($W$7:$W$14,MATCH(AF$10,$T$7:$T$14,0)),0)*$T$20+IFERROR(INDEX($X$7:$X$14,MATCH(AF$10,$T$7:$T$14,0)),0)*$T$21)/30</f>
        <v>0</v>
      </c>
      <c r="AG48" s="10">
        <f>MAX($Z48-积分赛!$C$7,0)*(IFERROR(INDEX($W$7:$W$14,MATCH(AG$10,$T$7:$T$14,0)),0)*$T$20+IFERROR(INDEX($X$7:$X$14,MATCH(AG$10,$T$7:$T$14,0)),0)*$T$21)/30</f>
        <v>0</v>
      </c>
      <c r="AH48" s="10">
        <f>MAX($Z48-积分赛!$C$7,0)*(IFERROR(INDEX($W$7:$W$14,MATCH(AH$10,$T$7:$T$14,0)),0)*$T$20+IFERROR(INDEX($X$7:$X$14,MATCH(AH$10,$T$7:$T$14,0)),0)*$T$21)/30</f>
        <v>0</v>
      </c>
      <c r="AI48" s="10">
        <f>MAX($Z48-积分赛!$C$7,0)*(IFERROR(INDEX($W$7:$W$14,MATCH(AI$10,$T$7:$T$14,0)),0)*$T$20+IFERROR(INDEX($X$7:$X$14,MATCH(AI$10,$T$7:$T$14,0)),0)*$T$21)/30</f>
        <v>814.66666666666663</v>
      </c>
      <c r="AJ48" s="10">
        <f>MAX($Z48-积分赛!$C$7,0)*(IFERROR(INDEX($W$7:$W$14,MATCH(AJ$10,$T$7:$T$14,0)),0)*$T$20+IFERROR(INDEX($X$7:$X$14,MATCH(AJ$10,$T$7:$T$14,0)),0)*$T$21)/30</f>
        <v>4888</v>
      </c>
      <c r="AL48" s="10">
        <v>38</v>
      </c>
      <c r="AM48" s="10">
        <f>IFERROR(MAX(节奏总纲!D41-积分赛!$C$7,0)*INDEX($U$7:$U$14,MATCH(AA$10,$T$7:$T$14,0))/30,0)</f>
        <v>0</v>
      </c>
      <c r="AN48" s="10">
        <f>IFERROR(MAX(节奏总纲!E41-积分赛!$C$7,0)*INDEX($U$7:$U$14,MATCH(AB$10,$T$7:$T$14,0))/30,0)</f>
        <v>0</v>
      </c>
      <c r="AO48" s="10">
        <f>IFERROR(MAX(节奏总纲!F41-积分赛!$C$7,0)*INDEX($U$7:$U$14,MATCH(AC$10,$T$7:$T$14,0))/30,0)</f>
        <v>0</v>
      </c>
      <c r="AP48" s="10">
        <f>IFERROR(MAX(节奏总纲!G41-积分赛!$C$7,0)*INDEX($U$7:$U$14,MATCH(AD$10,$T$7:$T$14,0))/30,0)</f>
        <v>0</v>
      </c>
      <c r="AQ48" s="10">
        <f>IFERROR(MAX(节奏总纲!H41-积分赛!$C$7,0)*INDEX($U$7:$U$14,MATCH(AE$10,$T$7:$T$14,0))/30,0)</f>
        <v>0</v>
      </c>
      <c r="AR48" s="10">
        <f>MAX(节奏总纲!D41-积分赛!$C$7,0)*(IFERROR(INDEX($W$7:$W$14,MATCH(AF$10,$T$7:$T$14,0)),0)*$T$20+IFERROR(INDEX($X$7:$X$14,MATCH(AF$10,$T$7:$T$14,0)),0)*$T$21)/30</f>
        <v>0</v>
      </c>
      <c r="AS48" s="10">
        <f>MAX(节奏总纲!E41-积分赛!$C$7,0)*(IFERROR(INDEX($W$7:$W$14,MATCH(AG$10,$T$7:$T$14,0)),0)*$T$20+IFERROR(INDEX($X$7:$X$14,MATCH(AG$10,$T$7:$T$14,0)),0)*$T$21)/30</f>
        <v>0</v>
      </c>
      <c r="AT48" s="10">
        <f>MAX(节奏总纲!F41-积分赛!$C$7,0)*(IFERROR(INDEX($W$7:$W$14,MATCH(AH$10,$T$7:$T$14,0)),0)*$T$20+IFERROR(INDEX($X$7:$X$14,MATCH(AH$10,$T$7:$T$14,0)),0)*$T$21)/30</f>
        <v>0</v>
      </c>
      <c r="AU48" s="10">
        <f>MAX(节奏总纲!G41-积分赛!$C$7,0)*(IFERROR(INDEX($W$7:$W$14,MATCH(AI$10,$T$7:$T$14,0)),0)*$T$20+IFERROR(INDEX($X$7:$X$14,MATCH(AI$10,$T$7:$T$14,0)),0)*$T$21)/30</f>
        <v>0</v>
      </c>
      <c r="AV48" s="10">
        <f>MAX(节奏总纲!H41-积分赛!$C$7,0)*(IFERROR(INDEX($W$7:$W$14,MATCH(AJ$10,$T$7:$T$14,0)),0)*$T$20+IFERROR(INDEX($X$7:$X$14,MATCH(AJ$10,$T$7:$T$14,0)),0)*$T$21)/30</f>
        <v>0</v>
      </c>
      <c r="BI48" s="10">
        <v>38</v>
      </c>
      <c r="BJ48" s="10">
        <f>MAX($BI48-积分赛!$C$7,0)*$BC$10/30</f>
        <v>26666.666666666668</v>
      </c>
      <c r="BK48" s="10">
        <f>MAX($BI48-积分赛!$C$7,0)*$BC$10/30</f>
        <v>26666.666666666668</v>
      </c>
      <c r="BL48" s="10">
        <f>MAX($BI48-积分赛!$C$7,0)*$BC$10/30</f>
        <v>26666.666666666668</v>
      </c>
      <c r="BM48" s="10">
        <f>MAX($BI48-积分赛!$C$7,0)*$BC$10/30</f>
        <v>26666.666666666668</v>
      </c>
      <c r="BN48" s="10">
        <f>MAX($BI48-积分赛!$C$7,0)*$BC$10/30</f>
        <v>26666.666666666668</v>
      </c>
      <c r="BP48" s="10">
        <v>38</v>
      </c>
      <c r="BQ48" s="10">
        <f>MAX(节奏总纲!D41-积分赛!$C$7,0)*$BC$10/30</f>
        <v>0</v>
      </c>
      <c r="BR48" s="10">
        <f>MAX(节奏总纲!E41-积分赛!$C$7,0)*$BC$10/30</f>
        <v>0</v>
      </c>
      <c r="BS48" s="10">
        <f>MAX(节奏总纲!F41-积分赛!$C$7,0)*$BC$10/30</f>
        <v>0</v>
      </c>
      <c r="BT48" s="10">
        <f>MAX(节奏总纲!G41-积分赛!$C$7,0)*$BC$10/30</f>
        <v>0</v>
      </c>
      <c r="BU48" s="10">
        <f>MAX(节奏总纲!H41-积分赛!$C$7,0)*$BC$10/30</f>
        <v>0</v>
      </c>
    </row>
    <row r="49" spans="3:73" x14ac:dyDescent="0.15">
      <c r="C49" s="10"/>
      <c r="D49" s="10"/>
      <c r="E49" s="10"/>
      <c r="F49" s="10"/>
      <c r="G49" s="10"/>
      <c r="Z49" s="10">
        <v>39</v>
      </c>
      <c r="AA49" s="10">
        <f>IFERROR(MAX($Z49-积分赛!$C$7,0)*INDEX($U$7:$U$14,MATCH(AA$10,$T$7:$T$14,0))/30,0)</f>
        <v>0</v>
      </c>
      <c r="AB49" s="10">
        <f>IFERROR(MAX($Z49-积分赛!$C$7,0)*INDEX($U$7:$U$14,MATCH(AB$10,$T$7:$T$14,0))/30,0)</f>
        <v>0</v>
      </c>
      <c r="AC49" s="10">
        <f>IFERROR(MAX($Z49-积分赛!$C$7,0)*INDEX($U$7:$U$14,MATCH(AC$10,$T$7:$T$14,0))/30,0)</f>
        <v>0</v>
      </c>
      <c r="AD49" s="10">
        <f>IFERROR(MAX($Z49-积分赛!$C$7,0)*INDEX($U$7:$U$14,MATCH(AD$10,$T$7:$T$14,0))/30,0)</f>
        <v>24000</v>
      </c>
      <c r="AE49" s="10">
        <f>IFERROR(MAX($Z49-积分赛!$C$7,0)*INDEX($U$7:$U$14,MATCH(AE$10,$T$7:$T$14,0))/30,0)</f>
        <v>300000</v>
      </c>
      <c r="AF49" s="10">
        <f>MAX($Z49-积分赛!$C$7,0)*(IFERROR(INDEX($W$7:$W$14,MATCH(AF$10,$T$7:$T$14,0)),0)*$T$20+IFERROR(INDEX($X$7:$X$14,MATCH(AF$10,$T$7:$T$14,0)),0)*$T$21)/30</f>
        <v>0</v>
      </c>
      <c r="AG49" s="10">
        <f>MAX($Z49-积分赛!$C$7,0)*(IFERROR(INDEX($W$7:$W$14,MATCH(AG$10,$T$7:$T$14,0)),0)*$T$20+IFERROR(INDEX($X$7:$X$14,MATCH(AG$10,$T$7:$T$14,0)),0)*$T$21)/30</f>
        <v>0</v>
      </c>
      <c r="AH49" s="10">
        <f>MAX($Z49-积分赛!$C$7,0)*(IFERROR(INDEX($W$7:$W$14,MATCH(AH$10,$T$7:$T$14,0)),0)*$T$20+IFERROR(INDEX($X$7:$X$14,MATCH(AH$10,$T$7:$T$14,0)),0)*$T$21)/30</f>
        <v>0</v>
      </c>
      <c r="AI49" s="10">
        <f>MAX($Z49-积分赛!$C$7,0)*(IFERROR(INDEX($W$7:$W$14,MATCH(AI$10,$T$7:$T$14,0)),0)*$T$20+IFERROR(INDEX($X$7:$X$14,MATCH(AI$10,$T$7:$T$14,0)),0)*$T$21)/30</f>
        <v>916.5</v>
      </c>
      <c r="AJ49" s="10">
        <f>MAX($Z49-积分赛!$C$7,0)*(IFERROR(INDEX($W$7:$W$14,MATCH(AJ$10,$T$7:$T$14,0)),0)*$T$20+IFERROR(INDEX($X$7:$X$14,MATCH(AJ$10,$T$7:$T$14,0)),0)*$T$21)/30</f>
        <v>5499</v>
      </c>
      <c r="AL49" s="10">
        <v>39</v>
      </c>
      <c r="AM49" s="10">
        <f>IFERROR(MAX(节奏总纲!D42-积分赛!$C$7,0)*INDEX($U$7:$U$14,MATCH(AA$10,$T$7:$T$14,0))/30,0)</f>
        <v>0</v>
      </c>
      <c r="AN49" s="10">
        <f>IFERROR(MAX(节奏总纲!E42-积分赛!$C$7,0)*INDEX($U$7:$U$14,MATCH(AB$10,$T$7:$T$14,0))/30,0)</f>
        <v>0</v>
      </c>
      <c r="AO49" s="10">
        <f>IFERROR(MAX(节奏总纲!F42-积分赛!$C$7,0)*INDEX($U$7:$U$14,MATCH(AC$10,$T$7:$T$14,0))/30,0)</f>
        <v>0</v>
      </c>
      <c r="AP49" s="10">
        <f>IFERROR(MAX(节奏总纲!G42-积分赛!$C$7,0)*INDEX($U$7:$U$14,MATCH(AD$10,$T$7:$T$14,0))/30,0)</f>
        <v>0</v>
      </c>
      <c r="AQ49" s="10">
        <f>IFERROR(MAX(节奏总纲!H42-积分赛!$C$7,0)*INDEX($U$7:$U$14,MATCH(AE$10,$T$7:$T$14,0))/30,0)</f>
        <v>0</v>
      </c>
      <c r="AR49" s="10">
        <f>MAX(节奏总纲!D42-积分赛!$C$7,0)*(IFERROR(INDEX($W$7:$W$14,MATCH(AF$10,$T$7:$T$14,0)),0)*$T$20+IFERROR(INDEX($X$7:$X$14,MATCH(AF$10,$T$7:$T$14,0)),0)*$T$21)/30</f>
        <v>0</v>
      </c>
      <c r="AS49" s="10">
        <f>MAX(节奏总纲!E42-积分赛!$C$7,0)*(IFERROR(INDEX($W$7:$W$14,MATCH(AG$10,$T$7:$T$14,0)),0)*$T$20+IFERROR(INDEX($X$7:$X$14,MATCH(AG$10,$T$7:$T$14,0)),0)*$T$21)/30</f>
        <v>0</v>
      </c>
      <c r="AT49" s="10">
        <f>MAX(节奏总纲!F42-积分赛!$C$7,0)*(IFERROR(INDEX($W$7:$W$14,MATCH(AH$10,$T$7:$T$14,0)),0)*$T$20+IFERROR(INDEX($X$7:$X$14,MATCH(AH$10,$T$7:$T$14,0)),0)*$T$21)/30</f>
        <v>0</v>
      </c>
      <c r="AU49" s="10">
        <f>MAX(节奏总纲!G42-积分赛!$C$7,0)*(IFERROR(INDEX($W$7:$W$14,MATCH(AI$10,$T$7:$T$14,0)),0)*$T$20+IFERROR(INDEX($X$7:$X$14,MATCH(AI$10,$T$7:$T$14,0)),0)*$T$21)/30</f>
        <v>0</v>
      </c>
      <c r="AV49" s="10">
        <f>MAX(节奏总纲!H42-积分赛!$C$7,0)*(IFERROR(INDEX($W$7:$W$14,MATCH(AJ$10,$T$7:$T$14,0)),0)*$T$20+IFERROR(INDEX($X$7:$X$14,MATCH(AJ$10,$T$7:$T$14,0)),0)*$T$21)/30</f>
        <v>0</v>
      </c>
      <c r="BI49" s="10">
        <v>39</v>
      </c>
      <c r="BJ49" s="10">
        <f>MAX($BI49-积分赛!$C$7,0)*$BC$10/30</f>
        <v>30000</v>
      </c>
      <c r="BK49" s="10">
        <f>MAX($BI49-积分赛!$C$7,0)*$BC$10/30</f>
        <v>30000</v>
      </c>
      <c r="BL49" s="10">
        <f>MAX($BI49-积分赛!$C$7,0)*$BC$10/30</f>
        <v>30000</v>
      </c>
      <c r="BM49" s="10">
        <f>MAX($BI49-积分赛!$C$7,0)*$BC$10/30</f>
        <v>30000</v>
      </c>
      <c r="BN49" s="10">
        <f>MAX($BI49-积分赛!$C$7,0)*$BC$10/30</f>
        <v>30000</v>
      </c>
      <c r="BP49" s="10">
        <v>39</v>
      </c>
      <c r="BQ49" s="10">
        <f>MAX(节奏总纲!D42-积分赛!$C$7,0)*$BC$10/30</f>
        <v>0</v>
      </c>
      <c r="BR49" s="10">
        <f>MAX(节奏总纲!E42-积分赛!$C$7,0)*$BC$10/30</f>
        <v>0</v>
      </c>
      <c r="BS49" s="10">
        <f>MAX(节奏总纲!F42-积分赛!$C$7,0)*$BC$10/30</f>
        <v>0</v>
      </c>
      <c r="BT49" s="10">
        <f>MAX(节奏总纲!G42-积分赛!$C$7,0)*$BC$10/30</f>
        <v>0</v>
      </c>
      <c r="BU49" s="10">
        <f>MAX(节奏总纲!H42-积分赛!$C$7,0)*$BC$10/30</f>
        <v>0</v>
      </c>
    </row>
    <row r="50" spans="3:73" x14ac:dyDescent="0.15">
      <c r="C50" s="10"/>
      <c r="D50" s="10"/>
      <c r="E50" s="10"/>
      <c r="F50" s="10"/>
      <c r="G50" s="10"/>
      <c r="Z50" s="10">
        <v>40</v>
      </c>
      <c r="AA50" s="10">
        <f>IFERROR(MAX($Z50-积分赛!$C$7,0)*INDEX($U$7:$U$14,MATCH(AA$10,$T$7:$T$14,0))/30,0)</f>
        <v>0</v>
      </c>
      <c r="AB50" s="10">
        <f>IFERROR(MAX($Z50-积分赛!$C$7,0)*INDEX($U$7:$U$14,MATCH(AB$10,$T$7:$T$14,0))/30,0)</f>
        <v>0</v>
      </c>
      <c r="AC50" s="10">
        <f>IFERROR(MAX($Z50-积分赛!$C$7,0)*INDEX($U$7:$U$14,MATCH(AC$10,$T$7:$T$14,0))/30,0)</f>
        <v>0</v>
      </c>
      <c r="AD50" s="10">
        <f>IFERROR(MAX($Z50-积分赛!$C$7,0)*INDEX($U$7:$U$14,MATCH(AD$10,$T$7:$T$14,0))/30,0)</f>
        <v>26666.666666666668</v>
      </c>
      <c r="AE50" s="10">
        <f>IFERROR(MAX($Z50-积分赛!$C$7,0)*INDEX($U$7:$U$14,MATCH(AE$10,$T$7:$T$14,0))/30,0)</f>
        <v>333333.33333333331</v>
      </c>
      <c r="AF50" s="10">
        <f>MAX($Z50-积分赛!$C$7,0)*(IFERROR(INDEX($W$7:$W$14,MATCH(AF$10,$T$7:$T$14,0)),0)*$T$20+IFERROR(INDEX($X$7:$X$14,MATCH(AF$10,$T$7:$T$14,0)),0)*$T$21)/30</f>
        <v>0</v>
      </c>
      <c r="AG50" s="10">
        <f>MAX($Z50-积分赛!$C$7,0)*(IFERROR(INDEX($W$7:$W$14,MATCH(AG$10,$T$7:$T$14,0)),0)*$T$20+IFERROR(INDEX($X$7:$X$14,MATCH(AG$10,$T$7:$T$14,0)),0)*$T$21)/30</f>
        <v>0</v>
      </c>
      <c r="AH50" s="10">
        <f>MAX($Z50-积分赛!$C$7,0)*(IFERROR(INDEX($W$7:$W$14,MATCH(AH$10,$T$7:$T$14,0)),0)*$T$20+IFERROR(INDEX($X$7:$X$14,MATCH(AH$10,$T$7:$T$14,0)),0)*$T$21)/30</f>
        <v>0</v>
      </c>
      <c r="AI50" s="10">
        <f>MAX($Z50-积分赛!$C$7,0)*(IFERROR(INDEX($W$7:$W$14,MATCH(AI$10,$T$7:$T$14,0)),0)*$T$20+IFERROR(INDEX($X$7:$X$14,MATCH(AI$10,$T$7:$T$14,0)),0)*$T$21)/30</f>
        <v>1018.3333333333334</v>
      </c>
      <c r="AJ50" s="10">
        <f>MAX($Z50-积分赛!$C$7,0)*(IFERROR(INDEX($W$7:$W$14,MATCH(AJ$10,$T$7:$T$14,0)),0)*$T$20+IFERROR(INDEX($X$7:$X$14,MATCH(AJ$10,$T$7:$T$14,0)),0)*$T$21)/30</f>
        <v>6110</v>
      </c>
      <c r="AL50" s="10">
        <v>40</v>
      </c>
      <c r="AM50" s="10">
        <f>IFERROR(MAX(节奏总纲!D43-积分赛!$C$7,0)*INDEX($U$7:$U$14,MATCH(AA$10,$T$7:$T$14,0))/30,0)</f>
        <v>0</v>
      </c>
      <c r="AN50" s="10">
        <f>IFERROR(MAX(节奏总纲!E43-积分赛!$C$7,0)*INDEX($U$7:$U$14,MATCH(AB$10,$T$7:$T$14,0))/30,0)</f>
        <v>0</v>
      </c>
      <c r="AO50" s="10">
        <f>IFERROR(MAX(节奏总纲!F43-积分赛!$C$7,0)*INDEX($U$7:$U$14,MATCH(AC$10,$T$7:$T$14,0))/30,0)</f>
        <v>0</v>
      </c>
      <c r="AP50" s="10">
        <f>IFERROR(MAX(节奏总纲!G43-积分赛!$C$7,0)*INDEX($U$7:$U$14,MATCH(AD$10,$T$7:$T$14,0))/30,0)</f>
        <v>0</v>
      </c>
      <c r="AQ50" s="10">
        <f>IFERROR(MAX(节奏总纲!H43-积分赛!$C$7,0)*INDEX($U$7:$U$14,MATCH(AE$10,$T$7:$T$14,0))/30,0)</f>
        <v>0</v>
      </c>
      <c r="AR50" s="10">
        <f>MAX(节奏总纲!D43-积分赛!$C$7,0)*(IFERROR(INDEX($W$7:$W$14,MATCH(AF$10,$T$7:$T$14,0)),0)*$T$20+IFERROR(INDEX($X$7:$X$14,MATCH(AF$10,$T$7:$T$14,0)),0)*$T$21)/30</f>
        <v>0</v>
      </c>
      <c r="AS50" s="10">
        <f>MAX(节奏总纲!E43-积分赛!$C$7,0)*(IFERROR(INDEX($W$7:$W$14,MATCH(AG$10,$T$7:$T$14,0)),0)*$T$20+IFERROR(INDEX($X$7:$X$14,MATCH(AG$10,$T$7:$T$14,0)),0)*$T$21)/30</f>
        <v>0</v>
      </c>
      <c r="AT50" s="10">
        <f>MAX(节奏总纲!F43-积分赛!$C$7,0)*(IFERROR(INDEX($W$7:$W$14,MATCH(AH$10,$T$7:$T$14,0)),0)*$T$20+IFERROR(INDEX($X$7:$X$14,MATCH(AH$10,$T$7:$T$14,0)),0)*$T$21)/30</f>
        <v>0</v>
      </c>
      <c r="AU50" s="10">
        <f>MAX(节奏总纲!G43-积分赛!$C$7,0)*(IFERROR(INDEX($W$7:$W$14,MATCH(AI$10,$T$7:$T$14,0)),0)*$T$20+IFERROR(INDEX($X$7:$X$14,MATCH(AI$10,$T$7:$T$14,0)),0)*$T$21)/30</f>
        <v>0</v>
      </c>
      <c r="AV50" s="10">
        <f>MAX(节奏总纲!H43-积分赛!$C$7,0)*(IFERROR(INDEX($W$7:$W$14,MATCH(AJ$10,$T$7:$T$14,0)),0)*$T$20+IFERROR(INDEX($X$7:$X$14,MATCH(AJ$10,$T$7:$T$14,0)),0)*$T$21)/30</f>
        <v>0</v>
      </c>
      <c r="BI50" s="10">
        <v>40</v>
      </c>
      <c r="BJ50" s="10">
        <f>MAX($BI50-积分赛!$C$7,0)*$BC$10/30</f>
        <v>33333.333333333336</v>
      </c>
      <c r="BK50" s="10">
        <f>MAX($BI50-积分赛!$C$7,0)*$BC$10/30</f>
        <v>33333.333333333336</v>
      </c>
      <c r="BL50" s="10">
        <f>MAX($BI50-积分赛!$C$7,0)*$BC$10/30</f>
        <v>33333.333333333336</v>
      </c>
      <c r="BM50" s="10">
        <f>MAX($BI50-积分赛!$C$7,0)*$BC$10/30</f>
        <v>33333.333333333336</v>
      </c>
      <c r="BN50" s="10">
        <f>MAX($BI50-积分赛!$C$7,0)*$BC$10/30</f>
        <v>33333.333333333336</v>
      </c>
      <c r="BP50" s="10">
        <v>40</v>
      </c>
      <c r="BQ50" s="10">
        <f>MAX(节奏总纲!D43-积分赛!$C$7,0)*$BC$10/30</f>
        <v>0</v>
      </c>
      <c r="BR50" s="10">
        <f>MAX(节奏总纲!E43-积分赛!$C$7,0)*$BC$10/30</f>
        <v>0</v>
      </c>
      <c r="BS50" s="10">
        <f>MAX(节奏总纲!F43-积分赛!$C$7,0)*$BC$10/30</f>
        <v>0</v>
      </c>
      <c r="BT50" s="10">
        <f>MAX(节奏总纲!G43-积分赛!$C$7,0)*$BC$10/30</f>
        <v>0</v>
      </c>
      <c r="BU50" s="10">
        <f>MAX(节奏总纲!H43-积分赛!$C$7,0)*$BC$10/30</f>
        <v>0</v>
      </c>
    </row>
    <row r="51" spans="3:73" x14ac:dyDescent="0.15">
      <c r="C51" s="10"/>
      <c r="D51" s="10"/>
      <c r="E51" s="10"/>
      <c r="F51" s="10"/>
      <c r="G51" s="10"/>
      <c r="Z51" s="10">
        <v>41</v>
      </c>
      <c r="AA51" s="10">
        <f>IFERROR(MAX($Z51-积分赛!$C$7,0)*INDEX($U$7:$U$14,MATCH(AA$10,$T$7:$T$14,0))/30,0)</f>
        <v>0</v>
      </c>
      <c r="AB51" s="10">
        <f>IFERROR(MAX($Z51-积分赛!$C$7,0)*INDEX($U$7:$U$14,MATCH(AB$10,$T$7:$T$14,0))/30,0)</f>
        <v>0</v>
      </c>
      <c r="AC51" s="10">
        <f>IFERROR(MAX($Z51-积分赛!$C$7,0)*INDEX($U$7:$U$14,MATCH(AC$10,$T$7:$T$14,0))/30,0)</f>
        <v>0</v>
      </c>
      <c r="AD51" s="10">
        <f>IFERROR(MAX($Z51-积分赛!$C$7,0)*INDEX($U$7:$U$14,MATCH(AD$10,$T$7:$T$14,0))/30,0)</f>
        <v>29333.333333333332</v>
      </c>
      <c r="AE51" s="10">
        <f>IFERROR(MAX($Z51-积分赛!$C$7,0)*INDEX($U$7:$U$14,MATCH(AE$10,$T$7:$T$14,0))/30,0)</f>
        <v>366666.66666666669</v>
      </c>
      <c r="AF51" s="10">
        <f>MAX($Z51-积分赛!$C$7,0)*(IFERROR(INDEX($W$7:$W$14,MATCH(AF$10,$T$7:$T$14,0)),0)*$T$20+IFERROR(INDEX($X$7:$X$14,MATCH(AF$10,$T$7:$T$14,0)),0)*$T$21)/30</f>
        <v>0</v>
      </c>
      <c r="AG51" s="10">
        <f>MAX($Z51-积分赛!$C$7,0)*(IFERROR(INDEX($W$7:$W$14,MATCH(AG$10,$T$7:$T$14,0)),0)*$T$20+IFERROR(INDEX($X$7:$X$14,MATCH(AG$10,$T$7:$T$14,0)),0)*$T$21)/30</f>
        <v>0</v>
      </c>
      <c r="AH51" s="10">
        <f>MAX($Z51-积分赛!$C$7,0)*(IFERROR(INDEX($W$7:$W$14,MATCH(AH$10,$T$7:$T$14,0)),0)*$T$20+IFERROR(INDEX($X$7:$X$14,MATCH(AH$10,$T$7:$T$14,0)),0)*$T$21)/30</f>
        <v>0</v>
      </c>
      <c r="AI51" s="10">
        <f>MAX($Z51-积分赛!$C$7,0)*(IFERROR(INDEX($W$7:$W$14,MATCH(AI$10,$T$7:$T$14,0)),0)*$T$20+IFERROR(INDEX($X$7:$X$14,MATCH(AI$10,$T$7:$T$14,0)),0)*$T$21)/30</f>
        <v>1120.1666666666667</v>
      </c>
      <c r="AJ51" s="10">
        <f>MAX($Z51-积分赛!$C$7,0)*(IFERROR(INDEX($W$7:$W$14,MATCH(AJ$10,$T$7:$T$14,0)),0)*$T$20+IFERROR(INDEX($X$7:$X$14,MATCH(AJ$10,$T$7:$T$14,0)),0)*$T$21)/30</f>
        <v>6721</v>
      </c>
      <c r="AL51" s="10">
        <v>41</v>
      </c>
      <c r="AM51" s="10">
        <f>IFERROR(MAX(节奏总纲!D44-积分赛!$C$7,0)*INDEX($U$7:$U$14,MATCH(AA$10,$T$7:$T$14,0))/30,0)</f>
        <v>0</v>
      </c>
      <c r="AN51" s="10">
        <f>IFERROR(MAX(节奏总纲!E44-积分赛!$C$7,0)*INDEX($U$7:$U$14,MATCH(AB$10,$T$7:$T$14,0))/30,0)</f>
        <v>0</v>
      </c>
      <c r="AO51" s="10">
        <f>IFERROR(MAX(节奏总纲!F44-积分赛!$C$7,0)*INDEX($U$7:$U$14,MATCH(AC$10,$T$7:$T$14,0))/30,0)</f>
        <v>0</v>
      </c>
      <c r="AP51" s="10">
        <f>IFERROR(MAX(节奏总纲!G44-积分赛!$C$7,0)*INDEX($U$7:$U$14,MATCH(AD$10,$T$7:$T$14,0))/30,0)</f>
        <v>0</v>
      </c>
      <c r="AQ51" s="10">
        <f>IFERROR(MAX(节奏总纲!H44-积分赛!$C$7,0)*INDEX($U$7:$U$14,MATCH(AE$10,$T$7:$T$14,0))/30,0)</f>
        <v>0</v>
      </c>
      <c r="AR51" s="10">
        <f>MAX(节奏总纲!D44-积分赛!$C$7,0)*(IFERROR(INDEX($W$7:$W$14,MATCH(AF$10,$T$7:$T$14,0)),0)*$T$20+IFERROR(INDEX($X$7:$X$14,MATCH(AF$10,$T$7:$T$14,0)),0)*$T$21)/30</f>
        <v>0</v>
      </c>
      <c r="AS51" s="10">
        <f>MAX(节奏总纲!E44-积分赛!$C$7,0)*(IFERROR(INDEX($W$7:$W$14,MATCH(AG$10,$T$7:$T$14,0)),0)*$T$20+IFERROR(INDEX($X$7:$X$14,MATCH(AG$10,$T$7:$T$14,0)),0)*$T$21)/30</f>
        <v>0</v>
      </c>
      <c r="AT51" s="10">
        <f>MAX(节奏总纲!F44-积分赛!$C$7,0)*(IFERROR(INDEX($W$7:$W$14,MATCH(AH$10,$T$7:$T$14,0)),0)*$T$20+IFERROR(INDEX($X$7:$X$14,MATCH(AH$10,$T$7:$T$14,0)),0)*$T$21)/30</f>
        <v>0</v>
      </c>
      <c r="AU51" s="10">
        <f>MAX(节奏总纲!G44-积分赛!$C$7,0)*(IFERROR(INDEX($W$7:$W$14,MATCH(AI$10,$T$7:$T$14,0)),0)*$T$20+IFERROR(INDEX($X$7:$X$14,MATCH(AI$10,$T$7:$T$14,0)),0)*$T$21)/30</f>
        <v>0</v>
      </c>
      <c r="AV51" s="10">
        <f>MAX(节奏总纲!H44-积分赛!$C$7,0)*(IFERROR(INDEX($W$7:$W$14,MATCH(AJ$10,$T$7:$T$14,0)),0)*$T$20+IFERROR(INDEX($X$7:$X$14,MATCH(AJ$10,$T$7:$T$14,0)),0)*$T$21)/30</f>
        <v>0</v>
      </c>
      <c r="BI51" s="10">
        <v>41</v>
      </c>
      <c r="BJ51" s="10">
        <f>MAX($BI51-积分赛!$C$7,0)*$BC$10/30</f>
        <v>36666.666666666664</v>
      </c>
      <c r="BK51" s="10">
        <f>MAX($BI51-积分赛!$C$7,0)*$BC$10/30</f>
        <v>36666.666666666664</v>
      </c>
      <c r="BL51" s="10">
        <f>MAX($BI51-积分赛!$C$7,0)*$BC$10/30</f>
        <v>36666.666666666664</v>
      </c>
      <c r="BM51" s="10">
        <f>MAX($BI51-积分赛!$C$7,0)*$BC$10/30</f>
        <v>36666.666666666664</v>
      </c>
      <c r="BN51" s="10">
        <f>MAX($BI51-积分赛!$C$7,0)*$BC$10/30</f>
        <v>36666.666666666664</v>
      </c>
      <c r="BP51" s="10">
        <v>41</v>
      </c>
      <c r="BQ51" s="10">
        <f>MAX(节奏总纲!D44-积分赛!$C$7,0)*$BC$10/30</f>
        <v>0</v>
      </c>
      <c r="BR51" s="10">
        <f>MAX(节奏总纲!E44-积分赛!$C$7,0)*$BC$10/30</f>
        <v>0</v>
      </c>
      <c r="BS51" s="10">
        <f>MAX(节奏总纲!F44-积分赛!$C$7,0)*$BC$10/30</f>
        <v>0</v>
      </c>
      <c r="BT51" s="10">
        <f>MAX(节奏总纲!G44-积分赛!$C$7,0)*$BC$10/30</f>
        <v>0</v>
      </c>
      <c r="BU51" s="10">
        <f>MAX(节奏总纲!H44-积分赛!$C$7,0)*$BC$10/30</f>
        <v>0</v>
      </c>
    </row>
    <row r="52" spans="3:73" x14ac:dyDescent="0.15">
      <c r="C52" s="10"/>
      <c r="D52" s="10"/>
      <c r="E52" s="10"/>
      <c r="F52" s="10"/>
      <c r="G52" s="10"/>
      <c r="Z52" s="10">
        <v>42</v>
      </c>
      <c r="AA52" s="10">
        <f>IFERROR(MAX($Z52-积分赛!$C$7,0)*INDEX($U$7:$U$14,MATCH(AA$10,$T$7:$T$14,0))/30,0)</f>
        <v>0</v>
      </c>
      <c r="AB52" s="10">
        <f>IFERROR(MAX($Z52-积分赛!$C$7,0)*INDEX($U$7:$U$14,MATCH(AB$10,$T$7:$T$14,0))/30,0)</f>
        <v>0</v>
      </c>
      <c r="AC52" s="10">
        <f>IFERROR(MAX($Z52-积分赛!$C$7,0)*INDEX($U$7:$U$14,MATCH(AC$10,$T$7:$T$14,0))/30,0)</f>
        <v>0</v>
      </c>
      <c r="AD52" s="10">
        <f>IFERROR(MAX($Z52-积分赛!$C$7,0)*INDEX($U$7:$U$14,MATCH(AD$10,$T$7:$T$14,0))/30,0)</f>
        <v>32000</v>
      </c>
      <c r="AE52" s="10">
        <f>IFERROR(MAX($Z52-积分赛!$C$7,0)*INDEX($U$7:$U$14,MATCH(AE$10,$T$7:$T$14,0))/30,0)</f>
        <v>400000</v>
      </c>
      <c r="AF52" s="10">
        <f>MAX($Z52-积分赛!$C$7,0)*(IFERROR(INDEX($W$7:$W$14,MATCH(AF$10,$T$7:$T$14,0)),0)*$T$20+IFERROR(INDEX($X$7:$X$14,MATCH(AF$10,$T$7:$T$14,0)),0)*$T$21)/30</f>
        <v>0</v>
      </c>
      <c r="AG52" s="10">
        <f>MAX($Z52-积分赛!$C$7,0)*(IFERROR(INDEX($W$7:$W$14,MATCH(AG$10,$T$7:$T$14,0)),0)*$T$20+IFERROR(INDEX($X$7:$X$14,MATCH(AG$10,$T$7:$T$14,0)),0)*$T$21)/30</f>
        <v>0</v>
      </c>
      <c r="AH52" s="10">
        <f>MAX($Z52-积分赛!$C$7,0)*(IFERROR(INDEX($W$7:$W$14,MATCH(AH$10,$T$7:$T$14,0)),0)*$T$20+IFERROR(INDEX($X$7:$X$14,MATCH(AH$10,$T$7:$T$14,0)),0)*$T$21)/30</f>
        <v>0</v>
      </c>
      <c r="AI52" s="10">
        <f>MAX($Z52-积分赛!$C$7,0)*(IFERROR(INDEX($W$7:$W$14,MATCH(AI$10,$T$7:$T$14,0)),0)*$T$20+IFERROR(INDEX($X$7:$X$14,MATCH(AI$10,$T$7:$T$14,0)),0)*$T$21)/30</f>
        <v>1222</v>
      </c>
      <c r="AJ52" s="10">
        <f>MAX($Z52-积分赛!$C$7,0)*(IFERROR(INDEX($W$7:$W$14,MATCH(AJ$10,$T$7:$T$14,0)),0)*$T$20+IFERROR(INDEX($X$7:$X$14,MATCH(AJ$10,$T$7:$T$14,0)),0)*$T$21)/30</f>
        <v>7332</v>
      </c>
      <c r="AL52" s="10">
        <v>42</v>
      </c>
      <c r="AM52" s="10">
        <f>IFERROR(MAX(节奏总纲!D45-积分赛!$C$7,0)*INDEX($U$7:$U$14,MATCH(AA$10,$T$7:$T$14,0))/30,0)</f>
        <v>0</v>
      </c>
      <c r="AN52" s="10">
        <f>IFERROR(MAX(节奏总纲!E45-积分赛!$C$7,0)*INDEX($U$7:$U$14,MATCH(AB$10,$T$7:$T$14,0))/30,0)</f>
        <v>0</v>
      </c>
      <c r="AO52" s="10">
        <f>IFERROR(MAX(节奏总纲!F45-积分赛!$C$7,0)*INDEX($U$7:$U$14,MATCH(AC$10,$T$7:$T$14,0))/30,0)</f>
        <v>0</v>
      </c>
      <c r="AP52" s="10">
        <f>IFERROR(MAX(节奏总纲!G45-积分赛!$C$7,0)*INDEX($U$7:$U$14,MATCH(AD$10,$T$7:$T$14,0))/30,0)</f>
        <v>0</v>
      </c>
      <c r="AQ52" s="10">
        <f>IFERROR(MAX(节奏总纲!H45-积分赛!$C$7,0)*INDEX($U$7:$U$14,MATCH(AE$10,$T$7:$T$14,0))/30,0)</f>
        <v>0</v>
      </c>
      <c r="AR52" s="10">
        <f>MAX(节奏总纲!D45-积分赛!$C$7,0)*(IFERROR(INDEX($W$7:$W$14,MATCH(AF$10,$T$7:$T$14,0)),0)*$T$20+IFERROR(INDEX($X$7:$X$14,MATCH(AF$10,$T$7:$T$14,0)),0)*$T$21)/30</f>
        <v>0</v>
      </c>
      <c r="AS52" s="10">
        <f>MAX(节奏总纲!E45-积分赛!$C$7,0)*(IFERROR(INDEX($W$7:$W$14,MATCH(AG$10,$T$7:$T$14,0)),0)*$T$20+IFERROR(INDEX($X$7:$X$14,MATCH(AG$10,$T$7:$T$14,0)),0)*$T$21)/30</f>
        <v>0</v>
      </c>
      <c r="AT52" s="10">
        <f>MAX(节奏总纲!F45-积分赛!$C$7,0)*(IFERROR(INDEX($W$7:$W$14,MATCH(AH$10,$T$7:$T$14,0)),0)*$T$20+IFERROR(INDEX($X$7:$X$14,MATCH(AH$10,$T$7:$T$14,0)),0)*$T$21)/30</f>
        <v>0</v>
      </c>
      <c r="AU52" s="10">
        <f>MAX(节奏总纲!G45-积分赛!$C$7,0)*(IFERROR(INDEX($W$7:$W$14,MATCH(AI$10,$T$7:$T$14,0)),0)*$T$20+IFERROR(INDEX($X$7:$X$14,MATCH(AI$10,$T$7:$T$14,0)),0)*$T$21)/30</f>
        <v>0</v>
      </c>
      <c r="AV52" s="10">
        <f>MAX(节奏总纲!H45-积分赛!$C$7,0)*(IFERROR(INDEX($W$7:$W$14,MATCH(AJ$10,$T$7:$T$14,0)),0)*$T$20+IFERROR(INDEX($X$7:$X$14,MATCH(AJ$10,$T$7:$T$14,0)),0)*$T$21)/30</f>
        <v>0</v>
      </c>
      <c r="BI52" s="10">
        <v>42</v>
      </c>
      <c r="BJ52" s="10">
        <f>MAX($BI52-积分赛!$C$7,0)*$BC$10/30</f>
        <v>40000</v>
      </c>
      <c r="BK52" s="10">
        <f>MAX($BI52-积分赛!$C$7,0)*$BC$10/30</f>
        <v>40000</v>
      </c>
      <c r="BL52" s="10">
        <f>MAX($BI52-积分赛!$C$7,0)*$BC$10/30</f>
        <v>40000</v>
      </c>
      <c r="BM52" s="10">
        <f>MAX($BI52-积分赛!$C$7,0)*$BC$10/30</f>
        <v>40000</v>
      </c>
      <c r="BN52" s="10">
        <f>MAX($BI52-积分赛!$C$7,0)*$BC$10/30</f>
        <v>40000</v>
      </c>
      <c r="BP52" s="10">
        <v>42</v>
      </c>
      <c r="BQ52" s="10">
        <f>MAX(节奏总纲!D45-积分赛!$C$7,0)*$BC$10/30</f>
        <v>0</v>
      </c>
      <c r="BR52" s="10">
        <f>MAX(节奏总纲!E45-积分赛!$C$7,0)*$BC$10/30</f>
        <v>0</v>
      </c>
      <c r="BS52" s="10">
        <f>MAX(节奏总纲!F45-积分赛!$C$7,0)*$BC$10/30</f>
        <v>0</v>
      </c>
      <c r="BT52" s="10">
        <f>MAX(节奏总纲!G45-积分赛!$C$7,0)*$BC$10/30</f>
        <v>0</v>
      </c>
      <c r="BU52" s="10">
        <f>MAX(节奏总纲!H45-积分赛!$C$7,0)*$BC$10/30</f>
        <v>0</v>
      </c>
    </row>
    <row r="53" spans="3:73" x14ac:dyDescent="0.15">
      <c r="C53" s="10"/>
      <c r="D53" s="10"/>
      <c r="E53" s="10"/>
      <c r="F53" s="10"/>
      <c r="G53" s="10"/>
      <c r="Z53" s="10">
        <v>43</v>
      </c>
      <c r="AA53" s="10">
        <f>IFERROR(MAX($Z53-积分赛!$C$7,0)*INDEX($U$7:$U$14,MATCH(AA$10,$T$7:$T$14,0))/30,0)</f>
        <v>0</v>
      </c>
      <c r="AB53" s="10">
        <f>IFERROR(MAX($Z53-积分赛!$C$7,0)*INDEX($U$7:$U$14,MATCH(AB$10,$T$7:$T$14,0))/30,0)</f>
        <v>0</v>
      </c>
      <c r="AC53" s="10">
        <f>IFERROR(MAX($Z53-积分赛!$C$7,0)*INDEX($U$7:$U$14,MATCH(AC$10,$T$7:$T$14,0))/30,0)</f>
        <v>0</v>
      </c>
      <c r="AD53" s="10">
        <f>IFERROR(MAX($Z53-积分赛!$C$7,0)*INDEX($U$7:$U$14,MATCH(AD$10,$T$7:$T$14,0))/30,0)</f>
        <v>34666.666666666664</v>
      </c>
      <c r="AE53" s="10">
        <f>IFERROR(MAX($Z53-积分赛!$C$7,0)*INDEX($U$7:$U$14,MATCH(AE$10,$T$7:$T$14,0))/30,0)</f>
        <v>433333.33333333331</v>
      </c>
      <c r="AF53" s="10">
        <f>MAX($Z53-积分赛!$C$7,0)*(IFERROR(INDEX($W$7:$W$14,MATCH(AF$10,$T$7:$T$14,0)),0)*$T$20+IFERROR(INDEX($X$7:$X$14,MATCH(AF$10,$T$7:$T$14,0)),0)*$T$21)/30</f>
        <v>0</v>
      </c>
      <c r="AG53" s="10">
        <f>MAX($Z53-积分赛!$C$7,0)*(IFERROR(INDEX($W$7:$W$14,MATCH(AG$10,$T$7:$T$14,0)),0)*$T$20+IFERROR(INDEX($X$7:$X$14,MATCH(AG$10,$T$7:$T$14,0)),0)*$T$21)/30</f>
        <v>0</v>
      </c>
      <c r="AH53" s="10">
        <f>MAX($Z53-积分赛!$C$7,0)*(IFERROR(INDEX($W$7:$W$14,MATCH(AH$10,$T$7:$T$14,0)),0)*$T$20+IFERROR(INDEX($X$7:$X$14,MATCH(AH$10,$T$7:$T$14,0)),0)*$T$21)/30</f>
        <v>0</v>
      </c>
      <c r="AI53" s="10">
        <f>MAX($Z53-积分赛!$C$7,0)*(IFERROR(INDEX($W$7:$W$14,MATCH(AI$10,$T$7:$T$14,0)),0)*$T$20+IFERROR(INDEX($X$7:$X$14,MATCH(AI$10,$T$7:$T$14,0)),0)*$T$21)/30</f>
        <v>1323.8333333333333</v>
      </c>
      <c r="AJ53" s="10">
        <f>MAX($Z53-积分赛!$C$7,0)*(IFERROR(INDEX($W$7:$W$14,MATCH(AJ$10,$T$7:$T$14,0)),0)*$T$20+IFERROR(INDEX($X$7:$X$14,MATCH(AJ$10,$T$7:$T$14,0)),0)*$T$21)/30</f>
        <v>7943</v>
      </c>
      <c r="AL53" s="10">
        <v>43</v>
      </c>
      <c r="AM53" s="10">
        <f>IFERROR(MAX(节奏总纲!D46-积分赛!$C$7,0)*INDEX($U$7:$U$14,MATCH(AA$10,$T$7:$T$14,0))/30,0)</f>
        <v>0</v>
      </c>
      <c r="AN53" s="10">
        <f>IFERROR(MAX(节奏总纲!E46-积分赛!$C$7,0)*INDEX($U$7:$U$14,MATCH(AB$10,$T$7:$T$14,0))/30,0)</f>
        <v>0</v>
      </c>
      <c r="AO53" s="10">
        <f>IFERROR(MAX(节奏总纲!F46-积分赛!$C$7,0)*INDEX($U$7:$U$14,MATCH(AC$10,$T$7:$T$14,0))/30,0)</f>
        <v>0</v>
      </c>
      <c r="AP53" s="10">
        <f>IFERROR(MAX(节奏总纲!G46-积分赛!$C$7,0)*INDEX($U$7:$U$14,MATCH(AD$10,$T$7:$T$14,0))/30,0)</f>
        <v>0</v>
      </c>
      <c r="AQ53" s="10">
        <f>IFERROR(MAX(节奏总纲!H46-积分赛!$C$7,0)*INDEX($U$7:$U$14,MATCH(AE$10,$T$7:$T$14,0))/30,0)</f>
        <v>0</v>
      </c>
      <c r="AR53" s="10">
        <f>MAX(节奏总纲!D46-积分赛!$C$7,0)*(IFERROR(INDEX($W$7:$W$14,MATCH(AF$10,$T$7:$T$14,0)),0)*$T$20+IFERROR(INDEX($X$7:$X$14,MATCH(AF$10,$T$7:$T$14,0)),0)*$T$21)/30</f>
        <v>0</v>
      </c>
      <c r="AS53" s="10">
        <f>MAX(节奏总纲!E46-积分赛!$C$7,0)*(IFERROR(INDEX($W$7:$W$14,MATCH(AG$10,$T$7:$T$14,0)),0)*$T$20+IFERROR(INDEX($X$7:$X$14,MATCH(AG$10,$T$7:$T$14,0)),0)*$T$21)/30</f>
        <v>0</v>
      </c>
      <c r="AT53" s="10">
        <f>MAX(节奏总纲!F46-积分赛!$C$7,0)*(IFERROR(INDEX($W$7:$W$14,MATCH(AH$10,$T$7:$T$14,0)),0)*$T$20+IFERROR(INDEX($X$7:$X$14,MATCH(AH$10,$T$7:$T$14,0)),0)*$T$21)/30</f>
        <v>0</v>
      </c>
      <c r="AU53" s="10">
        <f>MAX(节奏总纲!G46-积分赛!$C$7,0)*(IFERROR(INDEX($W$7:$W$14,MATCH(AI$10,$T$7:$T$14,0)),0)*$T$20+IFERROR(INDEX($X$7:$X$14,MATCH(AI$10,$T$7:$T$14,0)),0)*$T$21)/30</f>
        <v>0</v>
      </c>
      <c r="AV53" s="10">
        <f>MAX(节奏总纲!H46-积分赛!$C$7,0)*(IFERROR(INDEX($W$7:$W$14,MATCH(AJ$10,$T$7:$T$14,0)),0)*$T$20+IFERROR(INDEX($X$7:$X$14,MATCH(AJ$10,$T$7:$T$14,0)),0)*$T$21)/30</f>
        <v>0</v>
      </c>
      <c r="BI53" s="10">
        <v>43</v>
      </c>
      <c r="BJ53" s="10">
        <f>MAX($BI53-积分赛!$C$7,0)*$BC$10/30</f>
        <v>43333.333333333336</v>
      </c>
      <c r="BK53" s="10">
        <f>MAX($BI53-积分赛!$C$7,0)*$BC$10/30</f>
        <v>43333.333333333336</v>
      </c>
      <c r="BL53" s="10">
        <f>MAX($BI53-积分赛!$C$7,0)*$BC$10/30</f>
        <v>43333.333333333336</v>
      </c>
      <c r="BM53" s="10">
        <f>MAX($BI53-积分赛!$C$7,0)*$BC$10/30</f>
        <v>43333.333333333336</v>
      </c>
      <c r="BN53" s="10">
        <f>MAX($BI53-积分赛!$C$7,0)*$BC$10/30</f>
        <v>43333.333333333336</v>
      </c>
      <c r="BP53" s="10">
        <v>43</v>
      </c>
      <c r="BQ53" s="10">
        <f>MAX(节奏总纲!D46-积分赛!$C$7,0)*$BC$10/30</f>
        <v>0</v>
      </c>
      <c r="BR53" s="10">
        <f>MAX(节奏总纲!E46-积分赛!$C$7,0)*$BC$10/30</f>
        <v>0</v>
      </c>
      <c r="BS53" s="10">
        <f>MAX(节奏总纲!F46-积分赛!$C$7,0)*$BC$10/30</f>
        <v>0</v>
      </c>
      <c r="BT53" s="10">
        <f>MAX(节奏总纲!G46-积分赛!$C$7,0)*$BC$10/30</f>
        <v>0</v>
      </c>
      <c r="BU53" s="10">
        <f>MAX(节奏总纲!H46-积分赛!$C$7,0)*$BC$10/30</f>
        <v>0</v>
      </c>
    </row>
    <row r="54" spans="3:73" x14ac:dyDescent="0.15">
      <c r="C54" s="10"/>
      <c r="D54" s="10"/>
      <c r="E54" s="10"/>
      <c r="F54" s="10"/>
      <c r="G54" s="10"/>
      <c r="Z54" s="10">
        <v>44</v>
      </c>
      <c r="AA54" s="10">
        <f>IFERROR(MAX($Z54-积分赛!$C$7,0)*INDEX($U$7:$U$14,MATCH(AA$10,$T$7:$T$14,0))/30,0)</f>
        <v>0</v>
      </c>
      <c r="AB54" s="10">
        <f>IFERROR(MAX($Z54-积分赛!$C$7,0)*INDEX($U$7:$U$14,MATCH(AB$10,$T$7:$T$14,0))/30,0)</f>
        <v>0</v>
      </c>
      <c r="AC54" s="10">
        <f>IFERROR(MAX($Z54-积分赛!$C$7,0)*INDEX($U$7:$U$14,MATCH(AC$10,$T$7:$T$14,0))/30,0)</f>
        <v>0</v>
      </c>
      <c r="AD54" s="10">
        <f>IFERROR(MAX($Z54-积分赛!$C$7,0)*INDEX($U$7:$U$14,MATCH(AD$10,$T$7:$T$14,0))/30,0)</f>
        <v>37333.333333333336</v>
      </c>
      <c r="AE54" s="10">
        <f>IFERROR(MAX($Z54-积分赛!$C$7,0)*INDEX($U$7:$U$14,MATCH(AE$10,$T$7:$T$14,0))/30,0)</f>
        <v>466666.66666666669</v>
      </c>
      <c r="AF54" s="10">
        <f>MAX($Z54-积分赛!$C$7,0)*(IFERROR(INDEX($W$7:$W$14,MATCH(AF$10,$T$7:$T$14,0)),0)*$T$20+IFERROR(INDEX($X$7:$X$14,MATCH(AF$10,$T$7:$T$14,0)),0)*$T$21)/30</f>
        <v>0</v>
      </c>
      <c r="AG54" s="10">
        <f>MAX($Z54-积分赛!$C$7,0)*(IFERROR(INDEX($W$7:$W$14,MATCH(AG$10,$T$7:$T$14,0)),0)*$T$20+IFERROR(INDEX($X$7:$X$14,MATCH(AG$10,$T$7:$T$14,0)),0)*$T$21)/30</f>
        <v>0</v>
      </c>
      <c r="AH54" s="10">
        <f>MAX($Z54-积分赛!$C$7,0)*(IFERROR(INDEX($W$7:$W$14,MATCH(AH$10,$T$7:$T$14,0)),0)*$T$20+IFERROR(INDEX($X$7:$X$14,MATCH(AH$10,$T$7:$T$14,0)),0)*$T$21)/30</f>
        <v>0</v>
      </c>
      <c r="AI54" s="10">
        <f>MAX($Z54-积分赛!$C$7,0)*(IFERROR(INDEX($W$7:$W$14,MATCH(AI$10,$T$7:$T$14,0)),0)*$T$20+IFERROR(INDEX($X$7:$X$14,MATCH(AI$10,$T$7:$T$14,0)),0)*$T$21)/30</f>
        <v>1425.6666666666667</v>
      </c>
      <c r="AJ54" s="10">
        <f>MAX($Z54-积分赛!$C$7,0)*(IFERROR(INDEX($W$7:$W$14,MATCH(AJ$10,$T$7:$T$14,0)),0)*$T$20+IFERROR(INDEX($X$7:$X$14,MATCH(AJ$10,$T$7:$T$14,0)),0)*$T$21)/30</f>
        <v>8554</v>
      </c>
      <c r="AL54" s="10">
        <v>44</v>
      </c>
      <c r="AM54" s="10">
        <f>IFERROR(MAX(节奏总纲!D47-积分赛!$C$7,0)*INDEX($U$7:$U$14,MATCH(AA$10,$T$7:$T$14,0))/30,0)</f>
        <v>0</v>
      </c>
      <c r="AN54" s="10">
        <f>IFERROR(MAX(节奏总纲!E47-积分赛!$C$7,0)*INDEX($U$7:$U$14,MATCH(AB$10,$T$7:$T$14,0))/30,0)</f>
        <v>0</v>
      </c>
      <c r="AO54" s="10">
        <f>IFERROR(MAX(节奏总纲!F47-积分赛!$C$7,0)*INDEX($U$7:$U$14,MATCH(AC$10,$T$7:$T$14,0))/30,0)</f>
        <v>0</v>
      </c>
      <c r="AP54" s="10">
        <f>IFERROR(MAX(节奏总纲!G47-积分赛!$C$7,0)*INDEX($U$7:$U$14,MATCH(AD$10,$T$7:$T$14,0))/30,0)</f>
        <v>0</v>
      </c>
      <c r="AQ54" s="10">
        <f>IFERROR(MAX(节奏总纲!H47-积分赛!$C$7,0)*INDEX($U$7:$U$14,MATCH(AE$10,$T$7:$T$14,0))/30,0)</f>
        <v>0</v>
      </c>
      <c r="AR54" s="10">
        <f>MAX(节奏总纲!D47-积分赛!$C$7,0)*(IFERROR(INDEX($W$7:$W$14,MATCH(AF$10,$T$7:$T$14,0)),0)*$T$20+IFERROR(INDEX($X$7:$X$14,MATCH(AF$10,$T$7:$T$14,0)),0)*$T$21)/30</f>
        <v>0</v>
      </c>
      <c r="AS54" s="10">
        <f>MAX(节奏总纲!E47-积分赛!$C$7,0)*(IFERROR(INDEX($W$7:$W$14,MATCH(AG$10,$T$7:$T$14,0)),0)*$T$20+IFERROR(INDEX($X$7:$X$14,MATCH(AG$10,$T$7:$T$14,0)),0)*$T$21)/30</f>
        <v>0</v>
      </c>
      <c r="AT54" s="10">
        <f>MAX(节奏总纲!F47-积分赛!$C$7,0)*(IFERROR(INDEX($W$7:$W$14,MATCH(AH$10,$T$7:$T$14,0)),0)*$T$20+IFERROR(INDEX($X$7:$X$14,MATCH(AH$10,$T$7:$T$14,0)),0)*$T$21)/30</f>
        <v>0</v>
      </c>
      <c r="AU54" s="10">
        <f>MAX(节奏总纲!G47-积分赛!$C$7,0)*(IFERROR(INDEX($W$7:$W$14,MATCH(AI$10,$T$7:$T$14,0)),0)*$T$20+IFERROR(INDEX($X$7:$X$14,MATCH(AI$10,$T$7:$T$14,0)),0)*$T$21)/30</f>
        <v>0</v>
      </c>
      <c r="AV54" s="10">
        <f>MAX(节奏总纲!H47-积分赛!$C$7,0)*(IFERROR(INDEX($W$7:$W$14,MATCH(AJ$10,$T$7:$T$14,0)),0)*$T$20+IFERROR(INDEX($X$7:$X$14,MATCH(AJ$10,$T$7:$T$14,0)),0)*$T$21)/30</f>
        <v>0</v>
      </c>
      <c r="BI54" s="10">
        <v>44</v>
      </c>
      <c r="BJ54" s="10">
        <f>MAX($BI54-积分赛!$C$7,0)*$BC$10/30</f>
        <v>46666.666666666664</v>
      </c>
      <c r="BK54" s="10">
        <f>MAX($BI54-积分赛!$C$7,0)*$BC$10/30</f>
        <v>46666.666666666664</v>
      </c>
      <c r="BL54" s="10">
        <f>MAX($BI54-积分赛!$C$7,0)*$BC$10/30</f>
        <v>46666.666666666664</v>
      </c>
      <c r="BM54" s="10">
        <f>MAX($BI54-积分赛!$C$7,0)*$BC$10/30</f>
        <v>46666.666666666664</v>
      </c>
      <c r="BN54" s="10">
        <f>MAX($BI54-积分赛!$C$7,0)*$BC$10/30</f>
        <v>46666.666666666664</v>
      </c>
      <c r="BP54" s="10">
        <v>44</v>
      </c>
      <c r="BQ54" s="10">
        <f>MAX(节奏总纲!D47-积分赛!$C$7,0)*$BC$10/30</f>
        <v>0</v>
      </c>
      <c r="BR54" s="10">
        <f>MAX(节奏总纲!E47-积分赛!$C$7,0)*$BC$10/30</f>
        <v>0</v>
      </c>
      <c r="BS54" s="10">
        <f>MAX(节奏总纲!F47-积分赛!$C$7,0)*$BC$10/30</f>
        <v>0</v>
      </c>
      <c r="BT54" s="10">
        <f>MAX(节奏总纲!G47-积分赛!$C$7,0)*$BC$10/30</f>
        <v>0</v>
      </c>
      <c r="BU54" s="10">
        <f>MAX(节奏总纲!H47-积分赛!$C$7,0)*$BC$10/30</f>
        <v>0</v>
      </c>
    </row>
    <row r="55" spans="3:73" x14ac:dyDescent="0.15">
      <c r="C55" s="10"/>
      <c r="D55" s="10"/>
      <c r="E55" s="10"/>
      <c r="F55" s="10"/>
      <c r="G55" s="10"/>
      <c r="Z55" s="10">
        <v>45</v>
      </c>
      <c r="AA55" s="10">
        <f>IFERROR(MAX($Z55-积分赛!$C$7,0)*INDEX($U$7:$U$14,MATCH(AA$10,$T$7:$T$14,0))/30,0)</f>
        <v>0</v>
      </c>
      <c r="AB55" s="10">
        <f>IFERROR(MAX($Z55-积分赛!$C$7,0)*INDEX($U$7:$U$14,MATCH(AB$10,$T$7:$T$14,0))/30,0)</f>
        <v>0</v>
      </c>
      <c r="AC55" s="10">
        <f>IFERROR(MAX($Z55-积分赛!$C$7,0)*INDEX($U$7:$U$14,MATCH(AC$10,$T$7:$T$14,0))/30,0)</f>
        <v>0</v>
      </c>
      <c r="AD55" s="10">
        <f>IFERROR(MAX($Z55-积分赛!$C$7,0)*INDEX($U$7:$U$14,MATCH(AD$10,$T$7:$T$14,0))/30,0)</f>
        <v>40000</v>
      </c>
      <c r="AE55" s="10">
        <f>IFERROR(MAX($Z55-积分赛!$C$7,0)*INDEX($U$7:$U$14,MATCH(AE$10,$T$7:$T$14,0))/30,0)</f>
        <v>500000</v>
      </c>
      <c r="AF55" s="10">
        <f>MAX($Z55-积分赛!$C$7,0)*(IFERROR(INDEX($W$7:$W$14,MATCH(AF$10,$T$7:$T$14,0)),0)*$T$20+IFERROR(INDEX($X$7:$X$14,MATCH(AF$10,$T$7:$T$14,0)),0)*$T$21)/30</f>
        <v>0</v>
      </c>
      <c r="AG55" s="10">
        <f>MAX($Z55-积分赛!$C$7,0)*(IFERROR(INDEX($W$7:$W$14,MATCH(AG$10,$T$7:$T$14,0)),0)*$T$20+IFERROR(INDEX($X$7:$X$14,MATCH(AG$10,$T$7:$T$14,0)),0)*$T$21)/30</f>
        <v>0</v>
      </c>
      <c r="AH55" s="10">
        <f>MAX($Z55-积分赛!$C$7,0)*(IFERROR(INDEX($W$7:$W$14,MATCH(AH$10,$T$7:$T$14,0)),0)*$T$20+IFERROR(INDEX($X$7:$X$14,MATCH(AH$10,$T$7:$T$14,0)),0)*$T$21)/30</f>
        <v>0</v>
      </c>
      <c r="AI55" s="10">
        <f>MAX($Z55-积分赛!$C$7,0)*(IFERROR(INDEX($W$7:$W$14,MATCH(AI$10,$T$7:$T$14,0)),0)*$T$20+IFERROR(INDEX($X$7:$X$14,MATCH(AI$10,$T$7:$T$14,0)),0)*$T$21)/30</f>
        <v>1527.5</v>
      </c>
      <c r="AJ55" s="10">
        <f>MAX($Z55-积分赛!$C$7,0)*(IFERROR(INDEX($W$7:$W$14,MATCH(AJ$10,$T$7:$T$14,0)),0)*$T$20+IFERROR(INDEX($X$7:$X$14,MATCH(AJ$10,$T$7:$T$14,0)),0)*$T$21)/30</f>
        <v>9165</v>
      </c>
      <c r="AL55" s="10">
        <v>45</v>
      </c>
      <c r="AM55" s="10">
        <f>IFERROR(MAX(节奏总纲!D48-积分赛!$C$7,0)*INDEX($U$7:$U$14,MATCH(AA$10,$T$7:$T$14,0))/30,0)</f>
        <v>0</v>
      </c>
      <c r="AN55" s="10">
        <f>IFERROR(MAX(节奏总纲!E48-积分赛!$C$7,0)*INDEX($U$7:$U$14,MATCH(AB$10,$T$7:$T$14,0))/30,0)</f>
        <v>0</v>
      </c>
      <c r="AO55" s="10">
        <f>IFERROR(MAX(节奏总纲!F48-积分赛!$C$7,0)*INDEX($U$7:$U$14,MATCH(AC$10,$T$7:$T$14,0))/30,0)</f>
        <v>0</v>
      </c>
      <c r="AP55" s="10">
        <f>IFERROR(MAX(节奏总纲!G48-积分赛!$C$7,0)*INDEX($U$7:$U$14,MATCH(AD$10,$T$7:$T$14,0))/30,0)</f>
        <v>0</v>
      </c>
      <c r="AQ55" s="10">
        <f>IFERROR(MAX(节奏总纲!H48-积分赛!$C$7,0)*INDEX($U$7:$U$14,MATCH(AE$10,$T$7:$T$14,0))/30,0)</f>
        <v>0</v>
      </c>
      <c r="AR55" s="10">
        <f>MAX(节奏总纲!D48-积分赛!$C$7,0)*(IFERROR(INDEX($W$7:$W$14,MATCH(AF$10,$T$7:$T$14,0)),0)*$T$20+IFERROR(INDEX($X$7:$X$14,MATCH(AF$10,$T$7:$T$14,0)),0)*$T$21)/30</f>
        <v>0</v>
      </c>
      <c r="AS55" s="10">
        <f>MAX(节奏总纲!E48-积分赛!$C$7,0)*(IFERROR(INDEX($W$7:$W$14,MATCH(AG$10,$T$7:$T$14,0)),0)*$T$20+IFERROR(INDEX($X$7:$X$14,MATCH(AG$10,$T$7:$T$14,0)),0)*$T$21)/30</f>
        <v>0</v>
      </c>
      <c r="AT55" s="10">
        <f>MAX(节奏总纲!F48-积分赛!$C$7,0)*(IFERROR(INDEX($W$7:$W$14,MATCH(AH$10,$T$7:$T$14,0)),0)*$T$20+IFERROR(INDEX($X$7:$X$14,MATCH(AH$10,$T$7:$T$14,0)),0)*$T$21)/30</f>
        <v>0</v>
      </c>
      <c r="AU55" s="10">
        <f>MAX(节奏总纲!G48-积分赛!$C$7,0)*(IFERROR(INDEX($W$7:$W$14,MATCH(AI$10,$T$7:$T$14,0)),0)*$T$20+IFERROR(INDEX($X$7:$X$14,MATCH(AI$10,$T$7:$T$14,0)),0)*$T$21)/30</f>
        <v>0</v>
      </c>
      <c r="AV55" s="10">
        <f>MAX(节奏总纲!H48-积分赛!$C$7,0)*(IFERROR(INDEX($W$7:$W$14,MATCH(AJ$10,$T$7:$T$14,0)),0)*$T$20+IFERROR(INDEX($X$7:$X$14,MATCH(AJ$10,$T$7:$T$14,0)),0)*$T$21)/30</f>
        <v>0</v>
      </c>
      <c r="BI55" s="10">
        <v>45</v>
      </c>
      <c r="BJ55" s="10">
        <f>MAX($BI55-积分赛!$C$7,0)*$BC$10/30</f>
        <v>50000</v>
      </c>
      <c r="BK55" s="10">
        <f>MAX($BI55-积分赛!$C$7,0)*$BC$10/30</f>
        <v>50000</v>
      </c>
      <c r="BL55" s="10">
        <f>MAX($BI55-积分赛!$C$7,0)*$BC$10/30</f>
        <v>50000</v>
      </c>
      <c r="BM55" s="10">
        <f>MAX($BI55-积分赛!$C$7,0)*$BC$10/30</f>
        <v>50000</v>
      </c>
      <c r="BN55" s="10">
        <f>MAX($BI55-积分赛!$C$7,0)*$BC$10/30</f>
        <v>50000</v>
      </c>
      <c r="BP55" s="10">
        <v>45</v>
      </c>
      <c r="BQ55" s="10">
        <f>MAX(节奏总纲!D48-积分赛!$C$7,0)*$BC$10/30</f>
        <v>0</v>
      </c>
      <c r="BR55" s="10">
        <f>MAX(节奏总纲!E48-积分赛!$C$7,0)*$BC$10/30</f>
        <v>0</v>
      </c>
      <c r="BS55" s="10">
        <f>MAX(节奏总纲!F48-积分赛!$C$7,0)*$BC$10/30</f>
        <v>0</v>
      </c>
      <c r="BT55" s="10">
        <f>MAX(节奏总纲!G48-积分赛!$C$7,0)*$BC$10/30</f>
        <v>0</v>
      </c>
      <c r="BU55" s="10">
        <f>MAX(节奏总纲!H48-积分赛!$C$7,0)*$BC$10/30</f>
        <v>0</v>
      </c>
    </row>
    <row r="56" spans="3:73" x14ac:dyDescent="0.15">
      <c r="C56" s="10"/>
      <c r="D56" s="10"/>
      <c r="E56" s="10"/>
      <c r="F56" s="10"/>
      <c r="G56" s="10"/>
      <c r="Z56" s="10">
        <v>46</v>
      </c>
      <c r="AA56" s="10">
        <f>IFERROR(MAX($Z56-积分赛!$C$7,0)*INDEX($U$7:$U$14,MATCH(AA$10,$T$7:$T$14,0))/30,0)</f>
        <v>0</v>
      </c>
      <c r="AB56" s="10">
        <f>IFERROR(MAX($Z56-积分赛!$C$7,0)*INDEX($U$7:$U$14,MATCH(AB$10,$T$7:$T$14,0))/30,0)</f>
        <v>0</v>
      </c>
      <c r="AC56" s="10">
        <f>IFERROR(MAX($Z56-积分赛!$C$7,0)*INDEX($U$7:$U$14,MATCH(AC$10,$T$7:$T$14,0))/30,0)</f>
        <v>0</v>
      </c>
      <c r="AD56" s="10">
        <f>IFERROR(MAX($Z56-积分赛!$C$7,0)*INDEX($U$7:$U$14,MATCH(AD$10,$T$7:$T$14,0))/30,0)</f>
        <v>42666.666666666664</v>
      </c>
      <c r="AE56" s="10">
        <f>IFERROR(MAX($Z56-积分赛!$C$7,0)*INDEX($U$7:$U$14,MATCH(AE$10,$T$7:$T$14,0))/30,0)</f>
        <v>533333.33333333337</v>
      </c>
      <c r="AF56" s="10">
        <f>MAX($Z56-积分赛!$C$7,0)*(IFERROR(INDEX($W$7:$W$14,MATCH(AF$10,$T$7:$T$14,0)),0)*$T$20+IFERROR(INDEX($X$7:$X$14,MATCH(AF$10,$T$7:$T$14,0)),0)*$T$21)/30</f>
        <v>0</v>
      </c>
      <c r="AG56" s="10">
        <f>MAX($Z56-积分赛!$C$7,0)*(IFERROR(INDEX($W$7:$W$14,MATCH(AG$10,$T$7:$T$14,0)),0)*$T$20+IFERROR(INDEX($X$7:$X$14,MATCH(AG$10,$T$7:$T$14,0)),0)*$T$21)/30</f>
        <v>0</v>
      </c>
      <c r="AH56" s="10">
        <f>MAX($Z56-积分赛!$C$7,0)*(IFERROR(INDEX($W$7:$W$14,MATCH(AH$10,$T$7:$T$14,0)),0)*$T$20+IFERROR(INDEX($X$7:$X$14,MATCH(AH$10,$T$7:$T$14,0)),0)*$T$21)/30</f>
        <v>0</v>
      </c>
      <c r="AI56" s="10">
        <f>MAX($Z56-积分赛!$C$7,0)*(IFERROR(INDEX($W$7:$W$14,MATCH(AI$10,$T$7:$T$14,0)),0)*$T$20+IFERROR(INDEX($X$7:$X$14,MATCH(AI$10,$T$7:$T$14,0)),0)*$T$21)/30</f>
        <v>1629.3333333333333</v>
      </c>
      <c r="AJ56" s="10">
        <f>MAX($Z56-积分赛!$C$7,0)*(IFERROR(INDEX($W$7:$W$14,MATCH(AJ$10,$T$7:$T$14,0)),0)*$T$20+IFERROR(INDEX($X$7:$X$14,MATCH(AJ$10,$T$7:$T$14,0)),0)*$T$21)/30</f>
        <v>9776</v>
      </c>
      <c r="AL56" s="10">
        <v>46</v>
      </c>
      <c r="AM56" s="10">
        <f>IFERROR(MAX(节奏总纲!D49-积分赛!$C$7,0)*INDEX($U$7:$U$14,MATCH(AA$10,$T$7:$T$14,0))/30,0)</f>
        <v>0</v>
      </c>
      <c r="AN56" s="10">
        <f>IFERROR(MAX(节奏总纲!E49-积分赛!$C$7,0)*INDEX($U$7:$U$14,MATCH(AB$10,$T$7:$T$14,0))/30,0)</f>
        <v>0</v>
      </c>
      <c r="AO56" s="10">
        <f>IFERROR(MAX(节奏总纲!F49-积分赛!$C$7,0)*INDEX($U$7:$U$14,MATCH(AC$10,$T$7:$T$14,0))/30,0)</f>
        <v>0</v>
      </c>
      <c r="AP56" s="10">
        <f>IFERROR(MAX(节奏总纲!G49-积分赛!$C$7,0)*INDEX($U$7:$U$14,MATCH(AD$10,$T$7:$T$14,0))/30,0)</f>
        <v>0</v>
      </c>
      <c r="AQ56" s="10">
        <f>IFERROR(MAX(节奏总纲!H49-积分赛!$C$7,0)*INDEX($U$7:$U$14,MATCH(AE$10,$T$7:$T$14,0))/30,0)</f>
        <v>0</v>
      </c>
      <c r="AR56" s="10">
        <f>MAX(节奏总纲!D49-积分赛!$C$7,0)*(IFERROR(INDEX($W$7:$W$14,MATCH(AF$10,$T$7:$T$14,0)),0)*$T$20+IFERROR(INDEX($X$7:$X$14,MATCH(AF$10,$T$7:$T$14,0)),0)*$T$21)/30</f>
        <v>0</v>
      </c>
      <c r="AS56" s="10">
        <f>MAX(节奏总纲!E49-积分赛!$C$7,0)*(IFERROR(INDEX($W$7:$W$14,MATCH(AG$10,$T$7:$T$14,0)),0)*$T$20+IFERROR(INDEX($X$7:$X$14,MATCH(AG$10,$T$7:$T$14,0)),0)*$T$21)/30</f>
        <v>0</v>
      </c>
      <c r="AT56" s="10">
        <f>MAX(节奏总纲!F49-积分赛!$C$7,0)*(IFERROR(INDEX($W$7:$W$14,MATCH(AH$10,$T$7:$T$14,0)),0)*$T$20+IFERROR(INDEX($X$7:$X$14,MATCH(AH$10,$T$7:$T$14,0)),0)*$T$21)/30</f>
        <v>0</v>
      </c>
      <c r="AU56" s="10">
        <f>MAX(节奏总纲!G49-积分赛!$C$7,0)*(IFERROR(INDEX($W$7:$W$14,MATCH(AI$10,$T$7:$T$14,0)),0)*$T$20+IFERROR(INDEX($X$7:$X$14,MATCH(AI$10,$T$7:$T$14,0)),0)*$T$21)/30</f>
        <v>0</v>
      </c>
      <c r="AV56" s="10">
        <f>MAX(节奏总纲!H49-积分赛!$C$7,0)*(IFERROR(INDEX($W$7:$W$14,MATCH(AJ$10,$T$7:$T$14,0)),0)*$T$20+IFERROR(INDEX($X$7:$X$14,MATCH(AJ$10,$T$7:$T$14,0)),0)*$T$21)/30</f>
        <v>0</v>
      </c>
      <c r="BI56" s="10">
        <v>46</v>
      </c>
      <c r="BJ56" s="10">
        <f>MAX($BI56-积分赛!$C$7,0)*$BC$10/30</f>
        <v>53333.333333333336</v>
      </c>
      <c r="BK56" s="10">
        <f>MAX($BI56-积分赛!$C$7,0)*$BC$10/30</f>
        <v>53333.333333333336</v>
      </c>
      <c r="BL56" s="10">
        <f>MAX($BI56-积分赛!$C$7,0)*$BC$10/30</f>
        <v>53333.333333333336</v>
      </c>
      <c r="BM56" s="10">
        <f>MAX($BI56-积分赛!$C$7,0)*$BC$10/30</f>
        <v>53333.333333333336</v>
      </c>
      <c r="BN56" s="10">
        <f>MAX($BI56-积分赛!$C$7,0)*$BC$10/30</f>
        <v>53333.333333333336</v>
      </c>
      <c r="BP56" s="10">
        <v>46</v>
      </c>
      <c r="BQ56" s="10">
        <f>MAX(节奏总纲!D49-积分赛!$C$7,0)*$BC$10/30</f>
        <v>0</v>
      </c>
      <c r="BR56" s="10">
        <f>MAX(节奏总纲!E49-积分赛!$C$7,0)*$BC$10/30</f>
        <v>0</v>
      </c>
      <c r="BS56" s="10">
        <f>MAX(节奏总纲!F49-积分赛!$C$7,0)*$BC$10/30</f>
        <v>0</v>
      </c>
      <c r="BT56" s="10">
        <f>MAX(节奏总纲!G49-积分赛!$C$7,0)*$BC$10/30</f>
        <v>0</v>
      </c>
      <c r="BU56" s="10">
        <f>MAX(节奏总纲!H49-积分赛!$C$7,0)*$BC$10/30</f>
        <v>0</v>
      </c>
    </row>
    <row r="57" spans="3:73" x14ac:dyDescent="0.15">
      <c r="C57" s="10"/>
      <c r="D57" s="10"/>
      <c r="E57" s="10"/>
      <c r="F57" s="10"/>
      <c r="G57" s="10"/>
      <c r="Z57" s="10">
        <v>47</v>
      </c>
      <c r="AA57" s="10">
        <f>IFERROR(MAX($Z57-积分赛!$C$7,0)*INDEX($U$7:$U$14,MATCH(AA$10,$T$7:$T$14,0))/30,0)</f>
        <v>0</v>
      </c>
      <c r="AB57" s="10">
        <f>IFERROR(MAX($Z57-积分赛!$C$7,0)*INDEX($U$7:$U$14,MATCH(AB$10,$T$7:$T$14,0))/30,0)</f>
        <v>0</v>
      </c>
      <c r="AC57" s="10">
        <f>IFERROR(MAX($Z57-积分赛!$C$7,0)*INDEX($U$7:$U$14,MATCH(AC$10,$T$7:$T$14,0))/30,0)</f>
        <v>0</v>
      </c>
      <c r="AD57" s="10">
        <f>IFERROR(MAX($Z57-积分赛!$C$7,0)*INDEX($U$7:$U$14,MATCH(AD$10,$T$7:$T$14,0))/30,0)</f>
        <v>45333.333333333336</v>
      </c>
      <c r="AE57" s="10">
        <f>IFERROR(MAX($Z57-积分赛!$C$7,0)*INDEX($U$7:$U$14,MATCH(AE$10,$T$7:$T$14,0))/30,0)</f>
        <v>566666.66666666663</v>
      </c>
      <c r="AF57" s="10">
        <f>MAX($Z57-积分赛!$C$7,0)*(IFERROR(INDEX($W$7:$W$14,MATCH(AF$10,$T$7:$T$14,0)),0)*$T$20+IFERROR(INDEX($X$7:$X$14,MATCH(AF$10,$T$7:$T$14,0)),0)*$T$21)/30</f>
        <v>0</v>
      </c>
      <c r="AG57" s="10">
        <f>MAX($Z57-积分赛!$C$7,0)*(IFERROR(INDEX($W$7:$W$14,MATCH(AG$10,$T$7:$T$14,0)),0)*$T$20+IFERROR(INDEX($X$7:$X$14,MATCH(AG$10,$T$7:$T$14,0)),0)*$T$21)/30</f>
        <v>0</v>
      </c>
      <c r="AH57" s="10">
        <f>MAX($Z57-积分赛!$C$7,0)*(IFERROR(INDEX($W$7:$W$14,MATCH(AH$10,$T$7:$T$14,0)),0)*$T$20+IFERROR(INDEX($X$7:$X$14,MATCH(AH$10,$T$7:$T$14,0)),0)*$T$21)/30</f>
        <v>0</v>
      </c>
      <c r="AI57" s="10">
        <f>MAX($Z57-积分赛!$C$7,0)*(IFERROR(INDEX($W$7:$W$14,MATCH(AI$10,$T$7:$T$14,0)),0)*$T$20+IFERROR(INDEX($X$7:$X$14,MATCH(AI$10,$T$7:$T$14,0)),0)*$T$21)/30</f>
        <v>1731.1666666666667</v>
      </c>
      <c r="AJ57" s="10">
        <f>MAX($Z57-积分赛!$C$7,0)*(IFERROR(INDEX($W$7:$W$14,MATCH(AJ$10,$T$7:$T$14,0)),0)*$T$20+IFERROR(INDEX($X$7:$X$14,MATCH(AJ$10,$T$7:$T$14,0)),0)*$T$21)/30</f>
        <v>10387</v>
      </c>
      <c r="AL57" s="10">
        <v>47</v>
      </c>
      <c r="AM57" s="10">
        <f>IFERROR(MAX(节奏总纲!D50-积分赛!$C$7,0)*INDEX($U$7:$U$14,MATCH(AA$10,$T$7:$T$14,0))/30,0)</f>
        <v>0</v>
      </c>
      <c r="AN57" s="10">
        <f>IFERROR(MAX(节奏总纲!E50-积分赛!$C$7,0)*INDEX($U$7:$U$14,MATCH(AB$10,$T$7:$T$14,0))/30,0)</f>
        <v>0</v>
      </c>
      <c r="AO57" s="10">
        <f>IFERROR(MAX(节奏总纲!F50-积分赛!$C$7,0)*INDEX($U$7:$U$14,MATCH(AC$10,$T$7:$T$14,0))/30,0)</f>
        <v>0</v>
      </c>
      <c r="AP57" s="10">
        <f>IFERROR(MAX(节奏总纲!G50-积分赛!$C$7,0)*INDEX($U$7:$U$14,MATCH(AD$10,$T$7:$T$14,0))/30,0)</f>
        <v>0</v>
      </c>
      <c r="AQ57" s="10">
        <f>IFERROR(MAX(节奏总纲!H50-积分赛!$C$7,0)*INDEX($U$7:$U$14,MATCH(AE$10,$T$7:$T$14,0))/30,0)</f>
        <v>0</v>
      </c>
      <c r="AR57" s="10">
        <f>MAX(节奏总纲!D50-积分赛!$C$7,0)*(IFERROR(INDEX($W$7:$W$14,MATCH(AF$10,$T$7:$T$14,0)),0)*$T$20+IFERROR(INDEX($X$7:$X$14,MATCH(AF$10,$T$7:$T$14,0)),0)*$T$21)/30</f>
        <v>0</v>
      </c>
      <c r="AS57" s="10">
        <f>MAX(节奏总纲!E50-积分赛!$C$7,0)*(IFERROR(INDEX($W$7:$W$14,MATCH(AG$10,$T$7:$T$14,0)),0)*$T$20+IFERROR(INDEX($X$7:$X$14,MATCH(AG$10,$T$7:$T$14,0)),0)*$T$21)/30</f>
        <v>0</v>
      </c>
      <c r="AT57" s="10">
        <f>MAX(节奏总纲!F50-积分赛!$C$7,0)*(IFERROR(INDEX($W$7:$W$14,MATCH(AH$10,$T$7:$T$14,0)),0)*$T$20+IFERROR(INDEX($X$7:$X$14,MATCH(AH$10,$T$7:$T$14,0)),0)*$T$21)/30</f>
        <v>0</v>
      </c>
      <c r="AU57" s="10">
        <f>MAX(节奏总纲!G50-积分赛!$C$7,0)*(IFERROR(INDEX($W$7:$W$14,MATCH(AI$10,$T$7:$T$14,0)),0)*$T$20+IFERROR(INDEX($X$7:$X$14,MATCH(AI$10,$T$7:$T$14,0)),0)*$T$21)/30</f>
        <v>0</v>
      </c>
      <c r="AV57" s="10">
        <f>MAX(节奏总纲!H50-积分赛!$C$7,0)*(IFERROR(INDEX($W$7:$W$14,MATCH(AJ$10,$T$7:$T$14,0)),0)*$T$20+IFERROR(INDEX($X$7:$X$14,MATCH(AJ$10,$T$7:$T$14,0)),0)*$T$21)/30</f>
        <v>0</v>
      </c>
      <c r="BI57" s="10">
        <v>47</v>
      </c>
      <c r="BJ57" s="10">
        <f>MAX($BI57-积分赛!$C$7,0)*$BC$10/30</f>
        <v>56666.666666666664</v>
      </c>
      <c r="BK57" s="10">
        <f>MAX($BI57-积分赛!$C$7,0)*$BC$10/30</f>
        <v>56666.666666666664</v>
      </c>
      <c r="BL57" s="10">
        <f>MAX($BI57-积分赛!$C$7,0)*$BC$10/30</f>
        <v>56666.666666666664</v>
      </c>
      <c r="BM57" s="10">
        <f>MAX($BI57-积分赛!$C$7,0)*$BC$10/30</f>
        <v>56666.666666666664</v>
      </c>
      <c r="BN57" s="10">
        <f>MAX($BI57-积分赛!$C$7,0)*$BC$10/30</f>
        <v>56666.666666666664</v>
      </c>
      <c r="BP57" s="10">
        <v>47</v>
      </c>
      <c r="BQ57" s="10">
        <f>MAX(节奏总纲!D50-积分赛!$C$7,0)*$BC$10/30</f>
        <v>0</v>
      </c>
      <c r="BR57" s="10">
        <f>MAX(节奏总纲!E50-积分赛!$C$7,0)*$BC$10/30</f>
        <v>0</v>
      </c>
      <c r="BS57" s="10">
        <f>MAX(节奏总纲!F50-积分赛!$C$7,0)*$BC$10/30</f>
        <v>0</v>
      </c>
      <c r="BT57" s="10">
        <f>MAX(节奏总纲!G50-积分赛!$C$7,0)*$BC$10/30</f>
        <v>0</v>
      </c>
      <c r="BU57" s="10">
        <f>MAX(节奏总纲!H50-积分赛!$C$7,0)*$BC$10/30</f>
        <v>0</v>
      </c>
    </row>
    <row r="58" spans="3:73" x14ac:dyDescent="0.15">
      <c r="C58" s="10"/>
      <c r="D58" s="10"/>
      <c r="E58" s="10"/>
      <c r="F58" s="10"/>
      <c r="G58" s="10"/>
      <c r="Z58" s="10">
        <v>48</v>
      </c>
      <c r="AA58" s="10">
        <f>IFERROR(MAX($Z58-积分赛!$C$7,0)*INDEX($U$7:$U$14,MATCH(AA$10,$T$7:$T$14,0))/30,0)</f>
        <v>0</v>
      </c>
      <c r="AB58" s="10">
        <f>IFERROR(MAX($Z58-积分赛!$C$7,0)*INDEX($U$7:$U$14,MATCH(AB$10,$T$7:$T$14,0))/30,0)</f>
        <v>0</v>
      </c>
      <c r="AC58" s="10">
        <f>IFERROR(MAX($Z58-积分赛!$C$7,0)*INDEX($U$7:$U$14,MATCH(AC$10,$T$7:$T$14,0))/30,0)</f>
        <v>0</v>
      </c>
      <c r="AD58" s="10">
        <f>IFERROR(MAX($Z58-积分赛!$C$7,0)*INDEX($U$7:$U$14,MATCH(AD$10,$T$7:$T$14,0))/30,0)</f>
        <v>48000</v>
      </c>
      <c r="AE58" s="10">
        <f>IFERROR(MAX($Z58-积分赛!$C$7,0)*INDEX($U$7:$U$14,MATCH(AE$10,$T$7:$T$14,0))/30,0)</f>
        <v>600000</v>
      </c>
      <c r="AF58" s="10">
        <f>MAX($Z58-积分赛!$C$7,0)*(IFERROR(INDEX($W$7:$W$14,MATCH(AF$10,$T$7:$T$14,0)),0)*$T$20+IFERROR(INDEX($X$7:$X$14,MATCH(AF$10,$T$7:$T$14,0)),0)*$T$21)/30</f>
        <v>0</v>
      </c>
      <c r="AG58" s="10">
        <f>MAX($Z58-积分赛!$C$7,0)*(IFERROR(INDEX($W$7:$W$14,MATCH(AG$10,$T$7:$T$14,0)),0)*$T$20+IFERROR(INDEX($X$7:$X$14,MATCH(AG$10,$T$7:$T$14,0)),0)*$T$21)/30</f>
        <v>0</v>
      </c>
      <c r="AH58" s="10">
        <f>MAX($Z58-积分赛!$C$7,0)*(IFERROR(INDEX($W$7:$W$14,MATCH(AH$10,$T$7:$T$14,0)),0)*$T$20+IFERROR(INDEX($X$7:$X$14,MATCH(AH$10,$T$7:$T$14,0)),0)*$T$21)/30</f>
        <v>0</v>
      </c>
      <c r="AI58" s="10">
        <f>MAX($Z58-积分赛!$C$7,0)*(IFERROR(INDEX($W$7:$W$14,MATCH(AI$10,$T$7:$T$14,0)),0)*$T$20+IFERROR(INDEX($X$7:$X$14,MATCH(AI$10,$T$7:$T$14,0)),0)*$T$21)/30</f>
        <v>1833</v>
      </c>
      <c r="AJ58" s="10">
        <f>MAX($Z58-积分赛!$C$7,0)*(IFERROR(INDEX($W$7:$W$14,MATCH(AJ$10,$T$7:$T$14,0)),0)*$T$20+IFERROR(INDEX($X$7:$X$14,MATCH(AJ$10,$T$7:$T$14,0)),0)*$T$21)/30</f>
        <v>10998</v>
      </c>
      <c r="AL58" s="10">
        <v>48</v>
      </c>
      <c r="AM58" s="10">
        <f>IFERROR(MAX(节奏总纲!D51-积分赛!$C$7,0)*INDEX($U$7:$U$14,MATCH(AA$10,$T$7:$T$14,0))/30,0)</f>
        <v>0</v>
      </c>
      <c r="AN58" s="10">
        <f>IFERROR(MAX(节奏总纲!E51-积分赛!$C$7,0)*INDEX($U$7:$U$14,MATCH(AB$10,$T$7:$T$14,0))/30,0)</f>
        <v>0</v>
      </c>
      <c r="AO58" s="10">
        <f>IFERROR(MAX(节奏总纲!F51-积分赛!$C$7,0)*INDEX($U$7:$U$14,MATCH(AC$10,$T$7:$T$14,0))/30,0)</f>
        <v>0</v>
      </c>
      <c r="AP58" s="10">
        <f>IFERROR(MAX(节奏总纲!G51-积分赛!$C$7,0)*INDEX($U$7:$U$14,MATCH(AD$10,$T$7:$T$14,0))/30,0)</f>
        <v>0</v>
      </c>
      <c r="AQ58" s="10">
        <f>IFERROR(MAX(节奏总纲!H51-积分赛!$C$7,0)*INDEX($U$7:$U$14,MATCH(AE$10,$T$7:$T$14,0))/30,0)</f>
        <v>0</v>
      </c>
      <c r="AR58" s="10">
        <f>MAX(节奏总纲!D51-积分赛!$C$7,0)*(IFERROR(INDEX($W$7:$W$14,MATCH(AF$10,$T$7:$T$14,0)),0)*$T$20+IFERROR(INDEX($X$7:$X$14,MATCH(AF$10,$T$7:$T$14,0)),0)*$T$21)/30</f>
        <v>0</v>
      </c>
      <c r="AS58" s="10">
        <f>MAX(节奏总纲!E51-积分赛!$C$7,0)*(IFERROR(INDEX($W$7:$W$14,MATCH(AG$10,$T$7:$T$14,0)),0)*$T$20+IFERROR(INDEX($X$7:$X$14,MATCH(AG$10,$T$7:$T$14,0)),0)*$T$21)/30</f>
        <v>0</v>
      </c>
      <c r="AT58" s="10">
        <f>MAX(节奏总纲!F51-积分赛!$C$7,0)*(IFERROR(INDEX($W$7:$W$14,MATCH(AH$10,$T$7:$T$14,0)),0)*$T$20+IFERROR(INDEX($X$7:$X$14,MATCH(AH$10,$T$7:$T$14,0)),0)*$T$21)/30</f>
        <v>0</v>
      </c>
      <c r="AU58" s="10">
        <f>MAX(节奏总纲!G51-积分赛!$C$7,0)*(IFERROR(INDEX($W$7:$W$14,MATCH(AI$10,$T$7:$T$14,0)),0)*$T$20+IFERROR(INDEX($X$7:$X$14,MATCH(AI$10,$T$7:$T$14,0)),0)*$T$21)/30</f>
        <v>0</v>
      </c>
      <c r="AV58" s="10">
        <f>MAX(节奏总纲!H51-积分赛!$C$7,0)*(IFERROR(INDEX($W$7:$W$14,MATCH(AJ$10,$T$7:$T$14,0)),0)*$T$20+IFERROR(INDEX($X$7:$X$14,MATCH(AJ$10,$T$7:$T$14,0)),0)*$T$21)/30</f>
        <v>0</v>
      </c>
      <c r="BI58" s="10">
        <v>48</v>
      </c>
      <c r="BJ58" s="10">
        <f>MAX($BI58-积分赛!$C$7,0)*$BC$10/30</f>
        <v>60000</v>
      </c>
      <c r="BK58" s="10">
        <f>MAX($BI58-积分赛!$C$7,0)*$BC$10/30</f>
        <v>60000</v>
      </c>
      <c r="BL58" s="10">
        <f>MAX($BI58-积分赛!$C$7,0)*$BC$10/30</f>
        <v>60000</v>
      </c>
      <c r="BM58" s="10">
        <f>MAX($BI58-积分赛!$C$7,0)*$BC$10/30</f>
        <v>60000</v>
      </c>
      <c r="BN58" s="10">
        <f>MAX($BI58-积分赛!$C$7,0)*$BC$10/30</f>
        <v>60000</v>
      </c>
      <c r="BP58" s="10">
        <v>48</v>
      </c>
      <c r="BQ58" s="10">
        <f>MAX(节奏总纲!D51-积分赛!$C$7,0)*$BC$10/30</f>
        <v>0</v>
      </c>
      <c r="BR58" s="10">
        <f>MAX(节奏总纲!E51-积分赛!$C$7,0)*$BC$10/30</f>
        <v>0</v>
      </c>
      <c r="BS58" s="10">
        <f>MAX(节奏总纲!F51-积分赛!$C$7,0)*$BC$10/30</f>
        <v>0</v>
      </c>
      <c r="BT58" s="10">
        <f>MAX(节奏总纲!G51-积分赛!$C$7,0)*$BC$10/30</f>
        <v>0</v>
      </c>
      <c r="BU58" s="10">
        <f>MAX(节奏总纲!H51-积分赛!$C$7,0)*$BC$10/30</f>
        <v>0</v>
      </c>
    </row>
    <row r="59" spans="3:73" x14ac:dyDescent="0.15">
      <c r="C59" s="10"/>
      <c r="D59" s="10"/>
      <c r="E59" s="10"/>
      <c r="F59" s="10"/>
      <c r="G59" s="10"/>
      <c r="Z59" s="10">
        <v>49</v>
      </c>
      <c r="AA59" s="10">
        <f>IFERROR(MAX($Z59-积分赛!$C$7,0)*INDEX($U$7:$U$14,MATCH(AA$10,$T$7:$T$14,0))/30,0)</f>
        <v>0</v>
      </c>
      <c r="AB59" s="10">
        <f>IFERROR(MAX($Z59-积分赛!$C$7,0)*INDEX($U$7:$U$14,MATCH(AB$10,$T$7:$T$14,0))/30,0)</f>
        <v>0</v>
      </c>
      <c r="AC59" s="10">
        <f>IFERROR(MAX($Z59-积分赛!$C$7,0)*INDEX($U$7:$U$14,MATCH(AC$10,$T$7:$T$14,0))/30,0)</f>
        <v>0</v>
      </c>
      <c r="AD59" s="10">
        <f>IFERROR(MAX($Z59-积分赛!$C$7,0)*INDEX($U$7:$U$14,MATCH(AD$10,$T$7:$T$14,0))/30,0)</f>
        <v>50666.666666666664</v>
      </c>
      <c r="AE59" s="10">
        <f>IFERROR(MAX($Z59-积分赛!$C$7,0)*INDEX($U$7:$U$14,MATCH(AE$10,$T$7:$T$14,0))/30,0)</f>
        <v>633333.33333333337</v>
      </c>
      <c r="AF59" s="10">
        <f>MAX($Z59-积分赛!$C$7,0)*(IFERROR(INDEX($W$7:$W$14,MATCH(AF$10,$T$7:$T$14,0)),0)*$T$20+IFERROR(INDEX($X$7:$X$14,MATCH(AF$10,$T$7:$T$14,0)),0)*$T$21)/30</f>
        <v>0</v>
      </c>
      <c r="AG59" s="10">
        <f>MAX($Z59-积分赛!$C$7,0)*(IFERROR(INDEX($W$7:$W$14,MATCH(AG$10,$T$7:$T$14,0)),0)*$T$20+IFERROR(INDEX($X$7:$X$14,MATCH(AG$10,$T$7:$T$14,0)),0)*$T$21)/30</f>
        <v>0</v>
      </c>
      <c r="AH59" s="10">
        <f>MAX($Z59-积分赛!$C$7,0)*(IFERROR(INDEX($W$7:$W$14,MATCH(AH$10,$T$7:$T$14,0)),0)*$T$20+IFERROR(INDEX($X$7:$X$14,MATCH(AH$10,$T$7:$T$14,0)),0)*$T$21)/30</f>
        <v>0</v>
      </c>
      <c r="AI59" s="10">
        <f>MAX($Z59-积分赛!$C$7,0)*(IFERROR(INDEX($W$7:$W$14,MATCH(AI$10,$T$7:$T$14,0)),0)*$T$20+IFERROR(INDEX($X$7:$X$14,MATCH(AI$10,$T$7:$T$14,0)),0)*$T$21)/30</f>
        <v>1934.8333333333333</v>
      </c>
      <c r="AJ59" s="10">
        <f>MAX($Z59-积分赛!$C$7,0)*(IFERROR(INDEX($W$7:$W$14,MATCH(AJ$10,$T$7:$T$14,0)),0)*$T$20+IFERROR(INDEX($X$7:$X$14,MATCH(AJ$10,$T$7:$T$14,0)),0)*$T$21)/30</f>
        <v>11609</v>
      </c>
      <c r="AL59" s="10">
        <v>49</v>
      </c>
      <c r="AM59" s="10">
        <f>IFERROR(MAX(节奏总纲!D52-积分赛!$C$7,0)*INDEX($U$7:$U$14,MATCH(AA$10,$T$7:$T$14,0))/30,0)</f>
        <v>0</v>
      </c>
      <c r="AN59" s="10">
        <f>IFERROR(MAX(节奏总纲!E52-积分赛!$C$7,0)*INDEX($U$7:$U$14,MATCH(AB$10,$T$7:$T$14,0))/30,0)</f>
        <v>0</v>
      </c>
      <c r="AO59" s="10">
        <f>IFERROR(MAX(节奏总纲!F52-积分赛!$C$7,0)*INDEX($U$7:$U$14,MATCH(AC$10,$T$7:$T$14,0))/30,0)</f>
        <v>0</v>
      </c>
      <c r="AP59" s="10">
        <f>IFERROR(MAX(节奏总纲!G52-积分赛!$C$7,0)*INDEX($U$7:$U$14,MATCH(AD$10,$T$7:$T$14,0))/30,0)</f>
        <v>0</v>
      </c>
      <c r="AQ59" s="10">
        <f>IFERROR(MAX(节奏总纲!H52-积分赛!$C$7,0)*INDEX($U$7:$U$14,MATCH(AE$10,$T$7:$T$14,0))/30,0)</f>
        <v>0</v>
      </c>
      <c r="AR59" s="10">
        <f>MAX(节奏总纲!D52-积分赛!$C$7,0)*(IFERROR(INDEX($W$7:$W$14,MATCH(AF$10,$T$7:$T$14,0)),0)*$T$20+IFERROR(INDEX($X$7:$X$14,MATCH(AF$10,$T$7:$T$14,0)),0)*$T$21)/30</f>
        <v>0</v>
      </c>
      <c r="AS59" s="10">
        <f>MAX(节奏总纲!E52-积分赛!$C$7,0)*(IFERROR(INDEX($W$7:$W$14,MATCH(AG$10,$T$7:$T$14,0)),0)*$T$20+IFERROR(INDEX($X$7:$X$14,MATCH(AG$10,$T$7:$T$14,0)),0)*$T$21)/30</f>
        <v>0</v>
      </c>
      <c r="AT59" s="10">
        <f>MAX(节奏总纲!F52-积分赛!$C$7,0)*(IFERROR(INDEX($W$7:$W$14,MATCH(AH$10,$T$7:$T$14,0)),0)*$T$20+IFERROR(INDEX($X$7:$X$14,MATCH(AH$10,$T$7:$T$14,0)),0)*$T$21)/30</f>
        <v>0</v>
      </c>
      <c r="AU59" s="10">
        <f>MAX(节奏总纲!G52-积分赛!$C$7,0)*(IFERROR(INDEX($W$7:$W$14,MATCH(AI$10,$T$7:$T$14,0)),0)*$T$20+IFERROR(INDEX($X$7:$X$14,MATCH(AI$10,$T$7:$T$14,0)),0)*$T$21)/30</f>
        <v>0</v>
      </c>
      <c r="AV59" s="10">
        <f>MAX(节奏总纲!H52-积分赛!$C$7,0)*(IFERROR(INDEX($W$7:$W$14,MATCH(AJ$10,$T$7:$T$14,0)),0)*$T$20+IFERROR(INDEX($X$7:$X$14,MATCH(AJ$10,$T$7:$T$14,0)),0)*$T$21)/30</f>
        <v>0</v>
      </c>
      <c r="BI59" s="10">
        <v>49</v>
      </c>
      <c r="BJ59" s="10">
        <f>MAX($BI59-积分赛!$C$7,0)*$BC$10/30</f>
        <v>63333.333333333336</v>
      </c>
      <c r="BK59" s="10">
        <f>MAX($BI59-积分赛!$C$7,0)*$BC$10/30</f>
        <v>63333.333333333336</v>
      </c>
      <c r="BL59" s="10">
        <f>MAX($BI59-积分赛!$C$7,0)*$BC$10/30</f>
        <v>63333.333333333336</v>
      </c>
      <c r="BM59" s="10">
        <f>MAX($BI59-积分赛!$C$7,0)*$BC$10/30</f>
        <v>63333.333333333336</v>
      </c>
      <c r="BN59" s="10">
        <f>MAX($BI59-积分赛!$C$7,0)*$BC$10/30</f>
        <v>63333.333333333336</v>
      </c>
      <c r="BP59" s="10">
        <v>49</v>
      </c>
      <c r="BQ59" s="10">
        <f>MAX(节奏总纲!D52-积分赛!$C$7,0)*$BC$10/30</f>
        <v>0</v>
      </c>
      <c r="BR59" s="10">
        <f>MAX(节奏总纲!E52-积分赛!$C$7,0)*$BC$10/30</f>
        <v>0</v>
      </c>
      <c r="BS59" s="10">
        <f>MAX(节奏总纲!F52-积分赛!$C$7,0)*$BC$10/30</f>
        <v>0</v>
      </c>
      <c r="BT59" s="10">
        <f>MAX(节奏总纲!G52-积分赛!$C$7,0)*$BC$10/30</f>
        <v>0</v>
      </c>
      <c r="BU59" s="10">
        <f>MAX(节奏总纲!H52-积分赛!$C$7,0)*$BC$10/30</f>
        <v>0</v>
      </c>
    </row>
    <row r="60" spans="3:73" x14ac:dyDescent="0.15">
      <c r="C60" s="10"/>
      <c r="D60" s="10"/>
      <c r="E60" s="10"/>
      <c r="F60" s="10"/>
      <c r="G60" s="10"/>
      <c r="Z60" s="10">
        <v>50</v>
      </c>
      <c r="AA60" s="10">
        <f>IFERROR(MAX($Z60-积分赛!$C$7,0)*INDEX($U$7:$U$14,MATCH(AA$10,$T$7:$T$14,0))/30,0)</f>
        <v>0</v>
      </c>
      <c r="AB60" s="10">
        <f>IFERROR(MAX($Z60-积分赛!$C$7,0)*INDEX($U$7:$U$14,MATCH(AB$10,$T$7:$T$14,0))/30,0)</f>
        <v>0</v>
      </c>
      <c r="AC60" s="10">
        <f>IFERROR(MAX($Z60-积分赛!$C$7,0)*INDEX($U$7:$U$14,MATCH(AC$10,$T$7:$T$14,0))/30,0)</f>
        <v>0</v>
      </c>
      <c r="AD60" s="10">
        <f>IFERROR(MAX($Z60-积分赛!$C$7,0)*INDEX($U$7:$U$14,MATCH(AD$10,$T$7:$T$14,0))/30,0)</f>
        <v>53333.333333333336</v>
      </c>
      <c r="AE60" s="10">
        <f>IFERROR(MAX($Z60-积分赛!$C$7,0)*INDEX($U$7:$U$14,MATCH(AE$10,$T$7:$T$14,0))/30,0)</f>
        <v>666666.66666666663</v>
      </c>
      <c r="AF60" s="10">
        <f>MAX($Z60-积分赛!$C$7,0)*(IFERROR(INDEX($W$7:$W$14,MATCH(AF$10,$T$7:$T$14,0)),0)*$T$20+IFERROR(INDEX($X$7:$X$14,MATCH(AF$10,$T$7:$T$14,0)),0)*$T$21)/30</f>
        <v>0</v>
      </c>
      <c r="AG60" s="10">
        <f>MAX($Z60-积分赛!$C$7,0)*(IFERROR(INDEX($W$7:$W$14,MATCH(AG$10,$T$7:$T$14,0)),0)*$T$20+IFERROR(INDEX($X$7:$X$14,MATCH(AG$10,$T$7:$T$14,0)),0)*$T$21)/30</f>
        <v>0</v>
      </c>
      <c r="AH60" s="10">
        <f>MAX($Z60-积分赛!$C$7,0)*(IFERROR(INDEX($W$7:$W$14,MATCH(AH$10,$T$7:$T$14,0)),0)*$T$20+IFERROR(INDEX($X$7:$X$14,MATCH(AH$10,$T$7:$T$14,0)),0)*$T$21)/30</f>
        <v>0</v>
      </c>
      <c r="AI60" s="10">
        <f>MAX($Z60-积分赛!$C$7,0)*(IFERROR(INDEX($W$7:$W$14,MATCH(AI$10,$T$7:$T$14,0)),0)*$T$20+IFERROR(INDEX($X$7:$X$14,MATCH(AI$10,$T$7:$T$14,0)),0)*$T$21)/30</f>
        <v>2036.6666666666667</v>
      </c>
      <c r="AJ60" s="10">
        <f>MAX($Z60-积分赛!$C$7,0)*(IFERROR(INDEX($W$7:$W$14,MATCH(AJ$10,$T$7:$T$14,0)),0)*$T$20+IFERROR(INDEX($X$7:$X$14,MATCH(AJ$10,$T$7:$T$14,0)),0)*$T$21)/30</f>
        <v>12220</v>
      </c>
      <c r="AL60" s="10">
        <v>50</v>
      </c>
      <c r="AM60" s="10">
        <f>IFERROR(MAX(节奏总纲!D53-积分赛!$C$7,0)*INDEX($U$7:$U$14,MATCH(AA$10,$T$7:$T$14,0))/30,0)</f>
        <v>0</v>
      </c>
      <c r="AN60" s="10">
        <f>IFERROR(MAX(节奏总纲!E53-积分赛!$C$7,0)*INDEX($U$7:$U$14,MATCH(AB$10,$T$7:$T$14,0))/30,0)</f>
        <v>0</v>
      </c>
      <c r="AO60" s="10">
        <f>IFERROR(MAX(节奏总纲!F53-积分赛!$C$7,0)*INDEX($U$7:$U$14,MATCH(AC$10,$T$7:$T$14,0))/30,0)</f>
        <v>0</v>
      </c>
      <c r="AP60" s="10">
        <f>IFERROR(MAX(节奏总纲!G53-积分赛!$C$7,0)*INDEX($U$7:$U$14,MATCH(AD$10,$T$7:$T$14,0))/30,0)</f>
        <v>0</v>
      </c>
      <c r="AQ60" s="10">
        <f>IFERROR(MAX(节奏总纲!H53-积分赛!$C$7,0)*INDEX($U$7:$U$14,MATCH(AE$10,$T$7:$T$14,0))/30,0)</f>
        <v>0</v>
      </c>
      <c r="AR60" s="10">
        <f>MAX(节奏总纲!D53-积分赛!$C$7,0)*(IFERROR(INDEX($W$7:$W$14,MATCH(AF$10,$T$7:$T$14,0)),0)*$T$20+IFERROR(INDEX($X$7:$X$14,MATCH(AF$10,$T$7:$T$14,0)),0)*$T$21)/30</f>
        <v>0</v>
      </c>
      <c r="AS60" s="10">
        <f>MAX(节奏总纲!E53-积分赛!$C$7,0)*(IFERROR(INDEX($W$7:$W$14,MATCH(AG$10,$T$7:$T$14,0)),0)*$T$20+IFERROR(INDEX($X$7:$X$14,MATCH(AG$10,$T$7:$T$14,0)),0)*$T$21)/30</f>
        <v>0</v>
      </c>
      <c r="AT60" s="10">
        <f>MAX(节奏总纲!F53-积分赛!$C$7,0)*(IFERROR(INDEX($W$7:$W$14,MATCH(AH$10,$T$7:$T$14,0)),0)*$T$20+IFERROR(INDEX($X$7:$X$14,MATCH(AH$10,$T$7:$T$14,0)),0)*$T$21)/30</f>
        <v>0</v>
      </c>
      <c r="AU60" s="10">
        <f>MAX(节奏总纲!G53-积分赛!$C$7,0)*(IFERROR(INDEX($W$7:$W$14,MATCH(AI$10,$T$7:$T$14,0)),0)*$T$20+IFERROR(INDEX($X$7:$X$14,MATCH(AI$10,$T$7:$T$14,0)),0)*$T$21)/30</f>
        <v>0</v>
      </c>
      <c r="AV60" s="10">
        <f>MAX(节奏总纲!H53-积分赛!$C$7,0)*(IFERROR(INDEX($W$7:$W$14,MATCH(AJ$10,$T$7:$T$14,0)),0)*$T$20+IFERROR(INDEX($X$7:$X$14,MATCH(AJ$10,$T$7:$T$14,0)),0)*$T$21)/30</f>
        <v>0</v>
      </c>
      <c r="BI60" s="10">
        <v>50</v>
      </c>
      <c r="BJ60" s="10">
        <f>MAX($BI60-积分赛!$C$7,0)*$BC$10/30</f>
        <v>66666.666666666672</v>
      </c>
      <c r="BK60" s="10">
        <f>MAX($BI60-积分赛!$C$7,0)*$BC$10/30</f>
        <v>66666.666666666672</v>
      </c>
      <c r="BL60" s="10">
        <f>MAX($BI60-积分赛!$C$7,0)*$BC$10/30</f>
        <v>66666.666666666672</v>
      </c>
      <c r="BM60" s="10">
        <f>MAX($BI60-积分赛!$C$7,0)*$BC$10/30</f>
        <v>66666.666666666672</v>
      </c>
      <c r="BN60" s="10">
        <f>MAX($BI60-积分赛!$C$7,0)*$BC$10/30</f>
        <v>66666.666666666672</v>
      </c>
      <c r="BP60" s="10">
        <v>50</v>
      </c>
      <c r="BQ60" s="10">
        <f>MAX(节奏总纲!D53-积分赛!$C$7,0)*$BC$10/30</f>
        <v>3333.3333333333335</v>
      </c>
      <c r="BR60" s="10">
        <f>MAX(节奏总纲!E53-积分赛!$C$7,0)*$BC$10/30</f>
        <v>0</v>
      </c>
      <c r="BS60" s="10">
        <f>MAX(节奏总纲!F53-积分赛!$C$7,0)*$BC$10/30</f>
        <v>0</v>
      </c>
      <c r="BT60" s="10">
        <f>MAX(节奏总纲!G53-积分赛!$C$7,0)*$BC$10/30</f>
        <v>0</v>
      </c>
      <c r="BU60" s="10">
        <f>MAX(节奏总纲!H53-积分赛!$C$7,0)*$BC$10/30</f>
        <v>0</v>
      </c>
    </row>
    <row r="61" spans="3:73" x14ac:dyDescent="0.15">
      <c r="Z61" s="10">
        <v>51</v>
      </c>
      <c r="AA61" s="10">
        <f>IFERROR(MAX($Z61-积分赛!$C$7,0)*INDEX($U$7:$U$14,MATCH(AA$10,$T$7:$T$14,0))/30,0)</f>
        <v>0</v>
      </c>
      <c r="AB61" s="10">
        <f>IFERROR(MAX($Z61-积分赛!$C$7,0)*INDEX($U$7:$U$14,MATCH(AB$10,$T$7:$T$14,0))/30,0)</f>
        <v>0</v>
      </c>
      <c r="AC61" s="10">
        <f>IFERROR(MAX($Z61-积分赛!$C$7,0)*INDEX($U$7:$U$14,MATCH(AC$10,$T$7:$T$14,0))/30,0)</f>
        <v>0</v>
      </c>
      <c r="AD61" s="10">
        <f>IFERROR(MAX($Z61-积分赛!$C$7,0)*INDEX($U$7:$U$14,MATCH(AD$10,$T$7:$T$14,0))/30,0)</f>
        <v>56000</v>
      </c>
      <c r="AE61" s="10">
        <f>IFERROR(MAX($Z61-积分赛!$C$7,0)*INDEX($U$7:$U$14,MATCH(AE$10,$T$7:$T$14,0))/30,0)</f>
        <v>700000</v>
      </c>
      <c r="AF61" s="10">
        <f>MAX($Z61-积分赛!$C$7,0)*(IFERROR(INDEX($W$7:$W$14,MATCH(AF$10,$T$7:$T$14,0)),0)*$T$20+IFERROR(INDEX($X$7:$X$14,MATCH(AF$10,$T$7:$T$14,0)),0)*$T$21)/30</f>
        <v>0</v>
      </c>
      <c r="AG61" s="10">
        <f>MAX($Z61-积分赛!$C$7,0)*(IFERROR(INDEX($W$7:$W$14,MATCH(AG$10,$T$7:$T$14,0)),0)*$T$20+IFERROR(INDEX($X$7:$X$14,MATCH(AG$10,$T$7:$T$14,0)),0)*$T$21)/30</f>
        <v>0</v>
      </c>
      <c r="AH61" s="10">
        <f>MAX($Z61-积分赛!$C$7,0)*(IFERROR(INDEX($W$7:$W$14,MATCH(AH$10,$T$7:$T$14,0)),0)*$T$20+IFERROR(INDEX($X$7:$X$14,MATCH(AH$10,$T$7:$T$14,0)),0)*$T$21)/30</f>
        <v>0</v>
      </c>
      <c r="AI61" s="10">
        <f>MAX($Z61-积分赛!$C$7,0)*(IFERROR(INDEX($W$7:$W$14,MATCH(AI$10,$T$7:$T$14,0)),0)*$T$20+IFERROR(INDEX($X$7:$X$14,MATCH(AI$10,$T$7:$T$14,0)),0)*$T$21)/30</f>
        <v>2138.5</v>
      </c>
      <c r="AJ61" s="10">
        <f>MAX($Z61-积分赛!$C$7,0)*(IFERROR(INDEX($W$7:$W$14,MATCH(AJ$10,$T$7:$T$14,0)),0)*$T$20+IFERROR(INDEX($X$7:$X$14,MATCH(AJ$10,$T$7:$T$14,0)),0)*$T$21)/30</f>
        <v>12831</v>
      </c>
      <c r="AL61" s="10">
        <v>51</v>
      </c>
      <c r="AM61" s="10">
        <f>IFERROR(MAX(节奏总纲!D54-积分赛!$C$7,0)*INDEX($U$7:$U$14,MATCH(AA$10,$T$7:$T$14,0))/30,0)</f>
        <v>0</v>
      </c>
      <c r="AN61" s="10">
        <f>IFERROR(MAX(节奏总纲!E54-积分赛!$C$7,0)*INDEX($U$7:$U$14,MATCH(AB$10,$T$7:$T$14,0))/30,0)</f>
        <v>0</v>
      </c>
      <c r="AO61" s="10">
        <f>IFERROR(MAX(节奏总纲!F54-积分赛!$C$7,0)*INDEX($U$7:$U$14,MATCH(AC$10,$T$7:$T$14,0))/30,0)</f>
        <v>0</v>
      </c>
      <c r="AP61" s="10">
        <f>IFERROR(MAX(节奏总纲!G54-积分赛!$C$7,0)*INDEX($U$7:$U$14,MATCH(AD$10,$T$7:$T$14,0))/30,0)</f>
        <v>0</v>
      </c>
      <c r="AQ61" s="10">
        <f>IFERROR(MAX(节奏总纲!H54-积分赛!$C$7,0)*INDEX($U$7:$U$14,MATCH(AE$10,$T$7:$T$14,0))/30,0)</f>
        <v>0</v>
      </c>
      <c r="AR61" s="10">
        <f>MAX(节奏总纲!D54-积分赛!$C$7,0)*(IFERROR(INDEX($W$7:$W$14,MATCH(AF$10,$T$7:$T$14,0)),0)*$T$20+IFERROR(INDEX($X$7:$X$14,MATCH(AF$10,$T$7:$T$14,0)),0)*$T$21)/30</f>
        <v>0</v>
      </c>
      <c r="AS61" s="10">
        <f>MAX(节奏总纲!E54-积分赛!$C$7,0)*(IFERROR(INDEX($W$7:$W$14,MATCH(AG$10,$T$7:$T$14,0)),0)*$T$20+IFERROR(INDEX($X$7:$X$14,MATCH(AG$10,$T$7:$T$14,0)),0)*$T$21)/30</f>
        <v>0</v>
      </c>
      <c r="AT61" s="10">
        <f>MAX(节奏总纲!F54-积分赛!$C$7,0)*(IFERROR(INDEX($W$7:$W$14,MATCH(AH$10,$T$7:$T$14,0)),0)*$T$20+IFERROR(INDEX($X$7:$X$14,MATCH(AH$10,$T$7:$T$14,0)),0)*$T$21)/30</f>
        <v>0</v>
      </c>
      <c r="AU61" s="10">
        <f>MAX(节奏总纲!G54-积分赛!$C$7,0)*(IFERROR(INDEX($W$7:$W$14,MATCH(AI$10,$T$7:$T$14,0)),0)*$T$20+IFERROR(INDEX($X$7:$X$14,MATCH(AI$10,$T$7:$T$14,0)),0)*$T$21)/30</f>
        <v>0</v>
      </c>
      <c r="AV61" s="10">
        <f>MAX(节奏总纲!H54-积分赛!$C$7,0)*(IFERROR(INDEX($W$7:$W$14,MATCH(AJ$10,$T$7:$T$14,0)),0)*$T$20+IFERROR(INDEX($X$7:$X$14,MATCH(AJ$10,$T$7:$T$14,0)),0)*$T$21)/30</f>
        <v>0</v>
      </c>
      <c r="BI61" s="10">
        <v>51</v>
      </c>
      <c r="BJ61" s="10">
        <f>MAX($BI61-积分赛!$C$7,0)*$BC$10/30</f>
        <v>70000</v>
      </c>
      <c r="BK61" s="10">
        <f>MAX($BI61-积分赛!$C$7,0)*$BC$10/30</f>
        <v>70000</v>
      </c>
      <c r="BL61" s="10">
        <f>MAX($BI61-积分赛!$C$7,0)*$BC$10/30</f>
        <v>70000</v>
      </c>
      <c r="BM61" s="10">
        <f>MAX($BI61-积分赛!$C$7,0)*$BC$10/30</f>
        <v>70000</v>
      </c>
      <c r="BN61" s="10">
        <f>MAX($BI61-积分赛!$C$7,0)*$BC$10/30</f>
        <v>70000</v>
      </c>
      <c r="BP61" s="10">
        <v>51</v>
      </c>
      <c r="BQ61" s="10">
        <f>MAX(节奏总纲!D54-积分赛!$C$7,0)*$BC$10/30</f>
        <v>10989.169337204552</v>
      </c>
      <c r="BR61" s="10">
        <f>MAX(节奏总纲!E54-积分赛!$C$7,0)*$BC$10/30</f>
        <v>0</v>
      </c>
      <c r="BS61" s="10">
        <f>MAX(节奏总纲!F54-积分赛!$C$7,0)*$BC$10/30</f>
        <v>0</v>
      </c>
      <c r="BT61" s="10">
        <f>MAX(节奏总纲!G54-积分赛!$C$7,0)*$BC$10/30</f>
        <v>0</v>
      </c>
      <c r="BU61" s="10">
        <f>MAX(节奏总纲!H54-积分赛!$C$7,0)*$BC$10/30</f>
        <v>0</v>
      </c>
    </row>
    <row r="62" spans="3:73" x14ac:dyDescent="0.15">
      <c r="Z62" s="10">
        <v>52</v>
      </c>
      <c r="AA62" s="10">
        <f>IFERROR(MAX($Z62-积分赛!$C$7,0)*INDEX($U$7:$U$14,MATCH(AA$10,$T$7:$T$14,0))/30,0)</f>
        <v>0</v>
      </c>
      <c r="AB62" s="10">
        <f>IFERROR(MAX($Z62-积分赛!$C$7,0)*INDEX($U$7:$U$14,MATCH(AB$10,$T$7:$T$14,0))/30,0)</f>
        <v>0</v>
      </c>
      <c r="AC62" s="10">
        <f>IFERROR(MAX($Z62-积分赛!$C$7,0)*INDEX($U$7:$U$14,MATCH(AC$10,$T$7:$T$14,0))/30,0)</f>
        <v>0</v>
      </c>
      <c r="AD62" s="10">
        <f>IFERROR(MAX($Z62-积分赛!$C$7,0)*INDEX($U$7:$U$14,MATCH(AD$10,$T$7:$T$14,0))/30,0)</f>
        <v>58666.666666666664</v>
      </c>
      <c r="AE62" s="10">
        <f>IFERROR(MAX($Z62-积分赛!$C$7,0)*INDEX($U$7:$U$14,MATCH(AE$10,$T$7:$T$14,0))/30,0)</f>
        <v>733333.33333333337</v>
      </c>
      <c r="AF62" s="10">
        <f>MAX($Z62-积分赛!$C$7,0)*(IFERROR(INDEX($W$7:$W$14,MATCH(AF$10,$T$7:$T$14,0)),0)*$T$20+IFERROR(INDEX($X$7:$X$14,MATCH(AF$10,$T$7:$T$14,0)),0)*$T$21)/30</f>
        <v>0</v>
      </c>
      <c r="AG62" s="10">
        <f>MAX($Z62-积分赛!$C$7,0)*(IFERROR(INDEX($W$7:$W$14,MATCH(AG$10,$T$7:$T$14,0)),0)*$T$20+IFERROR(INDEX($X$7:$X$14,MATCH(AG$10,$T$7:$T$14,0)),0)*$T$21)/30</f>
        <v>0</v>
      </c>
      <c r="AH62" s="10">
        <f>MAX($Z62-积分赛!$C$7,0)*(IFERROR(INDEX($W$7:$W$14,MATCH(AH$10,$T$7:$T$14,0)),0)*$T$20+IFERROR(INDEX($X$7:$X$14,MATCH(AH$10,$T$7:$T$14,0)),0)*$T$21)/30</f>
        <v>0</v>
      </c>
      <c r="AI62" s="10">
        <f>MAX($Z62-积分赛!$C$7,0)*(IFERROR(INDEX($W$7:$W$14,MATCH(AI$10,$T$7:$T$14,0)),0)*$T$20+IFERROR(INDEX($X$7:$X$14,MATCH(AI$10,$T$7:$T$14,0)),0)*$T$21)/30</f>
        <v>2240.3333333333335</v>
      </c>
      <c r="AJ62" s="10">
        <f>MAX($Z62-积分赛!$C$7,0)*(IFERROR(INDEX($W$7:$W$14,MATCH(AJ$10,$T$7:$T$14,0)),0)*$T$20+IFERROR(INDEX($X$7:$X$14,MATCH(AJ$10,$T$7:$T$14,0)),0)*$T$21)/30</f>
        <v>13442</v>
      </c>
      <c r="AL62" s="10">
        <v>52</v>
      </c>
      <c r="AM62" s="10">
        <f>IFERROR(MAX(节奏总纲!D55-积分赛!$C$7,0)*INDEX($U$7:$U$14,MATCH(AA$10,$T$7:$T$14,0))/30,0)</f>
        <v>0</v>
      </c>
      <c r="AN62" s="10">
        <f>IFERROR(MAX(节奏总纲!E55-积分赛!$C$7,0)*INDEX($U$7:$U$14,MATCH(AB$10,$T$7:$T$14,0))/30,0)</f>
        <v>0</v>
      </c>
      <c r="AO62" s="10">
        <f>IFERROR(MAX(节奏总纲!F55-积分赛!$C$7,0)*INDEX($U$7:$U$14,MATCH(AC$10,$T$7:$T$14,0))/30,0)</f>
        <v>0</v>
      </c>
      <c r="AP62" s="10">
        <f>IFERROR(MAX(节奏总纲!G55-积分赛!$C$7,0)*INDEX($U$7:$U$14,MATCH(AD$10,$T$7:$T$14,0))/30,0)</f>
        <v>0</v>
      </c>
      <c r="AQ62" s="10">
        <f>IFERROR(MAX(节奏总纲!H55-积分赛!$C$7,0)*INDEX($U$7:$U$14,MATCH(AE$10,$T$7:$T$14,0))/30,0)</f>
        <v>0</v>
      </c>
      <c r="AR62" s="10">
        <f>MAX(节奏总纲!D55-积分赛!$C$7,0)*(IFERROR(INDEX($W$7:$W$14,MATCH(AF$10,$T$7:$T$14,0)),0)*$T$20+IFERROR(INDEX($X$7:$X$14,MATCH(AF$10,$T$7:$T$14,0)),0)*$T$21)/30</f>
        <v>0</v>
      </c>
      <c r="AS62" s="10">
        <f>MAX(节奏总纲!E55-积分赛!$C$7,0)*(IFERROR(INDEX($W$7:$W$14,MATCH(AG$10,$T$7:$T$14,0)),0)*$T$20+IFERROR(INDEX($X$7:$X$14,MATCH(AG$10,$T$7:$T$14,0)),0)*$T$21)/30</f>
        <v>0</v>
      </c>
      <c r="AT62" s="10">
        <f>MAX(节奏总纲!F55-积分赛!$C$7,0)*(IFERROR(INDEX($W$7:$W$14,MATCH(AH$10,$T$7:$T$14,0)),0)*$T$20+IFERROR(INDEX($X$7:$X$14,MATCH(AH$10,$T$7:$T$14,0)),0)*$T$21)/30</f>
        <v>0</v>
      </c>
      <c r="AU62" s="10">
        <f>MAX(节奏总纲!G55-积分赛!$C$7,0)*(IFERROR(INDEX($W$7:$W$14,MATCH(AI$10,$T$7:$T$14,0)),0)*$T$20+IFERROR(INDEX($X$7:$X$14,MATCH(AI$10,$T$7:$T$14,0)),0)*$T$21)/30</f>
        <v>0</v>
      </c>
      <c r="AV62" s="10">
        <f>MAX(节奏总纲!H55-积分赛!$C$7,0)*(IFERROR(INDEX($W$7:$W$14,MATCH(AJ$10,$T$7:$T$14,0)),0)*$T$20+IFERROR(INDEX($X$7:$X$14,MATCH(AJ$10,$T$7:$T$14,0)),0)*$T$21)/30</f>
        <v>0</v>
      </c>
      <c r="BI62" s="10">
        <v>52</v>
      </c>
      <c r="BJ62" s="10">
        <f>MAX($BI62-积分赛!$C$7,0)*$BC$10/30</f>
        <v>73333.333333333328</v>
      </c>
      <c r="BK62" s="10">
        <f>MAX($BI62-积分赛!$C$7,0)*$BC$10/30</f>
        <v>73333.333333333328</v>
      </c>
      <c r="BL62" s="10">
        <f>MAX($BI62-积分赛!$C$7,0)*$BC$10/30</f>
        <v>73333.333333333328</v>
      </c>
      <c r="BM62" s="10">
        <f>MAX($BI62-积分赛!$C$7,0)*$BC$10/30</f>
        <v>73333.333333333328</v>
      </c>
      <c r="BN62" s="10">
        <f>MAX($BI62-积分赛!$C$7,0)*$BC$10/30</f>
        <v>73333.333333333328</v>
      </c>
      <c r="BP62" s="10">
        <v>52</v>
      </c>
      <c r="BQ62" s="10">
        <f>MAX(节奏总纲!D55-积分赛!$C$7,0)*$BC$10/30</f>
        <v>19194.491199683744</v>
      </c>
      <c r="BR62" s="10">
        <f>MAX(节奏总纲!E55-积分赛!$C$7,0)*$BC$10/30</f>
        <v>3603.8517507651118</v>
      </c>
      <c r="BS62" s="10">
        <f>MAX(节奏总纲!F55-积分赛!$C$7,0)*$BC$10/30</f>
        <v>0</v>
      </c>
      <c r="BT62" s="10">
        <f>MAX(节奏总纲!G55-积分赛!$C$7,0)*$BC$10/30</f>
        <v>0</v>
      </c>
      <c r="BU62" s="10">
        <f>MAX(节奏总纲!H55-积分赛!$C$7,0)*$BC$10/30</f>
        <v>0</v>
      </c>
    </row>
    <row r="63" spans="3:73" x14ac:dyDescent="0.15">
      <c r="Z63" s="10">
        <v>53</v>
      </c>
      <c r="AA63" s="10">
        <f>IFERROR(MAX($Z63-积分赛!$C$7,0)*INDEX($U$7:$U$14,MATCH(AA$10,$T$7:$T$14,0))/30,0)</f>
        <v>0</v>
      </c>
      <c r="AB63" s="10">
        <f>IFERROR(MAX($Z63-积分赛!$C$7,0)*INDEX($U$7:$U$14,MATCH(AB$10,$T$7:$T$14,0))/30,0)</f>
        <v>0</v>
      </c>
      <c r="AC63" s="10">
        <f>IFERROR(MAX($Z63-积分赛!$C$7,0)*INDEX($U$7:$U$14,MATCH(AC$10,$T$7:$T$14,0))/30,0)</f>
        <v>0</v>
      </c>
      <c r="AD63" s="10">
        <f>IFERROR(MAX($Z63-积分赛!$C$7,0)*INDEX($U$7:$U$14,MATCH(AD$10,$T$7:$T$14,0))/30,0)</f>
        <v>61333.333333333336</v>
      </c>
      <c r="AE63" s="10">
        <f>IFERROR(MAX($Z63-积分赛!$C$7,0)*INDEX($U$7:$U$14,MATCH(AE$10,$T$7:$T$14,0))/30,0)</f>
        <v>766666.66666666663</v>
      </c>
      <c r="AF63" s="10">
        <f>MAX($Z63-积分赛!$C$7,0)*(IFERROR(INDEX($W$7:$W$14,MATCH(AF$10,$T$7:$T$14,0)),0)*$T$20+IFERROR(INDEX($X$7:$X$14,MATCH(AF$10,$T$7:$T$14,0)),0)*$T$21)/30</f>
        <v>0</v>
      </c>
      <c r="AG63" s="10">
        <f>MAX($Z63-积分赛!$C$7,0)*(IFERROR(INDEX($W$7:$W$14,MATCH(AG$10,$T$7:$T$14,0)),0)*$T$20+IFERROR(INDEX($X$7:$X$14,MATCH(AG$10,$T$7:$T$14,0)),0)*$T$21)/30</f>
        <v>0</v>
      </c>
      <c r="AH63" s="10">
        <f>MAX($Z63-积分赛!$C$7,0)*(IFERROR(INDEX($W$7:$W$14,MATCH(AH$10,$T$7:$T$14,0)),0)*$T$20+IFERROR(INDEX($X$7:$X$14,MATCH(AH$10,$T$7:$T$14,0)),0)*$T$21)/30</f>
        <v>0</v>
      </c>
      <c r="AI63" s="10">
        <f>MAX($Z63-积分赛!$C$7,0)*(IFERROR(INDEX($W$7:$W$14,MATCH(AI$10,$T$7:$T$14,0)),0)*$T$20+IFERROR(INDEX($X$7:$X$14,MATCH(AI$10,$T$7:$T$14,0)),0)*$T$21)/30</f>
        <v>2342.1666666666665</v>
      </c>
      <c r="AJ63" s="10">
        <f>MAX($Z63-积分赛!$C$7,0)*(IFERROR(INDEX($W$7:$W$14,MATCH(AJ$10,$T$7:$T$14,0)),0)*$T$20+IFERROR(INDEX($X$7:$X$14,MATCH(AJ$10,$T$7:$T$14,0)),0)*$T$21)/30</f>
        <v>14053</v>
      </c>
      <c r="AL63" s="10">
        <v>53</v>
      </c>
      <c r="AM63" s="10">
        <f>IFERROR(MAX(节奏总纲!D56-积分赛!$C$7,0)*INDEX($U$7:$U$14,MATCH(AA$10,$T$7:$T$14,0))/30,0)</f>
        <v>0</v>
      </c>
      <c r="AN63" s="10">
        <f>IFERROR(MAX(节奏总纲!E56-积分赛!$C$7,0)*INDEX($U$7:$U$14,MATCH(AB$10,$T$7:$T$14,0))/30,0)</f>
        <v>0</v>
      </c>
      <c r="AO63" s="10">
        <f>IFERROR(MAX(节奏总纲!F56-积分赛!$C$7,0)*INDEX($U$7:$U$14,MATCH(AC$10,$T$7:$T$14,0))/30,0)</f>
        <v>0</v>
      </c>
      <c r="AP63" s="10">
        <f>IFERROR(MAX(节奏总纲!G56-积分赛!$C$7,0)*INDEX($U$7:$U$14,MATCH(AD$10,$T$7:$T$14,0))/30,0)</f>
        <v>0</v>
      </c>
      <c r="AQ63" s="10">
        <f>IFERROR(MAX(节奏总纲!H56-积分赛!$C$7,0)*INDEX($U$7:$U$14,MATCH(AE$10,$T$7:$T$14,0))/30,0)</f>
        <v>0</v>
      </c>
      <c r="AR63" s="10">
        <f>MAX(节奏总纲!D56-积分赛!$C$7,0)*(IFERROR(INDEX($W$7:$W$14,MATCH(AF$10,$T$7:$T$14,0)),0)*$T$20+IFERROR(INDEX($X$7:$X$14,MATCH(AF$10,$T$7:$T$14,0)),0)*$T$21)/30</f>
        <v>0</v>
      </c>
      <c r="AS63" s="10">
        <f>MAX(节奏总纲!E56-积分赛!$C$7,0)*(IFERROR(INDEX($W$7:$W$14,MATCH(AG$10,$T$7:$T$14,0)),0)*$T$20+IFERROR(INDEX($X$7:$X$14,MATCH(AG$10,$T$7:$T$14,0)),0)*$T$21)/30</f>
        <v>0</v>
      </c>
      <c r="AT63" s="10">
        <f>MAX(节奏总纲!F56-积分赛!$C$7,0)*(IFERROR(INDEX($W$7:$W$14,MATCH(AH$10,$T$7:$T$14,0)),0)*$T$20+IFERROR(INDEX($X$7:$X$14,MATCH(AH$10,$T$7:$T$14,0)),0)*$T$21)/30</f>
        <v>0</v>
      </c>
      <c r="AU63" s="10">
        <f>MAX(节奏总纲!G56-积分赛!$C$7,0)*(IFERROR(INDEX($W$7:$W$14,MATCH(AI$10,$T$7:$T$14,0)),0)*$T$20+IFERROR(INDEX($X$7:$X$14,MATCH(AI$10,$T$7:$T$14,0)),0)*$T$21)/30</f>
        <v>0</v>
      </c>
      <c r="AV63" s="10">
        <f>MAX(节奏总纲!H56-积分赛!$C$7,0)*(IFERROR(INDEX($W$7:$W$14,MATCH(AJ$10,$T$7:$T$14,0)),0)*$T$20+IFERROR(INDEX($X$7:$X$14,MATCH(AJ$10,$T$7:$T$14,0)),0)*$T$21)/30</f>
        <v>0</v>
      </c>
      <c r="BI63" s="10">
        <v>53</v>
      </c>
      <c r="BJ63" s="10">
        <f>MAX($BI63-积分赛!$C$7,0)*$BC$10/30</f>
        <v>76666.666666666672</v>
      </c>
      <c r="BK63" s="10">
        <f>MAX($BI63-积分赛!$C$7,0)*$BC$10/30</f>
        <v>76666.666666666672</v>
      </c>
      <c r="BL63" s="10">
        <f>MAX($BI63-积分赛!$C$7,0)*$BC$10/30</f>
        <v>76666.666666666672</v>
      </c>
      <c r="BM63" s="10">
        <f>MAX($BI63-积分赛!$C$7,0)*$BC$10/30</f>
        <v>76666.666666666672</v>
      </c>
      <c r="BN63" s="10">
        <f>MAX($BI63-积分赛!$C$7,0)*$BC$10/30</f>
        <v>76666.666666666672</v>
      </c>
      <c r="BP63" s="10">
        <v>53</v>
      </c>
      <c r="BQ63" s="10">
        <f>MAX(节奏总纲!D56-积分赛!$C$7,0)*$BC$10/30</f>
        <v>27988.737423457693</v>
      </c>
      <c r="BR63" s="10">
        <f>MAX(节奏总纲!E56-积分赛!$C$7,0)*$BC$10/30</f>
        <v>11426.994800862265</v>
      </c>
      <c r="BS63" s="10">
        <f>MAX(节奏总纲!F56-积分赛!$C$7,0)*$BC$10/30</f>
        <v>0</v>
      </c>
      <c r="BT63" s="10">
        <f>MAX(节奏总纲!G56-积分赛!$C$7,0)*$BC$10/30</f>
        <v>0</v>
      </c>
      <c r="BU63" s="10">
        <f>MAX(节奏总纲!H56-积分赛!$C$7,0)*$BC$10/30</f>
        <v>0</v>
      </c>
    </row>
    <row r="64" spans="3:73" x14ac:dyDescent="0.15">
      <c r="Z64" s="10">
        <v>54</v>
      </c>
      <c r="AA64" s="10">
        <f>IFERROR(MAX($Z64-积分赛!$C$7,0)*INDEX($U$7:$U$14,MATCH(AA$10,$T$7:$T$14,0))/30,0)</f>
        <v>0</v>
      </c>
      <c r="AB64" s="10">
        <f>IFERROR(MAX($Z64-积分赛!$C$7,0)*INDEX($U$7:$U$14,MATCH(AB$10,$T$7:$T$14,0))/30,0)</f>
        <v>0</v>
      </c>
      <c r="AC64" s="10">
        <f>IFERROR(MAX($Z64-积分赛!$C$7,0)*INDEX($U$7:$U$14,MATCH(AC$10,$T$7:$T$14,0))/30,0)</f>
        <v>0</v>
      </c>
      <c r="AD64" s="10">
        <f>IFERROR(MAX($Z64-积分赛!$C$7,0)*INDEX($U$7:$U$14,MATCH(AD$10,$T$7:$T$14,0))/30,0)</f>
        <v>64000</v>
      </c>
      <c r="AE64" s="10">
        <f>IFERROR(MAX($Z64-积分赛!$C$7,0)*INDEX($U$7:$U$14,MATCH(AE$10,$T$7:$T$14,0))/30,0)</f>
        <v>800000</v>
      </c>
      <c r="AF64" s="10">
        <f>MAX($Z64-积分赛!$C$7,0)*(IFERROR(INDEX($W$7:$W$14,MATCH(AF$10,$T$7:$T$14,0)),0)*$T$20+IFERROR(INDEX($X$7:$X$14,MATCH(AF$10,$T$7:$T$14,0)),0)*$T$21)/30</f>
        <v>0</v>
      </c>
      <c r="AG64" s="10">
        <f>MAX($Z64-积分赛!$C$7,0)*(IFERROR(INDEX($W$7:$W$14,MATCH(AG$10,$T$7:$T$14,0)),0)*$T$20+IFERROR(INDEX($X$7:$X$14,MATCH(AG$10,$T$7:$T$14,0)),0)*$T$21)/30</f>
        <v>0</v>
      </c>
      <c r="AH64" s="10">
        <f>MAX($Z64-积分赛!$C$7,0)*(IFERROR(INDEX($W$7:$W$14,MATCH(AH$10,$T$7:$T$14,0)),0)*$T$20+IFERROR(INDEX($X$7:$X$14,MATCH(AH$10,$T$7:$T$14,0)),0)*$T$21)/30</f>
        <v>0</v>
      </c>
      <c r="AI64" s="10">
        <f>MAX($Z64-积分赛!$C$7,0)*(IFERROR(INDEX($W$7:$W$14,MATCH(AI$10,$T$7:$T$14,0)),0)*$T$20+IFERROR(INDEX($X$7:$X$14,MATCH(AI$10,$T$7:$T$14,0)),0)*$T$21)/30</f>
        <v>2444</v>
      </c>
      <c r="AJ64" s="10">
        <f>MAX($Z64-积分赛!$C$7,0)*(IFERROR(INDEX($W$7:$W$14,MATCH(AJ$10,$T$7:$T$14,0)),0)*$T$20+IFERROR(INDEX($X$7:$X$14,MATCH(AJ$10,$T$7:$T$14,0)),0)*$T$21)/30</f>
        <v>14664</v>
      </c>
      <c r="AL64" s="10">
        <v>54</v>
      </c>
      <c r="AM64" s="10">
        <f>IFERROR(MAX(节奏总纲!D57-积分赛!$C$7,0)*INDEX($U$7:$U$14,MATCH(AA$10,$T$7:$T$14,0))/30,0)</f>
        <v>0</v>
      </c>
      <c r="AN64" s="10">
        <f>IFERROR(MAX(节奏总纲!E57-积分赛!$C$7,0)*INDEX($U$7:$U$14,MATCH(AB$10,$T$7:$T$14,0))/30,0)</f>
        <v>0</v>
      </c>
      <c r="AO64" s="10">
        <f>IFERROR(MAX(节奏总纲!F57-积分赛!$C$7,0)*INDEX($U$7:$U$14,MATCH(AC$10,$T$7:$T$14,0))/30,0)</f>
        <v>0</v>
      </c>
      <c r="AP64" s="10">
        <f>IFERROR(MAX(节奏总纲!G57-积分赛!$C$7,0)*INDEX($U$7:$U$14,MATCH(AD$10,$T$7:$T$14,0))/30,0)</f>
        <v>0</v>
      </c>
      <c r="AQ64" s="10">
        <f>IFERROR(MAX(节奏总纲!H57-积分赛!$C$7,0)*INDEX($U$7:$U$14,MATCH(AE$10,$T$7:$T$14,0))/30,0)</f>
        <v>0</v>
      </c>
      <c r="AR64" s="10">
        <f>MAX(节奏总纲!D57-积分赛!$C$7,0)*(IFERROR(INDEX($W$7:$W$14,MATCH(AF$10,$T$7:$T$14,0)),0)*$T$20+IFERROR(INDEX($X$7:$X$14,MATCH(AF$10,$T$7:$T$14,0)),0)*$T$21)/30</f>
        <v>0</v>
      </c>
      <c r="AS64" s="10">
        <f>MAX(节奏总纲!E57-积分赛!$C$7,0)*(IFERROR(INDEX($W$7:$W$14,MATCH(AG$10,$T$7:$T$14,0)),0)*$T$20+IFERROR(INDEX($X$7:$X$14,MATCH(AG$10,$T$7:$T$14,0)),0)*$T$21)/30</f>
        <v>0</v>
      </c>
      <c r="AT64" s="10">
        <f>MAX(节奏总纲!F57-积分赛!$C$7,0)*(IFERROR(INDEX($W$7:$W$14,MATCH(AH$10,$T$7:$T$14,0)),0)*$T$20+IFERROR(INDEX($X$7:$X$14,MATCH(AH$10,$T$7:$T$14,0)),0)*$T$21)/30</f>
        <v>0</v>
      </c>
      <c r="AU64" s="10">
        <f>MAX(节奏总纲!G57-积分赛!$C$7,0)*(IFERROR(INDEX($W$7:$W$14,MATCH(AI$10,$T$7:$T$14,0)),0)*$T$20+IFERROR(INDEX($X$7:$X$14,MATCH(AI$10,$T$7:$T$14,0)),0)*$T$21)/30</f>
        <v>0</v>
      </c>
      <c r="AV64" s="10">
        <f>MAX(节奏总纲!H57-积分赛!$C$7,0)*(IFERROR(INDEX($W$7:$W$14,MATCH(AJ$10,$T$7:$T$14,0)),0)*$T$20+IFERROR(INDEX($X$7:$X$14,MATCH(AJ$10,$T$7:$T$14,0)),0)*$T$21)/30</f>
        <v>0</v>
      </c>
      <c r="BI64" s="10">
        <v>54</v>
      </c>
      <c r="BJ64" s="10">
        <f>MAX($BI64-积分赛!$C$7,0)*$BC$10/30</f>
        <v>80000</v>
      </c>
      <c r="BK64" s="10">
        <f>MAX($BI64-积分赛!$C$7,0)*$BC$10/30</f>
        <v>80000</v>
      </c>
      <c r="BL64" s="10">
        <f>MAX($BI64-积分赛!$C$7,0)*$BC$10/30</f>
        <v>80000</v>
      </c>
      <c r="BM64" s="10">
        <f>MAX($BI64-积分赛!$C$7,0)*$BC$10/30</f>
        <v>80000</v>
      </c>
      <c r="BN64" s="10">
        <f>MAX($BI64-积分赛!$C$7,0)*$BC$10/30</f>
        <v>80000</v>
      </c>
      <c r="BP64" s="10">
        <v>54</v>
      </c>
      <c r="BQ64" s="10">
        <f>MAX(节奏总纲!D57-积分赛!$C$7,0)*$BC$10/30</f>
        <v>37414.177149108713</v>
      </c>
      <c r="BR64" s="10">
        <f>MAX(节奏总纲!E57-积分赛!$C$7,0)*$BC$10/30</f>
        <v>19825.162474022807</v>
      </c>
      <c r="BS64" s="10">
        <f>MAX(节奏总纲!F57-积分赛!$C$7,0)*$BC$10/30</f>
        <v>0</v>
      </c>
      <c r="BT64" s="10">
        <f>MAX(节奏总纲!G57-积分赛!$C$7,0)*$BC$10/30</f>
        <v>0</v>
      </c>
      <c r="BU64" s="10">
        <f>MAX(节奏总纲!H57-积分赛!$C$7,0)*$BC$10/30</f>
        <v>0</v>
      </c>
    </row>
    <row r="65" spans="26:73" x14ac:dyDescent="0.15">
      <c r="Z65" s="10">
        <v>55</v>
      </c>
      <c r="AA65" s="10">
        <f>IFERROR(MAX($Z65-积分赛!$C$7,0)*INDEX($U$7:$U$14,MATCH(AA$10,$T$7:$T$14,0))/30,0)</f>
        <v>0</v>
      </c>
      <c r="AB65" s="10">
        <f>IFERROR(MAX($Z65-积分赛!$C$7,0)*INDEX($U$7:$U$14,MATCH(AB$10,$T$7:$T$14,0))/30,0)</f>
        <v>0</v>
      </c>
      <c r="AC65" s="10">
        <f>IFERROR(MAX($Z65-积分赛!$C$7,0)*INDEX($U$7:$U$14,MATCH(AC$10,$T$7:$T$14,0))/30,0)</f>
        <v>0</v>
      </c>
      <c r="AD65" s="10">
        <f>IFERROR(MAX($Z65-积分赛!$C$7,0)*INDEX($U$7:$U$14,MATCH(AD$10,$T$7:$T$14,0))/30,0)</f>
        <v>66666.666666666672</v>
      </c>
      <c r="AE65" s="10">
        <f>IFERROR(MAX($Z65-积分赛!$C$7,0)*INDEX($U$7:$U$14,MATCH(AE$10,$T$7:$T$14,0))/30,0)</f>
        <v>833333.33333333337</v>
      </c>
      <c r="AF65" s="10">
        <f>MAX($Z65-积分赛!$C$7,0)*(IFERROR(INDEX($W$7:$W$14,MATCH(AF$10,$T$7:$T$14,0)),0)*$T$20+IFERROR(INDEX($X$7:$X$14,MATCH(AF$10,$T$7:$T$14,0)),0)*$T$21)/30</f>
        <v>0</v>
      </c>
      <c r="AG65" s="10">
        <f>MAX($Z65-积分赛!$C$7,0)*(IFERROR(INDEX($W$7:$W$14,MATCH(AG$10,$T$7:$T$14,0)),0)*$T$20+IFERROR(INDEX($X$7:$X$14,MATCH(AG$10,$T$7:$T$14,0)),0)*$T$21)/30</f>
        <v>0</v>
      </c>
      <c r="AH65" s="10">
        <f>MAX($Z65-积分赛!$C$7,0)*(IFERROR(INDEX($W$7:$W$14,MATCH(AH$10,$T$7:$T$14,0)),0)*$T$20+IFERROR(INDEX($X$7:$X$14,MATCH(AH$10,$T$7:$T$14,0)),0)*$T$21)/30</f>
        <v>0</v>
      </c>
      <c r="AI65" s="10">
        <f>MAX($Z65-积分赛!$C$7,0)*(IFERROR(INDEX($W$7:$W$14,MATCH(AI$10,$T$7:$T$14,0)),0)*$T$20+IFERROR(INDEX($X$7:$X$14,MATCH(AI$10,$T$7:$T$14,0)),0)*$T$21)/30</f>
        <v>2545.8333333333335</v>
      </c>
      <c r="AJ65" s="10">
        <f>MAX($Z65-积分赛!$C$7,0)*(IFERROR(INDEX($W$7:$W$14,MATCH(AJ$10,$T$7:$T$14,0)),0)*$T$20+IFERROR(INDEX($X$7:$X$14,MATCH(AJ$10,$T$7:$T$14,0)),0)*$T$21)/30</f>
        <v>15275</v>
      </c>
      <c r="AL65" s="10">
        <v>55</v>
      </c>
      <c r="AM65" s="10">
        <f>IFERROR(MAX(节奏总纲!D58-积分赛!$C$7,0)*INDEX($U$7:$U$14,MATCH(AA$10,$T$7:$T$14,0))/30,0)</f>
        <v>0</v>
      </c>
      <c r="AN65" s="10">
        <f>IFERROR(MAX(节奏总纲!E58-积分赛!$C$7,0)*INDEX($U$7:$U$14,MATCH(AB$10,$T$7:$T$14,0))/30,0)</f>
        <v>0</v>
      </c>
      <c r="AO65" s="10">
        <f>IFERROR(MAX(节奏总纲!F58-积分赛!$C$7,0)*INDEX($U$7:$U$14,MATCH(AC$10,$T$7:$T$14,0))/30,0)</f>
        <v>0</v>
      </c>
      <c r="AP65" s="10">
        <f>IFERROR(MAX(节奏总纲!G58-积分赛!$C$7,0)*INDEX($U$7:$U$14,MATCH(AD$10,$T$7:$T$14,0))/30,0)</f>
        <v>0</v>
      </c>
      <c r="AQ65" s="10">
        <f>IFERROR(MAX(节奏总纲!H58-积分赛!$C$7,0)*INDEX($U$7:$U$14,MATCH(AE$10,$T$7:$T$14,0))/30,0)</f>
        <v>0</v>
      </c>
      <c r="AR65" s="10">
        <f>MAX(节奏总纲!D58-积分赛!$C$7,0)*(IFERROR(INDEX($W$7:$W$14,MATCH(AF$10,$T$7:$T$14,0)),0)*$T$20+IFERROR(INDEX($X$7:$X$14,MATCH(AF$10,$T$7:$T$14,0)),0)*$T$21)/30</f>
        <v>0</v>
      </c>
      <c r="AS65" s="10">
        <f>MAX(节奏总纲!E58-积分赛!$C$7,0)*(IFERROR(INDEX($W$7:$W$14,MATCH(AG$10,$T$7:$T$14,0)),0)*$T$20+IFERROR(INDEX($X$7:$X$14,MATCH(AG$10,$T$7:$T$14,0)),0)*$T$21)/30</f>
        <v>0</v>
      </c>
      <c r="AT65" s="10">
        <f>MAX(节奏总纲!F58-积分赛!$C$7,0)*(IFERROR(INDEX($W$7:$W$14,MATCH(AH$10,$T$7:$T$14,0)),0)*$T$20+IFERROR(INDEX($X$7:$X$14,MATCH(AH$10,$T$7:$T$14,0)),0)*$T$21)/30</f>
        <v>0</v>
      </c>
      <c r="AU65" s="10">
        <f>MAX(节奏总纲!G58-积分赛!$C$7,0)*(IFERROR(INDEX($W$7:$W$14,MATCH(AI$10,$T$7:$T$14,0)),0)*$T$20+IFERROR(INDEX($X$7:$X$14,MATCH(AI$10,$T$7:$T$14,0)),0)*$T$21)/30</f>
        <v>0</v>
      </c>
      <c r="AV65" s="10">
        <f>MAX(节奏总纲!H58-积分赛!$C$7,0)*(IFERROR(INDEX($W$7:$W$14,MATCH(AJ$10,$T$7:$T$14,0)),0)*$T$20+IFERROR(INDEX($X$7:$X$14,MATCH(AJ$10,$T$7:$T$14,0)),0)*$T$21)/30</f>
        <v>0</v>
      </c>
      <c r="BI65" s="10">
        <v>55</v>
      </c>
      <c r="BJ65" s="10">
        <f>MAX($BI65-积分赛!$C$7,0)*$BC$10/30</f>
        <v>83333.333333333328</v>
      </c>
      <c r="BK65" s="10">
        <f>MAX($BI65-积分赛!$C$7,0)*$BC$10/30</f>
        <v>83333.333333333328</v>
      </c>
      <c r="BL65" s="10">
        <f>MAX($BI65-积分赛!$C$7,0)*$BC$10/30</f>
        <v>83333.333333333328</v>
      </c>
      <c r="BM65" s="10">
        <f>MAX($BI65-积分赛!$C$7,0)*$BC$10/30</f>
        <v>83333.333333333328</v>
      </c>
      <c r="BN65" s="10">
        <f>MAX($BI65-积分赛!$C$7,0)*$BC$10/30</f>
        <v>83333.333333333328</v>
      </c>
      <c r="BP65" s="10">
        <v>55</v>
      </c>
      <c r="BQ65" s="10">
        <f>MAX(节奏总纲!D58-积分赛!$C$7,0)*$BC$10/30</f>
        <v>47516.113319796816</v>
      </c>
      <c r="BR65" s="10">
        <f>MAX(节奏总纲!E58-积分赛!$C$7,0)*$BC$10/30</f>
        <v>28442.279867547099</v>
      </c>
      <c r="BS65" s="10">
        <f>MAX(节奏总纲!F58-积分赛!$C$7,0)*$BC$10/30</f>
        <v>5474.0210236547182</v>
      </c>
      <c r="BT65" s="10">
        <f>MAX(节奏总纲!G58-积分赛!$C$7,0)*$BC$10/30</f>
        <v>0</v>
      </c>
      <c r="BU65" s="10">
        <f>MAX(节奏总纲!H58-积分赛!$C$7,0)*$BC$10/30</f>
        <v>0</v>
      </c>
    </row>
    <row r="66" spans="26:73" x14ac:dyDescent="0.15">
      <c r="Z66" s="10">
        <v>56</v>
      </c>
      <c r="AA66" s="10">
        <f>IFERROR(MAX($Z66-积分赛!$C$7,0)*INDEX($U$7:$U$14,MATCH(AA$10,$T$7:$T$14,0))/30,0)</f>
        <v>0</v>
      </c>
      <c r="AB66" s="10">
        <f>IFERROR(MAX($Z66-积分赛!$C$7,0)*INDEX($U$7:$U$14,MATCH(AB$10,$T$7:$T$14,0))/30,0)</f>
        <v>0</v>
      </c>
      <c r="AC66" s="10">
        <f>IFERROR(MAX($Z66-积分赛!$C$7,0)*INDEX($U$7:$U$14,MATCH(AC$10,$T$7:$T$14,0))/30,0)</f>
        <v>0</v>
      </c>
      <c r="AD66" s="10">
        <f>IFERROR(MAX($Z66-积分赛!$C$7,0)*INDEX($U$7:$U$14,MATCH(AD$10,$T$7:$T$14,0))/30,0)</f>
        <v>69333.333333333328</v>
      </c>
      <c r="AE66" s="10">
        <f>IFERROR(MAX($Z66-积分赛!$C$7,0)*INDEX($U$7:$U$14,MATCH(AE$10,$T$7:$T$14,0))/30,0)</f>
        <v>866666.66666666663</v>
      </c>
      <c r="AF66" s="10">
        <f>MAX($Z66-积分赛!$C$7,0)*(IFERROR(INDEX($W$7:$W$14,MATCH(AF$10,$T$7:$T$14,0)),0)*$T$20+IFERROR(INDEX($X$7:$X$14,MATCH(AF$10,$T$7:$T$14,0)),0)*$T$21)/30</f>
        <v>0</v>
      </c>
      <c r="AG66" s="10">
        <f>MAX($Z66-积分赛!$C$7,0)*(IFERROR(INDEX($W$7:$W$14,MATCH(AG$10,$T$7:$T$14,0)),0)*$T$20+IFERROR(INDEX($X$7:$X$14,MATCH(AG$10,$T$7:$T$14,0)),0)*$T$21)/30</f>
        <v>0</v>
      </c>
      <c r="AH66" s="10">
        <f>MAX($Z66-积分赛!$C$7,0)*(IFERROR(INDEX($W$7:$W$14,MATCH(AH$10,$T$7:$T$14,0)),0)*$T$20+IFERROR(INDEX($X$7:$X$14,MATCH(AH$10,$T$7:$T$14,0)),0)*$T$21)/30</f>
        <v>0</v>
      </c>
      <c r="AI66" s="10">
        <f>MAX($Z66-积分赛!$C$7,0)*(IFERROR(INDEX($W$7:$W$14,MATCH(AI$10,$T$7:$T$14,0)),0)*$T$20+IFERROR(INDEX($X$7:$X$14,MATCH(AI$10,$T$7:$T$14,0)),0)*$T$21)/30</f>
        <v>2647.6666666666665</v>
      </c>
      <c r="AJ66" s="10">
        <f>MAX($Z66-积分赛!$C$7,0)*(IFERROR(INDEX($W$7:$W$14,MATCH(AJ$10,$T$7:$T$14,0)),0)*$T$20+IFERROR(INDEX($X$7:$X$14,MATCH(AJ$10,$T$7:$T$14,0)),0)*$T$21)/30</f>
        <v>15886</v>
      </c>
      <c r="AL66" s="10">
        <v>56</v>
      </c>
      <c r="AM66" s="10">
        <f>IFERROR(MAX(节奏总纲!D59-积分赛!$C$7,0)*INDEX($U$7:$U$14,MATCH(AA$10,$T$7:$T$14,0))/30,0)</f>
        <v>0</v>
      </c>
      <c r="AN66" s="10">
        <f>IFERROR(MAX(节奏总纲!E59-积分赛!$C$7,0)*INDEX($U$7:$U$14,MATCH(AB$10,$T$7:$T$14,0))/30,0)</f>
        <v>0</v>
      </c>
      <c r="AO66" s="10">
        <f>IFERROR(MAX(节奏总纲!F59-积分赛!$C$7,0)*INDEX($U$7:$U$14,MATCH(AC$10,$T$7:$T$14,0))/30,0)</f>
        <v>0</v>
      </c>
      <c r="AP66" s="10">
        <f>IFERROR(MAX(节奏总纲!G59-积分赛!$C$7,0)*INDEX($U$7:$U$14,MATCH(AD$10,$T$7:$T$14,0))/30,0)</f>
        <v>0</v>
      </c>
      <c r="AQ66" s="10">
        <f>IFERROR(MAX(节奏总纲!H59-积分赛!$C$7,0)*INDEX($U$7:$U$14,MATCH(AE$10,$T$7:$T$14,0))/30,0)</f>
        <v>0</v>
      </c>
      <c r="AR66" s="10">
        <f>MAX(节奏总纲!D59-积分赛!$C$7,0)*(IFERROR(INDEX($W$7:$W$14,MATCH(AF$10,$T$7:$T$14,0)),0)*$T$20+IFERROR(INDEX($X$7:$X$14,MATCH(AF$10,$T$7:$T$14,0)),0)*$T$21)/30</f>
        <v>0</v>
      </c>
      <c r="AS66" s="10">
        <f>MAX(节奏总纲!E59-积分赛!$C$7,0)*(IFERROR(INDEX($W$7:$W$14,MATCH(AG$10,$T$7:$T$14,0)),0)*$T$20+IFERROR(INDEX($X$7:$X$14,MATCH(AG$10,$T$7:$T$14,0)),0)*$T$21)/30</f>
        <v>0</v>
      </c>
      <c r="AT66" s="10">
        <f>MAX(节奏总纲!F59-积分赛!$C$7,0)*(IFERROR(INDEX($W$7:$W$14,MATCH(AH$10,$T$7:$T$14,0)),0)*$T$20+IFERROR(INDEX($X$7:$X$14,MATCH(AH$10,$T$7:$T$14,0)),0)*$T$21)/30</f>
        <v>0</v>
      </c>
      <c r="AU66" s="10">
        <f>MAX(节奏总纲!G59-积分赛!$C$7,0)*(IFERROR(INDEX($W$7:$W$14,MATCH(AI$10,$T$7:$T$14,0)),0)*$T$20+IFERROR(INDEX($X$7:$X$14,MATCH(AI$10,$T$7:$T$14,0)),0)*$T$21)/30</f>
        <v>0</v>
      </c>
      <c r="AV66" s="10">
        <f>MAX(节奏总纲!H59-积分赛!$C$7,0)*(IFERROR(INDEX($W$7:$W$14,MATCH(AJ$10,$T$7:$T$14,0)),0)*$T$20+IFERROR(INDEX($X$7:$X$14,MATCH(AJ$10,$T$7:$T$14,0)),0)*$T$21)/30</f>
        <v>0</v>
      </c>
      <c r="BI66" s="10">
        <v>56</v>
      </c>
      <c r="BJ66" s="10">
        <f>MAX($BI66-积分赛!$C$7,0)*$BC$10/30</f>
        <v>86666.666666666672</v>
      </c>
      <c r="BK66" s="10">
        <f>MAX($BI66-积分赛!$C$7,0)*$BC$10/30</f>
        <v>86666.666666666672</v>
      </c>
      <c r="BL66" s="10">
        <f>MAX($BI66-积分赛!$C$7,0)*$BC$10/30</f>
        <v>86666.666666666672</v>
      </c>
      <c r="BM66" s="10">
        <f>MAX($BI66-积分赛!$C$7,0)*$BC$10/30</f>
        <v>86666.666666666672</v>
      </c>
      <c r="BN66" s="10">
        <f>MAX($BI66-积分赛!$C$7,0)*$BC$10/30</f>
        <v>86666.666666666672</v>
      </c>
      <c r="BP66" s="10">
        <v>56</v>
      </c>
      <c r="BQ66" s="10">
        <f>MAX(节奏总纲!D59-积分赛!$C$7,0)*$BC$10/30</f>
        <v>58343.100427775738</v>
      </c>
      <c r="BR66" s="10">
        <f>MAX(节奏总纲!E59-积分赛!$C$7,0)*$BC$10/30</f>
        <v>37584.319961694346</v>
      </c>
      <c r="BS66" s="10">
        <f>MAX(节奏总纲!F59-积分赛!$C$7,0)*$BC$10/30</f>
        <v>12961.967845175219</v>
      </c>
      <c r="BT66" s="10">
        <f>MAX(节奏总纲!G59-积分赛!$C$7,0)*$BC$10/30</f>
        <v>0</v>
      </c>
      <c r="BU66" s="10">
        <f>MAX(节奏总纲!H59-积分赛!$C$7,0)*$BC$10/30</f>
        <v>0</v>
      </c>
    </row>
    <row r="67" spans="26:73" x14ac:dyDescent="0.15">
      <c r="Z67" s="10">
        <v>57</v>
      </c>
      <c r="AA67" s="10">
        <f>IFERROR(MAX($Z67-积分赛!$C$7,0)*INDEX($U$7:$U$14,MATCH(AA$10,$T$7:$T$14,0))/30,0)</f>
        <v>0</v>
      </c>
      <c r="AB67" s="10">
        <f>IFERROR(MAX($Z67-积分赛!$C$7,0)*INDEX($U$7:$U$14,MATCH(AB$10,$T$7:$T$14,0))/30,0)</f>
        <v>0</v>
      </c>
      <c r="AC67" s="10">
        <f>IFERROR(MAX($Z67-积分赛!$C$7,0)*INDEX($U$7:$U$14,MATCH(AC$10,$T$7:$T$14,0))/30,0)</f>
        <v>0</v>
      </c>
      <c r="AD67" s="10">
        <f>IFERROR(MAX($Z67-积分赛!$C$7,0)*INDEX($U$7:$U$14,MATCH(AD$10,$T$7:$T$14,0))/30,0)</f>
        <v>72000</v>
      </c>
      <c r="AE67" s="10">
        <f>IFERROR(MAX($Z67-积分赛!$C$7,0)*INDEX($U$7:$U$14,MATCH(AE$10,$T$7:$T$14,0))/30,0)</f>
        <v>900000</v>
      </c>
      <c r="AF67" s="10">
        <f>MAX($Z67-积分赛!$C$7,0)*(IFERROR(INDEX($W$7:$W$14,MATCH(AF$10,$T$7:$T$14,0)),0)*$T$20+IFERROR(INDEX($X$7:$X$14,MATCH(AF$10,$T$7:$T$14,0)),0)*$T$21)/30</f>
        <v>0</v>
      </c>
      <c r="AG67" s="10">
        <f>MAX($Z67-积分赛!$C$7,0)*(IFERROR(INDEX($W$7:$W$14,MATCH(AG$10,$T$7:$T$14,0)),0)*$T$20+IFERROR(INDEX($X$7:$X$14,MATCH(AG$10,$T$7:$T$14,0)),0)*$T$21)/30</f>
        <v>0</v>
      </c>
      <c r="AH67" s="10">
        <f>MAX($Z67-积分赛!$C$7,0)*(IFERROR(INDEX($W$7:$W$14,MATCH(AH$10,$T$7:$T$14,0)),0)*$T$20+IFERROR(INDEX($X$7:$X$14,MATCH(AH$10,$T$7:$T$14,0)),0)*$T$21)/30</f>
        <v>0</v>
      </c>
      <c r="AI67" s="10">
        <f>MAX($Z67-积分赛!$C$7,0)*(IFERROR(INDEX($W$7:$W$14,MATCH(AI$10,$T$7:$T$14,0)),0)*$T$20+IFERROR(INDEX($X$7:$X$14,MATCH(AI$10,$T$7:$T$14,0)),0)*$T$21)/30</f>
        <v>2749.5</v>
      </c>
      <c r="AJ67" s="10">
        <f>MAX($Z67-积分赛!$C$7,0)*(IFERROR(INDEX($W$7:$W$14,MATCH(AJ$10,$T$7:$T$14,0)),0)*$T$20+IFERROR(INDEX($X$7:$X$14,MATCH(AJ$10,$T$7:$T$14,0)),0)*$T$21)/30</f>
        <v>16497</v>
      </c>
      <c r="AL67" s="10">
        <v>57</v>
      </c>
      <c r="AM67" s="10">
        <f>IFERROR(MAX(节奏总纲!D60-积分赛!$C$7,0)*INDEX($U$7:$U$14,MATCH(AA$10,$T$7:$T$14,0))/30,0)</f>
        <v>0</v>
      </c>
      <c r="AN67" s="10">
        <f>IFERROR(MAX(节奏总纲!E60-积分赛!$C$7,0)*INDEX($U$7:$U$14,MATCH(AB$10,$T$7:$T$14,0))/30,0)</f>
        <v>0</v>
      </c>
      <c r="AO67" s="10">
        <f>IFERROR(MAX(节奏总纲!F60-积分赛!$C$7,0)*INDEX($U$7:$U$14,MATCH(AC$10,$T$7:$T$14,0))/30,0)</f>
        <v>0</v>
      </c>
      <c r="AP67" s="10">
        <f>IFERROR(MAX(节奏总纲!G60-积分赛!$C$7,0)*INDEX($U$7:$U$14,MATCH(AD$10,$T$7:$T$14,0))/30,0)</f>
        <v>0</v>
      </c>
      <c r="AQ67" s="10">
        <f>IFERROR(MAX(节奏总纲!H60-积分赛!$C$7,0)*INDEX($U$7:$U$14,MATCH(AE$10,$T$7:$T$14,0))/30,0)</f>
        <v>0</v>
      </c>
      <c r="AR67" s="10">
        <f>MAX(节奏总纲!D60-积分赛!$C$7,0)*(IFERROR(INDEX($W$7:$W$14,MATCH(AF$10,$T$7:$T$14,0)),0)*$T$20+IFERROR(INDEX($X$7:$X$14,MATCH(AF$10,$T$7:$T$14,0)),0)*$T$21)/30</f>
        <v>0</v>
      </c>
      <c r="AS67" s="10">
        <f>MAX(节奏总纲!E60-积分赛!$C$7,0)*(IFERROR(INDEX($W$7:$W$14,MATCH(AG$10,$T$7:$T$14,0)),0)*$T$20+IFERROR(INDEX($X$7:$X$14,MATCH(AG$10,$T$7:$T$14,0)),0)*$T$21)/30</f>
        <v>0</v>
      </c>
      <c r="AT67" s="10">
        <f>MAX(节奏总纲!F60-积分赛!$C$7,0)*(IFERROR(INDEX($W$7:$W$14,MATCH(AH$10,$T$7:$T$14,0)),0)*$T$20+IFERROR(INDEX($X$7:$X$14,MATCH(AH$10,$T$7:$T$14,0)),0)*$T$21)/30</f>
        <v>0</v>
      </c>
      <c r="AU67" s="10">
        <f>MAX(节奏总纲!G60-积分赛!$C$7,0)*(IFERROR(INDEX($W$7:$W$14,MATCH(AI$10,$T$7:$T$14,0)),0)*$T$20+IFERROR(INDEX($X$7:$X$14,MATCH(AI$10,$T$7:$T$14,0)),0)*$T$21)/30</f>
        <v>0</v>
      </c>
      <c r="AV67" s="10">
        <f>MAX(节奏总纲!H60-积分赛!$C$7,0)*(IFERROR(INDEX($W$7:$W$14,MATCH(AJ$10,$T$7:$T$14,0)),0)*$T$20+IFERROR(INDEX($X$7:$X$14,MATCH(AJ$10,$T$7:$T$14,0)),0)*$T$21)/30</f>
        <v>0</v>
      </c>
      <c r="BI67" s="10">
        <v>57</v>
      </c>
      <c r="BJ67" s="10">
        <f>MAX($BI67-积分赛!$C$7,0)*$BC$10/30</f>
        <v>90000</v>
      </c>
      <c r="BK67" s="10">
        <f>MAX($BI67-积分赛!$C$7,0)*$BC$10/30</f>
        <v>90000</v>
      </c>
      <c r="BL67" s="10">
        <f>MAX($BI67-积分赛!$C$7,0)*$BC$10/30</f>
        <v>90000</v>
      </c>
      <c r="BM67" s="10">
        <f>MAX($BI67-积分赛!$C$7,0)*$BC$10/30</f>
        <v>90000</v>
      </c>
      <c r="BN67" s="10">
        <f>MAX($BI67-积分赛!$C$7,0)*$BC$10/30</f>
        <v>90000</v>
      </c>
      <c r="BP67" s="10">
        <v>57</v>
      </c>
      <c r="BQ67" s="10">
        <f>MAX(节奏总纲!D60-积分赛!$C$7,0)*$BC$10/30</f>
        <v>69947.177889330254</v>
      </c>
      <c r="BR67" s="10">
        <f>MAX(节奏总纲!E60-积分赛!$C$7,0)*$BC$10/30</f>
        <v>47701.092303616926</v>
      </c>
      <c r="BS67" s="10">
        <f>MAX(节奏总纲!F60-积分赛!$C$7,0)*$BC$10/30</f>
        <v>21053.374810569941</v>
      </c>
      <c r="BT67" s="10">
        <f>MAX(节奏总纲!G60-积分赛!$C$7,0)*$BC$10/30</f>
        <v>0</v>
      </c>
      <c r="BU67" s="10">
        <f>MAX(节奏总纲!H60-积分赛!$C$7,0)*$BC$10/30</f>
        <v>0</v>
      </c>
    </row>
    <row r="68" spans="26:73" x14ac:dyDescent="0.15">
      <c r="Z68" s="10">
        <v>58</v>
      </c>
      <c r="AA68" s="10">
        <f>IFERROR(MAX($Z68-积分赛!$C$7,0)*INDEX($U$7:$U$14,MATCH(AA$10,$T$7:$T$14,0))/30,0)</f>
        <v>0</v>
      </c>
      <c r="AB68" s="10">
        <f>IFERROR(MAX($Z68-积分赛!$C$7,0)*INDEX($U$7:$U$14,MATCH(AB$10,$T$7:$T$14,0))/30,0)</f>
        <v>0</v>
      </c>
      <c r="AC68" s="10">
        <f>IFERROR(MAX($Z68-积分赛!$C$7,0)*INDEX($U$7:$U$14,MATCH(AC$10,$T$7:$T$14,0))/30,0)</f>
        <v>0</v>
      </c>
      <c r="AD68" s="10">
        <f>IFERROR(MAX($Z68-积分赛!$C$7,0)*INDEX($U$7:$U$14,MATCH(AD$10,$T$7:$T$14,0))/30,0)</f>
        <v>74666.666666666672</v>
      </c>
      <c r="AE68" s="10">
        <f>IFERROR(MAX($Z68-积分赛!$C$7,0)*INDEX($U$7:$U$14,MATCH(AE$10,$T$7:$T$14,0))/30,0)</f>
        <v>933333.33333333337</v>
      </c>
      <c r="AF68" s="10">
        <f>MAX($Z68-积分赛!$C$7,0)*(IFERROR(INDEX($W$7:$W$14,MATCH(AF$10,$T$7:$T$14,0)),0)*$T$20+IFERROR(INDEX($X$7:$X$14,MATCH(AF$10,$T$7:$T$14,0)),0)*$T$21)/30</f>
        <v>0</v>
      </c>
      <c r="AG68" s="10">
        <f>MAX($Z68-积分赛!$C$7,0)*(IFERROR(INDEX($W$7:$W$14,MATCH(AG$10,$T$7:$T$14,0)),0)*$T$20+IFERROR(INDEX($X$7:$X$14,MATCH(AG$10,$T$7:$T$14,0)),0)*$T$21)/30</f>
        <v>0</v>
      </c>
      <c r="AH68" s="10">
        <f>MAX($Z68-积分赛!$C$7,0)*(IFERROR(INDEX($W$7:$W$14,MATCH(AH$10,$T$7:$T$14,0)),0)*$T$20+IFERROR(INDEX($X$7:$X$14,MATCH(AH$10,$T$7:$T$14,0)),0)*$T$21)/30</f>
        <v>0</v>
      </c>
      <c r="AI68" s="10">
        <f>MAX($Z68-积分赛!$C$7,0)*(IFERROR(INDEX($W$7:$W$14,MATCH(AI$10,$T$7:$T$14,0)),0)*$T$20+IFERROR(INDEX($X$7:$X$14,MATCH(AI$10,$T$7:$T$14,0)),0)*$T$21)/30</f>
        <v>2851.3333333333335</v>
      </c>
      <c r="AJ68" s="10">
        <f>MAX($Z68-积分赛!$C$7,0)*(IFERROR(INDEX($W$7:$W$14,MATCH(AJ$10,$T$7:$T$14,0)),0)*$T$20+IFERROR(INDEX($X$7:$X$14,MATCH(AJ$10,$T$7:$T$14,0)),0)*$T$21)/30</f>
        <v>17108</v>
      </c>
      <c r="AL68" s="10">
        <v>58</v>
      </c>
      <c r="AM68" s="10">
        <f>IFERROR(MAX(节奏总纲!D61-积分赛!$C$7,0)*INDEX($U$7:$U$14,MATCH(AA$10,$T$7:$T$14,0))/30,0)</f>
        <v>0</v>
      </c>
      <c r="AN68" s="10">
        <f>IFERROR(MAX(节奏总纲!E61-积分赛!$C$7,0)*INDEX($U$7:$U$14,MATCH(AB$10,$T$7:$T$14,0))/30,0)</f>
        <v>0</v>
      </c>
      <c r="AO68" s="10">
        <f>IFERROR(MAX(节奏总纲!F61-积分赛!$C$7,0)*INDEX($U$7:$U$14,MATCH(AC$10,$T$7:$T$14,0))/30,0)</f>
        <v>0</v>
      </c>
      <c r="AP68" s="10">
        <f>IFERROR(MAX(节奏总纲!G61-积分赛!$C$7,0)*INDEX($U$7:$U$14,MATCH(AD$10,$T$7:$T$14,0))/30,0)</f>
        <v>0</v>
      </c>
      <c r="AQ68" s="10">
        <f>IFERROR(MAX(节奏总纲!H61-积分赛!$C$7,0)*INDEX($U$7:$U$14,MATCH(AE$10,$T$7:$T$14,0))/30,0)</f>
        <v>0</v>
      </c>
      <c r="AR68" s="10">
        <f>MAX(节奏总纲!D61-积分赛!$C$7,0)*(IFERROR(INDEX($W$7:$W$14,MATCH(AF$10,$T$7:$T$14,0)),0)*$T$20+IFERROR(INDEX($X$7:$X$14,MATCH(AF$10,$T$7:$T$14,0)),0)*$T$21)/30</f>
        <v>0</v>
      </c>
      <c r="AS68" s="10">
        <f>MAX(节奏总纲!E61-积分赛!$C$7,0)*(IFERROR(INDEX($W$7:$W$14,MATCH(AG$10,$T$7:$T$14,0)),0)*$T$20+IFERROR(INDEX($X$7:$X$14,MATCH(AG$10,$T$7:$T$14,0)),0)*$T$21)/30</f>
        <v>0</v>
      </c>
      <c r="AT68" s="10">
        <f>MAX(节奏总纲!F61-积分赛!$C$7,0)*(IFERROR(INDEX($W$7:$W$14,MATCH(AH$10,$T$7:$T$14,0)),0)*$T$20+IFERROR(INDEX($X$7:$X$14,MATCH(AH$10,$T$7:$T$14,0)),0)*$T$21)/30</f>
        <v>0</v>
      </c>
      <c r="AU68" s="10">
        <f>MAX(节奏总纲!G61-积分赛!$C$7,0)*(IFERROR(INDEX($W$7:$W$14,MATCH(AI$10,$T$7:$T$14,0)),0)*$T$20+IFERROR(INDEX($X$7:$X$14,MATCH(AI$10,$T$7:$T$14,0)),0)*$T$21)/30</f>
        <v>0</v>
      </c>
      <c r="AV68" s="10">
        <f>MAX(节奏总纲!H61-积分赛!$C$7,0)*(IFERROR(INDEX($W$7:$W$14,MATCH(AJ$10,$T$7:$T$14,0)),0)*$T$20+IFERROR(INDEX($X$7:$X$14,MATCH(AJ$10,$T$7:$T$14,0)),0)*$T$21)/30</f>
        <v>0</v>
      </c>
      <c r="BI68" s="10">
        <v>58</v>
      </c>
      <c r="BJ68" s="10">
        <f>MAX($BI68-积分赛!$C$7,0)*$BC$10/30</f>
        <v>93333.333333333328</v>
      </c>
      <c r="BK68" s="10">
        <f>MAX($BI68-积分赛!$C$7,0)*$BC$10/30</f>
        <v>93333.333333333328</v>
      </c>
      <c r="BL68" s="10">
        <f>MAX($BI68-积分赛!$C$7,0)*$BC$10/30</f>
        <v>93333.333333333328</v>
      </c>
      <c r="BM68" s="10">
        <f>MAX($BI68-积分赛!$C$7,0)*$BC$10/30</f>
        <v>93333.333333333328</v>
      </c>
      <c r="BN68" s="10">
        <f>MAX($BI68-积分赛!$C$7,0)*$BC$10/30</f>
        <v>93333.333333333328</v>
      </c>
      <c r="BP68" s="10">
        <v>58</v>
      </c>
      <c r="BQ68" s="10">
        <f>MAX(节奏总纲!D61-积分赛!$C$7,0)*$BC$10/30</f>
        <v>82384.120169839749</v>
      </c>
      <c r="BR68" s="10">
        <f>MAX(节奏总纲!E61-积分赛!$C$7,0)*$BC$10/30</f>
        <v>58199.985835318985</v>
      </c>
      <c r="BS68" s="10">
        <f>MAX(节奏总纲!F61-积分赛!$C$7,0)*$BC$10/30</f>
        <v>29711.586264790029</v>
      </c>
      <c r="BT68" s="10">
        <f>MAX(节奏总纲!G61-积分赛!$C$7,0)*$BC$10/30</f>
        <v>0</v>
      </c>
      <c r="BU68" s="10">
        <f>MAX(节奏总纲!H61-积分赛!$C$7,0)*$BC$10/30</f>
        <v>0</v>
      </c>
    </row>
    <row r="69" spans="26:73" x14ac:dyDescent="0.15">
      <c r="Z69" s="10">
        <v>59</v>
      </c>
      <c r="AA69" s="10">
        <f>IFERROR(MAX($Z69-积分赛!$C$7,0)*INDEX($U$7:$U$14,MATCH(AA$10,$T$7:$T$14,0))/30,0)</f>
        <v>0</v>
      </c>
      <c r="AB69" s="10">
        <f>IFERROR(MAX($Z69-积分赛!$C$7,0)*INDEX($U$7:$U$14,MATCH(AB$10,$T$7:$T$14,0))/30,0)</f>
        <v>0</v>
      </c>
      <c r="AC69" s="10">
        <f>IFERROR(MAX($Z69-积分赛!$C$7,0)*INDEX($U$7:$U$14,MATCH(AC$10,$T$7:$T$14,0))/30,0)</f>
        <v>0</v>
      </c>
      <c r="AD69" s="10">
        <f>IFERROR(MAX($Z69-积分赛!$C$7,0)*INDEX($U$7:$U$14,MATCH(AD$10,$T$7:$T$14,0))/30,0)</f>
        <v>77333.333333333328</v>
      </c>
      <c r="AE69" s="10">
        <f>IFERROR(MAX($Z69-积分赛!$C$7,0)*INDEX($U$7:$U$14,MATCH(AE$10,$T$7:$T$14,0))/30,0)</f>
        <v>966666.66666666663</v>
      </c>
      <c r="AF69" s="10">
        <f>MAX($Z69-积分赛!$C$7,0)*(IFERROR(INDEX($W$7:$W$14,MATCH(AF$10,$T$7:$T$14,0)),0)*$T$20+IFERROR(INDEX($X$7:$X$14,MATCH(AF$10,$T$7:$T$14,0)),0)*$T$21)/30</f>
        <v>0</v>
      </c>
      <c r="AG69" s="10">
        <f>MAX($Z69-积分赛!$C$7,0)*(IFERROR(INDEX($W$7:$W$14,MATCH(AG$10,$T$7:$T$14,0)),0)*$T$20+IFERROR(INDEX($X$7:$X$14,MATCH(AG$10,$T$7:$T$14,0)),0)*$T$21)/30</f>
        <v>0</v>
      </c>
      <c r="AH69" s="10">
        <f>MAX($Z69-积分赛!$C$7,0)*(IFERROR(INDEX($W$7:$W$14,MATCH(AH$10,$T$7:$T$14,0)),0)*$T$20+IFERROR(INDEX($X$7:$X$14,MATCH(AH$10,$T$7:$T$14,0)),0)*$T$21)/30</f>
        <v>0</v>
      </c>
      <c r="AI69" s="10">
        <f>MAX($Z69-积分赛!$C$7,0)*(IFERROR(INDEX($W$7:$W$14,MATCH(AI$10,$T$7:$T$14,0)),0)*$T$20+IFERROR(INDEX($X$7:$X$14,MATCH(AI$10,$T$7:$T$14,0)),0)*$T$21)/30</f>
        <v>2953.1666666666665</v>
      </c>
      <c r="AJ69" s="10">
        <f>MAX($Z69-积分赛!$C$7,0)*(IFERROR(INDEX($W$7:$W$14,MATCH(AJ$10,$T$7:$T$14,0)),0)*$T$20+IFERROR(INDEX($X$7:$X$14,MATCH(AJ$10,$T$7:$T$14,0)),0)*$T$21)/30</f>
        <v>17719</v>
      </c>
      <c r="AL69" s="10">
        <v>59</v>
      </c>
      <c r="AM69" s="10">
        <f>IFERROR(MAX(节奏总纲!D62-积分赛!$C$7,0)*INDEX($U$7:$U$14,MATCH(AA$10,$T$7:$T$14,0))/30,0)</f>
        <v>0</v>
      </c>
      <c r="AN69" s="10">
        <f>IFERROR(MAX(节奏总纲!E62-积分赛!$C$7,0)*INDEX($U$7:$U$14,MATCH(AB$10,$T$7:$T$14,0))/30,0)</f>
        <v>0</v>
      </c>
      <c r="AO69" s="10">
        <f>IFERROR(MAX(节奏总纲!F62-积分赛!$C$7,0)*INDEX($U$7:$U$14,MATCH(AC$10,$T$7:$T$14,0))/30,0)</f>
        <v>0</v>
      </c>
      <c r="AP69" s="10">
        <f>IFERROR(MAX(节奏总纲!G62-积分赛!$C$7,0)*INDEX($U$7:$U$14,MATCH(AD$10,$T$7:$T$14,0))/30,0)</f>
        <v>1620.4434753088701</v>
      </c>
      <c r="AQ69" s="10">
        <f>IFERROR(MAX(节奏总纲!H62-积分赛!$C$7,0)*INDEX($U$7:$U$14,MATCH(AE$10,$T$7:$T$14,0))/30,0)</f>
        <v>0</v>
      </c>
      <c r="AR69" s="10">
        <f>MAX(节奏总纲!D62-积分赛!$C$7,0)*(IFERROR(INDEX($W$7:$W$14,MATCH(AF$10,$T$7:$T$14,0)),0)*$T$20+IFERROR(INDEX($X$7:$X$14,MATCH(AF$10,$T$7:$T$14,0)),0)*$T$21)/30</f>
        <v>0</v>
      </c>
      <c r="AS69" s="10">
        <f>MAX(节奏总纲!E62-积分赛!$C$7,0)*(IFERROR(INDEX($W$7:$W$14,MATCH(AG$10,$T$7:$T$14,0)),0)*$T$20+IFERROR(INDEX($X$7:$X$14,MATCH(AG$10,$T$7:$T$14,0)),0)*$T$21)/30</f>
        <v>0</v>
      </c>
      <c r="AT69" s="10">
        <f>MAX(节奏总纲!F62-积分赛!$C$7,0)*(IFERROR(INDEX($W$7:$W$14,MATCH(AH$10,$T$7:$T$14,0)),0)*$T$20+IFERROR(INDEX($X$7:$X$14,MATCH(AH$10,$T$7:$T$14,0)),0)*$T$21)/30</f>
        <v>0</v>
      </c>
      <c r="AU69" s="10">
        <f>MAX(节奏总纲!G62-积分赛!$C$7,0)*(IFERROR(INDEX($W$7:$W$14,MATCH(AI$10,$T$7:$T$14,0)),0)*$T$20+IFERROR(INDEX($X$7:$X$14,MATCH(AI$10,$T$7:$T$14,0)),0)*$T$21)/30</f>
        <v>61.880685213357474</v>
      </c>
      <c r="AV69" s="10">
        <f>MAX(节奏总纲!H62-积分赛!$C$7,0)*(IFERROR(INDEX($W$7:$W$14,MATCH(AJ$10,$T$7:$T$14,0)),0)*$T$20+IFERROR(INDEX($X$7:$X$14,MATCH(AJ$10,$T$7:$T$14,0)),0)*$T$21)/30</f>
        <v>0</v>
      </c>
      <c r="BI69" s="10">
        <v>59</v>
      </c>
      <c r="BJ69" s="10">
        <f>MAX($BI69-积分赛!$C$7,0)*$BC$10/30</f>
        <v>96666.666666666672</v>
      </c>
      <c r="BK69" s="10">
        <f>MAX($BI69-积分赛!$C$7,0)*$BC$10/30</f>
        <v>96666.666666666672</v>
      </c>
      <c r="BL69" s="10">
        <f>MAX($BI69-积分赛!$C$7,0)*$BC$10/30</f>
        <v>96666.666666666672</v>
      </c>
      <c r="BM69" s="10">
        <f>MAX($BI69-积分赛!$C$7,0)*$BC$10/30</f>
        <v>96666.666666666672</v>
      </c>
      <c r="BN69" s="10">
        <f>MAX($BI69-积分赛!$C$7,0)*$BC$10/30</f>
        <v>96666.666666666672</v>
      </c>
      <c r="BP69" s="10">
        <v>59</v>
      </c>
      <c r="BQ69" s="10">
        <f>MAX(节奏总纲!D62-积分赛!$C$7,0)*$BC$10/30</f>
        <v>95713.704861185674</v>
      </c>
      <c r="BR69" s="10">
        <f>MAX(节奏总纲!E62-积分赛!$C$7,0)*$BC$10/30</f>
        <v>69801.210337564713</v>
      </c>
      <c r="BS69" s="10">
        <f>MAX(节奏总纲!F62-积分赛!$C$7,0)*$BC$10/30</f>
        <v>39093.730044844648</v>
      </c>
      <c r="BT69" s="10">
        <f>MAX(节奏总纲!G62-积分赛!$C$7,0)*$BC$10/30</f>
        <v>2025.5543441360874</v>
      </c>
      <c r="BU69" s="10">
        <f>MAX(节奏总纲!H62-积分赛!$C$7,0)*$BC$10/30</f>
        <v>0</v>
      </c>
    </row>
    <row r="70" spans="26:73" x14ac:dyDescent="0.15">
      <c r="Z70" s="10">
        <v>60</v>
      </c>
      <c r="AA70" s="10">
        <f>IFERROR(MAX($Z70-积分赛!$C$7,0)*INDEX($U$7:$U$14,MATCH(AA$10,$T$7:$T$14,0))/30,0)</f>
        <v>0</v>
      </c>
      <c r="AB70" s="10">
        <f>IFERROR(MAX($Z70-积分赛!$C$7,0)*INDEX($U$7:$U$14,MATCH(AB$10,$T$7:$T$14,0))/30,0)</f>
        <v>0</v>
      </c>
      <c r="AC70" s="10">
        <f>IFERROR(MAX($Z70-积分赛!$C$7,0)*INDEX($U$7:$U$14,MATCH(AC$10,$T$7:$T$14,0))/30,0)</f>
        <v>0</v>
      </c>
      <c r="AD70" s="10">
        <f>IFERROR(MAX($Z70-积分赛!$C$7,0)*INDEX($U$7:$U$14,MATCH(AD$10,$T$7:$T$14,0))/30,0)</f>
        <v>80000</v>
      </c>
      <c r="AE70" s="10">
        <f>IFERROR(MAX($Z70-积分赛!$C$7,0)*INDEX($U$7:$U$14,MATCH(AE$10,$T$7:$T$14,0))/30,0)</f>
        <v>1000000</v>
      </c>
      <c r="AF70" s="10">
        <f>MAX($Z70-积分赛!$C$7,0)*(IFERROR(INDEX($W$7:$W$14,MATCH(AF$10,$T$7:$T$14,0)),0)*$T$20+IFERROR(INDEX($X$7:$X$14,MATCH(AF$10,$T$7:$T$14,0)),0)*$T$21)/30</f>
        <v>0</v>
      </c>
      <c r="AG70" s="10">
        <f>MAX($Z70-积分赛!$C$7,0)*(IFERROR(INDEX($W$7:$W$14,MATCH(AG$10,$T$7:$T$14,0)),0)*$T$20+IFERROR(INDEX($X$7:$X$14,MATCH(AG$10,$T$7:$T$14,0)),0)*$T$21)/30</f>
        <v>0</v>
      </c>
      <c r="AH70" s="10">
        <f>MAX($Z70-积分赛!$C$7,0)*(IFERROR(INDEX($W$7:$W$14,MATCH(AH$10,$T$7:$T$14,0)),0)*$T$20+IFERROR(INDEX($X$7:$X$14,MATCH(AH$10,$T$7:$T$14,0)),0)*$T$21)/30</f>
        <v>0</v>
      </c>
      <c r="AI70" s="10">
        <f>MAX($Z70-积分赛!$C$7,0)*(IFERROR(INDEX($W$7:$W$14,MATCH(AI$10,$T$7:$T$14,0)),0)*$T$20+IFERROR(INDEX($X$7:$X$14,MATCH(AI$10,$T$7:$T$14,0)),0)*$T$21)/30</f>
        <v>3055</v>
      </c>
      <c r="AJ70" s="10">
        <f>MAX($Z70-积分赛!$C$7,0)*(IFERROR(INDEX($W$7:$W$14,MATCH(AJ$10,$T$7:$T$14,0)),0)*$T$20+IFERROR(INDEX($X$7:$X$14,MATCH(AJ$10,$T$7:$T$14,0)),0)*$T$21)/30</f>
        <v>18330</v>
      </c>
      <c r="AL70" s="10">
        <v>60</v>
      </c>
      <c r="AM70" s="10">
        <f>IFERROR(MAX(节奏总纲!D63-积分赛!$C$7,0)*INDEX($U$7:$U$14,MATCH(AA$10,$T$7:$T$14,0))/30,0)</f>
        <v>0</v>
      </c>
      <c r="AN70" s="10">
        <f>IFERROR(MAX(节奏总纲!E63-积分赛!$C$7,0)*INDEX($U$7:$U$14,MATCH(AB$10,$T$7:$T$14,0))/30,0)</f>
        <v>0</v>
      </c>
      <c r="AO70" s="10">
        <f>IFERROR(MAX(节奏总纲!F63-积分赛!$C$7,0)*INDEX($U$7:$U$14,MATCH(AC$10,$T$7:$T$14,0))/30,0)</f>
        <v>0</v>
      </c>
      <c r="AP70" s="10">
        <f>IFERROR(MAX(节奏总纲!G63-积分赛!$C$7,0)*INDEX($U$7:$U$14,MATCH(AD$10,$T$7:$T$14,0))/30,0)</f>
        <v>7494.4000000000042</v>
      </c>
      <c r="AQ70" s="10">
        <f>IFERROR(MAX(节奏总纲!H63-积分赛!$C$7,0)*INDEX($U$7:$U$14,MATCH(AE$10,$T$7:$T$14,0))/30,0)</f>
        <v>0</v>
      </c>
      <c r="AR70" s="10">
        <f>MAX(节奏总纲!D63-积分赛!$C$7,0)*(IFERROR(INDEX($W$7:$W$14,MATCH(AF$10,$T$7:$T$14,0)),0)*$T$20+IFERROR(INDEX($X$7:$X$14,MATCH(AF$10,$T$7:$T$14,0)),0)*$T$21)/30</f>
        <v>0</v>
      </c>
      <c r="AS70" s="10">
        <f>MAX(节奏总纲!E63-积分赛!$C$7,0)*(IFERROR(INDEX($W$7:$W$14,MATCH(AG$10,$T$7:$T$14,0)),0)*$T$20+IFERROR(INDEX($X$7:$X$14,MATCH(AG$10,$T$7:$T$14,0)),0)*$T$21)/30</f>
        <v>0</v>
      </c>
      <c r="AT70" s="10">
        <f>MAX(节奏总纲!F63-积分赛!$C$7,0)*(IFERROR(INDEX($W$7:$W$14,MATCH(AH$10,$T$7:$T$14,0)),0)*$T$20+IFERROR(INDEX($X$7:$X$14,MATCH(AH$10,$T$7:$T$14,0)),0)*$T$21)/30</f>
        <v>0</v>
      </c>
      <c r="AU70" s="10">
        <f>MAX(节奏总纲!G63-积分赛!$C$7,0)*(IFERROR(INDEX($W$7:$W$14,MATCH(AI$10,$T$7:$T$14,0)),0)*$T$20+IFERROR(INDEX($X$7:$X$14,MATCH(AI$10,$T$7:$T$14,0)),0)*$T$21)/30</f>
        <v>286.19240000000013</v>
      </c>
      <c r="AV70" s="10">
        <f>MAX(节奏总纲!H63-积分赛!$C$7,0)*(IFERROR(INDEX($W$7:$W$14,MATCH(AJ$10,$T$7:$T$14,0)),0)*$T$20+IFERROR(INDEX($X$7:$X$14,MATCH(AJ$10,$T$7:$T$14,0)),0)*$T$21)/30</f>
        <v>0</v>
      </c>
      <c r="BI70" s="10">
        <v>60</v>
      </c>
      <c r="BJ70" s="10">
        <f>MAX($BI70-积分赛!$C$7,0)*$BC$10/30</f>
        <v>100000</v>
      </c>
      <c r="BK70" s="10">
        <f>MAX($BI70-积分赛!$C$7,0)*$BC$10/30</f>
        <v>100000</v>
      </c>
      <c r="BL70" s="10">
        <f>MAX($BI70-积分赛!$C$7,0)*$BC$10/30</f>
        <v>100000</v>
      </c>
      <c r="BM70" s="10">
        <f>MAX($BI70-积分赛!$C$7,0)*$BC$10/30</f>
        <v>100000</v>
      </c>
      <c r="BN70" s="10">
        <f>MAX($BI70-积分赛!$C$7,0)*$BC$10/30</f>
        <v>100000</v>
      </c>
      <c r="BP70" s="10">
        <v>60</v>
      </c>
      <c r="BQ70" s="10">
        <f>MAX(节奏总纲!D63-积分赛!$C$7,0)*$BC$10/30</f>
        <v>110000</v>
      </c>
      <c r="BR70" s="10">
        <f>MAX(节奏总纲!E63-积分赛!$C$7,0)*$BC$10/30</f>
        <v>81965</v>
      </c>
      <c r="BS70" s="10">
        <f>MAX(节奏总纲!F63-积分赛!$C$7,0)*$BC$10/30</f>
        <v>49057.999999999993</v>
      </c>
      <c r="BT70" s="10">
        <f>MAX(节奏总纲!G63-积分赛!$C$7,0)*$BC$10/30</f>
        <v>9368.0000000000036</v>
      </c>
      <c r="BU70" s="10">
        <f>MAX(节奏总纲!H63-积分赛!$C$7,0)*$BC$10/30</f>
        <v>0</v>
      </c>
    </row>
    <row r="71" spans="26:73" x14ac:dyDescent="0.15">
      <c r="Z71" s="10">
        <v>61</v>
      </c>
      <c r="AA71" s="10">
        <f>IFERROR(MAX($Z71-积分赛!$C$7,0)*INDEX($U$7:$U$14,MATCH(AA$10,$T$7:$T$14,0))/30,0)</f>
        <v>0</v>
      </c>
      <c r="AB71" s="10">
        <f>IFERROR(MAX($Z71-积分赛!$C$7,0)*INDEX($U$7:$U$14,MATCH(AB$10,$T$7:$T$14,0))/30,0)</f>
        <v>0</v>
      </c>
      <c r="AC71" s="10">
        <f>IFERROR(MAX($Z71-积分赛!$C$7,0)*INDEX($U$7:$U$14,MATCH(AC$10,$T$7:$T$14,0))/30,0)</f>
        <v>0</v>
      </c>
      <c r="AD71" s="10">
        <f>IFERROR(MAX($Z71-积分赛!$C$7,0)*INDEX($U$7:$U$14,MATCH(AD$10,$T$7:$T$14,0))/30,0)</f>
        <v>82666.666666666672</v>
      </c>
      <c r="AE71" s="10">
        <f>IFERROR(MAX($Z71-积分赛!$C$7,0)*INDEX($U$7:$U$14,MATCH(AE$10,$T$7:$T$14,0))/30,0)</f>
        <v>1033333.3333333334</v>
      </c>
      <c r="AF71" s="10">
        <f>MAX($Z71-积分赛!$C$7,0)*(IFERROR(INDEX($W$7:$W$14,MATCH(AF$10,$T$7:$T$14,0)),0)*$T$20+IFERROR(INDEX($X$7:$X$14,MATCH(AF$10,$T$7:$T$14,0)),0)*$T$21)/30</f>
        <v>0</v>
      </c>
      <c r="AG71" s="10">
        <f>MAX($Z71-积分赛!$C$7,0)*(IFERROR(INDEX($W$7:$W$14,MATCH(AG$10,$T$7:$T$14,0)),0)*$T$20+IFERROR(INDEX($X$7:$X$14,MATCH(AG$10,$T$7:$T$14,0)),0)*$T$21)/30</f>
        <v>0</v>
      </c>
      <c r="AH71" s="10">
        <f>MAX($Z71-积分赛!$C$7,0)*(IFERROR(INDEX($W$7:$W$14,MATCH(AH$10,$T$7:$T$14,0)),0)*$T$20+IFERROR(INDEX($X$7:$X$14,MATCH(AH$10,$T$7:$T$14,0)),0)*$T$21)/30</f>
        <v>0</v>
      </c>
      <c r="AI71" s="10">
        <f>MAX($Z71-积分赛!$C$7,0)*(IFERROR(INDEX($W$7:$W$14,MATCH(AI$10,$T$7:$T$14,0)),0)*$T$20+IFERROR(INDEX($X$7:$X$14,MATCH(AI$10,$T$7:$T$14,0)),0)*$T$21)/30</f>
        <v>3156.8333333333335</v>
      </c>
      <c r="AJ71" s="10">
        <f>MAX($Z71-积分赛!$C$7,0)*(IFERROR(INDEX($W$7:$W$14,MATCH(AJ$10,$T$7:$T$14,0)),0)*$T$20+IFERROR(INDEX($X$7:$X$14,MATCH(AJ$10,$T$7:$T$14,0)),0)*$T$21)/30</f>
        <v>18941</v>
      </c>
      <c r="AL71" s="10">
        <v>61</v>
      </c>
      <c r="AM71" s="10">
        <f>IFERROR(MAX(节奏总纲!D64-积分赛!$C$7,0)*INDEX($U$7:$U$14,MATCH(AA$10,$T$7:$T$14,0))/30,0)</f>
        <v>0</v>
      </c>
      <c r="AN71" s="10">
        <f>IFERROR(MAX(节奏总纲!E64-积分赛!$C$7,0)*INDEX($U$7:$U$14,MATCH(AB$10,$T$7:$T$14,0))/30,0)</f>
        <v>0</v>
      </c>
      <c r="AO71" s="10">
        <f>IFERROR(MAX(节奏总纲!F64-积分赛!$C$7,0)*INDEX($U$7:$U$14,MATCH(AC$10,$T$7:$T$14,0))/30,0)</f>
        <v>0</v>
      </c>
      <c r="AP71" s="10">
        <f>IFERROR(MAX(节奏总纲!G64-积分赛!$C$7,0)*INDEX($U$7:$U$14,MATCH(AD$10,$T$7:$T$14,0))/30,0)</f>
        <v>13945.954760348286</v>
      </c>
      <c r="AQ71" s="10">
        <f>IFERROR(MAX(节奏总纲!H64-积分赛!$C$7,0)*INDEX($U$7:$U$14,MATCH(AE$10,$T$7:$T$14,0))/30,0)</f>
        <v>0</v>
      </c>
      <c r="AR71" s="10">
        <f>MAX(节奏总纲!D64-积分赛!$C$7,0)*(IFERROR(INDEX($W$7:$W$14,MATCH(AF$10,$T$7:$T$14,0)),0)*$T$20+IFERROR(INDEX($X$7:$X$14,MATCH(AF$10,$T$7:$T$14,0)),0)*$T$21)/30</f>
        <v>0</v>
      </c>
      <c r="AS71" s="10">
        <f>MAX(节奏总纲!E64-积分赛!$C$7,0)*(IFERROR(INDEX($W$7:$W$14,MATCH(AG$10,$T$7:$T$14,0)),0)*$T$20+IFERROR(INDEX($X$7:$X$14,MATCH(AG$10,$T$7:$T$14,0)),0)*$T$21)/30</f>
        <v>0</v>
      </c>
      <c r="AT71" s="10">
        <f>MAX(节奏总纲!F64-积分赛!$C$7,0)*(IFERROR(INDEX($W$7:$W$14,MATCH(AH$10,$T$7:$T$14,0)),0)*$T$20+IFERROR(INDEX($X$7:$X$14,MATCH(AH$10,$T$7:$T$14,0)),0)*$T$21)/30</f>
        <v>0</v>
      </c>
      <c r="AU71" s="10">
        <f>MAX(节奏总纲!G64-积分赛!$C$7,0)*(IFERROR(INDEX($W$7:$W$14,MATCH(AI$10,$T$7:$T$14,0)),0)*$T$20+IFERROR(INDEX($X$7:$X$14,MATCH(AI$10,$T$7:$T$14,0)),0)*$T$21)/30</f>
        <v>532.56114741080023</v>
      </c>
      <c r="AV71" s="10">
        <f>MAX(节奏总纲!H64-积分赛!$C$7,0)*(IFERROR(INDEX($W$7:$W$14,MATCH(AJ$10,$T$7:$T$14,0)),0)*$T$20+IFERROR(INDEX($X$7:$X$14,MATCH(AJ$10,$T$7:$T$14,0)),0)*$T$21)/30</f>
        <v>0</v>
      </c>
      <c r="BI71" s="10">
        <v>61</v>
      </c>
      <c r="BJ71" s="10">
        <f>MAX($BI71-积分赛!$C$7,0)*$BC$10/30</f>
        <v>103333.33333333333</v>
      </c>
      <c r="BK71" s="10">
        <f>MAX($BI71-积分赛!$C$7,0)*$BC$10/30</f>
        <v>103333.33333333333</v>
      </c>
      <c r="BL71" s="10">
        <f>MAX($BI71-积分赛!$C$7,0)*$BC$10/30</f>
        <v>103333.33333333333</v>
      </c>
      <c r="BM71" s="10">
        <f>MAX($BI71-积分赛!$C$7,0)*$BC$10/30</f>
        <v>103333.33333333333</v>
      </c>
      <c r="BN71" s="10">
        <f>MAX($BI71-积分赛!$C$7,0)*$BC$10/30</f>
        <v>103333.33333333333</v>
      </c>
      <c r="BP71" s="10">
        <v>61</v>
      </c>
      <c r="BQ71" s="10">
        <f>MAX(节奏总纲!D64-积分赛!$C$7,0)*$BC$10/30</f>
        <v>125311.67200774244</v>
      </c>
      <c r="BR71" s="10">
        <f>MAX(节奏总纲!E64-积分赛!$C$7,0)*$BC$10/30</f>
        <v>95322.688463511906</v>
      </c>
      <c r="BS71" s="10">
        <f>MAX(节奏总纲!F64-积分赛!$C$7,0)*$BC$10/30</f>
        <v>59926.224791095585</v>
      </c>
      <c r="BT71" s="10">
        <f>MAX(节奏总纲!G64-积分赛!$C$7,0)*$BC$10/30</f>
        <v>17432.443450435359</v>
      </c>
      <c r="BU71" s="10">
        <f>MAX(节奏总纲!H64-积分赛!$C$7,0)*$BC$10/30</f>
        <v>0</v>
      </c>
    </row>
    <row r="72" spans="26:73" x14ac:dyDescent="0.15">
      <c r="Z72" s="10">
        <v>62</v>
      </c>
      <c r="AA72" s="10">
        <f>IFERROR(MAX($Z72-积分赛!$C$7,0)*INDEX($U$7:$U$14,MATCH(AA$10,$T$7:$T$14,0))/30,0)</f>
        <v>0</v>
      </c>
      <c r="AB72" s="10">
        <f>IFERROR(MAX($Z72-积分赛!$C$7,0)*INDEX($U$7:$U$14,MATCH(AB$10,$T$7:$T$14,0))/30,0)</f>
        <v>0</v>
      </c>
      <c r="AC72" s="10">
        <f>IFERROR(MAX($Z72-积分赛!$C$7,0)*INDEX($U$7:$U$14,MATCH(AC$10,$T$7:$T$14,0))/30,0)</f>
        <v>0</v>
      </c>
      <c r="AD72" s="10">
        <f>IFERROR(MAX($Z72-积分赛!$C$7,0)*INDEX($U$7:$U$14,MATCH(AD$10,$T$7:$T$14,0))/30,0)</f>
        <v>85333.333333333328</v>
      </c>
      <c r="AE72" s="10">
        <f>IFERROR(MAX($Z72-积分赛!$C$7,0)*INDEX($U$7:$U$14,MATCH(AE$10,$T$7:$T$14,0))/30,0)</f>
        <v>1066666.6666666667</v>
      </c>
      <c r="AF72" s="10">
        <f>MAX($Z72-积分赛!$C$7,0)*(IFERROR(INDEX($W$7:$W$14,MATCH(AF$10,$T$7:$T$14,0)),0)*$T$20+IFERROR(INDEX($X$7:$X$14,MATCH(AF$10,$T$7:$T$14,0)),0)*$T$21)/30</f>
        <v>0</v>
      </c>
      <c r="AG72" s="10">
        <f>MAX($Z72-积分赛!$C$7,0)*(IFERROR(INDEX($W$7:$W$14,MATCH(AG$10,$T$7:$T$14,0)),0)*$T$20+IFERROR(INDEX($X$7:$X$14,MATCH(AG$10,$T$7:$T$14,0)),0)*$T$21)/30</f>
        <v>0</v>
      </c>
      <c r="AH72" s="10">
        <f>MAX($Z72-积分赛!$C$7,0)*(IFERROR(INDEX($W$7:$W$14,MATCH(AH$10,$T$7:$T$14,0)),0)*$T$20+IFERROR(INDEX($X$7:$X$14,MATCH(AH$10,$T$7:$T$14,0)),0)*$T$21)/30</f>
        <v>0</v>
      </c>
      <c r="AI72" s="10">
        <f>MAX($Z72-积分赛!$C$7,0)*(IFERROR(INDEX($W$7:$W$14,MATCH(AI$10,$T$7:$T$14,0)),0)*$T$20+IFERROR(INDEX($X$7:$X$14,MATCH(AI$10,$T$7:$T$14,0)),0)*$T$21)/30</f>
        <v>3258.6666666666665</v>
      </c>
      <c r="AJ72" s="10">
        <f>MAX($Z72-积分赛!$C$7,0)*(IFERROR(INDEX($W$7:$W$14,MATCH(AJ$10,$T$7:$T$14,0)),0)*$T$20+IFERROR(INDEX($X$7:$X$14,MATCH(AJ$10,$T$7:$T$14,0)),0)*$T$21)/30</f>
        <v>19552</v>
      </c>
      <c r="AL72" s="10">
        <v>62</v>
      </c>
      <c r="AM72" s="10">
        <f>IFERROR(MAX(节奏总纲!D65-积分赛!$C$7,0)*INDEX($U$7:$U$14,MATCH(AA$10,$T$7:$T$14,0))/30,0)</f>
        <v>0</v>
      </c>
      <c r="AN72" s="10">
        <f>IFERROR(MAX(节奏总纲!E65-积分赛!$C$7,0)*INDEX($U$7:$U$14,MATCH(AB$10,$T$7:$T$14,0))/30,0)</f>
        <v>0</v>
      </c>
      <c r="AO72" s="10">
        <f>IFERROR(MAX(节奏总纲!F65-积分赛!$C$7,0)*INDEX($U$7:$U$14,MATCH(AC$10,$T$7:$T$14,0))/30,0)</f>
        <v>0</v>
      </c>
      <c r="AP72" s="10">
        <f>IFERROR(MAX(节奏总纲!G65-积分赛!$C$7,0)*INDEX($U$7:$U$14,MATCH(AD$10,$T$7:$T$14,0))/30,0)</f>
        <v>20923.901264717206</v>
      </c>
      <c r="AQ72" s="10">
        <f>IFERROR(MAX(节奏总纲!H65-积分赛!$C$7,0)*INDEX($U$7:$U$14,MATCH(AE$10,$T$7:$T$14,0))/30,0)</f>
        <v>0</v>
      </c>
      <c r="AR72" s="10">
        <f>MAX(节奏总纲!D65-积分赛!$C$7,0)*(IFERROR(INDEX($W$7:$W$14,MATCH(AF$10,$T$7:$T$14,0)),0)*$T$20+IFERROR(INDEX($X$7:$X$14,MATCH(AF$10,$T$7:$T$14,0)),0)*$T$21)/30</f>
        <v>0</v>
      </c>
      <c r="AS72" s="10">
        <f>MAX(节奏总纲!E65-积分赛!$C$7,0)*(IFERROR(INDEX($W$7:$W$14,MATCH(AG$10,$T$7:$T$14,0)),0)*$T$20+IFERROR(INDEX($X$7:$X$14,MATCH(AG$10,$T$7:$T$14,0)),0)*$T$21)/30</f>
        <v>0</v>
      </c>
      <c r="AT72" s="10">
        <f>MAX(节奏总纲!F65-积分赛!$C$7,0)*(IFERROR(INDEX($W$7:$W$14,MATCH(AH$10,$T$7:$T$14,0)),0)*$T$20+IFERROR(INDEX($X$7:$X$14,MATCH(AH$10,$T$7:$T$14,0)),0)*$T$21)/30</f>
        <v>0</v>
      </c>
      <c r="AU72" s="10">
        <f>MAX(节奏总纲!G65-积分赛!$C$7,0)*(IFERROR(INDEX($W$7:$W$14,MATCH(AI$10,$T$7:$T$14,0)),0)*$T$20+IFERROR(INDEX($X$7:$X$14,MATCH(AI$10,$T$7:$T$14,0)),0)*$T$21)/30</f>
        <v>799.03147954638837</v>
      </c>
      <c r="AV72" s="10">
        <f>MAX(节奏总纲!H65-积分赛!$C$7,0)*(IFERROR(INDEX($W$7:$W$14,MATCH(AJ$10,$T$7:$T$14,0)),0)*$T$20+IFERROR(INDEX($X$7:$X$14,MATCH(AJ$10,$T$7:$T$14,0)),0)*$T$21)/30</f>
        <v>0</v>
      </c>
      <c r="BI72" s="10">
        <v>62</v>
      </c>
      <c r="BJ72" s="10">
        <f>MAX($BI72-积分赛!$C$7,0)*$BC$10/30</f>
        <v>106666.66666666667</v>
      </c>
      <c r="BK72" s="10">
        <f>MAX($BI72-积分赛!$C$7,0)*$BC$10/30</f>
        <v>106666.66666666667</v>
      </c>
      <c r="BL72" s="10">
        <f>MAX($BI72-积分赛!$C$7,0)*$BC$10/30</f>
        <v>106666.66666666667</v>
      </c>
      <c r="BM72" s="10">
        <f>MAX($BI72-积分赛!$C$7,0)*$BC$10/30</f>
        <v>106666.66666666667</v>
      </c>
      <c r="BN72" s="10">
        <f>MAX($BI72-积分赛!$C$7,0)*$BC$10/30</f>
        <v>106666.66666666667</v>
      </c>
      <c r="BP72" s="10">
        <v>62</v>
      </c>
      <c r="BQ72" s="10">
        <f>MAX(节奏总纲!D65-积分赛!$C$7,0)*$BC$10/30</f>
        <v>141722.31573270072</v>
      </c>
      <c r="BR72" s="10">
        <f>MAX(节奏总纲!E65-积分赛!$C$7,0)*$BC$10/30</f>
        <v>109476.55881395846</v>
      </c>
      <c r="BS72" s="10">
        <f>MAX(节奏总纲!F65-积分赛!$C$7,0)*$BC$10/30</f>
        <v>71695.360864937335</v>
      </c>
      <c r="BT72" s="10">
        <f>MAX(节奏总纲!G65-积分赛!$C$7,0)*$BC$10/30</f>
        <v>26154.876580896507</v>
      </c>
      <c r="BU72" s="10">
        <f>MAX(节奏总纲!H65-积分赛!$C$7,0)*$BC$10/30</f>
        <v>0</v>
      </c>
    </row>
    <row r="73" spans="26:73" x14ac:dyDescent="0.15">
      <c r="Z73" s="10">
        <v>63</v>
      </c>
      <c r="AA73" s="10">
        <f>IFERROR(MAX($Z73-积分赛!$C$7,0)*INDEX($U$7:$U$14,MATCH(AA$10,$T$7:$T$14,0))/30,0)</f>
        <v>0</v>
      </c>
      <c r="AB73" s="10">
        <f>IFERROR(MAX($Z73-积分赛!$C$7,0)*INDEX($U$7:$U$14,MATCH(AB$10,$T$7:$T$14,0))/30,0)</f>
        <v>0</v>
      </c>
      <c r="AC73" s="10">
        <f>IFERROR(MAX($Z73-积分赛!$C$7,0)*INDEX($U$7:$U$14,MATCH(AC$10,$T$7:$T$14,0))/30,0)</f>
        <v>0</v>
      </c>
      <c r="AD73" s="10">
        <f>IFERROR(MAX($Z73-积分赛!$C$7,0)*INDEX($U$7:$U$14,MATCH(AD$10,$T$7:$T$14,0))/30,0)</f>
        <v>88000</v>
      </c>
      <c r="AE73" s="10">
        <f>IFERROR(MAX($Z73-积分赛!$C$7,0)*INDEX($U$7:$U$14,MATCH(AE$10,$T$7:$T$14,0))/30,0)</f>
        <v>1100000</v>
      </c>
      <c r="AF73" s="10">
        <f>MAX($Z73-积分赛!$C$7,0)*(IFERROR(INDEX($W$7:$W$14,MATCH(AF$10,$T$7:$T$14,0)),0)*$T$20+IFERROR(INDEX($X$7:$X$14,MATCH(AF$10,$T$7:$T$14,0)),0)*$T$21)/30</f>
        <v>0</v>
      </c>
      <c r="AG73" s="10">
        <f>MAX($Z73-积分赛!$C$7,0)*(IFERROR(INDEX($W$7:$W$14,MATCH(AG$10,$T$7:$T$14,0)),0)*$T$20+IFERROR(INDEX($X$7:$X$14,MATCH(AG$10,$T$7:$T$14,0)),0)*$T$21)/30</f>
        <v>0</v>
      </c>
      <c r="AH73" s="10">
        <f>MAX($Z73-积分赛!$C$7,0)*(IFERROR(INDEX($W$7:$W$14,MATCH(AH$10,$T$7:$T$14,0)),0)*$T$20+IFERROR(INDEX($X$7:$X$14,MATCH(AH$10,$T$7:$T$14,0)),0)*$T$21)/30</f>
        <v>0</v>
      </c>
      <c r="AI73" s="10">
        <f>MAX($Z73-积分赛!$C$7,0)*(IFERROR(INDEX($W$7:$W$14,MATCH(AI$10,$T$7:$T$14,0)),0)*$T$20+IFERROR(INDEX($X$7:$X$14,MATCH(AI$10,$T$7:$T$14,0)),0)*$T$21)/30</f>
        <v>3360.5</v>
      </c>
      <c r="AJ73" s="10">
        <f>MAX($Z73-积分赛!$C$7,0)*(IFERROR(INDEX($W$7:$W$14,MATCH(AJ$10,$T$7:$T$14,0)),0)*$T$20+IFERROR(INDEX($X$7:$X$14,MATCH(AJ$10,$T$7:$T$14,0)),0)*$T$21)/30</f>
        <v>20163</v>
      </c>
      <c r="AL73" s="10">
        <v>63</v>
      </c>
      <c r="AM73" s="10">
        <f>IFERROR(MAX(节奏总纲!D66-积分赛!$C$7,0)*INDEX($U$7:$U$14,MATCH(AA$10,$T$7:$T$14,0))/30,0)</f>
        <v>0</v>
      </c>
      <c r="AN73" s="10">
        <f>IFERROR(MAX(节奏总纲!E66-积分赛!$C$7,0)*INDEX($U$7:$U$14,MATCH(AB$10,$T$7:$T$14,0))/30,0)</f>
        <v>0</v>
      </c>
      <c r="AO73" s="10">
        <f>IFERROR(MAX(节奏总纲!F66-积分赛!$C$7,0)*INDEX($U$7:$U$14,MATCH(AC$10,$T$7:$T$14,0))/30,0)</f>
        <v>0</v>
      </c>
      <c r="AP73" s="10">
        <f>IFERROR(MAX(节奏总纲!G66-积分赛!$C$7,0)*INDEX($U$7:$U$14,MATCH(AD$10,$T$7:$T$14,0))/30,0)</f>
        <v>28474.897277961645</v>
      </c>
      <c r="AQ73" s="10">
        <f>IFERROR(MAX(节奏总纲!H66-积分赛!$C$7,0)*INDEX($U$7:$U$14,MATCH(AE$10,$T$7:$T$14,0))/30,0)</f>
        <v>0</v>
      </c>
      <c r="AR73" s="10">
        <f>MAX(节奏总纲!D66-积分赛!$C$7,0)*(IFERROR(INDEX($W$7:$W$14,MATCH(AF$10,$T$7:$T$14,0)),0)*$T$20+IFERROR(INDEX($X$7:$X$14,MATCH(AF$10,$T$7:$T$14,0)),0)*$T$21)/30</f>
        <v>0</v>
      </c>
      <c r="AS73" s="10">
        <f>MAX(节奏总纲!E66-积分赛!$C$7,0)*(IFERROR(INDEX($W$7:$W$14,MATCH(AG$10,$T$7:$T$14,0)),0)*$T$20+IFERROR(INDEX($X$7:$X$14,MATCH(AG$10,$T$7:$T$14,0)),0)*$T$21)/30</f>
        <v>0</v>
      </c>
      <c r="AT73" s="10">
        <f>MAX(节奏总纲!F66-积分赛!$C$7,0)*(IFERROR(INDEX($W$7:$W$14,MATCH(AH$10,$T$7:$T$14,0)),0)*$T$20+IFERROR(INDEX($X$7:$X$14,MATCH(AH$10,$T$7:$T$14,0)),0)*$T$21)/30</f>
        <v>0</v>
      </c>
      <c r="AU73" s="10">
        <f>MAX(节奏总纲!G66-积分赛!$C$7,0)*(IFERROR(INDEX($W$7:$W$14,MATCH(AI$10,$T$7:$T$14,0)),0)*$T$20+IFERROR(INDEX($X$7:$X$14,MATCH(AI$10,$T$7:$T$14,0)),0)*$T$21)/30</f>
        <v>1087.3851398021604</v>
      </c>
      <c r="AV73" s="10">
        <f>MAX(节奏总纲!H66-积分赛!$C$7,0)*(IFERROR(INDEX($W$7:$W$14,MATCH(AJ$10,$T$7:$T$14,0)),0)*$T$20+IFERROR(INDEX($X$7:$X$14,MATCH(AJ$10,$T$7:$T$14,0)),0)*$T$21)/30</f>
        <v>0</v>
      </c>
      <c r="BI73" s="10">
        <v>63</v>
      </c>
      <c r="BJ73" s="10">
        <f>MAX($BI73-积分赛!$C$7,0)*$BC$10/30</f>
        <v>110000</v>
      </c>
      <c r="BK73" s="10">
        <f>MAX($BI73-积分赛!$C$7,0)*$BC$10/30</f>
        <v>110000</v>
      </c>
      <c r="BL73" s="10">
        <f>MAX($BI73-积分赛!$C$7,0)*$BC$10/30</f>
        <v>110000</v>
      </c>
      <c r="BM73" s="10">
        <f>MAX($BI73-积分赛!$C$7,0)*$BC$10/30</f>
        <v>110000</v>
      </c>
      <c r="BN73" s="10">
        <f>MAX($BI73-积分赛!$C$7,0)*$BC$10/30</f>
        <v>110000</v>
      </c>
      <c r="BP73" s="10">
        <v>63</v>
      </c>
      <c r="BQ73" s="10">
        <f>MAX(节奏总纲!D66-积分赛!$C$7,0)*$BC$10/30</f>
        <v>159310.80818024871</v>
      </c>
      <c r="BR73" s="10">
        <f>MAX(节奏总纲!E66-积分赛!$C$7,0)*$BC$10/30</f>
        <v>124900.26393472968</v>
      </c>
      <c r="BS73" s="10">
        <f>MAX(节奏总纲!F66-积分赛!$C$7,0)*$BC$10/30</f>
        <v>84266.260292884734</v>
      </c>
      <c r="BT73" s="10">
        <f>MAX(节奏总纲!G66-积分赛!$C$7,0)*$BC$10/30</f>
        <v>35593.62159745206</v>
      </c>
      <c r="BU73" s="10">
        <f>MAX(节奏总纲!H66-积分赛!$C$7,0)*$BC$10/30</f>
        <v>0</v>
      </c>
    </row>
    <row r="74" spans="26:73" x14ac:dyDescent="0.15">
      <c r="Z74" s="10">
        <v>64</v>
      </c>
      <c r="AA74" s="10">
        <f>IFERROR(MAX($Z74-积分赛!$C$7,0)*INDEX($U$7:$U$14,MATCH(AA$10,$T$7:$T$14,0))/30,0)</f>
        <v>0</v>
      </c>
      <c r="AB74" s="10">
        <f>IFERROR(MAX($Z74-积分赛!$C$7,0)*INDEX($U$7:$U$14,MATCH(AB$10,$T$7:$T$14,0))/30,0)</f>
        <v>0</v>
      </c>
      <c r="AC74" s="10">
        <f>IFERROR(MAX($Z74-积分赛!$C$7,0)*INDEX($U$7:$U$14,MATCH(AC$10,$T$7:$T$14,0))/30,0)</f>
        <v>0</v>
      </c>
      <c r="AD74" s="10">
        <f>IFERROR(MAX($Z74-积分赛!$C$7,0)*INDEX($U$7:$U$14,MATCH(AD$10,$T$7:$T$14,0))/30,0)</f>
        <v>90666.666666666672</v>
      </c>
      <c r="AE74" s="10">
        <f>IFERROR(MAX($Z74-积分赛!$C$7,0)*INDEX($U$7:$U$14,MATCH(AE$10,$T$7:$T$14,0))/30,0)</f>
        <v>1133333.3333333333</v>
      </c>
      <c r="AF74" s="10">
        <f>MAX($Z74-积分赛!$C$7,0)*(IFERROR(INDEX($W$7:$W$14,MATCH(AF$10,$T$7:$T$14,0)),0)*$T$20+IFERROR(INDEX($X$7:$X$14,MATCH(AF$10,$T$7:$T$14,0)),0)*$T$21)/30</f>
        <v>0</v>
      </c>
      <c r="AG74" s="10">
        <f>MAX($Z74-积分赛!$C$7,0)*(IFERROR(INDEX($W$7:$W$14,MATCH(AG$10,$T$7:$T$14,0)),0)*$T$20+IFERROR(INDEX($X$7:$X$14,MATCH(AG$10,$T$7:$T$14,0)),0)*$T$21)/30</f>
        <v>0</v>
      </c>
      <c r="AH74" s="10">
        <f>MAX($Z74-积分赛!$C$7,0)*(IFERROR(INDEX($W$7:$W$14,MATCH(AH$10,$T$7:$T$14,0)),0)*$T$20+IFERROR(INDEX($X$7:$X$14,MATCH(AH$10,$T$7:$T$14,0)),0)*$T$21)/30</f>
        <v>0</v>
      </c>
      <c r="AI74" s="10">
        <f>MAX($Z74-积分赛!$C$7,0)*(IFERROR(INDEX($W$7:$W$14,MATCH(AI$10,$T$7:$T$14,0)),0)*$T$20+IFERROR(INDEX($X$7:$X$14,MATCH(AI$10,$T$7:$T$14,0)),0)*$T$21)/30</f>
        <v>3462.3333333333335</v>
      </c>
      <c r="AJ74" s="10">
        <f>MAX($Z74-积分赛!$C$7,0)*(IFERROR(INDEX($W$7:$W$14,MATCH(AJ$10,$T$7:$T$14,0)),0)*$T$20+IFERROR(INDEX($X$7:$X$14,MATCH(AJ$10,$T$7:$T$14,0)),0)*$T$21)/30</f>
        <v>20774</v>
      </c>
      <c r="AL74" s="10">
        <v>64</v>
      </c>
      <c r="AM74" s="10">
        <f>IFERROR(MAX(节奏总纲!D67-积分赛!$C$7,0)*INDEX($U$7:$U$14,MATCH(AA$10,$T$7:$T$14,0))/30,0)</f>
        <v>0</v>
      </c>
      <c r="AN74" s="10">
        <f>IFERROR(MAX(节奏总纲!E67-积分赛!$C$7,0)*INDEX($U$7:$U$14,MATCH(AB$10,$T$7:$T$14,0))/30,0)</f>
        <v>0</v>
      </c>
      <c r="AO74" s="10">
        <f>IFERROR(MAX(节奏总纲!F67-积分赛!$C$7,0)*INDEX($U$7:$U$14,MATCH(AC$10,$T$7:$T$14,0))/30,0)</f>
        <v>0</v>
      </c>
      <c r="AP74" s="10">
        <f>IFERROR(MAX(节奏总纲!G67-积分赛!$C$7,0)*INDEX($U$7:$U$14,MATCH(AD$10,$T$7:$T$14,0))/30,0)</f>
        <v>36583.126520135527</v>
      </c>
      <c r="AQ74" s="10">
        <f>IFERROR(MAX(节奏总纲!H67-积分赛!$C$7,0)*INDEX($U$7:$U$14,MATCH(AE$10,$T$7:$T$14,0))/30,0)</f>
        <v>0</v>
      </c>
      <c r="AR74" s="10">
        <f>MAX(节奏总纲!D67-积分赛!$C$7,0)*(IFERROR(INDEX($W$7:$W$14,MATCH(AF$10,$T$7:$T$14,0)),0)*$T$20+IFERROR(INDEX($X$7:$X$14,MATCH(AF$10,$T$7:$T$14,0)),0)*$T$21)/30</f>
        <v>0</v>
      </c>
      <c r="AS74" s="10">
        <f>MAX(节奏总纲!E67-积分赛!$C$7,0)*(IFERROR(INDEX($W$7:$W$14,MATCH(AG$10,$T$7:$T$14,0)),0)*$T$20+IFERROR(INDEX($X$7:$X$14,MATCH(AG$10,$T$7:$T$14,0)),0)*$T$21)/30</f>
        <v>0</v>
      </c>
      <c r="AT74" s="10">
        <f>MAX(节奏总纲!F67-积分赛!$C$7,0)*(IFERROR(INDEX($W$7:$W$14,MATCH(AH$10,$T$7:$T$14,0)),0)*$T$20+IFERROR(INDEX($X$7:$X$14,MATCH(AH$10,$T$7:$T$14,0)),0)*$T$21)/30</f>
        <v>0</v>
      </c>
      <c r="AU74" s="10">
        <f>MAX(节奏总纲!G67-积分赛!$C$7,0)*(IFERROR(INDEX($W$7:$W$14,MATCH(AI$10,$T$7:$T$14,0)),0)*$T$20+IFERROR(INDEX($X$7:$X$14,MATCH(AI$10,$T$7:$T$14,0)),0)*$T$21)/30</f>
        <v>1397.0181439876753</v>
      </c>
      <c r="AV74" s="10">
        <f>MAX(节奏总纲!H67-积分赛!$C$7,0)*(IFERROR(INDEX($W$7:$W$14,MATCH(AJ$10,$T$7:$T$14,0)),0)*$T$20+IFERROR(INDEX($X$7:$X$14,MATCH(AJ$10,$T$7:$T$14,0)),0)*$T$21)/30</f>
        <v>0</v>
      </c>
      <c r="BI74" s="10">
        <v>64</v>
      </c>
      <c r="BJ74" s="10">
        <f>MAX($BI74-积分赛!$C$7,0)*$BC$10/30</f>
        <v>113333.33333333333</v>
      </c>
      <c r="BK74" s="10">
        <f>MAX($BI74-积分赛!$C$7,0)*$BC$10/30</f>
        <v>113333.33333333333</v>
      </c>
      <c r="BL74" s="10">
        <f>MAX($BI74-积分赛!$C$7,0)*$BC$10/30</f>
        <v>113333.33333333333</v>
      </c>
      <c r="BM74" s="10">
        <f>MAX($BI74-积分赛!$C$7,0)*$BC$10/30</f>
        <v>113333.33333333333</v>
      </c>
      <c r="BN74" s="10">
        <f>MAX($BI74-积分赛!$C$7,0)*$BC$10/30</f>
        <v>113333.33333333333</v>
      </c>
      <c r="BP74" s="10">
        <v>64</v>
      </c>
      <c r="BQ74" s="10">
        <f>MAX(节奏总纲!D67-积分赛!$C$7,0)*$BC$10/30</f>
        <v>178161.68763155068</v>
      </c>
      <c r="BR74" s="10">
        <f>MAX(节奏总纲!E67-积分赛!$C$7,0)*$BC$10/30</f>
        <v>141333.08018913335</v>
      </c>
      <c r="BS74" s="10">
        <f>MAX(节奏总纲!F67-积分赛!$C$7,0)*$BC$10/30</f>
        <v>97884.22458108516</v>
      </c>
      <c r="BT74" s="10">
        <f>MAX(节奏总纲!G67-积分赛!$C$7,0)*$BC$10/30</f>
        <v>45728.908150169402</v>
      </c>
      <c r="BU74" s="10">
        <f>MAX(节奏总纲!H67-积分赛!$C$7,0)*$BC$10/30</f>
        <v>0</v>
      </c>
    </row>
    <row r="75" spans="26:73" x14ac:dyDescent="0.15">
      <c r="Z75" s="10">
        <v>65</v>
      </c>
      <c r="AA75" s="10">
        <f>IFERROR(MAX($Z75-积分赛!$C$7,0)*INDEX($U$7:$U$14,MATCH(AA$10,$T$7:$T$14,0))/30,0)</f>
        <v>0</v>
      </c>
      <c r="AB75" s="10">
        <f>IFERROR(MAX($Z75-积分赛!$C$7,0)*INDEX($U$7:$U$14,MATCH(AB$10,$T$7:$T$14,0))/30,0)</f>
        <v>0</v>
      </c>
      <c r="AC75" s="10">
        <f>IFERROR(MAX($Z75-积分赛!$C$7,0)*INDEX($U$7:$U$14,MATCH(AC$10,$T$7:$T$14,0))/30,0)</f>
        <v>0</v>
      </c>
      <c r="AD75" s="10">
        <f>IFERROR(MAX($Z75-积分赛!$C$7,0)*INDEX($U$7:$U$14,MATCH(AD$10,$T$7:$T$14,0))/30,0)</f>
        <v>93333.333333333328</v>
      </c>
      <c r="AE75" s="10">
        <f>IFERROR(MAX($Z75-积分赛!$C$7,0)*INDEX($U$7:$U$14,MATCH(AE$10,$T$7:$T$14,0))/30,0)</f>
        <v>1166666.6666666667</v>
      </c>
      <c r="AF75" s="10">
        <f>MAX($Z75-积分赛!$C$7,0)*(IFERROR(INDEX($W$7:$W$14,MATCH(AF$10,$T$7:$T$14,0)),0)*$T$20+IFERROR(INDEX($X$7:$X$14,MATCH(AF$10,$T$7:$T$14,0)),0)*$T$21)/30</f>
        <v>0</v>
      </c>
      <c r="AG75" s="10">
        <f>MAX($Z75-积分赛!$C$7,0)*(IFERROR(INDEX($W$7:$W$14,MATCH(AG$10,$T$7:$T$14,0)),0)*$T$20+IFERROR(INDEX($X$7:$X$14,MATCH(AG$10,$T$7:$T$14,0)),0)*$T$21)/30</f>
        <v>0</v>
      </c>
      <c r="AH75" s="10">
        <f>MAX($Z75-积分赛!$C$7,0)*(IFERROR(INDEX($W$7:$W$14,MATCH(AH$10,$T$7:$T$14,0)),0)*$T$20+IFERROR(INDEX($X$7:$X$14,MATCH(AH$10,$T$7:$T$14,0)),0)*$T$21)/30</f>
        <v>0</v>
      </c>
      <c r="AI75" s="10">
        <f>MAX($Z75-积分赛!$C$7,0)*(IFERROR(INDEX($W$7:$W$14,MATCH(AI$10,$T$7:$T$14,0)),0)*$T$20+IFERROR(INDEX($X$7:$X$14,MATCH(AI$10,$T$7:$T$14,0)),0)*$T$21)/30</f>
        <v>3564.1666666666665</v>
      </c>
      <c r="AJ75" s="10">
        <f>MAX($Z75-积分赛!$C$7,0)*(IFERROR(INDEX($W$7:$W$14,MATCH(AJ$10,$T$7:$T$14,0)),0)*$T$20+IFERROR(INDEX($X$7:$X$14,MATCH(AJ$10,$T$7:$T$14,0)),0)*$T$21)/30</f>
        <v>21385</v>
      </c>
      <c r="AL75" s="10">
        <v>65</v>
      </c>
      <c r="AM75" s="10">
        <f>IFERROR(MAX(节奏总纲!D68-积分赛!$C$7,0)*INDEX($U$7:$U$14,MATCH(AA$10,$T$7:$T$14,0))/30,0)</f>
        <v>0</v>
      </c>
      <c r="AN75" s="10">
        <f>IFERROR(MAX(节奏总纲!E68-积分赛!$C$7,0)*INDEX($U$7:$U$14,MATCH(AB$10,$T$7:$T$14,0))/30,0)</f>
        <v>0</v>
      </c>
      <c r="AO75" s="10">
        <f>IFERROR(MAX(节奏总纲!F68-积分赛!$C$7,0)*INDEX($U$7:$U$14,MATCH(AC$10,$T$7:$T$14,0))/30,0)</f>
        <v>0</v>
      </c>
      <c r="AP75" s="10">
        <f>IFERROR(MAX(节奏总纲!G68-积分赛!$C$7,0)*INDEX($U$7:$U$14,MATCH(AD$10,$T$7:$T$14,0))/30,0)</f>
        <v>45146.450475044447</v>
      </c>
      <c r="AQ75" s="10">
        <f>IFERROR(MAX(节奏总纲!H68-积分赛!$C$7,0)*INDEX($U$7:$U$14,MATCH(AE$10,$T$7:$T$14,0))/30,0)</f>
        <v>0</v>
      </c>
      <c r="AR75" s="10">
        <f>MAX(节奏总纲!D68-积分赛!$C$7,0)*(IFERROR(INDEX($W$7:$W$14,MATCH(AF$10,$T$7:$T$14,0)),0)*$T$20+IFERROR(INDEX($X$7:$X$14,MATCH(AF$10,$T$7:$T$14,0)),0)*$T$21)/30</f>
        <v>0</v>
      </c>
      <c r="AS75" s="10">
        <f>MAX(节奏总纲!E68-积分赛!$C$7,0)*(IFERROR(INDEX($W$7:$W$14,MATCH(AG$10,$T$7:$T$14,0)),0)*$T$20+IFERROR(INDEX($X$7:$X$14,MATCH(AG$10,$T$7:$T$14,0)),0)*$T$21)/30</f>
        <v>0</v>
      </c>
      <c r="AT75" s="10">
        <f>MAX(节奏总纲!F68-积分赛!$C$7,0)*(IFERROR(INDEX($W$7:$W$14,MATCH(AH$10,$T$7:$T$14,0)),0)*$T$20+IFERROR(INDEX($X$7:$X$14,MATCH(AH$10,$T$7:$T$14,0)),0)*$T$21)/30</f>
        <v>0</v>
      </c>
      <c r="AU75" s="10">
        <f>MAX(节奏总纲!G68-积分赛!$C$7,0)*(IFERROR(INDEX($W$7:$W$14,MATCH(AI$10,$T$7:$T$14,0)),0)*$T$20+IFERROR(INDEX($X$7:$X$14,MATCH(AI$10,$T$7:$T$14,0)),0)*$T$21)/30</f>
        <v>1724.0300775157598</v>
      </c>
      <c r="AV75" s="10">
        <f>MAX(节奏总纲!H68-积分赛!$C$7,0)*(IFERROR(INDEX($W$7:$W$14,MATCH(AJ$10,$T$7:$T$14,0)),0)*$T$20+IFERROR(INDEX($X$7:$X$14,MATCH(AJ$10,$T$7:$T$14,0)),0)*$T$21)/30</f>
        <v>0</v>
      </c>
      <c r="BI75" s="10">
        <v>65</v>
      </c>
      <c r="BJ75" s="10">
        <f>MAX($BI75-积分赛!$C$7,0)*$BC$10/30</f>
        <v>116666.66666666667</v>
      </c>
      <c r="BK75" s="10">
        <f>MAX($BI75-积分赛!$C$7,0)*$BC$10/30</f>
        <v>116666.66666666667</v>
      </c>
      <c r="BL75" s="10">
        <f>MAX($BI75-积分赛!$C$7,0)*$BC$10/30</f>
        <v>116666.66666666667</v>
      </c>
      <c r="BM75" s="10">
        <f>MAX($BI75-积分赛!$C$7,0)*$BC$10/30</f>
        <v>116666.66666666667</v>
      </c>
      <c r="BN75" s="10">
        <f>MAX($BI75-积分赛!$C$7,0)*$BC$10/30</f>
        <v>116666.66666666667</v>
      </c>
      <c r="BP75" s="10">
        <v>65</v>
      </c>
      <c r="BQ75" s="10">
        <f>MAX(节奏总纲!D68-积分赛!$C$7,0)*$BC$10/30</f>
        <v>198365.55997292689</v>
      </c>
      <c r="BR75" s="10">
        <f>MAX(节奏总纲!E68-积分赛!$C$7,0)*$BC$10/30</f>
        <v>158832.12327651406</v>
      </c>
      <c r="BS75" s="10">
        <f>MAX(节奏总纲!F68-积分赛!$C$7,0)*$BC$10/30</f>
        <v>112674.97114870227</v>
      </c>
      <c r="BT75" s="10">
        <f>MAX(节奏总纲!G68-积分赛!$C$7,0)*$BC$10/30</f>
        <v>56433.063093805562</v>
      </c>
      <c r="BU75" s="10">
        <f>MAX(节奏总纲!H68-积分赛!$C$7,0)*$BC$10/30</f>
        <v>0</v>
      </c>
    </row>
    <row r="76" spans="26:73" x14ac:dyDescent="0.15">
      <c r="Z76" s="10">
        <v>66</v>
      </c>
      <c r="AA76" s="10">
        <f>IFERROR(MAX($Z76-积分赛!$C$7,0)*INDEX($U$7:$U$14,MATCH(AA$10,$T$7:$T$14,0))/30,0)</f>
        <v>0</v>
      </c>
      <c r="AB76" s="10">
        <f>IFERROR(MAX($Z76-积分赛!$C$7,0)*INDEX($U$7:$U$14,MATCH(AB$10,$T$7:$T$14,0))/30,0)</f>
        <v>0</v>
      </c>
      <c r="AC76" s="10">
        <f>IFERROR(MAX($Z76-积分赛!$C$7,0)*INDEX($U$7:$U$14,MATCH(AC$10,$T$7:$T$14,0))/30,0)</f>
        <v>0</v>
      </c>
      <c r="AD76" s="10">
        <f>IFERROR(MAX($Z76-积分赛!$C$7,0)*INDEX($U$7:$U$14,MATCH(AD$10,$T$7:$T$14,0))/30,0)</f>
        <v>96000</v>
      </c>
      <c r="AE76" s="10">
        <f>IFERROR(MAX($Z76-积分赛!$C$7,0)*INDEX($U$7:$U$14,MATCH(AE$10,$T$7:$T$14,0))/30,0)</f>
        <v>1200000</v>
      </c>
      <c r="AF76" s="10">
        <f>MAX($Z76-积分赛!$C$7,0)*(IFERROR(INDEX($W$7:$W$14,MATCH(AF$10,$T$7:$T$14,0)),0)*$T$20+IFERROR(INDEX($X$7:$X$14,MATCH(AF$10,$T$7:$T$14,0)),0)*$T$21)/30</f>
        <v>0</v>
      </c>
      <c r="AG76" s="10">
        <f>MAX($Z76-积分赛!$C$7,0)*(IFERROR(INDEX($W$7:$W$14,MATCH(AG$10,$T$7:$T$14,0)),0)*$T$20+IFERROR(INDEX($X$7:$X$14,MATCH(AG$10,$T$7:$T$14,0)),0)*$T$21)/30</f>
        <v>0</v>
      </c>
      <c r="AH76" s="10">
        <f>MAX($Z76-积分赛!$C$7,0)*(IFERROR(INDEX($W$7:$W$14,MATCH(AH$10,$T$7:$T$14,0)),0)*$T$20+IFERROR(INDEX($X$7:$X$14,MATCH(AH$10,$T$7:$T$14,0)),0)*$T$21)/30</f>
        <v>0</v>
      </c>
      <c r="AI76" s="10">
        <f>MAX($Z76-积分赛!$C$7,0)*(IFERROR(INDEX($W$7:$W$14,MATCH(AI$10,$T$7:$T$14,0)),0)*$T$20+IFERROR(INDEX($X$7:$X$14,MATCH(AI$10,$T$7:$T$14,0)),0)*$T$21)/30</f>
        <v>3666</v>
      </c>
      <c r="AJ76" s="10">
        <f>MAX($Z76-积分赛!$C$7,0)*(IFERROR(INDEX($W$7:$W$14,MATCH(AJ$10,$T$7:$T$14,0)),0)*$T$20+IFERROR(INDEX($X$7:$X$14,MATCH(AJ$10,$T$7:$T$14,0)),0)*$T$21)/30</f>
        <v>21996</v>
      </c>
      <c r="AL76" s="10">
        <v>66</v>
      </c>
      <c r="AM76" s="10">
        <f>IFERROR(MAX(节奏总纲!D69-积分赛!$C$7,0)*INDEX($U$7:$U$14,MATCH(AA$10,$T$7:$T$14,0))/30,0)</f>
        <v>0</v>
      </c>
      <c r="AN76" s="10">
        <f>IFERROR(MAX(节奏总纲!E69-积分赛!$C$7,0)*INDEX($U$7:$U$14,MATCH(AB$10,$T$7:$T$14,0))/30,0)</f>
        <v>0</v>
      </c>
      <c r="AO76" s="10">
        <f>IFERROR(MAX(节奏总纲!F69-积分赛!$C$7,0)*INDEX($U$7:$U$14,MATCH(AC$10,$T$7:$T$14,0))/30,0)</f>
        <v>0</v>
      </c>
      <c r="AP76" s="10">
        <f>IFERROR(MAX(节奏总纲!G69-积分赛!$C$7,0)*INDEX($U$7:$U$14,MATCH(AD$10,$T$7:$T$14,0))/30,0)</f>
        <v>53768.165290953846</v>
      </c>
      <c r="AQ76" s="10">
        <f>IFERROR(MAX(节奏总纲!H69-积分赛!$C$7,0)*INDEX($U$7:$U$14,MATCH(AE$10,$T$7:$T$14,0))/30,0)</f>
        <v>0</v>
      </c>
      <c r="AR76" s="10">
        <f>MAX(节奏总纲!D69-积分赛!$C$7,0)*(IFERROR(INDEX($W$7:$W$14,MATCH(AF$10,$T$7:$T$14,0)),0)*$T$20+IFERROR(INDEX($X$7:$X$14,MATCH(AF$10,$T$7:$T$14,0)),0)*$T$21)/30</f>
        <v>0</v>
      </c>
      <c r="AS76" s="10">
        <f>MAX(节奏总纲!E69-积分赛!$C$7,0)*(IFERROR(INDEX($W$7:$W$14,MATCH(AG$10,$T$7:$T$14,0)),0)*$T$20+IFERROR(INDEX($X$7:$X$14,MATCH(AG$10,$T$7:$T$14,0)),0)*$T$21)/30</f>
        <v>0</v>
      </c>
      <c r="AT76" s="10">
        <f>MAX(节奏总纲!F69-积分赛!$C$7,0)*(IFERROR(INDEX($W$7:$W$14,MATCH(AH$10,$T$7:$T$14,0)),0)*$T$20+IFERROR(INDEX($X$7:$X$14,MATCH(AH$10,$T$7:$T$14,0)),0)*$T$21)/30</f>
        <v>0</v>
      </c>
      <c r="AU76" s="10">
        <f>MAX(节奏总纲!G69-积分赛!$C$7,0)*(IFERROR(INDEX($W$7:$W$14,MATCH(AI$10,$T$7:$T$14,0)),0)*$T$20+IFERROR(INDEX($X$7:$X$14,MATCH(AI$10,$T$7:$T$14,0)),0)*$T$21)/30</f>
        <v>2053.2718120483</v>
      </c>
      <c r="AV76" s="10">
        <f>MAX(节奏总纲!H69-积分赛!$C$7,0)*(IFERROR(INDEX($W$7:$W$14,MATCH(AJ$10,$T$7:$T$14,0)),0)*$T$20+IFERROR(INDEX($X$7:$X$14,MATCH(AJ$10,$T$7:$T$14,0)),0)*$T$21)/30</f>
        <v>0</v>
      </c>
      <c r="BI76" s="10">
        <v>66</v>
      </c>
      <c r="BJ76" s="10">
        <f>MAX($BI76-积分赛!$C$7,0)*$BC$10/30</f>
        <v>120000</v>
      </c>
      <c r="BK76" s="10">
        <f>MAX($BI76-积分赛!$C$7,0)*$BC$10/30</f>
        <v>120000</v>
      </c>
      <c r="BL76" s="10">
        <f>MAX($BI76-积分赛!$C$7,0)*$BC$10/30</f>
        <v>120000</v>
      </c>
      <c r="BM76" s="10">
        <f>MAX($BI76-积分赛!$C$7,0)*$BC$10/30</f>
        <v>120000</v>
      </c>
      <c r="BN76" s="10">
        <f>MAX($BI76-积分赛!$C$7,0)*$BC$10/30</f>
        <v>120000</v>
      </c>
      <c r="BP76" s="10">
        <v>66</v>
      </c>
      <c r="BQ76" s="10">
        <f>MAX(节奏总纲!D69-积分赛!$C$7,0)*$BC$10/30</f>
        <v>220019.53418888481</v>
      </c>
      <c r="BR76" s="10">
        <f>MAX(节奏总纲!E69-积分赛!$C$7,0)*$BC$10/30</f>
        <v>177840.95958278977</v>
      </c>
      <c r="BS76" s="10">
        <f>MAX(节奏总纲!F69-积分赛!$C$7,0)*$BC$10/30</f>
        <v>128301.93569035041</v>
      </c>
      <c r="BT76" s="10">
        <f>MAX(节奏总纲!G69-积分赛!$C$7,0)*$BC$10/30</f>
        <v>67210.206613692309</v>
      </c>
      <c r="BU76" s="10">
        <f>MAX(节奏总纲!H69-积分赛!$C$7,0)*$BC$10/30</f>
        <v>0</v>
      </c>
    </row>
    <row r="77" spans="26:73" x14ac:dyDescent="0.15">
      <c r="Z77" s="10">
        <v>67</v>
      </c>
      <c r="AA77" s="10">
        <f>IFERROR(MAX($Z77-积分赛!$C$7,0)*INDEX($U$7:$U$14,MATCH(AA$10,$T$7:$T$14,0))/30,0)</f>
        <v>0</v>
      </c>
      <c r="AB77" s="10">
        <f>IFERROR(MAX($Z77-积分赛!$C$7,0)*INDEX($U$7:$U$14,MATCH(AB$10,$T$7:$T$14,0))/30,0)</f>
        <v>0</v>
      </c>
      <c r="AC77" s="10">
        <f>IFERROR(MAX($Z77-积分赛!$C$7,0)*INDEX($U$7:$U$14,MATCH(AC$10,$T$7:$T$14,0))/30,0)</f>
        <v>0</v>
      </c>
      <c r="AD77" s="10">
        <f>IFERROR(MAX($Z77-积分赛!$C$7,0)*INDEX($U$7:$U$14,MATCH(AD$10,$T$7:$T$14,0))/30,0)</f>
        <v>98666.666666666672</v>
      </c>
      <c r="AE77" s="10">
        <f>IFERROR(MAX($Z77-积分赛!$C$7,0)*INDEX($U$7:$U$14,MATCH(AE$10,$T$7:$T$14,0))/30,0)</f>
        <v>1233333.3333333333</v>
      </c>
      <c r="AF77" s="10">
        <f>MAX($Z77-积分赛!$C$7,0)*(IFERROR(INDEX($W$7:$W$14,MATCH(AF$10,$T$7:$T$14,0)),0)*$T$20+IFERROR(INDEX($X$7:$X$14,MATCH(AF$10,$T$7:$T$14,0)),0)*$T$21)/30</f>
        <v>0</v>
      </c>
      <c r="AG77" s="10">
        <f>MAX($Z77-积分赛!$C$7,0)*(IFERROR(INDEX($W$7:$W$14,MATCH(AG$10,$T$7:$T$14,0)),0)*$T$20+IFERROR(INDEX($X$7:$X$14,MATCH(AG$10,$T$7:$T$14,0)),0)*$T$21)/30</f>
        <v>0</v>
      </c>
      <c r="AH77" s="10">
        <f>MAX($Z77-积分赛!$C$7,0)*(IFERROR(INDEX($W$7:$W$14,MATCH(AH$10,$T$7:$T$14,0)),0)*$T$20+IFERROR(INDEX($X$7:$X$14,MATCH(AH$10,$T$7:$T$14,0)),0)*$T$21)/30</f>
        <v>0</v>
      </c>
      <c r="AI77" s="10">
        <f>MAX($Z77-积分赛!$C$7,0)*(IFERROR(INDEX($W$7:$W$14,MATCH(AI$10,$T$7:$T$14,0)),0)*$T$20+IFERROR(INDEX($X$7:$X$14,MATCH(AI$10,$T$7:$T$14,0)),0)*$T$21)/30</f>
        <v>3767.8333333333335</v>
      </c>
      <c r="AJ77" s="10">
        <f>MAX($Z77-积分赛!$C$7,0)*(IFERROR(INDEX($W$7:$W$14,MATCH(AJ$10,$T$7:$T$14,0)),0)*$T$20+IFERROR(INDEX($X$7:$X$14,MATCH(AJ$10,$T$7:$T$14,0)),0)*$T$21)/30</f>
        <v>22607</v>
      </c>
      <c r="AL77" s="10">
        <v>67</v>
      </c>
      <c r="AM77" s="10">
        <f>IFERROR(MAX(节奏总纲!D70-积分赛!$C$7,0)*INDEX($U$7:$U$14,MATCH(AA$10,$T$7:$T$14,0))/30,0)</f>
        <v>0</v>
      </c>
      <c r="AN77" s="10">
        <f>IFERROR(MAX(节奏总纲!E70-积分赛!$C$7,0)*INDEX($U$7:$U$14,MATCH(AB$10,$T$7:$T$14,0))/30,0)</f>
        <v>0</v>
      </c>
      <c r="AO77" s="10">
        <f>IFERROR(MAX(节奏总纲!F70-积分赛!$C$7,0)*INDEX($U$7:$U$14,MATCH(AC$10,$T$7:$T$14,0))/30,0)</f>
        <v>0</v>
      </c>
      <c r="AP77" s="10">
        <f>IFERROR(MAX(节奏总纲!G70-积分赛!$C$7,0)*INDEX($U$7:$U$14,MATCH(AD$10,$T$7:$T$14,0))/30,0)</f>
        <v>63002.384391621075</v>
      </c>
      <c r="AQ77" s="10">
        <f>IFERROR(MAX(节奏总纲!H70-积分赛!$C$7,0)*INDEX($U$7:$U$14,MATCH(AE$10,$T$7:$T$14,0))/30,0)</f>
        <v>0</v>
      </c>
      <c r="AR77" s="10">
        <f>MAX(节奏总纲!D70-积分赛!$C$7,0)*(IFERROR(INDEX($W$7:$W$14,MATCH(AF$10,$T$7:$T$14,0)),0)*$T$20+IFERROR(INDEX($X$7:$X$14,MATCH(AF$10,$T$7:$T$14,0)),0)*$T$21)/30</f>
        <v>0</v>
      </c>
      <c r="AS77" s="10">
        <f>MAX(节奏总纲!E70-积分赛!$C$7,0)*(IFERROR(INDEX($W$7:$W$14,MATCH(AG$10,$T$7:$T$14,0)),0)*$T$20+IFERROR(INDEX($X$7:$X$14,MATCH(AG$10,$T$7:$T$14,0)),0)*$T$21)/30</f>
        <v>0</v>
      </c>
      <c r="AT77" s="10">
        <f>MAX(节奏总纲!F70-积分赛!$C$7,0)*(IFERROR(INDEX($W$7:$W$14,MATCH(AH$10,$T$7:$T$14,0)),0)*$T$20+IFERROR(INDEX($X$7:$X$14,MATCH(AH$10,$T$7:$T$14,0)),0)*$T$21)/30</f>
        <v>0</v>
      </c>
      <c r="AU77" s="10">
        <f>MAX(节奏总纲!G70-积分赛!$C$7,0)*(IFERROR(INDEX($W$7:$W$14,MATCH(AI$10,$T$7:$T$14,0)),0)*$T$20+IFERROR(INDEX($X$7:$X$14,MATCH(AI$10,$T$7:$T$14,0)),0)*$T$21)/30</f>
        <v>2405.90355395503</v>
      </c>
      <c r="AV77" s="10">
        <f>MAX(节奏总纲!H70-积分赛!$C$7,0)*(IFERROR(INDEX($W$7:$W$14,MATCH(AJ$10,$T$7:$T$14,0)),0)*$T$20+IFERROR(INDEX($X$7:$X$14,MATCH(AJ$10,$T$7:$T$14,0)),0)*$T$21)/30</f>
        <v>0</v>
      </c>
      <c r="BI77" s="10">
        <v>67</v>
      </c>
      <c r="BJ77" s="10">
        <f>MAX($BI77-积分赛!$C$7,0)*$BC$10/30</f>
        <v>123333.33333333333</v>
      </c>
      <c r="BK77" s="10">
        <f>MAX($BI77-积分赛!$C$7,0)*$BC$10/30</f>
        <v>123333.33333333333</v>
      </c>
      <c r="BL77" s="10">
        <f>MAX($BI77-积分赛!$C$7,0)*$BC$10/30</f>
        <v>123333.33333333333</v>
      </c>
      <c r="BM77" s="10">
        <f>MAX($BI77-积分赛!$C$7,0)*$BC$10/30</f>
        <v>123333.33333333333</v>
      </c>
      <c r="BN77" s="10">
        <f>MAX($BI77-积分赛!$C$7,0)*$BC$10/30</f>
        <v>123333.33333333333</v>
      </c>
      <c r="BP77" s="10">
        <v>67</v>
      </c>
      <c r="BQ77" s="10">
        <f>MAX(节奏总纲!D70-积分赛!$C$7,0)*$BC$10/30</f>
        <v>243227.68911199371</v>
      </c>
      <c r="BR77" s="10">
        <f>MAX(节奏总纲!E70-积分赛!$C$7,0)*$BC$10/30</f>
        <v>198230.53906941132</v>
      </c>
      <c r="BS77" s="10">
        <f>MAX(节奏总纲!F70-积分赛!$C$7,0)*$BC$10/30</f>
        <v>144309.46910991712</v>
      </c>
      <c r="BT77" s="10">
        <f>MAX(节奏总纲!G70-积分赛!$C$7,0)*$BC$10/30</f>
        <v>78752.980489526351</v>
      </c>
      <c r="BU77" s="10">
        <f>MAX(节奏总纲!H70-积分赛!$C$7,0)*$BC$10/30</f>
        <v>0</v>
      </c>
    </row>
    <row r="78" spans="26:73" x14ac:dyDescent="0.15">
      <c r="Z78" s="10">
        <v>68</v>
      </c>
      <c r="AA78" s="10">
        <f>IFERROR(MAX($Z78-积分赛!$C$7,0)*INDEX($U$7:$U$14,MATCH(AA$10,$T$7:$T$14,0))/30,0)</f>
        <v>0</v>
      </c>
      <c r="AB78" s="10">
        <f>IFERROR(MAX($Z78-积分赛!$C$7,0)*INDEX($U$7:$U$14,MATCH(AB$10,$T$7:$T$14,0))/30,0)</f>
        <v>0</v>
      </c>
      <c r="AC78" s="10">
        <f>IFERROR(MAX($Z78-积分赛!$C$7,0)*INDEX($U$7:$U$14,MATCH(AC$10,$T$7:$T$14,0))/30,0)</f>
        <v>0</v>
      </c>
      <c r="AD78" s="10">
        <f>IFERROR(MAX($Z78-积分赛!$C$7,0)*INDEX($U$7:$U$14,MATCH(AD$10,$T$7:$T$14,0))/30,0)</f>
        <v>101333.33333333333</v>
      </c>
      <c r="AE78" s="10">
        <f>IFERROR(MAX($Z78-积分赛!$C$7,0)*INDEX($U$7:$U$14,MATCH(AE$10,$T$7:$T$14,0))/30,0)</f>
        <v>1266666.6666666667</v>
      </c>
      <c r="AF78" s="10">
        <f>MAX($Z78-积分赛!$C$7,0)*(IFERROR(INDEX($W$7:$W$14,MATCH(AF$10,$T$7:$T$14,0)),0)*$T$20+IFERROR(INDEX($X$7:$X$14,MATCH(AF$10,$T$7:$T$14,0)),0)*$T$21)/30</f>
        <v>0</v>
      </c>
      <c r="AG78" s="10">
        <f>MAX($Z78-积分赛!$C$7,0)*(IFERROR(INDEX($W$7:$W$14,MATCH(AG$10,$T$7:$T$14,0)),0)*$T$20+IFERROR(INDEX($X$7:$X$14,MATCH(AG$10,$T$7:$T$14,0)),0)*$T$21)/30</f>
        <v>0</v>
      </c>
      <c r="AH78" s="10">
        <f>MAX($Z78-积分赛!$C$7,0)*(IFERROR(INDEX($W$7:$W$14,MATCH(AH$10,$T$7:$T$14,0)),0)*$T$20+IFERROR(INDEX($X$7:$X$14,MATCH(AH$10,$T$7:$T$14,0)),0)*$T$21)/30</f>
        <v>0</v>
      </c>
      <c r="AI78" s="10">
        <f>MAX($Z78-积分赛!$C$7,0)*(IFERROR(INDEX($W$7:$W$14,MATCH(AI$10,$T$7:$T$14,0)),0)*$T$20+IFERROR(INDEX($X$7:$X$14,MATCH(AI$10,$T$7:$T$14,0)),0)*$T$21)/30</f>
        <v>3869.6666666666665</v>
      </c>
      <c r="AJ78" s="10">
        <f>MAX($Z78-积分赛!$C$7,0)*(IFERROR(INDEX($W$7:$W$14,MATCH(AJ$10,$T$7:$T$14,0)),0)*$T$20+IFERROR(INDEX($X$7:$X$14,MATCH(AJ$10,$T$7:$T$14,0)),0)*$T$21)/30</f>
        <v>23218</v>
      </c>
      <c r="AL78" s="10">
        <v>68</v>
      </c>
      <c r="AM78" s="10">
        <f>IFERROR(MAX(节奏总纲!D71-积分赛!$C$7,0)*INDEX($U$7:$U$14,MATCH(AA$10,$T$7:$T$14,0))/30,0)</f>
        <v>0</v>
      </c>
      <c r="AN78" s="10">
        <f>IFERROR(MAX(节奏总纲!E71-积分赛!$C$7,0)*INDEX($U$7:$U$14,MATCH(AB$10,$T$7:$T$14,0))/30,0)</f>
        <v>0</v>
      </c>
      <c r="AO78" s="10">
        <f>IFERROR(MAX(节奏总纲!F71-积分赛!$C$7,0)*INDEX($U$7:$U$14,MATCH(AC$10,$T$7:$T$14,0))/30,0)</f>
        <v>0</v>
      </c>
      <c r="AP78" s="10">
        <f>IFERROR(MAX(节奏总纲!G71-积分赛!$C$7,0)*INDEX($U$7:$U$14,MATCH(AD$10,$T$7:$T$14,0))/30,0)</f>
        <v>73100.806522079511</v>
      </c>
      <c r="AQ78" s="10">
        <f>IFERROR(MAX(节奏总纲!H71-积分赛!$C$7,0)*INDEX($U$7:$U$14,MATCH(AE$10,$T$7:$T$14,0))/30,0)</f>
        <v>61973.040046642083</v>
      </c>
      <c r="AR78" s="10">
        <f>MAX(节奏总纲!D71-积分赛!$C$7,0)*(IFERROR(INDEX($W$7:$W$14,MATCH(AF$10,$T$7:$T$14,0)),0)*$T$20+IFERROR(INDEX($X$7:$X$14,MATCH(AF$10,$T$7:$T$14,0)),0)*$T$21)/30</f>
        <v>0</v>
      </c>
      <c r="AS78" s="10">
        <f>MAX(节奏总纲!E71-积分赛!$C$7,0)*(IFERROR(INDEX($W$7:$W$14,MATCH(AG$10,$T$7:$T$14,0)),0)*$T$20+IFERROR(INDEX($X$7:$X$14,MATCH(AG$10,$T$7:$T$14,0)),0)*$T$21)/30</f>
        <v>0</v>
      </c>
      <c r="AT78" s="10">
        <f>MAX(节奏总纲!F71-积分赛!$C$7,0)*(IFERROR(INDEX($W$7:$W$14,MATCH(AH$10,$T$7:$T$14,0)),0)*$T$20+IFERROR(INDEX($X$7:$X$14,MATCH(AH$10,$T$7:$T$14,0)),0)*$T$21)/30</f>
        <v>0</v>
      </c>
      <c r="AU78" s="10">
        <f>MAX(节奏总纲!G71-积分赛!$C$7,0)*(IFERROR(INDEX($W$7:$W$14,MATCH(AI$10,$T$7:$T$14,0)),0)*$T$20+IFERROR(INDEX($X$7:$X$14,MATCH(AI$10,$T$7:$T$14,0)),0)*$T$21)/30</f>
        <v>2791.5370490619111</v>
      </c>
      <c r="AV78" s="10">
        <f>MAX(节奏总纲!H71-积分赛!$C$7,0)*(IFERROR(INDEX($W$7:$W$14,MATCH(AJ$10,$T$7:$T$14,0)),0)*$T$20+IFERROR(INDEX($X$7:$X$14,MATCH(AJ$10,$T$7:$T$14,0)),0)*$T$21)/30</f>
        <v>1135.9658240549495</v>
      </c>
      <c r="BI78" s="10">
        <v>68</v>
      </c>
      <c r="BJ78" s="10">
        <f>MAX($BI78-积分赛!$C$7,0)*$BC$10/30</f>
        <v>126666.66666666667</v>
      </c>
      <c r="BK78" s="10">
        <f>MAX($BI78-积分赛!$C$7,0)*$BC$10/30</f>
        <v>126666.66666666667</v>
      </c>
      <c r="BL78" s="10">
        <f>MAX($BI78-积分赛!$C$7,0)*$BC$10/30</f>
        <v>126666.66666666667</v>
      </c>
      <c r="BM78" s="10">
        <f>MAX($BI78-积分赛!$C$7,0)*$BC$10/30</f>
        <v>126666.66666666667</v>
      </c>
      <c r="BN78" s="10">
        <f>MAX($BI78-积分赛!$C$7,0)*$BC$10/30</f>
        <v>126666.66666666667</v>
      </c>
      <c r="BP78" s="10">
        <v>68</v>
      </c>
      <c r="BQ78" s="10">
        <f>MAX(节奏总纲!D71-积分赛!$C$7,0)*$BC$10/30</f>
        <v>268101.57367301284</v>
      </c>
      <c r="BR78" s="10">
        <f>MAX(节奏总纲!E71-积分赛!$C$7,0)*$BC$10/30</f>
        <v>219438.54563344055</v>
      </c>
      <c r="BS78" s="10">
        <f>MAX(节奏总纲!F71-积分赛!$C$7,0)*$BC$10/30</f>
        <v>160836.77510469692</v>
      </c>
      <c r="BT78" s="10">
        <f>MAX(节奏总纲!G71-积分赛!$C$7,0)*$BC$10/30</f>
        <v>91376.008152599388</v>
      </c>
      <c r="BU78" s="10">
        <f>MAX(节奏总纲!H71-积分赛!$C$7,0)*$BC$10/30</f>
        <v>6197.3040046642091</v>
      </c>
    </row>
    <row r="79" spans="26:73" x14ac:dyDescent="0.15">
      <c r="Z79" s="10">
        <v>69</v>
      </c>
      <c r="AA79" s="10">
        <f>IFERROR(MAX($Z79-积分赛!$C$7,0)*INDEX($U$7:$U$14,MATCH(AA$10,$T$7:$T$14,0))/30,0)</f>
        <v>0</v>
      </c>
      <c r="AB79" s="10">
        <f>IFERROR(MAX($Z79-积分赛!$C$7,0)*INDEX($U$7:$U$14,MATCH(AB$10,$T$7:$T$14,0))/30,0)</f>
        <v>0</v>
      </c>
      <c r="AC79" s="10">
        <f>IFERROR(MAX($Z79-积分赛!$C$7,0)*INDEX($U$7:$U$14,MATCH(AC$10,$T$7:$T$14,0))/30,0)</f>
        <v>0</v>
      </c>
      <c r="AD79" s="10">
        <f>IFERROR(MAX($Z79-积分赛!$C$7,0)*INDEX($U$7:$U$14,MATCH(AD$10,$T$7:$T$14,0))/30,0)</f>
        <v>104000</v>
      </c>
      <c r="AE79" s="10">
        <f>IFERROR(MAX($Z79-积分赛!$C$7,0)*INDEX($U$7:$U$14,MATCH(AE$10,$T$7:$T$14,0))/30,0)</f>
        <v>1300000</v>
      </c>
      <c r="AF79" s="10">
        <f>MAX($Z79-积分赛!$C$7,0)*(IFERROR(INDEX($W$7:$W$14,MATCH(AF$10,$T$7:$T$14,0)),0)*$T$20+IFERROR(INDEX($X$7:$X$14,MATCH(AF$10,$T$7:$T$14,0)),0)*$T$21)/30</f>
        <v>0</v>
      </c>
      <c r="AG79" s="10">
        <f>MAX($Z79-积分赛!$C$7,0)*(IFERROR(INDEX($W$7:$W$14,MATCH(AG$10,$T$7:$T$14,0)),0)*$T$20+IFERROR(INDEX($X$7:$X$14,MATCH(AG$10,$T$7:$T$14,0)),0)*$T$21)/30</f>
        <v>0</v>
      </c>
      <c r="AH79" s="10">
        <f>MAX($Z79-积分赛!$C$7,0)*(IFERROR(INDEX($W$7:$W$14,MATCH(AH$10,$T$7:$T$14,0)),0)*$T$20+IFERROR(INDEX($X$7:$X$14,MATCH(AH$10,$T$7:$T$14,0)),0)*$T$21)/30</f>
        <v>0</v>
      </c>
      <c r="AI79" s="10">
        <f>MAX($Z79-积分赛!$C$7,0)*(IFERROR(INDEX($W$7:$W$14,MATCH(AI$10,$T$7:$T$14,0)),0)*$T$20+IFERROR(INDEX($X$7:$X$14,MATCH(AI$10,$T$7:$T$14,0)),0)*$T$21)/30</f>
        <v>3971.5</v>
      </c>
      <c r="AJ79" s="10">
        <f>MAX($Z79-积分赛!$C$7,0)*(IFERROR(INDEX($W$7:$W$14,MATCH(AJ$10,$T$7:$T$14,0)),0)*$T$20+IFERROR(INDEX($X$7:$X$14,MATCH(AJ$10,$T$7:$T$14,0)),0)*$T$21)/30</f>
        <v>23829</v>
      </c>
      <c r="AL79" s="10">
        <v>69</v>
      </c>
      <c r="AM79" s="10">
        <f>IFERROR(MAX(节奏总纲!D72-积分赛!$C$7,0)*INDEX($U$7:$U$14,MATCH(AA$10,$T$7:$T$14,0))/30,0)</f>
        <v>0</v>
      </c>
      <c r="AN79" s="10">
        <f>IFERROR(MAX(节奏总纲!E72-积分赛!$C$7,0)*INDEX($U$7:$U$14,MATCH(AB$10,$T$7:$T$14,0))/30,0)</f>
        <v>0</v>
      </c>
      <c r="AO79" s="10">
        <f>IFERROR(MAX(节奏总纲!F72-积分赛!$C$7,0)*INDEX($U$7:$U$14,MATCH(AC$10,$T$7:$T$14,0))/30,0)</f>
        <v>0</v>
      </c>
      <c r="AP79" s="10">
        <f>IFERROR(MAX(节奏总纲!G72-积分赛!$C$7,0)*INDEX($U$7:$U$14,MATCH(AD$10,$T$7:$T$14,0))/30,0)</f>
        <v>84094.145673395193</v>
      </c>
      <c r="AQ79" s="10">
        <f>IFERROR(MAX(节奏总纲!H72-积分赛!$C$7,0)*INDEX($U$7:$U$14,MATCH(AE$10,$T$7:$T$14,0))/30,0)</f>
        <v>135331.89702820583</v>
      </c>
      <c r="AR79" s="10">
        <f>MAX(节奏总纲!D72-积分赛!$C$7,0)*(IFERROR(INDEX($W$7:$W$14,MATCH(AF$10,$T$7:$T$14,0)),0)*$T$20+IFERROR(INDEX($X$7:$X$14,MATCH(AF$10,$T$7:$T$14,0)),0)*$T$21)/30</f>
        <v>0</v>
      </c>
      <c r="AS79" s="10">
        <f>MAX(节奏总纲!E72-积分赛!$C$7,0)*(IFERROR(INDEX($W$7:$W$14,MATCH(AG$10,$T$7:$T$14,0)),0)*$T$20+IFERROR(INDEX($X$7:$X$14,MATCH(AG$10,$T$7:$T$14,0)),0)*$T$21)/30</f>
        <v>0</v>
      </c>
      <c r="AT79" s="10">
        <f>MAX(节奏总纲!F72-积分赛!$C$7,0)*(IFERROR(INDEX($W$7:$W$14,MATCH(AH$10,$T$7:$T$14,0)),0)*$T$20+IFERROR(INDEX($X$7:$X$14,MATCH(AH$10,$T$7:$T$14,0)),0)*$T$21)/30</f>
        <v>0</v>
      </c>
      <c r="AU79" s="10">
        <f>MAX(节奏总纲!G72-积分赛!$C$7,0)*(IFERROR(INDEX($W$7:$W$14,MATCH(AI$10,$T$7:$T$14,0)),0)*$T$20+IFERROR(INDEX($X$7:$X$14,MATCH(AI$10,$T$7:$T$14,0)),0)*$T$21)/30</f>
        <v>3211.3451879027789</v>
      </c>
      <c r="AV79" s="10">
        <f>MAX(节奏总纲!H72-积分赛!$C$7,0)*(IFERROR(INDEX($W$7:$W$14,MATCH(AJ$10,$T$7:$T$14,0)),0)*$T$20+IFERROR(INDEX($X$7:$X$14,MATCH(AJ$10,$T$7:$T$14,0)),0)*$T$21)/30</f>
        <v>2480.633672527013</v>
      </c>
      <c r="BI79" s="10">
        <v>69</v>
      </c>
      <c r="BJ79" s="10">
        <f>MAX($BI79-积分赛!$C$7,0)*$BC$10/30</f>
        <v>130000</v>
      </c>
      <c r="BK79" s="10">
        <f>MAX($BI79-积分赛!$C$7,0)*$BC$10/30</f>
        <v>130000</v>
      </c>
      <c r="BL79" s="10">
        <f>MAX($BI79-积分赛!$C$7,0)*$BC$10/30</f>
        <v>130000</v>
      </c>
      <c r="BM79" s="10">
        <f>MAX($BI79-积分赛!$C$7,0)*$BC$10/30</f>
        <v>130000</v>
      </c>
      <c r="BN79" s="10">
        <f>MAX($BI79-积分赛!$C$7,0)*$BC$10/30</f>
        <v>130000</v>
      </c>
      <c r="BP79" s="10">
        <v>69</v>
      </c>
      <c r="BQ79" s="10">
        <f>MAX(节奏总纲!D72-积分赛!$C$7,0)*$BC$10/30</f>
        <v>294760.7430557044</v>
      </c>
      <c r="BR79" s="10">
        <f>MAX(节奏总纲!E72-积分赛!$C$7,0)*$BC$10/30</f>
        <v>241704.89918901774</v>
      </c>
      <c r="BS79" s="10">
        <f>MAX(节奏总纲!F72-积分赛!$C$7,0)*$BC$10/30</f>
        <v>179648.51038066103</v>
      </c>
      <c r="BT79" s="10">
        <f>MAX(节奏总纲!G72-积分赛!$C$7,0)*$BC$10/30</f>
        <v>105117.68209174398</v>
      </c>
      <c r="BU79" s="10">
        <f>MAX(节奏总纲!H72-积分赛!$C$7,0)*$BC$10/30</f>
        <v>13533.189702820584</v>
      </c>
    </row>
    <row r="80" spans="26:73" x14ac:dyDescent="0.15">
      <c r="Z80" s="10">
        <v>70</v>
      </c>
      <c r="AA80" s="10">
        <f>IFERROR(MAX($Z80-积分赛!$C$7,0)*INDEX($U$7:$U$14,MATCH(AA$10,$T$7:$T$14,0))/30,0)</f>
        <v>0</v>
      </c>
      <c r="AB80" s="10">
        <f>IFERROR(MAX($Z80-积分赛!$C$7,0)*INDEX($U$7:$U$14,MATCH(AB$10,$T$7:$T$14,0))/30,0)</f>
        <v>0</v>
      </c>
      <c r="AC80" s="10">
        <f>IFERROR(MAX($Z80-积分赛!$C$7,0)*INDEX($U$7:$U$14,MATCH(AC$10,$T$7:$T$14,0))/30,0)</f>
        <v>0</v>
      </c>
      <c r="AD80" s="10">
        <f>IFERROR(MAX($Z80-积分赛!$C$7,0)*INDEX($U$7:$U$14,MATCH(AD$10,$T$7:$T$14,0))/30,0)</f>
        <v>106666.66666666667</v>
      </c>
      <c r="AE80" s="10">
        <f>IFERROR(MAX($Z80-积分赛!$C$7,0)*INDEX($U$7:$U$14,MATCH(AE$10,$T$7:$T$14,0))/30,0)</f>
        <v>1333333.3333333333</v>
      </c>
      <c r="AF80" s="10">
        <f>MAX($Z80-积分赛!$C$7,0)*(IFERROR(INDEX($W$7:$W$14,MATCH(AF$10,$T$7:$T$14,0)),0)*$T$20+IFERROR(INDEX($X$7:$X$14,MATCH(AF$10,$T$7:$T$14,0)),0)*$T$21)/30</f>
        <v>0</v>
      </c>
      <c r="AG80" s="10">
        <f>MAX($Z80-积分赛!$C$7,0)*(IFERROR(INDEX($W$7:$W$14,MATCH(AG$10,$T$7:$T$14,0)),0)*$T$20+IFERROR(INDEX($X$7:$X$14,MATCH(AG$10,$T$7:$T$14,0)),0)*$T$21)/30</f>
        <v>0</v>
      </c>
      <c r="AH80" s="10">
        <f>MAX($Z80-积分赛!$C$7,0)*(IFERROR(INDEX($W$7:$W$14,MATCH(AH$10,$T$7:$T$14,0)),0)*$T$20+IFERROR(INDEX($X$7:$X$14,MATCH(AH$10,$T$7:$T$14,0)),0)*$T$21)/30</f>
        <v>0</v>
      </c>
      <c r="AI80" s="10">
        <f>MAX($Z80-积分赛!$C$7,0)*(IFERROR(INDEX($W$7:$W$14,MATCH(AI$10,$T$7:$T$14,0)),0)*$T$20+IFERROR(INDEX($X$7:$X$14,MATCH(AI$10,$T$7:$T$14,0)),0)*$T$21)/30</f>
        <v>4073.3333333333335</v>
      </c>
      <c r="AJ80" s="10">
        <f>MAX($Z80-积分赛!$C$7,0)*(IFERROR(INDEX($W$7:$W$14,MATCH(AJ$10,$T$7:$T$14,0)),0)*$T$20+IFERROR(INDEX($X$7:$X$14,MATCH(AJ$10,$T$7:$T$14,0)),0)*$T$21)/30</f>
        <v>24440</v>
      </c>
      <c r="AL80" s="10">
        <v>70</v>
      </c>
      <c r="AM80" s="10">
        <f>IFERROR(MAX(节奏总纲!D73-积分赛!$C$7,0)*INDEX($U$7:$U$14,MATCH(AA$10,$T$7:$T$14,0))/30,0)</f>
        <v>0</v>
      </c>
      <c r="AN80" s="10">
        <f>IFERROR(MAX(节奏总纲!E73-积分赛!$C$7,0)*INDEX($U$7:$U$14,MATCH(AB$10,$T$7:$T$14,0))/30,0)</f>
        <v>0</v>
      </c>
      <c r="AO80" s="10">
        <f>IFERROR(MAX(节奏总纲!F73-积分赛!$C$7,0)*INDEX($U$7:$U$14,MATCH(AC$10,$T$7:$T$14,0))/30,0)</f>
        <v>0</v>
      </c>
      <c r="AP80" s="10">
        <f>IFERROR(MAX(节奏总纲!G73-积分赛!$C$7,0)*INDEX($U$7:$U$14,MATCH(AD$10,$T$7:$T$14,0))/30,0)</f>
        <v>95801.866666666683</v>
      </c>
      <c r="AQ80" s="10">
        <f>IFERROR(MAX(节奏总纲!H73-积分赛!$C$7,0)*INDEX($U$7:$U$14,MATCH(AE$10,$T$7:$T$14,0))/30,0)</f>
        <v>216660.00000000003</v>
      </c>
      <c r="AR80" s="10">
        <f>MAX(节奏总纲!D73-积分赛!$C$7,0)*(IFERROR(INDEX($W$7:$W$14,MATCH(AF$10,$T$7:$T$14,0)),0)*$T$20+IFERROR(INDEX($X$7:$X$14,MATCH(AF$10,$T$7:$T$14,0)),0)*$T$21)/30</f>
        <v>0</v>
      </c>
      <c r="AS80" s="10">
        <f>MAX(节奏总纲!E73-积分赛!$C$7,0)*(IFERROR(INDEX($W$7:$W$14,MATCH(AG$10,$T$7:$T$14,0)),0)*$T$20+IFERROR(INDEX($X$7:$X$14,MATCH(AG$10,$T$7:$T$14,0)),0)*$T$21)/30</f>
        <v>0</v>
      </c>
      <c r="AT80" s="10">
        <f>MAX(节奏总纲!F73-积分赛!$C$7,0)*(IFERROR(INDEX($W$7:$W$14,MATCH(AH$10,$T$7:$T$14,0)),0)*$T$20+IFERROR(INDEX($X$7:$X$14,MATCH(AH$10,$T$7:$T$14,0)),0)*$T$21)/30</f>
        <v>0</v>
      </c>
      <c r="AU80" s="10">
        <f>MAX(节奏总纲!G73-积分赛!$C$7,0)*(IFERROR(INDEX($W$7:$W$14,MATCH(AI$10,$T$7:$T$14,0)),0)*$T$20+IFERROR(INDEX($X$7:$X$14,MATCH(AI$10,$T$7:$T$14,0)),0)*$T$21)/30</f>
        <v>3658.4337833333338</v>
      </c>
      <c r="AV80" s="10">
        <f>MAX(节奏总纲!H73-积分赛!$C$7,0)*(IFERROR(INDEX($W$7:$W$14,MATCH(AJ$10,$T$7:$T$14,0)),0)*$T$20+IFERROR(INDEX($X$7:$X$14,MATCH(AJ$10,$T$7:$T$14,0)),0)*$T$21)/30</f>
        <v>3971.3778000000002</v>
      </c>
      <c r="BI80" s="10">
        <v>70</v>
      </c>
      <c r="BJ80" s="10">
        <f>MAX($BI80-积分赛!$C$7,0)*$BC$10/30</f>
        <v>133333.33333333334</v>
      </c>
      <c r="BK80" s="10">
        <f>MAX($BI80-积分赛!$C$7,0)*$BC$10/30</f>
        <v>133333.33333333334</v>
      </c>
      <c r="BL80" s="10">
        <f>MAX($BI80-积分赛!$C$7,0)*$BC$10/30</f>
        <v>133333.33333333334</v>
      </c>
      <c r="BM80" s="10">
        <f>MAX($BI80-积分赛!$C$7,0)*$BC$10/30</f>
        <v>133333.33333333334</v>
      </c>
      <c r="BN80" s="10">
        <f>MAX($BI80-积分赛!$C$7,0)*$BC$10/30</f>
        <v>133333.33333333334</v>
      </c>
      <c r="BP80" s="10">
        <v>70</v>
      </c>
      <c r="BQ80" s="10">
        <f>MAX(节奏总纲!D73-积分赛!$C$7,0)*$BC$10/30</f>
        <v>323333.33333333331</v>
      </c>
      <c r="BR80" s="10">
        <f>MAX(节奏总纲!E73-积分赛!$C$7,0)*$BC$10/30</f>
        <v>266564.33333333331</v>
      </c>
      <c r="BS80" s="10">
        <f>MAX(节奏总纲!F73-积分赛!$C$7,0)*$BC$10/30</f>
        <v>200355</v>
      </c>
      <c r="BT80" s="10">
        <f>MAX(节奏总纲!G73-积分赛!$C$7,0)*$BC$10/30</f>
        <v>119752.33333333334</v>
      </c>
      <c r="BU80" s="10">
        <f>MAX(节奏总纲!H73-积分赛!$C$7,0)*$BC$10/30</f>
        <v>21666</v>
      </c>
    </row>
    <row r="81" spans="26:73" x14ac:dyDescent="0.15">
      <c r="Z81" s="10">
        <v>71</v>
      </c>
      <c r="AA81" s="10">
        <f>IFERROR(MAX($Z81-积分赛!$C$7,0)*INDEX($U$7:$U$14,MATCH(AA$10,$T$7:$T$14,0))/30,0)</f>
        <v>0</v>
      </c>
      <c r="AB81" s="10">
        <f>IFERROR(MAX($Z81-积分赛!$C$7,0)*INDEX($U$7:$U$14,MATCH(AB$10,$T$7:$T$14,0))/30,0)</f>
        <v>0</v>
      </c>
      <c r="AC81" s="10">
        <f>IFERROR(MAX($Z81-积分赛!$C$7,0)*INDEX($U$7:$U$14,MATCH(AC$10,$T$7:$T$14,0))/30,0)</f>
        <v>0</v>
      </c>
      <c r="AD81" s="10">
        <f>IFERROR(MAX($Z81-积分赛!$C$7,0)*INDEX($U$7:$U$14,MATCH(AD$10,$T$7:$T$14,0))/30,0)</f>
        <v>109333.33333333333</v>
      </c>
      <c r="AE81" s="10">
        <f>IFERROR(MAX($Z81-积分赛!$C$7,0)*INDEX($U$7:$U$14,MATCH(AE$10,$T$7:$T$14,0))/30,0)</f>
        <v>1366666.6666666667</v>
      </c>
      <c r="AF81" s="10">
        <f>MAX($Z81-积分赛!$C$7,0)*(IFERROR(INDEX($W$7:$W$14,MATCH(AF$10,$T$7:$T$14,0)),0)*$T$20+IFERROR(INDEX($X$7:$X$14,MATCH(AF$10,$T$7:$T$14,0)),0)*$T$21)/30</f>
        <v>0</v>
      </c>
      <c r="AG81" s="10">
        <f>MAX($Z81-积分赛!$C$7,0)*(IFERROR(INDEX($W$7:$W$14,MATCH(AG$10,$T$7:$T$14,0)),0)*$T$20+IFERROR(INDEX($X$7:$X$14,MATCH(AG$10,$T$7:$T$14,0)),0)*$T$21)/30</f>
        <v>0</v>
      </c>
      <c r="AH81" s="10">
        <f>MAX($Z81-积分赛!$C$7,0)*(IFERROR(INDEX($W$7:$W$14,MATCH(AH$10,$T$7:$T$14,0)),0)*$T$20+IFERROR(INDEX($X$7:$X$14,MATCH(AH$10,$T$7:$T$14,0)),0)*$T$21)/30</f>
        <v>0</v>
      </c>
      <c r="AI81" s="10">
        <f>MAX($Z81-积分赛!$C$7,0)*(IFERROR(INDEX($W$7:$W$14,MATCH(AI$10,$T$7:$T$14,0)),0)*$T$20+IFERROR(INDEX($X$7:$X$14,MATCH(AI$10,$T$7:$T$14,0)),0)*$T$21)/30</f>
        <v>4175.166666666667</v>
      </c>
      <c r="AJ81" s="10">
        <f>MAX($Z81-积分赛!$C$7,0)*(IFERROR(INDEX($W$7:$W$14,MATCH(AJ$10,$T$7:$T$14,0)),0)*$T$20+IFERROR(INDEX($X$7:$X$14,MATCH(AJ$10,$T$7:$T$14,0)),0)*$T$21)/30</f>
        <v>25051</v>
      </c>
      <c r="AL81" s="10">
        <v>71</v>
      </c>
      <c r="AM81" s="10">
        <f>IFERROR(MAX(节奏总纲!D74-积分赛!$C$7,0)*INDEX($U$7:$U$14,MATCH(AA$10,$T$7:$T$14,0))/30,0)</f>
        <v>0</v>
      </c>
      <c r="AN81" s="10">
        <f>IFERROR(MAX(节奏总纲!E74-积分赛!$C$7,0)*INDEX($U$7:$U$14,MATCH(AB$10,$T$7:$T$14,0))/30,0)</f>
        <v>0</v>
      </c>
      <c r="AO81" s="10">
        <f>IFERROR(MAX(节奏总纲!F74-积分赛!$C$7,0)*INDEX($U$7:$U$14,MATCH(AC$10,$T$7:$T$14,0))/30,0)</f>
        <v>0</v>
      </c>
      <c r="AP81" s="10">
        <f>IFERROR(MAX(节奏总纲!G74-积分赛!$C$7,0)*INDEX($U$7:$U$14,MATCH(AD$10,$T$7:$T$14,0))/30,0)</f>
        <v>108301.22976428982</v>
      </c>
      <c r="AQ81" s="10">
        <f>IFERROR(MAX(节奏总纲!H74-积分赛!$C$7,0)*INDEX($U$7:$U$14,MATCH(AE$10,$T$7:$T$14,0))/30,0)</f>
        <v>304217.53402315488</v>
      </c>
      <c r="AR81" s="10">
        <f>MAX(节奏总纲!D74-积分赛!$C$7,0)*(IFERROR(INDEX($W$7:$W$14,MATCH(AF$10,$T$7:$T$14,0)),0)*$T$20+IFERROR(INDEX($X$7:$X$14,MATCH(AF$10,$T$7:$T$14,0)),0)*$T$21)/30</f>
        <v>0</v>
      </c>
      <c r="AS81" s="10">
        <f>MAX(节奏总纲!E74-积分赛!$C$7,0)*(IFERROR(INDEX($W$7:$W$14,MATCH(AG$10,$T$7:$T$14,0)),0)*$T$20+IFERROR(INDEX($X$7:$X$14,MATCH(AG$10,$T$7:$T$14,0)),0)*$T$21)/30</f>
        <v>0</v>
      </c>
      <c r="AT81" s="10">
        <f>MAX(节奏总纲!F74-积分赛!$C$7,0)*(IFERROR(INDEX($W$7:$W$14,MATCH(AH$10,$T$7:$T$14,0)),0)*$T$20+IFERROR(INDEX($X$7:$X$14,MATCH(AH$10,$T$7:$T$14,0)),0)*$T$21)/30</f>
        <v>0</v>
      </c>
      <c r="AU81" s="10">
        <f>MAX(节奏总纲!G74-积分赛!$C$7,0)*(IFERROR(INDEX($W$7:$W$14,MATCH(AI$10,$T$7:$T$14,0)),0)*$T$20+IFERROR(INDEX($X$7:$X$14,MATCH(AI$10,$T$7:$T$14,0)),0)*$T$21)/30</f>
        <v>4135.7532116238172</v>
      </c>
      <c r="AV81" s="10">
        <f>MAX(节奏总纲!H74-积分赛!$C$7,0)*(IFERROR(INDEX($W$7:$W$14,MATCH(AJ$10,$T$7:$T$14,0)),0)*$T$20+IFERROR(INDEX($X$7:$X$14,MATCH(AJ$10,$T$7:$T$14,0)),0)*$T$21)/30</f>
        <v>5576.3073986444306</v>
      </c>
      <c r="BI81" s="10">
        <v>71</v>
      </c>
      <c r="BJ81" s="10">
        <f>MAX($BI81-积分赛!$C$7,0)*$BC$10/30</f>
        <v>136666.66666666666</v>
      </c>
      <c r="BK81" s="10">
        <f>MAX($BI81-积分赛!$C$7,0)*$BC$10/30</f>
        <v>136666.66666666666</v>
      </c>
      <c r="BL81" s="10">
        <f>MAX($BI81-积分赛!$C$7,0)*$BC$10/30</f>
        <v>136666.66666666666</v>
      </c>
      <c r="BM81" s="10">
        <f>MAX($BI81-积分赛!$C$7,0)*$BC$10/30</f>
        <v>136666.66666666666</v>
      </c>
      <c r="BN81" s="10">
        <f>MAX($BI81-积分赛!$C$7,0)*$BC$10/30</f>
        <v>136666.66666666666</v>
      </c>
      <c r="BP81" s="10">
        <v>71</v>
      </c>
      <c r="BQ81" s="10">
        <f>MAX(节奏总纲!D74-积分赛!$C$7,0)*$BC$10/30</f>
        <v>353956.67734881834</v>
      </c>
      <c r="BR81" s="10">
        <f>MAX(节奏总纲!E74-积分赛!$C$7,0)*$BC$10/30</f>
        <v>293444.2522582208</v>
      </c>
      <c r="BS81" s="10">
        <f>MAX(节奏总纲!F74-积分赛!$C$7,0)*$BC$10/30</f>
        <v>221946.07557578196</v>
      </c>
      <c r="BT81" s="10">
        <f>MAX(节奏总纲!G74-积分赛!$C$7,0)*$BC$10/30</f>
        <v>135376.53720536229</v>
      </c>
      <c r="BU81" s="10">
        <f>MAX(节奏总纲!H74-积分赛!$C$7,0)*$BC$10/30</f>
        <v>30421.753402315491</v>
      </c>
    </row>
    <row r="82" spans="26:73" x14ac:dyDescent="0.15">
      <c r="Z82" s="10">
        <v>72</v>
      </c>
      <c r="AA82" s="10">
        <f>IFERROR(MAX($Z82-积分赛!$C$7,0)*INDEX($U$7:$U$14,MATCH(AA$10,$T$7:$T$14,0))/30,0)</f>
        <v>0</v>
      </c>
      <c r="AB82" s="10">
        <f>IFERROR(MAX($Z82-积分赛!$C$7,0)*INDEX($U$7:$U$14,MATCH(AB$10,$T$7:$T$14,0))/30,0)</f>
        <v>0</v>
      </c>
      <c r="AC82" s="10">
        <f>IFERROR(MAX($Z82-积分赛!$C$7,0)*INDEX($U$7:$U$14,MATCH(AC$10,$T$7:$T$14,0))/30,0)</f>
        <v>0</v>
      </c>
      <c r="AD82" s="10">
        <f>IFERROR(MAX($Z82-积分赛!$C$7,0)*INDEX($U$7:$U$14,MATCH(AD$10,$T$7:$T$14,0))/30,0)</f>
        <v>112000</v>
      </c>
      <c r="AE82" s="10">
        <f>IFERROR(MAX($Z82-积分赛!$C$7,0)*INDEX($U$7:$U$14,MATCH(AE$10,$T$7:$T$14,0))/30,0)</f>
        <v>1400000</v>
      </c>
      <c r="AF82" s="10">
        <f>MAX($Z82-积分赛!$C$7,0)*(IFERROR(INDEX($W$7:$W$14,MATCH(AF$10,$T$7:$T$14,0)),0)*$T$20+IFERROR(INDEX($X$7:$X$14,MATCH(AF$10,$T$7:$T$14,0)),0)*$T$21)/30</f>
        <v>0</v>
      </c>
      <c r="AG82" s="10">
        <f>MAX($Z82-积分赛!$C$7,0)*(IFERROR(INDEX($W$7:$W$14,MATCH(AG$10,$T$7:$T$14,0)),0)*$T$20+IFERROR(INDEX($X$7:$X$14,MATCH(AG$10,$T$7:$T$14,0)),0)*$T$21)/30</f>
        <v>0</v>
      </c>
      <c r="AH82" s="10">
        <f>MAX($Z82-积分赛!$C$7,0)*(IFERROR(INDEX($W$7:$W$14,MATCH(AH$10,$T$7:$T$14,0)),0)*$T$20+IFERROR(INDEX($X$7:$X$14,MATCH(AH$10,$T$7:$T$14,0)),0)*$T$21)/30</f>
        <v>0</v>
      </c>
      <c r="AI82" s="10">
        <f>MAX($Z82-积分赛!$C$7,0)*(IFERROR(INDEX($W$7:$W$14,MATCH(AI$10,$T$7:$T$14,0)),0)*$T$20+IFERROR(INDEX($X$7:$X$14,MATCH(AI$10,$T$7:$T$14,0)),0)*$T$21)/30</f>
        <v>4277</v>
      </c>
      <c r="AJ82" s="10">
        <f>MAX($Z82-积分赛!$C$7,0)*(IFERROR(INDEX($W$7:$W$14,MATCH(AJ$10,$T$7:$T$14,0)),0)*$T$20+IFERROR(INDEX($X$7:$X$14,MATCH(AJ$10,$T$7:$T$14,0)),0)*$T$21)/30</f>
        <v>25662</v>
      </c>
      <c r="AL82" s="10">
        <v>72</v>
      </c>
      <c r="AM82" s="10">
        <f>IFERROR(MAX(节奏总纲!D75-积分赛!$C$7,0)*INDEX($U$7:$U$14,MATCH(AA$10,$T$7:$T$14,0))/30,0)</f>
        <v>0</v>
      </c>
      <c r="AN82" s="10">
        <f>IFERROR(MAX(节奏总纲!E75-积分赛!$C$7,0)*INDEX($U$7:$U$14,MATCH(AB$10,$T$7:$T$14,0))/30,0)</f>
        <v>0</v>
      </c>
      <c r="AO82" s="10">
        <f>IFERROR(MAX(节奏总纲!F75-积分赛!$C$7,0)*INDEX($U$7:$U$14,MATCH(AC$10,$T$7:$T$14,0))/30,0)</f>
        <v>0</v>
      </c>
      <c r="AP82" s="10">
        <f>IFERROR(MAX(节奏总纲!G75-积分赛!$C$7,0)*INDEX($U$7:$U$14,MATCH(AD$10,$T$7:$T$14,0))/30,0)</f>
        <v>121565.01966386009</v>
      </c>
      <c r="AQ82" s="10">
        <f>IFERROR(MAX(节奏总纲!H75-积分赛!$C$7,0)*INDEX($U$7:$U$14,MATCH(AE$10,$T$7:$T$14,0))/30,0)</f>
        <v>396565.98100756999</v>
      </c>
      <c r="AR82" s="10">
        <f>MAX(节奏总纲!D75-积分赛!$C$7,0)*(IFERROR(INDEX($W$7:$W$14,MATCH(AF$10,$T$7:$T$14,0)),0)*$T$20+IFERROR(INDEX($X$7:$X$14,MATCH(AF$10,$T$7:$T$14,0)),0)*$T$21)/30</f>
        <v>0</v>
      </c>
      <c r="AS82" s="10">
        <f>MAX(节奏总纲!E75-积分赛!$C$7,0)*(IFERROR(INDEX($W$7:$W$14,MATCH(AG$10,$T$7:$T$14,0)),0)*$T$20+IFERROR(INDEX($X$7:$X$14,MATCH(AG$10,$T$7:$T$14,0)),0)*$T$21)/30</f>
        <v>0</v>
      </c>
      <c r="AT82" s="10">
        <f>MAX(节奏总纲!F75-积分赛!$C$7,0)*(IFERROR(INDEX($W$7:$W$14,MATCH(AH$10,$T$7:$T$14,0)),0)*$T$20+IFERROR(INDEX($X$7:$X$14,MATCH(AH$10,$T$7:$T$14,0)),0)*$T$21)/30</f>
        <v>0</v>
      </c>
      <c r="AU82" s="10">
        <f>MAX(节奏总纲!G75-积分赛!$C$7,0)*(IFERROR(INDEX($W$7:$W$14,MATCH(AI$10,$T$7:$T$14,0)),0)*$T$20+IFERROR(INDEX($X$7:$X$14,MATCH(AI$10,$T$7:$T$14,0)),0)*$T$21)/30</f>
        <v>4642.2641884136565</v>
      </c>
      <c r="AV82" s="10">
        <f>MAX(节奏总纲!H75-积分赛!$C$7,0)*(IFERROR(INDEX($W$7:$W$14,MATCH(AJ$10,$T$7:$T$14,0)),0)*$T$20+IFERROR(INDEX($X$7:$X$14,MATCH(AJ$10,$T$7:$T$14,0)),0)*$T$21)/30</f>
        <v>7269.0544318687571</v>
      </c>
      <c r="BI82" s="10">
        <v>72</v>
      </c>
      <c r="BJ82" s="10">
        <f>MAX($BI82-积分赛!$C$7,0)*$BC$10/30</f>
        <v>140000</v>
      </c>
      <c r="BK82" s="10">
        <f>MAX($BI82-积分赛!$C$7,0)*$BC$10/30</f>
        <v>140000</v>
      </c>
      <c r="BL82" s="10">
        <f>MAX($BI82-积分赛!$C$7,0)*$BC$10/30</f>
        <v>140000</v>
      </c>
      <c r="BM82" s="10">
        <f>MAX($BI82-积分赛!$C$7,0)*$BC$10/30</f>
        <v>140000</v>
      </c>
      <c r="BN82" s="10">
        <f>MAX($BI82-积分赛!$C$7,0)*$BC$10/30</f>
        <v>140000</v>
      </c>
      <c r="BP82" s="10">
        <v>72</v>
      </c>
      <c r="BQ82" s="10">
        <f>MAX(节奏总纲!D75-积分赛!$C$7,0)*$BC$10/30</f>
        <v>386777.96479873476</v>
      </c>
      <c r="BR82" s="10">
        <f>MAX(节奏总纲!E75-积分赛!$C$7,0)*$BC$10/30</f>
        <v>321939.13988754334</v>
      </c>
      <c r="BS82" s="10">
        <f>MAX(节奏总纲!F75-积分赛!$C$7,0)*$BC$10/30</f>
        <v>244395.41009510489</v>
      </c>
      <c r="BT82" s="10">
        <f>MAX(节奏总纲!G75-积分赛!$C$7,0)*$BC$10/30</f>
        <v>151956.27457982508</v>
      </c>
      <c r="BU82" s="10">
        <f>MAX(节奏总纲!H75-积分赛!$C$7,0)*$BC$10/30</f>
        <v>39656.598100756994</v>
      </c>
    </row>
    <row r="83" spans="26:73" x14ac:dyDescent="0.15">
      <c r="Z83" s="10">
        <v>73</v>
      </c>
      <c r="AA83" s="10">
        <f>IFERROR(MAX($Z83-积分赛!$C$7,0)*INDEX($U$7:$U$14,MATCH(AA$10,$T$7:$T$14,0))/30,0)</f>
        <v>0</v>
      </c>
      <c r="AB83" s="10">
        <f>IFERROR(MAX($Z83-积分赛!$C$7,0)*INDEX($U$7:$U$14,MATCH(AB$10,$T$7:$T$14,0))/30,0)</f>
        <v>0</v>
      </c>
      <c r="AC83" s="10">
        <f>IFERROR(MAX($Z83-积分赛!$C$7,0)*INDEX($U$7:$U$14,MATCH(AC$10,$T$7:$T$14,0))/30,0)</f>
        <v>0</v>
      </c>
      <c r="AD83" s="10">
        <f>IFERROR(MAX($Z83-积分赛!$C$7,0)*INDEX($U$7:$U$14,MATCH(AD$10,$T$7:$T$14,0))/30,0)</f>
        <v>114666.66666666667</v>
      </c>
      <c r="AE83" s="10">
        <f>IFERROR(MAX($Z83-积分赛!$C$7,0)*INDEX($U$7:$U$14,MATCH(AE$10,$T$7:$T$14,0))/30,0)</f>
        <v>1433333.3333333333</v>
      </c>
      <c r="AF83" s="10">
        <f>MAX($Z83-积分赛!$C$7,0)*(IFERROR(INDEX($W$7:$W$14,MATCH(AF$10,$T$7:$T$14,0)),0)*$T$20+IFERROR(INDEX($X$7:$X$14,MATCH(AF$10,$T$7:$T$14,0)),0)*$T$21)/30</f>
        <v>0</v>
      </c>
      <c r="AG83" s="10">
        <f>MAX($Z83-积分赛!$C$7,0)*(IFERROR(INDEX($W$7:$W$14,MATCH(AG$10,$T$7:$T$14,0)),0)*$T$20+IFERROR(INDEX($X$7:$X$14,MATCH(AG$10,$T$7:$T$14,0)),0)*$T$21)/30</f>
        <v>0</v>
      </c>
      <c r="AH83" s="10">
        <f>MAX($Z83-积分赛!$C$7,0)*(IFERROR(INDEX($W$7:$W$14,MATCH(AH$10,$T$7:$T$14,0)),0)*$T$20+IFERROR(INDEX($X$7:$X$14,MATCH(AH$10,$T$7:$T$14,0)),0)*$T$21)/30</f>
        <v>0</v>
      </c>
      <c r="AI83" s="10">
        <f>MAX($Z83-积分赛!$C$7,0)*(IFERROR(INDEX($W$7:$W$14,MATCH(AI$10,$T$7:$T$14,0)),0)*$T$20+IFERROR(INDEX($X$7:$X$14,MATCH(AI$10,$T$7:$T$14,0)),0)*$T$21)/30</f>
        <v>4378.833333333333</v>
      </c>
      <c r="AJ83" s="10">
        <f>MAX($Z83-积分赛!$C$7,0)*(IFERROR(INDEX($W$7:$W$14,MATCH(AJ$10,$T$7:$T$14,0)),0)*$T$20+IFERROR(INDEX($X$7:$X$14,MATCH(AJ$10,$T$7:$T$14,0)),0)*$T$21)/30</f>
        <v>26273</v>
      </c>
      <c r="AL83" s="10">
        <v>73</v>
      </c>
      <c r="AM83" s="10">
        <f>IFERROR(MAX(节奏总纲!D76-积分赛!$C$7,0)*INDEX($U$7:$U$14,MATCH(AA$10,$T$7:$T$14,0))/30,0)</f>
        <v>0</v>
      </c>
      <c r="AN83" s="10">
        <f>IFERROR(MAX(节奏总纲!E76-积分赛!$C$7,0)*INDEX($U$7:$U$14,MATCH(AB$10,$T$7:$T$14,0))/30,0)</f>
        <v>0</v>
      </c>
      <c r="AO83" s="10">
        <f>IFERROR(MAX(节奏总纲!F76-积分赛!$C$7,0)*INDEX($U$7:$U$14,MATCH(AC$10,$T$7:$T$14,0))/30,0)</f>
        <v>0</v>
      </c>
      <c r="AP83" s="10">
        <f>IFERROR(MAX(节奏总纲!G76-积分赛!$C$7,0)*INDEX($U$7:$U$14,MATCH(AD$10,$T$7:$T$14,0))/30,0)</f>
        <v>135880.56719336848</v>
      </c>
      <c r="AQ83" s="10">
        <f>IFERROR(MAX(节奏总纲!H76-积分赛!$C$7,0)*INDEX($U$7:$U$14,MATCH(AE$10,$T$7:$T$14,0))/30,0)</f>
        <v>495922.88582251931</v>
      </c>
      <c r="AR83" s="10">
        <f>MAX(节奏总纲!D76-积分赛!$C$7,0)*(IFERROR(INDEX($W$7:$W$14,MATCH(AF$10,$T$7:$T$14,0)),0)*$T$20+IFERROR(INDEX($X$7:$X$14,MATCH(AF$10,$T$7:$T$14,0)),0)*$T$21)/30</f>
        <v>0</v>
      </c>
      <c r="AS83" s="10">
        <f>MAX(节奏总纲!E76-积分赛!$C$7,0)*(IFERROR(INDEX($W$7:$W$14,MATCH(AG$10,$T$7:$T$14,0)),0)*$T$20+IFERROR(INDEX($X$7:$X$14,MATCH(AG$10,$T$7:$T$14,0)),0)*$T$21)/30</f>
        <v>0</v>
      </c>
      <c r="AT83" s="10">
        <f>MAX(节奏总纲!F76-积分赛!$C$7,0)*(IFERROR(INDEX($W$7:$W$14,MATCH(AH$10,$T$7:$T$14,0)),0)*$T$20+IFERROR(INDEX($X$7:$X$14,MATCH(AH$10,$T$7:$T$14,0)),0)*$T$21)/30</f>
        <v>0</v>
      </c>
      <c r="AU83" s="10">
        <f>MAX(节奏总纲!G76-积分赛!$C$7,0)*(IFERROR(INDEX($W$7:$W$14,MATCH(AI$10,$T$7:$T$14,0)),0)*$T$20+IFERROR(INDEX($X$7:$X$14,MATCH(AI$10,$T$7:$T$14,0)),0)*$T$21)/30</f>
        <v>5188.9391596967589</v>
      </c>
      <c r="AV83" s="10">
        <f>MAX(节奏总纲!H76-积分赛!$C$7,0)*(IFERROR(INDEX($W$7:$W$14,MATCH(AJ$10,$T$7:$T$14,0)),0)*$T$20+IFERROR(INDEX($X$7:$X$14,MATCH(AJ$10,$T$7:$T$14,0)),0)*$T$21)/30</f>
        <v>9090.2664971267786</v>
      </c>
      <c r="BI83" s="10">
        <v>73</v>
      </c>
      <c r="BJ83" s="10">
        <f>MAX($BI83-积分赛!$C$7,0)*$BC$10/30</f>
        <v>143333.33333333334</v>
      </c>
      <c r="BK83" s="10">
        <f>MAX($BI83-积分赛!$C$7,0)*$BC$10/30</f>
        <v>143333.33333333334</v>
      </c>
      <c r="BL83" s="10">
        <f>MAX($BI83-积分赛!$C$7,0)*$BC$10/30</f>
        <v>143333.33333333334</v>
      </c>
      <c r="BM83" s="10">
        <f>MAX($BI83-积分赛!$C$7,0)*$BC$10/30</f>
        <v>143333.33333333334</v>
      </c>
      <c r="BN83" s="10">
        <f>MAX($BI83-积分赛!$C$7,0)*$BC$10/30</f>
        <v>143333.33333333334</v>
      </c>
      <c r="BP83" s="10">
        <v>73</v>
      </c>
      <c r="BQ83" s="10">
        <f>MAX(节奏总纲!D76-积分赛!$C$7,0)*$BC$10/30</f>
        <v>421954.94969383086</v>
      </c>
      <c r="BR83" s="10">
        <f>MAX(节奏总纲!E76-积分赛!$C$7,0)*$BC$10/30</f>
        <v>351386.64049522491</v>
      </c>
      <c r="BS83" s="10">
        <f>MAX(节奏总纲!F76-积分赛!$C$7,0)*$BC$10/30</f>
        <v>268604.58547378337</v>
      </c>
      <c r="BT83" s="10">
        <f>MAX(节奏总纲!G76-积分赛!$C$7,0)*$BC$10/30</f>
        <v>169850.70899171059</v>
      </c>
      <c r="BU83" s="10">
        <f>MAX(节奏总纲!H76-积分赛!$C$7,0)*$BC$10/30</f>
        <v>49592.288582251924</v>
      </c>
    </row>
    <row r="84" spans="26:73" x14ac:dyDescent="0.15">
      <c r="Z84" s="10">
        <v>74</v>
      </c>
      <c r="AA84" s="10">
        <f>IFERROR(MAX($Z84-积分赛!$C$7,0)*INDEX($U$7:$U$14,MATCH(AA$10,$T$7:$T$14,0))/30,0)</f>
        <v>0</v>
      </c>
      <c r="AB84" s="10">
        <f>IFERROR(MAX($Z84-积分赛!$C$7,0)*INDEX($U$7:$U$14,MATCH(AB$10,$T$7:$T$14,0))/30,0)</f>
        <v>0</v>
      </c>
      <c r="AC84" s="10">
        <f>IFERROR(MAX($Z84-积分赛!$C$7,0)*INDEX($U$7:$U$14,MATCH(AC$10,$T$7:$T$14,0))/30,0)</f>
        <v>0</v>
      </c>
      <c r="AD84" s="10">
        <f>IFERROR(MAX($Z84-积分赛!$C$7,0)*INDEX($U$7:$U$14,MATCH(AD$10,$T$7:$T$14,0))/30,0)</f>
        <v>117333.33333333333</v>
      </c>
      <c r="AE84" s="10">
        <f>IFERROR(MAX($Z84-积分赛!$C$7,0)*INDEX($U$7:$U$14,MATCH(AE$10,$T$7:$T$14,0))/30,0)</f>
        <v>1466666.6666666667</v>
      </c>
      <c r="AF84" s="10">
        <f>MAX($Z84-积分赛!$C$7,0)*(IFERROR(INDEX($W$7:$W$14,MATCH(AF$10,$T$7:$T$14,0)),0)*$T$20+IFERROR(INDEX($X$7:$X$14,MATCH(AF$10,$T$7:$T$14,0)),0)*$T$21)/30</f>
        <v>0</v>
      </c>
      <c r="AG84" s="10">
        <f>MAX($Z84-积分赛!$C$7,0)*(IFERROR(INDEX($W$7:$W$14,MATCH(AG$10,$T$7:$T$14,0)),0)*$T$20+IFERROR(INDEX($X$7:$X$14,MATCH(AG$10,$T$7:$T$14,0)),0)*$T$21)/30</f>
        <v>0</v>
      </c>
      <c r="AH84" s="10">
        <f>MAX($Z84-积分赛!$C$7,0)*(IFERROR(INDEX($W$7:$W$14,MATCH(AH$10,$T$7:$T$14,0)),0)*$T$20+IFERROR(INDEX($X$7:$X$14,MATCH(AH$10,$T$7:$T$14,0)),0)*$T$21)/30</f>
        <v>0</v>
      </c>
      <c r="AI84" s="10">
        <f>MAX($Z84-积分赛!$C$7,0)*(IFERROR(INDEX($W$7:$W$14,MATCH(AI$10,$T$7:$T$14,0)),0)*$T$20+IFERROR(INDEX($X$7:$X$14,MATCH(AI$10,$T$7:$T$14,0)),0)*$T$21)/30</f>
        <v>4480.666666666667</v>
      </c>
      <c r="AJ84" s="10">
        <f>MAX($Z84-积分赛!$C$7,0)*(IFERROR(INDEX($W$7:$W$14,MATCH(AJ$10,$T$7:$T$14,0)),0)*$T$20+IFERROR(INDEX($X$7:$X$14,MATCH(AJ$10,$T$7:$T$14,0)),0)*$T$21)/30</f>
        <v>26884</v>
      </c>
      <c r="AL84" s="10">
        <v>74</v>
      </c>
      <c r="AM84" s="10">
        <f>IFERROR(MAX(节奏总纲!D77-积分赛!$C$7,0)*INDEX($U$7:$U$14,MATCH(AA$10,$T$7:$T$14,0))/30,0)</f>
        <v>0</v>
      </c>
      <c r="AN84" s="10">
        <f>IFERROR(MAX(节奏总纲!E77-积分赛!$C$7,0)*INDEX($U$7:$U$14,MATCH(AB$10,$T$7:$T$14,0))/30,0)</f>
        <v>0</v>
      </c>
      <c r="AO84" s="10">
        <f>IFERROR(MAX(节奏总纲!F77-积分赛!$C$7,0)*INDEX($U$7:$U$14,MATCH(AC$10,$T$7:$T$14,0))/30,0)</f>
        <v>0</v>
      </c>
      <c r="AP84" s="10">
        <f>IFERROR(MAX(节奏总纲!G77-积分赛!$C$7,0)*INDEX($U$7:$U$14,MATCH(AD$10,$T$7:$T$14,0))/30,0)</f>
        <v>151653.10482223623</v>
      </c>
      <c r="AQ84" s="10">
        <f>IFERROR(MAX(节奏总纲!H77-积分赛!$C$7,0)*INDEX($U$7:$U$14,MATCH(AE$10,$T$7:$T$14,0))/30,0)</f>
        <v>605655.09696317127</v>
      </c>
      <c r="AR84" s="10">
        <f>MAX(节奏总纲!D77-积分赛!$C$7,0)*(IFERROR(INDEX($W$7:$W$14,MATCH(AF$10,$T$7:$T$14,0)),0)*$T$20+IFERROR(INDEX($X$7:$X$14,MATCH(AF$10,$T$7:$T$14,0)),0)*$T$21)/30</f>
        <v>0</v>
      </c>
      <c r="AS84" s="10">
        <f>MAX(节奏总纲!E77-积分赛!$C$7,0)*(IFERROR(INDEX($W$7:$W$14,MATCH(AG$10,$T$7:$T$14,0)),0)*$T$20+IFERROR(INDEX($X$7:$X$14,MATCH(AG$10,$T$7:$T$14,0)),0)*$T$21)/30</f>
        <v>0</v>
      </c>
      <c r="AT84" s="10">
        <f>MAX(节奏总纲!F77-积分赛!$C$7,0)*(IFERROR(INDEX($W$7:$W$14,MATCH(AH$10,$T$7:$T$14,0)),0)*$T$20+IFERROR(INDEX($X$7:$X$14,MATCH(AH$10,$T$7:$T$14,0)),0)*$T$21)/30</f>
        <v>0</v>
      </c>
      <c r="AU84" s="10">
        <f>MAX(节奏总纲!G77-积分赛!$C$7,0)*(IFERROR(INDEX($W$7:$W$14,MATCH(AI$10,$T$7:$T$14,0)),0)*$T$20+IFERROR(INDEX($X$7:$X$14,MATCH(AI$10,$T$7:$T$14,0)),0)*$T$21)/30</f>
        <v>5791.2529403991466</v>
      </c>
      <c r="AV84" s="10">
        <f>MAX(节奏总纲!H77-积分赛!$C$7,0)*(IFERROR(INDEX($W$7:$W$14,MATCH(AJ$10,$T$7:$T$14,0)),0)*$T$20+IFERROR(INDEX($X$7:$X$14,MATCH(AJ$10,$T$7:$T$14,0)),0)*$T$21)/30</f>
        <v>11101.657927334929</v>
      </c>
      <c r="BI84" s="10">
        <v>74</v>
      </c>
      <c r="BJ84" s="10">
        <f>MAX($BI84-积分赛!$C$7,0)*$BC$10/30</f>
        <v>146666.66666666666</v>
      </c>
      <c r="BK84" s="10">
        <f>MAX($BI84-积分赛!$C$7,0)*$BC$10/30</f>
        <v>146666.66666666666</v>
      </c>
      <c r="BL84" s="10">
        <f>MAX($BI84-积分赛!$C$7,0)*$BC$10/30</f>
        <v>146666.66666666666</v>
      </c>
      <c r="BM84" s="10">
        <f>MAX($BI84-积分赛!$C$7,0)*$BC$10/30</f>
        <v>146666.66666666666</v>
      </c>
      <c r="BN84" s="10">
        <f>MAX($BI84-积分赛!$C$7,0)*$BC$10/30</f>
        <v>146666.66666666666</v>
      </c>
      <c r="BP84" s="10">
        <v>74</v>
      </c>
      <c r="BQ84" s="10">
        <f>MAX(节奏总纲!D77-积分赛!$C$7,0)*$BC$10/30</f>
        <v>459656.70859643474</v>
      </c>
      <c r="BR84" s="10">
        <f>MAX(节奏总纲!E77-积分赛!$C$7,0)*$BC$10/30</f>
        <v>383879.19025247754</v>
      </c>
      <c r="BS84" s="10">
        <f>MAX(节奏总纲!F77-积分赛!$C$7,0)*$BC$10/30</f>
        <v>295677.29297767935</v>
      </c>
      <c r="BT84" s="10">
        <f>MAX(节奏总纲!G77-积分赛!$C$7,0)*$BC$10/30</f>
        <v>189566.38102779532</v>
      </c>
      <c r="BU84" s="10">
        <f>MAX(节奏总纲!H77-积分赛!$C$7,0)*$BC$10/30</f>
        <v>60565.509696317131</v>
      </c>
    </row>
    <row r="85" spans="26:73" x14ac:dyDescent="0.15">
      <c r="Z85" s="10">
        <v>75</v>
      </c>
      <c r="AA85" s="10">
        <f>IFERROR(MAX($Z85-积分赛!$C$7,0)*INDEX($U$7:$U$14,MATCH(AA$10,$T$7:$T$14,0))/30,0)</f>
        <v>0</v>
      </c>
      <c r="AB85" s="10">
        <f>IFERROR(MAX($Z85-积分赛!$C$7,0)*INDEX($U$7:$U$14,MATCH(AB$10,$T$7:$T$14,0))/30,0)</f>
        <v>0</v>
      </c>
      <c r="AC85" s="10">
        <f>IFERROR(MAX($Z85-积分赛!$C$7,0)*INDEX($U$7:$U$14,MATCH(AC$10,$T$7:$T$14,0))/30,0)</f>
        <v>0</v>
      </c>
      <c r="AD85" s="10">
        <f>IFERROR(MAX($Z85-积分赛!$C$7,0)*INDEX($U$7:$U$14,MATCH(AD$10,$T$7:$T$14,0))/30,0)</f>
        <v>120000</v>
      </c>
      <c r="AE85" s="10">
        <f>IFERROR(MAX($Z85-积分赛!$C$7,0)*INDEX($U$7:$U$14,MATCH(AE$10,$T$7:$T$14,0))/30,0)</f>
        <v>1500000</v>
      </c>
      <c r="AF85" s="10">
        <f>MAX($Z85-积分赛!$C$7,0)*(IFERROR(INDEX($W$7:$W$14,MATCH(AF$10,$T$7:$T$14,0)),0)*$T$20+IFERROR(INDEX($X$7:$X$14,MATCH(AF$10,$T$7:$T$14,0)),0)*$T$21)/30</f>
        <v>0</v>
      </c>
      <c r="AG85" s="10">
        <f>MAX($Z85-积分赛!$C$7,0)*(IFERROR(INDEX($W$7:$W$14,MATCH(AG$10,$T$7:$T$14,0)),0)*$T$20+IFERROR(INDEX($X$7:$X$14,MATCH(AG$10,$T$7:$T$14,0)),0)*$T$21)/30</f>
        <v>0</v>
      </c>
      <c r="AH85" s="10">
        <f>MAX($Z85-积分赛!$C$7,0)*(IFERROR(INDEX($W$7:$W$14,MATCH(AH$10,$T$7:$T$14,0)),0)*$T$20+IFERROR(INDEX($X$7:$X$14,MATCH(AH$10,$T$7:$T$14,0)),0)*$T$21)/30</f>
        <v>0</v>
      </c>
      <c r="AI85" s="10">
        <f>MAX($Z85-积分赛!$C$7,0)*(IFERROR(INDEX($W$7:$W$14,MATCH(AI$10,$T$7:$T$14,0)),0)*$T$20+IFERROR(INDEX($X$7:$X$14,MATCH(AI$10,$T$7:$T$14,0)),0)*$T$21)/30</f>
        <v>4582.5</v>
      </c>
      <c r="AJ85" s="10">
        <f>MAX($Z85-积分赛!$C$7,0)*(IFERROR(INDEX($W$7:$W$14,MATCH(AJ$10,$T$7:$T$14,0)),0)*$T$20+IFERROR(INDEX($X$7:$X$14,MATCH(AJ$10,$T$7:$T$14,0)),0)*$T$21)/30</f>
        <v>27495</v>
      </c>
      <c r="AL85" s="10">
        <v>75</v>
      </c>
      <c r="AM85" s="10">
        <f>IFERROR(MAX(节奏总纲!D78-积分赛!$C$7,0)*INDEX($U$7:$U$14,MATCH(AA$10,$T$7:$T$14,0))/30,0)</f>
        <v>0</v>
      </c>
      <c r="AN85" s="10">
        <f>IFERROR(MAX(节奏总纲!E78-积分赛!$C$7,0)*INDEX($U$7:$U$14,MATCH(AB$10,$T$7:$T$14,0))/30,0)</f>
        <v>0</v>
      </c>
      <c r="AO85" s="10">
        <f>IFERROR(MAX(节奏总纲!F78-积分赛!$C$7,0)*INDEX($U$7:$U$14,MATCH(AC$10,$T$7:$T$14,0))/30,0)</f>
        <v>0</v>
      </c>
      <c r="AP85" s="10">
        <f>IFERROR(MAX(节奏总纲!G78-积分赛!$C$7,0)*INDEX($U$7:$U$14,MATCH(AD$10,$T$7:$T$14,0))/30,0)</f>
        <v>168570.69912637051</v>
      </c>
      <c r="AQ85" s="10">
        <f>IFERROR(MAX(节奏总纲!H78-积分赛!$C$7,0)*INDEX($U$7:$U$14,MATCH(AE$10,$T$7:$T$14,0))/30,0)</f>
        <v>725185.30317766266</v>
      </c>
      <c r="AR85" s="10">
        <f>MAX(节奏总纲!D78-积分赛!$C$7,0)*(IFERROR(INDEX($W$7:$W$14,MATCH(AF$10,$T$7:$T$14,0)),0)*$T$20+IFERROR(INDEX($X$7:$X$14,MATCH(AF$10,$T$7:$T$14,0)),0)*$T$21)/30</f>
        <v>0</v>
      </c>
      <c r="AS85" s="10">
        <f>MAX(节奏总纲!E78-积分赛!$C$7,0)*(IFERROR(INDEX($W$7:$W$14,MATCH(AG$10,$T$7:$T$14,0)),0)*$T$20+IFERROR(INDEX($X$7:$X$14,MATCH(AG$10,$T$7:$T$14,0)),0)*$T$21)/30</f>
        <v>0</v>
      </c>
      <c r="AT85" s="10">
        <f>MAX(节奏总纲!F78-积分赛!$C$7,0)*(IFERROR(INDEX($W$7:$W$14,MATCH(AH$10,$T$7:$T$14,0)),0)*$T$20+IFERROR(INDEX($X$7:$X$14,MATCH(AH$10,$T$7:$T$14,0)),0)*$T$21)/30</f>
        <v>0</v>
      </c>
      <c r="AU85" s="10">
        <f>MAX(节奏总纲!G78-积分赛!$C$7,0)*(IFERROR(INDEX($W$7:$W$14,MATCH(AI$10,$T$7:$T$14,0)),0)*$T$20+IFERROR(INDEX($X$7:$X$14,MATCH(AI$10,$T$7:$T$14,0)),0)*$T$21)/30</f>
        <v>6437.293572888273</v>
      </c>
      <c r="AV85" s="10">
        <f>MAX(节奏总纲!H78-积分赛!$C$7,0)*(IFERROR(INDEX($W$7:$W$14,MATCH(AJ$10,$T$7:$T$14,0)),0)*$T$20+IFERROR(INDEX($X$7:$X$14,MATCH(AJ$10,$T$7:$T$14,0)),0)*$T$21)/30</f>
        <v>13292.646607246557</v>
      </c>
      <c r="BI85" s="10">
        <v>75</v>
      </c>
      <c r="BJ85" s="10">
        <f>MAX($BI85-积分赛!$C$7,0)*$BC$10/30</f>
        <v>150000</v>
      </c>
      <c r="BK85" s="10">
        <f>MAX($BI85-积分赛!$C$7,0)*$BC$10/30</f>
        <v>150000</v>
      </c>
      <c r="BL85" s="10">
        <f>MAX($BI85-积分赛!$C$7,0)*$BC$10/30</f>
        <v>150000</v>
      </c>
      <c r="BM85" s="10">
        <f>MAX($BI85-积分赛!$C$7,0)*$BC$10/30</f>
        <v>150000</v>
      </c>
      <c r="BN85" s="10">
        <f>MAX($BI85-积分赛!$C$7,0)*$BC$10/30</f>
        <v>150000</v>
      </c>
      <c r="BP85" s="10">
        <v>75</v>
      </c>
      <c r="BQ85" s="10">
        <f>MAX(节奏总纲!D78-积分赛!$C$7,0)*$BC$10/30</f>
        <v>500064.45327918709</v>
      </c>
      <c r="BR85" s="10">
        <f>MAX(节奏总纲!E78-积分赛!$C$7,0)*$BC$10/30</f>
        <v>419175.76497715258</v>
      </c>
      <c r="BS85" s="10">
        <f>MAX(节奏总纲!F78-积分赛!$C$7,0)*$BC$10/30</f>
        <v>324605.60714035277</v>
      </c>
      <c r="BT85" s="10">
        <f>MAX(节奏总纲!G78-积分赛!$C$7,0)*$BC$10/30</f>
        <v>210713.37390796313</v>
      </c>
      <c r="BU85" s="10">
        <f>MAX(节奏总纲!H78-积分赛!$C$7,0)*$BC$10/30</f>
        <v>72518.530317766272</v>
      </c>
    </row>
    <row r="86" spans="26:73" x14ac:dyDescent="0.15">
      <c r="Z86" s="10">
        <v>76</v>
      </c>
      <c r="AA86" s="10">
        <f>IFERROR(MAX($Z86-积分赛!$C$7,0)*INDEX($U$7:$U$14,MATCH(AA$10,$T$7:$T$14,0))/30,0)</f>
        <v>0</v>
      </c>
      <c r="AB86" s="10">
        <f>IFERROR(MAX($Z86-积分赛!$C$7,0)*INDEX($U$7:$U$14,MATCH(AB$10,$T$7:$T$14,0))/30,0)</f>
        <v>0</v>
      </c>
      <c r="AC86" s="10">
        <f>IFERROR(MAX($Z86-积分赛!$C$7,0)*INDEX($U$7:$U$14,MATCH(AC$10,$T$7:$T$14,0))/30,0)</f>
        <v>0</v>
      </c>
      <c r="AD86" s="10">
        <f>IFERROR(MAX($Z86-积分赛!$C$7,0)*INDEX($U$7:$U$14,MATCH(AD$10,$T$7:$T$14,0))/30,0)</f>
        <v>122666.66666666667</v>
      </c>
      <c r="AE86" s="10">
        <f>IFERROR(MAX($Z86-积分赛!$C$7,0)*INDEX($U$7:$U$14,MATCH(AE$10,$T$7:$T$14,0))/30,0)</f>
        <v>1533333.3333333333</v>
      </c>
      <c r="AF86" s="10">
        <f>MAX($Z86-积分赛!$C$7,0)*(IFERROR(INDEX($W$7:$W$14,MATCH(AF$10,$T$7:$T$14,0)),0)*$T$20+IFERROR(INDEX($X$7:$X$14,MATCH(AF$10,$T$7:$T$14,0)),0)*$T$21)/30</f>
        <v>0</v>
      </c>
      <c r="AG86" s="10">
        <f>MAX($Z86-积分赛!$C$7,0)*(IFERROR(INDEX($W$7:$W$14,MATCH(AG$10,$T$7:$T$14,0)),0)*$T$20+IFERROR(INDEX($X$7:$X$14,MATCH(AG$10,$T$7:$T$14,0)),0)*$T$21)/30</f>
        <v>0</v>
      </c>
      <c r="AH86" s="10">
        <f>MAX($Z86-积分赛!$C$7,0)*(IFERROR(INDEX($W$7:$W$14,MATCH(AH$10,$T$7:$T$14,0)),0)*$T$20+IFERROR(INDEX($X$7:$X$14,MATCH(AH$10,$T$7:$T$14,0)),0)*$T$21)/30</f>
        <v>0</v>
      </c>
      <c r="AI86" s="10">
        <f>MAX($Z86-积分赛!$C$7,0)*(IFERROR(INDEX($W$7:$W$14,MATCH(AI$10,$T$7:$T$14,0)),0)*$T$20+IFERROR(INDEX($X$7:$X$14,MATCH(AI$10,$T$7:$T$14,0)),0)*$T$21)/30</f>
        <v>4684.333333333333</v>
      </c>
      <c r="AJ86" s="10">
        <f>MAX($Z86-积分赛!$C$7,0)*(IFERROR(INDEX($W$7:$W$14,MATCH(AJ$10,$T$7:$T$14,0)),0)*$T$20+IFERROR(INDEX($X$7:$X$14,MATCH(AJ$10,$T$7:$T$14,0)),0)*$T$21)/30</f>
        <v>28106</v>
      </c>
      <c r="AL86" s="10">
        <v>76</v>
      </c>
      <c r="AM86" s="10">
        <f>IFERROR(MAX(节奏总纲!D79-积分赛!$C$7,0)*INDEX($U$7:$U$14,MATCH(AA$10,$T$7:$T$14,0))/30,0)</f>
        <v>0</v>
      </c>
      <c r="AN86" s="10">
        <f>IFERROR(MAX(节奏总纲!E79-积分赛!$C$7,0)*INDEX($U$7:$U$14,MATCH(AB$10,$T$7:$T$14,0))/30,0)</f>
        <v>0</v>
      </c>
      <c r="AO86" s="10">
        <f>IFERROR(MAX(节奏总纲!F79-积分赛!$C$7,0)*INDEX($U$7:$U$14,MATCH(AC$10,$T$7:$T$14,0))/30,0)</f>
        <v>0</v>
      </c>
      <c r="AP86" s="10">
        <f>IFERROR(MAX(节奏总纲!G79-积分赛!$C$7,0)*INDEX($U$7:$U$14,MATCH(AD$10,$T$7:$T$14,0))/30,0)</f>
        <v>186767.93264549176</v>
      </c>
      <c r="AQ86" s="10">
        <f>IFERROR(MAX(节奏总纲!H79-积分赛!$C$7,0)*INDEX($U$7:$U$14,MATCH(AE$10,$T$7:$T$14,0))/30,0)</f>
        <v>855486.006534821</v>
      </c>
      <c r="AR86" s="10">
        <f>MAX(节奏总纲!D79-积分赛!$C$7,0)*(IFERROR(INDEX($W$7:$W$14,MATCH(AF$10,$T$7:$T$14,0)),0)*$T$20+IFERROR(INDEX($X$7:$X$14,MATCH(AF$10,$T$7:$T$14,0)),0)*$T$21)/30</f>
        <v>0</v>
      </c>
      <c r="AS86" s="10">
        <f>MAX(节奏总纲!E79-积分赛!$C$7,0)*(IFERROR(INDEX($W$7:$W$14,MATCH(AG$10,$T$7:$T$14,0)),0)*$T$20+IFERROR(INDEX($X$7:$X$14,MATCH(AG$10,$T$7:$T$14,0)),0)*$T$21)/30</f>
        <v>0</v>
      </c>
      <c r="AT86" s="10">
        <f>MAX(节奏总纲!F79-积分赛!$C$7,0)*(IFERROR(INDEX($W$7:$W$14,MATCH(AH$10,$T$7:$T$14,0)),0)*$T$20+IFERROR(INDEX($X$7:$X$14,MATCH(AH$10,$T$7:$T$14,0)),0)*$T$21)/30</f>
        <v>0</v>
      </c>
      <c r="AU86" s="10">
        <f>MAX(节奏总纲!G79-积分赛!$C$7,0)*(IFERROR(INDEX($W$7:$W$14,MATCH(AI$10,$T$7:$T$14,0)),0)*$T$20+IFERROR(INDEX($X$7:$X$14,MATCH(AI$10,$T$7:$T$14,0)),0)*$T$21)/30</f>
        <v>7132.2004278997165</v>
      </c>
      <c r="AV86" s="10">
        <f>MAX(节奏总纲!H79-积分赛!$C$7,0)*(IFERROR(INDEX($W$7:$W$14,MATCH(AJ$10,$T$7:$T$14,0)),0)*$T$20+IFERROR(INDEX($X$7:$X$14,MATCH(AJ$10,$T$7:$T$14,0)),0)*$T$21)/30</f>
        <v>15681.05849978327</v>
      </c>
      <c r="BI86" s="10">
        <v>76</v>
      </c>
      <c r="BJ86" s="10">
        <f>MAX($BI86-积分赛!$C$7,0)*$BC$10/30</f>
        <v>153333.33333333334</v>
      </c>
      <c r="BK86" s="10">
        <f>MAX($BI86-积分赛!$C$7,0)*$BC$10/30</f>
        <v>153333.33333333334</v>
      </c>
      <c r="BL86" s="10">
        <f>MAX($BI86-积分赛!$C$7,0)*$BC$10/30</f>
        <v>153333.33333333334</v>
      </c>
      <c r="BM86" s="10">
        <f>MAX($BI86-积分赛!$C$7,0)*$BC$10/30</f>
        <v>153333.33333333334</v>
      </c>
      <c r="BN86" s="10">
        <f>MAX($BI86-积分赛!$C$7,0)*$BC$10/30</f>
        <v>153333.33333333334</v>
      </c>
      <c r="BP86" s="10">
        <v>76</v>
      </c>
      <c r="BQ86" s="10">
        <f>MAX(节奏总纲!D79-积分赛!$C$7,0)*$BC$10/30</f>
        <v>543372.40171110304</v>
      </c>
      <c r="BR86" s="10">
        <f>MAX(节奏总纲!E79-积分赛!$C$7,0)*$BC$10/30</f>
        <v>456581.46472027519</v>
      </c>
      <c r="BS86" s="10">
        <f>MAX(节奏总纲!F79-积分赛!$C$7,0)*$BC$10/30</f>
        <v>355057.29973026324</v>
      </c>
      <c r="BT86" s="10">
        <f>MAX(节奏总纲!G79-积分赛!$C$7,0)*$BC$10/30</f>
        <v>233459.91580686468</v>
      </c>
      <c r="BU86" s="10">
        <f>MAX(节奏总纲!H79-积分赛!$C$7,0)*$BC$10/30</f>
        <v>85548.600653482106</v>
      </c>
    </row>
    <row r="87" spans="26:73" x14ac:dyDescent="0.15">
      <c r="Z87" s="10">
        <v>77</v>
      </c>
      <c r="AA87" s="10">
        <f>IFERROR(MAX($Z87-积分赛!$C$7,0)*INDEX($U$7:$U$14,MATCH(AA$10,$T$7:$T$14,0))/30,0)</f>
        <v>0</v>
      </c>
      <c r="AB87" s="10">
        <f>IFERROR(MAX($Z87-积分赛!$C$7,0)*INDEX($U$7:$U$14,MATCH(AB$10,$T$7:$T$14,0))/30,0)</f>
        <v>0</v>
      </c>
      <c r="AC87" s="10">
        <f>IFERROR(MAX($Z87-积分赛!$C$7,0)*INDEX($U$7:$U$14,MATCH(AC$10,$T$7:$T$14,0))/30,0)</f>
        <v>0</v>
      </c>
      <c r="AD87" s="10">
        <f>IFERROR(MAX($Z87-积分赛!$C$7,0)*INDEX($U$7:$U$14,MATCH(AD$10,$T$7:$T$14,0))/30,0)</f>
        <v>125333.33333333333</v>
      </c>
      <c r="AE87" s="10">
        <f>IFERROR(MAX($Z87-积分赛!$C$7,0)*INDEX($U$7:$U$14,MATCH(AE$10,$T$7:$T$14,0))/30,0)</f>
        <v>1566666.6666666667</v>
      </c>
      <c r="AF87" s="10">
        <f>MAX($Z87-积分赛!$C$7,0)*(IFERROR(INDEX($W$7:$W$14,MATCH(AF$10,$T$7:$T$14,0)),0)*$T$20+IFERROR(INDEX($X$7:$X$14,MATCH(AF$10,$T$7:$T$14,0)),0)*$T$21)/30</f>
        <v>0</v>
      </c>
      <c r="AG87" s="10">
        <f>MAX($Z87-积分赛!$C$7,0)*(IFERROR(INDEX($W$7:$W$14,MATCH(AG$10,$T$7:$T$14,0)),0)*$T$20+IFERROR(INDEX($X$7:$X$14,MATCH(AG$10,$T$7:$T$14,0)),0)*$T$21)/30</f>
        <v>0</v>
      </c>
      <c r="AH87" s="10">
        <f>MAX($Z87-积分赛!$C$7,0)*(IFERROR(INDEX($W$7:$W$14,MATCH(AH$10,$T$7:$T$14,0)),0)*$T$20+IFERROR(INDEX($X$7:$X$14,MATCH(AH$10,$T$7:$T$14,0)),0)*$T$21)/30</f>
        <v>0</v>
      </c>
      <c r="AI87" s="10">
        <f>MAX($Z87-积分赛!$C$7,0)*(IFERROR(INDEX($W$7:$W$14,MATCH(AI$10,$T$7:$T$14,0)),0)*$T$20+IFERROR(INDEX($X$7:$X$14,MATCH(AI$10,$T$7:$T$14,0)),0)*$T$21)/30</f>
        <v>4786.166666666667</v>
      </c>
      <c r="AJ87" s="10">
        <f>MAX($Z87-积分赛!$C$7,0)*(IFERROR(INDEX($W$7:$W$14,MATCH(AJ$10,$T$7:$T$14,0)),0)*$T$20+IFERROR(INDEX($X$7:$X$14,MATCH(AJ$10,$T$7:$T$14,0)),0)*$T$21)/30</f>
        <v>28717</v>
      </c>
      <c r="AL87" s="10">
        <v>77</v>
      </c>
      <c r="AM87" s="10">
        <f>IFERROR(MAX(节奏总纲!D80-积分赛!$C$7,0)*INDEX($U$7:$U$14,MATCH(AA$10,$T$7:$T$14,0))/30,0)</f>
        <v>0</v>
      </c>
      <c r="AN87" s="10">
        <f>IFERROR(MAX(节奏总纲!E80-积分赛!$C$7,0)*INDEX($U$7:$U$14,MATCH(AB$10,$T$7:$T$14,0))/30,0)</f>
        <v>0</v>
      </c>
      <c r="AO87" s="10">
        <f>IFERROR(MAX(节奏总纲!F80-积分赛!$C$7,0)*INDEX($U$7:$U$14,MATCH(AC$10,$T$7:$T$14,0))/30,0)</f>
        <v>0</v>
      </c>
      <c r="AP87" s="10">
        <f>IFERROR(MAX(节奏总纲!G80-积分赛!$C$7,0)*INDEX($U$7:$U$14,MATCH(AD$10,$T$7:$T$14,0))/30,0)</f>
        <v>206455.45613552423</v>
      </c>
      <c r="AQ87" s="10">
        <f>IFERROR(MAX(节奏总纲!H80-积分赛!$C$7,0)*INDEX($U$7:$U$14,MATCH(AE$10,$T$7:$T$14,0))/30,0)</f>
        <v>984522.12315041223</v>
      </c>
      <c r="AR87" s="10">
        <f>MAX(节奏总纲!D80-积分赛!$C$7,0)*(IFERROR(INDEX($W$7:$W$14,MATCH(AF$10,$T$7:$T$14,0)),0)*$T$20+IFERROR(INDEX($X$7:$X$14,MATCH(AF$10,$T$7:$T$14,0)),0)*$T$21)/30</f>
        <v>0</v>
      </c>
      <c r="AS87" s="10">
        <f>MAX(节奏总纲!E80-积分赛!$C$7,0)*(IFERROR(INDEX($W$7:$W$14,MATCH(AG$10,$T$7:$T$14,0)),0)*$T$20+IFERROR(INDEX($X$7:$X$14,MATCH(AG$10,$T$7:$T$14,0)),0)*$T$21)/30</f>
        <v>0</v>
      </c>
      <c r="AT87" s="10">
        <f>MAX(节奏总纲!F80-积分赛!$C$7,0)*(IFERROR(INDEX($W$7:$W$14,MATCH(AH$10,$T$7:$T$14,0)),0)*$T$20+IFERROR(INDEX($X$7:$X$14,MATCH(AH$10,$T$7:$T$14,0)),0)*$T$21)/30</f>
        <v>0</v>
      </c>
      <c r="AU87" s="10">
        <f>MAX(节奏总纲!G80-积分赛!$C$7,0)*(IFERROR(INDEX($W$7:$W$14,MATCH(AI$10,$T$7:$T$14,0)),0)*$T$20+IFERROR(INDEX($X$7:$X$14,MATCH(AI$10,$T$7:$T$14,0)),0)*$T$21)/30</f>
        <v>7884.0177311753314</v>
      </c>
      <c r="AV87" s="10">
        <f>MAX(节奏总纲!H80-积分赛!$C$7,0)*(IFERROR(INDEX($W$7:$W$14,MATCH(AJ$10,$T$7:$T$14,0)),0)*$T$20+IFERROR(INDEX($X$7:$X$14,MATCH(AJ$10,$T$7:$T$14,0)),0)*$T$21)/30</f>
        <v>18046.290517347054</v>
      </c>
      <c r="BI87" s="10">
        <v>77</v>
      </c>
      <c r="BJ87" s="10">
        <f>MAX($BI87-积分赛!$C$7,0)*$BC$10/30</f>
        <v>156666.66666666666</v>
      </c>
      <c r="BK87" s="10">
        <f>MAX($BI87-积分赛!$C$7,0)*$BC$10/30</f>
        <v>156666.66666666666</v>
      </c>
      <c r="BL87" s="10">
        <f>MAX($BI87-积分赛!$C$7,0)*$BC$10/30</f>
        <v>156666.66666666666</v>
      </c>
      <c r="BM87" s="10">
        <f>MAX($BI87-积分赛!$C$7,0)*$BC$10/30</f>
        <v>156666.66666666666</v>
      </c>
      <c r="BN87" s="10">
        <f>MAX($BI87-积分赛!$C$7,0)*$BC$10/30</f>
        <v>156666.66666666666</v>
      </c>
      <c r="BP87" s="10">
        <v>77</v>
      </c>
      <c r="BQ87" s="10">
        <f>MAX(节奏总纲!D80-积分赛!$C$7,0)*$BC$10/30</f>
        <v>589788.7115573209</v>
      </c>
      <c r="BR87" s="10">
        <f>MAX(节奏总纲!E80-积分赛!$C$7,0)*$BC$10/30</f>
        <v>497081.10872401693</v>
      </c>
      <c r="BS87" s="10">
        <f>MAX(节奏总纲!F80-积分赛!$C$7,0)*$BC$10/30</f>
        <v>388439.38665373885</v>
      </c>
      <c r="BT87" s="10">
        <f>MAX(节奏总纲!G80-积分赛!$C$7,0)*$BC$10/30</f>
        <v>258069.32016940526</v>
      </c>
      <c r="BU87" s="10">
        <f>MAX(节奏总纲!H80-积分赛!$C$7,0)*$BC$10/30</f>
        <v>98452.212315041208</v>
      </c>
    </row>
    <row r="88" spans="26:73" x14ac:dyDescent="0.15">
      <c r="Z88" s="10">
        <v>78</v>
      </c>
      <c r="AA88" s="10">
        <f>IFERROR(MAX($Z88-积分赛!$C$7,0)*INDEX($U$7:$U$14,MATCH(AA$10,$T$7:$T$14,0))/30,0)</f>
        <v>0</v>
      </c>
      <c r="AB88" s="10">
        <f>IFERROR(MAX($Z88-积分赛!$C$7,0)*INDEX($U$7:$U$14,MATCH(AB$10,$T$7:$T$14,0))/30,0)</f>
        <v>0</v>
      </c>
      <c r="AC88" s="10">
        <f>IFERROR(MAX($Z88-积分赛!$C$7,0)*INDEX($U$7:$U$14,MATCH(AC$10,$T$7:$T$14,0))/30,0)</f>
        <v>0</v>
      </c>
      <c r="AD88" s="10">
        <f>IFERROR(MAX($Z88-积分赛!$C$7,0)*INDEX($U$7:$U$14,MATCH(AD$10,$T$7:$T$14,0))/30,0)</f>
        <v>128000</v>
      </c>
      <c r="AE88" s="10">
        <f>IFERROR(MAX($Z88-积分赛!$C$7,0)*INDEX($U$7:$U$14,MATCH(AE$10,$T$7:$T$14,0))/30,0)</f>
        <v>1600000</v>
      </c>
      <c r="AF88" s="10">
        <f>MAX($Z88-积分赛!$C$7,0)*(IFERROR(INDEX($W$7:$W$14,MATCH(AF$10,$T$7:$T$14,0)),0)*$T$20+IFERROR(INDEX($X$7:$X$14,MATCH(AF$10,$T$7:$T$14,0)),0)*$T$21)/30</f>
        <v>0</v>
      </c>
      <c r="AG88" s="10">
        <f>MAX($Z88-积分赛!$C$7,0)*(IFERROR(INDEX($W$7:$W$14,MATCH(AG$10,$T$7:$T$14,0)),0)*$T$20+IFERROR(INDEX($X$7:$X$14,MATCH(AG$10,$T$7:$T$14,0)),0)*$T$21)/30</f>
        <v>0</v>
      </c>
      <c r="AH88" s="10">
        <f>MAX($Z88-积分赛!$C$7,0)*(IFERROR(INDEX($W$7:$W$14,MATCH(AH$10,$T$7:$T$14,0)),0)*$T$20+IFERROR(INDEX($X$7:$X$14,MATCH(AH$10,$T$7:$T$14,0)),0)*$T$21)/30</f>
        <v>0</v>
      </c>
      <c r="AI88" s="10">
        <f>MAX($Z88-积分赛!$C$7,0)*(IFERROR(INDEX($W$7:$W$14,MATCH(AI$10,$T$7:$T$14,0)),0)*$T$20+IFERROR(INDEX($X$7:$X$14,MATCH(AI$10,$T$7:$T$14,0)),0)*$T$21)/30</f>
        <v>4888</v>
      </c>
      <c r="AJ88" s="10">
        <f>MAX($Z88-积分赛!$C$7,0)*(IFERROR(INDEX($W$7:$W$14,MATCH(AJ$10,$T$7:$T$14,0)),0)*$T$20+IFERROR(INDEX($X$7:$X$14,MATCH(AJ$10,$T$7:$T$14,0)),0)*$T$21)/30</f>
        <v>29328</v>
      </c>
      <c r="AL88" s="10">
        <v>78</v>
      </c>
      <c r="AM88" s="10">
        <f>IFERROR(MAX(节奏总纲!D81-积分赛!$C$7,0)*INDEX($U$7:$U$14,MATCH(AA$10,$T$7:$T$14,0))/30,0)</f>
        <v>0</v>
      </c>
      <c r="AN88" s="10">
        <f>IFERROR(MAX(节奏总纲!E81-积分赛!$C$7,0)*INDEX($U$7:$U$14,MATCH(AB$10,$T$7:$T$14,0))/30,0)</f>
        <v>0</v>
      </c>
      <c r="AO88" s="10">
        <f>IFERROR(MAX(节奏总纲!F81-积分赛!$C$7,0)*INDEX($U$7:$U$14,MATCH(AC$10,$T$7:$T$14,0))/30,0)</f>
        <v>0</v>
      </c>
      <c r="AP88" s="10">
        <f>IFERROR(MAX(节奏总纲!G81-积分赛!$C$7,0)*INDEX($U$7:$U$14,MATCH(AD$10,$T$7:$T$14,0))/30,0)</f>
        <v>227114.70969652425</v>
      </c>
      <c r="AQ88" s="10">
        <f>IFERROR(MAX(节奏总纲!H81-积分赛!$C$7,0)*INDEX($U$7:$U$14,MATCH(AE$10,$T$7:$T$14,0))/30,0)</f>
        <v>1121730.1630690813</v>
      </c>
      <c r="AR88" s="10">
        <f>MAX(节奏总纲!D81-积分赛!$C$7,0)*(IFERROR(INDEX($W$7:$W$14,MATCH(AF$10,$T$7:$T$14,0)),0)*$T$20+IFERROR(INDEX($X$7:$X$14,MATCH(AF$10,$T$7:$T$14,0)),0)*$T$21)/30</f>
        <v>0</v>
      </c>
      <c r="AS88" s="10">
        <f>MAX(节奏总纲!E81-积分赛!$C$7,0)*(IFERROR(INDEX($W$7:$W$14,MATCH(AG$10,$T$7:$T$14,0)),0)*$T$20+IFERROR(INDEX($X$7:$X$14,MATCH(AG$10,$T$7:$T$14,0)),0)*$T$21)/30</f>
        <v>0</v>
      </c>
      <c r="AT88" s="10">
        <f>MAX(节奏总纲!F81-积分赛!$C$7,0)*(IFERROR(INDEX($W$7:$W$14,MATCH(AH$10,$T$7:$T$14,0)),0)*$T$20+IFERROR(INDEX($X$7:$X$14,MATCH(AH$10,$T$7:$T$14,0)),0)*$T$21)/30</f>
        <v>0</v>
      </c>
      <c r="AU88" s="10">
        <f>MAX(节奏总纲!G81-积分赛!$C$7,0)*(IFERROR(INDEX($W$7:$W$14,MATCH(AI$10,$T$7:$T$14,0)),0)*$T$20+IFERROR(INDEX($X$7:$X$14,MATCH(AI$10,$T$7:$T$14,0)),0)*$T$21)/30</f>
        <v>8672.9429765360201</v>
      </c>
      <c r="AV88" s="10">
        <f>MAX(节奏总纲!H81-积分赛!$C$7,0)*(IFERROR(INDEX($W$7:$W$14,MATCH(AJ$10,$T$7:$T$14,0)),0)*$T$20+IFERROR(INDEX($X$7:$X$14,MATCH(AJ$10,$T$7:$T$14,0)),0)*$T$21)/30</f>
        <v>20561.313889056259</v>
      </c>
      <c r="BI88" s="10">
        <v>78</v>
      </c>
      <c r="BJ88" s="10">
        <f>MAX($BI88-积分赛!$C$7,0)*$BC$10/30</f>
        <v>160000</v>
      </c>
      <c r="BK88" s="10">
        <f>MAX($BI88-积分赛!$C$7,0)*$BC$10/30</f>
        <v>160000</v>
      </c>
      <c r="BL88" s="10">
        <f>MAX($BI88-积分赛!$C$7,0)*$BC$10/30</f>
        <v>160000</v>
      </c>
      <c r="BM88" s="10">
        <f>MAX($BI88-积分赛!$C$7,0)*$BC$10/30</f>
        <v>160000</v>
      </c>
      <c r="BN88" s="10">
        <f>MAX($BI88-积分赛!$C$7,0)*$BC$10/30</f>
        <v>160000</v>
      </c>
      <c r="BP88" s="10">
        <v>78</v>
      </c>
      <c r="BQ88" s="10">
        <f>MAX(节奏总纲!D81-积分赛!$C$7,0)*$BC$10/30</f>
        <v>639536.48067935917</v>
      </c>
      <c r="BR88" s="10">
        <f>MAX(节奏总纲!E81-积分赛!$C$7,0)*$BC$10/30</f>
        <v>540142.77767605335</v>
      </c>
      <c r="BS88" s="10">
        <f>MAX(节奏总纲!F81-积分赛!$C$7,0)*$BC$10/30</f>
        <v>424109.50385746179</v>
      </c>
      <c r="BT88" s="10">
        <f>MAX(节奏总纲!G81-积分赛!$C$7,0)*$BC$10/30</f>
        <v>283893.38712065533</v>
      </c>
      <c r="BU88" s="10">
        <f>MAX(节奏总纲!H81-积分赛!$C$7,0)*$BC$10/30</f>
        <v>112173.01630690812</v>
      </c>
    </row>
    <row r="89" spans="26:73" x14ac:dyDescent="0.15">
      <c r="Z89" s="10">
        <v>79</v>
      </c>
      <c r="AA89" s="10">
        <f>IFERROR(MAX($Z89-积分赛!$C$7,0)*INDEX($U$7:$U$14,MATCH(AA$10,$T$7:$T$14,0))/30,0)</f>
        <v>0</v>
      </c>
      <c r="AB89" s="10">
        <f>IFERROR(MAX($Z89-积分赛!$C$7,0)*INDEX($U$7:$U$14,MATCH(AB$10,$T$7:$T$14,0))/30,0)</f>
        <v>0</v>
      </c>
      <c r="AC89" s="10">
        <f>IFERROR(MAX($Z89-积分赛!$C$7,0)*INDEX($U$7:$U$14,MATCH(AC$10,$T$7:$T$14,0))/30,0)</f>
        <v>0</v>
      </c>
      <c r="AD89" s="10">
        <f>IFERROR(MAX($Z89-积分赛!$C$7,0)*INDEX($U$7:$U$14,MATCH(AD$10,$T$7:$T$14,0))/30,0)</f>
        <v>130666.66666666667</v>
      </c>
      <c r="AE89" s="10">
        <f>IFERROR(MAX($Z89-积分赛!$C$7,0)*INDEX($U$7:$U$14,MATCH(AE$10,$T$7:$T$14,0))/30,0)</f>
        <v>1633333.3333333333</v>
      </c>
      <c r="AF89" s="10">
        <f>MAX($Z89-积分赛!$C$7,0)*(IFERROR(INDEX($W$7:$W$14,MATCH(AF$10,$T$7:$T$14,0)),0)*$T$20+IFERROR(INDEX($X$7:$X$14,MATCH(AF$10,$T$7:$T$14,0)),0)*$T$21)/30</f>
        <v>0</v>
      </c>
      <c r="AG89" s="10">
        <f>MAX($Z89-积分赛!$C$7,0)*(IFERROR(INDEX($W$7:$W$14,MATCH(AG$10,$T$7:$T$14,0)),0)*$T$20+IFERROR(INDEX($X$7:$X$14,MATCH(AG$10,$T$7:$T$14,0)),0)*$T$21)/30</f>
        <v>0</v>
      </c>
      <c r="AH89" s="10">
        <f>MAX($Z89-积分赛!$C$7,0)*(IFERROR(INDEX($W$7:$W$14,MATCH(AH$10,$T$7:$T$14,0)),0)*$T$20+IFERROR(INDEX($X$7:$X$14,MATCH(AH$10,$T$7:$T$14,0)),0)*$T$21)/30</f>
        <v>0</v>
      </c>
      <c r="AI89" s="10">
        <f>MAX($Z89-积分赛!$C$7,0)*(IFERROR(INDEX($W$7:$W$14,MATCH(AI$10,$T$7:$T$14,0)),0)*$T$20+IFERROR(INDEX($X$7:$X$14,MATCH(AI$10,$T$7:$T$14,0)),0)*$T$21)/30</f>
        <v>4989.833333333333</v>
      </c>
      <c r="AJ89" s="10">
        <f>MAX($Z89-积分赛!$C$7,0)*(IFERROR(INDEX($W$7:$W$14,MATCH(AJ$10,$T$7:$T$14,0)),0)*$T$20+IFERROR(INDEX($X$7:$X$14,MATCH(AJ$10,$T$7:$T$14,0)),0)*$T$21)/30</f>
        <v>29939</v>
      </c>
      <c r="AL89" s="10">
        <v>79</v>
      </c>
      <c r="AM89" s="10">
        <f>IFERROR(MAX(节奏总纲!D82-积分赛!$C$7,0)*INDEX($U$7:$U$14,MATCH(AA$10,$T$7:$T$14,0))/30,0)</f>
        <v>0</v>
      </c>
      <c r="AN89" s="10">
        <f>IFERROR(MAX(节奏总纲!E82-积分赛!$C$7,0)*INDEX($U$7:$U$14,MATCH(AB$10,$T$7:$T$14,0))/30,0)</f>
        <v>0</v>
      </c>
      <c r="AO89" s="10">
        <f>IFERROR(MAX(节奏总纲!F82-积分赛!$C$7,0)*INDEX($U$7:$U$14,MATCH(AC$10,$T$7:$T$14,0))/30,0)</f>
        <v>0</v>
      </c>
      <c r="AP89" s="10">
        <f>IFERROR(MAX(节奏总纲!G82-积分赛!$C$7,0)*INDEX($U$7:$U$14,MATCH(AD$10,$T$7:$T$14,0))/30,0)</f>
        <v>248305.32363567877</v>
      </c>
      <c r="AQ89" s="10">
        <f>IFERROR(MAX(节奏总纲!H82-积分赛!$C$7,0)*INDEX($U$7:$U$14,MATCH(AE$10,$T$7:$T$14,0))/30,0)</f>
        <v>1270736.2028897412</v>
      </c>
      <c r="AR89" s="10">
        <f>MAX(节奏总纲!D82-积分赛!$C$7,0)*(IFERROR(INDEX($W$7:$W$14,MATCH(AF$10,$T$7:$T$14,0)),0)*$T$20+IFERROR(INDEX($X$7:$X$14,MATCH(AF$10,$T$7:$T$14,0)),0)*$T$21)/30</f>
        <v>0</v>
      </c>
      <c r="AS89" s="10">
        <f>MAX(节奏总纲!E82-积分赛!$C$7,0)*(IFERROR(INDEX($W$7:$W$14,MATCH(AG$10,$T$7:$T$14,0)),0)*$T$20+IFERROR(INDEX($X$7:$X$14,MATCH(AG$10,$T$7:$T$14,0)),0)*$T$21)/30</f>
        <v>0</v>
      </c>
      <c r="AT89" s="10">
        <f>MAX(节奏总纲!F82-积分赛!$C$7,0)*(IFERROR(INDEX($W$7:$W$14,MATCH(AH$10,$T$7:$T$14,0)),0)*$T$20+IFERROR(INDEX($X$7:$X$14,MATCH(AH$10,$T$7:$T$14,0)),0)*$T$21)/30</f>
        <v>0</v>
      </c>
      <c r="AU89" s="10">
        <f>MAX(节奏总纲!G82-积分赛!$C$7,0)*(IFERROR(INDEX($W$7:$W$14,MATCH(AI$10,$T$7:$T$14,0)),0)*$T$20+IFERROR(INDEX($X$7:$X$14,MATCH(AI$10,$T$7:$T$14,0)),0)*$T$21)/30</f>
        <v>9482.1595463374852</v>
      </c>
      <c r="AV89" s="10">
        <f>MAX(节奏总纲!H82-积分赛!$C$7,0)*(IFERROR(INDEX($W$7:$W$14,MATCH(AJ$10,$T$7:$T$14,0)),0)*$T$20+IFERROR(INDEX($X$7:$X$14,MATCH(AJ$10,$T$7:$T$14,0)),0)*$T$21)/30</f>
        <v>23292.594598968957</v>
      </c>
      <c r="BI89" s="10">
        <v>79</v>
      </c>
      <c r="BJ89" s="10">
        <f>MAX($BI89-积分赛!$C$7,0)*$BC$10/30</f>
        <v>163333.33333333334</v>
      </c>
      <c r="BK89" s="10">
        <f>MAX($BI89-积分赛!$C$7,0)*$BC$10/30</f>
        <v>163333.33333333334</v>
      </c>
      <c r="BL89" s="10">
        <f>MAX($BI89-积分赛!$C$7,0)*$BC$10/30</f>
        <v>163333.33333333334</v>
      </c>
      <c r="BM89" s="10">
        <f>MAX($BI89-积分赛!$C$7,0)*$BC$10/30</f>
        <v>163333.33333333334</v>
      </c>
      <c r="BN89" s="10">
        <f>MAX($BI89-积分赛!$C$7,0)*$BC$10/30</f>
        <v>163333.33333333334</v>
      </c>
      <c r="BP89" s="10">
        <v>79</v>
      </c>
      <c r="BQ89" s="10">
        <f>MAX(节奏总纲!D82-积分赛!$C$7,0)*$BC$10/30</f>
        <v>692854.81944474217</v>
      </c>
      <c r="BR89" s="10">
        <f>MAX(节奏总纲!E82-积分赛!$C$7,0)*$BC$10/30</f>
        <v>586929.41556692449</v>
      </c>
      <c r="BS89" s="10">
        <f>MAX(节奏总纲!F82-积分赛!$C$7,0)*$BC$10/30</f>
        <v>462451.20891410013</v>
      </c>
      <c r="BT89" s="10">
        <f>MAX(节奏总纲!G82-积分赛!$C$7,0)*$BC$10/30</f>
        <v>310381.65454459848</v>
      </c>
      <c r="BU89" s="10">
        <f>MAX(节奏总纲!H82-积分赛!$C$7,0)*$BC$10/30</f>
        <v>127073.62028897413</v>
      </c>
    </row>
    <row r="90" spans="26:73" x14ac:dyDescent="0.15">
      <c r="Z90" s="10">
        <v>80</v>
      </c>
      <c r="AA90" s="10">
        <f>IFERROR(MAX($Z90-积分赛!$C$7,0)*INDEX($U$7:$U$14,MATCH(AA$10,$T$7:$T$14,0))/30,0)</f>
        <v>0</v>
      </c>
      <c r="AB90" s="10">
        <f>IFERROR(MAX($Z90-积分赛!$C$7,0)*INDEX($U$7:$U$14,MATCH(AB$10,$T$7:$T$14,0))/30,0)</f>
        <v>0</v>
      </c>
      <c r="AC90" s="10">
        <f>IFERROR(MAX($Z90-积分赛!$C$7,0)*INDEX($U$7:$U$14,MATCH(AC$10,$T$7:$T$14,0))/30,0)</f>
        <v>0</v>
      </c>
      <c r="AD90" s="10">
        <f>IFERROR(MAX($Z90-积分赛!$C$7,0)*INDEX($U$7:$U$14,MATCH(AD$10,$T$7:$T$14,0))/30,0)</f>
        <v>133333.33333333334</v>
      </c>
      <c r="AE90" s="10">
        <f>IFERROR(MAX($Z90-积分赛!$C$7,0)*INDEX($U$7:$U$14,MATCH(AE$10,$T$7:$T$14,0))/30,0)</f>
        <v>1666666.6666666667</v>
      </c>
      <c r="AF90" s="10">
        <f>MAX($Z90-积分赛!$C$7,0)*(IFERROR(INDEX($W$7:$W$14,MATCH(AF$10,$T$7:$T$14,0)),0)*$T$20+IFERROR(INDEX($X$7:$X$14,MATCH(AF$10,$T$7:$T$14,0)),0)*$T$21)/30</f>
        <v>0</v>
      </c>
      <c r="AG90" s="10">
        <f>MAX($Z90-积分赛!$C$7,0)*(IFERROR(INDEX($W$7:$W$14,MATCH(AG$10,$T$7:$T$14,0)),0)*$T$20+IFERROR(INDEX($X$7:$X$14,MATCH(AG$10,$T$7:$T$14,0)),0)*$T$21)/30</f>
        <v>0</v>
      </c>
      <c r="AH90" s="10">
        <f>MAX($Z90-积分赛!$C$7,0)*(IFERROR(INDEX($W$7:$W$14,MATCH(AH$10,$T$7:$T$14,0)),0)*$T$20+IFERROR(INDEX($X$7:$X$14,MATCH(AH$10,$T$7:$T$14,0)),0)*$T$21)/30</f>
        <v>0</v>
      </c>
      <c r="AI90" s="10">
        <f>MAX($Z90-积分赛!$C$7,0)*(IFERROR(INDEX($W$7:$W$14,MATCH(AI$10,$T$7:$T$14,0)),0)*$T$20+IFERROR(INDEX($X$7:$X$14,MATCH(AI$10,$T$7:$T$14,0)),0)*$T$21)/30</f>
        <v>5091.666666666667</v>
      </c>
      <c r="AJ90" s="10">
        <f>MAX($Z90-积分赛!$C$7,0)*(IFERROR(INDEX($W$7:$W$14,MATCH(AJ$10,$T$7:$T$14,0)),0)*$T$20+IFERROR(INDEX($X$7:$X$14,MATCH(AJ$10,$T$7:$T$14,0)),0)*$T$21)/30</f>
        <v>30550</v>
      </c>
      <c r="AL90" s="10">
        <v>80</v>
      </c>
      <c r="AM90" s="10">
        <f>IFERROR(MAX(节奏总纲!D83-积分赛!$C$7,0)*INDEX($U$7:$U$14,MATCH(AA$10,$T$7:$T$14,0))/30,0)</f>
        <v>0</v>
      </c>
      <c r="AN90" s="10">
        <f>IFERROR(MAX(节奏总纲!E83-积分赛!$C$7,0)*INDEX($U$7:$U$14,MATCH(AB$10,$T$7:$T$14,0))/30,0)</f>
        <v>0</v>
      </c>
      <c r="AO90" s="10">
        <f>IFERROR(MAX(节奏总纲!F83-积分赛!$C$7,0)*INDEX($U$7:$U$14,MATCH(AC$10,$T$7:$T$14,0))/30,0)</f>
        <v>0</v>
      </c>
      <c r="AP90" s="10">
        <f>IFERROR(MAX(节奏总纲!G83-积分赛!$C$7,0)*INDEX($U$7:$U$14,MATCH(AD$10,$T$7:$T$14,0))/30,0)</f>
        <v>270880.00000000006</v>
      </c>
      <c r="AQ90" s="10">
        <f>IFERROR(MAX(节奏总纲!H83-积分赛!$C$7,0)*INDEX($U$7:$U$14,MATCH(AE$10,$T$7:$T$14,0))/30,0)</f>
        <v>1425900</v>
      </c>
      <c r="AR90" s="10">
        <f>MAX(节奏总纲!D83-积分赛!$C$7,0)*(IFERROR(INDEX($W$7:$W$14,MATCH(AF$10,$T$7:$T$14,0)),0)*$T$20+IFERROR(INDEX($X$7:$X$14,MATCH(AF$10,$T$7:$T$14,0)),0)*$T$21)/30</f>
        <v>0</v>
      </c>
      <c r="AS90" s="10">
        <f>MAX(节奏总纲!E83-积分赛!$C$7,0)*(IFERROR(INDEX($W$7:$W$14,MATCH(AG$10,$T$7:$T$14,0)),0)*$T$20+IFERROR(INDEX($X$7:$X$14,MATCH(AG$10,$T$7:$T$14,0)),0)*$T$21)/30</f>
        <v>0</v>
      </c>
      <c r="AT90" s="10">
        <f>MAX(节奏总纲!F83-积分赛!$C$7,0)*(IFERROR(INDEX($W$7:$W$14,MATCH(AH$10,$T$7:$T$14,0)),0)*$T$20+IFERROR(INDEX($X$7:$X$14,MATCH(AH$10,$T$7:$T$14,0)),0)*$T$21)/30</f>
        <v>0</v>
      </c>
      <c r="AU90" s="10">
        <f>MAX(节奏总纲!G83-积分赛!$C$7,0)*(IFERROR(INDEX($W$7:$W$14,MATCH(AI$10,$T$7:$T$14,0)),0)*$T$20+IFERROR(INDEX($X$7:$X$14,MATCH(AI$10,$T$7:$T$14,0)),0)*$T$21)/30</f>
        <v>10344.230000000001</v>
      </c>
      <c r="AV90" s="10">
        <f>MAX(节奏总纲!H83-积分赛!$C$7,0)*(IFERROR(INDEX($W$7:$W$14,MATCH(AJ$10,$T$7:$T$14,0)),0)*$T$20+IFERROR(INDEX($X$7:$X$14,MATCH(AJ$10,$T$7:$T$14,0)),0)*$T$21)/30</f>
        <v>26136.746999999999</v>
      </c>
      <c r="BI90" s="10">
        <v>80</v>
      </c>
      <c r="BJ90" s="10">
        <f>MAX($BI90-积分赛!$C$7,0)*$BC$10/30</f>
        <v>166666.66666666666</v>
      </c>
      <c r="BK90" s="10">
        <f>MAX($BI90-积分赛!$C$7,0)*$BC$10/30</f>
        <v>166666.66666666666</v>
      </c>
      <c r="BL90" s="10">
        <f>MAX($BI90-积分赛!$C$7,0)*$BC$10/30</f>
        <v>166666.66666666666</v>
      </c>
      <c r="BM90" s="10">
        <f>MAX($BI90-积分赛!$C$7,0)*$BC$10/30</f>
        <v>166666.66666666666</v>
      </c>
      <c r="BN90" s="10">
        <f>MAX($BI90-积分赛!$C$7,0)*$BC$10/30</f>
        <v>166666.66666666666</v>
      </c>
      <c r="BP90" s="10">
        <v>80</v>
      </c>
      <c r="BQ90" s="10">
        <f>MAX(节奏总纲!D83-积分赛!$C$7,0)*$BC$10/30</f>
        <v>750000</v>
      </c>
      <c r="BR90" s="10">
        <f>MAX(节奏总纲!E83-积分赛!$C$7,0)*$BC$10/30</f>
        <v>636950</v>
      </c>
      <c r="BS90" s="10">
        <f>MAX(节奏总纲!F83-积分赛!$C$7,0)*$BC$10/30</f>
        <v>501120.00000000006</v>
      </c>
      <c r="BT90" s="10">
        <f>MAX(节奏总纲!G83-积分赛!$C$7,0)*$BC$10/30</f>
        <v>338600.00000000006</v>
      </c>
      <c r="BU90" s="10">
        <f>MAX(节奏总纲!H83-积分赛!$C$7,0)*$BC$10/30</f>
        <v>142590</v>
      </c>
    </row>
    <row r="91" spans="26:73" x14ac:dyDescent="0.15">
      <c r="Z91" s="10">
        <v>81</v>
      </c>
      <c r="AA91" s="10">
        <f>IFERROR(MAX($Z91-积分赛!$C$7,0)*INDEX($U$7:$U$14,MATCH(AA$10,$T$7:$T$14,0))/30,0)</f>
        <v>0</v>
      </c>
      <c r="AB91" s="10">
        <f>IFERROR(MAX($Z91-积分赛!$C$7,0)*INDEX($U$7:$U$14,MATCH(AB$10,$T$7:$T$14,0))/30,0)</f>
        <v>0</v>
      </c>
      <c r="AC91" s="10">
        <f>IFERROR(MAX($Z91-积分赛!$C$7,0)*INDEX($U$7:$U$14,MATCH(AC$10,$T$7:$T$14,0))/30,0)</f>
        <v>0</v>
      </c>
      <c r="AD91" s="10">
        <f>IFERROR(MAX($Z91-积分赛!$C$7,0)*INDEX($U$7:$U$14,MATCH(AD$10,$T$7:$T$14,0))/30,0)</f>
        <v>136000</v>
      </c>
      <c r="AE91" s="10">
        <f>IFERROR(MAX($Z91-积分赛!$C$7,0)*INDEX($U$7:$U$14,MATCH(AE$10,$T$7:$T$14,0))/30,0)</f>
        <v>1700000</v>
      </c>
      <c r="AF91" s="10">
        <f>MAX($Z91-积分赛!$C$7,0)*(IFERROR(INDEX($W$7:$W$14,MATCH(AF$10,$T$7:$T$14,0)),0)*$T$20+IFERROR(INDEX($X$7:$X$14,MATCH(AF$10,$T$7:$T$14,0)),0)*$T$21)/30</f>
        <v>0</v>
      </c>
      <c r="AG91" s="10">
        <f>MAX($Z91-积分赛!$C$7,0)*(IFERROR(INDEX($W$7:$W$14,MATCH(AG$10,$T$7:$T$14,0)),0)*$T$20+IFERROR(INDEX($X$7:$X$14,MATCH(AG$10,$T$7:$T$14,0)),0)*$T$21)/30</f>
        <v>0</v>
      </c>
      <c r="AH91" s="10">
        <f>MAX($Z91-积分赛!$C$7,0)*(IFERROR(INDEX($W$7:$W$14,MATCH(AH$10,$T$7:$T$14,0)),0)*$T$20+IFERROR(INDEX($X$7:$X$14,MATCH(AH$10,$T$7:$T$14,0)),0)*$T$21)/30</f>
        <v>0</v>
      </c>
      <c r="AI91" s="10">
        <f>MAX($Z91-积分赛!$C$7,0)*(IFERROR(INDEX($W$7:$W$14,MATCH(AI$10,$T$7:$T$14,0)),0)*$T$20+IFERROR(INDEX($X$7:$X$14,MATCH(AI$10,$T$7:$T$14,0)),0)*$T$21)/30</f>
        <v>5193.5</v>
      </c>
      <c r="AJ91" s="10">
        <f>MAX($Z91-积分赛!$C$7,0)*(IFERROR(INDEX($W$7:$W$14,MATCH(AJ$10,$T$7:$T$14,0)),0)*$T$20+IFERROR(INDEX($X$7:$X$14,MATCH(AJ$10,$T$7:$T$14,0)),0)*$T$21)/30</f>
        <v>31161</v>
      </c>
      <c r="AL91" s="10">
        <v>81</v>
      </c>
      <c r="AM91" s="10">
        <f>IFERROR(MAX(节奏总纲!D84-积分赛!$C$7,0)*INDEX($U$7:$U$14,MATCH(AA$10,$T$7:$T$14,0))/30,0)</f>
        <v>0</v>
      </c>
      <c r="AN91" s="10">
        <f>IFERROR(MAX(节奏总纲!E84-积分赛!$C$7,0)*INDEX($U$7:$U$14,MATCH(AB$10,$T$7:$T$14,0))/30,0)</f>
        <v>0</v>
      </c>
      <c r="AO91" s="10">
        <f>IFERROR(MAX(节奏总纲!F84-积分赛!$C$7,0)*INDEX($U$7:$U$14,MATCH(AC$10,$T$7:$T$14,0))/30,0)</f>
        <v>0</v>
      </c>
      <c r="AP91" s="10">
        <f>IFERROR(MAX(节奏总纲!G84-积分赛!$C$7,0)*INDEX($U$7:$U$14,MATCH(AD$10,$T$7:$T$14,0))/30,0)</f>
        <v>295360.73573371716</v>
      </c>
      <c r="AQ91" s="10">
        <f>IFERROR(MAX(节奏总纲!H84-积分赛!$C$7,0)*INDEX($U$7:$U$14,MATCH(AE$10,$T$7:$T$14,0))/30,0)</f>
        <v>1595230.5675122025</v>
      </c>
      <c r="AR91" s="10">
        <f>MAX(节奏总纲!D84-积分赛!$C$7,0)*(IFERROR(INDEX($W$7:$W$14,MATCH(AF$10,$T$7:$T$14,0)),0)*$T$20+IFERROR(INDEX($X$7:$X$14,MATCH(AF$10,$T$7:$T$14,0)),0)*$T$21)/30</f>
        <v>0</v>
      </c>
      <c r="AS91" s="10">
        <f>MAX(节奏总纲!E84-积分赛!$C$7,0)*(IFERROR(INDEX($W$7:$W$14,MATCH(AG$10,$T$7:$T$14,0)),0)*$T$20+IFERROR(INDEX($X$7:$X$14,MATCH(AG$10,$T$7:$T$14,0)),0)*$T$21)/30</f>
        <v>0</v>
      </c>
      <c r="AT91" s="10">
        <f>MAX(节奏总纲!F84-积分赛!$C$7,0)*(IFERROR(INDEX($W$7:$W$14,MATCH(AH$10,$T$7:$T$14,0)),0)*$T$20+IFERROR(INDEX($X$7:$X$14,MATCH(AH$10,$T$7:$T$14,0)),0)*$T$21)/30</f>
        <v>0</v>
      </c>
      <c r="AU91" s="10">
        <f>MAX(节奏总纲!G84-积分赛!$C$7,0)*(IFERROR(INDEX($W$7:$W$14,MATCH(AI$10,$T$7:$T$14,0)),0)*$T$20+IFERROR(INDEX($X$7:$X$14,MATCH(AI$10,$T$7:$T$14,0)),0)*$T$21)/30</f>
        <v>11279.088095831325</v>
      </c>
      <c r="AV91" s="10">
        <f>MAX(节奏总纲!H84-积分赛!$C$7,0)*(IFERROR(INDEX($W$7:$W$14,MATCH(AJ$10,$T$7:$T$14,0)),0)*$T$20+IFERROR(INDEX($X$7:$X$14,MATCH(AJ$10,$T$7:$T$14,0)),0)*$T$21)/30</f>
        <v>29240.576302498674</v>
      </c>
      <c r="BI91" s="10">
        <v>81</v>
      </c>
      <c r="BJ91" s="10">
        <f>MAX($BI91-积分赛!$C$7,0)*$BC$10/30</f>
        <v>170000</v>
      </c>
      <c r="BK91" s="10">
        <f>MAX($BI91-积分赛!$C$7,0)*$BC$10/30</f>
        <v>170000</v>
      </c>
      <c r="BL91" s="10">
        <f>MAX($BI91-积分赛!$C$7,0)*$BC$10/30</f>
        <v>170000</v>
      </c>
      <c r="BM91" s="10">
        <f>MAX($BI91-积分赛!$C$7,0)*$BC$10/30</f>
        <v>170000</v>
      </c>
      <c r="BN91" s="10">
        <f>MAX($BI91-积分赛!$C$7,0)*$BC$10/30</f>
        <v>170000</v>
      </c>
      <c r="BP91" s="10">
        <v>81</v>
      </c>
      <c r="BQ91" s="10">
        <f>MAX(节奏总纲!D84-积分赛!$C$7,0)*$BC$10/30</f>
        <v>811246.68803096993</v>
      </c>
      <c r="BR91" s="10">
        <f>MAX(节奏总纲!E84-积分赛!$C$7,0)*$BC$10/30</f>
        <v>687863.88647157676</v>
      </c>
      <c r="BS91" s="10">
        <f>MAX(节奏总纲!F84-积分赛!$C$7,0)*$BC$10/30</f>
        <v>542246.66572422767</v>
      </c>
      <c r="BT91" s="10">
        <f>MAX(节奏总纲!G84-积分赛!$C$7,0)*$BC$10/30</f>
        <v>369200.91966714646</v>
      </c>
      <c r="BU91" s="10">
        <f>MAX(节奏总纲!H84-积分赛!$C$7,0)*$BC$10/30</f>
        <v>159523.05675122023</v>
      </c>
    </row>
    <row r="92" spans="26:73" x14ac:dyDescent="0.15">
      <c r="Z92" s="10">
        <v>82</v>
      </c>
      <c r="AA92" s="10">
        <f>IFERROR(MAX($Z92-积分赛!$C$7,0)*INDEX($U$7:$U$14,MATCH(AA$10,$T$7:$T$14,0))/30,0)</f>
        <v>0</v>
      </c>
      <c r="AB92" s="10">
        <f>IFERROR(MAX($Z92-积分赛!$C$7,0)*INDEX($U$7:$U$14,MATCH(AB$10,$T$7:$T$14,0))/30,0)</f>
        <v>0</v>
      </c>
      <c r="AC92" s="10">
        <f>IFERROR(MAX($Z92-积分赛!$C$7,0)*INDEX($U$7:$U$14,MATCH(AC$10,$T$7:$T$14,0))/30,0)</f>
        <v>0</v>
      </c>
      <c r="AD92" s="10">
        <f>IFERROR(MAX($Z92-积分赛!$C$7,0)*INDEX($U$7:$U$14,MATCH(AD$10,$T$7:$T$14,0))/30,0)</f>
        <v>138666.66666666666</v>
      </c>
      <c r="AE92" s="10">
        <f>IFERROR(MAX($Z92-积分赛!$C$7,0)*INDEX($U$7:$U$14,MATCH(AE$10,$T$7:$T$14,0))/30,0)</f>
        <v>1733333.3333333333</v>
      </c>
      <c r="AF92" s="10">
        <f>MAX($Z92-积分赛!$C$7,0)*(IFERROR(INDEX($W$7:$W$14,MATCH(AF$10,$T$7:$T$14,0)),0)*$T$20+IFERROR(INDEX($X$7:$X$14,MATCH(AF$10,$T$7:$T$14,0)),0)*$T$21)/30</f>
        <v>0</v>
      </c>
      <c r="AG92" s="10">
        <f>MAX($Z92-积分赛!$C$7,0)*(IFERROR(INDEX($W$7:$W$14,MATCH(AG$10,$T$7:$T$14,0)),0)*$T$20+IFERROR(INDEX($X$7:$X$14,MATCH(AG$10,$T$7:$T$14,0)),0)*$T$21)/30</f>
        <v>0</v>
      </c>
      <c r="AH92" s="10">
        <f>MAX($Z92-积分赛!$C$7,0)*(IFERROR(INDEX($W$7:$W$14,MATCH(AH$10,$T$7:$T$14,0)),0)*$T$20+IFERROR(INDEX($X$7:$X$14,MATCH(AH$10,$T$7:$T$14,0)),0)*$T$21)/30</f>
        <v>0</v>
      </c>
      <c r="AI92" s="10">
        <f>MAX($Z92-积分赛!$C$7,0)*(IFERROR(INDEX($W$7:$W$14,MATCH(AI$10,$T$7:$T$14,0)),0)*$T$20+IFERROR(INDEX($X$7:$X$14,MATCH(AI$10,$T$7:$T$14,0)),0)*$T$21)/30</f>
        <v>5295.333333333333</v>
      </c>
      <c r="AJ92" s="10">
        <f>MAX($Z92-积分赛!$C$7,0)*(IFERROR(INDEX($W$7:$W$14,MATCH(AJ$10,$T$7:$T$14,0)),0)*$T$20+IFERROR(INDEX($X$7:$X$14,MATCH(AJ$10,$T$7:$T$14,0)),0)*$T$21)/30</f>
        <v>31772</v>
      </c>
      <c r="AL92" s="10">
        <v>82</v>
      </c>
      <c r="AM92" s="10">
        <f>IFERROR(MAX(节奏总纲!D85-积分赛!$C$7,0)*INDEX($U$7:$U$14,MATCH(AA$10,$T$7:$T$14,0))/30,0)</f>
        <v>0</v>
      </c>
      <c r="AN92" s="10">
        <f>IFERROR(MAX(节奏总纲!E85-积分赛!$C$7,0)*INDEX($U$7:$U$14,MATCH(AB$10,$T$7:$T$14,0))/30,0)</f>
        <v>0</v>
      </c>
      <c r="AO92" s="10">
        <f>IFERROR(MAX(节奏总纲!F85-积分赛!$C$7,0)*INDEX($U$7:$U$14,MATCH(AC$10,$T$7:$T$14,0))/30,0)</f>
        <v>0</v>
      </c>
      <c r="AP92" s="10">
        <f>IFERROR(MAX(节奏总纲!G85-积分赛!$C$7,0)*INDEX($U$7:$U$14,MATCH(AD$10,$T$7:$T$14,0))/30,0)</f>
        <v>322165.77176335256</v>
      </c>
      <c r="AQ92" s="10">
        <f>IFERROR(MAX(节奏总纲!H85-积分赛!$C$7,0)*INDEX($U$7:$U$14,MATCH(AE$10,$T$7:$T$14,0))/30,0)</f>
        <v>1774365.506723478</v>
      </c>
      <c r="AR92" s="10">
        <f>MAX(节奏总纲!D85-积分赛!$C$7,0)*(IFERROR(INDEX($W$7:$W$14,MATCH(AF$10,$T$7:$T$14,0)),0)*$T$20+IFERROR(INDEX($X$7:$X$14,MATCH(AF$10,$T$7:$T$14,0)),0)*$T$21)/30</f>
        <v>0</v>
      </c>
      <c r="AS92" s="10">
        <f>MAX(节奏总纲!E85-积分赛!$C$7,0)*(IFERROR(INDEX($W$7:$W$14,MATCH(AG$10,$T$7:$T$14,0)),0)*$T$20+IFERROR(INDEX($X$7:$X$14,MATCH(AG$10,$T$7:$T$14,0)),0)*$T$21)/30</f>
        <v>0</v>
      </c>
      <c r="AT92" s="10">
        <f>MAX(节奏总纲!F85-积分赛!$C$7,0)*(IFERROR(INDEX($W$7:$W$14,MATCH(AH$10,$T$7:$T$14,0)),0)*$T$20+IFERROR(INDEX($X$7:$X$14,MATCH(AH$10,$T$7:$T$14,0)),0)*$T$21)/30</f>
        <v>0</v>
      </c>
      <c r="AU92" s="10">
        <f>MAX(节奏总纲!G85-积分赛!$C$7,0)*(IFERROR(INDEX($W$7:$W$14,MATCH(AI$10,$T$7:$T$14,0)),0)*$T$20+IFERROR(INDEX($X$7:$X$14,MATCH(AI$10,$T$7:$T$14,0)),0)*$T$21)/30</f>
        <v>12302.705409213026</v>
      </c>
      <c r="AV92" s="10">
        <f>MAX(节奏总纲!H85-积分赛!$C$7,0)*(IFERROR(INDEX($W$7:$W$14,MATCH(AJ$10,$T$7:$T$14,0)),0)*$T$20+IFERROR(INDEX($X$7:$X$14,MATCH(AJ$10,$T$7:$T$14,0)),0)*$T$21)/30</f>
        <v>32524.119738241352</v>
      </c>
      <c r="BI92" s="10">
        <v>82</v>
      </c>
      <c r="BJ92" s="10">
        <f>MAX($BI92-积分赛!$C$7,0)*$BC$10/30</f>
        <v>173333.33333333334</v>
      </c>
      <c r="BK92" s="10">
        <f>MAX($BI92-积分赛!$C$7,0)*$BC$10/30</f>
        <v>173333.33333333334</v>
      </c>
      <c r="BL92" s="10">
        <f>MAX($BI92-积分赛!$C$7,0)*$BC$10/30</f>
        <v>173333.33333333334</v>
      </c>
      <c r="BM92" s="10">
        <f>MAX($BI92-积分赛!$C$7,0)*$BC$10/30</f>
        <v>173333.33333333334</v>
      </c>
      <c r="BN92" s="10">
        <f>MAX($BI92-积分赛!$C$7,0)*$BC$10/30</f>
        <v>173333.33333333334</v>
      </c>
      <c r="BP92" s="10">
        <v>82</v>
      </c>
      <c r="BQ92" s="10">
        <f>MAX(节奏总纲!D85-积分赛!$C$7,0)*$BC$10/30</f>
        <v>876889.26293080219</v>
      </c>
      <c r="BR92" s="10">
        <f>MAX(节奏总纲!E85-积分赛!$C$7,0)*$BC$10/30</f>
        <v>743836.94531962695</v>
      </c>
      <c r="BS92" s="10">
        <f>MAX(节奏总纲!F85-积分赛!$C$7,0)*$BC$10/30</f>
        <v>587925.41895587079</v>
      </c>
      <c r="BT92" s="10">
        <f>MAX(节奏总纲!G85-积分赛!$C$7,0)*$BC$10/30</f>
        <v>402707.21470419067</v>
      </c>
      <c r="BU92" s="10">
        <f>MAX(节奏总纲!H85-积分赛!$C$7,0)*$BC$10/30</f>
        <v>177436.55067234777</v>
      </c>
    </row>
    <row r="93" spans="26:73" x14ac:dyDescent="0.15">
      <c r="Z93" s="10">
        <v>83</v>
      </c>
      <c r="AA93" s="10">
        <f>IFERROR(MAX($Z93-积分赛!$C$7,0)*INDEX($U$7:$U$14,MATCH(AA$10,$T$7:$T$14,0))/30,0)</f>
        <v>0</v>
      </c>
      <c r="AB93" s="10">
        <f>IFERROR(MAX($Z93-积分赛!$C$7,0)*INDEX($U$7:$U$14,MATCH(AB$10,$T$7:$T$14,0))/30,0)</f>
        <v>0</v>
      </c>
      <c r="AC93" s="10">
        <f>IFERROR(MAX($Z93-积分赛!$C$7,0)*INDEX($U$7:$U$14,MATCH(AC$10,$T$7:$T$14,0))/30,0)</f>
        <v>0</v>
      </c>
      <c r="AD93" s="10">
        <f>IFERROR(MAX($Z93-积分赛!$C$7,0)*INDEX($U$7:$U$14,MATCH(AD$10,$T$7:$T$14,0))/30,0)</f>
        <v>141333.33333333334</v>
      </c>
      <c r="AE93" s="10">
        <f>IFERROR(MAX($Z93-积分赛!$C$7,0)*INDEX($U$7:$U$14,MATCH(AE$10,$T$7:$T$14,0))/30,0)</f>
        <v>1766666.6666666667</v>
      </c>
      <c r="AF93" s="10">
        <f>MAX($Z93-积分赛!$C$7,0)*(IFERROR(INDEX($W$7:$W$14,MATCH(AF$10,$T$7:$T$14,0)),0)*$T$20+IFERROR(INDEX($X$7:$X$14,MATCH(AF$10,$T$7:$T$14,0)),0)*$T$21)/30</f>
        <v>0</v>
      </c>
      <c r="AG93" s="10">
        <f>MAX($Z93-积分赛!$C$7,0)*(IFERROR(INDEX($W$7:$W$14,MATCH(AG$10,$T$7:$T$14,0)),0)*$T$20+IFERROR(INDEX($X$7:$X$14,MATCH(AG$10,$T$7:$T$14,0)),0)*$T$21)/30</f>
        <v>0</v>
      </c>
      <c r="AH93" s="10">
        <f>MAX($Z93-积分赛!$C$7,0)*(IFERROR(INDEX($W$7:$W$14,MATCH(AH$10,$T$7:$T$14,0)),0)*$T$20+IFERROR(INDEX($X$7:$X$14,MATCH(AH$10,$T$7:$T$14,0)),0)*$T$21)/30</f>
        <v>0</v>
      </c>
      <c r="AI93" s="10">
        <f>MAX($Z93-积分赛!$C$7,0)*(IFERROR(INDEX($W$7:$W$14,MATCH(AI$10,$T$7:$T$14,0)),0)*$T$20+IFERROR(INDEX($X$7:$X$14,MATCH(AI$10,$T$7:$T$14,0)),0)*$T$21)/30</f>
        <v>5397.166666666667</v>
      </c>
      <c r="AJ93" s="10">
        <f>MAX($Z93-积分赛!$C$7,0)*(IFERROR(INDEX($W$7:$W$14,MATCH(AJ$10,$T$7:$T$14,0)),0)*$T$20+IFERROR(INDEX($X$7:$X$14,MATCH(AJ$10,$T$7:$T$14,0)),0)*$T$21)/30</f>
        <v>32383</v>
      </c>
      <c r="AL93" s="10">
        <v>83</v>
      </c>
      <c r="AM93" s="10">
        <f>IFERROR(MAX(节奏总纲!D86-积分赛!$C$7,0)*INDEX($U$7:$U$14,MATCH(AA$10,$T$7:$T$14,0))/30,0)</f>
        <v>0</v>
      </c>
      <c r="AN93" s="10">
        <f>IFERROR(MAX(节奏总纲!E86-积分赛!$C$7,0)*INDEX($U$7:$U$14,MATCH(AB$10,$T$7:$T$14,0))/30,0)</f>
        <v>0</v>
      </c>
      <c r="AO93" s="10">
        <f>IFERROR(MAX(节奏总纲!F86-积分赛!$C$7,0)*INDEX($U$7:$U$14,MATCH(AC$10,$T$7:$T$14,0))/30,0)</f>
        <v>0</v>
      </c>
      <c r="AP93" s="10">
        <f>IFERROR(MAX(节奏总纲!G86-积分赛!$C$7,0)*INDEX($U$7:$U$14,MATCH(AD$10,$T$7:$T$14,0))/30,0)</f>
        <v>350877.75567072653</v>
      </c>
      <c r="AQ93" s="10">
        <f>IFERROR(MAX(节奏总纲!H86-积分赛!$C$7,0)*INDEX($U$7:$U$14,MATCH(AE$10,$T$7:$T$14,0))/30,0)</f>
        <v>1973123.5376949077</v>
      </c>
      <c r="AR93" s="10">
        <f>MAX(节奏总纲!D86-积分赛!$C$7,0)*(IFERROR(INDEX($W$7:$W$14,MATCH(AF$10,$T$7:$T$14,0)),0)*$T$20+IFERROR(INDEX($X$7:$X$14,MATCH(AF$10,$T$7:$T$14,0)),0)*$T$21)/30</f>
        <v>0</v>
      </c>
      <c r="AS93" s="10">
        <f>MAX(节奏总纲!E86-积分赛!$C$7,0)*(IFERROR(INDEX($W$7:$W$14,MATCH(AG$10,$T$7:$T$14,0)),0)*$T$20+IFERROR(INDEX($X$7:$X$14,MATCH(AG$10,$T$7:$T$14,0)),0)*$T$21)/30</f>
        <v>0</v>
      </c>
      <c r="AT93" s="10">
        <f>MAX(节奏总纲!F86-积分赛!$C$7,0)*(IFERROR(INDEX($W$7:$W$14,MATCH(AH$10,$T$7:$T$14,0)),0)*$T$20+IFERROR(INDEX($X$7:$X$14,MATCH(AH$10,$T$7:$T$14,0)),0)*$T$21)/30</f>
        <v>0</v>
      </c>
      <c r="AU93" s="10">
        <f>MAX(节奏总纲!G86-积分赛!$C$7,0)*(IFERROR(INDEX($W$7:$W$14,MATCH(AI$10,$T$7:$T$14,0)),0)*$T$20+IFERROR(INDEX($X$7:$X$14,MATCH(AI$10,$T$7:$T$14,0)),0)*$T$21)/30</f>
        <v>13399.144294675871</v>
      </c>
      <c r="AV93" s="10">
        <f>MAX(节奏总纲!H86-积分赛!$C$7,0)*(IFERROR(INDEX($W$7:$W$14,MATCH(AJ$10,$T$7:$T$14,0)),0)*$T$20+IFERROR(INDEX($X$7:$X$14,MATCH(AJ$10,$T$7:$T$14,0)),0)*$T$21)/30</f>
        <v>36167.354445947662</v>
      </c>
      <c r="BI93" s="10">
        <v>83</v>
      </c>
      <c r="BJ93" s="10">
        <f>MAX($BI93-积分赛!$C$7,0)*$BC$10/30</f>
        <v>176666.66666666666</v>
      </c>
      <c r="BK93" s="10">
        <f>MAX($BI93-积分赛!$C$7,0)*$BC$10/30</f>
        <v>176666.66666666666</v>
      </c>
      <c r="BL93" s="10">
        <f>MAX($BI93-积分赛!$C$7,0)*$BC$10/30</f>
        <v>176666.66666666666</v>
      </c>
      <c r="BM93" s="10">
        <f>MAX($BI93-积分赛!$C$7,0)*$BC$10/30</f>
        <v>176666.66666666666</v>
      </c>
      <c r="BN93" s="10">
        <f>MAX($BI93-积分赛!$C$7,0)*$BC$10/30</f>
        <v>176666.66666666666</v>
      </c>
      <c r="BP93" s="10">
        <v>83</v>
      </c>
      <c r="BQ93" s="10">
        <f>MAX(节奏总纲!D86-积分赛!$C$7,0)*$BC$10/30</f>
        <v>947243.23272099602</v>
      </c>
      <c r="BR93" s="10">
        <f>MAX(节奏总纲!E86-积分赛!$C$7,0)*$BC$10/30</f>
        <v>805132.32604075666</v>
      </c>
      <c r="BS93" s="10">
        <f>MAX(节奏总纲!F86-积分赛!$C$7,0)*$BC$10/30</f>
        <v>638515.92771484645</v>
      </c>
      <c r="BT93" s="10">
        <f>MAX(节奏总纲!G86-积分赛!$C$7,0)*$BC$10/30</f>
        <v>438597.19458840817</v>
      </c>
      <c r="BU93" s="10">
        <f>MAX(节奏总纲!H86-积分赛!$C$7,0)*$BC$10/30</f>
        <v>197312.35376949079</v>
      </c>
    </row>
    <row r="94" spans="26:73" x14ac:dyDescent="0.15">
      <c r="Z94" s="10">
        <v>84</v>
      </c>
      <c r="AA94" s="10">
        <f>IFERROR(MAX($Z94-积分赛!$C$7,0)*INDEX($U$7:$U$14,MATCH(AA$10,$T$7:$T$14,0))/30,0)</f>
        <v>0</v>
      </c>
      <c r="AB94" s="10">
        <f>IFERROR(MAX($Z94-积分赛!$C$7,0)*INDEX($U$7:$U$14,MATCH(AB$10,$T$7:$T$14,0))/30,0)</f>
        <v>0</v>
      </c>
      <c r="AC94" s="10">
        <f>IFERROR(MAX($Z94-积分赛!$C$7,0)*INDEX($U$7:$U$14,MATCH(AC$10,$T$7:$T$14,0))/30,0)</f>
        <v>0</v>
      </c>
      <c r="AD94" s="10">
        <f>IFERROR(MAX($Z94-积分赛!$C$7,0)*INDEX($U$7:$U$14,MATCH(AD$10,$T$7:$T$14,0))/30,0)</f>
        <v>144000</v>
      </c>
      <c r="AE94" s="10">
        <f>IFERROR(MAX($Z94-积分赛!$C$7,0)*INDEX($U$7:$U$14,MATCH(AE$10,$T$7:$T$14,0))/30,0)</f>
        <v>1800000</v>
      </c>
      <c r="AF94" s="10">
        <f>MAX($Z94-积分赛!$C$7,0)*(IFERROR(INDEX($W$7:$W$14,MATCH(AF$10,$T$7:$T$14,0)),0)*$T$20+IFERROR(INDEX($X$7:$X$14,MATCH(AF$10,$T$7:$T$14,0)),0)*$T$21)/30</f>
        <v>0</v>
      </c>
      <c r="AG94" s="10">
        <f>MAX($Z94-积分赛!$C$7,0)*(IFERROR(INDEX($W$7:$W$14,MATCH(AG$10,$T$7:$T$14,0)),0)*$T$20+IFERROR(INDEX($X$7:$X$14,MATCH(AG$10,$T$7:$T$14,0)),0)*$T$21)/30</f>
        <v>0</v>
      </c>
      <c r="AH94" s="10">
        <f>MAX($Z94-积分赛!$C$7,0)*(IFERROR(INDEX($W$7:$W$14,MATCH(AH$10,$T$7:$T$14,0)),0)*$T$20+IFERROR(INDEX($X$7:$X$14,MATCH(AH$10,$T$7:$T$14,0)),0)*$T$21)/30</f>
        <v>0</v>
      </c>
      <c r="AI94" s="10">
        <f>MAX($Z94-积分赛!$C$7,0)*(IFERROR(INDEX($W$7:$W$14,MATCH(AI$10,$T$7:$T$14,0)),0)*$T$20+IFERROR(INDEX($X$7:$X$14,MATCH(AI$10,$T$7:$T$14,0)),0)*$T$21)/30</f>
        <v>5499</v>
      </c>
      <c r="AJ94" s="10">
        <f>MAX($Z94-积分赛!$C$7,0)*(IFERROR(INDEX($W$7:$W$14,MATCH(AJ$10,$T$7:$T$14,0)),0)*$T$20+IFERROR(INDEX($X$7:$X$14,MATCH(AJ$10,$T$7:$T$14,0)),0)*$T$21)/30</f>
        <v>32994</v>
      </c>
      <c r="AL94" s="10">
        <v>84</v>
      </c>
      <c r="AM94" s="10">
        <f>IFERROR(MAX(节奏总纲!D87-积分赛!$C$7,0)*INDEX($U$7:$U$14,MATCH(AA$10,$T$7:$T$14,0))/30,0)</f>
        <v>0</v>
      </c>
      <c r="AN94" s="10">
        <f>IFERROR(MAX(节奏总纲!E87-积分赛!$C$7,0)*INDEX($U$7:$U$14,MATCH(AB$10,$T$7:$T$14,0))/30,0)</f>
        <v>0</v>
      </c>
      <c r="AO94" s="10">
        <f>IFERROR(MAX(节奏总纲!F87-积分赛!$C$7,0)*INDEX($U$7:$U$14,MATCH(AC$10,$T$7:$T$14,0))/30,0)</f>
        <v>0</v>
      </c>
      <c r="AP94" s="10">
        <f>IFERROR(MAX(节奏总纲!G87-积分赛!$C$7,0)*INDEX($U$7:$U$14,MATCH(AD$10,$T$7:$T$14,0))/30,0)</f>
        <v>381273.09685620613</v>
      </c>
      <c r="AQ94" s="10">
        <f>IFERROR(MAX(节奏总纲!H87-积分赛!$C$7,0)*INDEX($U$7:$U$14,MATCH(AE$10,$T$7:$T$14,0))/30,0)</f>
        <v>2188316.7714944161</v>
      </c>
      <c r="AR94" s="10">
        <f>MAX(节奏总纲!D87-积分赛!$C$7,0)*(IFERROR(INDEX($W$7:$W$14,MATCH(AF$10,$T$7:$T$14,0)),0)*$T$20+IFERROR(INDEX($X$7:$X$14,MATCH(AF$10,$T$7:$T$14,0)),0)*$T$21)/30</f>
        <v>0</v>
      </c>
      <c r="AS94" s="10">
        <f>MAX(节奏总纲!E87-积分赛!$C$7,0)*(IFERROR(INDEX($W$7:$W$14,MATCH(AG$10,$T$7:$T$14,0)),0)*$T$20+IFERROR(INDEX($X$7:$X$14,MATCH(AG$10,$T$7:$T$14,0)),0)*$T$21)/30</f>
        <v>0</v>
      </c>
      <c r="AT94" s="10">
        <f>MAX(节奏总纲!F87-积分赛!$C$7,0)*(IFERROR(INDEX($W$7:$W$14,MATCH(AH$10,$T$7:$T$14,0)),0)*$T$20+IFERROR(INDEX($X$7:$X$14,MATCH(AH$10,$T$7:$T$14,0)),0)*$T$21)/30</f>
        <v>0</v>
      </c>
      <c r="AU94" s="10">
        <f>MAX(节奏总纲!G87-积分赛!$C$7,0)*(IFERROR(INDEX($W$7:$W$14,MATCH(AI$10,$T$7:$T$14,0)),0)*$T$20+IFERROR(INDEX($X$7:$X$14,MATCH(AI$10,$T$7:$T$14,0)),0)*$T$21)/30</f>
        <v>14559.866386196372</v>
      </c>
      <c r="AV94" s="10">
        <f>MAX(节奏总纲!H87-积分赛!$C$7,0)*(IFERROR(INDEX($W$7:$W$14,MATCH(AJ$10,$T$7:$T$14,0)),0)*$T$20+IFERROR(INDEX($X$7:$X$14,MATCH(AJ$10,$T$7:$T$14,0)),0)*$T$21)/30</f>
        <v>40111.846421492643</v>
      </c>
      <c r="BI94" s="10">
        <v>84</v>
      </c>
      <c r="BJ94" s="10">
        <f>MAX($BI94-积分赛!$C$7,0)*$BC$10/30</f>
        <v>180000</v>
      </c>
      <c r="BK94" s="10">
        <f>MAX($BI94-积分赛!$C$7,0)*$BC$10/30</f>
        <v>180000</v>
      </c>
      <c r="BL94" s="10">
        <f>MAX($BI94-积分赛!$C$7,0)*$BC$10/30</f>
        <v>180000</v>
      </c>
      <c r="BM94" s="10">
        <f>MAX($BI94-积分赛!$C$7,0)*$BC$10/30</f>
        <v>180000</v>
      </c>
      <c r="BN94" s="10">
        <f>MAX($BI94-积分赛!$C$7,0)*$BC$10/30</f>
        <v>180000</v>
      </c>
      <c r="BP94" s="10">
        <v>84</v>
      </c>
      <c r="BQ94" s="10">
        <f>MAX(节奏总纲!D87-积分赛!$C$7,0)*$BC$10/30</f>
        <v>1022646.7505262028</v>
      </c>
      <c r="BR94" s="10">
        <f>MAX(节奏总纲!E87-积分赛!$C$7,0)*$BC$10/30</f>
        <v>870864.90985506028</v>
      </c>
      <c r="BS94" s="10">
        <f>MAX(节奏总纲!F87-积分赛!$C$7,0)*$BC$10/30</f>
        <v>690904.63574570988</v>
      </c>
      <c r="BT94" s="10">
        <f>MAX(节奏总纲!G87-积分赛!$C$7,0)*$BC$10/30</f>
        <v>476591.37107025768</v>
      </c>
      <c r="BU94" s="10">
        <f>MAX(节奏总纲!H87-积分赛!$C$7,0)*$BC$10/30</f>
        <v>218831.67714944159</v>
      </c>
    </row>
    <row r="95" spans="26:73" x14ac:dyDescent="0.15">
      <c r="Z95" s="10">
        <v>85</v>
      </c>
      <c r="AA95" s="10">
        <f>IFERROR(MAX($Z95-积分赛!$C$7,0)*INDEX($U$7:$U$14,MATCH(AA$10,$T$7:$T$14,0))/30,0)</f>
        <v>0</v>
      </c>
      <c r="AB95" s="10">
        <f>IFERROR(MAX($Z95-积分赛!$C$7,0)*INDEX($U$7:$U$14,MATCH(AB$10,$T$7:$T$14,0))/30,0)</f>
        <v>0</v>
      </c>
      <c r="AC95" s="10">
        <f>IFERROR(MAX($Z95-积分赛!$C$7,0)*INDEX($U$7:$U$14,MATCH(AC$10,$T$7:$T$14,0))/30,0)</f>
        <v>0</v>
      </c>
      <c r="AD95" s="10">
        <f>IFERROR(MAX($Z95-积分赛!$C$7,0)*INDEX($U$7:$U$14,MATCH(AD$10,$T$7:$T$14,0))/30,0)</f>
        <v>146666.66666666666</v>
      </c>
      <c r="AE95" s="10">
        <f>IFERROR(MAX($Z95-积分赛!$C$7,0)*INDEX($U$7:$U$14,MATCH(AE$10,$T$7:$T$14,0))/30,0)</f>
        <v>1833333.3333333333</v>
      </c>
      <c r="AF95" s="10">
        <f>MAX($Z95-积分赛!$C$7,0)*(IFERROR(INDEX($W$7:$W$14,MATCH(AF$10,$T$7:$T$14,0)),0)*$T$20+IFERROR(INDEX($X$7:$X$14,MATCH(AF$10,$T$7:$T$14,0)),0)*$T$21)/30</f>
        <v>0</v>
      </c>
      <c r="AG95" s="10">
        <f>MAX($Z95-积分赛!$C$7,0)*(IFERROR(INDEX($W$7:$W$14,MATCH(AG$10,$T$7:$T$14,0)),0)*$T$20+IFERROR(INDEX($X$7:$X$14,MATCH(AG$10,$T$7:$T$14,0)),0)*$T$21)/30</f>
        <v>0</v>
      </c>
      <c r="AH95" s="10">
        <f>MAX($Z95-积分赛!$C$7,0)*(IFERROR(INDEX($W$7:$W$14,MATCH(AH$10,$T$7:$T$14,0)),0)*$T$20+IFERROR(INDEX($X$7:$X$14,MATCH(AH$10,$T$7:$T$14,0)),0)*$T$21)/30</f>
        <v>0</v>
      </c>
      <c r="AI95" s="10">
        <f>MAX($Z95-积分赛!$C$7,0)*(IFERROR(INDEX($W$7:$W$14,MATCH(AI$10,$T$7:$T$14,0)),0)*$T$20+IFERROR(INDEX($X$7:$X$14,MATCH(AI$10,$T$7:$T$14,0)),0)*$T$21)/30</f>
        <v>5600.833333333333</v>
      </c>
      <c r="AJ95" s="10">
        <f>MAX($Z95-积分赛!$C$7,0)*(IFERROR(INDEX($W$7:$W$14,MATCH(AJ$10,$T$7:$T$14,0)),0)*$T$20+IFERROR(INDEX($X$7:$X$14,MATCH(AJ$10,$T$7:$T$14,0)),0)*$T$21)/30</f>
        <v>33605</v>
      </c>
      <c r="AL95" s="10">
        <v>85</v>
      </c>
      <c r="AM95" s="10">
        <f>IFERROR(MAX(节奏总纲!D88-积分赛!$C$7,0)*INDEX($U$7:$U$14,MATCH(AA$10,$T$7:$T$14,0))/30,0)</f>
        <v>0</v>
      </c>
      <c r="AN95" s="10">
        <f>IFERROR(MAX(节奏总纲!E88-积分赛!$C$7,0)*INDEX($U$7:$U$14,MATCH(AB$10,$T$7:$T$14,0))/30,0)</f>
        <v>0</v>
      </c>
      <c r="AO95" s="10">
        <f>IFERROR(MAX(节奏总纲!F88-积分赛!$C$7,0)*INDEX($U$7:$U$14,MATCH(AC$10,$T$7:$T$14,0))/30,0)</f>
        <v>0</v>
      </c>
      <c r="AP95" s="10">
        <f>IFERROR(MAX(节奏总纲!G88-积分赛!$C$7,0)*INDEX($U$7:$U$14,MATCH(AD$10,$T$7:$T$14,0))/30,0)</f>
        <v>414863.67304347019</v>
      </c>
      <c r="AQ95" s="10">
        <f>IFERROR(MAX(节奏总纲!H88-积分赛!$C$7,0)*INDEX($U$7:$U$14,MATCH(AE$10,$T$7:$T$14,0))/30,0)</f>
        <v>2417832.7612924497</v>
      </c>
      <c r="AR95" s="10">
        <f>MAX(节奏总纲!D88-积分赛!$C$7,0)*(IFERROR(INDEX($W$7:$W$14,MATCH(AF$10,$T$7:$T$14,0)),0)*$T$20+IFERROR(INDEX($X$7:$X$14,MATCH(AF$10,$T$7:$T$14,0)),0)*$T$21)/30</f>
        <v>0</v>
      </c>
      <c r="AS95" s="10">
        <f>MAX(节奏总纲!E88-积分赛!$C$7,0)*(IFERROR(INDEX($W$7:$W$14,MATCH(AG$10,$T$7:$T$14,0)),0)*$T$20+IFERROR(INDEX($X$7:$X$14,MATCH(AG$10,$T$7:$T$14,0)),0)*$T$21)/30</f>
        <v>0</v>
      </c>
      <c r="AT95" s="10">
        <f>MAX(节奏总纲!F88-积分赛!$C$7,0)*(IFERROR(INDEX($W$7:$W$14,MATCH(AH$10,$T$7:$T$14,0)),0)*$T$20+IFERROR(INDEX($X$7:$X$14,MATCH(AH$10,$T$7:$T$14,0)),0)*$T$21)/30</f>
        <v>0</v>
      </c>
      <c r="AU95" s="10">
        <f>MAX(节奏总纲!G88-积分赛!$C$7,0)*(IFERROR(INDEX($W$7:$W$14,MATCH(AI$10,$T$7:$T$14,0)),0)*$T$20+IFERROR(INDEX($X$7:$X$14,MATCH(AI$10,$T$7:$T$14,0)),0)*$T$21)/30</f>
        <v>15842.606514347517</v>
      </c>
      <c r="AV95" s="10">
        <f>MAX(节奏总纲!H88-积分赛!$C$7,0)*(IFERROR(INDEX($W$7:$W$14,MATCH(AJ$10,$T$7:$T$14,0)),0)*$T$20+IFERROR(INDEX($X$7:$X$14,MATCH(AJ$10,$T$7:$T$14,0)),0)*$T$21)/30</f>
        <v>44318.874514490599</v>
      </c>
      <c r="BI95" s="10">
        <v>85</v>
      </c>
      <c r="BJ95" s="10">
        <f>MAX($BI95-积分赛!$C$7,0)*$BC$10/30</f>
        <v>183333.33333333334</v>
      </c>
      <c r="BK95" s="10">
        <f>MAX($BI95-积分赛!$C$7,0)*$BC$10/30</f>
        <v>183333.33333333334</v>
      </c>
      <c r="BL95" s="10">
        <f>MAX($BI95-积分赛!$C$7,0)*$BC$10/30</f>
        <v>183333.33333333334</v>
      </c>
      <c r="BM95" s="10">
        <f>MAX($BI95-积分赛!$C$7,0)*$BC$10/30</f>
        <v>183333.33333333334</v>
      </c>
      <c r="BN95" s="10">
        <f>MAX($BI95-积分赛!$C$7,0)*$BC$10/30</f>
        <v>183333.33333333334</v>
      </c>
      <c r="BP95" s="10">
        <v>85</v>
      </c>
      <c r="BQ95" s="10">
        <f>MAX(节奏总纲!D88-积分赛!$C$7,0)*$BC$10/30</f>
        <v>1103462.2398917077</v>
      </c>
      <c r="BR95" s="10">
        <f>MAX(节奏总纲!E88-积分赛!$C$7,0)*$BC$10/30</f>
        <v>939069.29792250018</v>
      </c>
      <c r="BS95" s="10">
        <f>MAX(节奏总纲!F88-积分赛!$C$7,0)*$BC$10/30</f>
        <v>746394.99331583804</v>
      </c>
      <c r="BT95" s="10">
        <f>MAX(节奏总纲!G88-积分赛!$C$7,0)*$BC$10/30</f>
        <v>518579.59130433772</v>
      </c>
      <c r="BU95" s="10">
        <f>MAX(节奏总纲!H88-积分赛!$C$7,0)*$BC$10/30</f>
        <v>241783.27612924494</v>
      </c>
    </row>
    <row r="96" spans="26:73" x14ac:dyDescent="0.15">
      <c r="Z96" s="10">
        <v>86</v>
      </c>
      <c r="AA96" s="10">
        <f>IFERROR(MAX($Z96-积分赛!$C$7,0)*INDEX($U$7:$U$14,MATCH(AA$10,$T$7:$T$14,0))/30,0)</f>
        <v>0</v>
      </c>
      <c r="AB96" s="10">
        <f>IFERROR(MAX($Z96-积分赛!$C$7,0)*INDEX($U$7:$U$14,MATCH(AB$10,$T$7:$T$14,0))/30,0)</f>
        <v>0</v>
      </c>
      <c r="AC96" s="10">
        <f>IFERROR(MAX($Z96-积分赛!$C$7,0)*INDEX($U$7:$U$14,MATCH(AC$10,$T$7:$T$14,0))/30,0)</f>
        <v>0</v>
      </c>
      <c r="AD96" s="10">
        <f>IFERROR(MAX($Z96-积分赛!$C$7,0)*INDEX($U$7:$U$14,MATCH(AD$10,$T$7:$T$14,0))/30,0)</f>
        <v>149333.33333333334</v>
      </c>
      <c r="AE96" s="10">
        <f>IFERROR(MAX($Z96-积分赛!$C$7,0)*INDEX($U$7:$U$14,MATCH(AE$10,$T$7:$T$14,0))/30,0)</f>
        <v>1866666.6666666667</v>
      </c>
      <c r="AF96" s="10">
        <f>MAX($Z96-积分赛!$C$7,0)*(IFERROR(INDEX($W$7:$W$14,MATCH(AF$10,$T$7:$T$14,0)),0)*$T$20+IFERROR(INDEX($X$7:$X$14,MATCH(AF$10,$T$7:$T$14,0)),0)*$T$21)/30</f>
        <v>0</v>
      </c>
      <c r="AG96" s="10">
        <f>MAX($Z96-积分赛!$C$7,0)*(IFERROR(INDEX($W$7:$W$14,MATCH(AG$10,$T$7:$T$14,0)),0)*$T$20+IFERROR(INDEX($X$7:$X$14,MATCH(AG$10,$T$7:$T$14,0)),0)*$T$21)/30</f>
        <v>0</v>
      </c>
      <c r="AH96" s="10">
        <f>MAX($Z96-积分赛!$C$7,0)*(IFERROR(INDEX($W$7:$W$14,MATCH(AH$10,$T$7:$T$14,0)),0)*$T$20+IFERROR(INDEX($X$7:$X$14,MATCH(AH$10,$T$7:$T$14,0)),0)*$T$21)/30</f>
        <v>0</v>
      </c>
      <c r="AI96" s="10">
        <f>MAX($Z96-积分赛!$C$7,0)*(IFERROR(INDEX($W$7:$W$14,MATCH(AI$10,$T$7:$T$14,0)),0)*$T$20+IFERROR(INDEX($X$7:$X$14,MATCH(AI$10,$T$7:$T$14,0)),0)*$T$21)/30</f>
        <v>5702.666666666667</v>
      </c>
      <c r="AJ96" s="10">
        <f>MAX($Z96-积分赛!$C$7,0)*(IFERROR(INDEX($W$7:$W$14,MATCH(AJ$10,$T$7:$T$14,0)),0)*$T$20+IFERROR(INDEX($X$7:$X$14,MATCH(AJ$10,$T$7:$T$14,0)),0)*$T$21)/30</f>
        <v>34216</v>
      </c>
      <c r="AL96" s="10">
        <v>86</v>
      </c>
      <c r="AM96" s="10">
        <f>IFERROR(MAX(节奏总纲!D89-积分赛!$C$7,0)*INDEX($U$7:$U$14,MATCH(AA$10,$T$7:$T$14,0))/30,0)</f>
        <v>0</v>
      </c>
      <c r="AN96" s="10">
        <f>IFERROR(MAX(节奏总纲!E89-积分赛!$C$7,0)*INDEX($U$7:$U$14,MATCH(AB$10,$T$7:$T$14,0))/30,0)</f>
        <v>0</v>
      </c>
      <c r="AO96" s="10">
        <f>IFERROR(MAX(节奏总纲!F89-积分赛!$C$7,0)*INDEX($U$7:$U$14,MATCH(AC$10,$T$7:$T$14,0))/30,0)</f>
        <v>0</v>
      </c>
      <c r="AP96" s="10">
        <f>IFERROR(MAX(节奏总纲!G89-积分赛!$C$7,0)*INDEX($U$7:$U$14,MATCH(AD$10,$T$7:$T$14,0))/30,0)</f>
        <v>451718.60484516318</v>
      </c>
      <c r="AQ96" s="10">
        <f>IFERROR(MAX(节奏总纲!H89-积分赛!$C$7,0)*INDEX($U$7:$U$14,MATCH(AE$10,$T$7:$T$14,0))/30,0)</f>
        <v>2631569.9549668436</v>
      </c>
      <c r="AR96" s="10">
        <f>MAX(节奏总纲!D89-积分赛!$C$7,0)*(IFERROR(INDEX($W$7:$W$14,MATCH(AF$10,$T$7:$T$14,0)),0)*$T$20+IFERROR(INDEX($X$7:$X$14,MATCH(AF$10,$T$7:$T$14,0)),0)*$T$21)/30</f>
        <v>0</v>
      </c>
      <c r="AS96" s="10">
        <f>MAX(节奏总纲!E89-积分赛!$C$7,0)*(IFERROR(INDEX($W$7:$W$14,MATCH(AG$10,$T$7:$T$14,0)),0)*$T$20+IFERROR(INDEX($X$7:$X$14,MATCH(AG$10,$T$7:$T$14,0)),0)*$T$21)/30</f>
        <v>0</v>
      </c>
      <c r="AT96" s="10">
        <f>MAX(节奏总纲!F89-积分赛!$C$7,0)*(IFERROR(INDEX($W$7:$W$14,MATCH(AH$10,$T$7:$T$14,0)),0)*$T$20+IFERROR(INDEX($X$7:$X$14,MATCH(AH$10,$T$7:$T$14,0)),0)*$T$21)/30</f>
        <v>0</v>
      </c>
      <c r="AU96" s="10">
        <f>MAX(节奏总纲!G89-积分赛!$C$7,0)*(IFERROR(INDEX($W$7:$W$14,MATCH(AI$10,$T$7:$T$14,0)),0)*$T$20+IFERROR(INDEX($X$7:$X$14,MATCH(AI$10,$T$7:$T$14,0)),0)*$T$21)/30</f>
        <v>17250.004222524669</v>
      </c>
      <c r="AV96" s="10">
        <f>MAX(节奏总纲!H89-积分赛!$C$7,0)*(IFERROR(INDEX($W$7:$W$14,MATCH(AJ$10,$T$7:$T$14,0)),0)*$T$20+IFERROR(INDEX($X$7:$X$14,MATCH(AJ$10,$T$7:$T$14,0)),0)*$T$21)/30</f>
        <v>48236.67727454225</v>
      </c>
      <c r="BI96" s="10">
        <v>86</v>
      </c>
      <c r="BJ96" s="10">
        <f>MAX($BI96-积分赛!$C$7,0)*$BC$10/30</f>
        <v>186666.66666666666</v>
      </c>
      <c r="BK96" s="10">
        <f>MAX($BI96-积分赛!$C$7,0)*$BC$10/30</f>
        <v>186666.66666666666</v>
      </c>
      <c r="BL96" s="10">
        <f>MAX($BI96-积分赛!$C$7,0)*$BC$10/30</f>
        <v>186666.66666666666</v>
      </c>
      <c r="BM96" s="10">
        <f>MAX($BI96-积分赛!$C$7,0)*$BC$10/30</f>
        <v>186666.66666666666</v>
      </c>
      <c r="BN96" s="10">
        <f>MAX($BI96-积分赛!$C$7,0)*$BC$10/30</f>
        <v>186666.66666666666</v>
      </c>
      <c r="BP96" s="10">
        <v>86</v>
      </c>
      <c r="BQ96" s="10">
        <f>MAX(节奏总纲!D89-积分赛!$C$7,0)*$BC$10/30</f>
        <v>1190078.1367555398</v>
      </c>
      <c r="BR96" s="10">
        <f>MAX(节奏总纲!E89-积分赛!$C$7,0)*$BC$10/30</f>
        <v>1013337.4320200307</v>
      </c>
      <c r="BS96" s="10">
        <f>MAX(节奏总纲!F89-积分赛!$C$7,0)*$BC$10/30</f>
        <v>807440.96139384655</v>
      </c>
      <c r="BT96" s="10">
        <f>MAX(节奏总纲!G89-积分赛!$C$7,0)*$BC$10/30</f>
        <v>564648.25605645392</v>
      </c>
      <c r="BU96" s="10">
        <f>MAX(节奏总纲!H89-积分赛!$C$7,0)*$BC$10/30</f>
        <v>263156.99549668439</v>
      </c>
    </row>
    <row r="97" spans="26:73" x14ac:dyDescent="0.15">
      <c r="Z97" s="10">
        <v>87</v>
      </c>
      <c r="AA97" s="10">
        <f>IFERROR(MAX($Z97-积分赛!$C$7,0)*INDEX($U$7:$U$14,MATCH(AA$10,$T$7:$T$14,0))/30,0)</f>
        <v>0</v>
      </c>
      <c r="AB97" s="10">
        <f>IFERROR(MAX($Z97-积分赛!$C$7,0)*INDEX($U$7:$U$14,MATCH(AB$10,$T$7:$T$14,0))/30,0)</f>
        <v>0</v>
      </c>
      <c r="AC97" s="10">
        <f>IFERROR(MAX($Z97-积分赛!$C$7,0)*INDEX($U$7:$U$14,MATCH(AC$10,$T$7:$T$14,0))/30,0)</f>
        <v>0</v>
      </c>
      <c r="AD97" s="10">
        <f>IFERROR(MAX($Z97-积分赛!$C$7,0)*INDEX($U$7:$U$14,MATCH(AD$10,$T$7:$T$14,0))/30,0)</f>
        <v>152000</v>
      </c>
      <c r="AE97" s="10">
        <f>IFERROR(MAX($Z97-积分赛!$C$7,0)*INDEX($U$7:$U$14,MATCH(AE$10,$T$7:$T$14,0))/30,0)</f>
        <v>1900000</v>
      </c>
      <c r="AF97" s="10">
        <f>MAX($Z97-积分赛!$C$7,0)*(IFERROR(INDEX($W$7:$W$14,MATCH(AF$10,$T$7:$T$14,0)),0)*$T$20+IFERROR(INDEX($X$7:$X$14,MATCH(AF$10,$T$7:$T$14,0)),0)*$T$21)/30</f>
        <v>0</v>
      </c>
      <c r="AG97" s="10">
        <f>MAX($Z97-积分赛!$C$7,0)*(IFERROR(INDEX($W$7:$W$14,MATCH(AG$10,$T$7:$T$14,0)),0)*$T$20+IFERROR(INDEX($X$7:$X$14,MATCH(AG$10,$T$7:$T$14,0)),0)*$T$21)/30</f>
        <v>0</v>
      </c>
      <c r="AH97" s="10">
        <f>MAX($Z97-积分赛!$C$7,0)*(IFERROR(INDEX($W$7:$W$14,MATCH(AH$10,$T$7:$T$14,0)),0)*$T$20+IFERROR(INDEX($X$7:$X$14,MATCH(AH$10,$T$7:$T$14,0)),0)*$T$21)/30</f>
        <v>0</v>
      </c>
      <c r="AI97" s="10">
        <f>MAX($Z97-积分赛!$C$7,0)*(IFERROR(INDEX($W$7:$W$14,MATCH(AI$10,$T$7:$T$14,0)),0)*$T$20+IFERROR(INDEX($X$7:$X$14,MATCH(AI$10,$T$7:$T$14,0)),0)*$T$21)/30</f>
        <v>5804.5</v>
      </c>
      <c r="AJ97" s="10">
        <f>MAX($Z97-积分赛!$C$7,0)*(IFERROR(INDEX($W$7:$W$14,MATCH(AJ$10,$T$7:$T$14,0)),0)*$T$20+IFERROR(INDEX($X$7:$X$14,MATCH(AJ$10,$T$7:$T$14,0)),0)*$T$21)/30</f>
        <v>34827</v>
      </c>
      <c r="AL97" s="10">
        <v>87</v>
      </c>
      <c r="AM97" s="10">
        <f>IFERROR(MAX(节奏总纲!D90-积分赛!$C$7,0)*INDEX($U$7:$U$14,MATCH(AA$10,$T$7:$T$14,0))/30,0)</f>
        <v>0</v>
      </c>
      <c r="AN97" s="10">
        <f>IFERROR(MAX(节奏总纲!E90-积分赛!$C$7,0)*INDEX($U$7:$U$14,MATCH(AB$10,$T$7:$T$14,0))/30,0)</f>
        <v>0</v>
      </c>
      <c r="AO97" s="10">
        <f>IFERROR(MAX(节奏总纲!F90-积分赛!$C$7,0)*INDEX($U$7:$U$14,MATCH(AC$10,$T$7:$T$14,0))/30,0)</f>
        <v>0</v>
      </c>
      <c r="AP97" s="10">
        <f>IFERROR(MAX(节奏总纲!G90-积分赛!$C$7,0)*INDEX($U$7:$U$14,MATCH(AD$10,$T$7:$T$14,0))/30,0)</f>
        <v>486882.77728315338</v>
      </c>
      <c r="AQ97" s="10">
        <f>IFERROR(MAX(节奏总纲!H90-积分赛!$C$7,0)*INDEX($U$7:$U$14,MATCH(AE$10,$T$7:$T$14,0))/30,0)</f>
        <v>2858321.010489847</v>
      </c>
      <c r="AR97" s="10">
        <f>MAX(节奏总纲!D90-积分赛!$C$7,0)*(IFERROR(INDEX($W$7:$W$14,MATCH(AF$10,$T$7:$T$14,0)),0)*$T$20+IFERROR(INDEX($X$7:$X$14,MATCH(AF$10,$T$7:$T$14,0)),0)*$T$21)/30</f>
        <v>0</v>
      </c>
      <c r="AS97" s="10">
        <f>MAX(节奏总纲!E90-积分赛!$C$7,0)*(IFERROR(INDEX($W$7:$W$14,MATCH(AG$10,$T$7:$T$14,0)),0)*$T$20+IFERROR(INDEX($X$7:$X$14,MATCH(AG$10,$T$7:$T$14,0)),0)*$T$21)/30</f>
        <v>0</v>
      </c>
      <c r="AT97" s="10">
        <f>MAX(节奏总纲!F90-积分赛!$C$7,0)*(IFERROR(INDEX($W$7:$W$14,MATCH(AH$10,$T$7:$T$14,0)),0)*$T$20+IFERROR(INDEX($X$7:$X$14,MATCH(AH$10,$T$7:$T$14,0)),0)*$T$21)/30</f>
        <v>0</v>
      </c>
      <c r="AU97" s="10">
        <f>MAX(节奏总纲!G90-积分赛!$C$7,0)*(IFERROR(INDEX($W$7:$W$14,MATCH(AI$10,$T$7:$T$14,0)),0)*$T$20+IFERROR(INDEX($X$7:$X$14,MATCH(AI$10,$T$7:$T$14,0)),0)*$T$21)/30</f>
        <v>18592.836057500423</v>
      </c>
      <c r="AV97" s="10">
        <f>MAX(节奏总纲!H90-积分赛!$C$7,0)*(IFERROR(INDEX($W$7:$W$14,MATCH(AJ$10,$T$7:$T$14,0)),0)*$T$20+IFERROR(INDEX($X$7:$X$14,MATCH(AJ$10,$T$7:$T$14,0)),0)*$T$21)/30</f>
        <v>52393.024122278905</v>
      </c>
      <c r="BI97" s="10">
        <v>87</v>
      </c>
      <c r="BJ97" s="10">
        <f>MAX($BI97-积分赛!$C$7,0)*$BC$10/30</f>
        <v>190000</v>
      </c>
      <c r="BK97" s="10">
        <f>MAX($BI97-积分赛!$C$7,0)*$BC$10/30</f>
        <v>190000</v>
      </c>
      <c r="BL97" s="10">
        <f>MAX($BI97-积分赛!$C$7,0)*$BC$10/30</f>
        <v>190000</v>
      </c>
      <c r="BM97" s="10">
        <f>MAX($BI97-积分赛!$C$7,0)*$BC$10/30</f>
        <v>190000</v>
      </c>
      <c r="BN97" s="10">
        <f>MAX($BI97-积分赛!$C$7,0)*$BC$10/30</f>
        <v>190000</v>
      </c>
      <c r="BP97" s="10">
        <v>87</v>
      </c>
      <c r="BQ97" s="10">
        <f>MAX(节奏总纲!D90-积分赛!$C$7,0)*$BC$10/30</f>
        <v>1282910.7564479739</v>
      </c>
      <c r="BR97" s="10">
        <f>MAX(节奏总纲!E90-积分赛!$C$7,0)*$BC$10/30</f>
        <v>1094281.7292684703</v>
      </c>
      <c r="BS97" s="10">
        <f>MAX(节奏总纲!F90-积分赛!$C$7,0)*$BC$10/30</f>
        <v>874675.501144532</v>
      </c>
      <c r="BT97" s="10">
        <f>MAX(节奏总纲!G90-积分赛!$C$7,0)*$BC$10/30</f>
        <v>608603.47160394175</v>
      </c>
      <c r="BU97" s="10">
        <f>MAX(节奏总纲!H90-积分赛!$C$7,0)*$BC$10/30</f>
        <v>285832.10104898474</v>
      </c>
    </row>
    <row r="98" spans="26:73" x14ac:dyDescent="0.15">
      <c r="Z98" s="10">
        <v>88</v>
      </c>
      <c r="AA98" s="10">
        <f>IFERROR(MAX($Z98-积分赛!$C$7,0)*INDEX($U$7:$U$14,MATCH(AA$10,$T$7:$T$14,0))/30,0)</f>
        <v>0</v>
      </c>
      <c r="AB98" s="10">
        <f>IFERROR(MAX($Z98-积分赛!$C$7,0)*INDEX($U$7:$U$14,MATCH(AB$10,$T$7:$T$14,0))/30,0)</f>
        <v>0</v>
      </c>
      <c r="AC98" s="10">
        <f>IFERROR(MAX($Z98-积分赛!$C$7,0)*INDEX($U$7:$U$14,MATCH(AC$10,$T$7:$T$14,0))/30,0)</f>
        <v>0</v>
      </c>
      <c r="AD98" s="10">
        <f>IFERROR(MAX($Z98-积分赛!$C$7,0)*INDEX($U$7:$U$14,MATCH(AD$10,$T$7:$T$14,0))/30,0)</f>
        <v>154666.66666666666</v>
      </c>
      <c r="AE98" s="10">
        <f>IFERROR(MAX($Z98-积分赛!$C$7,0)*INDEX($U$7:$U$14,MATCH(AE$10,$T$7:$T$14,0))/30,0)</f>
        <v>1933333.3333333333</v>
      </c>
      <c r="AF98" s="10">
        <f>MAX($Z98-积分赛!$C$7,0)*(IFERROR(INDEX($W$7:$W$14,MATCH(AF$10,$T$7:$T$14,0)),0)*$T$20+IFERROR(INDEX($X$7:$X$14,MATCH(AF$10,$T$7:$T$14,0)),0)*$T$21)/30</f>
        <v>0</v>
      </c>
      <c r="AG98" s="10">
        <f>MAX($Z98-积分赛!$C$7,0)*(IFERROR(INDEX($W$7:$W$14,MATCH(AG$10,$T$7:$T$14,0)),0)*$T$20+IFERROR(INDEX($X$7:$X$14,MATCH(AG$10,$T$7:$T$14,0)),0)*$T$21)/30</f>
        <v>0</v>
      </c>
      <c r="AH98" s="10">
        <f>MAX($Z98-积分赛!$C$7,0)*(IFERROR(INDEX($W$7:$W$14,MATCH(AH$10,$T$7:$T$14,0)),0)*$T$20+IFERROR(INDEX($X$7:$X$14,MATCH(AH$10,$T$7:$T$14,0)),0)*$T$21)/30</f>
        <v>0</v>
      </c>
      <c r="AI98" s="10">
        <f>MAX($Z98-积分赛!$C$7,0)*(IFERROR(INDEX($W$7:$W$14,MATCH(AI$10,$T$7:$T$14,0)),0)*$T$20+IFERROR(INDEX($X$7:$X$14,MATCH(AI$10,$T$7:$T$14,0)),0)*$T$21)/30</f>
        <v>5906.333333333333</v>
      </c>
      <c r="AJ98" s="10">
        <f>MAX($Z98-积分赛!$C$7,0)*(IFERROR(INDEX($W$7:$W$14,MATCH(AJ$10,$T$7:$T$14,0)),0)*$T$20+IFERROR(INDEX($X$7:$X$14,MATCH(AJ$10,$T$7:$T$14,0)),0)*$T$21)/30</f>
        <v>35438</v>
      </c>
      <c r="AL98" s="10">
        <v>88</v>
      </c>
      <c r="AM98" s="10">
        <f>IFERROR(MAX(节奏总纲!D91-积分赛!$C$7,0)*INDEX($U$7:$U$14,MATCH(AA$10,$T$7:$T$14,0))/30,0)</f>
        <v>0</v>
      </c>
      <c r="AN98" s="10">
        <f>IFERROR(MAX(节奏总纲!E91-积分赛!$C$7,0)*INDEX($U$7:$U$14,MATCH(AB$10,$T$7:$T$14,0))/30,0)</f>
        <v>0</v>
      </c>
      <c r="AO98" s="10">
        <f>IFERROR(MAX(节奏总纲!F91-积分赛!$C$7,0)*INDEX($U$7:$U$14,MATCH(AC$10,$T$7:$T$14,0))/30,0)</f>
        <v>0</v>
      </c>
      <c r="AP98" s="10">
        <f>IFERROR(MAX(节奏总纲!G91-积分赛!$C$7,0)*INDEX($U$7:$U$14,MATCH(AD$10,$T$7:$T$14,0))/30,0)</f>
        <v>522687.10317000054</v>
      </c>
      <c r="AQ98" s="10">
        <f>IFERROR(MAX(节奏总纲!H91-积分赛!$C$7,0)*INDEX($U$7:$U$14,MATCH(AE$10,$T$7:$T$14,0))/30,0)</f>
        <v>3106265.4362969832</v>
      </c>
      <c r="AR98" s="10">
        <f>MAX(节奏总纲!D91-积分赛!$C$7,0)*(IFERROR(INDEX($W$7:$W$14,MATCH(AF$10,$T$7:$T$14,0)),0)*$T$20+IFERROR(INDEX($X$7:$X$14,MATCH(AF$10,$T$7:$T$14,0)),0)*$T$21)/30</f>
        <v>0</v>
      </c>
      <c r="AS98" s="10">
        <f>MAX(节奏总纲!E91-积分赛!$C$7,0)*(IFERROR(INDEX($W$7:$W$14,MATCH(AG$10,$T$7:$T$14,0)),0)*$T$20+IFERROR(INDEX($X$7:$X$14,MATCH(AG$10,$T$7:$T$14,0)),0)*$T$21)/30</f>
        <v>0</v>
      </c>
      <c r="AT98" s="10">
        <f>MAX(节奏总纲!F91-积分赛!$C$7,0)*(IFERROR(INDEX($W$7:$W$14,MATCH(AH$10,$T$7:$T$14,0)),0)*$T$20+IFERROR(INDEX($X$7:$X$14,MATCH(AH$10,$T$7:$T$14,0)),0)*$T$21)/30</f>
        <v>0</v>
      </c>
      <c r="AU98" s="10">
        <f>MAX(节奏总纲!G91-积分赛!$C$7,0)*(IFERROR(INDEX($W$7:$W$14,MATCH(AI$10,$T$7:$T$14,0)),0)*$T$20+IFERROR(INDEX($X$7:$X$14,MATCH(AI$10,$T$7:$T$14,0)),0)*$T$21)/30</f>
        <v>19960.113752304394</v>
      </c>
      <c r="AV98" s="10">
        <f>MAX(节奏总纲!H91-积分赛!$C$7,0)*(IFERROR(INDEX($W$7:$W$14,MATCH(AJ$10,$T$7:$T$14,0)),0)*$T$20+IFERROR(INDEX($X$7:$X$14,MATCH(AJ$10,$T$7:$T$14,0)),0)*$T$21)/30</f>
        <v>56937.845447323707</v>
      </c>
      <c r="BI98" s="10">
        <v>88</v>
      </c>
      <c r="BJ98" s="10">
        <f>MAX($BI98-积分赛!$C$7,0)*$BC$10/30</f>
        <v>193333.33333333334</v>
      </c>
      <c r="BK98" s="10">
        <f>MAX($BI98-积分赛!$C$7,0)*$BC$10/30</f>
        <v>193333.33333333334</v>
      </c>
      <c r="BL98" s="10">
        <f>MAX($BI98-积分赛!$C$7,0)*$BC$10/30</f>
        <v>193333.33333333334</v>
      </c>
      <c r="BM98" s="10">
        <f>MAX($BI98-积分赛!$C$7,0)*$BC$10/30</f>
        <v>193333.33333333334</v>
      </c>
      <c r="BN98" s="10">
        <f>MAX($BI98-积分赛!$C$7,0)*$BC$10/30</f>
        <v>193333.33333333334</v>
      </c>
      <c r="BP98" s="10">
        <v>88</v>
      </c>
      <c r="BQ98" s="10">
        <f>MAX(节奏总纲!D91-积分赛!$C$7,0)*$BC$10/30</f>
        <v>1382406.2946920516</v>
      </c>
      <c r="BR98" s="10">
        <f>MAX(节奏总纲!E91-积分赛!$C$7,0)*$BC$10/30</f>
        <v>1182577.9261675631</v>
      </c>
      <c r="BS98" s="10">
        <f>MAX(节奏总纲!F91-积分赛!$C$7,0)*$BC$10/30</f>
        <v>943021.06894532754</v>
      </c>
      <c r="BT98" s="10">
        <f>MAX(节奏总纲!G91-积分赛!$C$7,0)*$BC$10/30</f>
        <v>653358.8789625006</v>
      </c>
      <c r="BU98" s="10">
        <f>MAX(节奏总纲!H91-积分赛!$C$7,0)*$BC$10/30</f>
        <v>310626.54362969834</v>
      </c>
    </row>
    <row r="99" spans="26:73" x14ac:dyDescent="0.15">
      <c r="Z99" s="10">
        <v>89</v>
      </c>
      <c r="AA99" s="10">
        <f>IFERROR(MAX($Z99-积分赛!$C$7,0)*INDEX($U$7:$U$14,MATCH(AA$10,$T$7:$T$14,0))/30,0)</f>
        <v>0</v>
      </c>
      <c r="AB99" s="10">
        <f>IFERROR(MAX($Z99-积分赛!$C$7,0)*INDEX($U$7:$U$14,MATCH(AB$10,$T$7:$T$14,0))/30,0)</f>
        <v>0</v>
      </c>
      <c r="AC99" s="10">
        <f>IFERROR(MAX($Z99-积分赛!$C$7,0)*INDEX($U$7:$U$14,MATCH(AC$10,$T$7:$T$14,0))/30,0)</f>
        <v>0</v>
      </c>
      <c r="AD99" s="10">
        <f>IFERROR(MAX($Z99-积分赛!$C$7,0)*INDEX($U$7:$U$14,MATCH(AD$10,$T$7:$T$14,0))/30,0)</f>
        <v>157333.33333333334</v>
      </c>
      <c r="AE99" s="10">
        <f>IFERROR(MAX($Z99-积分赛!$C$7,0)*INDEX($U$7:$U$14,MATCH(AE$10,$T$7:$T$14,0))/30,0)</f>
        <v>1966666.6666666667</v>
      </c>
      <c r="AF99" s="10">
        <f>MAX($Z99-积分赛!$C$7,0)*(IFERROR(INDEX($W$7:$W$14,MATCH(AF$10,$T$7:$T$14,0)),0)*$T$20+IFERROR(INDEX($X$7:$X$14,MATCH(AF$10,$T$7:$T$14,0)),0)*$T$21)/30</f>
        <v>0</v>
      </c>
      <c r="AG99" s="10">
        <f>MAX($Z99-积分赛!$C$7,0)*(IFERROR(INDEX($W$7:$W$14,MATCH(AG$10,$T$7:$T$14,0)),0)*$T$20+IFERROR(INDEX($X$7:$X$14,MATCH(AG$10,$T$7:$T$14,0)),0)*$T$21)/30</f>
        <v>0</v>
      </c>
      <c r="AH99" s="10">
        <f>MAX($Z99-积分赛!$C$7,0)*(IFERROR(INDEX($W$7:$W$14,MATCH(AH$10,$T$7:$T$14,0)),0)*$T$20+IFERROR(INDEX($X$7:$X$14,MATCH(AH$10,$T$7:$T$14,0)),0)*$T$21)/30</f>
        <v>0</v>
      </c>
      <c r="AI99" s="10">
        <f>MAX($Z99-积分赛!$C$7,0)*(IFERROR(INDEX($W$7:$W$14,MATCH(AI$10,$T$7:$T$14,0)),0)*$T$20+IFERROR(INDEX($X$7:$X$14,MATCH(AI$10,$T$7:$T$14,0)),0)*$T$21)/30</f>
        <v>6008.166666666667</v>
      </c>
      <c r="AJ99" s="10">
        <f>MAX($Z99-积分赛!$C$7,0)*(IFERROR(INDEX($W$7:$W$14,MATCH(AJ$10,$T$7:$T$14,0)),0)*$T$20+IFERROR(INDEX($X$7:$X$14,MATCH(AJ$10,$T$7:$T$14,0)),0)*$T$21)/30</f>
        <v>36049</v>
      </c>
      <c r="AL99" s="10">
        <v>89</v>
      </c>
      <c r="AM99" s="10">
        <f>IFERROR(MAX(节奏总纲!D92-积分赛!$C$7,0)*INDEX($U$7:$U$14,MATCH(AA$10,$T$7:$T$14,0))/30,0)</f>
        <v>0</v>
      </c>
      <c r="AN99" s="10">
        <f>IFERROR(MAX(节奏总纲!E92-积分赛!$C$7,0)*INDEX($U$7:$U$14,MATCH(AB$10,$T$7:$T$14,0))/30,0)</f>
        <v>0</v>
      </c>
      <c r="AO99" s="10">
        <f>IFERROR(MAX(节奏总纲!F92-积分赛!$C$7,0)*INDEX($U$7:$U$14,MATCH(AC$10,$T$7:$T$14,0))/30,0)</f>
        <v>0</v>
      </c>
      <c r="AP99" s="10">
        <f>IFERROR(MAX(节奏总纲!G92-积分赛!$C$7,0)*INDEX($U$7:$U$14,MATCH(AD$10,$T$7:$T$14,0))/30,0)</f>
        <v>560829.24983801797</v>
      </c>
      <c r="AQ99" s="10">
        <f>IFERROR(MAX(节奏总纲!H92-积分赛!$C$7,0)*INDEX($U$7:$U$14,MATCH(AE$10,$T$7:$T$14,0))/30,0)</f>
        <v>3353977.7438905211</v>
      </c>
      <c r="AR99" s="10">
        <f>MAX(节奏总纲!D92-积分赛!$C$7,0)*(IFERROR(INDEX($W$7:$W$14,MATCH(AF$10,$T$7:$T$14,0)),0)*$T$20+IFERROR(INDEX($X$7:$X$14,MATCH(AF$10,$T$7:$T$14,0)),0)*$T$21)/30</f>
        <v>0</v>
      </c>
      <c r="AS99" s="10">
        <f>MAX(节奏总纲!E92-积分赛!$C$7,0)*(IFERROR(INDEX($W$7:$W$14,MATCH(AG$10,$T$7:$T$14,0)),0)*$T$20+IFERROR(INDEX($X$7:$X$14,MATCH(AG$10,$T$7:$T$14,0)),0)*$T$21)/30</f>
        <v>0</v>
      </c>
      <c r="AT99" s="10">
        <f>MAX(节奏总纲!F92-积分赛!$C$7,0)*(IFERROR(INDEX($W$7:$W$14,MATCH(AH$10,$T$7:$T$14,0)),0)*$T$20+IFERROR(INDEX($X$7:$X$14,MATCH(AH$10,$T$7:$T$14,0)),0)*$T$21)/30</f>
        <v>0</v>
      </c>
      <c r="AU99" s="10">
        <f>MAX(节奏总纲!G92-积分赛!$C$7,0)*(IFERROR(INDEX($W$7:$W$14,MATCH(AI$10,$T$7:$T$14,0)),0)*$T$20+IFERROR(INDEX($X$7:$X$14,MATCH(AI$10,$T$7:$T$14,0)),0)*$T$21)/30</f>
        <v>21416.666978189311</v>
      </c>
      <c r="AV99" s="10">
        <f>MAX(节奏总纲!H92-积分赛!$C$7,0)*(IFERROR(INDEX($W$7:$W$14,MATCH(AJ$10,$T$7:$T$14,0)),0)*$T$20+IFERROR(INDEX($X$7:$X$14,MATCH(AJ$10,$T$7:$T$14,0)),0)*$T$21)/30</f>
        <v>61478.412045513251</v>
      </c>
      <c r="BI99" s="10">
        <v>89</v>
      </c>
      <c r="BJ99" s="10">
        <f>MAX($BI99-积分赛!$C$7,0)*$BC$10/30</f>
        <v>196666.66666666666</v>
      </c>
      <c r="BK99" s="10">
        <f>MAX($BI99-积分赛!$C$7,0)*$BC$10/30</f>
        <v>196666.66666666666</v>
      </c>
      <c r="BL99" s="10">
        <f>MAX($BI99-积分赛!$C$7,0)*$BC$10/30</f>
        <v>196666.66666666666</v>
      </c>
      <c r="BM99" s="10">
        <f>MAX($BI99-积分赛!$C$7,0)*$BC$10/30</f>
        <v>196666.66666666666</v>
      </c>
      <c r="BN99" s="10">
        <f>MAX($BI99-积分赛!$C$7,0)*$BC$10/30</f>
        <v>196666.66666666666</v>
      </c>
      <c r="BP99" s="10">
        <v>89</v>
      </c>
      <c r="BQ99" s="10">
        <f>MAX(节奏总纲!D92-积分赛!$C$7,0)*$BC$10/30</f>
        <v>1489042.9722228176</v>
      </c>
      <c r="BR99" s="10">
        <f>MAX(节奏总纲!E92-积分赛!$C$7,0)*$BC$10/30</f>
        <v>1272615.31940607</v>
      </c>
      <c r="BS99" s="10">
        <f>MAX(节奏总纲!F92-积分赛!$C$7,0)*$BC$10/30</f>
        <v>1008675.2817198599</v>
      </c>
      <c r="BT99" s="10">
        <f>MAX(节奏总纲!G92-积分赛!$C$7,0)*$BC$10/30</f>
        <v>701036.56229752244</v>
      </c>
      <c r="BU99" s="10">
        <f>MAX(节奏总纲!H92-积分赛!$C$7,0)*$BC$10/30</f>
        <v>335397.77438905207</v>
      </c>
    </row>
    <row r="100" spans="26:73" x14ac:dyDescent="0.15">
      <c r="Z100" s="10">
        <v>90</v>
      </c>
      <c r="AA100" s="10">
        <f>IFERROR(MAX($Z100-积分赛!$C$7,0)*INDEX($U$7:$U$14,MATCH(AA$10,$T$7:$T$14,0))/30,0)</f>
        <v>0</v>
      </c>
      <c r="AB100" s="10">
        <f>IFERROR(MAX($Z100-积分赛!$C$7,0)*INDEX($U$7:$U$14,MATCH(AB$10,$T$7:$T$14,0))/30,0)</f>
        <v>0</v>
      </c>
      <c r="AC100" s="10">
        <f>IFERROR(MAX($Z100-积分赛!$C$7,0)*INDEX($U$7:$U$14,MATCH(AC$10,$T$7:$T$14,0))/30,0)</f>
        <v>0</v>
      </c>
      <c r="AD100" s="10">
        <f>IFERROR(MAX($Z100-积分赛!$C$7,0)*INDEX($U$7:$U$14,MATCH(AD$10,$T$7:$T$14,0))/30,0)</f>
        <v>160000</v>
      </c>
      <c r="AE100" s="10">
        <f>IFERROR(MAX($Z100-积分赛!$C$7,0)*INDEX($U$7:$U$14,MATCH(AE$10,$T$7:$T$14,0))/30,0)</f>
        <v>2000000</v>
      </c>
      <c r="AF100" s="10">
        <f>MAX($Z100-积分赛!$C$7,0)*(IFERROR(INDEX($W$7:$W$14,MATCH(AF$10,$T$7:$T$14,0)),0)*$T$20+IFERROR(INDEX($X$7:$X$14,MATCH(AF$10,$T$7:$T$14,0)),0)*$T$21)/30</f>
        <v>0</v>
      </c>
      <c r="AG100" s="10">
        <f>MAX($Z100-积分赛!$C$7,0)*(IFERROR(INDEX($W$7:$W$14,MATCH(AG$10,$T$7:$T$14,0)),0)*$T$20+IFERROR(INDEX($X$7:$X$14,MATCH(AG$10,$T$7:$T$14,0)),0)*$T$21)/30</f>
        <v>0</v>
      </c>
      <c r="AH100" s="10">
        <f>MAX($Z100-积分赛!$C$7,0)*(IFERROR(INDEX($W$7:$W$14,MATCH(AH$10,$T$7:$T$14,0)),0)*$T$20+IFERROR(INDEX($X$7:$X$14,MATCH(AH$10,$T$7:$T$14,0)),0)*$T$21)/30</f>
        <v>0</v>
      </c>
      <c r="AI100" s="10">
        <f>MAX($Z100-积分赛!$C$7,0)*(IFERROR(INDEX($W$7:$W$14,MATCH(AI$10,$T$7:$T$14,0)),0)*$T$20+IFERROR(INDEX($X$7:$X$14,MATCH(AI$10,$T$7:$T$14,0)),0)*$T$21)/30</f>
        <v>6110</v>
      </c>
      <c r="AJ100" s="10">
        <f>MAX($Z100-积分赛!$C$7,0)*(IFERROR(INDEX($W$7:$W$14,MATCH(AJ$10,$T$7:$T$14,0)),0)*$T$20+IFERROR(INDEX($X$7:$X$14,MATCH(AJ$10,$T$7:$T$14,0)),0)*$T$21)/30</f>
        <v>36660</v>
      </c>
      <c r="AL100" s="10">
        <v>90</v>
      </c>
      <c r="AM100" s="10">
        <f>IFERROR(MAX(节奏总纲!D93-积分赛!$C$7,0)*INDEX($U$7:$U$14,MATCH(AA$10,$T$7:$T$14,0))/30,0)</f>
        <v>0</v>
      </c>
      <c r="AN100" s="10">
        <f>IFERROR(MAX(节奏总纲!E93-积分赛!$C$7,0)*INDEX($U$7:$U$14,MATCH(AB$10,$T$7:$T$14,0))/30,0)</f>
        <v>0</v>
      </c>
      <c r="AO100" s="10">
        <f>IFERROR(MAX(节奏总纲!F93-积分赛!$C$7,0)*INDEX($U$7:$U$14,MATCH(AC$10,$T$7:$T$14,0))/30,0)</f>
        <v>0</v>
      </c>
      <c r="AP100" s="10">
        <f>IFERROR(MAX(节奏总纲!G93-积分赛!$C$7,0)*INDEX($U$7:$U$14,MATCH(AD$10,$T$7:$T$14,0))/30,0)</f>
        <v>599698.1333333333</v>
      </c>
      <c r="AQ100" s="10">
        <f>IFERROR(MAX(节奏总纲!H93-积分赛!$C$7,0)*INDEX($U$7:$U$14,MATCH(AE$10,$T$7:$T$14,0))/30,0)</f>
        <v>3616033.3333333344</v>
      </c>
      <c r="AR100" s="10">
        <f>MAX(节奏总纲!D93-积分赛!$C$7,0)*(IFERROR(INDEX($W$7:$W$14,MATCH(AF$10,$T$7:$T$14,0)),0)*$T$20+IFERROR(INDEX($X$7:$X$14,MATCH(AF$10,$T$7:$T$14,0)),0)*$T$21)/30</f>
        <v>0</v>
      </c>
      <c r="AS100" s="10">
        <f>MAX(节奏总纲!E93-积分赛!$C$7,0)*(IFERROR(INDEX($W$7:$W$14,MATCH(AG$10,$T$7:$T$14,0)),0)*$T$20+IFERROR(INDEX($X$7:$X$14,MATCH(AG$10,$T$7:$T$14,0)),0)*$T$21)/30</f>
        <v>0</v>
      </c>
      <c r="AT100" s="10">
        <f>MAX(节奏总纲!F93-积分赛!$C$7,0)*(IFERROR(INDEX($W$7:$W$14,MATCH(AH$10,$T$7:$T$14,0)),0)*$T$20+IFERROR(INDEX($X$7:$X$14,MATCH(AH$10,$T$7:$T$14,0)),0)*$T$21)/30</f>
        <v>0</v>
      </c>
      <c r="AU100" s="10">
        <f>MAX(节奏总纲!G93-积分赛!$C$7,0)*(IFERROR(INDEX($W$7:$W$14,MATCH(AI$10,$T$7:$T$14,0)),0)*$T$20+IFERROR(INDEX($X$7:$X$14,MATCH(AI$10,$T$7:$T$14,0)),0)*$T$21)/30</f>
        <v>22900.97246666667</v>
      </c>
      <c r="AV100" s="10">
        <f>MAX(节奏总纲!H93-积分赛!$C$7,0)*(IFERROR(INDEX($W$7:$W$14,MATCH(AJ$10,$T$7:$T$14,0)),0)*$T$20+IFERROR(INDEX($X$7:$X$14,MATCH(AJ$10,$T$7:$T$14,0)),0)*$T$21)/30</f>
        <v>66281.891000000018</v>
      </c>
      <c r="BI100" s="10">
        <v>90</v>
      </c>
      <c r="BJ100" s="10">
        <f>MAX($BI100-积分赛!$C$7,0)*$BC$10/30</f>
        <v>200000</v>
      </c>
      <c r="BK100" s="10">
        <f>MAX($BI100-积分赛!$C$7,0)*$BC$10/30</f>
        <v>200000</v>
      </c>
      <c r="BL100" s="10">
        <f>MAX($BI100-积分赛!$C$7,0)*$BC$10/30</f>
        <v>200000</v>
      </c>
      <c r="BM100" s="10">
        <f>MAX($BI100-积分赛!$C$7,0)*$BC$10/30</f>
        <v>200000</v>
      </c>
      <c r="BN100" s="10">
        <f>MAX($BI100-积分赛!$C$7,0)*$BC$10/30</f>
        <v>200000</v>
      </c>
      <c r="BP100" s="10">
        <v>90</v>
      </c>
      <c r="BQ100" s="10">
        <f>MAX(节奏总纲!D93-积分赛!$C$7,0)*$BC$10/30</f>
        <v>1603333.3333333333</v>
      </c>
      <c r="BR100" s="10">
        <f>MAX(节奏总纲!E93-积分赛!$C$7,0)*$BC$10/30</f>
        <v>1360438.0000000002</v>
      </c>
      <c r="BS100" s="10">
        <f>MAX(节奏总纲!F93-积分赛!$C$7,0)*$BC$10/30</f>
        <v>1080410</v>
      </c>
      <c r="BT100" s="10">
        <f>MAX(节奏总纲!G93-积分赛!$C$7,0)*$BC$10/30</f>
        <v>749622.66666666674</v>
      </c>
      <c r="BU100" s="10">
        <f>MAX(节奏总纲!H93-积分赛!$C$7,0)*$BC$10/30</f>
        <v>361603.33333333337</v>
      </c>
    </row>
    <row r="101" spans="26:73" x14ac:dyDescent="0.15">
      <c r="Z101" s="10">
        <v>91</v>
      </c>
      <c r="AA101" s="10">
        <f>IFERROR(MAX($Z101-积分赛!$C$7,0)*INDEX($U$7:$U$14,MATCH(AA$10,$T$7:$T$14,0))/30,0)</f>
        <v>0</v>
      </c>
      <c r="AB101" s="10">
        <f>IFERROR(MAX($Z101-积分赛!$C$7,0)*INDEX($U$7:$U$14,MATCH(AB$10,$T$7:$T$14,0))/30,0)</f>
        <v>0</v>
      </c>
      <c r="AC101" s="10">
        <f>IFERROR(MAX($Z101-积分赛!$C$7,0)*INDEX($U$7:$U$14,MATCH(AC$10,$T$7:$T$14,0))/30,0)</f>
        <v>0</v>
      </c>
      <c r="AD101" s="10">
        <f>IFERROR(MAX($Z101-积分赛!$C$7,0)*INDEX($U$7:$U$14,MATCH(AD$10,$T$7:$T$14,0))/30,0)</f>
        <v>162666.66666666666</v>
      </c>
      <c r="AE101" s="10">
        <f>IFERROR(MAX($Z101-积分赛!$C$7,0)*INDEX($U$7:$U$14,MATCH(AE$10,$T$7:$T$14,0))/30,0)</f>
        <v>2033333.3333333333</v>
      </c>
      <c r="AF101" s="10">
        <f>MAX($Z101-积分赛!$C$7,0)*(IFERROR(INDEX($W$7:$W$14,MATCH(AF$10,$T$7:$T$14,0)),0)*$T$20+IFERROR(INDEX($X$7:$X$14,MATCH(AF$10,$T$7:$T$14,0)),0)*$T$21)/30</f>
        <v>0</v>
      </c>
      <c r="AG101" s="10">
        <f>MAX($Z101-积分赛!$C$7,0)*(IFERROR(INDEX($W$7:$W$14,MATCH(AG$10,$T$7:$T$14,0)),0)*$T$20+IFERROR(INDEX($X$7:$X$14,MATCH(AG$10,$T$7:$T$14,0)),0)*$T$21)/30</f>
        <v>0</v>
      </c>
      <c r="AH101" s="10">
        <f>MAX($Z101-积分赛!$C$7,0)*(IFERROR(INDEX($W$7:$W$14,MATCH(AH$10,$T$7:$T$14,0)),0)*$T$20+IFERROR(INDEX($X$7:$X$14,MATCH(AH$10,$T$7:$T$14,0)),0)*$T$21)/30</f>
        <v>0</v>
      </c>
      <c r="AI101" s="10">
        <f>MAX($Z101-积分赛!$C$7,0)*(IFERROR(INDEX($W$7:$W$14,MATCH(AI$10,$T$7:$T$14,0)),0)*$T$20+IFERROR(INDEX($X$7:$X$14,MATCH(AI$10,$T$7:$T$14,0)),0)*$T$21)/30</f>
        <v>6211.833333333333</v>
      </c>
      <c r="AJ101" s="10">
        <f>MAX($Z101-积分赛!$C$7,0)*(IFERROR(INDEX($W$7:$W$14,MATCH(AJ$10,$T$7:$T$14,0)),0)*$T$20+IFERROR(INDEX($X$7:$X$14,MATCH(AJ$10,$T$7:$T$14,0)),0)*$T$21)/30</f>
        <v>37271</v>
      </c>
      <c r="AL101" s="10">
        <v>91</v>
      </c>
      <c r="AM101" s="10">
        <f>IFERROR(MAX(节奏总纲!D94-积分赛!$C$7,0)*INDEX($U$7:$U$14,MATCH(AA$10,$T$7:$T$14,0))/30,0)</f>
        <v>0</v>
      </c>
      <c r="AN101" s="10">
        <f>IFERROR(MAX(节奏总纲!E94-积分赛!$C$7,0)*INDEX($U$7:$U$14,MATCH(AB$10,$T$7:$T$14,0))/30,0)</f>
        <v>0</v>
      </c>
      <c r="AO101" s="10">
        <f>IFERROR(MAX(节奏总纲!F94-积分赛!$C$7,0)*INDEX($U$7:$U$14,MATCH(AC$10,$T$7:$T$14,0))/30,0)</f>
        <v>0</v>
      </c>
      <c r="AP101" s="10">
        <f>IFERROR(MAX(节奏总纲!G94-积分赛!$C$7,0)*INDEX($U$7:$U$14,MATCH(AD$10,$T$7:$T$14,0))/30,0)</f>
        <v>646971.16261282202</v>
      </c>
      <c r="AQ101" s="10">
        <f>IFERROR(MAX(节奏总纲!H94-积分赛!$C$7,0)*INDEX($U$7:$U$14,MATCH(AE$10,$T$7:$T$14,0))/30,0)</f>
        <v>3929732.1153672398</v>
      </c>
      <c r="AR101" s="10">
        <f>MAX(节奏总纲!D94-积分赛!$C$7,0)*(IFERROR(INDEX($W$7:$W$14,MATCH(AF$10,$T$7:$T$14,0)),0)*$T$20+IFERROR(INDEX($X$7:$X$14,MATCH(AF$10,$T$7:$T$14,0)),0)*$T$21)/30</f>
        <v>0</v>
      </c>
      <c r="AS101" s="10">
        <f>MAX(节奏总纲!E94-积分赛!$C$7,0)*(IFERROR(INDEX($W$7:$W$14,MATCH(AG$10,$T$7:$T$14,0)),0)*$T$20+IFERROR(INDEX($X$7:$X$14,MATCH(AG$10,$T$7:$T$14,0)),0)*$T$21)/30</f>
        <v>0</v>
      </c>
      <c r="AT101" s="10">
        <f>MAX(节奏总纲!F94-积分赛!$C$7,0)*(IFERROR(INDEX($W$7:$W$14,MATCH(AH$10,$T$7:$T$14,0)),0)*$T$20+IFERROR(INDEX($X$7:$X$14,MATCH(AH$10,$T$7:$T$14,0)),0)*$T$21)/30</f>
        <v>0</v>
      </c>
      <c r="AU101" s="10">
        <f>MAX(节奏总纲!G94-积分赛!$C$7,0)*(IFERROR(INDEX($W$7:$W$14,MATCH(AI$10,$T$7:$T$14,0)),0)*$T$20+IFERROR(INDEX($X$7:$X$14,MATCH(AI$10,$T$7:$T$14,0)),0)*$T$21)/30</f>
        <v>24706.211272277145</v>
      </c>
      <c r="AV101" s="10">
        <f>MAX(节奏总纲!H94-积分赛!$C$7,0)*(IFERROR(INDEX($W$7:$W$14,MATCH(AJ$10,$T$7:$T$14,0)),0)*$T$20+IFERROR(INDEX($X$7:$X$14,MATCH(AJ$10,$T$7:$T$14,0)),0)*$T$21)/30</f>
        <v>72031.989674681507</v>
      </c>
      <c r="BI101" s="10">
        <v>91</v>
      </c>
      <c r="BJ101" s="10">
        <f>MAX($BI101-积分赛!$C$7,0)*$BC$10/30</f>
        <v>203333.33333333334</v>
      </c>
      <c r="BK101" s="10">
        <f>MAX($BI101-积分赛!$C$7,0)*$BC$10/30</f>
        <v>203333.33333333334</v>
      </c>
      <c r="BL101" s="10">
        <f>MAX($BI101-积分赛!$C$7,0)*$BC$10/30</f>
        <v>203333.33333333334</v>
      </c>
      <c r="BM101" s="10">
        <f>MAX($BI101-积分赛!$C$7,0)*$BC$10/30</f>
        <v>203333.33333333334</v>
      </c>
      <c r="BN101" s="10">
        <f>MAX($BI101-积分赛!$C$7,0)*$BC$10/30</f>
        <v>203333.33333333334</v>
      </c>
      <c r="BP101" s="10">
        <v>91</v>
      </c>
      <c r="BQ101" s="10">
        <f>MAX(节奏总纲!D94-积分赛!$C$7,0)*$BC$10/30</f>
        <v>1725826.7093952736</v>
      </c>
      <c r="BR101" s="10">
        <f>MAX(节奏总纲!E94-积分赛!$C$7,0)*$BC$10/30</f>
        <v>1465463.8206355078</v>
      </c>
      <c r="BS101" s="10">
        <f>MAX(节奏总纲!F94-积分赛!$C$7,0)*$BC$10/30</f>
        <v>1161463.6735211946</v>
      </c>
      <c r="BT101" s="10">
        <f>MAX(节奏总纲!G94-积分赛!$C$7,0)*$BC$10/30</f>
        <v>808713.95326602762</v>
      </c>
      <c r="BU101" s="10">
        <f>MAX(节奏总纲!H94-积分赛!$C$7,0)*$BC$10/30</f>
        <v>392973.21153672395</v>
      </c>
    </row>
    <row r="102" spans="26:73" x14ac:dyDescent="0.15">
      <c r="Z102" s="10">
        <v>92</v>
      </c>
      <c r="AA102" s="10">
        <f>IFERROR(MAX($Z102-积分赛!$C$7,0)*INDEX($U$7:$U$14,MATCH(AA$10,$T$7:$T$14,0))/30,0)</f>
        <v>0</v>
      </c>
      <c r="AB102" s="10">
        <f>IFERROR(MAX($Z102-积分赛!$C$7,0)*INDEX($U$7:$U$14,MATCH(AB$10,$T$7:$T$14,0))/30,0)</f>
        <v>0</v>
      </c>
      <c r="AC102" s="10">
        <f>IFERROR(MAX($Z102-积分赛!$C$7,0)*INDEX($U$7:$U$14,MATCH(AC$10,$T$7:$T$14,0))/30,0)</f>
        <v>0</v>
      </c>
      <c r="AD102" s="10">
        <f>IFERROR(MAX($Z102-积分赛!$C$7,0)*INDEX($U$7:$U$14,MATCH(AD$10,$T$7:$T$14,0))/30,0)</f>
        <v>165333.33333333334</v>
      </c>
      <c r="AE102" s="10">
        <f>IFERROR(MAX($Z102-积分赛!$C$7,0)*INDEX($U$7:$U$14,MATCH(AE$10,$T$7:$T$14,0))/30,0)</f>
        <v>2066666.6666666667</v>
      </c>
      <c r="AF102" s="10">
        <f>MAX($Z102-积分赛!$C$7,0)*(IFERROR(INDEX($W$7:$W$14,MATCH(AF$10,$T$7:$T$14,0)),0)*$T$20+IFERROR(INDEX($X$7:$X$14,MATCH(AF$10,$T$7:$T$14,0)),0)*$T$21)/30</f>
        <v>0</v>
      </c>
      <c r="AG102" s="10">
        <f>MAX($Z102-积分赛!$C$7,0)*(IFERROR(INDEX($W$7:$W$14,MATCH(AG$10,$T$7:$T$14,0)),0)*$T$20+IFERROR(INDEX($X$7:$X$14,MATCH(AG$10,$T$7:$T$14,0)),0)*$T$21)/30</f>
        <v>0</v>
      </c>
      <c r="AH102" s="10">
        <f>MAX($Z102-积分赛!$C$7,0)*(IFERROR(INDEX($W$7:$W$14,MATCH(AH$10,$T$7:$T$14,0)),0)*$T$20+IFERROR(INDEX($X$7:$X$14,MATCH(AH$10,$T$7:$T$14,0)),0)*$T$21)/30</f>
        <v>0</v>
      </c>
      <c r="AI102" s="10">
        <f>MAX($Z102-积分赛!$C$7,0)*(IFERROR(INDEX($W$7:$W$14,MATCH(AI$10,$T$7:$T$14,0)),0)*$T$20+IFERROR(INDEX($X$7:$X$14,MATCH(AI$10,$T$7:$T$14,0)),0)*$T$21)/30</f>
        <v>6313.666666666667</v>
      </c>
      <c r="AJ102" s="10">
        <f>MAX($Z102-积分赛!$C$7,0)*(IFERROR(INDEX($W$7:$W$14,MATCH(AJ$10,$T$7:$T$14,0)),0)*$T$20+IFERROR(INDEX($X$7:$X$14,MATCH(AJ$10,$T$7:$T$14,0)),0)*$T$21)/30</f>
        <v>37882</v>
      </c>
      <c r="AL102" s="10">
        <v>92</v>
      </c>
      <c r="AM102" s="10">
        <f>IFERROR(MAX(节奏总纲!D95-积分赛!$C$7,0)*INDEX($U$7:$U$14,MATCH(AA$10,$T$7:$T$14,0))/30,0)</f>
        <v>0</v>
      </c>
      <c r="AN102" s="10">
        <f>IFERROR(MAX(节奏总纲!E95-积分赛!$C$7,0)*INDEX($U$7:$U$14,MATCH(AB$10,$T$7:$T$14,0))/30,0)</f>
        <v>0</v>
      </c>
      <c r="AO102" s="10">
        <f>IFERROR(MAX(节奏总纲!F95-积分赛!$C$7,0)*INDEX($U$7:$U$14,MATCH(AC$10,$T$7:$T$14,0))/30,0)</f>
        <v>0</v>
      </c>
      <c r="AP102" s="10">
        <f>IFERROR(MAX(节奏总纲!G95-积分赛!$C$7,0)*INDEX($U$7:$U$14,MATCH(AD$10,$T$7:$T$14,0))/30,0)</f>
        <v>697521.399420965</v>
      </c>
      <c r="AQ102" s="10">
        <f>IFERROR(MAX(节奏总纲!H95-积分赛!$C$7,0)*INDEX($U$7:$U$14,MATCH(AE$10,$T$7:$T$14,0))/30,0)</f>
        <v>4254845.341938409</v>
      </c>
      <c r="AR102" s="10">
        <f>MAX(节奏总纲!D95-积分赛!$C$7,0)*(IFERROR(INDEX($W$7:$W$14,MATCH(AF$10,$T$7:$T$14,0)),0)*$T$20+IFERROR(INDEX($X$7:$X$14,MATCH(AF$10,$T$7:$T$14,0)),0)*$T$21)/30</f>
        <v>0</v>
      </c>
      <c r="AS102" s="10">
        <f>MAX(节奏总纲!E95-积分赛!$C$7,0)*(IFERROR(INDEX($W$7:$W$14,MATCH(AG$10,$T$7:$T$14,0)),0)*$T$20+IFERROR(INDEX($X$7:$X$14,MATCH(AG$10,$T$7:$T$14,0)),0)*$T$21)/30</f>
        <v>0</v>
      </c>
      <c r="AT102" s="10">
        <f>MAX(节奏总纲!F95-积分赛!$C$7,0)*(IFERROR(INDEX($W$7:$W$14,MATCH(AH$10,$T$7:$T$14,0)),0)*$T$20+IFERROR(INDEX($X$7:$X$14,MATCH(AH$10,$T$7:$T$14,0)),0)*$T$21)/30</f>
        <v>0</v>
      </c>
      <c r="AU102" s="10">
        <f>MAX(节奏总纲!G95-积分赛!$C$7,0)*(IFERROR(INDEX($W$7:$W$14,MATCH(AI$10,$T$7:$T$14,0)),0)*$T$20+IFERROR(INDEX($X$7:$X$14,MATCH(AI$10,$T$7:$T$14,0)),0)*$T$21)/30</f>
        <v>26636.598440388101</v>
      </c>
      <c r="AV102" s="10">
        <f>MAX(节奏总纲!H95-积分赛!$C$7,0)*(IFERROR(INDEX($W$7:$W$14,MATCH(AJ$10,$T$7:$T$14,0)),0)*$T$20+IFERROR(INDEX($X$7:$X$14,MATCH(AJ$10,$T$7:$T$14,0)),0)*$T$21)/30</f>
        <v>77991.315117731036</v>
      </c>
      <c r="BI102" s="10">
        <v>92</v>
      </c>
      <c r="BJ102" s="10">
        <f>MAX($BI102-积分赛!$C$7,0)*$BC$10/30</f>
        <v>206666.66666666666</v>
      </c>
      <c r="BK102" s="10">
        <f>MAX($BI102-积分赛!$C$7,0)*$BC$10/30</f>
        <v>206666.66666666666</v>
      </c>
      <c r="BL102" s="10">
        <f>MAX($BI102-积分赛!$C$7,0)*$BC$10/30</f>
        <v>206666.66666666666</v>
      </c>
      <c r="BM102" s="10">
        <f>MAX($BI102-积分赛!$C$7,0)*$BC$10/30</f>
        <v>206666.66666666666</v>
      </c>
      <c r="BN102" s="10">
        <f>MAX($BI102-积分赛!$C$7,0)*$BC$10/30</f>
        <v>206666.66666666666</v>
      </c>
      <c r="BP102" s="10">
        <v>92</v>
      </c>
      <c r="BQ102" s="10">
        <f>MAX(节奏总纲!D95-积分赛!$C$7,0)*$BC$10/30</f>
        <v>1857111.8591949381</v>
      </c>
      <c r="BR102" s="10">
        <f>MAX(节奏总纲!E95-积分赛!$C$7,0)*$BC$10/30</f>
        <v>1574309.1955412694</v>
      </c>
      <c r="BS102" s="10">
        <f>MAX(节奏总纲!F95-积分赛!$C$7,0)*$BC$10/30</f>
        <v>1250407.1828445073</v>
      </c>
      <c r="BT102" s="10">
        <f>MAX(节奏总纲!G95-积分赛!$C$7,0)*$BC$10/30</f>
        <v>871901.74927620625</v>
      </c>
      <c r="BU102" s="10">
        <f>MAX(节奏总纲!H95-积分赛!$C$7,0)*$BC$10/30</f>
        <v>425484.53419384087</v>
      </c>
    </row>
    <row r="103" spans="26:73" x14ac:dyDescent="0.15">
      <c r="Z103" s="10">
        <v>93</v>
      </c>
      <c r="AA103" s="10">
        <f>IFERROR(MAX($Z103-积分赛!$C$7,0)*INDEX($U$7:$U$14,MATCH(AA$10,$T$7:$T$14,0))/30,0)</f>
        <v>0</v>
      </c>
      <c r="AB103" s="10">
        <f>IFERROR(MAX($Z103-积分赛!$C$7,0)*INDEX($U$7:$U$14,MATCH(AB$10,$T$7:$T$14,0))/30,0)</f>
        <v>0</v>
      </c>
      <c r="AC103" s="10">
        <f>IFERROR(MAX($Z103-积分赛!$C$7,0)*INDEX($U$7:$U$14,MATCH(AC$10,$T$7:$T$14,0))/30,0)</f>
        <v>0</v>
      </c>
      <c r="AD103" s="10">
        <f>IFERROR(MAX($Z103-积分赛!$C$7,0)*INDEX($U$7:$U$14,MATCH(AD$10,$T$7:$T$14,0))/30,0)</f>
        <v>168000</v>
      </c>
      <c r="AE103" s="10">
        <f>IFERROR(MAX($Z103-积分赛!$C$7,0)*INDEX($U$7:$U$14,MATCH(AE$10,$T$7:$T$14,0))/30,0)</f>
        <v>2100000</v>
      </c>
      <c r="AF103" s="10">
        <f>MAX($Z103-积分赛!$C$7,0)*(IFERROR(INDEX($W$7:$W$14,MATCH(AF$10,$T$7:$T$14,0)),0)*$T$20+IFERROR(INDEX($X$7:$X$14,MATCH(AF$10,$T$7:$T$14,0)),0)*$T$21)/30</f>
        <v>0</v>
      </c>
      <c r="AG103" s="10">
        <f>MAX($Z103-积分赛!$C$7,0)*(IFERROR(INDEX($W$7:$W$14,MATCH(AG$10,$T$7:$T$14,0)),0)*$T$20+IFERROR(INDEX($X$7:$X$14,MATCH(AG$10,$T$7:$T$14,0)),0)*$T$21)/30</f>
        <v>0</v>
      </c>
      <c r="AH103" s="10">
        <f>MAX($Z103-积分赛!$C$7,0)*(IFERROR(INDEX($W$7:$W$14,MATCH(AH$10,$T$7:$T$14,0)),0)*$T$20+IFERROR(INDEX($X$7:$X$14,MATCH(AH$10,$T$7:$T$14,0)),0)*$T$21)/30</f>
        <v>0</v>
      </c>
      <c r="AI103" s="10">
        <f>MAX($Z103-积分赛!$C$7,0)*(IFERROR(INDEX($W$7:$W$14,MATCH(AI$10,$T$7:$T$14,0)),0)*$T$20+IFERROR(INDEX($X$7:$X$14,MATCH(AI$10,$T$7:$T$14,0)),0)*$T$21)/30</f>
        <v>6415.5</v>
      </c>
      <c r="AJ103" s="10">
        <f>MAX($Z103-积分赛!$C$7,0)*(IFERROR(INDEX($W$7:$W$14,MATCH(AJ$10,$T$7:$T$14,0)),0)*$T$20+IFERROR(INDEX($X$7:$X$14,MATCH(AJ$10,$T$7:$T$14,0)),0)*$T$21)/30</f>
        <v>38493</v>
      </c>
      <c r="AL103" s="10">
        <v>93</v>
      </c>
      <c r="AM103" s="10">
        <f>IFERROR(MAX(节奏总纲!D96-积分赛!$C$7,0)*INDEX($U$7:$U$14,MATCH(AA$10,$T$7:$T$14,0))/30,0)</f>
        <v>0</v>
      </c>
      <c r="AN103" s="10">
        <f>IFERROR(MAX(节奏总纲!E96-积分赛!$C$7,0)*INDEX($U$7:$U$14,MATCH(AB$10,$T$7:$T$14,0))/30,0)</f>
        <v>0</v>
      </c>
      <c r="AO103" s="10">
        <f>IFERROR(MAX(节奏总纲!F96-积分赛!$C$7,0)*INDEX($U$7:$U$14,MATCH(AC$10,$T$7:$T$14,0))/30,0)</f>
        <v>0</v>
      </c>
      <c r="AP103" s="10">
        <f>IFERROR(MAX(节奏总纲!G96-积分赛!$C$7,0)*INDEX($U$7:$U$14,MATCH(AD$10,$T$7:$T$14,0))/30,0)</f>
        <v>750736.64031502814</v>
      </c>
      <c r="AQ103" s="10">
        <f>IFERROR(MAX(节奏总纲!H96-积分赛!$C$7,0)*INDEX($U$7:$U$14,MATCH(AE$10,$T$7:$T$14,0))/30,0)</f>
        <v>4611667.9617239898</v>
      </c>
      <c r="AR103" s="10">
        <f>MAX(节奏总纲!D96-积分赛!$C$7,0)*(IFERROR(INDEX($W$7:$W$14,MATCH(AF$10,$T$7:$T$14,0)),0)*$T$20+IFERROR(INDEX($X$7:$X$14,MATCH(AF$10,$T$7:$T$14,0)),0)*$T$21)/30</f>
        <v>0</v>
      </c>
      <c r="AS103" s="10">
        <f>MAX(节奏总纲!E96-积分赛!$C$7,0)*(IFERROR(INDEX($W$7:$W$14,MATCH(AG$10,$T$7:$T$14,0)),0)*$T$20+IFERROR(INDEX($X$7:$X$14,MATCH(AG$10,$T$7:$T$14,0)),0)*$T$21)/30</f>
        <v>0</v>
      </c>
      <c r="AT103" s="10">
        <f>MAX(节奏总纲!F96-积分赛!$C$7,0)*(IFERROR(INDEX($W$7:$W$14,MATCH(AH$10,$T$7:$T$14,0)),0)*$T$20+IFERROR(INDEX($X$7:$X$14,MATCH(AH$10,$T$7:$T$14,0)),0)*$T$21)/30</f>
        <v>0</v>
      </c>
      <c r="AU103" s="10">
        <f>MAX(节奏总纲!G96-积分赛!$C$7,0)*(IFERROR(INDEX($W$7:$W$14,MATCH(AI$10,$T$7:$T$14,0)),0)*$T$20+IFERROR(INDEX($X$7:$X$14,MATCH(AI$10,$T$7:$T$14,0)),0)*$T$21)/30</f>
        <v>28668.755452030138</v>
      </c>
      <c r="AV103" s="10">
        <f>MAX(节奏总纲!H96-积分赛!$C$7,0)*(IFERROR(INDEX($W$7:$W$14,MATCH(AJ$10,$T$7:$T$14,0)),0)*$T$20+IFERROR(INDEX($X$7:$X$14,MATCH(AJ$10,$T$7:$T$14,0)),0)*$T$21)/30</f>
        <v>84531.87373840074</v>
      </c>
      <c r="BI103" s="10">
        <v>93</v>
      </c>
      <c r="BJ103" s="10">
        <f>MAX($BI103-积分赛!$C$7,0)*$BC$10/30</f>
        <v>210000</v>
      </c>
      <c r="BK103" s="10">
        <f>MAX($BI103-积分赛!$C$7,0)*$BC$10/30</f>
        <v>210000</v>
      </c>
      <c r="BL103" s="10">
        <f>MAX($BI103-积分赛!$C$7,0)*$BC$10/30</f>
        <v>210000</v>
      </c>
      <c r="BM103" s="10">
        <f>MAX($BI103-积分赛!$C$7,0)*$BC$10/30</f>
        <v>210000</v>
      </c>
      <c r="BN103" s="10">
        <f>MAX($BI103-积分赛!$C$7,0)*$BC$10/30</f>
        <v>210000</v>
      </c>
      <c r="BP103" s="10">
        <v>93</v>
      </c>
      <c r="BQ103" s="10">
        <f>MAX(节奏总纲!D96-积分赛!$C$7,0)*$BC$10/30</f>
        <v>1997819.7987753234</v>
      </c>
      <c r="BR103" s="10">
        <f>MAX(节奏总纲!E96-积分赛!$C$7,0)*$BC$10/30</f>
        <v>1694475.0558724119</v>
      </c>
      <c r="BS103" s="10">
        <f>MAX(节奏总纲!F96-积分赛!$C$7,0)*$BC$10/30</f>
        <v>1345607.6233360756</v>
      </c>
      <c r="BT103" s="10">
        <f>MAX(节奏总纲!G96-积分赛!$C$7,0)*$BC$10/30</f>
        <v>938420.80039378512</v>
      </c>
      <c r="BU103" s="10">
        <f>MAX(节奏总纲!H96-积分赛!$C$7,0)*$BC$10/30</f>
        <v>461166.79617239907</v>
      </c>
    </row>
    <row r="104" spans="26:73" x14ac:dyDescent="0.15">
      <c r="Z104" s="10">
        <v>94</v>
      </c>
      <c r="AA104" s="10">
        <f>IFERROR(MAX($Z104-积分赛!$C$7,0)*INDEX($U$7:$U$14,MATCH(AA$10,$T$7:$T$14,0))/30,0)</f>
        <v>0</v>
      </c>
      <c r="AB104" s="10">
        <f>IFERROR(MAX($Z104-积分赛!$C$7,0)*INDEX($U$7:$U$14,MATCH(AB$10,$T$7:$T$14,0))/30,0)</f>
        <v>0</v>
      </c>
      <c r="AC104" s="10">
        <f>IFERROR(MAX($Z104-积分赛!$C$7,0)*INDEX($U$7:$U$14,MATCH(AC$10,$T$7:$T$14,0))/30,0)</f>
        <v>0</v>
      </c>
      <c r="AD104" s="10">
        <f>IFERROR(MAX($Z104-积分赛!$C$7,0)*INDEX($U$7:$U$14,MATCH(AD$10,$T$7:$T$14,0))/30,0)</f>
        <v>170666.66666666666</v>
      </c>
      <c r="AE104" s="10">
        <f>IFERROR(MAX($Z104-积分赛!$C$7,0)*INDEX($U$7:$U$14,MATCH(AE$10,$T$7:$T$14,0))/30,0)</f>
        <v>2133333.3333333335</v>
      </c>
      <c r="AF104" s="10">
        <f>MAX($Z104-积分赛!$C$7,0)*(IFERROR(INDEX($W$7:$W$14,MATCH(AF$10,$T$7:$T$14,0)),0)*$T$20+IFERROR(INDEX($X$7:$X$14,MATCH(AF$10,$T$7:$T$14,0)),0)*$T$21)/30</f>
        <v>0</v>
      </c>
      <c r="AG104" s="10">
        <f>MAX($Z104-积分赛!$C$7,0)*(IFERROR(INDEX($W$7:$W$14,MATCH(AG$10,$T$7:$T$14,0)),0)*$T$20+IFERROR(INDEX($X$7:$X$14,MATCH(AG$10,$T$7:$T$14,0)),0)*$T$21)/30</f>
        <v>0</v>
      </c>
      <c r="AH104" s="10">
        <f>MAX($Z104-积分赛!$C$7,0)*(IFERROR(INDEX($W$7:$W$14,MATCH(AH$10,$T$7:$T$14,0)),0)*$T$20+IFERROR(INDEX($X$7:$X$14,MATCH(AH$10,$T$7:$T$14,0)),0)*$T$21)/30</f>
        <v>0</v>
      </c>
      <c r="AI104" s="10">
        <f>MAX($Z104-积分赛!$C$7,0)*(IFERROR(INDEX($W$7:$W$14,MATCH(AI$10,$T$7:$T$14,0)),0)*$T$20+IFERROR(INDEX($X$7:$X$14,MATCH(AI$10,$T$7:$T$14,0)),0)*$T$21)/30</f>
        <v>6517.333333333333</v>
      </c>
      <c r="AJ104" s="10">
        <f>MAX($Z104-积分赛!$C$7,0)*(IFERROR(INDEX($W$7:$W$14,MATCH(AJ$10,$T$7:$T$14,0)),0)*$T$20+IFERROR(INDEX($X$7:$X$14,MATCH(AJ$10,$T$7:$T$14,0)),0)*$T$21)/30</f>
        <v>39104</v>
      </c>
      <c r="AL104" s="10">
        <v>94</v>
      </c>
      <c r="AM104" s="10">
        <f>IFERROR(MAX(节奏总纲!D97-积分赛!$C$7,0)*INDEX($U$7:$U$14,MATCH(AA$10,$T$7:$T$14,0))/30,0)</f>
        <v>0</v>
      </c>
      <c r="AN104" s="10">
        <f>IFERROR(MAX(节奏总纲!E97-积分赛!$C$7,0)*INDEX($U$7:$U$14,MATCH(AB$10,$T$7:$T$14,0))/30,0)</f>
        <v>0</v>
      </c>
      <c r="AO104" s="10">
        <f>IFERROR(MAX(节奏总纲!F97-积分赛!$C$7,0)*INDEX($U$7:$U$14,MATCH(AC$10,$T$7:$T$14,0))/30,0)</f>
        <v>0</v>
      </c>
      <c r="AP104" s="10">
        <f>IFERROR(MAX(节奏总纲!G97-积分赛!$C$7,0)*INDEX($U$7:$U$14,MATCH(AD$10,$T$7:$T$14,0))/30,0)</f>
        <v>807218.20377523743</v>
      </c>
      <c r="AQ104" s="10">
        <f>IFERROR(MAX(节奏总纲!H97-积分赛!$C$7,0)*INDEX($U$7:$U$14,MATCH(AE$10,$T$7:$T$14,0))/30,0)</f>
        <v>4988093.2599692233</v>
      </c>
      <c r="AR104" s="10">
        <f>MAX(节奏总纲!D97-积分赛!$C$7,0)*(IFERROR(INDEX($W$7:$W$14,MATCH(AF$10,$T$7:$T$14,0)),0)*$T$20+IFERROR(INDEX($X$7:$X$14,MATCH(AF$10,$T$7:$T$14,0)),0)*$T$21)/30</f>
        <v>0</v>
      </c>
      <c r="AS104" s="10">
        <f>MAX(节奏总纲!E97-积分赛!$C$7,0)*(IFERROR(INDEX($W$7:$W$14,MATCH(AG$10,$T$7:$T$14,0)),0)*$T$20+IFERROR(INDEX($X$7:$X$14,MATCH(AG$10,$T$7:$T$14,0)),0)*$T$21)/30</f>
        <v>0</v>
      </c>
      <c r="AT104" s="10">
        <f>MAX(节奏总纲!F97-积分赛!$C$7,0)*(IFERROR(INDEX($W$7:$W$14,MATCH(AH$10,$T$7:$T$14,0)),0)*$T$20+IFERROR(INDEX($X$7:$X$14,MATCH(AH$10,$T$7:$T$14,0)),0)*$T$21)/30</f>
        <v>0</v>
      </c>
      <c r="AU104" s="10">
        <f>MAX(节奏总纲!G97-积分赛!$C$7,0)*(IFERROR(INDEX($W$7:$W$14,MATCH(AI$10,$T$7:$T$14,0)),0)*$T$20+IFERROR(INDEX($X$7:$X$14,MATCH(AI$10,$T$7:$T$14,0)),0)*$T$21)/30</f>
        <v>30825.64515666688</v>
      </c>
      <c r="AV104" s="10">
        <f>MAX(节奏总纲!H97-积分赛!$C$7,0)*(IFERROR(INDEX($W$7:$W$14,MATCH(AJ$10,$T$7:$T$14,0)),0)*$T$20+IFERROR(INDEX($X$7:$X$14,MATCH(AJ$10,$T$7:$T$14,0)),0)*$T$21)/30</f>
        <v>91431.749455235869</v>
      </c>
      <c r="BI104" s="10">
        <v>94</v>
      </c>
      <c r="BJ104" s="10">
        <f>MAX($BI104-积分赛!$C$7,0)*$BC$10/30</f>
        <v>213333.33333333334</v>
      </c>
      <c r="BK104" s="10">
        <f>MAX($BI104-积分赛!$C$7,0)*$BC$10/30</f>
        <v>213333.33333333334</v>
      </c>
      <c r="BL104" s="10">
        <f>MAX($BI104-积分赛!$C$7,0)*$BC$10/30</f>
        <v>213333.33333333334</v>
      </c>
      <c r="BM104" s="10">
        <f>MAX($BI104-积分赛!$C$7,0)*$BC$10/30</f>
        <v>213333.33333333334</v>
      </c>
      <c r="BN104" s="10">
        <f>MAX($BI104-积分赛!$C$7,0)*$BC$10/30</f>
        <v>213333.33333333334</v>
      </c>
      <c r="BP104" s="10">
        <v>94</v>
      </c>
      <c r="BQ104" s="10">
        <f>MAX(节奏总纲!D97-积分赛!$C$7,0)*$BC$10/30</f>
        <v>2148626.8343857396</v>
      </c>
      <c r="BR104" s="10">
        <f>MAX(节奏总纲!E97-积分赛!$C$7,0)*$BC$10/30</f>
        <v>1821001.9046157373</v>
      </c>
      <c r="BS104" s="10">
        <f>MAX(节奏总纲!F97-积分赛!$C$7,0)*$BC$10/30</f>
        <v>1446830.39937395</v>
      </c>
      <c r="BT104" s="10">
        <f>MAX(节奏总纲!G97-积分赛!$C$7,0)*$BC$10/30</f>
        <v>1009022.7547190468</v>
      </c>
      <c r="BU104" s="10">
        <f>MAX(节奏总纲!H97-积分赛!$C$7,0)*$BC$10/30</f>
        <v>498809.32599692233</v>
      </c>
    </row>
    <row r="105" spans="26:73" x14ac:dyDescent="0.15">
      <c r="Z105" s="10">
        <v>95</v>
      </c>
      <c r="AA105" s="10">
        <f>IFERROR(MAX($Z105-积分赛!$C$7,0)*INDEX($U$7:$U$14,MATCH(AA$10,$T$7:$T$14,0))/30,0)</f>
        <v>0</v>
      </c>
      <c r="AB105" s="10">
        <f>IFERROR(MAX($Z105-积分赛!$C$7,0)*INDEX($U$7:$U$14,MATCH(AB$10,$T$7:$T$14,0))/30,0)</f>
        <v>0</v>
      </c>
      <c r="AC105" s="10">
        <f>IFERROR(MAX($Z105-积分赛!$C$7,0)*INDEX($U$7:$U$14,MATCH(AC$10,$T$7:$T$14,0))/30,0)</f>
        <v>0</v>
      </c>
      <c r="AD105" s="10">
        <f>IFERROR(MAX($Z105-积分赛!$C$7,0)*INDEX($U$7:$U$14,MATCH(AD$10,$T$7:$T$14,0))/30,0)</f>
        <v>173333.33333333334</v>
      </c>
      <c r="AE105" s="10">
        <f>IFERROR(MAX($Z105-积分赛!$C$7,0)*INDEX($U$7:$U$14,MATCH(AE$10,$T$7:$T$14,0))/30,0)</f>
        <v>2166666.6666666665</v>
      </c>
      <c r="AF105" s="10">
        <f>MAX($Z105-积分赛!$C$7,0)*(IFERROR(INDEX($W$7:$W$14,MATCH(AF$10,$T$7:$T$14,0)),0)*$T$20+IFERROR(INDEX($X$7:$X$14,MATCH(AF$10,$T$7:$T$14,0)),0)*$T$21)/30</f>
        <v>0</v>
      </c>
      <c r="AG105" s="10">
        <f>MAX($Z105-积分赛!$C$7,0)*(IFERROR(INDEX($W$7:$W$14,MATCH(AG$10,$T$7:$T$14,0)),0)*$T$20+IFERROR(INDEX($X$7:$X$14,MATCH(AG$10,$T$7:$T$14,0)),0)*$T$21)/30</f>
        <v>0</v>
      </c>
      <c r="AH105" s="10">
        <f>MAX($Z105-积分赛!$C$7,0)*(IFERROR(INDEX($W$7:$W$14,MATCH(AH$10,$T$7:$T$14,0)),0)*$T$20+IFERROR(INDEX($X$7:$X$14,MATCH(AH$10,$T$7:$T$14,0)),0)*$T$21)/30</f>
        <v>0</v>
      </c>
      <c r="AI105" s="10">
        <f>MAX($Z105-积分赛!$C$7,0)*(IFERROR(INDEX($W$7:$W$14,MATCH(AI$10,$T$7:$T$14,0)),0)*$T$20+IFERROR(INDEX($X$7:$X$14,MATCH(AI$10,$T$7:$T$14,0)),0)*$T$21)/30</f>
        <v>6619.166666666667</v>
      </c>
      <c r="AJ105" s="10">
        <f>MAX($Z105-积分赛!$C$7,0)*(IFERROR(INDEX($W$7:$W$14,MATCH(AJ$10,$T$7:$T$14,0)),0)*$T$20+IFERROR(INDEX($X$7:$X$14,MATCH(AJ$10,$T$7:$T$14,0)),0)*$T$21)/30</f>
        <v>39715</v>
      </c>
      <c r="AL105" s="10">
        <v>95</v>
      </c>
      <c r="AM105" s="10">
        <f>IFERROR(MAX(节奏总纲!D98-积分赛!$C$7,0)*INDEX($U$7:$U$14,MATCH(AA$10,$T$7:$T$14,0))/30,0)</f>
        <v>0</v>
      </c>
      <c r="AN105" s="10">
        <f>IFERROR(MAX(节奏总纲!E98-积分赛!$C$7,0)*INDEX($U$7:$U$14,MATCH(AB$10,$T$7:$T$14,0))/30,0)</f>
        <v>0</v>
      </c>
      <c r="AO105" s="10">
        <f>IFERROR(MAX(节奏总纲!F98-积分赛!$C$7,0)*INDEX($U$7:$U$14,MATCH(AC$10,$T$7:$T$14,0))/30,0)</f>
        <v>0</v>
      </c>
      <c r="AP105" s="10">
        <f>IFERROR(MAX(节奏总纲!G98-积分赛!$C$7,0)*INDEX($U$7:$U$14,MATCH(AD$10,$T$7:$T$14,0))/30,0)</f>
        <v>867713.37211750553</v>
      </c>
      <c r="AQ105" s="10">
        <f>IFERROR(MAX(节奏总纲!H98-积分赛!$C$7,0)*INDEX($U$7:$U$14,MATCH(AE$10,$T$7:$T$14,0))/30,0)</f>
        <v>5428157.5875823684</v>
      </c>
      <c r="AR105" s="10">
        <f>MAX(节奏总纲!D98-积分赛!$C$7,0)*(IFERROR(INDEX($W$7:$W$14,MATCH(AF$10,$T$7:$T$14,0)),0)*$T$20+IFERROR(INDEX($X$7:$X$14,MATCH(AF$10,$T$7:$T$14,0)),0)*$T$21)/30</f>
        <v>0</v>
      </c>
      <c r="AS105" s="10">
        <f>MAX(节奏总纲!E98-积分赛!$C$7,0)*(IFERROR(INDEX($W$7:$W$14,MATCH(AG$10,$T$7:$T$14,0)),0)*$T$20+IFERROR(INDEX($X$7:$X$14,MATCH(AG$10,$T$7:$T$14,0)),0)*$T$21)/30</f>
        <v>0</v>
      </c>
      <c r="AT105" s="10">
        <f>MAX(节奏总纲!F98-积分赛!$C$7,0)*(IFERROR(INDEX($W$7:$W$14,MATCH(AH$10,$T$7:$T$14,0)),0)*$T$20+IFERROR(INDEX($X$7:$X$14,MATCH(AH$10,$T$7:$T$14,0)),0)*$T$21)/30</f>
        <v>0</v>
      </c>
      <c r="AU105" s="10">
        <f>MAX(节奏总纲!G98-积分赛!$C$7,0)*(IFERROR(INDEX($W$7:$W$14,MATCH(AI$10,$T$7:$T$14,0)),0)*$T$20+IFERROR(INDEX($X$7:$X$14,MATCH(AI$10,$T$7:$T$14,0)),0)*$T$21)/30</f>
        <v>33135.804397737244</v>
      </c>
      <c r="AV105" s="10">
        <f>MAX(节奏总纲!H98-积分赛!$C$7,0)*(IFERROR(INDEX($W$7:$W$14,MATCH(AJ$10,$T$7:$T$14,0)),0)*$T$20+IFERROR(INDEX($X$7:$X$14,MATCH(AJ$10,$T$7:$T$14,0)),0)*$T$21)/30</f>
        <v>99498.128580384815</v>
      </c>
      <c r="BI105" s="10">
        <v>95</v>
      </c>
      <c r="BJ105" s="10">
        <f>MAX($BI105-积分赛!$C$7,0)*$BC$10/30</f>
        <v>216666.66666666666</v>
      </c>
      <c r="BK105" s="10">
        <f>MAX($BI105-积分赛!$C$7,0)*$BC$10/30</f>
        <v>216666.66666666666</v>
      </c>
      <c r="BL105" s="10">
        <f>MAX($BI105-积分赛!$C$7,0)*$BC$10/30</f>
        <v>216666.66666666666</v>
      </c>
      <c r="BM105" s="10">
        <f>MAX($BI105-积分赛!$C$7,0)*$BC$10/30</f>
        <v>216666.66666666666</v>
      </c>
      <c r="BN105" s="10">
        <f>MAX($BI105-积分赛!$C$7,0)*$BC$10/30</f>
        <v>216666.66666666666</v>
      </c>
      <c r="BP105" s="10">
        <v>95</v>
      </c>
      <c r="BQ105" s="10">
        <f>MAX(节奏总纲!D98-积分赛!$C$7,0)*$BC$10/30</f>
        <v>2310257.8131167488</v>
      </c>
      <c r="BR105" s="10">
        <f>MAX(节奏总纲!E98-积分赛!$C$7,0)*$BC$10/30</f>
        <v>1960529.4044335084</v>
      </c>
      <c r="BS105" s="10">
        <f>MAX(节奏总纲!F98-积分赛!$C$7,0)*$BC$10/30</f>
        <v>1553195.8340167778</v>
      </c>
      <c r="BT105" s="10">
        <f>MAX(节奏总纲!G98-积分赛!$C$7,0)*$BC$10/30</f>
        <v>1084641.7151468818</v>
      </c>
      <c r="BU105" s="10">
        <f>MAX(节奏总纲!H98-积分赛!$C$7,0)*$BC$10/30</f>
        <v>542815.75875823689</v>
      </c>
    </row>
    <row r="106" spans="26:73" x14ac:dyDescent="0.15">
      <c r="Z106" s="10">
        <v>96</v>
      </c>
      <c r="AA106" s="10">
        <f>IFERROR(MAX($Z106-积分赛!$C$7,0)*INDEX($U$7:$U$14,MATCH(AA$10,$T$7:$T$14,0))/30,0)</f>
        <v>0</v>
      </c>
      <c r="AB106" s="10">
        <f>IFERROR(MAX($Z106-积分赛!$C$7,0)*INDEX($U$7:$U$14,MATCH(AB$10,$T$7:$T$14,0))/30,0)</f>
        <v>0</v>
      </c>
      <c r="AC106" s="10">
        <f>IFERROR(MAX($Z106-积分赛!$C$7,0)*INDEX($U$7:$U$14,MATCH(AC$10,$T$7:$T$14,0))/30,0)</f>
        <v>0</v>
      </c>
      <c r="AD106" s="10">
        <f>IFERROR(MAX($Z106-积分赛!$C$7,0)*INDEX($U$7:$U$14,MATCH(AD$10,$T$7:$T$14,0))/30,0)</f>
        <v>176000</v>
      </c>
      <c r="AE106" s="10">
        <f>IFERROR(MAX($Z106-积分赛!$C$7,0)*INDEX($U$7:$U$14,MATCH(AE$10,$T$7:$T$14,0))/30,0)</f>
        <v>2200000</v>
      </c>
      <c r="AF106" s="10">
        <f>MAX($Z106-积分赛!$C$7,0)*(IFERROR(INDEX($W$7:$W$14,MATCH(AF$10,$T$7:$T$14,0)),0)*$T$20+IFERROR(INDEX($X$7:$X$14,MATCH(AF$10,$T$7:$T$14,0)),0)*$T$21)/30</f>
        <v>0</v>
      </c>
      <c r="AG106" s="10">
        <f>MAX($Z106-积分赛!$C$7,0)*(IFERROR(INDEX($W$7:$W$14,MATCH(AG$10,$T$7:$T$14,0)),0)*$T$20+IFERROR(INDEX($X$7:$X$14,MATCH(AG$10,$T$7:$T$14,0)),0)*$T$21)/30</f>
        <v>0</v>
      </c>
      <c r="AH106" s="10">
        <f>MAX($Z106-积分赛!$C$7,0)*(IFERROR(INDEX($W$7:$W$14,MATCH(AH$10,$T$7:$T$14,0)),0)*$T$20+IFERROR(INDEX($X$7:$X$14,MATCH(AH$10,$T$7:$T$14,0)),0)*$T$21)/30</f>
        <v>0</v>
      </c>
      <c r="AI106" s="10">
        <f>MAX($Z106-积分赛!$C$7,0)*(IFERROR(INDEX($W$7:$W$14,MATCH(AI$10,$T$7:$T$14,0)),0)*$T$20+IFERROR(INDEX($X$7:$X$14,MATCH(AI$10,$T$7:$T$14,0)),0)*$T$21)/30</f>
        <v>6721</v>
      </c>
      <c r="AJ106" s="10">
        <f>MAX($Z106-积分赛!$C$7,0)*(IFERROR(INDEX($W$7:$W$14,MATCH(AJ$10,$T$7:$T$14,0)),0)*$T$20+IFERROR(INDEX($X$7:$X$14,MATCH(AJ$10,$T$7:$T$14,0)),0)*$T$21)/30</f>
        <v>40326</v>
      </c>
      <c r="AL106" s="10">
        <v>96</v>
      </c>
      <c r="AM106" s="10">
        <f>IFERROR(MAX(节奏总纲!D99-积分赛!$C$7,0)*INDEX($U$7:$U$14,MATCH(AA$10,$T$7:$T$14,0))/30,0)</f>
        <v>0</v>
      </c>
      <c r="AN106" s="10">
        <f>IFERROR(MAX(节奏总纲!E99-积分赛!$C$7,0)*INDEX($U$7:$U$14,MATCH(AB$10,$T$7:$T$14,0))/30,0)</f>
        <v>0</v>
      </c>
      <c r="AO106" s="10">
        <f>IFERROR(MAX(节奏总纲!F99-积分赛!$C$7,0)*INDEX($U$7:$U$14,MATCH(AC$10,$T$7:$T$14,0))/30,0)</f>
        <v>0</v>
      </c>
      <c r="AP106" s="10">
        <f>IFERROR(MAX(节奏总纲!G99-积分赛!$C$7,0)*INDEX($U$7:$U$14,MATCH(AD$10,$T$7:$T$14,0))/30,0)</f>
        <v>935208.07590558042</v>
      </c>
      <c r="AQ106" s="10">
        <f>IFERROR(MAX(节奏总纲!H99-积分赛!$C$7,0)*INDEX($U$7:$U$14,MATCH(AE$10,$T$7:$T$14,0))/30,0)</f>
        <v>5895333.7606677376</v>
      </c>
      <c r="AR106" s="10">
        <f>MAX(节奏总纲!D99-积分赛!$C$7,0)*(IFERROR(INDEX($W$7:$W$14,MATCH(AF$10,$T$7:$T$14,0)),0)*$T$20+IFERROR(INDEX($X$7:$X$14,MATCH(AF$10,$T$7:$T$14,0)),0)*$T$21)/30</f>
        <v>0</v>
      </c>
      <c r="AS106" s="10">
        <f>MAX(节奏总纲!E99-积分赛!$C$7,0)*(IFERROR(INDEX($W$7:$W$14,MATCH(AG$10,$T$7:$T$14,0)),0)*$T$20+IFERROR(INDEX($X$7:$X$14,MATCH(AG$10,$T$7:$T$14,0)),0)*$T$21)/30</f>
        <v>0</v>
      </c>
      <c r="AT106" s="10">
        <f>MAX(节奏总纲!F99-积分赛!$C$7,0)*(IFERROR(INDEX($W$7:$W$14,MATCH(AH$10,$T$7:$T$14,0)),0)*$T$20+IFERROR(INDEX($X$7:$X$14,MATCH(AH$10,$T$7:$T$14,0)),0)*$T$21)/30</f>
        <v>0</v>
      </c>
      <c r="AU106" s="10">
        <f>MAX(节奏总纲!G99-积分赛!$C$7,0)*(IFERROR(INDEX($W$7:$W$14,MATCH(AI$10,$T$7:$T$14,0)),0)*$T$20+IFERROR(INDEX($X$7:$X$14,MATCH(AI$10,$T$7:$T$14,0)),0)*$T$21)/30</f>
        <v>35713.258398644357</v>
      </c>
      <c r="AV106" s="10">
        <f>MAX(节奏总纲!H99-积分赛!$C$7,0)*(IFERROR(INDEX($W$7:$W$14,MATCH(AJ$10,$T$7:$T$14,0)),0)*$T$20+IFERROR(INDEX($X$7:$X$14,MATCH(AJ$10,$T$7:$T$14,0)),0)*$T$21)/30</f>
        <v>108061.46783303963</v>
      </c>
      <c r="BI106" s="10">
        <v>96</v>
      </c>
      <c r="BJ106" s="10">
        <f>MAX($BI106-积分赛!$C$7,0)*$BC$10/30</f>
        <v>220000</v>
      </c>
      <c r="BK106" s="10">
        <f>MAX($BI106-积分赛!$C$7,0)*$BC$10/30</f>
        <v>220000</v>
      </c>
      <c r="BL106" s="10">
        <f>MAX($BI106-积分赛!$C$7,0)*$BC$10/30</f>
        <v>220000</v>
      </c>
      <c r="BM106" s="10">
        <f>MAX($BI106-积分赛!$C$7,0)*$BC$10/30</f>
        <v>220000</v>
      </c>
      <c r="BN106" s="10">
        <f>MAX($BI106-积分赛!$C$7,0)*$BC$10/30</f>
        <v>220000</v>
      </c>
      <c r="BP106" s="10">
        <v>96</v>
      </c>
      <c r="BQ106" s="10">
        <f>MAX(节奏总纲!D99-积分赛!$C$7,0)*$BC$10/30</f>
        <v>2483489.6068444126</v>
      </c>
      <c r="BR106" s="10">
        <f>MAX(节奏总纲!E99-积分赛!$C$7,0)*$BC$10/30</f>
        <v>2103458.2856775993</v>
      </c>
      <c r="BS106" s="10">
        <f>MAX(节奏总纲!F99-积分赛!$C$7,0)*$BC$10/30</f>
        <v>1666590.1931602093</v>
      </c>
      <c r="BT106" s="10">
        <f>MAX(节奏总纲!G99-积分赛!$C$7,0)*$BC$10/30</f>
        <v>1169010.0948819753</v>
      </c>
      <c r="BU106" s="10">
        <f>MAX(节奏总纲!H99-积分赛!$C$7,0)*$BC$10/30</f>
        <v>589533.37606677378</v>
      </c>
    </row>
    <row r="107" spans="26:73" x14ac:dyDescent="0.15">
      <c r="Z107" s="10">
        <v>97</v>
      </c>
      <c r="AA107" s="10">
        <f>IFERROR(MAX($Z107-积分赛!$C$7,0)*INDEX($U$7:$U$14,MATCH(AA$10,$T$7:$T$14,0))/30,0)</f>
        <v>0</v>
      </c>
      <c r="AB107" s="10">
        <f>IFERROR(MAX($Z107-积分赛!$C$7,0)*INDEX($U$7:$U$14,MATCH(AB$10,$T$7:$T$14,0))/30,0)</f>
        <v>0</v>
      </c>
      <c r="AC107" s="10">
        <f>IFERROR(MAX($Z107-积分赛!$C$7,0)*INDEX($U$7:$U$14,MATCH(AC$10,$T$7:$T$14,0))/30,0)</f>
        <v>0</v>
      </c>
      <c r="AD107" s="10">
        <f>IFERROR(MAX($Z107-积分赛!$C$7,0)*INDEX($U$7:$U$14,MATCH(AD$10,$T$7:$T$14,0))/30,0)</f>
        <v>178666.66666666666</v>
      </c>
      <c r="AE107" s="10">
        <f>IFERROR(MAX($Z107-积分赛!$C$7,0)*INDEX($U$7:$U$14,MATCH(AE$10,$T$7:$T$14,0))/30,0)</f>
        <v>2233333.3333333335</v>
      </c>
      <c r="AF107" s="10">
        <f>MAX($Z107-积分赛!$C$7,0)*(IFERROR(INDEX($W$7:$W$14,MATCH(AF$10,$T$7:$T$14,0)),0)*$T$20+IFERROR(INDEX($X$7:$X$14,MATCH(AF$10,$T$7:$T$14,0)),0)*$T$21)/30</f>
        <v>0</v>
      </c>
      <c r="AG107" s="10">
        <f>MAX($Z107-积分赛!$C$7,0)*(IFERROR(INDEX($W$7:$W$14,MATCH(AG$10,$T$7:$T$14,0)),0)*$T$20+IFERROR(INDEX($X$7:$X$14,MATCH(AG$10,$T$7:$T$14,0)),0)*$T$21)/30</f>
        <v>0</v>
      </c>
      <c r="AH107" s="10">
        <f>MAX($Z107-积分赛!$C$7,0)*(IFERROR(INDEX($W$7:$W$14,MATCH(AH$10,$T$7:$T$14,0)),0)*$T$20+IFERROR(INDEX($X$7:$X$14,MATCH(AH$10,$T$7:$T$14,0)),0)*$T$21)/30</f>
        <v>0</v>
      </c>
      <c r="AI107" s="10">
        <f>MAX($Z107-积分赛!$C$7,0)*(IFERROR(INDEX($W$7:$W$14,MATCH(AI$10,$T$7:$T$14,0)),0)*$T$20+IFERROR(INDEX($X$7:$X$14,MATCH(AI$10,$T$7:$T$14,0)),0)*$T$21)/30</f>
        <v>6822.833333333333</v>
      </c>
      <c r="AJ107" s="10">
        <f>MAX($Z107-积分赛!$C$7,0)*(IFERROR(INDEX($W$7:$W$14,MATCH(AJ$10,$T$7:$T$14,0)),0)*$T$20+IFERROR(INDEX($X$7:$X$14,MATCH(AJ$10,$T$7:$T$14,0)),0)*$T$21)/30</f>
        <v>40937</v>
      </c>
      <c r="AL107" s="10">
        <v>97</v>
      </c>
      <c r="AM107" s="10">
        <f>IFERROR(MAX(节奏总纲!D100-积分赛!$C$7,0)*INDEX($U$7:$U$14,MATCH(AA$10,$T$7:$T$14,0))/30,0)</f>
        <v>0</v>
      </c>
      <c r="AN107" s="10">
        <f>IFERROR(MAX(节奏总纲!E100-积分赛!$C$7,0)*INDEX($U$7:$U$14,MATCH(AB$10,$T$7:$T$14,0))/30,0)</f>
        <v>0</v>
      </c>
      <c r="AO107" s="10">
        <f>IFERROR(MAX(节奏总纲!F100-积分赛!$C$7,0)*INDEX($U$7:$U$14,MATCH(AC$10,$T$7:$T$14,0))/30,0)</f>
        <v>0</v>
      </c>
      <c r="AP107" s="10">
        <f>IFERROR(MAX(节奏总纲!G100-积分赛!$C$7,0)*INDEX($U$7:$U$14,MATCH(AD$10,$T$7:$T$14,0))/30,0)</f>
        <v>1012819.2685159236</v>
      </c>
      <c r="AQ107" s="10">
        <f>IFERROR(MAX(节奏总纲!H100-积分赛!$C$7,0)*INDEX($U$7:$U$14,MATCH(AE$10,$T$7:$T$14,0))/30,0)</f>
        <v>6443488.2266643075</v>
      </c>
      <c r="AR107" s="10">
        <f>MAX(节奏总纲!D100-积分赛!$C$7,0)*(IFERROR(INDEX($W$7:$W$14,MATCH(AF$10,$T$7:$T$14,0)),0)*$T$20+IFERROR(INDEX($X$7:$X$14,MATCH(AF$10,$T$7:$T$14,0)),0)*$T$21)/30</f>
        <v>0</v>
      </c>
      <c r="AS107" s="10">
        <f>MAX(节奏总纲!E100-积分赛!$C$7,0)*(IFERROR(INDEX($W$7:$W$14,MATCH(AG$10,$T$7:$T$14,0)),0)*$T$20+IFERROR(INDEX($X$7:$X$14,MATCH(AG$10,$T$7:$T$14,0)),0)*$T$21)/30</f>
        <v>0</v>
      </c>
      <c r="AT107" s="10">
        <f>MAX(节奏总纲!F100-积分赛!$C$7,0)*(IFERROR(INDEX($W$7:$W$14,MATCH(AH$10,$T$7:$T$14,0)),0)*$T$20+IFERROR(INDEX($X$7:$X$14,MATCH(AH$10,$T$7:$T$14,0)),0)*$T$21)/30</f>
        <v>0</v>
      </c>
      <c r="AU107" s="10">
        <f>MAX(节奏总纲!G100-积分赛!$C$7,0)*(IFERROR(INDEX($W$7:$W$14,MATCH(AI$10,$T$7:$T$14,0)),0)*$T$20+IFERROR(INDEX($X$7:$X$14,MATCH(AI$10,$T$7:$T$14,0)),0)*$T$21)/30</f>
        <v>38677.03581645184</v>
      </c>
      <c r="AV107" s="10">
        <f>MAX(节奏总纲!H100-积分赛!$C$7,0)*(IFERROR(INDEX($W$7:$W$14,MATCH(AJ$10,$T$7:$T$14,0)),0)*$T$20+IFERROR(INDEX($X$7:$X$14,MATCH(AJ$10,$T$7:$T$14,0)),0)*$T$21)/30</f>
        <v>118109.13919475676</v>
      </c>
      <c r="BI107" s="10">
        <v>97</v>
      </c>
      <c r="BJ107" s="10">
        <f>MAX($BI107-积分赛!$C$7,0)*$BC$10/30</f>
        <v>223333.33333333334</v>
      </c>
      <c r="BK107" s="10">
        <f>MAX($BI107-积分赛!$C$7,0)*$BC$10/30</f>
        <v>223333.33333333334</v>
      </c>
      <c r="BL107" s="10">
        <f>MAX($BI107-积分赛!$C$7,0)*$BC$10/30</f>
        <v>223333.33333333334</v>
      </c>
      <c r="BM107" s="10">
        <f>MAX($BI107-积分赛!$C$7,0)*$BC$10/30</f>
        <v>223333.33333333334</v>
      </c>
      <c r="BN107" s="10">
        <f>MAX($BI107-积分赛!$C$7,0)*$BC$10/30</f>
        <v>223333.33333333334</v>
      </c>
      <c r="BP107" s="10">
        <v>97</v>
      </c>
      <c r="BQ107" s="10">
        <f>MAX(节奏总纲!D100-积分赛!$C$7,0)*$BC$10/30</f>
        <v>2669154.8462292817</v>
      </c>
      <c r="BR107" s="10">
        <f>MAX(节奏总纲!E100-积分赛!$C$7,0)*$BC$10/30</f>
        <v>2259043.0135027249</v>
      </c>
      <c r="BS107" s="10">
        <f>MAX(节奏总纲!F100-积分赛!$C$7,0)*$BC$10/30</f>
        <v>1797701.8161209268</v>
      </c>
      <c r="BT107" s="10">
        <f>MAX(节奏总纲!G100-积分赛!$C$7,0)*$BC$10/30</f>
        <v>1266024.0856449045</v>
      </c>
      <c r="BU107" s="10">
        <f>MAX(节奏总纲!H100-积分赛!$C$7,0)*$BC$10/30</f>
        <v>644348.82266643073</v>
      </c>
    </row>
    <row r="108" spans="26:73" x14ac:dyDescent="0.15">
      <c r="Z108" s="10">
        <v>98</v>
      </c>
      <c r="AA108" s="10">
        <f>IFERROR(MAX($Z108-积分赛!$C$7,0)*INDEX($U$7:$U$14,MATCH(AA$10,$T$7:$T$14,0))/30,0)</f>
        <v>0</v>
      </c>
      <c r="AB108" s="10">
        <f>IFERROR(MAX($Z108-积分赛!$C$7,0)*INDEX($U$7:$U$14,MATCH(AB$10,$T$7:$T$14,0))/30,0)</f>
        <v>0</v>
      </c>
      <c r="AC108" s="10">
        <f>IFERROR(MAX($Z108-积分赛!$C$7,0)*INDEX($U$7:$U$14,MATCH(AC$10,$T$7:$T$14,0))/30,0)</f>
        <v>0</v>
      </c>
      <c r="AD108" s="10">
        <f>IFERROR(MAX($Z108-积分赛!$C$7,0)*INDEX($U$7:$U$14,MATCH(AD$10,$T$7:$T$14,0))/30,0)</f>
        <v>181333.33333333334</v>
      </c>
      <c r="AE108" s="10">
        <f>IFERROR(MAX($Z108-积分赛!$C$7,0)*INDEX($U$7:$U$14,MATCH(AE$10,$T$7:$T$14,0))/30,0)</f>
        <v>2266666.6666666665</v>
      </c>
      <c r="AF108" s="10">
        <f>MAX($Z108-积分赛!$C$7,0)*(IFERROR(INDEX($W$7:$W$14,MATCH(AF$10,$T$7:$T$14,0)),0)*$T$20+IFERROR(INDEX($X$7:$X$14,MATCH(AF$10,$T$7:$T$14,0)),0)*$T$21)/30</f>
        <v>0</v>
      </c>
      <c r="AG108" s="10">
        <f>MAX($Z108-积分赛!$C$7,0)*(IFERROR(INDEX($W$7:$W$14,MATCH(AG$10,$T$7:$T$14,0)),0)*$T$20+IFERROR(INDEX($X$7:$X$14,MATCH(AG$10,$T$7:$T$14,0)),0)*$T$21)/30</f>
        <v>0</v>
      </c>
      <c r="AH108" s="10">
        <f>MAX($Z108-积分赛!$C$7,0)*(IFERROR(INDEX($W$7:$W$14,MATCH(AH$10,$T$7:$T$14,0)),0)*$T$20+IFERROR(INDEX($X$7:$X$14,MATCH(AH$10,$T$7:$T$14,0)),0)*$T$21)/30</f>
        <v>0</v>
      </c>
      <c r="AI108" s="10">
        <f>MAX($Z108-积分赛!$C$7,0)*(IFERROR(INDEX($W$7:$W$14,MATCH(AI$10,$T$7:$T$14,0)),0)*$T$20+IFERROR(INDEX($X$7:$X$14,MATCH(AI$10,$T$7:$T$14,0)),0)*$T$21)/30</f>
        <v>6924.666666666667</v>
      </c>
      <c r="AJ108" s="10">
        <f>MAX($Z108-积分赛!$C$7,0)*(IFERROR(INDEX($W$7:$W$14,MATCH(AJ$10,$T$7:$T$14,0)),0)*$T$20+IFERROR(INDEX($X$7:$X$14,MATCH(AJ$10,$T$7:$T$14,0)),0)*$T$21)/30</f>
        <v>41548</v>
      </c>
      <c r="AL108" s="10">
        <v>98</v>
      </c>
      <c r="AM108" s="10">
        <f>IFERROR(MAX(节奏总纲!D101-积分赛!$C$7,0)*INDEX($U$7:$U$14,MATCH(AA$10,$T$7:$T$14,0))/30,0)</f>
        <v>0</v>
      </c>
      <c r="AN108" s="10">
        <f>IFERROR(MAX(节奏总纲!E101-积分赛!$C$7,0)*INDEX($U$7:$U$14,MATCH(AB$10,$T$7:$T$14,0))/30,0)</f>
        <v>0</v>
      </c>
      <c r="AO108" s="10">
        <f>IFERROR(MAX(节奏总纲!F101-积分赛!$C$7,0)*INDEX($U$7:$U$14,MATCH(AC$10,$T$7:$T$14,0))/30,0)</f>
        <v>0</v>
      </c>
      <c r="AP108" s="10">
        <f>IFERROR(MAX(节奏总纲!G101-积分赛!$C$7,0)*INDEX($U$7:$U$14,MATCH(AD$10,$T$7:$T$14,0))/30,0)</f>
        <v>1098472.6571557312</v>
      </c>
      <c r="AQ108" s="10">
        <f>IFERROR(MAX(节奏总纲!H101-积分赛!$C$7,0)*INDEX($U$7:$U$14,MATCH(AE$10,$T$7:$T$14,0))/30,0)</f>
        <v>7025866.5750279482</v>
      </c>
      <c r="AR108" s="10">
        <f>MAX(节奏总纲!D101-积分赛!$C$7,0)*(IFERROR(INDEX($W$7:$W$14,MATCH(AF$10,$T$7:$T$14,0)),0)*$T$20+IFERROR(INDEX($X$7:$X$14,MATCH(AF$10,$T$7:$T$14,0)),0)*$T$21)/30</f>
        <v>0</v>
      </c>
      <c r="AS108" s="10">
        <f>MAX(节奏总纲!E101-积分赛!$C$7,0)*(IFERROR(INDEX($W$7:$W$14,MATCH(AG$10,$T$7:$T$14,0)),0)*$T$20+IFERROR(INDEX($X$7:$X$14,MATCH(AG$10,$T$7:$T$14,0)),0)*$T$21)/30</f>
        <v>0</v>
      </c>
      <c r="AT108" s="10">
        <f>MAX(节奏总纲!F101-积分赛!$C$7,0)*(IFERROR(INDEX($W$7:$W$14,MATCH(AH$10,$T$7:$T$14,0)),0)*$T$20+IFERROR(INDEX($X$7:$X$14,MATCH(AH$10,$T$7:$T$14,0)),0)*$T$21)/30</f>
        <v>0</v>
      </c>
      <c r="AU108" s="10">
        <f>MAX(节奏总纲!G101-积分赛!$C$7,0)*(IFERROR(INDEX($W$7:$W$14,MATCH(AI$10,$T$7:$T$14,0)),0)*$T$20+IFERROR(INDEX($X$7:$X$14,MATCH(AI$10,$T$7:$T$14,0)),0)*$T$21)/30</f>
        <v>41947.924595134486</v>
      </c>
      <c r="AV108" s="10">
        <f>MAX(节奏总纲!H101-积分赛!$C$7,0)*(IFERROR(INDEX($W$7:$W$14,MATCH(AJ$10,$T$7:$T$14,0)),0)*$T$20+IFERROR(INDEX($X$7:$X$14,MATCH(AJ$10,$T$7:$T$14,0)),0)*$T$21)/30</f>
        <v>128784.1343202623</v>
      </c>
      <c r="BI108" s="10">
        <v>98</v>
      </c>
      <c r="BJ108" s="10">
        <f>MAX($BI108-积分赛!$C$7,0)*$BC$10/30</f>
        <v>226666.66666666666</v>
      </c>
      <c r="BK108" s="10">
        <f>MAX($BI108-积分赛!$C$7,0)*$BC$10/30</f>
        <v>226666.66666666666</v>
      </c>
      <c r="BL108" s="10">
        <f>MAX($BI108-积分赛!$C$7,0)*$BC$10/30</f>
        <v>226666.66666666666</v>
      </c>
      <c r="BM108" s="10">
        <f>MAX($BI108-积分赛!$C$7,0)*$BC$10/30</f>
        <v>226666.66666666666</v>
      </c>
      <c r="BN108" s="10">
        <f>MAX($BI108-积分赛!$C$7,0)*$BC$10/30</f>
        <v>226666.66666666666</v>
      </c>
      <c r="BP108" s="10">
        <v>98</v>
      </c>
      <c r="BQ108" s="10">
        <f>MAX(节奏总纲!D101-积分赛!$C$7,0)*$BC$10/30</f>
        <v>2868145.9227174371</v>
      </c>
      <c r="BR108" s="10">
        <f>MAX(节奏总纲!E101-积分赛!$C$7,0)*$BC$10/30</f>
        <v>2434499.8034084197</v>
      </c>
      <c r="BS108" s="10">
        <f>MAX(节奏总纲!F101-积分赛!$C$7,0)*$BC$10/30</f>
        <v>1943271.6531986839</v>
      </c>
      <c r="BT108" s="10">
        <f>MAX(节奏总纲!G101-积分赛!$C$7,0)*$BC$10/30</f>
        <v>1373090.8214446639</v>
      </c>
      <c r="BU108" s="10">
        <f>MAX(节奏总纲!H101-积分赛!$C$7,0)*$BC$10/30</f>
        <v>702586.65750279487</v>
      </c>
    </row>
    <row r="109" spans="26:73" x14ac:dyDescent="0.15">
      <c r="Z109" s="10">
        <v>99</v>
      </c>
      <c r="AA109" s="10">
        <f>IFERROR(MAX($Z109-积分赛!$C$7,0)*INDEX($U$7:$U$14,MATCH(AA$10,$T$7:$T$14,0))/30,0)</f>
        <v>0</v>
      </c>
      <c r="AB109" s="10">
        <f>IFERROR(MAX($Z109-积分赛!$C$7,0)*INDEX($U$7:$U$14,MATCH(AB$10,$T$7:$T$14,0))/30,0)</f>
        <v>0</v>
      </c>
      <c r="AC109" s="10">
        <f>IFERROR(MAX($Z109-积分赛!$C$7,0)*INDEX($U$7:$U$14,MATCH(AC$10,$T$7:$T$14,0))/30,0)</f>
        <v>0</v>
      </c>
      <c r="AD109" s="10">
        <f>IFERROR(MAX($Z109-积分赛!$C$7,0)*INDEX($U$7:$U$14,MATCH(AD$10,$T$7:$T$14,0))/30,0)</f>
        <v>184000</v>
      </c>
      <c r="AE109" s="10">
        <f>IFERROR(MAX($Z109-积分赛!$C$7,0)*INDEX($U$7:$U$14,MATCH(AE$10,$T$7:$T$14,0))/30,0)</f>
        <v>2300000</v>
      </c>
      <c r="AF109" s="10">
        <f>MAX($Z109-积分赛!$C$7,0)*(IFERROR(INDEX($W$7:$W$14,MATCH(AF$10,$T$7:$T$14,0)),0)*$T$20+IFERROR(INDEX($X$7:$X$14,MATCH(AF$10,$T$7:$T$14,0)),0)*$T$21)/30</f>
        <v>0</v>
      </c>
      <c r="AG109" s="10">
        <f>MAX($Z109-积分赛!$C$7,0)*(IFERROR(INDEX($W$7:$W$14,MATCH(AG$10,$T$7:$T$14,0)),0)*$T$20+IFERROR(INDEX($X$7:$X$14,MATCH(AG$10,$T$7:$T$14,0)),0)*$T$21)/30</f>
        <v>0</v>
      </c>
      <c r="AH109" s="10">
        <f>MAX($Z109-积分赛!$C$7,0)*(IFERROR(INDEX($W$7:$W$14,MATCH(AH$10,$T$7:$T$14,0)),0)*$T$20+IFERROR(INDEX($X$7:$X$14,MATCH(AH$10,$T$7:$T$14,0)),0)*$T$21)/30</f>
        <v>0</v>
      </c>
      <c r="AI109" s="10">
        <f>MAX($Z109-积分赛!$C$7,0)*(IFERROR(INDEX($W$7:$W$14,MATCH(AI$10,$T$7:$T$14,0)),0)*$T$20+IFERROR(INDEX($X$7:$X$14,MATCH(AI$10,$T$7:$T$14,0)),0)*$T$21)/30</f>
        <v>7026.5</v>
      </c>
      <c r="AJ109" s="10">
        <f>MAX($Z109-积分赛!$C$7,0)*(IFERROR(INDEX($W$7:$W$14,MATCH(AJ$10,$T$7:$T$14,0)),0)*$T$20+IFERROR(INDEX($X$7:$X$14,MATCH(AJ$10,$T$7:$T$14,0)),0)*$T$21)/30</f>
        <v>42159</v>
      </c>
      <c r="AL109" s="10">
        <v>99</v>
      </c>
      <c r="AM109" s="10">
        <f>IFERROR(MAX(节奏总纲!D102-积分赛!$C$7,0)*INDEX($U$7:$U$14,MATCH(AA$10,$T$7:$T$14,0))/30,0)</f>
        <v>0</v>
      </c>
      <c r="AN109" s="10">
        <f>IFERROR(MAX(节奏总纲!E102-积分赛!$C$7,0)*INDEX($U$7:$U$14,MATCH(AB$10,$T$7:$T$14,0))/30,0)</f>
        <v>0</v>
      </c>
      <c r="AO109" s="10">
        <f>IFERROR(MAX(节奏总纲!F102-积分赛!$C$7,0)*INDEX($U$7:$U$14,MATCH(AC$10,$T$7:$T$14,0))/30,0)</f>
        <v>0</v>
      </c>
      <c r="AP109" s="10">
        <f>IFERROR(MAX(节奏总纲!G102-积分赛!$C$7,0)*INDEX($U$7:$U$14,MATCH(AD$10,$T$7:$T$14,0))/30,0)</f>
        <v>1187731.9538093635</v>
      </c>
      <c r="AQ109" s="10">
        <f>IFERROR(MAX(节奏总纲!H102-积分赛!$C$7,0)*INDEX($U$7:$U$14,MATCH(AE$10,$T$7:$T$14,0))/30,0)</f>
        <v>7586650.6307254368</v>
      </c>
      <c r="AR109" s="10">
        <f>MAX(节奏总纲!D102-积分赛!$C$7,0)*(IFERROR(INDEX($W$7:$W$14,MATCH(AF$10,$T$7:$T$14,0)),0)*$T$20+IFERROR(INDEX($X$7:$X$14,MATCH(AF$10,$T$7:$T$14,0)),0)*$T$21)/30</f>
        <v>0</v>
      </c>
      <c r="AS109" s="10">
        <f>MAX(节奏总纲!E102-积分赛!$C$7,0)*(IFERROR(INDEX($W$7:$W$14,MATCH(AG$10,$T$7:$T$14,0)),0)*$T$20+IFERROR(INDEX($X$7:$X$14,MATCH(AG$10,$T$7:$T$14,0)),0)*$T$21)/30</f>
        <v>0</v>
      </c>
      <c r="AT109" s="10">
        <f>MAX(节奏总纲!F102-积分赛!$C$7,0)*(IFERROR(INDEX($W$7:$W$14,MATCH(AH$10,$T$7:$T$14,0)),0)*$T$20+IFERROR(INDEX($X$7:$X$14,MATCH(AH$10,$T$7:$T$14,0)),0)*$T$21)/30</f>
        <v>0</v>
      </c>
      <c r="AU109" s="10">
        <f>MAX(节奏总纲!G102-积分赛!$C$7,0)*(IFERROR(INDEX($W$7:$W$14,MATCH(AI$10,$T$7:$T$14,0)),0)*$T$20+IFERROR(INDEX($X$7:$X$14,MATCH(AI$10,$T$7:$T$14,0)),0)*$T$21)/30</f>
        <v>45356.51398609508</v>
      </c>
      <c r="AV109" s="10">
        <f>MAX(节奏总纲!H102-积分赛!$C$7,0)*(IFERROR(INDEX($W$7:$W$14,MATCH(AJ$10,$T$7:$T$14,0)),0)*$T$20+IFERROR(INDEX($X$7:$X$14,MATCH(AJ$10,$T$7:$T$14,0)),0)*$T$21)/30</f>
        <v>139063.30606119725</v>
      </c>
      <c r="BI109" s="10">
        <v>99</v>
      </c>
      <c r="BJ109" s="10">
        <f>MAX($BI109-积分赛!$C$7,0)*$BC$10/30</f>
        <v>230000</v>
      </c>
      <c r="BK109" s="10">
        <f>MAX($BI109-积分赛!$C$7,0)*$BC$10/30</f>
        <v>230000</v>
      </c>
      <c r="BL109" s="10">
        <f>MAX($BI109-积分赛!$C$7,0)*$BC$10/30</f>
        <v>230000</v>
      </c>
      <c r="BM109" s="10">
        <f>MAX($BI109-积分赛!$C$7,0)*$BC$10/30</f>
        <v>230000</v>
      </c>
      <c r="BN109" s="10">
        <f>MAX($BI109-积分赛!$C$7,0)*$BC$10/30</f>
        <v>230000</v>
      </c>
      <c r="BP109" s="10">
        <v>99</v>
      </c>
      <c r="BQ109" s="10">
        <f>MAX(节奏总纲!D102-积分赛!$C$7,0)*$BC$10/30</f>
        <v>3081419.2777789691</v>
      </c>
      <c r="BR109" s="10">
        <f>MAX(节奏总纲!E102-积分赛!$C$7,0)*$BC$10/30</f>
        <v>2621704.1921399082</v>
      </c>
      <c r="BS109" s="10">
        <f>MAX(节奏总纲!F102-积分赛!$C$7,0)*$BC$10/30</f>
        <v>2095497.4435952671</v>
      </c>
      <c r="BT109" s="10">
        <f>MAX(节奏总纲!G102-积分赛!$C$7,0)*$BC$10/30</f>
        <v>1484664.9422617045</v>
      </c>
      <c r="BU109" s="10">
        <f>MAX(节奏总纲!H102-积分赛!$C$7,0)*$BC$10/30</f>
        <v>758665.06307254359</v>
      </c>
    </row>
    <row r="110" spans="26:73" x14ac:dyDescent="0.15">
      <c r="Z110" s="10">
        <v>100</v>
      </c>
      <c r="AA110" s="10">
        <f>IFERROR(MAX($Z110-积分赛!$C$7,0)*INDEX($U$7:$U$14,MATCH(AA$10,$T$7:$T$14,0))/30,0)</f>
        <v>0</v>
      </c>
      <c r="AB110" s="10">
        <f>IFERROR(MAX($Z110-积分赛!$C$7,0)*INDEX($U$7:$U$14,MATCH(AB$10,$T$7:$T$14,0))/30,0)</f>
        <v>0</v>
      </c>
      <c r="AC110" s="10">
        <f>IFERROR(MAX($Z110-积分赛!$C$7,0)*INDEX($U$7:$U$14,MATCH(AC$10,$T$7:$T$14,0))/30,0)</f>
        <v>0</v>
      </c>
      <c r="AD110" s="10">
        <f>IFERROR(MAX($Z110-积分赛!$C$7,0)*INDEX($U$7:$U$14,MATCH(AD$10,$T$7:$T$14,0))/30,0)</f>
        <v>186666.66666666666</v>
      </c>
      <c r="AE110" s="10">
        <f>IFERROR(MAX($Z110-积分赛!$C$7,0)*INDEX($U$7:$U$14,MATCH(AE$10,$T$7:$T$14,0))/30,0)</f>
        <v>2333333.3333333335</v>
      </c>
      <c r="AF110" s="10">
        <f>MAX($Z110-积分赛!$C$7,0)*(IFERROR(INDEX($W$7:$W$14,MATCH(AF$10,$T$7:$T$14,0)),0)*$T$20+IFERROR(INDEX($X$7:$X$14,MATCH(AF$10,$T$7:$T$14,0)),0)*$T$21)/30</f>
        <v>0</v>
      </c>
      <c r="AG110" s="10">
        <f>MAX($Z110-积分赛!$C$7,0)*(IFERROR(INDEX($W$7:$W$14,MATCH(AG$10,$T$7:$T$14,0)),0)*$T$20+IFERROR(INDEX($X$7:$X$14,MATCH(AG$10,$T$7:$T$14,0)),0)*$T$21)/30</f>
        <v>0</v>
      </c>
      <c r="AH110" s="10">
        <f>MAX($Z110-积分赛!$C$7,0)*(IFERROR(INDEX($W$7:$W$14,MATCH(AH$10,$T$7:$T$14,0)),0)*$T$20+IFERROR(INDEX($X$7:$X$14,MATCH(AH$10,$T$7:$T$14,0)),0)*$T$21)/30</f>
        <v>0</v>
      </c>
      <c r="AI110" s="10">
        <f>MAX($Z110-积分赛!$C$7,0)*(IFERROR(INDEX($W$7:$W$14,MATCH(AI$10,$T$7:$T$14,0)),0)*$T$20+IFERROR(INDEX($X$7:$X$14,MATCH(AI$10,$T$7:$T$14,0)),0)*$T$21)/30</f>
        <v>7128.333333333333</v>
      </c>
      <c r="AJ110" s="10">
        <f>MAX($Z110-积分赛!$C$7,0)*(IFERROR(INDEX($W$7:$W$14,MATCH(AJ$10,$T$7:$T$14,0)),0)*$T$20+IFERROR(INDEX($X$7:$X$14,MATCH(AJ$10,$T$7:$T$14,0)),0)*$T$21)/30</f>
        <v>42770</v>
      </c>
      <c r="AL110" s="10">
        <v>100</v>
      </c>
      <c r="AM110" s="10">
        <f>IFERROR(MAX(节奏总纲!D103-积分赛!$C$7,0)*INDEX($U$7:$U$14,MATCH(AA$10,$T$7:$T$14,0))/30,0)</f>
        <v>0</v>
      </c>
      <c r="AN110" s="10">
        <f>IFERROR(MAX(节奏总纲!E103-积分赛!$C$7,0)*INDEX($U$7:$U$14,MATCH(AB$10,$T$7:$T$14,0))/30,0)</f>
        <v>0</v>
      </c>
      <c r="AO110" s="10">
        <f>IFERROR(MAX(节奏总纲!F103-积分赛!$C$7,0)*INDEX($U$7:$U$14,MATCH(AC$10,$T$7:$T$14,0))/30,0)</f>
        <v>0</v>
      </c>
      <c r="AP110" s="10">
        <f>IFERROR(MAX(节奏总纲!G103-积分赛!$C$7,0)*INDEX($U$7:$U$14,MATCH(AD$10,$T$7:$T$14,0))/30,0)</f>
        <v>1275270.3999999999</v>
      </c>
      <c r="AQ110" s="10">
        <f>IFERROR(MAX(节奏总纲!H103-积分赛!$C$7,0)*INDEX($U$7:$U$14,MATCH(AE$10,$T$7:$T$14,0))/30,0)</f>
        <v>8159260</v>
      </c>
      <c r="AR110" s="10">
        <f>MAX(节奏总纲!D103-积分赛!$C$7,0)*(IFERROR(INDEX($W$7:$W$14,MATCH(AF$10,$T$7:$T$14,0)),0)*$T$20+IFERROR(INDEX($X$7:$X$14,MATCH(AF$10,$T$7:$T$14,0)),0)*$T$21)/30</f>
        <v>0</v>
      </c>
      <c r="AS110" s="10">
        <f>MAX(节奏总纲!E103-积分赛!$C$7,0)*(IFERROR(INDEX($W$7:$W$14,MATCH(AG$10,$T$7:$T$14,0)),0)*$T$20+IFERROR(INDEX($X$7:$X$14,MATCH(AG$10,$T$7:$T$14,0)),0)*$T$21)/30</f>
        <v>0</v>
      </c>
      <c r="AT110" s="10">
        <f>MAX(节奏总纲!F103-积分赛!$C$7,0)*(IFERROR(INDEX($W$7:$W$14,MATCH(AH$10,$T$7:$T$14,0)),0)*$T$20+IFERROR(INDEX($X$7:$X$14,MATCH(AH$10,$T$7:$T$14,0)),0)*$T$21)/30</f>
        <v>0</v>
      </c>
      <c r="AU110" s="10">
        <f>MAX(节奏总纲!G103-积分赛!$C$7,0)*(IFERROR(INDEX($W$7:$W$14,MATCH(AI$10,$T$7:$T$14,0)),0)*$T$20+IFERROR(INDEX($X$7:$X$14,MATCH(AI$10,$T$7:$T$14,0)),0)*$T$21)/30</f>
        <v>48699.388400000003</v>
      </c>
      <c r="AV110" s="10">
        <f>MAX(节奏总纲!H103-积分赛!$C$7,0)*(IFERROR(INDEX($W$7:$W$14,MATCH(AJ$10,$T$7:$T$14,0)),0)*$T$20+IFERROR(INDEX($X$7:$X$14,MATCH(AJ$10,$T$7:$T$14,0)),0)*$T$21)/30</f>
        <v>149559.23579999999</v>
      </c>
      <c r="BI110" s="10">
        <v>100</v>
      </c>
      <c r="BJ110" s="10">
        <f>MAX($BI110-积分赛!$C$7,0)*$BC$10/30</f>
        <v>233333.33333333334</v>
      </c>
      <c r="BK110" s="10">
        <f>MAX($BI110-积分赛!$C$7,0)*$BC$10/30</f>
        <v>233333.33333333334</v>
      </c>
      <c r="BL110" s="10">
        <f>MAX($BI110-积分赛!$C$7,0)*$BC$10/30</f>
        <v>233333.33333333334</v>
      </c>
      <c r="BM110" s="10">
        <f>MAX($BI110-积分赛!$C$7,0)*$BC$10/30</f>
        <v>233333.33333333334</v>
      </c>
      <c r="BN110" s="10">
        <f>MAX($BI110-积分赛!$C$7,0)*$BC$10/30</f>
        <v>233333.33333333334</v>
      </c>
      <c r="BP110" s="10">
        <v>100</v>
      </c>
      <c r="BQ110" s="10">
        <f>MAX(节奏总纲!D103-积分赛!$C$7,0)*$BC$10/30</f>
        <v>3310000</v>
      </c>
      <c r="BR110" s="10">
        <f>MAX(节奏总纲!E103-积分赛!$C$7,0)*$BC$10/30</f>
        <v>2817937</v>
      </c>
      <c r="BS110" s="10">
        <f>MAX(节奏总纲!F103-积分赛!$C$7,0)*$BC$10/30</f>
        <v>2255628</v>
      </c>
      <c r="BT110" s="10">
        <f>MAX(节奏总纲!G103-积分赛!$C$7,0)*$BC$10/30</f>
        <v>1594088</v>
      </c>
      <c r="BU110" s="10">
        <f>MAX(节奏总纲!H103-积分赛!$C$7,0)*$BC$10/30</f>
        <v>815926</v>
      </c>
    </row>
    <row r="111" spans="26:73" x14ac:dyDescent="0.15">
      <c r="Z111" s="10">
        <v>101</v>
      </c>
      <c r="AA111" s="10">
        <f>IFERROR(MAX($Z111-积分赛!$C$7,0)*INDEX($U$7:$U$14,MATCH(AA$10,$T$7:$T$14,0))/30,0)</f>
        <v>0</v>
      </c>
      <c r="AB111" s="10">
        <f>IFERROR(MAX($Z111-积分赛!$C$7,0)*INDEX($U$7:$U$14,MATCH(AB$10,$T$7:$T$14,0))/30,0)</f>
        <v>0</v>
      </c>
      <c r="AC111" s="10">
        <f>IFERROR(MAX($Z111-积分赛!$C$7,0)*INDEX($U$7:$U$14,MATCH(AC$10,$T$7:$T$14,0))/30,0)</f>
        <v>0</v>
      </c>
      <c r="AD111" s="10">
        <f>IFERROR(MAX($Z111-积分赛!$C$7,0)*INDEX($U$7:$U$14,MATCH(AD$10,$T$7:$T$14,0))/30,0)</f>
        <v>189333.33333333334</v>
      </c>
      <c r="AE111" s="10">
        <f>IFERROR(MAX($Z111-积分赛!$C$7,0)*INDEX($U$7:$U$14,MATCH(AE$10,$T$7:$T$14,0))/30,0)</f>
        <v>2366666.6666666665</v>
      </c>
      <c r="AF111" s="10">
        <f>MAX($Z111-积分赛!$C$7,0)*(IFERROR(INDEX($W$7:$W$14,MATCH(AF$10,$T$7:$T$14,0)),0)*$T$20+IFERROR(INDEX($X$7:$X$14,MATCH(AF$10,$T$7:$T$14,0)),0)*$T$21)/30</f>
        <v>0</v>
      </c>
      <c r="AG111" s="10">
        <f>MAX($Z111-积分赛!$C$7,0)*(IFERROR(INDEX($W$7:$W$14,MATCH(AG$10,$T$7:$T$14,0)),0)*$T$20+IFERROR(INDEX($X$7:$X$14,MATCH(AG$10,$T$7:$T$14,0)),0)*$T$21)/30</f>
        <v>0</v>
      </c>
      <c r="AH111" s="10">
        <f>MAX($Z111-积分赛!$C$7,0)*(IFERROR(INDEX($W$7:$W$14,MATCH(AH$10,$T$7:$T$14,0)),0)*$T$20+IFERROR(INDEX($X$7:$X$14,MATCH(AH$10,$T$7:$T$14,0)),0)*$T$21)/30</f>
        <v>0</v>
      </c>
      <c r="AI111" s="10">
        <f>MAX($Z111-积分赛!$C$7,0)*(IFERROR(INDEX($W$7:$W$14,MATCH(AI$10,$T$7:$T$14,0)),0)*$T$20+IFERROR(INDEX($X$7:$X$14,MATCH(AI$10,$T$7:$T$14,0)),0)*$T$21)/30</f>
        <v>7230.166666666667</v>
      </c>
      <c r="AJ111" s="10">
        <f>MAX($Z111-积分赛!$C$7,0)*(IFERROR(INDEX($W$7:$W$14,MATCH(AJ$10,$T$7:$T$14,0)),0)*$T$20+IFERROR(INDEX($X$7:$X$14,MATCH(AJ$10,$T$7:$T$14,0)),0)*$T$21)/30</f>
        <v>43381</v>
      </c>
      <c r="AL111" s="10">
        <v>101</v>
      </c>
      <c r="AM111" s="10">
        <f>IFERROR(MAX(节奏总纲!D104-积分赛!$C$7,0)*INDEX($U$7:$U$14,MATCH(AA$10,$T$7:$T$14,0))/30,0)</f>
        <v>0</v>
      </c>
      <c r="AN111" s="10">
        <f>IFERROR(MAX(节奏总纲!E104-积分赛!$C$7,0)*INDEX($U$7:$U$14,MATCH(AB$10,$T$7:$T$14,0))/30,0)</f>
        <v>0</v>
      </c>
      <c r="AO111" s="10">
        <f>IFERROR(MAX(节奏总纲!F104-积分赛!$C$7,0)*INDEX($U$7:$U$14,MATCH(AC$10,$T$7:$T$14,0))/30,0)</f>
        <v>0</v>
      </c>
      <c r="AP111" s="10">
        <f>IFERROR(MAX(节奏总纲!G104-积分赛!$C$7,0)*INDEX($U$7:$U$14,MATCH(AD$10,$T$7:$T$14,0))/30,0)</f>
        <v>1365327.9612598664</v>
      </c>
      <c r="AQ111" s="10">
        <f>IFERROR(MAX(节奏总纲!H104-积分赛!$C$7,0)*INDEX($U$7:$U$14,MATCH(AE$10,$T$7:$T$14,0))/30,0)</f>
        <v>8780744.5486834962</v>
      </c>
      <c r="AR111" s="10">
        <f>MAX(节奏总纲!D104-积分赛!$C$7,0)*(IFERROR(INDEX($W$7:$W$14,MATCH(AF$10,$T$7:$T$14,0)),0)*$T$20+IFERROR(INDEX($X$7:$X$14,MATCH(AF$10,$T$7:$T$14,0)),0)*$T$21)/30</f>
        <v>0</v>
      </c>
      <c r="AS111" s="10">
        <f>MAX(节奏总纲!E104-积分赛!$C$7,0)*(IFERROR(INDEX($W$7:$W$14,MATCH(AG$10,$T$7:$T$14,0)),0)*$T$20+IFERROR(INDEX($X$7:$X$14,MATCH(AG$10,$T$7:$T$14,0)),0)*$T$21)/30</f>
        <v>0</v>
      </c>
      <c r="AT111" s="10">
        <f>MAX(节奏总纲!F104-积分赛!$C$7,0)*(IFERROR(INDEX($W$7:$W$14,MATCH(AH$10,$T$7:$T$14,0)),0)*$T$20+IFERROR(INDEX($X$7:$X$14,MATCH(AH$10,$T$7:$T$14,0)),0)*$T$21)/30</f>
        <v>0</v>
      </c>
      <c r="AU111" s="10">
        <f>MAX(节奏总纲!G104-积分赛!$C$7,0)*(IFERROR(INDEX($W$7:$W$14,MATCH(AI$10,$T$7:$T$14,0)),0)*$T$20+IFERROR(INDEX($X$7:$X$14,MATCH(AI$10,$T$7:$T$14,0)),0)*$T$21)/30</f>
        <v>52138.461520611148</v>
      </c>
      <c r="AV111" s="10">
        <f>MAX(节奏总纲!H104-积分赛!$C$7,0)*(IFERROR(INDEX($W$7:$W$14,MATCH(AJ$10,$T$7:$T$14,0)),0)*$T$20+IFERROR(INDEX($X$7:$X$14,MATCH(AJ$10,$T$7:$T$14,0)),0)*$T$21)/30</f>
        <v>160951.04757736847</v>
      </c>
      <c r="BI111" s="10">
        <v>101</v>
      </c>
      <c r="BJ111" s="10">
        <f>MAX($BI111-积分赛!$C$7,0)*$BC$10/30</f>
        <v>236666.66666666666</v>
      </c>
      <c r="BK111" s="10">
        <f>MAX($BI111-积分赛!$C$7,0)*$BC$10/30</f>
        <v>236666.66666666666</v>
      </c>
      <c r="BL111" s="10">
        <f>MAX($BI111-积分赛!$C$7,0)*$BC$10/30</f>
        <v>236666.66666666666</v>
      </c>
      <c r="BM111" s="10">
        <f>MAX($BI111-积分赛!$C$7,0)*$BC$10/30</f>
        <v>236666.66666666666</v>
      </c>
      <c r="BN111" s="10">
        <f>MAX($BI111-积分赛!$C$7,0)*$BC$10/30</f>
        <v>236666.66666666666</v>
      </c>
      <c r="BP111" s="10">
        <v>101</v>
      </c>
      <c r="BQ111" s="10">
        <f>MAX(节奏总纲!D104-积分赛!$C$7,0)*$BC$10/30</f>
        <v>3554986.7521238774</v>
      </c>
      <c r="BR111" s="10">
        <f>MAX(节奏总纲!E104-积分赛!$C$7,0)*$BC$10/30</f>
        <v>3030496.1531941011</v>
      </c>
      <c r="BS111" s="10">
        <f>MAX(节奏总纲!F104-积分赛!$C$7,0)*$BC$10/30</f>
        <v>2420844.3629398388</v>
      </c>
      <c r="BT111" s="10">
        <f>MAX(节奏总纲!G104-积分赛!$C$7,0)*$BC$10/30</f>
        <v>1706659.9515748327</v>
      </c>
      <c r="BU111" s="10">
        <f>MAX(节奏总纲!H104-积分赛!$C$7,0)*$BC$10/30</f>
        <v>878074.4548683496</v>
      </c>
    </row>
    <row r="112" spans="26:73" x14ac:dyDescent="0.15">
      <c r="Z112" s="10">
        <v>102</v>
      </c>
      <c r="AA112" s="10">
        <f>IFERROR(MAX($Z112-积分赛!$C$7,0)*INDEX($U$7:$U$14,MATCH(AA$10,$T$7:$T$14,0))/30,0)</f>
        <v>0</v>
      </c>
      <c r="AB112" s="10">
        <f>IFERROR(MAX($Z112-积分赛!$C$7,0)*INDEX($U$7:$U$14,MATCH(AB$10,$T$7:$T$14,0))/30,0)</f>
        <v>0</v>
      </c>
      <c r="AC112" s="10">
        <f>IFERROR(MAX($Z112-积分赛!$C$7,0)*INDEX($U$7:$U$14,MATCH(AC$10,$T$7:$T$14,0))/30,0)</f>
        <v>0</v>
      </c>
      <c r="AD112" s="10">
        <f>IFERROR(MAX($Z112-积分赛!$C$7,0)*INDEX($U$7:$U$14,MATCH(AD$10,$T$7:$T$14,0))/30,0)</f>
        <v>192000</v>
      </c>
      <c r="AE112" s="10">
        <f>IFERROR(MAX($Z112-积分赛!$C$7,0)*INDEX($U$7:$U$14,MATCH(AE$10,$T$7:$T$14,0))/30,0)</f>
        <v>2400000</v>
      </c>
      <c r="AF112" s="10">
        <f>MAX($Z112-积分赛!$C$7,0)*(IFERROR(INDEX($W$7:$W$14,MATCH(AF$10,$T$7:$T$14,0)),0)*$T$20+IFERROR(INDEX($X$7:$X$14,MATCH(AF$10,$T$7:$T$14,0)),0)*$T$21)/30</f>
        <v>0</v>
      </c>
      <c r="AG112" s="10">
        <f>MAX($Z112-积分赛!$C$7,0)*(IFERROR(INDEX($W$7:$W$14,MATCH(AG$10,$T$7:$T$14,0)),0)*$T$20+IFERROR(INDEX($X$7:$X$14,MATCH(AG$10,$T$7:$T$14,0)),0)*$T$21)/30</f>
        <v>0</v>
      </c>
      <c r="AH112" s="10">
        <f>MAX($Z112-积分赛!$C$7,0)*(IFERROR(INDEX($W$7:$W$14,MATCH(AH$10,$T$7:$T$14,0)),0)*$T$20+IFERROR(INDEX($X$7:$X$14,MATCH(AH$10,$T$7:$T$14,0)),0)*$T$21)/30</f>
        <v>0</v>
      </c>
      <c r="AI112" s="10">
        <f>MAX($Z112-积分赛!$C$7,0)*(IFERROR(INDEX($W$7:$W$14,MATCH(AI$10,$T$7:$T$14,0)),0)*$T$20+IFERROR(INDEX($X$7:$X$14,MATCH(AI$10,$T$7:$T$14,0)),0)*$T$21)/30</f>
        <v>7332</v>
      </c>
      <c r="AJ112" s="10">
        <f>MAX($Z112-积分赛!$C$7,0)*(IFERROR(INDEX($W$7:$W$14,MATCH(AJ$10,$T$7:$T$14,0)),0)*$T$20+IFERROR(INDEX($X$7:$X$14,MATCH(AJ$10,$T$7:$T$14,0)),0)*$T$21)/30</f>
        <v>43992</v>
      </c>
      <c r="AL112" s="10">
        <v>102</v>
      </c>
      <c r="AM112" s="10">
        <f>IFERROR(MAX(节奏总纲!D105-积分赛!$C$7,0)*INDEX($U$7:$U$14,MATCH(AA$10,$T$7:$T$14,0))/30,0)</f>
        <v>0</v>
      </c>
      <c r="AN112" s="10">
        <f>IFERROR(MAX(节奏总纲!E105-积分赛!$C$7,0)*INDEX($U$7:$U$14,MATCH(AB$10,$T$7:$T$14,0))/30,0)</f>
        <v>0</v>
      </c>
      <c r="AO112" s="10">
        <f>IFERROR(MAX(节奏总纲!F105-积分赛!$C$7,0)*INDEX($U$7:$U$14,MATCH(AC$10,$T$7:$T$14,0))/30,0)</f>
        <v>0</v>
      </c>
      <c r="AP112" s="10">
        <f>IFERROR(MAX(节奏总纲!G105-积分赛!$C$7,0)*INDEX($U$7:$U$14,MATCH(AD$10,$T$7:$T$14,0))/30,0)</f>
        <v>1461323.6464299795</v>
      </c>
      <c r="AQ112" s="10">
        <f>IFERROR(MAX(节奏总纲!H105-积分赛!$C$7,0)*INDEX($U$7:$U$14,MATCH(AE$10,$T$7:$T$14,0))/30,0)</f>
        <v>9452042.2139975205</v>
      </c>
      <c r="AR112" s="10">
        <f>MAX(节奏总纲!D105-积分赛!$C$7,0)*(IFERROR(INDEX($W$7:$W$14,MATCH(AF$10,$T$7:$T$14,0)),0)*$T$20+IFERROR(INDEX($X$7:$X$14,MATCH(AF$10,$T$7:$T$14,0)),0)*$T$21)/30</f>
        <v>0</v>
      </c>
      <c r="AS112" s="10">
        <f>MAX(节奏总纲!E105-积分赛!$C$7,0)*(IFERROR(INDEX($W$7:$W$14,MATCH(AG$10,$T$7:$T$14,0)),0)*$T$20+IFERROR(INDEX($X$7:$X$14,MATCH(AG$10,$T$7:$T$14,0)),0)*$T$21)/30</f>
        <v>0</v>
      </c>
      <c r="AT112" s="10">
        <f>MAX(节奏总纲!F105-积分赛!$C$7,0)*(IFERROR(INDEX($W$7:$W$14,MATCH(AH$10,$T$7:$T$14,0)),0)*$T$20+IFERROR(INDEX($X$7:$X$14,MATCH(AH$10,$T$7:$T$14,0)),0)*$T$21)/30</f>
        <v>0</v>
      </c>
      <c r="AU112" s="10">
        <f>MAX(节奏总纲!G105-积分赛!$C$7,0)*(IFERROR(INDEX($W$7:$W$14,MATCH(AI$10,$T$7:$T$14,0)),0)*$T$20+IFERROR(INDEX($X$7:$X$14,MATCH(AI$10,$T$7:$T$14,0)),0)*$T$21)/30</f>
        <v>55804.29674804485</v>
      </c>
      <c r="AV112" s="10">
        <f>MAX(节奏总纲!H105-积分赛!$C$7,0)*(IFERROR(INDEX($W$7:$W$14,MATCH(AJ$10,$T$7:$T$14,0)),0)*$T$20+IFERROR(INDEX($X$7:$X$14,MATCH(AJ$10,$T$7:$T$14,0)),0)*$T$21)/30</f>
        <v>173255.93378257458</v>
      </c>
      <c r="BI112" s="10">
        <v>102</v>
      </c>
      <c r="BJ112" s="10">
        <f>MAX($BI112-积分赛!$C$7,0)*$BC$10/30</f>
        <v>240000</v>
      </c>
      <c r="BK112" s="10">
        <f>MAX($BI112-积分赛!$C$7,0)*$BC$10/30</f>
        <v>240000</v>
      </c>
      <c r="BL112" s="10">
        <f>MAX($BI112-积分赛!$C$7,0)*$BC$10/30</f>
        <v>240000</v>
      </c>
      <c r="BM112" s="10">
        <f>MAX($BI112-积分赛!$C$7,0)*$BC$10/30</f>
        <v>240000</v>
      </c>
      <c r="BN112" s="10">
        <f>MAX($BI112-积分赛!$C$7,0)*$BC$10/30</f>
        <v>240000</v>
      </c>
      <c r="BP112" s="10">
        <v>102</v>
      </c>
      <c r="BQ112" s="10">
        <f>MAX(节奏总纲!D105-积分赛!$C$7,0)*$BC$10/30</f>
        <v>3817557.0517232097</v>
      </c>
      <c r="BR112" s="10">
        <f>MAX(节奏总纲!E105-积分赛!$C$7,0)*$BC$10/30</f>
        <v>3247552.5006974828</v>
      </c>
      <c r="BS112" s="10">
        <f>MAX(节奏总纲!F105-积分赛!$C$7,0)*$BC$10/30</f>
        <v>2587444.1374821221</v>
      </c>
      <c r="BT112" s="10">
        <f>MAX(节奏总纲!G105-积分赛!$C$7,0)*$BC$10/30</f>
        <v>1826654.5580374745</v>
      </c>
      <c r="BU112" s="10">
        <f>MAX(节奏总纲!H105-积分赛!$C$7,0)*$BC$10/30</f>
        <v>945204.22139975207</v>
      </c>
    </row>
    <row r="113" spans="26:73" x14ac:dyDescent="0.15">
      <c r="Z113" s="10">
        <v>103</v>
      </c>
      <c r="AA113" s="10">
        <f>IFERROR(MAX($Z113-积分赛!$C$7,0)*INDEX($U$7:$U$14,MATCH(AA$10,$T$7:$T$14,0))/30,0)</f>
        <v>0</v>
      </c>
      <c r="AB113" s="10">
        <f>IFERROR(MAX($Z113-积分赛!$C$7,0)*INDEX($U$7:$U$14,MATCH(AB$10,$T$7:$T$14,0))/30,0)</f>
        <v>0</v>
      </c>
      <c r="AC113" s="10">
        <f>IFERROR(MAX($Z113-积分赛!$C$7,0)*INDEX($U$7:$U$14,MATCH(AC$10,$T$7:$T$14,0))/30,0)</f>
        <v>0</v>
      </c>
      <c r="AD113" s="10">
        <f>IFERROR(MAX($Z113-积分赛!$C$7,0)*INDEX($U$7:$U$14,MATCH(AD$10,$T$7:$T$14,0))/30,0)</f>
        <v>194666.66666666666</v>
      </c>
      <c r="AE113" s="10">
        <f>IFERROR(MAX($Z113-积分赛!$C$7,0)*INDEX($U$7:$U$14,MATCH(AE$10,$T$7:$T$14,0))/30,0)</f>
        <v>2433333.3333333335</v>
      </c>
      <c r="AF113" s="10">
        <f>MAX($Z113-积分赛!$C$7,0)*(IFERROR(INDEX($W$7:$W$14,MATCH(AF$10,$T$7:$T$14,0)),0)*$T$20+IFERROR(INDEX($X$7:$X$14,MATCH(AF$10,$T$7:$T$14,0)),0)*$T$21)/30</f>
        <v>0</v>
      </c>
      <c r="AG113" s="10">
        <f>MAX($Z113-积分赛!$C$7,0)*(IFERROR(INDEX($W$7:$W$14,MATCH(AG$10,$T$7:$T$14,0)),0)*$T$20+IFERROR(INDEX($X$7:$X$14,MATCH(AG$10,$T$7:$T$14,0)),0)*$T$21)/30</f>
        <v>0</v>
      </c>
      <c r="AH113" s="10">
        <f>MAX($Z113-积分赛!$C$7,0)*(IFERROR(INDEX($W$7:$W$14,MATCH(AH$10,$T$7:$T$14,0)),0)*$T$20+IFERROR(INDEX($X$7:$X$14,MATCH(AH$10,$T$7:$T$14,0)),0)*$T$21)/30</f>
        <v>0</v>
      </c>
      <c r="AI113" s="10">
        <f>MAX($Z113-积分赛!$C$7,0)*(IFERROR(INDEX($W$7:$W$14,MATCH(AI$10,$T$7:$T$14,0)),0)*$T$20+IFERROR(INDEX($X$7:$X$14,MATCH(AI$10,$T$7:$T$14,0)),0)*$T$21)/30</f>
        <v>7433.833333333333</v>
      </c>
      <c r="AJ113" s="10">
        <f>MAX($Z113-积分赛!$C$7,0)*(IFERROR(INDEX($W$7:$W$14,MATCH(AJ$10,$T$7:$T$14,0)),0)*$T$20+IFERROR(INDEX($X$7:$X$14,MATCH(AJ$10,$T$7:$T$14,0)),0)*$T$21)/30</f>
        <v>44603</v>
      </c>
      <c r="AL113" s="10">
        <v>103</v>
      </c>
      <c r="AM113" s="10">
        <f>IFERROR(MAX(节奏总纲!D106-积分赛!$C$7,0)*INDEX($U$7:$U$14,MATCH(AA$10,$T$7:$T$14,0))/30,0)</f>
        <v>0</v>
      </c>
      <c r="AN113" s="10">
        <f>IFERROR(MAX(节奏总纲!E106-积分赛!$C$7,0)*INDEX($U$7:$U$14,MATCH(AB$10,$T$7:$T$14,0))/30,0)</f>
        <v>0</v>
      </c>
      <c r="AO113" s="10">
        <f>IFERROR(MAX(节奏总纲!F106-积分赛!$C$7,0)*INDEX($U$7:$U$14,MATCH(AC$10,$T$7:$T$14,0))/30,0)</f>
        <v>0</v>
      </c>
      <c r="AP113" s="10">
        <f>IFERROR(MAX(节奏总纲!G106-积分赛!$C$7,0)*INDEX($U$7:$U$14,MATCH(AD$10,$T$7:$T$14,0))/30,0)</f>
        <v>1570700.2385891108</v>
      </c>
      <c r="AQ113" s="10">
        <f>IFERROR(MAX(节奏总纲!H106-积分赛!$C$7,0)*INDEX($U$7:$U$14,MATCH(AE$10,$T$7:$T$14,0))/30,0)</f>
        <v>10194461.833736693</v>
      </c>
      <c r="AR113" s="10">
        <f>MAX(节奏总纲!D106-积分赛!$C$7,0)*(IFERROR(INDEX($W$7:$W$14,MATCH(AF$10,$T$7:$T$14,0)),0)*$T$20+IFERROR(INDEX($X$7:$X$14,MATCH(AF$10,$T$7:$T$14,0)),0)*$T$21)/30</f>
        <v>0</v>
      </c>
      <c r="AS113" s="10">
        <f>MAX(节奏总纲!E106-积分赛!$C$7,0)*(IFERROR(INDEX($W$7:$W$14,MATCH(AG$10,$T$7:$T$14,0)),0)*$T$20+IFERROR(INDEX($X$7:$X$14,MATCH(AG$10,$T$7:$T$14,0)),0)*$T$21)/30</f>
        <v>0</v>
      </c>
      <c r="AT113" s="10">
        <f>MAX(节奏总纲!F106-积分赛!$C$7,0)*(IFERROR(INDEX($W$7:$W$14,MATCH(AH$10,$T$7:$T$14,0)),0)*$T$20+IFERROR(INDEX($X$7:$X$14,MATCH(AH$10,$T$7:$T$14,0)),0)*$T$21)/30</f>
        <v>0</v>
      </c>
      <c r="AU113" s="10">
        <f>MAX(节奏总纲!G106-积分赛!$C$7,0)*(IFERROR(INDEX($W$7:$W$14,MATCH(AI$10,$T$7:$T$14,0)),0)*$T$20+IFERROR(INDEX($X$7:$X$14,MATCH(AI$10,$T$7:$T$14,0)),0)*$T$21)/30</f>
        <v>59981.115361121665</v>
      </c>
      <c r="AV113" s="10">
        <f>MAX(节奏总纲!H106-积分赛!$C$7,0)*(IFERROR(INDEX($W$7:$W$14,MATCH(AJ$10,$T$7:$T$14,0)),0)*$T$20+IFERROR(INDEX($X$7:$X$14,MATCH(AJ$10,$T$7:$T$14,0)),0)*$T$21)/30</f>
        <v>186864.48541239358</v>
      </c>
      <c r="BI113" s="10">
        <v>103</v>
      </c>
      <c r="BJ113" s="10">
        <f>MAX($BI113-积分赛!$C$7,0)*$BC$10/30</f>
        <v>243333.33333333334</v>
      </c>
      <c r="BK113" s="10">
        <f>MAX($BI113-积分赛!$C$7,0)*$BC$10/30</f>
        <v>243333.33333333334</v>
      </c>
      <c r="BL113" s="10">
        <f>MAX($BI113-积分赛!$C$7,0)*$BC$10/30</f>
        <v>243333.33333333334</v>
      </c>
      <c r="BM113" s="10">
        <f>MAX($BI113-积分赛!$C$7,0)*$BC$10/30</f>
        <v>243333.33333333334</v>
      </c>
      <c r="BN113" s="10">
        <f>MAX($BI113-积分赛!$C$7,0)*$BC$10/30</f>
        <v>243333.33333333334</v>
      </c>
      <c r="BP113" s="10">
        <v>103</v>
      </c>
      <c r="BQ113" s="10">
        <f>MAX(节奏总纲!D106-积分赛!$C$7,0)*$BC$10/30</f>
        <v>4098972.9308839808</v>
      </c>
      <c r="BR113" s="10">
        <f>MAX(节奏总纲!E106-积分赛!$C$7,0)*$BC$10/30</f>
        <v>3477944.8344062404</v>
      </c>
      <c r="BS113" s="10">
        <f>MAX(节奏总纲!F106-积分赛!$C$7,0)*$BC$10/30</f>
        <v>2771677.5874315547</v>
      </c>
      <c r="BT113" s="10">
        <f>MAX(节奏总纲!G106-积分赛!$C$7,0)*$BC$10/30</f>
        <v>1963375.2982363885</v>
      </c>
      <c r="BU113" s="10">
        <f>MAX(节奏总纲!H106-积分赛!$C$7,0)*$BC$10/30</f>
        <v>1019446.1833736693</v>
      </c>
    </row>
    <row r="114" spans="26:73" x14ac:dyDescent="0.15">
      <c r="Z114" s="10">
        <v>104</v>
      </c>
      <c r="AA114" s="10">
        <f>IFERROR(MAX($Z114-积分赛!$C$7,0)*INDEX($U$7:$U$14,MATCH(AA$10,$T$7:$T$14,0))/30,0)</f>
        <v>0</v>
      </c>
      <c r="AB114" s="10">
        <f>IFERROR(MAX($Z114-积分赛!$C$7,0)*INDEX($U$7:$U$14,MATCH(AB$10,$T$7:$T$14,0))/30,0)</f>
        <v>0</v>
      </c>
      <c r="AC114" s="10">
        <f>IFERROR(MAX($Z114-积分赛!$C$7,0)*INDEX($U$7:$U$14,MATCH(AC$10,$T$7:$T$14,0))/30,0)</f>
        <v>0</v>
      </c>
      <c r="AD114" s="10">
        <f>IFERROR(MAX($Z114-积分赛!$C$7,0)*INDEX($U$7:$U$14,MATCH(AD$10,$T$7:$T$14,0))/30,0)</f>
        <v>197333.33333333334</v>
      </c>
      <c r="AE114" s="10">
        <f>IFERROR(MAX($Z114-积分赛!$C$7,0)*INDEX($U$7:$U$14,MATCH(AE$10,$T$7:$T$14,0))/30,0)</f>
        <v>2466666.6666666665</v>
      </c>
      <c r="AF114" s="10">
        <f>MAX($Z114-积分赛!$C$7,0)*(IFERROR(INDEX($W$7:$W$14,MATCH(AF$10,$T$7:$T$14,0)),0)*$T$20+IFERROR(INDEX($X$7:$X$14,MATCH(AF$10,$T$7:$T$14,0)),0)*$T$21)/30</f>
        <v>0</v>
      </c>
      <c r="AG114" s="10">
        <f>MAX($Z114-积分赛!$C$7,0)*(IFERROR(INDEX($W$7:$W$14,MATCH(AG$10,$T$7:$T$14,0)),0)*$T$20+IFERROR(INDEX($X$7:$X$14,MATCH(AG$10,$T$7:$T$14,0)),0)*$T$21)/30</f>
        <v>0</v>
      </c>
      <c r="AH114" s="10">
        <f>MAX($Z114-积分赛!$C$7,0)*(IFERROR(INDEX($W$7:$W$14,MATCH(AH$10,$T$7:$T$14,0)),0)*$T$20+IFERROR(INDEX($X$7:$X$14,MATCH(AH$10,$T$7:$T$14,0)),0)*$T$21)/30</f>
        <v>0</v>
      </c>
      <c r="AI114" s="10">
        <f>MAX($Z114-积分赛!$C$7,0)*(IFERROR(INDEX($W$7:$W$14,MATCH(AI$10,$T$7:$T$14,0)),0)*$T$20+IFERROR(INDEX($X$7:$X$14,MATCH(AI$10,$T$7:$T$14,0)),0)*$T$21)/30</f>
        <v>7535.666666666667</v>
      </c>
      <c r="AJ114" s="10">
        <f>MAX($Z114-积分赛!$C$7,0)*(IFERROR(INDEX($W$7:$W$14,MATCH(AJ$10,$T$7:$T$14,0)),0)*$T$20+IFERROR(INDEX($X$7:$X$14,MATCH(AJ$10,$T$7:$T$14,0)),0)*$T$21)/30</f>
        <v>45214</v>
      </c>
      <c r="AL114" s="10">
        <v>104</v>
      </c>
      <c r="AM114" s="10">
        <f>IFERROR(MAX(节奏总纲!D107-积分赛!$C$7,0)*INDEX($U$7:$U$14,MATCH(AA$10,$T$7:$T$14,0))/30,0)</f>
        <v>0</v>
      </c>
      <c r="AN114" s="10">
        <f>IFERROR(MAX(节奏总纲!E107-积分赛!$C$7,0)*INDEX($U$7:$U$14,MATCH(AB$10,$T$7:$T$14,0))/30,0)</f>
        <v>0</v>
      </c>
      <c r="AO114" s="10">
        <f>IFERROR(MAX(节奏总纲!F107-积分赛!$C$7,0)*INDEX($U$7:$U$14,MATCH(AC$10,$T$7:$T$14,0))/30,0)</f>
        <v>0</v>
      </c>
      <c r="AP114" s="10">
        <f>IFERROR(MAX(节奏总纲!G107-积分赛!$C$7,0)*INDEX($U$7:$U$14,MATCH(AD$10,$T$7:$T$14,0))/30,0)</f>
        <v>1693591.3257894644</v>
      </c>
      <c r="AQ114" s="10">
        <f>IFERROR(MAX(节奏总纲!H107-积分赛!$C$7,0)*INDEX($U$7:$U$14,MATCH(AE$10,$T$7:$T$14,0))/30,0)</f>
        <v>11016567.295619849</v>
      </c>
      <c r="AR114" s="10">
        <f>MAX(节奏总纲!D107-积分赛!$C$7,0)*(IFERROR(INDEX($W$7:$W$14,MATCH(AF$10,$T$7:$T$14,0)),0)*$T$20+IFERROR(INDEX($X$7:$X$14,MATCH(AF$10,$T$7:$T$14,0)),0)*$T$21)/30</f>
        <v>0</v>
      </c>
      <c r="AS114" s="10">
        <f>MAX(节奏总纲!E107-积分赛!$C$7,0)*(IFERROR(INDEX($W$7:$W$14,MATCH(AG$10,$T$7:$T$14,0)),0)*$T$20+IFERROR(INDEX($X$7:$X$14,MATCH(AG$10,$T$7:$T$14,0)),0)*$T$21)/30</f>
        <v>0</v>
      </c>
      <c r="AT114" s="10">
        <f>MAX(节奏总纲!F107-积分赛!$C$7,0)*(IFERROR(INDEX($W$7:$W$14,MATCH(AH$10,$T$7:$T$14,0)),0)*$T$20+IFERROR(INDEX($X$7:$X$14,MATCH(AH$10,$T$7:$T$14,0)),0)*$T$21)/30</f>
        <v>0</v>
      </c>
      <c r="AU114" s="10">
        <f>MAX(节奏总纲!G107-积分赛!$C$7,0)*(IFERROR(INDEX($W$7:$W$14,MATCH(AI$10,$T$7:$T$14,0)),0)*$T$20+IFERROR(INDEX($X$7:$X$14,MATCH(AI$10,$T$7:$T$14,0)),0)*$T$21)/30</f>
        <v>64674.018753585173</v>
      </c>
      <c r="AV114" s="10">
        <f>MAX(节奏总纲!H107-积分赛!$C$7,0)*(IFERROR(INDEX($W$7:$W$14,MATCH(AJ$10,$T$7:$T$14,0)),0)*$T$20+IFERROR(INDEX($X$7:$X$14,MATCH(AJ$10,$T$7:$T$14,0)),0)*$T$21)/30</f>
        <v>201933.67852871184</v>
      </c>
      <c r="BI114" s="10">
        <v>104</v>
      </c>
      <c r="BJ114" s="10">
        <f>MAX($BI114-积分赛!$C$7,0)*$BC$10/30</f>
        <v>246666.66666666666</v>
      </c>
      <c r="BK114" s="10">
        <f>MAX($BI114-积分赛!$C$7,0)*$BC$10/30</f>
        <v>246666.66666666666</v>
      </c>
      <c r="BL114" s="10">
        <f>MAX($BI114-积分赛!$C$7,0)*$BC$10/30</f>
        <v>246666.66666666666</v>
      </c>
      <c r="BM114" s="10">
        <f>MAX($BI114-积分赛!$C$7,0)*$BC$10/30</f>
        <v>246666.66666666666</v>
      </c>
      <c r="BN114" s="10">
        <f>MAX($BI114-积分赛!$C$7,0)*$BC$10/30</f>
        <v>246666.66666666666</v>
      </c>
      <c r="BP114" s="10">
        <v>104</v>
      </c>
      <c r="BQ114" s="10">
        <f>MAX(节奏总纲!D107-积分赛!$C$7,0)*$BC$10/30</f>
        <v>4400587.0021048123</v>
      </c>
      <c r="BR114" s="10">
        <f>MAX(节奏总纲!E107-积分赛!$C$7,0)*$BC$10/30</f>
        <v>3735850.3018939313</v>
      </c>
      <c r="BS114" s="10">
        <f>MAX(节奏总纲!F107-积分赛!$C$7,0)*$BC$10/30</f>
        <v>2984702.3312426382</v>
      </c>
      <c r="BT114" s="10">
        <f>MAX(节奏总纲!G107-积分赛!$C$7,0)*$BC$10/30</f>
        <v>2116989.1572368308</v>
      </c>
      <c r="BU114" s="10">
        <f>MAX(节奏总纲!H107-积分赛!$C$7,0)*$BC$10/30</f>
        <v>1101656.729561985</v>
      </c>
    </row>
    <row r="115" spans="26:73" x14ac:dyDescent="0.15">
      <c r="Z115" s="10">
        <v>105</v>
      </c>
      <c r="AA115" s="10">
        <f>IFERROR(MAX($Z115-积分赛!$C$7,0)*INDEX($U$7:$U$14,MATCH(AA$10,$T$7:$T$14,0))/30,0)</f>
        <v>0</v>
      </c>
      <c r="AB115" s="10">
        <f>IFERROR(MAX($Z115-积分赛!$C$7,0)*INDEX($U$7:$U$14,MATCH(AB$10,$T$7:$T$14,0))/30,0)</f>
        <v>0</v>
      </c>
      <c r="AC115" s="10">
        <f>IFERROR(MAX($Z115-积分赛!$C$7,0)*INDEX($U$7:$U$14,MATCH(AC$10,$T$7:$T$14,0))/30,0)</f>
        <v>0</v>
      </c>
      <c r="AD115" s="10">
        <f>IFERROR(MAX($Z115-积分赛!$C$7,0)*INDEX($U$7:$U$14,MATCH(AD$10,$T$7:$T$14,0))/30,0)</f>
        <v>200000</v>
      </c>
      <c r="AE115" s="10">
        <f>IFERROR(MAX($Z115-积分赛!$C$7,0)*INDEX($U$7:$U$14,MATCH(AE$10,$T$7:$T$14,0))/30,0)</f>
        <v>2500000</v>
      </c>
      <c r="AF115" s="10">
        <f>MAX($Z115-积分赛!$C$7,0)*(IFERROR(INDEX($W$7:$W$14,MATCH(AF$10,$T$7:$T$14,0)),0)*$T$20+IFERROR(INDEX($X$7:$X$14,MATCH(AF$10,$T$7:$T$14,0)),0)*$T$21)/30</f>
        <v>0</v>
      </c>
      <c r="AG115" s="10">
        <f>MAX($Z115-积分赛!$C$7,0)*(IFERROR(INDEX($W$7:$W$14,MATCH(AG$10,$T$7:$T$14,0)),0)*$T$20+IFERROR(INDEX($X$7:$X$14,MATCH(AG$10,$T$7:$T$14,0)),0)*$T$21)/30</f>
        <v>0</v>
      </c>
      <c r="AH115" s="10">
        <f>MAX($Z115-积分赛!$C$7,0)*(IFERROR(INDEX($W$7:$W$14,MATCH(AH$10,$T$7:$T$14,0)),0)*$T$20+IFERROR(INDEX($X$7:$X$14,MATCH(AH$10,$T$7:$T$14,0)),0)*$T$21)/30</f>
        <v>0</v>
      </c>
      <c r="AI115" s="10">
        <f>MAX($Z115-积分赛!$C$7,0)*(IFERROR(INDEX($W$7:$W$14,MATCH(AI$10,$T$7:$T$14,0)),0)*$T$20+IFERROR(INDEX($X$7:$X$14,MATCH(AI$10,$T$7:$T$14,0)),0)*$T$21)/30</f>
        <v>7637.5</v>
      </c>
      <c r="AJ115" s="10">
        <f>MAX($Z115-积分赛!$C$7,0)*(IFERROR(INDEX($W$7:$W$14,MATCH(AJ$10,$T$7:$T$14,0)),0)*$T$20+IFERROR(INDEX($X$7:$X$14,MATCH(AJ$10,$T$7:$T$14,0)),0)*$T$21)/30</f>
        <v>45825</v>
      </c>
      <c r="AL115" s="10">
        <v>105</v>
      </c>
      <c r="AM115" s="10">
        <f>IFERROR(MAX(节奏总纲!D108-积分赛!$C$7,0)*INDEX($U$7:$U$14,MATCH(AA$10,$T$7:$T$14,0))/30,0)</f>
        <v>0</v>
      </c>
      <c r="AN115" s="10">
        <f>IFERROR(MAX(节奏总纲!E108-积分赛!$C$7,0)*INDEX($U$7:$U$14,MATCH(AB$10,$T$7:$T$14,0))/30,0)</f>
        <v>0</v>
      </c>
      <c r="AO115" s="10">
        <f>IFERROR(MAX(节奏总纲!F108-积分赛!$C$7,0)*INDEX($U$7:$U$14,MATCH(AC$10,$T$7:$T$14,0))/30,0)</f>
        <v>0</v>
      </c>
      <c r="AP115" s="10">
        <f>IFERROR(MAX(节奏总纲!G108-积分赛!$C$7,0)*INDEX($U$7:$U$14,MATCH(AD$10,$T$7:$T$14,0))/30,0)</f>
        <v>1822911.9375699235</v>
      </c>
      <c r="AQ115" s="10">
        <f>IFERROR(MAX(节奏总纲!H108-积分赛!$C$7,0)*INDEX($U$7:$U$14,MATCH(AE$10,$T$7:$T$14,0))/30,0)</f>
        <v>11879676.722043442</v>
      </c>
      <c r="AR115" s="10">
        <f>MAX(节奏总纲!D108-积分赛!$C$7,0)*(IFERROR(INDEX($W$7:$W$14,MATCH(AF$10,$T$7:$T$14,0)),0)*$T$20+IFERROR(INDEX($X$7:$X$14,MATCH(AF$10,$T$7:$T$14,0)),0)*$T$21)/30</f>
        <v>0</v>
      </c>
      <c r="AS115" s="10">
        <f>MAX(节奏总纲!E108-积分赛!$C$7,0)*(IFERROR(INDEX($W$7:$W$14,MATCH(AG$10,$T$7:$T$14,0)),0)*$T$20+IFERROR(INDEX($X$7:$X$14,MATCH(AG$10,$T$7:$T$14,0)),0)*$T$21)/30</f>
        <v>0</v>
      </c>
      <c r="AT115" s="10">
        <f>MAX(节奏总纲!F108-积分赛!$C$7,0)*(IFERROR(INDEX($W$7:$W$14,MATCH(AH$10,$T$7:$T$14,0)),0)*$T$20+IFERROR(INDEX($X$7:$X$14,MATCH(AH$10,$T$7:$T$14,0)),0)*$T$21)/30</f>
        <v>0</v>
      </c>
      <c r="AU115" s="10">
        <f>MAX(节奏总纲!G108-积分赛!$C$7,0)*(IFERROR(INDEX($W$7:$W$14,MATCH(AI$10,$T$7:$T$14,0)),0)*$T$20+IFERROR(INDEX($X$7:$X$14,MATCH(AI$10,$T$7:$T$14,0)),0)*$T$21)/30</f>
        <v>69612.449615951453</v>
      </c>
      <c r="AV115" s="10">
        <f>MAX(节奏总纲!H108-积分赛!$C$7,0)*(IFERROR(INDEX($W$7:$W$14,MATCH(AJ$10,$T$7:$T$14,0)),0)*$T$20+IFERROR(INDEX($X$7:$X$14,MATCH(AJ$10,$T$7:$T$14,0)),0)*$T$21)/30</f>
        <v>217754.47431505626</v>
      </c>
      <c r="BI115" s="10">
        <v>105</v>
      </c>
      <c r="BJ115" s="10">
        <f>MAX($BI115-积分赛!$C$7,0)*$BC$10/30</f>
        <v>250000</v>
      </c>
      <c r="BK115" s="10">
        <f>MAX($BI115-积分赛!$C$7,0)*$BC$10/30</f>
        <v>250000</v>
      </c>
      <c r="BL115" s="10">
        <f>MAX($BI115-积分赛!$C$7,0)*$BC$10/30</f>
        <v>250000</v>
      </c>
      <c r="BM115" s="10">
        <f>MAX($BI115-积分赛!$C$7,0)*$BC$10/30</f>
        <v>250000</v>
      </c>
      <c r="BN115" s="10">
        <f>MAX($BI115-积分赛!$C$7,0)*$BC$10/30</f>
        <v>250000</v>
      </c>
      <c r="BP115" s="10">
        <v>105</v>
      </c>
      <c r="BQ115" s="10">
        <f>MAX(节奏总纲!D108-积分赛!$C$7,0)*$BC$10/30</f>
        <v>4723848.9595668316</v>
      </c>
      <c r="BR115" s="10">
        <f>MAX(节奏总纲!E108-积分赛!$C$7,0)*$BC$10/30</f>
        <v>4016190.3171983776</v>
      </c>
      <c r="BS115" s="10">
        <f>MAX(节奏总纲!F108-积分赛!$C$7,0)*$BC$10/30</f>
        <v>3210607.5409507165</v>
      </c>
      <c r="BT115" s="10">
        <f>MAX(节奏总纲!G108-积分赛!$C$7,0)*$BC$10/30</f>
        <v>2278639.9219624042</v>
      </c>
      <c r="BU115" s="10">
        <f>MAX(节奏总纲!H108-积分赛!$C$7,0)*$BC$10/30</f>
        <v>1187967.6722043441</v>
      </c>
    </row>
    <row r="116" spans="26:73" x14ac:dyDescent="0.15">
      <c r="Z116" s="10">
        <v>106</v>
      </c>
      <c r="AA116" s="10">
        <f>IFERROR(MAX($Z116-积分赛!$C$7,0)*INDEX($U$7:$U$14,MATCH(AA$10,$T$7:$T$14,0))/30,0)</f>
        <v>0</v>
      </c>
      <c r="AB116" s="10">
        <f>IFERROR(MAX($Z116-积分赛!$C$7,0)*INDEX($U$7:$U$14,MATCH(AB$10,$T$7:$T$14,0))/30,0)</f>
        <v>0</v>
      </c>
      <c r="AC116" s="10">
        <f>IFERROR(MAX($Z116-积分赛!$C$7,0)*INDEX($U$7:$U$14,MATCH(AC$10,$T$7:$T$14,0))/30,0)</f>
        <v>0</v>
      </c>
      <c r="AD116" s="10">
        <f>IFERROR(MAX($Z116-积分赛!$C$7,0)*INDEX($U$7:$U$14,MATCH(AD$10,$T$7:$T$14,0))/30,0)</f>
        <v>202666.66666666666</v>
      </c>
      <c r="AE116" s="10">
        <f>IFERROR(MAX($Z116-积分赛!$C$7,0)*INDEX($U$7:$U$14,MATCH(AE$10,$T$7:$T$14,0))/30,0)</f>
        <v>2533333.3333333335</v>
      </c>
      <c r="AF116" s="10">
        <f>MAX($Z116-积分赛!$C$7,0)*(IFERROR(INDEX($W$7:$W$14,MATCH(AF$10,$T$7:$T$14,0)),0)*$T$20+IFERROR(INDEX($X$7:$X$14,MATCH(AF$10,$T$7:$T$14,0)),0)*$T$21)/30</f>
        <v>0</v>
      </c>
      <c r="AG116" s="10">
        <f>MAX($Z116-积分赛!$C$7,0)*(IFERROR(INDEX($W$7:$W$14,MATCH(AG$10,$T$7:$T$14,0)),0)*$T$20+IFERROR(INDEX($X$7:$X$14,MATCH(AG$10,$T$7:$T$14,0)),0)*$T$21)/30</f>
        <v>0</v>
      </c>
      <c r="AH116" s="10">
        <f>MAX($Z116-积分赛!$C$7,0)*(IFERROR(INDEX($W$7:$W$14,MATCH(AH$10,$T$7:$T$14,0)),0)*$T$20+IFERROR(INDEX($X$7:$X$14,MATCH(AH$10,$T$7:$T$14,0)),0)*$T$21)/30</f>
        <v>0</v>
      </c>
      <c r="AI116" s="10">
        <f>MAX($Z116-积分赛!$C$7,0)*(IFERROR(INDEX($W$7:$W$14,MATCH(AI$10,$T$7:$T$14,0)),0)*$T$20+IFERROR(INDEX($X$7:$X$14,MATCH(AI$10,$T$7:$T$14,0)),0)*$T$21)/30</f>
        <v>7739.333333333333</v>
      </c>
      <c r="AJ116" s="10">
        <f>MAX($Z116-积分赛!$C$7,0)*(IFERROR(INDEX($W$7:$W$14,MATCH(AJ$10,$T$7:$T$14,0)),0)*$T$20+IFERROR(INDEX($X$7:$X$14,MATCH(AJ$10,$T$7:$T$14,0)),0)*$T$21)/30</f>
        <v>46436</v>
      </c>
      <c r="AL116" s="10">
        <v>106</v>
      </c>
      <c r="AM116" s="10">
        <f>IFERROR(MAX(节奏总纲!D109-积分赛!$C$7,0)*INDEX($U$7:$U$14,MATCH(AA$10,$T$7:$T$14,0))/30,0)</f>
        <v>0</v>
      </c>
      <c r="AN116" s="10">
        <f>IFERROR(MAX(节奏总纲!E109-积分赛!$C$7,0)*INDEX($U$7:$U$14,MATCH(AB$10,$T$7:$T$14,0))/30,0)</f>
        <v>0</v>
      </c>
      <c r="AO116" s="10">
        <f>IFERROR(MAX(节奏总纲!F109-积分赛!$C$7,0)*INDEX($U$7:$U$14,MATCH(AC$10,$T$7:$T$14,0))/30,0)</f>
        <v>0</v>
      </c>
      <c r="AP116" s="10">
        <f>IFERROR(MAX(节奏总纲!G109-积分赛!$C$7,0)*INDEX($U$7:$U$14,MATCH(AD$10,$T$7:$T$14,0))/30,0)</f>
        <v>1958344.0185380143</v>
      </c>
      <c r="AQ116" s="10">
        <f>IFERROR(MAX(节奏总纲!H109-积分赛!$C$7,0)*INDEX($U$7:$U$14,MATCH(AE$10,$T$7:$T$14,0))/30,0)</f>
        <v>12753031.37507893</v>
      </c>
      <c r="AR116" s="10">
        <f>MAX(节奏总纲!D109-积分赛!$C$7,0)*(IFERROR(INDEX($W$7:$W$14,MATCH(AF$10,$T$7:$T$14,0)),0)*$T$20+IFERROR(INDEX($X$7:$X$14,MATCH(AF$10,$T$7:$T$14,0)),0)*$T$21)/30</f>
        <v>0</v>
      </c>
      <c r="AS116" s="10">
        <f>MAX(节奏总纲!E109-积分赛!$C$7,0)*(IFERROR(INDEX($W$7:$W$14,MATCH(AG$10,$T$7:$T$14,0)),0)*$T$20+IFERROR(INDEX($X$7:$X$14,MATCH(AG$10,$T$7:$T$14,0)),0)*$T$21)/30</f>
        <v>0</v>
      </c>
      <c r="AT116" s="10">
        <f>MAX(节奏总纲!F109-积分赛!$C$7,0)*(IFERROR(INDEX($W$7:$W$14,MATCH(AH$10,$T$7:$T$14,0)),0)*$T$20+IFERROR(INDEX($X$7:$X$14,MATCH(AH$10,$T$7:$T$14,0)),0)*$T$21)/30</f>
        <v>0</v>
      </c>
      <c r="AU116" s="10">
        <f>MAX(节奏总纲!G109-积分赛!$C$7,0)*(IFERROR(INDEX($W$7:$W$14,MATCH(AI$10,$T$7:$T$14,0)),0)*$T$20+IFERROR(INDEX($X$7:$X$14,MATCH(AI$10,$T$7:$T$14,0)),0)*$T$21)/30</f>
        <v>74784.26220792043</v>
      </c>
      <c r="AV116" s="10">
        <f>MAX(节奏总纲!H109-积分赛!$C$7,0)*(IFERROR(INDEX($W$7:$W$14,MATCH(AJ$10,$T$7:$T$14,0)),0)*$T$20+IFERROR(INDEX($X$7:$X$14,MATCH(AJ$10,$T$7:$T$14,0)),0)*$T$21)/30</f>
        <v>233763.06510519682</v>
      </c>
      <c r="BI116" s="10">
        <v>106</v>
      </c>
      <c r="BJ116" s="10">
        <f>MAX($BI116-积分赛!$C$7,0)*$BC$10/30</f>
        <v>253333.33333333334</v>
      </c>
      <c r="BK116" s="10">
        <f>MAX($BI116-积分赛!$C$7,0)*$BC$10/30</f>
        <v>253333.33333333334</v>
      </c>
      <c r="BL116" s="10">
        <f>MAX($BI116-积分赛!$C$7,0)*$BC$10/30</f>
        <v>253333.33333333334</v>
      </c>
      <c r="BM116" s="10">
        <f>MAX($BI116-积分赛!$C$7,0)*$BC$10/30</f>
        <v>253333.33333333334</v>
      </c>
      <c r="BN116" s="10">
        <f>MAX($BI116-积分赛!$C$7,0)*$BC$10/30</f>
        <v>253333.33333333334</v>
      </c>
      <c r="BP116" s="10">
        <v>106</v>
      </c>
      <c r="BQ116" s="10">
        <f>MAX(节奏总纲!D109-积分赛!$C$7,0)*$BC$10/30</f>
        <v>5070312.5470221546</v>
      </c>
      <c r="BR116" s="10">
        <f>MAX(节奏总纲!E109-积分赛!$C$7,0)*$BC$10/30</f>
        <v>4314929.8839022182</v>
      </c>
      <c r="BS116" s="10">
        <f>MAX(节奏总纲!F109-积分赛!$C$7,0)*$BC$10/30</f>
        <v>3448902.5322760069</v>
      </c>
      <c r="BT116" s="10">
        <f>MAX(节奏总纲!G109-积分赛!$C$7,0)*$BC$10/30</f>
        <v>2447930.0231725182</v>
      </c>
      <c r="BU116" s="10">
        <f>MAX(节奏总纲!H109-积分赛!$C$7,0)*$BC$10/30</f>
        <v>1275303.1375078931</v>
      </c>
    </row>
    <row r="117" spans="26:73" x14ac:dyDescent="0.15">
      <c r="Z117" s="10">
        <v>107</v>
      </c>
      <c r="AA117" s="10">
        <f>IFERROR(MAX($Z117-积分赛!$C$7,0)*INDEX($U$7:$U$14,MATCH(AA$10,$T$7:$T$14,0))/30,0)</f>
        <v>0</v>
      </c>
      <c r="AB117" s="10">
        <f>IFERROR(MAX($Z117-积分赛!$C$7,0)*INDEX($U$7:$U$14,MATCH(AB$10,$T$7:$T$14,0))/30,0)</f>
        <v>0</v>
      </c>
      <c r="AC117" s="10">
        <f>IFERROR(MAX($Z117-积分赛!$C$7,0)*INDEX($U$7:$U$14,MATCH(AC$10,$T$7:$T$14,0))/30,0)</f>
        <v>0</v>
      </c>
      <c r="AD117" s="10">
        <f>IFERROR(MAX($Z117-积分赛!$C$7,0)*INDEX($U$7:$U$14,MATCH(AD$10,$T$7:$T$14,0))/30,0)</f>
        <v>205333.33333333334</v>
      </c>
      <c r="AE117" s="10">
        <f>IFERROR(MAX($Z117-积分赛!$C$7,0)*INDEX($U$7:$U$14,MATCH(AE$10,$T$7:$T$14,0))/30,0)</f>
        <v>2566666.6666666665</v>
      </c>
      <c r="AF117" s="10">
        <f>MAX($Z117-积分赛!$C$7,0)*(IFERROR(INDEX($W$7:$W$14,MATCH(AF$10,$T$7:$T$14,0)),0)*$T$20+IFERROR(INDEX($X$7:$X$14,MATCH(AF$10,$T$7:$T$14,0)),0)*$T$21)/30</f>
        <v>0</v>
      </c>
      <c r="AG117" s="10">
        <f>MAX($Z117-积分赛!$C$7,0)*(IFERROR(INDEX($W$7:$W$14,MATCH(AG$10,$T$7:$T$14,0)),0)*$T$20+IFERROR(INDEX($X$7:$X$14,MATCH(AG$10,$T$7:$T$14,0)),0)*$T$21)/30</f>
        <v>0</v>
      </c>
      <c r="AH117" s="10">
        <f>MAX($Z117-积分赛!$C$7,0)*(IFERROR(INDEX($W$7:$W$14,MATCH(AH$10,$T$7:$T$14,0)),0)*$T$20+IFERROR(INDEX($X$7:$X$14,MATCH(AH$10,$T$7:$T$14,0)),0)*$T$21)/30</f>
        <v>0</v>
      </c>
      <c r="AI117" s="10">
        <f>MAX($Z117-积分赛!$C$7,0)*(IFERROR(INDEX($W$7:$W$14,MATCH(AI$10,$T$7:$T$14,0)),0)*$T$20+IFERROR(INDEX($X$7:$X$14,MATCH(AI$10,$T$7:$T$14,0)),0)*$T$21)/30</f>
        <v>7841.166666666667</v>
      </c>
      <c r="AJ117" s="10">
        <f>MAX($Z117-积分赛!$C$7,0)*(IFERROR(INDEX($W$7:$W$14,MATCH(AJ$10,$T$7:$T$14,0)),0)*$T$20+IFERROR(INDEX($X$7:$X$14,MATCH(AJ$10,$T$7:$T$14,0)),0)*$T$21)/30</f>
        <v>47047</v>
      </c>
      <c r="AL117" s="10">
        <v>107</v>
      </c>
      <c r="AM117" s="10">
        <f>IFERROR(MAX(节奏总纲!D110-积分赛!$C$7,0)*INDEX($U$7:$U$14,MATCH(AA$10,$T$7:$T$14,0))/30,0)</f>
        <v>0</v>
      </c>
      <c r="AN117" s="10">
        <f>IFERROR(MAX(节奏总纲!E110-积分赛!$C$7,0)*INDEX($U$7:$U$14,MATCH(AB$10,$T$7:$T$14,0))/30,0)</f>
        <v>0</v>
      </c>
      <c r="AO117" s="10">
        <f>IFERROR(MAX(节奏总纲!F110-积分赛!$C$7,0)*INDEX($U$7:$U$14,MATCH(AC$10,$T$7:$T$14,0))/30,0)</f>
        <v>0</v>
      </c>
      <c r="AP117" s="10">
        <f>IFERROR(MAX(节奏总纲!G110-积分赛!$C$7,0)*INDEX($U$7:$U$14,MATCH(AD$10,$T$7:$T$14,0))/30,0)</f>
        <v>2096314.0490889936</v>
      </c>
      <c r="AQ117" s="10">
        <f>IFERROR(MAX(节奏总纲!H110-积分赛!$C$7,0)*INDEX($U$7:$U$14,MATCH(AE$10,$T$7:$T$14,0))/30,0)</f>
        <v>13674270.732296942</v>
      </c>
      <c r="AR117" s="10">
        <f>MAX(节奏总纲!D110-积分赛!$C$7,0)*(IFERROR(INDEX($W$7:$W$14,MATCH(AF$10,$T$7:$T$14,0)),0)*$T$20+IFERROR(INDEX($X$7:$X$14,MATCH(AF$10,$T$7:$T$14,0)),0)*$T$21)/30</f>
        <v>0</v>
      </c>
      <c r="AS117" s="10">
        <f>MAX(节奏总纲!E110-积分赛!$C$7,0)*(IFERROR(INDEX($W$7:$W$14,MATCH(AG$10,$T$7:$T$14,0)),0)*$T$20+IFERROR(INDEX($X$7:$X$14,MATCH(AG$10,$T$7:$T$14,0)),0)*$T$21)/30</f>
        <v>0</v>
      </c>
      <c r="AT117" s="10">
        <f>MAX(节奏总纲!F110-积分赛!$C$7,0)*(IFERROR(INDEX($W$7:$W$14,MATCH(AH$10,$T$7:$T$14,0)),0)*$T$20+IFERROR(INDEX($X$7:$X$14,MATCH(AH$10,$T$7:$T$14,0)),0)*$T$21)/30</f>
        <v>0</v>
      </c>
      <c r="AU117" s="10">
        <f>MAX(节奏总纲!G110-积分赛!$C$7,0)*(IFERROR(INDEX($W$7:$W$14,MATCH(AI$10,$T$7:$T$14,0)),0)*$T$20+IFERROR(INDEX($X$7:$X$14,MATCH(AI$10,$T$7:$T$14,0)),0)*$T$21)/30</f>
        <v>80052.992749585945</v>
      </c>
      <c r="AV117" s="10">
        <f>MAX(节奏总纲!H110-积分赛!$C$7,0)*(IFERROR(INDEX($W$7:$W$14,MATCH(AJ$10,$T$7:$T$14,0)),0)*$T$20+IFERROR(INDEX($X$7:$X$14,MATCH(AJ$10,$T$7:$T$14,0)),0)*$T$21)/30</f>
        <v>250649.38252300295</v>
      </c>
      <c r="BI117" s="10">
        <v>107</v>
      </c>
      <c r="BJ117" s="10">
        <f>MAX($BI117-积分赛!$C$7,0)*$BC$10/30</f>
        <v>256666.66666666666</v>
      </c>
      <c r="BK117" s="10">
        <f>MAX($BI117-积分赛!$C$7,0)*$BC$10/30</f>
        <v>256666.66666666666</v>
      </c>
      <c r="BL117" s="10">
        <f>MAX($BI117-积分赛!$C$7,0)*$BC$10/30</f>
        <v>256666.66666666666</v>
      </c>
      <c r="BM117" s="10">
        <f>MAX($BI117-积分赛!$C$7,0)*$BC$10/30</f>
        <v>256666.66666666666</v>
      </c>
      <c r="BN117" s="10">
        <f>MAX($BI117-积分赛!$C$7,0)*$BC$10/30</f>
        <v>256666.66666666666</v>
      </c>
      <c r="BP117" s="10">
        <v>107</v>
      </c>
      <c r="BQ117" s="10">
        <f>MAX(节奏总纲!D110-积分赛!$C$7,0)*$BC$10/30</f>
        <v>5441643.0257918965</v>
      </c>
      <c r="BR117" s="10">
        <f>MAX(节奏总纲!E110-积分赛!$C$7,0)*$BC$10/30</f>
        <v>4629792.3225133838</v>
      </c>
      <c r="BS117" s="10">
        <f>MAX(节奏总纲!F110-积分赛!$C$7,0)*$BC$10/30</f>
        <v>3705446.2658112948</v>
      </c>
      <c r="BT117" s="10">
        <f>MAX(节奏总纲!G110-积分赛!$C$7,0)*$BC$10/30</f>
        <v>2620392.5613612426</v>
      </c>
      <c r="BU117" s="10">
        <f>MAX(节奏总纲!H110-积分赛!$C$7,0)*$BC$10/30</f>
        <v>1367427.073229694</v>
      </c>
    </row>
    <row r="118" spans="26:73" x14ac:dyDescent="0.15">
      <c r="Z118" s="10">
        <v>108</v>
      </c>
      <c r="AA118" s="10">
        <f>IFERROR(MAX($Z118-积分赛!$C$7,0)*INDEX($U$7:$U$14,MATCH(AA$10,$T$7:$T$14,0))/30,0)</f>
        <v>0</v>
      </c>
      <c r="AB118" s="10">
        <f>IFERROR(MAX($Z118-积分赛!$C$7,0)*INDEX($U$7:$U$14,MATCH(AB$10,$T$7:$T$14,0))/30,0)</f>
        <v>0</v>
      </c>
      <c r="AC118" s="10">
        <f>IFERROR(MAX($Z118-积分赛!$C$7,0)*INDEX($U$7:$U$14,MATCH(AC$10,$T$7:$T$14,0))/30,0)</f>
        <v>0</v>
      </c>
      <c r="AD118" s="10">
        <f>IFERROR(MAX($Z118-积分赛!$C$7,0)*INDEX($U$7:$U$14,MATCH(AD$10,$T$7:$T$14,0))/30,0)</f>
        <v>208000</v>
      </c>
      <c r="AE118" s="10">
        <f>IFERROR(MAX($Z118-积分赛!$C$7,0)*INDEX($U$7:$U$14,MATCH(AE$10,$T$7:$T$14,0))/30,0)</f>
        <v>2600000</v>
      </c>
      <c r="AF118" s="10">
        <f>MAX($Z118-积分赛!$C$7,0)*(IFERROR(INDEX($W$7:$W$14,MATCH(AF$10,$T$7:$T$14,0)),0)*$T$20+IFERROR(INDEX($X$7:$X$14,MATCH(AF$10,$T$7:$T$14,0)),0)*$T$21)/30</f>
        <v>0</v>
      </c>
      <c r="AG118" s="10">
        <f>MAX($Z118-积分赛!$C$7,0)*(IFERROR(INDEX($W$7:$W$14,MATCH(AG$10,$T$7:$T$14,0)),0)*$T$20+IFERROR(INDEX($X$7:$X$14,MATCH(AG$10,$T$7:$T$14,0)),0)*$T$21)/30</f>
        <v>0</v>
      </c>
      <c r="AH118" s="10">
        <f>MAX($Z118-积分赛!$C$7,0)*(IFERROR(INDEX($W$7:$W$14,MATCH(AH$10,$T$7:$T$14,0)),0)*$T$20+IFERROR(INDEX($X$7:$X$14,MATCH(AH$10,$T$7:$T$14,0)),0)*$T$21)/30</f>
        <v>0</v>
      </c>
      <c r="AI118" s="10">
        <f>MAX($Z118-积分赛!$C$7,0)*(IFERROR(INDEX($W$7:$W$14,MATCH(AI$10,$T$7:$T$14,0)),0)*$T$20+IFERROR(INDEX($X$7:$X$14,MATCH(AI$10,$T$7:$T$14,0)),0)*$T$21)/30</f>
        <v>7943</v>
      </c>
      <c r="AJ118" s="10">
        <f>MAX($Z118-积分赛!$C$7,0)*(IFERROR(INDEX($W$7:$W$14,MATCH(AJ$10,$T$7:$T$14,0)),0)*$T$20+IFERROR(INDEX($X$7:$X$14,MATCH(AJ$10,$T$7:$T$14,0)),0)*$T$21)/30</f>
        <v>47658</v>
      </c>
      <c r="AL118" s="10">
        <v>108</v>
      </c>
      <c r="AM118" s="10">
        <f>IFERROR(MAX(节奏总纲!D111-积分赛!$C$7,0)*INDEX($U$7:$U$14,MATCH(AA$10,$T$7:$T$14,0))/30,0)</f>
        <v>0</v>
      </c>
      <c r="AN118" s="10">
        <f>IFERROR(MAX(节奏总纲!E111-积分赛!$C$7,0)*INDEX($U$7:$U$14,MATCH(AB$10,$T$7:$T$14,0))/30,0)</f>
        <v>0</v>
      </c>
      <c r="AO118" s="10">
        <f>IFERROR(MAX(节奏总纲!F111-积分赛!$C$7,0)*INDEX($U$7:$U$14,MATCH(AC$10,$T$7:$T$14,0))/30,0)</f>
        <v>0</v>
      </c>
      <c r="AP118" s="10">
        <f>IFERROR(MAX(节奏总纲!G111-积分赛!$C$7,0)*INDEX($U$7:$U$14,MATCH(AD$10,$T$7:$T$14,0))/30,0)</f>
        <v>2244531.7099627261</v>
      </c>
      <c r="AQ118" s="10">
        <f>IFERROR(MAX(节奏总纲!H111-积分赛!$C$7,0)*INDEX($U$7:$U$14,MATCH(AE$10,$T$7:$T$14,0))/30,0)</f>
        <v>14704368.972663144</v>
      </c>
      <c r="AR118" s="10">
        <f>MAX(节奏总纲!D111-积分赛!$C$7,0)*(IFERROR(INDEX($W$7:$W$14,MATCH(AF$10,$T$7:$T$14,0)),0)*$T$20+IFERROR(INDEX($X$7:$X$14,MATCH(AF$10,$T$7:$T$14,0)),0)*$T$21)/30</f>
        <v>0</v>
      </c>
      <c r="AS118" s="10">
        <f>MAX(节奏总纲!E111-积分赛!$C$7,0)*(IFERROR(INDEX($W$7:$W$14,MATCH(AG$10,$T$7:$T$14,0)),0)*$T$20+IFERROR(INDEX($X$7:$X$14,MATCH(AG$10,$T$7:$T$14,0)),0)*$T$21)/30</f>
        <v>0</v>
      </c>
      <c r="AT118" s="10">
        <f>MAX(节奏总纲!F111-积分赛!$C$7,0)*(IFERROR(INDEX($W$7:$W$14,MATCH(AH$10,$T$7:$T$14,0)),0)*$T$20+IFERROR(INDEX($X$7:$X$14,MATCH(AH$10,$T$7:$T$14,0)),0)*$T$21)/30</f>
        <v>0</v>
      </c>
      <c r="AU118" s="10">
        <f>MAX(节奏总纲!G111-积分赛!$C$7,0)*(IFERROR(INDEX($W$7:$W$14,MATCH(AI$10,$T$7:$T$14,0)),0)*$T$20+IFERROR(INDEX($X$7:$X$14,MATCH(AI$10,$T$7:$T$14,0)),0)*$T$21)/30</f>
        <v>85713.054674201601</v>
      </c>
      <c r="AV118" s="10">
        <f>MAX(节奏总纲!H111-积分赛!$C$7,0)*(IFERROR(INDEX($W$7:$W$14,MATCH(AJ$10,$T$7:$T$14,0)),0)*$T$20+IFERROR(INDEX($X$7:$X$14,MATCH(AJ$10,$T$7:$T$14,0)),0)*$T$21)/30</f>
        <v>269531.08326891542</v>
      </c>
      <c r="BI118" s="10">
        <v>108</v>
      </c>
      <c r="BJ118" s="10">
        <f>MAX($BI118-积分赛!$C$7,0)*$BC$10/30</f>
        <v>260000</v>
      </c>
      <c r="BK118" s="10">
        <f>MAX($BI118-积分赛!$C$7,0)*$BC$10/30</f>
        <v>260000</v>
      </c>
      <c r="BL118" s="10">
        <f>MAX($BI118-积分赛!$C$7,0)*$BC$10/30</f>
        <v>260000</v>
      </c>
      <c r="BM118" s="10">
        <f>MAX($BI118-积分赛!$C$7,0)*$BC$10/30</f>
        <v>260000</v>
      </c>
      <c r="BN118" s="10">
        <f>MAX($BI118-积分赛!$C$7,0)*$BC$10/30</f>
        <v>260000</v>
      </c>
      <c r="BP118" s="10">
        <v>108</v>
      </c>
      <c r="BQ118" s="10">
        <f>MAX(节奏总纲!D111-积分赛!$C$7,0)*$BC$10/30</f>
        <v>5839625.1787682073</v>
      </c>
      <c r="BR118" s="10">
        <f>MAX(节奏总纲!E111-积分赛!$C$7,0)*$BC$10/30</f>
        <v>4969470.0900786659</v>
      </c>
      <c r="BS118" s="10">
        <f>MAX(节奏总纲!F111-积分赛!$C$7,0)*$BC$10/30</f>
        <v>3960327.7722059474</v>
      </c>
      <c r="BT118" s="10">
        <f>MAX(节奏总纲!G111-积分赛!$C$7,0)*$BC$10/30</f>
        <v>2805664.6374534075</v>
      </c>
      <c r="BU118" s="10">
        <f>MAX(节奏总纲!H111-积分赛!$C$7,0)*$BC$10/30</f>
        <v>1470436.8972663144</v>
      </c>
    </row>
    <row r="119" spans="26:73" x14ac:dyDescent="0.15">
      <c r="Z119" s="10">
        <v>109</v>
      </c>
      <c r="AA119" s="10">
        <f>IFERROR(MAX($Z119-积分赛!$C$7,0)*INDEX($U$7:$U$14,MATCH(AA$10,$T$7:$T$14,0))/30,0)</f>
        <v>0</v>
      </c>
      <c r="AB119" s="10">
        <f>IFERROR(MAX($Z119-积分赛!$C$7,0)*INDEX($U$7:$U$14,MATCH(AB$10,$T$7:$T$14,0))/30,0)</f>
        <v>0</v>
      </c>
      <c r="AC119" s="10">
        <f>IFERROR(MAX($Z119-积分赛!$C$7,0)*INDEX($U$7:$U$14,MATCH(AC$10,$T$7:$T$14,0))/30,0)</f>
        <v>0</v>
      </c>
      <c r="AD119" s="10">
        <f>IFERROR(MAX($Z119-积分赛!$C$7,0)*INDEX($U$7:$U$14,MATCH(AD$10,$T$7:$T$14,0))/30,0)</f>
        <v>210666.66666666666</v>
      </c>
      <c r="AE119" s="10">
        <f>IFERROR(MAX($Z119-积分赛!$C$7,0)*INDEX($U$7:$U$14,MATCH(AE$10,$T$7:$T$14,0))/30,0)</f>
        <v>2633333.3333333335</v>
      </c>
      <c r="AF119" s="10">
        <f>MAX($Z119-积分赛!$C$7,0)*(IFERROR(INDEX($W$7:$W$14,MATCH(AF$10,$T$7:$T$14,0)),0)*$T$20+IFERROR(INDEX($X$7:$X$14,MATCH(AF$10,$T$7:$T$14,0)),0)*$T$21)/30</f>
        <v>0</v>
      </c>
      <c r="AG119" s="10">
        <f>MAX($Z119-积分赛!$C$7,0)*(IFERROR(INDEX($W$7:$W$14,MATCH(AG$10,$T$7:$T$14,0)),0)*$T$20+IFERROR(INDEX($X$7:$X$14,MATCH(AG$10,$T$7:$T$14,0)),0)*$T$21)/30</f>
        <v>0</v>
      </c>
      <c r="AH119" s="10">
        <f>MAX($Z119-积分赛!$C$7,0)*(IFERROR(INDEX($W$7:$W$14,MATCH(AH$10,$T$7:$T$14,0)),0)*$T$20+IFERROR(INDEX($X$7:$X$14,MATCH(AH$10,$T$7:$T$14,0)),0)*$T$21)/30</f>
        <v>0</v>
      </c>
      <c r="AI119" s="10">
        <f>MAX($Z119-积分赛!$C$7,0)*(IFERROR(INDEX($W$7:$W$14,MATCH(AI$10,$T$7:$T$14,0)),0)*$T$20+IFERROR(INDEX($X$7:$X$14,MATCH(AI$10,$T$7:$T$14,0)),0)*$T$21)/30</f>
        <v>8044.833333333333</v>
      </c>
      <c r="AJ119" s="10">
        <f>MAX($Z119-积分赛!$C$7,0)*(IFERROR(INDEX($W$7:$W$14,MATCH(AJ$10,$T$7:$T$14,0)),0)*$T$20+IFERROR(INDEX($X$7:$X$14,MATCH(AJ$10,$T$7:$T$14,0)),0)*$T$21)/30</f>
        <v>48269</v>
      </c>
      <c r="AL119" s="10">
        <v>109</v>
      </c>
      <c r="AM119" s="10">
        <f>IFERROR(MAX(节奏总纲!D112-积分赛!$C$7,0)*INDEX($U$7:$U$14,MATCH(AA$10,$T$7:$T$14,0))/30,0)</f>
        <v>0</v>
      </c>
      <c r="AN119" s="10">
        <f>IFERROR(MAX(节奏总纲!E112-积分赛!$C$7,0)*INDEX($U$7:$U$14,MATCH(AB$10,$T$7:$T$14,0))/30,0)</f>
        <v>0</v>
      </c>
      <c r="AO119" s="10">
        <f>IFERROR(MAX(节奏总纲!F112-积分赛!$C$7,0)*INDEX($U$7:$U$14,MATCH(AC$10,$T$7:$T$14,0))/30,0)</f>
        <v>0</v>
      </c>
      <c r="AP119" s="10">
        <f>IFERROR(MAX(节奏总纲!G112-积分赛!$C$7,0)*INDEX($U$7:$U$14,MATCH(AD$10,$T$7:$T$14,0))/30,0)</f>
        <v>2404844.211672042</v>
      </c>
      <c r="AQ119" s="10">
        <f>IFERROR(MAX(节奏总纲!H112-积分赛!$C$7,0)*INDEX($U$7:$U$14,MATCH(AE$10,$T$7:$T$14,0))/30,0)</f>
        <v>15819426.130450742</v>
      </c>
      <c r="AR119" s="10">
        <f>MAX(节奏总纲!D112-积分赛!$C$7,0)*(IFERROR(INDEX($W$7:$W$14,MATCH(AF$10,$T$7:$T$14,0)),0)*$T$20+IFERROR(INDEX($X$7:$X$14,MATCH(AF$10,$T$7:$T$14,0)),0)*$T$21)/30</f>
        <v>0</v>
      </c>
      <c r="AS119" s="10">
        <f>MAX(节奏总纲!E112-积分赛!$C$7,0)*(IFERROR(INDEX($W$7:$W$14,MATCH(AG$10,$T$7:$T$14,0)),0)*$T$20+IFERROR(INDEX($X$7:$X$14,MATCH(AG$10,$T$7:$T$14,0)),0)*$T$21)/30</f>
        <v>0</v>
      </c>
      <c r="AT119" s="10">
        <f>MAX(节奏总纲!F112-积分赛!$C$7,0)*(IFERROR(INDEX($W$7:$W$14,MATCH(AH$10,$T$7:$T$14,0)),0)*$T$20+IFERROR(INDEX($X$7:$X$14,MATCH(AH$10,$T$7:$T$14,0)),0)*$T$21)/30</f>
        <v>0</v>
      </c>
      <c r="AU119" s="10">
        <f>MAX(节奏总纲!G112-积分赛!$C$7,0)*(IFERROR(INDEX($W$7:$W$14,MATCH(AI$10,$T$7:$T$14,0)),0)*$T$20+IFERROR(INDEX($X$7:$X$14,MATCH(AI$10,$T$7:$T$14,0)),0)*$T$21)/30</f>
        <v>91834.988333226094</v>
      </c>
      <c r="AV119" s="10">
        <f>MAX(节奏总纲!H112-积分赛!$C$7,0)*(IFERROR(INDEX($W$7:$W$14,MATCH(AJ$10,$T$7:$T$14,0)),0)*$T$20+IFERROR(INDEX($X$7:$X$14,MATCH(AJ$10,$T$7:$T$14,0)),0)*$T$21)/30</f>
        <v>289970.08097116207</v>
      </c>
      <c r="BI119" s="10">
        <v>109</v>
      </c>
      <c r="BJ119" s="10">
        <f>MAX($BI119-积分赛!$C$7,0)*$BC$10/30</f>
        <v>263333.33333333331</v>
      </c>
      <c r="BK119" s="10">
        <f>MAX($BI119-积分赛!$C$7,0)*$BC$10/30</f>
        <v>263333.33333333331</v>
      </c>
      <c r="BL119" s="10">
        <f>MAX($BI119-积分赛!$C$7,0)*$BC$10/30</f>
        <v>263333.33333333331</v>
      </c>
      <c r="BM119" s="10">
        <f>MAX($BI119-积分赛!$C$7,0)*$BC$10/30</f>
        <v>263333.33333333331</v>
      </c>
      <c r="BN119" s="10">
        <f>MAX($BI119-积分赛!$C$7,0)*$BC$10/30</f>
        <v>263333.33333333331</v>
      </c>
      <c r="BP119" s="10">
        <v>109</v>
      </c>
      <c r="BQ119" s="10">
        <f>MAX(节奏总纲!D112-积分赛!$C$7,0)*$BC$10/30</f>
        <v>6266171.8888912732</v>
      </c>
      <c r="BR119" s="10">
        <f>MAX(节奏总纲!E112-积分赛!$C$7,0)*$BC$10/30</f>
        <v>5315702.4258798063</v>
      </c>
      <c r="BS119" s="10">
        <f>MAX(节奏总纲!F112-积分赛!$C$7,0)*$BC$10/30</f>
        <v>4238546.1422794024</v>
      </c>
      <c r="BT119" s="10">
        <f>MAX(节奏总纲!G112-积分赛!$C$7,0)*$BC$10/30</f>
        <v>3006055.2645900524</v>
      </c>
      <c r="BU119" s="10">
        <f>MAX(节奏总纲!H112-积分赛!$C$7,0)*$BC$10/30</f>
        <v>1581942.613045074</v>
      </c>
    </row>
    <row r="120" spans="26:73" x14ac:dyDescent="0.15">
      <c r="Z120" s="10">
        <v>110</v>
      </c>
      <c r="AA120" s="10">
        <f>IFERROR(MAX($Z120-积分赛!$C$7,0)*INDEX($U$7:$U$14,MATCH(AA$10,$T$7:$T$14,0))/30,0)</f>
        <v>0</v>
      </c>
      <c r="AB120" s="10">
        <f>IFERROR(MAX($Z120-积分赛!$C$7,0)*INDEX($U$7:$U$14,MATCH(AB$10,$T$7:$T$14,0))/30,0)</f>
        <v>0</v>
      </c>
      <c r="AC120" s="10">
        <f>IFERROR(MAX($Z120-积分赛!$C$7,0)*INDEX($U$7:$U$14,MATCH(AC$10,$T$7:$T$14,0))/30,0)</f>
        <v>0</v>
      </c>
      <c r="AD120" s="10">
        <f>IFERROR(MAX($Z120-积分赛!$C$7,0)*INDEX($U$7:$U$14,MATCH(AD$10,$T$7:$T$14,0))/30,0)</f>
        <v>213333.33333333334</v>
      </c>
      <c r="AE120" s="10">
        <f>IFERROR(MAX($Z120-积分赛!$C$7,0)*INDEX($U$7:$U$14,MATCH(AE$10,$T$7:$T$14,0))/30,0)</f>
        <v>2666666.6666666665</v>
      </c>
      <c r="AF120" s="10">
        <f>MAX($Z120-积分赛!$C$7,0)*(IFERROR(INDEX($W$7:$W$14,MATCH(AF$10,$T$7:$T$14,0)),0)*$T$20+IFERROR(INDEX($X$7:$X$14,MATCH(AF$10,$T$7:$T$14,0)),0)*$T$21)/30</f>
        <v>0</v>
      </c>
      <c r="AG120" s="10">
        <f>MAX($Z120-积分赛!$C$7,0)*(IFERROR(INDEX($W$7:$W$14,MATCH(AG$10,$T$7:$T$14,0)),0)*$T$20+IFERROR(INDEX($X$7:$X$14,MATCH(AG$10,$T$7:$T$14,0)),0)*$T$21)/30</f>
        <v>0</v>
      </c>
      <c r="AH120" s="10">
        <f>MAX($Z120-积分赛!$C$7,0)*(IFERROR(INDEX($W$7:$W$14,MATCH(AH$10,$T$7:$T$14,0)),0)*$T$20+IFERROR(INDEX($X$7:$X$14,MATCH(AH$10,$T$7:$T$14,0)),0)*$T$21)/30</f>
        <v>0</v>
      </c>
      <c r="AI120" s="10">
        <f>MAX($Z120-积分赛!$C$7,0)*(IFERROR(INDEX($W$7:$W$14,MATCH(AI$10,$T$7:$T$14,0)),0)*$T$20+IFERROR(INDEX($X$7:$X$14,MATCH(AI$10,$T$7:$T$14,0)),0)*$T$21)/30</f>
        <v>8146.666666666667</v>
      </c>
      <c r="AJ120" s="10">
        <f>MAX($Z120-积分赛!$C$7,0)*(IFERROR(INDEX($W$7:$W$14,MATCH(AJ$10,$T$7:$T$14,0)),0)*$T$20+IFERROR(INDEX($X$7:$X$14,MATCH(AJ$10,$T$7:$T$14,0)),0)*$T$21)/30</f>
        <v>48880</v>
      </c>
      <c r="AL120" s="10">
        <v>110</v>
      </c>
      <c r="AM120" s="10">
        <f>IFERROR(MAX(节奏总纲!D113-积分赛!$C$7,0)*INDEX($U$7:$U$14,MATCH(AA$10,$T$7:$T$14,0))/30,0)</f>
        <v>0</v>
      </c>
      <c r="AN120" s="10">
        <f>IFERROR(MAX(节奏总纲!E113-积分赛!$C$7,0)*INDEX($U$7:$U$14,MATCH(AB$10,$T$7:$T$14,0))/30,0)</f>
        <v>0</v>
      </c>
      <c r="AO120" s="10">
        <f>IFERROR(MAX(节奏总纲!F113-积分赛!$C$7,0)*INDEX($U$7:$U$14,MATCH(AC$10,$T$7:$T$14,0))/30,0)</f>
        <v>0</v>
      </c>
      <c r="AP120" s="10">
        <f>IFERROR(MAX(节奏总纲!G113-积分赛!$C$7,0)*INDEX($U$7:$U$14,MATCH(AD$10,$T$7:$T$14,0))/30,0)</f>
        <v>2590379.7333333334</v>
      </c>
      <c r="AQ120" s="10">
        <f>IFERROR(MAX(节奏总纲!H113-积分赛!$C$7,0)*INDEX($U$7:$U$14,MATCH(AE$10,$T$7:$T$14,0))/30,0)</f>
        <v>17068186.666666664</v>
      </c>
      <c r="AR120" s="10">
        <f>MAX(节奏总纲!D113-积分赛!$C$7,0)*(IFERROR(INDEX($W$7:$W$14,MATCH(AF$10,$T$7:$T$14,0)),0)*$T$20+IFERROR(INDEX($X$7:$X$14,MATCH(AF$10,$T$7:$T$14,0)),0)*$T$21)/30</f>
        <v>0</v>
      </c>
      <c r="AS120" s="10">
        <f>MAX(节奏总纲!E113-积分赛!$C$7,0)*(IFERROR(INDEX($W$7:$W$14,MATCH(AG$10,$T$7:$T$14,0)),0)*$T$20+IFERROR(INDEX($X$7:$X$14,MATCH(AG$10,$T$7:$T$14,0)),0)*$T$21)/30</f>
        <v>0</v>
      </c>
      <c r="AT120" s="10">
        <f>MAX(节奏总纲!F113-积分赛!$C$7,0)*(IFERROR(INDEX($W$7:$W$14,MATCH(AH$10,$T$7:$T$14,0)),0)*$T$20+IFERROR(INDEX($X$7:$X$14,MATCH(AH$10,$T$7:$T$14,0)),0)*$T$21)/30</f>
        <v>0</v>
      </c>
      <c r="AU120" s="10">
        <f>MAX(节奏总纲!G113-积分赛!$C$7,0)*(IFERROR(INDEX($W$7:$W$14,MATCH(AI$10,$T$7:$T$14,0)),0)*$T$20+IFERROR(INDEX($X$7:$X$14,MATCH(AI$10,$T$7:$T$14,0)),0)*$T$21)/30</f>
        <v>98920.126066666664</v>
      </c>
      <c r="AV120" s="10">
        <f>MAX(节奏总纲!H113-积分赛!$C$7,0)*(IFERROR(INDEX($W$7:$W$14,MATCH(AJ$10,$T$7:$T$14,0)),0)*$T$20+IFERROR(INDEX($X$7:$X$14,MATCH(AJ$10,$T$7:$T$14,0)),0)*$T$21)/30</f>
        <v>312859.8616</v>
      </c>
      <c r="BI120" s="10">
        <v>110</v>
      </c>
      <c r="BJ120" s="10">
        <f>MAX($BI120-积分赛!$C$7,0)*$BC$10/30</f>
        <v>266666.66666666669</v>
      </c>
      <c r="BK120" s="10">
        <f>MAX($BI120-积分赛!$C$7,0)*$BC$10/30</f>
        <v>266666.66666666669</v>
      </c>
      <c r="BL120" s="10">
        <f>MAX($BI120-积分赛!$C$7,0)*$BC$10/30</f>
        <v>266666.66666666669</v>
      </c>
      <c r="BM120" s="10">
        <f>MAX($BI120-积分赛!$C$7,0)*$BC$10/30</f>
        <v>266666.66666666669</v>
      </c>
      <c r="BN120" s="10">
        <f>MAX($BI120-积分赛!$C$7,0)*$BC$10/30</f>
        <v>266666.66666666669</v>
      </c>
      <c r="BP120" s="10">
        <v>110</v>
      </c>
      <c r="BQ120" s="10">
        <f>MAX(节奏总纲!D113-积分赛!$C$7,0)*$BC$10/30</f>
        <v>6723333.333333333</v>
      </c>
      <c r="BR120" s="10">
        <f>MAX(节奏总纲!E113-积分赛!$C$7,0)*$BC$10/30</f>
        <v>5704609.666666667</v>
      </c>
      <c r="BS120" s="10">
        <f>MAX(节奏总纲!F113-积分赛!$C$7,0)*$BC$10/30</f>
        <v>4557607.333333333</v>
      </c>
      <c r="BT120" s="10">
        <f>MAX(节奏总纲!G113-积分赛!$C$7,0)*$BC$10/30</f>
        <v>3237974.6666666665</v>
      </c>
      <c r="BU120" s="10">
        <f>MAX(节奏总纲!H113-积分赛!$C$7,0)*$BC$10/30</f>
        <v>1706818.6666666665</v>
      </c>
    </row>
    <row r="121" spans="26:73" x14ac:dyDescent="0.15">
      <c r="Z121" s="10">
        <v>111</v>
      </c>
      <c r="AA121" s="10">
        <f>IFERROR(MAX($Z121-积分赛!$C$7,0)*INDEX($U$7:$U$14,MATCH(AA$10,$T$7:$T$14,0))/30,0)</f>
        <v>0</v>
      </c>
      <c r="AB121" s="10">
        <f>IFERROR(MAX($Z121-积分赛!$C$7,0)*INDEX($U$7:$U$14,MATCH(AB$10,$T$7:$T$14,0))/30,0)</f>
        <v>0</v>
      </c>
      <c r="AC121" s="10">
        <f>IFERROR(MAX($Z121-积分赛!$C$7,0)*INDEX($U$7:$U$14,MATCH(AC$10,$T$7:$T$14,0))/30,0)</f>
        <v>0</v>
      </c>
      <c r="AD121" s="10">
        <f>IFERROR(MAX($Z121-积分赛!$C$7,0)*INDEX($U$7:$U$14,MATCH(AD$10,$T$7:$T$14,0))/30,0)</f>
        <v>216000</v>
      </c>
      <c r="AE121" s="10">
        <f>IFERROR(MAX($Z121-积分赛!$C$7,0)*INDEX($U$7:$U$14,MATCH(AE$10,$T$7:$T$14,0))/30,0)</f>
        <v>2700000</v>
      </c>
      <c r="AF121" s="10">
        <f>MAX($Z121-积分赛!$C$7,0)*(IFERROR(INDEX($W$7:$W$14,MATCH(AF$10,$T$7:$T$14,0)),0)*$T$20+IFERROR(INDEX($X$7:$X$14,MATCH(AF$10,$T$7:$T$14,0)),0)*$T$21)/30</f>
        <v>0</v>
      </c>
      <c r="AG121" s="10">
        <f>MAX($Z121-积分赛!$C$7,0)*(IFERROR(INDEX($W$7:$W$14,MATCH(AG$10,$T$7:$T$14,0)),0)*$T$20+IFERROR(INDEX($X$7:$X$14,MATCH(AG$10,$T$7:$T$14,0)),0)*$T$21)/30</f>
        <v>0</v>
      </c>
      <c r="AH121" s="10">
        <f>MAX($Z121-积分赛!$C$7,0)*(IFERROR(INDEX($W$7:$W$14,MATCH(AH$10,$T$7:$T$14,0)),0)*$T$20+IFERROR(INDEX($X$7:$X$14,MATCH(AH$10,$T$7:$T$14,0)),0)*$T$21)/30</f>
        <v>0</v>
      </c>
      <c r="AI121" s="10">
        <f>MAX($Z121-积分赛!$C$7,0)*(IFERROR(INDEX($W$7:$W$14,MATCH(AI$10,$T$7:$T$14,0)),0)*$T$20+IFERROR(INDEX($X$7:$X$14,MATCH(AI$10,$T$7:$T$14,0)),0)*$T$21)/30</f>
        <v>8248.5</v>
      </c>
      <c r="AJ121" s="10">
        <f>MAX($Z121-积分赛!$C$7,0)*(IFERROR(INDEX($W$7:$W$14,MATCH(AJ$10,$T$7:$T$14,0)),0)*$T$20+IFERROR(INDEX($X$7:$X$14,MATCH(AJ$10,$T$7:$T$14,0)),0)*$T$21)/30</f>
        <v>49491</v>
      </c>
      <c r="AL121" s="10">
        <v>111</v>
      </c>
      <c r="AM121" s="10">
        <f>IFERROR(MAX(节奏总纲!D114-积分赛!$C$7,0)*INDEX($U$7:$U$14,MATCH(AA$10,$T$7:$T$14,0))/30,0)</f>
        <v>0</v>
      </c>
      <c r="AN121" s="10">
        <f>IFERROR(MAX(节奏总纲!E114-积分赛!$C$7,0)*INDEX($U$7:$U$14,MATCH(AB$10,$T$7:$T$14,0))/30,0)</f>
        <v>0</v>
      </c>
      <c r="AO121" s="10">
        <f>IFERROR(MAX(节奏总纲!F114-积分赛!$C$7,0)*INDEX($U$7:$U$14,MATCH(AC$10,$T$7:$T$14,0))/30,0)</f>
        <v>0</v>
      </c>
      <c r="AP121" s="10">
        <f>IFERROR(MAX(节奏总纲!G114-积分赛!$C$7,0)*INDEX($U$7:$U$14,MATCH(AD$10,$T$7:$T$14,0))/30,0)</f>
        <v>2790911.7321608323</v>
      </c>
      <c r="AQ121" s="10">
        <f>IFERROR(MAX(节奏总纲!H114-积分赛!$C$7,0)*INDEX($U$7:$U$14,MATCH(AE$10,$T$7:$T$14,0))/30,0)</f>
        <v>18438769.574290533</v>
      </c>
      <c r="AR121" s="10">
        <f>MAX(节奏总纲!D114-积分赛!$C$7,0)*(IFERROR(INDEX($W$7:$W$14,MATCH(AF$10,$T$7:$T$14,0)),0)*$T$20+IFERROR(INDEX($X$7:$X$14,MATCH(AF$10,$T$7:$T$14,0)),0)*$T$21)/30</f>
        <v>0</v>
      </c>
      <c r="AS121" s="10">
        <f>MAX(节奏总纲!E114-积分赛!$C$7,0)*(IFERROR(INDEX($W$7:$W$14,MATCH(AG$10,$T$7:$T$14,0)),0)*$T$20+IFERROR(INDEX($X$7:$X$14,MATCH(AG$10,$T$7:$T$14,0)),0)*$T$21)/30</f>
        <v>0</v>
      </c>
      <c r="AT121" s="10">
        <f>MAX(节奏总纲!F114-积分赛!$C$7,0)*(IFERROR(INDEX($W$7:$W$14,MATCH(AH$10,$T$7:$T$14,0)),0)*$T$20+IFERROR(INDEX($X$7:$X$14,MATCH(AH$10,$T$7:$T$14,0)),0)*$T$21)/30</f>
        <v>0</v>
      </c>
      <c r="AU121" s="10">
        <f>MAX(节奏总纲!G114-积分赛!$C$7,0)*(IFERROR(INDEX($W$7:$W$14,MATCH(AI$10,$T$7:$T$14,0)),0)*$T$20+IFERROR(INDEX($X$7:$X$14,MATCH(AI$10,$T$7:$T$14,0)),0)*$T$21)/30</f>
        <v>106577.9417718918</v>
      </c>
      <c r="AV121" s="10">
        <f>MAX(节奏总纲!H114-积分赛!$C$7,0)*(IFERROR(INDEX($W$7:$W$14,MATCH(AJ$10,$T$7:$T$14,0)),0)*$T$20+IFERROR(INDEX($X$7:$X$14,MATCH(AJ$10,$T$7:$T$14,0)),0)*$T$21)/30</f>
        <v>337982.64629674546</v>
      </c>
      <c r="BI121" s="10">
        <v>111</v>
      </c>
      <c r="BJ121" s="10">
        <f>MAX($BI121-积分赛!$C$7,0)*$BC$10/30</f>
        <v>270000</v>
      </c>
      <c r="BK121" s="10">
        <f>MAX($BI121-积分赛!$C$7,0)*$BC$10/30</f>
        <v>270000</v>
      </c>
      <c r="BL121" s="10">
        <f>MAX($BI121-积分赛!$C$7,0)*$BC$10/30</f>
        <v>270000</v>
      </c>
      <c r="BM121" s="10">
        <f>MAX($BI121-积分赛!$C$7,0)*$BC$10/30</f>
        <v>270000</v>
      </c>
      <c r="BN121" s="10">
        <f>MAX($BI121-积分赛!$C$7,0)*$BC$10/30</f>
        <v>270000</v>
      </c>
      <c r="BP121" s="10">
        <v>111</v>
      </c>
      <c r="BQ121" s="10">
        <f>MAX(节奏总纲!D114-积分赛!$C$7,0)*$BC$10/30</f>
        <v>7213306.8375810878</v>
      </c>
      <c r="BR121" s="10">
        <f>MAX(节奏总纲!E114-积分赛!$C$7,0)*$BC$10/30</f>
        <v>6130206.0949353287</v>
      </c>
      <c r="BS121" s="10">
        <f>MAX(节奏总纲!F114-积分赛!$C$7,0)*$BC$10/30</f>
        <v>4901570.5462217052</v>
      </c>
      <c r="BT121" s="10">
        <f>MAX(节奏总纲!G114-积分赛!$C$7,0)*$BC$10/30</f>
        <v>3488639.6652010405</v>
      </c>
      <c r="BU121" s="10">
        <f>MAX(节奏总纲!H114-积分赛!$C$7,0)*$BC$10/30</f>
        <v>1843876.9574290535</v>
      </c>
    </row>
    <row r="122" spans="26:73" x14ac:dyDescent="0.15">
      <c r="Z122" s="10">
        <v>112</v>
      </c>
      <c r="AA122" s="10">
        <f>IFERROR(MAX($Z122-积分赛!$C$7,0)*INDEX($U$7:$U$14,MATCH(AA$10,$T$7:$T$14,0))/30,0)</f>
        <v>0</v>
      </c>
      <c r="AB122" s="10">
        <f>IFERROR(MAX($Z122-积分赛!$C$7,0)*INDEX($U$7:$U$14,MATCH(AB$10,$T$7:$T$14,0))/30,0)</f>
        <v>0</v>
      </c>
      <c r="AC122" s="10">
        <f>IFERROR(MAX($Z122-积分赛!$C$7,0)*INDEX($U$7:$U$14,MATCH(AC$10,$T$7:$T$14,0))/30,0)</f>
        <v>0</v>
      </c>
      <c r="AD122" s="10">
        <f>IFERROR(MAX($Z122-积分赛!$C$7,0)*INDEX($U$7:$U$14,MATCH(AD$10,$T$7:$T$14,0))/30,0)</f>
        <v>218666.66666666666</v>
      </c>
      <c r="AE122" s="10">
        <f>IFERROR(MAX($Z122-积分赛!$C$7,0)*INDEX($U$7:$U$14,MATCH(AE$10,$T$7:$T$14,0))/30,0)</f>
        <v>2733333.3333333335</v>
      </c>
      <c r="AF122" s="10">
        <f>MAX($Z122-积分赛!$C$7,0)*(IFERROR(INDEX($W$7:$W$14,MATCH(AF$10,$T$7:$T$14,0)),0)*$T$20+IFERROR(INDEX($X$7:$X$14,MATCH(AF$10,$T$7:$T$14,0)),0)*$T$21)/30</f>
        <v>0</v>
      </c>
      <c r="AG122" s="10">
        <f>MAX($Z122-积分赛!$C$7,0)*(IFERROR(INDEX($W$7:$W$14,MATCH(AG$10,$T$7:$T$14,0)),0)*$T$20+IFERROR(INDEX($X$7:$X$14,MATCH(AG$10,$T$7:$T$14,0)),0)*$T$21)/30</f>
        <v>0</v>
      </c>
      <c r="AH122" s="10">
        <f>MAX($Z122-积分赛!$C$7,0)*(IFERROR(INDEX($W$7:$W$14,MATCH(AH$10,$T$7:$T$14,0)),0)*$T$20+IFERROR(INDEX($X$7:$X$14,MATCH(AH$10,$T$7:$T$14,0)),0)*$T$21)/30</f>
        <v>0</v>
      </c>
      <c r="AI122" s="10">
        <f>MAX($Z122-积分赛!$C$7,0)*(IFERROR(INDEX($W$7:$W$14,MATCH(AI$10,$T$7:$T$14,0)),0)*$T$20+IFERROR(INDEX($X$7:$X$14,MATCH(AI$10,$T$7:$T$14,0)),0)*$T$21)/30</f>
        <v>8350.3333333333339</v>
      </c>
      <c r="AJ122" s="10">
        <f>MAX($Z122-积分赛!$C$7,0)*(IFERROR(INDEX($W$7:$W$14,MATCH(AJ$10,$T$7:$T$14,0)),0)*$T$20+IFERROR(INDEX($X$7:$X$14,MATCH(AJ$10,$T$7:$T$14,0)),0)*$T$21)/30</f>
        <v>50102</v>
      </c>
      <c r="AL122" s="10">
        <v>112</v>
      </c>
      <c r="AM122" s="10">
        <f>IFERROR(MAX(节奏总纲!D115-积分赛!$C$7,0)*INDEX($U$7:$U$14,MATCH(AA$10,$T$7:$T$14,0))/30,0)</f>
        <v>0</v>
      </c>
      <c r="AN122" s="10">
        <f>IFERROR(MAX(节奏总纲!E115-积分赛!$C$7,0)*INDEX($U$7:$U$14,MATCH(AB$10,$T$7:$T$14,0))/30,0)</f>
        <v>0</v>
      </c>
      <c r="AO122" s="10">
        <f>IFERROR(MAX(节奏总纲!F115-积分赛!$C$7,0)*INDEX($U$7:$U$14,MATCH(AC$10,$T$7:$T$14,0))/30,0)</f>
        <v>0</v>
      </c>
      <c r="AP122" s="10">
        <f>IFERROR(MAX(节奏总纲!G115-积分赛!$C$7,0)*INDEX($U$7:$U$14,MATCH(AD$10,$T$7:$T$14,0))/30,0)</f>
        <v>3000823.3805519138</v>
      </c>
      <c r="AQ122" s="10">
        <f>IFERROR(MAX(节奏总纲!H115-积分赛!$C$7,0)*INDEX($U$7:$U$14,MATCH(AE$10,$T$7:$T$14,0))/30,0)</f>
        <v>19771885.707466345</v>
      </c>
      <c r="AR122" s="10">
        <f>MAX(节奏总纲!D115-积分赛!$C$7,0)*(IFERROR(INDEX($W$7:$W$14,MATCH(AF$10,$T$7:$T$14,0)),0)*$T$20+IFERROR(INDEX($X$7:$X$14,MATCH(AF$10,$T$7:$T$14,0)),0)*$T$21)/30</f>
        <v>0</v>
      </c>
      <c r="AS122" s="10">
        <f>MAX(节奏总纲!E115-积分赛!$C$7,0)*(IFERROR(INDEX($W$7:$W$14,MATCH(AG$10,$T$7:$T$14,0)),0)*$T$20+IFERROR(INDEX($X$7:$X$14,MATCH(AG$10,$T$7:$T$14,0)),0)*$T$21)/30</f>
        <v>0</v>
      </c>
      <c r="AT122" s="10">
        <f>MAX(节奏总纲!F115-积分赛!$C$7,0)*(IFERROR(INDEX($W$7:$W$14,MATCH(AH$10,$T$7:$T$14,0)),0)*$T$20+IFERROR(INDEX($X$7:$X$14,MATCH(AH$10,$T$7:$T$14,0)),0)*$T$21)/30</f>
        <v>0</v>
      </c>
      <c r="AU122" s="10">
        <f>MAX(节奏总纲!G115-积分赛!$C$7,0)*(IFERROR(INDEX($W$7:$W$14,MATCH(AI$10,$T$7:$T$14,0)),0)*$T$20+IFERROR(INDEX($X$7:$X$14,MATCH(AI$10,$T$7:$T$14,0)),0)*$T$21)/30</f>
        <v>114593.94284482622</v>
      </c>
      <c r="AV122" s="10">
        <f>MAX(节奏总纲!H115-积分赛!$C$7,0)*(IFERROR(INDEX($W$7:$W$14,MATCH(AJ$10,$T$7:$T$14,0)),0)*$T$20+IFERROR(INDEX($X$7:$X$14,MATCH(AJ$10,$T$7:$T$14,0)),0)*$T$21)/30</f>
        <v>362418.66501785809</v>
      </c>
      <c r="BI122" s="10">
        <v>112</v>
      </c>
      <c r="BJ122" s="10">
        <f>MAX($BI122-积分赛!$C$7,0)*$BC$10/30</f>
        <v>273333.33333333331</v>
      </c>
      <c r="BK122" s="10">
        <f>MAX($BI122-积分赛!$C$7,0)*$BC$10/30</f>
        <v>273333.33333333331</v>
      </c>
      <c r="BL122" s="10">
        <f>MAX($BI122-积分赛!$C$7,0)*$BC$10/30</f>
        <v>273333.33333333331</v>
      </c>
      <c r="BM122" s="10">
        <f>MAX($BI122-积分赛!$C$7,0)*$BC$10/30</f>
        <v>273333.33333333331</v>
      </c>
      <c r="BN122" s="10">
        <f>MAX($BI122-积分赛!$C$7,0)*$BC$10/30</f>
        <v>273333.33333333331</v>
      </c>
      <c r="BP122" s="10">
        <v>112</v>
      </c>
      <c r="BQ122" s="10">
        <f>MAX(节奏总纲!D115-积分赛!$C$7,0)*$BC$10/30</f>
        <v>7738447.4367797524</v>
      </c>
      <c r="BR122" s="10">
        <f>MAX(节奏总纲!E115-积分赛!$C$7,0)*$BC$10/30</f>
        <v>6582276.4398547392</v>
      </c>
      <c r="BS122" s="10">
        <f>MAX(节奏总纲!F115-积分赛!$C$7,0)*$BC$10/30</f>
        <v>5264633.4257320622</v>
      </c>
      <c r="BT122" s="10">
        <f>MAX(节奏总纲!G115-积分赛!$C$7,0)*$BC$10/30</f>
        <v>3751029.2256898927</v>
      </c>
      <c r="BU122" s="10">
        <f>MAX(节奏总纲!H115-积分赛!$C$7,0)*$BC$10/30</f>
        <v>1977188.5707466344</v>
      </c>
    </row>
    <row r="123" spans="26:73" x14ac:dyDescent="0.15">
      <c r="Z123" s="10">
        <v>113</v>
      </c>
      <c r="AA123" s="10">
        <f>IFERROR(MAX($Z123-积分赛!$C$7,0)*INDEX($U$7:$U$14,MATCH(AA$10,$T$7:$T$14,0))/30,0)</f>
        <v>0</v>
      </c>
      <c r="AB123" s="10">
        <f>IFERROR(MAX($Z123-积分赛!$C$7,0)*INDEX($U$7:$U$14,MATCH(AB$10,$T$7:$T$14,0))/30,0)</f>
        <v>0</v>
      </c>
      <c r="AC123" s="10">
        <f>IFERROR(MAX($Z123-积分赛!$C$7,0)*INDEX($U$7:$U$14,MATCH(AC$10,$T$7:$T$14,0))/30,0)</f>
        <v>0</v>
      </c>
      <c r="AD123" s="10">
        <f>IFERROR(MAX($Z123-积分赛!$C$7,0)*INDEX($U$7:$U$14,MATCH(AD$10,$T$7:$T$14,0))/30,0)</f>
        <v>221333.33333333334</v>
      </c>
      <c r="AE123" s="10">
        <f>IFERROR(MAX($Z123-积分赛!$C$7,0)*INDEX($U$7:$U$14,MATCH(AE$10,$T$7:$T$14,0))/30,0)</f>
        <v>2766666.6666666665</v>
      </c>
      <c r="AF123" s="10">
        <f>MAX($Z123-积分赛!$C$7,0)*(IFERROR(INDEX($W$7:$W$14,MATCH(AF$10,$T$7:$T$14,0)),0)*$T$20+IFERROR(INDEX($X$7:$X$14,MATCH(AF$10,$T$7:$T$14,0)),0)*$T$21)/30</f>
        <v>0</v>
      </c>
      <c r="AG123" s="10">
        <f>MAX($Z123-积分赛!$C$7,0)*(IFERROR(INDEX($W$7:$W$14,MATCH(AG$10,$T$7:$T$14,0)),0)*$T$20+IFERROR(INDEX($X$7:$X$14,MATCH(AG$10,$T$7:$T$14,0)),0)*$T$21)/30</f>
        <v>0</v>
      </c>
      <c r="AH123" s="10">
        <f>MAX($Z123-积分赛!$C$7,0)*(IFERROR(INDEX($W$7:$W$14,MATCH(AH$10,$T$7:$T$14,0)),0)*$T$20+IFERROR(INDEX($X$7:$X$14,MATCH(AH$10,$T$7:$T$14,0)),0)*$T$21)/30</f>
        <v>0</v>
      </c>
      <c r="AI123" s="10">
        <f>MAX($Z123-积分赛!$C$7,0)*(IFERROR(INDEX($W$7:$W$14,MATCH(AI$10,$T$7:$T$14,0)),0)*$T$20+IFERROR(INDEX($X$7:$X$14,MATCH(AI$10,$T$7:$T$14,0)),0)*$T$21)/30</f>
        <v>8452.1666666666661</v>
      </c>
      <c r="AJ123" s="10">
        <f>MAX($Z123-积分赛!$C$7,0)*(IFERROR(INDEX($W$7:$W$14,MATCH(AJ$10,$T$7:$T$14,0)),0)*$T$20+IFERROR(INDEX($X$7:$X$14,MATCH(AJ$10,$T$7:$T$14,0)),0)*$T$21)/30</f>
        <v>50713</v>
      </c>
      <c r="AL123" s="10">
        <v>113</v>
      </c>
      <c r="AM123" s="10">
        <f>IFERROR(MAX(节奏总纲!D116-积分赛!$C$7,0)*INDEX($U$7:$U$14,MATCH(AA$10,$T$7:$T$14,0))/30,0)</f>
        <v>0</v>
      </c>
      <c r="AN123" s="10">
        <f>IFERROR(MAX(节奏总纲!E116-积分赛!$C$7,0)*INDEX($U$7:$U$14,MATCH(AB$10,$T$7:$T$14,0))/30,0)</f>
        <v>0</v>
      </c>
      <c r="AO123" s="10">
        <f>IFERROR(MAX(节奏总纲!F116-积分赛!$C$7,0)*INDEX($U$7:$U$14,MATCH(AC$10,$T$7:$T$14,0))/30,0)</f>
        <v>0</v>
      </c>
      <c r="AP123" s="10">
        <f>IFERROR(MAX(节奏总纲!G116-积分赛!$C$7,0)*INDEX($U$7:$U$14,MATCH(AD$10,$T$7:$T$14,0))/30,0)</f>
        <v>3215317.7514865324</v>
      </c>
      <c r="AQ123" s="10">
        <f>IFERROR(MAX(节奏总纲!H116-积分赛!$C$7,0)*INDEX($U$7:$U$14,MATCH(AE$10,$T$7:$T$14,0))/30,0)</f>
        <v>21187778.354262523</v>
      </c>
      <c r="AR123" s="10">
        <f>MAX(节奏总纲!D116-积分赛!$C$7,0)*(IFERROR(INDEX($W$7:$W$14,MATCH(AF$10,$T$7:$T$14,0)),0)*$T$20+IFERROR(INDEX($X$7:$X$14,MATCH(AF$10,$T$7:$T$14,0)),0)*$T$21)/30</f>
        <v>0</v>
      </c>
      <c r="AS123" s="10">
        <f>MAX(节奏总纲!E116-积分赛!$C$7,0)*(IFERROR(INDEX($W$7:$W$14,MATCH(AG$10,$T$7:$T$14,0)),0)*$T$20+IFERROR(INDEX($X$7:$X$14,MATCH(AG$10,$T$7:$T$14,0)),0)*$T$21)/30</f>
        <v>0</v>
      </c>
      <c r="AT123" s="10">
        <f>MAX(节奏总纲!F116-积分赛!$C$7,0)*(IFERROR(INDEX($W$7:$W$14,MATCH(AH$10,$T$7:$T$14,0)),0)*$T$20+IFERROR(INDEX($X$7:$X$14,MATCH(AH$10,$T$7:$T$14,0)),0)*$T$21)/30</f>
        <v>0</v>
      </c>
      <c r="AU123" s="10">
        <f>MAX(节奏总纲!G116-积分赛!$C$7,0)*(IFERROR(INDEX($W$7:$W$14,MATCH(AI$10,$T$7:$T$14,0)),0)*$T$20+IFERROR(INDEX($X$7:$X$14,MATCH(AI$10,$T$7:$T$14,0)),0)*$T$21)/30</f>
        <v>122784.94663489195</v>
      </c>
      <c r="AV123" s="10">
        <f>MAX(节奏总纲!H116-积分赛!$C$7,0)*(IFERROR(INDEX($W$7:$W$14,MATCH(AJ$10,$T$7:$T$14,0)),0)*$T$20+IFERROR(INDEX($X$7:$X$14,MATCH(AJ$10,$T$7:$T$14,0)),0)*$T$21)/30</f>
        <v>388371.97723363206</v>
      </c>
      <c r="BI123" s="10">
        <v>113</v>
      </c>
      <c r="BJ123" s="10">
        <f>MAX($BI123-积分赛!$C$7,0)*$BC$10/30</f>
        <v>276666.66666666669</v>
      </c>
      <c r="BK123" s="10">
        <f>MAX($BI123-积分赛!$C$7,0)*$BC$10/30</f>
        <v>276666.66666666669</v>
      </c>
      <c r="BL123" s="10">
        <f>MAX($BI123-积分赛!$C$7,0)*$BC$10/30</f>
        <v>276666.66666666669</v>
      </c>
      <c r="BM123" s="10">
        <f>MAX($BI123-积分赛!$C$7,0)*$BC$10/30</f>
        <v>276666.66666666669</v>
      </c>
      <c r="BN123" s="10">
        <f>MAX($BI123-积分赛!$C$7,0)*$BC$10/30</f>
        <v>276666.66666666669</v>
      </c>
      <c r="BP123" s="10">
        <v>113</v>
      </c>
      <c r="BQ123" s="10">
        <f>MAX(节奏总纲!D116-积分赛!$C$7,0)*$BC$10/30</f>
        <v>8301279.1951012947</v>
      </c>
      <c r="BR123" s="10">
        <f>MAX(节奏总纲!E116-积分赛!$C$7,0)*$BC$10/30</f>
        <v>7065451.0255018948</v>
      </c>
      <c r="BS123" s="10">
        <f>MAX(节奏总纲!F116-积分赛!$C$7,0)*$BC$10/30</f>
        <v>5655716.3765638974</v>
      </c>
      <c r="BT123" s="10">
        <f>MAX(节奏总纲!G116-积分赛!$C$7,0)*$BC$10/30</f>
        <v>4019147.1893581655</v>
      </c>
      <c r="BU123" s="10">
        <f>MAX(节奏总纲!H116-积分赛!$C$7,0)*$BC$10/30</f>
        <v>2118777.8354262519</v>
      </c>
    </row>
    <row r="124" spans="26:73" x14ac:dyDescent="0.15">
      <c r="Z124" s="10">
        <v>114</v>
      </c>
      <c r="AA124" s="10">
        <f>IFERROR(MAX($Z124-积分赛!$C$7,0)*INDEX($U$7:$U$14,MATCH(AA$10,$T$7:$T$14,0))/30,0)</f>
        <v>0</v>
      </c>
      <c r="AB124" s="10">
        <f>IFERROR(MAX($Z124-积分赛!$C$7,0)*INDEX($U$7:$U$14,MATCH(AB$10,$T$7:$T$14,0))/30,0)</f>
        <v>0</v>
      </c>
      <c r="AC124" s="10">
        <f>IFERROR(MAX($Z124-积分赛!$C$7,0)*INDEX($U$7:$U$14,MATCH(AC$10,$T$7:$T$14,0))/30,0)</f>
        <v>0</v>
      </c>
      <c r="AD124" s="10">
        <f>IFERROR(MAX($Z124-积分赛!$C$7,0)*INDEX($U$7:$U$14,MATCH(AD$10,$T$7:$T$14,0))/30,0)</f>
        <v>224000</v>
      </c>
      <c r="AE124" s="10">
        <f>IFERROR(MAX($Z124-积分赛!$C$7,0)*INDEX($U$7:$U$14,MATCH(AE$10,$T$7:$T$14,0))/30,0)</f>
        <v>2800000</v>
      </c>
      <c r="AF124" s="10">
        <f>MAX($Z124-积分赛!$C$7,0)*(IFERROR(INDEX($W$7:$W$14,MATCH(AF$10,$T$7:$T$14,0)),0)*$T$20+IFERROR(INDEX($X$7:$X$14,MATCH(AF$10,$T$7:$T$14,0)),0)*$T$21)/30</f>
        <v>0</v>
      </c>
      <c r="AG124" s="10">
        <f>MAX($Z124-积分赛!$C$7,0)*(IFERROR(INDEX($W$7:$W$14,MATCH(AG$10,$T$7:$T$14,0)),0)*$T$20+IFERROR(INDEX($X$7:$X$14,MATCH(AG$10,$T$7:$T$14,0)),0)*$T$21)/30</f>
        <v>0</v>
      </c>
      <c r="AH124" s="10">
        <f>MAX($Z124-积分赛!$C$7,0)*(IFERROR(INDEX($W$7:$W$14,MATCH(AH$10,$T$7:$T$14,0)),0)*$T$20+IFERROR(INDEX($X$7:$X$14,MATCH(AH$10,$T$7:$T$14,0)),0)*$T$21)/30</f>
        <v>0</v>
      </c>
      <c r="AI124" s="10">
        <f>MAX($Z124-积分赛!$C$7,0)*(IFERROR(INDEX($W$7:$W$14,MATCH(AI$10,$T$7:$T$14,0)),0)*$T$20+IFERROR(INDEX($X$7:$X$14,MATCH(AI$10,$T$7:$T$14,0)),0)*$T$21)/30</f>
        <v>8554</v>
      </c>
      <c r="AJ124" s="10">
        <f>MAX($Z124-积分赛!$C$7,0)*(IFERROR(INDEX($W$7:$W$14,MATCH(AJ$10,$T$7:$T$14,0)),0)*$T$20+IFERROR(INDEX($X$7:$X$14,MATCH(AJ$10,$T$7:$T$14,0)),0)*$T$21)/30</f>
        <v>51324</v>
      </c>
      <c r="AL124" s="10">
        <v>114</v>
      </c>
      <c r="AM124" s="10">
        <f>IFERROR(MAX(节奏总纲!D117-积分赛!$C$7,0)*INDEX($U$7:$U$14,MATCH(AA$10,$T$7:$T$14,0))/30,0)</f>
        <v>0</v>
      </c>
      <c r="AN124" s="10">
        <f>IFERROR(MAX(节奏总纲!E117-积分赛!$C$7,0)*INDEX($U$7:$U$14,MATCH(AB$10,$T$7:$T$14,0))/30,0)</f>
        <v>0</v>
      </c>
      <c r="AO124" s="10">
        <f>IFERROR(MAX(节奏总纲!F117-积分赛!$C$7,0)*INDEX($U$7:$U$14,MATCH(AC$10,$T$7:$T$14,0))/30,0)</f>
        <v>0</v>
      </c>
      <c r="AP124" s="10">
        <f>IFERROR(MAX(节奏总纲!G117-积分赛!$C$7,0)*INDEX($U$7:$U$14,MATCH(AD$10,$T$7:$T$14,0))/30,0)</f>
        <v>3438241.1069247853</v>
      </c>
      <c r="AQ124" s="10">
        <f>IFERROR(MAX(节奏总纲!H117-积分赛!$C$7,0)*INDEX($U$7:$U$14,MATCH(AE$10,$T$7:$T$14,0))/30,0)</f>
        <v>22699863.31241307</v>
      </c>
      <c r="AR124" s="10">
        <f>MAX(节奏总纲!D117-积分赛!$C$7,0)*(IFERROR(INDEX($W$7:$W$14,MATCH(AF$10,$T$7:$T$14,0)),0)*$T$20+IFERROR(INDEX($X$7:$X$14,MATCH(AF$10,$T$7:$T$14,0)),0)*$T$21)/30</f>
        <v>0</v>
      </c>
      <c r="AS124" s="10">
        <f>MAX(节奏总纲!E117-积分赛!$C$7,0)*(IFERROR(INDEX($W$7:$W$14,MATCH(AG$10,$T$7:$T$14,0)),0)*$T$20+IFERROR(INDEX($X$7:$X$14,MATCH(AG$10,$T$7:$T$14,0)),0)*$T$21)/30</f>
        <v>0</v>
      </c>
      <c r="AT124" s="10">
        <f>MAX(节奏总纲!F117-积分赛!$C$7,0)*(IFERROR(INDEX($W$7:$W$14,MATCH(AH$10,$T$7:$T$14,0)),0)*$T$20+IFERROR(INDEX($X$7:$X$14,MATCH(AH$10,$T$7:$T$14,0)),0)*$T$21)/30</f>
        <v>0</v>
      </c>
      <c r="AU124" s="10">
        <f>MAX(节奏总纲!G117-积分赛!$C$7,0)*(IFERROR(INDEX($W$7:$W$14,MATCH(AI$10,$T$7:$T$14,0)),0)*$T$20+IFERROR(INDEX($X$7:$X$14,MATCH(AI$10,$T$7:$T$14,0)),0)*$T$21)/30</f>
        <v>131297.83227069024</v>
      </c>
      <c r="AV124" s="10">
        <f>MAX(节奏总纲!H117-积分赛!$C$7,0)*(IFERROR(INDEX($W$7:$W$14,MATCH(AJ$10,$T$7:$T$14,0)),0)*$T$20+IFERROR(INDEX($X$7:$X$14,MATCH(AJ$10,$T$7:$T$14,0)),0)*$T$21)/30</f>
        <v>416088.49451653159</v>
      </c>
      <c r="BI124" s="10">
        <v>114</v>
      </c>
      <c r="BJ124" s="10">
        <f>MAX($BI124-积分赛!$C$7,0)*$BC$10/30</f>
        <v>280000</v>
      </c>
      <c r="BK124" s="10">
        <f>MAX($BI124-积分赛!$C$7,0)*$BC$10/30</f>
        <v>280000</v>
      </c>
      <c r="BL124" s="10">
        <f>MAX($BI124-积分赛!$C$7,0)*$BC$10/30</f>
        <v>280000</v>
      </c>
      <c r="BM124" s="10">
        <f>MAX($BI124-积分赛!$C$7,0)*$BC$10/30</f>
        <v>280000</v>
      </c>
      <c r="BN124" s="10">
        <f>MAX($BI124-积分赛!$C$7,0)*$BC$10/30</f>
        <v>280000</v>
      </c>
      <c r="BP124" s="10">
        <v>114</v>
      </c>
      <c r="BQ124" s="10">
        <f>MAX(节奏总纲!D117-积分赛!$C$7,0)*$BC$10/30</f>
        <v>8904507.3375429586</v>
      </c>
      <c r="BR124" s="10">
        <f>MAX(节奏总纲!E117-积分赛!$C$7,0)*$BC$10/30</f>
        <v>7581745.2096578982</v>
      </c>
      <c r="BS124" s="10">
        <f>MAX(节奏总纲!F117-积分赛!$C$7,0)*$BC$10/30</f>
        <v>6054580.7652106127</v>
      </c>
      <c r="BT124" s="10">
        <f>MAX(节奏总纲!G117-积分赛!$C$7,0)*$BC$10/30</f>
        <v>4297801.3836559821</v>
      </c>
      <c r="BU124" s="10">
        <f>MAX(节奏总纲!H117-积分赛!$C$7,0)*$BC$10/30</f>
        <v>2269986.3312413068</v>
      </c>
    </row>
    <row r="125" spans="26:73" x14ac:dyDescent="0.15">
      <c r="Z125" s="10">
        <v>115</v>
      </c>
      <c r="AA125" s="10">
        <f>IFERROR(MAX($Z125-积分赛!$C$7,0)*INDEX($U$7:$U$14,MATCH(AA$10,$T$7:$T$14,0))/30,0)</f>
        <v>0</v>
      </c>
      <c r="AB125" s="10">
        <f>IFERROR(MAX($Z125-积分赛!$C$7,0)*INDEX($U$7:$U$14,MATCH(AB$10,$T$7:$T$14,0))/30,0)</f>
        <v>0</v>
      </c>
      <c r="AC125" s="10">
        <f>IFERROR(MAX($Z125-积分赛!$C$7,0)*INDEX($U$7:$U$14,MATCH(AC$10,$T$7:$T$14,0))/30,0)</f>
        <v>0</v>
      </c>
      <c r="AD125" s="10">
        <f>IFERROR(MAX($Z125-积分赛!$C$7,0)*INDEX($U$7:$U$14,MATCH(AD$10,$T$7:$T$14,0))/30,0)</f>
        <v>226666.66666666666</v>
      </c>
      <c r="AE125" s="10">
        <f>IFERROR(MAX($Z125-积分赛!$C$7,0)*INDEX($U$7:$U$14,MATCH(AE$10,$T$7:$T$14,0))/30,0)</f>
        <v>2833333.3333333335</v>
      </c>
      <c r="AF125" s="10">
        <f>MAX($Z125-积分赛!$C$7,0)*(IFERROR(INDEX($W$7:$W$14,MATCH(AF$10,$T$7:$T$14,0)),0)*$T$20+IFERROR(INDEX($X$7:$X$14,MATCH(AF$10,$T$7:$T$14,0)),0)*$T$21)/30</f>
        <v>0</v>
      </c>
      <c r="AG125" s="10">
        <f>MAX($Z125-积分赛!$C$7,0)*(IFERROR(INDEX($W$7:$W$14,MATCH(AG$10,$T$7:$T$14,0)),0)*$T$20+IFERROR(INDEX($X$7:$X$14,MATCH(AG$10,$T$7:$T$14,0)),0)*$T$21)/30</f>
        <v>0</v>
      </c>
      <c r="AH125" s="10">
        <f>MAX($Z125-积分赛!$C$7,0)*(IFERROR(INDEX($W$7:$W$14,MATCH(AH$10,$T$7:$T$14,0)),0)*$T$20+IFERROR(INDEX($X$7:$X$14,MATCH(AH$10,$T$7:$T$14,0)),0)*$T$21)/30</f>
        <v>0</v>
      </c>
      <c r="AI125" s="10">
        <f>MAX($Z125-积分赛!$C$7,0)*(IFERROR(INDEX($W$7:$W$14,MATCH(AI$10,$T$7:$T$14,0)),0)*$T$20+IFERROR(INDEX($X$7:$X$14,MATCH(AI$10,$T$7:$T$14,0)),0)*$T$21)/30</f>
        <v>8655.8333333333339</v>
      </c>
      <c r="AJ125" s="10">
        <f>MAX($Z125-积分赛!$C$7,0)*(IFERROR(INDEX($W$7:$W$14,MATCH(AJ$10,$T$7:$T$14,0)),0)*$T$20+IFERROR(INDEX($X$7:$X$14,MATCH(AJ$10,$T$7:$T$14,0)),0)*$T$21)/30</f>
        <v>51935</v>
      </c>
      <c r="AL125" s="10">
        <v>115</v>
      </c>
      <c r="AM125" s="10">
        <f>IFERROR(MAX(节奏总纲!D118-积分赛!$C$7,0)*INDEX($U$7:$U$14,MATCH(AA$10,$T$7:$T$14,0))/30,0)</f>
        <v>0</v>
      </c>
      <c r="AN125" s="10">
        <f>IFERROR(MAX(节奏总纲!E118-积分赛!$C$7,0)*INDEX($U$7:$U$14,MATCH(AB$10,$T$7:$T$14,0))/30,0)</f>
        <v>0</v>
      </c>
      <c r="AO125" s="10">
        <f>IFERROR(MAX(节奏总纲!F118-积分赛!$C$7,0)*INDEX($U$7:$U$14,MATCH(AC$10,$T$7:$T$14,0))/30,0)</f>
        <v>0</v>
      </c>
      <c r="AP125" s="10">
        <f>IFERROR(MAX(节奏总纲!G118-积分赛!$C$7,0)*INDEX($U$7:$U$14,MATCH(AD$10,$T$7:$T$14,0))/30,0)</f>
        <v>3672320.9509591684</v>
      </c>
      <c r="AQ125" s="10">
        <f>IFERROR(MAX(节奏总纲!H118-积分赛!$C$7,0)*INDEX($U$7:$U$14,MATCH(AE$10,$T$7:$T$14,0))/30,0)</f>
        <v>24295352.912715998</v>
      </c>
      <c r="AR125" s="10">
        <f>MAX(节奏总纲!D118-积分赛!$C$7,0)*(IFERROR(INDEX($W$7:$W$14,MATCH(AF$10,$T$7:$T$14,0)),0)*$T$20+IFERROR(INDEX($X$7:$X$14,MATCH(AF$10,$T$7:$T$14,0)),0)*$T$21)/30</f>
        <v>0</v>
      </c>
      <c r="AS125" s="10">
        <f>MAX(节奏总纲!E118-积分赛!$C$7,0)*(IFERROR(INDEX($W$7:$W$14,MATCH(AG$10,$T$7:$T$14,0)),0)*$T$20+IFERROR(INDEX($X$7:$X$14,MATCH(AG$10,$T$7:$T$14,0)),0)*$T$21)/30</f>
        <v>0</v>
      </c>
      <c r="AT125" s="10">
        <f>MAX(节奏总纲!F118-积分赛!$C$7,0)*(IFERROR(INDEX($W$7:$W$14,MATCH(AH$10,$T$7:$T$14,0)),0)*$T$20+IFERROR(INDEX($X$7:$X$14,MATCH(AH$10,$T$7:$T$14,0)),0)*$T$21)/30</f>
        <v>0</v>
      </c>
      <c r="AU125" s="10">
        <f>MAX(节奏总纲!G118-积分赛!$C$7,0)*(IFERROR(INDEX($W$7:$W$14,MATCH(AI$10,$T$7:$T$14,0)),0)*$T$20+IFERROR(INDEX($X$7:$X$14,MATCH(AI$10,$T$7:$T$14,0)),0)*$T$21)/30</f>
        <v>140236.75631475323</v>
      </c>
      <c r="AV125" s="10">
        <f>MAX(节奏总纲!H118-积分赛!$C$7,0)*(IFERROR(INDEX($W$7:$W$14,MATCH(AJ$10,$T$7:$T$14,0)),0)*$T$20+IFERROR(INDEX($X$7:$X$14,MATCH(AJ$10,$T$7:$T$14,0)),0)*$T$21)/30</f>
        <v>445333.81889008428</v>
      </c>
      <c r="BI125" s="10">
        <v>115</v>
      </c>
      <c r="BJ125" s="10">
        <f>MAX($BI125-积分赛!$C$7,0)*$BC$10/30</f>
        <v>283333.33333333331</v>
      </c>
      <c r="BK125" s="10">
        <f>MAX($BI125-积分赛!$C$7,0)*$BC$10/30</f>
        <v>283333.33333333331</v>
      </c>
      <c r="BL125" s="10">
        <f>MAX($BI125-积分赛!$C$7,0)*$BC$10/30</f>
        <v>283333.33333333331</v>
      </c>
      <c r="BM125" s="10">
        <f>MAX($BI125-积分赛!$C$7,0)*$BC$10/30</f>
        <v>283333.33333333331</v>
      </c>
      <c r="BN125" s="10">
        <f>MAX($BI125-积分赛!$C$7,0)*$BC$10/30</f>
        <v>283333.33333333331</v>
      </c>
      <c r="BP125" s="10">
        <v>115</v>
      </c>
      <c r="BQ125" s="10">
        <f>MAX(节奏总纲!D118-积分赛!$C$7,0)*$BC$10/30</f>
        <v>9551031.2524669971</v>
      </c>
      <c r="BR125" s="10">
        <f>MAX(节奏总纲!E118-积分赛!$C$7,0)*$BC$10/30</f>
        <v>8110132.2864736738</v>
      </c>
      <c r="BS125" s="10">
        <f>MAX(节奏总纲!F118-积分赛!$C$7,0)*$BC$10/30</f>
        <v>6466561.6641785447</v>
      </c>
      <c r="BT125" s="10">
        <f>MAX(节奏总纲!G118-积分赛!$C$7,0)*$BC$10/30</f>
        <v>4590401.1886989605</v>
      </c>
      <c r="BU125" s="10">
        <f>MAX(节奏总纲!H118-积分赛!$C$7,0)*$BC$10/30</f>
        <v>2429535.2912715995</v>
      </c>
    </row>
    <row r="126" spans="26:73" x14ac:dyDescent="0.15">
      <c r="Z126" s="10">
        <v>116</v>
      </c>
      <c r="AA126" s="10">
        <f>IFERROR(MAX($Z126-积分赛!$C$7,0)*INDEX($U$7:$U$14,MATCH(AA$10,$T$7:$T$14,0))/30,0)</f>
        <v>0</v>
      </c>
      <c r="AB126" s="10">
        <f>IFERROR(MAX($Z126-积分赛!$C$7,0)*INDEX($U$7:$U$14,MATCH(AB$10,$T$7:$T$14,0))/30,0)</f>
        <v>0</v>
      </c>
      <c r="AC126" s="10">
        <f>IFERROR(MAX($Z126-积分赛!$C$7,0)*INDEX($U$7:$U$14,MATCH(AC$10,$T$7:$T$14,0))/30,0)</f>
        <v>0</v>
      </c>
      <c r="AD126" s="10">
        <f>IFERROR(MAX($Z126-积分赛!$C$7,0)*INDEX($U$7:$U$14,MATCH(AD$10,$T$7:$T$14,0))/30,0)</f>
        <v>229333.33333333334</v>
      </c>
      <c r="AE126" s="10">
        <f>IFERROR(MAX($Z126-积分赛!$C$7,0)*INDEX($U$7:$U$14,MATCH(AE$10,$T$7:$T$14,0))/30,0)</f>
        <v>2866666.6666666665</v>
      </c>
      <c r="AF126" s="10">
        <f>MAX($Z126-积分赛!$C$7,0)*(IFERROR(INDEX($W$7:$W$14,MATCH(AF$10,$T$7:$T$14,0)),0)*$T$20+IFERROR(INDEX($X$7:$X$14,MATCH(AF$10,$T$7:$T$14,0)),0)*$T$21)/30</f>
        <v>0</v>
      </c>
      <c r="AG126" s="10">
        <f>MAX($Z126-积分赛!$C$7,0)*(IFERROR(INDEX($W$7:$W$14,MATCH(AG$10,$T$7:$T$14,0)),0)*$T$20+IFERROR(INDEX($X$7:$X$14,MATCH(AG$10,$T$7:$T$14,0)),0)*$T$21)/30</f>
        <v>0</v>
      </c>
      <c r="AH126" s="10">
        <f>MAX($Z126-积分赛!$C$7,0)*(IFERROR(INDEX($W$7:$W$14,MATCH(AH$10,$T$7:$T$14,0)),0)*$T$20+IFERROR(INDEX($X$7:$X$14,MATCH(AH$10,$T$7:$T$14,0)),0)*$T$21)/30</f>
        <v>0</v>
      </c>
      <c r="AI126" s="10">
        <f>MAX($Z126-积分赛!$C$7,0)*(IFERROR(INDEX($W$7:$W$14,MATCH(AI$10,$T$7:$T$14,0)),0)*$T$20+IFERROR(INDEX($X$7:$X$14,MATCH(AI$10,$T$7:$T$14,0)),0)*$T$21)/30</f>
        <v>8757.6666666666661</v>
      </c>
      <c r="AJ126" s="10">
        <f>MAX($Z126-积分赛!$C$7,0)*(IFERROR(INDEX($W$7:$W$14,MATCH(AJ$10,$T$7:$T$14,0)),0)*$T$20+IFERROR(INDEX($X$7:$X$14,MATCH(AJ$10,$T$7:$T$14,0)),0)*$T$21)/30</f>
        <v>52546</v>
      </c>
      <c r="AL126" s="10">
        <v>116</v>
      </c>
      <c r="AM126" s="10">
        <f>IFERROR(MAX(节奏总纲!D119-积分赛!$C$7,0)*INDEX($U$7:$U$14,MATCH(AA$10,$T$7:$T$14,0))/30,0)</f>
        <v>0</v>
      </c>
      <c r="AN126" s="10">
        <f>IFERROR(MAX(节奏总纲!E119-积分赛!$C$7,0)*INDEX($U$7:$U$14,MATCH(AB$10,$T$7:$T$14,0))/30,0)</f>
        <v>0</v>
      </c>
      <c r="AO126" s="10">
        <f>IFERROR(MAX(节奏总纲!F119-积分赛!$C$7,0)*INDEX($U$7:$U$14,MATCH(AC$10,$T$7:$T$14,0))/30,0)</f>
        <v>0</v>
      </c>
      <c r="AP126" s="10">
        <f>IFERROR(MAX(节奏总纲!G119-积分赛!$C$7,0)*INDEX($U$7:$U$14,MATCH(AD$10,$T$7:$T$14,0))/30,0)</f>
        <v>3944213.5865869978</v>
      </c>
      <c r="AQ126" s="10">
        <f>IFERROR(MAX(节奏总纲!H119-积分赛!$C$7,0)*INDEX($U$7:$U$14,MATCH(AE$10,$T$7:$T$14,0))/30,0)</f>
        <v>26111515.0381568</v>
      </c>
      <c r="AR126" s="10">
        <f>MAX(节奏总纲!D119-积分赛!$C$7,0)*(IFERROR(INDEX($W$7:$W$14,MATCH(AF$10,$T$7:$T$14,0)),0)*$T$20+IFERROR(INDEX($X$7:$X$14,MATCH(AF$10,$T$7:$T$14,0)),0)*$T$21)/30</f>
        <v>0</v>
      </c>
      <c r="AS126" s="10">
        <f>MAX(节奏总纲!E119-积分赛!$C$7,0)*(IFERROR(INDEX($W$7:$W$14,MATCH(AG$10,$T$7:$T$14,0)),0)*$T$20+IFERROR(INDEX($X$7:$X$14,MATCH(AG$10,$T$7:$T$14,0)),0)*$T$21)/30</f>
        <v>0</v>
      </c>
      <c r="AT126" s="10">
        <f>MAX(节奏总纲!F119-积分赛!$C$7,0)*(IFERROR(INDEX($W$7:$W$14,MATCH(AH$10,$T$7:$T$14,0)),0)*$T$20+IFERROR(INDEX($X$7:$X$14,MATCH(AH$10,$T$7:$T$14,0)),0)*$T$21)/30</f>
        <v>0</v>
      </c>
      <c r="AU126" s="10">
        <f>MAX(节奏总纲!G119-积分赛!$C$7,0)*(IFERROR(INDEX($W$7:$W$14,MATCH(AI$10,$T$7:$T$14,0)),0)*$T$20+IFERROR(INDEX($X$7:$X$14,MATCH(AI$10,$T$7:$T$14,0)),0)*$T$21)/30</f>
        <v>150619.65633779101</v>
      </c>
      <c r="AV126" s="10">
        <f>MAX(节奏总纲!H119-积分赛!$C$7,0)*(IFERROR(INDEX($W$7:$W$14,MATCH(AJ$10,$T$7:$T$14,0)),0)*$T$20+IFERROR(INDEX($X$7:$X$14,MATCH(AJ$10,$T$7:$T$14,0)),0)*$T$21)/30</f>
        <v>478624.07064941421</v>
      </c>
      <c r="BI126" s="10">
        <v>116</v>
      </c>
      <c r="BJ126" s="10">
        <f>MAX($BI126-积分赛!$C$7,0)*$BC$10/30</f>
        <v>286666.66666666669</v>
      </c>
      <c r="BK126" s="10">
        <f>MAX($BI126-积分赛!$C$7,0)*$BC$10/30</f>
        <v>286666.66666666669</v>
      </c>
      <c r="BL126" s="10">
        <f>MAX($BI126-积分赛!$C$7,0)*$BC$10/30</f>
        <v>286666.66666666669</v>
      </c>
      <c r="BM126" s="10">
        <f>MAX($BI126-积分赛!$C$7,0)*$BC$10/30</f>
        <v>286666.66666666669</v>
      </c>
      <c r="BN126" s="10">
        <f>MAX($BI126-积分赛!$C$7,0)*$BC$10/30</f>
        <v>286666.66666666669</v>
      </c>
      <c r="BP126" s="10">
        <v>116</v>
      </c>
      <c r="BQ126" s="10">
        <f>MAX(节奏总纲!D119-积分赛!$C$7,0)*$BC$10/30</f>
        <v>10243958.427377643</v>
      </c>
      <c r="BR126" s="10">
        <f>MAX(节奏总纲!E119-积分赛!$C$7,0)*$BC$10/30</f>
        <v>8689261.4757427834</v>
      </c>
      <c r="BS126" s="10">
        <f>MAX(节奏总纲!F119-积分赛!$C$7,0)*$BC$10/30</f>
        <v>6929754.1472458458</v>
      </c>
      <c r="BT126" s="10">
        <f>MAX(节奏总纲!G119-积分赛!$C$7,0)*$BC$10/30</f>
        <v>4930266.983233748</v>
      </c>
      <c r="BU126" s="10">
        <f>MAX(节奏总纲!H119-积分赛!$C$7,0)*$BC$10/30</f>
        <v>2611151.5038156803</v>
      </c>
    </row>
    <row r="127" spans="26:73" x14ac:dyDescent="0.15">
      <c r="Z127" s="10">
        <v>117</v>
      </c>
      <c r="AA127" s="10">
        <f>IFERROR(MAX($Z127-积分赛!$C$7,0)*INDEX($U$7:$U$14,MATCH(AA$10,$T$7:$T$14,0))/30,0)</f>
        <v>0</v>
      </c>
      <c r="AB127" s="10">
        <f>IFERROR(MAX($Z127-积分赛!$C$7,0)*INDEX($U$7:$U$14,MATCH(AB$10,$T$7:$T$14,0))/30,0)</f>
        <v>0</v>
      </c>
      <c r="AC127" s="10">
        <f>IFERROR(MAX($Z127-积分赛!$C$7,0)*INDEX($U$7:$U$14,MATCH(AC$10,$T$7:$T$14,0))/30,0)</f>
        <v>0</v>
      </c>
      <c r="AD127" s="10">
        <f>IFERROR(MAX($Z127-积分赛!$C$7,0)*INDEX($U$7:$U$14,MATCH(AD$10,$T$7:$T$14,0))/30,0)</f>
        <v>232000</v>
      </c>
      <c r="AE127" s="10">
        <f>IFERROR(MAX($Z127-积分赛!$C$7,0)*INDEX($U$7:$U$14,MATCH(AE$10,$T$7:$T$14,0))/30,0)</f>
        <v>2900000</v>
      </c>
      <c r="AF127" s="10">
        <f>MAX($Z127-积分赛!$C$7,0)*(IFERROR(INDEX($W$7:$W$14,MATCH(AF$10,$T$7:$T$14,0)),0)*$T$20+IFERROR(INDEX($X$7:$X$14,MATCH(AF$10,$T$7:$T$14,0)),0)*$T$21)/30</f>
        <v>0</v>
      </c>
      <c r="AG127" s="10">
        <f>MAX($Z127-积分赛!$C$7,0)*(IFERROR(INDEX($W$7:$W$14,MATCH(AG$10,$T$7:$T$14,0)),0)*$T$20+IFERROR(INDEX($X$7:$X$14,MATCH(AG$10,$T$7:$T$14,0)),0)*$T$21)/30</f>
        <v>0</v>
      </c>
      <c r="AH127" s="10">
        <f>MAX($Z127-积分赛!$C$7,0)*(IFERROR(INDEX($W$7:$W$14,MATCH(AH$10,$T$7:$T$14,0)),0)*$T$20+IFERROR(INDEX($X$7:$X$14,MATCH(AH$10,$T$7:$T$14,0)),0)*$T$21)/30</f>
        <v>0</v>
      </c>
      <c r="AI127" s="10">
        <f>MAX($Z127-积分赛!$C$7,0)*(IFERROR(INDEX($W$7:$W$14,MATCH(AI$10,$T$7:$T$14,0)),0)*$T$20+IFERROR(INDEX($X$7:$X$14,MATCH(AI$10,$T$7:$T$14,0)),0)*$T$21)/30</f>
        <v>8859.5</v>
      </c>
      <c r="AJ127" s="10">
        <f>MAX($Z127-积分赛!$C$7,0)*(IFERROR(INDEX($W$7:$W$14,MATCH(AJ$10,$T$7:$T$14,0)),0)*$T$20+IFERROR(INDEX($X$7:$X$14,MATCH(AJ$10,$T$7:$T$14,0)),0)*$T$21)/30</f>
        <v>53157</v>
      </c>
      <c r="AL127" s="10">
        <v>117</v>
      </c>
      <c r="AM127" s="10">
        <f>IFERROR(MAX(节奏总纲!D120-积分赛!$C$7,0)*INDEX($U$7:$U$14,MATCH(AA$10,$T$7:$T$14,0))/30,0)</f>
        <v>0</v>
      </c>
      <c r="AN127" s="10">
        <f>IFERROR(MAX(节奏总纲!E120-积分赛!$C$7,0)*INDEX($U$7:$U$14,MATCH(AB$10,$T$7:$T$14,0))/30,0)</f>
        <v>0</v>
      </c>
      <c r="AO127" s="10">
        <f>IFERROR(MAX(节奏总纲!F120-积分赛!$C$7,0)*INDEX($U$7:$U$14,MATCH(AC$10,$T$7:$T$14,0))/30,0)</f>
        <v>0</v>
      </c>
      <c r="AP127" s="10">
        <f>IFERROR(MAX(节奏总纲!G120-积分赛!$C$7,0)*INDEX($U$7:$U$14,MATCH(AD$10,$T$7:$T$14,0))/30,0)</f>
        <v>4234912.264609742</v>
      </c>
      <c r="AQ127" s="10">
        <f>IFERROR(MAX(节奏总纲!H120-积分赛!$C$7,0)*INDEX($U$7:$U$14,MATCH(AE$10,$T$7:$T$14,0))/30,0)</f>
        <v>28102375.885407437</v>
      </c>
      <c r="AR127" s="10">
        <f>MAX(节奏总纲!D120-积分赛!$C$7,0)*(IFERROR(INDEX($W$7:$W$14,MATCH(AF$10,$T$7:$T$14,0)),0)*$T$20+IFERROR(INDEX($X$7:$X$14,MATCH(AF$10,$T$7:$T$14,0)),0)*$T$21)/30</f>
        <v>0</v>
      </c>
      <c r="AS127" s="10">
        <f>MAX(节奏总纲!E120-积分赛!$C$7,0)*(IFERROR(INDEX($W$7:$W$14,MATCH(AG$10,$T$7:$T$14,0)),0)*$T$20+IFERROR(INDEX($X$7:$X$14,MATCH(AG$10,$T$7:$T$14,0)),0)*$T$21)/30</f>
        <v>0</v>
      </c>
      <c r="AT127" s="10">
        <f>MAX(节奏总纲!F120-积分赛!$C$7,0)*(IFERROR(INDEX($W$7:$W$14,MATCH(AH$10,$T$7:$T$14,0)),0)*$T$20+IFERROR(INDEX($X$7:$X$14,MATCH(AH$10,$T$7:$T$14,0)),0)*$T$21)/30</f>
        <v>0</v>
      </c>
      <c r="AU127" s="10">
        <f>MAX(节奏总纲!G120-积分赛!$C$7,0)*(IFERROR(INDEX($W$7:$W$14,MATCH(AI$10,$T$7:$T$14,0)),0)*$T$20+IFERROR(INDEX($X$7:$X$14,MATCH(AI$10,$T$7:$T$14,0)),0)*$T$21)/30</f>
        <v>161720.7121047845</v>
      </c>
      <c r="AV127" s="10">
        <f>MAX(节奏总纲!H120-积分赛!$C$7,0)*(IFERROR(INDEX($W$7:$W$14,MATCH(AJ$10,$T$7:$T$14,0)),0)*$T$20+IFERROR(INDEX($X$7:$X$14,MATCH(AJ$10,$T$7:$T$14,0)),0)*$T$21)/30</f>
        <v>515116.54997951828</v>
      </c>
      <c r="BI127" s="10">
        <v>117</v>
      </c>
      <c r="BJ127" s="10">
        <f>MAX($BI127-积分赛!$C$7,0)*$BC$10/30</f>
        <v>290000</v>
      </c>
      <c r="BK127" s="10">
        <f>MAX($BI127-积分赛!$C$7,0)*$BC$10/30</f>
        <v>290000</v>
      </c>
      <c r="BL127" s="10">
        <f>MAX($BI127-积分赛!$C$7,0)*$BC$10/30</f>
        <v>290000</v>
      </c>
      <c r="BM127" s="10">
        <f>MAX($BI127-积分赛!$C$7,0)*$BC$10/30</f>
        <v>290000</v>
      </c>
      <c r="BN127" s="10">
        <f>MAX($BI127-积分赛!$C$7,0)*$BC$10/30</f>
        <v>290000</v>
      </c>
      <c r="BP127" s="10">
        <v>117</v>
      </c>
      <c r="BQ127" s="10">
        <f>MAX(节奏总纲!D120-积分赛!$C$7,0)*$BC$10/30</f>
        <v>10986619.384917116</v>
      </c>
      <c r="BR127" s="10">
        <f>MAX(节奏总纲!E120-积分赛!$C$7,0)*$BC$10/30</f>
        <v>9322517.8152410593</v>
      </c>
      <c r="BS127" s="10">
        <f>MAX(节奏总纲!F120-积分赛!$C$7,0)*$BC$10/30</f>
        <v>7442227.1675591143</v>
      </c>
      <c r="BT127" s="10">
        <f>MAX(节奏总纲!G120-积分赛!$C$7,0)*$BC$10/30</f>
        <v>5293640.3307621768</v>
      </c>
      <c r="BU127" s="10">
        <f>MAX(节奏总纲!H120-积分赛!$C$7,0)*$BC$10/30</f>
        <v>2810237.5885407431</v>
      </c>
    </row>
    <row r="128" spans="26:73" x14ac:dyDescent="0.15">
      <c r="Z128" s="10">
        <v>118</v>
      </c>
      <c r="AA128" s="10">
        <f>IFERROR(MAX($Z128-积分赛!$C$7,0)*INDEX($U$7:$U$14,MATCH(AA$10,$T$7:$T$14,0))/30,0)</f>
        <v>0</v>
      </c>
      <c r="AB128" s="10">
        <f>IFERROR(MAX($Z128-积分赛!$C$7,0)*INDEX($U$7:$U$14,MATCH(AB$10,$T$7:$T$14,0))/30,0)</f>
        <v>0</v>
      </c>
      <c r="AC128" s="10">
        <f>IFERROR(MAX($Z128-积分赛!$C$7,0)*INDEX($U$7:$U$14,MATCH(AC$10,$T$7:$T$14,0))/30,0)</f>
        <v>0</v>
      </c>
      <c r="AD128" s="10">
        <f>IFERROR(MAX($Z128-积分赛!$C$7,0)*INDEX($U$7:$U$14,MATCH(AD$10,$T$7:$T$14,0))/30,0)</f>
        <v>234666.66666666666</v>
      </c>
      <c r="AE128" s="10">
        <f>IFERROR(MAX($Z128-积分赛!$C$7,0)*INDEX($U$7:$U$14,MATCH(AE$10,$T$7:$T$14,0))/30,0)</f>
        <v>2933333.3333333335</v>
      </c>
      <c r="AF128" s="10">
        <f>MAX($Z128-积分赛!$C$7,0)*(IFERROR(INDEX($W$7:$W$14,MATCH(AF$10,$T$7:$T$14,0)),0)*$T$20+IFERROR(INDEX($X$7:$X$14,MATCH(AF$10,$T$7:$T$14,0)),0)*$T$21)/30</f>
        <v>0</v>
      </c>
      <c r="AG128" s="10">
        <f>MAX($Z128-积分赛!$C$7,0)*(IFERROR(INDEX($W$7:$W$14,MATCH(AG$10,$T$7:$T$14,0)),0)*$T$20+IFERROR(INDEX($X$7:$X$14,MATCH(AG$10,$T$7:$T$14,0)),0)*$T$21)/30</f>
        <v>0</v>
      </c>
      <c r="AH128" s="10">
        <f>MAX($Z128-积分赛!$C$7,0)*(IFERROR(INDEX($W$7:$W$14,MATCH(AH$10,$T$7:$T$14,0)),0)*$T$20+IFERROR(INDEX($X$7:$X$14,MATCH(AH$10,$T$7:$T$14,0)),0)*$T$21)/30</f>
        <v>0</v>
      </c>
      <c r="AI128" s="10">
        <f>MAX($Z128-积分赛!$C$7,0)*(IFERROR(INDEX($W$7:$W$14,MATCH(AI$10,$T$7:$T$14,0)),0)*$T$20+IFERROR(INDEX($X$7:$X$14,MATCH(AI$10,$T$7:$T$14,0)),0)*$T$21)/30</f>
        <v>8961.3333333333339</v>
      </c>
      <c r="AJ128" s="10">
        <f>MAX($Z128-积分赛!$C$7,0)*(IFERROR(INDEX($W$7:$W$14,MATCH(AJ$10,$T$7:$T$14,0)),0)*$T$20+IFERROR(INDEX($X$7:$X$14,MATCH(AJ$10,$T$7:$T$14,0)),0)*$T$21)/30</f>
        <v>53768</v>
      </c>
      <c r="AL128" s="10">
        <v>118</v>
      </c>
      <c r="AM128" s="10">
        <f>IFERROR(MAX(节奏总纲!D121-积分赛!$C$7,0)*INDEX($U$7:$U$14,MATCH(AA$10,$T$7:$T$14,0))/30,0)</f>
        <v>0</v>
      </c>
      <c r="AN128" s="10">
        <f>IFERROR(MAX(节奏总纲!E121-积分赛!$C$7,0)*INDEX($U$7:$U$14,MATCH(AB$10,$T$7:$T$14,0))/30,0)</f>
        <v>0</v>
      </c>
      <c r="AO128" s="10">
        <f>IFERROR(MAX(节奏总纲!F121-积分赛!$C$7,0)*INDEX($U$7:$U$14,MATCH(AC$10,$T$7:$T$14,0))/30,0)</f>
        <v>0</v>
      </c>
      <c r="AP128" s="10">
        <f>IFERROR(MAX(节奏总纲!G121-积分赛!$C$7,0)*INDEX($U$7:$U$14,MATCH(AD$10,$T$7:$T$14,0))/30,0)</f>
        <v>4553257.0327439364</v>
      </c>
      <c r="AQ128" s="10">
        <f>IFERROR(MAX(节奏总纲!H121-积分赛!$C$7,0)*INDEX($U$7:$U$14,MATCH(AE$10,$T$7:$T$14,0))/30,0)</f>
        <v>30203664.772223994</v>
      </c>
      <c r="AR128" s="10">
        <f>MAX(节奏总纲!D121-积分赛!$C$7,0)*(IFERROR(INDEX($W$7:$W$14,MATCH(AF$10,$T$7:$T$14,0)),0)*$T$20+IFERROR(INDEX($X$7:$X$14,MATCH(AF$10,$T$7:$T$14,0)),0)*$T$21)/30</f>
        <v>0</v>
      </c>
      <c r="AS128" s="10">
        <f>MAX(节奏总纲!E121-积分赛!$C$7,0)*(IFERROR(INDEX($W$7:$W$14,MATCH(AG$10,$T$7:$T$14,0)),0)*$T$20+IFERROR(INDEX($X$7:$X$14,MATCH(AG$10,$T$7:$T$14,0)),0)*$T$21)/30</f>
        <v>0</v>
      </c>
      <c r="AT128" s="10">
        <f>MAX(节奏总纲!F121-积分赛!$C$7,0)*(IFERROR(INDEX($W$7:$W$14,MATCH(AH$10,$T$7:$T$14,0)),0)*$T$20+IFERROR(INDEX($X$7:$X$14,MATCH(AH$10,$T$7:$T$14,0)),0)*$T$21)/30</f>
        <v>0</v>
      </c>
      <c r="AU128" s="10">
        <f>MAX(节奏总纲!G121-积分赛!$C$7,0)*(IFERROR(INDEX($W$7:$W$14,MATCH(AI$10,$T$7:$T$14,0)),0)*$T$20+IFERROR(INDEX($X$7:$X$14,MATCH(AI$10,$T$7:$T$14,0)),0)*$T$21)/30</f>
        <v>173877.5029379091</v>
      </c>
      <c r="AV128" s="10">
        <f>MAX(节奏总纲!H121-积分赛!$C$7,0)*(IFERROR(INDEX($W$7:$W$14,MATCH(AJ$10,$T$7:$T$14,0)),0)*$T$20+IFERROR(INDEX($X$7:$X$14,MATCH(AJ$10,$T$7:$T$14,0)),0)*$T$21)/30</f>
        <v>553633.17527486582</v>
      </c>
      <c r="BI128" s="10">
        <v>118</v>
      </c>
      <c r="BJ128" s="10">
        <f>MAX($BI128-积分赛!$C$7,0)*$BC$10/30</f>
        <v>293333.33333333331</v>
      </c>
      <c r="BK128" s="10">
        <f>MAX($BI128-积分赛!$C$7,0)*$BC$10/30</f>
        <v>293333.33333333331</v>
      </c>
      <c r="BL128" s="10">
        <f>MAX($BI128-积分赛!$C$7,0)*$BC$10/30</f>
        <v>293333.33333333331</v>
      </c>
      <c r="BM128" s="10">
        <f>MAX($BI128-积分赛!$C$7,0)*$BC$10/30</f>
        <v>293333.33333333331</v>
      </c>
      <c r="BN128" s="10">
        <f>MAX($BI128-积分赛!$C$7,0)*$BC$10/30</f>
        <v>293333.33333333331</v>
      </c>
      <c r="BP128" s="10">
        <v>118</v>
      </c>
      <c r="BQ128" s="10">
        <f>MAX(节奏总纲!D121-积分赛!$C$7,0)*$BC$10/30</f>
        <v>11782583.69086976</v>
      </c>
      <c r="BR128" s="10">
        <f>MAX(节奏总纲!E121-积分赛!$C$7,0)*$BC$10/30</f>
        <v>10001384.395608382</v>
      </c>
      <c r="BS128" s="10">
        <f>MAX(节奏总纲!F121-积分赛!$C$7,0)*$BC$10/30</f>
        <v>7987286.4600059586</v>
      </c>
      <c r="BT128" s="10">
        <f>MAX(节奏总纲!G121-积分赛!$C$7,0)*$BC$10/30</f>
        <v>5691571.2909299219</v>
      </c>
      <c r="BU128" s="10">
        <f>MAX(节奏总纲!H121-积分赛!$C$7,0)*$BC$10/30</f>
        <v>3020366.4772223989</v>
      </c>
    </row>
    <row r="129" spans="26:73" x14ac:dyDescent="0.15">
      <c r="Z129" s="10">
        <v>119</v>
      </c>
      <c r="AA129" s="10">
        <f>IFERROR(MAX($Z129-积分赛!$C$7,0)*INDEX($U$7:$U$14,MATCH(AA$10,$T$7:$T$14,0))/30,0)</f>
        <v>0</v>
      </c>
      <c r="AB129" s="10">
        <f>IFERROR(MAX($Z129-积分赛!$C$7,0)*INDEX($U$7:$U$14,MATCH(AB$10,$T$7:$T$14,0))/30,0)</f>
        <v>0</v>
      </c>
      <c r="AC129" s="10">
        <f>IFERROR(MAX($Z129-积分赛!$C$7,0)*INDEX($U$7:$U$14,MATCH(AC$10,$T$7:$T$14,0))/30,0)</f>
        <v>0</v>
      </c>
      <c r="AD129" s="10">
        <f>IFERROR(MAX($Z129-积分赛!$C$7,0)*INDEX($U$7:$U$14,MATCH(AD$10,$T$7:$T$14,0))/30,0)</f>
        <v>237333.33333333334</v>
      </c>
      <c r="AE129" s="10">
        <f>IFERROR(MAX($Z129-积分赛!$C$7,0)*INDEX($U$7:$U$14,MATCH(AE$10,$T$7:$T$14,0))/30,0)</f>
        <v>2966666.6666666665</v>
      </c>
      <c r="AF129" s="10">
        <f>MAX($Z129-积分赛!$C$7,0)*(IFERROR(INDEX($W$7:$W$14,MATCH(AF$10,$T$7:$T$14,0)),0)*$T$20+IFERROR(INDEX($X$7:$X$14,MATCH(AF$10,$T$7:$T$14,0)),0)*$T$21)/30</f>
        <v>0</v>
      </c>
      <c r="AG129" s="10">
        <f>MAX($Z129-积分赛!$C$7,0)*(IFERROR(INDEX($W$7:$W$14,MATCH(AG$10,$T$7:$T$14,0)),0)*$T$20+IFERROR(INDEX($X$7:$X$14,MATCH(AG$10,$T$7:$T$14,0)),0)*$T$21)/30</f>
        <v>0</v>
      </c>
      <c r="AH129" s="10">
        <f>MAX($Z129-积分赛!$C$7,0)*(IFERROR(INDEX($W$7:$W$14,MATCH(AH$10,$T$7:$T$14,0)),0)*$T$20+IFERROR(INDEX($X$7:$X$14,MATCH(AH$10,$T$7:$T$14,0)),0)*$T$21)/30</f>
        <v>0</v>
      </c>
      <c r="AI129" s="10">
        <f>MAX($Z129-积分赛!$C$7,0)*(IFERROR(INDEX($W$7:$W$14,MATCH(AI$10,$T$7:$T$14,0)),0)*$T$20+IFERROR(INDEX($X$7:$X$14,MATCH(AI$10,$T$7:$T$14,0)),0)*$T$21)/30</f>
        <v>9063.1666666666661</v>
      </c>
      <c r="AJ129" s="10">
        <f>MAX($Z129-积分赛!$C$7,0)*(IFERROR(INDEX($W$7:$W$14,MATCH(AJ$10,$T$7:$T$14,0)),0)*$T$20+IFERROR(INDEX($X$7:$X$14,MATCH(AJ$10,$T$7:$T$14,0)),0)*$T$21)/30</f>
        <v>54379</v>
      </c>
      <c r="AL129" s="10">
        <v>119</v>
      </c>
      <c r="AM129" s="10">
        <f>IFERROR(MAX(节奏总纲!D122-积分赛!$C$7,0)*INDEX($U$7:$U$14,MATCH(AA$10,$T$7:$T$14,0))/30,0)</f>
        <v>0</v>
      </c>
      <c r="AN129" s="10">
        <f>IFERROR(MAX(节奏总纲!E122-积分赛!$C$7,0)*INDEX($U$7:$U$14,MATCH(AB$10,$T$7:$T$14,0))/30,0)</f>
        <v>0</v>
      </c>
      <c r="AO129" s="10">
        <f>IFERROR(MAX(节奏总纲!F122-积分赛!$C$7,0)*INDEX($U$7:$U$14,MATCH(AC$10,$T$7:$T$14,0))/30,0)</f>
        <v>0</v>
      </c>
      <c r="AP129" s="10">
        <f>IFERROR(MAX(节奏总纲!G122-积分赛!$C$7,0)*INDEX($U$7:$U$14,MATCH(AD$10,$T$7:$T$14,0))/30,0)</f>
        <v>4888951.7816729713</v>
      </c>
      <c r="AQ129" s="10">
        <f>IFERROR(MAX(节奏总纲!H122-积分赛!$C$7,0)*INDEX($U$7:$U$14,MATCH(AE$10,$T$7:$T$14,0))/30,0)</f>
        <v>32342002.676901367</v>
      </c>
      <c r="AR129" s="10">
        <f>MAX(节奏总纲!D122-积分赛!$C$7,0)*(IFERROR(INDEX($W$7:$W$14,MATCH(AF$10,$T$7:$T$14,0)),0)*$T$20+IFERROR(INDEX($X$7:$X$14,MATCH(AF$10,$T$7:$T$14,0)),0)*$T$21)/30</f>
        <v>0</v>
      </c>
      <c r="AS129" s="10">
        <f>MAX(节奏总纲!E122-积分赛!$C$7,0)*(IFERROR(INDEX($W$7:$W$14,MATCH(AG$10,$T$7:$T$14,0)),0)*$T$20+IFERROR(INDEX($X$7:$X$14,MATCH(AG$10,$T$7:$T$14,0)),0)*$T$21)/30</f>
        <v>0</v>
      </c>
      <c r="AT129" s="10">
        <f>MAX(节奏总纲!F122-积分赛!$C$7,0)*(IFERROR(INDEX($W$7:$W$14,MATCH(AH$10,$T$7:$T$14,0)),0)*$T$20+IFERROR(INDEX($X$7:$X$14,MATCH(AH$10,$T$7:$T$14,0)),0)*$T$21)/30</f>
        <v>0</v>
      </c>
      <c r="AU129" s="10">
        <f>MAX(节奏总纲!G122-积分赛!$C$7,0)*(IFERROR(INDEX($W$7:$W$14,MATCH(AI$10,$T$7:$T$14,0)),0)*$T$20+IFERROR(INDEX($X$7:$X$14,MATCH(AI$10,$T$7:$T$14,0)),0)*$T$21)/30</f>
        <v>186696.84616263659</v>
      </c>
      <c r="AV129" s="10">
        <f>MAX(节奏总纲!H122-积分赛!$C$7,0)*(IFERROR(INDEX($W$7:$W$14,MATCH(AJ$10,$T$7:$T$14,0)),0)*$T$20+IFERROR(INDEX($X$7:$X$14,MATCH(AJ$10,$T$7:$T$14,0)),0)*$T$21)/30</f>
        <v>592828.90906760213</v>
      </c>
      <c r="BI129" s="10">
        <v>119</v>
      </c>
      <c r="BJ129" s="10">
        <f>MAX($BI129-积分赛!$C$7,0)*$BC$10/30</f>
        <v>296666.66666666669</v>
      </c>
      <c r="BK129" s="10">
        <f>MAX($BI129-积分赛!$C$7,0)*$BC$10/30</f>
        <v>296666.66666666669</v>
      </c>
      <c r="BL129" s="10">
        <f>MAX($BI129-积分赛!$C$7,0)*$BC$10/30</f>
        <v>296666.66666666669</v>
      </c>
      <c r="BM129" s="10">
        <f>MAX($BI129-积分赛!$C$7,0)*$BC$10/30</f>
        <v>296666.66666666669</v>
      </c>
      <c r="BN129" s="10">
        <f>MAX($BI129-积分赛!$C$7,0)*$BC$10/30</f>
        <v>296666.66666666669</v>
      </c>
      <c r="BP129" s="10">
        <v>119</v>
      </c>
      <c r="BQ129" s="10">
        <f>MAX(节奏总纲!D122-积分赛!$C$7,0)*$BC$10/30</f>
        <v>12635677.111115878</v>
      </c>
      <c r="BR129" s="10">
        <f>MAX(节奏总纲!E122-积分赛!$C$7,0)*$BC$10/30</f>
        <v>10734240.518426279</v>
      </c>
      <c r="BS129" s="10">
        <f>MAX(节奏总纲!F122-积分赛!$C$7,0)*$BC$10/30</f>
        <v>8581911.0866476931</v>
      </c>
      <c r="BT129" s="10">
        <f>MAX(节奏总纲!G122-积分赛!$C$7,0)*$BC$10/30</f>
        <v>6111189.7270912137</v>
      </c>
      <c r="BU129" s="10">
        <f>MAX(节奏总纲!H122-积分赛!$C$7,0)*$BC$10/30</f>
        <v>3234200.2676901366</v>
      </c>
    </row>
    <row r="130" spans="26:73" x14ac:dyDescent="0.15">
      <c r="Z130" s="10">
        <v>120</v>
      </c>
      <c r="AA130" s="10">
        <f>IFERROR(MAX($Z130-积分赛!$C$7,0)*INDEX($U$7:$U$14,MATCH(AA$10,$T$7:$T$14,0))/30,0)</f>
        <v>0</v>
      </c>
      <c r="AB130" s="10">
        <f>IFERROR(MAX($Z130-积分赛!$C$7,0)*INDEX($U$7:$U$14,MATCH(AB$10,$T$7:$T$14,0))/30,0)</f>
        <v>0</v>
      </c>
      <c r="AC130" s="10">
        <f>IFERROR(MAX($Z130-积分赛!$C$7,0)*INDEX($U$7:$U$14,MATCH(AC$10,$T$7:$T$14,0))/30,0)</f>
        <v>0</v>
      </c>
      <c r="AD130" s="10">
        <f>IFERROR(MAX($Z130-积分赛!$C$7,0)*INDEX($U$7:$U$14,MATCH(AD$10,$T$7:$T$14,0))/30,0)</f>
        <v>240000</v>
      </c>
      <c r="AE130" s="10">
        <f>IFERROR(MAX($Z130-积分赛!$C$7,0)*INDEX($U$7:$U$14,MATCH(AE$10,$T$7:$T$14,0))/30,0)</f>
        <v>3000000</v>
      </c>
      <c r="AF130" s="10">
        <f>MAX($Z130-积分赛!$C$7,0)*(IFERROR(INDEX($W$7:$W$14,MATCH(AF$10,$T$7:$T$14,0)),0)*$T$20+IFERROR(INDEX($X$7:$X$14,MATCH(AF$10,$T$7:$T$14,0)),0)*$T$21)/30</f>
        <v>0</v>
      </c>
      <c r="AG130" s="10">
        <f>MAX($Z130-积分赛!$C$7,0)*(IFERROR(INDEX($W$7:$W$14,MATCH(AG$10,$T$7:$T$14,0)),0)*$T$20+IFERROR(INDEX($X$7:$X$14,MATCH(AG$10,$T$7:$T$14,0)),0)*$T$21)/30</f>
        <v>0</v>
      </c>
      <c r="AH130" s="10">
        <f>MAX($Z130-积分赛!$C$7,0)*(IFERROR(INDEX($W$7:$W$14,MATCH(AH$10,$T$7:$T$14,0)),0)*$T$20+IFERROR(INDEX($X$7:$X$14,MATCH(AH$10,$T$7:$T$14,0)),0)*$T$21)/30</f>
        <v>0</v>
      </c>
      <c r="AI130" s="10">
        <f>MAX($Z130-积分赛!$C$7,0)*(IFERROR(INDEX($W$7:$W$14,MATCH(AI$10,$T$7:$T$14,0)),0)*$T$20+IFERROR(INDEX($X$7:$X$14,MATCH(AI$10,$T$7:$T$14,0)),0)*$T$21)/30</f>
        <v>9165</v>
      </c>
      <c r="AJ130" s="10">
        <f>MAX($Z130-积分赛!$C$7,0)*(IFERROR(INDEX($W$7:$W$14,MATCH(AJ$10,$T$7:$T$14,0)),0)*$T$20+IFERROR(INDEX($X$7:$X$14,MATCH(AJ$10,$T$7:$T$14,0)),0)*$T$21)/30</f>
        <v>54990</v>
      </c>
      <c r="AL130" s="10">
        <v>120</v>
      </c>
      <c r="AM130" s="10">
        <f>IFERROR(MAX(节奏总纲!D123-积分赛!$C$7,0)*INDEX($U$7:$U$14,MATCH(AA$10,$T$7:$T$14,0))/30,0)</f>
        <v>0</v>
      </c>
      <c r="AN130" s="10">
        <f>IFERROR(MAX(节奏总纲!E123-积分赛!$C$7,0)*INDEX($U$7:$U$14,MATCH(AB$10,$T$7:$T$14,0))/30,0)</f>
        <v>0</v>
      </c>
      <c r="AO130" s="10">
        <f>IFERROR(MAX(节奏总纲!F123-积分赛!$C$7,0)*INDEX($U$7:$U$14,MATCH(AC$10,$T$7:$T$14,0))/30,0)</f>
        <v>0</v>
      </c>
      <c r="AP130" s="10">
        <f>IFERROR(MAX(节奏总纲!G123-积分赛!$C$7,0)*INDEX($U$7:$U$14,MATCH(AD$10,$T$7:$T$14,0))/30,0)</f>
        <v>5222752</v>
      </c>
      <c r="AQ130" s="10">
        <f>IFERROR(MAX(节奏总纲!H123-积分赛!$C$7,0)*INDEX($U$7:$U$14,MATCH(AE$10,$T$7:$T$14,0))/30,0)</f>
        <v>34599199.999999993</v>
      </c>
      <c r="AR130" s="10">
        <f>MAX(节奏总纲!D123-积分赛!$C$7,0)*(IFERROR(INDEX($W$7:$W$14,MATCH(AF$10,$T$7:$T$14,0)),0)*$T$20+IFERROR(INDEX($X$7:$X$14,MATCH(AF$10,$T$7:$T$14,0)),0)*$T$21)/30</f>
        <v>0</v>
      </c>
      <c r="AS130" s="10">
        <f>MAX(节奏总纲!E123-积分赛!$C$7,0)*(IFERROR(INDEX($W$7:$W$14,MATCH(AG$10,$T$7:$T$14,0)),0)*$T$20+IFERROR(INDEX($X$7:$X$14,MATCH(AG$10,$T$7:$T$14,0)),0)*$T$21)/30</f>
        <v>0</v>
      </c>
      <c r="AT130" s="10">
        <f>MAX(节奏总纲!F123-积分赛!$C$7,0)*(IFERROR(INDEX($W$7:$W$14,MATCH(AH$10,$T$7:$T$14,0)),0)*$T$20+IFERROR(INDEX($X$7:$X$14,MATCH(AH$10,$T$7:$T$14,0)),0)*$T$21)/30</f>
        <v>0</v>
      </c>
      <c r="AU130" s="10">
        <f>MAX(节奏总纲!G123-积分赛!$C$7,0)*(IFERROR(INDEX($W$7:$W$14,MATCH(AI$10,$T$7:$T$14,0)),0)*$T$20+IFERROR(INDEX($X$7:$X$14,MATCH(AI$10,$T$7:$T$14,0)),0)*$T$21)/30</f>
        <v>199443.842</v>
      </c>
      <c r="AV130" s="10">
        <f>MAX(节奏总纲!H123-积分赛!$C$7,0)*(IFERROR(INDEX($W$7:$W$14,MATCH(AJ$10,$T$7:$T$14,0)),0)*$T$20+IFERROR(INDEX($X$7:$X$14,MATCH(AJ$10,$T$7:$T$14,0)),0)*$T$21)/30</f>
        <v>634203.33599999989</v>
      </c>
      <c r="BI130" s="10">
        <v>120</v>
      </c>
      <c r="BJ130" s="10">
        <f>MAX($BI130-积分赛!$C$7,0)*$BC$10/30</f>
        <v>300000</v>
      </c>
      <c r="BK130" s="10">
        <f>MAX($BI130-积分赛!$C$7,0)*$BC$10/30</f>
        <v>300000</v>
      </c>
      <c r="BL130" s="10">
        <f>MAX($BI130-积分赛!$C$7,0)*$BC$10/30</f>
        <v>300000</v>
      </c>
      <c r="BM130" s="10">
        <f>MAX($BI130-积分赛!$C$7,0)*$BC$10/30</f>
        <v>300000</v>
      </c>
      <c r="BN130" s="10">
        <f>MAX($BI130-积分赛!$C$7,0)*$BC$10/30</f>
        <v>300000</v>
      </c>
      <c r="BP130" s="10">
        <v>120</v>
      </c>
      <c r="BQ130" s="10">
        <f>MAX(节奏总纲!D123-积分赛!$C$7,0)*$BC$10/30</f>
        <v>13550000</v>
      </c>
      <c r="BR130" s="10">
        <f>MAX(节奏总纲!E123-积分赛!$C$7,0)*$BC$10/30</f>
        <v>11520245</v>
      </c>
      <c r="BS130" s="10">
        <f>MAX(节奏总纲!F123-积分赛!$C$7,0)*$BC$10/30</f>
        <v>9206570</v>
      </c>
      <c r="BT130" s="10">
        <f>MAX(节奏总纲!G123-积分赛!$C$7,0)*$BC$10/30</f>
        <v>6528440</v>
      </c>
      <c r="BU130" s="10">
        <f>MAX(节奏总纲!H123-积分赛!$C$7,0)*$BC$10/30</f>
        <v>3459919.9999999995</v>
      </c>
    </row>
    <row r="131" spans="26:73" x14ac:dyDescent="0.15">
      <c r="Z131" s="10">
        <v>121</v>
      </c>
      <c r="AA131" s="10">
        <f>IFERROR(MAX($Z131-积分赛!$C$7,0)*INDEX($U$7:$U$14,MATCH(AA$10,$T$7:$T$14,0))/30,0)</f>
        <v>0</v>
      </c>
      <c r="AB131" s="10">
        <f>IFERROR(MAX($Z131-积分赛!$C$7,0)*INDEX($U$7:$U$14,MATCH(AB$10,$T$7:$T$14,0))/30,0)</f>
        <v>0</v>
      </c>
      <c r="AC131" s="10">
        <f>IFERROR(MAX($Z131-积分赛!$C$7,0)*INDEX($U$7:$U$14,MATCH(AC$10,$T$7:$T$14,0))/30,0)</f>
        <v>0</v>
      </c>
      <c r="AD131" s="10">
        <f>IFERROR(MAX($Z131-积分赛!$C$7,0)*INDEX($U$7:$U$14,MATCH(AD$10,$T$7:$T$14,0))/30,0)</f>
        <v>242666.66666666666</v>
      </c>
      <c r="AE131" s="10">
        <f>IFERROR(MAX($Z131-积分赛!$C$7,0)*INDEX($U$7:$U$14,MATCH(AE$10,$T$7:$T$14,0))/30,0)</f>
        <v>3033333.3333333335</v>
      </c>
      <c r="AF131" s="10">
        <f>MAX($Z131-积分赛!$C$7,0)*(IFERROR(INDEX($W$7:$W$14,MATCH(AF$10,$T$7:$T$14,0)),0)*$T$20+IFERROR(INDEX($X$7:$X$14,MATCH(AF$10,$T$7:$T$14,0)),0)*$T$21)/30</f>
        <v>0</v>
      </c>
      <c r="AG131" s="10">
        <f>MAX($Z131-积分赛!$C$7,0)*(IFERROR(INDEX($W$7:$W$14,MATCH(AG$10,$T$7:$T$14,0)),0)*$T$20+IFERROR(INDEX($X$7:$X$14,MATCH(AG$10,$T$7:$T$14,0)),0)*$T$21)/30</f>
        <v>0</v>
      </c>
      <c r="AH131" s="10">
        <f>MAX($Z131-积分赛!$C$7,0)*(IFERROR(INDEX($W$7:$W$14,MATCH(AH$10,$T$7:$T$14,0)),0)*$T$20+IFERROR(INDEX($X$7:$X$14,MATCH(AH$10,$T$7:$T$14,0)),0)*$T$21)/30</f>
        <v>0</v>
      </c>
      <c r="AI131" s="10">
        <f>MAX($Z131-积分赛!$C$7,0)*(IFERROR(INDEX($W$7:$W$14,MATCH(AI$10,$T$7:$T$14,0)),0)*$T$20+IFERROR(INDEX($X$7:$X$14,MATCH(AI$10,$T$7:$T$14,0)),0)*$T$21)/30</f>
        <v>9266.8333333333339</v>
      </c>
      <c r="AJ131" s="10">
        <f>MAX($Z131-积分赛!$C$7,0)*(IFERROR(INDEX($W$7:$W$14,MATCH(AJ$10,$T$7:$T$14,0)),0)*$T$20+IFERROR(INDEX($X$7:$X$14,MATCH(AJ$10,$T$7:$T$14,0)),0)*$T$21)/30</f>
        <v>55601</v>
      </c>
      <c r="AL131" s="10">
        <v>121</v>
      </c>
      <c r="AM131" s="10">
        <f>IFERROR(MAX(节奏总纲!D124-积分赛!$C$7,0)*INDEX($U$7:$U$14,MATCH(AA$10,$T$7:$T$14,0))/30,0)</f>
        <v>0</v>
      </c>
      <c r="AN131" s="10">
        <f>IFERROR(MAX(节奏总纲!E124-积分赛!$C$7,0)*INDEX($U$7:$U$14,MATCH(AB$10,$T$7:$T$14,0))/30,0)</f>
        <v>0</v>
      </c>
      <c r="AO131" s="10">
        <f>IFERROR(MAX(节奏总纲!F124-积分赛!$C$7,0)*INDEX($U$7:$U$14,MATCH(AC$10,$T$7:$T$14,0))/30,0)</f>
        <v>0</v>
      </c>
      <c r="AP131" s="10">
        <f>IFERROR(MAX(节奏总纲!G124-积分赛!$C$7,0)*INDEX($U$7:$U$14,MATCH(AD$10,$T$7:$T$14,0))/30,0)</f>
        <v>5578863.502886069</v>
      </c>
      <c r="AQ131" s="10">
        <f>IFERROR(MAX(节奏总纲!H124-积分赛!$C$7,0)*INDEX($U$7:$U$14,MATCH(AE$10,$T$7:$T$14,0))/30,0)</f>
        <v>37111011.957130842</v>
      </c>
      <c r="AR131" s="10">
        <f>MAX(节奏总纲!D124-积分赛!$C$7,0)*(IFERROR(INDEX($W$7:$W$14,MATCH(AF$10,$T$7:$T$14,0)),0)*$T$20+IFERROR(INDEX($X$7:$X$14,MATCH(AF$10,$T$7:$T$14,0)),0)*$T$21)/30</f>
        <v>0</v>
      </c>
      <c r="AS131" s="10">
        <f>MAX(节奏总纲!E124-积分赛!$C$7,0)*(IFERROR(INDEX($W$7:$W$14,MATCH(AG$10,$T$7:$T$14,0)),0)*$T$20+IFERROR(INDEX($X$7:$X$14,MATCH(AG$10,$T$7:$T$14,0)),0)*$T$21)/30</f>
        <v>0</v>
      </c>
      <c r="AT131" s="10">
        <f>MAX(节奏总纲!F124-积分赛!$C$7,0)*(IFERROR(INDEX($W$7:$W$14,MATCH(AH$10,$T$7:$T$14,0)),0)*$T$20+IFERROR(INDEX($X$7:$X$14,MATCH(AH$10,$T$7:$T$14,0)),0)*$T$21)/30</f>
        <v>0</v>
      </c>
      <c r="AU131" s="10">
        <f>MAX(节奏总纲!G124-积分赛!$C$7,0)*(IFERROR(INDEX($W$7:$W$14,MATCH(AI$10,$T$7:$T$14,0)),0)*$T$20+IFERROR(INDEX($X$7:$X$14,MATCH(AI$10,$T$7:$T$14,0)),0)*$T$21)/30</f>
        <v>213042.85001646174</v>
      </c>
      <c r="AV131" s="10">
        <f>MAX(节奏总纲!H124-积分赛!$C$7,0)*(IFERROR(INDEX($W$7:$W$14,MATCH(AJ$10,$T$7:$T$14,0)),0)*$T$20+IFERROR(INDEX($X$7:$X$14,MATCH(AJ$10,$T$7:$T$14,0)),0)*$T$21)/30</f>
        <v>680244.84917420836</v>
      </c>
      <c r="BI131" s="10">
        <v>121</v>
      </c>
      <c r="BJ131" s="10">
        <f>MAX($BI131-积分赛!$C$7,0)*$BC$10/30</f>
        <v>303333.33333333331</v>
      </c>
      <c r="BK131" s="10">
        <f>MAX($BI131-积分赛!$C$7,0)*$BC$10/30</f>
        <v>303333.33333333331</v>
      </c>
      <c r="BL131" s="10">
        <f>MAX($BI131-积分赛!$C$7,0)*$BC$10/30</f>
        <v>303333.33333333331</v>
      </c>
      <c r="BM131" s="10">
        <f>MAX($BI131-积分赛!$C$7,0)*$BC$10/30</f>
        <v>303333.33333333331</v>
      </c>
      <c r="BN131" s="10">
        <f>MAX($BI131-积分赛!$C$7,0)*$BC$10/30</f>
        <v>303333.33333333331</v>
      </c>
      <c r="BP131" s="10">
        <v>121</v>
      </c>
      <c r="BQ131" s="10">
        <f>MAX(节奏总纲!D124-积分赛!$C$7,0)*$BC$10/30</f>
        <v>14529947.008495526</v>
      </c>
      <c r="BR131" s="10">
        <f>MAX(节奏总纲!E124-积分赛!$C$7,0)*$BC$10/30</f>
        <v>12338380.946622897</v>
      </c>
      <c r="BS131" s="10">
        <f>MAX(节奏总纲!F124-积分赛!$C$7,0)*$BC$10/30</f>
        <v>9829345.0346659124</v>
      </c>
      <c r="BT131" s="10">
        <f>MAX(节奏总纲!G124-积分赛!$C$7,0)*$BC$10/30</f>
        <v>6973579.378607586</v>
      </c>
      <c r="BU131" s="10">
        <f>MAX(节奏总纲!H124-积分赛!$C$7,0)*$BC$10/30</f>
        <v>3711101.1957130847</v>
      </c>
    </row>
    <row r="132" spans="26:73" x14ac:dyDescent="0.15">
      <c r="Z132" s="10">
        <v>122</v>
      </c>
      <c r="AA132" s="10">
        <f>IFERROR(MAX($Z132-积分赛!$C$7,0)*INDEX($U$7:$U$14,MATCH(AA$10,$T$7:$T$14,0))/30,0)</f>
        <v>0</v>
      </c>
      <c r="AB132" s="10">
        <f>IFERROR(MAX($Z132-积分赛!$C$7,0)*INDEX($U$7:$U$14,MATCH(AB$10,$T$7:$T$14,0))/30,0)</f>
        <v>0</v>
      </c>
      <c r="AC132" s="10">
        <f>IFERROR(MAX($Z132-积分赛!$C$7,0)*INDEX($U$7:$U$14,MATCH(AC$10,$T$7:$T$14,0))/30,0)</f>
        <v>0</v>
      </c>
      <c r="AD132" s="10">
        <f>IFERROR(MAX($Z132-积分赛!$C$7,0)*INDEX($U$7:$U$14,MATCH(AD$10,$T$7:$T$14,0))/30,0)</f>
        <v>245333.33333333334</v>
      </c>
      <c r="AE132" s="10">
        <f>IFERROR(MAX($Z132-积分赛!$C$7,0)*INDEX($U$7:$U$14,MATCH(AE$10,$T$7:$T$14,0))/30,0)</f>
        <v>3066666.6666666665</v>
      </c>
      <c r="AF132" s="10">
        <f>MAX($Z132-积分赛!$C$7,0)*(IFERROR(INDEX($W$7:$W$14,MATCH(AF$10,$T$7:$T$14,0)),0)*$T$20+IFERROR(INDEX($X$7:$X$14,MATCH(AF$10,$T$7:$T$14,0)),0)*$T$21)/30</f>
        <v>0</v>
      </c>
      <c r="AG132" s="10">
        <f>MAX($Z132-积分赛!$C$7,0)*(IFERROR(INDEX($W$7:$W$14,MATCH(AG$10,$T$7:$T$14,0)),0)*$T$20+IFERROR(INDEX($X$7:$X$14,MATCH(AG$10,$T$7:$T$14,0)),0)*$T$21)/30</f>
        <v>0</v>
      </c>
      <c r="AH132" s="10">
        <f>MAX($Z132-积分赛!$C$7,0)*(IFERROR(INDEX($W$7:$W$14,MATCH(AH$10,$T$7:$T$14,0)),0)*$T$20+IFERROR(INDEX($X$7:$X$14,MATCH(AH$10,$T$7:$T$14,0)),0)*$T$21)/30</f>
        <v>0</v>
      </c>
      <c r="AI132" s="10">
        <f>MAX($Z132-积分赛!$C$7,0)*(IFERROR(INDEX($W$7:$W$14,MATCH(AI$10,$T$7:$T$14,0)),0)*$T$20+IFERROR(INDEX($X$7:$X$14,MATCH(AI$10,$T$7:$T$14,0)),0)*$T$21)/30</f>
        <v>9368.6666666666661</v>
      </c>
      <c r="AJ132" s="10">
        <f>MAX($Z132-积分赛!$C$7,0)*(IFERROR(INDEX($W$7:$W$14,MATCH(AJ$10,$T$7:$T$14,0)),0)*$T$20+IFERROR(INDEX($X$7:$X$14,MATCH(AJ$10,$T$7:$T$14,0)),0)*$T$21)/30</f>
        <v>56212</v>
      </c>
      <c r="AL132" s="10">
        <v>122</v>
      </c>
      <c r="AM132" s="10">
        <f>IFERROR(MAX(节奏总纲!D125-积分赛!$C$7,0)*INDEX($U$7:$U$14,MATCH(AA$10,$T$7:$T$14,0))/30,0)</f>
        <v>0</v>
      </c>
      <c r="AN132" s="10">
        <f>IFERROR(MAX(节奏总纲!E125-积分赛!$C$7,0)*INDEX($U$7:$U$14,MATCH(AB$10,$T$7:$T$14,0))/30,0)</f>
        <v>0</v>
      </c>
      <c r="AO132" s="10">
        <f>IFERROR(MAX(节奏总纲!F125-积分赛!$C$7,0)*INDEX($U$7:$U$14,MATCH(AC$10,$T$7:$T$14,0))/30,0)</f>
        <v>0</v>
      </c>
      <c r="AP132" s="10">
        <f>IFERROR(MAX(节奏总纲!G125-积分赛!$C$7,0)*INDEX($U$7:$U$14,MATCH(AD$10,$T$7:$T$14,0))/30,0)</f>
        <v>5976331.3426302914</v>
      </c>
      <c r="AQ132" s="10">
        <f>IFERROR(MAX(节奏总纲!H125-积分赛!$C$7,0)*INDEX($U$7:$U$14,MATCH(AE$10,$T$7:$T$14,0))/30,0)</f>
        <v>39799953.794335164</v>
      </c>
      <c r="AR132" s="10">
        <f>MAX(节奏总纲!D125-积分赛!$C$7,0)*(IFERROR(INDEX($W$7:$W$14,MATCH(AF$10,$T$7:$T$14,0)),0)*$T$20+IFERROR(INDEX($X$7:$X$14,MATCH(AF$10,$T$7:$T$14,0)),0)*$T$21)/30</f>
        <v>0</v>
      </c>
      <c r="AS132" s="10">
        <f>MAX(节奏总纲!E125-积分赛!$C$7,0)*(IFERROR(INDEX($W$7:$W$14,MATCH(AG$10,$T$7:$T$14,0)),0)*$T$20+IFERROR(INDEX($X$7:$X$14,MATCH(AG$10,$T$7:$T$14,0)),0)*$T$21)/30</f>
        <v>0</v>
      </c>
      <c r="AT132" s="10">
        <f>MAX(节奏总纲!F125-积分赛!$C$7,0)*(IFERROR(INDEX($W$7:$W$14,MATCH(AH$10,$T$7:$T$14,0)),0)*$T$20+IFERROR(INDEX($X$7:$X$14,MATCH(AH$10,$T$7:$T$14,0)),0)*$T$21)/30</f>
        <v>0</v>
      </c>
      <c r="AU132" s="10">
        <f>MAX(节奏总纲!G125-积分赛!$C$7,0)*(IFERROR(INDEX($W$7:$W$14,MATCH(AI$10,$T$7:$T$14,0)),0)*$T$20+IFERROR(INDEX($X$7:$X$14,MATCH(AI$10,$T$7:$T$14,0)),0)*$T$21)/30</f>
        <v>228221.15314669424</v>
      </c>
      <c r="AV132" s="10">
        <f>MAX(节奏总纲!H125-积分赛!$C$7,0)*(IFERROR(INDEX($W$7:$W$14,MATCH(AJ$10,$T$7:$T$14,0)),0)*$T$20+IFERROR(INDEX($X$7:$X$14,MATCH(AJ$10,$T$7:$T$14,0)),0)*$T$21)/30</f>
        <v>729533.15305016364</v>
      </c>
      <c r="BI132" s="10">
        <v>122</v>
      </c>
      <c r="BJ132" s="10">
        <f>MAX($BI132-积分赛!$C$7,0)*$BC$10/30</f>
        <v>306666.66666666669</v>
      </c>
      <c r="BK132" s="10">
        <f>MAX($BI132-积分赛!$C$7,0)*$BC$10/30</f>
        <v>306666.66666666669</v>
      </c>
      <c r="BL132" s="10">
        <f>MAX($BI132-积分赛!$C$7,0)*$BC$10/30</f>
        <v>306666.66666666669</v>
      </c>
      <c r="BM132" s="10">
        <f>MAX($BI132-积分赛!$C$7,0)*$BC$10/30</f>
        <v>306666.66666666669</v>
      </c>
      <c r="BN132" s="10">
        <f>MAX($BI132-积分赛!$C$7,0)*$BC$10/30</f>
        <v>306666.66666666669</v>
      </c>
      <c r="BP132" s="10">
        <v>122</v>
      </c>
      <c r="BQ132" s="10">
        <f>MAX(节奏总纲!D125-积分赛!$C$7,0)*$BC$10/30</f>
        <v>15580228.206892841</v>
      </c>
      <c r="BR132" s="10">
        <f>MAX(节奏总纲!E125-积分赛!$C$7,0)*$BC$10/30</f>
        <v>13198401.542265819</v>
      </c>
      <c r="BS132" s="10">
        <f>MAX(节奏总纲!F125-积分赛!$C$7,0)*$BC$10/30</f>
        <v>10512378.450425072</v>
      </c>
      <c r="BT132" s="10">
        <f>MAX(节奏总纲!G125-积分赛!$C$7,0)*$BC$10/30</f>
        <v>7470414.1782878637</v>
      </c>
      <c r="BU132" s="10">
        <f>MAX(节奏总纲!H125-积分赛!$C$7,0)*$BC$10/30</f>
        <v>3979995.3794335173</v>
      </c>
    </row>
    <row r="133" spans="26:73" x14ac:dyDescent="0.15">
      <c r="Z133" s="10">
        <v>123</v>
      </c>
      <c r="AA133" s="10">
        <f>IFERROR(MAX($Z133-积分赛!$C$7,0)*INDEX($U$7:$U$14,MATCH(AA$10,$T$7:$T$14,0))/30,0)</f>
        <v>0</v>
      </c>
      <c r="AB133" s="10">
        <f>IFERROR(MAX($Z133-积分赛!$C$7,0)*INDEX($U$7:$U$14,MATCH(AB$10,$T$7:$T$14,0))/30,0)</f>
        <v>0</v>
      </c>
      <c r="AC133" s="10">
        <f>IFERROR(MAX($Z133-积分赛!$C$7,0)*INDEX($U$7:$U$14,MATCH(AC$10,$T$7:$T$14,0))/30,0)</f>
        <v>0</v>
      </c>
      <c r="AD133" s="10">
        <f>IFERROR(MAX($Z133-积分赛!$C$7,0)*INDEX($U$7:$U$14,MATCH(AD$10,$T$7:$T$14,0))/30,0)</f>
        <v>248000</v>
      </c>
      <c r="AE133" s="10">
        <f>IFERROR(MAX($Z133-积分赛!$C$7,0)*INDEX($U$7:$U$14,MATCH(AE$10,$T$7:$T$14,0))/30,0)</f>
        <v>3100000</v>
      </c>
      <c r="AF133" s="10">
        <f>MAX($Z133-积分赛!$C$7,0)*(IFERROR(INDEX($W$7:$W$14,MATCH(AF$10,$T$7:$T$14,0)),0)*$T$20+IFERROR(INDEX($X$7:$X$14,MATCH(AF$10,$T$7:$T$14,0)),0)*$T$21)/30</f>
        <v>0</v>
      </c>
      <c r="AG133" s="10">
        <f>MAX($Z133-积分赛!$C$7,0)*(IFERROR(INDEX($W$7:$W$14,MATCH(AG$10,$T$7:$T$14,0)),0)*$T$20+IFERROR(INDEX($X$7:$X$14,MATCH(AG$10,$T$7:$T$14,0)),0)*$T$21)/30</f>
        <v>0</v>
      </c>
      <c r="AH133" s="10">
        <f>MAX($Z133-积分赛!$C$7,0)*(IFERROR(INDEX($W$7:$W$14,MATCH(AH$10,$T$7:$T$14,0)),0)*$T$20+IFERROR(INDEX($X$7:$X$14,MATCH(AH$10,$T$7:$T$14,0)),0)*$T$21)/30</f>
        <v>0</v>
      </c>
      <c r="AI133" s="10">
        <f>MAX($Z133-积分赛!$C$7,0)*(IFERROR(INDEX($W$7:$W$14,MATCH(AI$10,$T$7:$T$14,0)),0)*$T$20+IFERROR(INDEX($X$7:$X$14,MATCH(AI$10,$T$7:$T$14,0)),0)*$T$21)/30</f>
        <v>9470.5</v>
      </c>
      <c r="AJ133" s="10">
        <f>MAX($Z133-积分赛!$C$7,0)*(IFERROR(INDEX($W$7:$W$14,MATCH(AJ$10,$T$7:$T$14,0)),0)*$T$20+IFERROR(INDEX($X$7:$X$14,MATCH(AJ$10,$T$7:$T$14,0)),0)*$T$21)/30</f>
        <v>56823</v>
      </c>
      <c r="AL133" s="10">
        <v>123</v>
      </c>
      <c r="AM133" s="10">
        <f>IFERROR(MAX(节奏总纲!D126-积分赛!$C$7,0)*INDEX($U$7:$U$14,MATCH(AA$10,$T$7:$T$14,0))/30,0)</f>
        <v>0</v>
      </c>
      <c r="AN133" s="10">
        <f>IFERROR(MAX(节奏总纲!E126-积分赛!$C$7,0)*INDEX($U$7:$U$14,MATCH(AB$10,$T$7:$T$14,0))/30,0)</f>
        <v>0</v>
      </c>
      <c r="AO133" s="10">
        <f>IFERROR(MAX(节奏总纲!F126-积分赛!$C$7,0)*INDEX($U$7:$U$14,MATCH(AC$10,$T$7:$T$14,0))/30,0)</f>
        <v>0</v>
      </c>
      <c r="AP133" s="10">
        <f>IFERROR(MAX(节奏总纲!G126-积分赛!$C$7,0)*INDEX($U$7:$U$14,MATCH(AD$10,$T$7:$T$14,0))/30,0)</f>
        <v>6433963.6320425244</v>
      </c>
      <c r="AQ133" s="10">
        <f>IFERROR(MAX(节奏总纲!H126-积分赛!$C$7,0)*INDEX($U$7:$U$14,MATCH(AE$10,$T$7:$T$14,0))/30,0)</f>
        <v>42880183.290152311</v>
      </c>
      <c r="AR133" s="10">
        <f>MAX(节奏总纲!D126-积分赛!$C$7,0)*(IFERROR(INDEX($W$7:$W$14,MATCH(AF$10,$T$7:$T$14,0)),0)*$T$20+IFERROR(INDEX($X$7:$X$14,MATCH(AF$10,$T$7:$T$14,0)),0)*$T$21)/30</f>
        <v>0</v>
      </c>
      <c r="AS133" s="10">
        <f>MAX(节奏总纲!E126-积分赛!$C$7,0)*(IFERROR(INDEX($W$7:$W$14,MATCH(AG$10,$T$7:$T$14,0)),0)*$T$20+IFERROR(INDEX($X$7:$X$14,MATCH(AG$10,$T$7:$T$14,0)),0)*$T$21)/30</f>
        <v>0</v>
      </c>
      <c r="AT133" s="10">
        <f>MAX(节奏总纲!F126-积分赛!$C$7,0)*(IFERROR(INDEX($W$7:$W$14,MATCH(AH$10,$T$7:$T$14,0)),0)*$T$20+IFERROR(INDEX($X$7:$X$14,MATCH(AH$10,$T$7:$T$14,0)),0)*$T$21)/30</f>
        <v>0</v>
      </c>
      <c r="AU133" s="10">
        <f>MAX(节奏总纲!G126-积分赛!$C$7,0)*(IFERROR(INDEX($W$7:$W$14,MATCH(AI$10,$T$7:$T$14,0)),0)*$T$20+IFERROR(INDEX($X$7:$X$14,MATCH(AI$10,$T$7:$T$14,0)),0)*$T$21)/30</f>
        <v>245696.98619862393</v>
      </c>
      <c r="AV133" s="10">
        <f>MAX(节奏总纲!H126-积分赛!$C$7,0)*(IFERROR(INDEX($W$7:$W$14,MATCH(AJ$10,$T$7:$T$14,0)),0)*$T$20+IFERROR(INDEX($X$7:$X$14,MATCH(AJ$10,$T$7:$T$14,0)),0)*$T$21)/30</f>
        <v>785993.75970849185</v>
      </c>
      <c r="BI133" s="10">
        <v>123</v>
      </c>
      <c r="BJ133" s="10">
        <f>MAX($BI133-积分赛!$C$7,0)*$BC$10/30</f>
        <v>310000</v>
      </c>
      <c r="BK133" s="10">
        <f>MAX($BI133-积分赛!$C$7,0)*$BC$10/30</f>
        <v>310000</v>
      </c>
      <c r="BL133" s="10">
        <f>MAX($BI133-积分赛!$C$7,0)*$BC$10/30</f>
        <v>310000</v>
      </c>
      <c r="BM133" s="10">
        <f>MAX($BI133-积分赛!$C$7,0)*$BC$10/30</f>
        <v>310000</v>
      </c>
      <c r="BN133" s="10">
        <f>MAX($BI133-积分赛!$C$7,0)*$BC$10/30</f>
        <v>310000</v>
      </c>
      <c r="BP133" s="10">
        <v>123</v>
      </c>
      <c r="BQ133" s="10">
        <f>MAX(节奏总纲!D126-积分赛!$C$7,0)*$BC$10/30</f>
        <v>16705891.723535927</v>
      </c>
      <c r="BR133" s="10">
        <f>MAX(节奏总纲!E126-积分赛!$C$7,0)*$BC$10/30</f>
        <v>14153076.77073082</v>
      </c>
      <c r="BS133" s="10">
        <f>MAX(节奏总纲!F126-积分赛!$C$7,0)*$BC$10/30</f>
        <v>11299436.356074419</v>
      </c>
      <c r="BT133" s="10">
        <f>MAX(节奏总纲!G126-积分赛!$C$7,0)*$BC$10/30</f>
        <v>8042454.5400531562</v>
      </c>
      <c r="BU133" s="10">
        <f>MAX(节奏总纲!H126-积分赛!$C$7,0)*$BC$10/30</f>
        <v>4288018.3290152308</v>
      </c>
    </row>
    <row r="134" spans="26:73" x14ac:dyDescent="0.15">
      <c r="Z134" s="10">
        <v>124</v>
      </c>
      <c r="AA134" s="10">
        <f>IFERROR(MAX($Z134-积分赛!$C$7,0)*INDEX($U$7:$U$14,MATCH(AA$10,$T$7:$T$14,0))/30,0)</f>
        <v>0</v>
      </c>
      <c r="AB134" s="10">
        <f>IFERROR(MAX($Z134-积分赛!$C$7,0)*INDEX($U$7:$U$14,MATCH(AB$10,$T$7:$T$14,0))/30,0)</f>
        <v>0</v>
      </c>
      <c r="AC134" s="10">
        <f>IFERROR(MAX($Z134-积分赛!$C$7,0)*INDEX($U$7:$U$14,MATCH(AC$10,$T$7:$T$14,0))/30,0)</f>
        <v>0</v>
      </c>
      <c r="AD134" s="10">
        <f>IFERROR(MAX($Z134-积分赛!$C$7,0)*INDEX($U$7:$U$14,MATCH(AD$10,$T$7:$T$14,0))/30,0)</f>
        <v>250666.66666666666</v>
      </c>
      <c r="AE134" s="10">
        <f>IFERROR(MAX($Z134-积分赛!$C$7,0)*INDEX($U$7:$U$14,MATCH(AE$10,$T$7:$T$14,0))/30,0)</f>
        <v>3133333.3333333335</v>
      </c>
      <c r="AF134" s="10">
        <f>MAX($Z134-积分赛!$C$7,0)*(IFERROR(INDEX($W$7:$W$14,MATCH(AF$10,$T$7:$T$14,0)),0)*$T$20+IFERROR(INDEX($X$7:$X$14,MATCH(AF$10,$T$7:$T$14,0)),0)*$T$21)/30</f>
        <v>0</v>
      </c>
      <c r="AG134" s="10">
        <f>MAX($Z134-积分赛!$C$7,0)*(IFERROR(INDEX($W$7:$W$14,MATCH(AG$10,$T$7:$T$14,0)),0)*$T$20+IFERROR(INDEX($X$7:$X$14,MATCH(AG$10,$T$7:$T$14,0)),0)*$T$21)/30</f>
        <v>0</v>
      </c>
      <c r="AH134" s="10">
        <f>MAX($Z134-积分赛!$C$7,0)*(IFERROR(INDEX($W$7:$W$14,MATCH(AH$10,$T$7:$T$14,0)),0)*$T$20+IFERROR(INDEX($X$7:$X$14,MATCH(AH$10,$T$7:$T$14,0)),0)*$T$21)/30</f>
        <v>0</v>
      </c>
      <c r="AI134" s="10">
        <f>MAX($Z134-积分赛!$C$7,0)*(IFERROR(INDEX($W$7:$W$14,MATCH(AI$10,$T$7:$T$14,0)),0)*$T$20+IFERROR(INDEX($X$7:$X$14,MATCH(AI$10,$T$7:$T$14,0)),0)*$T$21)/30</f>
        <v>9572.3333333333339</v>
      </c>
      <c r="AJ134" s="10">
        <f>MAX($Z134-积分赛!$C$7,0)*(IFERROR(INDEX($W$7:$W$14,MATCH(AJ$10,$T$7:$T$14,0)),0)*$T$20+IFERROR(INDEX($X$7:$X$14,MATCH(AJ$10,$T$7:$T$14,0)),0)*$T$21)/30</f>
        <v>57434</v>
      </c>
      <c r="AL134" s="10">
        <v>124</v>
      </c>
      <c r="AM134" s="10">
        <f>IFERROR(MAX(节奏总纲!D127-积分赛!$C$7,0)*INDEX($U$7:$U$14,MATCH(AA$10,$T$7:$T$14,0))/30,0)</f>
        <v>0</v>
      </c>
      <c r="AN134" s="10">
        <f>IFERROR(MAX(节奏总纲!E127-积分赛!$C$7,0)*INDEX($U$7:$U$14,MATCH(AB$10,$T$7:$T$14,0))/30,0)</f>
        <v>0</v>
      </c>
      <c r="AO134" s="10">
        <f>IFERROR(MAX(节奏总纲!F127-积分赛!$C$7,0)*INDEX($U$7:$U$14,MATCH(AC$10,$T$7:$T$14,0))/30,0)</f>
        <v>0</v>
      </c>
      <c r="AP134" s="10">
        <f>IFERROR(MAX(节奏总纲!G127-积分赛!$C$7,0)*INDEX($U$7:$U$14,MATCH(AD$10,$T$7:$T$14,0))/30,0)</f>
        <v>6917436.954310704</v>
      </c>
      <c r="AQ134" s="10">
        <f>IFERROR(MAX(节奏总纲!H127-积分赛!$C$7,0)*INDEX($U$7:$U$14,MATCH(AE$10,$T$7:$T$14,0))/30,0)</f>
        <v>46192351.782058403</v>
      </c>
      <c r="AR134" s="10">
        <f>MAX(节奏总纲!D127-积分赛!$C$7,0)*(IFERROR(INDEX($W$7:$W$14,MATCH(AF$10,$T$7:$T$14,0)),0)*$T$20+IFERROR(INDEX($X$7:$X$14,MATCH(AF$10,$T$7:$T$14,0)),0)*$T$21)/30</f>
        <v>0</v>
      </c>
      <c r="AS134" s="10">
        <f>MAX(节奏总纲!E127-积分赛!$C$7,0)*(IFERROR(INDEX($W$7:$W$14,MATCH(AG$10,$T$7:$T$14,0)),0)*$T$20+IFERROR(INDEX($X$7:$X$14,MATCH(AG$10,$T$7:$T$14,0)),0)*$T$21)/30</f>
        <v>0</v>
      </c>
      <c r="AT134" s="10">
        <f>MAX(节奏总纲!F127-积分赛!$C$7,0)*(IFERROR(INDEX($W$7:$W$14,MATCH(AH$10,$T$7:$T$14,0)),0)*$T$20+IFERROR(INDEX($X$7:$X$14,MATCH(AH$10,$T$7:$T$14,0)),0)*$T$21)/30</f>
        <v>0</v>
      </c>
      <c r="AU134" s="10">
        <f>MAX(节奏总纲!G127-积分赛!$C$7,0)*(IFERROR(INDEX($W$7:$W$14,MATCH(AI$10,$T$7:$T$14,0)),0)*$T$20+IFERROR(INDEX($X$7:$X$14,MATCH(AI$10,$T$7:$T$14,0)),0)*$T$21)/30</f>
        <v>264159.62369274005</v>
      </c>
      <c r="AV134" s="10">
        <f>MAX(节奏总纲!H127-积分赛!$C$7,0)*(IFERROR(INDEX($W$7:$W$14,MATCH(AJ$10,$T$7:$T$14,0)),0)*$T$20+IFERROR(INDEX($X$7:$X$14,MATCH(AJ$10,$T$7:$T$14,0)),0)*$T$21)/30</f>
        <v>846705.80816513055</v>
      </c>
      <c r="BI134" s="10">
        <v>124</v>
      </c>
      <c r="BJ134" s="10">
        <f>MAX($BI134-积分赛!$C$7,0)*$BC$10/30</f>
        <v>313333.33333333331</v>
      </c>
      <c r="BK134" s="10">
        <f>MAX($BI134-积分赛!$C$7,0)*$BC$10/30</f>
        <v>313333.33333333331</v>
      </c>
      <c r="BL134" s="10">
        <f>MAX($BI134-积分赛!$C$7,0)*$BC$10/30</f>
        <v>313333.33333333331</v>
      </c>
      <c r="BM134" s="10">
        <f>MAX($BI134-积分赛!$C$7,0)*$BC$10/30</f>
        <v>313333.33333333331</v>
      </c>
      <c r="BN134" s="10">
        <f>MAX($BI134-积分赛!$C$7,0)*$BC$10/30</f>
        <v>313333.33333333331</v>
      </c>
      <c r="BP134" s="10">
        <v>124</v>
      </c>
      <c r="BQ134" s="10">
        <f>MAX(节奏总纲!D127-积分赛!$C$7,0)*$BC$10/30</f>
        <v>17912348.008419234</v>
      </c>
      <c r="BR134" s="10">
        <f>MAX(节奏总纲!E127-积分赛!$C$7,0)*$BC$10/30</f>
        <v>15205092.102753824</v>
      </c>
      <c r="BS134" s="10">
        <f>MAX(节奏总纲!F127-积分赛!$C$7,0)*$BC$10/30</f>
        <v>12137589.236920031</v>
      </c>
      <c r="BT134" s="10">
        <f>MAX(节奏总纲!G127-积分赛!$C$7,0)*$BC$10/30</f>
        <v>8646796.192888381</v>
      </c>
      <c r="BU134" s="10">
        <f>MAX(节奏总纲!H127-积分赛!$C$7,0)*$BC$10/30</f>
        <v>4619235.1782058412</v>
      </c>
    </row>
    <row r="135" spans="26:73" x14ac:dyDescent="0.15">
      <c r="Z135" s="10">
        <v>125</v>
      </c>
      <c r="AA135" s="10">
        <f>IFERROR(MAX($Z135-积分赛!$C$7,0)*INDEX($U$7:$U$14,MATCH(AA$10,$T$7:$T$14,0))/30,0)</f>
        <v>0</v>
      </c>
      <c r="AB135" s="10">
        <f>IFERROR(MAX($Z135-积分赛!$C$7,0)*INDEX($U$7:$U$14,MATCH(AB$10,$T$7:$T$14,0))/30,0)</f>
        <v>0</v>
      </c>
      <c r="AC135" s="10">
        <f>IFERROR(MAX($Z135-积分赛!$C$7,0)*INDEX($U$7:$U$14,MATCH(AC$10,$T$7:$T$14,0))/30,0)</f>
        <v>0</v>
      </c>
      <c r="AD135" s="10">
        <f>IFERROR(MAX($Z135-积分赛!$C$7,0)*INDEX($U$7:$U$14,MATCH(AD$10,$T$7:$T$14,0))/30,0)</f>
        <v>253333.33333333334</v>
      </c>
      <c r="AE135" s="10">
        <f>IFERROR(MAX($Z135-积分赛!$C$7,0)*INDEX($U$7:$U$14,MATCH(AE$10,$T$7:$T$14,0))/30,0)</f>
        <v>3166666.6666666665</v>
      </c>
      <c r="AF135" s="10">
        <f>MAX($Z135-积分赛!$C$7,0)*(IFERROR(INDEX($W$7:$W$14,MATCH(AF$10,$T$7:$T$14,0)),0)*$T$20+IFERROR(INDEX($X$7:$X$14,MATCH(AF$10,$T$7:$T$14,0)),0)*$T$21)/30</f>
        <v>0</v>
      </c>
      <c r="AG135" s="10">
        <f>MAX($Z135-积分赛!$C$7,0)*(IFERROR(INDEX($W$7:$W$14,MATCH(AG$10,$T$7:$T$14,0)),0)*$T$20+IFERROR(INDEX($X$7:$X$14,MATCH(AG$10,$T$7:$T$14,0)),0)*$T$21)/30</f>
        <v>0</v>
      </c>
      <c r="AH135" s="10">
        <f>MAX($Z135-积分赛!$C$7,0)*(IFERROR(INDEX($W$7:$W$14,MATCH(AH$10,$T$7:$T$14,0)),0)*$T$20+IFERROR(INDEX($X$7:$X$14,MATCH(AH$10,$T$7:$T$14,0)),0)*$T$21)/30</f>
        <v>0</v>
      </c>
      <c r="AI135" s="10">
        <f>MAX($Z135-积分赛!$C$7,0)*(IFERROR(INDEX($W$7:$W$14,MATCH(AI$10,$T$7:$T$14,0)),0)*$T$20+IFERROR(INDEX($X$7:$X$14,MATCH(AI$10,$T$7:$T$14,0)),0)*$T$21)/30</f>
        <v>9674.1666666666661</v>
      </c>
      <c r="AJ135" s="10">
        <f>MAX($Z135-积分赛!$C$7,0)*(IFERROR(INDEX($W$7:$W$14,MATCH(AJ$10,$T$7:$T$14,0)),0)*$T$20+IFERROR(INDEX($X$7:$X$14,MATCH(AJ$10,$T$7:$T$14,0)),0)*$T$21)/30</f>
        <v>58045</v>
      </c>
      <c r="AL135" s="10">
        <v>125</v>
      </c>
      <c r="AM135" s="10">
        <f>IFERROR(MAX(节奏总纲!D128-积分赛!$C$7,0)*INDEX($U$7:$U$14,MATCH(AA$10,$T$7:$T$14,0))/30,0)</f>
        <v>0</v>
      </c>
      <c r="AN135" s="10">
        <f>IFERROR(MAX(节奏总纲!E128-积分赛!$C$7,0)*INDEX($U$7:$U$14,MATCH(AB$10,$T$7:$T$14,0))/30,0)</f>
        <v>0</v>
      </c>
      <c r="AO135" s="10">
        <f>IFERROR(MAX(节奏总纲!F128-积分赛!$C$7,0)*INDEX($U$7:$U$14,MATCH(AC$10,$T$7:$T$14,0))/30,0)</f>
        <v>0</v>
      </c>
      <c r="AP135" s="10">
        <f>IFERROR(MAX(节奏总纲!G128-积分赛!$C$7,0)*INDEX($U$7:$U$14,MATCH(AD$10,$T$7:$T$14,0))/30,0)</f>
        <v>7430571.1969195213</v>
      </c>
      <c r="AQ135" s="10">
        <f>IFERROR(MAX(节奏总纲!H128-积分赛!$C$7,0)*INDEX($U$7:$U$14,MATCH(AE$10,$T$7:$T$14,0))/30,0)</f>
        <v>49329166.950362921</v>
      </c>
      <c r="AR135" s="10">
        <f>MAX(节奏总纲!D128-积分赛!$C$7,0)*(IFERROR(INDEX($W$7:$W$14,MATCH(AF$10,$T$7:$T$14,0)),0)*$T$20+IFERROR(INDEX($X$7:$X$14,MATCH(AF$10,$T$7:$T$14,0)),0)*$T$21)/30</f>
        <v>0</v>
      </c>
      <c r="AS135" s="10">
        <f>MAX(节奏总纲!E128-积分赛!$C$7,0)*(IFERROR(INDEX($W$7:$W$14,MATCH(AG$10,$T$7:$T$14,0)),0)*$T$20+IFERROR(INDEX($X$7:$X$14,MATCH(AG$10,$T$7:$T$14,0)),0)*$T$21)/30</f>
        <v>0</v>
      </c>
      <c r="AT135" s="10">
        <f>MAX(节奏总纲!F128-积分赛!$C$7,0)*(IFERROR(INDEX($W$7:$W$14,MATCH(AH$10,$T$7:$T$14,0)),0)*$T$20+IFERROR(INDEX($X$7:$X$14,MATCH(AH$10,$T$7:$T$14,0)),0)*$T$21)/30</f>
        <v>0</v>
      </c>
      <c r="AU135" s="10">
        <f>MAX(节奏总纲!G128-积分赛!$C$7,0)*(IFERROR(INDEX($W$7:$W$14,MATCH(AI$10,$T$7:$T$14,0)),0)*$T$20+IFERROR(INDEX($X$7:$X$14,MATCH(AI$10,$T$7:$T$14,0)),0)*$T$21)/30</f>
        <v>283754.93758236425</v>
      </c>
      <c r="AV135" s="10">
        <f>MAX(节奏总纲!H128-积分赛!$C$7,0)*(IFERROR(INDEX($W$7:$W$14,MATCH(AJ$10,$T$7:$T$14,0)),0)*$T$20+IFERROR(INDEX($X$7:$X$14,MATCH(AJ$10,$T$7:$T$14,0)),0)*$T$21)/30</f>
        <v>904203.6302001524</v>
      </c>
      <c r="BI135" s="10">
        <v>125</v>
      </c>
      <c r="BJ135" s="10">
        <f>MAX($BI135-积分赛!$C$7,0)*$BC$10/30</f>
        <v>316666.66666666669</v>
      </c>
      <c r="BK135" s="10">
        <f>MAX($BI135-积分赛!$C$7,0)*$BC$10/30</f>
        <v>316666.66666666669</v>
      </c>
      <c r="BL135" s="10">
        <f>MAX($BI135-积分赛!$C$7,0)*$BC$10/30</f>
        <v>316666.66666666669</v>
      </c>
      <c r="BM135" s="10">
        <f>MAX($BI135-积分赛!$C$7,0)*$BC$10/30</f>
        <v>316666.66666666669</v>
      </c>
      <c r="BN135" s="10">
        <f>MAX($BI135-积分赛!$C$7,0)*$BC$10/30</f>
        <v>316666.66666666669</v>
      </c>
      <c r="BP135" s="10">
        <v>125</v>
      </c>
      <c r="BQ135" s="10">
        <f>MAX(节奏总纲!D128-积分赛!$C$7,0)*$BC$10/30</f>
        <v>19205395.83826733</v>
      </c>
      <c r="BR135" s="10">
        <f>MAX(节奏总纲!E128-积分赛!$C$7,0)*$BC$10/30</f>
        <v>16296072.685440443</v>
      </c>
      <c r="BS135" s="10">
        <f>MAX(节奏总纲!F128-积分赛!$C$7,0)*$BC$10/30</f>
        <v>13033460.788773265</v>
      </c>
      <c r="BT135" s="10">
        <f>MAX(节奏总纲!G128-积分赛!$C$7,0)*$BC$10/30</f>
        <v>9288213.9961494021</v>
      </c>
      <c r="BU135" s="10">
        <f>MAX(节奏总纲!H128-积分赛!$C$7,0)*$BC$10/30</f>
        <v>4932916.6950362921</v>
      </c>
    </row>
    <row r="136" spans="26:73" x14ac:dyDescent="0.15">
      <c r="Z136" s="10">
        <v>126</v>
      </c>
      <c r="AA136" s="10">
        <f>IFERROR(MAX($Z136-积分赛!$C$7,0)*INDEX($U$7:$U$14,MATCH(AA$10,$T$7:$T$14,0))/30,0)</f>
        <v>0</v>
      </c>
      <c r="AB136" s="10">
        <f>IFERROR(MAX($Z136-积分赛!$C$7,0)*INDEX($U$7:$U$14,MATCH(AB$10,$T$7:$T$14,0))/30,0)</f>
        <v>0</v>
      </c>
      <c r="AC136" s="10">
        <f>IFERROR(MAX($Z136-积分赛!$C$7,0)*INDEX($U$7:$U$14,MATCH(AC$10,$T$7:$T$14,0))/30,0)</f>
        <v>0</v>
      </c>
      <c r="AD136" s="10">
        <f>IFERROR(MAX($Z136-积分赛!$C$7,0)*INDEX($U$7:$U$14,MATCH(AD$10,$T$7:$T$14,0))/30,0)</f>
        <v>256000</v>
      </c>
      <c r="AE136" s="10">
        <f>IFERROR(MAX($Z136-积分赛!$C$7,0)*INDEX($U$7:$U$14,MATCH(AE$10,$T$7:$T$14,0))/30,0)</f>
        <v>3200000</v>
      </c>
      <c r="AF136" s="10">
        <f>MAX($Z136-积分赛!$C$7,0)*(IFERROR(INDEX($W$7:$W$14,MATCH(AF$10,$T$7:$T$14,0)),0)*$T$20+IFERROR(INDEX($X$7:$X$14,MATCH(AF$10,$T$7:$T$14,0)),0)*$T$21)/30</f>
        <v>0</v>
      </c>
      <c r="AG136" s="10">
        <f>MAX($Z136-积分赛!$C$7,0)*(IFERROR(INDEX($W$7:$W$14,MATCH(AG$10,$T$7:$T$14,0)),0)*$T$20+IFERROR(INDEX($X$7:$X$14,MATCH(AG$10,$T$7:$T$14,0)),0)*$T$21)/30</f>
        <v>0</v>
      </c>
      <c r="AH136" s="10">
        <f>MAX($Z136-积分赛!$C$7,0)*(IFERROR(INDEX($W$7:$W$14,MATCH(AH$10,$T$7:$T$14,0)),0)*$T$20+IFERROR(INDEX($X$7:$X$14,MATCH(AH$10,$T$7:$T$14,0)),0)*$T$21)/30</f>
        <v>0</v>
      </c>
      <c r="AI136" s="10">
        <f>MAX($Z136-积分赛!$C$7,0)*(IFERROR(INDEX($W$7:$W$14,MATCH(AI$10,$T$7:$T$14,0)),0)*$T$20+IFERROR(INDEX($X$7:$X$14,MATCH(AI$10,$T$7:$T$14,0)),0)*$T$21)/30</f>
        <v>9776</v>
      </c>
      <c r="AJ136" s="10">
        <f>MAX($Z136-积分赛!$C$7,0)*(IFERROR(INDEX($W$7:$W$14,MATCH(AJ$10,$T$7:$T$14,0)),0)*$T$20+IFERROR(INDEX($X$7:$X$14,MATCH(AJ$10,$T$7:$T$14,0)),0)*$T$21)/30</f>
        <v>58656</v>
      </c>
      <c r="AL136" s="10">
        <v>126</v>
      </c>
      <c r="AM136" s="10">
        <f>IFERROR(MAX(节奏总纲!D129-积分赛!$C$7,0)*INDEX($U$7:$U$14,MATCH(AA$10,$T$7:$T$14,0))/30,0)</f>
        <v>0</v>
      </c>
      <c r="AN136" s="10">
        <f>IFERROR(MAX(节奏总纲!E129-积分赛!$C$7,0)*INDEX($U$7:$U$14,MATCH(AB$10,$T$7:$T$14,0))/30,0)</f>
        <v>0</v>
      </c>
      <c r="AO136" s="10">
        <f>IFERROR(MAX(节奏总纲!F129-积分赛!$C$7,0)*INDEX($U$7:$U$14,MATCH(AC$10,$T$7:$T$14,0))/30,0)</f>
        <v>0</v>
      </c>
      <c r="AP136" s="10">
        <f>IFERROR(MAX(节奏总纲!G129-积分赛!$C$7,0)*INDEX($U$7:$U$14,MATCH(AD$10,$T$7:$T$14,0))/30,0)</f>
        <v>7938273.2728881035</v>
      </c>
      <c r="AQ136" s="10">
        <f>IFERROR(MAX(节奏总纲!H129-积分赛!$C$7,0)*INDEX($U$7:$U$14,MATCH(AE$10,$T$7:$T$14,0))/30,0)</f>
        <v>52673102.987901889</v>
      </c>
      <c r="AR136" s="10">
        <f>MAX(节奏总纲!D129-积分赛!$C$7,0)*(IFERROR(INDEX($W$7:$W$14,MATCH(AF$10,$T$7:$T$14,0)),0)*$T$20+IFERROR(INDEX($X$7:$X$14,MATCH(AF$10,$T$7:$T$14,0)),0)*$T$21)/30</f>
        <v>0</v>
      </c>
      <c r="AS136" s="10">
        <f>MAX(节奏总纲!E129-积分赛!$C$7,0)*(IFERROR(INDEX($W$7:$W$14,MATCH(AG$10,$T$7:$T$14,0)),0)*$T$20+IFERROR(INDEX($X$7:$X$14,MATCH(AG$10,$T$7:$T$14,0)),0)*$T$21)/30</f>
        <v>0</v>
      </c>
      <c r="AT136" s="10">
        <f>MAX(节奏总纲!F129-积分赛!$C$7,0)*(IFERROR(INDEX($W$7:$W$14,MATCH(AH$10,$T$7:$T$14,0)),0)*$T$20+IFERROR(INDEX($X$7:$X$14,MATCH(AH$10,$T$7:$T$14,0)),0)*$T$21)/30</f>
        <v>0</v>
      </c>
      <c r="AU136" s="10">
        <f>MAX(节奏总纲!G129-积分赛!$C$7,0)*(IFERROR(INDEX($W$7:$W$14,MATCH(AI$10,$T$7:$T$14,0)),0)*$T$20+IFERROR(INDEX($X$7:$X$14,MATCH(AI$10,$T$7:$T$14,0)),0)*$T$21)/30</f>
        <v>303142.81060841441</v>
      </c>
      <c r="AV136" s="10">
        <f>MAX(节奏总纲!H129-积分赛!$C$7,0)*(IFERROR(INDEX($W$7:$W$14,MATCH(AJ$10,$T$7:$T$14,0)),0)*$T$20+IFERROR(INDEX($X$7:$X$14,MATCH(AJ$10,$T$7:$T$14,0)),0)*$T$21)/30</f>
        <v>965497.97776824166</v>
      </c>
      <c r="BI136" s="10">
        <v>126</v>
      </c>
      <c r="BJ136" s="10">
        <f>MAX($BI136-积分赛!$C$7,0)*$BC$10/30</f>
        <v>320000</v>
      </c>
      <c r="BK136" s="10">
        <f>MAX($BI136-积分赛!$C$7,0)*$BC$10/30</f>
        <v>320000</v>
      </c>
      <c r="BL136" s="10">
        <f>MAX($BI136-积分赛!$C$7,0)*$BC$10/30</f>
        <v>320000</v>
      </c>
      <c r="BM136" s="10">
        <f>MAX($BI136-积分赛!$C$7,0)*$BC$10/30</f>
        <v>320000</v>
      </c>
      <c r="BN136" s="10">
        <f>MAX($BI136-积分赛!$C$7,0)*$BC$10/30</f>
        <v>320000</v>
      </c>
      <c r="BP136" s="10">
        <v>126</v>
      </c>
      <c r="BQ136" s="10">
        <f>MAX(节奏总纲!D129-积分赛!$C$7,0)*$BC$10/30</f>
        <v>20591250.188088622</v>
      </c>
      <c r="BR136" s="10">
        <f>MAX(节奏总纲!E129-积分赛!$C$7,0)*$BC$10/30</f>
        <v>17497908.284969375</v>
      </c>
      <c r="BS136" s="10">
        <f>MAX(节奏总纲!F129-积分赛!$C$7,0)*$BC$10/30</f>
        <v>13986603.128050733</v>
      </c>
      <c r="BT136" s="10">
        <f>MAX(节奏总纲!G129-积分赛!$C$7,0)*$BC$10/30</f>
        <v>9922841.5911101289</v>
      </c>
      <c r="BU136" s="10">
        <f>MAX(节奏总纲!H129-积分赛!$C$7,0)*$BC$10/30</f>
        <v>5267310.2987901885</v>
      </c>
    </row>
    <row r="137" spans="26:73" x14ac:dyDescent="0.15">
      <c r="Z137" s="10">
        <v>127</v>
      </c>
      <c r="AA137" s="10">
        <f>IFERROR(MAX($Z137-积分赛!$C$7,0)*INDEX($U$7:$U$14,MATCH(AA$10,$T$7:$T$14,0))/30,0)</f>
        <v>0</v>
      </c>
      <c r="AB137" s="10">
        <f>IFERROR(MAX($Z137-积分赛!$C$7,0)*INDEX($U$7:$U$14,MATCH(AB$10,$T$7:$T$14,0))/30,0)</f>
        <v>0</v>
      </c>
      <c r="AC137" s="10">
        <f>IFERROR(MAX($Z137-积分赛!$C$7,0)*INDEX($U$7:$U$14,MATCH(AC$10,$T$7:$T$14,0))/30,0)</f>
        <v>0</v>
      </c>
      <c r="AD137" s="10">
        <f>IFERROR(MAX($Z137-积分赛!$C$7,0)*INDEX($U$7:$U$14,MATCH(AD$10,$T$7:$T$14,0))/30,0)</f>
        <v>258666.66666666666</v>
      </c>
      <c r="AE137" s="10">
        <f>IFERROR(MAX($Z137-积分赛!$C$7,0)*INDEX($U$7:$U$14,MATCH(AE$10,$T$7:$T$14,0))/30,0)</f>
        <v>3233333.3333333335</v>
      </c>
      <c r="AF137" s="10">
        <f>MAX($Z137-积分赛!$C$7,0)*(IFERROR(INDEX($W$7:$W$14,MATCH(AF$10,$T$7:$T$14,0)),0)*$T$20+IFERROR(INDEX($X$7:$X$14,MATCH(AF$10,$T$7:$T$14,0)),0)*$T$21)/30</f>
        <v>0</v>
      </c>
      <c r="AG137" s="10">
        <f>MAX($Z137-积分赛!$C$7,0)*(IFERROR(INDEX($W$7:$W$14,MATCH(AG$10,$T$7:$T$14,0)),0)*$T$20+IFERROR(INDEX($X$7:$X$14,MATCH(AG$10,$T$7:$T$14,0)),0)*$T$21)/30</f>
        <v>0</v>
      </c>
      <c r="AH137" s="10">
        <f>MAX($Z137-积分赛!$C$7,0)*(IFERROR(INDEX($W$7:$W$14,MATCH(AH$10,$T$7:$T$14,0)),0)*$T$20+IFERROR(INDEX($X$7:$X$14,MATCH(AH$10,$T$7:$T$14,0)),0)*$T$21)/30</f>
        <v>0</v>
      </c>
      <c r="AI137" s="10">
        <f>MAX($Z137-积分赛!$C$7,0)*(IFERROR(INDEX($W$7:$W$14,MATCH(AI$10,$T$7:$T$14,0)),0)*$T$20+IFERROR(INDEX($X$7:$X$14,MATCH(AI$10,$T$7:$T$14,0)),0)*$T$21)/30</f>
        <v>9877.8333333333339</v>
      </c>
      <c r="AJ137" s="10">
        <f>MAX($Z137-积分赛!$C$7,0)*(IFERROR(INDEX($W$7:$W$14,MATCH(AJ$10,$T$7:$T$14,0)),0)*$T$20+IFERROR(INDEX($X$7:$X$14,MATCH(AJ$10,$T$7:$T$14,0)),0)*$T$21)/30</f>
        <v>59267</v>
      </c>
      <c r="AL137" s="10">
        <v>127</v>
      </c>
      <c r="AM137" s="10">
        <f>IFERROR(MAX(节奏总纲!D130-积分赛!$C$7,0)*INDEX($U$7:$U$14,MATCH(AA$10,$T$7:$T$14,0))/30,0)</f>
        <v>0</v>
      </c>
      <c r="AN137" s="10">
        <f>IFERROR(MAX(节奏总纲!E130-积分赛!$C$7,0)*INDEX($U$7:$U$14,MATCH(AB$10,$T$7:$T$14,0))/30,0)</f>
        <v>0</v>
      </c>
      <c r="AO137" s="10">
        <f>IFERROR(MAX(节奏总纲!F130-积分赛!$C$7,0)*INDEX($U$7:$U$14,MATCH(AC$10,$T$7:$T$14,0))/30,0)</f>
        <v>0</v>
      </c>
      <c r="AP137" s="10">
        <f>IFERROR(MAX(节奏总纲!G130-积分赛!$C$7,0)*INDEX($U$7:$U$14,MATCH(AD$10,$T$7:$T$14,0))/30,0)</f>
        <v>8462415.5741401482</v>
      </c>
      <c r="AQ137" s="10">
        <f>IFERROR(MAX(节奏总纲!H130-积分赛!$C$7,0)*INDEX($U$7:$U$14,MATCH(AE$10,$T$7:$T$14,0))/30,0)</f>
        <v>56326438.886688165</v>
      </c>
      <c r="AR137" s="10">
        <f>MAX(节奏总纲!D130-积分赛!$C$7,0)*(IFERROR(INDEX($W$7:$W$14,MATCH(AF$10,$T$7:$T$14,0)),0)*$T$20+IFERROR(INDEX($X$7:$X$14,MATCH(AF$10,$T$7:$T$14,0)),0)*$T$21)/30</f>
        <v>0</v>
      </c>
      <c r="AS137" s="10">
        <f>MAX(节奏总纲!E130-积分赛!$C$7,0)*(IFERROR(INDEX($W$7:$W$14,MATCH(AG$10,$T$7:$T$14,0)),0)*$T$20+IFERROR(INDEX($X$7:$X$14,MATCH(AG$10,$T$7:$T$14,0)),0)*$T$21)/30</f>
        <v>0</v>
      </c>
      <c r="AT137" s="10">
        <f>MAX(节奏总纲!F130-积分赛!$C$7,0)*(IFERROR(INDEX($W$7:$W$14,MATCH(AH$10,$T$7:$T$14,0)),0)*$T$20+IFERROR(INDEX($X$7:$X$14,MATCH(AH$10,$T$7:$T$14,0)),0)*$T$21)/30</f>
        <v>0</v>
      </c>
      <c r="AU137" s="10">
        <f>MAX(节奏总纲!G130-积分赛!$C$7,0)*(IFERROR(INDEX($W$7:$W$14,MATCH(AI$10,$T$7:$T$14,0)),0)*$T$20+IFERROR(INDEX($X$7:$X$14,MATCH(AI$10,$T$7:$T$14,0)),0)*$T$21)/30</f>
        <v>323158.49473747693</v>
      </c>
      <c r="AV137" s="10">
        <f>MAX(节奏总纲!H130-积分赛!$C$7,0)*(IFERROR(INDEX($W$7:$W$14,MATCH(AJ$10,$T$7:$T$14,0)),0)*$T$20+IFERROR(INDEX($X$7:$X$14,MATCH(AJ$10,$T$7:$T$14,0)),0)*$T$21)/30</f>
        <v>1032463.6247929941</v>
      </c>
      <c r="BI137" s="10">
        <v>127</v>
      </c>
      <c r="BJ137" s="10">
        <f>MAX($BI137-积分赛!$C$7,0)*$BC$10/30</f>
        <v>323333.33333333331</v>
      </c>
      <c r="BK137" s="10">
        <f>MAX($BI137-积分赛!$C$7,0)*$BC$10/30</f>
        <v>323333.33333333331</v>
      </c>
      <c r="BL137" s="10">
        <f>MAX($BI137-积分赛!$C$7,0)*$BC$10/30</f>
        <v>323333.33333333331</v>
      </c>
      <c r="BM137" s="10">
        <f>MAX($BI137-积分赛!$C$7,0)*$BC$10/30</f>
        <v>323333.33333333331</v>
      </c>
      <c r="BN137" s="10">
        <f>MAX($BI137-积分赛!$C$7,0)*$BC$10/30</f>
        <v>323333.33333333331</v>
      </c>
      <c r="BP137" s="10">
        <v>127</v>
      </c>
      <c r="BQ137" s="10">
        <f>MAX(节奏总纲!D130-积分赛!$C$7,0)*$BC$10/30</f>
        <v>22076572.103167571</v>
      </c>
      <c r="BR137" s="10">
        <f>MAX(节奏总纲!E130-积分赛!$C$7,0)*$BC$10/30</f>
        <v>18761174.573744018</v>
      </c>
      <c r="BS137" s="10">
        <f>MAX(节奏总纲!F130-积分赛!$C$7,0)*$BC$10/30</f>
        <v>14929062.914316662</v>
      </c>
      <c r="BT137" s="10">
        <f>MAX(节奏总纲!G130-积分赛!$C$7,0)*$BC$10/30</f>
        <v>10578019.467675185</v>
      </c>
      <c r="BU137" s="10">
        <f>MAX(节奏总纲!H130-积分赛!$C$7,0)*$BC$10/30</f>
        <v>5632643.8886688165</v>
      </c>
    </row>
    <row r="138" spans="26:73" x14ac:dyDescent="0.15">
      <c r="Z138" s="10">
        <v>128</v>
      </c>
      <c r="AA138" s="10">
        <f>IFERROR(MAX($Z138-积分赛!$C$7,0)*INDEX($U$7:$U$14,MATCH(AA$10,$T$7:$T$14,0))/30,0)</f>
        <v>0</v>
      </c>
      <c r="AB138" s="10">
        <f>IFERROR(MAX($Z138-积分赛!$C$7,0)*INDEX($U$7:$U$14,MATCH(AB$10,$T$7:$T$14,0))/30,0)</f>
        <v>0</v>
      </c>
      <c r="AC138" s="10">
        <f>IFERROR(MAX($Z138-积分赛!$C$7,0)*INDEX($U$7:$U$14,MATCH(AC$10,$T$7:$T$14,0))/30,0)</f>
        <v>0</v>
      </c>
      <c r="AD138" s="10">
        <f>IFERROR(MAX($Z138-积分赛!$C$7,0)*INDEX($U$7:$U$14,MATCH(AD$10,$T$7:$T$14,0))/30,0)</f>
        <v>261333.33333333334</v>
      </c>
      <c r="AE138" s="10">
        <f>IFERROR(MAX($Z138-积分赛!$C$7,0)*INDEX($U$7:$U$14,MATCH(AE$10,$T$7:$T$14,0))/30,0)</f>
        <v>3266666.6666666665</v>
      </c>
      <c r="AF138" s="10">
        <f>MAX($Z138-积分赛!$C$7,0)*(IFERROR(INDEX($W$7:$W$14,MATCH(AF$10,$T$7:$T$14,0)),0)*$T$20+IFERROR(INDEX($X$7:$X$14,MATCH(AF$10,$T$7:$T$14,0)),0)*$T$21)/30</f>
        <v>0</v>
      </c>
      <c r="AG138" s="10">
        <f>MAX($Z138-积分赛!$C$7,0)*(IFERROR(INDEX($W$7:$W$14,MATCH(AG$10,$T$7:$T$14,0)),0)*$T$20+IFERROR(INDEX($X$7:$X$14,MATCH(AG$10,$T$7:$T$14,0)),0)*$T$21)/30</f>
        <v>0</v>
      </c>
      <c r="AH138" s="10">
        <f>MAX($Z138-积分赛!$C$7,0)*(IFERROR(INDEX($W$7:$W$14,MATCH(AH$10,$T$7:$T$14,0)),0)*$T$20+IFERROR(INDEX($X$7:$X$14,MATCH(AH$10,$T$7:$T$14,0)),0)*$T$21)/30</f>
        <v>0</v>
      </c>
      <c r="AI138" s="10">
        <f>MAX($Z138-积分赛!$C$7,0)*(IFERROR(INDEX($W$7:$W$14,MATCH(AI$10,$T$7:$T$14,0)),0)*$T$20+IFERROR(INDEX($X$7:$X$14,MATCH(AI$10,$T$7:$T$14,0)),0)*$T$21)/30</f>
        <v>9979.6666666666661</v>
      </c>
      <c r="AJ138" s="10">
        <f>MAX($Z138-积分赛!$C$7,0)*(IFERROR(INDEX($W$7:$W$14,MATCH(AJ$10,$T$7:$T$14,0)),0)*$T$20+IFERROR(INDEX($X$7:$X$14,MATCH(AJ$10,$T$7:$T$14,0)),0)*$T$21)/30</f>
        <v>59878</v>
      </c>
      <c r="AL138" s="10">
        <v>128</v>
      </c>
      <c r="AM138" s="10">
        <f>IFERROR(MAX(节奏总纲!D131-积分赛!$C$7,0)*INDEX($U$7:$U$14,MATCH(AA$10,$T$7:$T$14,0))/30,0)</f>
        <v>0</v>
      </c>
      <c r="AN138" s="10">
        <f>IFERROR(MAX(节奏总纲!E131-积分赛!$C$7,0)*INDEX($U$7:$U$14,MATCH(AB$10,$T$7:$T$14,0))/30,0)</f>
        <v>0</v>
      </c>
      <c r="AO138" s="10">
        <f>IFERROR(MAX(节奏总纲!F131-积分赛!$C$7,0)*INDEX($U$7:$U$14,MATCH(AC$10,$T$7:$T$14,0))/30,0)</f>
        <v>0</v>
      </c>
      <c r="AP138" s="10">
        <f>IFERROR(MAX(节奏总纲!G131-积分赛!$C$7,0)*INDEX($U$7:$U$14,MATCH(AD$10,$T$7:$T$14,0))/30,0)</f>
        <v>9037596.8743019328</v>
      </c>
      <c r="AQ138" s="10">
        <f>IFERROR(MAX(节奏总纲!H131-积分赛!$C$7,0)*INDEX($U$7:$U$14,MATCH(AE$10,$T$7:$T$14,0))/30,0)</f>
        <v>60298963.344172798</v>
      </c>
      <c r="AR138" s="10">
        <f>MAX(节奏总纲!D131-积分赛!$C$7,0)*(IFERROR(INDEX($W$7:$W$14,MATCH(AF$10,$T$7:$T$14,0)),0)*$T$20+IFERROR(INDEX($X$7:$X$14,MATCH(AF$10,$T$7:$T$14,0)),0)*$T$21)/30</f>
        <v>0</v>
      </c>
      <c r="AS138" s="10">
        <f>MAX(节奏总纲!E131-积分赛!$C$7,0)*(IFERROR(INDEX($W$7:$W$14,MATCH(AG$10,$T$7:$T$14,0)),0)*$T$20+IFERROR(INDEX($X$7:$X$14,MATCH(AG$10,$T$7:$T$14,0)),0)*$T$21)/30</f>
        <v>0</v>
      </c>
      <c r="AT138" s="10">
        <f>MAX(节奏总纲!F131-积分赛!$C$7,0)*(IFERROR(INDEX($W$7:$W$14,MATCH(AH$10,$T$7:$T$14,0)),0)*$T$20+IFERROR(INDEX($X$7:$X$14,MATCH(AH$10,$T$7:$T$14,0)),0)*$T$21)/30</f>
        <v>0</v>
      </c>
      <c r="AU138" s="10">
        <f>MAX(节奏总纲!G131-积分赛!$C$7,0)*(IFERROR(INDEX($W$7:$W$14,MATCH(AI$10,$T$7:$T$14,0)),0)*$T$20+IFERROR(INDEX($X$7:$X$14,MATCH(AI$10,$T$7:$T$14,0)),0)*$T$21)/30</f>
        <v>345123.23063740501</v>
      </c>
      <c r="AV138" s="10">
        <f>MAX(节奏总纲!H131-积分赛!$C$7,0)*(IFERROR(INDEX($W$7:$W$14,MATCH(AJ$10,$T$7:$T$14,0)),0)*$T$20+IFERROR(INDEX($X$7:$X$14,MATCH(AJ$10,$T$7:$T$14,0)),0)*$T$21)/30</f>
        <v>1105279.9980986873</v>
      </c>
      <c r="BI138" s="10">
        <v>128</v>
      </c>
      <c r="BJ138" s="10">
        <f>MAX($BI138-积分赛!$C$7,0)*$BC$10/30</f>
        <v>326666.66666666669</v>
      </c>
      <c r="BK138" s="10">
        <f>MAX($BI138-积分赛!$C$7,0)*$BC$10/30</f>
        <v>326666.66666666669</v>
      </c>
      <c r="BL138" s="10">
        <f>MAX($BI138-积分赛!$C$7,0)*$BC$10/30</f>
        <v>326666.66666666669</v>
      </c>
      <c r="BM138" s="10">
        <f>MAX($BI138-积分赛!$C$7,0)*$BC$10/30</f>
        <v>326666.66666666669</v>
      </c>
      <c r="BN138" s="10">
        <f>MAX($BI138-积分赛!$C$7,0)*$BC$10/30</f>
        <v>326666.66666666669</v>
      </c>
      <c r="BP138" s="10">
        <v>128</v>
      </c>
      <c r="BQ138" s="10">
        <f>MAX(节奏总纲!D131-积分赛!$C$7,0)*$BC$10/30</f>
        <v>23668500.715072814</v>
      </c>
      <c r="BR138" s="10">
        <f>MAX(节奏总纲!E131-积分赛!$C$7,0)*$BC$10/30</f>
        <v>20020035.855309136</v>
      </c>
      <c r="BS138" s="10">
        <f>MAX(节奏总纲!F131-积分赛!$C$7,0)*$BC$10/30</f>
        <v>15919969.481959078</v>
      </c>
      <c r="BT138" s="10">
        <f>MAX(节奏总纲!G131-积分赛!$C$7,0)*$BC$10/30</f>
        <v>11296996.092877414</v>
      </c>
      <c r="BU138" s="10">
        <f>MAX(节奏总纲!H131-积分赛!$C$7,0)*$BC$10/30</f>
        <v>6029896.3344172798</v>
      </c>
    </row>
    <row r="139" spans="26:73" x14ac:dyDescent="0.15">
      <c r="Z139" s="10">
        <v>129</v>
      </c>
      <c r="AA139" s="10">
        <f>IFERROR(MAX($Z139-积分赛!$C$7,0)*INDEX($U$7:$U$14,MATCH(AA$10,$T$7:$T$14,0))/30,0)</f>
        <v>0</v>
      </c>
      <c r="AB139" s="10">
        <f>IFERROR(MAX($Z139-积分赛!$C$7,0)*INDEX($U$7:$U$14,MATCH(AB$10,$T$7:$T$14,0))/30,0)</f>
        <v>0</v>
      </c>
      <c r="AC139" s="10">
        <f>IFERROR(MAX($Z139-积分赛!$C$7,0)*INDEX($U$7:$U$14,MATCH(AC$10,$T$7:$T$14,0))/30,0)</f>
        <v>0</v>
      </c>
      <c r="AD139" s="10">
        <f>IFERROR(MAX($Z139-积分赛!$C$7,0)*INDEX($U$7:$U$14,MATCH(AD$10,$T$7:$T$14,0))/30,0)</f>
        <v>264000</v>
      </c>
      <c r="AE139" s="10">
        <f>IFERROR(MAX($Z139-积分赛!$C$7,0)*INDEX($U$7:$U$14,MATCH(AE$10,$T$7:$T$14,0))/30,0)</f>
        <v>3300000</v>
      </c>
      <c r="AF139" s="10">
        <f>MAX($Z139-积分赛!$C$7,0)*(IFERROR(INDEX($W$7:$W$14,MATCH(AF$10,$T$7:$T$14,0)),0)*$T$20+IFERROR(INDEX($X$7:$X$14,MATCH(AF$10,$T$7:$T$14,0)),0)*$T$21)/30</f>
        <v>0</v>
      </c>
      <c r="AG139" s="10">
        <f>MAX($Z139-积分赛!$C$7,0)*(IFERROR(INDEX($W$7:$W$14,MATCH(AG$10,$T$7:$T$14,0)),0)*$T$20+IFERROR(INDEX($X$7:$X$14,MATCH(AG$10,$T$7:$T$14,0)),0)*$T$21)/30</f>
        <v>0</v>
      </c>
      <c r="AH139" s="10">
        <f>MAX($Z139-积分赛!$C$7,0)*(IFERROR(INDEX($W$7:$W$14,MATCH(AH$10,$T$7:$T$14,0)),0)*$T$20+IFERROR(INDEX($X$7:$X$14,MATCH(AH$10,$T$7:$T$14,0)),0)*$T$21)/30</f>
        <v>0</v>
      </c>
      <c r="AI139" s="10">
        <f>MAX($Z139-积分赛!$C$7,0)*(IFERROR(INDEX($W$7:$W$14,MATCH(AI$10,$T$7:$T$14,0)),0)*$T$20+IFERROR(INDEX($X$7:$X$14,MATCH(AI$10,$T$7:$T$14,0)),0)*$T$21)/30</f>
        <v>10081.5</v>
      </c>
      <c r="AJ139" s="10">
        <f>MAX($Z139-积分赛!$C$7,0)*(IFERROR(INDEX($W$7:$W$14,MATCH(AJ$10,$T$7:$T$14,0)),0)*$T$20+IFERROR(INDEX($X$7:$X$14,MATCH(AJ$10,$T$7:$T$14,0)),0)*$T$21)/30</f>
        <v>60489</v>
      </c>
      <c r="AL139" s="10">
        <v>129</v>
      </c>
      <c r="AM139" s="10">
        <f>IFERROR(MAX(节奏总纲!D132-积分赛!$C$7,0)*INDEX($U$7:$U$14,MATCH(AA$10,$T$7:$T$14,0))/30,0)</f>
        <v>0</v>
      </c>
      <c r="AN139" s="10">
        <f>IFERROR(MAX(节奏总纲!E132-积分赛!$C$7,0)*INDEX($U$7:$U$14,MATCH(AB$10,$T$7:$T$14,0))/30,0)</f>
        <v>0</v>
      </c>
      <c r="AO139" s="10">
        <f>IFERROR(MAX(节奏总纲!F132-积分赛!$C$7,0)*INDEX($U$7:$U$14,MATCH(AC$10,$T$7:$T$14,0))/30,0)</f>
        <v>0</v>
      </c>
      <c r="AP139" s="10">
        <f>IFERROR(MAX(节奏总纲!G132-积分赛!$C$7,0)*INDEX($U$7:$U$14,MATCH(AD$10,$T$7:$T$14,0))/30,0)</f>
        <v>9724697.7463858947</v>
      </c>
      <c r="AQ139" s="10">
        <f>IFERROR(MAX(节奏总纲!H132-积分赛!$C$7,0)*INDEX($U$7:$U$14,MATCH(AE$10,$T$7:$T$14,0))/30,0)</f>
        <v>64852067.331135765</v>
      </c>
      <c r="AR139" s="10">
        <f>MAX(节奏总纲!D132-积分赛!$C$7,0)*(IFERROR(INDEX($W$7:$W$14,MATCH(AF$10,$T$7:$T$14,0)),0)*$T$20+IFERROR(INDEX($X$7:$X$14,MATCH(AF$10,$T$7:$T$14,0)),0)*$T$21)/30</f>
        <v>0</v>
      </c>
      <c r="AS139" s="10">
        <f>MAX(节奏总纲!E132-积分赛!$C$7,0)*(IFERROR(INDEX($W$7:$W$14,MATCH(AG$10,$T$7:$T$14,0)),0)*$T$20+IFERROR(INDEX($X$7:$X$14,MATCH(AG$10,$T$7:$T$14,0)),0)*$T$21)/30</f>
        <v>0</v>
      </c>
      <c r="AT139" s="10">
        <f>MAX(节奏总纲!F132-积分赛!$C$7,0)*(IFERROR(INDEX($W$7:$W$14,MATCH(AH$10,$T$7:$T$14,0)),0)*$T$20+IFERROR(INDEX($X$7:$X$14,MATCH(AH$10,$T$7:$T$14,0)),0)*$T$21)/30</f>
        <v>0</v>
      </c>
      <c r="AU139" s="10">
        <f>MAX(节奏总纲!G132-积分赛!$C$7,0)*(IFERROR(INDEX($W$7:$W$14,MATCH(AI$10,$T$7:$T$14,0)),0)*$T$20+IFERROR(INDEX($X$7:$X$14,MATCH(AI$10,$T$7:$T$14,0)),0)*$T$21)/30</f>
        <v>371361.89519011136</v>
      </c>
      <c r="AV139" s="10">
        <f>MAX(节奏总纲!H132-积分赛!$C$7,0)*(IFERROR(INDEX($W$7:$W$14,MATCH(AJ$10,$T$7:$T$14,0)),0)*$T$20+IFERROR(INDEX($X$7:$X$14,MATCH(AJ$10,$T$7:$T$14,0)),0)*$T$21)/30</f>
        <v>1188738.3941797188</v>
      </c>
      <c r="BI139" s="10">
        <v>129</v>
      </c>
      <c r="BJ139" s="10">
        <f>MAX($BI139-积分赛!$C$7,0)*$BC$10/30</f>
        <v>330000</v>
      </c>
      <c r="BK139" s="10">
        <f>MAX($BI139-积分赛!$C$7,0)*$BC$10/30</f>
        <v>330000</v>
      </c>
      <c r="BL139" s="10">
        <f>MAX($BI139-积分赛!$C$7,0)*$BC$10/30</f>
        <v>330000</v>
      </c>
      <c r="BM139" s="10">
        <f>MAX($BI139-积分赛!$C$7,0)*$BC$10/30</f>
        <v>330000</v>
      </c>
      <c r="BN139" s="10">
        <f>MAX($BI139-积分赛!$C$7,0)*$BC$10/30</f>
        <v>330000</v>
      </c>
      <c r="BP139" s="10">
        <v>129</v>
      </c>
      <c r="BQ139" s="10">
        <f>MAX(节奏总纲!D132-积分赛!$C$7,0)*$BC$10/30</f>
        <v>25374687.555565096</v>
      </c>
      <c r="BR139" s="10">
        <f>MAX(节奏总纲!E132-积分赛!$C$7,0)*$BC$10/30</f>
        <v>21464323.015785854</v>
      </c>
      <c r="BS139" s="10">
        <f>MAX(节奏总纲!F132-积分赛!$C$7,0)*$BC$10/30</f>
        <v>17097961.568761997</v>
      </c>
      <c r="BT139" s="10">
        <f>MAX(节奏总纲!G132-积分赛!$C$7,0)*$BC$10/30</f>
        <v>12155872.182982367</v>
      </c>
      <c r="BU139" s="10">
        <f>MAX(节奏总纲!H132-积分赛!$C$7,0)*$BC$10/30</f>
        <v>6485206.7331135767</v>
      </c>
    </row>
    <row r="140" spans="26:73" x14ac:dyDescent="0.15">
      <c r="Z140" s="10">
        <v>130</v>
      </c>
      <c r="AA140" s="10">
        <f>IFERROR(MAX($Z140-积分赛!$C$7,0)*INDEX($U$7:$U$14,MATCH(AA$10,$T$7:$T$14,0))/30,0)</f>
        <v>0</v>
      </c>
      <c r="AB140" s="10">
        <f>IFERROR(MAX($Z140-积分赛!$C$7,0)*INDEX($U$7:$U$14,MATCH(AB$10,$T$7:$T$14,0))/30,0)</f>
        <v>0</v>
      </c>
      <c r="AC140" s="10">
        <f>IFERROR(MAX($Z140-积分赛!$C$7,0)*INDEX($U$7:$U$14,MATCH(AC$10,$T$7:$T$14,0))/30,0)</f>
        <v>0</v>
      </c>
      <c r="AD140" s="10">
        <f>IFERROR(MAX($Z140-积分赛!$C$7,0)*INDEX($U$7:$U$14,MATCH(AD$10,$T$7:$T$14,0))/30,0)</f>
        <v>266666.66666666669</v>
      </c>
      <c r="AE140" s="10">
        <f>IFERROR(MAX($Z140-积分赛!$C$7,0)*INDEX($U$7:$U$14,MATCH(AE$10,$T$7:$T$14,0))/30,0)</f>
        <v>3333333.3333333335</v>
      </c>
      <c r="AF140" s="10">
        <f>MAX($Z140-积分赛!$C$7,0)*(IFERROR(INDEX($W$7:$W$14,MATCH(AF$10,$T$7:$T$14,0)),0)*$T$20+IFERROR(INDEX($X$7:$X$14,MATCH(AF$10,$T$7:$T$14,0)),0)*$T$21)/30</f>
        <v>0</v>
      </c>
      <c r="AG140" s="10">
        <f>MAX($Z140-积分赛!$C$7,0)*(IFERROR(INDEX($W$7:$W$14,MATCH(AG$10,$T$7:$T$14,0)),0)*$T$20+IFERROR(INDEX($X$7:$X$14,MATCH(AG$10,$T$7:$T$14,0)),0)*$T$21)/30</f>
        <v>0</v>
      </c>
      <c r="AH140" s="10">
        <f>MAX($Z140-积分赛!$C$7,0)*(IFERROR(INDEX($W$7:$W$14,MATCH(AH$10,$T$7:$T$14,0)),0)*$T$20+IFERROR(INDEX($X$7:$X$14,MATCH(AH$10,$T$7:$T$14,0)),0)*$T$21)/30</f>
        <v>0</v>
      </c>
      <c r="AI140" s="10">
        <f>MAX($Z140-积分赛!$C$7,0)*(IFERROR(INDEX($W$7:$W$14,MATCH(AI$10,$T$7:$T$14,0)),0)*$T$20+IFERROR(INDEX($X$7:$X$14,MATCH(AI$10,$T$7:$T$14,0)),0)*$T$21)/30</f>
        <v>10183.333333333334</v>
      </c>
      <c r="AJ140" s="10">
        <f>MAX($Z140-积分赛!$C$7,0)*(IFERROR(INDEX($W$7:$W$14,MATCH(AJ$10,$T$7:$T$14,0)),0)*$T$20+IFERROR(INDEX($X$7:$X$14,MATCH(AJ$10,$T$7:$T$14,0)),0)*$T$21)/30</f>
        <v>61100</v>
      </c>
      <c r="AL140" s="10">
        <v>130</v>
      </c>
      <c r="AM140" s="10">
        <f>IFERROR(MAX(节奏总纲!D133-积分赛!$C$7,0)*INDEX($U$7:$U$14,MATCH(AA$10,$T$7:$T$14,0))/30,0)</f>
        <v>0</v>
      </c>
      <c r="AN140" s="10">
        <f>IFERROR(MAX(节奏总纲!E133-积分赛!$C$7,0)*INDEX($U$7:$U$14,MATCH(AB$10,$T$7:$T$14,0))/30,0)</f>
        <v>0</v>
      </c>
      <c r="AO140" s="10">
        <f>IFERROR(MAX(节奏总纲!F133-积分赛!$C$7,0)*INDEX($U$7:$U$14,MATCH(AC$10,$T$7:$T$14,0))/30,0)</f>
        <v>0</v>
      </c>
      <c r="AP140" s="10">
        <f>IFERROR(MAX(节奏总纲!G133-积分赛!$C$7,0)*INDEX($U$7:$U$14,MATCH(AD$10,$T$7:$T$14,0))/30,0)</f>
        <v>10456902.4</v>
      </c>
      <c r="AQ140" s="10">
        <f>IFERROR(MAX(节奏总纲!H133-积分赛!$C$7,0)*INDEX($U$7:$U$14,MATCH(AE$10,$T$7:$T$14,0))/30,0)</f>
        <v>69824846.666666672</v>
      </c>
      <c r="AR140" s="10">
        <f>MAX(节奏总纲!D133-积分赛!$C$7,0)*(IFERROR(INDEX($W$7:$W$14,MATCH(AF$10,$T$7:$T$14,0)),0)*$T$20+IFERROR(INDEX($X$7:$X$14,MATCH(AF$10,$T$7:$T$14,0)),0)*$T$21)/30</f>
        <v>0</v>
      </c>
      <c r="AS140" s="10">
        <f>MAX(节奏总纲!E133-积分赛!$C$7,0)*(IFERROR(INDEX($W$7:$W$14,MATCH(AG$10,$T$7:$T$14,0)),0)*$T$20+IFERROR(INDEX($X$7:$X$14,MATCH(AG$10,$T$7:$T$14,0)),0)*$T$21)/30</f>
        <v>0</v>
      </c>
      <c r="AT140" s="10">
        <f>MAX(节奏总纲!F133-积分赛!$C$7,0)*(IFERROR(INDEX($W$7:$W$14,MATCH(AH$10,$T$7:$T$14,0)),0)*$T$20+IFERROR(INDEX($X$7:$X$14,MATCH(AH$10,$T$7:$T$14,0)),0)*$T$21)/30</f>
        <v>0</v>
      </c>
      <c r="AU140" s="10">
        <f>MAX(节奏总纲!G133-积分赛!$C$7,0)*(IFERROR(INDEX($W$7:$W$14,MATCH(AI$10,$T$7:$T$14,0)),0)*$T$20+IFERROR(INDEX($X$7:$X$14,MATCH(AI$10,$T$7:$T$14,0)),0)*$T$21)/30</f>
        <v>399322.96040000004</v>
      </c>
      <c r="AV140" s="10">
        <f>MAX(节奏总纲!H133-积分赛!$C$7,0)*(IFERROR(INDEX($W$7:$W$14,MATCH(AJ$10,$T$7:$T$14,0)),0)*$T$20+IFERROR(INDEX($X$7:$X$14,MATCH(AJ$10,$T$7:$T$14,0)),0)*$T$21)/30</f>
        <v>1279889.4394</v>
      </c>
      <c r="BI140" s="10">
        <v>130</v>
      </c>
      <c r="BJ140" s="10">
        <f>MAX($BI140-积分赛!$C$7,0)*$BC$10/30</f>
        <v>333333.33333333331</v>
      </c>
      <c r="BK140" s="10">
        <f>MAX($BI140-积分赛!$C$7,0)*$BC$10/30</f>
        <v>333333.33333333331</v>
      </c>
      <c r="BL140" s="10">
        <f>MAX($BI140-积分赛!$C$7,0)*$BC$10/30</f>
        <v>333333.33333333331</v>
      </c>
      <c r="BM140" s="10">
        <f>MAX($BI140-积分赛!$C$7,0)*$BC$10/30</f>
        <v>333333.33333333331</v>
      </c>
      <c r="BN140" s="10">
        <f>MAX($BI140-积分赛!$C$7,0)*$BC$10/30</f>
        <v>333333.33333333331</v>
      </c>
      <c r="BP140" s="10">
        <v>130</v>
      </c>
      <c r="BQ140" s="10">
        <f>MAX(节奏总纲!D133-积分赛!$C$7,0)*$BC$10/30</f>
        <v>27203333.333333332</v>
      </c>
      <c r="BR140" s="10">
        <f>MAX(节奏总纲!E133-积分赛!$C$7,0)*$BC$10/30</f>
        <v>23039575</v>
      </c>
      <c r="BS140" s="10">
        <f>MAX(节奏总纲!F133-积分赛!$C$7,0)*$BC$10/30</f>
        <v>18373435.333333332</v>
      </c>
      <c r="BT140" s="10">
        <f>MAX(节奏总纲!G133-积分赛!$C$7,0)*$BC$10/30</f>
        <v>13071128</v>
      </c>
      <c r="BU140" s="10">
        <f>MAX(节奏总纲!H133-积分赛!$C$7,0)*$BC$10/30</f>
        <v>6982484.6666666679</v>
      </c>
    </row>
    <row r="141" spans="26:73" x14ac:dyDescent="0.15">
      <c r="Z141" s="10">
        <v>131</v>
      </c>
      <c r="AA141" s="10">
        <f>IFERROR(MAX($Z141-积分赛!$C$7,0)*INDEX($U$7:$U$14,MATCH(AA$10,$T$7:$T$14,0))/30,0)</f>
        <v>0</v>
      </c>
      <c r="AB141" s="10">
        <f>IFERROR(MAX($Z141-积分赛!$C$7,0)*INDEX($U$7:$U$14,MATCH(AB$10,$T$7:$T$14,0))/30,0)</f>
        <v>0</v>
      </c>
      <c r="AC141" s="10">
        <f>IFERROR(MAX($Z141-积分赛!$C$7,0)*INDEX($U$7:$U$14,MATCH(AC$10,$T$7:$T$14,0))/30,0)</f>
        <v>0</v>
      </c>
      <c r="AD141" s="10">
        <f>IFERROR(MAX($Z141-积分赛!$C$7,0)*INDEX($U$7:$U$14,MATCH(AD$10,$T$7:$T$14,0))/30,0)</f>
        <v>269333.33333333331</v>
      </c>
      <c r="AE141" s="10">
        <f>IFERROR(MAX($Z141-积分赛!$C$7,0)*INDEX($U$7:$U$14,MATCH(AE$10,$T$7:$T$14,0))/30,0)</f>
        <v>3366666.6666666665</v>
      </c>
      <c r="AF141" s="10">
        <f>MAX($Z141-积分赛!$C$7,0)*(IFERROR(INDEX($W$7:$W$14,MATCH(AF$10,$T$7:$T$14,0)),0)*$T$20+IFERROR(INDEX($X$7:$X$14,MATCH(AF$10,$T$7:$T$14,0)),0)*$T$21)/30</f>
        <v>0</v>
      </c>
      <c r="AG141" s="10">
        <f>MAX($Z141-积分赛!$C$7,0)*(IFERROR(INDEX($W$7:$W$14,MATCH(AG$10,$T$7:$T$14,0)),0)*$T$20+IFERROR(INDEX($X$7:$X$14,MATCH(AG$10,$T$7:$T$14,0)),0)*$T$21)/30</f>
        <v>0</v>
      </c>
      <c r="AH141" s="10">
        <f>MAX($Z141-积分赛!$C$7,0)*(IFERROR(INDEX($W$7:$W$14,MATCH(AH$10,$T$7:$T$14,0)),0)*$T$20+IFERROR(INDEX($X$7:$X$14,MATCH(AH$10,$T$7:$T$14,0)),0)*$T$21)/30</f>
        <v>0</v>
      </c>
      <c r="AI141" s="10">
        <f>MAX($Z141-积分赛!$C$7,0)*(IFERROR(INDEX($W$7:$W$14,MATCH(AI$10,$T$7:$T$14,0)),0)*$T$20+IFERROR(INDEX($X$7:$X$14,MATCH(AI$10,$T$7:$T$14,0)),0)*$T$21)/30</f>
        <v>10285.166666666666</v>
      </c>
      <c r="AJ141" s="10">
        <f>MAX($Z141-积分赛!$C$7,0)*(IFERROR(INDEX($W$7:$W$14,MATCH(AJ$10,$T$7:$T$14,0)),0)*$T$20+IFERROR(INDEX($X$7:$X$14,MATCH(AJ$10,$T$7:$T$14,0)),0)*$T$21)/30</f>
        <v>61711</v>
      </c>
      <c r="AL141" s="10">
        <v>131</v>
      </c>
      <c r="AM141" s="10">
        <f>IFERROR(MAX(节奏总纲!D134-积分赛!$C$7,0)*INDEX($U$7:$U$14,MATCH(AA$10,$T$7:$T$14,0))/30,0)</f>
        <v>0</v>
      </c>
      <c r="AN141" s="10">
        <f>IFERROR(MAX(节奏总纲!E134-积分赛!$C$7,0)*INDEX($U$7:$U$14,MATCH(AB$10,$T$7:$T$14,0))/30,0)</f>
        <v>0</v>
      </c>
      <c r="AO141" s="10">
        <f>IFERROR(MAX(节奏总纲!F134-积分赛!$C$7,0)*INDEX($U$7:$U$14,MATCH(AC$10,$T$7:$T$14,0))/30,0)</f>
        <v>0</v>
      </c>
      <c r="AP141" s="10">
        <f>IFERROR(MAX(节奏总纲!G134-积分赛!$C$7,0)*INDEX($U$7:$U$14,MATCH(AD$10,$T$7:$T$14,0))/30,0)</f>
        <v>11239016.33910547</v>
      </c>
      <c r="AQ141" s="10">
        <f>IFERROR(MAX(节奏总纲!H134-积分赛!$C$7,0)*INDEX($U$7:$U$14,MATCH(AE$10,$T$7:$T$14,0))/30,0)</f>
        <v>74850285.292040795</v>
      </c>
      <c r="AR141" s="10">
        <f>MAX(节奏总纲!D134-积分赛!$C$7,0)*(IFERROR(INDEX($W$7:$W$14,MATCH(AF$10,$T$7:$T$14,0)),0)*$T$20+IFERROR(INDEX($X$7:$X$14,MATCH(AF$10,$T$7:$T$14,0)),0)*$T$21)/30</f>
        <v>0</v>
      </c>
      <c r="AS141" s="10">
        <f>MAX(节奏总纲!E134-积分赛!$C$7,0)*(IFERROR(INDEX($W$7:$W$14,MATCH(AG$10,$T$7:$T$14,0)),0)*$T$20+IFERROR(INDEX($X$7:$X$14,MATCH(AG$10,$T$7:$T$14,0)),0)*$T$21)/30</f>
        <v>0</v>
      </c>
      <c r="AT141" s="10">
        <f>MAX(节奏总纲!F134-积分赛!$C$7,0)*(IFERROR(INDEX($W$7:$W$14,MATCH(AH$10,$T$7:$T$14,0)),0)*$T$20+IFERROR(INDEX($X$7:$X$14,MATCH(AH$10,$T$7:$T$14,0)),0)*$T$21)/30</f>
        <v>0</v>
      </c>
      <c r="AU141" s="10">
        <f>MAX(节奏总纲!G134-积分赛!$C$7,0)*(IFERROR(INDEX($W$7:$W$14,MATCH(AI$10,$T$7:$T$14,0)),0)*$T$20+IFERROR(INDEX($X$7:$X$14,MATCH(AI$10,$T$7:$T$14,0)),0)*$T$21)/30</f>
        <v>429189.9364495902</v>
      </c>
      <c r="AV141" s="10">
        <f>MAX(节奏总纲!H134-积分赛!$C$7,0)*(IFERROR(INDEX($W$7:$W$14,MATCH(AJ$10,$T$7:$T$14,0)),0)*$T$20+IFERROR(INDEX($X$7:$X$14,MATCH(AJ$10,$T$7:$T$14,0)),0)*$T$21)/30</f>
        <v>1372005.7294031079</v>
      </c>
      <c r="BI141" s="10">
        <v>131</v>
      </c>
      <c r="BJ141" s="10">
        <f>MAX($BI141-积分赛!$C$7,0)*$BC$10/30</f>
        <v>336666.66666666669</v>
      </c>
      <c r="BK141" s="10">
        <f>MAX($BI141-积分赛!$C$7,0)*$BC$10/30</f>
        <v>336666.66666666669</v>
      </c>
      <c r="BL141" s="10">
        <f>MAX($BI141-积分赛!$C$7,0)*$BC$10/30</f>
        <v>336666.66666666669</v>
      </c>
      <c r="BM141" s="10">
        <f>MAX($BI141-积分赛!$C$7,0)*$BC$10/30</f>
        <v>336666.66666666669</v>
      </c>
      <c r="BN141" s="10">
        <f>MAX($BI141-积分赛!$C$7,0)*$BC$10/30</f>
        <v>336666.66666666669</v>
      </c>
      <c r="BP141" s="10">
        <v>131</v>
      </c>
      <c r="BQ141" s="10">
        <f>MAX(节奏总纲!D134-积分赛!$C$7,0)*$BC$10/30</f>
        <v>29163227.350324385</v>
      </c>
      <c r="BR141" s="10">
        <f>MAX(节奏总纲!E134-积分赛!$C$7,0)*$BC$10/30</f>
        <v>24712290.470340047</v>
      </c>
      <c r="BS141" s="10">
        <f>MAX(节奏总纲!F134-积分赛!$C$7,0)*$BC$10/30</f>
        <v>19717057.561639674</v>
      </c>
      <c r="BT141" s="10">
        <f>MAX(节奏总纲!G134-积分赛!$C$7,0)*$BC$10/30</f>
        <v>14048770.423881838</v>
      </c>
      <c r="BU141" s="10">
        <f>MAX(节奏总纲!H134-积分赛!$C$7,0)*$BC$10/30</f>
        <v>7485028.5292040799</v>
      </c>
    </row>
    <row r="142" spans="26:73" x14ac:dyDescent="0.15">
      <c r="Z142" s="10">
        <v>132</v>
      </c>
      <c r="AA142" s="10">
        <f>IFERROR(MAX($Z142-积分赛!$C$7,0)*INDEX($U$7:$U$14,MATCH(AA$10,$T$7:$T$14,0))/30,0)</f>
        <v>0</v>
      </c>
      <c r="AB142" s="10">
        <f>IFERROR(MAX($Z142-积分赛!$C$7,0)*INDEX($U$7:$U$14,MATCH(AB$10,$T$7:$T$14,0))/30,0)</f>
        <v>0</v>
      </c>
      <c r="AC142" s="10">
        <f>IFERROR(MAX($Z142-积分赛!$C$7,0)*INDEX($U$7:$U$14,MATCH(AC$10,$T$7:$T$14,0))/30,0)</f>
        <v>0</v>
      </c>
      <c r="AD142" s="10">
        <f>IFERROR(MAX($Z142-积分赛!$C$7,0)*INDEX($U$7:$U$14,MATCH(AD$10,$T$7:$T$14,0))/30,0)</f>
        <v>272000</v>
      </c>
      <c r="AE142" s="10">
        <f>IFERROR(MAX($Z142-积分赛!$C$7,0)*INDEX($U$7:$U$14,MATCH(AE$10,$T$7:$T$14,0))/30,0)</f>
        <v>3400000</v>
      </c>
      <c r="AF142" s="10">
        <f>MAX($Z142-积分赛!$C$7,0)*(IFERROR(INDEX($W$7:$W$14,MATCH(AF$10,$T$7:$T$14,0)),0)*$T$20+IFERROR(INDEX($X$7:$X$14,MATCH(AF$10,$T$7:$T$14,0)),0)*$T$21)/30</f>
        <v>0</v>
      </c>
      <c r="AG142" s="10">
        <f>MAX($Z142-积分赛!$C$7,0)*(IFERROR(INDEX($W$7:$W$14,MATCH(AG$10,$T$7:$T$14,0)),0)*$T$20+IFERROR(INDEX($X$7:$X$14,MATCH(AG$10,$T$7:$T$14,0)),0)*$T$21)/30</f>
        <v>0</v>
      </c>
      <c r="AH142" s="10">
        <f>MAX($Z142-积分赛!$C$7,0)*(IFERROR(INDEX($W$7:$W$14,MATCH(AH$10,$T$7:$T$14,0)),0)*$T$20+IFERROR(INDEX($X$7:$X$14,MATCH(AH$10,$T$7:$T$14,0)),0)*$T$21)/30</f>
        <v>0</v>
      </c>
      <c r="AI142" s="10">
        <f>MAX($Z142-积分赛!$C$7,0)*(IFERROR(INDEX($W$7:$W$14,MATCH(AI$10,$T$7:$T$14,0)),0)*$T$20+IFERROR(INDEX($X$7:$X$14,MATCH(AI$10,$T$7:$T$14,0)),0)*$T$21)/30</f>
        <v>10387</v>
      </c>
      <c r="AJ142" s="10">
        <f>MAX($Z142-积分赛!$C$7,0)*(IFERROR(INDEX($W$7:$W$14,MATCH(AJ$10,$T$7:$T$14,0)),0)*$T$20+IFERROR(INDEX($X$7:$X$14,MATCH(AJ$10,$T$7:$T$14,0)),0)*$T$21)/30</f>
        <v>62322</v>
      </c>
      <c r="AL142" s="10">
        <v>132</v>
      </c>
      <c r="AM142" s="10">
        <f>IFERROR(MAX(节奏总纲!D135-积分赛!$C$7,0)*INDEX($U$7:$U$14,MATCH(AA$10,$T$7:$T$14,0))/30,0)</f>
        <v>0</v>
      </c>
      <c r="AN142" s="10">
        <f>IFERROR(MAX(节奏总纲!E135-积分赛!$C$7,0)*INDEX($U$7:$U$14,MATCH(AB$10,$T$7:$T$14,0))/30,0)</f>
        <v>0</v>
      </c>
      <c r="AO142" s="10">
        <f>IFERROR(MAX(节奏总纲!F135-积分赛!$C$7,0)*INDEX($U$7:$U$14,MATCH(AC$10,$T$7:$T$14,0))/30,0)</f>
        <v>0</v>
      </c>
      <c r="AP142" s="10">
        <f>IFERROR(MAX(节奏总纲!G135-积分赛!$C$7,0)*INDEX($U$7:$U$14,MATCH(AD$10,$T$7:$T$14,0))/30,0)</f>
        <v>12038968.358286789</v>
      </c>
      <c r="AQ142" s="10">
        <f>IFERROR(MAX(节奏总纲!H135-积分赛!$C$7,0)*INDEX($U$7:$U$14,MATCH(AE$10,$T$7:$T$14,0))/30,0)</f>
        <v>80044032.706555545</v>
      </c>
      <c r="AR142" s="10">
        <f>MAX(节奏总纲!D135-积分赛!$C$7,0)*(IFERROR(INDEX($W$7:$W$14,MATCH(AF$10,$T$7:$T$14,0)),0)*$T$20+IFERROR(INDEX($X$7:$X$14,MATCH(AF$10,$T$7:$T$14,0)),0)*$T$21)/30</f>
        <v>0</v>
      </c>
      <c r="AS142" s="10">
        <f>MAX(节奏总纲!E135-积分赛!$C$7,0)*(IFERROR(INDEX($W$7:$W$14,MATCH(AG$10,$T$7:$T$14,0)),0)*$T$20+IFERROR(INDEX($X$7:$X$14,MATCH(AG$10,$T$7:$T$14,0)),0)*$T$21)/30</f>
        <v>0</v>
      </c>
      <c r="AT142" s="10">
        <f>MAX(节奏总纲!F135-积分赛!$C$7,0)*(IFERROR(INDEX($W$7:$W$14,MATCH(AH$10,$T$7:$T$14,0)),0)*$T$20+IFERROR(INDEX($X$7:$X$14,MATCH(AH$10,$T$7:$T$14,0)),0)*$T$21)/30</f>
        <v>0</v>
      </c>
      <c r="AU142" s="10">
        <f>MAX(节奏总纲!G135-积分赛!$C$7,0)*(IFERROR(INDEX($W$7:$W$14,MATCH(AI$10,$T$7:$T$14,0)),0)*$T$20+IFERROR(INDEX($X$7:$X$14,MATCH(AI$10,$T$7:$T$14,0)),0)*$T$21)/30</f>
        <v>459738.1041820767</v>
      </c>
      <c r="AV142" s="10">
        <f>MAX(节奏总纲!H135-积分赛!$C$7,0)*(IFERROR(INDEX($W$7:$W$14,MATCH(AJ$10,$T$7:$T$14,0)),0)*$T$20+IFERROR(INDEX($X$7:$X$14,MATCH(AJ$10,$T$7:$T$14,0)),0)*$T$21)/30</f>
        <v>1467207.1195111631</v>
      </c>
      <c r="BI142" s="10">
        <v>132</v>
      </c>
      <c r="BJ142" s="10">
        <f>MAX($BI142-积分赛!$C$7,0)*$BC$10/30</f>
        <v>340000</v>
      </c>
      <c r="BK142" s="10">
        <f>MAX($BI142-积分赛!$C$7,0)*$BC$10/30</f>
        <v>340000</v>
      </c>
      <c r="BL142" s="10">
        <f>MAX($BI142-积分赛!$C$7,0)*$BC$10/30</f>
        <v>340000</v>
      </c>
      <c r="BM142" s="10">
        <f>MAX($BI142-积分赛!$C$7,0)*$BC$10/30</f>
        <v>340000</v>
      </c>
      <c r="BN142" s="10">
        <f>MAX($BI142-积分赛!$C$7,0)*$BC$10/30</f>
        <v>340000</v>
      </c>
      <c r="BP142" s="10">
        <v>132</v>
      </c>
      <c r="BQ142" s="10">
        <f>MAX(节奏总纲!D135-积分赛!$C$7,0)*$BC$10/30</f>
        <v>31263789.747119013</v>
      </c>
      <c r="BR142" s="10">
        <f>MAX(节奏总纲!E135-积分赛!$C$7,0)*$BC$10/30</f>
        <v>26512175.600430485</v>
      </c>
      <c r="BS142" s="10">
        <f>MAX(节奏总纲!F135-积分赛!$C$7,0)*$BC$10/30</f>
        <v>21186604.101369672</v>
      </c>
      <c r="BT142" s="10">
        <f>MAX(节奏总纲!G135-积分赛!$C$7,0)*$BC$10/30</f>
        <v>15048710.447858484</v>
      </c>
      <c r="BU142" s="10">
        <f>MAX(节奏总纲!H135-积分赛!$C$7,0)*$BC$10/30</f>
        <v>8004403.2706555547</v>
      </c>
    </row>
    <row r="143" spans="26:73" x14ac:dyDescent="0.15">
      <c r="Z143" s="10">
        <v>133</v>
      </c>
      <c r="AA143" s="10">
        <f>IFERROR(MAX($Z143-积分赛!$C$7,0)*INDEX($U$7:$U$14,MATCH(AA$10,$T$7:$T$14,0))/30,0)</f>
        <v>0</v>
      </c>
      <c r="AB143" s="10">
        <f>IFERROR(MAX($Z143-积分赛!$C$7,0)*INDEX($U$7:$U$14,MATCH(AB$10,$T$7:$T$14,0))/30,0)</f>
        <v>0</v>
      </c>
      <c r="AC143" s="10">
        <f>IFERROR(MAX($Z143-积分赛!$C$7,0)*INDEX($U$7:$U$14,MATCH(AC$10,$T$7:$T$14,0))/30,0)</f>
        <v>0</v>
      </c>
      <c r="AD143" s="10">
        <f>IFERROR(MAX($Z143-积分赛!$C$7,0)*INDEX($U$7:$U$14,MATCH(AD$10,$T$7:$T$14,0))/30,0)</f>
        <v>274666.66666666669</v>
      </c>
      <c r="AE143" s="10">
        <f>IFERROR(MAX($Z143-积分赛!$C$7,0)*INDEX($U$7:$U$14,MATCH(AE$10,$T$7:$T$14,0))/30,0)</f>
        <v>3433333.3333333335</v>
      </c>
      <c r="AF143" s="10">
        <f>MAX($Z143-积分赛!$C$7,0)*(IFERROR(INDEX($W$7:$W$14,MATCH(AF$10,$T$7:$T$14,0)),0)*$T$20+IFERROR(INDEX($X$7:$X$14,MATCH(AF$10,$T$7:$T$14,0)),0)*$T$21)/30</f>
        <v>0</v>
      </c>
      <c r="AG143" s="10">
        <f>MAX($Z143-积分赛!$C$7,0)*(IFERROR(INDEX($W$7:$W$14,MATCH(AG$10,$T$7:$T$14,0)),0)*$T$20+IFERROR(INDEX($X$7:$X$14,MATCH(AG$10,$T$7:$T$14,0)),0)*$T$21)/30</f>
        <v>0</v>
      </c>
      <c r="AH143" s="10">
        <f>MAX($Z143-积分赛!$C$7,0)*(IFERROR(INDEX($W$7:$W$14,MATCH(AH$10,$T$7:$T$14,0)),0)*$T$20+IFERROR(INDEX($X$7:$X$14,MATCH(AH$10,$T$7:$T$14,0)),0)*$T$21)/30</f>
        <v>0</v>
      </c>
      <c r="AI143" s="10">
        <f>MAX($Z143-积分赛!$C$7,0)*(IFERROR(INDEX($W$7:$W$14,MATCH(AI$10,$T$7:$T$14,0)),0)*$T$20+IFERROR(INDEX($X$7:$X$14,MATCH(AI$10,$T$7:$T$14,0)),0)*$T$21)/30</f>
        <v>10488.833333333334</v>
      </c>
      <c r="AJ143" s="10">
        <f>MAX($Z143-积分赛!$C$7,0)*(IFERROR(INDEX($W$7:$W$14,MATCH(AJ$10,$T$7:$T$14,0)),0)*$T$20+IFERROR(INDEX($X$7:$X$14,MATCH(AJ$10,$T$7:$T$14,0)),0)*$T$21)/30</f>
        <v>62933</v>
      </c>
      <c r="AL143" s="10">
        <v>133</v>
      </c>
      <c r="AM143" s="10">
        <f>IFERROR(MAX(节奏总纲!D136-积分赛!$C$7,0)*INDEX($U$7:$U$14,MATCH(AA$10,$T$7:$T$14,0))/30,0)</f>
        <v>0</v>
      </c>
      <c r="AN143" s="10">
        <f>IFERROR(MAX(节奏总纲!E136-积分赛!$C$7,0)*INDEX($U$7:$U$14,MATCH(AB$10,$T$7:$T$14,0))/30,0)</f>
        <v>0</v>
      </c>
      <c r="AO143" s="10">
        <f>IFERROR(MAX(节奏总纲!F136-积分赛!$C$7,0)*INDEX($U$7:$U$14,MATCH(AC$10,$T$7:$T$14,0))/30,0)</f>
        <v>0</v>
      </c>
      <c r="AP143" s="10">
        <f>IFERROR(MAX(节奏总纲!G136-积分赛!$C$7,0)*INDEX($U$7:$U$14,MATCH(AD$10,$T$7:$T$14,0))/30,0)</f>
        <v>12847029.309072619</v>
      </c>
      <c r="AQ143" s="10">
        <f>IFERROR(MAX(节奏总纲!H136-积分赛!$C$7,0)*INDEX($U$7:$U$14,MATCH(AE$10,$T$7:$T$14,0))/30,0)</f>
        <v>85525310.592762962</v>
      </c>
      <c r="AR143" s="10">
        <f>MAX(节奏总纲!D136-积分赛!$C$7,0)*(IFERROR(INDEX($W$7:$W$14,MATCH(AF$10,$T$7:$T$14,0)),0)*$T$20+IFERROR(INDEX($X$7:$X$14,MATCH(AF$10,$T$7:$T$14,0)),0)*$T$21)/30</f>
        <v>0</v>
      </c>
      <c r="AS143" s="10">
        <f>MAX(节奏总纲!E136-积分赛!$C$7,0)*(IFERROR(INDEX($W$7:$W$14,MATCH(AG$10,$T$7:$T$14,0)),0)*$T$20+IFERROR(INDEX($X$7:$X$14,MATCH(AG$10,$T$7:$T$14,0)),0)*$T$21)/30</f>
        <v>0</v>
      </c>
      <c r="AT143" s="10">
        <f>MAX(节奏总纲!F136-积分赛!$C$7,0)*(IFERROR(INDEX($W$7:$W$14,MATCH(AH$10,$T$7:$T$14,0)),0)*$T$20+IFERROR(INDEX($X$7:$X$14,MATCH(AH$10,$T$7:$T$14,0)),0)*$T$21)/30</f>
        <v>0</v>
      </c>
      <c r="AU143" s="10">
        <f>MAX(节奏总纲!G136-积分赛!$C$7,0)*(IFERROR(INDEX($W$7:$W$14,MATCH(AI$10,$T$7:$T$14,0)),0)*$T$20+IFERROR(INDEX($X$7:$X$14,MATCH(AI$10,$T$7:$T$14,0)),0)*$T$21)/30</f>
        <v>490595.93174021062</v>
      </c>
      <c r="AV143" s="10">
        <f>MAX(节奏总纲!H136-积分赛!$C$7,0)*(IFERROR(INDEX($W$7:$W$14,MATCH(AJ$10,$T$7:$T$14,0)),0)*$T$20+IFERROR(INDEX($X$7:$X$14,MATCH(AJ$10,$T$7:$T$14,0)),0)*$T$21)/30</f>
        <v>1567678.9431653454</v>
      </c>
      <c r="BI143" s="10">
        <v>133</v>
      </c>
      <c r="BJ143" s="10">
        <f>MAX($BI143-积分赛!$C$7,0)*$BC$10/30</f>
        <v>343333.33333333331</v>
      </c>
      <c r="BK143" s="10">
        <f>MAX($BI143-积分赛!$C$7,0)*$BC$10/30</f>
        <v>343333.33333333331</v>
      </c>
      <c r="BL143" s="10">
        <f>MAX($BI143-积分赛!$C$7,0)*$BC$10/30</f>
        <v>343333.33333333331</v>
      </c>
      <c r="BM143" s="10">
        <f>MAX($BI143-积分赛!$C$7,0)*$BC$10/30</f>
        <v>343333.33333333331</v>
      </c>
      <c r="BN143" s="10">
        <f>MAX($BI143-积分赛!$C$7,0)*$BC$10/30</f>
        <v>343333.33333333331</v>
      </c>
      <c r="BP143" s="10">
        <v>133</v>
      </c>
      <c r="BQ143" s="10">
        <f>MAX(节奏总纲!D136-积分赛!$C$7,0)*$BC$10/30</f>
        <v>33515116.780405186</v>
      </c>
      <c r="BR143" s="10">
        <f>MAX(节奏总纲!E136-积分赛!$C$7,0)*$BC$10/30</f>
        <v>28442595.658242043</v>
      </c>
      <c r="BS143" s="10">
        <f>MAX(节奏总纲!F136-积分赛!$C$7,0)*$BC$10/30</f>
        <v>22657434.060334314</v>
      </c>
      <c r="BT143" s="10">
        <f>MAX(节奏总纲!G136-积分赛!$C$7,0)*$BC$10/30</f>
        <v>16058786.636340773</v>
      </c>
      <c r="BU143" s="10">
        <f>MAX(节奏总纲!H136-积分赛!$C$7,0)*$BC$10/30</f>
        <v>8552531.0592762958</v>
      </c>
    </row>
    <row r="144" spans="26:73" x14ac:dyDescent="0.15">
      <c r="Z144" s="10">
        <v>134</v>
      </c>
      <c r="AA144" s="10">
        <f>IFERROR(MAX($Z144-积分赛!$C$7,0)*INDEX($U$7:$U$14,MATCH(AA$10,$T$7:$T$14,0))/30,0)</f>
        <v>0</v>
      </c>
      <c r="AB144" s="10">
        <f>IFERROR(MAX($Z144-积分赛!$C$7,0)*INDEX($U$7:$U$14,MATCH(AB$10,$T$7:$T$14,0))/30,0)</f>
        <v>0</v>
      </c>
      <c r="AC144" s="10">
        <f>IFERROR(MAX($Z144-积分赛!$C$7,0)*INDEX($U$7:$U$14,MATCH(AC$10,$T$7:$T$14,0))/30,0)</f>
        <v>0</v>
      </c>
      <c r="AD144" s="10">
        <f>IFERROR(MAX($Z144-积分赛!$C$7,0)*INDEX($U$7:$U$14,MATCH(AD$10,$T$7:$T$14,0))/30,0)</f>
        <v>277333.33333333331</v>
      </c>
      <c r="AE144" s="10">
        <f>IFERROR(MAX($Z144-积分赛!$C$7,0)*INDEX($U$7:$U$14,MATCH(AE$10,$T$7:$T$14,0))/30,0)</f>
        <v>3466666.6666666665</v>
      </c>
      <c r="AF144" s="10">
        <f>MAX($Z144-积分赛!$C$7,0)*(IFERROR(INDEX($W$7:$W$14,MATCH(AF$10,$T$7:$T$14,0)),0)*$T$20+IFERROR(INDEX($X$7:$X$14,MATCH(AF$10,$T$7:$T$14,0)),0)*$T$21)/30</f>
        <v>0</v>
      </c>
      <c r="AG144" s="10">
        <f>MAX($Z144-积分赛!$C$7,0)*(IFERROR(INDEX($W$7:$W$14,MATCH(AG$10,$T$7:$T$14,0)),0)*$T$20+IFERROR(INDEX($X$7:$X$14,MATCH(AG$10,$T$7:$T$14,0)),0)*$T$21)/30</f>
        <v>0</v>
      </c>
      <c r="AH144" s="10">
        <f>MAX($Z144-积分赛!$C$7,0)*(IFERROR(INDEX($W$7:$W$14,MATCH(AH$10,$T$7:$T$14,0)),0)*$T$20+IFERROR(INDEX($X$7:$X$14,MATCH(AH$10,$T$7:$T$14,0)),0)*$T$21)/30</f>
        <v>0</v>
      </c>
      <c r="AI144" s="10">
        <f>MAX($Z144-积分赛!$C$7,0)*(IFERROR(INDEX($W$7:$W$14,MATCH(AI$10,$T$7:$T$14,0)),0)*$T$20+IFERROR(INDEX($X$7:$X$14,MATCH(AI$10,$T$7:$T$14,0)),0)*$T$21)/30</f>
        <v>10590.666666666666</v>
      </c>
      <c r="AJ144" s="10">
        <f>MAX($Z144-积分赛!$C$7,0)*(IFERROR(INDEX($W$7:$W$14,MATCH(AJ$10,$T$7:$T$14,0)),0)*$T$20+IFERROR(INDEX($X$7:$X$14,MATCH(AJ$10,$T$7:$T$14,0)),0)*$T$21)/30</f>
        <v>63544</v>
      </c>
      <c r="AL144" s="10">
        <v>134</v>
      </c>
      <c r="AM144" s="10">
        <f>IFERROR(MAX(节奏总纲!D137-积分赛!$C$7,0)*INDEX($U$7:$U$14,MATCH(AA$10,$T$7:$T$14,0))/30,0)</f>
        <v>0</v>
      </c>
      <c r="AN144" s="10">
        <f>IFERROR(MAX(节奏总纲!E137-积分赛!$C$7,0)*INDEX($U$7:$U$14,MATCH(AB$10,$T$7:$T$14,0))/30,0)</f>
        <v>0</v>
      </c>
      <c r="AO144" s="10">
        <f>IFERROR(MAX(节奏总纲!F137-积分赛!$C$7,0)*INDEX($U$7:$U$14,MATCH(AC$10,$T$7:$T$14,0))/30,0)</f>
        <v>0</v>
      </c>
      <c r="AP144" s="10">
        <f>IFERROR(MAX(节奏总纲!G137-积分赛!$C$7,0)*INDEX($U$7:$U$14,MATCH(AD$10,$T$7:$T$14,0))/30,0)</f>
        <v>13720176.362289812</v>
      </c>
      <c r="AQ144" s="10">
        <f>IFERROR(MAX(节奏总纲!H137-积分赛!$C$7,0)*INDEX($U$7:$U$14,MATCH(AE$10,$T$7:$T$14,0))/30,0)</f>
        <v>91519979.371241227</v>
      </c>
      <c r="AR144" s="10">
        <f>MAX(节奏总纲!D137-积分赛!$C$7,0)*(IFERROR(INDEX($W$7:$W$14,MATCH(AF$10,$T$7:$T$14,0)),0)*$T$20+IFERROR(INDEX($X$7:$X$14,MATCH(AF$10,$T$7:$T$14,0)),0)*$T$21)/30</f>
        <v>0</v>
      </c>
      <c r="AS144" s="10">
        <f>MAX(节奏总纲!E137-积分赛!$C$7,0)*(IFERROR(INDEX($W$7:$W$14,MATCH(AG$10,$T$7:$T$14,0)),0)*$T$20+IFERROR(INDEX($X$7:$X$14,MATCH(AG$10,$T$7:$T$14,0)),0)*$T$21)/30</f>
        <v>0</v>
      </c>
      <c r="AT144" s="10">
        <f>MAX(节奏总纲!F137-积分赛!$C$7,0)*(IFERROR(INDEX($W$7:$W$14,MATCH(AH$10,$T$7:$T$14,0)),0)*$T$20+IFERROR(INDEX($X$7:$X$14,MATCH(AH$10,$T$7:$T$14,0)),0)*$T$21)/30</f>
        <v>0</v>
      </c>
      <c r="AU144" s="10">
        <f>MAX(节奏总纲!G137-积分赛!$C$7,0)*(IFERROR(INDEX($W$7:$W$14,MATCH(AI$10,$T$7:$T$14,0)),0)*$T$20+IFERROR(INDEX($X$7:$X$14,MATCH(AI$10,$T$7:$T$14,0)),0)*$T$21)/30</f>
        <v>523939.23483494215</v>
      </c>
      <c r="AV144" s="10">
        <f>MAX(节奏总纲!H137-积分赛!$C$7,0)*(IFERROR(INDEX($W$7:$W$14,MATCH(AJ$10,$T$7:$T$14,0)),0)*$T$20+IFERROR(INDEX($X$7:$X$14,MATCH(AJ$10,$T$7:$T$14,0)),0)*$T$21)/30</f>
        <v>1677561.2218748515</v>
      </c>
      <c r="BI144" s="10">
        <v>134</v>
      </c>
      <c r="BJ144" s="10">
        <f>MAX($BI144-积分赛!$C$7,0)*$BC$10/30</f>
        <v>346666.66666666669</v>
      </c>
      <c r="BK144" s="10">
        <f>MAX($BI144-积分赛!$C$7,0)*$BC$10/30</f>
        <v>346666.66666666669</v>
      </c>
      <c r="BL144" s="10">
        <f>MAX($BI144-积分赛!$C$7,0)*$BC$10/30</f>
        <v>346666.66666666669</v>
      </c>
      <c r="BM144" s="10">
        <f>MAX($BI144-积分赛!$C$7,0)*$BC$10/30</f>
        <v>346666.66666666669</v>
      </c>
      <c r="BN144" s="10">
        <f>MAX($BI144-积分赛!$C$7,0)*$BC$10/30</f>
        <v>346666.66666666669</v>
      </c>
      <c r="BP144" s="10">
        <v>134</v>
      </c>
      <c r="BQ144" s="10">
        <f>MAX(节奏总纲!D137-积分赛!$C$7,0)*$BC$10/30</f>
        <v>35928029.350171812</v>
      </c>
      <c r="BR144" s="10">
        <f>MAX(节奏总纲!E137-积分赛!$C$7,0)*$BC$10/30</f>
        <v>30404932.450790476</v>
      </c>
      <c r="BS144" s="10">
        <f>MAX(节奏总纲!F137-积分赛!$C$7,0)*$BC$10/30</f>
        <v>24179288.979080789</v>
      </c>
      <c r="BT144" s="10">
        <f>MAX(节奏总纲!G137-积分赛!$C$7,0)*$BC$10/30</f>
        <v>17150220.452862266</v>
      </c>
      <c r="BU144" s="10">
        <f>MAX(节奏总纲!H137-积分赛!$C$7,0)*$BC$10/30</f>
        <v>9151997.9371241219</v>
      </c>
    </row>
    <row r="145" spans="26:73" x14ac:dyDescent="0.15">
      <c r="Z145" s="10">
        <v>135</v>
      </c>
      <c r="AA145" s="10">
        <f>IFERROR(MAX($Z145-积分赛!$C$7,0)*INDEX($U$7:$U$14,MATCH(AA$10,$T$7:$T$14,0))/30,0)</f>
        <v>0</v>
      </c>
      <c r="AB145" s="10">
        <f>IFERROR(MAX($Z145-积分赛!$C$7,0)*INDEX($U$7:$U$14,MATCH(AB$10,$T$7:$T$14,0))/30,0)</f>
        <v>0</v>
      </c>
      <c r="AC145" s="10">
        <f>IFERROR(MAX($Z145-积分赛!$C$7,0)*INDEX($U$7:$U$14,MATCH(AC$10,$T$7:$T$14,0))/30,0)</f>
        <v>0</v>
      </c>
      <c r="AD145" s="10">
        <f>IFERROR(MAX($Z145-积分赛!$C$7,0)*INDEX($U$7:$U$14,MATCH(AD$10,$T$7:$T$14,0))/30,0)</f>
        <v>280000</v>
      </c>
      <c r="AE145" s="10">
        <f>IFERROR(MAX($Z145-积分赛!$C$7,0)*INDEX($U$7:$U$14,MATCH(AE$10,$T$7:$T$14,0))/30,0)</f>
        <v>3500000</v>
      </c>
      <c r="AF145" s="10">
        <f>MAX($Z145-积分赛!$C$7,0)*(IFERROR(INDEX($W$7:$W$14,MATCH(AF$10,$T$7:$T$14,0)),0)*$T$20+IFERROR(INDEX($X$7:$X$14,MATCH(AF$10,$T$7:$T$14,0)),0)*$T$21)/30</f>
        <v>0</v>
      </c>
      <c r="AG145" s="10">
        <f>MAX($Z145-积分赛!$C$7,0)*(IFERROR(INDEX($W$7:$W$14,MATCH(AG$10,$T$7:$T$14,0)),0)*$T$20+IFERROR(INDEX($X$7:$X$14,MATCH(AG$10,$T$7:$T$14,0)),0)*$T$21)/30</f>
        <v>0</v>
      </c>
      <c r="AH145" s="10">
        <f>MAX($Z145-积分赛!$C$7,0)*(IFERROR(INDEX($W$7:$W$14,MATCH(AH$10,$T$7:$T$14,0)),0)*$T$20+IFERROR(INDEX($X$7:$X$14,MATCH(AH$10,$T$7:$T$14,0)),0)*$T$21)/30</f>
        <v>0</v>
      </c>
      <c r="AI145" s="10">
        <f>MAX($Z145-积分赛!$C$7,0)*(IFERROR(INDEX($W$7:$W$14,MATCH(AI$10,$T$7:$T$14,0)),0)*$T$20+IFERROR(INDEX($X$7:$X$14,MATCH(AI$10,$T$7:$T$14,0)),0)*$T$21)/30</f>
        <v>10692.5</v>
      </c>
      <c r="AJ145" s="10">
        <f>MAX($Z145-积分赛!$C$7,0)*(IFERROR(INDEX($W$7:$W$14,MATCH(AJ$10,$T$7:$T$14,0)),0)*$T$20+IFERROR(INDEX($X$7:$X$14,MATCH(AJ$10,$T$7:$T$14,0)),0)*$T$21)/30</f>
        <v>64155</v>
      </c>
      <c r="AL145" s="10">
        <v>135</v>
      </c>
      <c r="AM145" s="10">
        <f>IFERROR(MAX(节奏总纲!D138-积分赛!$C$7,0)*INDEX($U$7:$U$14,MATCH(AA$10,$T$7:$T$14,0))/30,0)</f>
        <v>0</v>
      </c>
      <c r="AN145" s="10">
        <f>IFERROR(MAX(节奏总纲!E138-积分赛!$C$7,0)*INDEX($U$7:$U$14,MATCH(AB$10,$T$7:$T$14,0))/30,0)</f>
        <v>0</v>
      </c>
      <c r="AO145" s="10">
        <f>IFERROR(MAX(节奏总纲!F138-积分赛!$C$7,0)*INDEX($U$7:$U$14,MATCH(AC$10,$T$7:$T$14,0))/30,0)</f>
        <v>0</v>
      </c>
      <c r="AP145" s="10">
        <f>IFERROR(MAX(节奏总纲!G138-积分赛!$C$7,0)*INDEX($U$7:$U$14,MATCH(AD$10,$T$7:$T$14,0))/30,0)</f>
        <v>14716932.703781415</v>
      </c>
      <c r="AQ145" s="10">
        <f>IFERROR(MAX(节奏总纲!H138-积分赛!$C$7,0)*INDEX($U$7:$U$14,MATCH(AE$10,$T$7:$T$14,0))/30,0)</f>
        <v>98315529.525380462</v>
      </c>
      <c r="AR145" s="10">
        <f>MAX(节奏总纲!D138-积分赛!$C$7,0)*(IFERROR(INDEX($W$7:$W$14,MATCH(AF$10,$T$7:$T$14,0)),0)*$T$20+IFERROR(INDEX($X$7:$X$14,MATCH(AF$10,$T$7:$T$14,0)),0)*$T$21)/30</f>
        <v>0</v>
      </c>
      <c r="AS145" s="10">
        <f>MAX(节奏总纲!E138-积分赛!$C$7,0)*(IFERROR(INDEX($W$7:$W$14,MATCH(AG$10,$T$7:$T$14,0)),0)*$T$20+IFERROR(INDEX($X$7:$X$14,MATCH(AG$10,$T$7:$T$14,0)),0)*$T$21)/30</f>
        <v>0</v>
      </c>
      <c r="AT145" s="10">
        <f>MAX(节奏总纲!F138-积分赛!$C$7,0)*(IFERROR(INDEX($W$7:$W$14,MATCH(AH$10,$T$7:$T$14,0)),0)*$T$20+IFERROR(INDEX($X$7:$X$14,MATCH(AH$10,$T$7:$T$14,0)),0)*$T$21)/30</f>
        <v>0</v>
      </c>
      <c r="AU145" s="10">
        <f>MAX(节奏总纲!G138-积分赛!$C$7,0)*(IFERROR(INDEX($W$7:$W$14,MATCH(AI$10,$T$7:$T$14,0)),0)*$T$20+IFERROR(INDEX($X$7:$X$14,MATCH(AI$10,$T$7:$T$14,0)),0)*$T$21)/30</f>
        <v>562002.8676256527</v>
      </c>
      <c r="AV145" s="10">
        <f>MAX(节奏总纲!H138-积分赛!$C$7,0)*(IFERROR(INDEX($W$7:$W$14,MATCH(AJ$10,$T$7:$T$14,0)),0)*$T$20+IFERROR(INDEX($X$7:$X$14,MATCH(AJ$10,$T$7:$T$14,0)),0)*$T$21)/30</f>
        <v>1802123.6562002238</v>
      </c>
      <c r="BI145" s="10">
        <v>135</v>
      </c>
      <c r="BJ145" s="10">
        <f>MAX($BI145-积分赛!$C$7,0)*$BC$10/30</f>
        <v>350000</v>
      </c>
      <c r="BK145" s="10">
        <f>MAX($BI145-积分赛!$C$7,0)*$BC$10/30</f>
        <v>350000</v>
      </c>
      <c r="BL145" s="10">
        <f>MAX($BI145-积分赛!$C$7,0)*$BC$10/30</f>
        <v>350000</v>
      </c>
      <c r="BM145" s="10">
        <f>MAX($BI145-积分赛!$C$7,0)*$BC$10/30</f>
        <v>350000</v>
      </c>
      <c r="BN145" s="10">
        <f>MAX($BI145-积分赛!$C$7,0)*$BC$10/30</f>
        <v>350000</v>
      </c>
      <c r="BP145" s="10">
        <v>135</v>
      </c>
      <c r="BQ145" s="10">
        <f>MAX(节奏总纲!D138-积分赛!$C$7,0)*$BC$10/30</f>
        <v>38514125.009867996</v>
      </c>
      <c r="BR145" s="10">
        <f>MAX(节奏总纲!E138-积分赛!$C$7,0)*$BC$10/30</f>
        <v>32555965.520845361</v>
      </c>
      <c r="BS145" s="10">
        <f>MAX(节奏总纲!F138-积分赛!$C$7,0)*$BC$10/30</f>
        <v>25887306.131641157</v>
      </c>
      <c r="BT145" s="10">
        <f>MAX(节奏总纲!G138-积分赛!$C$7,0)*$BC$10/30</f>
        <v>18396165.879726768</v>
      </c>
      <c r="BU145" s="10">
        <f>MAX(节奏总纲!H138-积分赛!$C$7,0)*$BC$10/30</f>
        <v>9831552.952538047</v>
      </c>
    </row>
    <row r="146" spans="26:73" x14ac:dyDescent="0.15">
      <c r="Z146" s="10">
        <v>136</v>
      </c>
      <c r="AA146" s="10">
        <f>IFERROR(MAX($Z146-积分赛!$C$7,0)*INDEX($U$7:$U$14,MATCH(AA$10,$T$7:$T$14,0))/30,0)</f>
        <v>0</v>
      </c>
      <c r="AB146" s="10">
        <f>IFERROR(MAX($Z146-积分赛!$C$7,0)*INDEX($U$7:$U$14,MATCH(AB$10,$T$7:$T$14,0))/30,0)</f>
        <v>0</v>
      </c>
      <c r="AC146" s="10">
        <f>IFERROR(MAX($Z146-积分赛!$C$7,0)*INDEX($U$7:$U$14,MATCH(AC$10,$T$7:$T$14,0))/30,0)</f>
        <v>0</v>
      </c>
      <c r="AD146" s="10">
        <f>IFERROR(MAX($Z146-积分赛!$C$7,0)*INDEX($U$7:$U$14,MATCH(AD$10,$T$7:$T$14,0))/30,0)</f>
        <v>282666.66666666669</v>
      </c>
      <c r="AE146" s="10">
        <f>IFERROR(MAX($Z146-积分赛!$C$7,0)*INDEX($U$7:$U$14,MATCH(AE$10,$T$7:$T$14,0))/30,0)</f>
        <v>3533333.3333333335</v>
      </c>
      <c r="AF146" s="10">
        <f>MAX($Z146-积分赛!$C$7,0)*(IFERROR(INDEX($W$7:$W$14,MATCH(AF$10,$T$7:$T$14,0)),0)*$T$20+IFERROR(INDEX($X$7:$X$14,MATCH(AF$10,$T$7:$T$14,0)),0)*$T$21)/30</f>
        <v>0</v>
      </c>
      <c r="AG146" s="10">
        <f>MAX($Z146-积分赛!$C$7,0)*(IFERROR(INDEX($W$7:$W$14,MATCH(AG$10,$T$7:$T$14,0)),0)*$T$20+IFERROR(INDEX($X$7:$X$14,MATCH(AG$10,$T$7:$T$14,0)),0)*$T$21)/30</f>
        <v>0</v>
      </c>
      <c r="AH146" s="10">
        <f>MAX($Z146-积分赛!$C$7,0)*(IFERROR(INDEX($W$7:$W$14,MATCH(AH$10,$T$7:$T$14,0)),0)*$T$20+IFERROR(INDEX($X$7:$X$14,MATCH(AH$10,$T$7:$T$14,0)),0)*$T$21)/30</f>
        <v>0</v>
      </c>
      <c r="AI146" s="10">
        <f>MAX($Z146-积分赛!$C$7,0)*(IFERROR(INDEX($W$7:$W$14,MATCH(AI$10,$T$7:$T$14,0)),0)*$T$20+IFERROR(INDEX($X$7:$X$14,MATCH(AI$10,$T$7:$T$14,0)),0)*$T$21)/30</f>
        <v>10794.333333333334</v>
      </c>
      <c r="AJ146" s="10">
        <f>MAX($Z146-积分赛!$C$7,0)*(IFERROR(INDEX($W$7:$W$14,MATCH(AJ$10,$T$7:$T$14,0)),0)*$T$20+IFERROR(INDEX($X$7:$X$14,MATCH(AJ$10,$T$7:$T$14,0)),0)*$T$21)/30</f>
        <v>64766</v>
      </c>
      <c r="AL146" s="10">
        <v>136</v>
      </c>
      <c r="AM146" s="10">
        <f>IFERROR(MAX(节奏总纲!D139-积分赛!$C$7,0)*INDEX($U$7:$U$14,MATCH(AA$10,$T$7:$T$14,0))/30,0)</f>
        <v>0</v>
      </c>
      <c r="AN146" s="10">
        <f>IFERROR(MAX(节奏总纲!E139-积分赛!$C$7,0)*INDEX($U$7:$U$14,MATCH(AB$10,$T$7:$T$14,0))/30,0)</f>
        <v>0</v>
      </c>
      <c r="AO146" s="10">
        <f>IFERROR(MAX(节奏总纲!F139-积分赛!$C$7,0)*INDEX($U$7:$U$14,MATCH(AC$10,$T$7:$T$14,0))/30,0)</f>
        <v>0</v>
      </c>
      <c r="AP146" s="10">
        <f>IFERROR(MAX(节奏总纲!G139-积分赛!$C$7,0)*INDEX($U$7:$U$14,MATCH(AD$10,$T$7:$T$14,0))/30,0)</f>
        <v>15832025.344632627</v>
      </c>
      <c r="AQ146" s="10">
        <f>IFERROR(MAX(节奏总纲!H139-积分赛!$C$7,0)*INDEX($U$7:$U$14,MATCH(AE$10,$T$7:$T$14,0))/30,0)</f>
        <v>105816836.80424681</v>
      </c>
      <c r="AR146" s="10">
        <f>MAX(节奏总纲!D139-积分赛!$C$7,0)*(IFERROR(INDEX($W$7:$W$14,MATCH(AF$10,$T$7:$T$14,0)),0)*$T$20+IFERROR(INDEX($X$7:$X$14,MATCH(AF$10,$T$7:$T$14,0)),0)*$T$21)/30</f>
        <v>0</v>
      </c>
      <c r="AS146" s="10">
        <f>MAX(节奏总纲!E139-积分赛!$C$7,0)*(IFERROR(INDEX($W$7:$W$14,MATCH(AG$10,$T$7:$T$14,0)),0)*$T$20+IFERROR(INDEX($X$7:$X$14,MATCH(AG$10,$T$7:$T$14,0)),0)*$T$21)/30</f>
        <v>0</v>
      </c>
      <c r="AT146" s="10">
        <f>MAX(节奏总纲!F139-积分赛!$C$7,0)*(IFERROR(INDEX($W$7:$W$14,MATCH(AH$10,$T$7:$T$14,0)),0)*$T$20+IFERROR(INDEX($X$7:$X$14,MATCH(AH$10,$T$7:$T$14,0)),0)*$T$21)/30</f>
        <v>0</v>
      </c>
      <c r="AU146" s="10">
        <f>MAX(节奏总纲!G139-积分赛!$C$7,0)*(IFERROR(INDEX($W$7:$W$14,MATCH(AI$10,$T$7:$T$14,0)),0)*$T$20+IFERROR(INDEX($X$7:$X$14,MATCH(AI$10,$T$7:$T$14,0)),0)*$T$21)/30</f>
        <v>604585.46784815833</v>
      </c>
      <c r="AV146" s="10">
        <f>MAX(节奏总纲!H139-积分赛!$C$7,0)*(IFERROR(INDEX($W$7:$W$14,MATCH(AJ$10,$T$7:$T$14,0)),0)*$T$20+IFERROR(INDEX($X$7:$X$14,MATCH(AJ$10,$T$7:$T$14,0)),0)*$T$21)/30</f>
        <v>1939622.6186218439</v>
      </c>
      <c r="BI146" s="10">
        <v>136</v>
      </c>
      <c r="BJ146" s="10">
        <f>MAX($BI146-积分赛!$C$7,0)*$BC$10/30</f>
        <v>353333.33333333331</v>
      </c>
      <c r="BK146" s="10">
        <f>MAX($BI146-积分赛!$C$7,0)*$BC$10/30</f>
        <v>353333.33333333331</v>
      </c>
      <c r="BL146" s="10">
        <f>MAX($BI146-积分赛!$C$7,0)*$BC$10/30</f>
        <v>353333.33333333331</v>
      </c>
      <c r="BM146" s="10">
        <f>MAX($BI146-积分赛!$C$7,0)*$BC$10/30</f>
        <v>353333.33333333331</v>
      </c>
      <c r="BN146" s="10">
        <f>MAX($BI146-积分赛!$C$7,0)*$BC$10/30</f>
        <v>353333.33333333331</v>
      </c>
      <c r="BP146" s="10">
        <v>136</v>
      </c>
      <c r="BQ146" s="10">
        <f>MAX(节奏总纲!D139-积分赛!$C$7,0)*$BC$10/30</f>
        <v>41285833.70951058</v>
      </c>
      <c r="BR146" s="10">
        <f>MAX(节奏总纲!E139-积分赛!$C$7,0)*$BC$10/30</f>
        <v>34924831.068358809</v>
      </c>
      <c r="BS146" s="10">
        <f>MAX(节奏总纲!F139-积分赛!$C$7,0)*$BC$10/30</f>
        <v>27847853.504032493</v>
      </c>
      <c r="BT146" s="10">
        <f>MAX(节奏总纲!G139-积分赛!$C$7,0)*$BC$10/30</f>
        <v>19790031.680790782</v>
      </c>
      <c r="BU146" s="10">
        <f>MAX(节奏总纲!H139-积分赛!$C$7,0)*$BC$10/30</f>
        <v>10581683.680424681</v>
      </c>
    </row>
    <row r="147" spans="26:73" x14ac:dyDescent="0.15">
      <c r="Z147" s="10">
        <v>137</v>
      </c>
      <c r="AA147" s="10">
        <f>IFERROR(MAX($Z147-积分赛!$C$7,0)*INDEX($U$7:$U$14,MATCH(AA$10,$T$7:$T$14,0))/30,0)</f>
        <v>0</v>
      </c>
      <c r="AB147" s="10">
        <f>IFERROR(MAX($Z147-积分赛!$C$7,0)*INDEX($U$7:$U$14,MATCH(AB$10,$T$7:$T$14,0))/30,0)</f>
        <v>0</v>
      </c>
      <c r="AC147" s="10">
        <f>IFERROR(MAX($Z147-积分赛!$C$7,0)*INDEX($U$7:$U$14,MATCH(AC$10,$T$7:$T$14,0))/30,0)</f>
        <v>0</v>
      </c>
      <c r="AD147" s="10">
        <f>IFERROR(MAX($Z147-积分赛!$C$7,0)*INDEX($U$7:$U$14,MATCH(AD$10,$T$7:$T$14,0))/30,0)</f>
        <v>285333.33333333331</v>
      </c>
      <c r="AE147" s="10">
        <f>IFERROR(MAX($Z147-积分赛!$C$7,0)*INDEX($U$7:$U$14,MATCH(AE$10,$T$7:$T$14,0))/30,0)</f>
        <v>3566666.6666666665</v>
      </c>
      <c r="AF147" s="10">
        <f>MAX($Z147-积分赛!$C$7,0)*(IFERROR(INDEX($W$7:$W$14,MATCH(AF$10,$T$7:$T$14,0)),0)*$T$20+IFERROR(INDEX($X$7:$X$14,MATCH(AF$10,$T$7:$T$14,0)),0)*$T$21)/30</f>
        <v>0</v>
      </c>
      <c r="AG147" s="10">
        <f>MAX($Z147-积分赛!$C$7,0)*(IFERROR(INDEX($W$7:$W$14,MATCH(AG$10,$T$7:$T$14,0)),0)*$T$20+IFERROR(INDEX($X$7:$X$14,MATCH(AG$10,$T$7:$T$14,0)),0)*$T$21)/30</f>
        <v>0</v>
      </c>
      <c r="AH147" s="10">
        <f>MAX($Z147-积分赛!$C$7,0)*(IFERROR(INDEX($W$7:$W$14,MATCH(AH$10,$T$7:$T$14,0)),0)*$T$20+IFERROR(INDEX($X$7:$X$14,MATCH(AH$10,$T$7:$T$14,0)),0)*$T$21)/30</f>
        <v>0</v>
      </c>
      <c r="AI147" s="10">
        <f>MAX($Z147-积分赛!$C$7,0)*(IFERROR(INDEX($W$7:$W$14,MATCH(AI$10,$T$7:$T$14,0)),0)*$T$20+IFERROR(INDEX($X$7:$X$14,MATCH(AI$10,$T$7:$T$14,0)),0)*$T$21)/30</f>
        <v>10896.166666666666</v>
      </c>
      <c r="AJ147" s="10">
        <f>MAX($Z147-积分赛!$C$7,0)*(IFERROR(INDEX($W$7:$W$14,MATCH(AJ$10,$T$7:$T$14,0)),0)*$T$20+IFERROR(INDEX($X$7:$X$14,MATCH(AJ$10,$T$7:$T$14,0)),0)*$T$21)/30</f>
        <v>65377</v>
      </c>
      <c r="AL147" s="10">
        <v>137</v>
      </c>
      <c r="AM147" s="10">
        <f>IFERROR(MAX(节奏总纲!D140-积分赛!$C$7,0)*INDEX($U$7:$U$14,MATCH(AA$10,$T$7:$T$14,0))/30,0)</f>
        <v>0</v>
      </c>
      <c r="AN147" s="10">
        <f>IFERROR(MAX(节奏总纲!E140-积分赛!$C$7,0)*INDEX($U$7:$U$14,MATCH(AB$10,$T$7:$T$14,0))/30,0)</f>
        <v>0</v>
      </c>
      <c r="AO147" s="10">
        <f>IFERROR(MAX(节奏总纲!F140-积分赛!$C$7,0)*INDEX($U$7:$U$14,MATCH(AC$10,$T$7:$T$14,0))/30,0)</f>
        <v>0</v>
      </c>
      <c r="AP147" s="10">
        <f>IFERROR(MAX(节奏总纲!G140-积分赛!$C$7,0)*INDEX($U$7:$U$14,MATCH(AD$10,$T$7:$T$14,0))/30,0)</f>
        <v>17006115.1482803</v>
      </c>
      <c r="AQ147" s="10">
        <f>IFERROR(MAX(节奏总纲!H140-积分赛!$C$7,0)*INDEX($U$7:$U$14,MATCH(AE$10,$T$7:$T$14,0))/30,0)</f>
        <v>113617137.96250336</v>
      </c>
      <c r="AR147" s="10">
        <f>MAX(节奏总纲!D140-积分赛!$C$7,0)*(IFERROR(INDEX($W$7:$W$14,MATCH(AF$10,$T$7:$T$14,0)),0)*$T$20+IFERROR(INDEX($X$7:$X$14,MATCH(AF$10,$T$7:$T$14,0)),0)*$T$21)/30</f>
        <v>0</v>
      </c>
      <c r="AS147" s="10">
        <f>MAX(节奏总纲!E140-积分赛!$C$7,0)*(IFERROR(INDEX($W$7:$W$14,MATCH(AG$10,$T$7:$T$14,0)),0)*$T$20+IFERROR(INDEX($X$7:$X$14,MATCH(AG$10,$T$7:$T$14,0)),0)*$T$21)/30</f>
        <v>0</v>
      </c>
      <c r="AT147" s="10">
        <f>MAX(节奏总纲!F140-积分赛!$C$7,0)*(IFERROR(INDEX($W$7:$W$14,MATCH(AH$10,$T$7:$T$14,0)),0)*$T$20+IFERROR(INDEX($X$7:$X$14,MATCH(AH$10,$T$7:$T$14,0)),0)*$T$21)/30</f>
        <v>0</v>
      </c>
      <c r="AU147" s="10">
        <f>MAX(节奏总纲!G140-积分赛!$C$7,0)*(IFERROR(INDEX($W$7:$W$14,MATCH(AI$10,$T$7:$T$14,0)),0)*$T$20+IFERROR(INDEX($X$7:$X$14,MATCH(AI$10,$T$7:$T$14,0)),0)*$T$21)/30</f>
        <v>649421.02222495386</v>
      </c>
      <c r="AV147" s="10">
        <f>MAX(节奏总纲!H140-积分赛!$C$7,0)*(IFERROR(INDEX($W$7:$W$14,MATCH(AJ$10,$T$7:$T$14,0)),0)*$T$20+IFERROR(INDEX($X$7:$X$14,MATCH(AJ$10,$T$7:$T$14,0)),0)*$T$21)/30</f>
        <v>2082602.1388526866</v>
      </c>
      <c r="BI147" s="10">
        <v>137</v>
      </c>
      <c r="BJ147" s="10">
        <f>MAX($BI147-积分赛!$C$7,0)*$BC$10/30</f>
        <v>356666.66666666669</v>
      </c>
      <c r="BK147" s="10">
        <f>MAX($BI147-积分赛!$C$7,0)*$BC$10/30</f>
        <v>356666.66666666669</v>
      </c>
      <c r="BL147" s="10">
        <f>MAX($BI147-积分赛!$C$7,0)*$BC$10/30</f>
        <v>356666.66666666669</v>
      </c>
      <c r="BM147" s="10">
        <f>MAX($BI147-积分赛!$C$7,0)*$BC$10/30</f>
        <v>356666.66666666669</v>
      </c>
      <c r="BN147" s="10">
        <f>MAX($BI147-积分赛!$C$7,0)*$BC$10/30</f>
        <v>356666.66666666669</v>
      </c>
      <c r="BP147" s="10">
        <v>137</v>
      </c>
      <c r="BQ147" s="10">
        <f>MAX(节奏总纲!D140-积分赛!$C$7,0)*$BC$10/30</f>
        <v>44256477.539668478</v>
      </c>
      <c r="BR147" s="10">
        <f>MAX(节奏总纲!E140-积分赛!$C$7,0)*$BC$10/30</f>
        <v>37483243.419361107</v>
      </c>
      <c r="BS147" s="10">
        <f>MAX(节奏总纲!F140-积分赛!$C$7,0)*$BC$10/30</f>
        <v>29884978.816815894</v>
      </c>
      <c r="BT147" s="10">
        <f>MAX(节奏总纲!G140-积分赛!$C$7,0)*$BC$10/30</f>
        <v>21257643.935350373</v>
      </c>
      <c r="BU147" s="10">
        <f>MAX(节奏总纲!H140-积分赛!$C$7,0)*$BC$10/30</f>
        <v>11361713.796250336</v>
      </c>
    </row>
    <row r="148" spans="26:73" x14ac:dyDescent="0.15">
      <c r="Z148" s="10">
        <v>138</v>
      </c>
      <c r="AA148" s="10">
        <f>IFERROR(MAX($Z148-积分赛!$C$7,0)*INDEX($U$7:$U$14,MATCH(AA$10,$T$7:$T$14,0))/30,0)</f>
        <v>0</v>
      </c>
      <c r="AB148" s="10">
        <f>IFERROR(MAX($Z148-积分赛!$C$7,0)*INDEX($U$7:$U$14,MATCH(AB$10,$T$7:$T$14,0))/30,0)</f>
        <v>0</v>
      </c>
      <c r="AC148" s="10">
        <f>IFERROR(MAX($Z148-积分赛!$C$7,0)*INDEX($U$7:$U$14,MATCH(AC$10,$T$7:$T$14,0))/30,0)</f>
        <v>0</v>
      </c>
      <c r="AD148" s="10">
        <f>IFERROR(MAX($Z148-积分赛!$C$7,0)*INDEX($U$7:$U$14,MATCH(AD$10,$T$7:$T$14,0))/30,0)</f>
        <v>288000</v>
      </c>
      <c r="AE148" s="10">
        <f>IFERROR(MAX($Z148-积分赛!$C$7,0)*INDEX($U$7:$U$14,MATCH(AE$10,$T$7:$T$14,0))/30,0)</f>
        <v>3600000</v>
      </c>
      <c r="AF148" s="10">
        <f>MAX($Z148-积分赛!$C$7,0)*(IFERROR(INDEX($W$7:$W$14,MATCH(AF$10,$T$7:$T$14,0)),0)*$T$20+IFERROR(INDEX($X$7:$X$14,MATCH(AF$10,$T$7:$T$14,0)),0)*$T$21)/30</f>
        <v>0</v>
      </c>
      <c r="AG148" s="10">
        <f>MAX($Z148-积分赛!$C$7,0)*(IFERROR(INDEX($W$7:$W$14,MATCH(AG$10,$T$7:$T$14,0)),0)*$T$20+IFERROR(INDEX($X$7:$X$14,MATCH(AG$10,$T$7:$T$14,0)),0)*$T$21)/30</f>
        <v>0</v>
      </c>
      <c r="AH148" s="10">
        <f>MAX($Z148-积分赛!$C$7,0)*(IFERROR(INDEX($W$7:$W$14,MATCH(AH$10,$T$7:$T$14,0)),0)*$T$20+IFERROR(INDEX($X$7:$X$14,MATCH(AH$10,$T$7:$T$14,0)),0)*$T$21)/30</f>
        <v>0</v>
      </c>
      <c r="AI148" s="10">
        <f>MAX($Z148-积分赛!$C$7,0)*(IFERROR(INDEX($W$7:$W$14,MATCH(AI$10,$T$7:$T$14,0)),0)*$T$20+IFERROR(INDEX($X$7:$X$14,MATCH(AI$10,$T$7:$T$14,0)),0)*$T$21)/30</f>
        <v>10998</v>
      </c>
      <c r="AJ148" s="10">
        <f>MAX($Z148-积分赛!$C$7,0)*(IFERROR(INDEX($W$7:$W$14,MATCH(AJ$10,$T$7:$T$14,0)),0)*$T$20+IFERROR(INDEX($X$7:$X$14,MATCH(AJ$10,$T$7:$T$14,0)),0)*$T$21)/30</f>
        <v>65988</v>
      </c>
      <c r="AL148" s="10">
        <v>138</v>
      </c>
      <c r="AM148" s="10">
        <f>IFERROR(MAX(节奏总纲!D141-积分赛!$C$7,0)*INDEX($U$7:$U$14,MATCH(AA$10,$T$7:$T$14,0))/30,0)</f>
        <v>0</v>
      </c>
      <c r="AN148" s="10">
        <f>IFERROR(MAX(节奏总纲!E141-积分赛!$C$7,0)*INDEX($U$7:$U$14,MATCH(AB$10,$T$7:$T$14,0))/30,0)</f>
        <v>0</v>
      </c>
      <c r="AO148" s="10">
        <f>IFERROR(MAX(节奏总纲!F141-积分赛!$C$7,0)*INDEX($U$7:$U$14,MATCH(AC$10,$T$7:$T$14,0))/30,0)</f>
        <v>0</v>
      </c>
      <c r="AP148" s="10">
        <f>IFERROR(MAX(节奏总纲!G141-积分赛!$C$7,0)*INDEX($U$7:$U$14,MATCH(AD$10,$T$7:$T$14,0))/30,0)</f>
        <v>18243946.631235335</v>
      </c>
      <c r="AQ148" s="10">
        <f>IFERROR(MAX(节奏总纲!H141-积分赛!$C$7,0)*INDEX($U$7:$U$14,MATCH(AE$10,$T$7:$T$14,0))/30,0)</f>
        <v>121368821.68119486</v>
      </c>
      <c r="AR148" s="10">
        <f>MAX(节奏总纲!D141-积分赛!$C$7,0)*(IFERROR(INDEX($W$7:$W$14,MATCH(AF$10,$T$7:$T$14,0)),0)*$T$20+IFERROR(INDEX($X$7:$X$14,MATCH(AF$10,$T$7:$T$14,0)),0)*$T$21)/30</f>
        <v>0</v>
      </c>
      <c r="AS148" s="10">
        <f>MAX(节奏总纲!E141-积分赛!$C$7,0)*(IFERROR(INDEX($W$7:$W$14,MATCH(AG$10,$T$7:$T$14,0)),0)*$T$20+IFERROR(INDEX($X$7:$X$14,MATCH(AG$10,$T$7:$T$14,0)),0)*$T$21)/30</f>
        <v>0</v>
      </c>
      <c r="AT148" s="10">
        <f>MAX(节奏总纲!F141-积分赛!$C$7,0)*(IFERROR(INDEX($W$7:$W$14,MATCH(AH$10,$T$7:$T$14,0)),0)*$T$20+IFERROR(INDEX($X$7:$X$14,MATCH(AH$10,$T$7:$T$14,0)),0)*$T$21)/30</f>
        <v>0</v>
      </c>
      <c r="AU148" s="10">
        <f>MAX(节奏总纲!G141-积分赛!$C$7,0)*(IFERROR(INDEX($W$7:$W$14,MATCH(AI$10,$T$7:$T$14,0)),0)*$T$20+IFERROR(INDEX($X$7:$X$14,MATCH(AI$10,$T$7:$T$14,0)),0)*$T$21)/30</f>
        <v>696690.71198029933</v>
      </c>
      <c r="AV148" s="10">
        <f>MAX(节奏总纲!H141-积分赛!$C$7,0)*(IFERROR(INDEX($W$7:$W$14,MATCH(AJ$10,$T$7:$T$14,0)),0)*$T$20+IFERROR(INDEX($X$7:$X$14,MATCH(AJ$10,$T$7:$T$14,0)),0)*$T$21)/30</f>
        <v>2224690.5014163018</v>
      </c>
      <c r="BI148" s="10">
        <v>138</v>
      </c>
      <c r="BJ148" s="10">
        <f>MAX($BI148-积分赛!$C$7,0)*$BC$10/30</f>
        <v>360000</v>
      </c>
      <c r="BK148" s="10">
        <f>MAX($BI148-积分赛!$C$7,0)*$BC$10/30</f>
        <v>360000</v>
      </c>
      <c r="BL148" s="10">
        <f>MAX($BI148-积分赛!$C$7,0)*$BC$10/30</f>
        <v>360000</v>
      </c>
      <c r="BM148" s="10">
        <f>MAX($BI148-积分赛!$C$7,0)*$BC$10/30</f>
        <v>360000</v>
      </c>
      <c r="BN148" s="10">
        <f>MAX($BI148-积分赛!$C$7,0)*$BC$10/30</f>
        <v>360000</v>
      </c>
      <c r="BP148" s="10">
        <v>138</v>
      </c>
      <c r="BQ148" s="10">
        <f>MAX(节奏总纲!D141-积分赛!$C$7,0)*$BC$10/30</f>
        <v>47440334.763478972</v>
      </c>
      <c r="BR148" s="10">
        <f>MAX(节奏总纲!E141-积分赛!$C$7,0)*$BC$10/30</f>
        <v>40180925.645095736</v>
      </c>
      <c r="BS148" s="10">
        <f>MAX(节奏总纲!F141-积分赛!$C$7,0)*$BC$10/30</f>
        <v>32061036.467493523</v>
      </c>
      <c r="BT148" s="10">
        <f>MAX(节奏总纲!G141-积分赛!$C$7,0)*$BC$10/30</f>
        <v>22804933.289044164</v>
      </c>
      <c r="BU148" s="10">
        <f>MAX(节奏总纲!H141-积分赛!$C$7,0)*$BC$10/30</f>
        <v>12136882.168119486</v>
      </c>
    </row>
    <row r="149" spans="26:73" x14ac:dyDescent="0.15">
      <c r="Z149" s="10">
        <v>139</v>
      </c>
      <c r="AA149" s="10">
        <f>IFERROR(MAX($Z149-积分赛!$C$7,0)*INDEX($U$7:$U$14,MATCH(AA$10,$T$7:$T$14,0))/30,0)</f>
        <v>0</v>
      </c>
      <c r="AB149" s="10">
        <f>IFERROR(MAX($Z149-积分赛!$C$7,0)*INDEX($U$7:$U$14,MATCH(AB$10,$T$7:$T$14,0))/30,0)</f>
        <v>0</v>
      </c>
      <c r="AC149" s="10">
        <f>IFERROR(MAX($Z149-积分赛!$C$7,0)*INDEX($U$7:$U$14,MATCH(AC$10,$T$7:$T$14,0))/30,0)</f>
        <v>0</v>
      </c>
      <c r="AD149" s="10">
        <f>IFERROR(MAX($Z149-积分赛!$C$7,0)*INDEX($U$7:$U$14,MATCH(AD$10,$T$7:$T$14,0))/30,0)</f>
        <v>290666.66666666669</v>
      </c>
      <c r="AE149" s="10">
        <f>IFERROR(MAX($Z149-积分赛!$C$7,0)*INDEX($U$7:$U$14,MATCH(AE$10,$T$7:$T$14,0))/30,0)</f>
        <v>3633333.3333333335</v>
      </c>
      <c r="AF149" s="10">
        <f>MAX($Z149-积分赛!$C$7,0)*(IFERROR(INDEX($W$7:$W$14,MATCH(AF$10,$T$7:$T$14,0)),0)*$T$20+IFERROR(INDEX($X$7:$X$14,MATCH(AF$10,$T$7:$T$14,0)),0)*$T$21)/30</f>
        <v>0</v>
      </c>
      <c r="AG149" s="10">
        <f>MAX($Z149-积分赛!$C$7,0)*(IFERROR(INDEX($W$7:$W$14,MATCH(AG$10,$T$7:$T$14,0)),0)*$T$20+IFERROR(INDEX($X$7:$X$14,MATCH(AG$10,$T$7:$T$14,0)),0)*$T$21)/30</f>
        <v>0</v>
      </c>
      <c r="AH149" s="10">
        <f>MAX($Z149-积分赛!$C$7,0)*(IFERROR(INDEX($W$7:$W$14,MATCH(AH$10,$T$7:$T$14,0)),0)*$T$20+IFERROR(INDEX($X$7:$X$14,MATCH(AH$10,$T$7:$T$14,0)),0)*$T$21)/30</f>
        <v>0</v>
      </c>
      <c r="AI149" s="10">
        <f>MAX($Z149-积分赛!$C$7,0)*(IFERROR(INDEX($W$7:$W$14,MATCH(AI$10,$T$7:$T$14,0)),0)*$T$20+IFERROR(INDEX($X$7:$X$14,MATCH(AI$10,$T$7:$T$14,0)),0)*$T$21)/30</f>
        <v>11099.833333333334</v>
      </c>
      <c r="AJ149" s="10">
        <f>MAX($Z149-积分赛!$C$7,0)*(IFERROR(INDEX($W$7:$W$14,MATCH(AJ$10,$T$7:$T$14,0)),0)*$T$20+IFERROR(INDEX($X$7:$X$14,MATCH(AJ$10,$T$7:$T$14,0)),0)*$T$21)/30</f>
        <v>66599</v>
      </c>
      <c r="AL149" s="10">
        <v>139</v>
      </c>
      <c r="AM149" s="10">
        <f>IFERROR(MAX(节奏总纲!D142-积分赛!$C$7,0)*INDEX($U$7:$U$14,MATCH(AA$10,$T$7:$T$14,0))/30,0)</f>
        <v>0</v>
      </c>
      <c r="AN149" s="10">
        <f>IFERROR(MAX(节奏总纲!E142-积分赛!$C$7,0)*INDEX($U$7:$U$14,MATCH(AB$10,$T$7:$T$14,0))/30,0)</f>
        <v>0</v>
      </c>
      <c r="AO149" s="10">
        <f>IFERROR(MAX(节奏总纲!F142-积分赛!$C$7,0)*INDEX($U$7:$U$14,MATCH(AC$10,$T$7:$T$14,0))/30,0)</f>
        <v>0</v>
      </c>
      <c r="AP149" s="10">
        <f>IFERROR(MAX(节奏总纲!G142-积分赛!$C$7,0)*INDEX($U$7:$U$14,MATCH(AD$10,$T$7:$T$14,0))/30,0)</f>
        <v>19481763.825998437</v>
      </c>
      <c r="AQ149" s="10">
        <f>IFERROR(MAX(节奏总纲!H142-积分赛!$C$7,0)*INDEX($U$7:$U$14,MATCH(AE$10,$T$7:$T$14,0))/30,0)</f>
        <v>129693697.16004896</v>
      </c>
      <c r="AR149" s="10">
        <f>MAX(节奏总纲!D142-积分赛!$C$7,0)*(IFERROR(INDEX($W$7:$W$14,MATCH(AF$10,$T$7:$T$14,0)),0)*$T$20+IFERROR(INDEX($X$7:$X$14,MATCH(AF$10,$T$7:$T$14,0)),0)*$T$21)/30</f>
        <v>0</v>
      </c>
      <c r="AS149" s="10">
        <f>MAX(节奏总纲!E142-积分赛!$C$7,0)*(IFERROR(INDEX($W$7:$W$14,MATCH(AG$10,$T$7:$T$14,0)),0)*$T$20+IFERROR(INDEX($X$7:$X$14,MATCH(AG$10,$T$7:$T$14,0)),0)*$T$21)/30</f>
        <v>0</v>
      </c>
      <c r="AT149" s="10">
        <f>MAX(节奏总纲!F142-积分赛!$C$7,0)*(IFERROR(INDEX($W$7:$W$14,MATCH(AH$10,$T$7:$T$14,0)),0)*$T$20+IFERROR(INDEX($X$7:$X$14,MATCH(AH$10,$T$7:$T$14,0)),0)*$T$21)/30</f>
        <v>0</v>
      </c>
      <c r="AU149" s="10">
        <f>MAX(节奏总纲!G142-积分赛!$C$7,0)*(IFERROR(INDEX($W$7:$W$14,MATCH(AI$10,$T$7:$T$14,0)),0)*$T$20+IFERROR(INDEX($X$7:$X$14,MATCH(AI$10,$T$7:$T$14,0)),0)*$T$21)/30</f>
        <v>743959.85610531527</v>
      </c>
      <c r="AV149" s="10">
        <f>MAX(节奏总纲!H142-积分赛!$C$7,0)*(IFERROR(INDEX($W$7:$W$14,MATCH(AJ$10,$T$7:$T$14,0)),0)*$T$20+IFERROR(INDEX($X$7:$X$14,MATCH(AJ$10,$T$7:$T$14,0)),0)*$T$21)/30</f>
        <v>2377285.4689436974</v>
      </c>
      <c r="BI149" s="10">
        <v>139</v>
      </c>
      <c r="BJ149" s="10">
        <f>MAX($BI149-积分赛!$C$7,0)*$BC$10/30</f>
        <v>363333.33333333331</v>
      </c>
      <c r="BK149" s="10">
        <f>MAX($BI149-积分赛!$C$7,0)*$BC$10/30</f>
        <v>363333.33333333331</v>
      </c>
      <c r="BL149" s="10">
        <f>MAX($BI149-积分赛!$C$7,0)*$BC$10/30</f>
        <v>363333.33333333331</v>
      </c>
      <c r="BM149" s="10">
        <f>MAX($BI149-积分赛!$C$7,0)*$BC$10/30</f>
        <v>363333.33333333331</v>
      </c>
      <c r="BN149" s="10">
        <f>MAX($BI149-积分赛!$C$7,0)*$BC$10/30</f>
        <v>363333.33333333331</v>
      </c>
      <c r="BP149" s="10">
        <v>139</v>
      </c>
      <c r="BQ149" s="10">
        <f>MAX(节奏总纲!D142-积分赛!$C$7,0)*$BC$10/30</f>
        <v>50852708.444463521</v>
      </c>
      <c r="BR149" s="10">
        <f>MAX(节奏总纲!E142-积分赛!$C$7,0)*$BC$10/30</f>
        <v>43092610.948371731</v>
      </c>
      <c r="BS149" s="10">
        <f>MAX(节奏总纲!F142-积分赛!$C$7,0)*$BC$10/30</f>
        <v>34374602.533524022</v>
      </c>
      <c r="BT149" s="10">
        <f>MAX(节奏总纲!G142-积分赛!$C$7,0)*$BC$10/30</f>
        <v>24352204.782498047</v>
      </c>
      <c r="BU149" s="10">
        <f>MAX(节奏总纲!H142-积分赛!$C$7,0)*$BC$10/30</f>
        <v>12969369.716004897</v>
      </c>
    </row>
    <row r="150" spans="26:73" x14ac:dyDescent="0.15">
      <c r="Z150" s="10">
        <v>140</v>
      </c>
      <c r="AA150" s="10">
        <f>IFERROR(MAX($Z150-积分赛!$C$7,0)*INDEX($U$7:$U$14,MATCH(AA$10,$T$7:$T$14,0))/30,0)</f>
        <v>0</v>
      </c>
      <c r="AB150" s="10">
        <f>IFERROR(MAX($Z150-积分赛!$C$7,0)*INDEX($U$7:$U$14,MATCH(AB$10,$T$7:$T$14,0))/30,0)</f>
        <v>0</v>
      </c>
      <c r="AC150" s="10">
        <f>IFERROR(MAX($Z150-积分赛!$C$7,0)*INDEX($U$7:$U$14,MATCH(AC$10,$T$7:$T$14,0))/30,0)</f>
        <v>0</v>
      </c>
      <c r="AD150" s="10">
        <f>IFERROR(MAX($Z150-积分赛!$C$7,0)*INDEX($U$7:$U$14,MATCH(AD$10,$T$7:$T$14,0))/30,0)</f>
        <v>293333.33333333331</v>
      </c>
      <c r="AE150" s="10">
        <f>IFERROR(MAX($Z150-积分赛!$C$7,0)*INDEX($U$7:$U$14,MATCH(AE$10,$T$7:$T$14,0))/30,0)</f>
        <v>3666666.6666666665</v>
      </c>
      <c r="AF150" s="10">
        <f>MAX($Z150-积分赛!$C$7,0)*(IFERROR(INDEX($W$7:$W$14,MATCH(AF$10,$T$7:$T$14,0)),0)*$T$20+IFERROR(INDEX($X$7:$X$14,MATCH(AF$10,$T$7:$T$14,0)),0)*$T$21)/30</f>
        <v>0</v>
      </c>
      <c r="AG150" s="10">
        <f>MAX($Z150-积分赛!$C$7,0)*(IFERROR(INDEX($W$7:$W$14,MATCH(AG$10,$T$7:$T$14,0)),0)*$T$20+IFERROR(INDEX($X$7:$X$14,MATCH(AG$10,$T$7:$T$14,0)),0)*$T$21)/30</f>
        <v>0</v>
      </c>
      <c r="AH150" s="10">
        <f>MAX($Z150-积分赛!$C$7,0)*(IFERROR(INDEX($W$7:$W$14,MATCH(AH$10,$T$7:$T$14,0)),0)*$T$20+IFERROR(INDEX($X$7:$X$14,MATCH(AH$10,$T$7:$T$14,0)),0)*$T$21)/30</f>
        <v>0</v>
      </c>
      <c r="AI150" s="10">
        <f>MAX($Z150-积分赛!$C$7,0)*(IFERROR(INDEX($W$7:$W$14,MATCH(AI$10,$T$7:$T$14,0)),0)*$T$20+IFERROR(INDEX($X$7:$X$14,MATCH(AI$10,$T$7:$T$14,0)),0)*$T$21)/30</f>
        <v>11201.666666666666</v>
      </c>
      <c r="AJ150" s="10">
        <f>MAX($Z150-积分赛!$C$7,0)*(IFERROR(INDEX($W$7:$W$14,MATCH(AJ$10,$T$7:$T$14,0)),0)*$T$20+IFERROR(INDEX($X$7:$X$14,MATCH(AJ$10,$T$7:$T$14,0)),0)*$T$21)/30</f>
        <v>67210</v>
      </c>
      <c r="AL150" s="10">
        <v>140</v>
      </c>
      <c r="AM150" s="10">
        <f>IFERROR(MAX(节奏总纲!D143-积分赛!$C$7,0)*INDEX($U$7:$U$14,MATCH(AA$10,$T$7:$T$14,0))/30,0)</f>
        <v>0</v>
      </c>
      <c r="AN150" s="10">
        <f>IFERROR(MAX(节奏总纲!E143-积分赛!$C$7,0)*INDEX($U$7:$U$14,MATCH(AB$10,$T$7:$T$14,0))/30,0)</f>
        <v>0</v>
      </c>
      <c r="AO150" s="10">
        <f>IFERROR(MAX(节奏总纲!F143-积分赛!$C$7,0)*INDEX($U$7:$U$14,MATCH(AC$10,$T$7:$T$14,0))/30,0)</f>
        <v>0</v>
      </c>
      <c r="AP150" s="10">
        <f>IFERROR(MAX(节奏总纲!G143-积分赛!$C$7,0)*INDEX($U$7:$U$14,MATCH(AD$10,$T$7:$T$14,0))/30,0)</f>
        <v>20794126.399999999</v>
      </c>
      <c r="AQ150" s="10">
        <f>IFERROR(MAX(节奏总纲!H143-积分赛!$C$7,0)*INDEX($U$7:$U$14,MATCH(AE$10,$T$7:$T$14,0))/30,0)</f>
        <v>138746990</v>
      </c>
      <c r="AR150" s="10">
        <f>MAX(节奏总纲!D143-积分赛!$C$7,0)*(IFERROR(INDEX($W$7:$W$14,MATCH(AF$10,$T$7:$T$14,0)),0)*$T$20+IFERROR(INDEX($X$7:$X$14,MATCH(AF$10,$T$7:$T$14,0)),0)*$T$21)/30</f>
        <v>0</v>
      </c>
      <c r="AS150" s="10">
        <f>MAX(节奏总纲!E143-积分赛!$C$7,0)*(IFERROR(INDEX($W$7:$W$14,MATCH(AG$10,$T$7:$T$14,0)),0)*$T$20+IFERROR(INDEX($X$7:$X$14,MATCH(AG$10,$T$7:$T$14,0)),0)*$T$21)/30</f>
        <v>0</v>
      </c>
      <c r="AT150" s="10">
        <f>MAX(节奏总纲!F143-积分赛!$C$7,0)*(IFERROR(INDEX($W$7:$W$14,MATCH(AH$10,$T$7:$T$14,0)),0)*$T$20+IFERROR(INDEX($X$7:$X$14,MATCH(AH$10,$T$7:$T$14,0)),0)*$T$21)/30</f>
        <v>0</v>
      </c>
      <c r="AU150" s="10">
        <f>MAX(节奏总纲!G143-积分赛!$C$7,0)*(IFERROR(INDEX($W$7:$W$14,MATCH(AI$10,$T$7:$T$14,0)),0)*$T$20+IFERROR(INDEX($X$7:$X$14,MATCH(AI$10,$T$7:$T$14,0)),0)*$T$21)/30</f>
        <v>794075.70189999999</v>
      </c>
      <c r="AV150" s="10">
        <f>MAX(节奏总纲!H143-积分赛!$C$7,0)*(IFERROR(INDEX($W$7:$W$14,MATCH(AJ$10,$T$7:$T$14,0)),0)*$T$20+IFERROR(INDEX($X$7:$X$14,MATCH(AJ$10,$T$7:$T$14,0)),0)*$T$21)/30</f>
        <v>2543232.3267000001</v>
      </c>
      <c r="BI150" s="10">
        <v>140</v>
      </c>
      <c r="BJ150" s="10">
        <f>MAX($BI150-积分赛!$C$7,0)*$BC$10/30</f>
        <v>366666.66666666669</v>
      </c>
      <c r="BK150" s="10">
        <f>MAX($BI150-积分赛!$C$7,0)*$BC$10/30</f>
        <v>366666.66666666669</v>
      </c>
      <c r="BL150" s="10">
        <f>MAX($BI150-积分赛!$C$7,0)*$BC$10/30</f>
        <v>366666.66666666669</v>
      </c>
      <c r="BM150" s="10">
        <f>MAX($BI150-积分赛!$C$7,0)*$BC$10/30</f>
        <v>366666.66666666669</v>
      </c>
      <c r="BN150" s="10">
        <f>MAX($BI150-积分赛!$C$7,0)*$BC$10/30</f>
        <v>366666.66666666669</v>
      </c>
      <c r="BP150" s="10">
        <v>140</v>
      </c>
      <c r="BQ150" s="10">
        <f>MAX(节奏总纲!D143-积分赛!$C$7,0)*$BC$10/30</f>
        <v>54510000</v>
      </c>
      <c r="BR150" s="10">
        <f>MAX(节奏总纲!E143-积分赛!$C$7,0)*$BC$10/30</f>
        <v>46171053.000000007</v>
      </c>
      <c r="BS150" s="10">
        <f>MAX(节奏总纲!F143-积分赛!$C$7,0)*$BC$10/30</f>
        <v>36690757</v>
      </c>
      <c r="BT150" s="10">
        <f>MAX(节奏总纲!G143-积分赛!$C$7,0)*$BC$10/30</f>
        <v>25992658</v>
      </c>
      <c r="BU150" s="10">
        <f>MAX(节奏总纲!H143-积分赛!$C$7,0)*$BC$10/30</f>
        <v>13874699</v>
      </c>
    </row>
    <row r="151" spans="26:73" x14ac:dyDescent="0.15">
      <c r="Z151" s="10">
        <v>141</v>
      </c>
      <c r="AA151" s="10">
        <f>IFERROR(MAX($Z151-积分赛!$C$7,0)*INDEX($U$7:$U$14,MATCH(AA$10,$T$7:$T$14,0))/30,0)</f>
        <v>0</v>
      </c>
      <c r="AB151" s="10">
        <f>IFERROR(MAX($Z151-积分赛!$C$7,0)*INDEX($U$7:$U$14,MATCH(AB$10,$T$7:$T$14,0))/30,0)</f>
        <v>0</v>
      </c>
      <c r="AC151" s="10">
        <f>IFERROR(MAX($Z151-积分赛!$C$7,0)*INDEX($U$7:$U$14,MATCH(AC$10,$T$7:$T$14,0))/30,0)</f>
        <v>0</v>
      </c>
      <c r="AD151" s="10">
        <f>IFERROR(MAX($Z151-积分赛!$C$7,0)*INDEX($U$7:$U$14,MATCH(AD$10,$T$7:$T$14,0))/30,0)</f>
        <v>296000</v>
      </c>
      <c r="AE151" s="10">
        <f>IFERROR(MAX($Z151-积分赛!$C$7,0)*INDEX($U$7:$U$14,MATCH(AE$10,$T$7:$T$14,0))/30,0)</f>
        <v>3700000</v>
      </c>
      <c r="AF151" s="10">
        <f>MAX($Z151-积分赛!$C$7,0)*(IFERROR(INDEX($W$7:$W$14,MATCH(AF$10,$T$7:$T$14,0)),0)*$T$20+IFERROR(INDEX($X$7:$X$14,MATCH(AF$10,$T$7:$T$14,0)),0)*$T$21)/30</f>
        <v>0</v>
      </c>
      <c r="AG151" s="10">
        <f>MAX($Z151-积分赛!$C$7,0)*(IFERROR(INDEX($W$7:$W$14,MATCH(AG$10,$T$7:$T$14,0)),0)*$T$20+IFERROR(INDEX($X$7:$X$14,MATCH(AG$10,$T$7:$T$14,0)),0)*$T$21)/30</f>
        <v>0</v>
      </c>
      <c r="AH151" s="10">
        <f>MAX($Z151-积分赛!$C$7,0)*(IFERROR(INDEX($W$7:$W$14,MATCH(AH$10,$T$7:$T$14,0)),0)*$T$20+IFERROR(INDEX($X$7:$X$14,MATCH(AH$10,$T$7:$T$14,0)),0)*$T$21)/30</f>
        <v>0</v>
      </c>
      <c r="AI151" s="10">
        <f>MAX($Z151-积分赛!$C$7,0)*(IFERROR(INDEX($W$7:$W$14,MATCH(AI$10,$T$7:$T$14,0)),0)*$T$20+IFERROR(INDEX($X$7:$X$14,MATCH(AI$10,$T$7:$T$14,0)),0)*$T$21)/30</f>
        <v>11303.5</v>
      </c>
      <c r="AJ151" s="10">
        <f>MAX($Z151-积分赛!$C$7,0)*(IFERROR(INDEX($W$7:$W$14,MATCH(AJ$10,$T$7:$T$14,0)),0)*$T$20+IFERROR(INDEX($X$7:$X$14,MATCH(AJ$10,$T$7:$T$14,0)),0)*$T$21)/30</f>
        <v>67821</v>
      </c>
      <c r="AL151" s="10">
        <v>141</v>
      </c>
      <c r="AM151" s="10">
        <f>IFERROR(MAX(节奏总纲!D144-积分赛!$C$7,0)*INDEX($U$7:$U$14,MATCH(AA$10,$T$7:$T$14,0))/30,0)</f>
        <v>0</v>
      </c>
      <c r="AN151" s="10">
        <f>IFERROR(MAX(节奏总纲!E144-积分赛!$C$7,0)*INDEX($U$7:$U$14,MATCH(AB$10,$T$7:$T$14,0))/30,0)</f>
        <v>0</v>
      </c>
      <c r="AO151" s="10">
        <f>IFERROR(MAX(节奏总纲!F144-积分赛!$C$7,0)*INDEX($U$7:$U$14,MATCH(AC$10,$T$7:$T$14,0))/30,0)</f>
        <v>0</v>
      </c>
      <c r="AP151" s="10">
        <f>IFERROR(MAX(节奏总纲!G144-积分赛!$C$7,0)*INDEX($U$7:$U$14,MATCH(AD$10,$T$7:$T$14,0))/30,0)</f>
        <v>22269014.262895688</v>
      </c>
      <c r="AQ151" s="10">
        <f>IFERROR(MAX(节奏总纲!H144-积分赛!$C$7,0)*INDEX($U$7:$U$14,MATCH(AE$10,$T$7:$T$14,0))/30,0)</f>
        <v>148660668.00289196</v>
      </c>
      <c r="AR151" s="10">
        <f>MAX(节奏总纲!D144-积分赛!$C$7,0)*(IFERROR(INDEX($W$7:$W$14,MATCH(AF$10,$T$7:$T$14,0)),0)*$T$20+IFERROR(INDEX($X$7:$X$14,MATCH(AF$10,$T$7:$T$14,0)),0)*$T$21)/30</f>
        <v>0</v>
      </c>
      <c r="AS151" s="10">
        <f>MAX(节奏总纲!E144-积分赛!$C$7,0)*(IFERROR(INDEX($W$7:$W$14,MATCH(AG$10,$T$7:$T$14,0)),0)*$T$20+IFERROR(INDEX($X$7:$X$14,MATCH(AG$10,$T$7:$T$14,0)),0)*$T$21)/30</f>
        <v>0</v>
      </c>
      <c r="AT151" s="10">
        <f>MAX(节奏总纲!F144-积分赛!$C$7,0)*(IFERROR(INDEX($W$7:$W$14,MATCH(AH$10,$T$7:$T$14,0)),0)*$T$20+IFERROR(INDEX($X$7:$X$14,MATCH(AH$10,$T$7:$T$14,0)),0)*$T$21)/30</f>
        <v>0</v>
      </c>
      <c r="AU151" s="10">
        <f>MAX(节奏总纲!G144-积分赛!$C$7,0)*(IFERROR(INDEX($W$7:$W$14,MATCH(AI$10,$T$7:$T$14,0)),0)*$T$20+IFERROR(INDEX($X$7:$X$14,MATCH(AI$10,$T$7:$T$14,0)),0)*$T$21)/30</f>
        <v>850397.98216432903</v>
      </c>
      <c r="AV151" s="10">
        <f>MAX(节奏总纲!H144-积分赛!$C$7,0)*(IFERROR(INDEX($W$7:$W$14,MATCH(AJ$10,$T$7:$T$14,0)),0)*$T$20+IFERROR(INDEX($X$7:$X$14,MATCH(AJ$10,$T$7:$T$14,0)),0)*$T$21)/30</f>
        <v>2724950.0444930098</v>
      </c>
      <c r="BI151" s="10">
        <v>141</v>
      </c>
      <c r="BJ151" s="10">
        <f>MAX($BI151-积分赛!$C$7,0)*$BC$10/30</f>
        <v>370000</v>
      </c>
      <c r="BK151" s="10">
        <f>MAX($BI151-积分赛!$C$7,0)*$BC$10/30</f>
        <v>370000</v>
      </c>
      <c r="BL151" s="10">
        <f>MAX($BI151-积分赛!$C$7,0)*$BC$10/30</f>
        <v>370000</v>
      </c>
      <c r="BM151" s="10">
        <f>MAX($BI151-积分赛!$C$7,0)*$BC$10/30</f>
        <v>370000</v>
      </c>
      <c r="BN151" s="10">
        <f>MAX($BI151-积分赛!$C$7,0)*$BC$10/30</f>
        <v>370000</v>
      </c>
      <c r="BP151" s="10">
        <v>141</v>
      </c>
      <c r="BQ151" s="10">
        <f>MAX(节奏总纲!D144-积分赛!$C$7,0)*$BC$10/30</f>
        <v>58429788.033982009</v>
      </c>
      <c r="BR151" s="10">
        <f>MAX(节奏总纲!E144-积分赛!$C$7,0)*$BC$10/30</f>
        <v>49363523.867518194</v>
      </c>
      <c r="BS151" s="10">
        <f>MAX(节奏总纲!F144-积分赛!$C$7,0)*$BC$10/30</f>
        <v>39196899.686015517</v>
      </c>
      <c r="BT151" s="10">
        <f>MAX(节奏总纲!G144-积分赛!$C$7,0)*$BC$10/30</f>
        <v>27836267.828619607</v>
      </c>
      <c r="BU151" s="10">
        <f>MAX(节奏总纲!H144-积分赛!$C$7,0)*$BC$10/30</f>
        <v>14866066.800289197</v>
      </c>
    </row>
    <row r="152" spans="26:73" x14ac:dyDescent="0.15">
      <c r="Z152" s="10">
        <v>142</v>
      </c>
      <c r="AA152" s="10">
        <f>IFERROR(MAX($Z152-积分赛!$C$7,0)*INDEX($U$7:$U$14,MATCH(AA$10,$T$7:$T$14,0))/30,0)</f>
        <v>0</v>
      </c>
      <c r="AB152" s="10">
        <f>IFERROR(MAX($Z152-积分赛!$C$7,0)*INDEX($U$7:$U$14,MATCH(AB$10,$T$7:$T$14,0))/30,0)</f>
        <v>0</v>
      </c>
      <c r="AC152" s="10">
        <f>IFERROR(MAX($Z152-积分赛!$C$7,0)*INDEX($U$7:$U$14,MATCH(AC$10,$T$7:$T$14,0))/30,0)</f>
        <v>0</v>
      </c>
      <c r="AD152" s="10">
        <f>IFERROR(MAX($Z152-积分赛!$C$7,0)*INDEX($U$7:$U$14,MATCH(AD$10,$T$7:$T$14,0))/30,0)</f>
        <v>298666.66666666669</v>
      </c>
      <c r="AE152" s="10">
        <f>IFERROR(MAX($Z152-积分赛!$C$7,0)*INDEX($U$7:$U$14,MATCH(AE$10,$T$7:$T$14,0))/30,0)</f>
        <v>3733333.3333333335</v>
      </c>
      <c r="AF152" s="10">
        <f>MAX($Z152-积分赛!$C$7,0)*(IFERROR(INDEX($W$7:$W$14,MATCH(AF$10,$T$7:$T$14,0)),0)*$T$20+IFERROR(INDEX($X$7:$X$14,MATCH(AF$10,$T$7:$T$14,0)),0)*$T$21)/30</f>
        <v>0</v>
      </c>
      <c r="AG152" s="10">
        <f>MAX($Z152-积分赛!$C$7,0)*(IFERROR(INDEX($W$7:$W$14,MATCH(AG$10,$T$7:$T$14,0)),0)*$T$20+IFERROR(INDEX($X$7:$X$14,MATCH(AG$10,$T$7:$T$14,0)),0)*$T$21)/30</f>
        <v>0</v>
      </c>
      <c r="AH152" s="10">
        <f>MAX($Z152-积分赛!$C$7,0)*(IFERROR(INDEX($W$7:$W$14,MATCH(AH$10,$T$7:$T$14,0)),0)*$T$20+IFERROR(INDEX($X$7:$X$14,MATCH(AH$10,$T$7:$T$14,0)),0)*$T$21)/30</f>
        <v>0</v>
      </c>
      <c r="AI152" s="10">
        <f>MAX($Z152-积分赛!$C$7,0)*(IFERROR(INDEX($W$7:$W$14,MATCH(AI$10,$T$7:$T$14,0)),0)*$T$20+IFERROR(INDEX($X$7:$X$14,MATCH(AI$10,$T$7:$T$14,0)),0)*$T$21)/30</f>
        <v>11405.333333333334</v>
      </c>
      <c r="AJ152" s="10">
        <f>MAX($Z152-积分赛!$C$7,0)*(IFERROR(INDEX($W$7:$W$14,MATCH(AJ$10,$T$7:$T$14,0)),0)*$T$20+IFERROR(INDEX($X$7:$X$14,MATCH(AJ$10,$T$7:$T$14,0)),0)*$T$21)/30</f>
        <v>68432</v>
      </c>
      <c r="AL152" s="10">
        <v>142</v>
      </c>
      <c r="AM152" s="10">
        <f>IFERROR(MAX(节奏总纲!D145-积分赛!$C$7,0)*INDEX($U$7:$U$14,MATCH(AA$10,$T$7:$T$14,0))/30,0)</f>
        <v>0</v>
      </c>
      <c r="AN152" s="10">
        <f>IFERROR(MAX(节奏总纲!E145-积分赛!$C$7,0)*INDEX($U$7:$U$14,MATCH(AB$10,$T$7:$T$14,0))/30,0)</f>
        <v>0</v>
      </c>
      <c r="AO152" s="10">
        <f>IFERROR(MAX(节奏总纲!F145-积分赛!$C$7,0)*INDEX($U$7:$U$14,MATCH(AC$10,$T$7:$T$14,0))/30,0)</f>
        <v>0</v>
      </c>
      <c r="AP152" s="10">
        <f>IFERROR(MAX(节奏总纲!G145-积分赛!$C$7,0)*INDEX($U$7:$U$14,MATCH(AD$10,$T$7:$T$14,0))/30,0)</f>
        <v>23928374.957368117</v>
      </c>
      <c r="AQ152" s="10">
        <f>IFERROR(MAX(节奏总纲!H145-积分赛!$C$7,0)*INDEX($U$7:$U$14,MATCH(AE$10,$T$7:$T$14,0))/30,0)</f>
        <v>159779329.57706541</v>
      </c>
      <c r="AR152" s="10">
        <f>MAX(节奏总纲!D145-积分赛!$C$7,0)*(IFERROR(INDEX($W$7:$W$14,MATCH(AF$10,$T$7:$T$14,0)),0)*$T$20+IFERROR(INDEX($X$7:$X$14,MATCH(AF$10,$T$7:$T$14,0)),0)*$T$21)/30</f>
        <v>0</v>
      </c>
      <c r="AS152" s="10">
        <f>MAX(节奏总纲!E145-积分赛!$C$7,0)*(IFERROR(INDEX($W$7:$W$14,MATCH(AG$10,$T$7:$T$14,0)),0)*$T$20+IFERROR(INDEX($X$7:$X$14,MATCH(AG$10,$T$7:$T$14,0)),0)*$T$21)/30</f>
        <v>0</v>
      </c>
      <c r="AT152" s="10">
        <f>MAX(节奏总纲!F145-积分赛!$C$7,0)*(IFERROR(INDEX($W$7:$W$14,MATCH(AH$10,$T$7:$T$14,0)),0)*$T$20+IFERROR(INDEX($X$7:$X$14,MATCH(AH$10,$T$7:$T$14,0)),0)*$T$21)/30</f>
        <v>0</v>
      </c>
      <c r="AU152" s="10">
        <f>MAX(节奏总纲!G145-积分赛!$C$7,0)*(IFERROR(INDEX($W$7:$W$14,MATCH(AI$10,$T$7:$T$14,0)),0)*$T$20+IFERROR(INDEX($X$7:$X$14,MATCH(AI$10,$T$7:$T$14,0)),0)*$T$21)/30</f>
        <v>913764.81868449494</v>
      </c>
      <c r="AV152" s="10">
        <f>MAX(节奏总纲!H145-积分赛!$C$7,0)*(IFERROR(INDEX($W$7:$W$14,MATCH(AJ$10,$T$7:$T$14,0)),0)*$T$20+IFERROR(INDEX($X$7:$X$14,MATCH(AJ$10,$T$7:$T$14,0)),0)*$T$21)/30</f>
        <v>2928755.1111476091</v>
      </c>
      <c r="BI152" s="10">
        <v>142</v>
      </c>
      <c r="BJ152" s="10">
        <f>MAX($BI152-积分赛!$C$7,0)*$BC$10/30</f>
        <v>373333.33333333331</v>
      </c>
      <c r="BK152" s="10">
        <f>MAX($BI152-积分赛!$C$7,0)*$BC$10/30</f>
        <v>373333.33333333331</v>
      </c>
      <c r="BL152" s="10">
        <f>MAX($BI152-积分赛!$C$7,0)*$BC$10/30</f>
        <v>373333.33333333331</v>
      </c>
      <c r="BM152" s="10">
        <f>MAX($BI152-积分赛!$C$7,0)*$BC$10/30</f>
        <v>373333.33333333331</v>
      </c>
      <c r="BN152" s="10">
        <f>MAX($BI152-积分赛!$C$7,0)*$BC$10/30</f>
        <v>373333.33333333331</v>
      </c>
      <c r="BP152" s="10">
        <v>142</v>
      </c>
      <c r="BQ152" s="10">
        <f>MAX(节奏总纲!D145-积分赛!$C$7,0)*$BC$10/30</f>
        <v>62630912.827571377</v>
      </c>
      <c r="BR152" s="10">
        <f>MAX(节奏总纲!E145-积分赛!$C$7,0)*$BC$10/30</f>
        <v>52913894.430580571</v>
      </c>
      <c r="BS152" s="10">
        <f>MAX(节奏总纲!F145-积分赛!$C$7,0)*$BC$10/30</f>
        <v>42124177.424238294</v>
      </c>
      <c r="BT152" s="10">
        <f>MAX(节奏总纲!G145-积分赛!$C$7,0)*$BC$10/30</f>
        <v>29910468.696710147</v>
      </c>
      <c r="BU152" s="10">
        <f>MAX(节奏总纲!H145-积分赛!$C$7,0)*$BC$10/30</f>
        <v>15977932.957706541</v>
      </c>
    </row>
    <row r="153" spans="26:73" x14ac:dyDescent="0.15">
      <c r="Z153" s="10">
        <v>143</v>
      </c>
      <c r="AA153" s="10">
        <f>IFERROR(MAX($Z153-积分赛!$C$7,0)*INDEX($U$7:$U$14,MATCH(AA$10,$T$7:$T$14,0))/30,0)</f>
        <v>0</v>
      </c>
      <c r="AB153" s="10">
        <f>IFERROR(MAX($Z153-积分赛!$C$7,0)*INDEX($U$7:$U$14,MATCH(AB$10,$T$7:$T$14,0))/30,0)</f>
        <v>0</v>
      </c>
      <c r="AC153" s="10">
        <f>IFERROR(MAX($Z153-积分赛!$C$7,0)*INDEX($U$7:$U$14,MATCH(AC$10,$T$7:$T$14,0))/30,0)</f>
        <v>0</v>
      </c>
      <c r="AD153" s="10">
        <f>IFERROR(MAX($Z153-积分赛!$C$7,0)*INDEX($U$7:$U$14,MATCH(AD$10,$T$7:$T$14,0))/30,0)</f>
        <v>301333.33333333331</v>
      </c>
      <c r="AE153" s="10">
        <f>IFERROR(MAX($Z153-积分赛!$C$7,0)*INDEX($U$7:$U$14,MATCH(AE$10,$T$7:$T$14,0))/30,0)</f>
        <v>3766666.6666666665</v>
      </c>
      <c r="AF153" s="10">
        <f>MAX($Z153-积分赛!$C$7,0)*(IFERROR(INDEX($W$7:$W$14,MATCH(AF$10,$T$7:$T$14,0)),0)*$T$20+IFERROR(INDEX($X$7:$X$14,MATCH(AF$10,$T$7:$T$14,0)),0)*$T$21)/30</f>
        <v>0</v>
      </c>
      <c r="AG153" s="10">
        <f>MAX($Z153-积分赛!$C$7,0)*(IFERROR(INDEX($W$7:$W$14,MATCH(AG$10,$T$7:$T$14,0)),0)*$T$20+IFERROR(INDEX($X$7:$X$14,MATCH(AG$10,$T$7:$T$14,0)),0)*$T$21)/30</f>
        <v>0</v>
      </c>
      <c r="AH153" s="10">
        <f>MAX($Z153-积分赛!$C$7,0)*(IFERROR(INDEX($W$7:$W$14,MATCH(AH$10,$T$7:$T$14,0)),0)*$T$20+IFERROR(INDEX($X$7:$X$14,MATCH(AH$10,$T$7:$T$14,0)),0)*$T$21)/30</f>
        <v>0</v>
      </c>
      <c r="AI153" s="10">
        <f>MAX($Z153-积分赛!$C$7,0)*(IFERROR(INDEX($W$7:$W$14,MATCH(AI$10,$T$7:$T$14,0)),0)*$T$20+IFERROR(INDEX($X$7:$X$14,MATCH(AI$10,$T$7:$T$14,0)),0)*$T$21)/30</f>
        <v>11507.166666666666</v>
      </c>
      <c r="AJ153" s="10">
        <f>MAX($Z153-积分赛!$C$7,0)*(IFERROR(INDEX($W$7:$W$14,MATCH(AJ$10,$T$7:$T$14,0)),0)*$T$20+IFERROR(INDEX($X$7:$X$14,MATCH(AJ$10,$T$7:$T$14,0)),0)*$T$21)/30</f>
        <v>69043</v>
      </c>
      <c r="AL153" s="10">
        <v>143</v>
      </c>
      <c r="AM153" s="10">
        <f>IFERROR(MAX(节奏总纲!D146-积分赛!$C$7,0)*INDEX($U$7:$U$14,MATCH(AA$10,$T$7:$T$14,0))/30,0)</f>
        <v>0</v>
      </c>
      <c r="AN153" s="10">
        <f>IFERROR(MAX(节奏总纲!E146-积分赛!$C$7,0)*INDEX($U$7:$U$14,MATCH(AB$10,$T$7:$T$14,0))/30,0)</f>
        <v>0</v>
      </c>
      <c r="AO153" s="10">
        <f>IFERROR(MAX(节奏总纲!F146-积分赛!$C$7,0)*INDEX($U$7:$U$14,MATCH(AC$10,$T$7:$T$14,0))/30,0)</f>
        <v>0</v>
      </c>
      <c r="AP153" s="10">
        <f>IFERROR(MAX(节奏总纲!G146-积分赛!$C$7,0)*INDEX($U$7:$U$14,MATCH(AD$10,$T$7:$T$14,0))/30,0)</f>
        <v>25705417.575241998</v>
      </c>
      <c r="AQ153" s="10">
        <f>IFERROR(MAX(节奏总纲!H146-积分赛!$C$7,0)*INDEX($U$7:$U$14,MATCH(AE$10,$T$7:$T$14,0))/30,0)</f>
        <v>171857500.48484352</v>
      </c>
      <c r="AR153" s="10">
        <f>MAX(节奏总纲!D146-积分赛!$C$7,0)*(IFERROR(INDEX($W$7:$W$14,MATCH(AF$10,$T$7:$T$14,0)),0)*$T$20+IFERROR(INDEX($X$7:$X$14,MATCH(AF$10,$T$7:$T$14,0)),0)*$T$21)/30</f>
        <v>0</v>
      </c>
      <c r="AS153" s="10">
        <f>MAX(节奏总纲!E146-积分赛!$C$7,0)*(IFERROR(INDEX($W$7:$W$14,MATCH(AG$10,$T$7:$T$14,0)),0)*$T$20+IFERROR(INDEX($X$7:$X$14,MATCH(AG$10,$T$7:$T$14,0)),0)*$T$21)/30</f>
        <v>0</v>
      </c>
      <c r="AT153" s="10">
        <f>MAX(节奏总纲!F146-积分赛!$C$7,0)*(IFERROR(INDEX($W$7:$W$14,MATCH(AH$10,$T$7:$T$14,0)),0)*$T$20+IFERROR(INDEX($X$7:$X$14,MATCH(AH$10,$T$7:$T$14,0)),0)*$T$21)/30</f>
        <v>0</v>
      </c>
      <c r="AU153" s="10">
        <f>MAX(节奏总纲!G146-积分赛!$C$7,0)*(IFERROR(INDEX($W$7:$W$14,MATCH(AI$10,$T$7:$T$14,0)),0)*$T$20+IFERROR(INDEX($X$7:$X$14,MATCH(AI$10,$T$7:$T$14,0)),0)*$T$21)/30</f>
        <v>981625.63365455379</v>
      </c>
      <c r="AV153" s="10">
        <f>MAX(节奏总纲!H146-积分赛!$C$7,0)*(IFERROR(INDEX($W$7:$W$14,MATCH(AJ$10,$T$7:$T$14,0)),0)*$T$20+IFERROR(INDEX($X$7:$X$14,MATCH(AJ$10,$T$7:$T$14,0)),0)*$T$21)/30</f>
        <v>3150147.9838871816</v>
      </c>
      <c r="BI153" s="10">
        <v>143</v>
      </c>
      <c r="BJ153" s="10">
        <f>MAX($BI153-积分赛!$C$7,0)*$BC$10/30</f>
        <v>376666.66666666669</v>
      </c>
      <c r="BK153" s="10">
        <f>MAX($BI153-积分赛!$C$7,0)*$BC$10/30</f>
        <v>376666.66666666669</v>
      </c>
      <c r="BL153" s="10">
        <f>MAX($BI153-积分赛!$C$7,0)*$BC$10/30</f>
        <v>376666.66666666669</v>
      </c>
      <c r="BM153" s="10">
        <f>MAX($BI153-积分赛!$C$7,0)*$BC$10/30</f>
        <v>376666.66666666669</v>
      </c>
      <c r="BN153" s="10">
        <f>MAX($BI153-积分赛!$C$7,0)*$BC$10/30</f>
        <v>376666.66666666669</v>
      </c>
      <c r="BP153" s="10">
        <v>143</v>
      </c>
      <c r="BQ153" s="10">
        <f>MAX(节奏总纲!D146-积分赛!$C$7,0)*$BC$10/30</f>
        <v>67133566.894143716</v>
      </c>
      <c r="BR153" s="10">
        <f>MAX(节奏总纲!E146-积分赛!$C$7,0)*$BC$10/30</f>
        <v>56786320.949134991</v>
      </c>
      <c r="BS153" s="10">
        <f>MAX(节奏总纲!F146-积分赛!$C$7,0)*$BC$10/30</f>
        <v>45215424.086652867</v>
      </c>
      <c r="BT153" s="10">
        <f>MAX(节奏总纲!G146-积分赛!$C$7,0)*$BC$10/30</f>
        <v>32131771.969052497</v>
      </c>
      <c r="BU153" s="10">
        <f>MAX(节奏总纲!H146-积分赛!$C$7,0)*$BC$10/30</f>
        <v>17185750.048484351</v>
      </c>
    </row>
    <row r="154" spans="26:73" x14ac:dyDescent="0.15">
      <c r="Z154" s="10">
        <v>144</v>
      </c>
      <c r="AA154" s="10">
        <f>IFERROR(MAX($Z154-积分赛!$C$7,0)*INDEX($U$7:$U$14,MATCH(AA$10,$T$7:$T$14,0))/30,0)</f>
        <v>0</v>
      </c>
      <c r="AB154" s="10">
        <f>IFERROR(MAX($Z154-积分赛!$C$7,0)*INDEX($U$7:$U$14,MATCH(AB$10,$T$7:$T$14,0))/30,0)</f>
        <v>0</v>
      </c>
      <c r="AC154" s="10">
        <f>IFERROR(MAX($Z154-积分赛!$C$7,0)*INDEX($U$7:$U$14,MATCH(AC$10,$T$7:$T$14,0))/30,0)</f>
        <v>0</v>
      </c>
      <c r="AD154" s="10">
        <f>IFERROR(MAX($Z154-积分赛!$C$7,0)*INDEX($U$7:$U$14,MATCH(AD$10,$T$7:$T$14,0))/30,0)</f>
        <v>304000</v>
      </c>
      <c r="AE154" s="10">
        <f>IFERROR(MAX($Z154-积分赛!$C$7,0)*INDEX($U$7:$U$14,MATCH(AE$10,$T$7:$T$14,0))/30,0)</f>
        <v>3800000</v>
      </c>
      <c r="AF154" s="10">
        <f>MAX($Z154-积分赛!$C$7,0)*(IFERROR(INDEX($W$7:$W$14,MATCH(AF$10,$T$7:$T$14,0)),0)*$T$20+IFERROR(INDEX($X$7:$X$14,MATCH(AF$10,$T$7:$T$14,0)),0)*$T$21)/30</f>
        <v>0</v>
      </c>
      <c r="AG154" s="10">
        <f>MAX($Z154-积分赛!$C$7,0)*(IFERROR(INDEX($W$7:$W$14,MATCH(AG$10,$T$7:$T$14,0)),0)*$T$20+IFERROR(INDEX($X$7:$X$14,MATCH(AG$10,$T$7:$T$14,0)),0)*$T$21)/30</f>
        <v>0</v>
      </c>
      <c r="AH154" s="10">
        <f>MAX($Z154-积分赛!$C$7,0)*(IFERROR(INDEX($W$7:$W$14,MATCH(AH$10,$T$7:$T$14,0)),0)*$T$20+IFERROR(INDEX($X$7:$X$14,MATCH(AH$10,$T$7:$T$14,0)),0)*$T$21)/30</f>
        <v>0</v>
      </c>
      <c r="AI154" s="10">
        <f>MAX($Z154-积分赛!$C$7,0)*(IFERROR(INDEX($W$7:$W$14,MATCH(AI$10,$T$7:$T$14,0)),0)*$T$20+IFERROR(INDEX($X$7:$X$14,MATCH(AI$10,$T$7:$T$14,0)),0)*$T$21)/30</f>
        <v>11609</v>
      </c>
      <c r="AJ154" s="10">
        <f>MAX($Z154-积分赛!$C$7,0)*(IFERROR(INDEX($W$7:$W$14,MATCH(AJ$10,$T$7:$T$14,0)),0)*$T$20+IFERROR(INDEX($X$7:$X$14,MATCH(AJ$10,$T$7:$T$14,0)),0)*$T$21)/30</f>
        <v>69654</v>
      </c>
      <c r="AL154" s="10">
        <v>144</v>
      </c>
      <c r="AM154" s="10">
        <f>IFERROR(MAX(节奏总纲!D147-积分赛!$C$7,0)*INDEX($U$7:$U$14,MATCH(AA$10,$T$7:$T$14,0))/30,0)</f>
        <v>0</v>
      </c>
      <c r="AN154" s="10">
        <f>IFERROR(MAX(节奏总纲!E147-积分赛!$C$7,0)*INDEX($U$7:$U$14,MATCH(AB$10,$T$7:$T$14,0))/30,0)</f>
        <v>0</v>
      </c>
      <c r="AO154" s="10">
        <f>IFERROR(MAX(节奏总纲!F147-积分赛!$C$7,0)*INDEX($U$7:$U$14,MATCH(AC$10,$T$7:$T$14,0))/30,0)</f>
        <v>0</v>
      </c>
      <c r="AP154" s="10">
        <f>IFERROR(MAX(节奏总纲!G147-积分赛!$C$7,0)*INDEX($U$7:$U$14,MATCH(AD$10,$T$7:$T$14,0))/30,0)</f>
        <v>27602336.043657344</v>
      </c>
      <c r="AQ154" s="10">
        <f>IFERROR(MAX(节奏总纲!H147-积分赛!$C$7,0)*INDEX($U$7:$U$14,MATCH(AE$10,$T$7:$T$14,0))/30,0)</f>
        <v>183904399.95841506</v>
      </c>
      <c r="AR154" s="10">
        <f>MAX(节奏总纲!D147-积分赛!$C$7,0)*(IFERROR(INDEX($W$7:$W$14,MATCH(AF$10,$T$7:$T$14,0)),0)*$T$20+IFERROR(INDEX($X$7:$X$14,MATCH(AF$10,$T$7:$T$14,0)),0)*$T$21)/30</f>
        <v>0</v>
      </c>
      <c r="AS154" s="10">
        <f>MAX(节奏总纲!E147-积分赛!$C$7,0)*(IFERROR(INDEX($W$7:$W$14,MATCH(AG$10,$T$7:$T$14,0)),0)*$T$20+IFERROR(INDEX($X$7:$X$14,MATCH(AG$10,$T$7:$T$14,0)),0)*$T$21)/30</f>
        <v>0</v>
      </c>
      <c r="AT154" s="10">
        <f>MAX(节奏总纲!F147-积分赛!$C$7,0)*(IFERROR(INDEX($W$7:$W$14,MATCH(AH$10,$T$7:$T$14,0)),0)*$T$20+IFERROR(INDEX($X$7:$X$14,MATCH(AH$10,$T$7:$T$14,0)),0)*$T$21)/30</f>
        <v>0</v>
      </c>
      <c r="AU154" s="10">
        <f>MAX(节奏总纲!G147-积分赛!$C$7,0)*(IFERROR(INDEX($W$7:$W$14,MATCH(AI$10,$T$7:$T$14,0)),0)*$T$20+IFERROR(INDEX($X$7:$X$14,MATCH(AI$10,$T$7:$T$14,0)),0)*$T$21)/30</f>
        <v>1054064.2076671647</v>
      </c>
      <c r="AV154" s="10">
        <f>MAX(节奏总纲!H147-积分赛!$C$7,0)*(IFERROR(INDEX($W$7:$W$14,MATCH(AJ$10,$T$7:$T$14,0)),0)*$T$20+IFERROR(INDEX($X$7:$X$14,MATCH(AJ$10,$T$7:$T$14,0)),0)*$T$21)/30</f>
        <v>3370967.6512377481</v>
      </c>
      <c r="BI154" s="10">
        <v>144</v>
      </c>
      <c r="BJ154" s="10">
        <f>MAX($BI154-积分赛!$C$7,0)*$BC$10/30</f>
        <v>380000</v>
      </c>
      <c r="BK154" s="10">
        <f>MAX($BI154-积分赛!$C$7,0)*$BC$10/30</f>
        <v>380000</v>
      </c>
      <c r="BL154" s="10">
        <f>MAX($BI154-积分赛!$C$7,0)*$BC$10/30</f>
        <v>380000</v>
      </c>
      <c r="BM154" s="10">
        <f>MAX($BI154-积分赛!$C$7,0)*$BC$10/30</f>
        <v>380000</v>
      </c>
      <c r="BN154" s="10">
        <f>MAX($BI154-积分赛!$C$7,0)*$BC$10/30</f>
        <v>380000</v>
      </c>
      <c r="BP154" s="10">
        <v>144</v>
      </c>
      <c r="BQ154" s="10">
        <f>MAX(节奏总纲!D147-积分赛!$C$7,0)*$BC$10/30</f>
        <v>71959392.033676952</v>
      </c>
      <c r="BR154" s="10">
        <f>MAX(节奏总纲!E147-积分赛!$C$7,0)*$BC$10/30</f>
        <v>60869451.599694081</v>
      </c>
      <c r="BS154" s="10">
        <f>MAX(节奏总纲!F147-积分赛!$C$7,0)*$BC$10/30</f>
        <v>48518471.805121846</v>
      </c>
      <c r="BT154" s="10">
        <f>MAX(节奏总纲!G147-积分赛!$C$7,0)*$BC$10/30</f>
        <v>34502920.054571673</v>
      </c>
      <c r="BU154" s="10">
        <f>MAX(节奏总纲!H147-积分赛!$C$7,0)*$BC$10/30</f>
        <v>18390439.995841507</v>
      </c>
    </row>
    <row r="155" spans="26:73" x14ac:dyDescent="0.15">
      <c r="Z155" s="10">
        <v>145</v>
      </c>
      <c r="AA155" s="10">
        <f>IFERROR(MAX($Z155-积分赛!$C$7,0)*INDEX($U$7:$U$14,MATCH(AA$10,$T$7:$T$14,0))/30,0)</f>
        <v>0</v>
      </c>
      <c r="AB155" s="10">
        <f>IFERROR(MAX($Z155-积分赛!$C$7,0)*INDEX($U$7:$U$14,MATCH(AB$10,$T$7:$T$14,0))/30,0)</f>
        <v>0</v>
      </c>
      <c r="AC155" s="10">
        <f>IFERROR(MAX($Z155-积分赛!$C$7,0)*INDEX($U$7:$U$14,MATCH(AC$10,$T$7:$T$14,0))/30,0)</f>
        <v>0</v>
      </c>
      <c r="AD155" s="10">
        <f>IFERROR(MAX($Z155-积分赛!$C$7,0)*INDEX($U$7:$U$14,MATCH(AD$10,$T$7:$T$14,0))/30,0)</f>
        <v>306666.66666666669</v>
      </c>
      <c r="AE155" s="10">
        <f>IFERROR(MAX($Z155-积分赛!$C$7,0)*INDEX($U$7:$U$14,MATCH(AE$10,$T$7:$T$14,0))/30,0)</f>
        <v>3833333.3333333335</v>
      </c>
      <c r="AF155" s="10">
        <f>MAX($Z155-积分赛!$C$7,0)*(IFERROR(INDEX($W$7:$W$14,MATCH(AF$10,$T$7:$T$14,0)),0)*$T$20+IFERROR(INDEX($X$7:$X$14,MATCH(AF$10,$T$7:$T$14,0)),0)*$T$21)/30</f>
        <v>0</v>
      </c>
      <c r="AG155" s="10">
        <f>MAX($Z155-积分赛!$C$7,0)*(IFERROR(INDEX($W$7:$W$14,MATCH(AG$10,$T$7:$T$14,0)),0)*$T$20+IFERROR(INDEX($X$7:$X$14,MATCH(AG$10,$T$7:$T$14,0)),0)*$T$21)/30</f>
        <v>0</v>
      </c>
      <c r="AH155" s="10">
        <f>MAX($Z155-积分赛!$C$7,0)*(IFERROR(INDEX($W$7:$W$14,MATCH(AH$10,$T$7:$T$14,0)),0)*$T$20+IFERROR(INDEX($X$7:$X$14,MATCH(AH$10,$T$7:$T$14,0)),0)*$T$21)/30</f>
        <v>0</v>
      </c>
      <c r="AI155" s="10">
        <f>MAX($Z155-积分赛!$C$7,0)*(IFERROR(INDEX($W$7:$W$14,MATCH(AI$10,$T$7:$T$14,0)),0)*$T$20+IFERROR(INDEX($X$7:$X$14,MATCH(AI$10,$T$7:$T$14,0)),0)*$T$21)/30</f>
        <v>11710.833333333334</v>
      </c>
      <c r="AJ155" s="10">
        <f>MAX($Z155-积分赛!$C$7,0)*(IFERROR(INDEX($W$7:$W$14,MATCH(AJ$10,$T$7:$T$14,0)),0)*$T$20+IFERROR(INDEX($X$7:$X$14,MATCH(AJ$10,$T$7:$T$14,0)),0)*$T$21)/30</f>
        <v>70265</v>
      </c>
      <c r="AL155" s="10">
        <v>145</v>
      </c>
      <c r="AM155" s="10">
        <f>IFERROR(MAX(节奏总纲!D148-积分赛!$C$7,0)*INDEX($U$7:$U$14,MATCH(AA$10,$T$7:$T$14,0))/30,0)</f>
        <v>0</v>
      </c>
      <c r="AN155" s="10">
        <f>IFERROR(MAX(节奏总纲!E148-积分赛!$C$7,0)*INDEX($U$7:$U$14,MATCH(AB$10,$T$7:$T$14,0))/30,0)</f>
        <v>0</v>
      </c>
      <c r="AO155" s="10">
        <f>IFERROR(MAX(节奏总纲!F148-积分赛!$C$7,0)*INDEX($U$7:$U$14,MATCH(AC$10,$T$7:$T$14,0))/30,0)</f>
        <v>0</v>
      </c>
      <c r="AP155" s="10">
        <f>IFERROR(MAX(节奏总纲!G148-积分赛!$C$7,0)*INDEX($U$7:$U$14,MATCH(AD$10,$T$7:$T$14,0))/30,0)</f>
        <v>29533678.320900902</v>
      </c>
      <c r="AQ155" s="10">
        <f>IFERROR(MAX(节奏总纲!H148-积分赛!$C$7,0)*INDEX($U$7:$U$14,MATCH(AE$10,$T$7:$T$14,0))/30,0)</f>
        <v>196558390.21715137</v>
      </c>
      <c r="AR155" s="10">
        <f>MAX(节奏总纲!D148-积分赛!$C$7,0)*(IFERROR(INDEX($W$7:$W$14,MATCH(AF$10,$T$7:$T$14,0)),0)*$T$20+IFERROR(INDEX($X$7:$X$14,MATCH(AF$10,$T$7:$T$14,0)),0)*$T$21)/30</f>
        <v>0</v>
      </c>
      <c r="AS155" s="10">
        <f>MAX(节奏总纲!E148-积分赛!$C$7,0)*(IFERROR(INDEX($W$7:$W$14,MATCH(AG$10,$T$7:$T$14,0)),0)*$T$20+IFERROR(INDEX($X$7:$X$14,MATCH(AG$10,$T$7:$T$14,0)),0)*$T$21)/30</f>
        <v>0</v>
      </c>
      <c r="AT155" s="10">
        <f>MAX(节奏总纲!F148-积分赛!$C$7,0)*(IFERROR(INDEX($W$7:$W$14,MATCH(AH$10,$T$7:$T$14,0)),0)*$T$20+IFERROR(INDEX($X$7:$X$14,MATCH(AH$10,$T$7:$T$14,0)),0)*$T$21)/30</f>
        <v>0</v>
      </c>
      <c r="AU155" s="10">
        <f>MAX(节奏总纲!G148-积分赛!$C$7,0)*(IFERROR(INDEX($W$7:$W$14,MATCH(AI$10,$T$7:$T$14,0)),0)*$T$20+IFERROR(INDEX($X$7:$X$14,MATCH(AI$10,$T$7:$T$14,0)),0)*$T$21)/30</f>
        <v>1127817.3408794031</v>
      </c>
      <c r="AV155" s="10">
        <f>MAX(节奏总纲!H148-积分赛!$C$7,0)*(IFERROR(INDEX($W$7:$W$14,MATCH(AJ$10,$T$7:$T$14,0)),0)*$T$20+IFERROR(INDEX($X$7:$X$14,MATCH(AJ$10,$T$7:$T$14,0)),0)*$T$21)/30</f>
        <v>3602915.2926803846</v>
      </c>
      <c r="BI155" s="10">
        <v>145</v>
      </c>
      <c r="BJ155" s="10">
        <f>MAX($BI155-积分赛!$C$7,0)*$BC$10/30</f>
        <v>383333.33333333331</v>
      </c>
      <c r="BK155" s="10">
        <f>MAX($BI155-积分赛!$C$7,0)*$BC$10/30</f>
        <v>383333.33333333331</v>
      </c>
      <c r="BL155" s="10">
        <f>MAX($BI155-积分赛!$C$7,0)*$BC$10/30</f>
        <v>383333.33333333331</v>
      </c>
      <c r="BM155" s="10">
        <f>MAX($BI155-积分赛!$C$7,0)*$BC$10/30</f>
        <v>383333.33333333331</v>
      </c>
      <c r="BN155" s="10">
        <f>MAX($BI155-积分赛!$C$7,0)*$BC$10/30</f>
        <v>383333.33333333331</v>
      </c>
      <c r="BP155" s="10">
        <v>145</v>
      </c>
      <c r="BQ155" s="10">
        <f>MAX(节奏总纲!D148-积分赛!$C$7,0)*$BC$10/30</f>
        <v>77131583.35306932</v>
      </c>
      <c r="BR155" s="10">
        <f>MAX(节奏总纲!E148-积分赛!$C$7,0)*$BC$10/30</f>
        <v>65338320.575055644</v>
      </c>
      <c r="BS155" s="10">
        <f>MAX(节奏总纲!F148-积分赛!$C$7,0)*$BC$10/30</f>
        <v>52069934.554998331</v>
      </c>
      <c r="BT155" s="10">
        <f>MAX(节奏总纲!G148-积分赛!$C$7,0)*$BC$10/30</f>
        <v>36917097.901126124</v>
      </c>
      <c r="BU155" s="10">
        <f>MAX(节奏总纲!H148-积分赛!$C$7,0)*$BC$10/30</f>
        <v>19655839.021715138</v>
      </c>
    </row>
    <row r="156" spans="26:73" x14ac:dyDescent="0.15">
      <c r="Z156" s="10">
        <v>146</v>
      </c>
      <c r="AA156" s="10">
        <f>IFERROR(MAX($Z156-积分赛!$C$7,0)*INDEX($U$7:$U$14,MATCH(AA$10,$T$7:$T$14,0))/30,0)</f>
        <v>0</v>
      </c>
      <c r="AB156" s="10">
        <f>IFERROR(MAX($Z156-积分赛!$C$7,0)*INDEX($U$7:$U$14,MATCH(AB$10,$T$7:$T$14,0))/30,0)</f>
        <v>0</v>
      </c>
      <c r="AC156" s="10">
        <f>IFERROR(MAX($Z156-积分赛!$C$7,0)*INDEX($U$7:$U$14,MATCH(AC$10,$T$7:$T$14,0))/30,0)</f>
        <v>0</v>
      </c>
      <c r="AD156" s="10">
        <f>IFERROR(MAX($Z156-积分赛!$C$7,0)*INDEX($U$7:$U$14,MATCH(AD$10,$T$7:$T$14,0))/30,0)</f>
        <v>309333.33333333331</v>
      </c>
      <c r="AE156" s="10">
        <f>IFERROR(MAX($Z156-积分赛!$C$7,0)*INDEX($U$7:$U$14,MATCH(AE$10,$T$7:$T$14,0))/30,0)</f>
        <v>3866666.6666666665</v>
      </c>
      <c r="AF156" s="10">
        <f>MAX($Z156-积分赛!$C$7,0)*(IFERROR(INDEX($W$7:$W$14,MATCH(AF$10,$T$7:$T$14,0)),0)*$T$20+IFERROR(INDEX($X$7:$X$14,MATCH(AF$10,$T$7:$T$14,0)),0)*$T$21)/30</f>
        <v>0</v>
      </c>
      <c r="AG156" s="10">
        <f>MAX($Z156-积分赛!$C$7,0)*(IFERROR(INDEX($W$7:$W$14,MATCH(AG$10,$T$7:$T$14,0)),0)*$T$20+IFERROR(INDEX($X$7:$X$14,MATCH(AG$10,$T$7:$T$14,0)),0)*$T$21)/30</f>
        <v>0</v>
      </c>
      <c r="AH156" s="10">
        <f>MAX($Z156-积分赛!$C$7,0)*(IFERROR(INDEX($W$7:$W$14,MATCH(AH$10,$T$7:$T$14,0)),0)*$T$20+IFERROR(INDEX($X$7:$X$14,MATCH(AH$10,$T$7:$T$14,0)),0)*$T$21)/30</f>
        <v>0</v>
      </c>
      <c r="AI156" s="10">
        <f>MAX($Z156-积分赛!$C$7,0)*(IFERROR(INDEX($W$7:$W$14,MATCH(AI$10,$T$7:$T$14,0)),0)*$T$20+IFERROR(INDEX($X$7:$X$14,MATCH(AI$10,$T$7:$T$14,0)),0)*$T$21)/30</f>
        <v>11812.666666666666</v>
      </c>
      <c r="AJ156" s="10">
        <f>MAX($Z156-积分赛!$C$7,0)*(IFERROR(INDEX($W$7:$W$14,MATCH(AJ$10,$T$7:$T$14,0)),0)*$T$20+IFERROR(INDEX($X$7:$X$14,MATCH(AJ$10,$T$7:$T$14,0)),0)*$T$21)/30</f>
        <v>70876</v>
      </c>
      <c r="AL156" s="10">
        <v>146</v>
      </c>
      <c r="AM156" s="10">
        <f>IFERROR(MAX(节奏总纲!D149-积分赛!$C$7,0)*INDEX($U$7:$U$14,MATCH(AA$10,$T$7:$T$14,0))/30,0)</f>
        <v>0</v>
      </c>
      <c r="AN156" s="10">
        <f>IFERROR(MAX(节奏总纲!E149-积分赛!$C$7,0)*INDEX($U$7:$U$14,MATCH(AB$10,$T$7:$T$14,0))/30,0)</f>
        <v>0</v>
      </c>
      <c r="AO156" s="10">
        <f>IFERROR(MAX(节奏总纲!F149-积分赛!$C$7,0)*INDEX($U$7:$U$14,MATCH(AC$10,$T$7:$T$14,0))/30,0)</f>
        <v>0</v>
      </c>
      <c r="AP156" s="10">
        <f>IFERROR(MAX(节奏总纲!G149-积分赛!$C$7,0)*INDEX($U$7:$U$14,MATCH(AD$10,$T$7:$T$14,0))/30,0)</f>
        <v>31513562.287158668</v>
      </c>
      <c r="AQ156" s="10">
        <f>IFERROR(MAX(节奏总纲!H149-积分赛!$C$7,0)*INDEX($U$7:$U$14,MATCH(AE$10,$T$7:$T$14,0))/30,0)</f>
        <v>209827926.91624689</v>
      </c>
      <c r="AR156" s="10">
        <f>MAX(节奏总纲!D149-积分赛!$C$7,0)*(IFERROR(INDEX($W$7:$W$14,MATCH(AF$10,$T$7:$T$14,0)),0)*$T$20+IFERROR(INDEX($X$7:$X$14,MATCH(AF$10,$T$7:$T$14,0)),0)*$T$21)/30</f>
        <v>0</v>
      </c>
      <c r="AS156" s="10">
        <f>MAX(节奏总纲!E149-积分赛!$C$7,0)*(IFERROR(INDEX($W$7:$W$14,MATCH(AG$10,$T$7:$T$14,0)),0)*$T$20+IFERROR(INDEX($X$7:$X$14,MATCH(AG$10,$T$7:$T$14,0)),0)*$T$21)/30</f>
        <v>0</v>
      </c>
      <c r="AT156" s="10">
        <f>MAX(节奏总纲!F149-积分赛!$C$7,0)*(IFERROR(INDEX($W$7:$W$14,MATCH(AH$10,$T$7:$T$14,0)),0)*$T$20+IFERROR(INDEX($X$7:$X$14,MATCH(AH$10,$T$7:$T$14,0)),0)*$T$21)/30</f>
        <v>0</v>
      </c>
      <c r="AU156" s="10">
        <f>MAX(节奏总纲!G149-积分赛!$C$7,0)*(IFERROR(INDEX($W$7:$W$14,MATCH(AI$10,$T$7:$T$14,0)),0)*$T$20+IFERROR(INDEX($X$7:$X$14,MATCH(AI$10,$T$7:$T$14,0)),0)*$T$21)/30</f>
        <v>1203424.1598408716</v>
      </c>
      <c r="AV156" s="10">
        <f>MAX(节奏总纲!H149-积分赛!$C$7,0)*(IFERROR(INDEX($W$7:$W$14,MATCH(AJ$10,$T$7:$T$14,0)),0)*$T$20+IFERROR(INDEX($X$7:$X$14,MATCH(AJ$10,$T$7:$T$14,0)),0)*$T$21)/30</f>
        <v>3846145.900374806</v>
      </c>
      <c r="BI156" s="10">
        <v>146</v>
      </c>
      <c r="BJ156" s="10">
        <f>MAX($BI156-积分赛!$C$7,0)*$BC$10/30</f>
        <v>386666.66666666669</v>
      </c>
      <c r="BK156" s="10">
        <f>MAX($BI156-积分赛!$C$7,0)*$BC$10/30</f>
        <v>386666.66666666669</v>
      </c>
      <c r="BL156" s="10">
        <f>MAX($BI156-积分赛!$C$7,0)*$BC$10/30</f>
        <v>386666.66666666669</v>
      </c>
      <c r="BM156" s="10">
        <f>MAX($BI156-积分赛!$C$7,0)*$BC$10/30</f>
        <v>386666.66666666669</v>
      </c>
      <c r="BN156" s="10">
        <f>MAX($BI156-积分赛!$C$7,0)*$BC$10/30</f>
        <v>386666.66666666669</v>
      </c>
      <c r="BP156" s="10">
        <v>146</v>
      </c>
      <c r="BQ156" s="10">
        <f>MAX(节奏总纲!D149-积分赛!$C$7,0)*$BC$10/30</f>
        <v>82675000.752354488</v>
      </c>
      <c r="BR156" s="10">
        <f>MAX(节奏总纲!E149-积分赛!$C$7,0)*$BC$10/30</f>
        <v>70018703.137319505</v>
      </c>
      <c r="BS156" s="10">
        <f>MAX(节奏总纲!F149-积分赛!$C$7,0)*$BC$10/30</f>
        <v>55632408.006560296</v>
      </c>
      <c r="BT156" s="10">
        <f>MAX(节奏总纲!G149-积分赛!$C$7,0)*$BC$10/30</f>
        <v>39391952.858948335</v>
      </c>
      <c r="BU156" s="10">
        <f>MAX(节奏总纲!H149-积分赛!$C$7,0)*$BC$10/30</f>
        <v>20982792.69162469</v>
      </c>
    </row>
    <row r="157" spans="26:73" x14ac:dyDescent="0.15">
      <c r="Z157" s="10">
        <v>147</v>
      </c>
      <c r="AA157" s="10">
        <f>IFERROR(MAX($Z157-积分赛!$C$7,0)*INDEX($U$7:$U$14,MATCH(AA$10,$T$7:$T$14,0))/30,0)</f>
        <v>0</v>
      </c>
      <c r="AB157" s="10">
        <f>IFERROR(MAX($Z157-积分赛!$C$7,0)*INDEX($U$7:$U$14,MATCH(AB$10,$T$7:$T$14,0))/30,0)</f>
        <v>0</v>
      </c>
      <c r="AC157" s="10">
        <f>IFERROR(MAX($Z157-积分赛!$C$7,0)*INDEX($U$7:$U$14,MATCH(AC$10,$T$7:$T$14,0))/30,0)</f>
        <v>0</v>
      </c>
      <c r="AD157" s="10">
        <f>IFERROR(MAX($Z157-积分赛!$C$7,0)*INDEX($U$7:$U$14,MATCH(AD$10,$T$7:$T$14,0))/30,0)</f>
        <v>312000</v>
      </c>
      <c r="AE157" s="10">
        <f>IFERROR(MAX($Z157-积分赛!$C$7,0)*INDEX($U$7:$U$14,MATCH(AE$10,$T$7:$T$14,0))/30,0)</f>
        <v>3900000</v>
      </c>
      <c r="AF157" s="10">
        <f>MAX($Z157-积分赛!$C$7,0)*(IFERROR(INDEX($W$7:$W$14,MATCH(AF$10,$T$7:$T$14,0)),0)*$T$20+IFERROR(INDEX($X$7:$X$14,MATCH(AF$10,$T$7:$T$14,0)),0)*$T$21)/30</f>
        <v>0</v>
      </c>
      <c r="AG157" s="10">
        <f>MAX($Z157-积分赛!$C$7,0)*(IFERROR(INDEX($W$7:$W$14,MATCH(AG$10,$T$7:$T$14,0)),0)*$T$20+IFERROR(INDEX($X$7:$X$14,MATCH(AG$10,$T$7:$T$14,0)),0)*$T$21)/30</f>
        <v>0</v>
      </c>
      <c r="AH157" s="10">
        <f>MAX($Z157-积分赛!$C$7,0)*(IFERROR(INDEX($W$7:$W$14,MATCH(AH$10,$T$7:$T$14,0)),0)*$T$20+IFERROR(INDEX($X$7:$X$14,MATCH(AH$10,$T$7:$T$14,0)),0)*$T$21)/30</f>
        <v>0</v>
      </c>
      <c r="AI157" s="10">
        <f>MAX($Z157-积分赛!$C$7,0)*(IFERROR(INDEX($W$7:$W$14,MATCH(AI$10,$T$7:$T$14,0)),0)*$T$20+IFERROR(INDEX($X$7:$X$14,MATCH(AI$10,$T$7:$T$14,0)),0)*$T$21)/30</f>
        <v>11914.5</v>
      </c>
      <c r="AJ157" s="10">
        <f>MAX($Z157-积分赛!$C$7,0)*(IFERROR(INDEX($W$7:$W$14,MATCH(AJ$10,$T$7:$T$14,0)),0)*$T$20+IFERROR(INDEX($X$7:$X$14,MATCH(AJ$10,$T$7:$T$14,0)),0)*$T$21)/30</f>
        <v>71487</v>
      </c>
      <c r="AL157" s="10">
        <v>147</v>
      </c>
      <c r="AM157" s="10">
        <f>IFERROR(MAX(节奏总纲!D150-积分赛!$C$7,0)*INDEX($U$7:$U$14,MATCH(AA$10,$T$7:$T$14,0))/30,0)</f>
        <v>0</v>
      </c>
      <c r="AN157" s="10">
        <f>IFERROR(MAX(节奏总纲!E150-积分赛!$C$7,0)*INDEX($U$7:$U$14,MATCH(AB$10,$T$7:$T$14,0))/30,0)</f>
        <v>0</v>
      </c>
      <c r="AO157" s="10">
        <f>IFERROR(MAX(节奏总纲!F150-积分赛!$C$7,0)*INDEX($U$7:$U$14,MATCH(AC$10,$T$7:$T$14,0))/30,0)</f>
        <v>0</v>
      </c>
      <c r="AP157" s="10">
        <f>IFERROR(MAX(节奏总纲!G150-积分赛!$C$7,0)*INDEX($U$7:$U$14,MATCH(AD$10,$T$7:$T$14,0))/30,0)</f>
        <v>33603800.384522654</v>
      </c>
      <c r="AQ157" s="10">
        <f>IFERROR(MAX(节奏总纲!H150-积分赛!$C$7,0)*INDEX($U$7:$U$14,MATCH(AE$10,$T$7:$T$14,0))/30,0)</f>
        <v>224161939.99135721</v>
      </c>
      <c r="AR157" s="10">
        <f>MAX(节奏总纲!D150-积分赛!$C$7,0)*(IFERROR(INDEX($W$7:$W$14,MATCH(AF$10,$T$7:$T$14,0)),0)*$T$20+IFERROR(INDEX($X$7:$X$14,MATCH(AF$10,$T$7:$T$14,0)),0)*$T$21)/30</f>
        <v>0</v>
      </c>
      <c r="AS157" s="10">
        <f>MAX(节奏总纲!E150-积分赛!$C$7,0)*(IFERROR(INDEX($W$7:$W$14,MATCH(AG$10,$T$7:$T$14,0)),0)*$T$20+IFERROR(INDEX($X$7:$X$14,MATCH(AG$10,$T$7:$T$14,0)),0)*$T$21)/30</f>
        <v>0</v>
      </c>
      <c r="AT157" s="10">
        <f>MAX(节奏总纲!F150-积分赛!$C$7,0)*(IFERROR(INDEX($W$7:$W$14,MATCH(AH$10,$T$7:$T$14,0)),0)*$T$20+IFERROR(INDEX($X$7:$X$14,MATCH(AH$10,$T$7:$T$14,0)),0)*$T$21)/30</f>
        <v>0</v>
      </c>
      <c r="AU157" s="10">
        <f>MAX(节奏总纲!G150-积分赛!$C$7,0)*(IFERROR(INDEX($W$7:$W$14,MATCH(AI$10,$T$7:$T$14,0)),0)*$T$20+IFERROR(INDEX($X$7:$X$14,MATCH(AI$10,$T$7:$T$14,0)),0)*$T$21)/30</f>
        <v>1283245.1271839589</v>
      </c>
      <c r="AV157" s="10">
        <f>MAX(节奏总纲!H150-积分赛!$C$7,0)*(IFERROR(INDEX($W$7:$W$14,MATCH(AJ$10,$T$7:$T$14,0)),0)*$T$20+IFERROR(INDEX($X$7:$X$14,MATCH(AJ$10,$T$7:$T$14,0)),0)*$T$21)/30</f>
        <v>4108888.3600415778</v>
      </c>
      <c r="BI157" s="10">
        <v>147</v>
      </c>
      <c r="BJ157" s="10">
        <f>MAX($BI157-积分赛!$C$7,0)*$BC$10/30</f>
        <v>390000</v>
      </c>
      <c r="BK157" s="10">
        <f>MAX($BI157-积分赛!$C$7,0)*$BC$10/30</f>
        <v>390000</v>
      </c>
      <c r="BL157" s="10">
        <f>MAX($BI157-积分赛!$C$7,0)*$BC$10/30</f>
        <v>390000</v>
      </c>
      <c r="BM157" s="10">
        <f>MAX($BI157-积分赛!$C$7,0)*$BC$10/30</f>
        <v>390000</v>
      </c>
      <c r="BN157" s="10">
        <f>MAX($BI157-积分赛!$C$7,0)*$BC$10/30</f>
        <v>390000</v>
      </c>
      <c r="BP157" s="10">
        <v>147</v>
      </c>
      <c r="BQ157" s="10">
        <f>MAX(节奏总纲!D150-积分赛!$C$7,0)*$BC$10/30</f>
        <v>88616288.412670299</v>
      </c>
      <c r="BR157" s="10">
        <f>MAX(节奏总纲!E150-积分赛!$C$7,0)*$BC$10/30</f>
        <v>74803162.306817532</v>
      </c>
      <c r="BS157" s="10">
        <f>MAX(节奏总纲!F150-积分赛!$C$7,0)*$BC$10/30</f>
        <v>59357656.494171627</v>
      </c>
      <c r="BT157" s="10">
        <f>MAX(节奏总纲!G150-积分赛!$C$7,0)*$BC$10/30</f>
        <v>42004750.480653323</v>
      </c>
      <c r="BU157" s="10">
        <f>MAX(节奏总纲!H150-积分赛!$C$7,0)*$BC$10/30</f>
        <v>22416193.999135721</v>
      </c>
    </row>
    <row r="158" spans="26:73" x14ac:dyDescent="0.15">
      <c r="Z158" s="10">
        <v>148</v>
      </c>
      <c r="AA158" s="10">
        <f>IFERROR(MAX($Z158-积分赛!$C$7,0)*INDEX($U$7:$U$14,MATCH(AA$10,$T$7:$T$14,0))/30,0)</f>
        <v>0</v>
      </c>
      <c r="AB158" s="10">
        <f>IFERROR(MAX($Z158-积分赛!$C$7,0)*INDEX($U$7:$U$14,MATCH(AB$10,$T$7:$T$14,0))/30,0)</f>
        <v>0</v>
      </c>
      <c r="AC158" s="10">
        <f>IFERROR(MAX($Z158-积分赛!$C$7,0)*INDEX($U$7:$U$14,MATCH(AC$10,$T$7:$T$14,0))/30,0)</f>
        <v>0</v>
      </c>
      <c r="AD158" s="10">
        <f>IFERROR(MAX($Z158-积分赛!$C$7,0)*INDEX($U$7:$U$14,MATCH(AD$10,$T$7:$T$14,0))/30,0)</f>
        <v>314666.66666666669</v>
      </c>
      <c r="AE158" s="10">
        <f>IFERROR(MAX($Z158-积分赛!$C$7,0)*INDEX($U$7:$U$14,MATCH(AE$10,$T$7:$T$14,0))/30,0)</f>
        <v>3933333.3333333335</v>
      </c>
      <c r="AF158" s="10">
        <f>MAX($Z158-积分赛!$C$7,0)*(IFERROR(INDEX($W$7:$W$14,MATCH(AF$10,$T$7:$T$14,0)),0)*$T$20+IFERROR(INDEX($X$7:$X$14,MATCH(AF$10,$T$7:$T$14,0)),0)*$T$21)/30</f>
        <v>0</v>
      </c>
      <c r="AG158" s="10">
        <f>MAX($Z158-积分赛!$C$7,0)*(IFERROR(INDEX($W$7:$W$14,MATCH(AG$10,$T$7:$T$14,0)),0)*$T$20+IFERROR(INDEX($X$7:$X$14,MATCH(AG$10,$T$7:$T$14,0)),0)*$T$21)/30</f>
        <v>0</v>
      </c>
      <c r="AH158" s="10">
        <f>MAX($Z158-积分赛!$C$7,0)*(IFERROR(INDEX($W$7:$W$14,MATCH(AH$10,$T$7:$T$14,0)),0)*$T$20+IFERROR(INDEX($X$7:$X$14,MATCH(AH$10,$T$7:$T$14,0)),0)*$T$21)/30</f>
        <v>0</v>
      </c>
      <c r="AI158" s="10">
        <f>MAX($Z158-积分赛!$C$7,0)*(IFERROR(INDEX($W$7:$W$14,MATCH(AI$10,$T$7:$T$14,0)),0)*$T$20+IFERROR(INDEX($X$7:$X$14,MATCH(AI$10,$T$7:$T$14,0)),0)*$T$21)/30</f>
        <v>12016.333333333334</v>
      </c>
      <c r="AJ158" s="10">
        <f>MAX($Z158-积分赛!$C$7,0)*(IFERROR(INDEX($W$7:$W$14,MATCH(AJ$10,$T$7:$T$14,0)),0)*$T$20+IFERROR(INDEX($X$7:$X$14,MATCH(AJ$10,$T$7:$T$14,0)),0)*$T$21)/30</f>
        <v>72098</v>
      </c>
      <c r="AL158" s="10">
        <v>148</v>
      </c>
      <c r="AM158" s="10">
        <f>IFERROR(MAX(节奏总纲!D151-积分赛!$C$7,0)*INDEX($U$7:$U$14,MATCH(AA$10,$T$7:$T$14,0))/30,0)</f>
        <v>0</v>
      </c>
      <c r="AN158" s="10">
        <f>IFERROR(MAX(节奏总纲!E151-积分赛!$C$7,0)*INDEX($U$7:$U$14,MATCH(AB$10,$T$7:$T$14,0))/30,0)</f>
        <v>0</v>
      </c>
      <c r="AO158" s="10">
        <f>IFERROR(MAX(节奏总纲!F151-积分赛!$C$7,0)*INDEX($U$7:$U$14,MATCH(AC$10,$T$7:$T$14,0))/30,0)</f>
        <v>0</v>
      </c>
      <c r="AP158" s="10">
        <f>IFERROR(MAX(节奏总纲!G151-积分赛!$C$7,0)*INDEX($U$7:$U$14,MATCH(AD$10,$T$7:$T$14,0))/30,0)</f>
        <v>36097561.408283621</v>
      </c>
      <c r="AQ158" s="10">
        <f>IFERROR(MAX(节奏总纲!H151-积分赛!$C$7,0)*INDEX($U$7:$U$14,MATCH(AE$10,$T$7:$T$14,0))/30,0)</f>
        <v>240418283.26227954</v>
      </c>
      <c r="AR158" s="10">
        <f>MAX(节奏总纲!D151-积分赛!$C$7,0)*(IFERROR(INDEX($W$7:$W$14,MATCH(AF$10,$T$7:$T$14,0)),0)*$T$20+IFERROR(INDEX($X$7:$X$14,MATCH(AF$10,$T$7:$T$14,0)),0)*$T$21)/30</f>
        <v>0</v>
      </c>
      <c r="AS158" s="10">
        <f>MAX(节奏总纲!E151-积分赛!$C$7,0)*(IFERROR(INDEX($W$7:$W$14,MATCH(AG$10,$T$7:$T$14,0)),0)*$T$20+IFERROR(INDEX($X$7:$X$14,MATCH(AG$10,$T$7:$T$14,0)),0)*$T$21)/30</f>
        <v>0</v>
      </c>
      <c r="AT158" s="10">
        <f>MAX(节奏总纲!F151-积分赛!$C$7,0)*(IFERROR(INDEX($W$7:$W$14,MATCH(AH$10,$T$7:$T$14,0)),0)*$T$20+IFERROR(INDEX($X$7:$X$14,MATCH(AH$10,$T$7:$T$14,0)),0)*$T$21)/30</f>
        <v>0</v>
      </c>
      <c r="AU158" s="10">
        <f>MAX(节奏总纲!G151-积分赛!$C$7,0)*(IFERROR(INDEX($W$7:$W$14,MATCH(AI$10,$T$7:$T$14,0)),0)*$T$20+IFERROR(INDEX($X$7:$X$14,MATCH(AI$10,$T$7:$T$14,0)),0)*$T$21)/30</f>
        <v>1378475.6262788312</v>
      </c>
      <c r="AV158" s="10">
        <f>MAX(节奏总纲!H151-积分赛!$C$7,0)*(IFERROR(INDEX($W$7:$W$14,MATCH(AJ$10,$T$7:$T$14,0)),0)*$T$20+IFERROR(INDEX($X$7:$X$14,MATCH(AJ$10,$T$7:$T$14,0)),0)*$T$21)/30</f>
        <v>4406867.132197584</v>
      </c>
      <c r="BI158" s="10">
        <v>148</v>
      </c>
      <c r="BJ158" s="10">
        <f>MAX($BI158-积分赛!$C$7,0)*$BC$10/30</f>
        <v>393333.33333333331</v>
      </c>
      <c r="BK158" s="10">
        <f>MAX($BI158-积分赛!$C$7,0)*$BC$10/30</f>
        <v>393333.33333333331</v>
      </c>
      <c r="BL158" s="10">
        <f>MAX($BI158-积分赛!$C$7,0)*$BC$10/30</f>
        <v>393333.33333333331</v>
      </c>
      <c r="BM158" s="10">
        <f>MAX($BI158-积分赛!$C$7,0)*$BC$10/30</f>
        <v>393333.33333333331</v>
      </c>
      <c r="BN158" s="10">
        <f>MAX($BI158-积分赛!$C$7,0)*$BC$10/30</f>
        <v>393333.33333333331</v>
      </c>
      <c r="BP158" s="10">
        <v>148</v>
      </c>
      <c r="BQ158" s="10">
        <f>MAX(节奏总纲!D151-积分赛!$C$7,0)*$BC$10/30</f>
        <v>94984002.860291272</v>
      </c>
      <c r="BR158" s="10">
        <f>MAX(节奏总纲!E151-积分赛!$C$7,0)*$BC$10/30</f>
        <v>80179423.614943936</v>
      </c>
      <c r="BS158" s="10">
        <f>MAX(节奏总纲!F151-积分赛!$C$7,0)*$BC$10/30</f>
        <v>63663332.318111323</v>
      </c>
      <c r="BT158" s="10">
        <f>MAX(节奏总纲!G151-积分赛!$C$7,0)*$BC$10/30</f>
        <v>45121951.760354534</v>
      </c>
      <c r="BU158" s="10">
        <f>MAX(节奏总纲!H151-积分赛!$C$7,0)*$BC$10/30</f>
        <v>24041828.326227956</v>
      </c>
    </row>
    <row r="159" spans="26:73" x14ac:dyDescent="0.15">
      <c r="Z159" s="10">
        <v>149</v>
      </c>
      <c r="AA159" s="10">
        <f>IFERROR(MAX($Z159-积分赛!$C$7,0)*INDEX($U$7:$U$14,MATCH(AA$10,$T$7:$T$14,0))/30,0)</f>
        <v>0</v>
      </c>
      <c r="AB159" s="10">
        <f>IFERROR(MAX($Z159-积分赛!$C$7,0)*INDEX($U$7:$U$14,MATCH(AB$10,$T$7:$T$14,0))/30,0)</f>
        <v>0</v>
      </c>
      <c r="AC159" s="10">
        <f>IFERROR(MAX($Z159-积分赛!$C$7,0)*INDEX($U$7:$U$14,MATCH(AC$10,$T$7:$T$14,0))/30,0)</f>
        <v>0</v>
      </c>
      <c r="AD159" s="10">
        <f>IFERROR(MAX($Z159-积分赛!$C$7,0)*INDEX($U$7:$U$14,MATCH(AD$10,$T$7:$T$14,0))/30,0)</f>
        <v>317333.33333333331</v>
      </c>
      <c r="AE159" s="10">
        <f>IFERROR(MAX($Z159-积分赛!$C$7,0)*INDEX($U$7:$U$14,MATCH(AE$10,$T$7:$T$14,0))/30,0)</f>
        <v>3966666.6666666665</v>
      </c>
      <c r="AF159" s="10">
        <f>MAX($Z159-积分赛!$C$7,0)*(IFERROR(INDEX($W$7:$W$14,MATCH(AF$10,$T$7:$T$14,0)),0)*$T$20+IFERROR(INDEX($X$7:$X$14,MATCH(AF$10,$T$7:$T$14,0)),0)*$T$21)/30</f>
        <v>0</v>
      </c>
      <c r="AG159" s="10">
        <f>MAX($Z159-积分赛!$C$7,0)*(IFERROR(INDEX($W$7:$W$14,MATCH(AG$10,$T$7:$T$14,0)),0)*$T$20+IFERROR(INDEX($X$7:$X$14,MATCH(AG$10,$T$7:$T$14,0)),0)*$T$21)/30</f>
        <v>0</v>
      </c>
      <c r="AH159" s="10">
        <f>MAX($Z159-积分赛!$C$7,0)*(IFERROR(INDEX($W$7:$W$14,MATCH(AH$10,$T$7:$T$14,0)),0)*$T$20+IFERROR(INDEX($X$7:$X$14,MATCH(AH$10,$T$7:$T$14,0)),0)*$T$21)/30</f>
        <v>0</v>
      </c>
      <c r="AI159" s="10">
        <f>MAX($Z159-积分赛!$C$7,0)*(IFERROR(INDEX($W$7:$W$14,MATCH(AI$10,$T$7:$T$14,0)),0)*$T$20+IFERROR(INDEX($X$7:$X$14,MATCH(AI$10,$T$7:$T$14,0)),0)*$T$21)/30</f>
        <v>12118.166666666666</v>
      </c>
      <c r="AJ159" s="10">
        <f>MAX($Z159-积分赛!$C$7,0)*(IFERROR(INDEX($W$7:$W$14,MATCH(AJ$10,$T$7:$T$14,0)),0)*$T$20+IFERROR(INDEX($X$7:$X$14,MATCH(AJ$10,$T$7:$T$14,0)),0)*$T$21)/30</f>
        <v>72709</v>
      </c>
      <c r="AL159" s="10">
        <v>149</v>
      </c>
      <c r="AM159" s="10">
        <f>IFERROR(MAX(节奏总纲!D152-积分赛!$C$7,0)*INDEX($U$7:$U$14,MATCH(AA$10,$T$7:$T$14,0))/30,0)</f>
        <v>0</v>
      </c>
      <c r="AN159" s="10">
        <f>IFERROR(MAX(节奏总纲!E152-积分赛!$C$7,0)*INDEX($U$7:$U$14,MATCH(AB$10,$T$7:$T$14,0))/30,0)</f>
        <v>0</v>
      </c>
      <c r="AO159" s="10">
        <f>IFERROR(MAX(节奏总纲!F152-积分赛!$C$7,0)*INDEX($U$7:$U$14,MATCH(AC$10,$T$7:$T$14,0))/30,0)</f>
        <v>0</v>
      </c>
      <c r="AP159" s="10">
        <f>IFERROR(MAX(节奏总纲!G152-积分赛!$C$7,0)*INDEX($U$7:$U$14,MATCH(AD$10,$T$7:$T$14,0))/30,0)</f>
        <v>38718699.384618975</v>
      </c>
      <c r="AQ159" s="10">
        <f>IFERROR(MAX(节奏总纲!H152-积分赛!$C$7,0)*INDEX($U$7:$U$14,MATCH(AE$10,$T$7:$T$14,0))/30,0)</f>
        <v>257950134.31476367</v>
      </c>
      <c r="AR159" s="10">
        <f>MAX(节奏总纲!D152-积分赛!$C$7,0)*(IFERROR(INDEX($W$7:$W$14,MATCH(AF$10,$T$7:$T$14,0)),0)*$T$20+IFERROR(INDEX($X$7:$X$14,MATCH(AF$10,$T$7:$T$14,0)),0)*$T$21)/30</f>
        <v>0</v>
      </c>
      <c r="AS159" s="10">
        <f>MAX(节奏总纲!E152-积分赛!$C$7,0)*(IFERROR(INDEX($W$7:$W$14,MATCH(AG$10,$T$7:$T$14,0)),0)*$T$20+IFERROR(INDEX($X$7:$X$14,MATCH(AG$10,$T$7:$T$14,0)),0)*$T$21)/30</f>
        <v>0</v>
      </c>
      <c r="AT159" s="10">
        <f>MAX(节奏总纲!F152-积分赛!$C$7,0)*(IFERROR(INDEX($W$7:$W$14,MATCH(AH$10,$T$7:$T$14,0)),0)*$T$20+IFERROR(INDEX($X$7:$X$14,MATCH(AH$10,$T$7:$T$14,0)),0)*$T$21)/30</f>
        <v>0</v>
      </c>
      <c r="AU159" s="10">
        <f>MAX(节奏总纲!G152-积分赛!$C$7,0)*(IFERROR(INDEX($W$7:$W$14,MATCH(AI$10,$T$7:$T$14,0)),0)*$T$20+IFERROR(INDEX($X$7:$X$14,MATCH(AI$10,$T$7:$T$14,0)),0)*$T$21)/30</f>
        <v>1478570.3327501372</v>
      </c>
      <c r="AV159" s="10">
        <f>MAX(节奏总纲!H152-积分赛!$C$7,0)*(IFERROR(INDEX($W$7:$W$14,MATCH(AJ$10,$T$7:$T$14,0)),0)*$T$20+IFERROR(INDEX($X$7:$X$14,MATCH(AJ$10,$T$7:$T$14,0)),0)*$T$21)/30</f>
        <v>4728225.9619896179</v>
      </c>
      <c r="BI159" s="10">
        <v>149</v>
      </c>
      <c r="BJ159" s="10">
        <f>MAX($BI159-积分赛!$C$7,0)*$BC$10/30</f>
        <v>396666.66666666669</v>
      </c>
      <c r="BK159" s="10">
        <f>MAX($BI159-积分赛!$C$7,0)*$BC$10/30</f>
        <v>396666.66666666669</v>
      </c>
      <c r="BL159" s="10">
        <f>MAX($BI159-积分赛!$C$7,0)*$BC$10/30</f>
        <v>396666.66666666669</v>
      </c>
      <c r="BM159" s="10">
        <f>MAX($BI159-积分赛!$C$7,0)*$BC$10/30</f>
        <v>396666.66666666669</v>
      </c>
      <c r="BN159" s="10">
        <f>MAX($BI159-积分赛!$C$7,0)*$BC$10/30</f>
        <v>396666.66666666669</v>
      </c>
      <c r="BP159" s="10">
        <v>149</v>
      </c>
      <c r="BQ159" s="10">
        <f>MAX(节奏总纲!D152-积分赛!$C$7,0)*$BC$10/30</f>
        <v>101808750.2222604</v>
      </c>
      <c r="BR159" s="10">
        <f>MAX(节奏总纲!E152-积分赛!$C$7,0)*$BC$10/30</f>
        <v>85961939.562698901</v>
      </c>
      <c r="BS159" s="10">
        <f>MAX(节奏总纲!F152-积分赛!$C$7,0)*$BC$10/30</f>
        <v>68301153.149181172</v>
      </c>
      <c r="BT159" s="10">
        <f>MAX(节奏总纲!G152-积分赛!$C$7,0)*$BC$10/30</f>
        <v>48398374.230773717</v>
      </c>
      <c r="BU159" s="10">
        <f>MAX(节奏总纲!H152-积分赛!$C$7,0)*$BC$10/30</f>
        <v>25795013.431476366</v>
      </c>
    </row>
    <row r="160" spans="26:73" x14ac:dyDescent="0.15">
      <c r="Z160" s="10">
        <v>150</v>
      </c>
      <c r="AA160" s="10">
        <f>IFERROR(MAX($Z160-积分赛!$C$7,0)*INDEX($U$7:$U$14,MATCH(AA$10,$T$7:$T$14,0))/30,0)</f>
        <v>0</v>
      </c>
      <c r="AB160" s="10">
        <f>IFERROR(MAX($Z160-积分赛!$C$7,0)*INDEX($U$7:$U$14,MATCH(AB$10,$T$7:$T$14,0))/30,0)</f>
        <v>0</v>
      </c>
      <c r="AC160" s="10">
        <f>IFERROR(MAX($Z160-积分赛!$C$7,0)*INDEX($U$7:$U$14,MATCH(AC$10,$T$7:$T$14,0))/30,0)</f>
        <v>0</v>
      </c>
      <c r="AD160" s="10">
        <f>IFERROR(MAX($Z160-积分赛!$C$7,0)*INDEX($U$7:$U$14,MATCH(AD$10,$T$7:$T$14,0))/30,0)</f>
        <v>320000</v>
      </c>
      <c r="AE160" s="10">
        <f>IFERROR(MAX($Z160-积分赛!$C$7,0)*INDEX($U$7:$U$14,MATCH(AE$10,$T$7:$T$14,0))/30,0)</f>
        <v>4000000</v>
      </c>
      <c r="AF160" s="10">
        <f>MAX($Z160-积分赛!$C$7,0)*(IFERROR(INDEX($W$7:$W$14,MATCH(AF$10,$T$7:$T$14,0)),0)*$T$20+IFERROR(INDEX($X$7:$X$14,MATCH(AF$10,$T$7:$T$14,0)),0)*$T$21)/30</f>
        <v>0</v>
      </c>
      <c r="AG160" s="10">
        <f>MAX($Z160-积分赛!$C$7,0)*(IFERROR(INDEX($W$7:$W$14,MATCH(AG$10,$T$7:$T$14,0)),0)*$T$20+IFERROR(INDEX($X$7:$X$14,MATCH(AG$10,$T$7:$T$14,0)),0)*$T$21)/30</f>
        <v>0</v>
      </c>
      <c r="AH160" s="10">
        <f>MAX($Z160-积分赛!$C$7,0)*(IFERROR(INDEX($W$7:$W$14,MATCH(AH$10,$T$7:$T$14,0)),0)*$T$20+IFERROR(INDEX($X$7:$X$14,MATCH(AH$10,$T$7:$T$14,0)),0)*$T$21)/30</f>
        <v>0</v>
      </c>
      <c r="AI160" s="10">
        <f>MAX($Z160-积分赛!$C$7,0)*(IFERROR(INDEX($W$7:$W$14,MATCH(AI$10,$T$7:$T$14,0)),0)*$T$20+IFERROR(INDEX($X$7:$X$14,MATCH(AI$10,$T$7:$T$14,0)),0)*$T$21)/30</f>
        <v>12220</v>
      </c>
      <c r="AJ160" s="10">
        <f>MAX($Z160-积分赛!$C$7,0)*(IFERROR(INDEX($W$7:$W$14,MATCH(AJ$10,$T$7:$T$14,0)),0)*$T$20+IFERROR(INDEX($X$7:$X$14,MATCH(AJ$10,$T$7:$T$14,0)),0)*$T$21)/30</f>
        <v>73320</v>
      </c>
      <c r="AL160" s="10">
        <v>150</v>
      </c>
      <c r="AM160" s="10">
        <f>IFERROR(MAX(节奏总纲!D153-积分赛!$C$7,0)*INDEX($U$7:$U$14,MATCH(AA$10,$T$7:$T$14,0))/30,0)</f>
        <v>0</v>
      </c>
      <c r="AN160" s="10">
        <f>IFERROR(MAX(节奏总纲!E153-积分赛!$C$7,0)*INDEX($U$7:$U$14,MATCH(AB$10,$T$7:$T$14,0))/30,0)</f>
        <v>0</v>
      </c>
      <c r="AO160" s="10">
        <f>IFERROR(MAX(节奏总纲!F153-积分赛!$C$7,0)*INDEX($U$7:$U$14,MATCH(AC$10,$T$7:$T$14,0))/30,0)</f>
        <v>0</v>
      </c>
      <c r="AP160" s="10">
        <f>IFERROR(MAX(节奏总纲!G153-积分赛!$C$7,0)*INDEX($U$7:$U$14,MATCH(AD$10,$T$7:$T$14,0))/30,0)</f>
        <v>41529721.06666667</v>
      </c>
      <c r="AQ160" s="10">
        <f>IFERROR(MAX(节奏总纲!H153-积分赛!$C$7,0)*INDEX($U$7:$U$14,MATCH(AE$10,$T$7:$T$14,0))/30,0)</f>
        <v>277519500.00000006</v>
      </c>
      <c r="AR160" s="10">
        <f>MAX(节奏总纲!D153-积分赛!$C$7,0)*(IFERROR(INDEX($W$7:$W$14,MATCH(AF$10,$T$7:$T$14,0)),0)*$T$20+IFERROR(INDEX($X$7:$X$14,MATCH(AF$10,$T$7:$T$14,0)),0)*$T$21)/30</f>
        <v>0</v>
      </c>
      <c r="AS160" s="10">
        <f>MAX(节奏总纲!E153-积分赛!$C$7,0)*(IFERROR(INDEX($W$7:$W$14,MATCH(AG$10,$T$7:$T$14,0)),0)*$T$20+IFERROR(INDEX($X$7:$X$14,MATCH(AG$10,$T$7:$T$14,0)),0)*$T$21)/30</f>
        <v>0</v>
      </c>
      <c r="AT160" s="10">
        <f>MAX(节奏总纲!F153-积分赛!$C$7,0)*(IFERROR(INDEX($W$7:$W$14,MATCH(AH$10,$T$7:$T$14,0)),0)*$T$20+IFERROR(INDEX($X$7:$X$14,MATCH(AH$10,$T$7:$T$14,0)),0)*$T$21)/30</f>
        <v>0</v>
      </c>
      <c r="AU160" s="10">
        <f>MAX(节奏总纲!G153-积分赛!$C$7,0)*(IFERROR(INDEX($W$7:$W$14,MATCH(AI$10,$T$7:$T$14,0)),0)*$T$20+IFERROR(INDEX($X$7:$X$14,MATCH(AI$10,$T$7:$T$14,0)),0)*$T$21)/30</f>
        <v>1585916.2232333336</v>
      </c>
      <c r="AV160" s="10">
        <f>MAX(节奏总纲!H153-积分赛!$C$7,0)*(IFERROR(INDEX($W$7:$W$14,MATCH(AJ$10,$T$7:$T$14,0)),0)*$T$20+IFERROR(INDEX($X$7:$X$14,MATCH(AJ$10,$T$7:$T$14,0)),0)*$T$21)/30</f>
        <v>5086932.4350000005</v>
      </c>
      <c r="BI160" s="10">
        <v>150</v>
      </c>
      <c r="BJ160" s="10">
        <f>MAX($BI160-积分赛!$C$7,0)*$BC$10/30</f>
        <v>400000</v>
      </c>
      <c r="BK160" s="10">
        <f>MAX($BI160-积分赛!$C$7,0)*$BC$10/30</f>
        <v>400000</v>
      </c>
      <c r="BL160" s="10">
        <f>MAX($BI160-积分赛!$C$7,0)*$BC$10/30</f>
        <v>400000</v>
      </c>
      <c r="BM160" s="10">
        <f>MAX($BI160-积分赛!$C$7,0)*$BC$10/30</f>
        <v>400000</v>
      </c>
      <c r="BN160" s="10">
        <f>MAX($BI160-积分赛!$C$7,0)*$BC$10/30</f>
        <v>400000</v>
      </c>
      <c r="BP160" s="10">
        <v>150</v>
      </c>
      <c r="BQ160" s="10">
        <f>MAX(节奏总纲!D153-积分赛!$C$7,0)*$BC$10/30</f>
        <v>109123333.33333333</v>
      </c>
      <c r="BR160" s="10">
        <f>MAX(节奏总纲!E153-积分赛!$C$7,0)*$BC$10/30</f>
        <v>92139105</v>
      </c>
      <c r="BS160" s="10">
        <f>MAX(节奏总纲!F153-积分赛!$C$7,0)*$BC$10/30</f>
        <v>73221623.666666672</v>
      </c>
      <c r="BT160" s="10">
        <f>MAX(节奏总纲!G153-积分赛!$C$7,0)*$BC$10/30</f>
        <v>51912151.333333343</v>
      </c>
      <c r="BU160" s="10">
        <f>MAX(节奏总纲!H153-积分赛!$C$7,0)*$BC$10/30</f>
        <v>27751950.000000004</v>
      </c>
    </row>
    <row r="161" spans="26:73" x14ac:dyDescent="0.15">
      <c r="Z161" s="10">
        <v>151</v>
      </c>
      <c r="AA161" s="10">
        <f>IFERROR(MAX($Z161-积分赛!$C$7,0)*INDEX($U$7:$U$14,MATCH(AA$10,$T$7:$T$14,0))/30,0)</f>
        <v>0</v>
      </c>
      <c r="AB161" s="10">
        <f>IFERROR(MAX($Z161-积分赛!$C$7,0)*INDEX($U$7:$U$14,MATCH(AB$10,$T$7:$T$14,0))/30,0)</f>
        <v>0</v>
      </c>
      <c r="AC161" s="10">
        <f>IFERROR(MAX($Z161-积分赛!$C$7,0)*INDEX($U$7:$U$14,MATCH(AC$10,$T$7:$T$14,0))/30,0)</f>
        <v>0</v>
      </c>
      <c r="AD161" s="10">
        <f>IFERROR(MAX($Z161-积分赛!$C$7,0)*INDEX($U$7:$U$14,MATCH(AD$10,$T$7:$T$14,0))/30,0)</f>
        <v>322666.66666666669</v>
      </c>
      <c r="AE161" s="10">
        <f>IFERROR(MAX($Z161-积分赛!$C$7,0)*INDEX($U$7:$U$14,MATCH(AE$10,$T$7:$T$14,0))/30,0)</f>
        <v>4033333.3333333335</v>
      </c>
      <c r="AF161" s="10">
        <f>MAX($Z161-积分赛!$C$7,0)*(IFERROR(INDEX($W$7:$W$14,MATCH(AF$10,$T$7:$T$14,0)),0)*$T$20+IFERROR(INDEX($X$7:$X$14,MATCH(AF$10,$T$7:$T$14,0)),0)*$T$21)/30</f>
        <v>0</v>
      </c>
      <c r="AG161" s="10">
        <f>MAX($Z161-积分赛!$C$7,0)*(IFERROR(INDEX($W$7:$W$14,MATCH(AG$10,$T$7:$T$14,0)),0)*$T$20+IFERROR(INDEX($X$7:$X$14,MATCH(AG$10,$T$7:$T$14,0)),0)*$T$21)/30</f>
        <v>0</v>
      </c>
      <c r="AH161" s="10">
        <f>MAX($Z161-积分赛!$C$7,0)*(IFERROR(INDEX($W$7:$W$14,MATCH(AH$10,$T$7:$T$14,0)),0)*$T$20+IFERROR(INDEX($X$7:$X$14,MATCH(AH$10,$T$7:$T$14,0)),0)*$T$21)/30</f>
        <v>0</v>
      </c>
      <c r="AI161" s="10">
        <f>MAX($Z161-积分赛!$C$7,0)*(IFERROR(INDEX($W$7:$W$14,MATCH(AI$10,$T$7:$T$14,0)),0)*$T$20+IFERROR(INDEX($X$7:$X$14,MATCH(AI$10,$T$7:$T$14,0)),0)*$T$21)/30</f>
        <v>12321.833333333334</v>
      </c>
      <c r="AJ161" s="10">
        <f>MAX($Z161-积分赛!$C$7,0)*(IFERROR(INDEX($W$7:$W$14,MATCH(AJ$10,$T$7:$T$14,0)),0)*$T$20+IFERROR(INDEX($X$7:$X$14,MATCH(AJ$10,$T$7:$T$14,0)),0)*$T$21)/30</f>
        <v>73931</v>
      </c>
      <c r="AL161" s="10">
        <v>151</v>
      </c>
      <c r="AM161" s="10">
        <f>IFERROR(MAX(节奏总纲!D154-积分赛!$C$7,0)*INDEX($U$7:$U$14,MATCH(AA$10,$T$7:$T$14,0))/30,0)</f>
        <v>0</v>
      </c>
      <c r="AN161" s="10">
        <f>IFERROR(MAX(节奏总纲!E154-积分赛!$C$7,0)*INDEX($U$7:$U$14,MATCH(AB$10,$T$7:$T$14,0))/30,0)</f>
        <v>0</v>
      </c>
      <c r="AO161" s="10">
        <f>IFERROR(MAX(节奏总纲!F154-积分赛!$C$7,0)*INDEX($U$7:$U$14,MATCH(AC$10,$T$7:$T$14,0))/30,0)</f>
        <v>0</v>
      </c>
      <c r="AP161" s="10">
        <f>IFERROR(MAX(节奏总纲!G154-积分赛!$C$7,0)*INDEX($U$7:$U$14,MATCH(AD$10,$T$7:$T$14,0))/30,0)</f>
        <v>44731681.718816631</v>
      </c>
      <c r="AQ161" s="10">
        <f>IFERROR(MAX(节奏总纲!H154-积分赛!$C$7,0)*INDEX($U$7:$U$14,MATCH(AE$10,$T$7:$T$14,0))/30,0)</f>
        <v>302192935.34936017</v>
      </c>
      <c r="AR161" s="10">
        <f>MAX(节奏总纲!D154-积分赛!$C$7,0)*(IFERROR(INDEX($W$7:$W$14,MATCH(AF$10,$T$7:$T$14,0)),0)*$T$20+IFERROR(INDEX($X$7:$X$14,MATCH(AF$10,$T$7:$T$14,0)),0)*$T$21)/30</f>
        <v>0</v>
      </c>
      <c r="AS161" s="10">
        <f>MAX(节奏总纲!E154-积分赛!$C$7,0)*(IFERROR(INDEX($W$7:$W$14,MATCH(AG$10,$T$7:$T$14,0)),0)*$T$20+IFERROR(INDEX($X$7:$X$14,MATCH(AG$10,$T$7:$T$14,0)),0)*$T$21)/30</f>
        <v>0</v>
      </c>
      <c r="AT161" s="10">
        <f>MAX(节奏总纲!F154-积分赛!$C$7,0)*(IFERROR(INDEX($W$7:$W$14,MATCH(AH$10,$T$7:$T$14,0)),0)*$T$20+IFERROR(INDEX($X$7:$X$14,MATCH(AH$10,$T$7:$T$14,0)),0)*$T$21)/30</f>
        <v>0</v>
      </c>
      <c r="AU161" s="10">
        <f>MAX(节奏总纲!G154-积分赛!$C$7,0)*(IFERROR(INDEX($W$7:$W$14,MATCH(AI$10,$T$7:$T$14,0)),0)*$T$20+IFERROR(INDEX($X$7:$X$14,MATCH(AI$10,$T$7:$T$14,0)),0)*$T$21)/30</f>
        <v>1708191.0956373101</v>
      </c>
      <c r="AV161" s="10">
        <f>MAX(节奏总纲!H154-积分赛!$C$7,0)*(IFERROR(INDEX($W$7:$W$14,MATCH(AJ$10,$T$7:$T$14,0)),0)*$T$20+IFERROR(INDEX($X$7:$X$14,MATCH(AJ$10,$T$7:$T$14,0)),0)*$T$21)/30</f>
        <v>5539196.5049537718</v>
      </c>
      <c r="BI161" s="10">
        <v>151</v>
      </c>
      <c r="BJ161" s="10">
        <f>MAX($BI161-积分赛!$C$7,0)*$BC$10/30</f>
        <v>403333.33333333331</v>
      </c>
      <c r="BK161" s="10">
        <f>MAX($BI161-积分赛!$C$7,0)*$BC$10/30</f>
        <v>403333.33333333331</v>
      </c>
      <c r="BL161" s="10">
        <f>MAX($BI161-积分赛!$C$7,0)*$BC$10/30</f>
        <v>403333.33333333331</v>
      </c>
      <c r="BM161" s="10">
        <f>MAX($BI161-积分赛!$C$7,0)*$BC$10/30</f>
        <v>403333.33333333331</v>
      </c>
      <c r="BN161" s="10">
        <f>MAX($BI161-积分赛!$C$7,0)*$BC$10/30</f>
        <v>403333.33333333331</v>
      </c>
      <c r="BP161" s="10">
        <v>151</v>
      </c>
      <c r="BQ161" s="10">
        <f>MAX(节奏总纲!D154-积分赛!$C$7,0)*$BC$10/30</f>
        <v>116962909.40129736</v>
      </c>
      <c r="BR161" s="10">
        <f>MAX(节奏总纲!E154-积分赛!$C$7,0)*$BC$10/30</f>
        <v>98806452.153156132</v>
      </c>
      <c r="BS161" s="10">
        <f>MAX(节奏总纲!F154-积分赛!$C$7,0)*$BC$10/30</f>
        <v>78542862.535791561</v>
      </c>
      <c r="BT161" s="10">
        <f>MAX(节奏总纲!G154-积分赛!$C$7,0)*$BC$10/30</f>
        <v>55914602.14852079</v>
      </c>
      <c r="BU161" s="10">
        <f>MAX(节奏总纲!H154-积分赛!$C$7,0)*$BC$10/30</f>
        <v>30219293.534936018</v>
      </c>
    </row>
    <row r="162" spans="26:73" x14ac:dyDescent="0.15">
      <c r="Z162" s="10">
        <v>152</v>
      </c>
      <c r="AA162" s="10">
        <f>IFERROR(MAX($Z162-积分赛!$C$7,0)*INDEX($U$7:$U$14,MATCH(AA$10,$T$7:$T$14,0))/30,0)</f>
        <v>0</v>
      </c>
      <c r="AB162" s="10">
        <f>IFERROR(MAX($Z162-积分赛!$C$7,0)*INDEX($U$7:$U$14,MATCH(AB$10,$T$7:$T$14,0))/30,0)</f>
        <v>0</v>
      </c>
      <c r="AC162" s="10">
        <f>IFERROR(MAX($Z162-积分赛!$C$7,0)*INDEX($U$7:$U$14,MATCH(AC$10,$T$7:$T$14,0))/30,0)</f>
        <v>0</v>
      </c>
      <c r="AD162" s="10">
        <f>IFERROR(MAX($Z162-积分赛!$C$7,0)*INDEX($U$7:$U$14,MATCH(AD$10,$T$7:$T$14,0))/30,0)</f>
        <v>325333.33333333331</v>
      </c>
      <c r="AE162" s="10">
        <f>IFERROR(MAX($Z162-积分赛!$C$7,0)*INDEX($U$7:$U$14,MATCH(AE$10,$T$7:$T$14,0))/30,0)</f>
        <v>4066666.6666666665</v>
      </c>
      <c r="AF162" s="10">
        <f>MAX($Z162-积分赛!$C$7,0)*(IFERROR(INDEX($W$7:$W$14,MATCH(AF$10,$T$7:$T$14,0)),0)*$T$20+IFERROR(INDEX($X$7:$X$14,MATCH(AF$10,$T$7:$T$14,0)),0)*$T$21)/30</f>
        <v>0</v>
      </c>
      <c r="AG162" s="10">
        <f>MAX($Z162-积分赛!$C$7,0)*(IFERROR(INDEX($W$7:$W$14,MATCH(AG$10,$T$7:$T$14,0)),0)*$T$20+IFERROR(INDEX($X$7:$X$14,MATCH(AG$10,$T$7:$T$14,0)),0)*$T$21)/30</f>
        <v>0</v>
      </c>
      <c r="AH162" s="10">
        <f>MAX($Z162-积分赛!$C$7,0)*(IFERROR(INDEX($W$7:$W$14,MATCH(AH$10,$T$7:$T$14,0)),0)*$T$20+IFERROR(INDEX($X$7:$X$14,MATCH(AH$10,$T$7:$T$14,0)),0)*$T$21)/30</f>
        <v>0</v>
      </c>
      <c r="AI162" s="10">
        <f>MAX($Z162-积分赛!$C$7,0)*(IFERROR(INDEX($W$7:$W$14,MATCH(AI$10,$T$7:$T$14,0)),0)*$T$20+IFERROR(INDEX($X$7:$X$14,MATCH(AI$10,$T$7:$T$14,0)),0)*$T$21)/30</f>
        <v>12423.666666666666</v>
      </c>
      <c r="AJ162" s="10">
        <f>MAX($Z162-积分赛!$C$7,0)*(IFERROR(INDEX($W$7:$W$14,MATCH(AJ$10,$T$7:$T$14,0)),0)*$T$20+IFERROR(INDEX($X$7:$X$14,MATCH(AJ$10,$T$7:$T$14,0)),0)*$T$21)/30</f>
        <v>74542</v>
      </c>
      <c r="AL162" s="10">
        <v>152</v>
      </c>
      <c r="AM162" s="10">
        <f>IFERROR(MAX(节奏总纲!D155-积分赛!$C$7,0)*INDEX($U$7:$U$14,MATCH(AA$10,$T$7:$T$14,0))/30,0)</f>
        <v>0</v>
      </c>
      <c r="AN162" s="10">
        <f>IFERROR(MAX(节奏总纲!E155-积分赛!$C$7,0)*INDEX($U$7:$U$14,MATCH(AB$10,$T$7:$T$14,0))/30,0)</f>
        <v>0</v>
      </c>
      <c r="AO162" s="10">
        <f>IFERROR(MAX(节奏总纲!F155-积分赛!$C$7,0)*INDEX($U$7:$U$14,MATCH(AC$10,$T$7:$T$14,0))/30,0)</f>
        <v>0</v>
      </c>
      <c r="AP162" s="10">
        <f>IFERROR(MAX(节奏总纲!G155-积分赛!$C$7,0)*INDEX($U$7:$U$14,MATCH(AD$10,$T$7:$T$14,0))/30,0)</f>
        <v>48600481.687528722</v>
      </c>
      <c r="AQ162" s="10">
        <f>IFERROR(MAX(节奏总纲!H155-积分赛!$C$7,0)*INDEX($U$7:$U$14,MATCH(AE$10,$T$7:$T$14,0))/30,0)</f>
        <v>469494346.20678532</v>
      </c>
      <c r="AR162" s="10">
        <f>MAX(节奏总纲!D155-积分赛!$C$7,0)*(IFERROR(INDEX($W$7:$W$14,MATCH(AF$10,$T$7:$T$14,0)),0)*$T$20+IFERROR(INDEX($X$7:$X$14,MATCH(AF$10,$T$7:$T$14,0)),0)*$T$21)/30</f>
        <v>0</v>
      </c>
      <c r="AS162" s="10">
        <f>MAX(节奏总纲!E155-积分赛!$C$7,0)*(IFERROR(INDEX($W$7:$W$14,MATCH(AG$10,$T$7:$T$14,0)),0)*$T$20+IFERROR(INDEX($X$7:$X$14,MATCH(AG$10,$T$7:$T$14,0)),0)*$T$21)/30</f>
        <v>0</v>
      </c>
      <c r="AT162" s="10">
        <f>MAX(节奏总纲!F155-积分赛!$C$7,0)*(IFERROR(INDEX($W$7:$W$14,MATCH(AH$10,$T$7:$T$14,0)),0)*$T$20+IFERROR(INDEX($X$7:$X$14,MATCH(AH$10,$T$7:$T$14,0)),0)*$T$21)/30</f>
        <v>0</v>
      </c>
      <c r="AU162" s="10">
        <f>MAX(节奏总纲!G155-积分赛!$C$7,0)*(IFERROR(INDEX($W$7:$W$14,MATCH(AI$10,$T$7:$T$14,0)),0)*$T$20+IFERROR(INDEX($X$7:$X$14,MATCH(AI$10,$T$7:$T$14,0)),0)*$T$21)/30</f>
        <v>1855930.8944425031</v>
      </c>
      <c r="AV162" s="10">
        <f>MAX(节奏总纲!H155-积分赛!$C$7,0)*(IFERROR(INDEX($W$7:$W$14,MATCH(AJ$10,$T$7:$T$14,0)),0)*$T$20+IFERROR(INDEX($X$7:$X$14,MATCH(AJ$10,$T$7:$T$14,0)),0)*$T$21)/30</f>
        <v>8605831.365970375</v>
      </c>
      <c r="BI162" s="10">
        <v>152</v>
      </c>
      <c r="BJ162" s="10">
        <f>MAX($BI162-积分赛!$C$7,0)*$BC$10/30</f>
        <v>406666.66666666669</v>
      </c>
      <c r="BK162" s="10">
        <f>MAX($BI162-积分赛!$C$7,0)*$BC$10/30</f>
        <v>406666.66666666669</v>
      </c>
      <c r="BL162" s="10">
        <f>MAX($BI162-积分赛!$C$7,0)*$BC$10/30</f>
        <v>406666.66666666669</v>
      </c>
      <c r="BM162" s="10">
        <f>MAX($BI162-积分赛!$C$7,0)*$BC$10/30</f>
        <v>406666.66666666669</v>
      </c>
      <c r="BN162" s="10">
        <f>MAX($BI162-积分赛!$C$7,0)*$BC$10/30</f>
        <v>406666.66666666669</v>
      </c>
      <c r="BP162" s="10">
        <v>152</v>
      </c>
      <c r="BQ162" s="10">
        <f>MAX(节奏总纲!D155-积分赛!$C$7,0)*$BC$10/30</f>
        <v>125365158.98847608</v>
      </c>
      <c r="BR162" s="10">
        <f>MAX(节奏总纲!E155-积分赛!$C$7,0)*$BC$10/30</f>
        <v>105880419.79756574</v>
      </c>
      <c r="BS162" s="10">
        <f>MAX(节奏总纲!F155-积分赛!$C$7,0)*$BC$10/30</f>
        <v>84651714.896715596</v>
      </c>
      <c r="BT162" s="10">
        <f>MAX(节奏总纲!G155-积分赛!$C$7,0)*$BC$10/30</f>
        <v>60750602.109410904</v>
      </c>
      <c r="BU162" s="10">
        <f>MAX(节奏总纲!H155-积分赛!$C$7,0)*$BC$10/30</f>
        <v>46949434.620678529</v>
      </c>
    </row>
    <row r="163" spans="26:73" x14ac:dyDescent="0.15">
      <c r="Z163" s="10">
        <v>153</v>
      </c>
      <c r="AA163" s="10">
        <f>IFERROR(MAX($Z163-积分赛!$C$7,0)*INDEX($U$7:$U$14,MATCH(AA$10,$T$7:$T$14,0))/30,0)</f>
        <v>0</v>
      </c>
      <c r="AB163" s="10">
        <f>IFERROR(MAX($Z163-积分赛!$C$7,0)*INDEX($U$7:$U$14,MATCH(AB$10,$T$7:$T$14,0))/30,0)</f>
        <v>0</v>
      </c>
      <c r="AC163" s="10">
        <f>IFERROR(MAX($Z163-积分赛!$C$7,0)*INDEX($U$7:$U$14,MATCH(AC$10,$T$7:$T$14,0))/30,0)</f>
        <v>0</v>
      </c>
      <c r="AD163" s="10">
        <f>IFERROR(MAX($Z163-积分赛!$C$7,0)*INDEX($U$7:$U$14,MATCH(AD$10,$T$7:$T$14,0))/30,0)</f>
        <v>328000</v>
      </c>
      <c r="AE163" s="10">
        <f>IFERROR(MAX($Z163-积分赛!$C$7,0)*INDEX($U$7:$U$14,MATCH(AE$10,$T$7:$T$14,0))/30,0)</f>
        <v>4100000</v>
      </c>
      <c r="AF163" s="10">
        <f>MAX($Z163-积分赛!$C$7,0)*(IFERROR(INDEX($W$7:$W$14,MATCH(AF$10,$T$7:$T$14,0)),0)*$T$20+IFERROR(INDEX($X$7:$X$14,MATCH(AF$10,$T$7:$T$14,0)),0)*$T$21)/30</f>
        <v>0</v>
      </c>
      <c r="AG163" s="10">
        <f>MAX($Z163-积分赛!$C$7,0)*(IFERROR(INDEX($W$7:$W$14,MATCH(AG$10,$T$7:$T$14,0)),0)*$T$20+IFERROR(INDEX($X$7:$X$14,MATCH(AG$10,$T$7:$T$14,0)),0)*$T$21)/30</f>
        <v>0</v>
      </c>
      <c r="AH163" s="10">
        <f>MAX($Z163-积分赛!$C$7,0)*(IFERROR(INDEX($W$7:$W$14,MATCH(AH$10,$T$7:$T$14,0)),0)*$T$20+IFERROR(INDEX($X$7:$X$14,MATCH(AH$10,$T$7:$T$14,0)),0)*$T$21)/30</f>
        <v>0</v>
      </c>
      <c r="AI163" s="10">
        <f>MAX($Z163-积分赛!$C$7,0)*(IFERROR(INDEX($W$7:$W$14,MATCH(AI$10,$T$7:$T$14,0)),0)*$T$20+IFERROR(INDEX($X$7:$X$14,MATCH(AI$10,$T$7:$T$14,0)),0)*$T$21)/30</f>
        <v>12525.5</v>
      </c>
      <c r="AJ163" s="10">
        <f>MAX($Z163-积分赛!$C$7,0)*(IFERROR(INDEX($W$7:$W$14,MATCH(AJ$10,$T$7:$T$14,0)),0)*$T$20+IFERROR(INDEX($X$7:$X$14,MATCH(AJ$10,$T$7:$T$14,0)),0)*$T$21)/30</f>
        <v>75153</v>
      </c>
      <c r="AL163" s="10">
        <v>153</v>
      </c>
      <c r="AM163" s="10">
        <f>IFERROR(MAX(节奏总纲!D156-积分赛!$C$7,0)*INDEX($U$7:$U$14,MATCH(AA$10,$T$7:$T$14,0))/30,0)</f>
        <v>0</v>
      </c>
      <c r="AN163" s="10">
        <f>IFERROR(MAX(节奏总纲!E156-积分赛!$C$7,0)*INDEX($U$7:$U$14,MATCH(AB$10,$T$7:$T$14,0))/30,0)</f>
        <v>0</v>
      </c>
      <c r="AO163" s="10">
        <f>IFERROR(MAX(节奏总纲!F156-积分赛!$C$7,0)*INDEX($U$7:$U$14,MATCH(AC$10,$T$7:$T$14,0))/30,0)</f>
        <v>0</v>
      </c>
      <c r="AP163" s="10">
        <f>IFERROR(MAX(节奏总纲!G156-积分赛!$C$7,0)*INDEX($U$7:$U$14,MATCH(AD$10,$T$7:$T$14,0))/30,0)</f>
        <v>64465824.218377963</v>
      </c>
      <c r="AQ163" s="10">
        <f>IFERROR(MAX(节奏总纲!H156-积分赛!$C$7,0)*INDEX($U$7:$U$14,MATCH(AE$10,$T$7:$T$14,0))/30,0)</f>
        <v>805822802.72972465</v>
      </c>
      <c r="AR163" s="10">
        <f>MAX(节奏总纲!D156-积分赛!$C$7,0)*(IFERROR(INDEX($W$7:$W$14,MATCH(AF$10,$T$7:$T$14,0)),0)*$T$20+IFERROR(INDEX($X$7:$X$14,MATCH(AF$10,$T$7:$T$14,0)),0)*$T$21)/30</f>
        <v>0</v>
      </c>
      <c r="AS163" s="10">
        <f>MAX(节奏总纲!E156-积分赛!$C$7,0)*(IFERROR(INDEX($W$7:$W$14,MATCH(AG$10,$T$7:$T$14,0)),0)*$T$20+IFERROR(INDEX($X$7:$X$14,MATCH(AG$10,$T$7:$T$14,0)),0)*$T$21)/30</f>
        <v>0</v>
      </c>
      <c r="AT163" s="10">
        <f>MAX(节奏总纲!F156-积分赛!$C$7,0)*(IFERROR(INDEX($W$7:$W$14,MATCH(AH$10,$T$7:$T$14,0)),0)*$T$20+IFERROR(INDEX($X$7:$X$14,MATCH(AH$10,$T$7:$T$14,0)),0)*$T$21)/30</f>
        <v>0</v>
      </c>
      <c r="AU163" s="10">
        <f>MAX(节奏总纲!G156-积分赛!$C$7,0)*(IFERROR(INDEX($W$7:$W$14,MATCH(AI$10,$T$7:$T$14,0)),0)*$T$20+IFERROR(INDEX($X$7:$X$14,MATCH(AI$10,$T$7:$T$14,0)),0)*$T$21)/30</f>
        <v>2461788.6623393083</v>
      </c>
      <c r="AV163" s="10">
        <f>MAX(节奏总纲!H156-积分赛!$C$7,0)*(IFERROR(INDEX($W$7:$W$14,MATCH(AJ$10,$T$7:$T$14,0)),0)*$T$20+IFERROR(INDEX($X$7:$X$14,MATCH(AJ$10,$T$7:$T$14,0)),0)*$T$21)/30</f>
        <v>14770731.974035852</v>
      </c>
      <c r="BI163" s="10">
        <v>153</v>
      </c>
      <c r="BJ163" s="10">
        <f>MAX($BI163-积分赛!$C$7,0)*$BC$10/30</f>
        <v>410000</v>
      </c>
      <c r="BK163" s="10">
        <f>MAX($BI163-积分赛!$C$7,0)*$BC$10/30</f>
        <v>410000</v>
      </c>
      <c r="BL163" s="10">
        <f>MAX($BI163-积分赛!$C$7,0)*$BC$10/30</f>
        <v>410000</v>
      </c>
      <c r="BM163" s="10">
        <f>MAX($BI163-积分赛!$C$7,0)*$BC$10/30</f>
        <v>410000</v>
      </c>
      <c r="BN163" s="10">
        <f>MAX($BI163-积分赛!$C$7,0)*$BC$10/30</f>
        <v>410000</v>
      </c>
      <c r="BP163" s="10">
        <v>153</v>
      </c>
      <c r="BQ163" s="10">
        <f>MAX(节奏总纲!D156-积分赛!$C$7,0)*$BC$10/30</f>
        <v>134370467.12162077</v>
      </c>
      <c r="BR163" s="10">
        <f>MAX(节奏总纲!E156-积分赛!$C$7,0)*$BC$10/30</f>
        <v>114334367.52049926</v>
      </c>
      <c r="BS163" s="10">
        <f>MAX(节奏总纲!F156-积分赛!$C$7,0)*$BC$10/30</f>
        <v>91743329.044066995</v>
      </c>
      <c r="BT163" s="10">
        <f>MAX(节奏总纲!G156-积分赛!$C$7,0)*$BC$10/30</f>
        <v>80582280.27297245</v>
      </c>
      <c r="BU163" s="10">
        <f>MAX(节奏总纲!H156-积分赛!$C$7,0)*$BC$10/30</f>
        <v>80582280.27297245</v>
      </c>
    </row>
    <row r="164" spans="26:73" x14ac:dyDescent="0.15">
      <c r="Z164" s="10">
        <v>154</v>
      </c>
      <c r="AA164" s="10">
        <f>IFERROR(MAX($Z164-积分赛!$C$7,0)*INDEX($U$7:$U$14,MATCH(AA$10,$T$7:$T$14,0))/30,0)</f>
        <v>0</v>
      </c>
      <c r="AB164" s="10">
        <f>IFERROR(MAX($Z164-积分赛!$C$7,0)*INDEX($U$7:$U$14,MATCH(AB$10,$T$7:$T$14,0))/30,0)</f>
        <v>0</v>
      </c>
      <c r="AC164" s="10">
        <f>IFERROR(MAX($Z164-积分赛!$C$7,0)*INDEX($U$7:$U$14,MATCH(AC$10,$T$7:$T$14,0))/30,0)</f>
        <v>0</v>
      </c>
      <c r="AD164" s="10">
        <f>IFERROR(MAX($Z164-积分赛!$C$7,0)*INDEX($U$7:$U$14,MATCH(AD$10,$T$7:$T$14,0))/30,0)</f>
        <v>330666.66666666669</v>
      </c>
      <c r="AE164" s="10">
        <f>IFERROR(MAX($Z164-积分赛!$C$7,0)*INDEX($U$7:$U$14,MATCH(AE$10,$T$7:$T$14,0))/30,0)</f>
        <v>4133333.3333333335</v>
      </c>
      <c r="AF164" s="10">
        <f>MAX($Z164-积分赛!$C$7,0)*(IFERROR(INDEX($W$7:$W$14,MATCH(AF$10,$T$7:$T$14,0)),0)*$T$20+IFERROR(INDEX($X$7:$X$14,MATCH(AF$10,$T$7:$T$14,0)),0)*$T$21)/30</f>
        <v>0</v>
      </c>
      <c r="AG164" s="10">
        <f>MAX($Z164-积分赛!$C$7,0)*(IFERROR(INDEX($W$7:$W$14,MATCH(AG$10,$T$7:$T$14,0)),0)*$T$20+IFERROR(INDEX($X$7:$X$14,MATCH(AG$10,$T$7:$T$14,0)),0)*$T$21)/30</f>
        <v>0</v>
      </c>
      <c r="AH164" s="10">
        <f>MAX($Z164-积分赛!$C$7,0)*(IFERROR(INDEX($W$7:$W$14,MATCH(AH$10,$T$7:$T$14,0)),0)*$T$20+IFERROR(INDEX($X$7:$X$14,MATCH(AH$10,$T$7:$T$14,0)),0)*$T$21)/30</f>
        <v>0</v>
      </c>
      <c r="AI164" s="10">
        <f>MAX($Z164-积分赛!$C$7,0)*(IFERROR(INDEX($W$7:$W$14,MATCH(AI$10,$T$7:$T$14,0)),0)*$T$20+IFERROR(INDEX($X$7:$X$14,MATCH(AI$10,$T$7:$T$14,0)),0)*$T$21)/30</f>
        <v>12627.333333333334</v>
      </c>
      <c r="AJ164" s="10">
        <f>MAX($Z164-积分赛!$C$7,0)*(IFERROR(INDEX($W$7:$W$14,MATCH(AJ$10,$T$7:$T$14,0)),0)*$T$20+IFERROR(INDEX($X$7:$X$14,MATCH(AJ$10,$T$7:$T$14,0)),0)*$T$21)/30</f>
        <v>75764</v>
      </c>
      <c r="AL164" s="10">
        <v>154</v>
      </c>
      <c r="AM164" s="10">
        <f>IFERROR(MAX(节奏总纲!D157-积分赛!$C$7,0)*INDEX($U$7:$U$14,MATCH(AA$10,$T$7:$T$14,0))/30,0)</f>
        <v>0</v>
      </c>
      <c r="AN164" s="10">
        <f>IFERROR(MAX(节奏总纲!E157-积分赛!$C$7,0)*INDEX($U$7:$U$14,MATCH(AB$10,$T$7:$T$14,0))/30,0)</f>
        <v>0</v>
      </c>
      <c r="AO164" s="10">
        <f>IFERROR(MAX(节奏总纲!F157-积分赛!$C$7,0)*INDEX($U$7:$U$14,MATCH(AC$10,$T$7:$T$14,0))/30,0)</f>
        <v>0</v>
      </c>
      <c r="AP164" s="10">
        <f>IFERROR(MAX(节奏总纲!G157-积分赛!$C$7,0)*INDEX($U$7:$U$14,MATCH(AD$10,$T$7:$T$14,0))/30,0)</f>
        <v>91005178.197234362</v>
      </c>
      <c r="AQ164" s="10">
        <f>IFERROR(MAX(节奏总纲!H157-积分赛!$C$7,0)*INDEX($U$7:$U$14,MATCH(AE$10,$T$7:$T$14,0))/30,0)</f>
        <v>1137564727.4654295</v>
      </c>
      <c r="AR164" s="10">
        <f>MAX(节奏总纲!D157-积分赛!$C$7,0)*(IFERROR(INDEX($W$7:$W$14,MATCH(AF$10,$T$7:$T$14,0)),0)*$T$20+IFERROR(INDEX($X$7:$X$14,MATCH(AF$10,$T$7:$T$14,0)),0)*$T$21)/30</f>
        <v>0</v>
      </c>
      <c r="AS164" s="10">
        <f>MAX(节奏总纲!E157-积分赛!$C$7,0)*(IFERROR(INDEX($W$7:$W$14,MATCH(AG$10,$T$7:$T$14,0)),0)*$T$20+IFERROR(INDEX($X$7:$X$14,MATCH(AG$10,$T$7:$T$14,0)),0)*$T$21)/30</f>
        <v>0</v>
      </c>
      <c r="AT164" s="10">
        <f>MAX(节奏总纲!F157-积分赛!$C$7,0)*(IFERROR(INDEX($W$7:$W$14,MATCH(AH$10,$T$7:$T$14,0)),0)*$T$20+IFERROR(INDEX($X$7:$X$14,MATCH(AH$10,$T$7:$T$14,0)),0)*$T$21)/30</f>
        <v>0</v>
      </c>
      <c r="AU164" s="10">
        <f>MAX(节奏总纲!G157-积分赛!$C$7,0)*(IFERROR(INDEX($W$7:$W$14,MATCH(AI$10,$T$7:$T$14,0)),0)*$T$20+IFERROR(INDEX($X$7:$X$14,MATCH(AI$10,$T$7:$T$14,0)),0)*$T$21)/30</f>
        <v>3475260.2424068875</v>
      </c>
      <c r="AV164" s="10">
        <f>MAX(节奏总纲!H157-积分赛!$C$7,0)*(IFERROR(INDEX($W$7:$W$14,MATCH(AJ$10,$T$7:$T$14,0)),0)*$T$20+IFERROR(INDEX($X$7:$X$14,MATCH(AJ$10,$T$7:$T$14,0)),0)*$T$21)/30</f>
        <v>20851561.454441324</v>
      </c>
      <c r="BI164" s="10">
        <v>154</v>
      </c>
      <c r="BJ164" s="10">
        <f>MAX($BI164-积分赛!$C$7,0)*$BC$10/30</f>
        <v>413333.33333333331</v>
      </c>
      <c r="BK164" s="10">
        <f>MAX($BI164-积分赛!$C$7,0)*$BC$10/30</f>
        <v>413333.33333333331</v>
      </c>
      <c r="BL164" s="10">
        <f>MAX($BI164-积分赛!$C$7,0)*$BC$10/30</f>
        <v>413333.33333333331</v>
      </c>
      <c r="BM164" s="10">
        <f>MAX($BI164-积分赛!$C$7,0)*$BC$10/30</f>
        <v>413333.33333333331</v>
      </c>
      <c r="BN164" s="10">
        <f>MAX($BI164-积分赛!$C$7,0)*$BC$10/30</f>
        <v>413333.33333333331</v>
      </c>
      <c r="BP164" s="10">
        <v>154</v>
      </c>
      <c r="BQ164" s="10">
        <f>MAX(节奏总纲!D157-积分赛!$C$7,0)*$BC$10/30</f>
        <v>144022117.40068728</v>
      </c>
      <c r="BR164" s="10">
        <f>MAX(节奏总纲!E157-积分赛!$C$7,0)*$BC$10/30</f>
        <v>123124410.37758762</v>
      </c>
      <c r="BS164" s="10">
        <f>MAX(节奏总纲!F157-积分赛!$C$7,0)*$BC$10/30</f>
        <v>113035862.15953951</v>
      </c>
      <c r="BT164" s="10">
        <f>MAX(节奏总纲!G157-积分赛!$C$7,0)*$BC$10/30</f>
        <v>113756472.74654296</v>
      </c>
      <c r="BU164" s="10">
        <f>MAX(节奏总纲!H157-积分赛!$C$7,0)*$BC$10/30</f>
        <v>113756472.74654296</v>
      </c>
    </row>
    <row r="165" spans="26:73" x14ac:dyDescent="0.15">
      <c r="Z165" s="10">
        <v>155</v>
      </c>
      <c r="AA165" s="10">
        <f>IFERROR(MAX($Z165-积分赛!$C$7,0)*INDEX($U$7:$U$14,MATCH(AA$10,$T$7:$T$14,0))/30,0)</f>
        <v>0</v>
      </c>
      <c r="AB165" s="10">
        <f>IFERROR(MAX($Z165-积分赛!$C$7,0)*INDEX($U$7:$U$14,MATCH(AB$10,$T$7:$T$14,0))/30,0)</f>
        <v>0</v>
      </c>
      <c r="AC165" s="10">
        <f>IFERROR(MAX($Z165-积分赛!$C$7,0)*INDEX($U$7:$U$14,MATCH(AC$10,$T$7:$T$14,0))/30,0)</f>
        <v>0</v>
      </c>
      <c r="AD165" s="10">
        <f>IFERROR(MAX($Z165-积分赛!$C$7,0)*INDEX($U$7:$U$14,MATCH(AD$10,$T$7:$T$14,0))/30,0)</f>
        <v>333333.33333333331</v>
      </c>
      <c r="AE165" s="10">
        <f>IFERROR(MAX($Z165-积分赛!$C$7,0)*INDEX($U$7:$U$14,MATCH(AE$10,$T$7:$T$14,0))/30,0)</f>
        <v>4166666.6666666665</v>
      </c>
      <c r="AF165" s="10">
        <f>MAX($Z165-积分赛!$C$7,0)*(IFERROR(INDEX($W$7:$W$14,MATCH(AF$10,$T$7:$T$14,0)),0)*$T$20+IFERROR(INDEX($X$7:$X$14,MATCH(AF$10,$T$7:$T$14,0)),0)*$T$21)/30</f>
        <v>0</v>
      </c>
      <c r="AG165" s="10">
        <f>MAX($Z165-积分赛!$C$7,0)*(IFERROR(INDEX($W$7:$W$14,MATCH(AG$10,$T$7:$T$14,0)),0)*$T$20+IFERROR(INDEX($X$7:$X$14,MATCH(AG$10,$T$7:$T$14,0)),0)*$T$21)/30</f>
        <v>0</v>
      </c>
      <c r="AH165" s="10">
        <f>MAX($Z165-积分赛!$C$7,0)*(IFERROR(INDEX($W$7:$W$14,MATCH(AH$10,$T$7:$T$14,0)),0)*$T$20+IFERROR(INDEX($X$7:$X$14,MATCH(AH$10,$T$7:$T$14,0)),0)*$T$21)/30</f>
        <v>0</v>
      </c>
      <c r="AI165" s="10">
        <f>MAX($Z165-积分赛!$C$7,0)*(IFERROR(INDEX($W$7:$W$14,MATCH(AI$10,$T$7:$T$14,0)),0)*$T$20+IFERROR(INDEX($X$7:$X$14,MATCH(AI$10,$T$7:$T$14,0)),0)*$T$21)/30</f>
        <v>12729.166666666666</v>
      </c>
      <c r="AJ165" s="10">
        <f>MAX($Z165-积分赛!$C$7,0)*(IFERROR(INDEX($W$7:$W$14,MATCH(AJ$10,$T$7:$T$14,0)),0)*$T$20+IFERROR(INDEX($X$7:$X$14,MATCH(AJ$10,$T$7:$T$14,0)),0)*$T$21)/30</f>
        <v>76375</v>
      </c>
      <c r="AL165" s="10">
        <v>155</v>
      </c>
      <c r="AM165" s="10">
        <f>IFERROR(MAX(节奏总纲!D158-积分赛!$C$7,0)*INDEX($U$7:$U$14,MATCH(AA$10,$T$7:$T$14,0))/30,0)</f>
        <v>0</v>
      </c>
      <c r="AN165" s="10">
        <f>IFERROR(MAX(节奏总纲!E158-积分赛!$C$7,0)*INDEX($U$7:$U$14,MATCH(AB$10,$T$7:$T$14,0))/30,0)</f>
        <v>0</v>
      </c>
      <c r="AO165" s="10">
        <f>IFERROR(MAX(节奏总纲!F158-积分赛!$C$7,0)*INDEX($U$7:$U$14,MATCH(AC$10,$T$7:$T$14,0))/30,0)</f>
        <v>0</v>
      </c>
      <c r="AP165" s="10">
        <f>IFERROR(MAX(节奏总纲!G158-积分赛!$C$7,0)*INDEX($U$7:$U$14,MATCH(AD$10,$T$7:$T$14,0))/30,0)</f>
        <v>118327840.27025767</v>
      </c>
      <c r="AQ165" s="10">
        <f>IFERROR(MAX(节奏总纲!H158-积分赛!$C$7,0)*INDEX($U$7:$U$14,MATCH(AE$10,$T$7:$T$14,0))/30,0)</f>
        <v>1483731998.379405</v>
      </c>
      <c r="AR165" s="10">
        <f>MAX(节奏总纲!D158-积分赛!$C$7,0)*(IFERROR(INDEX($W$7:$W$14,MATCH(AF$10,$T$7:$T$14,0)),0)*$T$20+IFERROR(INDEX($X$7:$X$14,MATCH(AF$10,$T$7:$T$14,0)),0)*$T$21)/30</f>
        <v>0</v>
      </c>
      <c r="AS165" s="10">
        <f>MAX(节奏总纲!E158-积分赛!$C$7,0)*(IFERROR(INDEX($W$7:$W$14,MATCH(AG$10,$T$7:$T$14,0)),0)*$T$20+IFERROR(INDEX($X$7:$X$14,MATCH(AG$10,$T$7:$T$14,0)),0)*$T$21)/30</f>
        <v>0</v>
      </c>
      <c r="AT165" s="10">
        <f>MAX(节奏总纲!F158-积分赛!$C$7,0)*(IFERROR(INDEX($W$7:$W$14,MATCH(AH$10,$T$7:$T$14,0)),0)*$T$20+IFERROR(INDEX($X$7:$X$14,MATCH(AH$10,$T$7:$T$14,0)),0)*$T$21)/30</f>
        <v>0</v>
      </c>
      <c r="AU165" s="10">
        <f>MAX(节奏总纲!G158-积分赛!$C$7,0)*(IFERROR(INDEX($W$7:$W$14,MATCH(AI$10,$T$7:$T$14,0)),0)*$T$20+IFERROR(INDEX($X$7:$X$14,MATCH(AI$10,$T$7:$T$14,0)),0)*$T$21)/30</f>
        <v>4518644.4003204647</v>
      </c>
      <c r="AV165" s="10">
        <f>MAX(节奏总纲!H158-积分赛!$C$7,0)*(IFERROR(INDEX($W$7:$W$14,MATCH(AJ$10,$T$7:$T$14,0)),0)*$T$20+IFERROR(INDEX($X$7:$X$14,MATCH(AJ$10,$T$7:$T$14,0)),0)*$T$21)/30</f>
        <v>27196807.530294493</v>
      </c>
      <c r="BI165" s="10">
        <v>155</v>
      </c>
      <c r="BJ165" s="10">
        <f>MAX($BI165-积分赛!$C$7,0)*$BC$10/30</f>
        <v>416666.66666666669</v>
      </c>
      <c r="BK165" s="10">
        <f>MAX($BI165-积分赛!$C$7,0)*$BC$10/30</f>
        <v>416666.66666666669</v>
      </c>
      <c r="BL165" s="10">
        <f>MAX($BI165-积分赛!$C$7,0)*$BC$10/30</f>
        <v>416666.66666666669</v>
      </c>
      <c r="BM165" s="10">
        <f>MAX($BI165-积分赛!$C$7,0)*$BC$10/30</f>
        <v>416666.66666666669</v>
      </c>
      <c r="BN165" s="10">
        <f>MAX($BI165-积分赛!$C$7,0)*$BC$10/30</f>
        <v>416666.66666666669</v>
      </c>
      <c r="BP165" s="10">
        <v>155</v>
      </c>
      <c r="BQ165" s="10">
        <f>MAX(节奏总纲!D158-积分赛!$C$7,0)*$BC$10/30</f>
        <v>154366500.03947201</v>
      </c>
      <c r="BR165" s="10">
        <f>MAX(节奏总纲!E158-积分赛!$C$7,0)*$BC$10/30</f>
        <v>146828534.83754578</v>
      </c>
      <c r="BS165" s="10">
        <f>MAX(节奏总纲!F158-积分赛!$C$7,0)*$BC$10/30</f>
        <v>147909800.33782208</v>
      </c>
      <c r="BT165" s="10">
        <f>MAX(节奏总纲!G158-积分赛!$C$7,0)*$BC$10/30</f>
        <v>147909800.33782208</v>
      </c>
      <c r="BU165" s="10">
        <f>MAX(节奏总纲!H158-积分赛!$C$7,0)*$BC$10/30</f>
        <v>148373199.83794051</v>
      </c>
    </row>
    <row r="166" spans="26:73" x14ac:dyDescent="0.15">
      <c r="Z166" s="10">
        <v>156</v>
      </c>
      <c r="AA166" s="10">
        <f>IFERROR(MAX($Z166-积分赛!$C$7,0)*INDEX($U$7:$U$14,MATCH(AA$10,$T$7:$T$14,0))/30,0)</f>
        <v>0</v>
      </c>
      <c r="AB166" s="10">
        <f>IFERROR(MAX($Z166-积分赛!$C$7,0)*INDEX($U$7:$U$14,MATCH(AB$10,$T$7:$T$14,0))/30,0)</f>
        <v>0</v>
      </c>
      <c r="AC166" s="10">
        <f>IFERROR(MAX($Z166-积分赛!$C$7,0)*INDEX($U$7:$U$14,MATCH(AC$10,$T$7:$T$14,0))/30,0)</f>
        <v>0</v>
      </c>
      <c r="AD166" s="10">
        <f>IFERROR(MAX($Z166-积分赛!$C$7,0)*INDEX($U$7:$U$14,MATCH(AD$10,$T$7:$T$14,0))/30,0)</f>
        <v>336000</v>
      </c>
      <c r="AE166" s="10">
        <f>IFERROR(MAX($Z166-积分赛!$C$7,0)*INDEX($U$7:$U$14,MATCH(AE$10,$T$7:$T$14,0))/30,0)</f>
        <v>4200000</v>
      </c>
      <c r="AF166" s="10">
        <f>MAX($Z166-积分赛!$C$7,0)*(IFERROR(INDEX($W$7:$W$14,MATCH(AF$10,$T$7:$T$14,0)),0)*$T$20+IFERROR(INDEX($X$7:$X$14,MATCH(AF$10,$T$7:$T$14,0)),0)*$T$21)/30</f>
        <v>0</v>
      </c>
      <c r="AG166" s="10">
        <f>MAX($Z166-积分赛!$C$7,0)*(IFERROR(INDEX($W$7:$W$14,MATCH(AG$10,$T$7:$T$14,0)),0)*$T$20+IFERROR(INDEX($X$7:$X$14,MATCH(AG$10,$T$7:$T$14,0)),0)*$T$21)/30</f>
        <v>0</v>
      </c>
      <c r="AH166" s="10">
        <f>MAX($Z166-积分赛!$C$7,0)*(IFERROR(INDEX($W$7:$W$14,MATCH(AH$10,$T$7:$T$14,0)),0)*$T$20+IFERROR(INDEX($X$7:$X$14,MATCH(AH$10,$T$7:$T$14,0)),0)*$T$21)/30</f>
        <v>0</v>
      </c>
      <c r="AI166" s="10">
        <f>MAX($Z166-积分赛!$C$7,0)*(IFERROR(INDEX($W$7:$W$14,MATCH(AI$10,$T$7:$T$14,0)),0)*$T$20+IFERROR(INDEX($X$7:$X$14,MATCH(AI$10,$T$7:$T$14,0)),0)*$T$21)/30</f>
        <v>12831</v>
      </c>
      <c r="AJ166" s="10">
        <f>MAX($Z166-积分赛!$C$7,0)*(IFERROR(INDEX($W$7:$W$14,MATCH(AJ$10,$T$7:$T$14,0)),0)*$T$20+IFERROR(INDEX($X$7:$X$14,MATCH(AJ$10,$T$7:$T$14,0)),0)*$T$21)/30</f>
        <v>76986</v>
      </c>
      <c r="AL166" s="10">
        <v>156</v>
      </c>
      <c r="AM166" s="10">
        <f>IFERROR(MAX(节奏总纲!D159-积分赛!$C$7,0)*INDEX($U$7:$U$14,MATCH(AA$10,$T$7:$T$14,0))/30,0)</f>
        <v>0</v>
      </c>
      <c r="AN166" s="10">
        <f>IFERROR(MAX(节奏总纲!E159-积分赛!$C$7,0)*INDEX($U$7:$U$14,MATCH(AB$10,$T$7:$T$14,0))/30,0)</f>
        <v>0</v>
      </c>
      <c r="AO166" s="10">
        <f>IFERROR(MAX(节奏总纲!F159-积分赛!$C$7,0)*INDEX($U$7:$U$14,MATCH(AC$10,$T$7:$T$14,0))/30,0)</f>
        <v>0</v>
      </c>
      <c r="AP166" s="10">
        <f>IFERROR(MAX(节奏总纲!G159-积分赛!$C$7,0)*INDEX($U$7:$U$14,MATCH(AD$10,$T$7:$T$14,0))/30,0)</f>
        <v>133687094.54913822</v>
      </c>
      <c r="AQ166" s="10">
        <f>IFERROR(MAX(节奏总纲!H159-积分赛!$C$7,0)*INDEX($U$7:$U$14,MATCH(AE$10,$T$7:$T$14,0))/30,0)</f>
        <v>1676055281.909369</v>
      </c>
      <c r="AR166" s="10">
        <f>MAX(节奏总纲!D159-积分赛!$C$7,0)*(IFERROR(INDEX($W$7:$W$14,MATCH(AF$10,$T$7:$T$14,0)),0)*$T$20+IFERROR(INDEX($X$7:$X$14,MATCH(AF$10,$T$7:$T$14,0)),0)*$T$21)/30</f>
        <v>0</v>
      </c>
      <c r="AS166" s="10">
        <f>MAX(节奏总纲!E159-积分赛!$C$7,0)*(IFERROR(INDEX($W$7:$W$14,MATCH(AG$10,$T$7:$T$14,0)),0)*$T$20+IFERROR(INDEX($X$7:$X$14,MATCH(AG$10,$T$7:$T$14,0)),0)*$T$21)/30</f>
        <v>0</v>
      </c>
      <c r="AT166" s="10">
        <f>MAX(节奏总纲!F159-积分赛!$C$7,0)*(IFERROR(INDEX($W$7:$W$14,MATCH(AH$10,$T$7:$T$14,0)),0)*$T$20+IFERROR(INDEX($X$7:$X$14,MATCH(AH$10,$T$7:$T$14,0)),0)*$T$21)/30</f>
        <v>0</v>
      </c>
      <c r="AU166" s="10">
        <f>MAX(节奏总纲!G159-积分赛!$C$7,0)*(IFERROR(INDEX($W$7:$W$14,MATCH(AI$10,$T$7:$T$14,0)),0)*$T$20+IFERROR(INDEX($X$7:$X$14,MATCH(AI$10,$T$7:$T$14,0)),0)*$T$21)/30</f>
        <v>5105175.9230952151</v>
      </c>
      <c r="AV166" s="10">
        <f>MAX(节奏总纲!H159-积分赛!$C$7,0)*(IFERROR(INDEX($W$7:$W$14,MATCH(AJ$10,$T$7:$T$14,0)),0)*$T$20+IFERROR(INDEX($X$7:$X$14,MATCH(AJ$10,$T$7:$T$14,0)),0)*$T$21)/30</f>
        <v>30722093.317398731</v>
      </c>
      <c r="BI166" s="10">
        <v>156</v>
      </c>
      <c r="BJ166" s="10">
        <f>MAX($BI166-积分赛!$C$7,0)*$BC$10/30</f>
        <v>420000</v>
      </c>
      <c r="BK166" s="10">
        <f>MAX($BI166-积分赛!$C$7,0)*$BC$10/30</f>
        <v>420000</v>
      </c>
      <c r="BL166" s="10">
        <f>MAX($BI166-积分赛!$C$7,0)*$BC$10/30</f>
        <v>420000</v>
      </c>
      <c r="BM166" s="10">
        <f>MAX($BI166-积分赛!$C$7,0)*$BC$10/30</f>
        <v>420000</v>
      </c>
      <c r="BN166" s="10">
        <f>MAX($BI166-积分赛!$C$7,0)*$BC$10/30</f>
        <v>420000</v>
      </c>
      <c r="BP166" s="10">
        <v>156</v>
      </c>
      <c r="BQ166" s="10">
        <f>MAX(节奏总纲!D159-积分赛!$C$7,0)*$BC$10/30</f>
        <v>165453334.83804235</v>
      </c>
      <c r="BR166" s="10">
        <f>MAX(节奏总纲!E159-积分赛!$C$7,0)*$BC$10/30</f>
        <v>165453334.83804235</v>
      </c>
      <c r="BS166" s="10">
        <f>MAX(节奏总纲!F159-积分赛!$C$7,0)*$BC$10/30</f>
        <v>167108868.18642277</v>
      </c>
      <c r="BT166" s="10">
        <f>MAX(节奏总纲!G159-积分赛!$C$7,0)*$BC$10/30</f>
        <v>167108868.18642277</v>
      </c>
      <c r="BU166" s="10">
        <f>MAX(节奏总纲!H159-积分赛!$C$7,0)*$BC$10/30</f>
        <v>167605528.19093689</v>
      </c>
    </row>
    <row r="167" spans="26:73" x14ac:dyDescent="0.15">
      <c r="Z167" s="10">
        <v>157</v>
      </c>
      <c r="AA167" s="10">
        <f>IFERROR(MAX($Z167-积分赛!$C$7,0)*INDEX($U$7:$U$14,MATCH(AA$10,$T$7:$T$14,0))/30,0)</f>
        <v>0</v>
      </c>
      <c r="AB167" s="10">
        <f>IFERROR(MAX($Z167-积分赛!$C$7,0)*INDEX($U$7:$U$14,MATCH(AB$10,$T$7:$T$14,0))/30,0)</f>
        <v>0</v>
      </c>
      <c r="AC167" s="10">
        <f>IFERROR(MAX($Z167-积分赛!$C$7,0)*INDEX($U$7:$U$14,MATCH(AC$10,$T$7:$T$14,0))/30,0)</f>
        <v>0</v>
      </c>
      <c r="AD167" s="10">
        <f>IFERROR(MAX($Z167-积分赛!$C$7,0)*INDEX($U$7:$U$14,MATCH(AD$10,$T$7:$T$14,0))/30,0)</f>
        <v>338666.66666666669</v>
      </c>
      <c r="AE167" s="10">
        <f>IFERROR(MAX($Z167-积分赛!$C$7,0)*INDEX($U$7:$U$14,MATCH(AE$10,$T$7:$T$14,0))/30,0)</f>
        <v>4233333.333333333</v>
      </c>
      <c r="AF167" s="10">
        <f>MAX($Z167-积分赛!$C$7,0)*(IFERROR(INDEX($W$7:$W$14,MATCH(AF$10,$T$7:$T$14,0)),0)*$T$20+IFERROR(INDEX($X$7:$X$14,MATCH(AF$10,$T$7:$T$14,0)),0)*$T$21)/30</f>
        <v>0</v>
      </c>
      <c r="AG167" s="10">
        <f>MAX($Z167-积分赛!$C$7,0)*(IFERROR(INDEX($W$7:$W$14,MATCH(AG$10,$T$7:$T$14,0)),0)*$T$20+IFERROR(INDEX($X$7:$X$14,MATCH(AG$10,$T$7:$T$14,0)),0)*$T$21)/30</f>
        <v>0</v>
      </c>
      <c r="AH167" s="10">
        <f>MAX($Z167-积分赛!$C$7,0)*(IFERROR(INDEX($W$7:$W$14,MATCH(AH$10,$T$7:$T$14,0)),0)*$T$20+IFERROR(INDEX($X$7:$X$14,MATCH(AH$10,$T$7:$T$14,0)),0)*$T$21)/30</f>
        <v>0</v>
      </c>
      <c r="AI167" s="10">
        <f>MAX($Z167-积分赛!$C$7,0)*(IFERROR(INDEX($W$7:$W$14,MATCH(AI$10,$T$7:$T$14,0)),0)*$T$20+IFERROR(INDEX($X$7:$X$14,MATCH(AI$10,$T$7:$T$14,0)),0)*$T$21)/30</f>
        <v>12932.833333333334</v>
      </c>
      <c r="AJ167" s="10">
        <f>MAX($Z167-积分赛!$C$7,0)*(IFERROR(INDEX($W$7:$W$14,MATCH(AJ$10,$T$7:$T$14,0)),0)*$T$20+IFERROR(INDEX($X$7:$X$14,MATCH(AJ$10,$T$7:$T$14,0)),0)*$T$21)/30</f>
        <v>77597</v>
      </c>
      <c r="AL167" s="10">
        <v>157</v>
      </c>
      <c r="AM167" s="10">
        <f>IFERROR(MAX(节奏总纲!D160-积分赛!$C$7,0)*INDEX($U$7:$U$14,MATCH(AA$10,$T$7:$T$14,0))/30,0)</f>
        <v>0</v>
      </c>
      <c r="AN167" s="10">
        <f>IFERROR(MAX(节奏总纲!E160-积分赛!$C$7,0)*INDEX($U$7:$U$14,MATCH(AB$10,$T$7:$T$14,0))/30,0)</f>
        <v>0</v>
      </c>
      <c r="AO167" s="10">
        <f>IFERROR(MAX(节奏总纲!F160-积分赛!$C$7,0)*INDEX($U$7:$U$14,MATCH(AC$10,$T$7:$T$14,0))/30,0)</f>
        <v>0</v>
      </c>
      <c r="AP167" s="10">
        <f>IFERROR(MAX(节奏总纲!G160-积分赛!$C$7,0)*INDEX($U$7:$U$14,MATCH(AD$10,$T$7:$T$14,0))/30,0)</f>
        <v>143288215.40820855</v>
      </c>
      <c r="AQ167" s="10">
        <f>IFERROR(MAX(节奏总纲!H160-积分赛!$C$7,0)*INDEX($U$7:$U$14,MATCH(AE$10,$T$7:$T$14,0))/30,0)</f>
        <v>1791102692.602607</v>
      </c>
      <c r="AR167" s="10">
        <f>MAX(节奏总纲!D160-积分赛!$C$7,0)*(IFERROR(INDEX($W$7:$W$14,MATCH(AF$10,$T$7:$T$14,0)),0)*$T$20+IFERROR(INDEX($X$7:$X$14,MATCH(AF$10,$T$7:$T$14,0)),0)*$T$21)/30</f>
        <v>0</v>
      </c>
      <c r="AS167" s="10">
        <f>MAX(节奏总纲!E160-积分赛!$C$7,0)*(IFERROR(INDEX($W$7:$W$14,MATCH(AG$10,$T$7:$T$14,0)),0)*$T$20+IFERROR(INDEX($X$7:$X$14,MATCH(AG$10,$T$7:$T$14,0)),0)*$T$21)/30</f>
        <v>0</v>
      </c>
      <c r="AT167" s="10">
        <f>MAX(节奏总纲!F160-积分赛!$C$7,0)*(IFERROR(INDEX($W$7:$W$14,MATCH(AH$10,$T$7:$T$14,0)),0)*$T$20+IFERROR(INDEX($X$7:$X$14,MATCH(AH$10,$T$7:$T$14,0)),0)*$T$21)/30</f>
        <v>0</v>
      </c>
      <c r="AU167" s="10">
        <f>MAX(节奏总纲!G160-积分赛!$C$7,0)*(IFERROR(INDEX($W$7:$W$14,MATCH(AI$10,$T$7:$T$14,0)),0)*$T$20+IFERROR(INDEX($X$7:$X$14,MATCH(AI$10,$T$7:$T$14,0)),0)*$T$21)/30</f>
        <v>5471818.7259009639</v>
      </c>
      <c r="AV167" s="10">
        <f>MAX(节奏总纲!H160-积分赛!$C$7,0)*(IFERROR(INDEX($W$7:$W$14,MATCH(AJ$10,$T$7:$T$14,0)),0)*$T$20+IFERROR(INDEX($X$7:$X$14,MATCH(AJ$10,$T$7:$T$14,0)),0)*$T$21)/30</f>
        <v>32830912.355405785</v>
      </c>
      <c r="BI167" s="10">
        <v>157</v>
      </c>
      <c r="BJ167" s="10">
        <f>MAX($BI167-积分赛!$C$7,0)*$BC$10/30</f>
        <v>423333.33333333331</v>
      </c>
      <c r="BK167" s="10">
        <f>MAX($BI167-积分赛!$C$7,0)*$BC$10/30</f>
        <v>423333.33333333331</v>
      </c>
      <c r="BL167" s="10">
        <f>MAX($BI167-积分赛!$C$7,0)*$BC$10/30</f>
        <v>423333.33333333331</v>
      </c>
      <c r="BM167" s="10">
        <f>MAX($BI167-积分赛!$C$7,0)*$BC$10/30</f>
        <v>423333.33333333331</v>
      </c>
      <c r="BN167" s="10">
        <f>MAX($BI167-积分赛!$C$7,0)*$BC$10/30</f>
        <v>423333.33333333331</v>
      </c>
      <c r="BP167" s="10">
        <v>157</v>
      </c>
      <c r="BQ167" s="10">
        <f>MAX(节奏总纲!D160-积分赛!$C$7,0)*$BC$10/30</f>
        <v>177335910.15867394</v>
      </c>
      <c r="BR167" s="10">
        <f>MAX(节奏总纲!E160-积分赛!$C$7,0)*$BC$10/30</f>
        <v>177335910.15867394</v>
      </c>
      <c r="BS167" s="10">
        <f>MAX(节奏总纲!F160-积分赛!$C$7,0)*$BC$10/30</f>
        <v>179110269.26026067</v>
      </c>
      <c r="BT167" s="10">
        <f>MAX(节奏总纲!G160-积分赛!$C$7,0)*$BC$10/30</f>
        <v>179110269.26026067</v>
      </c>
      <c r="BU167" s="10">
        <f>MAX(节奏总纲!H160-积分赛!$C$7,0)*$BC$10/30</f>
        <v>179110269.26026067</v>
      </c>
    </row>
    <row r="168" spans="26:73" x14ac:dyDescent="0.15">
      <c r="Z168" s="10">
        <v>158</v>
      </c>
      <c r="AA168" s="10">
        <f>IFERROR(MAX($Z168-积分赛!$C$7,0)*INDEX($U$7:$U$14,MATCH(AA$10,$T$7:$T$14,0))/30,0)</f>
        <v>0</v>
      </c>
      <c r="AB168" s="10">
        <f>IFERROR(MAX($Z168-积分赛!$C$7,0)*INDEX($U$7:$U$14,MATCH(AB$10,$T$7:$T$14,0))/30,0)</f>
        <v>0</v>
      </c>
      <c r="AC168" s="10">
        <f>IFERROR(MAX($Z168-积分赛!$C$7,0)*INDEX($U$7:$U$14,MATCH(AC$10,$T$7:$T$14,0))/30,0)</f>
        <v>0</v>
      </c>
      <c r="AD168" s="10">
        <f>IFERROR(MAX($Z168-积分赛!$C$7,0)*INDEX($U$7:$U$14,MATCH(AD$10,$T$7:$T$14,0))/30,0)</f>
        <v>341333.33333333331</v>
      </c>
      <c r="AE168" s="10">
        <f>IFERROR(MAX($Z168-积分赛!$C$7,0)*INDEX($U$7:$U$14,MATCH(AE$10,$T$7:$T$14,0))/30,0)</f>
        <v>4266666.666666667</v>
      </c>
      <c r="AF168" s="10">
        <f>MAX($Z168-积分赛!$C$7,0)*(IFERROR(INDEX($W$7:$W$14,MATCH(AF$10,$T$7:$T$14,0)),0)*$T$20+IFERROR(INDEX($X$7:$X$14,MATCH(AF$10,$T$7:$T$14,0)),0)*$T$21)/30</f>
        <v>0</v>
      </c>
      <c r="AG168" s="10">
        <f>MAX($Z168-积分赛!$C$7,0)*(IFERROR(INDEX($W$7:$W$14,MATCH(AG$10,$T$7:$T$14,0)),0)*$T$20+IFERROR(INDEX($X$7:$X$14,MATCH(AG$10,$T$7:$T$14,0)),0)*$T$21)/30</f>
        <v>0</v>
      </c>
      <c r="AH168" s="10">
        <f>MAX($Z168-积分赛!$C$7,0)*(IFERROR(INDEX($W$7:$W$14,MATCH(AH$10,$T$7:$T$14,0)),0)*$T$20+IFERROR(INDEX($X$7:$X$14,MATCH(AH$10,$T$7:$T$14,0)),0)*$T$21)/30</f>
        <v>0</v>
      </c>
      <c r="AI168" s="10">
        <f>MAX($Z168-积分赛!$C$7,0)*(IFERROR(INDEX($W$7:$W$14,MATCH(AI$10,$T$7:$T$14,0)),0)*$T$20+IFERROR(INDEX($X$7:$X$14,MATCH(AI$10,$T$7:$T$14,0)),0)*$T$21)/30</f>
        <v>13034.666666666666</v>
      </c>
      <c r="AJ168" s="10">
        <f>MAX($Z168-积分赛!$C$7,0)*(IFERROR(INDEX($W$7:$W$14,MATCH(AJ$10,$T$7:$T$14,0)),0)*$T$20+IFERROR(INDEX($X$7:$X$14,MATCH(AJ$10,$T$7:$T$14,0)),0)*$T$21)/30</f>
        <v>78208</v>
      </c>
      <c r="AL168" s="10">
        <v>158</v>
      </c>
      <c r="AM168" s="10">
        <f>IFERROR(MAX(节奏总纲!D161-积分赛!$C$7,0)*INDEX($U$7:$U$14,MATCH(AA$10,$T$7:$T$14,0))/30,0)</f>
        <v>0</v>
      </c>
      <c r="AN168" s="10">
        <f>IFERROR(MAX(节奏总纲!E161-积分赛!$C$7,0)*INDEX($U$7:$U$14,MATCH(AB$10,$T$7:$T$14,0))/30,0)</f>
        <v>0</v>
      </c>
      <c r="AO168" s="10">
        <f>IFERROR(MAX(节奏总纲!F161-积分赛!$C$7,0)*INDEX($U$7:$U$14,MATCH(AC$10,$T$7:$T$14,0))/30,0)</f>
        <v>0</v>
      </c>
      <c r="AP168" s="10">
        <f>IFERROR(MAX(节奏总纲!G161-积分赛!$C$7,0)*INDEX($U$7:$U$14,MATCH(AD$10,$T$7:$T$14,0))/30,0)</f>
        <v>153578441.95556405</v>
      </c>
      <c r="AQ168" s="10">
        <f>IFERROR(MAX(节奏总纲!H161-积分赛!$C$7,0)*INDEX($U$7:$U$14,MATCH(AE$10,$T$7:$T$14,0))/30,0)</f>
        <v>1919730524.4445505</v>
      </c>
      <c r="AR168" s="10">
        <f>MAX(节奏总纲!D161-积分赛!$C$7,0)*(IFERROR(INDEX($W$7:$W$14,MATCH(AF$10,$T$7:$T$14,0)),0)*$T$20+IFERROR(INDEX($X$7:$X$14,MATCH(AF$10,$T$7:$T$14,0)),0)*$T$21)/30</f>
        <v>0</v>
      </c>
      <c r="AS168" s="10">
        <f>MAX(节奏总纲!E161-积分赛!$C$7,0)*(IFERROR(INDEX($W$7:$W$14,MATCH(AG$10,$T$7:$T$14,0)),0)*$T$20+IFERROR(INDEX($X$7:$X$14,MATCH(AG$10,$T$7:$T$14,0)),0)*$T$21)/30</f>
        <v>0</v>
      </c>
      <c r="AT168" s="10">
        <f>MAX(节奏总纲!F161-积分赛!$C$7,0)*(IFERROR(INDEX($W$7:$W$14,MATCH(AH$10,$T$7:$T$14,0)),0)*$T$20+IFERROR(INDEX($X$7:$X$14,MATCH(AH$10,$T$7:$T$14,0)),0)*$T$21)/30</f>
        <v>0</v>
      </c>
      <c r="AU168" s="10">
        <f>MAX(节奏总纲!G161-积分赛!$C$7,0)*(IFERROR(INDEX($W$7:$W$14,MATCH(AI$10,$T$7:$T$14,0)),0)*$T$20+IFERROR(INDEX($X$7:$X$14,MATCH(AI$10,$T$7:$T$14,0)),0)*$T$21)/30</f>
        <v>5864776.7521781018</v>
      </c>
      <c r="AV168" s="10">
        <f>MAX(节奏总纲!H161-积分赛!$C$7,0)*(IFERROR(INDEX($W$7:$W$14,MATCH(AJ$10,$T$7:$T$14,0)),0)*$T$20+IFERROR(INDEX($X$7:$X$14,MATCH(AJ$10,$T$7:$T$14,0)),0)*$T$21)/30</f>
        <v>35188660.513068609</v>
      </c>
      <c r="BI168" s="10">
        <v>158</v>
      </c>
      <c r="BJ168" s="10">
        <f>MAX($BI168-积分赛!$C$7,0)*$BC$10/30</f>
        <v>426666.66666666669</v>
      </c>
      <c r="BK168" s="10">
        <f>MAX($BI168-积分赛!$C$7,0)*$BC$10/30</f>
        <v>426666.66666666669</v>
      </c>
      <c r="BL168" s="10">
        <f>MAX($BI168-积分赛!$C$7,0)*$BC$10/30</f>
        <v>426666.66666666669</v>
      </c>
      <c r="BM168" s="10">
        <f>MAX($BI168-积分赛!$C$7,0)*$BC$10/30</f>
        <v>426666.66666666669</v>
      </c>
      <c r="BN168" s="10">
        <f>MAX($BI168-积分赛!$C$7,0)*$BC$10/30</f>
        <v>426666.66666666669</v>
      </c>
      <c r="BP168" s="10">
        <v>158</v>
      </c>
      <c r="BQ168" s="10">
        <f>MAX(节奏总纲!D161-积分赛!$C$7,0)*$BC$10/30</f>
        <v>190071339.05391589</v>
      </c>
      <c r="BR168" s="10">
        <f>MAX(节奏总纲!E161-积分赛!$C$7,0)*$BC$10/30</f>
        <v>190071339.05391589</v>
      </c>
      <c r="BS168" s="10">
        <f>MAX(节奏总纲!F161-积分赛!$C$7,0)*$BC$10/30</f>
        <v>191973052.44445506</v>
      </c>
      <c r="BT168" s="10">
        <f>MAX(节奏总纲!G161-积分赛!$C$7,0)*$BC$10/30</f>
        <v>191973052.44445506</v>
      </c>
      <c r="BU168" s="10">
        <f>MAX(节奏总纲!H161-积分赛!$C$7,0)*$BC$10/30</f>
        <v>191973052.44445506</v>
      </c>
    </row>
    <row r="169" spans="26:73" x14ac:dyDescent="0.15">
      <c r="Z169" s="10">
        <v>159</v>
      </c>
      <c r="AA169" s="10">
        <f>IFERROR(MAX($Z169-积分赛!$C$7,0)*INDEX($U$7:$U$14,MATCH(AA$10,$T$7:$T$14,0))/30,0)</f>
        <v>0</v>
      </c>
      <c r="AB169" s="10">
        <f>IFERROR(MAX($Z169-积分赛!$C$7,0)*INDEX($U$7:$U$14,MATCH(AB$10,$T$7:$T$14,0))/30,0)</f>
        <v>0</v>
      </c>
      <c r="AC169" s="10">
        <f>IFERROR(MAX($Z169-积分赛!$C$7,0)*INDEX($U$7:$U$14,MATCH(AC$10,$T$7:$T$14,0))/30,0)</f>
        <v>0</v>
      </c>
      <c r="AD169" s="10">
        <f>IFERROR(MAX($Z169-积分赛!$C$7,0)*INDEX($U$7:$U$14,MATCH(AD$10,$T$7:$T$14,0))/30,0)</f>
        <v>344000</v>
      </c>
      <c r="AE169" s="10">
        <f>IFERROR(MAX($Z169-积分赛!$C$7,0)*INDEX($U$7:$U$14,MATCH(AE$10,$T$7:$T$14,0))/30,0)</f>
        <v>4300000</v>
      </c>
      <c r="AF169" s="10">
        <f>MAX($Z169-积分赛!$C$7,0)*(IFERROR(INDEX($W$7:$W$14,MATCH(AF$10,$T$7:$T$14,0)),0)*$T$20+IFERROR(INDEX($X$7:$X$14,MATCH(AF$10,$T$7:$T$14,0)),0)*$T$21)/30</f>
        <v>0</v>
      </c>
      <c r="AG169" s="10">
        <f>MAX($Z169-积分赛!$C$7,0)*(IFERROR(INDEX($W$7:$W$14,MATCH(AG$10,$T$7:$T$14,0)),0)*$T$20+IFERROR(INDEX($X$7:$X$14,MATCH(AG$10,$T$7:$T$14,0)),0)*$T$21)/30</f>
        <v>0</v>
      </c>
      <c r="AH169" s="10">
        <f>MAX($Z169-积分赛!$C$7,0)*(IFERROR(INDEX($W$7:$W$14,MATCH(AH$10,$T$7:$T$14,0)),0)*$T$20+IFERROR(INDEX($X$7:$X$14,MATCH(AH$10,$T$7:$T$14,0)),0)*$T$21)/30</f>
        <v>0</v>
      </c>
      <c r="AI169" s="10">
        <f>MAX($Z169-积分赛!$C$7,0)*(IFERROR(INDEX($W$7:$W$14,MATCH(AI$10,$T$7:$T$14,0)),0)*$T$20+IFERROR(INDEX($X$7:$X$14,MATCH(AI$10,$T$7:$T$14,0)),0)*$T$21)/30</f>
        <v>13136.5</v>
      </c>
      <c r="AJ169" s="10">
        <f>MAX($Z169-积分赛!$C$7,0)*(IFERROR(INDEX($W$7:$W$14,MATCH(AJ$10,$T$7:$T$14,0)),0)*$T$20+IFERROR(INDEX($X$7:$X$14,MATCH(AJ$10,$T$7:$T$14,0)),0)*$T$21)/30</f>
        <v>78819</v>
      </c>
      <c r="AL169" s="10">
        <v>159</v>
      </c>
      <c r="AM169" s="10">
        <f>IFERROR(MAX(节奏总纲!D162-积分赛!$C$7,0)*INDEX($U$7:$U$14,MATCH(AA$10,$T$7:$T$14,0))/30,0)</f>
        <v>0</v>
      </c>
      <c r="AN169" s="10">
        <f>IFERROR(MAX(节奏总纲!E162-积分赛!$C$7,0)*INDEX($U$7:$U$14,MATCH(AB$10,$T$7:$T$14,0))/30,0)</f>
        <v>0</v>
      </c>
      <c r="AO169" s="10">
        <f>IFERROR(MAX(节奏总纲!F162-积分赛!$C$7,0)*INDEX($U$7:$U$14,MATCH(AC$10,$T$7:$T$14,0))/30,0)</f>
        <v>0</v>
      </c>
      <c r="AP169" s="10">
        <f>IFERROR(MAX(节奏总纲!G162-积分赛!$C$7,0)*INDEX($U$7:$U$14,MATCH(AD$10,$T$7:$T$14,0))/30,0)</f>
        <v>164607233.69250613</v>
      </c>
      <c r="AQ169" s="10">
        <f>IFERROR(MAX(节奏总纲!H162-积分赛!$C$7,0)*INDEX($U$7:$U$14,MATCH(AE$10,$T$7:$T$14,0))/30,0)</f>
        <v>2057590421.1563268</v>
      </c>
      <c r="AR169" s="10">
        <f>MAX(节奏总纲!D162-积分赛!$C$7,0)*(IFERROR(INDEX($W$7:$W$14,MATCH(AF$10,$T$7:$T$14,0)),0)*$T$20+IFERROR(INDEX($X$7:$X$14,MATCH(AF$10,$T$7:$T$14,0)),0)*$T$21)/30</f>
        <v>0</v>
      </c>
      <c r="AS169" s="10">
        <f>MAX(节奏总纲!E162-积分赛!$C$7,0)*(IFERROR(INDEX($W$7:$W$14,MATCH(AG$10,$T$7:$T$14,0)),0)*$T$20+IFERROR(INDEX($X$7:$X$14,MATCH(AG$10,$T$7:$T$14,0)),0)*$T$21)/30</f>
        <v>0</v>
      </c>
      <c r="AT169" s="10">
        <f>MAX(节奏总纲!F162-积分赛!$C$7,0)*(IFERROR(INDEX($W$7:$W$14,MATCH(AH$10,$T$7:$T$14,0)),0)*$T$20+IFERROR(INDEX($X$7:$X$14,MATCH(AH$10,$T$7:$T$14,0)),0)*$T$21)/30</f>
        <v>0</v>
      </c>
      <c r="AU169" s="10">
        <f>MAX(节奏总纲!G162-积分赛!$C$7,0)*(IFERROR(INDEX($W$7:$W$14,MATCH(AI$10,$T$7:$T$14,0)),0)*$T$20+IFERROR(INDEX($X$7:$X$14,MATCH(AI$10,$T$7:$T$14,0)),0)*$T$21)/30</f>
        <v>6285938.7366325771</v>
      </c>
      <c r="AV169" s="10">
        <f>MAX(节奏总纲!H162-积分赛!$C$7,0)*(IFERROR(INDEX($W$7:$W$14,MATCH(AJ$10,$T$7:$T$14,0)),0)*$T$20+IFERROR(INDEX($X$7:$X$14,MATCH(AJ$10,$T$7:$T$14,0)),0)*$T$21)/30</f>
        <v>37715632.419795468</v>
      </c>
      <c r="BI169" s="10">
        <v>159</v>
      </c>
      <c r="BJ169" s="10">
        <f>MAX($BI169-积分赛!$C$7,0)*$BC$10/30</f>
        <v>430000</v>
      </c>
      <c r="BK169" s="10">
        <f>MAX($BI169-积分赛!$C$7,0)*$BC$10/30</f>
        <v>430000</v>
      </c>
      <c r="BL169" s="10">
        <f>MAX($BI169-积分赛!$C$7,0)*$BC$10/30</f>
        <v>430000</v>
      </c>
      <c r="BM169" s="10">
        <f>MAX($BI169-积分赛!$C$7,0)*$BC$10/30</f>
        <v>430000</v>
      </c>
      <c r="BN169" s="10">
        <f>MAX($BI169-积分赛!$C$7,0)*$BC$10/30</f>
        <v>430000</v>
      </c>
      <c r="BP169" s="10">
        <v>159</v>
      </c>
      <c r="BQ169" s="10">
        <f>MAX(节奏总纲!D162-积分赛!$C$7,0)*$BC$10/30</f>
        <v>203720833.77785411</v>
      </c>
      <c r="BR169" s="10">
        <f>MAX(节奏总纲!E162-积分赛!$C$7,0)*$BC$10/30</f>
        <v>203720833.77785411</v>
      </c>
      <c r="BS169" s="10">
        <f>MAX(节奏总纲!F162-积分赛!$C$7,0)*$BC$10/30</f>
        <v>205759042.11563265</v>
      </c>
      <c r="BT169" s="10">
        <f>MAX(节奏总纲!G162-积分赛!$C$7,0)*$BC$10/30</f>
        <v>205759042.11563265</v>
      </c>
      <c r="BU169" s="10">
        <f>MAX(节奏总纲!H162-积分赛!$C$7,0)*$BC$10/30</f>
        <v>205759042.11563265</v>
      </c>
    </row>
    <row r="170" spans="26:73" x14ac:dyDescent="0.15">
      <c r="Z170" s="10">
        <v>160</v>
      </c>
      <c r="AA170" s="10">
        <f>IFERROR(MAX($Z170-积分赛!$C$7,0)*INDEX($U$7:$U$14,MATCH(AA$10,$T$7:$T$14,0))/30,0)</f>
        <v>0</v>
      </c>
      <c r="AB170" s="10">
        <f>IFERROR(MAX($Z170-积分赛!$C$7,0)*INDEX($U$7:$U$14,MATCH(AB$10,$T$7:$T$14,0))/30,0)</f>
        <v>0</v>
      </c>
      <c r="AC170" s="10">
        <f>IFERROR(MAX($Z170-积分赛!$C$7,0)*INDEX($U$7:$U$14,MATCH(AC$10,$T$7:$T$14,0))/30,0)</f>
        <v>0</v>
      </c>
      <c r="AD170" s="10">
        <f>IFERROR(MAX($Z170-积分赛!$C$7,0)*INDEX($U$7:$U$14,MATCH(AD$10,$T$7:$T$14,0))/30,0)</f>
        <v>346666.66666666669</v>
      </c>
      <c r="AE170" s="10">
        <f>IFERROR(MAX($Z170-积分赛!$C$7,0)*INDEX($U$7:$U$14,MATCH(AE$10,$T$7:$T$14,0))/30,0)</f>
        <v>4333333.333333333</v>
      </c>
      <c r="AF170" s="10">
        <f>MAX($Z170-积分赛!$C$7,0)*(IFERROR(INDEX($W$7:$W$14,MATCH(AF$10,$T$7:$T$14,0)),0)*$T$20+IFERROR(INDEX($X$7:$X$14,MATCH(AF$10,$T$7:$T$14,0)),0)*$T$21)/30</f>
        <v>0</v>
      </c>
      <c r="AG170" s="10">
        <f>MAX($Z170-积分赛!$C$7,0)*(IFERROR(INDEX($W$7:$W$14,MATCH(AG$10,$T$7:$T$14,0)),0)*$T$20+IFERROR(INDEX($X$7:$X$14,MATCH(AG$10,$T$7:$T$14,0)),0)*$T$21)/30</f>
        <v>0</v>
      </c>
      <c r="AH170" s="10">
        <f>MAX($Z170-积分赛!$C$7,0)*(IFERROR(INDEX($W$7:$W$14,MATCH(AH$10,$T$7:$T$14,0)),0)*$T$20+IFERROR(INDEX($X$7:$X$14,MATCH(AH$10,$T$7:$T$14,0)),0)*$T$21)/30</f>
        <v>0</v>
      </c>
      <c r="AI170" s="10">
        <f>MAX($Z170-积分赛!$C$7,0)*(IFERROR(INDEX($W$7:$W$14,MATCH(AI$10,$T$7:$T$14,0)),0)*$T$20+IFERROR(INDEX($X$7:$X$14,MATCH(AI$10,$T$7:$T$14,0)),0)*$T$21)/30</f>
        <v>13238.333333333334</v>
      </c>
      <c r="AJ170" s="10">
        <f>MAX($Z170-积分赛!$C$7,0)*(IFERROR(INDEX($W$7:$W$14,MATCH(AJ$10,$T$7:$T$14,0)),0)*$T$20+IFERROR(INDEX($X$7:$X$14,MATCH(AJ$10,$T$7:$T$14,0)),0)*$T$21)/30</f>
        <v>79430</v>
      </c>
      <c r="AL170" s="10">
        <v>160</v>
      </c>
      <c r="AM170" s="10">
        <f>IFERROR(MAX(节奏总纲!D163-积分赛!$C$7,0)*INDEX($U$7:$U$14,MATCH(AA$10,$T$7:$T$14,0))/30,0)</f>
        <v>0</v>
      </c>
      <c r="AN170" s="10">
        <f>IFERROR(MAX(节奏总纲!E163-积分赛!$C$7,0)*INDEX($U$7:$U$14,MATCH(AB$10,$T$7:$T$14,0))/30,0)</f>
        <v>0</v>
      </c>
      <c r="AO170" s="10">
        <f>IFERROR(MAX(节奏总纲!F163-积分赛!$C$7,0)*INDEX($U$7:$U$14,MATCH(AC$10,$T$7:$T$14,0))/30,0)</f>
        <v>0</v>
      </c>
      <c r="AP170" s="10">
        <f>IFERROR(MAX(节奏总纲!G163-积分赛!$C$7,0)*INDEX($U$7:$U$14,MATCH(AD$10,$T$7:$T$14,0))/30,0)</f>
        <v>176427600</v>
      </c>
      <c r="AQ170" s="10">
        <f>IFERROR(MAX(节奏总纲!H163-积分赛!$C$7,0)*INDEX($U$7:$U$14,MATCH(AE$10,$T$7:$T$14,0))/30,0)</f>
        <v>2205345000.0000005</v>
      </c>
      <c r="AR170" s="10">
        <f>MAX(节奏总纲!D163-积分赛!$C$7,0)*(IFERROR(INDEX($W$7:$W$14,MATCH(AF$10,$T$7:$T$14,0)),0)*$T$20+IFERROR(INDEX($X$7:$X$14,MATCH(AF$10,$T$7:$T$14,0)),0)*$T$21)/30</f>
        <v>0</v>
      </c>
      <c r="AS170" s="10">
        <f>MAX(节奏总纲!E163-积分赛!$C$7,0)*(IFERROR(INDEX($W$7:$W$14,MATCH(AG$10,$T$7:$T$14,0)),0)*$T$20+IFERROR(INDEX($X$7:$X$14,MATCH(AG$10,$T$7:$T$14,0)),0)*$T$21)/30</f>
        <v>0</v>
      </c>
      <c r="AT170" s="10">
        <f>MAX(节奏总纲!F163-积分赛!$C$7,0)*(IFERROR(INDEX($W$7:$W$14,MATCH(AH$10,$T$7:$T$14,0)),0)*$T$20+IFERROR(INDEX($X$7:$X$14,MATCH(AH$10,$T$7:$T$14,0)),0)*$T$21)/30</f>
        <v>0</v>
      </c>
      <c r="AU170" s="10">
        <f>MAX(节奏总纲!G163-积分赛!$C$7,0)*(IFERROR(INDEX($W$7:$W$14,MATCH(AI$10,$T$7:$T$14,0)),0)*$T$20+IFERROR(INDEX($X$7:$X$14,MATCH(AI$10,$T$7:$T$14,0)),0)*$T$21)/30</f>
        <v>6737328.9750000006</v>
      </c>
      <c r="AV170" s="10">
        <f>MAX(节奏总纲!H163-积分赛!$C$7,0)*(IFERROR(INDEX($W$7:$W$14,MATCH(AJ$10,$T$7:$T$14,0)),0)*$T$20+IFERROR(INDEX($X$7:$X$14,MATCH(AJ$10,$T$7:$T$14,0)),0)*$T$21)/30</f>
        <v>40423973.850000001</v>
      </c>
      <c r="BI170" s="10">
        <v>160</v>
      </c>
      <c r="BJ170" s="10">
        <f>MAX($BI170-积分赛!$C$7,0)*$BC$10/30</f>
        <v>433333.33333333331</v>
      </c>
      <c r="BK170" s="10">
        <f>MAX($BI170-积分赛!$C$7,0)*$BC$10/30</f>
        <v>433333.33333333331</v>
      </c>
      <c r="BL170" s="10">
        <f>MAX($BI170-积分赛!$C$7,0)*$BC$10/30</f>
        <v>433333.33333333331</v>
      </c>
      <c r="BM170" s="10">
        <f>MAX($BI170-积分赛!$C$7,0)*$BC$10/30</f>
        <v>433333.33333333331</v>
      </c>
      <c r="BN170" s="10">
        <f>MAX($BI170-积分赛!$C$7,0)*$BC$10/30</f>
        <v>433333.33333333331</v>
      </c>
      <c r="BP170" s="10">
        <v>160</v>
      </c>
      <c r="BQ170" s="10">
        <f>MAX(节奏总纲!D163-积分赛!$C$7,0)*$BC$10/30</f>
        <v>218350000</v>
      </c>
      <c r="BR170" s="10">
        <f>MAX(节奏总纲!E163-积分赛!$C$7,0)*$BC$10/30</f>
        <v>218350000</v>
      </c>
      <c r="BS170" s="10">
        <f>MAX(节奏总纲!F163-积分赛!$C$7,0)*$BC$10/30</f>
        <v>220534500.00000003</v>
      </c>
      <c r="BT170" s="10">
        <f>MAX(节奏总纲!G163-积分赛!$C$7,0)*$BC$10/30</f>
        <v>220534500.00000003</v>
      </c>
      <c r="BU170" s="10">
        <f>MAX(节奏总纲!H163-积分赛!$C$7,0)*$BC$10/30</f>
        <v>220534500.00000003</v>
      </c>
    </row>
    <row r="171" spans="26:73" x14ac:dyDescent="0.15">
      <c r="Z171" s="10">
        <v>161</v>
      </c>
      <c r="AA171" s="10">
        <f>IFERROR(MAX($Z171-积分赛!$C$7,0)*INDEX($U$7:$U$14,MATCH(AA$10,$T$7:$T$14,0))/30,0)</f>
        <v>0</v>
      </c>
      <c r="AB171" s="10">
        <f>IFERROR(MAX($Z171-积分赛!$C$7,0)*INDEX($U$7:$U$14,MATCH(AB$10,$T$7:$T$14,0))/30,0)</f>
        <v>0</v>
      </c>
      <c r="AC171" s="10">
        <f>IFERROR(MAX($Z171-积分赛!$C$7,0)*INDEX($U$7:$U$14,MATCH(AC$10,$T$7:$T$14,0))/30,0)</f>
        <v>0</v>
      </c>
      <c r="AD171" s="10">
        <f>IFERROR(MAX($Z171-积分赛!$C$7,0)*INDEX($U$7:$U$14,MATCH(AD$10,$T$7:$T$14,0))/30,0)</f>
        <v>349333.33333333331</v>
      </c>
      <c r="AE171" s="10">
        <f>IFERROR(MAX($Z171-积分赛!$C$7,0)*INDEX($U$7:$U$14,MATCH(AE$10,$T$7:$T$14,0))/30,0)</f>
        <v>4366666.666666667</v>
      </c>
      <c r="AF171" s="10">
        <f>MAX($Z171-积分赛!$C$7,0)*(IFERROR(INDEX($W$7:$W$14,MATCH(AF$10,$T$7:$T$14,0)),0)*$T$20+IFERROR(INDEX($X$7:$X$14,MATCH(AF$10,$T$7:$T$14,0)),0)*$T$21)/30</f>
        <v>0</v>
      </c>
      <c r="AG171" s="10">
        <f>MAX($Z171-积分赛!$C$7,0)*(IFERROR(INDEX($W$7:$W$14,MATCH(AG$10,$T$7:$T$14,0)),0)*$T$20+IFERROR(INDEX($X$7:$X$14,MATCH(AG$10,$T$7:$T$14,0)),0)*$T$21)/30</f>
        <v>0</v>
      </c>
      <c r="AH171" s="10">
        <f>MAX($Z171-积分赛!$C$7,0)*(IFERROR(INDEX($W$7:$W$14,MATCH(AH$10,$T$7:$T$14,0)),0)*$T$20+IFERROR(INDEX($X$7:$X$14,MATCH(AH$10,$T$7:$T$14,0)),0)*$T$21)/30</f>
        <v>0</v>
      </c>
      <c r="AI171" s="10">
        <f>MAX($Z171-积分赛!$C$7,0)*(IFERROR(INDEX($W$7:$W$14,MATCH(AI$10,$T$7:$T$14,0)),0)*$T$20+IFERROR(INDEX($X$7:$X$14,MATCH(AI$10,$T$7:$T$14,0)),0)*$T$21)/30</f>
        <v>13340.166666666666</v>
      </c>
      <c r="AJ171" s="10">
        <f>MAX($Z171-积分赛!$C$7,0)*(IFERROR(INDEX($W$7:$W$14,MATCH(AJ$10,$T$7:$T$14,0)),0)*$T$20+IFERROR(INDEX($X$7:$X$14,MATCH(AJ$10,$T$7:$T$14,0)),0)*$T$21)/30</f>
        <v>80041</v>
      </c>
      <c r="AO171" s="10"/>
      <c r="AP171" s="10"/>
      <c r="AQ171" s="10"/>
      <c r="AR171" s="10"/>
      <c r="AS171" s="10"/>
      <c r="AT171" s="10"/>
      <c r="AU171" s="10"/>
      <c r="AV171" s="10"/>
      <c r="BI171" s="10">
        <v>161</v>
      </c>
      <c r="BJ171" s="10">
        <f>MAX($BI171-积分赛!$C$7,0)*$BC$10/30</f>
        <v>436666.66666666669</v>
      </c>
      <c r="BK171" s="10">
        <f>MAX($BI171-积分赛!$C$7,0)*$BC$10/30</f>
        <v>436666.66666666669</v>
      </c>
      <c r="BL171" s="10">
        <f>MAX($BI171-积分赛!$C$7,0)*$BC$10/30</f>
        <v>436666.66666666669</v>
      </c>
      <c r="BM171" s="10">
        <f>MAX($BI171-积分赛!$C$7,0)*$BC$10/30</f>
        <v>436666.66666666669</v>
      </c>
      <c r="BN171" s="10">
        <f>MAX($BI171-积分赛!$C$7,0)*$BC$10/30</f>
        <v>436666.66666666669</v>
      </c>
    </row>
    <row r="172" spans="26:73" x14ac:dyDescent="0.15">
      <c r="Z172" s="10">
        <v>162</v>
      </c>
      <c r="AA172" s="10">
        <f>IFERROR(MAX($Z172-积分赛!$C$7,0)*INDEX($U$7:$U$14,MATCH(AA$10,$T$7:$T$14,0))/30,0)</f>
        <v>0</v>
      </c>
      <c r="AB172" s="10">
        <f>IFERROR(MAX($Z172-积分赛!$C$7,0)*INDEX($U$7:$U$14,MATCH(AB$10,$T$7:$T$14,0))/30,0)</f>
        <v>0</v>
      </c>
      <c r="AC172" s="10">
        <f>IFERROR(MAX($Z172-积分赛!$C$7,0)*INDEX($U$7:$U$14,MATCH(AC$10,$T$7:$T$14,0))/30,0)</f>
        <v>0</v>
      </c>
      <c r="AD172" s="10">
        <f>IFERROR(MAX($Z172-积分赛!$C$7,0)*INDEX($U$7:$U$14,MATCH(AD$10,$T$7:$T$14,0))/30,0)</f>
        <v>352000</v>
      </c>
      <c r="AE172" s="10">
        <f>IFERROR(MAX($Z172-积分赛!$C$7,0)*INDEX($U$7:$U$14,MATCH(AE$10,$T$7:$T$14,0))/30,0)</f>
        <v>4400000</v>
      </c>
      <c r="AF172" s="10">
        <f>MAX($Z172-积分赛!$C$7,0)*(IFERROR(INDEX($W$7:$W$14,MATCH(AF$10,$T$7:$T$14,0)),0)*$T$20+IFERROR(INDEX($X$7:$X$14,MATCH(AF$10,$T$7:$T$14,0)),0)*$T$21)/30</f>
        <v>0</v>
      </c>
      <c r="AG172" s="10">
        <f>MAX($Z172-积分赛!$C$7,0)*(IFERROR(INDEX($W$7:$W$14,MATCH(AG$10,$T$7:$T$14,0)),0)*$T$20+IFERROR(INDEX($X$7:$X$14,MATCH(AG$10,$T$7:$T$14,0)),0)*$T$21)/30</f>
        <v>0</v>
      </c>
      <c r="AH172" s="10">
        <f>MAX($Z172-积分赛!$C$7,0)*(IFERROR(INDEX($W$7:$W$14,MATCH(AH$10,$T$7:$T$14,0)),0)*$T$20+IFERROR(INDEX($X$7:$X$14,MATCH(AH$10,$T$7:$T$14,0)),0)*$T$21)/30</f>
        <v>0</v>
      </c>
      <c r="AI172" s="10">
        <f>MAX($Z172-积分赛!$C$7,0)*(IFERROR(INDEX($W$7:$W$14,MATCH(AI$10,$T$7:$T$14,0)),0)*$T$20+IFERROR(INDEX($X$7:$X$14,MATCH(AI$10,$T$7:$T$14,0)),0)*$T$21)/30</f>
        <v>13442</v>
      </c>
      <c r="AJ172" s="10">
        <f>MAX($Z172-积分赛!$C$7,0)*(IFERROR(INDEX($W$7:$W$14,MATCH(AJ$10,$T$7:$T$14,0)),0)*$T$20+IFERROR(INDEX($X$7:$X$14,MATCH(AJ$10,$T$7:$T$14,0)),0)*$T$21)/30</f>
        <v>80652</v>
      </c>
      <c r="AO172" s="10"/>
      <c r="AP172" s="10"/>
      <c r="AQ172" s="10"/>
      <c r="AR172" s="10"/>
      <c r="AS172" s="10"/>
      <c r="AT172" s="10"/>
      <c r="AU172" s="10"/>
      <c r="AV172" s="10"/>
      <c r="BI172" s="10">
        <v>162</v>
      </c>
      <c r="BJ172" s="10">
        <f>MAX($BI172-积分赛!$C$7,0)*$BC$10/30</f>
        <v>440000</v>
      </c>
      <c r="BK172" s="10">
        <f>MAX($BI172-积分赛!$C$7,0)*$BC$10/30</f>
        <v>440000</v>
      </c>
      <c r="BL172" s="10">
        <f>MAX($BI172-积分赛!$C$7,0)*$BC$10/30</f>
        <v>440000</v>
      </c>
      <c r="BM172" s="10">
        <f>MAX($BI172-积分赛!$C$7,0)*$BC$10/30</f>
        <v>440000</v>
      </c>
      <c r="BN172" s="10">
        <f>MAX($BI172-积分赛!$C$7,0)*$BC$10/30</f>
        <v>440000</v>
      </c>
    </row>
    <row r="173" spans="26:73" x14ac:dyDescent="0.15">
      <c r="Z173" s="10">
        <v>163</v>
      </c>
      <c r="AA173" s="10">
        <f>IFERROR(MAX($Z173-积分赛!$C$7,0)*INDEX($U$7:$U$14,MATCH(AA$10,$T$7:$T$14,0))/30,0)</f>
        <v>0</v>
      </c>
      <c r="AB173" s="10">
        <f>IFERROR(MAX($Z173-积分赛!$C$7,0)*INDEX($U$7:$U$14,MATCH(AB$10,$T$7:$T$14,0))/30,0)</f>
        <v>0</v>
      </c>
      <c r="AC173" s="10">
        <f>IFERROR(MAX($Z173-积分赛!$C$7,0)*INDEX($U$7:$U$14,MATCH(AC$10,$T$7:$T$14,0))/30,0)</f>
        <v>0</v>
      </c>
      <c r="AD173" s="10">
        <f>IFERROR(MAX($Z173-积分赛!$C$7,0)*INDEX($U$7:$U$14,MATCH(AD$10,$T$7:$T$14,0))/30,0)</f>
        <v>354666.66666666669</v>
      </c>
      <c r="AE173" s="10">
        <f>IFERROR(MAX($Z173-积分赛!$C$7,0)*INDEX($U$7:$U$14,MATCH(AE$10,$T$7:$T$14,0))/30,0)</f>
        <v>4433333.333333333</v>
      </c>
      <c r="AF173" s="10">
        <f>MAX($Z173-积分赛!$C$7,0)*(IFERROR(INDEX($W$7:$W$14,MATCH(AF$10,$T$7:$T$14,0)),0)*$T$20+IFERROR(INDEX($X$7:$X$14,MATCH(AF$10,$T$7:$T$14,0)),0)*$T$21)/30</f>
        <v>0</v>
      </c>
      <c r="AG173" s="10">
        <f>MAX($Z173-积分赛!$C$7,0)*(IFERROR(INDEX($W$7:$W$14,MATCH(AG$10,$T$7:$T$14,0)),0)*$T$20+IFERROR(INDEX($X$7:$X$14,MATCH(AG$10,$T$7:$T$14,0)),0)*$T$21)/30</f>
        <v>0</v>
      </c>
      <c r="AH173" s="10">
        <f>MAX($Z173-积分赛!$C$7,0)*(IFERROR(INDEX($W$7:$W$14,MATCH(AH$10,$T$7:$T$14,0)),0)*$T$20+IFERROR(INDEX($X$7:$X$14,MATCH(AH$10,$T$7:$T$14,0)),0)*$T$21)/30</f>
        <v>0</v>
      </c>
      <c r="AI173" s="10">
        <f>MAX($Z173-积分赛!$C$7,0)*(IFERROR(INDEX($W$7:$W$14,MATCH(AI$10,$T$7:$T$14,0)),0)*$T$20+IFERROR(INDEX($X$7:$X$14,MATCH(AI$10,$T$7:$T$14,0)),0)*$T$21)/30</f>
        <v>13543.833333333334</v>
      </c>
      <c r="AJ173" s="10">
        <f>MAX($Z173-积分赛!$C$7,0)*(IFERROR(INDEX($W$7:$W$14,MATCH(AJ$10,$T$7:$T$14,0)),0)*$T$20+IFERROR(INDEX($X$7:$X$14,MATCH(AJ$10,$T$7:$T$14,0)),0)*$T$21)/30</f>
        <v>81263</v>
      </c>
      <c r="AO173" s="10"/>
      <c r="AP173" s="10"/>
      <c r="AQ173" s="10"/>
      <c r="AR173" s="10"/>
      <c r="AS173" s="10"/>
      <c r="AT173" s="10"/>
      <c r="AU173" s="10"/>
      <c r="AV173" s="10"/>
      <c r="BI173" s="10">
        <v>163</v>
      </c>
      <c r="BJ173" s="10">
        <f>MAX($BI173-积分赛!$C$7,0)*$BC$10/30</f>
        <v>443333.33333333331</v>
      </c>
      <c r="BK173" s="10">
        <f>MAX($BI173-积分赛!$C$7,0)*$BC$10/30</f>
        <v>443333.33333333331</v>
      </c>
      <c r="BL173" s="10">
        <f>MAX($BI173-积分赛!$C$7,0)*$BC$10/30</f>
        <v>443333.33333333331</v>
      </c>
      <c r="BM173" s="10">
        <f>MAX($BI173-积分赛!$C$7,0)*$BC$10/30</f>
        <v>443333.33333333331</v>
      </c>
      <c r="BN173" s="10">
        <f>MAX($BI173-积分赛!$C$7,0)*$BC$10/30</f>
        <v>443333.33333333331</v>
      </c>
    </row>
    <row r="174" spans="26:73" x14ac:dyDescent="0.15">
      <c r="Z174" s="10">
        <v>164</v>
      </c>
      <c r="AA174" s="10">
        <f>IFERROR(MAX($Z174-积分赛!$C$7,0)*INDEX($U$7:$U$14,MATCH(AA$10,$T$7:$T$14,0))/30,0)</f>
        <v>0</v>
      </c>
      <c r="AB174" s="10">
        <f>IFERROR(MAX($Z174-积分赛!$C$7,0)*INDEX($U$7:$U$14,MATCH(AB$10,$T$7:$T$14,0))/30,0)</f>
        <v>0</v>
      </c>
      <c r="AC174" s="10">
        <f>IFERROR(MAX($Z174-积分赛!$C$7,0)*INDEX($U$7:$U$14,MATCH(AC$10,$T$7:$T$14,0))/30,0)</f>
        <v>0</v>
      </c>
      <c r="AD174" s="10">
        <f>IFERROR(MAX($Z174-积分赛!$C$7,0)*INDEX($U$7:$U$14,MATCH(AD$10,$T$7:$T$14,0))/30,0)</f>
        <v>357333.33333333331</v>
      </c>
      <c r="AE174" s="10">
        <f>IFERROR(MAX($Z174-积分赛!$C$7,0)*INDEX($U$7:$U$14,MATCH(AE$10,$T$7:$T$14,0))/30,0)</f>
        <v>4466666.666666667</v>
      </c>
      <c r="AF174" s="10">
        <f>MAX($Z174-积分赛!$C$7,0)*(IFERROR(INDEX($W$7:$W$14,MATCH(AF$10,$T$7:$T$14,0)),0)*$T$20+IFERROR(INDEX($X$7:$X$14,MATCH(AF$10,$T$7:$T$14,0)),0)*$T$21)/30</f>
        <v>0</v>
      </c>
      <c r="AG174" s="10">
        <f>MAX($Z174-积分赛!$C$7,0)*(IFERROR(INDEX($W$7:$W$14,MATCH(AG$10,$T$7:$T$14,0)),0)*$T$20+IFERROR(INDEX($X$7:$X$14,MATCH(AG$10,$T$7:$T$14,0)),0)*$T$21)/30</f>
        <v>0</v>
      </c>
      <c r="AH174" s="10">
        <f>MAX($Z174-积分赛!$C$7,0)*(IFERROR(INDEX($W$7:$W$14,MATCH(AH$10,$T$7:$T$14,0)),0)*$T$20+IFERROR(INDEX($X$7:$X$14,MATCH(AH$10,$T$7:$T$14,0)),0)*$T$21)/30</f>
        <v>0</v>
      </c>
      <c r="AI174" s="10">
        <f>MAX($Z174-积分赛!$C$7,0)*(IFERROR(INDEX($W$7:$W$14,MATCH(AI$10,$T$7:$T$14,0)),0)*$T$20+IFERROR(INDEX($X$7:$X$14,MATCH(AI$10,$T$7:$T$14,0)),0)*$T$21)/30</f>
        <v>13645.666666666666</v>
      </c>
      <c r="AJ174" s="10">
        <f>MAX($Z174-积分赛!$C$7,0)*(IFERROR(INDEX($W$7:$W$14,MATCH(AJ$10,$T$7:$T$14,0)),0)*$T$20+IFERROR(INDEX($X$7:$X$14,MATCH(AJ$10,$T$7:$T$14,0)),0)*$T$21)/30</f>
        <v>81874</v>
      </c>
      <c r="AO174" s="10"/>
      <c r="AP174" s="10"/>
      <c r="AQ174" s="10"/>
      <c r="AR174" s="10"/>
      <c r="AS174" s="10"/>
      <c r="AT174" s="10"/>
      <c r="AU174" s="10"/>
      <c r="AV174" s="10"/>
      <c r="BI174" s="10">
        <v>164</v>
      </c>
      <c r="BJ174" s="10">
        <f>MAX($BI174-积分赛!$C$7,0)*$BC$10/30</f>
        <v>446666.66666666669</v>
      </c>
      <c r="BK174" s="10">
        <f>MAX($BI174-积分赛!$C$7,0)*$BC$10/30</f>
        <v>446666.66666666669</v>
      </c>
      <c r="BL174" s="10">
        <f>MAX($BI174-积分赛!$C$7,0)*$BC$10/30</f>
        <v>446666.66666666669</v>
      </c>
      <c r="BM174" s="10">
        <f>MAX($BI174-积分赛!$C$7,0)*$BC$10/30</f>
        <v>446666.66666666669</v>
      </c>
      <c r="BN174" s="10">
        <f>MAX($BI174-积分赛!$C$7,0)*$BC$10/30</f>
        <v>446666.66666666669</v>
      </c>
    </row>
    <row r="175" spans="26:73" x14ac:dyDescent="0.15">
      <c r="Z175" s="10">
        <v>165</v>
      </c>
      <c r="AA175" s="10">
        <f>IFERROR(MAX($Z175-积分赛!$C$7,0)*INDEX($U$7:$U$14,MATCH(AA$10,$T$7:$T$14,0))/30,0)</f>
        <v>0</v>
      </c>
      <c r="AB175" s="10">
        <f>IFERROR(MAX($Z175-积分赛!$C$7,0)*INDEX($U$7:$U$14,MATCH(AB$10,$T$7:$T$14,0))/30,0)</f>
        <v>0</v>
      </c>
      <c r="AC175" s="10">
        <f>IFERROR(MAX($Z175-积分赛!$C$7,0)*INDEX($U$7:$U$14,MATCH(AC$10,$T$7:$T$14,0))/30,0)</f>
        <v>0</v>
      </c>
      <c r="AD175" s="10">
        <f>IFERROR(MAX($Z175-积分赛!$C$7,0)*INDEX($U$7:$U$14,MATCH(AD$10,$T$7:$T$14,0))/30,0)</f>
        <v>360000</v>
      </c>
      <c r="AE175" s="10">
        <f>IFERROR(MAX($Z175-积分赛!$C$7,0)*INDEX($U$7:$U$14,MATCH(AE$10,$T$7:$T$14,0))/30,0)</f>
        <v>4500000</v>
      </c>
      <c r="AF175" s="10">
        <f>MAX($Z175-积分赛!$C$7,0)*(IFERROR(INDEX($W$7:$W$14,MATCH(AF$10,$T$7:$T$14,0)),0)*$T$20+IFERROR(INDEX($X$7:$X$14,MATCH(AF$10,$T$7:$T$14,0)),0)*$T$21)/30</f>
        <v>0</v>
      </c>
      <c r="AG175" s="10">
        <f>MAX($Z175-积分赛!$C$7,0)*(IFERROR(INDEX($W$7:$W$14,MATCH(AG$10,$T$7:$T$14,0)),0)*$T$20+IFERROR(INDEX($X$7:$X$14,MATCH(AG$10,$T$7:$T$14,0)),0)*$T$21)/30</f>
        <v>0</v>
      </c>
      <c r="AH175" s="10">
        <f>MAX($Z175-积分赛!$C$7,0)*(IFERROR(INDEX($W$7:$W$14,MATCH(AH$10,$T$7:$T$14,0)),0)*$T$20+IFERROR(INDEX($X$7:$X$14,MATCH(AH$10,$T$7:$T$14,0)),0)*$T$21)/30</f>
        <v>0</v>
      </c>
      <c r="AI175" s="10">
        <f>MAX($Z175-积分赛!$C$7,0)*(IFERROR(INDEX($W$7:$W$14,MATCH(AI$10,$T$7:$T$14,0)),0)*$T$20+IFERROR(INDEX($X$7:$X$14,MATCH(AI$10,$T$7:$T$14,0)),0)*$T$21)/30</f>
        <v>13747.5</v>
      </c>
      <c r="AJ175" s="10">
        <f>MAX($Z175-积分赛!$C$7,0)*(IFERROR(INDEX($W$7:$W$14,MATCH(AJ$10,$T$7:$T$14,0)),0)*$T$20+IFERROR(INDEX($X$7:$X$14,MATCH(AJ$10,$T$7:$T$14,0)),0)*$T$21)/30</f>
        <v>82485</v>
      </c>
      <c r="AO175" s="10"/>
      <c r="AP175" s="10"/>
      <c r="AQ175" s="10"/>
      <c r="AR175" s="10"/>
      <c r="AS175" s="10"/>
      <c r="AT175" s="10"/>
      <c r="AU175" s="10"/>
      <c r="AV175" s="10"/>
      <c r="BI175" s="10">
        <v>165</v>
      </c>
      <c r="BJ175" s="10">
        <f>MAX($BI175-积分赛!$C$7,0)*$BC$10/30</f>
        <v>450000</v>
      </c>
      <c r="BK175" s="10">
        <f>MAX($BI175-积分赛!$C$7,0)*$BC$10/30</f>
        <v>450000</v>
      </c>
      <c r="BL175" s="10">
        <f>MAX($BI175-积分赛!$C$7,0)*$BC$10/30</f>
        <v>450000</v>
      </c>
      <c r="BM175" s="10">
        <f>MAX($BI175-积分赛!$C$7,0)*$BC$10/30</f>
        <v>450000</v>
      </c>
      <c r="BN175" s="10">
        <f>MAX($BI175-积分赛!$C$7,0)*$BC$10/30</f>
        <v>450000</v>
      </c>
    </row>
    <row r="176" spans="26:73" x14ac:dyDescent="0.15">
      <c r="Z176" s="10">
        <v>166</v>
      </c>
      <c r="AA176" s="10">
        <f>IFERROR(MAX($Z176-积分赛!$C$7,0)*INDEX($U$7:$U$14,MATCH(AA$10,$T$7:$T$14,0))/30,0)</f>
        <v>0</v>
      </c>
      <c r="AB176" s="10">
        <f>IFERROR(MAX($Z176-积分赛!$C$7,0)*INDEX($U$7:$U$14,MATCH(AB$10,$T$7:$T$14,0))/30,0)</f>
        <v>0</v>
      </c>
      <c r="AC176" s="10">
        <f>IFERROR(MAX($Z176-积分赛!$C$7,0)*INDEX($U$7:$U$14,MATCH(AC$10,$T$7:$T$14,0))/30,0)</f>
        <v>0</v>
      </c>
      <c r="AD176" s="10">
        <f>IFERROR(MAX($Z176-积分赛!$C$7,0)*INDEX($U$7:$U$14,MATCH(AD$10,$T$7:$T$14,0))/30,0)</f>
        <v>362666.66666666669</v>
      </c>
      <c r="AE176" s="10">
        <f>IFERROR(MAX($Z176-积分赛!$C$7,0)*INDEX($U$7:$U$14,MATCH(AE$10,$T$7:$T$14,0))/30,0)</f>
        <v>4533333.333333333</v>
      </c>
      <c r="AF176" s="10">
        <f>MAX($Z176-积分赛!$C$7,0)*(IFERROR(INDEX($W$7:$W$14,MATCH(AF$10,$T$7:$T$14,0)),0)*$T$20+IFERROR(INDEX($X$7:$X$14,MATCH(AF$10,$T$7:$T$14,0)),0)*$T$21)/30</f>
        <v>0</v>
      </c>
      <c r="AG176" s="10">
        <f>MAX($Z176-积分赛!$C$7,0)*(IFERROR(INDEX($W$7:$W$14,MATCH(AG$10,$T$7:$T$14,0)),0)*$T$20+IFERROR(INDEX($X$7:$X$14,MATCH(AG$10,$T$7:$T$14,0)),0)*$T$21)/30</f>
        <v>0</v>
      </c>
      <c r="AH176" s="10">
        <f>MAX($Z176-积分赛!$C$7,0)*(IFERROR(INDEX($W$7:$W$14,MATCH(AH$10,$T$7:$T$14,0)),0)*$T$20+IFERROR(INDEX($X$7:$X$14,MATCH(AH$10,$T$7:$T$14,0)),0)*$T$21)/30</f>
        <v>0</v>
      </c>
      <c r="AI176" s="10">
        <f>MAX($Z176-积分赛!$C$7,0)*(IFERROR(INDEX($W$7:$W$14,MATCH(AI$10,$T$7:$T$14,0)),0)*$T$20+IFERROR(INDEX($X$7:$X$14,MATCH(AI$10,$T$7:$T$14,0)),0)*$T$21)/30</f>
        <v>13849.333333333334</v>
      </c>
      <c r="AJ176" s="10">
        <f>MAX($Z176-积分赛!$C$7,0)*(IFERROR(INDEX($W$7:$W$14,MATCH(AJ$10,$T$7:$T$14,0)),0)*$T$20+IFERROR(INDEX($X$7:$X$14,MATCH(AJ$10,$T$7:$T$14,0)),0)*$T$21)/30</f>
        <v>83096</v>
      </c>
      <c r="AO176" s="10"/>
      <c r="AP176" s="10"/>
      <c r="AQ176" s="10"/>
      <c r="AR176" s="10"/>
      <c r="AS176" s="10"/>
      <c r="AT176" s="10"/>
      <c r="AU176" s="10"/>
      <c r="AV176" s="10"/>
      <c r="BI176" s="10">
        <v>166</v>
      </c>
      <c r="BJ176" s="10">
        <f>MAX($BI176-积分赛!$C$7,0)*$BC$10/30</f>
        <v>453333.33333333331</v>
      </c>
      <c r="BK176" s="10">
        <f>MAX($BI176-积分赛!$C$7,0)*$BC$10/30</f>
        <v>453333.33333333331</v>
      </c>
      <c r="BL176" s="10">
        <f>MAX($BI176-积分赛!$C$7,0)*$BC$10/30</f>
        <v>453333.33333333331</v>
      </c>
      <c r="BM176" s="10">
        <f>MAX($BI176-积分赛!$C$7,0)*$BC$10/30</f>
        <v>453333.33333333331</v>
      </c>
      <c r="BN176" s="10">
        <f>MAX($BI176-积分赛!$C$7,0)*$BC$10/30</f>
        <v>453333.33333333331</v>
      </c>
    </row>
    <row r="177" spans="26:66" x14ac:dyDescent="0.15">
      <c r="Z177" s="10">
        <v>167</v>
      </c>
      <c r="AA177" s="10">
        <f>IFERROR(MAX($Z177-积分赛!$C$7,0)*INDEX($U$7:$U$14,MATCH(AA$10,$T$7:$T$14,0))/30,0)</f>
        <v>0</v>
      </c>
      <c r="AB177" s="10">
        <f>IFERROR(MAX($Z177-积分赛!$C$7,0)*INDEX($U$7:$U$14,MATCH(AB$10,$T$7:$T$14,0))/30,0)</f>
        <v>0</v>
      </c>
      <c r="AC177" s="10">
        <f>IFERROR(MAX($Z177-积分赛!$C$7,0)*INDEX($U$7:$U$14,MATCH(AC$10,$T$7:$T$14,0))/30,0)</f>
        <v>0</v>
      </c>
      <c r="AD177" s="10">
        <f>IFERROR(MAX($Z177-积分赛!$C$7,0)*INDEX($U$7:$U$14,MATCH(AD$10,$T$7:$T$14,0))/30,0)</f>
        <v>365333.33333333331</v>
      </c>
      <c r="AE177" s="10">
        <f>IFERROR(MAX($Z177-积分赛!$C$7,0)*INDEX($U$7:$U$14,MATCH(AE$10,$T$7:$T$14,0))/30,0)</f>
        <v>4566666.666666667</v>
      </c>
      <c r="AF177" s="10">
        <f>MAX($Z177-积分赛!$C$7,0)*(IFERROR(INDEX($W$7:$W$14,MATCH(AF$10,$T$7:$T$14,0)),0)*$T$20+IFERROR(INDEX($X$7:$X$14,MATCH(AF$10,$T$7:$T$14,0)),0)*$T$21)/30</f>
        <v>0</v>
      </c>
      <c r="AG177" s="10">
        <f>MAX($Z177-积分赛!$C$7,0)*(IFERROR(INDEX($W$7:$W$14,MATCH(AG$10,$T$7:$T$14,0)),0)*$T$20+IFERROR(INDEX($X$7:$X$14,MATCH(AG$10,$T$7:$T$14,0)),0)*$T$21)/30</f>
        <v>0</v>
      </c>
      <c r="AH177" s="10">
        <f>MAX($Z177-积分赛!$C$7,0)*(IFERROR(INDEX($W$7:$W$14,MATCH(AH$10,$T$7:$T$14,0)),0)*$T$20+IFERROR(INDEX($X$7:$X$14,MATCH(AH$10,$T$7:$T$14,0)),0)*$T$21)/30</f>
        <v>0</v>
      </c>
      <c r="AI177" s="10">
        <f>MAX($Z177-积分赛!$C$7,0)*(IFERROR(INDEX($W$7:$W$14,MATCH(AI$10,$T$7:$T$14,0)),0)*$T$20+IFERROR(INDEX($X$7:$X$14,MATCH(AI$10,$T$7:$T$14,0)),0)*$T$21)/30</f>
        <v>13951.166666666666</v>
      </c>
      <c r="AJ177" s="10">
        <f>MAX($Z177-积分赛!$C$7,0)*(IFERROR(INDEX($W$7:$W$14,MATCH(AJ$10,$T$7:$T$14,0)),0)*$T$20+IFERROR(INDEX($X$7:$X$14,MATCH(AJ$10,$T$7:$T$14,0)),0)*$T$21)/30</f>
        <v>83707</v>
      </c>
      <c r="AO177" s="10"/>
      <c r="AP177" s="10"/>
      <c r="AQ177" s="10"/>
      <c r="AR177" s="10"/>
      <c r="AS177" s="10"/>
      <c r="AT177" s="10"/>
      <c r="AU177" s="10"/>
      <c r="AV177" s="10"/>
      <c r="BI177" s="10">
        <v>167</v>
      </c>
      <c r="BJ177" s="10">
        <f>MAX($BI177-积分赛!$C$7,0)*$BC$10/30</f>
        <v>456666.66666666669</v>
      </c>
      <c r="BK177" s="10">
        <f>MAX($BI177-积分赛!$C$7,0)*$BC$10/30</f>
        <v>456666.66666666669</v>
      </c>
      <c r="BL177" s="10">
        <f>MAX($BI177-积分赛!$C$7,0)*$BC$10/30</f>
        <v>456666.66666666669</v>
      </c>
      <c r="BM177" s="10">
        <f>MAX($BI177-积分赛!$C$7,0)*$BC$10/30</f>
        <v>456666.66666666669</v>
      </c>
      <c r="BN177" s="10">
        <f>MAX($BI177-积分赛!$C$7,0)*$BC$10/30</f>
        <v>456666.66666666669</v>
      </c>
    </row>
    <row r="178" spans="26:66" x14ac:dyDescent="0.15">
      <c r="Z178" s="10">
        <v>168</v>
      </c>
      <c r="AA178" s="10">
        <f>IFERROR(MAX($Z178-积分赛!$C$7,0)*INDEX($U$7:$U$14,MATCH(AA$10,$T$7:$T$14,0))/30,0)</f>
        <v>0</v>
      </c>
      <c r="AB178" s="10">
        <f>IFERROR(MAX($Z178-积分赛!$C$7,0)*INDEX($U$7:$U$14,MATCH(AB$10,$T$7:$T$14,0))/30,0)</f>
        <v>0</v>
      </c>
      <c r="AC178" s="10">
        <f>IFERROR(MAX($Z178-积分赛!$C$7,0)*INDEX($U$7:$U$14,MATCH(AC$10,$T$7:$T$14,0))/30,0)</f>
        <v>0</v>
      </c>
      <c r="AD178" s="10">
        <f>IFERROR(MAX($Z178-积分赛!$C$7,0)*INDEX($U$7:$U$14,MATCH(AD$10,$T$7:$T$14,0))/30,0)</f>
        <v>368000</v>
      </c>
      <c r="AE178" s="10">
        <f>IFERROR(MAX($Z178-积分赛!$C$7,0)*INDEX($U$7:$U$14,MATCH(AE$10,$T$7:$T$14,0))/30,0)</f>
        <v>4600000</v>
      </c>
      <c r="AF178" s="10">
        <f>MAX($Z178-积分赛!$C$7,0)*(IFERROR(INDEX($W$7:$W$14,MATCH(AF$10,$T$7:$T$14,0)),0)*$T$20+IFERROR(INDEX($X$7:$X$14,MATCH(AF$10,$T$7:$T$14,0)),0)*$T$21)/30</f>
        <v>0</v>
      </c>
      <c r="AG178" s="10">
        <f>MAX($Z178-积分赛!$C$7,0)*(IFERROR(INDEX($W$7:$W$14,MATCH(AG$10,$T$7:$T$14,0)),0)*$T$20+IFERROR(INDEX($X$7:$X$14,MATCH(AG$10,$T$7:$T$14,0)),0)*$T$21)/30</f>
        <v>0</v>
      </c>
      <c r="AH178" s="10">
        <f>MAX($Z178-积分赛!$C$7,0)*(IFERROR(INDEX($W$7:$W$14,MATCH(AH$10,$T$7:$T$14,0)),0)*$T$20+IFERROR(INDEX($X$7:$X$14,MATCH(AH$10,$T$7:$T$14,0)),0)*$T$21)/30</f>
        <v>0</v>
      </c>
      <c r="AI178" s="10">
        <f>MAX($Z178-积分赛!$C$7,0)*(IFERROR(INDEX($W$7:$W$14,MATCH(AI$10,$T$7:$T$14,0)),0)*$T$20+IFERROR(INDEX($X$7:$X$14,MATCH(AI$10,$T$7:$T$14,0)),0)*$T$21)/30</f>
        <v>14053</v>
      </c>
      <c r="AJ178" s="10">
        <f>MAX($Z178-积分赛!$C$7,0)*(IFERROR(INDEX($W$7:$W$14,MATCH(AJ$10,$T$7:$T$14,0)),0)*$T$20+IFERROR(INDEX($X$7:$X$14,MATCH(AJ$10,$T$7:$T$14,0)),0)*$T$21)/30</f>
        <v>84318</v>
      </c>
      <c r="AO178" s="10"/>
      <c r="AP178" s="10"/>
      <c r="AQ178" s="10"/>
      <c r="AR178" s="10"/>
      <c r="AS178" s="10"/>
      <c r="AT178" s="10"/>
      <c r="AU178" s="10"/>
      <c r="AV178" s="10"/>
      <c r="BI178" s="10">
        <v>168</v>
      </c>
      <c r="BJ178" s="10">
        <f>MAX($BI178-积分赛!$C$7,0)*$BC$10/30</f>
        <v>460000</v>
      </c>
      <c r="BK178" s="10">
        <f>MAX($BI178-积分赛!$C$7,0)*$BC$10/30</f>
        <v>460000</v>
      </c>
      <c r="BL178" s="10">
        <f>MAX($BI178-积分赛!$C$7,0)*$BC$10/30</f>
        <v>460000</v>
      </c>
      <c r="BM178" s="10">
        <f>MAX($BI178-积分赛!$C$7,0)*$BC$10/30</f>
        <v>460000</v>
      </c>
      <c r="BN178" s="10">
        <f>MAX($BI178-积分赛!$C$7,0)*$BC$10/30</f>
        <v>460000</v>
      </c>
    </row>
    <row r="179" spans="26:66" x14ac:dyDescent="0.15">
      <c r="Z179" s="10">
        <v>169</v>
      </c>
      <c r="AA179" s="10">
        <f>IFERROR(MAX($Z179-积分赛!$C$7,0)*INDEX($U$7:$U$14,MATCH(AA$10,$T$7:$T$14,0))/30,0)</f>
        <v>0</v>
      </c>
      <c r="AB179" s="10">
        <f>IFERROR(MAX($Z179-积分赛!$C$7,0)*INDEX($U$7:$U$14,MATCH(AB$10,$T$7:$T$14,0))/30,0)</f>
        <v>0</v>
      </c>
      <c r="AC179" s="10">
        <f>IFERROR(MAX($Z179-积分赛!$C$7,0)*INDEX($U$7:$U$14,MATCH(AC$10,$T$7:$T$14,0))/30,0)</f>
        <v>0</v>
      </c>
      <c r="AD179" s="10">
        <f>IFERROR(MAX($Z179-积分赛!$C$7,0)*INDEX($U$7:$U$14,MATCH(AD$10,$T$7:$T$14,0))/30,0)</f>
        <v>370666.66666666669</v>
      </c>
      <c r="AE179" s="10">
        <f>IFERROR(MAX($Z179-积分赛!$C$7,0)*INDEX($U$7:$U$14,MATCH(AE$10,$T$7:$T$14,0))/30,0)</f>
        <v>4633333.333333333</v>
      </c>
      <c r="AF179" s="10">
        <f>MAX($Z179-积分赛!$C$7,0)*(IFERROR(INDEX($W$7:$W$14,MATCH(AF$10,$T$7:$T$14,0)),0)*$T$20+IFERROR(INDEX($X$7:$X$14,MATCH(AF$10,$T$7:$T$14,0)),0)*$T$21)/30</f>
        <v>0</v>
      </c>
      <c r="AG179" s="10">
        <f>MAX($Z179-积分赛!$C$7,0)*(IFERROR(INDEX($W$7:$W$14,MATCH(AG$10,$T$7:$T$14,0)),0)*$T$20+IFERROR(INDEX($X$7:$X$14,MATCH(AG$10,$T$7:$T$14,0)),0)*$T$21)/30</f>
        <v>0</v>
      </c>
      <c r="AH179" s="10">
        <f>MAX($Z179-积分赛!$C$7,0)*(IFERROR(INDEX($W$7:$W$14,MATCH(AH$10,$T$7:$T$14,0)),0)*$T$20+IFERROR(INDEX($X$7:$X$14,MATCH(AH$10,$T$7:$T$14,0)),0)*$T$21)/30</f>
        <v>0</v>
      </c>
      <c r="AI179" s="10">
        <f>MAX($Z179-积分赛!$C$7,0)*(IFERROR(INDEX($W$7:$W$14,MATCH(AI$10,$T$7:$T$14,0)),0)*$T$20+IFERROR(INDEX($X$7:$X$14,MATCH(AI$10,$T$7:$T$14,0)),0)*$T$21)/30</f>
        <v>14154.833333333334</v>
      </c>
      <c r="AJ179" s="10">
        <f>MAX($Z179-积分赛!$C$7,0)*(IFERROR(INDEX($W$7:$W$14,MATCH(AJ$10,$T$7:$T$14,0)),0)*$T$20+IFERROR(INDEX($X$7:$X$14,MATCH(AJ$10,$T$7:$T$14,0)),0)*$T$21)/30</f>
        <v>84929</v>
      </c>
      <c r="AO179" s="10"/>
      <c r="AP179" s="10"/>
      <c r="AQ179" s="10"/>
      <c r="AR179" s="10"/>
      <c r="AS179" s="10"/>
      <c r="AT179" s="10"/>
      <c r="AU179" s="10"/>
      <c r="AV179" s="10"/>
      <c r="BI179" s="10">
        <v>169</v>
      </c>
      <c r="BJ179" s="10">
        <f>MAX($BI179-积分赛!$C$7,0)*$BC$10/30</f>
        <v>463333.33333333331</v>
      </c>
      <c r="BK179" s="10">
        <f>MAX($BI179-积分赛!$C$7,0)*$BC$10/30</f>
        <v>463333.33333333331</v>
      </c>
      <c r="BL179" s="10">
        <f>MAX($BI179-积分赛!$C$7,0)*$BC$10/30</f>
        <v>463333.33333333331</v>
      </c>
      <c r="BM179" s="10">
        <f>MAX($BI179-积分赛!$C$7,0)*$BC$10/30</f>
        <v>463333.33333333331</v>
      </c>
      <c r="BN179" s="10">
        <f>MAX($BI179-积分赛!$C$7,0)*$BC$10/30</f>
        <v>463333.33333333331</v>
      </c>
    </row>
    <row r="180" spans="26:66" x14ac:dyDescent="0.15">
      <c r="Z180" s="10">
        <v>170</v>
      </c>
      <c r="AA180" s="10">
        <f>IFERROR(MAX($Z180-积分赛!$C$7,0)*INDEX($U$7:$U$14,MATCH(AA$10,$T$7:$T$14,0))/30,0)</f>
        <v>0</v>
      </c>
      <c r="AB180" s="10">
        <f>IFERROR(MAX($Z180-积分赛!$C$7,0)*INDEX($U$7:$U$14,MATCH(AB$10,$T$7:$T$14,0))/30,0)</f>
        <v>0</v>
      </c>
      <c r="AC180" s="10">
        <f>IFERROR(MAX($Z180-积分赛!$C$7,0)*INDEX($U$7:$U$14,MATCH(AC$10,$T$7:$T$14,0))/30,0)</f>
        <v>0</v>
      </c>
      <c r="AD180" s="10">
        <f>IFERROR(MAX($Z180-积分赛!$C$7,0)*INDEX($U$7:$U$14,MATCH(AD$10,$T$7:$T$14,0))/30,0)</f>
        <v>373333.33333333331</v>
      </c>
      <c r="AE180" s="10">
        <f>IFERROR(MAX($Z180-积分赛!$C$7,0)*INDEX($U$7:$U$14,MATCH(AE$10,$T$7:$T$14,0))/30,0)</f>
        <v>4666666.666666667</v>
      </c>
      <c r="AF180" s="10">
        <f>MAX($Z180-积分赛!$C$7,0)*(IFERROR(INDEX($W$7:$W$14,MATCH(AF$10,$T$7:$T$14,0)),0)*$T$20+IFERROR(INDEX($X$7:$X$14,MATCH(AF$10,$T$7:$T$14,0)),0)*$T$21)/30</f>
        <v>0</v>
      </c>
      <c r="AG180" s="10">
        <f>MAX($Z180-积分赛!$C$7,0)*(IFERROR(INDEX($W$7:$W$14,MATCH(AG$10,$T$7:$T$14,0)),0)*$T$20+IFERROR(INDEX($X$7:$X$14,MATCH(AG$10,$T$7:$T$14,0)),0)*$T$21)/30</f>
        <v>0</v>
      </c>
      <c r="AH180" s="10">
        <f>MAX($Z180-积分赛!$C$7,0)*(IFERROR(INDEX($W$7:$W$14,MATCH(AH$10,$T$7:$T$14,0)),0)*$T$20+IFERROR(INDEX($X$7:$X$14,MATCH(AH$10,$T$7:$T$14,0)),0)*$T$21)/30</f>
        <v>0</v>
      </c>
      <c r="AI180" s="10">
        <f>MAX($Z180-积分赛!$C$7,0)*(IFERROR(INDEX($W$7:$W$14,MATCH(AI$10,$T$7:$T$14,0)),0)*$T$20+IFERROR(INDEX($X$7:$X$14,MATCH(AI$10,$T$7:$T$14,0)),0)*$T$21)/30</f>
        <v>14256.666666666666</v>
      </c>
      <c r="AJ180" s="10">
        <f>MAX($Z180-积分赛!$C$7,0)*(IFERROR(INDEX($W$7:$W$14,MATCH(AJ$10,$T$7:$T$14,0)),0)*$T$20+IFERROR(INDEX($X$7:$X$14,MATCH(AJ$10,$T$7:$T$14,0)),0)*$T$21)/30</f>
        <v>85540</v>
      </c>
      <c r="AO180" s="10"/>
      <c r="AP180" s="10"/>
      <c r="AQ180" s="10"/>
      <c r="AR180" s="10"/>
      <c r="AS180" s="10"/>
      <c r="AT180" s="10"/>
      <c r="AU180" s="10"/>
      <c r="AV180" s="10"/>
      <c r="BI180" s="10">
        <v>170</v>
      </c>
      <c r="BJ180" s="10">
        <f>MAX($BI180-积分赛!$C$7,0)*$BC$10/30</f>
        <v>466666.66666666669</v>
      </c>
      <c r="BK180" s="10">
        <f>MAX($BI180-积分赛!$C$7,0)*$BC$10/30</f>
        <v>466666.66666666669</v>
      </c>
      <c r="BL180" s="10">
        <f>MAX($BI180-积分赛!$C$7,0)*$BC$10/30</f>
        <v>466666.66666666669</v>
      </c>
      <c r="BM180" s="10">
        <f>MAX($BI180-积分赛!$C$7,0)*$BC$10/30</f>
        <v>466666.66666666669</v>
      </c>
      <c r="BN180" s="10">
        <f>MAX($BI180-积分赛!$C$7,0)*$BC$10/30</f>
        <v>466666.66666666669</v>
      </c>
    </row>
    <row r="181" spans="26:66" x14ac:dyDescent="0.15">
      <c r="Z181" s="10">
        <v>171</v>
      </c>
      <c r="AA181" s="10">
        <f>IFERROR(MAX($Z181-积分赛!$C$7,0)*INDEX($U$7:$U$14,MATCH(AA$10,$T$7:$T$14,0))/30,0)</f>
        <v>0</v>
      </c>
      <c r="AB181" s="10">
        <f>IFERROR(MAX($Z181-积分赛!$C$7,0)*INDEX($U$7:$U$14,MATCH(AB$10,$T$7:$T$14,0))/30,0)</f>
        <v>0</v>
      </c>
      <c r="AC181" s="10">
        <f>IFERROR(MAX($Z181-积分赛!$C$7,0)*INDEX($U$7:$U$14,MATCH(AC$10,$T$7:$T$14,0))/30,0)</f>
        <v>0</v>
      </c>
      <c r="AD181" s="10">
        <f>IFERROR(MAX($Z181-积分赛!$C$7,0)*INDEX($U$7:$U$14,MATCH(AD$10,$T$7:$T$14,0))/30,0)</f>
        <v>376000</v>
      </c>
      <c r="AE181" s="10">
        <f>IFERROR(MAX($Z181-积分赛!$C$7,0)*INDEX($U$7:$U$14,MATCH(AE$10,$T$7:$T$14,0))/30,0)</f>
        <v>4700000</v>
      </c>
      <c r="AF181" s="10">
        <f>MAX($Z181-积分赛!$C$7,0)*(IFERROR(INDEX($W$7:$W$14,MATCH(AF$10,$T$7:$T$14,0)),0)*$T$20+IFERROR(INDEX($X$7:$X$14,MATCH(AF$10,$T$7:$T$14,0)),0)*$T$21)/30</f>
        <v>0</v>
      </c>
      <c r="AG181" s="10">
        <f>MAX($Z181-积分赛!$C$7,0)*(IFERROR(INDEX($W$7:$W$14,MATCH(AG$10,$T$7:$T$14,0)),0)*$T$20+IFERROR(INDEX($X$7:$X$14,MATCH(AG$10,$T$7:$T$14,0)),0)*$T$21)/30</f>
        <v>0</v>
      </c>
      <c r="AH181" s="10">
        <f>MAX($Z181-积分赛!$C$7,0)*(IFERROR(INDEX($W$7:$W$14,MATCH(AH$10,$T$7:$T$14,0)),0)*$T$20+IFERROR(INDEX($X$7:$X$14,MATCH(AH$10,$T$7:$T$14,0)),0)*$T$21)/30</f>
        <v>0</v>
      </c>
      <c r="AI181" s="10">
        <f>MAX($Z181-积分赛!$C$7,0)*(IFERROR(INDEX($W$7:$W$14,MATCH(AI$10,$T$7:$T$14,0)),0)*$T$20+IFERROR(INDEX($X$7:$X$14,MATCH(AI$10,$T$7:$T$14,0)),0)*$T$21)/30</f>
        <v>14358.5</v>
      </c>
      <c r="AJ181" s="10">
        <f>MAX($Z181-积分赛!$C$7,0)*(IFERROR(INDEX($W$7:$W$14,MATCH(AJ$10,$T$7:$T$14,0)),0)*$T$20+IFERROR(INDEX($X$7:$X$14,MATCH(AJ$10,$T$7:$T$14,0)),0)*$T$21)/30</f>
        <v>86151</v>
      </c>
      <c r="AO181" s="10"/>
      <c r="AP181" s="10"/>
      <c r="AQ181" s="10"/>
      <c r="AR181" s="10"/>
      <c r="AS181" s="10"/>
      <c r="AT181" s="10"/>
      <c r="AU181" s="10"/>
      <c r="AV181" s="10"/>
      <c r="BI181" s="10">
        <v>171</v>
      </c>
      <c r="BJ181" s="10">
        <f>MAX($BI181-积分赛!$C$7,0)*$BC$10/30</f>
        <v>470000</v>
      </c>
      <c r="BK181" s="10">
        <f>MAX($BI181-积分赛!$C$7,0)*$BC$10/30</f>
        <v>470000</v>
      </c>
      <c r="BL181" s="10">
        <f>MAX($BI181-积分赛!$C$7,0)*$BC$10/30</f>
        <v>470000</v>
      </c>
      <c r="BM181" s="10">
        <f>MAX($BI181-积分赛!$C$7,0)*$BC$10/30</f>
        <v>470000</v>
      </c>
      <c r="BN181" s="10">
        <f>MAX($BI181-积分赛!$C$7,0)*$BC$10/30</f>
        <v>470000</v>
      </c>
    </row>
    <row r="182" spans="26:66" x14ac:dyDescent="0.15">
      <c r="Z182" s="10">
        <v>172</v>
      </c>
      <c r="AA182" s="10">
        <f>IFERROR(MAX($Z182-积分赛!$C$7,0)*INDEX($U$7:$U$14,MATCH(AA$10,$T$7:$T$14,0))/30,0)</f>
        <v>0</v>
      </c>
      <c r="AB182" s="10">
        <f>IFERROR(MAX($Z182-积分赛!$C$7,0)*INDEX($U$7:$U$14,MATCH(AB$10,$T$7:$T$14,0))/30,0)</f>
        <v>0</v>
      </c>
      <c r="AC182" s="10">
        <f>IFERROR(MAX($Z182-积分赛!$C$7,0)*INDEX($U$7:$U$14,MATCH(AC$10,$T$7:$T$14,0))/30,0)</f>
        <v>0</v>
      </c>
      <c r="AD182" s="10">
        <f>IFERROR(MAX($Z182-积分赛!$C$7,0)*INDEX($U$7:$U$14,MATCH(AD$10,$T$7:$T$14,0))/30,0)</f>
        <v>378666.66666666669</v>
      </c>
      <c r="AE182" s="10">
        <f>IFERROR(MAX($Z182-积分赛!$C$7,0)*INDEX($U$7:$U$14,MATCH(AE$10,$T$7:$T$14,0))/30,0)</f>
        <v>4733333.333333333</v>
      </c>
      <c r="AF182" s="10">
        <f>MAX($Z182-积分赛!$C$7,0)*(IFERROR(INDEX($W$7:$W$14,MATCH(AF$10,$T$7:$T$14,0)),0)*$T$20+IFERROR(INDEX($X$7:$X$14,MATCH(AF$10,$T$7:$T$14,0)),0)*$T$21)/30</f>
        <v>0</v>
      </c>
      <c r="AG182" s="10">
        <f>MAX($Z182-积分赛!$C$7,0)*(IFERROR(INDEX($W$7:$W$14,MATCH(AG$10,$T$7:$T$14,0)),0)*$T$20+IFERROR(INDEX($X$7:$X$14,MATCH(AG$10,$T$7:$T$14,0)),0)*$T$21)/30</f>
        <v>0</v>
      </c>
      <c r="AH182" s="10">
        <f>MAX($Z182-积分赛!$C$7,0)*(IFERROR(INDEX($W$7:$W$14,MATCH(AH$10,$T$7:$T$14,0)),0)*$T$20+IFERROR(INDEX($X$7:$X$14,MATCH(AH$10,$T$7:$T$14,0)),0)*$T$21)/30</f>
        <v>0</v>
      </c>
      <c r="AI182" s="10">
        <f>MAX($Z182-积分赛!$C$7,0)*(IFERROR(INDEX($W$7:$W$14,MATCH(AI$10,$T$7:$T$14,0)),0)*$T$20+IFERROR(INDEX($X$7:$X$14,MATCH(AI$10,$T$7:$T$14,0)),0)*$T$21)/30</f>
        <v>14460.333333333334</v>
      </c>
      <c r="AJ182" s="10">
        <f>MAX($Z182-积分赛!$C$7,0)*(IFERROR(INDEX($W$7:$W$14,MATCH(AJ$10,$T$7:$T$14,0)),0)*$T$20+IFERROR(INDEX($X$7:$X$14,MATCH(AJ$10,$T$7:$T$14,0)),0)*$T$21)/30</f>
        <v>86762</v>
      </c>
      <c r="AO182" s="10"/>
      <c r="AP182" s="10"/>
      <c r="AQ182" s="10"/>
      <c r="AR182" s="10"/>
      <c r="AS182" s="10"/>
      <c r="AT182" s="10"/>
      <c r="AU182" s="10"/>
      <c r="AV182" s="10"/>
      <c r="BI182" s="10">
        <v>172</v>
      </c>
      <c r="BJ182" s="10">
        <f>MAX($BI182-积分赛!$C$7,0)*$BC$10/30</f>
        <v>473333.33333333331</v>
      </c>
      <c r="BK182" s="10">
        <f>MAX($BI182-积分赛!$C$7,0)*$BC$10/30</f>
        <v>473333.33333333331</v>
      </c>
      <c r="BL182" s="10">
        <f>MAX($BI182-积分赛!$C$7,0)*$BC$10/30</f>
        <v>473333.33333333331</v>
      </c>
      <c r="BM182" s="10">
        <f>MAX($BI182-积分赛!$C$7,0)*$BC$10/30</f>
        <v>473333.33333333331</v>
      </c>
      <c r="BN182" s="10">
        <f>MAX($BI182-积分赛!$C$7,0)*$BC$10/30</f>
        <v>473333.33333333331</v>
      </c>
    </row>
    <row r="183" spans="26:66" x14ac:dyDescent="0.15">
      <c r="Z183" s="10">
        <v>173</v>
      </c>
      <c r="AA183" s="10">
        <f>IFERROR(MAX($Z183-积分赛!$C$7,0)*INDEX($U$7:$U$14,MATCH(AA$10,$T$7:$T$14,0))/30,0)</f>
        <v>0</v>
      </c>
      <c r="AB183" s="10">
        <f>IFERROR(MAX($Z183-积分赛!$C$7,0)*INDEX($U$7:$U$14,MATCH(AB$10,$T$7:$T$14,0))/30,0)</f>
        <v>0</v>
      </c>
      <c r="AC183" s="10">
        <f>IFERROR(MAX($Z183-积分赛!$C$7,0)*INDEX($U$7:$U$14,MATCH(AC$10,$T$7:$T$14,0))/30,0)</f>
        <v>0</v>
      </c>
      <c r="AD183" s="10">
        <f>IFERROR(MAX($Z183-积分赛!$C$7,0)*INDEX($U$7:$U$14,MATCH(AD$10,$T$7:$T$14,0))/30,0)</f>
        <v>381333.33333333331</v>
      </c>
      <c r="AE183" s="10">
        <f>IFERROR(MAX($Z183-积分赛!$C$7,0)*INDEX($U$7:$U$14,MATCH(AE$10,$T$7:$T$14,0))/30,0)</f>
        <v>4766666.666666667</v>
      </c>
      <c r="AF183" s="10">
        <f>MAX($Z183-积分赛!$C$7,0)*(IFERROR(INDEX($W$7:$W$14,MATCH(AF$10,$T$7:$T$14,0)),0)*$T$20+IFERROR(INDEX($X$7:$X$14,MATCH(AF$10,$T$7:$T$14,0)),0)*$T$21)/30</f>
        <v>0</v>
      </c>
      <c r="AG183" s="10">
        <f>MAX($Z183-积分赛!$C$7,0)*(IFERROR(INDEX($W$7:$W$14,MATCH(AG$10,$T$7:$T$14,0)),0)*$T$20+IFERROR(INDEX($X$7:$X$14,MATCH(AG$10,$T$7:$T$14,0)),0)*$T$21)/30</f>
        <v>0</v>
      </c>
      <c r="AH183" s="10">
        <f>MAX($Z183-积分赛!$C$7,0)*(IFERROR(INDEX($W$7:$W$14,MATCH(AH$10,$T$7:$T$14,0)),0)*$T$20+IFERROR(INDEX($X$7:$X$14,MATCH(AH$10,$T$7:$T$14,0)),0)*$T$21)/30</f>
        <v>0</v>
      </c>
      <c r="AI183" s="10">
        <f>MAX($Z183-积分赛!$C$7,0)*(IFERROR(INDEX($W$7:$W$14,MATCH(AI$10,$T$7:$T$14,0)),0)*$T$20+IFERROR(INDEX($X$7:$X$14,MATCH(AI$10,$T$7:$T$14,0)),0)*$T$21)/30</f>
        <v>14562.166666666666</v>
      </c>
      <c r="AJ183" s="10">
        <f>MAX($Z183-积分赛!$C$7,0)*(IFERROR(INDEX($W$7:$W$14,MATCH(AJ$10,$T$7:$T$14,0)),0)*$T$20+IFERROR(INDEX($X$7:$X$14,MATCH(AJ$10,$T$7:$T$14,0)),0)*$T$21)/30</f>
        <v>87373</v>
      </c>
      <c r="AO183" s="10"/>
      <c r="AP183" s="10"/>
      <c r="AQ183" s="10"/>
      <c r="AR183" s="10"/>
      <c r="AS183" s="10"/>
      <c r="AT183" s="10"/>
      <c r="AU183" s="10"/>
      <c r="AV183" s="10"/>
      <c r="BI183" s="10">
        <v>173</v>
      </c>
      <c r="BJ183" s="10">
        <f>MAX($BI183-积分赛!$C$7,0)*$BC$10/30</f>
        <v>476666.66666666669</v>
      </c>
      <c r="BK183" s="10">
        <f>MAX($BI183-积分赛!$C$7,0)*$BC$10/30</f>
        <v>476666.66666666669</v>
      </c>
      <c r="BL183" s="10">
        <f>MAX($BI183-积分赛!$C$7,0)*$BC$10/30</f>
        <v>476666.66666666669</v>
      </c>
      <c r="BM183" s="10">
        <f>MAX($BI183-积分赛!$C$7,0)*$BC$10/30</f>
        <v>476666.66666666669</v>
      </c>
      <c r="BN183" s="10">
        <f>MAX($BI183-积分赛!$C$7,0)*$BC$10/30</f>
        <v>476666.66666666669</v>
      </c>
    </row>
    <row r="184" spans="26:66" x14ac:dyDescent="0.15">
      <c r="Z184" s="10">
        <v>174</v>
      </c>
      <c r="AA184" s="10">
        <f>IFERROR(MAX($Z184-积分赛!$C$7,0)*INDEX($U$7:$U$14,MATCH(AA$10,$T$7:$T$14,0))/30,0)</f>
        <v>0</v>
      </c>
      <c r="AB184" s="10">
        <f>IFERROR(MAX($Z184-积分赛!$C$7,0)*INDEX($U$7:$U$14,MATCH(AB$10,$T$7:$T$14,0))/30,0)</f>
        <v>0</v>
      </c>
      <c r="AC184" s="10">
        <f>IFERROR(MAX($Z184-积分赛!$C$7,0)*INDEX($U$7:$U$14,MATCH(AC$10,$T$7:$T$14,0))/30,0)</f>
        <v>0</v>
      </c>
      <c r="AD184" s="10">
        <f>IFERROR(MAX($Z184-积分赛!$C$7,0)*INDEX($U$7:$U$14,MATCH(AD$10,$T$7:$T$14,0))/30,0)</f>
        <v>384000</v>
      </c>
      <c r="AE184" s="10">
        <f>IFERROR(MAX($Z184-积分赛!$C$7,0)*INDEX($U$7:$U$14,MATCH(AE$10,$T$7:$T$14,0))/30,0)</f>
        <v>4800000</v>
      </c>
      <c r="AF184" s="10">
        <f>MAX($Z184-积分赛!$C$7,0)*(IFERROR(INDEX($W$7:$W$14,MATCH(AF$10,$T$7:$T$14,0)),0)*$T$20+IFERROR(INDEX($X$7:$X$14,MATCH(AF$10,$T$7:$T$14,0)),0)*$T$21)/30</f>
        <v>0</v>
      </c>
      <c r="AG184" s="10">
        <f>MAX($Z184-积分赛!$C$7,0)*(IFERROR(INDEX($W$7:$W$14,MATCH(AG$10,$T$7:$T$14,0)),0)*$T$20+IFERROR(INDEX($X$7:$X$14,MATCH(AG$10,$T$7:$T$14,0)),0)*$T$21)/30</f>
        <v>0</v>
      </c>
      <c r="AH184" s="10">
        <f>MAX($Z184-积分赛!$C$7,0)*(IFERROR(INDEX($W$7:$W$14,MATCH(AH$10,$T$7:$T$14,0)),0)*$T$20+IFERROR(INDEX($X$7:$X$14,MATCH(AH$10,$T$7:$T$14,0)),0)*$T$21)/30</f>
        <v>0</v>
      </c>
      <c r="AI184" s="10">
        <f>MAX($Z184-积分赛!$C$7,0)*(IFERROR(INDEX($W$7:$W$14,MATCH(AI$10,$T$7:$T$14,0)),0)*$T$20+IFERROR(INDEX($X$7:$X$14,MATCH(AI$10,$T$7:$T$14,0)),0)*$T$21)/30</f>
        <v>14664</v>
      </c>
      <c r="AJ184" s="10">
        <f>MAX($Z184-积分赛!$C$7,0)*(IFERROR(INDEX($W$7:$W$14,MATCH(AJ$10,$T$7:$T$14,0)),0)*$T$20+IFERROR(INDEX($X$7:$X$14,MATCH(AJ$10,$T$7:$T$14,0)),0)*$T$21)/30</f>
        <v>87984</v>
      </c>
      <c r="AO184" s="10"/>
      <c r="AP184" s="10"/>
      <c r="AQ184" s="10"/>
      <c r="AR184" s="10"/>
      <c r="AS184" s="10"/>
      <c r="AT184" s="10"/>
      <c r="AU184" s="10"/>
      <c r="AV184" s="10"/>
      <c r="BI184" s="10">
        <v>174</v>
      </c>
      <c r="BJ184" s="10">
        <f>MAX($BI184-积分赛!$C$7,0)*$BC$10/30</f>
        <v>480000</v>
      </c>
      <c r="BK184" s="10">
        <f>MAX($BI184-积分赛!$C$7,0)*$BC$10/30</f>
        <v>480000</v>
      </c>
      <c r="BL184" s="10">
        <f>MAX($BI184-积分赛!$C$7,0)*$BC$10/30</f>
        <v>480000</v>
      </c>
      <c r="BM184" s="10">
        <f>MAX($BI184-积分赛!$C$7,0)*$BC$10/30</f>
        <v>480000</v>
      </c>
      <c r="BN184" s="10">
        <f>MAX($BI184-积分赛!$C$7,0)*$BC$10/30</f>
        <v>480000</v>
      </c>
    </row>
    <row r="185" spans="26:66" x14ac:dyDescent="0.15">
      <c r="Z185" s="10">
        <v>175</v>
      </c>
      <c r="AA185" s="10">
        <f>IFERROR(MAX($Z185-积分赛!$C$7,0)*INDEX($U$7:$U$14,MATCH(AA$10,$T$7:$T$14,0))/30,0)</f>
        <v>0</v>
      </c>
      <c r="AB185" s="10">
        <f>IFERROR(MAX($Z185-积分赛!$C$7,0)*INDEX($U$7:$U$14,MATCH(AB$10,$T$7:$T$14,0))/30,0)</f>
        <v>0</v>
      </c>
      <c r="AC185" s="10">
        <f>IFERROR(MAX($Z185-积分赛!$C$7,0)*INDEX($U$7:$U$14,MATCH(AC$10,$T$7:$T$14,0))/30,0)</f>
        <v>0</v>
      </c>
      <c r="AD185" s="10">
        <f>IFERROR(MAX($Z185-积分赛!$C$7,0)*INDEX($U$7:$U$14,MATCH(AD$10,$T$7:$T$14,0))/30,0)</f>
        <v>386666.66666666669</v>
      </c>
      <c r="AE185" s="10">
        <f>IFERROR(MAX($Z185-积分赛!$C$7,0)*INDEX($U$7:$U$14,MATCH(AE$10,$T$7:$T$14,0))/30,0)</f>
        <v>4833333.333333333</v>
      </c>
      <c r="AF185" s="10">
        <f>MAX($Z185-积分赛!$C$7,0)*(IFERROR(INDEX($W$7:$W$14,MATCH(AF$10,$T$7:$T$14,0)),0)*$T$20+IFERROR(INDEX($X$7:$X$14,MATCH(AF$10,$T$7:$T$14,0)),0)*$T$21)/30</f>
        <v>0</v>
      </c>
      <c r="AG185" s="10">
        <f>MAX($Z185-积分赛!$C$7,0)*(IFERROR(INDEX($W$7:$W$14,MATCH(AG$10,$T$7:$T$14,0)),0)*$T$20+IFERROR(INDEX($X$7:$X$14,MATCH(AG$10,$T$7:$T$14,0)),0)*$T$21)/30</f>
        <v>0</v>
      </c>
      <c r="AH185" s="10">
        <f>MAX($Z185-积分赛!$C$7,0)*(IFERROR(INDEX($W$7:$W$14,MATCH(AH$10,$T$7:$T$14,0)),0)*$T$20+IFERROR(INDEX($X$7:$X$14,MATCH(AH$10,$T$7:$T$14,0)),0)*$T$21)/30</f>
        <v>0</v>
      </c>
      <c r="AI185" s="10">
        <f>MAX($Z185-积分赛!$C$7,0)*(IFERROR(INDEX($W$7:$W$14,MATCH(AI$10,$T$7:$T$14,0)),0)*$T$20+IFERROR(INDEX($X$7:$X$14,MATCH(AI$10,$T$7:$T$14,0)),0)*$T$21)/30</f>
        <v>14765.833333333334</v>
      </c>
      <c r="AJ185" s="10">
        <f>MAX($Z185-积分赛!$C$7,0)*(IFERROR(INDEX($W$7:$W$14,MATCH(AJ$10,$T$7:$T$14,0)),0)*$T$20+IFERROR(INDEX($X$7:$X$14,MATCH(AJ$10,$T$7:$T$14,0)),0)*$T$21)/30</f>
        <v>88595</v>
      </c>
      <c r="AO185" s="10"/>
      <c r="AP185" s="10"/>
      <c r="AQ185" s="10"/>
      <c r="AR185" s="10"/>
      <c r="AS185" s="10"/>
      <c r="AT185" s="10"/>
      <c r="AU185" s="10"/>
      <c r="AV185" s="10"/>
      <c r="BI185" s="10">
        <v>175</v>
      </c>
      <c r="BJ185" s="10">
        <f>MAX($BI185-积分赛!$C$7,0)*$BC$10/30</f>
        <v>483333.33333333331</v>
      </c>
      <c r="BK185" s="10">
        <f>MAX($BI185-积分赛!$C$7,0)*$BC$10/30</f>
        <v>483333.33333333331</v>
      </c>
      <c r="BL185" s="10">
        <f>MAX($BI185-积分赛!$C$7,0)*$BC$10/30</f>
        <v>483333.33333333331</v>
      </c>
      <c r="BM185" s="10">
        <f>MAX($BI185-积分赛!$C$7,0)*$BC$10/30</f>
        <v>483333.33333333331</v>
      </c>
      <c r="BN185" s="10">
        <f>MAX($BI185-积分赛!$C$7,0)*$BC$10/30</f>
        <v>483333.33333333331</v>
      </c>
    </row>
    <row r="186" spans="26:66" x14ac:dyDescent="0.15">
      <c r="Z186" s="10">
        <v>176</v>
      </c>
      <c r="AA186" s="10">
        <f>IFERROR(MAX($Z186-积分赛!$C$7,0)*INDEX($U$7:$U$14,MATCH(AA$10,$T$7:$T$14,0))/30,0)</f>
        <v>0</v>
      </c>
      <c r="AB186" s="10">
        <f>IFERROR(MAX($Z186-积分赛!$C$7,0)*INDEX($U$7:$U$14,MATCH(AB$10,$T$7:$T$14,0))/30,0)</f>
        <v>0</v>
      </c>
      <c r="AC186" s="10">
        <f>IFERROR(MAX($Z186-积分赛!$C$7,0)*INDEX($U$7:$U$14,MATCH(AC$10,$T$7:$T$14,0))/30,0)</f>
        <v>0</v>
      </c>
      <c r="AD186" s="10">
        <f>IFERROR(MAX($Z186-积分赛!$C$7,0)*INDEX($U$7:$U$14,MATCH(AD$10,$T$7:$T$14,0))/30,0)</f>
        <v>389333.33333333331</v>
      </c>
      <c r="AE186" s="10">
        <f>IFERROR(MAX($Z186-积分赛!$C$7,0)*INDEX($U$7:$U$14,MATCH(AE$10,$T$7:$T$14,0))/30,0)</f>
        <v>4866666.666666667</v>
      </c>
      <c r="AF186" s="10">
        <f>MAX($Z186-积分赛!$C$7,0)*(IFERROR(INDEX($W$7:$W$14,MATCH(AF$10,$T$7:$T$14,0)),0)*$T$20+IFERROR(INDEX($X$7:$X$14,MATCH(AF$10,$T$7:$T$14,0)),0)*$T$21)/30</f>
        <v>0</v>
      </c>
      <c r="AG186" s="10">
        <f>MAX($Z186-积分赛!$C$7,0)*(IFERROR(INDEX($W$7:$W$14,MATCH(AG$10,$T$7:$T$14,0)),0)*$T$20+IFERROR(INDEX($X$7:$X$14,MATCH(AG$10,$T$7:$T$14,0)),0)*$T$21)/30</f>
        <v>0</v>
      </c>
      <c r="AH186" s="10">
        <f>MAX($Z186-积分赛!$C$7,0)*(IFERROR(INDEX($W$7:$W$14,MATCH(AH$10,$T$7:$T$14,0)),0)*$T$20+IFERROR(INDEX($X$7:$X$14,MATCH(AH$10,$T$7:$T$14,0)),0)*$T$21)/30</f>
        <v>0</v>
      </c>
      <c r="AI186" s="10">
        <f>MAX($Z186-积分赛!$C$7,0)*(IFERROR(INDEX($W$7:$W$14,MATCH(AI$10,$T$7:$T$14,0)),0)*$T$20+IFERROR(INDEX($X$7:$X$14,MATCH(AI$10,$T$7:$T$14,0)),0)*$T$21)/30</f>
        <v>14867.666666666666</v>
      </c>
      <c r="AJ186" s="10">
        <f>MAX($Z186-积分赛!$C$7,0)*(IFERROR(INDEX($W$7:$W$14,MATCH(AJ$10,$T$7:$T$14,0)),0)*$T$20+IFERROR(INDEX($X$7:$X$14,MATCH(AJ$10,$T$7:$T$14,0)),0)*$T$21)/30</f>
        <v>89206</v>
      </c>
      <c r="AO186" s="10"/>
      <c r="AP186" s="10"/>
      <c r="AQ186" s="10"/>
      <c r="AR186" s="10"/>
      <c r="AS186" s="10"/>
      <c r="AT186" s="10"/>
      <c r="AU186" s="10"/>
      <c r="AV186" s="10"/>
      <c r="BI186" s="10">
        <v>176</v>
      </c>
      <c r="BJ186" s="10">
        <f>MAX($BI186-积分赛!$C$7,0)*$BC$10/30</f>
        <v>486666.66666666669</v>
      </c>
      <c r="BK186" s="10">
        <f>MAX($BI186-积分赛!$C$7,0)*$BC$10/30</f>
        <v>486666.66666666669</v>
      </c>
      <c r="BL186" s="10">
        <f>MAX($BI186-积分赛!$C$7,0)*$BC$10/30</f>
        <v>486666.66666666669</v>
      </c>
      <c r="BM186" s="10">
        <f>MAX($BI186-积分赛!$C$7,0)*$BC$10/30</f>
        <v>486666.66666666669</v>
      </c>
      <c r="BN186" s="10">
        <f>MAX($BI186-积分赛!$C$7,0)*$BC$10/30</f>
        <v>486666.66666666669</v>
      </c>
    </row>
    <row r="187" spans="26:66" x14ac:dyDescent="0.15">
      <c r="Z187" s="10">
        <v>177</v>
      </c>
      <c r="AA187" s="10">
        <f>IFERROR(MAX($Z187-积分赛!$C$7,0)*INDEX($U$7:$U$14,MATCH(AA$10,$T$7:$T$14,0))/30,0)</f>
        <v>0</v>
      </c>
      <c r="AB187" s="10">
        <f>IFERROR(MAX($Z187-积分赛!$C$7,0)*INDEX($U$7:$U$14,MATCH(AB$10,$T$7:$T$14,0))/30,0)</f>
        <v>0</v>
      </c>
      <c r="AC187" s="10">
        <f>IFERROR(MAX($Z187-积分赛!$C$7,0)*INDEX($U$7:$U$14,MATCH(AC$10,$T$7:$T$14,0))/30,0)</f>
        <v>0</v>
      </c>
      <c r="AD187" s="10">
        <f>IFERROR(MAX($Z187-积分赛!$C$7,0)*INDEX($U$7:$U$14,MATCH(AD$10,$T$7:$T$14,0))/30,0)</f>
        <v>392000</v>
      </c>
      <c r="AE187" s="10">
        <f>IFERROR(MAX($Z187-积分赛!$C$7,0)*INDEX($U$7:$U$14,MATCH(AE$10,$T$7:$T$14,0))/30,0)</f>
        <v>4900000</v>
      </c>
      <c r="AF187" s="10">
        <f>MAX($Z187-积分赛!$C$7,0)*(IFERROR(INDEX($W$7:$W$14,MATCH(AF$10,$T$7:$T$14,0)),0)*$T$20+IFERROR(INDEX($X$7:$X$14,MATCH(AF$10,$T$7:$T$14,0)),0)*$T$21)/30</f>
        <v>0</v>
      </c>
      <c r="AG187" s="10">
        <f>MAX($Z187-积分赛!$C$7,0)*(IFERROR(INDEX($W$7:$W$14,MATCH(AG$10,$T$7:$T$14,0)),0)*$T$20+IFERROR(INDEX($X$7:$X$14,MATCH(AG$10,$T$7:$T$14,0)),0)*$T$21)/30</f>
        <v>0</v>
      </c>
      <c r="AH187" s="10">
        <f>MAX($Z187-积分赛!$C$7,0)*(IFERROR(INDEX($W$7:$W$14,MATCH(AH$10,$T$7:$T$14,0)),0)*$T$20+IFERROR(INDEX($X$7:$X$14,MATCH(AH$10,$T$7:$T$14,0)),0)*$T$21)/30</f>
        <v>0</v>
      </c>
      <c r="AI187" s="10">
        <f>MAX($Z187-积分赛!$C$7,0)*(IFERROR(INDEX($W$7:$W$14,MATCH(AI$10,$T$7:$T$14,0)),0)*$T$20+IFERROR(INDEX($X$7:$X$14,MATCH(AI$10,$T$7:$T$14,0)),0)*$T$21)/30</f>
        <v>14969.5</v>
      </c>
      <c r="AJ187" s="10">
        <f>MAX($Z187-积分赛!$C$7,0)*(IFERROR(INDEX($W$7:$W$14,MATCH(AJ$10,$T$7:$T$14,0)),0)*$T$20+IFERROR(INDEX($X$7:$X$14,MATCH(AJ$10,$T$7:$T$14,0)),0)*$T$21)/30</f>
        <v>89817</v>
      </c>
      <c r="AO187" s="10"/>
      <c r="AP187" s="10"/>
      <c r="AQ187" s="10"/>
      <c r="AR187" s="10"/>
      <c r="AS187" s="10"/>
      <c r="AT187" s="10"/>
      <c r="AU187" s="10"/>
      <c r="AV187" s="10"/>
      <c r="BI187" s="10">
        <v>177</v>
      </c>
      <c r="BJ187" s="10">
        <f>MAX($BI187-积分赛!$C$7,0)*$BC$10/30</f>
        <v>490000</v>
      </c>
      <c r="BK187" s="10">
        <f>MAX($BI187-积分赛!$C$7,0)*$BC$10/30</f>
        <v>490000</v>
      </c>
      <c r="BL187" s="10">
        <f>MAX($BI187-积分赛!$C$7,0)*$BC$10/30</f>
        <v>490000</v>
      </c>
      <c r="BM187" s="10">
        <f>MAX($BI187-积分赛!$C$7,0)*$BC$10/30</f>
        <v>490000</v>
      </c>
      <c r="BN187" s="10">
        <f>MAX($BI187-积分赛!$C$7,0)*$BC$10/30</f>
        <v>490000</v>
      </c>
    </row>
    <row r="188" spans="26:66" x14ac:dyDescent="0.15">
      <c r="Z188" s="10">
        <v>178</v>
      </c>
      <c r="AA188" s="10">
        <f>IFERROR(MAX($Z188-积分赛!$C$7,0)*INDEX($U$7:$U$14,MATCH(AA$10,$T$7:$T$14,0))/30,0)</f>
        <v>0</v>
      </c>
      <c r="AB188" s="10">
        <f>IFERROR(MAX($Z188-积分赛!$C$7,0)*INDEX($U$7:$U$14,MATCH(AB$10,$T$7:$T$14,0))/30,0)</f>
        <v>0</v>
      </c>
      <c r="AC188" s="10">
        <f>IFERROR(MAX($Z188-积分赛!$C$7,0)*INDEX($U$7:$U$14,MATCH(AC$10,$T$7:$T$14,0))/30,0)</f>
        <v>0</v>
      </c>
      <c r="AD188" s="10">
        <f>IFERROR(MAX($Z188-积分赛!$C$7,0)*INDEX($U$7:$U$14,MATCH(AD$10,$T$7:$T$14,0))/30,0)</f>
        <v>394666.66666666669</v>
      </c>
      <c r="AE188" s="10">
        <f>IFERROR(MAX($Z188-积分赛!$C$7,0)*INDEX($U$7:$U$14,MATCH(AE$10,$T$7:$T$14,0))/30,0)</f>
        <v>4933333.333333333</v>
      </c>
      <c r="AF188" s="10">
        <f>MAX($Z188-积分赛!$C$7,0)*(IFERROR(INDEX($W$7:$W$14,MATCH(AF$10,$T$7:$T$14,0)),0)*$T$20+IFERROR(INDEX($X$7:$X$14,MATCH(AF$10,$T$7:$T$14,0)),0)*$T$21)/30</f>
        <v>0</v>
      </c>
      <c r="AG188" s="10">
        <f>MAX($Z188-积分赛!$C$7,0)*(IFERROR(INDEX($W$7:$W$14,MATCH(AG$10,$T$7:$T$14,0)),0)*$T$20+IFERROR(INDEX($X$7:$X$14,MATCH(AG$10,$T$7:$T$14,0)),0)*$T$21)/30</f>
        <v>0</v>
      </c>
      <c r="AH188" s="10">
        <f>MAX($Z188-积分赛!$C$7,0)*(IFERROR(INDEX($W$7:$W$14,MATCH(AH$10,$T$7:$T$14,0)),0)*$T$20+IFERROR(INDEX($X$7:$X$14,MATCH(AH$10,$T$7:$T$14,0)),0)*$T$21)/30</f>
        <v>0</v>
      </c>
      <c r="AI188" s="10">
        <f>MAX($Z188-积分赛!$C$7,0)*(IFERROR(INDEX($W$7:$W$14,MATCH(AI$10,$T$7:$T$14,0)),0)*$T$20+IFERROR(INDEX($X$7:$X$14,MATCH(AI$10,$T$7:$T$14,0)),0)*$T$21)/30</f>
        <v>15071.333333333334</v>
      </c>
      <c r="AJ188" s="10">
        <f>MAX($Z188-积分赛!$C$7,0)*(IFERROR(INDEX($W$7:$W$14,MATCH(AJ$10,$T$7:$T$14,0)),0)*$T$20+IFERROR(INDEX($X$7:$X$14,MATCH(AJ$10,$T$7:$T$14,0)),0)*$T$21)/30</f>
        <v>90428</v>
      </c>
      <c r="AO188" s="10"/>
      <c r="AP188" s="10"/>
      <c r="AQ188" s="10"/>
      <c r="AR188" s="10"/>
      <c r="AS188" s="10"/>
      <c r="AT188" s="10"/>
      <c r="AU188" s="10"/>
      <c r="AV188" s="10"/>
      <c r="BI188" s="10">
        <v>178</v>
      </c>
      <c r="BJ188" s="10">
        <f>MAX($BI188-积分赛!$C$7,0)*$BC$10/30</f>
        <v>493333.33333333331</v>
      </c>
      <c r="BK188" s="10">
        <f>MAX($BI188-积分赛!$C$7,0)*$BC$10/30</f>
        <v>493333.33333333331</v>
      </c>
      <c r="BL188" s="10">
        <f>MAX($BI188-积分赛!$C$7,0)*$BC$10/30</f>
        <v>493333.33333333331</v>
      </c>
      <c r="BM188" s="10">
        <f>MAX($BI188-积分赛!$C$7,0)*$BC$10/30</f>
        <v>493333.33333333331</v>
      </c>
      <c r="BN188" s="10">
        <f>MAX($BI188-积分赛!$C$7,0)*$BC$10/30</f>
        <v>493333.33333333331</v>
      </c>
    </row>
    <row r="189" spans="26:66" x14ac:dyDescent="0.15">
      <c r="Z189" s="10">
        <v>179</v>
      </c>
      <c r="AA189" s="10">
        <f>IFERROR(MAX($Z189-积分赛!$C$7,0)*INDEX($U$7:$U$14,MATCH(AA$10,$T$7:$T$14,0))/30,0)</f>
        <v>0</v>
      </c>
      <c r="AB189" s="10">
        <f>IFERROR(MAX($Z189-积分赛!$C$7,0)*INDEX($U$7:$U$14,MATCH(AB$10,$T$7:$T$14,0))/30,0)</f>
        <v>0</v>
      </c>
      <c r="AC189" s="10">
        <f>IFERROR(MAX($Z189-积分赛!$C$7,0)*INDEX($U$7:$U$14,MATCH(AC$10,$T$7:$T$14,0))/30,0)</f>
        <v>0</v>
      </c>
      <c r="AD189" s="10">
        <f>IFERROR(MAX($Z189-积分赛!$C$7,0)*INDEX($U$7:$U$14,MATCH(AD$10,$T$7:$T$14,0))/30,0)</f>
        <v>397333.33333333331</v>
      </c>
      <c r="AE189" s="10">
        <f>IFERROR(MAX($Z189-积分赛!$C$7,0)*INDEX($U$7:$U$14,MATCH(AE$10,$T$7:$T$14,0))/30,0)</f>
        <v>4966666.666666667</v>
      </c>
      <c r="AF189" s="10">
        <f>MAX($Z189-积分赛!$C$7,0)*(IFERROR(INDEX($W$7:$W$14,MATCH(AF$10,$T$7:$T$14,0)),0)*$T$20+IFERROR(INDEX($X$7:$X$14,MATCH(AF$10,$T$7:$T$14,0)),0)*$T$21)/30</f>
        <v>0</v>
      </c>
      <c r="AG189" s="10">
        <f>MAX($Z189-积分赛!$C$7,0)*(IFERROR(INDEX($W$7:$W$14,MATCH(AG$10,$T$7:$T$14,0)),0)*$T$20+IFERROR(INDEX($X$7:$X$14,MATCH(AG$10,$T$7:$T$14,0)),0)*$T$21)/30</f>
        <v>0</v>
      </c>
      <c r="AH189" s="10">
        <f>MAX($Z189-积分赛!$C$7,0)*(IFERROR(INDEX($W$7:$W$14,MATCH(AH$10,$T$7:$T$14,0)),0)*$T$20+IFERROR(INDEX($X$7:$X$14,MATCH(AH$10,$T$7:$T$14,0)),0)*$T$21)/30</f>
        <v>0</v>
      </c>
      <c r="AI189" s="10">
        <f>MAX($Z189-积分赛!$C$7,0)*(IFERROR(INDEX($W$7:$W$14,MATCH(AI$10,$T$7:$T$14,0)),0)*$T$20+IFERROR(INDEX($X$7:$X$14,MATCH(AI$10,$T$7:$T$14,0)),0)*$T$21)/30</f>
        <v>15173.166666666666</v>
      </c>
      <c r="AJ189" s="10">
        <f>MAX($Z189-积分赛!$C$7,0)*(IFERROR(INDEX($W$7:$W$14,MATCH(AJ$10,$T$7:$T$14,0)),0)*$T$20+IFERROR(INDEX($X$7:$X$14,MATCH(AJ$10,$T$7:$T$14,0)),0)*$T$21)/30</f>
        <v>91039</v>
      </c>
      <c r="AO189" s="10"/>
      <c r="AP189" s="10"/>
      <c r="AQ189" s="10"/>
      <c r="AR189" s="10"/>
      <c r="AS189" s="10"/>
      <c r="AT189" s="10"/>
      <c r="AU189" s="10"/>
      <c r="AV189" s="10"/>
      <c r="BI189" s="10">
        <v>179</v>
      </c>
      <c r="BJ189" s="10">
        <f>MAX($BI189-积分赛!$C$7,0)*$BC$10/30</f>
        <v>496666.66666666669</v>
      </c>
      <c r="BK189" s="10">
        <f>MAX($BI189-积分赛!$C$7,0)*$BC$10/30</f>
        <v>496666.66666666669</v>
      </c>
      <c r="BL189" s="10">
        <f>MAX($BI189-积分赛!$C$7,0)*$BC$10/30</f>
        <v>496666.66666666669</v>
      </c>
      <c r="BM189" s="10">
        <f>MAX($BI189-积分赛!$C$7,0)*$BC$10/30</f>
        <v>496666.66666666669</v>
      </c>
      <c r="BN189" s="10">
        <f>MAX($BI189-积分赛!$C$7,0)*$BC$10/30</f>
        <v>496666.66666666669</v>
      </c>
    </row>
    <row r="190" spans="26:66" x14ac:dyDescent="0.15">
      <c r="Z190" s="10">
        <v>180</v>
      </c>
      <c r="AA190" s="10">
        <f>IFERROR(MAX($Z190-积分赛!$C$7,0)*INDEX($U$7:$U$14,MATCH(AA$10,$T$7:$T$14,0))/30,0)</f>
        <v>0</v>
      </c>
      <c r="AB190" s="10">
        <f>IFERROR(MAX($Z190-积分赛!$C$7,0)*INDEX($U$7:$U$14,MATCH(AB$10,$T$7:$T$14,0))/30,0)</f>
        <v>0</v>
      </c>
      <c r="AC190" s="10">
        <f>IFERROR(MAX($Z190-积分赛!$C$7,0)*INDEX($U$7:$U$14,MATCH(AC$10,$T$7:$T$14,0))/30,0)</f>
        <v>0</v>
      </c>
      <c r="AD190" s="10">
        <f>IFERROR(MAX($Z190-积分赛!$C$7,0)*INDEX($U$7:$U$14,MATCH(AD$10,$T$7:$T$14,0))/30,0)</f>
        <v>400000</v>
      </c>
      <c r="AE190" s="10">
        <f>IFERROR(MAX($Z190-积分赛!$C$7,0)*INDEX($U$7:$U$14,MATCH(AE$10,$T$7:$T$14,0))/30,0)</f>
        <v>5000000</v>
      </c>
      <c r="AF190" s="10">
        <f>MAX($Z190-积分赛!$C$7,0)*(IFERROR(INDEX($W$7:$W$14,MATCH(AF$10,$T$7:$T$14,0)),0)*$T$20+IFERROR(INDEX($X$7:$X$14,MATCH(AF$10,$T$7:$T$14,0)),0)*$T$21)/30</f>
        <v>0</v>
      </c>
      <c r="AG190" s="10">
        <f>MAX($Z190-积分赛!$C$7,0)*(IFERROR(INDEX($W$7:$W$14,MATCH(AG$10,$T$7:$T$14,0)),0)*$T$20+IFERROR(INDEX($X$7:$X$14,MATCH(AG$10,$T$7:$T$14,0)),0)*$T$21)/30</f>
        <v>0</v>
      </c>
      <c r="AH190" s="10">
        <f>MAX($Z190-积分赛!$C$7,0)*(IFERROR(INDEX($W$7:$W$14,MATCH(AH$10,$T$7:$T$14,0)),0)*$T$20+IFERROR(INDEX($X$7:$X$14,MATCH(AH$10,$T$7:$T$14,0)),0)*$T$21)/30</f>
        <v>0</v>
      </c>
      <c r="AI190" s="10">
        <f>MAX($Z190-积分赛!$C$7,0)*(IFERROR(INDEX($W$7:$W$14,MATCH(AI$10,$T$7:$T$14,0)),0)*$T$20+IFERROR(INDEX($X$7:$X$14,MATCH(AI$10,$T$7:$T$14,0)),0)*$T$21)/30</f>
        <v>15275</v>
      </c>
      <c r="AJ190" s="10">
        <f>MAX($Z190-积分赛!$C$7,0)*(IFERROR(INDEX($W$7:$W$14,MATCH(AJ$10,$T$7:$T$14,0)),0)*$T$20+IFERROR(INDEX($X$7:$X$14,MATCH(AJ$10,$T$7:$T$14,0)),0)*$T$21)/30</f>
        <v>91650</v>
      </c>
      <c r="AO190" s="10"/>
      <c r="AP190" s="10"/>
      <c r="AQ190" s="10"/>
      <c r="AR190" s="10"/>
      <c r="AS190" s="10"/>
      <c r="AT190" s="10"/>
      <c r="AU190" s="10"/>
      <c r="AV190" s="10"/>
      <c r="BI190" s="10">
        <v>180</v>
      </c>
      <c r="BJ190" s="10">
        <f>MAX($BI190-积分赛!$C$7,0)*$BC$10/30</f>
        <v>500000</v>
      </c>
      <c r="BK190" s="10">
        <f>MAX($BI190-积分赛!$C$7,0)*$BC$10/30</f>
        <v>500000</v>
      </c>
      <c r="BL190" s="10">
        <f>MAX($BI190-积分赛!$C$7,0)*$BC$10/30</f>
        <v>500000</v>
      </c>
      <c r="BM190" s="10">
        <f>MAX($BI190-积分赛!$C$7,0)*$BC$10/30</f>
        <v>500000</v>
      </c>
      <c r="BN190" s="10">
        <f>MAX($BI190-积分赛!$C$7,0)*$BC$10/30</f>
        <v>500000</v>
      </c>
    </row>
    <row r="191" spans="26:66" x14ac:dyDescent="0.15">
      <c r="Z191" s="10">
        <v>181</v>
      </c>
      <c r="AA191" s="10">
        <f>IFERROR(MAX($Z191-积分赛!$C$7,0)*INDEX($U$7:$U$14,MATCH(AA$10,$T$7:$T$14,0))/30,0)</f>
        <v>0</v>
      </c>
      <c r="AB191" s="10">
        <f>IFERROR(MAX($Z191-积分赛!$C$7,0)*INDEX($U$7:$U$14,MATCH(AB$10,$T$7:$T$14,0))/30,0)</f>
        <v>0</v>
      </c>
      <c r="AC191" s="10">
        <f>IFERROR(MAX($Z191-积分赛!$C$7,0)*INDEX($U$7:$U$14,MATCH(AC$10,$T$7:$T$14,0))/30,0)</f>
        <v>0</v>
      </c>
      <c r="AD191" s="10">
        <f>IFERROR(MAX($Z191-积分赛!$C$7,0)*INDEX($U$7:$U$14,MATCH(AD$10,$T$7:$T$14,0))/30,0)</f>
        <v>402666.66666666669</v>
      </c>
      <c r="AE191" s="10">
        <f>IFERROR(MAX($Z191-积分赛!$C$7,0)*INDEX($U$7:$U$14,MATCH(AE$10,$T$7:$T$14,0))/30,0)</f>
        <v>5033333.333333333</v>
      </c>
      <c r="AF191" s="10">
        <f>MAX($Z191-积分赛!$C$7,0)*(IFERROR(INDEX($W$7:$W$14,MATCH(AF$10,$T$7:$T$14,0)),0)*$T$20+IFERROR(INDEX($X$7:$X$14,MATCH(AF$10,$T$7:$T$14,0)),0)*$T$21)/30</f>
        <v>0</v>
      </c>
      <c r="AG191" s="10">
        <f>MAX($Z191-积分赛!$C$7,0)*(IFERROR(INDEX($W$7:$W$14,MATCH(AG$10,$T$7:$T$14,0)),0)*$T$20+IFERROR(INDEX($X$7:$X$14,MATCH(AG$10,$T$7:$T$14,0)),0)*$T$21)/30</f>
        <v>0</v>
      </c>
      <c r="AH191" s="10">
        <f>MAX($Z191-积分赛!$C$7,0)*(IFERROR(INDEX($W$7:$W$14,MATCH(AH$10,$T$7:$T$14,0)),0)*$T$20+IFERROR(INDEX($X$7:$X$14,MATCH(AH$10,$T$7:$T$14,0)),0)*$T$21)/30</f>
        <v>0</v>
      </c>
      <c r="AI191" s="10">
        <f>MAX($Z191-积分赛!$C$7,0)*(IFERROR(INDEX($W$7:$W$14,MATCH(AI$10,$T$7:$T$14,0)),0)*$T$20+IFERROR(INDEX($X$7:$X$14,MATCH(AI$10,$T$7:$T$14,0)),0)*$T$21)/30</f>
        <v>15376.833333333334</v>
      </c>
      <c r="AJ191" s="10">
        <f>MAX($Z191-积分赛!$C$7,0)*(IFERROR(INDEX($W$7:$W$14,MATCH(AJ$10,$T$7:$T$14,0)),0)*$T$20+IFERROR(INDEX($X$7:$X$14,MATCH(AJ$10,$T$7:$T$14,0)),0)*$T$21)/30</f>
        <v>92261</v>
      </c>
      <c r="AO191" s="10"/>
      <c r="AP191" s="10"/>
      <c r="AQ191" s="10"/>
      <c r="AR191" s="10"/>
      <c r="AS191" s="10"/>
      <c r="AT191" s="10"/>
      <c r="AU191" s="10"/>
      <c r="AV191" s="10"/>
      <c r="BI191" s="10">
        <v>181</v>
      </c>
      <c r="BJ191" s="10">
        <f>MAX($BI191-积分赛!$C$7,0)*$BC$10/30</f>
        <v>503333.33333333331</v>
      </c>
      <c r="BK191" s="10">
        <f>MAX($BI191-积分赛!$C$7,0)*$BC$10/30</f>
        <v>503333.33333333331</v>
      </c>
      <c r="BL191" s="10">
        <f>MAX($BI191-积分赛!$C$7,0)*$BC$10/30</f>
        <v>503333.33333333331</v>
      </c>
      <c r="BM191" s="10">
        <f>MAX($BI191-积分赛!$C$7,0)*$BC$10/30</f>
        <v>503333.33333333331</v>
      </c>
      <c r="BN191" s="10">
        <f>MAX($BI191-积分赛!$C$7,0)*$BC$10/30</f>
        <v>503333.33333333331</v>
      </c>
    </row>
    <row r="192" spans="26:66" x14ac:dyDescent="0.15">
      <c r="Z192" s="10">
        <v>182</v>
      </c>
      <c r="AA192" s="10">
        <f>IFERROR(MAX($Z192-积分赛!$C$7,0)*INDEX($U$7:$U$14,MATCH(AA$10,$T$7:$T$14,0))/30,0)</f>
        <v>0</v>
      </c>
      <c r="AB192" s="10">
        <f>IFERROR(MAX($Z192-积分赛!$C$7,0)*INDEX($U$7:$U$14,MATCH(AB$10,$T$7:$T$14,0))/30,0)</f>
        <v>0</v>
      </c>
      <c r="AC192" s="10">
        <f>IFERROR(MAX($Z192-积分赛!$C$7,0)*INDEX($U$7:$U$14,MATCH(AC$10,$T$7:$T$14,0))/30,0)</f>
        <v>0</v>
      </c>
      <c r="AD192" s="10">
        <f>IFERROR(MAX($Z192-积分赛!$C$7,0)*INDEX($U$7:$U$14,MATCH(AD$10,$T$7:$T$14,0))/30,0)</f>
        <v>405333.33333333331</v>
      </c>
      <c r="AE192" s="10">
        <f>IFERROR(MAX($Z192-积分赛!$C$7,0)*INDEX($U$7:$U$14,MATCH(AE$10,$T$7:$T$14,0))/30,0)</f>
        <v>5066666.666666667</v>
      </c>
      <c r="AF192" s="10">
        <f>MAX($Z192-积分赛!$C$7,0)*(IFERROR(INDEX($W$7:$W$14,MATCH(AF$10,$T$7:$T$14,0)),0)*$T$20+IFERROR(INDEX($X$7:$X$14,MATCH(AF$10,$T$7:$T$14,0)),0)*$T$21)/30</f>
        <v>0</v>
      </c>
      <c r="AG192" s="10">
        <f>MAX($Z192-积分赛!$C$7,0)*(IFERROR(INDEX($W$7:$W$14,MATCH(AG$10,$T$7:$T$14,0)),0)*$T$20+IFERROR(INDEX($X$7:$X$14,MATCH(AG$10,$T$7:$T$14,0)),0)*$T$21)/30</f>
        <v>0</v>
      </c>
      <c r="AH192" s="10">
        <f>MAX($Z192-积分赛!$C$7,0)*(IFERROR(INDEX($W$7:$W$14,MATCH(AH$10,$T$7:$T$14,0)),0)*$T$20+IFERROR(INDEX($X$7:$X$14,MATCH(AH$10,$T$7:$T$14,0)),0)*$T$21)/30</f>
        <v>0</v>
      </c>
      <c r="AI192" s="10">
        <f>MAX($Z192-积分赛!$C$7,0)*(IFERROR(INDEX($W$7:$W$14,MATCH(AI$10,$T$7:$T$14,0)),0)*$T$20+IFERROR(INDEX($X$7:$X$14,MATCH(AI$10,$T$7:$T$14,0)),0)*$T$21)/30</f>
        <v>15478.666666666666</v>
      </c>
      <c r="AJ192" s="10">
        <f>MAX($Z192-积分赛!$C$7,0)*(IFERROR(INDEX($W$7:$W$14,MATCH(AJ$10,$T$7:$T$14,0)),0)*$T$20+IFERROR(INDEX($X$7:$X$14,MATCH(AJ$10,$T$7:$T$14,0)),0)*$T$21)/30</f>
        <v>92872</v>
      </c>
      <c r="AO192" s="10"/>
      <c r="AP192" s="10"/>
      <c r="AQ192" s="10"/>
      <c r="AR192" s="10"/>
      <c r="AS192" s="10"/>
      <c r="AT192" s="10"/>
      <c r="AU192" s="10"/>
      <c r="AV192" s="10"/>
      <c r="BI192" s="10">
        <v>182</v>
      </c>
      <c r="BJ192" s="10">
        <f>MAX($BI192-积分赛!$C$7,0)*$BC$10/30</f>
        <v>506666.66666666669</v>
      </c>
      <c r="BK192" s="10">
        <f>MAX($BI192-积分赛!$C$7,0)*$BC$10/30</f>
        <v>506666.66666666669</v>
      </c>
      <c r="BL192" s="10">
        <f>MAX($BI192-积分赛!$C$7,0)*$BC$10/30</f>
        <v>506666.66666666669</v>
      </c>
      <c r="BM192" s="10">
        <f>MAX($BI192-积分赛!$C$7,0)*$BC$10/30</f>
        <v>506666.66666666669</v>
      </c>
      <c r="BN192" s="10">
        <f>MAX($BI192-积分赛!$C$7,0)*$BC$10/30</f>
        <v>506666.66666666669</v>
      </c>
    </row>
    <row r="193" spans="26:66" x14ac:dyDescent="0.15">
      <c r="Z193" s="10">
        <v>183</v>
      </c>
      <c r="AA193" s="10">
        <f>IFERROR(MAX($Z193-积分赛!$C$7,0)*INDEX($U$7:$U$14,MATCH(AA$10,$T$7:$T$14,0))/30,0)</f>
        <v>0</v>
      </c>
      <c r="AB193" s="10">
        <f>IFERROR(MAX($Z193-积分赛!$C$7,0)*INDEX($U$7:$U$14,MATCH(AB$10,$T$7:$T$14,0))/30,0)</f>
        <v>0</v>
      </c>
      <c r="AC193" s="10">
        <f>IFERROR(MAX($Z193-积分赛!$C$7,0)*INDEX($U$7:$U$14,MATCH(AC$10,$T$7:$T$14,0))/30,0)</f>
        <v>0</v>
      </c>
      <c r="AD193" s="10">
        <f>IFERROR(MAX($Z193-积分赛!$C$7,0)*INDEX($U$7:$U$14,MATCH(AD$10,$T$7:$T$14,0))/30,0)</f>
        <v>408000</v>
      </c>
      <c r="AE193" s="10">
        <f>IFERROR(MAX($Z193-积分赛!$C$7,0)*INDEX($U$7:$U$14,MATCH(AE$10,$T$7:$T$14,0))/30,0)</f>
        <v>5100000</v>
      </c>
      <c r="AF193" s="10">
        <f>MAX($Z193-积分赛!$C$7,0)*(IFERROR(INDEX($W$7:$W$14,MATCH(AF$10,$T$7:$T$14,0)),0)*$T$20+IFERROR(INDEX($X$7:$X$14,MATCH(AF$10,$T$7:$T$14,0)),0)*$T$21)/30</f>
        <v>0</v>
      </c>
      <c r="AG193" s="10">
        <f>MAX($Z193-积分赛!$C$7,0)*(IFERROR(INDEX($W$7:$W$14,MATCH(AG$10,$T$7:$T$14,0)),0)*$T$20+IFERROR(INDEX($X$7:$X$14,MATCH(AG$10,$T$7:$T$14,0)),0)*$T$21)/30</f>
        <v>0</v>
      </c>
      <c r="AH193" s="10">
        <f>MAX($Z193-积分赛!$C$7,0)*(IFERROR(INDEX($W$7:$W$14,MATCH(AH$10,$T$7:$T$14,0)),0)*$T$20+IFERROR(INDEX($X$7:$X$14,MATCH(AH$10,$T$7:$T$14,0)),0)*$T$21)/30</f>
        <v>0</v>
      </c>
      <c r="AI193" s="10">
        <f>MAX($Z193-积分赛!$C$7,0)*(IFERROR(INDEX($W$7:$W$14,MATCH(AI$10,$T$7:$T$14,0)),0)*$T$20+IFERROR(INDEX($X$7:$X$14,MATCH(AI$10,$T$7:$T$14,0)),0)*$T$21)/30</f>
        <v>15580.5</v>
      </c>
      <c r="AJ193" s="10">
        <f>MAX($Z193-积分赛!$C$7,0)*(IFERROR(INDEX($W$7:$W$14,MATCH(AJ$10,$T$7:$T$14,0)),0)*$T$20+IFERROR(INDEX($X$7:$X$14,MATCH(AJ$10,$T$7:$T$14,0)),0)*$T$21)/30</f>
        <v>93483</v>
      </c>
      <c r="AO193" s="10"/>
      <c r="AP193" s="10"/>
      <c r="AQ193" s="10"/>
      <c r="AR193" s="10"/>
      <c r="AS193" s="10"/>
      <c r="AT193" s="10"/>
      <c r="AU193" s="10"/>
      <c r="AV193" s="10"/>
      <c r="BI193" s="10">
        <v>183</v>
      </c>
      <c r="BJ193" s="10">
        <f>MAX($BI193-积分赛!$C$7,0)*$BC$10/30</f>
        <v>510000</v>
      </c>
      <c r="BK193" s="10">
        <f>MAX($BI193-积分赛!$C$7,0)*$BC$10/30</f>
        <v>510000</v>
      </c>
      <c r="BL193" s="10">
        <f>MAX($BI193-积分赛!$C$7,0)*$BC$10/30</f>
        <v>510000</v>
      </c>
      <c r="BM193" s="10">
        <f>MAX($BI193-积分赛!$C$7,0)*$BC$10/30</f>
        <v>510000</v>
      </c>
      <c r="BN193" s="10">
        <f>MAX($BI193-积分赛!$C$7,0)*$BC$10/30</f>
        <v>510000</v>
      </c>
    </row>
    <row r="194" spans="26:66" x14ac:dyDescent="0.15">
      <c r="Z194" s="10">
        <v>184</v>
      </c>
      <c r="AA194" s="10">
        <f>IFERROR(MAX($Z194-积分赛!$C$7,0)*INDEX($U$7:$U$14,MATCH(AA$10,$T$7:$T$14,0))/30,0)</f>
        <v>0</v>
      </c>
      <c r="AB194" s="10">
        <f>IFERROR(MAX($Z194-积分赛!$C$7,0)*INDEX($U$7:$U$14,MATCH(AB$10,$T$7:$T$14,0))/30,0)</f>
        <v>0</v>
      </c>
      <c r="AC194" s="10">
        <f>IFERROR(MAX($Z194-积分赛!$C$7,0)*INDEX($U$7:$U$14,MATCH(AC$10,$T$7:$T$14,0))/30,0)</f>
        <v>0</v>
      </c>
      <c r="AD194" s="10">
        <f>IFERROR(MAX($Z194-积分赛!$C$7,0)*INDEX($U$7:$U$14,MATCH(AD$10,$T$7:$T$14,0))/30,0)</f>
        <v>410666.66666666669</v>
      </c>
      <c r="AE194" s="10">
        <f>IFERROR(MAX($Z194-积分赛!$C$7,0)*INDEX($U$7:$U$14,MATCH(AE$10,$T$7:$T$14,0))/30,0)</f>
        <v>5133333.333333333</v>
      </c>
      <c r="AF194" s="10">
        <f>MAX($Z194-积分赛!$C$7,0)*(IFERROR(INDEX($W$7:$W$14,MATCH(AF$10,$T$7:$T$14,0)),0)*$T$20+IFERROR(INDEX($X$7:$X$14,MATCH(AF$10,$T$7:$T$14,0)),0)*$T$21)/30</f>
        <v>0</v>
      </c>
      <c r="AG194" s="10">
        <f>MAX($Z194-积分赛!$C$7,0)*(IFERROR(INDEX($W$7:$W$14,MATCH(AG$10,$T$7:$T$14,0)),0)*$T$20+IFERROR(INDEX($X$7:$X$14,MATCH(AG$10,$T$7:$T$14,0)),0)*$T$21)/30</f>
        <v>0</v>
      </c>
      <c r="AH194" s="10">
        <f>MAX($Z194-积分赛!$C$7,0)*(IFERROR(INDEX($W$7:$W$14,MATCH(AH$10,$T$7:$T$14,0)),0)*$T$20+IFERROR(INDEX($X$7:$X$14,MATCH(AH$10,$T$7:$T$14,0)),0)*$T$21)/30</f>
        <v>0</v>
      </c>
      <c r="AI194" s="10">
        <f>MAX($Z194-积分赛!$C$7,0)*(IFERROR(INDEX($W$7:$W$14,MATCH(AI$10,$T$7:$T$14,0)),0)*$T$20+IFERROR(INDEX($X$7:$X$14,MATCH(AI$10,$T$7:$T$14,0)),0)*$T$21)/30</f>
        <v>15682.333333333334</v>
      </c>
      <c r="AJ194" s="10">
        <f>MAX($Z194-积分赛!$C$7,0)*(IFERROR(INDEX($W$7:$W$14,MATCH(AJ$10,$T$7:$T$14,0)),0)*$T$20+IFERROR(INDEX($X$7:$X$14,MATCH(AJ$10,$T$7:$T$14,0)),0)*$T$21)/30</f>
        <v>94094</v>
      </c>
      <c r="AO194" s="10"/>
      <c r="AP194" s="10"/>
      <c r="AQ194" s="10"/>
      <c r="AR194" s="10"/>
      <c r="AS194" s="10"/>
      <c r="AT194" s="10"/>
      <c r="AU194" s="10"/>
      <c r="AV194" s="10"/>
      <c r="BI194" s="10">
        <v>184</v>
      </c>
      <c r="BJ194" s="10">
        <f>MAX($BI194-积分赛!$C$7,0)*$BC$10/30</f>
        <v>513333.33333333331</v>
      </c>
      <c r="BK194" s="10">
        <f>MAX($BI194-积分赛!$C$7,0)*$BC$10/30</f>
        <v>513333.33333333331</v>
      </c>
      <c r="BL194" s="10">
        <f>MAX($BI194-积分赛!$C$7,0)*$BC$10/30</f>
        <v>513333.33333333331</v>
      </c>
      <c r="BM194" s="10">
        <f>MAX($BI194-积分赛!$C$7,0)*$BC$10/30</f>
        <v>513333.33333333331</v>
      </c>
      <c r="BN194" s="10">
        <f>MAX($BI194-积分赛!$C$7,0)*$BC$10/30</f>
        <v>513333.33333333331</v>
      </c>
    </row>
    <row r="195" spans="26:66" x14ac:dyDescent="0.15">
      <c r="Z195" s="10">
        <v>185</v>
      </c>
      <c r="AA195" s="10">
        <f>IFERROR(MAX($Z195-积分赛!$C$7,0)*INDEX($U$7:$U$14,MATCH(AA$10,$T$7:$T$14,0))/30,0)</f>
        <v>0</v>
      </c>
      <c r="AB195" s="10">
        <f>IFERROR(MAX($Z195-积分赛!$C$7,0)*INDEX($U$7:$U$14,MATCH(AB$10,$T$7:$T$14,0))/30,0)</f>
        <v>0</v>
      </c>
      <c r="AC195" s="10">
        <f>IFERROR(MAX($Z195-积分赛!$C$7,0)*INDEX($U$7:$U$14,MATCH(AC$10,$T$7:$T$14,0))/30,0)</f>
        <v>0</v>
      </c>
      <c r="AD195" s="10">
        <f>IFERROR(MAX($Z195-积分赛!$C$7,0)*INDEX($U$7:$U$14,MATCH(AD$10,$T$7:$T$14,0))/30,0)</f>
        <v>413333.33333333331</v>
      </c>
      <c r="AE195" s="10">
        <f>IFERROR(MAX($Z195-积分赛!$C$7,0)*INDEX($U$7:$U$14,MATCH(AE$10,$T$7:$T$14,0))/30,0)</f>
        <v>5166666.666666667</v>
      </c>
      <c r="AF195" s="10">
        <f>MAX($Z195-积分赛!$C$7,0)*(IFERROR(INDEX($W$7:$W$14,MATCH(AF$10,$T$7:$T$14,0)),0)*$T$20+IFERROR(INDEX($X$7:$X$14,MATCH(AF$10,$T$7:$T$14,0)),0)*$T$21)/30</f>
        <v>0</v>
      </c>
      <c r="AG195" s="10">
        <f>MAX($Z195-积分赛!$C$7,0)*(IFERROR(INDEX($W$7:$W$14,MATCH(AG$10,$T$7:$T$14,0)),0)*$T$20+IFERROR(INDEX($X$7:$X$14,MATCH(AG$10,$T$7:$T$14,0)),0)*$T$21)/30</f>
        <v>0</v>
      </c>
      <c r="AH195" s="10">
        <f>MAX($Z195-积分赛!$C$7,0)*(IFERROR(INDEX($W$7:$W$14,MATCH(AH$10,$T$7:$T$14,0)),0)*$T$20+IFERROR(INDEX($X$7:$X$14,MATCH(AH$10,$T$7:$T$14,0)),0)*$T$21)/30</f>
        <v>0</v>
      </c>
      <c r="AI195" s="10">
        <f>MAX($Z195-积分赛!$C$7,0)*(IFERROR(INDEX($W$7:$W$14,MATCH(AI$10,$T$7:$T$14,0)),0)*$T$20+IFERROR(INDEX($X$7:$X$14,MATCH(AI$10,$T$7:$T$14,0)),0)*$T$21)/30</f>
        <v>15784.166666666666</v>
      </c>
      <c r="AJ195" s="10">
        <f>MAX($Z195-积分赛!$C$7,0)*(IFERROR(INDEX($W$7:$W$14,MATCH(AJ$10,$T$7:$T$14,0)),0)*$T$20+IFERROR(INDEX($X$7:$X$14,MATCH(AJ$10,$T$7:$T$14,0)),0)*$T$21)/30</f>
        <v>94705</v>
      </c>
      <c r="BI195" s="10">
        <v>185</v>
      </c>
      <c r="BJ195" s="10">
        <f>MAX($BI195-积分赛!$C$7,0)*$BC$10/30</f>
        <v>516666.66666666669</v>
      </c>
      <c r="BK195" s="10">
        <f>MAX($BI195-积分赛!$C$7,0)*$BC$10/30</f>
        <v>516666.66666666669</v>
      </c>
      <c r="BL195" s="10">
        <f>MAX($BI195-积分赛!$C$7,0)*$BC$10/30</f>
        <v>516666.66666666669</v>
      </c>
      <c r="BM195" s="10">
        <f>MAX($BI195-积分赛!$C$7,0)*$BC$10/30</f>
        <v>516666.66666666669</v>
      </c>
      <c r="BN195" s="10">
        <f>MAX($BI195-积分赛!$C$7,0)*$BC$10/30</f>
        <v>516666.66666666669</v>
      </c>
    </row>
    <row r="196" spans="26:66" x14ac:dyDescent="0.15">
      <c r="Z196" s="10">
        <v>186</v>
      </c>
      <c r="AA196" s="10">
        <f>IFERROR(MAX($Z196-积分赛!$C$7,0)*INDEX($U$7:$U$14,MATCH(AA$10,$T$7:$T$14,0))/30,0)</f>
        <v>0</v>
      </c>
      <c r="AB196" s="10">
        <f>IFERROR(MAX($Z196-积分赛!$C$7,0)*INDEX($U$7:$U$14,MATCH(AB$10,$T$7:$T$14,0))/30,0)</f>
        <v>0</v>
      </c>
      <c r="AC196" s="10">
        <f>IFERROR(MAX($Z196-积分赛!$C$7,0)*INDEX($U$7:$U$14,MATCH(AC$10,$T$7:$T$14,0))/30,0)</f>
        <v>0</v>
      </c>
      <c r="AD196" s="10">
        <f>IFERROR(MAX($Z196-积分赛!$C$7,0)*INDEX($U$7:$U$14,MATCH(AD$10,$T$7:$T$14,0))/30,0)</f>
        <v>416000</v>
      </c>
      <c r="AE196" s="10">
        <f>IFERROR(MAX($Z196-积分赛!$C$7,0)*INDEX($U$7:$U$14,MATCH(AE$10,$T$7:$T$14,0))/30,0)</f>
        <v>5200000</v>
      </c>
      <c r="AF196" s="10">
        <f>MAX($Z196-积分赛!$C$7,0)*(IFERROR(INDEX($W$7:$W$14,MATCH(AF$10,$T$7:$T$14,0)),0)*$T$20+IFERROR(INDEX($X$7:$X$14,MATCH(AF$10,$T$7:$T$14,0)),0)*$T$21)/30</f>
        <v>0</v>
      </c>
      <c r="AG196" s="10">
        <f>MAX($Z196-积分赛!$C$7,0)*(IFERROR(INDEX($W$7:$W$14,MATCH(AG$10,$T$7:$T$14,0)),0)*$T$20+IFERROR(INDEX($X$7:$X$14,MATCH(AG$10,$T$7:$T$14,0)),0)*$T$21)/30</f>
        <v>0</v>
      </c>
      <c r="AH196" s="10">
        <f>MAX($Z196-积分赛!$C$7,0)*(IFERROR(INDEX($W$7:$W$14,MATCH(AH$10,$T$7:$T$14,0)),0)*$T$20+IFERROR(INDEX($X$7:$X$14,MATCH(AH$10,$T$7:$T$14,0)),0)*$T$21)/30</f>
        <v>0</v>
      </c>
      <c r="AI196" s="10">
        <f>MAX($Z196-积分赛!$C$7,0)*(IFERROR(INDEX($W$7:$W$14,MATCH(AI$10,$T$7:$T$14,0)),0)*$T$20+IFERROR(INDEX($X$7:$X$14,MATCH(AI$10,$T$7:$T$14,0)),0)*$T$21)/30</f>
        <v>15886</v>
      </c>
      <c r="AJ196" s="10">
        <f>MAX($Z196-积分赛!$C$7,0)*(IFERROR(INDEX($W$7:$W$14,MATCH(AJ$10,$T$7:$T$14,0)),0)*$T$20+IFERROR(INDEX($X$7:$X$14,MATCH(AJ$10,$T$7:$T$14,0)),0)*$T$21)/30</f>
        <v>95316</v>
      </c>
      <c r="BI196" s="10">
        <v>186</v>
      </c>
      <c r="BJ196" s="10">
        <f>MAX($BI196-积分赛!$C$7,0)*$BC$10/30</f>
        <v>520000</v>
      </c>
      <c r="BK196" s="10">
        <f>MAX($BI196-积分赛!$C$7,0)*$BC$10/30</f>
        <v>520000</v>
      </c>
      <c r="BL196" s="10">
        <f>MAX($BI196-积分赛!$C$7,0)*$BC$10/30</f>
        <v>520000</v>
      </c>
      <c r="BM196" s="10">
        <f>MAX($BI196-积分赛!$C$7,0)*$BC$10/30</f>
        <v>520000</v>
      </c>
      <c r="BN196" s="10">
        <f>MAX($BI196-积分赛!$C$7,0)*$BC$10/30</f>
        <v>520000</v>
      </c>
    </row>
    <row r="197" spans="26:66" x14ac:dyDescent="0.15">
      <c r="Z197" s="10">
        <v>187</v>
      </c>
      <c r="AA197" s="10">
        <f>IFERROR(MAX($Z197-积分赛!$C$7,0)*INDEX($U$7:$U$14,MATCH(AA$10,$T$7:$T$14,0))/30,0)</f>
        <v>0</v>
      </c>
      <c r="AB197" s="10">
        <f>IFERROR(MAX($Z197-积分赛!$C$7,0)*INDEX($U$7:$U$14,MATCH(AB$10,$T$7:$T$14,0))/30,0)</f>
        <v>0</v>
      </c>
      <c r="AC197" s="10">
        <f>IFERROR(MAX($Z197-积分赛!$C$7,0)*INDEX($U$7:$U$14,MATCH(AC$10,$T$7:$T$14,0))/30,0)</f>
        <v>0</v>
      </c>
      <c r="AD197" s="10">
        <f>IFERROR(MAX($Z197-积分赛!$C$7,0)*INDEX($U$7:$U$14,MATCH(AD$10,$T$7:$T$14,0))/30,0)</f>
        <v>418666.66666666669</v>
      </c>
      <c r="AE197" s="10">
        <f>IFERROR(MAX($Z197-积分赛!$C$7,0)*INDEX($U$7:$U$14,MATCH(AE$10,$T$7:$T$14,0))/30,0)</f>
        <v>5233333.333333333</v>
      </c>
      <c r="AF197" s="10">
        <f>MAX($Z197-积分赛!$C$7,0)*(IFERROR(INDEX($W$7:$W$14,MATCH(AF$10,$T$7:$T$14,0)),0)*$T$20+IFERROR(INDEX($X$7:$X$14,MATCH(AF$10,$T$7:$T$14,0)),0)*$T$21)/30</f>
        <v>0</v>
      </c>
      <c r="AG197" s="10">
        <f>MAX($Z197-积分赛!$C$7,0)*(IFERROR(INDEX($W$7:$W$14,MATCH(AG$10,$T$7:$T$14,0)),0)*$T$20+IFERROR(INDEX($X$7:$X$14,MATCH(AG$10,$T$7:$T$14,0)),0)*$T$21)/30</f>
        <v>0</v>
      </c>
      <c r="AH197" s="10">
        <f>MAX($Z197-积分赛!$C$7,0)*(IFERROR(INDEX($W$7:$W$14,MATCH(AH$10,$T$7:$T$14,0)),0)*$T$20+IFERROR(INDEX($X$7:$X$14,MATCH(AH$10,$T$7:$T$14,0)),0)*$T$21)/30</f>
        <v>0</v>
      </c>
      <c r="AI197" s="10">
        <f>MAX($Z197-积分赛!$C$7,0)*(IFERROR(INDEX($W$7:$W$14,MATCH(AI$10,$T$7:$T$14,0)),0)*$T$20+IFERROR(INDEX($X$7:$X$14,MATCH(AI$10,$T$7:$T$14,0)),0)*$T$21)/30</f>
        <v>15987.833333333334</v>
      </c>
      <c r="AJ197" s="10">
        <f>MAX($Z197-积分赛!$C$7,0)*(IFERROR(INDEX($W$7:$W$14,MATCH(AJ$10,$T$7:$T$14,0)),0)*$T$20+IFERROR(INDEX($X$7:$X$14,MATCH(AJ$10,$T$7:$T$14,0)),0)*$T$21)/30</f>
        <v>95927</v>
      </c>
      <c r="BI197" s="10">
        <v>187</v>
      </c>
      <c r="BJ197" s="10">
        <f>MAX($BI197-积分赛!$C$7,0)*$BC$10/30</f>
        <v>523333.33333333331</v>
      </c>
      <c r="BK197" s="10">
        <f>MAX($BI197-积分赛!$C$7,0)*$BC$10/30</f>
        <v>523333.33333333331</v>
      </c>
      <c r="BL197" s="10">
        <f>MAX($BI197-积分赛!$C$7,0)*$BC$10/30</f>
        <v>523333.33333333331</v>
      </c>
      <c r="BM197" s="10">
        <f>MAX($BI197-积分赛!$C$7,0)*$BC$10/30</f>
        <v>523333.33333333331</v>
      </c>
      <c r="BN197" s="10">
        <f>MAX($BI197-积分赛!$C$7,0)*$BC$10/30</f>
        <v>523333.33333333331</v>
      </c>
    </row>
    <row r="198" spans="26:66" x14ac:dyDescent="0.15">
      <c r="Z198" s="10">
        <v>188</v>
      </c>
      <c r="AA198" s="10">
        <f>IFERROR(MAX($Z198-积分赛!$C$7,0)*INDEX($U$7:$U$14,MATCH(AA$10,$T$7:$T$14,0))/30,0)</f>
        <v>0</v>
      </c>
      <c r="AB198" s="10">
        <f>IFERROR(MAX($Z198-积分赛!$C$7,0)*INDEX($U$7:$U$14,MATCH(AB$10,$T$7:$T$14,0))/30,0)</f>
        <v>0</v>
      </c>
      <c r="AC198" s="10">
        <f>IFERROR(MAX($Z198-积分赛!$C$7,0)*INDEX($U$7:$U$14,MATCH(AC$10,$T$7:$T$14,0))/30,0)</f>
        <v>0</v>
      </c>
      <c r="AD198" s="10">
        <f>IFERROR(MAX($Z198-积分赛!$C$7,0)*INDEX($U$7:$U$14,MATCH(AD$10,$T$7:$T$14,0))/30,0)</f>
        <v>421333.33333333331</v>
      </c>
      <c r="AE198" s="10">
        <f>IFERROR(MAX($Z198-积分赛!$C$7,0)*INDEX($U$7:$U$14,MATCH(AE$10,$T$7:$T$14,0))/30,0)</f>
        <v>5266666.666666667</v>
      </c>
      <c r="AF198" s="10">
        <f>MAX($Z198-积分赛!$C$7,0)*(IFERROR(INDEX($W$7:$W$14,MATCH(AF$10,$T$7:$T$14,0)),0)*$T$20+IFERROR(INDEX($X$7:$X$14,MATCH(AF$10,$T$7:$T$14,0)),0)*$T$21)/30</f>
        <v>0</v>
      </c>
      <c r="AG198" s="10">
        <f>MAX($Z198-积分赛!$C$7,0)*(IFERROR(INDEX($W$7:$W$14,MATCH(AG$10,$T$7:$T$14,0)),0)*$T$20+IFERROR(INDEX($X$7:$X$14,MATCH(AG$10,$T$7:$T$14,0)),0)*$T$21)/30</f>
        <v>0</v>
      </c>
      <c r="AH198" s="10">
        <f>MAX($Z198-积分赛!$C$7,0)*(IFERROR(INDEX($W$7:$W$14,MATCH(AH$10,$T$7:$T$14,0)),0)*$T$20+IFERROR(INDEX($X$7:$X$14,MATCH(AH$10,$T$7:$T$14,0)),0)*$T$21)/30</f>
        <v>0</v>
      </c>
      <c r="AI198" s="10">
        <f>MAX($Z198-积分赛!$C$7,0)*(IFERROR(INDEX($W$7:$W$14,MATCH(AI$10,$T$7:$T$14,0)),0)*$T$20+IFERROR(INDEX($X$7:$X$14,MATCH(AI$10,$T$7:$T$14,0)),0)*$T$21)/30</f>
        <v>16089.666666666666</v>
      </c>
      <c r="AJ198" s="10">
        <f>MAX($Z198-积分赛!$C$7,0)*(IFERROR(INDEX($W$7:$W$14,MATCH(AJ$10,$T$7:$T$14,0)),0)*$T$20+IFERROR(INDEX($X$7:$X$14,MATCH(AJ$10,$T$7:$T$14,0)),0)*$T$21)/30</f>
        <v>96538</v>
      </c>
      <c r="BI198" s="10">
        <v>188</v>
      </c>
      <c r="BJ198" s="10">
        <f>MAX($BI198-积分赛!$C$7,0)*$BC$10/30</f>
        <v>526666.66666666663</v>
      </c>
      <c r="BK198" s="10">
        <f>MAX($BI198-积分赛!$C$7,0)*$BC$10/30</f>
        <v>526666.66666666663</v>
      </c>
      <c r="BL198" s="10">
        <f>MAX($BI198-积分赛!$C$7,0)*$BC$10/30</f>
        <v>526666.66666666663</v>
      </c>
      <c r="BM198" s="10">
        <f>MAX($BI198-积分赛!$C$7,0)*$BC$10/30</f>
        <v>526666.66666666663</v>
      </c>
      <c r="BN198" s="10">
        <f>MAX($BI198-积分赛!$C$7,0)*$BC$10/30</f>
        <v>526666.66666666663</v>
      </c>
    </row>
    <row r="199" spans="26:66" x14ac:dyDescent="0.15">
      <c r="Z199" s="10">
        <v>189</v>
      </c>
      <c r="AA199" s="10">
        <f>IFERROR(MAX($Z199-积分赛!$C$7,0)*INDEX($U$7:$U$14,MATCH(AA$10,$T$7:$T$14,0))/30,0)</f>
        <v>0</v>
      </c>
      <c r="AB199" s="10">
        <f>IFERROR(MAX($Z199-积分赛!$C$7,0)*INDEX($U$7:$U$14,MATCH(AB$10,$T$7:$T$14,0))/30,0)</f>
        <v>0</v>
      </c>
      <c r="AC199" s="10">
        <f>IFERROR(MAX($Z199-积分赛!$C$7,0)*INDEX($U$7:$U$14,MATCH(AC$10,$T$7:$T$14,0))/30,0)</f>
        <v>0</v>
      </c>
      <c r="AD199" s="10">
        <f>IFERROR(MAX($Z199-积分赛!$C$7,0)*INDEX($U$7:$U$14,MATCH(AD$10,$T$7:$T$14,0))/30,0)</f>
        <v>424000</v>
      </c>
      <c r="AE199" s="10">
        <f>IFERROR(MAX($Z199-积分赛!$C$7,0)*INDEX($U$7:$U$14,MATCH(AE$10,$T$7:$T$14,0))/30,0)</f>
        <v>5300000</v>
      </c>
      <c r="AF199" s="10">
        <f>MAX($Z199-积分赛!$C$7,0)*(IFERROR(INDEX($W$7:$W$14,MATCH(AF$10,$T$7:$T$14,0)),0)*$T$20+IFERROR(INDEX($X$7:$X$14,MATCH(AF$10,$T$7:$T$14,0)),0)*$T$21)/30</f>
        <v>0</v>
      </c>
      <c r="AG199" s="10">
        <f>MAX($Z199-积分赛!$C$7,0)*(IFERROR(INDEX($W$7:$W$14,MATCH(AG$10,$T$7:$T$14,0)),0)*$T$20+IFERROR(INDEX($X$7:$X$14,MATCH(AG$10,$T$7:$T$14,0)),0)*$T$21)/30</f>
        <v>0</v>
      </c>
      <c r="AH199" s="10">
        <f>MAX($Z199-积分赛!$C$7,0)*(IFERROR(INDEX($W$7:$W$14,MATCH(AH$10,$T$7:$T$14,0)),0)*$T$20+IFERROR(INDEX($X$7:$X$14,MATCH(AH$10,$T$7:$T$14,0)),0)*$T$21)/30</f>
        <v>0</v>
      </c>
      <c r="AI199" s="10">
        <f>MAX($Z199-积分赛!$C$7,0)*(IFERROR(INDEX($W$7:$W$14,MATCH(AI$10,$T$7:$T$14,0)),0)*$T$20+IFERROR(INDEX($X$7:$X$14,MATCH(AI$10,$T$7:$T$14,0)),0)*$T$21)/30</f>
        <v>16191.5</v>
      </c>
      <c r="AJ199" s="10">
        <f>MAX($Z199-积分赛!$C$7,0)*(IFERROR(INDEX($W$7:$W$14,MATCH(AJ$10,$T$7:$T$14,0)),0)*$T$20+IFERROR(INDEX($X$7:$X$14,MATCH(AJ$10,$T$7:$T$14,0)),0)*$T$21)/30</f>
        <v>97149</v>
      </c>
      <c r="BI199" s="10">
        <v>189</v>
      </c>
      <c r="BJ199" s="10">
        <f>MAX($BI199-积分赛!$C$7,0)*$BC$10/30</f>
        <v>530000</v>
      </c>
      <c r="BK199" s="10">
        <f>MAX($BI199-积分赛!$C$7,0)*$BC$10/30</f>
        <v>530000</v>
      </c>
      <c r="BL199" s="10">
        <f>MAX($BI199-积分赛!$C$7,0)*$BC$10/30</f>
        <v>530000</v>
      </c>
      <c r="BM199" s="10">
        <f>MAX($BI199-积分赛!$C$7,0)*$BC$10/30</f>
        <v>530000</v>
      </c>
      <c r="BN199" s="10">
        <f>MAX($BI199-积分赛!$C$7,0)*$BC$10/30</f>
        <v>530000</v>
      </c>
    </row>
    <row r="200" spans="26:66" x14ac:dyDescent="0.15">
      <c r="Z200" s="10">
        <v>190</v>
      </c>
      <c r="AA200" s="10">
        <f>IFERROR(MAX($Z200-积分赛!$C$7,0)*INDEX($U$7:$U$14,MATCH(AA$10,$T$7:$T$14,0))/30,0)</f>
        <v>0</v>
      </c>
      <c r="AB200" s="10">
        <f>IFERROR(MAX($Z200-积分赛!$C$7,0)*INDEX($U$7:$U$14,MATCH(AB$10,$T$7:$T$14,0))/30,0)</f>
        <v>0</v>
      </c>
      <c r="AC200" s="10">
        <f>IFERROR(MAX($Z200-积分赛!$C$7,0)*INDEX($U$7:$U$14,MATCH(AC$10,$T$7:$T$14,0))/30,0)</f>
        <v>0</v>
      </c>
      <c r="AD200" s="10">
        <f>IFERROR(MAX($Z200-积分赛!$C$7,0)*INDEX($U$7:$U$14,MATCH(AD$10,$T$7:$T$14,0))/30,0)</f>
        <v>426666.66666666669</v>
      </c>
      <c r="AE200" s="10">
        <f>IFERROR(MAX($Z200-积分赛!$C$7,0)*INDEX($U$7:$U$14,MATCH(AE$10,$T$7:$T$14,0))/30,0)</f>
        <v>5333333.333333333</v>
      </c>
      <c r="AF200" s="10">
        <f>MAX($Z200-积分赛!$C$7,0)*(IFERROR(INDEX($W$7:$W$14,MATCH(AF$10,$T$7:$T$14,0)),0)*$T$20+IFERROR(INDEX($X$7:$X$14,MATCH(AF$10,$T$7:$T$14,0)),0)*$T$21)/30</f>
        <v>0</v>
      </c>
      <c r="AG200" s="10">
        <f>MAX($Z200-积分赛!$C$7,0)*(IFERROR(INDEX($W$7:$W$14,MATCH(AG$10,$T$7:$T$14,0)),0)*$T$20+IFERROR(INDEX($X$7:$X$14,MATCH(AG$10,$T$7:$T$14,0)),0)*$T$21)/30</f>
        <v>0</v>
      </c>
      <c r="AH200" s="10">
        <f>MAX($Z200-积分赛!$C$7,0)*(IFERROR(INDEX($W$7:$W$14,MATCH(AH$10,$T$7:$T$14,0)),0)*$T$20+IFERROR(INDEX($X$7:$X$14,MATCH(AH$10,$T$7:$T$14,0)),0)*$T$21)/30</f>
        <v>0</v>
      </c>
      <c r="AI200" s="10">
        <f>MAX($Z200-积分赛!$C$7,0)*(IFERROR(INDEX($W$7:$W$14,MATCH(AI$10,$T$7:$T$14,0)),0)*$T$20+IFERROR(INDEX($X$7:$X$14,MATCH(AI$10,$T$7:$T$14,0)),0)*$T$21)/30</f>
        <v>16293.333333333334</v>
      </c>
      <c r="AJ200" s="10">
        <f>MAX($Z200-积分赛!$C$7,0)*(IFERROR(INDEX($W$7:$W$14,MATCH(AJ$10,$T$7:$T$14,0)),0)*$T$20+IFERROR(INDEX($X$7:$X$14,MATCH(AJ$10,$T$7:$T$14,0)),0)*$T$21)/30</f>
        <v>97760</v>
      </c>
      <c r="BI200" s="10">
        <v>190</v>
      </c>
      <c r="BJ200" s="10">
        <f>MAX($BI200-积分赛!$C$7,0)*$BC$10/30</f>
        <v>533333.33333333337</v>
      </c>
      <c r="BK200" s="10">
        <f>MAX($BI200-积分赛!$C$7,0)*$BC$10/30</f>
        <v>533333.33333333337</v>
      </c>
      <c r="BL200" s="10">
        <f>MAX($BI200-积分赛!$C$7,0)*$BC$10/30</f>
        <v>533333.33333333337</v>
      </c>
      <c r="BM200" s="10">
        <f>MAX($BI200-积分赛!$C$7,0)*$BC$10/30</f>
        <v>533333.33333333337</v>
      </c>
      <c r="BN200" s="10">
        <f>MAX($BI200-积分赛!$C$7,0)*$BC$10/30</f>
        <v>533333.33333333337</v>
      </c>
    </row>
    <row r="201" spans="26:66" x14ac:dyDescent="0.15">
      <c r="Z201" s="10">
        <v>191</v>
      </c>
      <c r="AA201" s="10">
        <f>IFERROR(MAX($Z201-积分赛!$C$7,0)*INDEX($U$7:$U$14,MATCH(AA$10,$T$7:$T$14,0))/30,0)</f>
        <v>0</v>
      </c>
      <c r="AB201" s="10">
        <f>IFERROR(MAX($Z201-积分赛!$C$7,0)*INDEX($U$7:$U$14,MATCH(AB$10,$T$7:$T$14,0))/30,0)</f>
        <v>0</v>
      </c>
      <c r="AC201" s="10">
        <f>IFERROR(MAX($Z201-积分赛!$C$7,0)*INDEX($U$7:$U$14,MATCH(AC$10,$T$7:$T$14,0))/30,0)</f>
        <v>0</v>
      </c>
      <c r="AD201" s="10">
        <f>IFERROR(MAX($Z201-积分赛!$C$7,0)*INDEX($U$7:$U$14,MATCH(AD$10,$T$7:$T$14,0))/30,0)</f>
        <v>429333.33333333331</v>
      </c>
      <c r="AE201" s="10">
        <f>IFERROR(MAX($Z201-积分赛!$C$7,0)*INDEX($U$7:$U$14,MATCH(AE$10,$T$7:$T$14,0))/30,0)</f>
        <v>5366666.666666667</v>
      </c>
      <c r="AF201" s="10">
        <f>MAX($Z201-积分赛!$C$7,0)*(IFERROR(INDEX($W$7:$W$14,MATCH(AF$10,$T$7:$T$14,0)),0)*$T$20+IFERROR(INDEX($X$7:$X$14,MATCH(AF$10,$T$7:$T$14,0)),0)*$T$21)/30</f>
        <v>0</v>
      </c>
      <c r="AG201" s="10">
        <f>MAX($Z201-积分赛!$C$7,0)*(IFERROR(INDEX($W$7:$W$14,MATCH(AG$10,$T$7:$T$14,0)),0)*$T$20+IFERROR(INDEX($X$7:$X$14,MATCH(AG$10,$T$7:$T$14,0)),0)*$T$21)/30</f>
        <v>0</v>
      </c>
      <c r="AH201" s="10">
        <f>MAX($Z201-积分赛!$C$7,0)*(IFERROR(INDEX($W$7:$W$14,MATCH(AH$10,$T$7:$T$14,0)),0)*$T$20+IFERROR(INDEX($X$7:$X$14,MATCH(AH$10,$T$7:$T$14,0)),0)*$T$21)/30</f>
        <v>0</v>
      </c>
      <c r="AI201" s="10">
        <f>MAX($Z201-积分赛!$C$7,0)*(IFERROR(INDEX($W$7:$W$14,MATCH(AI$10,$T$7:$T$14,0)),0)*$T$20+IFERROR(INDEX($X$7:$X$14,MATCH(AI$10,$T$7:$T$14,0)),0)*$T$21)/30</f>
        <v>16395.166666666668</v>
      </c>
      <c r="AJ201" s="10">
        <f>MAX($Z201-积分赛!$C$7,0)*(IFERROR(INDEX($W$7:$W$14,MATCH(AJ$10,$T$7:$T$14,0)),0)*$T$20+IFERROR(INDEX($X$7:$X$14,MATCH(AJ$10,$T$7:$T$14,0)),0)*$T$21)/30</f>
        <v>98371</v>
      </c>
      <c r="BI201" s="10">
        <v>191</v>
      </c>
      <c r="BJ201" s="10">
        <f>MAX($BI201-积分赛!$C$7,0)*$BC$10/30</f>
        <v>536666.66666666663</v>
      </c>
      <c r="BK201" s="10">
        <f>MAX($BI201-积分赛!$C$7,0)*$BC$10/30</f>
        <v>536666.66666666663</v>
      </c>
      <c r="BL201" s="10">
        <f>MAX($BI201-积分赛!$C$7,0)*$BC$10/30</f>
        <v>536666.66666666663</v>
      </c>
      <c r="BM201" s="10">
        <f>MAX($BI201-积分赛!$C$7,0)*$BC$10/30</f>
        <v>536666.66666666663</v>
      </c>
      <c r="BN201" s="10">
        <f>MAX($BI201-积分赛!$C$7,0)*$BC$10/30</f>
        <v>536666.66666666663</v>
      </c>
    </row>
    <row r="202" spans="26:66" x14ac:dyDescent="0.15">
      <c r="Z202" s="10">
        <v>192</v>
      </c>
      <c r="AA202" s="10">
        <f>IFERROR(MAX($Z202-积分赛!$C$7,0)*INDEX($U$7:$U$14,MATCH(AA$10,$T$7:$T$14,0))/30,0)</f>
        <v>0</v>
      </c>
      <c r="AB202" s="10">
        <f>IFERROR(MAX($Z202-积分赛!$C$7,0)*INDEX($U$7:$U$14,MATCH(AB$10,$T$7:$T$14,0))/30,0)</f>
        <v>0</v>
      </c>
      <c r="AC202" s="10">
        <f>IFERROR(MAX($Z202-积分赛!$C$7,0)*INDEX($U$7:$U$14,MATCH(AC$10,$T$7:$T$14,0))/30,0)</f>
        <v>0</v>
      </c>
      <c r="AD202" s="10">
        <f>IFERROR(MAX($Z202-积分赛!$C$7,0)*INDEX($U$7:$U$14,MATCH(AD$10,$T$7:$T$14,0))/30,0)</f>
        <v>432000</v>
      </c>
      <c r="AE202" s="10">
        <f>IFERROR(MAX($Z202-积分赛!$C$7,0)*INDEX($U$7:$U$14,MATCH(AE$10,$T$7:$T$14,0))/30,0)</f>
        <v>5400000</v>
      </c>
      <c r="AF202" s="10">
        <f>MAX($Z202-积分赛!$C$7,0)*(IFERROR(INDEX($W$7:$W$14,MATCH(AF$10,$T$7:$T$14,0)),0)*$T$20+IFERROR(INDEX($X$7:$X$14,MATCH(AF$10,$T$7:$T$14,0)),0)*$T$21)/30</f>
        <v>0</v>
      </c>
      <c r="AG202" s="10">
        <f>MAX($Z202-积分赛!$C$7,0)*(IFERROR(INDEX($W$7:$W$14,MATCH(AG$10,$T$7:$T$14,0)),0)*$T$20+IFERROR(INDEX($X$7:$X$14,MATCH(AG$10,$T$7:$T$14,0)),0)*$T$21)/30</f>
        <v>0</v>
      </c>
      <c r="AH202" s="10">
        <f>MAX($Z202-积分赛!$C$7,0)*(IFERROR(INDEX($W$7:$W$14,MATCH(AH$10,$T$7:$T$14,0)),0)*$T$20+IFERROR(INDEX($X$7:$X$14,MATCH(AH$10,$T$7:$T$14,0)),0)*$T$21)/30</f>
        <v>0</v>
      </c>
      <c r="AI202" s="10">
        <f>MAX($Z202-积分赛!$C$7,0)*(IFERROR(INDEX($W$7:$W$14,MATCH(AI$10,$T$7:$T$14,0)),0)*$T$20+IFERROR(INDEX($X$7:$X$14,MATCH(AI$10,$T$7:$T$14,0)),0)*$T$21)/30</f>
        <v>16497</v>
      </c>
      <c r="AJ202" s="10">
        <f>MAX($Z202-积分赛!$C$7,0)*(IFERROR(INDEX($W$7:$W$14,MATCH(AJ$10,$T$7:$T$14,0)),0)*$T$20+IFERROR(INDEX($X$7:$X$14,MATCH(AJ$10,$T$7:$T$14,0)),0)*$T$21)/30</f>
        <v>98982</v>
      </c>
      <c r="BI202" s="10">
        <v>192</v>
      </c>
      <c r="BJ202" s="10">
        <f>MAX($BI202-积分赛!$C$7,0)*$BC$10/30</f>
        <v>540000</v>
      </c>
      <c r="BK202" s="10">
        <f>MAX($BI202-积分赛!$C$7,0)*$BC$10/30</f>
        <v>540000</v>
      </c>
      <c r="BL202" s="10">
        <f>MAX($BI202-积分赛!$C$7,0)*$BC$10/30</f>
        <v>540000</v>
      </c>
      <c r="BM202" s="10">
        <f>MAX($BI202-积分赛!$C$7,0)*$BC$10/30</f>
        <v>540000</v>
      </c>
      <c r="BN202" s="10">
        <f>MAX($BI202-积分赛!$C$7,0)*$BC$10/30</f>
        <v>540000</v>
      </c>
    </row>
    <row r="203" spans="26:66" x14ac:dyDescent="0.15">
      <c r="Z203" s="10">
        <v>193</v>
      </c>
      <c r="AA203" s="10">
        <f>IFERROR(MAX($Z203-积分赛!$C$7,0)*INDEX($U$7:$U$14,MATCH(AA$10,$T$7:$T$14,0))/30,0)</f>
        <v>0</v>
      </c>
      <c r="AB203" s="10">
        <f>IFERROR(MAX($Z203-积分赛!$C$7,0)*INDEX($U$7:$U$14,MATCH(AB$10,$T$7:$T$14,0))/30,0)</f>
        <v>0</v>
      </c>
      <c r="AC203" s="10">
        <f>IFERROR(MAX($Z203-积分赛!$C$7,0)*INDEX($U$7:$U$14,MATCH(AC$10,$T$7:$T$14,0))/30,0)</f>
        <v>0</v>
      </c>
      <c r="AD203" s="10">
        <f>IFERROR(MAX($Z203-积分赛!$C$7,0)*INDEX($U$7:$U$14,MATCH(AD$10,$T$7:$T$14,0))/30,0)</f>
        <v>434666.66666666669</v>
      </c>
      <c r="AE203" s="10">
        <f>IFERROR(MAX($Z203-积分赛!$C$7,0)*INDEX($U$7:$U$14,MATCH(AE$10,$T$7:$T$14,0))/30,0)</f>
        <v>5433333.333333333</v>
      </c>
      <c r="AF203" s="10">
        <f>MAX($Z203-积分赛!$C$7,0)*(IFERROR(INDEX($W$7:$W$14,MATCH(AF$10,$T$7:$T$14,0)),0)*$T$20+IFERROR(INDEX($X$7:$X$14,MATCH(AF$10,$T$7:$T$14,0)),0)*$T$21)/30</f>
        <v>0</v>
      </c>
      <c r="AG203" s="10">
        <f>MAX($Z203-积分赛!$C$7,0)*(IFERROR(INDEX($W$7:$W$14,MATCH(AG$10,$T$7:$T$14,0)),0)*$T$20+IFERROR(INDEX($X$7:$X$14,MATCH(AG$10,$T$7:$T$14,0)),0)*$T$21)/30</f>
        <v>0</v>
      </c>
      <c r="AH203" s="10">
        <f>MAX($Z203-积分赛!$C$7,0)*(IFERROR(INDEX($W$7:$W$14,MATCH(AH$10,$T$7:$T$14,0)),0)*$T$20+IFERROR(INDEX($X$7:$X$14,MATCH(AH$10,$T$7:$T$14,0)),0)*$T$21)/30</f>
        <v>0</v>
      </c>
      <c r="AI203" s="10">
        <f>MAX($Z203-积分赛!$C$7,0)*(IFERROR(INDEX($W$7:$W$14,MATCH(AI$10,$T$7:$T$14,0)),0)*$T$20+IFERROR(INDEX($X$7:$X$14,MATCH(AI$10,$T$7:$T$14,0)),0)*$T$21)/30</f>
        <v>16598.833333333332</v>
      </c>
      <c r="AJ203" s="10">
        <f>MAX($Z203-积分赛!$C$7,0)*(IFERROR(INDEX($W$7:$W$14,MATCH(AJ$10,$T$7:$T$14,0)),0)*$T$20+IFERROR(INDEX($X$7:$X$14,MATCH(AJ$10,$T$7:$T$14,0)),0)*$T$21)/30</f>
        <v>99593</v>
      </c>
      <c r="BI203" s="10">
        <v>193</v>
      </c>
      <c r="BJ203" s="10">
        <f>MAX($BI203-积分赛!$C$7,0)*$BC$10/30</f>
        <v>543333.33333333337</v>
      </c>
      <c r="BK203" s="10">
        <f>MAX($BI203-积分赛!$C$7,0)*$BC$10/30</f>
        <v>543333.33333333337</v>
      </c>
      <c r="BL203" s="10">
        <f>MAX($BI203-积分赛!$C$7,0)*$BC$10/30</f>
        <v>543333.33333333337</v>
      </c>
      <c r="BM203" s="10">
        <f>MAX($BI203-积分赛!$C$7,0)*$BC$10/30</f>
        <v>543333.33333333337</v>
      </c>
      <c r="BN203" s="10">
        <f>MAX($BI203-积分赛!$C$7,0)*$BC$10/30</f>
        <v>543333.33333333337</v>
      </c>
    </row>
    <row r="204" spans="26:66" x14ac:dyDescent="0.15">
      <c r="Z204" s="10">
        <v>194</v>
      </c>
      <c r="AA204" s="10">
        <f>IFERROR(MAX($Z204-积分赛!$C$7,0)*INDEX($U$7:$U$14,MATCH(AA$10,$T$7:$T$14,0))/30,0)</f>
        <v>0</v>
      </c>
      <c r="AB204" s="10">
        <f>IFERROR(MAX($Z204-积分赛!$C$7,0)*INDEX($U$7:$U$14,MATCH(AB$10,$T$7:$T$14,0))/30,0)</f>
        <v>0</v>
      </c>
      <c r="AC204" s="10">
        <f>IFERROR(MAX($Z204-积分赛!$C$7,0)*INDEX($U$7:$U$14,MATCH(AC$10,$T$7:$T$14,0))/30,0)</f>
        <v>0</v>
      </c>
      <c r="AD204" s="10">
        <f>IFERROR(MAX($Z204-积分赛!$C$7,0)*INDEX($U$7:$U$14,MATCH(AD$10,$T$7:$T$14,0))/30,0)</f>
        <v>437333.33333333331</v>
      </c>
      <c r="AE204" s="10">
        <f>IFERROR(MAX($Z204-积分赛!$C$7,0)*INDEX($U$7:$U$14,MATCH(AE$10,$T$7:$T$14,0))/30,0)</f>
        <v>5466666.666666667</v>
      </c>
      <c r="AF204" s="10">
        <f>MAX($Z204-积分赛!$C$7,0)*(IFERROR(INDEX($W$7:$W$14,MATCH(AF$10,$T$7:$T$14,0)),0)*$T$20+IFERROR(INDEX($X$7:$X$14,MATCH(AF$10,$T$7:$T$14,0)),0)*$T$21)/30</f>
        <v>0</v>
      </c>
      <c r="AG204" s="10">
        <f>MAX($Z204-积分赛!$C$7,0)*(IFERROR(INDEX($W$7:$W$14,MATCH(AG$10,$T$7:$T$14,0)),0)*$T$20+IFERROR(INDEX($X$7:$X$14,MATCH(AG$10,$T$7:$T$14,0)),0)*$T$21)/30</f>
        <v>0</v>
      </c>
      <c r="AH204" s="10">
        <f>MAX($Z204-积分赛!$C$7,0)*(IFERROR(INDEX($W$7:$W$14,MATCH(AH$10,$T$7:$T$14,0)),0)*$T$20+IFERROR(INDEX($X$7:$X$14,MATCH(AH$10,$T$7:$T$14,0)),0)*$T$21)/30</f>
        <v>0</v>
      </c>
      <c r="AI204" s="10">
        <f>MAX($Z204-积分赛!$C$7,0)*(IFERROR(INDEX($W$7:$W$14,MATCH(AI$10,$T$7:$T$14,0)),0)*$T$20+IFERROR(INDEX($X$7:$X$14,MATCH(AI$10,$T$7:$T$14,0)),0)*$T$21)/30</f>
        <v>16700.666666666668</v>
      </c>
      <c r="AJ204" s="10">
        <f>MAX($Z204-积分赛!$C$7,0)*(IFERROR(INDEX($W$7:$W$14,MATCH(AJ$10,$T$7:$T$14,0)),0)*$T$20+IFERROR(INDEX($X$7:$X$14,MATCH(AJ$10,$T$7:$T$14,0)),0)*$T$21)/30</f>
        <v>100204</v>
      </c>
      <c r="BI204" s="10">
        <v>194</v>
      </c>
      <c r="BJ204" s="10">
        <f>MAX($BI204-积分赛!$C$7,0)*$BC$10/30</f>
        <v>546666.66666666663</v>
      </c>
      <c r="BK204" s="10">
        <f>MAX($BI204-积分赛!$C$7,0)*$BC$10/30</f>
        <v>546666.66666666663</v>
      </c>
      <c r="BL204" s="10">
        <f>MAX($BI204-积分赛!$C$7,0)*$BC$10/30</f>
        <v>546666.66666666663</v>
      </c>
      <c r="BM204" s="10">
        <f>MAX($BI204-积分赛!$C$7,0)*$BC$10/30</f>
        <v>546666.66666666663</v>
      </c>
      <c r="BN204" s="10">
        <f>MAX($BI204-积分赛!$C$7,0)*$BC$10/30</f>
        <v>546666.66666666663</v>
      </c>
    </row>
    <row r="205" spans="26:66" x14ac:dyDescent="0.15">
      <c r="Z205" s="10">
        <v>195</v>
      </c>
      <c r="AA205" s="10">
        <f>IFERROR(MAX($Z205-积分赛!$C$7,0)*INDEX($U$7:$U$14,MATCH(AA$10,$T$7:$T$14,0))/30,0)</f>
        <v>0</v>
      </c>
      <c r="AB205" s="10">
        <f>IFERROR(MAX($Z205-积分赛!$C$7,0)*INDEX($U$7:$U$14,MATCH(AB$10,$T$7:$T$14,0))/30,0)</f>
        <v>0</v>
      </c>
      <c r="AC205" s="10">
        <f>IFERROR(MAX($Z205-积分赛!$C$7,0)*INDEX($U$7:$U$14,MATCH(AC$10,$T$7:$T$14,0))/30,0)</f>
        <v>0</v>
      </c>
      <c r="AD205" s="10">
        <f>IFERROR(MAX($Z205-积分赛!$C$7,0)*INDEX($U$7:$U$14,MATCH(AD$10,$T$7:$T$14,0))/30,0)</f>
        <v>440000</v>
      </c>
      <c r="AE205" s="10">
        <f>IFERROR(MAX($Z205-积分赛!$C$7,0)*INDEX($U$7:$U$14,MATCH(AE$10,$T$7:$T$14,0))/30,0)</f>
        <v>5500000</v>
      </c>
      <c r="AF205" s="10">
        <f>MAX($Z205-积分赛!$C$7,0)*(IFERROR(INDEX($W$7:$W$14,MATCH(AF$10,$T$7:$T$14,0)),0)*$T$20+IFERROR(INDEX($X$7:$X$14,MATCH(AF$10,$T$7:$T$14,0)),0)*$T$21)/30</f>
        <v>0</v>
      </c>
      <c r="AG205" s="10">
        <f>MAX($Z205-积分赛!$C$7,0)*(IFERROR(INDEX($W$7:$W$14,MATCH(AG$10,$T$7:$T$14,0)),0)*$T$20+IFERROR(INDEX($X$7:$X$14,MATCH(AG$10,$T$7:$T$14,0)),0)*$T$21)/30</f>
        <v>0</v>
      </c>
      <c r="AH205" s="10">
        <f>MAX($Z205-积分赛!$C$7,0)*(IFERROR(INDEX($W$7:$W$14,MATCH(AH$10,$T$7:$T$14,0)),0)*$T$20+IFERROR(INDEX($X$7:$X$14,MATCH(AH$10,$T$7:$T$14,0)),0)*$T$21)/30</f>
        <v>0</v>
      </c>
      <c r="AI205" s="10">
        <f>MAX($Z205-积分赛!$C$7,0)*(IFERROR(INDEX($W$7:$W$14,MATCH(AI$10,$T$7:$T$14,0)),0)*$T$20+IFERROR(INDEX($X$7:$X$14,MATCH(AI$10,$T$7:$T$14,0)),0)*$T$21)/30</f>
        <v>16802.5</v>
      </c>
      <c r="AJ205" s="10">
        <f>MAX($Z205-积分赛!$C$7,0)*(IFERROR(INDEX($W$7:$W$14,MATCH(AJ$10,$T$7:$T$14,0)),0)*$T$20+IFERROR(INDEX($X$7:$X$14,MATCH(AJ$10,$T$7:$T$14,0)),0)*$T$21)/30</f>
        <v>100815</v>
      </c>
      <c r="BI205" s="10">
        <v>195</v>
      </c>
      <c r="BJ205" s="10">
        <f>MAX($BI205-积分赛!$C$7,0)*$BC$10/30</f>
        <v>550000</v>
      </c>
      <c r="BK205" s="10">
        <f>MAX($BI205-积分赛!$C$7,0)*$BC$10/30</f>
        <v>550000</v>
      </c>
      <c r="BL205" s="10">
        <f>MAX($BI205-积分赛!$C$7,0)*$BC$10/30</f>
        <v>550000</v>
      </c>
      <c r="BM205" s="10">
        <f>MAX($BI205-积分赛!$C$7,0)*$BC$10/30</f>
        <v>550000</v>
      </c>
      <c r="BN205" s="10">
        <f>MAX($BI205-积分赛!$C$7,0)*$BC$10/30</f>
        <v>550000</v>
      </c>
    </row>
    <row r="206" spans="26:66" x14ac:dyDescent="0.15">
      <c r="Z206" s="10">
        <v>196</v>
      </c>
      <c r="AA206" s="10">
        <f>IFERROR(MAX($Z206-积分赛!$C$7,0)*INDEX($U$7:$U$14,MATCH(AA$10,$T$7:$T$14,0))/30,0)</f>
        <v>0</v>
      </c>
      <c r="AB206" s="10">
        <f>IFERROR(MAX($Z206-积分赛!$C$7,0)*INDEX($U$7:$U$14,MATCH(AB$10,$T$7:$T$14,0))/30,0)</f>
        <v>0</v>
      </c>
      <c r="AC206" s="10">
        <f>IFERROR(MAX($Z206-积分赛!$C$7,0)*INDEX($U$7:$U$14,MATCH(AC$10,$T$7:$T$14,0))/30,0)</f>
        <v>0</v>
      </c>
      <c r="AD206" s="10">
        <f>IFERROR(MAX($Z206-积分赛!$C$7,0)*INDEX($U$7:$U$14,MATCH(AD$10,$T$7:$T$14,0))/30,0)</f>
        <v>442666.66666666669</v>
      </c>
      <c r="AE206" s="10">
        <f>IFERROR(MAX($Z206-积分赛!$C$7,0)*INDEX($U$7:$U$14,MATCH(AE$10,$T$7:$T$14,0))/30,0)</f>
        <v>5533333.333333333</v>
      </c>
      <c r="AF206" s="10">
        <f>MAX($Z206-积分赛!$C$7,0)*(IFERROR(INDEX($W$7:$W$14,MATCH(AF$10,$T$7:$T$14,0)),0)*$T$20+IFERROR(INDEX($X$7:$X$14,MATCH(AF$10,$T$7:$T$14,0)),0)*$T$21)/30</f>
        <v>0</v>
      </c>
      <c r="AG206" s="10">
        <f>MAX($Z206-积分赛!$C$7,0)*(IFERROR(INDEX($W$7:$W$14,MATCH(AG$10,$T$7:$T$14,0)),0)*$T$20+IFERROR(INDEX($X$7:$X$14,MATCH(AG$10,$T$7:$T$14,0)),0)*$T$21)/30</f>
        <v>0</v>
      </c>
      <c r="AH206" s="10">
        <f>MAX($Z206-积分赛!$C$7,0)*(IFERROR(INDEX($W$7:$W$14,MATCH(AH$10,$T$7:$T$14,0)),0)*$T$20+IFERROR(INDEX($X$7:$X$14,MATCH(AH$10,$T$7:$T$14,0)),0)*$T$21)/30</f>
        <v>0</v>
      </c>
      <c r="AI206" s="10">
        <f>MAX($Z206-积分赛!$C$7,0)*(IFERROR(INDEX($W$7:$W$14,MATCH(AI$10,$T$7:$T$14,0)),0)*$T$20+IFERROR(INDEX($X$7:$X$14,MATCH(AI$10,$T$7:$T$14,0)),0)*$T$21)/30</f>
        <v>16904.333333333332</v>
      </c>
      <c r="AJ206" s="10">
        <f>MAX($Z206-积分赛!$C$7,0)*(IFERROR(INDEX($W$7:$W$14,MATCH(AJ$10,$T$7:$T$14,0)),0)*$T$20+IFERROR(INDEX($X$7:$X$14,MATCH(AJ$10,$T$7:$T$14,0)),0)*$T$21)/30</f>
        <v>101426</v>
      </c>
      <c r="BI206" s="10">
        <v>196</v>
      </c>
      <c r="BJ206" s="10">
        <f>MAX($BI206-积分赛!$C$7,0)*$BC$10/30</f>
        <v>553333.33333333337</v>
      </c>
      <c r="BK206" s="10">
        <f>MAX($BI206-积分赛!$C$7,0)*$BC$10/30</f>
        <v>553333.33333333337</v>
      </c>
      <c r="BL206" s="10">
        <f>MAX($BI206-积分赛!$C$7,0)*$BC$10/30</f>
        <v>553333.33333333337</v>
      </c>
      <c r="BM206" s="10">
        <f>MAX($BI206-积分赛!$C$7,0)*$BC$10/30</f>
        <v>553333.33333333337</v>
      </c>
      <c r="BN206" s="10">
        <f>MAX($BI206-积分赛!$C$7,0)*$BC$10/30</f>
        <v>553333.33333333337</v>
      </c>
    </row>
    <row r="207" spans="26:66" x14ac:dyDescent="0.15">
      <c r="Z207" s="10">
        <v>197</v>
      </c>
      <c r="AA207" s="10">
        <f>IFERROR(MAX($Z207-积分赛!$C$7,0)*INDEX($U$7:$U$14,MATCH(AA$10,$T$7:$T$14,0))/30,0)</f>
        <v>0</v>
      </c>
      <c r="AB207" s="10">
        <f>IFERROR(MAX($Z207-积分赛!$C$7,0)*INDEX($U$7:$U$14,MATCH(AB$10,$T$7:$T$14,0))/30,0)</f>
        <v>0</v>
      </c>
      <c r="AC207" s="10">
        <f>IFERROR(MAX($Z207-积分赛!$C$7,0)*INDEX($U$7:$U$14,MATCH(AC$10,$T$7:$T$14,0))/30,0)</f>
        <v>0</v>
      </c>
      <c r="AD207" s="10">
        <f>IFERROR(MAX($Z207-积分赛!$C$7,0)*INDEX($U$7:$U$14,MATCH(AD$10,$T$7:$T$14,0))/30,0)</f>
        <v>445333.33333333331</v>
      </c>
      <c r="AE207" s="10">
        <f>IFERROR(MAX($Z207-积分赛!$C$7,0)*INDEX($U$7:$U$14,MATCH(AE$10,$T$7:$T$14,0))/30,0)</f>
        <v>5566666.666666667</v>
      </c>
      <c r="AF207" s="10">
        <f>MAX($Z207-积分赛!$C$7,0)*(IFERROR(INDEX($W$7:$W$14,MATCH(AF$10,$T$7:$T$14,0)),0)*$T$20+IFERROR(INDEX($X$7:$X$14,MATCH(AF$10,$T$7:$T$14,0)),0)*$T$21)/30</f>
        <v>0</v>
      </c>
      <c r="AG207" s="10">
        <f>MAX($Z207-积分赛!$C$7,0)*(IFERROR(INDEX($W$7:$W$14,MATCH(AG$10,$T$7:$T$14,0)),0)*$T$20+IFERROR(INDEX($X$7:$X$14,MATCH(AG$10,$T$7:$T$14,0)),0)*$T$21)/30</f>
        <v>0</v>
      </c>
      <c r="AH207" s="10">
        <f>MAX($Z207-积分赛!$C$7,0)*(IFERROR(INDEX($W$7:$W$14,MATCH(AH$10,$T$7:$T$14,0)),0)*$T$20+IFERROR(INDEX($X$7:$X$14,MATCH(AH$10,$T$7:$T$14,0)),0)*$T$21)/30</f>
        <v>0</v>
      </c>
      <c r="AI207" s="10">
        <f>MAX($Z207-积分赛!$C$7,0)*(IFERROR(INDEX($W$7:$W$14,MATCH(AI$10,$T$7:$T$14,0)),0)*$T$20+IFERROR(INDEX($X$7:$X$14,MATCH(AI$10,$T$7:$T$14,0)),0)*$T$21)/30</f>
        <v>17006.166666666668</v>
      </c>
      <c r="AJ207" s="10">
        <f>MAX($Z207-积分赛!$C$7,0)*(IFERROR(INDEX($W$7:$W$14,MATCH(AJ$10,$T$7:$T$14,0)),0)*$T$20+IFERROR(INDEX($X$7:$X$14,MATCH(AJ$10,$T$7:$T$14,0)),0)*$T$21)/30</f>
        <v>102037</v>
      </c>
      <c r="BI207" s="10">
        <v>197</v>
      </c>
      <c r="BJ207" s="10">
        <f>MAX($BI207-积分赛!$C$7,0)*$BC$10/30</f>
        <v>556666.66666666663</v>
      </c>
      <c r="BK207" s="10">
        <f>MAX($BI207-积分赛!$C$7,0)*$BC$10/30</f>
        <v>556666.66666666663</v>
      </c>
      <c r="BL207" s="10">
        <f>MAX($BI207-积分赛!$C$7,0)*$BC$10/30</f>
        <v>556666.66666666663</v>
      </c>
      <c r="BM207" s="10">
        <f>MAX($BI207-积分赛!$C$7,0)*$BC$10/30</f>
        <v>556666.66666666663</v>
      </c>
      <c r="BN207" s="10">
        <f>MAX($BI207-积分赛!$C$7,0)*$BC$10/30</f>
        <v>556666.66666666663</v>
      </c>
    </row>
    <row r="208" spans="26:66" x14ac:dyDescent="0.15">
      <c r="Z208" s="10">
        <v>198</v>
      </c>
      <c r="AA208" s="10">
        <f>IFERROR(MAX($Z208-积分赛!$C$7,0)*INDEX($U$7:$U$14,MATCH(AA$10,$T$7:$T$14,0))/30,0)</f>
        <v>0</v>
      </c>
      <c r="AB208" s="10">
        <f>IFERROR(MAX($Z208-积分赛!$C$7,0)*INDEX($U$7:$U$14,MATCH(AB$10,$T$7:$T$14,0))/30,0)</f>
        <v>0</v>
      </c>
      <c r="AC208" s="10">
        <f>IFERROR(MAX($Z208-积分赛!$C$7,0)*INDEX($U$7:$U$14,MATCH(AC$10,$T$7:$T$14,0))/30,0)</f>
        <v>0</v>
      </c>
      <c r="AD208" s="10">
        <f>IFERROR(MAX($Z208-积分赛!$C$7,0)*INDEX($U$7:$U$14,MATCH(AD$10,$T$7:$T$14,0))/30,0)</f>
        <v>448000</v>
      </c>
      <c r="AE208" s="10">
        <f>IFERROR(MAX($Z208-积分赛!$C$7,0)*INDEX($U$7:$U$14,MATCH(AE$10,$T$7:$T$14,0))/30,0)</f>
        <v>5600000</v>
      </c>
      <c r="AF208" s="10">
        <f>MAX($Z208-积分赛!$C$7,0)*(IFERROR(INDEX($W$7:$W$14,MATCH(AF$10,$T$7:$T$14,0)),0)*$T$20+IFERROR(INDEX($X$7:$X$14,MATCH(AF$10,$T$7:$T$14,0)),0)*$T$21)/30</f>
        <v>0</v>
      </c>
      <c r="AG208" s="10">
        <f>MAX($Z208-积分赛!$C$7,0)*(IFERROR(INDEX($W$7:$W$14,MATCH(AG$10,$T$7:$T$14,0)),0)*$T$20+IFERROR(INDEX($X$7:$X$14,MATCH(AG$10,$T$7:$T$14,0)),0)*$T$21)/30</f>
        <v>0</v>
      </c>
      <c r="AH208" s="10">
        <f>MAX($Z208-积分赛!$C$7,0)*(IFERROR(INDEX($W$7:$W$14,MATCH(AH$10,$T$7:$T$14,0)),0)*$T$20+IFERROR(INDEX($X$7:$X$14,MATCH(AH$10,$T$7:$T$14,0)),0)*$T$21)/30</f>
        <v>0</v>
      </c>
      <c r="AI208" s="10">
        <f>MAX($Z208-积分赛!$C$7,0)*(IFERROR(INDEX($W$7:$W$14,MATCH(AI$10,$T$7:$T$14,0)),0)*$T$20+IFERROR(INDEX($X$7:$X$14,MATCH(AI$10,$T$7:$T$14,0)),0)*$T$21)/30</f>
        <v>17108</v>
      </c>
      <c r="AJ208" s="10">
        <f>MAX($Z208-积分赛!$C$7,0)*(IFERROR(INDEX($W$7:$W$14,MATCH(AJ$10,$T$7:$T$14,0)),0)*$T$20+IFERROR(INDEX($X$7:$X$14,MATCH(AJ$10,$T$7:$T$14,0)),0)*$T$21)/30</f>
        <v>102648</v>
      </c>
      <c r="BI208" s="10">
        <v>198</v>
      </c>
      <c r="BJ208" s="10">
        <f>MAX($BI208-积分赛!$C$7,0)*$BC$10/30</f>
        <v>560000</v>
      </c>
      <c r="BK208" s="10">
        <f>MAX($BI208-积分赛!$C$7,0)*$BC$10/30</f>
        <v>560000</v>
      </c>
      <c r="BL208" s="10">
        <f>MAX($BI208-积分赛!$C$7,0)*$BC$10/30</f>
        <v>560000</v>
      </c>
      <c r="BM208" s="10">
        <f>MAX($BI208-积分赛!$C$7,0)*$BC$10/30</f>
        <v>560000</v>
      </c>
      <c r="BN208" s="10">
        <f>MAX($BI208-积分赛!$C$7,0)*$BC$10/30</f>
        <v>560000</v>
      </c>
    </row>
    <row r="209" spans="26:66" x14ac:dyDescent="0.15">
      <c r="Z209" s="10">
        <v>199</v>
      </c>
      <c r="AA209" s="10">
        <f>IFERROR(MAX($Z209-积分赛!$C$7,0)*INDEX($U$7:$U$14,MATCH(AA$10,$T$7:$T$14,0))/30,0)</f>
        <v>0</v>
      </c>
      <c r="AB209" s="10">
        <f>IFERROR(MAX($Z209-积分赛!$C$7,0)*INDEX($U$7:$U$14,MATCH(AB$10,$T$7:$T$14,0))/30,0)</f>
        <v>0</v>
      </c>
      <c r="AC209" s="10">
        <f>IFERROR(MAX($Z209-积分赛!$C$7,0)*INDEX($U$7:$U$14,MATCH(AC$10,$T$7:$T$14,0))/30,0)</f>
        <v>0</v>
      </c>
      <c r="AD209" s="10">
        <f>IFERROR(MAX($Z209-积分赛!$C$7,0)*INDEX($U$7:$U$14,MATCH(AD$10,$T$7:$T$14,0))/30,0)</f>
        <v>450666.66666666669</v>
      </c>
      <c r="AE209" s="10">
        <f>IFERROR(MAX($Z209-积分赛!$C$7,0)*INDEX($U$7:$U$14,MATCH(AE$10,$T$7:$T$14,0))/30,0)</f>
        <v>5633333.333333333</v>
      </c>
      <c r="AF209" s="10">
        <f>MAX($Z209-积分赛!$C$7,0)*(IFERROR(INDEX($W$7:$W$14,MATCH(AF$10,$T$7:$T$14,0)),0)*$T$20+IFERROR(INDEX($X$7:$X$14,MATCH(AF$10,$T$7:$T$14,0)),0)*$T$21)/30</f>
        <v>0</v>
      </c>
      <c r="AG209" s="10">
        <f>MAX($Z209-积分赛!$C$7,0)*(IFERROR(INDEX($W$7:$W$14,MATCH(AG$10,$T$7:$T$14,0)),0)*$T$20+IFERROR(INDEX($X$7:$X$14,MATCH(AG$10,$T$7:$T$14,0)),0)*$T$21)/30</f>
        <v>0</v>
      </c>
      <c r="AH209" s="10">
        <f>MAX($Z209-积分赛!$C$7,0)*(IFERROR(INDEX($W$7:$W$14,MATCH(AH$10,$T$7:$T$14,0)),0)*$T$20+IFERROR(INDEX($X$7:$X$14,MATCH(AH$10,$T$7:$T$14,0)),0)*$T$21)/30</f>
        <v>0</v>
      </c>
      <c r="AI209" s="10">
        <f>MAX($Z209-积分赛!$C$7,0)*(IFERROR(INDEX($W$7:$W$14,MATCH(AI$10,$T$7:$T$14,0)),0)*$T$20+IFERROR(INDEX($X$7:$X$14,MATCH(AI$10,$T$7:$T$14,0)),0)*$T$21)/30</f>
        <v>17209.833333333332</v>
      </c>
      <c r="AJ209" s="10">
        <f>MAX($Z209-积分赛!$C$7,0)*(IFERROR(INDEX($W$7:$W$14,MATCH(AJ$10,$T$7:$T$14,0)),0)*$T$20+IFERROR(INDEX($X$7:$X$14,MATCH(AJ$10,$T$7:$T$14,0)),0)*$T$21)/30</f>
        <v>103259</v>
      </c>
      <c r="BI209" s="10">
        <v>199</v>
      </c>
      <c r="BJ209" s="10">
        <f>MAX($BI209-积分赛!$C$7,0)*$BC$10/30</f>
        <v>563333.33333333337</v>
      </c>
      <c r="BK209" s="10">
        <f>MAX($BI209-积分赛!$C$7,0)*$BC$10/30</f>
        <v>563333.33333333337</v>
      </c>
      <c r="BL209" s="10">
        <f>MAX($BI209-积分赛!$C$7,0)*$BC$10/30</f>
        <v>563333.33333333337</v>
      </c>
      <c r="BM209" s="10">
        <f>MAX($BI209-积分赛!$C$7,0)*$BC$10/30</f>
        <v>563333.33333333337</v>
      </c>
      <c r="BN209" s="10">
        <f>MAX($BI209-积分赛!$C$7,0)*$BC$10/30</f>
        <v>563333.33333333337</v>
      </c>
    </row>
    <row r="210" spans="26:66" x14ac:dyDescent="0.15">
      <c r="Z210" s="10">
        <v>200</v>
      </c>
      <c r="AA210" s="10">
        <f>IFERROR(MAX($Z210-积分赛!$C$7,0)*INDEX($U$7:$U$14,MATCH(AA$10,$T$7:$T$14,0))/30,0)</f>
        <v>0</v>
      </c>
      <c r="AB210" s="10">
        <f>IFERROR(MAX($Z210-积分赛!$C$7,0)*INDEX($U$7:$U$14,MATCH(AB$10,$T$7:$T$14,0))/30,0)</f>
        <v>0</v>
      </c>
      <c r="AC210" s="10">
        <f>IFERROR(MAX($Z210-积分赛!$C$7,0)*INDEX($U$7:$U$14,MATCH(AC$10,$T$7:$T$14,0))/30,0)</f>
        <v>0</v>
      </c>
      <c r="AD210" s="10">
        <f>IFERROR(MAX($Z210-积分赛!$C$7,0)*INDEX($U$7:$U$14,MATCH(AD$10,$T$7:$T$14,0))/30,0)</f>
        <v>453333.33333333331</v>
      </c>
      <c r="AE210" s="10">
        <f>IFERROR(MAX($Z210-积分赛!$C$7,0)*INDEX($U$7:$U$14,MATCH(AE$10,$T$7:$T$14,0))/30,0)</f>
        <v>5666666.666666667</v>
      </c>
      <c r="AF210" s="10">
        <f>MAX($Z210-积分赛!$C$7,0)*(IFERROR(INDEX($W$7:$W$14,MATCH(AF$10,$T$7:$T$14,0)),0)*$T$20+IFERROR(INDEX($X$7:$X$14,MATCH(AF$10,$T$7:$T$14,0)),0)*$T$21)/30</f>
        <v>0</v>
      </c>
      <c r="AG210" s="10">
        <f>MAX($Z210-积分赛!$C$7,0)*(IFERROR(INDEX($W$7:$W$14,MATCH(AG$10,$T$7:$T$14,0)),0)*$T$20+IFERROR(INDEX($X$7:$X$14,MATCH(AG$10,$T$7:$T$14,0)),0)*$T$21)/30</f>
        <v>0</v>
      </c>
      <c r="AH210" s="10">
        <f>MAX($Z210-积分赛!$C$7,0)*(IFERROR(INDEX($W$7:$W$14,MATCH(AH$10,$T$7:$T$14,0)),0)*$T$20+IFERROR(INDEX($X$7:$X$14,MATCH(AH$10,$T$7:$T$14,0)),0)*$T$21)/30</f>
        <v>0</v>
      </c>
      <c r="AI210" s="10">
        <f>MAX($Z210-积分赛!$C$7,0)*(IFERROR(INDEX($W$7:$W$14,MATCH(AI$10,$T$7:$T$14,0)),0)*$T$20+IFERROR(INDEX($X$7:$X$14,MATCH(AI$10,$T$7:$T$14,0)),0)*$T$21)/30</f>
        <v>17311.666666666668</v>
      </c>
      <c r="AJ210" s="10">
        <f>MAX($Z210-积分赛!$C$7,0)*(IFERROR(INDEX($W$7:$W$14,MATCH(AJ$10,$T$7:$T$14,0)),0)*$T$20+IFERROR(INDEX($X$7:$X$14,MATCH(AJ$10,$T$7:$T$14,0)),0)*$T$21)/30</f>
        <v>103870</v>
      </c>
      <c r="BI210" s="10">
        <v>200</v>
      </c>
      <c r="BJ210" s="10">
        <f>MAX($BI210-积分赛!$C$7,0)*$BC$10/30</f>
        <v>566666.66666666663</v>
      </c>
      <c r="BK210" s="10">
        <f>MAX($BI210-积分赛!$C$7,0)*$BC$10/30</f>
        <v>566666.66666666663</v>
      </c>
      <c r="BL210" s="10">
        <f>MAX($BI210-积分赛!$C$7,0)*$BC$10/30</f>
        <v>566666.66666666663</v>
      </c>
      <c r="BM210" s="10">
        <f>MAX($BI210-积分赛!$C$7,0)*$BC$10/30</f>
        <v>566666.66666666663</v>
      </c>
      <c r="BN210" s="10">
        <f>MAX($BI210-积分赛!$C$7,0)*$BC$10/30</f>
        <v>566666.66666666663</v>
      </c>
    </row>
    <row r="211" spans="26:66" x14ac:dyDescent="0.15">
      <c r="Z211" s="10">
        <v>201</v>
      </c>
      <c r="AA211" s="10">
        <f>IFERROR(MAX($Z211-积分赛!$C$7,0)*INDEX($U$7:$U$14,MATCH(AA$10,$T$7:$T$14,0))/30,0)</f>
        <v>0</v>
      </c>
      <c r="AB211" s="10">
        <f>IFERROR(MAX($Z211-积分赛!$C$7,0)*INDEX($U$7:$U$14,MATCH(AB$10,$T$7:$T$14,0))/30,0)</f>
        <v>0</v>
      </c>
      <c r="AC211" s="10">
        <f>IFERROR(MAX($Z211-积分赛!$C$7,0)*INDEX($U$7:$U$14,MATCH(AC$10,$T$7:$T$14,0))/30,0)</f>
        <v>0</v>
      </c>
      <c r="AD211" s="10">
        <f>IFERROR(MAX($Z211-积分赛!$C$7,0)*INDEX($U$7:$U$14,MATCH(AD$10,$T$7:$T$14,0))/30,0)</f>
        <v>456000</v>
      </c>
      <c r="AE211" s="10">
        <f>IFERROR(MAX($Z211-积分赛!$C$7,0)*INDEX($U$7:$U$14,MATCH(AE$10,$T$7:$T$14,0))/30,0)</f>
        <v>5700000</v>
      </c>
      <c r="AF211" s="10">
        <f>MAX($Z211-积分赛!$C$7,0)*(IFERROR(INDEX($W$7:$W$14,MATCH(AF$10,$T$7:$T$14,0)),0)*$T$20+IFERROR(INDEX($X$7:$X$14,MATCH(AF$10,$T$7:$T$14,0)),0)*$T$21)/30</f>
        <v>0</v>
      </c>
      <c r="AG211" s="10">
        <f>MAX($Z211-积分赛!$C$7,0)*(IFERROR(INDEX($W$7:$W$14,MATCH(AG$10,$T$7:$T$14,0)),0)*$T$20+IFERROR(INDEX($X$7:$X$14,MATCH(AG$10,$T$7:$T$14,0)),0)*$T$21)/30</f>
        <v>0</v>
      </c>
      <c r="AH211" s="10">
        <f>MAX($Z211-积分赛!$C$7,0)*(IFERROR(INDEX($W$7:$W$14,MATCH(AH$10,$T$7:$T$14,0)),0)*$T$20+IFERROR(INDEX($X$7:$X$14,MATCH(AH$10,$T$7:$T$14,0)),0)*$T$21)/30</f>
        <v>0</v>
      </c>
      <c r="AI211" s="10">
        <f>MAX($Z211-积分赛!$C$7,0)*(IFERROR(INDEX($W$7:$W$14,MATCH(AI$10,$T$7:$T$14,0)),0)*$T$20+IFERROR(INDEX($X$7:$X$14,MATCH(AI$10,$T$7:$T$14,0)),0)*$T$21)/30</f>
        <v>17413.5</v>
      </c>
      <c r="AJ211" s="10">
        <f>MAX($Z211-积分赛!$C$7,0)*(IFERROR(INDEX($W$7:$W$14,MATCH(AJ$10,$T$7:$T$14,0)),0)*$T$20+IFERROR(INDEX($X$7:$X$14,MATCH(AJ$10,$T$7:$T$14,0)),0)*$T$21)/30</f>
        <v>104481</v>
      </c>
      <c r="BI211" s="10">
        <v>201</v>
      </c>
      <c r="BJ211" s="10">
        <f>MAX($BI211-积分赛!$C$7,0)*$BC$10/30</f>
        <v>570000</v>
      </c>
      <c r="BK211" s="10">
        <f>MAX($BI211-积分赛!$C$7,0)*$BC$10/30</f>
        <v>570000</v>
      </c>
      <c r="BL211" s="10">
        <f>MAX($BI211-积分赛!$C$7,0)*$BC$10/30</f>
        <v>570000</v>
      </c>
      <c r="BM211" s="10">
        <f>MAX($BI211-积分赛!$C$7,0)*$BC$10/30</f>
        <v>570000</v>
      </c>
      <c r="BN211" s="10">
        <f>MAX($BI211-积分赛!$C$7,0)*$BC$10/30</f>
        <v>570000</v>
      </c>
    </row>
    <row r="212" spans="26:66" x14ac:dyDescent="0.15">
      <c r="Z212" s="10">
        <v>202</v>
      </c>
      <c r="AA212" s="10">
        <f>IFERROR(MAX($Z212-积分赛!$C$7,0)*INDEX($U$7:$U$14,MATCH(AA$10,$T$7:$T$14,0))/30,0)</f>
        <v>0</v>
      </c>
      <c r="AB212" s="10">
        <f>IFERROR(MAX($Z212-积分赛!$C$7,0)*INDEX($U$7:$U$14,MATCH(AB$10,$T$7:$T$14,0))/30,0)</f>
        <v>0</v>
      </c>
      <c r="AC212" s="10">
        <f>IFERROR(MAX($Z212-积分赛!$C$7,0)*INDEX($U$7:$U$14,MATCH(AC$10,$T$7:$T$14,0))/30,0)</f>
        <v>0</v>
      </c>
      <c r="AD212" s="10">
        <f>IFERROR(MAX($Z212-积分赛!$C$7,0)*INDEX($U$7:$U$14,MATCH(AD$10,$T$7:$T$14,0))/30,0)</f>
        <v>458666.66666666669</v>
      </c>
      <c r="AE212" s="10">
        <f>IFERROR(MAX($Z212-积分赛!$C$7,0)*INDEX($U$7:$U$14,MATCH(AE$10,$T$7:$T$14,0))/30,0)</f>
        <v>5733333.333333333</v>
      </c>
      <c r="AF212" s="10">
        <f>MAX($Z212-积分赛!$C$7,0)*(IFERROR(INDEX($W$7:$W$14,MATCH(AF$10,$T$7:$T$14,0)),0)*$T$20+IFERROR(INDEX($X$7:$X$14,MATCH(AF$10,$T$7:$T$14,0)),0)*$T$21)/30</f>
        <v>0</v>
      </c>
      <c r="AG212" s="10">
        <f>MAX($Z212-积分赛!$C$7,0)*(IFERROR(INDEX($W$7:$W$14,MATCH(AG$10,$T$7:$T$14,0)),0)*$T$20+IFERROR(INDEX($X$7:$X$14,MATCH(AG$10,$T$7:$T$14,0)),0)*$T$21)/30</f>
        <v>0</v>
      </c>
      <c r="AH212" s="10">
        <f>MAX($Z212-积分赛!$C$7,0)*(IFERROR(INDEX($W$7:$W$14,MATCH(AH$10,$T$7:$T$14,0)),0)*$T$20+IFERROR(INDEX($X$7:$X$14,MATCH(AH$10,$T$7:$T$14,0)),0)*$T$21)/30</f>
        <v>0</v>
      </c>
      <c r="AI212" s="10">
        <f>MAX($Z212-积分赛!$C$7,0)*(IFERROR(INDEX($W$7:$W$14,MATCH(AI$10,$T$7:$T$14,0)),0)*$T$20+IFERROR(INDEX($X$7:$X$14,MATCH(AI$10,$T$7:$T$14,0)),0)*$T$21)/30</f>
        <v>17515.333333333332</v>
      </c>
      <c r="AJ212" s="10">
        <f>MAX($Z212-积分赛!$C$7,0)*(IFERROR(INDEX($W$7:$W$14,MATCH(AJ$10,$T$7:$T$14,0)),0)*$T$20+IFERROR(INDEX($X$7:$X$14,MATCH(AJ$10,$T$7:$T$14,0)),0)*$T$21)/30</f>
        <v>105092</v>
      </c>
      <c r="BI212" s="10">
        <v>202</v>
      </c>
      <c r="BJ212" s="10">
        <f>MAX($BI212-积分赛!$C$7,0)*$BC$10/30</f>
        <v>573333.33333333337</v>
      </c>
      <c r="BK212" s="10">
        <f>MAX($BI212-积分赛!$C$7,0)*$BC$10/30</f>
        <v>573333.33333333337</v>
      </c>
      <c r="BL212" s="10">
        <f>MAX($BI212-积分赛!$C$7,0)*$BC$10/30</f>
        <v>573333.33333333337</v>
      </c>
      <c r="BM212" s="10">
        <f>MAX($BI212-积分赛!$C$7,0)*$BC$10/30</f>
        <v>573333.33333333337</v>
      </c>
      <c r="BN212" s="10">
        <f>MAX($BI212-积分赛!$C$7,0)*$BC$10/30</f>
        <v>573333.33333333337</v>
      </c>
    </row>
    <row r="213" spans="26:66" x14ac:dyDescent="0.15">
      <c r="Z213" s="10">
        <v>203</v>
      </c>
      <c r="AA213" s="10">
        <f>IFERROR(MAX($Z213-积分赛!$C$7,0)*INDEX($U$7:$U$14,MATCH(AA$10,$T$7:$T$14,0))/30,0)</f>
        <v>0</v>
      </c>
      <c r="AB213" s="10">
        <f>IFERROR(MAX($Z213-积分赛!$C$7,0)*INDEX($U$7:$U$14,MATCH(AB$10,$T$7:$T$14,0))/30,0)</f>
        <v>0</v>
      </c>
      <c r="AC213" s="10">
        <f>IFERROR(MAX($Z213-积分赛!$C$7,0)*INDEX($U$7:$U$14,MATCH(AC$10,$T$7:$T$14,0))/30,0)</f>
        <v>0</v>
      </c>
      <c r="AD213" s="10">
        <f>IFERROR(MAX($Z213-积分赛!$C$7,0)*INDEX($U$7:$U$14,MATCH(AD$10,$T$7:$T$14,0))/30,0)</f>
        <v>461333.33333333331</v>
      </c>
      <c r="AE213" s="10">
        <f>IFERROR(MAX($Z213-积分赛!$C$7,0)*INDEX($U$7:$U$14,MATCH(AE$10,$T$7:$T$14,0))/30,0)</f>
        <v>5766666.666666667</v>
      </c>
      <c r="AF213" s="10">
        <f>MAX($Z213-积分赛!$C$7,0)*(IFERROR(INDEX($W$7:$W$14,MATCH(AF$10,$T$7:$T$14,0)),0)*$T$20+IFERROR(INDEX($X$7:$X$14,MATCH(AF$10,$T$7:$T$14,0)),0)*$T$21)/30</f>
        <v>0</v>
      </c>
      <c r="AG213" s="10">
        <f>MAX($Z213-积分赛!$C$7,0)*(IFERROR(INDEX($W$7:$W$14,MATCH(AG$10,$T$7:$T$14,0)),0)*$T$20+IFERROR(INDEX($X$7:$X$14,MATCH(AG$10,$T$7:$T$14,0)),0)*$T$21)/30</f>
        <v>0</v>
      </c>
      <c r="AH213" s="10">
        <f>MAX($Z213-积分赛!$C$7,0)*(IFERROR(INDEX($W$7:$W$14,MATCH(AH$10,$T$7:$T$14,0)),0)*$T$20+IFERROR(INDEX($X$7:$X$14,MATCH(AH$10,$T$7:$T$14,0)),0)*$T$21)/30</f>
        <v>0</v>
      </c>
      <c r="AI213" s="10">
        <f>MAX($Z213-积分赛!$C$7,0)*(IFERROR(INDEX($W$7:$W$14,MATCH(AI$10,$T$7:$T$14,0)),0)*$T$20+IFERROR(INDEX($X$7:$X$14,MATCH(AI$10,$T$7:$T$14,0)),0)*$T$21)/30</f>
        <v>17617.166666666668</v>
      </c>
      <c r="AJ213" s="10">
        <f>MAX($Z213-积分赛!$C$7,0)*(IFERROR(INDEX($W$7:$W$14,MATCH(AJ$10,$T$7:$T$14,0)),0)*$T$20+IFERROR(INDEX($X$7:$X$14,MATCH(AJ$10,$T$7:$T$14,0)),0)*$T$21)/30</f>
        <v>105703</v>
      </c>
      <c r="BI213" s="10">
        <v>203</v>
      </c>
      <c r="BJ213" s="10">
        <f>MAX($BI213-积分赛!$C$7,0)*$BC$10/30</f>
        <v>576666.66666666663</v>
      </c>
      <c r="BK213" s="10">
        <f>MAX($BI213-积分赛!$C$7,0)*$BC$10/30</f>
        <v>576666.66666666663</v>
      </c>
      <c r="BL213" s="10">
        <f>MAX($BI213-积分赛!$C$7,0)*$BC$10/30</f>
        <v>576666.66666666663</v>
      </c>
      <c r="BM213" s="10">
        <f>MAX($BI213-积分赛!$C$7,0)*$BC$10/30</f>
        <v>576666.66666666663</v>
      </c>
      <c r="BN213" s="10">
        <f>MAX($BI213-积分赛!$C$7,0)*$BC$10/30</f>
        <v>576666.66666666663</v>
      </c>
    </row>
    <row r="214" spans="26:66" x14ac:dyDescent="0.15">
      <c r="Z214" s="10">
        <v>204</v>
      </c>
      <c r="AA214" s="10">
        <f>IFERROR(MAX($Z214-积分赛!$C$7,0)*INDEX($U$7:$U$14,MATCH(AA$10,$T$7:$T$14,0))/30,0)</f>
        <v>0</v>
      </c>
      <c r="AB214" s="10">
        <f>IFERROR(MAX($Z214-积分赛!$C$7,0)*INDEX($U$7:$U$14,MATCH(AB$10,$T$7:$T$14,0))/30,0)</f>
        <v>0</v>
      </c>
      <c r="AC214" s="10">
        <f>IFERROR(MAX($Z214-积分赛!$C$7,0)*INDEX($U$7:$U$14,MATCH(AC$10,$T$7:$T$14,0))/30,0)</f>
        <v>0</v>
      </c>
      <c r="AD214" s="10">
        <f>IFERROR(MAX($Z214-积分赛!$C$7,0)*INDEX($U$7:$U$14,MATCH(AD$10,$T$7:$T$14,0))/30,0)</f>
        <v>464000</v>
      </c>
      <c r="AE214" s="10">
        <f>IFERROR(MAX($Z214-积分赛!$C$7,0)*INDEX($U$7:$U$14,MATCH(AE$10,$T$7:$T$14,0))/30,0)</f>
        <v>5800000</v>
      </c>
      <c r="AF214" s="10">
        <f>MAX($Z214-积分赛!$C$7,0)*(IFERROR(INDEX($W$7:$W$14,MATCH(AF$10,$T$7:$T$14,0)),0)*$T$20+IFERROR(INDEX($X$7:$X$14,MATCH(AF$10,$T$7:$T$14,0)),0)*$T$21)/30</f>
        <v>0</v>
      </c>
      <c r="AG214" s="10">
        <f>MAX($Z214-积分赛!$C$7,0)*(IFERROR(INDEX($W$7:$W$14,MATCH(AG$10,$T$7:$T$14,0)),0)*$T$20+IFERROR(INDEX($X$7:$X$14,MATCH(AG$10,$T$7:$T$14,0)),0)*$T$21)/30</f>
        <v>0</v>
      </c>
      <c r="AH214" s="10">
        <f>MAX($Z214-积分赛!$C$7,0)*(IFERROR(INDEX($W$7:$W$14,MATCH(AH$10,$T$7:$T$14,0)),0)*$T$20+IFERROR(INDEX($X$7:$X$14,MATCH(AH$10,$T$7:$T$14,0)),0)*$T$21)/30</f>
        <v>0</v>
      </c>
      <c r="AI214" s="10">
        <f>MAX($Z214-积分赛!$C$7,0)*(IFERROR(INDEX($W$7:$W$14,MATCH(AI$10,$T$7:$T$14,0)),0)*$T$20+IFERROR(INDEX($X$7:$X$14,MATCH(AI$10,$T$7:$T$14,0)),0)*$T$21)/30</f>
        <v>17719</v>
      </c>
      <c r="AJ214" s="10">
        <f>MAX($Z214-积分赛!$C$7,0)*(IFERROR(INDEX($W$7:$W$14,MATCH(AJ$10,$T$7:$T$14,0)),0)*$T$20+IFERROR(INDEX($X$7:$X$14,MATCH(AJ$10,$T$7:$T$14,0)),0)*$T$21)/30</f>
        <v>106314</v>
      </c>
      <c r="BI214" s="10">
        <v>204</v>
      </c>
      <c r="BJ214" s="10">
        <f>MAX($BI214-积分赛!$C$7,0)*$BC$10/30</f>
        <v>580000</v>
      </c>
      <c r="BK214" s="10">
        <f>MAX($BI214-积分赛!$C$7,0)*$BC$10/30</f>
        <v>580000</v>
      </c>
      <c r="BL214" s="10">
        <f>MAX($BI214-积分赛!$C$7,0)*$BC$10/30</f>
        <v>580000</v>
      </c>
      <c r="BM214" s="10">
        <f>MAX($BI214-积分赛!$C$7,0)*$BC$10/30</f>
        <v>580000</v>
      </c>
      <c r="BN214" s="10">
        <f>MAX($BI214-积分赛!$C$7,0)*$BC$10/30</f>
        <v>580000</v>
      </c>
    </row>
    <row r="215" spans="26:66" x14ac:dyDescent="0.15">
      <c r="Z215" s="10">
        <v>205</v>
      </c>
      <c r="AA215" s="10">
        <f>IFERROR(MAX($Z215-积分赛!$C$7,0)*INDEX($U$7:$U$14,MATCH(AA$10,$T$7:$T$14,0))/30,0)</f>
        <v>0</v>
      </c>
      <c r="AB215" s="10">
        <f>IFERROR(MAX($Z215-积分赛!$C$7,0)*INDEX($U$7:$U$14,MATCH(AB$10,$T$7:$T$14,0))/30,0)</f>
        <v>0</v>
      </c>
      <c r="AC215" s="10">
        <f>IFERROR(MAX($Z215-积分赛!$C$7,0)*INDEX($U$7:$U$14,MATCH(AC$10,$T$7:$T$14,0))/30,0)</f>
        <v>0</v>
      </c>
      <c r="AD215" s="10">
        <f>IFERROR(MAX($Z215-积分赛!$C$7,0)*INDEX($U$7:$U$14,MATCH(AD$10,$T$7:$T$14,0))/30,0)</f>
        <v>466666.66666666669</v>
      </c>
      <c r="AE215" s="10">
        <f>IFERROR(MAX($Z215-积分赛!$C$7,0)*INDEX($U$7:$U$14,MATCH(AE$10,$T$7:$T$14,0))/30,0)</f>
        <v>5833333.333333333</v>
      </c>
      <c r="AF215" s="10">
        <f>MAX($Z215-积分赛!$C$7,0)*(IFERROR(INDEX($W$7:$W$14,MATCH(AF$10,$T$7:$T$14,0)),0)*$T$20+IFERROR(INDEX($X$7:$X$14,MATCH(AF$10,$T$7:$T$14,0)),0)*$T$21)/30</f>
        <v>0</v>
      </c>
      <c r="AG215" s="10">
        <f>MAX($Z215-积分赛!$C$7,0)*(IFERROR(INDEX($W$7:$W$14,MATCH(AG$10,$T$7:$T$14,0)),0)*$T$20+IFERROR(INDEX($X$7:$X$14,MATCH(AG$10,$T$7:$T$14,0)),0)*$T$21)/30</f>
        <v>0</v>
      </c>
      <c r="AH215" s="10">
        <f>MAX($Z215-积分赛!$C$7,0)*(IFERROR(INDEX($W$7:$W$14,MATCH(AH$10,$T$7:$T$14,0)),0)*$T$20+IFERROR(INDEX($X$7:$X$14,MATCH(AH$10,$T$7:$T$14,0)),0)*$T$21)/30</f>
        <v>0</v>
      </c>
      <c r="AI215" s="10">
        <f>MAX($Z215-积分赛!$C$7,0)*(IFERROR(INDEX($W$7:$W$14,MATCH(AI$10,$T$7:$T$14,0)),0)*$T$20+IFERROR(INDEX($X$7:$X$14,MATCH(AI$10,$T$7:$T$14,0)),0)*$T$21)/30</f>
        <v>17820.833333333332</v>
      </c>
      <c r="AJ215" s="10">
        <f>MAX($Z215-积分赛!$C$7,0)*(IFERROR(INDEX($W$7:$W$14,MATCH(AJ$10,$T$7:$T$14,0)),0)*$T$20+IFERROR(INDEX($X$7:$X$14,MATCH(AJ$10,$T$7:$T$14,0)),0)*$T$21)/30</f>
        <v>106925</v>
      </c>
      <c r="BI215" s="10">
        <v>205</v>
      </c>
      <c r="BJ215" s="10">
        <f>MAX($BI215-积分赛!$C$7,0)*$BC$10/30</f>
        <v>583333.33333333337</v>
      </c>
      <c r="BK215" s="10">
        <f>MAX($BI215-积分赛!$C$7,0)*$BC$10/30</f>
        <v>583333.33333333337</v>
      </c>
      <c r="BL215" s="10">
        <f>MAX($BI215-积分赛!$C$7,0)*$BC$10/30</f>
        <v>583333.33333333337</v>
      </c>
      <c r="BM215" s="10">
        <f>MAX($BI215-积分赛!$C$7,0)*$BC$10/30</f>
        <v>583333.33333333337</v>
      </c>
      <c r="BN215" s="10">
        <f>MAX($BI215-积分赛!$C$7,0)*$BC$10/30</f>
        <v>583333.33333333337</v>
      </c>
    </row>
    <row r="216" spans="26:66" x14ac:dyDescent="0.15">
      <c r="Z216" s="10">
        <v>206</v>
      </c>
      <c r="AA216" s="10">
        <f>IFERROR(MAX($Z216-积分赛!$C$7,0)*INDEX($U$7:$U$14,MATCH(AA$10,$T$7:$T$14,0))/30,0)</f>
        <v>0</v>
      </c>
      <c r="AB216" s="10">
        <f>IFERROR(MAX($Z216-积分赛!$C$7,0)*INDEX($U$7:$U$14,MATCH(AB$10,$T$7:$T$14,0))/30,0)</f>
        <v>0</v>
      </c>
      <c r="AC216" s="10">
        <f>IFERROR(MAX($Z216-积分赛!$C$7,0)*INDEX($U$7:$U$14,MATCH(AC$10,$T$7:$T$14,0))/30,0)</f>
        <v>0</v>
      </c>
      <c r="AD216" s="10">
        <f>IFERROR(MAX($Z216-积分赛!$C$7,0)*INDEX($U$7:$U$14,MATCH(AD$10,$T$7:$T$14,0))/30,0)</f>
        <v>469333.33333333331</v>
      </c>
      <c r="AE216" s="10">
        <f>IFERROR(MAX($Z216-积分赛!$C$7,0)*INDEX($U$7:$U$14,MATCH(AE$10,$T$7:$T$14,0))/30,0)</f>
        <v>5866666.666666667</v>
      </c>
      <c r="AF216" s="10">
        <f>MAX($Z216-积分赛!$C$7,0)*(IFERROR(INDEX($W$7:$W$14,MATCH(AF$10,$T$7:$T$14,0)),0)*$T$20+IFERROR(INDEX($X$7:$X$14,MATCH(AF$10,$T$7:$T$14,0)),0)*$T$21)/30</f>
        <v>0</v>
      </c>
      <c r="AG216" s="10">
        <f>MAX($Z216-积分赛!$C$7,0)*(IFERROR(INDEX($W$7:$W$14,MATCH(AG$10,$T$7:$T$14,0)),0)*$T$20+IFERROR(INDEX($X$7:$X$14,MATCH(AG$10,$T$7:$T$14,0)),0)*$T$21)/30</f>
        <v>0</v>
      </c>
      <c r="AH216" s="10">
        <f>MAX($Z216-积分赛!$C$7,0)*(IFERROR(INDEX($W$7:$W$14,MATCH(AH$10,$T$7:$T$14,0)),0)*$T$20+IFERROR(INDEX($X$7:$X$14,MATCH(AH$10,$T$7:$T$14,0)),0)*$T$21)/30</f>
        <v>0</v>
      </c>
      <c r="AI216" s="10">
        <f>MAX($Z216-积分赛!$C$7,0)*(IFERROR(INDEX($W$7:$W$14,MATCH(AI$10,$T$7:$T$14,0)),0)*$T$20+IFERROR(INDEX($X$7:$X$14,MATCH(AI$10,$T$7:$T$14,0)),0)*$T$21)/30</f>
        <v>17922.666666666668</v>
      </c>
      <c r="AJ216" s="10">
        <f>MAX($Z216-积分赛!$C$7,0)*(IFERROR(INDEX($W$7:$W$14,MATCH(AJ$10,$T$7:$T$14,0)),0)*$T$20+IFERROR(INDEX($X$7:$X$14,MATCH(AJ$10,$T$7:$T$14,0)),0)*$T$21)/30</f>
        <v>107536</v>
      </c>
      <c r="BI216" s="10">
        <v>206</v>
      </c>
      <c r="BJ216" s="10">
        <f>MAX($BI216-积分赛!$C$7,0)*$BC$10/30</f>
        <v>586666.66666666663</v>
      </c>
      <c r="BK216" s="10">
        <f>MAX($BI216-积分赛!$C$7,0)*$BC$10/30</f>
        <v>586666.66666666663</v>
      </c>
      <c r="BL216" s="10">
        <f>MAX($BI216-积分赛!$C$7,0)*$BC$10/30</f>
        <v>586666.66666666663</v>
      </c>
      <c r="BM216" s="10">
        <f>MAX($BI216-积分赛!$C$7,0)*$BC$10/30</f>
        <v>586666.66666666663</v>
      </c>
      <c r="BN216" s="10">
        <f>MAX($BI216-积分赛!$C$7,0)*$BC$10/30</f>
        <v>586666.66666666663</v>
      </c>
    </row>
    <row r="217" spans="26:66" x14ac:dyDescent="0.15">
      <c r="Z217" s="10">
        <v>207</v>
      </c>
      <c r="AA217" s="10">
        <f>IFERROR(MAX($Z217-积分赛!$C$7,0)*INDEX($U$7:$U$14,MATCH(AA$10,$T$7:$T$14,0))/30,0)</f>
        <v>0</v>
      </c>
      <c r="AB217" s="10">
        <f>IFERROR(MAX($Z217-积分赛!$C$7,0)*INDEX($U$7:$U$14,MATCH(AB$10,$T$7:$T$14,0))/30,0)</f>
        <v>0</v>
      </c>
      <c r="AC217" s="10">
        <f>IFERROR(MAX($Z217-积分赛!$C$7,0)*INDEX($U$7:$U$14,MATCH(AC$10,$T$7:$T$14,0))/30,0)</f>
        <v>0</v>
      </c>
      <c r="AD217" s="10">
        <f>IFERROR(MAX($Z217-积分赛!$C$7,0)*INDEX($U$7:$U$14,MATCH(AD$10,$T$7:$T$14,0))/30,0)</f>
        <v>472000</v>
      </c>
      <c r="AE217" s="10">
        <f>IFERROR(MAX($Z217-积分赛!$C$7,0)*INDEX($U$7:$U$14,MATCH(AE$10,$T$7:$T$14,0))/30,0)</f>
        <v>5900000</v>
      </c>
      <c r="AF217" s="10">
        <f>MAX($Z217-积分赛!$C$7,0)*(IFERROR(INDEX($W$7:$W$14,MATCH(AF$10,$T$7:$T$14,0)),0)*$T$20+IFERROR(INDEX($X$7:$X$14,MATCH(AF$10,$T$7:$T$14,0)),0)*$T$21)/30</f>
        <v>0</v>
      </c>
      <c r="AG217" s="10">
        <f>MAX($Z217-积分赛!$C$7,0)*(IFERROR(INDEX($W$7:$W$14,MATCH(AG$10,$T$7:$T$14,0)),0)*$T$20+IFERROR(INDEX($X$7:$X$14,MATCH(AG$10,$T$7:$T$14,0)),0)*$T$21)/30</f>
        <v>0</v>
      </c>
      <c r="AH217" s="10">
        <f>MAX($Z217-积分赛!$C$7,0)*(IFERROR(INDEX($W$7:$W$14,MATCH(AH$10,$T$7:$T$14,0)),0)*$T$20+IFERROR(INDEX($X$7:$X$14,MATCH(AH$10,$T$7:$T$14,0)),0)*$T$21)/30</f>
        <v>0</v>
      </c>
      <c r="AI217" s="10">
        <f>MAX($Z217-积分赛!$C$7,0)*(IFERROR(INDEX($W$7:$W$14,MATCH(AI$10,$T$7:$T$14,0)),0)*$T$20+IFERROR(INDEX($X$7:$X$14,MATCH(AI$10,$T$7:$T$14,0)),0)*$T$21)/30</f>
        <v>18024.5</v>
      </c>
      <c r="AJ217" s="10">
        <f>MAX($Z217-积分赛!$C$7,0)*(IFERROR(INDEX($W$7:$W$14,MATCH(AJ$10,$T$7:$T$14,0)),0)*$T$20+IFERROR(INDEX($X$7:$X$14,MATCH(AJ$10,$T$7:$T$14,0)),0)*$T$21)/30</f>
        <v>108147</v>
      </c>
      <c r="BI217" s="10">
        <v>207</v>
      </c>
      <c r="BJ217" s="10">
        <f>MAX($BI217-积分赛!$C$7,0)*$BC$10/30</f>
        <v>590000</v>
      </c>
      <c r="BK217" s="10">
        <f>MAX($BI217-积分赛!$C$7,0)*$BC$10/30</f>
        <v>590000</v>
      </c>
      <c r="BL217" s="10">
        <f>MAX($BI217-积分赛!$C$7,0)*$BC$10/30</f>
        <v>590000</v>
      </c>
      <c r="BM217" s="10">
        <f>MAX($BI217-积分赛!$C$7,0)*$BC$10/30</f>
        <v>590000</v>
      </c>
      <c r="BN217" s="10">
        <f>MAX($BI217-积分赛!$C$7,0)*$BC$10/30</f>
        <v>590000</v>
      </c>
    </row>
    <row r="218" spans="26:66" x14ac:dyDescent="0.15">
      <c r="Z218" s="10">
        <v>208</v>
      </c>
      <c r="AA218" s="10">
        <f>IFERROR(MAX($Z218-积分赛!$C$7,0)*INDEX($U$7:$U$14,MATCH(AA$10,$T$7:$T$14,0))/30,0)</f>
        <v>0</v>
      </c>
      <c r="AB218" s="10">
        <f>IFERROR(MAX($Z218-积分赛!$C$7,0)*INDEX($U$7:$U$14,MATCH(AB$10,$T$7:$T$14,0))/30,0)</f>
        <v>0</v>
      </c>
      <c r="AC218" s="10">
        <f>IFERROR(MAX($Z218-积分赛!$C$7,0)*INDEX($U$7:$U$14,MATCH(AC$10,$T$7:$T$14,0))/30,0)</f>
        <v>0</v>
      </c>
      <c r="AD218" s="10">
        <f>IFERROR(MAX($Z218-积分赛!$C$7,0)*INDEX($U$7:$U$14,MATCH(AD$10,$T$7:$T$14,0))/30,0)</f>
        <v>474666.66666666669</v>
      </c>
      <c r="AE218" s="10">
        <f>IFERROR(MAX($Z218-积分赛!$C$7,0)*INDEX($U$7:$U$14,MATCH(AE$10,$T$7:$T$14,0))/30,0)</f>
        <v>5933333.333333333</v>
      </c>
      <c r="AF218" s="10">
        <f>MAX($Z218-积分赛!$C$7,0)*(IFERROR(INDEX($W$7:$W$14,MATCH(AF$10,$T$7:$T$14,0)),0)*$T$20+IFERROR(INDEX($X$7:$X$14,MATCH(AF$10,$T$7:$T$14,0)),0)*$T$21)/30</f>
        <v>0</v>
      </c>
      <c r="AG218" s="10">
        <f>MAX($Z218-积分赛!$C$7,0)*(IFERROR(INDEX($W$7:$W$14,MATCH(AG$10,$T$7:$T$14,0)),0)*$T$20+IFERROR(INDEX($X$7:$X$14,MATCH(AG$10,$T$7:$T$14,0)),0)*$T$21)/30</f>
        <v>0</v>
      </c>
      <c r="AH218" s="10">
        <f>MAX($Z218-积分赛!$C$7,0)*(IFERROR(INDEX($W$7:$W$14,MATCH(AH$10,$T$7:$T$14,0)),0)*$T$20+IFERROR(INDEX($X$7:$X$14,MATCH(AH$10,$T$7:$T$14,0)),0)*$T$21)/30</f>
        <v>0</v>
      </c>
      <c r="AI218" s="10">
        <f>MAX($Z218-积分赛!$C$7,0)*(IFERROR(INDEX($W$7:$W$14,MATCH(AI$10,$T$7:$T$14,0)),0)*$T$20+IFERROR(INDEX($X$7:$X$14,MATCH(AI$10,$T$7:$T$14,0)),0)*$T$21)/30</f>
        <v>18126.333333333332</v>
      </c>
      <c r="AJ218" s="10">
        <f>MAX($Z218-积分赛!$C$7,0)*(IFERROR(INDEX($W$7:$W$14,MATCH(AJ$10,$T$7:$T$14,0)),0)*$T$20+IFERROR(INDEX($X$7:$X$14,MATCH(AJ$10,$T$7:$T$14,0)),0)*$T$21)/30</f>
        <v>108758</v>
      </c>
      <c r="BI218" s="10">
        <v>208</v>
      </c>
      <c r="BJ218" s="10">
        <f>MAX($BI218-积分赛!$C$7,0)*$BC$10/30</f>
        <v>593333.33333333337</v>
      </c>
      <c r="BK218" s="10">
        <f>MAX($BI218-积分赛!$C$7,0)*$BC$10/30</f>
        <v>593333.33333333337</v>
      </c>
      <c r="BL218" s="10">
        <f>MAX($BI218-积分赛!$C$7,0)*$BC$10/30</f>
        <v>593333.33333333337</v>
      </c>
      <c r="BM218" s="10">
        <f>MAX($BI218-积分赛!$C$7,0)*$BC$10/30</f>
        <v>593333.33333333337</v>
      </c>
      <c r="BN218" s="10">
        <f>MAX($BI218-积分赛!$C$7,0)*$BC$10/30</f>
        <v>593333.33333333337</v>
      </c>
    </row>
    <row r="219" spans="26:66" x14ac:dyDescent="0.15">
      <c r="Z219" s="10">
        <v>209</v>
      </c>
      <c r="AA219" s="10">
        <f>IFERROR(MAX($Z219-积分赛!$C$7,0)*INDEX($U$7:$U$14,MATCH(AA$10,$T$7:$T$14,0))/30,0)</f>
        <v>0</v>
      </c>
      <c r="AB219" s="10">
        <f>IFERROR(MAX($Z219-积分赛!$C$7,0)*INDEX($U$7:$U$14,MATCH(AB$10,$T$7:$T$14,0))/30,0)</f>
        <v>0</v>
      </c>
      <c r="AC219" s="10">
        <f>IFERROR(MAX($Z219-积分赛!$C$7,0)*INDEX($U$7:$U$14,MATCH(AC$10,$T$7:$T$14,0))/30,0)</f>
        <v>0</v>
      </c>
      <c r="AD219" s="10">
        <f>IFERROR(MAX($Z219-积分赛!$C$7,0)*INDEX($U$7:$U$14,MATCH(AD$10,$T$7:$T$14,0))/30,0)</f>
        <v>477333.33333333331</v>
      </c>
      <c r="AE219" s="10">
        <f>IFERROR(MAX($Z219-积分赛!$C$7,0)*INDEX($U$7:$U$14,MATCH(AE$10,$T$7:$T$14,0))/30,0)</f>
        <v>5966666.666666667</v>
      </c>
      <c r="AF219" s="10">
        <f>MAX($Z219-积分赛!$C$7,0)*(IFERROR(INDEX($W$7:$W$14,MATCH(AF$10,$T$7:$T$14,0)),0)*$T$20+IFERROR(INDEX($X$7:$X$14,MATCH(AF$10,$T$7:$T$14,0)),0)*$T$21)/30</f>
        <v>0</v>
      </c>
      <c r="AG219" s="10">
        <f>MAX($Z219-积分赛!$C$7,0)*(IFERROR(INDEX($W$7:$W$14,MATCH(AG$10,$T$7:$T$14,0)),0)*$T$20+IFERROR(INDEX($X$7:$X$14,MATCH(AG$10,$T$7:$T$14,0)),0)*$T$21)/30</f>
        <v>0</v>
      </c>
      <c r="AH219" s="10">
        <f>MAX($Z219-积分赛!$C$7,0)*(IFERROR(INDEX($W$7:$W$14,MATCH(AH$10,$T$7:$T$14,0)),0)*$T$20+IFERROR(INDEX($X$7:$X$14,MATCH(AH$10,$T$7:$T$14,0)),0)*$T$21)/30</f>
        <v>0</v>
      </c>
      <c r="AI219" s="10">
        <f>MAX($Z219-积分赛!$C$7,0)*(IFERROR(INDEX($W$7:$W$14,MATCH(AI$10,$T$7:$T$14,0)),0)*$T$20+IFERROR(INDEX($X$7:$X$14,MATCH(AI$10,$T$7:$T$14,0)),0)*$T$21)/30</f>
        <v>18228.166666666668</v>
      </c>
      <c r="AJ219" s="10">
        <f>MAX($Z219-积分赛!$C$7,0)*(IFERROR(INDEX($W$7:$W$14,MATCH(AJ$10,$T$7:$T$14,0)),0)*$T$20+IFERROR(INDEX($X$7:$X$14,MATCH(AJ$10,$T$7:$T$14,0)),0)*$T$21)/30</f>
        <v>109369</v>
      </c>
      <c r="BI219" s="10">
        <v>209</v>
      </c>
      <c r="BJ219" s="10">
        <f>MAX($BI219-积分赛!$C$7,0)*$BC$10/30</f>
        <v>596666.66666666663</v>
      </c>
      <c r="BK219" s="10">
        <f>MAX($BI219-积分赛!$C$7,0)*$BC$10/30</f>
        <v>596666.66666666663</v>
      </c>
      <c r="BL219" s="10">
        <f>MAX($BI219-积分赛!$C$7,0)*$BC$10/30</f>
        <v>596666.66666666663</v>
      </c>
      <c r="BM219" s="10">
        <f>MAX($BI219-积分赛!$C$7,0)*$BC$10/30</f>
        <v>596666.66666666663</v>
      </c>
      <c r="BN219" s="10">
        <f>MAX($BI219-积分赛!$C$7,0)*$BC$10/30</f>
        <v>596666.66666666663</v>
      </c>
    </row>
    <row r="220" spans="26:66" x14ac:dyDescent="0.15">
      <c r="Z220" s="10">
        <v>210</v>
      </c>
      <c r="AA220" s="10">
        <f>IFERROR(MAX($Z220-积分赛!$C$7,0)*INDEX($U$7:$U$14,MATCH(AA$10,$T$7:$T$14,0))/30,0)</f>
        <v>0</v>
      </c>
      <c r="AB220" s="10">
        <f>IFERROR(MAX($Z220-积分赛!$C$7,0)*INDEX($U$7:$U$14,MATCH(AB$10,$T$7:$T$14,0))/30,0)</f>
        <v>0</v>
      </c>
      <c r="AC220" s="10">
        <f>IFERROR(MAX($Z220-积分赛!$C$7,0)*INDEX($U$7:$U$14,MATCH(AC$10,$T$7:$T$14,0))/30,0)</f>
        <v>0</v>
      </c>
      <c r="AD220" s="10">
        <f>IFERROR(MAX($Z220-积分赛!$C$7,0)*INDEX($U$7:$U$14,MATCH(AD$10,$T$7:$T$14,0))/30,0)</f>
        <v>480000</v>
      </c>
      <c r="AE220" s="10">
        <f>IFERROR(MAX($Z220-积分赛!$C$7,0)*INDEX($U$7:$U$14,MATCH(AE$10,$T$7:$T$14,0))/30,0)</f>
        <v>6000000</v>
      </c>
      <c r="AF220" s="10">
        <f>MAX($Z220-积分赛!$C$7,0)*(IFERROR(INDEX($W$7:$W$14,MATCH(AF$10,$T$7:$T$14,0)),0)*$T$20+IFERROR(INDEX($X$7:$X$14,MATCH(AF$10,$T$7:$T$14,0)),0)*$T$21)/30</f>
        <v>0</v>
      </c>
      <c r="AG220" s="10">
        <f>MAX($Z220-积分赛!$C$7,0)*(IFERROR(INDEX($W$7:$W$14,MATCH(AG$10,$T$7:$T$14,0)),0)*$T$20+IFERROR(INDEX($X$7:$X$14,MATCH(AG$10,$T$7:$T$14,0)),0)*$T$21)/30</f>
        <v>0</v>
      </c>
      <c r="AH220" s="10">
        <f>MAX($Z220-积分赛!$C$7,0)*(IFERROR(INDEX($W$7:$W$14,MATCH(AH$10,$T$7:$T$14,0)),0)*$T$20+IFERROR(INDEX($X$7:$X$14,MATCH(AH$10,$T$7:$T$14,0)),0)*$T$21)/30</f>
        <v>0</v>
      </c>
      <c r="AI220" s="10">
        <f>MAX($Z220-积分赛!$C$7,0)*(IFERROR(INDEX($W$7:$W$14,MATCH(AI$10,$T$7:$T$14,0)),0)*$T$20+IFERROR(INDEX($X$7:$X$14,MATCH(AI$10,$T$7:$T$14,0)),0)*$T$21)/30</f>
        <v>18330</v>
      </c>
      <c r="AJ220" s="10">
        <f>MAX($Z220-积分赛!$C$7,0)*(IFERROR(INDEX($W$7:$W$14,MATCH(AJ$10,$T$7:$T$14,0)),0)*$T$20+IFERROR(INDEX($X$7:$X$14,MATCH(AJ$10,$T$7:$T$14,0)),0)*$T$21)/30</f>
        <v>109980</v>
      </c>
      <c r="BI220" s="10">
        <v>210</v>
      </c>
      <c r="BJ220" s="10">
        <f>MAX($BI220-积分赛!$C$7,0)*$BC$10/30</f>
        <v>600000</v>
      </c>
      <c r="BK220" s="10">
        <f>MAX($BI220-积分赛!$C$7,0)*$BC$10/30</f>
        <v>600000</v>
      </c>
      <c r="BL220" s="10">
        <f>MAX($BI220-积分赛!$C$7,0)*$BC$10/30</f>
        <v>600000</v>
      </c>
      <c r="BM220" s="10">
        <f>MAX($BI220-积分赛!$C$7,0)*$BC$10/30</f>
        <v>600000</v>
      </c>
      <c r="BN220" s="10">
        <f>MAX($BI220-积分赛!$C$7,0)*$BC$10/30</f>
        <v>600000</v>
      </c>
    </row>
    <row r="221" spans="26:66" x14ac:dyDescent="0.15">
      <c r="Z221" s="10">
        <v>211</v>
      </c>
      <c r="AA221" s="10">
        <f>IFERROR(MAX($Z221-积分赛!$C$7,0)*INDEX($U$7:$U$14,MATCH(AA$10,$T$7:$T$14,0))/30,0)</f>
        <v>0</v>
      </c>
      <c r="AB221" s="10">
        <f>IFERROR(MAX($Z221-积分赛!$C$7,0)*INDEX($U$7:$U$14,MATCH(AB$10,$T$7:$T$14,0))/30,0)</f>
        <v>0</v>
      </c>
      <c r="AC221" s="10">
        <f>IFERROR(MAX($Z221-积分赛!$C$7,0)*INDEX($U$7:$U$14,MATCH(AC$10,$T$7:$T$14,0))/30,0)</f>
        <v>0</v>
      </c>
      <c r="AD221" s="10">
        <f>IFERROR(MAX($Z221-积分赛!$C$7,0)*INDEX($U$7:$U$14,MATCH(AD$10,$T$7:$T$14,0))/30,0)</f>
        <v>482666.66666666669</v>
      </c>
      <c r="AE221" s="10">
        <f>IFERROR(MAX($Z221-积分赛!$C$7,0)*INDEX($U$7:$U$14,MATCH(AE$10,$T$7:$T$14,0))/30,0)</f>
        <v>6033333.333333333</v>
      </c>
      <c r="AF221" s="10">
        <f>MAX($Z221-积分赛!$C$7,0)*(IFERROR(INDEX($W$7:$W$14,MATCH(AF$10,$T$7:$T$14,0)),0)*$T$20+IFERROR(INDEX($X$7:$X$14,MATCH(AF$10,$T$7:$T$14,0)),0)*$T$21)/30</f>
        <v>0</v>
      </c>
      <c r="AG221" s="10">
        <f>MAX($Z221-积分赛!$C$7,0)*(IFERROR(INDEX($W$7:$W$14,MATCH(AG$10,$T$7:$T$14,0)),0)*$T$20+IFERROR(INDEX($X$7:$X$14,MATCH(AG$10,$T$7:$T$14,0)),0)*$T$21)/30</f>
        <v>0</v>
      </c>
      <c r="AH221" s="10">
        <f>MAX($Z221-积分赛!$C$7,0)*(IFERROR(INDEX($W$7:$W$14,MATCH(AH$10,$T$7:$T$14,0)),0)*$T$20+IFERROR(INDEX($X$7:$X$14,MATCH(AH$10,$T$7:$T$14,0)),0)*$T$21)/30</f>
        <v>0</v>
      </c>
      <c r="AI221" s="10">
        <f>MAX($Z221-积分赛!$C$7,0)*(IFERROR(INDEX($W$7:$W$14,MATCH(AI$10,$T$7:$T$14,0)),0)*$T$20+IFERROR(INDEX($X$7:$X$14,MATCH(AI$10,$T$7:$T$14,0)),0)*$T$21)/30</f>
        <v>18431.833333333332</v>
      </c>
      <c r="AJ221" s="10">
        <f>MAX($Z221-积分赛!$C$7,0)*(IFERROR(INDEX($W$7:$W$14,MATCH(AJ$10,$T$7:$T$14,0)),0)*$T$20+IFERROR(INDEX($X$7:$X$14,MATCH(AJ$10,$T$7:$T$14,0)),0)*$T$21)/30</f>
        <v>110591</v>
      </c>
      <c r="BI221" s="10">
        <v>211</v>
      </c>
      <c r="BJ221" s="10">
        <f>MAX($BI221-积分赛!$C$7,0)*$BC$10/30</f>
        <v>603333.33333333337</v>
      </c>
      <c r="BK221" s="10">
        <f>MAX($BI221-积分赛!$C$7,0)*$BC$10/30</f>
        <v>603333.33333333337</v>
      </c>
      <c r="BL221" s="10">
        <f>MAX($BI221-积分赛!$C$7,0)*$BC$10/30</f>
        <v>603333.33333333337</v>
      </c>
      <c r="BM221" s="10">
        <f>MAX($BI221-积分赛!$C$7,0)*$BC$10/30</f>
        <v>603333.33333333337</v>
      </c>
      <c r="BN221" s="10">
        <f>MAX($BI221-积分赛!$C$7,0)*$BC$10/30</f>
        <v>603333.33333333337</v>
      </c>
    </row>
    <row r="222" spans="26:66" x14ac:dyDescent="0.15">
      <c r="Z222" s="10">
        <v>212</v>
      </c>
      <c r="AA222" s="10">
        <f>IFERROR(MAX($Z222-积分赛!$C$7,0)*INDEX($U$7:$U$14,MATCH(AA$10,$T$7:$T$14,0))/30,0)</f>
        <v>0</v>
      </c>
      <c r="AB222" s="10">
        <f>IFERROR(MAX($Z222-积分赛!$C$7,0)*INDEX($U$7:$U$14,MATCH(AB$10,$T$7:$T$14,0))/30,0)</f>
        <v>0</v>
      </c>
      <c r="AC222" s="10">
        <f>IFERROR(MAX($Z222-积分赛!$C$7,0)*INDEX($U$7:$U$14,MATCH(AC$10,$T$7:$T$14,0))/30,0)</f>
        <v>0</v>
      </c>
      <c r="AD222" s="10">
        <f>IFERROR(MAX($Z222-积分赛!$C$7,0)*INDEX($U$7:$U$14,MATCH(AD$10,$T$7:$T$14,0))/30,0)</f>
        <v>485333.33333333331</v>
      </c>
      <c r="AE222" s="10">
        <f>IFERROR(MAX($Z222-积分赛!$C$7,0)*INDEX($U$7:$U$14,MATCH(AE$10,$T$7:$T$14,0))/30,0)</f>
        <v>6066666.666666667</v>
      </c>
      <c r="AF222" s="10">
        <f>MAX($Z222-积分赛!$C$7,0)*(IFERROR(INDEX($W$7:$W$14,MATCH(AF$10,$T$7:$T$14,0)),0)*$T$20+IFERROR(INDEX($X$7:$X$14,MATCH(AF$10,$T$7:$T$14,0)),0)*$T$21)/30</f>
        <v>0</v>
      </c>
      <c r="AG222" s="10">
        <f>MAX($Z222-积分赛!$C$7,0)*(IFERROR(INDEX($W$7:$W$14,MATCH(AG$10,$T$7:$T$14,0)),0)*$T$20+IFERROR(INDEX($X$7:$X$14,MATCH(AG$10,$T$7:$T$14,0)),0)*$T$21)/30</f>
        <v>0</v>
      </c>
      <c r="AH222" s="10">
        <f>MAX($Z222-积分赛!$C$7,0)*(IFERROR(INDEX($W$7:$W$14,MATCH(AH$10,$T$7:$T$14,0)),0)*$T$20+IFERROR(INDEX($X$7:$X$14,MATCH(AH$10,$T$7:$T$14,0)),0)*$T$21)/30</f>
        <v>0</v>
      </c>
      <c r="AI222" s="10">
        <f>MAX($Z222-积分赛!$C$7,0)*(IFERROR(INDEX($W$7:$W$14,MATCH(AI$10,$T$7:$T$14,0)),0)*$T$20+IFERROR(INDEX($X$7:$X$14,MATCH(AI$10,$T$7:$T$14,0)),0)*$T$21)/30</f>
        <v>18533.666666666668</v>
      </c>
      <c r="AJ222" s="10">
        <f>MAX($Z222-积分赛!$C$7,0)*(IFERROR(INDEX($W$7:$W$14,MATCH(AJ$10,$T$7:$T$14,0)),0)*$T$20+IFERROR(INDEX($X$7:$X$14,MATCH(AJ$10,$T$7:$T$14,0)),0)*$T$21)/30</f>
        <v>111202</v>
      </c>
      <c r="BI222" s="10">
        <v>212</v>
      </c>
      <c r="BJ222" s="10">
        <f>MAX($BI222-积分赛!$C$7,0)*$BC$10/30</f>
        <v>606666.66666666663</v>
      </c>
      <c r="BK222" s="10">
        <f>MAX($BI222-积分赛!$C$7,0)*$BC$10/30</f>
        <v>606666.66666666663</v>
      </c>
      <c r="BL222" s="10">
        <f>MAX($BI222-积分赛!$C$7,0)*$BC$10/30</f>
        <v>606666.66666666663</v>
      </c>
      <c r="BM222" s="10">
        <f>MAX($BI222-积分赛!$C$7,0)*$BC$10/30</f>
        <v>606666.66666666663</v>
      </c>
      <c r="BN222" s="10">
        <f>MAX($BI222-积分赛!$C$7,0)*$BC$10/30</f>
        <v>606666.66666666663</v>
      </c>
    </row>
    <row r="223" spans="26:66" x14ac:dyDescent="0.15">
      <c r="Z223" s="10">
        <v>213</v>
      </c>
      <c r="AA223" s="10">
        <f>IFERROR(MAX($Z223-积分赛!$C$7,0)*INDEX($U$7:$U$14,MATCH(AA$10,$T$7:$T$14,0))/30,0)</f>
        <v>0</v>
      </c>
      <c r="AB223" s="10">
        <f>IFERROR(MAX($Z223-积分赛!$C$7,0)*INDEX($U$7:$U$14,MATCH(AB$10,$T$7:$T$14,0))/30,0)</f>
        <v>0</v>
      </c>
      <c r="AC223" s="10">
        <f>IFERROR(MAX($Z223-积分赛!$C$7,0)*INDEX($U$7:$U$14,MATCH(AC$10,$T$7:$T$14,0))/30,0)</f>
        <v>0</v>
      </c>
      <c r="AD223" s="10">
        <f>IFERROR(MAX($Z223-积分赛!$C$7,0)*INDEX($U$7:$U$14,MATCH(AD$10,$T$7:$T$14,0))/30,0)</f>
        <v>488000</v>
      </c>
      <c r="AE223" s="10">
        <f>IFERROR(MAX($Z223-积分赛!$C$7,0)*INDEX($U$7:$U$14,MATCH(AE$10,$T$7:$T$14,0))/30,0)</f>
        <v>6100000</v>
      </c>
      <c r="AF223" s="10">
        <f>MAX($Z223-积分赛!$C$7,0)*(IFERROR(INDEX($W$7:$W$14,MATCH(AF$10,$T$7:$T$14,0)),0)*$T$20+IFERROR(INDEX($X$7:$X$14,MATCH(AF$10,$T$7:$T$14,0)),0)*$T$21)/30</f>
        <v>0</v>
      </c>
      <c r="AG223" s="10">
        <f>MAX($Z223-积分赛!$C$7,0)*(IFERROR(INDEX($W$7:$W$14,MATCH(AG$10,$T$7:$T$14,0)),0)*$T$20+IFERROR(INDEX($X$7:$X$14,MATCH(AG$10,$T$7:$T$14,0)),0)*$T$21)/30</f>
        <v>0</v>
      </c>
      <c r="AH223" s="10">
        <f>MAX($Z223-积分赛!$C$7,0)*(IFERROR(INDEX($W$7:$W$14,MATCH(AH$10,$T$7:$T$14,0)),0)*$T$20+IFERROR(INDEX($X$7:$X$14,MATCH(AH$10,$T$7:$T$14,0)),0)*$T$21)/30</f>
        <v>0</v>
      </c>
      <c r="AI223" s="10">
        <f>MAX($Z223-积分赛!$C$7,0)*(IFERROR(INDEX($W$7:$W$14,MATCH(AI$10,$T$7:$T$14,0)),0)*$T$20+IFERROR(INDEX($X$7:$X$14,MATCH(AI$10,$T$7:$T$14,0)),0)*$T$21)/30</f>
        <v>18635.5</v>
      </c>
      <c r="AJ223" s="10">
        <f>MAX($Z223-积分赛!$C$7,0)*(IFERROR(INDEX($W$7:$W$14,MATCH(AJ$10,$T$7:$T$14,0)),0)*$T$20+IFERROR(INDEX($X$7:$X$14,MATCH(AJ$10,$T$7:$T$14,0)),0)*$T$21)/30</f>
        <v>111813</v>
      </c>
      <c r="BI223" s="10">
        <v>213</v>
      </c>
      <c r="BJ223" s="10">
        <f>MAX($BI223-积分赛!$C$7,0)*$BC$10/30</f>
        <v>610000</v>
      </c>
      <c r="BK223" s="10">
        <f>MAX($BI223-积分赛!$C$7,0)*$BC$10/30</f>
        <v>610000</v>
      </c>
      <c r="BL223" s="10">
        <f>MAX($BI223-积分赛!$C$7,0)*$BC$10/30</f>
        <v>610000</v>
      </c>
      <c r="BM223" s="10">
        <f>MAX($BI223-积分赛!$C$7,0)*$BC$10/30</f>
        <v>610000</v>
      </c>
      <c r="BN223" s="10">
        <f>MAX($BI223-积分赛!$C$7,0)*$BC$10/30</f>
        <v>610000</v>
      </c>
    </row>
    <row r="224" spans="26:66" x14ac:dyDescent="0.15">
      <c r="Z224" s="10">
        <v>214</v>
      </c>
      <c r="AA224" s="10">
        <f>IFERROR(MAX($Z224-积分赛!$C$7,0)*INDEX($U$7:$U$14,MATCH(AA$10,$T$7:$T$14,0))/30,0)</f>
        <v>0</v>
      </c>
      <c r="AB224" s="10">
        <f>IFERROR(MAX($Z224-积分赛!$C$7,0)*INDEX($U$7:$U$14,MATCH(AB$10,$T$7:$T$14,0))/30,0)</f>
        <v>0</v>
      </c>
      <c r="AC224" s="10">
        <f>IFERROR(MAX($Z224-积分赛!$C$7,0)*INDEX($U$7:$U$14,MATCH(AC$10,$T$7:$T$14,0))/30,0)</f>
        <v>0</v>
      </c>
      <c r="AD224" s="10">
        <f>IFERROR(MAX($Z224-积分赛!$C$7,0)*INDEX($U$7:$U$14,MATCH(AD$10,$T$7:$T$14,0))/30,0)</f>
        <v>490666.66666666669</v>
      </c>
      <c r="AE224" s="10">
        <f>IFERROR(MAX($Z224-积分赛!$C$7,0)*INDEX($U$7:$U$14,MATCH(AE$10,$T$7:$T$14,0))/30,0)</f>
        <v>6133333.333333333</v>
      </c>
      <c r="AF224" s="10">
        <f>MAX($Z224-积分赛!$C$7,0)*(IFERROR(INDEX($W$7:$W$14,MATCH(AF$10,$T$7:$T$14,0)),0)*$T$20+IFERROR(INDEX($X$7:$X$14,MATCH(AF$10,$T$7:$T$14,0)),0)*$T$21)/30</f>
        <v>0</v>
      </c>
      <c r="AG224" s="10">
        <f>MAX($Z224-积分赛!$C$7,0)*(IFERROR(INDEX($W$7:$W$14,MATCH(AG$10,$T$7:$T$14,0)),0)*$T$20+IFERROR(INDEX($X$7:$X$14,MATCH(AG$10,$T$7:$T$14,0)),0)*$T$21)/30</f>
        <v>0</v>
      </c>
      <c r="AH224" s="10">
        <f>MAX($Z224-积分赛!$C$7,0)*(IFERROR(INDEX($W$7:$W$14,MATCH(AH$10,$T$7:$T$14,0)),0)*$T$20+IFERROR(INDEX($X$7:$X$14,MATCH(AH$10,$T$7:$T$14,0)),0)*$T$21)/30</f>
        <v>0</v>
      </c>
      <c r="AI224" s="10">
        <f>MAX($Z224-积分赛!$C$7,0)*(IFERROR(INDEX($W$7:$W$14,MATCH(AI$10,$T$7:$T$14,0)),0)*$T$20+IFERROR(INDEX($X$7:$X$14,MATCH(AI$10,$T$7:$T$14,0)),0)*$T$21)/30</f>
        <v>18737.333333333332</v>
      </c>
      <c r="AJ224" s="10">
        <f>MAX($Z224-积分赛!$C$7,0)*(IFERROR(INDEX($W$7:$W$14,MATCH(AJ$10,$T$7:$T$14,0)),0)*$T$20+IFERROR(INDEX($X$7:$X$14,MATCH(AJ$10,$T$7:$T$14,0)),0)*$T$21)/30</f>
        <v>112424</v>
      </c>
      <c r="BI224" s="10">
        <v>214</v>
      </c>
      <c r="BJ224" s="10">
        <f>MAX($BI224-积分赛!$C$7,0)*$BC$10/30</f>
        <v>613333.33333333337</v>
      </c>
      <c r="BK224" s="10">
        <f>MAX($BI224-积分赛!$C$7,0)*$BC$10/30</f>
        <v>613333.33333333337</v>
      </c>
      <c r="BL224" s="10">
        <f>MAX($BI224-积分赛!$C$7,0)*$BC$10/30</f>
        <v>613333.33333333337</v>
      </c>
      <c r="BM224" s="10">
        <f>MAX($BI224-积分赛!$C$7,0)*$BC$10/30</f>
        <v>613333.33333333337</v>
      </c>
      <c r="BN224" s="10">
        <f>MAX($BI224-积分赛!$C$7,0)*$BC$10/30</f>
        <v>613333.33333333337</v>
      </c>
    </row>
    <row r="225" spans="26:66" x14ac:dyDescent="0.15">
      <c r="Z225" s="10">
        <v>215</v>
      </c>
      <c r="AA225" s="10">
        <f>IFERROR(MAX($Z225-积分赛!$C$7,0)*INDEX($U$7:$U$14,MATCH(AA$10,$T$7:$T$14,0))/30,0)</f>
        <v>0</v>
      </c>
      <c r="AB225" s="10">
        <f>IFERROR(MAX($Z225-积分赛!$C$7,0)*INDEX($U$7:$U$14,MATCH(AB$10,$T$7:$T$14,0))/30,0)</f>
        <v>0</v>
      </c>
      <c r="AC225" s="10">
        <f>IFERROR(MAX($Z225-积分赛!$C$7,0)*INDEX($U$7:$U$14,MATCH(AC$10,$T$7:$T$14,0))/30,0)</f>
        <v>0</v>
      </c>
      <c r="AD225" s="10">
        <f>IFERROR(MAX($Z225-积分赛!$C$7,0)*INDEX($U$7:$U$14,MATCH(AD$10,$T$7:$T$14,0))/30,0)</f>
        <v>493333.33333333331</v>
      </c>
      <c r="AE225" s="10">
        <f>IFERROR(MAX($Z225-积分赛!$C$7,0)*INDEX($U$7:$U$14,MATCH(AE$10,$T$7:$T$14,0))/30,0)</f>
        <v>6166666.666666667</v>
      </c>
      <c r="AF225" s="10">
        <f>MAX($Z225-积分赛!$C$7,0)*(IFERROR(INDEX($W$7:$W$14,MATCH(AF$10,$T$7:$T$14,0)),0)*$T$20+IFERROR(INDEX($X$7:$X$14,MATCH(AF$10,$T$7:$T$14,0)),0)*$T$21)/30</f>
        <v>0</v>
      </c>
      <c r="AG225" s="10">
        <f>MAX($Z225-积分赛!$C$7,0)*(IFERROR(INDEX($W$7:$W$14,MATCH(AG$10,$T$7:$T$14,0)),0)*$T$20+IFERROR(INDEX($X$7:$X$14,MATCH(AG$10,$T$7:$T$14,0)),0)*$T$21)/30</f>
        <v>0</v>
      </c>
      <c r="AH225" s="10">
        <f>MAX($Z225-积分赛!$C$7,0)*(IFERROR(INDEX($W$7:$W$14,MATCH(AH$10,$T$7:$T$14,0)),0)*$T$20+IFERROR(INDEX($X$7:$X$14,MATCH(AH$10,$T$7:$T$14,0)),0)*$T$21)/30</f>
        <v>0</v>
      </c>
      <c r="AI225" s="10">
        <f>MAX($Z225-积分赛!$C$7,0)*(IFERROR(INDEX($W$7:$W$14,MATCH(AI$10,$T$7:$T$14,0)),0)*$T$20+IFERROR(INDEX($X$7:$X$14,MATCH(AI$10,$T$7:$T$14,0)),0)*$T$21)/30</f>
        <v>18839.166666666668</v>
      </c>
      <c r="AJ225" s="10">
        <f>MAX($Z225-积分赛!$C$7,0)*(IFERROR(INDEX($W$7:$W$14,MATCH(AJ$10,$T$7:$T$14,0)),0)*$T$20+IFERROR(INDEX($X$7:$X$14,MATCH(AJ$10,$T$7:$T$14,0)),0)*$T$21)/30</f>
        <v>113035</v>
      </c>
      <c r="BI225" s="10">
        <v>215</v>
      </c>
      <c r="BJ225" s="10">
        <f>MAX($BI225-积分赛!$C$7,0)*$BC$10/30</f>
        <v>616666.66666666663</v>
      </c>
      <c r="BK225" s="10">
        <f>MAX($BI225-积分赛!$C$7,0)*$BC$10/30</f>
        <v>616666.66666666663</v>
      </c>
      <c r="BL225" s="10">
        <f>MAX($BI225-积分赛!$C$7,0)*$BC$10/30</f>
        <v>616666.66666666663</v>
      </c>
      <c r="BM225" s="10">
        <f>MAX($BI225-积分赛!$C$7,0)*$BC$10/30</f>
        <v>616666.66666666663</v>
      </c>
      <c r="BN225" s="10">
        <f>MAX($BI225-积分赛!$C$7,0)*$BC$10/30</f>
        <v>616666.66666666663</v>
      </c>
    </row>
    <row r="226" spans="26:66" x14ac:dyDescent="0.15">
      <c r="Z226" s="10">
        <v>216</v>
      </c>
      <c r="AA226" s="10">
        <f>IFERROR(MAX($Z226-积分赛!$C$7,0)*INDEX($U$7:$U$14,MATCH(AA$10,$T$7:$T$14,0))/30,0)</f>
        <v>0</v>
      </c>
      <c r="AB226" s="10">
        <f>IFERROR(MAX($Z226-积分赛!$C$7,0)*INDEX($U$7:$U$14,MATCH(AB$10,$T$7:$T$14,0))/30,0)</f>
        <v>0</v>
      </c>
      <c r="AC226" s="10">
        <f>IFERROR(MAX($Z226-积分赛!$C$7,0)*INDEX($U$7:$U$14,MATCH(AC$10,$T$7:$T$14,0))/30,0)</f>
        <v>0</v>
      </c>
      <c r="AD226" s="10">
        <f>IFERROR(MAX($Z226-积分赛!$C$7,0)*INDEX($U$7:$U$14,MATCH(AD$10,$T$7:$T$14,0))/30,0)</f>
        <v>496000</v>
      </c>
      <c r="AE226" s="10">
        <f>IFERROR(MAX($Z226-积分赛!$C$7,0)*INDEX($U$7:$U$14,MATCH(AE$10,$T$7:$T$14,0))/30,0)</f>
        <v>6200000</v>
      </c>
      <c r="AF226" s="10">
        <f>MAX($Z226-积分赛!$C$7,0)*(IFERROR(INDEX($W$7:$W$14,MATCH(AF$10,$T$7:$T$14,0)),0)*$T$20+IFERROR(INDEX($X$7:$X$14,MATCH(AF$10,$T$7:$T$14,0)),0)*$T$21)/30</f>
        <v>0</v>
      </c>
      <c r="AG226" s="10">
        <f>MAX($Z226-积分赛!$C$7,0)*(IFERROR(INDEX($W$7:$W$14,MATCH(AG$10,$T$7:$T$14,0)),0)*$T$20+IFERROR(INDEX($X$7:$X$14,MATCH(AG$10,$T$7:$T$14,0)),0)*$T$21)/30</f>
        <v>0</v>
      </c>
      <c r="AH226" s="10">
        <f>MAX($Z226-积分赛!$C$7,0)*(IFERROR(INDEX($W$7:$W$14,MATCH(AH$10,$T$7:$T$14,0)),0)*$T$20+IFERROR(INDEX($X$7:$X$14,MATCH(AH$10,$T$7:$T$14,0)),0)*$T$21)/30</f>
        <v>0</v>
      </c>
      <c r="AI226" s="10">
        <f>MAX($Z226-积分赛!$C$7,0)*(IFERROR(INDEX($W$7:$W$14,MATCH(AI$10,$T$7:$T$14,0)),0)*$T$20+IFERROR(INDEX($X$7:$X$14,MATCH(AI$10,$T$7:$T$14,0)),0)*$T$21)/30</f>
        <v>18941</v>
      </c>
      <c r="AJ226" s="10">
        <f>MAX($Z226-积分赛!$C$7,0)*(IFERROR(INDEX($W$7:$W$14,MATCH(AJ$10,$T$7:$T$14,0)),0)*$T$20+IFERROR(INDEX($X$7:$X$14,MATCH(AJ$10,$T$7:$T$14,0)),0)*$T$21)/30</f>
        <v>113646</v>
      </c>
      <c r="BI226" s="10">
        <v>216</v>
      </c>
      <c r="BJ226" s="10">
        <f>MAX($BI226-积分赛!$C$7,0)*$BC$10/30</f>
        <v>620000</v>
      </c>
      <c r="BK226" s="10">
        <f>MAX($BI226-积分赛!$C$7,0)*$BC$10/30</f>
        <v>620000</v>
      </c>
      <c r="BL226" s="10">
        <f>MAX($BI226-积分赛!$C$7,0)*$BC$10/30</f>
        <v>620000</v>
      </c>
      <c r="BM226" s="10">
        <f>MAX($BI226-积分赛!$C$7,0)*$BC$10/30</f>
        <v>620000</v>
      </c>
      <c r="BN226" s="10">
        <f>MAX($BI226-积分赛!$C$7,0)*$BC$10/30</f>
        <v>620000</v>
      </c>
    </row>
    <row r="227" spans="26:66" x14ac:dyDescent="0.15">
      <c r="Z227" s="10">
        <v>217</v>
      </c>
      <c r="AA227" s="10">
        <f>IFERROR(MAX($Z227-积分赛!$C$7,0)*INDEX($U$7:$U$14,MATCH(AA$10,$T$7:$T$14,0))/30,0)</f>
        <v>0</v>
      </c>
      <c r="AB227" s="10">
        <f>IFERROR(MAX($Z227-积分赛!$C$7,0)*INDEX($U$7:$U$14,MATCH(AB$10,$T$7:$T$14,0))/30,0)</f>
        <v>0</v>
      </c>
      <c r="AC227" s="10">
        <f>IFERROR(MAX($Z227-积分赛!$C$7,0)*INDEX($U$7:$U$14,MATCH(AC$10,$T$7:$T$14,0))/30,0)</f>
        <v>0</v>
      </c>
      <c r="AD227" s="10">
        <f>IFERROR(MAX($Z227-积分赛!$C$7,0)*INDEX($U$7:$U$14,MATCH(AD$10,$T$7:$T$14,0))/30,0)</f>
        <v>498666.66666666669</v>
      </c>
      <c r="AE227" s="10">
        <f>IFERROR(MAX($Z227-积分赛!$C$7,0)*INDEX($U$7:$U$14,MATCH(AE$10,$T$7:$T$14,0))/30,0)</f>
        <v>6233333.333333333</v>
      </c>
      <c r="AF227" s="10">
        <f>MAX($Z227-积分赛!$C$7,0)*(IFERROR(INDEX($W$7:$W$14,MATCH(AF$10,$T$7:$T$14,0)),0)*$T$20+IFERROR(INDEX($X$7:$X$14,MATCH(AF$10,$T$7:$T$14,0)),0)*$T$21)/30</f>
        <v>0</v>
      </c>
      <c r="AG227" s="10">
        <f>MAX($Z227-积分赛!$C$7,0)*(IFERROR(INDEX($W$7:$W$14,MATCH(AG$10,$T$7:$T$14,0)),0)*$T$20+IFERROR(INDEX($X$7:$X$14,MATCH(AG$10,$T$7:$T$14,0)),0)*$T$21)/30</f>
        <v>0</v>
      </c>
      <c r="AH227" s="10">
        <f>MAX($Z227-积分赛!$C$7,0)*(IFERROR(INDEX($W$7:$W$14,MATCH(AH$10,$T$7:$T$14,0)),0)*$T$20+IFERROR(INDEX($X$7:$X$14,MATCH(AH$10,$T$7:$T$14,0)),0)*$T$21)/30</f>
        <v>0</v>
      </c>
      <c r="AI227" s="10">
        <f>MAX($Z227-积分赛!$C$7,0)*(IFERROR(INDEX($W$7:$W$14,MATCH(AI$10,$T$7:$T$14,0)),0)*$T$20+IFERROR(INDEX($X$7:$X$14,MATCH(AI$10,$T$7:$T$14,0)),0)*$T$21)/30</f>
        <v>19042.833333333332</v>
      </c>
      <c r="AJ227" s="10">
        <f>MAX($Z227-积分赛!$C$7,0)*(IFERROR(INDEX($W$7:$W$14,MATCH(AJ$10,$T$7:$T$14,0)),0)*$T$20+IFERROR(INDEX($X$7:$X$14,MATCH(AJ$10,$T$7:$T$14,0)),0)*$T$21)/30</f>
        <v>114257</v>
      </c>
      <c r="BI227" s="10">
        <v>217</v>
      </c>
      <c r="BJ227" s="10">
        <f>MAX($BI227-积分赛!$C$7,0)*$BC$10/30</f>
        <v>623333.33333333337</v>
      </c>
      <c r="BK227" s="10">
        <f>MAX($BI227-积分赛!$C$7,0)*$BC$10/30</f>
        <v>623333.33333333337</v>
      </c>
      <c r="BL227" s="10">
        <f>MAX($BI227-积分赛!$C$7,0)*$BC$10/30</f>
        <v>623333.33333333337</v>
      </c>
      <c r="BM227" s="10">
        <f>MAX($BI227-积分赛!$C$7,0)*$BC$10/30</f>
        <v>623333.33333333337</v>
      </c>
      <c r="BN227" s="10">
        <f>MAX($BI227-积分赛!$C$7,0)*$BC$10/30</f>
        <v>623333.33333333337</v>
      </c>
    </row>
    <row r="228" spans="26:66" x14ac:dyDescent="0.15">
      <c r="Z228" s="10">
        <v>218</v>
      </c>
      <c r="AA228" s="10">
        <f>IFERROR(MAX($Z228-积分赛!$C$7,0)*INDEX($U$7:$U$14,MATCH(AA$10,$T$7:$T$14,0))/30,0)</f>
        <v>0</v>
      </c>
      <c r="AB228" s="10">
        <f>IFERROR(MAX($Z228-积分赛!$C$7,0)*INDEX($U$7:$U$14,MATCH(AB$10,$T$7:$T$14,0))/30,0)</f>
        <v>0</v>
      </c>
      <c r="AC228" s="10">
        <f>IFERROR(MAX($Z228-积分赛!$C$7,0)*INDEX($U$7:$U$14,MATCH(AC$10,$T$7:$T$14,0))/30,0)</f>
        <v>0</v>
      </c>
      <c r="AD228" s="10">
        <f>IFERROR(MAX($Z228-积分赛!$C$7,0)*INDEX($U$7:$U$14,MATCH(AD$10,$T$7:$T$14,0))/30,0)</f>
        <v>501333.33333333331</v>
      </c>
      <c r="AE228" s="10">
        <f>IFERROR(MAX($Z228-积分赛!$C$7,0)*INDEX($U$7:$U$14,MATCH(AE$10,$T$7:$T$14,0))/30,0)</f>
        <v>6266666.666666667</v>
      </c>
      <c r="AF228" s="10">
        <f>MAX($Z228-积分赛!$C$7,0)*(IFERROR(INDEX($W$7:$W$14,MATCH(AF$10,$T$7:$T$14,0)),0)*$T$20+IFERROR(INDEX($X$7:$X$14,MATCH(AF$10,$T$7:$T$14,0)),0)*$T$21)/30</f>
        <v>0</v>
      </c>
      <c r="AG228" s="10">
        <f>MAX($Z228-积分赛!$C$7,0)*(IFERROR(INDEX($W$7:$W$14,MATCH(AG$10,$T$7:$T$14,0)),0)*$T$20+IFERROR(INDEX($X$7:$X$14,MATCH(AG$10,$T$7:$T$14,0)),0)*$T$21)/30</f>
        <v>0</v>
      </c>
      <c r="AH228" s="10">
        <f>MAX($Z228-积分赛!$C$7,0)*(IFERROR(INDEX($W$7:$W$14,MATCH(AH$10,$T$7:$T$14,0)),0)*$T$20+IFERROR(INDEX($X$7:$X$14,MATCH(AH$10,$T$7:$T$14,0)),0)*$T$21)/30</f>
        <v>0</v>
      </c>
      <c r="AI228" s="10">
        <f>MAX($Z228-积分赛!$C$7,0)*(IFERROR(INDEX($W$7:$W$14,MATCH(AI$10,$T$7:$T$14,0)),0)*$T$20+IFERROR(INDEX($X$7:$X$14,MATCH(AI$10,$T$7:$T$14,0)),0)*$T$21)/30</f>
        <v>19144.666666666668</v>
      </c>
      <c r="AJ228" s="10">
        <f>MAX($Z228-积分赛!$C$7,0)*(IFERROR(INDEX($W$7:$W$14,MATCH(AJ$10,$T$7:$T$14,0)),0)*$T$20+IFERROR(INDEX($X$7:$X$14,MATCH(AJ$10,$T$7:$T$14,0)),0)*$T$21)/30</f>
        <v>114868</v>
      </c>
      <c r="BI228" s="10">
        <v>218</v>
      </c>
      <c r="BJ228" s="10">
        <f>MAX($BI228-积分赛!$C$7,0)*$BC$10/30</f>
        <v>626666.66666666663</v>
      </c>
      <c r="BK228" s="10">
        <f>MAX($BI228-积分赛!$C$7,0)*$BC$10/30</f>
        <v>626666.66666666663</v>
      </c>
      <c r="BL228" s="10">
        <f>MAX($BI228-积分赛!$C$7,0)*$BC$10/30</f>
        <v>626666.66666666663</v>
      </c>
      <c r="BM228" s="10">
        <f>MAX($BI228-积分赛!$C$7,0)*$BC$10/30</f>
        <v>626666.66666666663</v>
      </c>
      <c r="BN228" s="10">
        <f>MAX($BI228-积分赛!$C$7,0)*$BC$10/30</f>
        <v>626666.66666666663</v>
      </c>
    </row>
    <row r="229" spans="26:66" x14ac:dyDescent="0.15">
      <c r="Z229" s="10">
        <v>219</v>
      </c>
      <c r="AA229" s="10">
        <f>IFERROR(MAX($Z229-积分赛!$C$7,0)*INDEX($U$7:$U$14,MATCH(AA$10,$T$7:$T$14,0))/30,0)</f>
        <v>0</v>
      </c>
      <c r="AB229" s="10">
        <f>IFERROR(MAX($Z229-积分赛!$C$7,0)*INDEX($U$7:$U$14,MATCH(AB$10,$T$7:$T$14,0))/30,0)</f>
        <v>0</v>
      </c>
      <c r="AC229" s="10">
        <f>IFERROR(MAX($Z229-积分赛!$C$7,0)*INDEX($U$7:$U$14,MATCH(AC$10,$T$7:$T$14,0))/30,0)</f>
        <v>0</v>
      </c>
      <c r="AD229" s="10">
        <f>IFERROR(MAX($Z229-积分赛!$C$7,0)*INDEX($U$7:$U$14,MATCH(AD$10,$T$7:$T$14,0))/30,0)</f>
        <v>504000</v>
      </c>
      <c r="AE229" s="10">
        <f>IFERROR(MAX($Z229-积分赛!$C$7,0)*INDEX($U$7:$U$14,MATCH(AE$10,$T$7:$T$14,0))/30,0)</f>
        <v>6300000</v>
      </c>
      <c r="AF229" s="10">
        <f>MAX($Z229-积分赛!$C$7,0)*(IFERROR(INDEX($W$7:$W$14,MATCH(AF$10,$T$7:$T$14,0)),0)*$T$20+IFERROR(INDEX($X$7:$X$14,MATCH(AF$10,$T$7:$T$14,0)),0)*$T$21)/30</f>
        <v>0</v>
      </c>
      <c r="AG229" s="10">
        <f>MAX($Z229-积分赛!$C$7,0)*(IFERROR(INDEX($W$7:$W$14,MATCH(AG$10,$T$7:$T$14,0)),0)*$T$20+IFERROR(INDEX($X$7:$X$14,MATCH(AG$10,$T$7:$T$14,0)),0)*$T$21)/30</f>
        <v>0</v>
      </c>
      <c r="AH229" s="10">
        <f>MAX($Z229-积分赛!$C$7,0)*(IFERROR(INDEX($W$7:$W$14,MATCH(AH$10,$T$7:$T$14,0)),0)*$T$20+IFERROR(INDEX($X$7:$X$14,MATCH(AH$10,$T$7:$T$14,0)),0)*$T$21)/30</f>
        <v>0</v>
      </c>
      <c r="AI229" s="10">
        <f>MAX($Z229-积分赛!$C$7,0)*(IFERROR(INDEX($W$7:$W$14,MATCH(AI$10,$T$7:$T$14,0)),0)*$T$20+IFERROR(INDEX($X$7:$X$14,MATCH(AI$10,$T$7:$T$14,0)),0)*$T$21)/30</f>
        <v>19246.5</v>
      </c>
      <c r="AJ229" s="10">
        <f>MAX($Z229-积分赛!$C$7,0)*(IFERROR(INDEX($W$7:$W$14,MATCH(AJ$10,$T$7:$T$14,0)),0)*$T$20+IFERROR(INDEX($X$7:$X$14,MATCH(AJ$10,$T$7:$T$14,0)),0)*$T$21)/30</f>
        <v>115479</v>
      </c>
      <c r="BI229" s="10">
        <v>219</v>
      </c>
      <c r="BJ229" s="10">
        <f>MAX($BI229-积分赛!$C$7,0)*$BC$10/30</f>
        <v>630000</v>
      </c>
      <c r="BK229" s="10">
        <f>MAX($BI229-积分赛!$C$7,0)*$BC$10/30</f>
        <v>630000</v>
      </c>
      <c r="BL229" s="10">
        <f>MAX($BI229-积分赛!$C$7,0)*$BC$10/30</f>
        <v>630000</v>
      </c>
      <c r="BM229" s="10">
        <f>MAX($BI229-积分赛!$C$7,0)*$BC$10/30</f>
        <v>630000</v>
      </c>
      <c r="BN229" s="10">
        <f>MAX($BI229-积分赛!$C$7,0)*$BC$10/30</f>
        <v>630000</v>
      </c>
    </row>
    <row r="230" spans="26:66" x14ac:dyDescent="0.15">
      <c r="Z230" s="10">
        <v>220</v>
      </c>
      <c r="AA230" s="10">
        <f>IFERROR(MAX($Z230-积分赛!$C$7,0)*INDEX($U$7:$U$14,MATCH(AA$10,$T$7:$T$14,0))/30,0)</f>
        <v>0</v>
      </c>
      <c r="AB230" s="10">
        <f>IFERROR(MAX($Z230-积分赛!$C$7,0)*INDEX($U$7:$U$14,MATCH(AB$10,$T$7:$T$14,0))/30,0)</f>
        <v>0</v>
      </c>
      <c r="AC230" s="10">
        <f>IFERROR(MAX($Z230-积分赛!$C$7,0)*INDEX($U$7:$U$14,MATCH(AC$10,$T$7:$T$14,0))/30,0)</f>
        <v>0</v>
      </c>
      <c r="AD230" s="10">
        <f>IFERROR(MAX($Z230-积分赛!$C$7,0)*INDEX($U$7:$U$14,MATCH(AD$10,$T$7:$T$14,0))/30,0)</f>
        <v>506666.66666666669</v>
      </c>
      <c r="AE230" s="10">
        <f>IFERROR(MAX($Z230-积分赛!$C$7,0)*INDEX($U$7:$U$14,MATCH(AE$10,$T$7:$T$14,0))/30,0)</f>
        <v>6333333.333333333</v>
      </c>
      <c r="AF230" s="10">
        <f>MAX($Z230-积分赛!$C$7,0)*(IFERROR(INDEX($W$7:$W$14,MATCH(AF$10,$T$7:$T$14,0)),0)*$T$20+IFERROR(INDEX($X$7:$X$14,MATCH(AF$10,$T$7:$T$14,0)),0)*$T$21)/30</f>
        <v>0</v>
      </c>
      <c r="AG230" s="10">
        <f>MAX($Z230-积分赛!$C$7,0)*(IFERROR(INDEX($W$7:$W$14,MATCH(AG$10,$T$7:$T$14,0)),0)*$T$20+IFERROR(INDEX($X$7:$X$14,MATCH(AG$10,$T$7:$T$14,0)),0)*$T$21)/30</f>
        <v>0</v>
      </c>
      <c r="AH230" s="10">
        <f>MAX($Z230-积分赛!$C$7,0)*(IFERROR(INDEX($W$7:$W$14,MATCH(AH$10,$T$7:$T$14,0)),0)*$T$20+IFERROR(INDEX($X$7:$X$14,MATCH(AH$10,$T$7:$T$14,0)),0)*$T$21)/30</f>
        <v>0</v>
      </c>
      <c r="AI230" s="10">
        <f>MAX($Z230-积分赛!$C$7,0)*(IFERROR(INDEX($W$7:$W$14,MATCH(AI$10,$T$7:$T$14,0)),0)*$T$20+IFERROR(INDEX($X$7:$X$14,MATCH(AI$10,$T$7:$T$14,0)),0)*$T$21)/30</f>
        <v>19348.333333333332</v>
      </c>
      <c r="AJ230" s="10">
        <f>MAX($Z230-积分赛!$C$7,0)*(IFERROR(INDEX($W$7:$W$14,MATCH(AJ$10,$T$7:$T$14,0)),0)*$T$20+IFERROR(INDEX($X$7:$X$14,MATCH(AJ$10,$T$7:$T$14,0)),0)*$T$21)/30</f>
        <v>116090</v>
      </c>
      <c r="BI230" s="10">
        <v>220</v>
      </c>
      <c r="BJ230" s="10">
        <f>MAX($BI230-积分赛!$C$7,0)*$BC$10/30</f>
        <v>633333.33333333337</v>
      </c>
      <c r="BK230" s="10">
        <f>MAX($BI230-积分赛!$C$7,0)*$BC$10/30</f>
        <v>633333.33333333337</v>
      </c>
      <c r="BL230" s="10">
        <f>MAX($BI230-积分赛!$C$7,0)*$BC$10/30</f>
        <v>633333.33333333337</v>
      </c>
      <c r="BM230" s="10">
        <f>MAX($BI230-积分赛!$C$7,0)*$BC$10/30</f>
        <v>633333.33333333337</v>
      </c>
      <c r="BN230" s="10">
        <f>MAX($BI230-积分赛!$C$7,0)*$BC$10/30</f>
        <v>633333.33333333337</v>
      </c>
    </row>
    <row r="231" spans="26:66" x14ac:dyDescent="0.15">
      <c r="Z231" s="10">
        <v>221</v>
      </c>
      <c r="AA231" s="10">
        <f>IFERROR(MAX($Z231-积分赛!$C$7,0)*INDEX($U$7:$U$14,MATCH(AA$10,$T$7:$T$14,0))/30,0)</f>
        <v>0</v>
      </c>
      <c r="AB231" s="10">
        <f>IFERROR(MAX($Z231-积分赛!$C$7,0)*INDEX($U$7:$U$14,MATCH(AB$10,$T$7:$T$14,0))/30,0)</f>
        <v>0</v>
      </c>
      <c r="AC231" s="10">
        <f>IFERROR(MAX($Z231-积分赛!$C$7,0)*INDEX($U$7:$U$14,MATCH(AC$10,$T$7:$T$14,0))/30,0)</f>
        <v>0</v>
      </c>
      <c r="AD231" s="10">
        <f>IFERROR(MAX($Z231-积分赛!$C$7,0)*INDEX($U$7:$U$14,MATCH(AD$10,$T$7:$T$14,0))/30,0)</f>
        <v>509333.33333333331</v>
      </c>
      <c r="AE231" s="10">
        <f>IFERROR(MAX($Z231-积分赛!$C$7,0)*INDEX($U$7:$U$14,MATCH(AE$10,$T$7:$T$14,0))/30,0)</f>
        <v>6366666.666666667</v>
      </c>
      <c r="AF231" s="10">
        <f>MAX($Z231-积分赛!$C$7,0)*(IFERROR(INDEX($W$7:$W$14,MATCH(AF$10,$T$7:$T$14,0)),0)*$T$20+IFERROR(INDEX($X$7:$X$14,MATCH(AF$10,$T$7:$T$14,0)),0)*$T$21)/30</f>
        <v>0</v>
      </c>
      <c r="AG231" s="10">
        <f>MAX($Z231-积分赛!$C$7,0)*(IFERROR(INDEX($W$7:$W$14,MATCH(AG$10,$T$7:$T$14,0)),0)*$T$20+IFERROR(INDEX($X$7:$X$14,MATCH(AG$10,$T$7:$T$14,0)),0)*$T$21)/30</f>
        <v>0</v>
      </c>
      <c r="AH231" s="10">
        <f>MAX($Z231-积分赛!$C$7,0)*(IFERROR(INDEX($W$7:$W$14,MATCH(AH$10,$T$7:$T$14,0)),0)*$T$20+IFERROR(INDEX($X$7:$X$14,MATCH(AH$10,$T$7:$T$14,0)),0)*$T$21)/30</f>
        <v>0</v>
      </c>
      <c r="AI231" s="10">
        <f>MAX($Z231-积分赛!$C$7,0)*(IFERROR(INDEX($W$7:$W$14,MATCH(AI$10,$T$7:$T$14,0)),0)*$T$20+IFERROR(INDEX($X$7:$X$14,MATCH(AI$10,$T$7:$T$14,0)),0)*$T$21)/30</f>
        <v>19450.166666666668</v>
      </c>
      <c r="AJ231" s="10">
        <f>MAX($Z231-积分赛!$C$7,0)*(IFERROR(INDEX($W$7:$W$14,MATCH(AJ$10,$T$7:$T$14,0)),0)*$T$20+IFERROR(INDEX($X$7:$X$14,MATCH(AJ$10,$T$7:$T$14,0)),0)*$T$21)/30</f>
        <v>116701</v>
      </c>
      <c r="BI231" s="10">
        <v>221</v>
      </c>
      <c r="BJ231" s="10">
        <f>MAX($BI231-积分赛!$C$7,0)*$BC$10/30</f>
        <v>636666.66666666663</v>
      </c>
      <c r="BK231" s="10">
        <f>MAX($BI231-积分赛!$C$7,0)*$BC$10/30</f>
        <v>636666.66666666663</v>
      </c>
      <c r="BL231" s="10">
        <f>MAX($BI231-积分赛!$C$7,0)*$BC$10/30</f>
        <v>636666.66666666663</v>
      </c>
      <c r="BM231" s="10">
        <f>MAX($BI231-积分赛!$C$7,0)*$BC$10/30</f>
        <v>636666.66666666663</v>
      </c>
      <c r="BN231" s="10">
        <f>MAX($BI231-积分赛!$C$7,0)*$BC$10/30</f>
        <v>636666.66666666663</v>
      </c>
    </row>
    <row r="232" spans="26:66" x14ac:dyDescent="0.15">
      <c r="Z232" s="10">
        <v>222</v>
      </c>
      <c r="AA232" s="10">
        <f>IFERROR(MAX($Z232-积分赛!$C$7,0)*INDEX($U$7:$U$14,MATCH(AA$10,$T$7:$T$14,0))/30,0)</f>
        <v>0</v>
      </c>
      <c r="AB232" s="10">
        <f>IFERROR(MAX($Z232-积分赛!$C$7,0)*INDEX($U$7:$U$14,MATCH(AB$10,$T$7:$T$14,0))/30,0)</f>
        <v>0</v>
      </c>
      <c r="AC232" s="10">
        <f>IFERROR(MAX($Z232-积分赛!$C$7,0)*INDEX($U$7:$U$14,MATCH(AC$10,$T$7:$T$14,0))/30,0)</f>
        <v>0</v>
      </c>
      <c r="AD232" s="10">
        <f>IFERROR(MAX($Z232-积分赛!$C$7,0)*INDEX($U$7:$U$14,MATCH(AD$10,$T$7:$T$14,0))/30,0)</f>
        <v>512000</v>
      </c>
      <c r="AE232" s="10">
        <f>IFERROR(MAX($Z232-积分赛!$C$7,0)*INDEX($U$7:$U$14,MATCH(AE$10,$T$7:$T$14,0))/30,0)</f>
        <v>6400000</v>
      </c>
      <c r="AF232" s="10">
        <f>MAX($Z232-积分赛!$C$7,0)*(IFERROR(INDEX($W$7:$W$14,MATCH(AF$10,$T$7:$T$14,0)),0)*$T$20+IFERROR(INDEX($X$7:$X$14,MATCH(AF$10,$T$7:$T$14,0)),0)*$T$21)/30</f>
        <v>0</v>
      </c>
      <c r="AG232" s="10">
        <f>MAX($Z232-积分赛!$C$7,0)*(IFERROR(INDEX($W$7:$W$14,MATCH(AG$10,$T$7:$T$14,0)),0)*$T$20+IFERROR(INDEX($X$7:$X$14,MATCH(AG$10,$T$7:$T$14,0)),0)*$T$21)/30</f>
        <v>0</v>
      </c>
      <c r="AH232" s="10">
        <f>MAX($Z232-积分赛!$C$7,0)*(IFERROR(INDEX($W$7:$W$14,MATCH(AH$10,$T$7:$T$14,0)),0)*$T$20+IFERROR(INDEX($X$7:$X$14,MATCH(AH$10,$T$7:$T$14,0)),0)*$T$21)/30</f>
        <v>0</v>
      </c>
      <c r="AI232" s="10">
        <f>MAX($Z232-积分赛!$C$7,0)*(IFERROR(INDEX($W$7:$W$14,MATCH(AI$10,$T$7:$T$14,0)),0)*$T$20+IFERROR(INDEX($X$7:$X$14,MATCH(AI$10,$T$7:$T$14,0)),0)*$T$21)/30</f>
        <v>19552</v>
      </c>
      <c r="AJ232" s="10">
        <f>MAX($Z232-积分赛!$C$7,0)*(IFERROR(INDEX($W$7:$W$14,MATCH(AJ$10,$T$7:$T$14,0)),0)*$T$20+IFERROR(INDEX($X$7:$X$14,MATCH(AJ$10,$T$7:$T$14,0)),0)*$T$21)/30</f>
        <v>117312</v>
      </c>
      <c r="BI232" s="10">
        <v>222</v>
      </c>
      <c r="BJ232" s="10">
        <f>MAX($BI232-积分赛!$C$7,0)*$BC$10/30</f>
        <v>640000</v>
      </c>
      <c r="BK232" s="10">
        <f>MAX($BI232-积分赛!$C$7,0)*$BC$10/30</f>
        <v>640000</v>
      </c>
      <c r="BL232" s="10">
        <f>MAX($BI232-积分赛!$C$7,0)*$BC$10/30</f>
        <v>640000</v>
      </c>
      <c r="BM232" s="10">
        <f>MAX($BI232-积分赛!$C$7,0)*$BC$10/30</f>
        <v>640000</v>
      </c>
      <c r="BN232" s="10">
        <f>MAX($BI232-积分赛!$C$7,0)*$BC$10/30</f>
        <v>640000</v>
      </c>
    </row>
    <row r="233" spans="26:66" x14ac:dyDescent="0.15">
      <c r="Z233" s="10">
        <v>223</v>
      </c>
      <c r="AA233" s="10">
        <f>IFERROR(MAX($Z233-积分赛!$C$7,0)*INDEX($U$7:$U$14,MATCH(AA$10,$T$7:$T$14,0))/30,0)</f>
        <v>0</v>
      </c>
      <c r="AB233" s="10">
        <f>IFERROR(MAX($Z233-积分赛!$C$7,0)*INDEX($U$7:$U$14,MATCH(AB$10,$T$7:$T$14,0))/30,0)</f>
        <v>0</v>
      </c>
      <c r="AC233" s="10">
        <f>IFERROR(MAX($Z233-积分赛!$C$7,0)*INDEX($U$7:$U$14,MATCH(AC$10,$T$7:$T$14,0))/30,0)</f>
        <v>0</v>
      </c>
      <c r="AD233" s="10">
        <f>IFERROR(MAX($Z233-积分赛!$C$7,0)*INDEX($U$7:$U$14,MATCH(AD$10,$T$7:$T$14,0))/30,0)</f>
        <v>514666.66666666669</v>
      </c>
      <c r="AE233" s="10">
        <f>IFERROR(MAX($Z233-积分赛!$C$7,0)*INDEX($U$7:$U$14,MATCH(AE$10,$T$7:$T$14,0))/30,0)</f>
        <v>6433333.333333333</v>
      </c>
      <c r="AF233" s="10">
        <f>MAX($Z233-积分赛!$C$7,0)*(IFERROR(INDEX($W$7:$W$14,MATCH(AF$10,$T$7:$T$14,0)),0)*$T$20+IFERROR(INDEX($X$7:$X$14,MATCH(AF$10,$T$7:$T$14,0)),0)*$T$21)/30</f>
        <v>0</v>
      </c>
      <c r="AG233" s="10">
        <f>MAX($Z233-积分赛!$C$7,0)*(IFERROR(INDEX($W$7:$W$14,MATCH(AG$10,$T$7:$T$14,0)),0)*$T$20+IFERROR(INDEX($X$7:$X$14,MATCH(AG$10,$T$7:$T$14,0)),0)*$T$21)/30</f>
        <v>0</v>
      </c>
      <c r="AH233" s="10">
        <f>MAX($Z233-积分赛!$C$7,0)*(IFERROR(INDEX($W$7:$W$14,MATCH(AH$10,$T$7:$T$14,0)),0)*$T$20+IFERROR(INDEX($X$7:$X$14,MATCH(AH$10,$T$7:$T$14,0)),0)*$T$21)/30</f>
        <v>0</v>
      </c>
      <c r="AI233" s="10">
        <f>MAX($Z233-积分赛!$C$7,0)*(IFERROR(INDEX($W$7:$W$14,MATCH(AI$10,$T$7:$T$14,0)),0)*$T$20+IFERROR(INDEX($X$7:$X$14,MATCH(AI$10,$T$7:$T$14,0)),0)*$T$21)/30</f>
        <v>19653.833333333332</v>
      </c>
      <c r="AJ233" s="10">
        <f>MAX($Z233-积分赛!$C$7,0)*(IFERROR(INDEX($W$7:$W$14,MATCH(AJ$10,$T$7:$T$14,0)),0)*$T$20+IFERROR(INDEX($X$7:$X$14,MATCH(AJ$10,$T$7:$T$14,0)),0)*$T$21)/30</f>
        <v>117923</v>
      </c>
      <c r="BI233" s="10">
        <v>223</v>
      </c>
      <c r="BJ233" s="10">
        <f>MAX($BI233-积分赛!$C$7,0)*$BC$10/30</f>
        <v>643333.33333333337</v>
      </c>
      <c r="BK233" s="10">
        <f>MAX($BI233-积分赛!$C$7,0)*$BC$10/30</f>
        <v>643333.33333333337</v>
      </c>
      <c r="BL233" s="10">
        <f>MAX($BI233-积分赛!$C$7,0)*$BC$10/30</f>
        <v>643333.33333333337</v>
      </c>
      <c r="BM233" s="10">
        <f>MAX($BI233-积分赛!$C$7,0)*$BC$10/30</f>
        <v>643333.33333333337</v>
      </c>
      <c r="BN233" s="10">
        <f>MAX($BI233-积分赛!$C$7,0)*$BC$10/30</f>
        <v>643333.33333333337</v>
      </c>
    </row>
    <row r="234" spans="26:66" x14ac:dyDescent="0.15">
      <c r="Z234" s="10">
        <v>224</v>
      </c>
      <c r="AA234" s="10">
        <f>IFERROR(MAX($Z234-积分赛!$C$7,0)*INDEX($U$7:$U$14,MATCH(AA$10,$T$7:$T$14,0))/30,0)</f>
        <v>0</v>
      </c>
      <c r="AB234" s="10">
        <f>IFERROR(MAX($Z234-积分赛!$C$7,0)*INDEX($U$7:$U$14,MATCH(AB$10,$T$7:$T$14,0))/30,0)</f>
        <v>0</v>
      </c>
      <c r="AC234" s="10">
        <f>IFERROR(MAX($Z234-积分赛!$C$7,0)*INDEX($U$7:$U$14,MATCH(AC$10,$T$7:$T$14,0))/30,0)</f>
        <v>0</v>
      </c>
      <c r="AD234" s="10">
        <f>IFERROR(MAX($Z234-积分赛!$C$7,0)*INDEX($U$7:$U$14,MATCH(AD$10,$T$7:$T$14,0))/30,0)</f>
        <v>517333.33333333331</v>
      </c>
      <c r="AE234" s="10">
        <f>IFERROR(MAX($Z234-积分赛!$C$7,0)*INDEX($U$7:$U$14,MATCH(AE$10,$T$7:$T$14,0))/30,0)</f>
        <v>6466666.666666667</v>
      </c>
      <c r="AF234" s="10">
        <f>MAX($Z234-积分赛!$C$7,0)*(IFERROR(INDEX($W$7:$W$14,MATCH(AF$10,$T$7:$T$14,0)),0)*$T$20+IFERROR(INDEX($X$7:$X$14,MATCH(AF$10,$T$7:$T$14,0)),0)*$T$21)/30</f>
        <v>0</v>
      </c>
      <c r="AG234" s="10">
        <f>MAX($Z234-积分赛!$C$7,0)*(IFERROR(INDEX($W$7:$W$14,MATCH(AG$10,$T$7:$T$14,0)),0)*$T$20+IFERROR(INDEX($X$7:$X$14,MATCH(AG$10,$T$7:$T$14,0)),0)*$T$21)/30</f>
        <v>0</v>
      </c>
      <c r="AH234" s="10">
        <f>MAX($Z234-积分赛!$C$7,0)*(IFERROR(INDEX($W$7:$W$14,MATCH(AH$10,$T$7:$T$14,0)),0)*$T$20+IFERROR(INDEX($X$7:$X$14,MATCH(AH$10,$T$7:$T$14,0)),0)*$T$21)/30</f>
        <v>0</v>
      </c>
      <c r="AI234" s="10">
        <f>MAX($Z234-积分赛!$C$7,0)*(IFERROR(INDEX($W$7:$W$14,MATCH(AI$10,$T$7:$T$14,0)),0)*$T$20+IFERROR(INDEX($X$7:$X$14,MATCH(AI$10,$T$7:$T$14,0)),0)*$T$21)/30</f>
        <v>19755.666666666668</v>
      </c>
      <c r="AJ234" s="10">
        <f>MAX($Z234-积分赛!$C$7,0)*(IFERROR(INDEX($W$7:$W$14,MATCH(AJ$10,$T$7:$T$14,0)),0)*$T$20+IFERROR(INDEX($X$7:$X$14,MATCH(AJ$10,$T$7:$T$14,0)),0)*$T$21)/30</f>
        <v>118534</v>
      </c>
      <c r="BI234" s="10">
        <v>224</v>
      </c>
      <c r="BJ234" s="10">
        <f>MAX($BI234-积分赛!$C$7,0)*$BC$10/30</f>
        <v>646666.66666666663</v>
      </c>
      <c r="BK234" s="10">
        <f>MAX($BI234-积分赛!$C$7,0)*$BC$10/30</f>
        <v>646666.66666666663</v>
      </c>
      <c r="BL234" s="10">
        <f>MAX($BI234-积分赛!$C$7,0)*$BC$10/30</f>
        <v>646666.66666666663</v>
      </c>
      <c r="BM234" s="10">
        <f>MAX($BI234-积分赛!$C$7,0)*$BC$10/30</f>
        <v>646666.66666666663</v>
      </c>
      <c r="BN234" s="10">
        <f>MAX($BI234-积分赛!$C$7,0)*$BC$10/30</f>
        <v>646666.66666666663</v>
      </c>
    </row>
    <row r="235" spans="26:66" x14ac:dyDescent="0.15">
      <c r="Z235" s="10">
        <v>225</v>
      </c>
      <c r="AA235" s="10">
        <f>IFERROR(MAX($Z235-积分赛!$C$7,0)*INDEX($U$7:$U$14,MATCH(AA$10,$T$7:$T$14,0))/30,0)</f>
        <v>0</v>
      </c>
      <c r="AB235" s="10">
        <f>IFERROR(MAX($Z235-积分赛!$C$7,0)*INDEX($U$7:$U$14,MATCH(AB$10,$T$7:$T$14,0))/30,0)</f>
        <v>0</v>
      </c>
      <c r="AC235" s="10">
        <f>IFERROR(MAX($Z235-积分赛!$C$7,0)*INDEX($U$7:$U$14,MATCH(AC$10,$T$7:$T$14,0))/30,0)</f>
        <v>0</v>
      </c>
      <c r="AD235" s="10">
        <f>IFERROR(MAX($Z235-积分赛!$C$7,0)*INDEX($U$7:$U$14,MATCH(AD$10,$T$7:$T$14,0))/30,0)</f>
        <v>520000</v>
      </c>
      <c r="AE235" s="10">
        <f>IFERROR(MAX($Z235-积分赛!$C$7,0)*INDEX($U$7:$U$14,MATCH(AE$10,$T$7:$T$14,0))/30,0)</f>
        <v>6500000</v>
      </c>
      <c r="AF235" s="10">
        <f>MAX($Z235-积分赛!$C$7,0)*(IFERROR(INDEX($W$7:$W$14,MATCH(AF$10,$T$7:$T$14,0)),0)*$T$20+IFERROR(INDEX($X$7:$X$14,MATCH(AF$10,$T$7:$T$14,0)),0)*$T$21)/30</f>
        <v>0</v>
      </c>
      <c r="AG235" s="10">
        <f>MAX($Z235-积分赛!$C$7,0)*(IFERROR(INDEX($W$7:$W$14,MATCH(AG$10,$T$7:$T$14,0)),0)*$T$20+IFERROR(INDEX($X$7:$X$14,MATCH(AG$10,$T$7:$T$14,0)),0)*$T$21)/30</f>
        <v>0</v>
      </c>
      <c r="AH235" s="10">
        <f>MAX($Z235-积分赛!$C$7,0)*(IFERROR(INDEX($W$7:$W$14,MATCH(AH$10,$T$7:$T$14,0)),0)*$T$20+IFERROR(INDEX($X$7:$X$14,MATCH(AH$10,$T$7:$T$14,0)),0)*$T$21)/30</f>
        <v>0</v>
      </c>
      <c r="AI235" s="10">
        <f>MAX($Z235-积分赛!$C$7,0)*(IFERROR(INDEX($W$7:$W$14,MATCH(AI$10,$T$7:$T$14,0)),0)*$T$20+IFERROR(INDEX($X$7:$X$14,MATCH(AI$10,$T$7:$T$14,0)),0)*$T$21)/30</f>
        <v>19857.5</v>
      </c>
      <c r="AJ235" s="10">
        <f>MAX($Z235-积分赛!$C$7,0)*(IFERROR(INDEX($W$7:$W$14,MATCH(AJ$10,$T$7:$T$14,0)),0)*$T$20+IFERROR(INDEX($X$7:$X$14,MATCH(AJ$10,$T$7:$T$14,0)),0)*$T$21)/30</f>
        <v>119145</v>
      </c>
      <c r="BI235" s="10">
        <v>225</v>
      </c>
      <c r="BJ235" s="10">
        <f>MAX($BI235-积分赛!$C$7,0)*$BC$10/30</f>
        <v>650000</v>
      </c>
      <c r="BK235" s="10">
        <f>MAX($BI235-积分赛!$C$7,0)*$BC$10/30</f>
        <v>650000</v>
      </c>
      <c r="BL235" s="10">
        <f>MAX($BI235-积分赛!$C$7,0)*$BC$10/30</f>
        <v>650000</v>
      </c>
      <c r="BM235" s="10">
        <f>MAX($BI235-积分赛!$C$7,0)*$BC$10/30</f>
        <v>650000</v>
      </c>
      <c r="BN235" s="10">
        <f>MAX($BI235-积分赛!$C$7,0)*$BC$10/30</f>
        <v>650000</v>
      </c>
    </row>
    <row r="236" spans="26:66" x14ac:dyDescent="0.15">
      <c r="Z236" s="10">
        <v>226</v>
      </c>
      <c r="AA236" s="10">
        <f>IFERROR(MAX($Z236-积分赛!$C$7,0)*INDEX($U$7:$U$14,MATCH(AA$10,$T$7:$T$14,0))/30,0)</f>
        <v>0</v>
      </c>
      <c r="AB236" s="10">
        <f>IFERROR(MAX($Z236-积分赛!$C$7,0)*INDEX($U$7:$U$14,MATCH(AB$10,$T$7:$T$14,0))/30,0)</f>
        <v>0</v>
      </c>
      <c r="AC236" s="10">
        <f>IFERROR(MAX($Z236-积分赛!$C$7,0)*INDEX($U$7:$U$14,MATCH(AC$10,$T$7:$T$14,0))/30,0)</f>
        <v>0</v>
      </c>
      <c r="AD236" s="10">
        <f>IFERROR(MAX($Z236-积分赛!$C$7,0)*INDEX($U$7:$U$14,MATCH(AD$10,$T$7:$T$14,0))/30,0)</f>
        <v>522666.66666666669</v>
      </c>
      <c r="AE236" s="10">
        <f>IFERROR(MAX($Z236-积分赛!$C$7,0)*INDEX($U$7:$U$14,MATCH(AE$10,$T$7:$T$14,0))/30,0)</f>
        <v>6533333.333333333</v>
      </c>
      <c r="AF236" s="10">
        <f>MAX($Z236-积分赛!$C$7,0)*(IFERROR(INDEX($W$7:$W$14,MATCH(AF$10,$T$7:$T$14,0)),0)*$T$20+IFERROR(INDEX($X$7:$X$14,MATCH(AF$10,$T$7:$T$14,0)),0)*$T$21)/30</f>
        <v>0</v>
      </c>
      <c r="AG236" s="10">
        <f>MAX($Z236-积分赛!$C$7,0)*(IFERROR(INDEX($W$7:$W$14,MATCH(AG$10,$T$7:$T$14,0)),0)*$T$20+IFERROR(INDEX($X$7:$X$14,MATCH(AG$10,$T$7:$T$14,0)),0)*$T$21)/30</f>
        <v>0</v>
      </c>
      <c r="AH236" s="10">
        <f>MAX($Z236-积分赛!$C$7,0)*(IFERROR(INDEX($W$7:$W$14,MATCH(AH$10,$T$7:$T$14,0)),0)*$T$20+IFERROR(INDEX($X$7:$X$14,MATCH(AH$10,$T$7:$T$14,0)),0)*$T$21)/30</f>
        <v>0</v>
      </c>
      <c r="AI236" s="10">
        <f>MAX($Z236-积分赛!$C$7,0)*(IFERROR(INDEX($W$7:$W$14,MATCH(AI$10,$T$7:$T$14,0)),0)*$T$20+IFERROR(INDEX($X$7:$X$14,MATCH(AI$10,$T$7:$T$14,0)),0)*$T$21)/30</f>
        <v>19959.333333333332</v>
      </c>
      <c r="AJ236" s="10">
        <f>MAX($Z236-积分赛!$C$7,0)*(IFERROR(INDEX($W$7:$W$14,MATCH(AJ$10,$T$7:$T$14,0)),0)*$T$20+IFERROR(INDEX($X$7:$X$14,MATCH(AJ$10,$T$7:$T$14,0)),0)*$T$21)/30</f>
        <v>119756</v>
      </c>
      <c r="BI236" s="10">
        <v>226</v>
      </c>
      <c r="BJ236" s="10">
        <f>MAX($BI236-积分赛!$C$7,0)*$BC$10/30</f>
        <v>653333.33333333337</v>
      </c>
      <c r="BK236" s="10">
        <f>MAX($BI236-积分赛!$C$7,0)*$BC$10/30</f>
        <v>653333.33333333337</v>
      </c>
      <c r="BL236" s="10">
        <f>MAX($BI236-积分赛!$C$7,0)*$BC$10/30</f>
        <v>653333.33333333337</v>
      </c>
      <c r="BM236" s="10">
        <f>MAX($BI236-积分赛!$C$7,0)*$BC$10/30</f>
        <v>653333.33333333337</v>
      </c>
      <c r="BN236" s="10">
        <f>MAX($BI236-积分赛!$C$7,0)*$BC$10/30</f>
        <v>653333.33333333337</v>
      </c>
    </row>
    <row r="237" spans="26:66" x14ac:dyDescent="0.15">
      <c r="Z237" s="10">
        <v>227</v>
      </c>
      <c r="AA237" s="10">
        <f>IFERROR(MAX($Z237-积分赛!$C$7,0)*INDEX($U$7:$U$14,MATCH(AA$10,$T$7:$T$14,0))/30,0)</f>
        <v>0</v>
      </c>
      <c r="AB237" s="10">
        <f>IFERROR(MAX($Z237-积分赛!$C$7,0)*INDEX($U$7:$U$14,MATCH(AB$10,$T$7:$T$14,0))/30,0)</f>
        <v>0</v>
      </c>
      <c r="AC237" s="10">
        <f>IFERROR(MAX($Z237-积分赛!$C$7,0)*INDEX($U$7:$U$14,MATCH(AC$10,$T$7:$T$14,0))/30,0)</f>
        <v>0</v>
      </c>
      <c r="AD237" s="10">
        <f>IFERROR(MAX($Z237-积分赛!$C$7,0)*INDEX($U$7:$U$14,MATCH(AD$10,$T$7:$T$14,0))/30,0)</f>
        <v>525333.33333333337</v>
      </c>
      <c r="AE237" s="10">
        <f>IFERROR(MAX($Z237-积分赛!$C$7,0)*INDEX($U$7:$U$14,MATCH(AE$10,$T$7:$T$14,0))/30,0)</f>
        <v>6566666.666666667</v>
      </c>
      <c r="AF237" s="10">
        <f>MAX($Z237-积分赛!$C$7,0)*(IFERROR(INDEX($W$7:$W$14,MATCH(AF$10,$T$7:$T$14,0)),0)*$T$20+IFERROR(INDEX($X$7:$X$14,MATCH(AF$10,$T$7:$T$14,0)),0)*$T$21)/30</f>
        <v>0</v>
      </c>
      <c r="AG237" s="10">
        <f>MAX($Z237-积分赛!$C$7,0)*(IFERROR(INDEX($W$7:$W$14,MATCH(AG$10,$T$7:$T$14,0)),0)*$T$20+IFERROR(INDEX($X$7:$X$14,MATCH(AG$10,$T$7:$T$14,0)),0)*$T$21)/30</f>
        <v>0</v>
      </c>
      <c r="AH237" s="10">
        <f>MAX($Z237-积分赛!$C$7,0)*(IFERROR(INDEX($W$7:$W$14,MATCH(AH$10,$T$7:$T$14,0)),0)*$T$20+IFERROR(INDEX($X$7:$X$14,MATCH(AH$10,$T$7:$T$14,0)),0)*$T$21)/30</f>
        <v>0</v>
      </c>
      <c r="AI237" s="10">
        <f>MAX($Z237-积分赛!$C$7,0)*(IFERROR(INDEX($W$7:$W$14,MATCH(AI$10,$T$7:$T$14,0)),0)*$T$20+IFERROR(INDEX($X$7:$X$14,MATCH(AI$10,$T$7:$T$14,0)),0)*$T$21)/30</f>
        <v>20061.166666666668</v>
      </c>
      <c r="AJ237" s="10">
        <f>MAX($Z237-积分赛!$C$7,0)*(IFERROR(INDEX($W$7:$W$14,MATCH(AJ$10,$T$7:$T$14,0)),0)*$T$20+IFERROR(INDEX($X$7:$X$14,MATCH(AJ$10,$T$7:$T$14,0)),0)*$T$21)/30</f>
        <v>120367</v>
      </c>
      <c r="BI237" s="10">
        <v>227</v>
      </c>
      <c r="BJ237" s="10">
        <f>MAX($BI237-积分赛!$C$7,0)*$BC$10/30</f>
        <v>656666.66666666663</v>
      </c>
      <c r="BK237" s="10">
        <f>MAX($BI237-积分赛!$C$7,0)*$BC$10/30</f>
        <v>656666.66666666663</v>
      </c>
      <c r="BL237" s="10">
        <f>MAX($BI237-积分赛!$C$7,0)*$BC$10/30</f>
        <v>656666.66666666663</v>
      </c>
      <c r="BM237" s="10">
        <f>MAX($BI237-积分赛!$C$7,0)*$BC$10/30</f>
        <v>656666.66666666663</v>
      </c>
      <c r="BN237" s="10">
        <f>MAX($BI237-积分赛!$C$7,0)*$BC$10/30</f>
        <v>656666.66666666663</v>
      </c>
    </row>
    <row r="238" spans="26:66" x14ac:dyDescent="0.15">
      <c r="Z238" s="10">
        <v>228</v>
      </c>
      <c r="AA238" s="10">
        <f>IFERROR(MAX($Z238-积分赛!$C$7,0)*INDEX($U$7:$U$14,MATCH(AA$10,$T$7:$T$14,0))/30,0)</f>
        <v>0</v>
      </c>
      <c r="AB238" s="10">
        <f>IFERROR(MAX($Z238-积分赛!$C$7,0)*INDEX($U$7:$U$14,MATCH(AB$10,$T$7:$T$14,0))/30,0)</f>
        <v>0</v>
      </c>
      <c r="AC238" s="10">
        <f>IFERROR(MAX($Z238-积分赛!$C$7,0)*INDEX($U$7:$U$14,MATCH(AC$10,$T$7:$T$14,0))/30,0)</f>
        <v>0</v>
      </c>
      <c r="AD238" s="10">
        <f>IFERROR(MAX($Z238-积分赛!$C$7,0)*INDEX($U$7:$U$14,MATCH(AD$10,$T$7:$T$14,0))/30,0)</f>
        <v>528000</v>
      </c>
      <c r="AE238" s="10">
        <f>IFERROR(MAX($Z238-积分赛!$C$7,0)*INDEX($U$7:$U$14,MATCH(AE$10,$T$7:$T$14,0))/30,0)</f>
        <v>6600000</v>
      </c>
      <c r="AF238" s="10">
        <f>MAX($Z238-积分赛!$C$7,0)*(IFERROR(INDEX($W$7:$W$14,MATCH(AF$10,$T$7:$T$14,0)),0)*$T$20+IFERROR(INDEX($X$7:$X$14,MATCH(AF$10,$T$7:$T$14,0)),0)*$T$21)/30</f>
        <v>0</v>
      </c>
      <c r="AG238" s="10">
        <f>MAX($Z238-积分赛!$C$7,0)*(IFERROR(INDEX($W$7:$W$14,MATCH(AG$10,$T$7:$T$14,0)),0)*$T$20+IFERROR(INDEX($X$7:$X$14,MATCH(AG$10,$T$7:$T$14,0)),0)*$T$21)/30</f>
        <v>0</v>
      </c>
      <c r="AH238" s="10">
        <f>MAX($Z238-积分赛!$C$7,0)*(IFERROR(INDEX($W$7:$W$14,MATCH(AH$10,$T$7:$T$14,0)),0)*$T$20+IFERROR(INDEX($X$7:$X$14,MATCH(AH$10,$T$7:$T$14,0)),0)*$T$21)/30</f>
        <v>0</v>
      </c>
      <c r="AI238" s="10">
        <f>MAX($Z238-积分赛!$C$7,0)*(IFERROR(INDEX($W$7:$W$14,MATCH(AI$10,$T$7:$T$14,0)),0)*$T$20+IFERROR(INDEX($X$7:$X$14,MATCH(AI$10,$T$7:$T$14,0)),0)*$T$21)/30</f>
        <v>20163</v>
      </c>
      <c r="AJ238" s="10">
        <f>MAX($Z238-积分赛!$C$7,0)*(IFERROR(INDEX($W$7:$W$14,MATCH(AJ$10,$T$7:$T$14,0)),0)*$T$20+IFERROR(INDEX($X$7:$X$14,MATCH(AJ$10,$T$7:$T$14,0)),0)*$T$21)/30</f>
        <v>120978</v>
      </c>
      <c r="BI238" s="10">
        <v>228</v>
      </c>
      <c r="BJ238" s="10">
        <f>MAX($BI238-积分赛!$C$7,0)*$BC$10/30</f>
        <v>660000</v>
      </c>
      <c r="BK238" s="10">
        <f>MAX($BI238-积分赛!$C$7,0)*$BC$10/30</f>
        <v>660000</v>
      </c>
      <c r="BL238" s="10">
        <f>MAX($BI238-积分赛!$C$7,0)*$BC$10/30</f>
        <v>660000</v>
      </c>
      <c r="BM238" s="10">
        <f>MAX($BI238-积分赛!$C$7,0)*$BC$10/30</f>
        <v>660000</v>
      </c>
      <c r="BN238" s="10">
        <f>MAX($BI238-积分赛!$C$7,0)*$BC$10/30</f>
        <v>660000</v>
      </c>
    </row>
    <row r="239" spans="26:66" x14ac:dyDescent="0.15">
      <c r="Z239" s="10">
        <v>229</v>
      </c>
      <c r="AA239" s="10">
        <f>IFERROR(MAX($Z239-积分赛!$C$7,0)*INDEX($U$7:$U$14,MATCH(AA$10,$T$7:$T$14,0))/30,0)</f>
        <v>0</v>
      </c>
      <c r="AB239" s="10">
        <f>IFERROR(MAX($Z239-积分赛!$C$7,0)*INDEX($U$7:$U$14,MATCH(AB$10,$T$7:$T$14,0))/30,0)</f>
        <v>0</v>
      </c>
      <c r="AC239" s="10">
        <f>IFERROR(MAX($Z239-积分赛!$C$7,0)*INDEX($U$7:$U$14,MATCH(AC$10,$T$7:$T$14,0))/30,0)</f>
        <v>0</v>
      </c>
      <c r="AD239" s="10">
        <f>IFERROR(MAX($Z239-积分赛!$C$7,0)*INDEX($U$7:$U$14,MATCH(AD$10,$T$7:$T$14,0))/30,0)</f>
        <v>530666.66666666663</v>
      </c>
      <c r="AE239" s="10">
        <f>IFERROR(MAX($Z239-积分赛!$C$7,0)*INDEX($U$7:$U$14,MATCH(AE$10,$T$7:$T$14,0))/30,0)</f>
        <v>6633333.333333333</v>
      </c>
      <c r="AF239" s="10">
        <f>MAX($Z239-积分赛!$C$7,0)*(IFERROR(INDEX($W$7:$W$14,MATCH(AF$10,$T$7:$T$14,0)),0)*$T$20+IFERROR(INDEX($X$7:$X$14,MATCH(AF$10,$T$7:$T$14,0)),0)*$T$21)/30</f>
        <v>0</v>
      </c>
      <c r="AG239" s="10">
        <f>MAX($Z239-积分赛!$C$7,0)*(IFERROR(INDEX($W$7:$W$14,MATCH(AG$10,$T$7:$T$14,0)),0)*$T$20+IFERROR(INDEX($X$7:$X$14,MATCH(AG$10,$T$7:$T$14,0)),0)*$T$21)/30</f>
        <v>0</v>
      </c>
      <c r="AH239" s="10">
        <f>MAX($Z239-积分赛!$C$7,0)*(IFERROR(INDEX($W$7:$W$14,MATCH(AH$10,$T$7:$T$14,0)),0)*$T$20+IFERROR(INDEX($X$7:$X$14,MATCH(AH$10,$T$7:$T$14,0)),0)*$T$21)/30</f>
        <v>0</v>
      </c>
      <c r="AI239" s="10">
        <f>MAX($Z239-积分赛!$C$7,0)*(IFERROR(INDEX($W$7:$W$14,MATCH(AI$10,$T$7:$T$14,0)),0)*$T$20+IFERROR(INDEX($X$7:$X$14,MATCH(AI$10,$T$7:$T$14,0)),0)*$T$21)/30</f>
        <v>20264.833333333332</v>
      </c>
      <c r="AJ239" s="10">
        <f>MAX($Z239-积分赛!$C$7,0)*(IFERROR(INDEX($W$7:$W$14,MATCH(AJ$10,$T$7:$T$14,0)),0)*$T$20+IFERROR(INDEX($X$7:$X$14,MATCH(AJ$10,$T$7:$T$14,0)),0)*$T$21)/30</f>
        <v>121589</v>
      </c>
      <c r="BI239" s="10">
        <v>229</v>
      </c>
      <c r="BJ239" s="10">
        <f>MAX($BI239-积分赛!$C$7,0)*$BC$10/30</f>
        <v>663333.33333333337</v>
      </c>
      <c r="BK239" s="10">
        <f>MAX($BI239-积分赛!$C$7,0)*$BC$10/30</f>
        <v>663333.33333333337</v>
      </c>
      <c r="BL239" s="10">
        <f>MAX($BI239-积分赛!$C$7,0)*$BC$10/30</f>
        <v>663333.33333333337</v>
      </c>
      <c r="BM239" s="10">
        <f>MAX($BI239-积分赛!$C$7,0)*$BC$10/30</f>
        <v>663333.33333333337</v>
      </c>
      <c r="BN239" s="10">
        <f>MAX($BI239-积分赛!$C$7,0)*$BC$10/30</f>
        <v>663333.33333333337</v>
      </c>
    </row>
    <row r="240" spans="26:66" x14ac:dyDescent="0.15">
      <c r="Z240" s="10">
        <v>230</v>
      </c>
      <c r="AA240" s="10">
        <f>IFERROR(MAX($Z240-积分赛!$C$7,0)*INDEX($U$7:$U$14,MATCH(AA$10,$T$7:$T$14,0))/30,0)</f>
        <v>0</v>
      </c>
      <c r="AB240" s="10">
        <f>IFERROR(MAX($Z240-积分赛!$C$7,0)*INDEX($U$7:$U$14,MATCH(AB$10,$T$7:$T$14,0))/30,0)</f>
        <v>0</v>
      </c>
      <c r="AC240" s="10">
        <f>IFERROR(MAX($Z240-积分赛!$C$7,0)*INDEX($U$7:$U$14,MATCH(AC$10,$T$7:$T$14,0))/30,0)</f>
        <v>0</v>
      </c>
      <c r="AD240" s="10">
        <f>IFERROR(MAX($Z240-积分赛!$C$7,0)*INDEX($U$7:$U$14,MATCH(AD$10,$T$7:$T$14,0))/30,0)</f>
        <v>533333.33333333337</v>
      </c>
      <c r="AE240" s="10">
        <f>IFERROR(MAX($Z240-积分赛!$C$7,0)*INDEX($U$7:$U$14,MATCH(AE$10,$T$7:$T$14,0))/30,0)</f>
        <v>6666666.666666667</v>
      </c>
      <c r="AF240" s="10">
        <f>MAX($Z240-积分赛!$C$7,0)*(IFERROR(INDEX($W$7:$W$14,MATCH(AF$10,$T$7:$T$14,0)),0)*$T$20+IFERROR(INDEX($X$7:$X$14,MATCH(AF$10,$T$7:$T$14,0)),0)*$T$21)/30</f>
        <v>0</v>
      </c>
      <c r="AG240" s="10">
        <f>MAX($Z240-积分赛!$C$7,0)*(IFERROR(INDEX($W$7:$W$14,MATCH(AG$10,$T$7:$T$14,0)),0)*$T$20+IFERROR(INDEX($X$7:$X$14,MATCH(AG$10,$T$7:$T$14,0)),0)*$T$21)/30</f>
        <v>0</v>
      </c>
      <c r="AH240" s="10">
        <f>MAX($Z240-积分赛!$C$7,0)*(IFERROR(INDEX($W$7:$W$14,MATCH(AH$10,$T$7:$T$14,0)),0)*$T$20+IFERROR(INDEX($X$7:$X$14,MATCH(AH$10,$T$7:$T$14,0)),0)*$T$21)/30</f>
        <v>0</v>
      </c>
      <c r="AI240" s="10">
        <f>MAX($Z240-积分赛!$C$7,0)*(IFERROR(INDEX($W$7:$W$14,MATCH(AI$10,$T$7:$T$14,0)),0)*$T$20+IFERROR(INDEX($X$7:$X$14,MATCH(AI$10,$T$7:$T$14,0)),0)*$T$21)/30</f>
        <v>20366.666666666668</v>
      </c>
      <c r="AJ240" s="10">
        <f>MAX($Z240-积分赛!$C$7,0)*(IFERROR(INDEX($W$7:$W$14,MATCH(AJ$10,$T$7:$T$14,0)),0)*$T$20+IFERROR(INDEX($X$7:$X$14,MATCH(AJ$10,$T$7:$T$14,0)),0)*$T$21)/30</f>
        <v>122200</v>
      </c>
      <c r="BI240" s="10">
        <v>230</v>
      </c>
      <c r="BJ240" s="10">
        <f>MAX($BI240-积分赛!$C$7,0)*$BC$10/30</f>
        <v>666666.66666666663</v>
      </c>
      <c r="BK240" s="10">
        <f>MAX($BI240-积分赛!$C$7,0)*$BC$10/30</f>
        <v>666666.66666666663</v>
      </c>
      <c r="BL240" s="10">
        <f>MAX($BI240-积分赛!$C$7,0)*$BC$10/30</f>
        <v>666666.66666666663</v>
      </c>
      <c r="BM240" s="10">
        <f>MAX($BI240-积分赛!$C$7,0)*$BC$10/30</f>
        <v>666666.66666666663</v>
      </c>
      <c r="BN240" s="10">
        <f>MAX($BI240-积分赛!$C$7,0)*$BC$10/30</f>
        <v>666666.66666666663</v>
      </c>
    </row>
    <row r="241" spans="26:66" x14ac:dyDescent="0.15">
      <c r="Z241" s="10">
        <v>231</v>
      </c>
      <c r="AA241" s="10">
        <f>IFERROR(MAX($Z241-积分赛!$C$7,0)*INDEX($U$7:$U$14,MATCH(AA$10,$T$7:$T$14,0))/30,0)</f>
        <v>0</v>
      </c>
      <c r="AB241" s="10">
        <f>IFERROR(MAX($Z241-积分赛!$C$7,0)*INDEX($U$7:$U$14,MATCH(AB$10,$T$7:$T$14,0))/30,0)</f>
        <v>0</v>
      </c>
      <c r="AC241" s="10">
        <f>IFERROR(MAX($Z241-积分赛!$C$7,0)*INDEX($U$7:$U$14,MATCH(AC$10,$T$7:$T$14,0))/30,0)</f>
        <v>0</v>
      </c>
      <c r="AD241" s="10">
        <f>IFERROR(MAX($Z241-积分赛!$C$7,0)*INDEX($U$7:$U$14,MATCH(AD$10,$T$7:$T$14,0))/30,0)</f>
        <v>536000</v>
      </c>
      <c r="AE241" s="10">
        <f>IFERROR(MAX($Z241-积分赛!$C$7,0)*INDEX($U$7:$U$14,MATCH(AE$10,$T$7:$T$14,0))/30,0)</f>
        <v>6700000</v>
      </c>
      <c r="AF241" s="10">
        <f>MAX($Z241-积分赛!$C$7,0)*(IFERROR(INDEX($W$7:$W$14,MATCH(AF$10,$T$7:$T$14,0)),0)*$T$20+IFERROR(INDEX($X$7:$X$14,MATCH(AF$10,$T$7:$T$14,0)),0)*$T$21)/30</f>
        <v>0</v>
      </c>
      <c r="AG241" s="10">
        <f>MAX($Z241-积分赛!$C$7,0)*(IFERROR(INDEX($W$7:$W$14,MATCH(AG$10,$T$7:$T$14,0)),0)*$T$20+IFERROR(INDEX($X$7:$X$14,MATCH(AG$10,$T$7:$T$14,0)),0)*$T$21)/30</f>
        <v>0</v>
      </c>
      <c r="AH241" s="10">
        <f>MAX($Z241-积分赛!$C$7,0)*(IFERROR(INDEX($W$7:$W$14,MATCH(AH$10,$T$7:$T$14,0)),0)*$T$20+IFERROR(INDEX($X$7:$X$14,MATCH(AH$10,$T$7:$T$14,0)),0)*$T$21)/30</f>
        <v>0</v>
      </c>
      <c r="AI241" s="10">
        <f>MAX($Z241-积分赛!$C$7,0)*(IFERROR(INDEX($W$7:$W$14,MATCH(AI$10,$T$7:$T$14,0)),0)*$T$20+IFERROR(INDEX($X$7:$X$14,MATCH(AI$10,$T$7:$T$14,0)),0)*$T$21)/30</f>
        <v>20468.5</v>
      </c>
      <c r="AJ241" s="10">
        <f>MAX($Z241-积分赛!$C$7,0)*(IFERROR(INDEX($W$7:$W$14,MATCH(AJ$10,$T$7:$T$14,0)),0)*$T$20+IFERROR(INDEX($X$7:$X$14,MATCH(AJ$10,$T$7:$T$14,0)),0)*$T$21)/30</f>
        <v>122811</v>
      </c>
      <c r="BI241" s="10">
        <v>231</v>
      </c>
      <c r="BJ241" s="10">
        <f>MAX($BI241-积分赛!$C$7,0)*$BC$10/30</f>
        <v>670000</v>
      </c>
      <c r="BK241" s="10">
        <f>MAX($BI241-积分赛!$C$7,0)*$BC$10/30</f>
        <v>670000</v>
      </c>
      <c r="BL241" s="10">
        <f>MAX($BI241-积分赛!$C$7,0)*$BC$10/30</f>
        <v>670000</v>
      </c>
      <c r="BM241" s="10">
        <f>MAX($BI241-积分赛!$C$7,0)*$BC$10/30</f>
        <v>670000</v>
      </c>
      <c r="BN241" s="10">
        <f>MAX($BI241-积分赛!$C$7,0)*$BC$10/30</f>
        <v>670000</v>
      </c>
    </row>
    <row r="242" spans="26:66" x14ac:dyDescent="0.15">
      <c r="Z242" s="10">
        <v>232</v>
      </c>
      <c r="AA242" s="10">
        <f>IFERROR(MAX($Z242-积分赛!$C$7,0)*INDEX($U$7:$U$14,MATCH(AA$10,$T$7:$T$14,0))/30,0)</f>
        <v>0</v>
      </c>
      <c r="AB242" s="10">
        <f>IFERROR(MAX($Z242-积分赛!$C$7,0)*INDEX($U$7:$U$14,MATCH(AB$10,$T$7:$T$14,0))/30,0)</f>
        <v>0</v>
      </c>
      <c r="AC242" s="10">
        <f>IFERROR(MAX($Z242-积分赛!$C$7,0)*INDEX($U$7:$U$14,MATCH(AC$10,$T$7:$T$14,0))/30,0)</f>
        <v>0</v>
      </c>
      <c r="AD242" s="10">
        <f>IFERROR(MAX($Z242-积分赛!$C$7,0)*INDEX($U$7:$U$14,MATCH(AD$10,$T$7:$T$14,0))/30,0)</f>
        <v>538666.66666666663</v>
      </c>
      <c r="AE242" s="10">
        <f>IFERROR(MAX($Z242-积分赛!$C$7,0)*INDEX($U$7:$U$14,MATCH(AE$10,$T$7:$T$14,0))/30,0)</f>
        <v>6733333.333333333</v>
      </c>
      <c r="AF242" s="10">
        <f>MAX($Z242-积分赛!$C$7,0)*(IFERROR(INDEX($W$7:$W$14,MATCH(AF$10,$T$7:$T$14,0)),0)*$T$20+IFERROR(INDEX($X$7:$X$14,MATCH(AF$10,$T$7:$T$14,0)),0)*$T$21)/30</f>
        <v>0</v>
      </c>
      <c r="AG242" s="10">
        <f>MAX($Z242-积分赛!$C$7,0)*(IFERROR(INDEX($W$7:$W$14,MATCH(AG$10,$T$7:$T$14,0)),0)*$T$20+IFERROR(INDEX($X$7:$X$14,MATCH(AG$10,$T$7:$T$14,0)),0)*$T$21)/30</f>
        <v>0</v>
      </c>
      <c r="AH242" s="10">
        <f>MAX($Z242-积分赛!$C$7,0)*(IFERROR(INDEX($W$7:$W$14,MATCH(AH$10,$T$7:$T$14,0)),0)*$T$20+IFERROR(INDEX($X$7:$X$14,MATCH(AH$10,$T$7:$T$14,0)),0)*$T$21)/30</f>
        <v>0</v>
      </c>
      <c r="AI242" s="10">
        <f>MAX($Z242-积分赛!$C$7,0)*(IFERROR(INDEX($W$7:$W$14,MATCH(AI$10,$T$7:$T$14,0)),0)*$T$20+IFERROR(INDEX($X$7:$X$14,MATCH(AI$10,$T$7:$T$14,0)),0)*$T$21)/30</f>
        <v>20570.333333333332</v>
      </c>
      <c r="AJ242" s="10">
        <f>MAX($Z242-积分赛!$C$7,0)*(IFERROR(INDEX($W$7:$W$14,MATCH(AJ$10,$T$7:$T$14,0)),0)*$T$20+IFERROR(INDEX($X$7:$X$14,MATCH(AJ$10,$T$7:$T$14,0)),0)*$T$21)/30</f>
        <v>123422</v>
      </c>
      <c r="BI242" s="10">
        <v>232</v>
      </c>
      <c r="BJ242" s="10">
        <f>MAX($BI242-积分赛!$C$7,0)*$BC$10/30</f>
        <v>673333.33333333337</v>
      </c>
      <c r="BK242" s="10">
        <f>MAX($BI242-积分赛!$C$7,0)*$BC$10/30</f>
        <v>673333.33333333337</v>
      </c>
      <c r="BL242" s="10">
        <f>MAX($BI242-积分赛!$C$7,0)*$BC$10/30</f>
        <v>673333.33333333337</v>
      </c>
      <c r="BM242" s="10">
        <f>MAX($BI242-积分赛!$C$7,0)*$BC$10/30</f>
        <v>673333.33333333337</v>
      </c>
      <c r="BN242" s="10">
        <f>MAX($BI242-积分赛!$C$7,0)*$BC$10/30</f>
        <v>673333.33333333337</v>
      </c>
    </row>
    <row r="243" spans="26:66" x14ac:dyDescent="0.15">
      <c r="Z243" s="10">
        <v>233</v>
      </c>
      <c r="AA243" s="10">
        <f>IFERROR(MAX($Z243-积分赛!$C$7,0)*INDEX($U$7:$U$14,MATCH(AA$10,$T$7:$T$14,0))/30,0)</f>
        <v>0</v>
      </c>
      <c r="AB243" s="10">
        <f>IFERROR(MAX($Z243-积分赛!$C$7,0)*INDEX($U$7:$U$14,MATCH(AB$10,$T$7:$T$14,0))/30,0)</f>
        <v>0</v>
      </c>
      <c r="AC243" s="10">
        <f>IFERROR(MAX($Z243-积分赛!$C$7,0)*INDEX($U$7:$U$14,MATCH(AC$10,$T$7:$T$14,0))/30,0)</f>
        <v>0</v>
      </c>
      <c r="AD243" s="10">
        <f>IFERROR(MAX($Z243-积分赛!$C$7,0)*INDEX($U$7:$U$14,MATCH(AD$10,$T$7:$T$14,0))/30,0)</f>
        <v>541333.33333333337</v>
      </c>
      <c r="AE243" s="10">
        <f>IFERROR(MAX($Z243-积分赛!$C$7,0)*INDEX($U$7:$U$14,MATCH(AE$10,$T$7:$T$14,0))/30,0)</f>
        <v>6766666.666666667</v>
      </c>
      <c r="AF243" s="10">
        <f>MAX($Z243-积分赛!$C$7,0)*(IFERROR(INDEX($W$7:$W$14,MATCH(AF$10,$T$7:$T$14,0)),0)*$T$20+IFERROR(INDEX($X$7:$X$14,MATCH(AF$10,$T$7:$T$14,0)),0)*$T$21)/30</f>
        <v>0</v>
      </c>
      <c r="AG243" s="10">
        <f>MAX($Z243-积分赛!$C$7,0)*(IFERROR(INDEX($W$7:$W$14,MATCH(AG$10,$T$7:$T$14,0)),0)*$T$20+IFERROR(INDEX($X$7:$X$14,MATCH(AG$10,$T$7:$T$14,0)),0)*$T$21)/30</f>
        <v>0</v>
      </c>
      <c r="AH243" s="10">
        <f>MAX($Z243-积分赛!$C$7,0)*(IFERROR(INDEX($W$7:$W$14,MATCH(AH$10,$T$7:$T$14,0)),0)*$T$20+IFERROR(INDEX($X$7:$X$14,MATCH(AH$10,$T$7:$T$14,0)),0)*$T$21)/30</f>
        <v>0</v>
      </c>
      <c r="AI243" s="10">
        <f>MAX($Z243-积分赛!$C$7,0)*(IFERROR(INDEX($W$7:$W$14,MATCH(AI$10,$T$7:$T$14,0)),0)*$T$20+IFERROR(INDEX($X$7:$X$14,MATCH(AI$10,$T$7:$T$14,0)),0)*$T$21)/30</f>
        <v>20672.166666666668</v>
      </c>
      <c r="AJ243" s="10">
        <f>MAX($Z243-积分赛!$C$7,0)*(IFERROR(INDEX($W$7:$W$14,MATCH(AJ$10,$T$7:$T$14,0)),0)*$T$20+IFERROR(INDEX($X$7:$X$14,MATCH(AJ$10,$T$7:$T$14,0)),0)*$T$21)/30</f>
        <v>124033</v>
      </c>
      <c r="BI243" s="10">
        <v>233</v>
      </c>
      <c r="BJ243" s="10">
        <f>MAX($BI243-积分赛!$C$7,0)*$BC$10/30</f>
        <v>676666.66666666663</v>
      </c>
      <c r="BK243" s="10">
        <f>MAX($BI243-积分赛!$C$7,0)*$BC$10/30</f>
        <v>676666.66666666663</v>
      </c>
      <c r="BL243" s="10">
        <f>MAX($BI243-积分赛!$C$7,0)*$BC$10/30</f>
        <v>676666.66666666663</v>
      </c>
      <c r="BM243" s="10">
        <f>MAX($BI243-积分赛!$C$7,0)*$BC$10/30</f>
        <v>676666.66666666663</v>
      </c>
      <c r="BN243" s="10">
        <f>MAX($BI243-积分赛!$C$7,0)*$BC$10/30</f>
        <v>676666.66666666663</v>
      </c>
    </row>
    <row r="244" spans="26:66" x14ac:dyDescent="0.15">
      <c r="Z244" s="10">
        <v>234</v>
      </c>
      <c r="AA244" s="10">
        <f>IFERROR(MAX($Z244-积分赛!$C$7,0)*INDEX($U$7:$U$14,MATCH(AA$10,$T$7:$T$14,0))/30,0)</f>
        <v>0</v>
      </c>
      <c r="AB244" s="10">
        <f>IFERROR(MAX($Z244-积分赛!$C$7,0)*INDEX($U$7:$U$14,MATCH(AB$10,$T$7:$T$14,0))/30,0)</f>
        <v>0</v>
      </c>
      <c r="AC244" s="10">
        <f>IFERROR(MAX($Z244-积分赛!$C$7,0)*INDEX($U$7:$U$14,MATCH(AC$10,$T$7:$T$14,0))/30,0)</f>
        <v>0</v>
      </c>
      <c r="AD244" s="10">
        <f>IFERROR(MAX($Z244-积分赛!$C$7,0)*INDEX($U$7:$U$14,MATCH(AD$10,$T$7:$T$14,0))/30,0)</f>
        <v>544000</v>
      </c>
      <c r="AE244" s="10">
        <f>IFERROR(MAX($Z244-积分赛!$C$7,0)*INDEX($U$7:$U$14,MATCH(AE$10,$T$7:$T$14,0))/30,0)</f>
        <v>6800000</v>
      </c>
      <c r="AF244" s="10">
        <f>MAX($Z244-积分赛!$C$7,0)*(IFERROR(INDEX($W$7:$W$14,MATCH(AF$10,$T$7:$T$14,0)),0)*$T$20+IFERROR(INDEX($X$7:$X$14,MATCH(AF$10,$T$7:$T$14,0)),0)*$T$21)/30</f>
        <v>0</v>
      </c>
      <c r="AG244" s="10">
        <f>MAX($Z244-积分赛!$C$7,0)*(IFERROR(INDEX($W$7:$W$14,MATCH(AG$10,$T$7:$T$14,0)),0)*$T$20+IFERROR(INDEX($X$7:$X$14,MATCH(AG$10,$T$7:$T$14,0)),0)*$T$21)/30</f>
        <v>0</v>
      </c>
      <c r="AH244" s="10">
        <f>MAX($Z244-积分赛!$C$7,0)*(IFERROR(INDEX($W$7:$W$14,MATCH(AH$10,$T$7:$T$14,0)),0)*$T$20+IFERROR(INDEX($X$7:$X$14,MATCH(AH$10,$T$7:$T$14,0)),0)*$T$21)/30</f>
        <v>0</v>
      </c>
      <c r="AI244" s="10">
        <f>MAX($Z244-积分赛!$C$7,0)*(IFERROR(INDEX($W$7:$W$14,MATCH(AI$10,$T$7:$T$14,0)),0)*$T$20+IFERROR(INDEX($X$7:$X$14,MATCH(AI$10,$T$7:$T$14,0)),0)*$T$21)/30</f>
        <v>20774</v>
      </c>
      <c r="AJ244" s="10">
        <f>MAX($Z244-积分赛!$C$7,0)*(IFERROR(INDEX($W$7:$W$14,MATCH(AJ$10,$T$7:$T$14,0)),0)*$T$20+IFERROR(INDEX($X$7:$X$14,MATCH(AJ$10,$T$7:$T$14,0)),0)*$T$21)/30</f>
        <v>124644</v>
      </c>
      <c r="BI244" s="10">
        <v>234</v>
      </c>
      <c r="BJ244" s="10">
        <f>MAX($BI244-积分赛!$C$7,0)*$BC$10/30</f>
        <v>680000</v>
      </c>
      <c r="BK244" s="10">
        <f>MAX($BI244-积分赛!$C$7,0)*$BC$10/30</f>
        <v>680000</v>
      </c>
      <c r="BL244" s="10">
        <f>MAX($BI244-积分赛!$C$7,0)*$BC$10/30</f>
        <v>680000</v>
      </c>
      <c r="BM244" s="10">
        <f>MAX($BI244-积分赛!$C$7,0)*$BC$10/30</f>
        <v>680000</v>
      </c>
      <c r="BN244" s="10">
        <f>MAX($BI244-积分赛!$C$7,0)*$BC$10/30</f>
        <v>680000</v>
      </c>
    </row>
    <row r="245" spans="26:66" x14ac:dyDescent="0.15">
      <c r="Z245" s="10">
        <v>235</v>
      </c>
      <c r="AA245" s="10">
        <f>IFERROR(MAX($Z245-积分赛!$C$7,0)*INDEX($U$7:$U$14,MATCH(AA$10,$T$7:$T$14,0))/30,0)</f>
        <v>0</v>
      </c>
      <c r="AB245" s="10">
        <f>IFERROR(MAX($Z245-积分赛!$C$7,0)*INDEX($U$7:$U$14,MATCH(AB$10,$T$7:$T$14,0))/30,0)</f>
        <v>0</v>
      </c>
      <c r="AC245" s="10">
        <f>IFERROR(MAX($Z245-积分赛!$C$7,0)*INDEX($U$7:$U$14,MATCH(AC$10,$T$7:$T$14,0))/30,0)</f>
        <v>0</v>
      </c>
      <c r="AD245" s="10">
        <f>IFERROR(MAX($Z245-积分赛!$C$7,0)*INDEX($U$7:$U$14,MATCH(AD$10,$T$7:$T$14,0))/30,0)</f>
        <v>546666.66666666663</v>
      </c>
      <c r="AE245" s="10">
        <f>IFERROR(MAX($Z245-积分赛!$C$7,0)*INDEX($U$7:$U$14,MATCH(AE$10,$T$7:$T$14,0))/30,0)</f>
        <v>6833333.333333333</v>
      </c>
      <c r="AF245" s="10">
        <f>MAX($Z245-积分赛!$C$7,0)*(IFERROR(INDEX($W$7:$W$14,MATCH(AF$10,$T$7:$T$14,0)),0)*$T$20+IFERROR(INDEX($X$7:$X$14,MATCH(AF$10,$T$7:$T$14,0)),0)*$T$21)/30</f>
        <v>0</v>
      </c>
      <c r="AG245" s="10">
        <f>MAX($Z245-积分赛!$C$7,0)*(IFERROR(INDEX($W$7:$W$14,MATCH(AG$10,$T$7:$T$14,0)),0)*$T$20+IFERROR(INDEX($X$7:$X$14,MATCH(AG$10,$T$7:$T$14,0)),0)*$T$21)/30</f>
        <v>0</v>
      </c>
      <c r="AH245" s="10">
        <f>MAX($Z245-积分赛!$C$7,0)*(IFERROR(INDEX($W$7:$W$14,MATCH(AH$10,$T$7:$T$14,0)),0)*$T$20+IFERROR(INDEX($X$7:$X$14,MATCH(AH$10,$T$7:$T$14,0)),0)*$T$21)/30</f>
        <v>0</v>
      </c>
      <c r="AI245" s="10">
        <f>MAX($Z245-积分赛!$C$7,0)*(IFERROR(INDEX($W$7:$W$14,MATCH(AI$10,$T$7:$T$14,0)),0)*$T$20+IFERROR(INDEX($X$7:$X$14,MATCH(AI$10,$T$7:$T$14,0)),0)*$T$21)/30</f>
        <v>20875.833333333332</v>
      </c>
      <c r="AJ245" s="10">
        <f>MAX($Z245-积分赛!$C$7,0)*(IFERROR(INDEX($W$7:$W$14,MATCH(AJ$10,$T$7:$T$14,0)),0)*$T$20+IFERROR(INDEX($X$7:$X$14,MATCH(AJ$10,$T$7:$T$14,0)),0)*$T$21)/30</f>
        <v>125255</v>
      </c>
      <c r="BI245" s="10">
        <v>235</v>
      </c>
      <c r="BJ245" s="10">
        <f>MAX($BI245-积分赛!$C$7,0)*$BC$10/30</f>
        <v>683333.33333333337</v>
      </c>
      <c r="BK245" s="10">
        <f>MAX($BI245-积分赛!$C$7,0)*$BC$10/30</f>
        <v>683333.33333333337</v>
      </c>
      <c r="BL245" s="10">
        <f>MAX($BI245-积分赛!$C$7,0)*$BC$10/30</f>
        <v>683333.33333333337</v>
      </c>
      <c r="BM245" s="10">
        <f>MAX($BI245-积分赛!$C$7,0)*$BC$10/30</f>
        <v>683333.33333333337</v>
      </c>
      <c r="BN245" s="10">
        <f>MAX($BI245-积分赛!$C$7,0)*$BC$10/30</f>
        <v>683333.33333333337</v>
      </c>
    </row>
    <row r="246" spans="26:66" x14ac:dyDescent="0.15">
      <c r="Z246" s="10">
        <v>236</v>
      </c>
      <c r="AA246" s="10">
        <f>IFERROR(MAX($Z246-积分赛!$C$7,0)*INDEX($U$7:$U$14,MATCH(AA$10,$T$7:$T$14,0))/30,0)</f>
        <v>0</v>
      </c>
      <c r="AB246" s="10">
        <f>IFERROR(MAX($Z246-积分赛!$C$7,0)*INDEX($U$7:$U$14,MATCH(AB$10,$T$7:$T$14,0))/30,0)</f>
        <v>0</v>
      </c>
      <c r="AC246" s="10">
        <f>IFERROR(MAX($Z246-积分赛!$C$7,0)*INDEX($U$7:$U$14,MATCH(AC$10,$T$7:$T$14,0))/30,0)</f>
        <v>0</v>
      </c>
      <c r="AD246" s="10">
        <f>IFERROR(MAX($Z246-积分赛!$C$7,0)*INDEX($U$7:$U$14,MATCH(AD$10,$T$7:$T$14,0))/30,0)</f>
        <v>549333.33333333337</v>
      </c>
      <c r="AE246" s="10">
        <f>IFERROR(MAX($Z246-积分赛!$C$7,0)*INDEX($U$7:$U$14,MATCH(AE$10,$T$7:$T$14,0))/30,0)</f>
        <v>6866666.666666667</v>
      </c>
      <c r="AF246" s="10">
        <f>MAX($Z246-积分赛!$C$7,0)*(IFERROR(INDEX($W$7:$W$14,MATCH(AF$10,$T$7:$T$14,0)),0)*$T$20+IFERROR(INDEX($X$7:$X$14,MATCH(AF$10,$T$7:$T$14,0)),0)*$T$21)/30</f>
        <v>0</v>
      </c>
      <c r="AG246" s="10">
        <f>MAX($Z246-积分赛!$C$7,0)*(IFERROR(INDEX($W$7:$W$14,MATCH(AG$10,$T$7:$T$14,0)),0)*$T$20+IFERROR(INDEX($X$7:$X$14,MATCH(AG$10,$T$7:$T$14,0)),0)*$T$21)/30</f>
        <v>0</v>
      </c>
      <c r="AH246" s="10">
        <f>MAX($Z246-积分赛!$C$7,0)*(IFERROR(INDEX($W$7:$W$14,MATCH(AH$10,$T$7:$T$14,0)),0)*$T$20+IFERROR(INDEX($X$7:$X$14,MATCH(AH$10,$T$7:$T$14,0)),0)*$T$21)/30</f>
        <v>0</v>
      </c>
      <c r="AI246" s="10">
        <f>MAX($Z246-积分赛!$C$7,0)*(IFERROR(INDEX($W$7:$W$14,MATCH(AI$10,$T$7:$T$14,0)),0)*$T$20+IFERROR(INDEX($X$7:$X$14,MATCH(AI$10,$T$7:$T$14,0)),0)*$T$21)/30</f>
        <v>20977.666666666668</v>
      </c>
      <c r="AJ246" s="10">
        <f>MAX($Z246-积分赛!$C$7,0)*(IFERROR(INDEX($W$7:$W$14,MATCH(AJ$10,$T$7:$T$14,0)),0)*$T$20+IFERROR(INDEX($X$7:$X$14,MATCH(AJ$10,$T$7:$T$14,0)),0)*$T$21)/30</f>
        <v>125866</v>
      </c>
      <c r="BI246" s="10">
        <v>236</v>
      </c>
      <c r="BJ246" s="10">
        <f>MAX($BI246-积分赛!$C$7,0)*$BC$10/30</f>
        <v>686666.66666666663</v>
      </c>
      <c r="BK246" s="10">
        <f>MAX($BI246-积分赛!$C$7,0)*$BC$10/30</f>
        <v>686666.66666666663</v>
      </c>
      <c r="BL246" s="10">
        <f>MAX($BI246-积分赛!$C$7,0)*$BC$10/30</f>
        <v>686666.66666666663</v>
      </c>
      <c r="BM246" s="10">
        <f>MAX($BI246-积分赛!$C$7,0)*$BC$10/30</f>
        <v>686666.66666666663</v>
      </c>
      <c r="BN246" s="10">
        <f>MAX($BI246-积分赛!$C$7,0)*$BC$10/30</f>
        <v>686666.66666666663</v>
      </c>
    </row>
    <row r="247" spans="26:66" x14ac:dyDescent="0.15">
      <c r="Z247" s="10">
        <v>237</v>
      </c>
      <c r="AA247" s="10">
        <f>IFERROR(MAX($Z247-积分赛!$C$7,0)*INDEX($U$7:$U$14,MATCH(AA$10,$T$7:$T$14,0))/30,0)</f>
        <v>0</v>
      </c>
      <c r="AB247" s="10">
        <f>IFERROR(MAX($Z247-积分赛!$C$7,0)*INDEX($U$7:$U$14,MATCH(AB$10,$T$7:$T$14,0))/30,0)</f>
        <v>0</v>
      </c>
      <c r="AC247" s="10">
        <f>IFERROR(MAX($Z247-积分赛!$C$7,0)*INDEX($U$7:$U$14,MATCH(AC$10,$T$7:$T$14,0))/30,0)</f>
        <v>0</v>
      </c>
      <c r="AD247" s="10">
        <f>IFERROR(MAX($Z247-积分赛!$C$7,0)*INDEX($U$7:$U$14,MATCH(AD$10,$T$7:$T$14,0))/30,0)</f>
        <v>552000</v>
      </c>
      <c r="AE247" s="10">
        <f>IFERROR(MAX($Z247-积分赛!$C$7,0)*INDEX($U$7:$U$14,MATCH(AE$10,$T$7:$T$14,0))/30,0)</f>
        <v>6900000</v>
      </c>
      <c r="AF247" s="10">
        <f>MAX($Z247-积分赛!$C$7,0)*(IFERROR(INDEX($W$7:$W$14,MATCH(AF$10,$T$7:$T$14,0)),0)*$T$20+IFERROR(INDEX($X$7:$X$14,MATCH(AF$10,$T$7:$T$14,0)),0)*$T$21)/30</f>
        <v>0</v>
      </c>
      <c r="AG247" s="10">
        <f>MAX($Z247-积分赛!$C$7,0)*(IFERROR(INDEX($W$7:$W$14,MATCH(AG$10,$T$7:$T$14,0)),0)*$T$20+IFERROR(INDEX($X$7:$X$14,MATCH(AG$10,$T$7:$T$14,0)),0)*$T$21)/30</f>
        <v>0</v>
      </c>
      <c r="AH247" s="10">
        <f>MAX($Z247-积分赛!$C$7,0)*(IFERROR(INDEX($W$7:$W$14,MATCH(AH$10,$T$7:$T$14,0)),0)*$T$20+IFERROR(INDEX($X$7:$X$14,MATCH(AH$10,$T$7:$T$14,0)),0)*$T$21)/30</f>
        <v>0</v>
      </c>
      <c r="AI247" s="10">
        <f>MAX($Z247-积分赛!$C$7,0)*(IFERROR(INDEX($W$7:$W$14,MATCH(AI$10,$T$7:$T$14,0)),0)*$T$20+IFERROR(INDEX($X$7:$X$14,MATCH(AI$10,$T$7:$T$14,0)),0)*$T$21)/30</f>
        <v>21079.5</v>
      </c>
      <c r="AJ247" s="10">
        <f>MAX($Z247-积分赛!$C$7,0)*(IFERROR(INDEX($W$7:$W$14,MATCH(AJ$10,$T$7:$T$14,0)),0)*$T$20+IFERROR(INDEX($X$7:$X$14,MATCH(AJ$10,$T$7:$T$14,0)),0)*$T$21)/30</f>
        <v>126477</v>
      </c>
      <c r="BI247" s="10">
        <v>237</v>
      </c>
      <c r="BJ247" s="10">
        <f>MAX($BI247-积分赛!$C$7,0)*$BC$10/30</f>
        <v>690000</v>
      </c>
      <c r="BK247" s="10">
        <f>MAX($BI247-积分赛!$C$7,0)*$BC$10/30</f>
        <v>690000</v>
      </c>
      <c r="BL247" s="10">
        <f>MAX($BI247-积分赛!$C$7,0)*$BC$10/30</f>
        <v>690000</v>
      </c>
      <c r="BM247" s="10">
        <f>MAX($BI247-积分赛!$C$7,0)*$BC$10/30</f>
        <v>690000</v>
      </c>
      <c r="BN247" s="10">
        <f>MAX($BI247-积分赛!$C$7,0)*$BC$10/30</f>
        <v>690000</v>
      </c>
    </row>
    <row r="248" spans="26:66" x14ac:dyDescent="0.15">
      <c r="Z248" s="10">
        <v>238</v>
      </c>
      <c r="AA248" s="10">
        <f>IFERROR(MAX($Z248-积分赛!$C$7,0)*INDEX($U$7:$U$14,MATCH(AA$10,$T$7:$T$14,0))/30,0)</f>
        <v>0</v>
      </c>
      <c r="AB248" s="10">
        <f>IFERROR(MAX($Z248-积分赛!$C$7,0)*INDEX($U$7:$U$14,MATCH(AB$10,$T$7:$T$14,0))/30,0)</f>
        <v>0</v>
      </c>
      <c r="AC248" s="10">
        <f>IFERROR(MAX($Z248-积分赛!$C$7,0)*INDEX($U$7:$U$14,MATCH(AC$10,$T$7:$T$14,0))/30,0)</f>
        <v>0</v>
      </c>
      <c r="AD248" s="10">
        <f>IFERROR(MAX($Z248-积分赛!$C$7,0)*INDEX($U$7:$U$14,MATCH(AD$10,$T$7:$T$14,0))/30,0)</f>
        <v>554666.66666666663</v>
      </c>
      <c r="AE248" s="10">
        <f>IFERROR(MAX($Z248-积分赛!$C$7,0)*INDEX($U$7:$U$14,MATCH(AE$10,$T$7:$T$14,0))/30,0)</f>
        <v>6933333.333333333</v>
      </c>
      <c r="AF248" s="10">
        <f>MAX($Z248-积分赛!$C$7,0)*(IFERROR(INDEX($W$7:$W$14,MATCH(AF$10,$T$7:$T$14,0)),0)*$T$20+IFERROR(INDEX($X$7:$X$14,MATCH(AF$10,$T$7:$T$14,0)),0)*$T$21)/30</f>
        <v>0</v>
      </c>
      <c r="AG248" s="10">
        <f>MAX($Z248-积分赛!$C$7,0)*(IFERROR(INDEX($W$7:$W$14,MATCH(AG$10,$T$7:$T$14,0)),0)*$T$20+IFERROR(INDEX($X$7:$X$14,MATCH(AG$10,$T$7:$T$14,0)),0)*$T$21)/30</f>
        <v>0</v>
      </c>
      <c r="AH248" s="10">
        <f>MAX($Z248-积分赛!$C$7,0)*(IFERROR(INDEX($W$7:$W$14,MATCH(AH$10,$T$7:$T$14,0)),0)*$T$20+IFERROR(INDEX($X$7:$X$14,MATCH(AH$10,$T$7:$T$14,0)),0)*$T$21)/30</f>
        <v>0</v>
      </c>
      <c r="AI248" s="10">
        <f>MAX($Z248-积分赛!$C$7,0)*(IFERROR(INDEX($W$7:$W$14,MATCH(AI$10,$T$7:$T$14,0)),0)*$T$20+IFERROR(INDEX($X$7:$X$14,MATCH(AI$10,$T$7:$T$14,0)),0)*$T$21)/30</f>
        <v>21181.333333333332</v>
      </c>
      <c r="AJ248" s="10">
        <f>MAX($Z248-积分赛!$C$7,0)*(IFERROR(INDEX($W$7:$W$14,MATCH(AJ$10,$T$7:$T$14,0)),0)*$T$20+IFERROR(INDEX($X$7:$X$14,MATCH(AJ$10,$T$7:$T$14,0)),0)*$T$21)/30</f>
        <v>127088</v>
      </c>
      <c r="BI248" s="10">
        <v>238</v>
      </c>
      <c r="BJ248" s="10">
        <f>MAX($BI248-积分赛!$C$7,0)*$BC$10/30</f>
        <v>693333.33333333337</v>
      </c>
      <c r="BK248" s="10">
        <f>MAX($BI248-积分赛!$C$7,0)*$BC$10/30</f>
        <v>693333.33333333337</v>
      </c>
      <c r="BL248" s="10">
        <f>MAX($BI248-积分赛!$C$7,0)*$BC$10/30</f>
        <v>693333.33333333337</v>
      </c>
      <c r="BM248" s="10">
        <f>MAX($BI248-积分赛!$C$7,0)*$BC$10/30</f>
        <v>693333.33333333337</v>
      </c>
      <c r="BN248" s="10">
        <f>MAX($BI248-积分赛!$C$7,0)*$BC$10/30</f>
        <v>693333.33333333337</v>
      </c>
    </row>
    <row r="249" spans="26:66" x14ac:dyDescent="0.15">
      <c r="Z249" s="10">
        <v>239</v>
      </c>
      <c r="AA249" s="10">
        <f>IFERROR(MAX($Z249-积分赛!$C$7,0)*INDEX($U$7:$U$14,MATCH(AA$10,$T$7:$T$14,0))/30,0)</f>
        <v>0</v>
      </c>
      <c r="AB249" s="10">
        <f>IFERROR(MAX($Z249-积分赛!$C$7,0)*INDEX($U$7:$U$14,MATCH(AB$10,$T$7:$T$14,0))/30,0)</f>
        <v>0</v>
      </c>
      <c r="AC249" s="10">
        <f>IFERROR(MAX($Z249-积分赛!$C$7,0)*INDEX($U$7:$U$14,MATCH(AC$10,$T$7:$T$14,0))/30,0)</f>
        <v>0</v>
      </c>
      <c r="AD249" s="10">
        <f>IFERROR(MAX($Z249-积分赛!$C$7,0)*INDEX($U$7:$U$14,MATCH(AD$10,$T$7:$T$14,0))/30,0)</f>
        <v>557333.33333333337</v>
      </c>
      <c r="AE249" s="10">
        <f>IFERROR(MAX($Z249-积分赛!$C$7,0)*INDEX($U$7:$U$14,MATCH(AE$10,$T$7:$T$14,0))/30,0)</f>
        <v>6966666.666666667</v>
      </c>
      <c r="AF249" s="10">
        <f>MAX($Z249-积分赛!$C$7,0)*(IFERROR(INDEX($W$7:$W$14,MATCH(AF$10,$T$7:$T$14,0)),0)*$T$20+IFERROR(INDEX($X$7:$X$14,MATCH(AF$10,$T$7:$T$14,0)),0)*$T$21)/30</f>
        <v>0</v>
      </c>
      <c r="AG249" s="10">
        <f>MAX($Z249-积分赛!$C$7,0)*(IFERROR(INDEX($W$7:$W$14,MATCH(AG$10,$T$7:$T$14,0)),0)*$T$20+IFERROR(INDEX($X$7:$X$14,MATCH(AG$10,$T$7:$T$14,0)),0)*$T$21)/30</f>
        <v>0</v>
      </c>
      <c r="AH249" s="10">
        <f>MAX($Z249-积分赛!$C$7,0)*(IFERROR(INDEX($W$7:$W$14,MATCH(AH$10,$T$7:$T$14,0)),0)*$T$20+IFERROR(INDEX($X$7:$X$14,MATCH(AH$10,$T$7:$T$14,0)),0)*$T$21)/30</f>
        <v>0</v>
      </c>
      <c r="AI249" s="10">
        <f>MAX($Z249-积分赛!$C$7,0)*(IFERROR(INDEX($W$7:$W$14,MATCH(AI$10,$T$7:$T$14,0)),0)*$T$20+IFERROR(INDEX($X$7:$X$14,MATCH(AI$10,$T$7:$T$14,0)),0)*$T$21)/30</f>
        <v>21283.166666666668</v>
      </c>
      <c r="AJ249" s="10">
        <f>MAX($Z249-积分赛!$C$7,0)*(IFERROR(INDEX($W$7:$W$14,MATCH(AJ$10,$T$7:$T$14,0)),0)*$T$20+IFERROR(INDEX($X$7:$X$14,MATCH(AJ$10,$T$7:$T$14,0)),0)*$T$21)/30</f>
        <v>127699</v>
      </c>
      <c r="BI249" s="10">
        <v>239</v>
      </c>
      <c r="BJ249" s="10">
        <f>MAX($BI249-积分赛!$C$7,0)*$BC$10/30</f>
        <v>696666.66666666663</v>
      </c>
      <c r="BK249" s="10">
        <f>MAX($BI249-积分赛!$C$7,0)*$BC$10/30</f>
        <v>696666.66666666663</v>
      </c>
      <c r="BL249" s="10">
        <f>MAX($BI249-积分赛!$C$7,0)*$BC$10/30</f>
        <v>696666.66666666663</v>
      </c>
      <c r="BM249" s="10">
        <f>MAX($BI249-积分赛!$C$7,0)*$BC$10/30</f>
        <v>696666.66666666663</v>
      </c>
      <c r="BN249" s="10">
        <f>MAX($BI249-积分赛!$C$7,0)*$BC$10/30</f>
        <v>696666.66666666663</v>
      </c>
    </row>
    <row r="250" spans="26:66" x14ac:dyDescent="0.15">
      <c r="Z250" s="10">
        <v>240</v>
      </c>
      <c r="AA250" s="10">
        <f>IFERROR(MAX($Z250-积分赛!$C$7,0)*INDEX($U$7:$U$14,MATCH(AA$10,$T$7:$T$14,0))/30,0)</f>
        <v>0</v>
      </c>
      <c r="AB250" s="10">
        <f>IFERROR(MAX($Z250-积分赛!$C$7,0)*INDEX($U$7:$U$14,MATCH(AB$10,$T$7:$T$14,0))/30,0)</f>
        <v>0</v>
      </c>
      <c r="AC250" s="10">
        <f>IFERROR(MAX($Z250-积分赛!$C$7,0)*INDEX($U$7:$U$14,MATCH(AC$10,$T$7:$T$14,0))/30,0)</f>
        <v>0</v>
      </c>
      <c r="AD250" s="10">
        <f>IFERROR(MAX($Z250-积分赛!$C$7,0)*INDEX($U$7:$U$14,MATCH(AD$10,$T$7:$T$14,0))/30,0)</f>
        <v>560000</v>
      </c>
      <c r="AE250" s="10">
        <f>IFERROR(MAX($Z250-积分赛!$C$7,0)*INDEX($U$7:$U$14,MATCH(AE$10,$T$7:$T$14,0))/30,0)</f>
        <v>7000000</v>
      </c>
      <c r="AF250" s="10">
        <f>MAX($Z250-积分赛!$C$7,0)*(IFERROR(INDEX($W$7:$W$14,MATCH(AF$10,$T$7:$T$14,0)),0)*$T$20+IFERROR(INDEX($X$7:$X$14,MATCH(AF$10,$T$7:$T$14,0)),0)*$T$21)/30</f>
        <v>0</v>
      </c>
      <c r="AG250" s="10">
        <f>MAX($Z250-积分赛!$C$7,0)*(IFERROR(INDEX($W$7:$W$14,MATCH(AG$10,$T$7:$T$14,0)),0)*$T$20+IFERROR(INDEX($X$7:$X$14,MATCH(AG$10,$T$7:$T$14,0)),0)*$T$21)/30</f>
        <v>0</v>
      </c>
      <c r="AH250" s="10">
        <f>MAX($Z250-积分赛!$C$7,0)*(IFERROR(INDEX($W$7:$W$14,MATCH(AH$10,$T$7:$T$14,0)),0)*$T$20+IFERROR(INDEX($X$7:$X$14,MATCH(AH$10,$T$7:$T$14,0)),0)*$T$21)/30</f>
        <v>0</v>
      </c>
      <c r="AI250" s="10">
        <f>MAX($Z250-积分赛!$C$7,0)*(IFERROR(INDEX($W$7:$W$14,MATCH(AI$10,$T$7:$T$14,0)),0)*$T$20+IFERROR(INDEX($X$7:$X$14,MATCH(AI$10,$T$7:$T$14,0)),0)*$T$21)/30</f>
        <v>21385</v>
      </c>
      <c r="AJ250" s="10">
        <f>MAX($Z250-积分赛!$C$7,0)*(IFERROR(INDEX($W$7:$W$14,MATCH(AJ$10,$T$7:$T$14,0)),0)*$T$20+IFERROR(INDEX($X$7:$X$14,MATCH(AJ$10,$T$7:$T$14,0)),0)*$T$21)/30</f>
        <v>128310</v>
      </c>
      <c r="BI250" s="10">
        <v>240</v>
      </c>
      <c r="BJ250" s="10">
        <f>MAX($BI250-积分赛!$C$7,0)*$BC$10/30</f>
        <v>700000</v>
      </c>
      <c r="BK250" s="10">
        <f>MAX($BI250-积分赛!$C$7,0)*$BC$10/30</f>
        <v>700000</v>
      </c>
      <c r="BL250" s="10">
        <f>MAX($BI250-积分赛!$C$7,0)*$BC$10/30</f>
        <v>700000</v>
      </c>
      <c r="BM250" s="10">
        <f>MAX($BI250-积分赛!$C$7,0)*$BC$10/30</f>
        <v>700000</v>
      </c>
      <c r="BN250" s="10">
        <f>MAX($BI250-积分赛!$C$7,0)*$BC$10/30</f>
        <v>700000</v>
      </c>
    </row>
    <row r="251" spans="26:66" x14ac:dyDescent="0.15">
      <c r="Z251" s="10">
        <v>241</v>
      </c>
      <c r="AA251" s="10">
        <f>IFERROR(MAX($Z251-积分赛!$C$7,0)*INDEX($U$7:$U$14,MATCH(AA$10,$T$7:$T$14,0))/30,0)</f>
        <v>0</v>
      </c>
      <c r="AB251" s="10">
        <f>IFERROR(MAX($Z251-积分赛!$C$7,0)*INDEX($U$7:$U$14,MATCH(AB$10,$T$7:$T$14,0))/30,0)</f>
        <v>0</v>
      </c>
      <c r="AC251" s="10">
        <f>IFERROR(MAX($Z251-积分赛!$C$7,0)*INDEX($U$7:$U$14,MATCH(AC$10,$T$7:$T$14,0))/30,0)</f>
        <v>0</v>
      </c>
      <c r="AD251" s="10">
        <f>IFERROR(MAX($Z251-积分赛!$C$7,0)*INDEX($U$7:$U$14,MATCH(AD$10,$T$7:$T$14,0))/30,0)</f>
        <v>562666.66666666663</v>
      </c>
      <c r="AE251" s="10">
        <f>IFERROR(MAX($Z251-积分赛!$C$7,0)*INDEX($U$7:$U$14,MATCH(AE$10,$T$7:$T$14,0))/30,0)</f>
        <v>7033333.333333333</v>
      </c>
      <c r="AF251" s="10">
        <f>MAX($Z251-积分赛!$C$7,0)*(IFERROR(INDEX($W$7:$W$14,MATCH(AF$10,$T$7:$T$14,0)),0)*$T$20+IFERROR(INDEX($X$7:$X$14,MATCH(AF$10,$T$7:$T$14,0)),0)*$T$21)/30</f>
        <v>0</v>
      </c>
      <c r="AG251" s="10">
        <f>MAX($Z251-积分赛!$C$7,0)*(IFERROR(INDEX($W$7:$W$14,MATCH(AG$10,$T$7:$T$14,0)),0)*$T$20+IFERROR(INDEX($X$7:$X$14,MATCH(AG$10,$T$7:$T$14,0)),0)*$T$21)/30</f>
        <v>0</v>
      </c>
      <c r="AH251" s="10">
        <f>MAX($Z251-积分赛!$C$7,0)*(IFERROR(INDEX($W$7:$W$14,MATCH(AH$10,$T$7:$T$14,0)),0)*$T$20+IFERROR(INDEX($X$7:$X$14,MATCH(AH$10,$T$7:$T$14,0)),0)*$T$21)/30</f>
        <v>0</v>
      </c>
      <c r="AI251" s="10">
        <f>MAX($Z251-积分赛!$C$7,0)*(IFERROR(INDEX($W$7:$W$14,MATCH(AI$10,$T$7:$T$14,0)),0)*$T$20+IFERROR(INDEX($X$7:$X$14,MATCH(AI$10,$T$7:$T$14,0)),0)*$T$21)/30</f>
        <v>21486.833333333332</v>
      </c>
      <c r="AJ251" s="10">
        <f>MAX($Z251-积分赛!$C$7,0)*(IFERROR(INDEX($W$7:$W$14,MATCH(AJ$10,$T$7:$T$14,0)),0)*$T$20+IFERROR(INDEX($X$7:$X$14,MATCH(AJ$10,$T$7:$T$14,0)),0)*$T$21)/30</f>
        <v>128921</v>
      </c>
      <c r="BI251" s="10">
        <v>241</v>
      </c>
      <c r="BJ251" s="10">
        <f>MAX($BI251-积分赛!$C$7,0)*$BC$10/30</f>
        <v>703333.33333333337</v>
      </c>
      <c r="BK251" s="10">
        <f>MAX($BI251-积分赛!$C$7,0)*$BC$10/30</f>
        <v>703333.33333333337</v>
      </c>
      <c r="BL251" s="10">
        <f>MAX($BI251-积分赛!$C$7,0)*$BC$10/30</f>
        <v>703333.33333333337</v>
      </c>
      <c r="BM251" s="10">
        <f>MAX($BI251-积分赛!$C$7,0)*$BC$10/30</f>
        <v>703333.33333333337</v>
      </c>
      <c r="BN251" s="10">
        <f>MAX($BI251-积分赛!$C$7,0)*$BC$10/30</f>
        <v>703333.33333333337</v>
      </c>
    </row>
    <row r="252" spans="26:66" x14ac:dyDescent="0.15">
      <c r="Z252" s="10">
        <v>242</v>
      </c>
      <c r="AA252" s="10">
        <f>IFERROR(MAX($Z252-积分赛!$C$7,0)*INDEX($U$7:$U$14,MATCH(AA$10,$T$7:$T$14,0))/30,0)</f>
        <v>0</v>
      </c>
      <c r="AB252" s="10">
        <f>IFERROR(MAX($Z252-积分赛!$C$7,0)*INDEX($U$7:$U$14,MATCH(AB$10,$T$7:$T$14,0))/30,0)</f>
        <v>0</v>
      </c>
      <c r="AC252" s="10">
        <f>IFERROR(MAX($Z252-积分赛!$C$7,0)*INDEX($U$7:$U$14,MATCH(AC$10,$T$7:$T$14,0))/30,0)</f>
        <v>0</v>
      </c>
      <c r="AD252" s="10">
        <f>IFERROR(MAX($Z252-积分赛!$C$7,0)*INDEX($U$7:$U$14,MATCH(AD$10,$T$7:$T$14,0))/30,0)</f>
        <v>565333.33333333337</v>
      </c>
      <c r="AE252" s="10">
        <f>IFERROR(MAX($Z252-积分赛!$C$7,0)*INDEX($U$7:$U$14,MATCH(AE$10,$T$7:$T$14,0))/30,0)</f>
        <v>7066666.666666667</v>
      </c>
      <c r="AF252" s="10">
        <f>MAX($Z252-积分赛!$C$7,0)*(IFERROR(INDEX($W$7:$W$14,MATCH(AF$10,$T$7:$T$14,0)),0)*$T$20+IFERROR(INDEX($X$7:$X$14,MATCH(AF$10,$T$7:$T$14,0)),0)*$T$21)/30</f>
        <v>0</v>
      </c>
      <c r="AG252" s="10">
        <f>MAX($Z252-积分赛!$C$7,0)*(IFERROR(INDEX($W$7:$W$14,MATCH(AG$10,$T$7:$T$14,0)),0)*$T$20+IFERROR(INDEX($X$7:$X$14,MATCH(AG$10,$T$7:$T$14,0)),0)*$T$21)/30</f>
        <v>0</v>
      </c>
      <c r="AH252" s="10">
        <f>MAX($Z252-积分赛!$C$7,0)*(IFERROR(INDEX($W$7:$W$14,MATCH(AH$10,$T$7:$T$14,0)),0)*$T$20+IFERROR(INDEX($X$7:$X$14,MATCH(AH$10,$T$7:$T$14,0)),0)*$T$21)/30</f>
        <v>0</v>
      </c>
      <c r="AI252" s="10">
        <f>MAX($Z252-积分赛!$C$7,0)*(IFERROR(INDEX($W$7:$W$14,MATCH(AI$10,$T$7:$T$14,0)),0)*$T$20+IFERROR(INDEX($X$7:$X$14,MATCH(AI$10,$T$7:$T$14,0)),0)*$T$21)/30</f>
        <v>21588.666666666668</v>
      </c>
      <c r="AJ252" s="10">
        <f>MAX($Z252-积分赛!$C$7,0)*(IFERROR(INDEX($W$7:$W$14,MATCH(AJ$10,$T$7:$T$14,0)),0)*$T$20+IFERROR(INDEX($X$7:$X$14,MATCH(AJ$10,$T$7:$T$14,0)),0)*$T$21)/30</f>
        <v>129532</v>
      </c>
      <c r="BI252" s="10">
        <v>242</v>
      </c>
      <c r="BJ252" s="10">
        <f>MAX($BI252-积分赛!$C$7,0)*$BC$10/30</f>
        <v>706666.66666666663</v>
      </c>
      <c r="BK252" s="10">
        <f>MAX($BI252-积分赛!$C$7,0)*$BC$10/30</f>
        <v>706666.66666666663</v>
      </c>
      <c r="BL252" s="10">
        <f>MAX($BI252-积分赛!$C$7,0)*$BC$10/30</f>
        <v>706666.66666666663</v>
      </c>
      <c r="BM252" s="10">
        <f>MAX($BI252-积分赛!$C$7,0)*$BC$10/30</f>
        <v>706666.66666666663</v>
      </c>
      <c r="BN252" s="10">
        <f>MAX($BI252-积分赛!$C$7,0)*$BC$10/30</f>
        <v>706666.66666666663</v>
      </c>
    </row>
    <row r="253" spans="26:66" x14ac:dyDescent="0.15">
      <c r="Z253" s="10">
        <v>243</v>
      </c>
      <c r="AA253" s="10">
        <f>IFERROR(MAX($Z253-积分赛!$C$7,0)*INDEX($U$7:$U$14,MATCH(AA$10,$T$7:$T$14,0))/30,0)</f>
        <v>0</v>
      </c>
      <c r="AB253" s="10">
        <f>IFERROR(MAX($Z253-积分赛!$C$7,0)*INDEX($U$7:$U$14,MATCH(AB$10,$T$7:$T$14,0))/30,0)</f>
        <v>0</v>
      </c>
      <c r="AC253" s="10">
        <f>IFERROR(MAX($Z253-积分赛!$C$7,0)*INDEX($U$7:$U$14,MATCH(AC$10,$T$7:$T$14,0))/30,0)</f>
        <v>0</v>
      </c>
      <c r="AD253" s="10">
        <f>IFERROR(MAX($Z253-积分赛!$C$7,0)*INDEX($U$7:$U$14,MATCH(AD$10,$T$7:$T$14,0))/30,0)</f>
        <v>568000</v>
      </c>
      <c r="AE253" s="10">
        <f>IFERROR(MAX($Z253-积分赛!$C$7,0)*INDEX($U$7:$U$14,MATCH(AE$10,$T$7:$T$14,0))/30,0)</f>
        <v>7100000</v>
      </c>
      <c r="AF253" s="10">
        <f>MAX($Z253-积分赛!$C$7,0)*(IFERROR(INDEX($W$7:$W$14,MATCH(AF$10,$T$7:$T$14,0)),0)*$T$20+IFERROR(INDEX($X$7:$X$14,MATCH(AF$10,$T$7:$T$14,0)),0)*$T$21)/30</f>
        <v>0</v>
      </c>
      <c r="AG253" s="10">
        <f>MAX($Z253-积分赛!$C$7,0)*(IFERROR(INDEX($W$7:$W$14,MATCH(AG$10,$T$7:$T$14,0)),0)*$T$20+IFERROR(INDEX($X$7:$X$14,MATCH(AG$10,$T$7:$T$14,0)),0)*$T$21)/30</f>
        <v>0</v>
      </c>
      <c r="AH253" s="10">
        <f>MAX($Z253-积分赛!$C$7,0)*(IFERROR(INDEX($W$7:$W$14,MATCH(AH$10,$T$7:$T$14,0)),0)*$T$20+IFERROR(INDEX($X$7:$X$14,MATCH(AH$10,$T$7:$T$14,0)),0)*$T$21)/30</f>
        <v>0</v>
      </c>
      <c r="AI253" s="10">
        <f>MAX($Z253-积分赛!$C$7,0)*(IFERROR(INDEX($W$7:$W$14,MATCH(AI$10,$T$7:$T$14,0)),0)*$T$20+IFERROR(INDEX($X$7:$X$14,MATCH(AI$10,$T$7:$T$14,0)),0)*$T$21)/30</f>
        <v>21690.5</v>
      </c>
      <c r="AJ253" s="10">
        <f>MAX($Z253-积分赛!$C$7,0)*(IFERROR(INDEX($W$7:$W$14,MATCH(AJ$10,$T$7:$T$14,0)),0)*$T$20+IFERROR(INDEX($X$7:$X$14,MATCH(AJ$10,$T$7:$T$14,0)),0)*$T$21)/30</f>
        <v>130143</v>
      </c>
      <c r="BI253" s="10">
        <v>243</v>
      </c>
      <c r="BJ253" s="10">
        <f>MAX($BI253-积分赛!$C$7,0)*$BC$10/30</f>
        <v>710000</v>
      </c>
      <c r="BK253" s="10">
        <f>MAX($BI253-积分赛!$C$7,0)*$BC$10/30</f>
        <v>710000</v>
      </c>
      <c r="BL253" s="10">
        <f>MAX($BI253-积分赛!$C$7,0)*$BC$10/30</f>
        <v>710000</v>
      </c>
      <c r="BM253" s="10">
        <f>MAX($BI253-积分赛!$C$7,0)*$BC$10/30</f>
        <v>710000</v>
      </c>
      <c r="BN253" s="10">
        <f>MAX($BI253-积分赛!$C$7,0)*$BC$10/30</f>
        <v>710000</v>
      </c>
    </row>
    <row r="254" spans="26:66" x14ac:dyDescent="0.15">
      <c r="Z254" s="10">
        <v>244</v>
      </c>
      <c r="AA254" s="10">
        <f>IFERROR(MAX($Z254-积分赛!$C$7,0)*INDEX($U$7:$U$14,MATCH(AA$10,$T$7:$T$14,0))/30,0)</f>
        <v>0</v>
      </c>
      <c r="AB254" s="10">
        <f>IFERROR(MAX($Z254-积分赛!$C$7,0)*INDEX($U$7:$U$14,MATCH(AB$10,$T$7:$T$14,0))/30,0)</f>
        <v>0</v>
      </c>
      <c r="AC254" s="10">
        <f>IFERROR(MAX($Z254-积分赛!$C$7,0)*INDEX($U$7:$U$14,MATCH(AC$10,$T$7:$T$14,0))/30,0)</f>
        <v>0</v>
      </c>
      <c r="AD254" s="10">
        <f>IFERROR(MAX($Z254-积分赛!$C$7,0)*INDEX($U$7:$U$14,MATCH(AD$10,$T$7:$T$14,0))/30,0)</f>
        <v>570666.66666666663</v>
      </c>
      <c r="AE254" s="10">
        <f>IFERROR(MAX($Z254-积分赛!$C$7,0)*INDEX($U$7:$U$14,MATCH(AE$10,$T$7:$T$14,0))/30,0)</f>
        <v>7133333.333333333</v>
      </c>
      <c r="AF254" s="10">
        <f>MAX($Z254-积分赛!$C$7,0)*(IFERROR(INDEX($W$7:$W$14,MATCH(AF$10,$T$7:$T$14,0)),0)*$T$20+IFERROR(INDEX($X$7:$X$14,MATCH(AF$10,$T$7:$T$14,0)),0)*$T$21)/30</f>
        <v>0</v>
      </c>
      <c r="AG254" s="10">
        <f>MAX($Z254-积分赛!$C$7,0)*(IFERROR(INDEX($W$7:$W$14,MATCH(AG$10,$T$7:$T$14,0)),0)*$T$20+IFERROR(INDEX($X$7:$X$14,MATCH(AG$10,$T$7:$T$14,0)),0)*$T$21)/30</f>
        <v>0</v>
      </c>
      <c r="AH254" s="10">
        <f>MAX($Z254-积分赛!$C$7,0)*(IFERROR(INDEX($W$7:$W$14,MATCH(AH$10,$T$7:$T$14,0)),0)*$T$20+IFERROR(INDEX($X$7:$X$14,MATCH(AH$10,$T$7:$T$14,0)),0)*$T$21)/30</f>
        <v>0</v>
      </c>
      <c r="AI254" s="10">
        <f>MAX($Z254-积分赛!$C$7,0)*(IFERROR(INDEX($W$7:$W$14,MATCH(AI$10,$T$7:$T$14,0)),0)*$T$20+IFERROR(INDEX($X$7:$X$14,MATCH(AI$10,$T$7:$T$14,0)),0)*$T$21)/30</f>
        <v>21792.333333333332</v>
      </c>
      <c r="AJ254" s="10">
        <f>MAX($Z254-积分赛!$C$7,0)*(IFERROR(INDEX($W$7:$W$14,MATCH(AJ$10,$T$7:$T$14,0)),0)*$T$20+IFERROR(INDEX($X$7:$X$14,MATCH(AJ$10,$T$7:$T$14,0)),0)*$T$21)/30</f>
        <v>130754</v>
      </c>
      <c r="BI254" s="10">
        <v>244</v>
      </c>
      <c r="BJ254" s="10">
        <f>MAX($BI254-积分赛!$C$7,0)*$BC$10/30</f>
        <v>713333.33333333337</v>
      </c>
      <c r="BK254" s="10">
        <f>MAX($BI254-积分赛!$C$7,0)*$BC$10/30</f>
        <v>713333.33333333337</v>
      </c>
      <c r="BL254" s="10">
        <f>MAX($BI254-积分赛!$C$7,0)*$BC$10/30</f>
        <v>713333.33333333337</v>
      </c>
      <c r="BM254" s="10">
        <f>MAX($BI254-积分赛!$C$7,0)*$BC$10/30</f>
        <v>713333.33333333337</v>
      </c>
      <c r="BN254" s="10">
        <f>MAX($BI254-积分赛!$C$7,0)*$BC$10/30</f>
        <v>713333.33333333337</v>
      </c>
    </row>
    <row r="255" spans="26:66" x14ac:dyDescent="0.15">
      <c r="Z255" s="10">
        <v>245</v>
      </c>
      <c r="AA255" s="10">
        <f>IFERROR(MAX($Z255-积分赛!$C$7,0)*INDEX($U$7:$U$14,MATCH(AA$10,$T$7:$T$14,0))/30,0)</f>
        <v>0</v>
      </c>
      <c r="AB255" s="10">
        <f>IFERROR(MAX($Z255-积分赛!$C$7,0)*INDEX($U$7:$U$14,MATCH(AB$10,$T$7:$T$14,0))/30,0)</f>
        <v>0</v>
      </c>
      <c r="AC255" s="10">
        <f>IFERROR(MAX($Z255-积分赛!$C$7,0)*INDEX($U$7:$U$14,MATCH(AC$10,$T$7:$T$14,0))/30,0)</f>
        <v>0</v>
      </c>
      <c r="AD255" s="10">
        <f>IFERROR(MAX($Z255-积分赛!$C$7,0)*INDEX($U$7:$U$14,MATCH(AD$10,$T$7:$T$14,0))/30,0)</f>
        <v>573333.33333333337</v>
      </c>
      <c r="AE255" s="10">
        <f>IFERROR(MAX($Z255-积分赛!$C$7,0)*INDEX($U$7:$U$14,MATCH(AE$10,$T$7:$T$14,0))/30,0)</f>
        <v>7166666.666666667</v>
      </c>
      <c r="AF255" s="10">
        <f>MAX($Z255-积分赛!$C$7,0)*(IFERROR(INDEX($W$7:$W$14,MATCH(AF$10,$T$7:$T$14,0)),0)*$T$20+IFERROR(INDEX($X$7:$X$14,MATCH(AF$10,$T$7:$T$14,0)),0)*$T$21)/30</f>
        <v>0</v>
      </c>
      <c r="AG255" s="10">
        <f>MAX($Z255-积分赛!$C$7,0)*(IFERROR(INDEX($W$7:$W$14,MATCH(AG$10,$T$7:$T$14,0)),0)*$T$20+IFERROR(INDEX($X$7:$X$14,MATCH(AG$10,$T$7:$T$14,0)),0)*$T$21)/30</f>
        <v>0</v>
      </c>
      <c r="AH255" s="10">
        <f>MAX($Z255-积分赛!$C$7,0)*(IFERROR(INDEX($W$7:$W$14,MATCH(AH$10,$T$7:$T$14,0)),0)*$T$20+IFERROR(INDEX($X$7:$X$14,MATCH(AH$10,$T$7:$T$14,0)),0)*$T$21)/30</f>
        <v>0</v>
      </c>
      <c r="AI255" s="10">
        <f>MAX($Z255-积分赛!$C$7,0)*(IFERROR(INDEX($W$7:$W$14,MATCH(AI$10,$T$7:$T$14,0)),0)*$T$20+IFERROR(INDEX($X$7:$X$14,MATCH(AI$10,$T$7:$T$14,0)),0)*$T$21)/30</f>
        <v>21894.166666666668</v>
      </c>
      <c r="AJ255" s="10">
        <f>MAX($Z255-积分赛!$C$7,0)*(IFERROR(INDEX($W$7:$W$14,MATCH(AJ$10,$T$7:$T$14,0)),0)*$T$20+IFERROR(INDEX($X$7:$X$14,MATCH(AJ$10,$T$7:$T$14,0)),0)*$T$21)/30</f>
        <v>131365</v>
      </c>
      <c r="BI255" s="10">
        <v>245</v>
      </c>
      <c r="BJ255" s="10">
        <f>MAX($BI255-积分赛!$C$7,0)*$BC$10/30</f>
        <v>716666.66666666663</v>
      </c>
      <c r="BK255" s="10">
        <f>MAX($BI255-积分赛!$C$7,0)*$BC$10/30</f>
        <v>716666.66666666663</v>
      </c>
      <c r="BL255" s="10">
        <f>MAX($BI255-积分赛!$C$7,0)*$BC$10/30</f>
        <v>716666.66666666663</v>
      </c>
      <c r="BM255" s="10">
        <f>MAX($BI255-积分赛!$C$7,0)*$BC$10/30</f>
        <v>716666.66666666663</v>
      </c>
      <c r="BN255" s="10">
        <f>MAX($BI255-积分赛!$C$7,0)*$BC$10/30</f>
        <v>716666.66666666663</v>
      </c>
    </row>
    <row r="256" spans="26:66" x14ac:dyDescent="0.15">
      <c r="Z256" s="10">
        <v>246</v>
      </c>
      <c r="AA256" s="10">
        <f>IFERROR(MAX($Z256-积分赛!$C$7,0)*INDEX($U$7:$U$14,MATCH(AA$10,$T$7:$T$14,0))/30,0)</f>
        <v>0</v>
      </c>
      <c r="AB256" s="10">
        <f>IFERROR(MAX($Z256-积分赛!$C$7,0)*INDEX($U$7:$U$14,MATCH(AB$10,$T$7:$T$14,0))/30,0)</f>
        <v>0</v>
      </c>
      <c r="AC256" s="10">
        <f>IFERROR(MAX($Z256-积分赛!$C$7,0)*INDEX($U$7:$U$14,MATCH(AC$10,$T$7:$T$14,0))/30,0)</f>
        <v>0</v>
      </c>
      <c r="AD256" s="10">
        <f>IFERROR(MAX($Z256-积分赛!$C$7,0)*INDEX($U$7:$U$14,MATCH(AD$10,$T$7:$T$14,0))/30,0)</f>
        <v>576000</v>
      </c>
      <c r="AE256" s="10">
        <f>IFERROR(MAX($Z256-积分赛!$C$7,0)*INDEX($U$7:$U$14,MATCH(AE$10,$T$7:$T$14,0))/30,0)</f>
        <v>7200000</v>
      </c>
      <c r="AF256" s="10">
        <f>MAX($Z256-积分赛!$C$7,0)*(IFERROR(INDEX($W$7:$W$14,MATCH(AF$10,$T$7:$T$14,0)),0)*$T$20+IFERROR(INDEX($X$7:$X$14,MATCH(AF$10,$T$7:$T$14,0)),0)*$T$21)/30</f>
        <v>0</v>
      </c>
      <c r="AG256" s="10">
        <f>MAX($Z256-积分赛!$C$7,0)*(IFERROR(INDEX($W$7:$W$14,MATCH(AG$10,$T$7:$T$14,0)),0)*$T$20+IFERROR(INDEX($X$7:$X$14,MATCH(AG$10,$T$7:$T$14,0)),0)*$T$21)/30</f>
        <v>0</v>
      </c>
      <c r="AH256" s="10">
        <f>MAX($Z256-积分赛!$C$7,0)*(IFERROR(INDEX($W$7:$W$14,MATCH(AH$10,$T$7:$T$14,0)),0)*$T$20+IFERROR(INDEX($X$7:$X$14,MATCH(AH$10,$T$7:$T$14,0)),0)*$T$21)/30</f>
        <v>0</v>
      </c>
      <c r="AI256" s="10">
        <f>MAX($Z256-积分赛!$C$7,0)*(IFERROR(INDEX($W$7:$W$14,MATCH(AI$10,$T$7:$T$14,0)),0)*$T$20+IFERROR(INDEX($X$7:$X$14,MATCH(AI$10,$T$7:$T$14,0)),0)*$T$21)/30</f>
        <v>21996</v>
      </c>
      <c r="AJ256" s="10">
        <f>MAX($Z256-积分赛!$C$7,0)*(IFERROR(INDEX($W$7:$W$14,MATCH(AJ$10,$T$7:$T$14,0)),0)*$T$20+IFERROR(INDEX($X$7:$X$14,MATCH(AJ$10,$T$7:$T$14,0)),0)*$T$21)/30</f>
        <v>131976</v>
      </c>
      <c r="BI256" s="10">
        <v>246</v>
      </c>
      <c r="BJ256" s="10">
        <f>MAX($BI256-积分赛!$C$7,0)*$BC$10/30</f>
        <v>720000</v>
      </c>
      <c r="BK256" s="10">
        <f>MAX($BI256-积分赛!$C$7,0)*$BC$10/30</f>
        <v>720000</v>
      </c>
      <c r="BL256" s="10">
        <f>MAX($BI256-积分赛!$C$7,0)*$BC$10/30</f>
        <v>720000</v>
      </c>
      <c r="BM256" s="10">
        <f>MAX($BI256-积分赛!$C$7,0)*$BC$10/30</f>
        <v>720000</v>
      </c>
      <c r="BN256" s="10">
        <f>MAX($BI256-积分赛!$C$7,0)*$BC$10/30</f>
        <v>720000</v>
      </c>
    </row>
    <row r="257" spans="26:66" x14ac:dyDescent="0.15">
      <c r="Z257" s="10">
        <v>247</v>
      </c>
      <c r="AA257" s="10">
        <f>IFERROR(MAX($Z257-积分赛!$C$7,0)*INDEX($U$7:$U$14,MATCH(AA$10,$T$7:$T$14,0))/30,0)</f>
        <v>0</v>
      </c>
      <c r="AB257" s="10">
        <f>IFERROR(MAX($Z257-积分赛!$C$7,0)*INDEX($U$7:$U$14,MATCH(AB$10,$T$7:$T$14,0))/30,0)</f>
        <v>0</v>
      </c>
      <c r="AC257" s="10">
        <f>IFERROR(MAX($Z257-积分赛!$C$7,0)*INDEX($U$7:$U$14,MATCH(AC$10,$T$7:$T$14,0))/30,0)</f>
        <v>0</v>
      </c>
      <c r="AD257" s="10">
        <f>IFERROR(MAX($Z257-积分赛!$C$7,0)*INDEX($U$7:$U$14,MATCH(AD$10,$T$7:$T$14,0))/30,0)</f>
        <v>578666.66666666663</v>
      </c>
      <c r="AE257" s="10">
        <f>IFERROR(MAX($Z257-积分赛!$C$7,0)*INDEX($U$7:$U$14,MATCH(AE$10,$T$7:$T$14,0))/30,0)</f>
        <v>7233333.333333333</v>
      </c>
      <c r="AF257" s="10">
        <f>MAX($Z257-积分赛!$C$7,0)*(IFERROR(INDEX($W$7:$W$14,MATCH(AF$10,$T$7:$T$14,0)),0)*$T$20+IFERROR(INDEX($X$7:$X$14,MATCH(AF$10,$T$7:$T$14,0)),0)*$T$21)/30</f>
        <v>0</v>
      </c>
      <c r="AG257" s="10">
        <f>MAX($Z257-积分赛!$C$7,0)*(IFERROR(INDEX($W$7:$W$14,MATCH(AG$10,$T$7:$T$14,0)),0)*$T$20+IFERROR(INDEX($X$7:$X$14,MATCH(AG$10,$T$7:$T$14,0)),0)*$T$21)/30</f>
        <v>0</v>
      </c>
      <c r="AH257" s="10">
        <f>MAX($Z257-积分赛!$C$7,0)*(IFERROR(INDEX($W$7:$W$14,MATCH(AH$10,$T$7:$T$14,0)),0)*$T$20+IFERROR(INDEX($X$7:$X$14,MATCH(AH$10,$T$7:$T$14,0)),0)*$T$21)/30</f>
        <v>0</v>
      </c>
      <c r="AI257" s="10">
        <f>MAX($Z257-积分赛!$C$7,0)*(IFERROR(INDEX($W$7:$W$14,MATCH(AI$10,$T$7:$T$14,0)),0)*$T$20+IFERROR(INDEX($X$7:$X$14,MATCH(AI$10,$T$7:$T$14,0)),0)*$T$21)/30</f>
        <v>22097.833333333332</v>
      </c>
      <c r="AJ257" s="10">
        <f>MAX($Z257-积分赛!$C$7,0)*(IFERROR(INDEX($W$7:$W$14,MATCH(AJ$10,$T$7:$T$14,0)),0)*$T$20+IFERROR(INDEX($X$7:$X$14,MATCH(AJ$10,$T$7:$T$14,0)),0)*$T$21)/30</f>
        <v>132587</v>
      </c>
      <c r="BI257" s="10">
        <v>247</v>
      </c>
      <c r="BJ257" s="10">
        <f>MAX($BI257-积分赛!$C$7,0)*$BC$10/30</f>
        <v>723333.33333333337</v>
      </c>
      <c r="BK257" s="10">
        <f>MAX($BI257-积分赛!$C$7,0)*$BC$10/30</f>
        <v>723333.33333333337</v>
      </c>
      <c r="BL257" s="10">
        <f>MAX($BI257-积分赛!$C$7,0)*$BC$10/30</f>
        <v>723333.33333333337</v>
      </c>
      <c r="BM257" s="10">
        <f>MAX($BI257-积分赛!$C$7,0)*$BC$10/30</f>
        <v>723333.33333333337</v>
      </c>
      <c r="BN257" s="10">
        <f>MAX($BI257-积分赛!$C$7,0)*$BC$10/30</f>
        <v>723333.33333333337</v>
      </c>
    </row>
    <row r="258" spans="26:66" x14ac:dyDescent="0.15">
      <c r="Z258" s="10">
        <v>248</v>
      </c>
      <c r="AA258" s="10">
        <f>IFERROR(MAX($Z258-积分赛!$C$7,0)*INDEX($U$7:$U$14,MATCH(AA$10,$T$7:$T$14,0))/30,0)</f>
        <v>0</v>
      </c>
      <c r="AB258" s="10">
        <f>IFERROR(MAX($Z258-积分赛!$C$7,0)*INDEX($U$7:$U$14,MATCH(AB$10,$T$7:$T$14,0))/30,0)</f>
        <v>0</v>
      </c>
      <c r="AC258" s="10">
        <f>IFERROR(MAX($Z258-积分赛!$C$7,0)*INDEX($U$7:$U$14,MATCH(AC$10,$T$7:$T$14,0))/30,0)</f>
        <v>0</v>
      </c>
      <c r="AD258" s="10">
        <f>IFERROR(MAX($Z258-积分赛!$C$7,0)*INDEX($U$7:$U$14,MATCH(AD$10,$T$7:$T$14,0))/30,0)</f>
        <v>581333.33333333337</v>
      </c>
      <c r="AE258" s="10">
        <f>IFERROR(MAX($Z258-积分赛!$C$7,0)*INDEX($U$7:$U$14,MATCH(AE$10,$T$7:$T$14,0))/30,0)</f>
        <v>7266666.666666667</v>
      </c>
      <c r="AF258" s="10">
        <f>MAX($Z258-积分赛!$C$7,0)*(IFERROR(INDEX($W$7:$W$14,MATCH(AF$10,$T$7:$T$14,0)),0)*$T$20+IFERROR(INDEX($X$7:$X$14,MATCH(AF$10,$T$7:$T$14,0)),0)*$T$21)/30</f>
        <v>0</v>
      </c>
      <c r="AG258" s="10">
        <f>MAX($Z258-积分赛!$C$7,0)*(IFERROR(INDEX($W$7:$W$14,MATCH(AG$10,$T$7:$T$14,0)),0)*$T$20+IFERROR(INDEX($X$7:$X$14,MATCH(AG$10,$T$7:$T$14,0)),0)*$T$21)/30</f>
        <v>0</v>
      </c>
      <c r="AH258" s="10">
        <f>MAX($Z258-积分赛!$C$7,0)*(IFERROR(INDEX($W$7:$W$14,MATCH(AH$10,$T$7:$T$14,0)),0)*$T$20+IFERROR(INDEX($X$7:$X$14,MATCH(AH$10,$T$7:$T$14,0)),0)*$T$21)/30</f>
        <v>0</v>
      </c>
      <c r="AI258" s="10">
        <f>MAX($Z258-积分赛!$C$7,0)*(IFERROR(INDEX($W$7:$W$14,MATCH(AI$10,$T$7:$T$14,0)),0)*$T$20+IFERROR(INDEX($X$7:$X$14,MATCH(AI$10,$T$7:$T$14,0)),0)*$T$21)/30</f>
        <v>22199.666666666668</v>
      </c>
      <c r="AJ258" s="10">
        <f>MAX($Z258-积分赛!$C$7,0)*(IFERROR(INDEX($W$7:$W$14,MATCH(AJ$10,$T$7:$T$14,0)),0)*$T$20+IFERROR(INDEX($X$7:$X$14,MATCH(AJ$10,$T$7:$T$14,0)),0)*$T$21)/30</f>
        <v>133198</v>
      </c>
      <c r="BI258" s="10">
        <v>248</v>
      </c>
      <c r="BJ258" s="10">
        <f>MAX($BI258-积分赛!$C$7,0)*$BC$10/30</f>
        <v>726666.66666666663</v>
      </c>
      <c r="BK258" s="10">
        <f>MAX($BI258-积分赛!$C$7,0)*$BC$10/30</f>
        <v>726666.66666666663</v>
      </c>
      <c r="BL258" s="10">
        <f>MAX($BI258-积分赛!$C$7,0)*$BC$10/30</f>
        <v>726666.66666666663</v>
      </c>
      <c r="BM258" s="10">
        <f>MAX($BI258-积分赛!$C$7,0)*$BC$10/30</f>
        <v>726666.66666666663</v>
      </c>
      <c r="BN258" s="10">
        <f>MAX($BI258-积分赛!$C$7,0)*$BC$10/30</f>
        <v>726666.66666666663</v>
      </c>
    </row>
    <row r="259" spans="26:66" x14ac:dyDescent="0.15">
      <c r="Z259" s="10">
        <v>249</v>
      </c>
      <c r="AA259" s="10">
        <f>IFERROR(MAX($Z259-积分赛!$C$7,0)*INDEX($U$7:$U$14,MATCH(AA$10,$T$7:$T$14,0))/30,0)</f>
        <v>0</v>
      </c>
      <c r="AB259" s="10">
        <f>IFERROR(MAX($Z259-积分赛!$C$7,0)*INDEX($U$7:$U$14,MATCH(AB$10,$T$7:$T$14,0))/30,0)</f>
        <v>0</v>
      </c>
      <c r="AC259" s="10">
        <f>IFERROR(MAX($Z259-积分赛!$C$7,0)*INDEX($U$7:$U$14,MATCH(AC$10,$T$7:$T$14,0))/30,0)</f>
        <v>0</v>
      </c>
      <c r="AD259" s="10">
        <f>IFERROR(MAX($Z259-积分赛!$C$7,0)*INDEX($U$7:$U$14,MATCH(AD$10,$T$7:$T$14,0))/30,0)</f>
        <v>584000</v>
      </c>
      <c r="AE259" s="10">
        <f>IFERROR(MAX($Z259-积分赛!$C$7,0)*INDEX($U$7:$U$14,MATCH(AE$10,$T$7:$T$14,0))/30,0)</f>
        <v>7300000</v>
      </c>
      <c r="AF259" s="10">
        <f>MAX($Z259-积分赛!$C$7,0)*(IFERROR(INDEX($W$7:$W$14,MATCH(AF$10,$T$7:$T$14,0)),0)*$T$20+IFERROR(INDEX($X$7:$X$14,MATCH(AF$10,$T$7:$T$14,0)),0)*$T$21)/30</f>
        <v>0</v>
      </c>
      <c r="AG259" s="10">
        <f>MAX($Z259-积分赛!$C$7,0)*(IFERROR(INDEX($W$7:$W$14,MATCH(AG$10,$T$7:$T$14,0)),0)*$T$20+IFERROR(INDEX($X$7:$X$14,MATCH(AG$10,$T$7:$T$14,0)),0)*$T$21)/30</f>
        <v>0</v>
      </c>
      <c r="AH259" s="10">
        <f>MAX($Z259-积分赛!$C$7,0)*(IFERROR(INDEX($W$7:$W$14,MATCH(AH$10,$T$7:$T$14,0)),0)*$T$20+IFERROR(INDEX($X$7:$X$14,MATCH(AH$10,$T$7:$T$14,0)),0)*$T$21)/30</f>
        <v>0</v>
      </c>
      <c r="AI259" s="10">
        <f>MAX($Z259-积分赛!$C$7,0)*(IFERROR(INDEX($W$7:$W$14,MATCH(AI$10,$T$7:$T$14,0)),0)*$T$20+IFERROR(INDEX($X$7:$X$14,MATCH(AI$10,$T$7:$T$14,0)),0)*$T$21)/30</f>
        <v>22301.5</v>
      </c>
      <c r="AJ259" s="10">
        <f>MAX($Z259-积分赛!$C$7,0)*(IFERROR(INDEX($W$7:$W$14,MATCH(AJ$10,$T$7:$T$14,0)),0)*$T$20+IFERROR(INDEX($X$7:$X$14,MATCH(AJ$10,$T$7:$T$14,0)),0)*$T$21)/30</f>
        <v>133809</v>
      </c>
      <c r="BI259" s="10">
        <v>249</v>
      </c>
      <c r="BJ259" s="10">
        <f>MAX($BI259-积分赛!$C$7,0)*$BC$10/30</f>
        <v>730000</v>
      </c>
      <c r="BK259" s="10">
        <f>MAX($BI259-积分赛!$C$7,0)*$BC$10/30</f>
        <v>730000</v>
      </c>
      <c r="BL259" s="10">
        <f>MAX($BI259-积分赛!$C$7,0)*$BC$10/30</f>
        <v>730000</v>
      </c>
      <c r="BM259" s="10">
        <f>MAX($BI259-积分赛!$C$7,0)*$BC$10/30</f>
        <v>730000</v>
      </c>
      <c r="BN259" s="10">
        <f>MAX($BI259-积分赛!$C$7,0)*$BC$10/30</f>
        <v>730000</v>
      </c>
    </row>
    <row r="260" spans="26:66" x14ac:dyDescent="0.15">
      <c r="Z260" s="10">
        <v>250</v>
      </c>
      <c r="AA260" s="10">
        <f>IFERROR(MAX($Z260-积分赛!$C$7,0)*INDEX($U$7:$U$14,MATCH(AA$10,$T$7:$T$14,0))/30,0)</f>
        <v>0</v>
      </c>
      <c r="AB260" s="10">
        <f>IFERROR(MAX($Z260-积分赛!$C$7,0)*INDEX($U$7:$U$14,MATCH(AB$10,$T$7:$T$14,0))/30,0)</f>
        <v>0</v>
      </c>
      <c r="AC260" s="10">
        <f>IFERROR(MAX($Z260-积分赛!$C$7,0)*INDEX($U$7:$U$14,MATCH(AC$10,$T$7:$T$14,0))/30,0)</f>
        <v>0</v>
      </c>
      <c r="AD260" s="10">
        <f>IFERROR(MAX($Z260-积分赛!$C$7,0)*INDEX($U$7:$U$14,MATCH(AD$10,$T$7:$T$14,0))/30,0)</f>
        <v>586666.66666666663</v>
      </c>
      <c r="AE260" s="10">
        <f>IFERROR(MAX($Z260-积分赛!$C$7,0)*INDEX($U$7:$U$14,MATCH(AE$10,$T$7:$T$14,0))/30,0)</f>
        <v>7333333.333333333</v>
      </c>
      <c r="AF260" s="10">
        <f>MAX($Z260-积分赛!$C$7,0)*(IFERROR(INDEX($W$7:$W$14,MATCH(AF$10,$T$7:$T$14,0)),0)*$T$20+IFERROR(INDEX($X$7:$X$14,MATCH(AF$10,$T$7:$T$14,0)),0)*$T$21)/30</f>
        <v>0</v>
      </c>
      <c r="AG260" s="10">
        <f>MAX($Z260-积分赛!$C$7,0)*(IFERROR(INDEX($W$7:$W$14,MATCH(AG$10,$T$7:$T$14,0)),0)*$T$20+IFERROR(INDEX($X$7:$X$14,MATCH(AG$10,$T$7:$T$14,0)),0)*$T$21)/30</f>
        <v>0</v>
      </c>
      <c r="AH260" s="10">
        <f>MAX($Z260-积分赛!$C$7,0)*(IFERROR(INDEX($W$7:$W$14,MATCH(AH$10,$T$7:$T$14,0)),0)*$T$20+IFERROR(INDEX($X$7:$X$14,MATCH(AH$10,$T$7:$T$14,0)),0)*$T$21)/30</f>
        <v>0</v>
      </c>
      <c r="AI260" s="10">
        <f>MAX($Z260-积分赛!$C$7,0)*(IFERROR(INDEX($W$7:$W$14,MATCH(AI$10,$T$7:$T$14,0)),0)*$T$20+IFERROR(INDEX($X$7:$X$14,MATCH(AI$10,$T$7:$T$14,0)),0)*$T$21)/30</f>
        <v>22403.333333333332</v>
      </c>
      <c r="AJ260" s="10">
        <f>MAX($Z260-积分赛!$C$7,0)*(IFERROR(INDEX($W$7:$W$14,MATCH(AJ$10,$T$7:$T$14,0)),0)*$T$20+IFERROR(INDEX($X$7:$X$14,MATCH(AJ$10,$T$7:$T$14,0)),0)*$T$21)/30</f>
        <v>134420</v>
      </c>
      <c r="BI260" s="10">
        <v>250</v>
      </c>
      <c r="BJ260" s="10">
        <f>MAX($BI260-积分赛!$C$7,0)*$BC$10/30</f>
        <v>733333.33333333337</v>
      </c>
      <c r="BK260" s="10">
        <f>MAX($BI260-积分赛!$C$7,0)*$BC$10/30</f>
        <v>733333.33333333337</v>
      </c>
      <c r="BL260" s="10">
        <f>MAX($BI260-积分赛!$C$7,0)*$BC$10/30</f>
        <v>733333.33333333337</v>
      </c>
      <c r="BM260" s="10">
        <f>MAX($BI260-积分赛!$C$7,0)*$BC$10/30</f>
        <v>733333.33333333337</v>
      </c>
      <c r="BN260" s="10">
        <f>MAX($BI260-积分赛!$C$7,0)*$BC$10/30</f>
        <v>733333.33333333337</v>
      </c>
    </row>
    <row r="261" spans="26:66" x14ac:dyDescent="0.15">
      <c r="Z261" s="10">
        <v>251</v>
      </c>
      <c r="AA261" s="10">
        <f>IFERROR(MAX($Z261-积分赛!$C$7,0)*INDEX($U$7:$U$14,MATCH(AA$10,$T$7:$T$14,0))/30,0)</f>
        <v>0</v>
      </c>
      <c r="AB261" s="10">
        <f>IFERROR(MAX($Z261-积分赛!$C$7,0)*INDEX($U$7:$U$14,MATCH(AB$10,$T$7:$T$14,0))/30,0)</f>
        <v>0</v>
      </c>
      <c r="AC261" s="10">
        <f>IFERROR(MAX($Z261-积分赛!$C$7,0)*INDEX($U$7:$U$14,MATCH(AC$10,$T$7:$T$14,0))/30,0)</f>
        <v>0</v>
      </c>
      <c r="AD261" s="10">
        <f>IFERROR(MAX($Z261-积分赛!$C$7,0)*INDEX($U$7:$U$14,MATCH(AD$10,$T$7:$T$14,0))/30,0)</f>
        <v>589333.33333333337</v>
      </c>
      <c r="AE261" s="10">
        <f>IFERROR(MAX($Z261-积分赛!$C$7,0)*INDEX($U$7:$U$14,MATCH(AE$10,$T$7:$T$14,0))/30,0)</f>
        <v>7366666.666666667</v>
      </c>
      <c r="AF261" s="10">
        <f>MAX($Z261-积分赛!$C$7,0)*(IFERROR(INDEX($W$7:$W$14,MATCH(AF$10,$T$7:$T$14,0)),0)*$T$20+IFERROR(INDEX($X$7:$X$14,MATCH(AF$10,$T$7:$T$14,0)),0)*$T$21)/30</f>
        <v>0</v>
      </c>
      <c r="AG261" s="10">
        <f>MAX($Z261-积分赛!$C$7,0)*(IFERROR(INDEX($W$7:$W$14,MATCH(AG$10,$T$7:$T$14,0)),0)*$T$20+IFERROR(INDEX($X$7:$X$14,MATCH(AG$10,$T$7:$T$14,0)),0)*$T$21)/30</f>
        <v>0</v>
      </c>
      <c r="AH261" s="10">
        <f>MAX($Z261-积分赛!$C$7,0)*(IFERROR(INDEX($W$7:$W$14,MATCH(AH$10,$T$7:$T$14,0)),0)*$T$20+IFERROR(INDEX($X$7:$X$14,MATCH(AH$10,$T$7:$T$14,0)),0)*$T$21)/30</f>
        <v>0</v>
      </c>
      <c r="AI261" s="10">
        <f>MAX($Z261-积分赛!$C$7,0)*(IFERROR(INDEX($W$7:$W$14,MATCH(AI$10,$T$7:$T$14,0)),0)*$T$20+IFERROR(INDEX($X$7:$X$14,MATCH(AI$10,$T$7:$T$14,0)),0)*$T$21)/30</f>
        <v>22505.166666666668</v>
      </c>
      <c r="AJ261" s="10">
        <f>MAX($Z261-积分赛!$C$7,0)*(IFERROR(INDEX($W$7:$W$14,MATCH(AJ$10,$T$7:$T$14,0)),0)*$T$20+IFERROR(INDEX($X$7:$X$14,MATCH(AJ$10,$T$7:$T$14,0)),0)*$T$21)/30</f>
        <v>135031</v>
      </c>
      <c r="BI261" s="10">
        <v>251</v>
      </c>
      <c r="BJ261" s="10">
        <f>MAX($BI261-积分赛!$C$7,0)*$BC$10/30</f>
        <v>736666.66666666663</v>
      </c>
      <c r="BK261" s="10">
        <f>MAX($BI261-积分赛!$C$7,0)*$BC$10/30</f>
        <v>736666.66666666663</v>
      </c>
      <c r="BL261" s="10">
        <f>MAX($BI261-积分赛!$C$7,0)*$BC$10/30</f>
        <v>736666.66666666663</v>
      </c>
      <c r="BM261" s="10">
        <f>MAX($BI261-积分赛!$C$7,0)*$BC$10/30</f>
        <v>736666.66666666663</v>
      </c>
      <c r="BN261" s="10">
        <f>MAX($BI261-积分赛!$C$7,0)*$BC$10/30</f>
        <v>736666.66666666663</v>
      </c>
    </row>
    <row r="262" spans="26:66" x14ac:dyDescent="0.15">
      <c r="Z262" s="10">
        <v>252</v>
      </c>
      <c r="AA262" s="10">
        <f>IFERROR(MAX($Z262-积分赛!$C$7,0)*INDEX($U$7:$U$14,MATCH(AA$10,$T$7:$T$14,0))/30,0)</f>
        <v>0</v>
      </c>
      <c r="AB262" s="10">
        <f>IFERROR(MAX($Z262-积分赛!$C$7,0)*INDEX($U$7:$U$14,MATCH(AB$10,$T$7:$T$14,0))/30,0)</f>
        <v>0</v>
      </c>
      <c r="AC262" s="10">
        <f>IFERROR(MAX($Z262-积分赛!$C$7,0)*INDEX($U$7:$U$14,MATCH(AC$10,$T$7:$T$14,0))/30,0)</f>
        <v>0</v>
      </c>
      <c r="AD262" s="10">
        <f>IFERROR(MAX($Z262-积分赛!$C$7,0)*INDEX($U$7:$U$14,MATCH(AD$10,$T$7:$T$14,0))/30,0)</f>
        <v>592000</v>
      </c>
      <c r="AE262" s="10">
        <f>IFERROR(MAX($Z262-积分赛!$C$7,0)*INDEX($U$7:$U$14,MATCH(AE$10,$T$7:$T$14,0))/30,0)</f>
        <v>7400000</v>
      </c>
      <c r="AF262" s="10">
        <f>MAX($Z262-积分赛!$C$7,0)*(IFERROR(INDEX($W$7:$W$14,MATCH(AF$10,$T$7:$T$14,0)),0)*$T$20+IFERROR(INDEX($X$7:$X$14,MATCH(AF$10,$T$7:$T$14,0)),0)*$T$21)/30</f>
        <v>0</v>
      </c>
      <c r="AG262" s="10">
        <f>MAX($Z262-积分赛!$C$7,0)*(IFERROR(INDEX($W$7:$W$14,MATCH(AG$10,$T$7:$T$14,0)),0)*$T$20+IFERROR(INDEX($X$7:$X$14,MATCH(AG$10,$T$7:$T$14,0)),0)*$T$21)/30</f>
        <v>0</v>
      </c>
      <c r="AH262" s="10">
        <f>MAX($Z262-积分赛!$C$7,0)*(IFERROR(INDEX($W$7:$W$14,MATCH(AH$10,$T$7:$T$14,0)),0)*$T$20+IFERROR(INDEX($X$7:$X$14,MATCH(AH$10,$T$7:$T$14,0)),0)*$T$21)/30</f>
        <v>0</v>
      </c>
      <c r="AI262" s="10">
        <f>MAX($Z262-积分赛!$C$7,0)*(IFERROR(INDEX($W$7:$W$14,MATCH(AI$10,$T$7:$T$14,0)),0)*$T$20+IFERROR(INDEX($X$7:$X$14,MATCH(AI$10,$T$7:$T$14,0)),0)*$T$21)/30</f>
        <v>22607</v>
      </c>
      <c r="AJ262" s="10">
        <f>MAX($Z262-积分赛!$C$7,0)*(IFERROR(INDEX($W$7:$W$14,MATCH(AJ$10,$T$7:$T$14,0)),0)*$T$20+IFERROR(INDEX($X$7:$X$14,MATCH(AJ$10,$T$7:$T$14,0)),0)*$T$21)/30</f>
        <v>135642</v>
      </c>
      <c r="BI262" s="10">
        <v>252</v>
      </c>
      <c r="BJ262" s="10">
        <f>MAX($BI262-积分赛!$C$7,0)*$BC$10/30</f>
        <v>740000</v>
      </c>
      <c r="BK262" s="10">
        <f>MAX($BI262-积分赛!$C$7,0)*$BC$10/30</f>
        <v>740000</v>
      </c>
      <c r="BL262" s="10">
        <f>MAX($BI262-积分赛!$C$7,0)*$BC$10/30</f>
        <v>740000</v>
      </c>
      <c r="BM262" s="10">
        <f>MAX($BI262-积分赛!$C$7,0)*$BC$10/30</f>
        <v>740000</v>
      </c>
      <c r="BN262" s="10">
        <f>MAX($BI262-积分赛!$C$7,0)*$BC$10/30</f>
        <v>740000</v>
      </c>
    </row>
    <row r="263" spans="26:66" x14ac:dyDescent="0.15">
      <c r="Z263" s="10">
        <v>253</v>
      </c>
      <c r="AA263" s="10">
        <f>IFERROR(MAX($Z263-积分赛!$C$7,0)*INDEX($U$7:$U$14,MATCH(AA$10,$T$7:$T$14,0))/30,0)</f>
        <v>0</v>
      </c>
      <c r="AB263" s="10">
        <f>IFERROR(MAX($Z263-积分赛!$C$7,0)*INDEX($U$7:$U$14,MATCH(AB$10,$T$7:$T$14,0))/30,0)</f>
        <v>0</v>
      </c>
      <c r="AC263" s="10">
        <f>IFERROR(MAX($Z263-积分赛!$C$7,0)*INDEX($U$7:$U$14,MATCH(AC$10,$T$7:$T$14,0))/30,0)</f>
        <v>0</v>
      </c>
      <c r="AD263" s="10">
        <f>IFERROR(MAX($Z263-积分赛!$C$7,0)*INDEX($U$7:$U$14,MATCH(AD$10,$T$7:$T$14,0))/30,0)</f>
        <v>594666.66666666663</v>
      </c>
      <c r="AE263" s="10">
        <f>IFERROR(MAX($Z263-积分赛!$C$7,0)*INDEX($U$7:$U$14,MATCH(AE$10,$T$7:$T$14,0))/30,0)</f>
        <v>7433333.333333333</v>
      </c>
      <c r="AF263" s="10">
        <f>MAX($Z263-积分赛!$C$7,0)*(IFERROR(INDEX($W$7:$W$14,MATCH(AF$10,$T$7:$T$14,0)),0)*$T$20+IFERROR(INDEX($X$7:$X$14,MATCH(AF$10,$T$7:$T$14,0)),0)*$T$21)/30</f>
        <v>0</v>
      </c>
      <c r="AG263" s="10">
        <f>MAX($Z263-积分赛!$C$7,0)*(IFERROR(INDEX($W$7:$W$14,MATCH(AG$10,$T$7:$T$14,0)),0)*$T$20+IFERROR(INDEX($X$7:$X$14,MATCH(AG$10,$T$7:$T$14,0)),0)*$T$21)/30</f>
        <v>0</v>
      </c>
      <c r="AH263" s="10">
        <f>MAX($Z263-积分赛!$C$7,0)*(IFERROR(INDEX($W$7:$W$14,MATCH(AH$10,$T$7:$T$14,0)),0)*$T$20+IFERROR(INDEX($X$7:$X$14,MATCH(AH$10,$T$7:$T$14,0)),0)*$T$21)/30</f>
        <v>0</v>
      </c>
      <c r="AI263" s="10">
        <f>MAX($Z263-积分赛!$C$7,0)*(IFERROR(INDEX($W$7:$W$14,MATCH(AI$10,$T$7:$T$14,0)),0)*$T$20+IFERROR(INDEX($X$7:$X$14,MATCH(AI$10,$T$7:$T$14,0)),0)*$T$21)/30</f>
        <v>22708.833333333332</v>
      </c>
      <c r="AJ263" s="10">
        <f>MAX($Z263-积分赛!$C$7,0)*(IFERROR(INDEX($W$7:$W$14,MATCH(AJ$10,$T$7:$T$14,0)),0)*$T$20+IFERROR(INDEX($X$7:$X$14,MATCH(AJ$10,$T$7:$T$14,0)),0)*$T$21)/30</f>
        <v>136253</v>
      </c>
      <c r="BI263" s="10">
        <v>253</v>
      </c>
      <c r="BJ263" s="10">
        <f>MAX($BI263-积分赛!$C$7,0)*$BC$10/30</f>
        <v>743333.33333333337</v>
      </c>
      <c r="BK263" s="10">
        <f>MAX($BI263-积分赛!$C$7,0)*$BC$10/30</f>
        <v>743333.33333333337</v>
      </c>
      <c r="BL263" s="10">
        <f>MAX($BI263-积分赛!$C$7,0)*$BC$10/30</f>
        <v>743333.33333333337</v>
      </c>
      <c r="BM263" s="10">
        <f>MAX($BI263-积分赛!$C$7,0)*$BC$10/30</f>
        <v>743333.33333333337</v>
      </c>
      <c r="BN263" s="10">
        <f>MAX($BI263-积分赛!$C$7,0)*$BC$10/30</f>
        <v>743333.33333333337</v>
      </c>
    </row>
    <row r="264" spans="26:66" x14ac:dyDescent="0.15">
      <c r="Z264" s="10">
        <v>254</v>
      </c>
      <c r="AA264" s="10">
        <f>IFERROR(MAX($Z264-积分赛!$C$7,0)*INDEX($U$7:$U$14,MATCH(AA$10,$T$7:$T$14,0))/30,0)</f>
        <v>0</v>
      </c>
      <c r="AB264" s="10">
        <f>IFERROR(MAX($Z264-积分赛!$C$7,0)*INDEX($U$7:$U$14,MATCH(AB$10,$T$7:$T$14,0))/30,0)</f>
        <v>0</v>
      </c>
      <c r="AC264" s="10">
        <f>IFERROR(MAX($Z264-积分赛!$C$7,0)*INDEX($U$7:$U$14,MATCH(AC$10,$T$7:$T$14,0))/30,0)</f>
        <v>0</v>
      </c>
      <c r="AD264" s="10">
        <f>IFERROR(MAX($Z264-积分赛!$C$7,0)*INDEX($U$7:$U$14,MATCH(AD$10,$T$7:$T$14,0))/30,0)</f>
        <v>597333.33333333337</v>
      </c>
      <c r="AE264" s="10">
        <f>IFERROR(MAX($Z264-积分赛!$C$7,0)*INDEX($U$7:$U$14,MATCH(AE$10,$T$7:$T$14,0))/30,0)</f>
        <v>7466666.666666667</v>
      </c>
      <c r="AF264" s="10">
        <f>MAX($Z264-积分赛!$C$7,0)*(IFERROR(INDEX($W$7:$W$14,MATCH(AF$10,$T$7:$T$14,0)),0)*$T$20+IFERROR(INDEX($X$7:$X$14,MATCH(AF$10,$T$7:$T$14,0)),0)*$T$21)/30</f>
        <v>0</v>
      </c>
      <c r="AG264" s="10">
        <f>MAX($Z264-积分赛!$C$7,0)*(IFERROR(INDEX($W$7:$W$14,MATCH(AG$10,$T$7:$T$14,0)),0)*$T$20+IFERROR(INDEX($X$7:$X$14,MATCH(AG$10,$T$7:$T$14,0)),0)*$T$21)/30</f>
        <v>0</v>
      </c>
      <c r="AH264" s="10">
        <f>MAX($Z264-积分赛!$C$7,0)*(IFERROR(INDEX($W$7:$W$14,MATCH(AH$10,$T$7:$T$14,0)),0)*$T$20+IFERROR(INDEX($X$7:$X$14,MATCH(AH$10,$T$7:$T$14,0)),0)*$T$21)/30</f>
        <v>0</v>
      </c>
      <c r="AI264" s="10">
        <f>MAX($Z264-积分赛!$C$7,0)*(IFERROR(INDEX($W$7:$W$14,MATCH(AI$10,$T$7:$T$14,0)),0)*$T$20+IFERROR(INDEX($X$7:$X$14,MATCH(AI$10,$T$7:$T$14,0)),0)*$T$21)/30</f>
        <v>22810.666666666668</v>
      </c>
      <c r="AJ264" s="10">
        <f>MAX($Z264-积分赛!$C$7,0)*(IFERROR(INDEX($W$7:$W$14,MATCH(AJ$10,$T$7:$T$14,0)),0)*$T$20+IFERROR(INDEX($X$7:$X$14,MATCH(AJ$10,$T$7:$T$14,0)),0)*$T$21)/30</f>
        <v>136864</v>
      </c>
      <c r="BI264" s="10">
        <v>254</v>
      </c>
      <c r="BJ264" s="10">
        <f>MAX($BI264-积分赛!$C$7,0)*$BC$10/30</f>
        <v>746666.66666666663</v>
      </c>
      <c r="BK264" s="10">
        <f>MAX($BI264-积分赛!$C$7,0)*$BC$10/30</f>
        <v>746666.66666666663</v>
      </c>
      <c r="BL264" s="10">
        <f>MAX($BI264-积分赛!$C$7,0)*$BC$10/30</f>
        <v>746666.66666666663</v>
      </c>
      <c r="BM264" s="10">
        <f>MAX($BI264-积分赛!$C$7,0)*$BC$10/30</f>
        <v>746666.66666666663</v>
      </c>
      <c r="BN264" s="10">
        <f>MAX($BI264-积分赛!$C$7,0)*$BC$10/30</f>
        <v>746666.66666666663</v>
      </c>
    </row>
    <row r="265" spans="26:66" x14ac:dyDescent="0.15">
      <c r="Z265" s="10">
        <v>255</v>
      </c>
      <c r="AA265" s="10">
        <f>IFERROR(MAX($Z265-积分赛!$C$7,0)*INDEX($U$7:$U$14,MATCH(AA$10,$T$7:$T$14,0))/30,0)</f>
        <v>0</v>
      </c>
      <c r="AB265" s="10">
        <f>IFERROR(MAX($Z265-积分赛!$C$7,0)*INDEX($U$7:$U$14,MATCH(AB$10,$T$7:$T$14,0))/30,0)</f>
        <v>0</v>
      </c>
      <c r="AC265" s="10">
        <f>IFERROR(MAX($Z265-积分赛!$C$7,0)*INDEX($U$7:$U$14,MATCH(AC$10,$T$7:$T$14,0))/30,0)</f>
        <v>0</v>
      </c>
      <c r="AD265" s="10">
        <f>IFERROR(MAX($Z265-积分赛!$C$7,0)*INDEX($U$7:$U$14,MATCH(AD$10,$T$7:$T$14,0))/30,0)</f>
        <v>600000</v>
      </c>
      <c r="AE265" s="10">
        <f>IFERROR(MAX($Z265-积分赛!$C$7,0)*INDEX($U$7:$U$14,MATCH(AE$10,$T$7:$T$14,0))/30,0)</f>
        <v>7500000</v>
      </c>
      <c r="AF265" s="10">
        <f>MAX($Z265-积分赛!$C$7,0)*(IFERROR(INDEX($W$7:$W$14,MATCH(AF$10,$T$7:$T$14,0)),0)*$T$20+IFERROR(INDEX($X$7:$X$14,MATCH(AF$10,$T$7:$T$14,0)),0)*$T$21)/30</f>
        <v>0</v>
      </c>
      <c r="AG265" s="10">
        <f>MAX($Z265-积分赛!$C$7,0)*(IFERROR(INDEX($W$7:$W$14,MATCH(AG$10,$T$7:$T$14,0)),0)*$T$20+IFERROR(INDEX($X$7:$X$14,MATCH(AG$10,$T$7:$T$14,0)),0)*$T$21)/30</f>
        <v>0</v>
      </c>
      <c r="AH265" s="10">
        <f>MAX($Z265-积分赛!$C$7,0)*(IFERROR(INDEX($W$7:$W$14,MATCH(AH$10,$T$7:$T$14,0)),0)*$T$20+IFERROR(INDEX($X$7:$X$14,MATCH(AH$10,$T$7:$T$14,0)),0)*$T$21)/30</f>
        <v>0</v>
      </c>
      <c r="AI265" s="10">
        <f>MAX($Z265-积分赛!$C$7,0)*(IFERROR(INDEX($W$7:$W$14,MATCH(AI$10,$T$7:$T$14,0)),0)*$T$20+IFERROR(INDEX($X$7:$X$14,MATCH(AI$10,$T$7:$T$14,0)),0)*$T$21)/30</f>
        <v>22912.5</v>
      </c>
      <c r="AJ265" s="10">
        <f>MAX($Z265-积分赛!$C$7,0)*(IFERROR(INDEX($W$7:$W$14,MATCH(AJ$10,$T$7:$T$14,0)),0)*$T$20+IFERROR(INDEX($X$7:$X$14,MATCH(AJ$10,$T$7:$T$14,0)),0)*$T$21)/30</f>
        <v>137475</v>
      </c>
      <c r="BI265" s="10">
        <v>255</v>
      </c>
      <c r="BJ265" s="10">
        <f>MAX($BI265-积分赛!$C$7,0)*$BC$10/30</f>
        <v>750000</v>
      </c>
      <c r="BK265" s="10">
        <f>MAX($BI265-积分赛!$C$7,0)*$BC$10/30</f>
        <v>750000</v>
      </c>
      <c r="BL265" s="10">
        <f>MAX($BI265-积分赛!$C$7,0)*$BC$10/30</f>
        <v>750000</v>
      </c>
      <c r="BM265" s="10">
        <f>MAX($BI265-积分赛!$C$7,0)*$BC$10/30</f>
        <v>750000</v>
      </c>
      <c r="BN265" s="10">
        <f>MAX($BI265-积分赛!$C$7,0)*$BC$10/30</f>
        <v>750000</v>
      </c>
    </row>
    <row r="266" spans="26:66" x14ac:dyDescent="0.15">
      <c r="Z266" s="10">
        <v>256</v>
      </c>
      <c r="AA266" s="10">
        <f>IFERROR(MAX($Z266-积分赛!$C$7,0)*INDEX($U$7:$U$14,MATCH(AA$10,$T$7:$T$14,0))/30,0)</f>
        <v>0</v>
      </c>
      <c r="AB266" s="10">
        <f>IFERROR(MAX($Z266-积分赛!$C$7,0)*INDEX($U$7:$U$14,MATCH(AB$10,$T$7:$T$14,0))/30,0)</f>
        <v>0</v>
      </c>
      <c r="AC266" s="10">
        <f>IFERROR(MAX($Z266-积分赛!$C$7,0)*INDEX($U$7:$U$14,MATCH(AC$10,$T$7:$T$14,0))/30,0)</f>
        <v>0</v>
      </c>
      <c r="AD266" s="10">
        <f>IFERROR(MAX($Z266-积分赛!$C$7,0)*INDEX($U$7:$U$14,MATCH(AD$10,$T$7:$T$14,0))/30,0)</f>
        <v>602666.66666666663</v>
      </c>
      <c r="AE266" s="10">
        <f>IFERROR(MAX($Z266-积分赛!$C$7,0)*INDEX($U$7:$U$14,MATCH(AE$10,$T$7:$T$14,0))/30,0)</f>
        <v>7533333.333333333</v>
      </c>
      <c r="AF266" s="10">
        <f>MAX($Z266-积分赛!$C$7,0)*(IFERROR(INDEX($W$7:$W$14,MATCH(AF$10,$T$7:$T$14,0)),0)*$T$20+IFERROR(INDEX($X$7:$X$14,MATCH(AF$10,$T$7:$T$14,0)),0)*$T$21)/30</f>
        <v>0</v>
      </c>
      <c r="AG266" s="10">
        <f>MAX($Z266-积分赛!$C$7,0)*(IFERROR(INDEX($W$7:$W$14,MATCH(AG$10,$T$7:$T$14,0)),0)*$T$20+IFERROR(INDEX($X$7:$X$14,MATCH(AG$10,$T$7:$T$14,0)),0)*$T$21)/30</f>
        <v>0</v>
      </c>
      <c r="AH266" s="10">
        <f>MAX($Z266-积分赛!$C$7,0)*(IFERROR(INDEX($W$7:$W$14,MATCH(AH$10,$T$7:$T$14,0)),0)*$T$20+IFERROR(INDEX($X$7:$X$14,MATCH(AH$10,$T$7:$T$14,0)),0)*$T$21)/30</f>
        <v>0</v>
      </c>
      <c r="AI266" s="10">
        <f>MAX($Z266-积分赛!$C$7,0)*(IFERROR(INDEX($W$7:$W$14,MATCH(AI$10,$T$7:$T$14,0)),0)*$T$20+IFERROR(INDEX($X$7:$X$14,MATCH(AI$10,$T$7:$T$14,0)),0)*$T$21)/30</f>
        <v>23014.333333333332</v>
      </c>
      <c r="AJ266" s="10">
        <f>MAX($Z266-积分赛!$C$7,0)*(IFERROR(INDEX($W$7:$W$14,MATCH(AJ$10,$T$7:$T$14,0)),0)*$T$20+IFERROR(INDEX($X$7:$X$14,MATCH(AJ$10,$T$7:$T$14,0)),0)*$T$21)/30</f>
        <v>138086</v>
      </c>
      <c r="BI266" s="10">
        <v>256</v>
      </c>
      <c r="BJ266" s="10">
        <f>MAX($BI266-积分赛!$C$7,0)*$BC$10/30</f>
        <v>753333.33333333337</v>
      </c>
      <c r="BK266" s="10">
        <f>MAX($BI266-积分赛!$C$7,0)*$BC$10/30</f>
        <v>753333.33333333337</v>
      </c>
      <c r="BL266" s="10">
        <f>MAX($BI266-积分赛!$C$7,0)*$BC$10/30</f>
        <v>753333.33333333337</v>
      </c>
      <c r="BM266" s="10">
        <f>MAX($BI266-积分赛!$C$7,0)*$BC$10/30</f>
        <v>753333.33333333337</v>
      </c>
      <c r="BN266" s="10">
        <f>MAX($BI266-积分赛!$C$7,0)*$BC$10/30</f>
        <v>753333.33333333337</v>
      </c>
    </row>
    <row r="267" spans="26:66" x14ac:dyDescent="0.15">
      <c r="Z267" s="10">
        <v>257</v>
      </c>
      <c r="AA267" s="10">
        <f>IFERROR(MAX($Z267-积分赛!$C$7,0)*INDEX($U$7:$U$14,MATCH(AA$10,$T$7:$T$14,0))/30,0)</f>
        <v>0</v>
      </c>
      <c r="AB267" s="10">
        <f>IFERROR(MAX($Z267-积分赛!$C$7,0)*INDEX($U$7:$U$14,MATCH(AB$10,$T$7:$T$14,0))/30,0)</f>
        <v>0</v>
      </c>
      <c r="AC267" s="10">
        <f>IFERROR(MAX($Z267-积分赛!$C$7,0)*INDEX($U$7:$U$14,MATCH(AC$10,$T$7:$T$14,0))/30,0)</f>
        <v>0</v>
      </c>
      <c r="AD267" s="10">
        <f>IFERROR(MAX($Z267-积分赛!$C$7,0)*INDEX($U$7:$U$14,MATCH(AD$10,$T$7:$T$14,0))/30,0)</f>
        <v>605333.33333333337</v>
      </c>
      <c r="AE267" s="10">
        <f>IFERROR(MAX($Z267-积分赛!$C$7,0)*INDEX($U$7:$U$14,MATCH(AE$10,$T$7:$T$14,0))/30,0)</f>
        <v>7566666.666666667</v>
      </c>
      <c r="AF267" s="10">
        <f>MAX($Z267-积分赛!$C$7,0)*(IFERROR(INDEX($W$7:$W$14,MATCH(AF$10,$T$7:$T$14,0)),0)*$T$20+IFERROR(INDEX($X$7:$X$14,MATCH(AF$10,$T$7:$T$14,0)),0)*$T$21)/30</f>
        <v>0</v>
      </c>
      <c r="AG267" s="10">
        <f>MAX($Z267-积分赛!$C$7,0)*(IFERROR(INDEX($W$7:$W$14,MATCH(AG$10,$T$7:$T$14,0)),0)*$T$20+IFERROR(INDEX($X$7:$X$14,MATCH(AG$10,$T$7:$T$14,0)),0)*$T$21)/30</f>
        <v>0</v>
      </c>
      <c r="AH267" s="10">
        <f>MAX($Z267-积分赛!$C$7,0)*(IFERROR(INDEX($W$7:$W$14,MATCH(AH$10,$T$7:$T$14,0)),0)*$T$20+IFERROR(INDEX($X$7:$X$14,MATCH(AH$10,$T$7:$T$14,0)),0)*$T$21)/30</f>
        <v>0</v>
      </c>
      <c r="AI267" s="10">
        <f>MAX($Z267-积分赛!$C$7,0)*(IFERROR(INDEX($W$7:$W$14,MATCH(AI$10,$T$7:$T$14,0)),0)*$T$20+IFERROR(INDEX($X$7:$X$14,MATCH(AI$10,$T$7:$T$14,0)),0)*$T$21)/30</f>
        <v>23116.166666666668</v>
      </c>
      <c r="AJ267" s="10">
        <f>MAX($Z267-积分赛!$C$7,0)*(IFERROR(INDEX($W$7:$W$14,MATCH(AJ$10,$T$7:$T$14,0)),0)*$T$20+IFERROR(INDEX($X$7:$X$14,MATCH(AJ$10,$T$7:$T$14,0)),0)*$T$21)/30</f>
        <v>138697</v>
      </c>
      <c r="BI267" s="10">
        <v>257</v>
      </c>
      <c r="BJ267" s="10">
        <f>MAX($BI267-积分赛!$C$7,0)*$BC$10/30</f>
        <v>756666.66666666663</v>
      </c>
      <c r="BK267" s="10">
        <f>MAX($BI267-积分赛!$C$7,0)*$BC$10/30</f>
        <v>756666.66666666663</v>
      </c>
      <c r="BL267" s="10">
        <f>MAX($BI267-积分赛!$C$7,0)*$BC$10/30</f>
        <v>756666.66666666663</v>
      </c>
      <c r="BM267" s="10">
        <f>MAX($BI267-积分赛!$C$7,0)*$BC$10/30</f>
        <v>756666.66666666663</v>
      </c>
      <c r="BN267" s="10">
        <f>MAX($BI267-积分赛!$C$7,0)*$BC$10/30</f>
        <v>756666.66666666663</v>
      </c>
    </row>
    <row r="268" spans="26:66" x14ac:dyDescent="0.15">
      <c r="Z268" s="10">
        <v>258</v>
      </c>
      <c r="AA268" s="10">
        <f>IFERROR(MAX($Z268-积分赛!$C$7,0)*INDEX($U$7:$U$14,MATCH(AA$10,$T$7:$T$14,0))/30,0)</f>
        <v>0</v>
      </c>
      <c r="AB268" s="10">
        <f>IFERROR(MAX($Z268-积分赛!$C$7,0)*INDEX($U$7:$U$14,MATCH(AB$10,$T$7:$T$14,0))/30,0)</f>
        <v>0</v>
      </c>
      <c r="AC268" s="10">
        <f>IFERROR(MAX($Z268-积分赛!$C$7,0)*INDEX($U$7:$U$14,MATCH(AC$10,$T$7:$T$14,0))/30,0)</f>
        <v>0</v>
      </c>
      <c r="AD268" s="10">
        <f>IFERROR(MAX($Z268-积分赛!$C$7,0)*INDEX($U$7:$U$14,MATCH(AD$10,$T$7:$T$14,0))/30,0)</f>
        <v>608000</v>
      </c>
      <c r="AE268" s="10">
        <f>IFERROR(MAX($Z268-积分赛!$C$7,0)*INDEX($U$7:$U$14,MATCH(AE$10,$T$7:$T$14,0))/30,0)</f>
        <v>7600000</v>
      </c>
      <c r="AF268" s="10">
        <f>MAX($Z268-积分赛!$C$7,0)*(IFERROR(INDEX($W$7:$W$14,MATCH(AF$10,$T$7:$T$14,0)),0)*$T$20+IFERROR(INDEX($X$7:$X$14,MATCH(AF$10,$T$7:$T$14,0)),0)*$T$21)/30</f>
        <v>0</v>
      </c>
      <c r="AG268" s="10">
        <f>MAX($Z268-积分赛!$C$7,0)*(IFERROR(INDEX($W$7:$W$14,MATCH(AG$10,$T$7:$T$14,0)),0)*$T$20+IFERROR(INDEX($X$7:$X$14,MATCH(AG$10,$T$7:$T$14,0)),0)*$T$21)/30</f>
        <v>0</v>
      </c>
      <c r="AH268" s="10">
        <f>MAX($Z268-积分赛!$C$7,0)*(IFERROR(INDEX($W$7:$W$14,MATCH(AH$10,$T$7:$T$14,0)),0)*$T$20+IFERROR(INDEX($X$7:$X$14,MATCH(AH$10,$T$7:$T$14,0)),0)*$T$21)/30</f>
        <v>0</v>
      </c>
      <c r="AI268" s="10">
        <f>MAX($Z268-积分赛!$C$7,0)*(IFERROR(INDEX($W$7:$W$14,MATCH(AI$10,$T$7:$T$14,0)),0)*$T$20+IFERROR(INDEX($X$7:$X$14,MATCH(AI$10,$T$7:$T$14,0)),0)*$T$21)/30</f>
        <v>23218</v>
      </c>
      <c r="AJ268" s="10">
        <f>MAX($Z268-积分赛!$C$7,0)*(IFERROR(INDEX($W$7:$W$14,MATCH(AJ$10,$T$7:$T$14,0)),0)*$T$20+IFERROR(INDEX($X$7:$X$14,MATCH(AJ$10,$T$7:$T$14,0)),0)*$T$21)/30</f>
        <v>139308</v>
      </c>
      <c r="BI268" s="10">
        <v>258</v>
      </c>
      <c r="BJ268" s="10">
        <f>MAX($BI268-积分赛!$C$7,0)*$BC$10/30</f>
        <v>760000</v>
      </c>
      <c r="BK268" s="10">
        <f>MAX($BI268-积分赛!$C$7,0)*$BC$10/30</f>
        <v>760000</v>
      </c>
      <c r="BL268" s="10">
        <f>MAX($BI268-积分赛!$C$7,0)*$BC$10/30</f>
        <v>760000</v>
      </c>
      <c r="BM268" s="10">
        <f>MAX($BI268-积分赛!$C$7,0)*$BC$10/30</f>
        <v>760000</v>
      </c>
      <c r="BN268" s="10">
        <f>MAX($BI268-积分赛!$C$7,0)*$BC$10/30</f>
        <v>760000</v>
      </c>
    </row>
    <row r="269" spans="26:66" x14ac:dyDescent="0.15">
      <c r="Z269" s="10">
        <v>259</v>
      </c>
      <c r="AA269" s="10">
        <f>IFERROR(MAX($Z269-积分赛!$C$7,0)*INDEX($U$7:$U$14,MATCH(AA$10,$T$7:$T$14,0))/30,0)</f>
        <v>0</v>
      </c>
      <c r="AB269" s="10">
        <f>IFERROR(MAX($Z269-积分赛!$C$7,0)*INDEX($U$7:$U$14,MATCH(AB$10,$T$7:$T$14,0))/30,0)</f>
        <v>0</v>
      </c>
      <c r="AC269" s="10">
        <f>IFERROR(MAX($Z269-积分赛!$C$7,0)*INDEX($U$7:$U$14,MATCH(AC$10,$T$7:$T$14,0))/30,0)</f>
        <v>0</v>
      </c>
      <c r="AD269" s="10">
        <f>IFERROR(MAX($Z269-积分赛!$C$7,0)*INDEX($U$7:$U$14,MATCH(AD$10,$T$7:$T$14,0))/30,0)</f>
        <v>610666.66666666663</v>
      </c>
      <c r="AE269" s="10">
        <f>IFERROR(MAX($Z269-积分赛!$C$7,0)*INDEX($U$7:$U$14,MATCH(AE$10,$T$7:$T$14,0))/30,0)</f>
        <v>7633333.333333333</v>
      </c>
      <c r="AF269" s="10">
        <f>MAX($Z269-积分赛!$C$7,0)*(IFERROR(INDEX($W$7:$W$14,MATCH(AF$10,$T$7:$T$14,0)),0)*$T$20+IFERROR(INDEX($X$7:$X$14,MATCH(AF$10,$T$7:$T$14,0)),0)*$T$21)/30</f>
        <v>0</v>
      </c>
      <c r="AG269" s="10">
        <f>MAX($Z269-积分赛!$C$7,0)*(IFERROR(INDEX($W$7:$W$14,MATCH(AG$10,$T$7:$T$14,0)),0)*$T$20+IFERROR(INDEX($X$7:$X$14,MATCH(AG$10,$T$7:$T$14,0)),0)*$T$21)/30</f>
        <v>0</v>
      </c>
      <c r="AH269" s="10">
        <f>MAX($Z269-积分赛!$C$7,0)*(IFERROR(INDEX($W$7:$W$14,MATCH(AH$10,$T$7:$T$14,0)),0)*$T$20+IFERROR(INDEX($X$7:$X$14,MATCH(AH$10,$T$7:$T$14,0)),0)*$T$21)/30</f>
        <v>0</v>
      </c>
      <c r="AI269" s="10">
        <f>MAX($Z269-积分赛!$C$7,0)*(IFERROR(INDEX($W$7:$W$14,MATCH(AI$10,$T$7:$T$14,0)),0)*$T$20+IFERROR(INDEX($X$7:$X$14,MATCH(AI$10,$T$7:$T$14,0)),0)*$T$21)/30</f>
        <v>23319.833333333332</v>
      </c>
      <c r="AJ269" s="10">
        <f>MAX($Z269-积分赛!$C$7,0)*(IFERROR(INDEX($W$7:$W$14,MATCH(AJ$10,$T$7:$T$14,0)),0)*$T$20+IFERROR(INDEX($X$7:$X$14,MATCH(AJ$10,$T$7:$T$14,0)),0)*$T$21)/30</f>
        <v>139919</v>
      </c>
      <c r="BI269" s="10">
        <v>259</v>
      </c>
      <c r="BJ269" s="10">
        <f>MAX($BI269-积分赛!$C$7,0)*$BC$10/30</f>
        <v>763333.33333333337</v>
      </c>
      <c r="BK269" s="10">
        <f>MAX($BI269-积分赛!$C$7,0)*$BC$10/30</f>
        <v>763333.33333333337</v>
      </c>
      <c r="BL269" s="10">
        <f>MAX($BI269-积分赛!$C$7,0)*$BC$10/30</f>
        <v>763333.33333333337</v>
      </c>
      <c r="BM269" s="10">
        <f>MAX($BI269-积分赛!$C$7,0)*$BC$10/30</f>
        <v>763333.33333333337</v>
      </c>
      <c r="BN269" s="10">
        <f>MAX($BI269-积分赛!$C$7,0)*$BC$10/30</f>
        <v>763333.33333333337</v>
      </c>
    </row>
    <row r="270" spans="26:66" x14ac:dyDescent="0.15">
      <c r="Z270" s="10">
        <v>260</v>
      </c>
      <c r="AA270" s="10">
        <f>IFERROR(MAX($Z270-积分赛!$C$7,0)*INDEX($U$7:$U$14,MATCH(AA$10,$T$7:$T$14,0))/30,0)</f>
        <v>0</v>
      </c>
      <c r="AB270" s="10">
        <f>IFERROR(MAX($Z270-积分赛!$C$7,0)*INDEX($U$7:$U$14,MATCH(AB$10,$T$7:$T$14,0))/30,0)</f>
        <v>0</v>
      </c>
      <c r="AC270" s="10">
        <f>IFERROR(MAX($Z270-积分赛!$C$7,0)*INDEX($U$7:$U$14,MATCH(AC$10,$T$7:$T$14,0))/30,0)</f>
        <v>0</v>
      </c>
      <c r="AD270" s="10">
        <f>IFERROR(MAX($Z270-积分赛!$C$7,0)*INDEX($U$7:$U$14,MATCH(AD$10,$T$7:$T$14,0))/30,0)</f>
        <v>613333.33333333337</v>
      </c>
      <c r="AE270" s="10">
        <f>IFERROR(MAX($Z270-积分赛!$C$7,0)*INDEX($U$7:$U$14,MATCH(AE$10,$T$7:$T$14,0))/30,0)</f>
        <v>7666666.666666667</v>
      </c>
      <c r="AF270" s="10">
        <f>MAX($Z270-积分赛!$C$7,0)*(IFERROR(INDEX($W$7:$W$14,MATCH(AF$10,$T$7:$T$14,0)),0)*$T$20+IFERROR(INDEX($X$7:$X$14,MATCH(AF$10,$T$7:$T$14,0)),0)*$T$21)/30</f>
        <v>0</v>
      </c>
      <c r="AG270" s="10">
        <f>MAX($Z270-积分赛!$C$7,0)*(IFERROR(INDEX($W$7:$W$14,MATCH(AG$10,$T$7:$T$14,0)),0)*$T$20+IFERROR(INDEX($X$7:$X$14,MATCH(AG$10,$T$7:$T$14,0)),0)*$T$21)/30</f>
        <v>0</v>
      </c>
      <c r="AH270" s="10">
        <f>MAX($Z270-积分赛!$C$7,0)*(IFERROR(INDEX($W$7:$W$14,MATCH(AH$10,$T$7:$T$14,0)),0)*$T$20+IFERROR(INDEX($X$7:$X$14,MATCH(AH$10,$T$7:$T$14,0)),0)*$T$21)/30</f>
        <v>0</v>
      </c>
      <c r="AI270" s="10">
        <f>MAX($Z270-积分赛!$C$7,0)*(IFERROR(INDEX($W$7:$W$14,MATCH(AI$10,$T$7:$T$14,0)),0)*$T$20+IFERROR(INDEX($X$7:$X$14,MATCH(AI$10,$T$7:$T$14,0)),0)*$T$21)/30</f>
        <v>23421.666666666668</v>
      </c>
      <c r="AJ270" s="10">
        <f>MAX($Z270-积分赛!$C$7,0)*(IFERROR(INDEX($W$7:$W$14,MATCH(AJ$10,$T$7:$T$14,0)),0)*$T$20+IFERROR(INDEX($X$7:$X$14,MATCH(AJ$10,$T$7:$T$14,0)),0)*$T$21)/30</f>
        <v>140530</v>
      </c>
      <c r="BI270" s="10">
        <v>260</v>
      </c>
      <c r="BJ270" s="10">
        <f>MAX($BI270-积分赛!$C$7,0)*$BC$10/30</f>
        <v>766666.66666666663</v>
      </c>
      <c r="BK270" s="10">
        <f>MAX($BI270-积分赛!$C$7,0)*$BC$10/30</f>
        <v>766666.66666666663</v>
      </c>
      <c r="BL270" s="10">
        <f>MAX($BI270-积分赛!$C$7,0)*$BC$10/30</f>
        <v>766666.66666666663</v>
      </c>
      <c r="BM270" s="10">
        <f>MAX($BI270-积分赛!$C$7,0)*$BC$10/30</f>
        <v>766666.66666666663</v>
      </c>
      <c r="BN270" s="10">
        <f>MAX($BI270-积分赛!$C$7,0)*$BC$10/30</f>
        <v>766666.66666666663</v>
      </c>
    </row>
    <row r="271" spans="26:66" x14ac:dyDescent="0.15">
      <c r="Z271" s="10">
        <v>261</v>
      </c>
      <c r="AA271" s="10">
        <f>IFERROR(MAX($Z271-积分赛!$C$7,0)*INDEX($U$7:$U$14,MATCH(AA$10,$T$7:$T$14,0))/30,0)</f>
        <v>0</v>
      </c>
      <c r="AB271" s="10">
        <f>IFERROR(MAX($Z271-积分赛!$C$7,0)*INDEX($U$7:$U$14,MATCH(AB$10,$T$7:$T$14,0))/30,0)</f>
        <v>0</v>
      </c>
      <c r="AC271" s="10">
        <f>IFERROR(MAX($Z271-积分赛!$C$7,0)*INDEX($U$7:$U$14,MATCH(AC$10,$T$7:$T$14,0))/30,0)</f>
        <v>0</v>
      </c>
      <c r="AD271" s="10">
        <f>IFERROR(MAX($Z271-积分赛!$C$7,0)*INDEX($U$7:$U$14,MATCH(AD$10,$T$7:$T$14,0))/30,0)</f>
        <v>616000</v>
      </c>
      <c r="AE271" s="10">
        <f>IFERROR(MAX($Z271-积分赛!$C$7,0)*INDEX($U$7:$U$14,MATCH(AE$10,$T$7:$T$14,0))/30,0)</f>
        <v>7700000</v>
      </c>
      <c r="AF271" s="10">
        <f>MAX($Z271-积分赛!$C$7,0)*(IFERROR(INDEX($W$7:$W$14,MATCH(AF$10,$T$7:$T$14,0)),0)*$T$20+IFERROR(INDEX($X$7:$X$14,MATCH(AF$10,$T$7:$T$14,0)),0)*$T$21)/30</f>
        <v>0</v>
      </c>
      <c r="AG271" s="10">
        <f>MAX($Z271-积分赛!$C$7,0)*(IFERROR(INDEX($W$7:$W$14,MATCH(AG$10,$T$7:$T$14,0)),0)*$T$20+IFERROR(INDEX($X$7:$X$14,MATCH(AG$10,$T$7:$T$14,0)),0)*$T$21)/30</f>
        <v>0</v>
      </c>
      <c r="AH271" s="10">
        <f>MAX($Z271-积分赛!$C$7,0)*(IFERROR(INDEX($W$7:$W$14,MATCH(AH$10,$T$7:$T$14,0)),0)*$T$20+IFERROR(INDEX($X$7:$X$14,MATCH(AH$10,$T$7:$T$14,0)),0)*$T$21)/30</f>
        <v>0</v>
      </c>
      <c r="AI271" s="10">
        <f>MAX($Z271-积分赛!$C$7,0)*(IFERROR(INDEX($W$7:$W$14,MATCH(AI$10,$T$7:$T$14,0)),0)*$T$20+IFERROR(INDEX($X$7:$X$14,MATCH(AI$10,$T$7:$T$14,0)),0)*$T$21)/30</f>
        <v>23523.5</v>
      </c>
      <c r="AJ271" s="10">
        <f>MAX($Z271-积分赛!$C$7,0)*(IFERROR(INDEX($W$7:$W$14,MATCH(AJ$10,$T$7:$T$14,0)),0)*$T$20+IFERROR(INDEX($X$7:$X$14,MATCH(AJ$10,$T$7:$T$14,0)),0)*$T$21)/30</f>
        <v>141141</v>
      </c>
      <c r="BI271" s="10">
        <v>261</v>
      </c>
      <c r="BJ271" s="10">
        <f>MAX($BI271-积分赛!$C$7,0)*$BC$10/30</f>
        <v>770000</v>
      </c>
      <c r="BK271" s="10">
        <f>MAX($BI271-积分赛!$C$7,0)*$BC$10/30</f>
        <v>770000</v>
      </c>
      <c r="BL271" s="10">
        <f>MAX($BI271-积分赛!$C$7,0)*$BC$10/30</f>
        <v>770000</v>
      </c>
      <c r="BM271" s="10">
        <f>MAX($BI271-积分赛!$C$7,0)*$BC$10/30</f>
        <v>770000</v>
      </c>
      <c r="BN271" s="10">
        <f>MAX($BI271-积分赛!$C$7,0)*$BC$10/30</f>
        <v>770000</v>
      </c>
    </row>
    <row r="272" spans="26:66" x14ac:dyDescent="0.15">
      <c r="Z272" s="10">
        <v>262</v>
      </c>
      <c r="AA272" s="10">
        <f>IFERROR(MAX($Z272-积分赛!$C$7,0)*INDEX($U$7:$U$14,MATCH(AA$10,$T$7:$T$14,0))/30,0)</f>
        <v>0</v>
      </c>
      <c r="AB272" s="10">
        <f>IFERROR(MAX($Z272-积分赛!$C$7,0)*INDEX($U$7:$U$14,MATCH(AB$10,$T$7:$T$14,0))/30,0)</f>
        <v>0</v>
      </c>
      <c r="AC272" s="10">
        <f>IFERROR(MAX($Z272-积分赛!$C$7,0)*INDEX($U$7:$U$14,MATCH(AC$10,$T$7:$T$14,0))/30,0)</f>
        <v>0</v>
      </c>
      <c r="AD272" s="10">
        <f>IFERROR(MAX($Z272-积分赛!$C$7,0)*INDEX($U$7:$U$14,MATCH(AD$10,$T$7:$T$14,0))/30,0)</f>
        <v>618666.66666666663</v>
      </c>
      <c r="AE272" s="10">
        <f>IFERROR(MAX($Z272-积分赛!$C$7,0)*INDEX($U$7:$U$14,MATCH(AE$10,$T$7:$T$14,0))/30,0)</f>
        <v>7733333.333333333</v>
      </c>
      <c r="AF272" s="10">
        <f>MAX($Z272-积分赛!$C$7,0)*(IFERROR(INDEX($W$7:$W$14,MATCH(AF$10,$T$7:$T$14,0)),0)*$T$20+IFERROR(INDEX($X$7:$X$14,MATCH(AF$10,$T$7:$T$14,0)),0)*$T$21)/30</f>
        <v>0</v>
      </c>
      <c r="AG272" s="10">
        <f>MAX($Z272-积分赛!$C$7,0)*(IFERROR(INDEX($W$7:$W$14,MATCH(AG$10,$T$7:$T$14,0)),0)*$T$20+IFERROR(INDEX($X$7:$X$14,MATCH(AG$10,$T$7:$T$14,0)),0)*$T$21)/30</f>
        <v>0</v>
      </c>
      <c r="AH272" s="10">
        <f>MAX($Z272-积分赛!$C$7,0)*(IFERROR(INDEX($W$7:$W$14,MATCH(AH$10,$T$7:$T$14,0)),0)*$T$20+IFERROR(INDEX($X$7:$X$14,MATCH(AH$10,$T$7:$T$14,0)),0)*$T$21)/30</f>
        <v>0</v>
      </c>
      <c r="AI272" s="10">
        <f>MAX($Z272-积分赛!$C$7,0)*(IFERROR(INDEX($W$7:$W$14,MATCH(AI$10,$T$7:$T$14,0)),0)*$T$20+IFERROR(INDEX($X$7:$X$14,MATCH(AI$10,$T$7:$T$14,0)),0)*$T$21)/30</f>
        <v>23625.333333333332</v>
      </c>
      <c r="AJ272" s="10">
        <f>MAX($Z272-积分赛!$C$7,0)*(IFERROR(INDEX($W$7:$W$14,MATCH(AJ$10,$T$7:$T$14,0)),0)*$T$20+IFERROR(INDEX($X$7:$X$14,MATCH(AJ$10,$T$7:$T$14,0)),0)*$T$21)/30</f>
        <v>141752</v>
      </c>
      <c r="BI272" s="10">
        <v>262</v>
      </c>
      <c r="BJ272" s="10">
        <f>MAX($BI272-积分赛!$C$7,0)*$BC$10/30</f>
        <v>773333.33333333337</v>
      </c>
      <c r="BK272" s="10">
        <f>MAX($BI272-积分赛!$C$7,0)*$BC$10/30</f>
        <v>773333.33333333337</v>
      </c>
      <c r="BL272" s="10">
        <f>MAX($BI272-积分赛!$C$7,0)*$BC$10/30</f>
        <v>773333.33333333337</v>
      </c>
      <c r="BM272" s="10">
        <f>MAX($BI272-积分赛!$C$7,0)*$BC$10/30</f>
        <v>773333.33333333337</v>
      </c>
      <c r="BN272" s="10">
        <f>MAX($BI272-积分赛!$C$7,0)*$BC$10/30</f>
        <v>773333.33333333337</v>
      </c>
    </row>
    <row r="273" spans="26:66" x14ac:dyDescent="0.15">
      <c r="Z273" s="10">
        <v>263</v>
      </c>
      <c r="AA273" s="10">
        <f>IFERROR(MAX($Z273-积分赛!$C$7,0)*INDEX($U$7:$U$14,MATCH(AA$10,$T$7:$T$14,0))/30,0)</f>
        <v>0</v>
      </c>
      <c r="AB273" s="10">
        <f>IFERROR(MAX($Z273-积分赛!$C$7,0)*INDEX($U$7:$U$14,MATCH(AB$10,$T$7:$T$14,0))/30,0)</f>
        <v>0</v>
      </c>
      <c r="AC273" s="10">
        <f>IFERROR(MAX($Z273-积分赛!$C$7,0)*INDEX($U$7:$U$14,MATCH(AC$10,$T$7:$T$14,0))/30,0)</f>
        <v>0</v>
      </c>
      <c r="AD273" s="10">
        <f>IFERROR(MAX($Z273-积分赛!$C$7,0)*INDEX($U$7:$U$14,MATCH(AD$10,$T$7:$T$14,0))/30,0)</f>
        <v>621333.33333333337</v>
      </c>
      <c r="AE273" s="10">
        <f>IFERROR(MAX($Z273-积分赛!$C$7,0)*INDEX($U$7:$U$14,MATCH(AE$10,$T$7:$T$14,0))/30,0)</f>
        <v>7766666.666666667</v>
      </c>
      <c r="AF273" s="10">
        <f>MAX($Z273-积分赛!$C$7,0)*(IFERROR(INDEX($W$7:$W$14,MATCH(AF$10,$T$7:$T$14,0)),0)*$T$20+IFERROR(INDEX($X$7:$X$14,MATCH(AF$10,$T$7:$T$14,0)),0)*$T$21)/30</f>
        <v>0</v>
      </c>
      <c r="AG273" s="10">
        <f>MAX($Z273-积分赛!$C$7,0)*(IFERROR(INDEX($W$7:$W$14,MATCH(AG$10,$T$7:$T$14,0)),0)*$T$20+IFERROR(INDEX($X$7:$X$14,MATCH(AG$10,$T$7:$T$14,0)),0)*$T$21)/30</f>
        <v>0</v>
      </c>
      <c r="AH273" s="10">
        <f>MAX($Z273-积分赛!$C$7,0)*(IFERROR(INDEX($W$7:$W$14,MATCH(AH$10,$T$7:$T$14,0)),0)*$T$20+IFERROR(INDEX($X$7:$X$14,MATCH(AH$10,$T$7:$T$14,0)),0)*$T$21)/30</f>
        <v>0</v>
      </c>
      <c r="AI273" s="10">
        <f>MAX($Z273-积分赛!$C$7,0)*(IFERROR(INDEX($W$7:$W$14,MATCH(AI$10,$T$7:$T$14,0)),0)*$T$20+IFERROR(INDEX($X$7:$X$14,MATCH(AI$10,$T$7:$T$14,0)),0)*$T$21)/30</f>
        <v>23727.166666666668</v>
      </c>
      <c r="AJ273" s="10">
        <f>MAX($Z273-积分赛!$C$7,0)*(IFERROR(INDEX($W$7:$W$14,MATCH(AJ$10,$T$7:$T$14,0)),0)*$T$20+IFERROR(INDEX($X$7:$X$14,MATCH(AJ$10,$T$7:$T$14,0)),0)*$T$21)/30</f>
        <v>142363</v>
      </c>
      <c r="BI273" s="10">
        <v>263</v>
      </c>
      <c r="BJ273" s="10">
        <f>MAX($BI273-积分赛!$C$7,0)*$BC$10/30</f>
        <v>776666.66666666663</v>
      </c>
      <c r="BK273" s="10">
        <f>MAX($BI273-积分赛!$C$7,0)*$BC$10/30</f>
        <v>776666.66666666663</v>
      </c>
      <c r="BL273" s="10">
        <f>MAX($BI273-积分赛!$C$7,0)*$BC$10/30</f>
        <v>776666.66666666663</v>
      </c>
      <c r="BM273" s="10">
        <f>MAX($BI273-积分赛!$C$7,0)*$BC$10/30</f>
        <v>776666.66666666663</v>
      </c>
      <c r="BN273" s="10">
        <f>MAX($BI273-积分赛!$C$7,0)*$BC$10/30</f>
        <v>776666.66666666663</v>
      </c>
    </row>
    <row r="274" spans="26:66" x14ac:dyDescent="0.15">
      <c r="Z274" s="10">
        <v>264</v>
      </c>
      <c r="AA274" s="10">
        <f>IFERROR(MAX($Z274-积分赛!$C$7,0)*INDEX($U$7:$U$14,MATCH(AA$10,$T$7:$T$14,0))/30,0)</f>
        <v>0</v>
      </c>
      <c r="AB274" s="10">
        <f>IFERROR(MAX($Z274-积分赛!$C$7,0)*INDEX($U$7:$U$14,MATCH(AB$10,$T$7:$T$14,0))/30,0)</f>
        <v>0</v>
      </c>
      <c r="AC274" s="10">
        <f>IFERROR(MAX($Z274-积分赛!$C$7,0)*INDEX($U$7:$U$14,MATCH(AC$10,$T$7:$T$14,0))/30,0)</f>
        <v>0</v>
      </c>
      <c r="AD274" s="10">
        <f>IFERROR(MAX($Z274-积分赛!$C$7,0)*INDEX($U$7:$U$14,MATCH(AD$10,$T$7:$T$14,0))/30,0)</f>
        <v>624000</v>
      </c>
      <c r="AE274" s="10">
        <f>IFERROR(MAX($Z274-积分赛!$C$7,0)*INDEX($U$7:$U$14,MATCH(AE$10,$T$7:$T$14,0))/30,0)</f>
        <v>7800000</v>
      </c>
      <c r="AF274" s="10">
        <f>MAX($Z274-积分赛!$C$7,0)*(IFERROR(INDEX($W$7:$W$14,MATCH(AF$10,$T$7:$T$14,0)),0)*$T$20+IFERROR(INDEX($X$7:$X$14,MATCH(AF$10,$T$7:$T$14,0)),0)*$T$21)/30</f>
        <v>0</v>
      </c>
      <c r="AG274" s="10">
        <f>MAX($Z274-积分赛!$C$7,0)*(IFERROR(INDEX($W$7:$W$14,MATCH(AG$10,$T$7:$T$14,0)),0)*$T$20+IFERROR(INDEX($X$7:$X$14,MATCH(AG$10,$T$7:$T$14,0)),0)*$T$21)/30</f>
        <v>0</v>
      </c>
      <c r="AH274" s="10">
        <f>MAX($Z274-积分赛!$C$7,0)*(IFERROR(INDEX($W$7:$W$14,MATCH(AH$10,$T$7:$T$14,0)),0)*$T$20+IFERROR(INDEX($X$7:$X$14,MATCH(AH$10,$T$7:$T$14,0)),0)*$T$21)/30</f>
        <v>0</v>
      </c>
      <c r="AI274" s="10">
        <f>MAX($Z274-积分赛!$C$7,0)*(IFERROR(INDEX($W$7:$W$14,MATCH(AI$10,$T$7:$T$14,0)),0)*$T$20+IFERROR(INDEX($X$7:$X$14,MATCH(AI$10,$T$7:$T$14,0)),0)*$T$21)/30</f>
        <v>23829</v>
      </c>
      <c r="AJ274" s="10">
        <f>MAX($Z274-积分赛!$C$7,0)*(IFERROR(INDEX($W$7:$W$14,MATCH(AJ$10,$T$7:$T$14,0)),0)*$T$20+IFERROR(INDEX($X$7:$X$14,MATCH(AJ$10,$T$7:$T$14,0)),0)*$T$21)/30</f>
        <v>142974</v>
      </c>
      <c r="BI274" s="10">
        <v>264</v>
      </c>
      <c r="BJ274" s="10">
        <f>MAX($BI274-积分赛!$C$7,0)*$BC$10/30</f>
        <v>780000</v>
      </c>
      <c r="BK274" s="10">
        <f>MAX($BI274-积分赛!$C$7,0)*$BC$10/30</f>
        <v>780000</v>
      </c>
      <c r="BL274" s="10">
        <f>MAX($BI274-积分赛!$C$7,0)*$BC$10/30</f>
        <v>780000</v>
      </c>
      <c r="BM274" s="10">
        <f>MAX($BI274-积分赛!$C$7,0)*$BC$10/30</f>
        <v>780000</v>
      </c>
      <c r="BN274" s="10">
        <f>MAX($BI274-积分赛!$C$7,0)*$BC$10/30</f>
        <v>780000</v>
      </c>
    </row>
    <row r="275" spans="26:66" x14ac:dyDescent="0.15">
      <c r="Z275" s="10">
        <v>265</v>
      </c>
      <c r="AA275" s="10">
        <f>IFERROR(MAX($Z275-积分赛!$C$7,0)*INDEX($U$7:$U$14,MATCH(AA$10,$T$7:$T$14,0))/30,0)</f>
        <v>0</v>
      </c>
      <c r="AB275" s="10">
        <f>IFERROR(MAX($Z275-积分赛!$C$7,0)*INDEX($U$7:$U$14,MATCH(AB$10,$T$7:$T$14,0))/30,0)</f>
        <v>0</v>
      </c>
      <c r="AC275" s="10">
        <f>IFERROR(MAX($Z275-积分赛!$C$7,0)*INDEX($U$7:$U$14,MATCH(AC$10,$T$7:$T$14,0))/30,0)</f>
        <v>0</v>
      </c>
      <c r="AD275" s="10">
        <f>IFERROR(MAX($Z275-积分赛!$C$7,0)*INDEX($U$7:$U$14,MATCH(AD$10,$T$7:$T$14,0))/30,0)</f>
        <v>626666.66666666663</v>
      </c>
      <c r="AE275" s="10">
        <f>IFERROR(MAX($Z275-积分赛!$C$7,0)*INDEX($U$7:$U$14,MATCH(AE$10,$T$7:$T$14,0))/30,0)</f>
        <v>7833333.333333333</v>
      </c>
      <c r="AF275" s="10">
        <f>MAX($Z275-积分赛!$C$7,0)*(IFERROR(INDEX($W$7:$W$14,MATCH(AF$10,$T$7:$T$14,0)),0)*$T$20+IFERROR(INDEX($X$7:$X$14,MATCH(AF$10,$T$7:$T$14,0)),0)*$T$21)/30</f>
        <v>0</v>
      </c>
      <c r="AG275" s="10">
        <f>MAX($Z275-积分赛!$C$7,0)*(IFERROR(INDEX($W$7:$W$14,MATCH(AG$10,$T$7:$T$14,0)),0)*$T$20+IFERROR(INDEX($X$7:$X$14,MATCH(AG$10,$T$7:$T$14,0)),0)*$T$21)/30</f>
        <v>0</v>
      </c>
      <c r="AH275" s="10">
        <f>MAX($Z275-积分赛!$C$7,0)*(IFERROR(INDEX($W$7:$W$14,MATCH(AH$10,$T$7:$T$14,0)),0)*$T$20+IFERROR(INDEX($X$7:$X$14,MATCH(AH$10,$T$7:$T$14,0)),0)*$T$21)/30</f>
        <v>0</v>
      </c>
      <c r="AI275" s="10">
        <f>MAX($Z275-积分赛!$C$7,0)*(IFERROR(INDEX($W$7:$W$14,MATCH(AI$10,$T$7:$T$14,0)),0)*$T$20+IFERROR(INDEX($X$7:$X$14,MATCH(AI$10,$T$7:$T$14,0)),0)*$T$21)/30</f>
        <v>23930.833333333332</v>
      </c>
      <c r="AJ275" s="10">
        <f>MAX($Z275-积分赛!$C$7,0)*(IFERROR(INDEX($W$7:$W$14,MATCH(AJ$10,$T$7:$T$14,0)),0)*$T$20+IFERROR(INDEX($X$7:$X$14,MATCH(AJ$10,$T$7:$T$14,0)),0)*$T$21)/30</f>
        <v>143585</v>
      </c>
      <c r="BI275" s="10">
        <v>265</v>
      </c>
      <c r="BJ275" s="10">
        <f>MAX($BI275-积分赛!$C$7,0)*$BC$10/30</f>
        <v>783333.33333333337</v>
      </c>
      <c r="BK275" s="10">
        <f>MAX($BI275-积分赛!$C$7,0)*$BC$10/30</f>
        <v>783333.33333333337</v>
      </c>
      <c r="BL275" s="10">
        <f>MAX($BI275-积分赛!$C$7,0)*$BC$10/30</f>
        <v>783333.33333333337</v>
      </c>
      <c r="BM275" s="10">
        <f>MAX($BI275-积分赛!$C$7,0)*$BC$10/30</f>
        <v>783333.33333333337</v>
      </c>
      <c r="BN275" s="10">
        <f>MAX($BI275-积分赛!$C$7,0)*$BC$10/30</f>
        <v>783333.33333333337</v>
      </c>
    </row>
    <row r="276" spans="26:66" x14ac:dyDescent="0.15">
      <c r="Z276" s="10">
        <v>266</v>
      </c>
      <c r="AA276" s="10">
        <f>IFERROR(MAX($Z276-积分赛!$C$7,0)*INDEX($U$7:$U$14,MATCH(AA$10,$T$7:$T$14,0))/30,0)</f>
        <v>0</v>
      </c>
      <c r="AB276" s="10">
        <f>IFERROR(MAX($Z276-积分赛!$C$7,0)*INDEX($U$7:$U$14,MATCH(AB$10,$T$7:$T$14,0))/30,0)</f>
        <v>0</v>
      </c>
      <c r="AC276" s="10">
        <f>IFERROR(MAX($Z276-积分赛!$C$7,0)*INDEX($U$7:$U$14,MATCH(AC$10,$T$7:$T$14,0))/30,0)</f>
        <v>0</v>
      </c>
      <c r="AD276" s="10">
        <f>IFERROR(MAX($Z276-积分赛!$C$7,0)*INDEX($U$7:$U$14,MATCH(AD$10,$T$7:$T$14,0))/30,0)</f>
        <v>629333.33333333337</v>
      </c>
      <c r="AE276" s="10">
        <f>IFERROR(MAX($Z276-积分赛!$C$7,0)*INDEX($U$7:$U$14,MATCH(AE$10,$T$7:$T$14,0))/30,0)</f>
        <v>7866666.666666667</v>
      </c>
      <c r="AF276" s="10">
        <f>MAX($Z276-积分赛!$C$7,0)*(IFERROR(INDEX($W$7:$W$14,MATCH(AF$10,$T$7:$T$14,0)),0)*$T$20+IFERROR(INDEX($X$7:$X$14,MATCH(AF$10,$T$7:$T$14,0)),0)*$T$21)/30</f>
        <v>0</v>
      </c>
      <c r="AG276" s="10">
        <f>MAX($Z276-积分赛!$C$7,0)*(IFERROR(INDEX($W$7:$W$14,MATCH(AG$10,$T$7:$T$14,0)),0)*$T$20+IFERROR(INDEX($X$7:$X$14,MATCH(AG$10,$T$7:$T$14,0)),0)*$T$21)/30</f>
        <v>0</v>
      </c>
      <c r="AH276" s="10">
        <f>MAX($Z276-积分赛!$C$7,0)*(IFERROR(INDEX($W$7:$W$14,MATCH(AH$10,$T$7:$T$14,0)),0)*$T$20+IFERROR(INDEX($X$7:$X$14,MATCH(AH$10,$T$7:$T$14,0)),0)*$T$21)/30</f>
        <v>0</v>
      </c>
      <c r="AI276" s="10">
        <f>MAX($Z276-积分赛!$C$7,0)*(IFERROR(INDEX($W$7:$W$14,MATCH(AI$10,$T$7:$T$14,0)),0)*$T$20+IFERROR(INDEX($X$7:$X$14,MATCH(AI$10,$T$7:$T$14,0)),0)*$T$21)/30</f>
        <v>24032.666666666668</v>
      </c>
      <c r="AJ276" s="10">
        <f>MAX($Z276-积分赛!$C$7,0)*(IFERROR(INDEX($W$7:$W$14,MATCH(AJ$10,$T$7:$T$14,0)),0)*$T$20+IFERROR(INDEX($X$7:$X$14,MATCH(AJ$10,$T$7:$T$14,0)),0)*$T$21)/30</f>
        <v>144196</v>
      </c>
      <c r="BI276" s="10">
        <v>266</v>
      </c>
      <c r="BJ276" s="10">
        <f>MAX($BI276-积分赛!$C$7,0)*$BC$10/30</f>
        <v>786666.66666666663</v>
      </c>
      <c r="BK276" s="10">
        <f>MAX($BI276-积分赛!$C$7,0)*$BC$10/30</f>
        <v>786666.66666666663</v>
      </c>
      <c r="BL276" s="10">
        <f>MAX($BI276-积分赛!$C$7,0)*$BC$10/30</f>
        <v>786666.66666666663</v>
      </c>
      <c r="BM276" s="10">
        <f>MAX($BI276-积分赛!$C$7,0)*$BC$10/30</f>
        <v>786666.66666666663</v>
      </c>
      <c r="BN276" s="10">
        <f>MAX($BI276-积分赛!$C$7,0)*$BC$10/30</f>
        <v>786666.66666666663</v>
      </c>
    </row>
    <row r="277" spans="26:66" x14ac:dyDescent="0.15">
      <c r="Z277" s="10">
        <v>267</v>
      </c>
      <c r="AA277" s="10">
        <f>IFERROR(MAX($Z277-积分赛!$C$7,0)*INDEX($U$7:$U$14,MATCH(AA$10,$T$7:$T$14,0))/30,0)</f>
        <v>0</v>
      </c>
      <c r="AB277" s="10">
        <f>IFERROR(MAX($Z277-积分赛!$C$7,0)*INDEX($U$7:$U$14,MATCH(AB$10,$T$7:$T$14,0))/30,0)</f>
        <v>0</v>
      </c>
      <c r="AC277" s="10">
        <f>IFERROR(MAX($Z277-积分赛!$C$7,0)*INDEX($U$7:$U$14,MATCH(AC$10,$T$7:$T$14,0))/30,0)</f>
        <v>0</v>
      </c>
      <c r="AD277" s="10">
        <f>IFERROR(MAX($Z277-积分赛!$C$7,0)*INDEX($U$7:$U$14,MATCH(AD$10,$T$7:$T$14,0))/30,0)</f>
        <v>632000</v>
      </c>
      <c r="AE277" s="10">
        <f>IFERROR(MAX($Z277-积分赛!$C$7,0)*INDEX($U$7:$U$14,MATCH(AE$10,$T$7:$T$14,0))/30,0)</f>
        <v>7900000</v>
      </c>
      <c r="AF277" s="10">
        <f>MAX($Z277-积分赛!$C$7,0)*(IFERROR(INDEX($W$7:$W$14,MATCH(AF$10,$T$7:$T$14,0)),0)*$T$20+IFERROR(INDEX($X$7:$X$14,MATCH(AF$10,$T$7:$T$14,0)),0)*$T$21)/30</f>
        <v>0</v>
      </c>
      <c r="AG277" s="10">
        <f>MAX($Z277-积分赛!$C$7,0)*(IFERROR(INDEX($W$7:$W$14,MATCH(AG$10,$T$7:$T$14,0)),0)*$T$20+IFERROR(INDEX($X$7:$X$14,MATCH(AG$10,$T$7:$T$14,0)),0)*$T$21)/30</f>
        <v>0</v>
      </c>
      <c r="AH277" s="10">
        <f>MAX($Z277-积分赛!$C$7,0)*(IFERROR(INDEX($W$7:$W$14,MATCH(AH$10,$T$7:$T$14,0)),0)*$T$20+IFERROR(INDEX($X$7:$X$14,MATCH(AH$10,$T$7:$T$14,0)),0)*$T$21)/30</f>
        <v>0</v>
      </c>
      <c r="AI277" s="10">
        <f>MAX($Z277-积分赛!$C$7,0)*(IFERROR(INDEX($W$7:$W$14,MATCH(AI$10,$T$7:$T$14,0)),0)*$T$20+IFERROR(INDEX($X$7:$X$14,MATCH(AI$10,$T$7:$T$14,0)),0)*$T$21)/30</f>
        <v>24134.5</v>
      </c>
      <c r="AJ277" s="10">
        <f>MAX($Z277-积分赛!$C$7,0)*(IFERROR(INDEX($W$7:$W$14,MATCH(AJ$10,$T$7:$T$14,0)),0)*$T$20+IFERROR(INDEX($X$7:$X$14,MATCH(AJ$10,$T$7:$T$14,0)),0)*$T$21)/30</f>
        <v>144807</v>
      </c>
      <c r="BI277" s="10">
        <v>267</v>
      </c>
      <c r="BJ277" s="10">
        <f>MAX($BI277-积分赛!$C$7,0)*$BC$10/30</f>
        <v>790000</v>
      </c>
      <c r="BK277" s="10">
        <f>MAX($BI277-积分赛!$C$7,0)*$BC$10/30</f>
        <v>790000</v>
      </c>
      <c r="BL277" s="10">
        <f>MAX($BI277-积分赛!$C$7,0)*$BC$10/30</f>
        <v>790000</v>
      </c>
      <c r="BM277" s="10">
        <f>MAX($BI277-积分赛!$C$7,0)*$BC$10/30</f>
        <v>790000</v>
      </c>
      <c r="BN277" s="10">
        <f>MAX($BI277-积分赛!$C$7,0)*$BC$10/30</f>
        <v>790000</v>
      </c>
    </row>
    <row r="278" spans="26:66" x14ac:dyDescent="0.15">
      <c r="Z278" s="10">
        <v>268</v>
      </c>
      <c r="AA278" s="10">
        <f>IFERROR(MAX($Z278-积分赛!$C$7,0)*INDEX($U$7:$U$14,MATCH(AA$10,$T$7:$T$14,0))/30,0)</f>
        <v>0</v>
      </c>
      <c r="AB278" s="10">
        <f>IFERROR(MAX($Z278-积分赛!$C$7,0)*INDEX($U$7:$U$14,MATCH(AB$10,$T$7:$T$14,0))/30,0)</f>
        <v>0</v>
      </c>
      <c r="AC278" s="10">
        <f>IFERROR(MAX($Z278-积分赛!$C$7,0)*INDEX($U$7:$U$14,MATCH(AC$10,$T$7:$T$14,0))/30,0)</f>
        <v>0</v>
      </c>
      <c r="AD278" s="10">
        <f>IFERROR(MAX($Z278-积分赛!$C$7,0)*INDEX($U$7:$U$14,MATCH(AD$10,$T$7:$T$14,0))/30,0)</f>
        <v>634666.66666666663</v>
      </c>
      <c r="AE278" s="10">
        <f>IFERROR(MAX($Z278-积分赛!$C$7,0)*INDEX($U$7:$U$14,MATCH(AE$10,$T$7:$T$14,0))/30,0)</f>
        <v>7933333.333333333</v>
      </c>
      <c r="AF278" s="10">
        <f>MAX($Z278-积分赛!$C$7,0)*(IFERROR(INDEX($W$7:$W$14,MATCH(AF$10,$T$7:$T$14,0)),0)*$T$20+IFERROR(INDEX($X$7:$X$14,MATCH(AF$10,$T$7:$T$14,0)),0)*$T$21)/30</f>
        <v>0</v>
      </c>
      <c r="AG278" s="10">
        <f>MAX($Z278-积分赛!$C$7,0)*(IFERROR(INDEX($W$7:$W$14,MATCH(AG$10,$T$7:$T$14,0)),0)*$T$20+IFERROR(INDEX($X$7:$X$14,MATCH(AG$10,$T$7:$T$14,0)),0)*$T$21)/30</f>
        <v>0</v>
      </c>
      <c r="AH278" s="10">
        <f>MAX($Z278-积分赛!$C$7,0)*(IFERROR(INDEX($W$7:$W$14,MATCH(AH$10,$T$7:$T$14,0)),0)*$T$20+IFERROR(INDEX($X$7:$X$14,MATCH(AH$10,$T$7:$T$14,0)),0)*$T$21)/30</f>
        <v>0</v>
      </c>
      <c r="AI278" s="10">
        <f>MAX($Z278-积分赛!$C$7,0)*(IFERROR(INDEX($W$7:$W$14,MATCH(AI$10,$T$7:$T$14,0)),0)*$T$20+IFERROR(INDEX($X$7:$X$14,MATCH(AI$10,$T$7:$T$14,0)),0)*$T$21)/30</f>
        <v>24236.333333333332</v>
      </c>
      <c r="AJ278" s="10">
        <f>MAX($Z278-积分赛!$C$7,0)*(IFERROR(INDEX($W$7:$W$14,MATCH(AJ$10,$T$7:$T$14,0)),0)*$T$20+IFERROR(INDEX($X$7:$X$14,MATCH(AJ$10,$T$7:$T$14,0)),0)*$T$21)/30</f>
        <v>145418</v>
      </c>
      <c r="BI278" s="10">
        <v>268</v>
      </c>
      <c r="BJ278" s="10">
        <f>MAX($BI278-积分赛!$C$7,0)*$BC$10/30</f>
        <v>793333.33333333337</v>
      </c>
      <c r="BK278" s="10">
        <f>MAX($BI278-积分赛!$C$7,0)*$BC$10/30</f>
        <v>793333.33333333337</v>
      </c>
      <c r="BL278" s="10">
        <f>MAX($BI278-积分赛!$C$7,0)*$BC$10/30</f>
        <v>793333.33333333337</v>
      </c>
      <c r="BM278" s="10">
        <f>MAX($BI278-积分赛!$C$7,0)*$BC$10/30</f>
        <v>793333.33333333337</v>
      </c>
      <c r="BN278" s="10">
        <f>MAX($BI278-积分赛!$C$7,0)*$BC$10/30</f>
        <v>793333.33333333337</v>
      </c>
    </row>
    <row r="279" spans="26:66" x14ac:dyDescent="0.15">
      <c r="Z279" s="10">
        <v>269</v>
      </c>
      <c r="AA279" s="10">
        <f>IFERROR(MAX($Z279-积分赛!$C$7,0)*INDEX($U$7:$U$14,MATCH(AA$10,$T$7:$T$14,0))/30,0)</f>
        <v>0</v>
      </c>
      <c r="AB279" s="10">
        <f>IFERROR(MAX($Z279-积分赛!$C$7,0)*INDEX($U$7:$U$14,MATCH(AB$10,$T$7:$T$14,0))/30,0)</f>
        <v>0</v>
      </c>
      <c r="AC279" s="10">
        <f>IFERROR(MAX($Z279-积分赛!$C$7,0)*INDEX($U$7:$U$14,MATCH(AC$10,$T$7:$T$14,0))/30,0)</f>
        <v>0</v>
      </c>
      <c r="AD279" s="10">
        <f>IFERROR(MAX($Z279-积分赛!$C$7,0)*INDEX($U$7:$U$14,MATCH(AD$10,$T$7:$T$14,0))/30,0)</f>
        <v>637333.33333333337</v>
      </c>
      <c r="AE279" s="10">
        <f>IFERROR(MAX($Z279-积分赛!$C$7,0)*INDEX($U$7:$U$14,MATCH(AE$10,$T$7:$T$14,0))/30,0)</f>
        <v>7966666.666666667</v>
      </c>
      <c r="AF279" s="10">
        <f>MAX($Z279-积分赛!$C$7,0)*(IFERROR(INDEX($W$7:$W$14,MATCH(AF$10,$T$7:$T$14,0)),0)*$T$20+IFERROR(INDEX($X$7:$X$14,MATCH(AF$10,$T$7:$T$14,0)),0)*$T$21)/30</f>
        <v>0</v>
      </c>
      <c r="AG279" s="10">
        <f>MAX($Z279-积分赛!$C$7,0)*(IFERROR(INDEX($W$7:$W$14,MATCH(AG$10,$T$7:$T$14,0)),0)*$T$20+IFERROR(INDEX($X$7:$X$14,MATCH(AG$10,$T$7:$T$14,0)),0)*$T$21)/30</f>
        <v>0</v>
      </c>
      <c r="AH279" s="10">
        <f>MAX($Z279-积分赛!$C$7,0)*(IFERROR(INDEX($W$7:$W$14,MATCH(AH$10,$T$7:$T$14,0)),0)*$T$20+IFERROR(INDEX($X$7:$X$14,MATCH(AH$10,$T$7:$T$14,0)),0)*$T$21)/30</f>
        <v>0</v>
      </c>
      <c r="AI279" s="10">
        <f>MAX($Z279-积分赛!$C$7,0)*(IFERROR(INDEX($W$7:$W$14,MATCH(AI$10,$T$7:$T$14,0)),0)*$T$20+IFERROR(INDEX($X$7:$X$14,MATCH(AI$10,$T$7:$T$14,0)),0)*$T$21)/30</f>
        <v>24338.166666666668</v>
      </c>
      <c r="AJ279" s="10">
        <f>MAX($Z279-积分赛!$C$7,0)*(IFERROR(INDEX($W$7:$W$14,MATCH(AJ$10,$T$7:$T$14,0)),0)*$T$20+IFERROR(INDEX($X$7:$X$14,MATCH(AJ$10,$T$7:$T$14,0)),0)*$T$21)/30</f>
        <v>146029</v>
      </c>
      <c r="BI279" s="10">
        <v>269</v>
      </c>
      <c r="BJ279" s="10">
        <f>MAX($BI279-积分赛!$C$7,0)*$BC$10/30</f>
        <v>796666.66666666663</v>
      </c>
      <c r="BK279" s="10">
        <f>MAX($BI279-积分赛!$C$7,0)*$BC$10/30</f>
        <v>796666.66666666663</v>
      </c>
      <c r="BL279" s="10">
        <f>MAX($BI279-积分赛!$C$7,0)*$BC$10/30</f>
        <v>796666.66666666663</v>
      </c>
      <c r="BM279" s="10">
        <f>MAX($BI279-积分赛!$C$7,0)*$BC$10/30</f>
        <v>796666.66666666663</v>
      </c>
      <c r="BN279" s="10">
        <f>MAX($BI279-积分赛!$C$7,0)*$BC$10/30</f>
        <v>796666.66666666663</v>
      </c>
    </row>
    <row r="280" spans="26:66" x14ac:dyDescent="0.15">
      <c r="Z280" s="10">
        <v>270</v>
      </c>
      <c r="AA280" s="10">
        <f>IFERROR(MAX($Z280-积分赛!$C$7,0)*INDEX($U$7:$U$14,MATCH(AA$10,$T$7:$T$14,0))/30,0)</f>
        <v>0</v>
      </c>
      <c r="AB280" s="10">
        <f>IFERROR(MAX($Z280-积分赛!$C$7,0)*INDEX($U$7:$U$14,MATCH(AB$10,$T$7:$T$14,0))/30,0)</f>
        <v>0</v>
      </c>
      <c r="AC280" s="10">
        <f>IFERROR(MAX($Z280-积分赛!$C$7,0)*INDEX($U$7:$U$14,MATCH(AC$10,$T$7:$T$14,0))/30,0)</f>
        <v>0</v>
      </c>
      <c r="AD280" s="10">
        <f>IFERROR(MAX($Z280-积分赛!$C$7,0)*INDEX($U$7:$U$14,MATCH(AD$10,$T$7:$T$14,0))/30,0)</f>
        <v>640000</v>
      </c>
      <c r="AE280" s="10">
        <f>IFERROR(MAX($Z280-积分赛!$C$7,0)*INDEX($U$7:$U$14,MATCH(AE$10,$T$7:$T$14,0))/30,0)</f>
        <v>8000000</v>
      </c>
      <c r="AF280" s="10">
        <f>MAX($Z280-积分赛!$C$7,0)*(IFERROR(INDEX($W$7:$W$14,MATCH(AF$10,$T$7:$T$14,0)),0)*$T$20+IFERROR(INDEX($X$7:$X$14,MATCH(AF$10,$T$7:$T$14,0)),0)*$T$21)/30</f>
        <v>0</v>
      </c>
      <c r="AG280" s="10">
        <f>MAX($Z280-积分赛!$C$7,0)*(IFERROR(INDEX($W$7:$W$14,MATCH(AG$10,$T$7:$T$14,0)),0)*$T$20+IFERROR(INDEX($X$7:$X$14,MATCH(AG$10,$T$7:$T$14,0)),0)*$T$21)/30</f>
        <v>0</v>
      </c>
      <c r="AH280" s="10">
        <f>MAX($Z280-积分赛!$C$7,0)*(IFERROR(INDEX($W$7:$W$14,MATCH(AH$10,$T$7:$T$14,0)),0)*$T$20+IFERROR(INDEX($X$7:$X$14,MATCH(AH$10,$T$7:$T$14,0)),0)*$T$21)/30</f>
        <v>0</v>
      </c>
      <c r="AI280" s="10">
        <f>MAX($Z280-积分赛!$C$7,0)*(IFERROR(INDEX($W$7:$W$14,MATCH(AI$10,$T$7:$T$14,0)),0)*$T$20+IFERROR(INDEX($X$7:$X$14,MATCH(AI$10,$T$7:$T$14,0)),0)*$T$21)/30</f>
        <v>24440</v>
      </c>
      <c r="AJ280" s="10">
        <f>MAX($Z280-积分赛!$C$7,0)*(IFERROR(INDEX($W$7:$W$14,MATCH(AJ$10,$T$7:$T$14,0)),0)*$T$20+IFERROR(INDEX($X$7:$X$14,MATCH(AJ$10,$T$7:$T$14,0)),0)*$T$21)/30</f>
        <v>146640</v>
      </c>
      <c r="BI280" s="10">
        <v>270</v>
      </c>
      <c r="BJ280" s="10">
        <f>MAX($BI280-积分赛!$C$7,0)*$BC$10/30</f>
        <v>800000</v>
      </c>
      <c r="BK280" s="10">
        <f>MAX($BI280-积分赛!$C$7,0)*$BC$10/30</f>
        <v>800000</v>
      </c>
      <c r="BL280" s="10">
        <f>MAX($BI280-积分赛!$C$7,0)*$BC$10/30</f>
        <v>800000</v>
      </c>
      <c r="BM280" s="10">
        <f>MAX($BI280-积分赛!$C$7,0)*$BC$10/30</f>
        <v>800000</v>
      </c>
      <c r="BN280" s="10">
        <f>MAX($BI280-积分赛!$C$7,0)*$BC$10/30</f>
        <v>800000</v>
      </c>
    </row>
    <row r="281" spans="26:66" x14ac:dyDescent="0.15">
      <c r="Z281" s="10">
        <v>271</v>
      </c>
      <c r="AA281" s="10">
        <f>IFERROR(MAX($Z281-积分赛!$C$7,0)*INDEX($U$7:$U$14,MATCH(AA$10,$T$7:$T$14,0))/30,0)</f>
        <v>0</v>
      </c>
      <c r="AB281" s="10">
        <f>IFERROR(MAX($Z281-积分赛!$C$7,0)*INDEX($U$7:$U$14,MATCH(AB$10,$T$7:$T$14,0))/30,0)</f>
        <v>0</v>
      </c>
      <c r="AC281" s="10">
        <f>IFERROR(MAX($Z281-积分赛!$C$7,0)*INDEX($U$7:$U$14,MATCH(AC$10,$T$7:$T$14,0))/30,0)</f>
        <v>0</v>
      </c>
      <c r="AD281" s="10">
        <f>IFERROR(MAX($Z281-积分赛!$C$7,0)*INDEX($U$7:$U$14,MATCH(AD$10,$T$7:$T$14,0))/30,0)</f>
        <v>642666.66666666663</v>
      </c>
      <c r="AE281" s="10">
        <f>IFERROR(MAX($Z281-积分赛!$C$7,0)*INDEX($U$7:$U$14,MATCH(AE$10,$T$7:$T$14,0))/30,0)</f>
        <v>8033333.333333333</v>
      </c>
      <c r="AF281" s="10">
        <f>MAX($Z281-积分赛!$C$7,0)*(IFERROR(INDEX($W$7:$W$14,MATCH(AF$10,$T$7:$T$14,0)),0)*$T$20+IFERROR(INDEX($X$7:$X$14,MATCH(AF$10,$T$7:$T$14,0)),0)*$T$21)/30</f>
        <v>0</v>
      </c>
      <c r="AG281" s="10">
        <f>MAX($Z281-积分赛!$C$7,0)*(IFERROR(INDEX($W$7:$W$14,MATCH(AG$10,$T$7:$T$14,0)),0)*$T$20+IFERROR(INDEX($X$7:$X$14,MATCH(AG$10,$T$7:$T$14,0)),0)*$T$21)/30</f>
        <v>0</v>
      </c>
      <c r="AH281" s="10">
        <f>MAX($Z281-积分赛!$C$7,0)*(IFERROR(INDEX($W$7:$W$14,MATCH(AH$10,$T$7:$T$14,0)),0)*$T$20+IFERROR(INDEX($X$7:$X$14,MATCH(AH$10,$T$7:$T$14,0)),0)*$T$21)/30</f>
        <v>0</v>
      </c>
      <c r="AI281" s="10">
        <f>MAX($Z281-积分赛!$C$7,0)*(IFERROR(INDEX($W$7:$W$14,MATCH(AI$10,$T$7:$T$14,0)),0)*$T$20+IFERROR(INDEX($X$7:$X$14,MATCH(AI$10,$T$7:$T$14,0)),0)*$T$21)/30</f>
        <v>24541.833333333332</v>
      </c>
      <c r="AJ281" s="10">
        <f>MAX($Z281-积分赛!$C$7,0)*(IFERROR(INDEX($W$7:$W$14,MATCH(AJ$10,$T$7:$T$14,0)),0)*$T$20+IFERROR(INDEX($X$7:$X$14,MATCH(AJ$10,$T$7:$T$14,0)),0)*$T$21)/30</f>
        <v>147251</v>
      </c>
      <c r="BI281" s="10">
        <v>271</v>
      </c>
      <c r="BJ281" s="10">
        <f>MAX($BI281-积分赛!$C$7,0)*$BC$10/30</f>
        <v>803333.33333333337</v>
      </c>
      <c r="BK281" s="10">
        <f>MAX($BI281-积分赛!$C$7,0)*$BC$10/30</f>
        <v>803333.33333333337</v>
      </c>
      <c r="BL281" s="10">
        <f>MAX($BI281-积分赛!$C$7,0)*$BC$10/30</f>
        <v>803333.33333333337</v>
      </c>
      <c r="BM281" s="10">
        <f>MAX($BI281-积分赛!$C$7,0)*$BC$10/30</f>
        <v>803333.33333333337</v>
      </c>
      <c r="BN281" s="10">
        <f>MAX($BI281-积分赛!$C$7,0)*$BC$10/30</f>
        <v>803333.33333333337</v>
      </c>
    </row>
    <row r="282" spans="26:66" x14ac:dyDescent="0.15">
      <c r="Z282" s="10">
        <v>272</v>
      </c>
      <c r="AA282" s="10">
        <f>IFERROR(MAX($Z282-积分赛!$C$7,0)*INDEX($U$7:$U$14,MATCH(AA$10,$T$7:$T$14,0))/30,0)</f>
        <v>0</v>
      </c>
      <c r="AB282" s="10">
        <f>IFERROR(MAX($Z282-积分赛!$C$7,0)*INDEX($U$7:$U$14,MATCH(AB$10,$T$7:$T$14,0))/30,0)</f>
        <v>0</v>
      </c>
      <c r="AC282" s="10">
        <f>IFERROR(MAX($Z282-积分赛!$C$7,0)*INDEX($U$7:$U$14,MATCH(AC$10,$T$7:$T$14,0))/30,0)</f>
        <v>0</v>
      </c>
      <c r="AD282" s="10">
        <f>IFERROR(MAX($Z282-积分赛!$C$7,0)*INDEX($U$7:$U$14,MATCH(AD$10,$T$7:$T$14,0))/30,0)</f>
        <v>645333.33333333337</v>
      </c>
      <c r="AE282" s="10">
        <f>IFERROR(MAX($Z282-积分赛!$C$7,0)*INDEX($U$7:$U$14,MATCH(AE$10,$T$7:$T$14,0))/30,0)</f>
        <v>8066666.666666667</v>
      </c>
      <c r="AF282" s="10">
        <f>MAX($Z282-积分赛!$C$7,0)*(IFERROR(INDEX($W$7:$W$14,MATCH(AF$10,$T$7:$T$14,0)),0)*$T$20+IFERROR(INDEX($X$7:$X$14,MATCH(AF$10,$T$7:$T$14,0)),0)*$T$21)/30</f>
        <v>0</v>
      </c>
      <c r="AG282" s="10">
        <f>MAX($Z282-积分赛!$C$7,0)*(IFERROR(INDEX($W$7:$W$14,MATCH(AG$10,$T$7:$T$14,0)),0)*$T$20+IFERROR(INDEX($X$7:$X$14,MATCH(AG$10,$T$7:$T$14,0)),0)*$T$21)/30</f>
        <v>0</v>
      </c>
      <c r="AH282" s="10">
        <f>MAX($Z282-积分赛!$C$7,0)*(IFERROR(INDEX($W$7:$W$14,MATCH(AH$10,$T$7:$T$14,0)),0)*$T$20+IFERROR(INDEX($X$7:$X$14,MATCH(AH$10,$T$7:$T$14,0)),0)*$T$21)/30</f>
        <v>0</v>
      </c>
      <c r="AI282" s="10">
        <f>MAX($Z282-积分赛!$C$7,0)*(IFERROR(INDEX($W$7:$W$14,MATCH(AI$10,$T$7:$T$14,0)),0)*$T$20+IFERROR(INDEX($X$7:$X$14,MATCH(AI$10,$T$7:$T$14,0)),0)*$T$21)/30</f>
        <v>24643.666666666668</v>
      </c>
      <c r="AJ282" s="10">
        <f>MAX($Z282-积分赛!$C$7,0)*(IFERROR(INDEX($W$7:$W$14,MATCH(AJ$10,$T$7:$T$14,0)),0)*$T$20+IFERROR(INDEX($X$7:$X$14,MATCH(AJ$10,$T$7:$T$14,0)),0)*$T$21)/30</f>
        <v>147862</v>
      </c>
      <c r="BI282" s="10">
        <v>272</v>
      </c>
      <c r="BJ282" s="10">
        <f>MAX($BI282-积分赛!$C$7,0)*$BC$10/30</f>
        <v>806666.66666666663</v>
      </c>
      <c r="BK282" s="10">
        <f>MAX($BI282-积分赛!$C$7,0)*$BC$10/30</f>
        <v>806666.66666666663</v>
      </c>
      <c r="BL282" s="10">
        <f>MAX($BI282-积分赛!$C$7,0)*$BC$10/30</f>
        <v>806666.66666666663</v>
      </c>
      <c r="BM282" s="10">
        <f>MAX($BI282-积分赛!$C$7,0)*$BC$10/30</f>
        <v>806666.66666666663</v>
      </c>
      <c r="BN282" s="10">
        <f>MAX($BI282-积分赛!$C$7,0)*$BC$10/30</f>
        <v>806666.66666666663</v>
      </c>
    </row>
    <row r="283" spans="26:66" x14ac:dyDescent="0.15">
      <c r="Z283" s="10">
        <v>273</v>
      </c>
      <c r="AA283" s="10">
        <f>IFERROR(MAX($Z283-积分赛!$C$7,0)*INDEX($U$7:$U$14,MATCH(AA$10,$T$7:$T$14,0))/30,0)</f>
        <v>0</v>
      </c>
      <c r="AB283" s="10">
        <f>IFERROR(MAX($Z283-积分赛!$C$7,0)*INDEX($U$7:$U$14,MATCH(AB$10,$T$7:$T$14,0))/30,0)</f>
        <v>0</v>
      </c>
      <c r="AC283" s="10">
        <f>IFERROR(MAX($Z283-积分赛!$C$7,0)*INDEX($U$7:$U$14,MATCH(AC$10,$T$7:$T$14,0))/30,0)</f>
        <v>0</v>
      </c>
      <c r="AD283" s="10">
        <f>IFERROR(MAX($Z283-积分赛!$C$7,0)*INDEX($U$7:$U$14,MATCH(AD$10,$T$7:$T$14,0))/30,0)</f>
        <v>648000</v>
      </c>
      <c r="AE283" s="10">
        <f>IFERROR(MAX($Z283-积分赛!$C$7,0)*INDEX($U$7:$U$14,MATCH(AE$10,$T$7:$T$14,0))/30,0)</f>
        <v>8100000</v>
      </c>
      <c r="AF283" s="10">
        <f>MAX($Z283-积分赛!$C$7,0)*(IFERROR(INDEX($W$7:$W$14,MATCH(AF$10,$T$7:$T$14,0)),0)*$T$20+IFERROR(INDEX($X$7:$X$14,MATCH(AF$10,$T$7:$T$14,0)),0)*$T$21)/30</f>
        <v>0</v>
      </c>
      <c r="AG283" s="10">
        <f>MAX($Z283-积分赛!$C$7,0)*(IFERROR(INDEX($W$7:$W$14,MATCH(AG$10,$T$7:$T$14,0)),0)*$T$20+IFERROR(INDEX($X$7:$X$14,MATCH(AG$10,$T$7:$T$14,0)),0)*$T$21)/30</f>
        <v>0</v>
      </c>
      <c r="AH283" s="10">
        <f>MAX($Z283-积分赛!$C$7,0)*(IFERROR(INDEX($W$7:$W$14,MATCH(AH$10,$T$7:$T$14,0)),0)*$T$20+IFERROR(INDEX($X$7:$X$14,MATCH(AH$10,$T$7:$T$14,0)),0)*$T$21)/30</f>
        <v>0</v>
      </c>
      <c r="AI283" s="10">
        <f>MAX($Z283-积分赛!$C$7,0)*(IFERROR(INDEX($W$7:$W$14,MATCH(AI$10,$T$7:$T$14,0)),0)*$T$20+IFERROR(INDEX($X$7:$X$14,MATCH(AI$10,$T$7:$T$14,0)),0)*$T$21)/30</f>
        <v>24745.5</v>
      </c>
      <c r="AJ283" s="10">
        <f>MAX($Z283-积分赛!$C$7,0)*(IFERROR(INDEX($W$7:$W$14,MATCH(AJ$10,$T$7:$T$14,0)),0)*$T$20+IFERROR(INDEX($X$7:$X$14,MATCH(AJ$10,$T$7:$T$14,0)),0)*$T$21)/30</f>
        <v>148473</v>
      </c>
      <c r="BI283" s="10">
        <v>273</v>
      </c>
      <c r="BJ283" s="10">
        <f>MAX($BI283-积分赛!$C$7,0)*$BC$10/30</f>
        <v>810000</v>
      </c>
      <c r="BK283" s="10">
        <f>MAX($BI283-积分赛!$C$7,0)*$BC$10/30</f>
        <v>810000</v>
      </c>
      <c r="BL283" s="10">
        <f>MAX($BI283-积分赛!$C$7,0)*$BC$10/30</f>
        <v>810000</v>
      </c>
      <c r="BM283" s="10">
        <f>MAX($BI283-积分赛!$C$7,0)*$BC$10/30</f>
        <v>810000</v>
      </c>
      <c r="BN283" s="10">
        <f>MAX($BI283-积分赛!$C$7,0)*$BC$10/30</f>
        <v>810000</v>
      </c>
    </row>
    <row r="284" spans="26:66" x14ac:dyDescent="0.15">
      <c r="Z284" s="10">
        <v>274</v>
      </c>
      <c r="AA284" s="10">
        <f>IFERROR(MAX($Z284-积分赛!$C$7,0)*INDEX($U$7:$U$14,MATCH(AA$10,$T$7:$T$14,0))/30,0)</f>
        <v>0</v>
      </c>
      <c r="AB284" s="10">
        <f>IFERROR(MAX($Z284-积分赛!$C$7,0)*INDEX($U$7:$U$14,MATCH(AB$10,$T$7:$T$14,0))/30,0)</f>
        <v>0</v>
      </c>
      <c r="AC284" s="10">
        <f>IFERROR(MAX($Z284-积分赛!$C$7,0)*INDEX($U$7:$U$14,MATCH(AC$10,$T$7:$T$14,0))/30,0)</f>
        <v>0</v>
      </c>
      <c r="AD284" s="10">
        <f>IFERROR(MAX($Z284-积分赛!$C$7,0)*INDEX($U$7:$U$14,MATCH(AD$10,$T$7:$T$14,0))/30,0)</f>
        <v>650666.66666666663</v>
      </c>
      <c r="AE284" s="10">
        <f>IFERROR(MAX($Z284-积分赛!$C$7,0)*INDEX($U$7:$U$14,MATCH(AE$10,$T$7:$T$14,0))/30,0)</f>
        <v>8133333.333333333</v>
      </c>
      <c r="AF284" s="10">
        <f>MAX($Z284-积分赛!$C$7,0)*(IFERROR(INDEX($W$7:$W$14,MATCH(AF$10,$T$7:$T$14,0)),0)*$T$20+IFERROR(INDEX($X$7:$X$14,MATCH(AF$10,$T$7:$T$14,0)),0)*$T$21)/30</f>
        <v>0</v>
      </c>
      <c r="AG284" s="10">
        <f>MAX($Z284-积分赛!$C$7,0)*(IFERROR(INDEX($W$7:$W$14,MATCH(AG$10,$T$7:$T$14,0)),0)*$T$20+IFERROR(INDEX($X$7:$X$14,MATCH(AG$10,$T$7:$T$14,0)),0)*$T$21)/30</f>
        <v>0</v>
      </c>
      <c r="AH284" s="10">
        <f>MAX($Z284-积分赛!$C$7,0)*(IFERROR(INDEX($W$7:$W$14,MATCH(AH$10,$T$7:$T$14,0)),0)*$T$20+IFERROR(INDEX($X$7:$X$14,MATCH(AH$10,$T$7:$T$14,0)),0)*$T$21)/30</f>
        <v>0</v>
      </c>
      <c r="AI284" s="10">
        <f>MAX($Z284-积分赛!$C$7,0)*(IFERROR(INDEX($W$7:$W$14,MATCH(AI$10,$T$7:$T$14,0)),0)*$T$20+IFERROR(INDEX($X$7:$X$14,MATCH(AI$10,$T$7:$T$14,0)),0)*$T$21)/30</f>
        <v>24847.333333333332</v>
      </c>
      <c r="AJ284" s="10">
        <f>MAX($Z284-积分赛!$C$7,0)*(IFERROR(INDEX($W$7:$W$14,MATCH(AJ$10,$T$7:$T$14,0)),0)*$T$20+IFERROR(INDEX($X$7:$X$14,MATCH(AJ$10,$T$7:$T$14,0)),0)*$T$21)/30</f>
        <v>149084</v>
      </c>
      <c r="BI284" s="10">
        <v>274</v>
      </c>
      <c r="BJ284" s="10">
        <f>MAX($BI284-积分赛!$C$7,0)*$BC$10/30</f>
        <v>813333.33333333337</v>
      </c>
      <c r="BK284" s="10">
        <f>MAX($BI284-积分赛!$C$7,0)*$BC$10/30</f>
        <v>813333.33333333337</v>
      </c>
      <c r="BL284" s="10">
        <f>MAX($BI284-积分赛!$C$7,0)*$BC$10/30</f>
        <v>813333.33333333337</v>
      </c>
      <c r="BM284" s="10">
        <f>MAX($BI284-积分赛!$C$7,0)*$BC$10/30</f>
        <v>813333.33333333337</v>
      </c>
      <c r="BN284" s="10">
        <f>MAX($BI284-积分赛!$C$7,0)*$BC$10/30</f>
        <v>813333.33333333337</v>
      </c>
    </row>
    <row r="285" spans="26:66" x14ac:dyDescent="0.15">
      <c r="Z285" s="10">
        <v>275</v>
      </c>
      <c r="AA285" s="10">
        <f>IFERROR(MAX($Z285-积分赛!$C$7,0)*INDEX($U$7:$U$14,MATCH(AA$10,$T$7:$T$14,0))/30,0)</f>
        <v>0</v>
      </c>
      <c r="AB285" s="10">
        <f>IFERROR(MAX($Z285-积分赛!$C$7,0)*INDEX($U$7:$U$14,MATCH(AB$10,$T$7:$T$14,0))/30,0)</f>
        <v>0</v>
      </c>
      <c r="AC285" s="10">
        <f>IFERROR(MAX($Z285-积分赛!$C$7,0)*INDEX($U$7:$U$14,MATCH(AC$10,$T$7:$T$14,0))/30,0)</f>
        <v>0</v>
      </c>
      <c r="AD285" s="10">
        <f>IFERROR(MAX($Z285-积分赛!$C$7,0)*INDEX($U$7:$U$14,MATCH(AD$10,$T$7:$T$14,0))/30,0)</f>
        <v>653333.33333333337</v>
      </c>
      <c r="AE285" s="10">
        <f>IFERROR(MAX($Z285-积分赛!$C$7,0)*INDEX($U$7:$U$14,MATCH(AE$10,$T$7:$T$14,0))/30,0)</f>
        <v>8166666.666666667</v>
      </c>
      <c r="AF285" s="10">
        <f>MAX($Z285-积分赛!$C$7,0)*(IFERROR(INDEX($W$7:$W$14,MATCH(AF$10,$T$7:$T$14,0)),0)*$T$20+IFERROR(INDEX($X$7:$X$14,MATCH(AF$10,$T$7:$T$14,0)),0)*$T$21)/30</f>
        <v>0</v>
      </c>
      <c r="AG285" s="10">
        <f>MAX($Z285-积分赛!$C$7,0)*(IFERROR(INDEX($W$7:$W$14,MATCH(AG$10,$T$7:$T$14,0)),0)*$T$20+IFERROR(INDEX($X$7:$X$14,MATCH(AG$10,$T$7:$T$14,0)),0)*$T$21)/30</f>
        <v>0</v>
      </c>
      <c r="AH285" s="10">
        <f>MAX($Z285-积分赛!$C$7,0)*(IFERROR(INDEX($W$7:$W$14,MATCH(AH$10,$T$7:$T$14,0)),0)*$T$20+IFERROR(INDEX($X$7:$X$14,MATCH(AH$10,$T$7:$T$14,0)),0)*$T$21)/30</f>
        <v>0</v>
      </c>
      <c r="AI285" s="10">
        <f>MAX($Z285-积分赛!$C$7,0)*(IFERROR(INDEX($W$7:$W$14,MATCH(AI$10,$T$7:$T$14,0)),0)*$T$20+IFERROR(INDEX($X$7:$X$14,MATCH(AI$10,$T$7:$T$14,0)),0)*$T$21)/30</f>
        <v>24949.166666666668</v>
      </c>
      <c r="AJ285" s="10">
        <f>MAX($Z285-积分赛!$C$7,0)*(IFERROR(INDEX($W$7:$W$14,MATCH(AJ$10,$T$7:$T$14,0)),0)*$T$20+IFERROR(INDEX($X$7:$X$14,MATCH(AJ$10,$T$7:$T$14,0)),0)*$T$21)/30</f>
        <v>149695</v>
      </c>
      <c r="BI285" s="10">
        <v>275</v>
      </c>
      <c r="BJ285" s="10">
        <f>MAX($BI285-积分赛!$C$7,0)*$BC$10/30</f>
        <v>816666.66666666663</v>
      </c>
      <c r="BK285" s="10">
        <f>MAX($BI285-积分赛!$C$7,0)*$BC$10/30</f>
        <v>816666.66666666663</v>
      </c>
      <c r="BL285" s="10">
        <f>MAX($BI285-积分赛!$C$7,0)*$BC$10/30</f>
        <v>816666.66666666663</v>
      </c>
      <c r="BM285" s="10">
        <f>MAX($BI285-积分赛!$C$7,0)*$BC$10/30</f>
        <v>816666.66666666663</v>
      </c>
      <c r="BN285" s="10">
        <f>MAX($BI285-积分赛!$C$7,0)*$BC$10/30</f>
        <v>816666.66666666663</v>
      </c>
    </row>
    <row r="286" spans="26:66" x14ac:dyDescent="0.15">
      <c r="Z286" s="10">
        <v>276</v>
      </c>
      <c r="AA286" s="10">
        <f>IFERROR(MAX($Z286-积分赛!$C$7,0)*INDEX($U$7:$U$14,MATCH(AA$10,$T$7:$T$14,0))/30,0)</f>
        <v>0</v>
      </c>
      <c r="AB286" s="10">
        <f>IFERROR(MAX($Z286-积分赛!$C$7,0)*INDEX($U$7:$U$14,MATCH(AB$10,$T$7:$T$14,0))/30,0)</f>
        <v>0</v>
      </c>
      <c r="AC286" s="10">
        <f>IFERROR(MAX($Z286-积分赛!$C$7,0)*INDEX($U$7:$U$14,MATCH(AC$10,$T$7:$T$14,0))/30,0)</f>
        <v>0</v>
      </c>
      <c r="AD286" s="10">
        <f>IFERROR(MAX($Z286-积分赛!$C$7,0)*INDEX($U$7:$U$14,MATCH(AD$10,$T$7:$T$14,0))/30,0)</f>
        <v>656000</v>
      </c>
      <c r="AE286" s="10">
        <f>IFERROR(MAX($Z286-积分赛!$C$7,0)*INDEX($U$7:$U$14,MATCH(AE$10,$T$7:$T$14,0))/30,0)</f>
        <v>8200000</v>
      </c>
      <c r="AF286" s="10">
        <f>MAX($Z286-积分赛!$C$7,0)*(IFERROR(INDEX($W$7:$W$14,MATCH(AF$10,$T$7:$T$14,0)),0)*$T$20+IFERROR(INDEX($X$7:$X$14,MATCH(AF$10,$T$7:$T$14,0)),0)*$T$21)/30</f>
        <v>0</v>
      </c>
      <c r="AG286" s="10">
        <f>MAX($Z286-积分赛!$C$7,0)*(IFERROR(INDEX($W$7:$W$14,MATCH(AG$10,$T$7:$T$14,0)),0)*$T$20+IFERROR(INDEX($X$7:$X$14,MATCH(AG$10,$T$7:$T$14,0)),0)*$T$21)/30</f>
        <v>0</v>
      </c>
      <c r="AH286" s="10">
        <f>MAX($Z286-积分赛!$C$7,0)*(IFERROR(INDEX($W$7:$W$14,MATCH(AH$10,$T$7:$T$14,0)),0)*$T$20+IFERROR(INDEX($X$7:$X$14,MATCH(AH$10,$T$7:$T$14,0)),0)*$T$21)/30</f>
        <v>0</v>
      </c>
      <c r="AI286" s="10">
        <f>MAX($Z286-积分赛!$C$7,0)*(IFERROR(INDEX($W$7:$W$14,MATCH(AI$10,$T$7:$T$14,0)),0)*$T$20+IFERROR(INDEX($X$7:$X$14,MATCH(AI$10,$T$7:$T$14,0)),0)*$T$21)/30</f>
        <v>25051</v>
      </c>
      <c r="AJ286" s="10">
        <f>MAX($Z286-积分赛!$C$7,0)*(IFERROR(INDEX($W$7:$W$14,MATCH(AJ$10,$T$7:$T$14,0)),0)*$T$20+IFERROR(INDEX($X$7:$X$14,MATCH(AJ$10,$T$7:$T$14,0)),0)*$T$21)/30</f>
        <v>150306</v>
      </c>
      <c r="BI286" s="10">
        <v>276</v>
      </c>
      <c r="BJ286" s="10">
        <f>MAX($BI286-积分赛!$C$7,0)*$BC$10/30</f>
        <v>820000</v>
      </c>
      <c r="BK286" s="10">
        <f>MAX($BI286-积分赛!$C$7,0)*$BC$10/30</f>
        <v>820000</v>
      </c>
      <c r="BL286" s="10">
        <f>MAX($BI286-积分赛!$C$7,0)*$BC$10/30</f>
        <v>820000</v>
      </c>
      <c r="BM286" s="10">
        <f>MAX($BI286-积分赛!$C$7,0)*$BC$10/30</f>
        <v>820000</v>
      </c>
      <c r="BN286" s="10">
        <f>MAX($BI286-积分赛!$C$7,0)*$BC$10/30</f>
        <v>820000</v>
      </c>
    </row>
    <row r="287" spans="26:66" x14ac:dyDescent="0.15">
      <c r="Z287" s="10">
        <v>277</v>
      </c>
      <c r="AA287" s="10">
        <f>IFERROR(MAX($Z287-积分赛!$C$7,0)*INDEX($U$7:$U$14,MATCH(AA$10,$T$7:$T$14,0))/30,0)</f>
        <v>0</v>
      </c>
      <c r="AB287" s="10">
        <f>IFERROR(MAX($Z287-积分赛!$C$7,0)*INDEX($U$7:$U$14,MATCH(AB$10,$T$7:$T$14,0))/30,0)</f>
        <v>0</v>
      </c>
      <c r="AC287" s="10">
        <f>IFERROR(MAX($Z287-积分赛!$C$7,0)*INDEX($U$7:$U$14,MATCH(AC$10,$T$7:$T$14,0))/30,0)</f>
        <v>0</v>
      </c>
      <c r="AD287" s="10">
        <f>IFERROR(MAX($Z287-积分赛!$C$7,0)*INDEX($U$7:$U$14,MATCH(AD$10,$T$7:$T$14,0))/30,0)</f>
        <v>658666.66666666663</v>
      </c>
      <c r="AE287" s="10">
        <f>IFERROR(MAX($Z287-积分赛!$C$7,0)*INDEX($U$7:$U$14,MATCH(AE$10,$T$7:$T$14,0))/30,0)</f>
        <v>8233333.333333333</v>
      </c>
      <c r="AF287" s="10">
        <f>MAX($Z287-积分赛!$C$7,0)*(IFERROR(INDEX($W$7:$W$14,MATCH(AF$10,$T$7:$T$14,0)),0)*$T$20+IFERROR(INDEX($X$7:$X$14,MATCH(AF$10,$T$7:$T$14,0)),0)*$T$21)/30</f>
        <v>0</v>
      </c>
      <c r="AG287" s="10">
        <f>MAX($Z287-积分赛!$C$7,0)*(IFERROR(INDEX($W$7:$W$14,MATCH(AG$10,$T$7:$T$14,0)),0)*$T$20+IFERROR(INDEX($X$7:$X$14,MATCH(AG$10,$T$7:$T$14,0)),0)*$T$21)/30</f>
        <v>0</v>
      </c>
      <c r="AH287" s="10">
        <f>MAX($Z287-积分赛!$C$7,0)*(IFERROR(INDEX($W$7:$W$14,MATCH(AH$10,$T$7:$T$14,0)),0)*$T$20+IFERROR(INDEX($X$7:$X$14,MATCH(AH$10,$T$7:$T$14,0)),0)*$T$21)/30</f>
        <v>0</v>
      </c>
      <c r="AI287" s="10">
        <f>MAX($Z287-积分赛!$C$7,0)*(IFERROR(INDEX($W$7:$W$14,MATCH(AI$10,$T$7:$T$14,0)),0)*$T$20+IFERROR(INDEX($X$7:$X$14,MATCH(AI$10,$T$7:$T$14,0)),0)*$T$21)/30</f>
        <v>25152.833333333332</v>
      </c>
      <c r="AJ287" s="10">
        <f>MAX($Z287-积分赛!$C$7,0)*(IFERROR(INDEX($W$7:$W$14,MATCH(AJ$10,$T$7:$T$14,0)),0)*$T$20+IFERROR(INDEX($X$7:$X$14,MATCH(AJ$10,$T$7:$T$14,0)),0)*$T$21)/30</f>
        <v>150917</v>
      </c>
      <c r="BI287" s="10">
        <v>277</v>
      </c>
      <c r="BJ287" s="10">
        <f>MAX($BI287-积分赛!$C$7,0)*$BC$10/30</f>
        <v>823333.33333333337</v>
      </c>
      <c r="BK287" s="10">
        <f>MAX($BI287-积分赛!$C$7,0)*$BC$10/30</f>
        <v>823333.33333333337</v>
      </c>
      <c r="BL287" s="10">
        <f>MAX($BI287-积分赛!$C$7,0)*$BC$10/30</f>
        <v>823333.33333333337</v>
      </c>
      <c r="BM287" s="10">
        <f>MAX($BI287-积分赛!$C$7,0)*$BC$10/30</f>
        <v>823333.33333333337</v>
      </c>
      <c r="BN287" s="10">
        <f>MAX($BI287-积分赛!$C$7,0)*$BC$10/30</f>
        <v>823333.33333333337</v>
      </c>
    </row>
    <row r="288" spans="26:66" x14ac:dyDescent="0.15">
      <c r="Z288" s="10">
        <v>278</v>
      </c>
      <c r="AA288" s="10">
        <f>IFERROR(MAX($Z288-积分赛!$C$7,0)*INDEX($U$7:$U$14,MATCH(AA$10,$T$7:$T$14,0))/30,0)</f>
        <v>0</v>
      </c>
      <c r="AB288" s="10">
        <f>IFERROR(MAX($Z288-积分赛!$C$7,0)*INDEX($U$7:$U$14,MATCH(AB$10,$T$7:$T$14,0))/30,0)</f>
        <v>0</v>
      </c>
      <c r="AC288" s="10">
        <f>IFERROR(MAX($Z288-积分赛!$C$7,0)*INDEX($U$7:$U$14,MATCH(AC$10,$T$7:$T$14,0))/30,0)</f>
        <v>0</v>
      </c>
      <c r="AD288" s="10">
        <f>IFERROR(MAX($Z288-积分赛!$C$7,0)*INDEX($U$7:$U$14,MATCH(AD$10,$T$7:$T$14,0))/30,0)</f>
        <v>661333.33333333337</v>
      </c>
      <c r="AE288" s="10">
        <f>IFERROR(MAX($Z288-积分赛!$C$7,0)*INDEX($U$7:$U$14,MATCH(AE$10,$T$7:$T$14,0))/30,0)</f>
        <v>8266666.666666667</v>
      </c>
      <c r="AF288" s="10">
        <f>MAX($Z288-积分赛!$C$7,0)*(IFERROR(INDEX($W$7:$W$14,MATCH(AF$10,$T$7:$T$14,0)),0)*$T$20+IFERROR(INDEX($X$7:$X$14,MATCH(AF$10,$T$7:$T$14,0)),0)*$T$21)/30</f>
        <v>0</v>
      </c>
      <c r="AG288" s="10">
        <f>MAX($Z288-积分赛!$C$7,0)*(IFERROR(INDEX($W$7:$W$14,MATCH(AG$10,$T$7:$T$14,0)),0)*$T$20+IFERROR(INDEX($X$7:$X$14,MATCH(AG$10,$T$7:$T$14,0)),0)*$T$21)/30</f>
        <v>0</v>
      </c>
      <c r="AH288" s="10">
        <f>MAX($Z288-积分赛!$C$7,0)*(IFERROR(INDEX($W$7:$W$14,MATCH(AH$10,$T$7:$T$14,0)),0)*$T$20+IFERROR(INDEX($X$7:$X$14,MATCH(AH$10,$T$7:$T$14,0)),0)*$T$21)/30</f>
        <v>0</v>
      </c>
      <c r="AI288" s="10">
        <f>MAX($Z288-积分赛!$C$7,0)*(IFERROR(INDEX($W$7:$W$14,MATCH(AI$10,$T$7:$T$14,0)),0)*$T$20+IFERROR(INDEX($X$7:$X$14,MATCH(AI$10,$T$7:$T$14,0)),0)*$T$21)/30</f>
        <v>25254.666666666668</v>
      </c>
      <c r="AJ288" s="10">
        <f>MAX($Z288-积分赛!$C$7,0)*(IFERROR(INDEX($W$7:$W$14,MATCH(AJ$10,$T$7:$T$14,0)),0)*$T$20+IFERROR(INDEX($X$7:$X$14,MATCH(AJ$10,$T$7:$T$14,0)),0)*$T$21)/30</f>
        <v>151528</v>
      </c>
      <c r="BI288" s="10">
        <v>278</v>
      </c>
      <c r="BJ288" s="10">
        <f>MAX($BI288-积分赛!$C$7,0)*$BC$10/30</f>
        <v>826666.66666666663</v>
      </c>
      <c r="BK288" s="10">
        <f>MAX($BI288-积分赛!$C$7,0)*$BC$10/30</f>
        <v>826666.66666666663</v>
      </c>
      <c r="BL288" s="10">
        <f>MAX($BI288-积分赛!$C$7,0)*$BC$10/30</f>
        <v>826666.66666666663</v>
      </c>
      <c r="BM288" s="10">
        <f>MAX($BI288-积分赛!$C$7,0)*$BC$10/30</f>
        <v>826666.66666666663</v>
      </c>
      <c r="BN288" s="10">
        <f>MAX($BI288-积分赛!$C$7,0)*$BC$10/30</f>
        <v>826666.66666666663</v>
      </c>
    </row>
    <row r="289" spans="26:66" x14ac:dyDescent="0.15">
      <c r="Z289" s="10">
        <v>279</v>
      </c>
      <c r="AA289" s="10">
        <f>IFERROR(MAX($Z289-积分赛!$C$7,0)*INDEX($U$7:$U$14,MATCH(AA$10,$T$7:$T$14,0))/30,0)</f>
        <v>0</v>
      </c>
      <c r="AB289" s="10">
        <f>IFERROR(MAX($Z289-积分赛!$C$7,0)*INDEX($U$7:$U$14,MATCH(AB$10,$T$7:$T$14,0))/30,0)</f>
        <v>0</v>
      </c>
      <c r="AC289" s="10">
        <f>IFERROR(MAX($Z289-积分赛!$C$7,0)*INDEX($U$7:$U$14,MATCH(AC$10,$T$7:$T$14,0))/30,0)</f>
        <v>0</v>
      </c>
      <c r="AD289" s="10">
        <f>IFERROR(MAX($Z289-积分赛!$C$7,0)*INDEX($U$7:$U$14,MATCH(AD$10,$T$7:$T$14,0))/30,0)</f>
        <v>664000</v>
      </c>
      <c r="AE289" s="10">
        <f>IFERROR(MAX($Z289-积分赛!$C$7,0)*INDEX($U$7:$U$14,MATCH(AE$10,$T$7:$T$14,0))/30,0)</f>
        <v>8300000</v>
      </c>
      <c r="AF289" s="10">
        <f>MAX($Z289-积分赛!$C$7,0)*(IFERROR(INDEX($W$7:$W$14,MATCH(AF$10,$T$7:$T$14,0)),0)*$T$20+IFERROR(INDEX($X$7:$X$14,MATCH(AF$10,$T$7:$T$14,0)),0)*$T$21)/30</f>
        <v>0</v>
      </c>
      <c r="AG289" s="10">
        <f>MAX($Z289-积分赛!$C$7,0)*(IFERROR(INDEX($W$7:$W$14,MATCH(AG$10,$T$7:$T$14,0)),0)*$T$20+IFERROR(INDEX($X$7:$X$14,MATCH(AG$10,$T$7:$T$14,0)),0)*$T$21)/30</f>
        <v>0</v>
      </c>
      <c r="AH289" s="10">
        <f>MAX($Z289-积分赛!$C$7,0)*(IFERROR(INDEX($W$7:$W$14,MATCH(AH$10,$T$7:$T$14,0)),0)*$T$20+IFERROR(INDEX($X$7:$X$14,MATCH(AH$10,$T$7:$T$14,0)),0)*$T$21)/30</f>
        <v>0</v>
      </c>
      <c r="AI289" s="10">
        <f>MAX($Z289-积分赛!$C$7,0)*(IFERROR(INDEX($W$7:$W$14,MATCH(AI$10,$T$7:$T$14,0)),0)*$T$20+IFERROR(INDEX($X$7:$X$14,MATCH(AI$10,$T$7:$T$14,0)),0)*$T$21)/30</f>
        <v>25356.5</v>
      </c>
      <c r="AJ289" s="10">
        <f>MAX($Z289-积分赛!$C$7,0)*(IFERROR(INDEX($W$7:$W$14,MATCH(AJ$10,$T$7:$T$14,0)),0)*$T$20+IFERROR(INDEX($X$7:$X$14,MATCH(AJ$10,$T$7:$T$14,0)),0)*$T$21)/30</f>
        <v>152139</v>
      </c>
      <c r="BI289" s="10">
        <v>279</v>
      </c>
      <c r="BJ289" s="10">
        <f>MAX($BI289-积分赛!$C$7,0)*$BC$10/30</f>
        <v>830000</v>
      </c>
      <c r="BK289" s="10">
        <f>MAX($BI289-积分赛!$C$7,0)*$BC$10/30</f>
        <v>830000</v>
      </c>
      <c r="BL289" s="10">
        <f>MAX($BI289-积分赛!$C$7,0)*$BC$10/30</f>
        <v>830000</v>
      </c>
      <c r="BM289" s="10">
        <f>MAX($BI289-积分赛!$C$7,0)*$BC$10/30</f>
        <v>830000</v>
      </c>
      <c r="BN289" s="10">
        <f>MAX($BI289-积分赛!$C$7,0)*$BC$10/30</f>
        <v>830000</v>
      </c>
    </row>
    <row r="290" spans="26:66" x14ac:dyDescent="0.15">
      <c r="Z290" s="10">
        <v>280</v>
      </c>
      <c r="AA290" s="10">
        <f>IFERROR(MAX($Z290-积分赛!$C$7,0)*INDEX($U$7:$U$14,MATCH(AA$10,$T$7:$T$14,0))/30,0)</f>
        <v>0</v>
      </c>
      <c r="AB290" s="10">
        <f>IFERROR(MAX($Z290-积分赛!$C$7,0)*INDEX($U$7:$U$14,MATCH(AB$10,$T$7:$T$14,0))/30,0)</f>
        <v>0</v>
      </c>
      <c r="AC290" s="10">
        <f>IFERROR(MAX($Z290-积分赛!$C$7,0)*INDEX($U$7:$U$14,MATCH(AC$10,$T$7:$T$14,0))/30,0)</f>
        <v>0</v>
      </c>
      <c r="AD290" s="10">
        <f>IFERROR(MAX($Z290-积分赛!$C$7,0)*INDEX($U$7:$U$14,MATCH(AD$10,$T$7:$T$14,0))/30,0)</f>
        <v>666666.66666666663</v>
      </c>
      <c r="AE290" s="10">
        <f>IFERROR(MAX($Z290-积分赛!$C$7,0)*INDEX($U$7:$U$14,MATCH(AE$10,$T$7:$T$14,0))/30,0)</f>
        <v>8333333.333333333</v>
      </c>
      <c r="AF290" s="10">
        <f>MAX($Z290-积分赛!$C$7,0)*(IFERROR(INDEX($W$7:$W$14,MATCH(AF$10,$T$7:$T$14,0)),0)*$T$20+IFERROR(INDEX($X$7:$X$14,MATCH(AF$10,$T$7:$T$14,0)),0)*$T$21)/30</f>
        <v>0</v>
      </c>
      <c r="AG290" s="10">
        <f>MAX($Z290-积分赛!$C$7,0)*(IFERROR(INDEX($W$7:$W$14,MATCH(AG$10,$T$7:$T$14,0)),0)*$T$20+IFERROR(INDEX($X$7:$X$14,MATCH(AG$10,$T$7:$T$14,0)),0)*$T$21)/30</f>
        <v>0</v>
      </c>
      <c r="AH290" s="10">
        <f>MAX($Z290-积分赛!$C$7,0)*(IFERROR(INDEX($W$7:$W$14,MATCH(AH$10,$T$7:$T$14,0)),0)*$T$20+IFERROR(INDEX($X$7:$X$14,MATCH(AH$10,$T$7:$T$14,0)),0)*$T$21)/30</f>
        <v>0</v>
      </c>
      <c r="AI290" s="10">
        <f>MAX($Z290-积分赛!$C$7,0)*(IFERROR(INDEX($W$7:$W$14,MATCH(AI$10,$T$7:$T$14,0)),0)*$T$20+IFERROR(INDEX($X$7:$X$14,MATCH(AI$10,$T$7:$T$14,0)),0)*$T$21)/30</f>
        <v>25458.333333333332</v>
      </c>
      <c r="AJ290" s="10">
        <f>MAX($Z290-积分赛!$C$7,0)*(IFERROR(INDEX($W$7:$W$14,MATCH(AJ$10,$T$7:$T$14,0)),0)*$T$20+IFERROR(INDEX($X$7:$X$14,MATCH(AJ$10,$T$7:$T$14,0)),0)*$T$21)/30</f>
        <v>152750</v>
      </c>
      <c r="BI290" s="10">
        <v>280</v>
      </c>
      <c r="BJ290" s="10">
        <f>MAX($BI290-积分赛!$C$7,0)*$BC$10/30</f>
        <v>833333.33333333337</v>
      </c>
      <c r="BK290" s="10">
        <f>MAX($BI290-积分赛!$C$7,0)*$BC$10/30</f>
        <v>833333.33333333337</v>
      </c>
      <c r="BL290" s="10">
        <f>MAX($BI290-积分赛!$C$7,0)*$BC$10/30</f>
        <v>833333.33333333337</v>
      </c>
      <c r="BM290" s="10">
        <f>MAX($BI290-积分赛!$C$7,0)*$BC$10/30</f>
        <v>833333.33333333337</v>
      </c>
      <c r="BN290" s="10">
        <f>MAX($BI290-积分赛!$C$7,0)*$BC$10/30</f>
        <v>833333.33333333337</v>
      </c>
    </row>
    <row r="291" spans="26:66" x14ac:dyDescent="0.15">
      <c r="Z291" s="10">
        <v>281</v>
      </c>
      <c r="AA291" s="10">
        <f>IFERROR(MAX($Z291-积分赛!$C$7,0)*INDEX($U$7:$U$14,MATCH(AA$10,$T$7:$T$14,0))/30,0)</f>
        <v>0</v>
      </c>
      <c r="AB291" s="10">
        <f>IFERROR(MAX($Z291-积分赛!$C$7,0)*INDEX($U$7:$U$14,MATCH(AB$10,$T$7:$T$14,0))/30,0)</f>
        <v>0</v>
      </c>
      <c r="AC291" s="10">
        <f>IFERROR(MAX($Z291-积分赛!$C$7,0)*INDEX($U$7:$U$14,MATCH(AC$10,$T$7:$T$14,0))/30,0)</f>
        <v>0</v>
      </c>
      <c r="AD291" s="10">
        <f>IFERROR(MAX($Z291-积分赛!$C$7,0)*INDEX($U$7:$U$14,MATCH(AD$10,$T$7:$T$14,0))/30,0)</f>
        <v>669333.33333333337</v>
      </c>
      <c r="AE291" s="10">
        <f>IFERROR(MAX($Z291-积分赛!$C$7,0)*INDEX($U$7:$U$14,MATCH(AE$10,$T$7:$T$14,0))/30,0)</f>
        <v>8366666.666666667</v>
      </c>
      <c r="AF291" s="10">
        <f>MAX($Z291-积分赛!$C$7,0)*(IFERROR(INDEX($W$7:$W$14,MATCH(AF$10,$T$7:$T$14,0)),0)*$T$20+IFERROR(INDEX($X$7:$X$14,MATCH(AF$10,$T$7:$T$14,0)),0)*$T$21)/30</f>
        <v>0</v>
      </c>
      <c r="AG291" s="10">
        <f>MAX($Z291-积分赛!$C$7,0)*(IFERROR(INDEX($W$7:$W$14,MATCH(AG$10,$T$7:$T$14,0)),0)*$T$20+IFERROR(INDEX($X$7:$X$14,MATCH(AG$10,$T$7:$T$14,0)),0)*$T$21)/30</f>
        <v>0</v>
      </c>
      <c r="AH291" s="10">
        <f>MAX($Z291-积分赛!$C$7,0)*(IFERROR(INDEX($W$7:$W$14,MATCH(AH$10,$T$7:$T$14,0)),0)*$T$20+IFERROR(INDEX($X$7:$X$14,MATCH(AH$10,$T$7:$T$14,0)),0)*$T$21)/30</f>
        <v>0</v>
      </c>
      <c r="AI291" s="10">
        <f>MAX($Z291-积分赛!$C$7,0)*(IFERROR(INDEX($W$7:$W$14,MATCH(AI$10,$T$7:$T$14,0)),0)*$T$20+IFERROR(INDEX($X$7:$X$14,MATCH(AI$10,$T$7:$T$14,0)),0)*$T$21)/30</f>
        <v>25560.166666666668</v>
      </c>
      <c r="AJ291" s="10">
        <f>MAX($Z291-积分赛!$C$7,0)*(IFERROR(INDEX($W$7:$W$14,MATCH(AJ$10,$T$7:$T$14,0)),0)*$T$20+IFERROR(INDEX($X$7:$X$14,MATCH(AJ$10,$T$7:$T$14,0)),0)*$T$21)/30</f>
        <v>153361</v>
      </c>
      <c r="BI291" s="10">
        <v>281</v>
      </c>
      <c r="BJ291" s="10">
        <f>MAX($BI291-积分赛!$C$7,0)*$BC$10/30</f>
        <v>836666.66666666663</v>
      </c>
      <c r="BK291" s="10">
        <f>MAX($BI291-积分赛!$C$7,0)*$BC$10/30</f>
        <v>836666.66666666663</v>
      </c>
      <c r="BL291" s="10">
        <f>MAX($BI291-积分赛!$C$7,0)*$BC$10/30</f>
        <v>836666.66666666663</v>
      </c>
      <c r="BM291" s="10">
        <f>MAX($BI291-积分赛!$C$7,0)*$BC$10/30</f>
        <v>836666.66666666663</v>
      </c>
      <c r="BN291" s="10">
        <f>MAX($BI291-积分赛!$C$7,0)*$BC$10/30</f>
        <v>836666.66666666663</v>
      </c>
    </row>
    <row r="292" spans="26:66" x14ac:dyDescent="0.15">
      <c r="Z292" s="10">
        <v>282</v>
      </c>
      <c r="AA292" s="10">
        <f>IFERROR(MAX($Z292-积分赛!$C$7,0)*INDEX($U$7:$U$14,MATCH(AA$10,$T$7:$T$14,0))/30,0)</f>
        <v>0</v>
      </c>
      <c r="AB292" s="10">
        <f>IFERROR(MAX($Z292-积分赛!$C$7,0)*INDEX($U$7:$U$14,MATCH(AB$10,$T$7:$T$14,0))/30,0)</f>
        <v>0</v>
      </c>
      <c r="AC292" s="10">
        <f>IFERROR(MAX($Z292-积分赛!$C$7,0)*INDEX($U$7:$U$14,MATCH(AC$10,$T$7:$T$14,0))/30,0)</f>
        <v>0</v>
      </c>
      <c r="AD292" s="10">
        <f>IFERROR(MAX($Z292-积分赛!$C$7,0)*INDEX($U$7:$U$14,MATCH(AD$10,$T$7:$T$14,0))/30,0)</f>
        <v>672000</v>
      </c>
      <c r="AE292" s="10">
        <f>IFERROR(MAX($Z292-积分赛!$C$7,0)*INDEX($U$7:$U$14,MATCH(AE$10,$T$7:$T$14,0))/30,0)</f>
        <v>8400000</v>
      </c>
      <c r="AF292" s="10">
        <f>MAX($Z292-积分赛!$C$7,0)*(IFERROR(INDEX($W$7:$W$14,MATCH(AF$10,$T$7:$T$14,0)),0)*$T$20+IFERROR(INDEX($X$7:$X$14,MATCH(AF$10,$T$7:$T$14,0)),0)*$T$21)/30</f>
        <v>0</v>
      </c>
      <c r="AG292" s="10">
        <f>MAX($Z292-积分赛!$C$7,0)*(IFERROR(INDEX($W$7:$W$14,MATCH(AG$10,$T$7:$T$14,0)),0)*$T$20+IFERROR(INDEX($X$7:$X$14,MATCH(AG$10,$T$7:$T$14,0)),0)*$T$21)/30</f>
        <v>0</v>
      </c>
      <c r="AH292" s="10">
        <f>MAX($Z292-积分赛!$C$7,0)*(IFERROR(INDEX($W$7:$W$14,MATCH(AH$10,$T$7:$T$14,0)),0)*$T$20+IFERROR(INDEX($X$7:$X$14,MATCH(AH$10,$T$7:$T$14,0)),0)*$T$21)/30</f>
        <v>0</v>
      </c>
      <c r="AI292" s="10">
        <f>MAX($Z292-积分赛!$C$7,0)*(IFERROR(INDEX($W$7:$W$14,MATCH(AI$10,$T$7:$T$14,0)),0)*$T$20+IFERROR(INDEX($X$7:$X$14,MATCH(AI$10,$T$7:$T$14,0)),0)*$T$21)/30</f>
        <v>25662</v>
      </c>
      <c r="AJ292" s="10">
        <f>MAX($Z292-积分赛!$C$7,0)*(IFERROR(INDEX($W$7:$W$14,MATCH(AJ$10,$T$7:$T$14,0)),0)*$T$20+IFERROR(INDEX($X$7:$X$14,MATCH(AJ$10,$T$7:$T$14,0)),0)*$T$21)/30</f>
        <v>153972</v>
      </c>
      <c r="BI292" s="10">
        <v>282</v>
      </c>
      <c r="BJ292" s="10">
        <f>MAX($BI292-积分赛!$C$7,0)*$BC$10/30</f>
        <v>840000</v>
      </c>
      <c r="BK292" s="10">
        <f>MAX($BI292-积分赛!$C$7,0)*$BC$10/30</f>
        <v>840000</v>
      </c>
      <c r="BL292" s="10">
        <f>MAX($BI292-积分赛!$C$7,0)*$BC$10/30</f>
        <v>840000</v>
      </c>
      <c r="BM292" s="10">
        <f>MAX($BI292-积分赛!$C$7,0)*$BC$10/30</f>
        <v>840000</v>
      </c>
      <c r="BN292" s="10">
        <f>MAX($BI292-积分赛!$C$7,0)*$BC$10/30</f>
        <v>840000</v>
      </c>
    </row>
    <row r="293" spans="26:66" x14ac:dyDescent="0.15">
      <c r="Z293" s="10">
        <v>283</v>
      </c>
      <c r="AA293" s="10">
        <f>IFERROR(MAX($Z293-积分赛!$C$7,0)*INDEX($U$7:$U$14,MATCH(AA$10,$T$7:$T$14,0))/30,0)</f>
        <v>0</v>
      </c>
      <c r="AB293" s="10">
        <f>IFERROR(MAX($Z293-积分赛!$C$7,0)*INDEX($U$7:$U$14,MATCH(AB$10,$T$7:$T$14,0))/30,0)</f>
        <v>0</v>
      </c>
      <c r="AC293" s="10">
        <f>IFERROR(MAX($Z293-积分赛!$C$7,0)*INDEX($U$7:$U$14,MATCH(AC$10,$T$7:$T$14,0))/30,0)</f>
        <v>0</v>
      </c>
      <c r="AD293" s="10">
        <f>IFERROR(MAX($Z293-积分赛!$C$7,0)*INDEX($U$7:$U$14,MATCH(AD$10,$T$7:$T$14,0))/30,0)</f>
        <v>674666.66666666663</v>
      </c>
      <c r="AE293" s="10">
        <f>IFERROR(MAX($Z293-积分赛!$C$7,0)*INDEX($U$7:$U$14,MATCH(AE$10,$T$7:$T$14,0))/30,0)</f>
        <v>8433333.333333334</v>
      </c>
      <c r="AF293" s="10">
        <f>MAX($Z293-积分赛!$C$7,0)*(IFERROR(INDEX($W$7:$W$14,MATCH(AF$10,$T$7:$T$14,0)),0)*$T$20+IFERROR(INDEX($X$7:$X$14,MATCH(AF$10,$T$7:$T$14,0)),0)*$T$21)/30</f>
        <v>0</v>
      </c>
      <c r="AG293" s="10">
        <f>MAX($Z293-积分赛!$C$7,0)*(IFERROR(INDEX($W$7:$W$14,MATCH(AG$10,$T$7:$T$14,0)),0)*$T$20+IFERROR(INDEX($X$7:$X$14,MATCH(AG$10,$T$7:$T$14,0)),0)*$T$21)/30</f>
        <v>0</v>
      </c>
      <c r="AH293" s="10">
        <f>MAX($Z293-积分赛!$C$7,0)*(IFERROR(INDEX($W$7:$W$14,MATCH(AH$10,$T$7:$T$14,0)),0)*$T$20+IFERROR(INDEX($X$7:$X$14,MATCH(AH$10,$T$7:$T$14,0)),0)*$T$21)/30</f>
        <v>0</v>
      </c>
      <c r="AI293" s="10">
        <f>MAX($Z293-积分赛!$C$7,0)*(IFERROR(INDEX($W$7:$W$14,MATCH(AI$10,$T$7:$T$14,0)),0)*$T$20+IFERROR(INDEX($X$7:$X$14,MATCH(AI$10,$T$7:$T$14,0)),0)*$T$21)/30</f>
        <v>25763.833333333332</v>
      </c>
      <c r="AJ293" s="10">
        <f>MAX($Z293-积分赛!$C$7,0)*(IFERROR(INDEX($W$7:$W$14,MATCH(AJ$10,$T$7:$T$14,0)),0)*$T$20+IFERROR(INDEX($X$7:$X$14,MATCH(AJ$10,$T$7:$T$14,0)),0)*$T$21)/30</f>
        <v>154583</v>
      </c>
      <c r="BI293" s="10">
        <v>283</v>
      </c>
      <c r="BJ293" s="10">
        <f>MAX($BI293-积分赛!$C$7,0)*$BC$10/30</f>
        <v>843333.33333333337</v>
      </c>
      <c r="BK293" s="10">
        <f>MAX($BI293-积分赛!$C$7,0)*$BC$10/30</f>
        <v>843333.33333333337</v>
      </c>
      <c r="BL293" s="10">
        <f>MAX($BI293-积分赛!$C$7,0)*$BC$10/30</f>
        <v>843333.33333333337</v>
      </c>
      <c r="BM293" s="10">
        <f>MAX($BI293-积分赛!$C$7,0)*$BC$10/30</f>
        <v>843333.33333333337</v>
      </c>
      <c r="BN293" s="10">
        <f>MAX($BI293-积分赛!$C$7,0)*$BC$10/30</f>
        <v>843333.33333333337</v>
      </c>
    </row>
    <row r="294" spans="26:66" x14ac:dyDescent="0.15">
      <c r="Z294" s="10">
        <v>284</v>
      </c>
      <c r="AA294" s="10">
        <f>IFERROR(MAX($Z294-积分赛!$C$7,0)*INDEX($U$7:$U$14,MATCH(AA$10,$T$7:$T$14,0))/30,0)</f>
        <v>0</v>
      </c>
      <c r="AB294" s="10">
        <f>IFERROR(MAX($Z294-积分赛!$C$7,0)*INDEX($U$7:$U$14,MATCH(AB$10,$T$7:$T$14,0))/30,0)</f>
        <v>0</v>
      </c>
      <c r="AC294" s="10">
        <f>IFERROR(MAX($Z294-积分赛!$C$7,0)*INDEX($U$7:$U$14,MATCH(AC$10,$T$7:$T$14,0))/30,0)</f>
        <v>0</v>
      </c>
      <c r="AD294" s="10">
        <f>IFERROR(MAX($Z294-积分赛!$C$7,0)*INDEX($U$7:$U$14,MATCH(AD$10,$T$7:$T$14,0))/30,0)</f>
        <v>677333.33333333337</v>
      </c>
      <c r="AE294" s="10">
        <f>IFERROR(MAX($Z294-积分赛!$C$7,0)*INDEX($U$7:$U$14,MATCH(AE$10,$T$7:$T$14,0))/30,0)</f>
        <v>8466666.666666666</v>
      </c>
      <c r="AF294" s="10">
        <f>MAX($Z294-积分赛!$C$7,0)*(IFERROR(INDEX($W$7:$W$14,MATCH(AF$10,$T$7:$T$14,0)),0)*$T$20+IFERROR(INDEX($X$7:$X$14,MATCH(AF$10,$T$7:$T$14,0)),0)*$T$21)/30</f>
        <v>0</v>
      </c>
      <c r="AG294" s="10">
        <f>MAX($Z294-积分赛!$C$7,0)*(IFERROR(INDEX($W$7:$W$14,MATCH(AG$10,$T$7:$T$14,0)),0)*$T$20+IFERROR(INDEX($X$7:$X$14,MATCH(AG$10,$T$7:$T$14,0)),0)*$T$21)/30</f>
        <v>0</v>
      </c>
      <c r="AH294" s="10">
        <f>MAX($Z294-积分赛!$C$7,0)*(IFERROR(INDEX($W$7:$W$14,MATCH(AH$10,$T$7:$T$14,0)),0)*$T$20+IFERROR(INDEX($X$7:$X$14,MATCH(AH$10,$T$7:$T$14,0)),0)*$T$21)/30</f>
        <v>0</v>
      </c>
      <c r="AI294" s="10">
        <f>MAX($Z294-积分赛!$C$7,0)*(IFERROR(INDEX($W$7:$W$14,MATCH(AI$10,$T$7:$T$14,0)),0)*$T$20+IFERROR(INDEX($X$7:$X$14,MATCH(AI$10,$T$7:$T$14,0)),0)*$T$21)/30</f>
        <v>25865.666666666668</v>
      </c>
      <c r="AJ294" s="10">
        <f>MAX($Z294-积分赛!$C$7,0)*(IFERROR(INDEX($W$7:$W$14,MATCH(AJ$10,$T$7:$T$14,0)),0)*$T$20+IFERROR(INDEX($X$7:$X$14,MATCH(AJ$10,$T$7:$T$14,0)),0)*$T$21)/30</f>
        <v>155194</v>
      </c>
      <c r="BI294" s="10">
        <v>284</v>
      </c>
      <c r="BJ294" s="10">
        <f>MAX($BI294-积分赛!$C$7,0)*$BC$10/30</f>
        <v>846666.66666666663</v>
      </c>
      <c r="BK294" s="10">
        <f>MAX($BI294-积分赛!$C$7,0)*$BC$10/30</f>
        <v>846666.66666666663</v>
      </c>
      <c r="BL294" s="10">
        <f>MAX($BI294-积分赛!$C$7,0)*$BC$10/30</f>
        <v>846666.66666666663</v>
      </c>
      <c r="BM294" s="10">
        <f>MAX($BI294-积分赛!$C$7,0)*$BC$10/30</f>
        <v>846666.66666666663</v>
      </c>
      <c r="BN294" s="10">
        <f>MAX($BI294-积分赛!$C$7,0)*$BC$10/30</f>
        <v>846666.66666666663</v>
      </c>
    </row>
    <row r="295" spans="26:66" x14ac:dyDescent="0.15">
      <c r="Z295" s="10">
        <v>285</v>
      </c>
      <c r="AA295" s="10">
        <f>IFERROR(MAX($Z295-积分赛!$C$7,0)*INDEX($U$7:$U$14,MATCH(AA$10,$T$7:$T$14,0))/30,0)</f>
        <v>0</v>
      </c>
      <c r="AB295" s="10">
        <f>IFERROR(MAX($Z295-积分赛!$C$7,0)*INDEX($U$7:$U$14,MATCH(AB$10,$T$7:$T$14,0))/30,0)</f>
        <v>0</v>
      </c>
      <c r="AC295" s="10">
        <f>IFERROR(MAX($Z295-积分赛!$C$7,0)*INDEX($U$7:$U$14,MATCH(AC$10,$T$7:$T$14,0))/30,0)</f>
        <v>0</v>
      </c>
      <c r="AD295" s="10">
        <f>IFERROR(MAX($Z295-积分赛!$C$7,0)*INDEX($U$7:$U$14,MATCH(AD$10,$T$7:$T$14,0))/30,0)</f>
        <v>680000</v>
      </c>
      <c r="AE295" s="10">
        <f>IFERROR(MAX($Z295-积分赛!$C$7,0)*INDEX($U$7:$U$14,MATCH(AE$10,$T$7:$T$14,0))/30,0)</f>
        <v>8500000</v>
      </c>
      <c r="AF295" s="10">
        <f>MAX($Z295-积分赛!$C$7,0)*(IFERROR(INDEX($W$7:$W$14,MATCH(AF$10,$T$7:$T$14,0)),0)*$T$20+IFERROR(INDEX($X$7:$X$14,MATCH(AF$10,$T$7:$T$14,0)),0)*$T$21)/30</f>
        <v>0</v>
      </c>
      <c r="AG295" s="10">
        <f>MAX($Z295-积分赛!$C$7,0)*(IFERROR(INDEX($W$7:$W$14,MATCH(AG$10,$T$7:$T$14,0)),0)*$T$20+IFERROR(INDEX($X$7:$X$14,MATCH(AG$10,$T$7:$T$14,0)),0)*$T$21)/30</f>
        <v>0</v>
      </c>
      <c r="AH295" s="10">
        <f>MAX($Z295-积分赛!$C$7,0)*(IFERROR(INDEX($W$7:$W$14,MATCH(AH$10,$T$7:$T$14,0)),0)*$T$20+IFERROR(INDEX($X$7:$X$14,MATCH(AH$10,$T$7:$T$14,0)),0)*$T$21)/30</f>
        <v>0</v>
      </c>
      <c r="AI295" s="10">
        <f>MAX($Z295-积分赛!$C$7,0)*(IFERROR(INDEX($W$7:$W$14,MATCH(AI$10,$T$7:$T$14,0)),0)*$T$20+IFERROR(INDEX($X$7:$X$14,MATCH(AI$10,$T$7:$T$14,0)),0)*$T$21)/30</f>
        <v>25967.5</v>
      </c>
      <c r="AJ295" s="10">
        <f>MAX($Z295-积分赛!$C$7,0)*(IFERROR(INDEX($W$7:$W$14,MATCH(AJ$10,$T$7:$T$14,0)),0)*$T$20+IFERROR(INDEX($X$7:$X$14,MATCH(AJ$10,$T$7:$T$14,0)),0)*$T$21)/30</f>
        <v>155805</v>
      </c>
      <c r="BI295" s="10">
        <v>285</v>
      </c>
      <c r="BJ295" s="10">
        <f>MAX($BI295-积分赛!$C$7,0)*$BC$10/30</f>
        <v>850000</v>
      </c>
      <c r="BK295" s="10">
        <f>MAX($BI295-积分赛!$C$7,0)*$BC$10/30</f>
        <v>850000</v>
      </c>
      <c r="BL295" s="10">
        <f>MAX($BI295-积分赛!$C$7,0)*$BC$10/30</f>
        <v>850000</v>
      </c>
      <c r="BM295" s="10">
        <f>MAX($BI295-积分赛!$C$7,0)*$BC$10/30</f>
        <v>850000</v>
      </c>
      <c r="BN295" s="10">
        <f>MAX($BI295-积分赛!$C$7,0)*$BC$10/30</f>
        <v>850000</v>
      </c>
    </row>
    <row r="296" spans="26:66" x14ac:dyDescent="0.15">
      <c r="Z296" s="10">
        <v>286</v>
      </c>
      <c r="AA296" s="10">
        <f>IFERROR(MAX($Z296-积分赛!$C$7,0)*INDEX($U$7:$U$14,MATCH(AA$10,$T$7:$T$14,0))/30,0)</f>
        <v>0</v>
      </c>
      <c r="AB296" s="10">
        <f>IFERROR(MAX($Z296-积分赛!$C$7,0)*INDEX($U$7:$U$14,MATCH(AB$10,$T$7:$T$14,0))/30,0)</f>
        <v>0</v>
      </c>
      <c r="AC296" s="10">
        <f>IFERROR(MAX($Z296-积分赛!$C$7,0)*INDEX($U$7:$U$14,MATCH(AC$10,$T$7:$T$14,0))/30,0)</f>
        <v>0</v>
      </c>
      <c r="AD296" s="10">
        <f>IFERROR(MAX($Z296-积分赛!$C$7,0)*INDEX($U$7:$U$14,MATCH(AD$10,$T$7:$T$14,0))/30,0)</f>
        <v>682666.66666666663</v>
      </c>
      <c r="AE296" s="10">
        <f>IFERROR(MAX($Z296-积分赛!$C$7,0)*INDEX($U$7:$U$14,MATCH(AE$10,$T$7:$T$14,0))/30,0)</f>
        <v>8533333.333333334</v>
      </c>
      <c r="AF296" s="10">
        <f>MAX($Z296-积分赛!$C$7,0)*(IFERROR(INDEX($W$7:$W$14,MATCH(AF$10,$T$7:$T$14,0)),0)*$T$20+IFERROR(INDEX($X$7:$X$14,MATCH(AF$10,$T$7:$T$14,0)),0)*$T$21)/30</f>
        <v>0</v>
      </c>
      <c r="AG296" s="10">
        <f>MAX($Z296-积分赛!$C$7,0)*(IFERROR(INDEX($W$7:$W$14,MATCH(AG$10,$T$7:$T$14,0)),0)*$T$20+IFERROR(INDEX($X$7:$X$14,MATCH(AG$10,$T$7:$T$14,0)),0)*$T$21)/30</f>
        <v>0</v>
      </c>
      <c r="AH296" s="10">
        <f>MAX($Z296-积分赛!$C$7,0)*(IFERROR(INDEX($W$7:$W$14,MATCH(AH$10,$T$7:$T$14,0)),0)*$T$20+IFERROR(INDEX($X$7:$X$14,MATCH(AH$10,$T$7:$T$14,0)),0)*$T$21)/30</f>
        <v>0</v>
      </c>
      <c r="AI296" s="10">
        <f>MAX($Z296-积分赛!$C$7,0)*(IFERROR(INDEX($W$7:$W$14,MATCH(AI$10,$T$7:$T$14,0)),0)*$T$20+IFERROR(INDEX($X$7:$X$14,MATCH(AI$10,$T$7:$T$14,0)),0)*$T$21)/30</f>
        <v>26069.333333333332</v>
      </c>
      <c r="AJ296" s="10">
        <f>MAX($Z296-积分赛!$C$7,0)*(IFERROR(INDEX($W$7:$W$14,MATCH(AJ$10,$T$7:$T$14,0)),0)*$T$20+IFERROR(INDEX($X$7:$X$14,MATCH(AJ$10,$T$7:$T$14,0)),0)*$T$21)/30</f>
        <v>156416</v>
      </c>
      <c r="BI296" s="10">
        <v>286</v>
      </c>
      <c r="BJ296" s="10">
        <f>MAX($BI296-积分赛!$C$7,0)*$BC$10/30</f>
        <v>853333.33333333337</v>
      </c>
      <c r="BK296" s="10">
        <f>MAX($BI296-积分赛!$C$7,0)*$BC$10/30</f>
        <v>853333.33333333337</v>
      </c>
      <c r="BL296" s="10">
        <f>MAX($BI296-积分赛!$C$7,0)*$BC$10/30</f>
        <v>853333.33333333337</v>
      </c>
      <c r="BM296" s="10">
        <f>MAX($BI296-积分赛!$C$7,0)*$BC$10/30</f>
        <v>853333.33333333337</v>
      </c>
      <c r="BN296" s="10">
        <f>MAX($BI296-积分赛!$C$7,0)*$BC$10/30</f>
        <v>853333.33333333337</v>
      </c>
    </row>
    <row r="297" spans="26:66" x14ac:dyDescent="0.15">
      <c r="Z297" s="10">
        <v>287</v>
      </c>
      <c r="AA297" s="10">
        <f>IFERROR(MAX($Z297-积分赛!$C$7,0)*INDEX($U$7:$U$14,MATCH(AA$10,$T$7:$T$14,0))/30,0)</f>
        <v>0</v>
      </c>
      <c r="AB297" s="10">
        <f>IFERROR(MAX($Z297-积分赛!$C$7,0)*INDEX($U$7:$U$14,MATCH(AB$10,$T$7:$T$14,0))/30,0)</f>
        <v>0</v>
      </c>
      <c r="AC297" s="10">
        <f>IFERROR(MAX($Z297-积分赛!$C$7,0)*INDEX($U$7:$U$14,MATCH(AC$10,$T$7:$T$14,0))/30,0)</f>
        <v>0</v>
      </c>
      <c r="AD297" s="10">
        <f>IFERROR(MAX($Z297-积分赛!$C$7,0)*INDEX($U$7:$U$14,MATCH(AD$10,$T$7:$T$14,0))/30,0)</f>
        <v>685333.33333333337</v>
      </c>
      <c r="AE297" s="10">
        <f>IFERROR(MAX($Z297-积分赛!$C$7,0)*INDEX($U$7:$U$14,MATCH(AE$10,$T$7:$T$14,0))/30,0)</f>
        <v>8566666.666666666</v>
      </c>
      <c r="AF297" s="10">
        <f>MAX($Z297-积分赛!$C$7,0)*(IFERROR(INDEX($W$7:$W$14,MATCH(AF$10,$T$7:$T$14,0)),0)*$T$20+IFERROR(INDEX($X$7:$X$14,MATCH(AF$10,$T$7:$T$14,0)),0)*$T$21)/30</f>
        <v>0</v>
      </c>
      <c r="AG297" s="10">
        <f>MAX($Z297-积分赛!$C$7,0)*(IFERROR(INDEX($W$7:$W$14,MATCH(AG$10,$T$7:$T$14,0)),0)*$T$20+IFERROR(INDEX($X$7:$X$14,MATCH(AG$10,$T$7:$T$14,0)),0)*$T$21)/30</f>
        <v>0</v>
      </c>
      <c r="AH297" s="10">
        <f>MAX($Z297-积分赛!$C$7,0)*(IFERROR(INDEX($W$7:$W$14,MATCH(AH$10,$T$7:$T$14,0)),0)*$T$20+IFERROR(INDEX($X$7:$X$14,MATCH(AH$10,$T$7:$T$14,0)),0)*$T$21)/30</f>
        <v>0</v>
      </c>
      <c r="AI297" s="10">
        <f>MAX($Z297-积分赛!$C$7,0)*(IFERROR(INDEX($W$7:$W$14,MATCH(AI$10,$T$7:$T$14,0)),0)*$T$20+IFERROR(INDEX($X$7:$X$14,MATCH(AI$10,$T$7:$T$14,0)),0)*$T$21)/30</f>
        <v>26171.166666666668</v>
      </c>
      <c r="AJ297" s="10">
        <f>MAX($Z297-积分赛!$C$7,0)*(IFERROR(INDEX($W$7:$W$14,MATCH(AJ$10,$T$7:$T$14,0)),0)*$T$20+IFERROR(INDEX($X$7:$X$14,MATCH(AJ$10,$T$7:$T$14,0)),0)*$T$21)/30</f>
        <v>157027</v>
      </c>
      <c r="BI297" s="10">
        <v>287</v>
      </c>
      <c r="BJ297" s="10">
        <f>MAX($BI297-积分赛!$C$7,0)*$BC$10/30</f>
        <v>856666.66666666663</v>
      </c>
      <c r="BK297" s="10">
        <f>MAX($BI297-积分赛!$C$7,0)*$BC$10/30</f>
        <v>856666.66666666663</v>
      </c>
      <c r="BL297" s="10">
        <f>MAX($BI297-积分赛!$C$7,0)*$BC$10/30</f>
        <v>856666.66666666663</v>
      </c>
      <c r="BM297" s="10">
        <f>MAX($BI297-积分赛!$C$7,0)*$BC$10/30</f>
        <v>856666.66666666663</v>
      </c>
      <c r="BN297" s="10">
        <f>MAX($BI297-积分赛!$C$7,0)*$BC$10/30</f>
        <v>856666.66666666663</v>
      </c>
    </row>
    <row r="298" spans="26:66" x14ac:dyDescent="0.15">
      <c r="Z298" s="10">
        <v>288</v>
      </c>
      <c r="AA298" s="10">
        <f>IFERROR(MAX($Z298-积分赛!$C$7,0)*INDEX($U$7:$U$14,MATCH(AA$10,$T$7:$T$14,0))/30,0)</f>
        <v>0</v>
      </c>
      <c r="AB298" s="10">
        <f>IFERROR(MAX($Z298-积分赛!$C$7,0)*INDEX($U$7:$U$14,MATCH(AB$10,$T$7:$T$14,0))/30,0)</f>
        <v>0</v>
      </c>
      <c r="AC298" s="10">
        <f>IFERROR(MAX($Z298-积分赛!$C$7,0)*INDEX($U$7:$U$14,MATCH(AC$10,$T$7:$T$14,0))/30,0)</f>
        <v>0</v>
      </c>
      <c r="AD298" s="10">
        <f>IFERROR(MAX($Z298-积分赛!$C$7,0)*INDEX($U$7:$U$14,MATCH(AD$10,$T$7:$T$14,0))/30,0)</f>
        <v>688000</v>
      </c>
      <c r="AE298" s="10">
        <f>IFERROR(MAX($Z298-积分赛!$C$7,0)*INDEX($U$7:$U$14,MATCH(AE$10,$T$7:$T$14,0))/30,0)</f>
        <v>8600000</v>
      </c>
      <c r="AF298" s="10">
        <f>MAX($Z298-积分赛!$C$7,0)*(IFERROR(INDEX($W$7:$W$14,MATCH(AF$10,$T$7:$T$14,0)),0)*$T$20+IFERROR(INDEX($X$7:$X$14,MATCH(AF$10,$T$7:$T$14,0)),0)*$T$21)/30</f>
        <v>0</v>
      </c>
      <c r="AG298" s="10">
        <f>MAX($Z298-积分赛!$C$7,0)*(IFERROR(INDEX($W$7:$W$14,MATCH(AG$10,$T$7:$T$14,0)),0)*$T$20+IFERROR(INDEX($X$7:$X$14,MATCH(AG$10,$T$7:$T$14,0)),0)*$T$21)/30</f>
        <v>0</v>
      </c>
      <c r="AH298" s="10">
        <f>MAX($Z298-积分赛!$C$7,0)*(IFERROR(INDEX($W$7:$W$14,MATCH(AH$10,$T$7:$T$14,0)),0)*$T$20+IFERROR(INDEX($X$7:$X$14,MATCH(AH$10,$T$7:$T$14,0)),0)*$T$21)/30</f>
        <v>0</v>
      </c>
      <c r="AI298" s="10">
        <f>MAX($Z298-积分赛!$C$7,0)*(IFERROR(INDEX($W$7:$W$14,MATCH(AI$10,$T$7:$T$14,0)),0)*$T$20+IFERROR(INDEX($X$7:$X$14,MATCH(AI$10,$T$7:$T$14,0)),0)*$T$21)/30</f>
        <v>26273</v>
      </c>
      <c r="AJ298" s="10">
        <f>MAX($Z298-积分赛!$C$7,0)*(IFERROR(INDEX($W$7:$W$14,MATCH(AJ$10,$T$7:$T$14,0)),0)*$T$20+IFERROR(INDEX($X$7:$X$14,MATCH(AJ$10,$T$7:$T$14,0)),0)*$T$21)/30</f>
        <v>157638</v>
      </c>
      <c r="BI298" s="10">
        <v>288</v>
      </c>
      <c r="BJ298" s="10">
        <f>MAX($BI298-积分赛!$C$7,0)*$BC$10/30</f>
        <v>860000</v>
      </c>
      <c r="BK298" s="10">
        <f>MAX($BI298-积分赛!$C$7,0)*$BC$10/30</f>
        <v>860000</v>
      </c>
      <c r="BL298" s="10">
        <f>MAX($BI298-积分赛!$C$7,0)*$BC$10/30</f>
        <v>860000</v>
      </c>
      <c r="BM298" s="10">
        <f>MAX($BI298-积分赛!$C$7,0)*$BC$10/30</f>
        <v>860000</v>
      </c>
      <c r="BN298" s="10">
        <f>MAX($BI298-积分赛!$C$7,0)*$BC$10/30</f>
        <v>860000</v>
      </c>
    </row>
    <row r="299" spans="26:66" x14ac:dyDescent="0.15">
      <c r="Z299" s="10">
        <v>289</v>
      </c>
      <c r="AA299" s="10">
        <f>IFERROR(MAX($Z299-积分赛!$C$7,0)*INDEX($U$7:$U$14,MATCH(AA$10,$T$7:$T$14,0))/30,0)</f>
        <v>0</v>
      </c>
      <c r="AB299" s="10">
        <f>IFERROR(MAX($Z299-积分赛!$C$7,0)*INDEX($U$7:$U$14,MATCH(AB$10,$T$7:$T$14,0))/30,0)</f>
        <v>0</v>
      </c>
      <c r="AC299" s="10">
        <f>IFERROR(MAX($Z299-积分赛!$C$7,0)*INDEX($U$7:$U$14,MATCH(AC$10,$T$7:$T$14,0))/30,0)</f>
        <v>0</v>
      </c>
      <c r="AD299" s="10">
        <f>IFERROR(MAX($Z299-积分赛!$C$7,0)*INDEX($U$7:$U$14,MATCH(AD$10,$T$7:$T$14,0))/30,0)</f>
        <v>690666.66666666663</v>
      </c>
      <c r="AE299" s="10">
        <f>IFERROR(MAX($Z299-积分赛!$C$7,0)*INDEX($U$7:$U$14,MATCH(AE$10,$T$7:$T$14,0))/30,0)</f>
        <v>8633333.333333334</v>
      </c>
      <c r="AF299" s="10">
        <f>MAX($Z299-积分赛!$C$7,0)*(IFERROR(INDEX($W$7:$W$14,MATCH(AF$10,$T$7:$T$14,0)),0)*$T$20+IFERROR(INDEX($X$7:$X$14,MATCH(AF$10,$T$7:$T$14,0)),0)*$T$21)/30</f>
        <v>0</v>
      </c>
      <c r="AG299" s="10">
        <f>MAX($Z299-积分赛!$C$7,0)*(IFERROR(INDEX($W$7:$W$14,MATCH(AG$10,$T$7:$T$14,0)),0)*$T$20+IFERROR(INDEX($X$7:$X$14,MATCH(AG$10,$T$7:$T$14,0)),0)*$T$21)/30</f>
        <v>0</v>
      </c>
      <c r="AH299" s="10">
        <f>MAX($Z299-积分赛!$C$7,0)*(IFERROR(INDEX($W$7:$W$14,MATCH(AH$10,$T$7:$T$14,0)),0)*$T$20+IFERROR(INDEX($X$7:$X$14,MATCH(AH$10,$T$7:$T$14,0)),0)*$T$21)/30</f>
        <v>0</v>
      </c>
      <c r="AI299" s="10">
        <f>MAX($Z299-积分赛!$C$7,0)*(IFERROR(INDEX($W$7:$W$14,MATCH(AI$10,$T$7:$T$14,0)),0)*$T$20+IFERROR(INDEX($X$7:$X$14,MATCH(AI$10,$T$7:$T$14,0)),0)*$T$21)/30</f>
        <v>26374.833333333332</v>
      </c>
      <c r="AJ299" s="10">
        <f>MAX($Z299-积分赛!$C$7,0)*(IFERROR(INDEX($W$7:$W$14,MATCH(AJ$10,$T$7:$T$14,0)),0)*$T$20+IFERROR(INDEX($X$7:$X$14,MATCH(AJ$10,$T$7:$T$14,0)),0)*$T$21)/30</f>
        <v>158249</v>
      </c>
      <c r="BI299" s="10">
        <v>289</v>
      </c>
      <c r="BJ299" s="10">
        <f>MAX($BI299-积分赛!$C$7,0)*$BC$10/30</f>
        <v>863333.33333333337</v>
      </c>
      <c r="BK299" s="10">
        <f>MAX($BI299-积分赛!$C$7,0)*$BC$10/30</f>
        <v>863333.33333333337</v>
      </c>
      <c r="BL299" s="10">
        <f>MAX($BI299-积分赛!$C$7,0)*$BC$10/30</f>
        <v>863333.33333333337</v>
      </c>
      <c r="BM299" s="10">
        <f>MAX($BI299-积分赛!$C$7,0)*$BC$10/30</f>
        <v>863333.33333333337</v>
      </c>
      <c r="BN299" s="10">
        <f>MAX($BI299-积分赛!$C$7,0)*$BC$10/30</f>
        <v>863333.33333333337</v>
      </c>
    </row>
    <row r="300" spans="26:66" x14ac:dyDescent="0.15">
      <c r="Z300" s="10">
        <v>290</v>
      </c>
      <c r="AA300" s="10">
        <f>IFERROR(MAX($Z300-积分赛!$C$7,0)*INDEX($U$7:$U$14,MATCH(AA$10,$T$7:$T$14,0))/30,0)</f>
        <v>0</v>
      </c>
      <c r="AB300" s="10">
        <f>IFERROR(MAX($Z300-积分赛!$C$7,0)*INDEX($U$7:$U$14,MATCH(AB$10,$T$7:$T$14,0))/30,0)</f>
        <v>0</v>
      </c>
      <c r="AC300" s="10">
        <f>IFERROR(MAX($Z300-积分赛!$C$7,0)*INDEX($U$7:$U$14,MATCH(AC$10,$T$7:$T$14,0))/30,0)</f>
        <v>0</v>
      </c>
      <c r="AD300" s="10">
        <f>IFERROR(MAX($Z300-积分赛!$C$7,0)*INDEX($U$7:$U$14,MATCH(AD$10,$T$7:$T$14,0))/30,0)</f>
        <v>693333.33333333337</v>
      </c>
      <c r="AE300" s="10">
        <f>IFERROR(MAX($Z300-积分赛!$C$7,0)*INDEX($U$7:$U$14,MATCH(AE$10,$T$7:$T$14,0))/30,0)</f>
        <v>8666666.666666666</v>
      </c>
      <c r="AF300" s="10">
        <f>MAX($Z300-积分赛!$C$7,0)*(IFERROR(INDEX($W$7:$W$14,MATCH(AF$10,$T$7:$T$14,0)),0)*$T$20+IFERROR(INDEX($X$7:$X$14,MATCH(AF$10,$T$7:$T$14,0)),0)*$T$21)/30</f>
        <v>0</v>
      </c>
      <c r="AG300" s="10">
        <f>MAX($Z300-积分赛!$C$7,0)*(IFERROR(INDEX($W$7:$W$14,MATCH(AG$10,$T$7:$T$14,0)),0)*$T$20+IFERROR(INDEX($X$7:$X$14,MATCH(AG$10,$T$7:$T$14,0)),0)*$T$21)/30</f>
        <v>0</v>
      </c>
      <c r="AH300" s="10">
        <f>MAX($Z300-积分赛!$C$7,0)*(IFERROR(INDEX($W$7:$W$14,MATCH(AH$10,$T$7:$T$14,0)),0)*$T$20+IFERROR(INDEX($X$7:$X$14,MATCH(AH$10,$T$7:$T$14,0)),0)*$T$21)/30</f>
        <v>0</v>
      </c>
      <c r="AI300" s="10">
        <f>MAX($Z300-积分赛!$C$7,0)*(IFERROR(INDEX($W$7:$W$14,MATCH(AI$10,$T$7:$T$14,0)),0)*$T$20+IFERROR(INDEX($X$7:$X$14,MATCH(AI$10,$T$7:$T$14,0)),0)*$T$21)/30</f>
        <v>26476.666666666668</v>
      </c>
      <c r="AJ300" s="10">
        <f>MAX($Z300-积分赛!$C$7,0)*(IFERROR(INDEX($W$7:$W$14,MATCH(AJ$10,$T$7:$T$14,0)),0)*$T$20+IFERROR(INDEX($X$7:$X$14,MATCH(AJ$10,$T$7:$T$14,0)),0)*$T$21)/30</f>
        <v>158860</v>
      </c>
      <c r="BI300" s="10">
        <v>290</v>
      </c>
      <c r="BJ300" s="10">
        <f>MAX($BI300-积分赛!$C$7,0)*$BC$10/30</f>
        <v>866666.66666666663</v>
      </c>
      <c r="BK300" s="10">
        <f>MAX($BI300-积分赛!$C$7,0)*$BC$10/30</f>
        <v>866666.66666666663</v>
      </c>
      <c r="BL300" s="10">
        <f>MAX($BI300-积分赛!$C$7,0)*$BC$10/30</f>
        <v>866666.66666666663</v>
      </c>
      <c r="BM300" s="10">
        <f>MAX($BI300-积分赛!$C$7,0)*$BC$10/30</f>
        <v>866666.66666666663</v>
      </c>
      <c r="BN300" s="10">
        <f>MAX($BI300-积分赛!$C$7,0)*$BC$10/30</f>
        <v>866666.66666666663</v>
      </c>
    </row>
    <row r="301" spans="26:66" x14ac:dyDescent="0.15">
      <c r="Z301" s="10">
        <v>291</v>
      </c>
      <c r="AA301" s="10">
        <f>IFERROR(MAX($Z301-积分赛!$C$7,0)*INDEX($U$7:$U$14,MATCH(AA$10,$T$7:$T$14,0))/30,0)</f>
        <v>0</v>
      </c>
      <c r="AB301" s="10">
        <f>IFERROR(MAX($Z301-积分赛!$C$7,0)*INDEX($U$7:$U$14,MATCH(AB$10,$T$7:$T$14,0))/30,0)</f>
        <v>0</v>
      </c>
      <c r="AC301" s="10">
        <f>IFERROR(MAX($Z301-积分赛!$C$7,0)*INDEX($U$7:$U$14,MATCH(AC$10,$T$7:$T$14,0))/30,0)</f>
        <v>0</v>
      </c>
      <c r="AD301" s="10">
        <f>IFERROR(MAX($Z301-积分赛!$C$7,0)*INDEX($U$7:$U$14,MATCH(AD$10,$T$7:$T$14,0))/30,0)</f>
        <v>696000</v>
      </c>
      <c r="AE301" s="10">
        <f>IFERROR(MAX($Z301-积分赛!$C$7,0)*INDEX($U$7:$U$14,MATCH(AE$10,$T$7:$T$14,0))/30,0)</f>
        <v>8700000</v>
      </c>
      <c r="AF301" s="10">
        <f>MAX($Z301-积分赛!$C$7,0)*(IFERROR(INDEX($W$7:$W$14,MATCH(AF$10,$T$7:$T$14,0)),0)*$T$20+IFERROR(INDEX($X$7:$X$14,MATCH(AF$10,$T$7:$T$14,0)),0)*$T$21)/30</f>
        <v>0</v>
      </c>
      <c r="AG301" s="10">
        <f>MAX($Z301-积分赛!$C$7,0)*(IFERROR(INDEX($W$7:$W$14,MATCH(AG$10,$T$7:$T$14,0)),0)*$T$20+IFERROR(INDEX($X$7:$X$14,MATCH(AG$10,$T$7:$T$14,0)),0)*$T$21)/30</f>
        <v>0</v>
      </c>
      <c r="AH301" s="10">
        <f>MAX($Z301-积分赛!$C$7,0)*(IFERROR(INDEX($W$7:$W$14,MATCH(AH$10,$T$7:$T$14,0)),0)*$T$20+IFERROR(INDEX($X$7:$X$14,MATCH(AH$10,$T$7:$T$14,0)),0)*$T$21)/30</f>
        <v>0</v>
      </c>
      <c r="AI301" s="10">
        <f>MAX($Z301-积分赛!$C$7,0)*(IFERROR(INDEX($W$7:$W$14,MATCH(AI$10,$T$7:$T$14,0)),0)*$T$20+IFERROR(INDEX($X$7:$X$14,MATCH(AI$10,$T$7:$T$14,0)),0)*$T$21)/30</f>
        <v>26578.5</v>
      </c>
      <c r="AJ301" s="10">
        <f>MAX($Z301-积分赛!$C$7,0)*(IFERROR(INDEX($W$7:$W$14,MATCH(AJ$10,$T$7:$T$14,0)),0)*$T$20+IFERROR(INDEX($X$7:$X$14,MATCH(AJ$10,$T$7:$T$14,0)),0)*$T$21)/30</f>
        <v>159471</v>
      </c>
      <c r="BI301" s="10">
        <v>291</v>
      </c>
      <c r="BJ301" s="10">
        <f>MAX($BI301-积分赛!$C$7,0)*$BC$10/30</f>
        <v>870000</v>
      </c>
      <c r="BK301" s="10">
        <f>MAX($BI301-积分赛!$C$7,0)*$BC$10/30</f>
        <v>870000</v>
      </c>
      <c r="BL301" s="10">
        <f>MAX($BI301-积分赛!$C$7,0)*$BC$10/30</f>
        <v>870000</v>
      </c>
      <c r="BM301" s="10">
        <f>MAX($BI301-积分赛!$C$7,0)*$BC$10/30</f>
        <v>870000</v>
      </c>
      <c r="BN301" s="10">
        <f>MAX($BI301-积分赛!$C$7,0)*$BC$10/30</f>
        <v>870000</v>
      </c>
    </row>
    <row r="302" spans="26:66" x14ac:dyDescent="0.15">
      <c r="Z302" s="10">
        <v>292</v>
      </c>
      <c r="AA302" s="10">
        <f>IFERROR(MAX($Z302-积分赛!$C$7,0)*INDEX($U$7:$U$14,MATCH(AA$10,$T$7:$T$14,0))/30,0)</f>
        <v>0</v>
      </c>
      <c r="AB302" s="10">
        <f>IFERROR(MAX($Z302-积分赛!$C$7,0)*INDEX($U$7:$U$14,MATCH(AB$10,$T$7:$T$14,0))/30,0)</f>
        <v>0</v>
      </c>
      <c r="AC302" s="10">
        <f>IFERROR(MAX($Z302-积分赛!$C$7,0)*INDEX($U$7:$U$14,MATCH(AC$10,$T$7:$T$14,0))/30,0)</f>
        <v>0</v>
      </c>
      <c r="AD302" s="10">
        <f>IFERROR(MAX($Z302-积分赛!$C$7,0)*INDEX($U$7:$U$14,MATCH(AD$10,$T$7:$T$14,0))/30,0)</f>
        <v>698666.66666666663</v>
      </c>
      <c r="AE302" s="10">
        <f>IFERROR(MAX($Z302-积分赛!$C$7,0)*INDEX($U$7:$U$14,MATCH(AE$10,$T$7:$T$14,0))/30,0)</f>
        <v>8733333.333333334</v>
      </c>
      <c r="AF302" s="10">
        <f>MAX($Z302-积分赛!$C$7,0)*(IFERROR(INDEX($W$7:$W$14,MATCH(AF$10,$T$7:$T$14,0)),0)*$T$20+IFERROR(INDEX($X$7:$X$14,MATCH(AF$10,$T$7:$T$14,0)),0)*$T$21)/30</f>
        <v>0</v>
      </c>
      <c r="AG302" s="10">
        <f>MAX($Z302-积分赛!$C$7,0)*(IFERROR(INDEX($W$7:$W$14,MATCH(AG$10,$T$7:$T$14,0)),0)*$T$20+IFERROR(INDEX($X$7:$X$14,MATCH(AG$10,$T$7:$T$14,0)),0)*$T$21)/30</f>
        <v>0</v>
      </c>
      <c r="AH302" s="10">
        <f>MAX($Z302-积分赛!$C$7,0)*(IFERROR(INDEX($W$7:$W$14,MATCH(AH$10,$T$7:$T$14,0)),0)*$T$20+IFERROR(INDEX($X$7:$X$14,MATCH(AH$10,$T$7:$T$14,0)),0)*$T$21)/30</f>
        <v>0</v>
      </c>
      <c r="AI302" s="10">
        <f>MAX($Z302-积分赛!$C$7,0)*(IFERROR(INDEX($W$7:$W$14,MATCH(AI$10,$T$7:$T$14,0)),0)*$T$20+IFERROR(INDEX($X$7:$X$14,MATCH(AI$10,$T$7:$T$14,0)),0)*$T$21)/30</f>
        <v>26680.333333333332</v>
      </c>
      <c r="AJ302" s="10">
        <f>MAX($Z302-积分赛!$C$7,0)*(IFERROR(INDEX($W$7:$W$14,MATCH(AJ$10,$T$7:$T$14,0)),0)*$T$20+IFERROR(INDEX($X$7:$X$14,MATCH(AJ$10,$T$7:$T$14,0)),0)*$T$21)/30</f>
        <v>160082</v>
      </c>
      <c r="BI302" s="10">
        <v>292</v>
      </c>
      <c r="BJ302" s="10">
        <f>MAX($BI302-积分赛!$C$7,0)*$BC$10/30</f>
        <v>873333.33333333337</v>
      </c>
      <c r="BK302" s="10">
        <f>MAX($BI302-积分赛!$C$7,0)*$BC$10/30</f>
        <v>873333.33333333337</v>
      </c>
      <c r="BL302" s="10">
        <f>MAX($BI302-积分赛!$C$7,0)*$BC$10/30</f>
        <v>873333.33333333337</v>
      </c>
      <c r="BM302" s="10">
        <f>MAX($BI302-积分赛!$C$7,0)*$BC$10/30</f>
        <v>873333.33333333337</v>
      </c>
      <c r="BN302" s="10">
        <f>MAX($BI302-积分赛!$C$7,0)*$BC$10/30</f>
        <v>873333.33333333337</v>
      </c>
    </row>
    <row r="303" spans="26:66" x14ac:dyDescent="0.15">
      <c r="Z303" s="10">
        <v>293</v>
      </c>
      <c r="AA303" s="10">
        <f>IFERROR(MAX($Z303-积分赛!$C$7,0)*INDEX($U$7:$U$14,MATCH(AA$10,$T$7:$T$14,0))/30,0)</f>
        <v>0</v>
      </c>
      <c r="AB303" s="10">
        <f>IFERROR(MAX($Z303-积分赛!$C$7,0)*INDEX($U$7:$U$14,MATCH(AB$10,$T$7:$T$14,0))/30,0)</f>
        <v>0</v>
      </c>
      <c r="AC303" s="10">
        <f>IFERROR(MAX($Z303-积分赛!$C$7,0)*INDEX($U$7:$U$14,MATCH(AC$10,$T$7:$T$14,0))/30,0)</f>
        <v>0</v>
      </c>
      <c r="AD303" s="10">
        <f>IFERROR(MAX($Z303-积分赛!$C$7,0)*INDEX($U$7:$U$14,MATCH(AD$10,$T$7:$T$14,0))/30,0)</f>
        <v>701333.33333333337</v>
      </c>
      <c r="AE303" s="10">
        <f>IFERROR(MAX($Z303-积分赛!$C$7,0)*INDEX($U$7:$U$14,MATCH(AE$10,$T$7:$T$14,0))/30,0)</f>
        <v>8766666.666666666</v>
      </c>
      <c r="AF303" s="10">
        <f>MAX($Z303-积分赛!$C$7,0)*(IFERROR(INDEX($W$7:$W$14,MATCH(AF$10,$T$7:$T$14,0)),0)*$T$20+IFERROR(INDEX($X$7:$X$14,MATCH(AF$10,$T$7:$T$14,0)),0)*$T$21)/30</f>
        <v>0</v>
      </c>
      <c r="AG303" s="10">
        <f>MAX($Z303-积分赛!$C$7,0)*(IFERROR(INDEX($W$7:$W$14,MATCH(AG$10,$T$7:$T$14,0)),0)*$T$20+IFERROR(INDEX($X$7:$X$14,MATCH(AG$10,$T$7:$T$14,0)),0)*$T$21)/30</f>
        <v>0</v>
      </c>
      <c r="AH303" s="10">
        <f>MAX($Z303-积分赛!$C$7,0)*(IFERROR(INDEX($W$7:$W$14,MATCH(AH$10,$T$7:$T$14,0)),0)*$T$20+IFERROR(INDEX($X$7:$X$14,MATCH(AH$10,$T$7:$T$14,0)),0)*$T$21)/30</f>
        <v>0</v>
      </c>
      <c r="AI303" s="10">
        <f>MAX($Z303-积分赛!$C$7,0)*(IFERROR(INDEX($W$7:$W$14,MATCH(AI$10,$T$7:$T$14,0)),0)*$T$20+IFERROR(INDEX($X$7:$X$14,MATCH(AI$10,$T$7:$T$14,0)),0)*$T$21)/30</f>
        <v>26782.166666666668</v>
      </c>
      <c r="AJ303" s="10">
        <f>MAX($Z303-积分赛!$C$7,0)*(IFERROR(INDEX($W$7:$W$14,MATCH(AJ$10,$T$7:$T$14,0)),0)*$T$20+IFERROR(INDEX($X$7:$X$14,MATCH(AJ$10,$T$7:$T$14,0)),0)*$T$21)/30</f>
        <v>160693</v>
      </c>
      <c r="BI303" s="10">
        <v>293</v>
      </c>
      <c r="BJ303" s="10">
        <f>MAX($BI303-积分赛!$C$7,0)*$BC$10/30</f>
        <v>876666.66666666663</v>
      </c>
      <c r="BK303" s="10">
        <f>MAX($BI303-积分赛!$C$7,0)*$BC$10/30</f>
        <v>876666.66666666663</v>
      </c>
      <c r="BL303" s="10">
        <f>MAX($BI303-积分赛!$C$7,0)*$BC$10/30</f>
        <v>876666.66666666663</v>
      </c>
      <c r="BM303" s="10">
        <f>MAX($BI303-积分赛!$C$7,0)*$BC$10/30</f>
        <v>876666.66666666663</v>
      </c>
      <c r="BN303" s="10">
        <f>MAX($BI303-积分赛!$C$7,0)*$BC$10/30</f>
        <v>876666.66666666663</v>
      </c>
    </row>
    <row r="304" spans="26:66" x14ac:dyDescent="0.15">
      <c r="Z304" s="10">
        <v>294</v>
      </c>
      <c r="AA304" s="10">
        <f>IFERROR(MAX($Z304-积分赛!$C$7,0)*INDEX($U$7:$U$14,MATCH(AA$10,$T$7:$T$14,0))/30,0)</f>
        <v>0</v>
      </c>
      <c r="AB304" s="10">
        <f>IFERROR(MAX($Z304-积分赛!$C$7,0)*INDEX($U$7:$U$14,MATCH(AB$10,$T$7:$T$14,0))/30,0)</f>
        <v>0</v>
      </c>
      <c r="AC304" s="10">
        <f>IFERROR(MAX($Z304-积分赛!$C$7,0)*INDEX($U$7:$U$14,MATCH(AC$10,$T$7:$T$14,0))/30,0)</f>
        <v>0</v>
      </c>
      <c r="AD304" s="10">
        <f>IFERROR(MAX($Z304-积分赛!$C$7,0)*INDEX($U$7:$U$14,MATCH(AD$10,$T$7:$T$14,0))/30,0)</f>
        <v>704000</v>
      </c>
      <c r="AE304" s="10">
        <f>IFERROR(MAX($Z304-积分赛!$C$7,0)*INDEX($U$7:$U$14,MATCH(AE$10,$T$7:$T$14,0))/30,0)</f>
        <v>8800000</v>
      </c>
      <c r="AF304" s="10">
        <f>MAX($Z304-积分赛!$C$7,0)*(IFERROR(INDEX($W$7:$W$14,MATCH(AF$10,$T$7:$T$14,0)),0)*$T$20+IFERROR(INDEX($X$7:$X$14,MATCH(AF$10,$T$7:$T$14,0)),0)*$T$21)/30</f>
        <v>0</v>
      </c>
      <c r="AG304" s="10">
        <f>MAX($Z304-积分赛!$C$7,0)*(IFERROR(INDEX($W$7:$W$14,MATCH(AG$10,$T$7:$T$14,0)),0)*$T$20+IFERROR(INDEX($X$7:$X$14,MATCH(AG$10,$T$7:$T$14,0)),0)*$T$21)/30</f>
        <v>0</v>
      </c>
      <c r="AH304" s="10">
        <f>MAX($Z304-积分赛!$C$7,0)*(IFERROR(INDEX($W$7:$W$14,MATCH(AH$10,$T$7:$T$14,0)),0)*$T$20+IFERROR(INDEX($X$7:$X$14,MATCH(AH$10,$T$7:$T$14,0)),0)*$T$21)/30</f>
        <v>0</v>
      </c>
      <c r="AI304" s="10">
        <f>MAX($Z304-积分赛!$C$7,0)*(IFERROR(INDEX($W$7:$W$14,MATCH(AI$10,$T$7:$T$14,0)),0)*$T$20+IFERROR(INDEX($X$7:$X$14,MATCH(AI$10,$T$7:$T$14,0)),0)*$T$21)/30</f>
        <v>26884</v>
      </c>
      <c r="AJ304" s="10">
        <f>MAX($Z304-积分赛!$C$7,0)*(IFERROR(INDEX($W$7:$W$14,MATCH(AJ$10,$T$7:$T$14,0)),0)*$T$20+IFERROR(INDEX($X$7:$X$14,MATCH(AJ$10,$T$7:$T$14,0)),0)*$T$21)/30</f>
        <v>161304</v>
      </c>
      <c r="BI304" s="10">
        <v>294</v>
      </c>
      <c r="BJ304" s="10">
        <f>MAX($BI304-积分赛!$C$7,0)*$BC$10/30</f>
        <v>880000</v>
      </c>
      <c r="BK304" s="10">
        <f>MAX($BI304-积分赛!$C$7,0)*$BC$10/30</f>
        <v>880000</v>
      </c>
      <c r="BL304" s="10">
        <f>MAX($BI304-积分赛!$C$7,0)*$BC$10/30</f>
        <v>880000</v>
      </c>
      <c r="BM304" s="10">
        <f>MAX($BI304-积分赛!$C$7,0)*$BC$10/30</f>
        <v>880000</v>
      </c>
      <c r="BN304" s="10">
        <f>MAX($BI304-积分赛!$C$7,0)*$BC$10/30</f>
        <v>880000</v>
      </c>
    </row>
    <row r="305" spans="26:66" x14ac:dyDescent="0.15">
      <c r="Z305" s="10">
        <v>295</v>
      </c>
      <c r="AA305" s="10">
        <f>IFERROR(MAX($Z305-积分赛!$C$7,0)*INDEX($U$7:$U$14,MATCH(AA$10,$T$7:$T$14,0))/30,0)</f>
        <v>0</v>
      </c>
      <c r="AB305" s="10">
        <f>IFERROR(MAX($Z305-积分赛!$C$7,0)*INDEX($U$7:$U$14,MATCH(AB$10,$T$7:$T$14,0))/30,0)</f>
        <v>0</v>
      </c>
      <c r="AC305" s="10">
        <f>IFERROR(MAX($Z305-积分赛!$C$7,0)*INDEX($U$7:$U$14,MATCH(AC$10,$T$7:$T$14,0))/30,0)</f>
        <v>0</v>
      </c>
      <c r="AD305" s="10">
        <f>IFERROR(MAX($Z305-积分赛!$C$7,0)*INDEX($U$7:$U$14,MATCH(AD$10,$T$7:$T$14,0))/30,0)</f>
        <v>706666.66666666663</v>
      </c>
      <c r="AE305" s="10">
        <f>IFERROR(MAX($Z305-积分赛!$C$7,0)*INDEX($U$7:$U$14,MATCH(AE$10,$T$7:$T$14,0))/30,0)</f>
        <v>8833333.333333334</v>
      </c>
      <c r="AF305" s="10">
        <f>MAX($Z305-积分赛!$C$7,0)*(IFERROR(INDEX($W$7:$W$14,MATCH(AF$10,$T$7:$T$14,0)),0)*$T$20+IFERROR(INDEX($X$7:$X$14,MATCH(AF$10,$T$7:$T$14,0)),0)*$T$21)/30</f>
        <v>0</v>
      </c>
      <c r="AG305" s="10">
        <f>MAX($Z305-积分赛!$C$7,0)*(IFERROR(INDEX($W$7:$W$14,MATCH(AG$10,$T$7:$T$14,0)),0)*$T$20+IFERROR(INDEX($X$7:$X$14,MATCH(AG$10,$T$7:$T$14,0)),0)*$T$21)/30</f>
        <v>0</v>
      </c>
      <c r="AH305" s="10">
        <f>MAX($Z305-积分赛!$C$7,0)*(IFERROR(INDEX($W$7:$W$14,MATCH(AH$10,$T$7:$T$14,0)),0)*$T$20+IFERROR(INDEX($X$7:$X$14,MATCH(AH$10,$T$7:$T$14,0)),0)*$T$21)/30</f>
        <v>0</v>
      </c>
      <c r="AI305" s="10">
        <f>MAX($Z305-积分赛!$C$7,0)*(IFERROR(INDEX($W$7:$W$14,MATCH(AI$10,$T$7:$T$14,0)),0)*$T$20+IFERROR(INDEX($X$7:$X$14,MATCH(AI$10,$T$7:$T$14,0)),0)*$T$21)/30</f>
        <v>26985.833333333332</v>
      </c>
      <c r="AJ305" s="10">
        <f>MAX($Z305-积分赛!$C$7,0)*(IFERROR(INDEX($W$7:$W$14,MATCH(AJ$10,$T$7:$T$14,0)),0)*$T$20+IFERROR(INDEX($X$7:$X$14,MATCH(AJ$10,$T$7:$T$14,0)),0)*$T$21)/30</f>
        <v>161915</v>
      </c>
      <c r="BI305" s="10">
        <v>295</v>
      </c>
      <c r="BJ305" s="10">
        <f>MAX($BI305-积分赛!$C$7,0)*$BC$10/30</f>
        <v>883333.33333333337</v>
      </c>
      <c r="BK305" s="10">
        <f>MAX($BI305-积分赛!$C$7,0)*$BC$10/30</f>
        <v>883333.33333333337</v>
      </c>
      <c r="BL305" s="10">
        <f>MAX($BI305-积分赛!$C$7,0)*$BC$10/30</f>
        <v>883333.33333333337</v>
      </c>
      <c r="BM305" s="10">
        <f>MAX($BI305-积分赛!$C$7,0)*$BC$10/30</f>
        <v>883333.33333333337</v>
      </c>
      <c r="BN305" s="10">
        <f>MAX($BI305-积分赛!$C$7,0)*$BC$10/30</f>
        <v>883333.33333333337</v>
      </c>
    </row>
    <row r="306" spans="26:66" x14ac:dyDescent="0.15">
      <c r="Z306" s="10">
        <v>296</v>
      </c>
      <c r="AA306" s="10">
        <f>IFERROR(MAX($Z306-积分赛!$C$7,0)*INDEX($U$7:$U$14,MATCH(AA$10,$T$7:$T$14,0))/30,0)</f>
        <v>0</v>
      </c>
      <c r="AB306" s="10">
        <f>IFERROR(MAX($Z306-积分赛!$C$7,0)*INDEX($U$7:$U$14,MATCH(AB$10,$T$7:$T$14,0))/30,0)</f>
        <v>0</v>
      </c>
      <c r="AC306" s="10">
        <f>IFERROR(MAX($Z306-积分赛!$C$7,0)*INDEX($U$7:$U$14,MATCH(AC$10,$T$7:$T$14,0))/30,0)</f>
        <v>0</v>
      </c>
      <c r="AD306" s="10">
        <f>IFERROR(MAX($Z306-积分赛!$C$7,0)*INDEX($U$7:$U$14,MATCH(AD$10,$T$7:$T$14,0))/30,0)</f>
        <v>709333.33333333337</v>
      </c>
      <c r="AE306" s="10">
        <f>IFERROR(MAX($Z306-积分赛!$C$7,0)*INDEX($U$7:$U$14,MATCH(AE$10,$T$7:$T$14,0))/30,0)</f>
        <v>8866666.666666666</v>
      </c>
      <c r="AF306" s="10">
        <f>MAX($Z306-积分赛!$C$7,0)*(IFERROR(INDEX($W$7:$W$14,MATCH(AF$10,$T$7:$T$14,0)),0)*$T$20+IFERROR(INDEX($X$7:$X$14,MATCH(AF$10,$T$7:$T$14,0)),0)*$T$21)/30</f>
        <v>0</v>
      </c>
      <c r="AG306" s="10">
        <f>MAX($Z306-积分赛!$C$7,0)*(IFERROR(INDEX($W$7:$W$14,MATCH(AG$10,$T$7:$T$14,0)),0)*$T$20+IFERROR(INDEX($X$7:$X$14,MATCH(AG$10,$T$7:$T$14,0)),0)*$T$21)/30</f>
        <v>0</v>
      </c>
      <c r="AH306" s="10">
        <f>MAX($Z306-积分赛!$C$7,0)*(IFERROR(INDEX($W$7:$W$14,MATCH(AH$10,$T$7:$T$14,0)),0)*$T$20+IFERROR(INDEX($X$7:$X$14,MATCH(AH$10,$T$7:$T$14,0)),0)*$T$21)/30</f>
        <v>0</v>
      </c>
      <c r="AI306" s="10">
        <f>MAX($Z306-积分赛!$C$7,0)*(IFERROR(INDEX($W$7:$W$14,MATCH(AI$10,$T$7:$T$14,0)),0)*$T$20+IFERROR(INDEX($X$7:$X$14,MATCH(AI$10,$T$7:$T$14,0)),0)*$T$21)/30</f>
        <v>27087.666666666668</v>
      </c>
      <c r="AJ306" s="10">
        <f>MAX($Z306-积分赛!$C$7,0)*(IFERROR(INDEX($W$7:$W$14,MATCH(AJ$10,$T$7:$T$14,0)),0)*$T$20+IFERROR(INDEX($X$7:$X$14,MATCH(AJ$10,$T$7:$T$14,0)),0)*$T$21)/30</f>
        <v>162526</v>
      </c>
      <c r="BI306" s="10">
        <v>296</v>
      </c>
      <c r="BJ306" s="10">
        <f>MAX($BI306-积分赛!$C$7,0)*$BC$10/30</f>
        <v>886666.66666666663</v>
      </c>
      <c r="BK306" s="10">
        <f>MAX($BI306-积分赛!$C$7,0)*$BC$10/30</f>
        <v>886666.66666666663</v>
      </c>
      <c r="BL306" s="10">
        <f>MAX($BI306-积分赛!$C$7,0)*$BC$10/30</f>
        <v>886666.66666666663</v>
      </c>
      <c r="BM306" s="10">
        <f>MAX($BI306-积分赛!$C$7,0)*$BC$10/30</f>
        <v>886666.66666666663</v>
      </c>
      <c r="BN306" s="10">
        <f>MAX($BI306-积分赛!$C$7,0)*$BC$10/30</f>
        <v>886666.66666666663</v>
      </c>
    </row>
    <row r="307" spans="26:66" x14ac:dyDescent="0.15">
      <c r="Z307" s="10">
        <v>297</v>
      </c>
      <c r="AA307" s="10">
        <f>IFERROR(MAX($Z307-积分赛!$C$7,0)*INDEX($U$7:$U$14,MATCH(AA$10,$T$7:$T$14,0))/30,0)</f>
        <v>0</v>
      </c>
      <c r="AB307" s="10">
        <f>IFERROR(MAX($Z307-积分赛!$C$7,0)*INDEX($U$7:$U$14,MATCH(AB$10,$T$7:$T$14,0))/30,0)</f>
        <v>0</v>
      </c>
      <c r="AC307" s="10">
        <f>IFERROR(MAX($Z307-积分赛!$C$7,0)*INDEX($U$7:$U$14,MATCH(AC$10,$T$7:$T$14,0))/30,0)</f>
        <v>0</v>
      </c>
      <c r="AD307" s="10">
        <f>IFERROR(MAX($Z307-积分赛!$C$7,0)*INDEX($U$7:$U$14,MATCH(AD$10,$T$7:$T$14,0))/30,0)</f>
        <v>712000</v>
      </c>
      <c r="AE307" s="10">
        <f>IFERROR(MAX($Z307-积分赛!$C$7,0)*INDEX($U$7:$U$14,MATCH(AE$10,$T$7:$T$14,0))/30,0)</f>
        <v>8900000</v>
      </c>
      <c r="AF307" s="10">
        <f>MAX($Z307-积分赛!$C$7,0)*(IFERROR(INDEX($W$7:$W$14,MATCH(AF$10,$T$7:$T$14,0)),0)*$T$20+IFERROR(INDEX($X$7:$X$14,MATCH(AF$10,$T$7:$T$14,0)),0)*$T$21)/30</f>
        <v>0</v>
      </c>
      <c r="AG307" s="10">
        <f>MAX($Z307-积分赛!$C$7,0)*(IFERROR(INDEX($W$7:$W$14,MATCH(AG$10,$T$7:$T$14,0)),0)*$T$20+IFERROR(INDEX($X$7:$X$14,MATCH(AG$10,$T$7:$T$14,0)),0)*$T$21)/30</f>
        <v>0</v>
      </c>
      <c r="AH307" s="10">
        <f>MAX($Z307-积分赛!$C$7,0)*(IFERROR(INDEX($W$7:$W$14,MATCH(AH$10,$T$7:$T$14,0)),0)*$T$20+IFERROR(INDEX($X$7:$X$14,MATCH(AH$10,$T$7:$T$14,0)),0)*$T$21)/30</f>
        <v>0</v>
      </c>
      <c r="AI307" s="10">
        <f>MAX($Z307-积分赛!$C$7,0)*(IFERROR(INDEX($W$7:$W$14,MATCH(AI$10,$T$7:$T$14,0)),0)*$T$20+IFERROR(INDEX($X$7:$X$14,MATCH(AI$10,$T$7:$T$14,0)),0)*$T$21)/30</f>
        <v>27189.5</v>
      </c>
      <c r="AJ307" s="10">
        <f>MAX($Z307-积分赛!$C$7,0)*(IFERROR(INDEX($W$7:$W$14,MATCH(AJ$10,$T$7:$T$14,0)),0)*$T$20+IFERROR(INDEX($X$7:$X$14,MATCH(AJ$10,$T$7:$T$14,0)),0)*$T$21)/30</f>
        <v>163137</v>
      </c>
      <c r="BI307" s="10">
        <v>297</v>
      </c>
      <c r="BJ307" s="10">
        <f>MAX($BI307-积分赛!$C$7,0)*$BC$10/30</f>
        <v>890000</v>
      </c>
      <c r="BK307" s="10">
        <f>MAX($BI307-积分赛!$C$7,0)*$BC$10/30</f>
        <v>890000</v>
      </c>
      <c r="BL307" s="10">
        <f>MAX($BI307-积分赛!$C$7,0)*$BC$10/30</f>
        <v>890000</v>
      </c>
      <c r="BM307" s="10">
        <f>MAX($BI307-积分赛!$C$7,0)*$BC$10/30</f>
        <v>890000</v>
      </c>
      <c r="BN307" s="10">
        <f>MAX($BI307-积分赛!$C$7,0)*$BC$10/30</f>
        <v>890000</v>
      </c>
    </row>
    <row r="308" spans="26:66" x14ac:dyDescent="0.15">
      <c r="Z308" s="10">
        <v>298</v>
      </c>
      <c r="AA308" s="10">
        <f>IFERROR(MAX($Z308-积分赛!$C$7,0)*INDEX($U$7:$U$14,MATCH(AA$10,$T$7:$T$14,0))/30,0)</f>
        <v>0</v>
      </c>
      <c r="AB308" s="10">
        <f>IFERROR(MAX($Z308-积分赛!$C$7,0)*INDEX($U$7:$U$14,MATCH(AB$10,$T$7:$T$14,0))/30,0)</f>
        <v>0</v>
      </c>
      <c r="AC308" s="10">
        <f>IFERROR(MAX($Z308-积分赛!$C$7,0)*INDEX($U$7:$U$14,MATCH(AC$10,$T$7:$T$14,0))/30,0)</f>
        <v>0</v>
      </c>
      <c r="AD308" s="10">
        <f>IFERROR(MAX($Z308-积分赛!$C$7,0)*INDEX($U$7:$U$14,MATCH(AD$10,$T$7:$T$14,0))/30,0)</f>
        <v>714666.66666666663</v>
      </c>
      <c r="AE308" s="10">
        <f>IFERROR(MAX($Z308-积分赛!$C$7,0)*INDEX($U$7:$U$14,MATCH(AE$10,$T$7:$T$14,0))/30,0)</f>
        <v>8933333.333333334</v>
      </c>
      <c r="AF308" s="10">
        <f>MAX($Z308-积分赛!$C$7,0)*(IFERROR(INDEX($W$7:$W$14,MATCH(AF$10,$T$7:$T$14,0)),0)*$T$20+IFERROR(INDEX($X$7:$X$14,MATCH(AF$10,$T$7:$T$14,0)),0)*$T$21)/30</f>
        <v>0</v>
      </c>
      <c r="AG308" s="10">
        <f>MAX($Z308-积分赛!$C$7,0)*(IFERROR(INDEX($W$7:$W$14,MATCH(AG$10,$T$7:$T$14,0)),0)*$T$20+IFERROR(INDEX($X$7:$X$14,MATCH(AG$10,$T$7:$T$14,0)),0)*$T$21)/30</f>
        <v>0</v>
      </c>
      <c r="AH308" s="10">
        <f>MAX($Z308-积分赛!$C$7,0)*(IFERROR(INDEX($W$7:$W$14,MATCH(AH$10,$T$7:$T$14,0)),0)*$T$20+IFERROR(INDEX($X$7:$X$14,MATCH(AH$10,$T$7:$T$14,0)),0)*$T$21)/30</f>
        <v>0</v>
      </c>
      <c r="AI308" s="10">
        <f>MAX($Z308-积分赛!$C$7,0)*(IFERROR(INDEX($W$7:$W$14,MATCH(AI$10,$T$7:$T$14,0)),0)*$T$20+IFERROR(INDEX($X$7:$X$14,MATCH(AI$10,$T$7:$T$14,0)),0)*$T$21)/30</f>
        <v>27291.333333333332</v>
      </c>
      <c r="AJ308" s="10">
        <f>MAX($Z308-积分赛!$C$7,0)*(IFERROR(INDEX($W$7:$W$14,MATCH(AJ$10,$T$7:$T$14,0)),0)*$T$20+IFERROR(INDEX($X$7:$X$14,MATCH(AJ$10,$T$7:$T$14,0)),0)*$T$21)/30</f>
        <v>163748</v>
      </c>
      <c r="BI308" s="10">
        <v>298</v>
      </c>
      <c r="BJ308" s="10">
        <f>MAX($BI308-积分赛!$C$7,0)*$BC$10/30</f>
        <v>893333.33333333337</v>
      </c>
      <c r="BK308" s="10">
        <f>MAX($BI308-积分赛!$C$7,0)*$BC$10/30</f>
        <v>893333.33333333337</v>
      </c>
      <c r="BL308" s="10">
        <f>MAX($BI308-积分赛!$C$7,0)*$BC$10/30</f>
        <v>893333.33333333337</v>
      </c>
      <c r="BM308" s="10">
        <f>MAX($BI308-积分赛!$C$7,0)*$BC$10/30</f>
        <v>893333.33333333337</v>
      </c>
      <c r="BN308" s="10">
        <f>MAX($BI308-积分赛!$C$7,0)*$BC$10/30</f>
        <v>893333.33333333337</v>
      </c>
    </row>
    <row r="309" spans="26:66" x14ac:dyDescent="0.15">
      <c r="Z309" s="10">
        <v>299</v>
      </c>
      <c r="AA309" s="10">
        <f>IFERROR(MAX($Z309-积分赛!$C$7,0)*INDEX($U$7:$U$14,MATCH(AA$10,$T$7:$T$14,0))/30,0)</f>
        <v>0</v>
      </c>
      <c r="AB309" s="10">
        <f>IFERROR(MAX($Z309-积分赛!$C$7,0)*INDEX($U$7:$U$14,MATCH(AB$10,$T$7:$T$14,0))/30,0)</f>
        <v>0</v>
      </c>
      <c r="AC309" s="10">
        <f>IFERROR(MAX($Z309-积分赛!$C$7,0)*INDEX($U$7:$U$14,MATCH(AC$10,$T$7:$T$14,0))/30,0)</f>
        <v>0</v>
      </c>
      <c r="AD309" s="10">
        <f>IFERROR(MAX($Z309-积分赛!$C$7,0)*INDEX($U$7:$U$14,MATCH(AD$10,$T$7:$T$14,0))/30,0)</f>
        <v>717333.33333333337</v>
      </c>
      <c r="AE309" s="10">
        <f>IFERROR(MAX($Z309-积分赛!$C$7,0)*INDEX($U$7:$U$14,MATCH(AE$10,$T$7:$T$14,0))/30,0)</f>
        <v>8966666.666666666</v>
      </c>
      <c r="AF309" s="10">
        <f>MAX($Z309-积分赛!$C$7,0)*(IFERROR(INDEX($W$7:$W$14,MATCH(AF$10,$T$7:$T$14,0)),0)*$T$20+IFERROR(INDEX($X$7:$X$14,MATCH(AF$10,$T$7:$T$14,0)),0)*$T$21)/30</f>
        <v>0</v>
      </c>
      <c r="AG309" s="10">
        <f>MAX($Z309-积分赛!$C$7,0)*(IFERROR(INDEX($W$7:$W$14,MATCH(AG$10,$T$7:$T$14,0)),0)*$T$20+IFERROR(INDEX($X$7:$X$14,MATCH(AG$10,$T$7:$T$14,0)),0)*$T$21)/30</f>
        <v>0</v>
      </c>
      <c r="AH309" s="10">
        <f>MAX($Z309-积分赛!$C$7,0)*(IFERROR(INDEX($W$7:$W$14,MATCH(AH$10,$T$7:$T$14,0)),0)*$T$20+IFERROR(INDEX($X$7:$X$14,MATCH(AH$10,$T$7:$T$14,0)),0)*$T$21)/30</f>
        <v>0</v>
      </c>
      <c r="AI309" s="10">
        <f>MAX($Z309-积分赛!$C$7,0)*(IFERROR(INDEX($W$7:$W$14,MATCH(AI$10,$T$7:$T$14,0)),0)*$T$20+IFERROR(INDEX($X$7:$X$14,MATCH(AI$10,$T$7:$T$14,0)),0)*$T$21)/30</f>
        <v>27393.166666666668</v>
      </c>
      <c r="AJ309" s="10">
        <f>MAX($Z309-积分赛!$C$7,0)*(IFERROR(INDEX($W$7:$W$14,MATCH(AJ$10,$T$7:$T$14,0)),0)*$T$20+IFERROR(INDEX($X$7:$X$14,MATCH(AJ$10,$T$7:$T$14,0)),0)*$T$21)/30</f>
        <v>164359</v>
      </c>
      <c r="BI309" s="10">
        <v>299</v>
      </c>
      <c r="BJ309" s="10">
        <f>MAX($BI309-积分赛!$C$7,0)*$BC$10/30</f>
        <v>896666.66666666663</v>
      </c>
      <c r="BK309" s="10">
        <f>MAX($BI309-积分赛!$C$7,0)*$BC$10/30</f>
        <v>896666.66666666663</v>
      </c>
      <c r="BL309" s="10">
        <f>MAX($BI309-积分赛!$C$7,0)*$BC$10/30</f>
        <v>896666.66666666663</v>
      </c>
      <c r="BM309" s="10">
        <f>MAX($BI309-积分赛!$C$7,0)*$BC$10/30</f>
        <v>896666.66666666663</v>
      </c>
      <c r="BN309" s="10">
        <f>MAX($BI309-积分赛!$C$7,0)*$BC$10/30</f>
        <v>896666.66666666663</v>
      </c>
    </row>
    <row r="310" spans="26:66" x14ac:dyDescent="0.15">
      <c r="Z310" s="10">
        <v>300</v>
      </c>
      <c r="AA310" s="10">
        <f>IFERROR(MAX($Z310-积分赛!$C$7,0)*INDEX($U$7:$U$14,MATCH(AA$10,$T$7:$T$14,0))/30,0)</f>
        <v>0</v>
      </c>
      <c r="AB310" s="10">
        <f>IFERROR(MAX($Z310-积分赛!$C$7,0)*INDEX($U$7:$U$14,MATCH(AB$10,$T$7:$T$14,0))/30,0)</f>
        <v>0</v>
      </c>
      <c r="AC310" s="10">
        <f>IFERROR(MAX($Z310-积分赛!$C$7,0)*INDEX($U$7:$U$14,MATCH(AC$10,$T$7:$T$14,0))/30,0)</f>
        <v>0</v>
      </c>
      <c r="AD310" s="10">
        <f>IFERROR(MAX($Z310-积分赛!$C$7,0)*INDEX($U$7:$U$14,MATCH(AD$10,$T$7:$T$14,0))/30,0)</f>
        <v>720000</v>
      </c>
      <c r="AE310" s="10">
        <f>IFERROR(MAX($Z310-积分赛!$C$7,0)*INDEX($U$7:$U$14,MATCH(AE$10,$T$7:$T$14,0))/30,0)</f>
        <v>9000000</v>
      </c>
      <c r="AF310" s="10">
        <f>MAX($Z310-积分赛!$C$7,0)*(IFERROR(INDEX($W$7:$W$14,MATCH(AF$10,$T$7:$T$14,0)),0)*$T$20+IFERROR(INDEX($X$7:$X$14,MATCH(AF$10,$T$7:$T$14,0)),0)*$T$21)/30</f>
        <v>0</v>
      </c>
      <c r="AG310" s="10">
        <f>MAX($Z310-积分赛!$C$7,0)*(IFERROR(INDEX($W$7:$W$14,MATCH(AG$10,$T$7:$T$14,0)),0)*$T$20+IFERROR(INDEX($X$7:$X$14,MATCH(AG$10,$T$7:$T$14,0)),0)*$T$21)/30</f>
        <v>0</v>
      </c>
      <c r="AH310" s="10">
        <f>MAX($Z310-积分赛!$C$7,0)*(IFERROR(INDEX($W$7:$W$14,MATCH(AH$10,$T$7:$T$14,0)),0)*$T$20+IFERROR(INDEX($X$7:$X$14,MATCH(AH$10,$T$7:$T$14,0)),0)*$T$21)/30</f>
        <v>0</v>
      </c>
      <c r="AI310" s="10">
        <f>MAX($Z310-积分赛!$C$7,0)*(IFERROR(INDEX($W$7:$W$14,MATCH(AI$10,$T$7:$T$14,0)),0)*$T$20+IFERROR(INDEX($X$7:$X$14,MATCH(AI$10,$T$7:$T$14,0)),0)*$T$21)/30</f>
        <v>27495</v>
      </c>
      <c r="AJ310" s="10">
        <f>MAX($Z310-积分赛!$C$7,0)*(IFERROR(INDEX($W$7:$W$14,MATCH(AJ$10,$T$7:$T$14,0)),0)*$T$20+IFERROR(INDEX($X$7:$X$14,MATCH(AJ$10,$T$7:$T$14,0)),0)*$T$21)/30</f>
        <v>164970</v>
      </c>
      <c r="BI310" s="10">
        <v>300</v>
      </c>
      <c r="BJ310" s="10">
        <f>MAX($BI310-积分赛!$C$7,0)*$BC$10/30</f>
        <v>900000</v>
      </c>
      <c r="BK310" s="10">
        <f>MAX($BI310-积分赛!$C$7,0)*$BC$10/30</f>
        <v>900000</v>
      </c>
      <c r="BL310" s="10">
        <f>MAX($BI310-积分赛!$C$7,0)*$BC$10/30</f>
        <v>900000</v>
      </c>
      <c r="BM310" s="10">
        <f>MAX($BI310-积分赛!$C$7,0)*$BC$10/30</f>
        <v>900000</v>
      </c>
      <c r="BN310" s="10">
        <f>MAX($BI310-积分赛!$C$7,0)*$BC$10/30</f>
        <v>900000</v>
      </c>
    </row>
    <row r="311" spans="26:66" x14ac:dyDescent="0.15">
      <c r="Z311" s="10">
        <v>301</v>
      </c>
      <c r="AA311" s="10">
        <f>IFERROR(MAX($Z311-积分赛!$C$7,0)*INDEX($U$7:$U$14,MATCH(AA$10,$T$7:$T$14,0))/30,0)</f>
        <v>0</v>
      </c>
      <c r="AB311" s="10">
        <f>IFERROR(MAX($Z311-积分赛!$C$7,0)*INDEX($U$7:$U$14,MATCH(AB$10,$T$7:$T$14,0))/30,0)</f>
        <v>0</v>
      </c>
      <c r="AC311" s="10">
        <f>IFERROR(MAX($Z311-积分赛!$C$7,0)*INDEX($U$7:$U$14,MATCH(AC$10,$T$7:$T$14,0))/30,0)</f>
        <v>0</v>
      </c>
      <c r="AD311" s="10">
        <f>IFERROR(MAX($Z311-积分赛!$C$7,0)*INDEX($U$7:$U$14,MATCH(AD$10,$T$7:$T$14,0))/30,0)</f>
        <v>722666.66666666663</v>
      </c>
      <c r="AE311" s="10">
        <f>IFERROR(MAX($Z311-积分赛!$C$7,0)*INDEX($U$7:$U$14,MATCH(AE$10,$T$7:$T$14,0))/30,0)</f>
        <v>9033333.333333334</v>
      </c>
      <c r="AF311" s="10">
        <f>MAX($Z311-积分赛!$C$7,0)*(IFERROR(INDEX($W$7:$W$14,MATCH(AF$10,$T$7:$T$14,0)),0)*$T$20+IFERROR(INDEX($X$7:$X$14,MATCH(AF$10,$T$7:$T$14,0)),0)*$T$21)/30</f>
        <v>0</v>
      </c>
      <c r="AG311" s="10">
        <f>MAX($Z311-积分赛!$C$7,0)*(IFERROR(INDEX($W$7:$W$14,MATCH(AG$10,$T$7:$T$14,0)),0)*$T$20+IFERROR(INDEX($X$7:$X$14,MATCH(AG$10,$T$7:$T$14,0)),0)*$T$21)/30</f>
        <v>0</v>
      </c>
      <c r="AH311" s="10">
        <f>MAX($Z311-积分赛!$C$7,0)*(IFERROR(INDEX($W$7:$W$14,MATCH(AH$10,$T$7:$T$14,0)),0)*$T$20+IFERROR(INDEX($X$7:$X$14,MATCH(AH$10,$T$7:$T$14,0)),0)*$T$21)/30</f>
        <v>0</v>
      </c>
      <c r="AI311" s="10">
        <f>MAX($Z311-积分赛!$C$7,0)*(IFERROR(INDEX($W$7:$W$14,MATCH(AI$10,$T$7:$T$14,0)),0)*$T$20+IFERROR(INDEX($X$7:$X$14,MATCH(AI$10,$T$7:$T$14,0)),0)*$T$21)/30</f>
        <v>27596.833333333332</v>
      </c>
      <c r="AJ311" s="10">
        <f>MAX($Z311-积分赛!$C$7,0)*(IFERROR(INDEX($W$7:$W$14,MATCH(AJ$10,$T$7:$T$14,0)),0)*$T$20+IFERROR(INDEX($X$7:$X$14,MATCH(AJ$10,$T$7:$T$14,0)),0)*$T$21)/30</f>
        <v>165581</v>
      </c>
      <c r="BI311" s="10">
        <v>301</v>
      </c>
      <c r="BJ311" s="10">
        <f>MAX($BI311-积分赛!$C$7,0)*$BC$10/30</f>
        <v>903333.33333333337</v>
      </c>
      <c r="BK311" s="10">
        <f>MAX($BI311-积分赛!$C$7,0)*$BC$10/30</f>
        <v>903333.33333333337</v>
      </c>
      <c r="BL311" s="10">
        <f>MAX($BI311-积分赛!$C$7,0)*$BC$10/30</f>
        <v>903333.33333333337</v>
      </c>
      <c r="BM311" s="10">
        <f>MAX($BI311-积分赛!$C$7,0)*$BC$10/30</f>
        <v>903333.33333333337</v>
      </c>
      <c r="BN311" s="10">
        <f>MAX($BI311-积分赛!$C$7,0)*$BC$10/30</f>
        <v>903333.33333333337</v>
      </c>
    </row>
    <row r="312" spans="26:66" x14ac:dyDescent="0.15">
      <c r="Z312" s="10">
        <v>302</v>
      </c>
      <c r="AA312" s="10">
        <f>IFERROR(MAX($Z312-积分赛!$C$7,0)*INDEX($U$7:$U$14,MATCH(AA$10,$T$7:$T$14,0))/30,0)</f>
        <v>0</v>
      </c>
      <c r="AB312" s="10">
        <f>IFERROR(MAX($Z312-积分赛!$C$7,0)*INDEX($U$7:$U$14,MATCH(AB$10,$T$7:$T$14,0))/30,0)</f>
        <v>0</v>
      </c>
      <c r="AC312" s="10">
        <f>IFERROR(MAX($Z312-积分赛!$C$7,0)*INDEX($U$7:$U$14,MATCH(AC$10,$T$7:$T$14,0))/30,0)</f>
        <v>0</v>
      </c>
      <c r="AD312" s="10">
        <f>IFERROR(MAX($Z312-积分赛!$C$7,0)*INDEX($U$7:$U$14,MATCH(AD$10,$T$7:$T$14,0))/30,0)</f>
        <v>725333.33333333337</v>
      </c>
      <c r="AE312" s="10">
        <f>IFERROR(MAX($Z312-积分赛!$C$7,0)*INDEX($U$7:$U$14,MATCH(AE$10,$T$7:$T$14,0))/30,0)</f>
        <v>9066666.666666666</v>
      </c>
      <c r="AF312" s="10">
        <f>MAX($Z312-积分赛!$C$7,0)*(IFERROR(INDEX($W$7:$W$14,MATCH(AF$10,$T$7:$T$14,0)),0)*$T$20+IFERROR(INDEX($X$7:$X$14,MATCH(AF$10,$T$7:$T$14,0)),0)*$T$21)/30</f>
        <v>0</v>
      </c>
      <c r="AG312" s="10">
        <f>MAX($Z312-积分赛!$C$7,0)*(IFERROR(INDEX($W$7:$W$14,MATCH(AG$10,$T$7:$T$14,0)),0)*$T$20+IFERROR(INDEX($X$7:$X$14,MATCH(AG$10,$T$7:$T$14,0)),0)*$T$21)/30</f>
        <v>0</v>
      </c>
      <c r="AH312" s="10">
        <f>MAX($Z312-积分赛!$C$7,0)*(IFERROR(INDEX($W$7:$W$14,MATCH(AH$10,$T$7:$T$14,0)),0)*$T$20+IFERROR(INDEX($X$7:$X$14,MATCH(AH$10,$T$7:$T$14,0)),0)*$T$21)/30</f>
        <v>0</v>
      </c>
      <c r="AI312" s="10">
        <f>MAX($Z312-积分赛!$C$7,0)*(IFERROR(INDEX($W$7:$W$14,MATCH(AI$10,$T$7:$T$14,0)),0)*$T$20+IFERROR(INDEX($X$7:$X$14,MATCH(AI$10,$T$7:$T$14,0)),0)*$T$21)/30</f>
        <v>27698.666666666668</v>
      </c>
      <c r="AJ312" s="10">
        <f>MAX($Z312-积分赛!$C$7,0)*(IFERROR(INDEX($W$7:$W$14,MATCH(AJ$10,$T$7:$T$14,0)),0)*$T$20+IFERROR(INDEX($X$7:$X$14,MATCH(AJ$10,$T$7:$T$14,0)),0)*$T$21)/30</f>
        <v>166192</v>
      </c>
      <c r="BI312" s="10">
        <v>302</v>
      </c>
      <c r="BJ312" s="10">
        <f>MAX($BI312-积分赛!$C$7,0)*$BC$10/30</f>
        <v>906666.66666666663</v>
      </c>
      <c r="BK312" s="10">
        <f>MAX($BI312-积分赛!$C$7,0)*$BC$10/30</f>
        <v>906666.66666666663</v>
      </c>
      <c r="BL312" s="10">
        <f>MAX($BI312-积分赛!$C$7,0)*$BC$10/30</f>
        <v>906666.66666666663</v>
      </c>
      <c r="BM312" s="10">
        <f>MAX($BI312-积分赛!$C$7,0)*$BC$10/30</f>
        <v>906666.66666666663</v>
      </c>
      <c r="BN312" s="10">
        <f>MAX($BI312-积分赛!$C$7,0)*$BC$10/30</f>
        <v>906666.66666666663</v>
      </c>
    </row>
    <row r="313" spans="26:66" x14ac:dyDescent="0.15">
      <c r="Z313" s="10">
        <v>303</v>
      </c>
      <c r="AA313" s="10">
        <f>IFERROR(MAX($Z313-积分赛!$C$7,0)*INDEX($U$7:$U$14,MATCH(AA$10,$T$7:$T$14,0))/30,0)</f>
        <v>0</v>
      </c>
      <c r="AB313" s="10">
        <f>IFERROR(MAX($Z313-积分赛!$C$7,0)*INDEX($U$7:$U$14,MATCH(AB$10,$T$7:$T$14,0))/30,0)</f>
        <v>0</v>
      </c>
      <c r="AC313" s="10">
        <f>IFERROR(MAX($Z313-积分赛!$C$7,0)*INDEX($U$7:$U$14,MATCH(AC$10,$T$7:$T$14,0))/30,0)</f>
        <v>0</v>
      </c>
      <c r="AD313" s="10">
        <f>IFERROR(MAX($Z313-积分赛!$C$7,0)*INDEX($U$7:$U$14,MATCH(AD$10,$T$7:$T$14,0))/30,0)</f>
        <v>728000</v>
      </c>
      <c r="AE313" s="10">
        <f>IFERROR(MAX($Z313-积分赛!$C$7,0)*INDEX($U$7:$U$14,MATCH(AE$10,$T$7:$T$14,0))/30,0)</f>
        <v>9100000</v>
      </c>
      <c r="AF313" s="10">
        <f>MAX($Z313-积分赛!$C$7,0)*(IFERROR(INDEX($W$7:$W$14,MATCH(AF$10,$T$7:$T$14,0)),0)*$T$20+IFERROR(INDEX($X$7:$X$14,MATCH(AF$10,$T$7:$T$14,0)),0)*$T$21)/30</f>
        <v>0</v>
      </c>
      <c r="AG313" s="10">
        <f>MAX($Z313-积分赛!$C$7,0)*(IFERROR(INDEX($W$7:$W$14,MATCH(AG$10,$T$7:$T$14,0)),0)*$T$20+IFERROR(INDEX($X$7:$X$14,MATCH(AG$10,$T$7:$T$14,0)),0)*$T$21)/30</f>
        <v>0</v>
      </c>
      <c r="AH313" s="10">
        <f>MAX($Z313-积分赛!$C$7,0)*(IFERROR(INDEX($W$7:$W$14,MATCH(AH$10,$T$7:$T$14,0)),0)*$T$20+IFERROR(INDEX($X$7:$X$14,MATCH(AH$10,$T$7:$T$14,0)),0)*$T$21)/30</f>
        <v>0</v>
      </c>
      <c r="AI313" s="10">
        <f>MAX($Z313-积分赛!$C$7,0)*(IFERROR(INDEX($W$7:$W$14,MATCH(AI$10,$T$7:$T$14,0)),0)*$T$20+IFERROR(INDEX($X$7:$X$14,MATCH(AI$10,$T$7:$T$14,0)),0)*$T$21)/30</f>
        <v>27800.5</v>
      </c>
      <c r="AJ313" s="10">
        <f>MAX($Z313-积分赛!$C$7,0)*(IFERROR(INDEX($W$7:$W$14,MATCH(AJ$10,$T$7:$T$14,0)),0)*$T$20+IFERROR(INDEX($X$7:$X$14,MATCH(AJ$10,$T$7:$T$14,0)),0)*$T$21)/30</f>
        <v>166803</v>
      </c>
      <c r="BI313" s="10">
        <v>303</v>
      </c>
      <c r="BJ313" s="10">
        <f>MAX($BI313-积分赛!$C$7,0)*$BC$10/30</f>
        <v>910000</v>
      </c>
      <c r="BK313" s="10">
        <f>MAX($BI313-积分赛!$C$7,0)*$BC$10/30</f>
        <v>910000</v>
      </c>
      <c r="BL313" s="10">
        <f>MAX($BI313-积分赛!$C$7,0)*$BC$10/30</f>
        <v>910000</v>
      </c>
      <c r="BM313" s="10">
        <f>MAX($BI313-积分赛!$C$7,0)*$BC$10/30</f>
        <v>910000</v>
      </c>
      <c r="BN313" s="10">
        <f>MAX($BI313-积分赛!$C$7,0)*$BC$10/30</f>
        <v>910000</v>
      </c>
    </row>
    <row r="314" spans="26:66" x14ac:dyDescent="0.15">
      <c r="Z314" s="10">
        <v>304</v>
      </c>
      <c r="AA314" s="10">
        <f>IFERROR(MAX($Z314-积分赛!$C$7,0)*INDEX($U$7:$U$14,MATCH(AA$10,$T$7:$T$14,0))/30,0)</f>
        <v>0</v>
      </c>
      <c r="AB314" s="10">
        <f>IFERROR(MAX($Z314-积分赛!$C$7,0)*INDEX($U$7:$U$14,MATCH(AB$10,$T$7:$T$14,0))/30,0)</f>
        <v>0</v>
      </c>
      <c r="AC314" s="10">
        <f>IFERROR(MAX($Z314-积分赛!$C$7,0)*INDEX($U$7:$U$14,MATCH(AC$10,$T$7:$T$14,0))/30,0)</f>
        <v>0</v>
      </c>
      <c r="AD314" s="10">
        <f>IFERROR(MAX($Z314-积分赛!$C$7,0)*INDEX($U$7:$U$14,MATCH(AD$10,$T$7:$T$14,0))/30,0)</f>
        <v>730666.66666666663</v>
      </c>
      <c r="AE314" s="10">
        <f>IFERROR(MAX($Z314-积分赛!$C$7,0)*INDEX($U$7:$U$14,MATCH(AE$10,$T$7:$T$14,0))/30,0)</f>
        <v>9133333.333333334</v>
      </c>
      <c r="AF314" s="10">
        <f>MAX($Z314-积分赛!$C$7,0)*(IFERROR(INDEX($W$7:$W$14,MATCH(AF$10,$T$7:$T$14,0)),0)*$T$20+IFERROR(INDEX($X$7:$X$14,MATCH(AF$10,$T$7:$T$14,0)),0)*$T$21)/30</f>
        <v>0</v>
      </c>
      <c r="AG314" s="10">
        <f>MAX($Z314-积分赛!$C$7,0)*(IFERROR(INDEX($W$7:$W$14,MATCH(AG$10,$T$7:$T$14,0)),0)*$T$20+IFERROR(INDEX($X$7:$X$14,MATCH(AG$10,$T$7:$T$14,0)),0)*$T$21)/30</f>
        <v>0</v>
      </c>
      <c r="AH314" s="10">
        <f>MAX($Z314-积分赛!$C$7,0)*(IFERROR(INDEX($W$7:$W$14,MATCH(AH$10,$T$7:$T$14,0)),0)*$T$20+IFERROR(INDEX($X$7:$X$14,MATCH(AH$10,$T$7:$T$14,0)),0)*$T$21)/30</f>
        <v>0</v>
      </c>
      <c r="AI314" s="10">
        <f>MAX($Z314-积分赛!$C$7,0)*(IFERROR(INDEX($W$7:$W$14,MATCH(AI$10,$T$7:$T$14,0)),0)*$T$20+IFERROR(INDEX($X$7:$X$14,MATCH(AI$10,$T$7:$T$14,0)),0)*$T$21)/30</f>
        <v>27902.333333333332</v>
      </c>
      <c r="AJ314" s="10">
        <f>MAX($Z314-积分赛!$C$7,0)*(IFERROR(INDEX($W$7:$W$14,MATCH(AJ$10,$T$7:$T$14,0)),0)*$T$20+IFERROR(INDEX($X$7:$X$14,MATCH(AJ$10,$T$7:$T$14,0)),0)*$T$21)/30</f>
        <v>167414</v>
      </c>
      <c r="BI314" s="10">
        <v>304</v>
      </c>
      <c r="BJ314" s="10">
        <f>MAX($BI314-积分赛!$C$7,0)*$BC$10/30</f>
        <v>913333.33333333337</v>
      </c>
      <c r="BK314" s="10">
        <f>MAX($BI314-积分赛!$C$7,0)*$BC$10/30</f>
        <v>913333.33333333337</v>
      </c>
      <c r="BL314" s="10">
        <f>MAX($BI314-积分赛!$C$7,0)*$BC$10/30</f>
        <v>913333.33333333337</v>
      </c>
      <c r="BM314" s="10">
        <f>MAX($BI314-积分赛!$C$7,0)*$BC$10/30</f>
        <v>913333.33333333337</v>
      </c>
      <c r="BN314" s="10">
        <f>MAX($BI314-积分赛!$C$7,0)*$BC$10/30</f>
        <v>913333.33333333337</v>
      </c>
    </row>
    <row r="315" spans="26:66" x14ac:dyDescent="0.15">
      <c r="Z315" s="10">
        <v>305</v>
      </c>
      <c r="AA315" s="10">
        <f>IFERROR(MAX($Z315-积分赛!$C$7,0)*INDEX($U$7:$U$14,MATCH(AA$10,$T$7:$T$14,0))/30,0)</f>
        <v>0</v>
      </c>
      <c r="AB315" s="10">
        <f>IFERROR(MAX($Z315-积分赛!$C$7,0)*INDEX($U$7:$U$14,MATCH(AB$10,$T$7:$T$14,0))/30,0)</f>
        <v>0</v>
      </c>
      <c r="AC315" s="10">
        <f>IFERROR(MAX($Z315-积分赛!$C$7,0)*INDEX($U$7:$U$14,MATCH(AC$10,$T$7:$T$14,0))/30,0)</f>
        <v>0</v>
      </c>
      <c r="AD315" s="10">
        <f>IFERROR(MAX($Z315-积分赛!$C$7,0)*INDEX($U$7:$U$14,MATCH(AD$10,$T$7:$T$14,0))/30,0)</f>
        <v>733333.33333333337</v>
      </c>
      <c r="AE315" s="10">
        <f>IFERROR(MAX($Z315-积分赛!$C$7,0)*INDEX($U$7:$U$14,MATCH(AE$10,$T$7:$T$14,0))/30,0)</f>
        <v>9166666.666666666</v>
      </c>
      <c r="AF315" s="10">
        <f>MAX($Z315-积分赛!$C$7,0)*(IFERROR(INDEX($W$7:$W$14,MATCH(AF$10,$T$7:$T$14,0)),0)*$T$20+IFERROR(INDEX($X$7:$X$14,MATCH(AF$10,$T$7:$T$14,0)),0)*$T$21)/30</f>
        <v>0</v>
      </c>
      <c r="AG315" s="10">
        <f>MAX($Z315-积分赛!$C$7,0)*(IFERROR(INDEX($W$7:$W$14,MATCH(AG$10,$T$7:$T$14,0)),0)*$T$20+IFERROR(INDEX($X$7:$X$14,MATCH(AG$10,$T$7:$T$14,0)),0)*$T$21)/30</f>
        <v>0</v>
      </c>
      <c r="AH315" s="10">
        <f>MAX($Z315-积分赛!$C$7,0)*(IFERROR(INDEX($W$7:$W$14,MATCH(AH$10,$T$7:$T$14,0)),0)*$T$20+IFERROR(INDEX($X$7:$X$14,MATCH(AH$10,$T$7:$T$14,0)),0)*$T$21)/30</f>
        <v>0</v>
      </c>
      <c r="AI315" s="10">
        <f>MAX($Z315-积分赛!$C$7,0)*(IFERROR(INDEX($W$7:$W$14,MATCH(AI$10,$T$7:$T$14,0)),0)*$T$20+IFERROR(INDEX($X$7:$X$14,MATCH(AI$10,$T$7:$T$14,0)),0)*$T$21)/30</f>
        <v>28004.166666666668</v>
      </c>
      <c r="AJ315" s="10">
        <f>MAX($Z315-积分赛!$C$7,0)*(IFERROR(INDEX($W$7:$W$14,MATCH(AJ$10,$T$7:$T$14,0)),0)*$T$20+IFERROR(INDEX($X$7:$X$14,MATCH(AJ$10,$T$7:$T$14,0)),0)*$T$21)/30</f>
        <v>168025</v>
      </c>
      <c r="BI315" s="10">
        <v>305</v>
      </c>
      <c r="BJ315" s="10">
        <f>MAX($BI315-积分赛!$C$7,0)*$BC$10/30</f>
        <v>916666.66666666663</v>
      </c>
      <c r="BK315" s="10">
        <f>MAX($BI315-积分赛!$C$7,0)*$BC$10/30</f>
        <v>916666.66666666663</v>
      </c>
      <c r="BL315" s="10">
        <f>MAX($BI315-积分赛!$C$7,0)*$BC$10/30</f>
        <v>916666.66666666663</v>
      </c>
      <c r="BM315" s="10">
        <f>MAX($BI315-积分赛!$C$7,0)*$BC$10/30</f>
        <v>916666.66666666663</v>
      </c>
      <c r="BN315" s="10">
        <f>MAX($BI315-积分赛!$C$7,0)*$BC$10/30</f>
        <v>916666.66666666663</v>
      </c>
    </row>
    <row r="316" spans="26:66" x14ac:dyDescent="0.15">
      <c r="Z316" s="10">
        <v>306</v>
      </c>
      <c r="AA316" s="10">
        <f>IFERROR(MAX($Z316-积分赛!$C$7,0)*INDEX($U$7:$U$14,MATCH(AA$10,$T$7:$T$14,0))/30,0)</f>
        <v>0</v>
      </c>
      <c r="AB316" s="10">
        <f>IFERROR(MAX($Z316-积分赛!$C$7,0)*INDEX($U$7:$U$14,MATCH(AB$10,$T$7:$T$14,0))/30,0)</f>
        <v>0</v>
      </c>
      <c r="AC316" s="10">
        <f>IFERROR(MAX($Z316-积分赛!$C$7,0)*INDEX($U$7:$U$14,MATCH(AC$10,$T$7:$T$14,0))/30,0)</f>
        <v>0</v>
      </c>
      <c r="AD316" s="10">
        <f>IFERROR(MAX($Z316-积分赛!$C$7,0)*INDEX($U$7:$U$14,MATCH(AD$10,$T$7:$T$14,0))/30,0)</f>
        <v>736000</v>
      </c>
      <c r="AE316" s="10">
        <f>IFERROR(MAX($Z316-积分赛!$C$7,0)*INDEX($U$7:$U$14,MATCH(AE$10,$T$7:$T$14,0))/30,0)</f>
        <v>9200000</v>
      </c>
      <c r="AF316" s="10">
        <f>MAX($Z316-积分赛!$C$7,0)*(IFERROR(INDEX($W$7:$W$14,MATCH(AF$10,$T$7:$T$14,0)),0)*$T$20+IFERROR(INDEX($X$7:$X$14,MATCH(AF$10,$T$7:$T$14,0)),0)*$T$21)/30</f>
        <v>0</v>
      </c>
      <c r="AG316" s="10">
        <f>MAX($Z316-积分赛!$C$7,0)*(IFERROR(INDEX($W$7:$W$14,MATCH(AG$10,$T$7:$T$14,0)),0)*$T$20+IFERROR(INDEX($X$7:$X$14,MATCH(AG$10,$T$7:$T$14,0)),0)*$T$21)/30</f>
        <v>0</v>
      </c>
      <c r="AH316" s="10">
        <f>MAX($Z316-积分赛!$C$7,0)*(IFERROR(INDEX($W$7:$W$14,MATCH(AH$10,$T$7:$T$14,0)),0)*$T$20+IFERROR(INDEX($X$7:$X$14,MATCH(AH$10,$T$7:$T$14,0)),0)*$T$21)/30</f>
        <v>0</v>
      </c>
      <c r="AI316" s="10">
        <f>MAX($Z316-积分赛!$C$7,0)*(IFERROR(INDEX($W$7:$W$14,MATCH(AI$10,$T$7:$T$14,0)),0)*$T$20+IFERROR(INDEX($X$7:$X$14,MATCH(AI$10,$T$7:$T$14,0)),0)*$T$21)/30</f>
        <v>28106</v>
      </c>
      <c r="AJ316" s="10">
        <f>MAX($Z316-积分赛!$C$7,0)*(IFERROR(INDEX($W$7:$W$14,MATCH(AJ$10,$T$7:$T$14,0)),0)*$T$20+IFERROR(INDEX($X$7:$X$14,MATCH(AJ$10,$T$7:$T$14,0)),0)*$T$21)/30</f>
        <v>168636</v>
      </c>
      <c r="BI316" s="10">
        <v>306</v>
      </c>
      <c r="BJ316" s="10">
        <f>MAX($BI316-积分赛!$C$7,0)*$BC$10/30</f>
        <v>920000</v>
      </c>
      <c r="BK316" s="10">
        <f>MAX($BI316-积分赛!$C$7,0)*$BC$10/30</f>
        <v>920000</v>
      </c>
      <c r="BL316" s="10">
        <f>MAX($BI316-积分赛!$C$7,0)*$BC$10/30</f>
        <v>920000</v>
      </c>
      <c r="BM316" s="10">
        <f>MAX($BI316-积分赛!$C$7,0)*$BC$10/30</f>
        <v>920000</v>
      </c>
      <c r="BN316" s="10">
        <f>MAX($BI316-积分赛!$C$7,0)*$BC$10/30</f>
        <v>920000</v>
      </c>
    </row>
    <row r="317" spans="26:66" x14ac:dyDescent="0.15">
      <c r="Z317" s="10">
        <v>307</v>
      </c>
      <c r="AA317" s="10">
        <f>IFERROR(MAX($Z317-积分赛!$C$7,0)*INDEX($U$7:$U$14,MATCH(AA$10,$T$7:$T$14,0))/30,0)</f>
        <v>0</v>
      </c>
      <c r="AB317" s="10">
        <f>IFERROR(MAX($Z317-积分赛!$C$7,0)*INDEX($U$7:$U$14,MATCH(AB$10,$T$7:$T$14,0))/30,0)</f>
        <v>0</v>
      </c>
      <c r="AC317" s="10">
        <f>IFERROR(MAX($Z317-积分赛!$C$7,0)*INDEX($U$7:$U$14,MATCH(AC$10,$T$7:$T$14,0))/30,0)</f>
        <v>0</v>
      </c>
      <c r="AD317" s="10">
        <f>IFERROR(MAX($Z317-积分赛!$C$7,0)*INDEX($U$7:$U$14,MATCH(AD$10,$T$7:$T$14,0))/30,0)</f>
        <v>738666.66666666663</v>
      </c>
      <c r="AE317" s="10">
        <f>IFERROR(MAX($Z317-积分赛!$C$7,0)*INDEX($U$7:$U$14,MATCH(AE$10,$T$7:$T$14,0))/30,0)</f>
        <v>9233333.333333334</v>
      </c>
      <c r="AF317" s="10">
        <f>MAX($Z317-积分赛!$C$7,0)*(IFERROR(INDEX($W$7:$W$14,MATCH(AF$10,$T$7:$T$14,0)),0)*$T$20+IFERROR(INDEX($X$7:$X$14,MATCH(AF$10,$T$7:$T$14,0)),0)*$T$21)/30</f>
        <v>0</v>
      </c>
      <c r="AG317" s="10">
        <f>MAX($Z317-积分赛!$C$7,0)*(IFERROR(INDEX($W$7:$W$14,MATCH(AG$10,$T$7:$T$14,0)),0)*$T$20+IFERROR(INDEX($X$7:$X$14,MATCH(AG$10,$T$7:$T$14,0)),0)*$T$21)/30</f>
        <v>0</v>
      </c>
      <c r="AH317" s="10">
        <f>MAX($Z317-积分赛!$C$7,0)*(IFERROR(INDEX($W$7:$W$14,MATCH(AH$10,$T$7:$T$14,0)),0)*$T$20+IFERROR(INDEX($X$7:$X$14,MATCH(AH$10,$T$7:$T$14,0)),0)*$T$21)/30</f>
        <v>0</v>
      </c>
      <c r="AI317" s="10">
        <f>MAX($Z317-积分赛!$C$7,0)*(IFERROR(INDEX($W$7:$W$14,MATCH(AI$10,$T$7:$T$14,0)),0)*$T$20+IFERROR(INDEX($X$7:$X$14,MATCH(AI$10,$T$7:$T$14,0)),0)*$T$21)/30</f>
        <v>28207.833333333332</v>
      </c>
      <c r="AJ317" s="10">
        <f>MAX($Z317-积分赛!$C$7,0)*(IFERROR(INDEX($W$7:$W$14,MATCH(AJ$10,$T$7:$T$14,0)),0)*$T$20+IFERROR(INDEX($X$7:$X$14,MATCH(AJ$10,$T$7:$T$14,0)),0)*$T$21)/30</f>
        <v>169247</v>
      </c>
      <c r="BI317" s="10">
        <v>307</v>
      </c>
      <c r="BJ317" s="10">
        <f>MAX($BI317-积分赛!$C$7,0)*$BC$10/30</f>
        <v>923333.33333333337</v>
      </c>
      <c r="BK317" s="10">
        <f>MAX($BI317-积分赛!$C$7,0)*$BC$10/30</f>
        <v>923333.33333333337</v>
      </c>
      <c r="BL317" s="10">
        <f>MAX($BI317-积分赛!$C$7,0)*$BC$10/30</f>
        <v>923333.33333333337</v>
      </c>
      <c r="BM317" s="10">
        <f>MAX($BI317-积分赛!$C$7,0)*$BC$10/30</f>
        <v>923333.33333333337</v>
      </c>
      <c r="BN317" s="10">
        <f>MAX($BI317-积分赛!$C$7,0)*$BC$10/30</f>
        <v>923333.33333333337</v>
      </c>
    </row>
    <row r="318" spans="26:66" x14ac:dyDescent="0.15">
      <c r="Z318" s="10">
        <v>308</v>
      </c>
      <c r="AA318" s="10">
        <f>IFERROR(MAX($Z318-积分赛!$C$7,0)*INDEX($U$7:$U$14,MATCH(AA$10,$T$7:$T$14,0))/30,0)</f>
        <v>0</v>
      </c>
      <c r="AB318" s="10">
        <f>IFERROR(MAX($Z318-积分赛!$C$7,0)*INDEX($U$7:$U$14,MATCH(AB$10,$T$7:$T$14,0))/30,0)</f>
        <v>0</v>
      </c>
      <c r="AC318" s="10">
        <f>IFERROR(MAX($Z318-积分赛!$C$7,0)*INDEX($U$7:$U$14,MATCH(AC$10,$T$7:$T$14,0))/30,0)</f>
        <v>0</v>
      </c>
      <c r="AD318" s="10">
        <f>IFERROR(MAX($Z318-积分赛!$C$7,0)*INDEX($U$7:$U$14,MATCH(AD$10,$T$7:$T$14,0))/30,0)</f>
        <v>741333.33333333337</v>
      </c>
      <c r="AE318" s="10">
        <f>IFERROR(MAX($Z318-积分赛!$C$7,0)*INDEX($U$7:$U$14,MATCH(AE$10,$T$7:$T$14,0))/30,0)</f>
        <v>9266666.666666666</v>
      </c>
      <c r="AF318" s="10">
        <f>MAX($Z318-积分赛!$C$7,0)*(IFERROR(INDEX($W$7:$W$14,MATCH(AF$10,$T$7:$T$14,0)),0)*$T$20+IFERROR(INDEX($X$7:$X$14,MATCH(AF$10,$T$7:$T$14,0)),0)*$T$21)/30</f>
        <v>0</v>
      </c>
      <c r="AG318" s="10">
        <f>MAX($Z318-积分赛!$C$7,0)*(IFERROR(INDEX($W$7:$W$14,MATCH(AG$10,$T$7:$T$14,0)),0)*$T$20+IFERROR(INDEX($X$7:$X$14,MATCH(AG$10,$T$7:$T$14,0)),0)*$T$21)/30</f>
        <v>0</v>
      </c>
      <c r="AH318" s="10">
        <f>MAX($Z318-积分赛!$C$7,0)*(IFERROR(INDEX($W$7:$W$14,MATCH(AH$10,$T$7:$T$14,0)),0)*$T$20+IFERROR(INDEX($X$7:$X$14,MATCH(AH$10,$T$7:$T$14,0)),0)*$T$21)/30</f>
        <v>0</v>
      </c>
      <c r="AI318" s="10">
        <f>MAX($Z318-积分赛!$C$7,0)*(IFERROR(INDEX($W$7:$W$14,MATCH(AI$10,$T$7:$T$14,0)),0)*$T$20+IFERROR(INDEX($X$7:$X$14,MATCH(AI$10,$T$7:$T$14,0)),0)*$T$21)/30</f>
        <v>28309.666666666668</v>
      </c>
      <c r="AJ318" s="10">
        <f>MAX($Z318-积分赛!$C$7,0)*(IFERROR(INDEX($W$7:$W$14,MATCH(AJ$10,$T$7:$T$14,0)),0)*$T$20+IFERROR(INDEX($X$7:$X$14,MATCH(AJ$10,$T$7:$T$14,0)),0)*$T$21)/30</f>
        <v>169858</v>
      </c>
      <c r="BI318" s="10">
        <v>308</v>
      </c>
      <c r="BJ318" s="10">
        <f>MAX($BI318-积分赛!$C$7,0)*$BC$10/30</f>
        <v>926666.66666666663</v>
      </c>
      <c r="BK318" s="10">
        <f>MAX($BI318-积分赛!$C$7,0)*$BC$10/30</f>
        <v>926666.66666666663</v>
      </c>
      <c r="BL318" s="10">
        <f>MAX($BI318-积分赛!$C$7,0)*$BC$10/30</f>
        <v>926666.66666666663</v>
      </c>
      <c r="BM318" s="10">
        <f>MAX($BI318-积分赛!$C$7,0)*$BC$10/30</f>
        <v>926666.66666666663</v>
      </c>
      <c r="BN318" s="10">
        <f>MAX($BI318-积分赛!$C$7,0)*$BC$10/30</f>
        <v>926666.66666666663</v>
      </c>
    </row>
    <row r="319" spans="26:66" x14ac:dyDescent="0.15">
      <c r="Z319" s="10">
        <v>309</v>
      </c>
      <c r="AA319" s="10">
        <f>IFERROR(MAX($Z319-积分赛!$C$7,0)*INDEX($U$7:$U$14,MATCH(AA$10,$T$7:$T$14,0))/30,0)</f>
        <v>0</v>
      </c>
      <c r="AB319" s="10">
        <f>IFERROR(MAX($Z319-积分赛!$C$7,0)*INDEX($U$7:$U$14,MATCH(AB$10,$T$7:$T$14,0))/30,0)</f>
        <v>0</v>
      </c>
      <c r="AC319" s="10">
        <f>IFERROR(MAX($Z319-积分赛!$C$7,0)*INDEX($U$7:$U$14,MATCH(AC$10,$T$7:$T$14,0))/30,0)</f>
        <v>0</v>
      </c>
      <c r="AD319" s="10">
        <f>IFERROR(MAX($Z319-积分赛!$C$7,0)*INDEX($U$7:$U$14,MATCH(AD$10,$T$7:$T$14,0))/30,0)</f>
        <v>744000</v>
      </c>
      <c r="AE319" s="10">
        <f>IFERROR(MAX($Z319-积分赛!$C$7,0)*INDEX($U$7:$U$14,MATCH(AE$10,$T$7:$T$14,0))/30,0)</f>
        <v>9300000</v>
      </c>
      <c r="AF319" s="10">
        <f>MAX($Z319-积分赛!$C$7,0)*(IFERROR(INDEX($W$7:$W$14,MATCH(AF$10,$T$7:$T$14,0)),0)*$T$20+IFERROR(INDEX($X$7:$X$14,MATCH(AF$10,$T$7:$T$14,0)),0)*$T$21)/30</f>
        <v>0</v>
      </c>
      <c r="AG319" s="10">
        <f>MAX($Z319-积分赛!$C$7,0)*(IFERROR(INDEX($W$7:$W$14,MATCH(AG$10,$T$7:$T$14,0)),0)*$T$20+IFERROR(INDEX($X$7:$X$14,MATCH(AG$10,$T$7:$T$14,0)),0)*$T$21)/30</f>
        <v>0</v>
      </c>
      <c r="AH319" s="10">
        <f>MAX($Z319-积分赛!$C$7,0)*(IFERROR(INDEX($W$7:$W$14,MATCH(AH$10,$T$7:$T$14,0)),0)*$T$20+IFERROR(INDEX($X$7:$X$14,MATCH(AH$10,$T$7:$T$14,0)),0)*$T$21)/30</f>
        <v>0</v>
      </c>
      <c r="AI319" s="10">
        <f>MAX($Z319-积分赛!$C$7,0)*(IFERROR(INDEX($W$7:$W$14,MATCH(AI$10,$T$7:$T$14,0)),0)*$T$20+IFERROR(INDEX($X$7:$X$14,MATCH(AI$10,$T$7:$T$14,0)),0)*$T$21)/30</f>
        <v>28411.5</v>
      </c>
      <c r="AJ319" s="10">
        <f>MAX($Z319-积分赛!$C$7,0)*(IFERROR(INDEX($W$7:$W$14,MATCH(AJ$10,$T$7:$T$14,0)),0)*$T$20+IFERROR(INDEX($X$7:$X$14,MATCH(AJ$10,$T$7:$T$14,0)),0)*$T$21)/30</f>
        <v>170469</v>
      </c>
      <c r="BI319" s="10">
        <v>309</v>
      </c>
      <c r="BJ319" s="10">
        <f>MAX($BI319-积分赛!$C$7,0)*$BC$10/30</f>
        <v>930000</v>
      </c>
      <c r="BK319" s="10">
        <f>MAX($BI319-积分赛!$C$7,0)*$BC$10/30</f>
        <v>930000</v>
      </c>
      <c r="BL319" s="10">
        <f>MAX($BI319-积分赛!$C$7,0)*$BC$10/30</f>
        <v>930000</v>
      </c>
      <c r="BM319" s="10">
        <f>MAX($BI319-积分赛!$C$7,0)*$BC$10/30</f>
        <v>930000</v>
      </c>
      <c r="BN319" s="10">
        <f>MAX($BI319-积分赛!$C$7,0)*$BC$10/30</f>
        <v>930000</v>
      </c>
    </row>
    <row r="320" spans="26:66" x14ac:dyDescent="0.15">
      <c r="Z320" s="10">
        <v>310</v>
      </c>
      <c r="AA320" s="10">
        <f>IFERROR(MAX($Z320-积分赛!$C$7,0)*INDEX($U$7:$U$14,MATCH(AA$10,$T$7:$T$14,0))/30,0)</f>
        <v>0</v>
      </c>
      <c r="AB320" s="10">
        <f>IFERROR(MAX($Z320-积分赛!$C$7,0)*INDEX($U$7:$U$14,MATCH(AB$10,$T$7:$T$14,0))/30,0)</f>
        <v>0</v>
      </c>
      <c r="AC320" s="10">
        <f>IFERROR(MAX($Z320-积分赛!$C$7,0)*INDEX($U$7:$U$14,MATCH(AC$10,$T$7:$T$14,0))/30,0)</f>
        <v>0</v>
      </c>
      <c r="AD320" s="10">
        <f>IFERROR(MAX($Z320-积分赛!$C$7,0)*INDEX($U$7:$U$14,MATCH(AD$10,$T$7:$T$14,0))/30,0)</f>
        <v>746666.66666666663</v>
      </c>
      <c r="AE320" s="10">
        <f>IFERROR(MAX($Z320-积分赛!$C$7,0)*INDEX($U$7:$U$14,MATCH(AE$10,$T$7:$T$14,0))/30,0)</f>
        <v>9333333.333333334</v>
      </c>
      <c r="AF320" s="10">
        <f>MAX($Z320-积分赛!$C$7,0)*(IFERROR(INDEX($W$7:$W$14,MATCH(AF$10,$T$7:$T$14,0)),0)*$T$20+IFERROR(INDEX($X$7:$X$14,MATCH(AF$10,$T$7:$T$14,0)),0)*$T$21)/30</f>
        <v>0</v>
      </c>
      <c r="AG320" s="10">
        <f>MAX($Z320-积分赛!$C$7,0)*(IFERROR(INDEX($W$7:$W$14,MATCH(AG$10,$T$7:$T$14,0)),0)*$T$20+IFERROR(INDEX($X$7:$X$14,MATCH(AG$10,$T$7:$T$14,0)),0)*$T$21)/30</f>
        <v>0</v>
      </c>
      <c r="AH320" s="10">
        <f>MAX($Z320-积分赛!$C$7,0)*(IFERROR(INDEX($W$7:$W$14,MATCH(AH$10,$T$7:$T$14,0)),0)*$T$20+IFERROR(INDEX($X$7:$X$14,MATCH(AH$10,$T$7:$T$14,0)),0)*$T$21)/30</f>
        <v>0</v>
      </c>
      <c r="AI320" s="10">
        <f>MAX($Z320-积分赛!$C$7,0)*(IFERROR(INDEX($W$7:$W$14,MATCH(AI$10,$T$7:$T$14,0)),0)*$T$20+IFERROR(INDEX($X$7:$X$14,MATCH(AI$10,$T$7:$T$14,0)),0)*$T$21)/30</f>
        <v>28513.333333333332</v>
      </c>
      <c r="AJ320" s="10">
        <f>MAX($Z320-积分赛!$C$7,0)*(IFERROR(INDEX($W$7:$W$14,MATCH(AJ$10,$T$7:$T$14,0)),0)*$T$20+IFERROR(INDEX($X$7:$X$14,MATCH(AJ$10,$T$7:$T$14,0)),0)*$T$21)/30</f>
        <v>171080</v>
      </c>
      <c r="BI320" s="10">
        <v>310</v>
      </c>
      <c r="BJ320" s="10">
        <f>MAX($BI320-积分赛!$C$7,0)*$BC$10/30</f>
        <v>933333.33333333337</v>
      </c>
      <c r="BK320" s="10">
        <f>MAX($BI320-积分赛!$C$7,0)*$BC$10/30</f>
        <v>933333.33333333337</v>
      </c>
      <c r="BL320" s="10">
        <f>MAX($BI320-积分赛!$C$7,0)*$BC$10/30</f>
        <v>933333.33333333337</v>
      </c>
      <c r="BM320" s="10">
        <f>MAX($BI320-积分赛!$C$7,0)*$BC$10/30</f>
        <v>933333.33333333337</v>
      </c>
      <c r="BN320" s="10">
        <f>MAX($BI320-积分赛!$C$7,0)*$BC$10/30</f>
        <v>933333.33333333337</v>
      </c>
    </row>
    <row r="321" spans="26:66" x14ac:dyDescent="0.15">
      <c r="Z321" s="10">
        <v>311</v>
      </c>
      <c r="AA321" s="10">
        <f>IFERROR(MAX($Z321-积分赛!$C$7,0)*INDEX($U$7:$U$14,MATCH(AA$10,$T$7:$T$14,0))/30,0)</f>
        <v>0</v>
      </c>
      <c r="AB321" s="10">
        <f>IFERROR(MAX($Z321-积分赛!$C$7,0)*INDEX($U$7:$U$14,MATCH(AB$10,$T$7:$T$14,0))/30,0)</f>
        <v>0</v>
      </c>
      <c r="AC321" s="10">
        <f>IFERROR(MAX($Z321-积分赛!$C$7,0)*INDEX($U$7:$U$14,MATCH(AC$10,$T$7:$T$14,0))/30,0)</f>
        <v>0</v>
      </c>
      <c r="AD321" s="10">
        <f>IFERROR(MAX($Z321-积分赛!$C$7,0)*INDEX($U$7:$U$14,MATCH(AD$10,$T$7:$T$14,0))/30,0)</f>
        <v>749333.33333333337</v>
      </c>
      <c r="AE321" s="10">
        <f>IFERROR(MAX($Z321-积分赛!$C$7,0)*INDEX($U$7:$U$14,MATCH(AE$10,$T$7:$T$14,0))/30,0)</f>
        <v>9366666.666666666</v>
      </c>
      <c r="AF321" s="10">
        <f>MAX($Z321-积分赛!$C$7,0)*(IFERROR(INDEX($W$7:$W$14,MATCH(AF$10,$T$7:$T$14,0)),0)*$T$20+IFERROR(INDEX($X$7:$X$14,MATCH(AF$10,$T$7:$T$14,0)),0)*$T$21)/30</f>
        <v>0</v>
      </c>
      <c r="AG321" s="10">
        <f>MAX($Z321-积分赛!$C$7,0)*(IFERROR(INDEX($W$7:$W$14,MATCH(AG$10,$T$7:$T$14,0)),0)*$T$20+IFERROR(INDEX($X$7:$X$14,MATCH(AG$10,$T$7:$T$14,0)),0)*$T$21)/30</f>
        <v>0</v>
      </c>
      <c r="AH321" s="10">
        <f>MAX($Z321-积分赛!$C$7,0)*(IFERROR(INDEX($W$7:$W$14,MATCH(AH$10,$T$7:$T$14,0)),0)*$T$20+IFERROR(INDEX($X$7:$X$14,MATCH(AH$10,$T$7:$T$14,0)),0)*$T$21)/30</f>
        <v>0</v>
      </c>
      <c r="AI321" s="10">
        <f>MAX($Z321-积分赛!$C$7,0)*(IFERROR(INDEX($W$7:$W$14,MATCH(AI$10,$T$7:$T$14,0)),0)*$T$20+IFERROR(INDEX($X$7:$X$14,MATCH(AI$10,$T$7:$T$14,0)),0)*$T$21)/30</f>
        <v>28615.166666666668</v>
      </c>
      <c r="AJ321" s="10">
        <f>MAX($Z321-积分赛!$C$7,0)*(IFERROR(INDEX($W$7:$W$14,MATCH(AJ$10,$T$7:$T$14,0)),0)*$T$20+IFERROR(INDEX($X$7:$X$14,MATCH(AJ$10,$T$7:$T$14,0)),0)*$T$21)/30</f>
        <v>171691</v>
      </c>
      <c r="BI321" s="10">
        <v>311</v>
      </c>
      <c r="BJ321" s="10">
        <f>MAX($BI321-积分赛!$C$7,0)*$BC$10/30</f>
        <v>936666.66666666663</v>
      </c>
      <c r="BK321" s="10">
        <f>MAX($BI321-积分赛!$C$7,0)*$BC$10/30</f>
        <v>936666.66666666663</v>
      </c>
      <c r="BL321" s="10">
        <f>MAX($BI321-积分赛!$C$7,0)*$BC$10/30</f>
        <v>936666.66666666663</v>
      </c>
      <c r="BM321" s="10">
        <f>MAX($BI321-积分赛!$C$7,0)*$BC$10/30</f>
        <v>936666.66666666663</v>
      </c>
      <c r="BN321" s="10">
        <f>MAX($BI321-积分赛!$C$7,0)*$BC$10/30</f>
        <v>936666.66666666663</v>
      </c>
    </row>
    <row r="322" spans="26:66" x14ac:dyDescent="0.15">
      <c r="Z322" s="10">
        <v>312</v>
      </c>
      <c r="AA322" s="10">
        <f>IFERROR(MAX($Z322-积分赛!$C$7,0)*INDEX($U$7:$U$14,MATCH(AA$10,$T$7:$T$14,0))/30,0)</f>
        <v>0</v>
      </c>
      <c r="AB322" s="10">
        <f>IFERROR(MAX($Z322-积分赛!$C$7,0)*INDEX($U$7:$U$14,MATCH(AB$10,$T$7:$T$14,0))/30,0)</f>
        <v>0</v>
      </c>
      <c r="AC322" s="10">
        <f>IFERROR(MAX($Z322-积分赛!$C$7,0)*INDEX($U$7:$U$14,MATCH(AC$10,$T$7:$T$14,0))/30,0)</f>
        <v>0</v>
      </c>
      <c r="AD322" s="10">
        <f>IFERROR(MAX($Z322-积分赛!$C$7,0)*INDEX($U$7:$U$14,MATCH(AD$10,$T$7:$T$14,0))/30,0)</f>
        <v>752000</v>
      </c>
      <c r="AE322" s="10">
        <f>IFERROR(MAX($Z322-积分赛!$C$7,0)*INDEX($U$7:$U$14,MATCH(AE$10,$T$7:$T$14,0))/30,0)</f>
        <v>9400000</v>
      </c>
      <c r="AF322" s="10">
        <f>MAX($Z322-积分赛!$C$7,0)*(IFERROR(INDEX($W$7:$W$14,MATCH(AF$10,$T$7:$T$14,0)),0)*$T$20+IFERROR(INDEX($X$7:$X$14,MATCH(AF$10,$T$7:$T$14,0)),0)*$T$21)/30</f>
        <v>0</v>
      </c>
      <c r="AG322" s="10">
        <f>MAX($Z322-积分赛!$C$7,0)*(IFERROR(INDEX($W$7:$W$14,MATCH(AG$10,$T$7:$T$14,0)),0)*$T$20+IFERROR(INDEX($X$7:$X$14,MATCH(AG$10,$T$7:$T$14,0)),0)*$T$21)/30</f>
        <v>0</v>
      </c>
      <c r="AH322" s="10">
        <f>MAX($Z322-积分赛!$C$7,0)*(IFERROR(INDEX($W$7:$W$14,MATCH(AH$10,$T$7:$T$14,0)),0)*$T$20+IFERROR(INDEX($X$7:$X$14,MATCH(AH$10,$T$7:$T$14,0)),0)*$T$21)/30</f>
        <v>0</v>
      </c>
      <c r="AI322" s="10">
        <f>MAX($Z322-积分赛!$C$7,0)*(IFERROR(INDEX($W$7:$W$14,MATCH(AI$10,$T$7:$T$14,0)),0)*$T$20+IFERROR(INDEX($X$7:$X$14,MATCH(AI$10,$T$7:$T$14,0)),0)*$T$21)/30</f>
        <v>28717</v>
      </c>
      <c r="AJ322" s="10">
        <f>MAX($Z322-积分赛!$C$7,0)*(IFERROR(INDEX($W$7:$W$14,MATCH(AJ$10,$T$7:$T$14,0)),0)*$T$20+IFERROR(INDEX($X$7:$X$14,MATCH(AJ$10,$T$7:$T$14,0)),0)*$T$21)/30</f>
        <v>172302</v>
      </c>
      <c r="BI322" s="10">
        <v>312</v>
      </c>
      <c r="BJ322" s="10">
        <f>MAX($BI322-积分赛!$C$7,0)*$BC$10/30</f>
        <v>940000</v>
      </c>
      <c r="BK322" s="10">
        <f>MAX($BI322-积分赛!$C$7,0)*$BC$10/30</f>
        <v>940000</v>
      </c>
      <c r="BL322" s="10">
        <f>MAX($BI322-积分赛!$C$7,0)*$BC$10/30</f>
        <v>940000</v>
      </c>
      <c r="BM322" s="10">
        <f>MAX($BI322-积分赛!$C$7,0)*$BC$10/30</f>
        <v>940000</v>
      </c>
      <c r="BN322" s="10">
        <f>MAX($BI322-积分赛!$C$7,0)*$BC$10/30</f>
        <v>940000</v>
      </c>
    </row>
    <row r="323" spans="26:66" x14ac:dyDescent="0.15">
      <c r="Z323" s="10">
        <v>313</v>
      </c>
      <c r="AA323" s="10">
        <f>IFERROR(MAX($Z323-积分赛!$C$7,0)*INDEX($U$7:$U$14,MATCH(AA$10,$T$7:$T$14,0))/30,0)</f>
        <v>0</v>
      </c>
      <c r="AB323" s="10">
        <f>IFERROR(MAX($Z323-积分赛!$C$7,0)*INDEX($U$7:$U$14,MATCH(AB$10,$T$7:$T$14,0))/30,0)</f>
        <v>0</v>
      </c>
      <c r="AC323" s="10">
        <f>IFERROR(MAX($Z323-积分赛!$C$7,0)*INDEX($U$7:$U$14,MATCH(AC$10,$T$7:$T$14,0))/30,0)</f>
        <v>0</v>
      </c>
      <c r="AD323" s="10">
        <f>IFERROR(MAX($Z323-积分赛!$C$7,0)*INDEX($U$7:$U$14,MATCH(AD$10,$T$7:$T$14,0))/30,0)</f>
        <v>754666.66666666663</v>
      </c>
      <c r="AE323" s="10">
        <f>IFERROR(MAX($Z323-积分赛!$C$7,0)*INDEX($U$7:$U$14,MATCH(AE$10,$T$7:$T$14,0))/30,0)</f>
        <v>9433333.333333334</v>
      </c>
      <c r="AF323" s="10">
        <f>MAX($Z323-积分赛!$C$7,0)*(IFERROR(INDEX($W$7:$W$14,MATCH(AF$10,$T$7:$T$14,0)),0)*$T$20+IFERROR(INDEX($X$7:$X$14,MATCH(AF$10,$T$7:$T$14,0)),0)*$T$21)/30</f>
        <v>0</v>
      </c>
      <c r="AG323" s="10">
        <f>MAX($Z323-积分赛!$C$7,0)*(IFERROR(INDEX($W$7:$W$14,MATCH(AG$10,$T$7:$T$14,0)),0)*$T$20+IFERROR(INDEX($X$7:$X$14,MATCH(AG$10,$T$7:$T$14,0)),0)*$T$21)/30</f>
        <v>0</v>
      </c>
      <c r="AH323" s="10">
        <f>MAX($Z323-积分赛!$C$7,0)*(IFERROR(INDEX($W$7:$W$14,MATCH(AH$10,$T$7:$T$14,0)),0)*$T$20+IFERROR(INDEX($X$7:$X$14,MATCH(AH$10,$T$7:$T$14,0)),0)*$T$21)/30</f>
        <v>0</v>
      </c>
      <c r="AI323" s="10">
        <f>MAX($Z323-积分赛!$C$7,0)*(IFERROR(INDEX($W$7:$W$14,MATCH(AI$10,$T$7:$T$14,0)),0)*$T$20+IFERROR(INDEX($X$7:$X$14,MATCH(AI$10,$T$7:$T$14,0)),0)*$T$21)/30</f>
        <v>28818.833333333332</v>
      </c>
      <c r="AJ323" s="10">
        <f>MAX($Z323-积分赛!$C$7,0)*(IFERROR(INDEX($W$7:$W$14,MATCH(AJ$10,$T$7:$T$14,0)),0)*$T$20+IFERROR(INDEX($X$7:$X$14,MATCH(AJ$10,$T$7:$T$14,0)),0)*$T$21)/30</f>
        <v>172913</v>
      </c>
      <c r="BI323" s="10">
        <v>313</v>
      </c>
      <c r="BJ323" s="10">
        <f>MAX($BI323-积分赛!$C$7,0)*$BC$10/30</f>
        <v>943333.33333333337</v>
      </c>
      <c r="BK323" s="10">
        <f>MAX($BI323-积分赛!$C$7,0)*$BC$10/30</f>
        <v>943333.33333333337</v>
      </c>
      <c r="BL323" s="10">
        <f>MAX($BI323-积分赛!$C$7,0)*$BC$10/30</f>
        <v>943333.33333333337</v>
      </c>
      <c r="BM323" s="10">
        <f>MAX($BI323-积分赛!$C$7,0)*$BC$10/30</f>
        <v>943333.33333333337</v>
      </c>
      <c r="BN323" s="10">
        <f>MAX($BI323-积分赛!$C$7,0)*$BC$10/30</f>
        <v>943333.33333333337</v>
      </c>
    </row>
    <row r="324" spans="26:66" x14ac:dyDescent="0.15">
      <c r="Z324" s="10">
        <v>314</v>
      </c>
      <c r="AA324" s="10">
        <f>IFERROR(MAX($Z324-积分赛!$C$7,0)*INDEX($U$7:$U$14,MATCH(AA$10,$T$7:$T$14,0))/30,0)</f>
        <v>0</v>
      </c>
      <c r="AB324" s="10">
        <f>IFERROR(MAX($Z324-积分赛!$C$7,0)*INDEX($U$7:$U$14,MATCH(AB$10,$T$7:$T$14,0))/30,0)</f>
        <v>0</v>
      </c>
      <c r="AC324" s="10">
        <f>IFERROR(MAX($Z324-积分赛!$C$7,0)*INDEX($U$7:$U$14,MATCH(AC$10,$T$7:$T$14,0))/30,0)</f>
        <v>0</v>
      </c>
      <c r="AD324" s="10">
        <f>IFERROR(MAX($Z324-积分赛!$C$7,0)*INDEX($U$7:$U$14,MATCH(AD$10,$T$7:$T$14,0))/30,0)</f>
        <v>757333.33333333337</v>
      </c>
      <c r="AE324" s="10">
        <f>IFERROR(MAX($Z324-积分赛!$C$7,0)*INDEX($U$7:$U$14,MATCH(AE$10,$T$7:$T$14,0))/30,0)</f>
        <v>9466666.666666666</v>
      </c>
      <c r="AF324" s="10">
        <f>MAX($Z324-积分赛!$C$7,0)*(IFERROR(INDEX($W$7:$W$14,MATCH(AF$10,$T$7:$T$14,0)),0)*$T$20+IFERROR(INDEX($X$7:$X$14,MATCH(AF$10,$T$7:$T$14,0)),0)*$T$21)/30</f>
        <v>0</v>
      </c>
      <c r="AG324" s="10">
        <f>MAX($Z324-积分赛!$C$7,0)*(IFERROR(INDEX($W$7:$W$14,MATCH(AG$10,$T$7:$T$14,0)),0)*$T$20+IFERROR(INDEX($X$7:$X$14,MATCH(AG$10,$T$7:$T$14,0)),0)*$T$21)/30</f>
        <v>0</v>
      </c>
      <c r="AH324" s="10">
        <f>MAX($Z324-积分赛!$C$7,0)*(IFERROR(INDEX($W$7:$W$14,MATCH(AH$10,$T$7:$T$14,0)),0)*$T$20+IFERROR(INDEX($X$7:$X$14,MATCH(AH$10,$T$7:$T$14,0)),0)*$T$21)/30</f>
        <v>0</v>
      </c>
      <c r="AI324" s="10">
        <f>MAX($Z324-积分赛!$C$7,0)*(IFERROR(INDEX($W$7:$W$14,MATCH(AI$10,$T$7:$T$14,0)),0)*$T$20+IFERROR(INDEX($X$7:$X$14,MATCH(AI$10,$T$7:$T$14,0)),0)*$T$21)/30</f>
        <v>28920.666666666668</v>
      </c>
      <c r="AJ324" s="10">
        <f>MAX($Z324-积分赛!$C$7,0)*(IFERROR(INDEX($W$7:$W$14,MATCH(AJ$10,$T$7:$T$14,0)),0)*$T$20+IFERROR(INDEX($X$7:$X$14,MATCH(AJ$10,$T$7:$T$14,0)),0)*$T$21)/30</f>
        <v>173524</v>
      </c>
      <c r="BI324" s="10">
        <v>314</v>
      </c>
      <c r="BJ324" s="10">
        <f>MAX($BI324-积分赛!$C$7,0)*$BC$10/30</f>
        <v>946666.66666666663</v>
      </c>
      <c r="BK324" s="10">
        <f>MAX($BI324-积分赛!$C$7,0)*$BC$10/30</f>
        <v>946666.66666666663</v>
      </c>
      <c r="BL324" s="10">
        <f>MAX($BI324-积分赛!$C$7,0)*$BC$10/30</f>
        <v>946666.66666666663</v>
      </c>
      <c r="BM324" s="10">
        <f>MAX($BI324-积分赛!$C$7,0)*$BC$10/30</f>
        <v>946666.66666666663</v>
      </c>
      <c r="BN324" s="10">
        <f>MAX($BI324-积分赛!$C$7,0)*$BC$10/30</f>
        <v>946666.66666666663</v>
      </c>
    </row>
    <row r="325" spans="26:66" x14ac:dyDescent="0.15">
      <c r="Z325" s="10">
        <v>315</v>
      </c>
      <c r="AA325" s="10">
        <f>IFERROR(MAX($Z325-积分赛!$C$7,0)*INDEX($U$7:$U$14,MATCH(AA$10,$T$7:$T$14,0))/30,0)</f>
        <v>0</v>
      </c>
      <c r="AB325" s="10">
        <f>IFERROR(MAX($Z325-积分赛!$C$7,0)*INDEX($U$7:$U$14,MATCH(AB$10,$T$7:$T$14,0))/30,0)</f>
        <v>0</v>
      </c>
      <c r="AC325" s="10">
        <f>IFERROR(MAX($Z325-积分赛!$C$7,0)*INDEX($U$7:$U$14,MATCH(AC$10,$T$7:$T$14,0))/30,0)</f>
        <v>0</v>
      </c>
      <c r="AD325" s="10">
        <f>IFERROR(MAX($Z325-积分赛!$C$7,0)*INDEX($U$7:$U$14,MATCH(AD$10,$T$7:$T$14,0))/30,0)</f>
        <v>760000</v>
      </c>
      <c r="AE325" s="10">
        <f>IFERROR(MAX($Z325-积分赛!$C$7,0)*INDEX($U$7:$U$14,MATCH(AE$10,$T$7:$T$14,0))/30,0)</f>
        <v>9500000</v>
      </c>
      <c r="AF325" s="10">
        <f>MAX($Z325-积分赛!$C$7,0)*(IFERROR(INDEX($W$7:$W$14,MATCH(AF$10,$T$7:$T$14,0)),0)*$T$20+IFERROR(INDEX($X$7:$X$14,MATCH(AF$10,$T$7:$T$14,0)),0)*$T$21)/30</f>
        <v>0</v>
      </c>
      <c r="AG325" s="10">
        <f>MAX($Z325-积分赛!$C$7,0)*(IFERROR(INDEX($W$7:$W$14,MATCH(AG$10,$T$7:$T$14,0)),0)*$T$20+IFERROR(INDEX($X$7:$X$14,MATCH(AG$10,$T$7:$T$14,0)),0)*$T$21)/30</f>
        <v>0</v>
      </c>
      <c r="AH325" s="10">
        <f>MAX($Z325-积分赛!$C$7,0)*(IFERROR(INDEX($W$7:$W$14,MATCH(AH$10,$T$7:$T$14,0)),0)*$T$20+IFERROR(INDEX($X$7:$X$14,MATCH(AH$10,$T$7:$T$14,0)),0)*$T$21)/30</f>
        <v>0</v>
      </c>
      <c r="AI325" s="10">
        <f>MAX($Z325-积分赛!$C$7,0)*(IFERROR(INDEX($W$7:$W$14,MATCH(AI$10,$T$7:$T$14,0)),0)*$T$20+IFERROR(INDEX($X$7:$X$14,MATCH(AI$10,$T$7:$T$14,0)),0)*$T$21)/30</f>
        <v>29022.5</v>
      </c>
      <c r="AJ325" s="10">
        <f>MAX($Z325-积分赛!$C$7,0)*(IFERROR(INDEX($W$7:$W$14,MATCH(AJ$10,$T$7:$T$14,0)),0)*$T$20+IFERROR(INDEX($X$7:$X$14,MATCH(AJ$10,$T$7:$T$14,0)),0)*$T$21)/30</f>
        <v>174135</v>
      </c>
      <c r="BI325" s="10">
        <v>315</v>
      </c>
      <c r="BJ325" s="10">
        <f>MAX($BI325-积分赛!$C$7,0)*$BC$10/30</f>
        <v>950000</v>
      </c>
      <c r="BK325" s="10">
        <f>MAX($BI325-积分赛!$C$7,0)*$BC$10/30</f>
        <v>950000</v>
      </c>
      <c r="BL325" s="10">
        <f>MAX($BI325-积分赛!$C$7,0)*$BC$10/30</f>
        <v>950000</v>
      </c>
      <c r="BM325" s="10">
        <f>MAX($BI325-积分赛!$C$7,0)*$BC$10/30</f>
        <v>950000</v>
      </c>
      <c r="BN325" s="10">
        <f>MAX($BI325-积分赛!$C$7,0)*$BC$10/30</f>
        <v>950000</v>
      </c>
    </row>
    <row r="326" spans="26:66" x14ac:dyDescent="0.15">
      <c r="Z326" s="10">
        <v>316</v>
      </c>
      <c r="AA326" s="10">
        <f>IFERROR(MAX($Z326-积分赛!$C$7,0)*INDEX($U$7:$U$14,MATCH(AA$10,$T$7:$T$14,0))/30,0)</f>
        <v>0</v>
      </c>
      <c r="AB326" s="10">
        <f>IFERROR(MAX($Z326-积分赛!$C$7,0)*INDEX($U$7:$U$14,MATCH(AB$10,$T$7:$T$14,0))/30,0)</f>
        <v>0</v>
      </c>
      <c r="AC326" s="10">
        <f>IFERROR(MAX($Z326-积分赛!$C$7,0)*INDEX($U$7:$U$14,MATCH(AC$10,$T$7:$T$14,0))/30,0)</f>
        <v>0</v>
      </c>
      <c r="AD326" s="10">
        <f>IFERROR(MAX($Z326-积分赛!$C$7,0)*INDEX($U$7:$U$14,MATCH(AD$10,$T$7:$T$14,0))/30,0)</f>
        <v>762666.66666666663</v>
      </c>
      <c r="AE326" s="10">
        <f>IFERROR(MAX($Z326-积分赛!$C$7,0)*INDEX($U$7:$U$14,MATCH(AE$10,$T$7:$T$14,0))/30,0)</f>
        <v>9533333.333333334</v>
      </c>
      <c r="AF326" s="10">
        <f>MAX($Z326-积分赛!$C$7,0)*(IFERROR(INDEX($W$7:$W$14,MATCH(AF$10,$T$7:$T$14,0)),0)*$T$20+IFERROR(INDEX($X$7:$X$14,MATCH(AF$10,$T$7:$T$14,0)),0)*$T$21)/30</f>
        <v>0</v>
      </c>
      <c r="AG326" s="10">
        <f>MAX($Z326-积分赛!$C$7,0)*(IFERROR(INDEX($W$7:$W$14,MATCH(AG$10,$T$7:$T$14,0)),0)*$T$20+IFERROR(INDEX($X$7:$X$14,MATCH(AG$10,$T$7:$T$14,0)),0)*$T$21)/30</f>
        <v>0</v>
      </c>
      <c r="AH326" s="10">
        <f>MAX($Z326-积分赛!$C$7,0)*(IFERROR(INDEX($W$7:$W$14,MATCH(AH$10,$T$7:$T$14,0)),0)*$T$20+IFERROR(INDEX($X$7:$X$14,MATCH(AH$10,$T$7:$T$14,0)),0)*$T$21)/30</f>
        <v>0</v>
      </c>
      <c r="AI326" s="10">
        <f>MAX($Z326-积分赛!$C$7,0)*(IFERROR(INDEX($W$7:$W$14,MATCH(AI$10,$T$7:$T$14,0)),0)*$T$20+IFERROR(INDEX($X$7:$X$14,MATCH(AI$10,$T$7:$T$14,0)),0)*$T$21)/30</f>
        <v>29124.333333333332</v>
      </c>
      <c r="AJ326" s="10">
        <f>MAX($Z326-积分赛!$C$7,0)*(IFERROR(INDEX($W$7:$W$14,MATCH(AJ$10,$T$7:$T$14,0)),0)*$T$20+IFERROR(INDEX($X$7:$X$14,MATCH(AJ$10,$T$7:$T$14,0)),0)*$T$21)/30</f>
        <v>174746</v>
      </c>
      <c r="BI326" s="10">
        <v>316</v>
      </c>
      <c r="BJ326" s="10">
        <f>MAX($BI326-积分赛!$C$7,0)*$BC$10/30</f>
        <v>953333.33333333337</v>
      </c>
      <c r="BK326" s="10">
        <f>MAX($BI326-积分赛!$C$7,0)*$BC$10/30</f>
        <v>953333.33333333337</v>
      </c>
      <c r="BL326" s="10">
        <f>MAX($BI326-积分赛!$C$7,0)*$BC$10/30</f>
        <v>953333.33333333337</v>
      </c>
      <c r="BM326" s="10">
        <f>MAX($BI326-积分赛!$C$7,0)*$BC$10/30</f>
        <v>953333.33333333337</v>
      </c>
      <c r="BN326" s="10">
        <f>MAX($BI326-积分赛!$C$7,0)*$BC$10/30</f>
        <v>953333.33333333337</v>
      </c>
    </row>
    <row r="327" spans="26:66" x14ac:dyDescent="0.15">
      <c r="Z327" s="10">
        <v>317</v>
      </c>
      <c r="AA327" s="10">
        <f>IFERROR(MAX($Z327-积分赛!$C$7,0)*INDEX($U$7:$U$14,MATCH(AA$10,$T$7:$T$14,0))/30,0)</f>
        <v>0</v>
      </c>
      <c r="AB327" s="10">
        <f>IFERROR(MAX($Z327-积分赛!$C$7,0)*INDEX($U$7:$U$14,MATCH(AB$10,$T$7:$T$14,0))/30,0)</f>
        <v>0</v>
      </c>
      <c r="AC327" s="10">
        <f>IFERROR(MAX($Z327-积分赛!$C$7,0)*INDEX($U$7:$U$14,MATCH(AC$10,$T$7:$T$14,0))/30,0)</f>
        <v>0</v>
      </c>
      <c r="AD327" s="10">
        <f>IFERROR(MAX($Z327-积分赛!$C$7,0)*INDEX($U$7:$U$14,MATCH(AD$10,$T$7:$T$14,0))/30,0)</f>
        <v>765333.33333333337</v>
      </c>
      <c r="AE327" s="10">
        <f>IFERROR(MAX($Z327-积分赛!$C$7,0)*INDEX($U$7:$U$14,MATCH(AE$10,$T$7:$T$14,0))/30,0)</f>
        <v>9566666.666666666</v>
      </c>
      <c r="AF327" s="10">
        <f>MAX($Z327-积分赛!$C$7,0)*(IFERROR(INDEX($W$7:$W$14,MATCH(AF$10,$T$7:$T$14,0)),0)*$T$20+IFERROR(INDEX($X$7:$X$14,MATCH(AF$10,$T$7:$T$14,0)),0)*$T$21)/30</f>
        <v>0</v>
      </c>
      <c r="AG327" s="10">
        <f>MAX($Z327-积分赛!$C$7,0)*(IFERROR(INDEX($W$7:$W$14,MATCH(AG$10,$T$7:$T$14,0)),0)*$T$20+IFERROR(INDEX($X$7:$X$14,MATCH(AG$10,$T$7:$T$14,0)),0)*$T$21)/30</f>
        <v>0</v>
      </c>
      <c r="AH327" s="10">
        <f>MAX($Z327-积分赛!$C$7,0)*(IFERROR(INDEX($W$7:$W$14,MATCH(AH$10,$T$7:$T$14,0)),0)*$T$20+IFERROR(INDEX($X$7:$X$14,MATCH(AH$10,$T$7:$T$14,0)),0)*$T$21)/30</f>
        <v>0</v>
      </c>
      <c r="AI327" s="10">
        <f>MAX($Z327-积分赛!$C$7,0)*(IFERROR(INDEX($W$7:$W$14,MATCH(AI$10,$T$7:$T$14,0)),0)*$T$20+IFERROR(INDEX($X$7:$X$14,MATCH(AI$10,$T$7:$T$14,0)),0)*$T$21)/30</f>
        <v>29226.166666666668</v>
      </c>
      <c r="AJ327" s="10">
        <f>MAX($Z327-积分赛!$C$7,0)*(IFERROR(INDEX($W$7:$W$14,MATCH(AJ$10,$T$7:$T$14,0)),0)*$T$20+IFERROR(INDEX($X$7:$X$14,MATCH(AJ$10,$T$7:$T$14,0)),0)*$T$21)/30</f>
        <v>175357</v>
      </c>
      <c r="BI327" s="10">
        <v>317</v>
      </c>
      <c r="BJ327" s="10">
        <f>MAX($BI327-积分赛!$C$7,0)*$BC$10/30</f>
        <v>956666.66666666663</v>
      </c>
      <c r="BK327" s="10">
        <f>MAX($BI327-积分赛!$C$7,0)*$BC$10/30</f>
        <v>956666.66666666663</v>
      </c>
      <c r="BL327" s="10">
        <f>MAX($BI327-积分赛!$C$7,0)*$BC$10/30</f>
        <v>956666.66666666663</v>
      </c>
      <c r="BM327" s="10">
        <f>MAX($BI327-积分赛!$C$7,0)*$BC$10/30</f>
        <v>956666.66666666663</v>
      </c>
      <c r="BN327" s="10">
        <f>MAX($BI327-积分赛!$C$7,0)*$BC$10/30</f>
        <v>956666.66666666663</v>
      </c>
    </row>
    <row r="328" spans="26:66" x14ac:dyDescent="0.15">
      <c r="Z328" s="10">
        <v>318</v>
      </c>
      <c r="AA328" s="10">
        <f>IFERROR(MAX($Z328-积分赛!$C$7,0)*INDEX($U$7:$U$14,MATCH(AA$10,$T$7:$T$14,0))/30,0)</f>
        <v>0</v>
      </c>
      <c r="AB328" s="10">
        <f>IFERROR(MAX($Z328-积分赛!$C$7,0)*INDEX($U$7:$U$14,MATCH(AB$10,$T$7:$T$14,0))/30,0)</f>
        <v>0</v>
      </c>
      <c r="AC328" s="10">
        <f>IFERROR(MAX($Z328-积分赛!$C$7,0)*INDEX($U$7:$U$14,MATCH(AC$10,$T$7:$T$14,0))/30,0)</f>
        <v>0</v>
      </c>
      <c r="AD328" s="10">
        <f>IFERROR(MAX($Z328-积分赛!$C$7,0)*INDEX($U$7:$U$14,MATCH(AD$10,$T$7:$T$14,0))/30,0)</f>
        <v>768000</v>
      </c>
      <c r="AE328" s="10">
        <f>IFERROR(MAX($Z328-积分赛!$C$7,0)*INDEX($U$7:$U$14,MATCH(AE$10,$T$7:$T$14,0))/30,0)</f>
        <v>9600000</v>
      </c>
      <c r="AF328" s="10">
        <f>MAX($Z328-积分赛!$C$7,0)*(IFERROR(INDEX($W$7:$W$14,MATCH(AF$10,$T$7:$T$14,0)),0)*$T$20+IFERROR(INDEX($X$7:$X$14,MATCH(AF$10,$T$7:$T$14,0)),0)*$T$21)/30</f>
        <v>0</v>
      </c>
      <c r="AG328" s="10">
        <f>MAX($Z328-积分赛!$C$7,0)*(IFERROR(INDEX($W$7:$W$14,MATCH(AG$10,$T$7:$T$14,0)),0)*$T$20+IFERROR(INDEX($X$7:$X$14,MATCH(AG$10,$T$7:$T$14,0)),0)*$T$21)/30</f>
        <v>0</v>
      </c>
      <c r="AH328" s="10">
        <f>MAX($Z328-积分赛!$C$7,0)*(IFERROR(INDEX($W$7:$W$14,MATCH(AH$10,$T$7:$T$14,0)),0)*$T$20+IFERROR(INDEX($X$7:$X$14,MATCH(AH$10,$T$7:$T$14,0)),0)*$T$21)/30</f>
        <v>0</v>
      </c>
      <c r="AI328" s="10">
        <f>MAX($Z328-积分赛!$C$7,0)*(IFERROR(INDEX($W$7:$W$14,MATCH(AI$10,$T$7:$T$14,0)),0)*$T$20+IFERROR(INDEX($X$7:$X$14,MATCH(AI$10,$T$7:$T$14,0)),0)*$T$21)/30</f>
        <v>29328</v>
      </c>
      <c r="AJ328" s="10">
        <f>MAX($Z328-积分赛!$C$7,0)*(IFERROR(INDEX($W$7:$W$14,MATCH(AJ$10,$T$7:$T$14,0)),0)*$T$20+IFERROR(INDEX($X$7:$X$14,MATCH(AJ$10,$T$7:$T$14,0)),0)*$T$21)/30</f>
        <v>175968</v>
      </c>
      <c r="BI328" s="10">
        <v>318</v>
      </c>
      <c r="BJ328" s="10">
        <f>MAX($BI328-积分赛!$C$7,0)*$BC$10/30</f>
        <v>960000</v>
      </c>
      <c r="BK328" s="10">
        <f>MAX($BI328-积分赛!$C$7,0)*$BC$10/30</f>
        <v>960000</v>
      </c>
      <c r="BL328" s="10">
        <f>MAX($BI328-积分赛!$C$7,0)*$BC$10/30</f>
        <v>960000</v>
      </c>
      <c r="BM328" s="10">
        <f>MAX($BI328-积分赛!$C$7,0)*$BC$10/30</f>
        <v>960000</v>
      </c>
      <c r="BN328" s="10">
        <f>MAX($BI328-积分赛!$C$7,0)*$BC$10/30</f>
        <v>960000</v>
      </c>
    </row>
    <row r="329" spans="26:66" x14ac:dyDescent="0.15">
      <c r="Z329" s="10">
        <v>319</v>
      </c>
      <c r="AA329" s="10">
        <f>IFERROR(MAX($Z329-积分赛!$C$7,0)*INDEX($U$7:$U$14,MATCH(AA$10,$T$7:$T$14,0))/30,0)</f>
        <v>0</v>
      </c>
      <c r="AB329" s="10">
        <f>IFERROR(MAX($Z329-积分赛!$C$7,0)*INDEX($U$7:$U$14,MATCH(AB$10,$T$7:$T$14,0))/30,0)</f>
        <v>0</v>
      </c>
      <c r="AC329" s="10">
        <f>IFERROR(MAX($Z329-积分赛!$C$7,0)*INDEX($U$7:$U$14,MATCH(AC$10,$T$7:$T$14,0))/30,0)</f>
        <v>0</v>
      </c>
      <c r="AD329" s="10">
        <f>IFERROR(MAX($Z329-积分赛!$C$7,0)*INDEX($U$7:$U$14,MATCH(AD$10,$T$7:$T$14,0))/30,0)</f>
        <v>770666.66666666663</v>
      </c>
      <c r="AE329" s="10">
        <f>IFERROR(MAX($Z329-积分赛!$C$7,0)*INDEX($U$7:$U$14,MATCH(AE$10,$T$7:$T$14,0))/30,0)</f>
        <v>9633333.333333334</v>
      </c>
      <c r="AF329" s="10">
        <f>MAX($Z329-积分赛!$C$7,0)*(IFERROR(INDEX($W$7:$W$14,MATCH(AF$10,$T$7:$T$14,0)),0)*$T$20+IFERROR(INDEX($X$7:$X$14,MATCH(AF$10,$T$7:$T$14,0)),0)*$T$21)/30</f>
        <v>0</v>
      </c>
      <c r="AG329" s="10">
        <f>MAX($Z329-积分赛!$C$7,0)*(IFERROR(INDEX($W$7:$W$14,MATCH(AG$10,$T$7:$T$14,0)),0)*$T$20+IFERROR(INDEX($X$7:$X$14,MATCH(AG$10,$T$7:$T$14,0)),0)*$T$21)/30</f>
        <v>0</v>
      </c>
      <c r="AH329" s="10">
        <f>MAX($Z329-积分赛!$C$7,0)*(IFERROR(INDEX($W$7:$W$14,MATCH(AH$10,$T$7:$T$14,0)),0)*$T$20+IFERROR(INDEX($X$7:$X$14,MATCH(AH$10,$T$7:$T$14,0)),0)*$T$21)/30</f>
        <v>0</v>
      </c>
      <c r="AI329" s="10">
        <f>MAX($Z329-积分赛!$C$7,0)*(IFERROR(INDEX($W$7:$W$14,MATCH(AI$10,$T$7:$T$14,0)),0)*$T$20+IFERROR(INDEX($X$7:$X$14,MATCH(AI$10,$T$7:$T$14,0)),0)*$T$21)/30</f>
        <v>29429.833333333332</v>
      </c>
      <c r="AJ329" s="10">
        <f>MAX($Z329-积分赛!$C$7,0)*(IFERROR(INDEX($W$7:$W$14,MATCH(AJ$10,$T$7:$T$14,0)),0)*$T$20+IFERROR(INDEX($X$7:$X$14,MATCH(AJ$10,$T$7:$T$14,0)),0)*$T$21)/30</f>
        <v>176579</v>
      </c>
      <c r="BI329" s="10">
        <v>319</v>
      </c>
      <c r="BJ329" s="10">
        <f>MAX($BI329-积分赛!$C$7,0)*$BC$10/30</f>
        <v>963333.33333333337</v>
      </c>
      <c r="BK329" s="10">
        <f>MAX($BI329-积分赛!$C$7,0)*$BC$10/30</f>
        <v>963333.33333333337</v>
      </c>
      <c r="BL329" s="10">
        <f>MAX($BI329-积分赛!$C$7,0)*$BC$10/30</f>
        <v>963333.33333333337</v>
      </c>
      <c r="BM329" s="10">
        <f>MAX($BI329-积分赛!$C$7,0)*$BC$10/30</f>
        <v>963333.33333333337</v>
      </c>
      <c r="BN329" s="10">
        <f>MAX($BI329-积分赛!$C$7,0)*$BC$10/30</f>
        <v>963333.33333333337</v>
      </c>
    </row>
    <row r="330" spans="26:66" x14ac:dyDescent="0.15">
      <c r="Z330" s="10">
        <v>320</v>
      </c>
      <c r="AA330" s="10">
        <f>IFERROR(MAX($Z330-积分赛!$C$7,0)*INDEX($U$7:$U$14,MATCH(AA$10,$T$7:$T$14,0))/30,0)</f>
        <v>0</v>
      </c>
      <c r="AB330" s="10">
        <f>IFERROR(MAX($Z330-积分赛!$C$7,0)*INDEX($U$7:$U$14,MATCH(AB$10,$T$7:$T$14,0))/30,0)</f>
        <v>0</v>
      </c>
      <c r="AC330" s="10">
        <f>IFERROR(MAX($Z330-积分赛!$C$7,0)*INDEX($U$7:$U$14,MATCH(AC$10,$T$7:$T$14,0))/30,0)</f>
        <v>0</v>
      </c>
      <c r="AD330" s="10">
        <f>IFERROR(MAX($Z330-积分赛!$C$7,0)*INDEX($U$7:$U$14,MATCH(AD$10,$T$7:$T$14,0))/30,0)</f>
        <v>773333.33333333337</v>
      </c>
      <c r="AE330" s="10">
        <f>IFERROR(MAX($Z330-积分赛!$C$7,0)*INDEX($U$7:$U$14,MATCH(AE$10,$T$7:$T$14,0))/30,0)</f>
        <v>9666666.666666666</v>
      </c>
      <c r="AF330" s="10">
        <f>MAX($Z330-积分赛!$C$7,0)*(IFERROR(INDEX($W$7:$W$14,MATCH(AF$10,$T$7:$T$14,0)),0)*$T$20+IFERROR(INDEX($X$7:$X$14,MATCH(AF$10,$T$7:$T$14,0)),0)*$T$21)/30</f>
        <v>0</v>
      </c>
      <c r="AG330" s="10">
        <f>MAX($Z330-积分赛!$C$7,0)*(IFERROR(INDEX($W$7:$W$14,MATCH(AG$10,$T$7:$T$14,0)),0)*$T$20+IFERROR(INDEX($X$7:$X$14,MATCH(AG$10,$T$7:$T$14,0)),0)*$T$21)/30</f>
        <v>0</v>
      </c>
      <c r="AH330" s="10">
        <f>MAX($Z330-积分赛!$C$7,0)*(IFERROR(INDEX($W$7:$W$14,MATCH(AH$10,$T$7:$T$14,0)),0)*$T$20+IFERROR(INDEX($X$7:$X$14,MATCH(AH$10,$T$7:$T$14,0)),0)*$T$21)/30</f>
        <v>0</v>
      </c>
      <c r="AI330" s="10">
        <f>MAX($Z330-积分赛!$C$7,0)*(IFERROR(INDEX($W$7:$W$14,MATCH(AI$10,$T$7:$T$14,0)),0)*$T$20+IFERROR(INDEX($X$7:$X$14,MATCH(AI$10,$T$7:$T$14,0)),0)*$T$21)/30</f>
        <v>29531.666666666668</v>
      </c>
      <c r="AJ330" s="10">
        <f>MAX($Z330-积分赛!$C$7,0)*(IFERROR(INDEX($W$7:$W$14,MATCH(AJ$10,$T$7:$T$14,0)),0)*$T$20+IFERROR(INDEX($X$7:$X$14,MATCH(AJ$10,$T$7:$T$14,0)),0)*$T$21)/30</f>
        <v>177190</v>
      </c>
      <c r="BI330" s="10">
        <v>320</v>
      </c>
      <c r="BJ330" s="10">
        <f>MAX($BI330-积分赛!$C$7,0)*$BC$10/30</f>
        <v>966666.66666666663</v>
      </c>
      <c r="BK330" s="10">
        <f>MAX($BI330-积分赛!$C$7,0)*$BC$10/30</f>
        <v>966666.66666666663</v>
      </c>
      <c r="BL330" s="10">
        <f>MAX($BI330-积分赛!$C$7,0)*$BC$10/30</f>
        <v>966666.66666666663</v>
      </c>
      <c r="BM330" s="10">
        <f>MAX($BI330-积分赛!$C$7,0)*$BC$10/30</f>
        <v>966666.66666666663</v>
      </c>
      <c r="BN330" s="10">
        <f>MAX($BI330-积分赛!$C$7,0)*$BC$10/30</f>
        <v>966666.66666666663</v>
      </c>
    </row>
    <row r="331" spans="26:66" x14ac:dyDescent="0.15">
      <c r="Z331" s="10">
        <v>321</v>
      </c>
      <c r="AA331" s="10">
        <f>IFERROR(MAX($Z331-积分赛!$C$7,0)*INDEX($U$7:$U$14,MATCH(AA$10,$T$7:$T$14,0))/30,0)</f>
        <v>0</v>
      </c>
      <c r="AB331" s="10">
        <f>IFERROR(MAX($Z331-积分赛!$C$7,0)*INDEX($U$7:$U$14,MATCH(AB$10,$T$7:$T$14,0))/30,0)</f>
        <v>0</v>
      </c>
      <c r="AC331" s="10">
        <f>IFERROR(MAX($Z331-积分赛!$C$7,0)*INDEX($U$7:$U$14,MATCH(AC$10,$T$7:$T$14,0))/30,0)</f>
        <v>0</v>
      </c>
      <c r="AD331" s="10">
        <f>IFERROR(MAX($Z331-积分赛!$C$7,0)*INDEX($U$7:$U$14,MATCH(AD$10,$T$7:$T$14,0))/30,0)</f>
        <v>776000</v>
      </c>
      <c r="AE331" s="10">
        <f>IFERROR(MAX($Z331-积分赛!$C$7,0)*INDEX($U$7:$U$14,MATCH(AE$10,$T$7:$T$14,0))/30,0)</f>
        <v>9700000</v>
      </c>
      <c r="AF331" s="10">
        <f>MAX($Z331-积分赛!$C$7,0)*(IFERROR(INDEX($W$7:$W$14,MATCH(AF$10,$T$7:$T$14,0)),0)*$T$20+IFERROR(INDEX($X$7:$X$14,MATCH(AF$10,$T$7:$T$14,0)),0)*$T$21)/30</f>
        <v>0</v>
      </c>
      <c r="AG331" s="10">
        <f>MAX($Z331-积分赛!$C$7,0)*(IFERROR(INDEX($W$7:$W$14,MATCH(AG$10,$T$7:$T$14,0)),0)*$T$20+IFERROR(INDEX($X$7:$X$14,MATCH(AG$10,$T$7:$T$14,0)),0)*$T$21)/30</f>
        <v>0</v>
      </c>
      <c r="AH331" s="10">
        <f>MAX($Z331-积分赛!$C$7,0)*(IFERROR(INDEX($W$7:$W$14,MATCH(AH$10,$T$7:$T$14,0)),0)*$T$20+IFERROR(INDEX($X$7:$X$14,MATCH(AH$10,$T$7:$T$14,0)),0)*$T$21)/30</f>
        <v>0</v>
      </c>
      <c r="AI331" s="10">
        <f>MAX($Z331-积分赛!$C$7,0)*(IFERROR(INDEX($W$7:$W$14,MATCH(AI$10,$T$7:$T$14,0)),0)*$T$20+IFERROR(INDEX($X$7:$X$14,MATCH(AI$10,$T$7:$T$14,0)),0)*$T$21)/30</f>
        <v>29633.5</v>
      </c>
      <c r="AJ331" s="10">
        <f>MAX($Z331-积分赛!$C$7,0)*(IFERROR(INDEX($W$7:$W$14,MATCH(AJ$10,$T$7:$T$14,0)),0)*$T$20+IFERROR(INDEX($X$7:$X$14,MATCH(AJ$10,$T$7:$T$14,0)),0)*$T$21)/30</f>
        <v>177801</v>
      </c>
      <c r="BI331" s="10">
        <v>321</v>
      </c>
      <c r="BJ331" s="10">
        <f>MAX($BI331-积分赛!$C$7,0)*$BC$10/30</f>
        <v>970000</v>
      </c>
      <c r="BK331" s="10">
        <f>MAX($BI331-积分赛!$C$7,0)*$BC$10/30</f>
        <v>970000</v>
      </c>
      <c r="BL331" s="10">
        <f>MAX($BI331-积分赛!$C$7,0)*$BC$10/30</f>
        <v>970000</v>
      </c>
      <c r="BM331" s="10">
        <f>MAX($BI331-积分赛!$C$7,0)*$BC$10/30</f>
        <v>970000</v>
      </c>
      <c r="BN331" s="10">
        <f>MAX($BI331-积分赛!$C$7,0)*$BC$10/30</f>
        <v>970000</v>
      </c>
    </row>
    <row r="332" spans="26:66" x14ac:dyDescent="0.15">
      <c r="Z332" s="10">
        <v>322</v>
      </c>
      <c r="AA332" s="10">
        <f>IFERROR(MAX($Z332-积分赛!$C$7,0)*INDEX($U$7:$U$14,MATCH(AA$10,$T$7:$T$14,0))/30,0)</f>
        <v>0</v>
      </c>
      <c r="AB332" s="10">
        <f>IFERROR(MAX($Z332-积分赛!$C$7,0)*INDEX($U$7:$U$14,MATCH(AB$10,$T$7:$T$14,0))/30,0)</f>
        <v>0</v>
      </c>
      <c r="AC332" s="10">
        <f>IFERROR(MAX($Z332-积分赛!$C$7,0)*INDEX($U$7:$U$14,MATCH(AC$10,$T$7:$T$14,0))/30,0)</f>
        <v>0</v>
      </c>
      <c r="AD332" s="10">
        <f>IFERROR(MAX($Z332-积分赛!$C$7,0)*INDEX($U$7:$U$14,MATCH(AD$10,$T$7:$T$14,0))/30,0)</f>
        <v>778666.66666666663</v>
      </c>
      <c r="AE332" s="10">
        <f>IFERROR(MAX($Z332-积分赛!$C$7,0)*INDEX($U$7:$U$14,MATCH(AE$10,$T$7:$T$14,0))/30,0)</f>
        <v>9733333.333333334</v>
      </c>
      <c r="AF332" s="10">
        <f>MAX($Z332-积分赛!$C$7,0)*(IFERROR(INDEX($W$7:$W$14,MATCH(AF$10,$T$7:$T$14,0)),0)*$T$20+IFERROR(INDEX($X$7:$X$14,MATCH(AF$10,$T$7:$T$14,0)),0)*$T$21)/30</f>
        <v>0</v>
      </c>
      <c r="AG332" s="10">
        <f>MAX($Z332-积分赛!$C$7,0)*(IFERROR(INDEX($W$7:$W$14,MATCH(AG$10,$T$7:$T$14,0)),0)*$T$20+IFERROR(INDEX($X$7:$X$14,MATCH(AG$10,$T$7:$T$14,0)),0)*$T$21)/30</f>
        <v>0</v>
      </c>
      <c r="AH332" s="10">
        <f>MAX($Z332-积分赛!$C$7,0)*(IFERROR(INDEX($W$7:$W$14,MATCH(AH$10,$T$7:$T$14,0)),0)*$T$20+IFERROR(INDEX($X$7:$X$14,MATCH(AH$10,$T$7:$T$14,0)),0)*$T$21)/30</f>
        <v>0</v>
      </c>
      <c r="AI332" s="10">
        <f>MAX($Z332-积分赛!$C$7,0)*(IFERROR(INDEX($W$7:$W$14,MATCH(AI$10,$T$7:$T$14,0)),0)*$T$20+IFERROR(INDEX($X$7:$X$14,MATCH(AI$10,$T$7:$T$14,0)),0)*$T$21)/30</f>
        <v>29735.333333333332</v>
      </c>
      <c r="AJ332" s="10">
        <f>MAX($Z332-积分赛!$C$7,0)*(IFERROR(INDEX($W$7:$W$14,MATCH(AJ$10,$T$7:$T$14,0)),0)*$T$20+IFERROR(INDEX($X$7:$X$14,MATCH(AJ$10,$T$7:$T$14,0)),0)*$T$21)/30</f>
        <v>178412</v>
      </c>
      <c r="BI332" s="10">
        <v>322</v>
      </c>
      <c r="BJ332" s="10">
        <f>MAX($BI332-积分赛!$C$7,0)*$BC$10/30</f>
        <v>973333.33333333337</v>
      </c>
      <c r="BK332" s="10">
        <f>MAX($BI332-积分赛!$C$7,0)*$BC$10/30</f>
        <v>973333.33333333337</v>
      </c>
      <c r="BL332" s="10">
        <f>MAX($BI332-积分赛!$C$7,0)*$BC$10/30</f>
        <v>973333.33333333337</v>
      </c>
      <c r="BM332" s="10">
        <f>MAX($BI332-积分赛!$C$7,0)*$BC$10/30</f>
        <v>973333.33333333337</v>
      </c>
      <c r="BN332" s="10">
        <f>MAX($BI332-积分赛!$C$7,0)*$BC$10/30</f>
        <v>973333.33333333337</v>
      </c>
    </row>
    <row r="333" spans="26:66" x14ac:dyDescent="0.15">
      <c r="Z333" s="10">
        <v>323</v>
      </c>
      <c r="AA333" s="10">
        <f>IFERROR(MAX($Z333-积分赛!$C$7,0)*INDEX($U$7:$U$14,MATCH(AA$10,$T$7:$T$14,0))/30,0)</f>
        <v>0</v>
      </c>
      <c r="AB333" s="10">
        <f>IFERROR(MAX($Z333-积分赛!$C$7,0)*INDEX($U$7:$U$14,MATCH(AB$10,$T$7:$T$14,0))/30,0)</f>
        <v>0</v>
      </c>
      <c r="AC333" s="10">
        <f>IFERROR(MAX($Z333-积分赛!$C$7,0)*INDEX($U$7:$U$14,MATCH(AC$10,$T$7:$T$14,0))/30,0)</f>
        <v>0</v>
      </c>
      <c r="AD333" s="10">
        <f>IFERROR(MAX($Z333-积分赛!$C$7,0)*INDEX($U$7:$U$14,MATCH(AD$10,$T$7:$T$14,0))/30,0)</f>
        <v>781333.33333333337</v>
      </c>
      <c r="AE333" s="10">
        <f>IFERROR(MAX($Z333-积分赛!$C$7,0)*INDEX($U$7:$U$14,MATCH(AE$10,$T$7:$T$14,0))/30,0)</f>
        <v>9766666.666666666</v>
      </c>
      <c r="AF333" s="10">
        <f>MAX($Z333-积分赛!$C$7,0)*(IFERROR(INDEX($W$7:$W$14,MATCH(AF$10,$T$7:$T$14,0)),0)*$T$20+IFERROR(INDEX($X$7:$X$14,MATCH(AF$10,$T$7:$T$14,0)),0)*$T$21)/30</f>
        <v>0</v>
      </c>
      <c r="AG333" s="10">
        <f>MAX($Z333-积分赛!$C$7,0)*(IFERROR(INDEX($W$7:$W$14,MATCH(AG$10,$T$7:$T$14,0)),0)*$T$20+IFERROR(INDEX($X$7:$X$14,MATCH(AG$10,$T$7:$T$14,0)),0)*$T$21)/30</f>
        <v>0</v>
      </c>
      <c r="AH333" s="10">
        <f>MAX($Z333-积分赛!$C$7,0)*(IFERROR(INDEX($W$7:$W$14,MATCH(AH$10,$T$7:$T$14,0)),0)*$T$20+IFERROR(INDEX($X$7:$X$14,MATCH(AH$10,$T$7:$T$14,0)),0)*$T$21)/30</f>
        <v>0</v>
      </c>
      <c r="AI333" s="10">
        <f>MAX($Z333-积分赛!$C$7,0)*(IFERROR(INDEX($W$7:$W$14,MATCH(AI$10,$T$7:$T$14,0)),0)*$T$20+IFERROR(INDEX($X$7:$X$14,MATCH(AI$10,$T$7:$T$14,0)),0)*$T$21)/30</f>
        <v>29837.166666666668</v>
      </c>
      <c r="AJ333" s="10">
        <f>MAX($Z333-积分赛!$C$7,0)*(IFERROR(INDEX($W$7:$W$14,MATCH(AJ$10,$T$7:$T$14,0)),0)*$T$20+IFERROR(INDEX($X$7:$X$14,MATCH(AJ$10,$T$7:$T$14,0)),0)*$T$21)/30</f>
        <v>179023</v>
      </c>
      <c r="BI333" s="10">
        <v>323</v>
      </c>
      <c r="BJ333" s="10">
        <f>MAX($BI333-积分赛!$C$7,0)*$BC$10/30</f>
        <v>976666.66666666663</v>
      </c>
      <c r="BK333" s="10">
        <f>MAX($BI333-积分赛!$C$7,0)*$BC$10/30</f>
        <v>976666.66666666663</v>
      </c>
      <c r="BL333" s="10">
        <f>MAX($BI333-积分赛!$C$7,0)*$BC$10/30</f>
        <v>976666.66666666663</v>
      </c>
      <c r="BM333" s="10">
        <f>MAX($BI333-积分赛!$C$7,0)*$BC$10/30</f>
        <v>976666.66666666663</v>
      </c>
      <c r="BN333" s="10">
        <f>MAX($BI333-积分赛!$C$7,0)*$BC$10/30</f>
        <v>976666.66666666663</v>
      </c>
    </row>
    <row r="334" spans="26:66" x14ac:dyDescent="0.15">
      <c r="Z334" s="10">
        <v>324</v>
      </c>
      <c r="AA334" s="10">
        <f>IFERROR(MAX($Z334-积分赛!$C$7,0)*INDEX($U$7:$U$14,MATCH(AA$10,$T$7:$T$14,0))/30,0)</f>
        <v>0</v>
      </c>
      <c r="AB334" s="10">
        <f>IFERROR(MAX($Z334-积分赛!$C$7,0)*INDEX($U$7:$U$14,MATCH(AB$10,$T$7:$T$14,0))/30,0)</f>
        <v>0</v>
      </c>
      <c r="AC334" s="10">
        <f>IFERROR(MAX($Z334-积分赛!$C$7,0)*INDEX($U$7:$U$14,MATCH(AC$10,$T$7:$T$14,0))/30,0)</f>
        <v>0</v>
      </c>
      <c r="AD334" s="10">
        <f>IFERROR(MAX($Z334-积分赛!$C$7,0)*INDEX($U$7:$U$14,MATCH(AD$10,$T$7:$T$14,0))/30,0)</f>
        <v>784000</v>
      </c>
      <c r="AE334" s="10">
        <f>IFERROR(MAX($Z334-积分赛!$C$7,0)*INDEX($U$7:$U$14,MATCH(AE$10,$T$7:$T$14,0))/30,0)</f>
        <v>9800000</v>
      </c>
      <c r="AF334" s="10">
        <f>MAX($Z334-积分赛!$C$7,0)*(IFERROR(INDEX($W$7:$W$14,MATCH(AF$10,$T$7:$T$14,0)),0)*$T$20+IFERROR(INDEX($X$7:$X$14,MATCH(AF$10,$T$7:$T$14,0)),0)*$T$21)/30</f>
        <v>0</v>
      </c>
      <c r="AG334" s="10">
        <f>MAX($Z334-积分赛!$C$7,0)*(IFERROR(INDEX($W$7:$W$14,MATCH(AG$10,$T$7:$T$14,0)),0)*$T$20+IFERROR(INDEX($X$7:$X$14,MATCH(AG$10,$T$7:$T$14,0)),0)*$T$21)/30</f>
        <v>0</v>
      </c>
      <c r="AH334" s="10">
        <f>MAX($Z334-积分赛!$C$7,0)*(IFERROR(INDEX($W$7:$W$14,MATCH(AH$10,$T$7:$T$14,0)),0)*$T$20+IFERROR(INDEX($X$7:$X$14,MATCH(AH$10,$T$7:$T$14,0)),0)*$T$21)/30</f>
        <v>0</v>
      </c>
      <c r="AI334" s="10">
        <f>MAX($Z334-积分赛!$C$7,0)*(IFERROR(INDEX($W$7:$W$14,MATCH(AI$10,$T$7:$T$14,0)),0)*$T$20+IFERROR(INDEX($X$7:$X$14,MATCH(AI$10,$T$7:$T$14,0)),0)*$T$21)/30</f>
        <v>29939</v>
      </c>
      <c r="AJ334" s="10">
        <f>MAX($Z334-积分赛!$C$7,0)*(IFERROR(INDEX($W$7:$W$14,MATCH(AJ$10,$T$7:$T$14,0)),0)*$T$20+IFERROR(INDEX($X$7:$X$14,MATCH(AJ$10,$T$7:$T$14,0)),0)*$T$21)/30</f>
        <v>179634</v>
      </c>
      <c r="BI334" s="10">
        <v>324</v>
      </c>
      <c r="BJ334" s="10">
        <f>MAX($BI334-积分赛!$C$7,0)*$BC$10/30</f>
        <v>980000</v>
      </c>
      <c r="BK334" s="10">
        <f>MAX($BI334-积分赛!$C$7,0)*$BC$10/30</f>
        <v>980000</v>
      </c>
      <c r="BL334" s="10">
        <f>MAX($BI334-积分赛!$C$7,0)*$BC$10/30</f>
        <v>980000</v>
      </c>
      <c r="BM334" s="10">
        <f>MAX($BI334-积分赛!$C$7,0)*$BC$10/30</f>
        <v>980000</v>
      </c>
      <c r="BN334" s="10">
        <f>MAX($BI334-积分赛!$C$7,0)*$BC$10/30</f>
        <v>980000</v>
      </c>
    </row>
    <row r="335" spans="26:66" x14ac:dyDescent="0.15">
      <c r="Z335" s="10">
        <v>325</v>
      </c>
      <c r="AA335" s="10">
        <f>IFERROR(MAX($Z335-积分赛!$C$7,0)*INDEX($U$7:$U$14,MATCH(AA$10,$T$7:$T$14,0))/30,0)</f>
        <v>0</v>
      </c>
      <c r="AB335" s="10">
        <f>IFERROR(MAX($Z335-积分赛!$C$7,0)*INDEX($U$7:$U$14,MATCH(AB$10,$T$7:$T$14,0))/30,0)</f>
        <v>0</v>
      </c>
      <c r="AC335" s="10">
        <f>IFERROR(MAX($Z335-积分赛!$C$7,0)*INDEX($U$7:$U$14,MATCH(AC$10,$T$7:$T$14,0))/30,0)</f>
        <v>0</v>
      </c>
      <c r="AD335" s="10">
        <f>IFERROR(MAX($Z335-积分赛!$C$7,0)*INDEX($U$7:$U$14,MATCH(AD$10,$T$7:$T$14,0))/30,0)</f>
        <v>786666.66666666663</v>
      </c>
      <c r="AE335" s="10">
        <f>IFERROR(MAX($Z335-积分赛!$C$7,0)*INDEX($U$7:$U$14,MATCH(AE$10,$T$7:$T$14,0))/30,0)</f>
        <v>9833333.333333334</v>
      </c>
      <c r="AF335" s="10">
        <f>MAX($Z335-积分赛!$C$7,0)*(IFERROR(INDEX($W$7:$W$14,MATCH(AF$10,$T$7:$T$14,0)),0)*$T$20+IFERROR(INDEX($X$7:$X$14,MATCH(AF$10,$T$7:$T$14,0)),0)*$T$21)/30</f>
        <v>0</v>
      </c>
      <c r="AG335" s="10">
        <f>MAX($Z335-积分赛!$C$7,0)*(IFERROR(INDEX($W$7:$W$14,MATCH(AG$10,$T$7:$T$14,0)),0)*$T$20+IFERROR(INDEX($X$7:$X$14,MATCH(AG$10,$T$7:$T$14,0)),0)*$T$21)/30</f>
        <v>0</v>
      </c>
      <c r="AH335" s="10">
        <f>MAX($Z335-积分赛!$C$7,0)*(IFERROR(INDEX($W$7:$W$14,MATCH(AH$10,$T$7:$T$14,0)),0)*$T$20+IFERROR(INDEX($X$7:$X$14,MATCH(AH$10,$T$7:$T$14,0)),0)*$T$21)/30</f>
        <v>0</v>
      </c>
      <c r="AI335" s="10">
        <f>MAX($Z335-积分赛!$C$7,0)*(IFERROR(INDEX($W$7:$W$14,MATCH(AI$10,$T$7:$T$14,0)),0)*$T$20+IFERROR(INDEX($X$7:$X$14,MATCH(AI$10,$T$7:$T$14,0)),0)*$T$21)/30</f>
        <v>30040.833333333332</v>
      </c>
      <c r="AJ335" s="10">
        <f>MAX($Z335-积分赛!$C$7,0)*(IFERROR(INDEX($W$7:$W$14,MATCH(AJ$10,$T$7:$T$14,0)),0)*$T$20+IFERROR(INDEX($X$7:$X$14,MATCH(AJ$10,$T$7:$T$14,0)),0)*$T$21)/30</f>
        <v>180245</v>
      </c>
      <c r="BI335" s="10">
        <v>325</v>
      </c>
      <c r="BJ335" s="10">
        <f>MAX($BI335-积分赛!$C$7,0)*$BC$10/30</f>
        <v>983333.33333333337</v>
      </c>
      <c r="BK335" s="10">
        <f>MAX($BI335-积分赛!$C$7,0)*$BC$10/30</f>
        <v>983333.33333333337</v>
      </c>
      <c r="BL335" s="10">
        <f>MAX($BI335-积分赛!$C$7,0)*$BC$10/30</f>
        <v>983333.33333333337</v>
      </c>
      <c r="BM335" s="10">
        <f>MAX($BI335-积分赛!$C$7,0)*$BC$10/30</f>
        <v>983333.33333333337</v>
      </c>
      <c r="BN335" s="10">
        <f>MAX($BI335-积分赛!$C$7,0)*$BC$10/30</f>
        <v>983333.33333333337</v>
      </c>
    </row>
    <row r="336" spans="26:66" x14ac:dyDescent="0.15">
      <c r="Z336" s="10">
        <v>326</v>
      </c>
      <c r="AA336" s="10">
        <f>IFERROR(MAX($Z336-积分赛!$C$7,0)*INDEX($U$7:$U$14,MATCH(AA$10,$T$7:$T$14,0))/30,0)</f>
        <v>0</v>
      </c>
      <c r="AB336" s="10">
        <f>IFERROR(MAX($Z336-积分赛!$C$7,0)*INDEX($U$7:$U$14,MATCH(AB$10,$T$7:$T$14,0))/30,0)</f>
        <v>0</v>
      </c>
      <c r="AC336" s="10">
        <f>IFERROR(MAX($Z336-积分赛!$C$7,0)*INDEX($U$7:$U$14,MATCH(AC$10,$T$7:$T$14,0))/30,0)</f>
        <v>0</v>
      </c>
      <c r="AD336" s="10">
        <f>IFERROR(MAX($Z336-积分赛!$C$7,0)*INDEX($U$7:$U$14,MATCH(AD$10,$T$7:$T$14,0))/30,0)</f>
        <v>789333.33333333337</v>
      </c>
      <c r="AE336" s="10">
        <f>IFERROR(MAX($Z336-积分赛!$C$7,0)*INDEX($U$7:$U$14,MATCH(AE$10,$T$7:$T$14,0))/30,0)</f>
        <v>9866666.666666666</v>
      </c>
      <c r="AF336" s="10">
        <f>MAX($Z336-积分赛!$C$7,0)*(IFERROR(INDEX($W$7:$W$14,MATCH(AF$10,$T$7:$T$14,0)),0)*$T$20+IFERROR(INDEX($X$7:$X$14,MATCH(AF$10,$T$7:$T$14,0)),0)*$T$21)/30</f>
        <v>0</v>
      </c>
      <c r="AG336" s="10">
        <f>MAX($Z336-积分赛!$C$7,0)*(IFERROR(INDEX($W$7:$W$14,MATCH(AG$10,$T$7:$T$14,0)),0)*$T$20+IFERROR(INDEX($X$7:$X$14,MATCH(AG$10,$T$7:$T$14,0)),0)*$T$21)/30</f>
        <v>0</v>
      </c>
      <c r="AH336" s="10">
        <f>MAX($Z336-积分赛!$C$7,0)*(IFERROR(INDEX($W$7:$W$14,MATCH(AH$10,$T$7:$T$14,0)),0)*$T$20+IFERROR(INDEX($X$7:$X$14,MATCH(AH$10,$T$7:$T$14,0)),0)*$T$21)/30</f>
        <v>0</v>
      </c>
      <c r="AI336" s="10">
        <f>MAX($Z336-积分赛!$C$7,0)*(IFERROR(INDEX($W$7:$W$14,MATCH(AI$10,$T$7:$T$14,0)),0)*$T$20+IFERROR(INDEX($X$7:$X$14,MATCH(AI$10,$T$7:$T$14,0)),0)*$T$21)/30</f>
        <v>30142.666666666668</v>
      </c>
      <c r="AJ336" s="10">
        <f>MAX($Z336-积分赛!$C$7,0)*(IFERROR(INDEX($W$7:$W$14,MATCH(AJ$10,$T$7:$T$14,0)),0)*$T$20+IFERROR(INDEX($X$7:$X$14,MATCH(AJ$10,$T$7:$T$14,0)),0)*$T$21)/30</f>
        <v>180856</v>
      </c>
      <c r="BI336" s="10">
        <v>326</v>
      </c>
      <c r="BJ336" s="10">
        <f>MAX($BI336-积分赛!$C$7,0)*$BC$10/30</f>
        <v>986666.66666666663</v>
      </c>
      <c r="BK336" s="10">
        <f>MAX($BI336-积分赛!$C$7,0)*$BC$10/30</f>
        <v>986666.66666666663</v>
      </c>
      <c r="BL336" s="10">
        <f>MAX($BI336-积分赛!$C$7,0)*$BC$10/30</f>
        <v>986666.66666666663</v>
      </c>
      <c r="BM336" s="10">
        <f>MAX($BI336-积分赛!$C$7,0)*$BC$10/30</f>
        <v>986666.66666666663</v>
      </c>
      <c r="BN336" s="10">
        <f>MAX($BI336-积分赛!$C$7,0)*$BC$10/30</f>
        <v>986666.66666666663</v>
      </c>
    </row>
    <row r="337" spans="26:66" x14ac:dyDescent="0.15">
      <c r="Z337" s="10">
        <v>327</v>
      </c>
      <c r="AA337" s="10">
        <f>IFERROR(MAX($Z337-积分赛!$C$7,0)*INDEX($U$7:$U$14,MATCH(AA$10,$T$7:$T$14,0))/30,0)</f>
        <v>0</v>
      </c>
      <c r="AB337" s="10">
        <f>IFERROR(MAX($Z337-积分赛!$C$7,0)*INDEX($U$7:$U$14,MATCH(AB$10,$T$7:$T$14,0))/30,0)</f>
        <v>0</v>
      </c>
      <c r="AC337" s="10">
        <f>IFERROR(MAX($Z337-积分赛!$C$7,0)*INDEX($U$7:$U$14,MATCH(AC$10,$T$7:$T$14,0))/30,0)</f>
        <v>0</v>
      </c>
      <c r="AD337" s="10">
        <f>IFERROR(MAX($Z337-积分赛!$C$7,0)*INDEX($U$7:$U$14,MATCH(AD$10,$T$7:$T$14,0))/30,0)</f>
        <v>792000</v>
      </c>
      <c r="AE337" s="10">
        <f>IFERROR(MAX($Z337-积分赛!$C$7,0)*INDEX($U$7:$U$14,MATCH(AE$10,$T$7:$T$14,0))/30,0)</f>
        <v>9900000</v>
      </c>
      <c r="AF337" s="10">
        <f>MAX($Z337-积分赛!$C$7,0)*(IFERROR(INDEX($W$7:$W$14,MATCH(AF$10,$T$7:$T$14,0)),0)*$T$20+IFERROR(INDEX($X$7:$X$14,MATCH(AF$10,$T$7:$T$14,0)),0)*$T$21)/30</f>
        <v>0</v>
      </c>
      <c r="AG337" s="10">
        <f>MAX($Z337-积分赛!$C$7,0)*(IFERROR(INDEX($W$7:$W$14,MATCH(AG$10,$T$7:$T$14,0)),0)*$T$20+IFERROR(INDEX($X$7:$X$14,MATCH(AG$10,$T$7:$T$14,0)),0)*$T$21)/30</f>
        <v>0</v>
      </c>
      <c r="AH337" s="10">
        <f>MAX($Z337-积分赛!$C$7,0)*(IFERROR(INDEX($W$7:$W$14,MATCH(AH$10,$T$7:$T$14,0)),0)*$T$20+IFERROR(INDEX($X$7:$X$14,MATCH(AH$10,$T$7:$T$14,0)),0)*$T$21)/30</f>
        <v>0</v>
      </c>
      <c r="AI337" s="10">
        <f>MAX($Z337-积分赛!$C$7,0)*(IFERROR(INDEX($W$7:$W$14,MATCH(AI$10,$T$7:$T$14,0)),0)*$T$20+IFERROR(INDEX($X$7:$X$14,MATCH(AI$10,$T$7:$T$14,0)),0)*$T$21)/30</f>
        <v>30244.5</v>
      </c>
      <c r="AJ337" s="10">
        <f>MAX($Z337-积分赛!$C$7,0)*(IFERROR(INDEX($W$7:$W$14,MATCH(AJ$10,$T$7:$T$14,0)),0)*$T$20+IFERROR(INDEX($X$7:$X$14,MATCH(AJ$10,$T$7:$T$14,0)),0)*$T$21)/30</f>
        <v>181467</v>
      </c>
      <c r="BI337" s="10">
        <v>327</v>
      </c>
      <c r="BJ337" s="10">
        <f>MAX($BI337-积分赛!$C$7,0)*$BC$10/30</f>
        <v>990000</v>
      </c>
      <c r="BK337" s="10">
        <f>MAX($BI337-积分赛!$C$7,0)*$BC$10/30</f>
        <v>990000</v>
      </c>
      <c r="BL337" s="10">
        <f>MAX($BI337-积分赛!$C$7,0)*$BC$10/30</f>
        <v>990000</v>
      </c>
      <c r="BM337" s="10">
        <f>MAX($BI337-积分赛!$C$7,0)*$BC$10/30</f>
        <v>990000</v>
      </c>
      <c r="BN337" s="10">
        <f>MAX($BI337-积分赛!$C$7,0)*$BC$10/30</f>
        <v>990000</v>
      </c>
    </row>
    <row r="338" spans="26:66" x14ac:dyDescent="0.15">
      <c r="Z338" s="10">
        <v>328</v>
      </c>
      <c r="AA338" s="10">
        <f>IFERROR(MAX($Z338-积分赛!$C$7,0)*INDEX($U$7:$U$14,MATCH(AA$10,$T$7:$T$14,0))/30,0)</f>
        <v>0</v>
      </c>
      <c r="AB338" s="10">
        <f>IFERROR(MAX($Z338-积分赛!$C$7,0)*INDEX($U$7:$U$14,MATCH(AB$10,$T$7:$T$14,0))/30,0)</f>
        <v>0</v>
      </c>
      <c r="AC338" s="10">
        <f>IFERROR(MAX($Z338-积分赛!$C$7,0)*INDEX($U$7:$U$14,MATCH(AC$10,$T$7:$T$14,0))/30,0)</f>
        <v>0</v>
      </c>
      <c r="AD338" s="10">
        <f>IFERROR(MAX($Z338-积分赛!$C$7,0)*INDEX($U$7:$U$14,MATCH(AD$10,$T$7:$T$14,0))/30,0)</f>
        <v>794666.66666666663</v>
      </c>
      <c r="AE338" s="10">
        <f>IFERROR(MAX($Z338-积分赛!$C$7,0)*INDEX($U$7:$U$14,MATCH(AE$10,$T$7:$T$14,0))/30,0)</f>
        <v>9933333.333333334</v>
      </c>
      <c r="AF338" s="10">
        <f>MAX($Z338-积分赛!$C$7,0)*(IFERROR(INDEX($W$7:$W$14,MATCH(AF$10,$T$7:$T$14,0)),0)*$T$20+IFERROR(INDEX($X$7:$X$14,MATCH(AF$10,$T$7:$T$14,0)),0)*$T$21)/30</f>
        <v>0</v>
      </c>
      <c r="AG338" s="10">
        <f>MAX($Z338-积分赛!$C$7,0)*(IFERROR(INDEX($W$7:$W$14,MATCH(AG$10,$T$7:$T$14,0)),0)*$T$20+IFERROR(INDEX($X$7:$X$14,MATCH(AG$10,$T$7:$T$14,0)),0)*$T$21)/30</f>
        <v>0</v>
      </c>
      <c r="AH338" s="10">
        <f>MAX($Z338-积分赛!$C$7,0)*(IFERROR(INDEX($W$7:$W$14,MATCH(AH$10,$T$7:$T$14,0)),0)*$T$20+IFERROR(INDEX($X$7:$X$14,MATCH(AH$10,$T$7:$T$14,0)),0)*$T$21)/30</f>
        <v>0</v>
      </c>
      <c r="AI338" s="10">
        <f>MAX($Z338-积分赛!$C$7,0)*(IFERROR(INDEX($W$7:$W$14,MATCH(AI$10,$T$7:$T$14,0)),0)*$T$20+IFERROR(INDEX($X$7:$X$14,MATCH(AI$10,$T$7:$T$14,0)),0)*$T$21)/30</f>
        <v>30346.333333333332</v>
      </c>
      <c r="AJ338" s="10">
        <f>MAX($Z338-积分赛!$C$7,0)*(IFERROR(INDEX($W$7:$W$14,MATCH(AJ$10,$T$7:$T$14,0)),0)*$T$20+IFERROR(INDEX($X$7:$X$14,MATCH(AJ$10,$T$7:$T$14,0)),0)*$T$21)/30</f>
        <v>182078</v>
      </c>
      <c r="BI338" s="10">
        <v>328</v>
      </c>
      <c r="BJ338" s="10">
        <f>MAX($BI338-积分赛!$C$7,0)*$BC$10/30</f>
        <v>993333.33333333337</v>
      </c>
      <c r="BK338" s="10">
        <f>MAX($BI338-积分赛!$C$7,0)*$BC$10/30</f>
        <v>993333.33333333337</v>
      </c>
      <c r="BL338" s="10">
        <f>MAX($BI338-积分赛!$C$7,0)*$BC$10/30</f>
        <v>993333.33333333337</v>
      </c>
      <c r="BM338" s="10">
        <f>MAX($BI338-积分赛!$C$7,0)*$BC$10/30</f>
        <v>993333.33333333337</v>
      </c>
      <c r="BN338" s="10">
        <f>MAX($BI338-积分赛!$C$7,0)*$BC$10/30</f>
        <v>993333.33333333337</v>
      </c>
    </row>
    <row r="339" spans="26:66" x14ac:dyDescent="0.15">
      <c r="Z339" s="10">
        <v>329</v>
      </c>
      <c r="AA339" s="10">
        <f>IFERROR(MAX($Z339-积分赛!$C$7,0)*INDEX($U$7:$U$14,MATCH(AA$10,$T$7:$T$14,0))/30,0)</f>
        <v>0</v>
      </c>
      <c r="AB339" s="10">
        <f>IFERROR(MAX($Z339-积分赛!$C$7,0)*INDEX($U$7:$U$14,MATCH(AB$10,$T$7:$T$14,0))/30,0)</f>
        <v>0</v>
      </c>
      <c r="AC339" s="10">
        <f>IFERROR(MAX($Z339-积分赛!$C$7,0)*INDEX($U$7:$U$14,MATCH(AC$10,$T$7:$T$14,0))/30,0)</f>
        <v>0</v>
      </c>
      <c r="AD339" s="10">
        <f>IFERROR(MAX($Z339-积分赛!$C$7,0)*INDEX($U$7:$U$14,MATCH(AD$10,$T$7:$T$14,0))/30,0)</f>
        <v>797333.33333333337</v>
      </c>
      <c r="AE339" s="10">
        <f>IFERROR(MAX($Z339-积分赛!$C$7,0)*INDEX($U$7:$U$14,MATCH(AE$10,$T$7:$T$14,0))/30,0)</f>
        <v>9966666.666666666</v>
      </c>
      <c r="AF339" s="10">
        <f>MAX($Z339-积分赛!$C$7,0)*(IFERROR(INDEX($W$7:$W$14,MATCH(AF$10,$T$7:$T$14,0)),0)*$T$20+IFERROR(INDEX($X$7:$X$14,MATCH(AF$10,$T$7:$T$14,0)),0)*$T$21)/30</f>
        <v>0</v>
      </c>
      <c r="AG339" s="10">
        <f>MAX($Z339-积分赛!$C$7,0)*(IFERROR(INDEX($W$7:$W$14,MATCH(AG$10,$T$7:$T$14,0)),0)*$T$20+IFERROR(INDEX($X$7:$X$14,MATCH(AG$10,$T$7:$T$14,0)),0)*$T$21)/30</f>
        <v>0</v>
      </c>
      <c r="AH339" s="10">
        <f>MAX($Z339-积分赛!$C$7,0)*(IFERROR(INDEX($W$7:$W$14,MATCH(AH$10,$T$7:$T$14,0)),0)*$T$20+IFERROR(INDEX($X$7:$X$14,MATCH(AH$10,$T$7:$T$14,0)),0)*$T$21)/30</f>
        <v>0</v>
      </c>
      <c r="AI339" s="10">
        <f>MAX($Z339-积分赛!$C$7,0)*(IFERROR(INDEX($W$7:$W$14,MATCH(AI$10,$T$7:$T$14,0)),0)*$T$20+IFERROR(INDEX($X$7:$X$14,MATCH(AI$10,$T$7:$T$14,0)),0)*$T$21)/30</f>
        <v>30448.166666666668</v>
      </c>
      <c r="AJ339" s="10">
        <f>MAX($Z339-积分赛!$C$7,0)*(IFERROR(INDEX($W$7:$W$14,MATCH(AJ$10,$T$7:$T$14,0)),0)*$T$20+IFERROR(INDEX($X$7:$X$14,MATCH(AJ$10,$T$7:$T$14,0)),0)*$T$21)/30</f>
        <v>182689</v>
      </c>
      <c r="BI339" s="10">
        <v>329</v>
      </c>
      <c r="BJ339" s="10">
        <f>MAX($BI339-积分赛!$C$7,0)*$BC$10/30</f>
        <v>996666.66666666663</v>
      </c>
      <c r="BK339" s="10">
        <f>MAX($BI339-积分赛!$C$7,0)*$BC$10/30</f>
        <v>996666.66666666663</v>
      </c>
      <c r="BL339" s="10">
        <f>MAX($BI339-积分赛!$C$7,0)*$BC$10/30</f>
        <v>996666.66666666663</v>
      </c>
      <c r="BM339" s="10">
        <f>MAX($BI339-积分赛!$C$7,0)*$BC$10/30</f>
        <v>996666.66666666663</v>
      </c>
      <c r="BN339" s="10">
        <f>MAX($BI339-积分赛!$C$7,0)*$BC$10/30</f>
        <v>996666.66666666663</v>
      </c>
    </row>
    <row r="340" spans="26:66" x14ac:dyDescent="0.15">
      <c r="Z340" s="10">
        <v>330</v>
      </c>
      <c r="AA340" s="10">
        <f>IFERROR(MAX($Z340-积分赛!$C$7,0)*INDEX($U$7:$U$14,MATCH(AA$10,$T$7:$T$14,0))/30,0)</f>
        <v>0</v>
      </c>
      <c r="AB340" s="10">
        <f>IFERROR(MAX($Z340-积分赛!$C$7,0)*INDEX($U$7:$U$14,MATCH(AB$10,$T$7:$T$14,0))/30,0)</f>
        <v>0</v>
      </c>
      <c r="AC340" s="10">
        <f>IFERROR(MAX($Z340-积分赛!$C$7,0)*INDEX($U$7:$U$14,MATCH(AC$10,$T$7:$T$14,0))/30,0)</f>
        <v>0</v>
      </c>
      <c r="AD340" s="10">
        <f>IFERROR(MAX($Z340-积分赛!$C$7,0)*INDEX($U$7:$U$14,MATCH(AD$10,$T$7:$T$14,0))/30,0)</f>
        <v>800000</v>
      </c>
      <c r="AE340" s="10">
        <f>IFERROR(MAX($Z340-积分赛!$C$7,0)*INDEX($U$7:$U$14,MATCH(AE$10,$T$7:$T$14,0))/30,0)</f>
        <v>10000000</v>
      </c>
      <c r="AF340" s="10">
        <f>MAX($Z340-积分赛!$C$7,0)*(IFERROR(INDEX($W$7:$W$14,MATCH(AF$10,$T$7:$T$14,0)),0)*$T$20+IFERROR(INDEX($X$7:$X$14,MATCH(AF$10,$T$7:$T$14,0)),0)*$T$21)/30</f>
        <v>0</v>
      </c>
      <c r="AG340" s="10">
        <f>MAX($Z340-积分赛!$C$7,0)*(IFERROR(INDEX($W$7:$W$14,MATCH(AG$10,$T$7:$T$14,0)),0)*$T$20+IFERROR(INDEX($X$7:$X$14,MATCH(AG$10,$T$7:$T$14,0)),0)*$T$21)/30</f>
        <v>0</v>
      </c>
      <c r="AH340" s="10">
        <f>MAX($Z340-积分赛!$C$7,0)*(IFERROR(INDEX($W$7:$W$14,MATCH(AH$10,$T$7:$T$14,0)),0)*$T$20+IFERROR(INDEX($X$7:$X$14,MATCH(AH$10,$T$7:$T$14,0)),0)*$T$21)/30</f>
        <v>0</v>
      </c>
      <c r="AI340" s="10">
        <f>MAX($Z340-积分赛!$C$7,0)*(IFERROR(INDEX($W$7:$W$14,MATCH(AI$10,$T$7:$T$14,0)),0)*$T$20+IFERROR(INDEX($X$7:$X$14,MATCH(AI$10,$T$7:$T$14,0)),0)*$T$21)/30</f>
        <v>30550</v>
      </c>
      <c r="AJ340" s="10">
        <f>MAX($Z340-积分赛!$C$7,0)*(IFERROR(INDEX($W$7:$W$14,MATCH(AJ$10,$T$7:$T$14,0)),0)*$T$20+IFERROR(INDEX($X$7:$X$14,MATCH(AJ$10,$T$7:$T$14,0)),0)*$T$21)/30</f>
        <v>183300</v>
      </c>
      <c r="BI340" s="10">
        <v>330</v>
      </c>
      <c r="BJ340" s="10">
        <f>MAX($BI340-积分赛!$C$7,0)*$BC$10/30</f>
        <v>1000000</v>
      </c>
      <c r="BK340" s="10">
        <f>MAX($BI340-积分赛!$C$7,0)*$BC$10/30</f>
        <v>1000000</v>
      </c>
      <c r="BL340" s="10">
        <f>MAX($BI340-积分赛!$C$7,0)*$BC$10/30</f>
        <v>1000000</v>
      </c>
      <c r="BM340" s="10">
        <f>MAX($BI340-积分赛!$C$7,0)*$BC$10/30</f>
        <v>1000000</v>
      </c>
      <c r="BN340" s="10">
        <f>MAX($BI340-积分赛!$C$7,0)*$BC$10/30</f>
        <v>1000000</v>
      </c>
    </row>
    <row r="341" spans="26:66" x14ac:dyDescent="0.15">
      <c r="Z341" s="10">
        <v>331</v>
      </c>
      <c r="AA341" s="10">
        <f>IFERROR(MAX($Z341-积分赛!$C$7,0)*INDEX($U$7:$U$14,MATCH(AA$10,$T$7:$T$14,0))/30,0)</f>
        <v>0</v>
      </c>
      <c r="AB341" s="10">
        <f>IFERROR(MAX($Z341-积分赛!$C$7,0)*INDEX($U$7:$U$14,MATCH(AB$10,$T$7:$T$14,0))/30,0)</f>
        <v>0</v>
      </c>
      <c r="AC341" s="10">
        <f>IFERROR(MAX($Z341-积分赛!$C$7,0)*INDEX($U$7:$U$14,MATCH(AC$10,$T$7:$T$14,0))/30,0)</f>
        <v>0</v>
      </c>
      <c r="AD341" s="10">
        <f>IFERROR(MAX($Z341-积分赛!$C$7,0)*INDEX($U$7:$U$14,MATCH(AD$10,$T$7:$T$14,0))/30,0)</f>
        <v>802666.66666666663</v>
      </c>
      <c r="AE341" s="10">
        <f>IFERROR(MAX($Z341-积分赛!$C$7,0)*INDEX($U$7:$U$14,MATCH(AE$10,$T$7:$T$14,0))/30,0)</f>
        <v>10033333.333333334</v>
      </c>
      <c r="AF341" s="10">
        <f>MAX($Z341-积分赛!$C$7,0)*(IFERROR(INDEX($W$7:$W$14,MATCH(AF$10,$T$7:$T$14,0)),0)*$T$20+IFERROR(INDEX($X$7:$X$14,MATCH(AF$10,$T$7:$T$14,0)),0)*$T$21)/30</f>
        <v>0</v>
      </c>
      <c r="AG341" s="10">
        <f>MAX($Z341-积分赛!$C$7,0)*(IFERROR(INDEX($W$7:$W$14,MATCH(AG$10,$T$7:$T$14,0)),0)*$T$20+IFERROR(INDEX($X$7:$X$14,MATCH(AG$10,$T$7:$T$14,0)),0)*$T$21)/30</f>
        <v>0</v>
      </c>
      <c r="AH341" s="10">
        <f>MAX($Z341-积分赛!$C$7,0)*(IFERROR(INDEX($W$7:$W$14,MATCH(AH$10,$T$7:$T$14,0)),0)*$T$20+IFERROR(INDEX($X$7:$X$14,MATCH(AH$10,$T$7:$T$14,0)),0)*$T$21)/30</f>
        <v>0</v>
      </c>
      <c r="AI341" s="10">
        <f>MAX($Z341-积分赛!$C$7,0)*(IFERROR(INDEX($W$7:$W$14,MATCH(AI$10,$T$7:$T$14,0)),0)*$T$20+IFERROR(INDEX($X$7:$X$14,MATCH(AI$10,$T$7:$T$14,0)),0)*$T$21)/30</f>
        <v>30651.833333333332</v>
      </c>
      <c r="AJ341" s="10">
        <f>MAX($Z341-积分赛!$C$7,0)*(IFERROR(INDEX($W$7:$W$14,MATCH(AJ$10,$T$7:$T$14,0)),0)*$T$20+IFERROR(INDEX($X$7:$X$14,MATCH(AJ$10,$T$7:$T$14,0)),0)*$T$21)/30</f>
        <v>183911</v>
      </c>
      <c r="BI341" s="10">
        <v>331</v>
      </c>
      <c r="BJ341" s="10">
        <f>MAX($BI341-积分赛!$C$7,0)*$BC$10/30</f>
        <v>1003333.3333333334</v>
      </c>
      <c r="BK341" s="10">
        <f>MAX($BI341-积分赛!$C$7,0)*$BC$10/30</f>
        <v>1003333.3333333334</v>
      </c>
      <c r="BL341" s="10">
        <f>MAX($BI341-积分赛!$C$7,0)*$BC$10/30</f>
        <v>1003333.3333333334</v>
      </c>
      <c r="BM341" s="10">
        <f>MAX($BI341-积分赛!$C$7,0)*$BC$10/30</f>
        <v>1003333.3333333334</v>
      </c>
      <c r="BN341" s="10">
        <f>MAX($BI341-积分赛!$C$7,0)*$BC$10/30</f>
        <v>1003333.3333333334</v>
      </c>
    </row>
    <row r="342" spans="26:66" x14ac:dyDescent="0.15">
      <c r="Z342" s="10">
        <v>332</v>
      </c>
      <c r="AA342" s="10">
        <f>IFERROR(MAX($Z342-积分赛!$C$7,0)*INDEX($U$7:$U$14,MATCH(AA$10,$T$7:$T$14,0))/30,0)</f>
        <v>0</v>
      </c>
      <c r="AB342" s="10">
        <f>IFERROR(MAX($Z342-积分赛!$C$7,0)*INDEX($U$7:$U$14,MATCH(AB$10,$T$7:$T$14,0))/30,0)</f>
        <v>0</v>
      </c>
      <c r="AC342" s="10">
        <f>IFERROR(MAX($Z342-积分赛!$C$7,0)*INDEX($U$7:$U$14,MATCH(AC$10,$T$7:$T$14,0))/30,0)</f>
        <v>0</v>
      </c>
      <c r="AD342" s="10">
        <f>IFERROR(MAX($Z342-积分赛!$C$7,0)*INDEX($U$7:$U$14,MATCH(AD$10,$T$7:$T$14,0))/30,0)</f>
        <v>805333.33333333337</v>
      </c>
      <c r="AE342" s="10">
        <f>IFERROR(MAX($Z342-积分赛!$C$7,0)*INDEX($U$7:$U$14,MATCH(AE$10,$T$7:$T$14,0))/30,0)</f>
        <v>10066666.666666666</v>
      </c>
      <c r="AF342" s="10">
        <f>MAX($Z342-积分赛!$C$7,0)*(IFERROR(INDEX($W$7:$W$14,MATCH(AF$10,$T$7:$T$14,0)),0)*$T$20+IFERROR(INDEX($X$7:$X$14,MATCH(AF$10,$T$7:$T$14,0)),0)*$T$21)/30</f>
        <v>0</v>
      </c>
      <c r="AG342" s="10">
        <f>MAX($Z342-积分赛!$C$7,0)*(IFERROR(INDEX($W$7:$W$14,MATCH(AG$10,$T$7:$T$14,0)),0)*$T$20+IFERROR(INDEX($X$7:$X$14,MATCH(AG$10,$T$7:$T$14,0)),0)*$T$21)/30</f>
        <v>0</v>
      </c>
      <c r="AH342" s="10">
        <f>MAX($Z342-积分赛!$C$7,0)*(IFERROR(INDEX($W$7:$W$14,MATCH(AH$10,$T$7:$T$14,0)),0)*$T$20+IFERROR(INDEX($X$7:$X$14,MATCH(AH$10,$T$7:$T$14,0)),0)*$T$21)/30</f>
        <v>0</v>
      </c>
      <c r="AI342" s="10">
        <f>MAX($Z342-积分赛!$C$7,0)*(IFERROR(INDEX($W$7:$W$14,MATCH(AI$10,$T$7:$T$14,0)),0)*$T$20+IFERROR(INDEX($X$7:$X$14,MATCH(AI$10,$T$7:$T$14,0)),0)*$T$21)/30</f>
        <v>30753.666666666668</v>
      </c>
      <c r="AJ342" s="10">
        <f>MAX($Z342-积分赛!$C$7,0)*(IFERROR(INDEX($W$7:$W$14,MATCH(AJ$10,$T$7:$T$14,0)),0)*$T$20+IFERROR(INDEX($X$7:$X$14,MATCH(AJ$10,$T$7:$T$14,0)),0)*$T$21)/30</f>
        <v>184522</v>
      </c>
      <c r="BI342" s="10">
        <v>332</v>
      </c>
      <c r="BJ342" s="10">
        <f>MAX($BI342-积分赛!$C$7,0)*$BC$10/30</f>
        <v>1006666.6666666666</v>
      </c>
      <c r="BK342" s="10">
        <f>MAX($BI342-积分赛!$C$7,0)*$BC$10/30</f>
        <v>1006666.6666666666</v>
      </c>
      <c r="BL342" s="10">
        <f>MAX($BI342-积分赛!$C$7,0)*$BC$10/30</f>
        <v>1006666.6666666666</v>
      </c>
      <c r="BM342" s="10">
        <f>MAX($BI342-积分赛!$C$7,0)*$BC$10/30</f>
        <v>1006666.6666666666</v>
      </c>
      <c r="BN342" s="10">
        <f>MAX($BI342-积分赛!$C$7,0)*$BC$10/30</f>
        <v>1006666.6666666666</v>
      </c>
    </row>
    <row r="343" spans="26:66" x14ac:dyDescent="0.15">
      <c r="Z343" s="10">
        <v>333</v>
      </c>
      <c r="AA343" s="10">
        <f>IFERROR(MAX($Z343-积分赛!$C$7,0)*INDEX($U$7:$U$14,MATCH(AA$10,$T$7:$T$14,0))/30,0)</f>
        <v>0</v>
      </c>
      <c r="AB343" s="10">
        <f>IFERROR(MAX($Z343-积分赛!$C$7,0)*INDEX($U$7:$U$14,MATCH(AB$10,$T$7:$T$14,0))/30,0)</f>
        <v>0</v>
      </c>
      <c r="AC343" s="10">
        <f>IFERROR(MAX($Z343-积分赛!$C$7,0)*INDEX($U$7:$U$14,MATCH(AC$10,$T$7:$T$14,0))/30,0)</f>
        <v>0</v>
      </c>
      <c r="AD343" s="10">
        <f>IFERROR(MAX($Z343-积分赛!$C$7,0)*INDEX($U$7:$U$14,MATCH(AD$10,$T$7:$T$14,0))/30,0)</f>
        <v>808000</v>
      </c>
      <c r="AE343" s="10">
        <f>IFERROR(MAX($Z343-积分赛!$C$7,0)*INDEX($U$7:$U$14,MATCH(AE$10,$T$7:$T$14,0))/30,0)</f>
        <v>10100000</v>
      </c>
      <c r="AF343" s="10">
        <f>MAX($Z343-积分赛!$C$7,0)*(IFERROR(INDEX($W$7:$W$14,MATCH(AF$10,$T$7:$T$14,0)),0)*$T$20+IFERROR(INDEX($X$7:$X$14,MATCH(AF$10,$T$7:$T$14,0)),0)*$T$21)/30</f>
        <v>0</v>
      </c>
      <c r="AG343" s="10">
        <f>MAX($Z343-积分赛!$C$7,0)*(IFERROR(INDEX($W$7:$W$14,MATCH(AG$10,$T$7:$T$14,0)),0)*$T$20+IFERROR(INDEX($X$7:$X$14,MATCH(AG$10,$T$7:$T$14,0)),0)*$T$21)/30</f>
        <v>0</v>
      </c>
      <c r="AH343" s="10">
        <f>MAX($Z343-积分赛!$C$7,0)*(IFERROR(INDEX($W$7:$W$14,MATCH(AH$10,$T$7:$T$14,0)),0)*$T$20+IFERROR(INDEX($X$7:$X$14,MATCH(AH$10,$T$7:$T$14,0)),0)*$T$21)/30</f>
        <v>0</v>
      </c>
      <c r="AI343" s="10">
        <f>MAX($Z343-积分赛!$C$7,0)*(IFERROR(INDEX($W$7:$W$14,MATCH(AI$10,$T$7:$T$14,0)),0)*$T$20+IFERROR(INDEX($X$7:$X$14,MATCH(AI$10,$T$7:$T$14,0)),0)*$T$21)/30</f>
        <v>30855.5</v>
      </c>
      <c r="AJ343" s="10">
        <f>MAX($Z343-积分赛!$C$7,0)*(IFERROR(INDEX($W$7:$W$14,MATCH(AJ$10,$T$7:$T$14,0)),0)*$T$20+IFERROR(INDEX($X$7:$X$14,MATCH(AJ$10,$T$7:$T$14,0)),0)*$T$21)/30</f>
        <v>185133</v>
      </c>
      <c r="BI343" s="10">
        <v>333</v>
      </c>
      <c r="BJ343" s="10">
        <f>MAX($BI343-积分赛!$C$7,0)*$BC$10/30</f>
        <v>1010000</v>
      </c>
      <c r="BK343" s="10">
        <f>MAX($BI343-积分赛!$C$7,0)*$BC$10/30</f>
        <v>1010000</v>
      </c>
      <c r="BL343" s="10">
        <f>MAX($BI343-积分赛!$C$7,0)*$BC$10/30</f>
        <v>1010000</v>
      </c>
      <c r="BM343" s="10">
        <f>MAX($BI343-积分赛!$C$7,0)*$BC$10/30</f>
        <v>1010000</v>
      </c>
      <c r="BN343" s="10">
        <f>MAX($BI343-积分赛!$C$7,0)*$BC$10/30</f>
        <v>1010000</v>
      </c>
    </row>
    <row r="344" spans="26:66" x14ac:dyDescent="0.15">
      <c r="Z344" s="10">
        <v>334</v>
      </c>
      <c r="AA344" s="10">
        <f>IFERROR(MAX($Z344-积分赛!$C$7,0)*INDEX($U$7:$U$14,MATCH(AA$10,$T$7:$T$14,0))/30,0)</f>
        <v>0</v>
      </c>
      <c r="AB344" s="10">
        <f>IFERROR(MAX($Z344-积分赛!$C$7,0)*INDEX($U$7:$U$14,MATCH(AB$10,$T$7:$T$14,0))/30,0)</f>
        <v>0</v>
      </c>
      <c r="AC344" s="10">
        <f>IFERROR(MAX($Z344-积分赛!$C$7,0)*INDEX($U$7:$U$14,MATCH(AC$10,$T$7:$T$14,0))/30,0)</f>
        <v>0</v>
      </c>
      <c r="AD344" s="10">
        <f>IFERROR(MAX($Z344-积分赛!$C$7,0)*INDEX($U$7:$U$14,MATCH(AD$10,$T$7:$T$14,0))/30,0)</f>
        <v>810666.66666666663</v>
      </c>
      <c r="AE344" s="10">
        <f>IFERROR(MAX($Z344-积分赛!$C$7,0)*INDEX($U$7:$U$14,MATCH(AE$10,$T$7:$T$14,0))/30,0)</f>
        <v>10133333.333333334</v>
      </c>
      <c r="AF344" s="10">
        <f>MAX($Z344-积分赛!$C$7,0)*(IFERROR(INDEX($W$7:$W$14,MATCH(AF$10,$T$7:$T$14,0)),0)*$T$20+IFERROR(INDEX($X$7:$X$14,MATCH(AF$10,$T$7:$T$14,0)),0)*$T$21)/30</f>
        <v>0</v>
      </c>
      <c r="AG344" s="10">
        <f>MAX($Z344-积分赛!$C$7,0)*(IFERROR(INDEX($W$7:$W$14,MATCH(AG$10,$T$7:$T$14,0)),0)*$T$20+IFERROR(INDEX($X$7:$X$14,MATCH(AG$10,$T$7:$T$14,0)),0)*$T$21)/30</f>
        <v>0</v>
      </c>
      <c r="AH344" s="10">
        <f>MAX($Z344-积分赛!$C$7,0)*(IFERROR(INDEX($W$7:$W$14,MATCH(AH$10,$T$7:$T$14,0)),0)*$T$20+IFERROR(INDEX($X$7:$X$14,MATCH(AH$10,$T$7:$T$14,0)),0)*$T$21)/30</f>
        <v>0</v>
      </c>
      <c r="AI344" s="10">
        <f>MAX($Z344-积分赛!$C$7,0)*(IFERROR(INDEX($W$7:$W$14,MATCH(AI$10,$T$7:$T$14,0)),0)*$T$20+IFERROR(INDEX($X$7:$X$14,MATCH(AI$10,$T$7:$T$14,0)),0)*$T$21)/30</f>
        <v>30957.333333333332</v>
      </c>
      <c r="AJ344" s="10">
        <f>MAX($Z344-积分赛!$C$7,0)*(IFERROR(INDEX($W$7:$W$14,MATCH(AJ$10,$T$7:$T$14,0)),0)*$T$20+IFERROR(INDEX($X$7:$X$14,MATCH(AJ$10,$T$7:$T$14,0)),0)*$T$21)/30</f>
        <v>185744</v>
      </c>
      <c r="BI344" s="10">
        <v>334</v>
      </c>
      <c r="BJ344" s="10">
        <f>MAX($BI344-积分赛!$C$7,0)*$BC$10/30</f>
        <v>1013333.3333333334</v>
      </c>
      <c r="BK344" s="10">
        <f>MAX($BI344-积分赛!$C$7,0)*$BC$10/30</f>
        <v>1013333.3333333334</v>
      </c>
      <c r="BL344" s="10">
        <f>MAX($BI344-积分赛!$C$7,0)*$BC$10/30</f>
        <v>1013333.3333333334</v>
      </c>
      <c r="BM344" s="10">
        <f>MAX($BI344-积分赛!$C$7,0)*$BC$10/30</f>
        <v>1013333.3333333334</v>
      </c>
      <c r="BN344" s="10">
        <f>MAX($BI344-积分赛!$C$7,0)*$BC$10/30</f>
        <v>1013333.3333333334</v>
      </c>
    </row>
    <row r="345" spans="26:66" x14ac:dyDescent="0.15">
      <c r="Z345" s="10">
        <v>335</v>
      </c>
      <c r="AA345" s="10">
        <f>IFERROR(MAX($Z345-积分赛!$C$7,0)*INDEX($U$7:$U$14,MATCH(AA$10,$T$7:$T$14,0))/30,0)</f>
        <v>0</v>
      </c>
      <c r="AB345" s="10">
        <f>IFERROR(MAX($Z345-积分赛!$C$7,0)*INDEX($U$7:$U$14,MATCH(AB$10,$T$7:$T$14,0))/30,0)</f>
        <v>0</v>
      </c>
      <c r="AC345" s="10">
        <f>IFERROR(MAX($Z345-积分赛!$C$7,0)*INDEX($U$7:$U$14,MATCH(AC$10,$T$7:$T$14,0))/30,0)</f>
        <v>0</v>
      </c>
      <c r="AD345" s="10">
        <f>IFERROR(MAX($Z345-积分赛!$C$7,0)*INDEX($U$7:$U$14,MATCH(AD$10,$T$7:$T$14,0))/30,0)</f>
        <v>813333.33333333337</v>
      </c>
      <c r="AE345" s="10">
        <f>IFERROR(MAX($Z345-积分赛!$C$7,0)*INDEX($U$7:$U$14,MATCH(AE$10,$T$7:$T$14,0))/30,0)</f>
        <v>10166666.666666666</v>
      </c>
      <c r="AF345" s="10">
        <f>MAX($Z345-积分赛!$C$7,0)*(IFERROR(INDEX($W$7:$W$14,MATCH(AF$10,$T$7:$T$14,0)),0)*$T$20+IFERROR(INDEX($X$7:$X$14,MATCH(AF$10,$T$7:$T$14,0)),0)*$T$21)/30</f>
        <v>0</v>
      </c>
      <c r="AG345" s="10">
        <f>MAX($Z345-积分赛!$C$7,0)*(IFERROR(INDEX($W$7:$W$14,MATCH(AG$10,$T$7:$T$14,0)),0)*$T$20+IFERROR(INDEX($X$7:$X$14,MATCH(AG$10,$T$7:$T$14,0)),0)*$T$21)/30</f>
        <v>0</v>
      </c>
      <c r="AH345" s="10">
        <f>MAX($Z345-积分赛!$C$7,0)*(IFERROR(INDEX($W$7:$W$14,MATCH(AH$10,$T$7:$T$14,0)),0)*$T$20+IFERROR(INDEX($X$7:$X$14,MATCH(AH$10,$T$7:$T$14,0)),0)*$T$21)/30</f>
        <v>0</v>
      </c>
      <c r="AI345" s="10">
        <f>MAX($Z345-积分赛!$C$7,0)*(IFERROR(INDEX($W$7:$W$14,MATCH(AI$10,$T$7:$T$14,0)),0)*$T$20+IFERROR(INDEX($X$7:$X$14,MATCH(AI$10,$T$7:$T$14,0)),0)*$T$21)/30</f>
        <v>31059.166666666668</v>
      </c>
      <c r="AJ345" s="10">
        <f>MAX($Z345-积分赛!$C$7,0)*(IFERROR(INDEX($W$7:$W$14,MATCH(AJ$10,$T$7:$T$14,0)),0)*$T$20+IFERROR(INDEX($X$7:$X$14,MATCH(AJ$10,$T$7:$T$14,0)),0)*$T$21)/30</f>
        <v>186355</v>
      </c>
      <c r="BI345" s="10">
        <v>335</v>
      </c>
      <c r="BJ345" s="10">
        <f>MAX($BI345-积分赛!$C$7,0)*$BC$10/30</f>
        <v>1016666.6666666666</v>
      </c>
      <c r="BK345" s="10">
        <f>MAX($BI345-积分赛!$C$7,0)*$BC$10/30</f>
        <v>1016666.6666666666</v>
      </c>
      <c r="BL345" s="10">
        <f>MAX($BI345-积分赛!$C$7,0)*$BC$10/30</f>
        <v>1016666.6666666666</v>
      </c>
      <c r="BM345" s="10">
        <f>MAX($BI345-积分赛!$C$7,0)*$BC$10/30</f>
        <v>1016666.6666666666</v>
      </c>
      <c r="BN345" s="10">
        <f>MAX($BI345-积分赛!$C$7,0)*$BC$10/30</f>
        <v>1016666.6666666666</v>
      </c>
    </row>
    <row r="346" spans="26:66" x14ac:dyDescent="0.15">
      <c r="Z346" s="10">
        <v>336</v>
      </c>
      <c r="AA346" s="10">
        <f>IFERROR(MAX($Z346-积分赛!$C$7,0)*INDEX($U$7:$U$14,MATCH(AA$10,$T$7:$T$14,0))/30,0)</f>
        <v>0</v>
      </c>
      <c r="AB346" s="10">
        <f>IFERROR(MAX($Z346-积分赛!$C$7,0)*INDEX($U$7:$U$14,MATCH(AB$10,$T$7:$T$14,0))/30,0)</f>
        <v>0</v>
      </c>
      <c r="AC346" s="10">
        <f>IFERROR(MAX($Z346-积分赛!$C$7,0)*INDEX($U$7:$U$14,MATCH(AC$10,$T$7:$T$14,0))/30,0)</f>
        <v>0</v>
      </c>
      <c r="AD346" s="10">
        <f>IFERROR(MAX($Z346-积分赛!$C$7,0)*INDEX($U$7:$U$14,MATCH(AD$10,$T$7:$T$14,0))/30,0)</f>
        <v>816000</v>
      </c>
      <c r="AE346" s="10">
        <f>IFERROR(MAX($Z346-积分赛!$C$7,0)*INDEX($U$7:$U$14,MATCH(AE$10,$T$7:$T$14,0))/30,0)</f>
        <v>10200000</v>
      </c>
      <c r="AF346" s="10">
        <f>MAX($Z346-积分赛!$C$7,0)*(IFERROR(INDEX($W$7:$W$14,MATCH(AF$10,$T$7:$T$14,0)),0)*$T$20+IFERROR(INDEX($X$7:$X$14,MATCH(AF$10,$T$7:$T$14,0)),0)*$T$21)/30</f>
        <v>0</v>
      </c>
      <c r="AG346" s="10">
        <f>MAX($Z346-积分赛!$C$7,0)*(IFERROR(INDEX($W$7:$W$14,MATCH(AG$10,$T$7:$T$14,0)),0)*$T$20+IFERROR(INDEX($X$7:$X$14,MATCH(AG$10,$T$7:$T$14,0)),0)*$T$21)/30</f>
        <v>0</v>
      </c>
      <c r="AH346" s="10">
        <f>MAX($Z346-积分赛!$C$7,0)*(IFERROR(INDEX($W$7:$W$14,MATCH(AH$10,$T$7:$T$14,0)),0)*$T$20+IFERROR(INDEX($X$7:$X$14,MATCH(AH$10,$T$7:$T$14,0)),0)*$T$21)/30</f>
        <v>0</v>
      </c>
      <c r="AI346" s="10">
        <f>MAX($Z346-积分赛!$C$7,0)*(IFERROR(INDEX($W$7:$W$14,MATCH(AI$10,$T$7:$T$14,0)),0)*$T$20+IFERROR(INDEX($X$7:$X$14,MATCH(AI$10,$T$7:$T$14,0)),0)*$T$21)/30</f>
        <v>31161</v>
      </c>
      <c r="AJ346" s="10">
        <f>MAX($Z346-积分赛!$C$7,0)*(IFERROR(INDEX($W$7:$W$14,MATCH(AJ$10,$T$7:$T$14,0)),0)*$T$20+IFERROR(INDEX($X$7:$X$14,MATCH(AJ$10,$T$7:$T$14,0)),0)*$T$21)/30</f>
        <v>186966</v>
      </c>
      <c r="BI346" s="10">
        <v>336</v>
      </c>
      <c r="BJ346" s="10">
        <f>MAX($BI346-积分赛!$C$7,0)*$BC$10/30</f>
        <v>1020000</v>
      </c>
      <c r="BK346" s="10">
        <f>MAX($BI346-积分赛!$C$7,0)*$BC$10/30</f>
        <v>1020000</v>
      </c>
      <c r="BL346" s="10">
        <f>MAX($BI346-积分赛!$C$7,0)*$BC$10/30</f>
        <v>1020000</v>
      </c>
      <c r="BM346" s="10">
        <f>MAX($BI346-积分赛!$C$7,0)*$BC$10/30</f>
        <v>1020000</v>
      </c>
      <c r="BN346" s="10">
        <f>MAX($BI346-积分赛!$C$7,0)*$BC$10/30</f>
        <v>1020000</v>
      </c>
    </row>
    <row r="347" spans="26:66" x14ac:dyDescent="0.15">
      <c r="Z347" s="10">
        <v>337</v>
      </c>
      <c r="AA347" s="10">
        <f>IFERROR(MAX($Z347-积分赛!$C$7,0)*INDEX($U$7:$U$14,MATCH(AA$10,$T$7:$T$14,0))/30,0)</f>
        <v>0</v>
      </c>
      <c r="AB347" s="10">
        <f>IFERROR(MAX($Z347-积分赛!$C$7,0)*INDEX($U$7:$U$14,MATCH(AB$10,$T$7:$T$14,0))/30,0)</f>
        <v>0</v>
      </c>
      <c r="AC347" s="10">
        <f>IFERROR(MAX($Z347-积分赛!$C$7,0)*INDEX($U$7:$U$14,MATCH(AC$10,$T$7:$T$14,0))/30,0)</f>
        <v>0</v>
      </c>
      <c r="AD347" s="10">
        <f>IFERROR(MAX($Z347-积分赛!$C$7,0)*INDEX($U$7:$U$14,MATCH(AD$10,$T$7:$T$14,0))/30,0)</f>
        <v>818666.66666666663</v>
      </c>
      <c r="AE347" s="10">
        <f>IFERROR(MAX($Z347-积分赛!$C$7,0)*INDEX($U$7:$U$14,MATCH(AE$10,$T$7:$T$14,0))/30,0)</f>
        <v>10233333.333333334</v>
      </c>
      <c r="AF347" s="10">
        <f>MAX($Z347-积分赛!$C$7,0)*(IFERROR(INDEX($W$7:$W$14,MATCH(AF$10,$T$7:$T$14,0)),0)*$T$20+IFERROR(INDEX($X$7:$X$14,MATCH(AF$10,$T$7:$T$14,0)),0)*$T$21)/30</f>
        <v>0</v>
      </c>
      <c r="AG347" s="10">
        <f>MAX($Z347-积分赛!$C$7,0)*(IFERROR(INDEX($W$7:$W$14,MATCH(AG$10,$T$7:$T$14,0)),0)*$T$20+IFERROR(INDEX($X$7:$X$14,MATCH(AG$10,$T$7:$T$14,0)),0)*$T$21)/30</f>
        <v>0</v>
      </c>
      <c r="AH347" s="10">
        <f>MAX($Z347-积分赛!$C$7,0)*(IFERROR(INDEX($W$7:$W$14,MATCH(AH$10,$T$7:$T$14,0)),0)*$T$20+IFERROR(INDEX($X$7:$X$14,MATCH(AH$10,$T$7:$T$14,0)),0)*$T$21)/30</f>
        <v>0</v>
      </c>
      <c r="AI347" s="10">
        <f>MAX($Z347-积分赛!$C$7,0)*(IFERROR(INDEX($W$7:$W$14,MATCH(AI$10,$T$7:$T$14,0)),0)*$T$20+IFERROR(INDEX($X$7:$X$14,MATCH(AI$10,$T$7:$T$14,0)),0)*$T$21)/30</f>
        <v>31262.833333333332</v>
      </c>
      <c r="AJ347" s="10">
        <f>MAX($Z347-积分赛!$C$7,0)*(IFERROR(INDEX($W$7:$W$14,MATCH(AJ$10,$T$7:$T$14,0)),0)*$T$20+IFERROR(INDEX($X$7:$X$14,MATCH(AJ$10,$T$7:$T$14,0)),0)*$T$21)/30</f>
        <v>187577</v>
      </c>
      <c r="BI347" s="10">
        <v>337</v>
      </c>
      <c r="BJ347" s="10">
        <f>MAX($BI347-积分赛!$C$7,0)*$BC$10/30</f>
        <v>1023333.3333333334</v>
      </c>
      <c r="BK347" s="10">
        <f>MAX($BI347-积分赛!$C$7,0)*$BC$10/30</f>
        <v>1023333.3333333334</v>
      </c>
      <c r="BL347" s="10">
        <f>MAX($BI347-积分赛!$C$7,0)*$BC$10/30</f>
        <v>1023333.3333333334</v>
      </c>
      <c r="BM347" s="10">
        <f>MAX($BI347-积分赛!$C$7,0)*$BC$10/30</f>
        <v>1023333.3333333334</v>
      </c>
      <c r="BN347" s="10">
        <f>MAX($BI347-积分赛!$C$7,0)*$BC$10/30</f>
        <v>1023333.3333333334</v>
      </c>
    </row>
    <row r="348" spans="26:66" x14ac:dyDescent="0.15">
      <c r="Z348" s="10">
        <v>338</v>
      </c>
      <c r="AA348" s="10">
        <f>IFERROR(MAX($Z348-积分赛!$C$7,0)*INDEX($U$7:$U$14,MATCH(AA$10,$T$7:$T$14,0))/30,0)</f>
        <v>0</v>
      </c>
      <c r="AB348" s="10">
        <f>IFERROR(MAX($Z348-积分赛!$C$7,0)*INDEX($U$7:$U$14,MATCH(AB$10,$T$7:$T$14,0))/30,0)</f>
        <v>0</v>
      </c>
      <c r="AC348" s="10">
        <f>IFERROR(MAX($Z348-积分赛!$C$7,0)*INDEX($U$7:$U$14,MATCH(AC$10,$T$7:$T$14,0))/30,0)</f>
        <v>0</v>
      </c>
      <c r="AD348" s="10">
        <f>IFERROR(MAX($Z348-积分赛!$C$7,0)*INDEX($U$7:$U$14,MATCH(AD$10,$T$7:$T$14,0))/30,0)</f>
        <v>821333.33333333337</v>
      </c>
      <c r="AE348" s="10">
        <f>IFERROR(MAX($Z348-积分赛!$C$7,0)*INDEX($U$7:$U$14,MATCH(AE$10,$T$7:$T$14,0))/30,0)</f>
        <v>10266666.666666666</v>
      </c>
      <c r="AF348" s="10">
        <f>MAX($Z348-积分赛!$C$7,0)*(IFERROR(INDEX($W$7:$W$14,MATCH(AF$10,$T$7:$T$14,0)),0)*$T$20+IFERROR(INDEX($X$7:$X$14,MATCH(AF$10,$T$7:$T$14,0)),0)*$T$21)/30</f>
        <v>0</v>
      </c>
      <c r="AG348" s="10">
        <f>MAX($Z348-积分赛!$C$7,0)*(IFERROR(INDEX($W$7:$W$14,MATCH(AG$10,$T$7:$T$14,0)),0)*$T$20+IFERROR(INDEX($X$7:$X$14,MATCH(AG$10,$T$7:$T$14,0)),0)*$T$21)/30</f>
        <v>0</v>
      </c>
      <c r="AH348" s="10">
        <f>MAX($Z348-积分赛!$C$7,0)*(IFERROR(INDEX($W$7:$W$14,MATCH(AH$10,$T$7:$T$14,0)),0)*$T$20+IFERROR(INDEX($X$7:$X$14,MATCH(AH$10,$T$7:$T$14,0)),0)*$T$21)/30</f>
        <v>0</v>
      </c>
      <c r="AI348" s="10">
        <f>MAX($Z348-积分赛!$C$7,0)*(IFERROR(INDEX($W$7:$W$14,MATCH(AI$10,$T$7:$T$14,0)),0)*$T$20+IFERROR(INDEX($X$7:$X$14,MATCH(AI$10,$T$7:$T$14,0)),0)*$T$21)/30</f>
        <v>31364.666666666668</v>
      </c>
      <c r="AJ348" s="10">
        <f>MAX($Z348-积分赛!$C$7,0)*(IFERROR(INDEX($W$7:$W$14,MATCH(AJ$10,$T$7:$T$14,0)),0)*$T$20+IFERROR(INDEX($X$7:$X$14,MATCH(AJ$10,$T$7:$T$14,0)),0)*$T$21)/30</f>
        <v>188188</v>
      </c>
      <c r="BI348" s="10">
        <v>338</v>
      </c>
      <c r="BJ348" s="10">
        <f>MAX($BI348-积分赛!$C$7,0)*$BC$10/30</f>
        <v>1026666.6666666666</v>
      </c>
      <c r="BK348" s="10">
        <f>MAX($BI348-积分赛!$C$7,0)*$BC$10/30</f>
        <v>1026666.6666666666</v>
      </c>
      <c r="BL348" s="10">
        <f>MAX($BI348-积分赛!$C$7,0)*$BC$10/30</f>
        <v>1026666.6666666666</v>
      </c>
      <c r="BM348" s="10">
        <f>MAX($BI348-积分赛!$C$7,0)*$BC$10/30</f>
        <v>1026666.6666666666</v>
      </c>
      <c r="BN348" s="10">
        <f>MAX($BI348-积分赛!$C$7,0)*$BC$10/30</f>
        <v>1026666.6666666666</v>
      </c>
    </row>
    <row r="349" spans="26:66" x14ac:dyDescent="0.15">
      <c r="Z349" s="10">
        <v>339</v>
      </c>
      <c r="AA349" s="10">
        <f>IFERROR(MAX($Z349-积分赛!$C$7,0)*INDEX($U$7:$U$14,MATCH(AA$10,$T$7:$T$14,0))/30,0)</f>
        <v>0</v>
      </c>
      <c r="AB349" s="10">
        <f>IFERROR(MAX($Z349-积分赛!$C$7,0)*INDEX($U$7:$U$14,MATCH(AB$10,$T$7:$T$14,0))/30,0)</f>
        <v>0</v>
      </c>
      <c r="AC349" s="10">
        <f>IFERROR(MAX($Z349-积分赛!$C$7,0)*INDEX($U$7:$U$14,MATCH(AC$10,$T$7:$T$14,0))/30,0)</f>
        <v>0</v>
      </c>
      <c r="AD349" s="10">
        <f>IFERROR(MAX($Z349-积分赛!$C$7,0)*INDEX($U$7:$U$14,MATCH(AD$10,$T$7:$T$14,0))/30,0)</f>
        <v>824000</v>
      </c>
      <c r="AE349" s="10">
        <f>IFERROR(MAX($Z349-积分赛!$C$7,0)*INDEX($U$7:$U$14,MATCH(AE$10,$T$7:$T$14,0))/30,0)</f>
        <v>10300000</v>
      </c>
      <c r="AF349" s="10">
        <f>MAX($Z349-积分赛!$C$7,0)*(IFERROR(INDEX($W$7:$W$14,MATCH(AF$10,$T$7:$T$14,0)),0)*$T$20+IFERROR(INDEX($X$7:$X$14,MATCH(AF$10,$T$7:$T$14,0)),0)*$T$21)/30</f>
        <v>0</v>
      </c>
      <c r="AG349" s="10">
        <f>MAX($Z349-积分赛!$C$7,0)*(IFERROR(INDEX($W$7:$W$14,MATCH(AG$10,$T$7:$T$14,0)),0)*$T$20+IFERROR(INDEX($X$7:$X$14,MATCH(AG$10,$T$7:$T$14,0)),0)*$T$21)/30</f>
        <v>0</v>
      </c>
      <c r="AH349" s="10">
        <f>MAX($Z349-积分赛!$C$7,0)*(IFERROR(INDEX($W$7:$W$14,MATCH(AH$10,$T$7:$T$14,0)),0)*$T$20+IFERROR(INDEX($X$7:$X$14,MATCH(AH$10,$T$7:$T$14,0)),0)*$T$21)/30</f>
        <v>0</v>
      </c>
      <c r="AI349" s="10">
        <f>MAX($Z349-积分赛!$C$7,0)*(IFERROR(INDEX($W$7:$W$14,MATCH(AI$10,$T$7:$T$14,0)),0)*$T$20+IFERROR(INDEX($X$7:$X$14,MATCH(AI$10,$T$7:$T$14,0)),0)*$T$21)/30</f>
        <v>31466.5</v>
      </c>
      <c r="AJ349" s="10">
        <f>MAX($Z349-积分赛!$C$7,0)*(IFERROR(INDEX($W$7:$W$14,MATCH(AJ$10,$T$7:$T$14,0)),0)*$T$20+IFERROR(INDEX($X$7:$X$14,MATCH(AJ$10,$T$7:$T$14,0)),0)*$T$21)/30</f>
        <v>188799</v>
      </c>
      <c r="BI349" s="10">
        <v>339</v>
      </c>
      <c r="BJ349" s="10">
        <f>MAX($BI349-积分赛!$C$7,0)*$BC$10/30</f>
        <v>1030000</v>
      </c>
      <c r="BK349" s="10">
        <f>MAX($BI349-积分赛!$C$7,0)*$BC$10/30</f>
        <v>1030000</v>
      </c>
      <c r="BL349" s="10">
        <f>MAX($BI349-积分赛!$C$7,0)*$BC$10/30</f>
        <v>1030000</v>
      </c>
      <c r="BM349" s="10">
        <f>MAX($BI349-积分赛!$C$7,0)*$BC$10/30</f>
        <v>1030000</v>
      </c>
      <c r="BN349" s="10">
        <f>MAX($BI349-积分赛!$C$7,0)*$BC$10/30</f>
        <v>1030000</v>
      </c>
    </row>
    <row r="350" spans="26:66" x14ac:dyDescent="0.15">
      <c r="Z350" s="10">
        <v>340</v>
      </c>
      <c r="AA350" s="10">
        <f>IFERROR(MAX($Z350-积分赛!$C$7,0)*INDEX($U$7:$U$14,MATCH(AA$10,$T$7:$T$14,0))/30,0)</f>
        <v>0</v>
      </c>
      <c r="AB350" s="10">
        <f>IFERROR(MAX($Z350-积分赛!$C$7,0)*INDEX($U$7:$U$14,MATCH(AB$10,$T$7:$T$14,0))/30,0)</f>
        <v>0</v>
      </c>
      <c r="AC350" s="10">
        <f>IFERROR(MAX($Z350-积分赛!$C$7,0)*INDEX($U$7:$U$14,MATCH(AC$10,$T$7:$T$14,0))/30,0)</f>
        <v>0</v>
      </c>
      <c r="AD350" s="10">
        <f>IFERROR(MAX($Z350-积分赛!$C$7,0)*INDEX($U$7:$U$14,MATCH(AD$10,$T$7:$T$14,0))/30,0)</f>
        <v>826666.66666666663</v>
      </c>
      <c r="AE350" s="10">
        <f>IFERROR(MAX($Z350-积分赛!$C$7,0)*INDEX($U$7:$U$14,MATCH(AE$10,$T$7:$T$14,0))/30,0)</f>
        <v>10333333.333333334</v>
      </c>
      <c r="AF350" s="10">
        <f>MAX($Z350-积分赛!$C$7,0)*(IFERROR(INDEX($W$7:$W$14,MATCH(AF$10,$T$7:$T$14,0)),0)*$T$20+IFERROR(INDEX($X$7:$X$14,MATCH(AF$10,$T$7:$T$14,0)),0)*$T$21)/30</f>
        <v>0</v>
      </c>
      <c r="AG350" s="10">
        <f>MAX($Z350-积分赛!$C$7,0)*(IFERROR(INDEX($W$7:$W$14,MATCH(AG$10,$T$7:$T$14,0)),0)*$T$20+IFERROR(INDEX($X$7:$X$14,MATCH(AG$10,$T$7:$T$14,0)),0)*$T$21)/30</f>
        <v>0</v>
      </c>
      <c r="AH350" s="10">
        <f>MAX($Z350-积分赛!$C$7,0)*(IFERROR(INDEX($W$7:$W$14,MATCH(AH$10,$T$7:$T$14,0)),0)*$T$20+IFERROR(INDEX($X$7:$X$14,MATCH(AH$10,$T$7:$T$14,0)),0)*$T$21)/30</f>
        <v>0</v>
      </c>
      <c r="AI350" s="10">
        <f>MAX($Z350-积分赛!$C$7,0)*(IFERROR(INDEX($W$7:$W$14,MATCH(AI$10,$T$7:$T$14,0)),0)*$T$20+IFERROR(INDEX($X$7:$X$14,MATCH(AI$10,$T$7:$T$14,0)),0)*$T$21)/30</f>
        <v>31568.333333333332</v>
      </c>
      <c r="AJ350" s="10">
        <f>MAX($Z350-积分赛!$C$7,0)*(IFERROR(INDEX($W$7:$W$14,MATCH(AJ$10,$T$7:$T$14,0)),0)*$T$20+IFERROR(INDEX($X$7:$X$14,MATCH(AJ$10,$T$7:$T$14,0)),0)*$T$21)/30</f>
        <v>189410</v>
      </c>
      <c r="BI350" s="10">
        <v>340</v>
      </c>
      <c r="BJ350" s="10">
        <f>MAX($BI350-积分赛!$C$7,0)*$BC$10/30</f>
        <v>1033333.3333333334</v>
      </c>
      <c r="BK350" s="10">
        <f>MAX($BI350-积分赛!$C$7,0)*$BC$10/30</f>
        <v>1033333.3333333334</v>
      </c>
      <c r="BL350" s="10">
        <f>MAX($BI350-积分赛!$C$7,0)*$BC$10/30</f>
        <v>1033333.3333333334</v>
      </c>
      <c r="BM350" s="10">
        <f>MAX($BI350-积分赛!$C$7,0)*$BC$10/30</f>
        <v>1033333.3333333334</v>
      </c>
      <c r="BN350" s="10">
        <f>MAX($BI350-积分赛!$C$7,0)*$BC$10/30</f>
        <v>1033333.3333333334</v>
      </c>
    </row>
    <row r="351" spans="26:66" x14ac:dyDescent="0.15">
      <c r="Z351" s="10">
        <v>341</v>
      </c>
      <c r="AA351" s="10">
        <f>IFERROR(MAX($Z351-积分赛!$C$7,0)*INDEX($U$7:$U$14,MATCH(AA$10,$T$7:$T$14,0))/30,0)</f>
        <v>0</v>
      </c>
      <c r="AB351" s="10">
        <f>IFERROR(MAX($Z351-积分赛!$C$7,0)*INDEX($U$7:$U$14,MATCH(AB$10,$T$7:$T$14,0))/30,0)</f>
        <v>0</v>
      </c>
      <c r="AC351" s="10">
        <f>IFERROR(MAX($Z351-积分赛!$C$7,0)*INDEX($U$7:$U$14,MATCH(AC$10,$T$7:$T$14,0))/30,0)</f>
        <v>0</v>
      </c>
      <c r="AD351" s="10">
        <f>IFERROR(MAX($Z351-积分赛!$C$7,0)*INDEX($U$7:$U$14,MATCH(AD$10,$T$7:$T$14,0))/30,0)</f>
        <v>829333.33333333337</v>
      </c>
      <c r="AE351" s="10">
        <f>IFERROR(MAX($Z351-积分赛!$C$7,0)*INDEX($U$7:$U$14,MATCH(AE$10,$T$7:$T$14,0))/30,0)</f>
        <v>10366666.666666666</v>
      </c>
      <c r="AF351" s="10">
        <f>MAX($Z351-积分赛!$C$7,0)*(IFERROR(INDEX($W$7:$W$14,MATCH(AF$10,$T$7:$T$14,0)),0)*$T$20+IFERROR(INDEX($X$7:$X$14,MATCH(AF$10,$T$7:$T$14,0)),0)*$T$21)/30</f>
        <v>0</v>
      </c>
      <c r="AG351" s="10">
        <f>MAX($Z351-积分赛!$C$7,0)*(IFERROR(INDEX($W$7:$W$14,MATCH(AG$10,$T$7:$T$14,0)),0)*$T$20+IFERROR(INDEX($X$7:$X$14,MATCH(AG$10,$T$7:$T$14,0)),0)*$T$21)/30</f>
        <v>0</v>
      </c>
      <c r="AH351" s="10">
        <f>MAX($Z351-积分赛!$C$7,0)*(IFERROR(INDEX($W$7:$W$14,MATCH(AH$10,$T$7:$T$14,0)),0)*$T$20+IFERROR(INDEX($X$7:$X$14,MATCH(AH$10,$T$7:$T$14,0)),0)*$T$21)/30</f>
        <v>0</v>
      </c>
      <c r="AI351" s="10">
        <f>MAX($Z351-积分赛!$C$7,0)*(IFERROR(INDEX($W$7:$W$14,MATCH(AI$10,$T$7:$T$14,0)),0)*$T$20+IFERROR(INDEX($X$7:$X$14,MATCH(AI$10,$T$7:$T$14,0)),0)*$T$21)/30</f>
        <v>31670.166666666668</v>
      </c>
      <c r="AJ351" s="10">
        <f>MAX($Z351-积分赛!$C$7,0)*(IFERROR(INDEX($W$7:$W$14,MATCH(AJ$10,$T$7:$T$14,0)),0)*$T$20+IFERROR(INDEX($X$7:$X$14,MATCH(AJ$10,$T$7:$T$14,0)),0)*$T$21)/30</f>
        <v>190021</v>
      </c>
      <c r="BI351" s="10">
        <v>341</v>
      </c>
      <c r="BJ351" s="10">
        <f>MAX($BI351-积分赛!$C$7,0)*$BC$10/30</f>
        <v>1036666.6666666666</v>
      </c>
      <c r="BK351" s="10">
        <f>MAX($BI351-积分赛!$C$7,0)*$BC$10/30</f>
        <v>1036666.6666666666</v>
      </c>
      <c r="BL351" s="10">
        <f>MAX($BI351-积分赛!$C$7,0)*$BC$10/30</f>
        <v>1036666.6666666666</v>
      </c>
      <c r="BM351" s="10">
        <f>MAX($BI351-积分赛!$C$7,0)*$BC$10/30</f>
        <v>1036666.6666666666</v>
      </c>
      <c r="BN351" s="10">
        <f>MAX($BI351-积分赛!$C$7,0)*$BC$10/30</f>
        <v>1036666.6666666666</v>
      </c>
    </row>
    <row r="352" spans="26:66" x14ac:dyDescent="0.15">
      <c r="Z352" s="10">
        <v>342</v>
      </c>
      <c r="AA352" s="10">
        <f>IFERROR(MAX($Z352-积分赛!$C$7,0)*INDEX($U$7:$U$14,MATCH(AA$10,$T$7:$T$14,0))/30,0)</f>
        <v>0</v>
      </c>
      <c r="AB352" s="10">
        <f>IFERROR(MAX($Z352-积分赛!$C$7,0)*INDEX($U$7:$U$14,MATCH(AB$10,$T$7:$T$14,0))/30,0)</f>
        <v>0</v>
      </c>
      <c r="AC352" s="10">
        <f>IFERROR(MAX($Z352-积分赛!$C$7,0)*INDEX($U$7:$U$14,MATCH(AC$10,$T$7:$T$14,0))/30,0)</f>
        <v>0</v>
      </c>
      <c r="AD352" s="10">
        <f>IFERROR(MAX($Z352-积分赛!$C$7,0)*INDEX($U$7:$U$14,MATCH(AD$10,$T$7:$T$14,0))/30,0)</f>
        <v>832000</v>
      </c>
      <c r="AE352" s="10">
        <f>IFERROR(MAX($Z352-积分赛!$C$7,0)*INDEX($U$7:$U$14,MATCH(AE$10,$T$7:$T$14,0))/30,0)</f>
        <v>10400000</v>
      </c>
      <c r="AF352" s="10">
        <f>MAX($Z352-积分赛!$C$7,0)*(IFERROR(INDEX($W$7:$W$14,MATCH(AF$10,$T$7:$T$14,0)),0)*$T$20+IFERROR(INDEX($X$7:$X$14,MATCH(AF$10,$T$7:$T$14,0)),0)*$T$21)/30</f>
        <v>0</v>
      </c>
      <c r="AG352" s="10">
        <f>MAX($Z352-积分赛!$C$7,0)*(IFERROR(INDEX($W$7:$W$14,MATCH(AG$10,$T$7:$T$14,0)),0)*$T$20+IFERROR(INDEX($X$7:$X$14,MATCH(AG$10,$T$7:$T$14,0)),0)*$T$21)/30</f>
        <v>0</v>
      </c>
      <c r="AH352" s="10">
        <f>MAX($Z352-积分赛!$C$7,0)*(IFERROR(INDEX($W$7:$W$14,MATCH(AH$10,$T$7:$T$14,0)),0)*$T$20+IFERROR(INDEX($X$7:$X$14,MATCH(AH$10,$T$7:$T$14,0)),0)*$T$21)/30</f>
        <v>0</v>
      </c>
      <c r="AI352" s="10">
        <f>MAX($Z352-积分赛!$C$7,0)*(IFERROR(INDEX($W$7:$W$14,MATCH(AI$10,$T$7:$T$14,0)),0)*$T$20+IFERROR(INDEX($X$7:$X$14,MATCH(AI$10,$T$7:$T$14,0)),0)*$T$21)/30</f>
        <v>31772</v>
      </c>
      <c r="AJ352" s="10">
        <f>MAX($Z352-积分赛!$C$7,0)*(IFERROR(INDEX($W$7:$W$14,MATCH(AJ$10,$T$7:$T$14,0)),0)*$T$20+IFERROR(INDEX($X$7:$X$14,MATCH(AJ$10,$T$7:$T$14,0)),0)*$T$21)/30</f>
        <v>190632</v>
      </c>
      <c r="BI352" s="10">
        <v>342</v>
      </c>
      <c r="BJ352" s="10">
        <f>MAX($BI352-积分赛!$C$7,0)*$BC$10/30</f>
        <v>1040000</v>
      </c>
      <c r="BK352" s="10">
        <f>MAX($BI352-积分赛!$C$7,0)*$BC$10/30</f>
        <v>1040000</v>
      </c>
      <c r="BL352" s="10">
        <f>MAX($BI352-积分赛!$C$7,0)*$BC$10/30</f>
        <v>1040000</v>
      </c>
      <c r="BM352" s="10">
        <f>MAX($BI352-积分赛!$C$7,0)*$BC$10/30</f>
        <v>1040000</v>
      </c>
      <c r="BN352" s="10">
        <f>MAX($BI352-积分赛!$C$7,0)*$BC$10/30</f>
        <v>1040000</v>
      </c>
    </row>
    <row r="353" spans="26:66" x14ac:dyDescent="0.15">
      <c r="Z353" s="10">
        <v>343</v>
      </c>
      <c r="AA353" s="10">
        <f>IFERROR(MAX($Z353-积分赛!$C$7,0)*INDEX($U$7:$U$14,MATCH(AA$10,$T$7:$T$14,0))/30,0)</f>
        <v>0</v>
      </c>
      <c r="AB353" s="10">
        <f>IFERROR(MAX($Z353-积分赛!$C$7,0)*INDEX($U$7:$U$14,MATCH(AB$10,$T$7:$T$14,0))/30,0)</f>
        <v>0</v>
      </c>
      <c r="AC353" s="10">
        <f>IFERROR(MAX($Z353-积分赛!$C$7,0)*INDEX($U$7:$U$14,MATCH(AC$10,$T$7:$T$14,0))/30,0)</f>
        <v>0</v>
      </c>
      <c r="AD353" s="10">
        <f>IFERROR(MAX($Z353-积分赛!$C$7,0)*INDEX($U$7:$U$14,MATCH(AD$10,$T$7:$T$14,0))/30,0)</f>
        <v>834666.66666666663</v>
      </c>
      <c r="AE353" s="10">
        <f>IFERROR(MAX($Z353-积分赛!$C$7,0)*INDEX($U$7:$U$14,MATCH(AE$10,$T$7:$T$14,0))/30,0)</f>
        <v>10433333.333333334</v>
      </c>
      <c r="AF353" s="10">
        <f>MAX($Z353-积分赛!$C$7,0)*(IFERROR(INDEX($W$7:$W$14,MATCH(AF$10,$T$7:$T$14,0)),0)*$T$20+IFERROR(INDEX($X$7:$X$14,MATCH(AF$10,$T$7:$T$14,0)),0)*$T$21)/30</f>
        <v>0</v>
      </c>
      <c r="AG353" s="10">
        <f>MAX($Z353-积分赛!$C$7,0)*(IFERROR(INDEX($W$7:$W$14,MATCH(AG$10,$T$7:$T$14,0)),0)*$T$20+IFERROR(INDEX($X$7:$X$14,MATCH(AG$10,$T$7:$T$14,0)),0)*$T$21)/30</f>
        <v>0</v>
      </c>
      <c r="AH353" s="10">
        <f>MAX($Z353-积分赛!$C$7,0)*(IFERROR(INDEX($W$7:$W$14,MATCH(AH$10,$T$7:$T$14,0)),0)*$T$20+IFERROR(INDEX($X$7:$X$14,MATCH(AH$10,$T$7:$T$14,0)),0)*$T$21)/30</f>
        <v>0</v>
      </c>
      <c r="AI353" s="10">
        <f>MAX($Z353-积分赛!$C$7,0)*(IFERROR(INDEX($W$7:$W$14,MATCH(AI$10,$T$7:$T$14,0)),0)*$T$20+IFERROR(INDEX($X$7:$X$14,MATCH(AI$10,$T$7:$T$14,0)),0)*$T$21)/30</f>
        <v>31873.833333333332</v>
      </c>
      <c r="AJ353" s="10">
        <f>MAX($Z353-积分赛!$C$7,0)*(IFERROR(INDEX($W$7:$W$14,MATCH(AJ$10,$T$7:$T$14,0)),0)*$T$20+IFERROR(INDEX($X$7:$X$14,MATCH(AJ$10,$T$7:$T$14,0)),0)*$T$21)/30</f>
        <v>191243</v>
      </c>
      <c r="BI353" s="10">
        <v>343</v>
      </c>
      <c r="BJ353" s="10">
        <f>MAX($BI353-积分赛!$C$7,0)*$BC$10/30</f>
        <v>1043333.3333333334</v>
      </c>
      <c r="BK353" s="10">
        <f>MAX($BI353-积分赛!$C$7,0)*$BC$10/30</f>
        <v>1043333.3333333334</v>
      </c>
      <c r="BL353" s="10">
        <f>MAX($BI353-积分赛!$C$7,0)*$BC$10/30</f>
        <v>1043333.3333333334</v>
      </c>
      <c r="BM353" s="10">
        <f>MAX($BI353-积分赛!$C$7,0)*$BC$10/30</f>
        <v>1043333.3333333334</v>
      </c>
      <c r="BN353" s="10">
        <f>MAX($BI353-积分赛!$C$7,0)*$BC$10/30</f>
        <v>1043333.3333333334</v>
      </c>
    </row>
    <row r="354" spans="26:66" x14ac:dyDescent="0.15">
      <c r="Z354" s="10">
        <v>344</v>
      </c>
      <c r="AA354" s="10">
        <f>IFERROR(MAX($Z354-积分赛!$C$7,0)*INDEX($U$7:$U$14,MATCH(AA$10,$T$7:$T$14,0))/30,0)</f>
        <v>0</v>
      </c>
      <c r="AB354" s="10">
        <f>IFERROR(MAX($Z354-积分赛!$C$7,0)*INDEX($U$7:$U$14,MATCH(AB$10,$T$7:$T$14,0))/30,0)</f>
        <v>0</v>
      </c>
      <c r="AC354" s="10">
        <f>IFERROR(MAX($Z354-积分赛!$C$7,0)*INDEX($U$7:$U$14,MATCH(AC$10,$T$7:$T$14,0))/30,0)</f>
        <v>0</v>
      </c>
      <c r="AD354" s="10">
        <f>IFERROR(MAX($Z354-积分赛!$C$7,0)*INDEX($U$7:$U$14,MATCH(AD$10,$T$7:$T$14,0))/30,0)</f>
        <v>837333.33333333337</v>
      </c>
      <c r="AE354" s="10">
        <f>IFERROR(MAX($Z354-积分赛!$C$7,0)*INDEX($U$7:$U$14,MATCH(AE$10,$T$7:$T$14,0))/30,0)</f>
        <v>10466666.666666666</v>
      </c>
      <c r="AF354" s="10">
        <f>MAX($Z354-积分赛!$C$7,0)*(IFERROR(INDEX($W$7:$W$14,MATCH(AF$10,$T$7:$T$14,0)),0)*$T$20+IFERROR(INDEX($X$7:$X$14,MATCH(AF$10,$T$7:$T$14,0)),0)*$T$21)/30</f>
        <v>0</v>
      </c>
      <c r="AG354" s="10">
        <f>MAX($Z354-积分赛!$C$7,0)*(IFERROR(INDEX($W$7:$W$14,MATCH(AG$10,$T$7:$T$14,0)),0)*$T$20+IFERROR(INDEX($X$7:$X$14,MATCH(AG$10,$T$7:$T$14,0)),0)*$T$21)/30</f>
        <v>0</v>
      </c>
      <c r="AH354" s="10">
        <f>MAX($Z354-积分赛!$C$7,0)*(IFERROR(INDEX($W$7:$W$14,MATCH(AH$10,$T$7:$T$14,0)),0)*$T$20+IFERROR(INDEX($X$7:$X$14,MATCH(AH$10,$T$7:$T$14,0)),0)*$T$21)/30</f>
        <v>0</v>
      </c>
      <c r="AI354" s="10">
        <f>MAX($Z354-积分赛!$C$7,0)*(IFERROR(INDEX($W$7:$W$14,MATCH(AI$10,$T$7:$T$14,0)),0)*$T$20+IFERROR(INDEX($X$7:$X$14,MATCH(AI$10,$T$7:$T$14,0)),0)*$T$21)/30</f>
        <v>31975.666666666668</v>
      </c>
      <c r="AJ354" s="10">
        <f>MAX($Z354-积分赛!$C$7,0)*(IFERROR(INDEX($W$7:$W$14,MATCH(AJ$10,$T$7:$T$14,0)),0)*$T$20+IFERROR(INDEX($X$7:$X$14,MATCH(AJ$10,$T$7:$T$14,0)),0)*$T$21)/30</f>
        <v>191854</v>
      </c>
      <c r="BI354" s="10">
        <v>344</v>
      </c>
      <c r="BJ354" s="10">
        <f>MAX($BI354-积分赛!$C$7,0)*$BC$10/30</f>
        <v>1046666.6666666666</v>
      </c>
      <c r="BK354" s="10">
        <f>MAX($BI354-积分赛!$C$7,0)*$BC$10/30</f>
        <v>1046666.6666666666</v>
      </c>
      <c r="BL354" s="10">
        <f>MAX($BI354-积分赛!$C$7,0)*$BC$10/30</f>
        <v>1046666.6666666666</v>
      </c>
      <c r="BM354" s="10">
        <f>MAX($BI354-积分赛!$C$7,0)*$BC$10/30</f>
        <v>1046666.6666666666</v>
      </c>
      <c r="BN354" s="10">
        <f>MAX($BI354-积分赛!$C$7,0)*$BC$10/30</f>
        <v>1046666.6666666666</v>
      </c>
    </row>
    <row r="355" spans="26:66" x14ac:dyDescent="0.15">
      <c r="Z355" s="10">
        <v>345</v>
      </c>
      <c r="AA355" s="10">
        <f>IFERROR(MAX($Z355-积分赛!$C$7,0)*INDEX($U$7:$U$14,MATCH(AA$10,$T$7:$T$14,0))/30,0)</f>
        <v>0</v>
      </c>
      <c r="AB355" s="10">
        <f>IFERROR(MAX($Z355-积分赛!$C$7,0)*INDEX($U$7:$U$14,MATCH(AB$10,$T$7:$T$14,0))/30,0)</f>
        <v>0</v>
      </c>
      <c r="AC355" s="10">
        <f>IFERROR(MAX($Z355-积分赛!$C$7,0)*INDEX($U$7:$U$14,MATCH(AC$10,$T$7:$T$14,0))/30,0)</f>
        <v>0</v>
      </c>
      <c r="AD355" s="10">
        <f>IFERROR(MAX($Z355-积分赛!$C$7,0)*INDEX($U$7:$U$14,MATCH(AD$10,$T$7:$T$14,0))/30,0)</f>
        <v>840000</v>
      </c>
      <c r="AE355" s="10">
        <f>IFERROR(MAX($Z355-积分赛!$C$7,0)*INDEX($U$7:$U$14,MATCH(AE$10,$T$7:$T$14,0))/30,0)</f>
        <v>10500000</v>
      </c>
      <c r="AF355" s="10">
        <f>MAX($Z355-积分赛!$C$7,0)*(IFERROR(INDEX($W$7:$W$14,MATCH(AF$10,$T$7:$T$14,0)),0)*$T$20+IFERROR(INDEX($X$7:$X$14,MATCH(AF$10,$T$7:$T$14,0)),0)*$T$21)/30</f>
        <v>0</v>
      </c>
      <c r="AG355" s="10">
        <f>MAX($Z355-积分赛!$C$7,0)*(IFERROR(INDEX($W$7:$W$14,MATCH(AG$10,$T$7:$T$14,0)),0)*$T$20+IFERROR(INDEX($X$7:$X$14,MATCH(AG$10,$T$7:$T$14,0)),0)*$T$21)/30</f>
        <v>0</v>
      </c>
      <c r="AH355" s="10">
        <f>MAX($Z355-积分赛!$C$7,0)*(IFERROR(INDEX($W$7:$W$14,MATCH(AH$10,$T$7:$T$14,0)),0)*$T$20+IFERROR(INDEX($X$7:$X$14,MATCH(AH$10,$T$7:$T$14,0)),0)*$T$21)/30</f>
        <v>0</v>
      </c>
      <c r="AI355" s="10">
        <f>MAX($Z355-积分赛!$C$7,0)*(IFERROR(INDEX($W$7:$W$14,MATCH(AI$10,$T$7:$T$14,0)),0)*$T$20+IFERROR(INDEX($X$7:$X$14,MATCH(AI$10,$T$7:$T$14,0)),0)*$T$21)/30</f>
        <v>32077.5</v>
      </c>
      <c r="AJ355" s="10">
        <f>MAX($Z355-积分赛!$C$7,0)*(IFERROR(INDEX($W$7:$W$14,MATCH(AJ$10,$T$7:$T$14,0)),0)*$T$20+IFERROR(INDEX($X$7:$X$14,MATCH(AJ$10,$T$7:$T$14,0)),0)*$T$21)/30</f>
        <v>192465</v>
      </c>
      <c r="BI355" s="10">
        <v>345</v>
      </c>
      <c r="BJ355" s="10">
        <f>MAX($BI355-积分赛!$C$7,0)*$BC$10/30</f>
        <v>1050000</v>
      </c>
      <c r="BK355" s="10">
        <f>MAX($BI355-积分赛!$C$7,0)*$BC$10/30</f>
        <v>1050000</v>
      </c>
      <c r="BL355" s="10">
        <f>MAX($BI355-积分赛!$C$7,0)*$BC$10/30</f>
        <v>1050000</v>
      </c>
      <c r="BM355" s="10">
        <f>MAX($BI355-积分赛!$C$7,0)*$BC$10/30</f>
        <v>1050000</v>
      </c>
      <c r="BN355" s="10">
        <f>MAX($BI355-积分赛!$C$7,0)*$BC$10/30</f>
        <v>1050000</v>
      </c>
    </row>
    <row r="356" spans="26:66" x14ac:dyDescent="0.15">
      <c r="Z356" s="10">
        <v>346</v>
      </c>
      <c r="AA356" s="10">
        <f>IFERROR(MAX($Z356-积分赛!$C$7,0)*INDEX($U$7:$U$14,MATCH(AA$10,$T$7:$T$14,0))/30,0)</f>
        <v>0</v>
      </c>
      <c r="AB356" s="10">
        <f>IFERROR(MAX($Z356-积分赛!$C$7,0)*INDEX($U$7:$U$14,MATCH(AB$10,$T$7:$T$14,0))/30,0)</f>
        <v>0</v>
      </c>
      <c r="AC356" s="10">
        <f>IFERROR(MAX($Z356-积分赛!$C$7,0)*INDEX($U$7:$U$14,MATCH(AC$10,$T$7:$T$14,0))/30,0)</f>
        <v>0</v>
      </c>
      <c r="AD356" s="10">
        <f>IFERROR(MAX($Z356-积分赛!$C$7,0)*INDEX($U$7:$U$14,MATCH(AD$10,$T$7:$T$14,0))/30,0)</f>
        <v>842666.66666666663</v>
      </c>
      <c r="AE356" s="10">
        <f>IFERROR(MAX($Z356-积分赛!$C$7,0)*INDEX($U$7:$U$14,MATCH(AE$10,$T$7:$T$14,0))/30,0)</f>
        <v>10533333.333333334</v>
      </c>
      <c r="AF356" s="10">
        <f>MAX($Z356-积分赛!$C$7,0)*(IFERROR(INDEX($W$7:$W$14,MATCH(AF$10,$T$7:$T$14,0)),0)*$T$20+IFERROR(INDEX($X$7:$X$14,MATCH(AF$10,$T$7:$T$14,0)),0)*$T$21)/30</f>
        <v>0</v>
      </c>
      <c r="AG356" s="10">
        <f>MAX($Z356-积分赛!$C$7,0)*(IFERROR(INDEX($W$7:$W$14,MATCH(AG$10,$T$7:$T$14,0)),0)*$T$20+IFERROR(INDEX($X$7:$X$14,MATCH(AG$10,$T$7:$T$14,0)),0)*$T$21)/30</f>
        <v>0</v>
      </c>
      <c r="AH356" s="10">
        <f>MAX($Z356-积分赛!$C$7,0)*(IFERROR(INDEX($W$7:$W$14,MATCH(AH$10,$T$7:$T$14,0)),0)*$T$20+IFERROR(INDEX($X$7:$X$14,MATCH(AH$10,$T$7:$T$14,0)),0)*$T$21)/30</f>
        <v>0</v>
      </c>
      <c r="AI356" s="10">
        <f>MAX($Z356-积分赛!$C$7,0)*(IFERROR(INDEX($W$7:$W$14,MATCH(AI$10,$T$7:$T$14,0)),0)*$T$20+IFERROR(INDEX($X$7:$X$14,MATCH(AI$10,$T$7:$T$14,0)),0)*$T$21)/30</f>
        <v>32179.333333333332</v>
      </c>
      <c r="AJ356" s="10">
        <f>MAX($Z356-积分赛!$C$7,0)*(IFERROR(INDEX($W$7:$W$14,MATCH(AJ$10,$T$7:$T$14,0)),0)*$T$20+IFERROR(INDEX($X$7:$X$14,MATCH(AJ$10,$T$7:$T$14,0)),0)*$T$21)/30</f>
        <v>193076</v>
      </c>
      <c r="BI356" s="10">
        <v>346</v>
      </c>
      <c r="BJ356" s="10">
        <f>MAX($BI356-积分赛!$C$7,0)*$BC$10/30</f>
        <v>1053333.3333333333</v>
      </c>
      <c r="BK356" s="10">
        <f>MAX($BI356-积分赛!$C$7,0)*$BC$10/30</f>
        <v>1053333.3333333333</v>
      </c>
      <c r="BL356" s="10">
        <f>MAX($BI356-积分赛!$C$7,0)*$BC$10/30</f>
        <v>1053333.3333333333</v>
      </c>
      <c r="BM356" s="10">
        <f>MAX($BI356-积分赛!$C$7,0)*$BC$10/30</f>
        <v>1053333.3333333333</v>
      </c>
      <c r="BN356" s="10">
        <f>MAX($BI356-积分赛!$C$7,0)*$BC$10/30</f>
        <v>1053333.3333333333</v>
      </c>
    </row>
    <row r="357" spans="26:66" x14ac:dyDescent="0.15">
      <c r="Z357" s="10">
        <v>347</v>
      </c>
      <c r="AA357" s="10">
        <f>IFERROR(MAX($Z357-积分赛!$C$7,0)*INDEX($U$7:$U$14,MATCH(AA$10,$T$7:$T$14,0))/30,0)</f>
        <v>0</v>
      </c>
      <c r="AB357" s="10">
        <f>IFERROR(MAX($Z357-积分赛!$C$7,0)*INDEX($U$7:$U$14,MATCH(AB$10,$T$7:$T$14,0))/30,0)</f>
        <v>0</v>
      </c>
      <c r="AC357" s="10">
        <f>IFERROR(MAX($Z357-积分赛!$C$7,0)*INDEX($U$7:$U$14,MATCH(AC$10,$T$7:$T$14,0))/30,0)</f>
        <v>0</v>
      </c>
      <c r="AD357" s="10">
        <f>IFERROR(MAX($Z357-积分赛!$C$7,0)*INDEX($U$7:$U$14,MATCH(AD$10,$T$7:$T$14,0))/30,0)</f>
        <v>845333.33333333337</v>
      </c>
      <c r="AE357" s="10">
        <f>IFERROR(MAX($Z357-积分赛!$C$7,0)*INDEX($U$7:$U$14,MATCH(AE$10,$T$7:$T$14,0))/30,0)</f>
        <v>10566666.666666666</v>
      </c>
      <c r="AF357" s="10">
        <f>MAX($Z357-积分赛!$C$7,0)*(IFERROR(INDEX($W$7:$W$14,MATCH(AF$10,$T$7:$T$14,0)),0)*$T$20+IFERROR(INDEX($X$7:$X$14,MATCH(AF$10,$T$7:$T$14,0)),0)*$T$21)/30</f>
        <v>0</v>
      </c>
      <c r="AG357" s="10">
        <f>MAX($Z357-积分赛!$C$7,0)*(IFERROR(INDEX($W$7:$W$14,MATCH(AG$10,$T$7:$T$14,0)),0)*$T$20+IFERROR(INDEX($X$7:$X$14,MATCH(AG$10,$T$7:$T$14,0)),0)*$T$21)/30</f>
        <v>0</v>
      </c>
      <c r="AH357" s="10">
        <f>MAX($Z357-积分赛!$C$7,0)*(IFERROR(INDEX($W$7:$W$14,MATCH(AH$10,$T$7:$T$14,0)),0)*$T$20+IFERROR(INDEX($X$7:$X$14,MATCH(AH$10,$T$7:$T$14,0)),0)*$T$21)/30</f>
        <v>0</v>
      </c>
      <c r="AI357" s="10">
        <f>MAX($Z357-积分赛!$C$7,0)*(IFERROR(INDEX($W$7:$W$14,MATCH(AI$10,$T$7:$T$14,0)),0)*$T$20+IFERROR(INDEX($X$7:$X$14,MATCH(AI$10,$T$7:$T$14,0)),0)*$T$21)/30</f>
        <v>32281.166666666668</v>
      </c>
      <c r="AJ357" s="10">
        <f>MAX($Z357-积分赛!$C$7,0)*(IFERROR(INDEX($W$7:$W$14,MATCH(AJ$10,$T$7:$T$14,0)),0)*$T$20+IFERROR(INDEX($X$7:$X$14,MATCH(AJ$10,$T$7:$T$14,0)),0)*$T$21)/30</f>
        <v>193687</v>
      </c>
      <c r="BI357" s="10">
        <v>347</v>
      </c>
      <c r="BJ357" s="10">
        <f>MAX($BI357-积分赛!$C$7,0)*$BC$10/30</f>
        <v>1056666.6666666667</v>
      </c>
      <c r="BK357" s="10">
        <f>MAX($BI357-积分赛!$C$7,0)*$BC$10/30</f>
        <v>1056666.6666666667</v>
      </c>
      <c r="BL357" s="10">
        <f>MAX($BI357-积分赛!$C$7,0)*$BC$10/30</f>
        <v>1056666.6666666667</v>
      </c>
      <c r="BM357" s="10">
        <f>MAX($BI357-积分赛!$C$7,0)*$BC$10/30</f>
        <v>1056666.6666666667</v>
      </c>
      <c r="BN357" s="10">
        <f>MAX($BI357-积分赛!$C$7,0)*$BC$10/30</f>
        <v>1056666.6666666667</v>
      </c>
    </row>
    <row r="358" spans="26:66" x14ac:dyDescent="0.15">
      <c r="Z358" s="10">
        <v>348</v>
      </c>
      <c r="AA358" s="10">
        <f>IFERROR(MAX($Z358-积分赛!$C$7,0)*INDEX($U$7:$U$14,MATCH(AA$10,$T$7:$T$14,0))/30,0)</f>
        <v>0</v>
      </c>
      <c r="AB358" s="10">
        <f>IFERROR(MAX($Z358-积分赛!$C$7,0)*INDEX($U$7:$U$14,MATCH(AB$10,$T$7:$T$14,0))/30,0)</f>
        <v>0</v>
      </c>
      <c r="AC358" s="10">
        <f>IFERROR(MAX($Z358-积分赛!$C$7,0)*INDEX($U$7:$U$14,MATCH(AC$10,$T$7:$T$14,0))/30,0)</f>
        <v>0</v>
      </c>
      <c r="AD358" s="10">
        <f>IFERROR(MAX($Z358-积分赛!$C$7,0)*INDEX($U$7:$U$14,MATCH(AD$10,$T$7:$T$14,0))/30,0)</f>
        <v>848000</v>
      </c>
      <c r="AE358" s="10">
        <f>IFERROR(MAX($Z358-积分赛!$C$7,0)*INDEX($U$7:$U$14,MATCH(AE$10,$T$7:$T$14,0))/30,0)</f>
        <v>10600000</v>
      </c>
      <c r="AF358" s="10">
        <f>MAX($Z358-积分赛!$C$7,0)*(IFERROR(INDEX($W$7:$W$14,MATCH(AF$10,$T$7:$T$14,0)),0)*$T$20+IFERROR(INDEX($X$7:$X$14,MATCH(AF$10,$T$7:$T$14,0)),0)*$T$21)/30</f>
        <v>0</v>
      </c>
      <c r="AG358" s="10">
        <f>MAX($Z358-积分赛!$C$7,0)*(IFERROR(INDEX($W$7:$W$14,MATCH(AG$10,$T$7:$T$14,0)),0)*$T$20+IFERROR(INDEX($X$7:$X$14,MATCH(AG$10,$T$7:$T$14,0)),0)*$T$21)/30</f>
        <v>0</v>
      </c>
      <c r="AH358" s="10">
        <f>MAX($Z358-积分赛!$C$7,0)*(IFERROR(INDEX($W$7:$W$14,MATCH(AH$10,$T$7:$T$14,0)),0)*$T$20+IFERROR(INDEX($X$7:$X$14,MATCH(AH$10,$T$7:$T$14,0)),0)*$T$21)/30</f>
        <v>0</v>
      </c>
      <c r="AI358" s="10">
        <f>MAX($Z358-积分赛!$C$7,0)*(IFERROR(INDEX($W$7:$W$14,MATCH(AI$10,$T$7:$T$14,0)),0)*$T$20+IFERROR(INDEX($X$7:$X$14,MATCH(AI$10,$T$7:$T$14,0)),0)*$T$21)/30</f>
        <v>32383</v>
      </c>
      <c r="AJ358" s="10">
        <f>MAX($Z358-积分赛!$C$7,0)*(IFERROR(INDEX($W$7:$W$14,MATCH(AJ$10,$T$7:$T$14,0)),0)*$T$20+IFERROR(INDEX($X$7:$X$14,MATCH(AJ$10,$T$7:$T$14,0)),0)*$T$21)/30</f>
        <v>194298</v>
      </c>
      <c r="BI358" s="10">
        <v>348</v>
      </c>
      <c r="BJ358" s="10">
        <f>MAX($BI358-积分赛!$C$7,0)*$BC$10/30</f>
        <v>1060000</v>
      </c>
      <c r="BK358" s="10">
        <f>MAX($BI358-积分赛!$C$7,0)*$BC$10/30</f>
        <v>1060000</v>
      </c>
      <c r="BL358" s="10">
        <f>MAX($BI358-积分赛!$C$7,0)*$BC$10/30</f>
        <v>1060000</v>
      </c>
      <c r="BM358" s="10">
        <f>MAX($BI358-积分赛!$C$7,0)*$BC$10/30</f>
        <v>1060000</v>
      </c>
      <c r="BN358" s="10">
        <f>MAX($BI358-积分赛!$C$7,0)*$BC$10/30</f>
        <v>1060000</v>
      </c>
    </row>
    <row r="359" spans="26:66" x14ac:dyDescent="0.15">
      <c r="Z359" s="10">
        <v>349</v>
      </c>
      <c r="AA359" s="10">
        <f>IFERROR(MAX($Z359-积分赛!$C$7,0)*INDEX($U$7:$U$14,MATCH(AA$10,$T$7:$T$14,0))/30,0)</f>
        <v>0</v>
      </c>
      <c r="AB359" s="10">
        <f>IFERROR(MAX($Z359-积分赛!$C$7,0)*INDEX($U$7:$U$14,MATCH(AB$10,$T$7:$T$14,0))/30,0)</f>
        <v>0</v>
      </c>
      <c r="AC359" s="10">
        <f>IFERROR(MAX($Z359-积分赛!$C$7,0)*INDEX($U$7:$U$14,MATCH(AC$10,$T$7:$T$14,0))/30,0)</f>
        <v>0</v>
      </c>
      <c r="AD359" s="10">
        <f>IFERROR(MAX($Z359-积分赛!$C$7,0)*INDEX($U$7:$U$14,MATCH(AD$10,$T$7:$T$14,0))/30,0)</f>
        <v>850666.66666666663</v>
      </c>
      <c r="AE359" s="10">
        <f>IFERROR(MAX($Z359-积分赛!$C$7,0)*INDEX($U$7:$U$14,MATCH(AE$10,$T$7:$T$14,0))/30,0)</f>
        <v>10633333.333333334</v>
      </c>
      <c r="AF359" s="10">
        <f>MAX($Z359-积分赛!$C$7,0)*(IFERROR(INDEX($W$7:$W$14,MATCH(AF$10,$T$7:$T$14,0)),0)*$T$20+IFERROR(INDEX($X$7:$X$14,MATCH(AF$10,$T$7:$T$14,0)),0)*$T$21)/30</f>
        <v>0</v>
      </c>
      <c r="AG359" s="10">
        <f>MAX($Z359-积分赛!$C$7,0)*(IFERROR(INDEX($W$7:$W$14,MATCH(AG$10,$T$7:$T$14,0)),0)*$T$20+IFERROR(INDEX($X$7:$X$14,MATCH(AG$10,$T$7:$T$14,0)),0)*$T$21)/30</f>
        <v>0</v>
      </c>
      <c r="AH359" s="10">
        <f>MAX($Z359-积分赛!$C$7,0)*(IFERROR(INDEX($W$7:$W$14,MATCH(AH$10,$T$7:$T$14,0)),0)*$T$20+IFERROR(INDEX($X$7:$X$14,MATCH(AH$10,$T$7:$T$14,0)),0)*$T$21)/30</f>
        <v>0</v>
      </c>
      <c r="AI359" s="10">
        <f>MAX($Z359-积分赛!$C$7,0)*(IFERROR(INDEX($W$7:$W$14,MATCH(AI$10,$T$7:$T$14,0)),0)*$T$20+IFERROR(INDEX($X$7:$X$14,MATCH(AI$10,$T$7:$T$14,0)),0)*$T$21)/30</f>
        <v>32484.833333333332</v>
      </c>
      <c r="AJ359" s="10">
        <f>MAX($Z359-积分赛!$C$7,0)*(IFERROR(INDEX($W$7:$W$14,MATCH(AJ$10,$T$7:$T$14,0)),0)*$T$20+IFERROR(INDEX($X$7:$X$14,MATCH(AJ$10,$T$7:$T$14,0)),0)*$T$21)/30</f>
        <v>194909</v>
      </c>
      <c r="BI359" s="10">
        <v>349</v>
      </c>
      <c r="BJ359" s="10">
        <f>MAX($BI359-积分赛!$C$7,0)*$BC$10/30</f>
        <v>1063333.3333333333</v>
      </c>
      <c r="BK359" s="10">
        <f>MAX($BI359-积分赛!$C$7,0)*$BC$10/30</f>
        <v>1063333.3333333333</v>
      </c>
      <c r="BL359" s="10">
        <f>MAX($BI359-积分赛!$C$7,0)*$BC$10/30</f>
        <v>1063333.3333333333</v>
      </c>
      <c r="BM359" s="10">
        <f>MAX($BI359-积分赛!$C$7,0)*$BC$10/30</f>
        <v>1063333.3333333333</v>
      </c>
      <c r="BN359" s="10">
        <f>MAX($BI359-积分赛!$C$7,0)*$BC$10/30</f>
        <v>1063333.3333333333</v>
      </c>
    </row>
    <row r="360" spans="26:66" x14ac:dyDescent="0.15">
      <c r="Z360" s="10">
        <v>350</v>
      </c>
      <c r="AA360" s="10">
        <f>IFERROR(MAX($Z360-积分赛!$C$7,0)*INDEX($U$7:$U$14,MATCH(AA$10,$T$7:$T$14,0))/30,0)</f>
        <v>0</v>
      </c>
      <c r="AB360" s="10">
        <f>IFERROR(MAX($Z360-积分赛!$C$7,0)*INDEX($U$7:$U$14,MATCH(AB$10,$T$7:$T$14,0))/30,0)</f>
        <v>0</v>
      </c>
      <c r="AC360" s="10">
        <f>IFERROR(MAX($Z360-积分赛!$C$7,0)*INDEX($U$7:$U$14,MATCH(AC$10,$T$7:$T$14,0))/30,0)</f>
        <v>0</v>
      </c>
      <c r="AD360" s="10">
        <f>IFERROR(MAX($Z360-积分赛!$C$7,0)*INDEX($U$7:$U$14,MATCH(AD$10,$T$7:$T$14,0))/30,0)</f>
        <v>853333.33333333337</v>
      </c>
      <c r="AE360" s="10">
        <f>IFERROR(MAX($Z360-积分赛!$C$7,0)*INDEX($U$7:$U$14,MATCH(AE$10,$T$7:$T$14,0))/30,0)</f>
        <v>10666666.666666666</v>
      </c>
      <c r="AF360" s="10">
        <f>MAX($Z360-积分赛!$C$7,0)*(IFERROR(INDEX($W$7:$W$14,MATCH(AF$10,$T$7:$T$14,0)),0)*$T$20+IFERROR(INDEX($X$7:$X$14,MATCH(AF$10,$T$7:$T$14,0)),0)*$T$21)/30</f>
        <v>0</v>
      </c>
      <c r="AG360" s="10">
        <f>MAX($Z360-积分赛!$C$7,0)*(IFERROR(INDEX($W$7:$W$14,MATCH(AG$10,$T$7:$T$14,0)),0)*$T$20+IFERROR(INDEX($X$7:$X$14,MATCH(AG$10,$T$7:$T$14,0)),0)*$T$21)/30</f>
        <v>0</v>
      </c>
      <c r="AH360" s="10">
        <f>MAX($Z360-积分赛!$C$7,0)*(IFERROR(INDEX($W$7:$W$14,MATCH(AH$10,$T$7:$T$14,0)),0)*$T$20+IFERROR(INDEX($X$7:$X$14,MATCH(AH$10,$T$7:$T$14,0)),0)*$T$21)/30</f>
        <v>0</v>
      </c>
      <c r="AI360" s="10">
        <f>MAX($Z360-积分赛!$C$7,0)*(IFERROR(INDEX($W$7:$W$14,MATCH(AI$10,$T$7:$T$14,0)),0)*$T$20+IFERROR(INDEX($X$7:$X$14,MATCH(AI$10,$T$7:$T$14,0)),0)*$T$21)/30</f>
        <v>32586.666666666668</v>
      </c>
      <c r="AJ360" s="10">
        <f>MAX($Z360-积分赛!$C$7,0)*(IFERROR(INDEX($W$7:$W$14,MATCH(AJ$10,$T$7:$T$14,0)),0)*$T$20+IFERROR(INDEX($X$7:$X$14,MATCH(AJ$10,$T$7:$T$14,0)),0)*$T$21)/30</f>
        <v>195520</v>
      </c>
      <c r="BI360" s="10">
        <v>350</v>
      </c>
      <c r="BJ360" s="10">
        <f>MAX($BI360-积分赛!$C$7,0)*$BC$10/30</f>
        <v>1066666.6666666667</v>
      </c>
      <c r="BK360" s="10">
        <f>MAX($BI360-积分赛!$C$7,0)*$BC$10/30</f>
        <v>1066666.6666666667</v>
      </c>
      <c r="BL360" s="10">
        <f>MAX($BI360-积分赛!$C$7,0)*$BC$10/30</f>
        <v>1066666.6666666667</v>
      </c>
      <c r="BM360" s="10">
        <f>MAX($BI360-积分赛!$C$7,0)*$BC$10/30</f>
        <v>1066666.6666666667</v>
      </c>
      <c r="BN360" s="10">
        <f>MAX($BI360-积分赛!$C$7,0)*$BC$10/30</f>
        <v>1066666.6666666667</v>
      </c>
    </row>
    <row r="361" spans="26:66" x14ac:dyDescent="0.15">
      <c r="Z361" s="10">
        <v>351</v>
      </c>
      <c r="AA361" s="10">
        <f>IFERROR(MAX($Z361-积分赛!$C$7,0)*INDEX($U$7:$U$14,MATCH(AA$10,$T$7:$T$14,0))/30,0)</f>
        <v>0</v>
      </c>
      <c r="AB361" s="10">
        <f>IFERROR(MAX($Z361-积分赛!$C$7,0)*INDEX($U$7:$U$14,MATCH(AB$10,$T$7:$T$14,0))/30,0)</f>
        <v>0</v>
      </c>
      <c r="AC361" s="10">
        <f>IFERROR(MAX($Z361-积分赛!$C$7,0)*INDEX($U$7:$U$14,MATCH(AC$10,$T$7:$T$14,0))/30,0)</f>
        <v>0</v>
      </c>
      <c r="AD361" s="10">
        <f>IFERROR(MAX($Z361-积分赛!$C$7,0)*INDEX($U$7:$U$14,MATCH(AD$10,$T$7:$T$14,0))/30,0)</f>
        <v>856000</v>
      </c>
      <c r="AE361" s="10">
        <f>IFERROR(MAX($Z361-积分赛!$C$7,0)*INDEX($U$7:$U$14,MATCH(AE$10,$T$7:$T$14,0))/30,0)</f>
        <v>10700000</v>
      </c>
      <c r="AF361" s="10">
        <f>MAX($Z361-积分赛!$C$7,0)*(IFERROR(INDEX($W$7:$W$14,MATCH(AF$10,$T$7:$T$14,0)),0)*$T$20+IFERROR(INDEX($X$7:$X$14,MATCH(AF$10,$T$7:$T$14,0)),0)*$T$21)/30</f>
        <v>0</v>
      </c>
      <c r="AG361" s="10">
        <f>MAX($Z361-积分赛!$C$7,0)*(IFERROR(INDEX($W$7:$W$14,MATCH(AG$10,$T$7:$T$14,0)),0)*$T$20+IFERROR(INDEX($X$7:$X$14,MATCH(AG$10,$T$7:$T$14,0)),0)*$T$21)/30</f>
        <v>0</v>
      </c>
      <c r="AH361" s="10">
        <f>MAX($Z361-积分赛!$C$7,0)*(IFERROR(INDEX($W$7:$W$14,MATCH(AH$10,$T$7:$T$14,0)),0)*$T$20+IFERROR(INDEX($X$7:$X$14,MATCH(AH$10,$T$7:$T$14,0)),0)*$T$21)/30</f>
        <v>0</v>
      </c>
      <c r="AI361" s="10">
        <f>MAX($Z361-积分赛!$C$7,0)*(IFERROR(INDEX($W$7:$W$14,MATCH(AI$10,$T$7:$T$14,0)),0)*$T$20+IFERROR(INDEX($X$7:$X$14,MATCH(AI$10,$T$7:$T$14,0)),0)*$T$21)/30</f>
        <v>32688.5</v>
      </c>
      <c r="AJ361" s="10">
        <f>MAX($Z361-积分赛!$C$7,0)*(IFERROR(INDEX($W$7:$W$14,MATCH(AJ$10,$T$7:$T$14,0)),0)*$T$20+IFERROR(INDEX($X$7:$X$14,MATCH(AJ$10,$T$7:$T$14,0)),0)*$T$21)/30</f>
        <v>196131</v>
      </c>
      <c r="BI361" s="10">
        <v>351</v>
      </c>
      <c r="BJ361" s="10">
        <f>MAX($BI361-积分赛!$C$7,0)*$BC$10/30</f>
        <v>1070000</v>
      </c>
      <c r="BK361" s="10">
        <f>MAX($BI361-积分赛!$C$7,0)*$BC$10/30</f>
        <v>1070000</v>
      </c>
      <c r="BL361" s="10">
        <f>MAX($BI361-积分赛!$C$7,0)*$BC$10/30</f>
        <v>1070000</v>
      </c>
      <c r="BM361" s="10">
        <f>MAX($BI361-积分赛!$C$7,0)*$BC$10/30</f>
        <v>1070000</v>
      </c>
      <c r="BN361" s="10">
        <f>MAX($BI361-积分赛!$C$7,0)*$BC$10/30</f>
        <v>1070000</v>
      </c>
    </row>
    <row r="362" spans="26:66" x14ac:dyDescent="0.15">
      <c r="Z362" s="10">
        <v>352</v>
      </c>
      <c r="AA362" s="10">
        <f>IFERROR(MAX($Z362-积分赛!$C$7,0)*INDEX($U$7:$U$14,MATCH(AA$10,$T$7:$T$14,0))/30,0)</f>
        <v>0</v>
      </c>
      <c r="AB362" s="10">
        <f>IFERROR(MAX($Z362-积分赛!$C$7,0)*INDEX($U$7:$U$14,MATCH(AB$10,$T$7:$T$14,0))/30,0)</f>
        <v>0</v>
      </c>
      <c r="AC362" s="10">
        <f>IFERROR(MAX($Z362-积分赛!$C$7,0)*INDEX($U$7:$U$14,MATCH(AC$10,$T$7:$T$14,0))/30,0)</f>
        <v>0</v>
      </c>
      <c r="AD362" s="10">
        <f>IFERROR(MAX($Z362-积分赛!$C$7,0)*INDEX($U$7:$U$14,MATCH(AD$10,$T$7:$T$14,0))/30,0)</f>
        <v>858666.66666666663</v>
      </c>
      <c r="AE362" s="10">
        <f>IFERROR(MAX($Z362-积分赛!$C$7,0)*INDEX($U$7:$U$14,MATCH(AE$10,$T$7:$T$14,0))/30,0)</f>
        <v>10733333.333333334</v>
      </c>
      <c r="AF362" s="10">
        <f>MAX($Z362-积分赛!$C$7,0)*(IFERROR(INDEX($W$7:$W$14,MATCH(AF$10,$T$7:$T$14,0)),0)*$T$20+IFERROR(INDEX($X$7:$X$14,MATCH(AF$10,$T$7:$T$14,0)),0)*$T$21)/30</f>
        <v>0</v>
      </c>
      <c r="AG362" s="10">
        <f>MAX($Z362-积分赛!$C$7,0)*(IFERROR(INDEX($W$7:$W$14,MATCH(AG$10,$T$7:$T$14,0)),0)*$T$20+IFERROR(INDEX($X$7:$X$14,MATCH(AG$10,$T$7:$T$14,0)),0)*$T$21)/30</f>
        <v>0</v>
      </c>
      <c r="AH362" s="10">
        <f>MAX($Z362-积分赛!$C$7,0)*(IFERROR(INDEX($W$7:$W$14,MATCH(AH$10,$T$7:$T$14,0)),0)*$T$20+IFERROR(INDEX($X$7:$X$14,MATCH(AH$10,$T$7:$T$14,0)),0)*$T$21)/30</f>
        <v>0</v>
      </c>
      <c r="AI362" s="10">
        <f>MAX($Z362-积分赛!$C$7,0)*(IFERROR(INDEX($W$7:$W$14,MATCH(AI$10,$T$7:$T$14,0)),0)*$T$20+IFERROR(INDEX($X$7:$X$14,MATCH(AI$10,$T$7:$T$14,0)),0)*$T$21)/30</f>
        <v>32790.333333333336</v>
      </c>
      <c r="AJ362" s="10">
        <f>MAX($Z362-积分赛!$C$7,0)*(IFERROR(INDEX($W$7:$W$14,MATCH(AJ$10,$T$7:$T$14,0)),0)*$T$20+IFERROR(INDEX($X$7:$X$14,MATCH(AJ$10,$T$7:$T$14,0)),0)*$T$21)/30</f>
        <v>196742</v>
      </c>
      <c r="BI362" s="10">
        <v>352</v>
      </c>
      <c r="BJ362" s="10">
        <f>MAX($BI362-积分赛!$C$7,0)*$BC$10/30</f>
        <v>1073333.3333333333</v>
      </c>
      <c r="BK362" s="10">
        <f>MAX($BI362-积分赛!$C$7,0)*$BC$10/30</f>
        <v>1073333.3333333333</v>
      </c>
      <c r="BL362" s="10">
        <f>MAX($BI362-积分赛!$C$7,0)*$BC$10/30</f>
        <v>1073333.3333333333</v>
      </c>
      <c r="BM362" s="10">
        <f>MAX($BI362-积分赛!$C$7,0)*$BC$10/30</f>
        <v>1073333.3333333333</v>
      </c>
      <c r="BN362" s="10">
        <f>MAX($BI362-积分赛!$C$7,0)*$BC$10/30</f>
        <v>1073333.3333333333</v>
      </c>
    </row>
    <row r="363" spans="26:66" x14ac:dyDescent="0.15">
      <c r="Z363" s="10">
        <v>353</v>
      </c>
      <c r="AA363" s="10">
        <f>IFERROR(MAX($Z363-积分赛!$C$7,0)*INDEX($U$7:$U$14,MATCH(AA$10,$T$7:$T$14,0))/30,0)</f>
        <v>0</v>
      </c>
      <c r="AB363" s="10">
        <f>IFERROR(MAX($Z363-积分赛!$C$7,0)*INDEX($U$7:$U$14,MATCH(AB$10,$T$7:$T$14,0))/30,0)</f>
        <v>0</v>
      </c>
      <c r="AC363" s="10">
        <f>IFERROR(MAX($Z363-积分赛!$C$7,0)*INDEX($U$7:$U$14,MATCH(AC$10,$T$7:$T$14,0))/30,0)</f>
        <v>0</v>
      </c>
      <c r="AD363" s="10">
        <f>IFERROR(MAX($Z363-积分赛!$C$7,0)*INDEX($U$7:$U$14,MATCH(AD$10,$T$7:$T$14,0))/30,0)</f>
        <v>861333.33333333337</v>
      </c>
      <c r="AE363" s="10">
        <f>IFERROR(MAX($Z363-积分赛!$C$7,0)*INDEX($U$7:$U$14,MATCH(AE$10,$T$7:$T$14,0))/30,0)</f>
        <v>10766666.666666666</v>
      </c>
      <c r="AF363" s="10">
        <f>MAX($Z363-积分赛!$C$7,0)*(IFERROR(INDEX($W$7:$W$14,MATCH(AF$10,$T$7:$T$14,0)),0)*$T$20+IFERROR(INDEX($X$7:$X$14,MATCH(AF$10,$T$7:$T$14,0)),0)*$T$21)/30</f>
        <v>0</v>
      </c>
      <c r="AG363" s="10">
        <f>MAX($Z363-积分赛!$C$7,0)*(IFERROR(INDEX($W$7:$W$14,MATCH(AG$10,$T$7:$T$14,0)),0)*$T$20+IFERROR(INDEX($X$7:$X$14,MATCH(AG$10,$T$7:$T$14,0)),0)*$T$21)/30</f>
        <v>0</v>
      </c>
      <c r="AH363" s="10">
        <f>MAX($Z363-积分赛!$C$7,0)*(IFERROR(INDEX($W$7:$W$14,MATCH(AH$10,$T$7:$T$14,0)),0)*$T$20+IFERROR(INDEX($X$7:$X$14,MATCH(AH$10,$T$7:$T$14,0)),0)*$T$21)/30</f>
        <v>0</v>
      </c>
      <c r="AI363" s="10">
        <f>MAX($Z363-积分赛!$C$7,0)*(IFERROR(INDEX($W$7:$W$14,MATCH(AI$10,$T$7:$T$14,0)),0)*$T$20+IFERROR(INDEX($X$7:$X$14,MATCH(AI$10,$T$7:$T$14,0)),0)*$T$21)/30</f>
        <v>32892.166666666664</v>
      </c>
      <c r="AJ363" s="10">
        <f>MAX($Z363-积分赛!$C$7,0)*(IFERROR(INDEX($W$7:$W$14,MATCH(AJ$10,$T$7:$T$14,0)),0)*$T$20+IFERROR(INDEX($X$7:$X$14,MATCH(AJ$10,$T$7:$T$14,0)),0)*$T$21)/30</f>
        <v>197353</v>
      </c>
      <c r="BI363" s="10">
        <v>353</v>
      </c>
      <c r="BJ363" s="10">
        <f>MAX($BI363-积分赛!$C$7,0)*$BC$10/30</f>
        <v>1076666.6666666667</v>
      </c>
      <c r="BK363" s="10">
        <f>MAX($BI363-积分赛!$C$7,0)*$BC$10/30</f>
        <v>1076666.6666666667</v>
      </c>
      <c r="BL363" s="10">
        <f>MAX($BI363-积分赛!$C$7,0)*$BC$10/30</f>
        <v>1076666.6666666667</v>
      </c>
      <c r="BM363" s="10">
        <f>MAX($BI363-积分赛!$C$7,0)*$BC$10/30</f>
        <v>1076666.6666666667</v>
      </c>
      <c r="BN363" s="10">
        <f>MAX($BI363-积分赛!$C$7,0)*$BC$10/30</f>
        <v>1076666.6666666667</v>
      </c>
    </row>
    <row r="364" spans="26:66" x14ac:dyDescent="0.15">
      <c r="Z364" s="10">
        <v>354</v>
      </c>
      <c r="AA364" s="10">
        <f>IFERROR(MAX($Z364-积分赛!$C$7,0)*INDEX($U$7:$U$14,MATCH(AA$10,$T$7:$T$14,0))/30,0)</f>
        <v>0</v>
      </c>
      <c r="AB364" s="10">
        <f>IFERROR(MAX($Z364-积分赛!$C$7,0)*INDEX($U$7:$U$14,MATCH(AB$10,$T$7:$T$14,0))/30,0)</f>
        <v>0</v>
      </c>
      <c r="AC364" s="10">
        <f>IFERROR(MAX($Z364-积分赛!$C$7,0)*INDEX($U$7:$U$14,MATCH(AC$10,$T$7:$T$14,0))/30,0)</f>
        <v>0</v>
      </c>
      <c r="AD364" s="10">
        <f>IFERROR(MAX($Z364-积分赛!$C$7,0)*INDEX($U$7:$U$14,MATCH(AD$10,$T$7:$T$14,0))/30,0)</f>
        <v>864000</v>
      </c>
      <c r="AE364" s="10">
        <f>IFERROR(MAX($Z364-积分赛!$C$7,0)*INDEX($U$7:$U$14,MATCH(AE$10,$T$7:$T$14,0))/30,0)</f>
        <v>10800000</v>
      </c>
      <c r="AF364" s="10">
        <f>MAX($Z364-积分赛!$C$7,0)*(IFERROR(INDEX($W$7:$W$14,MATCH(AF$10,$T$7:$T$14,0)),0)*$T$20+IFERROR(INDEX($X$7:$X$14,MATCH(AF$10,$T$7:$T$14,0)),0)*$T$21)/30</f>
        <v>0</v>
      </c>
      <c r="AG364" s="10">
        <f>MAX($Z364-积分赛!$C$7,0)*(IFERROR(INDEX($W$7:$W$14,MATCH(AG$10,$T$7:$T$14,0)),0)*$T$20+IFERROR(INDEX($X$7:$X$14,MATCH(AG$10,$T$7:$T$14,0)),0)*$T$21)/30</f>
        <v>0</v>
      </c>
      <c r="AH364" s="10">
        <f>MAX($Z364-积分赛!$C$7,0)*(IFERROR(INDEX($W$7:$W$14,MATCH(AH$10,$T$7:$T$14,0)),0)*$T$20+IFERROR(INDEX($X$7:$X$14,MATCH(AH$10,$T$7:$T$14,0)),0)*$T$21)/30</f>
        <v>0</v>
      </c>
      <c r="AI364" s="10">
        <f>MAX($Z364-积分赛!$C$7,0)*(IFERROR(INDEX($W$7:$W$14,MATCH(AI$10,$T$7:$T$14,0)),0)*$T$20+IFERROR(INDEX($X$7:$X$14,MATCH(AI$10,$T$7:$T$14,0)),0)*$T$21)/30</f>
        <v>32994</v>
      </c>
      <c r="AJ364" s="10">
        <f>MAX($Z364-积分赛!$C$7,0)*(IFERROR(INDEX($W$7:$W$14,MATCH(AJ$10,$T$7:$T$14,0)),0)*$T$20+IFERROR(INDEX($X$7:$X$14,MATCH(AJ$10,$T$7:$T$14,0)),0)*$T$21)/30</f>
        <v>197964</v>
      </c>
      <c r="BI364" s="10">
        <v>354</v>
      </c>
      <c r="BJ364" s="10">
        <f>MAX($BI364-积分赛!$C$7,0)*$BC$10/30</f>
        <v>1080000</v>
      </c>
      <c r="BK364" s="10">
        <f>MAX($BI364-积分赛!$C$7,0)*$BC$10/30</f>
        <v>1080000</v>
      </c>
      <c r="BL364" s="10">
        <f>MAX($BI364-积分赛!$C$7,0)*$BC$10/30</f>
        <v>1080000</v>
      </c>
      <c r="BM364" s="10">
        <f>MAX($BI364-积分赛!$C$7,0)*$BC$10/30</f>
        <v>1080000</v>
      </c>
      <c r="BN364" s="10">
        <f>MAX($BI364-积分赛!$C$7,0)*$BC$10/30</f>
        <v>1080000</v>
      </c>
    </row>
    <row r="365" spans="26:66" x14ac:dyDescent="0.15">
      <c r="Z365" s="10">
        <v>355</v>
      </c>
      <c r="AA365" s="10">
        <f>IFERROR(MAX($Z365-积分赛!$C$7,0)*INDEX($U$7:$U$14,MATCH(AA$10,$T$7:$T$14,0))/30,0)</f>
        <v>0</v>
      </c>
      <c r="AB365" s="10">
        <f>IFERROR(MAX($Z365-积分赛!$C$7,0)*INDEX($U$7:$U$14,MATCH(AB$10,$T$7:$T$14,0))/30,0)</f>
        <v>0</v>
      </c>
      <c r="AC365" s="10">
        <f>IFERROR(MAX($Z365-积分赛!$C$7,0)*INDEX($U$7:$U$14,MATCH(AC$10,$T$7:$T$14,0))/30,0)</f>
        <v>0</v>
      </c>
      <c r="AD365" s="10">
        <f>IFERROR(MAX($Z365-积分赛!$C$7,0)*INDEX($U$7:$U$14,MATCH(AD$10,$T$7:$T$14,0))/30,0)</f>
        <v>866666.66666666663</v>
      </c>
      <c r="AE365" s="10">
        <f>IFERROR(MAX($Z365-积分赛!$C$7,0)*INDEX($U$7:$U$14,MATCH(AE$10,$T$7:$T$14,0))/30,0)</f>
        <v>10833333.333333334</v>
      </c>
      <c r="AF365" s="10">
        <f>MAX($Z365-积分赛!$C$7,0)*(IFERROR(INDEX($W$7:$W$14,MATCH(AF$10,$T$7:$T$14,0)),0)*$T$20+IFERROR(INDEX($X$7:$X$14,MATCH(AF$10,$T$7:$T$14,0)),0)*$T$21)/30</f>
        <v>0</v>
      </c>
      <c r="AG365" s="10">
        <f>MAX($Z365-积分赛!$C$7,0)*(IFERROR(INDEX($W$7:$W$14,MATCH(AG$10,$T$7:$T$14,0)),0)*$T$20+IFERROR(INDEX($X$7:$X$14,MATCH(AG$10,$T$7:$T$14,0)),0)*$T$21)/30</f>
        <v>0</v>
      </c>
      <c r="AH365" s="10">
        <f>MAX($Z365-积分赛!$C$7,0)*(IFERROR(INDEX($W$7:$W$14,MATCH(AH$10,$T$7:$T$14,0)),0)*$T$20+IFERROR(INDEX($X$7:$X$14,MATCH(AH$10,$T$7:$T$14,0)),0)*$T$21)/30</f>
        <v>0</v>
      </c>
      <c r="AI365" s="10">
        <f>MAX($Z365-积分赛!$C$7,0)*(IFERROR(INDEX($W$7:$W$14,MATCH(AI$10,$T$7:$T$14,0)),0)*$T$20+IFERROR(INDEX($X$7:$X$14,MATCH(AI$10,$T$7:$T$14,0)),0)*$T$21)/30</f>
        <v>33095.833333333336</v>
      </c>
      <c r="AJ365" s="10">
        <f>MAX($Z365-积分赛!$C$7,0)*(IFERROR(INDEX($W$7:$W$14,MATCH(AJ$10,$T$7:$T$14,0)),0)*$T$20+IFERROR(INDEX($X$7:$X$14,MATCH(AJ$10,$T$7:$T$14,0)),0)*$T$21)/30</f>
        <v>198575</v>
      </c>
      <c r="BI365" s="10">
        <v>355</v>
      </c>
      <c r="BJ365" s="10">
        <f>MAX($BI365-积分赛!$C$7,0)*$BC$10/30</f>
        <v>1083333.3333333333</v>
      </c>
      <c r="BK365" s="10">
        <f>MAX($BI365-积分赛!$C$7,0)*$BC$10/30</f>
        <v>1083333.3333333333</v>
      </c>
      <c r="BL365" s="10">
        <f>MAX($BI365-积分赛!$C$7,0)*$BC$10/30</f>
        <v>1083333.3333333333</v>
      </c>
      <c r="BM365" s="10">
        <f>MAX($BI365-积分赛!$C$7,0)*$BC$10/30</f>
        <v>1083333.3333333333</v>
      </c>
      <c r="BN365" s="10">
        <f>MAX($BI365-积分赛!$C$7,0)*$BC$10/30</f>
        <v>1083333.3333333333</v>
      </c>
    </row>
    <row r="366" spans="26:66" x14ac:dyDescent="0.15">
      <c r="Z366" s="10">
        <v>356</v>
      </c>
      <c r="AA366" s="10">
        <f>IFERROR(MAX($Z366-积分赛!$C$7,0)*INDEX($U$7:$U$14,MATCH(AA$10,$T$7:$T$14,0))/30,0)</f>
        <v>0</v>
      </c>
      <c r="AB366" s="10">
        <f>IFERROR(MAX($Z366-积分赛!$C$7,0)*INDEX($U$7:$U$14,MATCH(AB$10,$T$7:$T$14,0))/30,0)</f>
        <v>0</v>
      </c>
      <c r="AC366" s="10">
        <f>IFERROR(MAX($Z366-积分赛!$C$7,0)*INDEX($U$7:$U$14,MATCH(AC$10,$T$7:$T$14,0))/30,0)</f>
        <v>0</v>
      </c>
      <c r="AD366" s="10">
        <f>IFERROR(MAX($Z366-积分赛!$C$7,0)*INDEX($U$7:$U$14,MATCH(AD$10,$T$7:$T$14,0))/30,0)</f>
        <v>869333.33333333337</v>
      </c>
      <c r="AE366" s="10">
        <f>IFERROR(MAX($Z366-积分赛!$C$7,0)*INDEX($U$7:$U$14,MATCH(AE$10,$T$7:$T$14,0))/30,0)</f>
        <v>10866666.666666666</v>
      </c>
      <c r="AF366" s="10">
        <f>MAX($Z366-积分赛!$C$7,0)*(IFERROR(INDEX($W$7:$W$14,MATCH(AF$10,$T$7:$T$14,0)),0)*$T$20+IFERROR(INDEX($X$7:$X$14,MATCH(AF$10,$T$7:$T$14,0)),0)*$T$21)/30</f>
        <v>0</v>
      </c>
      <c r="AG366" s="10">
        <f>MAX($Z366-积分赛!$C$7,0)*(IFERROR(INDEX($W$7:$W$14,MATCH(AG$10,$T$7:$T$14,0)),0)*$T$20+IFERROR(INDEX($X$7:$X$14,MATCH(AG$10,$T$7:$T$14,0)),0)*$T$21)/30</f>
        <v>0</v>
      </c>
      <c r="AH366" s="10">
        <f>MAX($Z366-积分赛!$C$7,0)*(IFERROR(INDEX($W$7:$W$14,MATCH(AH$10,$T$7:$T$14,0)),0)*$T$20+IFERROR(INDEX($X$7:$X$14,MATCH(AH$10,$T$7:$T$14,0)),0)*$T$21)/30</f>
        <v>0</v>
      </c>
      <c r="AI366" s="10">
        <f>MAX($Z366-积分赛!$C$7,0)*(IFERROR(INDEX($W$7:$W$14,MATCH(AI$10,$T$7:$T$14,0)),0)*$T$20+IFERROR(INDEX($X$7:$X$14,MATCH(AI$10,$T$7:$T$14,0)),0)*$T$21)/30</f>
        <v>33197.666666666664</v>
      </c>
      <c r="AJ366" s="10">
        <f>MAX($Z366-积分赛!$C$7,0)*(IFERROR(INDEX($W$7:$W$14,MATCH(AJ$10,$T$7:$T$14,0)),0)*$T$20+IFERROR(INDEX($X$7:$X$14,MATCH(AJ$10,$T$7:$T$14,0)),0)*$T$21)/30</f>
        <v>199186</v>
      </c>
      <c r="BI366" s="10">
        <v>356</v>
      </c>
      <c r="BJ366" s="10">
        <f>MAX($BI366-积分赛!$C$7,0)*$BC$10/30</f>
        <v>1086666.6666666667</v>
      </c>
      <c r="BK366" s="10">
        <f>MAX($BI366-积分赛!$C$7,0)*$BC$10/30</f>
        <v>1086666.6666666667</v>
      </c>
      <c r="BL366" s="10">
        <f>MAX($BI366-积分赛!$C$7,0)*$BC$10/30</f>
        <v>1086666.6666666667</v>
      </c>
      <c r="BM366" s="10">
        <f>MAX($BI366-积分赛!$C$7,0)*$BC$10/30</f>
        <v>1086666.6666666667</v>
      </c>
      <c r="BN366" s="10">
        <f>MAX($BI366-积分赛!$C$7,0)*$BC$10/30</f>
        <v>1086666.6666666667</v>
      </c>
    </row>
    <row r="367" spans="26:66" x14ac:dyDescent="0.15">
      <c r="Z367" s="10">
        <v>357</v>
      </c>
      <c r="AA367" s="10">
        <f>IFERROR(MAX($Z367-积分赛!$C$7,0)*INDEX($U$7:$U$14,MATCH(AA$10,$T$7:$T$14,0))/30,0)</f>
        <v>0</v>
      </c>
      <c r="AB367" s="10">
        <f>IFERROR(MAX($Z367-积分赛!$C$7,0)*INDEX($U$7:$U$14,MATCH(AB$10,$T$7:$T$14,0))/30,0)</f>
        <v>0</v>
      </c>
      <c r="AC367" s="10">
        <f>IFERROR(MAX($Z367-积分赛!$C$7,0)*INDEX($U$7:$U$14,MATCH(AC$10,$T$7:$T$14,0))/30,0)</f>
        <v>0</v>
      </c>
      <c r="AD367" s="10">
        <f>IFERROR(MAX($Z367-积分赛!$C$7,0)*INDEX($U$7:$U$14,MATCH(AD$10,$T$7:$T$14,0))/30,0)</f>
        <v>872000</v>
      </c>
      <c r="AE367" s="10">
        <f>IFERROR(MAX($Z367-积分赛!$C$7,0)*INDEX($U$7:$U$14,MATCH(AE$10,$T$7:$T$14,0))/30,0)</f>
        <v>10900000</v>
      </c>
      <c r="AF367" s="10">
        <f>MAX($Z367-积分赛!$C$7,0)*(IFERROR(INDEX($W$7:$W$14,MATCH(AF$10,$T$7:$T$14,0)),0)*$T$20+IFERROR(INDEX($X$7:$X$14,MATCH(AF$10,$T$7:$T$14,0)),0)*$T$21)/30</f>
        <v>0</v>
      </c>
      <c r="AG367" s="10">
        <f>MAX($Z367-积分赛!$C$7,0)*(IFERROR(INDEX($W$7:$W$14,MATCH(AG$10,$T$7:$T$14,0)),0)*$T$20+IFERROR(INDEX($X$7:$X$14,MATCH(AG$10,$T$7:$T$14,0)),0)*$T$21)/30</f>
        <v>0</v>
      </c>
      <c r="AH367" s="10">
        <f>MAX($Z367-积分赛!$C$7,0)*(IFERROR(INDEX($W$7:$W$14,MATCH(AH$10,$T$7:$T$14,0)),0)*$T$20+IFERROR(INDEX($X$7:$X$14,MATCH(AH$10,$T$7:$T$14,0)),0)*$T$21)/30</f>
        <v>0</v>
      </c>
      <c r="AI367" s="10">
        <f>MAX($Z367-积分赛!$C$7,0)*(IFERROR(INDEX($W$7:$W$14,MATCH(AI$10,$T$7:$T$14,0)),0)*$T$20+IFERROR(INDEX($X$7:$X$14,MATCH(AI$10,$T$7:$T$14,0)),0)*$T$21)/30</f>
        <v>33299.5</v>
      </c>
      <c r="AJ367" s="10">
        <f>MAX($Z367-积分赛!$C$7,0)*(IFERROR(INDEX($W$7:$W$14,MATCH(AJ$10,$T$7:$T$14,0)),0)*$T$20+IFERROR(INDEX($X$7:$X$14,MATCH(AJ$10,$T$7:$T$14,0)),0)*$T$21)/30</f>
        <v>199797</v>
      </c>
      <c r="BI367" s="10">
        <v>357</v>
      </c>
      <c r="BJ367" s="10">
        <f>MAX($BI367-积分赛!$C$7,0)*$BC$10/30</f>
        <v>1090000</v>
      </c>
      <c r="BK367" s="10">
        <f>MAX($BI367-积分赛!$C$7,0)*$BC$10/30</f>
        <v>1090000</v>
      </c>
      <c r="BL367" s="10">
        <f>MAX($BI367-积分赛!$C$7,0)*$BC$10/30</f>
        <v>1090000</v>
      </c>
      <c r="BM367" s="10">
        <f>MAX($BI367-积分赛!$C$7,0)*$BC$10/30</f>
        <v>1090000</v>
      </c>
      <c r="BN367" s="10">
        <f>MAX($BI367-积分赛!$C$7,0)*$BC$10/30</f>
        <v>1090000</v>
      </c>
    </row>
    <row r="368" spans="26:66" x14ac:dyDescent="0.15">
      <c r="Z368" s="10">
        <v>358</v>
      </c>
      <c r="AA368" s="10">
        <f>IFERROR(MAX($Z368-积分赛!$C$7,0)*INDEX($U$7:$U$14,MATCH(AA$10,$T$7:$T$14,0))/30,0)</f>
        <v>0</v>
      </c>
      <c r="AB368" s="10">
        <f>IFERROR(MAX($Z368-积分赛!$C$7,0)*INDEX($U$7:$U$14,MATCH(AB$10,$T$7:$T$14,0))/30,0)</f>
        <v>0</v>
      </c>
      <c r="AC368" s="10">
        <f>IFERROR(MAX($Z368-积分赛!$C$7,0)*INDEX($U$7:$U$14,MATCH(AC$10,$T$7:$T$14,0))/30,0)</f>
        <v>0</v>
      </c>
      <c r="AD368" s="10">
        <f>IFERROR(MAX($Z368-积分赛!$C$7,0)*INDEX($U$7:$U$14,MATCH(AD$10,$T$7:$T$14,0))/30,0)</f>
        <v>874666.66666666663</v>
      </c>
      <c r="AE368" s="10">
        <f>IFERROR(MAX($Z368-积分赛!$C$7,0)*INDEX($U$7:$U$14,MATCH(AE$10,$T$7:$T$14,0))/30,0)</f>
        <v>10933333.333333334</v>
      </c>
      <c r="AF368" s="10">
        <f>MAX($Z368-积分赛!$C$7,0)*(IFERROR(INDEX($W$7:$W$14,MATCH(AF$10,$T$7:$T$14,0)),0)*$T$20+IFERROR(INDEX($X$7:$X$14,MATCH(AF$10,$T$7:$T$14,0)),0)*$T$21)/30</f>
        <v>0</v>
      </c>
      <c r="AG368" s="10">
        <f>MAX($Z368-积分赛!$C$7,0)*(IFERROR(INDEX($W$7:$W$14,MATCH(AG$10,$T$7:$T$14,0)),0)*$T$20+IFERROR(INDEX($X$7:$X$14,MATCH(AG$10,$T$7:$T$14,0)),0)*$T$21)/30</f>
        <v>0</v>
      </c>
      <c r="AH368" s="10">
        <f>MAX($Z368-积分赛!$C$7,0)*(IFERROR(INDEX($W$7:$W$14,MATCH(AH$10,$T$7:$T$14,0)),0)*$T$20+IFERROR(INDEX($X$7:$X$14,MATCH(AH$10,$T$7:$T$14,0)),0)*$T$21)/30</f>
        <v>0</v>
      </c>
      <c r="AI368" s="10">
        <f>MAX($Z368-积分赛!$C$7,0)*(IFERROR(INDEX($W$7:$W$14,MATCH(AI$10,$T$7:$T$14,0)),0)*$T$20+IFERROR(INDEX($X$7:$X$14,MATCH(AI$10,$T$7:$T$14,0)),0)*$T$21)/30</f>
        <v>33401.333333333336</v>
      </c>
      <c r="AJ368" s="10">
        <f>MAX($Z368-积分赛!$C$7,0)*(IFERROR(INDEX($W$7:$W$14,MATCH(AJ$10,$T$7:$T$14,0)),0)*$T$20+IFERROR(INDEX($X$7:$X$14,MATCH(AJ$10,$T$7:$T$14,0)),0)*$T$21)/30</f>
        <v>200408</v>
      </c>
      <c r="BI368" s="10">
        <v>358</v>
      </c>
      <c r="BJ368" s="10">
        <f>MAX($BI368-积分赛!$C$7,0)*$BC$10/30</f>
        <v>1093333.3333333333</v>
      </c>
      <c r="BK368" s="10">
        <f>MAX($BI368-积分赛!$C$7,0)*$BC$10/30</f>
        <v>1093333.3333333333</v>
      </c>
      <c r="BL368" s="10">
        <f>MAX($BI368-积分赛!$C$7,0)*$BC$10/30</f>
        <v>1093333.3333333333</v>
      </c>
      <c r="BM368" s="10">
        <f>MAX($BI368-积分赛!$C$7,0)*$BC$10/30</f>
        <v>1093333.3333333333</v>
      </c>
      <c r="BN368" s="10">
        <f>MAX($BI368-积分赛!$C$7,0)*$BC$10/30</f>
        <v>1093333.3333333333</v>
      </c>
    </row>
    <row r="369" spans="26:66" x14ac:dyDescent="0.15">
      <c r="Z369" s="10">
        <v>359</v>
      </c>
      <c r="AA369" s="10">
        <f>IFERROR(MAX($Z369-积分赛!$C$7,0)*INDEX($U$7:$U$14,MATCH(AA$10,$T$7:$T$14,0))/30,0)</f>
        <v>0</v>
      </c>
      <c r="AB369" s="10">
        <f>IFERROR(MAX($Z369-积分赛!$C$7,0)*INDEX($U$7:$U$14,MATCH(AB$10,$T$7:$T$14,0))/30,0)</f>
        <v>0</v>
      </c>
      <c r="AC369" s="10">
        <f>IFERROR(MAX($Z369-积分赛!$C$7,0)*INDEX($U$7:$U$14,MATCH(AC$10,$T$7:$T$14,0))/30,0)</f>
        <v>0</v>
      </c>
      <c r="AD369" s="10">
        <f>IFERROR(MAX($Z369-积分赛!$C$7,0)*INDEX($U$7:$U$14,MATCH(AD$10,$T$7:$T$14,0))/30,0)</f>
        <v>877333.33333333337</v>
      </c>
      <c r="AE369" s="10">
        <f>IFERROR(MAX($Z369-积分赛!$C$7,0)*INDEX($U$7:$U$14,MATCH(AE$10,$T$7:$T$14,0))/30,0)</f>
        <v>10966666.666666666</v>
      </c>
      <c r="AF369" s="10">
        <f>MAX($Z369-积分赛!$C$7,0)*(IFERROR(INDEX($W$7:$W$14,MATCH(AF$10,$T$7:$T$14,0)),0)*$T$20+IFERROR(INDEX($X$7:$X$14,MATCH(AF$10,$T$7:$T$14,0)),0)*$T$21)/30</f>
        <v>0</v>
      </c>
      <c r="AG369" s="10">
        <f>MAX($Z369-积分赛!$C$7,0)*(IFERROR(INDEX($W$7:$W$14,MATCH(AG$10,$T$7:$T$14,0)),0)*$T$20+IFERROR(INDEX($X$7:$X$14,MATCH(AG$10,$T$7:$T$14,0)),0)*$T$21)/30</f>
        <v>0</v>
      </c>
      <c r="AH369" s="10">
        <f>MAX($Z369-积分赛!$C$7,0)*(IFERROR(INDEX($W$7:$W$14,MATCH(AH$10,$T$7:$T$14,0)),0)*$T$20+IFERROR(INDEX($X$7:$X$14,MATCH(AH$10,$T$7:$T$14,0)),0)*$T$21)/30</f>
        <v>0</v>
      </c>
      <c r="AI369" s="10">
        <f>MAX($Z369-积分赛!$C$7,0)*(IFERROR(INDEX($W$7:$W$14,MATCH(AI$10,$T$7:$T$14,0)),0)*$T$20+IFERROR(INDEX($X$7:$X$14,MATCH(AI$10,$T$7:$T$14,0)),0)*$T$21)/30</f>
        <v>33503.166666666664</v>
      </c>
      <c r="AJ369" s="10">
        <f>MAX($Z369-积分赛!$C$7,0)*(IFERROR(INDEX($W$7:$W$14,MATCH(AJ$10,$T$7:$T$14,0)),0)*$T$20+IFERROR(INDEX($X$7:$X$14,MATCH(AJ$10,$T$7:$T$14,0)),0)*$T$21)/30</f>
        <v>201019</v>
      </c>
      <c r="BI369" s="10">
        <v>359</v>
      </c>
      <c r="BJ369" s="10">
        <f>MAX($BI369-积分赛!$C$7,0)*$BC$10/30</f>
        <v>1096666.6666666667</v>
      </c>
      <c r="BK369" s="10">
        <f>MAX($BI369-积分赛!$C$7,0)*$BC$10/30</f>
        <v>1096666.6666666667</v>
      </c>
      <c r="BL369" s="10">
        <f>MAX($BI369-积分赛!$C$7,0)*$BC$10/30</f>
        <v>1096666.6666666667</v>
      </c>
      <c r="BM369" s="10">
        <f>MAX($BI369-积分赛!$C$7,0)*$BC$10/30</f>
        <v>1096666.6666666667</v>
      </c>
      <c r="BN369" s="10">
        <f>MAX($BI369-积分赛!$C$7,0)*$BC$10/30</f>
        <v>1096666.6666666667</v>
      </c>
    </row>
    <row r="370" spans="26:66" x14ac:dyDescent="0.15">
      <c r="Z370" s="10">
        <v>360</v>
      </c>
      <c r="AA370" s="10">
        <f>IFERROR(MAX($Z370-积分赛!$C$7,0)*INDEX($U$7:$U$14,MATCH(AA$10,$T$7:$T$14,0))/30,0)</f>
        <v>0</v>
      </c>
      <c r="AB370" s="10">
        <f>IFERROR(MAX($Z370-积分赛!$C$7,0)*INDEX($U$7:$U$14,MATCH(AB$10,$T$7:$T$14,0))/30,0)</f>
        <v>0</v>
      </c>
      <c r="AC370" s="10">
        <f>IFERROR(MAX($Z370-积分赛!$C$7,0)*INDEX($U$7:$U$14,MATCH(AC$10,$T$7:$T$14,0))/30,0)</f>
        <v>0</v>
      </c>
      <c r="AD370" s="10">
        <f>IFERROR(MAX($Z370-积分赛!$C$7,0)*INDEX($U$7:$U$14,MATCH(AD$10,$T$7:$T$14,0))/30,0)</f>
        <v>880000</v>
      </c>
      <c r="AE370" s="10">
        <f>IFERROR(MAX($Z370-积分赛!$C$7,0)*INDEX($U$7:$U$14,MATCH(AE$10,$T$7:$T$14,0))/30,0)</f>
        <v>11000000</v>
      </c>
      <c r="AF370" s="10">
        <f>MAX($Z370-积分赛!$C$7,0)*(IFERROR(INDEX($W$7:$W$14,MATCH(AF$10,$T$7:$T$14,0)),0)*$T$20+IFERROR(INDEX($X$7:$X$14,MATCH(AF$10,$T$7:$T$14,0)),0)*$T$21)/30</f>
        <v>0</v>
      </c>
      <c r="AG370" s="10">
        <f>MAX($Z370-积分赛!$C$7,0)*(IFERROR(INDEX($W$7:$W$14,MATCH(AG$10,$T$7:$T$14,0)),0)*$T$20+IFERROR(INDEX($X$7:$X$14,MATCH(AG$10,$T$7:$T$14,0)),0)*$T$21)/30</f>
        <v>0</v>
      </c>
      <c r="AH370" s="10">
        <f>MAX($Z370-积分赛!$C$7,0)*(IFERROR(INDEX($W$7:$W$14,MATCH(AH$10,$T$7:$T$14,0)),0)*$T$20+IFERROR(INDEX($X$7:$X$14,MATCH(AH$10,$T$7:$T$14,0)),0)*$T$21)/30</f>
        <v>0</v>
      </c>
      <c r="AI370" s="10">
        <f>MAX($Z370-积分赛!$C$7,0)*(IFERROR(INDEX($W$7:$W$14,MATCH(AI$10,$T$7:$T$14,0)),0)*$T$20+IFERROR(INDEX($X$7:$X$14,MATCH(AI$10,$T$7:$T$14,0)),0)*$T$21)/30</f>
        <v>33605</v>
      </c>
      <c r="AJ370" s="10">
        <f>MAX($Z370-积分赛!$C$7,0)*(IFERROR(INDEX($W$7:$W$14,MATCH(AJ$10,$T$7:$T$14,0)),0)*$T$20+IFERROR(INDEX($X$7:$X$14,MATCH(AJ$10,$T$7:$T$14,0)),0)*$T$21)/30</f>
        <v>201630</v>
      </c>
      <c r="BI370" s="10">
        <v>360</v>
      </c>
      <c r="BJ370" s="10">
        <f>MAX($BI370-积分赛!$C$7,0)*$BC$10/30</f>
        <v>1100000</v>
      </c>
      <c r="BK370" s="10">
        <f>MAX($BI370-积分赛!$C$7,0)*$BC$10/30</f>
        <v>1100000</v>
      </c>
      <c r="BL370" s="10">
        <f>MAX($BI370-积分赛!$C$7,0)*$BC$10/30</f>
        <v>1100000</v>
      </c>
      <c r="BM370" s="10">
        <f>MAX($BI370-积分赛!$C$7,0)*$BC$10/30</f>
        <v>1100000</v>
      </c>
      <c r="BN370" s="10">
        <f>MAX($BI370-积分赛!$C$7,0)*$BC$10/30</f>
        <v>1100000</v>
      </c>
    </row>
  </sheetData>
  <mergeCells count="7">
    <mergeCell ref="BJ9:BN9"/>
    <mergeCell ref="BQ9:BU9"/>
    <mergeCell ref="F12:F14"/>
    <mergeCell ref="AA9:AE9"/>
    <mergeCell ref="AM9:AQ9"/>
    <mergeCell ref="AF9:AJ9"/>
    <mergeCell ref="AR9:AV9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32547-3057-4E88-BE30-E9D32E2DACBC}">
  <sheetPr codeName="Sheet5"/>
  <dimension ref="A1:AW370"/>
  <sheetViews>
    <sheetView workbookViewId="0">
      <selection activeCell="C29" sqref="C29"/>
    </sheetView>
  </sheetViews>
  <sheetFormatPr defaultRowHeight="11.25" x14ac:dyDescent="0.15"/>
  <cols>
    <col min="1" max="1" width="9" style="13"/>
    <col min="2" max="8" width="9" style="10"/>
    <col min="9" max="9" width="9" style="17"/>
    <col min="10" max="11" width="9" style="10"/>
    <col min="12" max="12" width="9.625" style="13" customWidth="1"/>
    <col min="13" max="17" width="9" style="10"/>
    <col min="18" max="19" width="11.375" style="10" bestFit="1" customWidth="1"/>
    <col min="20" max="20" width="11.375" style="10" customWidth="1"/>
    <col min="21" max="27" width="9" style="10"/>
    <col min="28" max="28" width="9" style="17"/>
    <col min="29" max="30" width="9" style="10"/>
    <col min="31" max="31" width="9" style="18"/>
    <col min="32" max="46" width="9" style="10"/>
    <col min="47" max="49" width="9" style="2"/>
    <col min="50" max="16384" width="9" style="10"/>
  </cols>
  <sheetData>
    <row r="1" spans="1:49" x14ac:dyDescent="0.15">
      <c r="A1" s="13" t="s">
        <v>123</v>
      </c>
      <c r="J1" s="10" t="s">
        <v>146</v>
      </c>
      <c r="AC1" s="10" t="s">
        <v>145</v>
      </c>
    </row>
    <row r="2" spans="1:49" x14ac:dyDescent="0.15">
      <c r="A2" s="13" t="s">
        <v>124</v>
      </c>
      <c r="F2" s="15">
        <v>6</v>
      </c>
      <c r="G2" s="10" t="s">
        <v>125</v>
      </c>
    </row>
    <row r="3" spans="1:49" x14ac:dyDescent="0.15">
      <c r="A3" s="13" t="s">
        <v>126</v>
      </c>
    </row>
    <row r="4" spans="1:49" x14ac:dyDescent="0.15">
      <c r="A4" s="13" t="s">
        <v>150</v>
      </c>
      <c r="D4" s="15">
        <v>20</v>
      </c>
      <c r="E4" s="15">
        <v>50</v>
      </c>
      <c r="F4" s="15">
        <v>100</v>
      </c>
      <c r="G4" s="10" t="s">
        <v>151</v>
      </c>
      <c r="L4" s="13" t="s">
        <v>129</v>
      </c>
      <c r="R4" s="10" t="s">
        <v>130</v>
      </c>
      <c r="S4" s="10" t="s">
        <v>131</v>
      </c>
      <c r="T4" s="10" t="s">
        <v>132</v>
      </c>
      <c r="U4" s="10" t="s">
        <v>136</v>
      </c>
      <c r="V4" s="10" t="s">
        <v>137</v>
      </c>
      <c r="W4" s="10" t="s">
        <v>141</v>
      </c>
      <c r="X4" s="10" t="s">
        <v>142</v>
      </c>
      <c r="Y4" s="10" t="s">
        <v>143</v>
      </c>
      <c r="AE4" s="18" t="s">
        <v>147</v>
      </c>
    </row>
    <row r="5" spans="1:49" x14ac:dyDescent="0.15">
      <c r="A5" s="13" t="s">
        <v>127</v>
      </c>
      <c r="L5" s="13" t="s">
        <v>139</v>
      </c>
      <c r="N5" s="10">
        <f>C7/0.5</f>
        <v>1.8</v>
      </c>
      <c r="R5" s="10">
        <v>0</v>
      </c>
      <c r="S5" s="10">
        <f>1-R5</f>
        <v>1</v>
      </c>
      <c r="T5" s="10">
        <f>R5/S5</f>
        <v>0</v>
      </c>
      <c r="U5" s="10">
        <f t="shared" ref="U5:U36" si="0">M$10+(M$11-M$10)/(1+M$13*EXP((0.5-(1-$R5))*10))</f>
        <v>3.9278277540812812</v>
      </c>
      <c r="V5" s="10">
        <f>M$10+(M$11-M$10)/(1+M$13*EXP((0.5-(1-$S5))*10))</f>
        <v>1.2546245485710796</v>
      </c>
      <c r="W5" s="10">
        <f>R5*U5</f>
        <v>0</v>
      </c>
      <c r="X5" s="10">
        <f>V5*S5</f>
        <v>1.2546245485710796</v>
      </c>
      <c r="Y5" s="10">
        <f>MAX(W5:X5)-1</f>
        <v>0.25462454857107963</v>
      </c>
      <c r="AE5" s="18" t="s">
        <v>148</v>
      </c>
      <c r="AH5" s="10">
        <f>MAX(Y5:Y105)</f>
        <v>0.25462454857107963</v>
      </c>
    </row>
    <row r="6" spans="1:49" x14ac:dyDescent="0.15">
      <c r="L6" s="13" t="s">
        <v>140</v>
      </c>
      <c r="N6" s="10">
        <f>M$10+(M$11-M$10)/(1+M$13*EXP((0.5-(1-0.5))*10))</f>
        <v>1.8</v>
      </c>
      <c r="R6" s="10">
        <v>0.01</v>
      </c>
      <c r="S6" s="10">
        <f t="shared" ref="S6:S69" si="1">1-R6</f>
        <v>0.99</v>
      </c>
      <c r="T6" s="10">
        <f t="shared" ref="T6:T69" si="2">R6/S6</f>
        <v>1.0101010101010102E-2</v>
      </c>
      <c r="U6" s="10">
        <f t="shared" si="0"/>
        <v>3.9204568839066689</v>
      </c>
      <c r="V6" s="10">
        <f t="shared" ref="V6:V69" si="3">M$10+(M$11-M$10)/(1+M$13*EXP((0.5-(1-$S6))*10))</f>
        <v>1.255110012827507</v>
      </c>
      <c r="W6" s="10">
        <f t="shared" ref="W6:W69" si="4">R6*U6</f>
        <v>3.9204568839066693E-2</v>
      </c>
      <c r="X6" s="10">
        <f t="shared" ref="X6:X69" si="5">V6*S6</f>
        <v>1.242558912699232</v>
      </c>
      <c r="Y6" s="10">
        <f t="shared" ref="Y6:Y69" si="6">MAX(W6:X6)-1</f>
        <v>0.24255891269923202</v>
      </c>
      <c r="AE6" s="18" t="s">
        <v>149</v>
      </c>
      <c r="AH6" s="10">
        <f>MAX(D4:F4)*SUM(D10:D15)</f>
        <v>1400</v>
      </c>
    </row>
    <row r="7" spans="1:49" x14ac:dyDescent="0.15">
      <c r="A7" s="13" t="s">
        <v>144</v>
      </c>
      <c r="C7" s="16">
        <v>0.9</v>
      </c>
      <c r="D7" s="10" t="s">
        <v>128</v>
      </c>
      <c r="L7" s="13" t="s">
        <v>138</v>
      </c>
      <c r="R7" s="10">
        <v>0.02</v>
      </c>
      <c r="S7" s="10">
        <f t="shared" si="1"/>
        <v>0.98</v>
      </c>
      <c r="T7" s="10">
        <f t="shared" si="2"/>
        <v>2.0408163265306124E-2</v>
      </c>
      <c r="U7" s="10">
        <f t="shared" si="0"/>
        <v>3.9123578726175614</v>
      </c>
      <c r="V7" s="10">
        <f t="shared" si="3"/>
        <v>1.2556463341208091</v>
      </c>
      <c r="W7" s="10">
        <f t="shared" si="4"/>
        <v>7.8247157452351224E-2</v>
      </c>
      <c r="X7" s="10">
        <f t="shared" si="5"/>
        <v>1.2305334074383929</v>
      </c>
      <c r="Y7" s="10">
        <f t="shared" si="6"/>
        <v>0.2305334074383929</v>
      </c>
      <c r="AE7" s="18" t="s">
        <v>152</v>
      </c>
      <c r="AH7" s="10">
        <f>AH5*AH6</f>
        <v>356.47436799951151</v>
      </c>
    </row>
    <row r="8" spans="1:49" x14ac:dyDescent="0.15">
      <c r="A8" s="13" t="s">
        <v>196</v>
      </c>
      <c r="R8" s="10">
        <v>0.03</v>
      </c>
      <c r="S8" s="10">
        <f t="shared" si="1"/>
        <v>0.97</v>
      </c>
      <c r="T8" s="10">
        <f t="shared" si="2"/>
        <v>3.0927835051546393E-2</v>
      </c>
      <c r="U8" s="10">
        <f t="shared" si="0"/>
        <v>3.9034640372088054</v>
      </c>
      <c r="V8" s="10">
        <f t="shared" si="3"/>
        <v>1.2562388170649179</v>
      </c>
      <c r="W8" s="10">
        <f t="shared" si="4"/>
        <v>0.11710392111626416</v>
      </c>
      <c r="X8" s="10">
        <f t="shared" si="5"/>
        <v>1.2185516525529703</v>
      </c>
      <c r="Y8" s="10">
        <f t="shared" si="6"/>
        <v>0.21855165255297027</v>
      </c>
    </row>
    <row r="9" spans="1:49" x14ac:dyDescent="0.15">
      <c r="C9" s="10" t="s">
        <v>203</v>
      </c>
      <c r="D9" s="10" t="s">
        <v>204</v>
      </c>
      <c r="R9" s="10">
        <v>0.04</v>
      </c>
      <c r="S9" s="10">
        <f t="shared" si="1"/>
        <v>0.96</v>
      </c>
      <c r="T9" s="10">
        <f t="shared" si="2"/>
        <v>4.1666666666666671E-2</v>
      </c>
      <c r="U9" s="10">
        <f t="shared" si="0"/>
        <v>3.8937036986545759</v>
      </c>
      <c r="V9" s="10">
        <f t="shared" si="3"/>
        <v>1.2568933144582679</v>
      </c>
      <c r="W9" s="10">
        <f t="shared" si="4"/>
        <v>0.15574814794618305</v>
      </c>
      <c r="X9" s="10">
        <f t="shared" si="5"/>
        <v>1.2066175818799372</v>
      </c>
      <c r="Y9" s="10">
        <f t="shared" si="6"/>
        <v>0.20661758187993717</v>
      </c>
      <c r="AL9" s="24" t="s">
        <v>159</v>
      </c>
      <c r="AM9" s="24"/>
      <c r="AN9" s="24"/>
      <c r="AO9" s="24"/>
      <c r="AP9" s="24"/>
      <c r="AS9" s="24" t="s">
        <v>160</v>
      </c>
      <c r="AT9" s="24"/>
      <c r="AU9" s="24"/>
      <c r="AV9" s="24"/>
      <c r="AW9" s="24"/>
    </row>
    <row r="10" spans="1:49" x14ac:dyDescent="0.15">
      <c r="C10" s="10" t="s">
        <v>197</v>
      </c>
      <c r="D10" s="10">
        <v>4</v>
      </c>
      <c r="L10" s="13" t="s">
        <v>133</v>
      </c>
      <c r="M10" s="10">
        <v>1.25</v>
      </c>
      <c r="R10" s="10">
        <v>0.05</v>
      </c>
      <c r="S10" s="10">
        <f t="shared" si="1"/>
        <v>0.95</v>
      </c>
      <c r="T10" s="10">
        <f t="shared" si="2"/>
        <v>5.2631578947368425E-2</v>
      </c>
      <c r="U10" s="10">
        <f t="shared" si="0"/>
        <v>3.8830000463975125</v>
      </c>
      <c r="V10" s="10">
        <f t="shared" si="3"/>
        <v>1.2576162828052122</v>
      </c>
      <c r="W10" s="10">
        <f t="shared" si="4"/>
        <v>0.19415000231987564</v>
      </c>
      <c r="X10" s="10">
        <f t="shared" si="5"/>
        <v>1.1947354686649516</v>
      </c>
      <c r="Y10" s="10">
        <f t="shared" si="6"/>
        <v>0.19473546866495162</v>
      </c>
      <c r="AK10" s="10" t="s">
        <v>6</v>
      </c>
      <c r="AL10" s="10" t="s">
        <v>0</v>
      </c>
      <c r="AM10" s="10" t="s">
        <v>1</v>
      </c>
      <c r="AN10" s="10" t="s">
        <v>2</v>
      </c>
      <c r="AO10" s="10" t="s">
        <v>3</v>
      </c>
      <c r="AP10" s="10" t="s">
        <v>4</v>
      </c>
      <c r="AR10" s="10" t="s">
        <v>93</v>
      </c>
      <c r="AS10" s="10" t="s">
        <v>0</v>
      </c>
      <c r="AT10" s="10" t="s">
        <v>1</v>
      </c>
      <c r="AU10" s="10" t="s">
        <v>2</v>
      </c>
      <c r="AV10" s="10" t="s">
        <v>3</v>
      </c>
      <c r="AW10" s="10" t="s">
        <v>4</v>
      </c>
    </row>
    <row r="11" spans="1:49" x14ac:dyDescent="0.15">
      <c r="C11" s="10" t="s">
        <v>198</v>
      </c>
      <c r="D11" s="10">
        <v>4</v>
      </c>
      <c r="L11" s="13" t="s">
        <v>134</v>
      </c>
      <c r="M11" s="10">
        <v>4</v>
      </c>
      <c r="R11" s="10">
        <v>0.06</v>
      </c>
      <c r="S11" s="10">
        <f t="shared" si="1"/>
        <v>0.94</v>
      </c>
      <c r="T11" s="10">
        <f t="shared" si="2"/>
        <v>6.3829787234042548E-2</v>
      </c>
      <c r="U11" s="10">
        <f t="shared" si="0"/>
        <v>3.8712710570195803</v>
      </c>
      <c r="V11" s="10">
        <f t="shared" si="3"/>
        <v>1.2584148432107771</v>
      </c>
      <c r="W11" s="10">
        <f t="shared" si="4"/>
        <v>0.2322762634211748</v>
      </c>
      <c r="X11" s="10">
        <f t="shared" si="5"/>
        <v>1.1829099526181304</v>
      </c>
      <c r="Y11" s="10">
        <f t="shared" si="6"/>
        <v>0.18290995261813037</v>
      </c>
      <c r="AK11" s="10">
        <v>1</v>
      </c>
      <c r="AL11" s="10">
        <f>MAX($AK11-积分赛!$C$7,0)*$AH$7/30</f>
        <v>0</v>
      </c>
      <c r="AM11" s="10">
        <f>MAX($AK11-积分赛!$C$7,0)*$AH$7/30</f>
        <v>0</v>
      </c>
      <c r="AN11" s="10">
        <f>MAX($AK11-积分赛!$C$7,0)*$AH$7/30</f>
        <v>0</v>
      </c>
      <c r="AO11" s="10">
        <f>MAX($AK11-积分赛!$C$7,0)*$AH$7/30</f>
        <v>0</v>
      </c>
      <c r="AP11" s="10">
        <f>MAX($AK11-积分赛!$C$7,0)*$AH$7/30</f>
        <v>0</v>
      </c>
      <c r="AR11" s="10">
        <v>1</v>
      </c>
      <c r="AS11" s="10">
        <f>IFERROR(求节点(节奏总纲!R$4:R$363,AL$11:AL$370,$AR11),0)</f>
        <v>0</v>
      </c>
      <c r="AT11" s="10">
        <f>IFERROR(求节点(节奏总纲!S$4:S$363,AM$11:AM$370,$AR11),0)</f>
        <v>0</v>
      </c>
      <c r="AU11" s="10">
        <f>IFERROR(求节点(节奏总纲!T$4:T$363,AN$11:AN$370,$AR11),0)</f>
        <v>0</v>
      </c>
      <c r="AV11" s="10">
        <f>IFERROR(求节点(节奏总纲!U$4:U$363,AO$11:AO$370,$AR11),0)</f>
        <v>0</v>
      </c>
      <c r="AW11" s="10">
        <f>IFERROR(求节点(节奏总纲!V$4:V$363,AP$11:AP$370,$AR11),0)</f>
        <v>0</v>
      </c>
    </row>
    <row r="12" spans="1:49" x14ac:dyDescent="0.15">
      <c r="C12" s="10" t="s">
        <v>199</v>
      </c>
      <c r="D12" s="10">
        <v>2</v>
      </c>
      <c r="R12" s="10">
        <v>7.0000000000000007E-2</v>
      </c>
      <c r="S12" s="10">
        <f t="shared" si="1"/>
        <v>0.92999999999999994</v>
      </c>
      <c r="T12" s="10">
        <f t="shared" si="2"/>
        <v>7.5268817204301092E-2</v>
      </c>
      <c r="U12" s="10">
        <f t="shared" si="0"/>
        <v>3.8584294825475549</v>
      </c>
      <c r="V12" s="10">
        <f t="shared" si="3"/>
        <v>1.2592968481128266</v>
      </c>
      <c r="W12" s="10">
        <f t="shared" si="4"/>
        <v>0.27009006377832889</v>
      </c>
      <c r="X12" s="10">
        <f t="shared" si="5"/>
        <v>1.1711460687449287</v>
      </c>
      <c r="Y12" s="10">
        <f t="shared" si="6"/>
        <v>0.17114606874492866</v>
      </c>
      <c r="AK12" s="10">
        <v>2</v>
      </c>
      <c r="AL12" s="10">
        <f>MAX($AK12-积分赛!$C$7,0)*$AH$7/30</f>
        <v>0</v>
      </c>
      <c r="AM12" s="10">
        <f>MAX($AK12-积分赛!$C$7,0)*$AH$7/30</f>
        <v>0</v>
      </c>
      <c r="AN12" s="10">
        <f>MAX($AK12-积分赛!$C$7,0)*$AH$7/30</f>
        <v>0</v>
      </c>
      <c r="AO12" s="10">
        <f>MAX($AK12-积分赛!$C$7,0)*$AH$7/30</f>
        <v>0</v>
      </c>
      <c r="AP12" s="10">
        <f>MAX($AK12-积分赛!$C$7,0)*$AH$7/30</f>
        <v>0</v>
      </c>
      <c r="AR12" s="10">
        <v>2</v>
      </c>
      <c r="AS12" s="10">
        <f>IFERROR(求节点(节奏总纲!R$4:R$363,AL$11:AL$370,$AR12),0)</f>
        <v>0</v>
      </c>
      <c r="AT12" s="10">
        <f>IFERROR(求节点(节奏总纲!S$4:S$363,AM$11:AM$370,$AR12),0)</f>
        <v>0</v>
      </c>
      <c r="AU12" s="10">
        <f>IFERROR(求节点(节奏总纲!T$4:T$363,AN$11:AN$370,$AR12),0)</f>
        <v>0</v>
      </c>
      <c r="AV12" s="10">
        <f>IFERROR(求节点(节奏总纲!U$4:U$363,AO$11:AO$370,$AR12),0)</f>
        <v>0</v>
      </c>
      <c r="AW12" s="10">
        <f>IFERROR(求节点(节奏总纲!V$4:V$363,AP$11:AP$370,$AR12),0)</f>
        <v>0</v>
      </c>
    </row>
    <row r="13" spans="1:49" x14ac:dyDescent="0.15">
      <c r="C13" s="10" t="s">
        <v>200</v>
      </c>
      <c r="D13" s="10">
        <v>2</v>
      </c>
      <c r="L13" s="13" t="s">
        <v>135</v>
      </c>
      <c r="M13" s="10">
        <v>4</v>
      </c>
      <c r="R13" s="10">
        <v>0.08</v>
      </c>
      <c r="S13" s="10">
        <f t="shared" si="1"/>
        <v>0.92</v>
      </c>
      <c r="T13" s="10">
        <f t="shared" si="2"/>
        <v>8.6956521739130432E-2</v>
      </c>
      <c r="U13" s="10">
        <f t="shared" si="0"/>
        <v>3.8443829261186107</v>
      </c>
      <c r="V13" s="10">
        <f t="shared" si="3"/>
        <v>1.2602709543428614</v>
      </c>
      <c r="W13" s="10">
        <f t="shared" si="4"/>
        <v>0.30755063408948885</v>
      </c>
      <c r="X13" s="10">
        <f t="shared" si="5"/>
        <v>1.1594492779954326</v>
      </c>
      <c r="Y13" s="10">
        <f t="shared" si="6"/>
        <v>0.15944927799543263</v>
      </c>
      <c r="AK13" s="10">
        <v>3</v>
      </c>
      <c r="AL13" s="10">
        <f>MAX($AK13-积分赛!$C$7,0)*$AH$7/30</f>
        <v>0</v>
      </c>
      <c r="AM13" s="10">
        <f>MAX($AK13-积分赛!$C$7,0)*$AH$7/30</f>
        <v>0</v>
      </c>
      <c r="AN13" s="10">
        <f>MAX($AK13-积分赛!$C$7,0)*$AH$7/30</f>
        <v>0</v>
      </c>
      <c r="AO13" s="10">
        <f>MAX($AK13-积分赛!$C$7,0)*$AH$7/30</f>
        <v>0</v>
      </c>
      <c r="AP13" s="10">
        <f>MAX($AK13-积分赛!$C$7,0)*$AH$7/30</f>
        <v>0</v>
      </c>
      <c r="AR13" s="10">
        <v>3</v>
      </c>
      <c r="AS13" s="10">
        <f>IFERROR(求节点(节奏总纲!R$4:R$363,AL$11:AL$370,$AR13),0)</f>
        <v>0</v>
      </c>
      <c r="AT13" s="10">
        <f>IFERROR(求节点(节奏总纲!S$4:S$363,AM$11:AM$370,$AR13),0)</f>
        <v>0</v>
      </c>
      <c r="AU13" s="10">
        <f>IFERROR(求节点(节奏总纲!T$4:T$363,AN$11:AN$370,$AR13),0)</f>
        <v>0</v>
      </c>
      <c r="AV13" s="10">
        <f>IFERROR(求节点(节奏总纲!U$4:U$363,AO$11:AO$370,$AR13),0)</f>
        <v>0</v>
      </c>
      <c r="AW13" s="10">
        <f>IFERROR(求节点(节奏总纲!V$4:V$363,AP$11:AP$370,$AR13),0)</f>
        <v>0</v>
      </c>
    </row>
    <row r="14" spans="1:49" x14ac:dyDescent="0.15">
      <c r="C14" s="10" t="s">
        <v>201</v>
      </c>
      <c r="D14" s="10">
        <v>1</v>
      </c>
      <c r="R14" s="10">
        <v>0.09</v>
      </c>
      <c r="S14" s="10">
        <f t="shared" si="1"/>
        <v>0.91</v>
      </c>
      <c r="T14" s="10">
        <f t="shared" si="2"/>
        <v>9.8901098901098897E-2</v>
      </c>
      <c r="U14" s="10">
        <f t="shared" si="0"/>
        <v>3.8290340250134194</v>
      </c>
      <c r="V14" s="10">
        <f t="shared" si="3"/>
        <v>1.2613467030321528</v>
      </c>
      <c r="W14" s="10">
        <f t="shared" si="4"/>
        <v>0.34461306225120775</v>
      </c>
      <c r="X14" s="10">
        <f t="shared" si="5"/>
        <v>1.1478254997592592</v>
      </c>
      <c r="Y14" s="10">
        <f t="shared" si="6"/>
        <v>0.14782549975925918</v>
      </c>
      <c r="AK14" s="10">
        <v>4</v>
      </c>
      <c r="AL14" s="10">
        <f>MAX($AK14-积分赛!$C$7,0)*$AH$7/30</f>
        <v>0</v>
      </c>
      <c r="AM14" s="10">
        <f>MAX($AK14-积分赛!$C$7,0)*$AH$7/30</f>
        <v>0</v>
      </c>
      <c r="AN14" s="10">
        <f>MAX($AK14-积分赛!$C$7,0)*$AH$7/30</f>
        <v>0</v>
      </c>
      <c r="AO14" s="10">
        <f>MAX($AK14-积分赛!$C$7,0)*$AH$7/30</f>
        <v>0</v>
      </c>
      <c r="AP14" s="10">
        <f>MAX($AK14-积分赛!$C$7,0)*$AH$7/30</f>
        <v>0</v>
      </c>
      <c r="AR14" s="10">
        <v>4</v>
      </c>
      <c r="AS14" s="10">
        <f>IFERROR(求节点(节奏总纲!R$4:R$363,AL$11:AL$370,$AR14),0)</f>
        <v>0</v>
      </c>
      <c r="AT14" s="10">
        <f>IFERROR(求节点(节奏总纲!S$4:S$363,AM$11:AM$370,$AR14),0)</f>
        <v>0</v>
      </c>
      <c r="AU14" s="10">
        <f>IFERROR(求节点(节奏总纲!T$4:T$363,AN$11:AN$370,$AR14),0)</f>
        <v>0</v>
      </c>
      <c r="AV14" s="10">
        <f>IFERROR(求节点(节奏总纲!U$4:U$363,AO$11:AO$370,$AR14),0)</f>
        <v>0</v>
      </c>
      <c r="AW14" s="10">
        <f>IFERROR(求节点(节奏总纲!V$4:V$363,AP$11:AP$370,$AR14),0)</f>
        <v>0</v>
      </c>
    </row>
    <row r="15" spans="1:49" x14ac:dyDescent="0.15">
      <c r="C15" s="10" t="s">
        <v>202</v>
      </c>
      <c r="D15" s="10">
        <v>1</v>
      </c>
      <c r="L15" s="13" t="s">
        <v>161</v>
      </c>
      <c r="N15" s="10">
        <v>1</v>
      </c>
      <c r="R15" s="10">
        <v>0.1</v>
      </c>
      <c r="S15" s="10">
        <f t="shared" si="1"/>
        <v>0.9</v>
      </c>
      <c r="T15" s="10">
        <f t="shared" si="2"/>
        <v>0.11111111111111112</v>
      </c>
      <c r="U15" s="10">
        <f t="shared" si="0"/>
        <v>3.8122807632360716</v>
      </c>
      <c r="V15" s="10">
        <f t="shared" si="3"/>
        <v>1.2625346069025947</v>
      </c>
      <c r="W15" s="10">
        <f t="shared" si="4"/>
        <v>0.38122807632360717</v>
      </c>
      <c r="X15" s="10">
        <f t="shared" si="5"/>
        <v>1.1362811462123352</v>
      </c>
      <c r="Y15" s="10">
        <f t="shared" si="6"/>
        <v>0.13628114621233522</v>
      </c>
      <c r="AK15" s="10">
        <v>5</v>
      </c>
      <c r="AL15" s="10">
        <f>MAX($AK15-积分赛!$C$7,0)*$AH$7/30</f>
        <v>0</v>
      </c>
      <c r="AM15" s="10">
        <f>MAX($AK15-积分赛!$C$7,0)*$AH$7/30</f>
        <v>0</v>
      </c>
      <c r="AN15" s="10">
        <f>MAX($AK15-积分赛!$C$7,0)*$AH$7/30</f>
        <v>0</v>
      </c>
      <c r="AO15" s="10">
        <f>MAX($AK15-积分赛!$C$7,0)*$AH$7/30</f>
        <v>0</v>
      </c>
      <c r="AP15" s="10">
        <f>MAX($AK15-积分赛!$C$7,0)*$AH$7/30</f>
        <v>0</v>
      </c>
      <c r="AR15" s="10">
        <v>5</v>
      </c>
      <c r="AS15" s="10">
        <f>IFERROR(求节点(节奏总纲!R$4:R$363,AL$11:AL$370,$AR15),0)</f>
        <v>0</v>
      </c>
      <c r="AT15" s="10">
        <f>IFERROR(求节点(节奏总纲!S$4:S$363,AM$11:AM$370,$AR15),0)</f>
        <v>0</v>
      </c>
      <c r="AU15" s="10">
        <f>IFERROR(求节点(节奏总纲!T$4:T$363,AN$11:AN$370,$AR15),0)</f>
        <v>0</v>
      </c>
      <c r="AV15" s="10">
        <f>IFERROR(求节点(节奏总纲!U$4:U$363,AO$11:AO$370,$AR15),0)</f>
        <v>0</v>
      </c>
      <c r="AW15" s="10">
        <f>IFERROR(求节点(节奏总纲!V$4:V$363,AP$11:AP$370,$AR15),0)</f>
        <v>0</v>
      </c>
    </row>
    <row r="16" spans="1:49" x14ac:dyDescent="0.15">
      <c r="L16" s="13" t="s">
        <v>162</v>
      </c>
      <c r="N16" s="10">
        <v>1</v>
      </c>
      <c r="R16" s="10">
        <v>0.11</v>
      </c>
      <c r="S16" s="10">
        <f t="shared" si="1"/>
        <v>0.89</v>
      </c>
      <c r="T16" s="10">
        <f t="shared" si="2"/>
        <v>0.12359550561797752</v>
      </c>
      <c r="U16" s="10">
        <f t="shared" si="0"/>
        <v>3.7940169377201678</v>
      </c>
      <c r="V16" s="10">
        <f t="shared" si="3"/>
        <v>1.2638462455001727</v>
      </c>
      <c r="W16" s="10">
        <f t="shared" si="4"/>
        <v>0.41734186314921845</v>
      </c>
      <c r="X16" s="10">
        <f t="shared" si="5"/>
        <v>1.1248231584951536</v>
      </c>
      <c r="Y16" s="10">
        <f t="shared" si="6"/>
        <v>0.12482315849515357</v>
      </c>
      <c r="AK16" s="10">
        <v>6</v>
      </c>
      <c r="AL16" s="10">
        <f>MAX($AK16-积分赛!$C$7,0)*$AH$7/30</f>
        <v>0</v>
      </c>
      <c r="AM16" s="10">
        <f>MAX($AK16-积分赛!$C$7,0)*$AH$7/30</f>
        <v>0</v>
      </c>
      <c r="AN16" s="10">
        <f>MAX($AK16-积分赛!$C$7,0)*$AH$7/30</f>
        <v>0</v>
      </c>
      <c r="AO16" s="10">
        <f>MAX($AK16-积分赛!$C$7,0)*$AH$7/30</f>
        <v>0</v>
      </c>
      <c r="AP16" s="10">
        <f>MAX($AK16-积分赛!$C$7,0)*$AH$7/30</f>
        <v>0</v>
      </c>
      <c r="AR16" s="10">
        <v>6</v>
      </c>
      <c r="AS16" s="10">
        <f>IFERROR(求节点(节奏总纲!R$4:R$363,AL$11:AL$370,$AR16),0)</f>
        <v>0</v>
      </c>
      <c r="AT16" s="10">
        <f>IFERROR(求节点(节奏总纲!S$4:S$363,AM$11:AM$370,$AR16),0)</f>
        <v>0</v>
      </c>
      <c r="AU16" s="10">
        <f>IFERROR(求节点(节奏总纲!T$4:T$363,AN$11:AN$370,$AR16),0)</f>
        <v>0</v>
      </c>
      <c r="AV16" s="10">
        <f>IFERROR(求节点(节奏总纲!U$4:U$363,AO$11:AO$370,$AR16),0)</f>
        <v>0</v>
      </c>
      <c r="AW16" s="10">
        <f>IFERROR(求节点(节奏总纲!V$4:V$363,AP$11:AP$370,$AR16),0)</f>
        <v>0</v>
      </c>
    </row>
    <row r="17" spans="12:49" x14ac:dyDescent="0.15">
      <c r="L17" s="13" t="s">
        <v>163</v>
      </c>
      <c r="R17" s="10">
        <v>0.12</v>
      </c>
      <c r="S17" s="10">
        <f t="shared" si="1"/>
        <v>0.88</v>
      </c>
      <c r="T17" s="10">
        <f t="shared" si="2"/>
        <v>0.13636363636363635</v>
      </c>
      <c r="U17" s="10">
        <f t="shared" si="0"/>
        <v>3.774132803658746</v>
      </c>
      <c r="V17" s="10">
        <f t="shared" si="3"/>
        <v>1.265294368941545</v>
      </c>
      <c r="W17" s="10">
        <f t="shared" si="4"/>
        <v>0.45289593643904952</v>
      </c>
      <c r="X17" s="10">
        <f t="shared" si="5"/>
        <v>1.1134590446685597</v>
      </c>
      <c r="Y17" s="10">
        <f t="shared" si="6"/>
        <v>0.11345904466855972</v>
      </c>
      <c r="AK17" s="10">
        <v>7</v>
      </c>
      <c r="AL17" s="10">
        <f>MAX($AK17-积分赛!$C$7,0)*$AH$7/30</f>
        <v>0</v>
      </c>
      <c r="AM17" s="10">
        <f>MAX($AK17-积分赛!$C$7,0)*$AH$7/30</f>
        <v>0</v>
      </c>
      <c r="AN17" s="10">
        <f>MAX($AK17-积分赛!$C$7,0)*$AH$7/30</f>
        <v>0</v>
      </c>
      <c r="AO17" s="10">
        <f>MAX($AK17-积分赛!$C$7,0)*$AH$7/30</f>
        <v>0</v>
      </c>
      <c r="AP17" s="10">
        <f>MAX($AK17-积分赛!$C$7,0)*$AH$7/30</f>
        <v>0</v>
      </c>
      <c r="AR17" s="10">
        <v>7</v>
      </c>
      <c r="AS17" s="10">
        <f>IFERROR(求节点(节奏总纲!R$4:R$363,AL$11:AL$370,$AR17),0)</f>
        <v>0</v>
      </c>
      <c r="AT17" s="10">
        <f>IFERROR(求节点(节奏总纲!S$4:S$363,AM$11:AM$370,$AR17),0)</f>
        <v>0</v>
      </c>
      <c r="AU17" s="10">
        <f>IFERROR(求节点(节奏总纲!T$4:T$363,AN$11:AN$370,$AR17),0)</f>
        <v>0</v>
      </c>
      <c r="AV17" s="10">
        <f>IFERROR(求节点(节奏总纲!U$4:U$363,AO$11:AO$370,$AR17),0)</f>
        <v>0</v>
      </c>
      <c r="AW17" s="10">
        <f>IFERROR(求节点(节奏总纲!V$4:V$363,AP$11:AP$370,$AR17),0)</f>
        <v>0</v>
      </c>
    </row>
    <row r="18" spans="12:49" x14ac:dyDescent="0.15">
      <c r="L18" s="13" t="s">
        <v>164</v>
      </c>
      <c r="N18" s="10">
        <f>M$10+(M$11-M$10)/(1+M$13*EXP((0.5-(1-N15/(N15+N16)))*10))</f>
        <v>1.8</v>
      </c>
      <c r="R18" s="10">
        <v>0.13</v>
      </c>
      <c r="S18" s="10">
        <f t="shared" si="1"/>
        <v>0.87</v>
      </c>
      <c r="T18" s="10">
        <f t="shared" si="2"/>
        <v>0.14942528735632185</v>
      </c>
      <c r="U18" s="10">
        <f t="shared" si="0"/>
        <v>3.7525159251303735</v>
      </c>
      <c r="V18" s="10">
        <f t="shared" si="3"/>
        <v>1.2668930107487557</v>
      </c>
      <c r="W18" s="10">
        <f t="shared" si="4"/>
        <v>0.48782707026694855</v>
      </c>
      <c r="X18" s="10">
        <f t="shared" si="5"/>
        <v>1.1021969193514174</v>
      </c>
      <c r="Y18" s="10">
        <f t="shared" si="6"/>
        <v>0.10219691935141739</v>
      </c>
      <c r="AK18" s="10">
        <v>8</v>
      </c>
      <c r="AL18" s="10">
        <f>MAX($AK18-积分赛!$C$7,0)*$AH$7/30</f>
        <v>0</v>
      </c>
      <c r="AM18" s="10">
        <f>MAX($AK18-积分赛!$C$7,0)*$AH$7/30</f>
        <v>0</v>
      </c>
      <c r="AN18" s="10">
        <f>MAX($AK18-积分赛!$C$7,0)*$AH$7/30</f>
        <v>0</v>
      </c>
      <c r="AO18" s="10">
        <f>MAX($AK18-积分赛!$C$7,0)*$AH$7/30</f>
        <v>0</v>
      </c>
      <c r="AP18" s="10">
        <f>MAX($AK18-积分赛!$C$7,0)*$AH$7/30</f>
        <v>0</v>
      </c>
      <c r="AR18" s="10">
        <v>8</v>
      </c>
      <c r="AS18" s="10">
        <f>IFERROR(求节点(节奏总纲!R$4:R$363,AL$11:AL$370,$AR18),0)</f>
        <v>0</v>
      </c>
      <c r="AT18" s="10">
        <f>IFERROR(求节点(节奏总纲!S$4:S$363,AM$11:AM$370,$AR18),0)</f>
        <v>0</v>
      </c>
      <c r="AU18" s="10">
        <f>IFERROR(求节点(节奏总纲!T$4:T$363,AN$11:AN$370,$AR18),0)</f>
        <v>0</v>
      </c>
      <c r="AV18" s="10">
        <f>IFERROR(求节点(节奏总纲!U$4:U$363,AO$11:AO$370,$AR18),0)</f>
        <v>0</v>
      </c>
      <c r="AW18" s="10">
        <f>IFERROR(求节点(节奏总纲!V$4:V$363,AP$11:AP$370,$AR18),0)</f>
        <v>0</v>
      </c>
    </row>
    <row r="19" spans="12:49" x14ac:dyDescent="0.15">
      <c r="R19" s="10">
        <v>0.14000000000000001</v>
      </c>
      <c r="S19" s="10">
        <f t="shared" si="1"/>
        <v>0.86</v>
      </c>
      <c r="T19" s="10">
        <f t="shared" si="2"/>
        <v>0.16279069767441862</v>
      </c>
      <c r="U19" s="10">
        <f t="shared" si="0"/>
        <v>3.7290522568103217</v>
      </c>
      <c r="V19" s="10">
        <f t="shared" si="3"/>
        <v>1.2686576103408926</v>
      </c>
      <c r="W19" s="10">
        <f t="shared" si="4"/>
        <v>0.52206731595344513</v>
      </c>
      <c r="X19" s="10">
        <f t="shared" si="5"/>
        <v>1.0910455448931677</v>
      </c>
      <c r="Y19" s="10">
        <f t="shared" si="6"/>
        <v>9.104554489316774E-2</v>
      </c>
      <c r="AK19" s="10">
        <v>9</v>
      </c>
      <c r="AL19" s="10">
        <f>MAX($AK19-积分赛!$C$7,0)*$AH$7/30</f>
        <v>0</v>
      </c>
      <c r="AM19" s="10">
        <f>MAX($AK19-积分赛!$C$7,0)*$AH$7/30</f>
        <v>0</v>
      </c>
      <c r="AN19" s="10">
        <f>MAX($AK19-积分赛!$C$7,0)*$AH$7/30</f>
        <v>0</v>
      </c>
      <c r="AO19" s="10">
        <f>MAX($AK19-积分赛!$C$7,0)*$AH$7/30</f>
        <v>0</v>
      </c>
      <c r="AP19" s="10">
        <f>MAX($AK19-积分赛!$C$7,0)*$AH$7/30</f>
        <v>0</v>
      </c>
      <c r="AR19" s="10">
        <v>9</v>
      </c>
      <c r="AS19" s="10">
        <f>IFERROR(求节点(节奏总纲!R$4:R$363,AL$11:AL$370,$AR19),0)</f>
        <v>0</v>
      </c>
      <c r="AT19" s="10">
        <f>IFERROR(求节点(节奏总纲!S$4:S$363,AM$11:AM$370,$AR19),0)</f>
        <v>0</v>
      </c>
      <c r="AU19" s="10">
        <f>IFERROR(求节点(节奏总纲!T$4:T$363,AN$11:AN$370,$AR19),0)</f>
        <v>0</v>
      </c>
      <c r="AV19" s="10">
        <f>IFERROR(求节点(节奏总纲!U$4:U$363,AO$11:AO$370,$AR19),0)</f>
        <v>0</v>
      </c>
      <c r="AW19" s="10">
        <f>IFERROR(求节点(节奏总纲!V$4:V$363,AP$11:AP$370,$AR19),0)</f>
        <v>0</v>
      </c>
    </row>
    <row r="20" spans="12:49" x14ac:dyDescent="0.15">
      <c r="R20" s="10">
        <v>0.15</v>
      </c>
      <c r="S20" s="10">
        <f t="shared" si="1"/>
        <v>0.85</v>
      </c>
      <c r="T20" s="10">
        <f t="shared" si="2"/>
        <v>0.17647058823529413</v>
      </c>
      <c r="U20" s="10">
        <f t="shared" si="0"/>
        <v>3.7036274807526941</v>
      </c>
      <c r="V20" s="10">
        <f t="shared" si="3"/>
        <v>1.2706051457313137</v>
      </c>
      <c r="W20" s="10">
        <f t="shared" si="4"/>
        <v>0.55554412211290405</v>
      </c>
      <c r="X20" s="10">
        <f t="shared" si="5"/>
        <v>1.0800143738716166</v>
      </c>
      <c r="Y20" s="10">
        <f t="shared" si="6"/>
        <v>8.0014373871616584E-2</v>
      </c>
      <c r="AK20" s="10">
        <v>10</v>
      </c>
      <c r="AL20" s="10">
        <f>MAX($AK20-积分赛!$C$7,0)*$AH$7/30</f>
        <v>0</v>
      </c>
      <c r="AM20" s="10">
        <f>MAX($AK20-积分赛!$C$7,0)*$AH$7/30</f>
        <v>0</v>
      </c>
      <c r="AN20" s="10">
        <f>MAX($AK20-积分赛!$C$7,0)*$AH$7/30</f>
        <v>0</v>
      </c>
      <c r="AO20" s="10">
        <f>MAX($AK20-积分赛!$C$7,0)*$AH$7/30</f>
        <v>0</v>
      </c>
      <c r="AP20" s="10">
        <f>MAX($AK20-积分赛!$C$7,0)*$AH$7/30</f>
        <v>0</v>
      </c>
      <c r="AR20" s="10">
        <v>10</v>
      </c>
      <c r="AS20" s="10">
        <f>IFERROR(求节点(节奏总纲!R$4:R$363,AL$11:AL$370,$AR20),0)</f>
        <v>0</v>
      </c>
      <c r="AT20" s="10">
        <f>IFERROR(求节点(节奏总纲!S$4:S$363,AM$11:AM$370,$AR20),0)</f>
        <v>0</v>
      </c>
      <c r="AU20" s="10">
        <f>IFERROR(求节点(节奏总纲!T$4:T$363,AN$11:AN$370,$AR20),0)</f>
        <v>0</v>
      </c>
      <c r="AV20" s="10">
        <f>IFERROR(求节点(节奏总纲!U$4:U$363,AO$11:AO$370,$AR20),0)</f>
        <v>0</v>
      </c>
      <c r="AW20" s="10">
        <f>IFERROR(求节点(节奏总纲!V$4:V$363,AP$11:AP$370,$AR20),0)</f>
        <v>0</v>
      </c>
    </row>
    <row r="21" spans="12:49" x14ac:dyDescent="0.15">
      <c r="R21" s="10">
        <v>0.16</v>
      </c>
      <c r="S21" s="10">
        <f t="shared" si="1"/>
        <v>0.84</v>
      </c>
      <c r="T21" s="10">
        <f t="shared" si="2"/>
        <v>0.19047619047619049</v>
      </c>
      <c r="U21" s="10">
        <f t="shared" si="0"/>
        <v>3.6761286186105488</v>
      </c>
      <c r="V21" s="10">
        <f t="shared" si="3"/>
        <v>1.2727542769409486</v>
      </c>
      <c r="W21" s="10">
        <f t="shared" si="4"/>
        <v>0.58818057897768783</v>
      </c>
      <c r="X21" s="10">
        <f t="shared" si="5"/>
        <v>1.0691135926303967</v>
      </c>
      <c r="Y21" s="10">
        <f t="shared" si="6"/>
        <v>6.9113592630396736E-2</v>
      </c>
      <c r="AK21" s="10">
        <v>11</v>
      </c>
      <c r="AL21" s="10">
        <f>MAX($AK21-积分赛!$C$7,0)*$AH$7/30</f>
        <v>0</v>
      </c>
      <c r="AM21" s="10">
        <f>MAX($AK21-积分赛!$C$7,0)*$AH$7/30</f>
        <v>0</v>
      </c>
      <c r="AN21" s="10">
        <f>MAX($AK21-积分赛!$C$7,0)*$AH$7/30</f>
        <v>0</v>
      </c>
      <c r="AO21" s="10">
        <f>MAX($AK21-积分赛!$C$7,0)*$AH$7/30</f>
        <v>0</v>
      </c>
      <c r="AP21" s="10">
        <f>MAX($AK21-积分赛!$C$7,0)*$AH$7/30</f>
        <v>0</v>
      </c>
      <c r="AR21" s="10">
        <v>11</v>
      </c>
      <c r="AS21" s="10">
        <f>IFERROR(求节点(节奏总纲!R$4:R$363,AL$11:AL$370,$AR21),0)</f>
        <v>0</v>
      </c>
      <c r="AT21" s="10">
        <f>IFERROR(求节点(节奏总纲!S$4:S$363,AM$11:AM$370,$AR21),0)</f>
        <v>0</v>
      </c>
      <c r="AU21" s="10">
        <f>IFERROR(求节点(节奏总纲!T$4:T$363,AN$11:AN$370,$AR21),0)</f>
        <v>0</v>
      </c>
      <c r="AV21" s="10">
        <f>IFERROR(求节点(节奏总纲!U$4:U$363,AO$11:AO$370,$AR21),0)</f>
        <v>0</v>
      </c>
      <c r="AW21" s="10">
        <f>IFERROR(求节点(节奏总纲!V$4:V$363,AP$11:AP$370,$AR21),0)</f>
        <v>0</v>
      </c>
    </row>
    <row r="22" spans="12:49" x14ac:dyDescent="0.15">
      <c r="R22" s="10">
        <v>0.17</v>
      </c>
      <c r="S22" s="10">
        <f t="shared" si="1"/>
        <v>0.83</v>
      </c>
      <c r="T22" s="10">
        <f t="shared" si="2"/>
        <v>0.20481927710843376</v>
      </c>
      <c r="U22" s="10">
        <f t="shared" si="0"/>
        <v>3.6464459338196371</v>
      </c>
      <c r="V22" s="10">
        <f t="shared" si="3"/>
        <v>1.2751255005773936</v>
      </c>
      <c r="W22" s="10">
        <f t="shared" si="4"/>
        <v>0.61989580874933836</v>
      </c>
      <c r="X22" s="10">
        <f t="shared" si="5"/>
        <v>1.0583541654792366</v>
      </c>
      <c r="Y22" s="10">
        <f t="shared" si="6"/>
        <v>5.8354165479236553E-2</v>
      </c>
      <c r="AK22" s="10">
        <v>12</v>
      </c>
      <c r="AL22" s="10">
        <f>MAX($AK22-积分赛!$C$7,0)*$AH$7/30</f>
        <v>0</v>
      </c>
      <c r="AM22" s="10">
        <f>MAX($AK22-积分赛!$C$7,0)*$AH$7/30</f>
        <v>0</v>
      </c>
      <c r="AN22" s="10">
        <f>MAX($AK22-积分赛!$C$7,0)*$AH$7/30</f>
        <v>0</v>
      </c>
      <c r="AO22" s="10">
        <f>MAX($AK22-积分赛!$C$7,0)*$AH$7/30</f>
        <v>0</v>
      </c>
      <c r="AP22" s="10">
        <f>MAX($AK22-积分赛!$C$7,0)*$AH$7/30</f>
        <v>0</v>
      </c>
      <c r="AR22" s="10">
        <v>12</v>
      </c>
      <c r="AS22" s="10">
        <f>IFERROR(求节点(节奏总纲!R$4:R$363,AL$11:AL$370,$AR22),0)</f>
        <v>0</v>
      </c>
      <c r="AT22" s="10">
        <f>IFERROR(求节点(节奏总纲!S$4:S$363,AM$11:AM$370,$AR22),0)</f>
        <v>0</v>
      </c>
      <c r="AU22" s="10">
        <f>IFERROR(求节点(节奏总纲!T$4:T$363,AN$11:AN$370,$AR22),0)</f>
        <v>0</v>
      </c>
      <c r="AV22" s="10">
        <f>IFERROR(求节点(节奏总纲!U$4:U$363,AO$11:AO$370,$AR22),0)</f>
        <v>0</v>
      </c>
      <c r="AW22" s="10">
        <f>IFERROR(求节点(节奏总纲!V$4:V$363,AP$11:AP$370,$AR22),0)</f>
        <v>0</v>
      </c>
    </row>
    <row r="23" spans="12:49" x14ac:dyDescent="0.15">
      <c r="R23" s="10">
        <v>0.18</v>
      </c>
      <c r="S23" s="10">
        <f t="shared" si="1"/>
        <v>0.82000000000000006</v>
      </c>
      <c r="T23" s="10">
        <f t="shared" si="2"/>
        <v>0.21951219512195119</v>
      </c>
      <c r="U23" s="10">
        <f t="shared" si="0"/>
        <v>3.6144751298251703</v>
      </c>
      <c r="V23" s="10">
        <f t="shared" si="3"/>
        <v>1.2777413159403792</v>
      </c>
      <c r="W23" s="10">
        <f t="shared" si="4"/>
        <v>0.65060552336853061</v>
      </c>
      <c r="X23" s="10">
        <f t="shared" si="5"/>
        <v>1.047747879071111</v>
      </c>
      <c r="Y23" s="10">
        <f t="shared" si="6"/>
        <v>4.7747879071110999E-2</v>
      </c>
      <c r="AK23" s="10">
        <v>13</v>
      </c>
      <c r="AL23" s="10">
        <f>MAX($AK23-积分赛!$C$7,0)*$AH$7/30</f>
        <v>0</v>
      </c>
      <c r="AM23" s="10">
        <f>MAX($AK23-积分赛!$C$7,0)*$AH$7/30</f>
        <v>0</v>
      </c>
      <c r="AN23" s="10">
        <f>MAX($AK23-积分赛!$C$7,0)*$AH$7/30</f>
        <v>0</v>
      </c>
      <c r="AO23" s="10">
        <f>MAX($AK23-积分赛!$C$7,0)*$AH$7/30</f>
        <v>0</v>
      </c>
      <c r="AP23" s="10">
        <f>MAX($AK23-积分赛!$C$7,0)*$AH$7/30</f>
        <v>0</v>
      </c>
      <c r="AR23" s="10">
        <v>13</v>
      </c>
      <c r="AS23" s="10">
        <f>IFERROR(求节点(节奏总纲!R$4:R$363,AL$11:AL$370,$AR23),0)</f>
        <v>0</v>
      </c>
      <c r="AT23" s="10">
        <f>IFERROR(求节点(节奏总纲!S$4:S$363,AM$11:AM$370,$AR23),0)</f>
        <v>0</v>
      </c>
      <c r="AU23" s="10">
        <f>IFERROR(求节点(节奏总纲!T$4:T$363,AN$11:AN$370,$AR23),0)</f>
        <v>0</v>
      </c>
      <c r="AV23" s="10">
        <f>IFERROR(求节点(节奏总纲!U$4:U$363,AO$11:AO$370,$AR23),0)</f>
        <v>0</v>
      </c>
      <c r="AW23" s="10">
        <f>IFERROR(求节点(节奏总纲!V$4:V$363,AP$11:AP$370,$AR23),0)</f>
        <v>0</v>
      </c>
    </row>
    <row r="24" spans="12:49" x14ac:dyDescent="0.15">
      <c r="R24" s="10">
        <v>0.19</v>
      </c>
      <c r="S24" s="10">
        <f t="shared" si="1"/>
        <v>0.81</v>
      </c>
      <c r="T24" s="10">
        <f t="shared" si="2"/>
        <v>0.23456790123456789</v>
      </c>
      <c r="U24" s="10">
        <f t="shared" si="0"/>
        <v>3.5801198390733595</v>
      </c>
      <c r="V24" s="10">
        <f t="shared" si="3"/>
        <v>1.2806264028899768</v>
      </c>
      <c r="W24" s="10">
        <f t="shared" si="4"/>
        <v>0.68022276942393833</v>
      </c>
      <c r="X24" s="10">
        <f t="shared" si="5"/>
        <v>1.0373073863408813</v>
      </c>
      <c r="Y24" s="10">
        <f t="shared" si="6"/>
        <v>3.7307386340881266E-2</v>
      </c>
      <c r="AK24" s="10">
        <v>14</v>
      </c>
      <c r="AL24" s="10">
        <f>MAX($AK24-积分赛!$C$7,0)*$AH$7/30</f>
        <v>0</v>
      </c>
      <c r="AM24" s="10">
        <f>MAX($AK24-积分赛!$C$7,0)*$AH$7/30</f>
        <v>0</v>
      </c>
      <c r="AN24" s="10">
        <f>MAX($AK24-积分赛!$C$7,0)*$AH$7/30</f>
        <v>0</v>
      </c>
      <c r="AO24" s="10">
        <f>MAX($AK24-积分赛!$C$7,0)*$AH$7/30</f>
        <v>0</v>
      </c>
      <c r="AP24" s="10">
        <f>MAX($AK24-积分赛!$C$7,0)*$AH$7/30</f>
        <v>0</v>
      </c>
      <c r="AR24" s="10">
        <v>14</v>
      </c>
      <c r="AS24" s="10">
        <f>IFERROR(求节点(节奏总纲!R$4:R$363,AL$11:AL$370,$AR24),0)</f>
        <v>0</v>
      </c>
      <c r="AT24" s="10">
        <f>IFERROR(求节点(节奏总纲!S$4:S$363,AM$11:AM$370,$AR24),0)</f>
        <v>0</v>
      </c>
      <c r="AU24" s="10">
        <f>IFERROR(求节点(节奏总纲!T$4:T$363,AN$11:AN$370,$AR24),0)</f>
        <v>0</v>
      </c>
      <c r="AV24" s="10">
        <f>IFERROR(求节点(节奏总纲!U$4:U$363,AO$11:AO$370,$AR24),0)</f>
        <v>0</v>
      </c>
      <c r="AW24" s="10">
        <f>IFERROR(求节点(节奏总纲!V$4:V$363,AP$11:AP$370,$AR24),0)</f>
        <v>0</v>
      </c>
    </row>
    <row r="25" spans="12:49" x14ac:dyDescent="0.15">
      <c r="R25" s="10">
        <v>0.2</v>
      </c>
      <c r="S25" s="10">
        <f t="shared" si="1"/>
        <v>0.8</v>
      </c>
      <c r="T25" s="10">
        <f t="shared" si="2"/>
        <v>0.25</v>
      </c>
      <c r="U25" s="10">
        <f t="shared" si="0"/>
        <v>3.5432943830531731</v>
      </c>
      <c r="V25" s="10">
        <f t="shared" si="3"/>
        <v>1.2838078115466955</v>
      </c>
      <c r="W25" s="10">
        <f t="shared" si="4"/>
        <v>0.70865887661063465</v>
      </c>
      <c r="X25" s="10">
        <f t="shared" si="5"/>
        <v>1.0270462492373564</v>
      </c>
      <c r="Y25" s="10">
        <f t="shared" si="6"/>
        <v>2.7046249237356434E-2</v>
      </c>
      <c r="AK25" s="10">
        <v>15</v>
      </c>
      <c r="AL25" s="10">
        <f>MAX($AK25-积分赛!$C$7,0)*$AH$7/30</f>
        <v>0</v>
      </c>
      <c r="AM25" s="10">
        <f>MAX($AK25-积分赛!$C$7,0)*$AH$7/30</f>
        <v>0</v>
      </c>
      <c r="AN25" s="10">
        <f>MAX($AK25-积分赛!$C$7,0)*$AH$7/30</f>
        <v>0</v>
      </c>
      <c r="AO25" s="10">
        <f>MAX($AK25-积分赛!$C$7,0)*$AH$7/30</f>
        <v>0</v>
      </c>
      <c r="AP25" s="10">
        <f>MAX($AK25-积分赛!$C$7,0)*$AH$7/30</f>
        <v>0</v>
      </c>
      <c r="AR25" s="10">
        <v>15</v>
      </c>
      <c r="AS25" s="10">
        <f>IFERROR(求节点(节奏总纲!R$4:R$363,AL$11:AL$370,$AR25),0)</f>
        <v>0</v>
      </c>
      <c r="AT25" s="10">
        <f>IFERROR(求节点(节奏总纲!S$4:S$363,AM$11:AM$370,$AR25),0)</f>
        <v>0</v>
      </c>
      <c r="AU25" s="10">
        <f>IFERROR(求节点(节奏总纲!T$4:T$363,AN$11:AN$370,$AR25),0)</f>
        <v>0</v>
      </c>
      <c r="AV25" s="10">
        <f>IFERROR(求节点(节奏总纲!U$4:U$363,AO$11:AO$370,$AR25),0)</f>
        <v>0</v>
      </c>
      <c r="AW25" s="10">
        <f>IFERROR(求节点(节奏总纲!V$4:V$363,AP$11:AP$370,$AR25),0)</f>
        <v>0</v>
      </c>
    </row>
    <row r="26" spans="12:49" x14ac:dyDescent="0.15">
      <c r="R26" s="10">
        <v>0.21</v>
      </c>
      <c r="S26" s="10">
        <f t="shared" si="1"/>
        <v>0.79</v>
      </c>
      <c r="T26" s="10">
        <f t="shared" si="2"/>
        <v>0.26582278481012656</v>
      </c>
      <c r="U26" s="10">
        <f t="shared" si="0"/>
        <v>3.5039267662077083</v>
      </c>
      <c r="V26" s="10">
        <f t="shared" si="3"/>
        <v>1.2873151636732219</v>
      </c>
      <c r="W26" s="10">
        <f t="shared" si="4"/>
        <v>0.73582462090361866</v>
      </c>
      <c r="X26" s="10">
        <f t="shared" si="5"/>
        <v>1.0169789793018453</v>
      </c>
      <c r="Y26" s="10">
        <f t="shared" si="6"/>
        <v>1.6978979301845332E-2</v>
      </c>
      <c r="AK26" s="10">
        <v>16</v>
      </c>
      <c r="AL26" s="10">
        <f>MAX($AK26-积分赛!$C$7,0)*$AH$7/30</f>
        <v>0</v>
      </c>
      <c r="AM26" s="10">
        <f>MAX($AK26-积分赛!$C$7,0)*$AH$7/30</f>
        <v>0</v>
      </c>
      <c r="AN26" s="10">
        <f>MAX($AK26-积分赛!$C$7,0)*$AH$7/30</f>
        <v>0</v>
      </c>
      <c r="AO26" s="10">
        <f>MAX($AK26-积分赛!$C$7,0)*$AH$7/30</f>
        <v>0</v>
      </c>
      <c r="AP26" s="10">
        <f>MAX($AK26-积分赛!$C$7,0)*$AH$7/30</f>
        <v>0</v>
      </c>
      <c r="AR26" s="10">
        <v>16</v>
      </c>
      <c r="AS26" s="10">
        <f>IFERROR(求节点(节奏总纲!R$4:R$363,AL$11:AL$370,$AR26),0)</f>
        <v>0</v>
      </c>
      <c r="AT26" s="10">
        <f>IFERROR(求节点(节奏总纲!S$4:S$363,AM$11:AM$370,$AR26),0)</f>
        <v>0</v>
      </c>
      <c r="AU26" s="10">
        <f>IFERROR(求节点(节奏总纲!T$4:T$363,AN$11:AN$370,$AR26),0)</f>
        <v>0</v>
      </c>
      <c r="AV26" s="10">
        <f>IFERROR(求节点(节奏总纲!U$4:U$363,AO$11:AO$370,$AR26),0)</f>
        <v>0</v>
      </c>
      <c r="AW26" s="10">
        <f>IFERROR(求节点(节奏总纲!V$4:V$363,AP$11:AP$370,$AR26),0)</f>
        <v>0</v>
      </c>
    </row>
    <row r="27" spans="12:49" x14ac:dyDescent="0.15">
      <c r="R27" s="10">
        <v>0.22</v>
      </c>
      <c r="S27" s="10">
        <f t="shared" si="1"/>
        <v>0.78</v>
      </c>
      <c r="T27" s="10">
        <f t="shared" si="2"/>
        <v>0.28205128205128205</v>
      </c>
      <c r="U27" s="10">
        <f t="shared" si="0"/>
        <v>3.4619618463865618</v>
      </c>
      <c r="V27" s="10">
        <f t="shared" si="3"/>
        <v>1.2911808653052934</v>
      </c>
      <c r="W27" s="10">
        <f t="shared" si="4"/>
        <v>0.76163160620504355</v>
      </c>
      <c r="X27" s="10">
        <f t="shared" si="5"/>
        <v>1.007121074938129</v>
      </c>
      <c r="Y27" s="10">
        <f t="shared" si="6"/>
        <v>7.1210749381289684E-3</v>
      </c>
      <c r="AK27" s="10">
        <v>17</v>
      </c>
      <c r="AL27" s="10">
        <f>MAX($AK27-积分赛!$C$7,0)*$AH$7/30</f>
        <v>0</v>
      </c>
      <c r="AM27" s="10">
        <f>MAX($AK27-积分赛!$C$7,0)*$AH$7/30</f>
        <v>0</v>
      </c>
      <c r="AN27" s="10">
        <f>MAX($AK27-积分赛!$C$7,0)*$AH$7/30</f>
        <v>0</v>
      </c>
      <c r="AO27" s="10">
        <f>MAX($AK27-积分赛!$C$7,0)*$AH$7/30</f>
        <v>0</v>
      </c>
      <c r="AP27" s="10">
        <f>MAX($AK27-积分赛!$C$7,0)*$AH$7/30</f>
        <v>0</v>
      </c>
      <c r="AR27" s="10">
        <v>17</v>
      </c>
      <c r="AS27" s="10">
        <f>IFERROR(求节点(节奏总纲!R$4:R$363,AL$11:AL$370,$AR27),0)</f>
        <v>0</v>
      </c>
      <c r="AT27" s="10">
        <f>IFERROR(求节点(节奏总纲!S$4:S$363,AM$11:AM$370,$AR27),0)</f>
        <v>0</v>
      </c>
      <c r="AU27" s="10">
        <f>IFERROR(求节点(节奏总纲!T$4:T$363,AN$11:AN$370,$AR27),0)</f>
        <v>0</v>
      </c>
      <c r="AV27" s="10">
        <f>IFERROR(求节点(节奏总纲!U$4:U$363,AO$11:AO$370,$AR27),0)</f>
        <v>0</v>
      </c>
      <c r="AW27" s="10">
        <f>IFERROR(求节点(节奏总纲!V$4:V$363,AP$11:AP$370,$AR27),0)</f>
        <v>0</v>
      </c>
    </row>
    <row r="28" spans="12:49" x14ac:dyDescent="0.15">
      <c r="R28" s="10">
        <v>0.23</v>
      </c>
      <c r="S28" s="10">
        <f t="shared" si="1"/>
        <v>0.77</v>
      </c>
      <c r="T28" s="10">
        <f t="shared" si="2"/>
        <v>0.29870129870129869</v>
      </c>
      <c r="U28" s="10">
        <f t="shared" si="0"/>
        <v>3.4173646024054354</v>
      </c>
      <c r="V28" s="10">
        <f t="shared" si="3"/>
        <v>1.2954403298420534</v>
      </c>
      <c r="W28" s="10">
        <f t="shared" si="4"/>
        <v>0.78599385855325021</v>
      </c>
      <c r="X28" s="10">
        <f t="shared" si="5"/>
        <v>0.99748905397838117</v>
      </c>
      <c r="Y28" s="10">
        <f t="shared" si="6"/>
        <v>-2.5109460216188317E-3</v>
      </c>
      <c r="AK28" s="10">
        <v>18</v>
      </c>
      <c r="AL28" s="10">
        <f>MAX($AK28-积分赛!$C$7,0)*$AH$7/30</f>
        <v>0</v>
      </c>
      <c r="AM28" s="10">
        <f>MAX($AK28-积分赛!$C$7,0)*$AH$7/30</f>
        <v>0</v>
      </c>
      <c r="AN28" s="10">
        <f>MAX($AK28-积分赛!$C$7,0)*$AH$7/30</f>
        <v>0</v>
      </c>
      <c r="AO28" s="10">
        <f>MAX($AK28-积分赛!$C$7,0)*$AH$7/30</f>
        <v>0</v>
      </c>
      <c r="AP28" s="10">
        <f>MAX($AK28-积分赛!$C$7,0)*$AH$7/30</f>
        <v>0</v>
      </c>
      <c r="AR28" s="10">
        <v>18</v>
      </c>
      <c r="AS28" s="10">
        <f>IFERROR(求节点(节奏总纲!R$4:R$363,AL$11:AL$370,$AR28),0)</f>
        <v>0</v>
      </c>
      <c r="AT28" s="10">
        <f>IFERROR(求节点(节奏总纲!S$4:S$363,AM$11:AM$370,$AR28),0)</f>
        <v>0</v>
      </c>
      <c r="AU28" s="10">
        <f>IFERROR(求节点(节奏总纲!T$4:T$363,AN$11:AN$370,$AR28),0)</f>
        <v>0</v>
      </c>
      <c r="AV28" s="10">
        <f>IFERROR(求节点(节奏总纲!U$4:U$363,AO$11:AO$370,$AR28),0)</f>
        <v>0</v>
      </c>
      <c r="AW28" s="10">
        <f>IFERROR(求节点(节奏总纲!V$4:V$363,AP$11:AP$370,$AR28),0)</f>
        <v>0</v>
      </c>
    </row>
    <row r="29" spans="12:49" x14ac:dyDescent="0.15">
      <c r="R29" s="10">
        <v>0.24</v>
      </c>
      <c r="S29" s="10">
        <f t="shared" si="1"/>
        <v>0.76</v>
      </c>
      <c r="T29" s="10">
        <f t="shared" si="2"/>
        <v>0.31578947368421051</v>
      </c>
      <c r="U29" s="10">
        <f t="shared" si="0"/>
        <v>3.3701233963797868</v>
      </c>
      <c r="V29" s="10">
        <f t="shared" si="3"/>
        <v>1.3001322103605368</v>
      </c>
      <c r="W29" s="10">
        <f t="shared" si="4"/>
        <v>0.80882961513114882</v>
      </c>
      <c r="X29" s="10">
        <f t="shared" si="5"/>
        <v>0.98810047987400795</v>
      </c>
      <c r="Y29" s="10">
        <f t="shared" si="6"/>
        <v>-1.1899520125992047E-2</v>
      </c>
      <c r="AK29" s="10">
        <v>19</v>
      </c>
      <c r="AL29" s="10">
        <f>MAX($AK29-积分赛!$C$7,0)*$AH$7/30</f>
        <v>0</v>
      </c>
      <c r="AM29" s="10">
        <f>MAX($AK29-积分赛!$C$7,0)*$AH$7/30</f>
        <v>0</v>
      </c>
      <c r="AN29" s="10">
        <f>MAX($AK29-积分赛!$C$7,0)*$AH$7/30</f>
        <v>0</v>
      </c>
      <c r="AO29" s="10">
        <f>MAX($AK29-积分赛!$C$7,0)*$AH$7/30</f>
        <v>0</v>
      </c>
      <c r="AP29" s="10">
        <f>MAX($AK29-积分赛!$C$7,0)*$AH$7/30</f>
        <v>0</v>
      </c>
      <c r="AR29" s="10">
        <v>19</v>
      </c>
      <c r="AS29" s="10">
        <f>IFERROR(求节点(节奏总纲!R$4:R$363,AL$11:AL$370,$AR29),0)</f>
        <v>0</v>
      </c>
      <c r="AT29" s="10">
        <f>IFERROR(求节点(节奏总纲!S$4:S$363,AM$11:AM$370,$AR29),0)</f>
        <v>0</v>
      </c>
      <c r="AU29" s="10">
        <f>IFERROR(求节点(节奏总纲!T$4:T$363,AN$11:AN$370,$AR29),0)</f>
        <v>0</v>
      </c>
      <c r="AV29" s="10">
        <f>IFERROR(求节点(节奏总纲!U$4:U$363,AO$11:AO$370,$AR29),0)</f>
        <v>0</v>
      </c>
      <c r="AW29" s="10">
        <f>IFERROR(求节点(节奏总纲!V$4:V$363,AP$11:AP$370,$AR29),0)</f>
        <v>0</v>
      </c>
    </row>
    <row r="30" spans="12:49" x14ac:dyDescent="0.15">
      <c r="R30" s="10">
        <v>0.25</v>
      </c>
      <c r="S30" s="10">
        <f t="shared" si="1"/>
        <v>0.75</v>
      </c>
      <c r="T30" s="10">
        <f t="shared" si="2"/>
        <v>0.33333333333333331</v>
      </c>
      <c r="U30" s="10">
        <f t="shared" si="0"/>
        <v>3.3202531064302145</v>
      </c>
      <c r="V30" s="10">
        <f t="shared" si="3"/>
        <v>1.3052986393697874</v>
      </c>
      <c r="W30" s="10">
        <f t="shared" si="4"/>
        <v>0.83006327660755364</v>
      </c>
      <c r="X30" s="10">
        <f t="shared" si="5"/>
        <v>0.97897397952734055</v>
      </c>
      <c r="Y30" s="10">
        <f t="shared" si="6"/>
        <v>-2.1026020472659446E-2</v>
      </c>
      <c r="AK30" s="10">
        <v>20</v>
      </c>
      <c r="AL30" s="10">
        <f>MAX($AK30-积分赛!$C$7,0)*$AH$7/30</f>
        <v>0</v>
      </c>
      <c r="AM30" s="10">
        <f>MAX($AK30-积分赛!$C$7,0)*$AH$7/30</f>
        <v>0</v>
      </c>
      <c r="AN30" s="10">
        <f>MAX($AK30-积分赛!$C$7,0)*$AH$7/30</f>
        <v>0</v>
      </c>
      <c r="AO30" s="10">
        <f>MAX($AK30-积分赛!$C$7,0)*$AH$7/30</f>
        <v>0</v>
      </c>
      <c r="AP30" s="10">
        <f>MAX($AK30-积分赛!$C$7,0)*$AH$7/30</f>
        <v>0</v>
      </c>
      <c r="AR30" s="10">
        <v>20</v>
      </c>
      <c r="AS30" s="10">
        <f>IFERROR(求节点(节奏总纲!R$4:R$363,AL$11:AL$370,$AR30),0)</f>
        <v>0</v>
      </c>
      <c r="AT30" s="10">
        <f>IFERROR(求节点(节奏总纲!S$4:S$363,AM$11:AM$370,$AR30),0)</f>
        <v>0</v>
      </c>
      <c r="AU30" s="10">
        <f>IFERROR(求节点(节奏总纲!T$4:T$363,AN$11:AN$370,$AR30),0)</f>
        <v>0</v>
      </c>
      <c r="AV30" s="10">
        <f>IFERROR(求节点(节奏总纲!U$4:U$363,AO$11:AO$370,$AR30),0)</f>
        <v>0</v>
      </c>
      <c r="AW30" s="10">
        <f>IFERROR(求节点(节奏总纲!V$4:V$363,AP$11:AP$370,$AR30),0)</f>
        <v>0</v>
      </c>
    </row>
    <row r="31" spans="12:49" x14ac:dyDescent="0.15">
      <c r="R31" s="10">
        <v>0.26</v>
      </c>
      <c r="S31" s="10">
        <f t="shared" si="1"/>
        <v>0.74</v>
      </c>
      <c r="T31" s="10">
        <f t="shared" si="2"/>
        <v>0.35135135135135137</v>
      </c>
      <c r="U31" s="10">
        <f t="shared" si="0"/>
        <v>3.2677979861719351</v>
      </c>
      <c r="V31" s="10">
        <f t="shared" si="3"/>
        <v>1.3109854735512327</v>
      </c>
      <c r="W31" s="10">
        <f t="shared" si="4"/>
        <v>0.84962747640470315</v>
      </c>
      <c r="X31" s="10">
        <f t="shared" si="5"/>
        <v>0.9701292504279122</v>
      </c>
      <c r="Y31" s="10">
        <f t="shared" si="6"/>
        <v>-2.9870749572087796E-2</v>
      </c>
      <c r="AK31" s="10">
        <v>21</v>
      </c>
      <c r="AL31" s="10">
        <f>MAX($AK31-积分赛!$C$7,0)*$AH$7/30</f>
        <v>0</v>
      </c>
      <c r="AM31" s="10">
        <f>MAX($AK31-积分赛!$C$7,0)*$AH$7/30</f>
        <v>0</v>
      </c>
      <c r="AN31" s="10">
        <f>MAX($AK31-积分赛!$C$7,0)*$AH$7/30</f>
        <v>0</v>
      </c>
      <c r="AO31" s="10">
        <f>MAX($AK31-积分赛!$C$7,0)*$AH$7/30</f>
        <v>0</v>
      </c>
      <c r="AP31" s="10">
        <f>MAX($AK31-积分赛!$C$7,0)*$AH$7/30</f>
        <v>0</v>
      </c>
      <c r="AR31" s="10">
        <v>21</v>
      </c>
      <c r="AS31" s="10">
        <f>IFERROR(求节点(节奏总纲!R$4:R$363,AL$11:AL$370,$AR31),0)</f>
        <v>0</v>
      </c>
      <c r="AT31" s="10">
        <f>IFERROR(求节点(节奏总纲!S$4:S$363,AM$11:AM$370,$AR31),0)</f>
        <v>0</v>
      </c>
      <c r="AU31" s="10">
        <f>IFERROR(求节点(节奏总纲!T$4:T$363,AN$11:AN$370,$AR31),0)</f>
        <v>0</v>
      </c>
      <c r="AV31" s="10">
        <f>IFERROR(求节点(节奏总纲!U$4:U$363,AO$11:AO$370,$AR31),0)</f>
        <v>0</v>
      </c>
      <c r="AW31" s="10">
        <f>IFERROR(求节点(节奏总纲!V$4:V$363,AP$11:AP$370,$AR31),0)</f>
        <v>0</v>
      </c>
    </row>
    <row r="32" spans="12:49" x14ac:dyDescent="0.15">
      <c r="R32" s="10">
        <v>0.27</v>
      </c>
      <c r="S32" s="10">
        <f t="shared" si="1"/>
        <v>0.73</v>
      </c>
      <c r="T32" s="10">
        <f t="shared" si="2"/>
        <v>0.36986301369863017</v>
      </c>
      <c r="U32" s="10">
        <f t="shared" si="0"/>
        <v>3.2128340934742829</v>
      </c>
      <c r="V32" s="10">
        <f t="shared" si="3"/>
        <v>1.3172425402264067</v>
      </c>
      <c r="W32" s="10">
        <f t="shared" si="4"/>
        <v>0.86746520523805648</v>
      </c>
      <c r="X32" s="10">
        <f t="shared" si="5"/>
        <v>0.96158705436527692</v>
      </c>
      <c r="Y32" s="10">
        <f t="shared" si="6"/>
        <v>-3.8412945634723084E-2</v>
      </c>
      <c r="AK32" s="10">
        <v>22</v>
      </c>
      <c r="AL32" s="10">
        <f>MAX($AK32-积分赛!$C$7,0)*$AH$7/30</f>
        <v>0</v>
      </c>
      <c r="AM32" s="10">
        <f>MAX($AK32-积分赛!$C$7,0)*$AH$7/30</f>
        <v>0</v>
      </c>
      <c r="AN32" s="10">
        <f>MAX($AK32-积分赛!$C$7,0)*$AH$7/30</f>
        <v>0</v>
      </c>
      <c r="AO32" s="10">
        <f>MAX($AK32-积分赛!$C$7,0)*$AH$7/30</f>
        <v>0</v>
      </c>
      <c r="AP32" s="10">
        <f>MAX($AK32-积分赛!$C$7,0)*$AH$7/30</f>
        <v>0</v>
      </c>
      <c r="AR32" s="10">
        <v>22</v>
      </c>
      <c r="AS32" s="10">
        <f>IFERROR(求节点(节奏总纲!R$4:R$363,AL$11:AL$370,$AR32),0)</f>
        <v>0</v>
      </c>
      <c r="AT32" s="10">
        <f>IFERROR(求节点(节奏总纲!S$4:S$363,AM$11:AM$370,$AR32),0)</f>
        <v>0</v>
      </c>
      <c r="AU32" s="10">
        <f>IFERROR(求节点(节奏总纲!T$4:T$363,AN$11:AN$370,$AR32),0)</f>
        <v>0</v>
      </c>
      <c r="AV32" s="10">
        <f>IFERROR(求节点(节奏总纲!U$4:U$363,AO$11:AO$370,$AR32),0)</f>
        <v>0</v>
      </c>
      <c r="AW32" s="10">
        <f>IFERROR(求节点(节奏总纲!V$4:V$363,AP$11:AP$370,$AR32),0)</f>
        <v>0</v>
      </c>
    </row>
    <row r="33" spans="18:49" x14ac:dyDescent="0.15">
      <c r="R33" s="10">
        <v>0.28000000000000003</v>
      </c>
      <c r="S33" s="10">
        <f t="shared" si="1"/>
        <v>0.72</v>
      </c>
      <c r="T33" s="10">
        <f t="shared" si="2"/>
        <v>0.38888888888888895</v>
      </c>
      <c r="U33" s="10">
        <f t="shared" si="0"/>
        <v>3.1554711248108953</v>
      </c>
      <c r="V33" s="10">
        <f t="shared" si="3"/>
        <v>1.324123881333644</v>
      </c>
      <c r="W33" s="10">
        <f t="shared" si="4"/>
        <v>0.88353191494705074</v>
      </c>
      <c r="X33" s="10">
        <f t="shared" si="5"/>
        <v>0.95336919456022362</v>
      </c>
      <c r="Y33" s="10">
        <f t="shared" si="6"/>
        <v>-4.6630805439776379E-2</v>
      </c>
      <c r="AK33" s="10">
        <v>23</v>
      </c>
      <c r="AL33" s="10">
        <f>MAX($AK33-积分赛!$C$7,0)*$AH$7/30</f>
        <v>0</v>
      </c>
      <c r="AM33" s="10">
        <f>MAX($AK33-积分赛!$C$7,0)*$AH$7/30</f>
        <v>0</v>
      </c>
      <c r="AN33" s="10">
        <f>MAX($AK33-积分赛!$C$7,0)*$AH$7/30</f>
        <v>0</v>
      </c>
      <c r="AO33" s="10">
        <f>MAX($AK33-积分赛!$C$7,0)*$AH$7/30</f>
        <v>0</v>
      </c>
      <c r="AP33" s="10">
        <f>MAX($AK33-积分赛!$C$7,0)*$AH$7/30</f>
        <v>0</v>
      </c>
      <c r="AR33" s="10">
        <v>23</v>
      </c>
      <c r="AS33" s="10">
        <f>IFERROR(求节点(节奏总纲!R$4:R$363,AL$11:AL$370,$AR33),0)</f>
        <v>0</v>
      </c>
      <c r="AT33" s="10">
        <f>IFERROR(求节点(节奏总纲!S$4:S$363,AM$11:AM$370,$AR33),0)</f>
        <v>0</v>
      </c>
      <c r="AU33" s="10">
        <f>IFERROR(求节点(节奏总纲!T$4:T$363,AN$11:AN$370,$AR33),0)</f>
        <v>0</v>
      </c>
      <c r="AV33" s="10">
        <f>IFERROR(求节点(节奏总纲!U$4:U$363,AO$11:AO$370,$AR33),0)</f>
        <v>0</v>
      </c>
      <c r="AW33" s="10">
        <f>IFERROR(求节点(节奏总纲!V$4:V$363,AP$11:AP$370,$AR33),0)</f>
        <v>0</v>
      </c>
    </row>
    <row r="34" spans="18:49" x14ac:dyDescent="0.15">
      <c r="R34" s="10">
        <v>0.28999999999999998</v>
      </c>
      <c r="S34" s="10">
        <f t="shared" si="1"/>
        <v>0.71</v>
      </c>
      <c r="T34" s="10">
        <f t="shared" si="2"/>
        <v>0.40845070422535212</v>
      </c>
      <c r="U34" s="10">
        <f t="shared" si="0"/>
        <v>3.095853495467213</v>
      </c>
      <c r="V34" s="10">
        <f t="shared" si="3"/>
        <v>1.3316879895655831</v>
      </c>
      <c r="W34" s="10">
        <f t="shared" si="4"/>
        <v>0.89779751368549165</v>
      </c>
      <c r="X34" s="10">
        <f t="shared" si="5"/>
        <v>0.94549847259156394</v>
      </c>
      <c r="Y34" s="10">
        <f t="shared" si="6"/>
        <v>-5.4501527408436057E-2</v>
      </c>
      <c r="AK34" s="10">
        <v>24</v>
      </c>
      <c r="AL34" s="10">
        <f>MAX($AK34-积分赛!$C$7,0)*$AH$7/30</f>
        <v>0</v>
      </c>
      <c r="AM34" s="10">
        <f>MAX($AK34-积分赛!$C$7,0)*$AH$7/30</f>
        <v>0</v>
      </c>
      <c r="AN34" s="10">
        <f>MAX($AK34-积分赛!$C$7,0)*$AH$7/30</f>
        <v>0</v>
      </c>
      <c r="AO34" s="10">
        <f>MAX($AK34-积分赛!$C$7,0)*$AH$7/30</f>
        <v>0</v>
      </c>
      <c r="AP34" s="10">
        <f>MAX($AK34-积分赛!$C$7,0)*$AH$7/30</f>
        <v>0</v>
      </c>
      <c r="AR34" s="10">
        <v>24</v>
      </c>
      <c r="AS34" s="10">
        <f>IFERROR(求节点(节奏总纲!R$4:R$363,AL$11:AL$370,$AR34),0)</f>
        <v>0</v>
      </c>
      <c r="AT34" s="10">
        <f>IFERROR(求节点(节奏总纲!S$4:S$363,AM$11:AM$370,$AR34),0)</f>
        <v>0</v>
      </c>
      <c r="AU34" s="10">
        <f>IFERROR(求节点(节奏总纲!T$4:T$363,AN$11:AN$370,$AR34),0)</f>
        <v>0</v>
      </c>
      <c r="AV34" s="10">
        <f>IFERROR(求节点(节奏总纲!U$4:U$363,AO$11:AO$370,$AR34),0)</f>
        <v>0</v>
      </c>
      <c r="AW34" s="10">
        <f>IFERROR(求节点(节奏总纲!V$4:V$363,AP$11:AP$370,$AR34),0)</f>
        <v>0</v>
      </c>
    </row>
    <row r="35" spans="18:49" x14ac:dyDescent="0.15">
      <c r="R35" s="10">
        <v>0.3</v>
      </c>
      <c r="S35" s="10">
        <f t="shared" si="1"/>
        <v>0.7</v>
      </c>
      <c r="T35" s="10">
        <f t="shared" si="2"/>
        <v>0.4285714285714286</v>
      </c>
      <c r="U35" s="10">
        <f t="shared" si="0"/>
        <v>3.0341605217808327</v>
      </c>
      <c r="V35" s="10">
        <f t="shared" si="3"/>
        <v>1.3399980300048118</v>
      </c>
      <c r="W35" s="10">
        <f t="shared" si="4"/>
        <v>0.91024815653424973</v>
      </c>
      <c r="X35" s="10">
        <f t="shared" si="5"/>
        <v>0.93799862100336817</v>
      </c>
      <c r="Y35" s="10">
        <f t="shared" si="6"/>
        <v>-6.2001378996631828E-2</v>
      </c>
      <c r="AK35" s="10">
        <v>25</v>
      </c>
      <c r="AL35" s="10">
        <f>MAX($AK35-积分赛!$C$7,0)*$AH$7/30</f>
        <v>0</v>
      </c>
      <c r="AM35" s="10">
        <f>MAX($AK35-积分赛!$C$7,0)*$AH$7/30</f>
        <v>0</v>
      </c>
      <c r="AN35" s="10">
        <f>MAX($AK35-积分赛!$C$7,0)*$AH$7/30</f>
        <v>0</v>
      </c>
      <c r="AO35" s="10">
        <f>MAX($AK35-积分赛!$C$7,0)*$AH$7/30</f>
        <v>0</v>
      </c>
      <c r="AP35" s="10">
        <f>MAX($AK35-积分赛!$C$7,0)*$AH$7/30</f>
        <v>0</v>
      </c>
      <c r="AR35" s="10">
        <v>25</v>
      </c>
      <c r="AS35" s="10">
        <f>IFERROR(求节点(节奏总纲!R$4:R$363,AL$11:AL$370,$AR35),0)</f>
        <v>0</v>
      </c>
      <c r="AT35" s="10">
        <f>IFERROR(求节点(节奏总纲!S$4:S$363,AM$11:AM$370,$AR35),0)</f>
        <v>0</v>
      </c>
      <c r="AU35" s="10">
        <f>IFERROR(求节点(节奏总纲!T$4:T$363,AN$11:AN$370,$AR35),0)</f>
        <v>0</v>
      </c>
      <c r="AV35" s="10">
        <f>IFERROR(求节点(节奏总纲!U$4:U$363,AO$11:AO$370,$AR35),0)</f>
        <v>0</v>
      </c>
      <c r="AW35" s="10">
        <f>IFERROR(求节点(节奏总纲!V$4:V$363,AP$11:AP$370,$AR35),0)</f>
        <v>0</v>
      </c>
    </row>
    <row r="36" spans="18:49" x14ac:dyDescent="0.15">
      <c r="R36" s="10">
        <v>0.31</v>
      </c>
      <c r="S36" s="10">
        <f t="shared" si="1"/>
        <v>0.69</v>
      </c>
      <c r="T36" s="10">
        <f t="shared" si="2"/>
        <v>0.44927536231884063</v>
      </c>
      <c r="U36" s="10">
        <f t="shared" si="0"/>
        <v>2.970605590442859</v>
      </c>
      <c r="V36" s="10">
        <f t="shared" si="3"/>
        <v>1.3491220390854268</v>
      </c>
      <c r="W36" s="10">
        <f t="shared" si="4"/>
        <v>0.92088773303728633</v>
      </c>
      <c r="X36" s="10">
        <f t="shared" si="5"/>
        <v>0.93089420696894443</v>
      </c>
      <c r="Y36" s="10">
        <f t="shared" si="6"/>
        <v>-6.9105793031055573E-2</v>
      </c>
      <c r="AK36" s="10">
        <v>26</v>
      </c>
      <c r="AL36" s="10">
        <f>MAX($AK36-积分赛!$C$7,0)*$AH$7/30</f>
        <v>0</v>
      </c>
      <c r="AM36" s="10">
        <f>MAX($AK36-积分赛!$C$7,0)*$AH$7/30</f>
        <v>0</v>
      </c>
      <c r="AN36" s="10">
        <f>MAX($AK36-积分赛!$C$7,0)*$AH$7/30</f>
        <v>0</v>
      </c>
      <c r="AO36" s="10">
        <f>MAX($AK36-积分赛!$C$7,0)*$AH$7/30</f>
        <v>0</v>
      </c>
      <c r="AP36" s="10">
        <f>MAX($AK36-积分赛!$C$7,0)*$AH$7/30</f>
        <v>0</v>
      </c>
      <c r="AR36" s="10">
        <v>26</v>
      </c>
      <c r="AS36" s="10">
        <f>IFERROR(求节点(节奏总纲!R$4:R$363,AL$11:AL$370,$AR36),0)</f>
        <v>0</v>
      </c>
      <c r="AT36" s="10">
        <f>IFERROR(求节点(节奏总纲!S$4:S$363,AM$11:AM$370,$AR36),0)</f>
        <v>0</v>
      </c>
      <c r="AU36" s="10">
        <f>IFERROR(求节点(节奏总纲!T$4:T$363,AN$11:AN$370,$AR36),0)</f>
        <v>0</v>
      </c>
      <c r="AV36" s="10">
        <f>IFERROR(求节点(节奏总纲!U$4:U$363,AO$11:AO$370,$AR36),0)</f>
        <v>0</v>
      </c>
      <c r="AW36" s="10">
        <f>IFERROR(求节点(节奏总纲!V$4:V$363,AP$11:AP$370,$AR36),0)</f>
        <v>0</v>
      </c>
    </row>
    <row r="37" spans="18:49" x14ac:dyDescent="0.15">
      <c r="R37" s="10">
        <v>0.32</v>
      </c>
      <c r="S37" s="10">
        <f t="shared" si="1"/>
        <v>0.67999999999999994</v>
      </c>
      <c r="T37" s="10">
        <f t="shared" si="2"/>
        <v>0.4705882352941177</v>
      </c>
      <c r="U37" s="10">
        <f t="shared" ref="U37:U68" si="7">M$10+(M$11-M$10)/(1+M$13*EXP((0.5-(1-$R37))*10))</f>
        <v>2.9054342414545014</v>
      </c>
      <c r="V37" s="10">
        <f t="shared" si="3"/>
        <v>1.3591330909997306</v>
      </c>
      <c r="W37" s="10">
        <f t="shared" si="4"/>
        <v>0.92973895726544042</v>
      </c>
      <c r="X37" s="10">
        <f t="shared" si="5"/>
        <v>0.92421050187981668</v>
      </c>
      <c r="Y37" s="10">
        <f t="shared" si="6"/>
        <v>-7.0261042734559576E-2</v>
      </c>
      <c r="AK37" s="10">
        <v>27</v>
      </c>
      <c r="AL37" s="10">
        <f>MAX($AK37-积分赛!$C$7,0)*$AH$7/30</f>
        <v>0</v>
      </c>
      <c r="AM37" s="10">
        <f>MAX($AK37-积分赛!$C$7,0)*$AH$7/30</f>
        <v>0</v>
      </c>
      <c r="AN37" s="10">
        <f>MAX($AK37-积分赛!$C$7,0)*$AH$7/30</f>
        <v>0</v>
      </c>
      <c r="AO37" s="10">
        <f>MAX($AK37-积分赛!$C$7,0)*$AH$7/30</f>
        <v>0</v>
      </c>
      <c r="AP37" s="10">
        <f>MAX($AK37-积分赛!$C$7,0)*$AH$7/30</f>
        <v>0</v>
      </c>
      <c r="AR37" s="10">
        <v>27</v>
      </c>
      <c r="AS37" s="10">
        <f>IFERROR(求节点(节奏总纲!R$4:R$363,AL$11:AL$370,$AR37),0)</f>
        <v>0</v>
      </c>
      <c r="AT37" s="10">
        <f>IFERROR(求节点(节奏总纲!S$4:S$363,AM$11:AM$370,$AR37),0)</f>
        <v>0</v>
      </c>
      <c r="AU37" s="10">
        <f>IFERROR(求节点(节奏总纲!T$4:T$363,AN$11:AN$370,$AR37),0)</f>
        <v>0</v>
      </c>
      <c r="AV37" s="10">
        <f>IFERROR(求节点(节奏总纲!U$4:U$363,AO$11:AO$370,$AR37),0)</f>
        <v>0</v>
      </c>
      <c r="AW37" s="10">
        <f>IFERROR(求节点(节奏总纲!V$4:V$363,AP$11:AP$370,$AR37),0)</f>
        <v>0</v>
      </c>
    </row>
    <row r="38" spans="18:49" x14ac:dyDescent="0.15">
      <c r="R38" s="10">
        <v>0.33</v>
      </c>
      <c r="S38" s="10">
        <f t="shared" si="1"/>
        <v>0.66999999999999993</v>
      </c>
      <c r="T38" s="10">
        <f t="shared" si="2"/>
        <v>0.49253731343283591</v>
      </c>
      <c r="U38" s="10">
        <f t="shared" si="7"/>
        <v>2.8389211439356972</v>
      </c>
      <c r="V38" s="10">
        <f t="shared" si="3"/>
        <v>1.3701094197674915</v>
      </c>
      <c r="W38" s="10">
        <f t="shared" si="4"/>
        <v>0.93684397749878012</v>
      </c>
      <c r="X38" s="10">
        <f t="shared" si="5"/>
        <v>0.91797331124421921</v>
      </c>
      <c r="Y38" s="10">
        <f t="shared" si="6"/>
        <v>-6.3156022501219877E-2</v>
      </c>
      <c r="AK38" s="10">
        <v>28</v>
      </c>
      <c r="AL38" s="10">
        <f>MAX($AK38-积分赛!$C$7,0)*$AH$7/30</f>
        <v>0</v>
      </c>
      <c r="AM38" s="10">
        <f>MAX($AK38-积分赛!$C$7,0)*$AH$7/30</f>
        <v>0</v>
      </c>
      <c r="AN38" s="10">
        <f>MAX($AK38-积分赛!$C$7,0)*$AH$7/30</f>
        <v>0</v>
      </c>
      <c r="AO38" s="10">
        <f>MAX($AK38-积分赛!$C$7,0)*$AH$7/30</f>
        <v>0</v>
      </c>
      <c r="AP38" s="10">
        <f>MAX($AK38-积分赛!$C$7,0)*$AH$7/30</f>
        <v>0</v>
      </c>
      <c r="AR38" s="10">
        <v>28</v>
      </c>
      <c r="AS38" s="10">
        <f>IFERROR(求节点(节奏总纲!R$4:R$363,AL$11:AL$370,$AR38),0)</f>
        <v>0</v>
      </c>
      <c r="AT38" s="10">
        <f>IFERROR(求节点(节奏总纲!S$4:S$363,AM$11:AM$370,$AR38),0)</f>
        <v>0</v>
      </c>
      <c r="AU38" s="10">
        <f>IFERROR(求节点(节奏总纲!T$4:T$363,AN$11:AN$370,$AR38),0)</f>
        <v>0</v>
      </c>
      <c r="AV38" s="10">
        <f>IFERROR(求节点(节奏总纲!U$4:U$363,AO$11:AO$370,$AR38),0)</f>
        <v>0</v>
      </c>
      <c r="AW38" s="10">
        <f>IFERROR(求节点(节奏总纲!V$4:V$363,AP$11:AP$370,$AR38),0)</f>
        <v>0</v>
      </c>
    </row>
    <row r="39" spans="18:49" x14ac:dyDescent="0.15">
      <c r="R39" s="10">
        <v>0.34</v>
      </c>
      <c r="S39" s="10">
        <f t="shared" si="1"/>
        <v>0.65999999999999992</v>
      </c>
      <c r="T39" s="10">
        <f t="shared" si="2"/>
        <v>0.51515151515151525</v>
      </c>
      <c r="U39" s="10">
        <f t="shared" si="7"/>
        <v>2.771366004435845</v>
      </c>
      <c r="V39" s="10">
        <f t="shared" si="3"/>
        <v>1.3821344831096121</v>
      </c>
      <c r="W39" s="10">
        <f t="shared" si="4"/>
        <v>0.94226444150818733</v>
      </c>
      <c r="X39" s="10">
        <f t="shared" si="5"/>
        <v>0.91220875885234387</v>
      </c>
      <c r="Y39" s="10">
        <f t="shared" si="6"/>
        <v>-5.7735558491812666E-2</v>
      </c>
      <c r="AK39" s="10">
        <v>29</v>
      </c>
      <c r="AL39" s="10">
        <f>MAX($AK39-积分赛!$C$7,0)*$AH$7/30</f>
        <v>0</v>
      </c>
      <c r="AM39" s="10">
        <f>MAX($AK39-积分赛!$C$7,0)*$AH$7/30</f>
        <v>0</v>
      </c>
      <c r="AN39" s="10">
        <f>MAX($AK39-积分赛!$C$7,0)*$AH$7/30</f>
        <v>0</v>
      </c>
      <c r="AO39" s="10">
        <f>MAX($AK39-积分赛!$C$7,0)*$AH$7/30</f>
        <v>0</v>
      </c>
      <c r="AP39" s="10">
        <f>MAX($AK39-积分赛!$C$7,0)*$AH$7/30</f>
        <v>0</v>
      </c>
      <c r="AR39" s="10">
        <v>29</v>
      </c>
      <c r="AS39" s="10">
        <f>IFERROR(求节点(节奏总纲!R$4:R$363,AL$11:AL$370,$AR39),0)</f>
        <v>0</v>
      </c>
      <c r="AT39" s="10">
        <f>IFERROR(求节点(节奏总纲!S$4:S$363,AM$11:AM$370,$AR39),0)</f>
        <v>0</v>
      </c>
      <c r="AU39" s="10">
        <f>IFERROR(求节点(节奏总纲!T$4:T$363,AN$11:AN$370,$AR39),0)</f>
        <v>0</v>
      </c>
      <c r="AV39" s="10">
        <f>IFERROR(求节点(节奏总纲!U$4:U$363,AO$11:AO$370,$AR39),0)</f>
        <v>0</v>
      </c>
      <c r="AW39" s="10">
        <f>IFERROR(求节点(节奏总纲!V$4:V$363,AP$11:AP$370,$AR39),0)</f>
        <v>0</v>
      </c>
    </row>
    <row r="40" spans="18:49" x14ac:dyDescent="0.15">
      <c r="R40" s="10">
        <v>0.35</v>
      </c>
      <c r="S40" s="10">
        <f t="shared" si="1"/>
        <v>0.65</v>
      </c>
      <c r="T40" s="10">
        <f t="shared" si="2"/>
        <v>0.53846153846153844</v>
      </c>
      <c r="U40" s="10">
        <f t="shared" si="7"/>
        <v>2.7030885111706224</v>
      </c>
      <c r="V40" s="10">
        <f t="shared" si="3"/>
        <v>1.3952969520566745</v>
      </c>
      <c r="W40" s="10">
        <f t="shared" si="4"/>
        <v>0.94608097890971776</v>
      </c>
      <c r="X40" s="10">
        <f t="shared" si="5"/>
        <v>0.90694301883683848</v>
      </c>
      <c r="Y40" s="10">
        <f t="shared" si="6"/>
        <v>-5.3919021090282238E-2</v>
      </c>
      <c r="AK40" s="10">
        <v>30</v>
      </c>
      <c r="AL40" s="10">
        <f>MAX($AK40-积分赛!$C$7,0)*$AH$7/30</f>
        <v>0</v>
      </c>
      <c r="AM40" s="10">
        <f>MAX($AK40-积分赛!$C$7,0)*$AH$7/30</f>
        <v>0</v>
      </c>
      <c r="AN40" s="10">
        <f>MAX($AK40-积分赛!$C$7,0)*$AH$7/30</f>
        <v>0</v>
      </c>
      <c r="AO40" s="10">
        <f>MAX($AK40-积分赛!$C$7,0)*$AH$7/30</f>
        <v>0</v>
      </c>
      <c r="AP40" s="10">
        <f>MAX($AK40-积分赛!$C$7,0)*$AH$7/30</f>
        <v>0</v>
      </c>
      <c r="AR40" s="10">
        <v>30</v>
      </c>
      <c r="AS40" s="10">
        <f>IFERROR(求节点(节奏总纲!R$4:R$363,AL$11:AL$370,$AR40),0)</f>
        <v>0</v>
      </c>
      <c r="AT40" s="10">
        <f>IFERROR(求节点(节奏总纲!S$4:S$363,AM$11:AM$370,$AR40),0)</f>
        <v>0</v>
      </c>
      <c r="AU40" s="10">
        <f>IFERROR(求节点(节奏总纲!T$4:T$363,AN$11:AN$370,$AR40),0)</f>
        <v>0</v>
      </c>
      <c r="AV40" s="10">
        <f>IFERROR(求节点(节奏总纲!U$4:U$363,AO$11:AO$370,$AR40),0)</f>
        <v>0</v>
      </c>
      <c r="AW40" s="10">
        <f>IFERROR(求节点(节奏总纲!V$4:V$363,AP$11:AP$370,$AR40),0)</f>
        <v>0</v>
      </c>
    </row>
    <row r="41" spans="18:49" x14ac:dyDescent="0.15">
      <c r="R41" s="10">
        <v>0.36</v>
      </c>
      <c r="S41" s="10">
        <f t="shared" si="1"/>
        <v>0.64</v>
      </c>
      <c r="T41" s="10">
        <f t="shared" si="2"/>
        <v>0.5625</v>
      </c>
      <c r="U41" s="10">
        <f t="shared" si="7"/>
        <v>2.6344224792337663</v>
      </c>
      <c r="V41" s="10">
        <f t="shared" si="3"/>
        <v>1.4096906079379805</v>
      </c>
      <c r="W41" s="10">
        <f t="shared" si="4"/>
        <v>0.94839209252415579</v>
      </c>
      <c r="X41" s="10">
        <f t="shared" si="5"/>
        <v>0.90220198908030758</v>
      </c>
      <c r="Y41" s="10">
        <f t="shared" si="6"/>
        <v>-5.1607907475844206E-2</v>
      </c>
      <c r="AK41" s="10">
        <v>31</v>
      </c>
      <c r="AL41" s="10">
        <f>MAX($AK41-积分赛!$C$7,0)*$AH$7/30</f>
        <v>11.882478933317051</v>
      </c>
      <c r="AM41" s="10">
        <f>MAX($AK41-积分赛!$C$7,0)*$AH$7/30</f>
        <v>11.882478933317051</v>
      </c>
      <c r="AN41" s="10">
        <f>MAX($AK41-积分赛!$C$7,0)*$AH$7/30</f>
        <v>11.882478933317051</v>
      </c>
      <c r="AO41" s="10">
        <f>MAX($AK41-积分赛!$C$7,0)*$AH$7/30</f>
        <v>11.882478933317051</v>
      </c>
      <c r="AP41" s="10">
        <f>MAX($AK41-积分赛!$C$7,0)*$AH$7/30</f>
        <v>11.882478933317051</v>
      </c>
      <c r="AR41" s="10">
        <v>31</v>
      </c>
      <c r="AS41" s="10">
        <f>IFERROR(求节点(节奏总纲!R$4:R$363,AL$11:AL$370,$AR41),0)</f>
        <v>0</v>
      </c>
      <c r="AT41" s="10">
        <f>IFERROR(求节点(节奏总纲!S$4:S$363,AM$11:AM$370,$AR41),0)</f>
        <v>0</v>
      </c>
      <c r="AU41" s="10">
        <f>IFERROR(求节点(节奏总纲!T$4:T$363,AN$11:AN$370,$AR41),0)</f>
        <v>0</v>
      </c>
      <c r="AV41" s="10">
        <f>IFERROR(求节点(节奏总纲!U$4:U$363,AO$11:AO$370,$AR41),0)</f>
        <v>0</v>
      </c>
      <c r="AW41" s="10">
        <f>IFERROR(求节点(节奏总纲!V$4:V$363,AP$11:AP$370,$AR41),0)</f>
        <v>0</v>
      </c>
    </row>
    <row r="42" spans="18:49" x14ac:dyDescent="0.15">
      <c r="R42" s="10">
        <v>0.37</v>
      </c>
      <c r="S42" s="10">
        <f t="shared" si="1"/>
        <v>0.63</v>
      </c>
      <c r="T42" s="10">
        <f t="shared" si="2"/>
        <v>0.58730158730158732</v>
      </c>
      <c r="U42" s="10">
        <f t="shared" si="7"/>
        <v>2.5657094155134965</v>
      </c>
      <c r="V42" s="10">
        <f t="shared" si="3"/>
        <v>1.4254141261313649</v>
      </c>
      <c r="W42" s="10">
        <f t="shared" si="4"/>
        <v>0.94931248373999366</v>
      </c>
      <c r="X42" s="10">
        <f t="shared" si="5"/>
        <v>0.89801089946275992</v>
      </c>
      <c r="Y42" s="10">
        <f t="shared" si="6"/>
        <v>-5.0687516260006338E-2</v>
      </c>
      <c r="AK42" s="10">
        <v>32</v>
      </c>
      <c r="AL42" s="10">
        <f>MAX($AK42-积分赛!$C$7,0)*$AH$7/30</f>
        <v>23.764957866634102</v>
      </c>
      <c r="AM42" s="10">
        <f>MAX($AK42-积分赛!$C$7,0)*$AH$7/30</f>
        <v>23.764957866634102</v>
      </c>
      <c r="AN42" s="10">
        <f>MAX($AK42-积分赛!$C$7,0)*$AH$7/30</f>
        <v>23.764957866634102</v>
      </c>
      <c r="AO42" s="10">
        <f>MAX($AK42-积分赛!$C$7,0)*$AH$7/30</f>
        <v>23.764957866634102</v>
      </c>
      <c r="AP42" s="10">
        <f>MAX($AK42-积分赛!$C$7,0)*$AH$7/30</f>
        <v>23.764957866634102</v>
      </c>
      <c r="AR42" s="10">
        <v>32</v>
      </c>
      <c r="AS42" s="10">
        <f>IFERROR(求节点(节奏总纲!R$4:R$363,AL$11:AL$370,$AR42),0)</f>
        <v>0</v>
      </c>
      <c r="AT42" s="10">
        <f>IFERROR(求节点(节奏总纲!S$4:S$363,AM$11:AM$370,$AR42),0)</f>
        <v>0</v>
      </c>
      <c r="AU42" s="10">
        <f>IFERROR(求节点(节奏总纲!T$4:T$363,AN$11:AN$370,$AR42),0)</f>
        <v>0</v>
      </c>
      <c r="AV42" s="10">
        <f>IFERROR(求节点(节奏总纲!U$4:U$363,AO$11:AO$370,$AR42),0)</f>
        <v>0</v>
      </c>
      <c r="AW42" s="10">
        <f>IFERROR(求节点(节奏总纲!V$4:V$363,AP$11:AP$370,$AR42),0)</f>
        <v>0</v>
      </c>
    </row>
    <row r="43" spans="18:49" x14ac:dyDescent="0.15">
      <c r="R43" s="10">
        <v>0.38</v>
      </c>
      <c r="S43" s="10">
        <f t="shared" si="1"/>
        <v>0.62</v>
      </c>
      <c r="T43" s="10">
        <f t="shared" si="2"/>
        <v>0.61290322580645162</v>
      </c>
      <c r="U43" s="10">
        <f t="shared" si="7"/>
        <v>2.4972917623988211</v>
      </c>
      <c r="V43" s="10">
        <f t="shared" si="3"/>
        <v>1.4425707238386527</v>
      </c>
      <c r="W43" s="10">
        <f t="shared" si="4"/>
        <v>0.94897086971155198</v>
      </c>
      <c r="X43" s="10">
        <f t="shared" si="5"/>
        <v>0.89439384877996464</v>
      </c>
      <c r="Y43" s="10">
        <f t="shared" si="6"/>
        <v>-5.1029130288448021E-2</v>
      </c>
      <c r="AK43" s="10">
        <v>33</v>
      </c>
      <c r="AL43" s="10">
        <f>MAX($AK43-积分赛!$C$7,0)*$AH$7/30</f>
        <v>35.647436799951151</v>
      </c>
      <c r="AM43" s="10">
        <f>MAX($AK43-积分赛!$C$7,0)*$AH$7/30</f>
        <v>35.647436799951151</v>
      </c>
      <c r="AN43" s="10">
        <f>MAX($AK43-积分赛!$C$7,0)*$AH$7/30</f>
        <v>35.647436799951151</v>
      </c>
      <c r="AO43" s="10">
        <f>MAX($AK43-积分赛!$C$7,0)*$AH$7/30</f>
        <v>35.647436799951151</v>
      </c>
      <c r="AP43" s="10">
        <f>MAX($AK43-积分赛!$C$7,0)*$AH$7/30</f>
        <v>35.647436799951151</v>
      </c>
      <c r="AR43" s="10">
        <v>33</v>
      </c>
      <c r="AS43" s="10">
        <f>IFERROR(求节点(节奏总纲!R$4:R$363,AL$11:AL$370,$AR43),0)</f>
        <v>0</v>
      </c>
      <c r="AT43" s="10">
        <f>IFERROR(求节点(节奏总纲!S$4:S$363,AM$11:AM$370,$AR43),0)</f>
        <v>0</v>
      </c>
      <c r="AU43" s="10">
        <f>IFERROR(求节点(节奏总纲!T$4:T$363,AN$11:AN$370,$AR43),0)</f>
        <v>0</v>
      </c>
      <c r="AV43" s="10">
        <f>IFERROR(求节点(节奏总纲!U$4:U$363,AO$11:AO$370,$AR43),0)</f>
        <v>0</v>
      </c>
      <c r="AW43" s="10">
        <f>IFERROR(求节点(节奏总纲!V$4:V$363,AP$11:AP$370,$AR43),0)</f>
        <v>0</v>
      </c>
    </row>
    <row r="44" spans="18:49" x14ac:dyDescent="0.15">
      <c r="R44" s="10">
        <v>0.39</v>
      </c>
      <c r="S44" s="10">
        <f t="shared" si="1"/>
        <v>0.61</v>
      </c>
      <c r="T44" s="10">
        <f t="shared" si="2"/>
        <v>0.63934426229508201</v>
      </c>
      <c r="U44" s="10">
        <f t="shared" si="7"/>
        <v>2.4295061021694413</v>
      </c>
      <c r="V44" s="10">
        <f t="shared" si="3"/>
        <v>1.4612676473606121</v>
      </c>
      <c r="W44" s="10">
        <f t="shared" si="4"/>
        <v>0.94750737984608213</v>
      </c>
      <c r="X44" s="10">
        <f t="shared" si="5"/>
        <v>0.89137326488997337</v>
      </c>
      <c r="Y44" s="10">
        <f t="shared" si="6"/>
        <v>-5.2492620153917868E-2</v>
      </c>
      <c r="AK44" s="10">
        <v>34</v>
      </c>
      <c r="AL44" s="10">
        <f>MAX($AK44-积分赛!$C$7,0)*$AH$7/30</f>
        <v>47.529915733268204</v>
      </c>
      <c r="AM44" s="10">
        <f>MAX($AK44-积分赛!$C$7,0)*$AH$7/30</f>
        <v>47.529915733268204</v>
      </c>
      <c r="AN44" s="10">
        <f>MAX($AK44-积分赛!$C$7,0)*$AH$7/30</f>
        <v>47.529915733268204</v>
      </c>
      <c r="AO44" s="10">
        <f>MAX($AK44-积分赛!$C$7,0)*$AH$7/30</f>
        <v>47.529915733268204</v>
      </c>
      <c r="AP44" s="10">
        <f>MAX($AK44-积分赛!$C$7,0)*$AH$7/30</f>
        <v>47.529915733268204</v>
      </c>
      <c r="AR44" s="10">
        <v>34</v>
      </c>
      <c r="AS44" s="10">
        <f>IFERROR(求节点(节奏总纲!R$4:R$363,AL$11:AL$370,$AR44),0)</f>
        <v>0</v>
      </c>
      <c r="AT44" s="10">
        <f>IFERROR(求节点(节奏总纲!S$4:S$363,AM$11:AM$370,$AR44),0)</f>
        <v>0</v>
      </c>
      <c r="AU44" s="10">
        <f>IFERROR(求节点(节奏总纲!T$4:T$363,AN$11:AN$370,$AR44),0)</f>
        <v>0</v>
      </c>
      <c r="AV44" s="10">
        <f>IFERROR(求节点(节奏总纲!U$4:U$363,AO$11:AO$370,$AR44),0)</f>
        <v>0</v>
      </c>
      <c r="AW44" s="10">
        <f>IFERROR(求节点(节奏总纲!V$4:V$363,AP$11:AP$370,$AR44),0)</f>
        <v>0</v>
      </c>
    </row>
    <row r="45" spans="18:49" x14ac:dyDescent="0.15">
      <c r="R45" s="10">
        <v>0.4</v>
      </c>
      <c r="S45" s="10">
        <f t="shared" si="1"/>
        <v>0.6</v>
      </c>
      <c r="T45" s="10">
        <f t="shared" si="2"/>
        <v>0.66666666666666674</v>
      </c>
      <c r="U45" s="10">
        <f t="shared" si="7"/>
        <v>2.3626766067771463</v>
      </c>
      <c r="V45" s="10">
        <f t="shared" si="3"/>
        <v>1.4816154731024678</v>
      </c>
      <c r="W45" s="10">
        <f t="shared" si="4"/>
        <v>0.94507064271085861</v>
      </c>
      <c r="X45" s="10">
        <f t="shared" si="5"/>
        <v>0.88896928386148066</v>
      </c>
      <c r="Y45" s="10">
        <f t="shared" si="6"/>
        <v>-5.4929357289141389E-2</v>
      </c>
      <c r="AK45" s="10">
        <v>35</v>
      </c>
      <c r="AL45" s="10">
        <f>MAX($AK45-积分赛!$C$7,0)*$AH$7/30</f>
        <v>59.41239466658525</v>
      </c>
      <c r="AM45" s="10">
        <f>MAX($AK45-积分赛!$C$7,0)*$AH$7/30</f>
        <v>59.41239466658525</v>
      </c>
      <c r="AN45" s="10">
        <f>MAX($AK45-积分赛!$C$7,0)*$AH$7/30</f>
        <v>59.41239466658525</v>
      </c>
      <c r="AO45" s="10">
        <f>MAX($AK45-积分赛!$C$7,0)*$AH$7/30</f>
        <v>59.41239466658525</v>
      </c>
      <c r="AP45" s="10">
        <f>MAX($AK45-积分赛!$C$7,0)*$AH$7/30</f>
        <v>59.41239466658525</v>
      </c>
      <c r="AR45" s="10">
        <v>35</v>
      </c>
      <c r="AS45" s="10">
        <f>IFERROR(求节点(节奏总纲!R$4:R$363,AL$11:AL$370,$AR45),0)</f>
        <v>0</v>
      </c>
      <c r="AT45" s="10">
        <f>IFERROR(求节点(节奏总纲!S$4:S$363,AM$11:AM$370,$AR45),0)</f>
        <v>0</v>
      </c>
      <c r="AU45" s="10">
        <f>IFERROR(求节点(节奏总纲!T$4:T$363,AN$11:AN$370,$AR45),0)</f>
        <v>0</v>
      </c>
      <c r="AV45" s="10">
        <f>IFERROR(求节点(节奏总纲!U$4:U$363,AO$11:AO$370,$AR45),0)</f>
        <v>0</v>
      </c>
      <c r="AW45" s="10">
        <f>IFERROR(求节点(节奏总纲!V$4:V$363,AP$11:AP$370,$AR45),0)</f>
        <v>0</v>
      </c>
    </row>
    <row r="46" spans="18:49" x14ac:dyDescent="0.15">
      <c r="R46" s="10">
        <v>0.41</v>
      </c>
      <c r="S46" s="10">
        <f t="shared" si="1"/>
        <v>0.59000000000000008</v>
      </c>
      <c r="T46" s="10">
        <f t="shared" si="2"/>
        <v>0.69491525423728795</v>
      </c>
      <c r="U46" s="10">
        <f t="shared" si="7"/>
        <v>2.2971090002416825</v>
      </c>
      <c r="V46" s="10">
        <f t="shared" si="3"/>
        <v>1.5037271961229961</v>
      </c>
      <c r="W46" s="10">
        <f t="shared" si="4"/>
        <v>0.9418146900990898</v>
      </c>
      <c r="X46" s="10">
        <f t="shared" si="5"/>
        <v>0.8871990457125678</v>
      </c>
      <c r="Y46" s="10">
        <f t="shared" si="6"/>
        <v>-5.8185309900910198E-2</v>
      </c>
      <c r="AK46" s="10">
        <v>36</v>
      </c>
      <c r="AL46" s="10">
        <f>MAX($AK46-积分赛!$C$7,0)*$AH$7/30</f>
        <v>71.294873599902303</v>
      </c>
      <c r="AM46" s="10">
        <f>MAX($AK46-积分赛!$C$7,0)*$AH$7/30</f>
        <v>71.294873599902303</v>
      </c>
      <c r="AN46" s="10">
        <f>MAX($AK46-积分赛!$C$7,0)*$AH$7/30</f>
        <v>71.294873599902303</v>
      </c>
      <c r="AO46" s="10">
        <f>MAX($AK46-积分赛!$C$7,0)*$AH$7/30</f>
        <v>71.294873599902303</v>
      </c>
      <c r="AP46" s="10">
        <f>MAX($AK46-积分赛!$C$7,0)*$AH$7/30</f>
        <v>71.294873599902303</v>
      </c>
      <c r="AR46" s="10">
        <v>36</v>
      </c>
      <c r="AS46" s="10">
        <f>IFERROR(求节点(节奏总纲!R$4:R$363,AL$11:AL$370,$AR46),0)</f>
        <v>0</v>
      </c>
      <c r="AT46" s="10">
        <f>IFERROR(求节点(节奏总纲!S$4:S$363,AM$11:AM$370,$AR46),0)</f>
        <v>0</v>
      </c>
      <c r="AU46" s="10">
        <f>IFERROR(求节点(节奏总纲!T$4:T$363,AN$11:AN$370,$AR46),0)</f>
        <v>0</v>
      </c>
      <c r="AV46" s="10">
        <f>IFERROR(求节点(节奏总纲!U$4:U$363,AO$11:AO$370,$AR46),0)</f>
        <v>0</v>
      </c>
      <c r="AW46" s="10">
        <f>IFERROR(求节点(节奏总纲!V$4:V$363,AP$11:AP$370,$AR46),0)</f>
        <v>0</v>
      </c>
    </row>
    <row r="47" spans="18:49" x14ac:dyDescent="0.15">
      <c r="R47" s="10">
        <v>0.42</v>
      </c>
      <c r="S47" s="10">
        <f t="shared" si="1"/>
        <v>0.58000000000000007</v>
      </c>
      <c r="T47" s="10">
        <f t="shared" si="2"/>
        <v>0.72413793103448265</v>
      </c>
      <c r="U47" s="10">
        <f t="shared" si="7"/>
        <v>2.2330852649837643</v>
      </c>
      <c r="V47" s="10">
        <f t="shared" si="3"/>
        <v>1.5277170807750156</v>
      </c>
      <c r="W47" s="10">
        <f t="shared" si="4"/>
        <v>0.937895811293181</v>
      </c>
      <c r="X47" s="10">
        <f t="shared" si="5"/>
        <v>0.8860759068495091</v>
      </c>
      <c r="Y47" s="10">
        <f t="shared" si="6"/>
        <v>-6.2104188706818997E-2</v>
      </c>
      <c r="AK47" s="10">
        <v>37</v>
      </c>
      <c r="AL47" s="10">
        <f>MAX($AK47-积分赛!$C$7,0)*$AH$7/30</f>
        <v>83.177352533219349</v>
      </c>
      <c r="AM47" s="10">
        <f>MAX($AK47-积分赛!$C$7,0)*$AH$7/30</f>
        <v>83.177352533219349</v>
      </c>
      <c r="AN47" s="10">
        <f>MAX($AK47-积分赛!$C$7,0)*$AH$7/30</f>
        <v>83.177352533219349</v>
      </c>
      <c r="AO47" s="10">
        <f>MAX($AK47-积分赛!$C$7,0)*$AH$7/30</f>
        <v>83.177352533219349</v>
      </c>
      <c r="AP47" s="10">
        <f>MAX($AK47-积分赛!$C$7,0)*$AH$7/30</f>
        <v>83.177352533219349</v>
      </c>
      <c r="AR47" s="10">
        <v>37</v>
      </c>
      <c r="AS47" s="10">
        <f>IFERROR(求节点(节奏总纲!R$4:R$363,AL$11:AL$370,$AR47),0)</f>
        <v>0</v>
      </c>
      <c r="AT47" s="10">
        <f>IFERROR(求节点(节奏总纲!S$4:S$363,AM$11:AM$370,$AR47),0)</f>
        <v>0</v>
      </c>
      <c r="AU47" s="10">
        <f>IFERROR(求节点(节奏总纲!T$4:T$363,AN$11:AN$370,$AR47),0)</f>
        <v>0</v>
      </c>
      <c r="AV47" s="10">
        <f>IFERROR(求节点(节奏总纲!U$4:U$363,AO$11:AO$370,$AR47),0)</f>
        <v>0</v>
      </c>
      <c r="AW47" s="10">
        <f>IFERROR(求节点(节奏总纲!V$4:V$363,AP$11:AP$370,$AR47),0)</f>
        <v>0</v>
      </c>
    </row>
    <row r="48" spans="18:49" x14ac:dyDescent="0.15">
      <c r="R48" s="10">
        <v>0.43</v>
      </c>
      <c r="S48" s="10">
        <f t="shared" si="1"/>
        <v>0.57000000000000006</v>
      </c>
      <c r="T48" s="10">
        <f t="shared" si="2"/>
        <v>0.7543859649122806</v>
      </c>
      <c r="U48" s="10">
        <f t="shared" si="7"/>
        <v>2.1708592728903793</v>
      </c>
      <c r="V48" s="10">
        <f t="shared" si="3"/>
        <v>1.5536992502454978</v>
      </c>
      <c r="W48" s="10">
        <f t="shared" si="4"/>
        <v>0.93346948734286306</v>
      </c>
      <c r="X48" s="10">
        <f t="shared" si="5"/>
        <v>0.88560857263993387</v>
      </c>
      <c r="Y48" s="10">
        <f t="shared" si="6"/>
        <v>-6.6530512657136942E-2</v>
      </c>
      <c r="AK48" s="10">
        <v>38</v>
      </c>
      <c r="AL48" s="10">
        <f>MAX($AK48-积分赛!$C$7,0)*$AH$7/30</f>
        <v>95.059831466536409</v>
      </c>
      <c r="AM48" s="10">
        <f>MAX($AK48-积分赛!$C$7,0)*$AH$7/30</f>
        <v>95.059831466536409</v>
      </c>
      <c r="AN48" s="10">
        <f>MAX($AK48-积分赛!$C$7,0)*$AH$7/30</f>
        <v>95.059831466536409</v>
      </c>
      <c r="AO48" s="10">
        <f>MAX($AK48-积分赛!$C$7,0)*$AH$7/30</f>
        <v>95.059831466536409</v>
      </c>
      <c r="AP48" s="10">
        <f>MAX($AK48-积分赛!$C$7,0)*$AH$7/30</f>
        <v>95.059831466536409</v>
      </c>
      <c r="AR48" s="10">
        <v>38</v>
      </c>
      <c r="AS48" s="10">
        <f>IFERROR(求节点(节奏总纲!R$4:R$363,AL$11:AL$370,$AR48),0)</f>
        <v>0</v>
      </c>
      <c r="AT48" s="10">
        <f>IFERROR(求节点(节奏总纲!S$4:S$363,AM$11:AM$370,$AR48),0)</f>
        <v>0</v>
      </c>
      <c r="AU48" s="10">
        <f>IFERROR(求节点(节奏总纲!T$4:T$363,AN$11:AN$370,$AR48),0)</f>
        <v>0</v>
      </c>
      <c r="AV48" s="10">
        <f>IFERROR(求节点(节奏总纲!U$4:U$363,AO$11:AO$370,$AR48),0)</f>
        <v>0</v>
      </c>
      <c r="AW48" s="10">
        <f>IFERROR(求节点(节奏总纲!V$4:V$363,AP$11:AP$370,$AR48),0)</f>
        <v>0</v>
      </c>
    </row>
    <row r="49" spans="18:49" x14ac:dyDescent="0.15">
      <c r="R49" s="10">
        <v>0.44</v>
      </c>
      <c r="S49" s="10">
        <f t="shared" si="1"/>
        <v>0.56000000000000005</v>
      </c>
      <c r="T49" s="10">
        <f t="shared" si="2"/>
        <v>0.7857142857142857</v>
      </c>
      <c r="U49" s="10">
        <f t="shared" si="7"/>
        <v>2.1106534618870727</v>
      </c>
      <c r="V49" s="10">
        <f t="shared" si="3"/>
        <v>1.581785995991366</v>
      </c>
      <c r="W49" s="10">
        <f t="shared" si="4"/>
        <v>0.92868752323031201</v>
      </c>
      <c r="X49" s="10">
        <f t="shared" si="5"/>
        <v>0.88580015775516507</v>
      </c>
      <c r="Y49" s="10">
        <f t="shared" si="6"/>
        <v>-7.1312476769687994E-2</v>
      </c>
      <c r="AK49" s="10">
        <v>39</v>
      </c>
      <c r="AL49" s="10">
        <f>MAX($AK49-积分赛!$C$7,0)*$AH$7/30</f>
        <v>106.94231039985347</v>
      </c>
      <c r="AM49" s="10">
        <f>MAX($AK49-积分赛!$C$7,0)*$AH$7/30</f>
        <v>106.94231039985347</v>
      </c>
      <c r="AN49" s="10">
        <f>MAX($AK49-积分赛!$C$7,0)*$AH$7/30</f>
        <v>106.94231039985347</v>
      </c>
      <c r="AO49" s="10">
        <f>MAX($AK49-积分赛!$C$7,0)*$AH$7/30</f>
        <v>106.94231039985347</v>
      </c>
      <c r="AP49" s="10">
        <f>MAX($AK49-积分赛!$C$7,0)*$AH$7/30</f>
        <v>106.94231039985347</v>
      </c>
      <c r="AR49" s="10">
        <v>39</v>
      </c>
      <c r="AS49" s="10">
        <f>IFERROR(求节点(节奏总纲!R$4:R$363,AL$11:AL$370,$AR49),0)</f>
        <v>0</v>
      </c>
      <c r="AT49" s="10">
        <f>IFERROR(求节点(节奏总纲!S$4:S$363,AM$11:AM$370,$AR49),0)</f>
        <v>0</v>
      </c>
      <c r="AU49" s="10">
        <f>IFERROR(求节点(节奏总纲!T$4:T$363,AN$11:AN$370,$AR49),0)</f>
        <v>0</v>
      </c>
      <c r="AV49" s="10">
        <f>IFERROR(求节点(节奏总纲!U$4:U$363,AO$11:AO$370,$AR49),0)</f>
        <v>0</v>
      </c>
      <c r="AW49" s="10">
        <f>IFERROR(求节点(节奏总纲!V$4:V$363,AP$11:AP$370,$AR49),0)</f>
        <v>0</v>
      </c>
    </row>
    <row r="50" spans="18:49" x14ac:dyDescent="0.15">
      <c r="R50" s="10">
        <v>0.45</v>
      </c>
      <c r="S50" s="10">
        <f t="shared" si="1"/>
        <v>0.55000000000000004</v>
      </c>
      <c r="T50" s="10">
        <f t="shared" si="2"/>
        <v>0.81818181818181812</v>
      </c>
      <c r="U50" s="10">
        <f t="shared" si="7"/>
        <v>2.0526566150365904</v>
      </c>
      <c r="V50" s="10">
        <f t="shared" si="3"/>
        <v>1.6120857945866343</v>
      </c>
      <c r="W50" s="10">
        <f t="shared" si="4"/>
        <v>0.92369547676646568</v>
      </c>
      <c r="X50" s="10">
        <f t="shared" si="5"/>
        <v>0.88664718702264889</v>
      </c>
      <c r="Y50" s="10">
        <f t="shared" si="6"/>
        <v>-7.6304523233534316E-2</v>
      </c>
      <c r="AK50" s="10">
        <v>40</v>
      </c>
      <c r="AL50" s="10">
        <f>MAX($AK50-积分赛!$C$7,0)*$AH$7/30</f>
        <v>118.8247893331705</v>
      </c>
      <c r="AM50" s="10">
        <f>MAX($AK50-积分赛!$C$7,0)*$AH$7/30</f>
        <v>118.8247893331705</v>
      </c>
      <c r="AN50" s="10">
        <f>MAX($AK50-积分赛!$C$7,0)*$AH$7/30</f>
        <v>118.8247893331705</v>
      </c>
      <c r="AO50" s="10">
        <f>MAX($AK50-积分赛!$C$7,0)*$AH$7/30</f>
        <v>118.8247893331705</v>
      </c>
      <c r="AP50" s="10">
        <f>MAX($AK50-积分赛!$C$7,0)*$AH$7/30</f>
        <v>118.8247893331705</v>
      </c>
      <c r="AR50" s="10">
        <v>40</v>
      </c>
      <c r="AS50" s="10">
        <f>IFERROR(求节点(节奏总纲!R$4:R$363,AL$11:AL$370,$AR50),0)</f>
        <v>0</v>
      </c>
      <c r="AT50" s="10">
        <f>IFERROR(求节点(节奏总纲!S$4:S$363,AM$11:AM$370,$AR50),0)</f>
        <v>0</v>
      </c>
      <c r="AU50" s="10">
        <f>IFERROR(求节点(节奏总纲!T$4:T$363,AN$11:AN$370,$AR50),0)</f>
        <v>0</v>
      </c>
      <c r="AV50" s="10">
        <f>IFERROR(求节点(节奏总纲!U$4:U$363,AO$11:AO$370,$AR50),0)</f>
        <v>0</v>
      </c>
      <c r="AW50" s="10">
        <f>IFERROR(求节点(节奏总纲!V$4:V$363,AP$11:AP$370,$AR50),0)</f>
        <v>0</v>
      </c>
    </row>
    <row r="51" spans="18:49" x14ac:dyDescent="0.15">
      <c r="R51" s="10">
        <v>0.46</v>
      </c>
      <c r="S51" s="10">
        <f t="shared" si="1"/>
        <v>0.54</v>
      </c>
      <c r="T51" s="10">
        <f t="shared" si="2"/>
        <v>0.85185185185185186</v>
      </c>
      <c r="U51" s="10">
        <f t="shared" si="7"/>
        <v>1.9970227373199876</v>
      </c>
      <c r="V51" s="10">
        <f t="shared" si="3"/>
        <v>1.6447010287148833</v>
      </c>
      <c r="W51" s="10">
        <f t="shared" si="4"/>
        <v>0.91863045916719432</v>
      </c>
      <c r="X51" s="10">
        <f t="shared" si="5"/>
        <v>0.88813855550603704</v>
      </c>
      <c r="Y51" s="10">
        <f t="shared" si="6"/>
        <v>-8.1369540832805676E-2</v>
      </c>
      <c r="AK51" s="10">
        <v>41</v>
      </c>
      <c r="AL51" s="10">
        <f>MAX($AK51-积分赛!$C$7,0)*$AH$7/30</f>
        <v>130.70726826648755</v>
      </c>
      <c r="AM51" s="10">
        <f>MAX($AK51-积分赛!$C$7,0)*$AH$7/30</f>
        <v>130.70726826648755</v>
      </c>
      <c r="AN51" s="10">
        <f>MAX($AK51-积分赛!$C$7,0)*$AH$7/30</f>
        <v>130.70726826648755</v>
      </c>
      <c r="AO51" s="10">
        <f>MAX($AK51-积分赛!$C$7,0)*$AH$7/30</f>
        <v>130.70726826648755</v>
      </c>
      <c r="AP51" s="10">
        <f>MAX($AK51-积分赛!$C$7,0)*$AH$7/30</f>
        <v>130.70726826648755</v>
      </c>
      <c r="AR51" s="10">
        <v>41</v>
      </c>
      <c r="AS51" s="10">
        <f>IFERROR(求节点(节奏总纲!R$4:R$363,AL$11:AL$370,$AR51),0)</f>
        <v>0</v>
      </c>
      <c r="AT51" s="10">
        <f>IFERROR(求节点(节奏总纲!S$4:S$363,AM$11:AM$370,$AR51),0)</f>
        <v>0</v>
      </c>
      <c r="AU51" s="10">
        <f>IFERROR(求节点(节奏总纲!T$4:T$363,AN$11:AN$370,$AR51),0)</f>
        <v>0</v>
      </c>
      <c r="AV51" s="10">
        <f>IFERROR(求节点(节奏总纲!U$4:U$363,AO$11:AO$370,$AR51),0)</f>
        <v>0</v>
      </c>
      <c r="AW51" s="10">
        <f>IFERROR(求节点(节奏总纲!V$4:V$363,AP$11:AP$370,$AR51),0)</f>
        <v>0</v>
      </c>
    </row>
    <row r="52" spans="18:49" x14ac:dyDescent="0.15">
      <c r="R52" s="10">
        <v>0.47</v>
      </c>
      <c r="S52" s="10">
        <f t="shared" si="1"/>
        <v>0.53</v>
      </c>
      <c r="T52" s="10">
        <f t="shared" si="2"/>
        <v>0.88679245283018859</v>
      </c>
      <c r="U52" s="10">
        <f t="shared" si="7"/>
        <v>1.9438709701230321</v>
      </c>
      <c r="V52" s="10">
        <f t="shared" si="3"/>
        <v>1.6797254212336732</v>
      </c>
      <c r="W52" s="10">
        <f t="shared" si="4"/>
        <v>0.91361935595782506</v>
      </c>
      <c r="X52" s="10">
        <f t="shared" si="5"/>
        <v>0.89025447325384688</v>
      </c>
      <c r="Y52" s="10">
        <f t="shared" si="6"/>
        <v>-8.6380644042174937E-2</v>
      </c>
      <c r="AK52" s="10">
        <v>42</v>
      </c>
      <c r="AL52" s="10">
        <f>MAX($AK52-积分赛!$C$7,0)*$AH$7/30</f>
        <v>142.58974719980461</v>
      </c>
      <c r="AM52" s="10">
        <f>MAX($AK52-积分赛!$C$7,0)*$AH$7/30</f>
        <v>142.58974719980461</v>
      </c>
      <c r="AN52" s="10">
        <f>MAX($AK52-积分赛!$C$7,0)*$AH$7/30</f>
        <v>142.58974719980461</v>
      </c>
      <c r="AO52" s="10">
        <f>MAX($AK52-积分赛!$C$7,0)*$AH$7/30</f>
        <v>142.58974719980461</v>
      </c>
      <c r="AP52" s="10">
        <f>MAX($AK52-积分赛!$C$7,0)*$AH$7/30</f>
        <v>142.58974719980461</v>
      </c>
      <c r="AR52" s="10">
        <v>42</v>
      </c>
      <c r="AS52" s="10">
        <f>IFERROR(求节点(节奏总纲!R$4:R$363,AL$11:AL$370,$AR52),0)</f>
        <v>0</v>
      </c>
      <c r="AT52" s="10">
        <f>IFERROR(求节点(节奏总纲!S$4:S$363,AM$11:AM$370,$AR52),0)</f>
        <v>0</v>
      </c>
      <c r="AU52" s="10">
        <f>IFERROR(求节点(节奏总纲!T$4:T$363,AN$11:AN$370,$AR52),0)</f>
        <v>0</v>
      </c>
      <c r="AV52" s="10">
        <f>IFERROR(求节点(节奏总纲!U$4:U$363,AO$11:AO$370,$AR52),0)</f>
        <v>0</v>
      </c>
      <c r="AW52" s="10">
        <f>IFERROR(求节点(节奏总纲!V$4:V$363,AP$11:AP$370,$AR52),0)</f>
        <v>0</v>
      </c>
    </row>
    <row r="53" spans="18:49" x14ac:dyDescent="0.15">
      <c r="R53" s="10">
        <v>0.48</v>
      </c>
      <c r="S53" s="10">
        <f t="shared" si="1"/>
        <v>0.52</v>
      </c>
      <c r="T53" s="10">
        <f t="shared" si="2"/>
        <v>0.92307692307692302</v>
      </c>
      <c r="U53" s="10">
        <f t="shared" si="7"/>
        <v>1.8932864386282291</v>
      </c>
      <c r="V53" s="10">
        <f t="shared" si="3"/>
        <v>1.7172412065202627</v>
      </c>
      <c r="W53" s="10">
        <f t="shared" si="4"/>
        <v>0.90877749054154988</v>
      </c>
      <c r="X53" s="10">
        <f t="shared" si="5"/>
        <v>0.89296542739053664</v>
      </c>
      <c r="Y53" s="10">
        <f t="shared" si="6"/>
        <v>-9.1222509458450118E-2</v>
      </c>
      <c r="AK53" s="10">
        <v>43</v>
      </c>
      <c r="AL53" s="10">
        <f>MAX($AK53-积分赛!$C$7,0)*$AH$7/30</f>
        <v>154.47222613312167</v>
      </c>
      <c r="AM53" s="10">
        <f>MAX($AK53-积分赛!$C$7,0)*$AH$7/30</f>
        <v>154.47222613312167</v>
      </c>
      <c r="AN53" s="10">
        <f>MAX($AK53-积分赛!$C$7,0)*$AH$7/30</f>
        <v>154.47222613312167</v>
      </c>
      <c r="AO53" s="10">
        <f>MAX($AK53-积分赛!$C$7,0)*$AH$7/30</f>
        <v>154.47222613312167</v>
      </c>
      <c r="AP53" s="10">
        <f>MAX($AK53-积分赛!$C$7,0)*$AH$7/30</f>
        <v>154.47222613312167</v>
      </c>
      <c r="AR53" s="10">
        <v>43</v>
      </c>
      <c r="AS53" s="10">
        <f>IFERROR(求节点(节奏总纲!R$4:R$363,AL$11:AL$370,$AR53),0)</f>
        <v>0</v>
      </c>
      <c r="AT53" s="10">
        <f>IFERROR(求节点(节奏总纲!S$4:S$363,AM$11:AM$370,$AR53),0)</f>
        <v>0</v>
      </c>
      <c r="AU53" s="10">
        <f>IFERROR(求节点(节奏总纲!T$4:T$363,AN$11:AN$370,$AR53),0)</f>
        <v>0</v>
      </c>
      <c r="AV53" s="10">
        <f>IFERROR(求节点(节奏总纲!U$4:U$363,AO$11:AO$370,$AR53),0)</f>
        <v>0</v>
      </c>
      <c r="AW53" s="10">
        <f>IFERROR(求节点(节奏总纲!V$4:V$363,AP$11:AP$370,$AR53),0)</f>
        <v>0</v>
      </c>
    </row>
    <row r="54" spans="18:49" x14ac:dyDescent="0.15">
      <c r="R54" s="10">
        <v>0.49</v>
      </c>
      <c r="S54" s="10">
        <f t="shared" si="1"/>
        <v>0.51</v>
      </c>
      <c r="T54" s="10">
        <f t="shared" si="2"/>
        <v>0.96078431372549011</v>
      </c>
      <c r="U54" s="10">
        <f t="shared" si="7"/>
        <v>1.8453218948942929</v>
      </c>
      <c r="V54" s="10">
        <f t="shared" si="3"/>
        <v>1.7573160815583726</v>
      </c>
      <c r="W54" s="10">
        <f t="shared" si="4"/>
        <v>0.90420772849820352</v>
      </c>
      <c r="X54" s="10">
        <f t="shared" si="5"/>
        <v>0.89623120159476999</v>
      </c>
      <c r="Y54" s="10">
        <f t="shared" si="6"/>
        <v>-9.5792271501796478E-2</v>
      </c>
      <c r="AK54" s="10">
        <v>44</v>
      </c>
      <c r="AL54" s="10">
        <f>MAX($AK54-积分赛!$C$7,0)*$AH$7/30</f>
        <v>166.3547050664387</v>
      </c>
      <c r="AM54" s="10">
        <f>MAX($AK54-积分赛!$C$7,0)*$AH$7/30</f>
        <v>166.3547050664387</v>
      </c>
      <c r="AN54" s="10">
        <f>MAX($AK54-积分赛!$C$7,0)*$AH$7/30</f>
        <v>166.3547050664387</v>
      </c>
      <c r="AO54" s="10">
        <f>MAX($AK54-积分赛!$C$7,0)*$AH$7/30</f>
        <v>166.3547050664387</v>
      </c>
      <c r="AP54" s="10">
        <f>MAX($AK54-积分赛!$C$7,0)*$AH$7/30</f>
        <v>166.3547050664387</v>
      </c>
      <c r="AR54" s="10">
        <v>44</v>
      </c>
      <c r="AS54" s="10">
        <f>IFERROR(求节点(节奏总纲!R$4:R$363,AL$11:AL$370,$AR54),0)</f>
        <v>0</v>
      </c>
      <c r="AT54" s="10">
        <f>IFERROR(求节点(节奏总纲!S$4:S$363,AM$11:AM$370,$AR54),0)</f>
        <v>0</v>
      </c>
      <c r="AU54" s="10">
        <f>IFERROR(求节点(节奏总纲!T$4:T$363,AN$11:AN$370,$AR54),0)</f>
        <v>0</v>
      </c>
      <c r="AV54" s="10">
        <f>IFERROR(求节点(节奏总纲!U$4:U$363,AO$11:AO$370,$AR54),0)</f>
        <v>0</v>
      </c>
      <c r="AW54" s="10">
        <f>IFERROR(求节点(节奏总纲!V$4:V$363,AP$11:AP$370,$AR54),0)</f>
        <v>0</v>
      </c>
    </row>
    <row r="55" spans="18:49" x14ac:dyDescent="0.15">
      <c r="R55" s="10">
        <v>0.5</v>
      </c>
      <c r="S55" s="10">
        <f t="shared" si="1"/>
        <v>0.5</v>
      </c>
      <c r="T55" s="10">
        <f t="shared" si="2"/>
        <v>1</v>
      </c>
      <c r="U55" s="10">
        <f t="shared" si="7"/>
        <v>1.8</v>
      </c>
      <c r="V55" s="10">
        <f t="shared" si="3"/>
        <v>1.8</v>
      </c>
      <c r="W55" s="10">
        <f t="shared" si="4"/>
        <v>0.9</v>
      </c>
      <c r="X55" s="10">
        <f t="shared" si="5"/>
        <v>0.9</v>
      </c>
      <c r="Y55" s="10">
        <f t="shared" si="6"/>
        <v>-9.9999999999999978E-2</v>
      </c>
      <c r="AK55" s="10">
        <v>45</v>
      </c>
      <c r="AL55" s="10">
        <f>MAX($AK55-积分赛!$C$7,0)*$AH$7/30</f>
        <v>178.23718399975576</v>
      </c>
      <c r="AM55" s="10">
        <f>MAX($AK55-积分赛!$C$7,0)*$AH$7/30</f>
        <v>178.23718399975576</v>
      </c>
      <c r="AN55" s="10">
        <f>MAX($AK55-积分赛!$C$7,0)*$AH$7/30</f>
        <v>178.23718399975576</v>
      </c>
      <c r="AO55" s="10">
        <f>MAX($AK55-积分赛!$C$7,0)*$AH$7/30</f>
        <v>178.23718399975576</v>
      </c>
      <c r="AP55" s="10">
        <f>MAX($AK55-积分赛!$C$7,0)*$AH$7/30</f>
        <v>178.23718399975576</v>
      </c>
      <c r="AR55" s="10">
        <v>45</v>
      </c>
      <c r="AS55" s="10">
        <f>IFERROR(求节点(节奏总纲!R$4:R$363,AL$11:AL$370,$AR55),0)</f>
        <v>0</v>
      </c>
      <c r="AT55" s="10">
        <f>IFERROR(求节点(节奏总纲!S$4:S$363,AM$11:AM$370,$AR55),0)</f>
        <v>0</v>
      </c>
      <c r="AU55" s="10">
        <f>IFERROR(求节点(节奏总纲!T$4:T$363,AN$11:AN$370,$AR55),0)</f>
        <v>0</v>
      </c>
      <c r="AV55" s="10">
        <f>IFERROR(求节点(节奏总纲!U$4:U$363,AO$11:AO$370,$AR55),0)</f>
        <v>0</v>
      </c>
      <c r="AW55" s="10">
        <f>IFERROR(求节点(节奏总纲!V$4:V$363,AP$11:AP$370,$AR55),0)</f>
        <v>0</v>
      </c>
    </row>
    <row r="56" spans="18:49" x14ac:dyDescent="0.15">
      <c r="R56" s="10">
        <v>0.51</v>
      </c>
      <c r="S56" s="10">
        <f t="shared" si="1"/>
        <v>0.49</v>
      </c>
      <c r="T56" s="10">
        <f t="shared" si="2"/>
        <v>1.0408163265306123</v>
      </c>
      <c r="U56" s="10">
        <f t="shared" si="7"/>
        <v>1.7573160815583726</v>
      </c>
      <c r="V56" s="10">
        <f t="shared" si="3"/>
        <v>1.8453218948942929</v>
      </c>
      <c r="W56" s="10">
        <f t="shared" si="4"/>
        <v>0.89623120159476999</v>
      </c>
      <c r="X56" s="10">
        <f t="shared" si="5"/>
        <v>0.90420772849820352</v>
      </c>
      <c r="Y56" s="10">
        <f t="shared" si="6"/>
        <v>-9.5792271501796478E-2</v>
      </c>
      <c r="AK56" s="10">
        <v>46</v>
      </c>
      <c r="AL56" s="10">
        <f>MAX($AK56-积分赛!$C$7,0)*$AH$7/30</f>
        <v>190.11966293307282</v>
      </c>
      <c r="AM56" s="10">
        <f>MAX($AK56-积分赛!$C$7,0)*$AH$7/30</f>
        <v>190.11966293307282</v>
      </c>
      <c r="AN56" s="10">
        <f>MAX($AK56-积分赛!$C$7,0)*$AH$7/30</f>
        <v>190.11966293307282</v>
      </c>
      <c r="AO56" s="10">
        <f>MAX($AK56-积分赛!$C$7,0)*$AH$7/30</f>
        <v>190.11966293307282</v>
      </c>
      <c r="AP56" s="10">
        <f>MAX($AK56-积分赛!$C$7,0)*$AH$7/30</f>
        <v>190.11966293307282</v>
      </c>
      <c r="AR56" s="10">
        <v>46</v>
      </c>
      <c r="AS56" s="10">
        <f>IFERROR(求节点(节奏总纲!R$4:R$363,AL$11:AL$370,$AR56),0)</f>
        <v>0</v>
      </c>
      <c r="AT56" s="10">
        <f>IFERROR(求节点(节奏总纲!S$4:S$363,AM$11:AM$370,$AR56),0)</f>
        <v>0</v>
      </c>
      <c r="AU56" s="10">
        <f>IFERROR(求节点(节奏总纲!T$4:T$363,AN$11:AN$370,$AR56),0)</f>
        <v>0</v>
      </c>
      <c r="AV56" s="10">
        <f>IFERROR(求节点(节奏总纲!U$4:U$363,AO$11:AO$370,$AR56),0)</f>
        <v>0</v>
      </c>
      <c r="AW56" s="10">
        <f>IFERROR(求节点(节奏总纲!V$4:V$363,AP$11:AP$370,$AR56),0)</f>
        <v>0</v>
      </c>
    </row>
    <row r="57" spans="18:49" x14ac:dyDescent="0.15">
      <c r="R57" s="10">
        <v>0.52</v>
      </c>
      <c r="S57" s="10">
        <f t="shared" si="1"/>
        <v>0.48</v>
      </c>
      <c r="T57" s="10">
        <f t="shared" si="2"/>
        <v>1.0833333333333335</v>
      </c>
      <c r="U57" s="10">
        <f t="shared" si="7"/>
        <v>1.7172412065202627</v>
      </c>
      <c r="V57" s="10">
        <f t="shared" si="3"/>
        <v>1.8932864386282291</v>
      </c>
      <c r="W57" s="10">
        <f t="shared" si="4"/>
        <v>0.89296542739053664</v>
      </c>
      <c r="X57" s="10">
        <f t="shared" si="5"/>
        <v>0.90877749054154988</v>
      </c>
      <c r="Y57" s="10">
        <f t="shared" si="6"/>
        <v>-9.1222509458450118E-2</v>
      </c>
      <c r="AK57" s="10">
        <v>47</v>
      </c>
      <c r="AL57" s="10">
        <f>MAX($AK57-积分赛!$C$7,0)*$AH$7/30</f>
        <v>202.00214186638988</v>
      </c>
      <c r="AM57" s="10">
        <f>MAX($AK57-积分赛!$C$7,0)*$AH$7/30</f>
        <v>202.00214186638988</v>
      </c>
      <c r="AN57" s="10">
        <f>MAX($AK57-积分赛!$C$7,0)*$AH$7/30</f>
        <v>202.00214186638988</v>
      </c>
      <c r="AO57" s="10">
        <f>MAX($AK57-积分赛!$C$7,0)*$AH$7/30</f>
        <v>202.00214186638988</v>
      </c>
      <c r="AP57" s="10">
        <f>MAX($AK57-积分赛!$C$7,0)*$AH$7/30</f>
        <v>202.00214186638988</v>
      </c>
      <c r="AR57" s="10">
        <v>47</v>
      </c>
      <c r="AS57" s="10">
        <f>IFERROR(求节点(节奏总纲!R$4:R$363,AL$11:AL$370,$AR57),0)</f>
        <v>0</v>
      </c>
      <c r="AT57" s="10">
        <f>IFERROR(求节点(节奏总纲!S$4:S$363,AM$11:AM$370,$AR57),0)</f>
        <v>0</v>
      </c>
      <c r="AU57" s="10">
        <f>IFERROR(求节点(节奏总纲!T$4:T$363,AN$11:AN$370,$AR57),0)</f>
        <v>0</v>
      </c>
      <c r="AV57" s="10">
        <f>IFERROR(求节点(节奏总纲!U$4:U$363,AO$11:AO$370,$AR57),0)</f>
        <v>0</v>
      </c>
      <c r="AW57" s="10">
        <f>IFERROR(求节点(节奏总纲!V$4:V$363,AP$11:AP$370,$AR57),0)</f>
        <v>0</v>
      </c>
    </row>
    <row r="58" spans="18:49" x14ac:dyDescent="0.15">
      <c r="R58" s="10">
        <v>0.53</v>
      </c>
      <c r="S58" s="10">
        <f t="shared" si="1"/>
        <v>0.47</v>
      </c>
      <c r="T58" s="10">
        <f t="shared" si="2"/>
        <v>1.1276595744680853</v>
      </c>
      <c r="U58" s="10">
        <f t="shared" si="7"/>
        <v>1.6797254212336732</v>
      </c>
      <c r="V58" s="10">
        <f t="shared" si="3"/>
        <v>1.9438709701230321</v>
      </c>
      <c r="W58" s="10">
        <f t="shared" si="4"/>
        <v>0.89025447325384688</v>
      </c>
      <c r="X58" s="10">
        <f t="shared" si="5"/>
        <v>0.91361935595782506</v>
      </c>
      <c r="Y58" s="10">
        <f t="shared" si="6"/>
        <v>-8.6380644042174937E-2</v>
      </c>
      <c r="AK58" s="10">
        <v>48</v>
      </c>
      <c r="AL58" s="10">
        <f>MAX($AK58-积分赛!$C$7,0)*$AH$7/30</f>
        <v>213.88462079970694</v>
      </c>
      <c r="AM58" s="10">
        <f>MAX($AK58-积分赛!$C$7,0)*$AH$7/30</f>
        <v>213.88462079970694</v>
      </c>
      <c r="AN58" s="10">
        <f>MAX($AK58-积分赛!$C$7,0)*$AH$7/30</f>
        <v>213.88462079970694</v>
      </c>
      <c r="AO58" s="10">
        <f>MAX($AK58-积分赛!$C$7,0)*$AH$7/30</f>
        <v>213.88462079970694</v>
      </c>
      <c r="AP58" s="10">
        <f>MAX($AK58-积分赛!$C$7,0)*$AH$7/30</f>
        <v>213.88462079970694</v>
      </c>
      <c r="AR58" s="10">
        <v>48</v>
      </c>
      <c r="AS58" s="10">
        <f>IFERROR(求节点(节奏总纲!R$4:R$363,AL$11:AL$370,$AR58),0)</f>
        <v>0</v>
      </c>
      <c r="AT58" s="10">
        <f>IFERROR(求节点(节奏总纲!S$4:S$363,AM$11:AM$370,$AR58),0)</f>
        <v>0</v>
      </c>
      <c r="AU58" s="10">
        <f>IFERROR(求节点(节奏总纲!T$4:T$363,AN$11:AN$370,$AR58),0)</f>
        <v>0</v>
      </c>
      <c r="AV58" s="10">
        <f>IFERROR(求节点(节奏总纲!U$4:U$363,AO$11:AO$370,$AR58),0)</f>
        <v>0</v>
      </c>
      <c r="AW58" s="10">
        <f>IFERROR(求节点(节奏总纲!V$4:V$363,AP$11:AP$370,$AR58),0)</f>
        <v>0</v>
      </c>
    </row>
    <row r="59" spans="18:49" x14ac:dyDescent="0.15">
      <c r="R59" s="10">
        <v>0.54</v>
      </c>
      <c r="S59" s="10">
        <f t="shared" si="1"/>
        <v>0.45999999999999996</v>
      </c>
      <c r="T59" s="10">
        <f t="shared" si="2"/>
        <v>1.173913043478261</v>
      </c>
      <c r="U59" s="10">
        <f t="shared" si="7"/>
        <v>1.6447010287148833</v>
      </c>
      <c r="V59" s="10">
        <f t="shared" si="3"/>
        <v>1.9970227373199876</v>
      </c>
      <c r="W59" s="10">
        <f t="shared" si="4"/>
        <v>0.88813855550603704</v>
      </c>
      <c r="X59" s="10">
        <f t="shared" si="5"/>
        <v>0.91863045916719421</v>
      </c>
      <c r="Y59" s="10">
        <f t="shared" si="6"/>
        <v>-8.1369540832805787E-2</v>
      </c>
      <c r="AK59" s="10">
        <v>49</v>
      </c>
      <c r="AL59" s="10">
        <f>MAX($AK59-积分赛!$C$7,0)*$AH$7/30</f>
        <v>225.76709973302394</v>
      </c>
      <c r="AM59" s="10">
        <f>MAX($AK59-积分赛!$C$7,0)*$AH$7/30</f>
        <v>225.76709973302394</v>
      </c>
      <c r="AN59" s="10">
        <f>MAX($AK59-积分赛!$C$7,0)*$AH$7/30</f>
        <v>225.76709973302394</v>
      </c>
      <c r="AO59" s="10">
        <f>MAX($AK59-积分赛!$C$7,0)*$AH$7/30</f>
        <v>225.76709973302394</v>
      </c>
      <c r="AP59" s="10">
        <f>MAX($AK59-积分赛!$C$7,0)*$AH$7/30</f>
        <v>225.76709973302394</v>
      </c>
      <c r="AR59" s="10">
        <v>49</v>
      </c>
      <c r="AS59" s="10">
        <f>IFERROR(求节点(节奏总纲!R$4:R$363,AL$11:AL$370,$AR59),0)</f>
        <v>0</v>
      </c>
      <c r="AT59" s="10">
        <f>IFERROR(求节点(节奏总纲!S$4:S$363,AM$11:AM$370,$AR59),0)</f>
        <v>0</v>
      </c>
      <c r="AU59" s="10">
        <f>IFERROR(求节点(节奏总纲!T$4:T$363,AN$11:AN$370,$AR59),0)</f>
        <v>0</v>
      </c>
      <c r="AV59" s="10">
        <f>IFERROR(求节点(节奏总纲!U$4:U$363,AO$11:AO$370,$AR59),0)</f>
        <v>0</v>
      </c>
      <c r="AW59" s="10">
        <f>IFERROR(求节点(节奏总纲!V$4:V$363,AP$11:AP$370,$AR59),0)</f>
        <v>0</v>
      </c>
    </row>
    <row r="60" spans="18:49" x14ac:dyDescent="0.15">
      <c r="R60" s="10">
        <v>0.55000000000000004</v>
      </c>
      <c r="S60" s="10">
        <f t="shared" si="1"/>
        <v>0.44999999999999996</v>
      </c>
      <c r="T60" s="10">
        <f t="shared" si="2"/>
        <v>1.2222222222222225</v>
      </c>
      <c r="U60" s="10">
        <f t="shared" si="7"/>
        <v>1.6120857945866343</v>
      </c>
      <c r="V60" s="10">
        <f t="shared" si="3"/>
        <v>2.0526566150365904</v>
      </c>
      <c r="W60" s="10">
        <f t="shared" si="4"/>
        <v>0.88664718702264889</v>
      </c>
      <c r="X60" s="10">
        <f t="shared" si="5"/>
        <v>0.92369547676646557</v>
      </c>
      <c r="Y60" s="10">
        <f t="shared" si="6"/>
        <v>-7.6304523233534427E-2</v>
      </c>
      <c r="AK60" s="10">
        <v>50</v>
      </c>
      <c r="AL60" s="10">
        <f>MAX($AK60-积分赛!$C$7,0)*$AH$7/30</f>
        <v>237.649578666341</v>
      </c>
      <c r="AM60" s="10">
        <f>MAX($AK60-积分赛!$C$7,0)*$AH$7/30</f>
        <v>237.649578666341</v>
      </c>
      <c r="AN60" s="10">
        <f>MAX($AK60-积分赛!$C$7,0)*$AH$7/30</f>
        <v>237.649578666341</v>
      </c>
      <c r="AO60" s="10">
        <f>MAX($AK60-积分赛!$C$7,0)*$AH$7/30</f>
        <v>237.649578666341</v>
      </c>
      <c r="AP60" s="10">
        <f>MAX($AK60-积分赛!$C$7,0)*$AH$7/30</f>
        <v>237.649578666341</v>
      </c>
      <c r="AR60" s="10">
        <v>50</v>
      </c>
      <c r="AS60" s="10">
        <f>IFERROR(求节点(节奏总纲!R$4:R$363,AL$11:AL$370,$AR60),0)</f>
        <v>11.882478933317051</v>
      </c>
      <c r="AT60" s="10">
        <f>IFERROR(求节点(节奏总纲!S$4:S$363,AM$11:AM$370,$AR60),0)</f>
        <v>0</v>
      </c>
      <c r="AU60" s="10">
        <f>IFERROR(求节点(节奏总纲!T$4:T$363,AN$11:AN$370,$AR60),0)</f>
        <v>0</v>
      </c>
      <c r="AV60" s="10">
        <f>IFERROR(求节点(节奏总纲!U$4:U$363,AO$11:AO$370,$AR60),0)</f>
        <v>0</v>
      </c>
      <c r="AW60" s="10">
        <f>IFERROR(求节点(节奏总纲!V$4:V$363,AP$11:AP$370,$AR60),0)</f>
        <v>0</v>
      </c>
    </row>
    <row r="61" spans="18:49" x14ac:dyDescent="0.15">
      <c r="R61" s="10">
        <v>0.56000000000000005</v>
      </c>
      <c r="S61" s="10">
        <f t="shared" si="1"/>
        <v>0.43999999999999995</v>
      </c>
      <c r="T61" s="10">
        <f t="shared" si="2"/>
        <v>1.2727272727272729</v>
      </c>
      <c r="U61" s="10">
        <f t="shared" si="7"/>
        <v>1.581785995991366</v>
      </c>
      <c r="V61" s="10">
        <f t="shared" si="3"/>
        <v>2.1106534618870727</v>
      </c>
      <c r="W61" s="10">
        <f t="shared" si="4"/>
        <v>0.88580015775516507</v>
      </c>
      <c r="X61" s="10">
        <f t="shared" si="5"/>
        <v>0.9286875232303119</v>
      </c>
      <c r="Y61" s="10">
        <f t="shared" si="6"/>
        <v>-7.1312476769688105E-2</v>
      </c>
      <c r="AK61" s="10">
        <v>51</v>
      </c>
      <c r="AL61" s="10">
        <f>MAX($AK61-积分赛!$C$7,0)*$AH$7/30</f>
        <v>249.53205759965806</v>
      </c>
      <c r="AM61" s="10">
        <f>MAX($AK61-积分赛!$C$7,0)*$AH$7/30</f>
        <v>249.53205759965806</v>
      </c>
      <c r="AN61" s="10">
        <f>MAX($AK61-积分赛!$C$7,0)*$AH$7/30</f>
        <v>249.53205759965806</v>
      </c>
      <c r="AO61" s="10">
        <f>MAX($AK61-积分赛!$C$7,0)*$AH$7/30</f>
        <v>249.53205759965806</v>
      </c>
      <c r="AP61" s="10">
        <f>MAX($AK61-积分赛!$C$7,0)*$AH$7/30</f>
        <v>249.53205759965806</v>
      </c>
      <c r="AR61" s="10">
        <v>51</v>
      </c>
      <c r="AS61" s="10">
        <f>IFERROR(求节点(节奏总纲!R$4:R$363,AL$11:AL$370,$AR61),0)</f>
        <v>39.347840591228774</v>
      </c>
      <c r="AT61" s="10">
        <f>IFERROR(求节点(节奏总纲!S$4:S$363,AM$11:AM$370,$AR61),0)</f>
        <v>0</v>
      </c>
      <c r="AU61" s="10">
        <f>IFERROR(求节点(节奏总纲!T$4:T$363,AN$11:AN$370,$AR61),0)</f>
        <v>0</v>
      </c>
      <c r="AV61" s="10">
        <f>IFERROR(求节点(节奏总纲!U$4:U$363,AO$11:AO$370,$AR61),0)</f>
        <v>0</v>
      </c>
      <c r="AW61" s="10">
        <f>IFERROR(求节点(节奏总纲!V$4:V$363,AP$11:AP$370,$AR61),0)</f>
        <v>0</v>
      </c>
    </row>
    <row r="62" spans="18:49" x14ac:dyDescent="0.15">
      <c r="R62" s="10">
        <v>0.56999999999999995</v>
      </c>
      <c r="S62" s="10">
        <f t="shared" si="1"/>
        <v>0.43000000000000005</v>
      </c>
      <c r="T62" s="10">
        <f t="shared" si="2"/>
        <v>1.3255813953488369</v>
      </c>
      <c r="U62" s="10">
        <f t="shared" si="7"/>
        <v>1.553699250245498</v>
      </c>
      <c r="V62" s="10">
        <f t="shared" si="3"/>
        <v>2.1708592728903788</v>
      </c>
      <c r="W62" s="10">
        <f t="shared" si="4"/>
        <v>0.88560857263993376</v>
      </c>
      <c r="X62" s="10">
        <f t="shared" si="5"/>
        <v>0.93346948734286306</v>
      </c>
      <c r="Y62" s="10">
        <f t="shared" si="6"/>
        <v>-6.6530512657136942E-2</v>
      </c>
      <c r="AK62" s="10">
        <v>52</v>
      </c>
      <c r="AL62" s="10">
        <f>MAX($AK62-积分赛!$C$7,0)*$AH$7/30</f>
        <v>261.41453653297509</v>
      </c>
      <c r="AM62" s="10">
        <f>MAX($AK62-积分赛!$C$7,0)*$AH$7/30</f>
        <v>261.41453653297509</v>
      </c>
      <c r="AN62" s="10">
        <f>MAX($AK62-积分赛!$C$7,0)*$AH$7/30</f>
        <v>261.41453653297509</v>
      </c>
      <c r="AO62" s="10">
        <f>MAX($AK62-积分赛!$C$7,0)*$AH$7/30</f>
        <v>261.41453653297509</v>
      </c>
      <c r="AP62" s="10">
        <f>MAX($AK62-积分赛!$C$7,0)*$AH$7/30</f>
        <v>261.41453653297509</v>
      </c>
      <c r="AR62" s="10">
        <v>52</v>
      </c>
      <c r="AS62" s="10">
        <f>IFERROR(求节点(节奏总纲!R$4:R$363,AL$11:AL$370,$AR62),0)</f>
        <v>68.57166339099372</v>
      </c>
      <c r="AT62" s="10">
        <f>IFERROR(求节点(节奏总纲!S$4:S$363,AM$11:AM$370,$AR62),0)</f>
        <v>12.926073006577642</v>
      </c>
      <c r="AU62" s="10">
        <f>IFERROR(求节点(节奏总纲!T$4:T$363,AN$11:AN$370,$AR62),0)</f>
        <v>0</v>
      </c>
      <c r="AV62" s="10">
        <f>IFERROR(求节点(节奏总纲!U$4:U$363,AO$11:AO$370,$AR62),0)</f>
        <v>0</v>
      </c>
      <c r="AW62" s="10">
        <f>IFERROR(求节点(节奏总纲!V$4:V$363,AP$11:AP$370,$AR62),0)</f>
        <v>0</v>
      </c>
    </row>
    <row r="63" spans="18:49" x14ac:dyDescent="0.15">
      <c r="R63" s="10">
        <v>0.57999999999999996</v>
      </c>
      <c r="S63" s="10">
        <f t="shared" si="1"/>
        <v>0.42000000000000004</v>
      </c>
      <c r="T63" s="10">
        <f t="shared" si="2"/>
        <v>1.3809523809523807</v>
      </c>
      <c r="U63" s="10">
        <f t="shared" si="7"/>
        <v>1.5277170807750158</v>
      </c>
      <c r="V63" s="10">
        <f t="shared" si="3"/>
        <v>2.2330852649837638</v>
      </c>
      <c r="W63" s="10">
        <f t="shared" si="4"/>
        <v>0.8860759068495091</v>
      </c>
      <c r="X63" s="10">
        <f t="shared" si="5"/>
        <v>0.93789581129318089</v>
      </c>
      <c r="Y63" s="10">
        <f t="shared" si="6"/>
        <v>-6.2104188706819108E-2</v>
      </c>
      <c r="AK63" s="10">
        <v>53</v>
      </c>
      <c r="AL63" s="10">
        <f>MAX($AK63-积分赛!$C$7,0)*$AH$7/30</f>
        <v>273.29701546629218</v>
      </c>
      <c r="AM63" s="10">
        <f>MAX($AK63-积分赛!$C$7,0)*$AH$7/30</f>
        <v>273.29701546629218</v>
      </c>
      <c r="AN63" s="10">
        <f>MAX($AK63-积分赛!$C$7,0)*$AH$7/30</f>
        <v>273.29701546629218</v>
      </c>
      <c r="AO63" s="10">
        <f>MAX($AK63-积分赛!$C$7,0)*$AH$7/30</f>
        <v>273.29701546629218</v>
      </c>
      <c r="AP63" s="10">
        <f>MAX($AK63-积分赛!$C$7,0)*$AH$7/30</f>
        <v>273.29701546629218</v>
      </c>
      <c r="AR63" s="10">
        <v>53</v>
      </c>
      <c r="AS63" s="10">
        <f>IFERROR(求节点(节奏总纲!R$4:R$363,AL$11:AL$370,$AR63),0)</f>
        <v>99.971122793845538</v>
      </c>
      <c r="AT63" s="10">
        <f>IFERROR(求节点(节奏总纲!S$4:S$363,AM$11:AM$370,$AR63),0)</f>
        <v>40.941618337480008</v>
      </c>
      <c r="AU63" s="10">
        <f>IFERROR(求节点(节奏总纲!T$4:T$363,AN$11:AN$370,$AR63),0)</f>
        <v>0</v>
      </c>
      <c r="AV63" s="10">
        <f>IFERROR(求节点(节奏总纲!U$4:U$363,AO$11:AO$370,$AR63),0)</f>
        <v>0</v>
      </c>
      <c r="AW63" s="10">
        <f>IFERROR(求节点(节奏总纲!V$4:V$363,AP$11:AP$370,$AR63),0)</f>
        <v>0</v>
      </c>
    </row>
    <row r="64" spans="18:49" x14ac:dyDescent="0.15">
      <c r="R64" s="10">
        <v>0.59</v>
      </c>
      <c r="S64" s="10">
        <f t="shared" si="1"/>
        <v>0.41000000000000003</v>
      </c>
      <c r="T64" s="10">
        <f t="shared" si="2"/>
        <v>1.4390243902439022</v>
      </c>
      <c r="U64" s="10">
        <f t="shared" si="7"/>
        <v>1.5037271961229963</v>
      </c>
      <c r="V64" s="10">
        <f t="shared" si="3"/>
        <v>2.2971090002416816</v>
      </c>
      <c r="W64" s="10">
        <f t="shared" si="4"/>
        <v>0.8871990457125678</v>
      </c>
      <c r="X64" s="10">
        <f t="shared" si="5"/>
        <v>0.94181469009908958</v>
      </c>
      <c r="Y64" s="10">
        <f t="shared" si="6"/>
        <v>-5.818530990091042E-2</v>
      </c>
      <c r="AK64" s="10">
        <v>54</v>
      </c>
      <c r="AL64" s="10">
        <f>MAX($AK64-积分赛!$C$7,0)*$AH$7/30</f>
        <v>285.17949439960921</v>
      </c>
      <c r="AM64" s="10">
        <f>MAX($AK64-积分赛!$C$7,0)*$AH$7/30</f>
        <v>285.17949439960921</v>
      </c>
      <c r="AN64" s="10">
        <f>MAX($AK64-积分赛!$C$7,0)*$AH$7/30</f>
        <v>285.17949439960921</v>
      </c>
      <c r="AO64" s="10">
        <f>MAX($AK64-积分赛!$C$7,0)*$AH$7/30</f>
        <v>285.17949439960921</v>
      </c>
      <c r="AP64" s="10">
        <f>MAX($AK64-积分赛!$C$7,0)*$AH$7/30</f>
        <v>285.17949439960921</v>
      </c>
      <c r="AR64" s="10">
        <v>54</v>
      </c>
      <c r="AS64" s="10">
        <f>IFERROR(求节点(节奏总纲!R$4:R$363,AL$11:AL$370,$AR64),0)</f>
        <v>133.51796571020134</v>
      </c>
      <c r="AT64" s="10">
        <f>IFERROR(求节点(节奏总纲!S$4:S$363,AM$11:AM$370,$AR64),0)</f>
        <v>70.686648035555351</v>
      </c>
      <c r="AU64" s="10">
        <f>IFERROR(求节点(节奏总纲!T$4:T$363,AN$11:AN$370,$AR64),0)</f>
        <v>0</v>
      </c>
      <c r="AV64" s="10">
        <f>IFERROR(求节点(节奏总纲!U$4:U$363,AO$11:AO$370,$AR64),0)</f>
        <v>0</v>
      </c>
      <c r="AW64" s="10">
        <f>IFERROR(求节点(节奏总纲!V$4:V$363,AP$11:AP$370,$AR64),0)</f>
        <v>0</v>
      </c>
    </row>
    <row r="65" spans="18:49" x14ac:dyDescent="0.15">
      <c r="R65" s="10">
        <v>0.6</v>
      </c>
      <c r="S65" s="10">
        <f t="shared" si="1"/>
        <v>0.4</v>
      </c>
      <c r="T65" s="10">
        <f t="shared" si="2"/>
        <v>1.4999999999999998</v>
      </c>
      <c r="U65" s="10">
        <f t="shared" si="7"/>
        <v>1.4816154731024678</v>
      </c>
      <c r="V65" s="10">
        <f t="shared" si="3"/>
        <v>2.3626766067771463</v>
      </c>
      <c r="W65" s="10">
        <f t="shared" si="4"/>
        <v>0.88896928386148066</v>
      </c>
      <c r="X65" s="10">
        <f t="shared" si="5"/>
        <v>0.94507064271085861</v>
      </c>
      <c r="Y65" s="10">
        <f t="shared" si="6"/>
        <v>-5.4929357289141389E-2</v>
      </c>
      <c r="AK65" s="10">
        <v>55</v>
      </c>
      <c r="AL65" s="10">
        <f>MAX($AK65-积分赛!$C$7,0)*$AH$7/30</f>
        <v>297.06197333292624</v>
      </c>
      <c r="AM65" s="10">
        <f>MAX($AK65-积分赛!$C$7,0)*$AH$7/30</f>
        <v>297.06197333292624</v>
      </c>
      <c r="AN65" s="10">
        <f>MAX($AK65-积分赛!$C$7,0)*$AH$7/30</f>
        <v>297.06197333292624</v>
      </c>
      <c r="AO65" s="10">
        <f>MAX($AK65-积分赛!$C$7,0)*$AH$7/30</f>
        <v>297.06197333292624</v>
      </c>
      <c r="AP65" s="10">
        <f>MAX($AK65-积分赛!$C$7,0)*$AH$7/30</f>
        <v>297.06197333292624</v>
      </c>
      <c r="AR65" s="10">
        <v>55</v>
      </c>
      <c r="AS65" s="10">
        <f>IFERROR(求节点(节奏总纲!R$4:R$363,AL$11:AL$370,$AR65),0)</f>
        <v>169.5418058877415</v>
      </c>
      <c r="AT65" s="10">
        <f>IFERROR(求节点(节奏总纲!S$4:S$363,AM$11:AM$370,$AR65),0)</f>
        <v>101.56396015172407</v>
      </c>
      <c r="AU65" s="10">
        <f>IFERROR(求节点(节奏总纲!T$4:T$363,AN$11:AN$370,$AR65),0)</f>
        <v>19.710278963492321</v>
      </c>
      <c r="AV65" s="10">
        <f>IFERROR(求节点(节奏总纲!U$4:U$363,AO$11:AO$370,$AR65),0)</f>
        <v>0</v>
      </c>
      <c r="AW65" s="10">
        <f>IFERROR(求节点(节奏总纲!V$4:V$363,AP$11:AP$370,$AR65),0)</f>
        <v>0</v>
      </c>
    </row>
    <row r="66" spans="18:49" x14ac:dyDescent="0.15">
      <c r="R66" s="10">
        <v>0.61</v>
      </c>
      <c r="S66" s="10">
        <f t="shared" si="1"/>
        <v>0.39</v>
      </c>
      <c r="T66" s="10">
        <f t="shared" si="2"/>
        <v>1.5641025641025641</v>
      </c>
      <c r="U66" s="10">
        <f t="shared" si="7"/>
        <v>1.4612676473606121</v>
      </c>
      <c r="V66" s="10">
        <f t="shared" si="3"/>
        <v>2.4295061021694413</v>
      </c>
      <c r="W66" s="10">
        <f t="shared" si="4"/>
        <v>0.89137326488997337</v>
      </c>
      <c r="X66" s="10">
        <f t="shared" si="5"/>
        <v>0.94750737984608213</v>
      </c>
      <c r="Y66" s="10">
        <f t="shared" si="6"/>
        <v>-5.2492620153917868E-2</v>
      </c>
      <c r="AK66" s="10">
        <v>56</v>
      </c>
      <c r="AL66" s="10">
        <f>MAX($AK66-积分赛!$C$7,0)*$AH$7/30</f>
        <v>308.94445226624333</v>
      </c>
      <c r="AM66" s="10">
        <f>MAX($AK66-积分赛!$C$7,0)*$AH$7/30</f>
        <v>308.94445226624333</v>
      </c>
      <c r="AN66" s="10">
        <f>MAX($AK66-积分赛!$C$7,0)*$AH$7/30</f>
        <v>308.94445226624333</v>
      </c>
      <c r="AO66" s="10">
        <f>MAX($AK66-积分赛!$C$7,0)*$AH$7/30</f>
        <v>308.94445226624333</v>
      </c>
      <c r="AP66" s="10">
        <f>MAX($AK66-积分赛!$C$7,0)*$AH$7/30</f>
        <v>308.94445226624333</v>
      </c>
      <c r="AR66" s="10">
        <v>56</v>
      </c>
      <c r="AS66" s="10">
        <f>IFERROR(求节点(节奏总纲!R$4:R$363,AL$11:AL$370,$AR66),0)</f>
        <v>208.18397494403806</v>
      </c>
      <c r="AT66" s="10">
        <f>IFERROR(求节点(节奏总纲!S$4:S$363,AM$11:AM$370,$AR66),0)</f>
        <v>134.22402035096468</v>
      </c>
      <c r="AU66" s="10">
        <f>IFERROR(求节点(节奏总纲!T$4:T$363,AN$11:AN$370,$AR66),0)</f>
        <v>46.294559611391321</v>
      </c>
      <c r="AV66" s="10">
        <f>IFERROR(求节点(节奏总纲!U$4:U$363,AO$11:AO$370,$AR66),0)</f>
        <v>0</v>
      </c>
      <c r="AW66" s="10">
        <f>IFERROR(求节点(节奏总纲!V$4:V$363,AP$11:AP$370,$AR66),0)</f>
        <v>0</v>
      </c>
    </row>
    <row r="67" spans="18:49" x14ac:dyDescent="0.15">
      <c r="R67" s="10">
        <v>0.62</v>
      </c>
      <c r="S67" s="10">
        <f t="shared" si="1"/>
        <v>0.38</v>
      </c>
      <c r="T67" s="10">
        <f t="shared" si="2"/>
        <v>1.631578947368421</v>
      </c>
      <c r="U67" s="10">
        <f t="shared" si="7"/>
        <v>1.4425707238386527</v>
      </c>
      <c r="V67" s="10">
        <f t="shared" si="3"/>
        <v>2.4972917623988211</v>
      </c>
      <c r="W67" s="10">
        <f t="shared" si="4"/>
        <v>0.89439384877996464</v>
      </c>
      <c r="X67" s="10">
        <f t="shared" si="5"/>
        <v>0.94897086971155198</v>
      </c>
      <c r="Y67" s="10">
        <f t="shared" si="6"/>
        <v>-5.1029130288448021E-2</v>
      </c>
      <c r="AK67" s="10">
        <v>57</v>
      </c>
      <c r="AL67" s="10">
        <f>MAX($AK67-积分赛!$C$7,0)*$AH$7/30</f>
        <v>320.82693119956036</v>
      </c>
      <c r="AM67" s="10">
        <f>MAX($AK67-积分赛!$C$7,0)*$AH$7/30</f>
        <v>320.82693119956036</v>
      </c>
      <c r="AN67" s="10">
        <f>MAX($AK67-积分赛!$C$7,0)*$AH$7/30</f>
        <v>320.82693119956036</v>
      </c>
      <c r="AO67" s="10">
        <f>MAX($AK67-积分赛!$C$7,0)*$AH$7/30</f>
        <v>320.82693119956036</v>
      </c>
      <c r="AP67" s="10">
        <f>MAX($AK67-积分赛!$C$7,0)*$AH$7/30</f>
        <v>320.82693119956036</v>
      </c>
      <c r="AR67" s="10">
        <v>57</v>
      </c>
      <c r="AS67" s="10">
        <f>IFERROR(求节点(节奏总纲!R$4:R$363,AL$11:AL$370,$AR67),0)</f>
        <v>249.35618338236964</v>
      </c>
      <c r="AT67" s="10">
        <f>IFERROR(求节点(节奏总纲!S$4:S$363,AM$11:AM$370,$AR67),0)</f>
        <v>170.13711154841511</v>
      </c>
      <c r="AU67" s="10">
        <f>IFERROR(求节点(节奏总纲!T$4:T$363,AN$11:AN$370,$AR67),0)</f>
        <v>75.225903851471173</v>
      </c>
      <c r="AV67" s="10">
        <f>IFERROR(求节点(节奏总纲!U$4:U$363,AO$11:AO$370,$AR67),0)</f>
        <v>0</v>
      </c>
      <c r="AW67" s="10">
        <f>IFERROR(求节点(节奏总纲!V$4:V$363,AP$11:AP$370,$AR67),0)</f>
        <v>0</v>
      </c>
    </row>
    <row r="68" spans="18:49" x14ac:dyDescent="0.15">
      <c r="R68" s="10">
        <v>0.63</v>
      </c>
      <c r="S68" s="10">
        <f t="shared" si="1"/>
        <v>0.37</v>
      </c>
      <c r="T68" s="10">
        <f t="shared" si="2"/>
        <v>1.7027027027027026</v>
      </c>
      <c r="U68" s="10">
        <f t="shared" si="7"/>
        <v>1.4254141261313649</v>
      </c>
      <c r="V68" s="10">
        <f t="shared" si="3"/>
        <v>2.5657094155134965</v>
      </c>
      <c r="W68" s="10">
        <f t="shared" si="4"/>
        <v>0.89801089946275992</v>
      </c>
      <c r="X68" s="10">
        <f t="shared" si="5"/>
        <v>0.94931248373999366</v>
      </c>
      <c r="Y68" s="10">
        <f t="shared" si="6"/>
        <v>-5.0687516260006338E-2</v>
      </c>
      <c r="AK68" s="10">
        <v>58</v>
      </c>
      <c r="AL68" s="10">
        <f>MAX($AK68-积分赛!$C$7,0)*$AH$7/30</f>
        <v>332.70941013287739</v>
      </c>
      <c r="AM68" s="10">
        <f>MAX($AK68-积分赛!$C$7,0)*$AH$7/30</f>
        <v>332.70941013287739</v>
      </c>
      <c r="AN68" s="10">
        <f>MAX($AK68-积分赛!$C$7,0)*$AH$7/30</f>
        <v>332.70941013287739</v>
      </c>
      <c r="AO68" s="10">
        <f>MAX($AK68-积分赛!$C$7,0)*$AH$7/30</f>
        <v>332.70941013287739</v>
      </c>
      <c r="AP68" s="10">
        <f>MAX($AK68-积分赛!$C$7,0)*$AH$7/30</f>
        <v>332.70941013287739</v>
      </c>
      <c r="AR68" s="10">
        <v>58</v>
      </c>
      <c r="AS68" s="10">
        <f>IFERROR(求节点(节奏总纲!R$4:R$363,AL$11:AL$370,$AR68),0)</f>
        <v>293.84349232656717</v>
      </c>
      <c r="AT68" s="10">
        <f>IFERROR(求节点(节奏总纲!S$4:S$363,AM$11:AM$370,$AR68),0)</f>
        <v>207.76365731401071</v>
      </c>
      <c r="AU68" s="10">
        <f>IFERROR(求节点(节奏总纲!T$4:T$363,AN$11:AN$370,$AR68),0)</f>
        <v>105.98714290505873</v>
      </c>
      <c r="AV68" s="10">
        <f>IFERROR(求节点(节奏总纲!U$4:U$363,AO$11:AO$370,$AR68),0)</f>
        <v>0</v>
      </c>
      <c r="AW68" s="10">
        <f>IFERROR(求节点(节奏总纲!V$4:V$363,AP$11:AP$370,$AR68),0)</f>
        <v>0</v>
      </c>
    </row>
    <row r="69" spans="18:49" x14ac:dyDescent="0.15">
      <c r="R69" s="10">
        <v>0.64</v>
      </c>
      <c r="S69" s="10">
        <f t="shared" si="1"/>
        <v>0.36</v>
      </c>
      <c r="T69" s="10">
        <f t="shared" si="2"/>
        <v>1.7777777777777779</v>
      </c>
      <c r="U69" s="10">
        <f t="shared" ref="U69:U105" si="8">M$10+(M$11-M$10)/(1+M$13*EXP((0.5-(1-$R69))*10))</f>
        <v>1.4096906079379805</v>
      </c>
      <c r="V69" s="10">
        <f t="shared" si="3"/>
        <v>2.6344224792337663</v>
      </c>
      <c r="W69" s="10">
        <f t="shared" si="4"/>
        <v>0.90220198908030758</v>
      </c>
      <c r="X69" s="10">
        <f t="shared" si="5"/>
        <v>0.94839209252415579</v>
      </c>
      <c r="Y69" s="10">
        <f t="shared" si="6"/>
        <v>-5.1607907475844206E-2</v>
      </c>
      <c r="AK69" s="10">
        <v>59</v>
      </c>
      <c r="AL69" s="10">
        <f>MAX($AK69-积分赛!$C$7,0)*$AH$7/30</f>
        <v>344.59188906619443</v>
      </c>
      <c r="AM69" s="10">
        <f>MAX($AK69-积分赛!$C$7,0)*$AH$7/30</f>
        <v>344.59188906619443</v>
      </c>
      <c r="AN69" s="10">
        <f>MAX($AK69-积分赛!$C$7,0)*$AH$7/30</f>
        <v>344.59188906619443</v>
      </c>
      <c r="AO69" s="10">
        <f>MAX($AK69-积分赛!$C$7,0)*$AH$7/30</f>
        <v>344.59188906619443</v>
      </c>
      <c r="AP69" s="10">
        <f>MAX($AK69-积分赛!$C$7,0)*$AH$7/30</f>
        <v>344.59188906619443</v>
      </c>
      <c r="AR69" s="10">
        <v>59</v>
      </c>
      <c r="AS69" s="10">
        <f>IFERROR(求节点(节奏总纲!R$4:R$363,AL$11:AL$370,$AR69),0)</f>
        <v>341.36044951016646</v>
      </c>
      <c r="AT69" s="10">
        <f>IFERROR(求节点(节奏总纲!S$4:S$363,AM$11:AM$370,$AR69),0)</f>
        <v>248.85432786416962</v>
      </c>
      <c r="AU69" s="10">
        <f>IFERROR(求节点(节奏总纲!T$4:T$363,AN$11:AN$370,$AR69),0)</f>
        <v>139.49876826878082</v>
      </c>
      <c r="AV69" s="10">
        <f>IFERROR(求节点(节奏总纲!U$4:U$363,AO$11:AO$370,$AR69),0)</f>
        <v>7.4424374293294928</v>
      </c>
      <c r="AW69" s="10">
        <f>IFERROR(求节点(节奏总纲!V$4:V$363,AP$11:AP$370,$AR69),0)</f>
        <v>0</v>
      </c>
    </row>
    <row r="70" spans="18:49" x14ac:dyDescent="0.15">
      <c r="R70" s="10">
        <v>0.65</v>
      </c>
      <c r="S70" s="10">
        <f t="shared" ref="S70:S105" si="9">1-R70</f>
        <v>0.35</v>
      </c>
      <c r="T70" s="10">
        <f t="shared" ref="T70:T105" si="10">R70/S70</f>
        <v>1.8571428571428574</v>
      </c>
      <c r="U70" s="10">
        <f t="shared" si="8"/>
        <v>1.3952969520566745</v>
      </c>
      <c r="V70" s="10">
        <f t="shared" ref="V70:V105" si="11">M$10+(M$11-M$10)/(1+M$13*EXP((0.5-(1-$S70))*10))</f>
        <v>2.7030885111706224</v>
      </c>
      <c r="W70" s="10">
        <f t="shared" ref="W70:W105" si="12">R70*U70</f>
        <v>0.90694301883683848</v>
      </c>
      <c r="X70" s="10">
        <f t="shared" ref="X70:X105" si="13">V70*S70</f>
        <v>0.94608097890971776</v>
      </c>
      <c r="Y70" s="10">
        <f t="shared" ref="Y70:Y105" si="14">MAX(W70:X70)-1</f>
        <v>-5.3919021090282238E-2</v>
      </c>
      <c r="AK70" s="10">
        <v>60</v>
      </c>
      <c r="AL70" s="10">
        <f>MAX($AK70-积分赛!$C$7,0)*$AH$7/30</f>
        <v>356.47436799951151</v>
      </c>
      <c r="AM70" s="10">
        <f>MAX($AK70-积分赛!$C$7,0)*$AH$7/30</f>
        <v>356.47436799951151</v>
      </c>
      <c r="AN70" s="10">
        <f>MAX($AK70-积分赛!$C$7,0)*$AH$7/30</f>
        <v>356.47436799951151</v>
      </c>
      <c r="AO70" s="10">
        <f>MAX($AK70-积分赛!$C$7,0)*$AH$7/30</f>
        <v>356.47436799951151</v>
      </c>
      <c r="AP70" s="10">
        <f>MAX($AK70-积分赛!$C$7,0)*$AH$7/30</f>
        <v>356.47436799951151</v>
      </c>
      <c r="AR70" s="10">
        <v>60</v>
      </c>
      <c r="AS70" s="10">
        <f>IFERROR(求节点(节奏总纲!R$4:R$363,AL$11:AL$370,$AR70),0)</f>
        <v>392.12180479946267</v>
      </c>
      <c r="AT70" s="10">
        <f>IFERROR(求节点(节奏总纲!S$4:S$363,AM$11:AM$370,$AR70),0)</f>
        <v>292.45100860389977</v>
      </c>
      <c r="AU70" s="10">
        <f>IFERROR(求节点(节奏总纲!T$4:T$363,AN$11:AN$370,$AR70),0)</f>
        <v>175.08438662870063</v>
      </c>
      <c r="AV70" s="10">
        <f>IFERROR(求节点(节奏总纲!U$4:U$363,AO$11:AO$370,$AR70),0)</f>
        <v>33.560799382840031</v>
      </c>
      <c r="AW70" s="10">
        <f>IFERROR(求节点(节奏总纲!V$4:V$363,AP$11:AP$370,$AR70),0)</f>
        <v>0</v>
      </c>
    </row>
    <row r="71" spans="18:49" x14ac:dyDescent="0.15">
      <c r="R71" s="10">
        <v>0.66</v>
      </c>
      <c r="S71" s="10">
        <f t="shared" si="9"/>
        <v>0.33999999999999997</v>
      </c>
      <c r="T71" s="10">
        <f t="shared" si="10"/>
        <v>1.9411764705882355</v>
      </c>
      <c r="U71" s="10">
        <f t="shared" si="8"/>
        <v>1.3821344831096121</v>
      </c>
      <c r="V71" s="10">
        <f t="shared" si="11"/>
        <v>2.7713660044358455</v>
      </c>
      <c r="W71" s="10">
        <f t="shared" si="12"/>
        <v>0.91220875885234398</v>
      </c>
      <c r="X71" s="10">
        <f t="shared" si="13"/>
        <v>0.94226444150818733</v>
      </c>
      <c r="Y71" s="10">
        <f t="shared" si="14"/>
        <v>-5.7735558491812666E-2</v>
      </c>
      <c r="AK71" s="10">
        <v>61</v>
      </c>
      <c r="AL71" s="10">
        <f>MAX($AK71-积分赛!$C$7,0)*$AH$7/30</f>
        <v>368.35684693282855</v>
      </c>
      <c r="AM71" s="10">
        <f>MAX($AK71-积分赛!$C$7,0)*$AH$7/30</f>
        <v>368.35684693282855</v>
      </c>
      <c r="AN71" s="10">
        <f>MAX($AK71-积分赛!$C$7,0)*$AH$7/30</f>
        <v>368.35684693282855</v>
      </c>
      <c r="AO71" s="10">
        <f>MAX($AK71-积分赛!$C$7,0)*$AH$7/30</f>
        <v>368.35684693282855</v>
      </c>
      <c r="AP71" s="10">
        <f>MAX($AK71-积分赛!$C$7,0)*$AH$7/30</f>
        <v>368.35684693282855</v>
      </c>
      <c r="AR71" s="10">
        <v>61</v>
      </c>
      <c r="AS71" s="10">
        <f>IFERROR(求节点(节奏总纲!R$4:R$363,AL$11:AL$370,$AR71),0)</f>
        <v>446.90133982240326</v>
      </c>
      <c r="AT71" s="10">
        <f>IFERROR(求节点(节奏总纲!S$4:S$363,AM$11:AM$370,$AR71),0)</f>
        <v>339.96552274014562</v>
      </c>
      <c r="AU71" s="10">
        <f>IFERROR(求节点(节奏总纲!T$4:T$363,AN$11:AN$370,$AR71),0)</f>
        <v>213.64135044001617</v>
      </c>
      <c r="AV71" s="10">
        <f>IFERROR(求节点(节奏总纲!U$4:U$363,AO$11:AO$370,$AR71),0)</f>
        <v>62.310596183430789</v>
      </c>
      <c r="AW71" s="10">
        <f>IFERROR(求节点(节奏总纲!V$4:V$363,AP$11:AP$370,$AR71),0)</f>
        <v>0</v>
      </c>
    </row>
    <row r="72" spans="18:49" x14ac:dyDescent="0.15">
      <c r="R72" s="10">
        <v>0.67</v>
      </c>
      <c r="S72" s="10">
        <f t="shared" si="9"/>
        <v>0.32999999999999996</v>
      </c>
      <c r="T72" s="10">
        <f t="shared" si="10"/>
        <v>2.0303030303030307</v>
      </c>
      <c r="U72" s="10">
        <f t="shared" si="8"/>
        <v>1.3701094197674915</v>
      </c>
      <c r="V72" s="10">
        <f t="shared" si="11"/>
        <v>2.8389211439356976</v>
      </c>
      <c r="W72" s="10">
        <f t="shared" si="12"/>
        <v>0.91797331124421933</v>
      </c>
      <c r="X72" s="10">
        <f t="shared" si="13"/>
        <v>0.93684397749878012</v>
      </c>
      <c r="Y72" s="10">
        <f t="shared" si="14"/>
        <v>-6.3156022501219877E-2</v>
      </c>
      <c r="AK72" s="10">
        <v>62</v>
      </c>
      <c r="AL72" s="10">
        <f>MAX($AK72-积分赛!$C$7,0)*$AH$7/30</f>
        <v>380.23932586614563</v>
      </c>
      <c r="AM72" s="10">
        <f>MAX($AK72-积分赛!$C$7,0)*$AH$7/30</f>
        <v>380.23932586614563</v>
      </c>
      <c r="AN72" s="10">
        <f>MAX($AK72-积分赛!$C$7,0)*$AH$7/30</f>
        <v>380.23932586614563</v>
      </c>
      <c r="AO72" s="10">
        <f>MAX($AK72-积分赛!$C$7,0)*$AH$7/30</f>
        <v>380.23932586614563</v>
      </c>
      <c r="AP72" s="10">
        <f>MAX($AK72-积分赛!$C$7,0)*$AH$7/30</f>
        <v>380.23932586614563</v>
      </c>
      <c r="AR72" s="10">
        <v>62</v>
      </c>
      <c r="AS72" s="10">
        <f>IFERROR(求节点(节奏总纲!R$4:R$363,AL$11:AL$370,$AR72),0)</f>
        <v>505.40908758182798</v>
      </c>
      <c r="AT72" s="10">
        <f>IFERROR(求节点(节奏总纲!S$4:S$363,AM$11:AM$370,$AR72),0)</f>
        <v>390.38706604982764</v>
      </c>
      <c r="AU72" s="10">
        <f>IFERROR(求节点(节奏总纲!T$4:T$363,AN$11:AN$370,$AR72),0)</f>
        <v>255.77112068725461</v>
      </c>
      <c r="AV72" s="10">
        <f>IFERROR(求节点(节奏总纲!U$4:U$363,AO$11:AO$370,$AR72),0)</f>
        <v>93.354009550836366</v>
      </c>
      <c r="AW72" s="10">
        <f>IFERROR(求节点(节奏总纲!V$4:V$363,AP$11:AP$370,$AR72),0)</f>
        <v>0</v>
      </c>
    </row>
    <row r="73" spans="18:49" x14ac:dyDescent="0.15">
      <c r="R73" s="10">
        <v>0.68</v>
      </c>
      <c r="S73" s="10">
        <f t="shared" si="9"/>
        <v>0.31999999999999995</v>
      </c>
      <c r="T73" s="10">
        <f t="shared" si="10"/>
        <v>2.1250000000000004</v>
      </c>
      <c r="U73" s="10">
        <f t="shared" si="8"/>
        <v>1.3591330909997306</v>
      </c>
      <c r="V73" s="10">
        <f t="shared" si="11"/>
        <v>2.9054342414545022</v>
      </c>
      <c r="W73" s="10">
        <f t="shared" si="12"/>
        <v>0.9242105018798169</v>
      </c>
      <c r="X73" s="10">
        <f t="shared" si="13"/>
        <v>0.92973895726544054</v>
      </c>
      <c r="Y73" s="10">
        <f t="shared" si="14"/>
        <v>-7.0261042734559465E-2</v>
      </c>
      <c r="AK73" s="10">
        <v>63</v>
      </c>
      <c r="AL73" s="10">
        <f>MAX($AK73-积分赛!$C$7,0)*$AH$7/30</f>
        <v>392.12180479946267</v>
      </c>
      <c r="AM73" s="10">
        <f>MAX($AK73-积分赛!$C$7,0)*$AH$7/30</f>
        <v>392.12180479946267</v>
      </c>
      <c r="AN73" s="10">
        <f>MAX($AK73-积分赛!$C$7,0)*$AH$7/30</f>
        <v>392.12180479946267</v>
      </c>
      <c r="AO73" s="10">
        <f>MAX($AK73-积分赛!$C$7,0)*$AH$7/30</f>
        <v>392.12180479946267</v>
      </c>
      <c r="AP73" s="10">
        <f>MAX($AK73-积分赛!$C$7,0)*$AH$7/30</f>
        <v>392.12180479946267</v>
      </c>
      <c r="AR73" s="10">
        <v>63</v>
      </c>
      <c r="AS73" s="10">
        <f>IFERROR(求节点(节奏总纲!R$4:R$363,AL$11:AL$370,$AR73),0)</f>
        <v>568.03453642347529</v>
      </c>
      <c r="AT73" s="10">
        <f>IFERROR(求节点(节奏总纲!S$4:S$363,AM$11:AM$370,$AR73),0)</f>
        <v>445.42530786190014</v>
      </c>
      <c r="AU73" s="10">
        <f>IFERROR(求节点(节奏总纲!T$4:T$363,AN$11:AN$370,$AR73),0)</f>
        <v>300.58254995497651</v>
      </c>
      <c r="AV73" s="10">
        <f>IFERROR(求节点(节奏总纲!U$4:U$363,AO$11:AO$370,$AR73),0)</f>
        <v>127.06442570970924</v>
      </c>
      <c r="AW73" s="10">
        <f>IFERROR(求节点(节奏总纲!V$4:V$363,AP$11:AP$370,$AR73),0)</f>
        <v>0</v>
      </c>
    </row>
    <row r="74" spans="18:49" x14ac:dyDescent="0.15">
      <c r="R74" s="10">
        <v>0.69</v>
      </c>
      <c r="S74" s="10">
        <f t="shared" si="9"/>
        <v>0.31000000000000005</v>
      </c>
      <c r="T74" s="10">
        <f t="shared" si="10"/>
        <v>2.2258064516129026</v>
      </c>
      <c r="U74" s="10">
        <f t="shared" si="8"/>
        <v>1.3491220390854268</v>
      </c>
      <c r="V74" s="10">
        <f t="shared" si="11"/>
        <v>2.970605590442859</v>
      </c>
      <c r="W74" s="10">
        <f t="shared" si="12"/>
        <v>0.93089420696894443</v>
      </c>
      <c r="X74" s="10">
        <f t="shared" si="13"/>
        <v>0.92088773303728644</v>
      </c>
      <c r="Y74" s="10">
        <f t="shared" si="14"/>
        <v>-6.9105793031055573E-2</v>
      </c>
      <c r="AK74" s="10">
        <v>64</v>
      </c>
      <c r="AL74" s="10">
        <f>MAX($AK74-积分赛!$C$7,0)*$AH$7/30</f>
        <v>404.00428373277975</v>
      </c>
      <c r="AM74" s="10">
        <f>MAX($AK74-积分赛!$C$7,0)*$AH$7/30</f>
        <v>404.00428373277975</v>
      </c>
      <c r="AN74" s="10">
        <f>MAX($AK74-积分赛!$C$7,0)*$AH$7/30</f>
        <v>404.00428373277975</v>
      </c>
      <c r="AO74" s="10">
        <f>MAX($AK74-积分赛!$C$7,0)*$AH$7/30</f>
        <v>404.00428373277975</v>
      </c>
      <c r="AP74" s="10">
        <f>MAX($AK74-积分赛!$C$7,0)*$AH$7/30</f>
        <v>404.00428373277975</v>
      </c>
      <c r="AR74" s="10">
        <v>64</v>
      </c>
      <c r="AS74" s="10">
        <f>IFERROR(求节点(节奏总纲!R$4:R$363,AL$11:AL$370,$AR74),0)</f>
        <v>635.30512136801883</v>
      </c>
      <c r="AT74" s="10">
        <f>IFERROR(求节点(节奏总纲!S$4:S$363,AM$11:AM$370,$AR74),0)</f>
        <v>503.99654882512942</v>
      </c>
      <c r="AU74" s="10">
        <f>IFERROR(求节点(节奏总纲!T$4:T$363,AN$11:AN$370,$AR74),0)</f>
        <v>349.16218950196986</v>
      </c>
      <c r="AV74" s="10">
        <f>IFERROR(求节点(节奏总纲!U$4:U$363,AO$11:AO$370,$AR74),0)</f>
        <v>163.14145032389646</v>
      </c>
      <c r="AW74" s="10">
        <f>IFERROR(求节点(节奏总纲!V$4:V$363,AP$11:AP$370,$AR74),0)</f>
        <v>0</v>
      </c>
    </row>
    <row r="75" spans="18:49" x14ac:dyDescent="0.15">
      <c r="R75" s="10">
        <v>0.7</v>
      </c>
      <c r="S75" s="10">
        <f t="shared" si="9"/>
        <v>0.30000000000000004</v>
      </c>
      <c r="T75" s="10">
        <f t="shared" si="10"/>
        <v>2.333333333333333</v>
      </c>
      <c r="U75" s="10">
        <f t="shared" si="8"/>
        <v>1.3399980300048118</v>
      </c>
      <c r="V75" s="10">
        <f t="shared" si="11"/>
        <v>3.0341605217808327</v>
      </c>
      <c r="W75" s="10">
        <f t="shared" si="12"/>
        <v>0.93799862100336817</v>
      </c>
      <c r="X75" s="10">
        <f t="shared" si="13"/>
        <v>0.91024815653424995</v>
      </c>
      <c r="Y75" s="10">
        <f t="shared" si="14"/>
        <v>-6.2001378996631828E-2</v>
      </c>
      <c r="AK75" s="10">
        <v>65</v>
      </c>
      <c r="AL75" s="10">
        <f>MAX($AK75-积分赛!$C$7,0)*$AH$7/30</f>
        <v>415.88676266609679</v>
      </c>
      <c r="AM75" s="10">
        <f>MAX($AK75-积分赛!$C$7,0)*$AH$7/30</f>
        <v>415.88676266609679</v>
      </c>
      <c r="AN75" s="10">
        <f>MAX($AK75-积分赛!$C$7,0)*$AH$7/30</f>
        <v>415.88676266609679</v>
      </c>
      <c r="AO75" s="10">
        <f>MAX($AK75-积分赛!$C$7,0)*$AH$7/30</f>
        <v>415.88676266609679</v>
      </c>
      <c r="AP75" s="10">
        <f>MAX($AK75-积分赛!$C$7,0)*$AH$7/30</f>
        <v>415.88676266609679</v>
      </c>
      <c r="AR75" s="10">
        <v>65</v>
      </c>
      <c r="AS75" s="10">
        <f>IFERROR(求节点(节奏总纲!R$4:R$363,AL$11:AL$370,$AR75),0)</f>
        <v>707.32798682470434</v>
      </c>
      <c r="AT75" s="10">
        <f>IFERROR(求节点(节奏总纲!S$4:S$363,AM$11:AM$370,$AR75),0)</f>
        <v>566.41676822522027</v>
      </c>
      <c r="AU75" s="10">
        <f>IFERROR(求节点(节奏总纲!T$4:T$363,AN$11:AN$370,$AR75),0)</f>
        <v>401.75924876246631</v>
      </c>
      <c r="AV75" s="10">
        <f>IFERROR(求节点(节奏总纲!U$4:U$363,AO$11:AO$370,$AR75),0)</f>
        <v>201.17465199691767</v>
      </c>
      <c r="AW75" s="10">
        <f>IFERROR(求节点(节奏总纲!V$4:V$363,AP$11:AP$370,$AR75),0)</f>
        <v>0</v>
      </c>
    </row>
    <row r="76" spans="18:49" x14ac:dyDescent="0.15">
      <c r="R76" s="10">
        <v>0.71</v>
      </c>
      <c r="S76" s="10">
        <f t="shared" si="9"/>
        <v>0.29000000000000004</v>
      </c>
      <c r="T76" s="10">
        <f t="shared" si="10"/>
        <v>2.4482758620689653</v>
      </c>
      <c r="U76" s="10">
        <f t="shared" si="8"/>
        <v>1.3316879895655831</v>
      </c>
      <c r="V76" s="10">
        <f t="shared" si="11"/>
        <v>3.095853495467213</v>
      </c>
      <c r="W76" s="10">
        <f t="shared" si="12"/>
        <v>0.94549847259156394</v>
      </c>
      <c r="X76" s="10">
        <f t="shared" si="13"/>
        <v>0.89779751368549188</v>
      </c>
      <c r="Y76" s="10">
        <f t="shared" si="14"/>
        <v>-5.4501527408436057E-2</v>
      </c>
      <c r="AK76" s="10">
        <v>66</v>
      </c>
      <c r="AL76" s="10">
        <f>MAX($AK76-积分赛!$C$7,0)*$AH$7/30</f>
        <v>427.76924159941387</v>
      </c>
      <c r="AM76" s="10">
        <f>MAX($AK76-积分赛!$C$7,0)*$AH$7/30</f>
        <v>427.76924159941387</v>
      </c>
      <c r="AN76" s="10">
        <f>MAX($AK76-积分赛!$C$7,0)*$AH$7/30</f>
        <v>427.76924159941387</v>
      </c>
      <c r="AO76" s="10">
        <f>MAX($AK76-积分赛!$C$7,0)*$AH$7/30</f>
        <v>427.76924159941387</v>
      </c>
      <c r="AP76" s="10">
        <f>MAX($AK76-积分赛!$C$7,0)*$AH$7/30</f>
        <v>427.76924159941387</v>
      </c>
      <c r="AR76" s="10">
        <v>66</v>
      </c>
      <c r="AS76" s="10">
        <f>IFERROR(求节点(节奏总纲!R$4:R$363,AL$11:AL$370,$AR76),0)</f>
        <v>784.31821049764812</v>
      </c>
      <c r="AT76" s="10">
        <f>IFERROR(求节点(节奏总纲!S$4:S$363,AM$11:AM$370,$AR76),0)</f>
        <v>634.14946745632483</v>
      </c>
      <c r="AU76" s="10">
        <f>IFERROR(求节点(节奏总纲!T$4:T$363,AN$11:AN$370,$AR76),0)</f>
        <v>457.43497942665266</v>
      </c>
      <c r="AV76" s="10">
        <f>IFERROR(求节点(节奏总纲!U$4:U$363,AO$11:AO$370,$AR76),0)</f>
        <v>239.70104424683834</v>
      </c>
      <c r="AW76" s="10">
        <f>IFERROR(求节点(节奏总纲!V$4:V$363,AP$11:AP$370,$AR76),0)</f>
        <v>0</v>
      </c>
    </row>
    <row r="77" spans="18:49" x14ac:dyDescent="0.15">
      <c r="R77" s="10">
        <v>0.72</v>
      </c>
      <c r="S77" s="10">
        <f t="shared" si="9"/>
        <v>0.28000000000000003</v>
      </c>
      <c r="T77" s="10">
        <f t="shared" si="10"/>
        <v>2.5714285714285712</v>
      </c>
      <c r="U77" s="10">
        <f t="shared" si="8"/>
        <v>1.324123881333644</v>
      </c>
      <c r="V77" s="10">
        <f t="shared" si="11"/>
        <v>3.1554711248108953</v>
      </c>
      <c r="W77" s="10">
        <f t="shared" si="12"/>
        <v>0.95336919456022362</v>
      </c>
      <c r="X77" s="10">
        <f t="shared" si="13"/>
        <v>0.88353191494705074</v>
      </c>
      <c r="Y77" s="10">
        <f t="shared" si="14"/>
        <v>-4.6630805439776379E-2</v>
      </c>
      <c r="AK77" s="10">
        <v>67</v>
      </c>
      <c r="AL77" s="10">
        <f>MAX($AK77-积分赛!$C$7,0)*$AH$7/30</f>
        <v>439.65172053273085</v>
      </c>
      <c r="AM77" s="10">
        <f>MAX($AK77-积分赛!$C$7,0)*$AH$7/30</f>
        <v>439.65172053273085</v>
      </c>
      <c r="AN77" s="10">
        <f>MAX($AK77-积分赛!$C$7,0)*$AH$7/30</f>
        <v>439.65172053273085</v>
      </c>
      <c r="AO77" s="10">
        <f>MAX($AK77-积分赛!$C$7,0)*$AH$7/30</f>
        <v>439.65172053273085</v>
      </c>
      <c r="AP77" s="10">
        <f>MAX($AK77-积分赛!$C$7,0)*$AH$7/30</f>
        <v>439.65172053273085</v>
      </c>
      <c r="AR77" s="10">
        <v>67</v>
      </c>
      <c r="AS77" s="10">
        <f>IFERROR(求节点(节奏总纲!R$4:R$363,AL$11:AL$370,$AR77),0)</f>
        <v>867.06883962763197</v>
      </c>
      <c r="AT77" s="10">
        <f>IFERROR(求节点(节奏总纲!S$4:S$363,AM$11:AM$370,$AR77),0)</f>
        <v>706.75765125913119</v>
      </c>
      <c r="AU77" s="10">
        <f>IFERROR(求节点(节奏总纲!T$4:T$363,AN$11:AN$370,$AR77),0)</f>
        <v>514.50541500980682</v>
      </c>
      <c r="AV77" s="10">
        <f>IFERROR(求节点(节奏总纲!U$4:U$363,AO$11:AO$370,$AR77),0)</f>
        <v>280.98016743789935</v>
      </c>
      <c r="AW77" s="10">
        <f>IFERROR(求节点(节奏总纲!V$4:V$363,AP$11:AP$370,$AR77),0)</f>
        <v>0</v>
      </c>
    </row>
    <row r="78" spans="18:49" x14ac:dyDescent="0.15">
      <c r="R78" s="10">
        <v>0.73</v>
      </c>
      <c r="S78" s="10">
        <f t="shared" si="9"/>
        <v>0.27</v>
      </c>
      <c r="T78" s="10">
        <f t="shared" si="10"/>
        <v>2.7037037037037033</v>
      </c>
      <c r="U78" s="10">
        <f t="shared" si="8"/>
        <v>1.3172425402264067</v>
      </c>
      <c r="V78" s="10">
        <f t="shared" si="11"/>
        <v>3.2128340934742829</v>
      </c>
      <c r="W78" s="10">
        <f t="shared" si="12"/>
        <v>0.96158705436527692</v>
      </c>
      <c r="X78" s="10">
        <f t="shared" si="13"/>
        <v>0.86746520523805648</v>
      </c>
      <c r="Y78" s="10">
        <f t="shared" si="14"/>
        <v>-3.8412945634723084E-2</v>
      </c>
      <c r="AK78" s="10">
        <v>68</v>
      </c>
      <c r="AL78" s="10">
        <f>MAX($AK78-积分赛!$C$7,0)*$AH$7/30</f>
        <v>451.53419946604788</v>
      </c>
      <c r="AM78" s="10">
        <f>MAX($AK78-积分赛!$C$7,0)*$AH$7/30</f>
        <v>451.53419946604788</v>
      </c>
      <c r="AN78" s="10">
        <f>MAX($AK78-积分赛!$C$7,0)*$AH$7/30</f>
        <v>451.53419946604788</v>
      </c>
      <c r="AO78" s="10">
        <f>MAX($AK78-积分赛!$C$7,0)*$AH$7/30</f>
        <v>451.53419946604788</v>
      </c>
      <c r="AP78" s="10">
        <f>MAX($AK78-积分赛!$C$7,0)*$AH$7/30</f>
        <v>451.53419946604788</v>
      </c>
      <c r="AR78" s="10">
        <v>68</v>
      </c>
      <c r="AS78" s="10">
        <f>IFERROR(求节点(节奏总纲!R$4:R$363,AL$11:AL$370,$AR78),0)</f>
        <v>955.91621274456384</v>
      </c>
      <c r="AT78" s="10">
        <f>IFERROR(求节点(节奏总纲!S$4:S$363,AM$11:AM$370,$AR78),0)</f>
        <v>782.32191456691885</v>
      </c>
      <c r="AU78" s="10">
        <f>IFERROR(求节点(节奏总纲!T$4:T$363,AN$11:AN$370,$AR78),0)</f>
        <v>573.64032098863174</v>
      </c>
      <c r="AV78" s="10">
        <f>IFERROR(求节点(节奏总纲!U$4:U$363,AO$11:AO$370,$AR78),0)</f>
        <v>325.97828778682947</v>
      </c>
      <c r="AW78" s="10">
        <f>IFERROR(求节点(节奏总纲!V$4:V$363,AP$11:AP$370,$AR78),0)</f>
        <v>22.184476952535373</v>
      </c>
    </row>
    <row r="79" spans="18:49" x14ac:dyDescent="0.15">
      <c r="R79" s="10">
        <v>0.74</v>
      </c>
      <c r="S79" s="10">
        <f t="shared" si="9"/>
        <v>0.26</v>
      </c>
      <c r="T79" s="10">
        <f t="shared" si="10"/>
        <v>2.8461538461538458</v>
      </c>
      <c r="U79" s="10">
        <f t="shared" si="8"/>
        <v>1.3109854735512327</v>
      </c>
      <c r="V79" s="10">
        <f t="shared" si="11"/>
        <v>3.2677979861719351</v>
      </c>
      <c r="W79" s="10">
        <f t="shared" si="12"/>
        <v>0.9701292504279122</v>
      </c>
      <c r="X79" s="10">
        <f t="shared" si="13"/>
        <v>0.84962747640470315</v>
      </c>
      <c r="Y79" s="10">
        <f t="shared" si="14"/>
        <v>-2.9870749572087796E-2</v>
      </c>
      <c r="AK79" s="10">
        <v>69</v>
      </c>
      <c r="AL79" s="10">
        <f>MAX($AK79-积分赛!$C$7,0)*$AH$7/30</f>
        <v>463.41667839936497</v>
      </c>
      <c r="AM79" s="10">
        <f>MAX($AK79-积分赛!$C$7,0)*$AH$7/30</f>
        <v>463.41667839936497</v>
      </c>
      <c r="AN79" s="10">
        <f>MAX($AK79-积分赛!$C$7,0)*$AH$7/30</f>
        <v>463.41667839936497</v>
      </c>
      <c r="AO79" s="10">
        <f>MAX($AK79-积分赛!$C$7,0)*$AH$7/30</f>
        <v>463.41667839936497</v>
      </c>
      <c r="AP79" s="10">
        <f>MAX($AK79-积分赛!$C$7,0)*$AH$7/30</f>
        <v>463.41667839936497</v>
      </c>
      <c r="AR79" s="10">
        <v>69</v>
      </c>
      <c r="AS79" s="10">
        <f>IFERROR(求节点(节奏总纲!R$4:R$363,AL$11:AL$370,$AR79),0)</f>
        <v>1050.949087110863</v>
      </c>
      <c r="AT79" s="10">
        <f>IFERROR(求节点(节奏总纲!S$4:S$363,AM$11:AM$370,$AR79),0)</f>
        <v>861.94234257072276</v>
      </c>
      <c r="AU79" s="10">
        <f>IFERROR(求节点(节奏总纲!T$4:T$363,AN$11:AN$370,$AR79),0)</f>
        <v>640.50445490169216</v>
      </c>
      <c r="AV79" s="10">
        <f>IFERROR(求节点(节奏总纲!U$4:U$363,AO$11:AO$370,$AR79),0)</f>
        <v>374.90321372903594</v>
      </c>
      <c r="AW79" s="10">
        <f>IFERROR(求节点(节奏总纲!V$4:V$363,AP$11:AP$370,$AR79),0)</f>
        <v>48.314635968265229</v>
      </c>
    </row>
    <row r="80" spans="18:49" x14ac:dyDescent="0.15">
      <c r="R80" s="10">
        <v>0.75</v>
      </c>
      <c r="S80" s="10">
        <f t="shared" si="9"/>
        <v>0.25</v>
      </c>
      <c r="T80" s="10">
        <f t="shared" si="10"/>
        <v>3</v>
      </c>
      <c r="U80" s="10">
        <f t="shared" si="8"/>
        <v>1.3052986393697874</v>
      </c>
      <c r="V80" s="10">
        <f t="shared" si="11"/>
        <v>3.3202531064302145</v>
      </c>
      <c r="W80" s="10">
        <f t="shared" si="12"/>
        <v>0.97897397952734055</v>
      </c>
      <c r="X80" s="10">
        <f t="shared" si="13"/>
        <v>0.83006327660755364</v>
      </c>
      <c r="Y80" s="10">
        <f t="shared" si="14"/>
        <v>-2.1026020472659446E-2</v>
      </c>
      <c r="AK80" s="10">
        <v>70</v>
      </c>
      <c r="AL80" s="10">
        <f>MAX($AK80-积分赛!$C$7,0)*$AH$7/30</f>
        <v>475.299157332682</v>
      </c>
      <c r="AM80" s="10">
        <f>MAX($AK80-积分赛!$C$7,0)*$AH$7/30</f>
        <v>475.299157332682</v>
      </c>
      <c r="AN80" s="10">
        <f>MAX($AK80-积分赛!$C$7,0)*$AH$7/30</f>
        <v>475.299157332682</v>
      </c>
      <c r="AO80" s="10">
        <f>MAX($AK80-积分赛!$C$7,0)*$AH$7/30</f>
        <v>475.299157332682</v>
      </c>
      <c r="AP80" s="10">
        <f>MAX($AK80-积分赛!$C$7,0)*$AH$7/30</f>
        <v>475.299157332682</v>
      </c>
      <c r="AR80" s="10">
        <v>70</v>
      </c>
      <c r="AS80" s="10">
        <f>IFERROR(求节点(节奏总纲!R$4:R$363,AL$11:AL$370,$AR80),0)</f>
        <v>1152.6004565317537</v>
      </c>
      <c r="AT80" s="10">
        <f>IFERROR(求节点(节奏总纲!S$4:S$363,AM$11:AM$370,$AR80),0)</f>
        <v>950.26016258654943</v>
      </c>
      <c r="AU80" s="10">
        <f>IFERROR(求节点(节奏总纲!T$4:T$363,AN$11:AN$370,$AR80),0)</f>
        <v>714.26230541822952</v>
      </c>
      <c r="AV80" s="10">
        <f>IFERROR(求节点(节奏总纲!U$4:U$363,AO$11:AO$370,$AR80),0)</f>
        <v>426.93837967676291</v>
      </c>
      <c r="AW80" s="10">
        <f>IFERROR(求节点(节奏总纲!V$4:V$363,AP$11:AP$370,$AR80),0)</f>
        <v>77.452885353482571</v>
      </c>
    </row>
    <row r="81" spans="18:49" x14ac:dyDescent="0.15">
      <c r="R81" s="10">
        <v>0.76</v>
      </c>
      <c r="S81" s="10">
        <f t="shared" si="9"/>
        <v>0.24</v>
      </c>
      <c r="T81" s="10">
        <f t="shared" si="10"/>
        <v>3.166666666666667</v>
      </c>
      <c r="U81" s="10">
        <f t="shared" si="8"/>
        <v>1.3001322103605368</v>
      </c>
      <c r="V81" s="10">
        <f t="shared" si="11"/>
        <v>3.3701233963797868</v>
      </c>
      <c r="W81" s="10">
        <f t="shared" si="12"/>
        <v>0.98810047987400795</v>
      </c>
      <c r="X81" s="10">
        <f t="shared" si="13"/>
        <v>0.80882961513114882</v>
      </c>
      <c r="Y81" s="10">
        <f t="shared" si="14"/>
        <v>-1.1899520125992047E-2</v>
      </c>
      <c r="AK81" s="10">
        <v>71</v>
      </c>
      <c r="AL81" s="10">
        <f>MAX($AK81-积分赛!$C$7,0)*$AH$7/30</f>
        <v>487.18163626599909</v>
      </c>
      <c r="AM81" s="10">
        <f>MAX($AK81-积分赛!$C$7,0)*$AH$7/30</f>
        <v>487.18163626599909</v>
      </c>
      <c r="AN81" s="10">
        <f>MAX($AK81-积分赛!$C$7,0)*$AH$7/30</f>
        <v>487.18163626599909</v>
      </c>
      <c r="AO81" s="10">
        <f>MAX($AK81-积分赛!$C$7,0)*$AH$7/30</f>
        <v>487.18163626599909</v>
      </c>
      <c r="AP81" s="10">
        <f>MAX($AK81-积分赛!$C$7,0)*$AH$7/30</f>
        <v>487.18163626599909</v>
      </c>
      <c r="AR81" s="10">
        <v>71</v>
      </c>
      <c r="AS81" s="10">
        <f>IFERROR(求节点(节奏总纲!R$4:R$363,AL$11:AL$370,$AR81),0)</f>
        <v>1261.892772170175</v>
      </c>
      <c r="AT81" s="10">
        <f>IFERROR(求节点(节奏总纲!S$4:S$363,AM$11:AM$370,$AR81),0)</f>
        <v>1046.0764631807062</v>
      </c>
      <c r="AU81" s="10">
        <f>IFERROR(求节点(节奏总纲!T$4:T$363,AN$11:AN$370,$AR81),0)</f>
        <v>791.29303249333873</v>
      </c>
      <c r="AV81" s="10">
        <f>IFERROR(求节点(节奏总纲!U$4:U$363,AO$11:AO$370,$AR81),0)</f>
        <v>482.74882821011272</v>
      </c>
      <c r="AW81" s="10">
        <f>IFERROR(求节点(节奏总纲!V$4:V$363,AP$11:AP$370,$AR81),0)</f>
        <v>108.51711489410886</v>
      </c>
    </row>
    <row r="82" spans="18:49" x14ac:dyDescent="0.15">
      <c r="R82" s="10">
        <v>0.77</v>
      </c>
      <c r="S82" s="10">
        <f t="shared" si="9"/>
        <v>0.22999999999999998</v>
      </c>
      <c r="T82" s="10">
        <f t="shared" si="10"/>
        <v>3.347826086956522</v>
      </c>
      <c r="U82" s="10">
        <f t="shared" si="8"/>
        <v>1.2954403298420534</v>
      </c>
      <c r="V82" s="10">
        <f t="shared" si="11"/>
        <v>3.4173646024054354</v>
      </c>
      <c r="W82" s="10">
        <f t="shared" si="12"/>
        <v>0.99748905397838117</v>
      </c>
      <c r="X82" s="10">
        <f t="shared" si="13"/>
        <v>0.7859938585532501</v>
      </c>
      <c r="Y82" s="10">
        <f t="shared" si="14"/>
        <v>-2.5109460216188317E-3</v>
      </c>
      <c r="AK82" s="10">
        <v>72</v>
      </c>
      <c r="AL82" s="10">
        <f>MAX($AK82-积分赛!$C$7,0)*$AH$7/30</f>
        <v>499.06411519931612</v>
      </c>
      <c r="AM82" s="10">
        <f>MAX($AK82-积分赛!$C$7,0)*$AH$7/30</f>
        <v>499.06411519931612</v>
      </c>
      <c r="AN82" s="10">
        <f>MAX($AK82-积分赛!$C$7,0)*$AH$7/30</f>
        <v>499.06411519931612</v>
      </c>
      <c r="AO82" s="10">
        <f>MAX($AK82-积分赛!$C$7,0)*$AH$7/30</f>
        <v>499.06411519931612</v>
      </c>
      <c r="AP82" s="10">
        <f>MAX($AK82-积分赛!$C$7,0)*$AH$7/30</f>
        <v>499.06411519931612</v>
      </c>
      <c r="AR82" s="10">
        <v>72</v>
      </c>
      <c r="AS82" s="10">
        <f>IFERROR(求节点(节奏总纲!R$4:R$363,AL$11:AL$370,$AR82),0)</f>
        <v>1378.7917650435802</v>
      </c>
      <c r="AT82" s="10">
        <f>IFERROR(求节点(节奏总纲!S$4:S$363,AM$11:AM$370,$AR82),0)</f>
        <v>1147.72532686912</v>
      </c>
      <c r="AU82" s="10">
        <f>IFERROR(求节点(节奏总纲!T$4:T$363,AN$11:AN$370,$AR82),0)</f>
        <v>871.4042936562081</v>
      </c>
      <c r="AV82" s="10">
        <f>IFERROR(求节点(节奏总纲!U$4:U$363,AO$11:AO$370,$AR82),0)</f>
        <v>541.90345513222235</v>
      </c>
      <c r="AW82" s="10">
        <f>IFERROR(求节点(节奏总纲!V$4:V$363,AP$11:AP$370,$AR82),0)</f>
        <v>141.44362734927</v>
      </c>
    </row>
    <row r="83" spans="18:49" x14ac:dyDescent="0.15">
      <c r="R83" s="10">
        <v>0.78</v>
      </c>
      <c r="S83" s="10">
        <f t="shared" si="9"/>
        <v>0.21999999999999997</v>
      </c>
      <c r="T83" s="10">
        <f t="shared" si="10"/>
        <v>3.5454545454545459</v>
      </c>
      <c r="U83" s="10">
        <f t="shared" si="8"/>
        <v>1.2911808653052934</v>
      </c>
      <c r="V83" s="10">
        <f t="shared" si="11"/>
        <v>3.4619618463865618</v>
      </c>
      <c r="W83" s="10">
        <f t="shared" si="12"/>
        <v>1.007121074938129</v>
      </c>
      <c r="X83" s="10">
        <f t="shared" si="13"/>
        <v>0.76163160620504355</v>
      </c>
      <c r="Y83" s="10">
        <f t="shared" si="14"/>
        <v>7.1210749381289684E-3</v>
      </c>
      <c r="AK83" s="10">
        <v>73</v>
      </c>
      <c r="AL83" s="10">
        <f>MAX($AK83-积分赛!$C$7,0)*$AH$7/30</f>
        <v>510.94659413263321</v>
      </c>
      <c r="AM83" s="10">
        <f>MAX($AK83-积分赛!$C$7,0)*$AH$7/30</f>
        <v>510.94659413263321</v>
      </c>
      <c r="AN83" s="10">
        <f>MAX($AK83-积分赛!$C$7,0)*$AH$7/30</f>
        <v>510.94659413263321</v>
      </c>
      <c r="AO83" s="10">
        <f>MAX($AK83-积分赛!$C$7,0)*$AH$7/30</f>
        <v>510.94659413263321</v>
      </c>
      <c r="AP83" s="10">
        <f>MAX($AK83-积分赛!$C$7,0)*$AH$7/30</f>
        <v>510.94659413263321</v>
      </c>
      <c r="AR83" s="10">
        <v>73</v>
      </c>
      <c r="AS83" s="10">
        <f>IFERROR(求节点(节奏总纲!R$4:R$363,AL$11:AL$370,$AR83),0)</f>
        <v>1504.3597181017205</v>
      </c>
      <c r="AT83" s="10">
        <f>IFERROR(求节点(节奏总纲!S$4:S$363,AM$11:AM$370,$AR83),0)</f>
        <v>1252.8895033698318</v>
      </c>
      <c r="AU83" s="10">
        <f>IFERROR(求节点(节奏总纲!T$4:T$363,AN$11:AN$370,$AR83),0)</f>
        <v>957.82655559807006</v>
      </c>
      <c r="AV83" s="10">
        <f>IFERROR(求节点(节奏总纲!U$4:U$363,AO$11:AO$370,$AR83),0)</f>
        <v>605.52139531659805</v>
      </c>
      <c r="AW83" s="10">
        <f>IFERROR(求节点(节奏总纲!V$4:V$363,AP$11:AP$370,$AR83),0)</f>
        <v>176.90581961616374</v>
      </c>
    </row>
    <row r="84" spans="18:49" x14ac:dyDescent="0.15">
      <c r="R84" s="10">
        <v>0.79</v>
      </c>
      <c r="S84" s="10">
        <f t="shared" si="9"/>
        <v>0.20999999999999996</v>
      </c>
      <c r="T84" s="10">
        <f t="shared" si="10"/>
        <v>3.7619047619047628</v>
      </c>
      <c r="U84" s="10">
        <f t="shared" si="8"/>
        <v>1.2873151636732219</v>
      </c>
      <c r="V84" s="10">
        <f t="shared" si="11"/>
        <v>3.5039267662077083</v>
      </c>
      <c r="W84" s="10">
        <f t="shared" si="12"/>
        <v>1.0169789793018453</v>
      </c>
      <c r="X84" s="10">
        <f t="shared" si="13"/>
        <v>0.73582462090361866</v>
      </c>
      <c r="Y84" s="10">
        <f t="shared" si="14"/>
        <v>1.6978979301845332E-2</v>
      </c>
      <c r="AK84" s="10">
        <v>74</v>
      </c>
      <c r="AL84" s="10">
        <f>MAX($AK84-积分赛!$C$7,0)*$AH$7/30</f>
        <v>522.82907306595018</v>
      </c>
      <c r="AM84" s="10">
        <f>MAX($AK84-积分赛!$C$7,0)*$AH$7/30</f>
        <v>522.82907306595018</v>
      </c>
      <c r="AN84" s="10">
        <f>MAX($AK84-积分赛!$C$7,0)*$AH$7/30</f>
        <v>522.82907306595018</v>
      </c>
      <c r="AO84" s="10">
        <f>MAX($AK84-积分赛!$C$7,0)*$AH$7/30</f>
        <v>522.82907306595018</v>
      </c>
      <c r="AP84" s="10">
        <f>MAX($AK84-积分赛!$C$7,0)*$AH$7/30</f>
        <v>522.82907306595018</v>
      </c>
      <c r="AR84" s="10">
        <v>74</v>
      </c>
      <c r="AS84" s="10">
        <f>IFERROR(求节点(节奏总纲!R$4:R$363,AL$11:AL$370,$AR84),0)</f>
        <v>1638.6323681616409</v>
      </c>
      <c r="AT84" s="10">
        <f>IFERROR(求节点(节奏总纲!S$4:S$363,AM$11:AM$370,$AR84),0)</f>
        <v>1368.5693833692894</v>
      </c>
      <c r="AU84" s="10">
        <f>IFERROR(求节点(节奏总纲!T$4:T$363,AN$11:AN$370,$AR84),0)</f>
        <v>1054.175931681872</v>
      </c>
      <c r="AV84" s="10">
        <f>IFERROR(求节点(节奏总纲!U$4:U$363,AO$11:AO$370,$AR84),0)</f>
        <v>675.84737975316091</v>
      </c>
      <c r="AW84" s="10">
        <f>IFERROR(求节点(节奏总纲!V$4:V$363,AP$11:AP$370,$AR84),0)</f>
        <v>216.04774971482664</v>
      </c>
    </row>
    <row r="85" spans="18:49" x14ac:dyDescent="0.15">
      <c r="R85" s="10">
        <v>0.8</v>
      </c>
      <c r="S85" s="10">
        <f t="shared" si="9"/>
        <v>0.19999999999999996</v>
      </c>
      <c r="T85" s="10">
        <f t="shared" si="10"/>
        <v>4.0000000000000009</v>
      </c>
      <c r="U85" s="10">
        <f t="shared" si="8"/>
        <v>1.2838078115466955</v>
      </c>
      <c r="V85" s="10">
        <f t="shared" si="11"/>
        <v>3.5432943830531731</v>
      </c>
      <c r="W85" s="10">
        <f t="shared" si="12"/>
        <v>1.0270462492373564</v>
      </c>
      <c r="X85" s="10">
        <f t="shared" si="13"/>
        <v>0.70865887661063443</v>
      </c>
      <c r="Y85" s="10">
        <f t="shared" si="14"/>
        <v>2.7046249237356434E-2</v>
      </c>
      <c r="AK85" s="10">
        <v>75</v>
      </c>
      <c r="AL85" s="10">
        <f>MAX($AK85-积分赛!$C$7,0)*$AH$7/30</f>
        <v>534.71155199926727</v>
      </c>
      <c r="AM85" s="10">
        <f>MAX($AK85-积分赛!$C$7,0)*$AH$7/30</f>
        <v>534.71155199926727</v>
      </c>
      <c r="AN85" s="10">
        <f>MAX($AK85-积分赛!$C$7,0)*$AH$7/30</f>
        <v>534.71155199926727</v>
      </c>
      <c r="AO85" s="10">
        <f>MAX($AK85-积分赛!$C$7,0)*$AH$7/30</f>
        <v>534.71155199926727</v>
      </c>
      <c r="AP85" s="10">
        <f>MAX($AK85-积分赛!$C$7,0)*$AH$7/30</f>
        <v>534.71155199926727</v>
      </c>
      <c r="AR85" s="10">
        <v>75</v>
      </c>
      <c r="AS85" s="10">
        <f>IFERROR(求节点(节奏总纲!R$4:R$363,AL$11:AL$370,$AR85),0)</f>
        <v>1782.617748771512</v>
      </c>
      <c r="AT85" s="10">
        <f>IFERROR(求节点(节奏总纲!S$4:S$363,AM$11:AM$370,$AR85),0)</f>
        <v>1494.3806269802258</v>
      </c>
      <c r="AU85" s="10">
        <f>IFERROR(求节点(节奏总纲!T$4:T$363,AN$11:AN$370,$AR85),0)</f>
        <v>1157.2805512863231</v>
      </c>
      <c r="AV85" s="10">
        <f>IFERROR(求节点(节奏总纲!U$4:U$363,AO$11:AO$370,$AR85),0)</f>
        <v>751.28794510573118</v>
      </c>
      <c r="AW85" s="10">
        <f>IFERROR(求节点(节奏总纲!V$4:V$363,AP$11:AP$370,$AR85),0)</f>
        <v>258.6951138979274</v>
      </c>
    </row>
    <row r="86" spans="18:49" x14ac:dyDescent="0.15">
      <c r="R86" s="10">
        <v>0.81</v>
      </c>
      <c r="S86" s="10">
        <f t="shared" si="9"/>
        <v>0.18999999999999995</v>
      </c>
      <c r="T86" s="10">
        <f t="shared" si="10"/>
        <v>4.2631578947368434</v>
      </c>
      <c r="U86" s="10">
        <f t="shared" si="8"/>
        <v>1.2806264028899768</v>
      </c>
      <c r="V86" s="10">
        <f t="shared" si="11"/>
        <v>3.5801198390733595</v>
      </c>
      <c r="W86" s="10">
        <f t="shared" si="12"/>
        <v>1.0373073863408813</v>
      </c>
      <c r="X86" s="10">
        <f t="shared" si="13"/>
        <v>0.68022276942393811</v>
      </c>
      <c r="Y86" s="10">
        <f t="shared" si="14"/>
        <v>3.7307386340881266E-2</v>
      </c>
      <c r="AK86" s="10">
        <v>76</v>
      </c>
      <c r="AL86" s="10">
        <f>MAX($AK86-积分赛!$C$7,0)*$AH$7/30</f>
        <v>546.59403093258436</v>
      </c>
      <c r="AM86" s="10">
        <f>MAX($AK86-积分赛!$C$7,0)*$AH$7/30</f>
        <v>546.59403093258436</v>
      </c>
      <c r="AN86" s="10">
        <f>MAX($AK86-积分赛!$C$7,0)*$AH$7/30</f>
        <v>546.59403093258436</v>
      </c>
      <c r="AO86" s="10">
        <f>MAX($AK86-积分赛!$C$7,0)*$AH$7/30</f>
        <v>546.59403093258436</v>
      </c>
      <c r="AP86" s="10">
        <f>MAX($AK86-积分赛!$C$7,0)*$AH$7/30</f>
        <v>546.59403093258436</v>
      </c>
      <c r="AR86" s="10">
        <v>76</v>
      </c>
      <c r="AS86" s="10">
        <f>IFERROR(求节点(节奏总纲!R$4:R$363,AL$11:AL$370,$AR86),0)</f>
        <v>1936.9932052249676</v>
      </c>
      <c r="AT86" s="10">
        <f>IFERROR(求节点(节奏总纲!S$4:S$363,AM$11:AM$370,$AR86),0)</f>
        <v>1627.6185446559737</v>
      </c>
      <c r="AU86" s="10">
        <f>IFERROR(求节点(节奏总纲!T$4:T$363,AN$11:AN$370,$AR86),0)</f>
        <v>1265.9602559437485</v>
      </c>
      <c r="AV86" s="10">
        <f>IFERROR(求节点(节奏总纲!U$4:U$363,AO$11:AO$370,$AR86),0)</f>
        <v>832.26020034300984</v>
      </c>
      <c r="AW86" s="10">
        <f>IFERROR(求节点(节奏总纲!V$4:V$363,AP$11:AP$370,$AR86),0)</f>
        <v>304.93296000974345</v>
      </c>
    </row>
    <row r="87" spans="18:49" x14ac:dyDescent="0.15">
      <c r="R87" s="10">
        <v>0.82</v>
      </c>
      <c r="S87" s="10">
        <f t="shared" si="9"/>
        <v>0.18000000000000005</v>
      </c>
      <c r="T87" s="10">
        <f t="shared" si="10"/>
        <v>4.5555555555555545</v>
      </c>
      <c r="U87" s="10">
        <f t="shared" si="8"/>
        <v>1.2777413159403792</v>
      </c>
      <c r="V87" s="10">
        <f t="shared" si="11"/>
        <v>3.6144751298251694</v>
      </c>
      <c r="W87" s="10">
        <f t="shared" si="12"/>
        <v>1.0477478790711108</v>
      </c>
      <c r="X87" s="10">
        <f t="shared" si="13"/>
        <v>0.65060552336853061</v>
      </c>
      <c r="Y87" s="10">
        <f t="shared" si="14"/>
        <v>4.7747879071110777E-2</v>
      </c>
      <c r="AK87" s="10">
        <v>77</v>
      </c>
      <c r="AL87" s="10">
        <f>MAX($AK87-积分赛!$C$7,0)*$AH$7/30</f>
        <v>558.47650986590133</v>
      </c>
      <c r="AM87" s="10">
        <f>MAX($AK87-积分赛!$C$7,0)*$AH$7/30</f>
        <v>558.47650986590133</v>
      </c>
      <c r="AN87" s="10">
        <f>MAX($AK87-积分赛!$C$7,0)*$AH$7/30</f>
        <v>558.47650986590133</v>
      </c>
      <c r="AO87" s="10">
        <f>MAX($AK87-积分赛!$C$7,0)*$AH$7/30</f>
        <v>558.47650986590133</v>
      </c>
      <c r="AP87" s="10">
        <f>MAX($AK87-积分赛!$C$7,0)*$AH$7/30</f>
        <v>558.47650986590133</v>
      </c>
      <c r="AR87" s="10">
        <v>77</v>
      </c>
      <c r="AS87" s="10">
        <f>IFERROR(求节点(节奏总纲!R$4:R$363,AL$11:AL$370,$AR87),0)</f>
        <v>2102.4930251244796</v>
      </c>
      <c r="AT87" s="10">
        <f>IFERROR(求节点(节奏总纲!S$4:S$363,AM$11:AM$370,$AR87),0)</f>
        <v>1772.047941687541</v>
      </c>
      <c r="AU87" s="10">
        <f>IFERROR(求节点(节奏总纲!T$4:T$363,AN$11:AN$370,$AR87),0)</f>
        <v>1384.8825007385465</v>
      </c>
      <c r="AV87" s="10">
        <f>IFERROR(求节点(节奏总纲!U$4:U$363,AO$11:AO$370,$AR87),0)</f>
        <v>920.09101323304731</v>
      </c>
      <c r="AW87" s="10">
        <f>IFERROR(求节点(节奏总纲!V$4:V$363,AP$11:AP$370,$AR87),0)</f>
        <v>351.13793404804557</v>
      </c>
    </row>
    <row r="88" spans="18:49" x14ac:dyDescent="0.15">
      <c r="R88" s="10">
        <v>0.83</v>
      </c>
      <c r="S88" s="10">
        <f t="shared" si="9"/>
        <v>0.17000000000000004</v>
      </c>
      <c r="T88" s="10">
        <f t="shared" si="10"/>
        <v>4.8823529411764692</v>
      </c>
      <c r="U88" s="10">
        <f t="shared" si="8"/>
        <v>1.2751255005773936</v>
      </c>
      <c r="V88" s="10">
        <f t="shared" si="11"/>
        <v>3.6464459338196371</v>
      </c>
      <c r="W88" s="10">
        <f t="shared" si="12"/>
        <v>1.0583541654792366</v>
      </c>
      <c r="X88" s="10">
        <f t="shared" si="13"/>
        <v>0.61989580874933847</v>
      </c>
      <c r="Y88" s="10">
        <f t="shared" si="14"/>
        <v>5.8354165479236553E-2</v>
      </c>
      <c r="AK88" s="10">
        <v>78</v>
      </c>
      <c r="AL88" s="10">
        <f>MAX($AK88-积分赛!$C$7,0)*$AH$7/30</f>
        <v>570.35898879921842</v>
      </c>
      <c r="AM88" s="10">
        <f>MAX($AK88-积分赛!$C$7,0)*$AH$7/30</f>
        <v>570.35898879921842</v>
      </c>
      <c r="AN88" s="10">
        <f>MAX($AK88-积分赛!$C$7,0)*$AH$7/30</f>
        <v>570.35898879921842</v>
      </c>
      <c r="AO88" s="10">
        <f>MAX($AK88-积分赛!$C$7,0)*$AH$7/30</f>
        <v>570.35898879921842</v>
      </c>
      <c r="AP88" s="10">
        <f>MAX($AK88-积分赛!$C$7,0)*$AH$7/30</f>
        <v>570.35898879921842</v>
      </c>
      <c r="AR88" s="10">
        <v>78</v>
      </c>
      <c r="AS88" s="10">
        <f>IFERROR(求节点(节奏总纲!R$4:R$363,AL$11:AL$370,$AR88),0)</f>
        <v>2279.879787797036</v>
      </c>
      <c r="AT88" s="10">
        <f>IFERROR(求节点(节奏总纲!S$4:S$363,AM$11:AM$370,$AR88),0)</f>
        <v>1925.5125387558699</v>
      </c>
      <c r="AU88" s="10">
        <f>IFERROR(求节点(节奏总纲!T$4:T$363,AN$11:AN$370,$AR88),0)</f>
        <v>1511.9979239450633</v>
      </c>
      <c r="AV88" s="10">
        <f>IFERROR(求节点(节奏总纲!U$4:U$363,AO$11:AO$370,$AR88),0)</f>
        <v>1012.04969530574</v>
      </c>
      <c r="AW88" s="10">
        <f>IFERROR(求节点(节奏总纲!V$4:V$363,AP$11:AP$370,$AR88),0)</f>
        <v>400.08760000107145</v>
      </c>
    </row>
    <row r="89" spans="18:49" x14ac:dyDescent="0.15">
      <c r="R89" s="10">
        <v>0.84</v>
      </c>
      <c r="S89" s="10">
        <f t="shared" si="9"/>
        <v>0.16000000000000003</v>
      </c>
      <c r="T89" s="10">
        <f t="shared" si="10"/>
        <v>5.2499999999999991</v>
      </c>
      <c r="U89" s="10">
        <f t="shared" si="8"/>
        <v>1.2727542769409486</v>
      </c>
      <c r="V89" s="10">
        <f t="shared" si="11"/>
        <v>3.6761286186105488</v>
      </c>
      <c r="W89" s="10">
        <f t="shared" si="12"/>
        <v>1.0691135926303967</v>
      </c>
      <c r="X89" s="10">
        <f t="shared" si="13"/>
        <v>0.58818057897768794</v>
      </c>
      <c r="Y89" s="10">
        <f t="shared" si="14"/>
        <v>6.9113592630396736E-2</v>
      </c>
      <c r="AK89" s="10">
        <v>79</v>
      </c>
      <c r="AL89" s="10">
        <f>MAX($AK89-积分赛!$C$7,0)*$AH$7/30</f>
        <v>582.24146773253551</v>
      </c>
      <c r="AM89" s="10">
        <f>MAX($AK89-积分赛!$C$7,0)*$AH$7/30</f>
        <v>582.24146773253551</v>
      </c>
      <c r="AN89" s="10">
        <f>MAX($AK89-积分赛!$C$7,0)*$AH$7/30</f>
        <v>582.24146773253551</v>
      </c>
      <c r="AO89" s="10">
        <f>MAX($AK89-积分赛!$C$7,0)*$AH$7/30</f>
        <v>582.24146773253551</v>
      </c>
      <c r="AP89" s="10">
        <f>MAX($AK89-积分赛!$C$7,0)*$AH$7/30</f>
        <v>582.24146773253551</v>
      </c>
      <c r="AR89" s="10">
        <v>79</v>
      </c>
      <c r="AS89" s="10">
        <f>IFERROR(求节点(节奏总纲!R$4:R$363,AL$11:AL$370,$AR89),0)</f>
        <v>2469.9486210156974</v>
      </c>
      <c r="AT89" s="10">
        <f>IFERROR(求节点(节奏总纲!S$4:S$363,AM$11:AM$370,$AR89),0)</f>
        <v>2092.3122394951379</v>
      </c>
      <c r="AU89" s="10">
        <f>IFERROR(求节点(节奏总纲!T$4:T$363,AN$11:AN$370,$AR89),0)</f>
        <v>1648.5396278171547</v>
      </c>
      <c r="AV89" s="10">
        <f>IFERROR(求节点(节奏总纲!U$4:U$363,AO$11:AO$370,$AR89),0)</f>
        <v>1106.5091440305428</v>
      </c>
      <c r="AW89" s="10">
        <f>IFERROR(求节点(节奏总纲!V$4:V$363,AP$11:AP$370,$AR89),0)</f>
        <v>453.03725188331191</v>
      </c>
    </row>
    <row r="90" spans="18:49" x14ac:dyDescent="0.15">
      <c r="R90" s="10">
        <v>0.85</v>
      </c>
      <c r="S90" s="10">
        <f t="shared" si="9"/>
        <v>0.15000000000000002</v>
      </c>
      <c r="T90" s="10">
        <f t="shared" si="10"/>
        <v>5.6666666666666661</v>
      </c>
      <c r="U90" s="10">
        <f t="shared" si="8"/>
        <v>1.2706051457313137</v>
      </c>
      <c r="V90" s="10">
        <f t="shared" si="11"/>
        <v>3.7036274807526941</v>
      </c>
      <c r="W90" s="10">
        <f t="shared" si="12"/>
        <v>1.0800143738716166</v>
      </c>
      <c r="X90" s="10">
        <f t="shared" si="13"/>
        <v>0.55554412211290416</v>
      </c>
      <c r="Y90" s="10">
        <f t="shared" si="14"/>
        <v>8.0014373871616584E-2</v>
      </c>
      <c r="AK90" s="10">
        <v>80</v>
      </c>
      <c r="AL90" s="10">
        <f>MAX($AK90-积分赛!$C$7,0)*$AH$7/30</f>
        <v>594.12394666585249</v>
      </c>
      <c r="AM90" s="10">
        <f>MAX($AK90-积分赛!$C$7,0)*$AH$7/30</f>
        <v>594.12394666585249</v>
      </c>
      <c r="AN90" s="10">
        <f>MAX($AK90-积分赛!$C$7,0)*$AH$7/30</f>
        <v>594.12394666585249</v>
      </c>
      <c r="AO90" s="10">
        <f>MAX($AK90-积分赛!$C$7,0)*$AH$7/30</f>
        <v>594.12394666585249</v>
      </c>
      <c r="AP90" s="10">
        <f>MAX($AK90-积分赛!$C$7,0)*$AH$7/30</f>
        <v>594.12394666585249</v>
      </c>
      <c r="AR90" s="10">
        <v>80</v>
      </c>
      <c r="AS90" s="10">
        <f>IFERROR(求节点(节奏总纲!R$4:R$363,AL$11:AL$370,$AR90),0)</f>
        <v>2673.5577599963362</v>
      </c>
      <c r="AT90" s="10">
        <f>IFERROR(求节点(节奏总纲!S$4:S$363,AM$11:AM$370,$AR90),0)</f>
        <v>2270.579966239573</v>
      </c>
      <c r="AU90" s="10">
        <f>IFERROR(求节点(节奏总纲!T$4:T$363,AN$11:AN$370,$AR90),0)</f>
        <v>1786.5293347094143</v>
      </c>
      <c r="AV90" s="10">
        <f>IFERROR(求节点(节奏总纲!U$4:U$363,AO$11:AO$370,$AR90),0)</f>
        <v>1207.2551991247115</v>
      </c>
      <c r="AW90" s="10">
        <f>IFERROR(求节点(节奏总纲!V$4:V$363,AP$11:AP$370,$AR90),0)</f>
        <v>508.47232980147328</v>
      </c>
    </row>
    <row r="91" spans="18:49" x14ac:dyDescent="0.15">
      <c r="R91" s="10">
        <v>0.86</v>
      </c>
      <c r="S91" s="10">
        <f t="shared" si="9"/>
        <v>0.14000000000000001</v>
      </c>
      <c r="T91" s="10">
        <f t="shared" si="10"/>
        <v>6.1428571428571423</v>
      </c>
      <c r="U91" s="10">
        <f t="shared" si="8"/>
        <v>1.2686576103408926</v>
      </c>
      <c r="V91" s="10">
        <f t="shared" si="11"/>
        <v>3.7290522568103217</v>
      </c>
      <c r="W91" s="10">
        <f t="shared" si="12"/>
        <v>1.0910455448931677</v>
      </c>
      <c r="X91" s="10">
        <f t="shared" si="13"/>
        <v>0.52206731595344513</v>
      </c>
      <c r="Y91" s="10">
        <f t="shared" si="14"/>
        <v>9.104554489316774E-2</v>
      </c>
      <c r="AK91" s="10">
        <v>81</v>
      </c>
      <c r="AL91" s="10">
        <f>MAX($AK91-积分赛!$C$7,0)*$AH$7/30</f>
        <v>606.00642559916957</v>
      </c>
      <c r="AM91" s="10">
        <f>MAX($AK91-积分赛!$C$7,0)*$AH$7/30</f>
        <v>606.00642559916957</v>
      </c>
      <c r="AN91" s="10">
        <f>MAX($AK91-积分赛!$C$7,0)*$AH$7/30</f>
        <v>606.00642559916957</v>
      </c>
      <c r="AO91" s="10">
        <f>MAX($AK91-积分赛!$C$7,0)*$AH$7/30</f>
        <v>606.00642559916957</v>
      </c>
      <c r="AP91" s="10">
        <f>MAX($AK91-积分赛!$C$7,0)*$AH$7/30</f>
        <v>606.00642559916957</v>
      </c>
      <c r="AR91" s="12">
        <v>81</v>
      </c>
      <c r="AS91" s="10">
        <f>IFERROR(求节点(节奏总纲!R$4:R$363,AL$11:AL$370,$AR91),0)</f>
        <v>2892.0809574680761</v>
      </c>
      <c r="AT91" s="10">
        <f>IFERROR(求节点(节奏总纲!S$4:S$363,AM$11:AM$370,$AR91),0)</f>
        <v>2452.3208405950345</v>
      </c>
      <c r="AU91" s="10">
        <f>IFERROR(求节点(节奏总纲!T$4:T$363,AN$11:AN$370,$AR91),0)</f>
        <v>1933.2392954758275</v>
      </c>
      <c r="AV91" s="10">
        <f>IFERROR(求节点(节奏总纲!U$4:U$363,AO$11:AO$370,$AR91),0)</f>
        <v>1316.298418514187</v>
      </c>
      <c r="AW91" s="10">
        <f>IFERROR(求节点(节奏总纲!V$4:V$363,AP$11:AP$370,$AR91),0)</f>
        <v>568.73917720351301</v>
      </c>
    </row>
    <row r="92" spans="18:49" x14ac:dyDescent="0.15">
      <c r="R92" s="10">
        <v>0.87</v>
      </c>
      <c r="S92" s="10">
        <f t="shared" si="9"/>
        <v>0.13</v>
      </c>
      <c r="T92" s="10">
        <f t="shared" si="10"/>
        <v>6.6923076923076916</v>
      </c>
      <c r="U92" s="10">
        <f t="shared" si="8"/>
        <v>1.2668930107487557</v>
      </c>
      <c r="V92" s="10">
        <f t="shared" si="11"/>
        <v>3.7525159251303735</v>
      </c>
      <c r="W92" s="10">
        <f t="shared" si="12"/>
        <v>1.1021969193514174</v>
      </c>
      <c r="X92" s="10">
        <f t="shared" si="13"/>
        <v>0.48782707026694855</v>
      </c>
      <c r="Y92" s="10">
        <f t="shared" si="14"/>
        <v>0.10219691935141739</v>
      </c>
      <c r="AK92" s="10">
        <v>82</v>
      </c>
      <c r="AL92" s="10">
        <f>MAX($AK92-积分赛!$C$7,0)*$AH$7/30</f>
        <v>617.88890453248666</v>
      </c>
      <c r="AM92" s="10">
        <f>MAX($AK92-积分赛!$C$7,0)*$AH$7/30</f>
        <v>617.88890453248666</v>
      </c>
      <c r="AN92" s="10">
        <f>MAX($AK92-积分赛!$C$7,0)*$AH$7/30</f>
        <v>617.88890453248666</v>
      </c>
      <c r="AO92" s="10">
        <f>MAX($AK92-积分赛!$C$7,0)*$AH$7/30</f>
        <v>617.88890453248666</v>
      </c>
      <c r="AP92" s="10">
        <f>MAX($AK92-积分赛!$C$7,0)*$AH$7/30</f>
        <v>617.88890453248666</v>
      </c>
      <c r="AR92" s="12">
        <v>82</v>
      </c>
      <c r="AS92" s="10">
        <f>IFERROR(求节点(节奏总纲!R$4:R$363,AL$11:AL$370,$AR92),0)</f>
        <v>3125.9383535065326</v>
      </c>
      <c r="AT92" s="10">
        <f>IFERROR(求节点(节奏总纲!S$4:S$363,AM$11:AM$370,$AR92),0)</f>
        <v>2651.7309117506752</v>
      </c>
      <c r="AU92" s="10">
        <f>IFERROR(求节点(节奏总纲!T$4:T$363,AN$11:AN$370,$AR92),0)</f>
        <v>2096.0919951714404</v>
      </c>
      <c r="AV92" s="10">
        <f>IFERROR(求节点(节奏总纲!U$4:U$363,AO$11:AO$370,$AR92),0)</f>
        <v>1435.6699133454088</v>
      </c>
      <c r="AW92" s="10">
        <f>IFERROR(求节点(节奏总纲!V$4:V$363,AP$11:AP$370,$AR92),0)</f>
        <v>632.74131684716951</v>
      </c>
    </row>
    <row r="93" spans="18:49" x14ac:dyDescent="0.15">
      <c r="R93" s="10">
        <v>0.88</v>
      </c>
      <c r="S93" s="10">
        <f t="shared" si="9"/>
        <v>0.12</v>
      </c>
      <c r="T93" s="10">
        <f t="shared" si="10"/>
        <v>7.3333333333333339</v>
      </c>
      <c r="U93" s="10">
        <f t="shared" si="8"/>
        <v>1.265294368941545</v>
      </c>
      <c r="V93" s="10">
        <f t="shared" si="11"/>
        <v>3.774132803658746</v>
      </c>
      <c r="W93" s="10">
        <f t="shared" si="12"/>
        <v>1.1134590446685597</v>
      </c>
      <c r="X93" s="10">
        <f t="shared" si="13"/>
        <v>0.45289593643904952</v>
      </c>
      <c r="Y93" s="10">
        <f t="shared" si="14"/>
        <v>0.11345904466855972</v>
      </c>
      <c r="AK93" s="10">
        <v>83</v>
      </c>
      <c r="AL93" s="10">
        <f>MAX($AK93-积分赛!$C$7,0)*$AH$7/30</f>
        <v>629.77138346580375</v>
      </c>
      <c r="AM93" s="10">
        <f>MAX($AK93-积分赛!$C$7,0)*$AH$7/30</f>
        <v>629.77138346580375</v>
      </c>
      <c r="AN93" s="10">
        <f>MAX($AK93-积分赛!$C$7,0)*$AH$7/30</f>
        <v>629.77138346580375</v>
      </c>
      <c r="AO93" s="10">
        <f>MAX($AK93-积分赛!$C$7,0)*$AH$7/30</f>
        <v>629.77138346580375</v>
      </c>
      <c r="AP93" s="10">
        <f>MAX($AK93-积分赛!$C$7,0)*$AH$7/30</f>
        <v>629.77138346580375</v>
      </c>
      <c r="AR93" s="12">
        <v>83</v>
      </c>
      <c r="AS93" s="10">
        <f>IFERROR(求节点(节奏总纲!R$4:R$363,AL$11:AL$370,$AR93),0)</f>
        <v>3376.7998320246397</v>
      </c>
      <c r="AT93" s="10">
        <f>IFERROR(求节点(节奏总纲!S$4:S$363,AM$11:AM$370,$AR93),0)</f>
        <v>2870.2960251751406</v>
      </c>
      <c r="AU93" s="10">
        <f>IFERROR(求节点(节奏总纲!T$4:T$363,AN$11:AN$370,$AR93),0)</f>
        <v>2276.2479215252556</v>
      </c>
      <c r="AV93" s="10">
        <f>IFERROR(求节点(节奏总纲!U$4:U$363,AO$11:AO$370,$AR93),0)</f>
        <v>1563.6508006019469</v>
      </c>
      <c r="AW93" s="10">
        <f>IFERROR(求节点(节奏总纲!V$4:V$363,AP$11:AP$370,$AR93),0)</f>
        <v>703.51900643588931</v>
      </c>
    </row>
    <row r="94" spans="18:49" x14ac:dyDescent="0.15">
      <c r="R94" s="10">
        <v>0.89</v>
      </c>
      <c r="S94" s="10">
        <f t="shared" si="9"/>
        <v>0.10999999999999999</v>
      </c>
      <c r="T94" s="10">
        <f t="shared" si="10"/>
        <v>8.0909090909090917</v>
      </c>
      <c r="U94" s="10">
        <f t="shared" si="8"/>
        <v>1.2638462455001727</v>
      </c>
      <c r="V94" s="10">
        <f t="shared" si="11"/>
        <v>3.7940169377201678</v>
      </c>
      <c r="W94" s="10">
        <f t="shared" si="12"/>
        <v>1.1248231584951536</v>
      </c>
      <c r="X94" s="10">
        <f t="shared" si="13"/>
        <v>0.4173418631492184</v>
      </c>
      <c r="Y94" s="10">
        <f t="shared" si="14"/>
        <v>0.12482315849515357</v>
      </c>
      <c r="AK94" s="10">
        <v>84</v>
      </c>
      <c r="AL94" s="10">
        <f>MAX($AK94-积分赛!$C$7,0)*$AH$7/30</f>
        <v>641.65386239912073</v>
      </c>
      <c r="AM94" s="10">
        <f>MAX($AK94-积分赛!$C$7,0)*$AH$7/30</f>
        <v>641.65386239912073</v>
      </c>
      <c r="AN94" s="10">
        <f>MAX($AK94-积分赛!$C$7,0)*$AH$7/30</f>
        <v>641.65386239912073</v>
      </c>
      <c r="AO94" s="10">
        <f>MAX($AK94-积分赛!$C$7,0)*$AH$7/30</f>
        <v>641.65386239912073</v>
      </c>
      <c r="AP94" s="10">
        <f>MAX($AK94-积分赛!$C$7,0)*$AH$7/30</f>
        <v>641.65386239912073</v>
      </c>
      <c r="AR94" s="12">
        <v>84</v>
      </c>
      <c r="AS94" s="10">
        <f>IFERROR(求节点(节奏总纲!R$4:R$363,AL$11:AL$370,$AR94),0)</f>
        <v>3645.6055027000457</v>
      </c>
      <c r="AT94" s="10">
        <f>IFERROR(求节点(节奏总纲!S$4:S$363,AM$11:AM$370,$AR94),0)</f>
        <v>3104.4952104630261</v>
      </c>
      <c r="AU94" s="10">
        <f>IFERROR(求节点(节奏总纲!T$4:T$363,AN$11:AN$370,$AR94),0)</f>
        <v>2463.0348418707449</v>
      </c>
      <c r="AV94" s="10">
        <f>IFERROR(求节点(节奏总纲!U$4:U$363,AO$11:AO$370,$AR94),0)</f>
        <v>1698.951086873579</v>
      </c>
      <c r="AW94" s="10">
        <f>IFERROR(求节点(节奏总纲!V$4:V$363,AP$11:AP$370,$AR94),0)</f>
        <v>780.25141815468442</v>
      </c>
    </row>
    <row r="95" spans="18:49" x14ac:dyDescent="0.15">
      <c r="R95" s="10">
        <v>0.9</v>
      </c>
      <c r="S95" s="10">
        <f t="shared" si="9"/>
        <v>9.9999999999999978E-2</v>
      </c>
      <c r="T95" s="10">
        <f t="shared" si="10"/>
        <v>9.0000000000000018</v>
      </c>
      <c r="U95" s="10">
        <f t="shared" si="8"/>
        <v>1.2625346069025947</v>
      </c>
      <c r="V95" s="10">
        <f t="shared" si="11"/>
        <v>3.8122807632360716</v>
      </c>
      <c r="W95" s="10">
        <f t="shared" si="12"/>
        <v>1.1362811462123352</v>
      </c>
      <c r="X95" s="10">
        <f t="shared" si="13"/>
        <v>0.38122807632360706</v>
      </c>
      <c r="Y95" s="10">
        <f t="shared" si="14"/>
        <v>0.13628114621233522</v>
      </c>
      <c r="AK95" s="10">
        <v>85</v>
      </c>
      <c r="AL95" s="10">
        <f>MAX($AK95-积分赛!$C$7,0)*$AH$7/30</f>
        <v>653.53634133243781</v>
      </c>
      <c r="AM95" s="10">
        <f>MAX($AK95-积分赛!$C$7,0)*$AH$7/30</f>
        <v>653.53634133243781</v>
      </c>
      <c r="AN95" s="10">
        <f>MAX($AK95-积分赛!$C$7,0)*$AH$7/30</f>
        <v>653.53634133243781</v>
      </c>
      <c r="AO95" s="10">
        <f>MAX($AK95-积分赛!$C$7,0)*$AH$7/30</f>
        <v>653.53634133243781</v>
      </c>
      <c r="AP95" s="10">
        <f>MAX($AK95-积分赛!$C$7,0)*$AH$7/30</f>
        <v>653.53634133243781</v>
      </c>
      <c r="AR95" s="12">
        <v>85</v>
      </c>
      <c r="AS95" s="10">
        <f>IFERROR(求节点(节奏总纲!R$4:R$363,AL$11:AL$370,$AR95),0)</f>
        <v>3923.1953980585172</v>
      </c>
      <c r="AT95" s="10">
        <f>IFERROR(求节点(节奏总纲!S$4:S$363,AM$11:AM$370,$AR95),0)</f>
        <v>3347.741147337264</v>
      </c>
      <c r="AU95" s="10">
        <f>IFERROR(求节点(节奏总纲!T$4:T$363,AN$11:AN$370,$AR95),0)</f>
        <v>2660.7883922778883</v>
      </c>
      <c r="AV95" s="10">
        <f>IFERROR(求节点(节奏总纲!U$4:U$363,AO$11:AO$370,$AR95),0)</f>
        <v>1848.870788484975</v>
      </c>
      <c r="AW95" s="10">
        <f>IFERROR(求节点(节奏总纲!V$4:V$363,AP$11:AP$370,$AR95),0)</f>
        <v>861.68442084447179</v>
      </c>
    </row>
    <row r="96" spans="18:49" x14ac:dyDescent="0.15">
      <c r="R96" s="10">
        <v>0.91</v>
      </c>
      <c r="S96" s="10">
        <f t="shared" si="9"/>
        <v>8.9999999999999969E-2</v>
      </c>
      <c r="T96" s="10">
        <f t="shared" si="10"/>
        <v>10.111111111111114</v>
      </c>
      <c r="U96" s="10">
        <f t="shared" si="8"/>
        <v>1.2613467030321528</v>
      </c>
      <c r="V96" s="10">
        <f t="shared" si="11"/>
        <v>3.8290340250134194</v>
      </c>
      <c r="W96" s="10">
        <f t="shared" si="12"/>
        <v>1.1478254997592592</v>
      </c>
      <c r="X96" s="10">
        <f t="shared" si="13"/>
        <v>0.34461306225120764</v>
      </c>
      <c r="Y96" s="10">
        <f t="shared" si="14"/>
        <v>0.14782549975925918</v>
      </c>
      <c r="AK96" s="10">
        <v>86</v>
      </c>
      <c r="AL96" s="10">
        <f>MAX($AK96-积分赛!$C$7,0)*$AH$7/30</f>
        <v>665.41882026575479</v>
      </c>
      <c r="AM96" s="10">
        <f>MAX($AK96-积分赛!$C$7,0)*$AH$7/30</f>
        <v>665.41882026575479</v>
      </c>
      <c r="AN96" s="10">
        <f>MAX($AK96-积分赛!$C$7,0)*$AH$7/30</f>
        <v>665.41882026575479</v>
      </c>
      <c r="AO96" s="10">
        <f>MAX($AK96-积分赛!$C$7,0)*$AH$7/30</f>
        <v>665.41882026575479</v>
      </c>
      <c r="AP96" s="10">
        <f>MAX($AK96-积分赛!$C$7,0)*$AH$7/30</f>
        <v>665.41882026575479</v>
      </c>
      <c r="AR96" s="12">
        <v>86</v>
      </c>
      <c r="AS96" s="10">
        <f>IFERROR(求节点(节奏总纲!R$4:R$363,AL$11:AL$370,$AR96),0)</f>
        <v>3969.3506380356762</v>
      </c>
      <c r="AT96" s="10">
        <f>IFERROR(求节点(节奏总纲!S$4:S$363,AM$11:AM$370,$AR96),0)</f>
        <v>3612.2895181372901</v>
      </c>
      <c r="AU96" s="10">
        <f>IFERROR(求节点(节奏总纲!T$4:T$363,AN$11:AN$370,$AR96),0)</f>
        <v>2878.5299376763301</v>
      </c>
      <c r="AV96" s="10">
        <f>IFERROR(求节点(节奏总纲!U$4:U$363,AO$11:AO$370,$AR96),0)</f>
        <v>2012.6936919957195</v>
      </c>
      <c r="AW96" s="10">
        <f>IFERROR(求节点(节奏总纲!V$4:V$363,AP$11:AP$370,$AR96),0)</f>
        <v>938.12150909958507</v>
      </c>
    </row>
    <row r="97" spans="18:49" x14ac:dyDescent="0.15">
      <c r="R97" s="10">
        <v>0.92</v>
      </c>
      <c r="S97" s="10">
        <f t="shared" si="9"/>
        <v>7.999999999999996E-2</v>
      </c>
      <c r="T97" s="10">
        <f t="shared" si="10"/>
        <v>11.500000000000007</v>
      </c>
      <c r="U97" s="10">
        <f t="shared" si="8"/>
        <v>1.2602709543428614</v>
      </c>
      <c r="V97" s="10">
        <f t="shared" si="11"/>
        <v>3.8443829261186107</v>
      </c>
      <c r="W97" s="10">
        <f t="shared" si="12"/>
        <v>1.1594492779954326</v>
      </c>
      <c r="X97" s="10">
        <f t="shared" si="13"/>
        <v>0.30755063408948868</v>
      </c>
      <c r="Y97" s="10">
        <f t="shared" si="14"/>
        <v>0.15944927799543263</v>
      </c>
      <c r="AK97" s="10">
        <v>87</v>
      </c>
      <c r="AL97" s="10">
        <f>MAX($AK97-积分赛!$C$7,0)*$AH$7/30</f>
        <v>677.30129919907188</v>
      </c>
      <c r="AM97" s="10">
        <f>MAX($AK97-积分赛!$C$7,0)*$AH$7/30</f>
        <v>677.30129919907188</v>
      </c>
      <c r="AN97" s="10">
        <f>MAX($AK97-积分赛!$C$7,0)*$AH$7/30</f>
        <v>677.30129919907188</v>
      </c>
      <c r="AO97" s="10">
        <f>MAX($AK97-积分赛!$C$7,0)*$AH$7/30</f>
        <v>677.30129919907188</v>
      </c>
      <c r="AP97" s="10">
        <f>MAX($AK97-积分赛!$C$7,0)*$AH$7/30</f>
        <v>677.30129919907188</v>
      </c>
      <c r="AR97" s="12">
        <v>87</v>
      </c>
      <c r="AS97" s="10">
        <f>IFERROR(求节点(节奏总纲!R$4:R$363,AL$11:AL$370,$AR97),0)</f>
        <v>4015.5058780128352</v>
      </c>
      <c r="AT97" s="10">
        <f>IFERROR(求节点(节奏总纲!S$4:S$363,AM$11:AM$370,$AR97),0)</f>
        <v>3901.0480438483496</v>
      </c>
      <c r="AU97" s="10">
        <f>IFERROR(求节点(节奏总纲!T$4:T$363,AN$11:AN$370,$AR97),0)</f>
        <v>3118.0408802413945</v>
      </c>
      <c r="AV97" s="10">
        <f>IFERROR(求节点(节奏总纲!U$4:U$363,AO$11:AO$370,$AR97),0)</f>
        <v>2169.5674863986783</v>
      </c>
      <c r="AW97" s="10">
        <f>IFERROR(求节点(节奏总纲!V$4:V$363,AP$11:AP$370,$AR97),0)</f>
        <v>1019.1129702589702</v>
      </c>
    </row>
    <row r="98" spans="18:49" x14ac:dyDescent="0.15">
      <c r="R98" s="10">
        <v>0.93</v>
      </c>
      <c r="S98" s="10">
        <f t="shared" si="9"/>
        <v>6.9999999999999951E-2</v>
      </c>
      <c r="T98" s="10">
        <f t="shared" si="10"/>
        <v>13.285714285714295</v>
      </c>
      <c r="U98" s="10">
        <f t="shared" si="8"/>
        <v>1.2592968481128266</v>
      </c>
      <c r="V98" s="10">
        <f t="shared" si="11"/>
        <v>3.8584294825475549</v>
      </c>
      <c r="W98" s="10">
        <f t="shared" si="12"/>
        <v>1.1711460687449289</v>
      </c>
      <c r="X98" s="10">
        <f t="shared" si="13"/>
        <v>0.27009006377832867</v>
      </c>
      <c r="Y98" s="10">
        <f t="shared" si="14"/>
        <v>0.17114606874492888</v>
      </c>
      <c r="AK98" s="10">
        <v>88</v>
      </c>
      <c r="AL98" s="10">
        <f>MAX($AK98-积分赛!$C$7,0)*$AH$7/30</f>
        <v>689.18377813238885</v>
      </c>
      <c r="AM98" s="10">
        <f>MAX($AK98-积分赛!$C$7,0)*$AH$7/30</f>
        <v>689.18377813238885</v>
      </c>
      <c r="AN98" s="10">
        <f>MAX($AK98-积分赛!$C$7,0)*$AH$7/30</f>
        <v>689.18377813238885</v>
      </c>
      <c r="AO98" s="10">
        <f>MAX($AK98-积分赛!$C$7,0)*$AH$7/30</f>
        <v>689.18377813238885</v>
      </c>
      <c r="AP98" s="10">
        <f>MAX($AK98-积分赛!$C$7,0)*$AH$7/30</f>
        <v>689.18377813238885</v>
      </c>
      <c r="AR98" s="12">
        <v>88</v>
      </c>
      <c r="AS98" s="10">
        <f>IFERROR(求节点(节奏总纲!R$4:R$363,AL$11:AL$370,$AR98),0)</f>
        <v>4061.6611179899942</v>
      </c>
      <c r="AT98" s="10">
        <f>IFERROR(求节点(节奏总纲!S$4:S$363,AM$11:AM$370,$AR98),0)</f>
        <v>3963.3392298015833</v>
      </c>
      <c r="AU98" s="10">
        <f>IFERROR(求节点(节奏总纲!T$4:T$363,AN$11:AN$370,$AR98),0)</f>
        <v>3361.5871975928671</v>
      </c>
      <c r="AV98" s="10">
        <f>IFERROR(求节点(节奏总纲!U$4:U$363,AO$11:AO$370,$AR98),0)</f>
        <v>2329.062831972778</v>
      </c>
      <c r="AW98" s="10">
        <f>IFERROR(求节点(节奏总纲!V$4:V$363,AP$11:AP$370,$AR98),0)</f>
        <v>1107.3023100510677</v>
      </c>
    </row>
    <row r="99" spans="18:49" x14ac:dyDescent="0.15">
      <c r="R99" s="10">
        <v>0.94</v>
      </c>
      <c r="S99" s="10">
        <f t="shared" si="9"/>
        <v>6.0000000000000053E-2</v>
      </c>
      <c r="T99" s="10">
        <f t="shared" si="10"/>
        <v>15.666666666666652</v>
      </c>
      <c r="U99" s="10">
        <f t="shared" si="8"/>
        <v>1.2584148432107771</v>
      </c>
      <c r="V99" s="10">
        <f t="shared" si="11"/>
        <v>3.8712710570195803</v>
      </c>
      <c r="W99" s="10">
        <f t="shared" si="12"/>
        <v>1.1829099526181304</v>
      </c>
      <c r="X99" s="10">
        <f t="shared" si="13"/>
        <v>0.23227626342117502</v>
      </c>
      <c r="Y99" s="10">
        <f t="shared" si="14"/>
        <v>0.18290995261813037</v>
      </c>
      <c r="AK99" s="10">
        <v>89</v>
      </c>
      <c r="AL99" s="10">
        <f>MAX($AK99-积分赛!$C$7,0)*$AH$7/30</f>
        <v>701.06625706570594</v>
      </c>
      <c r="AM99" s="10">
        <f>MAX($AK99-积分赛!$C$7,0)*$AH$7/30</f>
        <v>701.06625706570594</v>
      </c>
      <c r="AN99" s="10">
        <f>MAX($AK99-积分赛!$C$7,0)*$AH$7/30</f>
        <v>701.06625706570594</v>
      </c>
      <c r="AO99" s="10">
        <f>MAX($AK99-积分赛!$C$7,0)*$AH$7/30</f>
        <v>701.06625706570594</v>
      </c>
      <c r="AP99" s="10">
        <f>MAX($AK99-积分赛!$C$7,0)*$AH$7/30</f>
        <v>701.06625706570594</v>
      </c>
      <c r="AR99" s="12">
        <v>89</v>
      </c>
      <c r="AS99" s="10">
        <f>IFERROR(求节点(节奏总纲!R$4:R$363,AL$11:AL$370,$AR99),0)</f>
        <v>4107.8163579671536</v>
      </c>
      <c r="AT99" s="10">
        <f>IFERROR(求节点(节奏总纲!S$4:S$363,AM$11:AM$370,$AR99),0)</f>
        <v>4008.3771755947828</v>
      </c>
      <c r="AU99" s="10">
        <f>IFERROR(求节点(节奏总纲!T$4:T$363,AN$11:AN$370,$AR99),0)</f>
        <v>3595.9184457000624</v>
      </c>
      <c r="AV99" s="10">
        <f>IFERROR(求节点(节奏总纲!U$4:U$363,AO$11:AO$370,$AR99),0)</f>
        <v>2499.0638795480586</v>
      </c>
      <c r="AW99" s="10">
        <f>IFERROR(求节点(节奏总纲!V$4:V$363,AP$11:AP$370,$AR99),0)</f>
        <v>1195.7636909243672</v>
      </c>
    </row>
    <row r="100" spans="18:49" x14ac:dyDescent="0.15">
      <c r="R100" s="10">
        <v>0.95</v>
      </c>
      <c r="S100" s="10">
        <f t="shared" si="9"/>
        <v>5.0000000000000044E-2</v>
      </c>
      <c r="T100" s="10">
        <f t="shared" si="10"/>
        <v>18.999999999999982</v>
      </c>
      <c r="U100" s="10">
        <f t="shared" si="8"/>
        <v>1.2576162828052122</v>
      </c>
      <c r="V100" s="10">
        <f t="shared" si="11"/>
        <v>3.8830000463975125</v>
      </c>
      <c r="W100" s="10">
        <f t="shared" si="12"/>
        <v>1.1947354686649516</v>
      </c>
      <c r="X100" s="10">
        <f t="shared" si="13"/>
        <v>0.19415000231987581</v>
      </c>
      <c r="Y100" s="10">
        <f t="shared" si="14"/>
        <v>0.19473546866495162</v>
      </c>
      <c r="AK100" s="10">
        <v>90</v>
      </c>
      <c r="AL100" s="10">
        <f>MAX($AK100-积分赛!$C$7,0)*$AH$7/30</f>
        <v>712.94873599902303</v>
      </c>
      <c r="AM100" s="10">
        <f>MAX($AK100-积分赛!$C$7,0)*$AH$7/30</f>
        <v>712.94873599902303</v>
      </c>
      <c r="AN100" s="10">
        <f>MAX($AK100-积分赛!$C$7,0)*$AH$7/30</f>
        <v>712.94873599902303</v>
      </c>
      <c r="AO100" s="10">
        <f>MAX($AK100-积分赛!$C$7,0)*$AH$7/30</f>
        <v>712.94873599902303</v>
      </c>
      <c r="AP100" s="10">
        <f>MAX($AK100-积分赛!$C$7,0)*$AH$7/30</f>
        <v>712.94873599902303</v>
      </c>
      <c r="AR100" s="12">
        <v>90</v>
      </c>
      <c r="AS100" s="10">
        <f>IFERROR(求节点(节奏总纲!R$4:R$363,AL$11:AL$370,$AR100),0)</f>
        <v>4153.9715979443126</v>
      </c>
      <c r="AT100" s="10">
        <f>IFERROR(求节点(节奏总纲!S$4:S$363,AM$11:AM$370,$AR100),0)</f>
        <v>4053.4151213879827</v>
      </c>
      <c r="AU100" s="10">
        <f>IFERROR(求节点(节奏总纲!T$4:T$363,AN$11:AN$370,$AR100),0)</f>
        <v>3851.5486140225039</v>
      </c>
      <c r="AV100" s="10">
        <f>IFERROR(求节点(节奏总纲!U$4:U$363,AO$11:AO$370,$AR100),0)</f>
        <v>2672.4290789196921</v>
      </c>
      <c r="AW100" s="10">
        <f>IFERROR(求节点(节奏总纲!V$4:V$363,AP$11:AP$370,$AR100),0)</f>
        <v>1289.5571564337072</v>
      </c>
    </row>
    <row r="101" spans="18:49" x14ac:dyDescent="0.15">
      <c r="R101" s="10">
        <v>0.96</v>
      </c>
      <c r="S101" s="10">
        <f t="shared" si="9"/>
        <v>4.0000000000000036E-2</v>
      </c>
      <c r="T101" s="10">
        <f t="shared" si="10"/>
        <v>23.999999999999979</v>
      </c>
      <c r="U101" s="10">
        <f t="shared" si="8"/>
        <v>1.2568933144582679</v>
      </c>
      <c r="V101" s="10">
        <f t="shared" si="11"/>
        <v>3.8937036986545759</v>
      </c>
      <c r="W101" s="10">
        <f t="shared" si="12"/>
        <v>1.2066175818799372</v>
      </c>
      <c r="X101" s="10">
        <f t="shared" si="13"/>
        <v>0.15574814794618316</v>
      </c>
      <c r="Y101" s="10">
        <f t="shared" si="14"/>
        <v>0.20661758187993717</v>
      </c>
      <c r="AK101" s="10">
        <v>91</v>
      </c>
      <c r="AL101" s="10">
        <f>MAX($AK101-积分赛!$C$7,0)*$AH$7/30</f>
        <v>724.83121493234</v>
      </c>
      <c r="AM101" s="10">
        <f>MAX($AK101-积分赛!$C$7,0)*$AH$7/30</f>
        <v>724.83121493234</v>
      </c>
      <c r="AN101" s="10">
        <f>MAX($AK101-积分赛!$C$7,0)*$AH$7/30</f>
        <v>724.83121493234</v>
      </c>
      <c r="AO101" s="10">
        <f>MAX($AK101-积分赛!$C$7,0)*$AH$7/30</f>
        <v>724.83121493234</v>
      </c>
      <c r="AP101" s="10">
        <f>MAX($AK101-积分赛!$C$7,0)*$AH$7/30</f>
        <v>724.83121493234</v>
      </c>
      <c r="AR101" s="12">
        <v>91</v>
      </c>
      <c r="AS101" s="10">
        <f>IFERROR(求节点(节奏总纲!R$4:R$363,AL$11:AL$370,$AR101),0)</f>
        <v>4200.1268379214716</v>
      </c>
      <c r="AT101" s="10">
        <f>IFERROR(求节点(节奏总纲!S$4:S$363,AM$11:AM$370,$AR101),0)</f>
        <v>4098.4530671811826</v>
      </c>
      <c r="AU101" s="10">
        <f>IFERROR(求节点(节奏总纲!T$4:T$363,AN$11:AN$370,$AR101),0)</f>
        <v>3954.1683633415796</v>
      </c>
      <c r="AV101" s="10">
        <f>IFERROR(求节点(节奏总纲!U$4:U$363,AO$11:AO$370,$AR101),0)</f>
        <v>2883.045180062672</v>
      </c>
      <c r="AW101" s="10">
        <f>IFERROR(求节点(节奏总纲!V$4:V$363,AP$11:AP$370,$AR101),0)</f>
        <v>1400.8891270483293</v>
      </c>
    </row>
    <row r="102" spans="18:49" x14ac:dyDescent="0.15">
      <c r="R102" s="10">
        <v>0.97</v>
      </c>
      <c r="S102" s="10">
        <f t="shared" si="9"/>
        <v>3.0000000000000027E-2</v>
      </c>
      <c r="T102" s="10">
        <f t="shared" si="10"/>
        <v>32.333333333333307</v>
      </c>
      <c r="U102" s="10">
        <f t="shared" si="8"/>
        <v>1.2562388170649179</v>
      </c>
      <c r="V102" s="10">
        <f t="shared" si="11"/>
        <v>3.9034640372088054</v>
      </c>
      <c r="W102" s="10">
        <f t="shared" si="12"/>
        <v>1.2185516525529703</v>
      </c>
      <c r="X102" s="10">
        <f t="shared" si="13"/>
        <v>0.11710392111626426</v>
      </c>
      <c r="Y102" s="10">
        <f t="shared" si="14"/>
        <v>0.21855165255297027</v>
      </c>
      <c r="AK102" s="10">
        <v>92</v>
      </c>
      <c r="AL102" s="10">
        <f>MAX($AK102-积分赛!$C$7,0)*$AH$7/30</f>
        <v>736.71369386565709</v>
      </c>
      <c r="AM102" s="10">
        <f>MAX($AK102-积分赛!$C$7,0)*$AH$7/30</f>
        <v>736.71369386565709</v>
      </c>
      <c r="AN102" s="10">
        <f>MAX($AK102-积分赛!$C$7,0)*$AH$7/30</f>
        <v>736.71369386565709</v>
      </c>
      <c r="AO102" s="10">
        <f>MAX($AK102-积分赛!$C$7,0)*$AH$7/30</f>
        <v>736.71369386565709</v>
      </c>
      <c r="AP102" s="10">
        <f>MAX($AK102-积分赛!$C$7,0)*$AH$7/30</f>
        <v>736.71369386565709</v>
      </c>
      <c r="AR102" s="12">
        <v>92</v>
      </c>
      <c r="AS102" s="10">
        <f>IFERROR(求节点(节奏总纲!R$4:R$363,AL$11:AL$370,$AR102),0)</f>
        <v>4246.2820778986306</v>
      </c>
      <c r="AT102" s="10">
        <f>IFERROR(求节点(节奏总纲!S$4:S$363,AM$11:AM$370,$AR102),0)</f>
        <v>4143.4910129743821</v>
      </c>
      <c r="AU102" s="10">
        <f>IFERROR(求节点(节奏总纲!T$4:T$363,AN$11:AN$370,$AR102),0)</f>
        <v>3997.6207629387395</v>
      </c>
      <c r="AV102" s="10">
        <f>IFERROR(求节点(节奏总纲!U$4:U$363,AO$11:AO$370,$AR102),0)</f>
        <v>3108.2552633374976</v>
      </c>
      <c r="AW102" s="10">
        <f>IFERROR(求节点(节奏总纲!V$4:V$363,AP$11:AP$370,$AR102),0)</f>
        <v>1516.9928438245558</v>
      </c>
    </row>
    <row r="103" spans="18:49" x14ac:dyDescent="0.15">
      <c r="R103" s="10">
        <v>0.98</v>
      </c>
      <c r="S103" s="10">
        <f t="shared" si="9"/>
        <v>2.0000000000000018E-2</v>
      </c>
      <c r="T103" s="10">
        <f t="shared" si="10"/>
        <v>48.999999999999957</v>
      </c>
      <c r="U103" s="10">
        <f t="shared" si="8"/>
        <v>1.2556463341208091</v>
      </c>
      <c r="V103" s="10">
        <f t="shared" si="11"/>
        <v>3.9123578726175614</v>
      </c>
      <c r="W103" s="10">
        <f t="shared" si="12"/>
        <v>1.2305334074383929</v>
      </c>
      <c r="X103" s="10">
        <f t="shared" si="13"/>
        <v>7.8247157452351293E-2</v>
      </c>
      <c r="Y103" s="10">
        <f t="shared" si="14"/>
        <v>0.2305334074383929</v>
      </c>
      <c r="AK103" s="10">
        <v>93</v>
      </c>
      <c r="AL103" s="10">
        <f>MAX($AK103-积分赛!$C$7,0)*$AH$7/30</f>
        <v>748.59617279897418</v>
      </c>
      <c r="AM103" s="10">
        <f>MAX($AK103-积分赛!$C$7,0)*$AH$7/30</f>
        <v>748.59617279897418</v>
      </c>
      <c r="AN103" s="10">
        <f>MAX($AK103-积分赛!$C$7,0)*$AH$7/30</f>
        <v>748.59617279897418</v>
      </c>
      <c r="AO103" s="10">
        <f>MAX($AK103-积分赛!$C$7,0)*$AH$7/30</f>
        <v>748.59617279897418</v>
      </c>
      <c r="AP103" s="10">
        <f>MAX($AK103-积分赛!$C$7,0)*$AH$7/30</f>
        <v>748.59617279897418</v>
      </c>
      <c r="AR103" s="12">
        <v>93</v>
      </c>
      <c r="AS103" s="10">
        <f>IFERROR(求节点(节奏总纲!R$4:R$363,AL$11:AL$370,$AR103),0)</f>
        <v>4292.4373178757896</v>
      </c>
      <c r="AT103" s="10">
        <f>IFERROR(求节点(节奏总纲!S$4:S$363,AM$11:AM$370,$AR103),0)</f>
        <v>4188.5289587675825</v>
      </c>
      <c r="AU103" s="10">
        <f>IFERROR(求节点(节奏总纲!T$4:T$363,AN$11:AN$370,$AR103),0)</f>
        <v>4041.0731625358999</v>
      </c>
      <c r="AV103" s="10">
        <f>IFERROR(求节点(节奏总纲!U$4:U$363,AO$11:AO$370,$AR103),0)</f>
        <v>3345.4057607330665</v>
      </c>
      <c r="AW103" s="10">
        <f>IFERROR(求节点(节奏总纲!V$4:V$363,AP$11:AP$370,$AR103),0)</f>
        <v>1644.0871361667598</v>
      </c>
    </row>
    <row r="104" spans="18:49" x14ac:dyDescent="0.15">
      <c r="R104" s="10">
        <v>0.99</v>
      </c>
      <c r="S104" s="10">
        <f t="shared" si="9"/>
        <v>1.0000000000000009E-2</v>
      </c>
      <c r="T104" s="10">
        <f t="shared" si="10"/>
        <v>98.999999999999915</v>
      </c>
      <c r="U104" s="10">
        <f t="shared" si="8"/>
        <v>1.255110012827507</v>
      </c>
      <c r="V104" s="10">
        <f t="shared" si="11"/>
        <v>3.9204568839066689</v>
      </c>
      <c r="W104" s="10">
        <f t="shared" si="12"/>
        <v>1.242558912699232</v>
      </c>
      <c r="X104" s="10">
        <f t="shared" si="13"/>
        <v>3.9204568839066721E-2</v>
      </c>
      <c r="Y104" s="10">
        <f t="shared" si="14"/>
        <v>0.24255891269923202</v>
      </c>
      <c r="AK104" s="10">
        <v>94</v>
      </c>
      <c r="AL104" s="10">
        <f>MAX($AK104-积分赛!$C$7,0)*$AH$7/30</f>
        <v>760.47865173229127</v>
      </c>
      <c r="AM104" s="10">
        <f>MAX($AK104-积分赛!$C$7,0)*$AH$7/30</f>
        <v>760.47865173229127</v>
      </c>
      <c r="AN104" s="10">
        <f>MAX($AK104-积分赛!$C$7,0)*$AH$7/30</f>
        <v>760.47865173229127</v>
      </c>
      <c r="AO104" s="10">
        <f>MAX($AK104-积分赛!$C$7,0)*$AH$7/30</f>
        <v>760.47865173229127</v>
      </c>
      <c r="AP104" s="10">
        <f>MAX($AK104-积分赛!$C$7,0)*$AH$7/30</f>
        <v>760.47865173229127</v>
      </c>
      <c r="AR104" s="12">
        <v>94</v>
      </c>
      <c r="AS104" s="10">
        <f>IFERROR(求节点(节奏总纲!R$4:R$363,AL$11:AL$370,$AR104),0)</f>
        <v>4338.5925578529486</v>
      </c>
      <c r="AT104" s="10">
        <f>IFERROR(求节点(节奏总纲!S$4:S$363,AM$11:AM$370,$AR104),0)</f>
        <v>4233.5669045607819</v>
      </c>
      <c r="AU104" s="10">
        <f>IFERROR(求节点(节奏总纲!T$4:T$363,AN$11:AN$370,$AR104),0)</f>
        <v>4084.5255621330602</v>
      </c>
      <c r="AV104" s="10">
        <f>IFERROR(求节点(节奏总纲!U$4:U$363,AO$11:AO$370,$AR104),0)</f>
        <v>3597.0740933136944</v>
      </c>
      <c r="AW104" s="10">
        <f>IFERROR(求节点(节奏总纲!V$4:V$363,AP$11:AP$370,$AR104),0)</f>
        <v>1778.5434342798478</v>
      </c>
    </row>
    <row r="105" spans="18:49" x14ac:dyDescent="0.15">
      <c r="R105" s="10">
        <v>1</v>
      </c>
      <c r="S105" s="10">
        <f t="shared" si="9"/>
        <v>0</v>
      </c>
      <c r="T105" s="10" t="e">
        <f t="shared" si="10"/>
        <v>#DIV/0!</v>
      </c>
      <c r="U105" s="10">
        <f t="shared" si="8"/>
        <v>1.2546245485710796</v>
      </c>
      <c r="V105" s="10">
        <f t="shared" si="11"/>
        <v>3.9278277540812812</v>
      </c>
      <c r="W105" s="10">
        <f t="shared" si="12"/>
        <v>1.2546245485710796</v>
      </c>
      <c r="X105" s="10">
        <f t="shared" si="13"/>
        <v>0</v>
      </c>
      <c r="Y105" s="10">
        <f t="shared" si="14"/>
        <v>0.25462454857107963</v>
      </c>
      <c r="AK105" s="10">
        <v>95</v>
      </c>
      <c r="AL105" s="10">
        <f>MAX($AK105-积分赛!$C$7,0)*$AH$7/30</f>
        <v>772.36113066560824</v>
      </c>
      <c r="AM105" s="10">
        <f>MAX($AK105-积分赛!$C$7,0)*$AH$7/30</f>
        <v>772.36113066560824</v>
      </c>
      <c r="AN105" s="10">
        <f>MAX($AK105-积分赛!$C$7,0)*$AH$7/30</f>
        <v>772.36113066560824</v>
      </c>
      <c r="AO105" s="10">
        <f>MAX($AK105-积分赛!$C$7,0)*$AH$7/30</f>
        <v>772.36113066560824</v>
      </c>
      <c r="AP105" s="10">
        <f>MAX($AK105-积分赛!$C$7,0)*$AH$7/30</f>
        <v>772.36113066560824</v>
      </c>
      <c r="AR105" s="12">
        <v>95</v>
      </c>
      <c r="AS105" s="10">
        <f>IFERROR(求节点(节奏总纲!R$4:R$363,AL$11:AL$370,$AR105),0)</f>
        <v>4384.7477978301076</v>
      </c>
      <c r="AT105" s="10">
        <f>IFERROR(求节点(节奏总纲!S$4:S$363,AM$11:AM$370,$AR105),0)</f>
        <v>4278.6048503539814</v>
      </c>
      <c r="AU105" s="10">
        <f>IFERROR(求节点(节奏总纲!T$4:T$363,AN$11:AN$370,$AR105),0)</f>
        <v>4127.9779617302202</v>
      </c>
      <c r="AV105" s="10">
        <f>IFERROR(求节点(节奏总纲!U$4:U$363,AO$11:AO$370,$AR105),0)</f>
        <v>3866.7832862918772</v>
      </c>
      <c r="AW105" s="10">
        <f>IFERROR(求节点(节奏总纲!V$4:V$363,AP$11:AP$370,$AR105),0)</f>
        <v>1935.0903153191748</v>
      </c>
    </row>
    <row r="106" spans="18:49" x14ac:dyDescent="0.15">
      <c r="AK106" s="10">
        <v>96</v>
      </c>
      <c r="AL106" s="10">
        <f>MAX($AK106-积分赛!$C$7,0)*$AH$7/30</f>
        <v>784.24360959892533</v>
      </c>
      <c r="AM106" s="10">
        <f>MAX($AK106-积分赛!$C$7,0)*$AH$7/30</f>
        <v>784.24360959892533</v>
      </c>
      <c r="AN106" s="10">
        <f>MAX($AK106-积分赛!$C$7,0)*$AH$7/30</f>
        <v>784.24360959892533</v>
      </c>
      <c r="AO106" s="10">
        <f>MAX($AK106-积分赛!$C$7,0)*$AH$7/30</f>
        <v>784.24360959892533</v>
      </c>
      <c r="AP106" s="10">
        <f>MAX($AK106-积分赛!$C$7,0)*$AH$7/30</f>
        <v>784.24360959892533</v>
      </c>
      <c r="AR106" s="12">
        <v>96</v>
      </c>
      <c r="AS106" s="10">
        <f>IFERROR(求节点(节奏总纲!R$4:R$363,AL$11:AL$370,$AR106),0)</f>
        <v>4430.9030378072666</v>
      </c>
      <c r="AT106" s="10">
        <f>IFERROR(求节点(节奏总纲!S$4:S$363,AM$11:AM$370,$AR106),0)</f>
        <v>4323.6427961471818</v>
      </c>
      <c r="AU106" s="10">
        <f>IFERROR(求节点(节奏总纲!T$4:T$363,AN$11:AN$370,$AR106),0)</f>
        <v>4171.4303613273805</v>
      </c>
      <c r="AV106" s="10">
        <f>IFERROR(求节点(节奏总纲!U$4:U$363,AO$11:AO$370,$AR106),0)</f>
        <v>3954.9156430725566</v>
      </c>
      <c r="AW106" s="10">
        <f>IFERROR(求节点(节奏总纲!V$4:V$363,AP$11:AP$370,$AR106),0)</f>
        <v>2101.751171466979</v>
      </c>
    </row>
    <row r="107" spans="18:49" x14ac:dyDescent="0.15">
      <c r="AK107" s="10">
        <v>97</v>
      </c>
      <c r="AL107" s="10">
        <f>MAX($AK107-积分赛!$C$7,0)*$AH$7/30</f>
        <v>796.12608853224242</v>
      </c>
      <c r="AM107" s="10">
        <f>MAX($AK107-积分赛!$C$7,0)*$AH$7/30</f>
        <v>796.12608853224242</v>
      </c>
      <c r="AN107" s="10">
        <f>MAX($AK107-积分赛!$C$7,0)*$AH$7/30</f>
        <v>796.12608853224242</v>
      </c>
      <c r="AO107" s="10">
        <f>MAX($AK107-积分赛!$C$7,0)*$AH$7/30</f>
        <v>796.12608853224242</v>
      </c>
      <c r="AP107" s="10">
        <f>MAX($AK107-积分赛!$C$7,0)*$AH$7/30</f>
        <v>796.12608853224242</v>
      </c>
      <c r="AR107" s="12">
        <v>97</v>
      </c>
      <c r="AS107" s="10">
        <f>IFERROR(求节点(节奏总纲!R$4:R$363,AL$11:AL$370,$AR107),0)</f>
        <v>4477.0582777844256</v>
      </c>
      <c r="AT107" s="10">
        <f>IFERROR(求节点(节奏总纲!S$4:S$363,AM$11:AM$370,$AR107),0)</f>
        <v>4368.6807419403813</v>
      </c>
      <c r="AU107" s="10">
        <f>IFERROR(求节点(节奏总纲!T$4:T$363,AN$11:AN$370,$AR107),0)</f>
        <v>4214.8827609245409</v>
      </c>
      <c r="AV107" s="10">
        <f>IFERROR(求节点(节奏总纲!U$4:U$363,AO$11:AO$370,$AR107),0)</f>
        <v>3996.112681021229</v>
      </c>
      <c r="AW107" s="10">
        <f>IFERROR(求节点(节奏总纲!V$4:V$363,AP$11:AP$370,$AR107),0)</f>
        <v>2297.0926175064151</v>
      </c>
    </row>
    <row r="108" spans="18:49" x14ac:dyDescent="0.15">
      <c r="AK108" s="10">
        <v>98</v>
      </c>
      <c r="AL108" s="10">
        <f>MAX($AK108-积分赛!$C$7,0)*$AH$7/30</f>
        <v>808.00856746555951</v>
      </c>
      <c r="AM108" s="10">
        <f>MAX($AK108-积分赛!$C$7,0)*$AH$7/30</f>
        <v>808.00856746555951</v>
      </c>
      <c r="AN108" s="10">
        <f>MAX($AK108-积分赛!$C$7,0)*$AH$7/30</f>
        <v>808.00856746555951</v>
      </c>
      <c r="AO108" s="10">
        <f>MAX($AK108-积分赛!$C$7,0)*$AH$7/30</f>
        <v>808.00856746555951</v>
      </c>
      <c r="AP108" s="10">
        <f>MAX($AK108-积分赛!$C$7,0)*$AH$7/30</f>
        <v>808.00856746555951</v>
      </c>
      <c r="AR108" s="12">
        <v>98</v>
      </c>
      <c r="AS108" s="10">
        <f>IFERROR(求节点(节奏总纲!R$4:R$363,AL$11:AL$370,$AR108),0)</f>
        <v>4523.2135177615846</v>
      </c>
      <c r="AT108" s="10">
        <f>IFERROR(求节点(节奏总纲!S$4:S$363,AM$11:AM$370,$AR108),0)</f>
        <v>4413.7186877335816</v>
      </c>
      <c r="AU108" s="10">
        <f>IFERROR(求节点(节奏总纲!T$4:T$363,AN$11:AN$370,$AR108),0)</f>
        <v>4258.3351605217013</v>
      </c>
      <c r="AV108" s="10">
        <f>IFERROR(求节点(节奏总纲!U$4:U$363,AO$11:AO$370,$AR108),0)</f>
        <v>4037.3097189699015</v>
      </c>
      <c r="AW108" s="10">
        <f>IFERROR(求节点(节奏总纲!V$4:V$363,AP$11:AP$370,$AR108),0)</f>
        <v>2504.4624911423807</v>
      </c>
    </row>
    <row r="109" spans="18:49" x14ac:dyDescent="0.15">
      <c r="AK109" s="10">
        <v>99</v>
      </c>
      <c r="AL109" s="10">
        <f>MAX($AK109-积分赛!$C$7,0)*$AH$7/30</f>
        <v>819.89104639887648</v>
      </c>
      <c r="AM109" s="10">
        <f>MAX($AK109-积分赛!$C$7,0)*$AH$7/30</f>
        <v>819.89104639887648</v>
      </c>
      <c r="AN109" s="10">
        <f>MAX($AK109-积分赛!$C$7,0)*$AH$7/30</f>
        <v>819.89104639887648</v>
      </c>
      <c r="AO109" s="10">
        <f>MAX($AK109-积分赛!$C$7,0)*$AH$7/30</f>
        <v>819.89104639887648</v>
      </c>
      <c r="AP109" s="10">
        <f>MAX($AK109-积分赛!$C$7,0)*$AH$7/30</f>
        <v>819.89104639887648</v>
      </c>
      <c r="AR109" s="12">
        <v>99</v>
      </c>
      <c r="AS109" s="10">
        <f>IFERROR(求节点(节奏总纲!R$4:R$363,AL$11:AL$370,$AR109),0)</f>
        <v>4569.3687577387436</v>
      </c>
      <c r="AT109" s="10">
        <f>IFERROR(求节点(节奏总纲!S$4:S$363,AM$11:AM$370,$AR109),0)</f>
        <v>4458.7566335267811</v>
      </c>
      <c r="AU109" s="10">
        <f>IFERROR(求节点(节奏总纲!T$4:T$363,AN$11:AN$370,$AR109),0)</f>
        <v>4301.7875601188607</v>
      </c>
      <c r="AV109" s="10">
        <f>IFERROR(求节点(节奏总纲!U$4:U$363,AO$11:AO$370,$AR109),0)</f>
        <v>4078.506756918574</v>
      </c>
      <c r="AW109" s="10">
        <f>IFERROR(求节点(节奏总纲!V$4:V$363,AP$11:AP$370,$AR109),0)</f>
        <v>2704.5058979205701</v>
      </c>
    </row>
    <row r="110" spans="18:49" x14ac:dyDescent="0.15">
      <c r="AK110" s="10">
        <v>100</v>
      </c>
      <c r="AL110" s="10">
        <f>MAX($AK110-积分赛!$C$7,0)*$AH$7/30</f>
        <v>831.77352533219357</v>
      </c>
      <c r="AM110" s="10">
        <f>MAX($AK110-积分赛!$C$7,0)*$AH$7/30</f>
        <v>831.77352533219357</v>
      </c>
      <c r="AN110" s="10">
        <f>MAX($AK110-积分赛!$C$7,0)*$AH$7/30</f>
        <v>831.77352533219357</v>
      </c>
      <c r="AO110" s="10">
        <f>MAX($AK110-积分赛!$C$7,0)*$AH$7/30</f>
        <v>831.77352533219357</v>
      </c>
      <c r="AP110" s="10">
        <f>MAX($AK110-积分赛!$C$7,0)*$AH$7/30</f>
        <v>831.77352533219357</v>
      </c>
      <c r="AR110" s="12">
        <v>100</v>
      </c>
      <c r="AS110" s="10">
        <f>IFERROR(求节点(节奏总纲!R$4:R$363,AL$11:AL$370,$AR110),0)</f>
        <v>4615.5239977159026</v>
      </c>
      <c r="AT110" s="10">
        <f>IFERROR(求节点(节奏总纲!S$4:S$363,AM$11:AM$370,$AR110),0)</f>
        <v>4503.7945793199806</v>
      </c>
      <c r="AU110" s="10">
        <f>IFERROR(求节点(节奏总纲!T$4:T$363,AN$11:AN$370,$AR110),0)</f>
        <v>4345.2399597160211</v>
      </c>
      <c r="AV110" s="10">
        <f>IFERROR(求节点(节奏总纲!U$4:U$363,AO$11:AO$370,$AR110),0)</f>
        <v>4119.7037948672469</v>
      </c>
      <c r="AW110" s="10">
        <f>IFERROR(求节点(节奏总纲!V$4:V$363,AP$11:AP$370,$AR110),0)</f>
        <v>2908.7314258714537</v>
      </c>
    </row>
    <row r="111" spans="18:49" x14ac:dyDescent="0.15">
      <c r="AK111" s="10">
        <v>101</v>
      </c>
      <c r="AL111" s="10">
        <f>MAX($AK111-积分赛!$C$7,0)*$AH$7/30</f>
        <v>843.65600426551066</v>
      </c>
      <c r="AM111" s="10">
        <f>MAX($AK111-积分赛!$C$7,0)*$AH$7/30</f>
        <v>843.65600426551066</v>
      </c>
      <c r="AN111" s="10">
        <f>MAX($AK111-积分赛!$C$7,0)*$AH$7/30</f>
        <v>843.65600426551066</v>
      </c>
      <c r="AO111" s="10">
        <f>MAX($AK111-积分赛!$C$7,0)*$AH$7/30</f>
        <v>843.65600426551066</v>
      </c>
      <c r="AP111" s="10">
        <f>MAX($AK111-积分赛!$C$7,0)*$AH$7/30</f>
        <v>843.65600426551066</v>
      </c>
    </row>
    <row r="112" spans="18:49" x14ac:dyDescent="0.15">
      <c r="AK112" s="10">
        <v>102</v>
      </c>
      <c r="AL112" s="10">
        <f>MAX($AK112-积分赛!$C$7,0)*$AH$7/30</f>
        <v>855.53848319882775</v>
      </c>
      <c r="AM112" s="10">
        <f>MAX($AK112-积分赛!$C$7,0)*$AH$7/30</f>
        <v>855.53848319882775</v>
      </c>
      <c r="AN112" s="10">
        <f>MAX($AK112-积分赛!$C$7,0)*$AH$7/30</f>
        <v>855.53848319882775</v>
      </c>
      <c r="AO112" s="10">
        <f>MAX($AK112-积分赛!$C$7,0)*$AH$7/30</f>
        <v>855.53848319882775</v>
      </c>
      <c r="AP112" s="10">
        <f>MAX($AK112-积分赛!$C$7,0)*$AH$7/30</f>
        <v>855.53848319882775</v>
      </c>
    </row>
    <row r="113" spans="37:42" x14ac:dyDescent="0.15">
      <c r="AK113" s="10">
        <v>103</v>
      </c>
      <c r="AL113" s="10">
        <f>MAX($AK113-积分赛!$C$7,0)*$AH$7/30</f>
        <v>867.42096213214461</v>
      </c>
      <c r="AM113" s="10">
        <f>MAX($AK113-积分赛!$C$7,0)*$AH$7/30</f>
        <v>867.42096213214461</v>
      </c>
      <c r="AN113" s="10">
        <f>MAX($AK113-积分赛!$C$7,0)*$AH$7/30</f>
        <v>867.42096213214461</v>
      </c>
      <c r="AO113" s="10">
        <f>MAX($AK113-积分赛!$C$7,0)*$AH$7/30</f>
        <v>867.42096213214461</v>
      </c>
      <c r="AP113" s="10">
        <f>MAX($AK113-积分赛!$C$7,0)*$AH$7/30</f>
        <v>867.42096213214461</v>
      </c>
    </row>
    <row r="114" spans="37:42" x14ac:dyDescent="0.15">
      <c r="AK114" s="10">
        <v>104</v>
      </c>
      <c r="AL114" s="10">
        <f>MAX($AK114-积分赛!$C$7,0)*$AH$7/30</f>
        <v>879.3034410654617</v>
      </c>
      <c r="AM114" s="10">
        <f>MAX($AK114-积分赛!$C$7,0)*$AH$7/30</f>
        <v>879.3034410654617</v>
      </c>
      <c r="AN114" s="10">
        <f>MAX($AK114-积分赛!$C$7,0)*$AH$7/30</f>
        <v>879.3034410654617</v>
      </c>
      <c r="AO114" s="10">
        <f>MAX($AK114-积分赛!$C$7,0)*$AH$7/30</f>
        <v>879.3034410654617</v>
      </c>
      <c r="AP114" s="10">
        <f>MAX($AK114-积分赛!$C$7,0)*$AH$7/30</f>
        <v>879.3034410654617</v>
      </c>
    </row>
    <row r="115" spans="37:42" x14ac:dyDescent="0.15">
      <c r="AK115" s="10">
        <v>105</v>
      </c>
      <c r="AL115" s="10">
        <f>MAX($AK115-积分赛!$C$7,0)*$AH$7/30</f>
        <v>891.18591999877879</v>
      </c>
      <c r="AM115" s="10">
        <f>MAX($AK115-积分赛!$C$7,0)*$AH$7/30</f>
        <v>891.18591999877879</v>
      </c>
      <c r="AN115" s="10">
        <f>MAX($AK115-积分赛!$C$7,0)*$AH$7/30</f>
        <v>891.18591999877879</v>
      </c>
      <c r="AO115" s="10">
        <f>MAX($AK115-积分赛!$C$7,0)*$AH$7/30</f>
        <v>891.18591999877879</v>
      </c>
      <c r="AP115" s="10">
        <f>MAX($AK115-积分赛!$C$7,0)*$AH$7/30</f>
        <v>891.18591999877879</v>
      </c>
    </row>
    <row r="116" spans="37:42" x14ac:dyDescent="0.15">
      <c r="AK116" s="10">
        <v>106</v>
      </c>
      <c r="AL116" s="10">
        <f>MAX($AK116-积分赛!$C$7,0)*$AH$7/30</f>
        <v>903.06839893209576</v>
      </c>
      <c r="AM116" s="10">
        <f>MAX($AK116-积分赛!$C$7,0)*$AH$7/30</f>
        <v>903.06839893209576</v>
      </c>
      <c r="AN116" s="10">
        <f>MAX($AK116-积分赛!$C$7,0)*$AH$7/30</f>
        <v>903.06839893209576</v>
      </c>
      <c r="AO116" s="10">
        <f>MAX($AK116-积分赛!$C$7,0)*$AH$7/30</f>
        <v>903.06839893209576</v>
      </c>
      <c r="AP116" s="10">
        <f>MAX($AK116-积分赛!$C$7,0)*$AH$7/30</f>
        <v>903.06839893209576</v>
      </c>
    </row>
    <row r="117" spans="37:42" x14ac:dyDescent="0.15">
      <c r="AK117" s="10">
        <v>107</v>
      </c>
      <c r="AL117" s="10">
        <f>MAX($AK117-积分赛!$C$7,0)*$AH$7/30</f>
        <v>914.95087786541285</v>
      </c>
      <c r="AM117" s="10">
        <f>MAX($AK117-积分赛!$C$7,0)*$AH$7/30</f>
        <v>914.95087786541285</v>
      </c>
      <c r="AN117" s="10">
        <f>MAX($AK117-积分赛!$C$7,0)*$AH$7/30</f>
        <v>914.95087786541285</v>
      </c>
      <c r="AO117" s="10">
        <f>MAX($AK117-积分赛!$C$7,0)*$AH$7/30</f>
        <v>914.95087786541285</v>
      </c>
      <c r="AP117" s="10">
        <f>MAX($AK117-积分赛!$C$7,0)*$AH$7/30</f>
        <v>914.95087786541285</v>
      </c>
    </row>
    <row r="118" spans="37:42" x14ac:dyDescent="0.15">
      <c r="AK118" s="10">
        <v>108</v>
      </c>
      <c r="AL118" s="10">
        <f>MAX($AK118-积分赛!$C$7,0)*$AH$7/30</f>
        <v>926.83335679872994</v>
      </c>
      <c r="AM118" s="10">
        <f>MAX($AK118-积分赛!$C$7,0)*$AH$7/30</f>
        <v>926.83335679872994</v>
      </c>
      <c r="AN118" s="10">
        <f>MAX($AK118-积分赛!$C$7,0)*$AH$7/30</f>
        <v>926.83335679872994</v>
      </c>
      <c r="AO118" s="10">
        <f>MAX($AK118-积分赛!$C$7,0)*$AH$7/30</f>
        <v>926.83335679872994</v>
      </c>
      <c r="AP118" s="10">
        <f>MAX($AK118-积分赛!$C$7,0)*$AH$7/30</f>
        <v>926.83335679872994</v>
      </c>
    </row>
    <row r="119" spans="37:42" x14ac:dyDescent="0.15">
      <c r="AK119" s="10">
        <v>109</v>
      </c>
      <c r="AL119" s="10">
        <f>MAX($AK119-积分赛!$C$7,0)*$AH$7/30</f>
        <v>938.71583573204703</v>
      </c>
      <c r="AM119" s="10">
        <f>MAX($AK119-积分赛!$C$7,0)*$AH$7/30</f>
        <v>938.71583573204703</v>
      </c>
      <c r="AN119" s="10">
        <f>MAX($AK119-积分赛!$C$7,0)*$AH$7/30</f>
        <v>938.71583573204703</v>
      </c>
      <c r="AO119" s="10">
        <f>MAX($AK119-积分赛!$C$7,0)*$AH$7/30</f>
        <v>938.71583573204703</v>
      </c>
      <c r="AP119" s="10">
        <f>MAX($AK119-积分赛!$C$7,0)*$AH$7/30</f>
        <v>938.71583573204703</v>
      </c>
    </row>
    <row r="120" spans="37:42" x14ac:dyDescent="0.15">
      <c r="AK120" s="10">
        <v>110</v>
      </c>
      <c r="AL120" s="10">
        <f>MAX($AK120-积分赛!$C$7,0)*$AH$7/30</f>
        <v>950.598314665364</v>
      </c>
      <c r="AM120" s="10">
        <f>MAX($AK120-积分赛!$C$7,0)*$AH$7/30</f>
        <v>950.598314665364</v>
      </c>
      <c r="AN120" s="10">
        <f>MAX($AK120-积分赛!$C$7,0)*$AH$7/30</f>
        <v>950.598314665364</v>
      </c>
      <c r="AO120" s="10">
        <f>MAX($AK120-积分赛!$C$7,0)*$AH$7/30</f>
        <v>950.598314665364</v>
      </c>
      <c r="AP120" s="10">
        <f>MAX($AK120-积分赛!$C$7,0)*$AH$7/30</f>
        <v>950.598314665364</v>
      </c>
    </row>
    <row r="121" spans="37:42" x14ac:dyDescent="0.15">
      <c r="AK121" s="10">
        <v>111</v>
      </c>
      <c r="AL121" s="10">
        <f>MAX($AK121-积分赛!$C$7,0)*$AH$7/30</f>
        <v>962.48079359868109</v>
      </c>
      <c r="AM121" s="10">
        <f>MAX($AK121-积分赛!$C$7,0)*$AH$7/30</f>
        <v>962.48079359868109</v>
      </c>
      <c r="AN121" s="10">
        <f>MAX($AK121-积分赛!$C$7,0)*$AH$7/30</f>
        <v>962.48079359868109</v>
      </c>
      <c r="AO121" s="10">
        <f>MAX($AK121-积分赛!$C$7,0)*$AH$7/30</f>
        <v>962.48079359868109</v>
      </c>
      <c r="AP121" s="10">
        <f>MAX($AK121-积分赛!$C$7,0)*$AH$7/30</f>
        <v>962.48079359868109</v>
      </c>
    </row>
    <row r="122" spans="37:42" x14ac:dyDescent="0.15">
      <c r="AK122" s="10">
        <v>112</v>
      </c>
      <c r="AL122" s="10">
        <f>MAX($AK122-积分赛!$C$7,0)*$AH$7/30</f>
        <v>974.36327253199818</v>
      </c>
      <c r="AM122" s="10">
        <f>MAX($AK122-积分赛!$C$7,0)*$AH$7/30</f>
        <v>974.36327253199818</v>
      </c>
      <c r="AN122" s="10">
        <f>MAX($AK122-积分赛!$C$7,0)*$AH$7/30</f>
        <v>974.36327253199818</v>
      </c>
      <c r="AO122" s="10">
        <f>MAX($AK122-积分赛!$C$7,0)*$AH$7/30</f>
        <v>974.36327253199818</v>
      </c>
      <c r="AP122" s="10">
        <f>MAX($AK122-积分赛!$C$7,0)*$AH$7/30</f>
        <v>974.36327253199818</v>
      </c>
    </row>
    <row r="123" spans="37:42" x14ac:dyDescent="0.15">
      <c r="AK123" s="10">
        <v>113</v>
      </c>
      <c r="AL123" s="10">
        <f>MAX($AK123-积分赛!$C$7,0)*$AH$7/30</f>
        <v>986.24575146531527</v>
      </c>
      <c r="AM123" s="10">
        <f>MAX($AK123-积分赛!$C$7,0)*$AH$7/30</f>
        <v>986.24575146531527</v>
      </c>
      <c r="AN123" s="10">
        <f>MAX($AK123-积分赛!$C$7,0)*$AH$7/30</f>
        <v>986.24575146531527</v>
      </c>
      <c r="AO123" s="10">
        <f>MAX($AK123-积分赛!$C$7,0)*$AH$7/30</f>
        <v>986.24575146531527</v>
      </c>
      <c r="AP123" s="10">
        <f>MAX($AK123-积分赛!$C$7,0)*$AH$7/30</f>
        <v>986.24575146531527</v>
      </c>
    </row>
    <row r="124" spans="37:42" x14ac:dyDescent="0.15">
      <c r="AK124" s="10">
        <v>114</v>
      </c>
      <c r="AL124" s="10">
        <f>MAX($AK124-积分赛!$C$7,0)*$AH$7/30</f>
        <v>998.12823039863224</v>
      </c>
      <c r="AM124" s="10">
        <f>MAX($AK124-积分赛!$C$7,0)*$AH$7/30</f>
        <v>998.12823039863224</v>
      </c>
      <c r="AN124" s="10">
        <f>MAX($AK124-积分赛!$C$7,0)*$AH$7/30</f>
        <v>998.12823039863224</v>
      </c>
      <c r="AO124" s="10">
        <f>MAX($AK124-积分赛!$C$7,0)*$AH$7/30</f>
        <v>998.12823039863224</v>
      </c>
      <c r="AP124" s="10">
        <f>MAX($AK124-积分赛!$C$7,0)*$AH$7/30</f>
        <v>998.12823039863224</v>
      </c>
    </row>
    <row r="125" spans="37:42" x14ac:dyDescent="0.15">
      <c r="AK125" s="10">
        <v>115</v>
      </c>
      <c r="AL125" s="10">
        <f>MAX($AK125-积分赛!$C$7,0)*$AH$7/30</f>
        <v>1010.0107093319493</v>
      </c>
      <c r="AM125" s="10">
        <f>MAX($AK125-积分赛!$C$7,0)*$AH$7/30</f>
        <v>1010.0107093319493</v>
      </c>
      <c r="AN125" s="10">
        <f>MAX($AK125-积分赛!$C$7,0)*$AH$7/30</f>
        <v>1010.0107093319493</v>
      </c>
      <c r="AO125" s="10">
        <f>MAX($AK125-积分赛!$C$7,0)*$AH$7/30</f>
        <v>1010.0107093319493</v>
      </c>
      <c r="AP125" s="10">
        <f>MAX($AK125-积分赛!$C$7,0)*$AH$7/30</f>
        <v>1010.0107093319493</v>
      </c>
    </row>
    <row r="126" spans="37:42" x14ac:dyDescent="0.15">
      <c r="AK126" s="10">
        <v>116</v>
      </c>
      <c r="AL126" s="10">
        <f>MAX($AK126-积分赛!$C$7,0)*$AH$7/30</f>
        <v>1021.8931882652664</v>
      </c>
      <c r="AM126" s="10">
        <f>MAX($AK126-积分赛!$C$7,0)*$AH$7/30</f>
        <v>1021.8931882652664</v>
      </c>
      <c r="AN126" s="10">
        <f>MAX($AK126-积分赛!$C$7,0)*$AH$7/30</f>
        <v>1021.8931882652664</v>
      </c>
      <c r="AO126" s="10">
        <f>MAX($AK126-积分赛!$C$7,0)*$AH$7/30</f>
        <v>1021.8931882652664</v>
      </c>
      <c r="AP126" s="10">
        <f>MAX($AK126-积分赛!$C$7,0)*$AH$7/30</f>
        <v>1021.8931882652664</v>
      </c>
    </row>
    <row r="127" spans="37:42" x14ac:dyDescent="0.15">
      <c r="AK127" s="10">
        <v>117</v>
      </c>
      <c r="AL127" s="10">
        <f>MAX($AK127-积分赛!$C$7,0)*$AH$7/30</f>
        <v>1033.7756671985835</v>
      </c>
      <c r="AM127" s="10">
        <f>MAX($AK127-积分赛!$C$7,0)*$AH$7/30</f>
        <v>1033.7756671985835</v>
      </c>
      <c r="AN127" s="10">
        <f>MAX($AK127-积分赛!$C$7,0)*$AH$7/30</f>
        <v>1033.7756671985835</v>
      </c>
      <c r="AO127" s="10">
        <f>MAX($AK127-积分赛!$C$7,0)*$AH$7/30</f>
        <v>1033.7756671985835</v>
      </c>
      <c r="AP127" s="10">
        <f>MAX($AK127-积分赛!$C$7,0)*$AH$7/30</f>
        <v>1033.7756671985835</v>
      </c>
    </row>
    <row r="128" spans="37:42" x14ac:dyDescent="0.15">
      <c r="AK128" s="10">
        <v>118</v>
      </c>
      <c r="AL128" s="10">
        <f>MAX($AK128-积分赛!$C$7,0)*$AH$7/30</f>
        <v>1045.6581461319004</v>
      </c>
      <c r="AM128" s="10">
        <f>MAX($AK128-积分赛!$C$7,0)*$AH$7/30</f>
        <v>1045.6581461319004</v>
      </c>
      <c r="AN128" s="10">
        <f>MAX($AK128-积分赛!$C$7,0)*$AH$7/30</f>
        <v>1045.6581461319004</v>
      </c>
      <c r="AO128" s="10">
        <f>MAX($AK128-积分赛!$C$7,0)*$AH$7/30</f>
        <v>1045.6581461319004</v>
      </c>
      <c r="AP128" s="10">
        <f>MAX($AK128-积分赛!$C$7,0)*$AH$7/30</f>
        <v>1045.6581461319004</v>
      </c>
    </row>
    <row r="129" spans="37:42" x14ac:dyDescent="0.15">
      <c r="AK129" s="10">
        <v>119</v>
      </c>
      <c r="AL129" s="10">
        <f>MAX($AK129-积分赛!$C$7,0)*$AH$7/30</f>
        <v>1057.5406250652175</v>
      </c>
      <c r="AM129" s="10">
        <f>MAX($AK129-积分赛!$C$7,0)*$AH$7/30</f>
        <v>1057.5406250652175</v>
      </c>
      <c r="AN129" s="10">
        <f>MAX($AK129-积分赛!$C$7,0)*$AH$7/30</f>
        <v>1057.5406250652175</v>
      </c>
      <c r="AO129" s="10">
        <f>MAX($AK129-积分赛!$C$7,0)*$AH$7/30</f>
        <v>1057.5406250652175</v>
      </c>
      <c r="AP129" s="10">
        <f>MAX($AK129-积分赛!$C$7,0)*$AH$7/30</f>
        <v>1057.5406250652175</v>
      </c>
    </row>
    <row r="130" spans="37:42" x14ac:dyDescent="0.15">
      <c r="AK130" s="10">
        <v>120</v>
      </c>
      <c r="AL130" s="10">
        <f>MAX($AK130-积分赛!$C$7,0)*$AH$7/30</f>
        <v>1069.4231039985345</v>
      </c>
      <c r="AM130" s="10">
        <f>MAX($AK130-积分赛!$C$7,0)*$AH$7/30</f>
        <v>1069.4231039985345</v>
      </c>
      <c r="AN130" s="10">
        <f>MAX($AK130-积分赛!$C$7,0)*$AH$7/30</f>
        <v>1069.4231039985345</v>
      </c>
      <c r="AO130" s="10">
        <f>MAX($AK130-积分赛!$C$7,0)*$AH$7/30</f>
        <v>1069.4231039985345</v>
      </c>
      <c r="AP130" s="10">
        <f>MAX($AK130-积分赛!$C$7,0)*$AH$7/30</f>
        <v>1069.4231039985345</v>
      </c>
    </row>
    <row r="131" spans="37:42" x14ac:dyDescent="0.15">
      <c r="AK131" s="10">
        <v>121</v>
      </c>
      <c r="AL131" s="10">
        <f>MAX($AK131-积分赛!$C$7,0)*$AH$7/30</f>
        <v>1081.3055829318516</v>
      </c>
      <c r="AM131" s="10">
        <f>MAX($AK131-积分赛!$C$7,0)*$AH$7/30</f>
        <v>1081.3055829318516</v>
      </c>
      <c r="AN131" s="10">
        <f>MAX($AK131-积分赛!$C$7,0)*$AH$7/30</f>
        <v>1081.3055829318516</v>
      </c>
      <c r="AO131" s="10">
        <f>MAX($AK131-积分赛!$C$7,0)*$AH$7/30</f>
        <v>1081.3055829318516</v>
      </c>
      <c r="AP131" s="10">
        <f>MAX($AK131-积分赛!$C$7,0)*$AH$7/30</f>
        <v>1081.3055829318516</v>
      </c>
    </row>
    <row r="132" spans="37:42" x14ac:dyDescent="0.15">
      <c r="AK132" s="10">
        <v>122</v>
      </c>
      <c r="AL132" s="10">
        <f>MAX($AK132-积分赛!$C$7,0)*$AH$7/30</f>
        <v>1093.1880618651687</v>
      </c>
      <c r="AM132" s="10">
        <f>MAX($AK132-积分赛!$C$7,0)*$AH$7/30</f>
        <v>1093.1880618651687</v>
      </c>
      <c r="AN132" s="10">
        <f>MAX($AK132-积分赛!$C$7,0)*$AH$7/30</f>
        <v>1093.1880618651687</v>
      </c>
      <c r="AO132" s="10">
        <f>MAX($AK132-积分赛!$C$7,0)*$AH$7/30</f>
        <v>1093.1880618651687</v>
      </c>
      <c r="AP132" s="10">
        <f>MAX($AK132-积分赛!$C$7,0)*$AH$7/30</f>
        <v>1093.1880618651687</v>
      </c>
    </row>
    <row r="133" spans="37:42" x14ac:dyDescent="0.15">
      <c r="AK133" s="10">
        <v>123</v>
      </c>
      <c r="AL133" s="10">
        <f>MAX($AK133-积分赛!$C$7,0)*$AH$7/30</f>
        <v>1105.0705407984858</v>
      </c>
      <c r="AM133" s="10">
        <f>MAX($AK133-积分赛!$C$7,0)*$AH$7/30</f>
        <v>1105.0705407984858</v>
      </c>
      <c r="AN133" s="10">
        <f>MAX($AK133-积分赛!$C$7,0)*$AH$7/30</f>
        <v>1105.0705407984858</v>
      </c>
      <c r="AO133" s="10">
        <f>MAX($AK133-积分赛!$C$7,0)*$AH$7/30</f>
        <v>1105.0705407984858</v>
      </c>
      <c r="AP133" s="10">
        <f>MAX($AK133-积分赛!$C$7,0)*$AH$7/30</f>
        <v>1105.0705407984858</v>
      </c>
    </row>
    <row r="134" spans="37:42" x14ac:dyDescent="0.15">
      <c r="AK134" s="10">
        <v>124</v>
      </c>
      <c r="AL134" s="10">
        <f>MAX($AK134-积分赛!$C$7,0)*$AH$7/30</f>
        <v>1116.9530197318027</v>
      </c>
      <c r="AM134" s="10">
        <f>MAX($AK134-积分赛!$C$7,0)*$AH$7/30</f>
        <v>1116.9530197318027</v>
      </c>
      <c r="AN134" s="10">
        <f>MAX($AK134-积分赛!$C$7,0)*$AH$7/30</f>
        <v>1116.9530197318027</v>
      </c>
      <c r="AO134" s="10">
        <f>MAX($AK134-积分赛!$C$7,0)*$AH$7/30</f>
        <v>1116.9530197318027</v>
      </c>
      <c r="AP134" s="10">
        <f>MAX($AK134-积分赛!$C$7,0)*$AH$7/30</f>
        <v>1116.9530197318027</v>
      </c>
    </row>
    <row r="135" spans="37:42" x14ac:dyDescent="0.15">
      <c r="AK135" s="10">
        <v>125</v>
      </c>
      <c r="AL135" s="10">
        <f>MAX($AK135-积分赛!$C$7,0)*$AH$7/30</f>
        <v>1128.83549866512</v>
      </c>
      <c r="AM135" s="10">
        <f>MAX($AK135-积分赛!$C$7,0)*$AH$7/30</f>
        <v>1128.83549866512</v>
      </c>
      <c r="AN135" s="10">
        <f>MAX($AK135-积分赛!$C$7,0)*$AH$7/30</f>
        <v>1128.83549866512</v>
      </c>
      <c r="AO135" s="10">
        <f>MAX($AK135-积分赛!$C$7,0)*$AH$7/30</f>
        <v>1128.83549866512</v>
      </c>
      <c r="AP135" s="10">
        <f>MAX($AK135-积分赛!$C$7,0)*$AH$7/30</f>
        <v>1128.83549866512</v>
      </c>
    </row>
    <row r="136" spans="37:42" x14ac:dyDescent="0.15">
      <c r="AK136" s="10">
        <v>126</v>
      </c>
      <c r="AL136" s="10">
        <f>MAX($AK136-积分赛!$C$7,0)*$AH$7/30</f>
        <v>1140.7179775984368</v>
      </c>
      <c r="AM136" s="10">
        <f>MAX($AK136-积分赛!$C$7,0)*$AH$7/30</f>
        <v>1140.7179775984368</v>
      </c>
      <c r="AN136" s="10">
        <f>MAX($AK136-积分赛!$C$7,0)*$AH$7/30</f>
        <v>1140.7179775984368</v>
      </c>
      <c r="AO136" s="10">
        <f>MAX($AK136-积分赛!$C$7,0)*$AH$7/30</f>
        <v>1140.7179775984368</v>
      </c>
      <c r="AP136" s="10">
        <f>MAX($AK136-积分赛!$C$7,0)*$AH$7/30</f>
        <v>1140.7179775984368</v>
      </c>
    </row>
    <row r="137" spans="37:42" x14ac:dyDescent="0.15">
      <c r="AK137" s="10">
        <v>127</v>
      </c>
      <c r="AL137" s="10">
        <f>MAX($AK137-积分赛!$C$7,0)*$AH$7/30</f>
        <v>1152.6004565317537</v>
      </c>
      <c r="AM137" s="10">
        <f>MAX($AK137-积分赛!$C$7,0)*$AH$7/30</f>
        <v>1152.6004565317537</v>
      </c>
      <c r="AN137" s="10">
        <f>MAX($AK137-积分赛!$C$7,0)*$AH$7/30</f>
        <v>1152.6004565317537</v>
      </c>
      <c r="AO137" s="10">
        <f>MAX($AK137-积分赛!$C$7,0)*$AH$7/30</f>
        <v>1152.6004565317537</v>
      </c>
      <c r="AP137" s="10">
        <f>MAX($AK137-积分赛!$C$7,0)*$AH$7/30</f>
        <v>1152.6004565317537</v>
      </c>
    </row>
    <row r="138" spans="37:42" x14ac:dyDescent="0.15">
      <c r="AK138" s="10">
        <v>128</v>
      </c>
      <c r="AL138" s="10">
        <f>MAX($AK138-积分赛!$C$7,0)*$AH$7/30</f>
        <v>1164.482935465071</v>
      </c>
      <c r="AM138" s="10">
        <f>MAX($AK138-积分赛!$C$7,0)*$AH$7/30</f>
        <v>1164.482935465071</v>
      </c>
      <c r="AN138" s="10">
        <f>MAX($AK138-积分赛!$C$7,0)*$AH$7/30</f>
        <v>1164.482935465071</v>
      </c>
      <c r="AO138" s="10">
        <f>MAX($AK138-积分赛!$C$7,0)*$AH$7/30</f>
        <v>1164.482935465071</v>
      </c>
      <c r="AP138" s="10">
        <f>MAX($AK138-积分赛!$C$7,0)*$AH$7/30</f>
        <v>1164.482935465071</v>
      </c>
    </row>
    <row r="139" spans="37:42" x14ac:dyDescent="0.15">
      <c r="AK139" s="10">
        <v>129</v>
      </c>
      <c r="AL139" s="10">
        <f>MAX($AK139-积分赛!$C$7,0)*$AH$7/30</f>
        <v>1176.3654143983879</v>
      </c>
      <c r="AM139" s="10">
        <f>MAX($AK139-积分赛!$C$7,0)*$AH$7/30</f>
        <v>1176.3654143983879</v>
      </c>
      <c r="AN139" s="10">
        <f>MAX($AK139-积分赛!$C$7,0)*$AH$7/30</f>
        <v>1176.3654143983879</v>
      </c>
      <c r="AO139" s="10">
        <f>MAX($AK139-积分赛!$C$7,0)*$AH$7/30</f>
        <v>1176.3654143983879</v>
      </c>
      <c r="AP139" s="10">
        <f>MAX($AK139-积分赛!$C$7,0)*$AH$7/30</f>
        <v>1176.3654143983879</v>
      </c>
    </row>
    <row r="140" spans="37:42" x14ac:dyDescent="0.15">
      <c r="AK140" s="10">
        <v>130</v>
      </c>
      <c r="AL140" s="10">
        <f>MAX($AK140-积分赛!$C$7,0)*$AH$7/30</f>
        <v>1188.247893331705</v>
      </c>
      <c r="AM140" s="10">
        <f>MAX($AK140-积分赛!$C$7,0)*$AH$7/30</f>
        <v>1188.247893331705</v>
      </c>
      <c r="AN140" s="10">
        <f>MAX($AK140-积分赛!$C$7,0)*$AH$7/30</f>
        <v>1188.247893331705</v>
      </c>
      <c r="AO140" s="10">
        <f>MAX($AK140-积分赛!$C$7,0)*$AH$7/30</f>
        <v>1188.247893331705</v>
      </c>
      <c r="AP140" s="10">
        <f>MAX($AK140-积分赛!$C$7,0)*$AH$7/30</f>
        <v>1188.247893331705</v>
      </c>
    </row>
    <row r="141" spans="37:42" x14ac:dyDescent="0.15">
      <c r="AK141" s="10">
        <v>131</v>
      </c>
      <c r="AL141" s="10">
        <f>MAX($AK141-积分赛!$C$7,0)*$AH$7/30</f>
        <v>1200.1303722650221</v>
      </c>
      <c r="AM141" s="10">
        <f>MAX($AK141-积分赛!$C$7,0)*$AH$7/30</f>
        <v>1200.1303722650221</v>
      </c>
      <c r="AN141" s="10">
        <f>MAX($AK141-积分赛!$C$7,0)*$AH$7/30</f>
        <v>1200.1303722650221</v>
      </c>
      <c r="AO141" s="10">
        <f>MAX($AK141-积分赛!$C$7,0)*$AH$7/30</f>
        <v>1200.1303722650221</v>
      </c>
      <c r="AP141" s="10">
        <f>MAX($AK141-积分赛!$C$7,0)*$AH$7/30</f>
        <v>1200.1303722650221</v>
      </c>
    </row>
    <row r="142" spans="37:42" x14ac:dyDescent="0.15">
      <c r="AK142" s="10">
        <v>132</v>
      </c>
      <c r="AL142" s="10">
        <f>MAX($AK142-积分赛!$C$7,0)*$AH$7/30</f>
        <v>1212.0128511983391</v>
      </c>
      <c r="AM142" s="10">
        <f>MAX($AK142-积分赛!$C$7,0)*$AH$7/30</f>
        <v>1212.0128511983391</v>
      </c>
      <c r="AN142" s="10">
        <f>MAX($AK142-积分赛!$C$7,0)*$AH$7/30</f>
        <v>1212.0128511983391</v>
      </c>
      <c r="AO142" s="10">
        <f>MAX($AK142-积分赛!$C$7,0)*$AH$7/30</f>
        <v>1212.0128511983391</v>
      </c>
      <c r="AP142" s="10">
        <f>MAX($AK142-积分赛!$C$7,0)*$AH$7/30</f>
        <v>1212.0128511983391</v>
      </c>
    </row>
    <row r="143" spans="37:42" x14ac:dyDescent="0.15">
      <c r="AK143" s="10">
        <v>133</v>
      </c>
      <c r="AL143" s="10">
        <f>MAX($AK143-积分赛!$C$7,0)*$AH$7/30</f>
        <v>1223.8953301316562</v>
      </c>
      <c r="AM143" s="10">
        <f>MAX($AK143-积分赛!$C$7,0)*$AH$7/30</f>
        <v>1223.8953301316562</v>
      </c>
      <c r="AN143" s="10">
        <f>MAX($AK143-积分赛!$C$7,0)*$AH$7/30</f>
        <v>1223.8953301316562</v>
      </c>
      <c r="AO143" s="10">
        <f>MAX($AK143-积分赛!$C$7,0)*$AH$7/30</f>
        <v>1223.8953301316562</v>
      </c>
      <c r="AP143" s="10">
        <f>MAX($AK143-积分赛!$C$7,0)*$AH$7/30</f>
        <v>1223.8953301316562</v>
      </c>
    </row>
    <row r="144" spans="37:42" x14ac:dyDescent="0.15">
      <c r="AK144" s="10">
        <v>134</v>
      </c>
      <c r="AL144" s="10">
        <f>MAX($AK144-积分赛!$C$7,0)*$AH$7/30</f>
        <v>1235.7778090649733</v>
      </c>
      <c r="AM144" s="10">
        <f>MAX($AK144-积分赛!$C$7,0)*$AH$7/30</f>
        <v>1235.7778090649733</v>
      </c>
      <c r="AN144" s="10">
        <f>MAX($AK144-积分赛!$C$7,0)*$AH$7/30</f>
        <v>1235.7778090649733</v>
      </c>
      <c r="AO144" s="10">
        <f>MAX($AK144-积分赛!$C$7,0)*$AH$7/30</f>
        <v>1235.7778090649733</v>
      </c>
      <c r="AP144" s="10">
        <f>MAX($AK144-积分赛!$C$7,0)*$AH$7/30</f>
        <v>1235.7778090649733</v>
      </c>
    </row>
    <row r="145" spans="37:42" x14ac:dyDescent="0.15">
      <c r="AK145" s="10">
        <v>135</v>
      </c>
      <c r="AL145" s="10">
        <f>MAX($AK145-积分赛!$C$7,0)*$AH$7/30</f>
        <v>1247.6602879982902</v>
      </c>
      <c r="AM145" s="10">
        <f>MAX($AK145-积分赛!$C$7,0)*$AH$7/30</f>
        <v>1247.6602879982902</v>
      </c>
      <c r="AN145" s="10">
        <f>MAX($AK145-积分赛!$C$7,0)*$AH$7/30</f>
        <v>1247.6602879982902</v>
      </c>
      <c r="AO145" s="10">
        <f>MAX($AK145-积分赛!$C$7,0)*$AH$7/30</f>
        <v>1247.6602879982902</v>
      </c>
      <c r="AP145" s="10">
        <f>MAX($AK145-积分赛!$C$7,0)*$AH$7/30</f>
        <v>1247.6602879982902</v>
      </c>
    </row>
    <row r="146" spans="37:42" x14ac:dyDescent="0.15">
      <c r="AK146" s="10">
        <v>136</v>
      </c>
      <c r="AL146" s="10">
        <f>MAX($AK146-积分赛!$C$7,0)*$AH$7/30</f>
        <v>1259.5427669316075</v>
      </c>
      <c r="AM146" s="10">
        <f>MAX($AK146-积分赛!$C$7,0)*$AH$7/30</f>
        <v>1259.5427669316075</v>
      </c>
      <c r="AN146" s="10">
        <f>MAX($AK146-积分赛!$C$7,0)*$AH$7/30</f>
        <v>1259.5427669316075</v>
      </c>
      <c r="AO146" s="10">
        <f>MAX($AK146-积分赛!$C$7,0)*$AH$7/30</f>
        <v>1259.5427669316075</v>
      </c>
      <c r="AP146" s="10">
        <f>MAX($AK146-积分赛!$C$7,0)*$AH$7/30</f>
        <v>1259.5427669316075</v>
      </c>
    </row>
    <row r="147" spans="37:42" x14ac:dyDescent="0.15">
      <c r="AK147" s="10">
        <v>137</v>
      </c>
      <c r="AL147" s="10">
        <f>MAX($AK147-积分赛!$C$7,0)*$AH$7/30</f>
        <v>1271.4252458649244</v>
      </c>
      <c r="AM147" s="10">
        <f>MAX($AK147-积分赛!$C$7,0)*$AH$7/30</f>
        <v>1271.4252458649244</v>
      </c>
      <c r="AN147" s="10">
        <f>MAX($AK147-积分赛!$C$7,0)*$AH$7/30</f>
        <v>1271.4252458649244</v>
      </c>
      <c r="AO147" s="10">
        <f>MAX($AK147-积分赛!$C$7,0)*$AH$7/30</f>
        <v>1271.4252458649244</v>
      </c>
      <c r="AP147" s="10">
        <f>MAX($AK147-积分赛!$C$7,0)*$AH$7/30</f>
        <v>1271.4252458649244</v>
      </c>
    </row>
    <row r="148" spans="37:42" x14ac:dyDescent="0.15">
      <c r="AK148" s="10">
        <v>138</v>
      </c>
      <c r="AL148" s="10">
        <f>MAX($AK148-积分赛!$C$7,0)*$AH$7/30</f>
        <v>1283.3077247982415</v>
      </c>
      <c r="AM148" s="10">
        <f>MAX($AK148-积分赛!$C$7,0)*$AH$7/30</f>
        <v>1283.3077247982415</v>
      </c>
      <c r="AN148" s="10">
        <f>MAX($AK148-积分赛!$C$7,0)*$AH$7/30</f>
        <v>1283.3077247982415</v>
      </c>
      <c r="AO148" s="10">
        <f>MAX($AK148-积分赛!$C$7,0)*$AH$7/30</f>
        <v>1283.3077247982415</v>
      </c>
      <c r="AP148" s="10">
        <f>MAX($AK148-积分赛!$C$7,0)*$AH$7/30</f>
        <v>1283.3077247982415</v>
      </c>
    </row>
    <row r="149" spans="37:42" x14ac:dyDescent="0.15">
      <c r="AK149" s="10">
        <v>139</v>
      </c>
      <c r="AL149" s="10">
        <f>MAX($AK149-积分赛!$C$7,0)*$AH$7/30</f>
        <v>1295.1902037315585</v>
      </c>
      <c r="AM149" s="10">
        <f>MAX($AK149-积分赛!$C$7,0)*$AH$7/30</f>
        <v>1295.1902037315585</v>
      </c>
      <c r="AN149" s="10">
        <f>MAX($AK149-积分赛!$C$7,0)*$AH$7/30</f>
        <v>1295.1902037315585</v>
      </c>
      <c r="AO149" s="10">
        <f>MAX($AK149-积分赛!$C$7,0)*$AH$7/30</f>
        <v>1295.1902037315585</v>
      </c>
      <c r="AP149" s="10">
        <f>MAX($AK149-积分赛!$C$7,0)*$AH$7/30</f>
        <v>1295.1902037315585</v>
      </c>
    </row>
    <row r="150" spans="37:42" x14ac:dyDescent="0.15">
      <c r="AK150" s="10">
        <v>140</v>
      </c>
      <c r="AL150" s="10">
        <f>MAX($AK150-积分赛!$C$7,0)*$AH$7/30</f>
        <v>1307.0726826648756</v>
      </c>
      <c r="AM150" s="10">
        <f>MAX($AK150-积分赛!$C$7,0)*$AH$7/30</f>
        <v>1307.0726826648756</v>
      </c>
      <c r="AN150" s="10">
        <f>MAX($AK150-积分赛!$C$7,0)*$AH$7/30</f>
        <v>1307.0726826648756</v>
      </c>
      <c r="AO150" s="10">
        <f>MAX($AK150-积分赛!$C$7,0)*$AH$7/30</f>
        <v>1307.0726826648756</v>
      </c>
      <c r="AP150" s="10">
        <f>MAX($AK150-积分赛!$C$7,0)*$AH$7/30</f>
        <v>1307.0726826648756</v>
      </c>
    </row>
    <row r="151" spans="37:42" x14ac:dyDescent="0.15">
      <c r="AK151" s="10">
        <v>141</v>
      </c>
      <c r="AL151" s="10">
        <f>MAX($AK151-积分赛!$C$7,0)*$AH$7/30</f>
        <v>1318.9551615981925</v>
      </c>
      <c r="AM151" s="10">
        <f>MAX($AK151-积分赛!$C$7,0)*$AH$7/30</f>
        <v>1318.9551615981925</v>
      </c>
      <c r="AN151" s="10">
        <f>MAX($AK151-积分赛!$C$7,0)*$AH$7/30</f>
        <v>1318.9551615981925</v>
      </c>
      <c r="AO151" s="10">
        <f>MAX($AK151-积分赛!$C$7,0)*$AH$7/30</f>
        <v>1318.9551615981925</v>
      </c>
      <c r="AP151" s="10">
        <f>MAX($AK151-积分赛!$C$7,0)*$AH$7/30</f>
        <v>1318.9551615981925</v>
      </c>
    </row>
    <row r="152" spans="37:42" x14ac:dyDescent="0.15">
      <c r="AK152" s="10">
        <v>142</v>
      </c>
      <c r="AL152" s="10">
        <f>MAX($AK152-积分赛!$C$7,0)*$AH$7/30</f>
        <v>1330.8376405315096</v>
      </c>
      <c r="AM152" s="10">
        <f>MAX($AK152-积分赛!$C$7,0)*$AH$7/30</f>
        <v>1330.8376405315096</v>
      </c>
      <c r="AN152" s="10">
        <f>MAX($AK152-积分赛!$C$7,0)*$AH$7/30</f>
        <v>1330.8376405315096</v>
      </c>
      <c r="AO152" s="10">
        <f>MAX($AK152-积分赛!$C$7,0)*$AH$7/30</f>
        <v>1330.8376405315096</v>
      </c>
      <c r="AP152" s="10">
        <f>MAX($AK152-积分赛!$C$7,0)*$AH$7/30</f>
        <v>1330.8376405315096</v>
      </c>
    </row>
    <row r="153" spans="37:42" x14ac:dyDescent="0.15">
      <c r="AK153" s="10">
        <v>143</v>
      </c>
      <c r="AL153" s="10">
        <f>MAX($AK153-积分赛!$C$7,0)*$AH$7/30</f>
        <v>1342.7201194648267</v>
      </c>
      <c r="AM153" s="10">
        <f>MAX($AK153-积分赛!$C$7,0)*$AH$7/30</f>
        <v>1342.7201194648267</v>
      </c>
      <c r="AN153" s="10">
        <f>MAX($AK153-积分赛!$C$7,0)*$AH$7/30</f>
        <v>1342.7201194648267</v>
      </c>
      <c r="AO153" s="10">
        <f>MAX($AK153-积分赛!$C$7,0)*$AH$7/30</f>
        <v>1342.7201194648267</v>
      </c>
      <c r="AP153" s="10">
        <f>MAX($AK153-积分赛!$C$7,0)*$AH$7/30</f>
        <v>1342.7201194648267</v>
      </c>
    </row>
    <row r="154" spans="37:42" x14ac:dyDescent="0.15">
      <c r="AK154" s="10">
        <v>144</v>
      </c>
      <c r="AL154" s="10">
        <f>MAX($AK154-积分赛!$C$7,0)*$AH$7/30</f>
        <v>1354.6025983981438</v>
      </c>
      <c r="AM154" s="10">
        <f>MAX($AK154-积分赛!$C$7,0)*$AH$7/30</f>
        <v>1354.6025983981438</v>
      </c>
      <c r="AN154" s="10">
        <f>MAX($AK154-积分赛!$C$7,0)*$AH$7/30</f>
        <v>1354.6025983981438</v>
      </c>
      <c r="AO154" s="10">
        <f>MAX($AK154-积分赛!$C$7,0)*$AH$7/30</f>
        <v>1354.6025983981438</v>
      </c>
      <c r="AP154" s="10">
        <f>MAX($AK154-积分赛!$C$7,0)*$AH$7/30</f>
        <v>1354.6025983981438</v>
      </c>
    </row>
    <row r="155" spans="37:42" x14ac:dyDescent="0.15">
      <c r="AK155" s="10">
        <v>145</v>
      </c>
      <c r="AL155" s="10">
        <f>MAX($AK155-积分赛!$C$7,0)*$AH$7/30</f>
        <v>1366.4850773314608</v>
      </c>
      <c r="AM155" s="10">
        <f>MAX($AK155-积分赛!$C$7,0)*$AH$7/30</f>
        <v>1366.4850773314608</v>
      </c>
      <c r="AN155" s="10">
        <f>MAX($AK155-积分赛!$C$7,0)*$AH$7/30</f>
        <v>1366.4850773314608</v>
      </c>
      <c r="AO155" s="10">
        <f>MAX($AK155-积分赛!$C$7,0)*$AH$7/30</f>
        <v>1366.4850773314608</v>
      </c>
      <c r="AP155" s="10">
        <f>MAX($AK155-积分赛!$C$7,0)*$AH$7/30</f>
        <v>1366.4850773314608</v>
      </c>
    </row>
    <row r="156" spans="37:42" x14ac:dyDescent="0.15">
      <c r="AK156" s="10">
        <v>146</v>
      </c>
      <c r="AL156" s="10">
        <f>MAX($AK156-积分赛!$C$7,0)*$AH$7/30</f>
        <v>1378.3675562647777</v>
      </c>
      <c r="AM156" s="10">
        <f>MAX($AK156-积分赛!$C$7,0)*$AH$7/30</f>
        <v>1378.3675562647777</v>
      </c>
      <c r="AN156" s="10">
        <f>MAX($AK156-积分赛!$C$7,0)*$AH$7/30</f>
        <v>1378.3675562647777</v>
      </c>
      <c r="AO156" s="10">
        <f>MAX($AK156-积分赛!$C$7,0)*$AH$7/30</f>
        <v>1378.3675562647777</v>
      </c>
      <c r="AP156" s="10">
        <f>MAX($AK156-积分赛!$C$7,0)*$AH$7/30</f>
        <v>1378.3675562647777</v>
      </c>
    </row>
    <row r="157" spans="37:42" x14ac:dyDescent="0.15">
      <c r="AK157" s="10">
        <v>147</v>
      </c>
      <c r="AL157" s="10">
        <f>MAX($AK157-积分赛!$C$7,0)*$AH$7/30</f>
        <v>1390.250035198095</v>
      </c>
      <c r="AM157" s="10">
        <f>MAX($AK157-积分赛!$C$7,0)*$AH$7/30</f>
        <v>1390.250035198095</v>
      </c>
      <c r="AN157" s="10">
        <f>MAX($AK157-积分赛!$C$7,0)*$AH$7/30</f>
        <v>1390.250035198095</v>
      </c>
      <c r="AO157" s="10">
        <f>MAX($AK157-积分赛!$C$7,0)*$AH$7/30</f>
        <v>1390.250035198095</v>
      </c>
      <c r="AP157" s="10">
        <f>MAX($AK157-积分赛!$C$7,0)*$AH$7/30</f>
        <v>1390.250035198095</v>
      </c>
    </row>
    <row r="158" spans="37:42" x14ac:dyDescent="0.15">
      <c r="AK158" s="10">
        <v>148</v>
      </c>
      <c r="AL158" s="10">
        <f>MAX($AK158-积分赛!$C$7,0)*$AH$7/30</f>
        <v>1402.1325141314119</v>
      </c>
      <c r="AM158" s="10">
        <f>MAX($AK158-积分赛!$C$7,0)*$AH$7/30</f>
        <v>1402.1325141314119</v>
      </c>
      <c r="AN158" s="10">
        <f>MAX($AK158-积分赛!$C$7,0)*$AH$7/30</f>
        <v>1402.1325141314119</v>
      </c>
      <c r="AO158" s="10">
        <f>MAX($AK158-积分赛!$C$7,0)*$AH$7/30</f>
        <v>1402.1325141314119</v>
      </c>
      <c r="AP158" s="10">
        <f>MAX($AK158-积分赛!$C$7,0)*$AH$7/30</f>
        <v>1402.1325141314119</v>
      </c>
    </row>
    <row r="159" spans="37:42" x14ac:dyDescent="0.15">
      <c r="AK159" s="10">
        <v>149</v>
      </c>
      <c r="AL159" s="10">
        <f>MAX($AK159-积分赛!$C$7,0)*$AH$7/30</f>
        <v>1414.014993064729</v>
      </c>
      <c r="AM159" s="10">
        <f>MAX($AK159-积分赛!$C$7,0)*$AH$7/30</f>
        <v>1414.014993064729</v>
      </c>
      <c r="AN159" s="10">
        <f>MAX($AK159-积分赛!$C$7,0)*$AH$7/30</f>
        <v>1414.014993064729</v>
      </c>
      <c r="AO159" s="10">
        <f>MAX($AK159-积分赛!$C$7,0)*$AH$7/30</f>
        <v>1414.014993064729</v>
      </c>
      <c r="AP159" s="10">
        <f>MAX($AK159-积分赛!$C$7,0)*$AH$7/30</f>
        <v>1414.014993064729</v>
      </c>
    </row>
    <row r="160" spans="37:42" x14ac:dyDescent="0.15">
      <c r="AK160" s="10">
        <v>150</v>
      </c>
      <c r="AL160" s="10">
        <f>MAX($AK160-积分赛!$C$7,0)*$AH$7/30</f>
        <v>1425.8974719980461</v>
      </c>
      <c r="AM160" s="10">
        <f>MAX($AK160-积分赛!$C$7,0)*$AH$7/30</f>
        <v>1425.8974719980461</v>
      </c>
      <c r="AN160" s="10">
        <f>MAX($AK160-积分赛!$C$7,0)*$AH$7/30</f>
        <v>1425.8974719980461</v>
      </c>
      <c r="AO160" s="10">
        <f>MAX($AK160-积分赛!$C$7,0)*$AH$7/30</f>
        <v>1425.8974719980461</v>
      </c>
      <c r="AP160" s="10">
        <f>MAX($AK160-积分赛!$C$7,0)*$AH$7/30</f>
        <v>1425.8974719980461</v>
      </c>
    </row>
    <row r="161" spans="37:42" x14ac:dyDescent="0.15">
      <c r="AK161" s="10">
        <v>151</v>
      </c>
      <c r="AL161" s="10">
        <f>MAX($AK161-积分赛!$C$7,0)*$AH$7/30</f>
        <v>1437.7799509313631</v>
      </c>
      <c r="AM161" s="10">
        <f>MAX($AK161-积分赛!$C$7,0)*$AH$7/30</f>
        <v>1437.7799509313631</v>
      </c>
      <c r="AN161" s="10">
        <f>MAX($AK161-积分赛!$C$7,0)*$AH$7/30</f>
        <v>1437.7799509313631</v>
      </c>
      <c r="AO161" s="10">
        <f>MAX($AK161-积分赛!$C$7,0)*$AH$7/30</f>
        <v>1437.7799509313631</v>
      </c>
      <c r="AP161" s="10">
        <f>MAX($AK161-积分赛!$C$7,0)*$AH$7/30</f>
        <v>1437.7799509313631</v>
      </c>
    </row>
    <row r="162" spans="37:42" x14ac:dyDescent="0.15">
      <c r="AK162" s="10">
        <v>152</v>
      </c>
      <c r="AL162" s="10">
        <f>MAX($AK162-积分赛!$C$7,0)*$AH$7/30</f>
        <v>1449.66242986468</v>
      </c>
      <c r="AM162" s="10">
        <f>MAX($AK162-积分赛!$C$7,0)*$AH$7/30</f>
        <v>1449.66242986468</v>
      </c>
      <c r="AN162" s="10">
        <f>MAX($AK162-积分赛!$C$7,0)*$AH$7/30</f>
        <v>1449.66242986468</v>
      </c>
      <c r="AO162" s="10">
        <f>MAX($AK162-积分赛!$C$7,0)*$AH$7/30</f>
        <v>1449.66242986468</v>
      </c>
      <c r="AP162" s="10">
        <f>MAX($AK162-积分赛!$C$7,0)*$AH$7/30</f>
        <v>1449.66242986468</v>
      </c>
    </row>
    <row r="163" spans="37:42" x14ac:dyDescent="0.15">
      <c r="AK163" s="10">
        <v>153</v>
      </c>
      <c r="AL163" s="10">
        <f>MAX($AK163-积分赛!$C$7,0)*$AH$7/30</f>
        <v>1461.5449087979973</v>
      </c>
      <c r="AM163" s="10">
        <f>MAX($AK163-积分赛!$C$7,0)*$AH$7/30</f>
        <v>1461.5449087979973</v>
      </c>
      <c r="AN163" s="10">
        <f>MAX($AK163-积分赛!$C$7,0)*$AH$7/30</f>
        <v>1461.5449087979973</v>
      </c>
      <c r="AO163" s="10">
        <f>MAX($AK163-积分赛!$C$7,0)*$AH$7/30</f>
        <v>1461.5449087979973</v>
      </c>
      <c r="AP163" s="10">
        <f>MAX($AK163-积分赛!$C$7,0)*$AH$7/30</f>
        <v>1461.5449087979973</v>
      </c>
    </row>
    <row r="164" spans="37:42" x14ac:dyDescent="0.15">
      <c r="AK164" s="10">
        <v>154</v>
      </c>
      <c r="AL164" s="10">
        <f>MAX($AK164-积分赛!$C$7,0)*$AH$7/30</f>
        <v>1473.4273877313142</v>
      </c>
      <c r="AM164" s="10">
        <f>MAX($AK164-积分赛!$C$7,0)*$AH$7/30</f>
        <v>1473.4273877313142</v>
      </c>
      <c r="AN164" s="10">
        <f>MAX($AK164-积分赛!$C$7,0)*$AH$7/30</f>
        <v>1473.4273877313142</v>
      </c>
      <c r="AO164" s="10">
        <f>MAX($AK164-积分赛!$C$7,0)*$AH$7/30</f>
        <v>1473.4273877313142</v>
      </c>
      <c r="AP164" s="10">
        <f>MAX($AK164-积分赛!$C$7,0)*$AH$7/30</f>
        <v>1473.4273877313142</v>
      </c>
    </row>
    <row r="165" spans="37:42" x14ac:dyDescent="0.15">
      <c r="AK165" s="10">
        <v>155</v>
      </c>
      <c r="AL165" s="10">
        <f>MAX($AK165-积分赛!$C$7,0)*$AH$7/30</f>
        <v>1485.3098666646315</v>
      </c>
      <c r="AM165" s="10">
        <f>MAX($AK165-积分赛!$C$7,0)*$AH$7/30</f>
        <v>1485.3098666646315</v>
      </c>
      <c r="AN165" s="10">
        <f>MAX($AK165-积分赛!$C$7,0)*$AH$7/30</f>
        <v>1485.3098666646315</v>
      </c>
      <c r="AO165" s="10">
        <f>MAX($AK165-积分赛!$C$7,0)*$AH$7/30</f>
        <v>1485.3098666646315</v>
      </c>
      <c r="AP165" s="10">
        <f>MAX($AK165-积分赛!$C$7,0)*$AH$7/30</f>
        <v>1485.3098666646315</v>
      </c>
    </row>
    <row r="166" spans="37:42" x14ac:dyDescent="0.15">
      <c r="AK166" s="10">
        <v>156</v>
      </c>
      <c r="AL166" s="10">
        <f>MAX($AK166-积分赛!$C$7,0)*$AH$7/30</f>
        <v>1497.1923455979484</v>
      </c>
      <c r="AM166" s="10">
        <f>MAX($AK166-积分赛!$C$7,0)*$AH$7/30</f>
        <v>1497.1923455979484</v>
      </c>
      <c r="AN166" s="10">
        <f>MAX($AK166-积分赛!$C$7,0)*$AH$7/30</f>
        <v>1497.1923455979484</v>
      </c>
      <c r="AO166" s="10">
        <f>MAX($AK166-积分赛!$C$7,0)*$AH$7/30</f>
        <v>1497.1923455979484</v>
      </c>
      <c r="AP166" s="10">
        <f>MAX($AK166-积分赛!$C$7,0)*$AH$7/30</f>
        <v>1497.1923455979484</v>
      </c>
    </row>
    <row r="167" spans="37:42" x14ac:dyDescent="0.15">
      <c r="AK167" s="10">
        <v>157</v>
      </c>
      <c r="AL167" s="10">
        <f>MAX($AK167-积分赛!$C$7,0)*$AH$7/30</f>
        <v>1509.0748245312654</v>
      </c>
      <c r="AM167" s="10">
        <f>MAX($AK167-积分赛!$C$7,0)*$AH$7/30</f>
        <v>1509.0748245312654</v>
      </c>
      <c r="AN167" s="10">
        <f>MAX($AK167-积分赛!$C$7,0)*$AH$7/30</f>
        <v>1509.0748245312654</v>
      </c>
      <c r="AO167" s="10">
        <f>MAX($AK167-积分赛!$C$7,0)*$AH$7/30</f>
        <v>1509.0748245312654</v>
      </c>
      <c r="AP167" s="10">
        <f>MAX($AK167-积分赛!$C$7,0)*$AH$7/30</f>
        <v>1509.0748245312654</v>
      </c>
    </row>
    <row r="168" spans="37:42" x14ac:dyDescent="0.15">
      <c r="AK168" s="10">
        <v>158</v>
      </c>
      <c r="AL168" s="10">
        <f>MAX($AK168-积分赛!$C$7,0)*$AH$7/30</f>
        <v>1520.9573034645825</v>
      </c>
      <c r="AM168" s="10">
        <f>MAX($AK168-积分赛!$C$7,0)*$AH$7/30</f>
        <v>1520.9573034645825</v>
      </c>
      <c r="AN168" s="10">
        <f>MAX($AK168-积分赛!$C$7,0)*$AH$7/30</f>
        <v>1520.9573034645825</v>
      </c>
      <c r="AO168" s="10">
        <f>MAX($AK168-积分赛!$C$7,0)*$AH$7/30</f>
        <v>1520.9573034645825</v>
      </c>
      <c r="AP168" s="10">
        <f>MAX($AK168-积分赛!$C$7,0)*$AH$7/30</f>
        <v>1520.9573034645825</v>
      </c>
    </row>
    <row r="169" spans="37:42" x14ac:dyDescent="0.15">
      <c r="AK169" s="10">
        <v>159</v>
      </c>
      <c r="AL169" s="10">
        <f>MAX($AK169-积分赛!$C$7,0)*$AH$7/30</f>
        <v>1532.8397823978994</v>
      </c>
      <c r="AM169" s="10">
        <f>MAX($AK169-积分赛!$C$7,0)*$AH$7/30</f>
        <v>1532.8397823978994</v>
      </c>
      <c r="AN169" s="10">
        <f>MAX($AK169-积分赛!$C$7,0)*$AH$7/30</f>
        <v>1532.8397823978994</v>
      </c>
      <c r="AO169" s="10">
        <f>MAX($AK169-积分赛!$C$7,0)*$AH$7/30</f>
        <v>1532.8397823978994</v>
      </c>
      <c r="AP169" s="10">
        <f>MAX($AK169-积分赛!$C$7,0)*$AH$7/30</f>
        <v>1532.8397823978994</v>
      </c>
    </row>
    <row r="170" spans="37:42" x14ac:dyDescent="0.15">
      <c r="AK170" s="10">
        <v>160</v>
      </c>
      <c r="AL170" s="10">
        <f>MAX($AK170-积分赛!$C$7,0)*$AH$7/30</f>
        <v>1544.7222613312165</v>
      </c>
      <c r="AM170" s="10">
        <f>MAX($AK170-积分赛!$C$7,0)*$AH$7/30</f>
        <v>1544.7222613312165</v>
      </c>
      <c r="AN170" s="10">
        <f>MAX($AK170-积分赛!$C$7,0)*$AH$7/30</f>
        <v>1544.7222613312165</v>
      </c>
      <c r="AO170" s="10">
        <f>MAX($AK170-积分赛!$C$7,0)*$AH$7/30</f>
        <v>1544.7222613312165</v>
      </c>
      <c r="AP170" s="10">
        <f>MAX($AK170-积分赛!$C$7,0)*$AH$7/30</f>
        <v>1544.7222613312165</v>
      </c>
    </row>
    <row r="171" spans="37:42" x14ac:dyDescent="0.15">
      <c r="AK171" s="10">
        <v>161</v>
      </c>
      <c r="AL171" s="10">
        <f>MAX($AK171-积分赛!$C$7,0)*$AH$7/30</f>
        <v>1556.6047402645336</v>
      </c>
      <c r="AM171" s="10">
        <f>MAX($AK171-积分赛!$C$7,0)*$AH$7/30</f>
        <v>1556.6047402645336</v>
      </c>
      <c r="AN171" s="10">
        <f>MAX($AK171-积分赛!$C$7,0)*$AH$7/30</f>
        <v>1556.6047402645336</v>
      </c>
      <c r="AO171" s="10">
        <f>MAX($AK171-积分赛!$C$7,0)*$AH$7/30</f>
        <v>1556.6047402645336</v>
      </c>
      <c r="AP171" s="10">
        <f>MAX($AK171-积分赛!$C$7,0)*$AH$7/30</f>
        <v>1556.6047402645336</v>
      </c>
    </row>
    <row r="172" spans="37:42" x14ac:dyDescent="0.15">
      <c r="AK172" s="10">
        <v>162</v>
      </c>
      <c r="AL172" s="10">
        <f>MAX($AK172-积分赛!$C$7,0)*$AH$7/30</f>
        <v>1568.4872191978507</v>
      </c>
      <c r="AM172" s="10">
        <f>MAX($AK172-积分赛!$C$7,0)*$AH$7/30</f>
        <v>1568.4872191978507</v>
      </c>
      <c r="AN172" s="10">
        <f>MAX($AK172-积分赛!$C$7,0)*$AH$7/30</f>
        <v>1568.4872191978507</v>
      </c>
      <c r="AO172" s="10">
        <f>MAX($AK172-积分赛!$C$7,0)*$AH$7/30</f>
        <v>1568.4872191978507</v>
      </c>
      <c r="AP172" s="10">
        <f>MAX($AK172-积分赛!$C$7,0)*$AH$7/30</f>
        <v>1568.4872191978507</v>
      </c>
    </row>
    <row r="173" spans="37:42" x14ac:dyDescent="0.15">
      <c r="AK173" s="10">
        <v>163</v>
      </c>
      <c r="AL173" s="10">
        <f>MAX($AK173-积分赛!$C$7,0)*$AH$7/30</f>
        <v>1580.3696981311675</v>
      </c>
      <c r="AM173" s="10">
        <f>MAX($AK173-积分赛!$C$7,0)*$AH$7/30</f>
        <v>1580.3696981311675</v>
      </c>
      <c r="AN173" s="10">
        <f>MAX($AK173-积分赛!$C$7,0)*$AH$7/30</f>
        <v>1580.3696981311675</v>
      </c>
      <c r="AO173" s="10">
        <f>MAX($AK173-积分赛!$C$7,0)*$AH$7/30</f>
        <v>1580.3696981311675</v>
      </c>
      <c r="AP173" s="10">
        <f>MAX($AK173-积分赛!$C$7,0)*$AH$7/30</f>
        <v>1580.3696981311675</v>
      </c>
    </row>
    <row r="174" spans="37:42" x14ac:dyDescent="0.15">
      <c r="AK174" s="10">
        <v>164</v>
      </c>
      <c r="AL174" s="10">
        <f>MAX($AK174-积分赛!$C$7,0)*$AH$7/30</f>
        <v>1592.2521770644848</v>
      </c>
      <c r="AM174" s="10">
        <f>MAX($AK174-积分赛!$C$7,0)*$AH$7/30</f>
        <v>1592.2521770644848</v>
      </c>
      <c r="AN174" s="10">
        <f>MAX($AK174-积分赛!$C$7,0)*$AH$7/30</f>
        <v>1592.2521770644848</v>
      </c>
      <c r="AO174" s="10">
        <f>MAX($AK174-积分赛!$C$7,0)*$AH$7/30</f>
        <v>1592.2521770644848</v>
      </c>
      <c r="AP174" s="10">
        <f>MAX($AK174-积分赛!$C$7,0)*$AH$7/30</f>
        <v>1592.2521770644848</v>
      </c>
    </row>
    <row r="175" spans="37:42" x14ac:dyDescent="0.15">
      <c r="AK175" s="10">
        <v>165</v>
      </c>
      <c r="AL175" s="10">
        <f>MAX($AK175-积分赛!$C$7,0)*$AH$7/30</f>
        <v>1604.1346559978017</v>
      </c>
      <c r="AM175" s="10">
        <f>MAX($AK175-积分赛!$C$7,0)*$AH$7/30</f>
        <v>1604.1346559978017</v>
      </c>
      <c r="AN175" s="10">
        <f>MAX($AK175-积分赛!$C$7,0)*$AH$7/30</f>
        <v>1604.1346559978017</v>
      </c>
      <c r="AO175" s="10">
        <f>MAX($AK175-积分赛!$C$7,0)*$AH$7/30</f>
        <v>1604.1346559978017</v>
      </c>
      <c r="AP175" s="10">
        <f>MAX($AK175-积分赛!$C$7,0)*$AH$7/30</f>
        <v>1604.1346559978017</v>
      </c>
    </row>
    <row r="176" spans="37:42" x14ac:dyDescent="0.15">
      <c r="AK176" s="10">
        <v>166</v>
      </c>
      <c r="AL176" s="10">
        <f>MAX($AK176-积分赛!$C$7,0)*$AH$7/30</f>
        <v>1616.017134931119</v>
      </c>
      <c r="AM176" s="10">
        <f>MAX($AK176-积分赛!$C$7,0)*$AH$7/30</f>
        <v>1616.017134931119</v>
      </c>
      <c r="AN176" s="10">
        <f>MAX($AK176-积分赛!$C$7,0)*$AH$7/30</f>
        <v>1616.017134931119</v>
      </c>
      <c r="AO176" s="10">
        <f>MAX($AK176-积分赛!$C$7,0)*$AH$7/30</f>
        <v>1616.017134931119</v>
      </c>
      <c r="AP176" s="10">
        <f>MAX($AK176-积分赛!$C$7,0)*$AH$7/30</f>
        <v>1616.017134931119</v>
      </c>
    </row>
    <row r="177" spans="37:42" x14ac:dyDescent="0.15">
      <c r="AK177" s="10">
        <v>167</v>
      </c>
      <c r="AL177" s="10">
        <f>MAX($AK177-积分赛!$C$7,0)*$AH$7/30</f>
        <v>1627.8996138644359</v>
      </c>
      <c r="AM177" s="10">
        <f>MAX($AK177-积分赛!$C$7,0)*$AH$7/30</f>
        <v>1627.8996138644359</v>
      </c>
      <c r="AN177" s="10">
        <f>MAX($AK177-积分赛!$C$7,0)*$AH$7/30</f>
        <v>1627.8996138644359</v>
      </c>
      <c r="AO177" s="10">
        <f>MAX($AK177-积分赛!$C$7,0)*$AH$7/30</f>
        <v>1627.8996138644359</v>
      </c>
      <c r="AP177" s="10">
        <f>MAX($AK177-积分赛!$C$7,0)*$AH$7/30</f>
        <v>1627.8996138644359</v>
      </c>
    </row>
    <row r="178" spans="37:42" x14ac:dyDescent="0.15">
      <c r="AK178" s="10">
        <v>168</v>
      </c>
      <c r="AL178" s="10">
        <f>MAX($AK178-积分赛!$C$7,0)*$AH$7/30</f>
        <v>1639.782092797753</v>
      </c>
      <c r="AM178" s="10">
        <f>MAX($AK178-积分赛!$C$7,0)*$AH$7/30</f>
        <v>1639.782092797753</v>
      </c>
      <c r="AN178" s="10">
        <f>MAX($AK178-积分赛!$C$7,0)*$AH$7/30</f>
        <v>1639.782092797753</v>
      </c>
      <c r="AO178" s="10">
        <f>MAX($AK178-积分赛!$C$7,0)*$AH$7/30</f>
        <v>1639.782092797753</v>
      </c>
      <c r="AP178" s="10">
        <f>MAX($AK178-积分赛!$C$7,0)*$AH$7/30</f>
        <v>1639.782092797753</v>
      </c>
    </row>
    <row r="179" spans="37:42" x14ac:dyDescent="0.15">
      <c r="AK179" s="10">
        <v>169</v>
      </c>
      <c r="AL179" s="10">
        <f>MAX($AK179-积分赛!$C$7,0)*$AH$7/30</f>
        <v>1651.6645717310701</v>
      </c>
      <c r="AM179" s="10">
        <f>MAX($AK179-积分赛!$C$7,0)*$AH$7/30</f>
        <v>1651.6645717310701</v>
      </c>
      <c r="AN179" s="10">
        <f>MAX($AK179-积分赛!$C$7,0)*$AH$7/30</f>
        <v>1651.6645717310701</v>
      </c>
      <c r="AO179" s="10">
        <f>MAX($AK179-积分赛!$C$7,0)*$AH$7/30</f>
        <v>1651.6645717310701</v>
      </c>
      <c r="AP179" s="10">
        <f>MAX($AK179-积分赛!$C$7,0)*$AH$7/30</f>
        <v>1651.6645717310701</v>
      </c>
    </row>
    <row r="180" spans="37:42" x14ac:dyDescent="0.15">
      <c r="AK180" s="10">
        <v>170</v>
      </c>
      <c r="AL180" s="10">
        <f>MAX($AK180-积分赛!$C$7,0)*$AH$7/30</f>
        <v>1663.5470506643871</v>
      </c>
      <c r="AM180" s="10">
        <f>MAX($AK180-积分赛!$C$7,0)*$AH$7/30</f>
        <v>1663.5470506643871</v>
      </c>
      <c r="AN180" s="10">
        <f>MAX($AK180-积分赛!$C$7,0)*$AH$7/30</f>
        <v>1663.5470506643871</v>
      </c>
      <c r="AO180" s="10">
        <f>MAX($AK180-积分赛!$C$7,0)*$AH$7/30</f>
        <v>1663.5470506643871</v>
      </c>
      <c r="AP180" s="10">
        <f>MAX($AK180-积分赛!$C$7,0)*$AH$7/30</f>
        <v>1663.5470506643871</v>
      </c>
    </row>
    <row r="181" spans="37:42" x14ac:dyDescent="0.15">
      <c r="AK181" s="10">
        <v>171</v>
      </c>
      <c r="AL181" s="10">
        <f>MAX($AK181-积分赛!$C$7,0)*$AH$7/30</f>
        <v>1675.429529597704</v>
      </c>
      <c r="AM181" s="10">
        <f>MAX($AK181-积分赛!$C$7,0)*$AH$7/30</f>
        <v>1675.429529597704</v>
      </c>
      <c r="AN181" s="10">
        <f>MAX($AK181-积分赛!$C$7,0)*$AH$7/30</f>
        <v>1675.429529597704</v>
      </c>
      <c r="AO181" s="10">
        <f>MAX($AK181-积分赛!$C$7,0)*$AH$7/30</f>
        <v>1675.429529597704</v>
      </c>
      <c r="AP181" s="10">
        <f>MAX($AK181-积分赛!$C$7,0)*$AH$7/30</f>
        <v>1675.429529597704</v>
      </c>
    </row>
    <row r="182" spans="37:42" x14ac:dyDescent="0.15">
      <c r="AK182" s="10">
        <v>172</v>
      </c>
      <c r="AL182" s="10">
        <f>MAX($AK182-积分赛!$C$7,0)*$AH$7/30</f>
        <v>1687.3120085310213</v>
      </c>
      <c r="AM182" s="10">
        <f>MAX($AK182-积分赛!$C$7,0)*$AH$7/30</f>
        <v>1687.3120085310213</v>
      </c>
      <c r="AN182" s="10">
        <f>MAX($AK182-积分赛!$C$7,0)*$AH$7/30</f>
        <v>1687.3120085310213</v>
      </c>
      <c r="AO182" s="10">
        <f>MAX($AK182-积分赛!$C$7,0)*$AH$7/30</f>
        <v>1687.3120085310213</v>
      </c>
      <c r="AP182" s="10">
        <f>MAX($AK182-积分赛!$C$7,0)*$AH$7/30</f>
        <v>1687.3120085310213</v>
      </c>
    </row>
    <row r="183" spans="37:42" x14ac:dyDescent="0.15">
      <c r="AK183" s="10">
        <v>173</v>
      </c>
      <c r="AL183" s="10">
        <f>MAX($AK183-积分赛!$C$7,0)*$AH$7/30</f>
        <v>1699.1944874643382</v>
      </c>
      <c r="AM183" s="10">
        <f>MAX($AK183-积分赛!$C$7,0)*$AH$7/30</f>
        <v>1699.1944874643382</v>
      </c>
      <c r="AN183" s="10">
        <f>MAX($AK183-积分赛!$C$7,0)*$AH$7/30</f>
        <v>1699.1944874643382</v>
      </c>
      <c r="AO183" s="10">
        <f>MAX($AK183-积分赛!$C$7,0)*$AH$7/30</f>
        <v>1699.1944874643382</v>
      </c>
      <c r="AP183" s="10">
        <f>MAX($AK183-积分赛!$C$7,0)*$AH$7/30</f>
        <v>1699.1944874643382</v>
      </c>
    </row>
    <row r="184" spans="37:42" x14ac:dyDescent="0.15">
      <c r="AK184" s="10">
        <v>174</v>
      </c>
      <c r="AL184" s="10">
        <f>MAX($AK184-积分赛!$C$7,0)*$AH$7/30</f>
        <v>1711.0769663976555</v>
      </c>
      <c r="AM184" s="10">
        <f>MAX($AK184-积分赛!$C$7,0)*$AH$7/30</f>
        <v>1711.0769663976555</v>
      </c>
      <c r="AN184" s="10">
        <f>MAX($AK184-积分赛!$C$7,0)*$AH$7/30</f>
        <v>1711.0769663976555</v>
      </c>
      <c r="AO184" s="10">
        <f>MAX($AK184-积分赛!$C$7,0)*$AH$7/30</f>
        <v>1711.0769663976555</v>
      </c>
      <c r="AP184" s="10">
        <f>MAX($AK184-积分赛!$C$7,0)*$AH$7/30</f>
        <v>1711.0769663976555</v>
      </c>
    </row>
    <row r="185" spans="37:42" x14ac:dyDescent="0.15">
      <c r="AK185" s="10">
        <v>175</v>
      </c>
      <c r="AL185" s="10">
        <f>MAX($AK185-积分赛!$C$7,0)*$AH$7/30</f>
        <v>1722.9594453309724</v>
      </c>
      <c r="AM185" s="10">
        <f>MAX($AK185-积分赛!$C$7,0)*$AH$7/30</f>
        <v>1722.9594453309724</v>
      </c>
      <c r="AN185" s="10">
        <f>MAX($AK185-积分赛!$C$7,0)*$AH$7/30</f>
        <v>1722.9594453309724</v>
      </c>
      <c r="AO185" s="10">
        <f>MAX($AK185-积分赛!$C$7,0)*$AH$7/30</f>
        <v>1722.9594453309724</v>
      </c>
      <c r="AP185" s="10">
        <f>MAX($AK185-积分赛!$C$7,0)*$AH$7/30</f>
        <v>1722.9594453309724</v>
      </c>
    </row>
    <row r="186" spans="37:42" x14ac:dyDescent="0.15">
      <c r="AK186" s="10">
        <v>176</v>
      </c>
      <c r="AL186" s="10">
        <f>MAX($AK186-积分赛!$C$7,0)*$AH$7/30</f>
        <v>1734.8419242642892</v>
      </c>
      <c r="AM186" s="10">
        <f>MAX($AK186-积分赛!$C$7,0)*$AH$7/30</f>
        <v>1734.8419242642892</v>
      </c>
      <c r="AN186" s="10">
        <f>MAX($AK186-积分赛!$C$7,0)*$AH$7/30</f>
        <v>1734.8419242642892</v>
      </c>
      <c r="AO186" s="10">
        <f>MAX($AK186-积分赛!$C$7,0)*$AH$7/30</f>
        <v>1734.8419242642892</v>
      </c>
      <c r="AP186" s="10">
        <f>MAX($AK186-积分赛!$C$7,0)*$AH$7/30</f>
        <v>1734.8419242642892</v>
      </c>
    </row>
    <row r="187" spans="37:42" x14ac:dyDescent="0.15">
      <c r="AK187" s="10">
        <v>177</v>
      </c>
      <c r="AL187" s="10">
        <f>MAX($AK187-积分赛!$C$7,0)*$AH$7/30</f>
        <v>1746.7244031976065</v>
      </c>
      <c r="AM187" s="10">
        <f>MAX($AK187-积分赛!$C$7,0)*$AH$7/30</f>
        <v>1746.7244031976065</v>
      </c>
      <c r="AN187" s="10">
        <f>MAX($AK187-积分赛!$C$7,0)*$AH$7/30</f>
        <v>1746.7244031976065</v>
      </c>
      <c r="AO187" s="10">
        <f>MAX($AK187-积分赛!$C$7,0)*$AH$7/30</f>
        <v>1746.7244031976065</v>
      </c>
      <c r="AP187" s="10">
        <f>MAX($AK187-积分赛!$C$7,0)*$AH$7/30</f>
        <v>1746.7244031976065</v>
      </c>
    </row>
    <row r="188" spans="37:42" x14ac:dyDescent="0.15">
      <c r="AK188" s="10">
        <v>178</v>
      </c>
      <c r="AL188" s="10">
        <f>MAX($AK188-积分赛!$C$7,0)*$AH$7/30</f>
        <v>1758.6068821309234</v>
      </c>
      <c r="AM188" s="10">
        <f>MAX($AK188-积分赛!$C$7,0)*$AH$7/30</f>
        <v>1758.6068821309234</v>
      </c>
      <c r="AN188" s="10">
        <f>MAX($AK188-积分赛!$C$7,0)*$AH$7/30</f>
        <v>1758.6068821309234</v>
      </c>
      <c r="AO188" s="10">
        <f>MAX($AK188-积分赛!$C$7,0)*$AH$7/30</f>
        <v>1758.6068821309234</v>
      </c>
      <c r="AP188" s="10">
        <f>MAX($AK188-积分赛!$C$7,0)*$AH$7/30</f>
        <v>1758.6068821309234</v>
      </c>
    </row>
    <row r="189" spans="37:42" x14ac:dyDescent="0.15">
      <c r="AK189" s="10">
        <v>179</v>
      </c>
      <c r="AL189" s="10">
        <f>MAX($AK189-积分赛!$C$7,0)*$AH$7/30</f>
        <v>1770.4893610642405</v>
      </c>
      <c r="AM189" s="10">
        <f>MAX($AK189-积分赛!$C$7,0)*$AH$7/30</f>
        <v>1770.4893610642405</v>
      </c>
      <c r="AN189" s="10">
        <f>MAX($AK189-积分赛!$C$7,0)*$AH$7/30</f>
        <v>1770.4893610642405</v>
      </c>
      <c r="AO189" s="10">
        <f>MAX($AK189-积分赛!$C$7,0)*$AH$7/30</f>
        <v>1770.4893610642405</v>
      </c>
      <c r="AP189" s="10">
        <f>MAX($AK189-积分赛!$C$7,0)*$AH$7/30</f>
        <v>1770.4893610642405</v>
      </c>
    </row>
    <row r="190" spans="37:42" x14ac:dyDescent="0.15">
      <c r="AK190" s="10">
        <v>180</v>
      </c>
      <c r="AL190" s="10">
        <f>MAX($AK190-积分赛!$C$7,0)*$AH$7/30</f>
        <v>1782.3718399975576</v>
      </c>
      <c r="AM190" s="10">
        <f>MAX($AK190-积分赛!$C$7,0)*$AH$7/30</f>
        <v>1782.3718399975576</v>
      </c>
      <c r="AN190" s="10">
        <f>MAX($AK190-积分赛!$C$7,0)*$AH$7/30</f>
        <v>1782.3718399975576</v>
      </c>
      <c r="AO190" s="10">
        <f>MAX($AK190-积分赛!$C$7,0)*$AH$7/30</f>
        <v>1782.3718399975576</v>
      </c>
      <c r="AP190" s="10">
        <f>MAX($AK190-积分赛!$C$7,0)*$AH$7/30</f>
        <v>1782.3718399975576</v>
      </c>
    </row>
    <row r="191" spans="37:42" x14ac:dyDescent="0.15">
      <c r="AK191" s="10">
        <v>181</v>
      </c>
      <c r="AL191" s="10">
        <f>MAX($AK191-积分赛!$C$7,0)*$AH$7/30</f>
        <v>1794.2543189308747</v>
      </c>
      <c r="AM191" s="10">
        <f>MAX($AK191-积分赛!$C$7,0)*$AH$7/30</f>
        <v>1794.2543189308747</v>
      </c>
      <c r="AN191" s="10">
        <f>MAX($AK191-积分赛!$C$7,0)*$AH$7/30</f>
        <v>1794.2543189308747</v>
      </c>
      <c r="AO191" s="10">
        <f>MAX($AK191-积分赛!$C$7,0)*$AH$7/30</f>
        <v>1794.2543189308747</v>
      </c>
      <c r="AP191" s="10">
        <f>MAX($AK191-积分赛!$C$7,0)*$AH$7/30</f>
        <v>1794.2543189308747</v>
      </c>
    </row>
    <row r="192" spans="37:42" x14ac:dyDescent="0.15">
      <c r="AK192" s="10">
        <v>182</v>
      </c>
      <c r="AL192" s="10">
        <f>MAX($AK192-积分赛!$C$7,0)*$AH$7/30</f>
        <v>1806.1367978641915</v>
      </c>
      <c r="AM192" s="10">
        <f>MAX($AK192-积分赛!$C$7,0)*$AH$7/30</f>
        <v>1806.1367978641915</v>
      </c>
      <c r="AN192" s="10">
        <f>MAX($AK192-积分赛!$C$7,0)*$AH$7/30</f>
        <v>1806.1367978641915</v>
      </c>
      <c r="AO192" s="10">
        <f>MAX($AK192-积分赛!$C$7,0)*$AH$7/30</f>
        <v>1806.1367978641915</v>
      </c>
      <c r="AP192" s="10">
        <f>MAX($AK192-积分赛!$C$7,0)*$AH$7/30</f>
        <v>1806.1367978641915</v>
      </c>
    </row>
    <row r="193" spans="37:42" x14ac:dyDescent="0.15">
      <c r="AK193" s="10">
        <v>183</v>
      </c>
      <c r="AL193" s="10">
        <f>MAX($AK193-积分赛!$C$7,0)*$AH$7/30</f>
        <v>1818.0192767975088</v>
      </c>
      <c r="AM193" s="10">
        <f>MAX($AK193-积分赛!$C$7,0)*$AH$7/30</f>
        <v>1818.0192767975088</v>
      </c>
      <c r="AN193" s="10">
        <f>MAX($AK193-积分赛!$C$7,0)*$AH$7/30</f>
        <v>1818.0192767975088</v>
      </c>
      <c r="AO193" s="10">
        <f>MAX($AK193-积分赛!$C$7,0)*$AH$7/30</f>
        <v>1818.0192767975088</v>
      </c>
      <c r="AP193" s="10">
        <f>MAX($AK193-积分赛!$C$7,0)*$AH$7/30</f>
        <v>1818.0192767975088</v>
      </c>
    </row>
    <row r="194" spans="37:42" x14ac:dyDescent="0.15">
      <c r="AK194" s="10">
        <v>184</v>
      </c>
      <c r="AL194" s="10">
        <f>MAX($AK194-积分赛!$C$7,0)*$AH$7/30</f>
        <v>1829.9017557308257</v>
      </c>
      <c r="AM194" s="10">
        <f>MAX($AK194-积分赛!$C$7,0)*$AH$7/30</f>
        <v>1829.9017557308257</v>
      </c>
      <c r="AN194" s="10">
        <f>MAX($AK194-积分赛!$C$7,0)*$AH$7/30</f>
        <v>1829.9017557308257</v>
      </c>
      <c r="AO194" s="10">
        <f>MAX($AK194-积分赛!$C$7,0)*$AH$7/30</f>
        <v>1829.9017557308257</v>
      </c>
      <c r="AP194" s="10">
        <f>MAX($AK194-积分赛!$C$7,0)*$AH$7/30</f>
        <v>1829.9017557308257</v>
      </c>
    </row>
    <row r="195" spans="37:42" x14ac:dyDescent="0.15">
      <c r="AK195" s="10">
        <v>185</v>
      </c>
      <c r="AL195" s="10">
        <f>MAX($AK195-积分赛!$C$7,0)*$AH$7/30</f>
        <v>1841.784234664143</v>
      </c>
      <c r="AM195" s="10">
        <f>MAX($AK195-积分赛!$C$7,0)*$AH$7/30</f>
        <v>1841.784234664143</v>
      </c>
      <c r="AN195" s="10">
        <f>MAX($AK195-积分赛!$C$7,0)*$AH$7/30</f>
        <v>1841.784234664143</v>
      </c>
      <c r="AO195" s="10">
        <f>MAX($AK195-积分赛!$C$7,0)*$AH$7/30</f>
        <v>1841.784234664143</v>
      </c>
      <c r="AP195" s="10">
        <f>MAX($AK195-积分赛!$C$7,0)*$AH$7/30</f>
        <v>1841.784234664143</v>
      </c>
    </row>
    <row r="196" spans="37:42" x14ac:dyDescent="0.15">
      <c r="AK196" s="10">
        <v>186</v>
      </c>
      <c r="AL196" s="10">
        <f>MAX($AK196-积分赛!$C$7,0)*$AH$7/30</f>
        <v>1853.6667135974599</v>
      </c>
      <c r="AM196" s="10">
        <f>MAX($AK196-积分赛!$C$7,0)*$AH$7/30</f>
        <v>1853.6667135974599</v>
      </c>
      <c r="AN196" s="10">
        <f>MAX($AK196-积分赛!$C$7,0)*$AH$7/30</f>
        <v>1853.6667135974599</v>
      </c>
      <c r="AO196" s="10">
        <f>MAX($AK196-积分赛!$C$7,0)*$AH$7/30</f>
        <v>1853.6667135974599</v>
      </c>
      <c r="AP196" s="10">
        <f>MAX($AK196-积分赛!$C$7,0)*$AH$7/30</f>
        <v>1853.6667135974599</v>
      </c>
    </row>
    <row r="197" spans="37:42" x14ac:dyDescent="0.15">
      <c r="AK197" s="10">
        <v>187</v>
      </c>
      <c r="AL197" s="10">
        <f>MAX($AK197-积分赛!$C$7,0)*$AH$7/30</f>
        <v>1865.549192530777</v>
      </c>
      <c r="AM197" s="10">
        <f>MAX($AK197-积分赛!$C$7,0)*$AH$7/30</f>
        <v>1865.549192530777</v>
      </c>
      <c r="AN197" s="10">
        <f>MAX($AK197-积分赛!$C$7,0)*$AH$7/30</f>
        <v>1865.549192530777</v>
      </c>
      <c r="AO197" s="10">
        <f>MAX($AK197-积分赛!$C$7,0)*$AH$7/30</f>
        <v>1865.549192530777</v>
      </c>
      <c r="AP197" s="10">
        <f>MAX($AK197-积分赛!$C$7,0)*$AH$7/30</f>
        <v>1865.549192530777</v>
      </c>
    </row>
    <row r="198" spans="37:42" x14ac:dyDescent="0.15">
      <c r="AK198" s="10">
        <v>188</v>
      </c>
      <c r="AL198" s="10">
        <f>MAX($AK198-积分赛!$C$7,0)*$AH$7/30</f>
        <v>1877.4316714640941</v>
      </c>
      <c r="AM198" s="10">
        <f>MAX($AK198-积分赛!$C$7,0)*$AH$7/30</f>
        <v>1877.4316714640941</v>
      </c>
      <c r="AN198" s="10">
        <f>MAX($AK198-积分赛!$C$7,0)*$AH$7/30</f>
        <v>1877.4316714640941</v>
      </c>
      <c r="AO198" s="10">
        <f>MAX($AK198-积分赛!$C$7,0)*$AH$7/30</f>
        <v>1877.4316714640941</v>
      </c>
      <c r="AP198" s="10">
        <f>MAX($AK198-积分赛!$C$7,0)*$AH$7/30</f>
        <v>1877.4316714640941</v>
      </c>
    </row>
    <row r="199" spans="37:42" x14ac:dyDescent="0.15">
      <c r="AK199" s="10">
        <v>189</v>
      </c>
      <c r="AL199" s="10">
        <f>MAX($AK199-积分赛!$C$7,0)*$AH$7/30</f>
        <v>1889.3141503974111</v>
      </c>
      <c r="AM199" s="10">
        <f>MAX($AK199-积分赛!$C$7,0)*$AH$7/30</f>
        <v>1889.3141503974111</v>
      </c>
      <c r="AN199" s="10">
        <f>MAX($AK199-积分赛!$C$7,0)*$AH$7/30</f>
        <v>1889.3141503974111</v>
      </c>
      <c r="AO199" s="10">
        <f>MAX($AK199-积分赛!$C$7,0)*$AH$7/30</f>
        <v>1889.3141503974111</v>
      </c>
      <c r="AP199" s="10">
        <f>MAX($AK199-积分赛!$C$7,0)*$AH$7/30</f>
        <v>1889.3141503974111</v>
      </c>
    </row>
    <row r="200" spans="37:42" x14ac:dyDescent="0.15">
      <c r="AK200" s="10">
        <v>190</v>
      </c>
      <c r="AL200" s="10">
        <f>MAX($AK200-积分赛!$C$7,0)*$AH$7/30</f>
        <v>1901.196629330728</v>
      </c>
      <c r="AM200" s="10">
        <f>MAX($AK200-积分赛!$C$7,0)*$AH$7/30</f>
        <v>1901.196629330728</v>
      </c>
      <c r="AN200" s="10">
        <f>MAX($AK200-积分赛!$C$7,0)*$AH$7/30</f>
        <v>1901.196629330728</v>
      </c>
      <c r="AO200" s="10">
        <f>MAX($AK200-积分赛!$C$7,0)*$AH$7/30</f>
        <v>1901.196629330728</v>
      </c>
      <c r="AP200" s="10">
        <f>MAX($AK200-积分赛!$C$7,0)*$AH$7/30</f>
        <v>1901.196629330728</v>
      </c>
    </row>
    <row r="201" spans="37:42" x14ac:dyDescent="0.15">
      <c r="AK201" s="10">
        <v>191</v>
      </c>
      <c r="AL201" s="10">
        <f>MAX($AK201-积分赛!$C$7,0)*$AH$7/30</f>
        <v>1913.0791082640451</v>
      </c>
      <c r="AM201" s="10">
        <f>MAX($AK201-积分赛!$C$7,0)*$AH$7/30</f>
        <v>1913.0791082640451</v>
      </c>
      <c r="AN201" s="10">
        <f>MAX($AK201-积分赛!$C$7,0)*$AH$7/30</f>
        <v>1913.0791082640451</v>
      </c>
      <c r="AO201" s="10">
        <f>MAX($AK201-积分赛!$C$7,0)*$AH$7/30</f>
        <v>1913.0791082640451</v>
      </c>
      <c r="AP201" s="10">
        <f>MAX($AK201-积分赛!$C$7,0)*$AH$7/30</f>
        <v>1913.0791082640451</v>
      </c>
    </row>
    <row r="202" spans="37:42" x14ac:dyDescent="0.15">
      <c r="AK202" s="10">
        <v>192</v>
      </c>
      <c r="AL202" s="10">
        <f>MAX($AK202-积分赛!$C$7,0)*$AH$7/30</f>
        <v>1924.9615871973622</v>
      </c>
      <c r="AM202" s="10">
        <f>MAX($AK202-积分赛!$C$7,0)*$AH$7/30</f>
        <v>1924.9615871973622</v>
      </c>
      <c r="AN202" s="10">
        <f>MAX($AK202-积分赛!$C$7,0)*$AH$7/30</f>
        <v>1924.9615871973622</v>
      </c>
      <c r="AO202" s="10">
        <f>MAX($AK202-积分赛!$C$7,0)*$AH$7/30</f>
        <v>1924.9615871973622</v>
      </c>
      <c r="AP202" s="10">
        <f>MAX($AK202-积分赛!$C$7,0)*$AH$7/30</f>
        <v>1924.9615871973622</v>
      </c>
    </row>
    <row r="203" spans="37:42" x14ac:dyDescent="0.15">
      <c r="AK203" s="10">
        <v>193</v>
      </c>
      <c r="AL203" s="10">
        <f>MAX($AK203-积分赛!$C$7,0)*$AH$7/30</f>
        <v>1936.844066130679</v>
      </c>
      <c r="AM203" s="10">
        <f>MAX($AK203-积分赛!$C$7,0)*$AH$7/30</f>
        <v>1936.844066130679</v>
      </c>
      <c r="AN203" s="10">
        <f>MAX($AK203-积分赛!$C$7,0)*$AH$7/30</f>
        <v>1936.844066130679</v>
      </c>
      <c r="AO203" s="10">
        <f>MAX($AK203-积分赛!$C$7,0)*$AH$7/30</f>
        <v>1936.844066130679</v>
      </c>
      <c r="AP203" s="10">
        <f>MAX($AK203-积分赛!$C$7,0)*$AH$7/30</f>
        <v>1936.844066130679</v>
      </c>
    </row>
    <row r="204" spans="37:42" x14ac:dyDescent="0.15">
      <c r="AK204" s="10">
        <v>194</v>
      </c>
      <c r="AL204" s="10">
        <f>MAX($AK204-积分赛!$C$7,0)*$AH$7/30</f>
        <v>1948.7265450639964</v>
      </c>
      <c r="AM204" s="10">
        <f>MAX($AK204-积分赛!$C$7,0)*$AH$7/30</f>
        <v>1948.7265450639964</v>
      </c>
      <c r="AN204" s="10">
        <f>MAX($AK204-积分赛!$C$7,0)*$AH$7/30</f>
        <v>1948.7265450639964</v>
      </c>
      <c r="AO204" s="10">
        <f>MAX($AK204-积分赛!$C$7,0)*$AH$7/30</f>
        <v>1948.7265450639964</v>
      </c>
      <c r="AP204" s="10">
        <f>MAX($AK204-积分赛!$C$7,0)*$AH$7/30</f>
        <v>1948.7265450639964</v>
      </c>
    </row>
    <row r="205" spans="37:42" x14ac:dyDescent="0.15">
      <c r="AK205" s="10">
        <v>195</v>
      </c>
      <c r="AL205" s="10">
        <f>MAX($AK205-积分赛!$C$7,0)*$AH$7/30</f>
        <v>1960.6090239973132</v>
      </c>
      <c r="AM205" s="10">
        <f>MAX($AK205-积分赛!$C$7,0)*$AH$7/30</f>
        <v>1960.6090239973132</v>
      </c>
      <c r="AN205" s="10">
        <f>MAX($AK205-积分赛!$C$7,0)*$AH$7/30</f>
        <v>1960.6090239973132</v>
      </c>
      <c r="AO205" s="10">
        <f>MAX($AK205-积分赛!$C$7,0)*$AH$7/30</f>
        <v>1960.6090239973132</v>
      </c>
      <c r="AP205" s="10">
        <f>MAX($AK205-积分赛!$C$7,0)*$AH$7/30</f>
        <v>1960.6090239973132</v>
      </c>
    </row>
    <row r="206" spans="37:42" x14ac:dyDescent="0.15">
      <c r="AK206" s="10">
        <v>196</v>
      </c>
      <c r="AL206" s="10">
        <f>MAX($AK206-积分赛!$C$7,0)*$AH$7/30</f>
        <v>1972.4915029306305</v>
      </c>
      <c r="AM206" s="10">
        <f>MAX($AK206-积分赛!$C$7,0)*$AH$7/30</f>
        <v>1972.4915029306305</v>
      </c>
      <c r="AN206" s="10">
        <f>MAX($AK206-积分赛!$C$7,0)*$AH$7/30</f>
        <v>1972.4915029306305</v>
      </c>
      <c r="AO206" s="10">
        <f>MAX($AK206-积分赛!$C$7,0)*$AH$7/30</f>
        <v>1972.4915029306305</v>
      </c>
      <c r="AP206" s="10">
        <f>MAX($AK206-积分赛!$C$7,0)*$AH$7/30</f>
        <v>1972.4915029306305</v>
      </c>
    </row>
    <row r="207" spans="37:42" x14ac:dyDescent="0.15">
      <c r="AK207" s="10">
        <v>197</v>
      </c>
      <c r="AL207" s="10">
        <f>MAX($AK207-积分赛!$C$7,0)*$AH$7/30</f>
        <v>1984.3739818639474</v>
      </c>
      <c r="AM207" s="10">
        <f>MAX($AK207-积分赛!$C$7,0)*$AH$7/30</f>
        <v>1984.3739818639474</v>
      </c>
      <c r="AN207" s="10">
        <f>MAX($AK207-积分赛!$C$7,0)*$AH$7/30</f>
        <v>1984.3739818639474</v>
      </c>
      <c r="AO207" s="10">
        <f>MAX($AK207-积分赛!$C$7,0)*$AH$7/30</f>
        <v>1984.3739818639474</v>
      </c>
      <c r="AP207" s="10">
        <f>MAX($AK207-积分赛!$C$7,0)*$AH$7/30</f>
        <v>1984.3739818639474</v>
      </c>
    </row>
    <row r="208" spans="37:42" x14ac:dyDescent="0.15">
      <c r="AK208" s="10">
        <v>198</v>
      </c>
      <c r="AL208" s="10">
        <f>MAX($AK208-积分赛!$C$7,0)*$AH$7/30</f>
        <v>1996.2564607972645</v>
      </c>
      <c r="AM208" s="10">
        <f>MAX($AK208-积分赛!$C$7,0)*$AH$7/30</f>
        <v>1996.2564607972645</v>
      </c>
      <c r="AN208" s="10">
        <f>MAX($AK208-积分赛!$C$7,0)*$AH$7/30</f>
        <v>1996.2564607972645</v>
      </c>
      <c r="AO208" s="10">
        <f>MAX($AK208-积分赛!$C$7,0)*$AH$7/30</f>
        <v>1996.2564607972645</v>
      </c>
      <c r="AP208" s="10">
        <f>MAX($AK208-积分赛!$C$7,0)*$AH$7/30</f>
        <v>1996.2564607972645</v>
      </c>
    </row>
    <row r="209" spans="37:42" x14ac:dyDescent="0.15">
      <c r="AK209" s="10">
        <v>199</v>
      </c>
      <c r="AL209" s="10">
        <f>MAX($AK209-积分赛!$C$7,0)*$AH$7/30</f>
        <v>2008.1389397305816</v>
      </c>
      <c r="AM209" s="10">
        <f>MAX($AK209-积分赛!$C$7,0)*$AH$7/30</f>
        <v>2008.1389397305816</v>
      </c>
      <c r="AN209" s="10">
        <f>MAX($AK209-积分赛!$C$7,0)*$AH$7/30</f>
        <v>2008.1389397305816</v>
      </c>
      <c r="AO209" s="10">
        <f>MAX($AK209-积分赛!$C$7,0)*$AH$7/30</f>
        <v>2008.1389397305816</v>
      </c>
      <c r="AP209" s="10">
        <f>MAX($AK209-积分赛!$C$7,0)*$AH$7/30</f>
        <v>2008.1389397305816</v>
      </c>
    </row>
    <row r="210" spans="37:42" x14ac:dyDescent="0.15">
      <c r="AK210" s="10">
        <v>200</v>
      </c>
      <c r="AL210" s="10">
        <f>MAX($AK210-积分赛!$C$7,0)*$AH$7/30</f>
        <v>2020.0214186638987</v>
      </c>
      <c r="AM210" s="10">
        <f>MAX($AK210-积分赛!$C$7,0)*$AH$7/30</f>
        <v>2020.0214186638987</v>
      </c>
      <c r="AN210" s="10">
        <f>MAX($AK210-积分赛!$C$7,0)*$AH$7/30</f>
        <v>2020.0214186638987</v>
      </c>
      <c r="AO210" s="10">
        <f>MAX($AK210-积分赛!$C$7,0)*$AH$7/30</f>
        <v>2020.0214186638987</v>
      </c>
      <c r="AP210" s="10">
        <f>MAX($AK210-积分赛!$C$7,0)*$AH$7/30</f>
        <v>2020.0214186638987</v>
      </c>
    </row>
    <row r="211" spans="37:42" x14ac:dyDescent="0.15">
      <c r="AK211" s="10">
        <v>201</v>
      </c>
      <c r="AL211" s="10">
        <f>MAX($AK211-积分赛!$C$7,0)*$AH$7/30</f>
        <v>2031.9038975972155</v>
      </c>
      <c r="AM211" s="10">
        <f>MAX($AK211-积分赛!$C$7,0)*$AH$7/30</f>
        <v>2031.9038975972155</v>
      </c>
      <c r="AN211" s="10">
        <f>MAX($AK211-积分赛!$C$7,0)*$AH$7/30</f>
        <v>2031.9038975972155</v>
      </c>
      <c r="AO211" s="10">
        <f>MAX($AK211-积分赛!$C$7,0)*$AH$7/30</f>
        <v>2031.9038975972155</v>
      </c>
      <c r="AP211" s="10">
        <f>MAX($AK211-积分赛!$C$7,0)*$AH$7/30</f>
        <v>2031.9038975972155</v>
      </c>
    </row>
    <row r="212" spans="37:42" x14ac:dyDescent="0.15">
      <c r="AK212" s="10">
        <v>202</v>
      </c>
      <c r="AL212" s="10">
        <f>MAX($AK212-积分赛!$C$7,0)*$AH$7/30</f>
        <v>2043.7863765305328</v>
      </c>
      <c r="AM212" s="10">
        <f>MAX($AK212-积分赛!$C$7,0)*$AH$7/30</f>
        <v>2043.7863765305328</v>
      </c>
      <c r="AN212" s="10">
        <f>MAX($AK212-积分赛!$C$7,0)*$AH$7/30</f>
        <v>2043.7863765305328</v>
      </c>
      <c r="AO212" s="10">
        <f>MAX($AK212-积分赛!$C$7,0)*$AH$7/30</f>
        <v>2043.7863765305328</v>
      </c>
      <c r="AP212" s="10">
        <f>MAX($AK212-积分赛!$C$7,0)*$AH$7/30</f>
        <v>2043.7863765305328</v>
      </c>
    </row>
    <row r="213" spans="37:42" x14ac:dyDescent="0.15">
      <c r="AK213" s="10">
        <v>203</v>
      </c>
      <c r="AL213" s="10">
        <f>MAX($AK213-积分赛!$C$7,0)*$AH$7/30</f>
        <v>2055.6688554638499</v>
      </c>
      <c r="AM213" s="10">
        <f>MAX($AK213-积分赛!$C$7,0)*$AH$7/30</f>
        <v>2055.6688554638499</v>
      </c>
      <c r="AN213" s="10">
        <f>MAX($AK213-积分赛!$C$7,0)*$AH$7/30</f>
        <v>2055.6688554638499</v>
      </c>
      <c r="AO213" s="10">
        <f>MAX($AK213-积分赛!$C$7,0)*$AH$7/30</f>
        <v>2055.6688554638499</v>
      </c>
      <c r="AP213" s="10">
        <f>MAX($AK213-积分赛!$C$7,0)*$AH$7/30</f>
        <v>2055.6688554638499</v>
      </c>
    </row>
    <row r="214" spans="37:42" x14ac:dyDescent="0.15">
      <c r="AK214" s="10">
        <v>204</v>
      </c>
      <c r="AL214" s="10">
        <f>MAX($AK214-积分赛!$C$7,0)*$AH$7/30</f>
        <v>2067.551334397167</v>
      </c>
      <c r="AM214" s="10">
        <f>MAX($AK214-积分赛!$C$7,0)*$AH$7/30</f>
        <v>2067.551334397167</v>
      </c>
      <c r="AN214" s="10">
        <f>MAX($AK214-积分赛!$C$7,0)*$AH$7/30</f>
        <v>2067.551334397167</v>
      </c>
      <c r="AO214" s="10">
        <f>MAX($AK214-积分赛!$C$7,0)*$AH$7/30</f>
        <v>2067.551334397167</v>
      </c>
      <c r="AP214" s="10">
        <f>MAX($AK214-积分赛!$C$7,0)*$AH$7/30</f>
        <v>2067.551334397167</v>
      </c>
    </row>
    <row r="215" spans="37:42" x14ac:dyDescent="0.15">
      <c r="AK215" s="10">
        <v>205</v>
      </c>
      <c r="AL215" s="10">
        <f>MAX($AK215-积分赛!$C$7,0)*$AH$7/30</f>
        <v>2079.4338133304836</v>
      </c>
      <c r="AM215" s="10">
        <f>MAX($AK215-积分赛!$C$7,0)*$AH$7/30</f>
        <v>2079.4338133304836</v>
      </c>
      <c r="AN215" s="10">
        <f>MAX($AK215-积分赛!$C$7,0)*$AH$7/30</f>
        <v>2079.4338133304836</v>
      </c>
      <c r="AO215" s="10">
        <f>MAX($AK215-积分赛!$C$7,0)*$AH$7/30</f>
        <v>2079.4338133304836</v>
      </c>
      <c r="AP215" s="10">
        <f>MAX($AK215-积分赛!$C$7,0)*$AH$7/30</f>
        <v>2079.4338133304836</v>
      </c>
    </row>
    <row r="216" spans="37:42" x14ac:dyDescent="0.15">
      <c r="AK216" s="10">
        <v>206</v>
      </c>
      <c r="AL216" s="10">
        <f>MAX($AK216-积分赛!$C$7,0)*$AH$7/30</f>
        <v>2091.3162922638007</v>
      </c>
      <c r="AM216" s="10">
        <f>MAX($AK216-积分赛!$C$7,0)*$AH$7/30</f>
        <v>2091.3162922638007</v>
      </c>
      <c r="AN216" s="10">
        <f>MAX($AK216-积分赛!$C$7,0)*$AH$7/30</f>
        <v>2091.3162922638007</v>
      </c>
      <c r="AO216" s="10">
        <f>MAX($AK216-积分赛!$C$7,0)*$AH$7/30</f>
        <v>2091.3162922638007</v>
      </c>
      <c r="AP216" s="10">
        <f>MAX($AK216-积分赛!$C$7,0)*$AH$7/30</f>
        <v>2091.3162922638007</v>
      </c>
    </row>
    <row r="217" spans="37:42" x14ac:dyDescent="0.15">
      <c r="AK217" s="10">
        <v>207</v>
      </c>
      <c r="AL217" s="10">
        <f>MAX($AK217-积分赛!$C$7,0)*$AH$7/30</f>
        <v>2103.1987711971178</v>
      </c>
      <c r="AM217" s="10">
        <f>MAX($AK217-积分赛!$C$7,0)*$AH$7/30</f>
        <v>2103.1987711971178</v>
      </c>
      <c r="AN217" s="10">
        <f>MAX($AK217-积分赛!$C$7,0)*$AH$7/30</f>
        <v>2103.1987711971178</v>
      </c>
      <c r="AO217" s="10">
        <f>MAX($AK217-积分赛!$C$7,0)*$AH$7/30</f>
        <v>2103.1987711971178</v>
      </c>
      <c r="AP217" s="10">
        <f>MAX($AK217-积分赛!$C$7,0)*$AH$7/30</f>
        <v>2103.1987711971178</v>
      </c>
    </row>
    <row r="218" spans="37:42" x14ac:dyDescent="0.15">
      <c r="AK218" s="10">
        <v>208</v>
      </c>
      <c r="AL218" s="10">
        <f>MAX($AK218-积分赛!$C$7,0)*$AH$7/30</f>
        <v>2115.0812501304349</v>
      </c>
      <c r="AM218" s="10">
        <f>MAX($AK218-积分赛!$C$7,0)*$AH$7/30</f>
        <v>2115.0812501304349</v>
      </c>
      <c r="AN218" s="10">
        <f>MAX($AK218-积分赛!$C$7,0)*$AH$7/30</f>
        <v>2115.0812501304349</v>
      </c>
      <c r="AO218" s="10">
        <f>MAX($AK218-积分赛!$C$7,0)*$AH$7/30</f>
        <v>2115.0812501304349</v>
      </c>
      <c r="AP218" s="10">
        <f>MAX($AK218-积分赛!$C$7,0)*$AH$7/30</f>
        <v>2115.0812501304349</v>
      </c>
    </row>
    <row r="219" spans="37:42" x14ac:dyDescent="0.15">
      <c r="AK219" s="10">
        <v>209</v>
      </c>
      <c r="AL219" s="10">
        <f>MAX($AK219-积分赛!$C$7,0)*$AH$7/30</f>
        <v>2126.963729063752</v>
      </c>
      <c r="AM219" s="10">
        <f>MAX($AK219-积分赛!$C$7,0)*$AH$7/30</f>
        <v>2126.963729063752</v>
      </c>
      <c r="AN219" s="10">
        <f>MAX($AK219-积分赛!$C$7,0)*$AH$7/30</f>
        <v>2126.963729063752</v>
      </c>
      <c r="AO219" s="10">
        <f>MAX($AK219-积分赛!$C$7,0)*$AH$7/30</f>
        <v>2126.963729063752</v>
      </c>
      <c r="AP219" s="10">
        <f>MAX($AK219-积分赛!$C$7,0)*$AH$7/30</f>
        <v>2126.963729063752</v>
      </c>
    </row>
    <row r="220" spans="37:42" x14ac:dyDescent="0.15">
      <c r="AK220" s="10">
        <v>210</v>
      </c>
      <c r="AL220" s="10">
        <f>MAX($AK220-积分赛!$C$7,0)*$AH$7/30</f>
        <v>2138.8462079970691</v>
      </c>
      <c r="AM220" s="10">
        <f>MAX($AK220-积分赛!$C$7,0)*$AH$7/30</f>
        <v>2138.8462079970691</v>
      </c>
      <c r="AN220" s="10">
        <f>MAX($AK220-积分赛!$C$7,0)*$AH$7/30</f>
        <v>2138.8462079970691</v>
      </c>
      <c r="AO220" s="10">
        <f>MAX($AK220-积分赛!$C$7,0)*$AH$7/30</f>
        <v>2138.8462079970691</v>
      </c>
      <c r="AP220" s="10">
        <f>MAX($AK220-积分赛!$C$7,0)*$AH$7/30</f>
        <v>2138.8462079970691</v>
      </c>
    </row>
    <row r="221" spans="37:42" x14ac:dyDescent="0.15">
      <c r="AK221" s="10">
        <v>211</v>
      </c>
      <c r="AL221" s="10">
        <f>MAX($AK221-积分赛!$C$7,0)*$AH$7/30</f>
        <v>2150.7286869303862</v>
      </c>
      <c r="AM221" s="10">
        <f>MAX($AK221-积分赛!$C$7,0)*$AH$7/30</f>
        <v>2150.7286869303862</v>
      </c>
      <c r="AN221" s="10">
        <f>MAX($AK221-积分赛!$C$7,0)*$AH$7/30</f>
        <v>2150.7286869303862</v>
      </c>
      <c r="AO221" s="10">
        <f>MAX($AK221-积分赛!$C$7,0)*$AH$7/30</f>
        <v>2150.7286869303862</v>
      </c>
      <c r="AP221" s="10">
        <f>MAX($AK221-积分赛!$C$7,0)*$AH$7/30</f>
        <v>2150.7286869303862</v>
      </c>
    </row>
    <row r="222" spans="37:42" x14ac:dyDescent="0.15">
      <c r="AK222" s="10">
        <v>212</v>
      </c>
      <c r="AL222" s="10">
        <f>MAX($AK222-积分赛!$C$7,0)*$AH$7/30</f>
        <v>2162.6111658637033</v>
      </c>
      <c r="AM222" s="10">
        <f>MAX($AK222-积分赛!$C$7,0)*$AH$7/30</f>
        <v>2162.6111658637033</v>
      </c>
      <c r="AN222" s="10">
        <f>MAX($AK222-积分赛!$C$7,0)*$AH$7/30</f>
        <v>2162.6111658637033</v>
      </c>
      <c r="AO222" s="10">
        <f>MAX($AK222-积分赛!$C$7,0)*$AH$7/30</f>
        <v>2162.6111658637033</v>
      </c>
      <c r="AP222" s="10">
        <f>MAX($AK222-积分赛!$C$7,0)*$AH$7/30</f>
        <v>2162.6111658637033</v>
      </c>
    </row>
    <row r="223" spans="37:42" x14ac:dyDescent="0.15">
      <c r="AK223" s="10">
        <v>213</v>
      </c>
      <c r="AL223" s="10">
        <f>MAX($AK223-积分赛!$C$7,0)*$AH$7/30</f>
        <v>2174.4936447970204</v>
      </c>
      <c r="AM223" s="10">
        <f>MAX($AK223-积分赛!$C$7,0)*$AH$7/30</f>
        <v>2174.4936447970204</v>
      </c>
      <c r="AN223" s="10">
        <f>MAX($AK223-积分赛!$C$7,0)*$AH$7/30</f>
        <v>2174.4936447970204</v>
      </c>
      <c r="AO223" s="10">
        <f>MAX($AK223-积分赛!$C$7,0)*$AH$7/30</f>
        <v>2174.4936447970204</v>
      </c>
      <c r="AP223" s="10">
        <f>MAX($AK223-积分赛!$C$7,0)*$AH$7/30</f>
        <v>2174.4936447970204</v>
      </c>
    </row>
    <row r="224" spans="37:42" x14ac:dyDescent="0.15">
      <c r="AK224" s="10">
        <v>214</v>
      </c>
      <c r="AL224" s="10">
        <f>MAX($AK224-积分赛!$C$7,0)*$AH$7/30</f>
        <v>2186.3761237303374</v>
      </c>
      <c r="AM224" s="10">
        <f>MAX($AK224-积分赛!$C$7,0)*$AH$7/30</f>
        <v>2186.3761237303374</v>
      </c>
      <c r="AN224" s="10">
        <f>MAX($AK224-积分赛!$C$7,0)*$AH$7/30</f>
        <v>2186.3761237303374</v>
      </c>
      <c r="AO224" s="10">
        <f>MAX($AK224-积分赛!$C$7,0)*$AH$7/30</f>
        <v>2186.3761237303374</v>
      </c>
      <c r="AP224" s="10">
        <f>MAX($AK224-积分赛!$C$7,0)*$AH$7/30</f>
        <v>2186.3761237303374</v>
      </c>
    </row>
    <row r="225" spans="37:42" x14ac:dyDescent="0.15">
      <c r="AK225" s="10">
        <v>215</v>
      </c>
      <c r="AL225" s="10">
        <f>MAX($AK225-积分赛!$C$7,0)*$AH$7/30</f>
        <v>2198.2586026636545</v>
      </c>
      <c r="AM225" s="10">
        <f>MAX($AK225-积分赛!$C$7,0)*$AH$7/30</f>
        <v>2198.2586026636545</v>
      </c>
      <c r="AN225" s="10">
        <f>MAX($AK225-积分赛!$C$7,0)*$AH$7/30</f>
        <v>2198.2586026636545</v>
      </c>
      <c r="AO225" s="10">
        <f>MAX($AK225-积分赛!$C$7,0)*$AH$7/30</f>
        <v>2198.2586026636545</v>
      </c>
      <c r="AP225" s="10">
        <f>MAX($AK225-积分赛!$C$7,0)*$AH$7/30</f>
        <v>2198.2586026636545</v>
      </c>
    </row>
    <row r="226" spans="37:42" x14ac:dyDescent="0.15">
      <c r="AK226" s="10">
        <v>216</v>
      </c>
      <c r="AL226" s="10">
        <f>MAX($AK226-积分赛!$C$7,0)*$AH$7/30</f>
        <v>2210.1410815969716</v>
      </c>
      <c r="AM226" s="10">
        <f>MAX($AK226-积分赛!$C$7,0)*$AH$7/30</f>
        <v>2210.1410815969716</v>
      </c>
      <c r="AN226" s="10">
        <f>MAX($AK226-积分赛!$C$7,0)*$AH$7/30</f>
        <v>2210.1410815969716</v>
      </c>
      <c r="AO226" s="10">
        <f>MAX($AK226-积分赛!$C$7,0)*$AH$7/30</f>
        <v>2210.1410815969716</v>
      </c>
      <c r="AP226" s="10">
        <f>MAX($AK226-积分赛!$C$7,0)*$AH$7/30</f>
        <v>2210.1410815969716</v>
      </c>
    </row>
    <row r="227" spans="37:42" x14ac:dyDescent="0.15">
      <c r="AK227" s="10">
        <v>217</v>
      </c>
      <c r="AL227" s="10">
        <f>MAX($AK227-积分赛!$C$7,0)*$AH$7/30</f>
        <v>2222.0235605302883</v>
      </c>
      <c r="AM227" s="10">
        <f>MAX($AK227-积分赛!$C$7,0)*$AH$7/30</f>
        <v>2222.0235605302883</v>
      </c>
      <c r="AN227" s="10">
        <f>MAX($AK227-积分赛!$C$7,0)*$AH$7/30</f>
        <v>2222.0235605302883</v>
      </c>
      <c r="AO227" s="10">
        <f>MAX($AK227-积分赛!$C$7,0)*$AH$7/30</f>
        <v>2222.0235605302883</v>
      </c>
      <c r="AP227" s="10">
        <f>MAX($AK227-积分赛!$C$7,0)*$AH$7/30</f>
        <v>2222.0235605302883</v>
      </c>
    </row>
    <row r="228" spans="37:42" x14ac:dyDescent="0.15">
      <c r="AK228" s="10">
        <v>218</v>
      </c>
      <c r="AL228" s="10">
        <f>MAX($AK228-积分赛!$C$7,0)*$AH$7/30</f>
        <v>2233.9060394636053</v>
      </c>
      <c r="AM228" s="10">
        <f>MAX($AK228-积分赛!$C$7,0)*$AH$7/30</f>
        <v>2233.9060394636053</v>
      </c>
      <c r="AN228" s="10">
        <f>MAX($AK228-积分赛!$C$7,0)*$AH$7/30</f>
        <v>2233.9060394636053</v>
      </c>
      <c r="AO228" s="10">
        <f>MAX($AK228-积分赛!$C$7,0)*$AH$7/30</f>
        <v>2233.9060394636053</v>
      </c>
      <c r="AP228" s="10">
        <f>MAX($AK228-积分赛!$C$7,0)*$AH$7/30</f>
        <v>2233.9060394636053</v>
      </c>
    </row>
    <row r="229" spans="37:42" x14ac:dyDescent="0.15">
      <c r="AK229" s="10">
        <v>219</v>
      </c>
      <c r="AL229" s="10">
        <f>MAX($AK229-积分赛!$C$7,0)*$AH$7/30</f>
        <v>2245.7885183969224</v>
      </c>
      <c r="AM229" s="10">
        <f>MAX($AK229-积分赛!$C$7,0)*$AH$7/30</f>
        <v>2245.7885183969224</v>
      </c>
      <c r="AN229" s="10">
        <f>MAX($AK229-积分赛!$C$7,0)*$AH$7/30</f>
        <v>2245.7885183969224</v>
      </c>
      <c r="AO229" s="10">
        <f>MAX($AK229-积分赛!$C$7,0)*$AH$7/30</f>
        <v>2245.7885183969224</v>
      </c>
      <c r="AP229" s="10">
        <f>MAX($AK229-积分赛!$C$7,0)*$AH$7/30</f>
        <v>2245.7885183969224</v>
      </c>
    </row>
    <row r="230" spans="37:42" x14ac:dyDescent="0.15">
      <c r="AK230" s="10">
        <v>220</v>
      </c>
      <c r="AL230" s="10">
        <f>MAX($AK230-积分赛!$C$7,0)*$AH$7/30</f>
        <v>2257.67099733024</v>
      </c>
      <c r="AM230" s="10">
        <f>MAX($AK230-积分赛!$C$7,0)*$AH$7/30</f>
        <v>2257.67099733024</v>
      </c>
      <c r="AN230" s="10">
        <f>MAX($AK230-积分赛!$C$7,0)*$AH$7/30</f>
        <v>2257.67099733024</v>
      </c>
      <c r="AO230" s="10">
        <f>MAX($AK230-积分赛!$C$7,0)*$AH$7/30</f>
        <v>2257.67099733024</v>
      </c>
      <c r="AP230" s="10">
        <f>MAX($AK230-积分赛!$C$7,0)*$AH$7/30</f>
        <v>2257.67099733024</v>
      </c>
    </row>
    <row r="231" spans="37:42" x14ac:dyDescent="0.15">
      <c r="AK231" s="10">
        <v>221</v>
      </c>
      <c r="AL231" s="10">
        <f>MAX($AK231-积分赛!$C$7,0)*$AH$7/30</f>
        <v>2269.5534762635566</v>
      </c>
      <c r="AM231" s="10">
        <f>MAX($AK231-积分赛!$C$7,0)*$AH$7/30</f>
        <v>2269.5534762635566</v>
      </c>
      <c r="AN231" s="10">
        <f>MAX($AK231-积分赛!$C$7,0)*$AH$7/30</f>
        <v>2269.5534762635566</v>
      </c>
      <c r="AO231" s="10">
        <f>MAX($AK231-积分赛!$C$7,0)*$AH$7/30</f>
        <v>2269.5534762635566</v>
      </c>
      <c r="AP231" s="10">
        <f>MAX($AK231-积分赛!$C$7,0)*$AH$7/30</f>
        <v>2269.5534762635566</v>
      </c>
    </row>
    <row r="232" spans="37:42" x14ac:dyDescent="0.15">
      <c r="AK232" s="10">
        <v>222</v>
      </c>
      <c r="AL232" s="10">
        <f>MAX($AK232-积分赛!$C$7,0)*$AH$7/30</f>
        <v>2281.4359551968737</v>
      </c>
      <c r="AM232" s="10">
        <f>MAX($AK232-积分赛!$C$7,0)*$AH$7/30</f>
        <v>2281.4359551968737</v>
      </c>
      <c r="AN232" s="10">
        <f>MAX($AK232-积分赛!$C$7,0)*$AH$7/30</f>
        <v>2281.4359551968737</v>
      </c>
      <c r="AO232" s="10">
        <f>MAX($AK232-积分赛!$C$7,0)*$AH$7/30</f>
        <v>2281.4359551968737</v>
      </c>
      <c r="AP232" s="10">
        <f>MAX($AK232-积分赛!$C$7,0)*$AH$7/30</f>
        <v>2281.4359551968737</v>
      </c>
    </row>
    <row r="233" spans="37:42" x14ac:dyDescent="0.15">
      <c r="AK233" s="10">
        <v>223</v>
      </c>
      <c r="AL233" s="10">
        <f>MAX($AK233-积分赛!$C$7,0)*$AH$7/30</f>
        <v>2293.3184341301908</v>
      </c>
      <c r="AM233" s="10">
        <f>MAX($AK233-积分赛!$C$7,0)*$AH$7/30</f>
        <v>2293.3184341301908</v>
      </c>
      <c r="AN233" s="10">
        <f>MAX($AK233-积分赛!$C$7,0)*$AH$7/30</f>
        <v>2293.3184341301908</v>
      </c>
      <c r="AO233" s="10">
        <f>MAX($AK233-积分赛!$C$7,0)*$AH$7/30</f>
        <v>2293.3184341301908</v>
      </c>
      <c r="AP233" s="10">
        <f>MAX($AK233-积分赛!$C$7,0)*$AH$7/30</f>
        <v>2293.3184341301908</v>
      </c>
    </row>
    <row r="234" spans="37:42" x14ac:dyDescent="0.15">
      <c r="AK234" s="10">
        <v>224</v>
      </c>
      <c r="AL234" s="10">
        <f>MAX($AK234-积分赛!$C$7,0)*$AH$7/30</f>
        <v>2305.2009130635074</v>
      </c>
      <c r="AM234" s="10">
        <f>MAX($AK234-积分赛!$C$7,0)*$AH$7/30</f>
        <v>2305.2009130635074</v>
      </c>
      <c r="AN234" s="10">
        <f>MAX($AK234-积分赛!$C$7,0)*$AH$7/30</f>
        <v>2305.2009130635074</v>
      </c>
      <c r="AO234" s="10">
        <f>MAX($AK234-积分赛!$C$7,0)*$AH$7/30</f>
        <v>2305.2009130635074</v>
      </c>
      <c r="AP234" s="10">
        <f>MAX($AK234-积分赛!$C$7,0)*$AH$7/30</f>
        <v>2305.2009130635074</v>
      </c>
    </row>
    <row r="235" spans="37:42" x14ac:dyDescent="0.15">
      <c r="AK235" s="10">
        <v>225</v>
      </c>
      <c r="AL235" s="10">
        <f>MAX($AK235-积分赛!$C$7,0)*$AH$7/30</f>
        <v>2317.083391996825</v>
      </c>
      <c r="AM235" s="10">
        <f>MAX($AK235-积分赛!$C$7,0)*$AH$7/30</f>
        <v>2317.083391996825</v>
      </c>
      <c r="AN235" s="10">
        <f>MAX($AK235-积分赛!$C$7,0)*$AH$7/30</f>
        <v>2317.083391996825</v>
      </c>
      <c r="AO235" s="10">
        <f>MAX($AK235-积分赛!$C$7,0)*$AH$7/30</f>
        <v>2317.083391996825</v>
      </c>
      <c r="AP235" s="10">
        <f>MAX($AK235-积分赛!$C$7,0)*$AH$7/30</f>
        <v>2317.083391996825</v>
      </c>
    </row>
    <row r="236" spans="37:42" x14ac:dyDescent="0.15">
      <c r="AK236" s="10">
        <v>226</v>
      </c>
      <c r="AL236" s="10">
        <f>MAX($AK236-积分赛!$C$7,0)*$AH$7/30</f>
        <v>2328.965870930142</v>
      </c>
      <c r="AM236" s="10">
        <f>MAX($AK236-积分赛!$C$7,0)*$AH$7/30</f>
        <v>2328.965870930142</v>
      </c>
      <c r="AN236" s="10">
        <f>MAX($AK236-积分赛!$C$7,0)*$AH$7/30</f>
        <v>2328.965870930142</v>
      </c>
      <c r="AO236" s="10">
        <f>MAX($AK236-积分赛!$C$7,0)*$AH$7/30</f>
        <v>2328.965870930142</v>
      </c>
      <c r="AP236" s="10">
        <f>MAX($AK236-积分赛!$C$7,0)*$AH$7/30</f>
        <v>2328.965870930142</v>
      </c>
    </row>
    <row r="237" spans="37:42" x14ac:dyDescent="0.15">
      <c r="AK237" s="10">
        <v>227</v>
      </c>
      <c r="AL237" s="10">
        <f>MAX($AK237-积分赛!$C$7,0)*$AH$7/30</f>
        <v>2340.8483498634591</v>
      </c>
      <c r="AM237" s="10">
        <f>MAX($AK237-积分赛!$C$7,0)*$AH$7/30</f>
        <v>2340.8483498634591</v>
      </c>
      <c r="AN237" s="10">
        <f>MAX($AK237-积分赛!$C$7,0)*$AH$7/30</f>
        <v>2340.8483498634591</v>
      </c>
      <c r="AO237" s="10">
        <f>MAX($AK237-积分赛!$C$7,0)*$AH$7/30</f>
        <v>2340.8483498634591</v>
      </c>
      <c r="AP237" s="10">
        <f>MAX($AK237-积分赛!$C$7,0)*$AH$7/30</f>
        <v>2340.8483498634591</v>
      </c>
    </row>
    <row r="238" spans="37:42" x14ac:dyDescent="0.15">
      <c r="AK238" s="10">
        <v>228</v>
      </c>
      <c r="AL238" s="10">
        <f>MAX($AK238-积分赛!$C$7,0)*$AH$7/30</f>
        <v>2352.7308287967758</v>
      </c>
      <c r="AM238" s="10">
        <f>MAX($AK238-积分赛!$C$7,0)*$AH$7/30</f>
        <v>2352.7308287967758</v>
      </c>
      <c r="AN238" s="10">
        <f>MAX($AK238-积分赛!$C$7,0)*$AH$7/30</f>
        <v>2352.7308287967758</v>
      </c>
      <c r="AO238" s="10">
        <f>MAX($AK238-积分赛!$C$7,0)*$AH$7/30</f>
        <v>2352.7308287967758</v>
      </c>
      <c r="AP238" s="10">
        <f>MAX($AK238-积分赛!$C$7,0)*$AH$7/30</f>
        <v>2352.7308287967758</v>
      </c>
    </row>
    <row r="239" spans="37:42" x14ac:dyDescent="0.15">
      <c r="AK239" s="10">
        <v>229</v>
      </c>
      <c r="AL239" s="10">
        <f>MAX($AK239-积分赛!$C$7,0)*$AH$7/30</f>
        <v>2364.6133077300929</v>
      </c>
      <c r="AM239" s="10">
        <f>MAX($AK239-积分赛!$C$7,0)*$AH$7/30</f>
        <v>2364.6133077300929</v>
      </c>
      <c r="AN239" s="10">
        <f>MAX($AK239-积分赛!$C$7,0)*$AH$7/30</f>
        <v>2364.6133077300929</v>
      </c>
      <c r="AO239" s="10">
        <f>MAX($AK239-积分赛!$C$7,0)*$AH$7/30</f>
        <v>2364.6133077300929</v>
      </c>
      <c r="AP239" s="10">
        <f>MAX($AK239-积分赛!$C$7,0)*$AH$7/30</f>
        <v>2364.6133077300929</v>
      </c>
    </row>
    <row r="240" spans="37:42" x14ac:dyDescent="0.15">
      <c r="AK240" s="10">
        <v>230</v>
      </c>
      <c r="AL240" s="10">
        <f>MAX($AK240-积分赛!$C$7,0)*$AH$7/30</f>
        <v>2376.4957866634099</v>
      </c>
      <c r="AM240" s="10">
        <f>MAX($AK240-积分赛!$C$7,0)*$AH$7/30</f>
        <v>2376.4957866634099</v>
      </c>
      <c r="AN240" s="10">
        <f>MAX($AK240-积分赛!$C$7,0)*$AH$7/30</f>
        <v>2376.4957866634099</v>
      </c>
      <c r="AO240" s="10">
        <f>MAX($AK240-积分赛!$C$7,0)*$AH$7/30</f>
        <v>2376.4957866634099</v>
      </c>
      <c r="AP240" s="10">
        <f>MAX($AK240-积分赛!$C$7,0)*$AH$7/30</f>
        <v>2376.4957866634099</v>
      </c>
    </row>
    <row r="241" spans="37:42" x14ac:dyDescent="0.15">
      <c r="AK241" s="10">
        <v>231</v>
      </c>
      <c r="AL241" s="10">
        <f>MAX($AK241-积分赛!$C$7,0)*$AH$7/30</f>
        <v>2388.3782655967275</v>
      </c>
      <c r="AM241" s="10">
        <f>MAX($AK241-积分赛!$C$7,0)*$AH$7/30</f>
        <v>2388.3782655967275</v>
      </c>
      <c r="AN241" s="10">
        <f>MAX($AK241-积分赛!$C$7,0)*$AH$7/30</f>
        <v>2388.3782655967275</v>
      </c>
      <c r="AO241" s="10">
        <f>MAX($AK241-积分赛!$C$7,0)*$AH$7/30</f>
        <v>2388.3782655967275</v>
      </c>
      <c r="AP241" s="10">
        <f>MAX($AK241-积分赛!$C$7,0)*$AH$7/30</f>
        <v>2388.3782655967275</v>
      </c>
    </row>
    <row r="242" spans="37:42" x14ac:dyDescent="0.15">
      <c r="AK242" s="10">
        <v>232</v>
      </c>
      <c r="AL242" s="10">
        <f>MAX($AK242-积分赛!$C$7,0)*$AH$7/30</f>
        <v>2400.2607445300441</v>
      </c>
      <c r="AM242" s="10">
        <f>MAX($AK242-积分赛!$C$7,0)*$AH$7/30</f>
        <v>2400.2607445300441</v>
      </c>
      <c r="AN242" s="10">
        <f>MAX($AK242-积分赛!$C$7,0)*$AH$7/30</f>
        <v>2400.2607445300441</v>
      </c>
      <c r="AO242" s="10">
        <f>MAX($AK242-积分赛!$C$7,0)*$AH$7/30</f>
        <v>2400.2607445300441</v>
      </c>
      <c r="AP242" s="10">
        <f>MAX($AK242-积分赛!$C$7,0)*$AH$7/30</f>
        <v>2400.2607445300441</v>
      </c>
    </row>
    <row r="243" spans="37:42" x14ac:dyDescent="0.15">
      <c r="AK243" s="10">
        <v>233</v>
      </c>
      <c r="AL243" s="10">
        <f>MAX($AK243-积分赛!$C$7,0)*$AH$7/30</f>
        <v>2412.1432234633612</v>
      </c>
      <c r="AM243" s="10">
        <f>MAX($AK243-积分赛!$C$7,0)*$AH$7/30</f>
        <v>2412.1432234633612</v>
      </c>
      <c r="AN243" s="10">
        <f>MAX($AK243-积分赛!$C$7,0)*$AH$7/30</f>
        <v>2412.1432234633612</v>
      </c>
      <c r="AO243" s="10">
        <f>MAX($AK243-积分赛!$C$7,0)*$AH$7/30</f>
        <v>2412.1432234633612</v>
      </c>
      <c r="AP243" s="10">
        <f>MAX($AK243-积分赛!$C$7,0)*$AH$7/30</f>
        <v>2412.1432234633612</v>
      </c>
    </row>
    <row r="244" spans="37:42" x14ac:dyDescent="0.15">
      <c r="AK244" s="10">
        <v>234</v>
      </c>
      <c r="AL244" s="10">
        <f>MAX($AK244-积分赛!$C$7,0)*$AH$7/30</f>
        <v>2424.0257023966783</v>
      </c>
      <c r="AM244" s="10">
        <f>MAX($AK244-积分赛!$C$7,0)*$AH$7/30</f>
        <v>2424.0257023966783</v>
      </c>
      <c r="AN244" s="10">
        <f>MAX($AK244-积分赛!$C$7,0)*$AH$7/30</f>
        <v>2424.0257023966783</v>
      </c>
      <c r="AO244" s="10">
        <f>MAX($AK244-积分赛!$C$7,0)*$AH$7/30</f>
        <v>2424.0257023966783</v>
      </c>
      <c r="AP244" s="10">
        <f>MAX($AK244-积分赛!$C$7,0)*$AH$7/30</f>
        <v>2424.0257023966783</v>
      </c>
    </row>
    <row r="245" spans="37:42" x14ac:dyDescent="0.15">
      <c r="AK245" s="10">
        <v>235</v>
      </c>
      <c r="AL245" s="10">
        <f>MAX($AK245-积分赛!$C$7,0)*$AH$7/30</f>
        <v>2435.9081813299954</v>
      </c>
      <c r="AM245" s="10">
        <f>MAX($AK245-积分赛!$C$7,0)*$AH$7/30</f>
        <v>2435.9081813299954</v>
      </c>
      <c r="AN245" s="10">
        <f>MAX($AK245-积分赛!$C$7,0)*$AH$7/30</f>
        <v>2435.9081813299954</v>
      </c>
      <c r="AO245" s="10">
        <f>MAX($AK245-积分赛!$C$7,0)*$AH$7/30</f>
        <v>2435.9081813299954</v>
      </c>
      <c r="AP245" s="10">
        <f>MAX($AK245-积分赛!$C$7,0)*$AH$7/30</f>
        <v>2435.9081813299954</v>
      </c>
    </row>
    <row r="246" spans="37:42" x14ac:dyDescent="0.15">
      <c r="AK246" s="10">
        <v>236</v>
      </c>
      <c r="AL246" s="10">
        <f>MAX($AK246-积分赛!$C$7,0)*$AH$7/30</f>
        <v>2447.7906602633125</v>
      </c>
      <c r="AM246" s="10">
        <f>MAX($AK246-积分赛!$C$7,0)*$AH$7/30</f>
        <v>2447.7906602633125</v>
      </c>
      <c r="AN246" s="10">
        <f>MAX($AK246-积分赛!$C$7,0)*$AH$7/30</f>
        <v>2447.7906602633125</v>
      </c>
      <c r="AO246" s="10">
        <f>MAX($AK246-积分赛!$C$7,0)*$AH$7/30</f>
        <v>2447.7906602633125</v>
      </c>
      <c r="AP246" s="10">
        <f>MAX($AK246-积分赛!$C$7,0)*$AH$7/30</f>
        <v>2447.7906602633125</v>
      </c>
    </row>
    <row r="247" spans="37:42" x14ac:dyDescent="0.15">
      <c r="AK247" s="10">
        <v>237</v>
      </c>
      <c r="AL247" s="10">
        <f>MAX($AK247-积分赛!$C$7,0)*$AH$7/30</f>
        <v>2459.6731391966296</v>
      </c>
      <c r="AM247" s="10">
        <f>MAX($AK247-积分赛!$C$7,0)*$AH$7/30</f>
        <v>2459.6731391966296</v>
      </c>
      <c r="AN247" s="10">
        <f>MAX($AK247-积分赛!$C$7,0)*$AH$7/30</f>
        <v>2459.6731391966296</v>
      </c>
      <c r="AO247" s="10">
        <f>MAX($AK247-积分赛!$C$7,0)*$AH$7/30</f>
        <v>2459.6731391966296</v>
      </c>
      <c r="AP247" s="10">
        <f>MAX($AK247-积分赛!$C$7,0)*$AH$7/30</f>
        <v>2459.6731391966296</v>
      </c>
    </row>
    <row r="248" spans="37:42" x14ac:dyDescent="0.15">
      <c r="AK248" s="10">
        <v>238</v>
      </c>
      <c r="AL248" s="10">
        <f>MAX($AK248-积分赛!$C$7,0)*$AH$7/30</f>
        <v>2471.5556181299467</v>
      </c>
      <c r="AM248" s="10">
        <f>MAX($AK248-积分赛!$C$7,0)*$AH$7/30</f>
        <v>2471.5556181299467</v>
      </c>
      <c r="AN248" s="10">
        <f>MAX($AK248-积分赛!$C$7,0)*$AH$7/30</f>
        <v>2471.5556181299467</v>
      </c>
      <c r="AO248" s="10">
        <f>MAX($AK248-积分赛!$C$7,0)*$AH$7/30</f>
        <v>2471.5556181299467</v>
      </c>
      <c r="AP248" s="10">
        <f>MAX($AK248-积分赛!$C$7,0)*$AH$7/30</f>
        <v>2471.5556181299467</v>
      </c>
    </row>
    <row r="249" spans="37:42" x14ac:dyDescent="0.15">
      <c r="AK249" s="10">
        <v>239</v>
      </c>
      <c r="AL249" s="10">
        <f>MAX($AK249-积分赛!$C$7,0)*$AH$7/30</f>
        <v>2483.4380970632633</v>
      </c>
      <c r="AM249" s="10">
        <f>MAX($AK249-积分赛!$C$7,0)*$AH$7/30</f>
        <v>2483.4380970632633</v>
      </c>
      <c r="AN249" s="10">
        <f>MAX($AK249-积分赛!$C$7,0)*$AH$7/30</f>
        <v>2483.4380970632633</v>
      </c>
      <c r="AO249" s="10">
        <f>MAX($AK249-积分赛!$C$7,0)*$AH$7/30</f>
        <v>2483.4380970632633</v>
      </c>
      <c r="AP249" s="10">
        <f>MAX($AK249-积分赛!$C$7,0)*$AH$7/30</f>
        <v>2483.4380970632633</v>
      </c>
    </row>
    <row r="250" spans="37:42" x14ac:dyDescent="0.15">
      <c r="AK250" s="10">
        <v>240</v>
      </c>
      <c r="AL250" s="10">
        <f>MAX($AK250-积分赛!$C$7,0)*$AH$7/30</f>
        <v>2495.3205759965804</v>
      </c>
      <c r="AM250" s="10">
        <f>MAX($AK250-积分赛!$C$7,0)*$AH$7/30</f>
        <v>2495.3205759965804</v>
      </c>
      <c r="AN250" s="10">
        <f>MAX($AK250-积分赛!$C$7,0)*$AH$7/30</f>
        <v>2495.3205759965804</v>
      </c>
      <c r="AO250" s="10">
        <f>MAX($AK250-积分赛!$C$7,0)*$AH$7/30</f>
        <v>2495.3205759965804</v>
      </c>
      <c r="AP250" s="10">
        <f>MAX($AK250-积分赛!$C$7,0)*$AH$7/30</f>
        <v>2495.3205759965804</v>
      </c>
    </row>
    <row r="251" spans="37:42" x14ac:dyDescent="0.15">
      <c r="AK251" s="10">
        <v>241</v>
      </c>
      <c r="AL251" s="10">
        <f>MAX($AK251-积分赛!$C$7,0)*$AH$7/30</f>
        <v>2507.2030549298975</v>
      </c>
      <c r="AM251" s="10">
        <f>MAX($AK251-积分赛!$C$7,0)*$AH$7/30</f>
        <v>2507.2030549298975</v>
      </c>
      <c r="AN251" s="10">
        <f>MAX($AK251-积分赛!$C$7,0)*$AH$7/30</f>
        <v>2507.2030549298975</v>
      </c>
      <c r="AO251" s="10">
        <f>MAX($AK251-积分赛!$C$7,0)*$AH$7/30</f>
        <v>2507.2030549298975</v>
      </c>
      <c r="AP251" s="10">
        <f>MAX($AK251-积分赛!$C$7,0)*$AH$7/30</f>
        <v>2507.2030549298975</v>
      </c>
    </row>
    <row r="252" spans="37:42" x14ac:dyDescent="0.15">
      <c r="AK252" s="10">
        <v>242</v>
      </c>
      <c r="AL252" s="10">
        <f>MAX($AK252-积分赛!$C$7,0)*$AH$7/30</f>
        <v>2519.085533863215</v>
      </c>
      <c r="AM252" s="10">
        <f>MAX($AK252-积分赛!$C$7,0)*$AH$7/30</f>
        <v>2519.085533863215</v>
      </c>
      <c r="AN252" s="10">
        <f>MAX($AK252-积分赛!$C$7,0)*$AH$7/30</f>
        <v>2519.085533863215</v>
      </c>
      <c r="AO252" s="10">
        <f>MAX($AK252-积分赛!$C$7,0)*$AH$7/30</f>
        <v>2519.085533863215</v>
      </c>
      <c r="AP252" s="10">
        <f>MAX($AK252-积分赛!$C$7,0)*$AH$7/30</f>
        <v>2519.085533863215</v>
      </c>
    </row>
    <row r="253" spans="37:42" x14ac:dyDescent="0.15">
      <c r="AK253" s="10">
        <v>243</v>
      </c>
      <c r="AL253" s="10">
        <f>MAX($AK253-积分赛!$C$7,0)*$AH$7/30</f>
        <v>2530.9680127965316</v>
      </c>
      <c r="AM253" s="10">
        <f>MAX($AK253-积分赛!$C$7,0)*$AH$7/30</f>
        <v>2530.9680127965316</v>
      </c>
      <c r="AN253" s="10">
        <f>MAX($AK253-积分赛!$C$7,0)*$AH$7/30</f>
        <v>2530.9680127965316</v>
      </c>
      <c r="AO253" s="10">
        <f>MAX($AK253-积分赛!$C$7,0)*$AH$7/30</f>
        <v>2530.9680127965316</v>
      </c>
      <c r="AP253" s="10">
        <f>MAX($AK253-积分赛!$C$7,0)*$AH$7/30</f>
        <v>2530.9680127965316</v>
      </c>
    </row>
    <row r="254" spans="37:42" x14ac:dyDescent="0.15">
      <c r="AK254" s="10">
        <v>244</v>
      </c>
      <c r="AL254" s="10">
        <f>MAX($AK254-积分赛!$C$7,0)*$AH$7/30</f>
        <v>2542.8504917298487</v>
      </c>
      <c r="AM254" s="10">
        <f>MAX($AK254-积分赛!$C$7,0)*$AH$7/30</f>
        <v>2542.8504917298487</v>
      </c>
      <c r="AN254" s="10">
        <f>MAX($AK254-积分赛!$C$7,0)*$AH$7/30</f>
        <v>2542.8504917298487</v>
      </c>
      <c r="AO254" s="10">
        <f>MAX($AK254-积分赛!$C$7,0)*$AH$7/30</f>
        <v>2542.8504917298487</v>
      </c>
      <c r="AP254" s="10">
        <f>MAX($AK254-积分赛!$C$7,0)*$AH$7/30</f>
        <v>2542.8504917298487</v>
      </c>
    </row>
    <row r="255" spans="37:42" x14ac:dyDescent="0.15">
      <c r="AK255" s="10">
        <v>245</v>
      </c>
      <c r="AL255" s="10">
        <f>MAX($AK255-积分赛!$C$7,0)*$AH$7/30</f>
        <v>2554.7329706631658</v>
      </c>
      <c r="AM255" s="10">
        <f>MAX($AK255-积分赛!$C$7,0)*$AH$7/30</f>
        <v>2554.7329706631658</v>
      </c>
      <c r="AN255" s="10">
        <f>MAX($AK255-积分赛!$C$7,0)*$AH$7/30</f>
        <v>2554.7329706631658</v>
      </c>
      <c r="AO255" s="10">
        <f>MAX($AK255-积分赛!$C$7,0)*$AH$7/30</f>
        <v>2554.7329706631658</v>
      </c>
      <c r="AP255" s="10">
        <f>MAX($AK255-积分赛!$C$7,0)*$AH$7/30</f>
        <v>2554.7329706631658</v>
      </c>
    </row>
    <row r="256" spans="37:42" x14ac:dyDescent="0.15">
      <c r="AK256" s="10">
        <v>246</v>
      </c>
      <c r="AL256" s="10">
        <f>MAX($AK256-积分赛!$C$7,0)*$AH$7/30</f>
        <v>2566.6154495964829</v>
      </c>
      <c r="AM256" s="10">
        <f>MAX($AK256-积分赛!$C$7,0)*$AH$7/30</f>
        <v>2566.6154495964829</v>
      </c>
      <c r="AN256" s="10">
        <f>MAX($AK256-积分赛!$C$7,0)*$AH$7/30</f>
        <v>2566.6154495964829</v>
      </c>
      <c r="AO256" s="10">
        <f>MAX($AK256-积分赛!$C$7,0)*$AH$7/30</f>
        <v>2566.6154495964829</v>
      </c>
      <c r="AP256" s="10">
        <f>MAX($AK256-积分赛!$C$7,0)*$AH$7/30</f>
        <v>2566.6154495964829</v>
      </c>
    </row>
    <row r="257" spans="37:42" x14ac:dyDescent="0.15">
      <c r="AK257" s="10">
        <v>247</v>
      </c>
      <c r="AL257" s="10">
        <f>MAX($AK257-积分赛!$C$7,0)*$AH$7/30</f>
        <v>2578.4979285298</v>
      </c>
      <c r="AM257" s="10">
        <f>MAX($AK257-积分赛!$C$7,0)*$AH$7/30</f>
        <v>2578.4979285298</v>
      </c>
      <c r="AN257" s="10">
        <f>MAX($AK257-积分赛!$C$7,0)*$AH$7/30</f>
        <v>2578.4979285298</v>
      </c>
      <c r="AO257" s="10">
        <f>MAX($AK257-积分赛!$C$7,0)*$AH$7/30</f>
        <v>2578.4979285298</v>
      </c>
      <c r="AP257" s="10">
        <f>MAX($AK257-积分赛!$C$7,0)*$AH$7/30</f>
        <v>2578.4979285298</v>
      </c>
    </row>
    <row r="258" spans="37:42" x14ac:dyDescent="0.15">
      <c r="AK258" s="10">
        <v>248</v>
      </c>
      <c r="AL258" s="10">
        <f>MAX($AK258-积分赛!$C$7,0)*$AH$7/30</f>
        <v>2590.3804074631171</v>
      </c>
      <c r="AM258" s="10">
        <f>MAX($AK258-积分赛!$C$7,0)*$AH$7/30</f>
        <v>2590.3804074631171</v>
      </c>
      <c r="AN258" s="10">
        <f>MAX($AK258-积分赛!$C$7,0)*$AH$7/30</f>
        <v>2590.3804074631171</v>
      </c>
      <c r="AO258" s="10">
        <f>MAX($AK258-积分赛!$C$7,0)*$AH$7/30</f>
        <v>2590.3804074631171</v>
      </c>
      <c r="AP258" s="10">
        <f>MAX($AK258-积分赛!$C$7,0)*$AH$7/30</f>
        <v>2590.3804074631171</v>
      </c>
    </row>
    <row r="259" spans="37:42" x14ac:dyDescent="0.15">
      <c r="AK259" s="10">
        <v>249</v>
      </c>
      <c r="AL259" s="10">
        <f>MAX($AK259-积分赛!$C$7,0)*$AH$7/30</f>
        <v>2602.2628863964342</v>
      </c>
      <c r="AM259" s="10">
        <f>MAX($AK259-积分赛!$C$7,0)*$AH$7/30</f>
        <v>2602.2628863964342</v>
      </c>
      <c r="AN259" s="10">
        <f>MAX($AK259-积分赛!$C$7,0)*$AH$7/30</f>
        <v>2602.2628863964342</v>
      </c>
      <c r="AO259" s="10">
        <f>MAX($AK259-积分赛!$C$7,0)*$AH$7/30</f>
        <v>2602.2628863964342</v>
      </c>
      <c r="AP259" s="10">
        <f>MAX($AK259-积分赛!$C$7,0)*$AH$7/30</f>
        <v>2602.2628863964342</v>
      </c>
    </row>
    <row r="260" spans="37:42" x14ac:dyDescent="0.15">
      <c r="AK260" s="10">
        <v>250</v>
      </c>
      <c r="AL260" s="10">
        <f>MAX($AK260-积分赛!$C$7,0)*$AH$7/30</f>
        <v>2614.1453653297513</v>
      </c>
      <c r="AM260" s="10">
        <f>MAX($AK260-积分赛!$C$7,0)*$AH$7/30</f>
        <v>2614.1453653297513</v>
      </c>
      <c r="AN260" s="10">
        <f>MAX($AK260-积分赛!$C$7,0)*$AH$7/30</f>
        <v>2614.1453653297513</v>
      </c>
      <c r="AO260" s="10">
        <f>MAX($AK260-积分赛!$C$7,0)*$AH$7/30</f>
        <v>2614.1453653297513</v>
      </c>
      <c r="AP260" s="10">
        <f>MAX($AK260-积分赛!$C$7,0)*$AH$7/30</f>
        <v>2614.1453653297513</v>
      </c>
    </row>
    <row r="261" spans="37:42" x14ac:dyDescent="0.15">
      <c r="AK261" s="10">
        <v>251</v>
      </c>
      <c r="AL261" s="10">
        <f>MAX($AK261-积分赛!$C$7,0)*$AH$7/30</f>
        <v>2626.0278442630679</v>
      </c>
      <c r="AM261" s="10">
        <f>MAX($AK261-积分赛!$C$7,0)*$AH$7/30</f>
        <v>2626.0278442630679</v>
      </c>
      <c r="AN261" s="10">
        <f>MAX($AK261-积分赛!$C$7,0)*$AH$7/30</f>
        <v>2626.0278442630679</v>
      </c>
      <c r="AO261" s="10">
        <f>MAX($AK261-积分赛!$C$7,0)*$AH$7/30</f>
        <v>2626.0278442630679</v>
      </c>
      <c r="AP261" s="10">
        <f>MAX($AK261-积分赛!$C$7,0)*$AH$7/30</f>
        <v>2626.0278442630679</v>
      </c>
    </row>
    <row r="262" spans="37:42" x14ac:dyDescent="0.15">
      <c r="AK262" s="10">
        <v>252</v>
      </c>
      <c r="AL262" s="10">
        <f>MAX($AK262-积分赛!$C$7,0)*$AH$7/30</f>
        <v>2637.910323196385</v>
      </c>
      <c r="AM262" s="10">
        <f>MAX($AK262-积分赛!$C$7,0)*$AH$7/30</f>
        <v>2637.910323196385</v>
      </c>
      <c r="AN262" s="10">
        <f>MAX($AK262-积分赛!$C$7,0)*$AH$7/30</f>
        <v>2637.910323196385</v>
      </c>
      <c r="AO262" s="10">
        <f>MAX($AK262-积分赛!$C$7,0)*$AH$7/30</f>
        <v>2637.910323196385</v>
      </c>
      <c r="AP262" s="10">
        <f>MAX($AK262-积分赛!$C$7,0)*$AH$7/30</f>
        <v>2637.910323196385</v>
      </c>
    </row>
    <row r="263" spans="37:42" x14ac:dyDescent="0.15">
      <c r="AK263" s="10">
        <v>253</v>
      </c>
      <c r="AL263" s="10">
        <f>MAX($AK263-积分赛!$C$7,0)*$AH$7/30</f>
        <v>2649.7928021297025</v>
      </c>
      <c r="AM263" s="10">
        <f>MAX($AK263-积分赛!$C$7,0)*$AH$7/30</f>
        <v>2649.7928021297025</v>
      </c>
      <c r="AN263" s="10">
        <f>MAX($AK263-积分赛!$C$7,0)*$AH$7/30</f>
        <v>2649.7928021297025</v>
      </c>
      <c r="AO263" s="10">
        <f>MAX($AK263-积分赛!$C$7,0)*$AH$7/30</f>
        <v>2649.7928021297025</v>
      </c>
      <c r="AP263" s="10">
        <f>MAX($AK263-积分赛!$C$7,0)*$AH$7/30</f>
        <v>2649.7928021297025</v>
      </c>
    </row>
    <row r="264" spans="37:42" x14ac:dyDescent="0.15">
      <c r="AK264" s="10">
        <v>254</v>
      </c>
      <c r="AL264" s="10">
        <f>MAX($AK264-积分赛!$C$7,0)*$AH$7/30</f>
        <v>2661.6752810630192</v>
      </c>
      <c r="AM264" s="10">
        <f>MAX($AK264-积分赛!$C$7,0)*$AH$7/30</f>
        <v>2661.6752810630192</v>
      </c>
      <c r="AN264" s="10">
        <f>MAX($AK264-积分赛!$C$7,0)*$AH$7/30</f>
        <v>2661.6752810630192</v>
      </c>
      <c r="AO264" s="10">
        <f>MAX($AK264-积分赛!$C$7,0)*$AH$7/30</f>
        <v>2661.6752810630192</v>
      </c>
      <c r="AP264" s="10">
        <f>MAX($AK264-积分赛!$C$7,0)*$AH$7/30</f>
        <v>2661.6752810630192</v>
      </c>
    </row>
    <row r="265" spans="37:42" x14ac:dyDescent="0.15">
      <c r="AK265" s="10">
        <v>255</v>
      </c>
      <c r="AL265" s="10">
        <f>MAX($AK265-积分赛!$C$7,0)*$AH$7/30</f>
        <v>2673.5577599963362</v>
      </c>
      <c r="AM265" s="10">
        <f>MAX($AK265-积分赛!$C$7,0)*$AH$7/30</f>
        <v>2673.5577599963362</v>
      </c>
      <c r="AN265" s="10">
        <f>MAX($AK265-积分赛!$C$7,0)*$AH$7/30</f>
        <v>2673.5577599963362</v>
      </c>
      <c r="AO265" s="10">
        <f>MAX($AK265-积分赛!$C$7,0)*$AH$7/30</f>
        <v>2673.5577599963362</v>
      </c>
      <c r="AP265" s="10">
        <f>MAX($AK265-积分赛!$C$7,0)*$AH$7/30</f>
        <v>2673.5577599963362</v>
      </c>
    </row>
    <row r="266" spans="37:42" x14ac:dyDescent="0.15">
      <c r="AK266" s="10">
        <v>256</v>
      </c>
      <c r="AL266" s="10">
        <f>MAX($AK266-积分赛!$C$7,0)*$AH$7/30</f>
        <v>2685.4402389296533</v>
      </c>
      <c r="AM266" s="10">
        <f>MAX($AK266-积分赛!$C$7,0)*$AH$7/30</f>
        <v>2685.4402389296533</v>
      </c>
      <c r="AN266" s="10">
        <f>MAX($AK266-积分赛!$C$7,0)*$AH$7/30</f>
        <v>2685.4402389296533</v>
      </c>
      <c r="AO266" s="10">
        <f>MAX($AK266-积分赛!$C$7,0)*$AH$7/30</f>
        <v>2685.4402389296533</v>
      </c>
      <c r="AP266" s="10">
        <f>MAX($AK266-积分赛!$C$7,0)*$AH$7/30</f>
        <v>2685.4402389296533</v>
      </c>
    </row>
    <row r="267" spans="37:42" x14ac:dyDescent="0.15">
      <c r="AK267" s="10">
        <v>257</v>
      </c>
      <c r="AL267" s="10">
        <f>MAX($AK267-积分赛!$C$7,0)*$AH$7/30</f>
        <v>2697.3227178629704</v>
      </c>
      <c r="AM267" s="10">
        <f>MAX($AK267-积分赛!$C$7,0)*$AH$7/30</f>
        <v>2697.3227178629704</v>
      </c>
      <c r="AN267" s="10">
        <f>MAX($AK267-积分赛!$C$7,0)*$AH$7/30</f>
        <v>2697.3227178629704</v>
      </c>
      <c r="AO267" s="10">
        <f>MAX($AK267-积分赛!$C$7,0)*$AH$7/30</f>
        <v>2697.3227178629704</v>
      </c>
      <c r="AP267" s="10">
        <f>MAX($AK267-积分赛!$C$7,0)*$AH$7/30</f>
        <v>2697.3227178629704</v>
      </c>
    </row>
    <row r="268" spans="37:42" x14ac:dyDescent="0.15">
      <c r="AK268" s="10">
        <v>258</v>
      </c>
      <c r="AL268" s="10">
        <f>MAX($AK268-积分赛!$C$7,0)*$AH$7/30</f>
        <v>2709.2051967962875</v>
      </c>
      <c r="AM268" s="10">
        <f>MAX($AK268-积分赛!$C$7,0)*$AH$7/30</f>
        <v>2709.2051967962875</v>
      </c>
      <c r="AN268" s="10">
        <f>MAX($AK268-积分赛!$C$7,0)*$AH$7/30</f>
        <v>2709.2051967962875</v>
      </c>
      <c r="AO268" s="10">
        <f>MAX($AK268-积分赛!$C$7,0)*$AH$7/30</f>
        <v>2709.2051967962875</v>
      </c>
      <c r="AP268" s="10">
        <f>MAX($AK268-积分赛!$C$7,0)*$AH$7/30</f>
        <v>2709.2051967962875</v>
      </c>
    </row>
    <row r="269" spans="37:42" x14ac:dyDescent="0.15">
      <c r="AK269" s="10">
        <v>259</v>
      </c>
      <c r="AL269" s="10">
        <f>MAX($AK269-积分赛!$C$7,0)*$AH$7/30</f>
        <v>2721.0876757296046</v>
      </c>
      <c r="AM269" s="10">
        <f>MAX($AK269-积分赛!$C$7,0)*$AH$7/30</f>
        <v>2721.0876757296046</v>
      </c>
      <c r="AN269" s="10">
        <f>MAX($AK269-积分赛!$C$7,0)*$AH$7/30</f>
        <v>2721.0876757296046</v>
      </c>
      <c r="AO269" s="10">
        <f>MAX($AK269-积分赛!$C$7,0)*$AH$7/30</f>
        <v>2721.0876757296046</v>
      </c>
      <c r="AP269" s="10">
        <f>MAX($AK269-积分赛!$C$7,0)*$AH$7/30</f>
        <v>2721.0876757296046</v>
      </c>
    </row>
    <row r="270" spans="37:42" x14ac:dyDescent="0.15">
      <c r="AK270" s="10">
        <v>260</v>
      </c>
      <c r="AL270" s="10">
        <f>MAX($AK270-积分赛!$C$7,0)*$AH$7/30</f>
        <v>2732.9701546629217</v>
      </c>
      <c r="AM270" s="10">
        <f>MAX($AK270-积分赛!$C$7,0)*$AH$7/30</f>
        <v>2732.9701546629217</v>
      </c>
      <c r="AN270" s="10">
        <f>MAX($AK270-积分赛!$C$7,0)*$AH$7/30</f>
        <v>2732.9701546629217</v>
      </c>
      <c r="AO270" s="10">
        <f>MAX($AK270-积分赛!$C$7,0)*$AH$7/30</f>
        <v>2732.9701546629217</v>
      </c>
      <c r="AP270" s="10">
        <f>MAX($AK270-积分赛!$C$7,0)*$AH$7/30</f>
        <v>2732.9701546629217</v>
      </c>
    </row>
    <row r="271" spans="37:42" x14ac:dyDescent="0.15">
      <c r="AK271" s="10">
        <v>261</v>
      </c>
      <c r="AL271" s="10">
        <f>MAX($AK271-积分赛!$C$7,0)*$AH$7/30</f>
        <v>2744.8526335962388</v>
      </c>
      <c r="AM271" s="10">
        <f>MAX($AK271-积分赛!$C$7,0)*$AH$7/30</f>
        <v>2744.8526335962388</v>
      </c>
      <c r="AN271" s="10">
        <f>MAX($AK271-积分赛!$C$7,0)*$AH$7/30</f>
        <v>2744.8526335962388</v>
      </c>
      <c r="AO271" s="10">
        <f>MAX($AK271-积分赛!$C$7,0)*$AH$7/30</f>
        <v>2744.8526335962388</v>
      </c>
      <c r="AP271" s="10">
        <f>MAX($AK271-积分赛!$C$7,0)*$AH$7/30</f>
        <v>2744.8526335962388</v>
      </c>
    </row>
    <row r="272" spans="37:42" x14ac:dyDescent="0.15">
      <c r="AK272" s="10">
        <v>262</v>
      </c>
      <c r="AL272" s="10">
        <f>MAX($AK272-积分赛!$C$7,0)*$AH$7/30</f>
        <v>2756.7351125295554</v>
      </c>
      <c r="AM272" s="10">
        <f>MAX($AK272-积分赛!$C$7,0)*$AH$7/30</f>
        <v>2756.7351125295554</v>
      </c>
      <c r="AN272" s="10">
        <f>MAX($AK272-积分赛!$C$7,0)*$AH$7/30</f>
        <v>2756.7351125295554</v>
      </c>
      <c r="AO272" s="10">
        <f>MAX($AK272-积分赛!$C$7,0)*$AH$7/30</f>
        <v>2756.7351125295554</v>
      </c>
      <c r="AP272" s="10">
        <f>MAX($AK272-积分赛!$C$7,0)*$AH$7/30</f>
        <v>2756.7351125295554</v>
      </c>
    </row>
    <row r="273" spans="37:42" x14ac:dyDescent="0.15">
      <c r="AK273" s="10">
        <v>263</v>
      </c>
      <c r="AL273" s="10">
        <f>MAX($AK273-积分赛!$C$7,0)*$AH$7/30</f>
        <v>2768.6175914628725</v>
      </c>
      <c r="AM273" s="10">
        <f>MAX($AK273-积分赛!$C$7,0)*$AH$7/30</f>
        <v>2768.6175914628725</v>
      </c>
      <c r="AN273" s="10">
        <f>MAX($AK273-积分赛!$C$7,0)*$AH$7/30</f>
        <v>2768.6175914628725</v>
      </c>
      <c r="AO273" s="10">
        <f>MAX($AK273-积分赛!$C$7,0)*$AH$7/30</f>
        <v>2768.6175914628725</v>
      </c>
      <c r="AP273" s="10">
        <f>MAX($AK273-积分赛!$C$7,0)*$AH$7/30</f>
        <v>2768.6175914628725</v>
      </c>
    </row>
    <row r="274" spans="37:42" x14ac:dyDescent="0.15">
      <c r="AK274" s="10">
        <v>264</v>
      </c>
      <c r="AL274" s="10">
        <f>MAX($AK274-积分赛!$C$7,0)*$AH$7/30</f>
        <v>2780.50007039619</v>
      </c>
      <c r="AM274" s="10">
        <f>MAX($AK274-积分赛!$C$7,0)*$AH$7/30</f>
        <v>2780.50007039619</v>
      </c>
      <c r="AN274" s="10">
        <f>MAX($AK274-积分赛!$C$7,0)*$AH$7/30</f>
        <v>2780.50007039619</v>
      </c>
      <c r="AO274" s="10">
        <f>MAX($AK274-积分赛!$C$7,0)*$AH$7/30</f>
        <v>2780.50007039619</v>
      </c>
      <c r="AP274" s="10">
        <f>MAX($AK274-积分赛!$C$7,0)*$AH$7/30</f>
        <v>2780.50007039619</v>
      </c>
    </row>
    <row r="275" spans="37:42" x14ac:dyDescent="0.15">
      <c r="AK275" s="10">
        <v>265</v>
      </c>
      <c r="AL275" s="10">
        <f>MAX($AK275-积分赛!$C$7,0)*$AH$7/30</f>
        <v>2792.3825493295071</v>
      </c>
      <c r="AM275" s="10">
        <f>MAX($AK275-积分赛!$C$7,0)*$AH$7/30</f>
        <v>2792.3825493295071</v>
      </c>
      <c r="AN275" s="10">
        <f>MAX($AK275-积分赛!$C$7,0)*$AH$7/30</f>
        <v>2792.3825493295071</v>
      </c>
      <c r="AO275" s="10">
        <f>MAX($AK275-积分赛!$C$7,0)*$AH$7/30</f>
        <v>2792.3825493295071</v>
      </c>
      <c r="AP275" s="10">
        <f>MAX($AK275-积分赛!$C$7,0)*$AH$7/30</f>
        <v>2792.3825493295071</v>
      </c>
    </row>
    <row r="276" spans="37:42" x14ac:dyDescent="0.15">
      <c r="AK276" s="10">
        <v>266</v>
      </c>
      <c r="AL276" s="10">
        <f>MAX($AK276-积分赛!$C$7,0)*$AH$7/30</f>
        <v>2804.2650282628238</v>
      </c>
      <c r="AM276" s="10">
        <f>MAX($AK276-积分赛!$C$7,0)*$AH$7/30</f>
        <v>2804.2650282628238</v>
      </c>
      <c r="AN276" s="10">
        <f>MAX($AK276-积分赛!$C$7,0)*$AH$7/30</f>
        <v>2804.2650282628238</v>
      </c>
      <c r="AO276" s="10">
        <f>MAX($AK276-积分赛!$C$7,0)*$AH$7/30</f>
        <v>2804.2650282628238</v>
      </c>
      <c r="AP276" s="10">
        <f>MAX($AK276-积分赛!$C$7,0)*$AH$7/30</f>
        <v>2804.2650282628238</v>
      </c>
    </row>
    <row r="277" spans="37:42" x14ac:dyDescent="0.15">
      <c r="AK277" s="10">
        <v>267</v>
      </c>
      <c r="AL277" s="10">
        <f>MAX($AK277-积分赛!$C$7,0)*$AH$7/30</f>
        <v>2816.1475071961409</v>
      </c>
      <c r="AM277" s="10">
        <f>MAX($AK277-积分赛!$C$7,0)*$AH$7/30</f>
        <v>2816.1475071961409</v>
      </c>
      <c r="AN277" s="10">
        <f>MAX($AK277-积分赛!$C$7,0)*$AH$7/30</f>
        <v>2816.1475071961409</v>
      </c>
      <c r="AO277" s="10">
        <f>MAX($AK277-积分赛!$C$7,0)*$AH$7/30</f>
        <v>2816.1475071961409</v>
      </c>
      <c r="AP277" s="10">
        <f>MAX($AK277-积分赛!$C$7,0)*$AH$7/30</f>
        <v>2816.1475071961409</v>
      </c>
    </row>
    <row r="278" spans="37:42" x14ac:dyDescent="0.15">
      <c r="AK278" s="10">
        <v>268</v>
      </c>
      <c r="AL278" s="10">
        <f>MAX($AK278-积分赛!$C$7,0)*$AH$7/30</f>
        <v>2828.0299861294579</v>
      </c>
      <c r="AM278" s="10">
        <f>MAX($AK278-积分赛!$C$7,0)*$AH$7/30</f>
        <v>2828.0299861294579</v>
      </c>
      <c r="AN278" s="10">
        <f>MAX($AK278-积分赛!$C$7,0)*$AH$7/30</f>
        <v>2828.0299861294579</v>
      </c>
      <c r="AO278" s="10">
        <f>MAX($AK278-积分赛!$C$7,0)*$AH$7/30</f>
        <v>2828.0299861294579</v>
      </c>
      <c r="AP278" s="10">
        <f>MAX($AK278-积分赛!$C$7,0)*$AH$7/30</f>
        <v>2828.0299861294579</v>
      </c>
    </row>
    <row r="279" spans="37:42" x14ac:dyDescent="0.15">
      <c r="AK279" s="10">
        <v>269</v>
      </c>
      <c r="AL279" s="10">
        <f>MAX($AK279-积分赛!$C$7,0)*$AH$7/30</f>
        <v>2839.9124650627755</v>
      </c>
      <c r="AM279" s="10">
        <f>MAX($AK279-积分赛!$C$7,0)*$AH$7/30</f>
        <v>2839.9124650627755</v>
      </c>
      <c r="AN279" s="10">
        <f>MAX($AK279-积分赛!$C$7,0)*$AH$7/30</f>
        <v>2839.9124650627755</v>
      </c>
      <c r="AO279" s="10">
        <f>MAX($AK279-积分赛!$C$7,0)*$AH$7/30</f>
        <v>2839.9124650627755</v>
      </c>
      <c r="AP279" s="10">
        <f>MAX($AK279-积分赛!$C$7,0)*$AH$7/30</f>
        <v>2839.9124650627755</v>
      </c>
    </row>
    <row r="280" spans="37:42" x14ac:dyDescent="0.15">
      <c r="AK280" s="10">
        <v>270</v>
      </c>
      <c r="AL280" s="10">
        <f>MAX($AK280-积分赛!$C$7,0)*$AH$7/30</f>
        <v>2851.7949439960921</v>
      </c>
      <c r="AM280" s="10">
        <f>MAX($AK280-积分赛!$C$7,0)*$AH$7/30</f>
        <v>2851.7949439960921</v>
      </c>
      <c r="AN280" s="10">
        <f>MAX($AK280-积分赛!$C$7,0)*$AH$7/30</f>
        <v>2851.7949439960921</v>
      </c>
      <c r="AO280" s="10">
        <f>MAX($AK280-积分赛!$C$7,0)*$AH$7/30</f>
        <v>2851.7949439960921</v>
      </c>
      <c r="AP280" s="10">
        <f>MAX($AK280-积分赛!$C$7,0)*$AH$7/30</f>
        <v>2851.7949439960921</v>
      </c>
    </row>
    <row r="281" spans="37:42" x14ac:dyDescent="0.15">
      <c r="AK281" s="10">
        <v>271</v>
      </c>
      <c r="AL281" s="10">
        <f>MAX($AK281-积分赛!$C$7,0)*$AH$7/30</f>
        <v>2863.6774229294092</v>
      </c>
      <c r="AM281" s="10">
        <f>MAX($AK281-积分赛!$C$7,0)*$AH$7/30</f>
        <v>2863.6774229294092</v>
      </c>
      <c r="AN281" s="10">
        <f>MAX($AK281-积分赛!$C$7,0)*$AH$7/30</f>
        <v>2863.6774229294092</v>
      </c>
      <c r="AO281" s="10">
        <f>MAX($AK281-积分赛!$C$7,0)*$AH$7/30</f>
        <v>2863.6774229294092</v>
      </c>
      <c r="AP281" s="10">
        <f>MAX($AK281-积分赛!$C$7,0)*$AH$7/30</f>
        <v>2863.6774229294092</v>
      </c>
    </row>
    <row r="282" spans="37:42" x14ac:dyDescent="0.15">
      <c r="AK282" s="10">
        <v>272</v>
      </c>
      <c r="AL282" s="10">
        <f>MAX($AK282-积分赛!$C$7,0)*$AH$7/30</f>
        <v>2875.5599018627263</v>
      </c>
      <c r="AM282" s="10">
        <f>MAX($AK282-积分赛!$C$7,0)*$AH$7/30</f>
        <v>2875.5599018627263</v>
      </c>
      <c r="AN282" s="10">
        <f>MAX($AK282-积分赛!$C$7,0)*$AH$7/30</f>
        <v>2875.5599018627263</v>
      </c>
      <c r="AO282" s="10">
        <f>MAX($AK282-积分赛!$C$7,0)*$AH$7/30</f>
        <v>2875.5599018627263</v>
      </c>
      <c r="AP282" s="10">
        <f>MAX($AK282-积分赛!$C$7,0)*$AH$7/30</f>
        <v>2875.5599018627263</v>
      </c>
    </row>
    <row r="283" spans="37:42" x14ac:dyDescent="0.15">
      <c r="AK283" s="10">
        <v>273</v>
      </c>
      <c r="AL283" s="10">
        <f>MAX($AK283-积分赛!$C$7,0)*$AH$7/30</f>
        <v>2887.4423807960429</v>
      </c>
      <c r="AM283" s="10">
        <f>MAX($AK283-积分赛!$C$7,0)*$AH$7/30</f>
        <v>2887.4423807960429</v>
      </c>
      <c r="AN283" s="10">
        <f>MAX($AK283-积分赛!$C$7,0)*$AH$7/30</f>
        <v>2887.4423807960429</v>
      </c>
      <c r="AO283" s="10">
        <f>MAX($AK283-积分赛!$C$7,0)*$AH$7/30</f>
        <v>2887.4423807960429</v>
      </c>
      <c r="AP283" s="10">
        <f>MAX($AK283-积分赛!$C$7,0)*$AH$7/30</f>
        <v>2887.4423807960429</v>
      </c>
    </row>
    <row r="284" spans="37:42" x14ac:dyDescent="0.15">
      <c r="AK284" s="10">
        <v>274</v>
      </c>
      <c r="AL284" s="10">
        <f>MAX($AK284-积分赛!$C$7,0)*$AH$7/30</f>
        <v>2899.32485972936</v>
      </c>
      <c r="AM284" s="10">
        <f>MAX($AK284-积分赛!$C$7,0)*$AH$7/30</f>
        <v>2899.32485972936</v>
      </c>
      <c r="AN284" s="10">
        <f>MAX($AK284-积分赛!$C$7,0)*$AH$7/30</f>
        <v>2899.32485972936</v>
      </c>
      <c r="AO284" s="10">
        <f>MAX($AK284-积分赛!$C$7,0)*$AH$7/30</f>
        <v>2899.32485972936</v>
      </c>
      <c r="AP284" s="10">
        <f>MAX($AK284-积分赛!$C$7,0)*$AH$7/30</f>
        <v>2899.32485972936</v>
      </c>
    </row>
    <row r="285" spans="37:42" x14ac:dyDescent="0.15">
      <c r="AK285" s="10">
        <v>275</v>
      </c>
      <c r="AL285" s="10">
        <f>MAX($AK285-积分赛!$C$7,0)*$AH$7/30</f>
        <v>2911.2073386626776</v>
      </c>
      <c r="AM285" s="10">
        <f>MAX($AK285-积分赛!$C$7,0)*$AH$7/30</f>
        <v>2911.2073386626776</v>
      </c>
      <c r="AN285" s="10">
        <f>MAX($AK285-积分赛!$C$7,0)*$AH$7/30</f>
        <v>2911.2073386626776</v>
      </c>
      <c r="AO285" s="10">
        <f>MAX($AK285-积分赛!$C$7,0)*$AH$7/30</f>
        <v>2911.2073386626776</v>
      </c>
      <c r="AP285" s="10">
        <f>MAX($AK285-积分赛!$C$7,0)*$AH$7/30</f>
        <v>2911.2073386626776</v>
      </c>
    </row>
    <row r="286" spans="37:42" x14ac:dyDescent="0.15">
      <c r="AK286" s="10">
        <v>276</v>
      </c>
      <c r="AL286" s="10">
        <f>MAX($AK286-积分赛!$C$7,0)*$AH$7/30</f>
        <v>2923.0898175959946</v>
      </c>
      <c r="AM286" s="10">
        <f>MAX($AK286-积分赛!$C$7,0)*$AH$7/30</f>
        <v>2923.0898175959946</v>
      </c>
      <c r="AN286" s="10">
        <f>MAX($AK286-积分赛!$C$7,0)*$AH$7/30</f>
        <v>2923.0898175959946</v>
      </c>
      <c r="AO286" s="10">
        <f>MAX($AK286-积分赛!$C$7,0)*$AH$7/30</f>
        <v>2923.0898175959946</v>
      </c>
      <c r="AP286" s="10">
        <f>MAX($AK286-积分赛!$C$7,0)*$AH$7/30</f>
        <v>2923.0898175959946</v>
      </c>
    </row>
    <row r="287" spans="37:42" x14ac:dyDescent="0.15">
      <c r="AK287" s="10">
        <v>277</v>
      </c>
      <c r="AL287" s="10">
        <f>MAX($AK287-积分赛!$C$7,0)*$AH$7/30</f>
        <v>2934.9722965293113</v>
      </c>
      <c r="AM287" s="10">
        <f>MAX($AK287-积分赛!$C$7,0)*$AH$7/30</f>
        <v>2934.9722965293113</v>
      </c>
      <c r="AN287" s="10">
        <f>MAX($AK287-积分赛!$C$7,0)*$AH$7/30</f>
        <v>2934.9722965293113</v>
      </c>
      <c r="AO287" s="10">
        <f>MAX($AK287-积分赛!$C$7,0)*$AH$7/30</f>
        <v>2934.9722965293113</v>
      </c>
      <c r="AP287" s="10">
        <f>MAX($AK287-积分赛!$C$7,0)*$AH$7/30</f>
        <v>2934.9722965293113</v>
      </c>
    </row>
    <row r="288" spans="37:42" x14ac:dyDescent="0.15">
      <c r="AK288" s="10">
        <v>278</v>
      </c>
      <c r="AL288" s="10">
        <f>MAX($AK288-积分赛!$C$7,0)*$AH$7/30</f>
        <v>2946.8547754626284</v>
      </c>
      <c r="AM288" s="10">
        <f>MAX($AK288-积分赛!$C$7,0)*$AH$7/30</f>
        <v>2946.8547754626284</v>
      </c>
      <c r="AN288" s="10">
        <f>MAX($AK288-积分赛!$C$7,0)*$AH$7/30</f>
        <v>2946.8547754626284</v>
      </c>
      <c r="AO288" s="10">
        <f>MAX($AK288-积分赛!$C$7,0)*$AH$7/30</f>
        <v>2946.8547754626284</v>
      </c>
      <c r="AP288" s="10">
        <f>MAX($AK288-积分赛!$C$7,0)*$AH$7/30</f>
        <v>2946.8547754626284</v>
      </c>
    </row>
    <row r="289" spans="37:42" x14ac:dyDescent="0.15">
      <c r="AK289" s="10">
        <v>279</v>
      </c>
      <c r="AL289" s="10">
        <f>MAX($AK289-积分赛!$C$7,0)*$AH$7/30</f>
        <v>2958.7372543959455</v>
      </c>
      <c r="AM289" s="10">
        <f>MAX($AK289-积分赛!$C$7,0)*$AH$7/30</f>
        <v>2958.7372543959455</v>
      </c>
      <c r="AN289" s="10">
        <f>MAX($AK289-积分赛!$C$7,0)*$AH$7/30</f>
        <v>2958.7372543959455</v>
      </c>
      <c r="AO289" s="10">
        <f>MAX($AK289-积分赛!$C$7,0)*$AH$7/30</f>
        <v>2958.7372543959455</v>
      </c>
      <c r="AP289" s="10">
        <f>MAX($AK289-积分赛!$C$7,0)*$AH$7/30</f>
        <v>2958.7372543959455</v>
      </c>
    </row>
    <row r="290" spans="37:42" x14ac:dyDescent="0.15">
      <c r="AK290" s="10">
        <v>280</v>
      </c>
      <c r="AL290" s="10">
        <f>MAX($AK290-积分赛!$C$7,0)*$AH$7/30</f>
        <v>2970.619733329263</v>
      </c>
      <c r="AM290" s="10">
        <f>MAX($AK290-积分赛!$C$7,0)*$AH$7/30</f>
        <v>2970.619733329263</v>
      </c>
      <c r="AN290" s="10">
        <f>MAX($AK290-积分赛!$C$7,0)*$AH$7/30</f>
        <v>2970.619733329263</v>
      </c>
      <c r="AO290" s="10">
        <f>MAX($AK290-积分赛!$C$7,0)*$AH$7/30</f>
        <v>2970.619733329263</v>
      </c>
      <c r="AP290" s="10">
        <f>MAX($AK290-积分赛!$C$7,0)*$AH$7/30</f>
        <v>2970.619733329263</v>
      </c>
    </row>
    <row r="291" spans="37:42" x14ac:dyDescent="0.15">
      <c r="AK291" s="10">
        <v>281</v>
      </c>
      <c r="AL291" s="10">
        <f>MAX($AK291-积分赛!$C$7,0)*$AH$7/30</f>
        <v>2982.5022122625796</v>
      </c>
      <c r="AM291" s="10">
        <f>MAX($AK291-积分赛!$C$7,0)*$AH$7/30</f>
        <v>2982.5022122625796</v>
      </c>
      <c r="AN291" s="10">
        <f>MAX($AK291-积分赛!$C$7,0)*$AH$7/30</f>
        <v>2982.5022122625796</v>
      </c>
      <c r="AO291" s="10">
        <f>MAX($AK291-积分赛!$C$7,0)*$AH$7/30</f>
        <v>2982.5022122625796</v>
      </c>
      <c r="AP291" s="10">
        <f>MAX($AK291-积分赛!$C$7,0)*$AH$7/30</f>
        <v>2982.5022122625796</v>
      </c>
    </row>
    <row r="292" spans="37:42" x14ac:dyDescent="0.15">
      <c r="AK292" s="10">
        <v>282</v>
      </c>
      <c r="AL292" s="10">
        <f>MAX($AK292-积分赛!$C$7,0)*$AH$7/30</f>
        <v>2994.3846911958967</v>
      </c>
      <c r="AM292" s="10">
        <f>MAX($AK292-积分赛!$C$7,0)*$AH$7/30</f>
        <v>2994.3846911958967</v>
      </c>
      <c r="AN292" s="10">
        <f>MAX($AK292-积分赛!$C$7,0)*$AH$7/30</f>
        <v>2994.3846911958967</v>
      </c>
      <c r="AO292" s="10">
        <f>MAX($AK292-积分赛!$C$7,0)*$AH$7/30</f>
        <v>2994.3846911958967</v>
      </c>
      <c r="AP292" s="10">
        <f>MAX($AK292-积分赛!$C$7,0)*$AH$7/30</f>
        <v>2994.3846911958967</v>
      </c>
    </row>
    <row r="293" spans="37:42" x14ac:dyDescent="0.15">
      <c r="AK293" s="10">
        <v>283</v>
      </c>
      <c r="AL293" s="10">
        <f>MAX($AK293-积分赛!$C$7,0)*$AH$7/30</f>
        <v>3006.2671701292138</v>
      </c>
      <c r="AM293" s="10">
        <f>MAX($AK293-积分赛!$C$7,0)*$AH$7/30</f>
        <v>3006.2671701292138</v>
      </c>
      <c r="AN293" s="10">
        <f>MAX($AK293-积分赛!$C$7,0)*$AH$7/30</f>
        <v>3006.2671701292138</v>
      </c>
      <c r="AO293" s="10">
        <f>MAX($AK293-积分赛!$C$7,0)*$AH$7/30</f>
        <v>3006.2671701292138</v>
      </c>
      <c r="AP293" s="10">
        <f>MAX($AK293-积分赛!$C$7,0)*$AH$7/30</f>
        <v>3006.2671701292138</v>
      </c>
    </row>
    <row r="294" spans="37:42" x14ac:dyDescent="0.15">
      <c r="AK294" s="10">
        <v>284</v>
      </c>
      <c r="AL294" s="10">
        <f>MAX($AK294-积分赛!$C$7,0)*$AH$7/30</f>
        <v>3018.1496490625309</v>
      </c>
      <c r="AM294" s="10">
        <f>MAX($AK294-积分赛!$C$7,0)*$AH$7/30</f>
        <v>3018.1496490625309</v>
      </c>
      <c r="AN294" s="10">
        <f>MAX($AK294-积分赛!$C$7,0)*$AH$7/30</f>
        <v>3018.1496490625309</v>
      </c>
      <c r="AO294" s="10">
        <f>MAX($AK294-积分赛!$C$7,0)*$AH$7/30</f>
        <v>3018.1496490625309</v>
      </c>
      <c r="AP294" s="10">
        <f>MAX($AK294-积分赛!$C$7,0)*$AH$7/30</f>
        <v>3018.1496490625309</v>
      </c>
    </row>
    <row r="295" spans="37:42" x14ac:dyDescent="0.15">
      <c r="AK295" s="10">
        <v>285</v>
      </c>
      <c r="AL295" s="10">
        <f>MAX($AK295-积分赛!$C$7,0)*$AH$7/30</f>
        <v>3030.0321279958475</v>
      </c>
      <c r="AM295" s="10">
        <f>MAX($AK295-积分赛!$C$7,0)*$AH$7/30</f>
        <v>3030.0321279958475</v>
      </c>
      <c r="AN295" s="10">
        <f>MAX($AK295-积分赛!$C$7,0)*$AH$7/30</f>
        <v>3030.0321279958475</v>
      </c>
      <c r="AO295" s="10">
        <f>MAX($AK295-积分赛!$C$7,0)*$AH$7/30</f>
        <v>3030.0321279958475</v>
      </c>
      <c r="AP295" s="10">
        <f>MAX($AK295-积分赛!$C$7,0)*$AH$7/30</f>
        <v>3030.0321279958475</v>
      </c>
    </row>
    <row r="296" spans="37:42" x14ac:dyDescent="0.15">
      <c r="AK296" s="10">
        <v>286</v>
      </c>
      <c r="AL296" s="10">
        <f>MAX($AK296-积分赛!$C$7,0)*$AH$7/30</f>
        <v>3041.9146069291651</v>
      </c>
      <c r="AM296" s="10">
        <f>MAX($AK296-积分赛!$C$7,0)*$AH$7/30</f>
        <v>3041.9146069291651</v>
      </c>
      <c r="AN296" s="10">
        <f>MAX($AK296-积分赛!$C$7,0)*$AH$7/30</f>
        <v>3041.9146069291651</v>
      </c>
      <c r="AO296" s="10">
        <f>MAX($AK296-积分赛!$C$7,0)*$AH$7/30</f>
        <v>3041.9146069291651</v>
      </c>
      <c r="AP296" s="10">
        <f>MAX($AK296-积分赛!$C$7,0)*$AH$7/30</f>
        <v>3041.9146069291651</v>
      </c>
    </row>
    <row r="297" spans="37:42" x14ac:dyDescent="0.15">
      <c r="AK297" s="10">
        <v>287</v>
      </c>
      <c r="AL297" s="10">
        <f>MAX($AK297-积分赛!$C$7,0)*$AH$7/30</f>
        <v>3053.7970858624822</v>
      </c>
      <c r="AM297" s="10">
        <f>MAX($AK297-积分赛!$C$7,0)*$AH$7/30</f>
        <v>3053.7970858624822</v>
      </c>
      <c r="AN297" s="10">
        <f>MAX($AK297-积分赛!$C$7,0)*$AH$7/30</f>
        <v>3053.7970858624822</v>
      </c>
      <c r="AO297" s="10">
        <f>MAX($AK297-积分赛!$C$7,0)*$AH$7/30</f>
        <v>3053.7970858624822</v>
      </c>
      <c r="AP297" s="10">
        <f>MAX($AK297-积分赛!$C$7,0)*$AH$7/30</f>
        <v>3053.7970858624822</v>
      </c>
    </row>
    <row r="298" spans="37:42" x14ac:dyDescent="0.15">
      <c r="AK298" s="10">
        <v>288</v>
      </c>
      <c r="AL298" s="10">
        <f>MAX($AK298-积分赛!$C$7,0)*$AH$7/30</f>
        <v>3065.6795647957988</v>
      </c>
      <c r="AM298" s="10">
        <f>MAX($AK298-积分赛!$C$7,0)*$AH$7/30</f>
        <v>3065.6795647957988</v>
      </c>
      <c r="AN298" s="10">
        <f>MAX($AK298-积分赛!$C$7,0)*$AH$7/30</f>
        <v>3065.6795647957988</v>
      </c>
      <c r="AO298" s="10">
        <f>MAX($AK298-积分赛!$C$7,0)*$AH$7/30</f>
        <v>3065.6795647957988</v>
      </c>
      <c r="AP298" s="10">
        <f>MAX($AK298-积分赛!$C$7,0)*$AH$7/30</f>
        <v>3065.6795647957988</v>
      </c>
    </row>
    <row r="299" spans="37:42" x14ac:dyDescent="0.15">
      <c r="AK299" s="10">
        <v>289</v>
      </c>
      <c r="AL299" s="10">
        <f>MAX($AK299-积分赛!$C$7,0)*$AH$7/30</f>
        <v>3077.5620437291159</v>
      </c>
      <c r="AM299" s="10">
        <f>MAX($AK299-积分赛!$C$7,0)*$AH$7/30</f>
        <v>3077.5620437291159</v>
      </c>
      <c r="AN299" s="10">
        <f>MAX($AK299-积分赛!$C$7,0)*$AH$7/30</f>
        <v>3077.5620437291159</v>
      </c>
      <c r="AO299" s="10">
        <f>MAX($AK299-积分赛!$C$7,0)*$AH$7/30</f>
        <v>3077.5620437291159</v>
      </c>
      <c r="AP299" s="10">
        <f>MAX($AK299-积分赛!$C$7,0)*$AH$7/30</f>
        <v>3077.5620437291159</v>
      </c>
    </row>
    <row r="300" spans="37:42" x14ac:dyDescent="0.15">
      <c r="AK300" s="10">
        <v>290</v>
      </c>
      <c r="AL300" s="10">
        <f>MAX($AK300-积分赛!$C$7,0)*$AH$7/30</f>
        <v>3089.444522662433</v>
      </c>
      <c r="AM300" s="10">
        <f>MAX($AK300-积分赛!$C$7,0)*$AH$7/30</f>
        <v>3089.444522662433</v>
      </c>
      <c r="AN300" s="10">
        <f>MAX($AK300-积分赛!$C$7,0)*$AH$7/30</f>
        <v>3089.444522662433</v>
      </c>
      <c r="AO300" s="10">
        <f>MAX($AK300-积分赛!$C$7,0)*$AH$7/30</f>
        <v>3089.444522662433</v>
      </c>
      <c r="AP300" s="10">
        <f>MAX($AK300-积分赛!$C$7,0)*$AH$7/30</f>
        <v>3089.444522662433</v>
      </c>
    </row>
    <row r="301" spans="37:42" x14ac:dyDescent="0.15">
      <c r="AK301" s="10">
        <v>291</v>
      </c>
      <c r="AL301" s="10">
        <f>MAX($AK301-积分赛!$C$7,0)*$AH$7/30</f>
        <v>3101.3270015957505</v>
      </c>
      <c r="AM301" s="10">
        <f>MAX($AK301-积分赛!$C$7,0)*$AH$7/30</f>
        <v>3101.3270015957505</v>
      </c>
      <c r="AN301" s="10">
        <f>MAX($AK301-积分赛!$C$7,0)*$AH$7/30</f>
        <v>3101.3270015957505</v>
      </c>
      <c r="AO301" s="10">
        <f>MAX($AK301-积分赛!$C$7,0)*$AH$7/30</f>
        <v>3101.3270015957505</v>
      </c>
      <c r="AP301" s="10">
        <f>MAX($AK301-积分赛!$C$7,0)*$AH$7/30</f>
        <v>3101.3270015957505</v>
      </c>
    </row>
    <row r="302" spans="37:42" x14ac:dyDescent="0.15">
      <c r="AK302" s="10">
        <v>292</v>
      </c>
      <c r="AL302" s="10">
        <f>MAX($AK302-积分赛!$C$7,0)*$AH$7/30</f>
        <v>3113.2094805290672</v>
      </c>
      <c r="AM302" s="10">
        <f>MAX($AK302-积分赛!$C$7,0)*$AH$7/30</f>
        <v>3113.2094805290672</v>
      </c>
      <c r="AN302" s="10">
        <f>MAX($AK302-积分赛!$C$7,0)*$AH$7/30</f>
        <v>3113.2094805290672</v>
      </c>
      <c r="AO302" s="10">
        <f>MAX($AK302-积分赛!$C$7,0)*$AH$7/30</f>
        <v>3113.2094805290672</v>
      </c>
      <c r="AP302" s="10">
        <f>MAX($AK302-积分赛!$C$7,0)*$AH$7/30</f>
        <v>3113.2094805290672</v>
      </c>
    </row>
    <row r="303" spans="37:42" x14ac:dyDescent="0.15">
      <c r="AK303" s="10">
        <v>293</v>
      </c>
      <c r="AL303" s="10">
        <f>MAX($AK303-积分赛!$C$7,0)*$AH$7/30</f>
        <v>3125.0919594623842</v>
      </c>
      <c r="AM303" s="10">
        <f>MAX($AK303-积分赛!$C$7,0)*$AH$7/30</f>
        <v>3125.0919594623842</v>
      </c>
      <c r="AN303" s="10">
        <f>MAX($AK303-积分赛!$C$7,0)*$AH$7/30</f>
        <v>3125.0919594623842</v>
      </c>
      <c r="AO303" s="10">
        <f>MAX($AK303-积分赛!$C$7,0)*$AH$7/30</f>
        <v>3125.0919594623842</v>
      </c>
      <c r="AP303" s="10">
        <f>MAX($AK303-积分赛!$C$7,0)*$AH$7/30</f>
        <v>3125.0919594623842</v>
      </c>
    </row>
    <row r="304" spans="37:42" x14ac:dyDescent="0.15">
      <c r="AK304" s="10">
        <v>294</v>
      </c>
      <c r="AL304" s="10">
        <f>MAX($AK304-积分赛!$C$7,0)*$AH$7/30</f>
        <v>3136.9744383957013</v>
      </c>
      <c r="AM304" s="10">
        <f>MAX($AK304-积分赛!$C$7,0)*$AH$7/30</f>
        <v>3136.9744383957013</v>
      </c>
      <c r="AN304" s="10">
        <f>MAX($AK304-积分赛!$C$7,0)*$AH$7/30</f>
        <v>3136.9744383957013</v>
      </c>
      <c r="AO304" s="10">
        <f>MAX($AK304-积分赛!$C$7,0)*$AH$7/30</f>
        <v>3136.9744383957013</v>
      </c>
      <c r="AP304" s="10">
        <f>MAX($AK304-积分赛!$C$7,0)*$AH$7/30</f>
        <v>3136.9744383957013</v>
      </c>
    </row>
    <row r="305" spans="37:42" x14ac:dyDescent="0.15">
      <c r="AK305" s="10">
        <v>295</v>
      </c>
      <c r="AL305" s="10">
        <f>MAX($AK305-积分赛!$C$7,0)*$AH$7/30</f>
        <v>3148.8569173290184</v>
      </c>
      <c r="AM305" s="10">
        <f>MAX($AK305-积分赛!$C$7,0)*$AH$7/30</f>
        <v>3148.8569173290184</v>
      </c>
      <c r="AN305" s="10">
        <f>MAX($AK305-积分赛!$C$7,0)*$AH$7/30</f>
        <v>3148.8569173290184</v>
      </c>
      <c r="AO305" s="10">
        <f>MAX($AK305-积分赛!$C$7,0)*$AH$7/30</f>
        <v>3148.8569173290184</v>
      </c>
      <c r="AP305" s="10">
        <f>MAX($AK305-积分赛!$C$7,0)*$AH$7/30</f>
        <v>3148.8569173290184</v>
      </c>
    </row>
    <row r="306" spans="37:42" x14ac:dyDescent="0.15">
      <c r="AK306" s="10">
        <v>296</v>
      </c>
      <c r="AL306" s="10">
        <f>MAX($AK306-积分赛!$C$7,0)*$AH$7/30</f>
        <v>3160.739396262335</v>
      </c>
      <c r="AM306" s="10">
        <f>MAX($AK306-积分赛!$C$7,0)*$AH$7/30</f>
        <v>3160.739396262335</v>
      </c>
      <c r="AN306" s="10">
        <f>MAX($AK306-积分赛!$C$7,0)*$AH$7/30</f>
        <v>3160.739396262335</v>
      </c>
      <c r="AO306" s="10">
        <f>MAX($AK306-积分赛!$C$7,0)*$AH$7/30</f>
        <v>3160.739396262335</v>
      </c>
      <c r="AP306" s="10">
        <f>MAX($AK306-积分赛!$C$7,0)*$AH$7/30</f>
        <v>3160.739396262335</v>
      </c>
    </row>
    <row r="307" spans="37:42" x14ac:dyDescent="0.15">
      <c r="AK307" s="10">
        <v>297</v>
      </c>
      <c r="AL307" s="10">
        <f>MAX($AK307-积分赛!$C$7,0)*$AH$7/30</f>
        <v>3172.6218751956526</v>
      </c>
      <c r="AM307" s="10">
        <f>MAX($AK307-积分赛!$C$7,0)*$AH$7/30</f>
        <v>3172.6218751956526</v>
      </c>
      <c r="AN307" s="10">
        <f>MAX($AK307-积分赛!$C$7,0)*$AH$7/30</f>
        <v>3172.6218751956526</v>
      </c>
      <c r="AO307" s="10">
        <f>MAX($AK307-积分赛!$C$7,0)*$AH$7/30</f>
        <v>3172.6218751956526</v>
      </c>
      <c r="AP307" s="10">
        <f>MAX($AK307-积分赛!$C$7,0)*$AH$7/30</f>
        <v>3172.6218751956526</v>
      </c>
    </row>
    <row r="308" spans="37:42" x14ac:dyDescent="0.15">
      <c r="AK308" s="10">
        <v>298</v>
      </c>
      <c r="AL308" s="10">
        <f>MAX($AK308-积分赛!$C$7,0)*$AH$7/30</f>
        <v>3184.5043541289697</v>
      </c>
      <c r="AM308" s="10">
        <f>MAX($AK308-积分赛!$C$7,0)*$AH$7/30</f>
        <v>3184.5043541289697</v>
      </c>
      <c r="AN308" s="10">
        <f>MAX($AK308-积分赛!$C$7,0)*$AH$7/30</f>
        <v>3184.5043541289697</v>
      </c>
      <c r="AO308" s="10">
        <f>MAX($AK308-积分赛!$C$7,0)*$AH$7/30</f>
        <v>3184.5043541289697</v>
      </c>
      <c r="AP308" s="10">
        <f>MAX($AK308-积分赛!$C$7,0)*$AH$7/30</f>
        <v>3184.5043541289697</v>
      </c>
    </row>
    <row r="309" spans="37:42" x14ac:dyDescent="0.15">
      <c r="AK309" s="10">
        <v>299</v>
      </c>
      <c r="AL309" s="10">
        <f>MAX($AK309-积分赛!$C$7,0)*$AH$7/30</f>
        <v>3196.3868330622868</v>
      </c>
      <c r="AM309" s="10">
        <f>MAX($AK309-积分赛!$C$7,0)*$AH$7/30</f>
        <v>3196.3868330622868</v>
      </c>
      <c r="AN309" s="10">
        <f>MAX($AK309-积分赛!$C$7,0)*$AH$7/30</f>
        <v>3196.3868330622868</v>
      </c>
      <c r="AO309" s="10">
        <f>MAX($AK309-积分赛!$C$7,0)*$AH$7/30</f>
        <v>3196.3868330622868</v>
      </c>
      <c r="AP309" s="10">
        <f>MAX($AK309-积分赛!$C$7,0)*$AH$7/30</f>
        <v>3196.3868330622868</v>
      </c>
    </row>
    <row r="310" spans="37:42" x14ac:dyDescent="0.15">
      <c r="AK310" s="10">
        <v>300</v>
      </c>
      <c r="AL310" s="10">
        <f>MAX($AK310-积分赛!$C$7,0)*$AH$7/30</f>
        <v>3208.2693119956034</v>
      </c>
      <c r="AM310" s="10">
        <f>MAX($AK310-积分赛!$C$7,0)*$AH$7/30</f>
        <v>3208.2693119956034</v>
      </c>
      <c r="AN310" s="10">
        <f>MAX($AK310-积分赛!$C$7,0)*$AH$7/30</f>
        <v>3208.2693119956034</v>
      </c>
      <c r="AO310" s="10">
        <f>MAX($AK310-积分赛!$C$7,0)*$AH$7/30</f>
        <v>3208.2693119956034</v>
      </c>
      <c r="AP310" s="10">
        <f>MAX($AK310-积分赛!$C$7,0)*$AH$7/30</f>
        <v>3208.2693119956034</v>
      </c>
    </row>
    <row r="311" spans="37:42" x14ac:dyDescent="0.15">
      <c r="AK311" s="10">
        <v>301</v>
      </c>
      <c r="AL311" s="10">
        <f>MAX($AK311-积分赛!$C$7,0)*$AH$7/30</f>
        <v>3220.1517909289205</v>
      </c>
      <c r="AM311" s="10">
        <f>MAX($AK311-积分赛!$C$7,0)*$AH$7/30</f>
        <v>3220.1517909289205</v>
      </c>
      <c r="AN311" s="10">
        <f>MAX($AK311-积分赛!$C$7,0)*$AH$7/30</f>
        <v>3220.1517909289205</v>
      </c>
      <c r="AO311" s="10">
        <f>MAX($AK311-积分赛!$C$7,0)*$AH$7/30</f>
        <v>3220.1517909289205</v>
      </c>
      <c r="AP311" s="10">
        <f>MAX($AK311-积分赛!$C$7,0)*$AH$7/30</f>
        <v>3220.1517909289205</v>
      </c>
    </row>
    <row r="312" spans="37:42" x14ac:dyDescent="0.15">
      <c r="AK312" s="10">
        <v>302</v>
      </c>
      <c r="AL312" s="10">
        <f>MAX($AK312-积分赛!$C$7,0)*$AH$7/30</f>
        <v>3232.034269862238</v>
      </c>
      <c r="AM312" s="10">
        <f>MAX($AK312-积分赛!$C$7,0)*$AH$7/30</f>
        <v>3232.034269862238</v>
      </c>
      <c r="AN312" s="10">
        <f>MAX($AK312-积分赛!$C$7,0)*$AH$7/30</f>
        <v>3232.034269862238</v>
      </c>
      <c r="AO312" s="10">
        <f>MAX($AK312-积分赛!$C$7,0)*$AH$7/30</f>
        <v>3232.034269862238</v>
      </c>
      <c r="AP312" s="10">
        <f>MAX($AK312-积分赛!$C$7,0)*$AH$7/30</f>
        <v>3232.034269862238</v>
      </c>
    </row>
    <row r="313" spans="37:42" x14ac:dyDescent="0.15">
      <c r="AK313" s="10">
        <v>303</v>
      </c>
      <c r="AL313" s="10">
        <f>MAX($AK313-积分赛!$C$7,0)*$AH$7/30</f>
        <v>3243.9167487955547</v>
      </c>
      <c r="AM313" s="10">
        <f>MAX($AK313-积分赛!$C$7,0)*$AH$7/30</f>
        <v>3243.9167487955547</v>
      </c>
      <c r="AN313" s="10">
        <f>MAX($AK313-积分赛!$C$7,0)*$AH$7/30</f>
        <v>3243.9167487955547</v>
      </c>
      <c r="AO313" s="10">
        <f>MAX($AK313-积分赛!$C$7,0)*$AH$7/30</f>
        <v>3243.9167487955547</v>
      </c>
      <c r="AP313" s="10">
        <f>MAX($AK313-积分赛!$C$7,0)*$AH$7/30</f>
        <v>3243.9167487955547</v>
      </c>
    </row>
    <row r="314" spans="37:42" x14ac:dyDescent="0.15">
      <c r="AK314" s="10">
        <v>304</v>
      </c>
      <c r="AL314" s="10">
        <f>MAX($AK314-积分赛!$C$7,0)*$AH$7/30</f>
        <v>3255.7992277288718</v>
      </c>
      <c r="AM314" s="10">
        <f>MAX($AK314-积分赛!$C$7,0)*$AH$7/30</f>
        <v>3255.7992277288718</v>
      </c>
      <c r="AN314" s="10">
        <f>MAX($AK314-积分赛!$C$7,0)*$AH$7/30</f>
        <v>3255.7992277288718</v>
      </c>
      <c r="AO314" s="10">
        <f>MAX($AK314-积分赛!$C$7,0)*$AH$7/30</f>
        <v>3255.7992277288718</v>
      </c>
      <c r="AP314" s="10">
        <f>MAX($AK314-积分赛!$C$7,0)*$AH$7/30</f>
        <v>3255.7992277288718</v>
      </c>
    </row>
    <row r="315" spans="37:42" x14ac:dyDescent="0.15">
      <c r="AK315" s="10">
        <v>305</v>
      </c>
      <c r="AL315" s="10">
        <f>MAX($AK315-积分赛!$C$7,0)*$AH$7/30</f>
        <v>3267.6817066621888</v>
      </c>
      <c r="AM315" s="10">
        <f>MAX($AK315-积分赛!$C$7,0)*$AH$7/30</f>
        <v>3267.6817066621888</v>
      </c>
      <c r="AN315" s="10">
        <f>MAX($AK315-积分赛!$C$7,0)*$AH$7/30</f>
        <v>3267.6817066621888</v>
      </c>
      <c r="AO315" s="10">
        <f>MAX($AK315-积分赛!$C$7,0)*$AH$7/30</f>
        <v>3267.6817066621888</v>
      </c>
      <c r="AP315" s="10">
        <f>MAX($AK315-积分赛!$C$7,0)*$AH$7/30</f>
        <v>3267.6817066621888</v>
      </c>
    </row>
    <row r="316" spans="37:42" x14ac:dyDescent="0.15">
      <c r="AK316" s="10">
        <v>306</v>
      </c>
      <c r="AL316" s="10">
        <f>MAX($AK316-积分赛!$C$7,0)*$AH$7/30</f>
        <v>3279.5641855955059</v>
      </c>
      <c r="AM316" s="10">
        <f>MAX($AK316-积分赛!$C$7,0)*$AH$7/30</f>
        <v>3279.5641855955059</v>
      </c>
      <c r="AN316" s="10">
        <f>MAX($AK316-积分赛!$C$7,0)*$AH$7/30</f>
        <v>3279.5641855955059</v>
      </c>
      <c r="AO316" s="10">
        <f>MAX($AK316-积分赛!$C$7,0)*$AH$7/30</f>
        <v>3279.5641855955059</v>
      </c>
      <c r="AP316" s="10">
        <f>MAX($AK316-积分赛!$C$7,0)*$AH$7/30</f>
        <v>3279.5641855955059</v>
      </c>
    </row>
    <row r="317" spans="37:42" x14ac:dyDescent="0.15">
      <c r="AK317" s="10">
        <v>307</v>
      </c>
      <c r="AL317" s="10">
        <f>MAX($AK317-积分赛!$C$7,0)*$AH$7/30</f>
        <v>3291.4466645288226</v>
      </c>
      <c r="AM317" s="10">
        <f>MAX($AK317-积分赛!$C$7,0)*$AH$7/30</f>
        <v>3291.4466645288226</v>
      </c>
      <c r="AN317" s="10">
        <f>MAX($AK317-积分赛!$C$7,0)*$AH$7/30</f>
        <v>3291.4466645288226</v>
      </c>
      <c r="AO317" s="10">
        <f>MAX($AK317-积分赛!$C$7,0)*$AH$7/30</f>
        <v>3291.4466645288226</v>
      </c>
      <c r="AP317" s="10">
        <f>MAX($AK317-积分赛!$C$7,0)*$AH$7/30</f>
        <v>3291.4466645288226</v>
      </c>
    </row>
    <row r="318" spans="37:42" x14ac:dyDescent="0.15">
      <c r="AK318" s="10">
        <v>308</v>
      </c>
      <c r="AL318" s="10">
        <f>MAX($AK318-积分赛!$C$7,0)*$AH$7/30</f>
        <v>3303.3291434621401</v>
      </c>
      <c r="AM318" s="10">
        <f>MAX($AK318-积分赛!$C$7,0)*$AH$7/30</f>
        <v>3303.3291434621401</v>
      </c>
      <c r="AN318" s="10">
        <f>MAX($AK318-积分赛!$C$7,0)*$AH$7/30</f>
        <v>3303.3291434621401</v>
      </c>
      <c r="AO318" s="10">
        <f>MAX($AK318-积分赛!$C$7,0)*$AH$7/30</f>
        <v>3303.3291434621401</v>
      </c>
      <c r="AP318" s="10">
        <f>MAX($AK318-积分赛!$C$7,0)*$AH$7/30</f>
        <v>3303.3291434621401</v>
      </c>
    </row>
    <row r="319" spans="37:42" x14ac:dyDescent="0.15">
      <c r="AK319" s="10">
        <v>309</v>
      </c>
      <c r="AL319" s="10">
        <f>MAX($AK319-积分赛!$C$7,0)*$AH$7/30</f>
        <v>3315.2116223954572</v>
      </c>
      <c r="AM319" s="10">
        <f>MAX($AK319-积分赛!$C$7,0)*$AH$7/30</f>
        <v>3315.2116223954572</v>
      </c>
      <c r="AN319" s="10">
        <f>MAX($AK319-积分赛!$C$7,0)*$AH$7/30</f>
        <v>3315.2116223954572</v>
      </c>
      <c r="AO319" s="10">
        <f>MAX($AK319-积分赛!$C$7,0)*$AH$7/30</f>
        <v>3315.2116223954572</v>
      </c>
      <c r="AP319" s="10">
        <f>MAX($AK319-积分赛!$C$7,0)*$AH$7/30</f>
        <v>3315.2116223954572</v>
      </c>
    </row>
    <row r="320" spans="37:42" x14ac:dyDescent="0.15">
      <c r="AK320" s="10">
        <v>310</v>
      </c>
      <c r="AL320" s="10">
        <f>MAX($AK320-积分赛!$C$7,0)*$AH$7/30</f>
        <v>3327.0941013287743</v>
      </c>
      <c r="AM320" s="10">
        <f>MAX($AK320-积分赛!$C$7,0)*$AH$7/30</f>
        <v>3327.0941013287743</v>
      </c>
      <c r="AN320" s="10">
        <f>MAX($AK320-积分赛!$C$7,0)*$AH$7/30</f>
        <v>3327.0941013287743</v>
      </c>
      <c r="AO320" s="10">
        <f>MAX($AK320-积分赛!$C$7,0)*$AH$7/30</f>
        <v>3327.0941013287743</v>
      </c>
      <c r="AP320" s="10">
        <f>MAX($AK320-积分赛!$C$7,0)*$AH$7/30</f>
        <v>3327.0941013287743</v>
      </c>
    </row>
    <row r="321" spans="37:42" x14ac:dyDescent="0.15">
      <c r="AK321" s="10">
        <v>311</v>
      </c>
      <c r="AL321" s="10">
        <f>MAX($AK321-积分赛!$C$7,0)*$AH$7/30</f>
        <v>3338.9765802620909</v>
      </c>
      <c r="AM321" s="10">
        <f>MAX($AK321-积分赛!$C$7,0)*$AH$7/30</f>
        <v>3338.9765802620909</v>
      </c>
      <c r="AN321" s="10">
        <f>MAX($AK321-积分赛!$C$7,0)*$AH$7/30</f>
        <v>3338.9765802620909</v>
      </c>
      <c r="AO321" s="10">
        <f>MAX($AK321-积分赛!$C$7,0)*$AH$7/30</f>
        <v>3338.9765802620909</v>
      </c>
      <c r="AP321" s="10">
        <f>MAX($AK321-积分赛!$C$7,0)*$AH$7/30</f>
        <v>3338.9765802620909</v>
      </c>
    </row>
    <row r="322" spans="37:42" x14ac:dyDescent="0.15">
      <c r="AK322" s="10">
        <v>312</v>
      </c>
      <c r="AL322" s="10">
        <f>MAX($AK322-积分赛!$C$7,0)*$AH$7/30</f>
        <v>3350.859059195408</v>
      </c>
      <c r="AM322" s="10">
        <f>MAX($AK322-积分赛!$C$7,0)*$AH$7/30</f>
        <v>3350.859059195408</v>
      </c>
      <c r="AN322" s="10">
        <f>MAX($AK322-积分赛!$C$7,0)*$AH$7/30</f>
        <v>3350.859059195408</v>
      </c>
      <c r="AO322" s="10">
        <f>MAX($AK322-积分赛!$C$7,0)*$AH$7/30</f>
        <v>3350.859059195408</v>
      </c>
      <c r="AP322" s="10">
        <f>MAX($AK322-积分赛!$C$7,0)*$AH$7/30</f>
        <v>3350.859059195408</v>
      </c>
    </row>
    <row r="323" spans="37:42" x14ac:dyDescent="0.15">
      <c r="AK323" s="10">
        <v>313</v>
      </c>
      <c r="AL323" s="10">
        <f>MAX($AK323-积分赛!$C$7,0)*$AH$7/30</f>
        <v>3362.7415381287256</v>
      </c>
      <c r="AM323" s="10">
        <f>MAX($AK323-积分赛!$C$7,0)*$AH$7/30</f>
        <v>3362.7415381287256</v>
      </c>
      <c r="AN323" s="10">
        <f>MAX($AK323-积分赛!$C$7,0)*$AH$7/30</f>
        <v>3362.7415381287256</v>
      </c>
      <c r="AO323" s="10">
        <f>MAX($AK323-积分赛!$C$7,0)*$AH$7/30</f>
        <v>3362.7415381287256</v>
      </c>
      <c r="AP323" s="10">
        <f>MAX($AK323-积分赛!$C$7,0)*$AH$7/30</f>
        <v>3362.7415381287256</v>
      </c>
    </row>
    <row r="324" spans="37:42" x14ac:dyDescent="0.15">
      <c r="AK324" s="10">
        <v>314</v>
      </c>
      <c r="AL324" s="10">
        <f>MAX($AK324-积分赛!$C$7,0)*$AH$7/30</f>
        <v>3374.6240170620426</v>
      </c>
      <c r="AM324" s="10">
        <f>MAX($AK324-积分赛!$C$7,0)*$AH$7/30</f>
        <v>3374.6240170620426</v>
      </c>
      <c r="AN324" s="10">
        <f>MAX($AK324-积分赛!$C$7,0)*$AH$7/30</f>
        <v>3374.6240170620426</v>
      </c>
      <c r="AO324" s="10">
        <f>MAX($AK324-积分赛!$C$7,0)*$AH$7/30</f>
        <v>3374.6240170620426</v>
      </c>
      <c r="AP324" s="10">
        <f>MAX($AK324-积分赛!$C$7,0)*$AH$7/30</f>
        <v>3374.6240170620426</v>
      </c>
    </row>
    <row r="325" spans="37:42" x14ac:dyDescent="0.15">
      <c r="AK325" s="10">
        <v>315</v>
      </c>
      <c r="AL325" s="10">
        <f>MAX($AK325-积分赛!$C$7,0)*$AH$7/30</f>
        <v>3386.5064959953593</v>
      </c>
      <c r="AM325" s="10">
        <f>MAX($AK325-积分赛!$C$7,0)*$AH$7/30</f>
        <v>3386.5064959953593</v>
      </c>
      <c r="AN325" s="10">
        <f>MAX($AK325-积分赛!$C$7,0)*$AH$7/30</f>
        <v>3386.5064959953593</v>
      </c>
      <c r="AO325" s="10">
        <f>MAX($AK325-积分赛!$C$7,0)*$AH$7/30</f>
        <v>3386.5064959953593</v>
      </c>
      <c r="AP325" s="10">
        <f>MAX($AK325-积分赛!$C$7,0)*$AH$7/30</f>
        <v>3386.5064959953593</v>
      </c>
    </row>
    <row r="326" spans="37:42" x14ac:dyDescent="0.15">
      <c r="AK326" s="10">
        <v>316</v>
      </c>
      <c r="AL326" s="10">
        <f>MAX($AK326-积分赛!$C$7,0)*$AH$7/30</f>
        <v>3398.3889749286764</v>
      </c>
      <c r="AM326" s="10">
        <f>MAX($AK326-积分赛!$C$7,0)*$AH$7/30</f>
        <v>3398.3889749286764</v>
      </c>
      <c r="AN326" s="10">
        <f>MAX($AK326-积分赛!$C$7,0)*$AH$7/30</f>
        <v>3398.3889749286764</v>
      </c>
      <c r="AO326" s="10">
        <f>MAX($AK326-积分赛!$C$7,0)*$AH$7/30</f>
        <v>3398.3889749286764</v>
      </c>
      <c r="AP326" s="10">
        <f>MAX($AK326-积分赛!$C$7,0)*$AH$7/30</f>
        <v>3398.3889749286764</v>
      </c>
    </row>
    <row r="327" spans="37:42" x14ac:dyDescent="0.15">
      <c r="AK327" s="10">
        <v>317</v>
      </c>
      <c r="AL327" s="10">
        <f>MAX($AK327-积分赛!$C$7,0)*$AH$7/30</f>
        <v>3410.2714538619935</v>
      </c>
      <c r="AM327" s="10">
        <f>MAX($AK327-积分赛!$C$7,0)*$AH$7/30</f>
        <v>3410.2714538619935</v>
      </c>
      <c r="AN327" s="10">
        <f>MAX($AK327-积分赛!$C$7,0)*$AH$7/30</f>
        <v>3410.2714538619935</v>
      </c>
      <c r="AO327" s="10">
        <f>MAX($AK327-积分赛!$C$7,0)*$AH$7/30</f>
        <v>3410.2714538619935</v>
      </c>
      <c r="AP327" s="10">
        <f>MAX($AK327-积分赛!$C$7,0)*$AH$7/30</f>
        <v>3410.2714538619935</v>
      </c>
    </row>
    <row r="328" spans="37:42" x14ac:dyDescent="0.15">
      <c r="AK328" s="10">
        <v>318</v>
      </c>
      <c r="AL328" s="10">
        <f>MAX($AK328-积分赛!$C$7,0)*$AH$7/30</f>
        <v>3422.153932795311</v>
      </c>
      <c r="AM328" s="10">
        <f>MAX($AK328-积分赛!$C$7,0)*$AH$7/30</f>
        <v>3422.153932795311</v>
      </c>
      <c r="AN328" s="10">
        <f>MAX($AK328-积分赛!$C$7,0)*$AH$7/30</f>
        <v>3422.153932795311</v>
      </c>
      <c r="AO328" s="10">
        <f>MAX($AK328-积分赛!$C$7,0)*$AH$7/30</f>
        <v>3422.153932795311</v>
      </c>
      <c r="AP328" s="10">
        <f>MAX($AK328-积分赛!$C$7,0)*$AH$7/30</f>
        <v>3422.153932795311</v>
      </c>
    </row>
    <row r="329" spans="37:42" x14ac:dyDescent="0.15">
      <c r="AK329" s="10">
        <v>319</v>
      </c>
      <c r="AL329" s="10">
        <f>MAX($AK329-积分赛!$C$7,0)*$AH$7/30</f>
        <v>3434.0364117286276</v>
      </c>
      <c r="AM329" s="10">
        <f>MAX($AK329-积分赛!$C$7,0)*$AH$7/30</f>
        <v>3434.0364117286276</v>
      </c>
      <c r="AN329" s="10">
        <f>MAX($AK329-积分赛!$C$7,0)*$AH$7/30</f>
        <v>3434.0364117286276</v>
      </c>
      <c r="AO329" s="10">
        <f>MAX($AK329-积分赛!$C$7,0)*$AH$7/30</f>
        <v>3434.0364117286276</v>
      </c>
      <c r="AP329" s="10">
        <f>MAX($AK329-积分赛!$C$7,0)*$AH$7/30</f>
        <v>3434.0364117286276</v>
      </c>
    </row>
    <row r="330" spans="37:42" x14ac:dyDescent="0.15">
      <c r="AK330" s="10">
        <v>320</v>
      </c>
      <c r="AL330" s="10">
        <f>MAX($AK330-积分赛!$C$7,0)*$AH$7/30</f>
        <v>3445.9188906619447</v>
      </c>
      <c r="AM330" s="10">
        <f>MAX($AK330-积分赛!$C$7,0)*$AH$7/30</f>
        <v>3445.9188906619447</v>
      </c>
      <c r="AN330" s="10">
        <f>MAX($AK330-积分赛!$C$7,0)*$AH$7/30</f>
        <v>3445.9188906619447</v>
      </c>
      <c r="AO330" s="10">
        <f>MAX($AK330-积分赛!$C$7,0)*$AH$7/30</f>
        <v>3445.9188906619447</v>
      </c>
      <c r="AP330" s="10">
        <f>MAX($AK330-积分赛!$C$7,0)*$AH$7/30</f>
        <v>3445.9188906619447</v>
      </c>
    </row>
    <row r="331" spans="37:42" x14ac:dyDescent="0.15">
      <c r="AK331" s="10">
        <v>321</v>
      </c>
      <c r="AL331" s="10">
        <f>MAX($AK331-积分赛!$C$7,0)*$AH$7/30</f>
        <v>3457.8013695952618</v>
      </c>
      <c r="AM331" s="10">
        <f>MAX($AK331-积分赛!$C$7,0)*$AH$7/30</f>
        <v>3457.8013695952618</v>
      </c>
      <c r="AN331" s="10">
        <f>MAX($AK331-积分赛!$C$7,0)*$AH$7/30</f>
        <v>3457.8013695952618</v>
      </c>
      <c r="AO331" s="10">
        <f>MAX($AK331-积分赛!$C$7,0)*$AH$7/30</f>
        <v>3457.8013695952618</v>
      </c>
      <c r="AP331" s="10">
        <f>MAX($AK331-积分赛!$C$7,0)*$AH$7/30</f>
        <v>3457.8013695952618</v>
      </c>
    </row>
    <row r="332" spans="37:42" x14ac:dyDescent="0.15">
      <c r="AK332" s="10">
        <v>322</v>
      </c>
      <c r="AL332" s="10">
        <f>MAX($AK332-积分赛!$C$7,0)*$AH$7/30</f>
        <v>3469.6838485285784</v>
      </c>
      <c r="AM332" s="10">
        <f>MAX($AK332-积分赛!$C$7,0)*$AH$7/30</f>
        <v>3469.6838485285784</v>
      </c>
      <c r="AN332" s="10">
        <f>MAX($AK332-积分赛!$C$7,0)*$AH$7/30</f>
        <v>3469.6838485285784</v>
      </c>
      <c r="AO332" s="10">
        <f>MAX($AK332-积分赛!$C$7,0)*$AH$7/30</f>
        <v>3469.6838485285784</v>
      </c>
      <c r="AP332" s="10">
        <f>MAX($AK332-积分赛!$C$7,0)*$AH$7/30</f>
        <v>3469.6838485285784</v>
      </c>
    </row>
    <row r="333" spans="37:42" x14ac:dyDescent="0.15">
      <c r="AK333" s="10">
        <v>323</v>
      </c>
      <c r="AL333" s="10">
        <f>MAX($AK333-积分赛!$C$7,0)*$AH$7/30</f>
        <v>3481.5663274618955</v>
      </c>
      <c r="AM333" s="10">
        <f>MAX($AK333-积分赛!$C$7,0)*$AH$7/30</f>
        <v>3481.5663274618955</v>
      </c>
      <c r="AN333" s="10">
        <f>MAX($AK333-积分赛!$C$7,0)*$AH$7/30</f>
        <v>3481.5663274618955</v>
      </c>
      <c r="AO333" s="10">
        <f>MAX($AK333-积分赛!$C$7,0)*$AH$7/30</f>
        <v>3481.5663274618955</v>
      </c>
      <c r="AP333" s="10">
        <f>MAX($AK333-积分赛!$C$7,0)*$AH$7/30</f>
        <v>3481.5663274618955</v>
      </c>
    </row>
    <row r="334" spans="37:42" x14ac:dyDescent="0.15">
      <c r="AK334" s="10">
        <v>324</v>
      </c>
      <c r="AL334" s="10">
        <f>MAX($AK334-积分赛!$C$7,0)*$AH$7/30</f>
        <v>3493.4488063952131</v>
      </c>
      <c r="AM334" s="10">
        <f>MAX($AK334-积分赛!$C$7,0)*$AH$7/30</f>
        <v>3493.4488063952131</v>
      </c>
      <c r="AN334" s="10">
        <f>MAX($AK334-积分赛!$C$7,0)*$AH$7/30</f>
        <v>3493.4488063952131</v>
      </c>
      <c r="AO334" s="10">
        <f>MAX($AK334-积分赛!$C$7,0)*$AH$7/30</f>
        <v>3493.4488063952131</v>
      </c>
      <c r="AP334" s="10">
        <f>MAX($AK334-积分赛!$C$7,0)*$AH$7/30</f>
        <v>3493.4488063952131</v>
      </c>
    </row>
    <row r="335" spans="37:42" x14ac:dyDescent="0.15">
      <c r="AK335" s="10">
        <v>325</v>
      </c>
      <c r="AL335" s="10">
        <f>MAX($AK335-积分赛!$C$7,0)*$AH$7/30</f>
        <v>3505.3312853285302</v>
      </c>
      <c r="AM335" s="10">
        <f>MAX($AK335-积分赛!$C$7,0)*$AH$7/30</f>
        <v>3505.3312853285302</v>
      </c>
      <c r="AN335" s="10">
        <f>MAX($AK335-积分赛!$C$7,0)*$AH$7/30</f>
        <v>3505.3312853285302</v>
      </c>
      <c r="AO335" s="10">
        <f>MAX($AK335-积分赛!$C$7,0)*$AH$7/30</f>
        <v>3505.3312853285302</v>
      </c>
      <c r="AP335" s="10">
        <f>MAX($AK335-积分赛!$C$7,0)*$AH$7/30</f>
        <v>3505.3312853285302</v>
      </c>
    </row>
    <row r="336" spans="37:42" x14ac:dyDescent="0.15">
      <c r="AK336" s="10">
        <v>326</v>
      </c>
      <c r="AL336" s="10">
        <f>MAX($AK336-积分赛!$C$7,0)*$AH$7/30</f>
        <v>3517.2137642618468</v>
      </c>
      <c r="AM336" s="10">
        <f>MAX($AK336-积分赛!$C$7,0)*$AH$7/30</f>
        <v>3517.2137642618468</v>
      </c>
      <c r="AN336" s="10">
        <f>MAX($AK336-积分赛!$C$7,0)*$AH$7/30</f>
        <v>3517.2137642618468</v>
      </c>
      <c r="AO336" s="10">
        <f>MAX($AK336-积分赛!$C$7,0)*$AH$7/30</f>
        <v>3517.2137642618468</v>
      </c>
      <c r="AP336" s="10">
        <f>MAX($AK336-积分赛!$C$7,0)*$AH$7/30</f>
        <v>3517.2137642618468</v>
      </c>
    </row>
    <row r="337" spans="37:42" x14ac:dyDescent="0.15">
      <c r="AK337" s="10">
        <v>327</v>
      </c>
      <c r="AL337" s="10">
        <f>MAX($AK337-积分赛!$C$7,0)*$AH$7/30</f>
        <v>3529.0962431951639</v>
      </c>
      <c r="AM337" s="10">
        <f>MAX($AK337-积分赛!$C$7,0)*$AH$7/30</f>
        <v>3529.0962431951639</v>
      </c>
      <c r="AN337" s="10">
        <f>MAX($AK337-积分赛!$C$7,0)*$AH$7/30</f>
        <v>3529.0962431951639</v>
      </c>
      <c r="AO337" s="10">
        <f>MAX($AK337-积分赛!$C$7,0)*$AH$7/30</f>
        <v>3529.0962431951639</v>
      </c>
      <c r="AP337" s="10">
        <f>MAX($AK337-积分赛!$C$7,0)*$AH$7/30</f>
        <v>3529.0962431951639</v>
      </c>
    </row>
    <row r="338" spans="37:42" x14ac:dyDescent="0.15">
      <c r="AK338" s="10">
        <v>328</v>
      </c>
      <c r="AL338" s="10">
        <f>MAX($AK338-积分赛!$C$7,0)*$AH$7/30</f>
        <v>3540.978722128481</v>
      </c>
      <c r="AM338" s="10">
        <f>MAX($AK338-积分赛!$C$7,0)*$AH$7/30</f>
        <v>3540.978722128481</v>
      </c>
      <c r="AN338" s="10">
        <f>MAX($AK338-积分赛!$C$7,0)*$AH$7/30</f>
        <v>3540.978722128481</v>
      </c>
      <c r="AO338" s="10">
        <f>MAX($AK338-积分赛!$C$7,0)*$AH$7/30</f>
        <v>3540.978722128481</v>
      </c>
      <c r="AP338" s="10">
        <f>MAX($AK338-积分赛!$C$7,0)*$AH$7/30</f>
        <v>3540.978722128481</v>
      </c>
    </row>
    <row r="339" spans="37:42" x14ac:dyDescent="0.15">
      <c r="AK339" s="10">
        <v>329</v>
      </c>
      <c r="AL339" s="10">
        <f>MAX($AK339-积分赛!$C$7,0)*$AH$7/30</f>
        <v>3552.8612010617985</v>
      </c>
      <c r="AM339" s="10">
        <f>MAX($AK339-积分赛!$C$7,0)*$AH$7/30</f>
        <v>3552.8612010617985</v>
      </c>
      <c r="AN339" s="10">
        <f>MAX($AK339-积分赛!$C$7,0)*$AH$7/30</f>
        <v>3552.8612010617985</v>
      </c>
      <c r="AO339" s="10">
        <f>MAX($AK339-积分赛!$C$7,0)*$AH$7/30</f>
        <v>3552.8612010617985</v>
      </c>
      <c r="AP339" s="10">
        <f>MAX($AK339-积分赛!$C$7,0)*$AH$7/30</f>
        <v>3552.8612010617985</v>
      </c>
    </row>
    <row r="340" spans="37:42" x14ac:dyDescent="0.15">
      <c r="AK340" s="10">
        <v>330</v>
      </c>
      <c r="AL340" s="10">
        <f>MAX($AK340-积分赛!$C$7,0)*$AH$7/30</f>
        <v>3564.7436799951151</v>
      </c>
      <c r="AM340" s="10">
        <f>MAX($AK340-积分赛!$C$7,0)*$AH$7/30</f>
        <v>3564.7436799951151</v>
      </c>
      <c r="AN340" s="10">
        <f>MAX($AK340-积分赛!$C$7,0)*$AH$7/30</f>
        <v>3564.7436799951151</v>
      </c>
      <c r="AO340" s="10">
        <f>MAX($AK340-积分赛!$C$7,0)*$AH$7/30</f>
        <v>3564.7436799951151</v>
      </c>
      <c r="AP340" s="10">
        <f>MAX($AK340-积分赛!$C$7,0)*$AH$7/30</f>
        <v>3564.7436799951151</v>
      </c>
    </row>
    <row r="341" spans="37:42" x14ac:dyDescent="0.15">
      <c r="AK341" s="10">
        <v>331</v>
      </c>
      <c r="AL341" s="10">
        <f>MAX($AK341-积分赛!$C$7,0)*$AH$7/30</f>
        <v>3576.6261589284322</v>
      </c>
      <c r="AM341" s="10">
        <f>MAX($AK341-积分赛!$C$7,0)*$AH$7/30</f>
        <v>3576.6261589284322</v>
      </c>
      <c r="AN341" s="10">
        <f>MAX($AK341-积分赛!$C$7,0)*$AH$7/30</f>
        <v>3576.6261589284322</v>
      </c>
      <c r="AO341" s="10">
        <f>MAX($AK341-积分赛!$C$7,0)*$AH$7/30</f>
        <v>3576.6261589284322</v>
      </c>
      <c r="AP341" s="10">
        <f>MAX($AK341-积分赛!$C$7,0)*$AH$7/30</f>
        <v>3576.6261589284322</v>
      </c>
    </row>
    <row r="342" spans="37:42" x14ac:dyDescent="0.15">
      <c r="AK342" s="10">
        <v>332</v>
      </c>
      <c r="AL342" s="10">
        <f>MAX($AK342-积分赛!$C$7,0)*$AH$7/30</f>
        <v>3588.5086378617493</v>
      </c>
      <c r="AM342" s="10">
        <f>MAX($AK342-积分赛!$C$7,0)*$AH$7/30</f>
        <v>3588.5086378617493</v>
      </c>
      <c r="AN342" s="10">
        <f>MAX($AK342-积分赛!$C$7,0)*$AH$7/30</f>
        <v>3588.5086378617493</v>
      </c>
      <c r="AO342" s="10">
        <f>MAX($AK342-积分赛!$C$7,0)*$AH$7/30</f>
        <v>3588.5086378617493</v>
      </c>
      <c r="AP342" s="10">
        <f>MAX($AK342-积分赛!$C$7,0)*$AH$7/30</f>
        <v>3588.5086378617493</v>
      </c>
    </row>
    <row r="343" spans="37:42" x14ac:dyDescent="0.15">
      <c r="AK343" s="10">
        <v>333</v>
      </c>
      <c r="AL343" s="10">
        <f>MAX($AK343-积分赛!$C$7,0)*$AH$7/30</f>
        <v>3600.3911167950664</v>
      </c>
      <c r="AM343" s="10">
        <f>MAX($AK343-积分赛!$C$7,0)*$AH$7/30</f>
        <v>3600.3911167950664</v>
      </c>
      <c r="AN343" s="10">
        <f>MAX($AK343-积分赛!$C$7,0)*$AH$7/30</f>
        <v>3600.3911167950664</v>
      </c>
      <c r="AO343" s="10">
        <f>MAX($AK343-积分赛!$C$7,0)*$AH$7/30</f>
        <v>3600.3911167950664</v>
      </c>
      <c r="AP343" s="10">
        <f>MAX($AK343-积分赛!$C$7,0)*$AH$7/30</f>
        <v>3600.3911167950664</v>
      </c>
    </row>
    <row r="344" spans="37:42" x14ac:dyDescent="0.15">
      <c r="AK344" s="10">
        <v>334</v>
      </c>
      <c r="AL344" s="10">
        <f>MAX($AK344-积分赛!$C$7,0)*$AH$7/30</f>
        <v>3612.273595728383</v>
      </c>
      <c r="AM344" s="10">
        <f>MAX($AK344-积分赛!$C$7,0)*$AH$7/30</f>
        <v>3612.273595728383</v>
      </c>
      <c r="AN344" s="10">
        <f>MAX($AK344-积分赛!$C$7,0)*$AH$7/30</f>
        <v>3612.273595728383</v>
      </c>
      <c r="AO344" s="10">
        <f>MAX($AK344-积分赛!$C$7,0)*$AH$7/30</f>
        <v>3612.273595728383</v>
      </c>
      <c r="AP344" s="10">
        <f>MAX($AK344-积分赛!$C$7,0)*$AH$7/30</f>
        <v>3612.273595728383</v>
      </c>
    </row>
    <row r="345" spans="37:42" x14ac:dyDescent="0.15">
      <c r="AK345" s="10">
        <v>335</v>
      </c>
      <c r="AL345" s="10">
        <f>MAX($AK345-积分赛!$C$7,0)*$AH$7/30</f>
        <v>3624.1560746617006</v>
      </c>
      <c r="AM345" s="10">
        <f>MAX($AK345-积分赛!$C$7,0)*$AH$7/30</f>
        <v>3624.1560746617006</v>
      </c>
      <c r="AN345" s="10">
        <f>MAX($AK345-积分赛!$C$7,0)*$AH$7/30</f>
        <v>3624.1560746617006</v>
      </c>
      <c r="AO345" s="10">
        <f>MAX($AK345-积分赛!$C$7,0)*$AH$7/30</f>
        <v>3624.1560746617006</v>
      </c>
      <c r="AP345" s="10">
        <f>MAX($AK345-积分赛!$C$7,0)*$AH$7/30</f>
        <v>3624.1560746617006</v>
      </c>
    </row>
    <row r="346" spans="37:42" x14ac:dyDescent="0.15">
      <c r="AK346" s="10">
        <v>336</v>
      </c>
      <c r="AL346" s="10">
        <f>MAX($AK346-积分赛!$C$7,0)*$AH$7/30</f>
        <v>3636.0385535950177</v>
      </c>
      <c r="AM346" s="10">
        <f>MAX($AK346-积分赛!$C$7,0)*$AH$7/30</f>
        <v>3636.0385535950177</v>
      </c>
      <c r="AN346" s="10">
        <f>MAX($AK346-积分赛!$C$7,0)*$AH$7/30</f>
        <v>3636.0385535950177</v>
      </c>
      <c r="AO346" s="10">
        <f>MAX($AK346-积分赛!$C$7,0)*$AH$7/30</f>
        <v>3636.0385535950177</v>
      </c>
      <c r="AP346" s="10">
        <f>MAX($AK346-积分赛!$C$7,0)*$AH$7/30</f>
        <v>3636.0385535950177</v>
      </c>
    </row>
    <row r="347" spans="37:42" x14ac:dyDescent="0.15">
      <c r="AK347" s="10">
        <v>337</v>
      </c>
      <c r="AL347" s="10">
        <f>MAX($AK347-积分赛!$C$7,0)*$AH$7/30</f>
        <v>3647.9210325283343</v>
      </c>
      <c r="AM347" s="10">
        <f>MAX($AK347-积分赛!$C$7,0)*$AH$7/30</f>
        <v>3647.9210325283343</v>
      </c>
      <c r="AN347" s="10">
        <f>MAX($AK347-积分赛!$C$7,0)*$AH$7/30</f>
        <v>3647.9210325283343</v>
      </c>
      <c r="AO347" s="10">
        <f>MAX($AK347-积分赛!$C$7,0)*$AH$7/30</f>
        <v>3647.9210325283343</v>
      </c>
      <c r="AP347" s="10">
        <f>MAX($AK347-积分赛!$C$7,0)*$AH$7/30</f>
        <v>3647.9210325283343</v>
      </c>
    </row>
    <row r="348" spans="37:42" x14ac:dyDescent="0.15">
      <c r="AK348" s="10">
        <v>338</v>
      </c>
      <c r="AL348" s="10">
        <f>MAX($AK348-积分赛!$C$7,0)*$AH$7/30</f>
        <v>3659.8035114616514</v>
      </c>
      <c r="AM348" s="10">
        <f>MAX($AK348-积分赛!$C$7,0)*$AH$7/30</f>
        <v>3659.8035114616514</v>
      </c>
      <c r="AN348" s="10">
        <f>MAX($AK348-积分赛!$C$7,0)*$AH$7/30</f>
        <v>3659.8035114616514</v>
      </c>
      <c r="AO348" s="10">
        <f>MAX($AK348-积分赛!$C$7,0)*$AH$7/30</f>
        <v>3659.8035114616514</v>
      </c>
      <c r="AP348" s="10">
        <f>MAX($AK348-积分赛!$C$7,0)*$AH$7/30</f>
        <v>3659.8035114616514</v>
      </c>
    </row>
    <row r="349" spans="37:42" x14ac:dyDescent="0.15">
      <c r="AK349" s="10">
        <v>339</v>
      </c>
      <c r="AL349" s="10">
        <f>MAX($AK349-积分赛!$C$7,0)*$AH$7/30</f>
        <v>3671.6859903949685</v>
      </c>
      <c r="AM349" s="10">
        <f>MAX($AK349-积分赛!$C$7,0)*$AH$7/30</f>
        <v>3671.6859903949685</v>
      </c>
      <c r="AN349" s="10">
        <f>MAX($AK349-积分赛!$C$7,0)*$AH$7/30</f>
        <v>3671.6859903949685</v>
      </c>
      <c r="AO349" s="10">
        <f>MAX($AK349-积分赛!$C$7,0)*$AH$7/30</f>
        <v>3671.6859903949685</v>
      </c>
      <c r="AP349" s="10">
        <f>MAX($AK349-积分赛!$C$7,0)*$AH$7/30</f>
        <v>3671.6859903949685</v>
      </c>
    </row>
    <row r="350" spans="37:42" x14ac:dyDescent="0.15">
      <c r="AK350" s="10">
        <v>340</v>
      </c>
      <c r="AL350" s="10">
        <f>MAX($AK350-积分赛!$C$7,0)*$AH$7/30</f>
        <v>3683.568469328286</v>
      </c>
      <c r="AM350" s="10">
        <f>MAX($AK350-积分赛!$C$7,0)*$AH$7/30</f>
        <v>3683.568469328286</v>
      </c>
      <c r="AN350" s="10">
        <f>MAX($AK350-积分赛!$C$7,0)*$AH$7/30</f>
        <v>3683.568469328286</v>
      </c>
      <c r="AO350" s="10">
        <f>MAX($AK350-积分赛!$C$7,0)*$AH$7/30</f>
        <v>3683.568469328286</v>
      </c>
      <c r="AP350" s="10">
        <f>MAX($AK350-积分赛!$C$7,0)*$AH$7/30</f>
        <v>3683.568469328286</v>
      </c>
    </row>
    <row r="351" spans="37:42" x14ac:dyDescent="0.15">
      <c r="AK351" s="10">
        <v>341</v>
      </c>
      <c r="AL351" s="10">
        <f>MAX($AK351-积分赛!$C$7,0)*$AH$7/30</f>
        <v>3695.4509482616027</v>
      </c>
      <c r="AM351" s="10">
        <f>MAX($AK351-积分赛!$C$7,0)*$AH$7/30</f>
        <v>3695.4509482616027</v>
      </c>
      <c r="AN351" s="10">
        <f>MAX($AK351-积分赛!$C$7,0)*$AH$7/30</f>
        <v>3695.4509482616027</v>
      </c>
      <c r="AO351" s="10">
        <f>MAX($AK351-积分赛!$C$7,0)*$AH$7/30</f>
        <v>3695.4509482616027</v>
      </c>
      <c r="AP351" s="10">
        <f>MAX($AK351-积分赛!$C$7,0)*$AH$7/30</f>
        <v>3695.4509482616027</v>
      </c>
    </row>
    <row r="352" spans="37:42" x14ac:dyDescent="0.15">
      <c r="AK352" s="10">
        <v>342</v>
      </c>
      <c r="AL352" s="10">
        <f>MAX($AK352-积分赛!$C$7,0)*$AH$7/30</f>
        <v>3707.3334271949198</v>
      </c>
      <c r="AM352" s="10">
        <f>MAX($AK352-积分赛!$C$7,0)*$AH$7/30</f>
        <v>3707.3334271949198</v>
      </c>
      <c r="AN352" s="10">
        <f>MAX($AK352-积分赛!$C$7,0)*$AH$7/30</f>
        <v>3707.3334271949198</v>
      </c>
      <c r="AO352" s="10">
        <f>MAX($AK352-积分赛!$C$7,0)*$AH$7/30</f>
        <v>3707.3334271949198</v>
      </c>
      <c r="AP352" s="10">
        <f>MAX($AK352-积分赛!$C$7,0)*$AH$7/30</f>
        <v>3707.3334271949198</v>
      </c>
    </row>
    <row r="353" spans="37:42" x14ac:dyDescent="0.15">
      <c r="AK353" s="10">
        <v>343</v>
      </c>
      <c r="AL353" s="10">
        <f>MAX($AK353-积分赛!$C$7,0)*$AH$7/30</f>
        <v>3719.2159061282368</v>
      </c>
      <c r="AM353" s="10">
        <f>MAX($AK353-积分赛!$C$7,0)*$AH$7/30</f>
        <v>3719.2159061282368</v>
      </c>
      <c r="AN353" s="10">
        <f>MAX($AK353-积分赛!$C$7,0)*$AH$7/30</f>
        <v>3719.2159061282368</v>
      </c>
      <c r="AO353" s="10">
        <f>MAX($AK353-积分赛!$C$7,0)*$AH$7/30</f>
        <v>3719.2159061282368</v>
      </c>
      <c r="AP353" s="10">
        <f>MAX($AK353-积分赛!$C$7,0)*$AH$7/30</f>
        <v>3719.2159061282368</v>
      </c>
    </row>
    <row r="354" spans="37:42" x14ac:dyDescent="0.15">
      <c r="AK354" s="10">
        <v>344</v>
      </c>
      <c r="AL354" s="10">
        <f>MAX($AK354-积分赛!$C$7,0)*$AH$7/30</f>
        <v>3731.0983850615539</v>
      </c>
      <c r="AM354" s="10">
        <f>MAX($AK354-积分赛!$C$7,0)*$AH$7/30</f>
        <v>3731.0983850615539</v>
      </c>
      <c r="AN354" s="10">
        <f>MAX($AK354-积分赛!$C$7,0)*$AH$7/30</f>
        <v>3731.0983850615539</v>
      </c>
      <c r="AO354" s="10">
        <f>MAX($AK354-积分赛!$C$7,0)*$AH$7/30</f>
        <v>3731.0983850615539</v>
      </c>
      <c r="AP354" s="10">
        <f>MAX($AK354-积分赛!$C$7,0)*$AH$7/30</f>
        <v>3731.0983850615539</v>
      </c>
    </row>
    <row r="355" spans="37:42" x14ac:dyDescent="0.15">
      <c r="AK355" s="10">
        <v>345</v>
      </c>
      <c r="AL355" s="10">
        <f>MAX($AK355-积分赛!$C$7,0)*$AH$7/30</f>
        <v>3742.9808639948706</v>
      </c>
      <c r="AM355" s="10">
        <f>MAX($AK355-积分赛!$C$7,0)*$AH$7/30</f>
        <v>3742.9808639948706</v>
      </c>
      <c r="AN355" s="10">
        <f>MAX($AK355-积分赛!$C$7,0)*$AH$7/30</f>
        <v>3742.9808639948706</v>
      </c>
      <c r="AO355" s="10">
        <f>MAX($AK355-积分赛!$C$7,0)*$AH$7/30</f>
        <v>3742.9808639948706</v>
      </c>
      <c r="AP355" s="10">
        <f>MAX($AK355-积分赛!$C$7,0)*$AH$7/30</f>
        <v>3742.9808639948706</v>
      </c>
    </row>
    <row r="356" spans="37:42" x14ac:dyDescent="0.15">
      <c r="AK356" s="10">
        <v>346</v>
      </c>
      <c r="AL356" s="10">
        <f>MAX($AK356-积分赛!$C$7,0)*$AH$7/30</f>
        <v>3754.8633429281881</v>
      </c>
      <c r="AM356" s="10">
        <f>MAX($AK356-积分赛!$C$7,0)*$AH$7/30</f>
        <v>3754.8633429281881</v>
      </c>
      <c r="AN356" s="10">
        <f>MAX($AK356-积分赛!$C$7,0)*$AH$7/30</f>
        <v>3754.8633429281881</v>
      </c>
      <c r="AO356" s="10">
        <f>MAX($AK356-积分赛!$C$7,0)*$AH$7/30</f>
        <v>3754.8633429281881</v>
      </c>
      <c r="AP356" s="10">
        <f>MAX($AK356-积分赛!$C$7,0)*$AH$7/30</f>
        <v>3754.8633429281881</v>
      </c>
    </row>
    <row r="357" spans="37:42" x14ac:dyDescent="0.15">
      <c r="AK357" s="10">
        <v>347</v>
      </c>
      <c r="AL357" s="10">
        <f>MAX($AK357-积分赛!$C$7,0)*$AH$7/30</f>
        <v>3766.7458218615052</v>
      </c>
      <c r="AM357" s="10">
        <f>MAX($AK357-积分赛!$C$7,0)*$AH$7/30</f>
        <v>3766.7458218615052</v>
      </c>
      <c r="AN357" s="10">
        <f>MAX($AK357-积分赛!$C$7,0)*$AH$7/30</f>
        <v>3766.7458218615052</v>
      </c>
      <c r="AO357" s="10">
        <f>MAX($AK357-积分赛!$C$7,0)*$AH$7/30</f>
        <v>3766.7458218615052</v>
      </c>
      <c r="AP357" s="10">
        <f>MAX($AK357-积分赛!$C$7,0)*$AH$7/30</f>
        <v>3766.7458218615052</v>
      </c>
    </row>
    <row r="358" spans="37:42" x14ac:dyDescent="0.15">
      <c r="AK358" s="10">
        <v>348</v>
      </c>
      <c r="AL358" s="10">
        <f>MAX($AK358-积分赛!$C$7,0)*$AH$7/30</f>
        <v>3778.6283007948223</v>
      </c>
      <c r="AM358" s="10">
        <f>MAX($AK358-积分赛!$C$7,0)*$AH$7/30</f>
        <v>3778.6283007948223</v>
      </c>
      <c r="AN358" s="10">
        <f>MAX($AK358-积分赛!$C$7,0)*$AH$7/30</f>
        <v>3778.6283007948223</v>
      </c>
      <c r="AO358" s="10">
        <f>MAX($AK358-积分赛!$C$7,0)*$AH$7/30</f>
        <v>3778.6283007948223</v>
      </c>
      <c r="AP358" s="10">
        <f>MAX($AK358-积分赛!$C$7,0)*$AH$7/30</f>
        <v>3778.6283007948223</v>
      </c>
    </row>
    <row r="359" spans="37:42" x14ac:dyDescent="0.15">
      <c r="AK359" s="10">
        <v>349</v>
      </c>
      <c r="AL359" s="10">
        <f>MAX($AK359-积分赛!$C$7,0)*$AH$7/30</f>
        <v>3790.5107797281389</v>
      </c>
      <c r="AM359" s="10">
        <f>MAX($AK359-积分赛!$C$7,0)*$AH$7/30</f>
        <v>3790.5107797281389</v>
      </c>
      <c r="AN359" s="10">
        <f>MAX($AK359-积分赛!$C$7,0)*$AH$7/30</f>
        <v>3790.5107797281389</v>
      </c>
      <c r="AO359" s="10">
        <f>MAX($AK359-积分赛!$C$7,0)*$AH$7/30</f>
        <v>3790.5107797281389</v>
      </c>
      <c r="AP359" s="10">
        <f>MAX($AK359-积分赛!$C$7,0)*$AH$7/30</f>
        <v>3790.5107797281389</v>
      </c>
    </row>
    <row r="360" spans="37:42" x14ac:dyDescent="0.15">
      <c r="AK360" s="10">
        <v>350</v>
      </c>
      <c r="AL360" s="10">
        <f>MAX($AK360-积分赛!$C$7,0)*$AH$7/30</f>
        <v>3802.393258661456</v>
      </c>
      <c r="AM360" s="10">
        <f>MAX($AK360-积分赛!$C$7,0)*$AH$7/30</f>
        <v>3802.393258661456</v>
      </c>
      <c r="AN360" s="10">
        <f>MAX($AK360-积分赛!$C$7,0)*$AH$7/30</f>
        <v>3802.393258661456</v>
      </c>
      <c r="AO360" s="10">
        <f>MAX($AK360-积分赛!$C$7,0)*$AH$7/30</f>
        <v>3802.393258661456</v>
      </c>
      <c r="AP360" s="10">
        <f>MAX($AK360-积分赛!$C$7,0)*$AH$7/30</f>
        <v>3802.393258661456</v>
      </c>
    </row>
    <row r="361" spans="37:42" x14ac:dyDescent="0.15">
      <c r="AK361" s="10">
        <v>351</v>
      </c>
      <c r="AL361" s="10">
        <f>MAX($AK361-积分赛!$C$7,0)*$AH$7/30</f>
        <v>3814.2757375947735</v>
      </c>
      <c r="AM361" s="10">
        <f>MAX($AK361-积分赛!$C$7,0)*$AH$7/30</f>
        <v>3814.2757375947735</v>
      </c>
      <c r="AN361" s="10">
        <f>MAX($AK361-积分赛!$C$7,0)*$AH$7/30</f>
        <v>3814.2757375947735</v>
      </c>
      <c r="AO361" s="10">
        <f>MAX($AK361-积分赛!$C$7,0)*$AH$7/30</f>
        <v>3814.2757375947735</v>
      </c>
      <c r="AP361" s="10">
        <f>MAX($AK361-积分赛!$C$7,0)*$AH$7/30</f>
        <v>3814.2757375947735</v>
      </c>
    </row>
    <row r="362" spans="37:42" x14ac:dyDescent="0.15">
      <c r="AK362" s="10">
        <v>352</v>
      </c>
      <c r="AL362" s="10">
        <f>MAX($AK362-积分赛!$C$7,0)*$AH$7/30</f>
        <v>3826.1582165280902</v>
      </c>
      <c r="AM362" s="10">
        <f>MAX($AK362-积分赛!$C$7,0)*$AH$7/30</f>
        <v>3826.1582165280902</v>
      </c>
      <c r="AN362" s="10">
        <f>MAX($AK362-积分赛!$C$7,0)*$AH$7/30</f>
        <v>3826.1582165280902</v>
      </c>
      <c r="AO362" s="10">
        <f>MAX($AK362-积分赛!$C$7,0)*$AH$7/30</f>
        <v>3826.1582165280902</v>
      </c>
      <c r="AP362" s="10">
        <f>MAX($AK362-积分赛!$C$7,0)*$AH$7/30</f>
        <v>3826.1582165280902</v>
      </c>
    </row>
    <row r="363" spans="37:42" x14ac:dyDescent="0.15">
      <c r="AK363" s="10">
        <v>353</v>
      </c>
      <c r="AL363" s="10">
        <f>MAX($AK363-积分赛!$C$7,0)*$AH$7/30</f>
        <v>3838.0406954614073</v>
      </c>
      <c r="AM363" s="10">
        <f>MAX($AK363-积分赛!$C$7,0)*$AH$7/30</f>
        <v>3838.0406954614073</v>
      </c>
      <c r="AN363" s="10">
        <f>MAX($AK363-积分赛!$C$7,0)*$AH$7/30</f>
        <v>3838.0406954614073</v>
      </c>
      <c r="AO363" s="10">
        <f>MAX($AK363-积分赛!$C$7,0)*$AH$7/30</f>
        <v>3838.0406954614073</v>
      </c>
      <c r="AP363" s="10">
        <f>MAX($AK363-积分赛!$C$7,0)*$AH$7/30</f>
        <v>3838.0406954614073</v>
      </c>
    </row>
    <row r="364" spans="37:42" x14ac:dyDescent="0.15">
      <c r="AK364" s="10">
        <v>354</v>
      </c>
      <c r="AL364" s="10">
        <f>MAX($AK364-积分赛!$C$7,0)*$AH$7/30</f>
        <v>3849.9231743947244</v>
      </c>
      <c r="AM364" s="10">
        <f>MAX($AK364-积分赛!$C$7,0)*$AH$7/30</f>
        <v>3849.9231743947244</v>
      </c>
      <c r="AN364" s="10">
        <f>MAX($AK364-积分赛!$C$7,0)*$AH$7/30</f>
        <v>3849.9231743947244</v>
      </c>
      <c r="AO364" s="10">
        <f>MAX($AK364-积分赛!$C$7,0)*$AH$7/30</f>
        <v>3849.9231743947244</v>
      </c>
      <c r="AP364" s="10">
        <f>MAX($AK364-积分赛!$C$7,0)*$AH$7/30</f>
        <v>3849.9231743947244</v>
      </c>
    </row>
    <row r="365" spans="37:42" x14ac:dyDescent="0.15">
      <c r="AK365" s="10">
        <v>355</v>
      </c>
      <c r="AL365" s="10">
        <f>MAX($AK365-积分赛!$C$7,0)*$AH$7/30</f>
        <v>3861.8056533280414</v>
      </c>
      <c r="AM365" s="10">
        <f>MAX($AK365-积分赛!$C$7,0)*$AH$7/30</f>
        <v>3861.8056533280414</v>
      </c>
      <c r="AN365" s="10">
        <f>MAX($AK365-积分赛!$C$7,0)*$AH$7/30</f>
        <v>3861.8056533280414</v>
      </c>
      <c r="AO365" s="10">
        <f>MAX($AK365-积分赛!$C$7,0)*$AH$7/30</f>
        <v>3861.8056533280414</v>
      </c>
      <c r="AP365" s="10">
        <f>MAX($AK365-积分赛!$C$7,0)*$AH$7/30</f>
        <v>3861.8056533280414</v>
      </c>
    </row>
    <row r="366" spans="37:42" x14ac:dyDescent="0.15">
      <c r="AK366" s="10">
        <v>356</v>
      </c>
      <c r="AL366" s="10">
        <f>MAX($AK366-积分赛!$C$7,0)*$AH$7/30</f>
        <v>3873.6881322613581</v>
      </c>
      <c r="AM366" s="10">
        <f>MAX($AK366-积分赛!$C$7,0)*$AH$7/30</f>
        <v>3873.6881322613581</v>
      </c>
      <c r="AN366" s="10">
        <f>MAX($AK366-积分赛!$C$7,0)*$AH$7/30</f>
        <v>3873.6881322613581</v>
      </c>
      <c r="AO366" s="10">
        <f>MAX($AK366-积分赛!$C$7,0)*$AH$7/30</f>
        <v>3873.6881322613581</v>
      </c>
      <c r="AP366" s="10">
        <f>MAX($AK366-积分赛!$C$7,0)*$AH$7/30</f>
        <v>3873.6881322613581</v>
      </c>
    </row>
    <row r="367" spans="37:42" x14ac:dyDescent="0.15">
      <c r="AK367" s="10">
        <v>357</v>
      </c>
      <c r="AL367" s="10">
        <f>MAX($AK367-积分赛!$C$7,0)*$AH$7/30</f>
        <v>3885.5706111946756</v>
      </c>
      <c r="AM367" s="10">
        <f>MAX($AK367-积分赛!$C$7,0)*$AH$7/30</f>
        <v>3885.5706111946756</v>
      </c>
      <c r="AN367" s="10">
        <f>MAX($AK367-积分赛!$C$7,0)*$AH$7/30</f>
        <v>3885.5706111946756</v>
      </c>
      <c r="AO367" s="10">
        <f>MAX($AK367-积分赛!$C$7,0)*$AH$7/30</f>
        <v>3885.5706111946756</v>
      </c>
      <c r="AP367" s="10">
        <f>MAX($AK367-积分赛!$C$7,0)*$AH$7/30</f>
        <v>3885.5706111946756</v>
      </c>
    </row>
    <row r="368" spans="37:42" x14ac:dyDescent="0.15">
      <c r="AK368" s="10">
        <v>358</v>
      </c>
      <c r="AL368" s="10">
        <f>MAX($AK368-积分赛!$C$7,0)*$AH$7/30</f>
        <v>3897.4530901279927</v>
      </c>
      <c r="AM368" s="10">
        <f>MAX($AK368-积分赛!$C$7,0)*$AH$7/30</f>
        <v>3897.4530901279927</v>
      </c>
      <c r="AN368" s="10">
        <f>MAX($AK368-积分赛!$C$7,0)*$AH$7/30</f>
        <v>3897.4530901279927</v>
      </c>
      <c r="AO368" s="10">
        <f>MAX($AK368-积分赛!$C$7,0)*$AH$7/30</f>
        <v>3897.4530901279927</v>
      </c>
      <c r="AP368" s="10">
        <f>MAX($AK368-积分赛!$C$7,0)*$AH$7/30</f>
        <v>3897.4530901279927</v>
      </c>
    </row>
    <row r="369" spans="37:42" x14ac:dyDescent="0.15">
      <c r="AK369" s="10">
        <v>359</v>
      </c>
      <c r="AL369" s="10">
        <f>MAX($AK369-积分赛!$C$7,0)*$AH$7/30</f>
        <v>3909.3355690613098</v>
      </c>
      <c r="AM369" s="10">
        <f>MAX($AK369-积分赛!$C$7,0)*$AH$7/30</f>
        <v>3909.3355690613098</v>
      </c>
      <c r="AN369" s="10">
        <f>MAX($AK369-积分赛!$C$7,0)*$AH$7/30</f>
        <v>3909.3355690613098</v>
      </c>
      <c r="AO369" s="10">
        <f>MAX($AK369-积分赛!$C$7,0)*$AH$7/30</f>
        <v>3909.3355690613098</v>
      </c>
      <c r="AP369" s="10">
        <f>MAX($AK369-积分赛!$C$7,0)*$AH$7/30</f>
        <v>3909.3355690613098</v>
      </c>
    </row>
    <row r="370" spans="37:42" x14ac:dyDescent="0.15">
      <c r="AK370" s="10">
        <v>360</v>
      </c>
      <c r="AL370" s="10">
        <f>MAX($AK370-积分赛!$C$7,0)*$AH$7/30</f>
        <v>3921.2180479946264</v>
      </c>
      <c r="AM370" s="10">
        <f>MAX($AK370-积分赛!$C$7,0)*$AH$7/30</f>
        <v>3921.2180479946264</v>
      </c>
      <c r="AN370" s="10">
        <f>MAX($AK370-积分赛!$C$7,0)*$AH$7/30</f>
        <v>3921.2180479946264</v>
      </c>
      <c r="AO370" s="10">
        <f>MAX($AK370-积分赛!$C$7,0)*$AH$7/30</f>
        <v>3921.2180479946264</v>
      </c>
      <c r="AP370" s="10">
        <f>MAX($AK370-积分赛!$C$7,0)*$AH$7/30</f>
        <v>3921.2180479946264</v>
      </c>
    </row>
  </sheetData>
  <mergeCells count="2">
    <mergeCell ref="AL9:AP9"/>
    <mergeCell ref="AS9:AW9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BE130-125D-451B-882F-D41A4E5ABE54}">
  <dimension ref="A1:U35"/>
  <sheetViews>
    <sheetView tabSelected="1" workbookViewId="0">
      <selection activeCell="U31" sqref="U31"/>
    </sheetView>
  </sheetViews>
  <sheetFormatPr defaultRowHeight="11.25" x14ac:dyDescent="0.15"/>
  <cols>
    <col min="1" max="1" width="9" style="18"/>
    <col min="2" max="3" width="9" style="10"/>
    <col min="4" max="4" width="8.5" style="10" customWidth="1"/>
    <col min="5" max="5" width="9" style="10"/>
    <col min="6" max="6" width="17.25" style="10" bestFit="1" customWidth="1"/>
    <col min="7" max="8" width="9" style="10"/>
    <col min="9" max="9" width="17.25" style="10" bestFit="1" customWidth="1"/>
    <col min="10" max="15" width="9" style="10"/>
    <col min="16" max="16" width="13.875" style="10" bestFit="1" customWidth="1"/>
    <col min="17" max="16384" width="9" style="10"/>
  </cols>
  <sheetData>
    <row r="1" spans="1:21" x14ac:dyDescent="0.15">
      <c r="A1" s="18" t="s">
        <v>174</v>
      </c>
      <c r="D1" s="21">
        <f>积分赛!$C$8*积分赛!$G$22*积分赛!$AV$6+积分赛!BU7+晋级赛!U7+晋级赛!BC10</f>
        <v>1980000</v>
      </c>
    </row>
    <row r="2" spans="1:21" x14ac:dyDescent="0.15">
      <c r="A2" s="10">
        <v>1</v>
      </c>
      <c r="B2" s="10" t="s">
        <v>81</v>
      </c>
      <c r="C2" s="10" t="s">
        <v>84</v>
      </c>
      <c r="D2" s="21">
        <f>王者铸币!D2</f>
        <v>0.01</v>
      </c>
      <c r="E2" s="10" t="s">
        <v>85</v>
      </c>
    </row>
    <row r="3" spans="1:21" x14ac:dyDescent="0.15">
      <c r="A3" s="18" t="s">
        <v>212</v>
      </c>
      <c r="D3" s="21">
        <v>10</v>
      </c>
      <c r="E3" s="10" t="s">
        <v>213</v>
      </c>
    </row>
    <row r="6" spans="1:21" x14ac:dyDescent="0.15">
      <c r="F6" s="22" t="s">
        <v>195</v>
      </c>
    </row>
    <row r="8" spans="1:21" x14ac:dyDescent="0.15">
      <c r="F8" s="10" t="s">
        <v>171</v>
      </c>
      <c r="G8" s="10" t="s">
        <v>172</v>
      </c>
      <c r="H8" s="10" t="s">
        <v>170</v>
      </c>
      <c r="I8" s="10" t="s">
        <v>175</v>
      </c>
      <c r="J8" s="10" t="s">
        <v>173</v>
      </c>
      <c r="P8" s="20" t="s">
        <v>220</v>
      </c>
      <c r="Q8" s="20"/>
      <c r="R8" s="20"/>
      <c r="S8" s="20"/>
      <c r="T8" s="20"/>
    </row>
    <row r="9" spans="1:21" x14ac:dyDescent="0.15">
      <c r="F9" s="20" t="s">
        <v>189</v>
      </c>
      <c r="G9" s="10">
        <v>1</v>
      </c>
      <c r="H9" s="28">
        <f>道具投放节奏!$E$26</f>
        <v>3000</v>
      </c>
      <c r="I9" s="10">
        <v>300000</v>
      </c>
      <c r="J9" s="10">
        <f>I9*$D$2/H9</f>
        <v>1</v>
      </c>
      <c r="P9" s="20" t="s">
        <v>215</v>
      </c>
      <c r="Q9" s="20" t="s">
        <v>186</v>
      </c>
      <c r="R9" s="20" t="s">
        <v>182</v>
      </c>
      <c r="S9" s="20" t="s">
        <v>170</v>
      </c>
      <c r="T9" s="20" t="s">
        <v>110</v>
      </c>
    </row>
    <row r="10" spans="1:21" x14ac:dyDescent="0.15">
      <c r="F10" s="10" t="s">
        <v>190</v>
      </c>
      <c r="G10" s="10">
        <v>1</v>
      </c>
      <c r="H10" s="28">
        <f>道具投放节奏!$E$26</f>
        <v>3000</v>
      </c>
      <c r="I10" s="10">
        <v>300000</v>
      </c>
      <c r="J10" s="10">
        <f t="shared" ref="J10:J11" si="0">I10*$D$2/H10</f>
        <v>1</v>
      </c>
      <c r="P10" s="20" t="s">
        <v>208</v>
      </c>
      <c r="Q10" s="20">
        <v>1</v>
      </c>
      <c r="R10" s="20">
        <v>2000</v>
      </c>
      <c r="S10" s="20">
        <f>INDEX(道具投放节奏!$K:$K,MATCH(P10,道具投放节奏!$D:$D,0))*R10/SUM($R$10:$R$17)*Q10</f>
        <v>53.333333333333336</v>
      </c>
      <c r="T10" s="20">
        <f>SUM(S10:S17)</f>
        <v>442</v>
      </c>
      <c r="U10" s="10">
        <f>$D$1/$I$21*$R10/SUM($R$10:$R$17)*Q10</f>
        <v>13.2</v>
      </c>
    </row>
    <row r="11" spans="1:21" x14ac:dyDescent="0.15">
      <c r="F11" s="10" t="s">
        <v>205</v>
      </c>
      <c r="G11" s="10">
        <v>1</v>
      </c>
      <c r="H11" s="28">
        <f>道具投放节奏!$E$26</f>
        <v>3000</v>
      </c>
      <c r="I11" s="10">
        <v>300000</v>
      </c>
      <c r="J11" s="10">
        <f t="shared" si="0"/>
        <v>1</v>
      </c>
      <c r="P11" s="20" t="s">
        <v>207</v>
      </c>
      <c r="Q11" s="20">
        <v>1</v>
      </c>
      <c r="R11" s="20">
        <v>1000</v>
      </c>
      <c r="S11" s="20">
        <f>INDEX(道具投放节奏!$K:$K,MATCH(P11,道具投放节奏!$D:$D,0))*R11/SUM($R$10:$R$17)*Q11</f>
        <v>6.666666666666667</v>
      </c>
      <c r="T11" s="20"/>
      <c r="U11" s="10">
        <f t="shared" ref="U11:U17" si="1">$D$1/$I$21*$R11/SUM($R$10:$R$17)*Q11</f>
        <v>6.6</v>
      </c>
    </row>
    <row r="12" spans="1:21" x14ac:dyDescent="0.15">
      <c r="F12" s="10" t="s">
        <v>178</v>
      </c>
      <c r="G12" s="10">
        <v>5</v>
      </c>
      <c r="H12" s="27">
        <f>INDEX(道具投放节奏!$E:$E,MATCH(F12,道具投放节奏!$D:$D,0))</f>
        <v>240</v>
      </c>
      <c r="I12" s="10">
        <v>25000</v>
      </c>
      <c r="J12" s="10">
        <f>I12*$D$2/H12</f>
        <v>1.0416666666666667</v>
      </c>
      <c r="L12" s="10">
        <f t="shared" ref="L12:L18" si="2">G12*I12*10</f>
        <v>1250000</v>
      </c>
      <c r="P12" s="20" t="s">
        <v>233</v>
      </c>
      <c r="Q12" s="20">
        <v>3</v>
      </c>
      <c r="R12" s="20">
        <v>2000</v>
      </c>
      <c r="S12" s="20">
        <f>INDEX(道具投放节奏!$K:$K,MATCH(P12,道具投放节奏!$D:$D,0))*R12/SUM($R$10:$R$17)*Q12</f>
        <v>160</v>
      </c>
      <c r="T12" s="20"/>
      <c r="U12" s="10">
        <f t="shared" si="1"/>
        <v>39.599999999999994</v>
      </c>
    </row>
    <row r="13" spans="1:21" x14ac:dyDescent="0.15">
      <c r="F13" s="10" t="s">
        <v>177</v>
      </c>
      <c r="G13" s="10">
        <v>5</v>
      </c>
      <c r="H13" s="27">
        <f>INDEX(道具投放节奏!$E:$E,MATCH(F13,道具投放节奏!$D:$D,0))</f>
        <v>300</v>
      </c>
      <c r="I13" s="10">
        <v>30000</v>
      </c>
      <c r="J13" s="10">
        <f t="shared" ref="J13:J21" si="3">I13*$D$2/H13</f>
        <v>1</v>
      </c>
      <c r="L13" s="10">
        <f t="shared" si="2"/>
        <v>1500000</v>
      </c>
      <c r="P13" s="20" t="s">
        <v>216</v>
      </c>
      <c r="Q13" s="20">
        <v>1</v>
      </c>
      <c r="R13" s="20">
        <v>500</v>
      </c>
      <c r="S13" s="20">
        <f>INDEX(道具投放节奏!$K:$K,MATCH(P13,道具投放节奏!$D:$D,0))*R13/SUM($R$10:$R$17)*Q13</f>
        <v>150</v>
      </c>
      <c r="T13" s="20"/>
      <c r="U13" s="10">
        <f t="shared" si="1"/>
        <v>3.3</v>
      </c>
    </row>
    <row r="14" spans="1:21" x14ac:dyDescent="0.15">
      <c r="F14" s="10" t="s">
        <v>176</v>
      </c>
      <c r="G14" s="10">
        <v>2</v>
      </c>
      <c r="H14" s="27">
        <f>INDEX(道具投放节奏!$E:$E,MATCH(F14,道具投放节奏!$D:$D,0))</f>
        <v>300</v>
      </c>
      <c r="I14" s="10">
        <v>35000</v>
      </c>
      <c r="J14" s="10">
        <f t="shared" si="3"/>
        <v>1.1666666666666667</v>
      </c>
      <c r="L14" s="10">
        <f t="shared" si="2"/>
        <v>700000</v>
      </c>
      <c r="P14" s="20" t="s">
        <v>217</v>
      </c>
      <c r="Q14" s="20">
        <v>1</v>
      </c>
      <c r="R14" s="20">
        <v>500</v>
      </c>
      <c r="S14" s="20">
        <f>INDEX(道具投放节奏!$K:$K,MATCH(P14,道具投放节奏!$D:$D,0))*R14/SUM($R$10:$R$17)*Q14</f>
        <v>50</v>
      </c>
      <c r="T14" s="20"/>
      <c r="U14" s="10">
        <f t="shared" si="1"/>
        <v>3.3</v>
      </c>
    </row>
    <row r="15" spans="1:21" x14ac:dyDescent="0.15">
      <c r="F15" s="10" t="s">
        <v>191</v>
      </c>
      <c r="G15" s="10">
        <v>5</v>
      </c>
      <c r="H15" s="28">
        <f>道具投放节奏!$E$4/30</f>
        <v>160</v>
      </c>
      <c r="I15" s="10">
        <v>15000</v>
      </c>
      <c r="J15" s="10">
        <f t="shared" si="3"/>
        <v>0.9375</v>
      </c>
      <c r="L15" s="10">
        <f t="shared" si="2"/>
        <v>750000</v>
      </c>
      <c r="P15" s="20" t="s">
        <v>218</v>
      </c>
      <c r="Q15" s="20">
        <v>1</v>
      </c>
      <c r="R15" s="20">
        <v>2000</v>
      </c>
      <c r="S15" s="20">
        <f>INDEX(道具投放节奏!$K:$K,MATCH(P15,道具投放节奏!$D:$D,0))*R15/SUM($R$10:$R$17)*Q15</f>
        <v>6</v>
      </c>
      <c r="T15" s="20"/>
      <c r="U15" s="10">
        <f t="shared" si="1"/>
        <v>13.2</v>
      </c>
    </row>
    <row r="16" spans="1:21" x14ac:dyDescent="0.15">
      <c r="F16" s="10" t="s">
        <v>192</v>
      </c>
      <c r="G16" s="10">
        <v>5</v>
      </c>
      <c r="H16" s="28">
        <f>道具投放节奏!$E$4/30</f>
        <v>160</v>
      </c>
      <c r="I16" s="10">
        <v>15000</v>
      </c>
      <c r="J16" s="10">
        <f t="shared" si="3"/>
        <v>0.9375</v>
      </c>
      <c r="L16" s="10">
        <f t="shared" si="2"/>
        <v>750000</v>
      </c>
      <c r="P16" s="20" t="s">
        <v>219</v>
      </c>
      <c r="Q16" s="20">
        <v>1</v>
      </c>
      <c r="R16" s="20">
        <v>2000</v>
      </c>
      <c r="S16" s="20">
        <f>INDEX(道具投放节奏!$K:$K,MATCH(P16,道具投放节奏!$D:$D,0))*R16/SUM($R$10:$R$17)*Q16</f>
        <v>16</v>
      </c>
      <c r="T16" s="20"/>
      <c r="U16" s="10">
        <f t="shared" si="1"/>
        <v>13.2</v>
      </c>
    </row>
    <row r="17" spans="6:20" x14ac:dyDescent="0.15">
      <c r="F17" s="10" t="s">
        <v>193</v>
      </c>
      <c r="G17" s="10">
        <v>5</v>
      </c>
      <c r="H17" s="28">
        <f>道具投放节奏!$E$4/30</f>
        <v>160</v>
      </c>
      <c r="I17" s="10">
        <v>15000</v>
      </c>
      <c r="J17" s="10">
        <f t="shared" si="3"/>
        <v>0.9375</v>
      </c>
      <c r="L17" s="10">
        <f t="shared" si="2"/>
        <v>750000</v>
      </c>
      <c r="P17" s="20"/>
      <c r="Q17" s="20"/>
      <c r="R17" s="20"/>
      <c r="S17" s="20"/>
      <c r="T17" s="20"/>
    </row>
    <row r="18" spans="6:20" x14ac:dyDescent="0.15">
      <c r="F18" s="10" t="s">
        <v>194</v>
      </c>
      <c r="G18" s="10">
        <v>5</v>
      </c>
      <c r="H18" s="28">
        <f>道具投放节奏!$E$4/30</f>
        <v>160</v>
      </c>
      <c r="I18" s="10">
        <v>15000</v>
      </c>
      <c r="J18" s="10">
        <f t="shared" si="3"/>
        <v>0.9375</v>
      </c>
      <c r="L18" s="10">
        <f t="shared" si="2"/>
        <v>750000</v>
      </c>
    </row>
    <row r="19" spans="6:20" x14ac:dyDescent="0.15">
      <c r="F19" s="10" t="s">
        <v>206</v>
      </c>
      <c r="G19" s="10">
        <v>15</v>
      </c>
      <c r="H19" s="27">
        <f>INDEX(道具投放节奏!$E:$E,MATCH(F19,道具投放节奏!$D:$D,0))</f>
        <v>33.333333333333336</v>
      </c>
      <c r="I19" s="10">
        <v>3000</v>
      </c>
      <c r="J19" s="10">
        <f t="shared" si="3"/>
        <v>0.89999999999999991</v>
      </c>
      <c r="L19" s="10">
        <f>G19*I19*10</f>
        <v>450000</v>
      </c>
    </row>
    <row r="20" spans="6:20" x14ac:dyDescent="0.15">
      <c r="F20" s="10" t="s">
        <v>214</v>
      </c>
      <c r="G20" s="10">
        <v>15</v>
      </c>
      <c r="H20" s="27">
        <f>INDEX(道具投放节奏!$E:$E,MATCH(F20,道具投放节奏!$D:$D,0))</f>
        <v>66.666666666666671</v>
      </c>
      <c r="I20" s="10">
        <v>15000</v>
      </c>
      <c r="J20" s="10">
        <f t="shared" si="3"/>
        <v>2.25</v>
      </c>
      <c r="L20" s="10">
        <f>G20*I20*10</f>
        <v>2250000</v>
      </c>
      <c r="R20" s="10">
        <f>SUM($R$10:$R$17)</f>
        <v>10000</v>
      </c>
    </row>
    <row r="21" spans="6:20" x14ac:dyDescent="0.15">
      <c r="F21" s="10" t="s">
        <v>221</v>
      </c>
      <c r="G21" s="10">
        <v>5</v>
      </c>
      <c r="H21" s="28">
        <f>$T$10</f>
        <v>442</v>
      </c>
      <c r="I21" s="10">
        <v>30000</v>
      </c>
      <c r="J21" s="10">
        <f t="shared" si="3"/>
        <v>0.67873303167420818</v>
      </c>
    </row>
    <row r="23" spans="6:20" x14ac:dyDescent="0.15">
      <c r="F23" s="10" t="s">
        <v>209</v>
      </c>
      <c r="I23" s="10">
        <f>SUMPRODUCT(G9:G22,I9:I22)*$D$3</f>
        <v>19650000</v>
      </c>
    </row>
    <row r="24" spans="6:20" x14ac:dyDescent="0.15">
      <c r="F24" s="10" t="s">
        <v>211</v>
      </c>
      <c r="I24" s="10">
        <f>SUMPRODUCT(G12:G13,I12:I13)*$D$3+SUM(I9:I11)+G20*I20*$D$3</f>
        <v>5900000</v>
      </c>
    </row>
    <row r="30" spans="6:20" x14ac:dyDescent="0.15">
      <c r="G30" s="10" t="s">
        <v>228</v>
      </c>
      <c r="H30" s="10" t="s">
        <v>230</v>
      </c>
      <c r="I30" s="10" t="s">
        <v>231</v>
      </c>
      <c r="J30" s="10" t="s">
        <v>232</v>
      </c>
    </row>
    <row r="31" spans="6:20" x14ac:dyDescent="0.15">
      <c r="F31" s="10" t="s">
        <v>223</v>
      </c>
      <c r="G31" s="10">
        <f>积分赛!$C$8*积分赛!$G$22*积分赛!$AV$6</f>
        <v>630000</v>
      </c>
      <c r="H31" s="10">
        <f>积分赛!BU10</f>
        <v>75000</v>
      </c>
      <c r="I31" s="10">
        <v>0</v>
      </c>
      <c r="J31" s="10">
        <f>晋级赛!$BC$10</f>
        <v>100000</v>
      </c>
      <c r="L31" s="29">
        <f>G31/SUM($G31:$J31)</f>
        <v>0.78260869565217395</v>
      </c>
      <c r="M31" s="29">
        <f t="shared" ref="M31:P31" si="4">H31/SUM($G31:$J31)</f>
        <v>9.3167701863354033E-2</v>
      </c>
      <c r="N31" s="29">
        <f t="shared" si="4"/>
        <v>0</v>
      </c>
      <c r="O31" s="29">
        <f t="shared" si="4"/>
        <v>0.12422360248447205</v>
      </c>
      <c r="Q31" s="10">
        <f>SUM(G31:J31)/SUM($G$31:$J$31)</f>
        <v>1</v>
      </c>
    </row>
    <row r="32" spans="6:20" x14ac:dyDescent="0.15">
      <c r="F32" s="10" t="s">
        <v>224</v>
      </c>
      <c r="G32" s="10">
        <f>积分赛!$C$8*积分赛!$G$22*积分赛!$AV$6</f>
        <v>630000</v>
      </c>
      <c r="H32" s="10">
        <f>积分赛!BU9</f>
        <v>100000</v>
      </c>
      <c r="I32" s="10">
        <f>晋级赛!U11</f>
        <v>180000</v>
      </c>
      <c r="J32" s="10">
        <f>晋级赛!$BC$10</f>
        <v>100000</v>
      </c>
      <c r="L32" s="29">
        <f t="shared" ref="L32:L35" si="5">G32/SUM($G32:$J32)</f>
        <v>0.62376237623762376</v>
      </c>
      <c r="M32" s="29">
        <f t="shared" ref="M32:M35" si="6">H32/SUM($G32:$J32)</f>
        <v>9.9009900990099015E-2</v>
      </c>
      <c r="N32" s="29">
        <f t="shared" ref="N32:N35" si="7">I32/SUM($G32:$J32)</f>
        <v>0.17821782178217821</v>
      </c>
      <c r="O32" s="29">
        <f t="shared" ref="O32:O35" si="8">J32/SUM($G32:$J32)</f>
        <v>9.9009900990099015E-2</v>
      </c>
      <c r="Q32" s="10">
        <f t="shared" ref="Q32:Q35" si="9">SUM(G32:J32)/SUM($G$31:$J$31)</f>
        <v>1.2546583850931676</v>
      </c>
    </row>
    <row r="33" spans="6:17" x14ac:dyDescent="0.15">
      <c r="F33" s="10" t="s">
        <v>225</v>
      </c>
      <c r="G33" s="10">
        <f>积分赛!$C$8*积分赛!$G$22*积分赛!$AV$6</f>
        <v>630000</v>
      </c>
      <c r="H33" s="10">
        <f>积分赛!BU8</f>
        <v>150000</v>
      </c>
      <c r="I33" s="10">
        <f>晋级赛!U10</f>
        <v>250000</v>
      </c>
      <c r="J33" s="10">
        <f>晋级赛!$BC$10</f>
        <v>100000</v>
      </c>
      <c r="L33" s="29">
        <f t="shared" si="5"/>
        <v>0.55752212389380529</v>
      </c>
      <c r="M33" s="29">
        <f t="shared" si="6"/>
        <v>0.13274336283185842</v>
      </c>
      <c r="N33" s="29">
        <f t="shared" si="7"/>
        <v>0.22123893805309736</v>
      </c>
      <c r="O33" s="29">
        <f t="shared" si="8"/>
        <v>8.8495575221238937E-2</v>
      </c>
      <c r="Q33" s="10">
        <f t="shared" si="9"/>
        <v>1.4037267080745341</v>
      </c>
    </row>
    <row r="34" spans="6:17" x14ac:dyDescent="0.15">
      <c r="F34" s="10" t="s">
        <v>226</v>
      </c>
      <c r="G34" s="10">
        <f>积分赛!$C$8*积分赛!$G$22*积分赛!$AV$6</f>
        <v>630000</v>
      </c>
      <c r="H34" s="10">
        <f>积分赛!BU7</f>
        <v>250000</v>
      </c>
      <c r="I34" s="10">
        <f>晋级赛!U8</f>
        <v>600000</v>
      </c>
      <c r="J34" s="10">
        <f>晋级赛!$BC$10</f>
        <v>100000</v>
      </c>
      <c r="L34" s="29">
        <f t="shared" si="5"/>
        <v>0.39873417721518989</v>
      </c>
      <c r="M34" s="29">
        <f t="shared" si="6"/>
        <v>0.15822784810126583</v>
      </c>
      <c r="N34" s="29">
        <f t="shared" si="7"/>
        <v>0.379746835443038</v>
      </c>
      <c r="O34" s="29">
        <f t="shared" si="8"/>
        <v>6.3291139240506333E-2</v>
      </c>
      <c r="Q34" s="10">
        <f t="shared" si="9"/>
        <v>1.9627329192546583</v>
      </c>
    </row>
    <row r="35" spans="6:17" x14ac:dyDescent="0.15">
      <c r="F35" s="10" t="s">
        <v>227</v>
      </c>
      <c r="G35" s="10">
        <f>积分赛!$C$8*积分赛!$G$22*积分赛!$AV$6</f>
        <v>630000</v>
      </c>
      <c r="H35" s="10">
        <f>积分赛!BU7</f>
        <v>250000</v>
      </c>
      <c r="I35" s="10">
        <f>晋级赛!U7</f>
        <v>1000000</v>
      </c>
      <c r="J35" s="10">
        <f>晋级赛!$BC$10</f>
        <v>100000</v>
      </c>
      <c r="L35" s="29">
        <f t="shared" si="5"/>
        <v>0.31818181818181818</v>
      </c>
      <c r="M35" s="29">
        <f t="shared" si="6"/>
        <v>0.12626262626262627</v>
      </c>
      <c r="N35" s="29">
        <f t="shared" si="7"/>
        <v>0.50505050505050508</v>
      </c>
      <c r="O35" s="29">
        <f t="shared" si="8"/>
        <v>5.0505050505050504E-2</v>
      </c>
      <c r="Q35" s="10">
        <f t="shared" si="9"/>
        <v>2.4596273291925468</v>
      </c>
    </row>
  </sheetData>
  <phoneticPr fontId="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E0802-45BE-4616-8D22-F8A27DC9018D}">
  <dimension ref="B1:AF505"/>
  <sheetViews>
    <sheetView topLeftCell="A151" workbookViewId="0">
      <selection activeCell="L183" sqref="L183"/>
    </sheetView>
  </sheetViews>
  <sheetFormatPr defaultColWidth="6.625" defaultRowHeight="11.25" x14ac:dyDescent="0.15"/>
  <cols>
    <col min="1" max="3" width="6.625" style="20"/>
    <col min="4" max="4" width="22.25" style="20" bestFit="1" customWidth="1"/>
    <col min="5" max="5" width="15.5" style="20" customWidth="1"/>
    <col min="6" max="11" width="6.625" style="20"/>
    <col min="12" max="12" width="62.125" style="20" bestFit="1" customWidth="1"/>
    <col min="13" max="14" width="6.625" style="20"/>
    <col min="15" max="15" width="7.5" style="20" bestFit="1" customWidth="1"/>
    <col min="16" max="16" width="16.25" style="20" customWidth="1"/>
    <col min="17" max="17" width="24.375" style="20" customWidth="1"/>
    <col min="18" max="18" width="17.25" style="20" bestFit="1" customWidth="1"/>
    <col min="19" max="19" width="11.375" style="20" bestFit="1" customWidth="1"/>
    <col min="20" max="16384" width="6.625" style="20"/>
  </cols>
  <sheetData>
    <row r="1" spans="2:17" x14ac:dyDescent="0.15">
      <c r="B1" s="19" t="s">
        <v>165</v>
      </c>
      <c r="P1" s="20" t="s">
        <v>166</v>
      </c>
    </row>
    <row r="2" spans="2:17" x14ac:dyDescent="0.15">
      <c r="F2" s="20" t="s">
        <v>167</v>
      </c>
      <c r="G2" s="20" t="s">
        <v>168</v>
      </c>
      <c r="H2" s="20" t="s">
        <v>169</v>
      </c>
      <c r="I2" s="20" t="s">
        <v>167</v>
      </c>
      <c r="J2" s="20" t="s">
        <v>168</v>
      </c>
      <c r="K2" s="20" t="s">
        <v>169</v>
      </c>
    </row>
    <row r="3" spans="2:17" x14ac:dyDescent="0.15">
      <c r="C3" s="26" t="str">
        <f>IF([2]道具信息!C3="","",[2]道具信息!C3)</f>
        <v>sid</v>
      </c>
      <c r="D3" s="26" t="str">
        <f>IF([2]道具信息!D3="","",[2]道具信息!D3)</f>
        <v>名称</v>
      </c>
      <c r="E3" s="26" t="str">
        <f>IF([2]道具信息!E3="","",[2]道具信息!E3)</f>
        <v>价格</v>
      </c>
      <c r="F3" s="26" t="str">
        <f>IF([2]道具信息!F3="","",[2]道具信息!F3)</f>
        <v>调整参数</v>
      </c>
      <c r="G3" s="26" t="str">
        <f>IF([2]道具信息!G3="","",[2]道具信息!G3)</f>
        <v>调整参数</v>
      </c>
      <c r="H3" s="26" t="str">
        <f>IF([2]道具信息!H3="","",[2]道具信息!H3)</f>
        <v>调整参数</v>
      </c>
      <c r="I3" s="26" t="str">
        <f>IF([2]道具信息!I3="","",[2]道具信息!I3)</f>
        <v>实际价格</v>
      </c>
      <c r="J3" s="26" t="str">
        <f>IF([2]道具信息!J3="","",[2]道具信息!J3)</f>
        <v>实际价格</v>
      </c>
      <c r="K3" s="26" t="str">
        <f>IF([2]道具信息!K3="","",[2]道具信息!K3)</f>
        <v>实际价格</v>
      </c>
      <c r="L3" s="26" t="str">
        <f>IF([2]道具信息!L3="","",[2]道具信息!L3)</f>
        <v>描述</v>
      </c>
      <c r="M3" s="26" t="str">
        <f>IF([2]道具信息!M3="","",[2]道具信息!M3)</f>
        <v/>
      </c>
      <c r="N3" s="26" t="str">
        <f>IF([2]道具信息!N3="","",[2]道具信息!N3)</f>
        <v/>
      </c>
      <c r="O3" s="26" t="str">
        <f>IF([2]道具信息!O3="","",[2]道具信息!O3)</f>
        <v/>
      </c>
      <c r="P3" s="26" t="str">
        <f>IF([2]道具信息!P3="","",[2]道具信息!P3)</f>
        <v>buff效果</v>
      </c>
      <c r="Q3" s="26" t="str">
        <f>IF([2]道具信息!Q3="","",[2]道具信息!Q3)</f>
        <v>单位价值（100%加成/天）</v>
      </c>
    </row>
    <row r="4" spans="2:17" x14ac:dyDescent="0.15">
      <c r="C4" s="26" t="str">
        <f>IF([2]道具信息!C4="","",[2]道具信息!C4)</f>
        <v/>
      </c>
      <c r="D4" s="26" t="str">
        <f>IF([2]道具信息!D4="","",[2]道具信息!D4)</f>
        <v>橙色指定武将</v>
      </c>
      <c r="E4" s="26">
        <f>IF([2]道具信息!E4="","",[2]道具信息!E4)</f>
        <v>4800</v>
      </c>
      <c r="F4" s="26">
        <f>IF([2]道具信息!F4="","",[2]道具信息!F4)</f>
        <v>1</v>
      </c>
      <c r="G4" s="26">
        <f>IF([2]道具信息!G4="","",[2]道具信息!G4)</f>
        <v>1</v>
      </c>
      <c r="H4" s="26">
        <f>IF([2]道具信息!H4="","",[2]道具信息!H4)</f>
        <v>1</v>
      </c>
      <c r="I4" s="26">
        <f>IF([2]道具信息!I4="","",[2]道具信息!I4)</f>
        <v>4800</v>
      </c>
      <c r="J4" s="26">
        <f>IF([2]道具信息!J4="","",[2]道具信息!J4)</f>
        <v>4800</v>
      </c>
      <c r="K4" s="26">
        <f>IF([2]道具信息!K4="","",[2]道具信息!K4)</f>
        <v>4800</v>
      </c>
      <c r="L4" s="26" t="str">
        <f>IF([2]道具信息!L4="","",[2]道具信息!L4)</f>
        <v>120武将</v>
      </c>
      <c r="M4" s="26" t="str">
        <f>IF([2]道具信息!M4="","",[2]道具信息!M4)</f>
        <v/>
      </c>
      <c r="N4" s="26" t="str">
        <f>IF([2]道具信息!N4="","",[2]道具信息!N4)</f>
        <v/>
      </c>
      <c r="O4" s="26" t="str">
        <f>IF([2]道具信息!O4="","",[2]道具信息!O4)</f>
        <v/>
      </c>
      <c r="P4" s="26" t="str">
        <f>IF([2]道具信息!P4="","",[2]道具信息!P4)</f>
        <v>城建加速/天</v>
      </c>
      <c r="Q4" s="26">
        <f>IF([2]道具信息!Q4="","",[2]道具信息!Q4)</f>
        <v>6552.6677404559396</v>
      </c>
    </row>
    <row r="5" spans="2:17" x14ac:dyDescent="0.15">
      <c r="C5" s="26" t="str">
        <f>IF([2]道具信息!C5="","",[2]道具信息!C5)</f>
        <v/>
      </c>
      <c r="D5" s="26" t="str">
        <f>IF([2]道具信息!D5="","",[2]道具信息!D5)</f>
        <v>紫色指定武将</v>
      </c>
      <c r="E5" s="26">
        <f>IF([2]道具信息!E5="","",[2]道具信息!E5)</f>
        <v>540</v>
      </c>
      <c r="F5" s="26">
        <f>IF([2]道具信息!F5="","",[2]道具信息!F5)</f>
        <v>1</v>
      </c>
      <c r="G5" s="26">
        <f>IF([2]道具信息!G5="","",[2]道具信息!G5)</f>
        <v>1</v>
      </c>
      <c r="H5" s="26">
        <f>IF([2]道具信息!H5="","",[2]道具信息!H5)</f>
        <v>1</v>
      </c>
      <c r="I5" s="26">
        <f>IF([2]道具信息!I5="","",[2]道具信息!I5)</f>
        <v>540</v>
      </c>
      <c r="J5" s="26">
        <f>IF([2]道具信息!J5="","",[2]道具信息!J5)</f>
        <v>540</v>
      </c>
      <c r="K5" s="26">
        <f>IF([2]道具信息!K5="","",[2]道具信息!K5)</f>
        <v>540</v>
      </c>
      <c r="L5" s="26" t="str">
        <f>IF([2]道具信息!L5="","",[2]道具信息!L5)</f>
        <v>110武将</v>
      </c>
      <c r="M5" s="26" t="str">
        <f>IF([2]道具信息!M5="","",[2]道具信息!M5)</f>
        <v/>
      </c>
      <c r="N5" s="26" t="str">
        <f>IF([2]道具信息!N5="","",[2]道具信息!N5)</f>
        <v/>
      </c>
      <c r="O5" s="26" t="str">
        <f>IF([2]道具信息!O5="","",[2]道具信息!O5)</f>
        <v/>
      </c>
      <c r="P5" s="26" t="str">
        <f>IF([2]道具信息!P5="","",[2]道具信息!P5)</f>
        <v>招募加速/天</v>
      </c>
      <c r="Q5" s="26">
        <f>IF([2]道具信息!Q5="","",[2]道具信息!Q5)</f>
        <v>1286.2045615471407</v>
      </c>
    </row>
    <row r="6" spans="2:17" x14ac:dyDescent="0.15">
      <c r="C6" s="26" t="str">
        <f>IF([2]道具信息!C6="","",[2]道具信息!C6)</f>
        <v/>
      </c>
      <c r="D6" s="26" t="str">
        <f>IF([2]道具信息!D6="","",[2]道具信息!D6)</f>
        <v>125指定武将</v>
      </c>
      <c r="E6" s="26">
        <f>IF([2]道具信息!E6="","",[2]道具信息!E6)</f>
        <v>10800</v>
      </c>
      <c r="F6" s="26">
        <f>IF([2]道具信息!F6="","",[2]道具信息!F6)</f>
        <v>1</v>
      </c>
      <c r="G6" s="26">
        <f>IF([2]道具信息!G6="","",[2]道具信息!G6)</f>
        <v>1</v>
      </c>
      <c r="H6" s="26">
        <f>IF([2]道具信息!H6="","",[2]道具信息!H6)</f>
        <v>1</v>
      </c>
      <c r="I6" s="26">
        <f>IF([2]道具信息!I6="","",[2]道具信息!I6)</f>
        <v>10800</v>
      </c>
      <c r="J6" s="26">
        <f>IF([2]道具信息!J6="","",[2]道具信息!J6)</f>
        <v>10800</v>
      </c>
      <c r="K6" s="26">
        <f>IF([2]道具信息!K6="","",[2]道具信息!K6)</f>
        <v>10800</v>
      </c>
      <c r="L6" s="26" t="str">
        <f>IF([2]道具信息!L6="","",[2]道具信息!L6)</f>
        <v>125武将</v>
      </c>
      <c r="M6" s="26" t="str">
        <f>IF([2]道具信息!M6="","",[2]道具信息!M6)</f>
        <v/>
      </c>
      <c r="N6" s="26" t="str">
        <f>IF([2]道具信息!N6="","",[2]道具信息!N6)</f>
        <v/>
      </c>
      <c r="O6" s="26" t="str">
        <f>IF([2]道具信息!O6="","",[2]道具信息!O6)</f>
        <v/>
      </c>
      <c r="P6" s="26" t="str">
        <f>IF([2]道具信息!P6="","",[2]道具信息!P6)</f>
        <v>治疗加速/天</v>
      </c>
      <c r="Q6" s="26">
        <f>IF([2]道具信息!Q6="","",[2]道具信息!Q6)</f>
        <v>526.54062836196033</v>
      </c>
    </row>
    <row r="7" spans="2:17" x14ac:dyDescent="0.15">
      <c r="C7" s="26" t="str">
        <f>IF([2]道具信息!C7="","",[2]道具信息!C7)</f>
        <v/>
      </c>
      <c r="D7" s="26" t="str">
        <f>IF([2]道具信息!D7="","",[2]道具信息!D7)</f>
        <v>橙+指定武将</v>
      </c>
      <c r="E7" s="26">
        <f>IF([2]道具信息!E7="","",[2]道具信息!E7)</f>
        <v>14400</v>
      </c>
      <c r="F7" s="26">
        <f>IF([2]道具信息!F7="","",[2]道具信息!F7)</f>
        <v>1</v>
      </c>
      <c r="G7" s="26">
        <f>IF([2]道具信息!G7="","",[2]道具信息!G7)</f>
        <v>1</v>
      </c>
      <c r="H7" s="26">
        <f>IF([2]道具信息!H7="","",[2]道具信息!H7)</f>
        <v>1</v>
      </c>
      <c r="I7" s="26">
        <f>IF([2]道具信息!I7="","",[2]道具信息!I7)</f>
        <v>14400</v>
      </c>
      <c r="J7" s="26">
        <f>IF([2]道具信息!J7="","",[2]道具信息!J7)</f>
        <v>14400</v>
      </c>
      <c r="K7" s="26">
        <f>IF([2]道具信息!K7="","",[2]道具信息!K7)</f>
        <v>14400</v>
      </c>
      <c r="L7" s="26" t="str">
        <f>IF([2]道具信息!L7="","",[2]道具信息!L7)</f>
        <v>130武将</v>
      </c>
      <c r="M7" s="26" t="str">
        <f>IF([2]道具信息!M7="","",[2]道具信息!M7)</f>
        <v/>
      </c>
      <c r="N7" s="26" t="str">
        <f>IF([2]道具信息!N7="","",[2]道具信息!N7)</f>
        <v/>
      </c>
      <c r="O7" s="26" t="str">
        <f>IF([2]道具信息!O7="","",[2]道具信息!O7)</f>
        <v/>
      </c>
      <c r="P7" s="26" t="str">
        <f>IF([2]道具信息!P7="","",[2]道具信息!P7)</f>
        <v>训练加速/天</v>
      </c>
      <c r="Q7" s="26">
        <f>IF([2]道具信息!Q7="","",[2]道具信息!Q7)</f>
        <v>3154.4832610096737</v>
      </c>
    </row>
    <row r="8" spans="2:17" x14ac:dyDescent="0.15">
      <c r="C8" s="26" t="str">
        <f>IF([2]道具信息!C8="","",[2]道具信息!C8)</f>
        <v/>
      </c>
      <c r="D8" s="26" t="str">
        <f>IF([2]道具信息!D8="","",[2]道具信息!D8)</f>
        <v>125指定武将碎片</v>
      </c>
      <c r="E8" s="26">
        <f>IF([2]道具信息!E8="","",[2]道具信息!E8)</f>
        <v>360</v>
      </c>
      <c r="F8" s="26">
        <f>IF([2]道具信息!F8="","",[2]道具信息!F8)</f>
        <v>1</v>
      </c>
      <c r="G8" s="26">
        <f>IF([2]道具信息!G8="","",[2]道具信息!G8)</f>
        <v>1</v>
      </c>
      <c r="H8" s="26">
        <f>IF([2]道具信息!H8="","",[2]道具信息!H8)</f>
        <v>1</v>
      </c>
      <c r="I8" s="26">
        <f>IF([2]道具信息!I8="","",[2]道具信息!I8)</f>
        <v>360</v>
      </c>
      <c r="J8" s="26">
        <f>IF([2]道具信息!J8="","",[2]道具信息!J8)</f>
        <v>360</v>
      </c>
      <c r="K8" s="26">
        <f>IF([2]道具信息!K8="","",[2]道具信息!K8)</f>
        <v>360</v>
      </c>
      <c r="L8" s="26" t="str">
        <f>IF([2]道具信息!L8="","",[2]道具信息!L8)</f>
        <v>125武将碎片</v>
      </c>
      <c r="M8" s="26" t="str">
        <f>IF([2]道具信息!M8="","",[2]道具信息!M8)</f>
        <v/>
      </c>
      <c r="N8" s="26" t="str">
        <f>IF([2]道具信息!N8="","",[2]道具信息!N8)</f>
        <v/>
      </c>
      <c r="O8" s="26" t="str">
        <f>IF([2]道具信息!O8="","",[2]道具信息!O8)</f>
        <v/>
      </c>
      <c r="P8" s="26" t="str">
        <f>IF([2]道具信息!P8="","",[2]道具信息!P8)</f>
        <v/>
      </c>
      <c r="Q8" s="26" t="str">
        <f>IF([2]道具信息!Q8="","",[2]道具信息!Q8)</f>
        <v/>
      </c>
    </row>
    <row r="9" spans="2:17" x14ac:dyDescent="0.15">
      <c r="C9" s="26" t="str">
        <f>IF([2]道具信息!C9="","",[2]道具信息!C9)</f>
        <v/>
      </c>
      <c r="D9" s="26" t="str">
        <f>IF([2]道具信息!D9="","",[2]道具信息!D9)</f>
        <v>橙+指定武将碎片</v>
      </c>
      <c r="E9" s="26">
        <f>IF([2]道具信息!E9="","",[2]道具信息!E9)</f>
        <v>480</v>
      </c>
      <c r="F9" s="26">
        <f>IF([2]道具信息!F9="","",[2]道具信息!F9)</f>
        <v>1</v>
      </c>
      <c r="G9" s="26">
        <f>IF([2]道具信息!G9="","",[2]道具信息!G9)</f>
        <v>1</v>
      </c>
      <c r="H9" s="26">
        <f>IF([2]道具信息!H9="","",[2]道具信息!H9)</f>
        <v>1</v>
      </c>
      <c r="I9" s="26">
        <f>IF([2]道具信息!I9="","",[2]道具信息!I9)</f>
        <v>480</v>
      </c>
      <c r="J9" s="26">
        <f>IF([2]道具信息!J9="","",[2]道具信息!J9)</f>
        <v>480</v>
      </c>
      <c r="K9" s="26">
        <f>IF([2]道具信息!K9="","",[2]道具信息!K9)</f>
        <v>480</v>
      </c>
      <c r="L9" s="26" t="str">
        <f>IF([2]道具信息!L9="","",[2]道具信息!L9)</f>
        <v>130武将碎片</v>
      </c>
      <c r="M9" s="26" t="str">
        <f>IF([2]道具信息!M9="","",[2]道具信息!M9)</f>
        <v/>
      </c>
      <c r="N9" s="26" t="str">
        <f>IF([2]道具信息!N9="","",[2]道具信息!N9)</f>
        <v/>
      </c>
      <c r="O9" s="26" t="str">
        <f>IF([2]道具信息!O9="","",[2]道具信息!O9)</f>
        <v/>
      </c>
      <c r="P9" s="26" t="str">
        <f>IF([2]道具信息!P9="","",[2]道具信息!P9)</f>
        <v/>
      </c>
      <c r="Q9" s="26" t="str">
        <f>IF([2]道具信息!Q9="","",[2]道具信息!Q9)</f>
        <v/>
      </c>
    </row>
    <row r="10" spans="2:17" x14ac:dyDescent="0.15">
      <c r="C10" s="26" t="str">
        <f>IF([2]道具信息!C10="","",[2]道具信息!C10)</f>
        <v/>
      </c>
      <c r="D10" s="26" t="str">
        <f>IF([2]道具信息!D10="","",[2]道具信息!D10)</f>
        <v>140指定武将</v>
      </c>
      <c r="E10" s="26">
        <f>IF([2]道具信息!E10="","",[2]道具信息!E10)</f>
        <v>43200</v>
      </c>
      <c r="F10" s="26">
        <f>IF([2]道具信息!F10="","",[2]道具信息!F10)</f>
        <v>1</v>
      </c>
      <c r="G10" s="26">
        <f>IF([2]道具信息!G10="","",[2]道具信息!G10)</f>
        <v>1</v>
      </c>
      <c r="H10" s="26">
        <f>IF([2]道具信息!H10="","",[2]道具信息!H10)</f>
        <v>1</v>
      </c>
      <c r="I10" s="26">
        <f>IF([2]道具信息!I10="","",[2]道具信息!I10)</f>
        <v>43200</v>
      </c>
      <c r="J10" s="26">
        <f>IF([2]道具信息!J10="","",[2]道具信息!J10)</f>
        <v>43200</v>
      </c>
      <c r="K10" s="26">
        <f>IF([2]道具信息!K10="","",[2]道具信息!K10)</f>
        <v>43200</v>
      </c>
      <c r="L10" s="26" t="str">
        <f>IF([2]道具信息!L10="","",[2]道具信息!L10)</f>
        <v/>
      </c>
      <c r="M10" s="26" t="str">
        <f>IF([2]道具信息!M10="","",[2]道具信息!M10)</f>
        <v/>
      </c>
      <c r="N10" s="26" t="str">
        <f>IF([2]道具信息!N10="","",[2]道具信息!N10)</f>
        <v/>
      </c>
      <c r="O10" s="26" t="str">
        <f>IF([2]道具信息!O10="","",[2]道具信息!O10)</f>
        <v/>
      </c>
      <c r="P10" s="26" t="str">
        <f>IF([2]道具信息!P10="","",[2]道具信息!P10)</f>
        <v>钻研加速/天</v>
      </c>
      <c r="Q10" s="26">
        <f>IF([2]道具信息!Q10="","",[2]道具信息!Q10)</f>
        <v>3395.1118588375975</v>
      </c>
    </row>
    <row r="11" spans="2:17" x14ac:dyDescent="0.15">
      <c r="C11" s="26" t="str">
        <f>IF([2]道具信息!C11="","",[2]道具信息!C11)</f>
        <v/>
      </c>
      <c r="D11" s="26" t="str">
        <f>IF([2]道具信息!D11="","",[2]道具信息!D11)</f>
        <v>140指定武将碎片</v>
      </c>
      <c r="E11" s="26">
        <f>IF([2]道具信息!E11="","",[2]道具信息!E11)</f>
        <v>864</v>
      </c>
      <c r="F11" s="26">
        <f>IF([2]道具信息!F11="","",[2]道具信息!F11)</f>
        <v>1</v>
      </c>
      <c r="G11" s="26">
        <f>IF([2]道具信息!G11="","",[2]道具信息!G11)</f>
        <v>1</v>
      </c>
      <c r="H11" s="26">
        <f>IF([2]道具信息!H11="","",[2]道具信息!H11)</f>
        <v>1</v>
      </c>
      <c r="I11" s="26">
        <f>IF([2]道具信息!I11="","",[2]道具信息!I11)</f>
        <v>864</v>
      </c>
      <c r="J11" s="26">
        <f>IF([2]道具信息!J11="","",[2]道具信息!J11)</f>
        <v>864</v>
      </c>
      <c r="K11" s="26">
        <f>IF([2]道具信息!K11="","",[2]道具信息!K11)</f>
        <v>864</v>
      </c>
      <c r="L11" s="26" t="str">
        <f>IF([2]道具信息!L11="","",[2]道具信息!L11)</f>
        <v/>
      </c>
      <c r="M11" s="26" t="str">
        <f>IF([2]道具信息!M11="","",[2]道具信息!M11)</f>
        <v/>
      </c>
      <c r="N11" s="26" t="str">
        <f>IF([2]道具信息!N11="","",[2]道具信息!N11)</f>
        <v/>
      </c>
      <c r="O11" s="26" t="str">
        <f>IF([2]道具信息!O11="","",[2]道具信息!O11)</f>
        <v/>
      </c>
      <c r="P11" s="26" t="str">
        <f>IF([2]道具信息!P11="","",[2]道具信息!P11)</f>
        <v>木材产出加速/天</v>
      </c>
      <c r="Q11" s="26">
        <f>IF([2]道具信息!Q11="","",[2]道具信息!Q11)</f>
        <v>135.51397311474921</v>
      </c>
    </row>
    <row r="12" spans="2:17" x14ac:dyDescent="0.15">
      <c r="C12" s="26" t="str">
        <f>IF([2]道具信息!C12="","",[2]道具信息!C12)</f>
        <v/>
      </c>
      <c r="D12" s="26" t="str">
        <f>IF([2]道具信息!D12="","",[2]道具信息!D12)</f>
        <v>黄金</v>
      </c>
      <c r="E12" s="26">
        <f>IF([2]道具信息!E12="","",[2]道具信息!E12)</f>
        <v>1</v>
      </c>
      <c r="F12" s="26">
        <f>IF([2]道具信息!F12="","",[2]道具信息!F12)</f>
        <v>1</v>
      </c>
      <c r="G12" s="26">
        <f>IF([2]道具信息!G12="","",[2]道具信息!G12)</f>
        <v>1</v>
      </c>
      <c r="H12" s="26">
        <f>IF([2]道具信息!H12="","",[2]道具信息!H12)</f>
        <v>1</v>
      </c>
      <c r="I12" s="26">
        <f>IF([2]道具信息!I12="","",[2]道具信息!I12)</f>
        <v>1</v>
      </c>
      <c r="J12" s="26">
        <f>IF([2]道具信息!J12="","",[2]道具信息!J12)</f>
        <v>1</v>
      </c>
      <c r="K12" s="26">
        <f>IF([2]道具信息!K12="","",[2]道具信息!K12)</f>
        <v>1</v>
      </c>
      <c r="L12" s="26" t="str">
        <f>IF([2]道具信息!L12="","",[2]道具信息!L12)</f>
        <v/>
      </c>
      <c r="M12" s="26" t="str">
        <f>IF([2]道具信息!M12="","",[2]道具信息!M12)</f>
        <v/>
      </c>
      <c r="N12" s="26" t="str">
        <f>IF([2]道具信息!N12="","",[2]道具信息!N12)</f>
        <v/>
      </c>
      <c r="O12" s="26" t="str">
        <f>IF([2]道具信息!O12="","",[2]道具信息!O12)</f>
        <v/>
      </c>
      <c r="P12" s="26" t="str">
        <f>IF([2]道具信息!P12="","",[2]道具信息!P12)</f>
        <v>石料产出加速/天</v>
      </c>
      <c r="Q12" s="26">
        <f>IF([2]道具信息!Q12="","",[2]道具信息!Q12)</f>
        <v>135.51397311474921</v>
      </c>
    </row>
    <row r="13" spans="2:17" x14ac:dyDescent="0.15">
      <c r="C13" s="26" t="str">
        <f>IF([2]道具信息!C13="","",[2]道具信息!C13)</f>
        <v/>
      </c>
      <c r="D13" s="26" t="str">
        <f>IF([2]道具信息!D13="","",[2]道具信息!D13)</f>
        <v>粮食</v>
      </c>
      <c r="E13" s="26">
        <f>IF([2]道具信息!E13="","",[2]道具信息!E13)</f>
        <v>1.5532103913430703E-4</v>
      </c>
      <c r="F13" s="26">
        <f>IF([2]道具信息!F13="","",[2]道具信息!F13)</f>
        <v>1</v>
      </c>
      <c r="G13" s="26">
        <f>IF([2]道具信息!G13="","",[2]道具信息!G13)</f>
        <v>1</v>
      </c>
      <c r="H13" s="26">
        <f>IF([2]道具信息!H13="","",[2]道具信息!H13)</f>
        <v>0.5</v>
      </c>
      <c r="I13" s="26">
        <f>IF([2]道具信息!I13="","",[2]道具信息!I13)</f>
        <v>1.5532103913430703E-4</v>
      </c>
      <c r="J13" s="26">
        <f>IF([2]道具信息!J13="","",[2]道具信息!J13)</f>
        <v>1.5532103913430703E-4</v>
      </c>
      <c r="K13" s="26">
        <f>IF([2]道具信息!K13="","",[2]道具信息!K13)</f>
        <v>7.7660519567153514E-5</v>
      </c>
      <c r="L13" s="26" t="str">
        <f>IF([2]道具信息!L13="","",[2]道具信息!L13)</f>
        <v/>
      </c>
      <c r="M13" s="26" t="str">
        <f>IF([2]道具信息!M13="","",[2]道具信息!M13)</f>
        <v/>
      </c>
      <c r="N13" s="26" t="str">
        <f>IF([2]道具信息!N13="","",[2]道具信息!N13)</f>
        <v/>
      </c>
      <c r="O13" s="26" t="str">
        <f>IF([2]道具信息!O13="","",[2]道具信息!O13)</f>
        <v/>
      </c>
      <c r="P13" s="26" t="str">
        <f>IF([2]道具信息!P13="","",[2]道具信息!P13)</f>
        <v>铜矿产出加速/天</v>
      </c>
      <c r="Q13" s="26">
        <f>IF([2]道具信息!Q13="","",[2]道具信息!Q13)</f>
        <v>135.51397311474921</v>
      </c>
    </row>
    <row r="14" spans="2:17" x14ac:dyDescent="0.15">
      <c r="C14" s="26" t="str">
        <f>IF([2]道具信息!C14="","",[2]道具信息!C14)</f>
        <v/>
      </c>
      <c r="D14" s="26" t="str">
        <f>IF([2]道具信息!D14="","",[2]道具信息!D14)</f>
        <v>木材</v>
      </c>
      <c r="E14" s="26">
        <f>IF([2]道具信息!E14="","",[2]道具信息!E14)</f>
        <v>1.5532103913430703E-4</v>
      </c>
      <c r="F14" s="26">
        <f>IF([2]道具信息!F14="","",[2]道具信息!F14)</f>
        <v>1</v>
      </c>
      <c r="G14" s="26">
        <f>IF([2]道具信息!G14="","",[2]道具信息!G14)</f>
        <v>1</v>
      </c>
      <c r="H14" s="26">
        <f>IF([2]道具信息!H14="","",[2]道具信息!H14)</f>
        <v>0.5</v>
      </c>
      <c r="I14" s="26">
        <f>IF([2]道具信息!I14="","",[2]道具信息!I14)</f>
        <v>1.5532103913430703E-4</v>
      </c>
      <c r="J14" s="26">
        <f>IF([2]道具信息!J14="","",[2]道具信息!J14)</f>
        <v>1.5532103913430703E-4</v>
      </c>
      <c r="K14" s="26">
        <f>IF([2]道具信息!K14="","",[2]道具信息!K14)</f>
        <v>7.7660519567153514E-5</v>
      </c>
      <c r="L14" s="26" t="str">
        <f>IF([2]道具信息!L14="","",[2]道具信息!L14)</f>
        <v/>
      </c>
      <c r="M14" s="26" t="str">
        <f>IF([2]道具信息!M14="","",[2]道具信息!M14)</f>
        <v/>
      </c>
      <c r="N14" s="26" t="str">
        <f>IF([2]道具信息!N14="","",[2]道具信息!N14)</f>
        <v/>
      </c>
      <c r="O14" s="26" t="str">
        <f>IF([2]道具信息!O14="","",[2]道具信息!O14)</f>
        <v/>
      </c>
      <c r="P14" s="26" t="str">
        <f>IF([2]道具信息!P14="","",[2]道具信息!P14)</f>
        <v>粮食产出加速/天</v>
      </c>
      <c r="Q14" s="26">
        <f>IF([2]道具信息!Q14="","",[2]道具信息!Q14)</f>
        <v>135.51397311474921</v>
      </c>
    </row>
    <row r="15" spans="2:17" x14ac:dyDescent="0.15">
      <c r="C15" s="26" t="str">
        <f>IF([2]道具信息!C15="","",[2]道具信息!C15)</f>
        <v/>
      </c>
      <c r="D15" s="26" t="str">
        <f>IF([2]道具信息!D15="","",[2]道具信息!D15)</f>
        <v>石料</v>
      </c>
      <c r="E15" s="26">
        <f>IF([2]道具信息!E15="","",[2]道具信息!E15)</f>
        <v>1.5532103913430703E-4</v>
      </c>
      <c r="F15" s="26">
        <f>IF([2]道具信息!F15="","",[2]道具信息!F15)</f>
        <v>1</v>
      </c>
      <c r="G15" s="26">
        <f>IF([2]道具信息!G15="","",[2]道具信息!G15)</f>
        <v>1</v>
      </c>
      <c r="H15" s="26">
        <f>IF([2]道具信息!H15="","",[2]道具信息!H15)</f>
        <v>0.5</v>
      </c>
      <c r="I15" s="26">
        <f>IF([2]道具信息!I15="","",[2]道具信息!I15)</f>
        <v>1.5532103913430703E-4</v>
      </c>
      <c r="J15" s="26">
        <f>IF([2]道具信息!J15="","",[2]道具信息!J15)</f>
        <v>1.5532103913430703E-4</v>
      </c>
      <c r="K15" s="26">
        <f>IF([2]道具信息!K15="","",[2]道具信息!K15)</f>
        <v>7.7660519567153514E-5</v>
      </c>
      <c r="L15" s="26" t="str">
        <f>IF([2]道具信息!L15="","",[2]道具信息!L15)</f>
        <v/>
      </c>
      <c r="M15" s="26" t="str">
        <f>IF([2]道具信息!M15="","",[2]道具信息!M15)</f>
        <v/>
      </c>
      <c r="N15" s="26" t="str">
        <f>IF([2]道具信息!N15="","",[2]道具信息!N15)</f>
        <v/>
      </c>
      <c r="O15" s="26" t="str">
        <f>IF([2]道具信息!O15="","",[2]道具信息!O15)</f>
        <v/>
      </c>
      <c r="P15" s="26" t="str">
        <f>IF([2]道具信息!P15="","",[2]道具信息!P15)</f>
        <v>铁矿产出加速/天</v>
      </c>
      <c r="Q15" s="26">
        <f>IF([2]道具信息!Q15="","",[2]道具信息!Q15)</f>
        <v>203.27095967212384</v>
      </c>
    </row>
    <row r="16" spans="2:17" x14ac:dyDescent="0.15">
      <c r="C16" s="26" t="str">
        <f>IF([2]道具信息!C16="","",[2]道具信息!C16)</f>
        <v/>
      </c>
      <c r="D16" s="26" t="str">
        <f>IF([2]道具信息!D16="","",[2]道具信息!D16)</f>
        <v>铜矿</v>
      </c>
      <c r="E16" s="26">
        <f>IF([2]道具信息!E16="","",[2]道具信息!E16)</f>
        <v>1.5532103913430703E-4</v>
      </c>
      <c r="F16" s="26">
        <f>IF([2]道具信息!F16="","",[2]道具信息!F16)</f>
        <v>1</v>
      </c>
      <c r="G16" s="26">
        <f>IF([2]道具信息!G16="","",[2]道具信息!G16)</f>
        <v>1</v>
      </c>
      <c r="H16" s="26">
        <f>IF([2]道具信息!H16="","",[2]道具信息!H16)</f>
        <v>0.5</v>
      </c>
      <c r="I16" s="26">
        <f>IF([2]道具信息!I16="","",[2]道具信息!I16)</f>
        <v>1.5532103913430703E-4</v>
      </c>
      <c r="J16" s="26">
        <f>IF([2]道具信息!J16="","",[2]道具信息!J16)</f>
        <v>1.5532103913430703E-4</v>
      </c>
      <c r="K16" s="26">
        <f>IF([2]道具信息!K16="","",[2]道具信息!K16)</f>
        <v>7.7660519567153514E-5</v>
      </c>
      <c r="L16" s="26" t="str">
        <f>IF([2]道具信息!L16="","",[2]道具信息!L16)</f>
        <v/>
      </c>
      <c r="M16" s="26" t="str">
        <f>IF([2]道具信息!M16="","",[2]道具信息!M16)</f>
        <v/>
      </c>
      <c r="N16" s="26" t="str">
        <f>IF([2]道具信息!N16="","",[2]道具信息!N16)</f>
        <v/>
      </c>
      <c r="O16" s="26" t="str">
        <f>IF([2]道具信息!O16="","",[2]道具信息!O16)</f>
        <v/>
      </c>
      <c r="P16" s="26" t="str">
        <f>IF([2]道具信息!P16="","",[2]道具信息!P16)</f>
        <v>刀币产出加速/天</v>
      </c>
      <c r="Q16" s="26">
        <f>IF([2]道具信息!Q16="","",[2]道具信息!Q16)</f>
        <v>1054.300188289244</v>
      </c>
    </row>
    <row r="17" spans="3:32" x14ac:dyDescent="0.15">
      <c r="C17" s="26" t="str">
        <f>IF([2]道具信息!C17="","",[2]道具信息!C17)</f>
        <v/>
      </c>
      <c r="D17" s="26" t="str">
        <f>IF([2]道具信息!D17="","",[2]道具信息!D17)</f>
        <v>铁矿</v>
      </c>
      <c r="E17" s="26">
        <f>IF([2]道具信息!E17="","",[2]道具信息!E17)</f>
        <v>3.5829912265154037E-4</v>
      </c>
      <c r="F17" s="26">
        <f>IF([2]道具信息!F17="","",[2]道具信息!F17)</f>
        <v>1</v>
      </c>
      <c r="G17" s="26">
        <f>IF([2]道具信息!G17="","",[2]道具信息!G17)</f>
        <v>1</v>
      </c>
      <c r="H17" s="26">
        <f>IF([2]道具信息!H17="","",[2]道具信息!H17)</f>
        <v>0.5</v>
      </c>
      <c r="I17" s="26">
        <f>IF([2]道具信息!I17="","",[2]道具信息!I17)</f>
        <v>3.5829912265154037E-4</v>
      </c>
      <c r="J17" s="26">
        <f>IF([2]道具信息!J17="","",[2]道具信息!J17)</f>
        <v>3.5829912265154037E-4</v>
      </c>
      <c r="K17" s="26">
        <f>IF([2]道具信息!K17="","",[2]道具信息!K17)</f>
        <v>1.7914956132577018E-4</v>
      </c>
      <c r="L17" s="26" t="str">
        <f>IF([2]道具信息!L17="","",[2]道具信息!L17)</f>
        <v/>
      </c>
      <c r="M17" s="26" t="str">
        <f>IF([2]道具信息!M17="","",[2]道具信息!M17)</f>
        <v/>
      </c>
      <c r="N17" s="26" t="str">
        <f>IF([2]道具信息!N17="","",[2]道具信息!N17)</f>
        <v/>
      </c>
      <c r="O17" s="26" t="str">
        <f>IF([2]道具信息!O17="","",[2]道具信息!O17)</f>
        <v/>
      </c>
      <c r="P17" s="26" t="str">
        <f>IF([2]道具信息!P17="","",[2]道具信息!P17)</f>
        <v>木材采集加速/天</v>
      </c>
      <c r="Q17" s="26">
        <f>IF([2]道具信息!Q17="","",[2]道具信息!Q17)</f>
        <v>189.98875225679629</v>
      </c>
    </row>
    <row r="18" spans="3:32" x14ac:dyDescent="0.15">
      <c r="C18" s="26" t="str">
        <f>IF([2]道具信息!C18="","",[2]道具信息!C18)</f>
        <v/>
      </c>
      <c r="D18" s="26" t="str">
        <f>IF([2]道具信息!D18="","",[2]道具信息!D18)</f>
        <v>刀币</v>
      </c>
      <c r="E18" s="26">
        <f>IF([2]道具信息!E18="","",[2]道具信息!E18)</f>
        <v>1.5625000000000001E-3</v>
      </c>
      <c r="F18" s="26">
        <f>IF([2]道具信息!F18="","",[2]道具信息!F18)</f>
        <v>1</v>
      </c>
      <c r="G18" s="26">
        <f>IF([2]道具信息!G18="","",[2]道具信息!G18)</f>
        <v>1</v>
      </c>
      <c r="H18" s="26">
        <f>IF([2]道具信息!H18="","",[2]道具信息!H18)</f>
        <v>0.7</v>
      </c>
      <c r="I18" s="26">
        <f>IF([2]道具信息!I18="","",[2]道具信息!I18)</f>
        <v>1.5625000000000001E-3</v>
      </c>
      <c r="J18" s="26">
        <f>IF([2]道具信息!J18="","",[2]道具信息!J18)</f>
        <v>1.5625000000000001E-3</v>
      </c>
      <c r="K18" s="26">
        <f>IF([2]道具信息!K18="","",[2]道具信息!K18)</f>
        <v>1.0937499999999999E-3</v>
      </c>
      <c r="L18" s="26" t="str">
        <f>IF([2]道具信息!L18="","",[2]道具信息!L18)</f>
        <v/>
      </c>
      <c r="M18" s="26" t="str">
        <f>IF([2]道具信息!M18="","",[2]道具信息!M18)</f>
        <v/>
      </c>
      <c r="N18" s="26" t="str">
        <f>IF([2]道具信息!N18="","",[2]道具信息!N18)</f>
        <v/>
      </c>
      <c r="O18" s="26" t="str">
        <f>IF([2]道具信息!O18="","",[2]道具信息!O18)</f>
        <v/>
      </c>
      <c r="P18" s="26" t="str">
        <f>IF([2]道具信息!P18="","",[2]道具信息!P18)</f>
        <v>石料采集加速/天</v>
      </c>
      <c r="Q18" s="26">
        <f>IF([2]道具信息!Q18="","",[2]道具信息!Q18)</f>
        <v>189.98875225679629</v>
      </c>
    </row>
    <row r="19" spans="3:32" x14ac:dyDescent="0.15">
      <c r="C19" s="26" t="str">
        <f>IF([2]道具信息!C19="","",[2]道具信息!C19)</f>
        <v/>
      </c>
      <c r="D19" s="26" t="str">
        <f>IF([2]道具信息!D19="","",[2]道具信息!D19)</f>
        <v>玉珏</v>
      </c>
      <c r="E19" s="26">
        <f>IF([2]道具信息!E19="","",[2]道具信息!E19)</f>
        <v>1</v>
      </c>
      <c r="F19" s="26">
        <f>IF([2]道具信息!F19="","",[2]道具信息!F19)</f>
        <v>1</v>
      </c>
      <c r="G19" s="26">
        <f>IF([2]道具信息!G19="","",[2]道具信息!G19)</f>
        <v>1</v>
      </c>
      <c r="H19" s="26">
        <f>IF([2]道具信息!H19="","",[2]道具信息!H19)</f>
        <v>1</v>
      </c>
      <c r="I19" s="26">
        <f>IF([2]道具信息!I19="","",[2]道具信息!I19)</f>
        <v>1</v>
      </c>
      <c r="J19" s="26">
        <f>IF([2]道具信息!J19="","",[2]道具信息!J19)</f>
        <v>1</v>
      </c>
      <c r="K19" s="26">
        <f>IF([2]道具信息!K19="","",[2]道具信息!K19)</f>
        <v>1</v>
      </c>
      <c r="L19" s="26" t="str">
        <f>IF([2]道具信息!L19="","",[2]道具信息!L19)</f>
        <v/>
      </c>
      <c r="M19" s="26" t="str">
        <f>IF([2]道具信息!M19="","",[2]道具信息!M19)</f>
        <v/>
      </c>
      <c r="N19" s="26" t="str">
        <f>IF([2]道具信息!N19="","",[2]道具信息!N19)</f>
        <v/>
      </c>
      <c r="O19" s="26" t="str">
        <f>IF([2]道具信息!O19="","",[2]道具信息!O19)</f>
        <v/>
      </c>
      <c r="P19" s="26" t="str">
        <f>IF([2]道具信息!P19="","",[2]道具信息!P19)</f>
        <v>铜矿采集加速/天</v>
      </c>
      <c r="Q19" s="26">
        <f>IF([2]道具信息!Q19="","",[2]道具信息!Q19)</f>
        <v>189.98875225679629</v>
      </c>
    </row>
    <row r="20" spans="3:32" x14ac:dyDescent="0.15">
      <c r="C20" s="26" t="str">
        <f>IF([2]道具信息!C20="","",[2]道具信息!C20)</f>
        <v/>
      </c>
      <c r="D20" s="26" t="str">
        <f>IF([2]道具信息!D20="","",[2]道具信息!D20)</f>
        <v>清剿令</v>
      </c>
      <c r="E20" s="26">
        <f>IF([2]道具信息!E20="","",[2]道具信息!E20)</f>
        <v>75</v>
      </c>
      <c r="F20" s="26">
        <f>IF([2]道具信息!F20="","",[2]道具信息!F20)</f>
        <v>1</v>
      </c>
      <c r="G20" s="26">
        <f>IF([2]道具信息!G20="","",[2]道具信息!G20)</f>
        <v>1</v>
      </c>
      <c r="H20" s="26">
        <f>IF([2]道具信息!H20="","",[2]道具信息!H20)</f>
        <v>1</v>
      </c>
      <c r="I20" s="26">
        <f>IF([2]道具信息!I20="","",[2]道具信息!I20)</f>
        <v>75</v>
      </c>
      <c r="J20" s="26">
        <f>IF([2]道具信息!J20="","",[2]道具信息!J20)</f>
        <v>75</v>
      </c>
      <c r="K20" s="26">
        <f>IF([2]道具信息!K20="","",[2]道具信息!K20)</f>
        <v>75</v>
      </c>
      <c r="L20" s="26" t="str">
        <f>IF([2]道具信息!L20="","",[2]道具信息!L20)</f>
        <v/>
      </c>
      <c r="M20" s="26" t="str">
        <f>IF([2]道具信息!M20="","",[2]道具信息!M20)</f>
        <v/>
      </c>
      <c r="N20" s="26" t="str">
        <f>IF([2]道具信息!N20="","",[2]道具信息!N20)</f>
        <v/>
      </c>
      <c r="O20" s="26" t="str">
        <f>IF([2]道具信息!O20="","",[2]道具信息!O20)</f>
        <v/>
      </c>
      <c r="P20" s="26" t="str">
        <f>IF([2]道具信息!P20="","",[2]道具信息!P20)</f>
        <v>粮食采集加速/天</v>
      </c>
      <c r="Q20" s="26">
        <f>IF([2]道具信息!Q20="","",[2]道具信息!Q20)</f>
        <v>189.98875225679629</v>
      </c>
    </row>
    <row r="21" spans="3:32" x14ac:dyDescent="0.15">
      <c r="C21" s="26" t="str">
        <f>IF([2]道具信息!C21="","",[2]道具信息!C21)</f>
        <v/>
      </c>
      <c r="D21" s="26" t="str">
        <f>IF([2]道具信息!D21="","",[2]道具信息!D21)</f>
        <v>军团币</v>
      </c>
      <c r="E21" s="26">
        <f>IF([2]道具信息!E21="","",[2]道具信息!E21)</f>
        <v>0.1</v>
      </c>
      <c r="F21" s="26">
        <f>IF([2]道具信息!F21="","",[2]道具信息!F21)</f>
        <v>1</v>
      </c>
      <c r="G21" s="26">
        <f>IF([2]道具信息!G21="","",[2]道具信息!G21)</f>
        <v>1</v>
      </c>
      <c r="H21" s="26">
        <f>IF([2]道具信息!H21="","",[2]道具信息!H21)</f>
        <v>1</v>
      </c>
      <c r="I21" s="26">
        <f>IF([2]道具信息!I21="","",[2]道具信息!I21)</f>
        <v>0.1</v>
      </c>
      <c r="J21" s="26">
        <f>IF([2]道具信息!J21="","",[2]道具信息!J21)</f>
        <v>0.1</v>
      </c>
      <c r="K21" s="26">
        <f>IF([2]道具信息!K21="","",[2]道具信息!K21)</f>
        <v>0.1</v>
      </c>
      <c r="L21" s="26" t="str">
        <f>IF([2]道具信息!L21="","",[2]道具信息!L21)</f>
        <v/>
      </c>
      <c r="M21" s="26" t="str">
        <f>IF([2]道具信息!M21="","",[2]道具信息!M21)</f>
        <v/>
      </c>
      <c r="N21" s="26" t="str">
        <f>IF([2]道具信息!N21="","",[2]道具信息!N21)</f>
        <v/>
      </c>
      <c r="O21" s="26" t="str">
        <f>IF([2]道具信息!O21="","",[2]道具信息!O21)</f>
        <v/>
      </c>
      <c r="P21" s="26" t="str">
        <f>IF([2]道具信息!P21="","",[2]道具信息!P21)</f>
        <v>铁矿采集加速/天</v>
      </c>
      <c r="Q21" s="26">
        <f>IF([2]道具信息!Q21="","",[2]道具信息!Q21)</f>
        <v>284.98312838519439</v>
      </c>
    </row>
    <row r="22" spans="3:32" x14ac:dyDescent="0.15">
      <c r="C22" s="26" t="str">
        <f>IF([2]道具信息!C22="","",[2]道具信息!C22)</f>
        <v/>
      </c>
      <c r="D22" s="26" t="str">
        <f>IF([2]道具信息!D22="","",[2]道具信息!D22)</f>
        <v>黄金点将令</v>
      </c>
      <c r="E22" s="26">
        <f>IF([2]道具信息!E22="","",[2]道具信息!E22)</f>
        <v>240</v>
      </c>
      <c r="F22" s="26">
        <f>IF([2]道具信息!F22="","",[2]道具信息!F22)</f>
        <v>1</v>
      </c>
      <c r="G22" s="26">
        <f>IF([2]道具信息!G22="","",[2]道具信息!G22)</f>
        <v>1</v>
      </c>
      <c r="H22" s="26">
        <f>IF([2]道具信息!H22="","",[2]道具信息!H22)</f>
        <v>1</v>
      </c>
      <c r="I22" s="26">
        <f>IF([2]道具信息!I22="","",[2]道具信息!I22)</f>
        <v>240</v>
      </c>
      <c r="J22" s="26">
        <f>IF([2]道具信息!J22="","",[2]道具信息!J22)</f>
        <v>240</v>
      </c>
      <c r="K22" s="26">
        <f>IF([2]道具信息!K22="","",[2]道具信息!K22)</f>
        <v>240</v>
      </c>
      <c r="L22" s="26" t="str">
        <f>IF([2]道具信息!L22="","",[2]道具信息!L22)</f>
        <v/>
      </c>
      <c r="M22" s="26" t="str">
        <f>IF([2]道具信息!M22="","",[2]道具信息!M22)</f>
        <v/>
      </c>
      <c r="N22" s="26" t="str">
        <f>IF([2]道具信息!N22="","",[2]道具信息!N22)</f>
        <v/>
      </c>
      <c r="O22" s="26" t="str">
        <f>IF([2]道具信息!O22="","",[2]道具信息!O22)</f>
        <v/>
      </c>
      <c r="P22" s="26" t="str">
        <f>IF([2]道具信息!P22="","",[2]道具信息!P22)</f>
        <v/>
      </c>
      <c r="Q22" s="26" t="str">
        <f>IF([2]道具信息!Q22="","",[2]道具信息!Q22)</f>
        <v/>
      </c>
    </row>
    <row r="23" spans="3:32" x14ac:dyDescent="0.15">
      <c r="C23" s="26" t="str">
        <f>IF([2]道具信息!C23="","",[2]道具信息!C23)</f>
        <v/>
      </c>
      <c r="D23" s="26" t="str">
        <f>IF([2]道具信息!D23="","",[2]道具信息!D23)</f>
        <v>青铜点将令</v>
      </c>
      <c r="E23" s="26">
        <f>IF([2]道具信息!E23="","",[2]道具信息!E23)</f>
        <v>65</v>
      </c>
      <c r="F23" s="26">
        <f>IF([2]道具信息!F23="","",[2]道具信息!F23)</f>
        <v>1</v>
      </c>
      <c r="G23" s="26">
        <f>IF([2]道具信息!G23="","",[2]道具信息!G23)</f>
        <v>1</v>
      </c>
      <c r="H23" s="26">
        <f>IF([2]道具信息!H23="","",[2]道具信息!H23)</f>
        <v>1</v>
      </c>
      <c r="I23" s="26">
        <f>IF([2]道具信息!I23="","",[2]道具信息!I23)</f>
        <v>65</v>
      </c>
      <c r="J23" s="26">
        <f>IF([2]道具信息!J23="","",[2]道具信息!J23)</f>
        <v>65</v>
      </c>
      <c r="K23" s="26">
        <f>IF([2]道具信息!K23="","",[2]道具信息!K23)</f>
        <v>65</v>
      </c>
      <c r="L23" s="26" t="str">
        <f>IF([2]道具信息!L23="","",[2]道具信息!L23)</f>
        <v/>
      </c>
      <c r="M23" s="26" t="str">
        <f>IF([2]道具信息!M23="","",[2]道具信息!M23)</f>
        <v/>
      </c>
      <c r="N23" s="26" t="str">
        <f>IF([2]道具信息!N23="","",[2]道具信息!N23)</f>
        <v/>
      </c>
      <c r="O23" s="26" t="str">
        <f>IF([2]道具信息!O23="","",[2]道具信息!O23)</f>
        <v/>
      </c>
      <c r="P23" s="26" t="str">
        <f>IF([2]道具信息!P23="","",[2]道具信息!P23)</f>
        <v/>
      </c>
      <c r="Q23" s="26" t="str">
        <f>IF([2]道具信息!Q23="","",[2]道具信息!Q23)</f>
        <v/>
      </c>
    </row>
    <row r="24" spans="3:32" x14ac:dyDescent="0.15">
      <c r="C24" s="26" t="str">
        <f>IF([2]道具信息!C24="","",[2]道具信息!C24)</f>
        <v/>
      </c>
      <c r="D24" s="26" t="str">
        <f>IF([2]道具信息!D24="","",[2]道具信息!D24)</f>
        <v>信物*2、武将碎片*10、黄金600三选一（600钻）</v>
      </c>
      <c r="E24" s="26">
        <f>IF([2]道具信息!E24="","",[2]道具信息!E24)</f>
        <v>600</v>
      </c>
      <c r="F24" s="26">
        <f>IF([2]道具信息!F24="","",[2]道具信息!F24)</f>
        <v>1</v>
      </c>
      <c r="G24" s="26">
        <f>IF([2]道具信息!G24="","",[2]道具信息!G24)</f>
        <v>1</v>
      </c>
      <c r="H24" s="26">
        <f>IF([2]道具信息!H24="","",[2]道具信息!H24)</f>
        <v>1</v>
      </c>
      <c r="I24" s="26">
        <f>IF([2]道具信息!I24="","",[2]道具信息!I24)</f>
        <v>600</v>
      </c>
      <c r="J24" s="26">
        <f>IF([2]道具信息!J24="","",[2]道具信息!J24)</f>
        <v>600</v>
      </c>
      <c r="K24" s="26">
        <f>IF([2]道具信息!K24="","",[2]道具信息!K24)</f>
        <v>600</v>
      </c>
      <c r="L24" s="26" t="str">
        <f>IF([2]道具信息!L24="","",[2]道具信息!L24)</f>
        <v/>
      </c>
      <c r="M24" s="26" t="str">
        <f>IF([2]道具信息!M24="","",[2]道具信息!M24)</f>
        <v/>
      </c>
      <c r="N24" s="26" t="str">
        <f>IF([2]道具信息!N24="","",[2]道具信息!N24)</f>
        <v/>
      </c>
      <c r="O24" s="26" t="str">
        <f>IF([2]道具信息!O24="","",[2]道具信息!O24)</f>
        <v/>
      </c>
      <c r="P24" s="26" t="str">
        <f>IF([2]道具信息!P24="","",[2]道具信息!P24)</f>
        <v/>
      </c>
      <c r="Q24" s="26" t="str">
        <f>IF([2]道具信息!Q24="","",[2]道具信息!Q24)</f>
        <v/>
      </c>
    </row>
    <row r="25" spans="3:32" x14ac:dyDescent="0.15">
      <c r="C25" s="26" t="str">
        <f>IF([2]道具信息!C25="","",[2]道具信息!C25)</f>
        <v/>
      </c>
      <c r="D25" s="26" t="str">
        <f>IF([2]道具信息!D25="","",[2]道具信息!D25)</f>
        <v>蓝色门客</v>
      </c>
      <c r="E25" s="26">
        <f>IF([2]道具信息!E25="","",[2]道具信息!E25)</f>
        <v>1000</v>
      </c>
      <c r="F25" s="26">
        <f>IF([2]道具信息!F25="","",[2]道具信息!F25)</f>
        <v>1</v>
      </c>
      <c r="G25" s="26">
        <f>IF([2]道具信息!G25="","",[2]道具信息!G25)</f>
        <v>1</v>
      </c>
      <c r="H25" s="26">
        <f>IF([2]道具信息!H25="","",[2]道具信息!H25)</f>
        <v>1</v>
      </c>
      <c r="I25" s="26">
        <f>IF([2]道具信息!I25="","",[2]道具信息!I25)</f>
        <v>1000</v>
      </c>
      <c r="J25" s="26">
        <f>IF([2]道具信息!J25="","",[2]道具信息!J25)</f>
        <v>1000</v>
      </c>
      <c r="K25" s="26">
        <f>IF([2]道具信息!K25="","",[2]道具信息!K25)</f>
        <v>1000</v>
      </c>
      <c r="L25" s="26" t="str">
        <f>IF([2]道具信息!L25="","",[2]道具信息!L25)</f>
        <v/>
      </c>
      <c r="M25" s="26" t="str">
        <f>IF([2]道具信息!M25="","",[2]道具信息!M25)</f>
        <v/>
      </c>
      <c r="N25" s="26" t="str">
        <f>IF([2]道具信息!N25="","",[2]道具信息!N25)</f>
        <v/>
      </c>
      <c r="O25" s="26" t="str">
        <f>IF([2]道具信息!O25="","",[2]道具信息!O25)</f>
        <v/>
      </c>
      <c r="P25" s="26" t="str">
        <f>IF([2]道具信息!P25="","",[2]道具信息!P25)</f>
        <v/>
      </c>
      <c r="Q25" s="26" t="str">
        <f>IF([2]道具信息!Q25="","",[2]道具信息!Q25)</f>
        <v/>
      </c>
    </row>
    <row r="26" spans="3:32" x14ac:dyDescent="0.15">
      <c r="C26" s="26" t="str">
        <f>IF([2]道具信息!C26="","",[2]道具信息!C26)</f>
        <v/>
      </c>
      <c r="D26" s="26" t="str">
        <f>IF([2]道具信息!D26="","",[2]道具信息!D26)</f>
        <v>紫色门客</v>
      </c>
      <c r="E26" s="26">
        <f>IF([2]道具信息!E26="","",[2]道具信息!E26)</f>
        <v>3000</v>
      </c>
      <c r="F26" s="26">
        <f>IF([2]道具信息!F26="","",[2]道具信息!F26)</f>
        <v>1</v>
      </c>
      <c r="G26" s="26">
        <f>IF([2]道具信息!G26="","",[2]道具信息!G26)</f>
        <v>1</v>
      </c>
      <c r="H26" s="26">
        <f>IF([2]道具信息!H26="","",[2]道具信息!H26)</f>
        <v>1</v>
      </c>
      <c r="I26" s="26">
        <f>IF([2]道具信息!I26="","",[2]道具信息!I26)</f>
        <v>3000</v>
      </c>
      <c r="J26" s="26">
        <f>IF([2]道具信息!J26="","",[2]道具信息!J26)</f>
        <v>3000</v>
      </c>
      <c r="K26" s="26">
        <f>IF([2]道具信息!K26="","",[2]道具信息!K26)</f>
        <v>3000</v>
      </c>
      <c r="L26" s="26" t="str">
        <f>IF([2]道具信息!L26="","",[2]道具信息!L26)</f>
        <v/>
      </c>
      <c r="M26" s="26" t="str">
        <f>IF([2]道具信息!M26="","",[2]道具信息!M26)</f>
        <v/>
      </c>
      <c r="N26" s="26" t="str">
        <f>IF([2]道具信息!N26="","",[2]道具信息!N26)</f>
        <v/>
      </c>
      <c r="O26" s="26" t="str">
        <f>IF([2]道具信息!O26="","",[2]道具信息!O26)</f>
        <v/>
      </c>
      <c r="P26" s="26" t="str">
        <f>IF([2]道具信息!P26="","",[2]道具信息!P26)</f>
        <v/>
      </c>
      <c r="Q26" s="26" t="str">
        <f>IF([2]道具信息!Q26="","",[2]道具信息!Q26)</f>
        <v/>
      </c>
    </row>
    <row r="27" spans="3:32" x14ac:dyDescent="0.15">
      <c r="C27" s="26" t="str">
        <f>IF([2]道具信息!C27="","",[2]道具信息!C27)</f>
        <v/>
      </c>
      <c r="D27" s="26" t="str">
        <f>IF([2]道具信息!D27="","",[2]道具信息!D27)</f>
        <v>橙色门客</v>
      </c>
      <c r="E27" s="26">
        <f>IF([2]道具信息!E27="","",[2]道具信息!E27)</f>
        <v>8000</v>
      </c>
      <c r="F27" s="26">
        <f>IF([2]道具信息!F27="","",[2]道具信息!F27)</f>
        <v>1</v>
      </c>
      <c r="G27" s="26">
        <f>IF([2]道具信息!G27="","",[2]道具信息!G27)</f>
        <v>1</v>
      </c>
      <c r="H27" s="26">
        <f>IF([2]道具信息!H27="","",[2]道具信息!H27)</f>
        <v>1</v>
      </c>
      <c r="I27" s="26">
        <f>IF([2]道具信息!I27="","",[2]道具信息!I27)</f>
        <v>8000</v>
      </c>
      <c r="J27" s="26">
        <f>IF([2]道具信息!J27="","",[2]道具信息!J27)</f>
        <v>8000</v>
      </c>
      <c r="K27" s="26">
        <f>IF([2]道具信息!K27="","",[2]道具信息!K27)</f>
        <v>8000</v>
      </c>
      <c r="L27" s="26" t="str">
        <f>IF([2]道具信息!L27="","",[2]道具信息!L27)</f>
        <v/>
      </c>
      <c r="M27" s="26" t="str">
        <f>IF([2]道具信息!M27="","",[2]道具信息!M27)</f>
        <v/>
      </c>
      <c r="N27" s="26" t="str">
        <f>IF([2]道具信息!N27="","",[2]道具信息!N27)</f>
        <v/>
      </c>
      <c r="O27" s="26" t="str">
        <f>IF([2]道具信息!O27="","",[2]道具信息!O27)</f>
        <v/>
      </c>
      <c r="P27" s="26" t="str">
        <f>IF([2]道具信息!P27="","",[2]道具信息!P27)</f>
        <v/>
      </c>
      <c r="Q27" s="26" t="str">
        <f>IF([2]道具信息!Q27="","",[2]道具信息!Q27)</f>
        <v/>
      </c>
    </row>
    <row r="28" spans="3:32" x14ac:dyDescent="0.15">
      <c r="C28" s="26" t="str">
        <f>IF([2]道具信息!C28="","",[2]道具信息!C28)</f>
        <v/>
      </c>
      <c r="D28" s="26" t="str">
        <f>IF([2]道具信息!D28="","",[2]道具信息!D28)</f>
        <v>红色门客</v>
      </c>
      <c r="E28" s="26">
        <f>IF([2]道具信息!E28="","",[2]道具信息!E28)</f>
        <v>40000</v>
      </c>
      <c r="F28" s="26">
        <f>IF([2]道具信息!F28="","",[2]道具信息!F28)</f>
        <v>1</v>
      </c>
      <c r="G28" s="26">
        <f>IF([2]道具信息!G28="","",[2]道具信息!G28)</f>
        <v>1</v>
      </c>
      <c r="H28" s="26">
        <f>IF([2]道具信息!H28="","",[2]道具信息!H28)</f>
        <v>1</v>
      </c>
      <c r="I28" s="26">
        <f>IF([2]道具信息!I28="","",[2]道具信息!I28)</f>
        <v>40000</v>
      </c>
      <c r="J28" s="26">
        <f>IF([2]道具信息!J28="","",[2]道具信息!J28)</f>
        <v>40000</v>
      </c>
      <c r="K28" s="26">
        <f>IF([2]道具信息!K28="","",[2]道具信息!K28)</f>
        <v>40000</v>
      </c>
      <c r="L28" s="26" t="str">
        <f>IF([2]道具信息!L28="","",[2]道具信息!L28)</f>
        <v/>
      </c>
      <c r="M28" s="26" t="str">
        <f>IF([2]道具信息!M28="","",[2]道具信息!M28)</f>
        <v/>
      </c>
      <c r="N28" s="26" t="str">
        <f>IF([2]道具信息!N28="","",[2]道具信息!N28)</f>
        <v/>
      </c>
      <c r="O28" s="26" t="str">
        <f>IF([2]道具信息!O28="","",[2]道具信息!O28)</f>
        <v/>
      </c>
      <c r="P28" s="26" t="str">
        <f>IF([2]道具信息!P28="","",[2]道具信息!P28)</f>
        <v/>
      </c>
      <c r="Q28" s="26" t="str">
        <f>IF([2]道具信息!Q28="","",[2]道具信息!Q28)</f>
        <v/>
      </c>
      <c r="AF28" s="20">
        <v>5</v>
      </c>
    </row>
    <row r="29" spans="3:32" x14ac:dyDescent="0.15">
      <c r="C29" s="26" t="str">
        <f>IF([2]道具信息!C29="","",[2]道具信息!C29)</f>
        <v/>
      </c>
      <c r="D29" s="26" t="str">
        <f>IF([2]道具信息!D29="","",[2]道具信息!D29)</f>
        <v>神将点将令</v>
      </c>
      <c r="E29" s="26">
        <f>IF([2]道具信息!E29="","",[2]道具信息!E29)</f>
        <v>400</v>
      </c>
      <c r="F29" s="26">
        <f>IF([2]道具信息!F29="","",[2]道具信息!F29)</f>
        <v>1</v>
      </c>
      <c r="G29" s="26">
        <f>IF([2]道具信息!G29="","",[2]道具信息!G29)</f>
        <v>1</v>
      </c>
      <c r="H29" s="26">
        <f>IF([2]道具信息!H29="","",[2]道具信息!H29)</f>
        <v>1</v>
      </c>
      <c r="I29" s="26">
        <f>IF([2]道具信息!I29="","",[2]道具信息!I29)</f>
        <v>400</v>
      </c>
      <c r="J29" s="26">
        <f>IF([2]道具信息!J29="","",[2]道具信息!J29)</f>
        <v>400</v>
      </c>
      <c r="K29" s="26">
        <f>IF([2]道具信息!K29="","",[2]道具信息!K29)</f>
        <v>400</v>
      </c>
      <c r="L29" s="26" t="str">
        <f>IF([2]道具信息!L29="","",[2]道具信息!L29)</f>
        <v/>
      </c>
      <c r="M29" s="26" t="str">
        <f>IF([2]道具信息!M29="","",[2]道具信息!M29)</f>
        <v/>
      </c>
      <c r="N29" s="26" t="str">
        <f>IF([2]道具信息!N29="","",[2]道具信息!N29)</f>
        <v/>
      </c>
      <c r="O29" s="26" t="str">
        <f>IF([2]道具信息!O29="","",[2]道具信息!O29)</f>
        <v/>
      </c>
      <c r="P29" s="26" t="str">
        <f>IF([2]道具信息!P29="","",[2]道具信息!P29)</f>
        <v/>
      </c>
      <c r="Q29" s="26" t="str">
        <f>IF([2]道具信息!Q29="","",[2]道具信息!Q29)</f>
        <v/>
      </c>
      <c r="AF29" s="20">
        <v>5</v>
      </c>
    </row>
    <row r="30" spans="3:32" x14ac:dyDescent="0.15">
      <c r="C30" s="26" t="str">
        <f>IF([2]道具信息!C30="","",[2]道具信息!C30)</f>
        <v/>
      </c>
      <c r="D30" s="26" t="str">
        <f>IF([2]道具信息!D30="","",[2]道具信息!D30)</f>
        <v>绿色军团馈赠</v>
      </c>
      <c r="E30" s="26">
        <f>IF([2]道具信息!E30="","",[2]道具信息!E30)</f>
        <v>20</v>
      </c>
      <c r="F30" s="26">
        <f>IF([2]道具信息!F30="","",[2]道具信息!F30)</f>
        <v>1</v>
      </c>
      <c r="G30" s="26">
        <f>IF([2]道具信息!G30="","",[2]道具信息!G30)</f>
        <v>1</v>
      </c>
      <c r="H30" s="26">
        <f>IF([2]道具信息!H30="","",[2]道具信息!H30)</f>
        <v>1</v>
      </c>
      <c r="I30" s="26">
        <f>IF([2]道具信息!I30="","",[2]道具信息!I30)</f>
        <v>20</v>
      </c>
      <c r="J30" s="26">
        <f>IF([2]道具信息!J30="","",[2]道具信息!J30)</f>
        <v>20</v>
      </c>
      <c r="K30" s="26">
        <f>IF([2]道具信息!K30="","",[2]道具信息!K30)</f>
        <v>20</v>
      </c>
      <c r="L30" s="26" t="str">
        <f>IF([2]道具信息!L30="","",[2]道具信息!L30)</f>
        <v/>
      </c>
      <c r="M30" s="26" t="str">
        <f>IF([2]道具信息!M30="","",[2]道具信息!M30)</f>
        <v/>
      </c>
      <c r="N30" s="26" t="str">
        <f>IF([2]道具信息!N30="","",[2]道具信息!N30)</f>
        <v/>
      </c>
      <c r="O30" s="26" t="str">
        <f>IF([2]道具信息!O30="","",[2]道具信息!O30)</f>
        <v/>
      </c>
      <c r="P30" s="26" t="str">
        <f>IF([2]道具信息!P30="","",[2]道具信息!P30)</f>
        <v/>
      </c>
      <c r="Q30" s="26" t="str">
        <f>IF([2]道具信息!Q30="","",[2]道具信息!Q30)</f>
        <v/>
      </c>
      <c r="AF30" s="20">
        <v>5</v>
      </c>
    </row>
    <row r="31" spans="3:32" x14ac:dyDescent="0.15">
      <c r="C31" s="26" t="str">
        <f>IF([2]道具信息!C31="","",[2]道具信息!C31)</f>
        <v/>
      </c>
      <c r="D31" s="26" t="str">
        <f>IF([2]道具信息!D31="","",[2]道具信息!D31)</f>
        <v>蓝色军团馈赠</v>
      </c>
      <c r="E31" s="26">
        <f>IF([2]道具信息!E31="","",[2]道具信息!E31)</f>
        <v>100</v>
      </c>
      <c r="F31" s="26">
        <f>IF([2]道具信息!F31="","",[2]道具信息!F31)</f>
        <v>1</v>
      </c>
      <c r="G31" s="26">
        <f>IF([2]道具信息!G31="","",[2]道具信息!G31)</f>
        <v>1</v>
      </c>
      <c r="H31" s="26">
        <f>IF([2]道具信息!H31="","",[2]道具信息!H31)</f>
        <v>1</v>
      </c>
      <c r="I31" s="26">
        <f>IF([2]道具信息!I31="","",[2]道具信息!I31)</f>
        <v>100</v>
      </c>
      <c r="J31" s="26">
        <f>IF([2]道具信息!J31="","",[2]道具信息!J31)</f>
        <v>100</v>
      </c>
      <c r="K31" s="26">
        <f>IF([2]道具信息!K31="","",[2]道具信息!K31)</f>
        <v>100</v>
      </c>
      <c r="L31" s="26" t="str">
        <f>IF([2]道具信息!L31="","",[2]道具信息!L31)</f>
        <v/>
      </c>
      <c r="M31" s="26" t="str">
        <f>IF([2]道具信息!M31="","",[2]道具信息!M31)</f>
        <v/>
      </c>
      <c r="N31" s="26" t="str">
        <f>IF([2]道具信息!N31="","",[2]道具信息!N31)</f>
        <v/>
      </c>
      <c r="O31" s="26" t="str">
        <f>IF([2]道具信息!O31="","",[2]道具信息!O31)</f>
        <v/>
      </c>
      <c r="P31" s="26" t="str">
        <f>IF([2]道具信息!P31="","",[2]道具信息!P31)</f>
        <v/>
      </c>
      <c r="Q31" s="26" t="str">
        <f>IF([2]道具信息!Q31="","",[2]道具信息!Q31)</f>
        <v/>
      </c>
      <c r="AF31" s="20">
        <v>5</v>
      </c>
    </row>
    <row r="32" spans="3:32" x14ac:dyDescent="0.15">
      <c r="C32" s="26" t="str">
        <f>IF([2]道具信息!C32="","",[2]道具信息!C32)</f>
        <v/>
      </c>
      <c r="D32" s="26" t="str">
        <f>IF([2]道具信息!D32="","",[2]道具信息!D32)</f>
        <v>紫色军团馈赠</v>
      </c>
      <c r="E32" s="26">
        <f>IF([2]道具信息!E32="","",[2]道具信息!E32)</f>
        <v>500</v>
      </c>
      <c r="F32" s="26">
        <f>IF([2]道具信息!F32="","",[2]道具信息!F32)</f>
        <v>1</v>
      </c>
      <c r="G32" s="26">
        <f>IF([2]道具信息!G32="","",[2]道具信息!G32)</f>
        <v>1</v>
      </c>
      <c r="H32" s="26">
        <f>IF([2]道具信息!H32="","",[2]道具信息!H32)</f>
        <v>1</v>
      </c>
      <c r="I32" s="26">
        <f>IF([2]道具信息!I32="","",[2]道具信息!I32)</f>
        <v>500</v>
      </c>
      <c r="J32" s="26">
        <f>IF([2]道具信息!J32="","",[2]道具信息!J32)</f>
        <v>500</v>
      </c>
      <c r="K32" s="26">
        <f>IF([2]道具信息!K32="","",[2]道具信息!K32)</f>
        <v>500</v>
      </c>
      <c r="L32" s="26" t="str">
        <f>IF([2]道具信息!L32="","",[2]道具信息!L32)</f>
        <v/>
      </c>
      <c r="M32" s="26" t="str">
        <f>IF([2]道具信息!M32="","",[2]道具信息!M32)</f>
        <v/>
      </c>
      <c r="N32" s="26" t="str">
        <f>IF([2]道具信息!N32="","",[2]道具信息!N32)</f>
        <v/>
      </c>
      <c r="O32" s="26" t="str">
        <f>IF([2]道具信息!O32="","",[2]道具信息!O32)</f>
        <v/>
      </c>
      <c r="P32" s="26" t="str">
        <f>IF([2]道具信息!P32="","",[2]道具信息!P32)</f>
        <v/>
      </c>
      <c r="Q32" s="26" t="str">
        <f>IF([2]道具信息!Q32="","",[2]道具信息!Q32)</f>
        <v/>
      </c>
    </row>
    <row r="33" spans="3:17" x14ac:dyDescent="0.15">
      <c r="C33" s="26" t="str">
        <f>IF([2]道具信息!C33="","",[2]道具信息!C33)</f>
        <v/>
      </c>
      <c r="D33" s="26" t="str">
        <f>IF([2]道具信息!D33="","",[2]道具信息!D33)</f>
        <v>橙色军团馈赠</v>
      </c>
      <c r="E33" s="26">
        <f>IF([2]道具信息!E33="","",[2]道具信息!E33)</f>
        <v>2000</v>
      </c>
      <c r="F33" s="26">
        <f>IF([2]道具信息!F33="","",[2]道具信息!F33)</f>
        <v>1</v>
      </c>
      <c r="G33" s="26">
        <f>IF([2]道具信息!G33="","",[2]道具信息!G33)</f>
        <v>1</v>
      </c>
      <c r="H33" s="26">
        <f>IF([2]道具信息!H33="","",[2]道具信息!H33)</f>
        <v>1</v>
      </c>
      <c r="I33" s="26">
        <f>IF([2]道具信息!I33="","",[2]道具信息!I33)</f>
        <v>2000</v>
      </c>
      <c r="J33" s="26">
        <f>IF([2]道具信息!J33="","",[2]道具信息!J33)</f>
        <v>2000</v>
      </c>
      <c r="K33" s="26">
        <f>IF([2]道具信息!K33="","",[2]道具信息!K33)</f>
        <v>2000</v>
      </c>
      <c r="L33" s="26" t="str">
        <f>IF([2]道具信息!L33="","",[2]道具信息!L33)</f>
        <v/>
      </c>
      <c r="M33" s="26" t="str">
        <f>IF([2]道具信息!M33="","",[2]道具信息!M33)</f>
        <v/>
      </c>
      <c r="N33" s="26" t="str">
        <f>IF([2]道具信息!N33="","",[2]道具信息!N33)</f>
        <v/>
      </c>
      <c r="O33" s="26" t="str">
        <f>IF([2]道具信息!O33="","",[2]道具信息!O33)</f>
        <v/>
      </c>
      <c r="P33" s="26" t="str">
        <f>IF([2]道具信息!P33="","",[2]道具信息!P33)</f>
        <v/>
      </c>
      <c r="Q33" s="26" t="str">
        <f>IF([2]道具信息!Q33="","",[2]道具信息!Q33)</f>
        <v/>
      </c>
    </row>
    <row r="34" spans="3:17" x14ac:dyDescent="0.15">
      <c r="C34" s="26" t="str">
        <f>IF([2]道具信息!C34="","",[2]道具信息!C34)</f>
        <v/>
      </c>
      <c r="D34" s="26" t="str">
        <f>IF([2]道具信息!D34="","",[2]道具信息!D34)</f>
        <v/>
      </c>
      <c r="E34" s="26" t="str">
        <f>IF([2]道具信息!E34="","",[2]道具信息!E34)</f>
        <v/>
      </c>
      <c r="F34" s="26" t="str">
        <f>IF([2]道具信息!F34="","",[2]道具信息!F34)</f>
        <v/>
      </c>
      <c r="G34" s="26" t="str">
        <f>IF([2]道具信息!G34="","",[2]道具信息!G34)</f>
        <v/>
      </c>
      <c r="H34" s="26" t="str">
        <f>IF([2]道具信息!H34="","",[2]道具信息!H34)</f>
        <v/>
      </c>
      <c r="I34" s="26" t="str">
        <f>IF([2]道具信息!I34="","",[2]道具信息!I34)</f>
        <v/>
      </c>
      <c r="J34" s="26" t="str">
        <f>IF([2]道具信息!J34="","",[2]道具信息!J34)</f>
        <v/>
      </c>
      <c r="K34" s="26" t="str">
        <f>IF([2]道具信息!K34="","",[2]道具信息!K34)</f>
        <v/>
      </c>
      <c r="L34" s="26" t="str">
        <f>IF([2]道具信息!L34="","",[2]道具信息!L34)</f>
        <v/>
      </c>
      <c r="M34" s="26" t="str">
        <f>IF([2]道具信息!M34="","",[2]道具信息!M34)</f>
        <v/>
      </c>
      <c r="N34" s="26" t="str">
        <f>IF([2]道具信息!N34="","",[2]道具信息!N34)</f>
        <v/>
      </c>
      <c r="O34" s="26" t="str">
        <f>IF([2]道具信息!O34="","",[2]道具信息!O34)</f>
        <v/>
      </c>
      <c r="P34" s="26" t="str">
        <f>IF([2]道具信息!P34="","",[2]道具信息!P34)</f>
        <v/>
      </c>
      <c r="Q34" s="26" t="str">
        <f>IF([2]道具信息!Q34="","",[2]道具信息!Q34)</f>
        <v/>
      </c>
    </row>
    <row r="35" spans="3:17" x14ac:dyDescent="0.15">
      <c r="C35" s="26" t="str">
        <f>IF([2]道具信息!C35="","",[2]道具信息!C35)</f>
        <v/>
      </c>
      <c r="D35" s="26" t="str">
        <f>IF([2]道具信息!D35="","",[2]道具信息!D35)</f>
        <v>文心</v>
      </c>
      <c r="E35" s="26">
        <f>IF([2]道具信息!E35="","",[2]道具信息!E35)</f>
        <v>0.33333333333333331</v>
      </c>
      <c r="F35" s="26">
        <f>IF([2]道具信息!F35="","",[2]道具信息!F35)</f>
        <v>1</v>
      </c>
      <c r="G35" s="26">
        <f>IF([2]道具信息!G35="","",[2]道具信息!G35)</f>
        <v>1</v>
      </c>
      <c r="H35" s="26">
        <f>IF([2]道具信息!H35="","",[2]道具信息!H35)</f>
        <v>1</v>
      </c>
      <c r="I35" s="26">
        <f>IF([2]道具信息!I35="","",[2]道具信息!I35)</f>
        <v>0.33333333333333331</v>
      </c>
      <c r="J35" s="26">
        <f>IF([2]道具信息!J35="","",[2]道具信息!J35)</f>
        <v>0.33333333333333331</v>
      </c>
      <c r="K35" s="26">
        <f>IF([2]道具信息!K35="","",[2]道具信息!K35)</f>
        <v>0.33333333333333331</v>
      </c>
      <c r="L35" s="26" t="str">
        <f>IF([2]道具信息!L35="","",[2]道具信息!L35)</f>
        <v>宝物温养货币</v>
      </c>
      <c r="M35" s="26" t="str">
        <f>IF([2]道具信息!M35="","",[2]道具信息!M35)</f>
        <v/>
      </c>
      <c r="N35" s="26" t="str">
        <f>IF([2]道具信息!N35="","",[2]道具信息!N35)</f>
        <v/>
      </c>
      <c r="O35" s="26" t="str">
        <f>IF([2]道具信息!O35="","",[2]道具信息!O35)</f>
        <v/>
      </c>
      <c r="P35" s="26" t="str">
        <f>IF([2]道具信息!P35="","",[2]道具信息!P35)</f>
        <v/>
      </c>
      <c r="Q35" s="26" t="str">
        <f>IF([2]道具信息!Q35="","",[2]道具信息!Q35)</f>
        <v/>
      </c>
    </row>
    <row r="36" spans="3:17" x14ac:dyDescent="0.15">
      <c r="C36" s="26" t="str">
        <f>IF([2]道具信息!C36="","",[2]道具信息!C36)</f>
        <v/>
      </c>
      <c r="D36" s="26" t="str">
        <f>IF([2]道具信息!D36="","",[2]道具信息!D36)</f>
        <v>宝鉴</v>
      </c>
      <c r="E36" s="26">
        <f>IF([2]道具信息!E36="","",[2]道具信息!E36)</f>
        <v>500</v>
      </c>
      <c r="F36" s="26">
        <f>IF([2]道具信息!F36="","",[2]道具信息!F36)</f>
        <v>1</v>
      </c>
      <c r="G36" s="26">
        <f>IF([2]道具信息!G36="","",[2]道具信息!G36)</f>
        <v>1</v>
      </c>
      <c r="H36" s="26">
        <f>IF([2]道具信息!H36="","",[2]道具信息!H36)</f>
        <v>1</v>
      </c>
      <c r="I36" s="26">
        <f>IF([2]道具信息!I36="","",[2]道具信息!I36)</f>
        <v>500</v>
      </c>
      <c r="J36" s="26">
        <f>IF([2]道具信息!J36="","",[2]道具信息!J36)</f>
        <v>500</v>
      </c>
      <c r="K36" s="26">
        <f>IF([2]道具信息!K36="","",[2]道具信息!K36)</f>
        <v>500</v>
      </c>
      <c r="L36" s="26" t="str">
        <f>IF([2]道具信息!L36="","",[2]道具信息!L36)</f>
        <v>鉴赏宝物属性</v>
      </c>
      <c r="M36" s="26" t="str">
        <f>IF([2]道具信息!M36="","",[2]道具信息!M36)</f>
        <v/>
      </c>
      <c r="N36" s="26" t="str">
        <f>IF([2]道具信息!N36="","",[2]道具信息!N36)</f>
        <v/>
      </c>
      <c r="O36" s="26" t="str">
        <f>IF([2]道具信息!O36="","",[2]道具信息!O36)</f>
        <v/>
      </c>
      <c r="P36" s="26" t="str">
        <f>IF([2]道具信息!P36="","",[2]道具信息!P36)</f>
        <v/>
      </c>
      <c r="Q36" s="26" t="str">
        <f>IF([2]道具信息!Q36="","",[2]道具信息!Q36)</f>
        <v/>
      </c>
    </row>
    <row r="37" spans="3:17" x14ac:dyDescent="0.15">
      <c r="C37" s="26" t="str">
        <f>IF([2]道具信息!C37="","",[2]道具信息!C37)</f>
        <v/>
      </c>
      <c r="D37" s="26" t="str">
        <f>IF([2]道具信息!D37="","",[2]道具信息!D37)</f>
        <v>密藏之匙</v>
      </c>
      <c r="E37" s="26">
        <f>IF([2]道具信息!E37="","",[2]道具信息!E37)</f>
        <v>330</v>
      </c>
      <c r="F37" s="26">
        <f>IF([2]道具信息!F37="","",[2]道具信息!F37)</f>
        <v>1</v>
      </c>
      <c r="G37" s="26">
        <f>IF([2]道具信息!G37="","",[2]道具信息!G37)</f>
        <v>1</v>
      </c>
      <c r="H37" s="26">
        <f>IF([2]道具信息!H37="","",[2]道具信息!H37)</f>
        <v>1</v>
      </c>
      <c r="I37" s="26">
        <f>IF([2]道具信息!I37="","",[2]道具信息!I37)</f>
        <v>330</v>
      </c>
      <c r="J37" s="26">
        <f>IF([2]道具信息!J37="","",[2]道具信息!J37)</f>
        <v>330</v>
      </c>
      <c r="K37" s="26">
        <f>IF([2]道具信息!K37="","",[2]道具信息!K37)</f>
        <v>330</v>
      </c>
      <c r="L37" s="26" t="str">
        <f>IF([2]道具信息!L37="","",[2]道具信息!L37)</f>
        <v>宝物抽奖道具</v>
      </c>
      <c r="M37" s="26" t="str">
        <f>IF([2]道具信息!M37="","",[2]道具信息!M37)</f>
        <v/>
      </c>
      <c r="N37" s="26" t="str">
        <f>IF([2]道具信息!N37="","",[2]道具信息!N37)</f>
        <v/>
      </c>
      <c r="O37" s="26" t="str">
        <f>IF([2]道具信息!O37="","",[2]道具信息!O37)</f>
        <v/>
      </c>
      <c r="P37" s="26" t="str">
        <f>IF([2]道具信息!P37="","",[2]道具信息!P37)</f>
        <v/>
      </c>
      <c r="Q37" s="26" t="str">
        <f>IF([2]道具信息!Q37="","",[2]道具信息!Q37)</f>
        <v/>
      </c>
    </row>
    <row r="38" spans="3:17" x14ac:dyDescent="0.15">
      <c r="C38" s="26" t="str">
        <f>IF([2]道具信息!C38="","",[2]道具信息!C38)</f>
        <v/>
      </c>
      <c r="D38" s="26" t="str">
        <f>IF([2]道具信息!D38="","",[2]道具信息!D38)</f>
        <v>宝物精华</v>
      </c>
      <c r="E38" s="26">
        <f>IF([2]道具信息!E38="","",[2]道具信息!E38)</f>
        <v>100</v>
      </c>
      <c r="F38" s="26">
        <f>IF([2]道具信息!F38="","",[2]道具信息!F38)</f>
        <v>1</v>
      </c>
      <c r="G38" s="26">
        <f>IF([2]道具信息!G38="","",[2]道具信息!G38)</f>
        <v>1</v>
      </c>
      <c r="H38" s="26">
        <f>IF([2]道具信息!H38="","",[2]道具信息!H38)</f>
        <v>1</v>
      </c>
      <c r="I38" s="26">
        <f>IF([2]道具信息!I38="","",[2]道具信息!I38)</f>
        <v>100</v>
      </c>
      <c r="J38" s="26">
        <f>IF([2]道具信息!J38="","",[2]道具信息!J38)</f>
        <v>100</v>
      </c>
      <c r="K38" s="26">
        <f>IF([2]道具信息!K38="","",[2]道具信息!K38)</f>
        <v>100</v>
      </c>
      <c r="L38" s="26" t="str">
        <f>IF([2]道具信息!L38="","",[2]道具信息!L38)</f>
        <v>宝物升星消耗货币</v>
      </c>
      <c r="M38" s="26" t="str">
        <f>IF([2]道具信息!M38="","",[2]道具信息!M38)</f>
        <v/>
      </c>
      <c r="N38" s="26" t="str">
        <f>IF([2]道具信息!N38="","",[2]道具信息!N38)</f>
        <v/>
      </c>
      <c r="O38" s="26" t="str">
        <f>IF([2]道具信息!O38="","",[2]道具信息!O38)</f>
        <v/>
      </c>
      <c r="P38" s="26" t="str">
        <f>IF([2]道具信息!P38="","",[2]道具信息!P38)</f>
        <v/>
      </c>
      <c r="Q38" s="26" t="str">
        <f>IF([2]道具信息!Q38="","",[2]道具信息!Q38)</f>
        <v/>
      </c>
    </row>
    <row r="39" spans="3:17" x14ac:dyDescent="0.15">
      <c r="C39" s="26" t="str">
        <f>IF([2]道具信息!C39="","",[2]道具信息!C39)</f>
        <v/>
      </c>
      <c r="D39" s="26" t="str">
        <f>IF([2]道具信息!D39="","",[2]道具信息!D39)</f>
        <v>指定蓝色宝物</v>
      </c>
      <c r="E39" s="26">
        <f>IF([2]道具信息!E39="","",[2]道具信息!E39)</f>
        <v>100</v>
      </c>
      <c r="F39" s="26">
        <f>IF([2]道具信息!F39="","",[2]道具信息!F39)</f>
        <v>2.5</v>
      </c>
      <c r="G39" s="26">
        <f>IF([2]道具信息!G39="","",[2]道具信息!G39)</f>
        <v>1</v>
      </c>
      <c r="H39" s="26">
        <f>IF([2]道具信息!H39="","",[2]道具信息!H39)</f>
        <v>1</v>
      </c>
      <c r="I39" s="26">
        <f>IF([2]道具信息!I39="","",[2]道具信息!I39)</f>
        <v>250</v>
      </c>
      <c r="J39" s="26">
        <f>IF([2]道具信息!J39="","",[2]道具信息!J39)</f>
        <v>100</v>
      </c>
      <c r="K39" s="26">
        <f>IF([2]道具信息!K39="","",[2]道具信息!K39)</f>
        <v>100</v>
      </c>
      <c r="L39" s="26" t="str">
        <f>IF([2]道具信息!L39="","",[2]道具信息!L39)</f>
        <v/>
      </c>
      <c r="M39" s="26" t="str">
        <f>IF([2]道具信息!M39="","",[2]道具信息!M39)</f>
        <v/>
      </c>
      <c r="N39" s="26" t="str">
        <f>IF([2]道具信息!N39="","",[2]道具信息!N39)</f>
        <v/>
      </c>
      <c r="O39" s="26" t="str">
        <f>IF([2]道具信息!O39="","",[2]道具信息!O39)</f>
        <v/>
      </c>
      <c r="P39" s="26" t="str">
        <f>IF([2]道具信息!P39="","",[2]道具信息!P39)</f>
        <v/>
      </c>
      <c r="Q39" s="26" t="str">
        <f>IF([2]道具信息!Q39="","",[2]道具信息!Q39)</f>
        <v/>
      </c>
    </row>
    <row r="40" spans="3:17" x14ac:dyDescent="0.15">
      <c r="C40" s="26" t="str">
        <f>IF([2]道具信息!C40="","",[2]道具信息!C40)</f>
        <v/>
      </c>
      <c r="D40" s="26" t="str">
        <f>IF([2]道具信息!D40="","",[2]道具信息!D40)</f>
        <v>指定紫色宝物</v>
      </c>
      <c r="E40" s="26">
        <f>IF([2]道具信息!E40="","",[2]道具信息!E40)</f>
        <v>500</v>
      </c>
      <c r="F40" s="26">
        <f>IF([2]道具信息!F40="","",[2]道具信息!F40)</f>
        <v>2.5</v>
      </c>
      <c r="G40" s="26">
        <f>IF([2]道具信息!G40="","",[2]道具信息!G40)</f>
        <v>1</v>
      </c>
      <c r="H40" s="26">
        <f>IF([2]道具信息!H40="","",[2]道具信息!H40)</f>
        <v>1</v>
      </c>
      <c r="I40" s="26">
        <f>IF([2]道具信息!I40="","",[2]道具信息!I40)</f>
        <v>1250</v>
      </c>
      <c r="J40" s="26">
        <f>IF([2]道具信息!J40="","",[2]道具信息!J40)</f>
        <v>500</v>
      </c>
      <c r="K40" s="26">
        <f>IF([2]道具信息!K40="","",[2]道具信息!K40)</f>
        <v>500</v>
      </c>
      <c r="L40" s="26" t="str">
        <f>IF([2]道具信息!L40="","",[2]道具信息!L40)</f>
        <v/>
      </c>
      <c r="M40" s="26" t="str">
        <f>IF([2]道具信息!M40="","",[2]道具信息!M40)</f>
        <v/>
      </c>
      <c r="N40" s="26" t="str">
        <f>IF([2]道具信息!N40="","",[2]道具信息!N40)</f>
        <v/>
      </c>
      <c r="O40" s="26" t="str">
        <f>IF([2]道具信息!O40="","",[2]道具信息!O40)</f>
        <v/>
      </c>
      <c r="P40" s="26" t="str">
        <f>IF([2]道具信息!P40="","",[2]道具信息!P40)</f>
        <v/>
      </c>
      <c r="Q40" s="26" t="str">
        <f>IF([2]道具信息!Q40="","",[2]道具信息!Q40)</f>
        <v/>
      </c>
    </row>
    <row r="41" spans="3:17" x14ac:dyDescent="0.15">
      <c r="C41" s="26" t="str">
        <f>IF([2]道具信息!C41="","",[2]道具信息!C41)</f>
        <v/>
      </c>
      <c r="D41" s="26" t="str">
        <f>IF([2]道具信息!D41="","",[2]道具信息!D41)</f>
        <v>指定橙色宝物</v>
      </c>
      <c r="E41" s="26">
        <f>IF([2]道具信息!E41="","",[2]道具信息!E41)</f>
        <v>4000</v>
      </c>
      <c r="F41" s="26">
        <f>IF([2]道具信息!F41="","",[2]道具信息!F41)</f>
        <v>2.5</v>
      </c>
      <c r="G41" s="26">
        <f>IF([2]道具信息!G41="","",[2]道具信息!G41)</f>
        <v>1</v>
      </c>
      <c r="H41" s="26">
        <f>IF([2]道具信息!H41="","",[2]道具信息!H41)</f>
        <v>1</v>
      </c>
      <c r="I41" s="26">
        <f>IF([2]道具信息!I41="","",[2]道具信息!I41)</f>
        <v>10000</v>
      </c>
      <c r="J41" s="26">
        <f>IF([2]道具信息!J41="","",[2]道具信息!J41)</f>
        <v>4000</v>
      </c>
      <c r="K41" s="26">
        <f>IF([2]道具信息!K41="","",[2]道具信息!K41)</f>
        <v>4000</v>
      </c>
      <c r="L41" s="26" t="str">
        <f>IF([2]道具信息!L41="","",[2]道具信息!L41)</f>
        <v/>
      </c>
      <c r="M41" s="26" t="str">
        <f>IF([2]道具信息!M41="","",[2]道具信息!M41)</f>
        <v/>
      </c>
      <c r="N41" s="26" t="str">
        <f>IF([2]道具信息!N41="","",[2]道具信息!N41)</f>
        <v/>
      </c>
      <c r="O41" s="26" t="str">
        <f>IF([2]道具信息!O41="","",[2]道具信息!O41)</f>
        <v/>
      </c>
      <c r="P41" s="26" t="str">
        <f>IF([2]道具信息!P41="","",[2]道具信息!P41)</f>
        <v/>
      </c>
      <c r="Q41" s="26" t="str">
        <f>IF([2]道具信息!Q41="","",[2]道具信息!Q41)</f>
        <v/>
      </c>
    </row>
    <row r="42" spans="3:17" x14ac:dyDescent="0.15">
      <c r="C42" s="26" t="str">
        <f>IF([2]道具信息!C42="","",[2]道具信息!C42)</f>
        <v/>
      </c>
      <c r="D42" s="26" t="str">
        <f>IF([2]道具信息!D42="","",[2]道具信息!D42)</f>
        <v>指定橙+宝物</v>
      </c>
      <c r="E42" s="26">
        <f>IF([2]道具信息!E42="","",[2]道具信息!E42)</f>
        <v>20000</v>
      </c>
      <c r="F42" s="26">
        <f>IF([2]道具信息!F42="","",[2]道具信息!F42)</f>
        <v>2.5</v>
      </c>
      <c r="G42" s="26">
        <f>IF([2]道具信息!G42="","",[2]道具信息!G42)</f>
        <v>1</v>
      </c>
      <c r="H42" s="26">
        <f>IF([2]道具信息!H42="","",[2]道具信息!H42)</f>
        <v>1</v>
      </c>
      <c r="I42" s="26">
        <f>IF([2]道具信息!I42="","",[2]道具信息!I42)</f>
        <v>50000</v>
      </c>
      <c r="J42" s="26">
        <f>IF([2]道具信息!J42="","",[2]道具信息!J42)</f>
        <v>20000</v>
      </c>
      <c r="K42" s="26">
        <f>IF([2]道具信息!K42="","",[2]道具信息!K42)</f>
        <v>20000</v>
      </c>
      <c r="L42" s="26" t="str">
        <f>IF([2]道具信息!L42="","",[2]道具信息!L42)</f>
        <v/>
      </c>
      <c r="M42" s="26" t="str">
        <f>IF([2]道具信息!M42="","",[2]道具信息!M42)</f>
        <v/>
      </c>
      <c r="N42" s="26" t="str">
        <f>IF([2]道具信息!N42="","",[2]道具信息!N42)</f>
        <v/>
      </c>
      <c r="O42" s="26" t="str">
        <f>IF([2]道具信息!O42="","",[2]道具信息!O42)</f>
        <v/>
      </c>
      <c r="P42" s="26" t="str">
        <f>IF([2]道具信息!P42="","",[2]道具信息!P42)</f>
        <v/>
      </c>
      <c r="Q42" s="26" t="str">
        <f>IF([2]道具信息!Q42="","",[2]道具信息!Q42)</f>
        <v/>
      </c>
    </row>
    <row r="43" spans="3:17" x14ac:dyDescent="0.15">
      <c r="C43" s="26" t="str">
        <f>IF([2]道具信息!C43="","",[2]道具信息!C43)</f>
        <v/>
      </c>
      <c r="D43" s="26" t="str">
        <f>IF([2]道具信息!D43="","",[2]道具信息!D43)</f>
        <v>指定红色宝物</v>
      </c>
      <c r="E43" s="26">
        <f>IF([2]道具信息!E43="","",[2]道具信息!E43)</f>
        <v>60000</v>
      </c>
      <c r="F43" s="26">
        <f>IF([2]道具信息!F43="","",[2]道具信息!F43)</f>
        <v>2.5</v>
      </c>
      <c r="G43" s="26">
        <f>IF([2]道具信息!G43="","",[2]道具信息!G43)</f>
        <v>1</v>
      </c>
      <c r="H43" s="26">
        <f>IF([2]道具信息!H43="","",[2]道具信息!H43)</f>
        <v>1</v>
      </c>
      <c r="I43" s="26">
        <f>IF([2]道具信息!I43="","",[2]道具信息!I43)</f>
        <v>150000</v>
      </c>
      <c r="J43" s="26">
        <f>IF([2]道具信息!J43="","",[2]道具信息!J43)</f>
        <v>60000</v>
      </c>
      <c r="K43" s="26">
        <f>IF([2]道具信息!K43="","",[2]道具信息!K43)</f>
        <v>60000</v>
      </c>
      <c r="L43" s="26" t="str">
        <f>IF([2]道具信息!L43="","",[2]道具信息!L43)</f>
        <v/>
      </c>
      <c r="M43" s="26" t="str">
        <f>IF([2]道具信息!M43="","",[2]道具信息!M43)</f>
        <v/>
      </c>
      <c r="N43" s="26" t="str">
        <f>IF([2]道具信息!N43="","",[2]道具信息!N43)</f>
        <v/>
      </c>
      <c r="O43" s="26" t="str">
        <f>IF([2]道具信息!O43="","",[2]道具信息!O43)</f>
        <v/>
      </c>
      <c r="P43" s="26" t="str">
        <f>IF([2]道具信息!P43="","",[2]道具信息!P43)</f>
        <v/>
      </c>
      <c r="Q43" s="26" t="str">
        <f>IF([2]道具信息!Q43="","",[2]道具信息!Q43)</f>
        <v/>
      </c>
    </row>
    <row r="44" spans="3:17" x14ac:dyDescent="0.15">
      <c r="C44" s="26" t="str">
        <f>IF([2]道具信息!C44="","",[2]道具信息!C44)</f>
        <v/>
      </c>
      <c r="D44" s="26" t="str">
        <f>IF([2]道具信息!D44="","",[2]道具信息!D44)</f>
        <v>指定橙色宝物碎片</v>
      </c>
      <c r="E44" s="26">
        <f>IF([2]道具信息!E44="","",[2]道具信息!E44)</f>
        <v>133.33333333333334</v>
      </c>
      <c r="F44" s="26">
        <f>IF([2]道具信息!F44="","",[2]道具信息!F44)</f>
        <v>2.5</v>
      </c>
      <c r="G44" s="26">
        <f>IF([2]道具信息!G44="","",[2]道具信息!G44)</f>
        <v>1</v>
      </c>
      <c r="H44" s="26">
        <f>IF([2]道具信息!H44="","",[2]道具信息!H44)</f>
        <v>1</v>
      </c>
      <c r="I44" s="26">
        <f>IF([2]道具信息!I44="","",[2]道具信息!I44)</f>
        <v>333.33333333333337</v>
      </c>
      <c r="J44" s="26">
        <f>IF([2]道具信息!J44="","",[2]道具信息!J44)</f>
        <v>133.33333333333334</v>
      </c>
      <c r="K44" s="26">
        <f>IF([2]道具信息!K44="","",[2]道具信息!K44)</f>
        <v>133.33333333333334</v>
      </c>
      <c r="L44" s="26" t="str">
        <f>IF([2]道具信息!L44="","",[2]道具信息!L44)</f>
        <v/>
      </c>
      <c r="M44" s="26" t="str">
        <f>IF([2]道具信息!M44="","",[2]道具信息!M44)</f>
        <v/>
      </c>
      <c r="N44" s="26" t="str">
        <f>IF([2]道具信息!N44="","",[2]道具信息!N44)</f>
        <v/>
      </c>
      <c r="O44" s="26" t="str">
        <f>IF([2]道具信息!O44="","",[2]道具信息!O44)</f>
        <v/>
      </c>
      <c r="P44" s="26" t="str">
        <f>IF([2]道具信息!P44="","",[2]道具信息!P44)</f>
        <v/>
      </c>
      <c r="Q44" s="26" t="str">
        <f>IF([2]道具信息!Q44="","",[2]道具信息!Q44)</f>
        <v/>
      </c>
    </row>
    <row r="45" spans="3:17" x14ac:dyDescent="0.15">
      <c r="C45" s="26" t="str">
        <f>IF([2]道具信息!C45="","",[2]道具信息!C45)</f>
        <v/>
      </c>
      <c r="D45" s="26" t="str">
        <f>IF([2]道具信息!D45="","",[2]道具信息!D45)</f>
        <v>指定橙+宝物碎片</v>
      </c>
      <c r="E45" s="26">
        <f>IF([2]道具信息!E45="","",[2]道具信息!E45)</f>
        <v>666.66666666666663</v>
      </c>
      <c r="F45" s="26">
        <f>IF([2]道具信息!F45="","",[2]道具信息!F45)</f>
        <v>2.5</v>
      </c>
      <c r="G45" s="26">
        <f>IF([2]道具信息!G45="","",[2]道具信息!G45)</f>
        <v>1</v>
      </c>
      <c r="H45" s="26">
        <f>IF([2]道具信息!H45="","",[2]道具信息!H45)</f>
        <v>1</v>
      </c>
      <c r="I45" s="26">
        <f>IF([2]道具信息!I45="","",[2]道具信息!I45)</f>
        <v>1666.6666666666665</v>
      </c>
      <c r="J45" s="26">
        <f>IF([2]道具信息!J45="","",[2]道具信息!J45)</f>
        <v>666.66666666666663</v>
      </c>
      <c r="K45" s="26">
        <f>IF([2]道具信息!K45="","",[2]道具信息!K45)</f>
        <v>666.66666666666663</v>
      </c>
      <c r="L45" s="26" t="str">
        <f>IF([2]道具信息!L45="","",[2]道具信息!L45)</f>
        <v/>
      </c>
      <c r="M45" s="26" t="str">
        <f>IF([2]道具信息!M45="","",[2]道具信息!M45)</f>
        <v/>
      </c>
      <c r="N45" s="26" t="str">
        <f>IF([2]道具信息!N45="","",[2]道具信息!N45)</f>
        <v/>
      </c>
      <c r="O45" s="26" t="str">
        <f>IF([2]道具信息!O45="","",[2]道具信息!O45)</f>
        <v/>
      </c>
      <c r="P45" s="26" t="str">
        <f>IF([2]道具信息!P45="","",[2]道具信息!P45)</f>
        <v/>
      </c>
      <c r="Q45" s="26" t="str">
        <f>IF([2]道具信息!Q45="","",[2]道具信息!Q45)</f>
        <v/>
      </c>
    </row>
    <row r="46" spans="3:17" x14ac:dyDescent="0.15">
      <c r="C46" s="26" t="str">
        <f>IF([2]道具信息!C46="","",[2]道具信息!C46)</f>
        <v/>
      </c>
      <c r="D46" s="26" t="str">
        <f>IF([2]道具信息!D46="","",[2]道具信息!D46)</f>
        <v>指定红色宝物碎片</v>
      </c>
      <c r="E46" s="26">
        <f>IF([2]道具信息!E46="","",[2]道具信息!E46)</f>
        <v>1200</v>
      </c>
      <c r="F46" s="26">
        <f>IF([2]道具信息!F46="","",[2]道具信息!F46)</f>
        <v>2.5</v>
      </c>
      <c r="G46" s="26">
        <f>IF([2]道具信息!G46="","",[2]道具信息!G46)</f>
        <v>1</v>
      </c>
      <c r="H46" s="26">
        <f>IF([2]道具信息!H46="","",[2]道具信息!H46)</f>
        <v>1</v>
      </c>
      <c r="I46" s="26">
        <f>IF([2]道具信息!I46="","",[2]道具信息!I46)</f>
        <v>3000</v>
      </c>
      <c r="J46" s="26">
        <f>IF([2]道具信息!J46="","",[2]道具信息!J46)</f>
        <v>1200</v>
      </c>
      <c r="K46" s="26">
        <f>IF([2]道具信息!K46="","",[2]道具信息!K46)</f>
        <v>1200</v>
      </c>
      <c r="L46" s="26" t="str">
        <f>IF([2]道具信息!L46="","",[2]道具信息!L46)</f>
        <v/>
      </c>
      <c r="M46" s="26" t="str">
        <f>IF([2]道具信息!M46="","",[2]道具信息!M46)</f>
        <v/>
      </c>
      <c r="N46" s="26" t="str">
        <f>IF([2]道具信息!N46="","",[2]道具信息!N46)</f>
        <v/>
      </c>
      <c r="O46" s="26" t="str">
        <f>IF([2]道具信息!O46="","",[2]道具信息!O46)</f>
        <v/>
      </c>
      <c r="P46" s="26" t="str">
        <f>IF([2]道具信息!P46="","",[2]道具信息!P46)</f>
        <v/>
      </c>
      <c r="Q46" s="26" t="str">
        <f>IF([2]道具信息!Q46="","",[2]道具信息!Q46)</f>
        <v/>
      </c>
    </row>
    <row r="47" spans="3:17" x14ac:dyDescent="0.15">
      <c r="C47" s="26" t="str">
        <f>IF([2]道具信息!C47="","",[2]道具信息!C47)</f>
        <v/>
      </c>
      <c r="D47" s="26" t="str">
        <f>IF([2]道具信息!D47="","",[2]道具信息!D47)</f>
        <v>随机蓝色宝物</v>
      </c>
      <c r="E47" s="26">
        <f>IF([2]道具信息!E47="","",[2]道具信息!E47)</f>
        <v>100</v>
      </c>
      <c r="F47" s="26">
        <f>IF([2]道具信息!F47="","",[2]道具信息!F47)</f>
        <v>2.5</v>
      </c>
      <c r="G47" s="26">
        <f>IF([2]道具信息!G47="","",[2]道具信息!G47)</f>
        <v>1</v>
      </c>
      <c r="H47" s="26">
        <f>IF([2]道具信息!H47="","",[2]道具信息!H47)</f>
        <v>1</v>
      </c>
      <c r="I47" s="26">
        <f>IF([2]道具信息!I47="","",[2]道具信息!I47)</f>
        <v>250</v>
      </c>
      <c r="J47" s="26">
        <f>IF([2]道具信息!J47="","",[2]道具信息!J47)</f>
        <v>100</v>
      </c>
      <c r="K47" s="26">
        <f>IF([2]道具信息!K47="","",[2]道具信息!K47)</f>
        <v>100</v>
      </c>
      <c r="L47" s="26" t="str">
        <f>IF([2]道具信息!L47="","",[2]道具信息!L47)</f>
        <v/>
      </c>
      <c r="M47" s="26" t="str">
        <f>IF([2]道具信息!M47="","",[2]道具信息!M47)</f>
        <v/>
      </c>
      <c r="N47" s="26" t="str">
        <f>IF([2]道具信息!N47="","",[2]道具信息!N47)</f>
        <v/>
      </c>
      <c r="O47" s="26" t="str">
        <f>IF([2]道具信息!O47="","",[2]道具信息!O47)</f>
        <v/>
      </c>
      <c r="P47" s="26" t="str">
        <f>IF([2]道具信息!P47="","",[2]道具信息!P47)</f>
        <v/>
      </c>
      <c r="Q47" s="26" t="str">
        <f>IF([2]道具信息!Q47="","",[2]道具信息!Q47)</f>
        <v/>
      </c>
    </row>
    <row r="48" spans="3:17" x14ac:dyDescent="0.15">
      <c r="C48" s="26" t="str">
        <f>IF([2]道具信息!C48="","",[2]道具信息!C48)</f>
        <v/>
      </c>
      <c r="D48" s="26" t="str">
        <f>IF([2]道具信息!D48="","",[2]道具信息!D48)</f>
        <v>随机紫色宝物</v>
      </c>
      <c r="E48" s="26">
        <f>IF([2]道具信息!E48="","",[2]道具信息!E48)</f>
        <v>500</v>
      </c>
      <c r="F48" s="26">
        <f>IF([2]道具信息!F48="","",[2]道具信息!F48)</f>
        <v>2.5</v>
      </c>
      <c r="G48" s="26">
        <f>IF([2]道具信息!G48="","",[2]道具信息!G48)</f>
        <v>1</v>
      </c>
      <c r="H48" s="26">
        <f>IF([2]道具信息!H48="","",[2]道具信息!H48)</f>
        <v>1</v>
      </c>
      <c r="I48" s="26">
        <f>IF([2]道具信息!I48="","",[2]道具信息!I48)</f>
        <v>1250</v>
      </c>
      <c r="J48" s="26">
        <f>IF([2]道具信息!J48="","",[2]道具信息!J48)</f>
        <v>500</v>
      </c>
      <c r="K48" s="26">
        <f>IF([2]道具信息!K48="","",[2]道具信息!K48)</f>
        <v>500</v>
      </c>
      <c r="L48" s="26" t="str">
        <f>IF([2]道具信息!L48="","",[2]道具信息!L48)</f>
        <v/>
      </c>
      <c r="M48" s="26" t="str">
        <f>IF([2]道具信息!M48="","",[2]道具信息!M48)</f>
        <v/>
      </c>
      <c r="N48" s="26" t="str">
        <f>IF([2]道具信息!N48="","",[2]道具信息!N48)</f>
        <v/>
      </c>
      <c r="O48" s="26" t="str">
        <f>IF([2]道具信息!O48="","",[2]道具信息!O48)</f>
        <v/>
      </c>
      <c r="P48" s="26" t="str">
        <f>IF([2]道具信息!P48="","",[2]道具信息!P48)</f>
        <v/>
      </c>
      <c r="Q48" s="26" t="str">
        <f>IF([2]道具信息!Q48="","",[2]道具信息!Q48)</f>
        <v/>
      </c>
    </row>
    <row r="49" spans="3:17" x14ac:dyDescent="0.15">
      <c r="C49" s="26" t="str">
        <f>IF([2]道具信息!C49="","",[2]道具信息!C49)</f>
        <v/>
      </c>
      <c r="D49" s="26" t="str">
        <f>IF([2]道具信息!D49="","",[2]道具信息!D49)</f>
        <v>随机橙色宝物</v>
      </c>
      <c r="E49" s="26">
        <f>IF([2]道具信息!E49="","",[2]道具信息!E49)</f>
        <v>2500</v>
      </c>
      <c r="F49" s="26">
        <f>IF([2]道具信息!F49="","",[2]道具信息!F49)</f>
        <v>2.5</v>
      </c>
      <c r="G49" s="26">
        <f>IF([2]道具信息!G49="","",[2]道具信息!G49)</f>
        <v>1</v>
      </c>
      <c r="H49" s="26">
        <f>IF([2]道具信息!H49="","",[2]道具信息!H49)</f>
        <v>1</v>
      </c>
      <c r="I49" s="26">
        <f>IF([2]道具信息!I49="","",[2]道具信息!I49)</f>
        <v>6250</v>
      </c>
      <c r="J49" s="26">
        <f>IF([2]道具信息!J49="","",[2]道具信息!J49)</f>
        <v>2500</v>
      </c>
      <c r="K49" s="26">
        <f>IF([2]道具信息!K49="","",[2]道具信息!K49)</f>
        <v>2500</v>
      </c>
      <c r="L49" s="26" t="str">
        <f>IF([2]道具信息!L49="","",[2]道具信息!L49)</f>
        <v/>
      </c>
      <c r="M49" s="26" t="str">
        <f>IF([2]道具信息!M49="","",[2]道具信息!M49)</f>
        <v/>
      </c>
      <c r="N49" s="26" t="str">
        <f>IF([2]道具信息!N49="","",[2]道具信息!N49)</f>
        <v/>
      </c>
      <c r="O49" s="26" t="str">
        <f>IF([2]道具信息!O49="","",[2]道具信息!O49)</f>
        <v/>
      </c>
      <c r="P49" s="26" t="str">
        <f>IF([2]道具信息!P49="","",[2]道具信息!P49)</f>
        <v/>
      </c>
      <c r="Q49" s="26" t="str">
        <f>IF([2]道具信息!Q49="","",[2]道具信息!Q49)</f>
        <v/>
      </c>
    </row>
    <row r="50" spans="3:17" x14ac:dyDescent="0.15">
      <c r="C50" s="26" t="str">
        <f>IF([2]道具信息!C50="","",[2]道具信息!C50)</f>
        <v/>
      </c>
      <c r="D50" s="26" t="str">
        <f>IF([2]道具信息!D50="","",[2]道具信息!D50)</f>
        <v>随机橙+宝物</v>
      </c>
      <c r="E50" s="26">
        <f>IF([2]道具信息!E50="","",[2]道具信息!E50)</f>
        <v>10000</v>
      </c>
      <c r="F50" s="26">
        <f>IF([2]道具信息!F50="","",[2]道具信息!F50)</f>
        <v>2.5</v>
      </c>
      <c r="G50" s="26">
        <f>IF([2]道具信息!G50="","",[2]道具信息!G50)</f>
        <v>1</v>
      </c>
      <c r="H50" s="26">
        <f>IF([2]道具信息!H50="","",[2]道具信息!H50)</f>
        <v>1</v>
      </c>
      <c r="I50" s="26">
        <f>IF([2]道具信息!I50="","",[2]道具信息!I50)</f>
        <v>25000</v>
      </c>
      <c r="J50" s="26">
        <f>IF([2]道具信息!J50="","",[2]道具信息!J50)</f>
        <v>10000</v>
      </c>
      <c r="K50" s="26">
        <f>IF([2]道具信息!K50="","",[2]道具信息!K50)</f>
        <v>10000</v>
      </c>
      <c r="L50" s="26" t="str">
        <f>IF([2]道具信息!L50="","",[2]道具信息!L50)</f>
        <v/>
      </c>
      <c r="M50" s="26" t="str">
        <f>IF([2]道具信息!M50="","",[2]道具信息!M50)</f>
        <v/>
      </c>
      <c r="N50" s="26" t="str">
        <f>IF([2]道具信息!N50="","",[2]道具信息!N50)</f>
        <v/>
      </c>
      <c r="O50" s="26" t="str">
        <f>IF([2]道具信息!O50="","",[2]道具信息!O50)</f>
        <v/>
      </c>
      <c r="P50" s="26" t="str">
        <f>IF([2]道具信息!P50="","",[2]道具信息!P50)</f>
        <v/>
      </c>
      <c r="Q50" s="26" t="str">
        <f>IF([2]道具信息!Q50="","",[2]道具信息!Q50)</f>
        <v/>
      </c>
    </row>
    <row r="51" spans="3:17" x14ac:dyDescent="0.15">
      <c r="C51" s="26" t="str">
        <f>IF([2]道具信息!C51="","",[2]道具信息!C51)</f>
        <v/>
      </c>
      <c r="D51" s="26" t="str">
        <f>IF([2]道具信息!D51="","",[2]道具信息!D51)</f>
        <v>随机紫色宝物碎片</v>
      </c>
      <c r="E51" s="26">
        <f>IF([2]道具信息!E51="","",[2]道具信息!E51)</f>
        <v>16.666666666666668</v>
      </c>
      <c r="F51" s="26">
        <f>IF([2]道具信息!F51="","",[2]道具信息!F51)</f>
        <v>2.5</v>
      </c>
      <c r="G51" s="26">
        <f>IF([2]道具信息!G51="","",[2]道具信息!G51)</f>
        <v>1</v>
      </c>
      <c r="H51" s="26">
        <f>IF([2]道具信息!H51="","",[2]道具信息!H51)</f>
        <v>1</v>
      </c>
      <c r="I51" s="26">
        <f>IF([2]道具信息!I51="","",[2]道具信息!I51)</f>
        <v>41.666666666666671</v>
      </c>
      <c r="J51" s="26">
        <f>IF([2]道具信息!J51="","",[2]道具信息!J51)</f>
        <v>16.666666666666668</v>
      </c>
      <c r="K51" s="26">
        <f>IF([2]道具信息!K51="","",[2]道具信息!K51)</f>
        <v>16.666666666666668</v>
      </c>
      <c r="L51" s="26" t="str">
        <f>IF([2]道具信息!L51="","",[2]道具信息!L51)</f>
        <v>配置成了30合1，所以价值为随机紫色宝物/30</v>
      </c>
      <c r="M51" s="26" t="str">
        <f>IF([2]道具信息!M51="","",[2]道具信息!M51)</f>
        <v/>
      </c>
      <c r="N51" s="26" t="str">
        <f>IF([2]道具信息!N51="","",[2]道具信息!N51)</f>
        <v/>
      </c>
      <c r="O51" s="26" t="str">
        <f>IF([2]道具信息!O51="","",[2]道具信息!O51)</f>
        <v/>
      </c>
      <c r="P51" s="26" t="str">
        <f>IF([2]道具信息!P51="","",[2]道具信息!P51)</f>
        <v/>
      </c>
      <c r="Q51" s="26" t="str">
        <f>IF([2]道具信息!Q51="","",[2]道具信息!Q51)</f>
        <v/>
      </c>
    </row>
    <row r="52" spans="3:17" x14ac:dyDescent="0.15">
      <c r="C52" s="26" t="str">
        <f>IF([2]道具信息!C52="","",[2]道具信息!C52)</f>
        <v/>
      </c>
      <c r="D52" s="26" t="str">
        <f>IF([2]道具信息!D52="","",[2]道具信息!D52)</f>
        <v>随机橙色宝物碎片</v>
      </c>
      <c r="E52" s="26">
        <f>IF([2]道具信息!E52="","",[2]道具信息!E52)</f>
        <v>83.333333333333329</v>
      </c>
      <c r="F52" s="26">
        <f>IF([2]道具信息!F52="","",[2]道具信息!F52)</f>
        <v>2.5</v>
      </c>
      <c r="G52" s="26">
        <f>IF([2]道具信息!G52="","",[2]道具信息!G52)</f>
        <v>1</v>
      </c>
      <c r="H52" s="26">
        <f>IF([2]道具信息!H52="","",[2]道具信息!H52)</f>
        <v>1</v>
      </c>
      <c r="I52" s="26">
        <f>IF([2]道具信息!I52="","",[2]道具信息!I52)</f>
        <v>208.33333333333331</v>
      </c>
      <c r="J52" s="26">
        <f>IF([2]道具信息!J52="","",[2]道具信息!J52)</f>
        <v>83.333333333333329</v>
      </c>
      <c r="K52" s="26">
        <f>IF([2]道具信息!K52="","",[2]道具信息!K52)</f>
        <v>83.333333333333329</v>
      </c>
      <c r="L52" s="26" t="str">
        <f>IF([2]道具信息!L52="","",[2]道具信息!L52)</f>
        <v/>
      </c>
      <c r="M52" s="26" t="str">
        <f>IF([2]道具信息!M52="","",[2]道具信息!M52)</f>
        <v/>
      </c>
      <c r="N52" s="26" t="str">
        <f>IF([2]道具信息!N52="","",[2]道具信息!N52)</f>
        <v/>
      </c>
      <c r="O52" s="26" t="str">
        <f>IF([2]道具信息!O52="","",[2]道具信息!O52)</f>
        <v/>
      </c>
      <c r="P52" s="26" t="str">
        <f>IF([2]道具信息!P52="","",[2]道具信息!P52)</f>
        <v/>
      </c>
      <c r="Q52" s="26" t="str">
        <f>IF([2]道具信息!Q52="","",[2]道具信息!Q52)</f>
        <v/>
      </c>
    </row>
    <row r="53" spans="3:17" x14ac:dyDescent="0.15">
      <c r="C53" s="26" t="str">
        <f>IF([2]道具信息!C53="","",[2]道具信息!C53)</f>
        <v/>
      </c>
      <c r="D53" s="26" t="str">
        <f>IF([2]道具信息!D53="","",[2]道具信息!D53)</f>
        <v>随机橙+宝物碎片</v>
      </c>
      <c r="E53" s="26">
        <f>IF([2]道具信息!E53="","",[2]道具信息!E53)</f>
        <v>333.33333333333331</v>
      </c>
      <c r="F53" s="26">
        <f>IF([2]道具信息!F53="","",[2]道具信息!F53)</f>
        <v>2.5</v>
      </c>
      <c r="G53" s="26">
        <f>IF([2]道具信息!G53="","",[2]道具信息!G53)</f>
        <v>1</v>
      </c>
      <c r="H53" s="26">
        <f>IF([2]道具信息!H53="","",[2]道具信息!H53)</f>
        <v>1</v>
      </c>
      <c r="I53" s="26">
        <f>IF([2]道具信息!I53="","",[2]道具信息!I53)</f>
        <v>833.33333333333326</v>
      </c>
      <c r="J53" s="26">
        <f>IF([2]道具信息!J53="","",[2]道具信息!J53)</f>
        <v>333.33333333333331</v>
      </c>
      <c r="K53" s="26">
        <f>IF([2]道具信息!K53="","",[2]道具信息!K53)</f>
        <v>333.33333333333331</v>
      </c>
      <c r="L53" s="26" t="str">
        <f>IF([2]道具信息!L53="","",[2]道具信息!L53)</f>
        <v/>
      </c>
      <c r="M53" s="26" t="str">
        <f>IF([2]道具信息!M53="","",[2]道具信息!M53)</f>
        <v/>
      </c>
      <c r="N53" s="26" t="str">
        <f>IF([2]道具信息!N53="","",[2]道具信息!N53)</f>
        <v/>
      </c>
      <c r="O53" s="26" t="str">
        <f>IF([2]道具信息!O53="","",[2]道具信息!O53)</f>
        <v/>
      </c>
      <c r="P53" s="26" t="str">
        <f>IF([2]道具信息!P53="","",[2]道具信息!P53)</f>
        <v/>
      </c>
      <c r="Q53" s="26" t="str">
        <f>IF([2]道具信息!Q53="","",[2]道具信息!Q53)</f>
        <v/>
      </c>
    </row>
    <row r="54" spans="3:17" x14ac:dyDescent="0.15">
      <c r="C54" s="26" t="str">
        <f>IF([2]道具信息!C54="","",[2]道具信息!C54)</f>
        <v/>
      </c>
      <c r="D54" s="26" t="str">
        <f>IF([2]道具信息!D54="","",[2]道具信息!D54)</f>
        <v/>
      </c>
      <c r="E54" s="26" t="str">
        <f>IF([2]道具信息!E54="","",[2]道具信息!E54)</f>
        <v/>
      </c>
      <c r="F54" s="26" t="str">
        <f>IF([2]道具信息!F54="","",[2]道具信息!F54)</f>
        <v/>
      </c>
      <c r="G54" s="26" t="str">
        <f>IF([2]道具信息!G54="","",[2]道具信息!G54)</f>
        <v/>
      </c>
      <c r="H54" s="26" t="str">
        <f>IF([2]道具信息!H54="","",[2]道具信息!H54)</f>
        <v/>
      </c>
      <c r="I54" s="26" t="str">
        <f>IF([2]道具信息!I54="","",[2]道具信息!I54)</f>
        <v/>
      </c>
      <c r="J54" s="26" t="str">
        <f>IF([2]道具信息!J54="","",[2]道具信息!J54)</f>
        <v/>
      </c>
      <c r="K54" s="26" t="str">
        <f>IF([2]道具信息!K54="","",[2]道具信息!K54)</f>
        <v/>
      </c>
      <c r="L54" s="26" t="str">
        <f>IF([2]道具信息!L54="","",[2]道具信息!L54)</f>
        <v/>
      </c>
      <c r="M54" s="26" t="str">
        <f>IF([2]道具信息!M54="","",[2]道具信息!M54)</f>
        <v/>
      </c>
      <c r="N54" s="26" t="str">
        <f>IF([2]道具信息!N54="","",[2]道具信息!N54)</f>
        <v/>
      </c>
      <c r="O54" s="26" t="str">
        <f>IF([2]道具信息!O54="","",[2]道具信息!O54)</f>
        <v/>
      </c>
      <c r="P54" s="26" t="str">
        <f>IF([2]道具信息!P54="","",[2]道具信息!P54)</f>
        <v/>
      </c>
      <c r="Q54" s="26" t="str">
        <f>IF([2]道具信息!Q54="","",[2]道具信息!Q54)</f>
        <v/>
      </c>
    </row>
    <row r="55" spans="3:17" x14ac:dyDescent="0.15">
      <c r="C55" s="26" t="str">
        <f>IF([2]道具信息!C55="","",[2]道具信息!C55)</f>
        <v/>
      </c>
      <c r="D55" s="26" t="str">
        <f>IF([2]道具信息!D55="","",[2]道具信息!D55)</f>
        <v>紫色藏宝图</v>
      </c>
      <c r="E55" s="26">
        <f>IF([2]道具信息!E55="","",[2]道具信息!E55)</f>
        <v>137.5</v>
      </c>
      <c r="F55" s="26">
        <f>IF([2]道具信息!F55="","",[2]道具信息!F55)</f>
        <v>1</v>
      </c>
      <c r="G55" s="26">
        <f>IF([2]道具信息!G55="","",[2]道具信息!G55)</f>
        <v>1</v>
      </c>
      <c r="H55" s="26">
        <f>IF([2]道具信息!H55="","",[2]道具信息!H55)</f>
        <v>1</v>
      </c>
      <c r="I55" s="26">
        <f>IF([2]道具信息!I55="","",[2]道具信息!I55)</f>
        <v>137.5</v>
      </c>
      <c r="J55" s="26">
        <f>IF([2]道具信息!J55="","",[2]道具信息!J55)</f>
        <v>137.5</v>
      </c>
      <c r="K55" s="26">
        <f>IF([2]道具信息!K55="","",[2]道具信息!K55)</f>
        <v>137.5</v>
      </c>
      <c r="L55" s="26" t="str">
        <f>IF([2]道具信息!L55="","",[2]道具信息!L55)</f>
        <v/>
      </c>
      <c r="M55" s="26" t="str">
        <f>IF([2]道具信息!M55="","",[2]道具信息!M55)</f>
        <v/>
      </c>
      <c r="N55" s="26" t="str">
        <f>IF([2]道具信息!N55="","",[2]道具信息!N55)</f>
        <v/>
      </c>
      <c r="O55" s="26" t="str">
        <f>IF([2]道具信息!O55="","",[2]道具信息!O55)</f>
        <v/>
      </c>
      <c r="P55" s="26" t="str">
        <f>IF([2]道具信息!P55="","",[2]道具信息!P55)</f>
        <v/>
      </c>
      <c r="Q55" s="26" t="str">
        <f>IF([2]道具信息!Q55="","",[2]道具信息!Q55)</f>
        <v/>
      </c>
    </row>
    <row r="56" spans="3:17" x14ac:dyDescent="0.15">
      <c r="C56" s="26" t="str">
        <f>IF([2]道具信息!C56="","",[2]道具信息!C56)</f>
        <v/>
      </c>
      <c r="D56" s="26" t="str">
        <f>IF([2]道具信息!D56="","",[2]道具信息!D56)</f>
        <v>紫色藏宝图碎片</v>
      </c>
      <c r="E56" s="26">
        <f>IF([2]道具信息!E56="","",[2]道具信息!E56)</f>
        <v>13.75</v>
      </c>
      <c r="F56" s="26">
        <f>IF([2]道具信息!F56="","",[2]道具信息!F56)</f>
        <v>1</v>
      </c>
      <c r="G56" s="26">
        <f>IF([2]道具信息!G56="","",[2]道具信息!G56)</f>
        <v>1</v>
      </c>
      <c r="H56" s="26">
        <f>IF([2]道具信息!H56="","",[2]道具信息!H56)</f>
        <v>1</v>
      </c>
      <c r="I56" s="26">
        <f>IF([2]道具信息!I56="","",[2]道具信息!I56)</f>
        <v>13.75</v>
      </c>
      <c r="J56" s="26">
        <f>IF([2]道具信息!J56="","",[2]道具信息!J56)</f>
        <v>13.75</v>
      </c>
      <c r="K56" s="26">
        <f>IF([2]道具信息!K56="","",[2]道具信息!K56)</f>
        <v>13.75</v>
      </c>
      <c r="L56" s="26" t="str">
        <f>IF([2]道具信息!L56="","",[2]道具信息!L56)</f>
        <v/>
      </c>
      <c r="M56" s="26" t="str">
        <f>IF([2]道具信息!M56="","",[2]道具信息!M56)</f>
        <v/>
      </c>
      <c r="N56" s="26" t="str">
        <f>IF([2]道具信息!N56="","",[2]道具信息!N56)</f>
        <v/>
      </c>
      <c r="O56" s="26" t="str">
        <f>IF([2]道具信息!O56="","",[2]道具信息!O56)</f>
        <v/>
      </c>
      <c r="P56" s="26" t="str">
        <f>IF([2]道具信息!P56="","",[2]道具信息!P56)</f>
        <v/>
      </c>
      <c r="Q56" s="26" t="str">
        <f>IF([2]道具信息!Q56="","",[2]道具信息!Q56)</f>
        <v/>
      </c>
    </row>
    <row r="57" spans="3:17" x14ac:dyDescent="0.15">
      <c r="C57" s="26" t="str">
        <f>IF([2]道具信息!C57="","",[2]道具信息!C57)</f>
        <v/>
      </c>
      <c r="D57" s="26" t="str">
        <f>IF([2]道具信息!D57="","",[2]道具信息!D57)</f>
        <v>橙色藏宝图</v>
      </c>
      <c r="E57" s="26">
        <f>IF([2]道具信息!E57="","",[2]道具信息!E57)</f>
        <v>300</v>
      </c>
      <c r="F57" s="26">
        <f>IF([2]道具信息!F57="","",[2]道具信息!F57)</f>
        <v>1</v>
      </c>
      <c r="G57" s="26">
        <f>IF([2]道具信息!G57="","",[2]道具信息!G57)</f>
        <v>1</v>
      </c>
      <c r="H57" s="26">
        <f>IF([2]道具信息!H57="","",[2]道具信息!H57)</f>
        <v>1</v>
      </c>
      <c r="I57" s="26">
        <f>IF([2]道具信息!I57="","",[2]道具信息!I57)</f>
        <v>300</v>
      </c>
      <c r="J57" s="26">
        <f>IF([2]道具信息!J57="","",[2]道具信息!J57)</f>
        <v>300</v>
      </c>
      <c r="K57" s="26">
        <f>IF([2]道具信息!K57="","",[2]道具信息!K57)</f>
        <v>300</v>
      </c>
      <c r="L57" s="26" t="str">
        <f>IF([2]道具信息!L57="","",[2]道具信息!L57)</f>
        <v/>
      </c>
      <c r="M57" s="26" t="str">
        <f>IF([2]道具信息!M57="","",[2]道具信息!M57)</f>
        <v/>
      </c>
      <c r="N57" s="26" t="str">
        <f>IF([2]道具信息!N57="","",[2]道具信息!N57)</f>
        <v/>
      </c>
      <c r="O57" s="26" t="str">
        <f>IF([2]道具信息!O57="","",[2]道具信息!O57)</f>
        <v/>
      </c>
      <c r="P57" s="26" t="str">
        <f>IF([2]道具信息!P57="","",[2]道具信息!P57)</f>
        <v/>
      </c>
      <c r="Q57" s="26" t="str">
        <f>IF([2]道具信息!Q57="","",[2]道具信息!Q57)</f>
        <v/>
      </c>
    </row>
    <row r="58" spans="3:17" x14ac:dyDescent="0.15">
      <c r="C58" s="26" t="str">
        <f>IF([2]道具信息!C58="","",[2]道具信息!C58)</f>
        <v/>
      </c>
      <c r="D58" s="26" t="str">
        <f>IF([2]道具信息!D58="","",[2]道具信息!D58)</f>
        <v>橙色藏宝图碎片</v>
      </c>
      <c r="E58" s="26">
        <f>IF([2]道具信息!E58="","",[2]道具信息!E58)</f>
        <v>10</v>
      </c>
      <c r="F58" s="26">
        <f>IF([2]道具信息!F58="","",[2]道具信息!F58)</f>
        <v>1</v>
      </c>
      <c r="G58" s="26">
        <f>IF([2]道具信息!G58="","",[2]道具信息!G58)</f>
        <v>1</v>
      </c>
      <c r="H58" s="26">
        <f>IF([2]道具信息!H58="","",[2]道具信息!H58)</f>
        <v>1</v>
      </c>
      <c r="I58" s="26">
        <f>IF([2]道具信息!I58="","",[2]道具信息!I58)</f>
        <v>10</v>
      </c>
      <c r="J58" s="26">
        <f>IF([2]道具信息!J58="","",[2]道具信息!J58)</f>
        <v>10</v>
      </c>
      <c r="K58" s="26">
        <f>IF([2]道具信息!K58="","",[2]道具信息!K58)</f>
        <v>10</v>
      </c>
      <c r="L58" s="26" t="str">
        <f>IF([2]道具信息!L58="","",[2]道具信息!L58)</f>
        <v/>
      </c>
      <c r="M58" s="26" t="str">
        <f>IF([2]道具信息!M58="","",[2]道具信息!M58)</f>
        <v/>
      </c>
      <c r="N58" s="26" t="str">
        <f>IF([2]道具信息!N58="","",[2]道具信息!N58)</f>
        <v/>
      </c>
      <c r="O58" s="26" t="str">
        <f>IF([2]道具信息!O58="","",[2]道具信息!O58)</f>
        <v/>
      </c>
      <c r="P58" s="26" t="str">
        <f>IF([2]道具信息!P58="","",[2]道具信息!P58)</f>
        <v/>
      </c>
      <c r="Q58" s="26" t="str">
        <f>IF([2]道具信息!Q58="","",[2]道具信息!Q58)</f>
        <v/>
      </c>
    </row>
    <row r="59" spans="3:17" x14ac:dyDescent="0.15">
      <c r="C59" s="26" t="str">
        <f>IF([2]道具信息!C59="","",[2]道具信息!C59)</f>
        <v/>
      </c>
      <c r="D59" s="26" t="str">
        <f>IF([2]道具信息!D59="","",[2]道具信息!D59)</f>
        <v/>
      </c>
      <c r="E59" s="26" t="str">
        <f>IF([2]道具信息!E59="","",[2]道具信息!E59)</f>
        <v/>
      </c>
      <c r="F59" s="26" t="str">
        <f>IF([2]道具信息!F59="","",[2]道具信息!F59)</f>
        <v/>
      </c>
      <c r="G59" s="26" t="str">
        <f>IF([2]道具信息!G59="","",[2]道具信息!G59)</f>
        <v/>
      </c>
      <c r="H59" s="26" t="str">
        <f>IF([2]道具信息!H59="","",[2]道具信息!H59)</f>
        <v/>
      </c>
      <c r="I59" s="26" t="str">
        <f>IF([2]道具信息!I59="","",[2]道具信息!I59)</f>
        <v/>
      </c>
      <c r="J59" s="26" t="str">
        <f>IF([2]道具信息!J59="","",[2]道具信息!J59)</f>
        <v/>
      </c>
      <c r="K59" s="26" t="str">
        <f>IF([2]道具信息!K59="","",[2]道具信息!K59)</f>
        <v/>
      </c>
      <c r="L59" s="26" t="str">
        <f>IF([2]道具信息!L59="","",[2]道具信息!L59)</f>
        <v/>
      </c>
      <c r="M59" s="26" t="str">
        <f>IF([2]道具信息!M59="","",[2]道具信息!M59)</f>
        <v/>
      </c>
      <c r="N59" s="26" t="str">
        <f>IF([2]道具信息!N59="","",[2]道具信息!N59)</f>
        <v/>
      </c>
      <c r="O59" s="26" t="str">
        <f>IF([2]道具信息!O59="","",[2]道具信息!O59)</f>
        <v/>
      </c>
      <c r="P59" s="26" t="str">
        <f>IF([2]道具信息!P59="","",[2]道具信息!P59)</f>
        <v/>
      </c>
      <c r="Q59" s="26" t="str">
        <f>IF([2]道具信息!Q59="","",[2]道具信息!Q59)</f>
        <v/>
      </c>
    </row>
    <row r="60" spans="3:17" x14ac:dyDescent="0.15">
      <c r="C60" s="26" t="str">
        <f>IF([2]道具信息!C60="","",[2]道具信息!C60)</f>
        <v/>
      </c>
      <c r="D60" s="26" t="str">
        <f>IF([2]道具信息!D60="","",[2]道具信息!D60)</f>
        <v>紫色皮肤</v>
      </c>
      <c r="E60" s="26">
        <f>IF([2]道具信息!E60="","",[2]道具信息!E60)</f>
        <v>6000</v>
      </c>
      <c r="F60" s="26">
        <f>IF([2]道具信息!F60="","",[2]道具信息!F60)</f>
        <v>1</v>
      </c>
      <c r="G60" s="26">
        <f>IF([2]道具信息!G60="","",[2]道具信息!G60)</f>
        <v>1</v>
      </c>
      <c r="H60" s="26">
        <f>IF([2]道具信息!H60="","",[2]道具信息!H60)</f>
        <v>1</v>
      </c>
      <c r="I60" s="26">
        <f>IF([2]道具信息!I60="","",[2]道具信息!I60)</f>
        <v>6000</v>
      </c>
      <c r="J60" s="26">
        <f>IF([2]道具信息!J60="","",[2]道具信息!J60)</f>
        <v>6000</v>
      </c>
      <c r="K60" s="26">
        <f>IF([2]道具信息!K60="","",[2]道具信息!K60)</f>
        <v>6000</v>
      </c>
      <c r="L60" s="26" t="str">
        <f>IF([2]道具信息!L60="","",[2]道具信息!L60)</f>
        <v/>
      </c>
      <c r="M60" s="26" t="str">
        <f>IF([2]道具信息!M60="","",[2]道具信息!M60)</f>
        <v/>
      </c>
      <c r="N60" s="26" t="str">
        <f>IF([2]道具信息!N60="","",[2]道具信息!N60)</f>
        <v/>
      </c>
      <c r="O60" s="26" t="str">
        <f>IF([2]道具信息!O60="","",[2]道具信息!O60)</f>
        <v/>
      </c>
      <c r="P60" s="26" t="str">
        <f>IF([2]道具信息!P60="","",[2]道具信息!P60)</f>
        <v/>
      </c>
      <c r="Q60" s="26" t="str">
        <f>IF([2]道具信息!Q60="","",[2]道具信息!Q60)</f>
        <v/>
      </c>
    </row>
    <row r="61" spans="3:17" x14ac:dyDescent="0.15">
      <c r="C61" s="26" t="str">
        <f>IF([2]道具信息!C61="","",[2]道具信息!C61)</f>
        <v/>
      </c>
      <c r="D61" s="26" t="str">
        <f>IF([2]道具信息!D61="","",[2]道具信息!D61)</f>
        <v>橙色皮肤</v>
      </c>
      <c r="E61" s="26">
        <f>IF([2]道具信息!E61="","",[2]道具信息!E61)</f>
        <v>16000</v>
      </c>
      <c r="F61" s="26">
        <f>IF([2]道具信息!F61="","",[2]道具信息!F61)</f>
        <v>1</v>
      </c>
      <c r="G61" s="26">
        <f>IF([2]道具信息!G61="","",[2]道具信息!G61)</f>
        <v>1</v>
      </c>
      <c r="H61" s="26">
        <f>IF([2]道具信息!H61="","",[2]道具信息!H61)</f>
        <v>1</v>
      </c>
      <c r="I61" s="26">
        <f>IF([2]道具信息!I61="","",[2]道具信息!I61)</f>
        <v>16000</v>
      </c>
      <c r="J61" s="26">
        <f>IF([2]道具信息!J61="","",[2]道具信息!J61)</f>
        <v>16000</v>
      </c>
      <c r="K61" s="26">
        <f>IF([2]道具信息!K61="","",[2]道具信息!K61)</f>
        <v>16000</v>
      </c>
      <c r="L61" s="26" t="str">
        <f>IF([2]道具信息!L61="","",[2]道具信息!L61)</f>
        <v/>
      </c>
      <c r="M61" s="26" t="str">
        <f>IF([2]道具信息!M61="","",[2]道具信息!M61)</f>
        <v/>
      </c>
      <c r="N61" s="26" t="str">
        <f>IF([2]道具信息!N61="","",[2]道具信息!N61)</f>
        <v/>
      </c>
      <c r="O61" s="26" t="str">
        <f>IF([2]道具信息!O61="","",[2]道具信息!O61)</f>
        <v/>
      </c>
      <c r="P61" s="26" t="str">
        <f>IF([2]道具信息!P61="","",[2]道具信息!P61)</f>
        <v/>
      </c>
      <c r="Q61" s="26" t="str">
        <f>IF([2]道具信息!Q61="","",[2]道具信息!Q61)</f>
        <v/>
      </c>
    </row>
    <row r="62" spans="3:17" x14ac:dyDescent="0.15">
      <c r="C62" s="26" t="str">
        <f>IF([2]道具信息!C62="","",[2]道具信息!C62)</f>
        <v/>
      </c>
      <c r="D62" s="26" t="str">
        <f>IF([2]道具信息!D62="","",[2]道具信息!D62)</f>
        <v>红色皮肤</v>
      </c>
      <c r="E62" s="26">
        <f>IF([2]道具信息!E62="","",[2]道具信息!E62)</f>
        <v>150000</v>
      </c>
      <c r="F62" s="26">
        <f>IF([2]道具信息!F62="","",[2]道具信息!F62)</f>
        <v>2</v>
      </c>
      <c r="G62" s="26">
        <f>IF([2]道具信息!G62="","",[2]道具信息!G62)</f>
        <v>2</v>
      </c>
      <c r="H62" s="26">
        <f>IF([2]道具信息!H62="","",[2]道具信息!H62)</f>
        <v>2</v>
      </c>
      <c r="I62" s="26">
        <f>IF([2]道具信息!I62="","",[2]道具信息!I62)</f>
        <v>300000</v>
      </c>
      <c r="J62" s="26">
        <f>IF([2]道具信息!J62="","",[2]道具信息!J62)</f>
        <v>300000</v>
      </c>
      <c r="K62" s="26">
        <f>IF([2]道具信息!K62="","",[2]道具信息!K62)</f>
        <v>300000</v>
      </c>
      <c r="L62" s="26" t="str">
        <f>IF([2]道具信息!L62="","",[2]道具信息!L62)</f>
        <v/>
      </c>
      <c r="M62" s="26" t="str">
        <f>IF([2]道具信息!M62="","",[2]道具信息!M62)</f>
        <v/>
      </c>
      <c r="N62" s="26" t="str">
        <f>IF([2]道具信息!N62="","",[2]道具信息!N62)</f>
        <v/>
      </c>
      <c r="O62" s="26" t="str">
        <f>IF([2]道具信息!O62="","",[2]道具信息!O62)</f>
        <v/>
      </c>
      <c r="P62" s="26" t="str">
        <f>IF([2]道具信息!P62="","",[2]道具信息!P62)</f>
        <v/>
      </c>
      <c r="Q62" s="26" t="str">
        <f>IF([2]道具信息!Q62="","",[2]道具信息!Q62)</f>
        <v/>
      </c>
    </row>
    <row r="63" spans="3:17" x14ac:dyDescent="0.15">
      <c r="C63" s="26" t="str">
        <f>IF([2]道具信息!C63="","",[2]道具信息!C63)</f>
        <v/>
      </c>
      <c r="D63" s="26" t="str">
        <f>IF([2]道具信息!D63="","",[2]道具信息!D63)</f>
        <v>橙色皮肤碎片</v>
      </c>
      <c r="E63" s="26">
        <f>IF([2]道具信息!E63="","",[2]道具信息!E63)</f>
        <v>533.33333333333337</v>
      </c>
      <c r="F63" s="26">
        <f>IF([2]道具信息!F63="","",[2]道具信息!F63)</f>
        <v>1</v>
      </c>
      <c r="G63" s="26">
        <f>IF([2]道具信息!G63="","",[2]道具信息!G63)</f>
        <v>1</v>
      </c>
      <c r="H63" s="26">
        <f>IF([2]道具信息!H63="","",[2]道具信息!H63)</f>
        <v>1</v>
      </c>
      <c r="I63" s="26">
        <f>IF([2]道具信息!I63="","",[2]道具信息!I63)</f>
        <v>533.33333333333337</v>
      </c>
      <c r="J63" s="26">
        <f>IF([2]道具信息!J63="","",[2]道具信息!J63)</f>
        <v>533.33333333333337</v>
      </c>
      <c r="K63" s="26">
        <f>IF([2]道具信息!K63="","",[2]道具信息!K63)</f>
        <v>533.33333333333337</v>
      </c>
      <c r="L63" s="26" t="str">
        <f>IF([2]道具信息!L63="","",[2]道具信息!L63)</f>
        <v/>
      </c>
      <c r="M63" s="26" t="str">
        <f>IF([2]道具信息!M63="","",[2]道具信息!M63)</f>
        <v/>
      </c>
      <c r="N63" s="26" t="str">
        <f>IF([2]道具信息!N63="","",[2]道具信息!N63)</f>
        <v/>
      </c>
      <c r="O63" s="26" t="str">
        <f>IF([2]道具信息!O63="","",[2]道具信息!O63)</f>
        <v/>
      </c>
      <c r="P63" s="26" t="str">
        <f>IF([2]道具信息!P63="","",[2]道具信息!P63)</f>
        <v/>
      </c>
      <c r="Q63" s="26" t="str">
        <f>IF([2]道具信息!Q63="","",[2]道具信息!Q63)</f>
        <v/>
      </c>
    </row>
    <row r="64" spans="3:17" x14ac:dyDescent="0.15">
      <c r="C64" s="26" t="str">
        <f>IF([2]道具信息!C64="","",[2]道具信息!C64)</f>
        <v/>
      </c>
      <c r="D64" s="26" t="str">
        <f>IF([2]道具信息!D64="","",[2]道具信息!D64)</f>
        <v>红色皮肤碎片</v>
      </c>
      <c r="E64" s="26">
        <f>IF([2]道具信息!E64="","",[2]道具信息!E64)</f>
        <v>3000</v>
      </c>
      <c r="F64" s="26">
        <f>IF([2]道具信息!F64="","",[2]道具信息!F64)</f>
        <v>2</v>
      </c>
      <c r="G64" s="26">
        <f>IF([2]道具信息!G64="","",[2]道具信息!G64)</f>
        <v>2</v>
      </c>
      <c r="H64" s="26">
        <f>IF([2]道具信息!H64="","",[2]道具信息!H64)</f>
        <v>2</v>
      </c>
      <c r="I64" s="26">
        <f>IF([2]道具信息!I64="","",[2]道具信息!I64)</f>
        <v>6000</v>
      </c>
      <c r="J64" s="26">
        <f>IF([2]道具信息!J64="","",[2]道具信息!J64)</f>
        <v>6000</v>
      </c>
      <c r="K64" s="26">
        <f>IF([2]道具信息!K64="","",[2]道具信息!K64)</f>
        <v>6000</v>
      </c>
      <c r="L64" s="26" t="str">
        <f>IF([2]道具信息!L64="","",[2]道具信息!L64)</f>
        <v/>
      </c>
      <c r="M64" s="26" t="str">
        <f>IF([2]道具信息!M64="","",[2]道具信息!M64)</f>
        <v/>
      </c>
      <c r="N64" s="26" t="str">
        <f>IF([2]道具信息!N64="","",[2]道具信息!N64)</f>
        <v/>
      </c>
      <c r="O64" s="26" t="str">
        <f>IF([2]道具信息!O64="","",[2]道具信息!O64)</f>
        <v/>
      </c>
      <c r="P64" s="26" t="str">
        <f>IF([2]道具信息!P64="","",[2]道具信息!P64)</f>
        <v/>
      </c>
      <c r="Q64" s="26" t="str">
        <f>IF([2]道具信息!Q64="","",[2]道具信息!Q64)</f>
        <v/>
      </c>
    </row>
    <row r="65" spans="3:17" x14ac:dyDescent="0.15">
      <c r="C65" s="26" t="str">
        <f>IF([2]道具信息!C65="","",[2]道具信息!C65)</f>
        <v/>
      </c>
      <c r="D65" s="26" t="str">
        <f>IF([2]道具信息!D65="","",[2]道具信息!D65)</f>
        <v>7天限时橙色皮肤</v>
      </c>
      <c r="E65" s="26">
        <f>IF([2]道具信息!E65="","",[2]道具信息!E65)</f>
        <v>16000</v>
      </c>
      <c r="F65" s="26">
        <f>IF([2]道具信息!F65="","",[2]道具信息!F65)</f>
        <v>0.2</v>
      </c>
      <c r="G65" s="26">
        <f>IF([2]道具信息!G65="","",[2]道具信息!G65)</f>
        <v>0.2</v>
      </c>
      <c r="H65" s="26">
        <f>IF([2]道具信息!H65="","",[2]道具信息!H65)</f>
        <v>0.2</v>
      </c>
      <c r="I65" s="26">
        <f>IF([2]道具信息!I65="","",[2]道具信息!I65)</f>
        <v>3200</v>
      </c>
      <c r="J65" s="26">
        <f>IF([2]道具信息!J65="","",[2]道具信息!J65)</f>
        <v>3200</v>
      </c>
      <c r="K65" s="26">
        <f>IF([2]道具信息!K65="","",[2]道具信息!K65)</f>
        <v>3200</v>
      </c>
      <c r="L65" s="26" t="str">
        <f>IF([2]道具信息!L65="","",[2]道具信息!L65)</f>
        <v>7天</v>
      </c>
      <c r="M65" s="26" t="str">
        <f>IF([2]道具信息!M65="","",[2]道具信息!M65)</f>
        <v/>
      </c>
      <c r="N65" s="26" t="str">
        <f>IF([2]道具信息!N65="","",[2]道具信息!N65)</f>
        <v/>
      </c>
      <c r="O65" s="26" t="str">
        <f>IF([2]道具信息!O65="","",[2]道具信息!O65)</f>
        <v/>
      </c>
      <c r="P65" s="26" t="str">
        <f>IF([2]道具信息!P65="","",[2]道具信息!P65)</f>
        <v/>
      </c>
      <c r="Q65" s="26" t="str">
        <f>IF([2]道具信息!Q65="","",[2]道具信息!Q65)</f>
        <v/>
      </c>
    </row>
    <row r="66" spans="3:17" x14ac:dyDescent="0.15">
      <c r="C66" s="26" t="str">
        <f>IF([2]道具信息!C66="","",[2]道具信息!C66)</f>
        <v/>
      </c>
      <c r="D66" s="26" t="str">
        <f>IF([2]道具信息!D66="","",[2]道具信息!D66)</f>
        <v>30天限时橙色皮肤</v>
      </c>
      <c r="E66" s="26">
        <f>IF([2]道具信息!E66="","",[2]道具信息!E66)</f>
        <v>16000</v>
      </c>
      <c r="F66" s="26">
        <f>IF([2]道具信息!F66="","",[2]道具信息!F66)</f>
        <v>0.5</v>
      </c>
      <c r="G66" s="26">
        <f>IF([2]道具信息!G66="","",[2]道具信息!G66)</f>
        <v>0.5</v>
      </c>
      <c r="H66" s="26">
        <f>IF([2]道具信息!H66="","",[2]道具信息!H66)</f>
        <v>0.5</v>
      </c>
      <c r="I66" s="26">
        <f>IF([2]道具信息!I66="","",[2]道具信息!I66)</f>
        <v>8000</v>
      </c>
      <c r="J66" s="26">
        <f>IF([2]道具信息!J66="","",[2]道具信息!J66)</f>
        <v>8000</v>
      </c>
      <c r="K66" s="26">
        <f>IF([2]道具信息!K66="","",[2]道具信息!K66)</f>
        <v>8000</v>
      </c>
      <c r="L66" s="26" t="str">
        <f>IF([2]道具信息!L66="","",[2]道具信息!L66)</f>
        <v>30天</v>
      </c>
      <c r="M66" s="26" t="str">
        <f>IF([2]道具信息!M66="","",[2]道具信息!M66)</f>
        <v/>
      </c>
      <c r="N66" s="26" t="str">
        <f>IF([2]道具信息!N66="","",[2]道具信息!N66)</f>
        <v/>
      </c>
      <c r="O66" s="26" t="str">
        <f>IF([2]道具信息!O66="","",[2]道具信息!O66)</f>
        <v/>
      </c>
      <c r="P66" s="26" t="str">
        <f>IF([2]道具信息!P66="","",[2]道具信息!P66)</f>
        <v/>
      </c>
      <c r="Q66" s="26" t="str">
        <f>IF([2]道具信息!Q66="","",[2]道具信息!Q66)</f>
        <v/>
      </c>
    </row>
    <row r="67" spans="3:17" x14ac:dyDescent="0.15">
      <c r="C67" s="26" t="str">
        <f>IF([2]道具信息!C67="","",[2]道具信息!C67)</f>
        <v/>
      </c>
      <c r="D67" s="26" t="str">
        <f>IF([2]道具信息!D67="","",[2]道具信息!D67)</f>
        <v>紫色外显</v>
      </c>
      <c r="E67" s="26">
        <f>IF([2]道具信息!E67="","",[2]道具信息!E67)</f>
        <v>6000</v>
      </c>
      <c r="F67" s="26">
        <f>IF([2]道具信息!F67="","",[2]道具信息!F67)</f>
        <v>0.75</v>
      </c>
      <c r="G67" s="26">
        <f>IF([2]道具信息!G67="","",[2]道具信息!G67)</f>
        <v>0.75</v>
      </c>
      <c r="H67" s="26">
        <f>IF([2]道具信息!H67="","",[2]道具信息!H67)</f>
        <v>0.1</v>
      </c>
      <c r="I67" s="26">
        <f>IF([2]道具信息!I67="","",[2]道具信息!I67)</f>
        <v>4500</v>
      </c>
      <c r="J67" s="26">
        <f>IF([2]道具信息!J67="","",[2]道具信息!J67)</f>
        <v>4500</v>
      </c>
      <c r="K67" s="26">
        <f>IF([2]道具信息!K67="","",[2]道具信息!K67)</f>
        <v>600</v>
      </c>
      <c r="L67" s="26" t="str">
        <f>IF([2]道具信息!L67="","",[2]道具信息!L67)</f>
        <v/>
      </c>
      <c r="M67" s="26" t="str">
        <f>IF([2]道具信息!M67="","",[2]道具信息!M67)</f>
        <v/>
      </c>
      <c r="N67" s="26" t="str">
        <f>IF([2]道具信息!N67="","",[2]道具信息!N67)</f>
        <v/>
      </c>
      <c r="O67" s="26" t="str">
        <f>IF([2]道具信息!O67="","",[2]道具信息!O67)</f>
        <v/>
      </c>
      <c r="P67" s="26" t="str">
        <f>IF([2]道具信息!P67="","",[2]道具信息!P67)</f>
        <v/>
      </c>
      <c r="Q67" s="26" t="str">
        <f>IF([2]道具信息!Q67="","",[2]道具信息!Q67)</f>
        <v/>
      </c>
    </row>
    <row r="68" spans="3:17" x14ac:dyDescent="0.15">
      <c r="C68" s="26" t="str">
        <f>IF([2]道具信息!C68="","",[2]道具信息!C68)</f>
        <v/>
      </c>
      <c r="D68" s="26" t="str">
        <f>IF([2]道具信息!D68="","",[2]道具信息!D68)</f>
        <v>橙色外显</v>
      </c>
      <c r="E68" s="26">
        <f>IF([2]道具信息!E68="","",[2]道具信息!E68)</f>
        <v>16000</v>
      </c>
      <c r="F68" s="26">
        <f>IF([2]道具信息!F68="","",[2]道具信息!F68)</f>
        <v>0.75</v>
      </c>
      <c r="G68" s="26">
        <f>IF([2]道具信息!G68="","",[2]道具信息!G68)</f>
        <v>0.75</v>
      </c>
      <c r="H68" s="26">
        <f>IF([2]道具信息!H68="","",[2]道具信息!H68)</f>
        <v>0.1</v>
      </c>
      <c r="I68" s="26">
        <f>IF([2]道具信息!I68="","",[2]道具信息!I68)</f>
        <v>12000</v>
      </c>
      <c r="J68" s="26">
        <f>IF([2]道具信息!J68="","",[2]道具信息!J68)</f>
        <v>12000</v>
      </c>
      <c r="K68" s="26">
        <f>IF([2]道具信息!K68="","",[2]道具信息!K68)</f>
        <v>1600</v>
      </c>
      <c r="L68" s="26" t="str">
        <f>IF([2]道具信息!L68="","",[2]道具信息!L68)</f>
        <v/>
      </c>
      <c r="M68" s="26" t="str">
        <f>IF([2]道具信息!M68="","",[2]道具信息!M68)</f>
        <v/>
      </c>
      <c r="N68" s="26" t="str">
        <f>IF([2]道具信息!N68="","",[2]道具信息!N68)</f>
        <v/>
      </c>
      <c r="O68" s="26" t="str">
        <f>IF([2]道具信息!O68="","",[2]道具信息!O68)</f>
        <v/>
      </c>
      <c r="P68" s="26" t="str">
        <f>IF([2]道具信息!P68="","",[2]道具信息!P68)</f>
        <v/>
      </c>
      <c r="Q68" s="26" t="str">
        <f>IF([2]道具信息!Q68="","",[2]道具信息!Q68)</f>
        <v/>
      </c>
    </row>
    <row r="69" spans="3:17" x14ac:dyDescent="0.15">
      <c r="C69" s="26" t="str">
        <f>IF([2]道具信息!C69="","",[2]道具信息!C69)</f>
        <v/>
      </c>
      <c r="D69" s="26" t="str">
        <f>IF([2]道具信息!D69="","",[2]道具信息!D69)</f>
        <v>红色外显</v>
      </c>
      <c r="E69" s="26">
        <f>IF([2]道具信息!E69="","",[2]道具信息!E69)</f>
        <v>150000</v>
      </c>
      <c r="F69" s="26">
        <f>IF([2]道具信息!F69="","",[2]道具信息!F69)</f>
        <v>1.5</v>
      </c>
      <c r="G69" s="26">
        <f>IF([2]道具信息!G69="","",[2]道具信息!G69)</f>
        <v>1.5</v>
      </c>
      <c r="H69" s="26">
        <f>IF([2]道具信息!H69="","",[2]道具信息!H69)</f>
        <v>0.2</v>
      </c>
      <c r="I69" s="26">
        <f>IF([2]道具信息!I69="","",[2]道具信息!I69)</f>
        <v>225000</v>
      </c>
      <c r="J69" s="26">
        <f>IF([2]道具信息!J69="","",[2]道具信息!J69)</f>
        <v>225000</v>
      </c>
      <c r="K69" s="26">
        <f>IF([2]道具信息!K69="","",[2]道具信息!K69)</f>
        <v>30000</v>
      </c>
      <c r="L69" s="26" t="str">
        <f>IF([2]道具信息!L69="","",[2]道具信息!L69)</f>
        <v/>
      </c>
      <c r="M69" s="26" t="str">
        <f>IF([2]道具信息!M69="","",[2]道具信息!M69)</f>
        <v/>
      </c>
      <c r="N69" s="26" t="str">
        <f>IF([2]道具信息!N69="","",[2]道具信息!N69)</f>
        <v/>
      </c>
      <c r="O69" s="26" t="str">
        <f>IF([2]道具信息!O69="","",[2]道具信息!O69)</f>
        <v/>
      </c>
      <c r="P69" s="26" t="str">
        <f>IF([2]道具信息!P69="","",[2]道具信息!P69)</f>
        <v/>
      </c>
      <c r="Q69" s="26" t="str">
        <f>IF([2]道具信息!Q69="","",[2]道具信息!Q69)</f>
        <v/>
      </c>
    </row>
    <row r="70" spans="3:17" x14ac:dyDescent="0.15">
      <c r="C70" s="26" t="str">
        <f>IF([2]道具信息!C70="","",[2]道具信息!C70)</f>
        <v/>
      </c>
      <c r="D70" s="26" t="str">
        <f>IF([2]道具信息!D70="","",[2]道具信息!D70)</f>
        <v>7天限时橙色外显</v>
      </c>
      <c r="E70" s="26">
        <f>IF([2]道具信息!E70="","",[2]道具信息!E70)</f>
        <v>16000</v>
      </c>
      <c r="F70" s="26">
        <f>IF([2]道具信息!F70="","",[2]道具信息!F70)</f>
        <v>0.15000000000000002</v>
      </c>
      <c r="G70" s="26">
        <f>IF([2]道具信息!G70="","",[2]道具信息!G70)</f>
        <v>0.15000000000000002</v>
      </c>
      <c r="H70" s="26">
        <f>IF([2]道具信息!H70="","",[2]道具信息!H70)</f>
        <v>0.02</v>
      </c>
      <c r="I70" s="26">
        <f>IF([2]道具信息!I70="","",[2]道具信息!I70)</f>
        <v>2400.0000000000005</v>
      </c>
      <c r="J70" s="26">
        <f>IF([2]道具信息!J70="","",[2]道具信息!J70)</f>
        <v>2400.0000000000005</v>
      </c>
      <c r="K70" s="26">
        <f>IF([2]道具信息!K70="","",[2]道具信息!K70)</f>
        <v>320</v>
      </c>
      <c r="L70" s="26" t="str">
        <f>IF([2]道具信息!L70="","",[2]道具信息!L70)</f>
        <v>7天</v>
      </c>
      <c r="M70" s="26" t="str">
        <f>IF([2]道具信息!M70="","",[2]道具信息!M70)</f>
        <v/>
      </c>
      <c r="N70" s="26" t="str">
        <f>IF([2]道具信息!N70="","",[2]道具信息!N70)</f>
        <v/>
      </c>
      <c r="O70" s="26" t="str">
        <f>IF([2]道具信息!O70="","",[2]道具信息!O70)</f>
        <v/>
      </c>
      <c r="P70" s="26" t="str">
        <f>IF([2]道具信息!P70="","",[2]道具信息!P70)</f>
        <v/>
      </c>
      <c r="Q70" s="26" t="str">
        <f>IF([2]道具信息!Q70="","",[2]道具信息!Q70)</f>
        <v/>
      </c>
    </row>
    <row r="71" spans="3:17" x14ac:dyDescent="0.15">
      <c r="C71" s="26" t="str">
        <f>IF([2]道具信息!C71="","",[2]道具信息!C71)</f>
        <v/>
      </c>
      <c r="D71" s="26" t="str">
        <f>IF([2]道具信息!D71="","",[2]道具信息!D71)</f>
        <v>30天限时橙色外显</v>
      </c>
      <c r="E71" s="26">
        <f>IF([2]道具信息!E71="","",[2]道具信息!E71)</f>
        <v>16000</v>
      </c>
      <c r="F71" s="26">
        <f>IF([2]道具信息!F71="","",[2]道具信息!F71)</f>
        <v>0.375</v>
      </c>
      <c r="G71" s="26">
        <f>IF([2]道具信息!G71="","",[2]道具信息!G71)</f>
        <v>0.375</v>
      </c>
      <c r="H71" s="26">
        <f>IF([2]道具信息!H71="","",[2]道具信息!H71)</f>
        <v>0.05</v>
      </c>
      <c r="I71" s="26">
        <f>IF([2]道具信息!I71="","",[2]道具信息!I71)</f>
        <v>6000</v>
      </c>
      <c r="J71" s="26">
        <f>IF([2]道具信息!J71="","",[2]道具信息!J71)</f>
        <v>6000</v>
      </c>
      <c r="K71" s="26">
        <f>IF([2]道具信息!K71="","",[2]道具信息!K71)</f>
        <v>800</v>
      </c>
      <c r="L71" s="26" t="str">
        <f>IF([2]道具信息!L71="","",[2]道具信息!L71)</f>
        <v>30天</v>
      </c>
      <c r="M71" s="26" t="str">
        <f>IF([2]道具信息!M71="","",[2]道具信息!M71)</f>
        <v/>
      </c>
      <c r="N71" s="26" t="str">
        <f>IF([2]道具信息!N71="","",[2]道具信息!N71)</f>
        <v/>
      </c>
      <c r="O71" s="26" t="str">
        <f>IF([2]道具信息!O71="","",[2]道具信息!O71)</f>
        <v/>
      </c>
      <c r="P71" s="26" t="str">
        <f>IF([2]道具信息!P71="","",[2]道具信息!P71)</f>
        <v/>
      </c>
      <c r="Q71" s="26" t="str">
        <f>IF([2]道具信息!Q71="","",[2]道具信息!Q71)</f>
        <v/>
      </c>
    </row>
    <row r="72" spans="3:17" x14ac:dyDescent="0.15">
      <c r="C72" s="26" t="str">
        <f>IF([2]道具信息!C72="","",[2]道具信息!C72)</f>
        <v/>
      </c>
      <c r="D72" s="26" t="str">
        <f>IF([2]道具信息!D72="","",[2]道具信息!D72)</f>
        <v/>
      </c>
      <c r="E72" s="26" t="str">
        <f>IF([2]道具信息!E72="","",[2]道具信息!E72)</f>
        <v/>
      </c>
      <c r="F72" s="26" t="str">
        <f>IF([2]道具信息!F72="","",[2]道具信息!F72)</f>
        <v/>
      </c>
      <c r="G72" s="26" t="str">
        <f>IF([2]道具信息!G72="","",[2]道具信息!G72)</f>
        <v/>
      </c>
      <c r="H72" s="26" t="str">
        <f>IF([2]道具信息!H72="","",[2]道具信息!H72)</f>
        <v/>
      </c>
      <c r="I72" s="26" t="str">
        <f>IF([2]道具信息!I72="","",[2]道具信息!I72)</f>
        <v/>
      </c>
      <c r="J72" s="26" t="str">
        <f>IF([2]道具信息!J72="","",[2]道具信息!J72)</f>
        <v/>
      </c>
      <c r="K72" s="26" t="str">
        <f>IF([2]道具信息!K72="","",[2]道具信息!K72)</f>
        <v/>
      </c>
      <c r="L72" s="26" t="str">
        <f>IF([2]道具信息!L72="","",[2]道具信息!L72)</f>
        <v/>
      </c>
      <c r="M72" s="26" t="str">
        <f>IF([2]道具信息!M72="","",[2]道具信息!M72)</f>
        <v/>
      </c>
      <c r="N72" s="26" t="str">
        <f>IF([2]道具信息!N72="","",[2]道具信息!N72)</f>
        <v/>
      </c>
      <c r="O72" s="26" t="str">
        <f>IF([2]道具信息!O72="","",[2]道具信息!O72)</f>
        <v/>
      </c>
      <c r="P72" s="26" t="str">
        <f>IF([2]道具信息!P72="","",[2]道具信息!P72)</f>
        <v/>
      </c>
      <c r="Q72" s="26" t="str">
        <f>IF([2]道具信息!Q72="","",[2]道具信息!Q72)</f>
        <v/>
      </c>
    </row>
    <row r="73" spans="3:17" x14ac:dyDescent="0.15">
      <c r="C73" s="26" t="str">
        <f>IF([2]道具信息!C73="","",[2]道具信息!C73)</f>
        <v/>
      </c>
      <c r="D73" s="26" t="str">
        <f>IF([2]道具信息!D73="","",[2]道具信息!D73)</f>
        <v/>
      </c>
      <c r="E73" s="26" t="str">
        <f>IF([2]道具信息!E73="","",[2]道具信息!E73)</f>
        <v/>
      </c>
      <c r="F73" s="26" t="str">
        <f>IF([2]道具信息!F73="","",[2]道具信息!F73)</f>
        <v/>
      </c>
      <c r="G73" s="26" t="str">
        <f>IF([2]道具信息!G73="","",[2]道具信息!G73)</f>
        <v/>
      </c>
      <c r="H73" s="26" t="str">
        <f>IF([2]道具信息!H73="","",[2]道具信息!H73)</f>
        <v/>
      </c>
      <c r="I73" s="26" t="str">
        <f>IF([2]道具信息!I73="","",[2]道具信息!I73)</f>
        <v/>
      </c>
      <c r="J73" s="26" t="str">
        <f>IF([2]道具信息!J73="","",[2]道具信息!J73)</f>
        <v/>
      </c>
      <c r="K73" s="26" t="str">
        <f>IF([2]道具信息!K73="","",[2]道具信息!K73)</f>
        <v/>
      </c>
      <c r="L73" s="26" t="str">
        <f>IF([2]道具信息!L73="","",[2]道具信息!L73)</f>
        <v/>
      </c>
      <c r="M73" s="26" t="str">
        <f>IF([2]道具信息!M73="","",[2]道具信息!M73)</f>
        <v/>
      </c>
      <c r="N73" s="26" t="str">
        <f>IF([2]道具信息!N73="","",[2]道具信息!N73)</f>
        <v/>
      </c>
      <c r="O73" s="26" t="str">
        <f>IF([2]道具信息!O73="","",[2]道具信息!O73)</f>
        <v/>
      </c>
      <c r="P73" s="26" t="str">
        <f>IF([2]道具信息!P73="","",[2]道具信息!P73)</f>
        <v/>
      </c>
      <c r="Q73" s="26" t="str">
        <f>IF([2]道具信息!Q73="","",[2]道具信息!Q73)</f>
        <v/>
      </c>
    </row>
    <row r="74" spans="3:17" x14ac:dyDescent="0.15">
      <c r="C74" s="26" t="str">
        <f>IF([2]道具信息!C74="","",[2]道具信息!C74)</f>
        <v/>
      </c>
      <c r="D74" s="26" t="str">
        <f>IF([2]道具信息!D74="","",[2]道具信息!D74)</f>
        <v/>
      </c>
      <c r="E74" s="26" t="str">
        <f>IF([2]道具信息!E74="","",[2]道具信息!E74)</f>
        <v/>
      </c>
      <c r="F74" s="26" t="str">
        <f>IF([2]道具信息!F74="","",[2]道具信息!F74)</f>
        <v/>
      </c>
      <c r="G74" s="26" t="str">
        <f>IF([2]道具信息!G74="","",[2]道具信息!G74)</f>
        <v/>
      </c>
      <c r="H74" s="26" t="str">
        <f>IF([2]道具信息!H74="","",[2]道具信息!H74)</f>
        <v/>
      </c>
      <c r="I74" s="26" t="str">
        <f>IF([2]道具信息!I74="","",[2]道具信息!I74)</f>
        <v/>
      </c>
      <c r="J74" s="26" t="str">
        <f>IF([2]道具信息!J74="","",[2]道具信息!J74)</f>
        <v/>
      </c>
      <c r="K74" s="26" t="str">
        <f>IF([2]道具信息!K74="","",[2]道具信息!K74)</f>
        <v/>
      </c>
      <c r="L74" s="26" t="str">
        <f>IF([2]道具信息!L74="","",[2]道具信息!L74)</f>
        <v/>
      </c>
      <c r="M74" s="26" t="str">
        <f>IF([2]道具信息!M74="","",[2]道具信息!M74)</f>
        <v/>
      </c>
      <c r="N74" s="26" t="str">
        <f>IF([2]道具信息!N74="","",[2]道具信息!N74)</f>
        <v/>
      </c>
      <c r="O74" s="26" t="str">
        <f>IF([2]道具信息!O74="","",[2]道具信息!O74)</f>
        <v/>
      </c>
      <c r="P74" s="26" t="str">
        <f>IF([2]道具信息!P74="","",[2]道具信息!P74)</f>
        <v/>
      </c>
      <c r="Q74" s="26" t="str">
        <f>IF([2]道具信息!Q74="","",[2]道具信息!Q74)</f>
        <v/>
      </c>
    </row>
    <row r="75" spans="3:17" x14ac:dyDescent="0.15">
      <c r="C75" s="26" t="str">
        <f>IF([2]道具信息!C75="","",[2]道具信息!C75)</f>
        <v/>
      </c>
      <c r="D75" s="26" t="str">
        <f>IF([2]道具信息!D75="","",[2]道具信息!D75)</f>
        <v>将军印</v>
      </c>
      <c r="E75" s="26">
        <f>IF([2]道具信息!E75="","",[2]道具信息!E75)</f>
        <v>1000</v>
      </c>
      <c r="F75" s="26">
        <f>IF([2]道具信息!F75="","",[2]道具信息!F75)</f>
        <v>1</v>
      </c>
      <c r="G75" s="26">
        <f>IF([2]道具信息!G75="","",[2]道具信息!G75)</f>
        <v>1</v>
      </c>
      <c r="H75" s="26">
        <f>IF([2]道具信息!H75="","",[2]道具信息!H75)</f>
        <v>1</v>
      </c>
      <c r="I75" s="26">
        <f>IF([2]道具信息!I75="","",[2]道具信息!I75)</f>
        <v>1000</v>
      </c>
      <c r="J75" s="26">
        <f>IF([2]道具信息!J75="","",[2]道具信息!J75)</f>
        <v>1000</v>
      </c>
      <c r="K75" s="26">
        <f>IF([2]道具信息!K75="","",[2]道具信息!K75)</f>
        <v>1000</v>
      </c>
      <c r="L75" s="26" t="str">
        <f>IF([2]道具信息!L75="","",[2]道具信息!L75)</f>
        <v/>
      </c>
      <c r="M75" s="26" t="str">
        <f>IF([2]道具信息!M75="","",[2]道具信息!M75)</f>
        <v/>
      </c>
      <c r="N75" s="26" t="str">
        <f>IF([2]道具信息!N75="","",[2]道具信息!N75)</f>
        <v/>
      </c>
      <c r="O75" s="26" t="str">
        <f>IF([2]道具信息!O75="","",[2]道具信息!O75)</f>
        <v/>
      </c>
      <c r="P75" s="26" t="str">
        <f>IF([2]道具信息!P75="","",[2]道具信息!P75)</f>
        <v/>
      </c>
      <c r="Q75" s="26" t="str">
        <f>IF([2]道具信息!Q75="","",[2]道具信息!Q75)</f>
        <v/>
      </c>
    </row>
    <row r="76" spans="3:17" x14ac:dyDescent="0.15">
      <c r="C76" s="26" t="str">
        <f>IF([2]道具信息!C76="","",[2]道具信息!C76)</f>
        <v/>
      </c>
      <c r="D76" s="26" t="str">
        <f>IF([2]道具信息!D76="","",[2]道具信息!D76)</f>
        <v>上将印</v>
      </c>
      <c r="E76" s="26">
        <f>IF([2]道具信息!E76="","",[2]道具信息!E76)</f>
        <v>2000</v>
      </c>
      <c r="F76" s="26">
        <f>IF([2]道具信息!F76="","",[2]道具信息!F76)</f>
        <v>1</v>
      </c>
      <c r="G76" s="26">
        <f>IF([2]道具信息!G76="","",[2]道具信息!G76)</f>
        <v>1</v>
      </c>
      <c r="H76" s="26">
        <f>IF([2]道具信息!H76="","",[2]道具信息!H76)</f>
        <v>1</v>
      </c>
      <c r="I76" s="26">
        <f>IF([2]道具信息!I76="","",[2]道具信息!I76)</f>
        <v>2000</v>
      </c>
      <c r="J76" s="26">
        <f>IF([2]道具信息!J76="","",[2]道具信息!J76)</f>
        <v>2000</v>
      </c>
      <c r="K76" s="26">
        <f>IF([2]道具信息!K76="","",[2]道具信息!K76)</f>
        <v>2000</v>
      </c>
      <c r="L76" s="26" t="str">
        <f>IF([2]道具信息!L76="","",[2]道具信息!L76)</f>
        <v/>
      </c>
      <c r="M76" s="26" t="str">
        <f>IF([2]道具信息!M76="","",[2]道具信息!M76)</f>
        <v/>
      </c>
      <c r="N76" s="26" t="str">
        <f>IF([2]道具信息!N76="","",[2]道具信息!N76)</f>
        <v/>
      </c>
      <c r="O76" s="26" t="str">
        <f>IF([2]道具信息!O76="","",[2]道具信息!O76)</f>
        <v/>
      </c>
      <c r="P76" s="26" t="str">
        <f>IF([2]道具信息!P76="","",[2]道具信息!P76)</f>
        <v/>
      </c>
      <c r="Q76" s="26" t="str">
        <f>IF([2]道具信息!Q76="","",[2]道具信息!Q76)</f>
        <v/>
      </c>
    </row>
    <row r="77" spans="3:17" x14ac:dyDescent="0.15">
      <c r="C77" s="26" t="str">
        <f>IF([2]道具信息!C77="","",[2]道具信息!C77)</f>
        <v/>
      </c>
      <c r="D77" s="26" t="str">
        <f>IF([2]道具信息!D77="","",[2]道具信息!D77)</f>
        <v>统帅印</v>
      </c>
      <c r="E77" s="26">
        <f>IF([2]道具信息!E77="","",[2]道具信息!E77)</f>
        <v>8000</v>
      </c>
      <c r="F77" s="26">
        <f>IF([2]道具信息!F77="","",[2]道具信息!F77)</f>
        <v>1</v>
      </c>
      <c r="G77" s="26">
        <f>IF([2]道具信息!G77="","",[2]道具信息!G77)</f>
        <v>1</v>
      </c>
      <c r="H77" s="26">
        <f>IF([2]道具信息!H77="","",[2]道具信息!H77)</f>
        <v>1</v>
      </c>
      <c r="I77" s="26">
        <f>IF([2]道具信息!I77="","",[2]道具信息!I77)</f>
        <v>8000</v>
      </c>
      <c r="J77" s="26">
        <f>IF([2]道具信息!J77="","",[2]道具信息!J77)</f>
        <v>8000</v>
      </c>
      <c r="K77" s="26">
        <f>IF([2]道具信息!K77="","",[2]道具信息!K77)</f>
        <v>8000</v>
      </c>
      <c r="L77" s="26" t="str">
        <f>IF([2]道具信息!L77="","",[2]道具信息!L77)</f>
        <v/>
      </c>
      <c r="M77" s="26" t="str">
        <f>IF([2]道具信息!M77="","",[2]道具信息!M77)</f>
        <v/>
      </c>
      <c r="N77" s="26" t="str">
        <f>IF([2]道具信息!N77="","",[2]道具信息!N77)</f>
        <v/>
      </c>
      <c r="O77" s="26" t="str">
        <f>IF([2]道具信息!O77="","",[2]道具信息!O77)</f>
        <v/>
      </c>
      <c r="P77" s="26" t="str">
        <f>IF([2]道具信息!P77="","",[2]道具信息!P77)</f>
        <v/>
      </c>
      <c r="Q77" s="26" t="str">
        <f>IF([2]道具信息!Q77="","",[2]道具信息!Q77)</f>
        <v/>
      </c>
    </row>
    <row r="78" spans="3:17" x14ac:dyDescent="0.15">
      <c r="C78" s="26" t="str">
        <f>IF([2]道具信息!C78="","",[2]道具信息!C78)</f>
        <v/>
      </c>
      <c r="D78" s="26" t="str">
        <f>IF([2]道具信息!D78="","",[2]道具信息!D78)</f>
        <v>将军印碎片</v>
      </c>
      <c r="E78" s="26">
        <f>IF([2]道具信息!E78="","",[2]道具信息!E78)</f>
        <v>33.333333333333336</v>
      </c>
      <c r="F78" s="26">
        <f>IF([2]道具信息!F78="","",[2]道具信息!F78)</f>
        <v>1</v>
      </c>
      <c r="G78" s="26">
        <f>IF([2]道具信息!G78="","",[2]道具信息!G78)</f>
        <v>1</v>
      </c>
      <c r="H78" s="26">
        <f>IF([2]道具信息!H78="","",[2]道具信息!H78)</f>
        <v>1</v>
      </c>
      <c r="I78" s="26">
        <f>IF([2]道具信息!I78="","",[2]道具信息!I78)</f>
        <v>33.333333333333336</v>
      </c>
      <c r="J78" s="26">
        <f>IF([2]道具信息!J78="","",[2]道具信息!J78)</f>
        <v>33.333333333333336</v>
      </c>
      <c r="K78" s="26">
        <f>IF([2]道具信息!K78="","",[2]道具信息!K78)</f>
        <v>33.333333333333336</v>
      </c>
      <c r="L78" s="26" t="str">
        <f>IF([2]道具信息!L78="","",[2]道具信息!L78)</f>
        <v>凑齐30个碎片可以合成1个将军印，可用于解锁武将的第四个特性</v>
      </c>
      <c r="M78" s="26" t="str">
        <f>IF([2]道具信息!M78="","",[2]道具信息!M78)</f>
        <v/>
      </c>
      <c r="N78" s="26" t="str">
        <f>IF([2]道具信息!N78="","",[2]道具信息!N78)</f>
        <v/>
      </c>
      <c r="O78" s="26" t="str">
        <f>IF([2]道具信息!O78="","",[2]道具信息!O78)</f>
        <v/>
      </c>
      <c r="P78" s="26" t="str">
        <f>IF([2]道具信息!P78="","",[2]道具信息!P78)</f>
        <v/>
      </c>
      <c r="Q78" s="26" t="str">
        <f>IF([2]道具信息!Q78="","",[2]道具信息!Q78)</f>
        <v/>
      </c>
    </row>
    <row r="79" spans="3:17" x14ac:dyDescent="0.15">
      <c r="C79" s="26" t="str">
        <f>IF([2]道具信息!C79="","",[2]道具信息!C79)</f>
        <v/>
      </c>
      <c r="D79" s="26" t="str">
        <f>IF([2]道具信息!D79="","",[2]道具信息!D79)</f>
        <v>上将印碎片</v>
      </c>
      <c r="E79" s="26">
        <f>IF([2]道具信息!E79="","",[2]道具信息!E79)</f>
        <v>66.666666666666671</v>
      </c>
      <c r="F79" s="26">
        <f>IF([2]道具信息!F79="","",[2]道具信息!F79)</f>
        <v>1</v>
      </c>
      <c r="G79" s="26">
        <f>IF([2]道具信息!G79="","",[2]道具信息!G79)</f>
        <v>1</v>
      </c>
      <c r="H79" s="26">
        <f>IF([2]道具信息!H79="","",[2]道具信息!H79)</f>
        <v>1</v>
      </c>
      <c r="I79" s="26">
        <f>IF([2]道具信息!I79="","",[2]道具信息!I79)</f>
        <v>66.666666666666671</v>
      </c>
      <c r="J79" s="26">
        <f>IF([2]道具信息!J79="","",[2]道具信息!J79)</f>
        <v>66.666666666666671</v>
      </c>
      <c r="K79" s="26">
        <f>IF([2]道具信息!K79="","",[2]道具信息!K79)</f>
        <v>66.666666666666671</v>
      </c>
      <c r="L79" s="26" t="str">
        <f>IF([2]道具信息!L79="","",[2]道具信息!L79)</f>
        <v>凑齐30个碎片可以合成1个上将印，可用于升级武将的第四个特性</v>
      </c>
      <c r="M79" s="26" t="str">
        <f>IF([2]道具信息!M79="","",[2]道具信息!M79)</f>
        <v/>
      </c>
      <c r="N79" s="26" t="str">
        <f>IF([2]道具信息!N79="","",[2]道具信息!N79)</f>
        <v/>
      </c>
      <c r="O79" s="26" t="str">
        <f>IF([2]道具信息!O79="","",[2]道具信息!O79)</f>
        <v/>
      </c>
      <c r="P79" s="26" t="str">
        <f>IF([2]道具信息!P79="","",[2]道具信息!P79)</f>
        <v/>
      </c>
      <c r="Q79" s="26" t="str">
        <f>IF([2]道具信息!Q79="","",[2]道具信息!Q79)</f>
        <v/>
      </c>
    </row>
    <row r="80" spans="3:17" x14ac:dyDescent="0.15">
      <c r="C80" s="26" t="str">
        <f>IF([2]道具信息!C80="","",[2]道具信息!C80)</f>
        <v/>
      </c>
      <c r="D80" s="26" t="str">
        <f>IF([2]道具信息!D80="","",[2]道具信息!D80)</f>
        <v>统帅印碎片</v>
      </c>
      <c r="E80" s="26">
        <f>IF([2]道具信息!E80="","",[2]道具信息!E80)</f>
        <v>266.66666666666669</v>
      </c>
      <c r="F80" s="26">
        <f>IF([2]道具信息!F80="","",[2]道具信息!F80)</f>
        <v>1</v>
      </c>
      <c r="G80" s="26">
        <f>IF([2]道具信息!G80="","",[2]道具信息!G80)</f>
        <v>1</v>
      </c>
      <c r="H80" s="26">
        <f>IF([2]道具信息!H80="","",[2]道具信息!H80)</f>
        <v>1</v>
      </c>
      <c r="I80" s="26">
        <f>IF([2]道具信息!I80="","",[2]道具信息!I80)</f>
        <v>266.66666666666669</v>
      </c>
      <c r="J80" s="26">
        <f>IF([2]道具信息!J80="","",[2]道具信息!J80)</f>
        <v>266.66666666666669</v>
      </c>
      <c r="K80" s="26">
        <f>IF([2]道具信息!K80="","",[2]道具信息!K80)</f>
        <v>266.66666666666669</v>
      </c>
      <c r="L80" s="26" t="str">
        <f>IF([2]道具信息!L80="","",[2]道具信息!L80)</f>
        <v>凑齐30个碎片可以合成1个统帅印，可用于升级武将的第四个特性</v>
      </c>
      <c r="M80" s="26" t="str">
        <f>IF([2]道具信息!M80="","",[2]道具信息!M80)</f>
        <v/>
      </c>
      <c r="N80" s="26" t="str">
        <f>IF([2]道具信息!N80="","",[2]道具信息!N80)</f>
        <v/>
      </c>
      <c r="O80" s="26" t="str">
        <f>IF([2]道具信息!O80="","",[2]道具信息!O80)</f>
        <v/>
      </c>
      <c r="P80" s="26" t="str">
        <f>IF([2]道具信息!P80="","",[2]道具信息!P80)</f>
        <v/>
      </c>
      <c r="Q80" s="26" t="str">
        <f>IF([2]道具信息!Q80="","",[2]道具信息!Q80)</f>
        <v/>
      </c>
    </row>
    <row r="81" spans="3:17" x14ac:dyDescent="0.15">
      <c r="C81" s="26" t="str">
        <f>IF([2]道具信息!C81="","",[2]道具信息!C81)</f>
        <v/>
      </c>
      <c r="D81" s="26" t="str">
        <f>IF([2]道具信息!D81="","",[2]道具信息!D81)</f>
        <v/>
      </c>
      <c r="E81" s="26" t="str">
        <f>IF([2]道具信息!E81="","",[2]道具信息!E81)</f>
        <v/>
      </c>
      <c r="F81" s="26" t="str">
        <f>IF([2]道具信息!F81="","",[2]道具信息!F81)</f>
        <v/>
      </c>
      <c r="G81" s="26" t="str">
        <f>IF([2]道具信息!G81="","",[2]道具信息!G81)</f>
        <v/>
      </c>
      <c r="H81" s="26" t="str">
        <f>IF([2]道具信息!H81="","",[2]道具信息!H81)</f>
        <v/>
      </c>
      <c r="I81" s="26" t="str">
        <f>IF([2]道具信息!I81="","",[2]道具信息!I81)</f>
        <v/>
      </c>
      <c r="J81" s="26" t="str">
        <f>IF([2]道具信息!J81="","",[2]道具信息!J81)</f>
        <v/>
      </c>
      <c r="K81" s="26" t="str">
        <f>IF([2]道具信息!K81="","",[2]道具信息!K81)</f>
        <v/>
      </c>
      <c r="L81" s="26" t="str">
        <f>IF([2]道具信息!L81="","",[2]道具信息!L81)</f>
        <v/>
      </c>
      <c r="M81" s="26" t="str">
        <f>IF([2]道具信息!M81="","",[2]道具信息!M81)</f>
        <v/>
      </c>
      <c r="N81" s="26" t="str">
        <f>IF([2]道具信息!N81="","",[2]道具信息!N81)</f>
        <v/>
      </c>
      <c r="O81" s="26" t="str">
        <f>IF([2]道具信息!O81="","",[2]道具信息!O81)</f>
        <v/>
      </c>
      <c r="P81" s="26" t="str">
        <f>IF([2]道具信息!P81="","",[2]道具信息!P81)</f>
        <v/>
      </c>
      <c r="Q81" s="26" t="str">
        <f>IF([2]道具信息!Q81="","",[2]道具信息!Q81)</f>
        <v/>
      </c>
    </row>
    <row r="82" spans="3:17" x14ac:dyDescent="0.15">
      <c r="C82" s="26" t="str">
        <f>IF([2]道具信息!C82="","",[2]道具信息!C82)</f>
        <v/>
      </c>
      <c r="D82" s="26" t="str">
        <f>IF([2]道具信息!D82="","",[2]道具信息!D82)</f>
        <v>高级免战牌</v>
      </c>
      <c r="E82" s="26">
        <f>IF([2]道具信息!E82="","",[2]道具信息!E82)</f>
        <v>400</v>
      </c>
      <c r="F82" s="26">
        <f>IF([2]道具信息!F82="","",[2]道具信息!F82)</f>
        <v>1</v>
      </c>
      <c r="G82" s="26">
        <f>IF([2]道具信息!G82="","",[2]道具信息!G82)</f>
        <v>1</v>
      </c>
      <c r="H82" s="26">
        <f>IF([2]道具信息!H82="","",[2]道具信息!H82)</f>
        <v>1</v>
      </c>
      <c r="I82" s="26">
        <f>IF([2]道具信息!I82="","",[2]道具信息!I82)</f>
        <v>400</v>
      </c>
      <c r="J82" s="26">
        <f>IF([2]道具信息!J82="","",[2]道具信息!J82)</f>
        <v>400</v>
      </c>
      <c r="K82" s="26">
        <f>IF([2]道具信息!K82="","",[2]道具信息!K82)</f>
        <v>400</v>
      </c>
      <c r="L82" s="26" t="str">
        <f>IF([2]道具信息!L82="","",[2]道具信息!L82)</f>
        <v/>
      </c>
      <c r="M82" s="26" t="str">
        <f>IF([2]道具信息!M82="","",[2]道具信息!M82)</f>
        <v/>
      </c>
      <c r="N82" s="26" t="str">
        <f>IF([2]道具信息!N82="","",[2]道具信息!N82)</f>
        <v/>
      </c>
      <c r="O82" s="26" t="str">
        <f>IF([2]道具信息!O82="","",[2]道具信息!O82)</f>
        <v/>
      </c>
      <c r="P82" s="26" t="str">
        <f>IF([2]道具信息!P82="","",[2]道具信息!P82)</f>
        <v/>
      </c>
      <c r="Q82" s="26" t="str">
        <f>IF([2]道具信息!Q82="","",[2]道具信息!Q82)</f>
        <v/>
      </c>
    </row>
    <row r="83" spans="3:17" x14ac:dyDescent="0.15">
      <c r="C83" s="26" t="str">
        <f>IF([2]道具信息!C83="","",[2]道具信息!C83)</f>
        <v/>
      </c>
      <c r="D83" s="26" t="str">
        <f>IF([2]道具信息!D83="","",[2]道具信息!D83)</f>
        <v>特级免战牌</v>
      </c>
      <c r="E83" s="26">
        <f>IF([2]道具信息!E83="","",[2]道具信息!E83)</f>
        <v>1500</v>
      </c>
      <c r="F83" s="26">
        <f>IF([2]道具信息!F83="","",[2]道具信息!F83)</f>
        <v>1</v>
      </c>
      <c r="G83" s="26">
        <f>IF([2]道具信息!G83="","",[2]道具信息!G83)</f>
        <v>1</v>
      </c>
      <c r="H83" s="26">
        <f>IF([2]道具信息!H83="","",[2]道具信息!H83)</f>
        <v>1</v>
      </c>
      <c r="I83" s="26">
        <f>IF([2]道具信息!I83="","",[2]道具信息!I83)</f>
        <v>1500</v>
      </c>
      <c r="J83" s="26">
        <f>IF([2]道具信息!J83="","",[2]道具信息!J83)</f>
        <v>1500</v>
      </c>
      <c r="K83" s="26">
        <f>IF([2]道具信息!K83="","",[2]道具信息!K83)</f>
        <v>1500</v>
      </c>
      <c r="L83" s="26" t="str">
        <f>IF([2]道具信息!L83="","",[2]道具信息!L83)</f>
        <v/>
      </c>
      <c r="M83" s="26" t="str">
        <f>IF([2]道具信息!M83="","",[2]道具信息!M83)</f>
        <v/>
      </c>
      <c r="N83" s="26" t="str">
        <f>IF([2]道具信息!N83="","",[2]道具信息!N83)</f>
        <v/>
      </c>
      <c r="O83" s="26" t="str">
        <f>IF([2]道具信息!O83="","",[2]道具信息!O83)</f>
        <v/>
      </c>
      <c r="P83" s="26" t="str">
        <f>IF([2]道具信息!P83="","",[2]道具信息!P83)</f>
        <v/>
      </c>
      <c r="Q83" s="26" t="str">
        <f>IF([2]道具信息!Q83="","",[2]道具信息!Q83)</f>
        <v/>
      </c>
    </row>
    <row r="84" spans="3:17" x14ac:dyDescent="0.15">
      <c r="C84" s="26" t="str">
        <f>IF([2]道具信息!C84="","",[2]道具信息!C84)</f>
        <v/>
      </c>
      <c r="D84" s="26" t="str">
        <f>IF([2]道具信息!D84="","",[2]道具信息!D84)</f>
        <v/>
      </c>
      <c r="E84" s="26" t="str">
        <f>IF([2]道具信息!E84="","",[2]道具信息!E84)</f>
        <v/>
      </c>
      <c r="F84" s="26" t="str">
        <f>IF([2]道具信息!F84="","",[2]道具信息!F84)</f>
        <v/>
      </c>
      <c r="G84" s="26" t="str">
        <f>IF([2]道具信息!G84="","",[2]道具信息!G84)</f>
        <v/>
      </c>
      <c r="H84" s="26" t="str">
        <f>IF([2]道具信息!H84="","",[2]道具信息!H84)</f>
        <v/>
      </c>
      <c r="I84" s="26" t="str">
        <f>IF([2]道具信息!I84="","",[2]道具信息!I84)</f>
        <v/>
      </c>
      <c r="J84" s="26" t="str">
        <f>IF([2]道具信息!J84="","",[2]道具信息!J84)</f>
        <v/>
      </c>
      <c r="K84" s="26" t="str">
        <f>IF([2]道具信息!K84="","",[2]道具信息!K84)</f>
        <v/>
      </c>
      <c r="L84" s="26" t="str">
        <f>IF([2]道具信息!L84="","",[2]道具信息!L84)</f>
        <v/>
      </c>
      <c r="M84" s="26" t="str">
        <f>IF([2]道具信息!M84="","",[2]道具信息!M84)</f>
        <v/>
      </c>
      <c r="N84" s="26" t="str">
        <f>IF([2]道具信息!N84="","",[2]道具信息!N84)</f>
        <v/>
      </c>
      <c r="O84" s="26" t="str">
        <f>IF([2]道具信息!O84="","",[2]道具信息!O84)</f>
        <v/>
      </c>
      <c r="P84" s="26" t="str">
        <f>IF([2]道具信息!P84="","",[2]道具信息!P84)</f>
        <v/>
      </c>
      <c r="Q84" s="26" t="str">
        <f>IF([2]道具信息!Q84="","",[2]道具信息!Q84)</f>
        <v/>
      </c>
    </row>
    <row r="85" spans="3:17" x14ac:dyDescent="0.15">
      <c r="C85" s="26" t="str">
        <f>IF([2]道具信息!C85="","",[2]道具信息!C85)</f>
        <v/>
      </c>
      <c r="D85" s="26" t="str">
        <f>IF([2]道具信息!D85="","",[2]道具信息!D85)</f>
        <v>指定or任选紫色兵法碎片</v>
      </c>
      <c r="E85" s="26">
        <f>IF([2]道具信息!E85="","",[2]道具信息!E85)</f>
        <v>75</v>
      </c>
      <c r="F85" s="26">
        <f>IF([2]道具信息!F85="","",[2]道具信息!F85)</f>
        <v>1</v>
      </c>
      <c r="G85" s="26">
        <f>IF([2]道具信息!G85="","",[2]道具信息!G85)</f>
        <v>1</v>
      </c>
      <c r="H85" s="26">
        <f>IF([2]道具信息!H85="","",[2]道具信息!H85)</f>
        <v>1</v>
      </c>
      <c r="I85" s="26">
        <f>IF([2]道具信息!I85="","",[2]道具信息!I85)</f>
        <v>75</v>
      </c>
      <c r="J85" s="26">
        <f>IF([2]道具信息!J85="","",[2]道具信息!J85)</f>
        <v>75</v>
      </c>
      <c r="K85" s="26">
        <f>IF([2]道具信息!K85="","",[2]道具信息!K85)</f>
        <v>75</v>
      </c>
      <c r="L85" s="26" t="str">
        <f>IF([2]道具信息!L85="","",[2]道具信息!L85)</f>
        <v/>
      </c>
      <c r="M85" s="26" t="str">
        <f>IF([2]道具信息!M85="","",[2]道具信息!M85)</f>
        <v/>
      </c>
      <c r="N85" s="26" t="str">
        <f>IF([2]道具信息!N85="","",[2]道具信息!N85)</f>
        <v/>
      </c>
      <c r="O85" s="26" t="str">
        <f>IF([2]道具信息!O85="","",[2]道具信息!O85)</f>
        <v/>
      </c>
      <c r="P85" s="26" t="str">
        <f>IF([2]道具信息!P85="","",[2]道具信息!P85)</f>
        <v/>
      </c>
      <c r="Q85" s="26" t="str">
        <f>IF([2]道具信息!Q85="","",[2]道具信息!Q85)</f>
        <v/>
      </c>
    </row>
    <row r="86" spans="3:17" x14ac:dyDescent="0.15">
      <c r="C86" s="26" t="str">
        <f>IF([2]道具信息!C86="","",[2]道具信息!C86)</f>
        <v/>
      </c>
      <c r="D86" s="26" t="str">
        <f>IF([2]道具信息!D86="","",[2]道具信息!D86)</f>
        <v>指定or任选橙色兵法碎片</v>
      </c>
      <c r="E86" s="26">
        <f>IF([2]道具信息!E86="","",[2]道具信息!E86)</f>
        <v>111.66666666666667</v>
      </c>
      <c r="F86" s="26">
        <f>IF([2]道具信息!F86="","",[2]道具信息!F86)</f>
        <v>1</v>
      </c>
      <c r="G86" s="26">
        <f>IF([2]道具信息!G86="","",[2]道具信息!G86)</f>
        <v>1</v>
      </c>
      <c r="H86" s="26">
        <f>IF([2]道具信息!H86="","",[2]道具信息!H86)</f>
        <v>1</v>
      </c>
      <c r="I86" s="26">
        <f>IF([2]道具信息!I86="","",[2]道具信息!I86)</f>
        <v>111.66666666666667</v>
      </c>
      <c r="J86" s="26">
        <f>IF([2]道具信息!J86="","",[2]道具信息!J86)</f>
        <v>111.66666666666667</v>
      </c>
      <c r="K86" s="26">
        <f>IF([2]道具信息!K86="","",[2]道具信息!K86)</f>
        <v>111.66666666666667</v>
      </c>
      <c r="L86" s="26" t="str">
        <f>IF([2]道具信息!L86="","",[2]道具信息!L86)</f>
        <v/>
      </c>
      <c r="M86" s="26" t="str">
        <f>IF([2]道具信息!M86="","",[2]道具信息!M86)</f>
        <v/>
      </c>
      <c r="N86" s="26" t="str">
        <f>IF([2]道具信息!N86="","",[2]道具信息!N86)</f>
        <v/>
      </c>
      <c r="O86" s="26" t="str">
        <f>IF([2]道具信息!O86="","",[2]道具信息!O86)</f>
        <v/>
      </c>
      <c r="P86" s="26" t="str">
        <f>IF([2]道具信息!P86="","",[2]道具信息!P86)</f>
        <v/>
      </c>
      <c r="Q86" s="26" t="str">
        <f>IF([2]道具信息!Q86="","",[2]道具信息!Q86)</f>
        <v/>
      </c>
    </row>
    <row r="87" spans="3:17" x14ac:dyDescent="0.15">
      <c r="C87" s="26" t="str">
        <f>IF([2]道具信息!C87="","",[2]道具信息!C87)</f>
        <v/>
      </c>
      <c r="D87" s="26" t="str">
        <f>IF([2]道具信息!D87="","",[2]道具信息!D87)</f>
        <v>指定or任选红色兵法碎片</v>
      </c>
      <c r="E87" s="26">
        <f>IF([2]道具信息!E87="","",[2]道具信息!E87)</f>
        <v>305.5</v>
      </c>
      <c r="F87" s="26">
        <f>IF([2]道具信息!F87="","",[2]道具信息!F87)</f>
        <v>1</v>
      </c>
      <c r="G87" s="26">
        <f>IF([2]道具信息!G87="","",[2]道具信息!G87)</f>
        <v>1</v>
      </c>
      <c r="H87" s="26">
        <f>IF([2]道具信息!H87="","",[2]道具信息!H87)</f>
        <v>1</v>
      </c>
      <c r="I87" s="26">
        <f>IF([2]道具信息!I87="","",[2]道具信息!I87)</f>
        <v>305.5</v>
      </c>
      <c r="J87" s="26">
        <f>IF([2]道具信息!J87="","",[2]道具信息!J87)</f>
        <v>305.5</v>
      </c>
      <c r="K87" s="26">
        <f>IF([2]道具信息!K87="","",[2]道具信息!K87)</f>
        <v>305.5</v>
      </c>
      <c r="L87" s="26" t="str">
        <f>IF([2]道具信息!L87="","",[2]道具信息!L87)</f>
        <v/>
      </c>
      <c r="M87" s="26" t="str">
        <f>IF([2]道具信息!M87="","",[2]道具信息!M87)</f>
        <v/>
      </c>
      <c r="N87" s="26" t="str">
        <f>IF([2]道具信息!N87="","",[2]道具信息!N87)</f>
        <v/>
      </c>
      <c r="O87" s="26" t="str">
        <f>IF([2]道具信息!O87="","",[2]道具信息!O87)</f>
        <v/>
      </c>
      <c r="P87" s="26" t="str">
        <f>IF([2]道具信息!P87="","",[2]道具信息!P87)</f>
        <v/>
      </c>
      <c r="Q87" s="26" t="str">
        <f>IF([2]道具信息!Q87="","",[2]道具信息!Q87)</f>
        <v/>
      </c>
    </row>
    <row r="88" spans="3:17" x14ac:dyDescent="0.15">
      <c r="C88" s="26" t="str">
        <f>IF([2]道具信息!C88="","",[2]道具信息!C88)</f>
        <v/>
      </c>
      <c r="D88" s="26" t="str">
        <f>IF([2]道具信息!D88="","",[2]道具信息!D88)</f>
        <v>随机紫色兵法碎片</v>
      </c>
      <c r="E88" s="26">
        <f>IF([2]道具信息!E88="","",[2]道具信息!E88)</f>
        <v>50</v>
      </c>
      <c r="F88" s="26">
        <f>IF([2]道具信息!F88="","",[2]道具信息!F88)</f>
        <v>1</v>
      </c>
      <c r="G88" s="26">
        <f>IF([2]道具信息!G88="","",[2]道具信息!G88)</f>
        <v>1</v>
      </c>
      <c r="H88" s="26">
        <f>IF([2]道具信息!H88="","",[2]道具信息!H88)</f>
        <v>1</v>
      </c>
      <c r="I88" s="26">
        <f>IF([2]道具信息!I88="","",[2]道具信息!I88)</f>
        <v>50</v>
      </c>
      <c r="J88" s="26">
        <f>IF([2]道具信息!J88="","",[2]道具信息!J88)</f>
        <v>50</v>
      </c>
      <c r="K88" s="26">
        <f>IF([2]道具信息!K88="","",[2]道具信息!K88)</f>
        <v>50</v>
      </c>
      <c r="L88" s="26" t="str">
        <f>IF([2]道具信息!L88="","",[2]道具信息!L88)</f>
        <v/>
      </c>
      <c r="M88" s="26" t="str">
        <f>IF([2]道具信息!M88="","",[2]道具信息!M88)</f>
        <v/>
      </c>
      <c r="N88" s="26" t="str">
        <f>IF([2]道具信息!N88="","",[2]道具信息!N88)</f>
        <v/>
      </c>
      <c r="O88" s="26" t="str">
        <f>IF([2]道具信息!O88="","",[2]道具信息!O88)</f>
        <v/>
      </c>
      <c r="P88" s="26" t="str">
        <f>IF([2]道具信息!P88="","",[2]道具信息!P88)</f>
        <v/>
      </c>
      <c r="Q88" s="26" t="str">
        <f>IF([2]道具信息!Q88="","",[2]道具信息!Q88)</f>
        <v/>
      </c>
    </row>
    <row r="89" spans="3:17" x14ac:dyDescent="0.15">
      <c r="C89" s="26" t="str">
        <f>IF([2]道具信息!C89="","",[2]道具信息!C89)</f>
        <v/>
      </c>
      <c r="D89" s="26" t="str">
        <f>IF([2]道具信息!D89="","",[2]道具信息!D89)</f>
        <v>随机橙色兵法碎片</v>
      </c>
      <c r="E89" s="26">
        <f>IF([2]道具信息!E89="","",[2]道具信息!E89)</f>
        <v>56</v>
      </c>
      <c r="F89" s="26">
        <f>IF([2]道具信息!F89="","",[2]道具信息!F89)</f>
        <v>1</v>
      </c>
      <c r="G89" s="26">
        <f>IF([2]道具信息!G89="","",[2]道具信息!G89)</f>
        <v>1</v>
      </c>
      <c r="H89" s="26">
        <f>IF([2]道具信息!H89="","",[2]道具信息!H89)</f>
        <v>1</v>
      </c>
      <c r="I89" s="26">
        <f>IF([2]道具信息!I89="","",[2]道具信息!I89)</f>
        <v>56</v>
      </c>
      <c r="J89" s="26">
        <f>IF([2]道具信息!J89="","",[2]道具信息!J89)</f>
        <v>56</v>
      </c>
      <c r="K89" s="26">
        <f>IF([2]道具信息!K89="","",[2]道具信息!K89)</f>
        <v>56</v>
      </c>
      <c r="L89" s="26" t="str">
        <f>IF([2]道具信息!L89="","",[2]道具信息!L89)</f>
        <v/>
      </c>
      <c r="M89" s="26" t="str">
        <f>IF([2]道具信息!M89="","",[2]道具信息!M89)</f>
        <v/>
      </c>
      <c r="N89" s="26" t="str">
        <f>IF([2]道具信息!N89="","",[2]道具信息!N89)</f>
        <v/>
      </c>
      <c r="O89" s="26" t="str">
        <f>IF([2]道具信息!O89="","",[2]道具信息!O89)</f>
        <v/>
      </c>
      <c r="P89" s="26" t="str">
        <f>IF([2]道具信息!P89="","",[2]道具信息!P89)</f>
        <v/>
      </c>
      <c r="Q89" s="26" t="str">
        <f>IF([2]道具信息!Q89="","",[2]道具信息!Q89)</f>
        <v/>
      </c>
    </row>
    <row r="90" spans="3:17" x14ac:dyDescent="0.15">
      <c r="C90" s="26" t="str">
        <f>IF([2]道具信息!C90="","",[2]道具信息!C90)</f>
        <v/>
      </c>
      <c r="D90" s="26" t="str">
        <f>IF([2]道具信息!D90="","",[2]道具信息!D90)</f>
        <v>随机极兵法碎片</v>
      </c>
      <c r="E90" s="26">
        <f>IF([2]道具信息!E90="","",[2]道具信息!E90)</f>
        <v>305.5</v>
      </c>
      <c r="F90" s="26">
        <f>IF([2]道具信息!F90="","",[2]道具信息!F90)</f>
        <v>1</v>
      </c>
      <c r="G90" s="26">
        <f>IF([2]道具信息!G90="","",[2]道具信息!G90)</f>
        <v>1</v>
      </c>
      <c r="H90" s="26">
        <f>IF([2]道具信息!H90="","",[2]道具信息!H90)</f>
        <v>1</v>
      </c>
      <c r="I90" s="26">
        <f>IF([2]道具信息!I90="","",[2]道具信息!I90)</f>
        <v>305.5</v>
      </c>
      <c r="J90" s="26">
        <f>IF([2]道具信息!J90="","",[2]道具信息!J90)</f>
        <v>305.5</v>
      </c>
      <c r="K90" s="26">
        <f>IF([2]道具信息!K90="","",[2]道具信息!K90)</f>
        <v>305.5</v>
      </c>
      <c r="L90" s="26" t="str">
        <f>IF([2]道具信息!L90="","",[2]道具信息!L90)</f>
        <v/>
      </c>
      <c r="M90" s="26" t="str">
        <f>IF([2]道具信息!M90="","",[2]道具信息!M90)</f>
        <v/>
      </c>
      <c r="N90" s="26" t="str">
        <f>IF([2]道具信息!N90="","",[2]道具信息!N90)</f>
        <v/>
      </c>
      <c r="O90" s="26" t="str">
        <f>IF([2]道具信息!O90="","",[2]道具信息!O90)</f>
        <v/>
      </c>
      <c r="P90" s="26" t="str">
        <f>IF([2]道具信息!P90="","",[2]道具信息!P90)</f>
        <v/>
      </c>
      <c r="Q90" s="26" t="str">
        <f>IF([2]道具信息!Q90="","",[2]道具信息!Q90)</f>
        <v/>
      </c>
    </row>
    <row r="91" spans="3:17" x14ac:dyDescent="0.15">
      <c r="C91" s="26" t="str">
        <f>IF([2]道具信息!C91="","",[2]道具信息!C91)</f>
        <v/>
      </c>
      <c r="D91" s="26" t="str">
        <f>IF([2]道具信息!D91="","",[2]道具信息!D91)</f>
        <v>红色装备自选碎片</v>
      </c>
      <c r="E91" s="26">
        <f>IF([2]道具信息!E91="","",[2]道具信息!E91)</f>
        <v>144</v>
      </c>
      <c r="F91" s="26">
        <f>IF([2]道具信息!F91="","",[2]道具信息!F91)</f>
        <v>1</v>
      </c>
      <c r="G91" s="26">
        <f>IF([2]道具信息!G91="","",[2]道具信息!G91)</f>
        <v>1</v>
      </c>
      <c r="H91" s="26">
        <f>IF([2]道具信息!H91="","",[2]道具信息!H91)</f>
        <v>1</v>
      </c>
      <c r="I91" s="26">
        <f>IF([2]道具信息!I91="","",[2]道具信息!I91)</f>
        <v>144</v>
      </c>
      <c r="J91" s="26">
        <f>IF([2]道具信息!J91="","",[2]道具信息!J91)</f>
        <v>144</v>
      </c>
      <c r="K91" s="26">
        <f>IF([2]道具信息!K91="","",[2]道具信息!K91)</f>
        <v>144</v>
      </c>
      <c r="L91" s="26" t="str">
        <f>IF([2]道具信息!L91="","",[2]道具信息!L91)</f>
        <v/>
      </c>
      <c r="M91" s="26" t="str">
        <f>IF([2]道具信息!M91="","",[2]道具信息!M91)</f>
        <v/>
      </c>
      <c r="N91" s="26" t="str">
        <f>IF([2]道具信息!N91="","",[2]道具信息!N91)</f>
        <v/>
      </c>
      <c r="O91" s="26" t="str">
        <f>IF([2]道具信息!O91="","",[2]道具信息!O91)</f>
        <v/>
      </c>
      <c r="P91" s="26" t="str">
        <f>IF([2]道具信息!P91="","",[2]道具信息!P91)</f>
        <v/>
      </c>
      <c r="Q91" s="26" t="str">
        <f>IF([2]道具信息!Q91="","",[2]道具信息!Q91)</f>
        <v/>
      </c>
    </row>
    <row r="92" spans="3:17" x14ac:dyDescent="0.15">
      <c r="C92" s="26" t="str">
        <f>IF([2]道具信息!C92="","",[2]道具信息!C92)</f>
        <v/>
      </c>
      <c r="D92" s="26" t="str">
        <f>IF([2]道具信息!D92="","",[2]道具信息!D92)</f>
        <v>红+装备自选碎片</v>
      </c>
      <c r="E92" s="26">
        <f>IF([2]道具信息!E92="","",[2]道具信息!E92)</f>
        <v>288</v>
      </c>
      <c r="F92" s="26">
        <f>IF([2]道具信息!F92="","",[2]道具信息!F92)</f>
        <v>1.56</v>
      </c>
      <c r="G92" s="26">
        <f>IF([2]道具信息!G92="","",[2]道具信息!G92)</f>
        <v>1.56</v>
      </c>
      <c r="H92" s="26">
        <f>IF([2]道具信息!H92="","",[2]道具信息!H92)</f>
        <v>1.56</v>
      </c>
      <c r="I92" s="26">
        <f>IF([2]道具信息!I92="","",[2]道具信息!I92)</f>
        <v>449.28000000000003</v>
      </c>
      <c r="J92" s="26">
        <f>IF([2]道具信息!J92="","",[2]道具信息!J92)</f>
        <v>449.28000000000003</v>
      </c>
      <c r="K92" s="26">
        <f>IF([2]道具信息!K92="","",[2]道具信息!K92)</f>
        <v>449.28000000000003</v>
      </c>
      <c r="L92" s="26" t="str">
        <f>IF([2]道具信息!L92="","",[2]道具信息!L92)</f>
        <v/>
      </c>
      <c r="M92" s="26" t="str">
        <f>IF([2]道具信息!M92="","",[2]道具信息!M92)</f>
        <v/>
      </c>
      <c r="N92" s="26" t="str">
        <f>IF([2]道具信息!N92="","",[2]道具信息!N92)</f>
        <v/>
      </c>
      <c r="O92" s="26" t="str">
        <f>IF([2]道具信息!O92="","",[2]道具信息!O92)</f>
        <v/>
      </c>
      <c r="P92" s="26" t="str">
        <f>IF([2]道具信息!P92="","",[2]道具信息!P92)</f>
        <v/>
      </c>
      <c r="Q92" s="26" t="str">
        <f>IF([2]道具信息!Q92="","",[2]道具信息!Q92)</f>
        <v/>
      </c>
    </row>
    <row r="93" spans="3:17" x14ac:dyDescent="0.15">
      <c r="C93" s="26" t="str">
        <f>IF([2]道具信息!C93="","",[2]道具信息!C93)</f>
        <v/>
      </c>
      <c r="D93" s="26" t="str">
        <f>IF([2]道具信息!D93="","",[2]道具信息!D93)</f>
        <v/>
      </c>
      <c r="E93" s="26" t="str">
        <f>IF([2]道具信息!E93="","",[2]道具信息!E93)</f>
        <v/>
      </c>
      <c r="F93" s="26" t="str">
        <f>IF([2]道具信息!F93="","",[2]道具信息!F93)</f>
        <v/>
      </c>
      <c r="G93" s="26" t="str">
        <f>IF([2]道具信息!G93="","",[2]道具信息!G93)</f>
        <v/>
      </c>
      <c r="H93" s="26" t="str">
        <f>IF([2]道具信息!H93="","",[2]道具信息!H93)</f>
        <v/>
      </c>
      <c r="I93" s="26" t="str">
        <f>IF([2]道具信息!I93="","",[2]道具信息!I93)</f>
        <v/>
      </c>
      <c r="J93" s="26" t="str">
        <f>IF([2]道具信息!J93="","",[2]道具信息!J93)</f>
        <v/>
      </c>
      <c r="K93" s="26" t="str">
        <f>IF([2]道具信息!K93="","",[2]道具信息!K93)</f>
        <v/>
      </c>
      <c r="L93" s="26" t="str">
        <f>IF([2]道具信息!L93="","",[2]道具信息!L93)</f>
        <v/>
      </c>
      <c r="M93" s="26" t="str">
        <f>IF([2]道具信息!M93="","",[2]道具信息!M93)</f>
        <v/>
      </c>
      <c r="N93" s="26" t="str">
        <f>IF([2]道具信息!N93="","",[2]道具信息!N93)</f>
        <v/>
      </c>
      <c r="O93" s="26" t="str">
        <f>IF([2]道具信息!O93="","",[2]道具信息!O93)</f>
        <v/>
      </c>
      <c r="P93" s="26" t="str">
        <f>IF([2]道具信息!P93="","",[2]道具信息!P93)</f>
        <v/>
      </c>
      <c r="Q93" s="26" t="str">
        <f>IF([2]道具信息!Q93="","",[2]道具信息!Q93)</f>
        <v/>
      </c>
    </row>
    <row r="94" spans="3:17" x14ac:dyDescent="0.15">
      <c r="C94" s="26" t="str">
        <f>IF([2]道具信息!C94="","",[2]道具信息!C94)</f>
        <v/>
      </c>
      <c r="D94" s="26" t="str">
        <f>IF([2]道具信息!D94="","",[2]道具信息!D94)</f>
        <v>随机蓝色阵法</v>
      </c>
      <c r="E94" s="26">
        <f>IF([2]道具信息!E94="","",[2]道具信息!E94)</f>
        <v>100</v>
      </c>
      <c r="F94" s="26">
        <f>IF([2]道具信息!F94="","",[2]道具信息!F94)</f>
        <v>1</v>
      </c>
      <c r="G94" s="26">
        <f>IF([2]道具信息!G94="","",[2]道具信息!G94)</f>
        <v>1</v>
      </c>
      <c r="H94" s="26">
        <f>IF([2]道具信息!H94="","",[2]道具信息!H94)</f>
        <v>1</v>
      </c>
      <c r="I94" s="26">
        <f>IF([2]道具信息!I94="","",[2]道具信息!I94)</f>
        <v>100</v>
      </c>
      <c r="J94" s="26">
        <f>IF([2]道具信息!J94="","",[2]道具信息!J94)</f>
        <v>100</v>
      </c>
      <c r="K94" s="26">
        <f>IF([2]道具信息!K94="","",[2]道具信息!K94)</f>
        <v>100</v>
      </c>
      <c r="L94" s="26" t="str">
        <f>IF([2]道具信息!L94="","",[2]道具信息!L94)</f>
        <v/>
      </c>
      <c r="M94" s="26" t="str">
        <f>IF([2]道具信息!M94="","",[2]道具信息!M94)</f>
        <v/>
      </c>
      <c r="N94" s="26" t="str">
        <f>IF([2]道具信息!N94="","",[2]道具信息!N94)</f>
        <v/>
      </c>
      <c r="O94" s="26" t="str">
        <f>IF([2]道具信息!O94="","",[2]道具信息!O94)</f>
        <v/>
      </c>
      <c r="P94" s="26" t="str">
        <f>IF([2]道具信息!P94="","",[2]道具信息!P94)</f>
        <v/>
      </c>
      <c r="Q94" s="26" t="str">
        <f>IF([2]道具信息!Q94="","",[2]道具信息!Q94)</f>
        <v/>
      </c>
    </row>
    <row r="95" spans="3:17" x14ac:dyDescent="0.15">
      <c r="C95" s="26" t="str">
        <f>IF([2]道具信息!C95="","",[2]道具信息!C95)</f>
        <v/>
      </c>
      <c r="D95" s="26" t="str">
        <f>IF([2]道具信息!D95="","",[2]道具信息!D95)</f>
        <v>随机紫色阵法</v>
      </c>
      <c r="E95" s="26">
        <f>IF([2]道具信息!E95="","",[2]道具信息!E95)</f>
        <v>1000</v>
      </c>
      <c r="F95" s="26">
        <f>IF([2]道具信息!F95="","",[2]道具信息!F95)</f>
        <v>1</v>
      </c>
      <c r="G95" s="26">
        <f>IF([2]道具信息!G95="","",[2]道具信息!G95)</f>
        <v>0.75</v>
      </c>
      <c r="H95" s="26">
        <f>IF([2]道具信息!H95="","",[2]道具信息!H95)</f>
        <v>0.5</v>
      </c>
      <c r="I95" s="26">
        <f>IF([2]道具信息!I95="","",[2]道具信息!I95)</f>
        <v>1000</v>
      </c>
      <c r="J95" s="26">
        <f>IF([2]道具信息!J95="","",[2]道具信息!J95)</f>
        <v>750</v>
      </c>
      <c r="K95" s="26">
        <f>IF([2]道具信息!K95="","",[2]道具信息!K95)</f>
        <v>500</v>
      </c>
      <c r="L95" s="26" t="str">
        <f>IF([2]道具信息!L95="","",[2]道具信息!L95)</f>
        <v/>
      </c>
      <c r="M95" s="26" t="str">
        <f>IF([2]道具信息!M95="","",[2]道具信息!M95)</f>
        <v/>
      </c>
      <c r="N95" s="26" t="str">
        <f>IF([2]道具信息!N95="","",[2]道具信息!N95)</f>
        <v/>
      </c>
      <c r="O95" s="26" t="str">
        <f>IF([2]道具信息!O95="","",[2]道具信息!O95)</f>
        <v/>
      </c>
      <c r="P95" s="26" t="str">
        <f>IF([2]道具信息!P95="","",[2]道具信息!P95)</f>
        <v/>
      </c>
      <c r="Q95" s="26" t="str">
        <f>IF([2]道具信息!Q95="","",[2]道具信息!Q95)</f>
        <v/>
      </c>
    </row>
    <row r="96" spans="3:17" x14ac:dyDescent="0.15">
      <c r="C96" s="26" t="str">
        <f>IF([2]道具信息!C96="","",[2]道具信息!C96)</f>
        <v/>
      </c>
      <c r="D96" s="26" t="str">
        <f>IF([2]道具信息!D96="","",[2]道具信息!D96)</f>
        <v>随机橙色阵法</v>
      </c>
      <c r="E96" s="26">
        <f>IF([2]道具信息!E96="","",[2]道具信息!E96)</f>
        <v>5000</v>
      </c>
      <c r="F96" s="26">
        <f>IF([2]道具信息!F96="","",[2]道具信息!F96)</f>
        <v>1</v>
      </c>
      <c r="G96" s="26">
        <f>IF([2]道具信息!G96="","",[2]道具信息!G96)</f>
        <v>0.8</v>
      </c>
      <c r="H96" s="26">
        <f>IF([2]道具信息!H96="","",[2]道具信息!H96)</f>
        <v>0.5</v>
      </c>
      <c r="I96" s="26">
        <f>IF([2]道具信息!I96="","",[2]道具信息!I96)</f>
        <v>5000</v>
      </c>
      <c r="J96" s="26">
        <f>IF([2]道具信息!J96="","",[2]道具信息!J96)</f>
        <v>4000</v>
      </c>
      <c r="K96" s="26">
        <f>IF([2]道具信息!K96="","",[2]道具信息!K96)</f>
        <v>2500</v>
      </c>
      <c r="L96" s="26" t="str">
        <f>IF([2]道具信息!L96="","",[2]道具信息!L96)</f>
        <v/>
      </c>
      <c r="M96" s="26" t="str">
        <f>IF([2]道具信息!M96="","",[2]道具信息!M96)</f>
        <v/>
      </c>
      <c r="N96" s="26" t="str">
        <f>IF([2]道具信息!N96="","",[2]道具信息!N96)</f>
        <v/>
      </c>
      <c r="O96" s="26" t="str">
        <f>IF([2]道具信息!O96="","",[2]道具信息!O96)</f>
        <v/>
      </c>
      <c r="P96" s="26" t="str">
        <f>IF([2]道具信息!P96="","",[2]道具信息!P96)</f>
        <v/>
      </c>
      <c r="Q96" s="26" t="str">
        <f>IF([2]道具信息!Q96="","",[2]道具信息!Q96)</f>
        <v/>
      </c>
    </row>
    <row r="97" spans="3:17" x14ac:dyDescent="0.15">
      <c r="C97" s="26" t="str">
        <f>IF([2]道具信息!C97="","",[2]道具信息!C97)</f>
        <v/>
      </c>
      <c r="D97" s="26" t="str">
        <f>IF([2]道具信息!D97="","",[2]道具信息!D97)</f>
        <v>随机红色阵法</v>
      </c>
      <c r="E97" s="26">
        <f>IF([2]道具信息!E97="","",[2]道具信息!E97)</f>
        <v>25000</v>
      </c>
      <c r="F97" s="26">
        <f>IF([2]道具信息!F97="","",[2]道具信息!F97)</f>
        <v>2</v>
      </c>
      <c r="G97" s="26">
        <f>IF([2]道具信息!G97="","",[2]道具信息!G97)</f>
        <v>1.5</v>
      </c>
      <c r="H97" s="26">
        <f>IF([2]道具信息!H97="","",[2]道具信息!H97)</f>
        <v>1</v>
      </c>
      <c r="I97" s="26">
        <f>IF([2]道具信息!I97="","",[2]道具信息!I97)</f>
        <v>50000</v>
      </c>
      <c r="J97" s="26">
        <f>IF([2]道具信息!J97="","",[2]道具信息!J97)</f>
        <v>37500</v>
      </c>
      <c r="K97" s="26">
        <f>IF([2]道具信息!K97="","",[2]道具信息!K97)</f>
        <v>25000</v>
      </c>
      <c r="L97" s="26" t="str">
        <f>IF([2]道具信息!L97="","",[2]道具信息!L97)</f>
        <v/>
      </c>
      <c r="M97" s="26" t="str">
        <f>IF([2]道具信息!M97="","",[2]道具信息!M97)</f>
        <v/>
      </c>
      <c r="N97" s="26" t="str">
        <f>IF([2]道具信息!N97="","",[2]道具信息!N97)</f>
        <v/>
      </c>
      <c r="O97" s="26" t="str">
        <f>IF([2]道具信息!O97="","",[2]道具信息!O97)</f>
        <v/>
      </c>
      <c r="P97" s="26" t="str">
        <f>IF([2]道具信息!P97="","",[2]道具信息!P97)</f>
        <v/>
      </c>
      <c r="Q97" s="26" t="str">
        <f>IF([2]道具信息!Q97="","",[2]道具信息!Q97)</f>
        <v/>
      </c>
    </row>
    <row r="98" spans="3:17" x14ac:dyDescent="0.15">
      <c r="C98" s="26" t="str">
        <f>IF([2]道具信息!C98="","",[2]道具信息!C98)</f>
        <v/>
      </c>
      <c r="D98" s="26" t="str">
        <f>IF([2]道具信息!D98="","",[2]道具信息!D98)</f>
        <v/>
      </c>
      <c r="E98" s="26" t="str">
        <f>IF([2]道具信息!E98="","",[2]道具信息!E98)</f>
        <v/>
      </c>
      <c r="F98" s="26">
        <f>IF([2]道具信息!F98="","",[2]道具信息!F98)</f>
        <v>1</v>
      </c>
      <c r="G98" s="26">
        <f>IF([2]道具信息!G98="","",[2]道具信息!G98)</f>
        <v>1</v>
      </c>
      <c r="H98" s="26">
        <f>IF([2]道具信息!H98="","",[2]道具信息!H98)</f>
        <v>1</v>
      </c>
      <c r="I98" s="26" t="str">
        <f>IF([2]道具信息!I98="","",[2]道具信息!I98)</f>
        <v/>
      </c>
      <c r="J98" s="26" t="str">
        <f>IF([2]道具信息!J98="","",[2]道具信息!J98)</f>
        <v/>
      </c>
      <c r="K98" s="26" t="str">
        <f>IF([2]道具信息!K98="","",[2]道具信息!K98)</f>
        <v/>
      </c>
      <c r="L98" s="26" t="str">
        <f>IF([2]道具信息!L98="","",[2]道具信息!L98)</f>
        <v/>
      </c>
      <c r="M98" s="26" t="str">
        <f>IF([2]道具信息!M98="","",[2]道具信息!M98)</f>
        <v/>
      </c>
      <c r="N98" s="26" t="str">
        <f>IF([2]道具信息!N98="","",[2]道具信息!N98)</f>
        <v/>
      </c>
      <c r="O98" s="26" t="str">
        <f>IF([2]道具信息!O98="","",[2]道具信息!O98)</f>
        <v/>
      </c>
      <c r="P98" s="26" t="str">
        <f>IF([2]道具信息!P98="","",[2]道具信息!P98)</f>
        <v/>
      </c>
      <c r="Q98" s="26" t="str">
        <f>IF([2]道具信息!Q98="","",[2]道具信息!Q98)</f>
        <v/>
      </c>
    </row>
    <row r="99" spans="3:17" x14ac:dyDescent="0.15">
      <c r="C99" s="26" t="str">
        <f>IF([2]道具信息!C99="","",[2]道具信息!C99)</f>
        <v/>
      </c>
      <c r="D99" s="26" t="str">
        <f>IF([2]道具信息!D99="","",[2]道具信息!D99)</f>
        <v>随机紫色阵法碎片</v>
      </c>
      <c r="E99" s="26">
        <f>IF([2]道具信息!E99="","",[2]道具信息!E99)</f>
        <v>100</v>
      </c>
      <c r="F99" s="26">
        <f>IF([2]道具信息!F99="","",[2]道具信息!F99)</f>
        <v>1</v>
      </c>
      <c r="G99" s="26">
        <f>IF([2]道具信息!G99="","",[2]道具信息!G99)</f>
        <v>0.75</v>
      </c>
      <c r="H99" s="26">
        <f>IF([2]道具信息!H99="","",[2]道具信息!H99)</f>
        <v>0.5</v>
      </c>
      <c r="I99" s="26">
        <f>IF([2]道具信息!I99="","",[2]道具信息!I99)</f>
        <v>100</v>
      </c>
      <c r="J99" s="26">
        <f>IF([2]道具信息!J99="","",[2]道具信息!J99)</f>
        <v>75</v>
      </c>
      <c r="K99" s="26">
        <f>IF([2]道具信息!K99="","",[2]道具信息!K99)</f>
        <v>50</v>
      </c>
      <c r="L99" s="26" t="str">
        <f>IF([2]道具信息!L99="","",[2]道具信息!L99)</f>
        <v/>
      </c>
      <c r="M99" s="26" t="str">
        <f>IF([2]道具信息!M99="","",[2]道具信息!M99)</f>
        <v/>
      </c>
      <c r="N99" s="26" t="str">
        <f>IF([2]道具信息!N99="","",[2]道具信息!N99)</f>
        <v/>
      </c>
      <c r="O99" s="26" t="str">
        <f>IF([2]道具信息!O99="","",[2]道具信息!O99)</f>
        <v/>
      </c>
      <c r="P99" s="26" t="str">
        <f>IF([2]道具信息!P99="","",[2]道具信息!P99)</f>
        <v/>
      </c>
      <c r="Q99" s="26" t="str">
        <f>IF([2]道具信息!Q99="","",[2]道具信息!Q99)</f>
        <v/>
      </c>
    </row>
    <row r="100" spans="3:17" x14ac:dyDescent="0.15">
      <c r="C100" s="26" t="str">
        <f>IF([2]道具信息!C100="","",[2]道具信息!C100)</f>
        <v/>
      </c>
      <c r="D100" s="26" t="str">
        <f>IF([2]道具信息!D100="","",[2]道具信息!D100)</f>
        <v>随机橙色阵法碎片</v>
      </c>
      <c r="E100" s="26">
        <f>IF([2]道具信息!E100="","",[2]道具信息!E100)</f>
        <v>166.66666666666666</v>
      </c>
      <c r="F100" s="26">
        <f>IF([2]道具信息!F100="","",[2]道具信息!F100)</f>
        <v>1</v>
      </c>
      <c r="G100" s="26">
        <f>IF([2]道具信息!G100="","",[2]道具信息!G100)</f>
        <v>0.8</v>
      </c>
      <c r="H100" s="26">
        <f>IF([2]道具信息!H100="","",[2]道具信息!H100)</f>
        <v>0.5</v>
      </c>
      <c r="I100" s="26">
        <f>IF([2]道具信息!I100="","",[2]道具信息!I100)</f>
        <v>166.66666666666666</v>
      </c>
      <c r="J100" s="26">
        <f>IF([2]道具信息!J100="","",[2]道具信息!J100)</f>
        <v>133.33333333333334</v>
      </c>
      <c r="K100" s="26">
        <f>IF([2]道具信息!K100="","",[2]道具信息!K100)</f>
        <v>83.333333333333329</v>
      </c>
      <c r="L100" s="26" t="str">
        <f>IF([2]道具信息!L100="","",[2]道具信息!L100)</f>
        <v/>
      </c>
      <c r="M100" s="26" t="str">
        <f>IF([2]道具信息!M100="","",[2]道具信息!M100)</f>
        <v/>
      </c>
      <c r="N100" s="26" t="str">
        <f>IF([2]道具信息!N100="","",[2]道具信息!N100)</f>
        <v/>
      </c>
      <c r="O100" s="26" t="str">
        <f>IF([2]道具信息!O100="","",[2]道具信息!O100)</f>
        <v/>
      </c>
      <c r="P100" s="26" t="str">
        <f>IF([2]道具信息!P100="","",[2]道具信息!P100)</f>
        <v/>
      </c>
      <c r="Q100" s="26" t="str">
        <f>IF([2]道具信息!Q100="","",[2]道具信息!Q100)</f>
        <v/>
      </c>
    </row>
    <row r="101" spans="3:17" x14ac:dyDescent="0.15">
      <c r="C101" s="26" t="str">
        <f>IF([2]道具信息!C101="","",[2]道具信息!C101)</f>
        <v/>
      </c>
      <c r="D101" s="26" t="str">
        <f>IF([2]道具信息!D101="","",[2]道具信息!D101)</f>
        <v>随机红色阵法碎片</v>
      </c>
      <c r="E101" s="26">
        <f>IF([2]道具信息!E101="","",[2]道具信息!E101)</f>
        <v>500</v>
      </c>
      <c r="F101" s="26">
        <f>IF([2]道具信息!F101="","",[2]道具信息!F101)</f>
        <v>2</v>
      </c>
      <c r="G101" s="26">
        <f>IF([2]道具信息!G101="","",[2]道具信息!G101)</f>
        <v>1.5</v>
      </c>
      <c r="H101" s="26">
        <f>IF([2]道具信息!H101="","",[2]道具信息!H101)</f>
        <v>1</v>
      </c>
      <c r="I101" s="26">
        <f>IF([2]道具信息!I101="","",[2]道具信息!I101)</f>
        <v>1000</v>
      </c>
      <c r="J101" s="26">
        <f>IF([2]道具信息!J101="","",[2]道具信息!J101)</f>
        <v>750</v>
      </c>
      <c r="K101" s="26">
        <f>IF([2]道具信息!K101="","",[2]道具信息!K101)</f>
        <v>500</v>
      </c>
      <c r="L101" s="26" t="str">
        <f>IF([2]道具信息!L101="","",[2]道具信息!L101)</f>
        <v/>
      </c>
      <c r="M101" s="26" t="str">
        <f>IF([2]道具信息!M101="","",[2]道具信息!M101)</f>
        <v/>
      </c>
      <c r="N101" s="26" t="str">
        <f>IF([2]道具信息!N101="","",[2]道具信息!N101)</f>
        <v/>
      </c>
      <c r="O101" s="26" t="str">
        <f>IF([2]道具信息!O101="","",[2]道具信息!O101)</f>
        <v/>
      </c>
      <c r="P101" s="26" t="str">
        <f>IF([2]道具信息!P101="","",[2]道具信息!P101)</f>
        <v/>
      </c>
      <c r="Q101" s="26" t="str">
        <f>IF([2]道具信息!Q101="","",[2]道具信息!Q101)</f>
        <v/>
      </c>
    </row>
    <row r="102" spans="3:17" x14ac:dyDescent="0.15">
      <c r="C102" s="26" t="str">
        <f>IF([2]道具信息!C102="","",[2]道具信息!C102)</f>
        <v/>
      </c>
      <c r="D102" s="26" t="str">
        <f>IF([2]道具信息!D102="","",[2]道具信息!D102)</f>
        <v/>
      </c>
      <c r="E102" s="26" t="str">
        <f>IF([2]道具信息!E102="","",[2]道具信息!E102)</f>
        <v/>
      </c>
      <c r="F102" s="26">
        <f>IF([2]道具信息!F102="","",[2]道具信息!F102)</f>
        <v>1</v>
      </c>
      <c r="G102" s="26">
        <f>IF([2]道具信息!G102="","",[2]道具信息!G102)</f>
        <v>1</v>
      </c>
      <c r="H102" s="26">
        <f>IF([2]道具信息!H102="","",[2]道具信息!H102)</f>
        <v>1</v>
      </c>
      <c r="I102" s="26" t="str">
        <f>IF([2]道具信息!I102="","",[2]道具信息!I102)</f>
        <v/>
      </c>
      <c r="J102" s="26" t="str">
        <f>IF([2]道具信息!J102="","",[2]道具信息!J102)</f>
        <v/>
      </c>
      <c r="K102" s="26" t="str">
        <f>IF([2]道具信息!K102="","",[2]道具信息!K102)</f>
        <v/>
      </c>
      <c r="L102" s="26" t="str">
        <f>IF([2]道具信息!L102="","",[2]道具信息!L102)</f>
        <v/>
      </c>
      <c r="M102" s="26" t="str">
        <f>IF([2]道具信息!M102="","",[2]道具信息!M102)</f>
        <v/>
      </c>
      <c r="N102" s="26" t="str">
        <f>IF([2]道具信息!N102="","",[2]道具信息!N102)</f>
        <v/>
      </c>
      <c r="O102" s="26" t="str">
        <f>IF([2]道具信息!O102="","",[2]道具信息!O102)</f>
        <v/>
      </c>
      <c r="P102" s="26" t="str">
        <f>IF([2]道具信息!P102="","",[2]道具信息!P102)</f>
        <v/>
      </c>
      <c r="Q102" s="26" t="str">
        <f>IF([2]道具信息!Q102="","",[2]道具信息!Q102)</f>
        <v/>
      </c>
    </row>
    <row r="103" spans="3:17" x14ac:dyDescent="0.15">
      <c r="C103" s="26" t="str">
        <f>IF([2]道具信息!C103="","",[2]道具信息!C103)</f>
        <v/>
      </c>
      <c r="D103" s="26" t="str">
        <f>IF([2]道具信息!D103="","",[2]道具信息!D103)</f>
        <v>指定蓝色阵法</v>
      </c>
      <c r="E103" s="26">
        <f>IF([2]道具信息!E103="","",[2]道具信息!E103)</f>
        <v>100</v>
      </c>
      <c r="F103" s="26">
        <f>IF([2]道具信息!F103="","",[2]道具信息!F103)</f>
        <v>1</v>
      </c>
      <c r="G103" s="26">
        <f>IF([2]道具信息!G103="","",[2]道具信息!G103)</f>
        <v>1</v>
      </c>
      <c r="H103" s="26">
        <f>IF([2]道具信息!H103="","",[2]道具信息!H103)</f>
        <v>1</v>
      </c>
      <c r="I103" s="26">
        <f>IF([2]道具信息!I103="","",[2]道具信息!I103)</f>
        <v>100</v>
      </c>
      <c r="J103" s="26">
        <f>IF([2]道具信息!J103="","",[2]道具信息!J103)</f>
        <v>100</v>
      </c>
      <c r="K103" s="26">
        <f>IF([2]道具信息!K103="","",[2]道具信息!K103)</f>
        <v>100</v>
      </c>
      <c r="L103" s="26" t="str">
        <f>IF([2]道具信息!L103="","",[2]道具信息!L103)</f>
        <v/>
      </c>
      <c r="M103" s="26" t="str">
        <f>IF([2]道具信息!M103="","",[2]道具信息!M103)</f>
        <v/>
      </c>
      <c r="N103" s="26" t="str">
        <f>IF([2]道具信息!N103="","",[2]道具信息!N103)</f>
        <v/>
      </c>
      <c r="O103" s="26" t="str">
        <f>IF([2]道具信息!O103="","",[2]道具信息!O103)</f>
        <v/>
      </c>
      <c r="P103" s="26" t="str">
        <f>IF([2]道具信息!P103="","",[2]道具信息!P103)</f>
        <v/>
      </c>
      <c r="Q103" s="26" t="str">
        <f>IF([2]道具信息!Q103="","",[2]道具信息!Q103)</f>
        <v/>
      </c>
    </row>
    <row r="104" spans="3:17" x14ac:dyDescent="0.15">
      <c r="C104" s="26" t="str">
        <f>IF([2]道具信息!C104="","",[2]道具信息!C104)</f>
        <v/>
      </c>
      <c r="D104" s="26" t="str">
        <f>IF([2]道具信息!D104="","",[2]道具信息!D104)</f>
        <v>指定紫色阵法</v>
      </c>
      <c r="E104" s="26">
        <f>IF([2]道具信息!E104="","",[2]道具信息!E104)</f>
        <v>1000</v>
      </c>
      <c r="F104" s="26">
        <f>IF([2]道具信息!F104="","",[2]道具信息!F104)</f>
        <v>1.5</v>
      </c>
      <c r="G104" s="26">
        <f>IF([2]道具信息!G104="","",[2]道具信息!G104)</f>
        <v>1</v>
      </c>
      <c r="H104" s="26">
        <f>IF([2]道具信息!H104="","",[2]道具信息!H104)</f>
        <v>1</v>
      </c>
      <c r="I104" s="26">
        <f>IF([2]道具信息!I104="","",[2]道具信息!I104)</f>
        <v>1500</v>
      </c>
      <c r="J104" s="26">
        <f>IF([2]道具信息!J104="","",[2]道具信息!J104)</f>
        <v>1000</v>
      </c>
      <c r="K104" s="26">
        <f>IF([2]道具信息!K104="","",[2]道具信息!K104)</f>
        <v>1000</v>
      </c>
      <c r="L104" s="26" t="str">
        <f>IF([2]道具信息!L104="","",[2]道具信息!L104)</f>
        <v/>
      </c>
      <c r="M104" s="26" t="str">
        <f>IF([2]道具信息!M104="","",[2]道具信息!M104)</f>
        <v/>
      </c>
      <c r="N104" s="26" t="str">
        <f>IF([2]道具信息!N104="","",[2]道具信息!N104)</f>
        <v/>
      </c>
      <c r="O104" s="26" t="str">
        <f>IF([2]道具信息!O104="","",[2]道具信息!O104)</f>
        <v/>
      </c>
      <c r="P104" s="26" t="str">
        <f>IF([2]道具信息!P104="","",[2]道具信息!P104)</f>
        <v/>
      </c>
      <c r="Q104" s="26" t="str">
        <f>IF([2]道具信息!Q104="","",[2]道具信息!Q104)</f>
        <v/>
      </c>
    </row>
    <row r="105" spans="3:17" x14ac:dyDescent="0.15">
      <c r="C105" s="26" t="str">
        <f>IF([2]道具信息!C105="","",[2]道具信息!C105)</f>
        <v/>
      </c>
      <c r="D105" s="26" t="str">
        <f>IF([2]道具信息!D105="","",[2]道具信息!D105)</f>
        <v>指定橙色阵法</v>
      </c>
      <c r="E105" s="26">
        <f>IF([2]道具信息!E105="","",[2]道具信息!E105)</f>
        <v>5000</v>
      </c>
      <c r="F105" s="26">
        <f>IF([2]道具信息!F105="","",[2]道具信息!F105)</f>
        <v>2</v>
      </c>
      <c r="G105" s="26">
        <f>IF([2]道具信息!G105="","",[2]道具信息!G105)</f>
        <v>1.5</v>
      </c>
      <c r="H105" s="26">
        <f>IF([2]道具信息!H105="","",[2]道具信息!H105)</f>
        <v>1</v>
      </c>
      <c r="I105" s="26">
        <f>IF([2]道具信息!I105="","",[2]道具信息!I105)</f>
        <v>10000</v>
      </c>
      <c r="J105" s="26">
        <f>IF([2]道具信息!J105="","",[2]道具信息!J105)</f>
        <v>7500</v>
      </c>
      <c r="K105" s="26">
        <f>IF([2]道具信息!K105="","",[2]道具信息!K105)</f>
        <v>5000</v>
      </c>
      <c r="L105" s="26" t="str">
        <f>IF([2]道具信息!L105="","",[2]道具信息!L105)</f>
        <v/>
      </c>
      <c r="M105" s="26" t="str">
        <f>IF([2]道具信息!M105="","",[2]道具信息!M105)</f>
        <v/>
      </c>
      <c r="N105" s="26" t="str">
        <f>IF([2]道具信息!N105="","",[2]道具信息!N105)</f>
        <v/>
      </c>
      <c r="O105" s="26" t="str">
        <f>IF([2]道具信息!O105="","",[2]道具信息!O105)</f>
        <v/>
      </c>
      <c r="P105" s="26" t="str">
        <f>IF([2]道具信息!P105="","",[2]道具信息!P105)</f>
        <v/>
      </c>
      <c r="Q105" s="26" t="str">
        <f>IF([2]道具信息!Q105="","",[2]道具信息!Q105)</f>
        <v/>
      </c>
    </row>
    <row r="106" spans="3:17" x14ac:dyDescent="0.15">
      <c r="C106" s="26" t="str">
        <f>IF([2]道具信息!C106="","",[2]道具信息!C106)</f>
        <v/>
      </c>
      <c r="D106" s="26" t="str">
        <f>IF([2]道具信息!D106="","",[2]道具信息!D106)</f>
        <v>指定红色阵法</v>
      </c>
      <c r="E106" s="26">
        <f>IF([2]道具信息!E106="","",[2]道具信息!E106)</f>
        <v>25000</v>
      </c>
      <c r="F106" s="26">
        <f>IF([2]道具信息!F106="","",[2]道具信息!F106)</f>
        <v>2</v>
      </c>
      <c r="G106" s="26">
        <f>IF([2]道具信息!G106="","",[2]道具信息!G106)</f>
        <v>1.5</v>
      </c>
      <c r="H106" s="26">
        <f>IF([2]道具信息!H106="","",[2]道具信息!H106)</f>
        <v>1</v>
      </c>
      <c r="I106" s="26">
        <f>IF([2]道具信息!I106="","",[2]道具信息!I106)</f>
        <v>50000</v>
      </c>
      <c r="J106" s="26">
        <f>IF([2]道具信息!J106="","",[2]道具信息!J106)</f>
        <v>37500</v>
      </c>
      <c r="K106" s="26">
        <f>IF([2]道具信息!K106="","",[2]道具信息!K106)</f>
        <v>25000</v>
      </c>
      <c r="L106" s="26" t="str">
        <f>IF([2]道具信息!L106="","",[2]道具信息!L106)</f>
        <v/>
      </c>
      <c r="M106" s="26" t="str">
        <f>IF([2]道具信息!M106="","",[2]道具信息!M106)</f>
        <v/>
      </c>
      <c r="N106" s="26" t="str">
        <f>IF([2]道具信息!N106="","",[2]道具信息!N106)</f>
        <v/>
      </c>
      <c r="O106" s="26" t="str">
        <f>IF([2]道具信息!O106="","",[2]道具信息!O106)</f>
        <v/>
      </c>
      <c r="P106" s="26" t="str">
        <f>IF([2]道具信息!P106="","",[2]道具信息!P106)</f>
        <v/>
      </c>
      <c r="Q106" s="26" t="str">
        <f>IF([2]道具信息!Q106="","",[2]道具信息!Q106)</f>
        <v/>
      </c>
    </row>
    <row r="107" spans="3:17" x14ac:dyDescent="0.15">
      <c r="C107" s="26" t="str">
        <f>IF([2]道具信息!C107="","",[2]道具信息!C107)</f>
        <v/>
      </c>
      <c r="D107" s="26" t="str">
        <f>IF([2]道具信息!D107="","",[2]道具信息!D107)</f>
        <v/>
      </c>
      <c r="E107" s="26" t="str">
        <f>IF([2]道具信息!E107="","",[2]道具信息!E107)</f>
        <v/>
      </c>
      <c r="F107" s="26">
        <f>IF([2]道具信息!F107="","",[2]道具信息!F107)</f>
        <v>1</v>
      </c>
      <c r="G107" s="26">
        <f>IF([2]道具信息!G107="","",[2]道具信息!G107)</f>
        <v>1</v>
      </c>
      <c r="H107" s="26">
        <f>IF([2]道具信息!H107="","",[2]道具信息!H107)</f>
        <v>1</v>
      </c>
      <c r="I107" s="26" t="str">
        <f>IF([2]道具信息!I107="","",[2]道具信息!I107)</f>
        <v/>
      </c>
      <c r="J107" s="26" t="str">
        <f>IF([2]道具信息!J107="","",[2]道具信息!J107)</f>
        <v/>
      </c>
      <c r="K107" s="26" t="str">
        <f>IF([2]道具信息!K107="","",[2]道具信息!K107)</f>
        <v/>
      </c>
      <c r="L107" s="26" t="str">
        <f>IF([2]道具信息!L107="","",[2]道具信息!L107)</f>
        <v/>
      </c>
      <c r="M107" s="26" t="str">
        <f>IF([2]道具信息!M107="","",[2]道具信息!M107)</f>
        <v/>
      </c>
      <c r="N107" s="26" t="str">
        <f>IF([2]道具信息!N107="","",[2]道具信息!N107)</f>
        <v/>
      </c>
      <c r="O107" s="26" t="str">
        <f>IF([2]道具信息!O107="","",[2]道具信息!O107)</f>
        <v/>
      </c>
      <c r="P107" s="26" t="str">
        <f>IF([2]道具信息!P107="","",[2]道具信息!P107)</f>
        <v/>
      </c>
      <c r="Q107" s="26" t="str">
        <f>IF([2]道具信息!Q107="","",[2]道具信息!Q107)</f>
        <v/>
      </c>
    </row>
    <row r="108" spans="3:17" x14ac:dyDescent="0.15">
      <c r="C108" s="26" t="str">
        <f>IF([2]道具信息!C108="","",[2]道具信息!C108)</f>
        <v/>
      </c>
      <c r="D108" s="26" t="str">
        <f>IF([2]道具信息!D108="","",[2]道具信息!D108)</f>
        <v>指定紫色阵法碎片</v>
      </c>
      <c r="E108" s="26">
        <f>IF([2]道具信息!E108="","",[2]道具信息!E108)</f>
        <v>100</v>
      </c>
      <c r="F108" s="26">
        <f>IF([2]道具信息!F108="","",[2]道具信息!F108)</f>
        <v>1.5</v>
      </c>
      <c r="G108" s="26">
        <f>IF([2]道具信息!G108="","",[2]道具信息!G108)</f>
        <v>1</v>
      </c>
      <c r="H108" s="26">
        <f>IF([2]道具信息!H108="","",[2]道具信息!H108)</f>
        <v>1</v>
      </c>
      <c r="I108" s="26">
        <f>IF([2]道具信息!I108="","",[2]道具信息!I108)</f>
        <v>150</v>
      </c>
      <c r="J108" s="26">
        <f>IF([2]道具信息!J108="","",[2]道具信息!J108)</f>
        <v>100</v>
      </c>
      <c r="K108" s="26">
        <f>IF([2]道具信息!K108="","",[2]道具信息!K108)</f>
        <v>100</v>
      </c>
      <c r="L108" s="26" t="str">
        <f>IF([2]道具信息!L108="","",[2]道具信息!L108)</f>
        <v/>
      </c>
      <c r="M108" s="26" t="str">
        <f>IF([2]道具信息!M108="","",[2]道具信息!M108)</f>
        <v/>
      </c>
      <c r="N108" s="26" t="str">
        <f>IF([2]道具信息!N108="","",[2]道具信息!N108)</f>
        <v/>
      </c>
      <c r="O108" s="26" t="str">
        <f>IF([2]道具信息!O108="","",[2]道具信息!O108)</f>
        <v/>
      </c>
      <c r="P108" s="26" t="str">
        <f>IF([2]道具信息!P108="","",[2]道具信息!P108)</f>
        <v/>
      </c>
      <c r="Q108" s="26" t="str">
        <f>IF([2]道具信息!Q108="","",[2]道具信息!Q108)</f>
        <v/>
      </c>
    </row>
    <row r="109" spans="3:17" x14ac:dyDescent="0.15">
      <c r="C109" s="26" t="str">
        <f>IF([2]道具信息!C109="","",[2]道具信息!C109)</f>
        <v/>
      </c>
      <c r="D109" s="26" t="str">
        <f>IF([2]道具信息!D109="","",[2]道具信息!D109)</f>
        <v>指定橙色阵法碎片</v>
      </c>
      <c r="E109" s="26">
        <f>IF([2]道具信息!E109="","",[2]道具信息!E109)</f>
        <v>166.66666666666666</v>
      </c>
      <c r="F109" s="26">
        <f>IF([2]道具信息!F109="","",[2]道具信息!F109)</f>
        <v>2</v>
      </c>
      <c r="G109" s="26">
        <f>IF([2]道具信息!G109="","",[2]道具信息!G109)</f>
        <v>1.5</v>
      </c>
      <c r="H109" s="26">
        <f>IF([2]道具信息!H109="","",[2]道具信息!H109)</f>
        <v>1</v>
      </c>
      <c r="I109" s="26">
        <f>IF([2]道具信息!I109="","",[2]道具信息!I109)</f>
        <v>333.33333333333331</v>
      </c>
      <c r="J109" s="26">
        <f>IF([2]道具信息!J109="","",[2]道具信息!J109)</f>
        <v>250</v>
      </c>
      <c r="K109" s="26">
        <f>IF([2]道具信息!K109="","",[2]道具信息!K109)</f>
        <v>166.66666666666666</v>
      </c>
      <c r="L109" s="26" t="str">
        <f>IF([2]道具信息!L109="","",[2]道具信息!L109)</f>
        <v/>
      </c>
      <c r="M109" s="26" t="str">
        <f>IF([2]道具信息!M109="","",[2]道具信息!M109)</f>
        <v/>
      </c>
      <c r="N109" s="26" t="str">
        <f>IF([2]道具信息!N109="","",[2]道具信息!N109)</f>
        <v/>
      </c>
      <c r="O109" s="26" t="str">
        <f>IF([2]道具信息!O109="","",[2]道具信息!O109)</f>
        <v/>
      </c>
      <c r="P109" s="26" t="str">
        <f>IF([2]道具信息!P109="","",[2]道具信息!P109)</f>
        <v/>
      </c>
      <c r="Q109" s="26" t="str">
        <f>IF([2]道具信息!Q109="","",[2]道具信息!Q109)</f>
        <v/>
      </c>
    </row>
    <row r="110" spans="3:17" x14ac:dyDescent="0.15">
      <c r="C110" s="26" t="str">
        <f>IF([2]道具信息!C110="","",[2]道具信息!C110)</f>
        <v/>
      </c>
      <c r="D110" s="26" t="str">
        <f>IF([2]道具信息!D110="","",[2]道具信息!D110)</f>
        <v>指定红色阵法碎片</v>
      </c>
      <c r="E110" s="26">
        <f>IF([2]道具信息!E110="","",[2]道具信息!E110)</f>
        <v>500</v>
      </c>
      <c r="F110" s="26">
        <f>IF([2]道具信息!F110="","",[2]道具信息!F110)</f>
        <v>2</v>
      </c>
      <c r="G110" s="26">
        <f>IF([2]道具信息!G110="","",[2]道具信息!G110)</f>
        <v>1.5</v>
      </c>
      <c r="H110" s="26">
        <f>IF([2]道具信息!H110="","",[2]道具信息!H110)</f>
        <v>1</v>
      </c>
      <c r="I110" s="26">
        <f>IF([2]道具信息!I110="","",[2]道具信息!I110)</f>
        <v>1000</v>
      </c>
      <c r="J110" s="26">
        <f>IF([2]道具信息!J110="","",[2]道具信息!J110)</f>
        <v>750</v>
      </c>
      <c r="K110" s="26">
        <f>IF([2]道具信息!K110="","",[2]道具信息!K110)</f>
        <v>500</v>
      </c>
      <c r="L110" s="26" t="str">
        <f>IF([2]道具信息!L110="","",[2]道具信息!L110)</f>
        <v/>
      </c>
      <c r="M110" s="26" t="str">
        <f>IF([2]道具信息!M110="","",[2]道具信息!M110)</f>
        <v/>
      </c>
      <c r="N110" s="26" t="str">
        <f>IF([2]道具信息!N110="","",[2]道具信息!N110)</f>
        <v/>
      </c>
      <c r="O110" s="26" t="str">
        <f>IF([2]道具信息!O110="","",[2]道具信息!O110)</f>
        <v/>
      </c>
      <c r="P110" s="26" t="str">
        <f>IF([2]道具信息!P110="","",[2]道具信息!P110)</f>
        <v/>
      </c>
      <c r="Q110" s="26" t="str">
        <f>IF([2]道具信息!Q110="","",[2]道具信息!Q110)</f>
        <v/>
      </c>
    </row>
    <row r="111" spans="3:17" x14ac:dyDescent="0.15">
      <c r="C111" s="26" t="str">
        <f>IF([2]道具信息!C111="","",[2]道具信息!C111)</f>
        <v/>
      </c>
      <c r="D111" s="26" t="str">
        <f>IF([2]道具信息!D111="","",[2]道具信息!D111)</f>
        <v/>
      </c>
      <c r="E111" s="26" t="str">
        <f>IF([2]道具信息!E111="","",[2]道具信息!E111)</f>
        <v/>
      </c>
      <c r="F111" s="26">
        <f>IF([2]道具信息!F111="","",[2]道具信息!F111)</f>
        <v>1</v>
      </c>
      <c r="G111" s="26">
        <f>IF([2]道具信息!G111="","",[2]道具信息!G111)</f>
        <v>1</v>
      </c>
      <c r="H111" s="26">
        <f>IF([2]道具信息!H111="","",[2]道具信息!H111)</f>
        <v>1</v>
      </c>
      <c r="I111" s="26" t="str">
        <f>IF([2]道具信息!I111="","",[2]道具信息!I111)</f>
        <v/>
      </c>
      <c r="J111" s="26" t="str">
        <f>IF([2]道具信息!J111="","",[2]道具信息!J111)</f>
        <v/>
      </c>
      <c r="K111" s="26" t="str">
        <f>IF([2]道具信息!K111="","",[2]道具信息!K111)</f>
        <v/>
      </c>
      <c r="L111" s="26" t="str">
        <f>IF([2]道具信息!L111="","",[2]道具信息!L111)</f>
        <v/>
      </c>
      <c r="M111" s="26" t="str">
        <f>IF([2]道具信息!M111="","",[2]道具信息!M111)</f>
        <v/>
      </c>
      <c r="N111" s="26" t="str">
        <f>IF([2]道具信息!N111="","",[2]道具信息!N111)</f>
        <v/>
      </c>
      <c r="O111" s="26" t="str">
        <f>IF([2]道具信息!O111="","",[2]道具信息!O111)</f>
        <v/>
      </c>
      <c r="P111" s="26" t="str">
        <f>IF([2]道具信息!P111="","",[2]道具信息!P111)</f>
        <v/>
      </c>
      <c r="Q111" s="26" t="str">
        <f>IF([2]道具信息!Q111="","",[2]道具信息!Q111)</f>
        <v/>
      </c>
    </row>
    <row r="112" spans="3:17" x14ac:dyDescent="0.15">
      <c r="C112" s="26" t="str">
        <f>IF([2]道具信息!C112="","",[2]道具信息!C112)</f>
        <v/>
      </c>
      <c r="D112" s="26" t="str">
        <f>IF([2]道具信息!D112="","",[2]道具信息!D112)</f>
        <v>阵意</v>
      </c>
      <c r="E112" s="26">
        <f>IF([2]道具信息!E112="","",[2]道具信息!E112)</f>
        <v>100</v>
      </c>
      <c r="F112" s="26">
        <f>IF([2]道具信息!F112="","",[2]道具信息!F112)</f>
        <v>1</v>
      </c>
      <c r="G112" s="26">
        <f>IF([2]道具信息!G112="","",[2]道具信息!G112)</f>
        <v>1</v>
      </c>
      <c r="H112" s="26">
        <f>IF([2]道具信息!H112="","",[2]道具信息!H112)</f>
        <v>1</v>
      </c>
      <c r="I112" s="26">
        <f>IF([2]道具信息!I112="","",[2]道具信息!I112)</f>
        <v>100</v>
      </c>
      <c r="J112" s="26">
        <f>IF([2]道具信息!J112="","",[2]道具信息!J112)</f>
        <v>100</v>
      </c>
      <c r="K112" s="26">
        <f>IF([2]道具信息!K112="","",[2]道具信息!K112)</f>
        <v>100</v>
      </c>
      <c r="L112" s="26" t="str">
        <f>IF([2]道具信息!L112="","",[2]道具信息!L112)</f>
        <v/>
      </c>
      <c r="M112" s="26" t="str">
        <f>IF([2]道具信息!M112="","",[2]道具信息!M112)</f>
        <v/>
      </c>
      <c r="N112" s="26" t="str">
        <f>IF([2]道具信息!N112="","",[2]道具信息!N112)</f>
        <v/>
      </c>
      <c r="O112" s="26" t="str">
        <f>IF([2]道具信息!O112="","",[2]道具信息!O112)</f>
        <v/>
      </c>
      <c r="P112" s="26" t="str">
        <f>IF([2]道具信息!P112="","",[2]道具信息!P112)</f>
        <v/>
      </c>
      <c r="Q112" s="26" t="str">
        <f>IF([2]道具信息!Q112="","",[2]道具信息!Q112)</f>
        <v/>
      </c>
    </row>
    <row r="113" spans="3:17" x14ac:dyDescent="0.15">
      <c r="C113" s="26" t="str">
        <f>IF([2]道具信息!C113="","",[2]道具信息!C113)</f>
        <v/>
      </c>
      <c r="D113" s="26" t="str">
        <f>IF([2]道具信息!D113="","",[2]道具信息!D113)</f>
        <v>阵法心得</v>
      </c>
      <c r="E113" s="26">
        <f>IF([2]道具信息!E113="","",[2]道具信息!E113)</f>
        <v>100</v>
      </c>
      <c r="F113" s="26">
        <f>IF([2]道具信息!F113="","",[2]道具信息!F113)</f>
        <v>1</v>
      </c>
      <c r="G113" s="26">
        <f>IF([2]道具信息!G113="","",[2]道具信息!G113)</f>
        <v>1</v>
      </c>
      <c r="H113" s="26">
        <f>IF([2]道具信息!H113="","",[2]道具信息!H113)</f>
        <v>1</v>
      </c>
      <c r="I113" s="26">
        <f>IF([2]道具信息!I113="","",[2]道具信息!I113)</f>
        <v>100</v>
      </c>
      <c r="J113" s="26">
        <f>IF([2]道具信息!J113="","",[2]道具信息!J113)</f>
        <v>100</v>
      </c>
      <c r="K113" s="26">
        <f>IF([2]道具信息!K113="","",[2]道具信息!K113)</f>
        <v>100</v>
      </c>
      <c r="L113" s="26" t="str">
        <f>IF([2]道具信息!L113="","",[2]道具信息!L113)</f>
        <v/>
      </c>
      <c r="M113" s="26" t="str">
        <f>IF([2]道具信息!M113="","",[2]道具信息!M113)</f>
        <v/>
      </c>
      <c r="N113" s="26" t="str">
        <f>IF([2]道具信息!N113="","",[2]道具信息!N113)</f>
        <v/>
      </c>
      <c r="O113" s="26" t="str">
        <f>IF([2]道具信息!O113="","",[2]道具信息!O113)</f>
        <v/>
      </c>
      <c r="P113" s="26" t="str">
        <f>IF([2]道具信息!P113="","",[2]道具信息!P113)</f>
        <v/>
      </c>
      <c r="Q113" s="26" t="str">
        <f>IF([2]道具信息!Q113="","",[2]道具信息!Q113)</f>
        <v/>
      </c>
    </row>
    <row r="114" spans="3:17" x14ac:dyDescent="0.15">
      <c r="C114" s="26" t="str">
        <f>IF([2]道具信息!C114="","",[2]道具信息!C114)</f>
        <v/>
      </c>
      <c r="D114" s="26" t="str">
        <f>IF([2]道具信息!D114="","",[2]道具信息!D114)</f>
        <v>1级阵旗</v>
      </c>
      <c r="E114" s="26">
        <f>IF([2]道具信息!E114="","",[2]道具信息!E114)</f>
        <v>11</v>
      </c>
      <c r="F114" s="26">
        <f>IF([2]道具信息!F114="","",[2]道具信息!F114)</f>
        <v>1</v>
      </c>
      <c r="G114" s="26">
        <f>IF([2]道具信息!G114="","",[2]道具信息!G114)</f>
        <v>1</v>
      </c>
      <c r="H114" s="26">
        <f>IF([2]道具信息!H114="","",[2]道具信息!H114)</f>
        <v>1</v>
      </c>
      <c r="I114" s="26">
        <f>IF([2]道具信息!I114="","",[2]道具信息!I114)</f>
        <v>11</v>
      </c>
      <c r="J114" s="26">
        <f>IF([2]道具信息!J114="","",[2]道具信息!J114)</f>
        <v>11</v>
      </c>
      <c r="K114" s="26">
        <f>IF([2]道具信息!K114="","",[2]道具信息!K114)</f>
        <v>11</v>
      </c>
      <c r="L114" s="26" t="str">
        <f>IF([2]道具信息!L114="","",[2]道具信息!L114)</f>
        <v/>
      </c>
      <c r="M114" s="26" t="str">
        <f>IF([2]道具信息!M114="","",[2]道具信息!M114)</f>
        <v/>
      </c>
      <c r="N114" s="26" t="str">
        <f>IF([2]道具信息!N114="","",[2]道具信息!N114)</f>
        <v/>
      </c>
      <c r="O114" s="26" t="str">
        <f>IF([2]道具信息!O114="","",[2]道具信息!O114)</f>
        <v/>
      </c>
      <c r="P114" s="26" t="str">
        <f>IF([2]道具信息!P114="","",[2]道具信息!P114)</f>
        <v/>
      </c>
      <c r="Q114" s="26" t="str">
        <f>IF([2]道具信息!Q114="","",[2]道具信息!Q114)</f>
        <v/>
      </c>
    </row>
    <row r="115" spans="3:17" x14ac:dyDescent="0.15">
      <c r="C115" s="26" t="str">
        <f>IF([2]道具信息!C115="","",[2]道具信息!C115)</f>
        <v/>
      </c>
      <c r="D115" s="26" t="str">
        <f>IF([2]道具信息!D115="","",[2]道具信息!D115)</f>
        <v>2级阵旗</v>
      </c>
      <c r="E115" s="26">
        <f>IF([2]道具信息!E115="","",[2]道具信息!E115)</f>
        <v>143</v>
      </c>
      <c r="F115" s="26">
        <f>IF([2]道具信息!F115="","",[2]道具信息!F115)</f>
        <v>1</v>
      </c>
      <c r="G115" s="26">
        <f>IF([2]道具信息!G115="","",[2]道具信息!G115)</f>
        <v>1</v>
      </c>
      <c r="H115" s="26">
        <f>IF([2]道具信息!H115="","",[2]道具信息!H115)</f>
        <v>1</v>
      </c>
      <c r="I115" s="26">
        <f>IF([2]道具信息!I115="","",[2]道具信息!I115)</f>
        <v>143</v>
      </c>
      <c r="J115" s="26">
        <f>IF([2]道具信息!J115="","",[2]道具信息!J115)</f>
        <v>143</v>
      </c>
      <c r="K115" s="26">
        <f>IF([2]道具信息!K115="","",[2]道具信息!K115)</f>
        <v>143</v>
      </c>
      <c r="L115" s="26" t="str">
        <f>IF([2]道具信息!L115="","",[2]道具信息!L115)</f>
        <v/>
      </c>
      <c r="M115" s="26" t="str">
        <f>IF([2]道具信息!M115="","",[2]道具信息!M115)</f>
        <v/>
      </c>
      <c r="N115" s="26" t="str">
        <f>IF([2]道具信息!N115="","",[2]道具信息!N115)</f>
        <v/>
      </c>
      <c r="O115" s="26" t="str">
        <f>IF([2]道具信息!O115="","",[2]道具信息!O115)</f>
        <v/>
      </c>
      <c r="P115" s="26" t="str">
        <f>IF([2]道具信息!P115="","",[2]道具信息!P115)</f>
        <v/>
      </c>
      <c r="Q115" s="26" t="str">
        <f>IF([2]道具信息!Q115="","",[2]道具信息!Q115)</f>
        <v/>
      </c>
    </row>
    <row r="116" spans="3:17" x14ac:dyDescent="0.15">
      <c r="C116" s="26" t="str">
        <f>IF([2]道具信息!C116="","",[2]道具信息!C116)</f>
        <v/>
      </c>
      <c r="D116" s="26" t="str">
        <f>IF([2]道具信息!D116="","",[2]道具信息!D116)</f>
        <v>3级阵旗</v>
      </c>
      <c r="E116" s="26">
        <f>IF([2]道具信息!E116="","",[2]道具信息!E116)</f>
        <v>935</v>
      </c>
      <c r="F116" s="26">
        <f>IF([2]道具信息!F116="","",[2]道具信息!F116)</f>
        <v>1</v>
      </c>
      <c r="G116" s="26">
        <f>IF([2]道具信息!G116="","",[2]道具信息!G116)</f>
        <v>1</v>
      </c>
      <c r="H116" s="26">
        <f>IF([2]道具信息!H116="","",[2]道具信息!H116)</f>
        <v>1</v>
      </c>
      <c r="I116" s="26">
        <f>IF([2]道具信息!I116="","",[2]道具信息!I116)</f>
        <v>935</v>
      </c>
      <c r="J116" s="26">
        <f>IF([2]道具信息!J116="","",[2]道具信息!J116)</f>
        <v>935</v>
      </c>
      <c r="K116" s="26">
        <f>IF([2]道具信息!K116="","",[2]道具信息!K116)</f>
        <v>935</v>
      </c>
      <c r="L116" s="26" t="str">
        <f>IF([2]道具信息!L116="","",[2]道具信息!L116)</f>
        <v/>
      </c>
      <c r="M116" s="26" t="str">
        <f>IF([2]道具信息!M116="","",[2]道具信息!M116)</f>
        <v/>
      </c>
      <c r="N116" s="26" t="str">
        <f>IF([2]道具信息!N116="","",[2]道具信息!N116)</f>
        <v/>
      </c>
      <c r="O116" s="26" t="str">
        <f>IF([2]道具信息!O116="","",[2]道具信息!O116)</f>
        <v/>
      </c>
      <c r="P116" s="26" t="str">
        <f>IF([2]道具信息!P116="","",[2]道具信息!P116)</f>
        <v/>
      </c>
      <c r="Q116" s="26" t="str">
        <f>IF([2]道具信息!Q116="","",[2]道具信息!Q116)</f>
        <v/>
      </c>
    </row>
    <row r="117" spans="3:17" x14ac:dyDescent="0.15">
      <c r="C117" s="26" t="str">
        <f>IF([2]道具信息!C117="","",[2]道具信息!C117)</f>
        <v/>
      </c>
      <c r="D117" s="26" t="str">
        <f>IF([2]道具信息!D117="","",[2]道具信息!D117)</f>
        <v>4级阵旗</v>
      </c>
      <c r="E117" s="26">
        <f>IF([2]道具信息!E117="","",[2]道具信息!E117)</f>
        <v>4895</v>
      </c>
      <c r="F117" s="26">
        <f>IF([2]道具信息!F117="","",[2]道具信息!F117)</f>
        <v>1</v>
      </c>
      <c r="G117" s="26">
        <f>IF([2]道具信息!G117="","",[2]道具信息!G117)</f>
        <v>1</v>
      </c>
      <c r="H117" s="26">
        <f>IF([2]道具信息!H117="","",[2]道具信息!H117)</f>
        <v>1</v>
      </c>
      <c r="I117" s="26">
        <f>IF([2]道具信息!I117="","",[2]道具信息!I117)</f>
        <v>4895</v>
      </c>
      <c r="J117" s="26">
        <f>IF([2]道具信息!J117="","",[2]道具信息!J117)</f>
        <v>4895</v>
      </c>
      <c r="K117" s="26">
        <f>IF([2]道具信息!K117="","",[2]道具信息!K117)</f>
        <v>4895</v>
      </c>
      <c r="L117" s="26" t="str">
        <f>IF([2]道具信息!L117="","",[2]道具信息!L117)</f>
        <v/>
      </c>
      <c r="M117" s="26" t="str">
        <f>IF([2]道具信息!M117="","",[2]道具信息!M117)</f>
        <v/>
      </c>
      <c r="N117" s="26" t="str">
        <f>IF([2]道具信息!N117="","",[2]道具信息!N117)</f>
        <v/>
      </c>
      <c r="O117" s="26" t="str">
        <f>IF([2]道具信息!O117="","",[2]道具信息!O117)</f>
        <v/>
      </c>
      <c r="P117" s="26" t="str">
        <f>IF([2]道具信息!P117="","",[2]道具信息!P117)</f>
        <v/>
      </c>
      <c r="Q117" s="26" t="str">
        <f>IF([2]道具信息!Q117="","",[2]道具信息!Q117)</f>
        <v/>
      </c>
    </row>
    <row r="118" spans="3:17" x14ac:dyDescent="0.15">
      <c r="C118" s="26" t="str">
        <f>IF([2]道具信息!C118="","",[2]道具信息!C118)</f>
        <v/>
      </c>
      <c r="D118" s="26" t="str">
        <f>IF([2]道具信息!D118="","",[2]道具信息!D118)</f>
        <v>5级阵旗</v>
      </c>
      <c r="E118" s="26">
        <f>IF([2]道具信息!E118="","",[2]道具信息!E118)</f>
        <v>22495</v>
      </c>
      <c r="F118" s="26">
        <f>IF([2]道具信息!F118="","",[2]道具信息!F118)</f>
        <v>1</v>
      </c>
      <c r="G118" s="26">
        <f>IF([2]道具信息!G118="","",[2]道具信息!G118)</f>
        <v>1</v>
      </c>
      <c r="H118" s="26">
        <f>IF([2]道具信息!H118="","",[2]道具信息!H118)</f>
        <v>1</v>
      </c>
      <c r="I118" s="26">
        <f>IF([2]道具信息!I118="","",[2]道具信息!I118)</f>
        <v>22495</v>
      </c>
      <c r="J118" s="26">
        <f>IF([2]道具信息!J118="","",[2]道具信息!J118)</f>
        <v>22495</v>
      </c>
      <c r="K118" s="26">
        <f>IF([2]道具信息!K118="","",[2]道具信息!K118)</f>
        <v>22495</v>
      </c>
      <c r="L118" s="26" t="str">
        <f>IF([2]道具信息!L118="","",[2]道具信息!L118)</f>
        <v/>
      </c>
      <c r="M118" s="26" t="str">
        <f>IF([2]道具信息!M118="","",[2]道具信息!M118)</f>
        <v/>
      </c>
      <c r="N118" s="26" t="str">
        <f>IF([2]道具信息!N118="","",[2]道具信息!N118)</f>
        <v/>
      </c>
      <c r="O118" s="26" t="str">
        <f>IF([2]道具信息!O118="","",[2]道具信息!O118)</f>
        <v/>
      </c>
      <c r="P118" s="26" t="str">
        <f>IF([2]道具信息!P118="","",[2]道具信息!P118)</f>
        <v/>
      </c>
      <c r="Q118" s="26" t="str">
        <f>IF([2]道具信息!Q118="","",[2]道具信息!Q118)</f>
        <v/>
      </c>
    </row>
    <row r="119" spans="3:17" x14ac:dyDescent="0.15">
      <c r="C119" s="26" t="str">
        <f>IF([2]道具信息!C119="","",[2]道具信息!C119)</f>
        <v/>
      </c>
      <c r="D119" s="26" t="str">
        <f>IF([2]道具信息!D119="","",[2]道具信息!D119)</f>
        <v>6级阵旗</v>
      </c>
      <c r="E119" s="26">
        <f>IF([2]道具信息!E119="","",[2]道具信息!E119)</f>
        <v>57695</v>
      </c>
      <c r="F119" s="26">
        <f>IF([2]道具信息!F119="","",[2]道具信息!F119)</f>
        <v>1</v>
      </c>
      <c r="G119" s="26">
        <f>IF([2]道具信息!G119="","",[2]道具信息!G119)</f>
        <v>1</v>
      </c>
      <c r="H119" s="26">
        <f>IF([2]道具信息!H119="","",[2]道具信息!H119)</f>
        <v>1</v>
      </c>
      <c r="I119" s="26">
        <f>IF([2]道具信息!I119="","",[2]道具信息!I119)</f>
        <v>57695</v>
      </c>
      <c r="J119" s="26">
        <f>IF([2]道具信息!J119="","",[2]道具信息!J119)</f>
        <v>57695</v>
      </c>
      <c r="K119" s="26">
        <f>IF([2]道具信息!K119="","",[2]道具信息!K119)</f>
        <v>57695</v>
      </c>
      <c r="L119" s="26" t="str">
        <f>IF([2]道具信息!L119="","",[2]道具信息!L119)</f>
        <v/>
      </c>
      <c r="M119" s="26" t="str">
        <f>IF([2]道具信息!M119="","",[2]道具信息!M119)</f>
        <v/>
      </c>
      <c r="N119" s="26" t="str">
        <f>IF([2]道具信息!N119="","",[2]道具信息!N119)</f>
        <v/>
      </c>
      <c r="O119" s="26" t="str">
        <f>IF([2]道具信息!O119="","",[2]道具信息!O119)</f>
        <v/>
      </c>
      <c r="P119" s="26" t="str">
        <f>IF([2]道具信息!P119="","",[2]道具信息!P119)</f>
        <v/>
      </c>
      <c r="Q119" s="26" t="str">
        <f>IF([2]道具信息!Q119="","",[2]道具信息!Q119)</f>
        <v/>
      </c>
    </row>
    <row r="120" spans="3:17" x14ac:dyDescent="0.15">
      <c r="C120" s="26" t="str">
        <f>IF([2]道具信息!C120="","",[2]道具信息!C120)</f>
        <v/>
      </c>
      <c r="D120" s="26" t="str">
        <f>IF([2]道具信息!D120="","",[2]道具信息!D120)</f>
        <v>7级阵旗</v>
      </c>
      <c r="E120" s="26">
        <f>IF([2]道具信息!E120="","",[2]道具信息!E120)</f>
        <v>114895</v>
      </c>
      <c r="F120" s="26">
        <f>IF([2]道具信息!F120="","",[2]道具信息!F120)</f>
        <v>1</v>
      </c>
      <c r="G120" s="26">
        <f>IF([2]道具信息!G120="","",[2]道具信息!G120)</f>
        <v>1</v>
      </c>
      <c r="H120" s="26">
        <f>IF([2]道具信息!H120="","",[2]道具信息!H120)</f>
        <v>1</v>
      </c>
      <c r="I120" s="26">
        <f>IF([2]道具信息!I120="","",[2]道具信息!I120)</f>
        <v>114895</v>
      </c>
      <c r="J120" s="26">
        <f>IF([2]道具信息!J120="","",[2]道具信息!J120)</f>
        <v>114895</v>
      </c>
      <c r="K120" s="26">
        <f>IF([2]道具信息!K120="","",[2]道具信息!K120)</f>
        <v>114895</v>
      </c>
      <c r="L120" s="26" t="str">
        <f>IF([2]道具信息!L120="","",[2]道具信息!L120)</f>
        <v/>
      </c>
      <c r="M120" s="26" t="str">
        <f>IF([2]道具信息!M120="","",[2]道具信息!M120)</f>
        <v/>
      </c>
      <c r="N120" s="26" t="str">
        <f>IF([2]道具信息!N120="","",[2]道具信息!N120)</f>
        <v/>
      </c>
      <c r="O120" s="26" t="str">
        <f>IF([2]道具信息!O120="","",[2]道具信息!O120)</f>
        <v/>
      </c>
      <c r="P120" s="26" t="str">
        <f>IF([2]道具信息!P120="","",[2]道具信息!P120)</f>
        <v/>
      </c>
      <c r="Q120" s="26" t="str">
        <f>IF([2]道具信息!Q120="","",[2]道具信息!Q120)</f>
        <v/>
      </c>
    </row>
    <row r="121" spans="3:17" x14ac:dyDescent="0.15">
      <c r="C121" s="26" t="str">
        <f>IF([2]道具信息!C121="","",[2]道具信息!C121)</f>
        <v/>
      </c>
      <c r="D121" s="26" t="str">
        <f>IF([2]道具信息!D121="","",[2]道具信息!D121)</f>
        <v>8级阵旗</v>
      </c>
      <c r="E121" s="26">
        <f>IF([2]道具信息!E121="","",[2]道具信息!E121)</f>
        <v>200695</v>
      </c>
      <c r="F121" s="26">
        <f>IF([2]道具信息!F121="","",[2]道具信息!F121)</f>
        <v>1</v>
      </c>
      <c r="G121" s="26">
        <f>IF([2]道具信息!G121="","",[2]道具信息!G121)</f>
        <v>1</v>
      </c>
      <c r="H121" s="26">
        <f>IF([2]道具信息!H121="","",[2]道具信息!H121)</f>
        <v>1</v>
      </c>
      <c r="I121" s="26">
        <f>IF([2]道具信息!I121="","",[2]道具信息!I121)</f>
        <v>200695</v>
      </c>
      <c r="J121" s="26">
        <f>IF([2]道具信息!J121="","",[2]道具信息!J121)</f>
        <v>200695</v>
      </c>
      <c r="K121" s="26">
        <f>IF([2]道具信息!K121="","",[2]道具信息!K121)</f>
        <v>200695</v>
      </c>
      <c r="L121" s="26" t="str">
        <f>IF([2]道具信息!L121="","",[2]道具信息!L121)</f>
        <v/>
      </c>
      <c r="M121" s="26" t="str">
        <f>IF([2]道具信息!M121="","",[2]道具信息!M121)</f>
        <v/>
      </c>
      <c r="N121" s="26" t="str">
        <f>IF([2]道具信息!N121="","",[2]道具信息!N121)</f>
        <v/>
      </c>
      <c r="O121" s="26" t="str">
        <f>IF([2]道具信息!O121="","",[2]道具信息!O121)</f>
        <v/>
      </c>
      <c r="P121" s="26" t="str">
        <f>IF([2]道具信息!P121="","",[2]道具信息!P121)</f>
        <v/>
      </c>
      <c r="Q121" s="26" t="str">
        <f>IF([2]道具信息!Q121="","",[2]道具信息!Q121)</f>
        <v/>
      </c>
    </row>
    <row r="122" spans="3:17" x14ac:dyDescent="0.15">
      <c r="C122" s="26" t="str">
        <f>IF([2]道具信息!C122="","",[2]道具信息!C122)</f>
        <v/>
      </c>
      <c r="D122" s="26" t="str">
        <f>IF([2]道具信息!D122="","",[2]道具信息!D122)</f>
        <v>9级阵旗</v>
      </c>
      <c r="E122" s="26">
        <f>IF([2]道具信息!E122="","",[2]道具信息!E122)</f>
        <v>321695</v>
      </c>
      <c r="F122" s="26">
        <f>IF([2]道具信息!F122="","",[2]道具信息!F122)</f>
        <v>1</v>
      </c>
      <c r="G122" s="26">
        <f>IF([2]道具信息!G122="","",[2]道具信息!G122)</f>
        <v>1</v>
      </c>
      <c r="H122" s="26">
        <f>IF([2]道具信息!H122="","",[2]道具信息!H122)</f>
        <v>1</v>
      </c>
      <c r="I122" s="26">
        <f>IF([2]道具信息!I122="","",[2]道具信息!I122)</f>
        <v>321695</v>
      </c>
      <c r="J122" s="26">
        <f>IF([2]道具信息!J122="","",[2]道具信息!J122)</f>
        <v>321695</v>
      </c>
      <c r="K122" s="26">
        <f>IF([2]道具信息!K122="","",[2]道具信息!K122)</f>
        <v>321695</v>
      </c>
      <c r="L122" s="26" t="str">
        <f>IF([2]道具信息!L122="","",[2]道具信息!L122)</f>
        <v/>
      </c>
      <c r="M122" s="26" t="str">
        <f>IF([2]道具信息!M122="","",[2]道具信息!M122)</f>
        <v/>
      </c>
      <c r="N122" s="26" t="str">
        <f>IF([2]道具信息!N122="","",[2]道具信息!N122)</f>
        <v/>
      </c>
      <c r="O122" s="26" t="str">
        <f>IF([2]道具信息!O122="","",[2]道具信息!O122)</f>
        <v/>
      </c>
      <c r="P122" s="26" t="str">
        <f>IF([2]道具信息!P122="","",[2]道具信息!P122)</f>
        <v/>
      </c>
      <c r="Q122" s="26" t="str">
        <f>IF([2]道具信息!Q122="","",[2]道具信息!Q122)</f>
        <v/>
      </c>
    </row>
    <row r="123" spans="3:17" x14ac:dyDescent="0.15">
      <c r="C123" s="26" t="str">
        <f>IF([2]道具信息!C123="","",[2]道具信息!C123)</f>
        <v/>
      </c>
      <c r="D123" s="26" t="str">
        <f>IF([2]道具信息!D123="","",[2]道具信息!D123)</f>
        <v/>
      </c>
      <c r="E123" s="26" t="str">
        <f>IF([2]道具信息!E123="","",[2]道具信息!E123)</f>
        <v/>
      </c>
      <c r="F123" s="26" t="str">
        <f>IF([2]道具信息!F123="","",[2]道具信息!F123)</f>
        <v/>
      </c>
      <c r="G123" s="26" t="str">
        <f>IF([2]道具信息!G123="","",[2]道具信息!G123)</f>
        <v/>
      </c>
      <c r="H123" s="26" t="str">
        <f>IF([2]道具信息!H123="","",[2]道具信息!H123)</f>
        <v/>
      </c>
      <c r="I123" s="26" t="str">
        <f>IF([2]道具信息!I123="","",[2]道具信息!I123)</f>
        <v/>
      </c>
      <c r="J123" s="26" t="str">
        <f>IF([2]道具信息!J123="","",[2]道具信息!J123)</f>
        <v/>
      </c>
      <c r="K123" s="26" t="str">
        <f>IF([2]道具信息!K123="","",[2]道具信息!K123)</f>
        <v/>
      </c>
      <c r="L123" s="26" t="str">
        <f>IF([2]道具信息!L123="","",[2]道具信息!L123)</f>
        <v/>
      </c>
      <c r="M123" s="26" t="str">
        <f>IF([2]道具信息!M123="","",[2]道具信息!M123)</f>
        <v/>
      </c>
      <c r="N123" s="26" t="str">
        <f>IF([2]道具信息!N123="","",[2]道具信息!N123)</f>
        <v/>
      </c>
      <c r="O123" s="26" t="str">
        <f>IF([2]道具信息!O123="","",[2]道具信息!O123)</f>
        <v/>
      </c>
      <c r="P123" s="26" t="str">
        <f>IF([2]道具信息!P123="","",[2]道具信息!P123)</f>
        <v/>
      </c>
      <c r="Q123" s="26" t="str">
        <f>IF([2]道具信息!Q123="","",[2]道具信息!Q123)</f>
        <v/>
      </c>
    </row>
    <row r="124" spans="3:17" x14ac:dyDescent="0.15">
      <c r="C124" s="26" t="str">
        <f>IF([2]道具信息!C124="","",[2]道具信息!C124)</f>
        <v/>
      </c>
      <c r="D124" s="26" t="str">
        <f>IF([2]道具信息!D124="","",[2]道具信息!D124)</f>
        <v/>
      </c>
      <c r="E124" s="26" t="str">
        <f>IF([2]道具信息!E124="","",[2]道具信息!E124)</f>
        <v/>
      </c>
      <c r="F124" s="26" t="str">
        <f>IF([2]道具信息!F124="","",[2]道具信息!F124)</f>
        <v/>
      </c>
      <c r="G124" s="26" t="str">
        <f>IF([2]道具信息!G124="","",[2]道具信息!G124)</f>
        <v/>
      </c>
      <c r="H124" s="26" t="str">
        <f>IF([2]道具信息!H124="","",[2]道具信息!H124)</f>
        <v/>
      </c>
      <c r="I124" s="26" t="str">
        <f>IF([2]道具信息!I124="","",[2]道具信息!I124)</f>
        <v/>
      </c>
      <c r="J124" s="26" t="str">
        <f>IF([2]道具信息!J124="","",[2]道具信息!J124)</f>
        <v/>
      </c>
      <c r="K124" s="26" t="str">
        <f>IF([2]道具信息!K124="","",[2]道具信息!K124)</f>
        <v/>
      </c>
      <c r="L124" s="26" t="str">
        <f>IF([2]道具信息!L124="","",[2]道具信息!L124)</f>
        <v/>
      </c>
      <c r="M124" s="26" t="str">
        <f>IF([2]道具信息!M124="","",[2]道具信息!M124)</f>
        <v/>
      </c>
      <c r="N124" s="26" t="str">
        <f>IF([2]道具信息!N124="","",[2]道具信息!N124)</f>
        <v/>
      </c>
      <c r="O124" s="26" t="str">
        <f>IF([2]道具信息!O124="","",[2]道具信息!O124)</f>
        <v/>
      </c>
      <c r="P124" s="26" t="str">
        <f>IF([2]道具信息!P124="","",[2]道具信息!P124)</f>
        <v/>
      </c>
      <c r="Q124" s="26" t="str">
        <f>IF([2]道具信息!Q124="","",[2]道具信息!Q124)</f>
        <v/>
      </c>
    </row>
    <row r="125" spans="3:17" x14ac:dyDescent="0.15">
      <c r="C125" s="26" t="str">
        <f>IF([2]道具信息!C125="","",[2]道具信息!C125)</f>
        <v/>
      </c>
      <c r="D125" s="26" t="str">
        <f>IF([2]道具信息!D125="","",[2]道具信息!D125)</f>
        <v>普通随机图纸</v>
      </c>
      <c r="E125" s="26">
        <f>IF([2]道具信息!E125="","",[2]道具信息!E125)</f>
        <v>50</v>
      </c>
      <c r="F125" s="26">
        <f>IF([2]道具信息!F125="","",[2]道具信息!F125)</f>
        <v>1</v>
      </c>
      <c r="G125" s="26">
        <f>IF([2]道具信息!G125="","",[2]道具信息!G125)</f>
        <v>0.2</v>
      </c>
      <c r="H125" s="26">
        <f>IF([2]道具信息!H125="","",[2]道具信息!H125)</f>
        <v>0.2</v>
      </c>
      <c r="I125" s="26">
        <f>IF([2]道具信息!I125="","",[2]道具信息!I125)</f>
        <v>50</v>
      </c>
      <c r="J125" s="26">
        <f>IF([2]道具信息!J125="","",[2]道具信息!J125)</f>
        <v>10</v>
      </c>
      <c r="K125" s="26">
        <f>IF([2]道具信息!K125="","",[2]道具信息!K125)</f>
        <v>10</v>
      </c>
      <c r="L125" s="26" t="str">
        <f>IF([2]道具信息!L125="","",[2]道具信息!L125)</f>
        <v/>
      </c>
      <c r="M125" s="26" t="str">
        <f>IF([2]道具信息!M125="","",[2]道具信息!M125)</f>
        <v/>
      </c>
      <c r="N125" s="26" t="str">
        <f>IF([2]道具信息!N125="","",[2]道具信息!N125)</f>
        <v/>
      </c>
      <c r="O125" s="26" t="str">
        <f>IF([2]道具信息!O125="","",[2]道具信息!O125)</f>
        <v/>
      </c>
      <c r="P125" s="26" t="str">
        <f>IF([2]道具信息!P125="","",[2]道具信息!P125)</f>
        <v/>
      </c>
      <c r="Q125" s="26" t="str">
        <f>IF([2]道具信息!Q125="","",[2]道具信息!Q125)</f>
        <v/>
      </c>
    </row>
    <row r="126" spans="3:17" x14ac:dyDescent="0.15">
      <c r="C126" s="26" t="str">
        <f>IF([2]道具信息!C126="","",[2]道具信息!C126)</f>
        <v/>
      </c>
      <c r="D126" s="26" t="str">
        <f>IF([2]道具信息!D126="","",[2]道具信息!D126)</f>
        <v>精良随机图纸</v>
      </c>
      <c r="E126" s="26">
        <f>IF([2]道具信息!E126="","",[2]道具信息!E126)</f>
        <v>190</v>
      </c>
      <c r="F126" s="26">
        <f>IF([2]道具信息!F126="","",[2]道具信息!F126)</f>
        <v>1</v>
      </c>
      <c r="G126" s="26">
        <f>IF([2]道具信息!G126="","",[2]道具信息!G126)</f>
        <v>0.2</v>
      </c>
      <c r="H126" s="26">
        <f>IF([2]道具信息!H126="","",[2]道具信息!H126)</f>
        <v>0.2</v>
      </c>
      <c r="I126" s="26">
        <f>IF([2]道具信息!I126="","",[2]道具信息!I126)</f>
        <v>190</v>
      </c>
      <c r="J126" s="26">
        <f>IF([2]道具信息!J126="","",[2]道具信息!J126)</f>
        <v>38</v>
      </c>
      <c r="K126" s="26">
        <f>IF([2]道具信息!K126="","",[2]道具信息!K126)</f>
        <v>38</v>
      </c>
      <c r="L126" s="26" t="str">
        <f>IF([2]道具信息!L126="","",[2]道具信息!L126)</f>
        <v/>
      </c>
      <c r="M126" s="26" t="str">
        <f>IF([2]道具信息!M126="","",[2]道具信息!M126)</f>
        <v/>
      </c>
      <c r="N126" s="26" t="str">
        <f>IF([2]道具信息!N126="","",[2]道具信息!N126)</f>
        <v/>
      </c>
      <c r="O126" s="26" t="str">
        <f>IF([2]道具信息!O126="","",[2]道具信息!O126)</f>
        <v/>
      </c>
      <c r="P126" s="26" t="str">
        <f>IF([2]道具信息!P126="","",[2]道具信息!P126)</f>
        <v/>
      </c>
      <c r="Q126" s="26" t="str">
        <f>IF([2]道具信息!Q126="","",[2]道具信息!Q126)</f>
        <v/>
      </c>
    </row>
    <row r="127" spans="3:17" x14ac:dyDescent="0.15">
      <c r="C127" s="26" t="str">
        <f>IF([2]道具信息!C127="","",[2]道具信息!C127)</f>
        <v/>
      </c>
      <c r="D127" s="26" t="str">
        <f>IF([2]道具信息!D127="","",[2]道具信息!D127)</f>
        <v>优质随机图纸</v>
      </c>
      <c r="E127" s="26">
        <f>IF([2]道具信息!E127="","",[2]道具信息!E127)</f>
        <v>675</v>
      </c>
      <c r="F127" s="26">
        <f>IF([2]道具信息!F127="","",[2]道具信息!F127)</f>
        <v>1</v>
      </c>
      <c r="G127" s="26">
        <f>IF([2]道具信息!G127="","",[2]道具信息!G127)</f>
        <v>1</v>
      </c>
      <c r="H127" s="26">
        <f>IF([2]道具信息!H127="","",[2]道具信息!H127)</f>
        <v>0.18518518518518517</v>
      </c>
      <c r="I127" s="26">
        <f>IF([2]道具信息!I127="","",[2]道具信息!I127)</f>
        <v>675</v>
      </c>
      <c r="J127" s="26">
        <f>IF([2]道具信息!J127="","",[2]道具信息!J127)</f>
        <v>675</v>
      </c>
      <c r="K127" s="26">
        <f>IF([2]道具信息!K127="","",[2]道具信息!K127)</f>
        <v>125</v>
      </c>
      <c r="L127" s="26" t="str">
        <f>IF([2]道具信息!L127="","",[2]道具信息!L127)</f>
        <v/>
      </c>
      <c r="M127" s="26" t="str">
        <f>IF([2]道具信息!M127="","",[2]道具信息!M127)</f>
        <v/>
      </c>
      <c r="N127" s="26" t="str">
        <f>IF([2]道具信息!N127="","",[2]道具信息!N127)</f>
        <v/>
      </c>
      <c r="O127" s="26" t="str">
        <f>IF([2]道具信息!O127="","",[2]道具信息!O127)</f>
        <v/>
      </c>
      <c r="P127" s="26" t="str">
        <f>IF([2]道具信息!P127="","",[2]道具信息!P127)</f>
        <v/>
      </c>
      <c r="Q127" s="26" t="str">
        <f>IF([2]道具信息!Q127="","",[2]道具信息!Q127)</f>
        <v/>
      </c>
    </row>
    <row r="128" spans="3:17" x14ac:dyDescent="0.15">
      <c r="C128" s="26" t="str">
        <f>IF([2]道具信息!C128="","",[2]道具信息!C128)</f>
        <v/>
      </c>
      <c r="D128" s="26" t="str">
        <f>IF([2]道具信息!D128="","",[2]道具信息!D128)</f>
        <v>珍稀随机图纸</v>
      </c>
      <c r="E128" s="26">
        <f>IF([2]道具信息!E128="","",[2]道具信息!E128)</f>
        <v>975</v>
      </c>
      <c r="F128" s="26">
        <f>IF([2]道具信息!F128="","",[2]道具信息!F128)</f>
        <v>1</v>
      </c>
      <c r="G128" s="26">
        <f>IF([2]道具信息!G128="","",[2]道具信息!G128)</f>
        <v>1</v>
      </c>
      <c r="H128" s="26">
        <f>IF([2]道具信息!H128="","",[2]道具信息!H128)</f>
        <v>1</v>
      </c>
      <c r="I128" s="26">
        <f>IF([2]道具信息!I128="","",[2]道具信息!I128)</f>
        <v>975</v>
      </c>
      <c r="J128" s="26">
        <f>IF([2]道具信息!J128="","",[2]道具信息!J128)</f>
        <v>975</v>
      </c>
      <c r="K128" s="26">
        <f>IF([2]道具信息!K128="","",[2]道具信息!K128)</f>
        <v>975</v>
      </c>
      <c r="L128" s="26" t="str">
        <f>IF([2]道具信息!L128="","",[2]道具信息!L128)</f>
        <v/>
      </c>
      <c r="M128" s="26" t="str">
        <f>IF([2]道具信息!M128="","",[2]道具信息!M128)</f>
        <v/>
      </c>
      <c r="N128" s="26" t="str">
        <f>IF([2]道具信息!N128="","",[2]道具信息!N128)</f>
        <v/>
      </c>
      <c r="O128" s="26" t="str">
        <f>IF([2]道具信息!O128="","",[2]道具信息!O128)</f>
        <v/>
      </c>
      <c r="P128" s="26" t="str">
        <f>IF([2]道具信息!P128="","",[2]道具信息!P128)</f>
        <v/>
      </c>
      <c r="Q128" s="26" t="str">
        <f>IF([2]道具信息!Q128="","",[2]道具信息!Q128)</f>
        <v/>
      </c>
    </row>
    <row r="129" spans="3:17" x14ac:dyDescent="0.15">
      <c r="C129" s="26" t="str">
        <f>IF([2]道具信息!C129="","",[2]道具信息!C129)</f>
        <v/>
      </c>
      <c r="D129" s="26" t="str">
        <f>IF([2]道具信息!D129="","",[2]道具信息!D129)</f>
        <v>传世随机图纸</v>
      </c>
      <c r="E129" s="26">
        <f>IF([2]道具信息!E129="","",[2]道具信息!E129)</f>
        <v>2800</v>
      </c>
      <c r="F129" s="26">
        <f>IF([2]道具信息!F129="","",[2]道具信息!F129)</f>
        <v>1</v>
      </c>
      <c r="G129" s="26">
        <f>IF([2]道具信息!G129="","",[2]道具信息!G129)</f>
        <v>1</v>
      </c>
      <c r="H129" s="26">
        <f>IF([2]道具信息!H129="","",[2]道具信息!H129)</f>
        <v>1</v>
      </c>
      <c r="I129" s="26">
        <f>IF([2]道具信息!I129="","",[2]道具信息!I129)</f>
        <v>2800</v>
      </c>
      <c r="J129" s="26">
        <f>IF([2]道具信息!J129="","",[2]道具信息!J129)</f>
        <v>2800</v>
      </c>
      <c r="K129" s="26">
        <f>IF([2]道具信息!K129="","",[2]道具信息!K129)</f>
        <v>2800</v>
      </c>
      <c r="L129" s="26" t="str">
        <f>IF([2]道具信息!L129="","",[2]道具信息!L129)</f>
        <v/>
      </c>
      <c r="M129" s="26" t="str">
        <f>IF([2]道具信息!M129="","",[2]道具信息!M129)</f>
        <v/>
      </c>
      <c r="N129" s="26" t="str">
        <f>IF([2]道具信息!N129="","",[2]道具信息!N129)</f>
        <v/>
      </c>
      <c r="O129" s="26" t="str">
        <f>IF([2]道具信息!O129="","",[2]道具信息!O129)</f>
        <v/>
      </c>
      <c r="P129" s="26" t="str">
        <f>IF([2]道具信息!P129="","",[2]道具信息!P129)</f>
        <v/>
      </c>
      <c r="Q129" s="26" t="str">
        <f>IF([2]道具信息!Q129="","",[2]道具信息!Q129)</f>
        <v/>
      </c>
    </row>
    <row r="130" spans="3:17" x14ac:dyDescent="0.15">
      <c r="C130" s="26" t="str">
        <f>IF([2]道具信息!C130="","",[2]道具信息!C130)</f>
        <v/>
      </c>
      <c r="D130" s="26" t="str">
        <f>IF([2]道具信息!D130="","",[2]道具信息!D130)</f>
        <v>传奇随机图纸</v>
      </c>
      <c r="E130" s="26">
        <f>IF([2]道具信息!E130="","",[2]道具信息!E130)</f>
        <v>4000</v>
      </c>
      <c r="F130" s="26">
        <f>IF([2]道具信息!F130="","",[2]道具信息!F130)</f>
        <v>1</v>
      </c>
      <c r="G130" s="26">
        <f>IF([2]道具信息!G130="","",[2]道具信息!G130)</f>
        <v>1</v>
      </c>
      <c r="H130" s="26">
        <f>IF([2]道具信息!H130="","",[2]道具信息!H130)</f>
        <v>1</v>
      </c>
      <c r="I130" s="26">
        <f>IF([2]道具信息!I130="","",[2]道具信息!I130)</f>
        <v>4000</v>
      </c>
      <c r="J130" s="26">
        <f>IF([2]道具信息!J130="","",[2]道具信息!J130)</f>
        <v>4000</v>
      </c>
      <c r="K130" s="26">
        <f>IF([2]道具信息!K130="","",[2]道具信息!K130)</f>
        <v>4000</v>
      </c>
      <c r="L130" s="26" t="str">
        <f>IF([2]道具信息!L130="","",[2]道具信息!L130)</f>
        <v/>
      </c>
      <c r="M130" s="26" t="str">
        <f>IF([2]道具信息!M130="","",[2]道具信息!M130)</f>
        <v/>
      </c>
      <c r="N130" s="26" t="str">
        <f>IF([2]道具信息!N130="","",[2]道具信息!N130)</f>
        <v/>
      </c>
      <c r="O130" s="26" t="str">
        <f>IF([2]道具信息!O130="","",[2]道具信息!O130)</f>
        <v/>
      </c>
      <c r="P130" s="26" t="str">
        <f>IF([2]道具信息!P130="","",[2]道具信息!P130)</f>
        <v/>
      </c>
      <c r="Q130" s="26" t="str">
        <f>IF([2]道具信息!Q130="","",[2]道具信息!Q130)</f>
        <v/>
      </c>
    </row>
    <row r="131" spans="3:17" x14ac:dyDescent="0.15">
      <c r="C131" s="26" t="str">
        <f>IF([2]道具信息!C131="","",[2]道具信息!C131)</f>
        <v/>
      </c>
      <c r="D131" s="26" t="str">
        <f>IF([2]道具信息!D131="","",[2]道具信息!D131)</f>
        <v>普通装备图纸</v>
      </c>
      <c r="E131" s="26">
        <f>IF([2]道具信息!E131="","",[2]道具信息!E131)</f>
        <v>50</v>
      </c>
      <c r="F131" s="26">
        <f>IF([2]道具信息!F131="","",[2]道具信息!F131)</f>
        <v>1</v>
      </c>
      <c r="G131" s="26">
        <f>IF([2]道具信息!G131="","",[2]道具信息!G131)</f>
        <v>0.2</v>
      </c>
      <c r="H131" s="26">
        <f>IF([2]道具信息!H131="","",[2]道具信息!H131)</f>
        <v>0.2</v>
      </c>
      <c r="I131" s="26">
        <f>IF([2]道具信息!I131="","",[2]道具信息!I131)</f>
        <v>50</v>
      </c>
      <c r="J131" s="26">
        <f>IF([2]道具信息!J131="","",[2]道具信息!J131)</f>
        <v>10</v>
      </c>
      <c r="K131" s="26">
        <f>IF([2]道具信息!K131="","",[2]道具信息!K131)</f>
        <v>10</v>
      </c>
      <c r="L131" s="26" t="str">
        <f>IF([2]道具信息!L131="","",[2]道具信息!L131)</f>
        <v/>
      </c>
      <c r="M131" s="26" t="str">
        <f>IF([2]道具信息!M131="","",[2]道具信息!M131)</f>
        <v/>
      </c>
      <c r="N131" s="26" t="str">
        <f>IF([2]道具信息!N131="","",[2]道具信息!N131)</f>
        <v/>
      </c>
      <c r="O131" s="26" t="str">
        <f>IF([2]道具信息!O131="","",[2]道具信息!O131)</f>
        <v/>
      </c>
      <c r="P131" s="26" t="str">
        <f>IF([2]道具信息!P131="","",[2]道具信息!P131)</f>
        <v/>
      </c>
      <c r="Q131" s="26" t="str">
        <f>IF([2]道具信息!Q131="","",[2]道具信息!Q131)</f>
        <v/>
      </c>
    </row>
    <row r="132" spans="3:17" x14ac:dyDescent="0.15">
      <c r="C132" s="26" t="str">
        <f>IF([2]道具信息!C132="","",[2]道具信息!C132)</f>
        <v/>
      </c>
      <c r="D132" s="26" t="str">
        <f>IF([2]道具信息!D132="","",[2]道具信息!D132)</f>
        <v>精良装备图纸</v>
      </c>
      <c r="E132" s="26">
        <f>IF([2]道具信息!E132="","",[2]道具信息!E132)</f>
        <v>310</v>
      </c>
      <c r="F132" s="26">
        <f>IF([2]道具信息!F132="","",[2]道具信息!F132)</f>
        <v>1</v>
      </c>
      <c r="G132" s="26">
        <f>IF([2]道具信息!G132="","",[2]道具信息!G132)</f>
        <v>0.2</v>
      </c>
      <c r="H132" s="26">
        <f>IF([2]道具信息!H132="","",[2]道具信息!H132)</f>
        <v>0.2</v>
      </c>
      <c r="I132" s="26">
        <f>IF([2]道具信息!I132="","",[2]道具信息!I132)</f>
        <v>310</v>
      </c>
      <c r="J132" s="26">
        <f>IF([2]道具信息!J132="","",[2]道具信息!J132)</f>
        <v>62</v>
      </c>
      <c r="K132" s="26">
        <f>IF([2]道具信息!K132="","",[2]道具信息!K132)</f>
        <v>62</v>
      </c>
      <c r="L132" s="26" t="str">
        <f>IF([2]道具信息!L132="","",[2]道具信息!L132)</f>
        <v/>
      </c>
      <c r="M132" s="26" t="str">
        <f>IF([2]道具信息!M132="","",[2]道具信息!M132)</f>
        <v/>
      </c>
      <c r="N132" s="26" t="str">
        <f>IF([2]道具信息!N132="","",[2]道具信息!N132)</f>
        <v/>
      </c>
      <c r="O132" s="26" t="str">
        <f>IF([2]道具信息!O132="","",[2]道具信息!O132)</f>
        <v/>
      </c>
      <c r="P132" s="26" t="str">
        <f>IF([2]道具信息!P132="","",[2]道具信息!P132)</f>
        <v/>
      </c>
      <c r="Q132" s="26" t="str">
        <f>IF([2]道具信息!Q132="","",[2]道具信息!Q132)</f>
        <v/>
      </c>
    </row>
    <row r="133" spans="3:17" x14ac:dyDescent="0.15">
      <c r="C133" s="26" t="str">
        <f>IF([2]道具信息!C133="","",[2]道具信息!C133)</f>
        <v/>
      </c>
      <c r="D133" s="26" t="str">
        <f>IF([2]道具信息!D133="","",[2]道具信息!D133)</f>
        <v>优质装备图纸</v>
      </c>
      <c r="E133" s="26">
        <f>IF([2]道具信息!E133="","",[2]道具信息!E133)</f>
        <v>1525</v>
      </c>
      <c r="F133" s="26">
        <f>IF([2]道具信息!F133="","",[2]道具信息!F133)</f>
        <v>1</v>
      </c>
      <c r="G133" s="26">
        <f>IF([2]道具信息!G133="","",[2]道具信息!G133)</f>
        <v>1</v>
      </c>
      <c r="H133" s="26">
        <f>IF([2]道具信息!H133="","",[2]道具信息!H133)</f>
        <v>0.18032786885245902</v>
      </c>
      <c r="I133" s="26">
        <f>IF([2]道具信息!I133="","",[2]道具信息!I133)</f>
        <v>1525</v>
      </c>
      <c r="J133" s="26">
        <f>IF([2]道具信息!J133="","",[2]道具信息!J133)</f>
        <v>1525</v>
      </c>
      <c r="K133" s="26">
        <f>IF([2]道具信息!K133="","",[2]道具信息!K133)</f>
        <v>275</v>
      </c>
      <c r="L133" s="26" t="str">
        <f>IF([2]道具信息!L133="","",[2]道具信息!L133)</f>
        <v/>
      </c>
      <c r="M133" s="26" t="str">
        <f>IF([2]道具信息!M133="","",[2]道具信息!M133)</f>
        <v/>
      </c>
      <c r="N133" s="26" t="str">
        <f>IF([2]道具信息!N133="","",[2]道具信息!N133)</f>
        <v/>
      </c>
      <c r="O133" s="26" t="str">
        <f>IF([2]道具信息!O133="","",[2]道具信息!O133)</f>
        <v/>
      </c>
      <c r="P133" s="26" t="str">
        <f>IF([2]道具信息!P133="","",[2]道具信息!P133)</f>
        <v/>
      </c>
      <c r="Q133" s="26" t="str">
        <f>IF([2]道具信息!Q133="","",[2]道具信息!Q133)</f>
        <v/>
      </c>
    </row>
    <row r="134" spans="3:17" x14ac:dyDescent="0.15">
      <c r="C134" s="26" t="str">
        <f>IF([2]道具信息!C134="","",[2]道具信息!C134)</f>
        <v/>
      </c>
      <c r="D134" s="26" t="str">
        <f>IF([2]道具信息!D134="","",[2]道具信息!D134)</f>
        <v>珍稀装备图纸</v>
      </c>
      <c r="E134" s="26">
        <f>IF([2]道具信息!E134="","",[2]道具信息!E134)</f>
        <v>2325</v>
      </c>
      <c r="F134" s="26">
        <f>IF([2]道具信息!F134="","",[2]道具信息!F134)</f>
        <v>1</v>
      </c>
      <c r="G134" s="26">
        <f>IF([2]道具信息!G134="","",[2]道具信息!G134)</f>
        <v>1</v>
      </c>
      <c r="H134" s="26">
        <f>IF([2]道具信息!H134="","",[2]道具信息!H134)</f>
        <v>1</v>
      </c>
      <c r="I134" s="26">
        <f>IF([2]道具信息!I134="","",[2]道具信息!I134)</f>
        <v>2325</v>
      </c>
      <c r="J134" s="26">
        <f>IF([2]道具信息!J134="","",[2]道具信息!J134)</f>
        <v>2325</v>
      </c>
      <c r="K134" s="26">
        <f>IF([2]道具信息!K134="","",[2]道具信息!K134)</f>
        <v>2325</v>
      </c>
      <c r="L134" s="26" t="str">
        <f>IF([2]道具信息!L134="","",[2]道具信息!L134)</f>
        <v/>
      </c>
      <c r="M134" s="26" t="str">
        <f>IF([2]道具信息!M134="","",[2]道具信息!M134)</f>
        <v/>
      </c>
      <c r="N134" s="26" t="str">
        <f>IF([2]道具信息!N134="","",[2]道具信息!N134)</f>
        <v/>
      </c>
      <c r="O134" s="26" t="str">
        <f>IF([2]道具信息!O134="","",[2]道具信息!O134)</f>
        <v/>
      </c>
      <c r="P134" s="26" t="str">
        <f>IF([2]道具信息!P134="","",[2]道具信息!P134)</f>
        <v/>
      </c>
      <c r="Q134" s="26" t="str">
        <f>IF([2]道具信息!Q134="","",[2]道具信息!Q134)</f>
        <v/>
      </c>
    </row>
    <row r="135" spans="3:17" x14ac:dyDescent="0.15">
      <c r="C135" s="26" t="str">
        <f>IF([2]道具信息!C135="","",[2]道具信息!C135)</f>
        <v/>
      </c>
      <c r="D135" s="26" t="str">
        <f>IF([2]道具信息!D135="","",[2]道具信息!D135)</f>
        <v>传世装备图纸</v>
      </c>
      <c r="E135" s="26">
        <f>IF([2]道具信息!E135="","",[2]道具信息!E135)</f>
        <v>5600</v>
      </c>
      <c r="F135" s="26">
        <f>IF([2]道具信息!F135="","",[2]道具信息!F135)</f>
        <v>1</v>
      </c>
      <c r="G135" s="26">
        <f>IF([2]道具信息!G135="","",[2]道具信息!G135)</f>
        <v>1</v>
      </c>
      <c r="H135" s="26">
        <f>IF([2]道具信息!H135="","",[2]道具信息!H135)</f>
        <v>1</v>
      </c>
      <c r="I135" s="26">
        <f>IF([2]道具信息!I135="","",[2]道具信息!I135)</f>
        <v>5600</v>
      </c>
      <c r="J135" s="26">
        <f>IF([2]道具信息!J135="","",[2]道具信息!J135)</f>
        <v>5600</v>
      </c>
      <c r="K135" s="26">
        <f>IF([2]道具信息!K135="","",[2]道具信息!K135)</f>
        <v>5600</v>
      </c>
      <c r="L135" s="26" t="str">
        <f>IF([2]道具信息!L135="","",[2]道具信息!L135)</f>
        <v/>
      </c>
      <c r="M135" s="26" t="str">
        <f>IF([2]道具信息!M135="","",[2]道具信息!M135)</f>
        <v/>
      </c>
      <c r="N135" s="26" t="str">
        <f>IF([2]道具信息!N135="","",[2]道具信息!N135)</f>
        <v/>
      </c>
      <c r="O135" s="26" t="str">
        <f>IF([2]道具信息!O135="","",[2]道具信息!O135)</f>
        <v/>
      </c>
      <c r="P135" s="26" t="str">
        <f>IF([2]道具信息!P135="","",[2]道具信息!P135)</f>
        <v/>
      </c>
      <c r="Q135" s="26" t="str">
        <f>IF([2]道具信息!Q135="","",[2]道具信息!Q135)</f>
        <v/>
      </c>
    </row>
    <row r="136" spans="3:17" x14ac:dyDescent="0.15">
      <c r="C136" s="26" t="str">
        <f>IF([2]道具信息!C136="","",[2]道具信息!C136)</f>
        <v/>
      </c>
      <c r="D136" s="26" t="str">
        <f>IF([2]道具信息!D136="","",[2]道具信息!D136)</f>
        <v>传奇装备图纸</v>
      </c>
      <c r="E136" s="26">
        <f>IF([2]道具信息!E136="","",[2]道具信息!E136)</f>
        <v>10400</v>
      </c>
      <c r="F136" s="26">
        <f>IF([2]道具信息!F136="","",[2]道具信息!F136)</f>
        <v>1</v>
      </c>
      <c r="G136" s="26">
        <f>IF([2]道具信息!G136="","",[2]道具信息!G136)</f>
        <v>1</v>
      </c>
      <c r="H136" s="26">
        <f>IF([2]道具信息!H136="","",[2]道具信息!H136)</f>
        <v>1</v>
      </c>
      <c r="I136" s="26">
        <f>IF([2]道具信息!I136="","",[2]道具信息!I136)</f>
        <v>10400</v>
      </c>
      <c r="J136" s="26">
        <f>IF([2]道具信息!J136="","",[2]道具信息!J136)</f>
        <v>10400</v>
      </c>
      <c r="K136" s="26">
        <f>IF([2]道具信息!K136="","",[2]道具信息!K136)</f>
        <v>10400</v>
      </c>
      <c r="L136" s="26" t="str">
        <f>IF([2]道具信息!L136="","",[2]道具信息!L136)</f>
        <v/>
      </c>
      <c r="M136" s="26" t="str">
        <f>IF([2]道具信息!M136="","",[2]道具信息!M136)</f>
        <v/>
      </c>
      <c r="N136" s="26" t="str">
        <f>IF([2]道具信息!N136="","",[2]道具信息!N136)</f>
        <v/>
      </c>
      <c r="O136" s="26" t="str">
        <f>IF([2]道具信息!O136="","",[2]道具信息!O136)</f>
        <v/>
      </c>
      <c r="P136" s="26" t="str">
        <f>IF([2]道具信息!P136="","",[2]道具信息!P136)</f>
        <v/>
      </c>
      <c r="Q136" s="26" t="str">
        <f>IF([2]道具信息!Q136="","",[2]道具信息!Q136)</f>
        <v/>
      </c>
    </row>
    <row r="137" spans="3:17" x14ac:dyDescent="0.15">
      <c r="C137" s="26" t="str">
        <f>IF([2]道具信息!C137="","",[2]道具信息!C137)</f>
        <v/>
      </c>
      <c r="D137" s="26" t="str">
        <f>IF([2]道具信息!D137="","",[2]道具信息!D137)</f>
        <v/>
      </c>
      <c r="E137" s="26" t="str">
        <f>IF([2]道具信息!E137="","",[2]道具信息!E137)</f>
        <v/>
      </c>
      <c r="F137" s="26" t="str">
        <f>IF([2]道具信息!F137="","",[2]道具信息!F137)</f>
        <v/>
      </c>
      <c r="G137" s="26" t="str">
        <f>IF([2]道具信息!G137="","",[2]道具信息!G137)</f>
        <v/>
      </c>
      <c r="H137" s="26" t="str">
        <f>IF([2]道具信息!H137="","",[2]道具信息!H137)</f>
        <v/>
      </c>
      <c r="I137" s="26" t="str">
        <f>IF([2]道具信息!I137="","",[2]道具信息!I137)</f>
        <v/>
      </c>
      <c r="J137" s="26" t="str">
        <f>IF([2]道具信息!J137="","",[2]道具信息!J137)</f>
        <v/>
      </c>
      <c r="K137" s="26" t="str">
        <f>IF([2]道具信息!K137="","",[2]道具信息!K137)</f>
        <v/>
      </c>
      <c r="L137" s="26" t="str">
        <f>IF([2]道具信息!L137="","",[2]道具信息!L137)</f>
        <v/>
      </c>
      <c r="M137" s="26" t="str">
        <f>IF([2]道具信息!M137="","",[2]道具信息!M137)</f>
        <v/>
      </c>
      <c r="N137" s="26" t="str">
        <f>IF([2]道具信息!N137="","",[2]道具信息!N137)</f>
        <v/>
      </c>
      <c r="O137" s="26" t="str">
        <f>IF([2]道具信息!O137="","",[2]道具信息!O137)</f>
        <v/>
      </c>
      <c r="P137" s="26" t="str">
        <f>IF([2]道具信息!P137="","",[2]道具信息!P137)</f>
        <v/>
      </c>
      <c r="Q137" s="26" t="str">
        <f>IF([2]道具信息!Q137="","",[2]道具信息!Q137)</f>
        <v/>
      </c>
    </row>
    <row r="138" spans="3:17" x14ac:dyDescent="0.15">
      <c r="C138" s="26" t="str">
        <f>IF([2]道具信息!C138="","",[2]道具信息!C138)</f>
        <v/>
      </c>
      <c r="D138" s="26" t="str">
        <f>IF([2]道具信息!D138="","",[2]道具信息!D138)</f>
        <v>残破磨石</v>
      </c>
      <c r="E138" s="26">
        <f>IF([2]道具信息!E138="","",[2]道具信息!E138)</f>
        <v>10</v>
      </c>
      <c r="F138" s="26">
        <f>IF([2]道具信息!F138="","",[2]道具信息!F138)</f>
        <v>1</v>
      </c>
      <c r="G138" s="26">
        <f>IF([2]道具信息!G138="","",[2]道具信息!G138)</f>
        <v>1</v>
      </c>
      <c r="H138" s="26">
        <f>IF([2]道具信息!H138="","",[2]道具信息!H138)</f>
        <v>1</v>
      </c>
      <c r="I138" s="26">
        <f>IF([2]道具信息!I138="","",[2]道具信息!I138)</f>
        <v>10</v>
      </c>
      <c r="J138" s="26">
        <f>IF([2]道具信息!J138="","",[2]道具信息!J138)</f>
        <v>10</v>
      </c>
      <c r="K138" s="26">
        <f>IF([2]道具信息!K138="","",[2]道具信息!K138)</f>
        <v>10</v>
      </c>
      <c r="L138" s="26" t="str">
        <f>IF([2]道具信息!L138="","",[2]道具信息!L138)</f>
        <v/>
      </c>
      <c r="M138" s="26" t="str">
        <f>IF([2]道具信息!M138="","",[2]道具信息!M138)</f>
        <v/>
      </c>
      <c r="N138" s="26" t="str">
        <f>IF([2]道具信息!N138="","",[2]道具信息!N138)</f>
        <v/>
      </c>
      <c r="O138" s="26" t="str">
        <f>IF([2]道具信息!O138="","",[2]道具信息!O138)</f>
        <v/>
      </c>
      <c r="P138" s="26" t="str">
        <f>IF([2]道具信息!P138="","",[2]道具信息!P138)</f>
        <v/>
      </c>
      <c r="Q138" s="26" t="str">
        <f>IF([2]道具信息!Q138="","",[2]道具信息!Q138)</f>
        <v/>
      </c>
    </row>
    <row r="139" spans="3:17" x14ac:dyDescent="0.15">
      <c r="C139" s="26" t="str">
        <f>IF([2]道具信息!C139="","",[2]道具信息!C139)</f>
        <v/>
      </c>
      <c r="D139" s="26" t="str">
        <f>IF([2]道具信息!D139="","",[2]道具信息!D139)</f>
        <v>普通磨石</v>
      </c>
      <c r="E139" s="26">
        <f>IF([2]道具信息!E139="","",[2]道具信息!E139)</f>
        <v>50</v>
      </c>
      <c r="F139" s="26">
        <f>IF([2]道具信息!F139="","",[2]道具信息!F139)</f>
        <v>1</v>
      </c>
      <c r="G139" s="26">
        <f>IF([2]道具信息!G139="","",[2]道具信息!G139)</f>
        <v>1</v>
      </c>
      <c r="H139" s="26">
        <f>IF([2]道具信息!H139="","",[2]道具信息!H139)</f>
        <v>1</v>
      </c>
      <c r="I139" s="26">
        <f>IF([2]道具信息!I139="","",[2]道具信息!I139)</f>
        <v>50</v>
      </c>
      <c r="J139" s="26">
        <f>IF([2]道具信息!J139="","",[2]道具信息!J139)</f>
        <v>50</v>
      </c>
      <c r="K139" s="26">
        <f>IF([2]道具信息!K139="","",[2]道具信息!K139)</f>
        <v>50</v>
      </c>
      <c r="L139" s="26" t="str">
        <f>IF([2]道具信息!L139="","",[2]道具信息!L139)</f>
        <v/>
      </c>
      <c r="M139" s="26" t="str">
        <f>IF([2]道具信息!M139="","",[2]道具信息!M139)</f>
        <v/>
      </c>
      <c r="N139" s="26" t="str">
        <f>IF([2]道具信息!N139="","",[2]道具信息!N139)</f>
        <v/>
      </c>
      <c r="O139" s="26" t="str">
        <f>IF([2]道具信息!O139="","",[2]道具信息!O139)</f>
        <v/>
      </c>
      <c r="P139" s="26" t="str">
        <f>IF([2]道具信息!P139="","",[2]道具信息!P139)</f>
        <v/>
      </c>
      <c r="Q139" s="26" t="str">
        <f>IF([2]道具信息!Q139="","",[2]道具信息!Q139)</f>
        <v/>
      </c>
    </row>
    <row r="140" spans="3:17" x14ac:dyDescent="0.15">
      <c r="C140" s="26" t="str">
        <f>IF([2]道具信息!C140="","",[2]道具信息!C140)</f>
        <v/>
      </c>
      <c r="D140" s="26" t="str">
        <f>IF([2]道具信息!D140="","",[2]道具信息!D140)</f>
        <v>精良磨石</v>
      </c>
      <c r="E140" s="26">
        <f>IF([2]道具信息!E140="","",[2]道具信息!E140)</f>
        <v>100</v>
      </c>
      <c r="F140" s="26">
        <f>IF([2]道具信息!F140="","",[2]道具信息!F140)</f>
        <v>1</v>
      </c>
      <c r="G140" s="26">
        <f>IF([2]道具信息!G140="","",[2]道具信息!G140)</f>
        <v>1</v>
      </c>
      <c r="H140" s="26">
        <f>IF([2]道具信息!H140="","",[2]道具信息!H140)</f>
        <v>1</v>
      </c>
      <c r="I140" s="26">
        <f>IF([2]道具信息!I140="","",[2]道具信息!I140)</f>
        <v>100</v>
      </c>
      <c r="J140" s="26">
        <f>IF([2]道具信息!J140="","",[2]道具信息!J140)</f>
        <v>100</v>
      </c>
      <c r="K140" s="26">
        <f>IF([2]道具信息!K140="","",[2]道具信息!K140)</f>
        <v>100</v>
      </c>
      <c r="L140" s="26" t="str">
        <f>IF([2]道具信息!L140="","",[2]道具信息!L140)</f>
        <v/>
      </c>
      <c r="M140" s="26" t="str">
        <f>IF([2]道具信息!M140="","",[2]道具信息!M140)</f>
        <v/>
      </c>
      <c r="N140" s="26" t="str">
        <f>IF([2]道具信息!N140="","",[2]道具信息!N140)</f>
        <v/>
      </c>
      <c r="O140" s="26" t="str">
        <f>IF([2]道具信息!O140="","",[2]道具信息!O140)</f>
        <v/>
      </c>
      <c r="P140" s="26" t="str">
        <f>IF([2]道具信息!P140="","",[2]道具信息!P140)</f>
        <v/>
      </c>
      <c r="Q140" s="26" t="str">
        <f>IF([2]道具信息!Q140="","",[2]道具信息!Q140)</f>
        <v/>
      </c>
    </row>
    <row r="141" spans="3:17" x14ac:dyDescent="0.15">
      <c r="C141" s="26" t="str">
        <f>IF([2]道具信息!C141="","",[2]道具信息!C141)</f>
        <v/>
      </c>
      <c r="D141" s="26" t="str">
        <f>IF([2]道具信息!D141="","",[2]道具信息!D141)</f>
        <v>优质磨石</v>
      </c>
      <c r="E141" s="26">
        <f>IF([2]道具信息!E141="","",[2]道具信息!E141)</f>
        <v>200</v>
      </c>
      <c r="F141" s="26">
        <f>IF([2]道具信息!F141="","",[2]道具信息!F141)</f>
        <v>1</v>
      </c>
      <c r="G141" s="26">
        <f>IF([2]道具信息!G141="","",[2]道具信息!G141)</f>
        <v>1</v>
      </c>
      <c r="H141" s="26">
        <f>IF([2]道具信息!H141="","",[2]道具信息!H141)</f>
        <v>1</v>
      </c>
      <c r="I141" s="26">
        <f>IF([2]道具信息!I141="","",[2]道具信息!I141)</f>
        <v>200</v>
      </c>
      <c r="J141" s="26">
        <f>IF([2]道具信息!J141="","",[2]道具信息!J141)</f>
        <v>200</v>
      </c>
      <c r="K141" s="26">
        <f>IF([2]道具信息!K141="","",[2]道具信息!K141)</f>
        <v>200</v>
      </c>
      <c r="L141" s="26" t="str">
        <f>IF([2]道具信息!L141="","",[2]道具信息!L141)</f>
        <v/>
      </c>
      <c r="M141" s="26" t="str">
        <f>IF([2]道具信息!M141="","",[2]道具信息!M141)</f>
        <v/>
      </c>
      <c r="N141" s="26" t="str">
        <f>IF([2]道具信息!N141="","",[2]道具信息!N141)</f>
        <v/>
      </c>
      <c r="O141" s="26" t="str">
        <f>IF([2]道具信息!O141="","",[2]道具信息!O141)</f>
        <v/>
      </c>
      <c r="P141" s="26" t="str">
        <f>IF([2]道具信息!P141="","",[2]道具信息!P141)</f>
        <v/>
      </c>
      <c r="Q141" s="26" t="str">
        <f>IF([2]道具信息!Q141="","",[2]道具信息!Q141)</f>
        <v/>
      </c>
    </row>
    <row r="142" spans="3:17" x14ac:dyDescent="0.15">
      <c r="C142" s="26" t="str">
        <f>IF([2]道具信息!C142="","",[2]道具信息!C142)</f>
        <v/>
      </c>
      <c r="D142" s="26" t="str">
        <f>IF([2]道具信息!D142="","",[2]道具信息!D142)</f>
        <v>传世磨石</v>
      </c>
      <c r="E142" s="26">
        <f>IF([2]道具信息!E142="","",[2]道具信息!E142)</f>
        <v>400</v>
      </c>
      <c r="F142" s="26">
        <f>IF([2]道具信息!F142="","",[2]道具信息!F142)</f>
        <v>1</v>
      </c>
      <c r="G142" s="26">
        <f>IF([2]道具信息!G142="","",[2]道具信息!G142)</f>
        <v>1</v>
      </c>
      <c r="H142" s="26">
        <f>IF([2]道具信息!H142="","",[2]道具信息!H142)</f>
        <v>1</v>
      </c>
      <c r="I142" s="26">
        <f>IF([2]道具信息!I142="","",[2]道具信息!I142)</f>
        <v>400</v>
      </c>
      <c r="J142" s="26">
        <f>IF([2]道具信息!J142="","",[2]道具信息!J142)</f>
        <v>400</v>
      </c>
      <c r="K142" s="26">
        <f>IF([2]道具信息!K142="","",[2]道具信息!K142)</f>
        <v>400</v>
      </c>
      <c r="L142" s="26" t="str">
        <f>IF([2]道具信息!L142="","",[2]道具信息!L142)</f>
        <v/>
      </c>
      <c r="M142" s="26" t="str">
        <f>IF([2]道具信息!M142="","",[2]道具信息!M142)</f>
        <v/>
      </c>
      <c r="N142" s="26" t="str">
        <f>IF([2]道具信息!N142="","",[2]道具信息!N142)</f>
        <v/>
      </c>
      <c r="O142" s="26" t="str">
        <f>IF([2]道具信息!O142="","",[2]道具信息!O142)</f>
        <v/>
      </c>
      <c r="P142" s="26" t="str">
        <f>IF([2]道具信息!P142="","",[2]道具信息!P142)</f>
        <v/>
      </c>
      <c r="Q142" s="26" t="str">
        <f>IF([2]道具信息!Q142="","",[2]道具信息!Q142)</f>
        <v/>
      </c>
    </row>
    <row r="143" spans="3:17" x14ac:dyDescent="0.15">
      <c r="C143" s="26" t="str">
        <f>IF([2]道具信息!C143="","",[2]道具信息!C143)</f>
        <v/>
      </c>
      <c r="D143" s="26" t="str">
        <f>IF([2]道具信息!D143="","",[2]道具信息!D143)</f>
        <v/>
      </c>
      <c r="E143" s="26" t="str">
        <f>IF([2]道具信息!E143="","",[2]道具信息!E143)</f>
        <v/>
      </c>
      <c r="F143" s="26" t="str">
        <f>IF([2]道具信息!F143="","",[2]道具信息!F143)</f>
        <v/>
      </c>
      <c r="G143" s="26" t="str">
        <f>IF([2]道具信息!G143="","",[2]道具信息!G143)</f>
        <v/>
      </c>
      <c r="H143" s="26" t="str">
        <f>IF([2]道具信息!H143="","",[2]道具信息!H143)</f>
        <v/>
      </c>
      <c r="I143" s="26" t="str">
        <f>IF([2]道具信息!I143="","",[2]道具信息!I143)</f>
        <v/>
      </c>
      <c r="J143" s="26" t="str">
        <f>IF([2]道具信息!J143="","",[2]道具信息!J143)</f>
        <v/>
      </c>
      <c r="K143" s="26" t="str">
        <f>IF([2]道具信息!K143="","",[2]道具信息!K143)</f>
        <v/>
      </c>
      <c r="L143" s="26" t="str">
        <f>IF([2]道具信息!L143="","",[2]道具信息!L143)</f>
        <v/>
      </c>
      <c r="M143" s="26" t="str">
        <f>IF([2]道具信息!M143="","",[2]道具信息!M143)</f>
        <v/>
      </c>
      <c r="N143" s="26" t="str">
        <f>IF([2]道具信息!N143="","",[2]道具信息!N143)</f>
        <v/>
      </c>
      <c r="O143" s="26" t="str">
        <f>IF([2]道具信息!O143="","",[2]道具信息!O143)</f>
        <v/>
      </c>
      <c r="P143" s="26" t="str">
        <f>IF([2]道具信息!P143="","",[2]道具信息!P143)</f>
        <v/>
      </c>
      <c r="Q143" s="26" t="str">
        <f>IF([2]道具信息!Q143="","",[2]道具信息!Q143)</f>
        <v/>
      </c>
    </row>
    <row r="144" spans="3:17" x14ac:dyDescent="0.15">
      <c r="C144" s="26" t="str">
        <f>IF([2]道具信息!C144="","",[2]道具信息!C144)</f>
        <v/>
      </c>
      <c r="D144" s="26" t="str">
        <f>IF([2]道具信息!D144="","",[2]道具信息!D144)</f>
        <v>普通兵装材料</v>
      </c>
      <c r="E144" s="26">
        <f>IF([2]道具信息!E144="","",[2]道具信息!E144)</f>
        <v>10</v>
      </c>
      <c r="F144" s="26">
        <f>IF([2]道具信息!F144="","",[2]道具信息!F144)</f>
        <v>1</v>
      </c>
      <c r="G144" s="26">
        <f>IF([2]道具信息!G144="","",[2]道具信息!G144)</f>
        <v>0.2</v>
      </c>
      <c r="H144" s="26">
        <f>IF([2]道具信息!H144="","",[2]道具信息!H144)</f>
        <v>0.2</v>
      </c>
      <c r="I144" s="26">
        <f>IF([2]道具信息!I144="","",[2]道具信息!I144)</f>
        <v>10</v>
      </c>
      <c r="J144" s="26">
        <f>IF([2]道具信息!J144="","",[2]道具信息!J144)</f>
        <v>2</v>
      </c>
      <c r="K144" s="26">
        <f>IF([2]道具信息!K144="","",[2]道具信息!K144)</f>
        <v>2</v>
      </c>
      <c r="L144" s="26" t="str">
        <f>IF([2]道具信息!L144="","",[2]道具信息!L144)</f>
        <v/>
      </c>
      <c r="M144" s="26" t="str">
        <f>IF([2]道具信息!M144="","",[2]道具信息!M144)</f>
        <v/>
      </c>
      <c r="N144" s="26" t="str">
        <f>IF([2]道具信息!N144="","",[2]道具信息!N144)</f>
        <v/>
      </c>
      <c r="O144" s="26" t="str">
        <f>IF([2]道具信息!O144="","",[2]道具信息!O144)</f>
        <v/>
      </c>
      <c r="P144" s="26" t="str">
        <f>IF([2]道具信息!P144="","",[2]道具信息!P144)</f>
        <v/>
      </c>
      <c r="Q144" s="26" t="str">
        <f>IF([2]道具信息!Q144="","",[2]道具信息!Q144)</f>
        <v/>
      </c>
    </row>
    <row r="145" spans="3:17" x14ac:dyDescent="0.15">
      <c r="C145" s="26" t="str">
        <f>IF([2]道具信息!C145="","",[2]道具信息!C145)</f>
        <v/>
      </c>
      <c r="D145" s="26" t="str">
        <f>IF([2]道具信息!D145="","",[2]道具信息!D145)</f>
        <v>精良兵装材料</v>
      </c>
      <c r="E145" s="26">
        <f>IF([2]道具信息!E145="","",[2]道具信息!E145)</f>
        <v>19</v>
      </c>
      <c r="F145" s="26">
        <f>IF([2]道具信息!F145="","",[2]道具信息!F145)</f>
        <v>1</v>
      </c>
      <c r="G145" s="26">
        <f>IF([2]道具信息!G145="","",[2]道具信息!G145)</f>
        <v>0.19999999999999998</v>
      </c>
      <c r="H145" s="26">
        <f>IF([2]道具信息!H145="","",[2]道具信息!H145)</f>
        <v>0.19999999999999998</v>
      </c>
      <c r="I145" s="26">
        <f>IF([2]道具信息!I145="","",[2]道具信息!I145)</f>
        <v>19</v>
      </c>
      <c r="J145" s="26">
        <f>IF([2]道具信息!J145="","",[2]道具信息!J145)</f>
        <v>3.8</v>
      </c>
      <c r="K145" s="26">
        <f>IF([2]道具信息!K145="","",[2]道具信息!K145)</f>
        <v>3.8</v>
      </c>
      <c r="L145" s="26" t="str">
        <f>IF([2]道具信息!L145="","",[2]道具信息!L145)</f>
        <v/>
      </c>
      <c r="M145" s="26" t="str">
        <f>IF([2]道具信息!M145="","",[2]道具信息!M145)</f>
        <v/>
      </c>
      <c r="N145" s="26" t="str">
        <f>IF([2]道具信息!N145="","",[2]道具信息!N145)</f>
        <v/>
      </c>
      <c r="O145" s="26" t="str">
        <f>IF([2]道具信息!O145="","",[2]道具信息!O145)</f>
        <v/>
      </c>
      <c r="P145" s="26" t="str">
        <f>IF([2]道具信息!P145="","",[2]道具信息!P145)</f>
        <v/>
      </c>
      <c r="Q145" s="26" t="str">
        <f>IF([2]道具信息!Q145="","",[2]道具信息!Q145)</f>
        <v/>
      </c>
    </row>
    <row r="146" spans="3:17" x14ac:dyDescent="0.15">
      <c r="C146" s="26" t="str">
        <f>IF([2]道具信息!C146="","",[2]道具信息!C146)</f>
        <v/>
      </c>
      <c r="D146" s="26" t="str">
        <f>IF([2]道具信息!D146="","",[2]道具信息!D146)</f>
        <v>优质兵装材料</v>
      </c>
      <c r="E146" s="26">
        <f>IF([2]道具信息!E146="","",[2]道具信息!E146)</f>
        <v>22.5</v>
      </c>
      <c r="F146" s="26">
        <f>IF([2]道具信息!F146="","",[2]道具信息!F146)</f>
        <v>1</v>
      </c>
      <c r="G146" s="26">
        <f>IF([2]道具信息!G146="","",[2]道具信息!G146)</f>
        <v>1</v>
      </c>
      <c r="H146" s="26">
        <f>IF([2]道具信息!H146="","",[2]道具信息!H146)</f>
        <v>0.18533333333333332</v>
      </c>
      <c r="I146" s="26">
        <f>IF([2]道具信息!I146="","",[2]道具信息!I146)</f>
        <v>22.5</v>
      </c>
      <c r="J146" s="26">
        <f>IF([2]道具信息!J146="","",[2]道具信息!J146)</f>
        <v>22.5</v>
      </c>
      <c r="K146" s="26">
        <f>IF([2]道具信息!K146="","",[2]道具信息!K146)</f>
        <v>4.17</v>
      </c>
      <c r="L146" s="26" t="str">
        <f>IF([2]道具信息!L146="","",[2]道具信息!L146)</f>
        <v/>
      </c>
      <c r="M146" s="26" t="str">
        <f>IF([2]道具信息!M146="","",[2]道具信息!M146)</f>
        <v/>
      </c>
      <c r="N146" s="26" t="str">
        <f>IF([2]道具信息!N146="","",[2]道具信息!N146)</f>
        <v/>
      </c>
      <c r="O146" s="26" t="str">
        <f>IF([2]道具信息!O146="","",[2]道具信息!O146)</f>
        <v/>
      </c>
      <c r="P146" s="26" t="str">
        <f>IF([2]道具信息!P146="","",[2]道具信息!P146)</f>
        <v/>
      </c>
      <c r="Q146" s="26" t="str">
        <f>IF([2]道具信息!Q146="","",[2]道具信息!Q146)</f>
        <v/>
      </c>
    </row>
    <row r="147" spans="3:17" x14ac:dyDescent="0.15">
      <c r="C147" s="26" t="str">
        <f>IF([2]道具信息!C147="","",[2]道具信息!C147)</f>
        <v/>
      </c>
      <c r="D147" s="26" t="str">
        <f>IF([2]道具信息!D147="","",[2]道具信息!D147)</f>
        <v>传世兵装材料</v>
      </c>
      <c r="E147" s="26">
        <f>IF([2]道具信息!E147="","",[2]道具信息!E147)</f>
        <v>56</v>
      </c>
      <c r="F147" s="26">
        <f>IF([2]道具信息!F147="","",[2]道具信息!F147)</f>
        <v>1</v>
      </c>
      <c r="G147" s="26">
        <f>IF([2]道具信息!G147="","",[2]道具信息!G147)</f>
        <v>1</v>
      </c>
      <c r="H147" s="26">
        <f>IF([2]道具信息!H147="","",[2]道具信息!H147)</f>
        <v>1</v>
      </c>
      <c r="I147" s="26">
        <f>IF([2]道具信息!I147="","",[2]道具信息!I147)</f>
        <v>56</v>
      </c>
      <c r="J147" s="26">
        <f>IF([2]道具信息!J147="","",[2]道具信息!J147)</f>
        <v>56</v>
      </c>
      <c r="K147" s="26">
        <f>IF([2]道具信息!K147="","",[2]道具信息!K147)</f>
        <v>56</v>
      </c>
      <c r="L147" s="26" t="str">
        <f>IF([2]道具信息!L147="","",[2]道具信息!L147)</f>
        <v/>
      </c>
      <c r="M147" s="26" t="str">
        <f>IF([2]道具信息!M147="","",[2]道具信息!M147)</f>
        <v/>
      </c>
      <c r="N147" s="26" t="str">
        <f>IF([2]道具信息!N147="","",[2]道具信息!N147)</f>
        <v/>
      </c>
      <c r="O147" s="26" t="str">
        <f>IF([2]道具信息!O147="","",[2]道具信息!O147)</f>
        <v/>
      </c>
      <c r="P147" s="26" t="str">
        <f>IF([2]道具信息!P147="","",[2]道具信息!P147)</f>
        <v/>
      </c>
      <c r="Q147" s="26" t="str">
        <f>IF([2]道具信息!Q147="","",[2]道具信息!Q147)</f>
        <v/>
      </c>
    </row>
    <row r="148" spans="3:17" x14ac:dyDescent="0.15">
      <c r="C148" s="26" t="str">
        <f>IF([2]道具信息!C148="","",[2]道具信息!C148)</f>
        <v/>
      </c>
      <c r="D148" s="26" t="str">
        <f>IF([2]道具信息!D148="","",[2]道具信息!D148)</f>
        <v/>
      </c>
      <c r="E148" s="26" t="str">
        <f>IF([2]道具信息!E148="","",[2]道具信息!E148)</f>
        <v/>
      </c>
      <c r="F148" s="26" t="str">
        <f>IF([2]道具信息!F148="","",[2]道具信息!F148)</f>
        <v/>
      </c>
      <c r="G148" s="26" t="str">
        <f>IF([2]道具信息!G148="","",[2]道具信息!G148)</f>
        <v/>
      </c>
      <c r="H148" s="26" t="str">
        <f>IF([2]道具信息!H148="","",[2]道具信息!H148)</f>
        <v/>
      </c>
      <c r="I148" s="26" t="str">
        <f>IF([2]道具信息!I148="","",[2]道具信息!I148)</f>
        <v/>
      </c>
      <c r="J148" s="26" t="str">
        <f>IF([2]道具信息!J148="","",[2]道具信息!J148)</f>
        <v/>
      </c>
      <c r="K148" s="26" t="str">
        <f>IF([2]道具信息!K148="","",[2]道具信息!K148)</f>
        <v/>
      </c>
      <c r="L148" s="26" t="str">
        <f>IF([2]道具信息!L148="","",[2]道具信息!L148)</f>
        <v/>
      </c>
      <c r="M148" s="26" t="str">
        <f>IF([2]道具信息!M148="","",[2]道具信息!M148)</f>
        <v/>
      </c>
      <c r="N148" s="26" t="str">
        <f>IF([2]道具信息!N148="","",[2]道具信息!N148)</f>
        <v/>
      </c>
      <c r="O148" s="26" t="str">
        <f>IF([2]道具信息!O148="","",[2]道具信息!O148)</f>
        <v/>
      </c>
      <c r="P148" s="26" t="str">
        <f>IF([2]道具信息!P148="","",[2]道具信息!P148)</f>
        <v/>
      </c>
      <c r="Q148" s="26" t="str">
        <f>IF([2]道具信息!Q148="","",[2]道具信息!Q148)</f>
        <v/>
      </c>
    </row>
    <row r="149" spans="3:17" x14ac:dyDescent="0.15">
      <c r="C149" s="26" t="str">
        <f>IF([2]道具信息!C149="","",[2]道具信息!C149)</f>
        <v/>
      </c>
      <c r="D149" s="26" t="str">
        <f>IF([2]道具信息!D149="","",[2]道具信息!D149)</f>
        <v>普通兵装</v>
      </c>
      <c r="E149" s="26">
        <f>IF([2]道具信息!E149="","",[2]道具信息!E149)</f>
        <v>100</v>
      </c>
      <c r="F149" s="26">
        <f>IF([2]道具信息!F149="","",[2]道具信息!F149)</f>
        <v>1</v>
      </c>
      <c r="G149" s="26">
        <f>IF([2]道具信息!G149="","",[2]道具信息!G149)</f>
        <v>0.2</v>
      </c>
      <c r="H149" s="26">
        <f>IF([2]道具信息!H149="","",[2]道具信息!H149)</f>
        <v>0.2</v>
      </c>
      <c r="I149" s="26">
        <f>IF([2]道具信息!I149="","",[2]道具信息!I149)</f>
        <v>100</v>
      </c>
      <c r="J149" s="26">
        <f>IF([2]道具信息!J149="","",[2]道具信息!J149)</f>
        <v>20</v>
      </c>
      <c r="K149" s="26">
        <f>IF([2]道具信息!K149="","",[2]道具信息!K149)</f>
        <v>20</v>
      </c>
      <c r="L149" s="26" t="str">
        <f>IF([2]道具信息!L149="","",[2]道具信息!L149)</f>
        <v/>
      </c>
      <c r="M149" s="26" t="str">
        <f>IF([2]道具信息!M149="","",[2]道具信息!M149)</f>
        <v/>
      </c>
      <c r="N149" s="26" t="str">
        <f>IF([2]道具信息!N149="","",[2]道具信息!N149)</f>
        <v/>
      </c>
      <c r="O149" s="26" t="str">
        <f>IF([2]道具信息!O149="","",[2]道具信息!O149)</f>
        <v/>
      </c>
      <c r="P149" s="26" t="str">
        <f>IF([2]道具信息!P149="","",[2]道具信息!P149)</f>
        <v/>
      </c>
      <c r="Q149" s="26" t="str">
        <f>IF([2]道具信息!Q149="","",[2]道具信息!Q149)</f>
        <v/>
      </c>
    </row>
    <row r="150" spans="3:17" x14ac:dyDescent="0.15">
      <c r="C150" s="26" t="str">
        <f>IF([2]道具信息!C150="","",[2]道具信息!C150)</f>
        <v/>
      </c>
      <c r="D150" s="26" t="str">
        <f>IF([2]道具信息!D150="","",[2]道具信息!D150)</f>
        <v>精良兵装</v>
      </c>
      <c r="E150" s="26">
        <f>IF([2]道具信息!E150="","",[2]道具信息!E150)</f>
        <v>500</v>
      </c>
      <c r="F150" s="26">
        <f>IF([2]道具信息!F150="","",[2]道具信息!F150)</f>
        <v>1</v>
      </c>
      <c r="G150" s="26">
        <f>IF([2]道具信息!G150="","",[2]道具信息!G150)</f>
        <v>0.2</v>
      </c>
      <c r="H150" s="26">
        <f>IF([2]道具信息!H150="","",[2]道具信息!H150)</f>
        <v>0.2</v>
      </c>
      <c r="I150" s="26">
        <f>IF([2]道具信息!I150="","",[2]道具信息!I150)</f>
        <v>500</v>
      </c>
      <c r="J150" s="26">
        <f>IF([2]道具信息!J150="","",[2]道具信息!J150)</f>
        <v>100</v>
      </c>
      <c r="K150" s="26">
        <f>IF([2]道具信息!K150="","",[2]道具信息!K150)</f>
        <v>100</v>
      </c>
      <c r="L150" s="26" t="str">
        <f>IF([2]道具信息!L150="","",[2]道具信息!L150)</f>
        <v/>
      </c>
      <c r="M150" s="26" t="str">
        <f>IF([2]道具信息!M150="","",[2]道具信息!M150)</f>
        <v/>
      </c>
      <c r="N150" s="26" t="str">
        <f>IF([2]道具信息!N150="","",[2]道具信息!N150)</f>
        <v/>
      </c>
      <c r="O150" s="26" t="str">
        <f>IF([2]道具信息!O150="","",[2]道具信息!O150)</f>
        <v/>
      </c>
      <c r="P150" s="26" t="str">
        <f>IF([2]道具信息!P150="","",[2]道具信息!P150)</f>
        <v/>
      </c>
      <c r="Q150" s="26" t="str">
        <f>IF([2]道具信息!Q150="","",[2]道具信息!Q150)</f>
        <v/>
      </c>
    </row>
    <row r="151" spans="3:17" x14ac:dyDescent="0.15">
      <c r="C151" s="26" t="str">
        <f>IF([2]道具信息!C151="","",[2]道具信息!C151)</f>
        <v/>
      </c>
      <c r="D151" s="26" t="str">
        <f>IF([2]道具信息!D151="","",[2]道具信息!D151)</f>
        <v>优质兵装</v>
      </c>
      <c r="E151" s="26">
        <f>IF([2]道具信息!E151="","",[2]道具信息!E151)</f>
        <v>2000</v>
      </c>
      <c r="F151" s="26">
        <f>IF([2]道具信息!F151="","",[2]道具信息!F151)</f>
        <v>1</v>
      </c>
      <c r="G151" s="26">
        <f>IF([2]道具信息!G151="","",[2]道具信息!G151)</f>
        <v>1</v>
      </c>
      <c r="H151" s="26">
        <f>IF([2]道具信息!H151="","",[2]道具信息!H151)</f>
        <v>0.2</v>
      </c>
      <c r="I151" s="26">
        <f>IF([2]道具信息!I151="","",[2]道具信息!I151)</f>
        <v>2000</v>
      </c>
      <c r="J151" s="26">
        <f>IF([2]道具信息!J151="","",[2]道具信息!J151)</f>
        <v>2000</v>
      </c>
      <c r="K151" s="26">
        <f>IF([2]道具信息!K151="","",[2]道具信息!K151)</f>
        <v>400</v>
      </c>
      <c r="L151" s="26" t="str">
        <f>IF([2]道具信息!L151="","",[2]道具信息!L151)</f>
        <v/>
      </c>
      <c r="M151" s="26" t="str">
        <f>IF([2]道具信息!M151="","",[2]道具信息!M151)</f>
        <v/>
      </c>
      <c r="N151" s="26" t="str">
        <f>IF([2]道具信息!N151="","",[2]道具信息!N151)</f>
        <v/>
      </c>
      <c r="O151" s="26" t="str">
        <f>IF([2]道具信息!O151="","",[2]道具信息!O151)</f>
        <v/>
      </c>
      <c r="P151" s="26" t="str">
        <f>IF([2]道具信息!P151="","",[2]道具信息!P151)</f>
        <v/>
      </c>
      <c r="Q151" s="26" t="str">
        <f>IF([2]道具信息!Q151="","",[2]道具信息!Q151)</f>
        <v/>
      </c>
    </row>
    <row r="152" spans="3:17" x14ac:dyDescent="0.15">
      <c r="C152" s="26" t="str">
        <f>IF([2]道具信息!C152="","",[2]道具信息!C152)</f>
        <v/>
      </c>
      <c r="D152" s="26" t="str">
        <f>IF([2]道具信息!D152="","",[2]道具信息!D152)</f>
        <v>传奇优质兵装</v>
      </c>
      <c r="E152" s="26">
        <f>IF([2]道具信息!E152="","",[2]道具信息!E152)</f>
        <v>4000</v>
      </c>
      <c r="F152" s="26">
        <f>IF([2]道具信息!F152="","",[2]道具信息!F152)</f>
        <v>1</v>
      </c>
      <c r="G152" s="26">
        <f>IF([2]道具信息!G152="","",[2]道具信息!G152)</f>
        <v>1</v>
      </c>
      <c r="H152" s="26">
        <f>IF([2]道具信息!H152="","",[2]道具信息!H152)</f>
        <v>1</v>
      </c>
      <c r="I152" s="26">
        <f>IF([2]道具信息!I152="","",[2]道具信息!I152)</f>
        <v>4000</v>
      </c>
      <c r="J152" s="26">
        <f>IF([2]道具信息!J152="","",[2]道具信息!J152)</f>
        <v>4000</v>
      </c>
      <c r="K152" s="26">
        <f>IF([2]道具信息!K152="","",[2]道具信息!K152)</f>
        <v>4000</v>
      </c>
      <c r="L152" s="26" t="str">
        <f>IF([2]道具信息!L152="","",[2]道具信息!L152)</f>
        <v/>
      </c>
      <c r="M152" s="26" t="str">
        <f>IF([2]道具信息!M152="","",[2]道具信息!M152)</f>
        <v/>
      </c>
      <c r="N152" s="26" t="str">
        <f>IF([2]道具信息!N152="","",[2]道具信息!N152)</f>
        <v/>
      </c>
      <c r="O152" s="26" t="str">
        <f>IF([2]道具信息!O152="","",[2]道具信息!O152)</f>
        <v/>
      </c>
      <c r="P152" s="26" t="str">
        <f>IF([2]道具信息!P152="","",[2]道具信息!P152)</f>
        <v/>
      </c>
      <c r="Q152" s="26" t="str">
        <f>IF([2]道具信息!Q152="","",[2]道具信息!Q152)</f>
        <v/>
      </c>
    </row>
    <row r="153" spans="3:17" x14ac:dyDescent="0.15">
      <c r="C153" s="26" t="str">
        <f>IF([2]道具信息!C153="","",[2]道具信息!C153)</f>
        <v/>
      </c>
      <c r="D153" s="26" t="str">
        <f>IF([2]道具信息!D153="","",[2]道具信息!D153)</f>
        <v>传世兵装</v>
      </c>
      <c r="E153" s="26">
        <f>IF([2]道具信息!E153="","",[2]道具信息!E153)</f>
        <v>6000</v>
      </c>
      <c r="F153" s="26">
        <f>IF([2]道具信息!F153="","",[2]道具信息!F153)</f>
        <v>1</v>
      </c>
      <c r="G153" s="26">
        <f>IF([2]道具信息!G153="","",[2]道具信息!G153)</f>
        <v>1</v>
      </c>
      <c r="H153" s="26">
        <f>IF([2]道具信息!H153="","",[2]道具信息!H153)</f>
        <v>1</v>
      </c>
      <c r="I153" s="26">
        <f>IF([2]道具信息!I153="","",[2]道具信息!I153)</f>
        <v>6000</v>
      </c>
      <c r="J153" s="26">
        <f>IF([2]道具信息!J153="","",[2]道具信息!J153)</f>
        <v>6000</v>
      </c>
      <c r="K153" s="26">
        <f>IF([2]道具信息!K153="","",[2]道具信息!K153)</f>
        <v>6000</v>
      </c>
      <c r="L153" s="26" t="str">
        <f>IF([2]道具信息!L153="","",[2]道具信息!L153)</f>
        <v/>
      </c>
      <c r="M153" s="26" t="str">
        <f>IF([2]道具信息!M153="","",[2]道具信息!M153)</f>
        <v/>
      </c>
      <c r="N153" s="26" t="str">
        <f>IF([2]道具信息!N153="","",[2]道具信息!N153)</f>
        <v/>
      </c>
      <c r="O153" s="26" t="str">
        <f>IF([2]道具信息!O153="","",[2]道具信息!O153)</f>
        <v/>
      </c>
      <c r="P153" s="26" t="str">
        <f>IF([2]道具信息!P153="","",[2]道具信息!P153)</f>
        <v/>
      </c>
      <c r="Q153" s="26" t="str">
        <f>IF([2]道具信息!Q153="","",[2]道具信息!Q153)</f>
        <v/>
      </c>
    </row>
    <row r="154" spans="3:17" x14ac:dyDescent="0.15">
      <c r="C154" s="26" t="str">
        <f>IF([2]道具信息!C154="","",[2]道具信息!C154)</f>
        <v/>
      </c>
      <c r="D154" s="26" t="str">
        <f>IF([2]道具信息!D154="","",[2]道具信息!D154)</f>
        <v>传奇传世兵装</v>
      </c>
      <c r="E154" s="26">
        <f>IF([2]道具信息!E154="","",[2]道具信息!E154)</f>
        <v>30000</v>
      </c>
      <c r="F154" s="26">
        <f>IF([2]道具信息!F154="","",[2]道具信息!F154)</f>
        <v>1</v>
      </c>
      <c r="G154" s="26">
        <f>IF([2]道具信息!G154="","",[2]道具信息!G154)</f>
        <v>1</v>
      </c>
      <c r="H154" s="26">
        <f>IF([2]道具信息!H154="","",[2]道具信息!H154)</f>
        <v>1</v>
      </c>
      <c r="I154" s="26">
        <f>IF([2]道具信息!I154="","",[2]道具信息!I154)</f>
        <v>30000</v>
      </c>
      <c r="J154" s="26">
        <f>IF([2]道具信息!J154="","",[2]道具信息!J154)</f>
        <v>30000</v>
      </c>
      <c r="K154" s="26">
        <f>IF([2]道具信息!K154="","",[2]道具信息!K154)</f>
        <v>30000</v>
      </c>
      <c r="L154" s="26" t="str">
        <f>IF([2]道具信息!L154="","",[2]道具信息!L154)</f>
        <v/>
      </c>
      <c r="M154" s="26" t="str">
        <f>IF([2]道具信息!M154="","",[2]道具信息!M154)</f>
        <v/>
      </c>
      <c r="N154" s="26" t="str">
        <f>IF([2]道具信息!N154="","",[2]道具信息!N154)</f>
        <v/>
      </c>
      <c r="O154" s="26" t="str">
        <f>IF([2]道具信息!O154="","",[2]道具信息!O154)</f>
        <v/>
      </c>
      <c r="P154" s="26" t="str">
        <f>IF([2]道具信息!P154="","",[2]道具信息!P154)</f>
        <v/>
      </c>
      <c r="Q154" s="26" t="str">
        <f>IF([2]道具信息!Q154="","",[2]道具信息!Q154)</f>
        <v/>
      </c>
    </row>
    <row r="155" spans="3:17" x14ac:dyDescent="0.15">
      <c r="C155" s="26" t="str">
        <f>IF([2]道具信息!C155="","",[2]道具信息!C155)</f>
        <v/>
      </c>
      <c r="D155" s="26" t="str">
        <f>IF([2]道具信息!D155="","",[2]道具信息!D155)</f>
        <v>优质兵装自选碎片</v>
      </c>
      <c r="E155" s="26">
        <f>IF([2]道具信息!E155="","",[2]道具信息!E155)</f>
        <v>66.666666666666671</v>
      </c>
      <c r="F155" s="26">
        <f>IF([2]道具信息!F155="","",[2]道具信息!F155)</f>
        <v>1</v>
      </c>
      <c r="G155" s="26">
        <f>IF([2]道具信息!G155="","",[2]道具信息!G155)</f>
        <v>1</v>
      </c>
      <c r="H155" s="26">
        <f>IF([2]道具信息!H155="","",[2]道具信息!H155)</f>
        <v>0.2</v>
      </c>
      <c r="I155" s="26">
        <f>IF([2]道具信息!I155="","",[2]道具信息!I155)</f>
        <v>66.666666666666671</v>
      </c>
      <c r="J155" s="26">
        <f>IF([2]道具信息!J155="","",[2]道具信息!J155)</f>
        <v>66.666666666666671</v>
      </c>
      <c r="K155" s="26">
        <f>IF([2]道具信息!K155="","",[2]道具信息!K155)</f>
        <v>13.333333333333336</v>
      </c>
      <c r="L155" s="26" t="str">
        <f>IF([2]道具信息!L155="","",[2]道具信息!L155)</f>
        <v/>
      </c>
      <c r="M155" s="26" t="str">
        <f>IF([2]道具信息!M155="","",[2]道具信息!M155)</f>
        <v/>
      </c>
      <c r="N155" s="26" t="str">
        <f>IF([2]道具信息!N155="","",[2]道具信息!N155)</f>
        <v/>
      </c>
      <c r="O155" s="26" t="str">
        <f>IF([2]道具信息!O155="","",[2]道具信息!O155)</f>
        <v/>
      </c>
      <c r="P155" s="26" t="str">
        <f>IF([2]道具信息!P155="","",[2]道具信息!P155)</f>
        <v/>
      </c>
      <c r="Q155" s="26" t="str">
        <f>IF([2]道具信息!Q155="","",[2]道具信息!Q155)</f>
        <v/>
      </c>
    </row>
    <row r="156" spans="3:17" x14ac:dyDescent="0.15">
      <c r="C156" s="26" t="str">
        <f>IF([2]道具信息!C156="","",[2]道具信息!C156)</f>
        <v/>
      </c>
      <c r="D156" s="26" t="str">
        <f>IF([2]道具信息!D156="","",[2]道具信息!D156)</f>
        <v>珍稀兵装自选碎片</v>
      </c>
      <c r="E156" s="26">
        <f>IF([2]道具信息!E156="","",[2]道具信息!E156)</f>
        <v>133.33333333333334</v>
      </c>
      <c r="F156" s="26">
        <f>IF([2]道具信息!F156="","",[2]道具信息!F156)</f>
        <v>1</v>
      </c>
      <c r="G156" s="26">
        <f>IF([2]道具信息!G156="","",[2]道具信息!G156)</f>
        <v>1</v>
      </c>
      <c r="H156" s="26">
        <f>IF([2]道具信息!H156="","",[2]道具信息!H156)</f>
        <v>1</v>
      </c>
      <c r="I156" s="26">
        <f>IF([2]道具信息!I156="","",[2]道具信息!I156)</f>
        <v>133.33333333333334</v>
      </c>
      <c r="J156" s="26">
        <f>IF([2]道具信息!J156="","",[2]道具信息!J156)</f>
        <v>133.33333333333334</v>
      </c>
      <c r="K156" s="26">
        <f>IF([2]道具信息!K156="","",[2]道具信息!K156)</f>
        <v>133.33333333333334</v>
      </c>
      <c r="L156" s="26" t="str">
        <f>IF([2]道具信息!L156="","",[2]道具信息!L156)</f>
        <v/>
      </c>
      <c r="M156" s="26" t="str">
        <f>IF([2]道具信息!M156="","",[2]道具信息!M156)</f>
        <v/>
      </c>
      <c r="N156" s="26" t="str">
        <f>IF([2]道具信息!N156="","",[2]道具信息!N156)</f>
        <v/>
      </c>
      <c r="O156" s="26" t="str">
        <f>IF([2]道具信息!O156="","",[2]道具信息!O156)</f>
        <v/>
      </c>
      <c r="P156" s="26" t="str">
        <f>IF([2]道具信息!P156="","",[2]道具信息!P156)</f>
        <v/>
      </c>
      <c r="Q156" s="26" t="str">
        <f>IF([2]道具信息!Q156="","",[2]道具信息!Q156)</f>
        <v/>
      </c>
    </row>
    <row r="157" spans="3:17" x14ac:dyDescent="0.15">
      <c r="C157" s="26" t="str">
        <f>IF([2]道具信息!C157="","",[2]道具信息!C157)</f>
        <v/>
      </c>
      <c r="D157" s="26" t="str">
        <f>IF([2]道具信息!D157="","",[2]道具信息!D157)</f>
        <v>传世兵装自选碎片</v>
      </c>
      <c r="E157" s="26">
        <f>IF([2]道具信息!E157="","",[2]道具信息!E157)</f>
        <v>120</v>
      </c>
      <c r="F157" s="26">
        <f>IF([2]道具信息!F157="","",[2]道具信息!F157)</f>
        <v>1</v>
      </c>
      <c r="G157" s="26">
        <f>IF([2]道具信息!G157="","",[2]道具信息!G157)</f>
        <v>1</v>
      </c>
      <c r="H157" s="26">
        <f>IF([2]道具信息!H157="","",[2]道具信息!H157)</f>
        <v>1</v>
      </c>
      <c r="I157" s="26">
        <f>IF([2]道具信息!I157="","",[2]道具信息!I157)</f>
        <v>120</v>
      </c>
      <c r="J157" s="26">
        <f>IF([2]道具信息!J157="","",[2]道具信息!J157)</f>
        <v>120</v>
      </c>
      <c r="K157" s="26">
        <f>IF([2]道具信息!K157="","",[2]道具信息!K157)</f>
        <v>120</v>
      </c>
      <c r="L157" s="26" t="str">
        <f>IF([2]道具信息!L157="","",[2]道具信息!L157)</f>
        <v/>
      </c>
      <c r="M157" s="26" t="str">
        <f>IF([2]道具信息!M157="","",[2]道具信息!M157)</f>
        <v/>
      </c>
      <c r="N157" s="26" t="str">
        <f>IF([2]道具信息!N157="","",[2]道具信息!N157)</f>
        <v/>
      </c>
      <c r="O157" s="26" t="str">
        <f>IF([2]道具信息!O157="","",[2]道具信息!O157)</f>
        <v/>
      </c>
      <c r="P157" s="26" t="str">
        <f>IF([2]道具信息!P157="","",[2]道具信息!P157)</f>
        <v/>
      </c>
      <c r="Q157" s="26" t="str">
        <f>IF([2]道具信息!Q157="","",[2]道具信息!Q157)</f>
        <v/>
      </c>
    </row>
    <row r="158" spans="3:17" x14ac:dyDescent="0.15">
      <c r="C158" s="26" t="str">
        <f>IF([2]道具信息!C158="","",[2]道具信息!C158)</f>
        <v/>
      </c>
      <c r="D158" s="26" t="str">
        <f>IF([2]道具信息!D158="","",[2]道具信息!D158)</f>
        <v>传奇兵装自选碎片</v>
      </c>
      <c r="E158" s="26">
        <f>IF([2]道具信息!E158="","",[2]道具信息!E158)</f>
        <v>600</v>
      </c>
      <c r="F158" s="26">
        <f>IF([2]道具信息!F158="","",[2]道具信息!F158)</f>
        <v>1</v>
      </c>
      <c r="G158" s="26">
        <f>IF([2]道具信息!G158="","",[2]道具信息!G158)</f>
        <v>1</v>
      </c>
      <c r="H158" s="26">
        <f>IF([2]道具信息!H158="","",[2]道具信息!H158)</f>
        <v>1</v>
      </c>
      <c r="I158" s="26">
        <f>IF([2]道具信息!I158="","",[2]道具信息!I158)</f>
        <v>600</v>
      </c>
      <c r="J158" s="26">
        <f>IF([2]道具信息!J158="","",[2]道具信息!J158)</f>
        <v>600</v>
      </c>
      <c r="K158" s="26">
        <f>IF([2]道具信息!K158="","",[2]道具信息!K158)</f>
        <v>600</v>
      </c>
      <c r="L158" s="26" t="str">
        <f>IF([2]道具信息!L158="","",[2]道具信息!L158)</f>
        <v/>
      </c>
      <c r="M158" s="26" t="str">
        <f>IF([2]道具信息!M158="","",[2]道具信息!M158)</f>
        <v/>
      </c>
      <c r="N158" s="26" t="str">
        <f>IF([2]道具信息!N158="","",[2]道具信息!N158)</f>
        <v/>
      </c>
      <c r="O158" s="26" t="str">
        <f>IF([2]道具信息!O158="","",[2]道具信息!O158)</f>
        <v/>
      </c>
      <c r="P158" s="26" t="str">
        <f>IF([2]道具信息!P158="","",[2]道具信息!P158)</f>
        <v/>
      </c>
      <c r="Q158" s="26" t="str">
        <f>IF([2]道具信息!Q158="","",[2]道具信息!Q158)</f>
        <v/>
      </c>
    </row>
    <row r="159" spans="3:17" x14ac:dyDescent="0.15">
      <c r="C159" s="26" t="str">
        <f>IF([2]道具信息!C159="","",[2]道具信息!C159)</f>
        <v/>
      </c>
      <c r="D159" s="26" t="str">
        <f>IF([2]道具信息!D159="","",[2]道具信息!D159)</f>
        <v/>
      </c>
      <c r="E159" s="26" t="str">
        <f>IF([2]道具信息!E159="","",[2]道具信息!E159)</f>
        <v/>
      </c>
      <c r="F159" s="26" t="str">
        <f>IF([2]道具信息!F159="","",[2]道具信息!F159)</f>
        <v/>
      </c>
      <c r="G159" s="26" t="str">
        <f>IF([2]道具信息!G159="","",[2]道具信息!G159)</f>
        <v/>
      </c>
      <c r="H159" s="26" t="str">
        <f>IF([2]道具信息!H159="","",[2]道具信息!H159)</f>
        <v/>
      </c>
      <c r="I159" s="26" t="str">
        <f>IF([2]道具信息!I159="","",[2]道具信息!I159)</f>
        <v/>
      </c>
      <c r="J159" s="26" t="str">
        <f>IF([2]道具信息!J159="","",[2]道具信息!J159)</f>
        <v/>
      </c>
      <c r="K159" s="26" t="str">
        <f>IF([2]道具信息!K159="","",[2]道具信息!K159)</f>
        <v/>
      </c>
      <c r="L159" s="26" t="str">
        <f>IF([2]道具信息!L159="","",[2]道具信息!L159)</f>
        <v/>
      </c>
      <c r="M159" s="26" t="str">
        <f>IF([2]道具信息!M159="","",[2]道具信息!M159)</f>
        <v/>
      </c>
      <c r="N159" s="26" t="str">
        <f>IF([2]道具信息!N159="","",[2]道具信息!N159)</f>
        <v/>
      </c>
      <c r="O159" s="26" t="str">
        <f>IF([2]道具信息!O159="","",[2]道具信息!O159)</f>
        <v/>
      </c>
      <c r="P159" s="26" t="str">
        <f>IF([2]道具信息!P159="","",[2]道具信息!P159)</f>
        <v/>
      </c>
      <c r="Q159" s="26" t="str">
        <f>IF([2]道具信息!Q159="","",[2]道具信息!Q159)</f>
        <v/>
      </c>
    </row>
    <row r="160" spans="3:17" x14ac:dyDescent="0.15">
      <c r="C160" s="26" t="str">
        <f>IF([2]道具信息!C160="","",[2]道具信息!C160)</f>
        <v/>
      </c>
      <c r="D160" s="26" t="str">
        <f>IF([2]道具信息!D160="","",[2]道具信息!D160)</f>
        <v>随机紫色藏品</v>
      </c>
      <c r="E160" s="26">
        <f>IF([2]道具信息!E160="","",[2]道具信息!E160)</f>
        <v>300</v>
      </c>
      <c r="F160" s="26">
        <f>IF([2]道具信息!F160="","",[2]道具信息!F160)</f>
        <v>1</v>
      </c>
      <c r="G160" s="26">
        <f>IF([2]道具信息!G160="","",[2]道具信息!G160)</f>
        <v>1</v>
      </c>
      <c r="H160" s="26">
        <f>IF([2]道具信息!H160="","",[2]道具信息!H160)</f>
        <v>1</v>
      </c>
      <c r="I160" s="26">
        <f>IF([2]道具信息!I160="","",[2]道具信息!I160)</f>
        <v>300</v>
      </c>
      <c r="J160" s="26">
        <f>IF([2]道具信息!J160="","",[2]道具信息!J160)</f>
        <v>300</v>
      </c>
      <c r="K160" s="26">
        <f>IF([2]道具信息!K160="","",[2]道具信息!K160)</f>
        <v>300</v>
      </c>
      <c r="L160" s="26" t="str">
        <f>IF([2]道具信息!L160="","",[2]道具信息!L160)</f>
        <v/>
      </c>
      <c r="M160" s="26" t="str">
        <f>IF([2]道具信息!M160="","",[2]道具信息!M160)</f>
        <v/>
      </c>
      <c r="N160" s="26" t="str">
        <f>IF([2]道具信息!N160="","",[2]道具信息!N160)</f>
        <v/>
      </c>
      <c r="O160" s="26" t="str">
        <f>IF([2]道具信息!O160="","",[2]道具信息!O160)</f>
        <v/>
      </c>
      <c r="P160" s="26" t="str">
        <f>IF([2]道具信息!P160="","",[2]道具信息!P160)</f>
        <v/>
      </c>
      <c r="Q160" s="26" t="str">
        <f>IF([2]道具信息!Q160="","",[2]道具信息!Q160)</f>
        <v/>
      </c>
    </row>
    <row r="161" spans="3:17" x14ac:dyDescent="0.15">
      <c r="C161" s="26" t="str">
        <f>IF([2]道具信息!C161="","",[2]道具信息!C161)</f>
        <v/>
      </c>
      <c r="D161" s="26" t="str">
        <f>IF([2]道具信息!D161="","",[2]道具信息!D161)</f>
        <v>随机橙色藏品</v>
      </c>
      <c r="E161" s="26">
        <f>IF([2]道具信息!E161="","",[2]道具信息!E161)</f>
        <v>1000</v>
      </c>
      <c r="F161" s="26">
        <f>IF([2]道具信息!F161="","",[2]道具信息!F161)</f>
        <v>1</v>
      </c>
      <c r="G161" s="26">
        <f>IF([2]道具信息!G161="","",[2]道具信息!G161)</f>
        <v>1</v>
      </c>
      <c r="H161" s="26">
        <f>IF([2]道具信息!H161="","",[2]道具信息!H161)</f>
        <v>1</v>
      </c>
      <c r="I161" s="26">
        <f>IF([2]道具信息!I161="","",[2]道具信息!I161)</f>
        <v>1000</v>
      </c>
      <c r="J161" s="26">
        <f>IF([2]道具信息!J161="","",[2]道具信息!J161)</f>
        <v>1000</v>
      </c>
      <c r="K161" s="26">
        <f>IF([2]道具信息!K161="","",[2]道具信息!K161)</f>
        <v>1000</v>
      </c>
      <c r="L161" s="26" t="str">
        <f>IF([2]道具信息!L161="","",[2]道具信息!L161)</f>
        <v/>
      </c>
      <c r="M161" s="26" t="str">
        <f>IF([2]道具信息!M161="","",[2]道具信息!M161)</f>
        <v/>
      </c>
      <c r="N161" s="26" t="str">
        <f>IF([2]道具信息!N161="","",[2]道具信息!N161)</f>
        <v/>
      </c>
      <c r="O161" s="26" t="str">
        <f>IF([2]道具信息!O161="","",[2]道具信息!O161)</f>
        <v/>
      </c>
      <c r="P161" s="26" t="str">
        <f>IF([2]道具信息!P161="","",[2]道具信息!P161)</f>
        <v/>
      </c>
      <c r="Q161" s="26" t="str">
        <f>IF([2]道具信息!Q161="","",[2]道具信息!Q161)</f>
        <v/>
      </c>
    </row>
    <row r="162" spans="3:17" x14ac:dyDescent="0.15">
      <c r="C162" s="26" t="str">
        <f>IF([2]道具信息!C162="","",[2]道具信息!C162)</f>
        <v/>
      </c>
      <c r="D162" s="26" t="str">
        <f>IF([2]道具信息!D162="","",[2]道具信息!D162)</f>
        <v>随机红色藏品</v>
      </c>
      <c r="E162" s="26">
        <f>IF([2]道具信息!E162="","",[2]道具信息!E162)</f>
        <v>5000</v>
      </c>
      <c r="F162" s="26">
        <f>IF([2]道具信息!F162="","",[2]道具信息!F162)</f>
        <v>1</v>
      </c>
      <c r="G162" s="26">
        <f>IF([2]道具信息!G162="","",[2]道具信息!G162)</f>
        <v>1</v>
      </c>
      <c r="H162" s="26">
        <f>IF([2]道具信息!H162="","",[2]道具信息!H162)</f>
        <v>1</v>
      </c>
      <c r="I162" s="26">
        <f>IF([2]道具信息!I162="","",[2]道具信息!I162)</f>
        <v>5000</v>
      </c>
      <c r="J162" s="26">
        <f>IF([2]道具信息!J162="","",[2]道具信息!J162)</f>
        <v>5000</v>
      </c>
      <c r="K162" s="26">
        <f>IF([2]道具信息!K162="","",[2]道具信息!K162)</f>
        <v>5000</v>
      </c>
      <c r="L162" s="26" t="str">
        <f>IF([2]道具信息!L162="","",[2]道具信息!L162)</f>
        <v/>
      </c>
      <c r="M162" s="26" t="str">
        <f>IF([2]道具信息!M162="","",[2]道具信息!M162)</f>
        <v/>
      </c>
      <c r="N162" s="26" t="str">
        <f>IF([2]道具信息!N162="","",[2]道具信息!N162)</f>
        <v/>
      </c>
      <c r="O162" s="26" t="str">
        <f>IF([2]道具信息!O162="","",[2]道具信息!O162)</f>
        <v/>
      </c>
      <c r="P162" s="26" t="str">
        <f>IF([2]道具信息!P162="","",[2]道具信息!P162)</f>
        <v/>
      </c>
      <c r="Q162" s="26" t="str">
        <f>IF([2]道具信息!Q162="","",[2]道具信息!Q162)</f>
        <v/>
      </c>
    </row>
    <row r="163" spans="3:17" x14ac:dyDescent="0.15">
      <c r="C163" s="26" t="str">
        <f>IF([2]道具信息!C163="","",[2]道具信息!C163)</f>
        <v/>
      </c>
      <c r="D163" s="26" t="str">
        <f>IF([2]道具信息!D163="","",[2]道具信息!D163)</f>
        <v>指定紫色藏品</v>
      </c>
      <c r="E163" s="26">
        <f>IF([2]道具信息!E163="","",[2]道具信息!E163)</f>
        <v>1331</v>
      </c>
      <c r="F163" s="26">
        <f>IF([2]道具信息!F163="","",[2]道具信息!F163)</f>
        <v>1</v>
      </c>
      <c r="G163" s="26">
        <f>IF([2]道具信息!G163="","",[2]道具信息!G163)</f>
        <v>1</v>
      </c>
      <c r="H163" s="26">
        <f>IF([2]道具信息!H163="","",[2]道具信息!H163)</f>
        <v>1</v>
      </c>
      <c r="I163" s="26">
        <f>IF([2]道具信息!I163="","",[2]道具信息!I163)</f>
        <v>1331</v>
      </c>
      <c r="J163" s="26">
        <f>IF([2]道具信息!J163="","",[2]道具信息!J163)</f>
        <v>1331</v>
      </c>
      <c r="K163" s="26">
        <f>IF([2]道具信息!K163="","",[2]道具信息!K163)</f>
        <v>1331</v>
      </c>
      <c r="L163" s="26" t="str">
        <f>IF([2]道具信息!L163="","",[2]道具信息!L163)</f>
        <v/>
      </c>
      <c r="M163" s="26" t="str">
        <f>IF([2]道具信息!M163="","",[2]道具信息!M163)</f>
        <v/>
      </c>
      <c r="N163" s="26" t="str">
        <f>IF([2]道具信息!N163="","",[2]道具信息!N163)</f>
        <v/>
      </c>
      <c r="O163" s="26" t="str">
        <f>IF([2]道具信息!O163="","",[2]道具信息!O163)</f>
        <v/>
      </c>
      <c r="P163" s="26" t="str">
        <f>IF([2]道具信息!P163="","",[2]道具信息!P163)</f>
        <v/>
      </c>
      <c r="Q163" s="26" t="str">
        <f>IF([2]道具信息!Q163="","",[2]道具信息!Q163)</f>
        <v/>
      </c>
    </row>
    <row r="164" spans="3:17" x14ac:dyDescent="0.15">
      <c r="C164" s="26" t="str">
        <f>IF([2]道具信息!C164="","",[2]道具信息!C164)</f>
        <v/>
      </c>
      <c r="D164" s="26" t="str">
        <f>IF([2]道具信息!D164="","",[2]道具信息!D164)</f>
        <v>指定橙色藏品</v>
      </c>
      <c r="E164" s="26">
        <f>IF([2]道具信息!E164="","",[2]道具信息!E164)</f>
        <v>13971</v>
      </c>
      <c r="F164" s="26">
        <f>IF([2]道具信息!F164="","",[2]道具信息!F164)</f>
        <v>1</v>
      </c>
      <c r="G164" s="26">
        <f>IF([2]道具信息!G164="","",[2]道具信息!G164)</f>
        <v>1</v>
      </c>
      <c r="H164" s="26">
        <f>IF([2]道具信息!H164="","",[2]道具信息!H164)</f>
        <v>1</v>
      </c>
      <c r="I164" s="26">
        <f>IF([2]道具信息!I164="","",[2]道具信息!I164)</f>
        <v>13971</v>
      </c>
      <c r="J164" s="26">
        <f>IF([2]道具信息!J164="","",[2]道具信息!J164)</f>
        <v>13971</v>
      </c>
      <c r="K164" s="26">
        <f>IF([2]道具信息!K164="","",[2]道具信息!K164)</f>
        <v>13971</v>
      </c>
      <c r="L164" s="26" t="str">
        <f>IF([2]道具信息!L164="","",[2]道具信息!L164)</f>
        <v/>
      </c>
      <c r="M164" s="26" t="str">
        <f>IF([2]道具信息!M164="","",[2]道具信息!M164)</f>
        <v/>
      </c>
      <c r="N164" s="26" t="str">
        <f>IF([2]道具信息!N164="","",[2]道具信息!N164)</f>
        <v/>
      </c>
      <c r="O164" s="26" t="str">
        <f>IF([2]道具信息!O164="","",[2]道具信息!O164)</f>
        <v/>
      </c>
      <c r="P164" s="26" t="str">
        <f>IF([2]道具信息!P164="","",[2]道具信息!P164)</f>
        <v/>
      </c>
      <c r="Q164" s="26" t="str">
        <f>IF([2]道具信息!Q164="","",[2]道具信息!Q164)</f>
        <v/>
      </c>
    </row>
    <row r="165" spans="3:17" x14ac:dyDescent="0.15">
      <c r="C165" s="26" t="str">
        <f>IF([2]道具信息!C165="","",[2]道具信息!C165)</f>
        <v/>
      </c>
      <c r="D165" s="26" t="str">
        <f>IF([2]道具信息!D165="","",[2]道具信息!D165)</f>
        <v>指定红色藏品</v>
      </c>
      <c r="E165" s="26">
        <f>IF([2]道具信息!E165="","",[2]道具信息!E165)</f>
        <v>238993</v>
      </c>
      <c r="F165" s="26">
        <f>IF([2]道具信息!F165="","",[2]道具信息!F165)</f>
        <v>1</v>
      </c>
      <c r="G165" s="26">
        <f>IF([2]道具信息!G165="","",[2]道具信息!G165)</f>
        <v>1</v>
      </c>
      <c r="H165" s="26">
        <f>IF([2]道具信息!H165="","",[2]道具信息!H165)</f>
        <v>1</v>
      </c>
      <c r="I165" s="26">
        <f>IF([2]道具信息!I165="","",[2]道具信息!I165)</f>
        <v>238993</v>
      </c>
      <c r="J165" s="26">
        <f>IF([2]道具信息!J165="","",[2]道具信息!J165)</f>
        <v>238993</v>
      </c>
      <c r="K165" s="26">
        <f>IF([2]道具信息!K165="","",[2]道具信息!K165)</f>
        <v>238993</v>
      </c>
      <c r="L165" s="26" t="str">
        <f>IF([2]道具信息!L165="","",[2]道具信息!L165)</f>
        <v/>
      </c>
      <c r="M165" s="26" t="str">
        <f>IF([2]道具信息!M165="","",[2]道具信息!M165)</f>
        <v/>
      </c>
      <c r="N165" s="26" t="str">
        <f>IF([2]道具信息!N165="","",[2]道具信息!N165)</f>
        <v/>
      </c>
      <c r="O165" s="26" t="str">
        <f>IF([2]道具信息!O165="","",[2]道具信息!O165)</f>
        <v/>
      </c>
      <c r="P165" s="26" t="str">
        <f>IF([2]道具信息!P165="","",[2]道具信息!P165)</f>
        <v/>
      </c>
      <c r="Q165" s="26" t="str">
        <f>IF([2]道具信息!Q165="","",[2]道具信息!Q165)</f>
        <v/>
      </c>
    </row>
    <row r="166" spans="3:17" x14ac:dyDescent="0.15">
      <c r="C166" s="26" t="str">
        <f>IF([2]道具信息!C166="","",[2]道具信息!C166)</f>
        <v/>
      </c>
      <c r="D166" s="26" t="str">
        <f>IF([2]道具信息!D166="","",[2]道具信息!D166)</f>
        <v>藏品币</v>
      </c>
      <c r="E166" s="26">
        <f>IF([2]道具信息!E166="","",[2]道具信息!E166)</f>
        <v>1</v>
      </c>
      <c r="F166" s="26">
        <f>IF([2]道具信息!F166="","",[2]道具信息!F166)</f>
        <v>1</v>
      </c>
      <c r="G166" s="26">
        <f>IF([2]道具信息!G166="","",[2]道具信息!G166)</f>
        <v>1</v>
      </c>
      <c r="H166" s="26">
        <f>IF([2]道具信息!H166="","",[2]道具信息!H166)</f>
        <v>1</v>
      </c>
      <c r="I166" s="26">
        <f>IF([2]道具信息!I166="","",[2]道具信息!I166)</f>
        <v>1</v>
      </c>
      <c r="J166" s="26">
        <f>IF([2]道具信息!J166="","",[2]道具信息!J166)</f>
        <v>1</v>
      </c>
      <c r="K166" s="26">
        <f>IF([2]道具信息!K166="","",[2]道具信息!K166)</f>
        <v>1</v>
      </c>
      <c r="L166" s="26" t="str">
        <f>IF([2]道具信息!L166="","",[2]道具信息!L166)</f>
        <v/>
      </c>
      <c r="M166" s="26" t="str">
        <f>IF([2]道具信息!M166="","",[2]道具信息!M166)</f>
        <v/>
      </c>
      <c r="N166" s="26" t="str">
        <f>IF([2]道具信息!N166="","",[2]道具信息!N166)</f>
        <v/>
      </c>
      <c r="O166" s="26" t="str">
        <f>IF([2]道具信息!O166="","",[2]道具信息!O166)</f>
        <v/>
      </c>
      <c r="P166" s="26" t="str">
        <f>IF([2]道具信息!P166="","",[2]道具信息!P166)</f>
        <v/>
      </c>
      <c r="Q166" s="26" t="str">
        <f>IF([2]道具信息!Q166="","",[2]道具信息!Q166)</f>
        <v/>
      </c>
    </row>
    <row r="167" spans="3:17" x14ac:dyDescent="0.15">
      <c r="C167" s="26" t="str">
        <f>IF([2]道具信息!C167="","",[2]道具信息!C167)</f>
        <v/>
      </c>
      <c r="D167" s="26" t="str">
        <f>IF([2]道具信息!D167="","",[2]道具信息!D167)</f>
        <v/>
      </c>
      <c r="E167" s="26" t="str">
        <f>IF([2]道具信息!E167="","",[2]道具信息!E167)</f>
        <v/>
      </c>
      <c r="F167" s="26" t="str">
        <f>IF([2]道具信息!F167="","",[2]道具信息!F167)</f>
        <v/>
      </c>
      <c r="G167" s="26" t="str">
        <f>IF([2]道具信息!G167="","",[2]道具信息!G167)</f>
        <v/>
      </c>
      <c r="H167" s="26" t="str">
        <f>IF([2]道具信息!H167="","",[2]道具信息!H167)</f>
        <v/>
      </c>
      <c r="I167" s="26" t="str">
        <f>IF([2]道具信息!I167="","",[2]道具信息!I167)</f>
        <v/>
      </c>
      <c r="J167" s="26" t="str">
        <f>IF([2]道具信息!J167="","",[2]道具信息!J167)</f>
        <v/>
      </c>
      <c r="K167" s="26" t="str">
        <f>IF([2]道具信息!K167="","",[2]道具信息!K167)</f>
        <v/>
      </c>
      <c r="L167" s="26" t="str">
        <f>IF([2]道具信息!L167="","",[2]道具信息!L167)</f>
        <v/>
      </c>
      <c r="M167" s="26" t="str">
        <f>IF([2]道具信息!M167="","",[2]道具信息!M167)</f>
        <v/>
      </c>
      <c r="N167" s="26" t="str">
        <f>IF([2]道具信息!N167="","",[2]道具信息!N167)</f>
        <v/>
      </c>
      <c r="O167" s="26" t="str">
        <f>IF([2]道具信息!O167="","",[2]道具信息!O167)</f>
        <v/>
      </c>
      <c r="P167" s="26" t="str">
        <f>IF([2]道具信息!P167="","",[2]道具信息!P167)</f>
        <v/>
      </c>
      <c r="Q167" s="26" t="str">
        <f>IF([2]道具信息!Q167="","",[2]道具信息!Q167)</f>
        <v/>
      </c>
    </row>
    <row r="168" spans="3:17" x14ac:dyDescent="0.15">
      <c r="C168" s="26" t="str">
        <f>IF([2]道具信息!C168="","",[2]道具信息!C168)</f>
        <v/>
      </c>
      <c r="D168" s="26" t="str">
        <f>IF([2]道具信息!D168="","",[2]道具信息!D168)</f>
        <v>门客经验</v>
      </c>
      <c r="E168" s="26">
        <f>IF([2]道具信息!E168="","",[2]道具信息!E168)</f>
        <v>3</v>
      </c>
      <c r="F168" s="26">
        <f>IF([2]道具信息!F168="","",[2]道具信息!F168)</f>
        <v>1</v>
      </c>
      <c r="G168" s="26">
        <f>IF([2]道具信息!G168="","",[2]道具信息!G168)</f>
        <v>1</v>
      </c>
      <c r="H168" s="26">
        <f>IF([2]道具信息!H168="","",[2]道具信息!H168)</f>
        <v>1</v>
      </c>
      <c r="I168" s="26">
        <f>IF([2]道具信息!I168="","",[2]道具信息!I168)</f>
        <v>3</v>
      </c>
      <c r="J168" s="26">
        <f>IF([2]道具信息!J168="","",[2]道具信息!J168)</f>
        <v>3</v>
      </c>
      <c r="K168" s="26">
        <f>IF([2]道具信息!K168="","",[2]道具信息!K168)</f>
        <v>3</v>
      </c>
      <c r="L168" s="26" t="str">
        <f>IF([2]道具信息!L168="","",[2]道具信息!L168)</f>
        <v/>
      </c>
      <c r="M168" s="26" t="str">
        <f>IF([2]道具信息!M168="","",[2]道具信息!M168)</f>
        <v/>
      </c>
      <c r="N168" s="26" t="str">
        <f>IF([2]道具信息!N168="","",[2]道具信息!N168)</f>
        <v/>
      </c>
      <c r="O168" s="26" t="str">
        <f>IF([2]道具信息!O168="","",[2]道具信息!O168)</f>
        <v/>
      </c>
      <c r="P168" s="26" t="str">
        <f>IF([2]道具信息!P168="","",[2]道具信息!P168)</f>
        <v/>
      </c>
      <c r="Q168" s="26" t="str">
        <f>IF([2]道具信息!Q168="","",[2]道具信息!Q168)</f>
        <v/>
      </c>
    </row>
    <row r="169" spans="3:17" x14ac:dyDescent="0.15">
      <c r="C169" s="26" t="str">
        <f>IF([2]道具信息!C169="","",[2]道具信息!C169)</f>
        <v/>
      </c>
      <c r="D169" s="26" t="str">
        <f>IF([2]道具信息!D169="","",[2]道具信息!D169)</f>
        <v>阅历-懵懂</v>
      </c>
      <c r="E169" s="26">
        <f>IF([2]道具信息!E169="","",[2]道具信息!E169)</f>
        <v>3</v>
      </c>
      <c r="F169" s="26">
        <f>IF([2]道具信息!F169="","",[2]道具信息!F169)</f>
        <v>1</v>
      </c>
      <c r="G169" s="26">
        <f>IF([2]道具信息!G169="","",[2]道具信息!G169)</f>
        <v>1</v>
      </c>
      <c r="H169" s="26">
        <f>IF([2]道具信息!H169="","",[2]道具信息!H169)</f>
        <v>1</v>
      </c>
      <c r="I169" s="26">
        <f>IF([2]道具信息!I169="","",[2]道具信息!I169)</f>
        <v>3</v>
      </c>
      <c r="J169" s="26">
        <f>IF([2]道具信息!J169="","",[2]道具信息!J169)</f>
        <v>3</v>
      </c>
      <c r="K169" s="26">
        <f>IF([2]道具信息!K169="","",[2]道具信息!K169)</f>
        <v>3</v>
      </c>
      <c r="L169" s="26" t="str">
        <f>IF([2]道具信息!L169="","",[2]道具信息!L169)</f>
        <v/>
      </c>
      <c r="M169" s="26" t="str">
        <f>IF([2]道具信息!M169="","",[2]道具信息!M169)</f>
        <v/>
      </c>
      <c r="N169" s="26" t="str">
        <f>IF([2]道具信息!N169="","",[2]道具信息!N169)</f>
        <v/>
      </c>
      <c r="O169" s="26" t="str">
        <f>IF([2]道具信息!O169="","",[2]道具信息!O169)</f>
        <v/>
      </c>
      <c r="P169" s="26" t="str">
        <f>IF([2]道具信息!P169="","",[2]道具信息!P169)</f>
        <v/>
      </c>
      <c r="Q169" s="26" t="str">
        <f>IF([2]道具信息!Q169="","",[2]道具信息!Q169)</f>
        <v/>
      </c>
    </row>
    <row r="170" spans="3:17" x14ac:dyDescent="0.15">
      <c r="C170" s="26" t="str">
        <f>IF([2]道具信息!C170="","",[2]道具信息!C170)</f>
        <v/>
      </c>
      <c r="D170" s="26" t="str">
        <f>IF([2]道具信息!D170="","",[2]道具信息!D170)</f>
        <v>阅历-机敏</v>
      </c>
      <c r="E170" s="26">
        <f>IF([2]道具信息!E170="","",[2]道具信息!E170)</f>
        <v>30</v>
      </c>
      <c r="F170" s="26">
        <f>IF([2]道具信息!F170="","",[2]道具信息!F170)</f>
        <v>1</v>
      </c>
      <c r="G170" s="26">
        <f>IF([2]道具信息!G170="","",[2]道具信息!G170)</f>
        <v>1</v>
      </c>
      <c r="H170" s="26">
        <f>IF([2]道具信息!H170="","",[2]道具信息!H170)</f>
        <v>1</v>
      </c>
      <c r="I170" s="26">
        <f>IF([2]道具信息!I170="","",[2]道具信息!I170)</f>
        <v>30</v>
      </c>
      <c r="J170" s="26">
        <f>IF([2]道具信息!J170="","",[2]道具信息!J170)</f>
        <v>30</v>
      </c>
      <c r="K170" s="26">
        <f>IF([2]道具信息!K170="","",[2]道具信息!K170)</f>
        <v>30</v>
      </c>
      <c r="L170" s="26" t="str">
        <f>IF([2]道具信息!L170="","",[2]道具信息!L170)</f>
        <v/>
      </c>
      <c r="M170" s="26" t="str">
        <f>IF([2]道具信息!M170="","",[2]道具信息!M170)</f>
        <v/>
      </c>
      <c r="N170" s="26" t="str">
        <f>IF([2]道具信息!N170="","",[2]道具信息!N170)</f>
        <v/>
      </c>
      <c r="O170" s="26" t="str">
        <f>IF([2]道具信息!O170="","",[2]道具信息!O170)</f>
        <v/>
      </c>
      <c r="P170" s="26" t="str">
        <f>IF([2]道具信息!P170="","",[2]道具信息!P170)</f>
        <v/>
      </c>
      <c r="Q170" s="26" t="str">
        <f>IF([2]道具信息!Q170="","",[2]道具信息!Q170)</f>
        <v/>
      </c>
    </row>
    <row r="171" spans="3:17" x14ac:dyDescent="0.15">
      <c r="C171" s="26" t="str">
        <f>IF([2]道具信息!C171="","",[2]道具信息!C171)</f>
        <v/>
      </c>
      <c r="D171" s="26" t="str">
        <f>IF([2]道具信息!D171="","",[2]道具信息!D171)</f>
        <v>阅历-入世</v>
      </c>
      <c r="E171" s="26">
        <f>IF([2]道具信息!E171="","",[2]道具信息!E171)</f>
        <v>150</v>
      </c>
      <c r="F171" s="26">
        <f>IF([2]道具信息!F171="","",[2]道具信息!F171)</f>
        <v>1</v>
      </c>
      <c r="G171" s="26">
        <f>IF([2]道具信息!G171="","",[2]道具信息!G171)</f>
        <v>1</v>
      </c>
      <c r="H171" s="26">
        <f>IF([2]道具信息!H171="","",[2]道具信息!H171)</f>
        <v>1</v>
      </c>
      <c r="I171" s="26">
        <f>IF([2]道具信息!I171="","",[2]道具信息!I171)</f>
        <v>150</v>
      </c>
      <c r="J171" s="26">
        <f>IF([2]道具信息!J171="","",[2]道具信息!J171)</f>
        <v>150</v>
      </c>
      <c r="K171" s="26">
        <f>IF([2]道具信息!K171="","",[2]道具信息!K171)</f>
        <v>150</v>
      </c>
      <c r="L171" s="26" t="str">
        <f>IF([2]道具信息!L171="","",[2]道具信息!L171)</f>
        <v/>
      </c>
      <c r="M171" s="26" t="str">
        <f>IF([2]道具信息!M171="","",[2]道具信息!M171)</f>
        <v/>
      </c>
      <c r="N171" s="26" t="str">
        <f>IF([2]道具信息!N171="","",[2]道具信息!N171)</f>
        <v/>
      </c>
      <c r="O171" s="26" t="str">
        <f>IF([2]道具信息!O171="","",[2]道具信息!O171)</f>
        <v/>
      </c>
      <c r="P171" s="26" t="str">
        <f>IF([2]道具信息!P171="","",[2]道具信息!P171)</f>
        <v/>
      </c>
      <c r="Q171" s="26" t="str">
        <f>IF([2]道具信息!Q171="","",[2]道具信息!Q171)</f>
        <v/>
      </c>
    </row>
    <row r="172" spans="3:17" x14ac:dyDescent="0.15">
      <c r="C172" s="26" t="str">
        <f>IF([2]道具信息!C172="","",[2]道具信息!C172)</f>
        <v/>
      </c>
      <c r="D172" s="26" t="str">
        <f>IF([2]道具信息!D172="","",[2]道具信息!D172)</f>
        <v>阅历-闻达</v>
      </c>
      <c r="E172" s="26">
        <f>IF([2]道具信息!E172="","",[2]道具信息!E172)</f>
        <v>300</v>
      </c>
      <c r="F172" s="26">
        <f>IF([2]道具信息!F172="","",[2]道具信息!F172)</f>
        <v>1</v>
      </c>
      <c r="G172" s="26">
        <f>IF([2]道具信息!G172="","",[2]道具信息!G172)</f>
        <v>1</v>
      </c>
      <c r="H172" s="26">
        <f>IF([2]道具信息!H172="","",[2]道具信息!H172)</f>
        <v>1</v>
      </c>
      <c r="I172" s="26">
        <f>IF([2]道具信息!I172="","",[2]道具信息!I172)</f>
        <v>300</v>
      </c>
      <c r="J172" s="26">
        <f>IF([2]道具信息!J172="","",[2]道具信息!J172)</f>
        <v>300</v>
      </c>
      <c r="K172" s="26">
        <f>IF([2]道具信息!K172="","",[2]道具信息!K172)</f>
        <v>300</v>
      </c>
      <c r="L172" s="26" t="str">
        <f>IF([2]道具信息!L172="","",[2]道具信息!L172)</f>
        <v/>
      </c>
      <c r="M172" s="26" t="str">
        <f>IF([2]道具信息!M172="","",[2]道具信息!M172)</f>
        <v/>
      </c>
      <c r="N172" s="26" t="str">
        <f>IF([2]道具信息!N172="","",[2]道具信息!N172)</f>
        <v/>
      </c>
      <c r="O172" s="26" t="str">
        <f>IF([2]道具信息!O172="","",[2]道具信息!O172)</f>
        <v/>
      </c>
      <c r="P172" s="26" t="str">
        <f>IF([2]道具信息!P172="","",[2]道具信息!P172)</f>
        <v/>
      </c>
      <c r="Q172" s="26" t="str">
        <f>IF([2]道具信息!Q172="","",[2]道具信息!Q172)</f>
        <v/>
      </c>
    </row>
    <row r="173" spans="3:17" x14ac:dyDescent="0.15">
      <c r="C173" s="26" t="str">
        <f>IF([2]道具信息!C173="","",[2]道具信息!C173)</f>
        <v/>
      </c>
      <c r="D173" s="26" t="str">
        <f>IF([2]道具信息!D173="","",[2]道具信息!D173)</f>
        <v>阅历-出世</v>
      </c>
      <c r="E173" s="26">
        <f>IF([2]道具信息!E173="","",[2]道具信息!E173)</f>
        <v>3000</v>
      </c>
      <c r="F173" s="26">
        <f>IF([2]道具信息!F173="","",[2]道具信息!F173)</f>
        <v>1</v>
      </c>
      <c r="G173" s="26">
        <f>IF([2]道具信息!G173="","",[2]道具信息!G173)</f>
        <v>1</v>
      </c>
      <c r="H173" s="26">
        <f>IF([2]道具信息!H173="","",[2]道具信息!H173)</f>
        <v>1</v>
      </c>
      <c r="I173" s="26">
        <f>IF([2]道具信息!I173="","",[2]道具信息!I173)</f>
        <v>3000</v>
      </c>
      <c r="J173" s="26">
        <f>IF([2]道具信息!J173="","",[2]道具信息!J173)</f>
        <v>3000</v>
      </c>
      <c r="K173" s="26">
        <f>IF([2]道具信息!K173="","",[2]道具信息!K173)</f>
        <v>3000</v>
      </c>
      <c r="L173" s="26" t="str">
        <f>IF([2]道具信息!L173="","",[2]道具信息!L173)</f>
        <v/>
      </c>
      <c r="M173" s="26" t="str">
        <f>IF([2]道具信息!M173="","",[2]道具信息!M173)</f>
        <v/>
      </c>
      <c r="N173" s="26" t="str">
        <f>IF([2]道具信息!N173="","",[2]道具信息!N173)</f>
        <v/>
      </c>
      <c r="O173" s="26" t="str">
        <f>IF([2]道具信息!O173="","",[2]道具信息!O173)</f>
        <v/>
      </c>
      <c r="P173" s="26" t="str">
        <f>IF([2]道具信息!P173="","",[2]道具信息!P173)</f>
        <v/>
      </c>
      <c r="Q173" s="26" t="str">
        <f>IF([2]道具信息!Q173="","",[2]道具信息!Q173)</f>
        <v/>
      </c>
    </row>
    <row r="174" spans="3:17" x14ac:dyDescent="0.15">
      <c r="C174" s="26" t="str">
        <f>IF([2]道具信息!C174="","",[2]道具信息!C174)</f>
        <v/>
      </c>
      <c r="D174" s="26" t="str">
        <f>IF([2]道具信息!D174="","",[2]道具信息!D174)</f>
        <v/>
      </c>
      <c r="E174" s="26" t="str">
        <f>IF([2]道具信息!E174="","",[2]道具信息!E174)</f>
        <v/>
      </c>
      <c r="F174" s="26" t="str">
        <f>IF([2]道具信息!F174="","",[2]道具信息!F174)</f>
        <v/>
      </c>
      <c r="G174" s="26" t="str">
        <f>IF([2]道具信息!G174="","",[2]道具信息!G174)</f>
        <v/>
      </c>
      <c r="H174" s="26" t="str">
        <f>IF([2]道具信息!H174="","",[2]道具信息!H174)</f>
        <v/>
      </c>
      <c r="I174" s="26" t="str">
        <f>IF([2]道具信息!I174="","",[2]道具信息!I174)</f>
        <v/>
      </c>
      <c r="J174" s="26" t="str">
        <f>IF([2]道具信息!J174="","",[2]道具信息!J174)</f>
        <v/>
      </c>
      <c r="K174" s="26" t="str">
        <f>IF([2]道具信息!K174="","",[2]道具信息!K174)</f>
        <v/>
      </c>
      <c r="L174" s="26" t="str">
        <f>IF([2]道具信息!L174="","",[2]道具信息!L174)</f>
        <v/>
      </c>
      <c r="M174" s="26" t="str">
        <f>IF([2]道具信息!M174="","",[2]道具信息!M174)</f>
        <v/>
      </c>
      <c r="N174" s="26" t="str">
        <f>IF([2]道具信息!N174="","",[2]道具信息!N174)</f>
        <v/>
      </c>
      <c r="O174" s="26" t="str">
        <f>IF([2]道具信息!O174="","",[2]道具信息!O174)</f>
        <v/>
      </c>
      <c r="P174" s="26" t="str">
        <f>IF([2]道具信息!P174="","",[2]道具信息!P174)</f>
        <v/>
      </c>
      <c r="Q174" s="26" t="str">
        <f>IF([2]道具信息!Q174="","",[2]道具信息!Q174)</f>
        <v/>
      </c>
    </row>
    <row r="175" spans="3:17" x14ac:dyDescent="0.15">
      <c r="C175" s="26" t="str">
        <f>IF([2]道具信息!C175="","",[2]道具信息!C175)</f>
        <v/>
      </c>
      <c r="D175" s="26" t="str">
        <f>IF([2]道具信息!D175="","",[2]道具信息!D175)</f>
        <v>随机橙色门客碎片</v>
      </c>
      <c r="E175" s="26">
        <f>IF([2]道具信息!E175="","",[2]道具信息!E175)</f>
        <v>266.66666666666669</v>
      </c>
      <c r="F175" s="26">
        <f>IF([2]道具信息!F175="","",[2]道具信息!F175)</f>
        <v>1</v>
      </c>
      <c r="G175" s="26">
        <f>IF([2]道具信息!G175="","",[2]道具信息!G175)</f>
        <v>1</v>
      </c>
      <c r="H175" s="26">
        <f>IF([2]道具信息!H175="","",[2]道具信息!H175)</f>
        <v>1</v>
      </c>
      <c r="I175" s="26">
        <f>IF([2]道具信息!I175="","",[2]道具信息!I175)</f>
        <v>266.66666666666669</v>
      </c>
      <c r="J175" s="26">
        <f>IF([2]道具信息!J175="","",[2]道具信息!J175)</f>
        <v>266.66666666666669</v>
      </c>
      <c r="K175" s="26">
        <f>IF([2]道具信息!K175="","",[2]道具信息!K175)</f>
        <v>266.66666666666669</v>
      </c>
      <c r="L175" s="26" t="str">
        <f>IF([2]道具信息!L175="","",[2]道具信息!L175)</f>
        <v/>
      </c>
      <c r="M175" s="26" t="str">
        <f>IF([2]道具信息!M175="","",[2]道具信息!M175)</f>
        <v/>
      </c>
      <c r="N175" s="26" t="str">
        <f>IF([2]道具信息!N175="","",[2]道具信息!N175)</f>
        <v/>
      </c>
      <c r="O175" s="26" t="str">
        <f>IF([2]道具信息!O175="","",[2]道具信息!O175)</f>
        <v/>
      </c>
      <c r="P175" s="26" t="str">
        <f>IF([2]道具信息!P175="","",[2]道具信息!P175)</f>
        <v/>
      </c>
      <c r="Q175" s="26" t="str">
        <f>IF([2]道具信息!Q175="","",[2]道具信息!Q175)</f>
        <v/>
      </c>
    </row>
    <row r="176" spans="3:17" x14ac:dyDescent="0.15">
      <c r="C176" s="26" t="str">
        <f>IF([2]道具信息!C176="","",[2]道具信息!C176)</f>
        <v/>
      </c>
      <c r="D176" s="26" t="str">
        <f>IF([2]道具信息!D176="","",[2]道具信息!D176)</f>
        <v>随机红色门客碎片</v>
      </c>
      <c r="E176" s="26">
        <f>IF([2]道具信息!E176="","",[2]道具信息!E176)</f>
        <v>800</v>
      </c>
      <c r="F176" s="26">
        <f>IF([2]道具信息!F176="","",[2]道具信息!F176)</f>
        <v>1</v>
      </c>
      <c r="G176" s="26">
        <f>IF([2]道具信息!G176="","",[2]道具信息!G176)</f>
        <v>1</v>
      </c>
      <c r="H176" s="26">
        <f>IF([2]道具信息!H176="","",[2]道具信息!H176)</f>
        <v>1</v>
      </c>
      <c r="I176" s="26">
        <f>IF([2]道具信息!I176="","",[2]道具信息!I176)</f>
        <v>800</v>
      </c>
      <c r="J176" s="26">
        <f>IF([2]道具信息!J176="","",[2]道具信息!J176)</f>
        <v>800</v>
      </c>
      <c r="K176" s="26">
        <f>IF([2]道具信息!K176="","",[2]道具信息!K176)</f>
        <v>800</v>
      </c>
      <c r="L176" s="26" t="str">
        <f>IF([2]道具信息!L176="","",[2]道具信息!L176)</f>
        <v/>
      </c>
      <c r="M176" s="26" t="str">
        <f>IF([2]道具信息!M176="","",[2]道具信息!M176)</f>
        <v/>
      </c>
      <c r="N176" s="26" t="str">
        <f>IF([2]道具信息!N176="","",[2]道具信息!N176)</f>
        <v/>
      </c>
      <c r="O176" s="26" t="str">
        <f>IF([2]道具信息!O176="","",[2]道具信息!O176)</f>
        <v/>
      </c>
      <c r="P176" s="26" t="str">
        <f>IF([2]道具信息!P176="","",[2]道具信息!P176)</f>
        <v/>
      </c>
      <c r="Q176" s="26" t="str">
        <f>IF([2]道具信息!Q176="","",[2]道具信息!Q176)</f>
        <v/>
      </c>
    </row>
    <row r="177" spans="3:17" x14ac:dyDescent="0.15">
      <c r="C177" s="26" t="str">
        <f>IF([2]道具信息!C177="","",[2]道具信息!C177)</f>
        <v/>
      </c>
      <c r="D177" s="26" t="str">
        <f>IF([2]道具信息!D177="","",[2]道具信息!D177)</f>
        <v/>
      </c>
      <c r="E177" s="26" t="str">
        <f>IF([2]道具信息!E177="","",[2]道具信息!E177)</f>
        <v/>
      </c>
      <c r="F177" s="26" t="str">
        <f>IF([2]道具信息!F177="","",[2]道具信息!F177)</f>
        <v/>
      </c>
      <c r="G177" s="26" t="str">
        <f>IF([2]道具信息!G177="","",[2]道具信息!G177)</f>
        <v/>
      </c>
      <c r="H177" s="26" t="str">
        <f>IF([2]道具信息!H177="","",[2]道具信息!H177)</f>
        <v/>
      </c>
      <c r="I177" s="26" t="str">
        <f>IF([2]道具信息!I177="","",[2]道具信息!I177)</f>
        <v/>
      </c>
      <c r="J177" s="26" t="str">
        <f>IF([2]道具信息!J177="","",[2]道具信息!J177)</f>
        <v/>
      </c>
      <c r="K177" s="26" t="str">
        <f>IF([2]道具信息!K177="","",[2]道具信息!K177)</f>
        <v/>
      </c>
      <c r="L177" s="26" t="str">
        <f>IF([2]道具信息!L177="","",[2]道具信息!L177)</f>
        <v/>
      </c>
      <c r="M177" s="26" t="str">
        <f>IF([2]道具信息!M177="","",[2]道具信息!M177)</f>
        <v/>
      </c>
      <c r="N177" s="26" t="str">
        <f>IF([2]道具信息!N177="","",[2]道具信息!N177)</f>
        <v/>
      </c>
      <c r="O177" s="26" t="str">
        <f>IF([2]道具信息!O177="","",[2]道具信息!O177)</f>
        <v/>
      </c>
      <c r="P177" s="26" t="str">
        <f>IF([2]道具信息!P177="","",[2]道具信息!P177)</f>
        <v/>
      </c>
      <c r="Q177" s="26" t="str">
        <f>IF([2]道具信息!Q177="","",[2]道具信息!Q177)</f>
        <v/>
      </c>
    </row>
    <row r="178" spans="3:17" x14ac:dyDescent="0.15">
      <c r="C178" s="26" t="str">
        <f>IF([2]道具信息!C178="","",[2]道具信息!C178)</f>
        <v/>
      </c>
      <c r="D178" s="26" t="str">
        <f>IF([2]道具信息!D178="","",[2]道具信息!D178)</f>
        <v>育马券</v>
      </c>
      <c r="E178" s="26">
        <f>IF([2]道具信息!E178="","",[2]道具信息!E178)</f>
        <v>1</v>
      </c>
      <c r="F178" s="26">
        <f>IF([2]道具信息!F178="","",[2]道具信息!F178)</f>
        <v>1</v>
      </c>
      <c r="G178" s="26">
        <f>IF([2]道具信息!G178="","",[2]道具信息!G178)</f>
        <v>1</v>
      </c>
      <c r="H178" s="26">
        <f>IF([2]道具信息!H178="","",[2]道具信息!H178)</f>
        <v>1</v>
      </c>
      <c r="I178" s="26">
        <f>IF([2]道具信息!I178="","",[2]道具信息!I178)</f>
        <v>1</v>
      </c>
      <c r="J178" s="26">
        <f>IF([2]道具信息!J178="","",[2]道具信息!J178)</f>
        <v>1</v>
      </c>
      <c r="K178" s="26">
        <f>IF([2]道具信息!K178="","",[2]道具信息!K178)</f>
        <v>1</v>
      </c>
      <c r="L178" s="26" t="str">
        <f>IF([2]道具信息!L178="","",[2]道具信息!L178)</f>
        <v/>
      </c>
      <c r="M178" s="26" t="str">
        <f>IF([2]道具信息!M178="","",[2]道具信息!M178)</f>
        <v/>
      </c>
      <c r="N178" s="26" t="str">
        <f>IF([2]道具信息!N178="","",[2]道具信息!N178)</f>
        <v/>
      </c>
      <c r="O178" s="26" t="str">
        <f>IF([2]道具信息!O178="","",[2]道具信息!O178)</f>
        <v/>
      </c>
      <c r="P178" s="26" t="str">
        <f>IF([2]道具信息!P178="","",[2]道具信息!P178)</f>
        <v/>
      </c>
      <c r="Q178" s="26" t="str">
        <f>IF([2]道具信息!Q178="","",[2]道具信息!Q178)</f>
        <v/>
      </c>
    </row>
    <row r="179" spans="3:17" x14ac:dyDescent="0.15">
      <c r="C179" s="26" t="str">
        <f>IF([2]道具信息!C179="","",[2]道具信息!C179)</f>
        <v/>
      </c>
      <c r="D179" s="26" t="str">
        <f>IF([2]道具信息!D179="","",[2]道具信息!D179)</f>
        <v>荣誉马徽</v>
      </c>
      <c r="E179" s="26">
        <f>IF([2]道具信息!E179="","",[2]道具信息!E179)</f>
        <v>10</v>
      </c>
      <c r="F179" s="26">
        <f>IF([2]道具信息!F179="","",[2]道具信息!F179)</f>
        <v>1</v>
      </c>
      <c r="G179" s="26">
        <f>IF([2]道具信息!G179="","",[2]道具信息!G179)</f>
        <v>1</v>
      </c>
      <c r="H179" s="26">
        <f>IF([2]道具信息!H179="","",[2]道具信息!H179)</f>
        <v>1</v>
      </c>
      <c r="I179" s="26">
        <f>IF([2]道具信息!I179="","",[2]道具信息!I179)</f>
        <v>10</v>
      </c>
      <c r="J179" s="26">
        <f>IF([2]道具信息!J179="","",[2]道具信息!J179)</f>
        <v>10</v>
      </c>
      <c r="K179" s="26">
        <f>IF([2]道具信息!K179="","",[2]道具信息!K179)</f>
        <v>10</v>
      </c>
      <c r="L179" s="26" t="str">
        <f>IF([2]道具信息!L179="","",[2]道具信息!L179)</f>
        <v/>
      </c>
      <c r="M179" s="26" t="str">
        <f>IF([2]道具信息!M179="","",[2]道具信息!M179)</f>
        <v/>
      </c>
      <c r="N179" s="26" t="str">
        <f>IF([2]道具信息!N179="","",[2]道具信息!N179)</f>
        <v/>
      </c>
      <c r="O179" s="26" t="str">
        <f>IF([2]道具信息!O179="","",[2]道具信息!O179)</f>
        <v/>
      </c>
      <c r="P179" s="26" t="str">
        <f>IF([2]道具信息!P179="","",[2]道具信息!P179)</f>
        <v/>
      </c>
      <c r="Q179" s="26" t="str">
        <f>IF([2]道具信息!Q179="","",[2]道具信息!Q179)</f>
        <v/>
      </c>
    </row>
    <row r="180" spans="3:17" x14ac:dyDescent="0.15">
      <c r="C180" s="26" t="str">
        <f>IF([2]道具信息!C180="","",[2]道具信息!C180)</f>
        <v/>
      </c>
      <c r="D180" s="26" t="str">
        <f>IF([2]道具信息!D180="","",[2]道具信息!D180)</f>
        <v>绿色马匹</v>
      </c>
      <c r="E180" s="26">
        <f>IF([2]道具信息!E180="","",[2]道具信息!E180)</f>
        <v>50</v>
      </c>
      <c r="F180" s="26">
        <f>IF([2]道具信息!F180="","",[2]道具信息!F180)</f>
        <v>1</v>
      </c>
      <c r="G180" s="26">
        <f>IF([2]道具信息!G180="","",[2]道具信息!G180)</f>
        <v>1</v>
      </c>
      <c r="H180" s="26">
        <f>IF([2]道具信息!H180="","",[2]道具信息!H180)</f>
        <v>1</v>
      </c>
      <c r="I180" s="26">
        <f>IF([2]道具信息!I180="","",[2]道具信息!I180)</f>
        <v>50</v>
      </c>
      <c r="J180" s="26">
        <f>IF([2]道具信息!J180="","",[2]道具信息!J180)</f>
        <v>50</v>
      </c>
      <c r="K180" s="26">
        <f>IF([2]道具信息!K180="","",[2]道具信息!K180)</f>
        <v>50</v>
      </c>
      <c r="L180" s="26" t="str">
        <f>IF([2]道具信息!L180="","",[2]道具信息!L180)</f>
        <v/>
      </c>
      <c r="M180" s="26" t="str">
        <f>IF([2]道具信息!M180="","",[2]道具信息!M180)</f>
        <v/>
      </c>
      <c r="N180" s="26" t="str">
        <f>IF([2]道具信息!N180="","",[2]道具信息!N180)</f>
        <v/>
      </c>
      <c r="O180" s="26" t="str">
        <f>IF([2]道具信息!O180="","",[2]道具信息!O180)</f>
        <v/>
      </c>
      <c r="P180" s="26" t="str">
        <f>IF([2]道具信息!P180="","",[2]道具信息!P180)</f>
        <v/>
      </c>
      <c r="Q180" s="26" t="str">
        <f>IF([2]道具信息!Q180="","",[2]道具信息!Q180)</f>
        <v/>
      </c>
    </row>
    <row r="181" spans="3:17" x14ac:dyDescent="0.15">
      <c r="C181" s="26" t="str">
        <f>IF([2]道具信息!C181="","",[2]道具信息!C181)</f>
        <v/>
      </c>
      <c r="D181" s="26" t="str">
        <f>IF([2]道具信息!D181="","",[2]道具信息!D181)</f>
        <v>蓝色马匹</v>
      </c>
      <c r="E181" s="26">
        <f>IF([2]道具信息!E181="","",[2]道具信息!E181)</f>
        <v>150</v>
      </c>
      <c r="F181" s="26">
        <f>IF([2]道具信息!F181="","",[2]道具信息!F181)</f>
        <v>1</v>
      </c>
      <c r="G181" s="26">
        <f>IF([2]道具信息!G181="","",[2]道具信息!G181)</f>
        <v>1</v>
      </c>
      <c r="H181" s="26">
        <f>IF([2]道具信息!H181="","",[2]道具信息!H181)</f>
        <v>1</v>
      </c>
      <c r="I181" s="26">
        <f>IF([2]道具信息!I181="","",[2]道具信息!I181)</f>
        <v>150</v>
      </c>
      <c r="J181" s="26">
        <f>IF([2]道具信息!J181="","",[2]道具信息!J181)</f>
        <v>150</v>
      </c>
      <c r="K181" s="26">
        <f>IF([2]道具信息!K181="","",[2]道具信息!K181)</f>
        <v>150</v>
      </c>
      <c r="L181" s="26" t="str">
        <f>IF([2]道具信息!L181="","",[2]道具信息!L181)</f>
        <v/>
      </c>
      <c r="M181" s="26" t="str">
        <f>IF([2]道具信息!M181="","",[2]道具信息!M181)</f>
        <v/>
      </c>
      <c r="N181" s="26" t="str">
        <f>IF([2]道具信息!N181="","",[2]道具信息!N181)</f>
        <v/>
      </c>
      <c r="O181" s="26" t="str">
        <f>IF([2]道具信息!O181="","",[2]道具信息!O181)</f>
        <v/>
      </c>
      <c r="P181" s="26" t="str">
        <f>IF([2]道具信息!P181="","",[2]道具信息!P181)</f>
        <v/>
      </c>
      <c r="Q181" s="26" t="str">
        <f>IF([2]道具信息!Q181="","",[2]道具信息!Q181)</f>
        <v/>
      </c>
    </row>
    <row r="182" spans="3:17" x14ac:dyDescent="0.15">
      <c r="C182" s="26" t="str">
        <f>IF([2]道具信息!C182="","",[2]道具信息!C182)</f>
        <v/>
      </c>
      <c r="D182" s="26" t="str">
        <f>IF([2]道具信息!D182="","",[2]道具信息!D182)</f>
        <v>紫色马匹</v>
      </c>
      <c r="E182" s="26">
        <f>IF([2]道具信息!E182="","",[2]道具信息!E182)</f>
        <v>500</v>
      </c>
      <c r="F182" s="26">
        <f>IF([2]道具信息!F182="","",[2]道具信息!F182)</f>
        <v>1</v>
      </c>
      <c r="G182" s="26">
        <f>IF([2]道具信息!G182="","",[2]道具信息!G182)</f>
        <v>1</v>
      </c>
      <c r="H182" s="26">
        <f>IF([2]道具信息!H182="","",[2]道具信息!H182)</f>
        <v>1</v>
      </c>
      <c r="I182" s="26">
        <f>IF([2]道具信息!I182="","",[2]道具信息!I182)</f>
        <v>500</v>
      </c>
      <c r="J182" s="26">
        <f>IF([2]道具信息!J182="","",[2]道具信息!J182)</f>
        <v>500</v>
      </c>
      <c r="K182" s="26">
        <f>IF([2]道具信息!K182="","",[2]道具信息!K182)</f>
        <v>500</v>
      </c>
      <c r="L182" s="26" t="str">
        <f>IF([2]道具信息!L182="","",[2]道具信息!L182)</f>
        <v/>
      </c>
      <c r="M182" s="26" t="str">
        <f>IF([2]道具信息!M182="","",[2]道具信息!M182)</f>
        <v/>
      </c>
      <c r="N182" s="26" t="str">
        <f>IF([2]道具信息!N182="","",[2]道具信息!N182)</f>
        <v/>
      </c>
      <c r="O182" s="26" t="str">
        <f>IF([2]道具信息!O182="","",[2]道具信息!O182)</f>
        <v/>
      </c>
      <c r="P182" s="26" t="str">
        <f>IF([2]道具信息!P182="","",[2]道具信息!P182)</f>
        <v/>
      </c>
      <c r="Q182" s="26" t="str">
        <f>IF([2]道具信息!Q182="","",[2]道具信息!Q182)</f>
        <v/>
      </c>
    </row>
    <row r="183" spans="3:17" x14ac:dyDescent="0.15">
      <c r="C183" s="26" t="str">
        <f>IF([2]道具信息!C183="","",[2]道具信息!C183)</f>
        <v/>
      </c>
      <c r="D183" s="26" t="str">
        <f>IF([2]道具信息!D183="","",[2]道具信息!D183)</f>
        <v>橙色马匹</v>
      </c>
      <c r="E183" s="26">
        <f>IF([2]道具信息!E183="","",[2]道具信息!E183)</f>
        <v>2000</v>
      </c>
      <c r="F183" s="26">
        <f>IF([2]道具信息!F183="","",[2]道具信息!F183)</f>
        <v>1</v>
      </c>
      <c r="G183" s="26">
        <f>IF([2]道具信息!G183="","",[2]道具信息!G183)</f>
        <v>1</v>
      </c>
      <c r="H183" s="26">
        <f>IF([2]道具信息!H183="","",[2]道具信息!H183)</f>
        <v>1</v>
      </c>
      <c r="I183" s="26">
        <f>IF([2]道具信息!I183="","",[2]道具信息!I183)</f>
        <v>2000</v>
      </c>
      <c r="J183" s="26">
        <f>IF([2]道具信息!J183="","",[2]道具信息!J183)</f>
        <v>2000</v>
      </c>
      <c r="K183" s="26">
        <f>IF([2]道具信息!K183="","",[2]道具信息!K183)</f>
        <v>2000</v>
      </c>
      <c r="L183" s="26" t="str">
        <f>IF([2]道具信息!L183="","",[2]道具信息!L183)</f>
        <v/>
      </c>
      <c r="M183" s="26" t="str">
        <f>IF([2]道具信息!M183="","",[2]道具信息!M183)</f>
        <v/>
      </c>
      <c r="N183" s="26" t="str">
        <f>IF([2]道具信息!N183="","",[2]道具信息!N183)</f>
        <v/>
      </c>
      <c r="O183" s="26" t="str">
        <f>IF([2]道具信息!O183="","",[2]道具信息!O183)</f>
        <v/>
      </c>
      <c r="P183" s="26" t="str">
        <f>IF([2]道具信息!P183="","",[2]道具信息!P183)</f>
        <v/>
      </c>
      <c r="Q183" s="26" t="str">
        <f>IF([2]道具信息!Q183="","",[2]道具信息!Q183)</f>
        <v/>
      </c>
    </row>
    <row r="184" spans="3:17" x14ac:dyDescent="0.15">
      <c r="C184" s="26" t="str">
        <f>IF([2]道具信息!C184="","",[2]道具信息!C184)</f>
        <v/>
      </c>
      <c r="D184" s="26" t="str">
        <f>IF([2]道具信息!D184="","",[2]道具信息!D184)</f>
        <v>红色马匹</v>
      </c>
      <c r="E184" s="26">
        <f>IF([2]道具信息!E184="","",[2]道具信息!E184)</f>
        <v>8000</v>
      </c>
      <c r="F184" s="26">
        <f>IF([2]道具信息!F184="","",[2]道具信息!F184)</f>
        <v>1</v>
      </c>
      <c r="G184" s="26">
        <f>IF([2]道具信息!G184="","",[2]道具信息!G184)</f>
        <v>1</v>
      </c>
      <c r="H184" s="26">
        <f>IF([2]道具信息!H184="","",[2]道具信息!H184)</f>
        <v>1</v>
      </c>
      <c r="I184" s="26">
        <f>IF([2]道具信息!I184="","",[2]道具信息!I184)</f>
        <v>8000</v>
      </c>
      <c r="J184" s="26">
        <f>IF([2]道具信息!J184="","",[2]道具信息!J184)</f>
        <v>8000</v>
      </c>
      <c r="K184" s="26">
        <f>IF([2]道具信息!K184="","",[2]道具信息!K184)</f>
        <v>8000</v>
      </c>
      <c r="L184" s="26" t="str">
        <f>IF([2]道具信息!L184="","",[2]道具信息!L184)</f>
        <v/>
      </c>
      <c r="M184" s="26" t="str">
        <f>IF([2]道具信息!M184="","",[2]道具信息!M184)</f>
        <v/>
      </c>
      <c r="N184" s="26" t="str">
        <f>IF([2]道具信息!N184="","",[2]道具信息!N184)</f>
        <v/>
      </c>
      <c r="O184" s="26" t="str">
        <f>IF([2]道具信息!O184="","",[2]道具信息!O184)</f>
        <v/>
      </c>
      <c r="P184" s="26" t="str">
        <f>IF([2]道具信息!P184="","",[2]道具信息!P184)</f>
        <v/>
      </c>
      <c r="Q184" s="26" t="str">
        <f>IF([2]道具信息!Q184="","",[2]道具信息!Q184)</f>
        <v/>
      </c>
    </row>
    <row r="185" spans="3:17" x14ac:dyDescent="0.15">
      <c r="C185" s="26" t="str">
        <f>IF([2]道具信息!C185="","",[2]道具信息!C185)</f>
        <v/>
      </c>
      <c r="D185" s="26" t="str">
        <f>IF([2]道具信息!D185="","",[2]道具信息!D185)</f>
        <v>紫色马匹碎片</v>
      </c>
      <c r="E185" s="26">
        <f>IF([2]道具信息!E185="","",[2]道具信息!E185)</f>
        <v>50</v>
      </c>
      <c r="F185" s="26">
        <f>IF([2]道具信息!F185="","",[2]道具信息!F185)</f>
        <v>1</v>
      </c>
      <c r="G185" s="26">
        <f>IF([2]道具信息!G185="","",[2]道具信息!G185)</f>
        <v>1</v>
      </c>
      <c r="H185" s="26">
        <f>IF([2]道具信息!H185="","",[2]道具信息!H185)</f>
        <v>1</v>
      </c>
      <c r="I185" s="26">
        <f>IF([2]道具信息!I185="","",[2]道具信息!I185)</f>
        <v>50</v>
      </c>
      <c r="J185" s="26">
        <f>IF([2]道具信息!J185="","",[2]道具信息!J185)</f>
        <v>50</v>
      </c>
      <c r="K185" s="26">
        <f>IF([2]道具信息!K185="","",[2]道具信息!K185)</f>
        <v>50</v>
      </c>
      <c r="L185" s="26" t="str">
        <f>IF([2]道具信息!L185="","",[2]道具信息!L185)</f>
        <v/>
      </c>
      <c r="M185" s="26" t="str">
        <f>IF([2]道具信息!M185="","",[2]道具信息!M185)</f>
        <v/>
      </c>
      <c r="N185" s="26" t="str">
        <f>IF([2]道具信息!N185="","",[2]道具信息!N185)</f>
        <v/>
      </c>
      <c r="O185" s="26" t="str">
        <f>IF([2]道具信息!O185="","",[2]道具信息!O185)</f>
        <v/>
      </c>
      <c r="P185" s="26" t="str">
        <f>IF([2]道具信息!P185="","",[2]道具信息!P185)</f>
        <v/>
      </c>
      <c r="Q185" s="26" t="str">
        <f>IF([2]道具信息!Q185="","",[2]道具信息!Q185)</f>
        <v/>
      </c>
    </row>
    <row r="186" spans="3:17" x14ac:dyDescent="0.15">
      <c r="C186" s="26" t="str">
        <f>IF([2]道具信息!C186="","",[2]道具信息!C186)</f>
        <v/>
      </c>
      <c r="D186" s="26" t="str">
        <f>IF([2]道具信息!D186="","",[2]道具信息!D186)</f>
        <v>橙色马匹碎片</v>
      </c>
      <c r="E186" s="26">
        <f>IF([2]道具信息!E186="","",[2]道具信息!E186)</f>
        <v>66.666666666666671</v>
      </c>
      <c r="F186" s="26">
        <f>IF([2]道具信息!F186="","",[2]道具信息!F186)</f>
        <v>1</v>
      </c>
      <c r="G186" s="26">
        <f>IF([2]道具信息!G186="","",[2]道具信息!G186)</f>
        <v>1</v>
      </c>
      <c r="H186" s="26">
        <f>IF([2]道具信息!H186="","",[2]道具信息!H186)</f>
        <v>1</v>
      </c>
      <c r="I186" s="26">
        <f>IF([2]道具信息!I186="","",[2]道具信息!I186)</f>
        <v>66.666666666666671</v>
      </c>
      <c r="J186" s="26">
        <f>IF([2]道具信息!J186="","",[2]道具信息!J186)</f>
        <v>66.666666666666671</v>
      </c>
      <c r="K186" s="26">
        <f>IF([2]道具信息!K186="","",[2]道具信息!K186)</f>
        <v>66.666666666666671</v>
      </c>
      <c r="L186" s="26" t="str">
        <f>IF([2]道具信息!L186="","",[2]道具信息!L186)</f>
        <v/>
      </c>
      <c r="M186" s="26" t="str">
        <f>IF([2]道具信息!M186="","",[2]道具信息!M186)</f>
        <v/>
      </c>
      <c r="N186" s="26" t="str">
        <f>IF([2]道具信息!N186="","",[2]道具信息!N186)</f>
        <v/>
      </c>
      <c r="O186" s="26" t="str">
        <f>IF([2]道具信息!O186="","",[2]道具信息!O186)</f>
        <v/>
      </c>
      <c r="P186" s="26" t="str">
        <f>IF([2]道具信息!P186="","",[2]道具信息!P186)</f>
        <v/>
      </c>
      <c r="Q186" s="26" t="str">
        <f>IF([2]道具信息!Q186="","",[2]道具信息!Q186)</f>
        <v/>
      </c>
    </row>
    <row r="187" spans="3:17" x14ac:dyDescent="0.15">
      <c r="C187" s="26" t="str">
        <f>IF([2]道具信息!C187="","",[2]道具信息!C187)</f>
        <v/>
      </c>
      <c r="D187" s="26" t="str">
        <f>IF([2]道具信息!D187="","",[2]道具信息!D187)</f>
        <v>红色马匹碎片</v>
      </c>
      <c r="E187" s="26">
        <f>IF([2]道具信息!E187="","",[2]道具信息!E187)</f>
        <v>160</v>
      </c>
      <c r="F187" s="26">
        <f>IF([2]道具信息!F187="","",[2]道具信息!F187)</f>
        <v>1</v>
      </c>
      <c r="G187" s="26">
        <f>IF([2]道具信息!G187="","",[2]道具信息!G187)</f>
        <v>1</v>
      </c>
      <c r="H187" s="26">
        <f>IF([2]道具信息!H187="","",[2]道具信息!H187)</f>
        <v>1</v>
      </c>
      <c r="I187" s="26">
        <f>IF([2]道具信息!I187="","",[2]道具信息!I187)</f>
        <v>160</v>
      </c>
      <c r="J187" s="26">
        <f>IF([2]道具信息!J187="","",[2]道具信息!J187)</f>
        <v>160</v>
      </c>
      <c r="K187" s="26">
        <f>IF([2]道具信息!K187="","",[2]道具信息!K187)</f>
        <v>160</v>
      </c>
      <c r="L187" s="26" t="str">
        <f>IF([2]道具信息!L187="","",[2]道具信息!L187)</f>
        <v/>
      </c>
      <c r="M187" s="26" t="str">
        <f>IF([2]道具信息!M187="","",[2]道具信息!M187)</f>
        <v/>
      </c>
      <c r="N187" s="26" t="str">
        <f>IF([2]道具信息!N187="","",[2]道具信息!N187)</f>
        <v/>
      </c>
      <c r="O187" s="26" t="str">
        <f>IF([2]道具信息!O187="","",[2]道具信息!O187)</f>
        <v/>
      </c>
      <c r="P187" s="26" t="str">
        <f>IF([2]道具信息!P187="","",[2]道具信息!P187)</f>
        <v/>
      </c>
      <c r="Q187" s="26" t="str">
        <f>IF([2]道具信息!Q187="","",[2]道具信息!Q187)</f>
        <v/>
      </c>
    </row>
    <row r="188" spans="3:17" x14ac:dyDescent="0.15">
      <c r="C188" s="26" t="str">
        <f>IF([2]道具信息!C188="","",[2]道具信息!C188)</f>
        <v/>
      </c>
      <c r="D188" s="26" t="str">
        <f>IF([2]道具信息!D188="","",[2]道具信息!D188)</f>
        <v/>
      </c>
      <c r="E188" s="26" t="str">
        <f>IF([2]道具信息!E188="","",[2]道具信息!E188)</f>
        <v/>
      </c>
      <c r="F188" s="26" t="str">
        <f>IF([2]道具信息!F188="","",[2]道具信息!F188)</f>
        <v/>
      </c>
      <c r="G188" s="26" t="str">
        <f>IF([2]道具信息!G188="","",[2]道具信息!G188)</f>
        <v/>
      </c>
      <c r="H188" s="26" t="str">
        <f>IF([2]道具信息!H188="","",[2]道具信息!H188)</f>
        <v/>
      </c>
      <c r="I188" s="26" t="str">
        <f>IF([2]道具信息!I188="","",[2]道具信息!I188)</f>
        <v/>
      </c>
      <c r="J188" s="26" t="str">
        <f>IF([2]道具信息!J188="","",[2]道具信息!J188)</f>
        <v/>
      </c>
      <c r="K188" s="26" t="str">
        <f>IF([2]道具信息!K188="","",[2]道具信息!K188)</f>
        <v/>
      </c>
      <c r="L188" s="26" t="str">
        <f>IF([2]道具信息!L188="","",[2]道具信息!L188)</f>
        <v/>
      </c>
      <c r="M188" s="26" t="str">
        <f>IF([2]道具信息!M188="","",[2]道具信息!M188)</f>
        <v/>
      </c>
      <c r="N188" s="26" t="str">
        <f>IF([2]道具信息!N188="","",[2]道具信息!N188)</f>
        <v/>
      </c>
      <c r="O188" s="26" t="str">
        <f>IF([2]道具信息!O188="","",[2]道具信息!O188)</f>
        <v/>
      </c>
      <c r="P188" s="26" t="str">
        <f>IF([2]道具信息!P188="","",[2]道具信息!P188)</f>
        <v/>
      </c>
      <c r="Q188" s="26" t="str">
        <f>IF([2]道具信息!Q188="","",[2]道具信息!Q188)</f>
        <v/>
      </c>
    </row>
    <row r="189" spans="3:17" x14ac:dyDescent="0.15">
      <c r="C189" s="26" t="str">
        <f>IF([2]道具信息!C189="","",[2]道具信息!C189)</f>
        <v/>
      </c>
      <c r="D189" s="26" t="str">
        <f>IF([2]道具信息!D189="","",[2]道具信息!D189)</f>
        <v>140指定天赋点</v>
      </c>
      <c r="E189" s="26">
        <f>IF([2]道具信息!E189="","",[2]道具信息!E189)</f>
        <v>4320</v>
      </c>
      <c r="F189" s="26">
        <f>IF([2]道具信息!F189="","",[2]道具信息!F189)</f>
        <v>1</v>
      </c>
      <c r="G189" s="26">
        <f>IF([2]道具信息!G189="","",[2]道具信息!G189)</f>
        <v>1</v>
      </c>
      <c r="H189" s="26">
        <f>IF([2]道具信息!H189="","",[2]道具信息!H189)</f>
        <v>1</v>
      </c>
      <c r="I189" s="26">
        <f>IF([2]道具信息!I189="","",[2]道具信息!I189)</f>
        <v>4320</v>
      </c>
      <c r="J189" s="26">
        <f>IF([2]道具信息!J189="","",[2]道具信息!J189)</f>
        <v>4320</v>
      </c>
      <c r="K189" s="26">
        <f>IF([2]道具信息!K189="","",[2]道具信息!K189)</f>
        <v>4320</v>
      </c>
      <c r="L189" s="26" t="str">
        <f>IF([2]道具信息!L189="","",[2]道具信息!L189)</f>
        <v/>
      </c>
      <c r="M189" s="26" t="str">
        <f>IF([2]道具信息!M189="","",[2]道具信息!M189)</f>
        <v/>
      </c>
      <c r="N189" s="26" t="str">
        <f>IF([2]道具信息!N189="","",[2]道具信息!N189)</f>
        <v/>
      </c>
      <c r="O189" s="26" t="str">
        <f>IF([2]道具信息!O189="","",[2]道具信息!O189)</f>
        <v/>
      </c>
      <c r="P189" s="26" t="str">
        <f>IF([2]道具信息!P189="","",[2]道具信息!P189)</f>
        <v/>
      </c>
      <c r="Q189" s="26" t="str">
        <f>IF([2]道具信息!Q189="","",[2]道具信息!Q189)</f>
        <v/>
      </c>
    </row>
    <row r="190" spans="3:17" x14ac:dyDescent="0.15">
      <c r="C190" s="26" t="str">
        <f>IF([2]道具信息!C190="","",[2]道具信息!C190)</f>
        <v/>
      </c>
      <c r="D190" s="26" t="str">
        <f>IF([2]道具信息!D190="","",[2]道具信息!D190)</f>
        <v/>
      </c>
      <c r="E190" s="26" t="str">
        <f>IF([2]道具信息!E190="","",[2]道具信息!E190)</f>
        <v/>
      </c>
      <c r="F190" s="26" t="str">
        <f>IF([2]道具信息!F190="","",[2]道具信息!F190)</f>
        <v/>
      </c>
      <c r="G190" s="26" t="str">
        <f>IF([2]道具信息!G190="","",[2]道具信息!G190)</f>
        <v/>
      </c>
      <c r="H190" s="26" t="str">
        <f>IF([2]道具信息!H190="","",[2]道具信息!H190)</f>
        <v/>
      </c>
      <c r="I190" s="26" t="str">
        <f>IF([2]道具信息!I190="","",[2]道具信息!I190)</f>
        <v/>
      </c>
      <c r="J190" s="26" t="str">
        <f>IF([2]道具信息!J190="","",[2]道具信息!J190)</f>
        <v/>
      </c>
      <c r="K190" s="26" t="str">
        <f>IF([2]道具信息!K190="","",[2]道具信息!K190)</f>
        <v/>
      </c>
      <c r="L190" s="26" t="str">
        <f>IF([2]道具信息!L190="","",[2]道具信息!L190)</f>
        <v/>
      </c>
      <c r="M190" s="26" t="str">
        <f>IF([2]道具信息!M190="","",[2]道具信息!M190)</f>
        <v/>
      </c>
      <c r="N190" s="26" t="str">
        <f>IF([2]道具信息!N190="","",[2]道具信息!N190)</f>
        <v/>
      </c>
      <c r="O190" s="26" t="str">
        <f>IF([2]道具信息!O190="","",[2]道具信息!O190)</f>
        <v/>
      </c>
      <c r="P190" s="26" t="str">
        <f>IF([2]道具信息!P190="","",[2]道具信息!P190)</f>
        <v/>
      </c>
      <c r="Q190" s="26" t="str">
        <f>IF([2]道具信息!Q190="","",[2]道具信息!Q190)</f>
        <v/>
      </c>
    </row>
    <row r="191" spans="3:17" x14ac:dyDescent="0.15">
      <c r="C191" s="26" t="str">
        <f>IF([2]道具信息!C191="","",[2]道具信息!C191)</f>
        <v/>
      </c>
      <c r="D191" s="26" t="str">
        <f>IF([2]道具信息!D191="","",[2]道具信息!D191)</f>
        <v>1级随机宝石</v>
      </c>
      <c r="E191" s="26">
        <f>IF([2]道具信息!E191="","",[2]道具信息!E191)</f>
        <v>1</v>
      </c>
      <c r="F191" s="26">
        <f>IF([2]道具信息!F191="","",[2]道具信息!F191)</f>
        <v>1</v>
      </c>
      <c r="G191" s="26">
        <f>IF([2]道具信息!G191="","",[2]道具信息!G191)</f>
        <v>1</v>
      </c>
      <c r="H191" s="26">
        <f>IF([2]道具信息!H191="","",[2]道具信息!H191)</f>
        <v>1</v>
      </c>
      <c r="I191" s="26">
        <f>IF([2]道具信息!I191="","",[2]道具信息!I191)</f>
        <v>1</v>
      </c>
      <c r="J191" s="26">
        <f>IF([2]道具信息!J191="","",[2]道具信息!J191)</f>
        <v>1</v>
      </c>
      <c r="K191" s="26">
        <f>IF([2]道具信息!K191="","",[2]道具信息!K191)</f>
        <v>1</v>
      </c>
      <c r="L191" s="26" t="str">
        <f>IF([2]道具信息!L191="","",[2]道具信息!L191)</f>
        <v/>
      </c>
      <c r="M191" s="26" t="str">
        <f>IF([2]道具信息!M191="","",[2]道具信息!M191)</f>
        <v/>
      </c>
      <c r="N191" s="26" t="str">
        <f>IF([2]道具信息!N191="","",[2]道具信息!N191)</f>
        <v/>
      </c>
      <c r="O191" s="26" t="str">
        <f>IF([2]道具信息!O191="","",[2]道具信息!O191)</f>
        <v/>
      </c>
      <c r="P191" s="26" t="str">
        <f>IF([2]道具信息!P191="","",[2]道具信息!P191)</f>
        <v/>
      </c>
      <c r="Q191" s="26" t="str">
        <f>IF([2]道具信息!Q191="","",[2]道具信息!Q191)</f>
        <v/>
      </c>
    </row>
    <row r="192" spans="3:17" x14ac:dyDescent="0.15">
      <c r="C192" s="26" t="str">
        <f>IF([2]道具信息!C192="","",[2]道具信息!C192)</f>
        <v/>
      </c>
      <c r="D192" s="26" t="str">
        <f>IF([2]道具信息!D192="","",[2]道具信息!D192)</f>
        <v>2级随机宝石</v>
      </c>
      <c r="E192" s="26">
        <f>IF([2]道具信息!E192="","",[2]道具信息!E192)</f>
        <v>6</v>
      </c>
      <c r="F192" s="26">
        <f>IF([2]道具信息!F192="","",[2]道具信息!F192)</f>
        <v>1</v>
      </c>
      <c r="G192" s="26">
        <f>IF([2]道具信息!G192="","",[2]道具信息!G192)</f>
        <v>1</v>
      </c>
      <c r="H192" s="26">
        <f>IF([2]道具信息!H192="","",[2]道具信息!H192)</f>
        <v>1</v>
      </c>
      <c r="I192" s="26">
        <f>IF([2]道具信息!I192="","",[2]道具信息!I192)</f>
        <v>6</v>
      </c>
      <c r="J192" s="26">
        <f>IF([2]道具信息!J192="","",[2]道具信息!J192)</f>
        <v>6</v>
      </c>
      <c r="K192" s="26">
        <f>IF([2]道具信息!K192="","",[2]道具信息!K192)</f>
        <v>6</v>
      </c>
      <c r="L192" s="26" t="str">
        <f>IF([2]道具信息!L192="","",[2]道具信息!L192)</f>
        <v/>
      </c>
      <c r="M192" s="26" t="str">
        <f>IF([2]道具信息!M192="","",[2]道具信息!M192)</f>
        <v/>
      </c>
      <c r="N192" s="26" t="str">
        <f>IF([2]道具信息!N192="","",[2]道具信息!N192)</f>
        <v/>
      </c>
      <c r="O192" s="26" t="str">
        <f>IF([2]道具信息!O192="","",[2]道具信息!O192)</f>
        <v/>
      </c>
      <c r="P192" s="26" t="str">
        <f>IF([2]道具信息!P192="","",[2]道具信息!P192)</f>
        <v/>
      </c>
      <c r="Q192" s="26" t="str">
        <f>IF([2]道具信息!Q192="","",[2]道具信息!Q192)</f>
        <v/>
      </c>
    </row>
    <row r="193" spans="3:17" x14ac:dyDescent="0.15">
      <c r="C193" s="26" t="str">
        <f>IF([2]道具信息!C193="","",[2]道具信息!C193)</f>
        <v/>
      </c>
      <c r="D193" s="26" t="str">
        <f>IF([2]道具信息!D193="","",[2]道具信息!D193)</f>
        <v>3级随机宝石</v>
      </c>
      <c r="E193" s="26">
        <f>IF([2]道具信息!E193="","",[2]道具信息!E193)</f>
        <v>27</v>
      </c>
      <c r="F193" s="26">
        <f>IF([2]道具信息!F193="","",[2]道具信息!F193)</f>
        <v>1</v>
      </c>
      <c r="G193" s="26">
        <f>IF([2]道具信息!G193="","",[2]道具信息!G193)</f>
        <v>1</v>
      </c>
      <c r="H193" s="26">
        <f>IF([2]道具信息!H193="","",[2]道具信息!H193)</f>
        <v>1</v>
      </c>
      <c r="I193" s="26">
        <f>IF([2]道具信息!I193="","",[2]道具信息!I193)</f>
        <v>27</v>
      </c>
      <c r="J193" s="26">
        <f>IF([2]道具信息!J193="","",[2]道具信息!J193)</f>
        <v>27</v>
      </c>
      <c r="K193" s="26">
        <f>IF([2]道具信息!K193="","",[2]道具信息!K193)</f>
        <v>27</v>
      </c>
      <c r="L193" s="26" t="str">
        <f>IF([2]道具信息!L193="","",[2]道具信息!L193)</f>
        <v/>
      </c>
      <c r="M193" s="26" t="str">
        <f>IF([2]道具信息!M193="","",[2]道具信息!M193)</f>
        <v/>
      </c>
      <c r="N193" s="26" t="str">
        <f>IF([2]道具信息!N193="","",[2]道具信息!N193)</f>
        <v/>
      </c>
      <c r="O193" s="26" t="str">
        <f>IF([2]道具信息!O193="","",[2]道具信息!O193)</f>
        <v/>
      </c>
      <c r="P193" s="26" t="str">
        <f>IF([2]道具信息!P193="","",[2]道具信息!P193)</f>
        <v/>
      </c>
      <c r="Q193" s="26" t="str">
        <f>IF([2]道具信息!Q193="","",[2]道具信息!Q193)</f>
        <v/>
      </c>
    </row>
    <row r="194" spans="3:17" x14ac:dyDescent="0.15">
      <c r="C194" s="26" t="str">
        <f>IF([2]道具信息!C194="","",[2]道具信息!C194)</f>
        <v/>
      </c>
      <c r="D194" s="26" t="str">
        <f>IF([2]道具信息!D194="","",[2]道具信息!D194)</f>
        <v>4级随机宝石</v>
      </c>
      <c r="E194" s="26">
        <f>IF([2]道具信息!E194="","",[2]道具信息!E194)</f>
        <v>100</v>
      </c>
      <c r="F194" s="26">
        <f>IF([2]道具信息!F194="","",[2]道具信息!F194)</f>
        <v>1</v>
      </c>
      <c r="G194" s="26">
        <f>IF([2]道具信息!G194="","",[2]道具信息!G194)</f>
        <v>1</v>
      </c>
      <c r="H194" s="26">
        <f>IF([2]道具信息!H194="","",[2]道具信息!H194)</f>
        <v>1</v>
      </c>
      <c r="I194" s="26">
        <f>IF([2]道具信息!I194="","",[2]道具信息!I194)</f>
        <v>100</v>
      </c>
      <c r="J194" s="26">
        <f>IF([2]道具信息!J194="","",[2]道具信息!J194)</f>
        <v>100</v>
      </c>
      <c r="K194" s="26">
        <f>IF([2]道具信息!K194="","",[2]道具信息!K194)</f>
        <v>100</v>
      </c>
      <c r="L194" s="26" t="str">
        <f>IF([2]道具信息!L194="","",[2]道具信息!L194)</f>
        <v/>
      </c>
      <c r="M194" s="26" t="str">
        <f>IF([2]道具信息!M194="","",[2]道具信息!M194)</f>
        <v/>
      </c>
      <c r="N194" s="26" t="str">
        <f>IF([2]道具信息!N194="","",[2]道具信息!N194)</f>
        <v/>
      </c>
      <c r="O194" s="26" t="str">
        <f>IF([2]道具信息!O194="","",[2]道具信息!O194)</f>
        <v/>
      </c>
      <c r="P194" s="26" t="str">
        <f>IF([2]道具信息!P194="","",[2]道具信息!P194)</f>
        <v/>
      </c>
      <c r="Q194" s="26" t="str">
        <f>IF([2]道具信息!Q194="","",[2]道具信息!Q194)</f>
        <v/>
      </c>
    </row>
    <row r="195" spans="3:17" x14ac:dyDescent="0.15">
      <c r="C195" s="26" t="str">
        <f>IF([2]道具信息!C195="","",[2]道具信息!C195)</f>
        <v/>
      </c>
      <c r="D195" s="26" t="str">
        <f>IF([2]道具信息!D195="","",[2]道具信息!D195)</f>
        <v>5级随机宝石</v>
      </c>
      <c r="E195" s="26">
        <f>IF([2]道具信息!E195="","",[2]道具信息!E195)</f>
        <v>400</v>
      </c>
      <c r="F195" s="26">
        <f>IF([2]道具信息!F195="","",[2]道具信息!F195)</f>
        <v>1</v>
      </c>
      <c r="G195" s="26">
        <f>IF([2]道具信息!G195="","",[2]道具信息!G195)</f>
        <v>1</v>
      </c>
      <c r="H195" s="26">
        <f>IF([2]道具信息!H195="","",[2]道具信息!H195)</f>
        <v>1</v>
      </c>
      <c r="I195" s="26">
        <f>IF([2]道具信息!I195="","",[2]道具信息!I195)</f>
        <v>400</v>
      </c>
      <c r="J195" s="26">
        <f>IF([2]道具信息!J195="","",[2]道具信息!J195)</f>
        <v>400</v>
      </c>
      <c r="K195" s="26">
        <f>IF([2]道具信息!K195="","",[2]道具信息!K195)</f>
        <v>400</v>
      </c>
      <c r="L195" s="26" t="str">
        <f>IF([2]道具信息!L195="","",[2]道具信息!L195)</f>
        <v/>
      </c>
      <c r="M195" s="26" t="str">
        <f>IF([2]道具信息!M195="","",[2]道具信息!M195)</f>
        <v/>
      </c>
      <c r="N195" s="26" t="str">
        <f>IF([2]道具信息!N195="","",[2]道具信息!N195)</f>
        <v/>
      </c>
      <c r="O195" s="26" t="str">
        <f>IF([2]道具信息!O195="","",[2]道具信息!O195)</f>
        <v/>
      </c>
      <c r="P195" s="26" t="str">
        <f>IF([2]道具信息!P195="","",[2]道具信息!P195)</f>
        <v/>
      </c>
      <c r="Q195" s="26" t="str">
        <f>IF([2]道具信息!Q195="","",[2]道具信息!Q195)</f>
        <v/>
      </c>
    </row>
    <row r="196" spans="3:17" x14ac:dyDescent="0.15">
      <c r="C196" s="26" t="str">
        <f>IF([2]道具信息!C196="","",[2]道具信息!C196)</f>
        <v/>
      </c>
      <c r="D196" s="26" t="str">
        <f>IF([2]道具信息!D196="","",[2]道具信息!D196)</f>
        <v>6级随机宝石</v>
      </c>
      <c r="E196" s="26">
        <f>IF([2]道具信息!E196="","",[2]道具信息!E196)</f>
        <v>1500</v>
      </c>
      <c r="F196" s="26">
        <f>IF([2]道具信息!F196="","",[2]道具信息!F196)</f>
        <v>1</v>
      </c>
      <c r="G196" s="26">
        <f>IF([2]道具信息!G196="","",[2]道具信息!G196)</f>
        <v>1</v>
      </c>
      <c r="H196" s="26">
        <f>IF([2]道具信息!H196="","",[2]道具信息!H196)</f>
        <v>1</v>
      </c>
      <c r="I196" s="26">
        <f>IF([2]道具信息!I196="","",[2]道具信息!I196)</f>
        <v>1500</v>
      </c>
      <c r="J196" s="26">
        <f>IF([2]道具信息!J196="","",[2]道具信息!J196)</f>
        <v>1500</v>
      </c>
      <c r="K196" s="26">
        <f>IF([2]道具信息!K196="","",[2]道具信息!K196)</f>
        <v>1500</v>
      </c>
      <c r="L196" s="26" t="str">
        <f>IF([2]道具信息!L196="","",[2]道具信息!L196)</f>
        <v/>
      </c>
      <c r="M196" s="26" t="str">
        <f>IF([2]道具信息!M196="","",[2]道具信息!M196)</f>
        <v/>
      </c>
      <c r="N196" s="26" t="str">
        <f>IF([2]道具信息!N196="","",[2]道具信息!N196)</f>
        <v/>
      </c>
      <c r="O196" s="26" t="str">
        <f>IF([2]道具信息!O196="","",[2]道具信息!O196)</f>
        <v/>
      </c>
      <c r="P196" s="26" t="str">
        <f>IF([2]道具信息!P196="","",[2]道具信息!P196)</f>
        <v/>
      </c>
      <c r="Q196" s="26" t="str">
        <f>IF([2]道具信息!Q196="","",[2]道具信息!Q196)</f>
        <v/>
      </c>
    </row>
    <row r="197" spans="3:17" x14ac:dyDescent="0.15">
      <c r="C197" s="26" t="str">
        <f>IF([2]道具信息!C197="","",[2]道具信息!C197)</f>
        <v/>
      </c>
      <c r="D197" s="26" t="str">
        <f>IF([2]道具信息!D197="","",[2]道具信息!D197)</f>
        <v>7级随机宝石</v>
      </c>
      <c r="E197" s="26">
        <f>IF([2]道具信息!E197="","",[2]道具信息!E197)</f>
        <v>5000</v>
      </c>
      <c r="F197" s="26">
        <f>IF([2]道具信息!F197="","",[2]道具信息!F197)</f>
        <v>1</v>
      </c>
      <c r="G197" s="26">
        <f>IF([2]道具信息!G197="","",[2]道具信息!G197)</f>
        <v>1</v>
      </c>
      <c r="H197" s="26">
        <f>IF([2]道具信息!H197="","",[2]道具信息!H197)</f>
        <v>1</v>
      </c>
      <c r="I197" s="26">
        <f>IF([2]道具信息!I197="","",[2]道具信息!I197)</f>
        <v>5000</v>
      </c>
      <c r="J197" s="26">
        <f>IF([2]道具信息!J197="","",[2]道具信息!J197)</f>
        <v>5000</v>
      </c>
      <c r="K197" s="26">
        <f>IF([2]道具信息!K197="","",[2]道具信息!K197)</f>
        <v>5000</v>
      </c>
      <c r="L197" s="26" t="str">
        <f>IF([2]道具信息!L197="","",[2]道具信息!L197)</f>
        <v/>
      </c>
      <c r="M197" s="26" t="str">
        <f>IF([2]道具信息!M197="","",[2]道具信息!M197)</f>
        <v/>
      </c>
      <c r="N197" s="26" t="str">
        <f>IF([2]道具信息!N197="","",[2]道具信息!N197)</f>
        <v/>
      </c>
      <c r="O197" s="26" t="str">
        <f>IF([2]道具信息!O197="","",[2]道具信息!O197)</f>
        <v/>
      </c>
      <c r="P197" s="26" t="str">
        <f>IF([2]道具信息!P197="","",[2]道具信息!P197)</f>
        <v/>
      </c>
      <c r="Q197" s="26" t="str">
        <f>IF([2]道具信息!Q197="","",[2]道具信息!Q197)</f>
        <v/>
      </c>
    </row>
    <row r="198" spans="3:17" x14ac:dyDescent="0.15">
      <c r="C198" s="26" t="str">
        <f>IF([2]道具信息!C198="","",[2]道具信息!C198)</f>
        <v/>
      </c>
      <c r="D198" s="26" t="str">
        <f>IF([2]道具信息!D198="","",[2]道具信息!D198)</f>
        <v>8级随机宝石</v>
      </c>
      <c r="E198" s="26">
        <f>IF([2]道具信息!E198="","",[2]道具信息!E198)</f>
        <v>18000</v>
      </c>
      <c r="F198" s="26">
        <f>IF([2]道具信息!F198="","",[2]道具信息!F198)</f>
        <v>1</v>
      </c>
      <c r="G198" s="26">
        <f>IF([2]道具信息!G198="","",[2]道具信息!G198)</f>
        <v>1</v>
      </c>
      <c r="H198" s="26">
        <f>IF([2]道具信息!H198="","",[2]道具信息!H198)</f>
        <v>1</v>
      </c>
      <c r="I198" s="26">
        <f>IF([2]道具信息!I198="","",[2]道具信息!I198)</f>
        <v>18000</v>
      </c>
      <c r="J198" s="26">
        <f>IF([2]道具信息!J198="","",[2]道具信息!J198)</f>
        <v>18000</v>
      </c>
      <c r="K198" s="26">
        <f>IF([2]道具信息!K198="","",[2]道具信息!K198)</f>
        <v>18000</v>
      </c>
      <c r="L198" s="26" t="str">
        <f>IF([2]道具信息!L198="","",[2]道具信息!L198)</f>
        <v/>
      </c>
      <c r="M198" s="26" t="str">
        <f>IF([2]道具信息!M198="","",[2]道具信息!M198)</f>
        <v/>
      </c>
      <c r="N198" s="26" t="str">
        <f>IF([2]道具信息!N198="","",[2]道具信息!N198)</f>
        <v/>
      </c>
      <c r="O198" s="26" t="str">
        <f>IF([2]道具信息!O198="","",[2]道具信息!O198)</f>
        <v/>
      </c>
      <c r="P198" s="26" t="str">
        <f>IF([2]道具信息!P198="","",[2]道具信息!P198)</f>
        <v/>
      </c>
      <c r="Q198" s="26" t="str">
        <f>IF([2]道具信息!Q198="","",[2]道具信息!Q198)</f>
        <v/>
      </c>
    </row>
    <row r="199" spans="3:17" x14ac:dyDescent="0.15">
      <c r="C199" s="26" t="str">
        <f>IF([2]道具信息!C199="","",[2]道具信息!C199)</f>
        <v/>
      </c>
      <c r="D199" s="26" t="str">
        <f>IF([2]道具信息!D199="","",[2]道具信息!D199)</f>
        <v>9级随机宝石</v>
      </c>
      <c r="E199" s="26">
        <f>IF([2]道具信息!E199="","",[2]道具信息!E199)</f>
        <v>60000</v>
      </c>
      <c r="F199" s="26">
        <f>IF([2]道具信息!F199="","",[2]道具信息!F199)</f>
        <v>1</v>
      </c>
      <c r="G199" s="26">
        <f>IF([2]道具信息!G199="","",[2]道具信息!G199)</f>
        <v>1</v>
      </c>
      <c r="H199" s="26">
        <f>IF([2]道具信息!H199="","",[2]道具信息!H199)</f>
        <v>1</v>
      </c>
      <c r="I199" s="26">
        <f>IF([2]道具信息!I199="","",[2]道具信息!I199)</f>
        <v>60000</v>
      </c>
      <c r="J199" s="26">
        <f>IF([2]道具信息!J199="","",[2]道具信息!J199)</f>
        <v>60000</v>
      </c>
      <c r="K199" s="26">
        <f>IF([2]道具信息!K199="","",[2]道具信息!K199)</f>
        <v>60000</v>
      </c>
      <c r="L199" s="26" t="str">
        <f>IF([2]道具信息!L199="","",[2]道具信息!L199)</f>
        <v/>
      </c>
      <c r="M199" s="26" t="str">
        <f>IF([2]道具信息!M199="","",[2]道具信息!M199)</f>
        <v/>
      </c>
      <c r="N199" s="26" t="str">
        <f>IF([2]道具信息!N199="","",[2]道具信息!N199)</f>
        <v/>
      </c>
      <c r="O199" s="26" t="str">
        <f>IF([2]道具信息!O199="","",[2]道具信息!O199)</f>
        <v/>
      </c>
      <c r="P199" s="26" t="str">
        <f>IF([2]道具信息!P199="","",[2]道具信息!P199)</f>
        <v/>
      </c>
      <c r="Q199" s="26" t="str">
        <f>IF([2]道具信息!Q199="","",[2]道具信息!Q199)</f>
        <v/>
      </c>
    </row>
    <row r="200" spans="3:17" x14ac:dyDescent="0.15">
      <c r="C200" s="26" t="str">
        <f>IF([2]道具信息!C200="","",[2]道具信息!C200)</f>
        <v/>
      </c>
      <c r="D200" s="26" t="str">
        <f>IF([2]道具信息!D200="","",[2]道具信息!D200)</f>
        <v>10级随机宝石</v>
      </c>
      <c r="E200" s="26">
        <f>IF([2]道具信息!E200="","",[2]道具信息!E200)</f>
        <v>180000</v>
      </c>
      <c r="F200" s="26">
        <f>IF([2]道具信息!F200="","",[2]道具信息!F200)</f>
        <v>1</v>
      </c>
      <c r="G200" s="26">
        <f>IF([2]道具信息!G200="","",[2]道具信息!G200)</f>
        <v>1</v>
      </c>
      <c r="H200" s="26">
        <f>IF([2]道具信息!H200="","",[2]道具信息!H200)</f>
        <v>1</v>
      </c>
      <c r="I200" s="26">
        <f>IF([2]道具信息!I200="","",[2]道具信息!I200)</f>
        <v>180000</v>
      </c>
      <c r="J200" s="26">
        <f>IF([2]道具信息!J200="","",[2]道具信息!J200)</f>
        <v>180000</v>
      </c>
      <c r="K200" s="26">
        <f>IF([2]道具信息!K200="","",[2]道具信息!K200)</f>
        <v>180000</v>
      </c>
      <c r="L200" s="26" t="str">
        <f>IF([2]道具信息!L200="","",[2]道具信息!L200)</f>
        <v/>
      </c>
      <c r="M200" s="26" t="str">
        <f>IF([2]道具信息!M200="","",[2]道具信息!M200)</f>
        <v/>
      </c>
      <c r="N200" s="26" t="str">
        <f>IF([2]道具信息!N200="","",[2]道具信息!N200)</f>
        <v/>
      </c>
      <c r="O200" s="26" t="str">
        <f>IF([2]道具信息!O200="","",[2]道具信息!O200)</f>
        <v/>
      </c>
      <c r="P200" s="26" t="str">
        <f>IF([2]道具信息!P200="","",[2]道具信息!P200)</f>
        <v/>
      </c>
      <c r="Q200" s="26" t="str">
        <f>IF([2]道具信息!Q200="","",[2]道具信息!Q200)</f>
        <v/>
      </c>
    </row>
    <row r="201" spans="3:17" x14ac:dyDescent="0.15">
      <c r="C201" s="26" t="str">
        <f>IF([2]道具信息!C201="","",[2]道具信息!C201)</f>
        <v/>
      </c>
      <c r="D201" s="26" t="str">
        <f>IF([2]道具信息!D201="","",[2]道具信息!D201)</f>
        <v>11级随机宝石</v>
      </c>
      <c r="E201" s="26">
        <f>IF([2]道具信息!E201="","",[2]道具信息!E201)</f>
        <v>540000</v>
      </c>
      <c r="F201" s="26">
        <f>IF([2]道具信息!F201="","",[2]道具信息!F201)</f>
        <v>1</v>
      </c>
      <c r="G201" s="26">
        <f>IF([2]道具信息!G201="","",[2]道具信息!G201)</f>
        <v>1</v>
      </c>
      <c r="H201" s="26">
        <f>IF([2]道具信息!H201="","",[2]道具信息!H201)</f>
        <v>1</v>
      </c>
      <c r="I201" s="26">
        <f>IF([2]道具信息!I201="","",[2]道具信息!I201)</f>
        <v>540000</v>
      </c>
      <c r="J201" s="26">
        <f>IF([2]道具信息!J201="","",[2]道具信息!J201)</f>
        <v>540000</v>
      </c>
      <c r="K201" s="26">
        <f>IF([2]道具信息!K201="","",[2]道具信息!K201)</f>
        <v>540000</v>
      </c>
      <c r="L201" s="26" t="str">
        <f>IF([2]道具信息!L201="","",[2]道具信息!L201)</f>
        <v/>
      </c>
      <c r="M201" s="26" t="str">
        <f>IF([2]道具信息!M201="","",[2]道具信息!M201)</f>
        <v/>
      </c>
      <c r="N201" s="26" t="str">
        <f>IF([2]道具信息!N201="","",[2]道具信息!N201)</f>
        <v/>
      </c>
      <c r="O201" s="26" t="str">
        <f>IF([2]道具信息!O201="","",[2]道具信息!O201)</f>
        <v/>
      </c>
      <c r="P201" s="26" t="str">
        <f>IF([2]道具信息!P201="","",[2]道具信息!P201)</f>
        <v/>
      </c>
      <c r="Q201" s="26" t="str">
        <f>IF([2]道具信息!Q201="","",[2]道具信息!Q201)</f>
        <v/>
      </c>
    </row>
    <row r="202" spans="3:17" x14ac:dyDescent="0.15">
      <c r="C202" s="26" t="str">
        <f>IF([2]道具信息!C202="","",[2]道具信息!C202)</f>
        <v/>
      </c>
      <c r="D202" s="26" t="str">
        <f>IF([2]道具信息!D202="","",[2]道具信息!D202)</f>
        <v>12级随机宝石</v>
      </c>
      <c r="E202" s="26">
        <f>IF([2]道具信息!E202="","",[2]道具信息!E202)</f>
        <v>1620000</v>
      </c>
      <c r="F202" s="26">
        <f>IF([2]道具信息!F202="","",[2]道具信息!F202)</f>
        <v>1</v>
      </c>
      <c r="G202" s="26">
        <f>IF([2]道具信息!G202="","",[2]道具信息!G202)</f>
        <v>1</v>
      </c>
      <c r="H202" s="26">
        <f>IF([2]道具信息!H202="","",[2]道具信息!H202)</f>
        <v>1</v>
      </c>
      <c r="I202" s="26">
        <f>IF([2]道具信息!I202="","",[2]道具信息!I202)</f>
        <v>1620000</v>
      </c>
      <c r="J202" s="26">
        <f>IF([2]道具信息!J202="","",[2]道具信息!J202)</f>
        <v>1620000</v>
      </c>
      <c r="K202" s="26">
        <f>IF([2]道具信息!K202="","",[2]道具信息!K202)</f>
        <v>1620000</v>
      </c>
      <c r="L202" s="26" t="str">
        <f>IF([2]道具信息!L202="","",[2]道具信息!L202)</f>
        <v/>
      </c>
      <c r="M202" s="26" t="str">
        <f>IF([2]道具信息!M202="","",[2]道具信息!M202)</f>
        <v/>
      </c>
      <c r="N202" s="26" t="str">
        <f>IF([2]道具信息!N202="","",[2]道具信息!N202)</f>
        <v/>
      </c>
      <c r="O202" s="26" t="str">
        <f>IF([2]道具信息!O202="","",[2]道具信息!O202)</f>
        <v/>
      </c>
      <c r="P202" s="26" t="str">
        <f>IF([2]道具信息!P202="","",[2]道具信息!P202)</f>
        <v/>
      </c>
      <c r="Q202" s="26" t="str">
        <f>IF([2]道具信息!Q202="","",[2]道具信息!Q202)</f>
        <v/>
      </c>
    </row>
    <row r="203" spans="3:17" x14ac:dyDescent="0.15">
      <c r="C203" s="26" t="str">
        <f>IF([2]道具信息!C203="","",[2]道具信息!C203)</f>
        <v/>
      </c>
      <c r="D203" s="26" t="str">
        <f>IF([2]道具信息!D203="","",[2]道具信息!D203)</f>
        <v>13级随机宝石</v>
      </c>
      <c r="E203" s="26">
        <f>IF([2]道具信息!E203="","",[2]道具信息!E203)</f>
        <v>4860000</v>
      </c>
      <c r="F203" s="26">
        <f>IF([2]道具信息!F203="","",[2]道具信息!F203)</f>
        <v>1</v>
      </c>
      <c r="G203" s="26">
        <f>IF([2]道具信息!G203="","",[2]道具信息!G203)</f>
        <v>1</v>
      </c>
      <c r="H203" s="26">
        <f>IF([2]道具信息!H203="","",[2]道具信息!H203)</f>
        <v>1</v>
      </c>
      <c r="I203" s="26">
        <f>IF([2]道具信息!I203="","",[2]道具信息!I203)</f>
        <v>4860000</v>
      </c>
      <c r="J203" s="26">
        <f>IF([2]道具信息!J203="","",[2]道具信息!J203)</f>
        <v>4860000</v>
      </c>
      <c r="K203" s="26">
        <f>IF([2]道具信息!K203="","",[2]道具信息!K203)</f>
        <v>4860000</v>
      </c>
      <c r="L203" s="26" t="str">
        <f>IF([2]道具信息!L203="","",[2]道具信息!L203)</f>
        <v/>
      </c>
      <c r="M203" s="26" t="str">
        <f>IF([2]道具信息!M203="","",[2]道具信息!M203)</f>
        <v/>
      </c>
      <c r="N203" s="26" t="str">
        <f>IF([2]道具信息!N203="","",[2]道具信息!N203)</f>
        <v/>
      </c>
      <c r="O203" s="26" t="str">
        <f>IF([2]道具信息!O203="","",[2]道具信息!O203)</f>
        <v/>
      </c>
      <c r="P203" s="26" t="str">
        <f>IF([2]道具信息!P203="","",[2]道具信息!P203)</f>
        <v/>
      </c>
      <c r="Q203" s="26" t="str">
        <f>IF([2]道具信息!Q203="","",[2]道具信息!Q203)</f>
        <v/>
      </c>
    </row>
    <row r="204" spans="3:17" x14ac:dyDescent="0.15">
      <c r="C204" s="26" t="str">
        <f>IF([2]道具信息!C204="","",[2]道具信息!C204)</f>
        <v/>
      </c>
      <c r="D204" s="26" t="str">
        <f>IF([2]道具信息!D204="","",[2]道具信息!D204)</f>
        <v>14级随机宝石</v>
      </c>
      <c r="E204" s="26">
        <f>IF([2]道具信息!E204="","",[2]道具信息!E204)</f>
        <v>14580000</v>
      </c>
      <c r="F204" s="26">
        <f>IF([2]道具信息!F204="","",[2]道具信息!F204)</f>
        <v>1</v>
      </c>
      <c r="G204" s="26">
        <f>IF([2]道具信息!G204="","",[2]道具信息!G204)</f>
        <v>1</v>
      </c>
      <c r="H204" s="26">
        <f>IF([2]道具信息!H204="","",[2]道具信息!H204)</f>
        <v>1</v>
      </c>
      <c r="I204" s="26">
        <f>IF([2]道具信息!I204="","",[2]道具信息!I204)</f>
        <v>14580000</v>
      </c>
      <c r="J204" s="26">
        <f>IF([2]道具信息!J204="","",[2]道具信息!J204)</f>
        <v>14580000</v>
      </c>
      <c r="K204" s="26">
        <f>IF([2]道具信息!K204="","",[2]道具信息!K204)</f>
        <v>14580000</v>
      </c>
      <c r="L204" s="26" t="str">
        <f>IF([2]道具信息!L204="","",[2]道具信息!L204)</f>
        <v/>
      </c>
      <c r="M204" s="26" t="str">
        <f>IF([2]道具信息!M204="","",[2]道具信息!M204)</f>
        <v/>
      </c>
      <c r="N204" s="26" t="str">
        <f>IF([2]道具信息!N204="","",[2]道具信息!N204)</f>
        <v/>
      </c>
      <c r="O204" s="26" t="str">
        <f>IF([2]道具信息!O204="","",[2]道具信息!O204)</f>
        <v/>
      </c>
      <c r="P204" s="26" t="str">
        <f>IF([2]道具信息!P204="","",[2]道具信息!P204)</f>
        <v/>
      </c>
      <c r="Q204" s="26" t="str">
        <f>IF([2]道具信息!Q204="","",[2]道具信息!Q204)</f>
        <v/>
      </c>
    </row>
    <row r="205" spans="3:17" x14ac:dyDescent="0.15">
      <c r="C205" s="26" t="str">
        <f>IF([2]道具信息!C205="","",[2]道具信息!C205)</f>
        <v/>
      </c>
      <c r="D205" s="26" t="str">
        <f>IF([2]道具信息!D205="","",[2]道具信息!D205)</f>
        <v>15级随机宝石</v>
      </c>
      <c r="E205" s="26">
        <f>IF([2]道具信息!E205="","",[2]道具信息!E205)</f>
        <v>43740000</v>
      </c>
      <c r="F205" s="26">
        <f>IF([2]道具信息!F205="","",[2]道具信息!F205)</f>
        <v>1</v>
      </c>
      <c r="G205" s="26">
        <f>IF([2]道具信息!G205="","",[2]道具信息!G205)</f>
        <v>1</v>
      </c>
      <c r="H205" s="26">
        <f>IF([2]道具信息!H205="","",[2]道具信息!H205)</f>
        <v>1</v>
      </c>
      <c r="I205" s="26">
        <f>IF([2]道具信息!I205="","",[2]道具信息!I205)</f>
        <v>43740000</v>
      </c>
      <c r="J205" s="26">
        <f>IF([2]道具信息!J205="","",[2]道具信息!J205)</f>
        <v>43740000</v>
      </c>
      <c r="K205" s="26">
        <f>IF([2]道具信息!K205="","",[2]道具信息!K205)</f>
        <v>43740000</v>
      </c>
      <c r="L205" s="26" t="str">
        <f>IF([2]道具信息!L205="","",[2]道具信息!L205)</f>
        <v/>
      </c>
      <c r="M205" s="26" t="str">
        <f>IF([2]道具信息!M205="","",[2]道具信息!M205)</f>
        <v/>
      </c>
      <c r="N205" s="26" t="str">
        <f>IF([2]道具信息!N205="","",[2]道具信息!N205)</f>
        <v/>
      </c>
      <c r="O205" s="26" t="str">
        <f>IF([2]道具信息!O205="","",[2]道具信息!O205)</f>
        <v/>
      </c>
      <c r="P205" s="26" t="str">
        <f>IF([2]道具信息!P205="","",[2]道具信息!P205)</f>
        <v/>
      </c>
      <c r="Q205" s="26" t="str">
        <f>IF([2]道具信息!Q205="","",[2]道具信息!Q205)</f>
        <v/>
      </c>
    </row>
    <row r="206" spans="3:17" x14ac:dyDescent="0.15">
      <c r="C206" s="26" t="str">
        <f>IF([2]道具信息!C206="","",[2]道具信息!C206)</f>
        <v/>
      </c>
      <c r="D206" s="26" t="str">
        <f>IF([2]道具信息!D206="","",[2]道具信息!D206)</f>
        <v/>
      </c>
      <c r="E206" s="26" t="str">
        <f>IF([2]道具信息!E206="","",[2]道具信息!E206)</f>
        <v/>
      </c>
      <c r="F206" s="26" t="str">
        <f>IF([2]道具信息!F206="","",[2]道具信息!F206)</f>
        <v/>
      </c>
      <c r="G206" s="26" t="str">
        <f>IF([2]道具信息!G206="","",[2]道具信息!G206)</f>
        <v/>
      </c>
      <c r="H206" s="26" t="str">
        <f>IF([2]道具信息!H206="","",[2]道具信息!H206)</f>
        <v/>
      </c>
      <c r="I206" s="26" t="str">
        <f>IF([2]道具信息!I206="","",[2]道具信息!I206)</f>
        <v/>
      </c>
      <c r="J206" s="26" t="str">
        <f>IF([2]道具信息!J206="","",[2]道具信息!J206)</f>
        <v/>
      </c>
      <c r="K206" s="26" t="str">
        <f>IF([2]道具信息!K206="","",[2]道具信息!K206)</f>
        <v/>
      </c>
      <c r="L206" s="26" t="str">
        <f>IF([2]道具信息!L206="","",[2]道具信息!L206)</f>
        <v/>
      </c>
      <c r="M206" s="26" t="str">
        <f>IF([2]道具信息!M206="","",[2]道具信息!M206)</f>
        <v/>
      </c>
      <c r="N206" s="26" t="str">
        <f>IF([2]道具信息!N206="","",[2]道具信息!N206)</f>
        <v/>
      </c>
      <c r="O206" s="26" t="str">
        <f>IF([2]道具信息!O206="","",[2]道具信息!O206)</f>
        <v/>
      </c>
      <c r="P206" s="26" t="str">
        <f>IF([2]道具信息!P206="","",[2]道具信息!P206)</f>
        <v/>
      </c>
      <c r="Q206" s="26" t="str">
        <f>IF([2]道具信息!Q206="","",[2]道具信息!Q206)</f>
        <v/>
      </c>
    </row>
    <row r="207" spans="3:17" x14ac:dyDescent="0.15">
      <c r="C207" s="26" t="str">
        <f>IF([2]道具信息!C207="","",[2]道具信息!C207)</f>
        <v/>
      </c>
      <c r="D207" s="26" t="str">
        <f>IF([2]道具信息!D207="","",[2]道具信息!D207)</f>
        <v>血石</v>
      </c>
      <c r="E207" s="26">
        <f>IF([2]道具信息!E207="","",[2]道具信息!E207)</f>
        <v>0.5</v>
      </c>
      <c r="F207" s="26">
        <f>IF([2]道具信息!F207="","",[2]道具信息!F207)</f>
        <v>1</v>
      </c>
      <c r="G207" s="26">
        <f>IF([2]道具信息!G207="","",[2]道具信息!G207)</f>
        <v>1</v>
      </c>
      <c r="H207" s="26">
        <f>IF([2]道具信息!H207="","",[2]道具信息!H207)</f>
        <v>1</v>
      </c>
      <c r="I207" s="26">
        <f>IF([2]道具信息!I207="","",[2]道具信息!I207)</f>
        <v>0.5</v>
      </c>
      <c r="J207" s="26">
        <f>IF([2]道具信息!J207="","",[2]道具信息!J207)</f>
        <v>0.5</v>
      </c>
      <c r="K207" s="26">
        <f>IF([2]道具信息!K207="","",[2]道具信息!K207)</f>
        <v>0.5</v>
      </c>
      <c r="L207" s="26" t="str">
        <f>IF([2]道具信息!L207="","",[2]道具信息!L207)</f>
        <v/>
      </c>
      <c r="M207" s="26" t="str">
        <f>IF([2]道具信息!M207="","",[2]道具信息!M207)</f>
        <v/>
      </c>
      <c r="N207" s="26" t="str">
        <f>IF([2]道具信息!N207="","",[2]道具信息!N207)</f>
        <v/>
      </c>
      <c r="O207" s="26" t="str">
        <f>IF([2]道具信息!O207="","",[2]道具信息!O207)</f>
        <v/>
      </c>
      <c r="P207" s="26" t="str">
        <f>IF([2]道具信息!P207="","",[2]道具信息!P207)</f>
        <v/>
      </c>
      <c r="Q207" s="26" t="str">
        <f>IF([2]道具信息!Q207="","",[2]道具信息!Q207)</f>
        <v/>
      </c>
    </row>
    <row r="208" spans="3:17" x14ac:dyDescent="0.15">
      <c r="C208" s="26" t="str">
        <f>IF([2]道具信息!C208="","",[2]道具信息!C208)</f>
        <v/>
      </c>
      <c r="D208" s="26" t="str">
        <f>IF([2]道具信息!D208="","",[2]道具信息!D208)</f>
        <v>血晶</v>
      </c>
      <c r="E208" s="26">
        <f>IF([2]道具信息!E208="","",[2]道具信息!E208)</f>
        <v>10</v>
      </c>
      <c r="F208" s="26">
        <f>IF([2]道具信息!F208="","",[2]道具信息!F208)</f>
        <v>1</v>
      </c>
      <c r="G208" s="26">
        <f>IF([2]道具信息!G208="","",[2]道具信息!G208)</f>
        <v>1</v>
      </c>
      <c r="H208" s="26">
        <f>IF([2]道具信息!H208="","",[2]道具信息!H208)</f>
        <v>1</v>
      </c>
      <c r="I208" s="26">
        <f>IF([2]道具信息!I208="","",[2]道具信息!I208)</f>
        <v>10</v>
      </c>
      <c r="J208" s="26">
        <f>IF([2]道具信息!J208="","",[2]道具信息!J208)</f>
        <v>10</v>
      </c>
      <c r="K208" s="26">
        <f>IF([2]道具信息!K208="","",[2]道具信息!K208)</f>
        <v>10</v>
      </c>
      <c r="L208" s="26" t="str">
        <f>IF([2]道具信息!L208="","",[2]道具信息!L208)</f>
        <v/>
      </c>
      <c r="M208" s="26" t="str">
        <f>IF([2]道具信息!M208="","",[2]道具信息!M208)</f>
        <v/>
      </c>
      <c r="N208" s="26" t="str">
        <f>IF([2]道具信息!N208="","",[2]道具信息!N208)</f>
        <v/>
      </c>
      <c r="O208" s="26" t="str">
        <f>IF([2]道具信息!O208="","",[2]道具信息!O208)</f>
        <v/>
      </c>
      <c r="P208" s="26" t="str">
        <f>IF([2]道具信息!P208="","",[2]道具信息!P208)</f>
        <v/>
      </c>
      <c r="Q208" s="26" t="str">
        <f>IF([2]道具信息!Q208="","",[2]道具信息!Q208)</f>
        <v/>
      </c>
    </row>
    <row r="209" spans="3:17" x14ac:dyDescent="0.15">
      <c r="C209" s="26" t="str">
        <f>IF([2]道具信息!C209="","",[2]道具信息!C209)</f>
        <v/>
      </c>
      <c r="D209" s="26" t="str">
        <f>IF([2]道具信息!D209="","",[2]道具信息!D209)</f>
        <v/>
      </c>
      <c r="E209" s="26" t="str">
        <f>IF([2]道具信息!E209="","",[2]道具信息!E209)</f>
        <v/>
      </c>
      <c r="F209" s="26" t="str">
        <f>IF([2]道具信息!F209="","",[2]道具信息!F209)</f>
        <v/>
      </c>
      <c r="G209" s="26" t="str">
        <f>IF([2]道具信息!G209="","",[2]道具信息!G209)</f>
        <v/>
      </c>
      <c r="H209" s="26" t="str">
        <f>IF([2]道具信息!H209="","",[2]道具信息!H209)</f>
        <v/>
      </c>
      <c r="I209" s="26" t="str">
        <f>IF([2]道具信息!I209="","",[2]道具信息!I209)</f>
        <v/>
      </c>
      <c r="J209" s="26" t="str">
        <f>IF([2]道具信息!J209="","",[2]道具信息!J209)</f>
        <v/>
      </c>
      <c r="K209" s="26" t="str">
        <f>IF([2]道具信息!K209="","",[2]道具信息!K209)</f>
        <v/>
      </c>
      <c r="L209" s="26" t="str">
        <f>IF([2]道具信息!L209="","",[2]道具信息!L209)</f>
        <v/>
      </c>
      <c r="M209" s="26" t="str">
        <f>IF([2]道具信息!M209="","",[2]道具信息!M209)</f>
        <v/>
      </c>
      <c r="N209" s="26" t="str">
        <f>IF([2]道具信息!N209="","",[2]道具信息!N209)</f>
        <v/>
      </c>
      <c r="O209" s="26" t="str">
        <f>IF([2]道具信息!O209="","",[2]道具信息!O209)</f>
        <v/>
      </c>
      <c r="P209" s="26" t="str">
        <f>IF([2]道具信息!P209="","",[2]道具信息!P209)</f>
        <v/>
      </c>
      <c r="Q209" s="26" t="str">
        <f>IF([2]道具信息!Q209="","",[2]道具信息!Q209)</f>
        <v/>
      </c>
    </row>
    <row r="210" spans="3:17" x14ac:dyDescent="0.15">
      <c r="C210" s="26" t="str">
        <f>IF([2]道具信息!C210="","",[2]道具信息!C210)</f>
        <v/>
      </c>
      <c r="D210" s="26" t="str">
        <f>IF([2]道具信息!D210="","",[2]道具信息!D210)</f>
        <v>蓝色提纯券</v>
      </c>
      <c r="E210" s="26">
        <f>IF([2]道具信息!E210="","",[2]道具信息!E210)</f>
        <v>100</v>
      </c>
      <c r="F210" s="26">
        <f>IF([2]道具信息!F210="","",[2]道具信息!F210)</f>
        <v>1</v>
      </c>
      <c r="G210" s="26">
        <f>IF([2]道具信息!G210="","",[2]道具信息!G210)</f>
        <v>1</v>
      </c>
      <c r="H210" s="26">
        <f>IF([2]道具信息!H210="","",[2]道具信息!H210)</f>
        <v>1</v>
      </c>
      <c r="I210" s="26">
        <f>IF([2]道具信息!I210="","",[2]道具信息!I210)</f>
        <v>100</v>
      </c>
      <c r="J210" s="26">
        <f>IF([2]道具信息!J210="","",[2]道具信息!J210)</f>
        <v>100</v>
      </c>
      <c r="K210" s="26">
        <f>IF([2]道具信息!K210="","",[2]道具信息!K210)</f>
        <v>100</v>
      </c>
      <c r="L210" s="26" t="str">
        <f>IF([2]道具信息!L210="","",[2]道具信息!L210)</f>
        <v/>
      </c>
      <c r="M210" s="26" t="str">
        <f>IF([2]道具信息!M210="","",[2]道具信息!M210)</f>
        <v/>
      </c>
      <c r="N210" s="26" t="str">
        <f>IF([2]道具信息!N210="","",[2]道具信息!N210)</f>
        <v/>
      </c>
      <c r="O210" s="26" t="str">
        <f>IF([2]道具信息!O210="","",[2]道具信息!O210)</f>
        <v/>
      </c>
      <c r="P210" s="26" t="str">
        <f>IF([2]道具信息!P210="","",[2]道具信息!P210)</f>
        <v/>
      </c>
      <c r="Q210" s="26" t="str">
        <f>IF([2]道具信息!Q210="","",[2]道具信息!Q210)</f>
        <v/>
      </c>
    </row>
    <row r="211" spans="3:17" x14ac:dyDescent="0.15">
      <c r="C211" s="26" t="str">
        <f>IF([2]道具信息!C211="","",[2]道具信息!C211)</f>
        <v/>
      </c>
      <c r="D211" s="26" t="str">
        <f>IF([2]道具信息!D211="","",[2]道具信息!D211)</f>
        <v>紫色提纯券</v>
      </c>
      <c r="E211" s="26">
        <f>IF([2]道具信息!E211="","",[2]道具信息!E211)</f>
        <v>600</v>
      </c>
      <c r="F211" s="26">
        <f>IF([2]道具信息!F211="","",[2]道具信息!F211)</f>
        <v>1</v>
      </c>
      <c r="G211" s="26">
        <f>IF([2]道具信息!G211="","",[2]道具信息!G211)</f>
        <v>1</v>
      </c>
      <c r="H211" s="26">
        <f>IF([2]道具信息!H211="","",[2]道具信息!H211)</f>
        <v>1</v>
      </c>
      <c r="I211" s="26">
        <f>IF([2]道具信息!I211="","",[2]道具信息!I211)</f>
        <v>600</v>
      </c>
      <c r="J211" s="26">
        <f>IF([2]道具信息!J211="","",[2]道具信息!J211)</f>
        <v>600</v>
      </c>
      <c r="K211" s="26">
        <f>IF([2]道具信息!K211="","",[2]道具信息!K211)</f>
        <v>600</v>
      </c>
      <c r="L211" s="26" t="str">
        <f>IF([2]道具信息!L211="","",[2]道具信息!L211)</f>
        <v/>
      </c>
      <c r="M211" s="26" t="str">
        <f>IF([2]道具信息!M211="","",[2]道具信息!M211)</f>
        <v/>
      </c>
      <c r="N211" s="26" t="str">
        <f>IF([2]道具信息!N211="","",[2]道具信息!N211)</f>
        <v/>
      </c>
      <c r="O211" s="26" t="str">
        <f>IF([2]道具信息!O211="","",[2]道具信息!O211)</f>
        <v/>
      </c>
      <c r="P211" s="26" t="str">
        <f>IF([2]道具信息!P211="","",[2]道具信息!P211)</f>
        <v/>
      </c>
      <c r="Q211" s="26" t="str">
        <f>IF([2]道具信息!Q211="","",[2]道具信息!Q211)</f>
        <v/>
      </c>
    </row>
    <row r="212" spans="3:17" x14ac:dyDescent="0.15">
      <c r="C212" s="26" t="str">
        <f>IF([2]道具信息!C212="","",[2]道具信息!C212)</f>
        <v/>
      </c>
      <c r="D212" s="26" t="str">
        <f>IF([2]道具信息!D212="","",[2]道具信息!D212)</f>
        <v>橙色提纯券</v>
      </c>
      <c r="E212" s="26">
        <f>IF([2]道具信息!E212="","",[2]道具信息!E212)</f>
        <v>4000</v>
      </c>
      <c r="F212" s="26">
        <f>IF([2]道具信息!F212="","",[2]道具信息!F212)</f>
        <v>1</v>
      </c>
      <c r="G212" s="26">
        <f>IF([2]道具信息!G212="","",[2]道具信息!G212)</f>
        <v>1</v>
      </c>
      <c r="H212" s="26">
        <f>IF([2]道具信息!H212="","",[2]道具信息!H212)</f>
        <v>1</v>
      </c>
      <c r="I212" s="26">
        <f>IF([2]道具信息!I212="","",[2]道具信息!I212)</f>
        <v>4000</v>
      </c>
      <c r="J212" s="26">
        <f>IF([2]道具信息!J212="","",[2]道具信息!J212)</f>
        <v>4000</v>
      </c>
      <c r="K212" s="26">
        <f>IF([2]道具信息!K212="","",[2]道具信息!K212)</f>
        <v>4000</v>
      </c>
      <c r="L212" s="26" t="str">
        <f>IF([2]道具信息!L212="","",[2]道具信息!L212)</f>
        <v/>
      </c>
      <c r="M212" s="26" t="str">
        <f>IF([2]道具信息!M212="","",[2]道具信息!M212)</f>
        <v/>
      </c>
      <c r="N212" s="26" t="str">
        <f>IF([2]道具信息!N212="","",[2]道具信息!N212)</f>
        <v/>
      </c>
      <c r="O212" s="26" t="str">
        <f>IF([2]道具信息!O212="","",[2]道具信息!O212)</f>
        <v/>
      </c>
      <c r="P212" s="26" t="str">
        <f>IF([2]道具信息!P212="","",[2]道具信息!P212)</f>
        <v/>
      </c>
      <c r="Q212" s="26" t="str">
        <f>IF([2]道具信息!Q212="","",[2]道具信息!Q212)</f>
        <v/>
      </c>
    </row>
    <row r="213" spans="3:17" x14ac:dyDescent="0.15">
      <c r="C213" s="26" t="str">
        <f>IF([2]道具信息!C213="","",[2]道具信息!C213)</f>
        <v/>
      </c>
      <c r="D213" s="26" t="str">
        <f>IF([2]道具信息!D213="","",[2]道具信息!D213)</f>
        <v/>
      </c>
      <c r="E213" s="26" t="str">
        <f>IF([2]道具信息!E213="","",[2]道具信息!E213)</f>
        <v/>
      </c>
      <c r="F213" s="26" t="str">
        <f>IF([2]道具信息!F213="","",[2]道具信息!F213)</f>
        <v/>
      </c>
      <c r="G213" s="26" t="str">
        <f>IF([2]道具信息!G213="","",[2]道具信息!G213)</f>
        <v/>
      </c>
      <c r="H213" s="26" t="str">
        <f>IF([2]道具信息!H213="","",[2]道具信息!H213)</f>
        <v/>
      </c>
      <c r="I213" s="26" t="str">
        <f>IF([2]道具信息!I213="","",[2]道具信息!I213)</f>
        <v/>
      </c>
      <c r="J213" s="26" t="str">
        <f>IF([2]道具信息!J213="","",[2]道具信息!J213)</f>
        <v/>
      </c>
      <c r="K213" s="26" t="str">
        <f>IF([2]道具信息!K213="","",[2]道具信息!K213)</f>
        <v/>
      </c>
      <c r="L213" s="26" t="str">
        <f>IF([2]道具信息!L213="","",[2]道具信息!L213)</f>
        <v/>
      </c>
      <c r="M213" s="26" t="str">
        <f>IF([2]道具信息!M213="","",[2]道具信息!M213)</f>
        <v/>
      </c>
      <c r="N213" s="26" t="str">
        <f>IF([2]道具信息!N213="","",[2]道具信息!N213)</f>
        <v/>
      </c>
      <c r="O213" s="26" t="str">
        <f>IF([2]道具信息!O213="","",[2]道具信息!O213)</f>
        <v/>
      </c>
      <c r="P213" s="26" t="str">
        <f>IF([2]道具信息!P213="","",[2]道具信息!P213)</f>
        <v/>
      </c>
      <c r="Q213" s="26" t="str">
        <f>IF([2]道具信息!Q213="","",[2]道具信息!Q213)</f>
        <v/>
      </c>
    </row>
    <row r="214" spans="3:17" x14ac:dyDescent="0.15">
      <c r="C214" s="26" t="str">
        <f>IF([2]道具信息!C214="","",[2]道具信息!C214)</f>
        <v/>
      </c>
      <c r="D214" s="26" t="str">
        <f>IF([2]道具信息!D214="","",[2]道具信息!D214)</f>
        <v>星宫1分钟加速令</v>
      </c>
      <c r="E214" s="26">
        <f>IF([2]道具信息!E214="","",[2]道具信息!E214)</f>
        <v>2</v>
      </c>
      <c r="F214" s="26">
        <f>IF([2]道具信息!F214="","",[2]道具信息!F214)</f>
        <v>1</v>
      </c>
      <c r="G214" s="26">
        <f>IF([2]道具信息!G214="","",[2]道具信息!G214)</f>
        <v>1</v>
      </c>
      <c r="H214" s="26">
        <f>IF([2]道具信息!H214="","",[2]道具信息!H214)</f>
        <v>0.3</v>
      </c>
      <c r="I214" s="26">
        <f>IF([2]道具信息!I214="","",[2]道具信息!I214)</f>
        <v>2</v>
      </c>
      <c r="J214" s="26">
        <f>IF([2]道具信息!J214="","",[2]道具信息!J214)</f>
        <v>2</v>
      </c>
      <c r="K214" s="26">
        <f>IF([2]道具信息!K214="","",[2]道具信息!K214)</f>
        <v>0.6</v>
      </c>
      <c r="L214" s="26" t="str">
        <f>IF([2]道具信息!L214="","",[2]道具信息!L214)</f>
        <v>使用后星宫升阶加速1分钟</v>
      </c>
      <c r="M214" s="26" t="str">
        <f>IF([2]道具信息!M214="","",[2]道具信息!M214)</f>
        <v/>
      </c>
      <c r="N214" s="26" t="str">
        <f>IF([2]道具信息!N214="","",[2]道具信息!N214)</f>
        <v/>
      </c>
      <c r="O214" s="26" t="str">
        <f>IF([2]道具信息!O214="","",[2]道具信息!O214)</f>
        <v/>
      </c>
      <c r="P214" s="26" t="str">
        <f>IF([2]道具信息!P214="","",[2]道具信息!P214)</f>
        <v/>
      </c>
      <c r="Q214" s="26" t="str">
        <f>IF([2]道具信息!Q214="","",[2]道具信息!Q214)</f>
        <v/>
      </c>
    </row>
    <row r="215" spans="3:17" x14ac:dyDescent="0.15">
      <c r="C215" s="26" t="str">
        <f>IF([2]道具信息!C215="","",[2]道具信息!C215)</f>
        <v/>
      </c>
      <c r="D215" s="26" t="str">
        <f>IF([2]道具信息!D215="","",[2]道具信息!D215)</f>
        <v>星宫5分钟加速令</v>
      </c>
      <c r="E215" s="26">
        <f>IF([2]道具信息!E215="","",[2]道具信息!E215)</f>
        <v>8</v>
      </c>
      <c r="F215" s="26">
        <f>IF([2]道具信息!F215="","",[2]道具信息!F215)</f>
        <v>1</v>
      </c>
      <c r="G215" s="26">
        <f>IF([2]道具信息!G215="","",[2]道具信息!G215)</f>
        <v>1</v>
      </c>
      <c r="H215" s="26">
        <f>IF([2]道具信息!H215="","",[2]道具信息!H215)</f>
        <v>0.4</v>
      </c>
      <c r="I215" s="26">
        <f>IF([2]道具信息!I215="","",[2]道具信息!I215)</f>
        <v>8</v>
      </c>
      <c r="J215" s="26">
        <f>IF([2]道具信息!J215="","",[2]道具信息!J215)</f>
        <v>8</v>
      </c>
      <c r="K215" s="26">
        <f>IF([2]道具信息!K215="","",[2]道具信息!K215)</f>
        <v>3.2</v>
      </c>
      <c r="L215" s="26" t="str">
        <f>IF([2]道具信息!L215="","",[2]道具信息!L215)</f>
        <v>使用后星宫升阶加速5分钟</v>
      </c>
      <c r="M215" s="26" t="str">
        <f>IF([2]道具信息!M215="","",[2]道具信息!M215)</f>
        <v/>
      </c>
      <c r="N215" s="26" t="str">
        <f>IF([2]道具信息!N215="","",[2]道具信息!N215)</f>
        <v/>
      </c>
      <c r="O215" s="26" t="str">
        <f>IF([2]道具信息!O215="","",[2]道具信息!O215)</f>
        <v/>
      </c>
      <c r="P215" s="26" t="str">
        <f>IF([2]道具信息!P215="","",[2]道具信息!P215)</f>
        <v/>
      </c>
      <c r="Q215" s="26" t="str">
        <f>IF([2]道具信息!Q215="","",[2]道具信息!Q215)</f>
        <v/>
      </c>
    </row>
    <row r="216" spans="3:17" x14ac:dyDescent="0.15">
      <c r="C216" s="26" t="str">
        <f>IF([2]道具信息!C216="","",[2]道具信息!C216)</f>
        <v/>
      </c>
      <c r="D216" s="26" t="str">
        <f>IF([2]道具信息!D216="","",[2]道具信息!D216)</f>
        <v>星宫20分钟加速令</v>
      </c>
      <c r="E216" s="26">
        <f>IF([2]道具信息!E216="","",[2]道具信息!E216)</f>
        <v>20</v>
      </c>
      <c r="F216" s="26">
        <f>IF([2]道具信息!F216="","",[2]道具信息!F216)</f>
        <v>1</v>
      </c>
      <c r="G216" s="26">
        <f>IF([2]道具信息!G216="","",[2]道具信息!G216)</f>
        <v>1</v>
      </c>
      <c r="H216" s="26">
        <f>IF([2]道具信息!H216="","",[2]道具信息!H216)</f>
        <v>0.5</v>
      </c>
      <c r="I216" s="26">
        <f>IF([2]道具信息!I216="","",[2]道具信息!I216)</f>
        <v>20</v>
      </c>
      <c r="J216" s="26">
        <f>IF([2]道具信息!J216="","",[2]道具信息!J216)</f>
        <v>20</v>
      </c>
      <c r="K216" s="26">
        <f>IF([2]道具信息!K216="","",[2]道具信息!K216)</f>
        <v>10</v>
      </c>
      <c r="L216" s="26" t="str">
        <f>IF([2]道具信息!L216="","",[2]道具信息!L216)</f>
        <v>使用后星宫升阶加速20分钟</v>
      </c>
      <c r="M216" s="26" t="str">
        <f>IF([2]道具信息!M216="","",[2]道具信息!M216)</f>
        <v/>
      </c>
      <c r="N216" s="26" t="str">
        <f>IF([2]道具信息!N216="","",[2]道具信息!N216)</f>
        <v/>
      </c>
      <c r="O216" s="26" t="str">
        <f>IF([2]道具信息!O216="","",[2]道具信息!O216)</f>
        <v/>
      </c>
      <c r="P216" s="26" t="str">
        <f>IF([2]道具信息!P216="","",[2]道具信息!P216)</f>
        <v/>
      </c>
      <c r="Q216" s="26" t="str">
        <f>IF([2]道具信息!Q216="","",[2]道具信息!Q216)</f>
        <v/>
      </c>
    </row>
    <row r="217" spans="3:17" x14ac:dyDescent="0.15">
      <c r="C217" s="26" t="str">
        <f>IF([2]道具信息!C217="","",[2]道具信息!C217)</f>
        <v/>
      </c>
      <c r="D217" s="26" t="str">
        <f>IF([2]道具信息!D217="","",[2]道具信息!D217)</f>
        <v>星宫1小时加速令</v>
      </c>
      <c r="E217" s="26">
        <f>IF([2]道具信息!E217="","",[2]道具信息!E217)</f>
        <v>50</v>
      </c>
      <c r="F217" s="26">
        <f>IF([2]道具信息!F217="","",[2]道具信息!F217)</f>
        <v>1.2</v>
      </c>
      <c r="G217" s="26">
        <f>IF([2]道具信息!G217="","",[2]道具信息!G217)</f>
        <v>1</v>
      </c>
      <c r="H217" s="26">
        <f>IF([2]道具信息!H217="","",[2]道具信息!H217)</f>
        <v>0.6</v>
      </c>
      <c r="I217" s="26">
        <f>IF([2]道具信息!I217="","",[2]道具信息!I217)</f>
        <v>60</v>
      </c>
      <c r="J217" s="26">
        <f>IF([2]道具信息!J217="","",[2]道具信息!J217)</f>
        <v>50</v>
      </c>
      <c r="K217" s="26">
        <f>IF([2]道具信息!K217="","",[2]道具信息!K217)</f>
        <v>30</v>
      </c>
      <c r="L217" s="26" t="str">
        <f>IF([2]道具信息!L217="","",[2]道具信息!L217)</f>
        <v>使用后星宫升阶加速1小时</v>
      </c>
      <c r="M217" s="26" t="str">
        <f>IF([2]道具信息!M217="","",[2]道具信息!M217)</f>
        <v/>
      </c>
      <c r="N217" s="26" t="str">
        <f>IF([2]道具信息!N217="","",[2]道具信息!N217)</f>
        <v/>
      </c>
      <c r="O217" s="26" t="str">
        <f>IF([2]道具信息!O217="","",[2]道具信息!O217)</f>
        <v/>
      </c>
      <c r="P217" s="26" t="str">
        <f>IF([2]道具信息!P217="","",[2]道具信息!P217)</f>
        <v/>
      </c>
      <c r="Q217" s="26" t="str">
        <f>IF([2]道具信息!Q217="","",[2]道具信息!Q217)</f>
        <v/>
      </c>
    </row>
    <row r="218" spans="3:17" x14ac:dyDescent="0.15">
      <c r="C218" s="26" t="str">
        <f>IF([2]道具信息!C218="","",[2]道具信息!C218)</f>
        <v/>
      </c>
      <c r="D218" s="26" t="str">
        <f>IF([2]道具信息!D218="","",[2]道具信息!D218)</f>
        <v>星宫3小时加速令</v>
      </c>
      <c r="E218" s="26">
        <f>IF([2]道具信息!E218="","",[2]道具信息!E218)</f>
        <v>100</v>
      </c>
      <c r="F218" s="26">
        <f>IF([2]道具信息!F218="","",[2]道具信息!F218)</f>
        <v>1.8</v>
      </c>
      <c r="G218" s="26">
        <f>IF([2]道具信息!G218="","",[2]道具信息!G218)</f>
        <v>1</v>
      </c>
      <c r="H218" s="26">
        <f>IF([2]道具信息!H218="","",[2]道具信息!H218)</f>
        <v>0.8</v>
      </c>
      <c r="I218" s="26">
        <f>IF([2]道具信息!I218="","",[2]道具信息!I218)</f>
        <v>180</v>
      </c>
      <c r="J218" s="26">
        <f>IF([2]道具信息!J218="","",[2]道具信息!J218)</f>
        <v>100</v>
      </c>
      <c r="K218" s="26">
        <f>IF([2]道具信息!K218="","",[2]道具信息!K218)</f>
        <v>80</v>
      </c>
      <c r="L218" s="26" t="str">
        <f>IF([2]道具信息!L218="","",[2]道具信息!L218)</f>
        <v>使用后星宫升阶加速3小时</v>
      </c>
      <c r="M218" s="26" t="str">
        <f>IF([2]道具信息!M218="","",[2]道具信息!M218)</f>
        <v/>
      </c>
      <c r="N218" s="26" t="str">
        <f>IF([2]道具信息!N218="","",[2]道具信息!N218)</f>
        <v/>
      </c>
      <c r="O218" s="26" t="str">
        <f>IF([2]道具信息!O218="","",[2]道具信息!O218)</f>
        <v/>
      </c>
      <c r="P218" s="26" t="str">
        <f>IF([2]道具信息!P218="","",[2]道具信息!P218)</f>
        <v/>
      </c>
      <c r="Q218" s="26" t="str">
        <f>IF([2]道具信息!Q218="","",[2]道具信息!Q218)</f>
        <v/>
      </c>
    </row>
    <row r="219" spans="3:17" x14ac:dyDescent="0.15">
      <c r="C219" s="26" t="str">
        <f>IF([2]道具信息!C219="","",[2]道具信息!C219)</f>
        <v/>
      </c>
      <c r="D219" s="26" t="str">
        <f>IF([2]道具信息!D219="","",[2]道具信息!D219)</f>
        <v>星宫8小时加速令</v>
      </c>
      <c r="E219" s="26">
        <f>IF([2]道具信息!E219="","",[2]道具信息!E219)</f>
        <v>160</v>
      </c>
      <c r="F219" s="26">
        <f>IF([2]道具信息!F219="","",[2]道具信息!F219)</f>
        <v>3</v>
      </c>
      <c r="G219" s="26">
        <f>IF([2]道具信息!G219="","",[2]道具信息!G219)</f>
        <v>1</v>
      </c>
      <c r="H219" s="26">
        <f>IF([2]道具信息!H219="","",[2]道具信息!H219)</f>
        <v>1</v>
      </c>
      <c r="I219" s="26">
        <f>IF([2]道具信息!I219="","",[2]道具信息!I219)</f>
        <v>480</v>
      </c>
      <c r="J219" s="26">
        <f>IF([2]道具信息!J219="","",[2]道具信息!J219)</f>
        <v>160</v>
      </c>
      <c r="K219" s="26">
        <f>IF([2]道具信息!K219="","",[2]道具信息!K219)</f>
        <v>160</v>
      </c>
      <c r="L219" s="26" t="str">
        <f>IF([2]道具信息!L219="","",[2]道具信息!L219)</f>
        <v>使用后星宫升阶加速8小时</v>
      </c>
      <c r="M219" s="26" t="str">
        <f>IF([2]道具信息!M219="","",[2]道具信息!M219)</f>
        <v/>
      </c>
      <c r="N219" s="26" t="str">
        <f>IF([2]道具信息!N219="","",[2]道具信息!N219)</f>
        <v/>
      </c>
      <c r="O219" s="26" t="str">
        <f>IF([2]道具信息!O219="","",[2]道具信息!O219)</f>
        <v/>
      </c>
      <c r="P219" s="26" t="str">
        <f>IF([2]道具信息!P219="","",[2]道具信息!P219)</f>
        <v/>
      </c>
      <c r="Q219" s="26" t="str">
        <f>IF([2]道具信息!Q219="","",[2]道具信息!Q219)</f>
        <v/>
      </c>
    </row>
    <row r="220" spans="3:17" x14ac:dyDescent="0.15">
      <c r="C220" s="26" t="str">
        <f>IF([2]道具信息!C220="","",[2]道具信息!C220)</f>
        <v/>
      </c>
      <c r="D220" s="26" t="str">
        <f>IF([2]道具信息!D220="","",[2]道具信息!D220)</f>
        <v/>
      </c>
      <c r="E220" s="26" t="str">
        <f>IF([2]道具信息!E220="","",[2]道具信息!E220)</f>
        <v/>
      </c>
      <c r="F220" s="26" t="str">
        <f>IF([2]道具信息!F220="","",[2]道具信息!F220)</f>
        <v/>
      </c>
      <c r="G220" s="26" t="str">
        <f>IF([2]道具信息!G220="","",[2]道具信息!G220)</f>
        <v/>
      </c>
      <c r="H220" s="26" t="str">
        <f>IF([2]道具信息!H220="","",[2]道具信息!H220)</f>
        <v/>
      </c>
      <c r="I220" s="26" t="str">
        <f>IF([2]道具信息!I220="","",[2]道具信息!I220)</f>
        <v/>
      </c>
      <c r="J220" s="26" t="str">
        <f>IF([2]道具信息!J220="","",[2]道具信息!J220)</f>
        <v/>
      </c>
      <c r="K220" s="26" t="str">
        <f>IF([2]道具信息!K220="","",[2]道具信息!K220)</f>
        <v/>
      </c>
      <c r="L220" s="26" t="str">
        <f>IF([2]道具信息!L220="","",[2]道具信息!L220)</f>
        <v/>
      </c>
      <c r="M220" s="26" t="str">
        <f>IF([2]道具信息!M220="","",[2]道具信息!M220)</f>
        <v/>
      </c>
      <c r="N220" s="26" t="str">
        <f>IF([2]道具信息!N220="","",[2]道具信息!N220)</f>
        <v/>
      </c>
      <c r="O220" s="26" t="str">
        <f>IF([2]道具信息!O220="","",[2]道具信息!O220)</f>
        <v/>
      </c>
      <c r="P220" s="26" t="str">
        <f>IF([2]道具信息!P220="","",[2]道具信息!P220)</f>
        <v/>
      </c>
      <c r="Q220" s="26" t="str">
        <f>IF([2]道具信息!Q220="","",[2]道具信息!Q220)</f>
        <v/>
      </c>
    </row>
    <row r="221" spans="3:17" x14ac:dyDescent="0.15">
      <c r="C221" s="26">
        <f>IF([2]道具信息!C221="","",[2]道具信息!C221)</f>
        <v>21001</v>
      </c>
      <c r="D221" s="26" t="str">
        <f>IF([2]道具信息!D221="","",[2]道具信息!D221)</f>
        <v>一担粮食</v>
      </c>
      <c r="E221" s="26">
        <f>IF([2]道具信息!E221="","",[2]道具信息!E221)</f>
        <v>6</v>
      </c>
      <c r="F221" s="26">
        <f>IF([2]道具信息!F221="","",[2]道具信息!F221)</f>
        <v>1</v>
      </c>
      <c r="G221" s="26">
        <f>IF([2]道具信息!G221="","",[2]道具信息!G221)</f>
        <v>1</v>
      </c>
      <c r="H221" s="26">
        <f>IF([2]道具信息!H221="","",[2]道具信息!H221)</f>
        <v>0.3</v>
      </c>
      <c r="I221" s="26">
        <f>IF([2]道具信息!I221="","",[2]道具信息!I221)</f>
        <v>6</v>
      </c>
      <c r="J221" s="26">
        <f>IF([2]道具信息!J221="","",[2]道具信息!J221)</f>
        <v>6</v>
      </c>
      <c r="K221" s="26">
        <f>IF([2]道具信息!K221="","",[2]道具信息!K221)</f>
        <v>1.7999999999999998</v>
      </c>
      <c r="L221" s="26" t="str">
        <f>IF([2]道具信息!L221="","",[2]道具信息!L221)</f>
        <v>使用后获得10000安全粮食</v>
      </c>
      <c r="M221" s="26" t="str">
        <f>IF([2]道具信息!M221="","",[2]道具信息!M221)</f>
        <v/>
      </c>
      <c r="N221" s="26" t="str">
        <f>IF([2]道具信息!N221="","",[2]道具信息!N221)</f>
        <v/>
      </c>
      <c r="O221" s="26" t="str">
        <f>IF([2]道具信息!O221="","",[2]道具信息!O221)</f>
        <v/>
      </c>
      <c r="P221" s="26" t="str">
        <f>IF([2]道具信息!P221="","",[2]道具信息!P221)</f>
        <v/>
      </c>
      <c r="Q221" s="26" t="str">
        <f>IF([2]道具信息!Q221="","",[2]道具信息!Q221)</f>
        <v/>
      </c>
    </row>
    <row r="222" spans="3:17" x14ac:dyDescent="0.15">
      <c r="C222" s="26">
        <f>IF([2]道具信息!C222="","",[2]道具信息!C222)</f>
        <v>21002</v>
      </c>
      <c r="D222" s="26" t="str">
        <f>IF([2]道具信息!D222="","",[2]道具信息!D222)</f>
        <v>一堆粮食</v>
      </c>
      <c r="E222" s="26">
        <f>IF([2]道具信息!E222="","",[2]道具信息!E222)</f>
        <v>20</v>
      </c>
      <c r="F222" s="26">
        <f>IF([2]道具信息!F222="","",[2]道具信息!F222)</f>
        <v>1</v>
      </c>
      <c r="G222" s="26">
        <f>IF([2]道具信息!G222="","",[2]道具信息!G222)</f>
        <v>1</v>
      </c>
      <c r="H222" s="26">
        <f>IF([2]道具信息!H222="","",[2]道具信息!H222)</f>
        <v>0.3</v>
      </c>
      <c r="I222" s="26">
        <f>IF([2]道具信息!I222="","",[2]道具信息!I222)</f>
        <v>20</v>
      </c>
      <c r="J222" s="26">
        <f>IF([2]道具信息!J222="","",[2]道具信息!J222)</f>
        <v>20</v>
      </c>
      <c r="K222" s="26">
        <f>IF([2]道具信息!K222="","",[2]道具信息!K222)</f>
        <v>6</v>
      </c>
      <c r="L222" s="26" t="str">
        <f>IF([2]道具信息!L222="","",[2]道具信息!L222)</f>
        <v>使用后获得50000安全粮食</v>
      </c>
      <c r="M222" s="26" t="str">
        <f>IF([2]道具信息!M222="","",[2]道具信息!M222)</f>
        <v/>
      </c>
      <c r="N222" s="26" t="str">
        <f>IF([2]道具信息!N222="","",[2]道具信息!N222)</f>
        <v/>
      </c>
      <c r="O222" s="26" t="str">
        <f>IF([2]道具信息!O222="","",[2]道具信息!O222)</f>
        <v/>
      </c>
      <c r="P222" s="26" t="str">
        <f>IF([2]道具信息!P222="","",[2]道具信息!P222)</f>
        <v/>
      </c>
      <c r="Q222" s="26" t="str">
        <f>IF([2]道具信息!Q222="","",[2]道具信息!Q222)</f>
        <v/>
      </c>
    </row>
    <row r="223" spans="3:17" x14ac:dyDescent="0.15">
      <c r="C223" s="26">
        <f>IF([2]道具信息!C223="","",[2]道具信息!C223)</f>
        <v>21003</v>
      </c>
      <c r="D223" s="26" t="str">
        <f>IF([2]道具信息!D223="","",[2]道具信息!D223)</f>
        <v>一箱粮食</v>
      </c>
      <c r="E223" s="26">
        <f>IF([2]道具信息!E223="","",[2]道具信息!E223)</f>
        <v>45</v>
      </c>
      <c r="F223" s="26">
        <f>IF([2]道具信息!F223="","",[2]道具信息!F223)</f>
        <v>1.333</v>
      </c>
      <c r="G223" s="26">
        <f>IF([2]道具信息!G223="","",[2]道具信息!G223)</f>
        <v>1</v>
      </c>
      <c r="H223" s="26">
        <f>IF([2]道具信息!H223="","",[2]道具信息!H223)</f>
        <v>0.3</v>
      </c>
      <c r="I223" s="26">
        <f>IF([2]道具信息!I223="","",[2]道具信息!I223)</f>
        <v>59.984999999999999</v>
      </c>
      <c r="J223" s="26">
        <f>IF([2]道具信息!J223="","",[2]道具信息!J223)</f>
        <v>45</v>
      </c>
      <c r="K223" s="26">
        <f>IF([2]道具信息!K223="","",[2]道具信息!K223)</f>
        <v>13.5</v>
      </c>
      <c r="L223" s="26" t="str">
        <f>IF([2]道具信息!L223="","",[2]道具信息!L223)</f>
        <v>使用后获得150000安全粮食</v>
      </c>
      <c r="M223" s="26" t="str">
        <f>IF([2]道具信息!M223="","",[2]道具信息!M223)</f>
        <v/>
      </c>
      <c r="N223" s="26" t="str">
        <f>IF([2]道具信息!N223="","",[2]道具信息!N223)</f>
        <v/>
      </c>
      <c r="O223" s="26" t="str">
        <f>IF([2]道具信息!O223="","",[2]道具信息!O223)</f>
        <v/>
      </c>
      <c r="P223" s="26" t="str">
        <f>IF([2]道具信息!P223="","",[2]道具信息!P223)</f>
        <v/>
      </c>
      <c r="Q223" s="26" t="str">
        <f>IF([2]道具信息!Q223="","",[2]道具信息!Q223)</f>
        <v/>
      </c>
    </row>
    <row r="224" spans="3:17" x14ac:dyDescent="0.15">
      <c r="C224" s="26">
        <f>IF([2]道具信息!C224="","",[2]道具信息!C224)</f>
        <v>21004</v>
      </c>
      <c r="D224" s="26" t="str">
        <f>IF([2]道具信息!D224="","",[2]道具信息!D224)</f>
        <v>一车粮食</v>
      </c>
      <c r="E224" s="26">
        <f>IF([2]道具信息!E224="","",[2]道具信息!E224)</f>
        <v>100</v>
      </c>
      <c r="F224" s="26">
        <f>IF([2]道具信息!F224="","",[2]道具信息!F224)</f>
        <v>2</v>
      </c>
      <c r="G224" s="26">
        <f>IF([2]道具信息!G224="","",[2]道具信息!G224)</f>
        <v>1</v>
      </c>
      <c r="H224" s="26">
        <f>IF([2]道具信息!H224="","",[2]道具信息!H224)</f>
        <v>0.3</v>
      </c>
      <c r="I224" s="26">
        <f>IF([2]道具信息!I224="","",[2]道具信息!I224)</f>
        <v>200</v>
      </c>
      <c r="J224" s="26">
        <f>IF([2]道具信息!J224="","",[2]道具信息!J224)</f>
        <v>100</v>
      </c>
      <c r="K224" s="26">
        <f>IF([2]道具信息!K224="","",[2]道具信息!K224)</f>
        <v>30</v>
      </c>
      <c r="L224" s="26" t="str">
        <f>IF([2]道具信息!L224="","",[2]道具信息!L224)</f>
        <v>使用后获得500000安全粮食</v>
      </c>
      <c r="M224" s="26" t="str">
        <f>IF([2]道具信息!M224="","",[2]道具信息!M224)</f>
        <v/>
      </c>
      <c r="N224" s="26" t="str">
        <f>IF([2]道具信息!N224="","",[2]道具信息!N224)</f>
        <v/>
      </c>
      <c r="O224" s="26" t="str">
        <f>IF([2]道具信息!O224="","",[2]道具信息!O224)</f>
        <v/>
      </c>
      <c r="P224" s="26" t="str">
        <f>IF([2]道具信息!P224="","",[2]道具信息!P224)</f>
        <v/>
      </c>
      <c r="Q224" s="26" t="str">
        <f>IF([2]道具信息!Q224="","",[2]道具信息!Q224)</f>
        <v/>
      </c>
    </row>
    <row r="225" spans="3:17" x14ac:dyDescent="0.15">
      <c r="C225" s="26">
        <f>IF([2]道具信息!C225="","",[2]道具信息!C225)</f>
        <v>21005</v>
      </c>
      <c r="D225" s="26" t="str">
        <f>IF([2]道具信息!D225="","",[2]道具信息!D225)</f>
        <v>一担木材</v>
      </c>
      <c r="E225" s="26">
        <f>IF([2]道具信息!E225="","",[2]道具信息!E225)</f>
        <v>6</v>
      </c>
      <c r="F225" s="26">
        <f>IF([2]道具信息!F225="","",[2]道具信息!F225)</f>
        <v>1</v>
      </c>
      <c r="G225" s="26">
        <f>IF([2]道具信息!G225="","",[2]道具信息!G225)</f>
        <v>1</v>
      </c>
      <c r="H225" s="26">
        <f>IF([2]道具信息!H225="","",[2]道具信息!H225)</f>
        <v>0.3</v>
      </c>
      <c r="I225" s="26">
        <f>IF([2]道具信息!I225="","",[2]道具信息!I225)</f>
        <v>6</v>
      </c>
      <c r="J225" s="26">
        <f>IF([2]道具信息!J225="","",[2]道具信息!J225)</f>
        <v>6</v>
      </c>
      <c r="K225" s="26">
        <f>IF([2]道具信息!K225="","",[2]道具信息!K225)</f>
        <v>1.7999999999999998</v>
      </c>
      <c r="L225" s="26" t="str">
        <f>IF([2]道具信息!L225="","",[2]道具信息!L225)</f>
        <v>使用后获得10000安全木材</v>
      </c>
      <c r="M225" s="26" t="str">
        <f>IF([2]道具信息!M225="","",[2]道具信息!M225)</f>
        <v/>
      </c>
      <c r="N225" s="26" t="str">
        <f>IF([2]道具信息!N225="","",[2]道具信息!N225)</f>
        <v/>
      </c>
      <c r="O225" s="26" t="str">
        <f>IF([2]道具信息!O225="","",[2]道具信息!O225)</f>
        <v/>
      </c>
      <c r="P225" s="26" t="str">
        <f>IF([2]道具信息!P225="","",[2]道具信息!P225)</f>
        <v/>
      </c>
      <c r="Q225" s="26" t="str">
        <f>IF([2]道具信息!Q225="","",[2]道具信息!Q225)</f>
        <v/>
      </c>
    </row>
    <row r="226" spans="3:17" x14ac:dyDescent="0.15">
      <c r="C226" s="26">
        <f>IF([2]道具信息!C226="","",[2]道具信息!C226)</f>
        <v>21006</v>
      </c>
      <c r="D226" s="26" t="str">
        <f>IF([2]道具信息!D226="","",[2]道具信息!D226)</f>
        <v>一堆木材</v>
      </c>
      <c r="E226" s="26">
        <f>IF([2]道具信息!E226="","",[2]道具信息!E226)</f>
        <v>20</v>
      </c>
      <c r="F226" s="26">
        <f>IF([2]道具信息!F226="","",[2]道具信息!F226)</f>
        <v>1</v>
      </c>
      <c r="G226" s="26">
        <f>IF([2]道具信息!G226="","",[2]道具信息!G226)</f>
        <v>1</v>
      </c>
      <c r="H226" s="26">
        <f>IF([2]道具信息!H226="","",[2]道具信息!H226)</f>
        <v>0.3</v>
      </c>
      <c r="I226" s="26">
        <f>IF([2]道具信息!I226="","",[2]道具信息!I226)</f>
        <v>20</v>
      </c>
      <c r="J226" s="26">
        <f>IF([2]道具信息!J226="","",[2]道具信息!J226)</f>
        <v>20</v>
      </c>
      <c r="K226" s="26">
        <f>IF([2]道具信息!K226="","",[2]道具信息!K226)</f>
        <v>6</v>
      </c>
      <c r="L226" s="26" t="str">
        <f>IF([2]道具信息!L226="","",[2]道具信息!L226)</f>
        <v>使用后获得50000安全木材</v>
      </c>
      <c r="M226" s="26" t="str">
        <f>IF([2]道具信息!M226="","",[2]道具信息!M226)</f>
        <v/>
      </c>
      <c r="N226" s="26" t="str">
        <f>IF([2]道具信息!N226="","",[2]道具信息!N226)</f>
        <v/>
      </c>
      <c r="O226" s="26" t="str">
        <f>IF([2]道具信息!O226="","",[2]道具信息!O226)</f>
        <v/>
      </c>
      <c r="P226" s="26" t="str">
        <f>IF([2]道具信息!P226="","",[2]道具信息!P226)</f>
        <v/>
      </c>
      <c r="Q226" s="26" t="str">
        <f>IF([2]道具信息!Q226="","",[2]道具信息!Q226)</f>
        <v/>
      </c>
    </row>
    <row r="227" spans="3:17" x14ac:dyDescent="0.15">
      <c r="C227" s="26">
        <f>IF([2]道具信息!C227="","",[2]道具信息!C227)</f>
        <v>21007</v>
      </c>
      <c r="D227" s="26" t="str">
        <f>IF([2]道具信息!D227="","",[2]道具信息!D227)</f>
        <v>一箱木材</v>
      </c>
      <c r="E227" s="26">
        <f>IF([2]道具信息!E227="","",[2]道具信息!E227)</f>
        <v>45</v>
      </c>
      <c r="F227" s="26">
        <f>IF([2]道具信息!F227="","",[2]道具信息!F227)</f>
        <v>1.333</v>
      </c>
      <c r="G227" s="26">
        <f>IF([2]道具信息!G227="","",[2]道具信息!G227)</f>
        <v>1</v>
      </c>
      <c r="H227" s="26">
        <f>IF([2]道具信息!H227="","",[2]道具信息!H227)</f>
        <v>0.3</v>
      </c>
      <c r="I227" s="26">
        <f>IF([2]道具信息!I227="","",[2]道具信息!I227)</f>
        <v>59.984999999999999</v>
      </c>
      <c r="J227" s="26">
        <f>IF([2]道具信息!J227="","",[2]道具信息!J227)</f>
        <v>45</v>
      </c>
      <c r="K227" s="26">
        <f>IF([2]道具信息!K227="","",[2]道具信息!K227)</f>
        <v>13.5</v>
      </c>
      <c r="L227" s="26" t="str">
        <f>IF([2]道具信息!L227="","",[2]道具信息!L227)</f>
        <v>使用后获得150000安全木材</v>
      </c>
      <c r="M227" s="26" t="str">
        <f>IF([2]道具信息!M227="","",[2]道具信息!M227)</f>
        <v/>
      </c>
      <c r="N227" s="26" t="str">
        <f>IF([2]道具信息!N227="","",[2]道具信息!N227)</f>
        <v/>
      </c>
      <c r="O227" s="26" t="str">
        <f>IF([2]道具信息!O227="","",[2]道具信息!O227)</f>
        <v/>
      </c>
      <c r="P227" s="26" t="str">
        <f>IF([2]道具信息!P227="","",[2]道具信息!P227)</f>
        <v/>
      </c>
      <c r="Q227" s="26" t="str">
        <f>IF([2]道具信息!Q227="","",[2]道具信息!Q227)</f>
        <v/>
      </c>
    </row>
    <row r="228" spans="3:17" x14ac:dyDescent="0.15">
      <c r="C228" s="26">
        <f>IF([2]道具信息!C228="","",[2]道具信息!C228)</f>
        <v>21008</v>
      </c>
      <c r="D228" s="26" t="str">
        <f>IF([2]道具信息!D228="","",[2]道具信息!D228)</f>
        <v>一车木材</v>
      </c>
      <c r="E228" s="26">
        <f>IF([2]道具信息!E228="","",[2]道具信息!E228)</f>
        <v>100</v>
      </c>
      <c r="F228" s="26">
        <f>IF([2]道具信息!F228="","",[2]道具信息!F228)</f>
        <v>2</v>
      </c>
      <c r="G228" s="26">
        <f>IF([2]道具信息!G228="","",[2]道具信息!G228)</f>
        <v>1</v>
      </c>
      <c r="H228" s="26">
        <f>IF([2]道具信息!H228="","",[2]道具信息!H228)</f>
        <v>0.3</v>
      </c>
      <c r="I228" s="26">
        <f>IF([2]道具信息!I228="","",[2]道具信息!I228)</f>
        <v>200</v>
      </c>
      <c r="J228" s="26">
        <f>IF([2]道具信息!J228="","",[2]道具信息!J228)</f>
        <v>100</v>
      </c>
      <c r="K228" s="26">
        <f>IF([2]道具信息!K228="","",[2]道具信息!K228)</f>
        <v>30</v>
      </c>
      <c r="L228" s="26" t="str">
        <f>IF([2]道具信息!L228="","",[2]道具信息!L228)</f>
        <v>使用后获得500000安全木材</v>
      </c>
      <c r="M228" s="26" t="str">
        <f>IF([2]道具信息!M228="","",[2]道具信息!M228)</f>
        <v/>
      </c>
      <c r="N228" s="26" t="str">
        <f>IF([2]道具信息!N228="","",[2]道具信息!N228)</f>
        <v/>
      </c>
      <c r="O228" s="26" t="str">
        <f>IF([2]道具信息!O228="","",[2]道具信息!O228)</f>
        <v/>
      </c>
      <c r="P228" s="26" t="str">
        <f>IF([2]道具信息!P228="","",[2]道具信息!P228)</f>
        <v/>
      </c>
      <c r="Q228" s="26" t="str">
        <f>IF([2]道具信息!Q228="","",[2]道具信息!Q228)</f>
        <v/>
      </c>
    </row>
    <row r="229" spans="3:17" x14ac:dyDescent="0.15">
      <c r="C229" s="26">
        <f>IF([2]道具信息!C229="","",[2]道具信息!C229)</f>
        <v>21009</v>
      </c>
      <c r="D229" s="26" t="str">
        <f>IF([2]道具信息!D229="","",[2]道具信息!D229)</f>
        <v>一担石料</v>
      </c>
      <c r="E229" s="26">
        <f>IF([2]道具信息!E229="","",[2]道具信息!E229)</f>
        <v>6</v>
      </c>
      <c r="F229" s="26">
        <f>IF([2]道具信息!F229="","",[2]道具信息!F229)</f>
        <v>1</v>
      </c>
      <c r="G229" s="26">
        <f>IF([2]道具信息!G229="","",[2]道具信息!G229)</f>
        <v>1</v>
      </c>
      <c r="H229" s="26">
        <f>IF([2]道具信息!H229="","",[2]道具信息!H229)</f>
        <v>0.3</v>
      </c>
      <c r="I229" s="26">
        <f>IF([2]道具信息!I229="","",[2]道具信息!I229)</f>
        <v>6</v>
      </c>
      <c r="J229" s="26">
        <f>IF([2]道具信息!J229="","",[2]道具信息!J229)</f>
        <v>6</v>
      </c>
      <c r="K229" s="26">
        <f>IF([2]道具信息!K229="","",[2]道具信息!K229)</f>
        <v>1.7999999999999998</v>
      </c>
      <c r="L229" s="26" t="str">
        <f>IF([2]道具信息!L229="","",[2]道具信息!L229)</f>
        <v>使用后获得10000安全石料</v>
      </c>
      <c r="M229" s="26" t="str">
        <f>IF([2]道具信息!M229="","",[2]道具信息!M229)</f>
        <v/>
      </c>
      <c r="N229" s="26" t="str">
        <f>IF([2]道具信息!N229="","",[2]道具信息!N229)</f>
        <v/>
      </c>
      <c r="O229" s="26" t="str">
        <f>IF([2]道具信息!O229="","",[2]道具信息!O229)</f>
        <v/>
      </c>
      <c r="P229" s="26" t="str">
        <f>IF([2]道具信息!P229="","",[2]道具信息!P229)</f>
        <v/>
      </c>
      <c r="Q229" s="26" t="str">
        <f>IF([2]道具信息!Q229="","",[2]道具信息!Q229)</f>
        <v/>
      </c>
    </row>
    <row r="230" spans="3:17" x14ac:dyDescent="0.15">
      <c r="C230" s="26">
        <f>IF([2]道具信息!C230="","",[2]道具信息!C230)</f>
        <v>21010</v>
      </c>
      <c r="D230" s="26" t="str">
        <f>IF([2]道具信息!D230="","",[2]道具信息!D230)</f>
        <v>一堆石料</v>
      </c>
      <c r="E230" s="26">
        <f>IF([2]道具信息!E230="","",[2]道具信息!E230)</f>
        <v>20</v>
      </c>
      <c r="F230" s="26">
        <f>IF([2]道具信息!F230="","",[2]道具信息!F230)</f>
        <v>1</v>
      </c>
      <c r="G230" s="26">
        <f>IF([2]道具信息!G230="","",[2]道具信息!G230)</f>
        <v>1</v>
      </c>
      <c r="H230" s="26">
        <f>IF([2]道具信息!H230="","",[2]道具信息!H230)</f>
        <v>0.3</v>
      </c>
      <c r="I230" s="26">
        <f>IF([2]道具信息!I230="","",[2]道具信息!I230)</f>
        <v>20</v>
      </c>
      <c r="J230" s="26">
        <f>IF([2]道具信息!J230="","",[2]道具信息!J230)</f>
        <v>20</v>
      </c>
      <c r="K230" s="26">
        <f>IF([2]道具信息!K230="","",[2]道具信息!K230)</f>
        <v>6</v>
      </c>
      <c r="L230" s="26" t="str">
        <f>IF([2]道具信息!L230="","",[2]道具信息!L230)</f>
        <v>使用后获得50000安全石料</v>
      </c>
      <c r="M230" s="26" t="str">
        <f>IF([2]道具信息!M230="","",[2]道具信息!M230)</f>
        <v/>
      </c>
      <c r="N230" s="26" t="str">
        <f>IF([2]道具信息!N230="","",[2]道具信息!N230)</f>
        <v/>
      </c>
      <c r="O230" s="26" t="str">
        <f>IF([2]道具信息!O230="","",[2]道具信息!O230)</f>
        <v/>
      </c>
      <c r="P230" s="26" t="str">
        <f>IF([2]道具信息!P230="","",[2]道具信息!P230)</f>
        <v/>
      </c>
      <c r="Q230" s="26" t="str">
        <f>IF([2]道具信息!Q230="","",[2]道具信息!Q230)</f>
        <v/>
      </c>
    </row>
    <row r="231" spans="3:17" x14ac:dyDescent="0.15">
      <c r="C231" s="26">
        <f>IF([2]道具信息!C231="","",[2]道具信息!C231)</f>
        <v>21011</v>
      </c>
      <c r="D231" s="26" t="str">
        <f>IF([2]道具信息!D231="","",[2]道具信息!D231)</f>
        <v>一箱石料</v>
      </c>
      <c r="E231" s="26">
        <f>IF([2]道具信息!E231="","",[2]道具信息!E231)</f>
        <v>45</v>
      </c>
      <c r="F231" s="26">
        <f>IF([2]道具信息!F231="","",[2]道具信息!F231)</f>
        <v>1.333</v>
      </c>
      <c r="G231" s="26">
        <f>IF([2]道具信息!G231="","",[2]道具信息!G231)</f>
        <v>1</v>
      </c>
      <c r="H231" s="26">
        <f>IF([2]道具信息!H231="","",[2]道具信息!H231)</f>
        <v>0.3</v>
      </c>
      <c r="I231" s="26">
        <f>IF([2]道具信息!I231="","",[2]道具信息!I231)</f>
        <v>59.984999999999999</v>
      </c>
      <c r="J231" s="26">
        <f>IF([2]道具信息!J231="","",[2]道具信息!J231)</f>
        <v>45</v>
      </c>
      <c r="K231" s="26">
        <f>IF([2]道具信息!K231="","",[2]道具信息!K231)</f>
        <v>13.5</v>
      </c>
      <c r="L231" s="26" t="str">
        <f>IF([2]道具信息!L231="","",[2]道具信息!L231)</f>
        <v>使用后获得150000安全石料</v>
      </c>
      <c r="M231" s="26" t="str">
        <f>IF([2]道具信息!M231="","",[2]道具信息!M231)</f>
        <v/>
      </c>
      <c r="N231" s="26" t="str">
        <f>IF([2]道具信息!N231="","",[2]道具信息!N231)</f>
        <v/>
      </c>
      <c r="O231" s="26" t="str">
        <f>IF([2]道具信息!O231="","",[2]道具信息!O231)</f>
        <v/>
      </c>
      <c r="P231" s="26" t="str">
        <f>IF([2]道具信息!P231="","",[2]道具信息!P231)</f>
        <v/>
      </c>
      <c r="Q231" s="26" t="str">
        <f>IF([2]道具信息!Q231="","",[2]道具信息!Q231)</f>
        <v/>
      </c>
    </row>
    <row r="232" spans="3:17" x14ac:dyDescent="0.15">
      <c r="C232" s="26">
        <f>IF([2]道具信息!C232="","",[2]道具信息!C232)</f>
        <v>21012</v>
      </c>
      <c r="D232" s="26" t="str">
        <f>IF([2]道具信息!D232="","",[2]道具信息!D232)</f>
        <v>一车石料</v>
      </c>
      <c r="E232" s="26">
        <f>IF([2]道具信息!E232="","",[2]道具信息!E232)</f>
        <v>100</v>
      </c>
      <c r="F232" s="26">
        <f>IF([2]道具信息!F232="","",[2]道具信息!F232)</f>
        <v>2</v>
      </c>
      <c r="G232" s="26">
        <f>IF([2]道具信息!G232="","",[2]道具信息!G232)</f>
        <v>1</v>
      </c>
      <c r="H232" s="26">
        <f>IF([2]道具信息!H232="","",[2]道具信息!H232)</f>
        <v>0.3</v>
      </c>
      <c r="I232" s="26">
        <f>IF([2]道具信息!I232="","",[2]道具信息!I232)</f>
        <v>200</v>
      </c>
      <c r="J232" s="26">
        <f>IF([2]道具信息!J232="","",[2]道具信息!J232)</f>
        <v>100</v>
      </c>
      <c r="K232" s="26">
        <f>IF([2]道具信息!K232="","",[2]道具信息!K232)</f>
        <v>30</v>
      </c>
      <c r="L232" s="26" t="str">
        <f>IF([2]道具信息!L232="","",[2]道具信息!L232)</f>
        <v>使用后获得500000安全石料</v>
      </c>
      <c r="M232" s="26" t="str">
        <f>IF([2]道具信息!M232="","",[2]道具信息!M232)</f>
        <v/>
      </c>
      <c r="N232" s="26" t="str">
        <f>IF([2]道具信息!N232="","",[2]道具信息!N232)</f>
        <v/>
      </c>
      <c r="O232" s="26" t="str">
        <f>IF([2]道具信息!O232="","",[2]道具信息!O232)</f>
        <v/>
      </c>
      <c r="P232" s="26" t="str">
        <f>IF([2]道具信息!P232="","",[2]道具信息!P232)</f>
        <v/>
      </c>
      <c r="Q232" s="26" t="str">
        <f>IF([2]道具信息!Q232="","",[2]道具信息!Q232)</f>
        <v/>
      </c>
    </row>
    <row r="233" spans="3:17" x14ac:dyDescent="0.15">
      <c r="C233" s="26">
        <f>IF([2]道具信息!C233="","",[2]道具信息!C233)</f>
        <v>21013</v>
      </c>
      <c r="D233" s="26" t="str">
        <f>IF([2]道具信息!D233="","",[2]道具信息!D233)</f>
        <v>一担铁矿</v>
      </c>
      <c r="E233" s="26">
        <f>IF([2]道具信息!E233="","",[2]道具信息!E233)</f>
        <v>12</v>
      </c>
      <c r="F233" s="26">
        <f>IF([2]道具信息!F233="","",[2]道具信息!F233)</f>
        <v>1</v>
      </c>
      <c r="G233" s="26">
        <f>IF([2]道具信息!G233="","",[2]道具信息!G233)</f>
        <v>1</v>
      </c>
      <c r="H233" s="26">
        <f>IF([2]道具信息!H233="","",[2]道具信息!H233)</f>
        <v>0.3</v>
      </c>
      <c r="I233" s="26">
        <f>IF([2]道具信息!I233="","",[2]道具信息!I233)</f>
        <v>12</v>
      </c>
      <c r="J233" s="26">
        <f>IF([2]道具信息!J233="","",[2]道具信息!J233)</f>
        <v>12</v>
      </c>
      <c r="K233" s="26">
        <f>IF([2]道具信息!K233="","",[2]道具信息!K233)</f>
        <v>3.5999999999999996</v>
      </c>
      <c r="L233" s="26" t="str">
        <f>IF([2]道具信息!L233="","",[2]道具信息!L233)</f>
        <v>使用后获得10000安全铁矿</v>
      </c>
      <c r="M233" s="26" t="str">
        <f>IF([2]道具信息!M233="","",[2]道具信息!M233)</f>
        <v/>
      </c>
      <c r="N233" s="26" t="str">
        <f>IF([2]道具信息!N233="","",[2]道具信息!N233)</f>
        <v/>
      </c>
      <c r="O233" s="26" t="str">
        <f>IF([2]道具信息!O233="","",[2]道具信息!O233)</f>
        <v/>
      </c>
      <c r="P233" s="26" t="str">
        <f>IF([2]道具信息!P233="","",[2]道具信息!P233)</f>
        <v/>
      </c>
      <c r="Q233" s="26" t="str">
        <f>IF([2]道具信息!Q233="","",[2]道具信息!Q233)</f>
        <v/>
      </c>
    </row>
    <row r="234" spans="3:17" x14ac:dyDescent="0.15">
      <c r="C234" s="26">
        <f>IF([2]道具信息!C234="","",[2]道具信息!C234)</f>
        <v>21014</v>
      </c>
      <c r="D234" s="26" t="str">
        <f>IF([2]道具信息!D234="","",[2]道具信息!D234)</f>
        <v>一堆铁矿</v>
      </c>
      <c r="E234" s="26">
        <f>IF([2]道具信息!E234="","",[2]道具信息!E234)</f>
        <v>40</v>
      </c>
      <c r="F234" s="26">
        <f>IF([2]道具信息!F234="","",[2]道具信息!F234)</f>
        <v>1</v>
      </c>
      <c r="G234" s="26">
        <f>IF([2]道具信息!G234="","",[2]道具信息!G234)</f>
        <v>1</v>
      </c>
      <c r="H234" s="26">
        <f>IF([2]道具信息!H234="","",[2]道具信息!H234)</f>
        <v>0.3</v>
      </c>
      <c r="I234" s="26">
        <f>IF([2]道具信息!I234="","",[2]道具信息!I234)</f>
        <v>40</v>
      </c>
      <c r="J234" s="26">
        <f>IF([2]道具信息!J234="","",[2]道具信息!J234)</f>
        <v>40</v>
      </c>
      <c r="K234" s="26">
        <f>IF([2]道具信息!K234="","",[2]道具信息!K234)</f>
        <v>12</v>
      </c>
      <c r="L234" s="26" t="str">
        <f>IF([2]道具信息!L234="","",[2]道具信息!L234)</f>
        <v>使用后获得50000安全铁矿</v>
      </c>
      <c r="M234" s="26" t="str">
        <f>IF([2]道具信息!M234="","",[2]道具信息!M234)</f>
        <v/>
      </c>
      <c r="N234" s="26" t="str">
        <f>IF([2]道具信息!N234="","",[2]道具信息!N234)</f>
        <v/>
      </c>
      <c r="O234" s="26" t="str">
        <f>IF([2]道具信息!O234="","",[2]道具信息!O234)</f>
        <v/>
      </c>
      <c r="P234" s="26" t="str">
        <f>IF([2]道具信息!P234="","",[2]道具信息!P234)</f>
        <v/>
      </c>
      <c r="Q234" s="26" t="str">
        <f>IF([2]道具信息!Q234="","",[2]道具信息!Q234)</f>
        <v/>
      </c>
    </row>
    <row r="235" spans="3:17" x14ac:dyDescent="0.15">
      <c r="C235" s="26">
        <f>IF([2]道具信息!C235="","",[2]道具信息!C235)</f>
        <v>21015</v>
      </c>
      <c r="D235" s="26" t="str">
        <f>IF([2]道具信息!D235="","",[2]道具信息!D235)</f>
        <v>一箱铁矿</v>
      </c>
      <c r="E235" s="26">
        <f>IF([2]道具信息!E235="","",[2]道具信息!E235)</f>
        <v>90</v>
      </c>
      <c r="F235" s="26">
        <f>IF([2]道具信息!F235="","",[2]道具信息!F235)</f>
        <v>1.333</v>
      </c>
      <c r="G235" s="26">
        <f>IF([2]道具信息!G235="","",[2]道具信息!G235)</f>
        <v>1</v>
      </c>
      <c r="H235" s="26">
        <f>IF([2]道具信息!H235="","",[2]道具信息!H235)</f>
        <v>0.3</v>
      </c>
      <c r="I235" s="26">
        <f>IF([2]道具信息!I235="","",[2]道具信息!I235)</f>
        <v>119.97</v>
      </c>
      <c r="J235" s="26">
        <f>IF([2]道具信息!J235="","",[2]道具信息!J235)</f>
        <v>90</v>
      </c>
      <c r="K235" s="26">
        <f>IF([2]道具信息!K235="","",[2]道具信息!K235)</f>
        <v>27</v>
      </c>
      <c r="L235" s="26" t="str">
        <f>IF([2]道具信息!L235="","",[2]道具信息!L235)</f>
        <v>使用后获得150000安全铁矿</v>
      </c>
      <c r="M235" s="26" t="str">
        <f>IF([2]道具信息!M235="","",[2]道具信息!M235)</f>
        <v/>
      </c>
      <c r="N235" s="26" t="str">
        <f>IF([2]道具信息!N235="","",[2]道具信息!N235)</f>
        <v/>
      </c>
      <c r="O235" s="26" t="str">
        <f>IF([2]道具信息!O235="","",[2]道具信息!O235)</f>
        <v/>
      </c>
      <c r="P235" s="26" t="str">
        <f>IF([2]道具信息!P235="","",[2]道具信息!P235)</f>
        <v/>
      </c>
      <c r="Q235" s="26" t="str">
        <f>IF([2]道具信息!Q235="","",[2]道具信息!Q235)</f>
        <v/>
      </c>
    </row>
    <row r="236" spans="3:17" x14ac:dyDescent="0.15">
      <c r="C236" s="26">
        <f>IF([2]道具信息!C236="","",[2]道具信息!C236)</f>
        <v>21016</v>
      </c>
      <c r="D236" s="26" t="str">
        <f>IF([2]道具信息!D236="","",[2]道具信息!D236)</f>
        <v>一车铁矿</v>
      </c>
      <c r="E236" s="26">
        <f>IF([2]道具信息!E236="","",[2]道具信息!E236)</f>
        <v>200</v>
      </c>
      <c r="F236" s="26">
        <f>IF([2]道具信息!F236="","",[2]道具信息!F236)</f>
        <v>2</v>
      </c>
      <c r="G236" s="26">
        <f>IF([2]道具信息!G236="","",[2]道具信息!G236)</f>
        <v>1</v>
      </c>
      <c r="H236" s="26">
        <f>IF([2]道具信息!H236="","",[2]道具信息!H236)</f>
        <v>0.3</v>
      </c>
      <c r="I236" s="26">
        <f>IF([2]道具信息!I236="","",[2]道具信息!I236)</f>
        <v>400</v>
      </c>
      <c r="J236" s="26">
        <f>IF([2]道具信息!J236="","",[2]道具信息!J236)</f>
        <v>200</v>
      </c>
      <c r="K236" s="26">
        <f>IF([2]道具信息!K236="","",[2]道具信息!K236)</f>
        <v>60</v>
      </c>
      <c r="L236" s="26" t="str">
        <f>IF([2]道具信息!L236="","",[2]道具信息!L236)</f>
        <v>使用后获得500000安全铁矿</v>
      </c>
      <c r="M236" s="26" t="str">
        <f>IF([2]道具信息!M236="","",[2]道具信息!M236)</f>
        <v/>
      </c>
      <c r="N236" s="26" t="str">
        <f>IF([2]道具信息!N236="","",[2]道具信息!N236)</f>
        <v/>
      </c>
      <c r="O236" s="26" t="str">
        <f>IF([2]道具信息!O236="","",[2]道具信息!O236)</f>
        <v/>
      </c>
      <c r="P236" s="26" t="str">
        <f>IF([2]道具信息!P236="","",[2]道具信息!P236)</f>
        <v/>
      </c>
      <c r="Q236" s="26" t="str">
        <f>IF([2]道具信息!Q236="","",[2]道具信息!Q236)</f>
        <v/>
      </c>
    </row>
    <row r="237" spans="3:17" x14ac:dyDescent="0.15">
      <c r="C237" s="26">
        <f>IF([2]道具信息!C237="","",[2]道具信息!C237)</f>
        <v>21017</v>
      </c>
      <c r="D237" s="26" t="str">
        <f>IF([2]道具信息!D237="","",[2]道具信息!D237)</f>
        <v>一担铜矿</v>
      </c>
      <c r="E237" s="26">
        <f>IF([2]道具信息!E237="","",[2]道具信息!E237)</f>
        <v>6</v>
      </c>
      <c r="F237" s="26">
        <f>IF([2]道具信息!F237="","",[2]道具信息!F237)</f>
        <v>1</v>
      </c>
      <c r="G237" s="26">
        <f>IF([2]道具信息!G237="","",[2]道具信息!G237)</f>
        <v>1</v>
      </c>
      <c r="H237" s="26">
        <f>IF([2]道具信息!H237="","",[2]道具信息!H237)</f>
        <v>0.3</v>
      </c>
      <c r="I237" s="26">
        <f>IF([2]道具信息!I237="","",[2]道具信息!I237)</f>
        <v>6</v>
      </c>
      <c r="J237" s="26">
        <f>IF([2]道具信息!J237="","",[2]道具信息!J237)</f>
        <v>6</v>
      </c>
      <c r="K237" s="26">
        <f>IF([2]道具信息!K237="","",[2]道具信息!K237)</f>
        <v>1.7999999999999998</v>
      </c>
      <c r="L237" s="26" t="str">
        <f>IF([2]道具信息!L237="","",[2]道具信息!L237)</f>
        <v>使用后获得10000安全铜矿</v>
      </c>
      <c r="M237" s="26" t="str">
        <f>IF([2]道具信息!M237="","",[2]道具信息!M237)</f>
        <v/>
      </c>
      <c r="N237" s="26" t="str">
        <f>IF([2]道具信息!N237="","",[2]道具信息!N237)</f>
        <v/>
      </c>
      <c r="O237" s="26" t="str">
        <f>IF([2]道具信息!O237="","",[2]道具信息!O237)</f>
        <v/>
      </c>
      <c r="P237" s="26" t="str">
        <f>IF([2]道具信息!P237="","",[2]道具信息!P237)</f>
        <v/>
      </c>
      <c r="Q237" s="26" t="str">
        <f>IF([2]道具信息!Q237="","",[2]道具信息!Q237)</f>
        <v/>
      </c>
    </row>
    <row r="238" spans="3:17" x14ac:dyDescent="0.15">
      <c r="C238" s="26">
        <f>IF([2]道具信息!C238="","",[2]道具信息!C238)</f>
        <v>21018</v>
      </c>
      <c r="D238" s="26" t="str">
        <f>IF([2]道具信息!D238="","",[2]道具信息!D238)</f>
        <v>一堆铜矿</v>
      </c>
      <c r="E238" s="26">
        <f>IF([2]道具信息!E238="","",[2]道具信息!E238)</f>
        <v>20</v>
      </c>
      <c r="F238" s="26">
        <f>IF([2]道具信息!F238="","",[2]道具信息!F238)</f>
        <v>1</v>
      </c>
      <c r="G238" s="26">
        <f>IF([2]道具信息!G238="","",[2]道具信息!G238)</f>
        <v>1</v>
      </c>
      <c r="H238" s="26">
        <f>IF([2]道具信息!H238="","",[2]道具信息!H238)</f>
        <v>0.3</v>
      </c>
      <c r="I238" s="26">
        <f>IF([2]道具信息!I238="","",[2]道具信息!I238)</f>
        <v>20</v>
      </c>
      <c r="J238" s="26">
        <f>IF([2]道具信息!J238="","",[2]道具信息!J238)</f>
        <v>20</v>
      </c>
      <c r="K238" s="26">
        <f>IF([2]道具信息!K238="","",[2]道具信息!K238)</f>
        <v>6</v>
      </c>
      <c r="L238" s="26" t="str">
        <f>IF([2]道具信息!L238="","",[2]道具信息!L238)</f>
        <v>使用后获得50000安全铜矿</v>
      </c>
      <c r="M238" s="26" t="str">
        <f>IF([2]道具信息!M238="","",[2]道具信息!M238)</f>
        <v/>
      </c>
      <c r="N238" s="26" t="str">
        <f>IF([2]道具信息!N238="","",[2]道具信息!N238)</f>
        <v/>
      </c>
      <c r="O238" s="26" t="str">
        <f>IF([2]道具信息!O238="","",[2]道具信息!O238)</f>
        <v/>
      </c>
      <c r="P238" s="26" t="str">
        <f>IF([2]道具信息!P238="","",[2]道具信息!P238)</f>
        <v/>
      </c>
      <c r="Q238" s="26" t="str">
        <f>IF([2]道具信息!Q238="","",[2]道具信息!Q238)</f>
        <v/>
      </c>
    </row>
    <row r="239" spans="3:17" x14ac:dyDescent="0.15">
      <c r="C239" s="26">
        <f>IF([2]道具信息!C239="","",[2]道具信息!C239)</f>
        <v>21019</v>
      </c>
      <c r="D239" s="26" t="str">
        <f>IF([2]道具信息!D239="","",[2]道具信息!D239)</f>
        <v>一箱铜矿</v>
      </c>
      <c r="E239" s="26">
        <f>IF([2]道具信息!E239="","",[2]道具信息!E239)</f>
        <v>45</v>
      </c>
      <c r="F239" s="26">
        <f>IF([2]道具信息!F239="","",[2]道具信息!F239)</f>
        <v>1.333</v>
      </c>
      <c r="G239" s="26">
        <f>IF([2]道具信息!G239="","",[2]道具信息!G239)</f>
        <v>1</v>
      </c>
      <c r="H239" s="26">
        <f>IF([2]道具信息!H239="","",[2]道具信息!H239)</f>
        <v>0.3</v>
      </c>
      <c r="I239" s="26">
        <f>IF([2]道具信息!I239="","",[2]道具信息!I239)</f>
        <v>59.984999999999999</v>
      </c>
      <c r="J239" s="26">
        <f>IF([2]道具信息!J239="","",[2]道具信息!J239)</f>
        <v>45</v>
      </c>
      <c r="K239" s="26">
        <f>IF([2]道具信息!K239="","",[2]道具信息!K239)</f>
        <v>13.5</v>
      </c>
      <c r="L239" s="26" t="str">
        <f>IF([2]道具信息!L239="","",[2]道具信息!L239)</f>
        <v>使用后获得150000安全铜矿</v>
      </c>
      <c r="M239" s="26" t="str">
        <f>IF([2]道具信息!M239="","",[2]道具信息!M239)</f>
        <v/>
      </c>
      <c r="N239" s="26" t="str">
        <f>IF([2]道具信息!N239="","",[2]道具信息!N239)</f>
        <v/>
      </c>
      <c r="O239" s="26" t="str">
        <f>IF([2]道具信息!O239="","",[2]道具信息!O239)</f>
        <v/>
      </c>
      <c r="P239" s="26" t="str">
        <f>IF([2]道具信息!P239="","",[2]道具信息!P239)</f>
        <v/>
      </c>
      <c r="Q239" s="26" t="str">
        <f>IF([2]道具信息!Q239="","",[2]道具信息!Q239)</f>
        <v/>
      </c>
    </row>
    <row r="240" spans="3:17" x14ac:dyDescent="0.15">
      <c r="C240" s="26">
        <f>IF([2]道具信息!C240="","",[2]道具信息!C240)</f>
        <v>21020</v>
      </c>
      <c r="D240" s="26" t="str">
        <f>IF([2]道具信息!D240="","",[2]道具信息!D240)</f>
        <v>一车铜矿</v>
      </c>
      <c r="E240" s="26">
        <f>IF([2]道具信息!E240="","",[2]道具信息!E240)</f>
        <v>100</v>
      </c>
      <c r="F240" s="26">
        <f>IF([2]道具信息!F240="","",[2]道具信息!F240)</f>
        <v>2</v>
      </c>
      <c r="G240" s="26">
        <f>IF([2]道具信息!G240="","",[2]道具信息!G240)</f>
        <v>1</v>
      </c>
      <c r="H240" s="26">
        <f>IF([2]道具信息!H240="","",[2]道具信息!H240)</f>
        <v>0.3</v>
      </c>
      <c r="I240" s="26">
        <f>IF([2]道具信息!I240="","",[2]道具信息!I240)</f>
        <v>200</v>
      </c>
      <c r="J240" s="26">
        <f>IF([2]道具信息!J240="","",[2]道具信息!J240)</f>
        <v>100</v>
      </c>
      <c r="K240" s="26">
        <f>IF([2]道具信息!K240="","",[2]道具信息!K240)</f>
        <v>30</v>
      </c>
      <c r="L240" s="26" t="str">
        <f>IF([2]道具信息!L240="","",[2]道具信息!L240)</f>
        <v>使用后获得500000安全铜矿</v>
      </c>
      <c r="M240" s="26" t="str">
        <f>IF([2]道具信息!M240="","",[2]道具信息!M240)</f>
        <v/>
      </c>
      <c r="N240" s="26" t="str">
        <f>IF([2]道具信息!N240="","",[2]道具信息!N240)</f>
        <v/>
      </c>
      <c r="O240" s="26" t="str">
        <f>IF([2]道具信息!O240="","",[2]道具信息!O240)</f>
        <v/>
      </c>
      <c r="P240" s="26" t="str">
        <f>IF([2]道具信息!P240="","",[2]道具信息!P240)</f>
        <v/>
      </c>
      <c r="Q240" s="26" t="str">
        <f>IF([2]道具信息!Q240="","",[2]道具信息!Q240)</f>
        <v/>
      </c>
    </row>
    <row r="241" spans="3:17" x14ac:dyDescent="0.15">
      <c r="C241" s="26">
        <f>IF([2]道具信息!C241="","",[2]道具信息!C241)</f>
        <v>21021</v>
      </c>
      <c r="D241" s="26" t="str">
        <f>IF([2]道具信息!D241="","",[2]道具信息!D241)</f>
        <v>一吊刀币</v>
      </c>
      <c r="E241" s="26">
        <f>IF([2]道具信息!E241="","",[2]道具信息!E241)</f>
        <v>50</v>
      </c>
      <c r="F241" s="26">
        <f>IF([2]道具信息!F241="","",[2]道具信息!F241)</f>
        <v>1</v>
      </c>
      <c r="G241" s="26">
        <f>IF([2]道具信息!G241="","",[2]道具信息!G241)</f>
        <v>1</v>
      </c>
      <c r="H241" s="26">
        <f>IF([2]道具信息!H241="","",[2]道具信息!H241)</f>
        <v>0.5</v>
      </c>
      <c r="I241" s="26">
        <f>IF([2]道具信息!I241="","",[2]道具信息!I241)</f>
        <v>50</v>
      </c>
      <c r="J241" s="26">
        <f>IF([2]道具信息!J241="","",[2]道具信息!J241)</f>
        <v>50</v>
      </c>
      <c r="K241" s="26">
        <f>IF([2]道具信息!K241="","",[2]道具信息!K241)</f>
        <v>25</v>
      </c>
      <c r="L241" s="26" t="str">
        <f>IF([2]道具信息!L241="","",[2]道具信息!L241)</f>
        <v>使用后获得10000刀币</v>
      </c>
      <c r="M241" s="26" t="str">
        <f>IF([2]道具信息!M241="","",[2]道具信息!M241)</f>
        <v/>
      </c>
      <c r="N241" s="26" t="str">
        <f>IF([2]道具信息!N241="","",[2]道具信息!N241)</f>
        <v/>
      </c>
      <c r="O241" s="26" t="str">
        <f>IF([2]道具信息!O241="","",[2]道具信息!O241)</f>
        <v/>
      </c>
      <c r="P241" s="26" t="str">
        <f>IF([2]道具信息!P241="","",[2]道具信息!P241)</f>
        <v/>
      </c>
      <c r="Q241" s="26" t="str">
        <f>IF([2]道具信息!Q241="","",[2]道具信息!Q241)</f>
        <v/>
      </c>
    </row>
    <row r="242" spans="3:17" x14ac:dyDescent="0.15">
      <c r="C242" s="26">
        <f>IF([2]道具信息!C242="","",[2]道具信息!C242)</f>
        <v>21022</v>
      </c>
      <c r="D242" s="26" t="str">
        <f>IF([2]道具信息!D242="","",[2]道具信息!D242)</f>
        <v>一贯刀币</v>
      </c>
      <c r="E242" s="26">
        <f>IF([2]道具信息!E242="","",[2]道具信息!E242)</f>
        <v>150</v>
      </c>
      <c r="F242" s="26">
        <f>IF([2]道具信息!F242="","",[2]道具信息!F242)</f>
        <v>1</v>
      </c>
      <c r="G242" s="26">
        <f>IF([2]道具信息!G242="","",[2]道具信息!G242)</f>
        <v>1</v>
      </c>
      <c r="H242" s="26">
        <f>IF([2]道具信息!H242="","",[2]道具信息!H242)</f>
        <v>0.5</v>
      </c>
      <c r="I242" s="26">
        <f>IF([2]道具信息!I242="","",[2]道具信息!I242)</f>
        <v>150</v>
      </c>
      <c r="J242" s="26">
        <f>IF([2]道具信息!J242="","",[2]道具信息!J242)</f>
        <v>150</v>
      </c>
      <c r="K242" s="26">
        <f>IF([2]道具信息!K242="","",[2]道具信息!K242)</f>
        <v>75</v>
      </c>
      <c r="L242" s="26" t="str">
        <f>IF([2]道具信息!L242="","",[2]道具信息!L242)</f>
        <v>使用后获得50000刀币</v>
      </c>
      <c r="M242" s="26" t="str">
        <f>IF([2]道具信息!M242="","",[2]道具信息!M242)</f>
        <v/>
      </c>
      <c r="N242" s="26" t="str">
        <f>IF([2]道具信息!N242="","",[2]道具信息!N242)</f>
        <v/>
      </c>
      <c r="O242" s="26" t="str">
        <f>IF([2]道具信息!O242="","",[2]道具信息!O242)</f>
        <v/>
      </c>
      <c r="P242" s="26" t="str">
        <f>IF([2]道具信息!P242="","",[2]道具信息!P242)</f>
        <v/>
      </c>
      <c r="Q242" s="26" t="str">
        <f>IF([2]道具信息!Q242="","",[2]道具信息!Q242)</f>
        <v/>
      </c>
    </row>
    <row r="243" spans="3:17" x14ac:dyDescent="0.15">
      <c r="C243" s="26">
        <f>IF([2]道具信息!C243="","",[2]道具信息!C243)</f>
        <v>21023</v>
      </c>
      <c r="D243" s="26" t="str">
        <f>IF([2]道具信息!D243="","",[2]道具信息!D243)</f>
        <v>一袋刀币</v>
      </c>
      <c r="E243" s="26">
        <f>IF([2]道具信息!E243="","",[2]道具信息!E243)</f>
        <v>300</v>
      </c>
      <c r="F243" s="26">
        <f>IF([2]道具信息!F243="","",[2]道具信息!F243)</f>
        <v>1.5</v>
      </c>
      <c r="G243" s="26">
        <f>IF([2]道具信息!G243="","",[2]道具信息!G243)</f>
        <v>1</v>
      </c>
      <c r="H243" s="26">
        <f>IF([2]道具信息!H243="","",[2]道具信息!H243)</f>
        <v>0.5</v>
      </c>
      <c r="I243" s="26">
        <f>IF([2]道具信息!I243="","",[2]道具信息!I243)</f>
        <v>450</v>
      </c>
      <c r="J243" s="26">
        <f>IF([2]道具信息!J243="","",[2]道具信息!J243)</f>
        <v>300</v>
      </c>
      <c r="K243" s="26">
        <f>IF([2]道具信息!K243="","",[2]道具信息!K243)</f>
        <v>150</v>
      </c>
      <c r="L243" s="26" t="str">
        <f>IF([2]道具信息!L243="","",[2]道具信息!L243)</f>
        <v>使用后获得150000刀币</v>
      </c>
      <c r="M243" s="26" t="str">
        <f>IF([2]道具信息!M243="","",[2]道具信息!M243)</f>
        <v/>
      </c>
      <c r="N243" s="26" t="str">
        <f>IF([2]道具信息!N243="","",[2]道具信息!N243)</f>
        <v/>
      </c>
      <c r="O243" s="26" t="str">
        <f>IF([2]道具信息!O243="","",[2]道具信息!O243)</f>
        <v/>
      </c>
      <c r="P243" s="26" t="str">
        <f>IF([2]道具信息!P243="","",[2]道具信息!P243)</f>
        <v/>
      </c>
      <c r="Q243" s="26" t="str">
        <f>IF([2]道具信息!Q243="","",[2]道具信息!Q243)</f>
        <v/>
      </c>
    </row>
    <row r="244" spans="3:17" x14ac:dyDescent="0.15">
      <c r="C244" s="26" t="str">
        <f>IF([2]道具信息!C244="","",[2]道具信息!C244)</f>
        <v/>
      </c>
      <c r="D244" s="26" t="str">
        <f>IF([2]道具信息!D244="","",[2]道具信息!D244)</f>
        <v>一箱刀币</v>
      </c>
      <c r="E244" s="26">
        <f>IF([2]道具信息!E244="","",[2]道具信息!E244)</f>
        <v>800</v>
      </c>
      <c r="F244" s="26">
        <f>IF([2]道具信息!F244="","",[2]道具信息!F244)</f>
        <v>1.875</v>
      </c>
      <c r="G244" s="26">
        <f>IF([2]道具信息!G244="","",[2]道具信息!G244)</f>
        <v>1</v>
      </c>
      <c r="H244" s="26">
        <f>IF([2]道具信息!H244="","",[2]道具信息!H244)</f>
        <v>0.5</v>
      </c>
      <c r="I244" s="26">
        <f>IF([2]道具信息!I244="","",[2]道具信息!I244)</f>
        <v>1500</v>
      </c>
      <c r="J244" s="26">
        <f>IF([2]道具信息!J244="","",[2]道具信息!J244)</f>
        <v>800</v>
      </c>
      <c r="K244" s="26">
        <f>IF([2]道具信息!K244="","",[2]道具信息!K244)</f>
        <v>400</v>
      </c>
      <c r="L244" s="26" t="str">
        <f>IF([2]道具信息!L244="","",[2]道具信息!L244)</f>
        <v>使用后获得500000刀币</v>
      </c>
      <c r="M244" s="26" t="str">
        <f>IF([2]道具信息!M244="","",[2]道具信息!M244)</f>
        <v/>
      </c>
      <c r="N244" s="26" t="str">
        <f>IF([2]道具信息!N244="","",[2]道具信息!N244)</f>
        <v/>
      </c>
      <c r="O244" s="26" t="str">
        <f>IF([2]道具信息!O244="","",[2]道具信息!O244)</f>
        <v/>
      </c>
      <c r="P244" s="26" t="str">
        <f>IF([2]道具信息!P244="","",[2]道具信息!P244)</f>
        <v/>
      </c>
      <c r="Q244" s="26" t="str">
        <f>IF([2]道具信息!Q244="","",[2]道具信息!Q244)</f>
        <v/>
      </c>
    </row>
    <row r="245" spans="3:17" x14ac:dyDescent="0.15">
      <c r="C245" s="26">
        <f>IF([2]道具信息!C245="","",[2]道具信息!C245)</f>
        <v>21024</v>
      </c>
      <c r="D245" s="26" t="str">
        <f>IF([2]道具信息!D245="","",[2]道具信息!D245)</f>
        <v>普通资源自选宝箱</v>
      </c>
      <c r="E245" s="26">
        <f>IF([2]道具信息!E245="","",[2]道具信息!E245)</f>
        <v>6</v>
      </c>
      <c r="F245" s="26">
        <f>IF([2]道具信息!F245="","",[2]道具信息!F245)</f>
        <v>1</v>
      </c>
      <c r="G245" s="26">
        <f>IF([2]道具信息!G245="","",[2]道具信息!G245)</f>
        <v>1</v>
      </c>
      <c r="H245" s="26">
        <f>IF([2]道具信息!H245="","",[2]道具信息!H245)</f>
        <v>0.3</v>
      </c>
      <c r="I245" s="26">
        <f>IF([2]道具信息!I245="","",[2]道具信息!I245)</f>
        <v>6</v>
      </c>
      <c r="J245" s="26">
        <f>IF([2]道具信息!J245="","",[2]道具信息!J245)</f>
        <v>6</v>
      </c>
      <c r="K245" s="26">
        <f>IF([2]道具信息!K245="","",[2]道具信息!K245)</f>
        <v>1.7999999999999998</v>
      </c>
      <c r="L245" s="26" t="str">
        <f>IF([2]道具信息!L245="","",[2]道具信息!L245)</f>
        <v>使用后可选择获得10000资源(可选择资源类型：粮食、木材、石料和铜矿)</v>
      </c>
      <c r="M245" s="26" t="str">
        <f>IF([2]道具信息!M245="","",[2]道具信息!M245)</f>
        <v/>
      </c>
      <c r="N245" s="26" t="str">
        <f>IF([2]道具信息!N245="","",[2]道具信息!N245)</f>
        <v/>
      </c>
      <c r="O245" s="26" t="str">
        <f>IF([2]道具信息!O245="","",[2]道具信息!O245)</f>
        <v/>
      </c>
      <c r="P245" s="26" t="str">
        <f>IF([2]道具信息!P245="","",[2]道具信息!P245)</f>
        <v/>
      </c>
      <c r="Q245" s="26" t="str">
        <f>IF([2]道具信息!Q245="","",[2]道具信息!Q245)</f>
        <v/>
      </c>
    </row>
    <row r="246" spans="3:17" x14ac:dyDescent="0.15">
      <c r="C246" s="26">
        <f>IF([2]道具信息!C246="","",[2]道具信息!C246)</f>
        <v>21025</v>
      </c>
      <c r="D246" s="26" t="str">
        <f>IF([2]道具信息!D246="","",[2]道具信息!D246)</f>
        <v>初级资源自选宝箱</v>
      </c>
      <c r="E246" s="26">
        <f>IF([2]道具信息!E246="","",[2]道具信息!E246)</f>
        <v>20</v>
      </c>
      <c r="F246" s="26">
        <f>IF([2]道具信息!F246="","",[2]道具信息!F246)</f>
        <v>1</v>
      </c>
      <c r="G246" s="26">
        <f>IF([2]道具信息!G246="","",[2]道具信息!G246)</f>
        <v>1</v>
      </c>
      <c r="H246" s="26">
        <f>IF([2]道具信息!H246="","",[2]道具信息!H246)</f>
        <v>0.3</v>
      </c>
      <c r="I246" s="26">
        <f>IF([2]道具信息!I246="","",[2]道具信息!I246)</f>
        <v>20</v>
      </c>
      <c r="J246" s="26">
        <f>IF([2]道具信息!J246="","",[2]道具信息!J246)</f>
        <v>20</v>
      </c>
      <c r="K246" s="26">
        <f>IF([2]道具信息!K246="","",[2]道具信息!K246)</f>
        <v>6</v>
      </c>
      <c r="L246" s="26" t="str">
        <f>IF([2]道具信息!L246="","",[2]道具信息!L246)</f>
        <v>使用后可选择获得50000资源(可选择资源类型：粮食、木材、石料和铜矿)</v>
      </c>
      <c r="M246" s="26" t="str">
        <f>IF([2]道具信息!M246="","",[2]道具信息!M246)</f>
        <v/>
      </c>
      <c r="N246" s="26" t="str">
        <f>IF([2]道具信息!N246="","",[2]道具信息!N246)</f>
        <v/>
      </c>
      <c r="O246" s="26" t="str">
        <f>IF([2]道具信息!O246="","",[2]道具信息!O246)</f>
        <v/>
      </c>
      <c r="P246" s="26" t="str">
        <f>IF([2]道具信息!P246="","",[2]道具信息!P246)</f>
        <v/>
      </c>
      <c r="Q246" s="26" t="str">
        <f>IF([2]道具信息!Q246="","",[2]道具信息!Q246)</f>
        <v/>
      </c>
    </row>
    <row r="247" spans="3:17" x14ac:dyDescent="0.15">
      <c r="C247" s="26">
        <f>IF([2]道具信息!C247="","",[2]道具信息!C247)</f>
        <v>21026</v>
      </c>
      <c r="D247" s="26" t="str">
        <f>IF([2]道具信息!D247="","",[2]道具信息!D247)</f>
        <v>中级资源自选宝箱</v>
      </c>
      <c r="E247" s="26">
        <f>IF([2]道具信息!E247="","",[2]道具信息!E247)</f>
        <v>45</v>
      </c>
      <c r="F247" s="26">
        <f>IF([2]道具信息!F247="","",[2]道具信息!F247)</f>
        <v>1.333</v>
      </c>
      <c r="G247" s="26">
        <f>IF([2]道具信息!G247="","",[2]道具信息!G247)</f>
        <v>1</v>
      </c>
      <c r="H247" s="26">
        <f>IF([2]道具信息!H247="","",[2]道具信息!H247)</f>
        <v>0.3</v>
      </c>
      <c r="I247" s="26">
        <f>IF([2]道具信息!I247="","",[2]道具信息!I247)</f>
        <v>59.984999999999999</v>
      </c>
      <c r="J247" s="26">
        <f>IF([2]道具信息!J247="","",[2]道具信息!J247)</f>
        <v>45</v>
      </c>
      <c r="K247" s="26">
        <f>IF([2]道具信息!K247="","",[2]道具信息!K247)</f>
        <v>13.5</v>
      </c>
      <c r="L247" s="26" t="str">
        <f>IF([2]道具信息!L247="","",[2]道具信息!L247)</f>
        <v>使用后可选择获得150000资源(可选择资源类型：粮食、木材、石料和铜矿)</v>
      </c>
      <c r="M247" s="26" t="str">
        <f>IF([2]道具信息!M247="","",[2]道具信息!M247)</f>
        <v/>
      </c>
      <c r="N247" s="26" t="str">
        <f>IF([2]道具信息!N247="","",[2]道具信息!N247)</f>
        <v/>
      </c>
      <c r="O247" s="26" t="str">
        <f>IF([2]道具信息!O247="","",[2]道具信息!O247)</f>
        <v/>
      </c>
      <c r="P247" s="26" t="str">
        <f>IF([2]道具信息!P247="","",[2]道具信息!P247)</f>
        <v/>
      </c>
      <c r="Q247" s="26" t="str">
        <f>IF([2]道具信息!Q247="","",[2]道具信息!Q247)</f>
        <v/>
      </c>
    </row>
    <row r="248" spans="3:17" x14ac:dyDescent="0.15">
      <c r="C248" s="26">
        <f>IF([2]道具信息!C248="","",[2]道具信息!C248)</f>
        <v>21027</v>
      </c>
      <c r="D248" s="26" t="str">
        <f>IF([2]道具信息!D248="","",[2]道具信息!D248)</f>
        <v>高级资源自选宝箱</v>
      </c>
      <c r="E248" s="26">
        <f>IF([2]道具信息!E248="","",[2]道具信息!E248)</f>
        <v>100</v>
      </c>
      <c r="F248" s="26">
        <f>IF([2]道具信息!F248="","",[2]道具信息!F248)</f>
        <v>2</v>
      </c>
      <c r="G248" s="26">
        <f>IF([2]道具信息!G248="","",[2]道具信息!G248)</f>
        <v>1</v>
      </c>
      <c r="H248" s="26">
        <f>IF([2]道具信息!H248="","",[2]道具信息!H248)</f>
        <v>0.3</v>
      </c>
      <c r="I248" s="26">
        <f>IF([2]道具信息!I248="","",[2]道具信息!I248)</f>
        <v>200</v>
      </c>
      <c r="J248" s="26">
        <f>IF([2]道具信息!J248="","",[2]道具信息!J248)</f>
        <v>100</v>
      </c>
      <c r="K248" s="26">
        <f>IF([2]道具信息!K248="","",[2]道具信息!K248)</f>
        <v>30</v>
      </c>
      <c r="L248" s="26" t="str">
        <f>IF([2]道具信息!L248="","",[2]道具信息!L248)</f>
        <v>使用后可选择获得500000资源(可选择资源类型：粮食、木材、石料和铜矿)</v>
      </c>
      <c r="M248" s="26" t="str">
        <f>IF([2]道具信息!M248="","",[2]道具信息!M248)</f>
        <v/>
      </c>
      <c r="N248" s="26" t="str">
        <f>IF([2]道具信息!N248="","",[2]道具信息!N248)</f>
        <v/>
      </c>
      <c r="O248" s="26" t="str">
        <f>IF([2]道具信息!O248="","",[2]道具信息!O248)</f>
        <v/>
      </c>
      <c r="P248" s="26" t="str">
        <f>IF([2]道具信息!P248="","",[2]道具信息!P248)</f>
        <v/>
      </c>
      <c r="Q248" s="26" t="str">
        <f>IF([2]道具信息!Q248="","",[2]道具信息!Q248)</f>
        <v/>
      </c>
    </row>
    <row r="249" spans="3:17" x14ac:dyDescent="0.15">
      <c r="C249" s="26">
        <f>IF([2]道具信息!C249="","",[2]道具信息!C249)</f>
        <v>21031</v>
      </c>
      <c r="D249" s="26" t="str">
        <f>IF([2]道具信息!D249="","",[2]道具信息!D249)</f>
        <v>普通资源宝箱</v>
      </c>
      <c r="E249" s="26">
        <f>IF([2]道具信息!E249="","",[2]道具信息!E249)</f>
        <v>30</v>
      </c>
      <c r="F249" s="26">
        <f>IF([2]道具信息!F249="","",[2]道具信息!F249)</f>
        <v>1</v>
      </c>
      <c r="G249" s="26">
        <f>IF([2]道具信息!G249="","",[2]道具信息!G249)</f>
        <v>1</v>
      </c>
      <c r="H249" s="26">
        <f>IF([2]道具信息!H249="","",[2]道具信息!H249)</f>
        <v>0.3</v>
      </c>
      <c r="I249" s="26">
        <f>IF([2]道具信息!I249="","",[2]道具信息!I249)</f>
        <v>30</v>
      </c>
      <c r="J249" s="26">
        <f>IF([2]道具信息!J249="","",[2]道具信息!J249)</f>
        <v>30</v>
      </c>
      <c r="K249" s="26">
        <f>IF([2]道具信息!K249="","",[2]道具信息!K249)</f>
        <v>9</v>
      </c>
      <c r="L249" s="26" t="str">
        <f>IF([2]道具信息!L249="","",[2]道具信息!L249)</f>
        <v>使用后直接获得10000粮食、木材、石料和铜矿</v>
      </c>
      <c r="M249" s="26" t="str">
        <f>IF([2]道具信息!M249="","",[2]道具信息!M249)</f>
        <v/>
      </c>
      <c r="N249" s="26" t="str">
        <f>IF([2]道具信息!N249="","",[2]道具信息!N249)</f>
        <v/>
      </c>
      <c r="O249" s="26" t="str">
        <f>IF([2]道具信息!O249="","",[2]道具信息!O249)</f>
        <v/>
      </c>
      <c r="P249" s="26" t="str">
        <f>IF([2]道具信息!P249="","",[2]道具信息!P249)</f>
        <v/>
      </c>
      <c r="Q249" s="26" t="str">
        <f>IF([2]道具信息!Q249="","",[2]道具信息!Q249)</f>
        <v/>
      </c>
    </row>
    <row r="250" spans="3:17" x14ac:dyDescent="0.15">
      <c r="C250" s="26">
        <f>IF([2]道具信息!C250="","",[2]道具信息!C250)</f>
        <v>21032</v>
      </c>
      <c r="D250" s="26" t="str">
        <f>IF([2]道具信息!D250="","",[2]道具信息!D250)</f>
        <v>初级资源宝箱</v>
      </c>
      <c r="E250" s="26">
        <f>IF([2]道具信息!E250="","",[2]道具信息!E250)</f>
        <v>80</v>
      </c>
      <c r="F250" s="26">
        <f>IF([2]道具信息!F250="","",[2]道具信息!F250)</f>
        <v>1</v>
      </c>
      <c r="G250" s="26">
        <f>IF([2]道具信息!G250="","",[2]道具信息!G250)</f>
        <v>1</v>
      </c>
      <c r="H250" s="26">
        <f>IF([2]道具信息!H250="","",[2]道具信息!H250)</f>
        <v>0.3</v>
      </c>
      <c r="I250" s="26">
        <f>IF([2]道具信息!I250="","",[2]道具信息!I250)</f>
        <v>80</v>
      </c>
      <c r="J250" s="26">
        <f>IF([2]道具信息!J250="","",[2]道具信息!J250)</f>
        <v>80</v>
      </c>
      <c r="K250" s="26">
        <f>IF([2]道具信息!K250="","",[2]道具信息!K250)</f>
        <v>24</v>
      </c>
      <c r="L250" s="26" t="str">
        <f>IF([2]道具信息!L250="","",[2]道具信息!L250)</f>
        <v>使用后直接获得50000粮食、木材、石料和铜矿</v>
      </c>
      <c r="M250" s="26" t="str">
        <f>IF([2]道具信息!M250="","",[2]道具信息!M250)</f>
        <v/>
      </c>
      <c r="N250" s="26" t="str">
        <f>IF([2]道具信息!N250="","",[2]道具信息!N250)</f>
        <v/>
      </c>
      <c r="O250" s="26" t="str">
        <f>IF([2]道具信息!O250="","",[2]道具信息!O250)</f>
        <v/>
      </c>
      <c r="P250" s="26" t="str">
        <f>IF([2]道具信息!P250="","",[2]道具信息!P250)</f>
        <v/>
      </c>
      <c r="Q250" s="26" t="str">
        <f>IF([2]道具信息!Q250="","",[2]道具信息!Q250)</f>
        <v/>
      </c>
    </row>
    <row r="251" spans="3:17" x14ac:dyDescent="0.15">
      <c r="C251" s="26">
        <f>IF([2]道具信息!C251="","",[2]道具信息!C251)</f>
        <v>21033</v>
      </c>
      <c r="D251" s="26" t="str">
        <f>IF([2]道具信息!D251="","",[2]道具信息!D251)</f>
        <v>中级资源宝箱</v>
      </c>
      <c r="E251" s="26">
        <f>IF([2]道具信息!E251="","",[2]道具信息!E251)</f>
        <v>180</v>
      </c>
      <c r="F251" s="26">
        <f>IF([2]道具信息!F251="","",[2]道具信息!F251)</f>
        <v>1.333</v>
      </c>
      <c r="G251" s="26">
        <f>IF([2]道具信息!G251="","",[2]道具信息!G251)</f>
        <v>1</v>
      </c>
      <c r="H251" s="26">
        <f>IF([2]道具信息!H251="","",[2]道具信息!H251)</f>
        <v>0.3</v>
      </c>
      <c r="I251" s="26">
        <f>IF([2]道具信息!I251="","",[2]道具信息!I251)</f>
        <v>239.94</v>
      </c>
      <c r="J251" s="26">
        <f>IF([2]道具信息!J251="","",[2]道具信息!J251)</f>
        <v>180</v>
      </c>
      <c r="K251" s="26">
        <f>IF([2]道具信息!K251="","",[2]道具信息!K251)</f>
        <v>54</v>
      </c>
      <c r="L251" s="26" t="str">
        <f>IF([2]道具信息!L251="","",[2]道具信息!L251)</f>
        <v>使用后直接获得150000粮食、木材、石料和铜矿</v>
      </c>
      <c r="M251" s="26" t="str">
        <f>IF([2]道具信息!M251="","",[2]道具信息!M251)</f>
        <v/>
      </c>
      <c r="N251" s="26" t="str">
        <f>IF([2]道具信息!N251="","",[2]道具信息!N251)</f>
        <v/>
      </c>
      <c r="O251" s="26" t="str">
        <f>IF([2]道具信息!O251="","",[2]道具信息!O251)</f>
        <v/>
      </c>
      <c r="P251" s="26" t="str">
        <f>IF([2]道具信息!P251="","",[2]道具信息!P251)</f>
        <v/>
      </c>
      <c r="Q251" s="26" t="str">
        <f>IF([2]道具信息!Q251="","",[2]道具信息!Q251)</f>
        <v/>
      </c>
    </row>
    <row r="252" spans="3:17" x14ac:dyDescent="0.15">
      <c r="C252" s="26">
        <f>IF([2]道具信息!C252="","",[2]道具信息!C252)</f>
        <v>21034</v>
      </c>
      <c r="D252" s="26" t="str">
        <f>IF([2]道具信息!D252="","",[2]道具信息!D252)</f>
        <v>高级资源宝箱</v>
      </c>
      <c r="E252" s="26">
        <f>IF([2]道具信息!E252="","",[2]道具信息!E252)</f>
        <v>400</v>
      </c>
      <c r="F252" s="26">
        <f>IF([2]道具信息!F252="","",[2]道具信息!F252)</f>
        <v>2</v>
      </c>
      <c r="G252" s="26">
        <f>IF([2]道具信息!G252="","",[2]道具信息!G252)</f>
        <v>1</v>
      </c>
      <c r="H252" s="26">
        <f>IF([2]道具信息!H252="","",[2]道具信息!H252)</f>
        <v>0.3</v>
      </c>
      <c r="I252" s="26">
        <f>IF([2]道具信息!I252="","",[2]道具信息!I252)</f>
        <v>800</v>
      </c>
      <c r="J252" s="26">
        <f>IF([2]道具信息!J252="","",[2]道具信息!J252)</f>
        <v>400</v>
      </c>
      <c r="K252" s="26">
        <f>IF([2]道具信息!K252="","",[2]道具信息!K252)</f>
        <v>120</v>
      </c>
      <c r="L252" s="26" t="str">
        <f>IF([2]道具信息!L252="","",[2]道具信息!L252)</f>
        <v>使用后直接获得500000粮食、木材、石料和铜矿</v>
      </c>
      <c r="M252" s="26" t="str">
        <f>IF([2]道具信息!M252="","",[2]道具信息!M252)</f>
        <v/>
      </c>
      <c r="N252" s="26" t="str">
        <f>IF([2]道具信息!N252="","",[2]道具信息!N252)</f>
        <v/>
      </c>
      <c r="O252" s="26" t="str">
        <f>IF([2]道具信息!O252="","",[2]道具信息!O252)</f>
        <v/>
      </c>
      <c r="P252" s="26" t="str">
        <f>IF([2]道具信息!P252="","",[2]道具信息!P252)</f>
        <v/>
      </c>
      <c r="Q252" s="26" t="str">
        <f>IF([2]道具信息!Q252="","",[2]道具信息!Q252)</f>
        <v/>
      </c>
    </row>
    <row r="253" spans="3:17" x14ac:dyDescent="0.15">
      <c r="C253" s="26" t="str">
        <f>IF([2]道具信息!C253="","",[2]道具信息!C253)</f>
        <v/>
      </c>
      <c r="D253" s="26" t="str">
        <f>IF([2]道具信息!D253="","",[2]道具信息!D253)</f>
        <v/>
      </c>
      <c r="E253" s="26" t="str">
        <f>IF([2]道具信息!E253="","",[2]道具信息!E253)</f>
        <v/>
      </c>
      <c r="F253" s="26" t="str">
        <f>IF([2]道具信息!F253="","",[2]道具信息!F253)</f>
        <v/>
      </c>
      <c r="G253" s="26" t="str">
        <f>IF([2]道具信息!G253="","",[2]道具信息!G253)</f>
        <v/>
      </c>
      <c r="H253" s="26" t="str">
        <f>IF([2]道具信息!H253="","",[2]道具信息!H253)</f>
        <v/>
      </c>
      <c r="I253" s="26" t="str">
        <f>IF([2]道具信息!I253="","",[2]道具信息!I253)</f>
        <v/>
      </c>
      <c r="J253" s="26" t="str">
        <f>IF([2]道具信息!J253="","",[2]道具信息!J253)</f>
        <v/>
      </c>
      <c r="K253" s="26" t="str">
        <f>IF([2]道具信息!K253="","",[2]道具信息!K253)</f>
        <v/>
      </c>
      <c r="L253" s="26" t="str">
        <f>IF([2]道具信息!L253="","",[2]道具信息!L253)</f>
        <v/>
      </c>
      <c r="M253" s="26" t="str">
        <f>IF([2]道具信息!M253="","",[2]道具信息!M253)</f>
        <v/>
      </c>
      <c r="N253" s="26" t="str">
        <f>IF([2]道具信息!N253="","",[2]道具信息!N253)</f>
        <v/>
      </c>
      <c r="O253" s="26" t="str">
        <f>IF([2]道具信息!O253="","",[2]道具信息!O253)</f>
        <v/>
      </c>
      <c r="P253" s="26" t="str">
        <f>IF([2]道具信息!P253="","",[2]道具信息!P253)</f>
        <v/>
      </c>
      <c r="Q253" s="26" t="str">
        <f>IF([2]道具信息!Q253="","",[2]道具信息!Q253)</f>
        <v/>
      </c>
    </row>
    <row r="254" spans="3:17" x14ac:dyDescent="0.15">
      <c r="C254" s="26">
        <f>IF([2]道具信息!C254="","",[2]道具信息!C254)</f>
        <v>21061</v>
      </c>
      <c r="D254" s="26" t="str">
        <f>IF([2]道具信息!D254="","",[2]道具信息!D254)</f>
        <v>初级经验书</v>
      </c>
      <c r="E254" s="26">
        <f>IF([2]道具信息!E254="","",[2]道具信息!E254)</f>
        <v>2</v>
      </c>
      <c r="F254" s="26">
        <f>IF([2]道具信息!F254="","",[2]道具信息!F254)</f>
        <v>1</v>
      </c>
      <c r="G254" s="26">
        <f>IF([2]道具信息!G254="","",[2]道具信息!G254)</f>
        <v>1</v>
      </c>
      <c r="H254" s="26">
        <f>IF([2]道具信息!H254="","",[2]道具信息!H254)</f>
        <v>1</v>
      </c>
      <c r="I254" s="26">
        <f>IF([2]道具信息!I254="","",[2]道具信息!I254)</f>
        <v>2</v>
      </c>
      <c r="J254" s="26">
        <f>IF([2]道具信息!J254="","",[2]道具信息!J254)</f>
        <v>2</v>
      </c>
      <c r="K254" s="26">
        <f>IF([2]道具信息!K254="","",[2]道具信息!K254)</f>
        <v>2</v>
      </c>
      <c r="L254" s="26" t="str">
        <f>IF([2]道具信息!L254="","",[2]道具信息!L254)</f>
        <v>武将使用后获得200经验</v>
      </c>
      <c r="M254" s="26" t="str">
        <f>IF([2]道具信息!M254="","",[2]道具信息!M254)</f>
        <v/>
      </c>
      <c r="N254" s="26" t="str">
        <f>IF([2]道具信息!N254="","",[2]道具信息!N254)</f>
        <v/>
      </c>
      <c r="O254" s="26" t="str">
        <f>IF([2]道具信息!O254="","",[2]道具信息!O254)</f>
        <v/>
      </c>
      <c r="P254" s="26" t="str">
        <f>IF([2]道具信息!P254="","",[2]道具信息!P254)</f>
        <v/>
      </c>
      <c r="Q254" s="26" t="str">
        <f>IF([2]道具信息!Q254="","",[2]道具信息!Q254)</f>
        <v/>
      </c>
    </row>
    <row r="255" spans="3:17" x14ac:dyDescent="0.15">
      <c r="C255" s="26">
        <f>IF([2]道具信息!C255="","",[2]道具信息!C255)</f>
        <v>21062</v>
      </c>
      <c r="D255" s="26" t="str">
        <f>IF([2]道具信息!D255="","",[2]道具信息!D255)</f>
        <v>中级经验书</v>
      </c>
      <c r="E255" s="26">
        <f>IF([2]道具信息!E255="","",[2]道具信息!E255)</f>
        <v>5</v>
      </c>
      <c r="F255" s="26">
        <f>IF([2]道具信息!F255="","",[2]道具信息!F255)</f>
        <v>1</v>
      </c>
      <c r="G255" s="26">
        <f>IF([2]道具信息!G255="","",[2]道具信息!G255)</f>
        <v>1</v>
      </c>
      <c r="H255" s="26">
        <f>IF([2]道具信息!H255="","",[2]道具信息!H255)</f>
        <v>1</v>
      </c>
      <c r="I255" s="26">
        <f>IF([2]道具信息!I255="","",[2]道具信息!I255)</f>
        <v>5</v>
      </c>
      <c r="J255" s="26">
        <f>IF([2]道具信息!J255="","",[2]道具信息!J255)</f>
        <v>5</v>
      </c>
      <c r="K255" s="26">
        <f>IF([2]道具信息!K255="","",[2]道具信息!K255)</f>
        <v>5</v>
      </c>
      <c r="L255" s="26" t="str">
        <f>IF([2]道具信息!L255="","",[2]道具信息!L255)</f>
        <v>武将使用后获得1000经验</v>
      </c>
      <c r="M255" s="26" t="str">
        <f>IF([2]道具信息!M255="","",[2]道具信息!M255)</f>
        <v/>
      </c>
      <c r="N255" s="26" t="str">
        <f>IF([2]道具信息!N255="","",[2]道具信息!N255)</f>
        <v/>
      </c>
      <c r="O255" s="26" t="str">
        <f>IF([2]道具信息!O255="","",[2]道具信息!O255)</f>
        <v/>
      </c>
      <c r="P255" s="26" t="str">
        <f>IF([2]道具信息!P255="","",[2]道具信息!P255)</f>
        <v/>
      </c>
      <c r="Q255" s="26" t="str">
        <f>IF([2]道具信息!Q255="","",[2]道具信息!Q255)</f>
        <v/>
      </c>
    </row>
    <row r="256" spans="3:17" x14ac:dyDescent="0.15">
      <c r="C256" s="26">
        <f>IF([2]道具信息!C256="","",[2]道具信息!C256)</f>
        <v>21063</v>
      </c>
      <c r="D256" s="26" t="str">
        <f>IF([2]道具信息!D256="","",[2]道具信息!D256)</f>
        <v>高级经验书</v>
      </c>
      <c r="E256" s="26">
        <f>IF([2]道具信息!E256="","",[2]道具信息!E256)</f>
        <v>10</v>
      </c>
      <c r="F256" s="26">
        <f>IF([2]道具信息!F256="","",[2]道具信息!F256)</f>
        <v>1</v>
      </c>
      <c r="G256" s="26">
        <f>IF([2]道具信息!G256="","",[2]道具信息!G256)</f>
        <v>1</v>
      </c>
      <c r="H256" s="26">
        <f>IF([2]道具信息!H256="","",[2]道具信息!H256)</f>
        <v>1</v>
      </c>
      <c r="I256" s="26">
        <f>IF([2]道具信息!I256="","",[2]道具信息!I256)</f>
        <v>10</v>
      </c>
      <c r="J256" s="26">
        <f>IF([2]道具信息!J256="","",[2]道具信息!J256)</f>
        <v>10</v>
      </c>
      <c r="K256" s="26">
        <f>IF([2]道具信息!K256="","",[2]道具信息!K256)</f>
        <v>10</v>
      </c>
      <c r="L256" s="26" t="str">
        <f>IF([2]道具信息!L256="","",[2]道具信息!L256)</f>
        <v>武将使用后获得5000经验</v>
      </c>
      <c r="M256" s="26" t="str">
        <f>IF([2]道具信息!M256="","",[2]道具信息!M256)</f>
        <v/>
      </c>
      <c r="N256" s="26" t="str">
        <f>IF([2]道具信息!N256="","",[2]道具信息!N256)</f>
        <v/>
      </c>
      <c r="O256" s="26" t="str">
        <f>IF([2]道具信息!O256="","",[2]道具信息!O256)</f>
        <v/>
      </c>
      <c r="P256" s="26" t="str">
        <f>IF([2]道具信息!P256="","",[2]道具信息!P256)</f>
        <v/>
      </c>
      <c r="Q256" s="26" t="str">
        <f>IF([2]道具信息!Q256="","",[2]道具信息!Q256)</f>
        <v/>
      </c>
    </row>
    <row r="257" spans="3:17" x14ac:dyDescent="0.15">
      <c r="C257" s="26">
        <f>IF([2]道具信息!C257="","",[2]道具信息!C257)</f>
        <v>21064</v>
      </c>
      <c r="D257" s="26" t="str">
        <f>IF([2]道具信息!D257="","",[2]道具信息!D257)</f>
        <v>特级经验书</v>
      </c>
      <c r="E257" s="26">
        <f>IF([2]道具信息!E257="","",[2]道具信息!E257)</f>
        <v>20</v>
      </c>
      <c r="F257" s="26">
        <f>IF([2]道具信息!F257="","",[2]道具信息!F257)</f>
        <v>2</v>
      </c>
      <c r="G257" s="26">
        <f>IF([2]道具信息!G257="","",[2]道具信息!G257)</f>
        <v>1</v>
      </c>
      <c r="H257" s="26">
        <f>IF([2]道具信息!H257="","",[2]道具信息!H257)</f>
        <v>1</v>
      </c>
      <c r="I257" s="26">
        <f>IF([2]道具信息!I257="","",[2]道具信息!I257)</f>
        <v>40</v>
      </c>
      <c r="J257" s="26">
        <f>IF([2]道具信息!J257="","",[2]道具信息!J257)</f>
        <v>20</v>
      </c>
      <c r="K257" s="26">
        <f>IF([2]道具信息!K257="","",[2]道具信息!K257)</f>
        <v>20</v>
      </c>
      <c r="L257" s="26" t="str">
        <f>IF([2]道具信息!L257="","",[2]道具信息!L257)</f>
        <v>武将使用后获得20000经验</v>
      </c>
      <c r="M257" s="26" t="str">
        <f>IF([2]道具信息!M257="","",[2]道具信息!M257)</f>
        <v/>
      </c>
      <c r="N257" s="26" t="str">
        <f>IF([2]道具信息!N257="","",[2]道具信息!N257)</f>
        <v/>
      </c>
      <c r="O257" s="26" t="str">
        <f>IF([2]道具信息!O257="","",[2]道具信息!O257)</f>
        <v/>
      </c>
      <c r="P257" s="26" t="str">
        <f>IF([2]道具信息!P257="","",[2]道具信息!P257)</f>
        <v/>
      </c>
      <c r="Q257" s="26" t="str">
        <f>IF([2]道具信息!Q257="","",[2]道具信息!Q257)</f>
        <v/>
      </c>
    </row>
    <row r="258" spans="3:17" x14ac:dyDescent="0.15">
      <c r="C258" s="26">
        <f>IF([2]道具信息!C258="","",[2]道具信息!C258)</f>
        <v>21065</v>
      </c>
      <c r="D258" s="26" t="str">
        <f>IF([2]道具信息!D258="","",[2]道具信息!D258)</f>
        <v>超级经验书</v>
      </c>
      <c r="E258" s="26">
        <f>IF([2]道具信息!E258="","",[2]道具信息!E258)</f>
        <v>40</v>
      </c>
      <c r="F258" s="26">
        <f>IF([2]道具信息!F258="","",[2]道具信息!F258)</f>
        <v>5</v>
      </c>
      <c r="G258" s="26">
        <f>IF([2]道具信息!G258="","",[2]道具信息!G258)</f>
        <v>1</v>
      </c>
      <c r="H258" s="26">
        <f>IF([2]道具信息!H258="","",[2]道具信息!H258)</f>
        <v>1</v>
      </c>
      <c r="I258" s="26">
        <f>IF([2]道具信息!I258="","",[2]道具信息!I258)</f>
        <v>200</v>
      </c>
      <c r="J258" s="26">
        <f>IF([2]道具信息!J258="","",[2]道具信息!J258)</f>
        <v>40</v>
      </c>
      <c r="K258" s="26">
        <f>IF([2]道具信息!K258="","",[2]道具信息!K258)</f>
        <v>40</v>
      </c>
      <c r="L258" s="26" t="str">
        <f>IF([2]道具信息!L258="","",[2]道具信息!L258)</f>
        <v>武将使用后获得100000经验</v>
      </c>
      <c r="M258" s="26" t="str">
        <f>IF([2]道具信息!M258="","",[2]道具信息!M258)</f>
        <v/>
      </c>
      <c r="N258" s="26" t="str">
        <f>IF([2]道具信息!N258="","",[2]道具信息!N258)</f>
        <v/>
      </c>
      <c r="O258" s="26" t="str">
        <f>IF([2]道具信息!O258="","",[2]道具信息!O258)</f>
        <v/>
      </c>
      <c r="P258" s="26" t="str">
        <f>IF([2]道具信息!P258="","",[2]道具信息!P258)</f>
        <v/>
      </c>
      <c r="Q258" s="26" t="str">
        <f>IF([2]道具信息!Q258="","",[2]道具信息!Q258)</f>
        <v/>
      </c>
    </row>
    <row r="259" spans="3:17" x14ac:dyDescent="0.15">
      <c r="C259" s="26" t="str">
        <f>IF([2]道具信息!C259="","",[2]道具信息!C259)</f>
        <v/>
      </c>
      <c r="D259" s="26" t="str">
        <f>IF([2]道具信息!D259="","",[2]道具信息!D259)</f>
        <v/>
      </c>
      <c r="E259" s="26" t="str">
        <f>IF([2]道具信息!E259="","",[2]道具信息!E259)</f>
        <v/>
      </c>
      <c r="F259" s="26" t="str">
        <f>IF([2]道具信息!F259="","",[2]道具信息!F259)</f>
        <v/>
      </c>
      <c r="G259" s="26" t="str">
        <f>IF([2]道具信息!G259="","",[2]道具信息!G259)</f>
        <v/>
      </c>
      <c r="H259" s="26" t="str">
        <f>IF([2]道具信息!H259="","",[2]道具信息!H259)</f>
        <v/>
      </c>
      <c r="I259" s="26" t="str">
        <f>IF([2]道具信息!I259="","",[2]道具信息!I259)</f>
        <v/>
      </c>
      <c r="J259" s="26" t="str">
        <f>IF([2]道具信息!J259="","",[2]道具信息!J259)</f>
        <v/>
      </c>
      <c r="K259" s="26" t="str">
        <f>IF([2]道具信息!K259="","",[2]道具信息!K259)</f>
        <v/>
      </c>
      <c r="L259" s="26" t="str">
        <f>IF([2]道具信息!L259="","",[2]道具信息!L259)</f>
        <v/>
      </c>
      <c r="M259" s="26" t="str">
        <f>IF([2]道具信息!M259="","",[2]道具信息!M259)</f>
        <v/>
      </c>
      <c r="N259" s="26" t="str">
        <f>IF([2]道具信息!N259="","",[2]道具信息!N259)</f>
        <v/>
      </c>
      <c r="O259" s="26" t="str">
        <f>IF([2]道具信息!O259="","",[2]道具信息!O259)</f>
        <v/>
      </c>
      <c r="P259" s="26" t="str">
        <f>IF([2]道具信息!P259="","",[2]道具信息!P259)</f>
        <v/>
      </c>
      <c r="Q259" s="26" t="str">
        <f>IF([2]道具信息!Q259="","",[2]道具信息!Q259)</f>
        <v/>
      </c>
    </row>
    <row r="260" spans="3:17" x14ac:dyDescent="0.15">
      <c r="C260" s="26">
        <f>IF([2]道具信息!C260="","",[2]道具信息!C260)</f>
        <v>21073</v>
      </c>
      <c r="D260" s="26" t="str">
        <f>IF([2]道具信息!D260="","",[2]道具信息!D260)</f>
        <v>1个行军令</v>
      </c>
      <c r="E260" s="26">
        <f>IF([2]道具信息!E260="","",[2]道具信息!E260)</f>
        <v>75</v>
      </c>
      <c r="F260" s="26">
        <f>IF([2]道具信息!F260="","",[2]道具信息!F260)</f>
        <v>1</v>
      </c>
      <c r="G260" s="26">
        <f>IF([2]道具信息!G260="","",[2]道具信息!G260)</f>
        <v>1</v>
      </c>
      <c r="H260" s="26">
        <f>IF([2]道具信息!H260="","",[2]道具信息!H260)</f>
        <v>1</v>
      </c>
      <c r="I260" s="26">
        <f>IF([2]道具信息!I260="","",[2]道具信息!I260)</f>
        <v>75</v>
      </c>
      <c r="J260" s="26">
        <f>IF([2]道具信息!J260="","",[2]道具信息!J260)</f>
        <v>75</v>
      </c>
      <c r="K260" s="26">
        <f>IF([2]道具信息!K260="","",[2]道具信息!K260)</f>
        <v>75</v>
      </c>
      <c r="L260" s="26" t="str">
        <f>IF([2]道具信息!L260="","",[2]道具信息!L260)</f>
        <v>使用后获得1个行军令</v>
      </c>
      <c r="M260" s="26" t="str">
        <f>IF([2]道具信息!M260="","",[2]道具信息!M260)</f>
        <v/>
      </c>
      <c r="N260" s="26" t="str">
        <f>IF([2]道具信息!N260="","",[2]道具信息!N260)</f>
        <v/>
      </c>
      <c r="O260" s="26" t="str">
        <f>IF([2]道具信息!O260="","",[2]道具信息!O260)</f>
        <v/>
      </c>
      <c r="P260" s="26" t="str">
        <f>IF([2]道具信息!P260="","",[2]道具信息!P260)</f>
        <v/>
      </c>
      <c r="Q260" s="26" t="str">
        <f>IF([2]道具信息!Q260="","",[2]道具信息!Q260)</f>
        <v/>
      </c>
    </row>
    <row r="261" spans="3:17" x14ac:dyDescent="0.15">
      <c r="C261" s="26">
        <f>IF([2]道具信息!C261="","",[2]道具信息!C261)</f>
        <v>21074</v>
      </c>
      <c r="D261" s="26" t="str">
        <f>IF([2]道具信息!D261="","",[2]道具信息!D261)</f>
        <v>大捆行军令</v>
      </c>
      <c r="E261" s="26">
        <f>IF([2]道具信息!E261="","",[2]道具信息!E261)</f>
        <v>225</v>
      </c>
      <c r="F261" s="26">
        <f>IF([2]道具信息!F261="","",[2]道具信息!F261)</f>
        <v>1</v>
      </c>
      <c r="G261" s="26">
        <f>IF([2]道具信息!G261="","",[2]道具信息!G261)</f>
        <v>1</v>
      </c>
      <c r="H261" s="26">
        <f>IF([2]道具信息!H261="","",[2]道具信息!H261)</f>
        <v>1</v>
      </c>
      <c r="I261" s="26">
        <f>IF([2]道具信息!I261="","",[2]道具信息!I261)</f>
        <v>225</v>
      </c>
      <c r="J261" s="26">
        <f>IF([2]道具信息!J261="","",[2]道具信息!J261)</f>
        <v>225</v>
      </c>
      <c r="K261" s="26">
        <f>IF([2]道具信息!K261="","",[2]道具信息!K261)</f>
        <v>225</v>
      </c>
      <c r="L261" s="26" t="str">
        <f>IF([2]道具信息!L261="","",[2]道具信息!L261)</f>
        <v>使用后获得3个行军令</v>
      </c>
      <c r="M261" s="26" t="str">
        <f>IF([2]道具信息!M261="","",[2]道具信息!M261)</f>
        <v/>
      </c>
      <c r="N261" s="26" t="str">
        <f>IF([2]道具信息!N261="","",[2]道具信息!N261)</f>
        <v/>
      </c>
      <c r="O261" s="26" t="str">
        <f>IF([2]道具信息!O261="","",[2]道具信息!O261)</f>
        <v/>
      </c>
      <c r="P261" s="26" t="str">
        <f>IF([2]道具信息!P261="","",[2]道具信息!P261)</f>
        <v/>
      </c>
      <c r="Q261" s="26" t="str">
        <f>IF([2]道具信息!Q261="","",[2]道具信息!Q261)</f>
        <v/>
      </c>
    </row>
    <row r="262" spans="3:17" x14ac:dyDescent="0.15">
      <c r="C262" s="26" t="str">
        <f>IF([2]道具信息!C262="","",[2]道具信息!C262)</f>
        <v/>
      </c>
      <c r="D262" s="26" t="str">
        <f>IF([2]道具信息!D262="","",[2]道具信息!D262)</f>
        <v/>
      </c>
      <c r="E262" s="26" t="str">
        <f>IF([2]道具信息!E262="","",[2]道具信息!E262)</f>
        <v/>
      </c>
      <c r="F262" s="26" t="str">
        <f>IF([2]道具信息!F262="","",[2]道具信息!F262)</f>
        <v/>
      </c>
      <c r="G262" s="26" t="str">
        <f>IF([2]道具信息!G262="","",[2]道具信息!G262)</f>
        <v/>
      </c>
      <c r="H262" s="26" t="str">
        <f>IF([2]道具信息!H262="","",[2]道具信息!H262)</f>
        <v/>
      </c>
      <c r="I262" s="26" t="str">
        <f>IF([2]道具信息!I262="","",[2]道具信息!I262)</f>
        <v/>
      </c>
      <c r="J262" s="26" t="str">
        <f>IF([2]道具信息!J262="","",[2]道具信息!J262)</f>
        <v/>
      </c>
      <c r="K262" s="26" t="str">
        <f>IF([2]道具信息!K262="","",[2]道具信息!K262)</f>
        <v/>
      </c>
      <c r="L262" s="26" t="str">
        <f>IF([2]道具信息!L262="","",[2]道具信息!L262)</f>
        <v/>
      </c>
      <c r="M262" s="26" t="str">
        <f>IF([2]道具信息!M262="","",[2]道具信息!M262)</f>
        <v/>
      </c>
      <c r="N262" s="26" t="str">
        <f>IF([2]道具信息!N262="","",[2]道具信息!N262)</f>
        <v/>
      </c>
      <c r="O262" s="26" t="str">
        <f>IF([2]道具信息!O262="","",[2]道具信息!O262)</f>
        <v/>
      </c>
      <c r="P262" s="26" t="str">
        <f>IF([2]道具信息!P262="","",[2]道具信息!P262)</f>
        <v/>
      </c>
      <c r="Q262" s="26" t="str">
        <f>IF([2]道具信息!Q262="","",[2]道具信息!Q262)</f>
        <v/>
      </c>
    </row>
    <row r="263" spans="3:17" x14ac:dyDescent="0.15">
      <c r="C263" s="26">
        <f>IF([2]道具信息!C263="","",[2]道具信息!C263)</f>
        <v>21081</v>
      </c>
      <c r="D263" s="26" t="str">
        <f>IF([2]道具信息!D263="","",[2]道具信息!D263)</f>
        <v>木材增产令</v>
      </c>
      <c r="E263" s="26">
        <f>IF([2]道具信息!E263="","",[2]道具信息!E263)</f>
        <v>35</v>
      </c>
      <c r="F263" s="26">
        <f>IF([2]道具信息!F263="","",[2]道具信息!F263)</f>
        <v>1</v>
      </c>
      <c r="G263" s="26">
        <f>IF([2]道具信息!G263="","",[2]道具信息!G263)</f>
        <v>1</v>
      </c>
      <c r="H263" s="26">
        <f>IF([2]道具信息!H263="","",[2]道具信息!H263)</f>
        <v>1</v>
      </c>
      <c r="I263" s="26">
        <f>IF([2]道具信息!I263="","",[2]道具信息!I263)</f>
        <v>35</v>
      </c>
      <c r="J263" s="26">
        <f>IF([2]道具信息!J263="","",[2]道具信息!J263)</f>
        <v>35</v>
      </c>
      <c r="K263" s="26">
        <f>IF([2]道具信息!K263="","",[2]道具信息!K263)</f>
        <v>35</v>
      </c>
      <c r="L263" s="26" t="str">
        <f>IF([2]道具信息!L263="","",[2]道具信息!L263)</f>
        <v>使用后伐木场产量提高50%，持续12小时</v>
      </c>
      <c r="M263" s="26" t="str">
        <f>IF([2]道具信息!M263="","",[2]道具信息!M263)</f>
        <v/>
      </c>
      <c r="N263" s="26" t="str">
        <f>IF([2]道具信息!N263="","",[2]道具信息!N263)</f>
        <v/>
      </c>
      <c r="O263" s="26" t="str">
        <f>IF([2]道具信息!O263="","",[2]道具信息!O263)</f>
        <v/>
      </c>
      <c r="P263" s="26" t="str">
        <f>IF([2]道具信息!P263="","",[2]道具信息!P263)</f>
        <v/>
      </c>
      <c r="Q263" s="26" t="str">
        <f>IF([2]道具信息!Q263="","",[2]道具信息!Q263)</f>
        <v/>
      </c>
    </row>
    <row r="264" spans="3:17" x14ac:dyDescent="0.15">
      <c r="C264" s="26">
        <f>IF([2]道具信息!C264="","",[2]道具信息!C264)</f>
        <v>21082</v>
      </c>
      <c r="D264" s="26" t="str">
        <f>IF([2]道具信息!D264="","",[2]道具信息!D264)</f>
        <v>铁矿增产令</v>
      </c>
      <c r="E264" s="26">
        <f>IF([2]道具信息!E264="","",[2]道具信息!E264)</f>
        <v>50</v>
      </c>
      <c r="F264" s="26">
        <f>IF([2]道具信息!F264="","",[2]道具信息!F264)</f>
        <v>1</v>
      </c>
      <c r="G264" s="26">
        <f>IF([2]道具信息!G264="","",[2]道具信息!G264)</f>
        <v>1</v>
      </c>
      <c r="H264" s="26">
        <f>IF([2]道具信息!H264="","",[2]道具信息!H264)</f>
        <v>1</v>
      </c>
      <c r="I264" s="26">
        <f>IF([2]道具信息!I264="","",[2]道具信息!I264)</f>
        <v>50</v>
      </c>
      <c r="J264" s="26">
        <f>IF([2]道具信息!J264="","",[2]道具信息!J264)</f>
        <v>50</v>
      </c>
      <c r="K264" s="26">
        <f>IF([2]道具信息!K264="","",[2]道具信息!K264)</f>
        <v>50</v>
      </c>
      <c r="L264" s="26" t="str">
        <f>IF([2]道具信息!L264="","",[2]道具信息!L264)</f>
        <v>使用后冶炼厂产量提高50%，持续12小时</v>
      </c>
      <c r="M264" s="26" t="str">
        <f>IF([2]道具信息!M264="","",[2]道具信息!M264)</f>
        <v/>
      </c>
      <c r="N264" s="26" t="str">
        <f>IF([2]道具信息!N264="","",[2]道具信息!N264)</f>
        <v/>
      </c>
      <c r="O264" s="26" t="str">
        <f>IF([2]道具信息!O264="","",[2]道具信息!O264)</f>
        <v/>
      </c>
      <c r="P264" s="26" t="str">
        <f>IF([2]道具信息!P264="","",[2]道具信息!P264)</f>
        <v/>
      </c>
      <c r="Q264" s="26" t="str">
        <f>IF([2]道具信息!Q264="","",[2]道具信息!Q264)</f>
        <v/>
      </c>
    </row>
    <row r="265" spans="3:17" x14ac:dyDescent="0.15">
      <c r="C265" s="26">
        <f>IF([2]道具信息!C265="","",[2]道具信息!C265)</f>
        <v>21083</v>
      </c>
      <c r="D265" s="26" t="str">
        <f>IF([2]道具信息!D265="","",[2]道具信息!D265)</f>
        <v>石料增产令</v>
      </c>
      <c r="E265" s="26">
        <f>IF([2]道具信息!E265="","",[2]道具信息!E265)</f>
        <v>35</v>
      </c>
      <c r="F265" s="26">
        <f>IF([2]道具信息!F265="","",[2]道具信息!F265)</f>
        <v>1</v>
      </c>
      <c r="G265" s="26">
        <f>IF([2]道具信息!G265="","",[2]道具信息!G265)</f>
        <v>1</v>
      </c>
      <c r="H265" s="26">
        <f>IF([2]道具信息!H265="","",[2]道具信息!H265)</f>
        <v>1</v>
      </c>
      <c r="I265" s="26">
        <f>IF([2]道具信息!I265="","",[2]道具信息!I265)</f>
        <v>35</v>
      </c>
      <c r="J265" s="26">
        <f>IF([2]道具信息!J265="","",[2]道具信息!J265)</f>
        <v>35</v>
      </c>
      <c r="K265" s="26">
        <f>IF([2]道具信息!K265="","",[2]道具信息!K265)</f>
        <v>35</v>
      </c>
      <c r="L265" s="26" t="str">
        <f>IF([2]道具信息!L265="","",[2]道具信息!L265)</f>
        <v>使用后采石场产量提高50%，持续12小时</v>
      </c>
      <c r="M265" s="26" t="str">
        <f>IF([2]道具信息!M265="","",[2]道具信息!M265)</f>
        <v/>
      </c>
      <c r="N265" s="26" t="str">
        <f>IF([2]道具信息!N265="","",[2]道具信息!N265)</f>
        <v/>
      </c>
      <c r="O265" s="26" t="str">
        <f>IF([2]道具信息!O265="","",[2]道具信息!O265)</f>
        <v/>
      </c>
      <c r="P265" s="26" t="str">
        <f>IF([2]道具信息!P265="","",[2]道具信息!P265)</f>
        <v/>
      </c>
      <c r="Q265" s="26" t="str">
        <f>IF([2]道具信息!Q265="","",[2]道具信息!Q265)</f>
        <v/>
      </c>
    </row>
    <row r="266" spans="3:17" x14ac:dyDescent="0.15">
      <c r="C266" s="26">
        <f>IF([2]道具信息!C266="","",[2]道具信息!C266)</f>
        <v>21084</v>
      </c>
      <c r="D266" s="26" t="str">
        <f>IF([2]道具信息!D266="","",[2]道具信息!D266)</f>
        <v>粮食增产令</v>
      </c>
      <c r="E266" s="26">
        <f>IF([2]道具信息!E266="","",[2]道具信息!E266)</f>
        <v>35</v>
      </c>
      <c r="F266" s="26">
        <f>IF([2]道具信息!F266="","",[2]道具信息!F266)</f>
        <v>1</v>
      </c>
      <c r="G266" s="26">
        <f>IF([2]道具信息!G266="","",[2]道具信息!G266)</f>
        <v>1</v>
      </c>
      <c r="H266" s="26">
        <f>IF([2]道具信息!H266="","",[2]道具信息!H266)</f>
        <v>1</v>
      </c>
      <c r="I266" s="26">
        <f>IF([2]道具信息!I266="","",[2]道具信息!I266)</f>
        <v>35</v>
      </c>
      <c r="J266" s="26">
        <f>IF([2]道具信息!J266="","",[2]道具信息!J266)</f>
        <v>35</v>
      </c>
      <c r="K266" s="26">
        <f>IF([2]道具信息!K266="","",[2]道具信息!K266)</f>
        <v>35</v>
      </c>
      <c r="L266" s="26" t="str">
        <f>IF([2]道具信息!L266="","",[2]道具信息!L266)</f>
        <v>使用后农田产量提高50%，持续12小时</v>
      </c>
      <c r="M266" s="26" t="str">
        <f>IF([2]道具信息!M266="","",[2]道具信息!M266)</f>
        <v/>
      </c>
      <c r="N266" s="26" t="str">
        <f>IF([2]道具信息!N266="","",[2]道具信息!N266)</f>
        <v/>
      </c>
      <c r="O266" s="26" t="str">
        <f>IF([2]道具信息!O266="","",[2]道具信息!O266)</f>
        <v/>
      </c>
      <c r="P266" s="26" t="str">
        <f>IF([2]道具信息!P266="","",[2]道具信息!P266)</f>
        <v/>
      </c>
      <c r="Q266" s="26" t="str">
        <f>IF([2]道具信息!Q266="","",[2]道具信息!Q266)</f>
        <v/>
      </c>
    </row>
    <row r="267" spans="3:17" x14ac:dyDescent="0.15">
      <c r="C267" s="26">
        <f>IF([2]道具信息!C267="","",[2]道具信息!C267)</f>
        <v>21085</v>
      </c>
      <c r="D267" s="26" t="str">
        <f>IF([2]道具信息!D267="","",[2]道具信息!D267)</f>
        <v>赋税增收令</v>
      </c>
      <c r="E267" s="26">
        <f>IF([2]道具信息!E267="","",[2]道具信息!E267)</f>
        <v>85</v>
      </c>
      <c r="F267" s="26">
        <f>IF([2]道具信息!F267="","",[2]道具信息!F267)</f>
        <v>1</v>
      </c>
      <c r="G267" s="26">
        <f>IF([2]道具信息!G267="","",[2]道具信息!G267)</f>
        <v>1</v>
      </c>
      <c r="H267" s="26">
        <f>IF([2]道具信息!H267="","",[2]道具信息!H267)</f>
        <v>1</v>
      </c>
      <c r="I267" s="26">
        <f>IF([2]道具信息!I267="","",[2]道具信息!I267)</f>
        <v>85</v>
      </c>
      <c r="J267" s="26">
        <f>IF([2]道具信息!J267="","",[2]道具信息!J267)</f>
        <v>85</v>
      </c>
      <c r="K267" s="26">
        <f>IF([2]道具信息!K267="","",[2]道具信息!K267)</f>
        <v>85</v>
      </c>
      <c r="L267" s="26" t="str">
        <f>IF([2]道具信息!L267="","",[2]道具信息!L267)</f>
        <v>使用后民居税收提高25%，持续12小时</v>
      </c>
      <c r="M267" s="26" t="str">
        <f>IF([2]道具信息!M267="","",[2]道具信息!M267)</f>
        <v/>
      </c>
      <c r="N267" s="26" t="str">
        <f>IF([2]道具信息!N267="","",[2]道具信息!N267)</f>
        <v/>
      </c>
      <c r="O267" s="26" t="str">
        <f>IF([2]道具信息!O267="","",[2]道具信息!O267)</f>
        <v/>
      </c>
      <c r="P267" s="26" t="str">
        <f>IF([2]道具信息!P267="","",[2]道具信息!P267)</f>
        <v/>
      </c>
      <c r="Q267" s="26" t="str">
        <f>IF([2]道具信息!Q267="","",[2]道具信息!Q267)</f>
        <v/>
      </c>
    </row>
    <row r="268" spans="3:17" x14ac:dyDescent="0.15">
      <c r="C268" s="26">
        <f>IF([2]道具信息!C268="","",[2]道具信息!C268)</f>
        <v>21086</v>
      </c>
      <c r="D268" s="26" t="str">
        <f>IF([2]道具信息!D268="","",[2]道具信息!D268)</f>
        <v>铜矿增产令</v>
      </c>
      <c r="E268" s="26">
        <f>IF([2]道具信息!E268="","",[2]道具信息!E268)</f>
        <v>35</v>
      </c>
      <c r="F268" s="26">
        <f>IF([2]道具信息!F268="","",[2]道具信息!F268)</f>
        <v>1</v>
      </c>
      <c r="G268" s="26">
        <f>IF([2]道具信息!G268="","",[2]道具信息!G268)</f>
        <v>1</v>
      </c>
      <c r="H268" s="26">
        <f>IF([2]道具信息!H268="","",[2]道具信息!H268)</f>
        <v>1</v>
      </c>
      <c r="I268" s="26">
        <f>IF([2]道具信息!I268="","",[2]道具信息!I268)</f>
        <v>35</v>
      </c>
      <c r="J268" s="26">
        <f>IF([2]道具信息!J268="","",[2]道具信息!J268)</f>
        <v>35</v>
      </c>
      <c r="K268" s="26">
        <f>IF([2]道具信息!K268="","",[2]道具信息!K268)</f>
        <v>35</v>
      </c>
      <c r="L268" s="26" t="str">
        <f>IF([2]道具信息!L268="","",[2]道具信息!L268)</f>
        <v>使用后铜矿产量提高50%，持续12小时</v>
      </c>
      <c r="M268" s="26" t="str">
        <f>IF([2]道具信息!M268="","",[2]道具信息!M268)</f>
        <v/>
      </c>
      <c r="N268" s="26" t="str">
        <f>IF([2]道具信息!N268="","",[2]道具信息!N268)</f>
        <v/>
      </c>
      <c r="O268" s="26" t="str">
        <f>IF([2]道具信息!O268="","",[2]道具信息!O268)</f>
        <v/>
      </c>
      <c r="P268" s="26" t="str">
        <f>IF([2]道具信息!P268="","",[2]道具信息!P268)</f>
        <v/>
      </c>
      <c r="Q268" s="26" t="str">
        <f>IF([2]道具信息!Q268="","",[2]道具信息!Q268)</f>
        <v/>
      </c>
    </row>
    <row r="269" spans="3:17" x14ac:dyDescent="0.15">
      <c r="C269" s="26" t="str">
        <f>IF([2]道具信息!C269="","",[2]道具信息!C269)</f>
        <v/>
      </c>
      <c r="D269" s="26" t="str">
        <f>IF([2]道具信息!D269="","",[2]道具信息!D269)</f>
        <v/>
      </c>
      <c r="E269" s="26" t="str">
        <f>IF([2]道具信息!E269="","",[2]道具信息!E269)</f>
        <v/>
      </c>
      <c r="F269" s="26" t="str">
        <f>IF([2]道具信息!F269="","",[2]道具信息!F269)</f>
        <v/>
      </c>
      <c r="G269" s="26" t="str">
        <f>IF([2]道具信息!G269="","",[2]道具信息!G269)</f>
        <v/>
      </c>
      <c r="H269" s="26" t="str">
        <f>IF([2]道具信息!H269="","",[2]道具信息!H269)</f>
        <v/>
      </c>
      <c r="I269" s="26" t="str">
        <f>IF([2]道具信息!I269="","",[2]道具信息!I269)</f>
        <v/>
      </c>
      <c r="J269" s="26" t="str">
        <f>IF([2]道具信息!J269="","",[2]道具信息!J269)</f>
        <v/>
      </c>
      <c r="K269" s="26" t="str">
        <f>IF([2]道具信息!K269="","",[2]道具信息!K269)</f>
        <v/>
      </c>
      <c r="L269" s="26" t="str">
        <f>IF([2]道具信息!L269="","",[2]道具信息!L269)</f>
        <v/>
      </c>
      <c r="M269" s="26" t="str">
        <f>IF([2]道具信息!M269="","",[2]道具信息!M269)</f>
        <v/>
      </c>
      <c r="N269" s="26" t="str">
        <f>IF([2]道具信息!N269="","",[2]道具信息!N269)</f>
        <v/>
      </c>
      <c r="O269" s="26" t="str">
        <f>IF([2]道具信息!O269="","",[2]道具信息!O269)</f>
        <v/>
      </c>
      <c r="P269" s="26" t="str">
        <f>IF([2]道具信息!P269="","",[2]道具信息!P269)</f>
        <v/>
      </c>
      <c r="Q269" s="26" t="str">
        <f>IF([2]道具信息!Q269="","",[2]道具信息!Q269)</f>
        <v/>
      </c>
    </row>
    <row r="270" spans="3:17" x14ac:dyDescent="0.15">
      <c r="C270" s="26">
        <f>IF([2]道具信息!C270="","",[2]道具信息!C270)</f>
        <v>21100</v>
      </c>
      <c r="D270" s="26" t="str">
        <f>IF([2]道具信息!D270="","",[2]道具信息!D270)</f>
        <v>免战牌</v>
      </c>
      <c r="E270" s="26">
        <f>IF([2]道具信息!E270="","",[2]道具信息!E270)</f>
        <v>100</v>
      </c>
      <c r="F270" s="26">
        <f>IF([2]道具信息!F270="","",[2]道具信息!F270)</f>
        <v>1</v>
      </c>
      <c r="G270" s="26">
        <f>IF([2]道具信息!G270="","",[2]道具信息!G270)</f>
        <v>1</v>
      </c>
      <c r="H270" s="26">
        <f>IF([2]道具信息!H270="","",[2]道具信息!H270)</f>
        <v>1</v>
      </c>
      <c r="I270" s="26">
        <f>IF([2]道具信息!I270="","",[2]道具信息!I270)</f>
        <v>100</v>
      </c>
      <c r="J270" s="26">
        <f>IF([2]道具信息!J270="","",[2]道具信息!J270)</f>
        <v>100</v>
      </c>
      <c r="K270" s="26">
        <f>IF([2]道具信息!K270="","",[2]道具信息!K270)</f>
        <v>100</v>
      </c>
      <c r="L270" s="26" t="str">
        <f>IF([2]道具信息!L270="","",[2]道具信息!L270)</f>
        <v>使用后城池不会遭受来自玩家的攻击，主动进攻玩家后失效，持续8小时</v>
      </c>
      <c r="M270" s="26" t="str">
        <f>IF([2]道具信息!M270="","",[2]道具信息!M270)</f>
        <v/>
      </c>
      <c r="N270" s="26" t="str">
        <f>IF([2]道具信息!N270="","",[2]道具信息!N270)</f>
        <v/>
      </c>
      <c r="O270" s="26" t="str">
        <f>IF([2]道具信息!O270="","",[2]道具信息!O270)</f>
        <v/>
      </c>
      <c r="P270" s="26" t="str">
        <f>IF([2]道具信息!P270="","",[2]道具信息!P270)</f>
        <v/>
      </c>
      <c r="Q270" s="26" t="str">
        <f>IF([2]道具信息!Q270="","",[2]道具信息!Q270)</f>
        <v/>
      </c>
    </row>
    <row r="271" spans="3:17" x14ac:dyDescent="0.15">
      <c r="C271" s="26">
        <f>IF([2]道具信息!C271="","",[2]道具信息!C271)</f>
        <v>21101</v>
      </c>
      <c r="D271" s="26" t="str">
        <f>IF([2]道具信息!D271="","",[2]道具信息!D271)</f>
        <v>普通点将牌</v>
      </c>
      <c r="E271" s="26">
        <f>IF([2]道具信息!E271="","",[2]道具信息!E271)</f>
        <v>65</v>
      </c>
      <c r="F271" s="26">
        <f>IF([2]道具信息!F271="","",[2]道具信息!F271)</f>
        <v>1</v>
      </c>
      <c r="G271" s="26">
        <f>IF([2]道具信息!G271="","",[2]道具信息!G271)</f>
        <v>1</v>
      </c>
      <c r="H271" s="26">
        <f>IF([2]道具信息!H271="","",[2]道具信息!H271)</f>
        <v>1</v>
      </c>
      <c r="I271" s="26">
        <f>IF([2]道具信息!I271="","",[2]道具信息!I271)</f>
        <v>65</v>
      </c>
      <c r="J271" s="26">
        <f>IF([2]道具信息!J271="","",[2]道具信息!J271)</f>
        <v>65</v>
      </c>
      <c r="K271" s="26">
        <f>IF([2]道具信息!K271="","",[2]道具信息!K271)</f>
        <v>65</v>
      </c>
      <c r="L271" s="26" t="str">
        <f>IF([2]道具信息!L271="","",[2]道具信息!L271)</f>
        <v>点将台普通招募时消耗的令牌</v>
      </c>
      <c r="M271" s="26" t="str">
        <f>IF([2]道具信息!M271="","",[2]道具信息!M271)</f>
        <v/>
      </c>
      <c r="N271" s="26" t="str">
        <f>IF([2]道具信息!N271="","",[2]道具信息!N271)</f>
        <v/>
      </c>
      <c r="O271" s="26" t="str">
        <f>IF([2]道具信息!O271="","",[2]道具信息!O271)</f>
        <v/>
      </c>
      <c r="P271" s="26" t="str">
        <f>IF([2]道具信息!P271="","",[2]道具信息!P271)</f>
        <v/>
      </c>
      <c r="Q271" s="26" t="str">
        <f>IF([2]道具信息!Q271="","",[2]道具信息!Q271)</f>
        <v/>
      </c>
    </row>
    <row r="272" spans="3:17" x14ac:dyDescent="0.15">
      <c r="C272" s="26">
        <f>IF([2]道具信息!C272="","",[2]道具信息!C272)</f>
        <v>21102</v>
      </c>
      <c r="D272" s="26" t="str">
        <f>IF([2]道具信息!D272="","",[2]道具信息!D272)</f>
        <v>高级点将牌</v>
      </c>
      <c r="E272" s="26">
        <f>IF([2]道具信息!E272="","",[2]道具信息!E272)</f>
        <v>240</v>
      </c>
      <c r="F272" s="26">
        <f>IF([2]道具信息!F272="","",[2]道具信息!F272)</f>
        <v>1</v>
      </c>
      <c r="G272" s="26">
        <f>IF([2]道具信息!G272="","",[2]道具信息!G272)</f>
        <v>1</v>
      </c>
      <c r="H272" s="26">
        <f>IF([2]道具信息!H272="","",[2]道具信息!H272)</f>
        <v>1</v>
      </c>
      <c r="I272" s="26">
        <f>IF([2]道具信息!I272="","",[2]道具信息!I272)</f>
        <v>240</v>
      </c>
      <c r="J272" s="26">
        <f>IF([2]道具信息!J272="","",[2]道具信息!J272)</f>
        <v>240</v>
      </c>
      <c r="K272" s="26">
        <f>IF([2]道具信息!K272="","",[2]道具信息!K272)</f>
        <v>240</v>
      </c>
      <c r="L272" s="26" t="str">
        <f>IF([2]道具信息!L272="","",[2]道具信息!L272)</f>
        <v>点将台高级招募时消耗的令牌</v>
      </c>
      <c r="M272" s="26" t="str">
        <f>IF([2]道具信息!M272="","",[2]道具信息!M272)</f>
        <v/>
      </c>
      <c r="N272" s="26" t="str">
        <f>IF([2]道具信息!N272="","",[2]道具信息!N272)</f>
        <v/>
      </c>
      <c r="O272" s="26" t="str">
        <f>IF([2]道具信息!O272="","",[2]道具信息!O272)</f>
        <v/>
      </c>
      <c r="P272" s="26" t="str">
        <f>IF([2]道具信息!P272="","",[2]道具信息!P272)</f>
        <v/>
      </c>
      <c r="Q272" s="26" t="str">
        <f>IF([2]道具信息!Q272="","",[2]道具信息!Q272)</f>
        <v/>
      </c>
    </row>
    <row r="273" spans="3:17" x14ac:dyDescent="0.15">
      <c r="C273" s="26" t="str">
        <f>IF([2]道具信息!C273="","",[2]道具信息!C273)</f>
        <v/>
      </c>
      <c r="D273" s="26" t="str">
        <f>IF([2]道具信息!D273="","",[2]道具信息!D273)</f>
        <v>行军丸（旧版)</v>
      </c>
      <c r="E273" s="26" t="str">
        <f>IF([2]道具信息!E273="","",[2]道具信息!E273)</f>
        <v/>
      </c>
      <c r="F273" s="26" t="str">
        <f>IF([2]道具信息!F273="","",[2]道具信息!F273)</f>
        <v/>
      </c>
      <c r="G273" s="26" t="str">
        <f>IF([2]道具信息!G273="","",[2]道具信息!G273)</f>
        <v/>
      </c>
      <c r="H273" s="26" t="str">
        <f>IF([2]道具信息!H273="","",[2]道具信息!H273)</f>
        <v/>
      </c>
      <c r="I273" s="26" t="str">
        <f>IF([2]道具信息!I273="","",[2]道具信息!I273)</f>
        <v/>
      </c>
      <c r="J273" s="26" t="str">
        <f>IF([2]道具信息!J273="","",[2]道具信息!J273)</f>
        <v/>
      </c>
      <c r="K273" s="26" t="str">
        <f>IF([2]道具信息!K273="","",[2]道具信息!K273)</f>
        <v/>
      </c>
      <c r="L273" s="26" t="str">
        <f>IF([2]道具信息!L273="","",[2]道具信息!L273)</f>
        <v>使用后每次可增加部队100%的行军速度</v>
      </c>
      <c r="M273" s="26" t="str">
        <f>IF([2]道具信息!M273="","",[2]道具信息!M273)</f>
        <v/>
      </c>
      <c r="N273" s="26" t="str">
        <f>IF([2]道具信息!N273="","",[2]道具信息!N273)</f>
        <v/>
      </c>
      <c r="O273" s="26" t="str">
        <f>IF([2]道具信息!O273="","",[2]道具信息!O273)</f>
        <v/>
      </c>
      <c r="P273" s="26" t="str">
        <f>IF([2]道具信息!P273="","",[2]道具信息!P273)</f>
        <v/>
      </c>
      <c r="Q273" s="26" t="str">
        <f>IF([2]道具信息!Q273="","",[2]道具信息!Q273)</f>
        <v/>
      </c>
    </row>
    <row r="274" spans="3:17" x14ac:dyDescent="0.15">
      <c r="C274" s="26">
        <f>IF([2]道具信息!C274="","",[2]道具信息!C274)</f>
        <v>21104</v>
      </c>
      <c r="D274" s="26" t="str">
        <f>IF([2]道具信息!D274="","",[2]道具信息!D274)</f>
        <v>撤军令</v>
      </c>
      <c r="E274" s="26">
        <f>IF([2]道具信息!E274="","",[2]道具信息!E274)</f>
        <v>60</v>
      </c>
      <c r="F274" s="26">
        <f>IF([2]道具信息!F274="","",[2]道具信息!F274)</f>
        <v>1</v>
      </c>
      <c r="G274" s="26">
        <f>IF([2]道具信息!G274="","",[2]道具信息!G274)</f>
        <v>1</v>
      </c>
      <c r="H274" s="26">
        <f>IF([2]道具信息!H274="","",[2]道具信息!H274)</f>
        <v>1</v>
      </c>
      <c r="I274" s="26">
        <f>IF([2]道具信息!I274="","",[2]道具信息!I274)</f>
        <v>60</v>
      </c>
      <c r="J274" s="26">
        <f>IF([2]道具信息!J274="","",[2]道具信息!J274)</f>
        <v>60</v>
      </c>
      <c r="K274" s="26">
        <f>IF([2]道具信息!K274="","",[2]道具信息!K274)</f>
        <v>60</v>
      </c>
      <c r="L274" s="26" t="str">
        <f>IF([2]道具信息!L274="","",[2]道具信息!L274)</f>
        <v>使用后使一支出征队伍立即撤军回城</v>
      </c>
      <c r="M274" s="26" t="str">
        <f>IF([2]道具信息!M274="","",[2]道具信息!M274)</f>
        <v/>
      </c>
      <c r="N274" s="26" t="str">
        <f>IF([2]道具信息!N274="","",[2]道具信息!N274)</f>
        <v/>
      </c>
      <c r="O274" s="26" t="str">
        <f>IF([2]道具信息!O274="","",[2]道具信息!O274)</f>
        <v/>
      </c>
      <c r="P274" s="26" t="str">
        <f>IF([2]道具信息!P274="","",[2]道具信息!P274)</f>
        <v/>
      </c>
      <c r="Q274" s="26" t="str">
        <f>IF([2]道具信息!Q274="","",[2]道具信息!Q274)</f>
        <v/>
      </c>
    </row>
    <row r="275" spans="3:17" x14ac:dyDescent="0.15">
      <c r="C275" s="26" t="str">
        <f>IF([2]道具信息!C275="","",[2]道具信息!C275)</f>
        <v/>
      </c>
      <c r="D275" s="26" t="str">
        <f>IF([2]道具信息!D275="","",[2]道具信息!D275)</f>
        <v/>
      </c>
      <c r="E275" s="26" t="str">
        <f>IF([2]道具信息!E275="","",[2]道具信息!E275)</f>
        <v/>
      </c>
      <c r="F275" s="26" t="str">
        <f>IF([2]道具信息!F275="","",[2]道具信息!F275)</f>
        <v/>
      </c>
      <c r="G275" s="26" t="str">
        <f>IF([2]道具信息!G275="","",[2]道具信息!G275)</f>
        <v/>
      </c>
      <c r="H275" s="26" t="str">
        <f>IF([2]道具信息!H275="","",[2]道具信息!H275)</f>
        <v/>
      </c>
      <c r="I275" s="26" t="str">
        <f>IF([2]道具信息!I275="","",[2]道具信息!I275)</f>
        <v/>
      </c>
      <c r="J275" s="26" t="str">
        <f>IF([2]道具信息!J275="","",[2]道具信息!J275)</f>
        <v/>
      </c>
      <c r="K275" s="26" t="str">
        <f>IF([2]道具信息!K275="","",[2]道具信息!K275)</f>
        <v/>
      </c>
      <c r="L275" s="26" t="str">
        <f>IF([2]道具信息!L275="","",[2]道具信息!L275)</f>
        <v/>
      </c>
      <c r="M275" s="26" t="str">
        <f>IF([2]道具信息!M275="","",[2]道具信息!M275)</f>
        <v/>
      </c>
      <c r="N275" s="26" t="str">
        <f>IF([2]道具信息!N275="","",[2]道具信息!N275)</f>
        <v/>
      </c>
      <c r="O275" s="26" t="str">
        <f>IF([2]道具信息!O275="","",[2]道具信息!O275)</f>
        <v/>
      </c>
      <c r="P275" s="26" t="str">
        <f>IF([2]道具信息!P275="","",[2]道具信息!P275)</f>
        <v/>
      </c>
      <c r="Q275" s="26" t="str">
        <f>IF([2]道具信息!Q275="","",[2]道具信息!Q275)</f>
        <v/>
      </c>
    </row>
    <row r="276" spans="3:17" x14ac:dyDescent="0.15">
      <c r="C276" s="26">
        <f>IF([2]道具信息!C276="","",[2]道具信息!C276)</f>
        <v>21110</v>
      </c>
      <c r="D276" s="26" t="str">
        <f>IF([2]道具信息!D276="","",[2]道具信息!D276)</f>
        <v>城建1分钟加速令</v>
      </c>
      <c r="E276" s="26">
        <f>IF([2]道具信息!E276="","",[2]道具信息!E276)</f>
        <v>2</v>
      </c>
      <c r="F276" s="26">
        <f>IF([2]道具信息!F276="","",[2]道具信息!F276)</f>
        <v>1</v>
      </c>
      <c r="G276" s="26">
        <f>IF([2]道具信息!G276="","",[2]道具信息!G276)</f>
        <v>1</v>
      </c>
      <c r="H276" s="26">
        <f>IF([2]道具信息!H276="","",[2]道具信息!H276)</f>
        <v>0.3</v>
      </c>
      <c r="I276" s="26">
        <f>IF([2]道具信息!I276="","",[2]道具信息!I276)</f>
        <v>2</v>
      </c>
      <c r="J276" s="26">
        <f>IF([2]道具信息!J276="","",[2]道具信息!J276)</f>
        <v>2</v>
      </c>
      <c r="K276" s="26">
        <f>IF([2]道具信息!K276="","",[2]道具信息!K276)</f>
        <v>0.6</v>
      </c>
      <c r="L276" s="26" t="str">
        <f>IF([2]道具信息!L276="","",[2]道具信息!L276)</f>
        <v>使用后城池建设加速1分钟</v>
      </c>
      <c r="M276" s="26" t="str">
        <f>IF([2]道具信息!M276="","",[2]道具信息!M276)</f>
        <v/>
      </c>
      <c r="N276" s="26" t="str">
        <f>IF([2]道具信息!N276="","",[2]道具信息!N276)</f>
        <v/>
      </c>
      <c r="O276" s="26" t="str">
        <f>IF([2]道具信息!O276="","",[2]道具信息!O276)</f>
        <v/>
      </c>
      <c r="P276" s="26" t="str">
        <f>IF([2]道具信息!P276="","",[2]道具信息!P276)</f>
        <v/>
      </c>
      <c r="Q276" s="26" t="str">
        <f>IF([2]道具信息!Q276="","",[2]道具信息!Q276)</f>
        <v/>
      </c>
    </row>
    <row r="277" spans="3:17" x14ac:dyDescent="0.15">
      <c r="C277" s="26">
        <f>IF([2]道具信息!C277="","",[2]道具信息!C277)</f>
        <v>21111</v>
      </c>
      <c r="D277" s="26" t="str">
        <f>IF([2]道具信息!D277="","",[2]道具信息!D277)</f>
        <v>城建5分钟加速令</v>
      </c>
      <c r="E277" s="26">
        <f>IF([2]道具信息!E277="","",[2]道具信息!E277)</f>
        <v>8</v>
      </c>
      <c r="F277" s="26">
        <f>IF([2]道具信息!F277="","",[2]道具信息!F277)</f>
        <v>1</v>
      </c>
      <c r="G277" s="26">
        <f>IF([2]道具信息!G277="","",[2]道具信息!G277)</f>
        <v>1</v>
      </c>
      <c r="H277" s="26">
        <f>IF([2]道具信息!H277="","",[2]道具信息!H277)</f>
        <v>0.4</v>
      </c>
      <c r="I277" s="26">
        <f>IF([2]道具信息!I277="","",[2]道具信息!I277)</f>
        <v>8</v>
      </c>
      <c r="J277" s="26">
        <f>IF([2]道具信息!J277="","",[2]道具信息!J277)</f>
        <v>8</v>
      </c>
      <c r="K277" s="26">
        <f>IF([2]道具信息!K277="","",[2]道具信息!K277)</f>
        <v>3.2</v>
      </c>
      <c r="L277" s="26" t="str">
        <f>IF([2]道具信息!L277="","",[2]道具信息!L277)</f>
        <v>使用后城池建设加速5分钟</v>
      </c>
      <c r="M277" s="26" t="str">
        <f>IF([2]道具信息!M277="","",[2]道具信息!M277)</f>
        <v/>
      </c>
      <c r="N277" s="26" t="str">
        <f>IF([2]道具信息!N277="","",[2]道具信息!N277)</f>
        <v/>
      </c>
      <c r="O277" s="26" t="str">
        <f>IF([2]道具信息!O277="","",[2]道具信息!O277)</f>
        <v/>
      </c>
      <c r="P277" s="26" t="str">
        <f>IF([2]道具信息!P277="","",[2]道具信息!P277)</f>
        <v/>
      </c>
      <c r="Q277" s="26" t="str">
        <f>IF([2]道具信息!Q277="","",[2]道具信息!Q277)</f>
        <v/>
      </c>
    </row>
    <row r="278" spans="3:17" x14ac:dyDescent="0.15">
      <c r="C278" s="26">
        <f>IF([2]道具信息!C278="","",[2]道具信息!C278)</f>
        <v>21112</v>
      </c>
      <c r="D278" s="26" t="str">
        <f>IF([2]道具信息!D278="","",[2]道具信息!D278)</f>
        <v>城建20分钟加速令</v>
      </c>
      <c r="E278" s="26">
        <f>IF([2]道具信息!E278="","",[2]道具信息!E278)</f>
        <v>20</v>
      </c>
      <c r="F278" s="26">
        <f>IF([2]道具信息!F278="","",[2]道具信息!F278)</f>
        <v>1</v>
      </c>
      <c r="G278" s="26">
        <f>IF([2]道具信息!G278="","",[2]道具信息!G278)</f>
        <v>1</v>
      </c>
      <c r="H278" s="26">
        <f>IF([2]道具信息!H278="","",[2]道具信息!H278)</f>
        <v>0.5</v>
      </c>
      <c r="I278" s="26">
        <f>IF([2]道具信息!I278="","",[2]道具信息!I278)</f>
        <v>20</v>
      </c>
      <c r="J278" s="26">
        <f>IF([2]道具信息!J278="","",[2]道具信息!J278)</f>
        <v>20</v>
      </c>
      <c r="K278" s="26">
        <f>IF([2]道具信息!K278="","",[2]道具信息!K278)</f>
        <v>10</v>
      </c>
      <c r="L278" s="26" t="str">
        <f>IF([2]道具信息!L278="","",[2]道具信息!L278)</f>
        <v>使用后城池建设加速20分钟</v>
      </c>
      <c r="M278" s="26" t="str">
        <f>IF([2]道具信息!M278="","",[2]道具信息!M278)</f>
        <v/>
      </c>
      <c r="N278" s="26" t="str">
        <f>IF([2]道具信息!N278="","",[2]道具信息!N278)</f>
        <v/>
      </c>
      <c r="O278" s="26" t="str">
        <f>IF([2]道具信息!O278="","",[2]道具信息!O278)</f>
        <v/>
      </c>
      <c r="P278" s="26" t="str">
        <f>IF([2]道具信息!P278="","",[2]道具信息!P278)</f>
        <v/>
      </c>
      <c r="Q278" s="26" t="str">
        <f>IF([2]道具信息!Q278="","",[2]道具信息!Q278)</f>
        <v/>
      </c>
    </row>
    <row r="279" spans="3:17" x14ac:dyDescent="0.15">
      <c r="C279" s="26">
        <f>IF([2]道具信息!C279="","",[2]道具信息!C279)</f>
        <v>21113</v>
      </c>
      <c r="D279" s="26" t="str">
        <f>IF([2]道具信息!D279="","",[2]道具信息!D279)</f>
        <v>城建1小时加速令</v>
      </c>
      <c r="E279" s="26">
        <f>IF([2]道具信息!E279="","",[2]道具信息!E279)</f>
        <v>50</v>
      </c>
      <c r="F279" s="26">
        <f>IF([2]道具信息!F279="","",[2]道具信息!F279)</f>
        <v>1.2</v>
      </c>
      <c r="G279" s="26">
        <f>IF([2]道具信息!G279="","",[2]道具信息!G279)</f>
        <v>1</v>
      </c>
      <c r="H279" s="26">
        <f>IF([2]道具信息!H279="","",[2]道具信息!H279)</f>
        <v>0.6</v>
      </c>
      <c r="I279" s="26">
        <f>IF([2]道具信息!I279="","",[2]道具信息!I279)</f>
        <v>60</v>
      </c>
      <c r="J279" s="26">
        <f>IF([2]道具信息!J279="","",[2]道具信息!J279)</f>
        <v>50</v>
      </c>
      <c r="K279" s="26">
        <f>IF([2]道具信息!K279="","",[2]道具信息!K279)</f>
        <v>30</v>
      </c>
      <c r="L279" s="26" t="str">
        <f>IF([2]道具信息!L279="","",[2]道具信息!L279)</f>
        <v>使用后城池建设加速1小时</v>
      </c>
      <c r="M279" s="26" t="str">
        <f>IF([2]道具信息!M279="","",[2]道具信息!M279)</f>
        <v/>
      </c>
      <c r="N279" s="26" t="str">
        <f>IF([2]道具信息!N279="","",[2]道具信息!N279)</f>
        <v/>
      </c>
      <c r="O279" s="26" t="str">
        <f>IF([2]道具信息!O279="","",[2]道具信息!O279)</f>
        <v/>
      </c>
      <c r="P279" s="26" t="str">
        <f>IF([2]道具信息!P279="","",[2]道具信息!P279)</f>
        <v/>
      </c>
      <c r="Q279" s="26" t="str">
        <f>IF([2]道具信息!Q279="","",[2]道具信息!Q279)</f>
        <v/>
      </c>
    </row>
    <row r="280" spans="3:17" x14ac:dyDescent="0.15">
      <c r="C280" s="26">
        <f>IF([2]道具信息!C280="","",[2]道具信息!C280)</f>
        <v>21114</v>
      </c>
      <c r="D280" s="26" t="str">
        <f>IF([2]道具信息!D280="","",[2]道具信息!D280)</f>
        <v>城建3小时加速令</v>
      </c>
      <c r="E280" s="26">
        <f>IF([2]道具信息!E280="","",[2]道具信息!E280)</f>
        <v>100</v>
      </c>
      <c r="F280" s="26">
        <f>IF([2]道具信息!F280="","",[2]道具信息!F280)</f>
        <v>1.8</v>
      </c>
      <c r="G280" s="26">
        <f>IF([2]道具信息!G280="","",[2]道具信息!G280)</f>
        <v>1</v>
      </c>
      <c r="H280" s="26">
        <f>IF([2]道具信息!H280="","",[2]道具信息!H280)</f>
        <v>0.8</v>
      </c>
      <c r="I280" s="26">
        <f>IF([2]道具信息!I280="","",[2]道具信息!I280)</f>
        <v>180</v>
      </c>
      <c r="J280" s="26">
        <f>IF([2]道具信息!J280="","",[2]道具信息!J280)</f>
        <v>100</v>
      </c>
      <c r="K280" s="26">
        <f>IF([2]道具信息!K280="","",[2]道具信息!K280)</f>
        <v>80</v>
      </c>
      <c r="L280" s="26" t="str">
        <f>IF([2]道具信息!L280="","",[2]道具信息!L280)</f>
        <v>使用后城池建设加速3小时</v>
      </c>
      <c r="M280" s="26" t="str">
        <f>IF([2]道具信息!M280="","",[2]道具信息!M280)</f>
        <v/>
      </c>
      <c r="N280" s="26" t="str">
        <f>IF([2]道具信息!N280="","",[2]道具信息!N280)</f>
        <v/>
      </c>
      <c r="O280" s="26" t="str">
        <f>IF([2]道具信息!O280="","",[2]道具信息!O280)</f>
        <v/>
      </c>
      <c r="P280" s="26" t="str">
        <f>IF([2]道具信息!P280="","",[2]道具信息!P280)</f>
        <v/>
      </c>
      <c r="Q280" s="26" t="str">
        <f>IF([2]道具信息!Q280="","",[2]道具信息!Q280)</f>
        <v/>
      </c>
    </row>
    <row r="281" spans="3:17" x14ac:dyDescent="0.15">
      <c r="C281" s="26">
        <f>IF([2]道具信息!C281="","",[2]道具信息!C281)</f>
        <v>21135</v>
      </c>
      <c r="D281" s="26" t="str">
        <f>IF([2]道具信息!D281="","",[2]道具信息!D281)</f>
        <v>城建8小时加速令</v>
      </c>
      <c r="E281" s="26">
        <f>IF([2]道具信息!E281="","",[2]道具信息!E281)</f>
        <v>160</v>
      </c>
      <c r="F281" s="26">
        <f>IF([2]道具信息!F281="","",[2]道具信息!F281)</f>
        <v>3</v>
      </c>
      <c r="G281" s="26">
        <f>IF([2]道具信息!G281="","",[2]道具信息!G281)</f>
        <v>1</v>
      </c>
      <c r="H281" s="26">
        <f>IF([2]道具信息!H281="","",[2]道具信息!H281)</f>
        <v>1</v>
      </c>
      <c r="I281" s="26">
        <f>IF([2]道具信息!I281="","",[2]道具信息!I281)</f>
        <v>480</v>
      </c>
      <c r="J281" s="26">
        <f>IF([2]道具信息!J281="","",[2]道具信息!J281)</f>
        <v>160</v>
      </c>
      <c r="K281" s="26">
        <f>IF([2]道具信息!K281="","",[2]道具信息!K281)</f>
        <v>160</v>
      </c>
      <c r="L281" s="26" t="str">
        <f>IF([2]道具信息!L281="","",[2]道具信息!L281)</f>
        <v>使用后城池建设加速8小时</v>
      </c>
      <c r="M281" s="26" t="str">
        <f>IF([2]道具信息!M281="","",[2]道具信息!M281)</f>
        <v/>
      </c>
      <c r="N281" s="26" t="str">
        <f>IF([2]道具信息!N281="","",[2]道具信息!N281)</f>
        <v/>
      </c>
      <c r="O281" s="26" t="str">
        <f>IF([2]道具信息!O281="","",[2]道具信息!O281)</f>
        <v/>
      </c>
      <c r="P281" s="26" t="str">
        <f>IF([2]道具信息!P281="","",[2]道具信息!P281)</f>
        <v/>
      </c>
      <c r="Q281" s="26" t="str">
        <f>IF([2]道具信息!Q281="","",[2]道具信息!Q281)</f>
        <v/>
      </c>
    </row>
    <row r="282" spans="3:17" x14ac:dyDescent="0.15">
      <c r="C282" s="26" t="str">
        <f>IF([2]道具信息!C282="","",[2]道具信息!C282)</f>
        <v/>
      </c>
      <c r="D282" s="26" t="str">
        <f>IF([2]道具信息!D282="","",[2]道具信息!D282)</f>
        <v/>
      </c>
      <c r="E282" s="26" t="str">
        <f>IF([2]道具信息!E282="","",[2]道具信息!E282)</f>
        <v/>
      </c>
      <c r="F282" s="26" t="str">
        <f>IF([2]道具信息!F282="","",[2]道具信息!F282)</f>
        <v/>
      </c>
      <c r="G282" s="26" t="str">
        <f>IF([2]道具信息!G282="","",[2]道具信息!G282)</f>
        <v/>
      </c>
      <c r="H282" s="26" t="str">
        <f>IF([2]道具信息!H282="","",[2]道具信息!H282)</f>
        <v/>
      </c>
      <c r="I282" s="26" t="str">
        <f>IF([2]道具信息!I282="","",[2]道具信息!I282)</f>
        <v/>
      </c>
      <c r="J282" s="26" t="str">
        <f>IF([2]道具信息!J282="","",[2]道具信息!J282)</f>
        <v/>
      </c>
      <c r="K282" s="26" t="str">
        <f>IF([2]道具信息!K282="","",[2]道具信息!K282)</f>
        <v/>
      </c>
      <c r="L282" s="26" t="str">
        <f>IF([2]道具信息!L282="","",[2]道具信息!L282)</f>
        <v/>
      </c>
      <c r="M282" s="26" t="str">
        <f>IF([2]道具信息!M282="","",[2]道具信息!M282)</f>
        <v/>
      </c>
      <c r="N282" s="26" t="str">
        <f>IF([2]道具信息!N282="","",[2]道具信息!N282)</f>
        <v/>
      </c>
      <c r="O282" s="26" t="str">
        <f>IF([2]道具信息!O282="","",[2]道具信息!O282)</f>
        <v/>
      </c>
      <c r="P282" s="26" t="str">
        <f>IF([2]道具信息!P282="","",[2]道具信息!P282)</f>
        <v/>
      </c>
      <c r="Q282" s="26" t="str">
        <f>IF([2]道具信息!Q282="","",[2]道具信息!Q282)</f>
        <v/>
      </c>
    </row>
    <row r="283" spans="3:17" x14ac:dyDescent="0.15">
      <c r="C283" s="26">
        <f>IF([2]道具信息!C283="","",[2]道具信息!C283)</f>
        <v>21115</v>
      </c>
      <c r="D283" s="26" t="str">
        <f>IF([2]道具信息!D283="","",[2]道具信息!D283)</f>
        <v>招募1分钟加速令</v>
      </c>
      <c r="E283" s="26">
        <f>IF([2]道具信息!E283="","",[2]道具信息!E283)</f>
        <v>2</v>
      </c>
      <c r="F283" s="26">
        <f>IF([2]道具信息!F283="","",[2]道具信息!F283)</f>
        <v>1</v>
      </c>
      <c r="G283" s="26">
        <f>IF([2]道具信息!G283="","",[2]道具信息!G283)</f>
        <v>1</v>
      </c>
      <c r="H283" s="26">
        <f>IF([2]道具信息!H283="","",[2]道具信息!H283)</f>
        <v>0.3</v>
      </c>
      <c r="I283" s="26">
        <f>IF([2]道具信息!I283="","",[2]道具信息!I283)</f>
        <v>2</v>
      </c>
      <c r="J283" s="26">
        <f>IF([2]道具信息!J283="","",[2]道具信息!J283)</f>
        <v>2</v>
      </c>
      <c r="K283" s="26">
        <f>IF([2]道具信息!K283="","",[2]道具信息!K283)</f>
        <v>0.6</v>
      </c>
      <c r="L283" s="26" t="str">
        <f>IF([2]道具信息!L283="","",[2]道具信息!L283)</f>
        <v>使用后士兵招募加速1分钟</v>
      </c>
      <c r="M283" s="26" t="str">
        <f>IF([2]道具信息!M283="","",[2]道具信息!M283)</f>
        <v/>
      </c>
      <c r="N283" s="26" t="str">
        <f>IF([2]道具信息!N283="","",[2]道具信息!N283)</f>
        <v/>
      </c>
      <c r="O283" s="26" t="str">
        <f>IF([2]道具信息!O283="","",[2]道具信息!O283)</f>
        <v/>
      </c>
      <c r="P283" s="26" t="str">
        <f>IF([2]道具信息!P283="","",[2]道具信息!P283)</f>
        <v/>
      </c>
      <c r="Q283" s="26" t="str">
        <f>IF([2]道具信息!Q283="","",[2]道具信息!Q283)</f>
        <v/>
      </c>
    </row>
    <row r="284" spans="3:17" x14ac:dyDescent="0.15">
      <c r="C284" s="26">
        <f>IF([2]道具信息!C284="","",[2]道具信息!C284)</f>
        <v>21116</v>
      </c>
      <c r="D284" s="26" t="str">
        <f>IF([2]道具信息!D284="","",[2]道具信息!D284)</f>
        <v>招募5分钟加速令</v>
      </c>
      <c r="E284" s="26">
        <f>IF([2]道具信息!E284="","",[2]道具信息!E284)</f>
        <v>8</v>
      </c>
      <c r="F284" s="26">
        <f>IF([2]道具信息!F284="","",[2]道具信息!F284)</f>
        <v>1</v>
      </c>
      <c r="G284" s="26">
        <f>IF([2]道具信息!G284="","",[2]道具信息!G284)</f>
        <v>1</v>
      </c>
      <c r="H284" s="26">
        <f>IF([2]道具信息!H284="","",[2]道具信息!H284)</f>
        <v>0.4</v>
      </c>
      <c r="I284" s="26">
        <f>IF([2]道具信息!I284="","",[2]道具信息!I284)</f>
        <v>8</v>
      </c>
      <c r="J284" s="26">
        <f>IF([2]道具信息!J284="","",[2]道具信息!J284)</f>
        <v>8</v>
      </c>
      <c r="K284" s="26">
        <f>IF([2]道具信息!K284="","",[2]道具信息!K284)</f>
        <v>3.2</v>
      </c>
      <c r="L284" s="26" t="str">
        <f>IF([2]道具信息!L284="","",[2]道具信息!L284)</f>
        <v>使用后士兵招募加速5分钟</v>
      </c>
      <c r="M284" s="26" t="str">
        <f>IF([2]道具信息!M284="","",[2]道具信息!M284)</f>
        <v/>
      </c>
      <c r="N284" s="26" t="str">
        <f>IF([2]道具信息!N284="","",[2]道具信息!N284)</f>
        <v/>
      </c>
      <c r="O284" s="26" t="str">
        <f>IF([2]道具信息!O284="","",[2]道具信息!O284)</f>
        <v/>
      </c>
      <c r="P284" s="26" t="str">
        <f>IF([2]道具信息!P284="","",[2]道具信息!P284)</f>
        <v/>
      </c>
      <c r="Q284" s="26" t="str">
        <f>IF([2]道具信息!Q284="","",[2]道具信息!Q284)</f>
        <v/>
      </c>
    </row>
    <row r="285" spans="3:17" x14ac:dyDescent="0.15">
      <c r="C285" s="26">
        <f>IF([2]道具信息!C285="","",[2]道具信息!C285)</f>
        <v>21117</v>
      </c>
      <c r="D285" s="26" t="str">
        <f>IF([2]道具信息!D285="","",[2]道具信息!D285)</f>
        <v>招募20分钟加速令</v>
      </c>
      <c r="E285" s="26">
        <f>IF([2]道具信息!E285="","",[2]道具信息!E285)</f>
        <v>20</v>
      </c>
      <c r="F285" s="26">
        <f>IF([2]道具信息!F285="","",[2]道具信息!F285)</f>
        <v>1</v>
      </c>
      <c r="G285" s="26">
        <f>IF([2]道具信息!G285="","",[2]道具信息!G285)</f>
        <v>1</v>
      </c>
      <c r="H285" s="26">
        <f>IF([2]道具信息!H285="","",[2]道具信息!H285)</f>
        <v>0.5</v>
      </c>
      <c r="I285" s="26">
        <f>IF([2]道具信息!I285="","",[2]道具信息!I285)</f>
        <v>20</v>
      </c>
      <c r="J285" s="26">
        <f>IF([2]道具信息!J285="","",[2]道具信息!J285)</f>
        <v>20</v>
      </c>
      <c r="K285" s="26">
        <f>IF([2]道具信息!K285="","",[2]道具信息!K285)</f>
        <v>10</v>
      </c>
      <c r="L285" s="26" t="str">
        <f>IF([2]道具信息!L285="","",[2]道具信息!L285)</f>
        <v>使用后士兵招募加速20分钟</v>
      </c>
      <c r="M285" s="26" t="str">
        <f>IF([2]道具信息!M285="","",[2]道具信息!M285)</f>
        <v/>
      </c>
      <c r="N285" s="26" t="str">
        <f>IF([2]道具信息!N285="","",[2]道具信息!N285)</f>
        <v/>
      </c>
      <c r="O285" s="26" t="str">
        <f>IF([2]道具信息!O285="","",[2]道具信息!O285)</f>
        <v/>
      </c>
      <c r="P285" s="26" t="str">
        <f>IF([2]道具信息!P285="","",[2]道具信息!P285)</f>
        <v/>
      </c>
      <c r="Q285" s="26" t="str">
        <f>IF([2]道具信息!Q285="","",[2]道具信息!Q285)</f>
        <v/>
      </c>
    </row>
    <row r="286" spans="3:17" x14ac:dyDescent="0.15">
      <c r="C286" s="26">
        <f>IF([2]道具信息!C286="","",[2]道具信息!C286)</f>
        <v>21118</v>
      </c>
      <c r="D286" s="26" t="str">
        <f>IF([2]道具信息!D286="","",[2]道具信息!D286)</f>
        <v>招募1小时加速令</v>
      </c>
      <c r="E286" s="26">
        <f>IF([2]道具信息!E286="","",[2]道具信息!E286)</f>
        <v>50</v>
      </c>
      <c r="F286" s="26">
        <f>IF([2]道具信息!F286="","",[2]道具信息!F286)</f>
        <v>1.2</v>
      </c>
      <c r="G286" s="26">
        <f>IF([2]道具信息!G286="","",[2]道具信息!G286)</f>
        <v>1</v>
      </c>
      <c r="H286" s="26">
        <f>IF([2]道具信息!H286="","",[2]道具信息!H286)</f>
        <v>0.6</v>
      </c>
      <c r="I286" s="26">
        <f>IF([2]道具信息!I286="","",[2]道具信息!I286)</f>
        <v>60</v>
      </c>
      <c r="J286" s="26">
        <f>IF([2]道具信息!J286="","",[2]道具信息!J286)</f>
        <v>50</v>
      </c>
      <c r="K286" s="26">
        <f>IF([2]道具信息!K286="","",[2]道具信息!K286)</f>
        <v>30</v>
      </c>
      <c r="L286" s="26" t="str">
        <f>IF([2]道具信息!L286="","",[2]道具信息!L286)</f>
        <v>使用后士兵招募加速1小时</v>
      </c>
      <c r="M286" s="26" t="str">
        <f>IF([2]道具信息!M286="","",[2]道具信息!M286)</f>
        <v/>
      </c>
      <c r="N286" s="26" t="str">
        <f>IF([2]道具信息!N286="","",[2]道具信息!N286)</f>
        <v/>
      </c>
      <c r="O286" s="26" t="str">
        <f>IF([2]道具信息!O286="","",[2]道具信息!O286)</f>
        <v/>
      </c>
      <c r="P286" s="26" t="str">
        <f>IF([2]道具信息!P286="","",[2]道具信息!P286)</f>
        <v/>
      </c>
      <c r="Q286" s="26" t="str">
        <f>IF([2]道具信息!Q286="","",[2]道具信息!Q286)</f>
        <v/>
      </c>
    </row>
    <row r="287" spans="3:17" x14ac:dyDescent="0.15">
      <c r="C287" s="26">
        <f>IF([2]道具信息!C287="","",[2]道具信息!C287)</f>
        <v>21119</v>
      </c>
      <c r="D287" s="26" t="str">
        <f>IF([2]道具信息!D287="","",[2]道具信息!D287)</f>
        <v>招募3小时加速令</v>
      </c>
      <c r="E287" s="26">
        <f>IF([2]道具信息!E287="","",[2]道具信息!E287)</f>
        <v>100</v>
      </c>
      <c r="F287" s="26">
        <f>IF([2]道具信息!F287="","",[2]道具信息!F287)</f>
        <v>1.8</v>
      </c>
      <c r="G287" s="26">
        <f>IF([2]道具信息!G287="","",[2]道具信息!G287)</f>
        <v>1</v>
      </c>
      <c r="H287" s="26">
        <f>IF([2]道具信息!H287="","",[2]道具信息!H287)</f>
        <v>0.8</v>
      </c>
      <c r="I287" s="26">
        <f>IF([2]道具信息!I287="","",[2]道具信息!I287)</f>
        <v>180</v>
      </c>
      <c r="J287" s="26">
        <f>IF([2]道具信息!J287="","",[2]道具信息!J287)</f>
        <v>100</v>
      </c>
      <c r="K287" s="26">
        <f>IF([2]道具信息!K287="","",[2]道具信息!K287)</f>
        <v>80</v>
      </c>
      <c r="L287" s="26" t="str">
        <f>IF([2]道具信息!L287="","",[2]道具信息!L287)</f>
        <v>使用后士兵招募加速3小时</v>
      </c>
      <c r="M287" s="26" t="str">
        <f>IF([2]道具信息!M287="","",[2]道具信息!M287)</f>
        <v/>
      </c>
      <c r="N287" s="26" t="str">
        <f>IF([2]道具信息!N287="","",[2]道具信息!N287)</f>
        <v/>
      </c>
      <c r="O287" s="26" t="str">
        <f>IF([2]道具信息!O287="","",[2]道具信息!O287)</f>
        <v/>
      </c>
      <c r="P287" s="26" t="str">
        <f>IF([2]道具信息!P287="","",[2]道具信息!P287)</f>
        <v/>
      </c>
      <c r="Q287" s="26" t="str">
        <f>IF([2]道具信息!Q287="","",[2]道具信息!Q287)</f>
        <v/>
      </c>
    </row>
    <row r="288" spans="3:17" x14ac:dyDescent="0.15">
      <c r="C288" s="26">
        <f>IF([2]道具信息!C288="","",[2]道具信息!C288)</f>
        <v>21136</v>
      </c>
      <c r="D288" s="26" t="str">
        <f>IF([2]道具信息!D288="","",[2]道具信息!D288)</f>
        <v>招募8小时加速令</v>
      </c>
      <c r="E288" s="26">
        <f>IF([2]道具信息!E288="","",[2]道具信息!E288)</f>
        <v>160</v>
      </c>
      <c r="F288" s="26">
        <f>IF([2]道具信息!F288="","",[2]道具信息!F288)</f>
        <v>3</v>
      </c>
      <c r="G288" s="26">
        <f>IF([2]道具信息!G288="","",[2]道具信息!G288)</f>
        <v>1</v>
      </c>
      <c r="H288" s="26">
        <f>IF([2]道具信息!H288="","",[2]道具信息!H288)</f>
        <v>1</v>
      </c>
      <c r="I288" s="26">
        <f>IF([2]道具信息!I288="","",[2]道具信息!I288)</f>
        <v>480</v>
      </c>
      <c r="J288" s="26">
        <f>IF([2]道具信息!J288="","",[2]道具信息!J288)</f>
        <v>160</v>
      </c>
      <c r="K288" s="26">
        <f>IF([2]道具信息!K288="","",[2]道具信息!K288)</f>
        <v>160</v>
      </c>
      <c r="L288" s="26" t="str">
        <f>IF([2]道具信息!L288="","",[2]道具信息!L288)</f>
        <v>使用后士兵招募加速8小时</v>
      </c>
      <c r="M288" s="26" t="str">
        <f>IF([2]道具信息!M288="","",[2]道具信息!M288)</f>
        <v/>
      </c>
      <c r="N288" s="26" t="str">
        <f>IF([2]道具信息!N288="","",[2]道具信息!N288)</f>
        <v/>
      </c>
      <c r="O288" s="26" t="str">
        <f>IF([2]道具信息!O288="","",[2]道具信息!O288)</f>
        <v/>
      </c>
      <c r="P288" s="26" t="str">
        <f>IF([2]道具信息!P288="","",[2]道具信息!P288)</f>
        <v/>
      </c>
      <c r="Q288" s="26" t="str">
        <f>IF([2]道具信息!Q288="","",[2]道具信息!Q288)</f>
        <v/>
      </c>
    </row>
    <row r="289" spans="3:17" x14ac:dyDescent="0.15">
      <c r="C289" s="26" t="str">
        <f>IF([2]道具信息!C289="","",[2]道具信息!C289)</f>
        <v/>
      </c>
      <c r="D289" s="26" t="str">
        <f>IF([2]道具信息!D289="","",[2]道具信息!D289)</f>
        <v/>
      </c>
      <c r="E289" s="26" t="str">
        <f>IF([2]道具信息!E289="","",[2]道具信息!E289)</f>
        <v/>
      </c>
      <c r="F289" s="26" t="str">
        <f>IF([2]道具信息!F289="","",[2]道具信息!F289)</f>
        <v/>
      </c>
      <c r="G289" s="26" t="str">
        <f>IF([2]道具信息!G289="","",[2]道具信息!G289)</f>
        <v/>
      </c>
      <c r="H289" s="26" t="str">
        <f>IF([2]道具信息!H289="","",[2]道具信息!H289)</f>
        <v/>
      </c>
      <c r="I289" s="26" t="str">
        <f>IF([2]道具信息!I289="","",[2]道具信息!I289)</f>
        <v/>
      </c>
      <c r="J289" s="26" t="str">
        <f>IF([2]道具信息!J289="","",[2]道具信息!J289)</f>
        <v/>
      </c>
      <c r="K289" s="26" t="str">
        <f>IF([2]道具信息!K289="","",[2]道具信息!K289)</f>
        <v/>
      </c>
      <c r="L289" s="26" t="str">
        <f>IF([2]道具信息!L289="","",[2]道具信息!L289)</f>
        <v/>
      </c>
      <c r="M289" s="26" t="str">
        <f>IF([2]道具信息!M289="","",[2]道具信息!M289)</f>
        <v/>
      </c>
      <c r="N289" s="26" t="str">
        <f>IF([2]道具信息!N289="","",[2]道具信息!N289)</f>
        <v/>
      </c>
      <c r="O289" s="26" t="str">
        <f>IF([2]道具信息!O289="","",[2]道具信息!O289)</f>
        <v/>
      </c>
      <c r="P289" s="26" t="str">
        <f>IF([2]道具信息!P289="","",[2]道具信息!P289)</f>
        <v/>
      </c>
      <c r="Q289" s="26" t="str">
        <f>IF([2]道具信息!Q289="","",[2]道具信息!Q289)</f>
        <v/>
      </c>
    </row>
    <row r="290" spans="3:17" x14ac:dyDescent="0.15">
      <c r="C290" s="26">
        <f>IF([2]道具信息!C290="","",[2]道具信息!C290)</f>
        <v>21120</v>
      </c>
      <c r="D290" s="26" t="str">
        <f>IF([2]道具信息!D290="","",[2]道具信息!D290)</f>
        <v>治疗1分钟加速令</v>
      </c>
      <c r="E290" s="26">
        <f>IF([2]道具信息!E290="","",[2]道具信息!E290)</f>
        <v>2</v>
      </c>
      <c r="F290" s="26">
        <f>IF([2]道具信息!F290="","",[2]道具信息!F290)</f>
        <v>1</v>
      </c>
      <c r="G290" s="26">
        <f>IF([2]道具信息!G290="","",[2]道具信息!G290)</f>
        <v>1</v>
      </c>
      <c r="H290" s="26">
        <f>IF([2]道具信息!H290="","",[2]道具信息!H290)</f>
        <v>0.3</v>
      </c>
      <c r="I290" s="26">
        <f>IF([2]道具信息!I290="","",[2]道具信息!I290)</f>
        <v>2</v>
      </c>
      <c r="J290" s="26">
        <f>IF([2]道具信息!J290="","",[2]道具信息!J290)</f>
        <v>2</v>
      </c>
      <c r="K290" s="26">
        <f>IF([2]道具信息!K290="","",[2]道具信息!K290)</f>
        <v>0.6</v>
      </c>
      <c r="L290" s="26" t="str">
        <f>IF([2]道具信息!L290="","",[2]道具信息!L290)</f>
        <v>使用后士兵治疗加速1分钟</v>
      </c>
      <c r="M290" s="26" t="str">
        <f>IF([2]道具信息!M290="","",[2]道具信息!M290)</f>
        <v/>
      </c>
      <c r="N290" s="26" t="str">
        <f>IF([2]道具信息!N290="","",[2]道具信息!N290)</f>
        <v/>
      </c>
      <c r="O290" s="26" t="str">
        <f>IF([2]道具信息!O290="","",[2]道具信息!O290)</f>
        <v/>
      </c>
      <c r="P290" s="26" t="str">
        <f>IF([2]道具信息!P290="","",[2]道具信息!P290)</f>
        <v/>
      </c>
      <c r="Q290" s="26" t="str">
        <f>IF([2]道具信息!Q290="","",[2]道具信息!Q290)</f>
        <v/>
      </c>
    </row>
    <row r="291" spans="3:17" x14ac:dyDescent="0.15">
      <c r="C291" s="26">
        <f>IF([2]道具信息!C291="","",[2]道具信息!C291)</f>
        <v>21121</v>
      </c>
      <c r="D291" s="26" t="str">
        <f>IF([2]道具信息!D291="","",[2]道具信息!D291)</f>
        <v>治疗5分钟加速令</v>
      </c>
      <c r="E291" s="26">
        <f>IF([2]道具信息!E291="","",[2]道具信息!E291)</f>
        <v>8</v>
      </c>
      <c r="F291" s="26">
        <f>IF([2]道具信息!F291="","",[2]道具信息!F291)</f>
        <v>1</v>
      </c>
      <c r="G291" s="26">
        <f>IF([2]道具信息!G291="","",[2]道具信息!G291)</f>
        <v>1</v>
      </c>
      <c r="H291" s="26">
        <f>IF([2]道具信息!H291="","",[2]道具信息!H291)</f>
        <v>0.4</v>
      </c>
      <c r="I291" s="26">
        <f>IF([2]道具信息!I291="","",[2]道具信息!I291)</f>
        <v>8</v>
      </c>
      <c r="J291" s="26">
        <f>IF([2]道具信息!J291="","",[2]道具信息!J291)</f>
        <v>8</v>
      </c>
      <c r="K291" s="26">
        <f>IF([2]道具信息!K291="","",[2]道具信息!K291)</f>
        <v>3.2</v>
      </c>
      <c r="L291" s="26" t="str">
        <f>IF([2]道具信息!L291="","",[2]道具信息!L291)</f>
        <v>使用后士兵治疗加速5分钟</v>
      </c>
      <c r="M291" s="26" t="str">
        <f>IF([2]道具信息!M291="","",[2]道具信息!M291)</f>
        <v/>
      </c>
      <c r="N291" s="26" t="str">
        <f>IF([2]道具信息!N291="","",[2]道具信息!N291)</f>
        <v/>
      </c>
      <c r="O291" s="26" t="str">
        <f>IF([2]道具信息!O291="","",[2]道具信息!O291)</f>
        <v/>
      </c>
      <c r="P291" s="26" t="str">
        <f>IF([2]道具信息!P291="","",[2]道具信息!P291)</f>
        <v/>
      </c>
      <c r="Q291" s="26" t="str">
        <f>IF([2]道具信息!Q291="","",[2]道具信息!Q291)</f>
        <v/>
      </c>
    </row>
    <row r="292" spans="3:17" x14ac:dyDescent="0.15">
      <c r="C292" s="26">
        <f>IF([2]道具信息!C292="","",[2]道具信息!C292)</f>
        <v>21122</v>
      </c>
      <c r="D292" s="26" t="str">
        <f>IF([2]道具信息!D292="","",[2]道具信息!D292)</f>
        <v>治疗20分钟加速令</v>
      </c>
      <c r="E292" s="26">
        <f>IF([2]道具信息!E292="","",[2]道具信息!E292)</f>
        <v>20</v>
      </c>
      <c r="F292" s="26">
        <f>IF([2]道具信息!F292="","",[2]道具信息!F292)</f>
        <v>1</v>
      </c>
      <c r="G292" s="26">
        <f>IF([2]道具信息!G292="","",[2]道具信息!G292)</f>
        <v>1</v>
      </c>
      <c r="H292" s="26">
        <f>IF([2]道具信息!H292="","",[2]道具信息!H292)</f>
        <v>0.5</v>
      </c>
      <c r="I292" s="26">
        <f>IF([2]道具信息!I292="","",[2]道具信息!I292)</f>
        <v>20</v>
      </c>
      <c r="J292" s="26">
        <f>IF([2]道具信息!J292="","",[2]道具信息!J292)</f>
        <v>20</v>
      </c>
      <c r="K292" s="26">
        <f>IF([2]道具信息!K292="","",[2]道具信息!K292)</f>
        <v>10</v>
      </c>
      <c r="L292" s="26" t="str">
        <f>IF([2]道具信息!L292="","",[2]道具信息!L292)</f>
        <v>使用后士兵治疗加速20分钟</v>
      </c>
      <c r="M292" s="26" t="str">
        <f>IF([2]道具信息!M292="","",[2]道具信息!M292)</f>
        <v/>
      </c>
      <c r="N292" s="26" t="str">
        <f>IF([2]道具信息!N292="","",[2]道具信息!N292)</f>
        <v/>
      </c>
      <c r="O292" s="26" t="str">
        <f>IF([2]道具信息!O292="","",[2]道具信息!O292)</f>
        <v/>
      </c>
      <c r="P292" s="26" t="str">
        <f>IF([2]道具信息!P292="","",[2]道具信息!P292)</f>
        <v/>
      </c>
      <c r="Q292" s="26" t="str">
        <f>IF([2]道具信息!Q292="","",[2]道具信息!Q292)</f>
        <v/>
      </c>
    </row>
    <row r="293" spans="3:17" x14ac:dyDescent="0.15">
      <c r="C293" s="26">
        <f>IF([2]道具信息!C293="","",[2]道具信息!C293)</f>
        <v>21123</v>
      </c>
      <c r="D293" s="26" t="str">
        <f>IF([2]道具信息!D293="","",[2]道具信息!D293)</f>
        <v>治疗1小时加速令</v>
      </c>
      <c r="E293" s="26">
        <f>IF([2]道具信息!E293="","",[2]道具信息!E293)</f>
        <v>50</v>
      </c>
      <c r="F293" s="26">
        <f>IF([2]道具信息!F293="","",[2]道具信息!F293)</f>
        <v>1.2</v>
      </c>
      <c r="G293" s="26">
        <f>IF([2]道具信息!G293="","",[2]道具信息!G293)</f>
        <v>1</v>
      </c>
      <c r="H293" s="26">
        <f>IF([2]道具信息!H293="","",[2]道具信息!H293)</f>
        <v>0.6</v>
      </c>
      <c r="I293" s="26">
        <f>IF([2]道具信息!I293="","",[2]道具信息!I293)</f>
        <v>60</v>
      </c>
      <c r="J293" s="26">
        <f>IF([2]道具信息!J293="","",[2]道具信息!J293)</f>
        <v>50</v>
      </c>
      <c r="K293" s="26">
        <f>IF([2]道具信息!K293="","",[2]道具信息!K293)</f>
        <v>30</v>
      </c>
      <c r="L293" s="26" t="str">
        <f>IF([2]道具信息!L293="","",[2]道具信息!L293)</f>
        <v>使用后士兵治疗加速1小时</v>
      </c>
      <c r="M293" s="26" t="str">
        <f>IF([2]道具信息!M293="","",[2]道具信息!M293)</f>
        <v/>
      </c>
      <c r="N293" s="26" t="str">
        <f>IF([2]道具信息!N293="","",[2]道具信息!N293)</f>
        <v/>
      </c>
      <c r="O293" s="26" t="str">
        <f>IF([2]道具信息!O293="","",[2]道具信息!O293)</f>
        <v/>
      </c>
      <c r="P293" s="26" t="str">
        <f>IF([2]道具信息!P293="","",[2]道具信息!P293)</f>
        <v/>
      </c>
      <c r="Q293" s="26" t="str">
        <f>IF([2]道具信息!Q293="","",[2]道具信息!Q293)</f>
        <v/>
      </c>
    </row>
    <row r="294" spans="3:17" x14ac:dyDescent="0.15">
      <c r="C294" s="26">
        <f>IF([2]道具信息!C294="","",[2]道具信息!C294)</f>
        <v>21124</v>
      </c>
      <c r="D294" s="26" t="str">
        <f>IF([2]道具信息!D294="","",[2]道具信息!D294)</f>
        <v>治疗3小时加速令</v>
      </c>
      <c r="E294" s="26">
        <f>IF([2]道具信息!E294="","",[2]道具信息!E294)</f>
        <v>100</v>
      </c>
      <c r="F294" s="26">
        <f>IF([2]道具信息!F294="","",[2]道具信息!F294)</f>
        <v>1.8</v>
      </c>
      <c r="G294" s="26">
        <f>IF([2]道具信息!G294="","",[2]道具信息!G294)</f>
        <v>1</v>
      </c>
      <c r="H294" s="26">
        <f>IF([2]道具信息!H294="","",[2]道具信息!H294)</f>
        <v>0.8</v>
      </c>
      <c r="I294" s="26">
        <f>IF([2]道具信息!I294="","",[2]道具信息!I294)</f>
        <v>180</v>
      </c>
      <c r="J294" s="26">
        <f>IF([2]道具信息!J294="","",[2]道具信息!J294)</f>
        <v>100</v>
      </c>
      <c r="K294" s="26">
        <f>IF([2]道具信息!K294="","",[2]道具信息!K294)</f>
        <v>80</v>
      </c>
      <c r="L294" s="26" t="str">
        <f>IF([2]道具信息!L294="","",[2]道具信息!L294)</f>
        <v>使用后士兵治疗加速3小时</v>
      </c>
      <c r="M294" s="26" t="str">
        <f>IF([2]道具信息!M294="","",[2]道具信息!M294)</f>
        <v/>
      </c>
      <c r="N294" s="26" t="str">
        <f>IF([2]道具信息!N294="","",[2]道具信息!N294)</f>
        <v/>
      </c>
      <c r="O294" s="26" t="str">
        <f>IF([2]道具信息!O294="","",[2]道具信息!O294)</f>
        <v/>
      </c>
      <c r="P294" s="26" t="str">
        <f>IF([2]道具信息!P294="","",[2]道具信息!P294)</f>
        <v/>
      </c>
      <c r="Q294" s="26" t="str">
        <f>IF([2]道具信息!Q294="","",[2]道具信息!Q294)</f>
        <v/>
      </c>
    </row>
    <row r="295" spans="3:17" x14ac:dyDescent="0.15">
      <c r="C295" s="26">
        <f>IF([2]道具信息!C295="","",[2]道具信息!C295)</f>
        <v>21137</v>
      </c>
      <c r="D295" s="26" t="str">
        <f>IF([2]道具信息!D295="","",[2]道具信息!D295)</f>
        <v>治疗8小时加速令</v>
      </c>
      <c r="E295" s="26">
        <f>IF([2]道具信息!E295="","",[2]道具信息!E295)</f>
        <v>160</v>
      </c>
      <c r="F295" s="26">
        <f>IF([2]道具信息!F295="","",[2]道具信息!F295)</f>
        <v>3</v>
      </c>
      <c r="G295" s="26">
        <f>IF([2]道具信息!G295="","",[2]道具信息!G295)</f>
        <v>1</v>
      </c>
      <c r="H295" s="26">
        <f>IF([2]道具信息!H295="","",[2]道具信息!H295)</f>
        <v>1</v>
      </c>
      <c r="I295" s="26">
        <f>IF([2]道具信息!I295="","",[2]道具信息!I295)</f>
        <v>480</v>
      </c>
      <c r="J295" s="26">
        <f>IF([2]道具信息!J295="","",[2]道具信息!J295)</f>
        <v>160</v>
      </c>
      <c r="K295" s="26">
        <f>IF([2]道具信息!K295="","",[2]道具信息!K295)</f>
        <v>160</v>
      </c>
      <c r="L295" s="26" t="str">
        <f>IF([2]道具信息!L295="","",[2]道具信息!L295)</f>
        <v>使用后士兵治疗加速8小时</v>
      </c>
      <c r="M295" s="26" t="str">
        <f>IF([2]道具信息!M295="","",[2]道具信息!M295)</f>
        <v/>
      </c>
      <c r="N295" s="26" t="str">
        <f>IF([2]道具信息!N295="","",[2]道具信息!N295)</f>
        <v/>
      </c>
      <c r="O295" s="26" t="str">
        <f>IF([2]道具信息!O295="","",[2]道具信息!O295)</f>
        <v/>
      </c>
      <c r="P295" s="26" t="str">
        <f>IF([2]道具信息!P295="","",[2]道具信息!P295)</f>
        <v/>
      </c>
      <c r="Q295" s="26" t="str">
        <f>IF([2]道具信息!Q295="","",[2]道具信息!Q295)</f>
        <v/>
      </c>
    </row>
    <row r="296" spans="3:17" x14ac:dyDescent="0.15">
      <c r="C296" s="26" t="str">
        <f>IF([2]道具信息!C296="","",[2]道具信息!C296)</f>
        <v/>
      </c>
      <c r="D296" s="26" t="str">
        <f>IF([2]道具信息!D296="","",[2]道具信息!D296)</f>
        <v/>
      </c>
      <c r="E296" s="26" t="str">
        <f>IF([2]道具信息!E296="","",[2]道具信息!E296)</f>
        <v/>
      </c>
      <c r="F296" s="26" t="str">
        <f>IF([2]道具信息!F296="","",[2]道具信息!F296)</f>
        <v/>
      </c>
      <c r="G296" s="26" t="str">
        <f>IF([2]道具信息!G296="","",[2]道具信息!G296)</f>
        <v/>
      </c>
      <c r="H296" s="26" t="str">
        <f>IF([2]道具信息!H296="","",[2]道具信息!H296)</f>
        <v/>
      </c>
      <c r="I296" s="26" t="str">
        <f>IF([2]道具信息!I296="","",[2]道具信息!I296)</f>
        <v/>
      </c>
      <c r="J296" s="26" t="str">
        <f>IF([2]道具信息!J296="","",[2]道具信息!J296)</f>
        <v/>
      </c>
      <c r="K296" s="26" t="str">
        <f>IF([2]道具信息!K296="","",[2]道具信息!K296)</f>
        <v/>
      </c>
      <c r="L296" s="26" t="str">
        <f>IF([2]道具信息!L296="","",[2]道具信息!L296)</f>
        <v/>
      </c>
      <c r="M296" s="26" t="str">
        <f>IF([2]道具信息!M296="","",[2]道具信息!M296)</f>
        <v/>
      </c>
      <c r="N296" s="26" t="str">
        <f>IF([2]道具信息!N296="","",[2]道具信息!N296)</f>
        <v/>
      </c>
      <c r="O296" s="26" t="str">
        <f>IF([2]道具信息!O296="","",[2]道具信息!O296)</f>
        <v/>
      </c>
      <c r="P296" s="26" t="str">
        <f>IF([2]道具信息!P296="","",[2]道具信息!P296)</f>
        <v/>
      </c>
      <c r="Q296" s="26" t="str">
        <f>IF([2]道具信息!Q296="","",[2]道具信息!Q296)</f>
        <v/>
      </c>
    </row>
    <row r="297" spans="3:17" x14ac:dyDescent="0.15">
      <c r="C297" s="26">
        <f>IF([2]道具信息!C297="","",[2]道具信息!C297)</f>
        <v>21130</v>
      </c>
      <c r="D297" s="26" t="str">
        <f>IF([2]道具信息!D297="","",[2]道具信息!D297)</f>
        <v>训练1分钟加速令</v>
      </c>
      <c r="E297" s="26">
        <f>IF([2]道具信息!E297="","",[2]道具信息!E297)</f>
        <v>2</v>
      </c>
      <c r="F297" s="26">
        <f>IF([2]道具信息!F297="","",[2]道具信息!F297)</f>
        <v>1</v>
      </c>
      <c r="G297" s="26">
        <f>IF([2]道具信息!G297="","",[2]道具信息!G297)</f>
        <v>1</v>
      </c>
      <c r="H297" s="26">
        <f>IF([2]道具信息!H297="","",[2]道具信息!H297)</f>
        <v>0.3</v>
      </c>
      <c r="I297" s="26">
        <f>IF([2]道具信息!I297="","",[2]道具信息!I297)</f>
        <v>2</v>
      </c>
      <c r="J297" s="26">
        <f>IF([2]道具信息!J297="","",[2]道具信息!J297)</f>
        <v>2</v>
      </c>
      <c r="K297" s="26">
        <f>IF([2]道具信息!K297="","",[2]道具信息!K297)</f>
        <v>0.6</v>
      </c>
      <c r="L297" s="26" t="str">
        <f>IF([2]道具信息!L297="","",[2]道具信息!L297)</f>
        <v>使用后士兵训练加速1分钟</v>
      </c>
      <c r="M297" s="26" t="str">
        <f>IF([2]道具信息!M297="","",[2]道具信息!M297)</f>
        <v/>
      </c>
      <c r="N297" s="26" t="str">
        <f>IF([2]道具信息!N297="","",[2]道具信息!N297)</f>
        <v/>
      </c>
      <c r="O297" s="26" t="str">
        <f>IF([2]道具信息!O297="","",[2]道具信息!O297)</f>
        <v/>
      </c>
      <c r="P297" s="26" t="str">
        <f>IF([2]道具信息!P297="","",[2]道具信息!P297)</f>
        <v/>
      </c>
      <c r="Q297" s="26" t="str">
        <f>IF([2]道具信息!Q297="","",[2]道具信息!Q297)</f>
        <v/>
      </c>
    </row>
    <row r="298" spans="3:17" x14ac:dyDescent="0.15">
      <c r="C298" s="26">
        <f>IF([2]道具信息!C298="","",[2]道具信息!C298)</f>
        <v>21131</v>
      </c>
      <c r="D298" s="26" t="str">
        <f>IF([2]道具信息!D298="","",[2]道具信息!D298)</f>
        <v>训练5分钟加速令</v>
      </c>
      <c r="E298" s="26">
        <f>IF([2]道具信息!E298="","",[2]道具信息!E298)</f>
        <v>8</v>
      </c>
      <c r="F298" s="26">
        <f>IF([2]道具信息!F298="","",[2]道具信息!F298)</f>
        <v>1</v>
      </c>
      <c r="G298" s="26">
        <f>IF([2]道具信息!G298="","",[2]道具信息!G298)</f>
        <v>1</v>
      </c>
      <c r="H298" s="26">
        <f>IF([2]道具信息!H298="","",[2]道具信息!H298)</f>
        <v>0.4</v>
      </c>
      <c r="I298" s="26">
        <f>IF([2]道具信息!I298="","",[2]道具信息!I298)</f>
        <v>8</v>
      </c>
      <c r="J298" s="26">
        <f>IF([2]道具信息!J298="","",[2]道具信息!J298)</f>
        <v>8</v>
      </c>
      <c r="K298" s="26">
        <f>IF([2]道具信息!K298="","",[2]道具信息!K298)</f>
        <v>3.2</v>
      </c>
      <c r="L298" s="26" t="str">
        <f>IF([2]道具信息!L298="","",[2]道具信息!L298)</f>
        <v>使用后士兵训练加速5分钟</v>
      </c>
      <c r="M298" s="26" t="str">
        <f>IF([2]道具信息!M298="","",[2]道具信息!M298)</f>
        <v/>
      </c>
      <c r="N298" s="26" t="str">
        <f>IF([2]道具信息!N298="","",[2]道具信息!N298)</f>
        <v/>
      </c>
      <c r="O298" s="26" t="str">
        <f>IF([2]道具信息!O298="","",[2]道具信息!O298)</f>
        <v/>
      </c>
      <c r="P298" s="26" t="str">
        <f>IF([2]道具信息!P298="","",[2]道具信息!P298)</f>
        <v/>
      </c>
      <c r="Q298" s="26" t="str">
        <f>IF([2]道具信息!Q298="","",[2]道具信息!Q298)</f>
        <v/>
      </c>
    </row>
    <row r="299" spans="3:17" x14ac:dyDescent="0.15">
      <c r="C299" s="26">
        <f>IF([2]道具信息!C299="","",[2]道具信息!C299)</f>
        <v>21132</v>
      </c>
      <c r="D299" s="26" t="str">
        <f>IF([2]道具信息!D299="","",[2]道具信息!D299)</f>
        <v>训练20分钟加速令</v>
      </c>
      <c r="E299" s="26">
        <f>IF([2]道具信息!E299="","",[2]道具信息!E299)</f>
        <v>20</v>
      </c>
      <c r="F299" s="26">
        <f>IF([2]道具信息!F299="","",[2]道具信息!F299)</f>
        <v>1</v>
      </c>
      <c r="G299" s="26">
        <f>IF([2]道具信息!G299="","",[2]道具信息!G299)</f>
        <v>1</v>
      </c>
      <c r="H299" s="26">
        <f>IF([2]道具信息!H299="","",[2]道具信息!H299)</f>
        <v>0.5</v>
      </c>
      <c r="I299" s="26">
        <f>IF([2]道具信息!I299="","",[2]道具信息!I299)</f>
        <v>20</v>
      </c>
      <c r="J299" s="26">
        <f>IF([2]道具信息!J299="","",[2]道具信息!J299)</f>
        <v>20</v>
      </c>
      <c r="K299" s="26">
        <f>IF([2]道具信息!K299="","",[2]道具信息!K299)</f>
        <v>10</v>
      </c>
      <c r="L299" s="26" t="str">
        <f>IF([2]道具信息!L299="","",[2]道具信息!L299)</f>
        <v>使用后士兵训练加速20分钟</v>
      </c>
      <c r="M299" s="26" t="str">
        <f>IF([2]道具信息!M299="","",[2]道具信息!M299)</f>
        <v/>
      </c>
      <c r="N299" s="26" t="str">
        <f>IF([2]道具信息!N299="","",[2]道具信息!N299)</f>
        <v/>
      </c>
      <c r="O299" s="26" t="str">
        <f>IF([2]道具信息!O299="","",[2]道具信息!O299)</f>
        <v/>
      </c>
      <c r="P299" s="26" t="str">
        <f>IF([2]道具信息!P299="","",[2]道具信息!P299)</f>
        <v/>
      </c>
      <c r="Q299" s="26" t="str">
        <f>IF([2]道具信息!Q299="","",[2]道具信息!Q299)</f>
        <v/>
      </c>
    </row>
    <row r="300" spans="3:17" x14ac:dyDescent="0.15">
      <c r="C300" s="26">
        <f>IF([2]道具信息!C300="","",[2]道具信息!C300)</f>
        <v>21133</v>
      </c>
      <c r="D300" s="26" t="str">
        <f>IF([2]道具信息!D300="","",[2]道具信息!D300)</f>
        <v>训练1小时加速令</v>
      </c>
      <c r="E300" s="26">
        <f>IF([2]道具信息!E300="","",[2]道具信息!E300)</f>
        <v>50</v>
      </c>
      <c r="F300" s="26">
        <f>IF([2]道具信息!F300="","",[2]道具信息!F300)</f>
        <v>1.2</v>
      </c>
      <c r="G300" s="26">
        <f>IF([2]道具信息!G300="","",[2]道具信息!G300)</f>
        <v>1</v>
      </c>
      <c r="H300" s="26">
        <f>IF([2]道具信息!H300="","",[2]道具信息!H300)</f>
        <v>0.6</v>
      </c>
      <c r="I300" s="26">
        <f>IF([2]道具信息!I300="","",[2]道具信息!I300)</f>
        <v>60</v>
      </c>
      <c r="J300" s="26">
        <f>IF([2]道具信息!J300="","",[2]道具信息!J300)</f>
        <v>50</v>
      </c>
      <c r="K300" s="26">
        <f>IF([2]道具信息!K300="","",[2]道具信息!K300)</f>
        <v>30</v>
      </c>
      <c r="L300" s="26" t="str">
        <f>IF([2]道具信息!L300="","",[2]道具信息!L300)</f>
        <v>使用后士兵训练加速1小时</v>
      </c>
      <c r="M300" s="26" t="str">
        <f>IF([2]道具信息!M300="","",[2]道具信息!M300)</f>
        <v/>
      </c>
      <c r="N300" s="26" t="str">
        <f>IF([2]道具信息!N300="","",[2]道具信息!N300)</f>
        <v/>
      </c>
      <c r="O300" s="26" t="str">
        <f>IF([2]道具信息!O300="","",[2]道具信息!O300)</f>
        <v/>
      </c>
      <c r="P300" s="26" t="str">
        <f>IF([2]道具信息!P300="","",[2]道具信息!P300)</f>
        <v/>
      </c>
      <c r="Q300" s="26" t="str">
        <f>IF([2]道具信息!Q300="","",[2]道具信息!Q300)</f>
        <v/>
      </c>
    </row>
    <row r="301" spans="3:17" x14ac:dyDescent="0.15">
      <c r="C301" s="26">
        <f>IF([2]道具信息!C301="","",[2]道具信息!C301)</f>
        <v>21134</v>
      </c>
      <c r="D301" s="26" t="str">
        <f>IF([2]道具信息!D301="","",[2]道具信息!D301)</f>
        <v>训练3小时加速令</v>
      </c>
      <c r="E301" s="26">
        <f>IF([2]道具信息!E301="","",[2]道具信息!E301)</f>
        <v>100</v>
      </c>
      <c r="F301" s="26">
        <f>IF([2]道具信息!F301="","",[2]道具信息!F301)</f>
        <v>1.8</v>
      </c>
      <c r="G301" s="26">
        <f>IF([2]道具信息!G301="","",[2]道具信息!G301)</f>
        <v>1</v>
      </c>
      <c r="H301" s="26">
        <f>IF([2]道具信息!H301="","",[2]道具信息!H301)</f>
        <v>0.8</v>
      </c>
      <c r="I301" s="26">
        <f>IF([2]道具信息!I301="","",[2]道具信息!I301)</f>
        <v>180</v>
      </c>
      <c r="J301" s="26">
        <f>IF([2]道具信息!J301="","",[2]道具信息!J301)</f>
        <v>100</v>
      </c>
      <c r="K301" s="26">
        <f>IF([2]道具信息!K301="","",[2]道具信息!K301)</f>
        <v>80</v>
      </c>
      <c r="L301" s="26" t="str">
        <f>IF([2]道具信息!L301="","",[2]道具信息!L301)</f>
        <v>使用后士兵训练加速3小时</v>
      </c>
      <c r="M301" s="26" t="str">
        <f>IF([2]道具信息!M301="","",[2]道具信息!M301)</f>
        <v/>
      </c>
      <c r="N301" s="26" t="str">
        <f>IF([2]道具信息!N301="","",[2]道具信息!N301)</f>
        <v/>
      </c>
      <c r="O301" s="26" t="str">
        <f>IF([2]道具信息!O301="","",[2]道具信息!O301)</f>
        <v/>
      </c>
      <c r="P301" s="26" t="str">
        <f>IF([2]道具信息!P301="","",[2]道具信息!P301)</f>
        <v/>
      </c>
      <c r="Q301" s="26" t="str">
        <f>IF([2]道具信息!Q301="","",[2]道具信息!Q301)</f>
        <v/>
      </c>
    </row>
    <row r="302" spans="3:17" x14ac:dyDescent="0.15">
      <c r="C302" s="26">
        <f>IF([2]道具信息!C302="","",[2]道具信息!C302)</f>
        <v>21139</v>
      </c>
      <c r="D302" s="26" t="str">
        <f>IF([2]道具信息!D302="","",[2]道具信息!D302)</f>
        <v>训练8小时加速令</v>
      </c>
      <c r="E302" s="26">
        <f>IF([2]道具信息!E302="","",[2]道具信息!E302)</f>
        <v>160</v>
      </c>
      <c r="F302" s="26">
        <f>IF([2]道具信息!F302="","",[2]道具信息!F302)</f>
        <v>3</v>
      </c>
      <c r="G302" s="26">
        <f>IF([2]道具信息!G302="","",[2]道具信息!G302)</f>
        <v>1</v>
      </c>
      <c r="H302" s="26">
        <f>IF([2]道具信息!H302="","",[2]道具信息!H302)</f>
        <v>1</v>
      </c>
      <c r="I302" s="26">
        <f>IF([2]道具信息!I302="","",[2]道具信息!I302)</f>
        <v>480</v>
      </c>
      <c r="J302" s="26">
        <f>IF([2]道具信息!J302="","",[2]道具信息!J302)</f>
        <v>160</v>
      </c>
      <c r="K302" s="26">
        <f>IF([2]道具信息!K302="","",[2]道具信息!K302)</f>
        <v>160</v>
      </c>
      <c r="L302" s="26" t="str">
        <f>IF([2]道具信息!L302="","",[2]道具信息!L302)</f>
        <v>使用后士兵训练加速8小时</v>
      </c>
      <c r="M302" s="26" t="str">
        <f>IF([2]道具信息!M302="","",[2]道具信息!M302)</f>
        <v/>
      </c>
      <c r="N302" s="26" t="str">
        <f>IF([2]道具信息!N302="","",[2]道具信息!N302)</f>
        <v/>
      </c>
      <c r="O302" s="26" t="str">
        <f>IF([2]道具信息!O302="","",[2]道具信息!O302)</f>
        <v/>
      </c>
      <c r="P302" s="26" t="str">
        <f>IF([2]道具信息!P302="","",[2]道具信息!P302)</f>
        <v/>
      </c>
      <c r="Q302" s="26" t="str">
        <f>IF([2]道具信息!Q302="","",[2]道具信息!Q302)</f>
        <v/>
      </c>
    </row>
    <row r="303" spans="3:17" x14ac:dyDescent="0.15">
      <c r="C303" s="26" t="str">
        <f>IF([2]道具信息!C303="","",[2]道具信息!C303)</f>
        <v/>
      </c>
      <c r="D303" s="26" t="str">
        <f>IF([2]道具信息!D303="","",[2]道具信息!D303)</f>
        <v/>
      </c>
      <c r="E303" s="26" t="str">
        <f>IF([2]道具信息!E303="","",[2]道具信息!E303)</f>
        <v/>
      </c>
      <c r="F303" s="26" t="str">
        <f>IF([2]道具信息!F303="","",[2]道具信息!F303)</f>
        <v/>
      </c>
      <c r="G303" s="26" t="str">
        <f>IF([2]道具信息!G303="","",[2]道具信息!G303)</f>
        <v/>
      </c>
      <c r="H303" s="26" t="str">
        <f>IF([2]道具信息!H303="","",[2]道具信息!H303)</f>
        <v/>
      </c>
      <c r="I303" s="26" t="str">
        <f>IF([2]道具信息!I303="","",[2]道具信息!I303)</f>
        <v/>
      </c>
      <c r="J303" s="26" t="str">
        <f>IF([2]道具信息!J303="","",[2]道具信息!J303)</f>
        <v/>
      </c>
      <c r="K303" s="26" t="str">
        <f>IF([2]道具信息!K303="","",[2]道具信息!K303)</f>
        <v/>
      </c>
      <c r="L303" s="26" t="str">
        <f>IF([2]道具信息!L303="","",[2]道具信息!L303)</f>
        <v/>
      </c>
      <c r="M303" s="26" t="str">
        <f>IF([2]道具信息!M303="","",[2]道具信息!M303)</f>
        <v/>
      </c>
      <c r="N303" s="26" t="str">
        <f>IF([2]道具信息!N303="","",[2]道具信息!N303)</f>
        <v/>
      </c>
      <c r="O303" s="26" t="str">
        <f>IF([2]道具信息!O303="","",[2]道具信息!O303)</f>
        <v/>
      </c>
      <c r="P303" s="26" t="str">
        <f>IF([2]道具信息!P303="","",[2]道具信息!P303)</f>
        <v/>
      </c>
      <c r="Q303" s="26" t="str">
        <f>IF([2]道具信息!Q303="","",[2]道具信息!Q303)</f>
        <v/>
      </c>
    </row>
    <row r="304" spans="3:17" x14ac:dyDescent="0.15">
      <c r="C304" s="26">
        <f>IF([2]道具信息!C304="","",[2]道具信息!C304)</f>
        <v>21140</v>
      </c>
      <c r="D304" s="26" t="str">
        <f>IF([2]道具信息!D304="","",[2]道具信息!D304)</f>
        <v>圣人1分钟加速令</v>
      </c>
      <c r="E304" s="26">
        <f>IF([2]道具信息!E304="","",[2]道具信息!E304)</f>
        <v>2</v>
      </c>
      <c r="F304" s="26">
        <f>IF([2]道具信息!F304="","",[2]道具信息!F304)</f>
        <v>1</v>
      </c>
      <c r="G304" s="26">
        <f>IF([2]道具信息!G304="","",[2]道具信息!G304)</f>
        <v>1</v>
      </c>
      <c r="H304" s="26">
        <f>IF([2]道具信息!H304="","",[2]道具信息!H304)</f>
        <v>0.3</v>
      </c>
      <c r="I304" s="26">
        <f>IF([2]道具信息!I304="","",[2]道具信息!I304)</f>
        <v>2</v>
      </c>
      <c r="J304" s="26">
        <f>IF([2]道具信息!J304="","",[2]道具信息!J304)</f>
        <v>2</v>
      </c>
      <c r="K304" s="26">
        <f>IF([2]道具信息!K304="","",[2]道具信息!K304)</f>
        <v>0.6</v>
      </c>
      <c r="L304" s="26" t="str">
        <f>IF([2]道具信息!L304="","",[2]道具信息!L304)</f>
        <v>使用后士兵训练加速1分钟</v>
      </c>
      <c r="M304" s="26" t="str">
        <f>IF([2]道具信息!M304="","",[2]道具信息!M304)</f>
        <v/>
      </c>
      <c r="N304" s="26" t="str">
        <f>IF([2]道具信息!N304="","",[2]道具信息!N304)</f>
        <v/>
      </c>
      <c r="O304" s="26" t="str">
        <f>IF([2]道具信息!O304="","",[2]道具信息!O304)</f>
        <v/>
      </c>
      <c r="P304" s="26" t="str">
        <f>IF([2]道具信息!P304="","",[2]道具信息!P304)</f>
        <v/>
      </c>
      <c r="Q304" s="26" t="str">
        <f>IF([2]道具信息!Q304="","",[2]道具信息!Q304)</f>
        <v/>
      </c>
    </row>
    <row r="305" spans="3:17" x14ac:dyDescent="0.15">
      <c r="C305" s="26">
        <f>IF([2]道具信息!C305="","",[2]道具信息!C305)</f>
        <v>21141</v>
      </c>
      <c r="D305" s="26" t="str">
        <f>IF([2]道具信息!D305="","",[2]道具信息!D305)</f>
        <v>圣人5分钟加速令</v>
      </c>
      <c r="E305" s="26">
        <f>IF([2]道具信息!E305="","",[2]道具信息!E305)</f>
        <v>8</v>
      </c>
      <c r="F305" s="26">
        <f>IF([2]道具信息!F305="","",[2]道具信息!F305)</f>
        <v>1</v>
      </c>
      <c r="G305" s="26">
        <f>IF([2]道具信息!G305="","",[2]道具信息!G305)</f>
        <v>1</v>
      </c>
      <c r="H305" s="26">
        <f>IF([2]道具信息!H305="","",[2]道具信息!H305)</f>
        <v>0.4</v>
      </c>
      <c r="I305" s="26">
        <f>IF([2]道具信息!I305="","",[2]道具信息!I305)</f>
        <v>8</v>
      </c>
      <c r="J305" s="26">
        <f>IF([2]道具信息!J305="","",[2]道具信息!J305)</f>
        <v>8</v>
      </c>
      <c r="K305" s="26">
        <f>IF([2]道具信息!K305="","",[2]道具信息!K305)</f>
        <v>3.2</v>
      </c>
      <c r="L305" s="26" t="str">
        <f>IF([2]道具信息!L305="","",[2]道具信息!L305)</f>
        <v>使用后士兵训练加速5分钟</v>
      </c>
      <c r="M305" s="26" t="str">
        <f>IF([2]道具信息!M305="","",[2]道具信息!M305)</f>
        <v/>
      </c>
      <c r="N305" s="26" t="str">
        <f>IF([2]道具信息!N305="","",[2]道具信息!N305)</f>
        <v/>
      </c>
      <c r="O305" s="26" t="str">
        <f>IF([2]道具信息!O305="","",[2]道具信息!O305)</f>
        <v/>
      </c>
      <c r="P305" s="26" t="str">
        <f>IF([2]道具信息!P305="","",[2]道具信息!P305)</f>
        <v/>
      </c>
      <c r="Q305" s="26" t="str">
        <f>IF([2]道具信息!Q305="","",[2]道具信息!Q305)</f>
        <v/>
      </c>
    </row>
    <row r="306" spans="3:17" x14ac:dyDescent="0.15">
      <c r="C306" s="26">
        <f>IF([2]道具信息!C306="","",[2]道具信息!C306)</f>
        <v>21142</v>
      </c>
      <c r="D306" s="26" t="str">
        <f>IF([2]道具信息!D306="","",[2]道具信息!D306)</f>
        <v>圣人20分钟加速令</v>
      </c>
      <c r="E306" s="26">
        <f>IF([2]道具信息!E306="","",[2]道具信息!E306)</f>
        <v>20</v>
      </c>
      <c r="F306" s="26">
        <f>IF([2]道具信息!F306="","",[2]道具信息!F306)</f>
        <v>1</v>
      </c>
      <c r="G306" s="26">
        <f>IF([2]道具信息!G306="","",[2]道具信息!G306)</f>
        <v>1</v>
      </c>
      <c r="H306" s="26">
        <f>IF([2]道具信息!H306="","",[2]道具信息!H306)</f>
        <v>0.5</v>
      </c>
      <c r="I306" s="26">
        <f>IF([2]道具信息!I306="","",[2]道具信息!I306)</f>
        <v>20</v>
      </c>
      <c r="J306" s="26">
        <f>IF([2]道具信息!J306="","",[2]道具信息!J306)</f>
        <v>20</v>
      </c>
      <c r="K306" s="26">
        <f>IF([2]道具信息!K306="","",[2]道具信息!K306)</f>
        <v>10</v>
      </c>
      <c r="L306" s="26" t="str">
        <f>IF([2]道具信息!L306="","",[2]道具信息!L306)</f>
        <v>使用后士兵训练加速20分钟</v>
      </c>
      <c r="M306" s="26" t="str">
        <f>IF([2]道具信息!M306="","",[2]道具信息!M306)</f>
        <v/>
      </c>
      <c r="N306" s="26" t="str">
        <f>IF([2]道具信息!N306="","",[2]道具信息!N306)</f>
        <v/>
      </c>
      <c r="O306" s="26" t="str">
        <f>IF([2]道具信息!O306="","",[2]道具信息!O306)</f>
        <v/>
      </c>
      <c r="P306" s="26" t="str">
        <f>IF([2]道具信息!P306="","",[2]道具信息!P306)</f>
        <v/>
      </c>
      <c r="Q306" s="26" t="str">
        <f>IF([2]道具信息!Q306="","",[2]道具信息!Q306)</f>
        <v/>
      </c>
    </row>
    <row r="307" spans="3:17" x14ac:dyDescent="0.15">
      <c r="C307" s="26">
        <f>IF([2]道具信息!C307="","",[2]道具信息!C307)</f>
        <v>21143</v>
      </c>
      <c r="D307" s="26" t="str">
        <f>IF([2]道具信息!D307="","",[2]道具信息!D307)</f>
        <v>圣人1小时加速令</v>
      </c>
      <c r="E307" s="26">
        <f>IF([2]道具信息!E307="","",[2]道具信息!E307)</f>
        <v>50</v>
      </c>
      <c r="F307" s="26">
        <f>IF([2]道具信息!F307="","",[2]道具信息!F307)</f>
        <v>1.2</v>
      </c>
      <c r="G307" s="26">
        <f>IF([2]道具信息!G307="","",[2]道具信息!G307)</f>
        <v>1</v>
      </c>
      <c r="H307" s="26">
        <f>IF([2]道具信息!H307="","",[2]道具信息!H307)</f>
        <v>0.6</v>
      </c>
      <c r="I307" s="26">
        <f>IF([2]道具信息!I307="","",[2]道具信息!I307)</f>
        <v>60</v>
      </c>
      <c r="J307" s="26">
        <f>IF([2]道具信息!J307="","",[2]道具信息!J307)</f>
        <v>50</v>
      </c>
      <c r="K307" s="26">
        <f>IF([2]道具信息!K307="","",[2]道具信息!K307)</f>
        <v>30</v>
      </c>
      <c r="L307" s="26" t="str">
        <f>IF([2]道具信息!L307="","",[2]道具信息!L307)</f>
        <v>使用后士兵训练加速1小时</v>
      </c>
      <c r="M307" s="26" t="str">
        <f>IF([2]道具信息!M307="","",[2]道具信息!M307)</f>
        <v/>
      </c>
      <c r="N307" s="26" t="str">
        <f>IF([2]道具信息!N307="","",[2]道具信息!N307)</f>
        <v/>
      </c>
      <c r="O307" s="26" t="str">
        <f>IF([2]道具信息!O307="","",[2]道具信息!O307)</f>
        <v/>
      </c>
      <c r="P307" s="26" t="str">
        <f>IF([2]道具信息!P307="","",[2]道具信息!P307)</f>
        <v/>
      </c>
      <c r="Q307" s="26" t="str">
        <f>IF([2]道具信息!Q307="","",[2]道具信息!Q307)</f>
        <v/>
      </c>
    </row>
    <row r="308" spans="3:17" x14ac:dyDescent="0.15">
      <c r="C308" s="26">
        <f>IF([2]道具信息!C308="","",[2]道具信息!C308)</f>
        <v>21144</v>
      </c>
      <c r="D308" s="26" t="str">
        <f>IF([2]道具信息!D308="","",[2]道具信息!D308)</f>
        <v>圣人3小时加速令</v>
      </c>
      <c r="E308" s="26">
        <f>IF([2]道具信息!E308="","",[2]道具信息!E308)</f>
        <v>100</v>
      </c>
      <c r="F308" s="26">
        <f>IF([2]道具信息!F308="","",[2]道具信息!F308)</f>
        <v>1.8</v>
      </c>
      <c r="G308" s="26">
        <f>IF([2]道具信息!G308="","",[2]道具信息!G308)</f>
        <v>1</v>
      </c>
      <c r="H308" s="26">
        <f>IF([2]道具信息!H308="","",[2]道具信息!H308)</f>
        <v>0.8</v>
      </c>
      <c r="I308" s="26">
        <f>IF([2]道具信息!I308="","",[2]道具信息!I308)</f>
        <v>180</v>
      </c>
      <c r="J308" s="26">
        <f>IF([2]道具信息!J308="","",[2]道具信息!J308)</f>
        <v>100</v>
      </c>
      <c r="K308" s="26">
        <f>IF([2]道具信息!K308="","",[2]道具信息!K308)</f>
        <v>80</v>
      </c>
      <c r="L308" s="26" t="str">
        <f>IF([2]道具信息!L308="","",[2]道具信息!L308)</f>
        <v>使用后士兵训练加速3小时</v>
      </c>
      <c r="M308" s="26" t="str">
        <f>IF([2]道具信息!M308="","",[2]道具信息!M308)</f>
        <v/>
      </c>
      <c r="N308" s="26" t="str">
        <f>IF([2]道具信息!N308="","",[2]道具信息!N308)</f>
        <v/>
      </c>
      <c r="O308" s="26" t="str">
        <f>IF([2]道具信息!O308="","",[2]道具信息!O308)</f>
        <v/>
      </c>
      <c r="P308" s="26" t="str">
        <f>IF([2]道具信息!P308="","",[2]道具信息!P308)</f>
        <v/>
      </c>
      <c r="Q308" s="26" t="str">
        <f>IF([2]道具信息!Q308="","",[2]道具信息!Q308)</f>
        <v/>
      </c>
    </row>
    <row r="309" spans="3:17" x14ac:dyDescent="0.15">
      <c r="C309" s="26">
        <f>IF([2]道具信息!C309="","",[2]道具信息!C309)</f>
        <v>21145</v>
      </c>
      <c r="D309" s="26" t="str">
        <f>IF([2]道具信息!D309="","",[2]道具信息!D309)</f>
        <v>圣人8小时加速令</v>
      </c>
      <c r="E309" s="26">
        <f>IF([2]道具信息!E309="","",[2]道具信息!E309)</f>
        <v>160</v>
      </c>
      <c r="F309" s="26">
        <f>IF([2]道具信息!F309="","",[2]道具信息!F309)</f>
        <v>3</v>
      </c>
      <c r="G309" s="26">
        <f>IF([2]道具信息!G309="","",[2]道具信息!G309)</f>
        <v>1</v>
      </c>
      <c r="H309" s="26">
        <f>IF([2]道具信息!H309="","",[2]道具信息!H309)</f>
        <v>1</v>
      </c>
      <c r="I309" s="26">
        <f>IF([2]道具信息!I309="","",[2]道具信息!I309)</f>
        <v>480</v>
      </c>
      <c r="J309" s="26">
        <f>IF([2]道具信息!J309="","",[2]道具信息!J309)</f>
        <v>160</v>
      </c>
      <c r="K309" s="26">
        <f>IF([2]道具信息!K309="","",[2]道具信息!K309)</f>
        <v>160</v>
      </c>
      <c r="L309" s="26" t="str">
        <f>IF([2]道具信息!L309="","",[2]道具信息!L309)</f>
        <v>使用后士兵训练加速8小时</v>
      </c>
      <c r="M309" s="26" t="str">
        <f>IF([2]道具信息!M309="","",[2]道具信息!M309)</f>
        <v/>
      </c>
      <c r="N309" s="26" t="str">
        <f>IF([2]道具信息!N309="","",[2]道具信息!N309)</f>
        <v/>
      </c>
      <c r="O309" s="26" t="str">
        <f>IF([2]道具信息!O309="","",[2]道具信息!O309)</f>
        <v/>
      </c>
      <c r="P309" s="26" t="str">
        <f>IF([2]道具信息!P309="","",[2]道具信息!P309)</f>
        <v/>
      </c>
      <c r="Q309" s="26" t="str">
        <f>IF([2]道具信息!Q309="","",[2]道具信息!Q309)</f>
        <v/>
      </c>
    </row>
    <row r="310" spans="3:17" x14ac:dyDescent="0.15">
      <c r="C310" s="26" t="str">
        <f>IF([2]道具信息!C310="","",[2]道具信息!C310)</f>
        <v/>
      </c>
      <c r="D310" s="26" t="str">
        <f>IF([2]道具信息!D310="","",[2]道具信息!D310)</f>
        <v/>
      </c>
      <c r="E310" s="26" t="str">
        <f>IF([2]道具信息!E310="","",[2]道具信息!E310)</f>
        <v/>
      </c>
      <c r="F310" s="26" t="str">
        <f>IF([2]道具信息!F310="","",[2]道具信息!F310)</f>
        <v/>
      </c>
      <c r="G310" s="26" t="str">
        <f>IF([2]道具信息!G310="","",[2]道具信息!G310)</f>
        <v/>
      </c>
      <c r="H310" s="26" t="str">
        <f>IF([2]道具信息!H310="","",[2]道具信息!H310)</f>
        <v/>
      </c>
      <c r="I310" s="26" t="str">
        <f>IF([2]道具信息!I310="","",[2]道具信息!I310)</f>
        <v/>
      </c>
      <c r="J310" s="26" t="str">
        <f>IF([2]道具信息!J310="","",[2]道具信息!J310)</f>
        <v/>
      </c>
      <c r="K310" s="26" t="str">
        <f>IF([2]道具信息!K310="","",[2]道具信息!K310)</f>
        <v/>
      </c>
      <c r="L310" s="26" t="str">
        <f>IF([2]道具信息!L310="","",[2]道具信息!L310)</f>
        <v/>
      </c>
      <c r="M310" s="26" t="str">
        <f>IF([2]道具信息!M310="","",[2]道具信息!M310)</f>
        <v/>
      </c>
      <c r="N310" s="26" t="str">
        <f>IF([2]道具信息!N310="","",[2]道具信息!N310)</f>
        <v/>
      </c>
      <c r="O310" s="26" t="str">
        <f>IF([2]道具信息!O310="","",[2]道具信息!O310)</f>
        <v/>
      </c>
      <c r="P310" s="26" t="str">
        <f>IF([2]道具信息!P310="","",[2]道具信息!P310)</f>
        <v/>
      </c>
      <c r="Q310" s="26" t="str">
        <f>IF([2]道具信息!Q310="","",[2]道具信息!Q310)</f>
        <v/>
      </c>
    </row>
    <row r="311" spans="3:17" x14ac:dyDescent="0.15">
      <c r="C311" s="26">
        <f>IF([2]道具信息!C311="","",[2]道具信息!C311)</f>
        <v>21125</v>
      </c>
      <c r="D311" s="26" t="str">
        <f>IF([2]道具信息!D311="","",[2]道具信息!D311)</f>
        <v>通用1分钟加速令</v>
      </c>
      <c r="E311" s="26">
        <f>IF([2]道具信息!E311="","",[2]道具信息!E311)</f>
        <v>2</v>
      </c>
      <c r="F311" s="26">
        <f>IF([2]道具信息!F311="","",[2]道具信息!F311)</f>
        <v>1</v>
      </c>
      <c r="G311" s="26">
        <f>IF([2]道具信息!G311="","",[2]道具信息!G311)</f>
        <v>1</v>
      </c>
      <c r="H311" s="26">
        <f>IF([2]道具信息!H311="","",[2]道具信息!H311)</f>
        <v>0.3</v>
      </c>
      <c r="I311" s="26">
        <f>IF([2]道具信息!I311="","",[2]道具信息!I311)</f>
        <v>2</v>
      </c>
      <c r="J311" s="26">
        <f>IF([2]道具信息!J311="","",[2]道具信息!J311)</f>
        <v>2</v>
      </c>
      <c r="K311" s="26">
        <f>IF([2]道具信息!K311="","",[2]道具信息!K311)</f>
        <v>0.6</v>
      </c>
      <c r="L311" s="26" t="str">
        <f>IF([2]道具信息!L311="","",[2]道具信息!L311)</f>
        <v>使用后任意队列加速1分钟</v>
      </c>
      <c r="M311" s="26" t="str">
        <f>IF([2]道具信息!M311="","",[2]道具信息!M311)</f>
        <v/>
      </c>
      <c r="N311" s="26" t="str">
        <f>IF([2]道具信息!N311="","",[2]道具信息!N311)</f>
        <v/>
      </c>
      <c r="O311" s="26" t="str">
        <f>IF([2]道具信息!O311="","",[2]道具信息!O311)</f>
        <v/>
      </c>
      <c r="P311" s="26" t="str">
        <f>IF([2]道具信息!P311="","",[2]道具信息!P311)</f>
        <v/>
      </c>
      <c r="Q311" s="26" t="str">
        <f>IF([2]道具信息!Q311="","",[2]道具信息!Q311)</f>
        <v/>
      </c>
    </row>
    <row r="312" spans="3:17" x14ac:dyDescent="0.15">
      <c r="C312" s="26">
        <f>IF([2]道具信息!C312="","",[2]道具信息!C312)</f>
        <v>21126</v>
      </c>
      <c r="D312" s="26" t="str">
        <f>IF([2]道具信息!D312="","",[2]道具信息!D312)</f>
        <v>通用5分钟加速令</v>
      </c>
      <c r="E312" s="26">
        <f>IF([2]道具信息!E312="","",[2]道具信息!E312)</f>
        <v>8</v>
      </c>
      <c r="F312" s="26">
        <f>IF([2]道具信息!F312="","",[2]道具信息!F312)</f>
        <v>1</v>
      </c>
      <c r="G312" s="26">
        <f>IF([2]道具信息!G312="","",[2]道具信息!G312)</f>
        <v>1</v>
      </c>
      <c r="H312" s="26">
        <f>IF([2]道具信息!H312="","",[2]道具信息!H312)</f>
        <v>0.4</v>
      </c>
      <c r="I312" s="26">
        <f>IF([2]道具信息!I312="","",[2]道具信息!I312)</f>
        <v>8</v>
      </c>
      <c r="J312" s="26">
        <f>IF([2]道具信息!J312="","",[2]道具信息!J312)</f>
        <v>8</v>
      </c>
      <c r="K312" s="26">
        <f>IF([2]道具信息!K312="","",[2]道具信息!K312)</f>
        <v>3.2</v>
      </c>
      <c r="L312" s="26" t="str">
        <f>IF([2]道具信息!L312="","",[2]道具信息!L312)</f>
        <v>使用后任意队列加速5分钟</v>
      </c>
      <c r="M312" s="26" t="str">
        <f>IF([2]道具信息!M312="","",[2]道具信息!M312)</f>
        <v/>
      </c>
      <c r="N312" s="26" t="str">
        <f>IF([2]道具信息!N312="","",[2]道具信息!N312)</f>
        <v/>
      </c>
      <c r="O312" s="26" t="str">
        <f>IF([2]道具信息!O312="","",[2]道具信息!O312)</f>
        <v/>
      </c>
      <c r="P312" s="26" t="str">
        <f>IF([2]道具信息!P312="","",[2]道具信息!P312)</f>
        <v/>
      </c>
      <c r="Q312" s="26" t="str">
        <f>IF([2]道具信息!Q312="","",[2]道具信息!Q312)</f>
        <v/>
      </c>
    </row>
    <row r="313" spans="3:17" x14ac:dyDescent="0.15">
      <c r="C313" s="26">
        <f>IF([2]道具信息!C313="","",[2]道具信息!C313)</f>
        <v>21127</v>
      </c>
      <c r="D313" s="26" t="str">
        <f>IF([2]道具信息!D313="","",[2]道具信息!D313)</f>
        <v>通用20分钟加速令</v>
      </c>
      <c r="E313" s="26">
        <f>IF([2]道具信息!E313="","",[2]道具信息!E313)</f>
        <v>20</v>
      </c>
      <c r="F313" s="26">
        <f>IF([2]道具信息!F313="","",[2]道具信息!F313)</f>
        <v>1</v>
      </c>
      <c r="G313" s="26">
        <f>IF([2]道具信息!G313="","",[2]道具信息!G313)</f>
        <v>1</v>
      </c>
      <c r="H313" s="26">
        <f>IF([2]道具信息!H313="","",[2]道具信息!H313)</f>
        <v>0.5</v>
      </c>
      <c r="I313" s="26">
        <f>IF([2]道具信息!I313="","",[2]道具信息!I313)</f>
        <v>20</v>
      </c>
      <c r="J313" s="26">
        <f>IF([2]道具信息!J313="","",[2]道具信息!J313)</f>
        <v>20</v>
      </c>
      <c r="K313" s="26">
        <f>IF([2]道具信息!K313="","",[2]道具信息!K313)</f>
        <v>10</v>
      </c>
      <c r="L313" s="26" t="str">
        <f>IF([2]道具信息!L313="","",[2]道具信息!L313)</f>
        <v>使用后任意队列加速20分钟</v>
      </c>
      <c r="M313" s="26" t="str">
        <f>IF([2]道具信息!M313="","",[2]道具信息!M313)</f>
        <v/>
      </c>
      <c r="N313" s="26" t="str">
        <f>IF([2]道具信息!N313="","",[2]道具信息!N313)</f>
        <v/>
      </c>
      <c r="O313" s="26" t="str">
        <f>IF([2]道具信息!O313="","",[2]道具信息!O313)</f>
        <v/>
      </c>
      <c r="P313" s="26" t="str">
        <f>IF([2]道具信息!P313="","",[2]道具信息!P313)</f>
        <v/>
      </c>
      <c r="Q313" s="26" t="str">
        <f>IF([2]道具信息!Q313="","",[2]道具信息!Q313)</f>
        <v/>
      </c>
    </row>
    <row r="314" spans="3:17" x14ac:dyDescent="0.15">
      <c r="C314" s="26">
        <f>IF([2]道具信息!C314="","",[2]道具信息!C314)</f>
        <v>21128</v>
      </c>
      <c r="D314" s="26" t="str">
        <f>IF([2]道具信息!D314="","",[2]道具信息!D314)</f>
        <v>通用1小时加速令</v>
      </c>
      <c r="E314" s="26">
        <f>IF([2]道具信息!E314="","",[2]道具信息!E314)</f>
        <v>50</v>
      </c>
      <c r="F314" s="26">
        <f>IF([2]道具信息!F314="","",[2]道具信息!F314)</f>
        <v>1.2</v>
      </c>
      <c r="G314" s="26">
        <f>IF([2]道具信息!G314="","",[2]道具信息!G314)</f>
        <v>1</v>
      </c>
      <c r="H314" s="26">
        <f>IF([2]道具信息!H314="","",[2]道具信息!H314)</f>
        <v>0.6</v>
      </c>
      <c r="I314" s="26">
        <f>IF([2]道具信息!I314="","",[2]道具信息!I314)</f>
        <v>60</v>
      </c>
      <c r="J314" s="26">
        <f>IF([2]道具信息!J314="","",[2]道具信息!J314)</f>
        <v>50</v>
      </c>
      <c r="K314" s="26">
        <f>IF([2]道具信息!K314="","",[2]道具信息!K314)</f>
        <v>30</v>
      </c>
      <c r="L314" s="26" t="str">
        <f>IF([2]道具信息!L314="","",[2]道具信息!L314)</f>
        <v>使用后任意队列加速1小时</v>
      </c>
      <c r="M314" s="26" t="str">
        <f>IF([2]道具信息!M314="","",[2]道具信息!M314)</f>
        <v/>
      </c>
      <c r="N314" s="26" t="str">
        <f>IF([2]道具信息!N314="","",[2]道具信息!N314)</f>
        <v/>
      </c>
      <c r="O314" s="26" t="str">
        <f>IF([2]道具信息!O314="","",[2]道具信息!O314)</f>
        <v/>
      </c>
      <c r="P314" s="26" t="str">
        <f>IF([2]道具信息!P314="","",[2]道具信息!P314)</f>
        <v/>
      </c>
      <c r="Q314" s="26" t="str">
        <f>IF([2]道具信息!Q314="","",[2]道具信息!Q314)</f>
        <v/>
      </c>
    </row>
    <row r="315" spans="3:17" x14ac:dyDescent="0.15">
      <c r="C315" s="26">
        <f>IF([2]道具信息!C315="","",[2]道具信息!C315)</f>
        <v>21129</v>
      </c>
      <c r="D315" s="26" t="str">
        <f>IF([2]道具信息!D315="","",[2]道具信息!D315)</f>
        <v>通用3小时加速令</v>
      </c>
      <c r="E315" s="26">
        <f>IF([2]道具信息!E315="","",[2]道具信息!E315)</f>
        <v>100</v>
      </c>
      <c r="F315" s="26">
        <f>IF([2]道具信息!F315="","",[2]道具信息!F315)</f>
        <v>1.8</v>
      </c>
      <c r="G315" s="26">
        <f>IF([2]道具信息!G315="","",[2]道具信息!G315)</f>
        <v>1</v>
      </c>
      <c r="H315" s="26">
        <f>IF([2]道具信息!H315="","",[2]道具信息!H315)</f>
        <v>0.8</v>
      </c>
      <c r="I315" s="26">
        <f>IF([2]道具信息!I315="","",[2]道具信息!I315)</f>
        <v>180</v>
      </c>
      <c r="J315" s="26">
        <f>IF([2]道具信息!J315="","",[2]道具信息!J315)</f>
        <v>100</v>
      </c>
      <c r="K315" s="26">
        <f>IF([2]道具信息!K315="","",[2]道具信息!K315)</f>
        <v>80</v>
      </c>
      <c r="L315" s="26" t="str">
        <f>IF([2]道具信息!L315="","",[2]道具信息!L315)</f>
        <v>使用后任意队列加速3小时</v>
      </c>
      <c r="M315" s="26" t="str">
        <f>IF([2]道具信息!M315="","",[2]道具信息!M315)</f>
        <v/>
      </c>
      <c r="N315" s="26" t="str">
        <f>IF([2]道具信息!N315="","",[2]道具信息!N315)</f>
        <v/>
      </c>
      <c r="O315" s="26" t="str">
        <f>IF([2]道具信息!O315="","",[2]道具信息!O315)</f>
        <v/>
      </c>
      <c r="P315" s="26" t="str">
        <f>IF([2]道具信息!P315="","",[2]道具信息!P315)</f>
        <v/>
      </c>
      <c r="Q315" s="26" t="str">
        <f>IF([2]道具信息!Q315="","",[2]道具信息!Q315)</f>
        <v/>
      </c>
    </row>
    <row r="316" spans="3:17" x14ac:dyDescent="0.15">
      <c r="C316" s="26">
        <f>IF([2]道具信息!C316="","",[2]道具信息!C316)</f>
        <v>21138</v>
      </c>
      <c r="D316" s="26" t="str">
        <f>IF([2]道具信息!D316="","",[2]道具信息!D316)</f>
        <v>通用8小时加速令</v>
      </c>
      <c r="E316" s="26">
        <f>IF([2]道具信息!E316="","",[2]道具信息!E316)</f>
        <v>160</v>
      </c>
      <c r="F316" s="26">
        <f>IF([2]道具信息!F316="","",[2]道具信息!F316)</f>
        <v>3</v>
      </c>
      <c r="G316" s="26">
        <f>IF([2]道具信息!G316="","",[2]道具信息!G316)</f>
        <v>1</v>
      </c>
      <c r="H316" s="26">
        <f>IF([2]道具信息!H316="","",[2]道具信息!H316)</f>
        <v>1</v>
      </c>
      <c r="I316" s="26">
        <f>IF([2]道具信息!I316="","",[2]道具信息!I316)</f>
        <v>480</v>
      </c>
      <c r="J316" s="26">
        <f>IF([2]道具信息!J316="","",[2]道具信息!J316)</f>
        <v>160</v>
      </c>
      <c r="K316" s="26">
        <f>IF([2]道具信息!K316="","",[2]道具信息!K316)</f>
        <v>160</v>
      </c>
      <c r="L316" s="26" t="str">
        <f>IF([2]道具信息!L316="","",[2]道具信息!L316)</f>
        <v>使用后任意队列加速8小时</v>
      </c>
      <c r="M316" s="26" t="str">
        <f>IF([2]道具信息!M316="","",[2]道具信息!M316)</f>
        <v/>
      </c>
      <c r="N316" s="26" t="str">
        <f>IF([2]道具信息!N316="","",[2]道具信息!N316)</f>
        <v/>
      </c>
      <c r="O316" s="26" t="str">
        <f>IF([2]道具信息!O316="","",[2]道具信息!O316)</f>
        <v/>
      </c>
      <c r="P316" s="26" t="str">
        <f>IF([2]道具信息!P316="","",[2]道具信息!P316)</f>
        <v/>
      </c>
      <c r="Q316" s="26" t="str">
        <f>IF([2]道具信息!Q316="","",[2]道具信息!Q316)</f>
        <v/>
      </c>
    </row>
    <row r="317" spans="3:17" x14ac:dyDescent="0.15">
      <c r="C317" s="26" t="str">
        <f>IF([2]道具信息!C317="","",[2]道具信息!C317)</f>
        <v/>
      </c>
      <c r="D317" s="26" t="str">
        <f>IF([2]道具信息!D317="","",[2]道具信息!D317)</f>
        <v/>
      </c>
      <c r="E317" s="26" t="str">
        <f>IF([2]道具信息!E317="","",[2]道具信息!E317)</f>
        <v/>
      </c>
      <c r="F317" s="26" t="str">
        <f>IF([2]道具信息!F317="","",[2]道具信息!F317)</f>
        <v/>
      </c>
      <c r="G317" s="26" t="str">
        <f>IF([2]道具信息!G317="","",[2]道具信息!G317)</f>
        <v/>
      </c>
      <c r="H317" s="26" t="str">
        <f>IF([2]道具信息!H317="","",[2]道具信息!H317)</f>
        <v/>
      </c>
      <c r="I317" s="26" t="str">
        <f>IF([2]道具信息!I317="","",[2]道具信息!I317)</f>
        <v/>
      </c>
      <c r="J317" s="26" t="str">
        <f>IF([2]道具信息!J317="","",[2]道具信息!J317)</f>
        <v/>
      </c>
      <c r="K317" s="26" t="str">
        <f>IF([2]道具信息!K317="","",[2]道具信息!K317)</f>
        <v/>
      </c>
      <c r="L317" s="26" t="str">
        <f>IF([2]道具信息!L317="","",[2]道具信息!L317)</f>
        <v/>
      </c>
      <c r="M317" s="26" t="str">
        <f>IF([2]道具信息!M317="","",[2]道具信息!M317)</f>
        <v/>
      </c>
      <c r="N317" s="26" t="str">
        <f>IF([2]道具信息!N317="","",[2]道具信息!N317)</f>
        <v/>
      </c>
      <c r="O317" s="26" t="str">
        <f>IF([2]道具信息!O317="","",[2]道具信息!O317)</f>
        <v/>
      </c>
      <c r="P317" s="26" t="str">
        <f>IF([2]道具信息!P317="","",[2]道具信息!P317)</f>
        <v/>
      </c>
      <c r="Q317" s="26" t="str">
        <f>IF([2]道具信息!Q317="","",[2]道具信息!Q317)</f>
        <v/>
      </c>
    </row>
    <row r="318" spans="3:17" x14ac:dyDescent="0.15">
      <c r="C318" s="26" t="str">
        <f>IF([2]道具信息!C318="","",[2]道具信息!C318)</f>
        <v/>
      </c>
      <c r="D318" s="26" t="str">
        <f>IF([2]道具信息!D318="","",[2]道具信息!D318)</f>
        <v/>
      </c>
      <c r="E318" s="26" t="str">
        <f>IF([2]道具信息!E318="","",[2]道具信息!E318)</f>
        <v/>
      </c>
      <c r="F318" s="26" t="str">
        <f>IF([2]道具信息!F318="","",[2]道具信息!F318)</f>
        <v/>
      </c>
      <c r="G318" s="26" t="str">
        <f>IF([2]道具信息!G318="","",[2]道具信息!G318)</f>
        <v/>
      </c>
      <c r="H318" s="26" t="str">
        <f>IF([2]道具信息!H318="","",[2]道具信息!H318)</f>
        <v/>
      </c>
      <c r="I318" s="26" t="str">
        <f>IF([2]道具信息!I318="","",[2]道具信息!I318)</f>
        <v/>
      </c>
      <c r="J318" s="26" t="str">
        <f>IF([2]道具信息!J318="","",[2]道具信息!J318)</f>
        <v/>
      </c>
      <c r="K318" s="26" t="str">
        <f>IF([2]道具信息!K318="","",[2]道具信息!K318)</f>
        <v/>
      </c>
      <c r="L318" s="26" t="str">
        <f>IF([2]道具信息!L318="","",[2]道具信息!L318)</f>
        <v/>
      </c>
      <c r="M318" s="26" t="str">
        <f>IF([2]道具信息!M318="","",[2]道具信息!M318)</f>
        <v/>
      </c>
      <c r="N318" s="26" t="str">
        <f>IF([2]道具信息!N318="","",[2]道具信息!N318)</f>
        <v/>
      </c>
      <c r="O318" s="26" t="str">
        <f>IF([2]道具信息!O318="","",[2]道具信息!O318)</f>
        <v/>
      </c>
      <c r="P318" s="26" t="str">
        <f>IF([2]道具信息!P318="","",[2]道具信息!P318)</f>
        <v/>
      </c>
      <c r="Q318" s="26" t="str">
        <f>IF([2]道具信息!Q318="","",[2]道具信息!Q318)</f>
        <v/>
      </c>
    </row>
    <row r="319" spans="3:17" x14ac:dyDescent="0.15">
      <c r="C319" s="26">
        <f>IF([2]道具信息!C319="","",[2]道具信息!C319)</f>
        <v>21150</v>
      </c>
      <c r="D319" s="26" t="str">
        <f>IF([2]道具信息!D319="","",[2]道具信息!D319)</f>
        <v>初级装备淬炼</v>
      </c>
      <c r="E319" s="26">
        <f>IF([2]道具信息!E319="","",[2]道具信息!E319)</f>
        <v>10</v>
      </c>
      <c r="F319" s="26">
        <f>IF([2]道具信息!F319="","",[2]道具信息!F319)</f>
        <v>1</v>
      </c>
      <c r="G319" s="26">
        <f>IF([2]道具信息!G319="","",[2]道具信息!G319)</f>
        <v>1</v>
      </c>
      <c r="H319" s="26">
        <f>IF([2]道具信息!H319="","",[2]道具信息!H319)</f>
        <v>0.3</v>
      </c>
      <c r="I319" s="26">
        <f>IF([2]道具信息!I319="","",[2]道具信息!I319)</f>
        <v>10</v>
      </c>
      <c r="J319" s="26">
        <f>IF([2]道具信息!J319="","",[2]道具信息!J319)</f>
        <v>10</v>
      </c>
      <c r="K319" s="26">
        <f>IF([2]道具信息!K319="","",[2]道具信息!K319)</f>
        <v>3</v>
      </c>
      <c r="L319" s="26" t="str">
        <f>IF([2]道具信息!L319="","",[2]道具信息!L319)</f>
        <v>装备使用后获得10经验</v>
      </c>
      <c r="M319" s="26" t="str">
        <f>IF([2]道具信息!M319="","",[2]道具信息!M319)</f>
        <v/>
      </c>
      <c r="N319" s="26" t="str">
        <f>IF([2]道具信息!N319="","",[2]道具信息!N319)</f>
        <v/>
      </c>
      <c r="O319" s="26" t="str">
        <f>IF([2]道具信息!O319="","",[2]道具信息!O319)</f>
        <v/>
      </c>
      <c r="P319" s="26" t="str">
        <f>IF([2]道具信息!P319="","",[2]道具信息!P319)</f>
        <v/>
      </c>
      <c r="Q319" s="26" t="str">
        <f>IF([2]道具信息!Q319="","",[2]道具信息!Q319)</f>
        <v/>
      </c>
    </row>
    <row r="320" spans="3:17" x14ac:dyDescent="0.15">
      <c r="C320" s="26">
        <f>IF([2]道具信息!C320="","",[2]道具信息!C320)</f>
        <v>21151</v>
      </c>
      <c r="D320" s="26" t="str">
        <f>IF([2]道具信息!D320="","",[2]道具信息!D320)</f>
        <v>中级装备淬炼</v>
      </c>
      <c r="E320" s="26">
        <f>IF([2]道具信息!E320="","",[2]道具信息!E320)</f>
        <v>20</v>
      </c>
      <c r="F320" s="26">
        <f>IF([2]道具信息!F320="","",[2]道具信息!F320)</f>
        <v>1</v>
      </c>
      <c r="G320" s="26">
        <f>IF([2]道具信息!G320="","",[2]道具信息!G320)</f>
        <v>1</v>
      </c>
      <c r="H320" s="26">
        <f>IF([2]道具信息!H320="","",[2]道具信息!H320)</f>
        <v>0.3</v>
      </c>
      <c r="I320" s="26">
        <f>IF([2]道具信息!I320="","",[2]道具信息!I320)</f>
        <v>20</v>
      </c>
      <c r="J320" s="26">
        <f>IF([2]道具信息!J320="","",[2]道具信息!J320)</f>
        <v>20</v>
      </c>
      <c r="K320" s="26">
        <f>IF([2]道具信息!K320="","",[2]道具信息!K320)</f>
        <v>6</v>
      </c>
      <c r="L320" s="26" t="str">
        <f>IF([2]道具信息!L320="","",[2]道具信息!L320)</f>
        <v>装备使用后获得20经验</v>
      </c>
      <c r="M320" s="26" t="str">
        <f>IF([2]道具信息!M320="","",[2]道具信息!M320)</f>
        <v/>
      </c>
      <c r="N320" s="26" t="str">
        <f>IF([2]道具信息!N320="","",[2]道具信息!N320)</f>
        <v/>
      </c>
      <c r="O320" s="26" t="str">
        <f>IF([2]道具信息!O320="","",[2]道具信息!O320)</f>
        <v/>
      </c>
      <c r="P320" s="26" t="str">
        <f>IF([2]道具信息!P320="","",[2]道具信息!P320)</f>
        <v/>
      </c>
      <c r="Q320" s="26" t="str">
        <f>IF([2]道具信息!Q320="","",[2]道具信息!Q320)</f>
        <v/>
      </c>
    </row>
    <row r="321" spans="3:17" x14ac:dyDescent="0.15">
      <c r="C321" s="26">
        <f>IF([2]道具信息!C321="","",[2]道具信息!C321)</f>
        <v>21152</v>
      </c>
      <c r="D321" s="26" t="str">
        <f>IF([2]道具信息!D321="","",[2]道具信息!D321)</f>
        <v>高级装备淬炼</v>
      </c>
      <c r="E321" s="26">
        <f>IF([2]道具信息!E321="","",[2]道具信息!E321)</f>
        <v>40</v>
      </c>
      <c r="F321" s="26">
        <f>IF([2]道具信息!F321="","",[2]道具信息!F321)</f>
        <v>1</v>
      </c>
      <c r="G321" s="26">
        <f>IF([2]道具信息!G321="","",[2]道具信息!G321)</f>
        <v>1</v>
      </c>
      <c r="H321" s="26">
        <f>IF([2]道具信息!H321="","",[2]道具信息!H321)</f>
        <v>0.3</v>
      </c>
      <c r="I321" s="26">
        <f>IF([2]道具信息!I321="","",[2]道具信息!I321)</f>
        <v>40</v>
      </c>
      <c r="J321" s="26">
        <f>IF([2]道具信息!J321="","",[2]道具信息!J321)</f>
        <v>40</v>
      </c>
      <c r="K321" s="26">
        <f>IF([2]道具信息!K321="","",[2]道具信息!K321)</f>
        <v>12</v>
      </c>
      <c r="L321" s="26" t="str">
        <f>IF([2]道具信息!L321="","",[2]道具信息!L321)</f>
        <v>装备使用后获得40经验</v>
      </c>
      <c r="M321" s="26" t="str">
        <f>IF([2]道具信息!M321="","",[2]道具信息!M321)</f>
        <v/>
      </c>
      <c r="N321" s="26" t="str">
        <f>IF([2]道具信息!N321="","",[2]道具信息!N321)</f>
        <v/>
      </c>
      <c r="O321" s="26" t="str">
        <f>IF([2]道具信息!O321="","",[2]道具信息!O321)</f>
        <v/>
      </c>
      <c r="P321" s="26" t="str">
        <f>IF([2]道具信息!P321="","",[2]道具信息!P321)</f>
        <v/>
      </c>
      <c r="Q321" s="26" t="str">
        <f>IF([2]道具信息!Q321="","",[2]道具信息!Q321)</f>
        <v/>
      </c>
    </row>
    <row r="322" spans="3:17" x14ac:dyDescent="0.15">
      <c r="C322" s="26">
        <f>IF([2]道具信息!C322="","",[2]道具信息!C322)</f>
        <v>21153</v>
      </c>
      <c r="D322" s="26" t="str">
        <f>IF([2]道具信息!D322="","",[2]道具信息!D322)</f>
        <v>特级装备淬炼</v>
      </c>
      <c r="E322" s="26">
        <f>IF([2]道具信息!E322="","",[2]道具信息!E322)</f>
        <v>75</v>
      </c>
      <c r="F322" s="26">
        <f>IF([2]道具信息!F322="","",[2]道具信息!F322)</f>
        <v>1.25</v>
      </c>
      <c r="G322" s="26">
        <f>IF([2]道具信息!G322="","",[2]道具信息!G322)</f>
        <v>1</v>
      </c>
      <c r="H322" s="26">
        <f>IF([2]道具信息!H322="","",[2]道具信息!H322)</f>
        <v>0.3</v>
      </c>
      <c r="I322" s="26">
        <f>IF([2]道具信息!I322="","",[2]道具信息!I322)</f>
        <v>93.75</v>
      </c>
      <c r="J322" s="26">
        <f>IF([2]道具信息!J322="","",[2]道具信息!J322)</f>
        <v>75</v>
      </c>
      <c r="K322" s="26">
        <f>IF([2]道具信息!K322="","",[2]道具信息!K322)</f>
        <v>22.5</v>
      </c>
      <c r="L322" s="26" t="str">
        <f>IF([2]道具信息!L322="","",[2]道具信息!L322)</f>
        <v>装备使用后获得75经验</v>
      </c>
      <c r="M322" s="26" t="str">
        <f>IF([2]道具信息!M322="","",[2]道具信息!M322)</f>
        <v/>
      </c>
      <c r="N322" s="26" t="str">
        <f>IF([2]道具信息!N322="","",[2]道具信息!N322)</f>
        <v/>
      </c>
      <c r="O322" s="26" t="str">
        <f>IF([2]道具信息!O322="","",[2]道具信息!O322)</f>
        <v/>
      </c>
      <c r="P322" s="26" t="str">
        <f>IF([2]道具信息!P322="","",[2]道具信息!P322)</f>
        <v/>
      </c>
      <c r="Q322" s="26" t="str">
        <f>IF([2]道具信息!Q322="","",[2]道具信息!Q322)</f>
        <v/>
      </c>
    </row>
    <row r="323" spans="3:17" x14ac:dyDescent="0.15">
      <c r="C323" s="26">
        <f>IF([2]道具信息!C323="","",[2]道具信息!C323)</f>
        <v>21154</v>
      </c>
      <c r="D323" s="26" t="str">
        <f>IF([2]道具信息!D323="","",[2]道具信息!D323)</f>
        <v>超级装备淬炼</v>
      </c>
      <c r="E323" s="26">
        <f>IF([2]道具信息!E323="","",[2]道具信息!E323)</f>
        <v>150</v>
      </c>
      <c r="F323" s="26">
        <f>IF([2]道具信息!F323="","",[2]道具信息!F323)</f>
        <v>1.5</v>
      </c>
      <c r="G323" s="26">
        <f>IF([2]道具信息!G323="","",[2]道具信息!G323)</f>
        <v>1</v>
      </c>
      <c r="H323" s="26">
        <f>IF([2]道具信息!H323="","",[2]道具信息!H323)</f>
        <v>0.3</v>
      </c>
      <c r="I323" s="26">
        <f>IF([2]道具信息!I323="","",[2]道具信息!I323)</f>
        <v>225</v>
      </c>
      <c r="J323" s="26">
        <f>IF([2]道具信息!J323="","",[2]道具信息!J323)</f>
        <v>150</v>
      </c>
      <c r="K323" s="26">
        <f>IF([2]道具信息!K323="","",[2]道具信息!K323)</f>
        <v>45</v>
      </c>
      <c r="L323" s="26" t="str">
        <f>IF([2]道具信息!L323="","",[2]道具信息!L323)</f>
        <v>装备使用后获得150经验</v>
      </c>
      <c r="M323" s="26" t="str">
        <f>IF([2]道具信息!M323="","",[2]道具信息!M323)</f>
        <v/>
      </c>
      <c r="N323" s="26" t="str">
        <f>IF([2]道具信息!N323="","",[2]道具信息!N323)</f>
        <v/>
      </c>
      <c r="O323" s="26" t="str">
        <f>IF([2]道具信息!O323="","",[2]道具信息!O323)</f>
        <v/>
      </c>
      <c r="P323" s="26" t="str">
        <f>IF([2]道具信息!P323="","",[2]道具信息!P323)</f>
        <v/>
      </c>
      <c r="Q323" s="26" t="str">
        <f>IF([2]道具信息!Q323="","",[2]道具信息!Q323)</f>
        <v/>
      </c>
    </row>
    <row r="324" spans="3:17" x14ac:dyDescent="0.15">
      <c r="C324" s="26" t="str">
        <f>IF([2]道具信息!C324="","",[2]道具信息!C324)</f>
        <v/>
      </c>
      <c r="D324" s="26" t="str">
        <f>IF([2]道具信息!D324="","",[2]道具信息!D324)</f>
        <v/>
      </c>
      <c r="E324" s="26" t="str">
        <f>IF([2]道具信息!E324="","",[2]道具信息!E324)</f>
        <v/>
      </c>
      <c r="F324" s="26" t="str">
        <f>IF([2]道具信息!F324="","",[2]道具信息!F324)</f>
        <v/>
      </c>
      <c r="G324" s="26" t="str">
        <f>IF([2]道具信息!G324="","",[2]道具信息!G324)</f>
        <v/>
      </c>
      <c r="H324" s="26" t="str">
        <f>IF([2]道具信息!H324="","",[2]道具信息!H324)</f>
        <v/>
      </c>
      <c r="I324" s="26" t="str">
        <f>IF([2]道具信息!I324="","",[2]道具信息!I324)</f>
        <v/>
      </c>
      <c r="J324" s="26" t="str">
        <f>IF([2]道具信息!J324="","",[2]道具信息!J324)</f>
        <v/>
      </c>
      <c r="K324" s="26" t="str">
        <f>IF([2]道具信息!K324="","",[2]道具信息!K324)</f>
        <v/>
      </c>
      <c r="L324" s="26" t="str">
        <f>IF([2]道具信息!L324="","",[2]道具信息!L324)</f>
        <v/>
      </c>
      <c r="M324" s="26" t="str">
        <f>IF([2]道具信息!M324="","",[2]道具信息!M324)</f>
        <v/>
      </c>
      <c r="N324" s="26" t="str">
        <f>IF([2]道具信息!N324="","",[2]道具信息!N324)</f>
        <v/>
      </c>
      <c r="O324" s="26" t="str">
        <f>IF([2]道具信息!O324="","",[2]道具信息!O324)</f>
        <v/>
      </c>
      <c r="P324" s="26" t="str">
        <f>IF([2]道具信息!P324="","",[2]道具信息!P324)</f>
        <v/>
      </c>
      <c r="Q324" s="26" t="str">
        <f>IF([2]道具信息!Q324="","",[2]道具信息!Q324)</f>
        <v/>
      </c>
    </row>
    <row r="325" spans="3:17" x14ac:dyDescent="0.15">
      <c r="C325" s="26">
        <f>IF([2]道具信息!C325="","",[2]道具信息!C325)</f>
        <v>21500</v>
      </c>
      <c r="D325" s="26" t="str">
        <f>IF([2]道具信息!D325="","",[2]道具信息!D325)</f>
        <v>随机迁城令</v>
      </c>
      <c r="E325" s="26">
        <f>IF([2]道具信息!E325="","",[2]道具信息!E325)</f>
        <v>100</v>
      </c>
      <c r="F325" s="26">
        <f>IF([2]道具信息!F325="","",[2]道具信息!F325)</f>
        <v>1</v>
      </c>
      <c r="G325" s="26">
        <f>IF([2]道具信息!G325="","",[2]道具信息!G325)</f>
        <v>1</v>
      </c>
      <c r="H325" s="26">
        <f>IF([2]道具信息!H325="","",[2]道具信息!H325)</f>
        <v>1</v>
      </c>
      <c r="I325" s="26">
        <f>IF([2]道具信息!I325="","",[2]道具信息!I325)</f>
        <v>100</v>
      </c>
      <c r="J325" s="26">
        <f>IF([2]道具信息!J325="","",[2]道具信息!J325)</f>
        <v>100</v>
      </c>
      <c r="K325" s="26">
        <f>IF([2]道具信息!K325="","",[2]道具信息!K325)</f>
        <v>100</v>
      </c>
      <c r="L325" s="26" t="str">
        <f>IF([2]道具信息!L325="","",[2]道具信息!L325)</f>
        <v>使用后城池迁移到随机位置</v>
      </c>
      <c r="M325" s="26" t="str">
        <f>IF([2]道具信息!M325="","",[2]道具信息!M325)</f>
        <v/>
      </c>
      <c r="N325" s="26" t="str">
        <f>IF([2]道具信息!N325="","",[2]道具信息!N325)</f>
        <v/>
      </c>
      <c r="O325" s="26" t="str">
        <f>IF([2]道具信息!O325="","",[2]道具信息!O325)</f>
        <v/>
      </c>
      <c r="P325" s="26" t="str">
        <f>IF([2]道具信息!P325="","",[2]道具信息!P325)</f>
        <v/>
      </c>
      <c r="Q325" s="26" t="str">
        <f>IF([2]道具信息!Q325="","",[2]道具信息!Q325)</f>
        <v/>
      </c>
    </row>
    <row r="326" spans="3:17" x14ac:dyDescent="0.15">
      <c r="C326" s="26">
        <f>IF([2]道具信息!C326="","",[2]道具信息!C326)</f>
        <v>21501</v>
      </c>
      <c r="D326" s="26" t="str">
        <f>IF([2]道具信息!D326="","",[2]道具信息!D326)</f>
        <v>九州迁城令</v>
      </c>
      <c r="E326" s="26">
        <f>IF([2]道具信息!E326="","",[2]道具信息!E326)</f>
        <v>300</v>
      </c>
      <c r="F326" s="26">
        <f>IF([2]道具信息!F326="","",[2]道具信息!F326)</f>
        <v>1</v>
      </c>
      <c r="G326" s="26">
        <f>IF([2]道具信息!G326="","",[2]道具信息!G326)</f>
        <v>1</v>
      </c>
      <c r="H326" s="26">
        <f>IF([2]道具信息!H326="","",[2]道具信息!H326)</f>
        <v>1</v>
      </c>
      <c r="I326" s="26">
        <f>IF([2]道具信息!I326="","",[2]道具信息!I326)</f>
        <v>300</v>
      </c>
      <c r="J326" s="26">
        <f>IF([2]道具信息!J326="","",[2]道具信息!J326)</f>
        <v>300</v>
      </c>
      <c r="K326" s="26">
        <f>IF([2]道具信息!K326="","",[2]道具信息!K326)</f>
        <v>300</v>
      </c>
      <c r="L326" s="26" t="str">
        <f>IF([2]道具信息!L326="","",[2]道具信息!L326)</f>
        <v>使用后城池迁移到指定位置</v>
      </c>
      <c r="M326" s="26" t="str">
        <f>IF([2]道具信息!M326="","",[2]道具信息!M326)</f>
        <v/>
      </c>
      <c r="N326" s="26" t="str">
        <f>IF([2]道具信息!N326="","",[2]道具信息!N326)</f>
        <v/>
      </c>
      <c r="O326" s="26" t="str">
        <f>IF([2]道具信息!O326="","",[2]道具信息!O326)</f>
        <v/>
      </c>
      <c r="P326" s="26" t="str">
        <f>IF([2]道具信息!P326="","",[2]道具信息!P326)</f>
        <v/>
      </c>
      <c r="Q326" s="26" t="str">
        <f>IF([2]道具信息!Q326="","",[2]道具信息!Q326)</f>
        <v/>
      </c>
    </row>
    <row r="327" spans="3:17" x14ac:dyDescent="0.15">
      <c r="C327" s="26">
        <f>IF([2]道具信息!C327="","",[2]道具信息!C327)</f>
        <v>21504</v>
      </c>
      <c r="D327" s="26" t="str">
        <f>IF([2]道具信息!D327="","",[2]道具信息!D327)</f>
        <v>国内迁城令</v>
      </c>
      <c r="E327" s="26">
        <f>IF([2]道具信息!E327="","",[2]道具信息!E327)</f>
        <v>100</v>
      </c>
      <c r="F327" s="26">
        <f>IF([2]道具信息!F327="","",[2]道具信息!F327)</f>
        <v>1</v>
      </c>
      <c r="G327" s="26">
        <f>IF([2]道具信息!G327="","",[2]道具信息!G327)</f>
        <v>1</v>
      </c>
      <c r="H327" s="26">
        <f>IF([2]道具信息!H327="","",[2]道具信息!H327)</f>
        <v>1</v>
      </c>
      <c r="I327" s="26">
        <f>IF([2]道具信息!I327="","",[2]道具信息!I327)</f>
        <v>100</v>
      </c>
      <c r="J327" s="26">
        <f>IF([2]道具信息!J327="","",[2]道具信息!J327)</f>
        <v>100</v>
      </c>
      <c r="K327" s="26">
        <f>IF([2]道具信息!K327="","",[2]道具信息!K327)</f>
        <v>100</v>
      </c>
      <c r="L327" s="26" t="str">
        <f>IF([2]道具信息!L327="","",[2]道具信息!L327)</f>
        <v>使用后城池迁移到国内指定位置</v>
      </c>
      <c r="M327" s="26" t="str">
        <f>IF([2]道具信息!M327="","",[2]道具信息!M327)</f>
        <v/>
      </c>
      <c r="N327" s="26" t="str">
        <f>IF([2]道具信息!N327="","",[2]道具信息!N327)</f>
        <v/>
      </c>
      <c r="O327" s="26" t="str">
        <f>IF([2]道具信息!O327="","",[2]道具信息!O327)</f>
        <v/>
      </c>
      <c r="P327" s="26" t="str">
        <f>IF([2]道具信息!P327="","",[2]道具信息!P327)</f>
        <v/>
      </c>
      <c r="Q327" s="26" t="str">
        <f>IF([2]道具信息!Q327="","",[2]道具信息!Q327)</f>
        <v/>
      </c>
    </row>
    <row r="328" spans="3:17" x14ac:dyDescent="0.15">
      <c r="C328" s="26">
        <f>IF([2]道具信息!C328="","",[2]道具信息!C328)</f>
        <v>21502</v>
      </c>
      <c r="D328" s="26" t="str">
        <f>IF([2]道具信息!D328="","",[2]道具信息!D328)</f>
        <v>校武牌</v>
      </c>
      <c r="E328" s="26">
        <f>IF([2]道具信息!E328="","",[2]道具信息!E328)</f>
        <v>20</v>
      </c>
      <c r="F328" s="26">
        <f>IF([2]道具信息!F328="","",[2]道具信息!F328)</f>
        <v>1</v>
      </c>
      <c r="G328" s="26">
        <f>IF([2]道具信息!G328="","",[2]道具信息!G328)</f>
        <v>1</v>
      </c>
      <c r="H328" s="26">
        <f>IF([2]道具信息!H328="","",[2]道具信息!H328)</f>
        <v>1</v>
      </c>
      <c r="I328" s="26">
        <f>IF([2]道具信息!I328="","",[2]道具信息!I328)</f>
        <v>20</v>
      </c>
      <c r="J328" s="26">
        <f>IF([2]道具信息!J328="","",[2]道具信息!J328)</f>
        <v>20</v>
      </c>
      <c r="K328" s="26">
        <f>IF([2]道具信息!K328="","",[2]道具信息!K328)</f>
        <v>20</v>
      </c>
      <c r="L328" s="26" t="str">
        <f>IF([2]道具信息!L328="","",[2]道具信息!L328)</f>
        <v>使用后增加1次校场挑战机会</v>
      </c>
      <c r="M328" s="26" t="str">
        <f>IF([2]道具信息!M328="","",[2]道具信息!M328)</f>
        <v/>
      </c>
      <c r="N328" s="26" t="str">
        <f>IF([2]道具信息!N328="","",[2]道具信息!N328)</f>
        <v/>
      </c>
      <c r="O328" s="26" t="str">
        <f>IF([2]道具信息!O328="","",[2]道具信息!O328)</f>
        <v/>
      </c>
      <c r="P328" s="26" t="str">
        <f>IF([2]道具信息!P328="","",[2]道具信息!P328)</f>
        <v/>
      </c>
      <c r="Q328" s="26" t="str">
        <f>IF([2]道具信息!Q328="","",[2]道具信息!Q328)</f>
        <v/>
      </c>
    </row>
    <row r="329" spans="3:17" x14ac:dyDescent="0.15">
      <c r="C329" s="26">
        <f>IF([2]道具信息!C329="","",[2]道具信息!C329)</f>
        <v>21503</v>
      </c>
      <c r="D329" s="26" t="str">
        <f>IF([2]道具信息!D329="","",[2]道具信息!D329)</f>
        <v>复仇令</v>
      </c>
      <c r="E329" s="26">
        <f>IF([2]道具信息!E329="","",[2]道具信息!E329)</f>
        <v>50</v>
      </c>
      <c r="F329" s="26">
        <f>IF([2]道具信息!F329="","",[2]道具信息!F329)</f>
        <v>1</v>
      </c>
      <c r="G329" s="26">
        <f>IF([2]道具信息!G329="","",[2]道具信息!G329)</f>
        <v>1</v>
      </c>
      <c r="H329" s="26">
        <f>IF([2]道具信息!H329="","",[2]道具信息!H329)</f>
        <v>1</v>
      </c>
      <c r="I329" s="26">
        <f>IF([2]道具信息!I329="","",[2]道具信息!I329)</f>
        <v>50</v>
      </c>
      <c r="J329" s="26">
        <f>IF([2]道具信息!J329="","",[2]道具信息!J329)</f>
        <v>50</v>
      </c>
      <c r="K329" s="26">
        <f>IF([2]道具信息!K329="","",[2]道具信息!K329)</f>
        <v>50</v>
      </c>
      <c r="L329" s="26" t="str">
        <f>IF([2]道具信息!L329="","",[2]道具信息!L329)</f>
        <v>被其他玩家攻击后，可以通过复仇令追查到该玩家城池所在坐标</v>
      </c>
      <c r="M329" s="26" t="str">
        <f>IF([2]道具信息!M329="","",[2]道具信息!M329)</f>
        <v/>
      </c>
      <c r="N329" s="26" t="str">
        <f>IF([2]道具信息!N329="","",[2]道具信息!N329)</f>
        <v/>
      </c>
      <c r="O329" s="26" t="str">
        <f>IF([2]道具信息!O329="","",[2]道具信息!O329)</f>
        <v/>
      </c>
      <c r="P329" s="26" t="str">
        <f>IF([2]道具信息!P329="","",[2]道具信息!P329)</f>
        <v/>
      </c>
      <c r="Q329" s="26" t="str">
        <f>IF([2]道具信息!Q329="","",[2]道具信息!Q329)</f>
        <v/>
      </c>
    </row>
    <row r="330" spans="3:17" x14ac:dyDescent="0.15">
      <c r="C330" s="26" t="str">
        <f>IF([2]道具信息!C330="","",[2]道具信息!C330)</f>
        <v/>
      </c>
      <c r="D330" s="26" t="str">
        <f>IF([2]道具信息!D330="","",[2]道具信息!D330)</f>
        <v/>
      </c>
      <c r="E330" s="26" t="str">
        <f>IF([2]道具信息!E330="","",[2]道具信息!E330)</f>
        <v/>
      </c>
      <c r="F330" s="26" t="str">
        <f>IF([2]道具信息!F330="","",[2]道具信息!F330)</f>
        <v/>
      </c>
      <c r="G330" s="26" t="str">
        <f>IF([2]道具信息!G330="","",[2]道具信息!G330)</f>
        <v/>
      </c>
      <c r="H330" s="26" t="str">
        <f>IF([2]道具信息!H330="","",[2]道具信息!H330)</f>
        <v/>
      </c>
      <c r="I330" s="26" t="str">
        <f>IF([2]道具信息!I330="","",[2]道具信息!I330)</f>
        <v/>
      </c>
      <c r="J330" s="26" t="str">
        <f>IF([2]道具信息!J330="","",[2]道具信息!J330)</f>
        <v/>
      </c>
      <c r="K330" s="26" t="str">
        <f>IF([2]道具信息!K330="","",[2]道具信息!K330)</f>
        <v/>
      </c>
      <c r="L330" s="26" t="str">
        <f>IF([2]道具信息!L330="","",[2]道具信息!L330)</f>
        <v/>
      </c>
      <c r="M330" s="26" t="str">
        <f>IF([2]道具信息!M330="","",[2]道具信息!M330)</f>
        <v/>
      </c>
      <c r="N330" s="26" t="str">
        <f>IF([2]道具信息!N330="","",[2]道具信息!N330)</f>
        <v/>
      </c>
      <c r="O330" s="26" t="str">
        <f>IF([2]道具信息!O330="","",[2]道具信息!O330)</f>
        <v/>
      </c>
      <c r="P330" s="26" t="str">
        <f>IF([2]道具信息!P330="","",[2]道具信息!P330)</f>
        <v/>
      </c>
      <c r="Q330" s="26" t="str">
        <f>IF([2]道具信息!Q330="","",[2]道具信息!Q330)</f>
        <v/>
      </c>
    </row>
    <row r="331" spans="3:17" x14ac:dyDescent="0.15">
      <c r="C331" s="26">
        <f>IF([2]道具信息!C331="","",[2]道具信息!C331)</f>
        <v>26400</v>
      </c>
      <c r="D331" s="26" t="str">
        <f>IF([2]道具信息!D331="","",[2]道具信息!D331)</f>
        <v>步兵虎符</v>
      </c>
      <c r="E331" s="26">
        <f>IF([2]道具信息!E331="","",[2]道具信息!E331)</f>
        <v>200</v>
      </c>
      <c r="F331" s="26">
        <f>IF([2]道具信息!F331="","",[2]道具信息!F331)</f>
        <v>1</v>
      </c>
      <c r="G331" s="26">
        <f>IF([2]道具信息!G331="","",[2]道具信息!G331)</f>
        <v>1</v>
      </c>
      <c r="H331" s="26">
        <f>IF([2]道具信息!H331="","",[2]道具信息!H331)</f>
        <v>1</v>
      </c>
      <c r="I331" s="26">
        <f>IF([2]道具信息!I331="","",[2]道具信息!I331)</f>
        <v>200</v>
      </c>
      <c r="J331" s="26">
        <f>IF([2]道具信息!J331="","",[2]道具信息!J331)</f>
        <v>200</v>
      </c>
      <c r="K331" s="26">
        <f>IF([2]道具信息!K331="","",[2]道具信息!K331)</f>
        <v>200</v>
      </c>
      <c r="L331" s="26" t="str">
        <f>IF([2]道具信息!L331="","",[2]道具信息!L331)</f>
        <v>使用后立即获得10000步兵新兵</v>
      </c>
      <c r="M331" s="26" t="str">
        <f>IF([2]道具信息!M331="","",[2]道具信息!M331)</f>
        <v/>
      </c>
      <c r="N331" s="26" t="str">
        <f>IF([2]道具信息!N331="","",[2]道具信息!N331)</f>
        <v/>
      </c>
      <c r="O331" s="26" t="str">
        <f>IF([2]道具信息!O331="","",[2]道具信息!O331)</f>
        <v/>
      </c>
      <c r="P331" s="26" t="str">
        <f>IF([2]道具信息!P331="","",[2]道具信息!P331)</f>
        <v/>
      </c>
      <c r="Q331" s="26" t="str">
        <f>IF([2]道具信息!Q331="","",[2]道具信息!Q331)</f>
        <v/>
      </c>
    </row>
    <row r="332" spans="3:17" x14ac:dyDescent="0.15">
      <c r="C332" s="26">
        <f>IF([2]道具信息!C332="","",[2]道具信息!C332)</f>
        <v>26401</v>
      </c>
      <c r="D332" s="26" t="str">
        <f>IF([2]道具信息!D332="","",[2]道具信息!D332)</f>
        <v>骑兵虎符</v>
      </c>
      <c r="E332" s="26">
        <f>IF([2]道具信息!E332="","",[2]道具信息!E332)</f>
        <v>200</v>
      </c>
      <c r="F332" s="26">
        <f>IF([2]道具信息!F332="","",[2]道具信息!F332)</f>
        <v>1</v>
      </c>
      <c r="G332" s="26">
        <f>IF([2]道具信息!G332="","",[2]道具信息!G332)</f>
        <v>1</v>
      </c>
      <c r="H332" s="26">
        <f>IF([2]道具信息!H332="","",[2]道具信息!H332)</f>
        <v>1</v>
      </c>
      <c r="I332" s="26">
        <f>IF([2]道具信息!I332="","",[2]道具信息!I332)</f>
        <v>200</v>
      </c>
      <c r="J332" s="26">
        <f>IF([2]道具信息!J332="","",[2]道具信息!J332)</f>
        <v>200</v>
      </c>
      <c r="K332" s="26">
        <f>IF([2]道具信息!K332="","",[2]道具信息!K332)</f>
        <v>200</v>
      </c>
      <c r="L332" s="26" t="str">
        <f>IF([2]道具信息!L332="","",[2]道具信息!L332)</f>
        <v>使用后立即获得10000骑兵新兵</v>
      </c>
      <c r="M332" s="26" t="str">
        <f>IF([2]道具信息!M332="","",[2]道具信息!M332)</f>
        <v/>
      </c>
      <c r="N332" s="26" t="str">
        <f>IF([2]道具信息!N332="","",[2]道具信息!N332)</f>
        <v/>
      </c>
      <c r="O332" s="26" t="str">
        <f>IF([2]道具信息!O332="","",[2]道具信息!O332)</f>
        <v/>
      </c>
      <c r="P332" s="26" t="str">
        <f>IF([2]道具信息!P332="","",[2]道具信息!P332)</f>
        <v/>
      </c>
      <c r="Q332" s="26" t="str">
        <f>IF([2]道具信息!Q332="","",[2]道具信息!Q332)</f>
        <v/>
      </c>
    </row>
    <row r="333" spans="3:17" x14ac:dyDescent="0.15">
      <c r="C333" s="26">
        <f>IF([2]道具信息!C333="","",[2]道具信息!C333)</f>
        <v>26402</v>
      </c>
      <c r="D333" s="26" t="str">
        <f>IF([2]道具信息!D333="","",[2]道具信息!D333)</f>
        <v>弓箭虎符</v>
      </c>
      <c r="E333" s="26">
        <f>IF([2]道具信息!E333="","",[2]道具信息!E333)</f>
        <v>200</v>
      </c>
      <c r="F333" s="26">
        <f>IF([2]道具信息!F333="","",[2]道具信息!F333)</f>
        <v>1</v>
      </c>
      <c r="G333" s="26">
        <f>IF([2]道具信息!G333="","",[2]道具信息!G333)</f>
        <v>1</v>
      </c>
      <c r="H333" s="26">
        <f>IF([2]道具信息!H333="","",[2]道具信息!H333)</f>
        <v>1</v>
      </c>
      <c r="I333" s="26">
        <f>IF([2]道具信息!I333="","",[2]道具信息!I333)</f>
        <v>200</v>
      </c>
      <c r="J333" s="26">
        <f>IF([2]道具信息!J333="","",[2]道具信息!J333)</f>
        <v>200</v>
      </c>
      <c r="K333" s="26">
        <f>IF([2]道具信息!K333="","",[2]道具信息!K333)</f>
        <v>200</v>
      </c>
      <c r="L333" s="26" t="str">
        <f>IF([2]道具信息!L333="","",[2]道具信息!L333)</f>
        <v>使用后立即获得10000弓箭新兵</v>
      </c>
      <c r="M333" s="26" t="str">
        <f>IF([2]道具信息!M333="","",[2]道具信息!M333)</f>
        <v/>
      </c>
      <c r="N333" s="26" t="str">
        <f>IF([2]道具信息!N333="","",[2]道具信息!N333)</f>
        <v/>
      </c>
      <c r="O333" s="26" t="str">
        <f>IF([2]道具信息!O333="","",[2]道具信息!O333)</f>
        <v/>
      </c>
      <c r="P333" s="26" t="str">
        <f>IF([2]道具信息!P333="","",[2]道具信息!P333)</f>
        <v/>
      </c>
      <c r="Q333" s="26" t="str">
        <f>IF([2]道具信息!Q333="","",[2]道具信息!Q333)</f>
        <v/>
      </c>
    </row>
    <row r="334" spans="3:17" x14ac:dyDescent="0.15">
      <c r="C334" s="26">
        <f>IF([2]道具信息!C334="","",[2]道具信息!C334)</f>
        <v>26403</v>
      </c>
      <c r="D334" s="26" t="str">
        <f>IF([2]道具信息!D334="","",[2]道具信息!D334)</f>
        <v>器械虎符</v>
      </c>
      <c r="E334" s="26">
        <f>IF([2]道具信息!E334="","",[2]道具信息!E334)</f>
        <v>200</v>
      </c>
      <c r="F334" s="26">
        <f>IF([2]道具信息!F334="","",[2]道具信息!F334)</f>
        <v>1</v>
      </c>
      <c r="G334" s="26">
        <f>IF([2]道具信息!G334="","",[2]道具信息!G334)</f>
        <v>1</v>
      </c>
      <c r="H334" s="26">
        <f>IF([2]道具信息!H334="","",[2]道具信息!H334)</f>
        <v>1</v>
      </c>
      <c r="I334" s="26">
        <f>IF([2]道具信息!I334="","",[2]道具信息!I334)</f>
        <v>200</v>
      </c>
      <c r="J334" s="26">
        <f>IF([2]道具信息!J334="","",[2]道具信息!J334)</f>
        <v>200</v>
      </c>
      <c r="K334" s="26">
        <f>IF([2]道具信息!K334="","",[2]道具信息!K334)</f>
        <v>200</v>
      </c>
      <c r="L334" s="26" t="str">
        <f>IF([2]道具信息!L334="","",[2]道具信息!L334)</f>
        <v>使用后立即获得10000器械兵新兵</v>
      </c>
      <c r="M334" s="26" t="str">
        <f>IF([2]道具信息!M334="","",[2]道具信息!M334)</f>
        <v/>
      </c>
      <c r="N334" s="26" t="str">
        <f>IF([2]道具信息!N334="","",[2]道具信息!N334)</f>
        <v/>
      </c>
      <c r="O334" s="26" t="str">
        <f>IF([2]道具信息!O334="","",[2]道具信息!O334)</f>
        <v/>
      </c>
      <c r="P334" s="26" t="str">
        <f>IF([2]道具信息!P334="","",[2]道具信息!P334)</f>
        <v/>
      </c>
      <c r="Q334" s="26" t="str">
        <f>IF([2]道具信息!Q334="","",[2]道具信息!Q334)</f>
        <v/>
      </c>
    </row>
    <row r="335" spans="3:17" x14ac:dyDescent="0.15">
      <c r="C335" s="26" t="str">
        <f>IF([2]道具信息!C335="","",[2]道具信息!C335)</f>
        <v/>
      </c>
      <c r="D335" s="26" t="str">
        <f>IF([2]道具信息!D335="","",[2]道具信息!D335)</f>
        <v/>
      </c>
      <c r="E335" s="26" t="str">
        <f>IF([2]道具信息!E335="","",[2]道具信息!E335)</f>
        <v/>
      </c>
      <c r="F335" s="26" t="str">
        <f>IF([2]道具信息!F335="","",[2]道具信息!F335)</f>
        <v/>
      </c>
      <c r="G335" s="26" t="str">
        <f>IF([2]道具信息!G335="","",[2]道具信息!G335)</f>
        <v/>
      </c>
      <c r="H335" s="26" t="str">
        <f>IF([2]道具信息!H335="","",[2]道具信息!H335)</f>
        <v/>
      </c>
      <c r="I335" s="26" t="str">
        <f>IF([2]道具信息!I335="","",[2]道具信息!I335)</f>
        <v/>
      </c>
      <c r="J335" s="26" t="str">
        <f>IF([2]道具信息!J335="","",[2]道具信息!J335)</f>
        <v/>
      </c>
      <c r="K335" s="26" t="str">
        <f>IF([2]道具信息!K335="","",[2]道具信息!K335)</f>
        <v/>
      </c>
      <c r="L335" s="26" t="str">
        <f>IF([2]道具信息!L335="","",[2]道具信息!L335)</f>
        <v/>
      </c>
      <c r="M335" s="26" t="str">
        <f>IF([2]道具信息!M335="","",[2]道具信息!M335)</f>
        <v/>
      </c>
      <c r="N335" s="26" t="str">
        <f>IF([2]道具信息!N335="","",[2]道具信息!N335)</f>
        <v/>
      </c>
      <c r="O335" s="26" t="str">
        <f>IF([2]道具信息!O335="","",[2]道具信息!O335)</f>
        <v/>
      </c>
      <c r="P335" s="26" t="str">
        <f>IF([2]道具信息!P335="","",[2]道具信息!P335)</f>
        <v/>
      </c>
      <c r="Q335" s="26" t="str">
        <f>IF([2]道具信息!Q335="","",[2]道具信息!Q335)</f>
        <v/>
      </c>
    </row>
    <row r="336" spans="3:17" x14ac:dyDescent="0.15">
      <c r="C336" s="26">
        <f>IF([2]道具信息!C336="","",[2]道具信息!C336)</f>
        <v>26500</v>
      </c>
      <c r="D336" s="26" t="str">
        <f>IF([2]道具信息!D336="","",[2]道具信息!D336)</f>
        <v>兵法宝箱</v>
      </c>
      <c r="E336" s="26">
        <f>IF([2]道具信息!E336="","",[2]道具信息!E336)</f>
        <v>250</v>
      </c>
      <c r="F336" s="26">
        <f>IF([2]道具信息!F336="","",[2]道具信息!F336)</f>
        <v>1</v>
      </c>
      <c r="G336" s="26">
        <f>IF([2]道具信息!G336="","",[2]道具信息!G336)</f>
        <v>1</v>
      </c>
      <c r="H336" s="26">
        <f>IF([2]道具信息!H336="","",[2]道具信息!H336)</f>
        <v>1</v>
      </c>
      <c r="I336" s="26">
        <f>IF([2]道具信息!I336="","",[2]道具信息!I336)</f>
        <v>250</v>
      </c>
      <c r="J336" s="26">
        <f>IF([2]道具信息!J336="","",[2]道具信息!J336)</f>
        <v>250</v>
      </c>
      <c r="K336" s="26">
        <f>IF([2]道具信息!K336="","",[2]道具信息!K336)</f>
        <v>250</v>
      </c>
      <c r="L336" s="26" t="str">
        <f>IF([2]道具信息!L336="","",[2]道具信息!L336)</f>
        <v>使用后随机获得1个兵法</v>
      </c>
      <c r="M336" s="26" t="str">
        <f>IF([2]道具信息!M336="","",[2]道具信息!M336)</f>
        <v/>
      </c>
      <c r="N336" s="26" t="str">
        <f>IF([2]道具信息!N336="","",[2]道具信息!N336)</f>
        <v/>
      </c>
      <c r="O336" s="26" t="str">
        <f>IF([2]道具信息!O336="","",[2]道具信息!O336)</f>
        <v/>
      </c>
      <c r="P336" s="26" t="str">
        <f>IF([2]道具信息!P336="","",[2]道具信息!P336)</f>
        <v/>
      </c>
      <c r="Q336" s="26" t="str">
        <f>IF([2]道具信息!Q336="","",[2]道具信息!Q336)</f>
        <v/>
      </c>
    </row>
    <row r="337" spans="3:17" x14ac:dyDescent="0.15">
      <c r="C337" s="26">
        <f>IF([2]道具信息!C337="","",[2]道具信息!C337)</f>
        <v>26501</v>
      </c>
      <c r="D337" s="26" t="str">
        <f>IF([2]道具信息!D337="","",[2]道具信息!D337)</f>
        <v>蓝色兵法宝箱</v>
      </c>
      <c r="E337" s="26">
        <f>IF([2]道具信息!E337="","",[2]道具信息!E337)</f>
        <v>50</v>
      </c>
      <c r="F337" s="26">
        <f>IF([2]道具信息!F337="","",[2]道具信息!F337)</f>
        <v>1</v>
      </c>
      <c r="G337" s="26">
        <f>IF([2]道具信息!G337="","",[2]道具信息!G337)</f>
        <v>1</v>
      </c>
      <c r="H337" s="26">
        <f>IF([2]道具信息!H337="","",[2]道具信息!H337)</f>
        <v>1</v>
      </c>
      <c r="I337" s="26">
        <f>IF([2]道具信息!I337="","",[2]道具信息!I337)</f>
        <v>50</v>
      </c>
      <c r="J337" s="26">
        <f>IF([2]道具信息!J337="","",[2]道具信息!J337)</f>
        <v>50</v>
      </c>
      <c r="K337" s="26">
        <f>IF([2]道具信息!K337="","",[2]道具信息!K337)</f>
        <v>50</v>
      </c>
      <c r="L337" s="26" t="str">
        <f>IF([2]道具信息!L337="","",[2]道具信息!L337)</f>
        <v>使用后随机获得1个蓝色品质兵法</v>
      </c>
      <c r="M337" s="26" t="str">
        <f>IF([2]道具信息!M337="","",[2]道具信息!M337)</f>
        <v/>
      </c>
      <c r="N337" s="26" t="str">
        <f>IF([2]道具信息!N337="","",[2]道具信息!N337)</f>
        <v/>
      </c>
      <c r="O337" s="26" t="str">
        <f>IF([2]道具信息!O337="","",[2]道具信息!O337)</f>
        <v/>
      </c>
      <c r="P337" s="26" t="str">
        <f>IF([2]道具信息!P337="","",[2]道具信息!P337)</f>
        <v/>
      </c>
      <c r="Q337" s="26" t="str">
        <f>IF([2]道具信息!Q337="","",[2]道具信息!Q337)</f>
        <v/>
      </c>
    </row>
    <row r="338" spans="3:17" x14ac:dyDescent="0.15">
      <c r="C338" s="26">
        <f>IF([2]道具信息!C338="","",[2]道具信息!C338)</f>
        <v>26502</v>
      </c>
      <c r="D338" s="26" t="str">
        <f>IF([2]道具信息!D338="","",[2]道具信息!D338)</f>
        <v>紫色兵法宝箱</v>
      </c>
      <c r="E338" s="26">
        <f>IF([2]道具信息!E338="","",[2]道具信息!E338)</f>
        <v>500</v>
      </c>
      <c r="F338" s="26">
        <f>IF([2]道具信息!F338="","",[2]道具信息!F338)</f>
        <v>1</v>
      </c>
      <c r="G338" s="26">
        <f>IF([2]道具信息!G338="","",[2]道具信息!G338)</f>
        <v>1</v>
      </c>
      <c r="H338" s="26">
        <f>IF([2]道具信息!H338="","",[2]道具信息!H338)</f>
        <v>1</v>
      </c>
      <c r="I338" s="26">
        <f>IF([2]道具信息!I338="","",[2]道具信息!I338)</f>
        <v>500</v>
      </c>
      <c r="J338" s="26">
        <f>IF([2]道具信息!J338="","",[2]道具信息!J338)</f>
        <v>500</v>
      </c>
      <c r="K338" s="26">
        <f>IF([2]道具信息!K338="","",[2]道具信息!K338)</f>
        <v>500</v>
      </c>
      <c r="L338" s="26" t="str">
        <f>IF([2]道具信息!L338="","",[2]道具信息!L338)</f>
        <v>使用后随机获得1个紫色品质兵法</v>
      </c>
      <c r="M338" s="26" t="str">
        <f>IF([2]道具信息!M338="","",[2]道具信息!M338)</f>
        <v/>
      </c>
      <c r="N338" s="26" t="str">
        <f>IF([2]道具信息!N338="","",[2]道具信息!N338)</f>
        <v/>
      </c>
      <c r="O338" s="26" t="str">
        <f>IF([2]道具信息!O338="","",[2]道具信息!O338)</f>
        <v/>
      </c>
      <c r="P338" s="26" t="str">
        <f>IF([2]道具信息!P338="","",[2]道具信息!P338)</f>
        <v/>
      </c>
      <c r="Q338" s="26" t="str">
        <f>IF([2]道具信息!Q338="","",[2]道具信息!Q338)</f>
        <v/>
      </c>
    </row>
    <row r="339" spans="3:17" x14ac:dyDescent="0.15">
      <c r="C339" s="26">
        <f>IF([2]道具信息!C339="","",[2]道具信息!C339)</f>
        <v>26503</v>
      </c>
      <c r="D339" s="26" t="str">
        <f>IF([2]道具信息!D339="","",[2]道具信息!D339)</f>
        <v>橙色兵法宝箱</v>
      </c>
      <c r="E339" s="26">
        <f>IF([2]道具信息!E339="","",[2]道具信息!E339)</f>
        <v>1680</v>
      </c>
      <c r="F339" s="26">
        <f>IF([2]道具信息!F339="","",[2]道具信息!F339)</f>
        <v>1</v>
      </c>
      <c r="G339" s="26">
        <f>IF([2]道具信息!G339="","",[2]道具信息!G339)</f>
        <v>1</v>
      </c>
      <c r="H339" s="26">
        <f>IF([2]道具信息!H339="","",[2]道具信息!H339)</f>
        <v>1</v>
      </c>
      <c r="I339" s="26">
        <f>IF([2]道具信息!I339="","",[2]道具信息!I339)</f>
        <v>1680</v>
      </c>
      <c r="J339" s="26">
        <f>IF([2]道具信息!J339="","",[2]道具信息!J339)</f>
        <v>1680</v>
      </c>
      <c r="K339" s="26">
        <f>IF([2]道具信息!K339="","",[2]道具信息!K339)</f>
        <v>1680</v>
      </c>
      <c r="L339" s="26" t="str">
        <f>IF([2]道具信息!L339="","",[2]道具信息!L339)</f>
        <v>使用后随机获得1个橙色品质兵法</v>
      </c>
      <c r="M339" s="26" t="str">
        <f>IF([2]道具信息!M339="","",[2]道具信息!M339)</f>
        <v/>
      </c>
      <c r="N339" s="26" t="str">
        <f>IF([2]道具信息!N339="","",[2]道具信息!N339)</f>
        <v/>
      </c>
      <c r="O339" s="26" t="str">
        <f>IF([2]道具信息!O339="","",[2]道具信息!O339)</f>
        <v/>
      </c>
      <c r="P339" s="26" t="str">
        <f>IF([2]道具信息!P339="","",[2]道具信息!P339)</f>
        <v/>
      </c>
      <c r="Q339" s="26" t="str">
        <f>IF([2]道具信息!Q339="","",[2]道具信息!Q339)</f>
        <v/>
      </c>
    </row>
    <row r="340" spans="3:17" x14ac:dyDescent="0.15">
      <c r="C340" s="26">
        <f>IF([2]道具信息!C340="","",[2]道具信息!C340)</f>
        <v>26504</v>
      </c>
      <c r="D340" s="26" t="str">
        <f>IF([2]道具信息!D340="","",[2]道具信息!D340)</f>
        <v>红色兵法宝箱</v>
      </c>
      <c r="E340" s="26">
        <f>IF([2]道具信息!E340="","",[2]道具信息!E340)</f>
        <v>14100</v>
      </c>
      <c r="F340" s="26">
        <f>IF([2]道具信息!F340="","",[2]道具信息!F340)</f>
        <v>1</v>
      </c>
      <c r="G340" s="26">
        <f>IF([2]道具信息!G340="","",[2]道具信息!G340)</f>
        <v>1</v>
      </c>
      <c r="H340" s="26">
        <f>IF([2]道具信息!H340="","",[2]道具信息!H340)</f>
        <v>1</v>
      </c>
      <c r="I340" s="26">
        <f>IF([2]道具信息!I340="","",[2]道具信息!I340)</f>
        <v>14100</v>
      </c>
      <c r="J340" s="26">
        <f>IF([2]道具信息!J340="","",[2]道具信息!J340)</f>
        <v>14100</v>
      </c>
      <c r="K340" s="26">
        <f>IF([2]道具信息!K340="","",[2]道具信息!K340)</f>
        <v>14100</v>
      </c>
      <c r="L340" s="26" t="str">
        <f>IF([2]道具信息!L340="","",[2]道具信息!L340)</f>
        <v>使用后随机获得1个红色品质兵法</v>
      </c>
      <c r="M340" s="26" t="str">
        <f>IF([2]道具信息!M340="","",[2]道具信息!M340)</f>
        <v/>
      </c>
      <c r="N340" s="26" t="str">
        <f>IF([2]道具信息!N340="","",[2]道具信息!N340)</f>
        <v/>
      </c>
      <c r="O340" s="26" t="str">
        <f>IF([2]道具信息!O340="","",[2]道具信息!O340)</f>
        <v/>
      </c>
      <c r="P340" s="26" t="str">
        <f>IF([2]道具信息!P340="","",[2]道具信息!P340)</f>
        <v/>
      </c>
      <c r="Q340" s="26" t="str">
        <f>IF([2]道具信息!Q340="","",[2]道具信息!Q340)</f>
        <v/>
      </c>
    </row>
    <row r="341" spans="3:17" x14ac:dyDescent="0.15">
      <c r="C341" s="26" t="str">
        <f>IF([2]道具信息!C341="","",[2]道具信息!C341)</f>
        <v/>
      </c>
      <c r="D341" s="26" t="str">
        <f>IF([2]道具信息!D341="","",[2]道具信息!D341)</f>
        <v>指定or任选蓝色兵法</v>
      </c>
      <c r="E341" s="26">
        <f>IF([2]道具信息!E341="","",[2]道具信息!E341)</f>
        <v>35</v>
      </c>
      <c r="F341" s="26">
        <f>IF([2]道具信息!F341="","",[2]道具信息!F341)</f>
        <v>1</v>
      </c>
      <c r="G341" s="26">
        <f>IF([2]道具信息!G341="","",[2]道具信息!G341)</f>
        <v>1</v>
      </c>
      <c r="H341" s="26">
        <f>IF([2]道具信息!H341="","",[2]道具信息!H341)</f>
        <v>1</v>
      </c>
      <c r="I341" s="26">
        <f>IF([2]道具信息!I341="","",[2]道具信息!I341)</f>
        <v>35</v>
      </c>
      <c r="J341" s="26">
        <f>IF([2]道具信息!J341="","",[2]道具信息!J341)</f>
        <v>35</v>
      </c>
      <c r="K341" s="26">
        <f>IF([2]道具信息!K341="","",[2]道具信息!K341)</f>
        <v>35</v>
      </c>
      <c r="L341" s="26" t="str">
        <f>IF([2]道具信息!L341="","",[2]道具信息!L341)</f>
        <v/>
      </c>
      <c r="M341" s="26" t="str">
        <f>IF([2]道具信息!M341="","",[2]道具信息!M341)</f>
        <v/>
      </c>
      <c r="N341" s="26" t="str">
        <f>IF([2]道具信息!N341="","",[2]道具信息!N341)</f>
        <v/>
      </c>
      <c r="O341" s="26" t="str">
        <f>IF([2]道具信息!O341="","",[2]道具信息!O341)</f>
        <v/>
      </c>
      <c r="P341" s="26" t="str">
        <f>IF([2]道具信息!P341="","",[2]道具信息!P341)</f>
        <v/>
      </c>
      <c r="Q341" s="26" t="str">
        <f>IF([2]道具信息!Q341="","",[2]道具信息!Q341)</f>
        <v/>
      </c>
    </row>
    <row r="342" spans="3:17" x14ac:dyDescent="0.15">
      <c r="C342" s="26" t="str">
        <f>IF([2]道具信息!C342="","",[2]道具信息!C342)</f>
        <v/>
      </c>
      <c r="D342" s="26" t="str">
        <f>IF([2]道具信息!D342="","",[2]道具信息!D342)</f>
        <v>指定or任选紫色兵法</v>
      </c>
      <c r="E342" s="26">
        <f>IF([2]道具信息!E342="","",[2]道具信息!E342)</f>
        <v>750</v>
      </c>
      <c r="F342" s="26">
        <f>IF([2]道具信息!F342="","",[2]道具信息!F342)</f>
        <v>1</v>
      </c>
      <c r="G342" s="26">
        <f>IF([2]道具信息!G342="","",[2]道具信息!G342)</f>
        <v>1</v>
      </c>
      <c r="H342" s="26">
        <f>IF([2]道具信息!H342="","",[2]道具信息!H342)</f>
        <v>1</v>
      </c>
      <c r="I342" s="26">
        <f>IF([2]道具信息!I342="","",[2]道具信息!I342)</f>
        <v>750</v>
      </c>
      <c r="J342" s="26">
        <f>IF([2]道具信息!J342="","",[2]道具信息!J342)</f>
        <v>750</v>
      </c>
      <c r="K342" s="26">
        <f>IF([2]道具信息!K342="","",[2]道具信息!K342)</f>
        <v>750</v>
      </c>
      <c r="L342" s="26" t="str">
        <f>IF([2]道具信息!L342="","",[2]道具信息!L342)</f>
        <v/>
      </c>
      <c r="M342" s="26" t="str">
        <f>IF([2]道具信息!M342="","",[2]道具信息!M342)</f>
        <v/>
      </c>
      <c r="N342" s="26" t="str">
        <f>IF([2]道具信息!N342="","",[2]道具信息!N342)</f>
        <v/>
      </c>
      <c r="O342" s="26" t="str">
        <f>IF([2]道具信息!O342="","",[2]道具信息!O342)</f>
        <v/>
      </c>
      <c r="P342" s="26" t="str">
        <f>IF([2]道具信息!P342="","",[2]道具信息!P342)</f>
        <v/>
      </c>
      <c r="Q342" s="26" t="str">
        <f>IF([2]道具信息!Q342="","",[2]道具信息!Q342)</f>
        <v/>
      </c>
    </row>
    <row r="343" spans="3:17" x14ac:dyDescent="0.15">
      <c r="C343" s="26" t="str">
        <f>IF([2]道具信息!C343="","",[2]道具信息!C343)</f>
        <v/>
      </c>
      <c r="D343" s="26" t="str">
        <f>IF([2]道具信息!D343="","",[2]道具信息!D343)</f>
        <v>指定or任选橙色兵法</v>
      </c>
      <c r="E343" s="26">
        <f>IF([2]道具信息!E343="","",[2]道具信息!E343)</f>
        <v>3350</v>
      </c>
      <c r="F343" s="26">
        <f>IF([2]道具信息!F343="","",[2]道具信息!F343)</f>
        <v>1</v>
      </c>
      <c r="G343" s="26">
        <f>IF([2]道具信息!G343="","",[2]道具信息!G343)</f>
        <v>1</v>
      </c>
      <c r="H343" s="26">
        <f>IF([2]道具信息!H343="","",[2]道具信息!H343)</f>
        <v>1</v>
      </c>
      <c r="I343" s="26">
        <f>IF([2]道具信息!I343="","",[2]道具信息!I343)</f>
        <v>3350</v>
      </c>
      <c r="J343" s="26">
        <f>IF([2]道具信息!J343="","",[2]道具信息!J343)</f>
        <v>3350</v>
      </c>
      <c r="K343" s="26">
        <f>IF([2]道具信息!K343="","",[2]道具信息!K343)</f>
        <v>3350</v>
      </c>
      <c r="L343" s="26" t="str">
        <f>IF([2]道具信息!L343="","",[2]道具信息!L343)</f>
        <v/>
      </c>
      <c r="M343" s="26" t="str">
        <f>IF([2]道具信息!M343="","",[2]道具信息!M343)</f>
        <v/>
      </c>
      <c r="N343" s="26" t="str">
        <f>IF([2]道具信息!N343="","",[2]道具信息!N343)</f>
        <v/>
      </c>
      <c r="O343" s="26" t="str">
        <f>IF([2]道具信息!O343="","",[2]道具信息!O343)</f>
        <v/>
      </c>
      <c r="P343" s="26" t="str">
        <f>IF([2]道具信息!P343="","",[2]道具信息!P343)</f>
        <v/>
      </c>
      <c r="Q343" s="26" t="str">
        <f>IF([2]道具信息!Q343="","",[2]道具信息!Q343)</f>
        <v/>
      </c>
    </row>
    <row r="344" spans="3:17" x14ac:dyDescent="0.15">
      <c r="C344" s="26" t="str">
        <f>IF([2]道具信息!C344="","",[2]道具信息!C344)</f>
        <v/>
      </c>
      <c r="D344" s="26" t="str">
        <f>IF([2]道具信息!D344="","",[2]道具信息!D344)</f>
        <v>指定or任选红色兵法</v>
      </c>
      <c r="E344" s="26">
        <f>IF([2]道具信息!E344="","",[2]道具信息!E344)</f>
        <v>9165</v>
      </c>
      <c r="F344" s="26">
        <f>IF([2]道具信息!F344="","",[2]道具信息!F344)</f>
        <v>1</v>
      </c>
      <c r="G344" s="26">
        <f>IF([2]道具信息!G344="","",[2]道具信息!G344)</f>
        <v>1</v>
      </c>
      <c r="H344" s="26">
        <f>IF([2]道具信息!H344="","",[2]道具信息!H344)</f>
        <v>1</v>
      </c>
      <c r="I344" s="26">
        <f>IF([2]道具信息!I344="","",[2]道具信息!I344)</f>
        <v>9165</v>
      </c>
      <c r="J344" s="26">
        <f>IF([2]道具信息!J344="","",[2]道具信息!J344)</f>
        <v>9165</v>
      </c>
      <c r="K344" s="26">
        <f>IF([2]道具信息!K344="","",[2]道具信息!K344)</f>
        <v>9165</v>
      </c>
      <c r="L344" s="26" t="str">
        <f>IF([2]道具信息!L344="","",[2]道具信息!L344)</f>
        <v/>
      </c>
      <c r="M344" s="26" t="str">
        <f>IF([2]道具信息!M344="","",[2]道具信息!M344)</f>
        <v/>
      </c>
      <c r="N344" s="26" t="str">
        <f>IF([2]道具信息!N344="","",[2]道具信息!N344)</f>
        <v/>
      </c>
      <c r="O344" s="26" t="str">
        <f>IF([2]道具信息!O344="","",[2]道具信息!O344)</f>
        <v/>
      </c>
      <c r="P344" s="26" t="str">
        <f>IF([2]道具信息!P344="","",[2]道具信息!P344)</f>
        <v/>
      </c>
      <c r="Q344" s="26" t="str">
        <f>IF([2]道具信息!Q344="","",[2]道具信息!Q344)</f>
        <v/>
      </c>
    </row>
    <row r="345" spans="3:17" x14ac:dyDescent="0.15">
      <c r="C345" s="26">
        <f>IF([2]道具信息!C345="","",[2]道具信息!C345)</f>
        <v>26505</v>
      </c>
      <c r="D345" s="26" t="str">
        <f>IF([2]道具信息!D345="","",[2]道具信息!D345)</f>
        <v>兵家信物</v>
      </c>
      <c r="E345" s="26">
        <f>IF([2]道具信息!E345="","",[2]道具信息!E345)</f>
        <v>300</v>
      </c>
      <c r="F345" s="26">
        <f>IF([2]道具信息!F345="","",[2]道具信息!F345)</f>
        <v>1</v>
      </c>
      <c r="G345" s="26">
        <f>IF([2]道具信息!G345="","",[2]道具信息!G345)</f>
        <v>1</v>
      </c>
      <c r="H345" s="26">
        <f>IF([2]道具信息!H345="","",[2]道具信息!H345)</f>
        <v>1</v>
      </c>
      <c r="I345" s="26">
        <f>IF([2]道具信息!I345="","",[2]道具信息!I345)</f>
        <v>300</v>
      </c>
      <c r="J345" s="26">
        <f>IF([2]道具信息!J345="","",[2]道具信息!J345)</f>
        <v>300</v>
      </c>
      <c r="K345" s="26">
        <f>IF([2]道具信息!K345="","",[2]道具信息!K345)</f>
        <v>300</v>
      </c>
      <c r="L345" s="26" t="str">
        <f>IF([2]道具信息!L345="","",[2]道具信息!L345)</f>
        <v>抽取兵法时消耗的道具（赠送10个5分钟通用加速）</v>
      </c>
      <c r="M345" s="26" t="str">
        <f>IF([2]道具信息!M345="","",[2]道具信息!M345)</f>
        <v/>
      </c>
      <c r="N345" s="26" t="str">
        <f>IF([2]道具信息!N345="","",[2]道具信息!N345)</f>
        <v/>
      </c>
      <c r="O345" s="26" t="str">
        <f>IF([2]道具信息!O345="","",[2]道具信息!O345)</f>
        <v/>
      </c>
      <c r="P345" s="26" t="str">
        <f>IF([2]道具信息!P345="","",[2]道具信息!P345)</f>
        <v/>
      </c>
      <c r="Q345" s="26" t="str">
        <f>IF([2]道具信息!Q345="","",[2]道具信息!Q345)</f>
        <v/>
      </c>
    </row>
    <row r="346" spans="3:17" x14ac:dyDescent="0.15">
      <c r="C346" s="26" t="str">
        <f>IF([2]道具信息!C346="","",[2]道具信息!C346)</f>
        <v/>
      </c>
      <c r="D346" s="26" t="str">
        <f>IF([2]道具信息!D346="","",[2]道具信息!D346)</f>
        <v/>
      </c>
      <c r="E346" s="26" t="str">
        <f>IF([2]道具信息!E346="","",[2]道具信息!E346)</f>
        <v/>
      </c>
      <c r="F346" s="26" t="str">
        <f>IF([2]道具信息!F346="","",[2]道具信息!F346)</f>
        <v/>
      </c>
      <c r="G346" s="26" t="str">
        <f>IF([2]道具信息!G346="","",[2]道具信息!G346)</f>
        <v/>
      </c>
      <c r="H346" s="26" t="str">
        <f>IF([2]道具信息!H346="","",[2]道具信息!H346)</f>
        <v/>
      </c>
      <c r="I346" s="26" t="str">
        <f>IF([2]道具信息!I346="","",[2]道具信息!I346)</f>
        <v/>
      </c>
      <c r="J346" s="26" t="str">
        <f>IF([2]道具信息!J346="","",[2]道具信息!J346)</f>
        <v/>
      </c>
      <c r="K346" s="26" t="str">
        <f>IF([2]道具信息!K346="","",[2]道具信息!K346)</f>
        <v/>
      </c>
      <c r="L346" s="26" t="str">
        <f>IF([2]道具信息!L346="","",[2]道具信息!L346)</f>
        <v/>
      </c>
      <c r="M346" s="26" t="str">
        <f>IF([2]道具信息!M346="","",[2]道具信息!M346)</f>
        <v/>
      </c>
      <c r="N346" s="26" t="str">
        <f>IF([2]道具信息!N346="","",[2]道具信息!N346)</f>
        <v/>
      </c>
      <c r="O346" s="26" t="str">
        <f>IF([2]道具信息!O346="","",[2]道具信息!O346)</f>
        <v/>
      </c>
      <c r="P346" s="26" t="str">
        <f>IF([2]道具信息!P346="","",[2]道具信息!P346)</f>
        <v/>
      </c>
      <c r="Q346" s="26" t="str">
        <f>IF([2]道具信息!Q346="","",[2]道具信息!Q346)</f>
        <v/>
      </c>
    </row>
    <row r="347" spans="3:17" x14ac:dyDescent="0.15">
      <c r="C347" s="26" t="str">
        <f>IF([2]道具信息!C347="","",[2]道具信息!C347)</f>
        <v/>
      </c>
      <c r="D347" s="26" t="str">
        <f>IF([2]道具信息!D347="","",[2]道具信息!D347)</f>
        <v/>
      </c>
      <c r="E347" s="26" t="str">
        <f>IF([2]道具信息!E347="","",[2]道具信息!E347)</f>
        <v/>
      </c>
      <c r="F347" s="26" t="str">
        <f>IF([2]道具信息!F347="","",[2]道具信息!F347)</f>
        <v/>
      </c>
      <c r="G347" s="26" t="str">
        <f>IF([2]道具信息!G347="","",[2]道具信息!G347)</f>
        <v/>
      </c>
      <c r="H347" s="26" t="str">
        <f>IF([2]道具信息!H347="","",[2]道具信息!H347)</f>
        <v/>
      </c>
      <c r="I347" s="26" t="str">
        <f>IF([2]道具信息!I347="","",[2]道具信息!I347)</f>
        <v/>
      </c>
      <c r="J347" s="26" t="str">
        <f>IF([2]道具信息!J347="","",[2]道具信息!J347)</f>
        <v/>
      </c>
      <c r="K347" s="26" t="str">
        <f>IF([2]道具信息!K347="","",[2]道具信息!K347)</f>
        <v/>
      </c>
      <c r="L347" s="26" t="str">
        <f>IF([2]道具信息!L347="","",[2]道具信息!L347)</f>
        <v/>
      </c>
      <c r="M347" s="26" t="str">
        <f>IF([2]道具信息!M347="","",[2]道具信息!M347)</f>
        <v/>
      </c>
      <c r="N347" s="26" t="str">
        <f>IF([2]道具信息!N347="","",[2]道具信息!N347)</f>
        <v/>
      </c>
      <c r="O347" s="26" t="str">
        <f>IF([2]道具信息!O347="","",[2]道具信息!O347)</f>
        <v/>
      </c>
      <c r="P347" s="26" t="str">
        <f>IF([2]道具信息!P347="","",[2]道具信息!P347)</f>
        <v/>
      </c>
      <c r="Q347" s="26" t="str">
        <f>IF([2]道具信息!Q347="","",[2]道具信息!Q347)</f>
        <v/>
      </c>
    </row>
    <row r="348" spans="3:17" x14ac:dyDescent="0.15">
      <c r="C348" s="26">
        <f>IF([2]道具信息!C348="","",[2]道具信息!C348)</f>
        <v>26520</v>
      </c>
      <c r="D348" s="26" t="str">
        <f>IF([2]道具信息!D348="","",[2]道具信息!D348)</f>
        <v>紫色兵法自选宝箱</v>
      </c>
      <c r="E348" s="26">
        <f>IF([2]道具信息!E348="","",[2]道具信息!E348)</f>
        <v>750</v>
      </c>
      <c r="F348" s="26">
        <f>IF([2]道具信息!F348="","",[2]道具信息!F348)</f>
        <v>1</v>
      </c>
      <c r="G348" s="26">
        <f>IF([2]道具信息!G348="","",[2]道具信息!G348)</f>
        <v>1</v>
      </c>
      <c r="H348" s="26">
        <f>IF([2]道具信息!H348="","",[2]道具信息!H348)</f>
        <v>1</v>
      </c>
      <c r="I348" s="26">
        <f>IF([2]道具信息!I348="","",[2]道具信息!I348)</f>
        <v>750</v>
      </c>
      <c r="J348" s="26">
        <f>IF([2]道具信息!J348="","",[2]道具信息!J348)</f>
        <v>750</v>
      </c>
      <c r="K348" s="26">
        <f>IF([2]道具信息!K348="","",[2]道具信息!K348)</f>
        <v>750</v>
      </c>
      <c r="L348" s="26" t="str">
        <f>IF([2]道具信息!L348="","",[2]道具信息!L348)</f>
        <v>使用后可选择一个紫色兵法。紫色兵法：攻其不备、出奇制胜、破军夺志</v>
      </c>
      <c r="M348" s="26" t="str">
        <f>IF([2]道具信息!M348="","",[2]道具信息!M348)</f>
        <v/>
      </c>
      <c r="N348" s="26" t="str">
        <f>IF([2]道具信息!N348="","",[2]道具信息!N348)</f>
        <v/>
      </c>
      <c r="O348" s="26" t="str">
        <f>IF([2]道具信息!O348="","",[2]道具信息!O348)</f>
        <v/>
      </c>
      <c r="P348" s="26" t="str">
        <f>IF([2]道具信息!P348="","",[2]道具信息!P348)</f>
        <v/>
      </c>
      <c r="Q348" s="26" t="str">
        <f>IF([2]道具信息!Q348="","",[2]道具信息!Q348)</f>
        <v/>
      </c>
    </row>
    <row r="349" spans="3:17" x14ac:dyDescent="0.15">
      <c r="C349" s="26">
        <f>IF([2]道具信息!C349="","",[2]道具信息!C349)</f>
        <v>26521</v>
      </c>
      <c r="D349" s="26" t="str">
        <f>IF([2]道具信息!D349="","",[2]道具信息!D349)</f>
        <v>橙色兵法自选宝箱</v>
      </c>
      <c r="E349" s="26">
        <f>IF([2]道具信息!E349="","",[2]道具信息!E349)</f>
        <v>3350</v>
      </c>
      <c r="F349" s="26">
        <f>IF([2]道具信息!F349="","",[2]道具信息!F349)</f>
        <v>1</v>
      </c>
      <c r="G349" s="26">
        <f>IF([2]道具信息!G349="","",[2]道具信息!G349)</f>
        <v>1</v>
      </c>
      <c r="H349" s="26">
        <f>IF([2]道具信息!H349="","",[2]道具信息!H349)</f>
        <v>1</v>
      </c>
      <c r="I349" s="26">
        <f>IF([2]道具信息!I349="","",[2]道具信息!I349)</f>
        <v>3350</v>
      </c>
      <c r="J349" s="26">
        <f>IF([2]道具信息!J349="","",[2]道具信息!J349)</f>
        <v>3350</v>
      </c>
      <c r="K349" s="26">
        <f>IF([2]道具信息!K349="","",[2]道具信息!K349)</f>
        <v>3350</v>
      </c>
      <c r="L349" s="26" t="str">
        <f>IF([2]道具信息!L349="","",[2]道具信息!L349)</f>
        <v>使用后可选择一个橙色兵法。橙色兵法：援军秘策、养精蓄锐、退敌千里、奇佐鬼谋</v>
      </c>
      <c r="M349" s="26" t="str">
        <f>IF([2]道具信息!M349="","",[2]道具信息!M349)</f>
        <v/>
      </c>
      <c r="N349" s="26" t="str">
        <f>IF([2]道具信息!N349="","",[2]道具信息!N349)</f>
        <v/>
      </c>
      <c r="O349" s="26" t="str">
        <f>IF([2]道具信息!O349="","",[2]道具信息!O349)</f>
        <v/>
      </c>
      <c r="P349" s="26" t="str">
        <f>IF([2]道具信息!P349="","",[2]道具信息!P349)</f>
        <v/>
      </c>
      <c r="Q349" s="26" t="str">
        <f>IF([2]道具信息!Q349="","",[2]道具信息!Q349)</f>
        <v/>
      </c>
    </row>
    <row r="350" spans="3:17" x14ac:dyDescent="0.15">
      <c r="C350" s="26" t="str">
        <f>IF([2]道具信息!C350="","",[2]道具信息!C350)</f>
        <v/>
      </c>
      <c r="D350" s="26" t="str">
        <f>IF([2]道具信息!D350="","",[2]道具信息!D350)</f>
        <v/>
      </c>
      <c r="E350" s="26" t="str">
        <f>IF([2]道具信息!E350="","",[2]道具信息!E350)</f>
        <v/>
      </c>
      <c r="F350" s="26" t="str">
        <f>IF([2]道具信息!F350="","",[2]道具信息!F350)</f>
        <v/>
      </c>
      <c r="G350" s="26" t="str">
        <f>IF([2]道具信息!G350="","",[2]道具信息!G350)</f>
        <v/>
      </c>
      <c r="H350" s="26" t="str">
        <f>IF([2]道具信息!H350="","",[2]道具信息!H350)</f>
        <v/>
      </c>
      <c r="I350" s="26" t="str">
        <f>IF([2]道具信息!I350="","",[2]道具信息!I350)</f>
        <v/>
      </c>
      <c r="J350" s="26" t="str">
        <f>IF([2]道具信息!J350="","",[2]道具信息!J350)</f>
        <v/>
      </c>
      <c r="K350" s="26" t="str">
        <f>IF([2]道具信息!K350="","",[2]道具信息!K350)</f>
        <v/>
      </c>
      <c r="L350" s="26" t="str">
        <f>IF([2]道具信息!L350="","",[2]道具信息!L350)</f>
        <v/>
      </c>
      <c r="M350" s="26" t="str">
        <f>IF([2]道具信息!M350="","",[2]道具信息!M350)</f>
        <v/>
      </c>
      <c r="N350" s="26" t="str">
        <f>IF([2]道具信息!N350="","",[2]道具信息!N350)</f>
        <v/>
      </c>
      <c r="O350" s="26" t="str">
        <f>IF([2]道具信息!O350="","",[2]道具信息!O350)</f>
        <v/>
      </c>
      <c r="P350" s="26" t="str">
        <f>IF([2]道具信息!P350="","",[2]道具信息!P350)</f>
        <v/>
      </c>
      <c r="Q350" s="26" t="str">
        <f>IF([2]道具信息!Q350="","",[2]道具信息!Q350)</f>
        <v/>
      </c>
    </row>
    <row r="351" spans="3:17" x14ac:dyDescent="0.15">
      <c r="C351" s="26">
        <f>IF([2]道具信息!C351="","",[2]道具信息!C351)</f>
        <v>26551</v>
      </c>
      <c r="D351" s="26" t="str">
        <f>IF([2]道具信息!D351="","",[2]道具信息!D351)</f>
        <v>虎符宝箱</v>
      </c>
      <c r="E351" s="26">
        <f>IF([2]道具信息!E351="","",[2]道具信息!E351)</f>
        <v>160</v>
      </c>
      <c r="F351" s="26">
        <f>IF([2]道具信息!F351="","",[2]道具信息!F351)</f>
        <v>1</v>
      </c>
      <c r="G351" s="26">
        <f>IF([2]道具信息!G351="","",[2]道具信息!G351)</f>
        <v>1</v>
      </c>
      <c r="H351" s="26">
        <f>IF([2]道具信息!H351="","",[2]道具信息!H351)</f>
        <v>1</v>
      </c>
      <c r="I351" s="26">
        <f>IF([2]道具信息!I351="","",[2]道具信息!I351)</f>
        <v>160</v>
      </c>
      <c r="J351" s="26">
        <f>IF([2]道具信息!J351="","",[2]道具信息!J351)</f>
        <v>160</v>
      </c>
      <c r="K351" s="26">
        <f>IF([2]道具信息!K351="","",[2]道具信息!K351)</f>
        <v>160</v>
      </c>
      <c r="L351" s="26" t="str">
        <f>IF([2]道具信息!L351="","",[2]道具信息!L351)</f>
        <v>使用后随机获得1个虎符</v>
      </c>
      <c r="M351" s="26" t="str">
        <f>IF([2]道具信息!M351="","",[2]道具信息!M351)</f>
        <v/>
      </c>
      <c r="N351" s="26" t="str">
        <f>IF([2]道具信息!N351="","",[2]道具信息!N351)</f>
        <v/>
      </c>
      <c r="O351" s="26" t="str">
        <f>IF([2]道具信息!O351="","",[2]道具信息!O351)</f>
        <v/>
      </c>
      <c r="P351" s="26" t="str">
        <f>IF([2]道具信息!P351="","",[2]道具信息!P351)</f>
        <v/>
      </c>
      <c r="Q351" s="26" t="str">
        <f>IF([2]道具信息!Q351="","",[2]道具信息!Q351)</f>
        <v/>
      </c>
    </row>
    <row r="352" spans="3:17" x14ac:dyDescent="0.15">
      <c r="C352" s="26">
        <f>IF([2]道具信息!C352="","",[2]道具信息!C352)</f>
        <v>26552</v>
      </c>
      <c r="D352" s="26" t="str">
        <f>IF([2]道具信息!D352="","",[2]道具信息!D352)</f>
        <v>1级贡品宝箱</v>
      </c>
      <c r="E352" s="26">
        <f>IF([2]道具信息!E352="","",[2]道具信息!E352)</f>
        <v>40</v>
      </c>
      <c r="F352" s="26">
        <f>IF([2]道具信息!F352="","",[2]道具信息!F352)</f>
        <v>1</v>
      </c>
      <c r="G352" s="26">
        <f>IF([2]道具信息!G352="","",[2]道具信息!G352)</f>
        <v>1</v>
      </c>
      <c r="H352" s="26">
        <f>IF([2]道具信息!H352="","",[2]道具信息!H352)</f>
        <v>1</v>
      </c>
      <c r="I352" s="26">
        <f>IF([2]道具信息!I352="","",[2]道具信息!I352)</f>
        <v>40</v>
      </c>
      <c r="J352" s="26">
        <f>IF([2]道具信息!J352="","",[2]道具信息!J352)</f>
        <v>40</v>
      </c>
      <c r="K352" s="26">
        <f>IF([2]道具信息!K352="","",[2]道具信息!K352)</f>
        <v>40</v>
      </c>
      <c r="L352" s="26" t="str">
        <f>IF([2]道具信息!L352="","",[2]道具信息!L352)</f>
        <v>使用后随机获得铜镜、陶罐中的1个贡品</v>
      </c>
      <c r="M352" s="26" t="str">
        <f>IF([2]道具信息!M352="","",[2]道具信息!M352)</f>
        <v/>
      </c>
      <c r="N352" s="26" t="str">
        <f>IF([2]道具信息!N352="","",[2]道具信息!N352)</f>
        <v/>
      </c>
      <c r="O352" s="26" t="str">
        <f>IF([2]道具信息!O352="","",[2]道具信息!O352)</f>
        <v/>
      </c>
      <c r="P352" s="26" t="str">
        <f>IF([2]道具信息!P352="","",[2]道具信息!P352)</f>
        <v/>
      </c>
      <c r="Q352" s="26" t="str">
        <f>IF([2]道具信息!Q352="","",[2]道具信息!Q352)</f>
        <v/>
      </c>
    </row>
    <row r="353" spans="3:17" x14ac:dyDescent="0.15">
      <c r="C353" s="26">
        <f>IF([2]道具信息!C353="","",[2]道具信息!C353)</f>
        <v>26553</v>
      </c>
      <c r="D353" s="26" t="str">
        <f>IF([2]道具信息!D353="","",[2]道具信息!D353)</f>
        <v>2级贡品宝箱</v>
      </c>
      <c r="E353" s="26">
        <f>IF([2]道具信息!E353="","",[2]道具信息!E353)</f>
        <v>60</v>
      </c>
      <c r="F353" s="26">
        <f>IF([2]道具信息!F353="","",[2]道具信息!F353)</f>
        <v>1</v>
      </c>
      <c r="G353" s="26">
        <f>IF([2]道具信息!G353="","",[2]道具信息!G353)</f>
        <v>1</v>
      </c>
      <c r="H353" s="26">
        <f>IF([2]道具信息!H353="","",[2]道具信息!H353)</f>
        <v>1</v>
      </c>
      <c r="I353" s="26">
        <f>IF([2]道具信息!I353="","",[2]道具信息!I353)</f>
        <v>60</v>
      </c>
      <c r="J353" s="26">
        <f>IF([2]道具信息!J353="","",[2]道具信息!J353)</f>
        <v>60</v>
      </c>
      <c r="K353" s="26">
        <f>IF([2]道具信息!K353="","",[2]道具信息!K353)</f>
        <v>60</v>
      </c>
      <c r="L353" s="26" t="str">
        <f>IF([2]道具信息!L353="","",[2]道具信息!L353)</f>
        <v>使用后随机获得水晶杯、香鼎、铜壶中的1个贡品</v>
      </c>
      <c r="M353" s="26" t="str">
        <f>IF([2]道具信息!M353="","",[2]道具信息!M353)</f>
        <v/>
      </c>
      <c r="N353" s="26" t="str">
        <f>IF([2]道具信息!N353="","",[2]道具信息!N353)</f>
        <v/>
      </c>
      <c r="O353" s="26" t="str">
        <f>IF([2]道具信息!O353="","",[2]道具信息!O353)</f>
        <v/>
      </c>
      <c r="P353" s="26" t="str">
        <f>IF([2]道具信息!P353="","",[2]道具信息!P353)</f>
        <v/>
      </c>
      <c r="Q353" s="26" t="str">
        <f>IF([2]道具信息!Q353="","",[2]道具信息!Q353)</f>
        <v/>
      </c>
    </row>
    <row r="354" spans="3:17" x14ac:dyDescent="0.15">
      <c r="C354" s="26">
        <f>IF([2]道具信息!C354="","",[2]道具信息!C354)</f>
        <v>26554</v>
      </c>
      <c r="D354" s="26" t="str">
        <f>IF([2]道具信息!D354="","",[2]道具信息!D354)</f>
        <v>3级贡品宝箱</v>
      </c>
      <c r="E354" s="26">
        <f>IF([2]道具信息!E354="","",[2]道具信息!E354)</f>
        <v>80</v>
      </c>
      <c r="F354" s="26">
        <f>IF([2]道具信息!F354="","",[2]道具信息!F354)</f>
        <v>1</v>
      </c>
      <c r="G354" s="26">
        <f>IF([2]道具信息!G354="","",[2]道具信息!G354)</f>
        <v>1</v>
      </c>
      <c r="H354" s="26">
        <f>IF([2]道具信息!H354="","",[2]道具信息!H354)</f>
        <v>1</v>
      </c>
      <c r="I354" s="26">
        <f>IF([2]道具信息!I354="","",[2]道具信息!I354)</f>
        <v>80</v>
      </c>
      <c r="J354" s="26">
        <f>IF([2]道具信息!J354="","",[2]道具信息!J354)</f>
        <v>80</v>
      </c>
      <c r="K354" s="26">
        <f>IF([2]道具信息!K354="","",[2]道具信息!K354)</f>
        <v>80</v>
      </c>
      <c r="L354" s="26" t="str">
        <f>IF([2]道具信息!L354="","",[2]道具信息!L354)</f>
        <v>使用后随机获得长颈壶、方陶皿、兽头觥、象形尊中的1个贡品</v>
      </c>
      <c r="M354" s="26" t="str">
        <f>IF([2]道具信息!M354="","",[2]道具信息!M354)</f>
        <v/>
      </c>
      <c r="N354" s="26" t="str">
        <f>IF([2]道具信息!N354="","",[2]道具信息!N354)</f>
        <v/>
      </c>
      <c r="O354" s="26" t="str">
        <f>IF([2]道具信息!O354="","",[2]道具信息!O354)</f>
        <v/>
      </c>
      <c r="P354" s="26" t="str">
        <f>IF([2]道具信息!P354="","",[2]道具信息!P354)</f>
        <v/>
      </c>
      <c r="Q354" s="26" t="str">
        <f>IF([2]道具信息!Q354="","",[2]道具信息!Q354)</f>
        <v/>
      </c>
    </row>
    <row r="355" spans="3:17" x14ac:dyDescent="0.15">
      <c r="C355" s="26">
        <f>IF([2]道具信息!C355="","",[2]道具信息!C355)</f>
        <v>26555</v>
      </c>
      <c r="D355" s="26" t="str">
        <f>IF([2]道具信息!D355="","",[2]道具信息!D355)</f>
        <v>4级贡品宝箱</v>
      </c>
      <c r="E355" s="26">
        <f>IF([2]道具信息!E355="","",[2]道具信息!E355)</f>
        <v>100</v>
      </c>
      <c r="F355" s="26">
        <f>IF([2]道具信息!F355="","",[2]道具信息!F355)</f>
        <v>1</v>
      </c>
      <c r="G355" s="26">
        <f>IF([2]道具信息!G355="","",[2]道具信息!G355)</f>
        <v>1</v>
      </c>
      <c r="H355" s="26">
        <f>IF([2]道具信息!H355="","",[2]道具信息!H355)</f>
        <v>1</v>
      </c>
      <c r="I355" s="26">
        <f>IF([2]道具信息!I355="","",[2]道具信息!I355)</f>
        <v>100</v>
      </c>
      <c r="J355" s="26">
        <f>IF([2]道具信息!J355="","",[2]道具信息!J355)</f>
        <v>100</v>
      </c>
      <c r="K355" s="26">
        <f>IF([2]道具信息!K355="","",[2]道具信息!K355)</f>
        <v>100</v>
      </c>
      <c r="L355" s="26" t="str">
        <f>IF([2]道具信息!L355="","",[2]道具信息!L355)</f>
        <v>使用后随机获得冰鉴、螭首盉、三足爵、鎏金缶中的1个贡品</v>
      </c>
      <c r="M355" s="26" t="str">
        <f>IF([2]道具信息!M355="","",[2]道具信息!M355)</f>
        <v/>
      </c>
      <c r="N355" s="26" t="str">
        <f>IF([2]道具信息!N355="","",[2]道具信息!N355)</f>
        <v/>
      </c>
      <c r="O355" s="26" t="str">
        <f>IF([2]道具信息!O355="","",[2]道具信息!O355)</f>
        <v/>
      </c>
      <c r="P355" s="26" t="str">
        <f>IF([2]道具信息!P355="","",[2]道具信息!P355)</f>
        <v/>
      </c>
      <c r="Q355" s="26" t="str">
        <f>IF([2]道具信息!Q355="","",[2]道具信息!Q355)</f>
        <v/>
      </c>
    </row>
    <row r="356" spans="3:17" x14ac:dyDescent="0.15">
      <c r="C356" s="26">
        <f>IF([2]道具信息!C356="","",[2]道具信息!C356)</f>
        <v>26556</v>
      </c>
      <c r="D356" s="26" t="str">
        <f>IF([2]道具信息!D356="","",[2]道具信息!D356)</f>
        <v>5级贡品宝箱</v>
      </c>
      <c r="E356" s="26">
        <f>IF([2]道具信息!E356="","",[2]道具信息!E356)</f>
        <v>120</v>
      </c>
      <c r="F356" s="26">
        <f>IF([2]道具信息!F356="","",[2]道具信息!F356)</f>
        <v>1</v>
      </c>
      <c r="G356" s="26">
        <f>IF([2]道具信息!G356="","",[2]道具信息!G356)</f>
        <v>1</v>
      </c>
      <c r="H356" s="26">
        <f>IF([2]道具信息!H356="","",[2]道具信息!H356)</f>
        <v>1</v>
      </c>
      <c r="I356" s="26">
        <f>IF([2]道具信息!I356="","",[2]道具信息!I356)</f>
        <v>120</v>
      </c>
      <c r="J356" s="26">
        <f>IF([2]道具信息!J356="","",[2]道具信息!J356)</f>
        <v>120</v>
      </c>
      <c r="K356" s="26">
        <f>IF([2]道具信息!K356="","",[2]道具信息!K356)</f>
        <v>120</v>
      </c>
      <c r="L356" s="26" t="str">
        <f>IF([2]道具信息!L356="","",[2]道具信息!L356)</f>
        <v>使用后随机获得锦瑟、编钟、石磬、瑶琴中的1个贡品</v>
      </c>
      <c r="M356" s="26" t="str">
        <f>IF([2]道具信息!M356="","",[2]道具信息!M356)</f>
        <v/>
      </c>
      <c r="N356" s="26" t="str">
        <f>IF([2]道具信息!N356="","",[2]道具信息!N356)</f>
        <v/>
      </c>
      <c r="O356" s="26" t="str">
        <f>IF([2]道具信息!O356="","",[2]道具信息!O356)</f>
        <v/>
      </c>
      <c r="P356" s="26" t="str">
        <f>IF([2]道具信息!P356="","",[2]道具信息!P356)</f>
        <v/>
      </c>
      <c r="Q356" s="26" t="str">
        <f>IF([2]道具信息!Q356="","",[2]道具信息!Q356)</f>
        <v/>
      </c>
    </row>
    <row r="357" spans="3:17" x14ac:dyDescent="0.15">
      <c r="C357" s="26">
        <f>IF([2]道具信息!C357="","",[2]道具信息!C357)</f>
        <v>26557</v>
      </c>
      <c r="D357" s="26" t="str">
        <f>IF([2]道具信息!D357="","",[2]道具信息!D357)</f>
        <v>6级贡品宝箱</v>
      </c>
      <c r="E357" s="26">
        <f>IF([2]道具信息!E357="","",[2]道具信息!E357)</f>
        <v>140</v>
      </c>
      <c r="F357" s="26">
        <f>IF([2]道具信息!F357="","",[2]道具信息!F357)</f>
        <v>1</v>
      </c>
      <c r="G357" s="26">
        <f>IF([2]道具信息!G357="","",[2]道具信息!G357)</f>
        <v>1</v>
      </c>
      <c r="H357" s="26">
        <f>IF([2]道具信息!H357="","",[2]道具信息!H357)</f>
        <v>1</v>
      </c>
      <c r="I357" s="26">
        <f>IF([2]道具信息!I357="","",[2]道具信息!I357)</f>
        <v>140</v>
      </c>
      <c r="J357" s="26">
        <f>IF([2]道具信息!J357="","",[2]道具信息!J357)</f>
        <v>140</v>
      </c>
      <c r="K357" s="26">
        <f>IF([2]道具信息!K357="","",[2]道具信息!K357)</f>
        <v>140</v>
      </c>
      <c r="L357" s="26" t="str">
        <f>IF([2]道具信息!L357="","",[2]道具信息!L357)</f>
        <v>使用后随机获得青圭、赤璋、白琥、玄璜中的1个贡品</v>
      </c>
      <c r="M357" s="26" t="str">
        <f>IF([2]道具信息!M357="","",[2]道具信息!M357)</f>
        <v/>
      </c>
      <c r="N357" s="26" t="str">
        <f>IF([2]道具信息!N357="","",[2]道具信息!N357)</f>
        <v/>
      </c>
      <c r="O357" s="26" t="str">
        <f>IF([2]道具信息!O357="","",[2]道具信息!O357)</f>
        <v/>
      </c>
      <c r="P357" s="26" t="str">
        <f>IF([2]道具信息!P357="","",[2]道具信息!P357)</f>
        <v/>
      </c>
      <c r="Q357" s="26" t="str">
        <f>IF([2]道具信息!Q357="","",[2]道具信息!Q357)</f>
        <v/>
      </c>
    </row>
    <row r="358" spans="3:17" x14ac:dyDescent="0.15">
      <c r="C358" s="26" t="str">
        <f>IF([2]道具信息!C358="","",[2]道具信息!C358)</f>
        <v/>
      </c>
      <c r="D358" s="26" t="str">
        <f>IF([2]道具信息!D358="","",[2]道具信息!D358)</f>
        <v/>
      </c>
      <c r="E358" s="26" t="str">
        <f>IF([2]道具信息!E358="","",[2]道具信息!E358)</f>
        <v/>
      </c>
      <c r="F358" s="26" t="str">
        <f>IF([2]道具信息!F358="","",[2]道具信息!F358)</f>
        <v/>
      </c>
      <c r="G358" s="26" t="str">
        <f>IF([2]道具信息!G358="","",[2]道具信息!G358)</f>
        <v/>
      </c>
      <c r="H358" s="26" t="str">
        <f>IF([2]道具信息!H358="","",[2]道具信息!H358)</f>
        <v/>
      </c>
      <c r="I358" s="26" t="str">
        <f>IF([2]道具信息!I358="","",[2]道具信息!I358)</f>
        <v/>
      </c>
      <c r="J358" s="26" t="str">
        <f>IF([2]道具信息!J358="","",[2]道具信息!J358)</f>
        <v/>
      </c>
      <c r="K358" s="26" t="str">
        <f>IF([2]道具信息!K358="","",[2]道具信息!K358)</f>
        <v/>
      </c>
      <c r="L358" s="26" t="str">
        <f>IF([2]道具信息!L358="","",[2]道具信息!L358)</f>
        <v/>
      </c>
      <c r="M358" s="26" t="str">
        <f>IF([2]道具信息!M358="","",[2]道具信息!M358)</f>
        <v/>
      </c>
      <c r="N358" s="26" t="str">
        <f>IF([2]道具信息!N358="","",[2]道具信息!N358)</f>
        <v/>
      </c>
      <c r="O358" s="26" t="str">
        <f>IF([2]道具信息!O358="","",[2]道具信息!O358)</f>
        <v/>
      </c>
      <c r="P358" s="26" t="str">
        <f>IF([2]道具信息!P358="","",[2]道具信息!P358)</f>
        <v/>
      </c>
      <c r="Q358" s="26" t="str">
        <f>IF([2]道具信息!Q358="","",[2]道具信息!Q358)</f>
        <v/>
      </c>
    </row>
    <row r="359" spans="3:17" x14ac:dyDescent="0.15">
      <c r="C359" s="26">
        <f>IF([2]道具信息!C359="","",[2]道具信息!C359)</f>
        <v>21251</v>
      </c>
      <c r="D359" s="26" t="str">
        <f>IF([2]道具信息!D359="","",[2]道具信息!D359)</f>
        <v>绿色装备宝箱</v>
      </c>
      <c r="E359" s="26">
        <f>IF([2]道具信息!E359="","",[2]道具信息!E359)</f>
        <v>35</v>
      </c>
      <c r="F359" s="26">
        <f>IF([2]道具信息!F359="","",[2]道具信息!F359)</f>
        <v>1</v>
      </c>
      <c r="G359" s="26">
        <f>IF([2]道具信息!G359="","",[2]道具信息!G359)</f>
        <v>1</v>
      </c>
      <c r="H359" s="26">
        <f>IF([2]道具信息!H359="","",[2]道具信息!H359)</f>
        <v>1</v>
      </c>
      <c r="I359" s="26">
        <f>IF([2]道具信息!I359="","",[2]道具信息!I359)</f>
        <v>35</v>
      </c>
      <c r="J359" s="26">
        <f>IF([2]道具信息!J359="","",[2]道具信息!J359)</f>
        <v>35</v>
      </c>
      <c r="K359" s="26">
        <f>IF([2]道具信息!K359="","",[2]道具信息!K359)</f>
        <v>35</v>
      </c>
      <c r="L359" s="26" t="str">
        <f>IF([2]道具信息!L359="","",[2]道具信息!L359)</f>
        <v>使用后随机获得1件品质为绿色的装备</v>
      </c>
      <c r="M359" s="26" t="str">
        <f>IF([2]道具信息!M359="","",[2]道具信息!M359)</f>
        <v/>
      </c>
      <c r="N359" s="26" t="str">
        <f>IF([2]道具信息!N359="","",[2]道具信息!N359)</f>
        <v/>
      </c>
      <c r="O359" s="26" t="str">
        <f>IF([2]道具信息!O359="","",[2]道具信息!O359)</f>
        <v/>
      </c>
      <c r="P359" s="26" t="str">
        <f>IF([2]道具信息!P359="","",[2]道具信息!P359)</f>
        <v/>
      </c>
      <c r="Q359" s="26" t="str">
        <f>IF([2]道具信息!Q359="","",[2]道具信息!Q359)</f>
        <v/>
      </c>
    </row>
    <row r="360" spans="3:17" x14ac:dyDescent="0.15">
      <c r="C360" s="26">
        <f>IF([2]道具信息!C360="","",[2]道具信息!C360)</f>
        <v>21252</v>
      </c>
      <c r="D360" s="26" t="str">
        <f>IF([2]道具信息!D360="","",[2]道具信息!D360)</f>
        <v>蓝色装备宝箱</v>
      </c>
      <c r="E360" s="26">
        <f>IF([2]道具信息!E360="","",[2]道具信息!E360)</f>
        <v>75</v>
      </c>
      <c r="F360" s="26">
        <f>IF([2]道具信息!F360="","",[2]道具信息!F360)</f>
        <v>1</v>
      </c>
      <c r="G360" s="26">
        <f>IF([2]道具信息!G360="","",[2]道具信息!G360)</f>
        <v>1</v>
      </c>
      <c r="H360" s="26">
        <f>IF([2]道具信息!H360="","",[2]道具信息!H360)</f>
        <v>1</v>
      </c>
      <c r="I360" s="26">
        <f>IF([2]道具信息!I360="","",[2]道具信息!I360)</f>
        <v>75</v>
      </c>
      <c r="J360" s="26">
        <f>IF([2]道具信息!J360="","",[2]道具信息!J360)</f>
        <v>75</v>
      </c>
      <c r="K360" s="26">
        <f>IF([2]道具信息!K360="","",[2]道具信息!K360)</f>
        <v>75</v>
      </c>
      <c r="L360" s="26" t="str">
        <f>IF([2]道具信息!L360="","",[2]道具信息!L360)</f>
        <v>使用后随机获得1件品质为蓝色的装备</v>
      </c>
      <c r="M360" s="26" t="str">
        <f>IF([2]道具信息!M360="","",[2]道具信息!M360)</f>
        <v/>
      </c>
      <c r="N360" s="26" t="str">
        <f>IF([2]道具信息!N360="","",[2]道具信息!N360)</f>
        <v/>
      </c>
      <c r="O360" s="26" t="str">
        <f>IF([2]道具信息!O360="","",[2]道具信息!O360)</f>
        <v/>
      </c>
      <c r="P360" s="26" t="str">
        <f>IF([2]道具信息!P360="","",[2]道具信息!P360)</f>
        <v/>
      </c>
      <c r="Q360" s="26" t="str">
        <f>IF([2]道具信息!Q360="","",[2]道具信息!Q360)</f>
        <v/>
      </c>
    </row>
    <row r="361" spans="3:17" x14ac:dyDescent="0.15">
      <c r="C361" s="26">
        <f>IF([2]道具信息!C361="","",[2]道具信息!C361)</f>
        <v>21253</v>
      </c>
      <c r="D361" s="26" t="str">
        <f>IF([2]道具信息!D361="","",[2]道具信息!D361)</f>
        <v>紫色装备宝箱</v>
      </c>
      <c r="E361" s="26">
        <f>IF([2]道具信息!E361="","",[2]道具信息!E361)</f>
        <v>150</v>
      </c>
      <c r="F361" s="26">
        <f>IF([2]道具信息!F361="","",[2]道具信息!F361)</f>
        <v>1</v>
      </c>
      <c r="G361" s="26">
        <f>IF([2]道具信息!G361="","",[2]道具信息!G361)</f>
        <v>1</v>
      </c>
      <c r="H361" s="26">
        <f>IF([2]道具信息!H361="","",[2]道具信息!H361)</f>
        <v>1</v>
      </c>
      <c r="I361" s="26">
        <f>IF([2]道具信息!I361="","",[2]道具信息!I361)</f>
        <v>150</v>
      </c>
      <c r="J361" s="26">
        <f>IF([2]道具信息!J361="","",[2]道具信息!J361)</f>
        <v>150</v>
      </c>
      <c r="K361" s="26">
        <f>IF([2]道具信息!K361="","",[2]道具信息!K361)</f>
        <v>150</v>
      </c>
      <c r="L361" s="26" t="str">
        <f>IF([2]道具信息!L361="","",[2]道具信息!L361)</f>
        <v>使用后随机获得1件品质为紫色的装备</v>
      </c>
      <c r="M361" s="26" t="str">
        <f>IF([2]道具信息!M361="","",[2]道具信息!M361)</f>
        <v/>
      </c>
      <c r="N361" s="26" t="str">
        <f>IF([2]道具信息!N361="","",[2]道具信息!N361)</f>
        <v/>
      </c>
      <c r="O361" s="26" t="str">
        <f>IF([2]道具信息!O361="","",[2]道具信息!O361)</f>
        <v/>
      </c>
      <c r="P361" s="26" t="str">
        <f>IF([2]道具信息!P361="","",[2]道具信息!P361)</f>
        <v/>
      </c>
      <c r="Q361" s="26" t="str">
        <f>IF([2]道具信息!Q361="","",[2]道具信息!Q361)</f>
        <v/>
      </c>
    </row>
    <row r="362" spans="3:17" x14ac:dyDescent="0.15">
      <c r="C362" s="26">
        <f>IF([2]道具信息!C362="","",[2]道具信息!C362)</f>
        <v>21254</v>
      </c>
      <c r="D362" s="26" t="str">
        <f>IF([2]道具信息!D362="","",[2]道具信息!D362)</f>
        <v>橙色装备宝箱</v>
      </c>
      <c r="E362" s="26">
        <f>IF([2]道具信息!E362="","",[2]道具信息!E362)</f>
        <v>320</v>
      </c>
      <c r="F362" s="26">
        <f>IF([2]道具信息!F362="","",[2]道具信息!F362)</f>
        <v>1</v>
      </c>
      <c r="G362" s="26">
        <f>IF([2]道具信息!G362="","",[2]道具信息!G362)</f>
        <v>1</v>
      </c>
      <c r="H362" s="26">
        <f>IF([2]道具信息!H362="","",[2]道具信息!H362)</f>
        <v>1</v>
      </c>
      <c r="I362" s="26">
        <f>IF([2]道具信息!I362="","",[2]道具信息!I362)</f>
        <v>320</v>
      </c>
      <c r="J362" s="26">
        <f>IF([2]道具信息!J362="","",[2]道具信息!J362)</f>
        <v>320</v>
      </c>
      <c r="K362" s="26">
        <f>IF([2]道具信息!K362="","",[2]道具信息!K362)</f>
        <v>320</v>
      </c>
      <c r="L362" s="26" t="str">
        <f>IF([2]道具信息!L362="","",[2]道具信息!L362)</f>
        <v>使用后随机获得1件品质为橙色的装备</v>
      </c>
      <c r="M362" s="26" t="str">
        <f>IF([2]道具信息!M362="","",[2]道具信息!M362)</f>
        <v/>
      </c>
      <c r="N362" s="26" t="str">
        <f>IF([2]道具信息!N362="","",[2]道具信息!N362)</f>
        <v/>
      </c>
      <c r="O362" s="26" t="str">
        <f>IF([2]道具信息!O362="","",[2]道具信息!O362)</f>
        <v/>
      </c>
      <c r="P362" s="26" t="str">
        <f>IF([2]道具信息!P362="","",[2]道具信息!P362)</f>
        <v/>
      </c>
      <c r="Q362" s="26" t="str">
        <f>IF([2]道具信息!Q362="","",[2]道具信息!Q362)</f>
        <v/>
      </c>
    </row>
    <row r="363" spans="3:17" x14ac:dyDescent="0.15">
      <c r="C363" s="26">
        <f>IF([2]道具信息!C363="","",[2]道具信息!C363)</f>
        <v>21255</v>
      </c>
      <c r="D363" s="26" t="str">
        <f>IF([2]道具信息!D363="","",[2]道具信息!D363)</f>
        <v>红色装备宝箱</v>
      </c>
      <c r="E363" s="26">
        <f>IF([2]道具信息!E363="","",[2]道具信息!E363)</f>
        <v>2400</v>
      </c>
      <c r="F363" s="26">
        <f>IF([2]道具信息!F363="","",[2]道具信息!F363)</f>
        <v>1</v>
      </c>
      <c r="G363" s="26">
        <f>IF([2]道具信息!G363="","",[2]道具信息!G363)</f>
        <v>1</v>
      </c>
      <c r="H363" s="26">
        <f>IF([2]道具信息!H363="","",[2]道具信息!H363)</f>
        <v>1</v>
      </c>
      <c r="I363" s="26">
        <f>IF([2]道具信息!I363="","",[2]道具信息!I363)</f>
        <v>2400</v>
      </c>
      <c r="J363" s="26">
        <f>IF([2]道具信息!J363="","",[2]道具信息!J363)</f>
        <v>2400</v>
      </c>
      <c r="K363" s="26">
        <f>IF([2]道具信息!K363="","",[2]道具信息!K363)</f>
        <v>2400</v>
      </c>
      <c r="L363" s="26" t="str">
        <f>IF([2]道具信息!L363="","",[2]道具信息!L363)</f>
        <v>使用后随机获得1件品质为红色的装备</v>
      </c>
      <c r="M363" s="26" t="str">
        <f>IF([2]道具信息!M363="","",[2]道具信息!M363)</f>
        <v/>
      </c>
      <c r="N363" s="26" t="str">
        <f>IF([2]道具信息!N363="","",[2]道具信息!N363)</f>
        <v/>
      </c>
      <c r="O363" s="26" t="str">
        <f>IF([2]道具信息!O363="","",[2]道具信息!O363)</f>
        <v/>
      </c>
      <c r="P363" s="26" t="str">
        <f>IF([2]道具信息!P363="","",[2]道具信息!P363)</f>
        <v/>
      </c>
      <c r="Q363" s="26" t="str">
        <f>IF([2]道具信息!Q363="","",[2]道具信息!Q363)</f>
        <v/>
      </c>
    </row>
    <row r="364" spans="3:17" x14ac:dyDescent="0.15">
      <c r="C364" s="26" t="str">
        <f>IF([2]道具信息!C364="","",[2]道具信息!C364)</f>
        <v/>
      </c>
      <c r="D364" s="26" t="str">
        <f>IF([2]道具信息!D364="","",[2]道具信息!D364)</f>
        <v/>
      </c>
      <c r="E364" s="26" t="str">
        <f>IF([2]道具信息!E364="","",[2]道具信息!E364)</f>
        <v/>
      </c>
      <c r="F364" s="26" t="str">
        <f>IF([2]道具信息!F364="","",[2]道具信息!F364)</f>
        <v/>
      </c>
      <c r="G364" s="26" t="str">
        <f>IF([2]道具信息!G364="","",[2]道具信息!G364)</f>
        <v/>
      </c>
      <c r="H364" s="26" t="str">
        <f>IF([2]道具信息!H364="","",[2]道具信息!H364)</f>
        <v/>
      </c>
      <c r="I364" s="26" t="str">
        <f>IF([2]道具信息!I364="","",[2]道具信息!I364)</f>
        <v/>
      </c>
      <c r="J364" s="26" t="str">
        <f>IF([2]道具信息!J364="","",[2]道具信息!J364)</f>
        <v/>
      </c>
      <c r="K364" s="26" t="str">
        <f>IF([2]道具信息!K364="","",[2]道具信息!K364)</f>
        <v/>
      </c>
      <c r="L364" s="26" t="str">
        <f>IF([2]道具信息!L364="","",[2]道具信息!L364)</f>
        <v/>
      </c>
      <c r="M364" s="26" t="str">
        <f>IF([2]道具信息!M364="","",[2]道具信息!M364)</f>
        <v/>
      </c>
      <c r="N364" s="26" t="str">
        <f>IF([2]道具信息!N364="","",[2]道具信息!N364)</f>
        <v/>
      </c>
      <c r="O364" s="26" t="str">
        <f>IF([2]道具信息!O364="","",[2]道具信息!O364)</f>
        <v/>
      </c>
      <c r="P364" s="26" t="str">
        <f>IF([2]道具信息!P364="","",[2]道具信息!P364)</f>
        <v/>
      </c>
      <c r="Q364" s="26" t="str">
        <f>IF([2]道具信息!Q364="","",[2]道具信息!Q364)</f>
        <v/>
      </c>
    </row>
    <row r="365" spans="3:17" x14ac:dyDescent="0.15">
      <c r="C365" s="26">
        <f>IF([2]道具信息!C365="","",[2]道具信息!C365)</f>
        <v>20052</v>
      </c>
      <c r="D365" s="26" t="str">
        <f>IF([2]道具信息!D365="","",[2]道具信息!D365)</f>
        <v>练军心得·觉</v>
      </c>
      <c r="E365" s="26">
        <f>IF([2]道具信息!E365="","",[2]道具信息!E365)</f>
        <v>40</v>
      </c>
      <c r="F365" s="26">
        <f>IF([2]道具信息!F365="","",[2]道具信息!F365)</f>
        <v>1</v>
      </c>
      <c r="G365" s="26">
        <f>IF([2]道具信息!G365="","",[2]道具信息!G365)</f>
        <v>1</v>
      </c>
      <c r="H365" s="26">
        <f>IF([2]道具信息!H365="","",[2]道具信息!H365)</f>
        <v>1</v>
      </c>
      <c r="I365" s="26">
        <f>IF([2]道具信息!I365="","",[2]道具信息!I365)</f>
        <v>40</v>
      </c>
      <c r="J365" s="26">
        <f>IF([2]道具信息!J365="","",[2]道具信息!J365)</f>
        <v>40</v>
      </c>
      <c r="K365" s="26">
        <f>IF([2]道具信息!K365="","",[2]道具信息!K365)</f>
        <v>40</v>
      </c>
      <c r="L365" s="26" t="str">
        <f>IF([2]道具信息!L365="","",[2]道具信息!L365)</f>
        <v>掌军之策，厉兵秣马，可用于武将觉醒</v>
      </c>
      <c r="M365" s="26" t="str">
        <f>IF([2]道具信息!M365="","",[2]道具信息!M365)</f>
        <v/>
      </c>
      <c r="N365" s="26" t="str">
        <f>IF([2]道具信息!N365="","",[2]道具信息!N365)</f>
        <v/>
      </c>
      <c r="O365" s="26" t="str">
        <f>IF([2]道具信息!O365="","",[2]道具信息!O365)</f>
        <v/>
      </c>
      <c r="P365" s="26" t="str">
        <f>IF([2]道具信息!P365="","",[2]道具信息!P365)</f>
        <v/>
      </c>
      <c r="Q365" s="26" t="str">
        <f>IF([2]道具信息!Q365="","",[2]道具信息!Q365)</f>
        <v/>
      </c>
    </row>
    <row r="366" spans="3:17" x14ac:dyDescent="0.15">
      <c r="C366" s="26">
        <f>IF([2]道具信息!C366="","",[2]道具信息!C366)</f>
        <v>20053</v>
      </c>
      <c r="D366" s="26" t="str">
        <f>IF([2]道具信息!D366="","",[2]道具信息!D366)</f>
        <v>策论心得·觉</v>
      </c>
      <c r="E366" s="26">
        <f>IF([2]道具信息!E366="","",[2]道具信息!E366)</f>
        <v>40</v>
      </c>
      <c r="F366" s="26">
        <f>IF([2]道具信息!F366="","",[2]道具信息!F366)</f>
        <v>1</v>
      </c>
      <c r="G366" s="26">
        <f>IF([2]道具信息!G366="","",[2]道具信息!G366)</f>
        <v>1</v>
      </c>
      <c r="H366" s="26">
        <f>IF([2]道具信息!H366="","",[2]道具信息!H366)</f>
        <v>1</v>
      </c>
      <c r="I366" s="26">
        <f>IF([2]道具信息!I366="","",[2]道具信息!I366)</f>
        <v>40</v>
      </c>
      <c r="J366" s="26">
        <f>IF([2]道具信息!J366="","",[2]道具信息!J366)</f>
        <v>40</v>
      </c>
      <c r="K366" s="26">
        <f>IF([2]道具信息!K366="","",[2]道具信息!K366)</f>
        <v>40</v>
      </c>
      <c r="L366" s="26" t="str">
        <f>IF([2]道具信息!L366="","",[2]道具信息!L366)</f>
        <v>书山万卷，算无遗策，可用于武将觉醒</v>
      </c>
      <c r="M366" s="26" t="str">
        <f>IF([2]道具信息!M366="","",[2]道具信息!M366)</f>
        <v/>
      </c>
      <c r="N366" s="26" t="str">
        <f>IF([2]道具信息!N366="","",[2]道具信息!N366)</f>
        <v/>
      </c>
      <c r="O366" s="26" t="str">
        <f>IF([2]道具信息!O366="","",[2]道具信息!O366)</f>
        <v/>
      </c>
      <c r="P366" s="26" t="str">
        <f>IF([2]道具信息!P366="","",[2]道具信息!P366)</f>
        <v/>
      </c>
      <c r="Q366" s="26" t="str">
        <f>IF([2]道具信息!Q366="","",[2]道具信息!Q366)</f>
        <v/>
      </c>
    </row>
    <row r="367" spans="3:17" x14ac:dyDescent="0.15">
      <c r="C367" s="26">
        <f>IF([2]道具信息!C367="","",[2]道具信息!C367)</f>
        <v>20054</v>
      </c>
      <c r="D367" s="26" t="str">
        <f>IF([2]道具信息!D367="","",[2]道具信息!D367)</f>
        <v>兵书心得·觉</v>
      </c>
      <c r="E367" s="26">
        <f>IF([2]道具信息!E367="","",[2]道具信息!E367)</f>
        <v>40</v>
      </c>
      <c r="F367" s="26">
        <f>IF([2]道具信息!F367="","",[2]道具信息!F367)</f>
        <v>1</v>
      </c>
      <c r="G367" s="26">
        <f>IF([2]道具信息!G367="","",[2]道具信息!G367)</f>
        <v>1</v>
      </c>
      <c r="H367" s="26">
        <f>IF([2]道具信息!H367="","",[2]道具信息!H367)</f>
        <v>1</v>
      </c>
      <c r="I367" s="26">
        <f>IF([2]道具信息!I367="","",[2]道具信息!I367)</f>
        <v>40</v>
      </c>
      <c r="J367" s="26">
        <f>IF([2]道具信息!J367="","",[2]道具信息!J367)</f>
        <v>40</v>
      </c>
      <c r="K367" s="26">
        <f>IF([2]道具信息!K367="","",[2]道具信息!K367)</f>
        <v>40</v>
      </c>
      <c r="L367" s="26" t="str">
        <f>IF([2]道具信息!L367="","",[2]道具信息!L367)</f>
        <v>千军万马，文韬武略，可用于武将觉醒</v>
      </c>
      <c r="M367" s="26" t="str">
        <f>IF([2]道具信息!M367="","",[2]道具信息!M367)</f>
        <v/>
      </c>
      <c r="N367" s="26" t="str">
        <f>IF([2]道具信息!N367="","",[2]道具信息!N367)</f>
        <v/>
      </c>
      <c r="O367" s="26" t="str">
        <f>IF([2]道具信息!O367="","",[2]道具信息!O367)</f>
        <v/>
      </c>
      <c r="P367" s="26" t="str">
        <f>IF([2]道具信息!P367="","",[2]道具信息!P367)</f>
        <v/>
      </c>
      <c r="Q367" s="26" t="str">
        <f>IF([2]道具信息!Q367="","",[2]道具信息!Q367)</f>
        <v/>
      </c>
    </row>
    <row r="368" spans="3:17" x14ac:dyDescent="0.15">
      <c r="C368" s="26" t="str">
        <f>IF([2]道具信息!C368="","",[2]道具信息!C368)</f>
        <v/>
      </c>
      <c r="D368" s="26" t="str">
        <f>IF([2]道具信息!D368="","",[2]道具信息!D368)</f>
        <v/>
      </c>
      <c r="E368" s="26" t="str">
        <f>IF([2]道具信息!E368="","",[2]道具信息!E368)</f>
        <v/>
      </c>
      <c r="F368" s="26" t="str">
        <f>IF([2]道具信息!F368="","",[2]道具信息!F368)</f>
        <v/>
      </c>
      <c r="G368" s="26" t="str">
        <f>IF([2]道具信息!G368="","",[2]道具信息!G368)</f>
        <v/>
      </c>
      <c r="H368" s="26" t="str">
        <f>IF([2]道具信息!H368="","",[2]道具信息!H368)</f>
        <v/>
      </c>
      <c r="I368" s="26" t="str">
        <f>IF([2]道具信息!I368="","",[2]道具信息!I368)</f>
        <v/>
      </c>
      <c r="J368" s="26" t="str">
        <f>IF([2]道具信息!J368="","",[2]道具信息!J368)</f>
        <v/>
      </c>
      <c r="K368" s="26" t="str">
        <f>IF([2]道具信息!K368="","",[2]道具信息!K368)</f>
        <v/>
      </c>
      <c r="L368" s="26" t="str">
        <f>IF([2]道具信息!L368="","",[2]道具信息!L368)</f>
        <v/>
      </c>
      <c r="M368" s="26" t="str">
        <f>IF([2]道具信息!M368="","",[2]道具信息!M368)</f>
        <v/>
      </c>
      <c r="N368" s="26" t="str">
        <f>IF([2]道具信息!N368="","",[2]道具信息!N368)</f>
        <v/>
      </c>
      <c r="O368" s="26" t="str">
        <f>IF([2]道具信息!O368="","",[2]道具信息!O368)</f>
        <v/>
      </c>
      <c r="P368" s="26" t="str">
        <f>IF([2]道具信息!P368="","",[2]道具信息!P368)</f>
        <v/>
      </c>
      <c r="Q368" s="26" t="str">
        <f>IF([2]道具信息!Q368="","",[2]道具信息!Q368)</f>
        <v/>
      </c>
    </row>
    <row r="369" spans="3:17" x14ac:dyDescent="0.15">
      <c r="C369" s="26">
        <f>IF([2]道具信息!C369="","",[2]道具信息!C369)</f>
        <v>20055</v>
      </c>
      <c r="D369" s="26" t="str">
        <f>IF([2]道具信息!D369="","",[2]道具信息!D369)</f>
        <v>虎咬佩剑·觉</v>
      </c>
      <c r="E369" s="26">
        <f>IF([2]道具信息!E369="","",[2]道具信息!E369)</f>
        <v>60</v>
      </c>
      <c r="F369" s="26">
        <f>IF([2]道具信息!F369="","",[2]道具信息!F369)</f>
        <v>1</v>
      </c>
      <c r="G369" s="26">
        <f>IF([2]道具信息!G369="","",[2]道具信息!G369)</f>
        <v>1</v>
      </c>
      <c r="H369" s="26">
        <f>IF([2]道具信息!H369="","",[2]道具信息!H369)</f>
        <v>1</v>
      </c>
      <c r="I369" s="26">
        <f>IF([2]道具信息!I369="","",[2]道具信息!I369)</f>
        <v>60</v>
      </c>
      <c r="J369" s="26">
        <f>IF([2]道具信息!J369="","",[2]道具信息!J369)</f>
        <v>60</v>
      </c>
      <c r="K369" s="26">
        <f>IF([2]道具信息!K369="","",[2]道具信息!K369)</f>
        <v>60</v>
      </c>
      <c r="L369" s="26" t="str">
        <f>IF([2]道具信息!L369="","",[2]道具信息!L369)</f>
        <v>卧虎藏龙，剑及履及，可用于武将觉醒</v>
      </c>
      <c r="M369" s="26" t="str">
        <f>IF([2]道具信息!M369="","",[2]道具信息!M369)</f>
        <v/>
      </c>
      <c r="N369" s="26" t="str">
        <f>IF([2]道具信息!N369="","",[2]道具信息!N369)</f>
        <v/>
      </c>
      <c r="O369" s="26" t="str">
        <f>IF([2]道具信息!O369="","",[2]道具信息!O369)</f>
        <v/>
      </c>
      <c r="P369" s="26" t="str">
        <f>IF([2]道具信息!P369="","",[2]道具信息!P369)</f>
        <v/>
      </c>
      <c r="Q369" s="26" t="str">
        <f>IF([2]道具信息!Q369="","",[2]道具信息!Q369)</f>
        <v/>
      </c>
    </row>
    <row r="370" spans="3:17" x14ac:dyDescent="0.15">
      <c r="C370" s="26">
        <f>IF([2]道具信息!C370="","",[2]道具信息!C370)</f>
        <v>20056</v>
      </c>
      <c r="D370" s="26" t="str">
        <f>IF([2]道具信息!D370="","",[2]道具信息!D370)</f>
        <v>灵蛇佩剑·觉</v>
      </c>
      <c r="E370" s="26">
        <f>IF([2]道具信息!E370="","",[2]道具信息!E370)</f>
        <v>60</v>
      </c>
      <c r="F370" s="26">
        <f>IF([2]道具信息!F370="","",[2]道具信息!F370)</f>
        <v>1</v>
      </c>
      <c r="G370" s="26">
        <f>IF([2]道具信息!G370="","",[2]道具信息!G370)</f>
        <v>1</v>
      </c>
      <c r="H370" s="26">
        <f>IF([2]道具信息!H370="","",[2]道具信息!H370)</f>
        <v>1</v>
      </c>
      <c r="I370" s="26">
        <f>IF([2]道具信息!I370="","",[2]道具信息!I370)</f>
        <v>60</v>
      </c>
      <c r="J370" s="26">
        <f>IF([2]道具信息!J370="","",[2]道具信息!J370)</f>
        <v>60</v>
      </c>
      <c r="K370" s="26">
        <f>IF([2]道具信息!K370="","",[2]道具信息!K370)</f>
        <v>60</v>
      </c>
      <c r="L370" s="26" t="str">
        <f>IF([2]道具信息!L370="","",[2]道具信息!L370)</f>
        <v>灵蛇之珠，剑态箫心，可用于武将觉醒</v>
      </c>
      <c r="M370" s="26" t="str">
        <f>IF([2]道具信息!M370="","",[2]道具信息!M370)</f>
        <v/>
      </c>
      <c r="N370" s="26" t="str">
        <f>IF([2]道具信息!N370="","",[2]道具信息!N370)</f>
        <v/>
      </c>
      <c r="O370" s="26" t="str">
        <f>IF([2]道具信息!O370="","",[2]道具信息!O370)</f>
        <v/>
      </c>
      <c r="P370" s="26" t="str">
        <f>IF([2]道具信息!P370="","",[2]道具信息!P370)</f>
        <v/>
      </c>
      <c r="Q370" s="26" t="str">
        <f>IF([2]道具信息!Q370="","",[2]道具信息!Q370)</f>
        <v/>
      </c>
    </row>
    <row r="371" spans="3:17" x14ac:dyDescent="0.15">
      <c r="C371" s="26">
        <f>IF([2]道具信息!C371="","",[2]道具信息!C371)</f>
        <v>20057</v>
      </c>
      <c r="D371" s="26" t="str">
        <f>IF([2]道具信息!D371="","",[2]道具信息!D371)</f>
        <v>狼头佩剑·觉</v>
      </c>
      <c r="E371" s="26">
        <f>IF([2]道具信息!E371="","",[2]道具信息!E371)</f>
        <v>60</v>
      </c>
      <c r="F371" s="26">
        <f>IF([2]道具信息!F371="","",[2]道具信息!F371)</f>
        <v>1</v>
      </c>
      <c r="G371" s="26">
        <f>IF([2]道具信息!G371="","",[2]道具信息!G371)</f>
        <v>1</v>
      </c>
      <c r="H371" s="26">
        <f>IF([2]道具信息!H371="","",[2]道具信息!H371)</f>
        <v>1</v>
      </c>
      <c r="I371" s="26">
        <f>IF([2]道具信息!I371="","",[2]道具信息!I371)</f>
        <v>60</v>
      </c>
      <c r="J371" s="26">
        <f>IF([2]道具信息!J371="","",[2]道具信息!J371)</f>
        <v>60</v>
      </c>
      <c r="K371" s="26">
        <f>IF([2]道具信息!K371="","",[2]道具信息!K371)</f>
        <v>60</v>
      </c>
      <c r="L371" s="26" t="str">
        <f>IF([2]道具信息!L371="","",[2]道具信息!L371)</f>
        <v>封狼居胥，剑气纵横，可用于武将觉醒</v>
      </c>
      <c r="M371" s="26" t="str">
        <f>IF([2]道具信息!M371="","",[2]道具信息!M371)</f>
        <v/>
      </c>
      <c r="N371" s="26" t="str">
        <f>IF([2]道具信息!N371="","",[2]道具信息!N371)</f>
        <v/>
      </c>
      <c r="O371" s="26" t="str">
        <f>IF([2]道具信息!O371="","",[2]道具信息!O371)</f>
        <v/>
      </c>
      <c r="P371" s="26" t="str">
        <f>IF([2]道具信息!P371="","",[2]道具信息!P371)</f>
        <v/>
      </c>
      <c r="Q371" s="26" t="str">
        <f>IF([2]道具信息!Q371="","",[2]道具信息!Q371)</f>
        <v/>
      </c>
    </row>
    <row r="372" spans="3:17" x14ac:dyDescent="0.15">
      <c r="C372" s="26" t="str">
        <f>IF([2]道具信息!C372="","",[2]道具信息!C372)</f>
        <v/>
      </c>
      <c r="D372" s="26" t="str">
        <f>IF([2]道具信息!D372="","",[2]道具信息!D372)</f>
        <v/>
      </c>
      <c r="E372" s="26" t="str">
        <f>IF([2]道具信息!E372="","",[2]道具信息!E372)</f>
        <v/>
      </c>
      <c r="F372" s="26" t="str">
        <f>IF([2]道具信息!F372="","",[2]道具信息!F372)</f>
        <v/>
      </c>
      <c r="G372" s="26" t="str">
        <f>IF([2]道具信息!G372="","",[2]道具信息!G372)</f>
        <v/>
      </c>
      <c r="H372" s="26" t="str">
        <f>IF([2]道具信息!H372="","",[2]道具信息!H372)</f>
        <v/>
      </c>
      <c r="I372" s="26" t="str">
        <f>IF([2]道具信息!I372="","",[2]道具信息!I372)</f>
        <v/>
      </c>
      <c r="J372" s="26" t="str">
        <f>IF([2]道具信息!J372="","",[2]道具信息!J372)</f>
        <v/>
      </c>
      <c r="K372" s="26" t="str">
        <f>IF([2]道具信息!K372="","",[2]道具信息!K372)</f>
        <v/>
      </c>
      <c r="L372" s="26" t="str">
        <f>IF([2]道具信息!L372="","",[2]道具信息!L372)</f>
        <v/>
      </c>
      <c r="M372" s="26" t="str">
        <f>IF([2]道具信息!M372="","",[2]道具信息!M372)</f>
        <v/>
      </c>
      <c r="N372" s="26" t="str">
        <f>IF([2]道具信息!N372="","",[2]道具信息!N372)</f>
        <v/>
      </c>
      <c r="O372" s="26" t="str">
        <f>IF([2]道具信息!O372="","",[2]道具信息!O372)</f>
        <v/>
      </c>
      <c r="P372" s="26" t="str">
        <f>IF([2]道具信息!P372="","",[2]道具信息!P372)</f>
        <v/>
      </c>
      <c r="Q372" s="26" t="str">
        <f>IF([2]道具信息!Q372="","",[2]道具信息!Q372)</f>
        <v/>
      </c>
    </row>
    <row r="373" spans="3:17" x14ac:dyDescent="0.15">
      <c r="C373" s="26">
        <f>IF([2]道具信息!C373="","",[2]道具信息!C373)</f>
        <v>20059</v>
      </c>
      <c r="D373" s="26" t="str">
        <f>IF([2]道具信息!D373="","",[2]道具信息!D373)</f>
        <v>勇之授印·觉</v>
      </c>
      <c r="E373" s="26">
        <f>IF([2]道具信息!E373="","",[2]道具信息!E373)</f>
        <v>80</v>
      </c>
      <c r="F373" s="26">
        <f>IF([2]道具信息!F373="","",[2]道具信息!F373)</f>
        <v>1</v>
      </c>
      <c r="G373" s="26">
        <f>IF([2]道具信息!G373="","",[2]道具信息!G373)</f>
        <v>1</v>
      </c>
      <c r="H373" s="26">
        <f>IF([2]道具信息!H373="","",[2]道具信息!H373)</f>
        <v>1</v>
      </c>
      <c r="I373" s="26">
        <f>IF([2]道具信息!I373="","",[2]道具信息!I373)</f>
        <v>80</v>
      </c>
      <c r="J373" s="26">
        <f>IF([2]道具信息!J373="","",[2]道具信息!J373)</f>
        <v>80</v>
      </c>
      <c r="K373" s="26">
        <f>IF([2]道具信息!K373="","",[2]道具信息!K373)</f>
        <v>80</v>
      </c>
      <c r="L373" s="26" t="str">
        <f>IF([2]道具信息!L373="","",[2]道具信息!L373)</f>
        <v>拔山盖世，气吞山河，可用于武将觉醒</v>
      </c>
      <c r="M373" s="26" t="str">
        <f>IF([2]道具信息!M373="","",[2]道具信息!M373)</f>
        <v/>
      </c>
      <c r="N373" s="26" t="str">
        <f>IF([2]道具信息!N373="","",[2]道具信息!N373)</f>
        <v/>
      </c>
      <c r="O373" s="26" t="str">
        <f>IF([2]道具信息!O373="","",[2]道具信息!O373)</f>
        <v/>
      </c>
      <c r="P373" s="26" t="str">
        <f>IF([2]道具信息!P373="","",[2]道具信息!P373)</f>
        <v/>
      </c>
      <c r="Q373" s="26" t="str">
        <f>IF([2]道具信息!Q373="","",[2]道具信息!Q373)</f>
        <v/>
      </c>
    </row>
    <row r="374" spans="3:17" x14ac:dyDescent="0.15">
      <c r="C374" s="26">
        <f>IF([2]道具信息!C374="","",[2]道具信息!C374)</f>
        <v>20060</v>
      </c>
      <c r="D374" s="26" t="str">
        <f>IF([2]道具信息!D374="","",[2]道具信息!D374)</f>
        <v>谋之授印·觉</v>
      </c>
      <c r="E374" s="26">
        <f>IF([2]道具信息!E374="","",[2]道具信息!E374)</f>
        <v>80</v>
      </c>
      <c r="F374" s="26">
        <f>IF([2]道具信息!F374="","",[2]道具信息!F374)</f>
        <v>1</v>
      </c>
      <c r="G374" s="26">
        <f>IF([2]道具信息!G374="","",[2]道具信息!G374)</f>
        <v>1</v>
      </c>
      <c r="H374" s="26">
        <f>IF([2]道具信息!H374="","",[2]道具信息!H374)</f>
        <v>1</v>
      </c>
      <c r="I374" s="26">
        <f>IF([2]道具信息!I374="","",[2]道具信息!I374)</f>
        <v>80</v>
      </c>
      <c r="J374" s="26">
        <f>IF([2]道具信息!J374="","",[2]道具信息!J374)</f>
        <v>80</v>
      </c>
      <c r="K374" s="26">
        <f>IF([2]道具信息!K374="","",[2]道具信息!K374)</f>
        <v>80</v>
      </c>
      <c r="L374" s="26" t="str">
        <f>IF([2]道具信息!L374="","",[2]道具信息!L374)</f>
        <v>渊谋远略，运筹帷幄，可用于武将觉醒</v>
      </c>
      <c r="M374" s="26" t="str">
        <f>IF([2]道具信息!M374="","",[2]道具信息!M374)</f>
        <v/>
      </c>
      <c r="N374" s="26" t="str">
        <f>IF([2]道具信息!N374="","",[2]道具信息!N374)</f>
        <v/>
      </c>
      <c r="O374" s="26" t="str">
        <f>IF([2]道具信息!O374="","",[2]道具信息!O374)</f>
        <v/>
      </c>
      <c r="P374" s="26" t="str">
        <f>IF([2]道具信息!P374="","",[2]道具信息!P374)</f>
        <v/>
      </c>
      <c r="Q374" s="26" t="str">
        <f>IF([2]道具信息!Q374="","",[2]道具信息!Q374)</f>
        <v/>
      </c>
    </row>
    <row r="375" spans="3:17" x14ac:dyDescent="0.15">
      <c r="C375" s="26">
        <f>IF([2]道具信息!C375="","",[2]道具信息!C375)</f>
        <v>20061</v>
      </c>
      <c r="D375" s="26" t="str">
        <f>IF([2]道具信息!D375="","",[2]道具信息!D375)</f>
        <v>御之授印·觉</v>
      </c>
      <c r="E375" s="26">
        <f>IF([2]道具信息!E375="","",[2]道具信息!E375)</f>
        <v>80</v>
      </c>
      <c r="F375" s="26">
        <f>IF([2]道具信息!F375="","",[2]道具信息!F375)</f>
        <v>1</v>
      </c>
      <c r="G375" s="26">
        <f>IF([2]道具信息!G375="","",[2]道具信息!G375)</f>
        <v>1</v>
      </c>
      <c r="H375" s="26">
        <f>IF([2]道具信息!H375="","",[2]道具信息!H375)</f>
        <v>1</v>
      </c>
      <c r="I375" s="26">
        <f>IF([2]道具信息!I375="","",[2]道具信息!I375)</f>
        <v>80</v>
      </c>
      <c r="J375" s="26">
        <f>IF([2]道具信息!J375="","",[2]道具信息!J375)</f>
        <v>80</v>
      </c>
      <c r="K375" s="26">
        <f>IF([2]道具信息!K375="","",[2]道具信息!K375)</f>
        <v>80</v>
      </c>
      <c r="L375" s="26" t="str">
        <f>IF([2]道具信息!L375="","",[2]道具信息!L375)</f>
        <v>御下有方，论功行赏，可用于武将觉醒</v>
      </c>
      <c r="M375" s="26" t="str">
        <f>IF([2]道具信息!M375="","",[2]道具信息!M375)</f>
        <v/>
      </c>
      <c r="N375" s="26" t="str">
        <f>IF([2]道具信息!N375="","",[2]道具信息!N375)</f>
        <v/>
      </c>
      <c r="O375" s="26" t="str">
        <f>IF([2]道具信息!O375="","",[2]道具信息!O375)</f>
        <v/>
      </c>
      <c r="P375" s="26" t="str">
        <f>IF([2]道具信息!P375="","",[2]道具信息!P375)</f>
        <v/>
      </c>
      <c r="Q375" s="26" t="str">
        <f>IF([2]道具信息!Q375="","",[2]道具信息!Q375)</f>
        <v/>
      </c>
    </row>
    <row r="376" spans="3:17" x14ac:dyDescent="0.15">
      <c r="C376" s="26" t="str">
        <f>IF([2]道具信息!C376="","",[2]道具信息!C376)</f>
        <v/>
      </c>
      <c r="D376" s="26" t="str">
        <f>IF([2]道具信息!D376="","",[2]道具信息!D376)</f>
        <v/>
      </c>
      <c r="E376" s="26" t="str">
        <f>IF([2]道具信息!E376="","",[2]道具信息!E376)</f>
        <v/>
      </c>
      <c r="F376" s="26" t="str">
        <f>IF([2]道具信息!F376="","",[2]道具信息!F376)</f>
        <v/>
      </c>
      <c r="G376" s="26" t="str">
        <f>IF([2]道具信息!G376="","",[2]道具信息!G376)</f>
        <v/>
      </c>
      <c r="H376" s="26" t="str">
        <f>IF([2]道具信息!H376="","",[2]道具信息!H376)</f>
        <v/>
      </c>
      <c r="I376" s="26" t="str">
        <f>IF([2]道具信息!I376="","",[2]道具信息!I376)</f>
        <v/>
      </c>
      <c r="J376" s="26" t="str">
        <f>IF([2]道具信息!J376="","",[2]道具信息!J376)</f>
        <v/>
      </c>
      <c r="K376" s="26" t="str">
        <f>IF([2]道具信息!K376="","",[2]道具信息!K376)</f>
        <v/>
      </c>
      <c r="L376" s="26" t="str">
        <f>IF([2]道具信息!L376="","",[2]道具信息!L376)</f>
        <v/>
      </c>
      <c r="M376" s="26" t="str">
        <f>IF([2]道具信息!M376="","",[2]道具信息!M376)</f>
        <v/>
      </c>
      <c r="N376" s="26" t="str">
        <f>IF([2]道具信息!N376="","",[2]道具信息!N376)</f>
        <v/>
      </c>
      <c r="O376" s="26" t="str">
        <f>IF([2]道具信息!O376="","",[2]道具信息!O376)</f>
        <v/>
      </c>
      <c r="P376" s="26" t="str">
        <f>IF([2]道具信息!P376="","",[2]道具信息!P376)</f>
        <v/>
      </c>
      <c r="Q376" s="26" t="str">
        <f>IF([2]道具信息!Q376="","",[2]道具信息!Q376)</f>
        <v/>
      </c>
    </row>
    <row r="377" spans="3:17" x14ac:dyDescent="0.15">
      <c r="C377" s="26">
        <f>IF([2]道具信息!C377="","",[2]道具信息!C377)</f>
        <v>20064</v>
      </c>
      <c r="D377" s="26" t="str">
        <f>IF([2]道具信息!D377="","",[2]道具信息!D377)</f>
        <v>战阵精研·极</v>
      </c>
      <c r="E377" s="26">
        <f>IF([2]道具信息!E377="","",[2]道具信息!E377)</f>
        <v>100</v>
      </c>
      <c r="F377" s="26">
        <f>IF([2]道具信息!F377="","",[2]道具信息!F377)</f>
        <v>1</v>
      </c>
      <c r="G377" s="26">
        <f>IF([2]道具信息!G377="","",[2]道具信息!G377)</f>
        <v>1</v>
      </c>
      <c r="H377" s="26">
        <f>IF([2]道具信息!H377="","",[2]道具信息!H377)</f>
        <v>1</v>
      </c>
      <c r="I377" s="26">
        <f>IF([2]道具信息!I377="","",[2]道具信息!I377)</f>
        <v>100</v>
      </c>
      <c r="J377" s="26">
        <f>IF([2]道具信息!J377="","",[2]道具信息!J377)</f>
        <v>100</v>
      </c>
      <c r="K377" s="26">
        <f>IF([2]道具信息!K377="","",[2]道具信息!K377)</f>
        <v>100</v>
      </c>
      <c r="L377" s="26" t="str">
        <f>IF([2]道具信息!L377="","",[2]道具信息!L377)</f>
        <v>行兵布阵，勇往直前，可用于武将觉醒</v>
      </c>
      <c r="M377" s="26" t="str">
        <f>IF([2]道具信息!M377="","",[2]道具信息!M377)</f>
        <v/>
      </c>
      <c r="N377" s="26" t="str">
        <f>IF([2]道具信息!N377="","",[2]道具信息!N377)</f>
        <v/>
      </c>
      <c r="O377" s="26" t="str">
        <f>IF([2]道具信息!O377="","",[2]道具信息!O377)</f>
        <v/>
      </c>
      <c r="P377" s="26" t="str">
        <f>IF([2]道具信息!P377="","",[2]道具信息!P377)</f>
        <v/>
      </c>
      <c r="Q377" s="26" t="str">
        <f>IF([2]道具信息!Q377="","",[2]道具信息!Q377)</f>
        <v/>
      </c>
    </row>
    <row r="378" spans="3:17" x14ac:dyDescent="0.15">
      <c r="C378" s="26">
        <f>IF([2]道具信息!C378="","",[2]道具信息!C378)</f>
        <v>20065</v>
      </c>
      <c r="D378" s="26" t="str">
        <f>IF([2]道具信息!D378="","",[2]道具信息!D378)</f>
        <v>谋略精研·极</v>
      </c>
      <c r="E378" s="26">
        <f>IF([2]道具信息!E378="","",[2]道具信息!E378)</f>
        <v>100</v>
      </c>
      <c r="F378" s="26">
        <f>IF([2]道具信息!F378="","",[2]道具信息!F378)</f>
        <v>1</v>
      </c>
      <c r="G378" s="26">
        <f>IF([2]道具信息!G378="","",[2]道具信息!G378)</f>
        <v>1</v>
      </c>
      <c r="H378" s="26">
        <f>IF([2]道具信息!H378="","",[2]道具信息!H378)</f>
        <v>1</v>
      </c>
      <c r="I378" s="26">
        <f>IF([2]道具信息!I378="","",[2]道具信息!I378)</f>
        <v>100</v>
      </c>
      <c r="J378" s="26">
        <f>IF([2]道具信息!J378="","",[2]道具信息!J378)</f>
        <v>100</v>
      </c>
      <c r="K378" s="26">
        <f>IF([2]道具信息!K378="","",[2]道具信息!K378)</f>
        <v>100</v>
      </c>
      <c r="L378" s="26" t="str">
        <f>IF([2]道具信息!L378="","",[2]道具信息!L378)</f>
        <v>目达耳通，上兵伐谋，可用于武将觉醒</v>
      </c>
      <c r="M378" s="26" t="str">
        <f>IF([2]道具信息!M378="","",[2]道具信息!M378)</f>
        <v/>
      </c>
      <c r="N378" s="26" t="str">
        <f>IF([2]道具信息!N378="","",[2]道具信息!N378)</f>
        <v/>
      </c>
      <c r="O378" s="26" t="str">
        <f>IF([2]道具信息!O378="","",[2]道具信息!O378)</f>
        <v/>
      </c>
      <c r="P378" s="26" t="str">
        <f>IF([2]道具信息!P378="","",[2]道具信息!P378)</f>
        <v/>
      </c>
      <c r="Q378" s="26" t="str">
        <f>IF([2]道具信息!Q378="","",[2]道具信息!Q378)</f>
        <v/>
      </c>
    </row>
    <row r="379" spans="3:17" x14ac:dyDescent="0.15">
      <c r="C379" s="26">
        <f>IF([2]道具信息!C379="","",[2]道具信息!C379)</f>
        <v>20066</v>
      </c>
      <c r="D379" s="26" t="str">
        <f>IF([2]道具信息!D379="","",[2]道具信息!D379)</f>
        <v>御军精研·极</v>
      </c>
      <c r="E379" s="26">
        <f>IF([2]道具信息!E379="","",[2]道具信息!E379)</f>
        <v>100</v>
      </c>
      <c r="F379" s="26">
        <f>IF([2]道具信息!F379="","",[2]道具信息!F379)</f>
        <v>1</v>
      </c>
      <c r="G379" s="26">
        <f>IF([2]道具信息!G379="","",[2]道具信息!G379)</f>
        <v>1</v>
      </c>
      <c r="H379" s="26">
        <f>IF([2]道具信息!H379="","",[2]道具信息!H379)</f>
        <v>1</v>
      </c>
      <c r="I379" s="26">
        <f>IF([2]道具信息!I379="","",[2]道具信息!I379)</f>
        <v>100</v>
      </c>
      <c r="J379" s="26">
        <f>IF([2]道具信息!J379="","",[2]道具信息!J379)</f>
        <v>100</v>
      </c>
      <c r="K379" s="26">
        <f>IF([2]道具信息!K379="","",[2]道具信息!K379)</f>
        <v>100</v>
      </c>
      <c r="L379" s="26" t="str">
        <f>IF([2]道具信息!L379="","",[2]道具信息!L379)</f>
        <v>持筹握算，精兵简政，可用于武将觉醒</v>
      </c>
      <c r="M379" s="26" t="str">
        <f>IF([2]道具信息!M379="","",[2]道具信息!M379)</f>
        <v/>
      </c>
      <c r="N379" s="26" t="str">
        <f>IF([2]道具信息!N379="","",[2]道具信息!N379)</f>
        <v/>
      </c>
      <c r="O379" s="26" t="str">
        <f>IF([2]道具信息!O379="","",[2]道具信息!O379)</f>
        <v/>
      </c>
      <c r="P379" s="26" t="str">
        <f>IF([2]道具信息!P379="","",[2]道具信息!P379)</f>
        <v/>
      </c>
      <c r="Q379" s="26" t="str">
        <f>IF([2]道具信息!Q379="","",[2]道具信息!Q379)</f>
        <v/>
      </c>
    </row>
    <row r="380" spans="3:17" x14ac:dyDescent="0.15">
      <c r="C380" s="26" t="str">
        <f>IF([2]道具信息!C380="","",[2]道具信息!C380)</f>
        <v/>
      </c>
      <c r="D380" s="26" t="str">
        <f>IF([2]道具信息!D380="","",[2]道具信息!D380)</f>
        <v/>
      </c>
      <c r="E380" s="26" t="str">
        <f>IF([2]道具信息!E380="","",[2]道具信息!E380)</f>
        <v/>
      </c>
      <c r="F380" s="26" t="str">
        <f>IF([2]道具信息!F380="","",[2]道具信息!F380)</f>
        <v/>
      </c>
      <c r="G380" s="26" t="str">
        <f>IF([2]道具信息!G380="","",[2]道具信息!G380)</f>
        <v/>
      </c>
      <c r="H380" s="26" t="str">
        <f>IF([2]道具信息!H380="","",[2]道具信息!H380)</f>
        <v/>
      </c>
      <c r="I380" s="26" t="str">
        <f>IF([2]道具信息!I380="","",[2]道具信息!I380)</f>
        <v/>
      </c>
      <c r="J380" s="26" t="str">
        <f>IF([2]道具信息!J380="","",[2]道具信息!J380)</f>
        <v/>
      </c>
      <c r="K380" s="26" t="str">
        <f>IF([2]道具信息!K380="","",[2]道具信息!K380)</f>
        <v/>
      </c>
      <c r="L380" s="26" t="str">
        <f>IF([2]道具信息!L380="","",[2]道具信息!L380)</f>
        <v/>
      </c>
      <c r="M380" s="26" t="str">
        <f>IF([2]道具信息!M380="","",[2]道具信息!M380)</f>
        <v/>
      </c>
      <c r="N380" s="26" t="str">
        <f>IF([2]道具信息!N380="","",[2]道具信息!N380)</f>
        <v/>
      </c>
      <c r="O380" s="26" t="str">
        <f>IF([2]道具信息!O380="","",[2]道具信息!O380)</f>
        <v/>
      </c>
      <c r="P380" s="26" t="str">
        <f>IF([2]道具信息!P380="","",[2]道具信息!P380)</f>
        <v/>
      </c>
      <c r="Q380" s="26" t="str">
        <f>IF([2]道具信息!Q380="","",[2]道具信息!Q380)</f>
        <v/>
      </c>
    </row>
    <row r="381" spans="3:17" x14ac:dyDescent="0.15">
      <c r="C381" s="26">
        <f>IF([2]道具信息!C381="","",[2]道具信息!C381)</f>
        <v>20070</v>
      </c>
      <c r="D381" s="26" t="str">
        <f>IF([2]道具信息!D381="","",[2]道具信息!D381)</f>
        <v>白虎白琥·极</v>
      </c>
      <c r="E381" s="26">
        <f>IF([2]道具信息!E381="","",[2]道具信息!E381)</f>
        <v>120</v>
      </c>
      <c r="F381" s="26">
        <f>IF([2]道具信息!F381="","",[2]道具信息!F381)</f>
        <v>1</v>
      </c>
      <c r="G381" s="26">
        <f>IF([2]道具信息!G381="","",[2]道具信息!G381)</f>
        <v>1</v>
      </c>
      <c r="H381" s="26">
        <f>IF([2]道具信息!H381="","",[2]道具信息!H381)</f>
        <v>1</v>
      </c>
      <c r="I381" s="26">
        <f>IF([2]道具信息!I381="","",[2]道具信息!I381)</f>
        <v>120</v>
      </c>
      <c r="J381" s="26">
        <f>IF([2]道具信息!J381="","",[2]道具信息!J381)</f>
        <v>120</v>
      </c>
      <c r="K381" s="26">
        <f>IF([2]道具信息!K381="","",[2]道具信息!K381)</f>
        <v>120</v>
      </c>
      <c r="L381" s="26" t="str">
        <f>IF([2]道具信息!L381="","",[2]道具信息!L381)</f>
        <v>形神兼备，虎啸龙吟，可用于武将觉醒</v>
      </c>
      <c r="M381" s="26" t="str">
        <f>IF([2]道具信息!M381="","",[2]道具信息!M381)</f>
        <v/>
      </c>
      <c r="N381" s="26" t="str">
        <f>IF([2]道具信息!N381="","",[2]道具信息!N381)</f>
        <v/>
      </c>
      <c r="O381" s="26" t="str">
        <f>IF([2]道具信息!O381="","",[2]道具信息!O381)</f>
        <v/>
      </c>
      <c r="P381" s="26" t="str">
        <f>IF([2]道具信息!P381="","",[2]道具信息!P381)</f>
        <v/>
      </c>
      <c r="Q381" s="26" t="str">
        <f>IF([2]道具信息!Q381="","",[2]道具信息!Q381)</f>
        <v/>
      </c>
    </row>
    <row r="382" spans="3:17" x14ac:dyDescent="0.15">
      <c r="C382" s="26">
        <f>IF([2]道具信息!C382="","",[2]道具信息!C382)</f>
        <v>20071</v>
      </c>
      <c r="D382" s="26" t="str">
        <f>IF([2]道具信息!D382="","",[2]道具信息!D382)</f>
        <v>朱雀赤璋·极</v>
      </c>
      <c r="E382" s="26">
        <f>IF([2]道具信息!E382="","",[2]道具信息!E382)</f>
        <v>120</v>
      </c>
      <c r="F382" s="26">
        <f>IF([2]道具信息!F382="","",[2]道具信息!F382)</f>
        <v>1</v>
      </c>
      <c r="G382" s="26">
        <f>IF([2]道具信息!G382="","",[2]道具信息!G382)</f>
        <v>1</v>
      </c>
      <c r="H382" s="26">
        <f>IF([2]道具信息!H382="","",[2]道具信息!H382)</f>
        <v>1</v>
      </c>
      <c r="I382" s="26">
        <f>IF([2]道具信息!I382="","",[2]道具信息!I382)</f>
        <v>120</v>
      </c>
      <c r="J382" s="26">
        <f>IF([2]道具信息!J382="","",[2]道具信息!J382)</f>
        <v>120</v>
      </c>
      <c r="K382" s="26">
        <f>IF([2]道具信息!K382="","",[2]道具信息!K382)</f>
        <v>120</v>
      </c>
      <c r="L382" s="26" t="str">
        <f>IF([2]道具信息!L382="","",[2]道具信息!L382)</f>
        <v>烈火真金，朱雀玄武，可用于武将觉醒</v>
      </c>
      <c r="M382" s="26" t="str">
        <f>IF([2]道具信息!M382="","",[2]道具信息!M382)</f>
        <v/>
      </c>
      <c r="N382" s="26" t="str">
        <f>IF([2]道具信息!N382="","",[2]道具信息!N382)</f>
        <v/>
      </c>
      <c r="O382" s="26" t="str">
        <f>IF([2]道具信息!O382="","",[2]道具信息!O382)</f>
        <v/>
      </c>
      <c r="P382" s="26" t="str">
        <f>IF([2]道具信息!P382="","",[2]道具信息!P382)</f>
        <v/>
      </c>
      <c r="Q382" s="26" t="str">
        <f>IF([2]道具信息!Q382="","",[2]道具信息!Q382)</f>
        <v/>
      </c>
    </row>
    <row r="383" spans="3:17" x14ac:dyDescent="0.15">
      <c r="C383" s="26">
        <f>IF([2]道具信息!C383="","",[2]道具信息!C383)</f>
        <v>20072</v>
      </c>
      <c r="D383" s="26" t="str">
        <f>IF([2]道具信息!D383="","",[2]道具信息!D383)</f>
        <v>青龙青圭·极</v>
      </c>
      <c r="E383" s="26">
        <f>IF([2]道具信息!E383="","",[2]道具信息!E383)</f>
        <v>120</v>
      </c>
      <c r="F383" s="26">
        <f>IF([2]道具信息!F383="","",[2]道具信息!F383)</f>
        <v>1</v>
      </c>
      <c r="G383" s="26">
        <f>IF([2]道具信息!G383="","",[2]道具信息!G383)</f>
        <v>1</v>
      </c>
      <c r="H383" s="26">
        <f>IF([2]道具信息!H383="","",[2]道具信息!H383)</f>
        <v>1</v>
      </c>
      <c r="I383" s="26">
        <f>IF([2]道具信息!I383="","",[2]道具信息!I383)</f>
        <v>120</v>
      </c>
      <c r="J383" s="26">
        <f>IF([2]道具信息!J383="","",[2]道具信息!J383)</f>
        <v>120</v>
      </c>
      <c r="K383" s="26">
        <f>IF([2]道具信息!K383="","",[2]道具信息!K383)</f>
        <v>120</v>
      </c>
      <c r="L383" s="26" t="str">
        <f>IF([2]道具信息!L383="","",[2]道具信息!L383)</f>
        <v>青云直上，龙飞凤舞，可用于武将觉醒</v>
      </c>
      <c r="M383" s="26" t="str">
        <f>IF([2]道具信息!M383="","",[2]道具信息!M383)</f>
        <v/>
      </c>
      <c r="N383" s="26" t="str">
        <f>IF([2]道具信息!N383="","",[2]道具信息!N383)</f>
        <v/>
      </c>
      <c r="O383" s="26" t="str">
        <f>IF([2]道具信息!O383="","",[2]道具信息!O383)</f>
        <v/>
      </c>
      <c r="P383" s="26" t="str">
        <f>IF([2]道具信息!P383="","",[2]道具信息!P383)</f>
        <v/>
      </c>
      <c r="Q383" s="26" t="str">
        <f>IF([2]道具信息!Q383="","",[2]道具信息!Q383)</f>
        <v/>
      </c>
    </row>
    <row r="384" spans="3:17" x14ac:dyDescent="0.15">
      <c r="C384" s="26" t="str">
        <f>IF([2]道具信息!C384="","",[2]道具信息!C384)</f>
        <v/>
      </c>
      <c r="D384" s="26" t="str">
        <f>IF([2]道具信息!D384="","",[2]道具信息!D384)</f>
        <v/>
      </c>
      <c r="E384" s="26" t="str">
        <f>IF([2]道具信息!E384="","",[2]道具信息!E384)</f>
        <v/>
      </c>
      <c r="F384" s="26" t="str">
        <f>IF([2]道具信息!F384="","",[2]道具信息!F384)</f>
        <v/>
      </c>
      <c r="G384" s="26" t="str">
        <f>IF([2]道具信息!G384="","",[2]道具信息!G384)</f>
        <v/>
      </c>
      <c r="H384" s="26" t="str">
        <f>IF([2]道具信息!H384="","",[2]道具信息!H384)</f>
        <v/>
      </c>
      <c r="I384" s="26" t="str">
        <f>IF([2]道具信息!I384="","",[2]道具信息!I384)</f>
        <v/>
      </c>
      <c r="J384" s="26" t="str">
        <f>IF([2]道具信息!J384="","",[2]道具信息!J384)</f>
        <v/>
      </c>
      <c r="K384" s="26" t="str">
        <f>IF([2]道具信息!K384="","",[2]道具信息!K384)</f>
        <v/>
      </c>
      <c r="L384" s="26" t="str">
        <f>IF([2]道具信息!L384="","",[2]道具信息!L384)</f>
        <v/>
      </c>
      <c r="M384" s="26" t="str">
        <f>IF([2]道具信息!M384="","",[2]道具信息!M384)</f>
        <v/>
      </c>
      <c r="N384" s="26" t="str">
        <f>IF([2]道具信息!N384="","",[2]道具信息!N384)</f>
        <v/>
      </c>
      <c r="O384" s="26" t="str">
        <f>IF([2]道具信息!O384="","",[2]道具信息!O384)</f>
        <v/>
      </c>
      <c r="P384" s="26" t="str">
        <f>IF([2]道具信息!P384="","",[2]道具信息!P384)</f>
        <v/>
      </c>
      <c r="Q384" s="26" t="str">
        <f>IF([2]道具信息!Q384="","",[2]道具信息!Q384)</f>
        <v/>
      </c>
    </row>
    <row r="385" spans="3:17" x14ac:dyDescent="0.15">
      <c r="C385" s="26">
        <f>IF([2]道具信息!C385="","",[2]道具信息!C385)</f>
        <v>20077</v>
      </c>
      <c r="D385" s="26" t="str">
        <f>IF([2]道具信息!D385="","",[2]道具信息!D385)</f>
        <v>战将护符·极</v>
      </c>
      <c r="E385" s="26">
        <f>IF([2]道具信息!E385="","",[2]道具信息!E385)</f>
        <v>140</v>
      </c>
      <c r="F385" s="26">
        <f>IF([2]道具信息!F385="","",[2]道具信息!F385)</f>
        <v>1</v>
      </c>
      <c r="G385" s="26">
        <f>IF([2]道具信息!G385="","",[2]道具信息!G385)</f>
        <v>1</v>
      </c>
      <c r="H385" s="26">
        <f>IF([2]道具信息!H385="","",[2]道具信息!H385)</f>
        <v>1</v>
      </c>
      <c r="I385" s="26">
        <f>IF([2]道具信息!I385="","",[2]道具信息!I385)</f>
        <v>140</v>
      </c>
      <c r="J385" s="26">
        <f>IF([2]道具信息!J385="","",[2]道具信息!J385)</f>
        <v>140</v>
      </c>
      <c r="K385" s="26">
        <f>IF([2]道具信息!K385="","",[2]道具信息!K385)</f>
        <v>140</v>
      </c>
      <c r="L385" s="26" t="str">
        <f>IF([2]道具信息!L385="","",[2]道具信息!L385)</f>
        <v>王侯将相，功成名就，可用于武将觉醒</v>
      </c>
      <c r="M385" s="26" t="str">
        <f>IF([2]道具信息!M385="","",[2]道具信息!M385)</f>
        <v/>
      </c>
      <c r="N385" s="26" t="str">
        <f>IF([2]道具信息!N385="","",[2]道具信息!N385)</f>
        <v/>
      </c>
      <c r="O385" s="26" t="str">
        <f>IF([2]道具信息!O385="","",[2]道具信息!O385)</f>
        <v/>
      </c>
      <c r="P385" s="26" t="str">
        <f>IF([2]道具信息!P385="","",[2]道具信息!P385)</f>
        <v/>
      </c>
      <c r="Q385" s="26" t="str">
        <f>IF([2]道具信息!Q385="","",[2]道具信息!Q385)</f>
        <v/>
      </c>
    </row>
    <row r="386" spans="3:17" x14ac:dyDescent="0.15">
      <c r="C386" s="26">
        <f>IF([2]道具信息!C386="","",[2]道具信息!C386)</f>
        <v>20078</v>
      </c>
      <c r="D386" s="26" t="str">
        <f>IF([2]道具信息!D386="","",[2]道具信息!D386)</f>
        <v>军师护符·极</v>
      </c>
      <c r="E386" s="26">
        <f>IF([2]道具信息!E386="","",[2]道具信息!E386)</f>
        <v>140</v>
      </c>
      <c r="F386" s="26">
        <f>IF([2]道具信息!F386="","",[2]道具信息!F386)</f>
        <v>1</v>
      </c>
      <c r="G386" s="26">
        <f>IF([2]道具信息!G386="","",[2]道具信息!G386)</f>
        <v>1</v>
      </c>
      <c r="H386" s="26">
        <f>IF([2]道具信息!H386="","",[2]道具信息!H386)</f>
        <v>1</v>
      </c>
      <c r="I386" s="26">
        <f>IF([2]道具信息!I386="","",[2]道具信息!I386)</f>
        <v>140</v>
      </c>
      <c r="J386" s="26">
        <f>IF([2]道具信息!J386="","",[2]道具信息!J386)</f>
        <v>140</v>
      </c>
      <c r="K386" s="26">
        <f>IF([2]道具信息!K386="","",[2]道具信息!K386)</f>
        <v>140</v>
      </c>
      <c r="L386" s="26" t="str">
        <f>IF([2]道具信息!L386="","",[2]道具信息!L386)</f>
        <v>神机妙算，才华横溢，可用于武将觉醒</v>
      </c>
      <c r="M386" s="26" t="str">
        <f>IF([2]道具信息!M386="","",[2]道具信息!M386)</f>
        <v/>
      </c>
      <c r="N386" s="26" t="str">
        <f>IF([2]道具信息!N386="","",[2]道具信息!N386)</f>
        <v/>
      </c>
      <c r="O386" s="26" t="str">
        <f>IF([2]道具信息!O386="","",[2]道具信息!O386)</f>
        <v/>
      </c>
      <c r="P386" s="26" t="str">
        <f>IF([2]道具信息!P386="","",[2]道具信息!P386)</f>
        <v/>
      </c>
      <c r="Q386" s="26" t="str">
        <f>IF([2]道具信息!Q386="","",[2]道具信息!Q386)</f>
        <v/>
      </c>
    </row>
    <row r="387" spans="3:17" x14ac:dyDescent="0.15">
      <c r="C387" s="26">
        <f>IF([2]道具信息!C387="","",[2]道具信息!C387)</f>
        <v>20079</v>
      </c>
      <c r="D387" s="26" t="str">
        <f>IF([2]道具信息!D387="","",[2]道具信息!D387)</f>
        <v>统帅护符·极</v>
      </c>
      <c r="E387" s="26">
        <f>IF([2]道具信息!E387="","",[2]道具信息!E387)</f>
        <v>140</v>
      </c>
      <c r="F387" s="26">
        <f>IF([2]道具信息!F387="","",[2]道具信息!F387)</f>
        <v>1</v>
      </c>
      <c r="G387" s="26">
        <f>IF([2]道具信息!G387="","",[2]道具信息!G387)</f>
        <v>1</v>
      </c>
      <c r="H387" s="26">
        <f>IF([2]道具信息!H387="","",[2]道具信息!H387)</f>
        <v>1</v>
      </c>
      <c r="I387" s="26">
        <f>IF([2]道具信息!I387="","",[2]道具信息!I387)</f>
        <v>140</v>
      </c>
      <c r="J387" s="26">
        <f>IF([2]道具信息!J387="","",[2]道具信息!J387)</f>
        <v>140</v>
      </c>
      <c r="K387" s="26">
        <f>IF([2]道具信息!K387="","",[2]道具信息!K387)</f>
        <v>140</v>
      </c>
      <c r="L387" s="26" t="str">
        <f>IF([2]道具信息!L387="","",[2]道具信息!L387)</f>
        <v>号令如山，统帅三军，可用于武将觉醒</v>
      </c>
      <c r="M387" s="26" t="str">
        <f>IF([2]道具信息!M387="","",[2]道具信息!M387)</f>
        <v/>
      </c>
      <c r="N387" s="26" t="str">
        <f>IF([2]道具信息!N387="","",[2]道具信息!N387)</f>
        <v/>
      </c>
      <c r="O387" s="26" t="str">
        <f>IF([2]道具信息!O387="","",[2]道具信息!O387)</f>
        <v/>
      </c>
      <c r="P387" s="26" t="str">
        <f>IF([2]道具信息!P387="","",[2]道具信息!P387)</f>
        <v/>
      </c>
      <c r="Q387" s="26" t="str">
        <f>IF([2]道具信息!Q387="","",[2]道具信息!Q387)</f>
        <v/>
      </c>
    </row>
    <row r="388" spans="3:17" x14ac:dyDescent="0.15">
      <c r="C388" s="26" t="str">
        <f>IF([2]道具信息!C388="","",[2]道具信息!C388)</f>
        <v/>
      </c>
      <c r="D388" s="26" t="str">
        <f>IF([2]道具信息!D388="","",[2]道具信息!D388)</f>
        <v/>
      </c>
      <c r="E388" s="26" t="str">
        <f>IF([2]道具信息!E388="","",[2]道具信息!E388)</f>
        <v/>
      </c>
      <c r="F388" s="26" t="str">
        <f>IF([2]道具信息!F388="","",[2]道具信息!F388)</f>
        <v/>
      </c>
      <c r="G388" s="26" t="str">
        <f>IF([2]道具信息!G388="","",[2]道具信息!G388)</f>
        <v/>
      </c>
      <c r="H388" s="26" t="str">
        <f>IF([2]道具信息!H388="","",[2]道具信息!H388)</f>
        <v/>
      </c>
      <c r="I388" s="26" t="str">
        <f>IF([2]道具信息!I388="","",[2]道具信息!I388)</f>
        <v/>
      </c>
      <c r="J388" s="26" t="str">
        <f>IF([2]道具信息!J388="","",[2]道具信息!J388)</f>
        <v/>
      </c>
      <c r="K388" s="26" t="str">
        <f>IF([2]道具信息!K388="","",[2]道具信息!K388)</f>
        <v/>
      </c>
      <c r="L388" s="26" t="str">
        <f>IF([2]道具信息!L388="","",[2]道具信息!L388)</f>
        <v/>
      </c>
      <c r="M388" s="26" t="str">
        <f>IF([2]道具信息!M388="","",[2]道具信息!M388)</f>
        <v/>
      </c>
      <c r="N388" s="26" t="str">
        <f>IF([2]道具信息!N388="","",[2]道具信息!N388)</f>
        <v/>
      </c>
      <c r="O388" s="26" t="str">
        <f>IF([2]道具信息!O388="","",[2]道具信息!O388)</f>
        <v/>
      </c>
      <c r="P388" s="26" t="str">
        <f>IF([2]道具信息!P388="","",[2]道具信息!P388)</f>
        <v/>
      </c>
      <c r="Q388" s="26" t="str">
        <f>IF([2]道具信息!Q388="","",[2]道具信息!Q388)</f>
        <v/>
      </c>
    </row>
    <row r="389" spans="3:17" x14ac:dyDescent="0.15">
      <c r="C389" s="26" t="str">
        <f>IF([2]道具信息!C389="","",[2]道具信息!C389)</f>
        <v/>
      </c>
      <c r="D389" s="26" t="str">
        <f>IF([2]道具信息!D389="","",[2]道具信息!D389)</f>
        <v/>
      </c>
      <c r="E389" s="26" t="str">
        <f>IF([2]道具信息!E389="","",[2]道具信息!E389)</f>
        <v/>
      </c>
      <c r="F389" s="26" t="str">
        <f>IF([2]道具信息!F389="","",[2]道具信息!F389)</f>
        <v/>
      </c>
      <c r="G389" s="26" t="str">
        <f>IF([2]道具信息!G389="","",[2]道具信息!G389)</f>
        <v/>
      </c>
      <c r="H389" s="26" t="str">
        <f>IF([2]道具信息!H389="","",[2]道具信息!H389)</f>
        <v/>
      </c>
      <c r="I389" s="26" t="str">
        <f>IF([2]道具信息!I389="","",[2]道具信息!I389)</f>
        <v/>
      </c>
      <c r="J389" s="26" t="str">
        <f>IF([2]道具信息!J389="","",[2]道具信息!J389)</f>
        <v/>
      </c>
      <c r="K389" s="26" t="str">
        <f>IF([2]道具信息!K389="","",[2]道具信息!K389)</f>
        <v/>
      </c>
      <c r="L389" s="26" t="str">
        <f>IF([2]道具信息!L389="","",[2]道具信息!L389)</f>
        <v/>
      </c>
      <c r="M389" s="26" t="str">
        <f>IF([2]道具信息!M389="","",[2]道具信息!M389)</f>
        <v/>
      </c>
      <c r="N389" s="26" t="str">
        <f>IF([2]道具信息!N389="","",[2]道具信息!N389)</f>
        <v/>
      </c>
      <c r="O389" s="26" t="str">
        <f>IF([2]道具信息!O389="","",[2]道具信息!O389)</f>
        <v/>
      </c>
      <c r="P389" s="26" t="str">
        <f>IF([2]道具信息!P389="","",[2]道具信息!P389)</f>
        <v/>
      </c>
      <c r="Q389" s="26" t="str">
        <f>IF([2]道具信息!Q389="","",[2]道具信息!Q389)</f>
        <v/>
      </c>
    </row>
    <row r="390" spans="3:17" x14ac:dyDescent="0.15">
      <c r="C390" s="26">
        <f>IF([2]道具信息!C390="","",[2]道具信息!C390)</f>
        <v>23001</v>
      </c>
      <c r="D390" s="26" t="str">
        <f>IF([2]道具信息!D390="","",[2]道具信息!D390)</f>
        <v>紫色步将自选宝箱</v>
      </c>
      <c r="E390" s="26">
        <f>IF([2]道具信息!E390="","",[2]道具信息!E390)</f>
        <v>600</v>
      </c>
      <c r="F390" s="26">
        <f>IF([2]道具信息!F390="","",[2]道具信息!F390)</f>
        <v>1</v>
      </c>
      <c r="G390" s="26">
        <f>IF([2]道具信息!G390="","",[2]道具信息!G390)</f>
        <v>1</v>
      </c>
      <c r="H390" s="26">
        <f>IF([2]道具信息!H390="","",[2]道具信息!H390)</f>
        <v>1</v>
      </c>
      <c r="I390" s="26">
        <f>IF([2]道具信息!I390="","",[2]道具信息!I390)</f>
        <v>600</v>
      </c>
      <c r="J390" s="26">
        <f>IF([2]道具信息!J390="","",[2]道具信息!J390)</f>
        <v>600</v>
      </c>
      <c r="K390" s="26">
        <f>IF([2]道具信息!K390="","",[2]道具信息!K390)</f>
        <v>600</v>
      </c>
      <c r="L390" s="26" t="str">
        <f>IF([2]道具信息!L390="","",[2]道具信息!L390)</f>
        <v>使用后选择获得一个紫色步将</v>
      </c>
      <c r="M390" s="26" t="str">
        <f>IF([2]道具信息!M390="","",[2]道具信息!M390)</f>
        <v/>
      </c>
      <c r="N390" s="26" t="str">
        <f>IF([2]道具信息!N390="","",[2]道具信息!N390)</f>
        <v/>
      </c>
      <c r="O390" s="26" t="str">
        <f>IF([2]道具信息!O390="","",[2]道具信息!O390)</f>
        <v/>
      </c>
      <c r="P390" s="26" t="str">
        <f>IF([2]道具信息!P390="","",[2]道具信息!P390)</f>
        <v/>
      </c>
      <c r="Q390" s="26" t="str">
        <f>IF([2]道具信息!Q390="","",[2]道具信息!Q390)</f>
        <v/>
      </c>
    </row>
    <row r="391" spans="3:17" x14ac:dyDescent="0.15">
      <c r="C391" s="26">
        <f>IF([2]道具信息!C391="","",[2]道具信息!C391)</f>
        <v>23002</v>
      </c>
      <c r="D391" s="26" t="str">
        <f>IF([2]道具信息!D391="","",[2]道具信息!D391)</f>
        <v>橙色步将自选宝箱</v>
      </c>
      <c r="E391" s="26">
        <f>IF([2]道具信息!E391="","",[2]道具信息!E391)</f>
        <v>4800</v>
      </c>
      <c r="F391" s="26">
        <f>IF([2]道具信息!F391="","",[2]道具信息!F391)</f>
        <v>1</v>
      </c>
      <c r="G391" s="26">
        <f>IF([2]道具信息!G391="","",[2]道具信息!G391)</f>
        <v>1</v>
      </c>
      <c r="H391" s="26">
        <f>IF([2]道具信息!H391="","",[2]道具信息!H391)</f>
        <v>1</v>
      </c>
      <c r="I391" s="26">
        <f>IF([2]道具信息!I391="","",[2]道具信息!I391)</f>
        <v>4800</v>
      </c>
      <c r="J391" s="26">
        <f>IF([2]道具信息!J391="","",[2]道具信息!J391)</f>
        <v>4800</v>
      </c>
      <c r="K391" s="26">
        <f>IF([2]道具信息!K391="","",[2]道具信息!K391)</f>
        <v>4800</v>
      </c>
      <c r="L391" s="26" t="str">
        <f>IF([2]道具信息!L391="","",[2]道具信息!L391)</f>
        <v>使用后选择获得一个橙色武将</v>
      </c>
      <c r="M391" s="26" t="str">
        <f>IF([2]道具信息!M391="","",[2]道具信息!M391)</f>
        <v/>
      </c>
      <c r="N391" s="26" t="str">
        <f>IF([2]道具信息!N391="","",[2]道具信息!N391)</f>
        <v/>
      </c>
      <c r="O391" s="26" t="str">
        <f>IF([2]道具信息!O391="","",[2]道具信息!O391)</f>
        <v/>
      </c>
      <c r="P391" s="26" t="str">
        <f>IF([2]道具信息!P391="","",[2]道具信息!P391)</f>
        <v/>
      </c>
      <c r="Q391" s="26" t="str">
        <f>IF([2]道具信息!Q391="","",[2]道具信息!Q391)</f>
        <v/>
      </c>
    </row>
    <row r="392" spans="3:17" x14ac:dyDescent="0.15">
      <c r="C392" s="26">
        <f>IF([2]道具信息!C392="","",[2]道具信息!C392)</f>
        <v>23003</v>
      </c>
      <c r="D392" s="26" t="str">
        <f>IF([2]道具信息!D392="","",[2]道具信息!D392)</f>
        <v>红色步将自选宝箱</v>
      </c>
      <c r="E392" s="26">
        <f>IF([2]道具信息!E392="","",[2]道具信息!E392)</f>
        <v>14400</v>
      </c>
      <c r="F392" s="26">
        <f>IF([2]道具信息!F392="","",[2]道具信息!F392)</f>
        <v>1</v>
      </c>
      <c r="G392" s="26">
        <f>IF([2]道具信息!G392="","",[2]道具信息!G392)</f>
        <v>1</v>
      </c>
      <c r="H392" s="26">
        <f>IF([2]道具信息!H392="","",[2]道具信息!H392)</f>
        <v>1</v>
      </c>
      <c r="I392" s="26">
        <f>IF([2]道具信息!I392="","",[2]道具信息!I392)</f>
        <v>14400</v>
      </c>
      <c r="J392" s="26">
        <f>IF([2]道具信息!J392="","",[2]道具信息!J392)</f>
        <v>14400</v>
      </c>
      <c r="K392" s="26">
        <f>IF([2]道具信息!K392="","",[2]道具信息!K392)</f>
        <v>14400</v>
      </c>
      <c r="L392" s="26" t="str">
        <f>IF([2]道具信息!L392="","",[2]道具信息!L392)</f>
        <v>使用后选择获得一个红色步将</v>
      </c>
      <c r="M392" s="26" t="str">
        <f>IF([2]道具信息!M392="","",[2]道具信息!M392)</f>
        <v/>
      </c>
      <c r="N392" s="26" t="str">
        <f>IF([2]道具信息!N392="","",[2]道具信息!N392)</f>
        <v/>
      </c>
      <c r="O392" s="26" t="str">
        <f>IF([2]道具信息!O392="","",[2]道具信息!O392)</f>
        <v/>
      </c>
      <c r="P392" s="26" t="str">
        <f>IF([2]道具信息!P392="","",[2]道具信息!P392)</f>
        <v/>
      </c>
      <c r="Q392" s="26" t="str">
        <f>IF([2]道具信息!Q392="","",[2]道具信息!Q392)</f>
        <v/>
      </c>
    </row>
    <row r="393" spans="3:17" x14ac:dyDescent="0.15">
      <c r="C393" s="26">
        <f>IF([2]道具信息!C393="","",[2]道具信息!C393)</f>
        <v>23004</v>
      </c>
      <c r="D393" s="26" t="str">
        <f>IF([2]道具信息!D393="","",[2]道具信息!D393)</f>
        <v>紫色骑将自选宝箱</v>
      </c>
      <c r="E393" s="26">
        <f>IF([2]道具信息!E393="","",[2]道具信息!E393)</f>
        <v>600</v>
      </c>
      <c r="F393" s="26">
        <f>IF([2]道具信息!F393="","",[2]道具信息!F393)</f>
        <v>1</v>
      </c>
      <c r="G393" s="26">
        <f>IF([2]道具信息!G393="","",[2]道具信息!G393)</f>
        <v>1</v>
      </c>
      <c r="H393" s="26">
        <f>IF([2]道具信息!H393="","",[2]道具信息!H393)</f>
        <v>1</v>
      </c>
      <c r="I393" s="26">
        <f>IF([2]道具信息!I393="","",[2]道具信息!I393)</f>
        <v>600</v>
      </c>
      <c r="J393" s="26">
        <f>IF([2]道具信息!J393="","",[2]道具信息!J393)</f>
        <v>600</v>
      </c>
      <c r="K393" s="26">
        <f>IF([2]道具信息!K393="","",[2]道具信息!K393)</f>
        <v>600</v>
      </c>
      <c r="L393" s="26" t="str">
        <f>IF([2]道具信息!L393="","",[2]道具信息!L393)</f>
        <v>使用后选择获得一个紫色骑将</v>
      </c>
      <c r="M393" s="26" t="str">
        <f>IF([2]道具信息!M393="","",[2]道具信息!M393)</f>
        <v/>
      </c>
      <c r="N393" s="26" t="str">
        <f>IF([2]道具信息!N393="","",[2]道具信息!N393)</f>
        <v/>
      </c>
      <c r="O393" s="26" t="str">
        <f>IF([2]道具信息!O393="","",[2]道具信息!O393)</f>
        <v/>
      </c>
      <c r="P393" s="26" t="str">
        <f>IF([2]道具信息!P393="","",[2]道具信息!P393)</f>
        <v/>
      </c>
      <c r="Q393" s="26" t="str">
        <f>IF([2]道具信息!Q393="","",[2]道具信息!Q393)</f>
        <v/>
      </c>
    </row>
    <row r="394" spans="3:17" x14ac:dyDescent="0.15">
      <c r="C394" s="26">
        <f>IF([2]道具信息!C394="","",[2]道具信息!C394)</f>
        <v>23005</v>
      </c>
      <c r="D394" s="26" t="str">
        <f>IF([2]道具信息!D394="","",[2]道具信息!D394)</f>
        <v>橙色骑将自选宝箱</v>
      </c>
      <c r="E394" s="26">
        <f>IF([2]道具信息!E394="","",[2]道具信息!E394)</f>
        <v>4800</v>
      </c>
      <c r="F394" s="26">
        <f>IF([2]道具信息!F394="","",[2]道具信息!F394)</f>
        <v>1</v>
      </c>
      <c r="G394" s="26">
        <f>IF([2]道具信息!G394="","",[2]道具信息!G394)</f>
        <v>1</v>
      </c>
      <c r="H394" s="26">
        <f>IF([2]道具信息!H394="","",[2]道具信息!H394)</f>
        <v>1</v>
      </c>
      <c r="I394" s="26">
        <f>IF([2]道具信息!I394="","",[2]道具信息!I394)</f>
        <v>4800</v>
      </c>
      <c r="J394" s="26">
        <f>IF([2]道具信息!J394="","",[2]道具信息!J394)</f>
        <v>4800</v>
      </c>
      <c r="K394" s="26">
        <f>IF([2]道具信息!K394="","",[2]道具信息!K394)</f>
        <v>4800</v>
      </c>
      <c r="L394" s="26" t="str">
        <f>IF([2]道具信息!L394="","",[2]道具信息!L394)</f>
        <v>使用后选择获得一个橙色骑将</v>
      </c>
      <c r="M394" s="26" t="str">
        <f>IF([2]道具信息!M394="","",[2]道具信息!M394)</f>
        <v/>
      </c>
      <c r="N394" s="26" t="str">
        <f>IF([2]道具信息!N394="","",[2]道具信息!N394)</f>
        <v/>
      </c>
      <c r="O394" s="26" t="str">
        <f>IF([2]道具信息!O394="","",[2]道具信息!O394)</f>
        <v/>
      </c>
      <c r="P394" s="26" t="str">
        <f>IF([2]道具信息!P394="","",[2]道具信息!P394)</f>
        <v/>
      </c>
      <c r="Q394" s="26" t="str">
        <f>IF([2]道具信息!Q394="","",[2]道具信息!Q394)</f>
        <v/>
      </c>
    </row>
    <row r="395" spans="3:17" x14ac:dyDescent="0.15">
      <c r="C395" s="26">
        <f>IF([2]道具信息!C395="","",[2]道具信息!C395)</f>
        <v>23006</v>
      </c>
      <c r="D395" s="26" t="str">
        <f>IF([2]道具信息!D395="","",[2]道具信息!D395)</f>
        <v>红色骑将自选宝箱</v>
      </c>
      <c r="E395" s="26">
        <f>IF([2]道具信息!E395="","",[2]道具信息!E395)</f>
        <v>14400</v>
      </c>
      <c r="F395" s="26">
        <f>IF([2]道具信息!F395="","",[2]道具信息!F395)</f>
        <v>1</v>
      </c>
      <c r="G395" s="26">
        <f>IF([2]道具信息!G395="","",[2]道具信息!G395)</f>
        <v>1</v>
      </c>
      <c r="H395" s="26">
        <f>IF([2]道具信息!H395="","",[2]道具信息!H395)</f>
        <v>1</v>
      </c>
      <c r="I395" s="26">
        <f>IF([2]道具信息!I395="","",[2]道具信息!I395)</f>
        <v>14400</v>
      </c>
      <c r="J395" s="26">
        <f>IF([2]道具信息!J395="","",[2]道具信息!J395)</f>
        <v>14400</v>
      </c>
      <c r="K395" s="26">
        <f>IF([2]道具信息!K395="","",[2]道具信息!K395)</f>
        <v>14400</v>
      </c>
      <c r="L395" s="26" t="str">
        <f>IF([2]道具信息!L395="","",[2]道具信息!L395)</f>
        <v>使用后选择获得一个红色骑将</v>
      </c>
      <c r="M395" s="26" t="str">
        <f>IF([2]道具信息!M395="","",[2]道具信息!M395)</f>
        <v/>
      </c>
      <c r="N395" s="26" t="str">
        <f>IF([2]道具信息!N395="","",[2]道具信息!N395)</f>
        <v/>
      </c>
      <c r="O395" s="26" t="str">
        <f>IF([2]道具信息!O395="","",[2]道具信息!O395)</f>
        <v/>
      </c>
      <c r="P395" s="26" t="str">
        <f>IF([2]道具信息!P395="","",[2]道具信息!P395)</f>
        <v/>
      </c>
      <c r="Q395" s="26" t="str">
        <f>IF([2]道具信息!Q395="","",[2]道具信息!Q395)</f>
        <v/>
      </c>
    </row>
    <row r="396" spans="3:17" x14ac:dyDescent="0.15">
      <c r="C396" s="26">
        <f>IF([2]道具信息!C396="","",[2]道具信息!C396)</f>
        <v>23007</v>
      </c>
      <c r="D396" s="26" t="str">
        <f>IF([2]道具信息!D396="","",[2]道具信息!D396)</f>
        <v>紫色弓将自选宝箱</v>
      </c>
      <c r="E396" s="26">
        <f>IF([2]道具信息!E396="","",[2]道具信息!E396)</f>
        <v>600</v>
      </c>
      <c r="F396" s="26">
        <f>IF([2]道具信息!F396="","",[2]道具信息!F396)</f>
        <v>1</v>
      </c>
      <c r="G396" s="26">
        <f>IF([2]道具信息!G396="","",[2]道具信息!G396)</f>
        <v>1</v>
      </c>
      <c r="H396" s="26">
        <f>IF([2]道具信息!H396="","",[2]道具信息!H396)</f>
        <v>1</v>
      </c>
      <c r="I396" s="26">
        <f>IF([2]道具信息!I396="","",[2]道具信息!I396)</f>
        <v>600</v>
      </c>
      <c r="J396" s="26">
        <f>IF([2]道具信息!J396="","",[2]道具信息!J396)</f>
        <v>600</v>
      </c>
      <c r="K396" s="26">
        <f>IF([2]道具信息!K396="","",[2]道具信息!K396)</f>
        <v>600</v>
      </c>
      <c r="L396" s="26" t="str">
        <f>IF([2]道具信息!L396="","",[2]道具信息!L396)</f>
        <v>使用后选择获得一个紫色弓将</v>
      </c>
      <c r="M396" s="26" t="str">
        <f>IF([2]道具信息!M396="","",[2]道具信息!M396)</f>
        <v/>
      </c>
      <c r="N396" s="26" t="str">
        <f>IF([2]道具信息!N396="","",[2]道具信息!N396)</f>
        <v/>
      </c>
      <c r="O396" s="26" t="str">
        <f>IF([2]道具信息!O396="","",[2]道具信息!O396)</f>
        <v/>
      </c>
      <c r="P396" s="26" t="str">
        <f>IF([2]道具信息!P396="","",[2]道具信息!P396)</f>
        <v/>
      </c>
      <c r="Q396" s="26" t="str">
        <f>IF([2]道具信息!Q396="","",[2]道具信息!Q396)</f>
        <v/>
      </c>
    </row>
    <row r="397" spans="3:17" x14ac:dyDescent="0.15">
      <c r="C397" s="26">
        <f>IF([2]道具信息!C397="","",[2]道具信息!C397)</f>
        <v>23008</v>
      </c>
      <c r="D397" s="26" t="str">
        <f>IF([2]道具信息!D397="","",[2]道具信息!D397)</f>
        <v>橙色弓将自选宝箱</v>
      </c>
      <c r="E397" s="26">
        <f>IF([2]道具信息!E397="","",[2]道具信息!E397)</f>
        <v>4800</v>
      </c>
      <c r="F397" s="26">
        <f>IF([2]道具信息!F397="","",[2]道具信息!F397)</f>
        <v>1</v>
      </c>
      <c r="G397" s="26">
        <f>IF([2]道具信息!G397="","",[2]道具信息!G397)</f>
        <v>1</v>
      </c>
      <c r="H397" s="26">
        <f>IF([2]道具信息!H397="","",[2]道具信息!H397)</f>
        <v>1</v>
      </c>
      <c r="I397" s="26">
        <f>IF([2]道具信息!I397="","",[2]道具信息!I397)</f>
        <v>4800</v>
      </c>
      <c r="J397" s="26">
        <f>IF([2]道具信息!J397="","",[2]道具信息!J397)</f>
        <v>4800</v>
      </c>
      <c r="K397" s="26">
        <f>IF([2]道具信息!K397="","",[2]道具信息!K397)</f>
        <v>4800</v>
      </c>
      <c r="L397" s="26" t="str">
        <f>IF([2]道具信息!L397="","",[2]道具信息!L397)</f>
        <v>使用后选择获得一个橙色弓将</v>
      </c>
      <c r="M397" s="26" t="str">
        <f>IF([2]道具信息!M397="","",[2]道具信息!M397)</f>
        <v/>
      </c>
      <c r="N397" s="26" t="str">
        <f>IF([2]道具信息!N397="","",[2]道具信息!N397)</f>
        <v/>
      </c>
      <c r="O397" s="26" t="str">
        <f>IF([2]道具信息!O397="","",[2]道具信息!O397)</f>
        <v/>
      </c>
      <c r="P397" s="26" t="str">
        <f>IF([2]道具信息!P397="","",[2]道具信息!P397)</f>
        <v/>
      </c>
      <c r="Q397" s="26" t="str">
        <f>IF([2]道具信息!Q397="","",[2]道具信息!Q397)</f>
        <v/>
      </c>
    </row>
    <row r="398" spans="3:17" x14ac:dyDescent="0.15">
      <c r="C398" s="26">
        <f>IF([2]道具信息!C398="","",[2]道具信息!C398)</f>
        <v>23009</v>
      </c>
      <c r="D398" s="26" t="str">
        <f>IF([2]道具信息!D398="","",[2]道具信息!D398)</f>
        <v>红色弓将自选宝箱</v>
      </c>
      <c r="E398" s="26">
        <f>IF([2]道具信息!E398="","",[2]道具信息!E398)</f>
        <v>14400</v>
      </c>
      <c r="F398" s="26">
        <f>IF([2]道具信息!F398="","",[2]道具信息!F398)</f>
        <v>1</v>
      </c>
      <c r="G398" s="26">
        <f>IF([2]道具信息!G398="","",[2]道具信息!G398)</f>
        <v>1</v>
      </c>
      <c r="H398" s="26">
        <f>IF([2]道具信息!H398="","",[2]道具信息!H398)</f>
        <v>1</v>
      </c>
      <c r="I398" s="26">
        <f>IF([2]道具信息!I398="","",[2]道具信息!I398)</f>
        <v>14400</v>
      </c>
      <c r="J398" s="26">
        <f>IF([2]道具信息!J398="","",[2]道具信息!J398)</f>
        <v>14400</v>
      </c>
      <c r="K398" s="26">
        <f>IF([2]道具信息!K398="","",[2]道具信息!K398)</f>
        <v>14400</v>
      </c>
      <c r="L398" s="26" t="str">
        <f>IF([2]道具信息!L398="","",[2]道具信息!L398)</f>
        <v>使用后选择获得一个红色弓将</v>
      </c>
      <c r="M398" s="26" t="str">
        <f>IF([2]道具信息!M398="","",[2]道具信息!M398)</f>
        <v/>
      </c>
      <c r="N398" s="26" t="str">
        <f>IF([2]道具信息!N398="","",[2]道具信息!N398)</f>
        <v/>
      </c>
      <c r="O398" s="26" t="str">
        <f>IF([2]道具信息!O398="","",[2]道具信息!O398)</f>
        <v/>
      </c>
      <c r="P398" s="26" t="str">
        <f>IF([2]道具信息!P398="","",[2]道具信息!P398)</f>
        <v/>
      </c>
      <c r="Q398" s="26" t="str">
        <f>IF([2]道具信息!Q398="","",[2]道具信息!Q398)</f>
        <v/>
      </c>
    </row>
    <row r="399" spans="3:17" x14ac:dyDescent="0.15">
      <c r="C399" s="26">
        <f>IF([2]道具信息!C399="","",[2]道具信息!C399)</f>
        <v>23010</v>
      </c>
      <c r="D399" s="26" t="str">
        <f>IF([2]道具信息!D399="","",[2]道具信息!D399)</f>
        <v>君主自选宝箱</v>
      </c>
      <c r="E399" s="26">
        <f>IF([2]道具信息!E399="","",[2]道具信息!E399)</f>
        <v>4800</v>
      </c>
      <c r="F399" s="26">
        <f>IF([2]道具信息!F399="","",[2]道具信息!F399)</f>
        <v>1</v>
      </c>
      <c r="G399" s="26">
        <f>IF([2]道具信息!G399="","",[2]道具信息!G399)</f>
        <v>1</v>
      </c>
      <c r="H399" s="26">
        <f>IF([2]道具信息!H399="","",[2]道具信息!H399)</f>
        <v>1</v>
      </c>
      <c r="I399" s="26">
        <f>IF([2]道具信息!I399="","",[2]道具信息!I399)</f>
        <v>4800</v>
      </c>
      <c r="J399" s="26">
        <f>IF([2]道具信息!J399="","",[2]道具信息!J399)</f>
        <v>4800</v>
      </c>
      <c r="K399" s="26">
        <f>IF([2]道具信息!K399="","",[2]道具信息!K399)</f>
        <v>4800</v>
      </c>
      <c r="L399" s="26" t="str">
        <f>IF([2]道具信息!L399="","",[2]道具信息!L399)</f>
        <v>使用后选择获得一个君主武将</v>
      </c>
      <c r="M399" s="26" t="str">
        <f>IF([2]道具信息!M399="","",[2]道具信息!M399)</f>
        <v/>
      </c>
      <c r="N399" s="26" t="str">
        <f>IF([2]道具信息!N399="","",[2]道具信息!N399)</f>
        <v/>
      </c>
      <c r="O399" s="26" t="str">
        <f>IF([2]道具信息!O399="","",[2]道具信息!O399)</f>
        <v/>
      </c>
      <c r="P399" s="26" t="str">
        <f>IF([2]道具信息!P399="","",[2]道具信息!P399)</f>
        <v/>
      </c>
      <c r="Q399" s="26" t="str">
        <f>IF([2]道具信息!Q399="","",[2]道具信息!Q399)</f>
        <v/>
      </c>
    </row>
    <row r="400" spans="3:17" x14ac:dyDescent="0.15">
      <c r="C400" s="26">
        <f>IF([2]道具信息!C400="","",[2]道具信息!C400)</f>
        <v>23011</v>
      </c>
      <c r="D400" s="26" t="str">
        <f>IF([2]道具信息!D400="","",[2]道具信息!D400)</f>
        <v>紫色武将随机宝箱</v>
      </c>
      <c r="E400" s="26">
        <f>IF([2]道具信息!E400="","",[2]道具信息!E400)</f>
        <v>400</v>
      </c>
      <c r="F400" s="26">
        <f>IF([2]道具信息!F400="","",[2]道具信息!F400)</f>
        <v>1</v>
      </c>
      <c r="G400" s="26">
        <f>IF([2]道具信息!G400="","",[2]道具信息!G400)</f>
        <v>1</v>
      </c>
      <c r="H400" s="26">
        <f>IF([2]道具信息!H400="","",[2]道具信息!H400)</f>
        <v>1</v>
      </c>
      <c r="I400" s="26">
        <f>IF([2]道具信息!I400="","",[2]道具信息!I400)</f>
        <v>400</v>
      </c>
      <c r="J400" s="26">
        <f>IF([2]道具信息!J400="","",[2]道具信息!J400)</f>
        <v>400</v>
      </c>
      <c r="K400" s="26">
        <f>IF([2]道具信息!K400="","",[2]道具信息!K400)</f>
        <v>400</v>
      </c>
      <c r="L400" s="26" t="str">
        <f>IF([2]道具信息!L400="","",[2]道具信息!L400)</f>
        <v>使用后随机获得一个紫色武将</v>
      </c>
      <c r="M400" s="26" t="str">
        <f>IF([2]道具信息!M400="","",[2]道具信息!M400)</f>
        <v/>
      </c>
      <c r="N400" s="26" t="str">
        <f>IF([2]道具信息!N400="","",[2]道具信息!N400)</f>
        <v/>
      </c>
      <c r="O400" s="26" t="str">
        <f>IF([2]道具信息!O400="","",[2]道具信息!O400)</f>
        <v/>
      </c>
      <c r="P400" s="26" t="str">
        <f>IF([2]道具信息!P400="","",[2]道具信息!P400)</f>
        <v/>
      </c>
      <c r="Q400" s="26" t="str">
        <f>IF([2]道具信息!Q400="","",[2]道具信息!Q400)</f>
        <v/>
      </c>
    </row>
    <row r="401" spans="3:17" x14ac:dyDescent="0.15">
      <c r="C401" s="26">
        <f>IF([2]道具信息!C401="","",[2]道具信息!C401)</f>
        <v>23012</v>
      </c>
      <c r="D401" s="26" t="str">
        <f>IF([2]道具信息!D401="","",[2]道具信息!D401)</f>
        <v>橙色武将随机宝箱</v>
      </c>
      <c r="E401" s="26">
        <f>IF([2]道具信息!E401="","",[2]道具信息!E401)</f>
        <v>1800</v>
      </c>
      <c r="F401" s="26">
        <f>IF([2]道具信息!F401="","",[2]道具信息!F401)</f>
        <v>1</v>
      </c>
      <c r="G401" s="26">
        <f>IF([2]道具信息!G401="","",[2]道具信息!G401)</f>
        <v>1</v>
      </c>
      <c r="H401" s="26">
        <f>IF([2]道具信息!H401="","",[2]道具信息!H401)</f>
        <v>1</v>
      </c>
      <c r="I401" s="26">
        <f>IF([2]道具信息!I401="","",[2]道具信息!I401)</f>
        <v>1800</v>
      </c>
      <c r="J401" s="26">
        <f>IF([2]道具信息!J401="","",[2]道具信息!J401)</f>
        <v>1800</v>
      </c>
      <c r="K401" s="26">
        <f>IF([2]道具信息!K401="","",[2]道具信息!K401)</f>
        <v>1800</v>
      </c>
      <c r="L401" s="26" t="str">
        <f>IF([2]道具信息!L401="","",[2]道具信息!L401)</f>
        <v>使用后随机获得一个橙色武将</v>
      </c>
      <c r="M401" s="26" t="str">
        <f>IF([2]道具信息!M401="","",[2]道具信息!M401)</f>
        <v/>
      </c>
      <c r="N401" s="26" t="str">
        <f>IF([2]道具信息!N401="","",[2]道具信息!N401)</f>
        <v/>
      </c>
      <c r="O401" s="26" t="str">
        <f>IF([2]道具信息!O401="","",[2]道具信息!O401)</f>
        <v/>
      </c>
      <c r="P401" s="26" t="str">
        <f>IF([2]道具信息!P401="","",[2]道具信息!P401)</f>
        <v/>
      </c>
      <c r="Q401" s="26" t="str">
        <f>IF([2]道具信息!Q401="","",[2]道具信息!Q401)</f>
        <v/>
      </c>
    </row>
    <row r="402" spans="3:17" x14ac:dyDescent="0.15">
      <c r="C402" s="26">
        <f>IF([2]道具信息!C402="","",[2]道具信息!C402)</f>
        <v>23013</v>
      </c>
      <c r="D402" s="26" t="str">
        <f>IF([2]道具信息!D402="","",[2]道具信息!D402)</f>
        <v>红色武将随机宝箱</v>
      </c>
      <c r="E402" s="26">
        <f>IF([2]道具信息!E402="","",[2]道具信息!E402)</f>
        <v>14400</v>
      </c>
      <c r="F402" s="26">
        <f>IF([2]道具信息!F402="","",[2]道具信息!F402)</f>
        <v>1</v>
      </c>
      <c r="G402" s="26">
        <f>IF([2]道具信息!G402="","",[2]道具信息!G402)</f>
        <v>1</v>
      </c>
      <c r="H402" s="26">
        <f>IF([2]道具信息!H402="","",[2]道具信息!H402)</f>
        <v>1</v>
      </c>
      <c r="I402" s="26">
        <f>IF([2]道具信息!I402="","",[2]道具信息!I402)</f>
        <v>14400</v>
      </c>
      <c r="J402" s="26">
        <f>IF([2]道具信息!J402="","",[2]道具信息!J402)</f>
        <v>14400</v>
      </c>
      <c r="K402" s="26">
        <f>IF([2]道具信息!K402="","",[2]道具信息!K402)</f>
        <v>14400</v>
      </c>
      <c r="L402" s="26" t="str">
        <f>IF([2]道具信息!L402="","",[2]道具信息!L402)</f>
        <v>使用后随机获得一个红色武将</v>
      </c>
      <c r="M402" s="26" t="str">
        <f>IF([2]道具信息!M402="","",[2]道具信息!M402)</f>
        <v/>
      </c>
      <c r="N402" s="26" t="str">
        <f>IF([2]道具信息!N402="","",[2]道具信息!N402)</f>
        <v/>
      </c>
      <c r="O402" s="26" t="str">
        <f>IF([2]道具信息!O402="","",[2]道具信息!O402)</f>
        <v/>
      </c>
      <c r="P402" s="26" t="str">
        <f>IF([2]道具信息!P402="","",[2]道具信息!P402)</f>
        <v/>
      </c>
      <c r="Q402" s="26" t="str">
        <f>IF([2]道具信息!Q402="","",[2]道具信息!Q402)</f>
        <v/>
      </c>
    </row>
    <row r="403" spans="3:17" x14ac:dyDescent="0.15">
      <c r="C403" s="26" t="str">
        <f>IF([2]道具信息!C403="","",[2]道具信息!C403)</f>
        <v/>
      </c>
      <c r="D403" s="26" t="str">
        <f>IF([2]道具信息!D403="","",[2]道具信息!D403)</f>
        <v/>
      </c>
      <c r="E403" s="26" t="str">
        <f>IF([2]道具信息!E403="","",[2]道具信息!E403)</f>
        <v/>
      </c>
      <c r="F403" s="26" t="str">
        <f>IF([2]道具信息!F403="","",[2]道具信息!F403)</f>
        <v/>
      </c>
      <c r="G403" s="26" t="str">
        <f>IF([2]道具信息!G403="","",[2]道具信息!G403)</f>
        <v/>
      </c>
      <c r="H403" s="26" t="str">
        <f>IF([2]道具信息!H403="","",[2]道具信息!H403)</f>
        <v/>
      </c>
      <c r="I403" s="26" t="str">
        <f>IF([2]道具信息!I403="","",[2]道具信息!I403)</f>
        <v/>
      </c>
      <c r="J403" s="26" t="str">
        <f>IF([2]道具信息!J403="","",[2]道具信息!J403)</f>
        <v/>
      </c>
      <c r="K403" s="26" t="str">
        <f>IF([2]道具信息!K403="","",[2]道具信息!K403)</f>
        <v/>
      </c>
      <c r="L403" s="26" t="str">
        <f>IF([2]道具信息!L403="","",[2]道具信息!L403)</f>
        <v/>
      </c>
      <c r="M403" s="26" t="str">
        <f>IF([2]道具信息!M403="","",[2]道具信息!M403)</f>
        <v/>
      </c>
      <c r="N403" s="26" t="str">
        <f>IF([2]道具信息!N403="","",[2]道具信息!N403)</f>
        <v/>
      </c>
      <c r="O403" s="26" t="str">
        <f>IF([2]道具信息!O403="","",[2]道具信息!O403)</f>
        <v/>
      </c>
      <c r="P403" s="26" t="str">
        <f>IF([2]道具信息!P403="","",[2]道具信息!P403)</f>
        <v/>
      </c>
      <c r="Q403" s="26" t="str">
        <f>IF([2]道具信息!Q403="","",[2]道具信息!Q403)</f>
        <v/>
      </c>
    </row>
    <row r="404" spans="3:17" x14ac:dyDescent="0.15">
      <c r="C404" s="26">
        <f>IF([2]道具信息!C404="","",[2]道具信息!C404)</f>
        <v>23014</v>
      </c>
      <c r="D404" s="26" t="str">
        <f>IF([2]道具信息!D404="","",[2]道具信息!D404)</f>
        <v>橙色武将自选宝箱碎片</v>
      </c>
      <c r="E404" s="26">
        <f>IF([2]道具信息!E404="","",[2]道具信息!E404)</f>
        <v>160</v>
      </c>
      <c r="F404" s="26">
        <f>IF([2]道具信息!F404="","",[2]道具信息!F404)</f>
        <v>1</v>
      </c>
      <c r="G404" s="26">
        <f>IF([2]道具信息!G404="","",[2]道具信息!G404)</f>
        <v>1</v>
      </c>
      <c r="H404" s="26">
        <f>IF([2]道具信息!H404="","",[2]道具信息!H404)</f>
        <v>1</v>
      </c>
      <c r="I404" s="26">
        <f>IF([2]道具信息!I404="","",[2]道具信息!I404)</f>
        <v>160</v>
      </c>
      <c r="J404" s="26">
        <f>IF([2]道具信息!J404="","",[2]道具信息!J404)</f>
        <v>160</v>
      </c>
      <c r="K404" s="26">
        <f>IF([2]道具信息!K404="","",[2]道具信息!K404)</f>
        <v>160</v>
      </c>
      <c r="L404" s="26" t="str">
        <f>IF([2]道具信息!L404="","",[2]道具信息!L404)</f>
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404" s="26" t="str">
        <f>IF([2]道具信息!M404="","",[2]道具信息!M404)</f>
        <v/>
      </c>
      <c r="N404" s="26" t="str">
        <f>IF([2]道具信息!N404="","",[2]道具信息!N404)</f>
        <v/>
      </c>
      <c r="O404" s="26" t="str">
        <f>IF([2]道具信息!O404="","",[2]道具信息!O404)</f>
        <v/>
      </c>
      <c r="P404" s="26" t="str">
        <f>IF([2]道具信息!P404="","",[2]道具信息!P404)</f>
        <v/>
      </c>
      <c r="Q404" s="26" t="str">
        <f>IF([2]道具信息!Q404="","",[2]道具信息!Q404)</f>
        <v/>
      </c>
    </row>
    <row r="405" spans="3:17" x14ac:dyDescent="0.15">
      <c r="C405" s="26">
        <f>IF([2]道具信息!C405="","",[2]道具信息!C405)</f>
        <v>23015</v>
      </c>
      <c r="D405" s="26" t="str">
        <f>IF([2]道具信息!D405="","",[2]道具信息!D405)</f>
        <v>橙色武将随机宝箱碎片</v>
      </c>
      <c r="E405" s="26">
        <f>IF([2]道具信息!E405="","",[2]道具信息!E405)</f>
        <v>60</v>
      </c>
      <c r="F405" s="26">
        <f>IF([2]道具信息!F405="","",[2]道具信息!F405)</f>
        <v>1</v>
      </c>
      <c r="G405" s="26">
        <f>IF([2]道具信息!G405="","",[2]道具信息!G405)</f>
        <v>1</v>
      </c>
      <c r="H405" s="26">
        <f>IF([2]道具信息!H405="","",[2]道具信息!H405)</f>
        <v>1</v>
      </c>
      <c r="I405" s="26">
        <f>IF([2]道具信息!I405="","",[2]道具信息!I405)</f>
        <v>60</v>
      </c>
      <c r="J405" s="26">
        <f>IF([2]道具信息!J405="","",[2]道具信息!J405)</f>
        <v>60</v>
      </c>
      <c r="K405" s="26">
        <f>IF([2]道具信息!K405="","",[2]道具信息!K405)</f>
        <v>60</v>
      </c>
      <c r="L405" s="26" t="str">
        <f>IF([2]道具信息!L405="","",[2]道具信息!L405)</f>
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405" s="26" t="str">
        <f>IF([2]道具信息!M405="","",[2]道具信息!M405)</f>
        <v/>
      </c>
      <c r="N405" s="26" t="str">
        <f>IF([2]道具信息!N405="","",[2]道具信息!N405)</f>
        <v/>
      </c>
      <c r="O405" s="26" t="str">
        <f>IF([2]道具信息!O405="","",[2]道具信息!O405)</f>
        <v/>
      </c>
      <c r="P405" s="26" t="str">
        <f>IF([2]道具信息!P405="","",[2]道具信息!P405)</f>
        <v/>
      </c>
      <c r="Q405" s="26" t="str">
        <f>IF([2]道具信息!Q405="","",[2]道具信息!Q405)</f>
        <v/>
      </c>
    </row>
    <row r="406" spans="3:17" x14ac:dyDescent="0.15">
      <c r="C406" s="26">
        <f>IF([2]道具信息!C406="","",[2]道具信息!C406)</f>
        <v>23016</v>
      </c>
      <c r="D406" s="26" t="str">
        <f>IF([2]道具信息!D406="","",[2]道具信息!D406)</f>
        <v>紫色武将随机宝箱碎片</v>
      </c>
      <c r="E406" s="26">
        <f>IF([2]道具信息!E406="","",[2]道具信息!E406)</f>
        <v>36</v>
      </c>
      <c r="F406" s="26">
        <f>IF([2]道具信息!F406="","",[2]道具信息!F406)</f>
        <v>1</v>
      </c>
      <c r="G406" s="26">
        <f>IF([2]道具信息!G406="","",[2]道具信息!G406)</f>
        <v>1</v>
      </c>
      <c r="H406" s="26">
        <f>IF([2]道具信息!H406="","",[2]道具信息!H406)</f>
        <v>1</v>
      </c>
      <c r="I406" s="26">
        <f>IF([2]道具信息!I406="","",[2]道具信息!I406)</f>
        <v>36</v>
      </c>
      <c r="J406" s="26">
        <f>IF([2]道具信息!J406="","",[2]道具信息!J406)</f>
        <v>36</v>
      </c>
      <c r="K406" s="26">
        <f>IF([2]道具信息!K406="","",[2]道具信息!K406)</f>
        <v>36</v>
      </c>
      <c r="L406" s="26" t="str">
        <f>IF([2]道具信息!L406="","",[2]道具信息!L406)</f>
        <v>集齐10个碎片可以合成，随机获得下列武将中的一个：\n聂荌、专诸、钟无艳、田忌、春申君、莫邪、孙叔敖、西门豹、暴鸢、秦开</v>
      </c>
      <c r="M406" s="26" t="str">
        <f>IF([2]道具信息!M406="","",[2]道具信息!M406)</f>
        <v/>
      </c>
      <c r="N406" s="26" t="str">
        <f>IF([2]道具信息!N406="","",[2]道具信息!N406)</f>
        <v/>
      </c>
      <c r="O406" s="26" t="str">
        <f>IF([2]道具信息!O406="","",[2]道具信息!O406)</f>
        <v/>
      </c>
      <c r="P406" s="26" t="str">
        <f>IF([2]道具信息!P406="","",[2]道具信息!P406)</f>
        <v/>
      </c>
      <c r="Q406" s="26" t="str">
        <f>IF([2]道具信息!Q406="","",[2]道具信息!Q406)</f>
        <v/>
      </c>
    </row>
    <row r="407" spans="3:17" x14ac:dyDescent="0.15">
      <c r="C407" s="26" t="str">
        <f>IF([2]道具信息!C407="","",[2]道具信息!C407)</f>
        <v/>
      </c>
      <c r="D407" s="26" t="str">
        <f>IF([2]道具信息!D407="","",[2]道具信息!D407)</f>
        <v/>
      </c>
      <c r="E407" s="26" t="str">
        <f>IF([2]道具信息!E407="","",[2]道具信息!E407)</f>
        <v/>
      </c>
      <c r="F407" s="26" t="str">
        <f>IF([2]道具信息!F407="","",[2]道具信息!F407)</f>
        <v/>
      </c>
      <c r="G407" s="26" t="str">
        <f>IF([2]道具信息!G407="","",[2]道具信息!G407)</f>
        <v/>
      </c>
      <c r="H407" s="26" t="str">
        <f>IF([2]道具信息!H407="","",[2]道具信息!H407)</f>
        <v/>
      </c>
      <c r="I407" s="26" t="str">
        <f>IF([2]道具信息!I407="","",[2]道具信息!I407)</f>
        <v/>
      </c>
      <c r="J407" s="26" t="str">
        <f>IF([2]道具信息!J407="","",[2]道具信息!J407)</f>
        <v/>
      </c>
      <c r="K407" s="26" t="str">
        <f>IF([2]道具信息!K407="","",[2]道具信息!K407)</f>
        <v/>
      </c>
      <c r="L407" s="26" t="str">
        <f>IF([2]道具信息!L407="","",[2]道具信息!L407)</f>
        <v/>
      </c>
      <c r="M407" s="26" t="str">
        <f>IF([2]道具信息!M407="","",[2]道具信息!M407)</f>
        <v/>
      </c>
      <c r="N407" s="26" t="str">
        <f>IF([2]道具信息!N407="","",[2]道具信息!N407)</f>
        <v/>
      </c>
      <c r="O407" s="26" t="str">
        <f>IF([2]道具信息!O407="","",[2]道具信息!O407)</f>
        <v/>
      </c>
      <c r="P407" s="26" t="str">
        <f>IF([2]道具信息!P407="","",[2]道具信息!P407)</f>
        <v/>
      </c>
      <c r="Q407" s="26" t="str">
        <f>IF([2]道具信息!Q407="","",[2]道具信息!Q407)</f>
        <v/>
      </c>
    </row>
    <row r="408" spans="3:17" x14ac:dyDescent="0.15">
      <c r="C408" s="26" t="str">
        <f>IF([2]道具信息!C408="","",[2]道具信息!C408)</f>
        <v/>
      </c>
      <c r="D408" s="26" t="str">
        <f>IF([2]道具信息!D408="","",[2]道具信息!D408)</f>
        <v>指定绿色装备</v>
      </c>
      <c r="E408" s="26">
        <f>IF([2]道具信息!E408="","",[2]道具信息!E408)</f>
        <v>35</v>
      </c>
      <c r="F408" s="26">
        <f>IF([2]道具信息!F408="","",[2]道具信息!F408)</f>
        <v>1</v>
      </c>
      <c r="G408" s="26">
        <f>IF([2]道具信息!G408="","",[2]道具信息!G408)</f>
        <v>1</v>
      </c>
      <c r="H408" s="26">
        <f>IF([2]道具信息!H408="","",[2]道具信息!H408)</f>
        <v>1</v>
      </c>
      <c r="I408" s="26">
        <f>IF([2]道具信息!I408="","",[2]道具信息!I408)</f>
        <v>35</v>
      </c>
      <c r="J408" s="26">
        <f>IF([2]道具信息!J408="","",[2]道具信息!J408)</f>
        <v>35</v>
      </c>
      <c r="K408" s="26">
        <f>IF([2]道具信息!K408="","",[2]道具信息!K408)</f>
        <v>35</v>
      </c>
      <c r="L408" s="26">
        <f>IF([2]道具信息!L408="","",[2]道具信息!L408)</f>
        <v>1</v>
      </c>
      <c r="M408" s="26" t="str">
        <f>IF([2]道具信息!M408="","",[2]道具信息!M408)</f>
        <v/>
      </c>
      <c r="N408" s="26" t="str">
        <f>IF([2]道具信息!N408="","",[2]道具信息!N408)</f>
        <v/>
      </c>
      <c r="O408" s="26" t="str">
        <f>IF([2]道具信息!O408="","",[2]道具信息!O408)</f>
        <v/>
      </c>
      <c r="P408" s="26" t="str">
        <f>IF([2]道具信息!P408="","",[2]道具信息!P408)</f>
        <v/>
      </c>
      <c r="Q408" s="26" t="str">
        <f>IF([2]道具信息!Q408="","",[2]道具信息!Q408)</f>
        <v/>
      </c>
    </row>
    <row r="409" spans="3:17" x14ac:dyDescent="0.15">
      <c r="C409" s="26" t="str">
        <f>IF([2]道具信息!C409="","",[2]道具信息!C409)</f>
        <v/>
      </c>
      <c r="D409" s="26" t="str">
        <f>IF([2]道具信息!D409="","",[2]道具信息!D409)</f>
        <v>指定蓝色装备</v>
      </c>
      <c r="E409" s="26">
        <f>IF([2]道具信息!E409="","",[2]道具信息!E409)</f>
        <v>120</v>
      </c>
      <c r="F409" s="26">
        <f>IF([2]道具信息!F409="","",[2]道具信息!F409)</f>
        <v>1</v>
      </c>
      <c r="G409" s="26">
        <f>IF([2]道具信息!G409="","",[2]道具信息!G409)</f>
        <v>1</v>
      </c>
      <c r="H409" s="26">
        <f>IF([2]道具信息!H409="","",[2]道具信息!H409)</f>
        <v>1</v>
      </c>
      <c r="I409" s="26">
        <f>IF([2]道具信息!I409="","",[2]道具信息!I409)</f>
        <v>120</v>
      </c>
      <c r="J409" s="26">
        <f>IF([2]道具信息!J409="","",[2]道具信息!J409)</f>
        <v>120</v>
      </c>
      <c r="K409" s="26">
        <f>IF([2]道具信息!K409="","",[2]道具信息!K409)</f>
        <v>120</v>
      </c>
      <c r="L409" s="26">
        <f>IF([2]道具信息!L409="","",[2]道具信息!L409)</f>
        <v>1.5</v>
      </c>
      <c r="M409" s="26" t="str">
        <f>IF([2]道具信息!M409="","",[2]道具信息!M409)</f>
        <v/>
      </c>
      <c r="N409" s="26" t="str">
        <f>IF([2]道具信息!N409="","",[2]道具信息!N409)</f>
        <v/>
      </c>
      <c r="O409" s="26" t="str">
        <f>IF([2]道具信息!O409="","",[2]道具信息!O409)</f>
        <v/>
      </c>
      <c r="P409" s="26" t="str">
        <f>IF([2]道具信息!P409="","",[2]道具信息!P409)</f>
        <v/>
      </c>
      <c r="Q409" s="26" t="str">
        <f>IF([2]道具信息!Q409="","",[2]道具信息!Q409)</f>
        <v/>
      </c>
    </row>
    <row r="410" spans="3:17" x14ac:dyDescent="0.15">
      <c r="C410" s="26" t="str">
        <f>IF([2]道具信息!C410="","",[2]道具信息!C410)</f>
        <v/>
      </c>
      <c r="D410" s="26" t="str">
        <f>IF([2]道具信息!D410="","",[2]道具信息!D410)</f>
        <v>指定紫色装备</v>
      </c>
      <c r="E410" s="26">
        <f>IF([2]道具信息!E410="","",[2]道具信息!E410)</f>
        <v>300</v>
      </c>
      <c r="F410" s="26">
        <f>IF([2]道具信息!F410="","",[2]道具信息!F410)</f>
        <v>1</v>
      </c>
      <c r="G410" s="26">
        <f>IF([2]道具信息!G410="","",[2]道具信息!G410)</f>
        <v>1</v>
      </c>
      <c r="H410" s="26">
        <f>IF([2]道具信息!H410="","",[2]道具信息!H410)</f>
        <v>1</v>
      </c>
      <c r="I410" s="26">
        <f>IF([2]道具信息!I410="","",[2]道具信息!I410)</f>
        <v>300</v>
      </c>
      <c r="J410" s="26">
        <f>IF([2]道具信息!J410="","",[2]道具信息!J410)</f>
        <v>300</v>
      </c>
      <c r="K410" s="26">
        <f>IF([2]道具信息!K410="","",[2]道具信息!K410)</f>
        <v>300</v>
      </c>
      <c r="L410" s="26">
        <f>IF([2]道具信息!L410="","",[2]道具信息!L410)</f>
        <v>2</v>
      </c>
      <c r="M410" s="26" t="str">
        <f>IF([2]道具信息!M410="","",[2]道具信息!M410)</f>
        <v/>
      </c>
      <c r="N410" s="26" t="str">
        <f>IF([2]道具信息!N410="","",[2]道具信息!N410)</f>
        <v/>
      </c>
      <c r="O410" s="26" t="str">
        <f>IF([2]道具信息!O410="","",[2]道具信息!O410)</f>
        <v/>
      </c>
      <c r="P410" s="26" t="str">
        <f>IF([2]道具信息!P410="","",[2]道具信息!P410)</f>
        <v/>
      </c>
      <c r="Q410" s="26" t="str">
        <f>IF([2]道具信息!Q410="","",[2]道具信息!Q410)</f>
        <v/>
      </c>
    </row>
    <row r="411" spans="3:17" x14ac:dyDescent="0.15">
      <c r="C411" s="26" t="str">
        <f>IF([2]道具信息!C411="","",[2]道具信息!C411)</f>
        <v/>
      </c>
      <c r="D411" s="26" t="str">
        <f>IF([2]道具信息!D411="","",[2]道具信息!D411)</f>
        <v>指定橙色装备</v>
      </c>
      <c r="E411" s="26">
        <f>IF([2]道具信息!E411="","",[2]道具信息!E411)</f>
        <v>800</v>
      </c>
      <c r="F411" s="26">
        <f>IF([2]道具信息!F411="","",[2]道具信息!F411)</f>
        <v>1</v>
      </c>
      <c r="G411" s="26">
        <f>IF([2]道具信息!G411="","",[2]道具信息!G411)</f>
        <v>1</v>
      </c>
      <c r="H411" s="26">
        <f>IF([2]道具信息!H411="","",[2]道具信息!H411)</f>
        <v>1</v>
      </c>
      <c r="I411" s="26">
        <f>IF([2]道具信息!I411="","",[2]道具信息!I411)</f>
        <v>800</v>
      </c>
      <c r="J411" s="26">
        <f>IF([2]道具信息!J411="","",[2]道具信息!J411)</f>
        <v>800</v>
      </c>
      <c r="K411" s="26">
        <f>IF([2]道具信息!K411="","",[2]道具信息!K411)</f>
        <v>800</v>
      </c>
      <c r="L411" s="26">
        <f>IF([2]道具信息!L411="","",[2]道具信息!L411)</f>
        <v>2.5</v>
      </c>
      <c r="M411" s="26" t="str">
        <f>IF([2]道具信息!M411="","",[2]道具信息!M411)</f>
        <v/>
      </c>
      <c r="N411" s="26" t="str">
        <f>IF([2]道具信息!N411="","",[2]道具信息!N411)</f>
        <v/>
      </c>
      <c r="O411" s="26" t="str">
        <f>IF([2]道具信息!O411="","",[2]道具信息!O411)</f>
        <v/>
      </c>
      <c r="P411" s="26" t="str">
        <f>IF([2]道具信息!P411="","",[2]道具信息!P411)</f>
        <v/>
      </c>
      <c r="Q411" s="26" t="str">
        <f>IF([2]道具信息!Q411="","",[2]道具信息!Q411)</f>
        <v/>
      </c>
    </row>
    <row r="412" spans="3:17" x14ac:dyDescent="0.15">
      <c r="C412" s="26" t="str">
        <f>IF([2]道具信息!C412="","",[2]道具信息!C412)</f>
        <v/>
      </c>
      <c r="D412" s="26" t="str">
        <f>IF([2]道具信息!D412="","",[2]道具信息!D412)</f>
        <v>指定红色装备</v>
      </c>
      <c r="E412" s="26">
        <f>IF([2]道具信息!E412="","",[2]道具信息!E412)</f>
        <v>7200</v>
      </c>
      <c r="F412" s="26">
        <f>IF([2]道具信息!F412="","",[2]道具信息!F412)</f>
        <v>1</v>
      </c>
      <c r="G412" s="26">
        <f>IF([2]道具信息!G412="","",[2]道具信息!G412)</f>
        <v>1</v>
      </c>
      <c r="H412" s="26">
        <f>IF([2]道具信息!H412="","",[2]道具信息!H412)</f>
        <v>1</v>
      </c>
      <c r="I412" s="26">
        <f>IF([2]道具信息!I412="","",[2]道具信息!I412)</f>
        <v>7200</v>
      </c>
      <c r="J412" s="26">
        <f>IF([2]道具信息!J412="","",[2]道具信息!J412)</f>
        <v>7200</v>
      </c>
      <c r="K412" s="26">
        <f>IF([2]道具信息!K412="","",[2]道具信息!K412)</f>
        <v>7200</v>
      </c>
      <c r="L412" s="26">
        <f>IF([2]道具信息!L412="","",[2]道具信息!L412)</f>
        <v>3</v>
      </c>
      <c r="M412" s="26" t="str">
        <f>IF([2]道具信息!M412="","",[2]道具信息!M412)</f>
        <v/>
      </c>
      <c r="N412" s="26" t="str">
        <f>IF([2]道具信息!N412="","",[2]道具信息!N412)</f>
        <v/>
      </c>
      <c r="O412" s="26" t="str">
        <f>IF([2]道具信息!O412="","",[2]道具信息!O412)</f>
        <v/>
      </c>
      <c r="P412" s="26" t="str">
        <f>IF([2]道具信息!P412="","",[2]道具信息!P412)</f>
        <v/>
      </c>
      <c r="Q412" s="26" t="str">
        <f>IF([2]道具信息!Q412="","",[2]道具信息!Q412)</f>
        <v/>
      </c>
    </row>
    <row r="413" spans="3:17" x14ac:dyDescent="0.15">
      <c r="C413" s="26" t="str">
        <f>IF([2]道具信息!C413="","",[2]道具信息!C413)</f>
        <v/>
      </c>
      <c r="D413" s="26" t="str">
        <f>IF([2]道具信息!D413="","",[2]道具信息!D413)</f>
        <v>指定红+装备</v>
      </c>
      <c r="E413" s="26">
        <f>IF([2]道具信息!E413="","",[2]道具信息!E413)</f>
        <v>14400</v>
      </c>
      <c r="F413" s="26">
        <f>IF([2]道具信息!F413="","",[2]道具信息!F413)</f>
        <v>1.56</v>
      </c>
      <c r="G413" s="26">
        <f>IF([2]道具信息!G413="","",[2]道具信息!G413)</f>
        <v>1.56</v>
      </c>
      <c r="H413" s="26">
        <f>IF([2]道具信息!H413="","",[2]道具信息!H413)</f>
        <v>1.56</v>
      </c>
      <c r="I413" s="26">
        <f>IF([2]道具信息!I413="","",[2]道具信息!I413)</f>
        <v>22464</v>
      </c>
      <c r="J413" s="26">
        <f>IF([2]道具信息!J413="","",[2]道具信息!J413)</f>
        <v>22464</v>
      </c>
      <c r="K413" s="26">
        <f>IF([2]道具信息!K413="","",[2]道具信息!K413)</f>
        <v>22464</v>
      </c>
      <c r="L413" s="26" t="str">
        <f>IF([2]道具信息!L413="","",[2]道具信息!L413)</f>
        <v/>
      </c>
      <c r="M413" s="26" t="str">
        <f>IF([2]道具信息!M413="","",[2]道具信息!M413)</f>
        <v/>
      </c>
      <c r="N413" s="26" t="str">
        <f>IF([2]道具信息!N413="","",[2]道具信息!N413)</f>
        <v/>
      </c>
      <c r="O413" s="26" t="str">
        <f>IF([2]道具信息!O413="","",[2]道具信息!O413)</f>
        <v/>
      </c>
      <c r="P413" s="26" t="str">
        <f>IF([2]道具信息!P413="","",[2]道具信息!P413)</f>
        <v/>
      </c>
      <c r="Q413" s="26" t="str">
        <f>IF([2]道具信息!Q413="","",[2]道具信息!Q413)</f>
        <v/>
      </c>
    </row>
    <row r="414" spans="3:17" x14ac:dyDescent="0.15">
      <c r="C414" s="26">
        <f>IF([2]道具信息!C414="","",[2]道具信息!C414)</f>
        <v>23215</v>
      </c>
      <c r="D414" s="26" t="str">
        <f>IF([2]道具信息!D414="","",[2]道具信息!D414)</f>
        <v>紫色武力装备礼包</v>
      </c>
      <c r="E414" s="26" t="str">
        <f>IF([2]道具信息!E414="","",[2]道具信息!E414)</f>
        <v/>
      </c>
      <c r="F414" s="26">
        <f>IF([2]道具信息!F414="","",[2]道具信息!F414)</f>
        <v>1</v>
      </c>
      <c r="G414" s="26">
        <f>IF([2]道具信息!G414="","",[2]道具信息!G414)</f>
        <v>1</v>
      </c>
      <c r="H414" s="26">
        <f>IF([2]道具信息!H414="","",[2]道具信息!H414)</f>
        <v>1</v>
      </c>
      <c r="I414" s="26" t="str">
        <f>IF([2]道具信息!I414="","",[2]道具信息!I414)</f>
        <v/>
      </c>
      <c r="J414" s="26" t="str">
        <f>IF([2]道具信息!J414="","",[2]道具信息!J414)</f>
        <v/>
      </c>
      <c r="K414" s="26" t="str">
        <f>IF([2]道具信息!K414="","",[2]道具信息!K414)</f>
        <v/>
      </c>
      <c r="L414" s="26" t="str">
        <f>IF([2]道具信息!L414="","",[2]道具信息!L414)</f>
        <v/>
      </c>
      <c r="M414" s="26" t="str">
        <f>IF([2]道具信息!M414="","",[2]道具信息!M414)</f>
        <v/>
      </c>
      <c r="N414" s="26" t="str">
        <f>IF([2]道具信息!N414="","",[2]道具信息!N414)</f>
        <v/>
      </c>
      <c r="O414" s="26" t="str">
        <f>IF([2]道具信息!O414="","",[2]道具信息!O414)</f>
        <v/>
      </c>
      <c r="P414" s="26" t="str">
        <f>IF([2]道具信息!P414="","",[2]道具信息!P414)</f>
        <v/>
      </c>
      <c r="Q414" s="26" t="str">
        <f>IF([2]道具信息!Q414="","",[2]道具信息!Q414)</f>
        <v/>
      </c>
    </row>
    <row r="415" spans="3:17" x14ac:dyDescent="0.15">
      <c r="C415" s="26">
        <f>IF([2]道具信息!C415="","",[2]道具信息!C415)</f>
        <v>23216</v>
      </c>
      <c r="D415" s="26" t="str">
        <f>IF([2]道具信息!D415="","",[2]道具信息!D415)</f>
        <v>紫色智力装备礼包</v>
      </c>
      <c r="E415" s="26" t="str">
        <f>IF([2]道具信息!E415="","",[2]道具信息!E415)</f>
        <v/>
      </c>
      <c r="F415" s="26">
        <f>IF([2]道具信息!F415="","",[2]道具信息!F415)</f>
        <v>1</v>
      </c>
      <c r="G415" s="26">
        <f>IF([2]道具信息!G415="","",[2]道具信息!G415)</f>
        <v>1</v>
      </c>
      <c r="H415" s="26">
        <f>IF([2]道具信息!H415="","",[2]道具信息!H415)</f>
        <v>1</v>
      </c>
      <c r="I415" s="26" t="str">
        <f>IF([2]道具信息!I415="","",[2]道具信息!I415)</f>
        <v/>
      </c>
      <c r="J415" s="26" t="str">
        <f>IF([2]道具信息!J415="","",[2]道具信息!J415)</f>
        <v/>
      </c>
      <c r="K415" s="26" t="str">
        <f>IF([2]道具信息!K415="","",[2]道具信息!K415)</f>
        <v/>
      </c>
      <c r="L415" s="26" t="str">
        <f>IF([2]道具信息!L415="","",[2]道具信息!L415)</f>
        <v/>
      </c>
      <c r="M415" s="26" t="str">
        <f>IF([2]道具信息!M415="","",[2]道具信息!M415)</f>
        <v/>
      </c>
      <c r="N415" s="26" t="str">
        <f>IF([2]道具信息!N415="","",[2]道具信息!N415)</f>
        <v/>
      </c>
      <c r="O415" s="26" t="str">
        <f>IF([2]道具信息!O415="","",[2]道具信息!O415)</f>
        <v/>
      </c>
      <c r="P415" s="26" t="str">
        <f>IF([2]道具信息!P415="","",[2]道具信息!P415)</f>
        <v/>
      </c>
      <c r="Q415" s="26" t="str">
        <f>IF([2]道具信息!Q415="","",[2]道具信息!Q415)</f>
        <v/>
      </c>
    </row>
    <row r="416" spans="3:17" x14ac:dyDescent="0.15">
      <c r="C416" s="26">
        <f>IF([2]道具信息!C416="","",[2]道具信息!C416)</f>
        <v>23217</v>
      </c>
      <c r="D416" s="26" t="str">
        <f>IF([2]道具信息!D416="","",[2]道具信息!D416)</f>
        <v>橙色统率装备礼包</v>
      </c>
      <c r="E416" s="26" t="str">
        <f>IF([2]道具信息!E416="","",[2]道具信息!E416)</f>
        <v/>
      </c>
      <c r="F416" s="26">
        <f>IF([2]道具信息!F416="","",[2]道具信息!F416)</f>
        <v>1</v>
      </c>
      <c r="G416" s="26">
        <f>IF([2]道具信息!G416="","",[2]道具信息!G416)</f>
        <v>1</v>
      </c>
      <c r="H416" s="26">
        <f>IF([2]道具信息!H416="","",[2]道具信息!H416)</f>
        <v>1</v>
      </c>
      <c r="I416" s="26" t="str">
        <f>IF([2]道具信息!I416="","",[2]道具信息!I416)</f>
        <v/>
      </c>
      <c r="J416" s="26" t="str">
        <f>IF([2]道具信息!J416="","",[2]道具信息!J416)</f>
        <v/>
      </c>
      <c r="K416" s="26" t="str">
        <f>IF([2]道具信息!K416="","",[2]道具信息!K416)</f>
        <v/>
      </c>
      <c r="L416" s="26" t="str">
        <f>IF([2]道具信息!L416="","",[2]道具信息!L416)</f>
        <v/>
      </c>
      <c r="M416" s="26" t="str">
        <f>IF([2]道具信息!M416="","",[2]道具信息!M416)</f>
        <v/>
      </c>
      <c r="N416" s="26" t="str">
        <f>IF([2]道具信息!N416="","",[2]道具信息!N416)</f>
        <v/>
      </c>
      <c r="O416" s="26" t="str">
        <f>IF([2]道具信息!O416="","",[2]道具信息!O416)</f>
        <v/>
      </c>
      <c r="P416" s="26" t="str">
        <f>IF([2]道具信息!P416="","",[2]道具信息!P416)</f>
        <v/>
      </c>
      <c r="Q416" s="26" t="str">
        <f>IF([2]道具信息!Q416="","",[2]道具信息!Q416)</f>
        <v/>
      </c>
    </row>
    <row r="417" spans="3:17" x14ac:dyDescent="0.15">
      <c r="C417" s="26">
        <f>IF([2]道具信息!C417="","",[2]道具信息!C417)</f>
        <v>23218</v>
      </c>
      <c r="D417" s="26" t="str">
        <f>IF([2]道具信息!D417="","",[2]道具信息!D417)</f>
        <v>橙色智力装备礼包</v>
      </c>
      <c r="E417" s="26" t="str">
        <f>IF([2]道具信息!E417="","",[2]道具信息!E417)</f>
        <v/>
      </c>
      <c r="F417" s="26">
        <f>IF([2]道具信息!F417="","",[2]道具信息!F417)</f>
        <v>1</v>
      </c>
      <c r="G417" s="26">
        <f>IF([2]道具信息!G417="","",[2]道具信息!G417)</f>
        <v>1</v>
      </c>
      <c r="H417" s="26">
        <f>IF([2]道具信息!H417="","",[2]道具信息!H417)</f>
        <v>1</v>
      </c>
      <c r="I417" s="26" t="str">
        <f>IF([2]道具信息!I417="","",[2]道具信息!I417)</f>
        <v/>
      </c>
      <c r="J417" s="26" t="str">
        <f>IF([2]道具信息!J417="","",[2]道具信息!J417)</f>
        <v/>
      </c>
      <c r="K417" s="26" t="str">
        <f>IF([2]道具信息!K417="","",[2]道具信息!K417)</f>
        <v/>
      </c>
      <c r="L417" s="26" t="str">
        <f>IF([2]道具信息!L417="","",[2]道具信息!L417)</f>
        <v/>
      </c>
      <c r="M417" s="26" t="str">
        <f>IF([2]道具信息!M417="","",[2]道具信息!M417)</f>
        <v/>
      </c>
      <c r="N417" s="26" t="str">
        <f>IF([2]道具信息!N417="","",[2]道具信息!N417)</f>
        <v/>
      </c>
      <c r="O417" s="26" t="str">
        <f>IF([2]道具信息!O417="","",[2]道具信息!O417)</f>
        <v/>
      </c>
      <c r="P417" s="26" t="str">
        <f>IF([2]道具信息!P417="","",[2]道具信息!P417)</f>
        <v/>
      </c>
      <c r="Q417" s="26" t="str">
        <f>IF([2]道具信息!Q417="","",[2]道具信息!Q417)</f>
        <v/>
      </c>
    </row>
    <row r="418" spans="3:17" x14ac:dyDescent="0.15">
      <c r="C418" s="26">
        <f>IF([2]道具信息!C418="","",[2]道具信息!C418)</f>
        <v>23219</v>
      </c>
      <c r="D418" s="26" t="str">
        <f>IF([2]道具信息!D418="","",[2]道具信息!D418)</f>
        <v>橙色武力装备礼包</v>
      </c>
      <c r="E418" s="26" t="str">
        <f>IF([2]道具信息!E418="","",[2]道具信息!E418)</f>
        <v/>
      </c>
      <c r="F418" s="26">
        <f>IF([2]道具信息!F418="","",[2]道具信息!F418)</f>
        <v>1</v>
      </c>
      <c r="G418" s="26">
        <f>IF([2]道具信息!G418="","",[2]道具信息!G418)</f>
        <v>1</v>
      </c>
      <c r="H418" s="26">
        <f>IF([2]道具信息!H418="","",[2]道具信息!H418)</f>
        <v>1</v>
      </c>
      <c r="I418" s="26" t="str">
        <f>IF([2]道具信息!I418="","",[2]道具信息!I418)</f>
        <v/>
      </c>
      <c r="J418" s="26" t="str">
        <f>IF([2]道具信息!J418="","",[2]道具信息!J418)</f>
        <v/>
      </c>
      <c r="K418" s="26" t="str">
        <f>IF([2]道具信息!K418="","",[2]道具信息!K418)</f>
        <v/>
      </c>
      <c r="L418" s="26" t="str">
        <f>IF([2]道具信息!L418="","",[2]道具信息!L418)</f>
        <v/>
      </c>
      <c r="M418" s="26" t="str">
        <f>IF([2]道具信息!M418="","",[2]道具信息!M418)</f>
        <v/>
      </c>
      <c r="N418" s="26" t="str">
        <f>IF([2]道具信息!N418="","",[2]道具信息!N418)</f>
        <v/>
      </c>
      <c r="O418" s="26" t="str">
        <f>IF([2]道具信息!O418="","",[2]道具信息!O418)</f>
        <v/>
      </c>
      <c r="P418" s="26" t="str">
        <f>IF([2]道具信息!P418="","",[2]道具信息!P418)</f>
        <v/>
      </c>
      <c r="Q418" s="26" t="str">
        <f>IF([2]道具信息!Q418="","",[2]道具信息!Q418)</f>
        <v/>
      </c>
    </row>
    <row r="419" spans="3:17" x14ac:dyDescent="0.15">
      <c r="C419" s="26">
        <f>IF([2]道具信息!C419="","",[2]道具信息!C419)</f>
        <v>22118</v>
      </c>
      <c r="D419" s="26" t="str">
        <f>IF([2]道具信息!D419="","",[2]道具信息!D419)</f>
        <v>负荆请罪武魂</v>
      </c>
      <c r="E419" s="26" t="str">
        <f>IF([2]道具信息!E419="","",[2]道具信息!E419)</f>
        <v/>
      </c>
      <c r="F419" s="26">
        <f>IF([2]道具信息!F419="","",[2]道具信息!F419)</f>
        <v>1</v>
      </c>
      <c r="G419" s="26">
        <f>IF([2]道具信息!G419="","",[2]道具信息!G419)</f>
        <v>1</v>
      </c>
      <c r="H419" s="26">
        <f>IF([2]道具信息!H419="","",[2]道具信息!H419)</f>
        <v>1</v>
      </c>
      <c r="I419" s="26" t="str">
        <f>IF([2]道具信息!I419="","",[2]道具信息!I419)</f>
        <v/>
      </c>
      <c r="J419" s="26" t="str">
        <f>IF([2]道具信息!J419="","",[2]道具信息!J419)</f>
        <v/>
      </c>
      <c r="K419" s="26" t="str">
        <f>IF([2]道具信息!K419="","",[2]道具信息!K419)</f>
        <v/>
      </c>
      <c r="L419" s="26" t="str">
        <f>IF([2]道具信息!L419="","",[2]道具信息!L419)</f>
        <v/>
      </c>
      <c r="M419" s="26" t="str">
        <f>IF([2]道具信息!M419="","",[2]道具信息!M419)</f>
        <v/>
      </c>
      <c r="N419" s="26" t="str">
        <f>IF([2]道具信息!N419="","",[2]道具信息!N419)</f>
        <v/>
      </c>
      <c r="O419" s="26" t="str">
        <f>IF([2]道具信息!O419="","",[2]道具信息!O419)</f>
        <v/>
      </c>
      <c r="P419" s="26" t="str">
        <f>IF([2]道具信息!P419="","",[2]道具信息!P419)</f>
        <v/>
      </c>
      <c r="Q419" s="26" t="str">
        <f>IF([2]道具信息!Q419="","",[2]道具信息!Q419)</f>
        <v/>
      </c>
    </row>
    <row r="420" spans="3:17" x14ac:dyDescent="0.15">
      <c r="C420" s="26" t="str">
        <f>IF([2]道具信息!C420="","",[2]道具信息!C420)</f>
        <v/>
      </c>
      <c r="D420" s="26" t="str">
        <f>IF([2]道具信息!D420="","",[2]道具信息!D420)</f>
        <v/>
      </c>
      <c r="E420" s="26" t="str">
        <f>IF([2]道具信息!E420="","",[2]道具信息!E420)</f>
        <v/>
      </c>
      <c r="F420" s="26">
        <f>IF([2]道具信息!F420="","",[2]道具信息!F420)</f>
        <v>1</v>
      </c>
      <c r="G420" s="26">
        <f>IF([2]道具信息!G420="","",[2]道具信息!G420)</f>
        <v>1</v>
      </c>
      <c r="H420" s="26">
        <f>IF([2]道具信息!H420="","",[2]道具信息!H420)</f>
        <v>1</v>
      </c>
      <c r="I420" s="26" t="str">
        <f>IF([2]道具信息!I420="","",[2]道具信息!I420)</f>
        <v/>
      </c>
      <c r="J420" s="26" t="str">
        <f>IF([2]道具信息!J420="","",[2]道具信息!J420)</f>
        <v/>
      </c>
      <c r="K420" s="26" t="str">
        <f>IF([2]道具信息!K420="","",[2]道具信息!K420)</f>
        <v/>
      </c>
      <c r="L420" s="26" t="str">
        <f>IF([2]道具信息!L420="","",[2]道具信息!L420)</f>
        <v/>
      </c>
      <c r="M420" s="26" t="str">
        <f>IF([2]道具信息!M420="","",[2]道具信息!M420)</f>
        <v/>
      </c>
      <c r="N420" s="26" t="str">
        <f>IF([2]道具信息!N420="","",[2]道具信息!N420)</f>
        <v/>
      </c>
      <c r="O420" s="26" t="str">
        <f>IF([2]道具信息!O420="","",[2]道具信息!O420)</f>
        <v/>
      </c>
      <c r="P420" s="26" t="str">
        <f>IF([2]道具信息!P420="","",[2]道具信息!P420)</f>
        <v/>
      </c>
      <c r="Q420" s="26" t="str">
        <f>IF([2]道具信息!Q420="","",[2]道具信息!Q420)</f>
        <v/>
      </c>
    </row>
    <row r="421" spans="3:17" x14ac:dyDescent="0.15">
      <c r="C421" s="26">
        <f>IF([2]道具信息!C421="","",[2]道具信息!C421)</f>
        <v>23348</v>
      </c>
      <c r="D421" s="26" t="str">
        <f>IF([2]道具信息!D421="","",[2]道具信息!D421)</f>
        <v>清剿令</v>
      </c>
      <c r="E421" s="26" t="str">
        <f>IF([2]道具信息!E421="","",[2]道具信息!E421)</f>
        <v/>
      </c>
      <c r="F421" s="26">
        <f>IF([2]道具信息!F421="","",[2]道具信息!F421)</f>
        <v>1</v>
      </c>
      <c r="G421" s="26">
        <f>IF([2]道具信息!G421="","",[2]道具信息!G421)</f>
        <v>1</v>
      </c>
      <c r="H421" s="26">
        <f>IF([2]道具信息!H421="","",[2]道具信息!H421)</f>
        <v>1</v>
      </c>
      <c r="I421" s="26" t="str">
        <f>IF([2]道具信息!I421="","",[2]道具信息!I421)</f>
        <v/>
      </c>
      <c r="J421" s="26" t="str">
        <f>IF([2]道具信息!J421="","",[2]道具信息!J421)</f>
        <v/>
      </c>
      <c r="K421" s="26" t="str">
        <f>IF([2]道具信息!K421="","",[2]道具信息!K421)</f>
        <v/>
      </c>
      <c r="L421" s="26" t="str">
        <f>IF([2]道具信息!L421="","",[2]道具信息!L421)</f>
        <v/>
      </c>
      <c r="M421" s="26" t="str">
        <f>IF([2]道具信息!M421="","",[2]道具信息!M421)</f>
        <v/>
      </c>
      <c r="N421" s="26" t="str">
        <f>IF([2]道具信息!N421="","",[2]道具信息!N421)</f>
        <v/>
      </c>
      <c r="O421" s="26" t="str">
        <f>IF([2]道具信息!O421="","",[2]道具信息!O421)</f>
        <v/>
      </c>
      <c r="P421" s="26" t="str">
        <f>IF([2]道具信息!P421="","",[2]道具信息!P421)</f>
        <v/>
      </c>
      <c r="Q421" s="26" t="str">
        <f>IF([2]道具信息!Q421="","",[2]道具信息!Q421)</f>
        <v/>
      </c>
    </row>
    <row r="422" spans="3:17" x14ac:dyDescent="0.15">
      <c r="C422" s="26" t="str">
        <f>IF([2]道具信息!C422="","",[2]道具信息!C422)</f>
        <v/>
      </c>
      <c r="D422" s="26" t="str">
        <f>IF([2]道具信息!D422="","",[2]道具信息!D422)</f>
        <v/>
      </c>
      <c r="E422" s="26" t="str">
        <f>IF([2]道具信息!E422="","",[2]道具信息!E422)</f>
        <v/>
      </c>
      <c r="F422" s="26">
        <f>IF([2]道具信息!F422="","",[2]道具信息!F422)</f>
        <v>1</v>
      </c>
      <c r="G422" s="26">
        <f>IF([2]道具信息!G422="","",[2]道具信息!G422)</f>
        <v>1</v>
      </c>
      <c r="H422" s="26">
        <f>IF([2]道具信息!H422="","",[2]道具信息!H422)</f>
        <v>1</v>
      </c>
      <c r="I422" s="26" t="str">
        <f>IF([2]道具信息!I422="","",[2]道具信息!I422)</f>
        <v/>
      </c>
      <c r="J422" s="26" t="str">
        <f>IF([2]道具信息!J422="","",[2]道具信息!J422)</f>
        <v/>
      </c>
      <c r="K422" s="26" t="str">
        <f>IF([2]道具信息!K422="","",[2]道具信息!K422)</f>
        <v/>
      </c>
      <c r="L422" s="26" t="str">
        <f>IF([2]道具信息!L422="","",[2]道具信息!L422)</f>
        <v/>
      </c>
      <c r="M422" s="26" t="str">
        <f>IF([2]道具信息!M422="","",[2]道具信息!M422)</f>
        <v/>
      </c>
      <c r="N422" s="26" t="str">
        <f>IF([2]道具信息!N422="","",[2]道具信息!N422)</f>
        <v/>
      </c>
      <c r="O422" s="26" t="str">
        <f>IF([2]道具信息!O422="","",[2]道具信息!O422)</f>
        <v/>
      </c>
      <c r="P422" s="26" t="str">
        <f>IF([2]道具信息!P422="","",[2]道具信息!P422)</f>
        <v/>
      </c>
      <c r="Q422" s="26" t="str">
        <f>IF([2]道具信息!Q422="","",[2]道具信息!Q422)</f>
        <v/>
      </c>
    </row>
    <row r="423" spans="3:17" x14ac:dyDescent="0.15">
      <c r="C423" s="26" t="str">
        <f>IF([2]道具信息!C423="","",[2]道具信息!C423)</f>
        <v/>
      </c>
      <c r="D423" s="26" t="str">
        <f>IF([2]道具信息!D423="","",[2]道具信息!D423)</f>
        <v/>
      </c>
      <c r="E423" s="26" t="str">
        <f>IF([2]道具信息!E423="","",[2]道具信息!E423)</f>
        <v/>
      </c>
      <c r="F423" s="26">
        <f>IF([2]道具信息!F423="","",[2]道具信息!F423)</f>
        <v>1</v>
      </c>
      <c r="G423" s="26">
        <f>IF([2]道具信息!G423="","",[2]道具信息!G423)</f>
        <v>1</v>
      </c>
      <c r="H423" s="26">
        <f>IF([2]道具信息!H423="","",[2]道具信息!H423)</f>
        <v>1</v>
      </c>
      <c r="I423" s="26" t="str">
        <f>IF([2]道具信息!I423="","",[2]道具信息!I423)</f>
        <v/>
      </c>
      <c r="J423" s="26" t="str">
        <f>IF([2]道具信息!J423="","",[2]道具信息!J423)</f>
        <v/>
      </c>
      <c r="K423" s="26" t="str">
        <f>IF([2]道具信息!K423="","",[2]道具信息!K423)</f>
        <v/>
      </c>
      <c r="L423" s="26" t="str">
        <f>IF([2]道具信息!L423="","",[2]道具信息!L423)</f>
        <v/>
      </c>
      <c r="M423" s="26" t="str">
        <f>IF([2]道具信息!M423="","",[2]道具信息!M423)</f>
        <v/>
      </c>
      <c r="N423" s="26" t="str">
        <f>IF([2]道具信息!N423="","",[2]道具信息!N423)</f>
        <v/>
      </c>
      <c r="O423" s="26" t="str">
        <f>IF([2]道具信息!O423="","",[2]道具信息!O423)</f>
        <v/>
      </c>
      <c r="P423" s="26" t="str">
        <f>IF([2]道具信息!P423="","",[2]道具信息!P423)</f>
        <v/>
      </c>
      <c r="Q423" s="26" t="str">
        <f>IF([2]道具信息!Q423="","",[2]道具信息!Q423)</f>
        <v/>
      </c>
    </row>
    <row r="424" spans="3:17" x14ac:dyDescent="0.15">
      <c r="C424" s="26" t="str">
        <f>IF([2]道具信息!C424="","",[2]道具信息!C424)</f>
        <v/>
      </c>
      <c r="D424" s="26" t="str">
        <f>IF([2]道具信息!D424="","",[2]道具信息!D424)</f>
        <v/>
      </c>
      <c r="E424" s="26" t="str">
        <f>IF([2]道具信息!E424="","",[2]道具信息!E424)</f>
        <v/>
      </c>
      <c r="F424" s="26">
        <f>IF([2]道具信息!F424="","",[2]道具信息!F424)</f>
        <v>1</v>
      </c>
      <c r="G424" s="26">
        <f>IF([2]道具信息!G424="","",[2]道具信息!G424)</f>
        <v>1</v>
      </c>
      <c r="H424" s="26">
        <f>IF([2]道具信息!H424="","",[2]道具信息!H424)</f>
        <v>1</v>
      </c>
      <c r="I424" s="26" t="str">
        <f>IF([2]道具信息!I424="","",[2]道具信息!I424)</f>
        <v/>
      </c>
      <c r="J424" s="26" t="str">
        <f>IF([2]道具信息!J424="","",[2]道具信息!J424)</f>
        <v/>
      </c>
      <c r="K424" s="26" t="str">
        <f>IF([2]道具信息!K424="","",[2]道具信息!K424)</f>
        <v/>
      </c>
      <c r="L424" s="26" t="str">
        <f>IF([2]道具信息!L424="","",[2]道具信息!L424)</f>
        <v/>
      </c>
      <c r="M424" s="26" t="str">
        <f>IF([2]道具信息!M424="","",[2]道具信息!M424)</f>
        <v/>
      </c>
      <c r="N424" s="26" t="str">
        <f>IF([2]道具信息!N424="","",[2]道具信息!N424)</f>
        <v/>
      </c>
      <c r="O424" s="26" t="str">
        <f>IF([2]道具信息!O424="","",[2]道具信息!O424)</f>
        <v/>
      </c>
      <c r="P424" s="26" t="str">
        <f>IF([2]道具信息!P424="","",[2]道具信息!P424)</f>
        <v/>
      </c>
      <c r="Q424" s="26" t="str">
        <f>IF([2]道具信息!Q424="","",[2]道具信息!Q424)</f>
        <v/>
      </c>
    </row>
    <row r="425" spans="3:17" x14ac:dyDescent="0.15">
      <c r="C425" s="26">
        <f>IF([2]道具信息!C425="","",[2]道具信息!C425)</f>
        <v>22116</v>
      </c>
      <c r="D425" s="26" t="str">
        <f>IF([2]道具信息!D425="","",[2]道具信息!D425)</f>
        <v>倾国倾城武魂</v>
      </c>
      <c r="E425" s="26" t="str">
        <f>IF([2]道具信息!E425="","",[2]道具信息!E425)</f>
        <v/>
      </c>
      <c r="F425" s="26">
        <f>IF([2]道具信息!F425="","",[2]道具信息!F425)</f>
        <v>1</v>
      </c>
      <c r="G425" s="26">
        <f>IF([2]道具信息!G425="","",[2]道具信息!G425)</f>
        <v>1</v>
      </c>
      <c r="H425" s="26">
        <f>IF([2]道具信息!H425="","",[2]道具信息!H425)</f>
        <v>1</v>
      </c>
      <c r="I425" s="26" t="str">
        <f>IF([2]道具信息!I425="","",[2]道具信息!I425)</f>
        <v/>
      </c>
      <c r="J425" s="26" t="str">
        <f>IF([2]道具信息!J425="","",[2]道具信息!J425)</f>
        <v/>
      </c>
      <c r="K425" s="26" t="str">
        <f>IF([2]道具信息!K425="","",[2]道具信息!K425)</f>
        <v/>
      </c>
      <c r="L425" s="26" t="str">
        <f>IF([2]道具信息!L425="","",[2]道具信息!L425)</f>
        <v/>
      </c>
      <c r="M425" s="26" t="str">
        <f>IF([2]道具信息!M425="","",[2]道具信息!M425)</f>
        <v/>
      </c>
      <c r="N425" s="26" t="str">
        <f>IF([2]道具信息!N425="","",[2]道具信息!N425)</f>
        <v/>
      </c>
      <c r="O425" s="26" t="str">
        <f>IF([2]道具信息!O425="","",[2]道具信息!O425)</f>
        <v/>
      </c>
      <c r="P425" s="26" t="str">
        <f>IF([2]道具信息!P425="","",[2]道具信息!P425)</f>
        <v/>
      </c>
      <c r="Q425" s="26" t="str">
        <f>IF([2]道具信息!Q425="","",[2]道具信息!Q425)</f>
        <v/>
      </c>
    </row>
    <row r="426" spans="3:17" x14ac:dyDescent="0.15">
      <c r="C426" s="26">
        <f>IF([2]道具信息!C426="","",[2]道具信息!C426)</f>
        <v>22117</v>
      </c>
      <c r="D426" s="26" t="str">
        <f>IF([2]道具信息!D426="","",[2]道具信息!D426)</f>
        <v>墨行天下武魂</v>
      </c>
      <c r="E426" s="26" t="str">
        <f>IF([2]道具信息!E426="","",[2]道具信息!E426)</f>
        <v/>
      </c>
      <c r="F426" s="26">
        <f>IF([2]道具信息!F426="","",[2]道具信息!F426)</f>
        <v>1</v>
      </c>
      <c r="G426" s="26">
        <f>IF([2]道具信息!G426="","",[2]道具信息!G426)</f>
        <v>1</v>
      </c>
      <c r="H426" s="26">
        <f>IF([2]道具信息!H426="","",[2]道具信息!H426)</f>
        <v>1</v>
      </c>
      <c r="I426" s="26" t="str">
        <f>IF([2]道具信息!I426="","",[2]道具信息!I426)</f>
        <v/>
      </c>
      <c r="J426" s="26" t="str">
        <f>IF([2]道具信息!J426="","",[2]道具信息!J426)</f>
        <v/>
      </c>
      <c r="K426" s="26" t="str">
        <f>IF([2]道具信息!K426="","",[2]道具信息!K426)</f>
        <v/>
      </c>
      <c r="L426" s="26" t="str">
        <f>IF([2]道具信息!L426="","",[2]道具信息!L426)</f>
        <v/>
      </c>
      <c r="M426" s="26" t="str">
        <f>IF([2]道具信息!M426="","",[2]道具信息!M426)</f>
        <v/>
      </c>
      <c r="N426" s="26" t="str">
        <f>IF([2]道具信息!N426="","",[2]道具信息!N426)</f>
        <v/>
      </c>
      <c r="O426" s="26" t="str">
        <f>IF([2]道具信息!O426="","",[2]道具信息!O426)</f>
        <v/>
      </c>
      <c r="P426" s="26" t="str">
        <f>IF([2]道具信息!P426="","",[2]道具信息!P426)</f>
        <v/>
      </c>
      <c r="Q426" s="26" t="str">
        <f>IF([2]道具信息!Q426="","",[2]道具信息!Q426)</f>
        <v/>
      </c>
    </row>
    <row r="427" spans="3:17" x14ac:dyDescent="0.15">
      <c r="C427" s="26">
        <f>IF([2]道具信息!C427="","",[2]道具信息!C427)</f>
        <v>23220</v>
      </c>
      <c r="D427" s="26" t="str">
        <f>IF([2]道具信息!D427="","",[2]道具信息!D427)</f>
        <v>红色统智装备礼包</v>
      </c>
      <c r="E427" s="26" t="str">
        <f>IF([2]道具信息!E427="","",[2]道具信息!E427)</f>
        <v/>
      </c>
      <c r="F427" s="26">
        <f>IF([2]道具信息!F427="","",[2]道具信息!F427)</f>
        <v>1</v>
      </c>
      <c r="G427" s="26">
        <f>IF([2]道具信息!G427="","",[2]道具信息!G427)</f>
        <v>1</v>
      </c>
      <c r="H427" s="26">
        <f>IF([2]道具信息!H427="","",[2]道具信息!H427)</f>
        <v>1</v>
      </c>
      <c r="I427" s="26" t="str">
        <f>IF([2]道具信息!I427="","",[2]道具信息!I427)</f>
        <v/>
      </c>
      <c r="J427" s="26" t="str">
        <f>IF([2]道具信息!J427="","",[2]道具信息!J427)</f>
        <v/>
      </c>
      <c r="K427" s="26" t="str">
        <f>IF([2]道具信息!K427="","",[2]道具信息!K427)</f>
        <v/>
      </c>
      <c r="L427" s="26" t="str">
        <f>IF([2]道具信息!L427="","",[2]道具信息!L427)</f>
        <v/>
      </c>
      <c r="M427" s="26" t="str">
        <f>IF([2]道具信息!M427="","",[2]道具信息!M427)</f>
        <v/>
      </c>
      <c r="N427" s="26" t="str">
        <f>IF([2]道具信息!N427="","",[2]道具信息!N427)</f>
        <v/>
      </c>
      <c r="O427" s="26" t="str">
        <f>IF([2]道具信息!O427="","",[2]道具信息!O427)</f>
        <v/>
      </c>
      <c r="P427" s="26" t="str">
        <f>IF([2]道具信息!P427="","",[2]道具信息!P427)</f>
        <v/>
      </c>
      <c r="Q427" s="26" t="str">
        <f>IF([2]道具信息!Q427="","",[2]道具信息!Q427)</f>
        <v/>
      </c>
    </row>
    <row r="428" spans="3:17" x14ac:dyDescent="0.15">
      <c r="C428" s="26">
        <f>IF([2]道具信息!C428="","",[2]道具信息!C428)</f>
        <v>23221</v>
      </c>
      <c r="D428" s="26" t="str">
        <f>IF([2]道具信息!D428="","",[2]道具信息!D428)</f>
        <v>紫色兵法自选宝箱</v>
      </c>
      <c r="E428" s="26" t="str">
        <f>IF([2]道具信息!E428="","",[2]道具信息!E428)</f>
        <v/>
      </c>
      <c r="F428" s="26">
        <f>IF([2]道具信息!F428="","",[2]道具信息!F428)</f>
        <v>1</v>
      </c>
      <c r="G428" s="26">
        <f>IF([2]道具信息!G428="","",[2]道具信息!G428)</f>
        <v>1</v>
      </c>
      <c r="H428" s="26">
        <f>IF([2]道具信息!H428="","",[2]道具信息!H428)</f>
        <v>1</v>
      </c>
      <c r="I428" s="26" t="str">
        <f>IF([2]道具信息!I428="","",[2]道具信息!I428)</f>
        <v/>
      </c>
      <c r="J428" s="26" t="str">
        <f>IF([2]道具信息!J428="","",[2]道具信息!J428)</f>
        <v/>
      </c>
      <c r="K428" s="26" t="str">
        <f>IF([2]道具信息!K428="","",[2]道具信息!K428)</f>
        <v/>
      </c>
      <c r="L428" s="26" t="str">
        <f>IF([2]道具信息!L428="","",[2]道具信息!L428)</f>
        <v/>
      </c>
      <c r="M428" s="26" t="str">
        <f>IF([2]道具信息!M428="","",[2]道具信息!M428)</f>
        <v/>
      </c>
      <c r="N428" s="26" t="str">
        <f>IF([2]道具信息!N428="","",[2]道具信息!N428)</f>
        <v/>
      </c>
      <c r="O428" s="26" t="str">
        <f>IF([2]道具信息!O428="","",[2]道具信息!O428)</f>
        <v/>
      </c>
      <c r="P428" s="26" t="str">
        <f>IF([2]道具信息!P428="","",[2]道具信息!P428)</f>
        <v/>
      </c>
      <c r="Q428" s="26" t="str">
        <f>IF([2]道具信息!Q428="","",[2]道具信息!Q428)</f>
        <v/>
      </c>
    </row>
    <row r="429" spans="3:17" x14ac:dyDescent="0.15">
      <c r="C429" s="26">
        <f>IF([2]道具信息!C429="","",[2]道具信息!C429)</f>
        <v>23222</v>
      </c>
      <c r="D429" s="26" t="str">
        <f>IF([2]道具信息!D429="","",[2]道具信息!D429)</f>
        <v>橙色兵法自选宝箱</v>
      </c>
      <c r="E429" s="26" t="str">
        <f>IF([2]道具信息!E429="","",[2]道具信息!E429)</f>
        <v/>
      </c>
      <c r="F429" s="26">
        <f>IF([2]道具信息!F429="","",[2]道具信息!F429)</f>
        <v>1</v>
      </c>
      <c r="G429" s="26">
        <f>IF([2]道具信息!G429="","",[2]道具信息!G429)</f>
        <v>1</v>
      </c>
      <c r="H429" s="26">
        <f>IF([2]道具信息!H429="","",[2]道具信息!H429)</f>
        <v>1</v>
      </c>
      <c r="I429" s="26" t="str">
        <f>IF([2]道具信息!I429="","",[2]道具信息!I429)</f>
        <v/>
      </c>
      <c r="J429" s="26" t="str">
        <f>IF([2]道具信息!J429="","",[2]道具信息!J429)</f>
        <v/>
      </c>
      <c r="K429" s="26" t="str">
        <f>IF([2]道具信息!K429="","",[2]道具信息!K429)</f>
        <v/>
      </c>
      <c r="L429" s="26" t="str">
        <f>IF([2]道具信息!L429="","",[2]道具信息!L429)</f>
        <v/>
      </c>
      <c r="M429" s="26" t="str">
        <f>IF([2]道具信息!M429="","",[2]道具信息!M429)</f>
        <v/>
      </c>
      <c r="N429" s="26" t="str">
        <f>IF([2]道具信息!N429="","",[2]道具信息!N429)</f>
        <v/>
      </c>
      <c r="O429" s="26" t="str">
        <f>IF([2]道具信息!O429="","",[2]道具信息!O429)</f>
        <v/>
      </c>
      <c r="P429" s="26" t="str">
        <f>IF([2]道具信息!P429="","",[2]道具信息!P429)</f>
        <v/>
      </c>
      <c r="Q429" s="26" t="str">
        <f>IF([2]道具信息!Q429="","",[2]道具信息!Q429)</f>
        <v/>
      </c>
    </row>
    <row r="430" spans="3:17" x14ac:dyDescent="0.15">
      <c r="C430" s="26">
        <f>IF([2]道具信息!C430="","",[2]道具信息!C430)</f>
        <v>23364</v>
      </c>
      <c r="D430" s="26" t="str">
        <f>IF([2]道具信息!D430="","",[2]道具信息!D430)</f>
        <v>自选橙色兵法碎片</v>
      </c>
      <c r="E430" s="26" t="str">
        <f>IF([2]道具信息!E430="","",[2]道具信息!E430)</f>
        <v/>
      </c>
      <c r="F430" s="26">
        <f>IF([2]道具信息!F430="","",[2]道具信息!F430)</f>
        <v>1</v>
      </c>
      <c r="G430" s="26">
        <f>IF([2]道具信息!G430="","",[2]道具信息!G430)</f>
        <v>1</v>
      </c>
      <c r="H430" s="26">
        <f>IF([2]道具信息!H430="","",[2]道具信息!H430)</f>
        <v>1</v>
      </c>
      <c r="I430" s="26" t="str">
        <f>IF([2]道具信息!I430="","",[2]道具信息!I430)</f>
        <v/>
      </c>
      <c r="J430" s="26" t="str">
        <f>IF([2]道具信息!J430="","",[2]道具信息!J430)</f>
        <v/>
      </c>
      <c r="K430" s="26" t="str">
        <f>IF([2]道具信息!K430="","",[2]道具信息!K430)</f>
        <v/>
      </c>
      <c r="L430" s="26" t="str">
        <f>IF([2]道具信息!L430="","",[2]道具信息!L430)</f>
        <v/>
      </c>
      <c r="M430" s="26" t="str">
        <f>IF([2]道具信息!M430="","",[2]道具信息!M430)</f>
        <v/>
      </c>
      <c r="N430" s="26" t="str">
        <f>IF([2]道具信息!N430="","",[2]道具信息!N430)</f>
        <v/>
      </c>
      <c r="O430" s="26" t="str">
        <f>IF([2]道具信息!O430="","",[2]道具信息!O430)</f>
        <v/>
      </c>
      <c r="P430" s="26" t="str">
        <f>IF([2]道具信息!P430="","",[2]道具信息!P430)</f>
        <v/>
      </c>
      <c r="Q430" s="26" t="str">
        <f>IF([2]道具信息!Q430="","",[2]道具信息!Q430)</f>
        <v/>
      </c>
    </row>
    <row r="431" spans="3:17" x14ac:dyDescent="0.15">
      <c r="C431" s="26">
        <f>IF([2]道具信息!C431="","",[2]道具信息!C431)</f>
        <v>23365</v>
      </c>
      <c r="D431" s="26" t="str">
        <f>IF([2]道具信息!D431="","",[2]道具信息!D431)</f>
        <v>自选紫色兵法碎片</v>
      </c>
      <c r="E431" s="26" t="str">
        <f>IF([2]道具信息!E431="","",[2]道具信息!E431)</f>
        <v/>
      </c>
      <c r="F431" s="26">
        <f>IF([2]道具信息!F431="","",[2]道具信息!F431)</f>
        <v>1</v>
      </c>
      <c r="G431" s="26">
        <f>IF([2]道具信息!G431="","",[2]道具信息!G431)</f>
        <v>1</v>
      </c>
      <c r="H431" s="26">
        <f>IF([2]道具信息!H431="","",[2]道具信息!H431)</f>
        <v>1</v>
      </c>
      <c r="I431" s="26" t="str">
        <f>IF([2]道具信息!I431="","",[2]道具信息!I431)</f>
        <v/>
      </c>
      <c r="J431" s="26" t="str">
        <f>IF([2]道具信息!J431="","",[2]道具信息!J431)</f>
        <v/>
      </c>
      <c r="K431" s="26" t="str">
        <f>IF([2]道具信息!K431="","",[2]道具信息!K431)</f>
        <v/>
      </c>
      <c r="L431" s="26" t="str">
        <f>IF([2]道具信息!L431="","",[2]道具信息!L431)</f>
        <v/>
      </c>
      <c r="M431" s="26" t="str">
        <f>IF([2]道具信息!M431="","",[2]道具信息!M431)</f>
        <v/>
      </c>
      <c r="N431" s="26" t="str">
        <f>IF([2]道具信息!N431="","",[2]道具信息!N431)</f>
        <v/>
      </c>
      <c r="O431" s="26" t="str">
        <f>IF([2]道具信息!O431="","",[2]道具信息!O431)</f>
        <v/>
      </c>
      <c r="P431" s="26" t="str">
        <f>IF([2]道具信息!P431="","",[2]道具信息!P431)</f>
        <v/>
      </c>
      <c r="Q431" s="26" t="str">
        <f>IF([2]道具信息!Q431="","",[2]道具信息!Q431)</f>
        <v/>
      </c>
    </row>
    <row r="432" spans="3:17" x14ac:dyDescent="0.15">
      <c r="C432" s="26" t="str">
        <f>IF([2]道具信息!C432="","",[2]道具信息!C432)</f>
        <v/>
      </c>
      <c r="D432" s="26" t="str">
        <f>IF([2]道具信息!D432="","",[2]道具信息!D432)</f>
        <v/>
      </c>
      <c r="E432" s="26" t="str">
        <f>IF([2]道具信息!E432="","",[2]道具信息!E432)</f>
        <v/>
      </c>
      <c r="F432" s="26">
        <f>IF([2]道具信息!F432="","",[2]道具信息!F432)</f>
        <v>1</v>
      </c>
      <c r="G432" s="26">
        <f>IF([2]道具信息!G432="","",[2]道具信息!G432)</f>
        <v>1</v>
      </c>
      <c r="H432" s="26">
        <f>IF([2]道具信息!H432="","",[2]道具信息!H432)</f>
        <v>1</v>
      </c>
      <c r="I432" s="26" t="str">
        <f>IF([2]道具信息!I432="","",[2]道具信息!I432)</f>
        <v/>
      </c>
      <c r="J432" s="26" t="str">
        <f>IF([2]道具信息!J432="","",[2]道具信息!J432)</f>
        <v/>
      </c>
      <c r="K432" s="26" t="str">
        <f>IF([2]道具信息!K432="","",[2]道具信息!K432)</f>
        <v/>
      </c>
      <c r="L432" s="26" t="str">
        <f>IF([2]道具信息!L432="","",[2]道具信息!L432)</f>
        <v/>
      </c>
      <c r="M432" s="26" t="str">
        <f>IF([2]道具信息!M432="","",[2]道具信息!M432)</f>
        <v/>
      </c>
      <c r="N432" s="26" t="str">
        <f>IF([2]道具信息!N432="","",[2]道具信息!N432)</f>
        <v/>
      </c>
      <c r="O432" s="26" t="str">
        <f>IF([2]道具信息!O432="","",[2]道具信息!O432)</f>
        <v/>
      </c>
      <c r="P432" s="26" t="str">
        <f>IF([2]道具信息!P432="","",[2]道具信息!P432)</f>
        <v/>
      </c>
      <c r="Q432" s="26" t="str">
        <f>IF([2]道具信息!Q432="","",[2]道具信息!Q432)</f>
        <v/>
      </c>
    </row>
    <row r="433" spans="3:17" x14ac:dyDescent="0.15">
      <c r="C433" s="26">
        <f>IF([2]道具信息!C433="","",[2]道具信息!C433)</f>
        <v>21075</v>
      </c>
      <c r="D433" s="26" t="str">
        <f>IF([2]道具信息!D433="","",[2]道具信息!D433)</f>
        <v>中级免战牌</v>
      </c>
      <c r="E433" s="26">
        <f>IF([2]道具信息!E433="","",[2]道具信息!E433)</f>
        <v>200</v>
      </c>
      <c r="F433" s="26">
        <f>IF([2]道具信息!F433="","",[2]道具信息!F433)</f>
        <v>1</v>
      </c>
      <c r="G433" s="26">
        <f>IF([2]道具信息!G433="","",[2]道具信息!G433)</f>
        <v>1</v>
      </c>
      <c r="H433" s="26">
        <f>IF([2]道具信息!H433="","",[2]道具信息!H433)</f>
        <v>1</v>
      </c>
      <c r="I433" s="26">
        <f>IF([2]道具信息!I433="","",[2]道具信息!I433)</f>
        <v>200</v>
      </c>
      <c r="J433" s="26">
        <f>IF([2]道具信息!J433="","",[2]道具信息!J433)</f>
        <v>200</v>
      </c>
      <c r="K433" s="26">
        <f>IF([2]道具信息!K433="","",[2]道具信息!K433)</f>
        <v>200</v>
      </c>
      <c r="L433" s="26" t="str">
        <f>IF([2]道具信息!L433="","",[2]道具信息!L433)</f>
        <v>使用后城池不会遭受来自其他玩家的攻击，主动进攻其他玩家后失效，持续12小时</v>
      </c>
      <c r="M433" s="26" t="str">
        <f>IF([2]道具信息!M433="","",[2]道具信息!M433)</f>
        <v/>
      </c>
      <c r="N433" s="26" t="str">
        <f>IF([2]道具信息!N433="","",[2]道具信息!N433)</f>
        <v/>
      </c>
      <c r="O433" s="26" t="str">
        <f>IF([2]道具信息!O433="","",[2]道具信息!O433)</f>
        <v/>
      </c>
      <c r="P433" s="26" t="str">
        <f>IF([2]道具信息!P433="","",[2]道具信息!P433)</f>
        <v/>
      </c>
      <c r="Q433" s="26" t="str">
        <f>IF([2]道具信息!Q433="","",[2]道具信息!Q433)</f>
        <v/>
      </c>
    </row>
    <row r="434" spans="3:17" x14ac:dyDescent="0.15">
      <c r="C434" s="26">
        <f>IF([2]道具信息!C434="","",[2]道具信息!C434)</f>
        <v>21071</v>
      </c>
      <c r="D434" s="26" t="str">
        <f>IF([2]道具信息!D434="","",[2]道具信息!D434)</f>
        <v>高级免战牌</v>
      </c>
      <c r="E434" s="26">
        <f>IF([2]道具信息!E434="","",[2]道具信息!E434)</f>
        <v>500</v>
      </c>
      <c r="F434" s="26">
        <f>IF([2]道具信息!F434="","",[2]道具信息!F434)</f>
        <v>1</v>
      </c>
      <c r="G434" s="26">
        <f>IF([2]道具信息!G434="","",[2]道具信息!G434)</f>
        <v>1</v>
      </c>
      <c r="H434" s="26">
        <f>IF([2]道具信息!H434="","",[2]道具信息!H434)</f>
        <v>1</v>
      </c>
      <c r="I434" s="26">
        <f>IF([2]道具信息!I434="","",[2]道具信息!I434)</f>
        <v>500</v>
      </c>
      <c r="J434" s="26">
        <f>IF([2]道具信息!J434="","",[2]道具信息!J434)</f>
        <v>500</v>
      </c>
      <c r="K434" s="26">
        <f>IF([2]道具信息!K434="","",[2]道具信息!K434)</f>
        <v>500</v>
      </c>
      <c r="L434" s="26" t="str">
        <f>IF([2]道具信息!L434="","",[2]道具信息!L434)</f>
        <v>使用后城池不会遭受来自其他玩家的攻击，主动进攻其他玩家后失效，持续24小时</v>
      </c>
      <c r="M434" s="26" t="str">
        <f>IF([2]道具信息!M434="","",[2]道具信息!M434)</f>
        <v/>
      </c>
      <c r="N434" s="26" t="str">
        <f>IF([2]道具信息!N434="","",[2]道具信息!N434)</f>
        <v/>
      </c>
      <c r="O434" s="26" t="str">
        <f>IF([2]道具信息!O434="","",[2]道具信息!O434)</f>
        <v/>
      </c>
      <c r="P434" s="26" t="str">
        <f>IF([2]道具信息!P434="","",[2]道具信息!P434)</f>
        <v/>
      </c>
      <c r="Q434" s="26" t="str">
        <f>IF([2]道具信息!Q434="","",[2]道具信息!Q434)</f>
        <v/>
      </c>
    </row>
    <row r="435" spans="3:17" x14ac:dyDescent="0.15">
      <c r="C435" s="26">
        <f>IF([2]道具信息!C435="","",[2]道具信息!C435)</f>
        <v>21072</v>
      </c>
      <c r="D435" s="26" t="str">
        <f>IF([2]道具信息!D435="","",[2]道具信息!D435)</f>
        <v>特级免战牌</v>
      </c>
      <c r="E435" s="26">
        <f>IF([2]道具信息!E435="","",[2]道具信息!E435)</f>
        <v>1800</v>
      </c>
      <c r="F435" s="26">
        <f>IF([2]道具信息!F435="","",[2]道具信息!F435)</f>
        <v>1</v>
      </c>
      <c r="G435" s="26">
        <f>IF([2]道具信息!G435="","",[2]道具信息!G435)</f>
        <v>1</v>
      </c>
      <c r="H435" s="26">
        <f>IF([2]道具信息!H435="","",[2]道具信息!H435)</f>
        <v>1</v>
      </c>
      <c r="I435" s="26">
        <f>IF([2]道具信息!I435="","",[2]道具信息!I435)</f>
        <v>1800</v>
      </c>
      <c r="J435" s="26">
        <f>IF([2]道具信息!J435="","",[2]道具信息!J435)</f>
        <v>1800</v>
      </c>
      <c r="K435" s="26">
        <f>IF([2]道具信息!K435="","",[2]道具信息!K435)</f>
        <v>1800</v>
      </c>
      <c r="L435" s="26" t="str">
        <f>IF([2]道具信息!L435="","",[2]道具信息!L435)</f>
        <v>使用后城池不会遭受来自其他玩家的攻击，主动进攻其他玩家后失效，持续72小时</v>
      </c>
      <c r="M435" s="26" t="str">
        <f>IF([2]道具信息!M435="","",[2]道具信息!M435)</f>
        <v/>
      </c>
      <c r="N435" s="26" t="str">
        <f>IF([2]道具信息!N435="","",[2]道具信息!N435)</f>
        <v/>
      </c>
      <c r="O435" s="26" t="str">
        <f>IF([2]道具信息!O435="","",[2]道具信息!O435)</f>
        <v/>
      </c>
      <c r="P435" s="26" t="str">
        <f>IF([2]道具信息!P435="","",[2]道具信息!P435)</f>
        <v/>
      </c>
      <c r="Q435" s="26" t="str">
        <f>IF([2]道具信息!Q435="","",[2]道具信息!Q435)</f>
        <v/>
      </c>
    </row>
    <row r="436" spans="3:17" x14ac:dyDescent="0.15">
      <c r="C436" s="26" t="str">
        <f>IF([2]道具信息!C436="","",[2]道具信息!C436)</f>
        <v/>
      </c>
      <c r="D436" s="26" t="str">
        <f>IF([2]道具信息!D436="","",[2]道具信息!D436)</f>
        <v/>
      </c>
      <c r="E436" s="26" t="str">
        <f>IF([2]道具信息!E436="","",[2]道具信息!E436)</f>
        <v/>
      </c>
      <c r="F436" s="26">
        <f>IF([2]道具信息!F436="","",[2]道具信息!F436)</f>
        <v>1</v>
      </c>
      <c r="G436" s="26">
        <f>IF([2]道具信息!G436="","",[2]道具信息!G436)</f>
        <v>1</v>
      </c>
      <c r="H436" s="26">
        <f>IF([2]道具信息!H436="","",[2]道具信息!H436)</f>
        <v>1</v>
      </c>
      <c r="I436" s="26" t="str">
        <f>IF([2]道具信息!I436="","",[2]道具信息!I436)</f>
        <v/>
      </c>
      <c r="J436" s="26" t="str">
        <f>IF([2]道具信息!J436="","",[2]道具信息!J436)</f>
        <v/>
      </c>
      <c r="K436" s="26" t="str">
        <f>IF([2]道具信息!K436="","",[2]道具信息!K436)</f>
        <v/>
      </c>
      <c r="L436" s="26" t="str">
        <f>IF([2]道具信息!L436="","",[2]道具信息!L436)</f>
        <v>消灭野怪获得，用于宝物温养。</v>
      </c>
      <c r="M436" s="26" t="str">
        <f>IF([2]道具信息!M436="","",[2]道具信息!M436)</f>
        <v/>
      </c>
      <c r="N436" s="26" t="str">
        <f>IF([2]道具信息!N436="","",[2]道具信息!N436)</f>
        <v/>
      </c>
      <c r="O436" s="26" t="str">
        <f>IF([2]道具信息!O436="","",[2]道具信息!O436)</f>
        <v/>
      </c>
      <c r="P436" s="26" t="str">
        <f>IF([2]道具信息!P436="","",[2]道具信息!P436)</f>
        <v/>
      </c>
      <c r="Q436" s="26" t="str">
        <f>IF([2]道具信息!Q436="","",[2]道具信息!Q436)</f>
        <v/>
      </c>
    </row>
    <row r="437" spans="3:17" x14ac:dyDescent="0.15">
      <c r="C437" s="26">
        <f>IF([2]道具信息!C437="","",[2]道具信息!C437)</f>
        <v>23359</v>
      </c>
      <c r="D437" s="26" t="str">
        <f>IF([2]道具信息!D437="","",[2]道具信息!D437)</f>
        <v>宝鉴</v>
      </c>
      <c r="E437" s="26" t="str">
        <f>IF([2]道具信息!E437="","",[2]道具信息!E437)</f>
        <v/>
      </c>
      <c r="F437" s="26">
        <f>IF([2]道具信息!F437="","",[2]道具信息!F437)</f>
        <v>1</v>
      </c>
      <c r="G437" s="26">
        <f>IF([2]道具信息!G437="","",[2]道具信息!G437)</f>
        <v>1</v>
      </c>
      <c r="H437" s="26">
        <f>IF([2]道具信息!H437="","",[2]道具信息!H437)</f>
        <v>1</v>
      </c>
      <c r="I437" s="26" t="str">
        <f>IF([2]道具信息!I437="","",[2]道具信息!I437)</f>
        <v/>
      </c>
      <c r="J437" s="26" t="str">
        <f>IF([2]道具信息!J437="","",[2]道具信息!J437)</f>
        <v/>
      </c>
      <c r="K437" s="26" t="str">
        <f>IF([2]道具信息!K437="","",[2]道具信息!K437)</f>
        <v/>
      </c>
      <c r="L437" s="26" t="str">
        <f>IF([2]道具信息!L437="","",[2]道具信息!L437)</f>
        <v>持有宝鉴名册，可鉴天下珍宝</v>
      </c>
      <c r="M437" s="26" t="str">
        <f>IF([2]道具信息!M437="","",[2]道具信息!M437)</f>
        <v/>
      </c>
      <c r="N437" s="26" t="str">
        <f>IF([2]道具信息!N437="","",[2]道具信息!N437)</f>
        <v/>
      </c>
      <c r="O437" s="26" t="str">
        <f>IF([2]道具信息!O437="","",[2]道具信息!O437)</f>
        <v/>
      </c>
      <c r="P437" s="26" t="str">
        <f>IF([2]道具信息!P437="","",[2]道具信息!P437)</f>
        <v/>
      </c>
      <c r="Q437" s="26" t="str">
        <f>IF([2]道具信息!Q437="","",[2]道具信息!Q437)</f>
        <v/>
      </c>
    </row>
    <row r="438" spans="3:17" x14ac:dyDescent="0.15">
      <c r="C438" s="26">
        <f>IF([2]道具信息!C438="","",[2]道具信息!C438)</f>
        <v>23526</v>
      </c>
      <c r="D438" s="26" t="str">
        <f>IF([2]道具信息!D438="","",[2]道具信息!D438)</f>
        <v>极品装备宝箱碎片</v>
      </c>
      <c r="E438" s="26" t="str">
        <f>IF([2]道具信息!E438="","",[2]道具信息!E438)</f>
        <v/>
      </c>
      <c r="F438" s="26">
        <f>IF([2]道具信息!F438="","",[2]道具信息!F438)</f>
        <v>1</v>
      </c>
      <c r="G438" s="26">
        <f>IF([2]道具信息!G438="","",[2]道具信息!G438)</f>
        <v>1</v>
      </c>
      <c r="H438" s="26">
        <f>IF([2]道具信息!H438="","",[2]道具信息!H438)</f>
        <v>1</v>
      </c>
      <c r="I438" s="26" t="str">
        <f>IF([2]道具信息!I438="","",[2]道具信息!I438)</f>
        <v/>
      </c>
      <c r="J438" s="26" t="str">
        <f>IF([2]道具信息!J438="","",[2]道具信息!J438)</f>
        <v/>
      </c>
      <c r="K438" s="26" t="str">
        <f>IF([2]道具信息!K438="","",[2]道具信息!K438)</f>
        <v/>
      </c>
      <c r="L438" s="26" t="str">
        <f>IF([2]道具信息!L438="","",[2]道具信息!L438)</f>
        <v>使用后可以获得一个极品红色装备宝箱</v>
      </c>
      <c r="M438" s="26" t="str">
        <f>IF([2]道具信息!M438="","",[2]道具信息!M438)</f>
        <v/>
      </c>
      <c r="N438" s="26" t="str">
        <f>IF([2]道具信息!N438="","",[2]道具信息!N438)</f>
        <v/>
      </c>
      <c r="O438" s="26" t="str">
        <f>IF([2]道具信息!O438="","",[2]道具信息!O438)</f>
        <v/>
      </c>
      <c r="P438" s="26" t="str">
        <f>IF([2]道具信息!P438="","",[2]道具信息!P438)</f>
        <v/>
      </c>
      <c r="Q438" s="26" t="str">
        <f>IF([2]道具信息!Q438="","",[2]道具信息!Q438)</f>
        <v/>
      </c>
    </row>
    <row r="439" spans="3:17" x14ac:dyDescent="0.15">
      <c r="C439" s="26">
        <f>IF([2]道具信息!C439="","",[2]道具信息!C439)</f>
        <v>23527</v>
      </c>
      <c r="D439" s="26" t="str">
        <f>IF([2]道具信息!D439="","",[2]道具信息!D439)</f>
        <v>极品装备宝箱</v>
      </c>
      <c r="E439" s="26" t="str">
        <f>IF([2]道具信息!E439="","",[2]道具信息!E439)</f>
        <v/>
      </c>
      <c r="F439" s="26">
        <f>IF([2]道具信息!F439="","",[2]道具信息!F439)</f>
        <v>1</v>
      </c>
      <c r="G439" s="26">
        <f>IF([2]道具信息!G439="","",[2]道具信息!G439)</f>
        <v>1</v>
      </c>
      <c r="H439" s="26">
        <f>IF([2]道具信息!H439="","",[2]道具信息!H439)</f>
        <v>1</v>
      </c>
      <c r="I439" s="26" t="str">
        <f>IF([2]道具信息!I439="","",[2]道具信息!I439)</f>
        <v/>
      </c>
      <c r="J439" s="26" t="str">
        <f>IF([2]道具信息!J439="","",[2]道具信息!J439)</f>
        <v/>
      </c>
      <c r="K439" s="26" t="str">
        <f>IF([2]道具信息!K439="","",[2]道具信息!K439)</f>
        <v/>
      </c>
      <c r="L439" s="26" t="str">
        <f>IF([2]道具信息!L439="","",[2]道具信息!L439)</f>
        <v>使用后可以选择获得一件极品红色装备</v>
      </c>
      <c r="M439" s="26" t="str">
        <f>IF([2]道具信息!M439="","",[2]道具信息!M439)</f>
        <v/>
      </c>
      <c r="N439" s="26" t="str">
        <f>IF([2]道具信息!N439="","",[2]道具信息!N439)</f>
        <v/>
      </c>
      <c r="O439" s="26" t="str">
        <f>IF([2]道具信息!O439="","",[2]道具信息!O439)</f>
        <v/>
      </c>
      <c r="P439" s="26" t="str">
        <f>IF([2]道具信息!P439="","",[2]道具信息!P439)</f>
        <v/>
      </c>
      <c r="Q439" s="26" t="str">
        <f>IF([2]道具信息!Q439="","",[2]道具信息!Q439)</f>
        <v/>
      </c>
    </row>
    <row r="440" spans="3:17" x14ac:dyDescent="0.15">
      <c r="C440" s="26">
        <f>IF([2]道具信息!C440="","",[2]道具信息!C440)</f>
        <v>23528</v>
      </c>
      <c r="D440" s="26" t="str">
        <f>IF([2]道具信息!D440="","",[2]道具信息!D440)</f>
        <v>极品统武装备宝箱</v>
      </c>
      <c r="E440" s="26" t="str">
        <f>IF([2]道具信息!E440="","",[2]道具信息!E440)</f>
        <v/>
      </c>
      <c r="F440" s="26">
        <f>IF([2]道具信息!F440="","",[2]道具信息!F440)</f>
        <v>1</v>
      </c>
      <c r="G440" s="26">
        <f>IF([2]道具信息!G440="","",[2]道具信息!G440)</f>
        <v>1</v>
      </c>
      <c r="H440" s="26">
        <f>IF([2]道具信息!H440="","",[2]道具信息!H440)</f>
        <v>1</v>
      </c>
      <c r="I440" s="26" t="str">
        <f>IF([2]道具信息!I440="","",[2]道具信息!I440)</f>
        <v/>
      </c>
      <c r="J440" s="26" t="str">
        <f>IF([2]道具信息!J440="","",[2]道具信息!J440)</f>
        <v/>
      </c>
      <c r="K440" s="26" t="str">
        <f>IF([2]道具信息!K440="","",[2]道具信息!K440)</f>
        <v/>
      </c>
      <c r="L440" s="26" t="str">
        <f>IF([2]道具信息!L440="","",[2]道具信息!L440)</f>
        <v>使用后获得十方古璃套装3件套装备</v>
      </c>
      <c r="M440" s="26" t="str">
        <f>IF([2]道具信息!M440="","",[2]道具信息!M440)</f>
        <v/>
      </c>
      <c r="N440" s="26" t="str">
        <f>IF([2]道具信息!N440="","",[2]道具信息!N440)</f>
        <v/>
      </c>
      <c r="O440" s="26" t="str">
        <f>IF([2]道具信息!O440="","",[2]道具信息!O440)</f>
        <v/>
      </c>
      <c r="P440" s="26" t="str">
        <f>IF([2]道具信息!P440="","",[2]道具信息!P440)</f>
        <v/>
      </c>
      <c r="Q440" s="26" t="str">
        <f>IF([2]道具信息!Q440="","",[2]道具信息!Q440)</f>
        <v/>
      </c>
    </row>
    <row r="441" spans="3:17" x14ac:dyDescent="0.15">
      <c r="C441" s="26">
        <f>IF([2]道具信息!C441="","",[2]道具信息!C441)</f>
        <v>23529</v>
      </c>
      <c r="D441" s="26" t="str">
        <f>IF([2]道具信息!D441="","",[2]道具信息!D441)</f>
        <v>极品统智装备宝箱</v>
      </c>
      <c r="E441" s="26" t="str">
        <f>IF([2]道具信息!E441="","",[2]道具信息!E441)</f>
        <v/>
      </c>
      <c r="F441" s="26">
        <f>IF([2]道具信息!F441="","",[2]道具信息!F441)</f>
        <v>1</v>
      </c>
      <c r="G441" s="26">
        <f>IF([2]道具信息!G441="","",[2]道具信息!G441)</f>
        <v>1</v>
      </c>
      <c r="H441" s="26">
        <f>IF([2]道具信息!H441="","",[2]道具信息!H441)</f>
        <v>1</v>
      </c>
      <c r="I441" s="26" t="str">
        <f>IF([2]道具信息!I441="","",[2]道具信息!I441)</f>
        <v/>
      </c>
      <c r="J441" s="26" t="str">
        <f>IF([2]道具信息!J441="","",[2]道具信息!J441)</f>
        <v/>
      </c>
      <c r="K441" s="26" t="str">
        <f>IF([2]道具信息!K441="","",[2]道具信息!K441)</f>
        <v/>
      </c>
      <c r="L441" s="26" t="str">
        <f>IF([2]道具信息!L441="","",[2]道具信息!L441)</f>
        <v>使用后获得墨霜广焱3件套装备</v>
      </c>
      <c r="M441" s="26" t="str">
        <f>IF([2]道具信息!M441="","",[2]道具信息!M441)</f>
        <v/>
      </c>
      <c r="N441" s="26" t="str">
        <f>IF([2]道具信息!N441="","",[2]道具信息!N441)</f>
        <v/>
      </c>
      <c r="O441" s="26" t="str">
        <f>IF([2]道具信息!O441="","",[2]道具信息!O441)</f>
        <v/>
      </c>
      <c r="P441" s="26" t="str">
        <f>IF([2]道具信息!P441="","",[2]道具信息!P441)</f>
        <v/>
      </c>
      <c r="Q441" s="26" t="str">
        <f>IF([2]道具信息!Q441="","",[2]道具信息!Q441)</f>
        <v/>
      </c>
    </row>
    <row r="442" spans="3:17" x14ac:dyDescent="0.15">
      <c r="C442" s="26">
        <f>IF([2]道具信息!C442="","",[2]道具信息!C442)</f>
        <v>23530</v>
      </c>
      <c r="D442" s="26" t="str">
        <f>IF([2]道具信息!D442="","",[2]道具信息!D442)</f>
        <v>红色装备宝箱碎片</v>
      </c>
      <c r="E442" s="26" t="str">
        <f>IF([2]道具信息!E442="","",[2]道具信息!E442)</f>
        <v/>
      </c>
      <c r="F442" s="26">
        <f>IF([2]道具信息!F442="","",[2]道具信息!F442)</f>
        <v>1</v>
      </c>
      <c r="G442" s="26">
        <f>IF([2]道具信息!G442="","",[2]道具信息!G442)</f>
        <v>1</v>
      </c>
      <c r="H442" s="26">
        <f>IF([2]道具信息!H442="","",[2]道具信息!H442)</f>
        <v>1</v>
      </c>
      <c r="I442" s="26" t="str">
        <f>IF([2]道具信息!I442="","",[2]道具信息!I442)</f>
        <v/>
      </c>
      <c r="J442" s="26" t="str">
        <f>IF([2]道具信息!J442="","",[2]道具信息!J442)</f>
        <v/>
      </c>
      <c r="K442" s="26" t="str">
        <f>IF([2]道具信息!K442="","",[2]道具信息!K442)</f>
        <v/>
      </c>
      <c r="L442" s="26" t="str">
        <f>IF([2]道具信息!L442="","",[2]道具信息!L442)</f>
        <v>使用后可以获得一个红色装备宝箱</v>
      </c>
      <c r="M442" s="26" t="str">
        <f>IF([2]道具信息!M442="","",[2]道具信息!M442)</f>
        <v/>
      </c>
      <c r="N442" s="26" t="str">
        <f>IF([2]道具信息!N442="","",[2]道具信息!N442)</f>
        <v/>
      </c>
      <c r="O442" s="26" t="str">
        <f>IF([2]道具信息!O442="","",[2]道具信息!O442)</f>
        <v/>
      </c>
      <c r="P442" s="26" t="str">
        <f>IF([2]道具信息!P442="","",[2]道具信息!P442)</f>
        <v/>
      </c>
      <c r="Q442" s="26" t="str">
        <f>IF([2]道具信息!Q442="","",[2]道具信息!Q442)</f>
        <v/>
      </c>
    </row>
    <row r="443" spans="3:17" x14ac:dyDescent="0.15">
      <c r="C443" s="26">
        <f>IF([2]道具信息!C443="","",[2]道具信息!C443)</f>
        <v>23531</v>
      </c>
      <c r="D443" s="26" t="str">
        <f>IF([2]道具信息!D443="","",[2]道具信息!D443)</f>
        <v>红色装备宝箱</v>
      </c>
      <c r="E443" s="26" t="str">
        <f>IF([2]道具信息!E443="","",[2]道具信息!E443)</f>
        <v/>
      </c>
      <c r="F443" s="26">
        <f>IF([2]道具信息!F443="","",[2]道具信息!F443)</f>
        <v>1</v>
      </c>
      <c r="G443" s="26">
        <f>IF([2]道具信息!G443="","",[2]道具信息!G443)</f>
        <v>1</v>
      </c>
      <c r="H443" s="26">
        <f>IF([2]道具信息!H443="","",[2]道具信息!H443)</f>
        <v>1</v>
      </c>
      <c r="I443" s="26" t="str">
        <f>IF([2]道具信息!I443="","",[2]道具信息!I443)</f>
        <v/>
      </c>
      <c r="J443" s="26" t="str">
        <f>IF([2]道具信息!J443="","",[2]道具信息!J443)</f>
        <v/>
      </c>
      <c r="K443" s="26" t="str">
        <f>IF([2]道具信息!K443="","",[2]道具信息!K443)</f>
        <v/>
      </c>
      <c r="L443" s="26" t="str">
        <f>IF([2]道具信息!L443="","",[2]道具信息!L443)</f>
        <v>使用后可以选择获得一件红色装备</v>
      </c>
      <c r="M443" s="26" t="str">
        <f>IF([2]道具信息!M443="","",[2]道具信息!M443)</f>
        <v/>
      </c>
      <c r="N443" s="26" t="str">
        <f>IF([2]道具信息!N443="","",[2]道具信息!N443)</f>
        <v/>
      </c>
      <c r="O443" s="26" t="str">
        <f>IF([2]道具信息!O443="","",[2]道具信息!O443)</f>
        <v/>
      </c>
      <c r="P443" s="26" t="str">
        <f>IF([2]道具信息!P443="","",[2]道具信息!P443)</f>
        <v/>
      </c>
      <c r="Q443" s="26" t="str">
        <f>IF([2]道具信息!Q443="","",[2]道具信息!Q443)</f>
        <v/>
      </c>
    </row>
    <row r="444" spans="3:17" x14ac:dyDescent="0.15">
      <c r="C444" s="26">
        <f>IF([2]道具信息!C444="","",[2]道具信息!C444)</f>
        <v>23532</v>
      </c>
      <c r="D444" s="26" t="str">
        <f>IF([2]道具信息!D444="","",[2]道具信息!D444)</f>
        <v>抛砖引玉·极-残片</v>
      </c>
      <c r="E444" s="26" t="str">
        <f>IF([2]道具信息!E444="","",[2]道具信息!E444)</f>
        <v/>
      </c>
      <c r="F444" s="26">
        <f>IF([2]道具信息!F444="","",[2]道具信息!F444)</f>
        <v>1</v>
      </c>
      <c r="G444" s="26">
        <f>IF([2]道具信息!G444="","",[2]道具信息!G444)</f>
        <v>1</v>
      </c>
      <c r="H444" s="26">
        <f>IF([2]道具信息!H444="","",[2]道具信息!H444)</f>
        <v>1</v>
      </c>
      <c r="I444" s="26" t="str">
        <f>IF([2]道具信息!I444="","",[2]道具信息!I444)</f>
        <v/>
      </c>
      <c r="J444" s="26" t="str">
        <f>IF([2]道具信息!J444="","",[2]道具信息!J444)</f>
        <v/>
      </c>
      <c r="K444" s="26" t="str">
        <f>IF([2]道具信息!K444="","",[2]道具信息!K444)</f>
        <v/>
      </c>
      <c r="L444" s="26" t="str">
        <f>IF([2]道具信息!L444="","",[2]道具信息!L444)</f>
        <v/>
      </c>
      <c r="M444" s="26" t="str">
        <f>IF([2]道具信息!M444="","",[2]道具信息!M444)</f>
        <v/>
      </c>
      <c r="N444" s="26" t="str">
        <f>IF([2]道具信息!N444="","",[2]道具信息!N444)</f>
        <v/>
      </c>
      <c r="O444" s="26" t="str">
        <f>IF([2]道具信息!O444="","",[2]道具信息!O444)</f>
        <v/>
      </c>
      <c r="P444" s="26" t="str">
        <f>IF([2]道具信息!P444="","",[2]道具信息!P444)</f>
        <v/>
      </c>
      <c r="Q444" s="26" t="str">
        <f>IF([2]道具信息!Q444="","",[2]道具信息!Q444)</f>
        <v/>
      </c>
    </row>
    <row r="445" spans="3:17" x14ac:dyDescent="0.15">
      <c r="C445" s="26">
        <f>IF([2]道具信息!C445="","",[2]道具信息!C445)</f>
        <v>23389</v>
      </c>
      <c r="D445" s="26" t="str">
        <f>IF([2]道具信息!D445="","",[2]道具信息!D445)</f>
        <v>秦阳陵虎符碎片</v>
      </c>
      <c r="E445" s="26" t="str">
        <f>IF([2]道具信息!E445="","",[2]道具信息!E445)</f>
        <v/>
      </c>
      <c r="F445" s="26">
        <f>IF([2]道具信息!F445="","",[2]道具信息!F445)</f>
        <v>1</v>
      </c>
      <c r="G445" s="26">
        <f>IF([2]道具信息!G445="","",[2]道具信息!G445)</f>
        <v>1</v>
      </c>
      <c r="H445" s="26">
        <f>IF([2]道具信息!H445="","",[2]道具信息!H445)</f>
        <v>1</v>
      </c>
      <c r="I445" s="26" t="str">
        <f>IF([2]道具信息!I445="","",[2]道具信息!I445)</f>
        <v/>
      </c>
      <c r="J445" s="26" t="str">
        <f>IF([2]道具信息!J445="","",[2]道具信息!J445)</f>
        <v/>
      </c>
      <c r="K445" s="26" t="str">
        <f>IF([2]道具信息!K445="","",[2]道具信息!K445)</f>
        <v/>
      </c>
      <c r="L445" s="26" t="str">
        <f>IF([2]道具信息!L445="","",[2]道具信息!L445)</f>
        <v/>
      </c>
      <c r="M445" s="26" t="str">
        <f>IF([2]道具信息!M445="","",[2]道具信息!M445)</f>
        <v/>
      </c>
      <c r="N445" s="26" t="str">
        <f>IF([2]道具信息!N445="","",[2]道具信息!N445)</f>
        <v/>
      </c>
      <c r="O445" s="26" t="str">
        <f>IF([2]道具信息!O445="","",[2]道具信息!O445)</f>
        <v/>
      </c>
      <c r="P445" s="26" t="str">
        <f>IF([2]道具信息!P445="","",[2]道具信息!P445)</f>
        <v/>
      </c>
      <c r="Q445" s="26" t="str">
        <f>IF([2]道具信息!Q445="","",[2]道具信息!Q445)</f>
        <v/>
      </c>
    </row>
    <row r="446" spans="3:17" x14ac:dyDescent="0.15">
      <c r="C446" s="26">
        <f>IF([2]道具信息!C446="","",[2]道具信息!C446)</f>
        <v>180024</v>
      </c>
      <c r="D446" s="26" t="str">
        <f>IF([2]道具信息!D446="","",[2]道具信息!D446)</f>
        <v>高级盗贼</v>
      </c>
      <c r="E446" s="26" t="str">
        <f>IF([2]道具信息!E446="","",[2]道具信息!E446)</f>
        <v/>
      </c>
      <c r="F446" s="26">
        <f>IF([2]道具信息!F446="","",[2]道具信息!F446)</f>
        <v>1</v>
      </c>
      <c r="G446" s="26">
        <f>IF([2]道具信息!G446="","",[2]道具信息!G446)</f>
        <v>1</v>
      </c>
      <c r="H446" s="26">
        <f>IF([2]道具信息!H446="","",[2]道具信息!H446)</f>
        <v>1</v>
      </c>
      <c r="I446" s="26" t="str">
        <f>IF([2]道具信息!I446="","",[2]道具信息!I446)</f>
        <v/>
      </c>
      <c r="J446" s="26" t="str">
        <f>IF([2]道具信息!J446="","",[2]道具信息!J446)</f>
        <v/>
      </c>
      <c r="K446" s="26" t="str">
        <f>IF([2]道具信息!K446="","",[2]道具信息!K446)</f>
        <v/>
      </c>
      <c r="L446" s="26" t="str">
        <f>IF([2]道具信息!L446="","",[2]道具信息!L446)</f>
        <v/>
      </c>
      <c r="M446" s="26" t="str">
        <f>IF([2]道具信息!M446="","",[2]道具信息!M446)</f>
        <v/>
      </c>
      <c r="N446" s="26" t="str">
        <f>IF([2]道具信息!N446="","",[2]道具信息!N446)</f>
        <v/>
      </c>
      <c r="O446" s="26" t="str">
        <f>IF([2]道具信息!O446="","",[2]道具信息!O446)</f>
        <v/>
      </c>
      <c r="P446" s="26" t="str">
        <f>IF([2]道具信息!P446="","",[2]道具信息!P446)</f>
        <v/>
      </c>
      <c r="Q446" s="26" t="str">
        <f>IF([2]道具信息!Q446="","",[2]道具信息!Q446)</f>
        <v/>
      </c>
    </row>
    <row r="447" spans="3:17" x14ac:dyDescent="0.15">
      <c r="C447" s="26">
        <f>IF([2]道具信息!C447="","",[2]道具信息!C447)</f>
        <v>180023</v>
      </c>
      <c r="D447" s="26" t="str">
        <f>IF([2]道具信息!D447="","",[2]道具信息!D447)</f>
        <v>高级间谍</v>
      </c>
      <c r="E447" s="26" t="str">
        <f>IF([2]道具信息!E447="","",[2]道具信息!E447)</f>
        <v/>
      </c>
      <c r="F447" s="26">
        <f>IF([2]道具信息!F447="","",[2]道具信息!F447)</f>
        <v>1</v>
      </c>
      <c r="G447" s="26">
        <f>IF([2]道具信息!G447="","",[2]道具信息!G447)</f>
        <v>1</v>
      </c>
      <c r="H447" s="26">
        <f>IF([2]道具信息!H447="","",[2]道具信息!H447)</f>
        <v>1</v>
      </c>
      <c r="I447" s="26" t="str">
        <f>IF([2]道具信息!I447="","",[2]道具信息!I447)</f>
        <v/>
      </c>
      <c r="J447" s="26" t="str">
        <f>IF([2]道具信息!J447="","",[2]道具信息!J447)</f>
        <v/>
      </c>
      <c r="K447" s="26" t="str">
        <f>IF([2]道具信息!K447="","",[2]道具信息!K447)</f>
        <v/>
      </c>
      <c r="L447" s="26" t="str">
        <f>IF([2]道具信息!L447="","",[2]道具信息!L447)</f>
        <v/>
      </c>
      <c r="M447" s="26" t="str">
        <f>IF([2]道具信息!M447="","",[2]道具信息!M447)</f>
        <v/>
      </c>
      <c r="N447" s="26" t="str">
        <f>IF([2]道具信息!N447="","",[2]道具信息!N447)</f>
        <v/>
      </c>
      <c r="O447" s="26" t="str">
        <f>IF([2]道具信息!O447="","",[2]道具信息!O447)</f>
        <v/>
      </c>
      <c r="P447" s="26" t="str">
        <f>IF([2]道具信息!P447="","",[2]道具信息!P447)</f>
        <v/>
      </c>
      <c r="Q447" s="26" t="str">
        <f>IF([2]道具信息!Q447="","",[2]道具信息!Q447)</f>
        <v/>
      </c>
    </row>
    <row r="448" spans="3:17" x14ac:dyDescent="0.15">
      <c r="C448" s="26">
        <f>IF([2]道具信息!C448="","",[2]道具信息!C448)</f>
        <v>180022</v>
      </c>
      <c r="D448" s="26" t="str">
        <f>IF([2]道具信息!D448="","",[2]道具信息!D448)</f>
        <v>高级刺客</v>
      </c>
      <c r="E448" s="26" t="str">
        <f>IF([2]道具信息!E448="","",[2]道具信息!E448)</f>
        <v/>
      </c>
      <c r="F448" s="26">
        <f>IF([2]道具信息!F448="","",[2]道具信息!F448)</f>
        <v>1</v>
      </c>
      <c r="G448" s="26">
        <f>IF([2]道具信息!G448="","",[2]道具信息!G448)</f>
        <v>1</v>
      </c>
      <c r="H448" s="26">
        <f>IF([2]道具信息!H448="","",[2]道具信息!H448)</f>
        <v>1</v>
      </c>
      <c r="I448" s="26" t="str">
        <f>IF([2]道具信息!I448="","",[2]道具信息!I448)</f>
        <v/>
      </c>
      <c r="J448" s="26" t="str">
        <f>IF([2]道具信息!J448="","",[2]道具信息!J448)</f>
        <v/>
      </c>
      <c r="K448" s="26" t="str">
        <f>IF([2]道具信息!K448="","",[2]道具信息!K448)</f>
        <v/>
      </c>
      <c r="L448" s="26" t="str">
        <f>IF([2]道具信息!L448="","",[2]道具信息!L448)</f>
        <v/>
      </c>
      <c r="M448" s="26" t="str">
        <f>IF([2]道具信息!M448="","",[2]道具信息!M448)</f>
        <v/>
      </c>
      <c r="N448" s="26" t="str">
        <f>IF([2]道具信息!N448="","",[2]道具信息!N448)</f>
        <v/>
      </c>
      <c r="O448" s="26" t="str">
        <f>IF([2]道具信息!O448="","",[2]道具信息!O448)</f>
        <v/>
      </c>
      <c r="P448" s="26" t="str">
        <f>IF([2]道具信息!P448="","",[2]道具信息!P448)</f>
        <v/>
      </c>
      <c r="Q448" s="26" t="str">
        <f>IF([2]道具信息!Q448="","",[2]道具信息!Q448)</f>
        <v/>
      </c>
    </row>
    <row r="449" spans="3:17" x14ac:dyDescent="0.15">
      <c r="C449" s="26" t="str">
        <f>IF([2]道具信息!C449="","",[2]道具信息!C449)</f>
        <v/>
      </c>
      <c r="D449" s="26" t="str">
        <f>IF([2]道具信息!D449="","",[2]道具信息!D449)</f>
        <v/>
      </c>
      <c r="E449" s="26" t="str">
        <f>IF([2]道具信息!E449="","",[2]道具信息!E449)</f>
        <v/>
      </c>
      <c r="F449" s="26">
        <f>IF([2]道具信息!F449="","",[2]道具信息!F449)</f>
        <v>1</v>
      </c>
      <c r="G449" s="26">
        <f>IF([2]道具信息!G449="","",[2]道具信息!G449)</f>
        <v>1</v>
      </c>
      <c r="H449" s="26">
        <f>IF([2]道具信息!H449="","",[2]道具信息!H449)</f>
        <v>1</v>
      </c>
      <c r="I449" s="26" t="str">
        <f>IF([2]道具信息!I449="","",[2]道具信息!I449)</f>
        <v/>
      </c>
      <c r="J449" s="26" t="str">
        <f>IF([2]道具信息!J449="","",[2]道具信息!J449)</f>
        <v/>
      </c>
      <c r="K449" s="26" t="str">
        <f>IF([2]道具信息!K449="","",[2]道具信息!K449)</f>
        <v/>
      </c>
      <c r="L449" s="26" t="str">
        <f>IF([2]道具信息!L449="","",[2]道具信息!L449)</f>
        <v/>
      </c>
      <c r="M449" s="26" t="str">
        <f>IF([2]道具信息!M449="","",[2]道具信息!M449)</f>
        <v/>
      </c>
      <c r="N449" s="26" t="str">
        <f>IF([2]道具信息!N449="","",[2]道具信息!N449)</f>
        <v/>
      </c>
      <c r="O449" s="26" t="str">
        <f>IF([2]道具信息!O449="","",[2]道具信息!O449)</f>
        <v/>
      </c>
      <c r="P449" s="26" t="str">
        <f>IF([2]道具信息!P449="","",[2]道具信息!P449)</f>
        <v/>
      </c>
      <c r="Q449" s="26" t="str">
        <f>IF([2]道具信息!Q449="","",[2]道具信息!Q449)</f>
        <v/>
      </c>
    </row>
    <row r="450" spans="3:17" x14ac:dyDescent="0.15">
      <c r="C450" s="26">
        <f>IF([2]道具信息!C450="","",[2]道具信息!C450)</f>
        <v>23542</v>
      </c>
      <c r="D450" s="26" t="str">
        <f>IF([2]道具信息!D450="","",[2]道具信息!D450)</f>
        <v>十方装备宝箱碎片</v>
      </c>
      <c r="E450" s="26" t="str">
        <f>IF([2]道具信息!E450="","",[2]道具信息!E450)</f>
        <v/>
      </c>
      <c r="F450" s="26">
        <f>IF([2]道具信息!F450="","",[2]道具信息!F450)</f>
        <v>1</v>
      </c>
      <c r="G450" s="26">
        <f>IF([2]道具信息!G450="","",[2]道具信息!G450)</f>
        <v>1</v>
      </c>
      <c r="H450" s="26">
        <f>IF([2]道具信息!H450="","",[2]道具信息!H450)</f>
        <v>1</v>
      </c>
      <c r="I450" s="26" t="str">
        <f>IF([2]道具信息!I450="","",[2]道具信息!I450)</f>
        <v/>
      </c>
      <c r="J450" s="26" t="str">
        <f>IF([2]道具信息!J450="","",[2]道具信息!J450)</f>
        <v/>
      </c>
      <c r="K450" s="26" t="str">
        <f>IF([2]道具信息!K450="","",[2]道具信息!K450)</f>
        <v/>
      </c>
      <c r="L450" s="26" t="str">
        <f>IF([2]道具信息!L450="","",[2]道具信息!L450)</f>
        <v/>
      </c>
      <c r="M450" s="26" t="str">
        <f>IF([2]道具信息!M450="","",[2]道具信息!M450)</f>
        <v/>
      </c>
      <c r="N450" s="26" t="str">
        <f>IF([2]道具信息!N450="","",[2]道具信息!N450)</f>
        <v/>
      </c>
      <c r="O450" s="26" t="str">
        <f>IF([2]道具信息!O450="","",[2]道具信息!O450)</f>
        <v/>
      </c>
      <c r="P450" s="26" t="str">
        <f>IF([2]道具信息!P450="","",[2]道具信息!P450)</f>
        <v/>
      </c>
      <c r="Q450" s="26" t="str">
        <f>IF([2]道具信息!Q450="","",[2]道具信息!Q450)</f>
        <v/>
      </c>
    </row>
    <row r="451" spans="3:17" x14ac:dyDescent="0.15">
      <c r="C451" s="26">
        <f>IF([2]道具信息!C451="","",[2]道具信息!C451)</f>
        <v>23543</v>
      </c>
      <c r="D451" s="26" t="str">
        <f>IF([2]道具信息!D451="","",[2]道具信息!D451)</f>
        <v>墨霜装备宝箱碎片</v>
      </c>
      <c r="E451" s="26" t="str">
        <f>IF([2]道具信息!E451="","",[2]道具信息!E451)</f>
        <v/>
      </c>
      <c r="F451" s="26">
        <f>IF([2]道具信息!F451="","",[2]道具信息!F451)</f>
        <v>1</v>
      </c>
      <c r="G451" s="26">
        <f>IF([2]道具信息!G451="","",[2]道具信息!G451)</f>
        <v>1</v>
      </c>
      <c r="H451" s="26">
        <f>IF([2]道具信息!H451="","",[2]道具信息!H451)</f>
        <v>1</v>
      </c>
      <c r="I451" s="26" t="str">
        <f>IF([2]道具信息!I451="","",[2]道具信息!I451)</f>
        <v/>
      </c>
      <c r="J451" s="26" t="str">
        <f>IF([2]道具信息!J451="","",[2]道具信息!J451)</f>
        <v/>
      </c>
      <c r="K451" s="26" t="str">
        <f>IF([2]道具信息!K451="","",[2]道具信息!K451)</f>
        <v/>
      </c>
      <c r="L451" s="26" t="str">
        <f>IF([2]道具信息!L451="","",[2]道具信息!L451)</f>
        <v/>
      </c>
      <c r="M451" s="26" t="str">
        <f>IF([2]道具信息!M451="","",[2]道具信息!M451)</f>
        <v/>
      </c>
      <c r="N451" s="26" t="str">
        <f>IF([2]道具信息!N451="","",[2]道具信息!N451)</f>
        <v/>
      </c>
      <c r="O451" s="26" t="str">
        <f>IF([2]道具信息!O451="","",[2]道具信息!O451)</f>
        <v/>
      </c>
      <c r="P451" s="26" t="str">
        <f>IF([2]道具信息!P451="","",[2]道具信息!P451)</f>
        <v/>
      </c>
      <c r="Q451" s="26" t="str">
        <f>IF([2]道具信息!Q451="","",[2]道具信息!Q451)</f>
        <v/>
      </c>
    </row>
    <row r="452" spans="3:17" x14ac:dyDescent="0.15">
      <c r="C452" s="26" t="str">
        <f>IF([2]道具信息!C452="","",[2]道具信息!C452)</f>
        <v/>
      </c>
      <c r="D452" s="26" t="str">
        <f>IF([2]道具信息!D452="","",[2]道具信息!D452)</f>
        <v/>
      </c>
      <c r="E452" s="26" t="str">
        <f>IF([2]道具信息!E452="","",[2]道具信息!E452)</f>
        <v/>
      </c>
      <c r="F452" s="26">
        <f>IF([2]道具信息!F452="","",[2]道具信息!F452)</f>
        <v>1</v>
      </c>
      <c r="G452" s="26">
        <f>IF([2]道具信息!G452="","",[2]道具信息!G452)</f>
        <v>1</v>
      </c>
      <c r="H452" s="26">
        <f>IF([2]道具信息!H452="","",[2]道具信息!H452)</f>
        <v>1</v>
      </c>
      <c r="I452" s="26" t="str">
        <f>IF([2]道具信息!I452="","",[2]道具信息!I452)</f>
        <v/>
      </c>
      <c r="J452" s="26" t="str">
        <f>IF([2]道具信息!J452="","",[2]道具信息!J452)</f>
        <v/>
      </c>
      <c r="K452" s="26" t="str">
        <f>IF([2]道具信息!K452="","",[2]道具信息!K452)</f>
        <v/>
      </c>
      <c r="L452" s="26" t="str">
        <f>IF([2]道具信息!L452="","",[2]道具信息!L452)</f>
        <v/>
      </c>
      <c r="M452" s="26" t="str">
        <f>IF([2]道具信息!M452="","",[2]道具信息!M452)</f>
        <v/>
      </c>
      <c r="N452" s="26" t="str">
        <f>IF([2]道具信息!N452="","",[2]道具信息!N452)</f>
        <v/>
      </c>
      <c r="O452" s="26" t="str">
        <f>IF([2]道具信息!O452="","",[2]道具信息!O452)</f>
        <v/>
      </c>
      <c r="P452" s="26" t="str">
        <f>IF([2]道具信息!P452="","",[2]道具信息!P452)</f>
        <v/>
      </c>
      <c r="Q452" s="26" t="str">
        <f>IF([2]道具信息!Q452="","",[2]道具信息!Q452)</f>
        <v/>
      </c>
    </row>
    <row r="453" spans="3:17" x14ac:dyDescent="0.15">
      <c r="C453" s="26">
        <f>IF([2]道具信息!C453="","",[2]道具信息!C453)</f>
        <v>23356</v>
      </c>
      <c r="D453" s="26" t="str">
        <f>IF([2]道具信息!D453="","",[2]道具信息!D453)</f>
        <v>紫色藏宝图</v>
      </c>
      <c r="E453" s="26">
        <f>IF([2]道具信息!E453="","",[2]道具信息!E453)</f>
        <v>300</v>
      </c>
      <c r="F453" s="26">
        <f>IF([2]道具信息!F453="","",[2]道具信息!F453)</f>
        <v>1</v>
      </c>
      <c r="G453" s="26">
        <f>IF([2]道具信息!G453="","",[2]道具信息!G453)</f>
        <v>1</v>
      </c>
      <c r="H453" s="26">
        <f>IF([2]道具信息!H453="","",[2]道具信息!H453)</f>
        <v>1</v>
      </c>
      <c r="I453" s="26">
        <f>IF([2]道具信息!I453="","",[2]道具信息!I453)</f>
        <v>300</v>
      </c>
      <c r="J453" s="26">
        <f>IF([2]道具信息!J453="","",[2]道具信息!J453)</f>
        <v>300</v>
      </c>
      <c r="K453" s="26">
        <f>IF([2]道具信息!K453="","",[2]道具信息!K453)</f>
        <v>300</v>
      </c>
      <c r="L453" s="26" t="str">
        <f>IF([2]道具信息!L453="","",[2]道具信息!L453)</f>
        <v/>
      </c>
      <c r="M453" s="26" t="str">
        <f>IF([2]道具信息!M453="","",[2]道具信息!M453)</f>
        <v/>
      </c>
      <c r="N453" s="26" t="str">
        <f>IF([2]道具信息!N453="","",[2]道具信息!N453)</f>
        <v/>
      </c>
      <c r="O453" s="26" t="str">
        <f>IF([2]道具信息!O453="","",[2]道具信息!O453)</f>
        <v/>
      </c>
      <c r="P453" s="26" t="str">
        <f>IF([2]道具信息!P453="","",[2]道具信息!P453)</f>
        <v/>
      </c>
      <c r="Q453" s="26" t="str">
        <f>IF([2]道具信息!Q453="","",[2]道具信息!Q453)</f>
        <v/>
      </c>
    </row>
    <row r="454" spans="3:17" x14ac:dyDescent="0.15">
      <c r="C454" s="26">
        <f>IF([2]道具信息!C454="","",[2]道具信息!C454)</f>
        <v>23541</v>
      </c>
      <c r="D454" s="26" t="str">
        <f>IF([2]道具信息!D454="","",[2]道具信息!D454)</f>
        <v>宝物精华小宝箱</v>
      </c>
      <c r="E454" s="26">
        <f>IF([2]道具信息!E454="","",[2]道具信息!E454)</f>
        <v>100</v>
      </c>
      <c r="F454" s="26">
        <f>IF([2]道具信息!F454="","",[2]道具信息!F454)</f>
        <v>1</v>
      </c>
      <c r="G454" s="26">
        <f>IF([2]道具信息!G454="","",[2]道具信息!G454)</f>
        <v>1</v>
      </c>
      <c r="H454" s="26">
        <f>IF([2]道具信息!H454="","",[2]道具信息!H454)</f>
        <v>1</v>
      </c>
      <c r="I454" s="26">
        <f>IF([2]道具信息!I454="","",[2]道具信息!I454)</f>
        <v>100</v>
      </c>
      <c r="J454" s="26">
        <f>IF([2]道具信息!J454="","",[2]道具信息!J454)</f>
        <v>100</v>
      </c>
      <c r="K454" s="26">
        <f>IF([2]道具信息!K454="","",[2]道具信息!K454)</f>
        <v>100</v>
      </c>
      <c r="L454" s="26" t="str">
        <f>IF([2]道具信息!L454="","",[2]道具信息!L454)</f>
        <v/>
      </c>
      <c r="M454" s="26" t="str">
        <f>IF([2]道具信息!M454="","",[2]道具信息!M454)</f>
        <v/>
      </c>
      <c r="N454" s="26" t="str">
        <f>IF([2]道具信息!N454="","",[2]道具信息!N454)</f>
        <v/>
      </c>
      <c r="O454" s="26" t="str">
        <f>IF([2]道具信息!O454="","",[2]道具信息!O454)</f>
        <v/>
      </c>
      <c r="P454" s="26" t="str">
        <f>IF([2]道具信息!P454="","",[2]道具信息!P454)</f>
        <v/>
      </c>
      <c r="Q454" s="26" t="str">
        <f>IF([2]道具信息!Q454="","",[2]道具信息!Q454)</f>
        <v/>
      </c>
    </row>
    <row r="455" spans="3:17" x14ac:dyDescent="0.15">
      <c r="C455" s="26">
        <f>IF([2]道具信息!C455="","",[2]道具信息!C455)</f>
        <v>23537</v>
      </c>
      <c r="D455" s="26" t="str">
        <f>IF([2]道具信息!D455="","",[2]道具信息!D455)</f>
        <v>文心宝箱</v>
      </c>
      <c r="E455" s="26">
        <f>IF([2]道具信息!E455="","",[2]道具信息!E455)</f>
        <v>200</v>
      </c>
      <c r="F455" s="26">
        <f>IF([2]道具信息!F455="","",[2]道具信息!F455)</f>
        <v>1</v>
      </c>
      <c r="G455" s="26">
        <f>IF([2]道具信息!G455="","",[2]道具信息!G455)</f>
        <v>1</v>
      </c>
      <c r="H455" s="26">
        <f>IF([2]道具信息!H455="","",[2]道具信息!H455)</f>
        <v>1</v>
      </c>
      <c r="I455" s="26">
        <f>IF([2]道具信息!I455="","",[2]道具信息!I455)</f>
        <v>200</v>
      </c>
      <c r="J455" s="26">
        <f>IF([2]道具信息!J455="","",[2]道具信息!J455)</f>
        <v>200</v>
      </c>
      <c r="K455" s="26">
        <f>IF([2]道具信息!K455="","",[2]道具信息!K455)</f>
        <v>200</v>
      </c>
      <c r="L455" s="26" t="str">
        <f>IF([2]道具信息!L455="","",[2]道具信息!L455)</f>
        <v/>
      </c>
      <c r="M455" s="26" t="str">
        <f>IF([2]道具信息!M455="","",[2]道具信息!M455)</f>
        <v/>
      </c>
      <c r="N455" s="26" t="str">
        <f>IF([2]道具信息!N455="","",[2]道具信息!N455)</f>
        <v/>
      </c>
      <c r="O455" s="26" t="str">
        <f>IF([2]道具信息!O455="","",[2]道具信息!O455)</f>
        <v/>
      </c>
      <c r="P455" s="26" t="str">
        <f>IF([2]道具信息!P455="","",[2]道具信息!P455)</f>
        <v/>
      </c>
      <c r="Q455" s="26" t="str">
        <f>IF([2]道具信息!Q455="","",[2]道具信息!Q455)</f>
        <v/>
      </c>
    </row>
    <row r="456" spans="3:17" x14ac:dyDescent="0.15">
      <c r="C456" s="26">
        <f>IF([2]道具信息!C456="","",[2]道具信息!C456)</f>
        <v>23540</v>
      </c>
      <c r="D456" s="26" t="str">
        <f>IF([2]道具信息!D456="","",[2]道具信息!D456)</f>
        <v>500偕作玉宝箱</v>
      </c>
      <c r="E456" s="26">
        <f>IF([2]道具信息!E456="","",[2]道具信息!E456)</f>
        <v>500</v>
      </c>
      <c r="F456" s="26">
        <f>IF([2]道具信息!F456="","",[2]道具信息!F456)</f>
        <v>1</v>
      </c>
      <c r="G456" s="26">
        <f>IF([2]道具信息!G456="","",[2]道具信息!G456)</f>
        <v>1</v>
      </c>
      <c r="H456" s="26">
        <f>IF([2]道具信息!H456="","",[2]道具信息!H456)</f>
        <v>1</v>
      </c>
      <c r="I456" s="26">
        <f>IF([2]道具信息!I456="","",[2]道具信息!I456)</f>
        <v>500</v>
      </c>
      <c r="J456" s="26">
        <f>IF([2]道具信息!J456="","",[2]道具信息!J456)</f>
        <v>500</v>
      </c>
      <c r="K456" s="26">
        <f>IF([2]道具信息!K456="","",[2]道具信息!K456)</f>
        <v>500</v>
      </c>
      <c r="L456" s="26" t="str">
        <f>IF([2]道具信息!L456="","",[2]道具信息!L456)</f>
        <v/>
      </c>
      <c r="M456" s="26" t="str">
        <f>IF([2]道具信息!M456="","",[2]道具信息!M456)</f>
        <v/>
      </c>
      <c r="N456" s="26" t="str">
        <f>IF([2]道具信息!N456="","",[2]道具信息!N456)</f>
        <v/>
      </c>
      <c r="O456" s="26" t="str">
        <f>IF([2]道具信息!O456="","",[2]道具信息!O456)</f>
        <v/>
      </c>
      <c r="P456" s="26" t="str">
        <f>IF([2]道具信息!P456="","",[2]道具信息!P456)</f>
        <v/>
      </c>
      <c r="Q456" s="26" t="str">
        <f>IF([2]道具信息!Q456="","",[2]道具信息!Q456)</f>
        <v/>
      </c>
    </row>
    <row r="457" spans="3:17" x14ac:dyDescent="0.15">
      <c r="C457" s="26">
        <f>IF([2]道具信息!C457="","",[2]道具信息!C457)</f>
        <v>90510</v>
      </c>
      <c r="D457" s="26" t="str">
        <f>IF([2]道具信息!D457="","",[2]道具信息!D457)</f>
        <v>偕作玉</v>
      </c>
      <c r="E457" s="26">
        <f>IF([2]道具信息!E457="","",[2]道具信息!E457)</f>
        <v>1</v>
      </c>
      <c r="F457" s="26">
        <f>IF([2]道具信息!F457="","",[2]道具信息!F457)</f>
        <v>1</v>
      </c>
      <c r="G457" s="26">
        <f>IF([2]道具信息!G457="","",[2]道具信息!G457)</f>
        <v>1</v>
      </c>
      <c r="H457" s="26">
        <f>IF([2]道具信息!H457="","",[2]道具信息!H457)</f>
        <v>1</v>
      </c>
      <c r="I457" s="26">
        <f>IF([2]道具信息!I457="","",[2]道具信息!I457)</f>
        <v>1</v>
      </c>
      <c r="J457" s="26">
        <f>IF([2]道具信息!J457="","",[2]道具信息!J457)</f>
        <v>1</v>
      </c>
      <c r="K457" s="26">
        <f>IF([2]道具信息!K457="","",[2]道具信息!K457)</f>
        <v>1</v>
      </c>
      <c r="L457" s="26" t="str">
        <f>IF([2]道具信息!L457="","",[2]道具信息!L457)</f>
        <v/>
      </c>
      <c r="M457" s="26" t="str">
        <f>IF([2]道具信息!M457="","",[2]道具信息!M457)</f>
        <v/>
      </c>
      <c r="N457" s="26" t="str">
        <f>IF([2]道具信息!N457="","",[2]道具信息!N457)</f>
        <v/>
      </c>
      <c r="O457" s="26" t="str">
        <f>IF([2]道具信息!O457="","",[2]道具信息!O457)</f>
        <v/>
      </c>
      <c r="P457" s="26" t="str">
        <f>IF([2]道具信息!P457="","",[2]道具信息!P457)</f>
        <v/>
      </c>
      <c r="Q457" s="26" t="str">
        <f>IF([2]道具信息!Q457="","",[2]道具信息!Q457)</f>
        <v/>
      </c>
    </row>
    <row r="458" spans="3:17" x14ac:dyDescent="0.15">
      <c r="C458" s="26">
        <f>IF([2]道具信息!C458="","",[2]道具信息!C458)</f>
        <v>90512</v>
      </c>
      <c r="D458" s="26" t="str">
        <f>IF([2]道具信息!D458="","",[2]道具信息!D458)</f>
        <v>文心</v>
      </c>
      <c r="E458" s="26">
        <f>IF([2]道具信息!E458="","",[2]道具信息!E458)</f>
        <v>0.33333333333333331</v>
      </c>
      <c r="F458" s="26">
        <f>IF([2]道具信息!F458="","",[2]道具信息!F458)</f>
        <v>1</v>
      </c>
      <c r="G458" s="26">
        <f>IF([2]道具信息!G458="","",[2]道具信息!G458)</f>
        <v>1</v>
      </c>
      <c r="H458" s="26">
        <f>IF([2]道具信息!H458="","",[2]道具信息!H458)</f>
        <v>1</v>
      </c>
      <c r="I458" s="26">
        <f>IF([2]道具信息!I458="","",[2]道具信息!I458)</f>
        <v>0.33333333333333331</v>
      </c>
      <c r="J458" s="26">
        <f>IF([2]道具信息!J458="","",[2]道具信息!J458)</f>
        <v>0.33333333333333331</v>
      </c>
      <c r="K458" s="26">
        <f>IF([2]道具信息!K458="","",[2]道具信息!K458)</f>
        <v>0.33333333333333331</v>
      </c>
      <c r="L458" s="26" t="str">
        <f>IF([2]道具信息!L458="","",[2]道具信息!L458)</f>
        <v/>
      </c>
      <c r="M458" s="26" t="str">
        <f>IF([2]道具信息!M458="","",[2]道具信息!M458)</f>
        <v/>
      </c>
      <c r="N458" s="26" t="str">
        <f>IF([2]道具信息!N458="","",[2]道具信息!N458)</f>
        <v/>
      </c>
      <c r="O458" s="26" t="str">
        <f>IF([2]道具信息!O458="","",[2]道具信息!O458)</f>
        <v/>
      </c>
      <c r="P458" s="26" t="str">
        <f>IF([2]道具信息!P458="","",[2]道具信息!P458)</f>
        <v/>
      </c>
      <c r="Q458" s="26" t="str">
        <f>IF([2]道具信息!Q458="","",[2]道具信息!Q458)</f>
        <v/>
      </c>
    </row>
    <row r="459" spans="3:17" x14ac:dyDescent="0.15">
      <c r="C459" s="26">
        <f>IF([2]道具信息!C459="","",[2]道具信息!C459)</f>
        <v>90513</v>
      </c>
      <c r="D459" s="26" t="str">
        <f>IF([2]道具信息!D459="","",[2]道具信息!D459)</f>
        <v>宝物精华</v>
      </c>
      <c r="E459" s="26">
        <f>IF([2]道具信息!E459="","",[2]道具信息!E459)</f>
        <v>100</v>
      </c>
      <c r="F459" s="26">
        <f>IF([2]道具信息!F459="","",[2]道具信息!F459)</f>
        <v>1</v>
      </c>
      <c r="G459" s="26">
        <f>IF([2]道具信息!G459="","",[2]道具信息!G459)</f>
        <v>1</v>
      </c>
      <c r="H459" s="26">
        <f>IF([2]道具信息!H459="","",[2]道具信息!H459)</f>
        <v>1</v>
      </c>
      <c r="I459" s="26">
        <f>IF([2]道具信息!I459="","",[2]道具信息!I459)</f>
        <v>100</v>
      </c>
      <c r="J459" s="26">
        <f>IF([2]道具信息!J459="","",[2]道具信息!J459)</f>
        <v>100</v>
      </c>
      <c r="K459" s="26">
        <f>IF([2]道具信息!K459="","",[2]道具信息!K459)</f>
        <v>100</v>
      </c>
      <c r="L459" s="26" t="str">
        <f>IF([2]道具信息!L459="","",[2]道具信息!L459)</f>
        <v/>
      </c>
      <c r="M459" s="26" t="str">
        <f>IF([2]道具信息!M459="","",[2]道具信息!M459)</f>
        <v/>
      </c>
      <c r="N459" s="26" t="str">
        <f>IF([2]道具信息!N459="","",[2]道具信息!N459)</f>
        <v/>
      </c>
      <c r="O459" s="26" t="str">
        <f>IF([2]道具信息!O459="","",[2]道具信息!O459)</f>
        <v/>
      </c>
      <c r="P459" s="26" t="str">
        <f>IF([2]道具信息!P459="","",[2]道具信息!P459)</f>
        <v/>
      </c>
      <c r="Q459" s="26" t="str">
        <f>IF([2]道具信息!Q459="","",[2]道具信息!Q459)</f>
        <v/>
      </c>
    </row>
    <row r="460" spans="3:17" x14ac:dyDescent="0.15">
      <c r="C460" s="26">
        <f>IF([2]道具信息!C460="","",[2]道具信息!C460)</f>
        <v>23652</v>
      </c>
      <c r="D460" s="26" t="str">
        <f>IF([2]道具信息!D460="","",[2]道具信息!D460)</f>
        <v>流云装备宝箱碎片</v>
      </c>
      <c r="E460" s="26" t="str">
        <f>IF([2]道具信息!E460="","",[2]道具信息!E460)</f>
        <v/>
      </c>
      <c r="F460" s="26">
        <f>IF([2]道具信息!F460="","",[2]道具信息!F460)</f>
        <v>1</v>
      </c>
      <c r="G460" s="26">
        <f>IF([2]道具信息!G460="","",[2]道具信息!G460)</f>
        <v>1</v>
      </c>
      <c r="H460" s="26">
        <f>IF([2]道具信息!H460="","",[2]道具信息!H460)</f>
        <v>1</v>
      </c>
      <c r="I460" s="26" t="str">
        <f>IF([2]道具信息!I460="","",[2]道具信息!I460)</f>
        <v/>
      </c>
      <c r="J460" s="26" t="str">
        <f>IF([2]道具信息!J460="","",[2]道具信息!J460)</f>
        <v/>
      </c>
      <c r="K460" s="26" t="str">
        <f>IF([2]道具信息!K460="","",[2]道具信息!K460)</f>
        <v/>
      </c>
      <c r="L460" s="26" t="str">
        <f>IF([2]道具信息!L460="","",[2]道具信息!L460)</f>
        <v/>
      </c>
      <c r="M460" s="26" t="str">
        <f>IF([2]道具信息!M460="","",[2]道具信息!M460)</f>
        <v/>
      </c>
      <c r="N460" s="26" t="str">
        <f>IF([2]道具信息!N460="","",[2]道具信息!N460)</f>
        <v/>
      </c>
      <c r="O460" s="26" t="str">
        <f>IF([2]道具信息!O460="","",[2]道具信息!O460)</f>
        <v/>
      </c>
      <c r="P460" s="26" t="str">
        <f>IF([2]道具信息!P460="","",[2]道具信息!P460)</f>
        <v/>
      </c>
      <c r="Q460" s="26" t="str">
        <f>IF([2]道具信息!Q460="","",[2]道具信息!Q460)</f>
        <v/>
      </c>
    </row>
    <row r="461" spans="3:17" x14ac:dyDescent="0.15">
      <c r="C461" s="26">
        <f>IF([2]道具信息!C461="","",[2]道具信息!C461)</f>
        <v>23658</v>
      </c>
      <c r="D461" s="26" t="str">
        <f>IF([2]道具信息!D461="","",[2]道具信息!D461)</f>
        <v>乱世王者碎片</v>
      </c>
      <c r="E461" s="26" t="str">
        <f>IF([2]道具信息!E461="","",[2]道具信息!E461)</f>
        <v/>
      </c>
      <c r="F461" s="26">
        <f>IF([2]道具信息!F461="","",[2]道具信息!F461)</f>
        <v>1</v>
      </c>
      <c r="G461" s="26">
        <f>IF([2]道具信息!G461="","",[2]道具信息!G461)</f>
        <v>1</v>
      </c>
      <c r="H461" s="26">
        <f>IF([2]道具信息!H461="","",[2]道具信息!H461)</f>
        <v>1</v>
      </c>
      <c r="I461" s="26" t="str">
        <f>IF([2]道具信息!I461="","",[2]道具信息!I461)</f>
        <v/>
      </c>
      <c r="J461" s="26" t="str">
        <f>IF([2]道具信息!J461="","",[2]道具信息!J461)</f>
        <v/>
      </c>
      <c r="K461" s="26" t="str">
        <f>IF([2]道具信息!K461="","",[2]道具信息!K461)</f>
        <v/>
      </c>
      <c r="L461" s="26" t="str">
        <f>IF([2]道具信息!L461="","",[2]道具信息!L461)</f>
        <v/>
      </c>
      <c r="M461" s="26" t="str">
        <f>IF([2]道具信息!M461="","",[2]道具信息!M461)</f>
        <v/>
      </c>
      <c r="N461" s="26" t="str">
        <f>IF([2]道具信息!N461="","",[2]道具信息!N461)</f>
        <v/>
      </c>
      <c r="O461" s="26" t="str">
        <f>IF([2]道具信息!O461="","",[2]道具信息!O461)</f>
        <v/>
      </c>
      <c r="P461" s="26" t="str">
        <f>IF([2]道具信息!P461="","",[2]道具信息!P461)</f>
        <v/>
      </c>
      <c r="Q461" s="26" t="str">
        <f>IF([2]道具信息!Q461="","",[2]道具信息!Q461)</f>
        <v/>
      </c>
    </row>
    <row r="462" spans="3:17" x14ac:dyDescent="0.15">
      <c r="C462" s="26" t="str">
        <f>IF([2]道具信息!C462="","",[2]道具信息!C462)</f>
        <v/>
      </c>
      <c r="D462" s="26" t="str">
        <f>IF([2]道具信息!D462="","",[2]道具信息!D462)</f>
        <v/>
      </c>
      <c r="E462" s="26" t="str">
        <f>IF([2]道具信息!E462="","",[2]道具信息!E462)</f>
        <v/>
      </c>
      <c r="F462" s="26">
        <f>IF([2]道具信息!F462="","",[2]道具信息!F462)</f>
        <v>1</v>
      </c>
      <c r="G462" s="26">
        <f>IF([2]道具信息!G462="","",[2]道具信息!G462)</f>
        <v>1</v>
      </c>
      <c r="H462" s="26">
        <f>IF([2]道具信息!H462="","",[2]道具信息!H462)</f>
        <v>1</v>
      </c>
      <c r="I462" s="26" t="str">
        <f>IF([2]道具信息!I462="","",[2]道具信息!I462)</f>
        <v/>
      </c>
      <c r="J462" s="26" t="str">
        <f>IF([2]道具信息!J462="","",[2]道具信息!J462)</f>
        <v/>
      </c>
      <c r="K462" s="26" t="str">
        <f>IF([2]道具信息!K462="","",[2]道具信息!K462)</f>
        <v/>
      </c>
      <c r="L462" s="26" t="str">
        <f>IF([2]道具信息!L462="","",[2]道具信息!L462)</f>
        <v/>
      </c>
      <c r="M462" s="26" t="str">
        <f>IF([2]道具信息!M462="","",[2]道具信息!M462)</f>
        <v/>
      </c>
      <c r="N462" s="26" t="str">
        <f>IF([2]道具信息!N462="","",[2]道具信息!N462)</f>
        <v/>
      </c>
      <c r="O462" s="26" t="str">
        <f>IF([2]道具信息!O462="","",[2]道具信息!O462)</f>
        <v/>
      </c>
      <c r="P462" s="26" t="str">
        <f>IF([2]道具信息!P462="","",[2]道具信息!P462)</f>
        <v/>
      </c>
      <c r="Q462" s="26" t="str">
        <f>IF([2]道具信息!Q462="","",[2]道具信息!Q462)</f>
        <v/>
      </c>
    </row>
    <row r="463" spans="3:17" x14ac:dyDescent="0.15">
      <c r="C463" s="26" t="str">
        <f>IF([2]道具信息!C463="","",[2]道具信息!C463)</f>
        <v/>
      </c>
      <c r="D463" s="26" t="str">
        <f>IF([2]道具信息!D463="","",[2]道具信息!D463)</f>
        <v>指定橙+宝物碎片</v>
      </c>
      <c r="E463" s="26">
        <f>IF([2]道具信息!E463="","",[2]道具信息!E463)</f>
        <v>666.66666666666663</v>
      </c>
      <c r="F463" s="26">
        <f>IF([2]道具信息!F463="","",[2]道具信息!F463)</f>
        <v>1</v>
      </c>
      <c r="G463" s="26">
        <f>IF([2]道具信息!G463="","",[2]道具信息!G463)</f>
        <v>1</v>
      </c>
      <c r="H463" s="26">
        <f>IF([2]道具信息!H463="","",[2]道具信息!H463)</f>
        <v>1</v>
      </c>
      <c r="I463" s="26">
        <f>IF([2]道具信息!I463="","",[2]道具信息!I463)</f>
        <v>666.66666666666663</v>
      </c>
      <c r="J463" s="26">
        <f>IF([2]道具信息!J463="","",[2]道具信息!J463)</f>
        <v>666.66666666666663</v>
      </c>
      <c r="K463" s="26">
        <f>IF([2]道具信息!K463="","",[2]道具信息!K463)</f>
        <v>666.66666666666663</v>
      </c>
      <c r="L463" s="26" t="str">
        <f>IF([2]道具信息!L463="","",[2]道具信息!L463)</f>
        <v/>
      </c>
      <c r="M463" s="26" t="str">
        <f>IF([2]道具信息!M463="","",[2]道具信息!M463)</f>
        <v/>
      </c>
      <c r="N463" s="26" t="str">
        <f>IF([2]道具信息!N463="","",[2]道具信息!N463)</f>
        <v/>
      </c>
      <c r="O463" s="26" t="str">
        <f>IF([2]道具信息!O463="","",[2]道具信息!O463)</f>
        <v/>
      </c>
      <c r="P463" s="26" t="str">
        <f>IF([2]道具信息!P463="","",[2]道具信息!P463)</f>
        <v/>
      </c>
      <c r="Q463" s="26" t="str">
        <f>IF([2]道具信息!Q463="","",[2]道具信息!Q463)</f>
        <v/>
      </c>
    </row>
    <row r="464" spans="3:17" x14ac:dyDescent="0.15">
      <c r="C464" s="26" t="str">
        <f>IF([2]道具信息!C464="","",[2]道具信息!C464)</f>
        <v/>
      </c>
      <c r="D464" s="26" t="str">
        <f>IF([2]道具信息!D464="","",[2]道具信息!D464)</f>
        <v/>
      </c>
      <c r="E464" s="26" t="str">
        <f>IF([2]道具信息!E464="","",[2]道具信息!E464)</f>
        <v/>
      </c>
      <c r="F464" s="26">
        <f>IF([2]道具信息!F464="","",[2]道具信息!F464)</f>
        <v>1</v>
      </c>
      <c r="G464" s="26">
        <f>IF([2]道具信息!G464="","",[2]道具信息!G464)</f>
        <v>1</v>
      </c>
      <c r="H464" s="26">
        <f>IF([2]道具信息!H464="","",[2]道具信息!H464)</f>
        <v>1</v>
      </c>
      <c r="I464" s="26" t="str">
        <f>IF([2]道具信息!I464="","",[2]道具信息!I464)</f>
        <v/>
      </c>
      <c r="J464" s="26" t="str">
        <f>IF([2]道具信息!J464="","",[2]道具信息!J464)</f>
        <v/>
      </c>
      <c r="K464" s="26" t="str">
        <f>IF([2]道具信息!K464="","",[2]道具信息!K464)</f>
        <v/>
      </c>
      <c r="L464" s="26" t="str">
        <f>IF([2]道具信息!L464="","",[2]道具信息!L464)</f>
        <v/>
      </c>
      <c r="M464" s="26" t="str">
        <f>IF([2]道具信息!M464="","",[2]道具信息!M464)</f>
        <v/>
      </c>
      <c r="N464" s="26" t="str">
        <f>IF([2]道具信息!N464="","",[2]道具信息!N464)</f>
        <v/>
      </c>
      <c r="O464" s="26" t="str">
        <f>IF([2]道具信息!O464="","",[2]道具信息!O464)</f>
        <v/>
      </c>
      <c r="P464" s="26" t="str">
        <f>IF([2]道具信息!P464="","",[2]道具信息!P464)</f>
        <v/>
      </c>
      <c r="Q464" s="26" t="str">
        <f>IF([2]道具信息!Q464="","",[2]道具信息!Q464)</f>
        <v/>
      </c>
    </row>
    <row r="465" spans="3:17" x14ac:dyDescent="0.15">
      <c r="C465" s="26">
        <f>IF([2]道具信息!C465="","",[2]道具信息!C465)</f>
        <v>24057</v>
      </c>
      <c r="D465" s="26" t="str">
        <f>IF([2]道具信息!D465="","",[2]道具信息!D465)</f>
        <v>计无所出·极-残片</v>
      </c>
      <c r="E465" s="26" t="str">
        <f>IF([2]道具信息!E465="","",[2]道具信息!E465)</f>
        <v/>
      </c>
      <c r="F465" s="26">
        <f>IF([2]道具信息!F465="","",[2]道具信息!F465)</f>
        <v>1</v>
      </c>
      <c r="G465" s="26">
        <f>IF([2]道具信息!G465="","",[2]道具信息!G465)</f>
        <v>1</v>
      </c>
      <c r="H465" s="26">
        <f>IF([2]道具信息!H465="","",[2]道具信息!H465)</f>
        <v>1</v>
      </c>
      <c r="I465" s="26" t="str">
        <f>IF([2]道具信息!I465="","",[2]道具信息!I465)</f>
        <v/>
      </c>
      <c r="J465" s="26" t="str">
        <f>IF([2]道具信息!J465="","",[2]道具信息!J465)</f>
        <v/>
      </c>
      <c r="K465" s="26" t="str">
        <f>IF([2]道具信息!K465="","",[2]道具信息!K465)</f>
        <v/>
      </c>
      <c r="L465" s="26" t="str">
        <f>IF([2]道具信息!L465="","",[2]道具信息!L465)</f>
        <v/>
      </c>
      <c r="M465" s="26" t="str">
        <f>IF([2]道具信息!M465="","",[2]道具信息!M465)</f>
        <v/>
      </c>
      <c r="N465" s="26" t="str">
        <f>IF([2]道具信息!N465="","",[2]道具信息!N465)</f>
        <v/>
      </c>
      <c r="O465" s="26" t="str">
        <f>IF([2]道具信息!O465="","",[2]道具信息!O465)</f>
        <v/>
      </c>
      <c r="P465" s="26" t="str">
        <f>IF([2]道具信息!P465="","",[2]道具信息!P465)</f>
        <v/>
      </c>
      <c r="Q465" s="26" t="str">
        <f>IF([2]道具信息!Q465="","",[2]道具信息!Q465)</f>
        <v/>
      </c>
    </row>
    <row r="466" spans="3:17" x14ac:dyDescent="0.15">
      <c r="C466" s="26">
        <f>IF([2]道具信息!C466="","",[2]道具信息!C466)</f>
        <v>23410</v>
      </c>
      <c r="D466" s="26" t="str">
        <f>IF([2]道具信息!D466="","",[2]道具信息!D466)</f>
        <v>无字天书碎片</v>
      </c>
      <c r="E466" s="26" t="str">
        <f>IF([2]道具信息!E466="","",[2]道具信息!E466)</f>
        <v/>
      </c>
      <c r="F466" s="26">
        <f>IF([2]道具信息!F466="","",[2]道具信息!F466)</f>
        <v>1</v>
      </c>
      <c r="G466" s="26">
        <f>IF([2]道具信息!G466="","",[2]道具信息!G466)</f>
        <v>1</v>
      </c>
      <c r="H466" s="26">
        <f>IF([2]道具信息!H466="","",[2]道具信息!H466)</f>
        <v>1</v>
      </c>
      <c r="I466" s="26" t="str">
        <f>IF([2]道具信息!I466="","",[2]道具信息!I466)</f>
        <v/>
      </c>
      <c r="J466" s="26" t="str">
        <f>IF([2]道具信息!J466="","",[2]道具信息!J466)</f>
        <v/>
      </c>
      <c r="K466" s="26" t="str">
        <f>IF([2]道具信息!K466="","",[2]道具信息!K466)</f>
        <v/>
      </c>
      <c r="L466" s="26" t="str">
        <f>IF([2]道具信息!L466="","",[2]道具信息!L466)</f>
        <v/>
      </c>
      <c r="M466" s="26" t="str">
        <f>IF([2]道具信息!M466="","",[2]道具信息!M466)</f>
        <v/>
      </c>
      <c r="N466" s="26" t="str">
        <f>IF([2]道具信息!N466="","",[2]道具信息!N466)</f>
        <v/>
      </c>
      <c r="O466" s="26" t="str">
        <f>IF([2]道具信息!O466="","",[2]道具信息!O466)</f>
        <v/>
      </c>
      <c r="P466" s="26" t="str">
        <f>IF([2]道具信息!P466="","",[2]道具信息!P466)</f>
        <v/>
      </c>
      <c r="Q466" s="26" t="str">
        <f>IF([2]道具信息!Q466="","",[2]道具信息!Q466)</f>
        <v/>
      </c>
    </row>
    <row r="467" spans="3:17" x14ac:dyDescent="0.15">
      <c r="C467" s="26">
        <f>IF([2]道具信息!C467="","",[2]道具信息!C467)</f>
        <v>24021</v>
      </c>
      <c r="D467" s="26" t="str">
        <f>IF([2]道具信息!D467="","",[2]道具信息!D467)</f>
        <v>三级阵旗随机宝箱</v>
      </c>
      <c r="E467" s="26" t="str">
        <f>IF([2]道具信息!E467="","",[2]道具信息!E467)</f>
        <v/>
      </c>
      <c r="F467" s="26">
        <f>IF([2]道具信息!F467="","",[2]道具信息!F467)</f>
        <v>1</v>
      </c>
      <c r="G467" s="26">
        <f>IF([2]道具信息!G467="","",[2]道具信息!G467)</f>
        <v>1</v>
      </c>
      <c r="H467" s="26">
        <f>IF([2]道具信息!H467="","",[2]道具信息!H467)</f>
        <v>1</v>
      </c>
      <c r="I467" s="26" t="str">
        <f>IF([2]道具信息!I467="","",[2]道具信息!I467)</f>
        <v/>
      </c>
      <c r="J467" s="26" t="str">
        <f>IF([2]道具信息!J467="","",[2]道具信息!J467)</f>
        <v/>
      </c>
      <c r="K467" s="26" t="str">
        <f>IF([2]道具信息!K467="","",[2]道具信息!K467)</f>
        <v/>
      </c>
      <c r="L467" s="26" t="str">
        <f>IF([2]道具信息!L467="","",[2]道具信息!L467)</f>
        <v/>
      </c>
      <c r="M467" s="26" t="str">
        <f>IF([2]道具信息!M467="","",[2]道具信息!M467)</f>
        <v/>
      </c>
      <c r="N467" s="26" t="str">
        <f>IF([2]道具信息!N467="","",[2]道具信息!N467)</f>
        <v/>
      </c>
      <c r="O467" s="26" t="str">
        <f>IF([2]道具信息!O467="","",[2]道具信息!O467)</f>
        <v/>
      </c>
      <c r="P467" s="26" t="str">
        <f>IF([2]道具信息!P467="","",[2]道具信息!P467)</f>
        <v/>
      </c>
      <c r="Q467" s="26" t="str">
        <f>IF([2]道具信息!Q467="","",[2]道具信息!Q467)</f>
        <v/>
      </c>
    </row>
    <row r="468" spans="3:17" x14ac:dyDescent="0.15">
      <c r="C468" s="26">
        <f>IF([2]道具信息!C468="","",[2]道具信息!C468)</f>
        <v>24078</v>
      </c>
      <c r="D468" s="26" t="str">
        <f>IF([2]道具信息!D468="","",[2]道具信息!D468)</f>
        <v>赛季武将碎片自选</v>
      </c>
      <c r="E468" s="26" t="str">
        <f>IF([2]道具信息!E468="","",[2]道具信息!E468)</f>
        <v/>
      </c>
      <c r="F468" s="26">
        <f>IF([2]道具信息!F468="","",[2]道具信息!F468)</f>
        <v>1</v>
      </c>
      <c r="G468" s="26">
        <f>IF([2]道具信息!G468="","",[2]道具信息!G468)</f>
        <v>1</v>
      </c>
      <c r="H468" s="26">
        <f>IF([2]道具信息!H468="","",[2]道具信息!H468)</f>
        <v>1</v>
      </c>
      <c r="I468" s="26" t="str">
        <f>IF([2]道具信息!I468="","",[2]道具信息!I468)</f>
        <v/>
      </c>
      <c r="J468" s="26" t="str">
        <f>IF([2]道具信息!J468="","",[2]道具信息!J468)</f>
        <v/>
      </c>
      <c r="K468" s="26" t="str">
        <f>IF([2]道具信息!K468="","",[2]道具信息!K468)</f>
        <v/>
      </c>
      <c r="L468" s="26" t="str">
        <f>IF([2]道具信息!L468="","",[2]道具信息!L468)</f>
        <v/>
      </c>
      <c r="M468" s="26" t="str">
        <f>IF([2]道具信息!M468="","",[2]道具信息!M468)</f>
        <v/>
      </c>
      <c r="N468" s="26" t="str">
        <f>IF([2]道具信息!N468="","",[2]道具信息!N468)</f>
        <v/>
      </c>
      <c r="O468" s="26" t="str">
        <f>IF([2]道具信息!O468="","",[2]道具信息!O468)</f>
        <v/>
      </c>
      <c r="P468" s="26" t="str">
        <f>IF([2]道具信息!P468="","",[2]道具信息!P468)</f>
        <v/>
      </c>
      <c r="Q468" s="26" t="str">
        <f>IF([2]道具信息!Q468="","",[2]道具信息!Q468)</f>
        <v/>
      </c>
    </row>
    <row r="469" spans="3:17" x14ac:dyDescent="0.15">
      <c r="C469" s="26" t="str">
        <f>IF([2]道具信息!C469="","",[2]道具信息!C469)</f>
        <v/>
      </c>
      <c r="D469" s="26" t="str">
        <f>IF([2]道具信息!D469="","",[2]道具信息!D469)</f>
        <v/>
      </c>
      <c r="E469" s="26" t="str">
        <f>IF([2]道具信息!E469="","",[2]道具信息!E469)</f>
        <v/>
      </c>
      <c r="F469" s="26">
        <f>IF([2]道具信息!F469="","",[2]道具信息!F469)</f>
        <v>1</v>
      </c>
      <c r="G469" s="26">
        <f>IF([2]道具信息!G469="","",[2]道具信息!G469)</f>
        <v>1</v>
      </c>
      <c r="H469" s="26">
        <f>IF([2]道具信息!H469="","",[2]道具信息!H469)</f>
        <v>1</v>
      </c>
      <c r="I469" s="26" t="str">
        <f>IF([2]道具信息!I469="","",[2]道具信息!I469)</f>
        <v/>
      </c>
      <c r="J469" s="26" t="str">
        <f>IF([2]道具信息!J469="","",[2]道具信息!J469)</f>
        <v/>
      </c>
      <c r="K469" s="26" t="str">
        <f>IF([2]道具信息!K469="","",[2]道具信息!K469)</f>
        <v/>
      </c>
      <c r="L469" s="26" t="str">
        <f>IF([2]道具信息!L469="","",[2]道具信息!L469)</f>
        <v/>
      </c>
      <c r="M469" s="26" t="str">
        <f>IF([2]道具信息!M469="","",[2]道具信息!M469)</f>
        <v/>
      </c>
      <c r="N469" s="26" t="str">
        <f>IF([2]道具信息!N469="","",[2]道具信息!N469)</f>
        <v/>
      </c>
      <c r="O469" s="26" t="str">
        <f>IF([2]道具信息!O469="","",[2]道具信息!O469)</f>
        <v/>
      </c>
      <c r="P469" s="26" t="str">
        <f>IF([2]道具信息!P469="","",[2]道具信息!P469)</f>
        <v/>
      </c>
      <c r="Q469" s="26" t="str">
        <f>IF([2]道具信息!Q469="","",[2]道具信息!Q469)</f>
        <v/>
      </c>
    </row>
    <row r="470" spans="3:17" x14ac:dyDescent="0.15">
      <c r="C470" s="26">
        <f>IF([2]道具信息!C470="","",[2]道具信息!C470)</f>
        <v>23521</v>
      </c>
      <c r="D470" s="26" t="str">
        <f>IF([2]道具信息!D470="","",[2]道具信息!D470)</f>
        <v>将军印碎片</v>
      </c>
      <c r="E470" s="26" t="str">
        <f>IF([2]道具信息!E470="","",[2]道具信息!E470)</f>
        <v/>
      </c>
      <c r="F470" s="26">
        <f>IF([2]道具信息!F470="","",[2]道具信息!F470)</f>
        <v>1</v>
      </c>
      <c r="G470" s="26">
        <f>IF([2]道具信息!G470="","",[2]道具信息!G470)</f>
        <v>1</v>
      </c>
      <c r="H470" s="26">
        <f>IF([2]道具信息!H470="","",[2]道具信息!H470)</f>
        <v>1</v>
      </c>
      <c r="I470" s="26" t="str">
        <f>IF([2]道具信息!I470="","",[2]道具信息!I470)</f>
        <v/>
      </c>
      <c r="J470" s="26" t="str">
        <f>IF([2]道具信息!J470="","",[2]道具信息!J470)</f>
        <v/>
      </c>
      <c r="K470" s="26" t="str">
        <f>IF([2]道具信息!K470="","",[2]道具信息!K470)</f>
        <v/>
      </c>
      <c r="L470" s="26" t="str">
        <f>IF([2]道具信息!L470="","",[2]道具信息!L470)</f>
        <v/>
      </c>
      <c r="M470" s="26" t="str">
        <f>IF([2]道具信息!M470="","",[2]道具信息!M470)</f>
        <v/>
      </c>
      <c r="N470" s="26" t="str">
        <f>IF([2]道具信息!N470="","",[2]道具信息!N470)</f>
        <v/>
      </c>
      <c r="O470" s="26" t="str">
        <f>IF([2]道具信息!O470="","",[2]道具信息!O470)</f>
        <v/>
      </c>
      <c r="P470" s="26" t="str">
        <f>IF([2]道具信息!P470="","",[2]道具信息!P470)</f>
        <v/>
      </c>
      <c r="Q470" s="26" t="str">
        <f>IF([2]道具信息!Q470="","",[2]道具信息!Q470)</f>
        <v/>
      </c>
    </row>
    <row r="471" spans="3:17" x14ac:dyDescent="0.15">
      <c r="C471" s="26">
        <f>IF([2]道具信息!C471="","",[2]道具信息!C471)</f>
        <v>23522</v>
      </c>
      <c r="D471" s="26" t="str">
        <f>IF([2]道具信息!D471="","",[2]道具信息!D471)</f>
        <v>上将印碎片</v>
      </c>
      <c r="E471" s="26" t="str">
        <f>IF([2]道具信息!E471="","",[2]道具信息!E471)</f>
        <v/>
      </c>
      <c r="F471" s="26">
        <f>IF([2]道具信息!F471="","",[2]道具信息!F471)</f>
        <v>1</v>
      </c>
      <c r="G471" s="26">
        <f>IF([2]道具信息!G471="","",[2]道具信息!G471)</f>
        <v>1</v>
      </c>
      <c r="H471" s="26">
        <f>IF([2]道具信息!H471="","",[2]道具信息!H471)</f>
        <v>1</v>
      </c>
      <c r="I471" s="26" t="str">
        <f>IF([2]道具信息!I471="","",[2]道具信息!I471)</f>
        <v/>
      </c>
      <c r="J471" s="26" t="str">
        <f>IF([2]道具信息!J471="","",[2]道具信息!J471)</f>
        <v/>
      </c>
      <c r="K471" s="26" t="str">
        <f>IF([2]道具信息!K471="","",[2]道具信息!K471)</f>
        <v/>
      </c>
      <c r="L471" s="26" t="str">
        <f>IF([2]道具信息!L471="","",[2]道具信息!L471)</f>
        <v/>
      </c>
      <c r="M471" s="26" t="str">
        <f>IF([2]道具信息!M471="","",[2]道具信息!M471)</f>
        <v/>
      </c>
      <c r="N471" s="26" t="str">
        <f>IF([2]道具信息!N471="","",[2]道具信息!N471)</f>
        <v/>
      </c>
      <c r="O471" s="26" t="str">
        <f>IF([2]道具信息!O471="","",[2]道具信息!O471)</f>
        <v/>
      </c>
      <c r="P471" s="26" t="str">
        <f>IF([2]道具信息!P471="","",[2]道具信息!P471)</f>
        <v/>
      </c>
      <c r="Q471" s="26" t="str">
        <f>IF([2]道具信息!Q471="","",[2]道具信息!Q471)</f>
        <v/>
      </c>
    </row>
    <row r="472" spans="3:17" x14ac:dyDescent="0.15">
      <c r="C472" s="26">
        <f>IF([2]道具信息!C472="","",[2]道具信息!C472)</f>
        <v>23523</v>
      </c>
      <c r="D472" s="26" t="str">
        <f>IF([2]道具信息!D472="","",[2]道具信息!D472)</f>
        <v>统帅印碎片</v>
      </c>
      <c r="E472" s="26" t="str">
        <f>IF([2]道具信息!E472="","",[2]道具信息!E472)</f>
        <v/>
      </c>
      <c r="F472" s="26">
        <f>IF([2]道具信息!F472="","",[2]道具信息!F472)</f>
        <v>1</v>
      </c>
      <c r="G472" s="26">
        <f>IF([2]道具信息!G472="","",[2]道具信息!G472)</f>
        <v>1</v>
      </c>
      <c r="H472" s="26">
        <f>IF([2]道具信息!H472="","",[2]道具信息!H472)</f>
        <v>1</v>
      </c>
      <c r="I472" s="26" t="str">
        <f>IF([2]道具信息!I472="","",[2]道具信息!I472)</f>
        <v/>
      </c>
      <c r="J472" s="26" t="str">
        <f>IF([2]道具信息!J472="","",[2]道具信息!J472)</f>
        <v/>
      </c>
      <c r="K472" s="26" t="str">
        <f>IF([2]道具信息!K472="","",[2]道具信息!K472)</f>
        <v/>
      </c>
      <c r="L472" s="26" t="str">
        <f>IF([2]道具信息!L472="","",[2]道具信息!L472)</f>
        <v/>
      </c>
      <c r="M472" s="26" t="str">
        <f>IF([2]道具信息!M472="","",[2]道具信息!M472)</f>
        <v/>
      </c>
      <c r="N472" s="26" t="str">
        <f>IF([2]道具信息!N472="","",[2]道具信息!N472)</f>
        <v/>
      </c>
      <c r="O472" s="26" t="str">
        <f>IF([2]道具信息!O472="","",[2]道具信息!O472)</f>
        <v/>
      </c>
      <c r="P472" s="26" t="str">
        <f>IF([2]道具信息!P472="","",[2]道具信息!P472)</f>
        <v/>
      </c>
      <c r="Q472" s="26" t="str">
        <f>IF([2]道具信息!Q472="","",[2]道具信息!Q472)</f>
        <v/>
      </c>
    </row>
    <row r="473" spans="3:17" x14ac:dyDescent="0.15">
      <c r="C473" s="26" t="str">
        <f>IF([2]道具信息!C473="","",[2]道具信息!C473)</f>
        <v/>
      </c>
      <c r="D473" s="26" t="str">
        <f>IF([2]道具信息!D473="","",[2]道具信息!D473)</f>
        <v/>
      </c>
      <c r="E473" s="26" t="str">
        <f>IF([2]道具信息!E473="","",[2]道具信息!E473)</f>
        <v/>
      </c>
      <c r="F473" s="26">
        <f>IF([2]道具信息!F473="","",[2]道具信息!F473)</f>
        <v>1</v>
      </c>
      <c r="G473" s="26">
        <f>IF([2]道具信息!G473="","",[2]道具信息!G473)</f>
        <v>1</v>
      </c>
      <c r="H473" s="26">
        <f>IF([2]道具信息!H473="","",[2]道具信息!H473)</f>
        <v>1</v>
      </c>
      <c r="I473" s="26" t="str">
        <f>IF([2]道具信息!I473="","",[2]道具信息!I473)</f>
        <v/>
      </c>
      <c r="J473" s="26" t="str">
        <f>IF([2]道具信息!J473="","",[2]道具信息!J473)</f>
        <v/>
      </c>
      <c r="K473" s="26" t="str">
        <f>IF([2]道具信息!K473="","",[2]道具信息!K473)</f>
        <v/>
      </c>
      <c r="L473" s="26" t="str">
        <f>IF([2]道具信息!L473="","",[2]道具信息!L473)</f>
        <v/>
      </c>
      <c r="M473" s="26" t="str">
        <f>IF([2]道具信息!M473="","",[2]道具信息!M473)</f>
        <v/>
      </c>
      <c r="N473" s="26" t="str">
        <f>IF([2]道具信息!N473="","",[2]道具信息!N473)</f>
        <v/>
      </c>
      <c r="O473" s="26" t="str">
        <f>IF([2]道具信息!O473="","",[2]道具信息!O473)</f>
        <v/>
      </c>
      <c r="P473" s="26" t="str">
        <f>IF([2]道具信息!P473="","",[2]道具信息!P473)</f>
        <v/>
      </c>
      <c r="Q473" s="26" t="str">
        <f>IF([2]道具信息!Q473="","",[2]道具信息!Q473)</f>
        <v/>
      </c>
    </row>
    <row r="474" spans="3:17" x14ac:dyDescent="0.15">
      <c r="C474" s="26" t="str">
        <f>IF([2]道具信息!C474="","",[2]道具信息!C474)</f>
        <v/>
      </c>
      <c r="D474" s="26" t="str">
        <f>IF([2]道具信息!D474="","",[2]道具信息!D474)</f>
        <v/>
      </c>
      <c r="E474" s="26" t="str">
        <f>IF([2]道具信息!E474="","",[2]道具信息!E474)</f>
        <v/>
      </c>
      <c r="F474" s="26">
        <f>IF([2]道具信息!F474="","",[2]道具信息!F474)</f>
        <v>1</v>
      </c>
      <c r="G474" s="26">
        <f>IF([2]道具信息!G474="","",[2]道具信息!G474)</f>
        <v>1</v>
      </c>
      <c r="H474" s="26">
        <f>IF([2]道具信息!H474="","",[2]道具信息!H474)</f>
        <v>1</v>
      </c>
      <c r="I474" s="26" t="str">
        <f>IF([2]道具信息!I474="","",[2]道具信息!I474)</f>
        <v/>
      </c>
      <c r="J474" s="26" t="str">
        <f>IF([2]道具信息!J474="","",[2]道具信息!J474)</f>
        <v/>
      </c>
      <c r="K474" s="26" t="str">
        <f>IF([2]道具信息!K474="","",[2]道具信息!K474)</f>
        <v/>
      </c>
      <c r="L474" s="26" t="str">
        <f>IF([2]道具信息!L474="","",[2]道具信息!L474)</f>
        <v/>
      </c>
      <c r="M474" s="26" t="str">
        <f>IF([2]道具信息!M474="","",[2]道具信息!M474)</f>
        <v/>
      </c>
      <c r="N474" s="26" t="str">
        <f>IF([2]道具信息!N474="","",[2]道具信息!N474)</f>
        <v/>
      </c>
      <c r="O474" s="26" t="str">
        <f>IF([2]道具信息!O474="","",[2]道具信息!O474)</f>
        <v/>
      </c>
      <c r="P474" s="26" t="str">
        <f>IF([2]道具信息!P474="","",[2]道具信息!P474)</f>
        <v/>
      </c>
      <c r="Q474" s="26" t="str">
        <f>IF([2]道具信息!Q474="","",[2]道具信息!Q474)</f>
        <v/>
      </c>
    </row>
    <row r="475" spans="3:17" x14ac:dyDescent="0.15">
      <c r="C475" s="26" t="str">
        <f>IF([2]道具信息!C475="","",[2]道具信息!C475)</f>
        <v/>
      </c>
      <c r="D475" s="26" t="str">
        <f>IF([2]道具信息!D475="","",[2]道具信息!D475)</f>
        <v/>
      </c>
      <c r="E475" s="26" t="str">
        <f>IF([2]道具信息!E475="","",[2]道具信息!E475)</f>
        <v/>
      </c>
      <c r="F475" s="26">
        <f>IF([2]道具信息!F475="","",[2]道具信息!F475)</f>
        <v>1</v>
      </c>
      <c r="G475" s="26">
        <f>IF([2]道具信息!G475="","",[2]道具信息!G475)</f>
        <v>1</v>
      </c>
      <c r="H475" s="26">
        <f>IF([2]道具信息!H475="","",[2]道具信息!H475)</f>
        <v>1</v>
      </c>
      <c r="I475" s="26" t="str">
        <f>IF([2]道具信息!I475="","",[2]道具信息!I475)</f>
        <v/>
      </c>
      <c r="J475" s="26" t="str">
        <f>IF([2]道具信息!J475="","",[2]道具信息!J475)</f>
        <v/>
      </c>
      <c r="K475" s="26" t="str">
        <f>IF([2]道具信息!K475="","",[2]道具信息!K475)</f>
        <v/>
      </c>
      <c r="L475" s="26" t="str">
        <f>IF([2]道具信息!L475="","",[2]道具信息!L475)</f>
        <v/>
      </c>
      <c r="M475" s="26" t="str">
        <f>IF([2]道具信息!M475="","",[2]道具信息!M475)</f>
        <v/>
      </c>
      <c r="N475" s="26" t="str">
        <f>IF([2]道具信息!N475="","",[2]道具信息!N475)</f>
        <v/>
      </c>
      <c r="O475" s="26" t="str">
        <f>IF([2]道具信息!O475="","",[2]道具信息!O475)</f>
        <v/>
      </c>
      <c r="P475" s="26" t="str">
        <f>IF([2]道具信息!P475="","",[2]道具信息!P475)</f>
        <v/>
      </c>
      <c r="Q475" s="26" t="str">
        <f>IF([2]道具信息!Q475="","",[2]道具信息!Q475)</f>
        <v/>
      </c>
    </row>
    <row r="476" spans="3:17" x14ac:dyDescent="0.15">
      <c r="C476" s="26" t="str">
        <f>IF([2]道具信息!C476="","",[2]道具信息!C476)</f>
        <v/>
      </c>
      <c r="D476" s="26" t="str">
        <f>IF([2]道具信息!D476="","",[2]道具信息!D476)</f>
        <v/>
      </c>
      <c r="E476" s="26" t="str">
        <f>IF([2]道具信息!E476="","",[2]道具信息!E476)</f>
        <v/>
      </c>
      <c r="F476" s="26">
        <f>IF([2]道具信息!F476="","",[2]道具信息!F476)</f>
        <v>1</v>
      </c>
      <c r="G476" s="26">
        <f>IF([2]道具信息!G476="","",[2]道具信息!G476)</f>
        <v>1</v>
      </c>
      <c r="H476" s="26">
        <f>IF([2]道具信息!H476="","",[2]道具信息!H476)</f>
        <v>1</v>
      </c>
      <c r="I476" s="26" t="str">
        <f>IF([2]道具信息!I476="","",[2]道具信息!I476)</f>
        <v/>
      </c>
      <c r="J476" s="26" t="str">
        <f>IF([2]道具信息!J476="","",[2]道具信息!J476)</f>
        <v/>
      </c>
      <c r="K476" s="26" t="str">
        <f>IF([2]道具信息!K476="","",[2]道具信息!K476)</f>
        <v/>
      </c>
      <c r="L476" s="26" t="str">
        <f>IF([2]道具信息!L476="","",[2]道具信息!L476)</f>
        <v/>
      </c>
      <c r="M476" s="26" t="str">
        <f>IF([2]道具信息!M476="","",[2]道具信息!M476)</f>
        <v/>
      </c>
      <c r="N476" s="26" t="str">
        <f>IF([2]道具信息!N476="","",[2]道具信息!N476)</f>
        <v/>
      </c>
      <c r="O476" s="26" t="str">
        <f>IF([2]道具信息!O476="","",[2]道具信息!O476)</f>
        <v/>
      </c>
      <c r="P476" s="26" t="str">
        <f>IF([2]道具信息!P476="","",[2]道具信息!P476)</f>
        <v/>
      </c>
      <c r="Q476" s="26" t="str">
        <f>IF([2]道具信息!Q476="","",[2]道具信息!Q476)</f>
        <v/>
      </c>
    </row>
    <row r="477" spans="3:17" x14ac:dyDescent="0.15">
      <c r="C477" s="26" t="str">
        <f>IF([2]道具信息!C477="","",[2]道具信息!C477)</f>
        <v/>
      </c>
      <c r="D477" s="26" t="str">
        <f>IF([2]道具信息!D477="","",[2]道具信息!D477)</f>
        <v/>
      </c>
      <c r="E477" s="26" t="str">
        <f>IF([2]道具信息!E477="","",[2]道具信息!E477)</f>
        <v/>
      </c>
      <c r="F477" s="26">
        <f>IF([2]道具信息!F477="","",[2]道具信息!F477)</f>
        <v>1</v>
      </c>
      <c r="G477" s="26">
        <f>IF([2]道具信息!G477="","",[2]道具信息!G477)</f>
        <v>1</v>
      </c>
      <c r="H477" s="26">
        <f>IF([2]道具信息!H477="","",[2]道具信息!H477)</f>
        <v>1</v>
      </c>
      <c r="I477" s="26" t="str">
        <f>IF([2]道具信息!I477="","",[2]道具信息!I477)</f>
        <v/>
      </c>
      <c r="J477" s="26" t="str">
        <f>IF([2]道具信息!J477="","",[2]道具信息!J477)</f>
        <v/>
      </c>
      <c r="K477" s="26" t="str">
        <f>IF([2]道具信息!K477="","",[2]道具信息!K477)</f>
        <v/>
      </c>
      <c r="L477" s="26" t="str">
        <f>IF([2]道具信息!L477="","",[2]道具信息!L477)</f>
        <v/>
      </c>
      <c r="M477" s="26" t="str">
        <f>IF([2]道具信息!M477="","",[2]道具信息!M477)</f>
        <v/>
      </c>
      <c r="N477" s="26" t="str">
        <f>IF([2]道具信息!N477="","",[2]道具信息!N477)</f>
        <v/>
      </c>
      <c r="O477" s="26" t="str">
        <f>IF([2]道具信息!O477="","",[2]道具信息!O477)</f>
        <v/>
      </c>
      <c r="P477" s="26" t="str">
        <f>IF([2]道具信息!P477="","",[2]道具信息!P477)</f>
        <v/>
      </c>
      <c r="Q477" s="26" t="str">
        <f>IF([2]道具信息!Q477="","",[2]道具信息!Q477)</f>
        <v/>
      </c>
    </row>
    <row r="478" spans="3:17" x14ac:dyDescent="0.15">
      <c r="C478" s="26" t="str">
        <f>IF([2]道具信息!C478="","",[2]道具信息!C478)</f>
        <v/>
      </c>
      <c r="D478" s="26" t="str">
        <f>IF([2]道具信息!D478="","",[2]道具信息!D478)</f>
        <v/>
      </c>
      <c r="E478" s="26" t="str">
        <f>IF([2]道具信息!E478="","",[2]道具信息!E478)</f>
        <v/>
      </c>
      <c r="F478" s="26">
        <f>IF([2]道具信息!F478="","",[2]道具信息!F478)</f>
        <v>1</v>
      </c>
      <c r="G478" s="26">
        <f>IF([2]道具信息!G478="","",[2]道具信息!G478)</f>
        <v>1</v>
      </c>
      <c r="H478" s="26">
        <f>IF([2]道具信息!H478="","",[2]道具信息!H478)</f>
        <v>1</v>
      </c>
      <c r="I478" s="26" t="str">
        <f>IF([2]道具信息!I478="","",[2]道具信息!I478)</f>
        <v/>
      </c>
      <c r="J478" s="26" t="str">
        <f>IF([2]道具信息!J478="","",[2]道具信息!J478)</f>
        <v/>
      </c>
      <c r="K478" s="26" t="str">
        <f>IF([2]道具信息!K478="","",[2]道具信息!K478)</f>
        <v/>
      </c>
      <c r="L478" s="26" t="str">
        <f>IF([2]道具信息!L478="","",[2]道具信息!L478)</f>
        <v/>
      </c>
      <c r="M478" s="26" t="str">
        <f>IF([2]道具信息!M478="","",[2]道具信息!M478)</f>
        <v/>
      </c>
      <c r="N478" s="26" t="str">
        <f>IF([2]道具信息!N478="","",[2]道具信息!N478)</f>
        <v/>
      </c>
      <c r="O478" s="26" t="str">
        <f>IF([2]道具信息!O478="","",[2]道具信息!O478)</f>
        <v/>
      </c>
      <c r="P478" s="26" t="str">
        <f>IF([2]道具信息!P478="","",[2]道具信息!P478)</f>
        <v/>
      </c>
      <c r="Q478" s="26" t="str">
        <f>IF([2]道具信息!Q478="","",[2]道具信息!Q478)</f>
        <v/>
      </c>
    </row>
    <row r="479" spans="3:17" x14ac:dyDescent="0.15">
      <c r="C479" s="26" t="str">
        <f>IF([2]道具信息!C479="","",[2]道具信息!C479)</f>
        <v/>
      </c>
      <c r="D479" s="26" t="str">
        <f>IF([2]道具信息!D479="","",[2]道具信息!D479)</f>
        <v/>
      </c>
      <c r="E479" s="26" t="str">
        <f>IF([2]道具信息!E479="","",[2]道具信息!E479)</f>
        <v/>
      </c>
      <c r="F479" s="26">
        <f>IF([2]道具信息!F479="","",[2]道具信息!F479)</f>
        <v>1</v>
      </c>
      <c r="G479" s="26">
        <f>IF([2]道具信息!G479="","",[2]道具信息!G479)</f>
        <v>1</v>
      </c>
      <c r="H479" s="26">
        <f>IF([2]道具信息!H479="","",[2]道具信息!H479)</f>
        <v>1</v>
      </c>
      <c r="I479" s="26" t="str">
        <f>IF([2]道具信息!I479="","",[2]道具信息!I479)</f>
        <v/>
      </c>
      <c r="J479" s="26" t="str">
        <f>IF([2]道具信息!J479="","",[2]道具信息!J479)</f>
        <v/>
      </c>
      <c r="K479" s="26" t="str">
        <f>IF([2]道具信息!K479="","",[2]道具信息!K479)</f>
        <v/>
      </c>
      <c r="L479" s="26" t="str">
        <f>IF([2]道具信息!L479="","",[2]道具信息!L479)</f>
        <v/>
      </c>
      <c r="M479" s="26" t="str">
        <f>IF([2]道具信息!M479="","",[2]道具信息!M479)</f>
        <v/>
      </c>
      <c r="N479" s="26" t="str">
        <f>IF([2]道具信息!N479="","",[2]道具信息!N479)</f>
        <v/>
      </c>
      <c r="O479" s="26" t="str">
        <f>IF([2]道具信息!O479="","",[2]道具信息!O479)</f>
        <v/>
      </c>
      <c r="P479" s="26" t="str">
        <f>IF([2]道具信息!P479="","",[2]道具信息!P479)</f>
        <v/>
      </c>
      <c r="Q479" s="26" t="str">
        <f>IF([2]道具信息!Q479="","",[2]道具信息!Q479)</f>
        <v/>
      </c>
    </row>
    <row r="480" spans="3:17" x14ac:dyDescent="0.15">
      <c r="C480" s="26" t="str">
        <f>IF([2]道具信息!C480="","",[2]道具信息!C480)</f>
        <v/>
      </c>
      <c r="D480" s="26" t="str">
        <f>IF([2]道具信息!D480="","",[2]道具信息!D480)</f>
        <v/>
      </c>
      <c r="E480" s="26" t="str">
        <f>IF([2]道具信息!E480="","",[2]道具信息!E480)</f>
        <v/>
      </c>
      <c r="F480" s="26">
        <f>IF([2]道具信息!F480="","",[2]道具信息!F480)</f>
        <v>1</v>
      </c>
      <c r="G480" s="26">
        <f>IF([2]道具信息!G480="","",[2]道具信息!G480)</f>
        <v>1</v>
      </c>
      <c r="H480" s="26">
        <f>IF([2]道具信息!H480="","",[2]道具信息!H480)</f>
        <v>1</v>
      </c>
      <c r="I480" s="26" t="str">
        <f>IF([2]道具信息!I480="","",[2]道具信息!I480)</f>
        <v/>
      </c>
      <c r="J480" s="26" t="str">
        <f>IF([2]道具信息!J480="","",[2]道具信息!J480)</f>
        <v/>
      </c>
      <c r="K480" s="26" t="str">
        <f>IF([2]道具信息!K480="","",[2]道具信息!K480)</f>
        <v/>
      </c>
      <c r="L480" s="26" t="str">
        <f>IF([2]道具信息!L480="","",[2]道具信息!L480)</f>
        <v/>
      </c>
      <c r="M480" s="26" t="str">
        <f>IF([2]道具信息!M480="","",[2]道具信息!M480)</f>
        <v/>
      </c>
      <c r="N480" s="26" t="str">
        <f>IF([2]道具信息!N480="","",[2]道具信息!N480)</f>
        <v/>
      </c>
      <c r="O480" s="26" t="str">
        <f>IF([2]道具信息!O480="","",[2]道具信息!O480)</f>
        <v/>
      </c>
      <c r="P480" s="26" t="str">
        <f>IF([2]道具信息!P480="","",[2]道具信息!P480)</f>
        <v/>
      </c>
      <c r="Q480" s="26" t="str">
        <f>IF([2]道具信息!Q480="","",[2]道具信息!Q480)</f>
        <v/>
      </c>
    </row>
    <row r="481" spans="3:17" x14ac:dyDescent="0.15">
      <c r="C481" s="26" t="str">
        <f>IF([2]道具信息!C481="","",[2]道具信息!C481)</f>
        <v/>
      </c>
      <c r="D481" s="26" t="str">
        <f>IF([2]道具信息!D481="","",[2]道具信息!D481)</f>
        <v/>
      </c>
      <c r="E481" s="26" t="str">
        <f>IF([2]道具信息!E481="","",[2]道具信息!E481)</f>
        <v/>
      </c>
      <c r="F481" s="26">
        <f>IF([2]道具信息!F481="","",[2]道具信息!F481)</f>
        <v>1</v>
      </c>
      <c r="G481" s="26">
        <f>IF([2]道具信息!G481="","",[2]道具信息!G481)</f>
        <v>1</v>
      </c>
      <c r="H481" s="26">
        <f>IF([2]道具信息!H481="","",[2]道具信息!H481)</f>
        <v>1</v>
      </c>
      <c r="I481" s="26" t="str">
        <f>IF([2]道具信息!I481="","",[2]道具信息!I481)</f>
        <v/>
      </c>
      <c r="J481" s="26" t="str">
        <f>IF([2]道具信息!J481="","",[2]道具信息!J481)</f>
        <v/>
      </c>
      <c r="K481" s="26" t="str">
        <f>IF([2]道具信息!K481="","",[2]道具信息!K481)</f>
        <v/>
      </c>
      <c r="L481" s="26" t="str">
        <f>IF([2]道具信息!L481="","",[2]道具信息!L481)</f>
        <v/>
      </c>
      <c r="M481" s="26" t="str">
        <f>IF([2]道具信息!M481="","",[2]道具信息!M481)</f>
        <v/>
      </c>
      <c r="N481" s="26" t="str">
        <f>IF([2]道具信息!N481="","",[2]道具信息!N481)</f>
        <v/>
      </c>
      <c r="O481" s="26" t="str">
        <f>IF([2]道具信息!O481="","",[2]道具信息!O481)</f>
        <v/>
      </c>
      <c r="P481" s="26" t="str">
        <f>IF([2]道具信息!P481="","",[2]道具信息!P481)</f>
        <v/>
      </c>
      <c r="Q481" s="26" t="str">
        <f>IF([2]道具信息!Q481="","",[2]道具信息!Q481)</f>
        <v/>
      </c>
    </row>
    <row r="482" spans="3:17" x14ac:dyDescent="0.15">
      <c r="C482" s="26" t="str">
        <f>IF([2]道具信息!C482="","",[2]道具信息!C482)</f>
        <v/>
      </c>
      <c r="D482" s="26" t="str">
        <f>IF([2]道具信息!D482="","",[2]道具信息!D482)</f>
        <v/>
      </c>
      <c r="E482" s="26" t="str">
        <f>IF([2]道具信息!E482="","",[2]道具信息!E482)</f>
        <v/>
      </c>
      <c r="F482" s="26">
        <f>IF([2]道具信息!F482="","",[2]道具信息!F482)</f>
        <v>1</v>
      </c>
      <c r="G482" s="26">
        <f>IF([2]道具信息!G482="","",[2]道具信息!G482)</f>
        <v>1</v>
      </c>
      <c r="H482" s="26">
        <f>IF([2]道具信息!H482="","",[2]道具信息!H482)</f>
        <v>1</v>
      </c>
      <c r="I482" s="26" t="str">
        <f>IF([2]道具信息!I482="","",[2]道具信息!I482)</f>
        <v/>
      </c>
      <c r="J482" s="26" t="str">
        <f>IF([2]道具信息!J482="","",[2]道具信息!J482)</f>
        <v/>
      </c>
      <c r="K482" s="26" t="str">
        <f>IF([2]道具信息!K482="","",[2]道具信息!K482)</f>
        <v/>
      </c>
      <c r="L482" s="26" t="str">
        <f>IF([2]道具信息!L482="","",[2]道具信息!L482)</f>
        <v/>
      </c>
      <c r="M482" s="26" t="str">
        <f>IF([2]道具信息!M482="","",[2]道具信息!M482)</f>
        <v/>
      </c>
      <c r="N482" s="26" t="str">
        <f>IF([2]道具信息!N482="","",[2]道具信息!N482)</f>
        <v/>
      </c>
      <c r="O482" s="26" t="str">
        <f>IF([2]道具信息!O482="","",[2]道具信息!O482)</f>
        <v/>
      </c>
      <c r="P482" s="26" t="str">
        <f>IF([2]道具信息!P482="","",[2]道具信息!P482)</f>
        <v/>
      </c>
      <c r="Q482" s="26" t="str">
        <f>IF([2]道具信息!Q482="","",[2]道具信息!Q482)</f>
        <v/>
      </c>
    </row>
    <row r="483" spans="3:17" x14ac:dyDescent="0.15">
      <c r="C483" s="26" t="str">
        <f>IF([2]道具信息!C483="","",[2]道具信息!C483)</f>
        <v/>
      </c>
      <c r="D483" s="26" t="str">
        <f>IF([2]道具信息!D483="","",[2]道具信息!D483)</f>
        <v/>
      </c>
      <c r="E483" s="26" t="str">
        <f>IF([2]道具信息!E483="","",[2]道具信息!E483)</f>
        <v/>
      </c>
      <c r="F483" s="26">
        <f>IF([2]道具信息!F483="","",[2]道具信息!F483)</f>
        <v>1</v>
      </c>
      <c r="G483" s="26">
        <f>IF([2]道具信息!G483="","",[2]道具信息!G483)</f>
        <v>1</v>
      </c>
      <c r="H483" s="26">
        <f>IF([2]道具信息!H483="","",[2]道具信息!H483)</f>
        <v>1</v>
      </c>
      <c r="I483" s="26" t="str">
        <f>IF([2]道具信息!I483="","",[2]道具信息!I483)</f>
        <v/>
      </c>
      <c r="J483" s="26" t="str">
        <f>IF([2]道具信息!J483="","",[2]道具信息!J483)</f>
        <v/>
      </c>
      <c r="K483" s="26" t="str">
        <f>IF([2]道具信息!K483="","",[2]道具信息!K483)</f>
        <v/>
      </c>
      <c r="L483" s="26" t="str">
        <f>IF([2]道具信息!L483="","",[2]道具信息!L483)</f>
        <v/>
      </c>
      <c r="M483" s="26" t="str">
        <f>IF([2]道具信息!M483="","",[2]道具信息!M483)</f>
        <v/>
      </c>
      <c r="N483" s="26" t="str">
        <f>IF([2]道具信息!N483="","",[2]道具信息!N483)</f>
        <v/>
      </c>
      <c r="O483" s="26" t="str">
        <f>IF([2]道具信息!O483="","",[2]道具信息!O483)</f>
        <v/>
      </c>
      <c r="P483" s="26" t="str">
        <f>IF([2]道具信息!P483="","",[2]道具信息!P483)</f>
        <v/>
      </c>
      <c r="Q483" s="26" t="str">
        <f>IF([2]道具信息!Q483="","",[2]道具信息!Q483)</f>
        <v/>
      </c>
    </row>
    <row r="484" spans="3:17" x14ac:dyDescent="0.15">
      <c r="C484" s="26" t="str">
        <f>IF([2]道具信息!C484="","",[2]道具信息!C484)</f>
        <v/>
      </c>
      <c r="D484" s="26" t="str">
        <f>IF([2]道具信息!D484="","",[2]道具信息!D484)</f>
        <v/>
      </c>
      <c r="E484" s="26" t="str">
        <f>IF([2]道具信息!E484="","",[2]道具信息!E484)</f>
        <v/>
      </c>
      <c r="F484" s="26">
        <f>IF([2]道具信息!F484="","",[2]道具信息!F484)</f>
        <v>1</v>
      </c>
      <c r="G484" s="26">
        <f>IF([2]道具信息!G484="","",[2]道具信息!G484)</f>
        <v>1</v>
      </c>
      <c r="H484" s="26">
        <f>IF([2]道具信息!H484="","",[2]道具信息!H484)</f>
        <v>1</v>
      </c>
      <c r="I484" s="26" t="str">
        <f>IF([2]道具信息!I484="","",[2]道具信息!I484)</f>
        <v/>
      </c>
      <c r="J484" s="26" t="str">
        <f>IF([2]道具信息!J484="","",[2]道具信息!J484)</f>
        <v/>
      </c>
      <c r="K484" s="26" t="str">
        <f>IF([2]道具信息!K484="","",[2]道具信息!K484)</f>
        <v/>
      </c>
      <c r="L484" s="26" t="str">
        <f>IF([2]道具信息!L484="","",[2]道具信息!L484)</f>
        <v/>
      </c>
      <c r="M484" s="26" t="str">
        <f>IF([2]道具信息!M484="","",[2]道具信息!M484)</f>
        <v/>
      </c>
      <c r="N484" s="26" t="str">
        <f>IF([2]道具信息!N484="","",[2]道具信息!N484)</f>
        <v/>
      </c>
      <c r="O484" s="26" t="str">
        <f>IF([2]道具信息!O484="","",[2]道具信息!O484)</f>
        <v/>
      </c>
      <c r="P484" s="26" t="str">
        <f>IF([2]道具信息!P484="","",[2]道具信息!P484)</f>
        <v/>
      </c>
      <c r="Q484" s="26" t="str">
        <f>IF([2]道具信息!Q484="","",[2]道具信息!Q484)</f>
        <v/>
      </c>
    </row>
    <row r="485" spans="3:17" x14ac:dyDescent="0.15">
      <c r="C485" s="26" t="str">
        <f>IF([2]道具信息!C485="","",[2]道具信息!C485)</f>
        <v/>
      </c>
      <c r="D485" s="26" t="str">
        <f>IF([2]道具信息!D485="","",[2]道具信息!D485)</f>
        <v/>
      </c>
      <c r="E485" s="26" t="str">
        <f>IF([2]道具信息!E485="","",[2]道具信息!E485)</f>
        <v/>
      </c>
      <c r="F485" s="26">
        <f>IF([2]道具信息!F485="","",[2]道具信息!F485)</f>
        <v>1</v>
      </c>
      <c r="G485" s="26">
        <f>IF([2]道具信息!G485="","",[2]道具信息!G485)</f>
        <v>1</v>
      </c>
      <c r="H485" s="26">
        <f>IF([2]道具信息!H485="","",[2]道具信息!H485)</f>
        <v>1</v>
      </c>
      <c r="I485" s="26" t="str">
        <f>IF([2]道具信息!I485="","",[2]道具信息!I485)</f>
        <v/>
      </c>
      <c r="J485" s="26" t="str">
        <f>IF([2]道具信息!J485="","",[2]道具信息!J485)</f>
        <v/>
      </c>
      <c r="K485" s="26" t="str">
        <f>IF([2]道具信息!K485="","",[2]道具信息!K485)</f>
        <v/>
      </c>
      <c r="L485" s="26" t="str">
        <f>IF([2]道具信息!L485="","",[2]道具信息!L485)</f>
        <v/>
      </c>
      <c r="M485" s="26" t="str">
        <f>IF([2]道具信息!M485="","",[2]道具信息!M485)</f>
        <v/>
      </c>
      <c r="N485" s="26" t="str">
        <f>IF([2]道具信息!N485="","",[2]道具信息!N485)</f>
        <v/>
      </c>
      <c r="O485" s="26" t="str">
        <f>IF([2]道具信息!O485="","",[2]道具信息!O485)</f>
        <v/>
      </c>
      <c r="P485" s="26" t="str">
        <f>IF([2]道具信息!P485="","",[2]道具信息!P485)</f>
        <v/>
      </c>
      <c r="Q485" s="26" t="str">
        <f>IF([2]道具信息!Q485="","",[2]道具信息!Q485)</f>
        <v/>
      </c>
    </row>
    <row r="486" spans="3:17" x14ac:dyDescent="0.15">
      <c r="C486" s="26" t="str">
        <f>IF([2]道具信息!C486="","",[2]道具信息!C486)</f>
        <v/>
      </c>
      <c r="D486" s="26" t="str">
        <f>IF([2]道具信息!D486="","",[2]道具信息!D486)</f>
        <v/>
      </c>
      <c r="E486" s="26" t="str">
        <f>IF([2]道具信息!E486="","",[2]道具信息!E486)</f>
        <v/>
      </c>
      <c r="F486" s="26">
        <f>IF([2]道具信息!F486="","",[2]道具信息!F486)</f>
        <v>1</v>
      </c>
      <c r="G486" s="26">
        <f>IF([2]道具信息!G486="","",[2]道具信息!G486)</f>
        <v>1</v>
      </c>
      <c r="H486" s="26">
        <f>IF([2]道具信息!H486="","",[2]道具信息!H486)</f>
        <v>1</v>
      </c>
      <c r="I486" s="26" t="str">
        <f>IF([2]道具信息!I486="","",[2]道具信息!I486)</f>
        <v/>
      </c>
      <c r="J486" s="26" t="str">
        <f>IF([2]道具信息!J486="","",[2]道具信息!J486)</f>
        <v/>
      </c>
      <c r="K486" s="26" t="str">
        <f>IF([2]道具信息!K486="","",[2]道具信息!K486)</f>
        <v/>
      </c>
      <c r="L486" s="26" t="str">
        <f>IF([2]道具信息!L486="","",[2]道具信息!L486)</f>
        <v/>
      </c>
      <c r="M486" s="26" t="str">
        <f>IF([2]道具信息!M486="","",[2]道具信息!M486)</f>
        <v/>
      </c>
      <c r="N486" s="26" t="str">
        <f>IF([2]道具信息!N486="","",[2]道具信息!N486)</f>
        <v/>
      </c>
      <c r="O486" s="26" t="str">
        <f>IF([2]道具信息!O486="","",[2]道具信息!O486)</f>
        <v/>
      </c>
      <c r="P486" s="26" t="str">
        <f>IF([2]道具信息!P486="","",[2]道具信息!P486)</f>
        <v/>
      </c>
      <c r="Q486" s="26" t="str">
        <f>IF([2]道具信息!Q486="","",[2]道具信息!Q486)</f>
        <v/>
      </c>
    </row>
    <row r="487" spans="3:17" x14ac:dyDescent="0.15">
      <c r="C487" s="26" t="str">
        <f>IF([2]道具信息!C487="","",[2]道具信息!C487)</f>
        <v/>
      </c>
      <c r="D487" s="26" t="str">
        <f>IF([2]道具信息!D487="","",[2]道具信息!D487)</f>
        <v/>
      </c>
      <c r="E487" s="26" t="str">
        <f>IF([2]道具信息!E487="","",[2]道具信息!E487)</f>
        <v/>
      </c>
      <c r="F487" s="26">
        <f>IF([2]道具信息!F487="","",[2]道具信息!F487)</f>
        <v>1</v>
      </c>
      <c r="G487" s="26">
        <f>IF([2]道具信息!G487="","",[2]道具信息!G487)</f>
        <v>1</v>
      </c>
      <c r="H487" s="26">
        <f>IF([2]道具信息!H487="","",[2]道具信息!H487)</f>
        <v>1</v>
      </c>
      <c r="I487" s="26" t="str">
        <f>IF([2]道具信息!I487="","",[2]道具信息!I487)</f>
        <v/>
      </c>
      <c r="J487" s="26" t="str">
        <f>IF([2]道具信息!J487="","",[2]道具信息!J487)</f>
        <v/>
      </c>
      <c r="K487" s="26" t="str">
        <f>IF([2]道具信息!K487="","",[2]道具信息!K487)</f>
        <v/>
      </c>
      <c r="L487" s="26" t="str">
        <f>IF([2]道具信息!L487="","",[2]道具信息!L487)</f>
        <v/>
      </c>
      <c r="M487" s="26" t="str">
        <f>IF([2]道具信息!M487="","",[2]道具信息!M487)</f>
        <v/>
      </c>
      <c r="N487" s="26" t="str">
        <f>IF([2]道具信息!N487="","",[2]道具信息!N487)</f>
        <v/>
      </c>
      <c r="O487" s="26" t="str">
        <f>IF([2]道具信息!O487="","",[2]道具信息!O487)</f>
        <v/>
      </c>
      <c r="P487" s="26" t="str">
        <f>IF([2]道具信息!P487="","",[2]道具信息!P487)</f>
        <v/>
      </c>
      <c r="Q487" s="26" t="str">
        <f>IF([2]道具信息!Q487="","",[2]道具信息!Q487)</f>
        <v/>
      </c>
    </row>
    <row r="488" spans="3:17" x14ac:dyDescent="0.15">
      <c r="C488" s="26" t="str">
        <f>IF([2]道具信息!C488="","",[2]道具信息!C488)</f>
        <v/>
      </c>
      <c r="D488" s="26" t="str">
        <f>IF([2]道具信息!D488="","",[2]道具信息!D488)</f>
        <v/>
      </c>
      <c r="E488" s="26" t="str">
        <f>IF([2]道具信息!E488="","",[2]道具信息!E488)</f>
        <v/>
      </c>
      <c r="F488" s="26">
        <f>IF([2]道具信息!F488="","",[2]道具信息!F488)</f>
        <v>1</v>
      </c>
      <c r="G488" s="26">
        <f>IF([2]道具信息!G488="","",[2]道具信息!G488)</f>
        <v>1</v>
      </c>
      <c r="H488" s="26">
        <f>IF([2]道具信息!H488="","",[2]道具信息!H488)</f>
        <v>1</v>
      </c>
      <c r="I488" s="26" t="str">
        <f>IF([2]道具信息!I488="","",[2]道具信息!I488)</f>
        <v/>
      </c>
      <c r="J488" s="26" t="str">
        <f>IF([2]道具信息!J488="","",[2]道具信息!J488)</f>
        <v/>
      </c>
      <c r="K488" s="26" t="str">
        <f>IF([2]道具信息!K488="","",[2]道具信息!K488)</f>
        <v/>
      </c>
      <c r="L488" s="26" t="str">
        <f>IF([2]道具信息!L488="","",[2]道具信息!L488)</f>
        <v/>
      </c>
      <c r="M488" s="26" t="str">
        <f>IF([2]道具信息!M488="","",[2]道具信息!M488)</f>
        <v/>
      </c>
      <c r="N488" s="26" t="str">
        <f>IF([2]道具信息!N488="","",[2]道具信息!N488)</f>
        <v/>
      </c>
      <c r="O488" s="26" t="str">
        <f>IF([2]道具信息!O488="","",[2]道具信息!O488)</f>
        <v/>
      </c>
      <c r="P488" s="26" t="str">
        <f>IF([2]道具信息!P488="","",[2]道具信息!P488)</f>
        <v/>
      </c>
      <c r="Q488" s="26" t="str">
        <f>IF([2]道具信息!Q488="","",[2]道具信息!Q488)</f>
        <v/>
      </c>
    </row>
    <row r="489" spans="3:17" x14ac:dyDescent="0.15">
      <c r="C489" s="26" t="str">
        <f>IF([2]道具信息!C489="","",[2]道具信息!C489)</f>
        <v/>
      </c>
      <c r="D489" s="26" t="str">
        <f>IF([2]道具信息!D489="","",[2]道具信息!D489)</f>
        <v/>
      </c>
      <c r="E489" s="26" t="str">
        <f>IF([2]道具信息!E489="","",[2]道具信息!E489)</f>
        <v/>
      </c>
      <c r="F489" s="26">
        <f>IF([2]道具信息!F489="","",[2]道具信息!F489)</f>
        <v>1</v>
      </c>
      <c r="G489" s="26">
        <f>IF([2]道具信息!G489="","",[2]道具信息!G489)</f>
        <v>1</v>
      </c>
      <c r="H489" s="26">
        <f>IF([2]道具信息!H489="","",[2]道具信息!H489)</f>
        <v>1</v>
      </c>
      <c r="I489" s="26" t="str">
        <f>IF([2]道具信息!I489="","",[2]道具信息!I489)</f>
        <v/>
      </c>
      <c r="J489" s="26" t="str">
        <f>IF([2]道具信息!J489="","",[2]道具信息!J489)</f>
        <v/>
      </c>
      <c r="K489" s="26" t="str">
        <f>IF([2]道具信息!K489="","",[2]道具信息!K489)</f>
        <v/>
      </c>
      <c r="L489" s="26" t="str">
        <f>IF([2]道具信息!L489="","",[2]道具信息!L489)</f>
        <v/>
      </c>
      <c r="M489" s="26" t="str">
        <f>IF([2]道具信息!M489="","",[2]道具信息!M489)</f>
        <v/>
      </c>
      <c r="N489" s="26" t="str">
        <f>IF([2]道具信息!N489="","",[2]道具信息!N489)</f>
        <v/>
      </c>
      <c r="O489" s="26" t="str">
        <f>IF([2]道具信息!O489="","",[2]道具信息!O489)</f>
        <v/>
      </c>
      <c r="P489" s="26" t="str">
        <f>IF([2]道具信息!P489="","",[2]道具信息!P489)</f>
        <v/>
      </c>
      <c r="Q489" s="26" t="str">
        <f>IF([2]道具信息!Q489="","",[2]道具信息!Q489)</f>
        <v/>
      </c>
    </row>
    <row r="490" spans="3:17" x14ac:dyDescent="0.15">
      <c r="C490" s="26" t="str">
        <f>IF([2]道具信息!C490="","",[2]道具信息!C490)</f>
        <v/>
      </c>
      <c r="D490" s="26" t="str">
        <f>IF([2]道具信息!D490="","",[2]道具信息!D490)</f>
        <v/>
      </c>
      <c r="E490" s="26" t="str">
        <f>IF([2]道具信息!E490="","",[2]道具信息!E490)</f>
        <v/>
      </c>
      <c r="F490" s="26">
        <f>IF([2]道具信息!F490="","",[2]道具信息!F490)</f>
        <v>1</v>
      </c>
      <c r="G490" s="26">
        <f>IF([2]道具信息!G490="","",[2]道具信息!G490)</f>
        <v>1</v>
      </c>
      <c r="H490" s="26">
        <f>IF([2]道具信息!H490="","",[2]道具信息!H490)</f>
        <v>1</v>
      </c>
      <c r="I490" s="26" t="str">
        <f>IF([2]道具信息!I490="","",[2]道具信息!I490)</f>
        <v/>
      </c>
      <c r="J490" s="26" t="str">
        <f>IF([2]道具信息!J490="","",[2]道具信息!J490)</f>
        <v/>
      </c>
      <c r="K490" s="26" t="str">
        <f>IF([2]道具信息!K490="","",[2]道具信息!K490)</f>
        <v/>
      </c>
      <c r="L490" s="26" t="str">
        <f>IF([2]道具信息!L490="","",[2]道具信息!L490)</f>
        <v/>
      </c>
      <c r="M490" s="26" t="str">
        <f>IF([2]道具信息!M490="","",[2]道具信息!M490)</f>
        <v/>
      </c>
      <c r="N490" s="26" t="str">
        <f>IF([2]道具信息!N490="","",[2]道具信息!N490)</f>
        <v/>
      </c>
      <c r="O490" s="26" t="str">
        <f>IF([2]道具信息!O490="","",[2]道具信息!O490)</f>
        <v/>
      </c>
      <c r="P490" s="26" t="str">
        <f>IF([2]道具信息!P490="","",[2]道具信息!P490)</f>
        <v/>
      </c>
      <c r="Q490" s="26" t="str">
        <f>IF([2]道具信息!Q490="","",[2]道具信息!Q490)</f>
        <v/>
      </c>
    </row>
    <row r="491" spans="3:17" x14ac:dyDescent="0.15">
      <c r="C491" s="26" t="str">
        <f>IF([2]道具信息!C491="","",[2]道具信息!C491)</f>
        <v/>
      </c>
      <c r="D491" s="26" t="str">
        <f>IF([2]道具信息!D491="","",[2]道具信息!D491)</f>
        <v/>
      </c>
      <c r="E491" s="26" t="str">
        <f>IF([2]道具信息!E491="","",[2]道具信息!E491)</f>
        <v/>
      </c>
      <c r="F491" s="26">
        <f>IF([2]道具信息!F491="","",[2]道具信息!F491)</f>
        <v>1</v>
      </c>
      <c r="G491" s="26">
        <f>IF([2]道具信息!G491="","",[2]道具信息!G491)</f>
        <v>1</v>
      </c>
      <c r="H491" s="26">
        <f>IF([2]道具信息!H491="","",[2]道具信息!H491)</f>
        <v>1</v>
      </c>
      <c r="I491" s="26" t="str">
        <f>IF([2]道具信息!I491="","",[2]道具信息!I491)</f>
        <v/>
      </c>
      <c r="J491" s="26" t="str">
        <f>IF([2]道具信息!J491="","",[2]道具信息!J491)</f>
        <v/>
      </c>
      <c r="K491" s="26" t="str">
        <f>IF([2]道具信息!K491="","",[2]道具信息!K491)</f>
        <v/>
      </c>
      <c r="L491" s="26" t="str">
        <f>IF([2]道具信息!L491="","",[2]道具信息!L491)</f>
        <v/>
      </c>
      <c r="M491" s="26" t="str">
        <f>IF([2]道具信息!M491="","",[2]道具信息!M491)</f>
        <v/>
      </c>
      <c r="N491" s="26" t="str">
        <f>IF([2]道具信息!N491="","",[2]道具信息!N491)</f>
        <v/>
      </c>
      <c r="O491" s="26" t="str">
        <f>IF([2]道具信息!O491="","",[2]道具信息!O491)</f>
        <v/>
      </c>
      <c r="P491" s="26" t="str">
        <f>IF([2]道具信息!P491="","",[2]道具信息!P491)</f>
        <v/>
      </c>
      <c r="Q491" s="26" t="str">
        <f>IF([2]道具信息!Q491="","",[2]道具信息!Q491)</f>
        <v/>
      </c>
    </row>
    <row r="492" spans="3:17" x14ac:dyDescent="0.15">
      <c r="C492" s="26" t="str">
        <f>IF([2]道具信息!C492="","",[2]道具信息!C492)</f>
        <v/>
      </c>
      <c r="D492" s="26" t="str">
        <f>IF([2]道具信息!D492="","",[2]道具信息!D492)</f>
        <v/>
      </c>
      <c r="E492" s="26" t="str">
        <f>IF([2]道具信息!E492="","",[2]道具信息!E492)</f>
        <v/>
      </c>
      <c r="F492" s="26">
        <f>IF([2]道具信息!F492="","",[2]道具信息!F492)</f>
        <v>1</v>
      </c>
      <c r="G492" s="26">
        <f>IF([2]道具信息!G492="","",[2]道具信息!G492)</f>
        <v>1</v>
      </c>
      <c r="H492" s="26">
        <f>IF([2]道具信息!H492="","",[2]道具信息!H492)</f>
        <v>1</v>
      </c>
      <c r="I492" s="26" t="str">
        <f>IF([2]道具信息!I492="","",[2]道具信息!I492)</f>
        <v/>
      </c>
      <c r="J492" s="26" t="str">
        <f>IF([2]道具信息!J492="","",[2]道具信息!J492)</f>
        <v/>
      </c>
      <c r="K492" s="26" t="str">
        <f>IF([2]道具信息!K492="","",[2]道具信息!K492)</f>
        <v/>
      </c>
      <c r="L492" s="26" t="str">
        <f>IF([2]道具信息!L492="","",[2]道具信息!L492)</f>
        <v/>
      </c>
      <c r="M492" s="26" t="str">
        <f>IF([2]道具信息!M492="","",[2]道具信息!M492)</f>
        <v/>
      </c>
      <c r="N492" s="26" t="str">
        <f>IF([2]道具信息!N492="","",[2]道具信息!N492)</f>
        <v/>
      </c>
      <c r="O492" s="26" t="str">
        <f>IF([2]道具信息!O492="","",[2]道具信息!O492)</f>
        <v/>
      </c>
      <c r="P492" s="26" t="str">
        <f>IF([2]道具信息!P492="","",[2]道具信息!P492)</f>
        <v/>
      </c>
      <c r="Q492" s="26" t="str">
        <f>IF([2]道具信息!Q492="","",[2]道具信息!Q492)</f>
        <v/>
      </c>
    </row>
    <row r="493" spans="3:17" x14ac:dyDescent="0.15">
      <c r="C493" s="26" t="str">
        <f>IF([2]道具信息!C493="","",[2]道具信息!C493)</f>
        <v/>
      </c>
      <c r="D493" s="26" t="str">
        <f>IF([2]道具信息!D493="","",[2]道具信息!D493)</f>
        <v/>
      </c>
      <c r="E493" s="26" t="str">
        <f>IF([2]道具信息!E493="","",[2]道具信息!E493)</f>
        <v/>
      </c>
      <c r="F493" s="26">
        <f>IF([2]道具信息!F493="","",[2]道具信息!F493)</f>
        <v>1</v>
      </c>
      <c r="G493" s="26">
        <f>IF([2]道具信息!G493="","",[2]道具信息!G493)</f>
        <v>1</v>
      </c>
      <c r="H493" s="26">
        <f>IF([2]道具信息!H493="","",[2]道具信息!H493)</f>
        <v>1</v>
      </c>
      <c r="I493" s="26" t="str">
        <f>IF([2]道具信息!I493="","",[2]道具信息!I493)</f>
        <v/>
      </c>
      <c r="J493" s="26" t="str">
        <f>IF([2]道具信息!J493="","",[2]道具信息!J493)</f>
        <v/>
      </c>
      <c r="K493" s="26" t="str">
        <f>IF([2]道具信息!K493="","",[2]道具信息!K493)</f>
        <v/>
      </c>
      <c r="L493" s="26" t="str">
        <f>IF([2]道具信息!L493="","",[2]道具信息!L493)</f>
        <v/>
      </c>
      <c r="M493" s="26" t="str">
        <f>IF([2]道具信息!M493="","",[2]道具信息!M493)</f>
        <v/>
      </c>
      <c r="N493" s="26" t="str">
        <f>IF([2]道具信息!N493="","",[2]道具信息!N493)</f>
        <v/>
      </c>
      <c r="O493" s="26" t="str">
        <f>IF([2]道具信息!O493="","",[2]道具信息!O493)</f>
        <v/>
      </c>
      <c r="P493" s="26" t="str">
        <f>IF([2]道具信息!P493="","",[2]道具信息!P493)</f>
        <v/>
      </c>
      <c r="Q493" s="26" t="str">
        <f>IF([2]道具信息!Q493="","",[2]道具信息!Q493)</f>
        <v/>
      </c>
    </row>
    <row r="494" spans="3:17" x14ac:dyDescent="0.15">
      <c r="C494" s="26" t="str">
        <f>IF([2]道具信息!C494="","",[2]道具信息!C494)</f>
        <v/>
      </c>
      <c r="D494" s="26" t="str">
        <f>IF([2]道具信息!D494="","",[2]道具信息!D494)</f>
        <v/>
      </c>
      <c r="E494" s="26" t="str">
        <f>IF([2]道具信息!E494="","",[2]道具信息!E494)</f>
        <v/>
      </c>
      <c r="F494" s="26">
        <f>IF([2]道具信息!F494="","",[2]道具信息!F494)</f>
        <v>1</v>
      </c>
      <c r="G494" s="26">
        <f>IF([2]道具信息!G494="","",[2]道具信息!G494)</f>
        <v>1</v>
      </c>
      <c r="H494" s="26">
        <f>IF([2]道具信息!H494="","",[2]道具信息!H494)</f>
        <v>1</v>
      </c>
      <c r="I494" s="26" t="str">
        <f>IF([2]道具信息!I494="","",[2]道具信息!I494)</f>
        <v/>
      </c>
      <c r="J494" s="26" t="str">
        <f>IF([2]道具信息!J494="","",[2]道具信息!J494)</f>
        <v/>
      </c>
      <c r="K494" s="26" t="str">
        <f>IF([2]道具信息!K494="","",[2]道具信息!K494)</f>
        <v/>
      </c>
      <c r="L494" s="26" t="str">
        <f>IF([2]道具信息!L494="","",[2]道具信息!L494)</f>
        <v/>
      </c>
      <c r="M494" s="26" t="str">
        <f>IF([2]道具信息!M494="","",[2]道具信息!M494)</f>
        <v/>
      </c>
      <c r="N494" s="26" t="str">
        <f>IF([2]道具信息!N494="","",[2]道具信息!N494)</f>
        <v/>
      </c>
      <c r="O494" s="26" t="str">
        <f>IF([2]道具信息!O494="","",[2]道具信息!O494)</f>
        <v/>
      </c>
      <c r="P494" s="26" t="str">
        <f>IF([2]道具信息!P494="","",[2]道具信息!P494)</f>
        <v/>
      </c>
      <c r="Q494" s="26" t="str">
        <f>IF([2]道具信息!Q494="","",[2]道具信息!Q494)</f>
        <v/>
      </c>
    </row>
    <row r="495" spans="3:17" x14ac:dyDescent="0.15">
      <c r="C495" s="26" t="str">
        <f>IF([2]道具信息!C495="","",[2]道具信息!C495)</f>
        <v/>
      </c>
      <c r="D495" s="26" t="str">
        <f>IF([2]道具信息!D495="","",[2]道具信息!D495)</f>
        <v/>
      </c>
      <c r="E495" s="26" t="str">
        <f>IF([2]道具信息!E495="","",[2]道具信息!E495)</f>
        <v/>
      </c>
      <c r="F495" s="26">
        <f>IF([2]道具信息!F495="","",[2]道具信息!F495)</f>
        <v>1</v>
      </c>
      <c r="G495" s="26">
        <f>IF([2]道具信息!G495="","",[2]道具信息!G495)</f>
        <v>1</v>
      </c>
      <c r="H495" s="26">
        <f>IF([2]道具信息!H495="","",[2]道具信息!H495)</f>
        <v>1</v>
      </c>
      <c r="I495" s="26" t="str">
        <f>IF([2]道具信息!I495="","",[2]道具信息!I495)</f>
        <v/>
      </c>
      <c r="J495" s="26" t="str">
        <f>IF([2]道具信息!J495="","",[2]道具信息!J495)</f>
        <v/>
      </c>
      <c r="K495" s="26" t="str">
        <f>IF([2]道具信息!K495="","",[2]道具信息!K495)</f>
        <v/>
      </c>
      <c r="L495" s="26" t="str">
        <f>IF([2]道具信息!L495="","",[2]道具信息!L495)</f>
        <v/>
      </c>
      <c r="M495" s="26" t="str">
        <f>IF([2]道具信息!M495="","",[2]道具信息!M495)</f>
        <v/>
      </c>
      <c r="N495" s="26" t="str">
        <f>IF([2]道具信息!N495="","",[2]道具信息!N495)</f>
        <v/>
      </c>
      <c r="O495" s="26" t="str">
        <f>IF([2]道具信息!O495="","",[2]道具信息!O495)</f>
        <v/>
      </c>
      <c r="P495" s="26" t="str">
        <f>IF([2]道具信息!P495="","",[2]道具信息!P495)</f>
        <v/>
      </c>
      <c r="Q495" s="26" t="str">
        <f>IF([2]道具信息!Q495="","",[2]道具信息!Q495)</f>
        <v/>
      </c>
    </row>
    <row r="496" spans="3:17" x14ac:dyDescent="0.15">
      <c r="C496" s="26" t="str">
        <f>IF([2]道具信息!C496="","",[2]道具信息!C496)</f>
        <v/>
      </c>
      <c r="D496" s="26" t="str">
        <f>IF([2]道具信息!D496="","",[2]道具信息!D496)</f>
        <v/>
      </c>
      <c r="E496" s="26" t="str">
        <f>IF([2]道具信息!E496="","",[2]道具信息!E496)</f>
        <v/>
      </c>
      <c r="F496" s="26">
        <f>IF([2]道具信息!F496="","",[2]道具信息!F496)</f>
        <v>1</v>
      </c>
      <c r="G496" s="26">
        <f>IF([2]道具信息!G496="","",[2]道具信息!G496)</f>
        <v>1</v>
      </c>
      <c r="H496" s="26">
        <f>IF([2]道具信息!H496="","",[2]道具信息!H496)</f>
        <v>1</v>
      </c>
      <c r="I496" s="26" t="str">
        <f>IF([2]道具信息!I496="","",[2]道具信息!I496)</f>
        <v/>
      </c>
      <c r="J496" s="26" t="str">
        <f>IF([2]道具信息!J496="","",[2]道具信息!J496)</f>
        <v/>
      </c>
      <c r="K496" s="26" t="str">
        <f>IF([2]道具信息!K496="","",[2]道具信息!K496)</f>
        <v/>
      </c>
      <c r="L496" s="26" t="str">
        <f>IF([2]道具信息!L496="","",[2]道具信息!L496)</f>
        <v/>
      </c>
      <c r="M496" s="26" t="str">
        <f>IF([2]道具信息!M496="","",[2]道具信息!M496)</f>
        <v/>
      </c>
      <c r="N496" s="26" t="str">
        <f>IF([2]道具信息!N496="","",[2]道具信息!N496)</f>
        <v/>
      </c>
      <c r="O496" s="26" t="str">
        <f>IF([2]道具信息!O496="","",[2]道具信息!O496)</f>
        <v/>
      </c>
      <c r="P496" s="26" t="str">
        <f>IF([2]道具信息!P496="","",[2]道具信息!P496)</f>
        <v/>
      </c>
      <c r="Q496" s="26" t="str">
        <f>IF([2]道具信息!Q496="","",[2]道具信息!Q496)</f>
        <v/>
      </c>
    </row>
    <row r="497" spans="3:17" x14ac:dyDescent="0.15">
      <c r="C497" s="26" t="str">
        <f>IF([2]道具信息!C497="","",[2]道具信息!C497)</f>
        <v/>
      </c>
      <c r="D497" s="26" t="str">
        <f>IF([2]道具信息!D497="","",[2]道具信息!D497)</f>
        <v/>
      </c>
      <c r="E497" s="26" t="str">
        <f>IF([2]道具信息!E497="","",[2]道具信息!E497)</f>
        <v/>
      </c>
      <c r="F497" s="26">
        <f>IF([2]道具信息!F497="","",[2]道具信息!F497)</f>
        <v>1</v>
      </c>
      <c r="G497" s="26">
        <f>IF([2]道具信息!G497="","",[2]道具信息!G497)</f>
        <v>1</v>
      </c>
      <c r="H497" s="26">
        <f>IF([2]道具信息!H497="","",[2]道具信息!H497)</f>
        <v>1</v>
      </c>
      <c r="I497" s="26" t="str">
        <f>IF([2]道具信息!I497="","",[2]道具信息!I497)</f>
        <v/>
      </c>
      <c r="J497" s="26" t="str">
        <f>IF([2]道具信息!J497="","",[2]道具信息!J497)</f>
        <v/>
      </c>
      <c r="K497" s="26" t="str">
        <f>IF([2]道具信息!K497="","",[2]道具信息!K497)</f>
        <v/>
      </c>
      <c r="L497" s="26" t="str">
        <f>IF([2]道具信息!L497="","",[2]道具信息!L497)</f>
        <v/>
      </c>
      <c r="M497" s="26" t="str">
        <f>IF([2]道具信息!M497="","",[2]道具信息!M497)</f>
        <v/>
      </c>
      <c r="N497" s="26" t="str">
        <f>IF([2]道具信息!N497="","",[2]道具信息!N497)</f>
        <v/>
      </c>
      <c r="O497" s="26" t="str">
        <f>IF([2]道具信息!O497="","",[2]道具信息!O497)</f>
        <v/>
      </c>
      <c r="P497" s="26" t="str">
        <f>IF([2]道具信息!P497="","",[2]道具信息!P497)</f>
        <v/>
      </c>
      <c r="Q497" s="26" t="str">
        <f>IF([2]道具信息!Q497="","",[2]道具信息!Q497)</f>
        <v/>
      </c>
    </row>
    <row r="498" spans="3:17" x14ac:dyDescent="0.15">
      <c r="C498" s="26" t="str">
        <f>IF([2]道具信息!C498="","",[2]道具信息!C498)</f>
        <v/>
      </c>
      <c r="D498" s="26" t="str">
        <f>IF([2]道具信息!D498="","",[2]道具信息!D498)</f>
        <v/>
      </c>
      <c r="E498" s="26" t="str">
        <f>IF([2]道具信息!E498="","",[2]道具信息!E498)</f>
        <v/>
      </c>
      <c r="F498" s="26">
        <f>IF([2]道具信息!F498="","",[2]道具信息!F498)</f>
        <v>1</v>
      </c>
      <c r="G498" s="26">
        <f>IF([2]道具信息!G498="","",[2]道具信息!G498)</f>
        <v>1</v>
      </c>
      <c r="H498" s="26">
        <f>IF([2]道具信息!H498="","",[2]道具信息!H498)</f>
        <v>1</v>
      </c>
      <c r="I498" s="26" t="str">
        <f>IF([2]道具信息!I498="","",[2]道具信息!I498)</f>
        <v/>
      </c>
      <c r="J498" s="26" t="str">
        <f>IF([2]道具信息!J498="","",[2]道具信息!J498)</f>
        <v/>
      </c>
      <c r="K498" s="26" t="str">
        <f>IF([2]道具信息!K498="","",[2]道具信息!K498)</f>
        <v/>
      </c>
      <c r="L498" s="26" t="str">
        <f>IF([2]道具信息!L498="","",[2]道具信息!L498)</f>
        <v/>
      </c>
      <c r="M498" s="26" t="str">
        <f>IF([2]道具信息!M498="","",[2]道具信息!M498)</f>
        <v/>
      </c>
      <c r="N498" s="26" t="str">
        <f>IF([2]道具信息!N498="","",[2]道具信息!N498)</f>
        <v/>
      </c>
      <c r="O498" s="26" t="str">
        <f>IF([2]道具信息!O498="","",[2]道具信息!O498)</f>
        <v/>
      </c>
      <c r="P498" s="26" t="str">
        <f>IF([2]道具信息!P498="","",[2]道具信息!P498)</f>
        <v/>
      </c>
      <c r="Q498" s="26" t="str">
        <f>IF([2]道具信息!Q498="","",[2]道具信息!Q498)</f>
        <v/>
      </c>
    </row>
    <row r="499" spans="3:17" x14ac:dyDescent="0.15">
      <c r="C499" s="26" t="str">
        <f>IF([2]道具信息!C499="","",[2]道具信息!C499)</f>
        <v/>
      </c>
      <c r="D499" s="26" t="str">
        <f>IF([2]道具信息!D499="","",[2]道具信息!D499)</f>
        <v/>
      </c>
      <c r="E499" s="26" t="str">
        <f>IF([2]道具信息!E499="","",[2]道具信息!E499)</f>
        <v/>
      </c>
      <c r="F499" s="26">
        <f>IF([2]道具信息!F499="","",[2]道具信息!F499)</f>
        <v>1</v>
      </c>
      <c r="G499" s="26">
        <f>IF([2]道具信息!G499="","",[2]道具信息!G499)</f>
        <v>1</v>
      </c>
      <c r="H499" s="26">
        <f>IF([2]道具信息!H499="","",[2]道具信息!H499)</f>
        <v>1</v>
      </c>
      <c r="I499" s="26" t="str">
        <f>IF([2]道具信息!I499="","",[2]道具信息!I499)</f>
        <v/>
      </c>
      <c r="J499" s="26" t="str">
        <f>IF([2]道具信息!J499="","",[2]道具信息!J499)</f>
        <v/>
      </c>
      <c r="K499" s="26" t="str">
        <f>IF([2]道具信息!K499="","",[2]道具信息!K499)</f>
        <v/>
      </c>
      <c r="L499" s="26" t="str">
        <f>IF([2]道具信息!L499="","",[2]道具信息!L499)</f>
        <v/>
      </c>
      <c r="M499" s="26" t="str">
        <f>IF([2]道具信息!M499="","",[2]道具信息!M499)</f>
        <v/>
      </c>
      <c r="N499" s="26" t="str">
        <f>IF([2]道具信息!N499="","",[2]道具信息!N499)</f>
        <v/>
      </c>
      <c r="O499" s="26" t="str">
        <f>IF([2]道具信息!O499="","",[2]道具信息!O499)</f>
        <v/>
      </c>
      <c r="P499" s="26" t="str">
        <f>IF([2]道具信息!P499="","",[2]道具信息!P499)</f>
        <v/>
      </c>
      <c r="Q499" s="26" t="str">
        <f>IF([2]道具信息!Q499="","",[2]道具信息!Q499)</f>
        <v/>
      </c>
    </row>
    <row r="500" spans="3:17" x14ac:dyDescent="0.15">
      <c r="C500" s="26" t="str">
        <f>IF([2]道具信息!C500="","",[2]道具信息!C500)</f>
        <v/>
      </c>
      <c r="D500" s="26" t="str">
        <f>IF([2]道具信息!D500="","",[2]道具信息!D500)</f>
        <v/>
      </c>
      <c r="E500" s="26" t="str">
        <f>IF([2]道具信息!E500="","",[2]道具信息!E500)</f>
        <v/>
      </c>
      <c r="F500" s="26">
        <f>IF([2]道具信息!F500="","",[2]道具信息!F500)</f>
        <v>1</v>
      </c>
      <c r="G500" s="26">
        <f>IF([2]道具信息!G500="","",[2]道具信息!G500)</f>
        <v>1</v>
      </c>
      <c r="H500" s="26">
        <f>IF([2]道具信息!H500="","",[2]道具信息!H500)</f>
        <v>1</v>
      </c>
      <c r="I500" s="26" t="str">
        <f>IF([2]道具信息!I500="","",[2]道具信息!I500)</f>
        <v/>
      </c>
      <c r="J500" s="26" t="str">
        <f>IF([2]道具信息!J500="","",[2]道具信息!J500)</f>
        <v/>
      </c>
      <c r="K500" s="26" t="str">
        <f>IF([2]道具信息!K500="","",[2]道具信息!K500)</f>
        <v/>
      </c>
      <c r="L500" s="26" t="str">
        <f>IF([2]道具信息!L500="","",[2]道具信息!L500)</f>
        <v/>
      </c>
      <c r="M500" s="26" t="str">
        <f>IF([2]道具信息!M500="","",[2]道具信息!M500)</f>
        <v/>
      </c>
      <c r="N500" s="26" t="str">
        <f>IF([2]道具信息!N500="","",[2]道具信息!N500)</f>
        <v/>
      </c>
      <c r="O500" s="26" t="str">
        <f>IF([2]道具信息!O500="","",[2]道具信息!O500)</f>
        <v/>
      </c>
      <c r="P500" s="26" t="str">
        <f>IF([2]道具信息!P500="","",[2]道具信息!P500)</f>
        <v/>
      </c>
      <c r="Q500" s="26" t="str">
        <f>IF([2]道具信息!Q500="","",[2]道具信息!Q500)</f>
        <v/>
      </c>
    </row>
    <row r="501" spans="3:17" x14ac:dyDescent="0.15">
      <c r="C501" s="26" t="str">
        <f>IF([2]道具信息!C501="","",[2]道具信息!C501)</f>
        <v/>
      </c>
      <c r="D501" s="26" t="str">
        <f>IF([2]道具信息!D501="","",[2]道具信息!D501)</f>
        <v/>
      </c>
      <c r="E501" s="26" t="str">
        <f>IF([2]道具信息!E501="","",[2]道具信息!E501)</f>
        <v/>
      </c>
      <c r="F501" s="26">
        <f>IF([2]道具信息!F501="","",[2]道具信息!F501)</f>
        <v>1</v>
      </c>
      <c r="G501" s="26">
        <f>IF([2]道具信息!G501="","",[2]道具信息!G501)</f>
        <v>1</v>
      </c>
      <c r="H501" s="26">
        <f>IF([2]道具信息!H501="","",[2]道具信息!H501)</f>
        <v>1</v>
      </c>
      <c r="I501" s="26" t="str">
        <f>IF([2]道具信息!I501="","",[2]道具信息!I501)</f>
        <v/>
      </c>
      <c r="J501" s="26" t="str">
        <f>IF([2]道具信息!J501="","",[2]道具信息!J501)</f>
        <v/>
      </c>
      <c r="K501" s="26" t="str">
        <f>IF([2]道具信息!K501="","",[2]道具信息!K501)</f>
        <v/>
      </c>
      <c r="L501" s="26" t="str">
        <f>IF([2]道具信息!L501="","",[2]道具信息!L501)</f>
        <v/>
      </c>
      <c r="M501" s="26" t="str">
        <f>IF([2]道具信息!M501="","",[2]道具信息!M501)</f>
        <v/>
      </c>
      <c r="N501" s="26" t="str">
        <f>IF([2]道具信息!N501="","",[2]道具信息!N501)</f>
        <v/>
      </c>
      <c r="O501" s="26" t="str">
        <f>IF([2]道具信息!O501="","",[2]道具信息!O501)</f>
        <v/>
      </c>
      <c r="P501" s="26" t="str">
        <f>IF([2]道具信息!P501="","",[2]道具信息!P501)</f>
        <v/>
      </c>
      <c r="Q501" s="26" t="str">
        <f>IF([2]道具信息!Q501="","",[2]道具信息!Q501)</f>
        <v/>
      </c>
    </row>
    <row r="502" spans="3:17" x14ac:dyDescent="0.15">
      <c r="C502" s="26" t="str">
        <f>IF([2]道具信息!C502="","",[2]道具信息!C502)</f>
        <v/>
      </c>
      <c r="D502" s="26" t="str">
        <f>IF([2]道具信息!D502="","",[2]道具信息!D502)</f>
        <v/>
      </c>
      <c r="E502" s="26" t="str">
        <f>IF([2]道具信息!E502="","",[2]道具信息!E502)</f>
        <v/>
      </c>
      <c r="F502" s="26">
        <f>IF([2]道具信息!F502="","",[2]道具信息!F502)</f>
        <v>1</v>
      </c>
      <c r="G502" s="26">
        <f>IF([2]道具信息!G502="","",[2]道具信息!G502)</f>
        <v>1</v>
      </c>
      <c r="H502" s="26">
        <f>IF([2]道具信息!H502="","",[2]道具信息!H502)</f>
        <v>1</v>
      </c>
      <c r="I502" s="26" t="str">
        <f>IF([2]道具信息!I502="","",[2]道具信息!I502)</f>
        <v/>
      </c>
      <c r="J502" s="26" t="str">
        <f>IF([2]道具信息!J502="","",[2]道具信息!J502)</f>
        <v/>
      </c>
      <c r="K502" s="26" t="str">
        <f>IF([2]道具信息!K502="","",[2]道具信息!K502)</f>
        <v/>
      </c>
      <c r="L502" s="26" t="str">
        <f>IF([2]道具信息!L502="","",[2]道具信息!L502)</f>
        <v/>
      </c>
      <c r="M502" s="26" t="str">
        <f>IF([2]道具信息!M502="","",[2]道具信息!M502)</f>
        <v/>
      </c>
      <c r="N502" s="26" t="str">
        <f>IF([2]道具信息!N502="","",[2]道具信息!N502)</f>
        <v/>
      </c>
      <c r="O502" s="26" t="str">
        <f>IF([2]道具信息!O502="","",[2]道具信息!O502)</f>
        <v/>
      </c>
      <c r="P502" s="26" t="str">
        <f>IF([2]道具信息!P502="","",[2]道具信息!P502)</f>
        <v/>
      </c>
      <c r="Q502" s="26" t="str">
        <f>IF([2]道具信息!Q502="","",[2]道具信息!Q502)</f>
        <v/>
      </c>
    </row>
    <row r="503" spans="3:17" x14ac:dyDescent="0.15">
      <c r="C503" s="26" t="str">
        <f>IF([2]道具信息!C503="","",[2]道具信息!C503)</f>
        <v/>
      </c>
      <c r="D503" s="26" t="str">
        <f>IF([2]道具信息!D503="","",[2]道具信息!D503)</f>
        <v/>
      </c>
      <c r="E503" s="26" t="str">
        <f>IF([2]道具信息!E503="","",[2]道具信息!E503)</f>
        <v/>
      </c>
      <c r="F503" s="26">
        <f>IF([2]道具信息!F503="","",[2]道具信息!F503)</f>
        <v>1</v>
      </c>
      <c r="G503" s="26">
        <f>IF([2]道具信息!G503="","",[2]道具信息!G503)</f>
        <v>1</v>
      </c>
      <c r="H503" s="26">
        <f>IF([2]道具信息!H503="","",[2]道具信息!H503)</f>
        <v>1</v>
      </c>
      <c r="I503" s="26" t="str">
        <f>IF([2]道具信息!I503="","",[2]道具信息!I503)</f>
        <v/>
      </c>
      <c r="J503" s="26" t="str">
        <f>IF([2]道具信息!J503="","",[2]道具信息!J503)</f>
        <v/>
      </c>
      <c r="K503" s="26" t="str">
        <f>IF([2]道具信息!K503="","",[2]道具信息!K503)</f>
        <v/>
      </c>
      <c r="L503" s="26" t="str">
        <f>IF([2]道具信息!L503="","",[2]道具信息!L503)</f>
        <v/>
      </c>
      <c r="M503" s="26" t="str">
        <f>IF([2]道具信息!M503="","",[2]道具信息!M503)</f>
        <v/>
      </c>
      <c r="N503" s="26" t="str">
        <f>IF([2]道具信息!N503="","",[2]道具信息!N503)</f>
        <v/>
      </c>
      <c r="O503" s="26" t="str">
        <f>IF([2]道具信息!O503="","",[2]道具信息!O503)</f>
        <v/>
      </c>
      <c r="P503" s="26" t="str">
        <f>IF([2]道具信息!P503="","",[2]道具信息!P503)</f>
        <v/>
      </c>
      <c r="Q503" s="26" t="str">
        <f>IF([2]道具信息!Q503="","",[2]道具信息!Q503)</f>
        <v/>
      </c>
    </row>
    <row r="504" spans="3:17" x14ac:dyDescent="0.15">
      <c r="C504" s="26" t="str">
        <f>IF([2]道具信息!C504="","",[2]道具信息!C504)</f>
        <v/>
      </c>
      <c r="D504" s="26" t="str">
        <f>IF([2]道具信息!D504="","",[2]道具信息!D504)</f>
        <v/>
      </c>
      <c r="E504" s="26" t="str">
        <f>IF([2]道具信息!E504="","",[2]道具信息!E504)</f>
        <v/>
      </c>
      <c r="F504" s="26" t="str">
        <f>IF([2]道具信息!F504="","",[2]道具信息!F504)</f>
        <v/>
      </c>
      <c r="G504" s="26" t="str">
        <f>IF([2]道具信息!G504="","",[2]道具信息!G504)</f>
        <v/>
      </c>
      <c r="H504" s="26" t="str">
        <f>IF([2]道具信息!H504="","",[2]道具信息!H504)</f>
        <v/>
      </c>
      <c r="I504" s="26" t="str">
        <f>IF([2]道具信息!I504="","",[2]道具信息!I504)</f>
        <v/>
      </c>
      <c r="J504" s="26" t="str">
        <f>IF([2]道具信息!J504="","",[2]道具信息!J504)</f>
        <v/>
      </c>
      <c r="K504" s="26" t="str">
        <f>IF([2]道具信息!K504="","",[2]道具信息!K504)</f>
        <v/>
      </c>
      <c r="L504" s="26" t="str">
        <f>IF([2]道具信息!L504="","",[2]道具信息!L504)</f>
        <v/>
      </c>
      <c r="M504" s="26" t="str">
        <f>IF([2]道具信息!M504="","",[2]道具信息!M504)</f>
        <v/>
      </c>
      <c r="N504" s="26" t="str">
        <f>IF([2]道具信息!N504="","",[2]道具信息!N504)</f>
        <v/>
      </c>
      <c r="O504" s="26" t="str">
        <f>IF([2]道具信息!O504="","",[2]道具信息!O504)</f>
        <v/>
      </c>
      <c r="P504" s="26" t="str">
        <f>IF([2]道具信息!P504="","",[2]道具信息!P504)</f>
        <v/>
      </c>
      <c r="Q504" s="26" t="str">
        <f>IF([2]道具信息!Q504="","",[2]道具信息!Q504)</f>
        <v/>
      </c>
    </row>
    <row r="505" spans="3:17" x14ac:dyDescent="0.15">
      <c r="C505" s="26" t="str">
        <f>IF([2]道具信息!C505="","",[2]道具信息!C505)</f>
        <v/>
      </c>
      <c r="D505" s="26" t="str">
        <f>IF([2]道具信息!D505="","",[2]道具信息!D505)</f>
        <v/>
      </c>
      <c r="E505" s="26" t="str">
        <f>IF([2]道具信息!E505="","",[2]道具信息!E505)</f>
        <v/>
      </c>
      <c r="F505" s="26" t="str">
        <f>IF([2]道具信息!F505="","",[2]道具信息!F505)</f>
        <v/>
      </c>
      <c r="G505" s="26" t="str">
        <f>IF([2]道具信息!G505="","",[2]道具信息!G505)</f>
        <v/>
      </c>
      <c r="H505" s="26" t="str">
        <f>IF([2]道具信息!H505="","",[2]道具信息!H505)</f>
        <v/>
      </c>
      <c r="I505" s="26" t="str">
        <f>IF([2]道具信息!I505="","",[2]道具信息!I505)</f>
        <v/>
      </c>
      <c r="J505" s="26" t="str">
        <f>IF([2]道具信息!J505="","",[2]道具信息!J505)</f>
        <v/>
      </c>
      <c r="K505" s="26" t="str">
        <f>IF([2]道具信息!K505="","",[2]道具信息!K505)</f>
        <v/>
      </c>
      <c r="L505" s="26" t="str">
        <f>IF([2]道具信息!L505="","",[2]道具信息!L505)</f>
        <v/>
      </c>
      <c r="M505" s="26" t="str">
        <f>IF([2]道具信息!M505="","",[2]道具信息!M505)</f>
        <v/>
      </c>
      <c r="N505" s="26" t="str">
        <f>IF([2]道具信息!N505="","",[2]道具信息!N505)</f>
        <v/>
      </c>
      <c r="O505" s="26" t="str">
        <f>IF([2]道具信息!O505="","",[2]道具信息!O505)</f>
        <v/>
      </c>
      <c r="P505" s="26" t="str">
        <f>IF([2]道具信息!P505="","",[2]道具信息!P505)</f>
        <v/>
      </c>
      <c r="Q505" s="26" t="str">
        <f>IF([2]道具信息!Q505="","",[2]道具信息!Q505)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节奏总纲</vt:lpstr>
      <vt:lpstr>产出汇总</vt:lpstr>
      <vt:lpstr>王者铸币</vt:lpstr>
      <vt:lpstr>积分赛</vt:lpstr>
      <vt:lpstr>晋级赛</vt:lpstr>
      <vt:lpstr>竞猜</vt:lpstr>
      <vt:lpstr>商店</vt:lpstr>
      <vt:lpstr>道具投放节奏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2023-05-23T07:59:54Z</dcterms:modified>
</cp:coreProperties>
</file>